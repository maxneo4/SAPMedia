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pivotCache/pivotCacheDefinition9.xml" ContentType="application/vnd.openxmlformats-officedocument.spreadsheetml.pivotCacheDefinition+xml"/>
  <Override PartName="/xl/pivotCache/pivotCacheRecords9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GitHub\SAPMedia\src\services\test\"/>
    </mc:Choice>
  </mc:AlternateContent>
  <bookViews>
    <workbookView xWindow="0" yWindow="0" windowWidth="28800" windowHeight="12435" tabRatio="879"/>
  </bookViews>
  <sheets>
    <sheet name="Metrics - Articles" sheetId="1" r:id="rId1"/>
    <sheet name="Dropdown Lists" sheetId="4" r:id="rId2"/>
    <sheet name="Articles Per Month" sheetId="5" r:id="rId3"/>
    <sheet name="TOP Contributors YTD" sheetId="49" r:id="rId4"/>
    <sheet name="TOP Contributors Q4" sheetId="51" r:id="rId5"/>
    <sheet name="% Number of views YTD" sheetId="40" r:id="rId6"/>
    <sheet name="% Number of views Q4" sheetId="7" r:id="rId7"/>
    <sheet name="Articles-Infographics YTD" sheetId="35" r:id="rId8"/>
    <sheet name="Articles with Infographics Q4" sheetId="31" r:id="rId9"/>
    <sheet name="TOP 5 Viewed YTD" sheetId="27" r:id="rId10"/>
    <sheet name="TOP 5 Viewed Q4" sheetId="38" r:id="rId11"/>
    <sheet name="% Regions YTD" sheetId="30" r:id="rId12"/>
    <sheet name="% Regions Q4" sheetId="41" r:id="rId13"/>
    <sheet name="% Move the Needle YTD" sheetId="29" r:id="rId14"/>
    <sheet name="% Move the Needle Q4" sheetId="42" r:id="rId15"/>
    <sheet name="% Board Area YTD" sheetId="28" r:id="rId16"/>
    <sheet name="% Board Area Q4" sheetId="43" r:id="rId17"/>
    <sheet name="TOP 5 Commented YTD" sheetId="23" r:id="rId18"/>
    <sheet name="TOP 5 Commented Q4" sheetId="39" r:id="rId19"/>
    <sheet name="Customer Involved Articles Q4" sheetId="45" r:id="rId20"/>
    <sheet name="Customer Involved Articles YTD" sheetId="47" r:id="rId21"/>
  </sheets>
  <definedNames>
    <definedName name="_xlnm._FilterDatabase" localSheetId="16" hidden="1">'% Board Area Q4'!$B$8:$S$1003</definedName>
    <definedName name="_xlnm._FilterDatabase" localSheetId="15" hidden="1">'% Board Area YTD'!$B$8:$R$1003</definedName>
    <definedName name="_xlnm._FilterDatabase" localSheetId="14" hidden="1">'% Move the Needle Q4'!$B$8:$I$1003</definedName>
    <definedName name="_xlnm._FilterDatabase" localSheetId="13" hidden="1">'% Move the Needle YTD'!$B$8:$M$1003</definedName>
    <definedName name="_xlnm._FilterDatabase" localSheetId="12" hidden="1">'% Regions Q4'!$B$8:$O$1004</definedName>
    <definedName name="_xlnm._FilterDatabase" localSheetId="11" hidden="1">'% Regions YTD'!$B$8:$J$8</definedName>
    <definedName name="_xlnm._FilterDatabase" localSheetId="0" hidden="1">'Metrics - Articles'!$A$7:$T$883</definedName>
  </definedNames>
  <calcPr calcId="152511"/>
  <pivotCaches>
    <pivotCache cacheId="7" r:id="rId22"/>
    <pivotCache cacheId="8" r:id="rId23"/>
    <pivotCache cacheId="9" r:id="rId24"/>
    <pivotCache cacheId="10" r:id="rId25"/>
    <pivotCache cacheId="11" r:id="rId26"/>
    <pivotCache cacheId="12" r:id="rId27"/>
    <pivotCache cacheId="13" r:id="rId28"/>
    <pivotCache cacheId="14" r:id="rId29"/>
    <pivotCache cacheId="15" r:id="rId30"/>
  </pivotCaches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P301" i="43" l="1"/>
  <c r="P302" i="43"/>
  <c r="P303" i="43"/>
  <c r="P304" i="43"/>
  <c r="P305" i="43"/>
  <c r="P306" i="43"/>
  <c r="P307" i="43"/>
  <c r="P308" i="43"/>
  <c r="P309" i="43"/>
  <c r="P310" i="43"/>
  <c r="P311" i="43"/>
  <c r="P312" i="43"/>
  <c r="P313" i="43"/>
  <c r="P314" i="43"/>
  <c r="P315" i="43"/>
  <c r="P316" i="43"/>
  <c r="P317" i="43"/>
  <c r="P318" i="43"/>
  <c r="P319" i="43"/>
  <c r="P320" i="43"/>
  <c r="P321" i="43"/>
  <c r="P322" i="43"/>
  <c r="P323" i="43"/>
  <c r="P324" i="43"/>
  <c r="P325" i="43"/>
  <c r="P326" i="43"/>
  <c r="P327" i="43"/>
  <c r="P328" i="43"/>
  <c r="P329" i="43"/>
  <c r="P330" i="43"/>
  <c r="P331" i="43"/>
  <c r="P332" i="43"/>
  <c r="P333" i="43"/>
  <c r="P334" i="43"/>
  <c r="P335" i="43"/>
  <c r="P336" i="43"/>
  <c r="P337" i="43"/>
  <c r="P338" i="43"/>
  <c r="P339" i="43"/>
  <c r="P340" i="43"/>
  <c r="P341" i="43"/>
  <c r="P342" i="43"/>
  <c r="P343" i="43"/>
  <c r="P344" i="43"/>
  <c r="P345" i="43"/>
  <c r="P346" i="43"/>
  <c r="P347" i="43"/>
  <c r="P348" i="43"/>
  <c r="P349" i="43"/>
  <c r="P350" i="43"/>
  <c r="P351" i="43"/>
  <c r="P352" i="43"/>
  <c r="P353" i="43"/>
  <c r="P354" i="43"/>
  <c r="P355" i="43"/>
  <c r="P356" i="43"/>
  <c r="P357" i="43"/>
  <c r="P358" i="43"/>
  <c r="P359" i="43"/>
  <c r="P360" i="43"/>
  <c r="P361" i="43"/>
  <c r="P362" i="43"/>
  <c r="O301" i="43"/>
  <c r="O302" i="43"/>
  <c r="O303" i="43"/>
  <c r="O304" i="43"/>
  <c r="O305" i="43"/>
  <c r="O306" i="43"/>
  <c r="O307" i="43"/>
  <c r="O308" i="43"/>
  <c r="O309" i="43"/>
  <c r="O310" i="43"/>
  <c r="O311" i="43"/>
  <c r="O312" i="43"/>
  <c r="O313" i="43"/>
  <c r="O314" i="43"/>
  <c r="O315" i="43"/>
  <c r="O316" i="43"/>
  <c r="O317" i="43"/>
  <c r="O318" i="43"/>
  <c r="O319" i="43"/>
  <c r="O320" i="43"/>
  <c r="O321" i="43"/>
  <c r="O322" i="43"/>
  <c r="O323" i="43"/>
  <c r="O324" i="43"/>
  <c r="O325" i="43"/>
  <c r="O326" i="43"/>
  <c r="O327" i="43"/>
  <c r="O328" i="43"/>
  <c r="O329" i="43"/>
  <c r="O330" i="43"/>
  <c r="O331" i="43"/>
  <c r="O332" i="43"/>
  <c r="O333" i="43"/>
  <c r="O334" i="43"/>
  <c r="O335" i="43"/>
  <c r="O336" i="43"/>
  <c r="O337" i="43"/>
  <c r="O338" i="43"/>
  <c r="O339" i="43"/>
  <c r="O340" i="43"/>
  <c r="O341" i="43"/>
  <c r="O342" i="43"/>
  <c r="O343" i="43"/>
  <c r="O344" i="43"/>
  <c r="O345" i="43"/>
  <c r="O346" i="43"/>
  <c r="O347" i="43"/>
  <c r="O348" i="43"/>
  <c r="O349" i="43"/>
  <c r="O350" i="43"/>
  <c r="O351" i="43"/>
  <c r="O352" i="43"/>
  <c r="O353" i="43"/>
  <c r="O354" i="43"/>
  <c r="O355" i="43"/>
  <c r="O356" i="43"/>
  <c r="O357" i="43"/>
  <c r="O358" i="43"/>
  <c r="O359" i="43"/>
  <c r="O360" i="43"/>
  <c r="O361" i="43"/>
  <c r="O362" i="43"/>
  <c r="N301" i="43"/>
  <c r="N302" i="43"/>
  <c r="N303" i="43"/>
  <c r="N304" i="43"/>
  <c r="N305" i="43"/>
  <c r="N306" i="43"/>
  <c r="N307" i="43"/>
  <c r="N308" i="43"/>
  <c r="N309" i="43"/>
  <c r="N310" i="43"/>
  <c r="N311" i="43"/>
  <c r="N312" i="43"/>
  <c r="N313" i="43"/>
  <c r="N314" i="43"/>
  <c r="N315" i="43"/>
  <c r="N316" i="43"/>
  <c r="N317" i="43"/>
  <c r="N318" i="43"/>
  <c r="N319" i="43"/>
  <c r="N320" i="43"/>
  <c r="N321" i="43"/>
  <c r="N322" i="43"/>
  <c r="N323" i="43"/>
  <c r="N324" i="43"/>
  <c r="N325" i="43"/>
  <c r="N326" i="43"/>
  <c r="N327" i="43"/>
  <c r="N328" i="43"/>
  <c r="N329" i="43"/>
  <c r="N330" i="43"/>
  <c r="N331" i="43"/>
  <c r="N332" i="43"/>
  <c r="N333" i="43"/>
  <c r="N334" i="43"/>
  <c r="N335" i="43"/>
  <c r="N336" i="43"/>
  <c r="N337" i="43"/>
  <c r="N338" i="43"/>
  <c r="N339" i="43"/>
  <c r="N340" i="43"/>
  <c r="N341" i="43"/>
  <c r="N342" i="43"/>
  <c r="N343" i="43"/>
  <c r="N344" i="43"/>
  <c r="N345" i="43"/>
  <c r="N346" i="43"/>
  <c r="N347" i="43"/>
  <c r="N348" i="43"/>
  <c r="N349" i="43"/>
  <c r="N350" i="43"/>
  <c r="N351" i="43"/>
  <c r="N352" i="43"/>
  <c r="N353" i="43"/>
  <c r="N354" i="43"/>
  <c r="N355" i="43"/>
  <c r="N356" i="43"/>
  <c r="N357" i="43"/>
  <c r="N358" i="43"/>
  <c r="N359" i="43"/>
  <c r="N360" i="43"/>
  <c r="N361" i="43"/>
  <c r="N362" i="43"/>
  <c r="M301" i="43"/>
  <c r="M302" i="43"/>
  <c r="M303" i="43"/>
  <c r="M304" i="43"/>
  <c r="M305" i="43"/>
  <c r="M306" i="43"/>
  <c r="M307" i="43"/>
  <c r="M308" i="43"/>
  <c r="M309" i="43"/>
  <c r="M310" i="43"/>
  <c r="M311" i="43"/>
  <c r="M312" i="43"/>
  <c r="M313" i="43"/>
  <c r="M314" i="43"/>
  <c r="M315" i="43"/>
  <c r="M316" i="43"/>
  <c r="M317" i="43"/>
  <c r="M318" i="43"/>
  <c r="M319" i="43"/>
  <c r="M320" i="43"/>
  <c r="M321" i="43"/>
  <c r="M322" i="43"/>
  <c r="M323" i="43"/>
  <c r="M324" i="43"/>
  <c r="M325" i="43"/>
  <c r="M326" i="43"/>
  <c r="M327" i="43"/>
  <c r="M328" i="43"/>
  <c r="M329" i="43"/>
  <c r="M330" i="43"/>
  <c r="M331" i="43"/>
  <c r="M332" i="43"/>
  <c r="M333" i="43"/>
  <c r="M334" i="43"/>
  <c r="M335" i="43"/>
  <c r="M336" i="43"/>
  <c r="M337" i="43"/>
  <c r="M338" i="43"/>
  <c r="M339" i="43"/>
  <c r="M340" i="43"/>
  <c r="M341" i="43"/>
  <c r="M342" i="43"/>
  <c r="M343" i="43"/>
  <c r="M344" i="43"/>
  <c r="M345" i="43"/>
  <c r="M346" i="43"/>
  <c r="M347" i="43"/>
  <c r="M348" i="43"/>
  <c r="M349" i="43"/>
  <c r="M350" i="43"/>
  <c r="M351" i="43"/>
  <c r="M352" i="43"/>
  <c r="M353" i="43"/>
  <c r="M354" i="43"/>
  <c r="M355" i="43"/>
  <c r="M356" i="43"/>
  <c r="M357" i="43"/>
  <c r="M358" i="43"/>
  <c r="M359" i="43"/>
  <c r="M360" i="43"/>
  <c r="M361" i="43"/>
  <c r="M362" i="43"/>
  <c r="L301" i="43"/>
  <c r="L302" i="43"/>
  <c r="L303" i="43"/>
  <c r="L304" i="43"/>
  <c r="L305" i="43"/>
  <c r="L306" i="43"/>
  <c r="L307" i="43"/>
  <c r="L308" i="43"/>
  <c r="L309" i="43"/>
  <c r="L310" i="43"/>
  <c r="L311" i="43"/>
  <c r="L312" i="43"/>
  <c r="L313" i="43"/>
  <c r="L314" i="43"/>
  <c r="L315" i="43"/>
  <c r="L316" i="43"/>
  <c r="L317" i="43"/>
  <c r="L318" i="43"/>
  <c r="L319" i="43"/>
  <c r="L320" i="43"/>
  <c r="L321" i="43"/>
  <c r="L322" i="43"/>
  <c r="L323" i="43"/>
  <c r="L324" i="43"/>
  <c r="L325" i="43"/>
  <c r="L326" i="43"/>
  <c r="L327" i="43"/>
  <c r="L328" i="43"/>
  <c r="L329" i="43"/>
  <c r="L330" i="43"/>
  <c r="L331" i="43"/>
  <c r="L332" i="43"/>
  <c r="L333" i="43"/>
  <c r="L334" i="43"/>
  <c r="L335" i="43"/>
  <c r="L336" i="43"/>
  <c r="L337" i="43"/>
  <c r="L338" i="43"/>
  <c r="L339" i="43"/>
  <c r="L340" i="43"/>
  <c r="L341" i="43"/>
  <c r="L342" i="43"/>
  <c r="L343" i="43"/>
  <c r="L344" i="43"/>
  <c r="L345" i="43"/>
  <c r="L346" i="43"/>
  <c r="L347" i="43"/>
  <c r="L348" i="43"/>
  <c r="L349" i="43"/>
  <c r="L350" i="43"/>
  <c r="L351" i="43"/>
  <c r="L352" i="43"/>
  <c r="L353" i="43"/>
  <c r="L354" i="43"/>
  <c r="L355" i="43"/>
  <c r="L356" i="43"/>
  <c r="L357" i="43"/>
  <c r="L358" i="43"/>
  <c r="L359" i="43"/>
  <c r="L360" i="43"/>
  <c r="L361" i="43"/>
  <c r="L362" i="43"/>
  <c r="K301" i="43"/>
  <c r="K302" i="43"/>
  <c r="K303" i="43"/>
  <c r="K304" i="43"/>
  <c r="K305" i="43"/>
  <c r="K306" i="43"/>
  <c r="K307" i="43"/>
  <c r="K308" i="43"/>
  <c r="K309" i="43"/>
  <c r="K310" i="43"/>
  <c r="K311" i="43"/>
  <c r="K312" i="43"/>
  <c r="K313" i="43"/>
  <c r="K314" i="43"/>
  <c r="K315" i="43"/>
  <c r="K316" i="43"/>
  <c r="K317" i="43"/>
  <c r="K318" i="43"/>
  <c r="K319" i="43"/>
  <c r="K320" i="43"/>
  <c r="K321" i="43"/>
  <c r="K322" i="43"/>
  <c r="K323" i="43"/>
  <c r="K324" i="43"/>
  <c r="K325" i="43"/>
  <c r="K326" i="43"/>
  <c r="K327" i="43"/>
  <c r="K328" i="43"/>
  <c r="K329" i="43"/>
  <c r="K330" i="43"/>
  <c r="K331" i="43"/>
  <c r="K332" i="43"/>
  <c r="K333" i="43"/>
  <c r="K334" i="43"/>
  <c r="K335" i="43"/>
  <c r="K336" i="43"/>
  <c r="K337" i="43"/>
  <c r="K338" i="43"/>
  <c r="K339" i="43"/>
  <c r="K340" i="43"/>
  <c r="K341" i="43"/>
  <c r="K342" i="43"/>
  <c r="K343" i="43"/>
  <c r="K344" i="43"/>
  <c r="K345" i="43"/>
  <c r="K346" i="43"/>
  <c r="K347" i="43"/>
  <c r="K348" i="43"/>
  <c r="K349" i="43"/>
  <c r="K350" i="43"/>
  <c r="K351" i="43"/>
  <c r="K352" i="43"/>
  <c r="K353" i="43"/>
  <c r="K354" i="43"/>
  <c r="K355" i="43"/>
  <c r="K356" i="43"/>
  <c r="K357" i="43"/>
  <c r="K358" i="43"/>
  <c r="K359" i="43"/>
  <c r="K360" i="43"/>
  <c r="K361" i="43"/>
  <c r="K362" i="43"/>
  <c r="J301" i="43"/>
  <c r="J302" i="43"/>
  <c r="J303" i="43"/>
  <c r="J304" i="43"/>
  <c r="J305" i="43"/>
  <c r="J306" i="43"/>
  <c r="J307" i="43"/>
  <c r="J308" i="43"/>
  <c r="J309" i="43"/>
  <c r="J310" i="43"/>
  <c r="J311" i="43"/>
  <c r="J312" i="43"/>
  <c r="J313" i="43"/>
  <c r="J314" i="43"/>
  <c r="J315" i="43"/>
  <c r="J316" i="43"/>
  <c r="J317" i="43"/>
  <c r="J318" i="43"/>
  <c r="J319" i="43"/>
  <c r="J320" i="43"/>
  <c r="J321" i="43"/>
  <c r="J322" i="43"/>
  <c r="J323" i="43"/>
  <c r="J324" i="43"/>
  <c r="J325" i="43"/>
  <c r="J326" i="43"/>
  <c r="J327" i="43"/>
  <c r="J328" i="43"/>
  <c r="J329" i="43"/>
  <c r="J330" i="43"/>
  <c r="J331" i="43"/>
  <c r="J332" i="43"/>
  <c r="J333" i="43"/>
  <c r="J334" i="43"/>
  <c r="J335" i="43"/>
  <c r="J336" i="43"/>
  <c r="J337" i="43"/>
  <c r="J338" i="43"/>
  <c r="J339" i="43"/>
  <c r="J340" i="43"/>
  <c r="J341" i="43"/>
  <c r="J342" i="43"/>
  <c r="J343" i="43"/>
  <c r="J344" i="43"/>
  <c r="J345" i="43"/>
  <c r="J346" i="43"/>
  <c r="J347" i="43"/>
  <c r="J348" i="43"/>
  <c r="J349" i="43"/>
  <c r="J350" i="43"/>
  <c r="J351" i="43"/>
  <c r="J352" i="43"/>
  <c r="J353" i="43"/>
  <c r="J354" i="43"/>
  <c r="J355" i="43"/>
  <c r="J356" i="43"/>
  <c r="J357" i="43"/>
  <c r="J358" i="43"/>
  <c r="J359" i="43"/>
  <c r="J360" i="43"/>
  <c r="J361" i="43"/>
  <c r="J362" i="43"/>
  <c r="I301" i="43"/>
  <c r="I302" i="43"/>
  <c r="I303" i="43"/>
  <c r="I304" i="43"/>
  <c r="I305" i="43"/>
  <c r="I306" i="43"/>
  <c r="I307" i="43"/>
  <c r="I308" i="43"/>
  <c r="I309" i="43"/>
  <c r="I310" i="43"/>
  <c r="I311" i="43"/>
  <c r="I312" i="43"/>
  <c r="I313" i="43"/>
  <c r="I314" i="43"/>
  <c r="I315" i="43"/>
  <c r="I316" i="43"/>
  <c r="I317" i="43"/>
  <c r="I318" i="43"/>
  <c r="I319" i="43"/>
  <c r="I320" i="43"/>
  <c r="I321" i="43"/>
  <c r="I322" i="43"/>
  <c r="I323" i="43"/>
  <c r="I324" i="43"/>
  <c r="I325" i="43"/>
  <c r="I326" i="43"/>
  <c r="I327" i="43"/>
  <c r="I328" i="43"/>
  <c r="I329" i="43"/>
  <c r="I330" i="43"/>
  <c r="I331" i="43"/>
  <c r="I332" i="43"/>
  <c r="I333" i="43"/>
  <c r="I334" i="43"/>
  <c r="I335" i="43"/>
  <c r="I336" i="43"/>
  <c r="I337" i="43"/>
  <c r="I338" i="43"/>
  <c r="I339" i="43"/>
  <c r="I340" i="43"/>
  <c r="I341" i="43"/>
  <c r="I342" i="43"/>
  <c r="I343" i="43"/>
  <c r="I344" i="43"/>
  <c r="I345" i="43"/>
  <c r="I346" i="43"/>
  <c r="I347" i="43"/>
  <c r="I348" i="43"/>
  <c r="I349" i="43"/>
  <c r="I350" i="43"/>
  <c r="I351" i="43"/>
  <c r="I352" i="43"/>
  <c r="I353" i="43"/>
  <c r="I354" i="43"/>
  <c r="I355" i="43"/>
  <c r="I356" i="43"/>
  <c r="I357" i="43"/>
  <c r="I358" i="43"/>
  <c r="I359" i="43"/>
  <c r="I360" i="43"/>
  <c r="I361" i="43"/>
  <c r="I362" i="43"/>
  <c r="H301" i="43"/>
  <c r="H302" i="43"/>
  <c r="H303" i="43"/>
  <c r="H304" i="43"/>
  <c r="H305" i="43"/>
  <c r="H306" i="43"/>
  <c r="H307" i="43"/>
  <c r="H308" i="43"/>
  <c r="H309" i="43"/>
  <c r="H310" i="43"/>
  <c r="H311" i="43"/>
  <c r="H312" i="43"/>
  <c r="H313" i="43"/>
  <c r="H314" i="43"/>
  <c r="H315" i="43"/>
  <c r="H316" i="43"/>
  <c r="H317" i="43"/>
  <c r="H318" i="43"/>
  <c r="H319" i="43"/>
  <c r="H320" i="43"/>
  <c r="H321" i="43"/>
  <c r="H322" i="43"/>
  <c r="H323" i="43"/>
  <c r="H324" i="43"/>
  <c r="H325" i="43"/>
  <c r="H326" i="43"/>
  <c r="H327" i="43"/>
  <c r="H328" i="43"/>
  <c r="H329" i="43"/>
  <c r="H330" i="43"/>
  <c r="H331" i="43"/>
  <c r="H332" i="43"/>
  <c r="H333" i="43"/>
  <c r="H334" i="43"/>
  <c r="H335" i="43"/>
  <c r="H336" i="43"/>
  <c r="H337" i="43"/>
  <c r="H338" i="43"/>
  <c r="H339" i="43"/>
  <c r="H340" i="43"/>
  <c r="H341" i="43"/>
  <c r="H342" i="43"/>
  <c r="H343" i="43"/>
  <c r="H344" i="43"/>
  <c r="H345" i="43"/>
  <c r="H346" i="43"/>
  <c r="H347" i="43"/>
  <c r="H348" i="43"/>
  <c r="H349" i="43"/>
  <c r="H350" i="43"/>
  <c r="H351" i="43"/>
  <c r="H352" i="43"/>
  <c r="H353" i="43"/>
  <c r="H354" i="43"/>
  <c r="H355" i="43"/>
  <c r="H356" i="43"/>
  <c r="H357" i="43"/>
  <c r="H358" i="43"/>
  <c r="H359" i="43"/>
  <c r="H360" i="43"/>
  <c r="H361" i="43"/>
  <c r="H362" i="43"/>
  <c r="G301" i="43"/>
  <c r="G302" i="43"/>
  <c r="G303" i="43"/>
  <c r="G304" i="43"/>
  <c r="G305" i="43"/>
  <c r="G306" i="43"/>
  <c r="G307" i="43"/>
  <c r="G308" i="43"/>
  <c r="G309" i="43"/>
  <c r="G310" i="43"/>
  <c r="G311" i="43"/>
  <c r="G312" i="43"/>
  <c r="G313" i="43"/>
  <c r="G314" i="43"/>
  <c r="G315" i="43"/>
  <c r="G316" i="43"/>
  <c r="G317" i="43"/>
  <c r="G318" i="43"/>
  <c r="G319" i="43"/>
  <c r="G320" i="43"/>
  <c r="G321" i="43"/>
  <c r="G322" i="43"/>
  <c r="G323" i="43"/>
  <c r="G324" i="43"/>
  <c r="G325" i="43"/>
  <c r="G326" i="43"/>
  <c r="G327" i="43"/>
  <c r="G328" i="43"/>
  <c r="G329" i="43"/>
  <c r="G330" i="43"/>
  <c r="G331" i="43"/>
  <c r="G332" i="43"/>
  <c r="G333" i="43"/>
  <c r="G334" i="43"/>
  <c r="G335" i="43"/>
  <c r="G336" i="43"/>
  <c r="G337" i="43"/>
  <c r="G338" i="43"/>
  <c r="G339" i="43"/>
  <c r="G340" i="43"/>
  <c r="G341" i="43"/>
  <c r="G342" i="43"/>
  <c r="G343" i="43"/>
  <c r="G344" i="43"/>
  <c r="G345" i="43"/>
  <c r="G346" i="43"/>
  <c r="G347" i="43"/>
  <c r="G348" i="43"/>
  <c r="G349" i="43"/>
  <c r="G350" i="43"/>
  <c r="G351" i="43"/>
  <c r="G352" i="43"/>
  <c r="G353" i="43"/>
  <c r="G354" i="43"/>
  <c r="G355" i="43"/>
  <c r="G356" i="43"/>
  <c r="G357" i="43"/>
  <c r="G358" i="43"/>
  <c r="G359" i="43"/>
  <c r="G360" i="43"/>
  <c r="G361" i="43"/>
  <c r="G362" i="43"/>
  <c r="F301" i="43"/>
  <c r="F302" i="43"/>
  <c r="F303" i="43"/>
  <c r="F304" i="43"/>
  <c r="F305" i="43"/>
  <c r="F306" i="43"/>
  <c r="F307" i="43"/>
  <c r="F308" i="43"/>
  <c r="F309" i="43"/>
  <c r="F310" i="43"/>
  <c r="F311" i="43"/>
  <c r="F312" i="43"/>
  <c r="F313" i="43"/>
  <c r="F314" i="43"/>
  <c r="F315" i="43"/>
  <c r="F316" i="43"/>
  <c r="F317" i="43"/>
  <c r="F318" i="43"/>
  <c r="F319" i="43"/>
  <c r="F320" i="43"/>
  <c r="F321" i="43"/>
  <c r="F322" i="43"/>
  <c r="F323" i="43"/>
  <c r="F324" i="43"/>
  <c r="F325" i="43"/>
  <c r="F326" i="43"/>
  <c r="F327" i="43"/>
  <c r="F328" i="43"/>
  <c r="F329" i="43"/>
  <c r="F330" i="43"/>
  <c r="F331" i="43"/>
  <c r="F332" i="43"/>
  <c r="F333" i="43"/>
  <c r="F334" i="43"/>
  <c r="F335" i="43"/>
  <c r="F336" i="43"/>
  <c r="F337" i="43"/>
  <c r="F338" i="43"/>
  <c r="F339" i="43"/>
  <c r="F340" i="43"/>
  <c r="F341" i="43"/>
  <c r="F342" i="43"/>
  <c r="F343" i="43"/>
  <c r="F344" i="43"/>
  <c r="F345" i="43"/>
  <c r="F346" i="43"/>
  <c r="F347" i="43"/>
  <c r="F348" i="43"/>
  <c r="F349" i="43"/>
  <c r="F350" i="43"/>
  <c r="F351" i="43"/>
  <c r="F352" i="43"/>
  <c r="F353" i="43"/>
  <c r="F354" i="43"/>
  <c r="F355" i="43"/>
  <c r="F356" i="43"/>
  <c r="F357" i="43"/>
  <c r="F358" i="43"/>
  <c r="F359" i="43"/>
  <c r="F360" i="43"/>
  <c r="F361" i="43"/>
  <c r="F362" i="43"/>
  <c r="E301" i="43"/>
  <c r="E302" i="43"/>
  <c r="E303" i="43"/>
  <c r="E304" i="43"/>
  <c r="E305" i="43"/>
  <c r="E306" i="43"/>
  <c r="E307" i="43"/>
  <c r="E308" i="43"/>
  <c r="E309" i="43"/>
  <c r="E310" i="43"/>
  <c r="E311" i="43"/>
  <c r="E312" i="43"/>
  <c r="E313" i="43"/>
  <c r="E314" i="43"/>
  <c r="E315" i="43"/>
  <c r="E316" i="43"/>
  <c r="E317" i="43"/>
  <c r="E318" i="43"/>
  <c r="E319" i="43"/>
  <c r="E320" i="43"/>
  <c r="E321" i="43"/>
  <c r="E322" i="43"/>
  <c r="E323" i="43"/>
  <c r="E324" i="43"/>
  <c r="E325" i="43"/>
  <c r="E326" i="43"/>
  <c r="E327" i="43"/>
  <c r="E328" i="43"/>
  <c r="E329" i="43"/>
  <c r="E330" i="43"/>
  <c r="E331" i="43"/>
  <c r="E332" i="43"/>
  <c r="E333" i="43"/>
  <c r="E334" i="43"/>
  <c r="E335" i="43"/>
  <c r="E336" i="43"/>
  <c r="E337" i="43"/>
  <c r="E338" i="43"/>
  <c r="E339" i="43"/>
  <c r="E340" i="43"/>
  <c r="E341" i="43"/>
  <c r="E342" i="43"/>
  <c r="E343" i="43"/>
  <c r="E344" i="43"/>
  <c r="E345" i="43"/>
  <c r="E346" i="43"/>
  <c r="E347" i="43"/>
  <c r="E348" i="43"/>
  <c r="E349" i="43"/>
  <c r="E350" i="43"/>
  <c r="E351" i="43"/>
  <c r="E352" i="43"/>
  <c r="E353" i="43"/>
  <c r="E354" i="43"/>
  <c r="E355" i="43"/>
  <c r="E356" i="43"/>
  <c r="E357" i="43"/>
  <c r="E358" i="43"/>
  <c r="E359" i="43"/>
  <c r="E360" i="43"/>
  <c r="E361" i="43"/>
  <c r="E362" i="43"/>
  <c r="D301" i="43"/>
  <c r="D302" i="43"/>
  <c r="D303" i="43"/>
  <c r="D304" i="43"/>
  <c r="D305" i="43"/>
  <c r="D306" i="43"/>
  <c r="D307" i="43"/>
  <c r="D308" i="43"/>
  <c r="D309" i="43"/>
  <c r="D310" i="43"/>
  <c r="D311" i="43"/>
  <c r="D312" i="43"/>
  <c r="D313" i="43"/>
  <c r="D314" i="43"/>
  <c r="D315" i="43"/>
  <c r="D316" i="43"/>
  <c r="D317" i="43"/>
  <c r="D318" i="43"/>
  <c r="D319" i="43"/>
  <c r="D320" i="43"/>
  <c r="D321" i="43"/>
  <c r="D322" i="43"/>
  <c r="D323" i="43"/>
  <c r="D324" i="43"/>
  <c r="D325" i="43"/>
  <c r="D326" i="43"/>
  <c r="D327" i="43"/>
  <c r="D328" i="43"/>
  <c r="D329" i="43"/>
  <c r="D330" i="43"/>
  <c r="D331" i="43"/>
  <c r="D332" i="43"/>
  <c r="D333" i="43"/>
  <c r="D334" i="43"/>
  <c r="D335" i="43"/>
  <c r="D336" i="43"/>
  <c r="D337" i="43"/>
  <c r="D338" i="43"/>
  <c r="D339" i="43"/>
  <c r="D340" i="43"/>
  <c r="D341" i="43"/>
  <c r="D342" i="43"/>
  <c r="D343" i="43"/>
  <c r="D344" i="43"/>
  <c r="D345" i="43"/>
  <c r="D346" i="43"/>
  <c r="D347" i="43"/>
  <c r="D348" i="43"/>
  <c r="D349" i="43"/>
  <c r="D350" i="43"/>
  <c r="D351" i="43"/>
  <c r="D352" i="43"/>
  <c r="D353" i="43"/>
  <c r="D354" i="43"/>
  <c r="D355" i="43"/>
  <c r="D356" i="43"/>
  <c r="D357" i="43"/>
  <c r="D358" i="43"/>
  <c r="D359" i="43"/>
  <c r="D360" i="43"/>
  <c r="D361" i="43"/>
  <c r="D362" i="43"/>
  <c r="C301" i="43"/>
  <c r="C302" i="43"/>
  <c r="C303" i="43"/>
  <c r="C304" i="43"/>
  <c r="C305" i="43"/>
  <c r="C306" i="43"/>
  <c r="C307" i="43"/>
  <c r="C308" i="43"/>
  <c r="C309" i="43"/>
  <c r="C310" i="43"/>
  <c r="C311" i="43"/>
  <c r="C312" i="43"/>
  <c r="C313" i="43"/>
  <c r="C314" i="43"/>
  <c r="C315" i="43"/>
  <c r="C316" i="43"/>
  <c r="C317" i="43"/>
  <c r="C318" i="43"/>
  <c r="C319" i="43"/>
  <c r="C320" i="43"/>
  <c r="C321" i="43"/>
  <c r="C322" i="43"/>
  <c r="C323" i="43"/>
  <c r="C324" i="43"/>
  <c r="C325" i="43"/>
  <c r="C326" i="43"/>
  <c r="C327" i="43"/>
  <c r="C328" i="43"/>
  <c r="C329" i="43"/>
  <c r="C330" i="43"/>
  <c r="C331" i="43"/>
  <c r="C332" i="43"/>
  <c r="C333" i="43"/>
  <c r="C334" i="43"/>
  <c r="C335" i="43"/>
  <c r="C336" i="43"/>
  <c r="C337" i="43"/>
  <c r="C338" i="43"/>
  <c r="C339" i="43"/>
  <c r="C340" i="43"/>
  <c r="C341" i="43"/>
  <c r="C342" i="43"/>
  <c r="C343" i="43"/>
  <c r="C344" i="43"/>
  <c r="C345" i="43"/>
  <c r="C346" i="43"/>
  <c r="C347" i="43"/>
  <c r="C348" i="43"/>
  <c r="C349" i="43"/>
  <c r="C350" i="43"/>
  <c r="C351" i="43"/>
  <c r="C352" i="43"/>
  <c r="C353" i="43"/>
  <c r="C354" i="43"/>
  <c r="C355" i="43"/>
  <c r="C356" i="43"/>
  <c r="C357" i="43"/>
  <c r="C358" i="43"/>
  <c r="C359" i="43"/>
  <c r="C360" i="43"/>
  <c r="C361" i="43"/>
  <c r="C362" i="43"/>
  <c r="B301" i="43"/>
  <c r="B302" i="43"/>
  <c r="B303" i="43"/>
  <c r="B304" i="43"/>
  <c r="B305" i="43"/>
  <c r="B306" i="43"/>
  <c r="B307" i="43"/>
  <c r="B308" i="43"/>
  <c r="B309" i="43"/>
  <c r="B310" i="43"/>
  <c r="B311" i="43"/>
  <c r="B312" i="43"/>
  <c r="B313" i="43"/>
  <c r="B314" i="43"/>
  <c r="B315" i="43"/>
  <c r="B316" i="43"/>
  <c r="B317" i="43"/>
  <c r="B318" i="43"/>
  <c r="B319" i="43"/>
  <c r="B320" i="43"/>
  <c r="B321" i="43"/>
  <c r="B322" i="43"/>
  <c r="B323" i="43"/>
  <c r="B324" i="43"/>
  <c r="B325" i="43"/>
  <c r="B326" i="43"/>
  <c r="B327" i="43"/>
  <c r="B328" i="43"/>
  <c r="B329" i="43"/>
  <c r="B330" i="43"/>
  <c r="B331" i="43"/>
  <c r="B332" i="43"/>
  <c r="B333" i="43"/>
  <c r="B334" i="43"/>
  <c r="B335" i="43"/>
  <c r="B336" i="43"/>
  <c r="B337" i="43"/>
  <c r="B338" i="43"/>
  <c r="B339" i="43"/>
  <c r="B340" i="43"/>
  <c r="B341" i="43"/>
  <c r="B342" i="43"/>
  <c r="B343" i="43"/>
  <c r="B344" i="43"/>
  <c r="B345" i="43"/>
  <c r="B346" i="43"/>
  <c r="B347" i="43"/>
  <c r="B348" i="43"/>
  <c r="B349" i="43"/>
  <c r="B350" i="43"/>
  <c r="B351" i="43"/>
  <c r="B352" i="43"/>
  <c r="B353" i="43"/>
  <c r="B354" i="43"/>
  <c r="B355" i="43"/>
  <c r="B356" i="43"/>
  <c r="B357" i="43"/>
  <c r="B358" i="43"/>
  <c r="B359" i="43"/>
  <c r="B360" i="43"/>
  <c r="B361" i="43"/>
  <c r="B362" i="43"/>
  <c r="P10" i="28"/>
  <c r="P11" i="28"/>
  <c r="P12" i="28"/>
  <c r="P13" i="28"/>
  <c r="P14" i="28"/>
  <c r="P15" i="28"/>
  <c r="P16" i="28"/>
  <c r="P17" i="28"/>
  <c r="P18" i="28"/>
  <c r="P19" i="28"/>
  <c r="P20" i="28"/>
  <c r="P21" i="28"/>
  <c r="P22" i="28"/>
  <c r="P23" i="28"/>
  <c r="P24" i="28"/>
  <c r="P25" i="28"/>
  <c r="P26" i="28"/>
  <c r="P27" i="28"/>
  <c r="P28" i="28"/>
  <c r="P29" i="28"/>
  <c r="P30" i="28"/>
  <c r="P31" i="28"/>
  <c r="P32" i="28"/>
  <c r="P33" i="28"/>
  <c r="P34" i="28"/>
  <c r="P35" i="28"/>
  <c r="P36" i="28"/>
  <c r="P37" i="28"/>
  <c r="P38" i="28"/>
  <c r="P39" i="28"/>
  <c r="P40" i="28"/>
  <c r="P41" i="28"/>
  <c r="P42" i="28"/>
  <c r="P43" i="28"/>
  <c r="P44" i="28"/>
  <c r="P45" i="28"/>
  <c r="P46" i="28"/>
  <c r="P47" i="28"/>
  <c r="P48" i="28"/>
  <c r="P49" i="28"/>
  <c r="P50" i="28"/>
  <c r="P51" i="28"/>
  <c r="P52" i="28"/>
  <c r="P53" i="28"/>
  <c r="P54" i="28"/>
  <c r="P55" i="28"/>
  <c r="P56" i="28"/>
  <c r="P57" i="28"/>
  <c r="P58" i="28"/>
  <c r="P59" i="28"/>
  <c r="P60" i="28"/>
  <c r="P61" i="28"/>
  <c r="P62" i="28"/>
  <c r="P63" i="28"/>
  <c r="P64" i="28"/>
  <c r="P65" i="28"/>
  <c r="P66" i="28"/>
  <c r="P67" i="28"/>
  <c r="P68" i="28"/>
  <c r="P69" i="28"/>
  <c r="P70" i="28"/>
  <c r="P71" i="28"/>
  <c r="P72" i="28"/>
  <c r="P73" i="28"/>
  <c r="P74" i="28"/>
  <c r="P75" i="28"/>
  <c r="P76" i="28"/>
  <c r="P77" i="28"/>
  <c r="P78" i="28"/>
  <c r="P79" i="28"/>
  <c r="P80" i="28"/>
  <c r="P81" i="28"/>
  <c r="P82" i="28"/>
  <c r="P83" i="28"/>
  <c r="P84" i="28"/>
  <c r="P85" i="28"/>
  <c r="P86" i="28"/>
  <c r="P87" i="28"/>
  <c r="P88" i="28"/>
  <c r="P89" i="28"/>
  <c r="P90" i="28"/>
  <c r="P91" i="28"/>
  <c r="P92" i="28"/>
  <c r="P93" i="28"/>
  <c r="P94" i="28"/>
  <c r="P95" i="28"/>
  <c r="P96" i="28"/>
  <c r="P97" i="28"/>
  <c r="P98" i="28"/>
  <c r="P99" i="28"/>
  <c r="P100" i="28"/>
  <c r="P101" i="28"/>
  <c r="P102" i="28"/>
  <c r="P103" i="28"/>
  <c r="P104" i="28"/>
  <c r="P105" i="28"/>
  <c r="P106" i="28"/>
  <c r="P107" i="28"/>
  <c r="P108" i="28"/>
  <c r="P109" i="28"/>
  <c r="P110" i="28"/>
  <c r="P111" i="28"/>
  <c r="P112" i="28"/>
  <c r="P113" i="28"/>
  <c r="P114" i="28"/>
  <c r="P115" i="28"/>
  <c r="P116" i="28"/>
  <c r="P117" i="28"/>
  <c r="P118" i="28"/>
  <c r="P119" i="28"/>
  <c r="P120" i="28"/>
  <c r="P121" i="28"/>
  <c r="P122" i="28"/>
  <c r="P123" i="28"/>
  <c r="P124" i="28"/>
  <c r="P125" i="28"/>
  <c r="P126" i="28"/>
  <c r="P127" i="28"/>
  <c r="P128" i="28"/>
  <c r="P129" i="28"/>
  <c r="P130" i="28"/>
  <c r="P131" i="28"/>
  <c r="P132" i="28"/>
  <c r="P133" i="28"/>
  <c r="P134" i="28"/>
  <c r="P135" i="28"/>
  <c r="P136" i="28"/>
  <c r="P137" i="28"/>
  <c r="P138" i="28"/>
  <c r="P139" i="28"/>
  <c r="P140" i="28"/>
  <c r="P141" i="28"/>
  <c r="P142" i="28"/>
  <c r="P143" i="28"/>
  <c r="P144" i="28"/>
  <c r="P145" i="28"/>
  <c r="P146" i="28"/>
  <c r="P147" i="28"/>
  <c r="P148" i="28"/>
  <c r="P149" i="28"/>
  <c r="P150" i="28"/>
  <c r="P151" i="28"/>
  <c r="P152" i="28"/>
  <c r="P153" i="28"/>
  <c r="P154" i="28"/>
  <c r="P155" i="28"/>
  <c r="P156" i="28"/>
  <c r="P157" i="28"/>
  <c r="P158" i="28"/>
  <c r="P159" i="28"/>
  <c r="P160" i="28"/>
  <c r="P161" i="28"/>
  <c r="P162" i="28"/>
  <c r="P163" i="28"/>
  <c r="P164" i="28"/>
  <c r="P165" i="28"/>
  <c r="P166" i="28"/>
  <c r="P167" i="28"/>
  <c r="P168" i="28"/>
  <c r="P169" i="28"/>
  <c r="P170" i="28"/>
  <c r="P171" i="28"/>
  <c r="P172" i="28"/>
  <c r="P173" i="28"/>
  <c r="P174" i="28"/>
  <c r="P175" i="28"/>
  <c r="P176" i="28"/>
  <c r="P177" i="28"/>
  <c r="P178" i="28"/>
  <c r="P179" i="28"/>
  <c r="P180" i="28"/>
  <c r="P181" i="28"/>
  <c r="P182" i="28"/>
  <c r="P183" i="28"/>
  <c r="P184" i="28"/>
  <c r="P185" i="28"/>
  <c r="P186" i="28"/>
  <c r="P187" i="28"/>
  <c r="P188" i="28"/>
  <c r="P189" i="28"/>
  <c r="P190" i="28"/>
  <c r="P191" i="28"/>
  <c r="P192" i="28"/>
  <c r="P193" i="28"/>
  <c r="P194" i="28"/>
  <c r="P195" i="28"/>
  <c r="P196" i="28"/>
  <c r="P197" i="28"/>
  <c r="P198" i="28"/>
  <c r="P199" i="28"/>
  <c r="P200" i="28"/>
  <c r="P201" i="28"/>
  <c r="P202" i="28"/>
  <c r="P203" i="28"/>
  <c r="P204" i="28"/>
  <c r="P205" i="28"/>
  <c r="P206" i="28"/>
  <c r="P207" i="28"/>
  <c r="P208" i="28"/>
  <c r="P209" i="28"/>
  <c r="P210" i="28"/>
  <c r="P211" i="28"/>
  <c r="P212" i="28"/>
  <c r="P213" i="28"/>
  <c r="P214" i="28"/>
  <c r="P215" i="28"/>
  <c r="P216" i="28"/>
  <c r="P217" i="28"/>
  <c r="P218" i="28"/>
  <c r="P219" i="28"/>
  <c r="P220" i="28"/>
  <c r="P221" i="28"/>
  <c r="P222" i="28"/>
  <c r="P223" i="28"/>
  <c r="P224" i="28"/>
  <c r="P225" i="28"/>
  <c r="P226" i="28"/>
  <c r="P227" i="28"/>
  <c r="P228" i="28"/>
  <c r="P229" i="28"/>
  <c r="P230" i="28"/>
  <c r="P231" i="28"/>
  <c r="P232" i="28"/>
  <c r="P233" i="28"/>
  <c r="P234" i="28"/>
  <c r="P235" i="28"/>
  <c r="P236" i="28"/>
  <c r="P237" i="28"/>
  <c r="P238" i="28"/>
  <c r="P239" i="28"/>
  <c r="P240" i="28"/>
  <c r="P241" i="28"/>
  <c r="P242" i="28"/>
  <c r="P243" i="28"/>
  <c r="P244" i="28"/>
  <c r="P245" i="28"/>
  <c r="P246" i="28"/>
  <c r="P247" i="28"/>
  <c r="P248" i="28"/>
  <c r="P249" i="28"/>
  <c r="P250" i="28"/>
  <c r="P251" i="28"/>
  <c r="P252" i="28"/>
  <c r="P253" i="28"/>
  <c r="P254" i="28"/>
  <c r="P255" i="28"/>
  <c r="P256" i="28"/>
  <c r="P257" i="28"/>
  <c r="P258" i="28"/>
  <c r="P259" i="28"/>
  <c r="P260" i="28"/>
  <c r="P261" i="28"/>
  <c r="P262" i="28"/>
  <c r="P263" i="28"/>
  <c r="P264" i="28"/>
  <c r="P265" i="28"/>
  <c r="P266" i="28"/>
  <c r="P267" i="28"/>
  <c r="P268" i="28"/>
  <c r="P269" i="28"/>
  <c r="P270" i="28"/>
  <c r="P271" i="28"/>
  <c r="P272" i="28"/>
  <c r="P273" i="28"/>
  <c r="P274" i="28"/>
  <c r="P275" i="28"/>
  <c r="P276" i="28"/>
  <c r="P277" i="28"/>
  <c r="P278" i="28"/>
  <c r="P279" i="28"/>
  <c r="P280" i="28"/>
  <c r="P281" i="28"/>
  <c r="P282" i="28"/>
  <c r="P283" i="28"/>
  <c r="P284" i="28"/>
  <c r="P285" i="28"/>
  <c r="P286" i="28"/>
  <c r="P287" i="28"/>
  <c r="P288" i="28"/>
  <c r="P289" i="28"/>
  <c r="P290" i="28"/>
  <c r="P291" i="28"/>
  <c r="P292" i="28"/>
  <c r="P293" i="28"/>
  <c r="P294" i="28"/>
  <c r="P295" i="28"/>
  <c r="P296" i="28"/>
  <c r="P297" i="28"/>
  <c r="P298" i="28"/>
  <c r="P299" i="28"/>
  <c r="P300" i="28"/>
  <c r="P301" i="28"/>
  <c r="P302" i="28"/>
  <c r="P303" i="28"/>
  <c r="P304" i="28"/>
  <c r="P305" i="28"/>
  <c r="P306" i="28"/>
  <c r="P307" i="28"/>
  <c r="P308" i="28"/>
  <c r="P309" i="28"/>
  <c r="P310" i="28"/>
  <c r="P311" i="28"/>
  <c r="P312" i="28"/>
  <c r="P313" i="28"/>
  <c r="P314" i="28"/>
  <c r="P315" i="28"/>
  <c r="P316" i="28"/>
  <c r="P317" i="28"/>
  <c r="P318" i="28"/>
  <c r="P319" i="28"/>
  <c r="P320" i="28"/>
  <c r="P321" i="28"/>
  <c r="P322" i="28"/>
  <c r="P323" i="28"/>
  <c r="P324" i="28"/>
  <c r="P325" i="28"/>
  <c r="P326" i="28"/>
  <c r="P327" i="28"/>
  <c r="P328" i="28"/>
  <c r="P329" i="28"/>
  <c r="P330" i="28"/>
  <c r="P331" i="28"/>
  <c r="P332" i="28"/>
  <c r="P333" i="28"/>
  <c r="P334" i="28"/>
  <c r="P335" i="28"/>
  <c r="P336" i="28"/>
  <c r="P337" i="28"/>
  <c r="P338" i="28"/>
  <c r="P339" i="28"/>
  <c r="P340" i="28"/>
  <c r="P341" i="28"/>
  <c r="P342" i="28"/>
  <c r="P343" i="28"/>
  <c r="P344" i="28"/>
  <c r="P345" i="28"/>
  <c r="P346" i="28"/>
  <c r="P347" i="28"/>
  <c r="P348" i="28"/>
  <c r="P349" i="28"/>
  <c r="P350" i="28"/>
  <c r="P351" i="28"/>
  <c r="P352" i="28"/>
  <c r="P353" i="28"/>
  <c r="P354" i="28"/>
  <c r="P355" i="28"/>
  <c r="P356" i="28"/>
  <c r="P357" i="28"/>
  <c r="P358" i="28"/>
  <c r="P359" i="28"/>
  <c r="P360" i="28"/>
  <c r="P361" i="28"/>
  <c r="P362" i="28"/>
  <c r="P363" i="28"/>
  <c r="P364" i="28"/>
  <c r="P365" i="28"/>
  <c r="P366" i="28"/>
  <c r="P367" i="28"/>
  <c r="P368" i="28"/>
  <c r="P369" i="28"/>
  <c r="P370" i="28"/>
  <c r="P371" i="28"/>
  <c r="P372" i="28"/>
  <c r="P373" i="28"/>
  <c r="P374" i="28"/>
  <c r="P375" i="28"/>
  <c r="P376" i="28"/>
  <c r="P377" i="28"/>
  <c r="P378" i="28"/>
  <c r="P379" i="28"/>
  <c r="P380" i="28"/>
  <c r="P381" i="28"/>
  <c r="P382" i="28"/>
  <c r="P383" i="28"/>
  <c r="P384" i="28"/>
  <c r="P385" i="28"/>
  <c r="P386" i="28"/>
  <c r="P387" i="28"/>
  <c r="P388" i="28"/>
  <c r="P389" i="28"/>
  <c r="P390" i="28"/>
  <c r="P391" i="28"/>
  <c r="P392" i="28"/>
  <c r="P393" i="28"/>
  <c r="P394" i="28"/>
  <c r="P395" i="28"/>
  <c r="P396" i="28"/>
  <c r="P397" i="28"/>
  <c r="P398" i="28"/>
  <c r="P399" i="28"/>
  <c r="P400" i="28"/>
  <c r="P401" i="28"/>
  <c r="P402" i="28"/>
  <c r="P403" i="28"/>
  <c r="P404" i="28"/>
  <c r="P405" i="28"/>
  <c r="P406" i="28"/>
  <c r="P407" i="28"/>
  <c r="P408" i="28"/>
  <c r="P409" i="28"/>
  <c r="P410" i="28"/>
  <c r="P411" i="28"/>
  <c r="P412" i="28"/>
  <c r="P413" i="28"/>
  <c r="P414" i="28"/>
  <c r="P415" i="28"/>
  <c r="P416" i="28"/>
  <c r="P417" i="28"/>
  <c r="P418" i="28"/>
  <c r="P419" i="28"/>
  <c r="P420" i="28"/>
  <c r="P421" i="28"/>
  <c r="P422" i="28"/>
  <c r="P423" i="28"/>
  <c r="P424" i="28"/>
  <c r="P425" i="28"/>
  <c r="P426" i="28"/>
  <c r="P427" i="28"/>
  <c r="P428" i="28"/>
  <c r="P429" i="28"/>
  <c r="P430" i="28"/>
  <c r="P431" i="28"/>
  <c r="P432" i="28"/>
  <c r="P433" i="28"/>
  <c r="P434" i="28"/>
  <c r="P435" i="28"/>
  <c r="P436" i="28"/>
  <c r="P437" i="28"/>
  <c r="P438" i="28"/>
  <c r="P439" i="28"/>
  <c r="P440" i="28"/>
  <c r="P441" i="28"/>
  <c r="P442" i="28"/>
  <c r="P443" i="28"/>
  <c r="P444" i="28"/>
  <c r="P445" i="28"/>
  <c r="P446" i="28"/>
  <c r="P447" i="28"/>
  <c r="P448" i="28"/>
  <c r="P449" i="28"/>
  <c r="P450" i="28"/>
  <c r="P451" i="28"/>
  <c r="P452" i="28"/>
  <c r="P453" i="28"/>
  <c r="P454" i="28"/>
  <c r="P455" i="28"/>
  <c r="P456" i="28"/>
  <c r="P457" i="28"/>
  <c r="P458" i="28"/>
  <c r="P459" i="28"/>
  <c r="P460" i="28"/>
  <c r="P461" i="28"/>
  <c r="P462" i="28"/>
  <c r="P463" i="28"/>
  <c r="P464" i="28"/>
  <c r="P465" i="28"/>
  <c r="P466" i="28"/>
  <c r="P467" i="28"/>
  <c r="P468" i="28"/>
  <c r="P469" i="28"/>
  <c r="P470" i="28"/>
  <c r="P471" i="28"/>
  <c r="P472" i="28"/>
  <c r="P473" i="28"/>
  <c r="P474" i="28"/>
  <c r="P475" i="28"/>
  <c r="P476" i="28"/>
  <c r="P477" i="28"/>
  <c r="P478" i="28"/>
  <c r="P479" i="28"/>
  <c r="P480" i="28"/>
  <c r="P481" i="28"/>
  <c r="P482" i="28"/>
  <c r="P483" i="28"/>
  <c r="P484" i="28"/>
  <c r="P485" i="28"/>
  <c r="P486" i="28"/>
  <c r="P487" i="28"/>
  <c r="P488" i="28"/>
  <c r="P489" i="28"/>
  <c r="P490" i="28"/>
  <c r="P491" i="28"/>
  <c r="P492" i="28"/>
  <c r="P493" i="28"/>
  <c r="P494" i="28"/>
  <c r="P495" i="28"/>
  <c r="P496" i="28"/>
  <c r="P497" i="28"/>
  <c r="P498" i="28"/>
  <c r="P499" i="28"/>
  <c r="P500" i="28"/>
  <c r="P501" i="28"/>
  <c r="P502" i="28"/>
  <c r="P503" i="28"/>
  <c r="P504" i="28"/>
  <c r="P505" i="28"/>
  <c r="P506" i="28"/>
  <c r="P507" i="28"/>
  <c r="P508" i="28"/>
  <c r="P509" i="28"/>
  <c r="P510" i="28"/>
  <c r="P511" i="28"/>
  <c r="P512" i="28"/>
  <c r="P513" i="28"/>
  <c r="P514" i="28"/>
  <c r="P515" i="28"/>
  <c r="P516" i="28"/>
  <c r="P517" i="28"/>
  <c r="P518" i="28"/>
  <c r="P519" i="28"/>
  <c r="P520" i="28"/>
  <c r="P521" i="28"/>
  <c r="P522" i="28"/>
  <c r="P523" i="28"/>
  <c r="P524" i="28"/>
  <c r="P525" i="28"/>
  <c r="P526" i="28"/>
  <c r="P527" i="28"/>
  <c r="P528" i="28"/>
  <c r="P529" i="28"/>
  <c r="P530" i="28"/>
  <c r="P531" i="28"/>
  <c r="P532" i="28"/>
  <c r="P533" i="28"/>
  <c r="P534" i="28"/>
  <c r="P535" i="28"/>
  <c r="P536" i="28"/>
  <c r="P537" i="28"/>
  <c r="P538" i="28"/>
  <c r="P539" i="28"/>
  <c r="P540" i="28"/>
  <c r="P541" i="28"/>
  <c r="P542" i="28"/>
  <c r="P543" i="28"/>
  <c r="P544" i="28"/>
  <c r="P545" i="28"/>
  <c r="P546" i="28"/>
  <c r="P547" i="28"/>
  <c r="P548" i="28"/>
  <c r="P549" i="28"/>
  <c r="P550" i="28"/>
  <c r="P551" i="28"/>
  <c r="P552" i="28"/>
  <c r="P553" i="28"/>
  <c r="P554" i="28"/>
  <c r="P555" i="28"/>
  <c r="P556" i="28"/>
  <c r="P557" i="28"/>
  <c r="P558" i="28"/>
  <c r="P559" i="28"/>
  <c r="P560" i="28"/>
  <c r="P561" i="28"/>
  <c r="P562" i="28"/>
  <c r="P563" i="28"/>
  <c r="P564" i="28"/>
  <c r="P565" i="28"/>
  <c r="P566" i="28"/>
  <c r="P567" i="28"/>
  <c r="P568" i="28"/>
  <c r="P569" i="28"/>
  <c r="P570" i="28"/>
  <c r="P571" i="28"/>
  <c r="P572" i="28"/>
  <c r="P573" i="28"/>
  <c r="P574" i="28"/>
  <c r="P575" i="28"/>
  <c r="P576" i="28"/>
  <c r="P577" i="28"/>
  <c r="P578" i="28"/>
  <c r="P579" i="28"/>
  <c r="P580" i="28"/>
  <c r="P581" i="28"/>
  <c r="P582" i="28"/>
  <c r="P583" i="28"/>
  <c r="P584" i="28"/>
  <c r="P585" i="28"/>
  <c r="P586" i="28"/>
  <c r="P587" i="28"/>
  <c r="P588" i="28"/>
  <c r="P589" i="28"/>
  <c r="P590" i="28"/>
  <c r="P591" i="28"/>
  <c r="P592" i="28"/>
  <c r="P593" i="28"/>
  <c r="P594" i="28"/>
  <c r="P595" i="28"/>
  <c r="P596" i="28"/>
  <c r="P597" i="28"/>
  <c r="P598" i="28"/>
  <c r="P599" i="28"/>
  <c r="P600" i="28"/>
  <c r="P601" i="28"/>
  <c r="P602" i="28"/>
  <c r="P603" i="28"/>
  <c r="P604" i="28"/>
  <c r="P605" i="28"/>
  <c r="P606" i="28"/>
  <c r="P607" i="28"/>
  <c r="P608" i="28"/>
  <c r="P609" i="28"/>
  <c r="P610" i="28"/>
  <c r="P611" i="28"/>
  <c r="P612" i="28"/>
  <c r="P613" i="28"/>
  <c r="P614" i="28"/>
  <c r="P615" i="28"/>
  <c r="P616" i="28"/>
  <c r="P617" i="28"/>
  <c r="P618" i="28"/>
  <c r="P619" i="28"/>
  <c r="P620" i="28"/>
  <c r="P621" i="28"/>
  <c r="P622" i="28"/>
  <c r="P623" i="28"/>
  <c r="P624" i="28"/>
  <c r="P625" i="28"/>
  <c r="P626" i="28"/>
  <c r="P627" i="28"/>
  <c r="P628" i="28"/>
  <c r="P629" i="28"/>
  <c r="P630" i="28"/>
  <c r="P631" i="28"/>
  <c r="P632" i="28"/>
  <c r="P633" i="28"/>
  <c r="P634" i="28"/>
  <c r="P635" i="28"/>
  <c r="P636" i="28"/>
  <c r="P637" i="28"/>
  <c r="P638" i="28"/>
  <c r="P639" i="28"/>
  <c r="P640" i="28"/>
  <c r="P641" i="28"/>
  <c r="P642" i="28"/>
  <c r="P643" i="28"/>
  <c r="P644" i="28"/>
  <c r="P645" i="28"/>
  <c r="P646" i="28"/>
  <c r="P647" i="28"/>
  <c r="P648" i="28"/>
  <c r="P649" i="28"/>
  <c r="P650" i="28"/>
  <c r="P651" i="28"/>
  <c r="P652" i="28"/>
  <c r="P653" i="28"/>
  <c r="P654" i="28"/>
  <c r="P655" i="28"/>
  <c r="P656" i="28"/>
  <c r="P657" i="28"/>
  <c r="P658" i="28"/>
  <c r="P659" i="28"/>
  <c r="P660" i="28"/>
  <c r="P661" i="28"/>
  <c r="P662" i="28"/>
  <c r="P663" i="28"/>
  <c r="P664" i="28"/>
  <c r="P665" i="28"/>
  <c r="P666" i="28"/>
  <c r="P667" i="28"/>
  <c r="P668" i="28"/>
  <c r="P669" i="28"/>
  <c r="P670" i="28"/>
  <c r="P671" i="28"/>
  <c r="P672" i="28"/>
  <c r="P673" i="28"/>
  <c r="P674" i="28"/>
  <c r="P675" i="28"/>
  <c r="P676" i="28"/>
  <c r="P677" i="28"/>
  <c r="P678" i="28"/>
  <c r="P679" i="28"/>
  <c r="P680" i="28"/>
  <c r="P681" i="28"/>
  <c r="P682" i="28"/>
  <c r="P683" i="28"/>
  <c r="P684" i="28"/>
  <c r="P685" i="28"/>
  <c r="P686" i="28"/>
  <c r="P687" i="28"/>
  <c r="P688" i="28"/>
  <c r="P689" i="28"/>
  <c r="P690" i="28"/>
  <c r="P691" i="28"/>
  <c r="P692" i="28"/>
  <c r="P693" i="28"/>
  <c r="P694" i="28"/>
  <c r="P695" i="28"/>
  <c r="P696" i="28"/>
  <c r="P697" i="28"/>
  <c r="P698" i="28"/>
  <c r="P699" i="28"/>
  <c r="P700" i="28"/>
  <c r="P701" i="28"/>
  <c r="P702" i="28"/>
  <c r="P703" i="28"/>
  <c r="P704" i="28"/>
  <c r="P705" i="28"/>
  <c r="P706" i="28"/>
  <c r="P707" i="28"/>
  <c r="P708" i="28"/>
  <c r="P709" i="28"/>
  <c r="P710" i="28"/>
  <c r="P711" i="28"/>
  <c r="P712" i="28"/>
  <c r="P713" i="28"/>
  <c r="P714" i="28"/>
  <c r="P715" i="28"/>
  <c r="P716" i="28"/>
  <c r="P717" i="28"/>
  <c r="P718" i="28"/>
  <c r="P719" i="28"/>
  <c r="P720" i="28"/>
  <c r="P721" i="28"/>
  <c r="P722" i="28"/>
  <c r="P723" i="28"/>
  <c r="P724" i="28"/>
  <c r="P725" i="28"/>
  <c r="P726" i="28"/>
  <c r="P727" i="28"/>
  <c r="P728" i="28"/>
  <c r="P729" i="28"/>
  <c r="P730" i="28"/>
  <c r="P731" i="28"/>
  <c r="P732" i="28"/>
  <c r="P733" i="28"/>
  <c r="P734" i="28"/>
  <c r="P735" i="28"/>
  <c r="P736" i="28"/>
  <c r="P737" i="28"/>
  <c r="P738" i="28"/>
  <c r="P739" i="28"/>
  <c r="P740" i="28"/>
  <c r="P741" i="28"/>
  <c r="P742" i="28"/>
  <c r="P743" i="28"/>
  <c r="P744" i="28"/>
  <c r="P745" i="28"/>
  <c r="P746" i="28"/>
  <c r="P747" i="28"/>
  <c r="P748" i="28"/>
  <c r="P749" i="28"/>
  <c r="P750" i="28"/>
  <c r="P751" i="28"/>
  <c r="P752" i="28"/>
  <c r="P753" i="28"/>
  <c r="P754" i="28"/>
  <c r="P755" i="28"/>
  <c r="P756" i="28"/>
  <c r="P757" i="28"/>
  <c r="P758" i="28"/>
  <c r="P759" i="28"/>
  <c r="P760" i="28"/>
  <c r="P761" i="28"/>
  <c r="P762" i="28"/>
  <c r="P763" i="28"/>
  <c r="P764" i="28"/>
  <c r="P765" i="28"/>
  <c r="P766" i="28"/>
  <c r="P767" i="28"/>
  <c r="P768" i="28"/>
  <c r="P769" i="28"/>
  <c r="P770" i="28"/>
  <c r="P771" i="28"/>
  <c r="P772" i="28"/>
  <c r="P773" i="28"/>
  <c r="P774" i="28"/>
  <c r="P775" i="28"/>
  <c r="P776" i="28"/>
  <c r="P777" i="28"/>
  <c r="P778" i="28"/>
  <c r="P779" i="28"/>
  <c r="P780" i="28"/>
  <c r="P781" i="28"/>
  <c r="P782" i="28"/>
  <c r="P783" i="28"/>
  <c r="P784" i="28"/>
  <c r="P785" i="28"/>
  <c r="P786" i="28"/>
  <c r="P787" i="28"/>
  <c r="P788" i="28"/>
  <c r="P789" i="28"/>
  <c r="P790" i="28"/>
  <c r="P791" i="28"/>
  <c r="P792" i="28"/>
  <c r="P793" i="28"/>
  <c r="P794" i="28"/>
  <c r="P795" i="28"/>
  <c r="P796" i="28"/>
  <c r="P797" i="28"/>
  <c r="P798" i="28"/>
  <c r="P799" i="28"/>
  <c r="P800" i="28"/>
  <c r="P801" i="28"/>
  <c r="P802" i="28"/>
  <c r="P803" i="28"/>
  <c r="P804" i="28"/>
  <c r="P805" i="28"/>
  <c r="P806" i="28"/>
  <c r="P807" i="28"/>
  <c r="P808" i="28"/>
  <c r="P809" i="28"/>
  <c r="P810" i="28"/>
  <c r="P811" i="28"/>
  <c r="P812" i="28"/>
  <c r="P813" i="28"/>
  <c r="P814" i="28"/>
  <c r="P815" i="28"/>
  <c r="P816" i="28"/>
  <c r="P817" i="28"/>
  <c r="P818" i="28"/>
  <c r="P819" i="28"/>
  <c r="P820" i="28"/>
  <c r="P821" i="28"/>
  <c r="P822" i="28"/>
  <c r="P823" i="28"/>
  <c r="P824" i="28"/>
  <c r="P825" i="28"/>
  <c r="P826" i="28"/>
  <c r="P827" i="28"/>
  <c r="P828" i="28"/>
  <c r="P829" i="28"/>
  <c r="P830" i="28"/>
  <c r="P831" i="28"/>
  <c r="P832" i="28"/>
  <c r="P833" i="28"/>
  <c r="P834" i="28"/>
  <c r="P835" i="28"/>
  <c r="P836" i="28"/>
  <c r="P837" i="28"/>
  <c r="P838" i="28"/>
  <c r="P839" i="28"/>
  <c r="P840" i="28"/>
  <c r="P841" i="28"/>
  <c r="P842" i="28"/>
  <c r="P843" i="28"/>
  <c r="P844" i="28"/>
  <c r="P845" i="28"/>
  <c r="P846" i="28"/>
  <c r="P847" i="28"/>
  <c r="P848" i="28"/>
  <c r="P849" i="28"/>
  <c r="P850" i="28"/>
  <c r="P851" i="28"/>
  <c r="P852" i="28"/>
  <c r="P853" i="28"/>
  <c r="P854" i="28"/>
  <c r="P855" i="28"/>
  <c r="P856" i="28"/>
  <c r="P857" i="28"/>
  <c r="P858" i="28"/>
  <c r="P859" i="28"/>
  <c r="P860" i="28"/>
  <c r="P861" i="28"/>
  <c r="P862" i="28"/>
  <c r="P863" i="28"/>
  <c r="P864" i="28"/>
  <c r="P865" i="28"/>
  <c r="P866" i="28"/>
  <c r="P867" i="28"/>
  <c r="P868" i="28"/>
  <c r="P869" i="28"/>
  <c r="P870" i="28"/>
  <c r="P871" i="28"/>
  <c r="P872" i="28"/>
  <c r="P873" i="28"/>
  <c r="P874" i="28"/>
  <c r="P875" i="28"/>
  <c r="P876" i="28"/>
  <c r="P877" i="28"/>
  <c r="P878" i="28"/>
  <c r="P879" i="28"/>
  <c r="P880" i="28"/>
  <c r="P881" i="28"/>
  <c r="P882" i="28"/>
  <c r="P883" i="28"/>
  <c r="P884" i="28"/>
  <c r="P885" i="28"/>
  <c r="P886" i="28"/>
  <c r="P887" i="28"/>
  <c r="P888" i="28"/>
  <c r="P889" i="28"/>
  <c r="P890" i="28"/>
  <c r="P891" i="28"/>
  <c r="P892" i="28"/>
  <c r="P893" i="28"/>
  <c r="P894" i="28"/>
  <c r="P895" i="28"/>
  <c r="P896" i="28"/>
  <c r="P897" i="28"/>
  <c r="P898" i="28"/>
  <c r="P899" i="28"/>
  <c r="P900" i="28"/>
  <c r="P901" i="28"/>
  <c r="P902" i="28"/>
  <c r="P903" i="28"/>
  <c r="P904" i="28"/>
  <c r="P905" i="28"/>
  <c r="P906" i="28"/>
  <c r="P907" i="28"/>
  <c r="P908" i="28"/>
  <c r="P909" i="28"/>
  <c r="P910" i="28"/>
  <c r="P911" i="28"/>
  <c r="P912" i="28"/>
  <c r="P913" i="28"/>
  <c r="P914" i="28"/>
  <c r="P915" i="28"/>
  <c r="P916" i="28"/>
  <c r="P917" i="28"/>
  <c r="P918" i="28"/>
  <c r="P919" i="28"/>
  <c r="P920" i="28"/>
  <c r="P921" i="28"/>
  <c r="P922" i="28"/>
  <c r="P923" i="28"/>
  <c r="P924" i="28"/>
  <c r="P925" i="28"/>
  <c r="P926" i="28"/>
  <c r="P927" i="28"/>
  <c r="P928" i="28"/>
  <c r="P929" i="28"/>
  <c r="P930" i="28"/>
  <c r="P931" i="28"/>
  <c r="P932" i="28"/>
  <c r="P933" i="28"/>
  <c r="P934" i="28"/>
  <c r="P935" i="28"/>
  <c r="P936" i="28"/>
  <c r="P937" i="28"/>
  <c r="P938" i="28"/>
  <c r="P939" i="28"/>
  <c r="P940" i="28"/>
  <c r="P941" i="28"/>
  <c r="P942" i="28"/>
  <c r="P943" i="28"/>
  <c r="P944" i="28"/>
  <c r="P945" i="28"/>
  <c r="P946" i="28"/>
  <c r="P947" i="28"/>
  <c r="P948" i="28"/>
  <c r="P949" i="28"/>
  <c r="P950" i="28"/>
  <c r="P951" i="28"/>
  <c r="P952" i="28"/>
  <c r="P953" i="28"/>
  <c r="P954" i="28"/>
  <c r="P955" i="28"/>
  <c r="P956" i="28"/>
  <c r="P957" i="28"/>
  <c r="P958" i="28"/>
  <c r="P959" i="28"/>
  <c r="P960" i="28"/>
  <c r="P961" i="28"/>
  <c r="P962" i="28"/>
  <c r="P963" i="28"/>
  <c r="P964" i="28"/>
  <c r="P965" i="28"/>
  <c r="P966" i="28"/>
  <c r="P967" i="28"/>
  <c r="P968" i="28"/>
  <c r="P969" i="28"/>
  <c r="P970" i="28"/>
  <c r="P971" i="28"/>
  <c r="P972" i="28"/>
  <c r="P973" i="28"/>
  <c r="P974" i="28"/>
  <c r="P975" i="28"/>
  <c r="P976" i="28"/>
  <c r="P977" i="28"/>
  <c r="P978" i="28"/>
  <c r="P979" i="28"/>
  <c r="P980" i="28"/>
  <c r="P981" i="28"/>
  <c r="P982" i="28"/>
  <c r="P983" i="28"/>
  <c r="P984" i="28"/>
  <c r="P985" i="28"/>
  <c r="P986" i="28"/>
  <c r="P987" i="28"/>
  <c r="P988" i="28"/>
  <c r="P989" i="28"/>
  <c r="P990" i="28"/>
  <c r="P991" i="28"/>
  <c r="P992" i="28"/>
  <c r="P993" i="28"/>
  <c r="P994" i="28"/>
  <c r="P995" i="28"/>
  <c r="P996" i="28"/>
  <c r="P997" i="28"/>
  <c r="P998" i="28"/>
  <c r="P999" i="28"/>
  <c r="P1000" i="28"/>
  <c r="P1001" i="28"/>
  <c r="P1002" i="28"/>
  <c r="P1003" i="28"/>
  <c r="O10" i="28"/>
  <c r="O11" i="28"/>
  <c r="O12" i="28"/>
  <c r="O13" i="28"/>
  <c r="O14" i="28"/>
  <c r="O15" i="28"/>
  <c r="O16" i="28"/>
  <c r="O17" i="28"/>
  <c r="O18" i="28"/>
  <c r="O19" i="28"/>
  <c r="O20" i="28"/>
  <c r="O21" i="28"/>
  <c r="O22" i="28"/>
  <c r="O23" i="28"/>
  <c r="O24" i="28"/>
  <c r="O25" i="28"/>
  <c r="O26" i="28"/>
  <c r="O27" i="28"/>
  <c r="O28" i="28"/>
  <c r="O29" i="28"/>
  <c r="O30" i="28"/>
  <c r="O31" i="28"/>
  <c r="O32" i="28"/>
  <c r="O33" i="28"/>
  <c r="O34" i="28"/>
  <c r="O35" i="28"/>
  <c r="O36" i="28"/>
  <c r="O37" i="28"/>
  <c r="O38" i="28"/>
  <c r="O39" i="28"/>
  <c r="O40" i="28"/>
  <c r="O41" i="28"/>
  <c r="O42" i="28"/>
  <c r="O43" i="28"/>
  <c r="O44" i="28"/>
  <c r="O45" i="28"/>
  <c r="O46" i="28"/>
  <c r="O47" i="28"/>
  <c r="O48" i="28"/>
  <c r="O49" i="28"/>
  <c r="O50" i="28"/>
  <c r="O51" i="28"/>
  <c r="O52" i="28"/>
  <c r="O53" i="28"/>
  <c r="O54" i="28"/>
  <c r="O55" i="28"/>
  <c r="O56" i="28"/>
  <c r="O57" i="28"/>
  <c r="O58" i="28"/>
  <c r="O59" i="28"/>
  <c r="O60" i="28"/>
  <c r="O61" i="28"/>
  <c r="O62" i="28"/>
  <c r="O63" i="28"/>
  <c r="O64" i="28"/>
  <c r="O65" i="28"/>
  <c r="O66" i="28"/>
  <c r="O67" i="28"/>
  <c r="O68" i="28"/>
  <c r="O69" i="28"/>
  <c r="O70" i="28"/>
  <c r="O71" i="28"/>
  <c r="O72" i="28"/>
  <c r="O73" i="28"/>
  <c r="O74" i="28"/>
  <c r="O75" i="28"/>
  <c r="O76" i="28"/>
  <c r="O77" i="28"/>
  <c r="O78" i="28"/>
  <c r="O79" i="28"/>
  <c r="O80" i="28"/>
  <c r="O81" i="28"/>
  <c r="O82" i="28"/>
  <c r="O83" i="28"/>
  <c r="O84" i="28"/>
  <c r="O85" i="28"/>
  <c r="O86" i="28"/>
  <c r="O87" i="28"/>
  <c r="O88" i="28"/>
  <c r="O89" i="28"/>
  <c r="O90" i="28"/>
  <c r="O91" i="28"/>
  <c r="O92" i="28"/>
  <c r="O93" i="28"/>
  <c r="O94" i="28"/>
  <c r="O95" i="28"/>
  <c r="O96" i="28"/>
  <c r="O97" i="28"/>
  <c r="O98" i="28"/>
  <c r="O99" i="28"/>
  <c r="O100" i="28"/>
  <c r="O101" i="28"/>
  <c r="O102" i="28"/>
  <c r="O103" i="28"/>
  <c r="O104" i="28"/>
  <c r="O105" i="28"/>
  <c r="O106" i="28"/>
  <c r="O107" i="28"/>
  <c r="O108" i="28"/>
  <c r="O109" i="28"/>
  <c r="O110" i="28"/>
  <c r="O111" i="28"/>
  <c r="O112" i="28"/>
  <c r="O113" i="28"/>
  <c r="O114" i="28"/>
  <c r="O115" i="28"/>
  <c r="O116" i="28"/>
  <c r="O117" i="28"/>
  <c r="O118" i="28"/>
  <c r="O119" i="28"/>
  <c r="O120" i="28"/>
  <c r="O121" i="28"/>
  <c r="O122" i="28"/>
  <c r="O123" i="28"/>
  <c r="O124" i="28"/>
  <c r="O125" i="28"/>
  <c r="O126" i="28"/>
  <c r="O127" i="28"/>
  <c r="O128" i="28"/>
  <c r="O129" i="28"/>
  <c r="O130" i="28"/>
  <c r="O131" i="28"/>
  <c r="O132" i="28"/>
  <c r="O133" i="28"/>
  <c r="O134" i="28"/>
  <c r="O135" i="28"/>
  <c r="O136" i="28"/>
  <c r="O137" i="28"/>
  <c r="O138" i="28"/>
  <c r="O139" i="28"/>
  <c r="O140" i="28"/>
  <c r="O141" i="28"/>
  <c r="O142" i="28"/>
  <c r="O143" i="28"/>
  <c r="O144" i="28"/>
  <c r="O145" i="28"/>
  <c r="O146" i="28"/>
  <c r="O147" i="28"/>
  <c r="O148" i="28"/>
  <c r="O149" i="28"/>
  <c r="O150" i="28"/>
  <c r="O151" i="28"/>
  <c r="O152" i="28"/>
  <c r="O153" i="28"/>
  <c r="O154" i="28"/>
  <c r="O155" i="28"/>
  <c r="O156" i="28"/>
  <c r="O157" i="28"/>
  <c r="O158" i="28"/>
  <c r="O159" i="28"/>
  <c r="O160" i="28"/>
  <c r="O161" i="28"/>
  <c r="O162" i="28"/>
  <c r="O163" i="28"/>
  <c r="O164" i="28"/>
  <c r="O165" i="28"/>
  <c r="O166" i="28"/>
  <c r="O167" i="28"/>
  <c r="O168" i="28"/>
  <c r="O169" i="28"/>
  <c r="O170" i="28"/>
  <c r="O171" i="28"/>
  <c r="O172" i="28"/>
  <c r="O173" i="28"/>
  <c r="O174" i="28"/>
  <c r="O175" i="28"/>
  <c r="O176" i="28"/>
  <c r="O177" i="28"/>
  <c r="O178" i="28"/>
  <c r="O179" i="28"/>
  <c r="O180" i="28"/>
  <c r="O181" i="28"/>
  <c r="O182" i="28"/>
  <c r="O183" i="28"/>
  <c r="O184" i="28"/>
  <c r="O185" i="28"/>
  <c r="O186" i="28"/>
  <c r="O187" i="28"/>
  <c r="O188" i="28"/>
  <c r="O189" i="28"/>
  <c r="O190" i="28"/>
  <c r="O191" i="28"/>
  <c r="O192" i="28"/>
  <c r="O193" i="28"/>
  <c r="O194" i="28"/>
  <c r="O195" i="28"/>
  <c r="O196" i="28"/>
  <c r="O197" i="28"/>
  <c r="O198" i="28"/>
  <c r="O199" i="28"/>
  <c r="O200" i="28"/>
  <c r="O201" i="28"/>
  <c r="O202" i="28"/>
  <c r="O203" i="28"/>
  <c r="O204" i="28"/>
  <c r="O205" i="28"/>
  <c r="O206" i="28"/>
  <c r="O207" i="28"/>
  <c r="O208" i="28"/>
  <c r="O209" i="28"/>
  <c r="O210" i="28"/>
  <c r="O211" i="28"/>
  <c r="O212" i="28"/>
  <c r="O213" i="28"/>
  <c r="O214" i="28"/>
  <c r="O215" i="28"/>
  <c r="O216" i="28"/>
  <c r="O217" i="28"/>
  <c r="O218" i="28"/>
  <c r="O219" i="28"/>
  <c r="O220" i="28"/>
  <c r="O221" i="28"/>
  <c r="O222" i="28"/>
  <c r="O223" i="28"/>
  <c r="O224" i="28"/>
  <c r="O225" i="28"/>
  <c r="O226" i="28"/>
  <c r="O227" i="28"/>
  <c r="O228" i="28"/>
  <c r="O229" i="28"/>
  <c r="O230" i="28"/>
  <c r="O231" i="28"/>
  <c r="O232" i="28"/>
  <c r="O233" i="28"/>
  <c r="O234" i="28"/>
  <c r="O235" i="28"/>
  <c r="O236" i="28"/>
  <c r="O237" i="28"/>
  <c r="O238" i="28"/>
  <c r="O239" i="28"/>
  <c r="O240" i="28"/>
  <c r="O241" i="28"/>
  <c r="O242" i="28"/>
  <c r="O243" i="28"/>
  <c r="O244" i="28"/>
  <c r="O245" i="28"/>
  <c r="O246" i="28"/>
  <c r="O247" i="28"/>
  <c r="O248" i="28"/>
  <c r="O249" i="28"/>
  <c r="O250" i="28"/>
  <c r="O251" i="28"/>
  <c r="O252" i="28"/>
  <c r="O253" i="28"/>
  <c r="O254" i="28"/>
  <c r="O255" i="28"/>
  <c r="O256" i="28"/>
  <c r="O257" i="28"/>
  <c r="O258" i="28"/>
  <c r="O259" i="28"/>
  <c r="O260" i="28"/>
  <c r="O261" i="28"/>
  <c r="O262" i="28"/>
  <c r="O263" i="28"/>
  <c r="O264" i="28"/>
  <c r="O265" i="28"/>
  <c r="O266" i="28"/>
  <c r="O267" i="28"/>
  <c r="O268" i="28"/>
  <c r="O269" i="28"/>
  <c r="O270" i="28"/>
  <c r="O271" i="28"/>
  <c r="O272" i="28"/>
  <c r="O273" i="28"/>
  <c r="O274" i="28"/>
  <c r="O275" i="28"/>
  <c r="O276" i="28"/>
  <c r="O277" i="28"/>
  <c r="O278" i="28"/>
  <c r="O279" i="28"/>
  <c r="O280" i="28"/>
  <c r="O281" i="28"/>
  <c r="O282" i="28"/>
  <c r="O283" i="28"/>
  <c r="O284" i="28"/>
  <c r="O285" i="28"/>
  <c r="O286" i="28"/>
  <c r="O287" i="28"/>
  <c r="O288" i="28"/>
  <c r="O289" i="28"/>
  <c r="O290" i="28"/>
  <c r="O291" i="28"/>
  <c r="O292" i="28"/>
  <c r="O293" i="28"/>
  <c r="O294" i="28"/>
  <c r="O295" i="28"/>
  <c r="O296" i="28"/>
  <c r="O297" i="28"/>
  <c r="O298" i="28"/>
  <c r="O299" i="28"/>
  <c r="O300" i="28"/>
  <c r="O301" i="28"/>
  <c r="O302" i="28"/>
  <c r="O303" i="28"/>
  <c r="O304" i="28"/>
  <c r="O305" i="28"/>
  <c r="O306" i="28"/>
  <c r="O307" i="28"/>
  <c r="O308" i="28"/>
  <c r="O309" i="28"/>
  <c r="O310" i="28"/>
  <c r="O311" i="28"/>
  <c r="O312" i="28"/>
  <c r="O313" i="28"/>
  <c r="O314" i="28"/>
  <c r="O315" i="28"/>
  <c r="O316" i="28"/>
  <c r="O317" i="28"/>
  <c r="O318" i="28"/>
  <c r="O319" i="28"/>
  <c r="O320" i="28"/>
  <c r="O321" i="28"/>
  <c r="O322" i="28"/>
  <c r="O323" i="28"/>
  <c r="O324" i="28"/>
  <c r="O325" i="28"/>
  <c r="O326" i="28"/>
  <c r="O327" i="28"/>
  <c r="O328" i="28"/>
  <c r="O329" i="28"/>
  <c r="O330" i="28"/>
  <c r="O331" i="28"/>
  <c r="O332" i="28"/>
  <c r="O333" i="28"/>
  <c r="O334" i="28"/>
  <c r="O335" i="28"/>
  <c r="O336" i="28"/>
  <c r="O337" i="28"/>
  <c r="O338" i="28"/>
  <c r="O339" i="28"/>
  <c r="O340" i="28"/>
  <c r="O341" i="28"/>
  <c r="O342" i="28"/>
  <c r="O343" i="28"/>
  <c r="O344" i="28"/>
  <c r="O345" i="28"/>
  <c r="O346" i="28"/>
  <c r="O347" i="28"/>
  <c r="O348" i="28"/>
  <c r="O349" i="28"/>
  <c r="O350" i="28"/>
  <c r="O351" i="28"/>
  <c r="O352" i="28"/>
  <c r="O353" i="28"/>
  <c r="O354" i="28"/>
  <c r="O355" i="28"/>
  <c r="O356" i="28"/>
  <c r="O357" i="28"/>
  <c r="O358" i="28"/>
  <c r="O359" i="28"/>
  <c r="O360" i="28"/>
  <c r="O361" i="28"/>
  <c r="O362" i="28"/>
  <c r="O363" i="28"/>
  <c r="O364" i="28"/>
  <c r="O365" i="28"/>
  <c r="O366" i="28"/>
  <c r="O367" i="28"/>
  <c r="O368" i="28"/>
  <c r="O369" i="28"/>
  <c r="O370" i="28"/>
  <c r="O371" i="28"/>
  <c r="O372" i="28"/>
  <c r="O373" i="28"/>
  <c r="O374" i="28"/>
  <c r="O375" i="28"/>
  <c r="O376" i="28"/>
  <c r="O377" i="28"/>
  <c r="O378" i="28"/>
  <c r="O379" i="28"/>
  <c r="O380" i="28"/>
  <c r="O381" i="28"/>
  <c r="O382" i="28"/>
  <c r="O383" i="28"/>
  <c r="O384" i="28"/>
  <c r="O385" i="28"/>
  <c r="O386" i="28"/>
  <c r="O387" i="28"/>
  <c r="O388" i="28"/>
  <c r="O389" i="28"/>
  <c r="O390" i="28"/>
  <c r="O391" i="28"/>
  <c r="O392" i="28"/>
  <c r="O393" i="28"/>
  <c r="O394" i="28"/>
  <c r="O395" i="28"/>
  <c r="O396" i="28"/>
  <c r="O397" i="28"/>
  <c r="O398" i="28"/>
  <c r="O399" i="28"/>
  <c r="O400" i="28"/>
  <c r="O401" i="28"/>
  <c r="O402" i="28"/>
  <c r="O403" i="28"/>
  <c r="O404" i="28"/>
  <c r="O405" i="28"/>
  <c r="O406" i="28"/>
  <c r="O407" i="28"/>
  <c r="O408" i="28"/>
  <c r="O409" i="28"/>
  <c r="O410" i="28"/>
  <c r="O411" i="28"/>
  <c r="O412" i="28"/>
  <c r="O413" i="28"/>
  <c r="O414" i="28"/>
  <c r="O415" i="28"/>
  <c r="O416" i="28"/>
  <c r="O417" i="28"/>
  <c r="O418" i="28"/>
  <c r="O419" i="28"/>
  <c r="O420" i="28"/>
  <c r="O421" i="28"/>
  <c r="O422" i="28"/>
  <c r="O423" i="28"/>
  <c r="O424" i="28"/>
  <c r="O425" i="28"/>
  <c r="O426" i="28"/>
  <c r="O427" i="28"/>
  <c r="O428" i="28"/>
  <c r="O429" i="28"/>
  <c r="O430" i="28"/>
  <c r="O431" i="28"/>
  <c r="O432" i="28"/>
  <c r="O433" i="28"/>
  <c r="O434" i="28"/>
  <c r="O435" i="28"/>
  <c r="O436" i="28"/>
  <c r="O437" i="28"/>
  <c r="O438" i="28"/>
  <c r="O439" i="28"/>
  <c r="O440" i="28"/>
  <c r="O441" i="28"/>
  <c r="O442" i="28"/>
  <c r="O443" i="28"/>
  <c r="O444" i="28"/>
  <c r="O445" i="28"/>
  <c r="O446" i="28"/>
  <c r="O447" i="28"/>
  <c r="O448" i="28"/>
  <c r="O449" i="28"/>
  <c r="O450" i="28"/>
  <c r="O451" i="28"/>
  <c r="O452" i="28"/>
  <c r="O453" i="28"/>
  <c r="O454" i="28"/>
  <c r="O455" i="28"/>
  <c r="O456" i="28"/>
  <c r="O457" i="28"/>
  <c r="O458" i="28"/>
  <c r="O459" i="28"/>
  <c r="O460" i="28"/>
  <c r="O461" i="28"/>
  <c r="O462" i="28"/>
  <c r="O463" i="28"/>
  <c r="O464" i="28"/>
  <c r="O465" i="28"/>
  <c r="O466" i="28"/>
  <c r="O467" i="28"/>
  <c r="O468" i="28"/>
  <c r="O469" i="28"/>
  <c r="O470" i="28"/>
  <c r="O471" i="28"/>
  <c r="O472" i="28"/>
  <c r="O473" i="28"/>
  <c r="O474" i="28"/>
  <c r="O475" i="28"/>
  <c r="O476" i="28"/>
  <c r="O477" i="28"/>
  <c r="O478" i="28"/>
  <c r="O479" i="28"/>
  <c r="O480" i="28"/>
  <c r="O481" i="28"/>
  <c r="O482" i="28"/>
  <c r="O483" i="28"/>
  <c r="O484" i="28"/>
  <c r="O485" i="28"/>
  <c r="O486" i="28"/>
  <c r="O487" i="28"/>
  <c r="O488" i="28"/>
  <c r="O489" i="28"/>
  <c r="O490" i="28"/>
  <c r="O491" i="28"/>
  <c r="O492" i="28"/>
  <c r="O493" i="28"/>
  <c r="O494" i="28"/>
  <c r="O495" i="28"/>
  <c r="O496" i="28"/>
  <c r="O497" i="28"/>
  <c r="O498" i="28"/>
  <c r="O499" i="28"/>
  <c r="O500" i="28"/>
  <c r="O501" i="28"/>
  <c r="O502" i="28"/>
  <c r="O503" i="28"/>
  <c r="O504" i="28"/>
  <c r="O505" i="28"/>
  <c r="O506" i="28"/>
  <c r="O507" i="28"/>
  <c r="O508" i="28"/>
  <c r="O509" i="28"/>
  <c r="O510" i="28"/>
  <c r="O511" i="28"/>
  <c r="O512" i="28"/>
  <c r="O513" i="28"/>
  <c r="O514" i="28"/>
  <c r="O515" i="28"/>
  <c r="O516" i="28"/>
  <c r="O517" i="28"/>
  <c r="O518" i="28"/>
  <c r="O519" i="28"/>
  <c r="O520" i="28"/>
  <c r="O521" i="28"/>
  <c r="O522" i="28"/>
  <c r="O523" i="28"/>
  <c r="O524" i="28"/>
  <c r="O525" i="28"/>
  <c r="O526" i="28"/>
  <c r="O527" i="28"/>
  <c r="O528" i="28"/>
  <c r="O529" i="28"/>
  <c r="O530" i="28"/>
  <c r="O531" i="28"/>
  <c r="O532" i="28"/>
  <c r="O533" i="28"/>
  <c r="O534" i="28"/>
  <c r="O535" i="28"/>
  <c r="O536" i="28"/>
  <c r="O537" i="28"/>
  <c r="O538" i="28"/>
  <c r="O539" i="28"/>
  <c r="O540" i="28"/>
  <c r="O541" i="28"/>
  <c r="O542" i="28"/>
  <c r="O543" i="28"/>
  <c r="O544" i="28"/>
  <c r="O545" i="28"/>
  <c r="O546" i="28"/>
  <c r="O547" i="28"/>
  <c r="O548" i="28"/>
  <c r="O549" i="28"/>
  <c r="O550" i="28"/>
  <c r="O551" i="28"/>
  <c r="O552" i="28"/>
  <c r="O553" i="28"/>
  <c r="O554" i="28"/>
  <c r="O555" i="28"/>
  <c r="O556" i="28"/>
  <c r="O557" i="28"/>
  <c r="O558" i="28"/>
  <c r="O559" i="28"/>
  <c r="O560" i="28"/>
  <c r="O561" i="28"/>
  <c r="O562" i="28"/>
  <c r="O563" i="28"/>
  <c r="O564" i="28"/>
  <c r="O565" i="28"/>
  <c r="O566" i="28"/>
  <c r="O567" i="28"/>
  <c r="O568" i="28"/>
  <c r="O569" i="28"/>
  <c r="O570" i="28"/>
  <c r="O571" i="28"/>
  <c r="O572" i="28"/>
  <c r="O573" i="28"/>
  <c r="O574" i="28"/>
  <c r="O575" i="28"/>
  <c r="O576" i="28"/>
  <c r="O577" i="28"/>
  <c r="O578" i="28"/>
  <c r="O579" i="28"/>
  <c r="O580" i="28"/>
  <c r="O581" i="28"/>
  <c r="O582" i="28"/>
  <c r="O583" i="28"/>
  <c r="O584" i="28"/>
  <c r="O585" i="28"/>
  <c r="O586" i="28"/>
  <c r="O587" i="28"/>
  <c r="O588" i="28"/>
  <c r="O589" i="28"/>
  <c r="O590" i="28"/>
  <c r="O591" i="28"/>
  <c r="O592" i="28"/>
  <c r="O593" i="28"/>
  <c r="O594" i="28"/>
  <c r="O595" i="28"/>
  <c r="O596" i="28"/>
  <c r="O597" i="28"/>
  <c r="O598" i="28"/>
  <c r="O599" i="28"/>
  <c r="O600" i="28"/>
  <c r="O601" i="28"/>
  <c r="O602" i="28"/>
  <c r="O603" i="28"/>
  <c r="O604" i="28"/>
  <c r="O605" i="28"/>
  <c r="O606" i="28"/>
  <c r="O607" i="28"/>
  <c r="O608" i="28"/>
  <c r="O609" i="28"/>
  <c r="O610" i="28"/>
  <c r="O611" i="28"/>
  <c r="O612" i="28"/>
  <c r="O613" i="28"/>
  <c r="O614" i="28"/>
  <c r="O615" i="28"/>
  <c r="O616" i="28"/>
  <c r="O617" i="28"/>
  <c r="O618" i="28"/>
  <c r="O619" i="28"/>
  <c r="O620" i="28"/>
  <c r="O621" i="28"/>
  <c r="O622" i="28"/>
  <c r="O623" i="28"/>
  <c r="O624" i="28"/>
  <c r="O625" i="28"/>
  <c r="O626" i="28"/>
  <c r="O627" i="28"/>
  <c r="O628" i="28"/>
  <c r="O629" i="28"/>
  <c r="O630" i="28"/>
  <c r="O631" i="28"/>
  <c r="O632" i="28"/>
  <c r="O633" i="28"/>
  <c r="O634" i="28"/>
  <c r="O635" i="28"/>
  <c r="O636" i="28"/>
  <c r="O637" i="28"/>
  <c r="O638" i="28"/>
  <c r="O639" i="28"/>
  <c r="O640" i="28"/>
  <c r="O641" i="28"/>
  <c r="O642" i="28"/>
  <c r="O643" i="28"/>
  <c r="O644" i="28"/>
  <c r="O645" i="28"/>
  <c r="O646" i="28"/>
  <c r="O647" i="28"/>
  <c r="O648" i="28"/>
  <c r="O649" i="28"/>
  <c r="O650" i="28"/>
  <c r="O651" i="28"/>
  <c r="O652" i="28"/>
  <c r="O653" i="28"/>
  <c r="O654" i="28"/>
  <c r="O655" i="28"/>
  <c r="O656" i="28"/>
  <c r="O657" i="28"/>
  <c r="O658" i="28"/>
  <c r="O659" i="28"/>
  <c r="O660" i="28"/>
  <c r="O661" i="28"/>
  <c r="O662" i="28"/>
  <c r="O663" i="28"/>
  <c r="O664" i="28"/>
  <c r="O665" i="28"/>
  <c r="O666" i="28"/>
  <c r="O667" i="28"/>
  <c r="O668" i="28"/>
  <c r="O669" i="28"/>
  <c r="O670" i="28"/>
  <c r="O671" i="28"/>
  <c r="O672" i="28"/>
  <c r="O673" i="28"/>
  <c r="O674" i="28"/>
  <c r="O675" i="28"/>
  <c r="O676" i="28"/>
  <c r="O677" i="28"/>
  <c r="O678" i="28"/>
  <c r="O679" i="28"/>
  <c r="O680" i="28"/>
  <c r="O681" i="28"/>
  <c r="O682" i="28"/>
  <c r="O683" i="28"/>
  <c r="O684" i="28"/>
  <c r="O685" i="28"/>
  <c r="O686" i="28"/>
  <c r="O687" i="28"/>
  <c r="O688" i="28"/>
  <c r="O689" i="28"/>
  <c r="O690" i="28"/>
  <c r="O691" i="28"/>
  <c r="O692" i="28"/>
  <c r="O693" i="28"/>
  <c r="O694" i="28"/>
  <c r="O695" i="28"/>
  <c r="O696" i="28"/>
  <c r="O697" i="28"/>
  <c r="O698" i="28"/>
  <c r="O699" i="28"/>
  <c r="O700" i="28"/>
  <c r="O701" i="28"/>
  <c r="O702" i="28"/>
  <c r="O703" i="28"/>
  <c r="O704" i="28"/>
  <c r="O705" i="28"/>
  <c r="O706" i="28"/>
  <c r="O707" i="28"/>
  <c r="O708" i="28"/>
  <c r="O709" i="28"/>
  <c r="O710" i="28"/>
  <c r="O711" i="28"/>
  <c r="O712" i="28"/>
  <c r="O713" i="28"/>
  <c r="O714" i="28"/>
  <c r="O715" i="28"/>
  <c r="O716" i="28"/>
  <c r="O717" i="28"/>
  <c r="O718" i="28"/>
  <c r="O719" i="28"/>
  <c r="O720" i="28"/>
  <c r="O721" i="28"/>
  <c r="O722" i="28"/>
  <c r="O723" i="28"/>
  <c r="O724" i="28"/>
  <c r="O725" i="28"/>
  <c r="O726" i="28"/>
  <c r="O727" i="28"/>
  <c r="O728" i="28"/>
  <c r="O729" i="28"/>
  <c r="O730" i="28"/>
  <c r="O731" i="28"/>
  <c r="O732" i="28"/>
  <c r="O733" i="28"/>
  <c r="O734" i="28"/>
  <c r="O735" i="28"/>
  <c r="O736" i="28"/>
  <c r="O737" i="28"/>
  <c r="O738" i="28"/>
  <c r="O739" i="28"/>
  <c r="O740" i="28"/>
  <c r="O741" i="28"/>
  <c r="O742" i="28"/>
  <c r="O743" i="28"/>
  <c r="O744" i="28"/>
  <c r="O745" i="28"/>
  <c r="O746" i="28"/>
  <c r="O747" i="28"/>
  <c r="O748" i="28"/>
  <c r="O749" i="28"/>
  <c r="O750" i="28"/>
  <c r="O751" i="28"/>
  <c r="O752" i="28"/>
  <c r="O753" i="28"/>
  <c r="O754" i="28"/>
  <c r="O755" i="28"/>
  <c r="O756" i="28"/>
  <c r="O757" i="28"/>
  <c r="O758" i="28"/>
  <c r="O759" i="28"/>
  <c r="O760" i="28"/>
  <c r="O761" i="28"/>
  <c r="O762" i="28"/>
  <c r="O763" i="28"/>
  <c r="O764" i="28"/>
  <c r="O765" i="28"/>
  <c r="O766" i="28"/>
  <c r="O767" i="28"/>
  <c r="O768" i="28"/>
  <c r="O769" i="28"/>
  <c r="O770" i="28"/>
  <c r="O771" i="28"/>
  <c r="O772" i="28"/>
  <c r="O773" i="28"/>
  <c r="O774" i="28"/>
  <c r="O775" i="28"/>
  <c r="O776" i="28"/>
  <c r="O777" i="28"/>
  <c r="O778" i="28"/>
  <c r="O779" i="28"/>
  <c r="O780" i="28"/>
  <c r="O781" i="28"/>
  <c r="O782" i="28"/>
  <c r="O783" i="28"/>
  <c r="O784" i="28"/>
  <c r="O785" i="28"/>
  <c r="O786" i="28"/>
  <c r="O787" i="28"/>
  <c r="O788" i="28"/>
  <c r="O789" i="28"/>
  <c r="O790" i="28"/>
  <c r="O791" i="28"/>
  <c r="O792" i="28"/>
  <c r="O793" i="28"/>
  <c r="O794" i="28"/>
  <c r="O795" i="28"/>
  <c r="O796" i="28"/>
  <c r="O797" i="28"/>
  <c r="O798" i="28"/>
  <c r="O799" i="28"/>
  <c r="O800" i="28"/>
  <c r="O801" i="28"/>
  <c r="O802" i="28"/>
  <c r="O803" i="28"/>
  <c r="O804" i="28"/>
  <c r="O805" i="28"/>
  <c r="O806" i="28"/>
  <c r="O807" i="28"/>
  <c r="O808" i="28"/>
  <c r="O809" i="28"/>
  <c r="O810" i="28"/>
  <c r="O811" i="28"/>
  <c r="O812" i="28"/>
  <c r="O813" i="28"/>
  <c r="O814" i="28"/>
  <c r="O815" i="28"/>
  <c r="O816" i="28"/>
  <c r="O817" i="28"/>
  <c r="O818" i="28"/>
  <c r="O819" i="28"/>
  <c r="O820" i="28"/>
  <c r="O821" i="28"/>
  <c r="O822" i="28"/>
  <c r="O823" i="28"/>
  <c r="O824" i="28"/>
  <c r="O825" i="28"/>
  <c r="O826" i="28"/>
  <c r="O827" i="28"/>
  <c r="O828" i="28"/>
  <c r="O829" i="28"/>
  <c r="O830" i="28"/>
  <c r="O831" i="28"/>
  <c r="O832" i="28"/>
  <c r="O833" i="28"/>
  <c r="O834" i="28"/>
  <c r="O835" i="28"/>
  <c r="O836" i="28"/>
  <c r="O837" i="28"/>
  <c r="O838" i="28"/>
  <c r="O839" i="28"/>
  <c r="O840" i="28"/>
  <c r="O841" i="28"/>
  <c r="O842" i="28"/>
  <c r="O843" i="28"/>
  <c r="O844" i="28"/>
  <c r="O845" i="28"/>
  <c r="O846" i="28"/>
  <c r="O847" i="28"/>
  <c r="O848" i="28"/>
  <c r="O849" i="28"/>
  <c r="O850" i="28"/>
  <c r="O851" i="28"/>
  <c r="O852" i="28"/>
  <c r="O853" i="28"/>
  <c r="O854" i="28"/>
  <c r="O855" i="28"/>
  <c r="O856" i="28"/>
  <c r="O857" i="28"/>
  <c r="O858" i="28"/>
  <c r="O859" i="28"/>
  <c r="O860" i="28"/>
  <c r="O861" i="28"/>
  <c r="O862" i="28"/>
  <c r="O863" i="28"/>
  <c r="O864" i="28"/>
  <c r="O865" i="28"/>
  <c r="O866" i="28"/>
  <c r="O867" i="28"/>
  <c r="O868" i="28"/>
  <c r="O869" i="28"/>
  <c r="O870" i="28"/>
  <c r="O871" i="28"/>
  <c r="O872" i="28"/>
  <c r="O873" i="28"/>
  <c r="O874" i="28"/>
  <c r="O875" i="28"/>
  <c r="O876" i="28"/>
  <c r="O877" i="28"/>
  <c r="O878" i="28"/>
  <c r="O879" i="28"/>
  <c r="O880" i="28"/>
  <c r="O881" i="28"/>
  <c r="O882" i="28"/>
  <c r="O883" i="28"/>
  <c r="O884" i="28"/>
  <c r="O885" i="28"/>
  <c r="O886" i="28"/>
  <c r="O887" i="28"/>
  <c r="O888" i="28"/>
  <c r="O889" i="28"/>
  <c r="O890" i="28"/>
  <c r="O891" i="28"/>
  <c r="O892" i="28"/>
  <c r="O893" i="28"/>
  <c r="O894" i="28"/>
  <c r="O895" i="28"/>
  <c r="O896" i="28"/>
  <c r="O897" i="28"/>
  <c r="O898" i="28"/>
  <c r="O899" i="28"/>
  <c r="O900" i="28"/>
  <c r="O901" i="28"/>
  <c r="O902" i="28"/>
  <c r="O903" i="28"/>
  <c r="O904" i="28"/>
  <c r="O905" i="28"/>
  <c r="O906" i="28"/>
  <c r="O907" i="28"/>
  <c r="O908" i="28"/>
  <c r="O909" i="28"/>
  <c r="O910" i="28"/>
  <c r="O911" i="28"/>
  <c r="O912" i="28"/>
  <c r="O913" i="28"/>
  <c r="O914" i="28"/>
  <c r="O915" i="28"/>
  <c r="O916" i="28"/>
  <c r="O917" i="28"/>
  <c r="O918" i="28"/>
  <c r="O919" i="28"/>
  <c r="O920" i="28"/>
  <c r="O921" i="28"/>
  <c r="O922" i="28"/>
  <c r="O923" i="28"/>
  <c r="O924" i="28"/>
  <c r="O925" i="28"/>
  <c r="O926" i="28"/>
  <c r="O927" i="28"/>
  <c r="O928" i="28"/>
  <c r="O929" i="28"/>
  <c r="O930" i="28"/>
  <c r="O931" i="28"/>
  <c r="O932" i="28"/>
  <c r="O933" i="28"/>
  <c r="O934" i="28"/>
  <c r="O935" i="28"/>
  <c r="O936" i="28"/>
  <c r="O937" i="28"/>
  <c r="O938" i="28"/>
  <c r="O939" i="28"/>
  <c r="O940" i="28"/>
  <c r="O941" i="28"/>
  <c r="O942" i="28"/>
  <c r="O943" i="28"/>
  <c r="O944" i="28"/>
  <c r="O945" i="28"/>
  <c r="O946" i="28"/>
  <c r="O947" i="28"/>
  <c r="O948" i="28"/>
  <c r="O949" i="28"/>
  <c r="O950" i="28"/>
  <c r="O951" i="28"/>
  <c r="O952" i="28"/>
  <c r="O953" i="28"/>
  <c r="O954" i="28"/>
  <c r="O955" i="28"/>
  <c r="O956" i="28"/>
  <c r="O957" i="28"/>
  <c r="O958" i="28"/>
  <c r="O959" i="28"/>
  <c r="O960" i="28"/>
  <c r="O961" i="28"/>
  <c r="O962" i="28"/>
  <c r="O963" i="28"/>
  <c r="O964" i="28"/>
  <c r="O965" i="28"/>
  <c r="O966" i="28"/>
  <c r="O967" i="28"/>
  <c r="O968" i="28"/>
  <c r="O969" i="28"/>
  <c r="O970" i="28"/>
  <c r="O971" i="28"/>
  <c r="O972" i="28"/>
  <c r="O973" i="28"/>
  <c r="O974" i="28"/>
  <c r="O975" i="28"/>
  <c r="O976" i="28"/>
  <c r="O977" i="28"/>
  <c r="O978" i="28"/>
  <c r="O979" i="28"/>
  <c r="O980" i="28"/>
  <c r="O981" i="28"/>
  <c r="O982" i="28"/>
  <c r="O983" i="28"/>
  <c r="O984" i="28"/>
  <c r="O985" i="28"/>
  <c r="O986" i="28"/>
  <c r="O987" i="28"/>
  <c r="O988" i="28"/>
  <c r="O989" i="28"/>
  <c r="O990" i="28"/>
  <c r="O991" i="28"/>
  <c r="O992" i="28"/>
  <c r="O993" i="28"/>
  <c r="O994" i="28"/>
  <c r="O995" i="28"/>
  <c r="O996" i="28"/>
  <c r="O997" i="28"/>
  <c r="O998" i="28"/>
  <c r="O999" i="28"/>
  <c r="O1000" i="28"/>
  <c r="O1001" i="28"/>
  <c r="O1002" i="28"/>
  <c r="O1003" i="28"/>
  <c r="N10" i="28"/>
  <c r="N11" i="28"/>
  <c r="N12" i="28"/>
  <c r="N13" i="28"/>
  <c r="N14" i="28"/>
  <c r="N15" i="28"/>
  <c r="N16" i="28"/>
  <c r="N17" i="28"/>
  <c r="N18" i="28"/>
  <c r="N19" i="28"/>
  <c r="N20" i="28"/>
  <c r="N21" i="28"/>
  <c r="N22" i="28"/>
  <c r="N23" i="28"/>
  <c r="N24" i="28"/>
  <c r="N25" i="28"/>
  <c r="N26" i="28"/>
  <c r="N27" i="28"/>
  <c r="N28" i="28"/>
  <c r="N29" i="28"/>
  <c r="N30" i="28"/>
  <c r="N31" i="28"/>
  <c r="N32" i="28"/>
  <c r="N33" i="28"/>
  <c r="N34" i="28"/>
  <c r="N35" i="28"/>
  <c r="N36" i="28"/>
  <c r="N37" i="28"/>
  <c r="N38" i="28"/>
  <c r="N39" i="28"/>
  <c r="N40" i="28"/>
  <c r="N41" i="28"/>
  <c r="N42" i="28"/>
  <c r="N43" i="28"/>
  <c r="N44" i="28"/>
  <c r="N45" i="28"/>
  <c r="N46" i="28"/>
  <c r="N47" i="28"/>
  <c r="N48" i="28"/>
  <c r="N49" i="28"/>
  <c r="N50" i="28"/>
  <c r="N51" i="28"/>
  <c r="N52" i="28"/>
  <c r="N53" i="28"/>
  <c r="N54" i="28"/>
  <c r="N55" i="28"/>
  <c r="N56" i="28"/>
  <c r="N57" i="28"/>
  <c r="N58" i="28"/>
  <c r="N59" i="28"/>
  <c r="N60" i="28"/>
  <c r="N61" i="28"/>
  <c r="N62" i="28"/>
  <c r="N63" i="28"/>
  <c r="N64" i="28"/>
  <c r="N65" i="28"/>
  <c r="N66" i="28"/>
  <c r="N67" i="28"/>
  <c r="N68" i="28"/>
  <c r="N69" i="28"/>
  <c r="N70" i="28"/>
  <c r="N71" i="28"/>
  <c r="N72" i="28"/>
  <c r="N73" i="28"/>
  <c r="N74" i="28"/>
  <c r="N75" i="28"/>
  <c r="N76" i="28"/>
  <c r="N77" i="28"/>
  <c r="N78" i="28"/>
  <c r="N79" i="28"/>
  <c r="N80" i="28"/>
  <c r="N81" i="28"/>
  <c r="N82" i="28"/>
  <c r="N83" i="28"/>
  <c r="N84" i="28"/>
  <c r="N85" i="28"/>
  <c r="N86" i="28"/>
  <c r="N87" i="28"/>
  <c r="N88" i="28"/>
  <c r="N89" i="28"/>
  <c r="N90" i="28"/>
  <c r="N91" i="28"/>
  <c r="N92" i="28"/>
  <c r="N93" i="28"/>
  <c r="N94" i="28"/>
  <c r="N95" i="28"/>
  <c r="N96" i="28"/>
  <c r="N97" i="28"/>
  <c r="N98" i="28"/>
  <c r="N99" i="28"/>
  <c r="N100" i="28"/>
  <c r="N101" i="28"/>
  <c r="N102" i="28"/>
  <c r="N103" i="28"/>
  <c r="N104" i="28"/>
  <c r="N105" i="28"/>
  <c r="N106" i="28"/>
  <c r="N107" i="28"/>
  <c r="N108" i="28"/>
  <c r="N109" i="28"/>
  <c r="N110" i="28"/>
  <c r="N111" i="28"/>
  <c r="N112" i="28"/>
  <c r="N113" i="28"/>
  <c r="N114" i="28"/>
  <c r="N115" i="28"/>
  <c r="N116" i="28"/>
  <c r="N117" i="28"/>
  <c r="N118" i="28"/>
  <c r="N119" i="28"/>
  <c r="N120" i="28"/>
  <c r="N121" i="28"/>
  <c r="N122" i="28"/>
  <c r="N123" i="28"/>
  <c r="N124" i="28"/>
  <c r="N125" i="28"/>
  <c r="N126" i="28"/>
  <c r="N127" i="28"/>
  <c r="N128" i="28"/>
  <c r="N129" i="28"/>
  <c r="N130" i="28"/>
  <c r="N131" i="28"/>
  <c r="N132" i="28"/>
  <c r="N133" i="28"/>
  <c r="N134" i="28"/>
  <c r="N135" i="28"/>
  <c r="N136" i="28"/>
  <c r="N137" i="28"/>
  <c r="N138" i="28"/>
  <c r="N139" i="28"/>
  <c r="N140" i="28"/>
  <c r="N141" i="28"/>
  <c r="N142" i="28"/>
  <c r="N143" i="28"/>
  <c r="N144" i="28"/>
  <c r="N145" i="28"/>
  <c r="N146" i="28"/>
  <c r="N147" i="28"/>
  <c r="N148" i="28"/>
  <c r="N149" i="28"/>
  <c r="N150" i="28"/>
  <c r="N151" i="28"/>
  <c r="N152" i="28"/>
  <c r="N153" i="28"/>
  <c r="N154" i="28"/>
  <c r="N155" i="28"/>
  <c r="N156" i="28"/>
  <c r="N157" i="28"/>
  <c r="N158" i="28"/>
  <c r="N159" i="28"/>
  <c r="N160" i="28"/>
  <c r="N161" i="28"/>
  <c r="N162" i="28"/>
  <c r="N163" i="28"/>
  <c r="N164" i="28"/>
  <c r="N165" i="28"/>
  <c r="N166" i="28"/>
  <c r="N167" i="28"/>
  <c r="N168" i="28"/>
  <c r="N169" i="28"/>
  <c r="N170" i="28"/>
  <c r="N171" i="28"/>
  <c r="N172" i="28"/>
  <c r="N173" i="28"/>
  <c r="N174" i="28"/>
  <c r="N175" i="28"/>
  <c r="N176" i="28"/>
  <c r="N177" i="28"/>
  <c r="N178" i="28"/>
  <c r="N179" i="28"/>
  <c r="N180" i="28"/>
  <c r="N181" i="28"/>
  <c r="N182" i="28"/>
  <c r="N183" i="28"/>
  <c r="N184" i="28"/>
  <c r="N185" i="28"/>
  <c r="N186" i="28"/>
  <c r="N187" i="28"/>
  <c r="N188" i="28"/>
  <c r="N189" i="28"/>
  <c r="N190" i="28"/>
  <c r="N191" i="28"/>
  <c r="N192" i="28"/>
  <c r="N193" i="28"/>
  <c r="N194" i="28"/>
  <c r="N195" i="28"/>
  <c r="N196" i="28"/>
  <c r="N197" i="28"/>
  <c r="N198" i="28"/>
  <c r="N199" i="28"/>
  <c r="N200" i="28"/>
  <c r="N201" i="28"/>
  <c r="N202" i="28"/>
  <c r="N203" i="28"/>
  <c r="N204" i="28"/>
  <c r="N205" i="28"/>
  <c r="N206" i="28"/>
  <c r="N207" i="28"/>
  <c r="N208" i="28"/>
  <c r="N209" i="28"/>
  <c r="N210" i="28"/>
  <c r="N211" i="28"/>
  <c r="N212" i="28"/>
  <c r="N213" i="28"/>
  <c r="N214" i="28"/>
  <c r="N215" i="28"/>
  <c r="N216" i="28"/>
  <c r="N217" i="28"/>
  <c r="N218" i="28"/>
  <c r="N219" i="28"/>
  <c r="N220" i="28"/>
  <c r="N221" i="28"/>
  <c r="N222" i="28"/>
  <c r="N223" i="28"/>
  <c r="N224" i="28"/>
  <c r="N225" i="28"/>
  <c r="N226" i="28"/>
  <c r="N227" i="28"/>
  <c r="N228" i="28"/>
  <c r="N229" i="28"/>
  <c r="N230" i="28"/>
  <c r="N231" i="28"/>
  <c r="N232" i="28"/>
  <c r="N233" i="28"/>
  <c r="N234" i="28"/>
  <c r="N235" i="28"/>
  <c r="N236" i="28"/>
  <c r="N237" i="28"/>
  <c r="N238" i="28"/>
  <c r="N239" i="28"/>
  <c r="N240" i="28"/>
  <c r="N241" i="28"/>
  <c r="N242" i="28"/>
  <c r="N243" i="28"/>
  <c r="N244" i="28"/>
  <c r="N245" i="28"/>
  <c r="N246" i="28"/>
  <c r="N247" i="28"/>
  <c r="N248" i="28"/>
  <c r="N249" i="28"/>
  <c r="N250" i="28"/>
  <c r="N251" i="28"/>
  <c r="N252" i="28"/>
  <c r="N253" i="28"/>
  <c r="N254" i="28"/>
  <c r="N255" i="28"/>
  <c r="N256" i="28"/>
  <c r="N257" i="28"/>
  <c r="N258" i="28"/>
  <c r="N259" i="28"/>
  <c r="N260" i="28"/>
  <c r="N261" i="28"/>
  <c r="N262" i="28"/>
  <c r="N263" i="28"/>
  <c r="N264" i="28"/>
  <c r="N265" i="28"/>
  <c r="N266" i="28"/>
  <c r="N267" i="28"/>
  <c r="N268" i="28"/>
  <c r="N269" i="28"/>
  <c r="N270" i="28"/>
  <c r="N271" i="28"/>
  <c r="N272" i="28"/>
  <c r="N273" i="28"/>
  <c r="N274" i="28"/>
  <c r="N275" i="28"/>
  <c r="N276" i="28"/>
  <c r="N277" i="28"/>
  <c r="N278" i="28"/>
  <c r="N279" i="28"/>
  <c r="N280" i="28"/>
  <c r="N281" i="28"/>
  <c r="N282" i="28"/>
  <c r="N283" i="28"/>
  <c r="N284" i="28"/>
  <c r="N285" i="28"/>
  <c r="N286" i="28"/>
  <c r="N287" i="28"/>
  <c r="N288" i="28"/>
  <c r="N289" i="28"/>
  <c r="N290" i="28"/>
  <c r="N291" i="28"/>
  <c r="N292" i="28"/>
  <c r="N293" i="28"/>
  <c r="N294" i="28"/>
  <c r="N295" i="28"/>
  <c r="N296" i="28"/>
  <c r="N297" i="28"/>
  <c r="N298" i="28"/>
  <c r="N299" i="28"/>
  <c r="N300" i="28"/>
  <c r="N301" i="28"/>
  <c r="N302" i="28"/>
  <c r="N303" i="28"/>
  <c r="N304" i="28"/>
  <c r="N305" i="28"/>
  <c r="N306" i="28"/>
  <c r="N307" i="28"/>
  <c r="N308" i="28"/>
  <c r="N309" i="28"/>
  <c r="N310" i="28"/>
  <c r="N311" i="28"/>
  <c r="N312" i="28"/>
  <c r="N313" i="28"/>
  <c r="N314" i="28"/>
  <c r="N315" i="28"/>
  <c r="N316" i="28"/>
  <c r="N317" i="28"/>
  <c r="N318" i="28"/>
  <c r="N319" i="28"/>
  <c r="N320" i="28"/>
  <c r="N321" i="28"/>
  <c r="N322" i="28"/>
  <c r="N323" i="28"/>
  <c r="N324" i="28"/>
  <c r="N325" i="28"/>
  <c r="N326" i="28"/>
  <c r="N327" i="28"/>
  <c r="N328" i="28"/>
  <c r="N329" i="28"/>
  <c r="N330" i="28"/>
  <c r="N331" i="28"/>
  <c r="N332" i="28"/>
  <c r="N333" i="28"/>
  <c r="N334" i="28"/>
  <c r="N335" i="28"/>
  <c r="N336" i="28"/>
  <c r="N337" i="28"/>
  <c r="N338" i="28"/>
  <c r="N339" i="28"/>
  <c r="N340" i="28"/>
  <c r="N341" i="28"/>
  <c r="N342" i="28"/>
  <c r="N343" i="28"/>
  <c r="N344" i="28"/>
  <c r="N345" i="28"/>
  <c r="N346" i="28"/>
  <c r="N347" i="28"/>
  <c r="N348" i="28"/>
  <c r="N349" i="28"/>
  <c r="N350" i="28"/>
  <c r="N351" i="28"/>
  <c r="N352" i="28"/>
  <c r="N353" i="28"/>
  <c r="N354" i="28"/>
  <c r="N355" i="28"/>
  <c r="N356" i="28"/>
  <c r="N357" i="28"/>
  <c r="N358" i="28"/>
  <c r="N359" i="28"/>
  <c r="N360" i="28"/>
  <c r="N361" i="28"/>
  <c r="N362" i="28"/>
  <c r="N363" i="28"/>
  <c r="N364" i="28"/>
  <c r="N365" i="28"/>
  <c r="N366" i="28"/>
  <c r="N367" i="28"/>
  <c r="N368" i="28"/>
  <c r="N369" i="28"/>
  <c r="N370" i="28"/>
  <c r="N371" i="28"/>
  <c r="N372" i="28"/>
  <c r="N373" i="28"/>
  <c r="N374" i="28"/>
  <c r="N375" i="28"/>
  <c r="N376" i="28"/>
  <c r="N377" i="28"/>
  <c r="N378" i="28"/>
  <c r="N379" i="28"/>
  <c r="N380" i="28"/>
  <c r="N381" i="28"/>
  <c r="N382" i="28"/>
  <c r="N383" i="28"/>
  <c r="N384" i="28"/>
  <c r="N385" i="28"/>
  <c r="N386" i="28"/>
  <c r="N387" i="28"/>
  <c r="N388" i="28"/>
  <c r="N389" i="28"/>
  <c r="N390" i="28"/>
  <c r="N391" i="28"/>
  <c r="N392" i="28"/>
  <c r="N393" i="28"/>
  <c r="N394" i="28"/>
  <c r="N395" i="28"/>
  <c r="N396" i="28"/>
  <c r="N397" i="28"/>
  <c r="N398" i="28"/>
  <c r="N399" i="28"/>
  <c r="N400" i="28"/>
  <c r="N401" i="28"/>
  <c r="N402" i="28"/>
  <c r="N403" i="28"/>
  <c r="N404" i="28"/>
  <c r="N405" i="28"/>
  <c r="N406" i="28"/>
  <c r="N407" i="28"/>
  <c r="N408" i="28"/>
  <c r="N409" i="28"/>
  <c r="N410" i="28"/>
  <c r="N411" i="28"/>
  <c r="N412" i="28"/>
  <c r="N413" i="28"/>
  <c r="N414" i="28"/>
  <c r="N415" i="28"/>
  <c r="N416" i="28"/>
  <c r="N417" i="28"/>
  <c r="N418" i="28"/>
  <c r="N419" i="28"/>
  <c r="N420" i="28"/>
  <c r="N421" i="28"/>
  <c r="N422" i="28"/>
  <c r="N423" i="28"/>
  <c r="N424" i="28"/>
  <c r="N425" i="28"/>
  <c r="N426" i="28"/>
  <c r="N427" i="28"/>
  <c r="N428" i="28"/>
  <c r="N429" i="28"/>
  <c r="N430" i="28"/>
  <c r="N431" i="28"/>
  <c r="N432" i="28"/>
  <c r="N433" i="28"/>
  <c r="N434" i="28"/>
  <c r="N435" i="28"/>
  <c r="N436" i="28"/>
  <c r="N437" i="28"/>
  <c r="N438" i="28"/>
  <c r="N439" i="28"/>
  <c r="N440" i="28"/>
  <c r="N441" i="28"/>
  <c r="N442" i="28"/>
  <c r="N443" i="28"/>
  <c r="N444" i="28"/>
  <c r="N445" i="28"/>
  <c r="N446" i="28"/>
  <c r="N447" i="28"/>
  <c r="N448" i="28"/>
  <c r="N449" i="28"/>
  <c r="N450" i="28"/>
  <c r="N451" i="28"/>
  <c r="N452" i="28"/>
  <c r="N453" i="28"/>
  <c r="N454" i="28"/>
  <c r="N455" i="28"/>
  <c r="N456" i="28"/>
  <c r="N457" i="28"/>
  <c r="N458" i="28"/>
  <c r="N459" i="28"/>
  <c r="N460" i="28"/>
  <c r="N461" i="28"/>
  <c r="N462" i="28"/>
  <c r="N463" i="28"/>
  <c r="N464" i="28"/>
  <c r="N465" i="28"/>
  <c r="N466" i="28"/>
  <c r="N467" i="28"/>
  <c r="N468" i="28"/>
  <c r="N469" i="28"/>
  <c r="N470" i="28"/>
  <c r="N471" i="28"/>
  <c r="N472" i="28"/>
  <c r="N473" i="28"/>
  <c r="N474" i="28"/>
  <c r="N475" i="28"/>
  <c r="N476" i="28"/>
  <c r="N477" i="28"/>
  <c r="N478" i="28"/>
  <c r="N479" i="28"/>
  <c r="N480" i="28"/>
  <c r="N481" i="28"/>
  <c r="N482" i="28"/>
  <c r="N483" i="28"/>
  <c r="N484" i="28"/>
  <c r="N485" i="28"/>
  <c r="N486" i="28"/>
  <c r="N487" i="28"/>
  <c r="N488" i="28"/>
  <c r="N489" i="28"/>
  <c r="N490" i="28"/>
  <c r="N491" i="28"/>
  <c r="N492" i="28"/>
  <c r="N493" i="28"/>
  <c r="N494" i="28"/>
  <c r="N495" i="28"/>
  <c r="N496" i="28"/>
  <c r="N497" i="28"/>
  <c r="N498" i="28"/>
  <c r="N499" i="28"/>
  <c r="N500" i="28"/>
  <c r="N501" i="28"/>
  <c r="N502" i="28"/>
  <c r="N503" i="28"/>
  <c r="N504" i="28"/>
  <c r="N505" i="28"/>
  <c r="N506" i="28"/>
  <c r="N507" i="28"/>
  <c r="N508" i="28"/>
  <c r="N509" i="28"/>
  <c r="N510" i="28"/>
  <c r="N511" i="28"/>
  <c r="N512" i="28"/>
  <c r="N513" i="28"/>
  <c r="N514" i="28"/>
  <c r="N515" i="28"/>
  <c r="N516" i="28"/>
  <c r="N517" i="28"/>
  <c r="N518" i="28"/>
  <c r="N519" i="28"/>
  <c r="N520" i="28"/>
  <c r="N521" i="28"/>
  <c r="N522" i="28"/>
  <c r="N523" i="28"/>
  <c r="N524" i="28"/>
  <c r="N525" i="28"/>
  <c r="N526" i="28"/>
  <c r="N527" i="28"/>
  <c r="N528" i="28"/>
  <c r="N529" i="28"/>
  <c r="N530" i="28"/>
  <c r="N531" i="28"/>
  <c r="N532" i="28"/>
  <c r="N533" i="28"/>
  <c r="N534" i="28"/>
  <c r="N535" i="28"/>
  <c r="N536" i="28"/>
  <c r="N537" i="28"/>
  <c r="N538" i="28"/>
  <c r="N539" i="28"/>
  <c r="N540" i="28"/>
  <c r="N541" i="28"/>
  <c r="N542" i="28"/>
  <c r="N543" i="28"/>
  <c r="N544" i="28"/>
  <c r="N545" i="28"/>
  <c r="N546" i="28"/>
  <c r="N547" i="28"/>
  <c r="N548" i="28"/>
  <c r="N549" i="28"/>
  <c r="N550" i="28"/>
  <c r="N551" i="28"/>
  <c r="N552" i="28"/>
  <c r="N553" i="28"/>
  <c r="N554" i="28"/>
  <c r="N555" i="28"/>
  <c r="N556" i="28"/>
  <c r="N557" i="28"/>
  <c r="N558" i="28"/>
  <c r="N559" i="28"/>
  <c r="N560" i="28"/>
  <c r="N561" i="28"/>
  <c r="N562" i="28"/>
  <c r="N563" i="28"/>
  <c r="N564" i="28"/>
  <c r="N565" i="28"/>
  <c r="N566" i="28"/>
  <c r="N567" i="28"/>
  <c r="N568" i="28"/>
  <c r="N569" i="28"/>
  <c r="N570" i="28"/>
  <c r="N571" i="28"/>
  <c r="N572" i="28"/>
  <c r="N573" i="28"/>
  <c r="N574" i="28"/>
  <c r="N575" i="28"/>
  <c r="N576" i="28"/>
  <c r="N577" i="28"/>
  <c r="N578" i="28"/>
  <c r="N579" i="28"/>
  <c r="N580" i="28"/>
  <c r="N581" i="28"/>
  <c r="N582" i="28"/>
  <c r="N583" i="28"/>
  <c r="N584" i="28"/>
  <c r="N585" i="28"/>
  <c r="N586" i="28"/>
  <c r="N587" i="28"/>
  <c r="N588" i="28"/>
  <c r="N589" i="28"/>
  <c r="N590" i="28"/>
  <c r="N591" i="28"/>
  <c r="N592" i="28"/>
  <c r="N593" i="28"/>
  <c r="N594" i="28"/>
  <c r="N595" i="28"/>
  <c r="N596" i="28"/>
  <c r="N597" i="28"/>
  <c r="N598" i="28"/>
  <c r="N599" i="28"/>
  <c r="N600" i="28"/>
  <c r="N601" i="28"/>
  <c r="N602" i="28"/>
  <c r="N603" i="28"/>
  <c r="N604" i="28"/>
  <c r="N605" i="28"/>
  <c r="N606" i="28"/>
  <c r="N607" i="28"/>
  <c r="N608" i="28"/>
  <c r="N609" i="28"/>
  <c r="N610" i="28"/>
  <c r="N611" i="28"/>
  <c r="N612" i="28"/>
  <c r="N613" i="28"/>
  <c r="N614" i="28"/>
  <c r="N615" i="28"/>
  <c r="N616" i="28"/>
  <c r="N617" i="28"/>
  <c r="N618" i="28"/>
  <c r="N619" i="28"/>
  <c r="N620" i="28"/>
  <c r="N621" i="28"/>
  <c r="N622" i="28"/>
  <c r="N623" i="28"/>
  <c r="N624" i="28"/>
  <c r="N625" i="28"/>
  <c r="N626" i="28"/>
  <c r="N627" i="28"/>
  <c r="N628" i="28"/>
  <c r="N629" i="28"/>
  <c r="N630" i="28"/>
  <c r="N631" i="28"/>
  <c r="N632" i="28"/>
  <c r="N633" i="28"/>
  <c r="N634" i="28"/>
  <c r="N635" i="28"/>
  <c r="N636" i="28"/>
  <c r="N637" i="28"/>
  <c r="N638" i="28"/>
  <c r="N639" i="28"/>
  <c r="N640" i="28"/>
  <c r="N641" i="28"/>
  <c r="N642" i="28"/>
  <c r="N643" i="28"/>
  <c r="N644" i="28"/>
  <c r="N645" i="28"/>
  <c r="N646" i="28"/>
  <c r="N647" i="28"/>
  <c r="N648" i="28"/>
  <c r="N649" i="28"/>
  <c r="N650" i="28"/>
  <c r="N651" i="28"/>
  <c r="N652" i="28"/>
  <c r="N653" i="28"/>
  <c r="N654" i="28"/>
  <c r="N655" i="28"/>
  <c r="N656" i="28"/>
  <c r="N657" i="28"/>
  <c r="N658" i="28"/>
  <c r="N659" i="28"/>
  <c r="N660" i="28"/>
  <c r="N661" i="28"/>
  <c r="N662" i="28"/>
  <c r="N663" i="28"/>
  <c r="N664" i="28"/>
  <c r="N665" i="28"/>
  <c r="N666" i="28"/>
  <c r="N667" i="28"/>
  <c r="N668" i="28"/>
  <c r="N669" i="28"/>
  <c r="N670" i="28"/>
  <c r="N671" i="28"/>
  <c r="N672" i="28"/>
  <c r="N673" i="28"/>
  <c r="N674" i="28"/>
  <c r="N675" i="28"/>
  <c r="N676" i="28"/>
  <c r="N677" i="28"/>
  <c r="N678" i="28"/>
  <c r="N679" i="28"/>
  <c r="N680" i="28"/>
  <c r="N681" i="28"/>
  <c r="N682" i="28"/>
  <c r="N683" i="28"/>
  <c r="N684" i="28"/>
  <c r="N685" i="28"/>
  <c r="N686" i="28"/>
  <c r="N687" i="28"/>
  <c r="N688" i="28"/>
  <c r="N689" i="28"/>
  <c r="N690" i="28"/>
  <c r="N691" i="28"/>
  <c r="N692" i="28"/>
  <c r="N693" i="28"/>
  <c r="N694" i="28"/>
  <c r="N695" i="28"/>
  <c r="N696" i="28"/>
  <c r="N697" i="28"/>
  <c r="N698" i="28"/>
  <c r="N699" i="28"/>
  <c r="N700" i="28"/>
  <c r="N701" i="28"/>
  <c r="N702" i="28"/>
  <c r="N703" i="28"/>
  <c r="N704" i="28"/>
  <c r="N705" i="28"/>
  <c r="N706" i="28"/>
  <c r="N707" i="28"/>
  <c r="N708" i="28"/>
  <c r="N709" i="28"/>
  <c r="N710" i="28"/>
  <c r="N711" i="28"/>
  <c r="N712" i="28"/>
  <c r="N713" i="28"/>
  <c r="N714" i="28"/>
  <c r="N715" i="28"/>
  <c r="N716" i="28"/>
  <c r="N717" i="28"/>
  <c r="N718" i="28"/>
  <c r="N719" i="28"/>
  <c r="N720" i="28"/>
  <c r="N721" i="28"/>
  <c r="N722" i="28"/>
  <c r="N723" i="28"/>
  <c r="N724" i="28"/>
  <c r="N725" i="28"/>
  <c r="N726" i="28"/>
  <c r="N727" i="28"/>
  <c r="N728" i="28"/>
  <c r="N729" i="28"/>
  <c r="N730" i="28"/>
  <c r="N731" i="28"/>
  <c r="N732" i="28"/>
  <c r="N733" i="28"/>
  <c r="N734" i="28"/>
  <c r="N735" i="28"/>
  <c r="N736" i="28"/>
  <c r="N737" i="28"/>
  <c r="N738" i="28"/>
  <c r="N739" i="28"/>
  <c r="N740" i="28"/>
  <c r="N741" i="28"/>
  <c r="N742" i="28"/>
  <c r="N743" i="28"/>
  <c r="N744" i="28"/>
  <c r="N745" i="28"/>
  <c r="N746" i="28"/>
  <c r="N747" i="28"/>
  <c r="N748" i="28"/>
  <c r="N749" i="28"/>
  <c r="N750" i="28"/>
  <c r="N751" i="28"/>
  <c r="N752" i="28"/>
  <c r="N753" i="28"/>
  <c r="N754" i="28"/>
  <c r="N755" i="28"/>
  <c r="N756" i="28"/>
  <c r="N757" i="28"/>
  <c r="N758" i="28"/>
  <c r="N759" i="28"/>
  <c r="N760" i="28"/>
  <c r="N761" i="28"/>
  <c r="N762" i="28"/>
  <c r="N763" i="28"/>
  <c r="N764" i="28"/>
  <c r="N765" i="28"/>
  <c r="N766" i="28"/>
  <c r="N767" i="28"/>
  <c r="N768" i="28"/>
  <c r="N769" i="28"/>
  <c r="N770" i="28"/>
  <c r="N771" i="28"/>
  <c r="N772" i="28"/>
  <c r="N773" i="28"/>
  <c r="N774" i="28"/>
  <c r="N775" i="28"/>
  <c r="N776" i="28"/>
  <c r="N777" i="28"/>
  <c r="N778" i="28"/>
  <c r="N779" i="28"/>
  <c r="N780" i="28"/>
  <c r="N781" i="28"/>
  <c r="N782" i="28"/>
  <c r="N783" i="28"/>
  <c r="N784" i="28"/>
  <c r="N785" i="28"/>
  <c r="N786" i="28"/>
  <c r="N787" i="28"/>
  <c r="N788" i="28"/>
  <c r="N789" i="28"/>
  <c r="N790" i="28"/>
  <c r="N791" i="28"/>
  <c r="N792" i="28"/>
  <c r="N793" i="28"/>
  <c r="N794" i="28"/>
  <c r="N795" i="28"/>
  <c r="N796" i="28"/>
  <c r="N797" i="28"/>
  <c r="N798" i="28"/>
  <c r="N799" i="28"/>
  <c r="N800" i="28"/>
  <c r="N801" i="28"/>
  <c r="N802" i="28"/>
  <c r="N803" i="28"/>
  <c r="N804" i="28"/>
  <c r="N805" i="28"/>
  <c r="N806" i="28"/>
  <c r="N807" i="28"/>
  <c r="N808" i="28"/>
  <c r="N809" i="28"/>
  <c r="N810" i="28"/>
  <c r="N811" i="28"/>
  <c r="N812" i="28"/>
  <c r="N813" i="28"/>
  <c r="N814" i="28"/>
  <c r="N815" i="28"/>
  <c r="N816" i="28"/>
  <c r="N817" i="28"/>
  <c r="N818" i="28"/>
  <c r="N819" i="28"/>
  <c r="N820" i="28"/>
  <c r="N821" i="28"/>
  <c r="N822" i="28"/>
  <c r="N823" i="28"/>
  <c r="N824" i="28"/>
  <c r="N825" i="28"/>
  <c r="N826" i="28"/>
  <c r="N827" i="28"/>
  <c r="N828" i="28"/>
  <c r="N829" i="28"/>
  <c r="N830" i="28"/>
  <c r="N831" i="28"/>
  <c r="N832" i="28"/>
  <c r="N833" i="28"/>
  <c r="N834" i="28"/>
  <c r="N835" i="28"/>
  <c r="N836" i="28"/>
  <c r="N837" i="28"/>
  <c r="N838" i="28"/>
  <c r="N839" i="28"/>
  <c r="N840" i="28"/>
  <c r="N841" i="28"/>
  <c r="N842" i="28"/>
  <c r="N843" i="28"/>
  <c r="N844" i="28"/>
  <c r="N845" i="28"/>
  <c r="N846" i="28"/>
  <c r="N847" i="28"/>
  <c r="N848" i="28"/>
  <c r="N849" i="28"/>
  <c r="N850" i="28"/>
  <c r="N851" i="28"/>
  <c r="N852" i="28"/>
  <c r="N853" i="28"/>
  <c r="N854" i="28"/>
  <c r="N855" i="28"/>
  <c r="N856" i="28"/>
  <c r="N857" i="28"/>
  <c r="N858" i="28"/>
  <c r="N859" i="28"/>
  <c r="N860" i="28"/>
  <c r="N861" i="28"/>
  <c r="N862" i="28"/>
  <c r="N863" i="28"/>
  <c r="N864" i="28"/>
  <c r="N865" i="28"/>
  <c r="N866" i="28"/>
  <c r="N867" i="28"/>
  <c r="N868" i="28"/>
  <c r="N869" i="28"/>
  <c r="N870" i="28"/>
  <c r="N871" i="28"/>
  <c r="N872" i="28"/>
  <c r="N873" i="28"/>
  <c r="N874" i="28"/>
  <c r="N875" i="28"/>
  <c r="N876" i="28"/>
  <c r="N877" i="28"/>
  <c r="N878" i="28"/>
  <c r="N879" i="28"/>
  <c r="N880" i="28"/>
  <c r="N881" i="28"/>
  <c r="N882" i="28"/>
  <c r="N883" i="28"/>
  <c r="N884" i="28"/>
  <c r="N885" i="28"/>
  <c r="N886" i="28"/>
  <c r="N887" i="28"/>
  <c r="N888" i="28"/>
  <c r="N889" i="28"/>
  <c r="N890" i="28"/>
  <c r="N891" i="28"/>
  <c r="N892" i="28"/>
  <c r="N893" i="28"/>
  <c r="N894" i="28"/>
  <c r="N895" i="28"/>
  <c r="N896" i="28"/>
  <c r="N897" i="28"/>
  <c r="N898" i="28"/>
  <c r="N899" i="28"/>
  <c r="N900" i="28"/>
  <c r="N901" i="28"/>
  <c r="N902" i="28"/>
  <c r="N903" i="28"/>
  <c r="N904" i="28"/>
  <c r="N905" i="28"/>
  <c r="N906" i="28"/>
  <c r="N907" i="28"/>
  <c r="N908" i="28"/>
  <c r="N909" i="28"/>
  <c r="N910" i="28"/>
  <c r="N911" i="28"/>
  <c r="N912" i="28"/>
  <c r="N913" i="28"/>
  <c r="N914" i="28"/>
  <c r="N915" i="28"/>
  <c r="N916" i="28"/>
  <c r="N917" i="28"/>
  <c r="N918" i="28"/>
  <c r="N919" i="28"/>
  <c r="N920" i="28"/>
  <c r="N921" i="28"/>
  <c r="N922" i="28"/>
  <c r="N923" i="28"/>
  <c r="N924" i="28"/>
  <c r="N925" i="28"/>
  <c r="N926" i="28"/>
  <c r="N927" i="28"/>
  <c r="N928" i="28"/>
  <c r="N929" i="28"/>
  <c r="N930" i="28"/>
  <c r="N931" i="28"/>
  <c r="N932" i="28"/>
  <c r="N933" i="28"/>
  <c r="N934" i="28"/>
  <c r="N935" i="28"/>
  <c r="N936" i="28"/>
  <c r="N937" i="28"/>
  <c r="N938" i="28"/>
  <c r="N939" i="28"/>
  <c r="N940" i="28"/>
  <c r="N941" i="28"/>
  <c r="N942" i="28"/>
  <c r="N943" i="28"/>
  <c r="N944" i="28"/>
  <c r="N945" i="28"/>
  <c r="N946" i="28"/>
  <c r="N947" i="28"/>
  <c r="N948" i="28"/>
  <c r="N949" i="28"/>
  <c r="N950" i="28"/>
  <c r="N951" i="28"/>
  <c r="N952" i="28"/>
  <c r="N953" i="28"/>
  <c r="N954" i="28"/>
  <c r="N955" i="28"/>
  <c r="N956" i="28"/>
  <c r="N957" i="28"/>
  <c r="N958" i="28"/>
  <c r="N959" i="28"/>
  <c r="N960" i="28"/>
  <c r="N961" i="28"/>
  <c r="N962" i="28"/>
  <c r="N963" i="28"/>
  <c r="N964" i="28"/>
  <c r="N965" i="28"/>
  <c r="N966" i="28"/>
  <c r="N967" i="28"/>
  <c r="N968" i="28"/>
  <c r="N969" i="28"/>
  <c r="N970" i="28"/>
  <c r="N971" i="28"/>
  <c r="N972" i="28"/>
  <c r="N973" i="28"/>
  <c r="N974" i="28"/>
  <c r="N975" i="28"/>
  <c r="N976" i="28"/>
  <c r="N977" i="28"/>
  <c r="N978" i="28"/>
  <c r="N979" i="28"/>
  <c r="N980" i="28"/>
  <c r="N981" i="28"/>
  <c r="N982" i="28"/>
  <c r="N983" i="28"/>
  <c r="N984" i="28"/>
  <c r="N985" i="28"/>
  <c r="N986" i="28"/>
  <c r="N987" i="28"/>
  <c r="N988" i="28"/>
  <c r="N989" i="28"/>
  <c r="N990" i="28"/>
  <c r="N991" i="28"/>
  <c r="N992" i="28"/>
  <c r="N993" i="28"/>
  <c r="N994" i="28"/>
  <c r="N995" i="28"/>
  <c r="N996" i="28"/>
  <c r="N997" i="28"/>
  <c r="N998" i="28"/>
  <c r="N999" i="28"/>
  <c r="N1000" i="28"/>
  <c r="N1001" i="28"/>
  <c r="N1002" i="28"/>
  <c r="N1003" i="28"/>
  <c r="M10" i="28"/>
  <c r="M11" i="28"/>
  <c r="M12" i="28"/>
  <c r="M13" i="28"/>
  <c r="M14" i="28"/>
  <c r="M15" i="28"/>
  <c r="M16" i="28"/>
  <c r="M17" i="28"/>
  <c r="M18" i="28"/>
  <c r="M19" i="28"/>
  <c r="M20" i="28"/>
  <c r="M21" i="28"/>
  <c r="M22" i="28"/>
  <c r="M23" i="28"/>
  <c r="M24" i="28"/>
  <c r="M25" i="28"/>
  <c r="M26" i="28"/>
  <c r="M27" i="28"/>
  <c r="M28" i="28"/>
  <c r="M29" i="28"/>
  <c r="M30" i="28"/>
  <c r="M31" i="28"/>
  <c r="M32" i="28"/>
  <c r="M33" i="28"/>
  <c r="M34" i="28"/>
  <c r="M35" i="28"/>
  <c r="M36" i="28"/>
  <c r="M37" i="28"/>
  <c r="M38" i="28"/>
  <c r="M39" i="28"/>
  <c r="M40" i="28"/>
  <c r="M41" i="28"/>
  <c r="M42" i="28"/>
  <c r="M43" i="28"/>
  <c r="M44" i="28"/>
  <c r="M45" i="28"/>
  <c r="M46" i="28"/>
  <c r="M47" i="28"/>
  <c r="M48" i="28"/>
  <c r="M49" i="28"/>
  <c r="M50" i="28"/>
  <c r="M51" i="28"/>
  <c r="M52" i="28"/>
  <c r="M53" i="28"/>
  <c r="M54" i="28"/>
  <c r="M55" i="28"/>
  <c r="M56" i="28"/>
  <c r="M57" i="28"/>
  <c r="M58" i="28"/>
  <c r="M59" i="28"/>
  <c r="M60" i="28"/>
  <c r="M61" i="28"/>
  <c r="M62" i="28"/>
  <c r="M63" i="28"/>
  <c r="M64" i="28"/>
  <c r="M65" i="28"/>
  <c r="M66" i="28"/>
  <c r="M67" i="28"/>
  <c r="M68" i="28"/>
  <c r="M69" i="28"/>
  <c r="M70" i="28"/>
  <c r="M71" i="28"/>
  <c r="M72" i="28"/>
  <c r="M73" i="28"/>
  <c r="M74" i="28"/>
  <c r="M75" i="28"/>
  <c r="M76" i="28"/>
  <c r="M77" i="28"/>
  <c r="M78" i="28"/>
  <c r="M79" i="28"/>
  <c r="M80" i="28"/>
  <c r="M81" i="28"/>
  <c r="M82" i="28"/>
  <c r="M83" i="28"/>
  <c r="M84" i="28"/>
  <c r="M85" i="28"/>
  <c r="M86" i="28"/>
  <c r="M87" i="28"/>
  <c r="M88" i="28"/>
  <c r="M89" i="28"/>
  <c r="M90" i="28"/>
  <c r="M91" i="28"/>
  <c r="M92" i="28"/>
  <c r="M93" i="28"/>
  <c r="M94" i="28"/>
  <c r="M95" i="28"/>
  <c r="M96" i="28"/>
  <c r="M97" i="28"/>
  <c r="M98" i="28"/>
  <c r="M99" i="28"/>
  <c r="M100" i="28"/>
  <c r="M101" i="28"/>
  <c r="M102" i="28"/>
  <c r="M103" i="28"/>
  <c r="M104" i="28"/>
  <c r="M105" i="28"/>
  <c r="M106" i="28"/>
  <c r="M107" i="28"/>
  <c r="M108" i="28"/>
  <c r="M109" i="28"/>
  <c r="M110" i="28"/>
  <c r="M111" i="28"/>
  <c r="M112" i="28"/>
  <c r="M113" i="28"/>
  <c r="M114" i="28"/>
  <c r="M115" i="28"/>
  <c r="M116" i="28"/>
  <c r="M117" i="28"/>
  <c r="M118" i="28"/>
  <c r="M119" i="28"/>
  <c r="M120" i="28"/>
  <c r="M121" i="28"/>
  <c r="M122" i="28"/>
  <c r="M123" i="28"/>
  <c r="M124" i="28"/>
  <c r="M125" i="28"/>
  <c r="M126" i="28"/>
  <c r="M127" i="28"/>
  <c r="M128" i="28"/>
  <c r="M129" i="28"/>
  <c r="M130" i="28"/>
  <c r="M131" i="28"/>
  <c r="M132" i="28"/>
  <c r="M133" i="28"/>
  <c r="M134" i="28"/>
  <c r="M135" i="28"/>
  <c r="M136" i="28"/>
  <c r="M137" i="28"/>
  <c r="M138" i="28"/>
  <c r="M139" i="28"/>
  <c r="M140" i="28"/>
  <c r="M141" i="28"/>
  <c r="M142" i="28"/>
  <c r="M143" i="28"/>
  <c r="M144" i="28"/>
  <c r="M145" i="28"/>
  <c r="M146" i="28"/>
  <c r="M147" i="28"/>
  <c r="M148" i="28"/>
  <c r="M149" i="28"/>
  <c r="M150" i="28"/>
  <c r="M151" i="28"/>
  <c r="M152" i="28"/>
  <c r="M153" i="28"/>
  <c r="M154" i="28"/>
  <c r="M155" i="28"/>
  <c r="M156" i="28"/>
  <c r="M157" i="28"/>
  <c r="M158" i="28"/>
  <c r="M159" i="28"/>
  <c r="M160" i="28"/>
  <c r="M161" i="28"/>
  <c r="M162" i="28"/>
  <c r="M163" i="28"/>
  <c r="M164" i="28"/>
  <c r="M165" i="28"/>
  <c r="M166" i="28"/>
  <c r="M167" i="28"/>
  <c r="M168" i="28"/>
  <c r="M169" i="28"/>
  <c r="M170" i="28"/>
  <c r="M171" i="28"/>
  <c r="M172" i="28"/>
  <c r="M173" i="28"/>
  <c r="M174" i="28"/>
  <c r="M175" i="28"/>
  <c r="M176" i="28"/>
  <c r="M177" i="28"/>
  <c r="M178" i="28"/>
  <c r="M179" i="28"/>
  <c r="M180" i="28"/>
  <c r="M181" i="28"/>
  <c r="M182" i="28"/>
  <c r="M183" i="28"/>
  <c r="M184" i="28"/>
  <c r="M185" i="28"/>
  <c r="M186" i="28"/>
  <c r="M187" i="28"/>
  <c r="M188" i="28"/>
  <c r="M189" i="28"/>
  <c r="M190" i="28"/>
  <c r="M191" i="28"/>
  <c r="M192" i="28"/>
  <c r="M193" i="28"/>
  <c r="M194" i="28"/>
  <c r="M195" i="28"/>
  <c r="M196" i="28"/>
  <c r="M197" i="28"/>
  <c r="M198" i="28"/>
  <c r="M199" i="28"/>
  <c r="M200" i="28"/>
  <c r="M201" i="28"/>
  <c r="M202" i="28"/>
  <c r="M203" i="28"/>
  <c r="M204" i="28"/>
  <c r="M205" i="28"/>
  <c r="M206" i="28"/>
  <c r="M207" i="28"/>
  <c r="M208" i="28"/>
  <c r="M209" i="28"/>
  <c r="M210" i="28"/>
  <c r="M211" i="28"/>
  <c r="M212" i="28"/>
  <c r="M213" i="28"/>
  <c r="M214" i="28"/>
  <c r="M215" i="28"/>
  <c r="M216" i="28"/>
  <c r="M217" i="28"/>
  <c r="M218" i="28"/>
  <c r="M219" i="28"/>
  <c r="M220" i="28"/>
  <c r="M221" i="28"/>
  <c r="M222" i="28"/>
  <c r="M223" i="28"/>
  <c r="M224" i="28"/>
  <c r="M225" i="28"/>
  <c r="M226" i="28"/>
  <c r="M227" i="28"/>
  <c r="M228" i="28"/>
  <c r="M229" i="28"/>
  <c r="M230" i="28"/>
  <c r="M231" i="28"/>
  <c r="M232" i="28"/>
  <c r="M233" i="28"/>
  <c r="M234" i="28"/>
  <c r="M235" i="28"/>
  <c r="M236" i="28"/>
  <c r="M237" i="28"/>
  <c r="M238" i="28"/>
  <c r="M239" i="28"/>
  <c r="M240" i="28"/>
  <c r="M241" i="28"/>
  <c r="M242" i="28"/>
  <c r="M243" i="28"/>
  <c r="M244" i="28"/>
  <c r="M245" i="28"/>
  <c r="M246" i="28"/>
  <c r="M247" i="28"/>
  <c r="M248" i="28"/>
  <c r="M249" i="28"/>
  <c r="M250" i="28"/>
  <c r="M251" i="28"/>
  <c r="M252" i="28"/>
  <c r="M253" i="28"/>
  <c r="M254" i="28"/>
  <c r="M255" i="28"/>
  <c r="M256" i="28"/>
  <c r="M257" i="28"/>
  <c r="M258" i="28"/>
  <c r="M259" i="28"/>
  <c r="M260" i="28"/>
  <c r="M261" i="28"/>
  <c r="M262" i="28"/>
  <c r="M263" i="28"/>
  <c r="M264" i="28"/>
  <c r="M265" i="28"/>
  <c r="M266" i="28"/>
  <c r="M267" i="28"/>
  <c r="M268" i="28"/>
  <c r="M269" i="28"/>
  <c r="M270" i="28"/>
  <c r="M271" i="28"/>
  <c r="M272" i="28"/>
  <c r="M273" i="28"/>
  <c r="M274" i="28"/>
  <c r="M275" i="28"/>
  <c r="M276" i="28"/>
  <c r="M277" i="28"/>
  <c r="M278" i="28"/>
  <c r="M279" i="28"/>
  <c r="M280" i="28"/>
  <c r="M281" i="28"/>
  <c r="M282" i="28"/>
  <c r="M283" i="28"/>
  <c r="M284" i="28"/>
  <c r="M285" i="28"/>
  <c r="M286" i="28"/>
  <c r="M287" i="28"/>
  <c r="M288" i="28"/>
  <c r="M289" i="28"/>
  <c r="M290" i="28"/>
  <c r="M291" i="28"/>
  <c r="M292" i="28"/>
  <c r="M293" i="28"/>
  <c r="M294" i="28"/>
  <c r="M295" i="28"/>
  <c r="M296" i="28"/>
  <c r="M297" i="28"/>
  <c r="M298" i="28"/>
  <c r="M299" i="28"/>
  <c r="M300" i="28"/>
  <c r="M301" i="28"/>
  <c r="M302" i="28"/>
  <c r="M303" i="28"/>
  <c r="M304" i="28"/>
  <c r="M305" i="28"/>
  <c r="M306" i="28"/>
  <c r="M307" i="28"/>
  <c r="M308" i="28"/>
  <c r="M309" i="28"/>
  <c r="M310" i="28"/>
  <c r="M311" i="28"/>
  <c r="M312" i="28"/>
  <c r="M313" i="28"/>
  <c r="M314" i="28"/>
  <c r="M315" i="28"/>
  <c r="M316" i="28"/>
  <c r="M317" i="28"/>
  <c r="M318" i="28"/>
  <c r="M319" i="28"/>
  <c r="M320" i="28"/>
  <c r="M321" i="28"/>
  <c r="M322" i="28"/>
  <c r="M323" i="28"/>
  <c r="M324" i="28"/>
  <c r="M325" i="28"/>
  <c r="M326" i="28"/>
  <c r="M327" i="28"/>
  <c r="M328" i="28"/>
  <c r="M329" i="28"/>
  <c r="M330" i="28"/>
  <c r="M331" i="28"/>
  <c r="M332" i="28"/>
  <c r="M333" i="28"/>
  <c r="M334" i="28"/>
  <c r="M335" i="28"/>
  <c r="M336" i="28"/>
  <c r="M337" i="28"/>
  <c r="M338" i="28"/>
  <c r="M339" i="28"/>
  <c r="M340" i="28"/>
  <c r="M341" i="28"/>
  <c r="M342" i="28"/>
  <c r="M343" i="28"/>
  <c r="M344" i="28"/>
  <c r="M345" i="28"/>
  <c r="M346" i="28"/>
  <c r="M347" i="28"/>
  <c r="M348" i="28"/>
  <c r="M349" i="28"/>
  <c r="M350" i="28"/>
  <c r="M351" i="28"/>
  <c r="M352" i="28"/>
  <c r="M353" i="28"/>
  <c r="M354" i="28"/>
  <c r="M355" i="28"/>
  <c r="M356" i="28"/>
  <c r="M357" i="28"/>
  <c r="M358" i="28"/>
  <c r="M359" i="28"/>
  <c r="M360" i="28"/>
  <c r="M361" i="28"/>
  <c r="M362" i="28"/>
  <c r="M363" i="28"/>
  <c r="M364" i="28"/>
  <c r="M365" i="28"/>
  <c r="M366" i="28"/>
  <c r="M367" i="28"/>
  <c r="M368" i="28"/>
  <c r="M369" i="28"/>
  <c r="M370" i="28"/>
  <c r="M371" i="28"/>
  <c r="M372" i="28"/>
  <c r="M373" i="28"/>
  <c r="M374" i="28"/>
  <c r="M375" i="28"/>
  <c r="M376" i="28"/>
  <c r="M377" i="28"/>
  <c r="M378" i="28"/>
  <c r="M379" i="28"/>
  <c r="M380" i="28"/>
  <c r="M381" i="28"/>
  <c r="M382" i="28"/>
  <c r="M383" i="28"/>
  <c r="M384" i="28"/>
  <c r="M385" i="28"/>
  <c r="M386" i="28"/>
  <c r="M387" i="28"/>
  <c r="M388" i="28"/>
  <c r="M389" i="28"/>
  <c r="M390" i="28"/>
  <c r="M391" i="28"/>
  <c r="M392" i="28"/>
  <c r="M393" i="28"/>
  <c r="M394" i="28"/>
  <c r="M395" i="28"/>
  <c r="M396" i="28"/>
  <c r="M397" i="28"/>
  <c r="M398" i="28"/>
  <c r="M399" i="28"/>
  <c r="M400" i="28"/>
  <c r="M401" i="28"/>
  <c r="M402" i="28"/>
  <c r="M403" i="28"/>
  <c r="M404" i="28"/>
  <c r="M405" i="28"/>
  <c r="M406" i="28"/>
  <c r="M407" i="28"/>
  <c r="M408" i="28"/>
  <c r="M409" i="28"/>
  <c r="M410" i="28"/>
  <c r="M411" i="28"/>
  <c r="M412" i="28"/>
  <c r="M413" i="28"/>
  <c r="M414" i="28"/>
  <c r="M415" i="28"/>
  <c r="M416" i="28"/>
  <c r="M417" i="28"/>
  <c r="M418" i="28"/>
  <c r="M419" i="28"/>
  <c r="M420" i="28"/>
  <c r="M421" i="28"/>
  <c r="M422" i="28"/>
  <c r="M423" i="28"/>
  <c r="M424" i="28"/>
  <c r="M425" i="28"/>
  <c r="M426" i="28"/>
  <c r="M427" i="28"/>
  <c r="M428" i="28"/>
  <c r="M429" i="28"/>
  <c r="M430" i="28"/>
  <c r="M431" i="28"/>
  <c r="M432" i="28"/>
  <c r="M433" i="28"/>
  <c r="M434" i="28"/>
  <c r="M435" i="28"/>
  <c r="M436" i="28"/>
  <c r="M437" i="28"/>
  <c r="M438" i="28"/>
  <c r="M439" i="28"/>
  <c r="M440" i="28"/>
  <c r="M441" i="28"/>
  <c r="M442" i="28"/>
  <c r="M443" i="28"/>
  <c r="M444" i="28"/>
  <c r="M445" i="28"/>
  <c r="M446" i="28"/>
  <c r="M447" i="28"/>
  <c r="M448" i="28"/>
  <c r="M449" i="28"/>
  <c r="M450" i="28"/>
  <c r="M451" i="28"/>
  <c r="M452" i="28"/>
  <c r="M453" i="28"/>
  <c r="M454" i="28"/>
  <c r="M455" i="28"/>
  <c r="M456" i="28"/>
  <c r="M457" i="28"/>
  <c r="M458" i="28"/>
  <c r="M459" i="28"/>
  <c r="M460" i="28"/>
  <c r="M461" i="28"/>
  <c r="M462" i="28"/>
  <c r="M463" i="28"/>
  <c r="M464" i="28"/>
  <c r="M465" i="28"/>
  <c r="M466" i="28"/>
  <c r="M467" i="28"/>
  <c r="M468" i="28"/>
  <c r="M469" i="28"/>
  <c r="M470" i="28"/>
  <c r="M471" i="28"/>
  <c r="M472" i="28"/>
  <c r="M473" i="28"/>
  <c r="M474" i="28"/>
  <c r="M475" i="28"/>
  <c r="M476" i="28"/>
  <c r="M477" i="28"/>
  <c r="M478" i="28"/>
  <c r="M479" i="28"/>
  <c r="M480" i="28"/>
  <c r="M481" i="28"/>
  <c r="M482" i="28"/>
  <c r="M483" i="28"/>
  <c r="M484" i="28"/>
  <c r="M485" i="28"/>
  <c r="M486" i="28"/>
  <c r="M487" i="28"/>
  <c r="M488" i="28"/>
  <c r="M489" i="28"/>
  <c r="M490" i="28"/>
  <c r="M491" i="28"/>
  <c r="M492" i="28"/>
  <c r="M493" i="28"/>
  <c r="M494" i="28"/>
  <c r="M495" i="28"/>
  <c r="M496" i="28"/>
  <c r="M497" i="28"/>
  <c r="M498" i="28"/>
  <c r="M499" i="28"/>
  <c r="M500" i="28"/>
  <c r="M501" i="28"/>
  <c r="M502" i="28"/>
  <c r="M503" i="28"/>
  <c r="M504" i="28"/>
  <c r="M505" i="28"/>
  <c r="M506" i="28"/>
  <c r="M507" i="28"/>
  <c r="M508" i="28"/>
  <c r="M509" i="28"/>
  <c r="M510" i="28"/>
  <c r="M511" i="28"/>
  <c r="M512" i="28"/>
  <c r="M513" i="28"/>
  <c r="M514" i="28"/>
  <c r="M515" i="28"/>
  <c r="M516" i="28"/>
  <c r="M517" i="28"/>
  <c r="M518" i="28"/>
  <c r="M519" i="28"/>
  <c r="M520" i="28"/>
  <c r="M521" i="28"/>
  <c r="M522" i="28"/>
  <c r="M523" i="28"/>
  <c r="M524" i="28"/>
  <c r="M525" i="28"/>
  <c r="M526" i="28"/>
  <c r="M527" i="28"/>
  <c r="M528" i="28"/>
  <c r="M529" i="28"/>
  <c r="M530" i="28"/>
  <c r="M531" i="28"/>
  <c r="M532" i="28"/>
  <c r="M533" i="28"/>
  <c r="M534" i="28"/>
  <c r="M535" i="28"/>
  <c r="M536" i="28"/>
  <c r="M537" i="28"/>
  <c r="M538" i="28"/>
  <c r="M539" i="28"/>
  <c r="M540" i="28"/>
  <c r="M541" i="28"/>
  <c r="M542" i="28"/>
  <c r="M543" i="28"/>
  <c r="M544" i="28"/>
  <c r="M545" i="28"/>
  <c r="M546" i="28"/>
  <c r="M547" i="28"/>
  <c r="M548" i="28"/>
  <c r="M549" i="28"/>
  <c r="M550" i="28"/>
  <c r="M551" i="28"/>
  <c r="M552" i="28"/>
  <c r="M553" i="28"/>
  <c r="M554" i="28"/>
  <c r="M555" i="28"/>
  <c r="M556" i="28"/>
  <c r="M557" i="28"/>
  <c r="M558" i="28"/>
  <c r="M559" i="28"/>
  <c r="M560" i="28"/>
  <c r="M561" i="28"/>
  <c r="M562" i="28"/>
  <c r="M563" i="28"/>
  <c r="M564" i="28"/>
  <c r="M565" i="28"/>
  <c r="M566" i="28"/>
  <c r="M567" i="28"/>
  <c r="M568" i="28"/>
  <c r="M569" i="28"/>
  <c r="M570" i="28"/>
  <c r="M571" i="28"/>
  <c r="M572" i="28"/>
  <c r="M573" i="28"/>
  <c r="M574" i="28"/>
  <c r="M575" i="28"/>
  <c r="M576" i="28"/>
  <c r="M577" i="28"/>
  <c r="M578" i="28"/>
  <c r="M579" i="28"/>
  <c r="M580" i="28"/>
  <c r="M581" i="28"/>
  <c r="M582" i="28"/>
  <c r="M583" i="28"/>
  <c r="M584" i="28"/>
  <c r="M585" i="28"/>
  <c r="M586" i="28"/>
  <c r="M587" i="28"/>
  <c r="M588" i="28"/>
  <c r="M589" i="28"/>
  <c r="M590" i="28"/>
  <c r="M591" i="28"/>
  <c r="M592" i="28"/>
  <c r="M593" i="28"/>
  <c r="M594" i="28"/>
  <c r="M595" i="28"/>
  <c r="M596" i="28"/>
  <c r="M597" i="28"/>
  <c r="M598" i="28"/>
  <c r="M599" i="28"/>
  <c r="M600" i="28"/>
  <c r="M601" i="28"/>
  <c r="M602" i="28"/>
  <c r="M603" i="28"/>
  <c r="M604" i="28"/>
  <c r="M605" i="28"/>
  <c r="M606" i="28"/>
  <c r="M607" i="28"/>
  <c r="M608" i="28"/>
  <c r="M609" i="28"/>
  <c r="M610" i="28"/>
  <c r="M611" i="28"/>
  <c r="M612" i="28"/>
  <c r="M613" i="28"/>
  <c r="M614" i="28"/>
  <c r="M615" i="28"/>
  <c r="M616" i="28"/>
  <c r="M617" i="28"/>
  <c r="M618" i="28"/>
  <c r="M619" i="28"/>
  <c r="M620" i="28"/>
  <c r="M621" i="28"/>
  <c r="M622" i="28"/>
  <c r="M623" i="28"/>
  <c r="M624" i="28"/>
  <c r="M625" i="28"/>
  <c r="M626" i="28"/>
  <c r="M627" i="28"/>
  <c r="M628" i="28"/>
  <c r="M629" i="28"/>
  <c r="M630" i="28"/>
  <c r="M631" i="28"/>
  <c r="M632" i="28"/>
  <c r="M633" i="28"/>
  <c r="M634" i="28"/>
  <c r="M635" i="28"/>
  <c r="M636" i="28"/>
  <c r="M637" i="28"/>
  <c r="M638" i="28"/>
  <c r="M639" i="28"/>
  <c r="M640" i="28"/>
  <c r="M641" i="28"/>
  <c r="M642" i="28"/>
  <c r="M643" i="28"/>
  <c r="M644" i="28"/>
  <c r="M645" i="28"/>
  <c r="M646" i="28"/>
  <c r="M647" i="28"/>
  <c r="M648" i="28"/>
  <c r="M649" i="28"/>
  <c r="M650" i="28"/>
  <c r="M651" i="28"/>
  <c r="M652" i="28"/>
  <c r="M653" i="28"/>
  <c r="M654" i="28"/>
  <c r="M655" i="28"/>
  <c r="M656" i="28"/>
  <c r="M657" i="28"/>
  <c r="M658" i="28"/>
  <c r="M659" i="28"/>
  <c r="M660" i="28"/>
  <c r="M661" i="28"/>
  <c r="M662" i="28"/>
  <c r="M663" i="28"/>
  <c r="M664" i="28"/>
  <c r="M665" i="28"/>
  <c r="M666" i="28"/>
  <c r="M667" i="28"/>
  <c r="M668" i="28"/>
  <c r="M669" i="28"/>
  <c r="M670" i="28"/>
  <c r="M671" i="28"/>
  <c r="M672" i="28"/>
  <c r="M673" i="28"/>
  <c r="M674" i="28"/>
  <c r="M675" i="28"/>
  <c r="M676" i="28"/>
  <c r="M677" i="28"/>
  <c r="M678" i="28"/>
  <c r="M679" i="28"/>
  <c r="M680" i="28"/>
  <c r="M681" i="28"/>
  <c r="M682" i="28"/>
  <c r="M683" i="28"/>
  <c r="M684" i="28"/>
  <c r="M685" i="28"/>
  <c r="M686" i="28"/>
  <c r="M687" i="28"/>
  <c r="M688" i="28"/>
  <c r="M689" i="28"/>
  <c r="M690" i="28"/>
  <c r="M691" i="28"/>
  <c r="M692" i="28"/>
  <c r="M693" i="28"/>
  <c r="M694" i="28"/>
  <c r="M695" i="28"/>
  <c r="M696" i="28"/>
  <c r="M697" i="28"/>
  <c r="M698" i="28"/>
  <c r="M699" i="28"/>
  <c r="M700" i="28"/>
  <c r="M701" i="28"/>
  <c r="M702" i="28"/>
  <c r="M703" i="28"/>
  <c r="M704" i="28"/>
  <c r="M705" i="28"/>
  <c r="M706" i="28"/>
  <c r="M707" i="28"/>
  <c r="M708" i="28"/>
  <c r="M709" i="28"/>
  <c r="M710" i="28"/>
  <c r="M711" i="28"/>
  <c r="M712" i="28"/>
  <c r="M713" i="28"/>
  <c r="M714" i="28"/>
  <c r="M715" i="28"/>
  <c r="M716" i="28"/>
  <c r="M717" i="28"/>
  <c r="M718" i="28"/>
  <c r="M719" i="28"/>
  <c r="M720" i="28"/>
  <c r="M721" i="28"/>
  <c r="M722" i="28"/>
  <c r="M723" i="28"/>
  <c r="M724" i="28"/>
  <c r="M725" i="28"/>
  <c r="M726" i="28"/>
  <c r="M727" i="28"/>
  <c r="M728" i="28"/>
  <c r="M729" i="28"/>
  <c r="M730" i="28"/>
  <c r="M731" i="28"/>
  <c r="M732" i="28"/>
  <c r="M733" i="28"/>
  <c r="M734" i="28"/>
  <c r="M735" i="28"/>
  <c r="M736" i="28"/>
  <c r="M737" i="28"/>
  <c r="M738" i="28"/>
  <c r="M739" i="28"/>
  <c r="M740" i="28"/>
  <c r="M741" i="28"/>
  <c r="M742" i="28"/>
  <c r="M743" i="28"/>
  <c r="M744" i="28"/>
  <c r="M745" i="28"/>
  <c r="M746" i="28"/>
  <c r="M747" i="28"/>
  <c r="M748" i="28"/>
  <c r="M749" i="28"/>
  <c r="M750" i="28"/>
  <c r="M751" i="28"/>
  <c r="M752" i="28"/>
  <c r="M753" i="28"/>
  <c r="M754" i="28"/>
  <c r="M755" i="28"/>
  <c r="M756" i="28"/>
  <c r="M757" i="28"/>
  <c r="M758" i="28"/>
  <c r="M759" i="28"/>
  <c r="M760" i="28"/>
  <c r="M761" i="28"/>
  <c r="M762" i="28"/>
  <c r="M763" i="28"/>
  <c r="M764" i="28"/>
  <c r="M765" i="28"/>
  <c r="M766" i="28"/>
  <c r="M767" i="28"/>
  <c r="M768" i="28"/>
  <c r="M769" i="28"/>
  <c r="M770" i="28"/>
  <c r="M771" i="28"/>
  <c r="M772" i="28"/>
  <c r="M773" i="28"/>
  <c r="M774" i="28"/>
  <c r="M775" i="28"/>
  <c r="M776" i="28"/>
  <c r="M777" i="28"/>
  <c r="M778" i="28"/>
  <c r="M779" i="28"/>
  <c r="M780" i="28"/>
  <c r="M781" i="28"/>
  <c r="M782" i="28"/>
  <c r="M783" i="28"/>
  <c r="M784" i="28"/>
  <c r="M785" i="28"/>
  <c r="M786" i="28"/>
  <c r="M787" i="28"/>
  <c r="M788" i="28"/>
  <c r="M789" i="28"/>
  <c r="M790" i="28"/>
  <c r="M791" i="28"/>
  <c r="M792" i="28"/>
  <c r="M793" i="28"/>
  <c r="M794" i="28"/>
  <c r="M795" i="28"/>
  <c r="M796" i="28"/>
  <c r="M797" i="28"/>
  <c r="M798" i="28"/>
  <c r="M799" i="28"/>
  <c r="M800" i="28"/>
  <c r="M801" i="28"/>
  <c r="M802" i="28"/>
  <c r="M803" i="28"/>
  <c r="M804" i="28"/>
  <c r="M805" i="28"/>
  <c r="M806" i="28"/>
  <c r="M807" i="28"/>
  <c r="M808" i="28"/>
  <c r="M809" i="28"/>
  <c r="M810" i="28"/>
  <c r="M811" i="28"/>
  <c r="M812" i="28"/>
  <c r="M813" i="28"/>
  <c r="M814" i="28"/>
  <c r="M815" i="28"/>
  <c r="M816" i="28"/>
  <c r="M817" i="28"/>
  <c r="M818" i="28"/>
  <c r="M819" i="28"/>
  <c r="M820" i="28"/>
  <c r="M821" i="28"/>
  <c r="M822" i="28"/>
  <c r="M823" i="28"/>
  <c r="M824" i="28"/>
  <c r="M825" i="28"/>
  <c r="M826" i="28"/>
  <c r="M827" i="28"/>
  <c r="M828" i="28"/>
  <c r="M829" i="28"/>
  <c r="M830" i="28"/>
  <c r="M831" i="28"/>
  <c r="M832" i="28"/>
  <c r="M833" i="28"/>
  <c r="M834" i="28"/>
  <c r="M835" i="28"/>
  <c r="M836" i="28"/>
  <c r="M837" i="28"/>
  <c r="M838" i="28"/>
  <c r="M839" i="28"/>
  <c r="M840" i="28"/>
  <c r="M841" i="28"/>
  <c r="M842" i="28"/>
  <c r="M843" i="28"/>
  <c r="M844" i="28"/>
  <c r="M845" i="28"/>
  <c r="M846" i="28"/>
  <c r="M847" i="28"/>
  <c r="M848" i="28"/>
  <c r="M849" i="28"/>
  <c r="M850" i="28"/>
  <c r="M851" i="28"/>
  <c r="M852" i="28"/>
  <c r="M853" i="28"/>
  <c r="M854" i="28"/>
  <c r="M855" i="28"/>
  <c r="M856" i="28"/>
  <c r="M857" i="28"/>
  <c r="M858" i="28"/>
  <c r="M859" i="28"/>
  <c r="M860" i="28"/>
  <c r="M861" i="28"/>
  <c r="M862" i="28"/>
  <c r="M863" i="28"/>
  <c r="M864" i="28"/>
  <c r="M865" i="28"/>
  <c r="M866" i="28"/>
  <c r="M867" i="28"/>
  <c r="M868" i="28"/>
  <c r="M869" i="28"/>
  <c r="M870" i="28"/>
  <c r="M871" i="28"/>
  <c r="M872" i="28"/>
  <c r="M873" i="28"/>
  <c r="M874" i="28"/>
  <c r="M875" i="28"/>
  <c r="M876" i="28"/>
  <c r="M877" i="28"/>
  <c r="M878" i="28"/>
  <c r="M879" i="28"/>
  <c r="M880" i="28"/>
  <c r="M881" i="28"/>
  <c r="M882" i="28"/>
  <c r="M883" i="28"/>
  <c r="M884" i="28"/>
  <c r="M885" i="28"/>
  <c r="M886" i="28"/>
  <c r="M887" i="28"/>
  <c r="M888" i="28"/>
  <c r="M889" i="28"/>
  <c r="M890" i="28"/>
  <c r="M891" i="28"/>
  <c r="M892" i="28"/>
  <c r="M893" i="28"/>
  <c r="M894" i="28"/>
  <c r="M895" i="28"/>
  <c r="M896" i="28"/>
  <c r="M897" i="28"/>
  <c r="M898" i="28"/>
  <c r="M899" i="28"/>
  <c r="M900" i="28"/>
  <c r="M901" i="28"/>
  <c r="M902" i="28"/>
  <c r="M903" i="28"/>
  <c r="M904" i="28"/>
  <c r="M905" i="28"/>
  <c r="M906" i="28"/>
  <c r="M907" i="28"/>
  <c r="M908" i="28"/>
  <c r="M909" i="28"/>
  <c r="M910" i="28"/>
  <c r="M911" i="28"/>
  <c r="M912" i="28"/>
  <c r="M913" i="28"/>
  <c r="M914" i="28"/>
  <c r="M915" i="28"/>
  <c r="M916" i="28"/>
  <c r="M917" i="28"/>
  <c r="M918" i="28"/>
  <c r="M919" i="28"/>
  <c r="M920" i="28"/>
  <c r="M921" i="28"/>
  <c r="M922" i="28"/>
  <c r="M923" i="28"/>
  <c r="M924" i="28"/>
  <c r="M925" i="28"/>
  <c r="M926" i="28"/>
  <c r="M927" i="28"/>
  <c r="M928" i="28"/>
  <c r="M929" i="28"/>
  <c r="M930" i="28"/>
  <c r="M931" i="28"/>
  <c r="M932" i="28"/>
  <c r="M933" i="28"/>
  <c r="M934" i="28"/>
  <c r="M935" i="28"/>
  <c r="M936" i="28"/>
  <c r="M937" i="28"/>
  <c r="M938" i="28"/>
  <c r="M939" i="28"/>
  <c r="M940" i="28"/>
  <c r="M941" i="28"/>
  <c r="M942" i="28"/>
  <c r="M943" i="28"/>
  <c r="M944" i="28"/>
  <c r="M945" i="28"/>
  <c r="M946" i="28"/>
  <c r="M947" i="28"/>
  <c r="M948" i="28"/>
  <c r="M949" i="28"/>
  <c r="M950" i="28"/>
  <c r="M951" i="28"/>
  <c r="M952" i="28"/>
  <c r="M953" i="28"/>
  <c r="M954" i="28"/>
  <c r="M955" i="28"/>
  <c r="M956" i="28"/>
  <c r="M957" i="28"/>
  <c r="M958" i="28"/>
  <c r="M959" i="28"/>
  <c r="M960" i="28"/>
  <c r="M961" i="28"/>
  <c r="M962" i="28"/>
  <c r="M963" i="28"/>
  <c r="M964" i="28"/>
  <c r="M965" i="28"/>
  <c r="M966" i="28"/>
  <c r="M967" i="28"/>
  <c r="M968" i="28"/>
  <c r="M969" i="28"/>
  <c r="M970" i="28"/>
  <c r="M971" i="28"/>
  <c r="M972" i="28"/>
  <c r="M973" i="28"/>
  <c r="M974" i="28"/>
  <c r="M975" i="28"/>
  <c r="M976" i="28"/>
  <c r="M977" i="28"/>
  <c r="M978" i="28"/>
  <c r="M979" i="28"/>
  <c r="M980" i="28"/>
  <c r="M981" i="28"/>
  <c r="M982" i="28"/>
  <c r="M983" i="28"/>
  <c r="M984" i="28"/>
  <c r="M985" i="28"/>
  <c r="M986" i="28"/>
  <c r="M987" i="28"/>
  <c r="M988" i="28"/>
  <c r="M989" i="28"/>
  <c r="M990" i="28"/>
  <c r="M991" i="28"/>
  <c r="M992" i="28"/>
  <c r="M993" i="28"/>
  <c r="M994" i="28"/>
  <c r="M995" i="28"/>
  <c r="M996" i="28"/>
  <c r="M997" i="28"/>
  <c r="M998" i="28"/>
  <c r="M999" i="28"/>
  <c r="M1000" i="28"/>
  <c r="M1001" i="28"/>
  <c r="M1002" i="28"/>
  <c r="M1003" i="28"/>
  <c r="L10" i="28"/>
  <c r="L11" i="28"/>
  <c r="L12" i="28"/>
  <c r="L13" i="28"/>
  <c r="L14" i="28"/>
  <c r="L15" i="28"/>
  <c r="L16" i="28"/>
  <c r="L17" i="28"/>
  <c r="L18" i="28"/>
  <c r="L19" i="28"/>
  <c r="L20" i="28"/>
  <c r="L21" i="28"/>
  <c r="L22" i="28"/>
  <c r="L23" i="28"/>
  <c r="L24" i="28"/>
  <c r="L25" i="28"/>
  <c r="L26" i="28"/>
  <c r="L27" i="28"/>
  <c r="L28" i="28"/>
  <c r="L29" i="28"/>
  <c r="L30" i="28"/>
  <c r="L31" i="28"/>
  <c r="L32" i="28"/>
  <c r="L33" i="28"/>
  <c r="L34" i="28"/>
  <c r="L35" i="28"/>
  <c r="L36" i="28"/>
  <c r="L37" i="28"/>
  <c r="L38" i="28"/>
  <c r="L39" i="28"/>
  <c r="L40" i="28"/>
  <c r="L41" i="28"/>
  <c r="L42" i="28"/>
  <c r="L43" i="28"/>
  <c r="L44" i="28"/>
  <c r="L45" i="28"/>
  <c r="L46" i="28"/>
  <c r="L47" i="28"/>
  <c r="L48" i="28"/>
  <c r="L49" i="28"/>
  <c r="L50" i="28"/>
  <c r="L51" i="28"/>
  <c r="L52" i="28"/>
  <c r="L53" i="28"/>
  <c r="L54" i="28"/>
  <c r="L55" i="28"/>
  <c r="L56" i="28"/>
  <c r="L57" i="28"/>
  <c r="L58" i="28"/>
  <c r="L59" i="28"/>
  <c r="L60" i="28"/>
  <c r="L61" i="28"/>
  <c r="L62" i="28"/>
  <c r="L63" i="28"/>
  <c r="L64" i="28"/>
  <c r="L65" i="28"/>
  <c r="L66" i="28"/>
  <c r="L67" i="28"/>
  <c r="L68" i="28"/>
  <c r="L69" i="28"/>
  <c r="L70" i="28"/>
  <c r="L71" i="28"/>
  <c r="L72" i="28"/>
  <c r="L73" i="28"/>
  <c r="L74" i="28"/>
  <c r="L75" i="28"/>
  <c r="L76" i="28"/>
  <c r="L77" i="28"/>
  <c r="L78" i="28"/>
  <c r="L79" i="28"/>
  <c r="L80" i="28"/>
  <c r="L81" i="28"/>
  <c r="L82" i="28"/>
  <c r="L83" i="28"/>
  <c r="L84" i="28"/>
  <c r="L85" i="28"/>
  <c r="L86" i="28"/>
  <c r="L87" i="28"/>
  <c r="L88" i="28"/>
  <c r="L89" i="28"/>
  <c r="L90" i="28"/>
  <c r="L91" i="28"/>
  <c r="L92" i="28"/>
  <c r="L93" i="28"/>
  <c r="L94" i="28"/>
  <c r="L95" i="28"/>
  <c r="L96" i="28"/>
  <c r="L97" i="28"/>
  <c r="L98" i="28"/>
  <c r="L99" i="28"/>
  <c r="L100" i="28"/>
  <c r="L101" i="28"/>
  <c r="L102" i="28"/>
  <c r="L103" i="28"/>
  <c r="L104" i="28"/>
  <c r="L105" i="28"/>
  <c r="L106" i="28"/>
  <c r="L107" i="28"/>
  <c r="L108" i="28"/>
  <c r="L109" i="28"/>
  <c r="L110" i="28"/>
  <c r="L111" i="28"/>
  <c r="L112" i="28"/>
  <c r="L113" i="28"/>
  <c r="L114" i="28"/>
  <c r="L115" i="28"/>
  <c r="L116" i="28"/>
  <c r="L117" i="28"/>
  <c r="L118" i="28"/>
  <c r="L119" i="28"/>
  <c r="L120" i="28"/>
  <c r="L121" i="28"/>
  <c r="L122" i="28"/>
  <c r="L123" i="28"/>
  <c r="L124" i="28"/>
  <c r="L125" i="28"/>
  <c r="L126" i="28"/>
  <c r="L127" i="28"/>
  <c r="L128" i="28"/>
  <c r="L129" i="28"/>
  <c r="L130" i="28"/>
  <c r="L131" i="28"/>
  <c r="L132" i="28"/>
  <c r="L133" i="28"/>
  <c r="L134" i="28"/>
  <c r="L135" i="28"/>
  <c r="L136" i="28"/>
  <c r="L137" i="28"/>
  <c r="L138" i="28"/>
  <c r="L139" i="28"/>
  <c r="L140" i="28"/>
  <c r="L141" i="28"/>
  <c r="L142" i="28"/>
  <c r="L143" i="28"/>
  <c r="L144" i="28"/>
  <c r="L145" i="28"/>
  <c r="L146" i="28"/>
  <c r="L147" i="28"/>
  <c r="L148" i="28"/>
  <c r="L149" i="28"/>
  <c r="L150" i="28"/>
  <c r="L151" i="28"/>
  <c r="L152" i="28"/>
  <c r="L153" i="28"/>
  <c r="L154" i="28"/>
  <c r="L155" i="28"/>
  <c r="L156" i="28"/>
  <c r="L157" i="28"/>
  <c r="L158" i="28"/>
  <c r="L159" i="28"/>
  <c r="L160" i="28"/>
  <c r="L161" i="28"/>
  <c r="L162" i="28"/>
  <c r="L163" i="28"/>
  <c r="L164" i="28"/>
  <c r="L165" i="28"/>
  <c r="L166" i="28"/>
  <c r="L167" i="28"/>
  <c r="L168" i="28"/>
  <c r="L169" i="28"/>
  <c r="L170" i="28"/>
  <c r="L171" i="28"/>
  <c r="L172" i="28"/>
  <c r="L173" i="28"/>
  <c r="L174" i="28"/>
  <c r="L175" i="28"/>
  <c r="L176" i="28"/>
  <c r="L177" i="28"/>
  <c r="L178" i="28"/>
  <c r="L179" i="28"/>
  <c r="L180" i="28"/>
  <c r="L181" i="28"/>
  <c r="L182" i="28"/>
  <c r="L183" i="28"/>
  <c r="L184" i="28"/>
  <c r="L185" i="28"/>
  <c r="L186" i="28"/>
  <c r="L187" i="28"/>
  <c r="L188" i="28"/>
  <c r="L189" i="28"/>
  <c r="L190" i="28"/>
  <c r="L191" i="28"/>
  <c r="L192" i="28"/>
  <c r="L193" i="28"/>
  <c r="L194" i="28"/>
  <c r="L195" i="28"/>
  <c r="L196" i="28"/>
  <c r="L197" i="28"/>
  <c r="L198" i="28"/>
  <c r="L199" i="28"/>
  <c r="L200" i="28"/>
  <c r="L201" i="28"/>
  <c r="L202" i="28"/>
  <c r="L203" i="28"/>
  <c r="L204" i="28"/>
  <c r="L205" i="28"/>
  <c r="L206" i="28"/>
  <c r="L207" i="28"/>
  <c r="L208" i="28"/>
  <c r="L209" i="28"/>
  <c r="L210" i="28"/>
  <c r="L211" i="28"/>
  <c r="L212" i="28"/>
  <c r="L213" i="28"/>
  <c r="L214" i="28"/>
  <c r="L215" i="28"/>
  <c r="L216" i="28"/>
  <c r="L217" i="28"/>
  <c r="L218" i="28"/>
  <c r="L219" i="28"/>
  <c r="L220" i="28"/>
  <c r="L221" i="28"/>
  <c r="L222" i="28"/>
  <c r="L223" i="28"/>
  <c r="L224" i="28"/>
  <c r="L225" i="28"/>
  <c r="L226" i="28"/>
  <c r="L227" i="28"/>
  <c r="L228" i="28"/>
  <c r="L229" i="28"/>
  <c r="L230" i="28"/>
  <c r="L231" i="28"/>
  <c r="L232" i="28"/>
  <c r="L233" i="28"/>
  <c r="L234" i="28"/>
  <c r="L235" i="28"/>
  <c r="L236" i="28"/>
  <c r="L237" i="28"/>
  <c r="L238" i="28"/>
  <c r="L239" i="28"/>
  <c r="L240" i="28"/>
  <c r="L241" i="28"/>
  <c r="L242" i="28"/>
  <c r="L243" i="28"/>
  <c r="L244" i="28"/>
  <c r="L245" i="28"/>
  <c r="L246" i="28"/>
  <c r="L247" i="28"/>
  <c r="L248" i="28"/>
  <c r="L249" i="28"/>
  <c r="L250" i="28"/>
  <c r="L251" i="28"/>
  <c r="L252" i="28"/>
  <c r="L253" i="28"/>
  <c r="L254" i="28"/>
  <c r="L255" i="28"/>
  <c r="L256" i="28"/>
  <c r="L257" i="28"/>
  <c r="L258" i="28"/>
  <c r="L259" i="28"/>
  <c r="L260" i="28"/>
  <c r="L261" i="28"/>
  <c r="L262" i="28"/>
  <c r="L263" i="28"/>
  <c r="L264" i="28"/>
  <c r="L265" i="28"/>
  <c r="L266" i="28"/>
  <c r="L267" i="28"/>
  <c r="L268" i="28"/>
  <c r="L269" i="28"/>
  <c r="L270" i="28"/>
  <c r="L271" i="28"/>
  <c r="L272" i="28"/>
  <c r="L273" i="28"/>
  <c r="L274" i="28"/>
  <c r="L275" i="28"/>
  <c r="L276" i="28"/>
  <c r="L277" i="28"/>
  <c r="L278" i="28"/>
  <c r="L279" i="28"/>
  <c r="L280" i="28"/>
  <c r="L281" i="28"/>
  <c r="L282" i="28"/>
  <c r="L283" i="28"/>
  <c r="L284" i="28"/>
  <c r="L285" i="28"/>
  <c r="L286" i="28"/>
  <c r="L287" i="28"/>
  <c r="L288" i="28"/>
  <c r="L289" i="28"/>
  <c r="L290" i="28"/>
  <c r="L291" i="28"/>
  <c r="L292" i="28"/>
  <c r="L293" i="28"/>
  <c r="L294" i="28"/>
  <c r="L295" i="28"/>
  <c r="L296" i="28"/>
  <c r="L297" i="28"/>
  <c r="L298" i="28"/>
  <c r="L299" i="28"/>
  <c r="L300" i="28"/>
  <c r="L301" i="28"/>
  <c r="L302" i="28"/>
  <c r="L303" i="28"/>
  <c r="L304" i="28"/>
  <c r="L305" i="28"/>
  <c r="L306" i="28"/>
  <c r="L307" i="28"/>
  <c r="L308" i="28"/>
  <c r="L309" i="28"/>
  <c r="L310" i="28"/>
  <c r="L311" i="28"/>
  <c r="L312" i="28"/>
  <c r="L313" i="28"/>
  <c r="L314" i="28"/>
  <c r="L315" i="28"/>
  <c r="L316" i="28"/>
  <c r="L317" i="28"/>
  <c r="L318" i="28"/>
  <c r="L319" i="28"/>
  <c r="L320" i="28"/>
  <c r="L321" i="28"/>
  <c r="L322" i="28"/>
  <c r="L323" i="28"/>
  <c r="L324" i="28"/>
  <c r="L325" i="28"/>
  <c r="L326" i="28"/>
  <c r="L327" i="28"/>
  <c r="L328" i="28"/>
  <c r="L329" i="28"/>
  <c r="L330" i="28"/>
  <c r="L331" i="28"/>
  <c r="L332" i="28"/>
  <c r="L333" i="28"/>
  <c r="L334" i="28"/>
  <c r="L335" i="28"/>
  <c r="L336" i="28"/>
  <c r="L337" i="28"/>
  <c r="L338" i="28"/>
  <c r="L339" i="28"/>
  <c r="L340" i="28"/>
  <c r="L341" i="28"/>
  <c r="L342" i="28"/>
  <c r="L343" i="28"/>
  <c r="L344" i="28"/>
  <c r="L345" i="28"/>
  <c r="L346" i="28"/>
  <c r="L347" i="28"/>
  <c r="L348" i="28"/>
  <c r="L349" i="28"/>
  <c r="L350" i="28"/>
  <c r="L351" i="28"/>
  <c r="L352" i="28"/>
  <c r="L353" i="28"/>
  <c r="L354" i="28"/>
  <c r="L355" i="28"/>
  <c r="L356" i="28"/>
  <c r="L357" i="28"/>
  <c r="L358" i="28"/>
  <c r="L359" i="28"/>
  <c r="L360" i="28"/>
  <c r="L361" i="28"/>
  <c r="L362" i="28"/>
  <c r="L363" i="28"/>
  <c r="L364" i="28"/>
  <c r="L365" i="28"/>
  <c r="L366" i="28"/>
  <c r="L367" i="28"/>
  <c r="L368" i="28"/>
  <c r="L369" i="28"/>
  <c r="L370" i="28"/>
  <c r="L371" i="28"/>
  <c r="L372" i="28"/>
  <c r="L373" i="28"/>
  <c r="L374" i="28"/>
  <c r="L375" i="28"/>
  <c r="L376" i="28"/>
  <c r="L377" i="28"/>
  <c r="L378" i="28"/>
  <c r="L379" i="28"/>
  <c r="L380" i="28"/>
  <c r="L381" i="28"/>
  <c r="L382" i="28"/>
  <c r="L383" i="28"/>
  <c r="L384" i="28"/>
  <c r="L385" i="28"/>
  <c r="L386" i="28"/>
  <c r="L387" i="28"/>
  <c r="L388" i="28"/>
  <c r="L389" i="28"/>
  <c r="L390" i="28"/>
  <c r="L391" i="28"/>
  <c r="L392" i="28"/>
  <c r="L393" i="28"/>
  <c r="L394" i="28"/>
  <c r="L395" i="28"/>
  <c r="L396" i="28"/>
  <c r="L397" i="28"/>
  <c r="L398" i="28"/>
  <c r="L399" i="28"/>
  <c r="L400" i="28"/>
  <c r="L401" i="28"/>
  <c r="L402" i="28"/>
  <c r="L403" i="28"/>
  <c r="L404" i="28"/>
  <c r="L405" i="28"/>
  <c r="L406" i="28"/>
  <c r="L407" i="28"/>
  <c r="L408" i="28"/>
  <c r="L409" i="28"/>
  <c r="L410" i="28"/>
  <c r="L411" i="28"/>
  <c r="L412" i="28"/>
  <c r="L413" i="28"/>
  <c r="L414" i="28"/>
  <c r="L415" i="28"/>
  <c r="L416" i="28"/>
  <c r="L417" i="28"/>
  <c r="L418" i="28"/>
  <c r="L419" i="28"/>
  <c r="L420" i="28"/>
  <c r="L421" i="28"/>
  <c r="L422" i="28"/>
  <c r="L423" i="28"/>
  <c r="L424" i="28"/>
  <c r="L425" i="28"/>
  <c r="L426" i="28"/>
  <c r="L427" i="28"/>
  <c r="L428" i="28"/>
  <c r="L429" i="28"/>
  <c r="L430" i="28"/>
  <c r="L431" i="28"/>
  <c r="L432" i="28"/>
  <c r="L433" i="28"/>
  <c r="L434" i="28"/>
  <c r="L435" i="28"/>
  <c r="L436" i="28"/>
  <c r="L437" i="28"/>
  <c r="L438" i="28"/>
  <c r="L439" i="28"/>
  <c r="L440" i="28"/>
  <c r="L441" i="28"/>
  <c r="L442" i="28"/>
  <c r="L443" i="28"/>
  <c r="L444" i="28"/>
  <c r="L445" i="28"/>
  <c r="L446" i="28"/>
  <c r="L447" i="28"/>
  <c r="L448" i="28"/>
  <c r="L449" i="28"/>
  <c r="L450" i="28"/>
  <c r="L451" i="28"/>
  <c r="L452" i="28"/>
  <c r="L453" i="28"/>
  <c r="L454" i="28"/>
  <c r="L455" i="28"/>
  <c r="L456" i="28"/>
  <c r="L457" i="28"/>
  <c r="L458" i="28"/>
  <c r="L459" i="28"/>
  <c r="L460" i="28"/>
  <c r="L461" i="28"/>
  <c r="L462" i="28"/>
  <c r="L463" i="28"/>
  <c r="L464" i="28"/>
  <c r="L465" i="28"/>
  <c r="L466" i="28"/>
  <c r="L467" i="28"/>
  <c r="L468" i="28"/>
  <c r="L469" i="28"/>
  <c r="L470" i="28"/>
  <c r="L471" i="28"/>
  <c r="L472" i="28"/>
  <c r="L473" i="28"/>
  <c r="L474" i="28"/>
  <c r="L475" i="28"/>
  <c r="L476" i="28"/>
  <c r="L477" i="28"/>
  <c r="L478" i="28"/>
  <c r="L479" i="28"/>
  <c r="L480" i="28"/>
  <c r="L481" i="28"/>
  <c r="L482" i="28"/>
  <c r="L483" i="28"/>
  <c r="L484" i="28"/>
  <c r="L485" i="28"/>
  <c r="L486" i="28"/>
  <c r="L487" i="28"/>
  <c r="L488" i="28"/>
  <c r="L489" i="28"/>
  <c r="L490" i="28"/>
  <c r="L491" i="28"/>
  <c r="L492" i="28"/>
  <c r="L493" i="28"/>
  <c r="L494" i="28"/>
  <c r="L495" i="28"/>
  <c r="L496" i="28"/>
  <c r="L497" i="28"/>
  <c r="L498" i="28"/>
  <c r="L499" i="28"/>
  <c r="L500" i="28"/>
  <c r="L501" i="28"/>
  <c r="L502" i="28"/>
  <c r="L503" i="28"/>
  <c r="L504" i="28"/>
  <c r="L505" i="28"/>
  <c r="L506" i="28"/>
  <c r="L507" i="28"/>
  <c r="L508" i="28"/>
  <c r="L509" i="28"/>
  <c r="L510" i="28"/>
  <c r="L511" i="28"/>
  <c r="L512" i="28"/>
  <c r="L513" i="28"/>
  <c r="L514" i="28"/>
  <c r="L515" i="28"/>
  <c r="L516" i="28"/>
  <c r="L517" i="28"/>
  <c r="L518" i="28"/>
  <c r="L519" i="28"/>
  <c r="L520" i="28"/>
  <c r="L521" i="28"/>
  <c r="L522" i="28"/>
  <c r="L523" i="28"/>
  <c r="L524" i="28"/>
  <c r="L525" i="28"/>
  <c r="L526" i="28"/>
  <c r="L527" i="28"/>
  <c r="L528" i="28"/>
  <c r="L529" i="28"/>
  <c r="L530" i="28"/>
  <c r="L531" i="28"/>
  <c r="L532" i="28"/>
  <c r="L533" i="28"/>
  <c r="L534" i="28"/>
  <c r="L535" i="28"/>
  <c r="L536" i="28"/>
  <c r="L537" i="28"/>
  <c r="L538" i="28"/>
  <c r="L539" i="28"/>
  <c r="L540" i="28"/>
  <c r="L541" i="28"/>
  <c r="L542" i="28"/>
  <c r="L543" i="28"/>
  <c r="L544" i="28"/>
  <c r="L545" i="28"/>
  <c r="L546" i="28"/>
  <c r="L547" i="28"/>
  <c r="L548" i="28"/>
  <c r="L549" i="28"/>
  <c r="L550" i="28"/>
  <c r="L551" i="28"/>
  <c r="L552" i="28"/>
  <c r="L553" i="28"/>
  <c r="L554" i="28"/>
  <c r="L555" i="28"/>
  <c r="L556" i="28"/>
  <c r="L557" i="28"/>
  <c r="L558" i="28"/>
  <c r="L559" i="28"/>
  <c r="L560" i="28"/>
  <c r="L561" i="28"/>
  <c r="L562" i="28"/>
  <c r="L563" i="28"/>
  <c r="L564" i="28"/>
  <c r="L565" i="28"/>
  <c r="L566" i="28"/>
  <c r="L567" i="28"/>
  <c r="L568" i="28"/>
  <c r="L569" i="28"/>
  <c r="L570" i="28"/>
  <c r="L571" i="28"/>
  <c r="L572" i="28"/>
  <c r="L573" i="28"/>
  <c r="L574" i="28"/>
  <c r="L575" i="28"/>
  <c r="L576" i="28"/>
  <c r="L577" i="28"/>
  <c r="L578" i="28"/>
  <c r="L579" i="28"/>
  <c r="L580" i="28"/>
  <c r="L581" i="28"/>
  <c r="L582" i="28"/>
  <c r="L583" i="28"/>
  <c r="L584" i="28"/>
  <c r="L585" i="28"/>
  <c r="L586" i="28"/>
  <c r="L587" i="28"/>
  <c r="L588" i="28"/>
  <c r="L589" i="28"/>
  <c r="L590" i="28"/>
  <c r="L591" i="28"/>
  <c r="L592" i="28"/>
  <c r="L593" i="28"/>
  <c r="L594" i="28"/>
  <c r="L595" i="28"/>
  <c r="L596" i="28"/>
  <c r="L597" i="28"/>
  <c r="L598" i="28"/>
  <c r="L599" i="28"/>
  <c r="L600" i="28"/>
  <c r="L601" i="28"/>
  <c r="L602" i="28"/>
  <c r="L603" i="28"/>
  <c r="L604" i="28"/>
  <c r="L605" i="28"/>
  <c r="L606" i="28"/>
  <c r="L607" i="28"/>
  <c r="L608" i="28"/>
  <c r="L609" i="28"/>
  <c r="L610" i="28"/>
  <c r="L611" i="28"/>
  <c r="L612" i="28"/>
  <c r="L613" i="28"/>
  <c r="L614" i="28"/>
  <c r="L615" i="28"/>
  <c r="L616" i="28"/>
  <c r="L617" i="28"/>
  <c r="L618" i="28"/>
  <c r="L619" i="28"/>
  <c r="L620" i="28"/>
  <c r="L621" i="28"/>
  <c r="L622" i="28"/>
  <c r="L623" i="28"/>
  <c r="L624" i="28"/>
  <c r="L625" i="28"/>
  <c r="L626" i="28"/>
  <c r="L627" i="28"/>
  <c r="L628" i="28"/>
  <c r="L629" i="28"/>
  <c r="L630" i="28"/>
  <c r="L631" i="28"/>
  <c r="L632" i="28"/>
  <c r="L633" i="28"/>
  <c r="L634" i="28"/>
  <c r="L635" i="28"/>
  <c r="L636" i="28"/>
  <c r="L637" i="28"/>
  <c r="L638" i="28"/>
  <c r="L639" i="28"/>
  <c r="L640" i="28"/>
  <c r="L641" i="28"/>
  <c r="L642" i="28"/>
  <c r="L643" i="28"/>
  <c r="L644" i="28"/>
  <c r="L645" i="28"/>
  <c r="L646" i="28"/>
  <c r="L647" i="28"/>
  <c r="L648" i="28"/>
  <c r="L649" i="28"/>
  <c r="L650" i="28"/>
  <c r="L651" i="28"/>
  <c r="L652" i="28"/>
  <c r="L653" i="28"/>
  <c r="L654" i="28"/>
  <c r="L655" i="28"/>
  <c r="L656" i="28"/>
  <c r="L657" i="28"/>
  <c r="L658" i="28"/>
  <c r="L659" i="28"/>
  <c r="L660" i="28"/>
  <c r="L661" i="28"/>
  <c r="L662" i="28"/>
  <c r="L663" i="28"/>
  <c r="L664" i="28"/>
  <c r="L665" i="28"/>
  <c r="L666" i="28"/>
  <c r="L667" i="28"/>
  <c r="L668" i="28"/>
  <c r="L669" i="28"/>
  <c r="L670" i="28"/>
  <c r="L671" i="28"/>
  <c r="L672" i="28"/>
  <c r="L673" i="28"/>
  <c r="L674" i="28"/>
  <c r="L675" i="28"/>
  <c r="L676" i="28"/>
  <c r="L677" i="28"/>
  <c r="L678" i="28"/>
  <c r="L679" i="28"/>
  <c r="L680" i="28"/>
  <c r="L681" i="28"/>
  <c r="L682" i="28"/>
  <c r="L683" i="28"/>
  <c r="L684" i="28"/>
  <c r="L685" i="28"/>
  <c r="L686" i="28"/>
  <c r="L687" i="28"/>
  <c r="L688" i="28"/>
  <c r="L689" i="28"/>
  <c r="L690" i="28"/>
  <c r="L691" i="28"/>
  <c r="L692" i="28"/>
  <c r="L693" i="28"/>
  <c r="L694" i="28"/>
  <c r="L695" i="28"/>
  <c r="L696" i="28"/>
  <c r="L697" i="28"/>
  <c r="L698" i="28"/>
  <c r="L699" i="28"/>
  <c r="L700" i="28"/>
  <c r="L701" i="28"/>
  <c r="L702" i="28"/>
  <c r="L703" i="28"/>
  <c r="L704" i="28"/>
  <c r="L705" i="28"/>
  <c r="L706" i="28"/>
  <c r="L707" i="28"/>
  <c r="L708" i="28"/>
  <c r="L709" i="28"/>
  <c r="L710" i="28"/>
  <c r="L711" i="28"/>
  <c r="L712" i="28"/>
  <c r="L713" i="28"/>
  <c r="L714" i="28"/>
  <c r="L715" i="28"/>
  <c r="L716" i="28"/>
  <c r="L717" i="28"/>
  <c r="L718" i="28"/>
  <c r="L719" i="28"/>
  <c r="L720" i="28"/>
  <c r="L721" i="28"/>
  <c r="L722" i="28"/>
  <c r="L723" i="28"/>
  <c r="L724" i="28"/>
  <c r="L725" i="28"/>
  <c r="L726" i="28"/>
  <c r="L727" i="28"/>
  <c r="L728" i="28"/>
  <c r="L729" i="28"/>
  <c r="L730" i="28"/>
  <c r="L731" i="28"/>
  <c r="L732" i="28"/>
  <c r="L733" i="28"/>
  <c r="L734" i="28"/>
  <c r="L735" i="28"/>
  <c r="L736" i="28"/>
  <c r="L737" i="28"/>
  <c r="L738" i="28"/>
  <c r="L739" i="28"/>
  <c r="L740" i="28"/>
  <c r="L741" i="28"/>
  <c r="L742" i="28"/>
  <c r="L743" i="28"/>
  <c r="L744" i="28"/>
  <c r="L745" i="28"/>
  <c r="L746" i="28"/>
  <c r="L747" i="28"/>
  <c r="L748" i="28"/>
  <c r="L749" i="28"/>
  <c r="L750" i="28"/>
  <c r="L751" i="28"/>
  <c r="L752" i="28"/>
  <c r="L753" i="28"/>
  <c r="L754" i="28"/>
  <c r="L755" i="28"/>
  <c r="L756" i="28"/>
  <c r="L757" i="28"/>
  <c r="L758" i="28"/>
  <c r="L759" i="28"/>
  <c r="L760" i="28"/>
  <c r="L761" i="28"/>
  <c r="L762" i="28"/>
  <c r="L763" i="28"/>
  <c r="L764" i="28"/>
  <c r="L765" i="28"/>
  <c r="L766" i="28"/>
  <c r="L767" i="28"/>
  <c r="L768" i="28"/>
  <c r="L769" i="28"/>
  <c r="L770" i="28"/>
  <c r="L771" i="28"/>
  <c r="L772" i="28"/>
  <c r="L773" i="28"/>
  <c r="L774" i="28"/>
  <c r="L775" i="28"/>
  <c r="L776" i="28"/>
  <c r="L777" i="28"/>
  <c r="L778" i="28"/>
  <c r="L779" i="28"/>
  <c r="L780" i="28"/>
  <c r="L781" i="28"/>
  <c r="L782" i="28"/>
  <c r="L783" i="28"/>
  <c r="L784" i="28"/>
  <c r="L785" i="28"/>
  <c r="L786" i="28"/>
  <c r="L787" i="28"/>
  <c r="L788" i="28"/>
  <c r="L789" i="28"/>
  <c r="L790" i="28"/>
  <c r="L791" i="28"/>
  <c r="L792" i="28"/>
  <c r="L793" i="28"/>
  <c r="L794" i="28"/>
  <c r="L795" i="28"/>
  <c r="L796" i="28"/>
  <c r="L797" i="28"/>
  <c r="L798" i="28"/>
  <c r="L799" i="28"/>
  <c r="L800" i="28"/>
  <c r="L801" i="28"/>
  <c r="L802" i="28"/>
  <c r="L803" i="28"/>
  <c r="L804" i="28"/>
  <c r="L805" i="28"/>
  <c r="L806" i="28"/>
  <c r="L807" i="28"/>
  <c r="L808" i="28"/>
  <c r="L809" i="28"/>
  <c r="L810" i="28"/>
  <c r="L811" i="28"/>
  <c r="L812" i="28"/>
  <c r="L813" i="28"/>
  <c r="L814" i="28"/>
  <c r="L815" i="28"/>
  <c r="L816" i="28"/>
  <c r="L817" i="28"/>
  <c r="L818" i="28"/>
  <c r="L819" i="28"/>
  <c r="L820" i="28"/>
  <c r="L821" i="28"/>
  <c r="L822" i="28"/>
  <c r="L823" i="28"/>
  <c r="L824" i="28"/>
  <c r="L825" i="28"/>
  <c r="L826" i="28"/>
  <c r="L827" i="28"/>
  <c r="L828" i="28"/>
  <c r="L829" i="28"/>
  <c r="L830" i="28"/>
  <c r="L831" i="28"/>
  <c r="L832" i="28"/>
  <c r="L833" i="28"/>
  <c r="L834" i="28"/>
  <c r="L835" i="28"/>
  <c r="L836" i="28"/>
  <c r="L837" i="28"/>
  <c r="L838" i="28"/>
  <c r="L839" i="28"/>
  <c r="L840" i="28"/>
  <c r="L841" i="28"/>
  <c r="L842" i="28"/>
  <c r="L843" i="28"/>
  <c r="L844" i="28"/>
  <c r="L845" i="28"/>
  <c r="L846" i="28"/>
  <c r="L847" i="28"/>
  <c r="L848" i="28"/>
  <c r="L849" i="28"/>
  <c r="L850" i="28"/>
  <c r="L851" i="28"/>
  <c r="L852" i="28"/>
  <c r="L853" i="28"/>
  <c r="L854" i="28"/>
  <c r="L855" i="28"/>
  <c r="L856" i="28"/>
  <c r="L857" i="28"/>
  <c r="L858" i="28"/>
  <c r="L859" i="28"/>
  <c r="L860" i="28"/>
  <c r="L861" i="28"/>
  <c r="L862" i="28"/>
  <c r="L863" i="28"/>
  <c r="L864" i="28"/>
  <c r="L865" i="28"/>
  <c r="L866" i="28"/>
  <c r="L867" i="28"/>
  <c r="L868" i="28"/>
  <c r="L869" i="28"/>
  <c r="L870" i="28"/>
  <c r="L871" i="28"/>
  <c r="L872" i="28"/>
  <c r="L873" i="28"/>
  <c r="L874" i="28"/>
  <c r="L875" i="28"/>
  <c r="L876" i="28"/>
  <c r="L877" i="28"/>
  <c r="L878" i="28"/>
  <c r="L879" i="28"/>
  <c r="L880" i="28"/>
  <c r="L881" i="28"/>
  <c r="L882" i="28"/>
  <c r="L883" i="28"/>
  <c r="L884" i="28"/>
  <c r="L885" i="28"/>
  <c r="L886" i="28"/>
  <c r="L887" i="28"/>
  <c r="L888" i="28"/>
  <c r="L889" i="28"/>
  <c r="L890" i="28"/>
  <c r="L891" i="28"/>
  <c r="L892" i="28"/>
  <c r="L893" i="28"/>
  <c r="L894" i="28"/>
  <c r="L895" i="28"/>
  <c r="L896" i="28"/>
  <c r="L897" i="28"/>
  <c r="L898" i="28"/>
  <c r="L899" i="28"/>
  <c r="L900" i="28"/>
  <c r="L901" i="28"/>
  <c r="L902" i="28"/>
  <c r="L903" i="28"/>
  <c r="L904" i="28"/>
  <c r="L905" i="28"/>
  <c r="L906" i="28"/>
  <c r="L907" i="28"/>
  <c r="L908" i="28"/>
  <c r="L909" i="28"/>
  <c r="L910" i="28"/>
  <c r="L911" i="28"/>
  <c r="L912" i="28"/>
  <c r="L913" i="28"/>
  <c r="L914" i="28"/>
  <c r="L915" i="28"/>
  <c r="L916" i="28"/>
  <c r="L917" i="28"/>
  <c r="L918" i="28"/>
  <c r="L919" i="28"/>
  <c r="L920" i="28"/>
  <c r="L921" i="28"/>
  <c r="L922" i="28"/>
  <c r="L923" i="28"/>
  <c r="L924" i="28"/>
  <c r="L925" i="28"/>
  <c r="L926" i="28"/>
  <c r="L927" i="28"/>
  <c r="L928" i="28"/>
  <c r="L929" i="28"/>
  <c r="L930" i="28"/>
  <c r="L931" i="28"/>
  <c r="L932" i="28"/>
  <c r="L933" i="28"/>
  <c r="L934" i="28"/>
  <c r="L935" i="28"/>
  <c r="L936" i="28"/>
  <c r="L937" i="28"/>
  <c r="L938" i="28"/>
  <c r="L939" i="28"/>
  <c r="L940" i="28"/>
  <c r="L941" i="28"/>
  <c r="L942" i="28"/>
  <c r="L943" i="28"/>
  <c r="L944" i="28"/>
  <c r="L945" i="28"/>
  <c r="L946" i="28"/>
  <c r="L947" i="28"/>
  <c r="L948" i="28"/>
  <c r="L949" i="28"/>
  <c r="L950" i="28"/>
  <c r="L951" i="28"/>
  <c r="L952" i="28"/>
  <c r="L953" i="28"/>
  <c r="L954" i="28"/>
  <c r="L955" i="28"/>
  <c r="L956" i="28"/>
  <c r="L957" i="28"/>
  <c r="L958" i="28"/>
  <c r="L959" i="28"/>
  <c r="L960" i="28"/>
  <c r="L961" i="28"/>
  <c r="L962" i="28"/>
  <c r="L963" i="28"/>
  <c r="L964" i="28"/>
  <c r="L965" i="28"/>
  <c r="L966" i="28"/>
  <c r="L967" i="28"/>
  <c r="L968" i="28"/>
  <c r="L969" i="28"/>
  <c r="L970" i="28"/>
  <c r="L971" i="28"/>
  <c r="L972" i="28"/>
  <c r="L973" i="28"/>
  <c r="L974" i="28"/>
  <c r="L975" i="28"/>
  <c r="L976" i="28"/>
  <c r="L977" i="28"/>
  <c r="L978" i="28"/>
  <c r="L979" i="28"/>
  <c r="L980" i="28"/>
  <c r="L981" i="28"/>
  <c r="L982" i="28"/>
  <c r="L983" i="28"/>
  <c r="L984" i="28"/>
  <c r="L985" i="28"/>
  <c r="L986" i="28"/>
  <c r="L987" i="28"/>
  <c r="L988" i="28"/>
  <c r="L989" i="28"/>
  <c r="L990" i="28"/>
  <c r="L991" i="28"/>
  <c r="L992" i="28"/>
  <c r="L993" i="28"/>
  <c r="L994" i="28"/>
  <c r="L995" i="28"/>
  <c r="L996" i="28"/>
  <c r="L997" i="28"/>
  <c r="L998" i="28"/>
  <c r="L999" i="28"/>
  <c r="L1000" i="28"/>
  <c r="L1001" i="28"/>
  <c r="L1002" i="28"/>
  <c r="L1003" i="28"/>
  <c r="K10" i="28"/>
  <c r="K11" i="28"/>
  <c r="K12" i="28"/>
  <c r="K13" i="28"/>
  <c r="K14" i="28"/>
  <c r="K15" i="28"/>
  <c r="K16" i="28"/>
  <c r="K17" i="28"/>
  <c r="K18" i="28"/>
  <c r="K19" i="28"/>
  <c r="K20" i="28"/>
  <c r="K21" i="28"/>
  <c r="K22" i="28"/>
  <c r="K23" i="28"/>
  <c r="K24" i="28"/>
  <c r="K25" i="28"/>
  <c r="K26" i="28"/>
  <c r="K27" i="28"/>
  <c r="K28" i="28"/>
  <c r="K29" i="28"/>
  <c r="K30" i="28"/>
  <c r="K31" i="28"/>
  <c r="K32" i="28"/>
  <c r="K33" i="28"/>
  <c r="K34" i="28"/>
  <c r="K35" i="28"/>
  <c r="K36" i="28"/>
  <c r="K37" i="28"/>
  <c r="K38" i="28"/>
  <c r="K39" i="28"/>
  <c r="K40" i="28"/>
  <c r="K41" i="28"/>
  <c r="K42" i="28"/>
  <c r="K43" i="28"/>
  <c r="K44" i="28"/>
  <c r="K45" i="28"/>
  <c r="K46" i="28"/>
  <c r="K47" i="28"/>
  <c r="K48" i="28"/>
  <c r="K49" i="28"/>
  <c r="K50" i="28"/>
  <c r="K51" i="28"/>
  <c r="K52" i="28"/>
  <c r="K53" i="28"/>
  <c r="K54" i="28"/>
  <c r="K55" i="28"/>
  <c r="K56" i="28"/>
  <c r="K57" i="28"/>
  <c r="K58" i="28"/>
  <c r="K59" i="28"/>
  <c r="K60" i="28"/>
  <c r="K61" i="28"/>
  <c r="K62" i="28"/>
  <c r="K63" i="28"/>
  <c r="K64" i="28"/>
  <c r="K65" i="28"/>
  <c r="K66" i="28"/>
  <c r="K67" i="28"/>
  <c r="K68" i="28"/>
  <c r="K69" i="28"/>
  <c r="K70" i="28"/>
  <c r="K71" i="28"/>
  <c r="K72" i="28"/>
  <c r="K73" i="28"/>
  <c r="K74" i="28"/>
  <c r="K75" i="28"/>
  <c r="K76" i="28"/>
  <c r="K77" i="28"/>
  <c r="K78" i="28"/>
  <c r="K79" i="28"/>
  <c r="K80" i="28"/>
  <c r="K81" i="28"/>
  <c r="K82" i="28"/>
  <c r="K83" i="28"/>
  <c r="K84" i="28"/>
  <c r="K85" i="28"/>
  <c r="K86" i="28"/>
  <c r="K87" i="28"/>
  <c r="K88" i="28"/>
  <c r="K89" i="28"/>
  <c r="K90" i="28"/>
  <c r="K91" i="28"/>
  <c r="K92" i="28"/>
  <c r="K93" i="28"/>
  <c r="K94" i="28"/>
  <c r="K95" i="28"/>
  <c r="K96" i="28"/>
  <c r="K97" i="28"/>
  <c r="K98" i="28"/>
  <c r="K99" i="28"/>
  <c r="K100" i="28"/>
  <c r="K101" i="28"/>
  <c r="K102" i="28"/>
  <c r="K103" i="28"/>
  <c r="K104" i="28"/>
  <c r="K105" i="28"/>
  <c r="K106" i="28"/>
  <c r="K107" i="28"/>
  <c r="K108" i="28"/>
  <c r="K109" i="28"/>
  <c r="K110" i="28"/>
  <c r="K111" i="28"/>
  <c r="K112" i="28"/>
  <c r="K113" i="28"/>
  <c r="K114" i="28"/>
  <c r="K115" i="28"/>
  <c r="K116" i="28"/>
  <c r="K117" i="28"/>
  <c r="K118" i="28"/>
  <c r="K119" i="28"/>
  <c r="K120" i="28"/>
  <c r="K121" i="28"/>
  <c r="K122" i="28"/>
  <c r="K123" i="28"/>
  <c r="K124" i="28"/>
  <c r="K125" i="28"/>
  <c r="K126" i="28"/>
  <c r="K127" i="28"/>
  <c r="K128" i="28"/>
  <c r="K129" i="28"/>
  <c r="K130" i="28"/>
  <c r="K131" i="28"/>
  <c r="K132" i="28"/>
  <c r="K133" i="28"/>
  <c r="K134" i="28"/>
  <c r="K135" i="28"/>
  <c r="K136" i="28"/>
  <c r="K137" i="28"/>
  <c r="K138" i="28"/>
  <c r="K139" i="28"/>
  <c r="K140" i="28"/>
  <c r="K141" i="28"/>
  <c r="K142" i="28"/>
  <c r="K143" i="28"/>
  <c r="K144" i="28"/>
  <c r="K145" i="28"/>
  <c r="K146" i="28"/>
  <c r="K147" i="28"/>
  <c r="K148" i="28"/>
  <c r="K149" i="28"/>
  <c r="K150" i="28"/>
  <c r="K151" i="28"/>
  <c r="K152" i="28"/>
  <c r="K153" i="28"/>
  <c r="K154" i="28"/>
  <c r="K155" i="28"/>
  <c r="K156" i="28"/>
  <c r="K157" i="28"/>
  <c r="K158" i="28"/>
  <c r="K159" i="28"/>
  <c r="K160" i="28"/>
  <c r="K161" i="28"/>
  <c r="K162" i="28"/>
  <c r="K163" i="28"/>
  <c r="K164" i="28"/>
  <c r="K165" i="28"/>
  <c r="K166" i="28"/>
  <c r="K167" i="28"/>
  <c r="K168" i="28"/>
  <c r="K169" i="28"/>
  <c r="K170" i="28"/>
  <c r="K171" i="28"/>
  <c r="K172" i="28"/>
  <c r="K173" i="28"/>
  <c r="K174" i="28"/>
  <c r="K175" i="28"/>
  <c r="K176" i="28"/>
  <c r="K177" i="28"/>
  <c r="K178" i="28"/>
  <c r="K179" i="28"/>
  <c r="K180" i="28"/>
  <c r="K181" i="28"/>
  <c r="K182" i="28"/>
  <c r="K183" i="28"/>
  <c r="K184" i="28"/>
  <c r="K185" i="28"/>
  <c r="K186" i="28"/>
  <c r="K187" i="28"/>
  <c r="K188" i="28"/>
  <c r="K189" i="28"/>
  <c r="K190" i="28"/>
  <c r="K191" i="28"/>
  <c r="K192" i="28"/>
  <c r="K193" i="28"/>
  <c r="K194" i="28"/>
  <c r="K195" i="28"/>
  <c r="K196" i="28"/>
  <c r="K197" i="28"/>
  <c r="K198" i="28"/>
  <c r="K199" i="28"/>
  <c r="K200" i="28"/>
  <c r="K201" i="28"/>
  <c r="K202" i="28"/>
  <c r="K203" i="28"/>
  <c r="K204" i="28"/>
  <c r="K205" i="28"/>
  <c r="K206" i="28"/>
  <c r="K207" i="28"/>
  <c r="K208" i="28"/>
  <c r="K209" i="28"/>
  <c r="K210" i="28"/>
  <c r="K211" i="28"/>
  <c r="K212" i="28"/>
  <c r="K213" i="28"/>
  <c r="K214" i="28"/>
  <c r="K215" i="28"/>
  <c r="K216" i="28"/>
  <c r="K217" i="28"/>
  <c r="K218" i="28"/>
  <c r="K219" i="28"/>
  <c r="K220" i="28"/>
  <c r="K221" i="28"/>
  <c r="K222" i="28"/>
  <c r="K223" i="28"/>
  <c r="K224" i="28"/>
  <c r="K225" i="28"/>
  <c r="K226" i="28"/>
  <c r="K227" i="28"/>
  <c r="K228" i="28"/>
  <c r="K229" i="28"/>
  <c r="K230" i="28"/>
  <c r="K231" i="28"/>
  <c r="K232" i="28"/>
  <c r="K233" i="28"/>
  <c r="K234" i="28"/>
  <c r="K235" i="28"/>
  <c r="K236" i="28"/>
  <c r="K237" i="28"/>
  <c r="K238" i="28"/>
  <c r="K239" i="28"/>
  <c r="K240" i="28"/>
  <c r="K241" i="28"/>
  <c r="K242" i="28"/>
  <c r="K243" i="28"/>
  <c r="K244" i="28"/>
  <c r="K245" i="28"/>
  <c r="K246" i="28"/>
  <c r="K247" i="28"/>
  <c r="K248" i="28"/>
  <c r="K249" i="28"/>
  <c r="K250" i="28"/>
  <c r="K251" i="28"/>
  <c r="K252" i="28"/>
  <c r="K253" i="28"/>
  <c r="K254" i="28"/>
  <c r="K255" i="28"/>
  <c r="K256" i="28"/>
  <c r="K257" i="28"/>
  <c r="K258" i="28"/>
  <c r="K259" i="28"/>
  <c r="K260" i="28"/>
  <c r="K261" i="28"/>
  <c r="K262" i="28"/>
  <c r="K263" i="28"/>
  <c r="K264" i="28"/>
  <c r="K265" i="28"/>
  <c r="K266" i="28"/>
  <c r="K267" i="28"/>
  <c r="K268" i="28"/>
  <c r="K269" i="28"/>
  <c r="K270" i="28"/>
  <c r="K271" i="28"/>
  <c r="K272" i="28"/>
  <c r="K273" i="28"/>
  <c r="K274" i="28"/>
  <c r="K275" i="28"/>
  <c r="K276" i="28"/>
  <c r="K277" i="28"/>
  <c r="K278" i="28"/>
  <c r="K279" i="28"/>
  <c r="K280" i="28"/>
  <c r="K281" i="28"/>
  <c r="K282" i="28"/>
  <c r="K283" i="28"/>
  <c r="K284" i="28"/>
  <c r="K285" i="28"/>
  <c r="K286" i="28"/>
  <c r="K287" i="28"/>
  <c r="K288" i="28"/>
  <c r="K289" i="28"/>
  <c r="K290" i="28"/>
  <c r="K291" i="28"/>
  <c r="K292" i="28"/>
  <c r="K293" i="28"/>
  <c r="K294" i="28"/>
  <c r="K295" i="28"/>
  <c r="K296" i="28"/>
  <c r="K297" i="28"/>
  <c r="K298" i="28"/>
  <c r="K299" i="28"/>
  <c r="K300" i="28"/>
  <c r="K301" i="28"/>
  <c r="K302" i="28"/>
  <c r="K303" i="28"/>
  <c r="K304" i="28"/>
  <c r="K305" i="28"/>
  <c r="K306" i="28"/>
  <c r="K307" i="28"/>
  <c r="K308" i="28"/>
  <c r="K309" i="28"/>
  <c r="K310" i="28"/>
  <c r="K311" i="28"/>
  <c r="K312" i="28"/>
  <c r="K313" i="28"/>
  <c r="K314" i="28"/>
  <c r="K315" i="28"/>
  <c r="K316" i="28"/>
  <c r="K317" i="28"/>
  <c r="K318" i="28"/>
  <c r="K319" i="28"/>
  <c r="K320" i="28"/>
  <c r="K321" i="28"/>
  <c r="K322" i="28"/>
  <c r="K323" i="28"/>
  <c r="K324" i="28"/>
  <c r="K325" i="28"/>
  <c r="K326" i="28"/>
  <c r="K327" i="28"/>
  <c r="K328" i="28"/>
  <c r="K329" i="28"/>
  <c r="K330" i="28"/>
  <c r="K331" i="28"/>
  <c r="K332" i="28"/>
  <c r="K333" i="28"/>
  <c r="K334" i="28"/>
  <c r="K335" i="28"/>
  <c r="K336" i="28"/>
  <c r="K337" i="28"/>
  <c r="K338" i="28"/>
  <c r="K339" i="28"/>
  <c r="K340" i="28"/>
  <c r="K341" i="28"/>
  <c r="K342" i="28"/>
  <c r="K343" i="28"/>
  <c r="K344" i="28"/>
  <c r="K345" i="28"/>
  <c r="K346" i="28"/>
  <c r="K347" i="28"/>
  <c r="K348" i="28"/>
  <c r="K349" i="28"/>
  <c r="K350" i="28"/>
  <c r="K351" i="28"/>
  <c r="K352" i="28"/>
  <c r="K353" i="28"/>
  <c r="K354" i="28"/>
  <c r="K355" i="28"/>
  <c r="K356" i="28"/>
  <c r="K357" i="28"/>
  <c r="K358" i="28"/>
  <c r="K359" i="28"/>
  <c r="K360" i="28"/>
  <c r="K361" i="28"/>
  <c r="K362" i="28"/>
  <c r="K363" i="28"/>
  <c r="K364" i="28"/>
  <c r="K365" i="28"/>
  <c r="K366" i="28"/>
  <c r="K367" i="28"/>
  <c r="K368" i="28"/>
  <c r="K369" i="28"/>
  <c r="K370" i="28"/>
  <c r="K371" i="28"/>
  <c r="K372" i="28"/>
  <c r="K373" i="28"/>
  <c r="K374" i="28"/>
  <c r="K375" i="28"/>
  <c r="K376" i="28"/>
  <c r="K377" i="28"/>
  <c r="K378" i="28"/>
  <c r="K379" i="28"/>
  <c r="K380" i="28"/>
  <c r="K381" i="28"/>
  <c r="K382" i="28"/>
  <c r="K383" i="28"/>
  <c r="K384" i="28"/>
  <c r="K385" i="28"/>
  <c r="K386" i="28"/>
  <c r="K387" i="28"/>
  <c r="K388" i="28"/>
  <c r="K389" i="28"/>
  <c r="K390" i="28"/>
  <c r="K391" i="28"/>
  <c r="K392" i="28"/>
  <c r="K393" i="28"/>
  <c r="K394" i="28"/>
  <c r="K395" i="28"/>
  <c r="K396" i="28"/>
  <c r="K397" i="28"/>
  <c r="K398" i="28"/>
  <c r="K399" i="28"/>
  <c r="K400" i="28"/>
  <c r="K401" i="28"/>
  <c r="K402" i="28"/>
  <c r="K403" i="28"/>
  <c r="K404" i="28"/>
  <c r="K405" i="28"/>
  <c r="K406" i="28"/>
  <c r="K407" i="28"/>
  <c r="K408" i="28"/>
  <c r="K409" i="28"/>
  <c r="K410" i="28"/>
  <c r="K411" i="28"/>
  <c r="K412" i="28"/>
  <c r="K413" i="28"/>
  <c r="K414" i="28"/>
  <c r="K415" i="28"/>
  <c r="K416" i="28"/>
  <c r="K417" i="28"/>
  <c r="K418" i="28"/>
  <c r="K419" i="28"/>
  <c r="K420" i="28"/>
  <c r="K421" i="28"/>
  <c r="K422" i="28"/>
  <c r="K423" i="28"/>
  <c r="K424" i="28"/>
  <c r="K425" i="28"/>
  <c r="K426" i="28"/>
  <c r="K427" i="28"/>
  <c r="K428" i="28"/>
  <c r="K429" i="28"/>
  <c r="K430" i="28"/>
  <c r="K431" i="28"/>
  <c r="K432" i="28"/>
  <c r="K433" i="28"/>
  <c r="K434" i="28"/>
  <c r="K435" i="28"/>
  <c r="K436" i="28"/>
  <c r="K437" i="28"/>
  <c r="K438" i="28"/>
  <c r="K439" i="28"/>
  <c r="K440" i="28"/>
  <c r="K441" i="28"/>
  <c r="K442" i="28"/>
  <c r="K443" i="28"/>
  <c r="K444" i="28"/>
  <c r="K445" i="28"/>
  <c r="K446" i="28"/>
  <c r="K447" i="28"/>
  <c r="K448" i="28"/>
  <c r="K449" i="28"/>
  <c r="K450" i="28"/>
  <c r="K451" i="28"/>
  <c r="K452" i="28"/>
  <c r="K453" i="28"/>
  <c r="K454" i="28"/>
  <c r="K455" i="28"/>
  <c r="K456" i="28"/>
  <c r="K457" i="28"/>
  <c r="K458" i="28"/>
  <c r="K459" i="28"/>
  <c r="K460" i="28"/>
  <c r="K461" i="28"/>
  <c r="K462" i="28"/>
  <c r="K463" i="28"/>
  <c r="K464" i="28"/>
  <c r="K465" i="28"/>
  <c r="K466" i="28"/>
  <c r="K467" i="28"/>
  <c r="K468" i="28"/>
  <c r="K469" i="28"/>
  <c r="K470" i="28"/>
  <c r="K471" i="28"/>
  <c r="K472" i="28"/>
  <c r="K473" i="28"/>
  <c r="K474" i="28"/>
  <c r="K475" i="28"/>
  <c r="K476" i="28"/>
  <c r="K477" i="28"/>
  <c r="K478" i="28"/>
  <c r="K479" i="28"/>
  <c r="K480" i="28"/>
  <c r="K481" i="28"/>
  <c r="K482" i="28"/>
  <c r="K483" i="28"/>
  <c r="K484" i="28"/>
  <c r="K485" i="28"/>
  <c r="K486" i="28"/>
  <c r="K487" i="28"/>
  <c r="K488" i="28"/>
  <c r="K489" i="28"/>
  <c r="K490" i="28"/>
  <c r="K491" i="28"/>
  <c r="K492" i="28"/>
  <c r="K493" i="28"/>
  <c r="K494" i="28"/>
  <c r="K495" i="28"/>
  <c r="K496" i="28"/>
  <c r="K497" i="28"/>
  <c r="K498" i="28"/>
  <c r="K499" i="28"/>
  <c r="K500" i="28"/>
  <c r="K501" i="28"/>
  <c r="K502" i="28"/>
  <c r="K503" i="28"/>
  <c r="K504" i="28"/>
  <c r="K505" i="28"/>
  <c r="K506" i="28"/>
  <c r="K507" i="28"/>
  <c r="K508" i="28"/>
  <c r="K509" i="28"/>
  <c r="K510" i="28"/>
  <c r="K511" i="28"/>
  <c r="K512" i="28"/>
  <c r="K513" i="28"/>
  <c r="K514" i="28"/>
  <c r="K515" i="28"/>
  <c r="K516" i="28"/>
  <c r="K517" i="28"/>
  <c r="K518" i="28"/>
  <c r="K519" i="28"/>
  <c r="K520" i="28"/>
  <c r="K521" i="28"/>
  <c r="K522" i="28"/>
  <c r="K523" i="28"/>
  <c r="K524" i="28"/>
  <c r="K525" i="28"/>
  <c r="K526" i="28"/>
  <c r="K527" i="28"/>
  <c r="K528" i="28"/>
  <c r="K529" i="28"/>
  <c r="K530" i="28"/>
  <c r="K531" i="28"/>
  <c r="K532" i="28"/>
  <c r="K533" i="28"/>
  <c r="K534" i="28"/>
  <c r="K535" i="28"/>
  <c r="K536" i="28"/>
  <c r="K537" i="28"/>
  <c r="K538" i="28"/>
  <c r="K539" i="28"/>
  <c r="K540" i="28"/>
  <c r="K541" i="28"/>
  <c r="K542" i="28"/>
  <c r="K543" i="28"/>
  <c r="K544" i="28"/>
  <c r="K545" i="28"/>
  <c r="K546" i="28"/>
  <c r="K547" i="28"/>
  <c r="K548" i="28"/>
  <c r="K549" i="28"/>
  <c r="K550" i="28"/>
  <c r="K551" i="28"/>
  <c r="K552" i="28"/>
  <c r="K553" i="28"/>
  <c r="K554" i="28"/>
  <c r="K555" i="28"/>
  <c r="K556" i="28"/>
  <c r="K557" i="28"/>
  <c r="K558" i="28"/>
  <c r="K559" i="28"/>
  <c r="K560" i="28"/>
  <c r="K561" i="28"/>
  <c r="K562" i="28"/>
  <c r="K563" i="28"/>
  <c r="K564" i="28"/>
  <c r="K565" i="28"/>
  <c r="K566" i="28"/>
  <c r="K567" i="28"/>
  <c r="K568" i="28"/>
  <c r="K569" i="28"/>
  <c r="K570" i="28"/>
  <c r="K571" i="28"/>
  <c r="K572" i="28"/>
  <c r="K573" i="28"/>
  <c r="K574" i="28"/>
  <c r="K575" i="28"/>
  <c r="K576" i="28"/>
  <c r="K577" i="28"/>
  <c r="K578" i="28"/>
  <c r="K579" i="28"/>
  <c r="K580" i="28"/>
  <c r="K581" i="28"/>
  <c r="K582" i="28"/>
  <c r="K583" i="28"/>
  <c r="K584" i="28"/>
  <c r="K585" i="28"/>
  <c r="K586" i="28"/>
  <c r="K587" i="28"/>
  <c r="K588" i="28"/>
  <c r="K589" i="28"/>
  <c r="K590" i="28"/>
  <c r="K591" i="28"/>
  <c r="K592" i="28"/>
  <c r="K593" i="28"/>
  <c r="K594" i="28"/>
  <c r="K595" i="28"/>
  <c r="K596" i="28"/>
  <c r="K597" i="28"/>
  <c r="K598" i="28"/>
  <c r="K599" i="28"/>
  <c r="K600" i="28"/>
  <c r="K601" i="28"/>
  <c r="K602" i="28"/>
  <c r="K603" i="28"/>
  <c r="K604" i="28"/>
  <c r="K605" i="28"/>
  <c r="K606" i="28"/>
  <c r="K607" i="28"/>
  <c r="K608" i="28"/>
  <c r="K609" i="28"/>
  <c r="K610" i="28"/>
  <c r="K611" i="28"/>
  <c r="K612" i="28"/>
  <c r="K613" i="28"/>
  <c r="K614" i="28"/>
  <c r="K615" i="28"/>
  <c r="K616" i="28"/>
  <c r="K617" i="28"/>
  <c r="K618" i="28"/>
  <c r="K619" i="28"/>
  <c r="K620" i="28"/>
  <c r="K621" i="28"/>
  <c r="K622" i="28"/>
  <c r="K623" i="28"/>
  <c r="K624" i="28"/>
  <c r="K625" i="28"/>
  <c r="K626" i="28"/>
  <c r="K627" i="28"/>
  <c r="K628" i="28"/>
  <c r="K629" i="28"/>
  <c r="K630" i="28"/>
  <c r="K631" i="28"/>
  <c r="K632" i="28"/>
  <c r="K633" i="28"/>
  <c r="K634" i="28"/>
  <c r="K635" i="28"/>
  <c r="K636" i="28"/>
  <c r="K637" i="28"/>
  <c r="K638" i="28"/>
  <c r="K639" i="28"/>
  <c r="K640" i="28"/>
  <c r="K641" i="28"/>
  <c r="K642" i="28"/>
  <c r="K643" i="28"/>
  <c r="K644" i="28"/>
  <c r="K645" i="28"/>
  <c r="K646" i="28"/>
  <c r="K647" i="28"/>
  <c r="K648" i="28"/>
  <c r="K649" i="28"/>
  <c r="K650" i="28"/>
  <c r="K651" i="28"/>
  <c r="K652" i="28"/>
  <c r="K653" i="28"/>
  <c r="K654" i="28"/>
  <c r="K655" i="28"/>
  <c r="K656" i="28"/>
  <c r="K657" i="28"/>
  <c r="K658" i="28"/>
  <c r="K659" i="28"/>
  <c r="K660" i="28"/>
  <c r="K661" i="28"/>
  <c r="K662" i="28"/>
  <c r="K663" i="28"/>
  <c r="K664" i="28"/>
  <c r="K665" i="28"/>
  <c r="K666" i="28"/>
  <c r="K667" i="28"/>
  <c r="K668" i="28"/>
  <c r="K669" i="28"/>
  <c r="K670" i="28"/>
  <c r="K671" i="28"/>
  <c r="K672" i="28"/>
  <c r="K673" i="28"/>
  <c r="K674" i="28"/>
  <c r="K675" i="28"/>
  <c r="K676" i="28"/>
  <c r="K677" i="28"/>
  <c r="K678" i="28"/>
  <c r="K679" i="28"/>
  <c r="K680" i="28"/>
  <c r="K681" i="28"/>
  <c r="K682" i="28"/>
  <c r="K683" i="28"/>
  <c r="K684" i="28"/>
  <c r="K685" i="28"/>
  <c r="K686" i="28"/>
  <c r="K687" i="28"/>
  <c r="K688" i="28"/>
  <c r="K689" i="28"/>
  <c r="K690" i="28"/>
  <c r="K691" i="28"/>
  <c r="K692" i="28"/>
  <c r="K693" i="28"/>
  <c r="K694" i="28"/>
  <c r="K695" i="28"/>
  <c r="K696" i="28"/>
  <c r="K697" i="28"/>
  <c r="K698" i="28"/>
  <c r="K699" i="28"/>
  <c r="K700" i="28"/>
  <c r="K701" i="28"/>
  <c r="K702" i="28"/>
  <c r="K703" i="28"/>
  <c r="K704" i="28"/>
  <c r="K705" i="28"/>
  <c r="K706" i="28"/>
  <c r="K707" i="28"/>
  <c r="K708" i="28"/>
  <c r="K709" i="28"/>
  <c r="K710" i="28"/>
  <c r="K711" i="28"/>
  <c r="K712" i="28"/>
  <c r="K713" i="28"/>
  <c r="K714" i="28"/>
  <c r="K715" i="28"/>
  <c r="K716" i="28"/>
  <c r="K717" i="28"/>
  <c r="K718" i="28"/>
  <c r="K719" i="28"/>
  <c r="K720" i="28"/>
  <c r="K721" i="28"/>
  <c r="K722" i="28"/>
  <c r="K723" i="28"/>
  <c r="K724" i="28"/>
  <c r="K725" i="28"/>
  <c r="K726" i="28"/>
  <c r="K727" i="28"/>
  <c r="K728" i="28"/>
  <c r="K729" i="28"/>
  <c r="K730" i="28"/>
  <c r="K731" i="28"/>
  <c r="K732" i="28"/>
  <c r="K733" i="28"/>
  <c r="K734" i="28"/>
  <c r="K735" i="28"/>
  <c r="K736" i="28"/>
  <c r="K737" i="28"/>
  <c r="K738" i="28"/>
  <c r="K739" i="28"/>
  <c r="K740" i="28"/>
  <c r="K741" i="28"/>
  <c r="K742" i="28"/>
  <c r="K743" i="28"/>
  <c r="K744" i="28"/>
  <c r="K745" i="28"/>
  <c r="K746" i="28"/>
  <c r="K747" i="28"/>
  <c r="K748" i="28"/>
  <c r="K749" i="28"/>
  <c r="K750" i="28"/>
  <c r="K751" i="28"/>
  <c r="K752" i="28"/>
  <c r="K753" i="28"/>
  <c r="K754" i="28"/>
  <c r="K755" i="28"/>
  <c r="K756" i="28"/>
  <c r="K757" i="28"/>
  <c r="K758" i="28"/>
  <c r="K759" i="28"/>
  <c r="K760" i="28"/>
  <c r="K761" i="28"/>
  <c r="K762" i="28"/>
  <c r="K763" i="28"/>
  <c r="K764" i="28"/>
  <c r="K765" i="28"/>
  <c r="K766" i="28"/>
  <c r="K767" i="28"/>
  <c r="K768" i="28"/>
  <c r="K769" i="28"/>
  <c r="K770" i="28"/>
  <c r="K771" i="28"/>
  <c r="K772" i="28"/>
  <c r="K773" i="28"/>
  <c r="K774" i="28"/>
  <c r="K775" i="28"/>
  <c r="K776" i="28"/>
  <c r="K777" i="28"/>
  <c r="K778" i="28"/>
  <c r="K779" i="28"/>
  <c r="K780" i="28"/>
  <c r="K781" i="28"/>
  <c r="K782" i="28"/>
  <c r="K783" i="28"/>
  <c r="K784" i="28"/>
  <c r="K785" i="28"/>
  <c r="K786" i="28"/>
  <c r="K787" i="28"/>
  <c r="K788" i="28"/>
  <c r="K789" i="28"/>
  <c r="K790" i="28"/>
  <c r="K791" i="28"/>
  <c r="K792" i="28"/>
  <c r="K793" i="28"/>
  <c r="K794" i="28"/>
  <c r="K795" i="28"/>
  <c r="K796" i="28"/>
  <c r="K797" i="28"/>
  <c r="K798" i="28"/>
  <c r="K799" i="28"/>
  <c r="K800" i="28"/>
  <c r="K801" i="28"/>
  <c r="K802" i="28"/>
  <c r="K803" i="28"/>
  <c r="K804" i="28"/>
  <c r="K805" i="28"/>
  <c r="K806" i="28"/>
  <c r="K807" i="28"/>
  <c r="K808" i="28"/>
  <c r="K809" i="28"/>
  <c r="K810" i="28"/>
  <c r="K811" i="28"/>
  <c r="K812" i="28"/>
  <c r="K813" i="28"/>
  <c r="K814" i="28"/>
  <c r="K815" i="28"/>
  <c r="K816" i="28"/>
  <c r="K817" i="28"/>
  <c r="K818" i="28"/>
  <c r="K819" i="28"/>
  <c r="K820" i="28"/>
  <c r="K821" i="28"/>
  <c r="K822" i="28"/>
  <c r="K823" i="28"/>
  <c r="K824" i="28"/>
  <c r="K825" i="28"/>
  <c r="K826" i="28"/>
  <c r="K827" i="28"/>
  <c r="K828" i="28"/>
  <c r="K829" i="28"/>
  <c r="K830" i="28"/>
  <c r="K831" i="28"/>
  <c r="K832" i="28"/>
  <c r="K833" i="28"/>
  <c r="K834" i="28"/>
  <c r="K835" i="28"/>
  <c r="K836" i="28"/>
  <c r="K837" i="28"/>
  <c r="K838" i="28"/>
  <c r="K839" i="28"/>
  <c r="K840" i="28"/>
  <c r="K841" i="28"/>
  <c r="K842" i="28"/>
  <c r="K843" i="28"/>
  <c r="K844" i="28"/>
  <c r="K845" i="28"/>
  <c r="K846" i="28"/>
  <c r="K847" i="28"/>
  <c r="K848" i="28"/>
  <c r="K849" i="28"/>
  <c r="K850" i="28"/>
  <c r="K851" i="28"/>
  <c r="K852" i="28"/>
  <c r="K853" i="28"/>
  <c r="K854" i="28"/>
  <c r="K855" i="28"/>
  <c r="K856" i="28"/>
  <c r="K857" i="28"/>
  <c r="K858" i="28"/>
  <c r="K859" i="28"/>
  <c r="K860" i="28"/>
  <c r="K861" i="28"/>
  <c r="K862" i="28"/>
  <c r="K863" i="28"/>
  <c r="K864" i="28"/>
  <c r="K865" i="28"/>
  <c r="K866" i="28"/>
  <c r="K867" i="28"/>
  <c r="K868" i="28"/>
  <c r="K869" i="28"/>
  <c r="K870" i="28"/>
  <c r="K871" i="28"/>
  <c r="K872" i="28"/>
  <c r="K873" i="28"/>
  <c r="K874" i="28"/>
  <c r="K875" i="28"/>
  <c r="K876" i="28"/>
  <c r="K877" i="28"/>
  <c r="K878" i="28"/>
  <c r="K879" i="28"/>
  <c r="K880" i="28"/>
  <c r="K881" i="28"/>
  <c r="K882" i="28"/>
  <c r="K883" i="28"/>
  <c r="K884" i="28"/>
  <c r="K885" i="28"/>
  <c r="K886" i="28"/>
  <c r="K887" i="28"/>
  <c r="K888" i="28"/>
  <c r="K889" i="28"/>
  <c r="K890" i="28"/>
  <c r="K891" i="28"/>
  <c r="K892" i="28"/>
  <c r="K893" i="28"/>
  <c r="K894" i="28"/>
  <c r="K895" i="28"/>
  <c r="K896" i="28"/>
  <c r="K897" i="28"/>
  <c r="K898" i="28"/>
  <c r="K899" i="28"/>
  <c r="K900" i="28"/>
  <c r="K901" i="28"/>
  <c r="K902" i="28"/>
  <c r="K903" i="28"/>
  <c r="K904" i="28"/>
  <c r="K905" i="28"/>
  <c r="K906" i="28"/>
  <c r="K907" i="28"/>
  <c r="K908" i="28"/>
  <c r="K909" i="28"/>
  <c r="K910" i="28"/>
  <c r="K911" i="28"/>
  <c r="K912" i="28"/>
  <c r="K913" i="28"/>
  <c r="K914" i="28"/>
  <c r="K915" i="28"/>
  <c r="K916" i="28"/>
  <c r="K917" i="28"/>
  <c r="K918" i="28"/>
  <c r="K919" i="28"/>
  <c r="K920" i="28"/>
  <c r="K921" i="28"/>
  <c r="K922" i="28"/>
  <c r="K923" i="28"/>
  <c r="K924" i="28"/>
  <c r="K925" i="28"/>
  <c r="K926" i="28"/>
  <c r="K927" i="28"/>
  <c r="K928" i="28"/>
  <c r="K929" i="28"/>
  <c r="K930" i="28"/>
  <c r="K931" i="28"/>
  <c r="K932" i="28"/>
  <c r="K933" i="28"/>
  <c r="K934" i="28"/>
  <c r="K935" i="28"/>
  <c r="K936" i="28"/>
  <c r="K937" i="28"/>
  <c r="K938" i="28"/>
  <c r="K939" i="28"/>
  <c r="K940" i="28"/>
  <c r="K941" i="28"/>
  <c r="K942" i="28"/>
  <c r="K943" i="28"/>
  <c r="K944" i="28"/>
  <c r="K945" i="28"/>
  <c r="K946" i="28"/>
  <c r="K947" i="28"/>
  <c r="K948" i="28"/>
  <c r="K949" i="28"/>
  <c r="K950" i="28"/>
  <c r="K951" i="28"/>
  <c r="K952" i="28"/>
  <c r="K953" i="28"/>
  <c r="K954" i="28"/>
  <c r="K955" i="28"/>
  <c r="K956" i="28"/>
  <c r="K957" i="28"/>
  <c r="K958" i="28"/>
  <c r="K959" i="28"/>
  <c r="K960" i="28"/>
  <c r="K961" i="28"/>
  <c r="K962" i="28"/>
  <c r="K963" i="28"/>
  <c r="K964" i="28"/>
  <c r="K965" i="28"/>
  <c r="K966" i="28"/>
  <c r="K967" i="28"/>
  <c r="K968" i="28"/>
  <c r="K969" i="28"/>
  <c r="K970" i="28"/>
  <c r="K971" i="28"/>
  <c r="K972" i="28"/>
  <c r="K973" i="28"/>
  <c r="K974" i="28"/>
  <c r="K975" i="28"/>
  <c r="K976" i="28"/>
  <c r="K977" i="28"/>
  <c r="K978" i="28"/>
  <c r="K979" i="28"/>
  <c r="K980" i="28"/>
  <c r="K981" i="28"/>
  <c r="K982" i="28"/>
  <c r="K983" i="28"/>
  <c r="K984" i="28"/>
  <c r="K985" i="28"/>
  <c r="K986" i="28"/>
  <c r="K987" i="28"/>
  <c r="K988" i="28"/>
  <c r="K989" i="28"/>
  <c r="K990" i="28"/>
  <c r="K991" i="28"/>
  <c r="K992" i="28"/>
  <c r="K993" i="28"/>
  <c r="K994" i="28"/>
  <c r="K995" i="28"/>
  <c r="K996" i="28"/>
  <c r="K997" i="28"/>
  <c r="K998" i="28"/>
  <c r="K999" i="28"/>
  <c r="K1000" i="28"/>
  <c r="K1001" i="28"/>
  <c r="K1002" i="28"/>
  <c r="K1003" i="28"/>
  <c r="J10" i="28"/>
  <c r="J11" i="28"/>
  <c r="J12" i="28"/>
  <c r="J13" i="28"/>
  <c r="J14" i="28"/>
  <c r="J15" i="28"/>
  <c r="J16" i="28"/>
  <c r="J17" i="28"/>
  <c r="J18" i="28"/>
  <c r="J19" i="28"/>
  <c r="J20" i="28"/>
  <c r="J21" i="28"/>
  <c r="J22" i="28"/>
  <c r="J23" i="28"/>
  <c r="J24" i="28"/>
  <c r="J25" i="28"/>
  <c r="J26" i="28"/>
  <c r="J27" i="28"/>
  <c r="J28" i="28"/>
  <c r="J29" i="28"/>
  <c r="J30" i="28"/>
  <c r="J31" i="28"/>
  <c r="J32" i="28"/>
  <c r="J33" i="28"/>
  <c r="J34" i="28"/>
  <c r="J35" i="28"/>
  <c r="J36" i="28"/>
  <c r="J37" i="28"/>
  <c r="J38" i="28"/>
  <c r="J39" i="28"/>
  <c r="J40" i="28"/>
  <c r="J41" i="28"/>
  <c r="J42" i="28"/>
  <c r="J43" i="28"/>
  <c r="J44" i="28"/>
  <c r="J45" i="28"/>
  <c r="J46" i="28"/>
  <c r="J47" i="28"/>
  <c r="J48" i="28"/>
  <c r="J49" i="28"/>
  <c r="J50" i="28"/>
  <c r="J51" i="28"/>
  <c r="J52" i="28"/>
  <c r="J53" i="28"/>
  <c r="J54" i="28"/>
  <c r="J55" i="28"/>
  <c r="J56" i="28"/>
  <c r="J57" i="28"/>
  <c r="J58" i="28"/>
  <c r="J59" i="28"/>
  <c r="J60" i="28"/>
  <c r="J61" i="28"/>
  <c r="J62" i="28"/>
  <c r="J63" i="28"/>
  <c r="J64" i="28"/>
  <c r="J65" i="28"/>
  <c r="J66" i="28"/>
  <c r="J67" i="28"/>
  <c r="J68" i="28"/>
  <c r="J69" i="28"/>
  <c r="J70" i="28"/>
  <c r="J71" i="28"/>
  <c r="J72" i="28"/>
  <c r="J73" i="28"/>
  <c r="J74" i="28"/>
  <c r="J75" i="28"/>
  <c r="J76" i="28"/>
  <c r="J77" i="28"/>
  <c r="J78" i="28"/>
  <c r="J79" i="28"/>
  <c r="J80" i="28"/>
  <c r="J81" i="28"/>
  <c r="J82" i="28"/>
  <c r="J83" i="28"/>
  <c r="J84" i="28"/>
  <c r="J85" i="28"/>
  <c r="J86" i="28"/>
  <c r="J87" i="28"/>
  <c r="J88" i="28"/>
  <c r="J89" i="28"/>
  <c r="J90" i="28"/>
  <c r="J91" i="28"/>
  <c r="J92" i="28"/>
  <c r="J93" i="28"/>
  <c r="J94" i="28"/>
  <c r="J95" i="28"/>
  <c r="J96" i="28"/>
  <c r="J97" i="28"/>
  <c r="J98" i="28"/>
  <c r="J99" i="28"/>
  <c r="J100" i="28"/>
  <c r="J101" i="28"/>
  <c r="J102" i="28"/>
  <c r="J103" i="28"/>
  <c r="J104" i="28"/>
  <c r="J105" i="28"/>
  <c r="J106" i="28"/>
  <c r="J107" i="28"/>
  <c r="J108" i="28"/>
  <c r="J109" i="28"/>
  <c r="J110" i="28"/>
  <c r="J111" i="28"/>
  <c r="J112" i="28"/>
  <c r="J113" i="28"/>
  <c r="J114" i="28"/>
  <c r="J115" i="28"/>
  <c r="J116" i="28"/>
  <c r="J117" i="28"/>
  <c r="J118" i="28"/>
  <c r="J119" i="28"/>
  <c r="J120" i="28"/>
  <c r="J121" i="28"/>
  <c r="J122" i="28"/>
  <c r="J123" i="28"/>
  <c r="J124" i="28"/>
  <c r="J125" i="28"/>
  <c r="J126" i="28"/>
  <c r="J127" i="28"/>
  <c r="J128" i="28"/>
  <c r="J129" i="28"/>
  <c r="J130" i="28"/>
  <c r="J131" i="28"/>
  <c r="J132" i="28"/>
  <c r="J133" i="28"/>
  <c r="J134" i="28"/>
  <c r="J135" i="28"/>
  <c r="J136" i="28"/>
  <c r="J137" i="28"/>
  <c r="J138" i="28"/>
  <c r="J139" i="28"/>
  <c r="J140" i="28"/>
  <c r="J141" i="28"/>
  <c r="J142" i="28"/>
  <c r="J143" i="28"/>
  <c r="J144" i="28"/>
  <c r="J145" i="28"/>
  <c r="J146" i="28"/>
  <c r="J147" i="28"/>
  <c r="J148" i="28"/>
  <c r="J149" i="28"/>
  <c r="J150" i="28"/>
  <c r="J151" i="28"/>
  <c r="J152" i="28"/>
  <c r="J153" i="28"/>
  <c r="J154" i="28"/>
  <c r="J155" i="28"/>
  <c r="J156" i="28"/>
  <c r="J157" i="28"/>
  <c r="J158" i="28"/>
  <c r="J159" i="28"/>
  <c r="J160" i="28"/>
  <c r="J161" i="28"/>
  <c r="J162" i="28"/>
  <c r="J163" i="28"/>
  <c r="J164" i="28"/>
  <c r="J165" i="28"/>
  <c r="J166" i="28"/>
  <c r="J167" i="28"/>
  <c r="J168" i="28"/>
  <c r="J169" i="28"/>
  <c r="J170" i="28"/>
  <c r="J171" i="28"/>
  <c r="J172" i="28"/>
  <c r="J173" i="28"/>
  <c r="J174" i="28"/>
  <c r="J175" i="28"/>
  <c r="J176" i="28"/>
  <c r="J177" i="28"/>
  <c r="J178" i="28"/>
  <c r="J179" i="28"/>
  <c r="J180" i="28"/>
  <c r="J181" i="28"/>
  <c r="J182" i="28"/>
  <c r="J183" i="28"/>
  <c r="J184" i="28"/>
  <c r="J185" i="28"/>
  <c r="J186" i="28"/>
  <c r="J187" i="28"/>
  <c r="J188" i="28"/>
  <c r="J189" i="28"/>
  <c r="J190" i="28"/>
  <c r="J191" i="28"/>
  <c r="J192" i="28"/>
  <c r="J193" i="28"/>
  <c r="J194" i="28"/>
  <c r="J195" i="28"/>
  <c r="J196" i="28"/>
  <c r="J197" i="28"/>
  <c r="J198" i="28"/>
  <c r="J199" i="28"/>
  <c r="J200" i="28"/>
  <c r="J201" i="28"/>
  <c r="J202" i="28"/>
  <c r="J203" i="28"/>
  <c r="J204" i="28"/>
  <c r="J205" i="28"/>
  <c r="J206" i="28"/>
  <c r="J207" i="28"/>
  <c r="J208" i="28"/>
  <c r="J209" i="28"/>
  <c r="J210" i="28"/>
  <c r="J211" i="28"/>
  <c r="J212" i="28"/>
  <c r="J213" i="28"/>
  <c r="J214" i="28"/>
  <c r="J215" i="28"/>
  <c r="J216" i="28"/>
  <c r="J217" i="28"/>
  <c r="J218" i="28"/>
  <c r="J219" i="28"/>
  <c r="J220" i="28"/>
  <c r="J221" i="28"/>
  <c r="J222" i="28"/>
  <c r="J223" i="28"/>
  <c r="J224" i="28"/>
  <c r="J225" i="28"/>
  <c r="J226" i="28"/>
  <c r="J227" i="28"/>
  <c r="J228" i="28"/>
  <c r="J229" i="28"/>
  <c r="J230" i="28"/>
  <c r="J231" i="28"/>
  <c r="J232" i="28"/>
  <c r="J233" i="28"/>
  <c r="J234" i="28"/>
  <c r="J235" i="28"/>
  <c r="J236" i="28"/>
  <c r="J237" i="28"/>
  <c r="J238" i="28"/>
  <c r="J239" i="28"/>
  <c r="J240" i="28"/>
  <c r="J241" i="28"/>
  <c r="J242" i="28"/>
  <c r="J243" i="28"/>
  <c r="J244" i="28"/>
  <c r="J245" i="28"/>
  <c r="J246" i="28"/>
  <c r="J247" i="28"/>
  <c r="J248" i="28"/>
  <c r="J249" i="28"/>
  <c r="J250" i="28"/>
  <c r="J251" i="28"/>
  <c r="J252" i="28"/>
  <c r="J253" i="28"/>
  <c r="J254" i="28"/>
  <c r="J255" i="28"/>
  <c r="J256" i="28"/>
  <c r="J257" i="28"/>
  <c r="J258" i="28"/>
  <c r="J259" i="28"/>
  <c r="J260" i="28"/>
  <c r="J261" i="28"/>
  <c r="J262" i="28"/>
  <c r="J263" i="28"/>
  <c r="J264" i="28"/>
  <c r="J265" i="28"/>
  <c r="J266" i="28"/>
  <c r="J267" i="28"/>
  <c r="J268" i="28"/>
  <c r="J269" i="28"/>
  <c r="J270" i="28"/>
  <c r="J271" i="28"/>
  <c r="J272" i="28"/>
  <c r="J273" i="28"/>
  <c r="J274" i="28"/>
  <c r="J275" i="28"/>
  <c r="J276" i="28"/>
  <c r="J277" i="28"/>
  <c r="J278" i="28"/>
  <c r="J279" i="28"/>
  <c r="J280" i="28"/>
  <c r="J281" i="28"/>
  <c r="J282" i="28"/>
  <c r="J283" i="28"/>
  <c r="J284" i="28"/>
  <c r="J285" i="28"/>
  <c r="J286" i="28"/>
  <c r="J287" i="28"/>
  <c r="J288" i="28"/>
  <c r="J289" i="28"/>
  <c r="J290" i="28"/>
  <c r="J291" i="28"/>
  <c r="J292" i="28"/>
  <c r="J293" i="28"/>
  <c r="J294" i="28"/>
  <c r="J295" i="28"/>
  <c r="J296" i="28"/>
  <c r="J297" i="28"/>
  <c r="J298" i="28"/>
  <c r="J299" i="28"/>
  <c r="J300" i="28"/>
  <c r="J301" i="28"/>
  <c r="J302" i="28"/>
  <c r="J303" i="28"/>
  <c r="J304" i="28"/>
  <c r="J305" i="28"/>
  <c r="J306" i="28"/>
  <c r="J307" i="28"/>
  <c r="J308" i="28"/>
  <c r="J309" i="28"/>
  <c r="J310" i="28"/>
  <c r="J311" i="28"/>
  <c r="J312" i="28"/>
  <c r="J313" i="28"/>
  <c r="J314" i="28"/>
  <c r="J315" i="28"/>
  <c r="J316" i="28"/>
  <c r="J317" i="28"/>
  <c r="J318" i="28"/>
  <c r="J319" i="28"/>
  <c r="J320" i="28"/>
  <c r="J321" i="28"/>
  <c r="J322" i="28"/>
  <c r="J323" i="28"/>
  <c r="J324" i="28"/>
  <c r="J325" i="28"/>
  <c r="J326" i="28"/>
  <c r="J327" i="28"/>
  <c r="J328" i="28"/>
  <c r="J329" i="28"/>
  <c r="J330" i="28"/>
  <c r="J331" i="28"/>
  <c r="J332" i="28"/>
  <c r="J333" i="28"/>
  <c r="J334" i="28"/>
  <c r="J335" i="28"/>
  <c r="J336" i="28"/>
  <c r="J337" i="28"/>
  <c r="J338" i="28"/>
  <c r="J339" i="28"/>
  <c r="J340" i="28"/>
  <c r="J341" i="28"/>
  <c r="J342" i="28"/>
  <c r="J343" i="28"/>
  <c r="J344" i="28"/>
  <c r="J345" i="28"/>
  <c r="J346" i="28"/>
  <c r="J347" i="28"/>
  <c r="J348" i="28"/>
  <c r="J349" i="28"/>
  <c r="J350" i="28"/>
  <c r="J351" i="28"/>
  <c r="J352" i="28"/>
  <c r="J353" i="28"/>
  <c r="J354" i="28"/>
  <c r="J355" i="28"/>
  <c r="J356" i="28"/>
  <c r="J357" i="28"/>
  <c r="J358" i="28"/>
  <c r="J359" i="28"/>
  <c r="J360" i="28"/>
  <c r="J361" i="28"/>
  <c r="J362" i="28"/>
  <c r="J363" i="28"/>
  <c r="J364" i="28"/>
  <c r="J365" i="28"/>
  <c r="J366" i="28"/>
  <c r="J367" i="28"/>
  <c r="J368" i="28"/>
  <c r="J369" i="28"/>
  <c r="J370" i="28"/>
  <c r="J371" i="28"/>
  <c r="J372" i="28"/>
  <c r="J373" i="28"/>
  <c r="J374" i="28"/>
  <c r="J375" i="28"/>
  <c r="J376" i="28"/>
  <c r="J377" i="28"/>
  <c r="J378" i="28"/>
  <c r="J379" i="28"/>
  <c r="J380" i="28"/>
  <c r="J381" i="28"/>
  <c r="J382" i="28"/>
  <c r="J383" i="28"/>
  <c r="J384" i="28"/>
  <c r="J385" i="28"/>
  <c r="J386" i="28"/>
  <c r="J387" i="28"/>
  <c r="J388" i="28"/>
  <c r="J389" i="28"/>
  <c r="J390" i="28"/>
  <c r="J391" i="28"/>
  <c r="J392" i="28"/>
  <c r="J393" i="28"/>
  <c r="J394" i="28"/>
  <c r="J395" i="28"/>
  <c r="J396" i="28"/>
  <c r="J397" i="28"/>
  <c r="J398" i="28"/>
  <c r="J399" i="28"/>
  <c r="J400" i="28"/>
  <c r="J401" i="28"/>
  <c r="J402" i="28"/>
  <c r="J403" i="28"/>
  <c r="J404" i="28"/>
  <c r="J405" i="28"/>
  <c r="J406" i="28"/>
  <c r="J407" i="28"/>
  <c r="J408" i="28"/>
  <c r="J409" i="28"/>
  <c r="J410" i="28"/>
  <c r="J411" i="28"/>
  <c r="J412" i="28"/>
  <c r="J413" i="28"/>
  <c r="J414" i="28"/>
  <c r="J415" i="28"/>
  <c r="J416" i="28"/>
  <c r="J417" i="28"/>
  <c r="J418" i="28"/>
  <c r="J419" i="28"/>
  <c r="J420" i="28"/>
  <c r="J421" i="28"/>
  <c r="J422" i="28"/>
  <c r="J423" i="28"/>
  <c r="J424" i="28"/>
  <c r="J425" i="28"/>
  <c r="J426" i="28"/>
  <c r="J427" i="28"/>
  <c r="J428" i="28"/>
  <c r="J429" i="28"/>
  <c r="J430" i="28"/>
  <c r="J431" i="28"/>
  <c r="J432" i="28"/>
  <c r="J433" i="28"/>
  <c r="J434" i="28"/>
  <c r="J435" i="28"/>
  <c r="J436" i="28"/>
  <c r="J437" i="28"/>
  <c r="J438" i="28"/>
  <c r="J439" i="28"/>
  <c r="J440" i="28"/>
  <c r="J441" i="28"/>
  <c r="J442" i="28"/>
  <c r="J443" i="28"/>
  <c r="J444" i="28"/>
  <c r="J445" i="28"/>
  <c r="J446" i="28"/>
  <c r="J447" i="28"/>
  <c r="J448" i="28"/>
  <c r="J449" i="28"/>
  <c r="J450" i="28"/>
  <c r="J451" i="28"/>
  <c r="J452" i="28"/>
  <c r="J453" i="28"/>
  <c r="J454" i="28"/>
  <c r="J455" i="28"/>
  <c r="J456" i="28"/>
  <c r="J457" i="28"/>
  <c r="J458" i="28"/>
  <c r="J459" i="28"/>
  <c r="J460" i="28"/>
  <c r="J461" i="28"/>
  <c r="J462" i="28"/>
  <c r="J463" i="28"/>
  <c r="J464" i="28"/>
  <c r="J465" i="28"/>
  <c r="J466" i="28"/>
  <c r="J467" i="28"/>
  <c r="J468" i="28"/>
  <c r="J469" i="28"/>
  <c r="J470" i="28"/>
  <c r="J471" i="28"/>
  <c r="J472" i="28"/>
  <c r="J473" i="28"/>
  <c r="J474" i="28"/>
  <c r="J475" i="28"/>
  <c r="J476" i="28"/>
  <c r="J477" i="28"/>
  <c r="J478" i="28"/>
  <c r="J479" i="28"/>
  <c r="J480" i="28"/>
  <c r="J481" i="28"/>
  <c r="J482" i="28"/>
  <c r="J483" i="28"/>
  <c r="J484" i="28"/>
  <c r="J485" i="28"/>
  <c r="J486" i="28"/>
  <c r="J487" i="28"/>
  <c r="J488" i="28"/>
  <c r="J489" i="28"/>
  <c r="J490" i="28"/>
  <c r="J491" i="28"/>
  <c r="J492" i="28"/>
  <c r="J493" i="28"/>
  <c r="J494" i="28"/>
  <c r="J495" i="28"/>
  <c r="J496" i="28"/>
  <c r="J497" i="28"/>
  <c r="J498" i="28"/>
  <c r="J499" i="28"/>
  <c r="J500" i="28"/>
  <c r="J501" i="28"/>
  <c r="J502" i="28"/>
  <c r="J503" i="28"/>
  <c r="J504" i="28"/>
  <c r="J505" i="28"/>
  <c r="J506" i="28"/>
  <c r="J507" i="28"/>
  <c r="J508" i="28"/>
  <c r="J509" i="28"/>
  <c r="J510" i="28"/>
  <c r="J511" i="28"/>
  <c r="J512" i="28"/>
  <c r="J513" i="28"/>
  <c r="J514" i="28"/>
  <c r="J515" i="28"/>
  <c r="J516" i="28"/>
  <c r="J517" i="28"/>
  <c r="J518" i="28"/>
  <c r="J519" i="28"/>
  <c r="J520" i="28"/>
  <c r="J521" i="28"/>
  <c r="J522" i="28"/>
  <c r="J523" i="28"/>
  <c r="J524" i="28"/>
  <c r="J525" i="28"/>
  <c r="J526" i="28"/>
  <c r="J527" i="28"/>
  <c r="J528" i="28"/>
  <c r="J529" i="28"/>
  <c r="J530" i="28"/>
  <c r="J531" i="28"/>
  <c r="J532" i="28"/>
  <c r="J533" i="28"/>
  <c r="J534" i="28"/>
  <c r="J535" i="28"/>
  <c r="J536" i="28"/>
  <c r="J537" i="28"/>
  <c r="J538" i="28"/>
  <c r="J539" i="28"/>
  <c r="J540" i="28"/>
  <c r="J541" i="28"/>
  <c r="J542" i="28"/>
  <c r="J543" i="28"/>
  <c r="J544" i="28"/>
  <c r="J545" i="28"/>
  <c r="J546" i="28"/>
  <c r="J547" i="28"/>
  <c r="J548" i="28"/>
  <c r="J549" i="28"/>
  <c r="J550" i="28"/>
  <c r="J551" i="28"/>
  <c r="J552" i="28"/>
  <c r="J553" i="28"/>
  <c r="J554" i="28"/>
  <c r="J555" i="28"/>
  <c r="J556" i="28"/>
  <c r="J557" i="28"/>
  <c r="J558" i="28"/>
  <c r="J559" i="28"/>
  <c r="J560" i="28"/>
  <c r="J561" i="28"/>
  <c r="J562" i="28"/>
  <c r="J563" i="28"/>
  <c r="J564" i="28"/>
  <c r="J565" i="28"/>
  <c r="J566" i="28"/>
  <c r="J567" i="28"/>
  <c r="J568" i="28"/>
  <c r="J569" i="28"/>
  <c r="J570" i="28"/>
  <c r="J571" i="28"/>
  <c r="J572" i="28"/>
  <c r="J573" i="28"/>
  <c r="J574" i="28"/>
  <c r="J575" i="28"/>
  <c r="J576" i="28"/>
  <c r="J577" i="28"/>
  <c r="J578" i="28"/>
  <c r="J579" i="28"/>
  <c r="J580" i="28"/>
  <c r="J581" i="28"/>
  <c r="J582" i="28"/>
  <c r="J583" i="28"/>
  <c r="J584" i="28"/>
  <c r="J585" i="28"/>
  <c r="J586" i="28"/>
  <c r="J587" i="28"/>
  <c r="J588" i="28"/>
  <c r="J589" i="28"/>
  <c r="J590" i="28"/>
  <c r="J591" i="28"/>
  <c r="J592" i="28"/>
  <c r="J593" i="28"/>
  <c r="J594" i="28"/>
  <c r="J595" i="28"/>
  <c r="J596" i="28"/>
  <c r="J597" i="28"/>
  <c r="J598" i="28"/>
  <c r="J599" i="28"/>
  <c r="J600" i="28"/>
  <c r="J601" i="28"/>
  <c r="J602" i="28"/>
  <c r="J603" i="28"/>
  <c r="J604" i="28"/>
  <c r="J605" i="28"/>
  <c r="J606" i="28"/>
  <c r="J607" i="28"/>
  <c r="J608" i="28"/>
  <c r="J609" i="28"/>
  <c r="J610" i="28"/>
  <c r="J611" i="28"/>
  <c r="J612" i="28"/>
  <c r="J613" i="28"/>
  <c r="J614" i="28"/>
  <c r="J615" i="28"/>
  <c r="J616" i="28"/>
  <c r="J617" i="28"/>
  <c r="J618" i="28"/>
  <c r="J619" i="28"/>
  <c r="J620" i="28"/>
  <c r="J621" i="28"/>
  <c r="J622" i="28"/>
  <c r="J623" i="28"/>
  <c r="J624" i="28"/>
  <c r="J625" i="28"/>
  <c r="J626" i="28"/>
  <c r="J627" i="28"/>
  <c r="J628" i="28"/>
  <c r="J629" i="28"/>
  <c r="J630" i="28"/>
  <c r="J631" i="28"/>
  <c r="J632" i="28"/>
  <c r="J633" i="28"/>
  <c r="J634" i="28"/>
  <c r="J635" i="28"/>
  <c r="J636" i="28"/>
  <c r="J637" i="28"/>
  <c r="J638" i="28"/>
  <c r="J639" i="28"/>
  <c r="J640" i="28"/>
  <c r="J641" i="28"/>
  <c r="J642" i="28"/>
  <c r="J643" i="28"/>
  <c r="J644" i="28"/>
  <c r="J645" i="28"/>
  <c r="J646" i="28"/>
  <c r="J647" i="28"/>
  <c r="J648" i="28"/>
  <c r="J649" i="28"/>
  <c r="J650" i="28"/>
  <c r="J651" i="28"/>
  <c r="J652" i="28"/>
  <c r="J653" i="28"/>
  <c r="J654" i="28"/>
  <c r="J655" i="28"/>
  <c r="J656" i="28"/>
  <c r="J657" i="28"/>
  <c r="J658" i="28"/>
  <c r="J659" i="28"/>
  <c r="J660" i="28"/>
  <c r="J661" i="28"/>
  <c r="J662" i="28"/>
  <c r="J663" i="28"/>
  <c r="J664" i="28"/>
  <c r="J665" i="28"/>
  <c r="J666" i="28"/>
  <c r="J667" i="28"/>
  <c r="J668" i="28"/>
  <c r="J669" i="28"/>
  <c r="J670" i="28"/>
  <c r="J671" i="28"/>
  <c r="J672" i="28"/>
  <c r="J673" i="28"/>
  <c r="J674" i="28"/>
  <c r="J675" i="28"/>
  <c r="J676" i="28"/>
  <c r="J677" i="28"/>
  <c r="J678" i="28"/>
  <c r="J679" i="28"/>
  <c r="J680" i="28"/>
  <c r="J681" i="28"/>
  <c r="J682" i="28"/>
  <c r="J683" i="28"/>
  <c r="J684" i="28"/>
  <c r="J685" i="28"/>
  <c r="J686" i="28"/>
  <c r="J687" i="28"/>
  <c r="J688" i="28"/>
  <c r="J689" i="28"/>
  <c r="J690" i="28"/>
  <c r="J691" i="28"/>
  <c r="J692" i="28"/>
  <c r="J693" i="28"/>
  <c r="J694" i="28"/>
  <c r="J695" i="28"/>
  <c r="J696" i="28"/>
  <c r="J697" i="28"/>
  <c r="J698" i="28"/>
  <c r="J699" i="28"/>
  <c r="J700" i="28"/>
  <c r="J701" i="28"/>
  <c r="J702" i="28"/>
  <c r="J703" i="28"/>
  <c r="J704" i="28"/>
  <c r="J705" i="28"/>
  <c r="J706" i="28"/>
  <c r="J707" i="28"/>
  <c r="J708" i="28"/>
  <c r="J709" i="28"/>
  <c r="J710" i="28"/>
  <c r="J711" i="28"/>
  <c r="J712" i="28"/>
  <c r="J713" i="28"/>
  <c r="J714" i="28"/>
  <c r="J715" i="28"/>
  <c r="J716" i="28"/>
  <c r="J717" i="28"/>
  <c r="J718" i="28"/>
  <c r="J719" i="28"/>
  <c r="J720" i="28"/>
  <c r="J721" i="28"/>
  <c r="J722" i="28"/>
  <c r="J723" i="28"/>
  <c r="J724" i="28"/>
  <c r="J725" i="28"/>
  <c r="J726" i="28"/>
  <c r="J727" i="28"/>
  <c r="J728" i="28"/>
  <c r="J729" i="28"/>
  <c r="J730" i="28"/>
  <c r="J731" i="28"/>
  <c r="J732" i="28"/>
  <c r="J733" i="28"/>
  <c r="J734" i="28"/>
  <c r="J735" i="28"/>
  <c r="J736" i="28"/>
  <c r="J737" i="28"/>
  <c r="J738" i="28"/>
  <c r="J739" i="28"/>
  <c r="J740" i="28"/>
  <c r="J741" i="28"/>
  <c r="J742" i="28"/>
  <c r="J743" i="28"/>
  <c r="J744" i="28"/>
  <c r="J745" i="28"/>
  <c r="J746" i="28"/>
  <c r="J747" i="28"/>
  <c r="J748" i="28"/>
  <c r="J749" i="28"/>
  <c r="J750" i="28"/>
  <c r="J751" i="28"/>
  <c r="J752" i="28"/>
  <c r="J753" i="28"/>
  <c r="J754" i="28"/>
  <c r="J755" i="28"/>
  <c r="J756" i="28"/>
  <c r="J757" i="28"/>
  <c r="J758" i="28"/>
  <c r="J759" i="28"/>
  <c r="J760" i="28"/>
  <c r="J761" i="28"/>
  <c r="J762" i="28"/>
  <c r="J763" i="28"/>
  <c r="J764" i="28"/>
  <c r="J765" i="28"/>
  <c r="J766" i="28"/>
  <c r="J767" i="28"/>
  <c r="J768" i="28"/>
  <c r="J769" i="28"/>
  <c r="J770" i="28"/>
  <c r="J771" i="28"/>
  <c r="J772" i="28"/>
  <c r="J773" i="28"/>
  <c r="J774" i="28"/>
  <c r="J775" i="28"/>
  <c r="J776" i="28"/>
  <c r="J777" i="28"/>
  <c r="J778" i="28"/>
  <c r="J779" i="28"/>
  <c r="J780" i="28"/>
  <c r="J781" i="28"/>
  <c r="J782" i="28"/>
  <c r="J783" i="28"/>
  <c r="J784" i="28"/>
  <c r="J785" i="28"/>
  <c r="J786" i="28"/>
  <c r="J787" i="28"/>
  <c r="J788" i="28"/>
  <c r="J789" i="28"/>
  <c r="J790" i="28"/>
  <c r="J791" i="28"/>
  <c r="J792" i="28"/>
  <c r="J793" i="28"/>
  <c r="J794" i="28"/>
  <c r="J795" i="28"/>
  <c r="J796" i="28"/>
  <c r="J797" i="28"/>
  <c r="J798" i="28"/>
  <c r="J799" i="28"/>
  <c r="J800" i="28"/>
  <c r="J801" i="28"/>
  <c r="J802" i="28"/>
  <c r="J803" i="28"/>
  <c r="J804" i="28"/>
  <c r="J805" i="28"/>
  <c r="J806" i="28"/>
  <c r="J807" i="28"/>
  <c r="J808" i="28"/>
  <c r="J809" i="28"/>
  <c r="J810" i="28"/>
  <c r="J811" i="28"/>
  <c r="J812" i="28"/>
  <c r="J813" i="28"/>
  <c r="J814" i="28"/>
  <c r="J815" i="28"/>
  <c r="J816" i="28"/>
  <c r="J817" i="28"/>
  <c r="J818" i="28"/>
  <c r="J819" i="28"/>
  <c r="J820" i="28"/>
  <c r="J821" i="28"/>
  <c r="J822" i="28"/>
  <c r="J823" i="28"/>
  <c r="J824" i="28"/>
  <c r="J825" i="28"/>
  <c r="J826" i="28"/>
  <c r="J827" i="28"/>
  <c r="J828" i="28"/>
  <c r="J829" i="28"/>
  <c r="J830" i="28"/>
  <c r="J831" i="28"/>
  <c r="J832" i="28"/>
  <c r="J833" i="28"/>
  <c r="J834" i="28"/>
  <c r="J835" i="28"/>
  <c r="J836" i="28"/>
  <c r="J837" i="28"/>
  <c r="J838" i="28"/>
  <c r="J839" i="28"/>
  <c r="J840" i="28"/>
  <c r="J841" i="28"/>
  <c r="J842" i="28"/>
  <c r="J843" i="28"/>
  <c r="J844" i="28"/>
  <c r="J845" i="28"/>
  <c r="J846" i="28"/>
  <c r="J847" i="28"/>
  <c r="J848" i="28"/>
  <c r="J849" i="28"/>
  <c r="J850" i="28"/>
  <c r="J851" i="28"/>
  <c r="J852" i="28"/>
  <c r="J853" i="28"/>
  <c r="J854" i="28"/>
  <c r="J855" i="28"/>
  <c r="J856" i="28"/>
  <c r="J857" i="28"/>
  <c r="J858" i="28"/>
  <c r="J859" i="28"/>
  <c r="J860" i="28"/>
  <c r="J861" i="28"/>
  <c r="J862" i="28"/>
  <c r="J863" i="28"/>
  <c r="J864" i="28"/>
  <c r="J865" i="28"/>
  <c r="J866" i="28"/>
  <c r="J867" i="28"/>
  <c r="J868" i="28"/>
  <c r="J869" i="28"/>
  <c r="J870" i="28"/>
  <c r="J871" i="28"/>
  <c r="J872" i="28"/>
  <c r="J873" i="28"/>
  <c r="J874" i="28"/>
  <c r="J875" i="28"/>
  <c r="J876" i="28"/>
  <c r="J877" i="28"/>
  <c r="J878" i="28"/>
  <c r="J879" i="28"/>
  <c r="J880" i="28"/>
  <c r="J881" i="28"/>
  <c r="J882" i="28"/>
  <c r="J883" i="28"/>
  <c r="J884" i="28"/>
  <c r="J885" i="28"/>
  <c r="J886" i="28"/>
  <c r="J887" i="28"/>
  <c r="J888" i="28"/>
  <c r="J889" i="28"/>
  <c r="J890" i="28"/>
  <c r="J891" i="28"/>
  <c r="J892" i="28"/>
  <c r="J893" i="28"/>
  <c r="J894" i="28"/>
  <c r="J895" i="28"/>
  <c r="J896" i="28"/>
  <c r="J897" i="28"/>
  <c r="J898" i="28"/>
  <c r="J899" i="28"/>
  <c r="J900" i="28"/>
  <c r="J901" i="28"/>
  <c r="J902" i="28"/>
  <c r="J903" i="28"/>
  <c r="J904" i="28"/>
  <c r="J905" i="28"/>
  <c r="J906" i="28"/>
  <c r="J907" i="28"/>
  <c r="J908" i="28"/>
  <c r="J909" i="28"/>
  <c r="J910" i="28"/>
  <c r="J911" i="28"/>
  <c r="J912" i="28"/>
  <c r="J913" i="28"/>
  <c r="J914" i="28"/>
  <c r="J915" i="28"/>
  <c r="J916" i="28"/>
  <c r="J917" i="28"/>
  <c r="J918" i="28"/>
  <c r="J919" i="28"/>
  <c r="J920" i="28"/>
  <c r="J921" i="28"/>
  <c r="J922" i="28"/>
  <c r="J923" i="28"/>
  <c r="J924" i="28"/>
  <c r="J925" i="28"/>
  <c r="J926" i="28"/>
  <c r="J927" i="28"/>
  <c r="J928" i="28"/>
  <c r="J929" i="28"/>
  <c r="J930" i="28"/>
  <c r="J931" i="28"/>
  <c r="J932" i="28"/>
  <c r="J933" i="28"/>
  <c r="J934" i="28"/>
  <c r="J935" i="28"/>
  <c r="J936" i="28"/>
  <c r="J937" i="28"/>
  <c r="J938" i="28"/>
  <c r="J939" i="28"/>
  <c r="J940" i="28"/>
  <c r="J941" i="28"/>
  <c r="J942" i="28"/>
  <c r="J943" i="28"/>
  <c r="J944" i="28"/>
  <c r="J945" i="28"/>
  <c r="J946" i="28"/>
  <c r="J947" i="28"/>
  <c r="J948" i="28"/>
  <c r="J949" i="28"/>
  <c r="J950" i="28"/>
  <c r="J951" i="28"/>
  <c r="J952" i="28"/>
  <c r="J953" i="28"/>
  <c r="J954" i="28"/>
  <c r="J955" i="28"/>
  <c r="J956" i="28"/>
  <c r="J957" i="28"/>
  <c r="J958" i="28"/>
  <c r="J959" i="28"/>
  <c r="J960" i="28"/>
  <c r="J961" i="28"/>
  <c r="J962" i="28"/>
  <c r="J963" i="28"/>
  <c r="J964" i="28"/>
  <c r="J965" i="28"/>
  <c r="J966" i="28"/>
  <c r="J967" i="28"/>
  <c r="J968" i="28"/>
  <c r="J969" i="28"/>
  <c r="J970" i="28"/>
  <c r="J971" i="28"/>
  <c r="J972" i="28"/>
  <c r="J973" i="28"/>
  <c r="J974" i="28"/>
  <c r="J975" i="28"/>
  <c r="J976" i="28"/>
  <c r="J977" i="28"/>
  <c r="J978" i="28"/>
  <c r="J979" i="28"/>
  <c r="J980" i="28"/>
  <c r="J981" i="28"/>
  <c r="J982" i="28"/>
  <c r="J983" i="28"/>
  <c r="J984" i="28"/>
  <c r="J985" i="28"/>
  <c r="J986" i="28"/>
  <c r="J987" i="28"/>
  <c r="J988" i="28"/>
  <c r="J989" i="28"/>
  <c r="J990" i="28"/>
  <c r="J991" i="28"/>
  <c r="J992" i="28"/>
  <c r="J993" i="28"/>
  <c r="J994" i="28"/>
  <c r="J995" i="28"/>
  <c r="J996" i="28"/>
  <c r="J997" i="28"/>
  <c r="J998" i="28"/>
  <c r="J999" i="28"/>
  <c r="J1000" i="28"/>
  <c r="J1001" i="28"/>
  <c r="J1002" i="28"/>
  <c r="J1003" i="28"/>
  <c r="I10" i="28"/>
  <c r="I11" i="28"/>
  <c r="I12" i="28"/>
  <c r="I13" i="28"/>
  <c r="I14" i="28"/>
  <c r="I15" i="28"/>
  <c r="I16" i="28"/>
  <c r="I17" i="28"/>
  <c r="I18" i="28"/>
  <c r="I19" i="28"/>
  <c r="I20" i="28"/>
  <c r="I21" i="28"/>
  <c r="I22" i="28"/>
  <c r="I23" i="28"/>
  <c r="I24" i="28"/>
  <c r="I25" i="28"/>
  <c r="I26" i="28"/>
  <c r="I27" i="28"/>
  <c r="I28" i="28"/>
  <c r="I29" i="28"/>
  <c r="I30" i="28"/>
  <c r="I31" i="28"/>
  <c r="I32" i="28"/>
  <c r="I33" i="28"/>
  <c r="I34" i="28"/>
  <c r="I35" i="28"/>
  <c r="I36" i="28"/>
  <c r="I37" i="28"/>
  <c r="I38" i="28"/>
  <c r="I39" i="28"/>
  <c r="I40" i="28"/>
  <c r="I41" i="28"/>
  <c r="I42" i="28"/>
  <c r="I43" i="28"/>
  <c r="I44" i="28"/>
  <c r="I45" i="28"/>
  <c r="I46" i="28"/>
  <c r="I47" i="28"/>
  <c r="I48" i="28"/>
  <c r="I49" i="28"/>
  <c r="I50" i="28"/>
  <c r="I51" i="28"/>
  <c r="I52" i="28"/>
  <c r="I53" i="28"/>
  <c r="I54" i="28"/>
  <c r="I55" i="28"/>
  <c r="I56" i="28"/>
  <c r="I57" i="28"/>
  <c r="I58" i="28"/>
  <c r="I59" i="28"/>
  <c r="I60" i="28"/>
  <c r="I61" i="28"/>
  <c r="I62" i="28"/>
  <c r="I63" i="28"/>
  <c r="I64" i="28"/>
  <c r="I65" i="28"/>
  <c r="I66" i="28"/>
  <c r="I67" i="28"/>
  <c r="I68" i="28"/>
  <c r="I69" i="28"/>
  <c r="I70" i="28"/>
  <c r="I71" i="28"/>
  <c r="I72" i="28"/>
  <c r="I73" i="28"/>
  <c r="I74" i="28"/>
  <c r="I75" i="28"/>
  <c r="I76" i="28"/>
  <c r="I77" i="28"/>
  <c r="I78" i="28"/>
  <c r="I79" i="28"/>
  <c r="I80" i="28"/>
  <c r="I81" i="28"/>
  <c r="I82" i="28"/>
  <c r="I83" i="28"/>
  <c r="I84" i="28"/>
  <c r="I85" i="28"/>
  <c r="I86" i="28"/>
  <c r="I87" i="28"/>
  <c r="I88" i="28"/>
  <c r="I89" i="28"/>
  <c r="I90" i="28"/>
  <c r="I91" i="28"/>
  <c r="I92" i="28"/>
  <c r="I93" i="28"/>
  <c r="I94" i="28"/>
  <c r="I95" i="28"/>
  <c r="I96" i="28"/>
  <c r="I97" i="28"/>
  <c r="I98" i="28"/>
  <c r="I99" i="28"/>
  <c r="I100" i="28"/>
  <c r="I101" i="28"/>
  <c r="I102" i="28"/>
  <c r="I103" i="28"/>
  <c r="I104" i="28"/>
  <c r="I105" i="28"/>
  <c r="I106" i="28"/>
  <c r="I107" i="28"/>
  <c r="I108" i="28"/>
  <c r="I109" i="28"/>
  <c r="I110" i="28"/>
  <c r="I111" i="28"/>
  <c r="I112" i="28"/>
  <c r="I113" i="28"/>
  <c r="I114" i="28"/>
  <c r="I115" i="28"/>
  <c r="I116" i="28"/>
  <c r="I117" i="28"/>
  <c r="I118" i="28"/>
  <c r="I119" i="28"/>
  <c r="I120" i="28"/>
  <c r="I121" i="28"/>
  <c r="I122" i="28"/>
  <c r="I123" i="28"/>
  <c r="I124" i="28"/>
  <c r="I125" i="28"/>
  <c r="I126" i="28"/>
  <c r="I127" i="28"/>
  <c r="I128" i="28"/>
  <c r="I129" i="28"/>
  <c r="I130" i="28"/>
  <c r="I131" i="28"/>
  <c r="I132" i="28"/>
  <c r="I133" i="28"/>
  <c r="I134" i="28"/>
  <c r="I135" i="28"/>
  <c r="I136" i="28"/>
  <c r="I137" i="28"/>
  <c r="I138" i="28"/>
  <c r="I139" i="28"/>
  <c r="I140" i="28"/>
  <c r="I141" i="28"/>
  <c r="I142" i="28"/>
  <c r="I143" i="28"/>
  <c r="I144" i="28"/>
  <c r="I145" i="28"/>
  <c r="I146" i="28"/>
  <c r="I147" i="28"/>
  <c r="I148" i="28"/>
  <c r="I149" i="28"/>
  <c r="I150" i="28"/>
  <c r="I151" i="28"/>
  <c r="I152" i="28"/>
  <c r="I153" i="28"/>
  <c r="I154" i="28"/>
  <c r="I155" i="28"/>
  <c r="I156" i="28"/>
  <c r="I157" i="28"/>
  <c r="I158" i="28"/>
  <c r="I159" i="28"/>
  <c r="I160" i="28"/>
  <c r="I161" i="28"/>
  <c r="I162" i="28"/>
  <c r="I163" i="28"/>
  <c r="I164" i="28"/>
  <c r="I165" i="28"/>
  <c r="I166" i="28"/>
  <c r="I167" i="28"/>
  <c r="I168" i="28"/>
  <c r="I169" i="28"/>
  <c r="I170" i="28"/>
  <c r="I171" i="28"/>
  <c r="I172" i="28"/>
  <c r="I173" i="28"/>
  <c r="I174" i="28"/>
  <c r="I175" i="28"/>
  <c r="I176" i="28"/>
  <c r="I177" i="28"/>
  <c r="I178" i="28"/>
  <c r="I179" i="28"/>
  <c r="I180" i="28"/>
  <c r="I181" i="28"/>
  <c r="I182" i="28"/>
  <c r="I183" i="28"/>
  <c r="I184" i="28"/>
  <c r="I185" i="28"/>
  <c r="I186" i="28"/>
  <c r="I187" i="28"/>
  <c r="I188" i="28"/>
  <c r="I189" i="28"/>
  <c r="I190" i="28"/>
  <c r="I191" i="28"/>
  <c r="I192" i="28"/>
  <c r="I193" i="28"/>
  <c r="I194" i="28"/>
  <c r="I195" i="28"/>
  <c r="I196" i="28"/>
  <c r="I197" i="28"/>
  <c r="I198" i="28"/>
  <c r="I199" i="28"/>
  <c r="I200" i="28"/>
  <c r="I201" i="28"/>
  <c r="I202" i="28"/>
  <c r="I203" i="28"/>
  <c r="I204" i="28"/>
  <c r="I205" i="28"/>
  <c r="I206" i="28"/>
  <c r="I207" i="28"/>
  <c r="I208" i="28"/>
  <c r="I209" i="28"/>
  <c r="I210" i="28"/>
  <c r="I211" i="28"/>
  <c r="I212" i="28"/>
  <c r="I213" i="28"/>
  <c r="I214" i="28"/>
  <c r="I215" i="28"/>
  <c r="I216" i="28"/>
  <c r="I217" i="28"/>
  <c r="I218" i="28"/>
  <c r="I219" i="28"/>
  <c r="I220" i="28"/>
  <c r="I221" i="28"/>
  <c r="I222" i="28"/>
  <c r="I223" i="28"/>
  <c r="I224" i="28"/>
  <c r="I225" i="28"/>
  <c r="I226" i="28"/>
  <c r="I227" i="28"/>
  <c r="I228" i="28"/>
  <c r="I229" i="28"/>
  <c r="I230" i="28"/>
  <c r="I231" i="28"/>
  <c r="I232" i="28"/>
  <c r="I233" i="28"/>
  <c r="I234" i="28"/>
  <c r="I235" i="28"/>
  <c r="I236" i="28"/>
  <c r="I237" i="28"/>
  <c r="I238" i="28"/>
  <c r="I239" i="28"/>
  <c r="I240" i="28"/>
  <c r="I241" i="28"/>
  <c r="I242" i="28"/>
  <c r="I243" i="28"/>
  <c r="I244" i="28"/>
  <c r="I245" i="28"/>
  <c r="I246" i="28"/>
  <c r="I247" i="28"/>
  <c r="I248" i="28"/>
  <c r="I249" i="28"/>
  <c r="I250" i="28"/>
  <c r="I251" i="28"/>
  <c r="I252" i="28"/>
  <c r="I253" i="28"/>
  <c r="I254" i="28"/>
  <c r="I255" i="28"/>
  <c r="I256" i="28"/>
  <c r="I257" i="28"/>
  <c r="I258" i="28"/>
  <c r="I259" i="28"/>
  <c r="I260" i="28"/>
  <c r="I261" i="28"/>
  <c r="I262" i="28"/>
  <c r="I263" i="28"/>
  <c r="I264" i="28"/>
  <c r="I265" i="28"/>
  <c r="I266" i="28"/>
  <c r="I267" i="28"/>
  <c r="I268" i="28"/>
  <c r="I269" i="28"/>
  <c r="I270" i="28"/>
  <c r="I271" i="28"/>
  <c r="I272" i="28"/>
  <c r="I273" i="28"/>
  <c r="I274" i="28"/>
  <c r="I275" i="28"/>
  <c r="I276" i="28"/>
  <c r="I277" i="28"/>
  <c r="I278" i="28"/>
  <c r="I279" i="28"/>
  <c r="I280" i="28"/>
  <c r="I281" i="28"/>
  <c r="I282" i="28"/>
  <c r="I283" i="28"/>
  <c r="I284" i="28"/>
  <c r="I285" i="28"/>
  <c r="I286" i="28"/>
  <c r="I287" i="28"/>
  <c r="I288" i="28"/>
  <c r="I289" i="28"/>
  <c r="I290" i="28"/>
  <c r="I291" i="28"/>
  <c r="I292" i="28"/>
  <c r="I293" i="28"/>
  <c r="I294" i="28"/>
  <c r="I295" i="28"/>
  <c r="I296" i="28"/>
  <c r="I297" i="28"/>
  <c r="I298" i="28"/>
  <c r="I299" i="28"/>
  <c r="I300" i="28"/>
  <c r="I301" i="28"/>
  <c r="I302" i="28"/>
  <c r="I303" i="28"/>
  <c r="I304" i="28"/>
  <c r="I305" i="28"/>
  <c r="I306" i="28"/>
  <c r="I307" i="28"/>
  <c r="I308" i="28"/>
  <c r="I309" i="28"/>
  <c r="I310" i="28"/>
  <c r="I311" i="28"/>
  <c r="I312" i="28"/>
  <c r="I313" i="28"/>
  <c r="I314" i="28"/>
  <c r="I315" i="28"/>
  <c r="I316" i="28"/>
  <c r="I317" i="28"/>
  <c r="I318" i="28"/>
  <c r="I319" i="28"/>
  <c r="I320" i="28"/>
  <c r="I321" i="28"/>
  <c r="I322" i="28"/>
  <c r="I323" i="28"/>
  <c r="I324" i="28"/>
  <c r="I325" i="28"/>
  <c r="I326" i="28"/>
  <c r="I327" i="28"/>
  <c r="I328" i="28"/>
  <c r="I329" i="28"/>
  <c r="I330" i="28"/>
  <c r="I331" i="28"/>
  <c r="I332" i="28"/>
  <c r="I333" i="28"/>
  <c r="I334" i="28"/>
  <c r="I335" i="28"/>
  <c r="I336" i="28"/>
  <c r="I337" i="28"/>
  <c r="I338" i="28"/>
  <c r="I339" i="28"/>
  <c r="I340" i="28"/>
  <c r="I341" i="28"/>
  <c r="I342" i="28"/>
  <c r="I343" i="28"/>
  <c r="I344" i="28"/>
  <c r="I345" i="28"/>
  <c r="I346" i="28"/>
  <c r="I347" i="28"/>
  <c r="I348" i="28"/>
  <c r="I349" i="28"/>
  <c r="I350" i="28"/>
  <c r="I351" i="28"/>
  <c r="I352" i="28"/>
  <c r="I353" i="28"/>
  <c r="I354" i="28"/>
  <c r="I355" i="28"/>
  <c r="I356" i="28"/>
  <c r="I357" i="28"/>
  <c r="I358" i="28"/>
  <c r="I359" i="28"/>
  <c r="I360" i="28"/>
  <c r="I361" i="28"/>
  <c r="I362" i="28"/>
  <c r="I363" i="28"/>
  <c r="I364" i="28"/>
  <c r="I365" i="28"/>
  <c r="I366" i="28"/>
  <c r="I367" i="28"/>
  <c r="I368" i="28"/>
  <c r="I369" i="28"/>
  <c r="I370" i="28"/>
  <c r="I371" i="28"/>
  <c r="I372" i="28"/>
  <c r="I373" i="28"/>
  <c r="I374" i="28"/>
  <c r="I375" i="28"/>
  <c r="I376" i="28"/>
  <c r="I377" i="28"/>
  <c r="I378" i="28"/>
  <c r="I379" i="28"/>
  <c r="I380" i="28"/>
  <c r="I381" i="28"/>
  <c r="I382" i="28"/>
  <c r="I383" i="28"/>
  <c r="I384" i="28"/>
  <c r="I385" i="28"/>
  <c r="I386" i="28"/>
  <c r="I387" i="28"/>
  <c r="I388" i="28"/>
  <c r="I389" i="28"/>
  <c r="I390" i="28"/>
  <c r="I391" i="28"/>
  <c r="I392" i="28"/>
  <c r="I393" i="28"/>
  <c r="I394" i="28"/>
  <c r="I395" i="28"/>
  <c r="I396" i="28"/>
  <c r="I397" i="28"/>
  <c r="I398" i="28"/>
  <c r="I399" i="28"/>
  <c r="I400" i="28"/>
  <c r="I401" i="28"/>
  <c r="I402" i="28"/>
  <c r="I403" i="28"/>
  <c r="I404" i="28"/>
  <c r="I405" i="28"/>
  <c r="I406" i="28"/>
  <c r="I407" i="28"/>
  <c r="I408" i="28"/>
  <c r="I409" i="28"/>
  <c r="I410" i="28"/>
  <c r="I411" i="28"/>
  <c r="I412" i="28"/>
  <c r="I413" i="28"/>
  <c r="I414" i="28"/>
  <c r="I415" i="28"/>
  <c r="I416" i="28"/>
  <c r="I417" i="28"/>
  <c r="I418" i="28"/>
  <c r="I419" i="28"/>
  <c r="I420" i="28"/>
  <c r="I421" i="28"/>
  <c r="I422" i="28"/>
  <c r="I423" i="28"/>
  <c r="I424" i="28"/>
  <c r="I425" i="28"/>
  <c r="I426" i="28"/>
  <c r="I427" i="28"/>
  <c r="I428" i="28"/>
  <c r="I429" i="28"/>
  <c r="I430" i="28"/>
  <c r="I431" i="28"/>
  <c r="I432" i="28"/>
  <c r="I433" i="28"/>
  <c r="I434" i="28"/>
  <c r="I435" i="28"/>
  <c r="I436" i="28"/>
  <c r="I437" i="28"/>
  <c r="I438" i="28"/>
  <c r="I439" i="28"/>
  <c r="I440" i="28"/>
  <c r="I441" i="28"/>
  <c r="I442" i="28"/>
  <c r="I443" i="28"/>
  <c r="I444" i="28"/>
  <c r="I445" i="28"/>
  <c r="I446" i="28"/>
  <c r="I447" i="28"/>
  <c r="I448" i="28"/>
  <c r="I449" i="28"/>
  <c r="I450" i="28"/>
  <c r="I451" i="28"/>
  <c r="I452" i="28"/>
  <c r="I453" i="28"/>
  <c r="I454" i="28"/>
  <c r="I455" i="28"/>
  <c r="I456" i="28"/>
  <c r="I457" i="28"/>
  <c r="I458" i="28"/>
  <c r="I459" i="28"/>
  <c r="I460" i="28"/>
  <c r="I461" i="28"/>
  <c r="I462" i="28"/>
  <c r="I463" i="28"/>
  <c r="I464" i="28"/>
  <c r="I465" i="28"/>
  <c r="I466" i="28"/>
  <c r="I467" i="28"/>
  <c r="I468" i="28"/>
  <c r="I469" i="28"/>
  <c r="I470" i="28"/>
  <c r="I471" i="28"/>
  <c r="I472" i="28"/>
  <c r="I473" i="28"/>
  <c r="I474" i="28"/>
  <c r="I475" i="28"/>
  <c r="I476" i="28"/>
  <c r="I477" i="28"/>
  <c r="I478" i="28"/>
  <c r="I479" i="28"/>
  <c r="I480" i="28"/>
  <c r="I481" i="28"/>
  <c r="I482" i="28"/>
  <c r="I483" i="28"/>
  <c r="I484" i="28"/>
  <c r="I485" i="28"/>
  <c r="I486" i="28"/>
  <c r="I487" i="28"/>
  <c r="I488" i="28"/>
  <c r="I489" i="28"/>
  <c r="I490" i="28"/>
  <c r="I491" i="28"/>
  <c r="I492" i="28"/>
  <c r="I493" i="28"/>
  <c r="I494" i="28"/>
  <c r="I495" i="28"/>
  <c r="I496" i="28"/>
  <c r="I497" i="28"/>
  <c r="I498" i="28"/>
  <c r="I499" i="28"/>
  <c r="I500" i="28"/>
  <c r="I501" i="28"/>
  <c r="I502" i="28"/>
  <c r="I503" i="28"/>
  <c r="I504" i="28"/>
  <c r="I505" i="28"/>
  <c r="I506" i="28"/>
  <c r="I507" i="28"/>
  <c r="I508" i="28"/>
  <c r="I509" i="28"/>
  <c r="I510" i="28"/>
  <c r="I511" i="28"/>
  <c r="I512" i="28"/>
  <c r="I513" i="28"/>
  <c r="I514" i="28"/>
  <c r="I515" i="28"/>
  <c r="I516" i="28"/>
  <c r="I517" i="28"/>
  <c r="I518" i="28"/>
  <c r="I519" i="28"/>
  <c r="I520" i="28"/>
  <c r="I521" i="28"/>
  <c r="I522" i="28"/>
  <c r="I523" i="28"/>
  <c r="I524" i="28"/>
  <c r="I525" i="28"/>
  <c r="I526" i="28"/>
  <c r="I527" i="28"/>
  <c r="I528" i="28"/>
  <c r="I529" i="28"/>
  <c r="I530" i="28"/>
  <c r="I531" i="28"/>
  <c r="I532" i="28"/>
  <c r="I533" i="28"/>
  <c r="I534" i="28"/>
  <c r="I535" i="28"/>
  <c r="I536" i="28"/>
  <c r="I537" i="28"/>
  <c r="I538" i="28"/>
  <c r="I539" i="28"/>
  <c r="I540" i="28"/>
  <c r="I541" i="28"/>
  <c r="I542" i="28"/>
  <c r="I543" i="28"/>
  <c r="I544" i="28"/>
  <c r="I545" i="28"/>
  <c r="I546" i="28"/>
  <c r="I547" i="28"/>
  <c r="I548" i="28"/>
  <c r="I549" i="28"/>
  <c r="I550" i="28"/>
  <c r="I551" i="28"/>
  <c r="I552" i="28"/>
  <c r="I553" i="28"/>
  <c r="I554" i="28"/>
  <c r="I555" i="28"/>
  <c r="I556" i="28"/>
  <c r="I557" i="28"/>
  <c r="I558" i="28"/>
  <c r="I559" i="28"/>
  <c r="I560" i="28"/>
  <c r="I561" i="28"/>
  <c r="I562" i="28"/>
  <c r="I563" i="28"/>
  <c r="I564" i="28"/>
  <c r="I565" i="28"/>
  <c r="I566" i="28"/>
  <c r="I567" i="28"/>
  <c r="I568" i="28"/>
  <c r="I569" i="28"/>
  <c r="I570" i="28"/>
  <c r="I571" i="28"/>
  <c r="I572" i="28"/>
  <c r="I573" i="28"/>
  <c r="I574" i="28"/>
  <c r="I575" i="28"/>
  <c r="I576" i="28"/>
  <c r="I577" i="28"/>
  <c r="I578" i="28"/>
  <c r="I579" i="28"/>
  <c r="I580" i="28"/>
  <c r="I581" i="28"/>
  <c r="I582" i="28"/>
  <c r="I583" i="28"/>
  <c r="I584" i="28"/>
  <c r="I585" i="28"/>
  <c r="I586" i="28"/>
  <c r="I587" i="28"/>
  <c r="I588" i="28"/>
  <c r="I589" i="28"/>
  <c r="I590" i="28"/>
  <c r="I591" i="28"/>
  <c r="I592" i="28"/>
  <c r="I593" i="28"/>
  <c r="I594" i="28"/>
  <c r="I595" i="28"/>
  <c r="I596" i="28"/>
  <c r="I597" i="28"/>
  <c r="I598" i="28"/>
  <c r="I599" i="28"/>
  <c r="I600" i="28"/>
  <c r="I601" i="28"/>
  <c r="I602" i="28"/>
  <c r="I603" i="28"/>
  <c r="I604" i="28"/>
  <c r="I605" i="28"/>
  <c r="I606" i="28"/>
  <c r="I607" i="28"/>
  <c r="I608" i="28"/>
  <c r="I609" i="28"/>
  <c r="I610" i="28"/>
  <c r="I611" i="28"/>
  <c r="I612" i="28"/>
  <c r="I613" i="28"/>
  <c r="I614" i="28"/>
  <c r="I615" i="28"/>
  <c r="I616" i="28"/>
  <c r="I617" i="28"/>
  <c r="I618" i="28"/>
  <c r="I619" i="28"/>
  <c r="I620" i="28"/>
  <c r="I621" i="28"/>
  <c r="I622" i="28"/>
  <c r="I623" i="28"/>
  <c r="I624" i="28"/>
  <c r="I625" i="28"/>
  <c r="I626" i="28"/>
  <c r="I627" i="28"/>
  <c r="I628" i="28"/>
  <c r="I629" i="28"/>
  <c r="I630" i="28"/>
  <c r="I631" i="28"/>
  <c r="I632" i="28"/>
  <c r="I633" i="28"/>
  <c r="I634" i="28"/>
  <c r="I635" i="28"/>
  <c r="I636" i="28"/>
  <c r="I637" i="28"/>
  <c r="I638" i="28"/>
  <c r="I639" i="28"/>
  <c r="I640" i="28"/>
  <c r="I641" i="28"/>
  <c r="I642" i="28"/>
  <c r="I643" i="28"/>
  <c r="I644" i="28"/>
  <c r="I645" i="28"/>
  <c r="I646" i="28"/>
  <c r="I647" i="28"/>
  <c r="I648" i="28"/>
  <c r="I649" i="28"/>
  <c r="I650" i="28"/>
  <c r="I651" i="28"/>
  <c r="I652" i="28"/>
  <c r="I653" i="28"/>
  <c r="I654" i="28"/>
  <c r="I655" i="28"/>
  <c r="I656" i="28"/>
  <c r="I657" i="28"/>
  <c r="I658" i="28"/>
  <c r="I659" i="28"/>
  <c r="I660" i="28"/>
  <c r="I661" i="28"/>
  <c r="I662" i="28"/>
  <c r="I663" i="28"/>
  <c r="I664" i="28"/>
  <c r="I665" i="28"/>
  <c r="I666" i="28"/>
  <c r="I667" i="28"/>
  <c r="I668" i="28"/>
  <c r="I669" i="28"/>
  <c r="I670" i="28"/>
  <c r="I671" i="28"/>
  <c r="I672" i="28"/>
  <c r="I673" i="28"/>
  <c r="I674" i="28"/>
  <c r="I675" i="28"/>
  <c r="I676" i="28"/>
  <c r="I677" i="28"/>
  <c r="I678" i="28"/>
  <c r="I679" i="28"/>
  <c r="I680" i="28"/>
  <c r="I681" i="28"/>
  <c r="I682" i="28"/>
  <c r="I683" i="28"/>
  <c r="I684" i="28"/>
  <c r="I685" i="28"/>
  <c r="I686" i="28"/>
  <c r="I687" i="28"/>
  <c r="I688" i="28"/>
  <c r="I689" i="28"/>
  <c r="I690" i="28"/>
  <c r="I691" i="28"/>
  <c r="I692" i="28"/>
  <c r="I693" i="28"/>
  <c r="I694" i="28"/>
  <c r="I695" i="28"/>
  <c r="I696" i="28"/>
  <c r="I697" i="28"/>
  <c r="I698" i="28"/>
  <c r="I699" i="28"/>
  <c r="I700" i="28"/>
  <c r="I701" i="28"/>
  <c r="I702" i="28"/>
  <c r="I703" i="28"/>
  <c r="I704" i="28"/>
  <c r="I705" i="28"/>
  <c r="I706" i="28"/>
  <c r="I707" i="28"/>
  <c r="I708" i="28"/>
  <c r="I709" i="28"/>
  <c r="I710" i="28"/>
  <c r="I711" i="28"/>
  <c r="I712" i="28"/>
  <c r="I713" i="28"/>
  <c r="I714" i="28"/>
  <c r="I715" i="28"/>
  <c r="I716" i="28"/>
  <c r="I717" i="28"/>
  <c r="I718" i="28"/>
  <c r="I719" i="28"/>
  <c r="I720" i="28"/>
  <c r="I721" i="28"/>
  <c r="I722" i="28"/>
  <c r="I723" i="28"/>
  <c r="I724" i="28"/>
  <c r="I725" i="28"/>
  <c r="I726" i="28"/>
  <c r="I727" i="28"/>
  <c r="I728" i="28"/>
  <c r="I729" i="28"/>
  <c r="I730" i="28"/>
  <c r="I731" i="28"/>
  <c r="I732" i="28"/>
  <c r="I733" i="28"/>
  <c r="I734" i="28"/>
  <c r="I735" i="28"/>
  <c r="I736" i="28"/>
  <c r="I737" i="28"/>
  <c r="I738" i="28"/>
  <c r="I739" i="28"/>
  <c r="I740" i="28"/>
  <c r="I741" i="28"/>
  <c r="I742" i="28"/>
  <c r="I743" i="28"/>
  <c r="I744" i="28"/>
  <c r="I745" i="28"/>
  <c r="I746" i="28"/>
  <c r="I747" i="28"/>
  <c r="I748" i="28"/>
  <c r="I749" i="28"/>
  <c r="I750" i="28"/>
  <c r="I751" i="28"/>
  <c r="I752" i="28"/>
  <c r="I753" i="28"/>
  <c r="I754" i="28"/>
  <c r="I755" i="28"/>
  <c r="I756" i="28"/>
  <c r="I757" i="28"/>
  <c r="I758" i="28"/>
  <c r="I759" i="28"/>
  <c r="I760" i="28"/>
  <c r="I761" i="28"/>
  <c r="I762" i="28"/>
  <c r="I763" i="28"/>
  <c r="I764" i="28"/>
  <c r="I765" i="28"/>
  <c r="I766" i="28"/>
  <c r="I767" i="28"/>
  <c r="I768" i="28"/>
  <c r="I769" i="28"/>
  <c r="I770" i="28"/>
  <c r="I771" i="28"/>
  <c r="I772" i="28"/>
  <c r="I773" i="28"/>
  <c r="I774" i="28"/>
  <c r="I775" i="28"/>
  <c r="I776" i="28"/>
  <c r="I777" i="28"/>
  <c r="I778" i="28"/>
  <c r="I779" i="28"/>
  <c r="I780" i="28"/>
  <c r="I781" i="28"/>
  <c r="I782" i="28"/>
  <c r="I783" i="28"/>
  <c r="I784" i="28"/>
  <c r="I785" i="28"/>
  <c r="I786" i="28"/>
  <c r="I787" i="28"/>
  <c r="I788" i="28"/>
  <c r="I789" i="28"/>
  <c r="I790" i="28"/>
  <c r="I791" i="28"/>
  <c r="I792" i="28"/>
  <c r="I793" i="28"/>
  <c r="I794" i="28"/>
  <c r="I795" i="28"/>
  <c r="I796" i="28"/>
  <c r="I797" i="28"/>
  <c r="I798" i="28"/>
  <c r="I799" i="28"/>
  <c r="I800" i="28"/>
  <c r="I801" i="28"/>
  <c r="I802" i="28"/>
  <c r="I803" i="28"/>
  <c r="I804" i="28"/>
  <c r="I805" i="28"/>
  <c r="I806" i="28"/>
  <c r="I807" i="28"/>
  <c r="I808" i="28"/>
  <c r="I809" i="28"/>
  <c r="I810" i="28"/>
  <c r="I811" i="28"/>
  <c r="I812" i="28"/>
  <c r="I813" i="28"/>
  <c r="I814" i="28"/>
  <c r="I815" i="28"/>
  <c r="I816" i="28"/>
  <c r="I817" i="28"/>
  <c r="I818" i="28"/>
  <c r="I819" i="28"/>
  <c r="I820" i="28"/>
  <c r="I821" i="28"/>
  <c r="I822" i="28"/>
  <c r="I823" i="28"/>
  <c r="I824" i="28"/>
  <c r="I825" i="28"/>
  <c r="I826" i="28"/>
  <c r="I827" i="28"/>
  <c r="I828" i="28"/>
  <c r="I829" i="28"/>
  <c r="I830" i="28"/>
  <c r="I831" i="28"/>
  <c r="I832" i="28"/>
  <c r="I833" i="28"/>
  <c r="I834" i="28"/>
  <c r="I835" i="28"/>
  <c r="I836" i="28"/>
  <c r="I837" i="28"/>
  <c r="I838" i="28"/>
  <c r="I839" i="28"/>
  <c r="I840" i="28"/>
  <c r="I841" i="28"/>
  <c r="I842" i="28"/>
  <c r="I843" i="28"/>
  <c r="I844" i="28"/>
  <c r="I845" i="28"/>
  <c r="I846" i="28"/>
  <c r="I847" i="28"/>
  <c r="I848" i="28"/>
  <c r="I849" i="28"/>
  <c r="I850" i="28"/>
  <c r="I851" i="28"/>
  <c r="I852" i="28"/>
  <c r="I853" i="28"/>
  <c r="I854" i="28"/>
  <c r="I855" i="28"/>
  <c r="I856" i="28"/>
  <c r="I857" i="28"/>
  <c r="I858" i="28"/>
  <c r="I859" i="28"/>
  <c r="I860" i="28"/>
  <c r="I861" i="28"/>
  <c r="I862" i="28"/>
  <c r="I863" i="28"/>
  <c r="I864" i="28"/>
  <c r="I865" i="28"/>
  <c r="I866" i="28"/>
  <c r="I867" i="28"/>
  <c r="I868" i="28"/>
  <c r="I869" i="28"/>
  <c r="I870" i="28"/>
  <c r="I871" i="28"/>
  <c r="I872" i="28"/>
  <c r="I873" i="28"/>
  <c r="I874" i="28"/>
  <c r="I875" i="28"/>
  <c r="I876" i="28"/>
  <c r="I877" i="28"/>
  <c r="I878" i="28"/>
  <c r="I879" i="28"/>
  <c r="I880" i="28"/>
  <c r="I881" i="28"/>
  <c r="I882" i="28"/>
  <c r="I883" i="28"/>
  <c r="I884" i="28"/>
  <c r="I885" i="28"/>
  <c r="I886" i="28"/>
  <c r="I887" i="28"/>
  <c r="I888" i="28"/>
  <c r="I889" i="28"/>
  <c r="I890" i="28"/>
  <c r="I891" i="28"/>
  <c r="I892" i="28"/>
  <c r="I893" i="28"/>
  <c r="I894" i="28"/>
  <c r="I895" i="28"/>
  <c r="I896" i="28"/>
  <c r="I897" i="28"/>
  <c r="I898" i="28"/>
  <c r="I899" i="28"/>
  <c r="I900" i="28"/>
  <c r="I901" i="28"/>
  <c r="I902" i="28"/>
  <c r="I903" i="28"/>
  <c r="I904" i="28"/>
  <c r="I905" i="28"/>
  <c r="I906" i="28"/>
  <c r="I907" i="28"/>
  <c r="I908" i="28"/>
  <c r="I909" i="28"/>
  <c r="I910" i="28"/>
  <c r="I911" i="28"/>
  <c r="I912" i="28"/>
  <c r="I913" i="28"/>
  <c r="I914" i="28"/>
  <c r="I915" i="28"/>
  <c r="I916" i="28"/>
  <c r="I917" i="28"/>
  <c r="I918" i="28"/>
  <c r="I919" i="28"/>
  <c r="I920" i="28"/>
  <c r="I921" i="28"/>
  <c r="I922" i="28"/>
  <c r="I923" i="28"/>
  <c r="I924" i="28"/>
  <c r="I925" i="28"/>
  <c r="I926" i="28"/>
  <c r="I927" i="28"/>
  <c r="I928" i="28"/>
  <c r="I929" i="28"/>
  <c r="I930" i="28"/>
  <c r="I931" i="28"/>
  <c r="I932" i="28"/>
  <c r="I933" i="28"/>
  <c r="I934" i="28"/>
  <c r="I935" i="28"/>
  <c r="I936" i="28"/>
  <c r="I937" i="28"/>
  <c r="I938" i="28"/>
  <c r="I939" i="28"/>
  <c r="I940" i="28"/>
  <c r="I941" i="28"/>
  <c r="I942" i="28"/>
  <c r="I943" i="28"/>
  <c r="I944" i="28"/>
  <c r="I945" i="28"/>
  <c r="I946" i="28"/>
  <c r="I947" i="28"/>
  <c r="I948" i="28"/>
  <c r="I949" i="28"/>
  <c r="I950" i="28"/>
  <c r="I951" i="28"/>
  <c r="I952" i="28"/>
  <c r="I953" i="28"/>
  <c r="I954" i="28"/>
  <c r="I955" i="28"/>
  <c r="I956" i="28"/>
  <c r="I957" i="28"/>
  <c r="I958" i="28"/>
  <c r="I959" i="28"/>
  <c r="I960" i="28"/>
  <c r="I961" i="28"/>
  <c r="I962" i="28"/>
  <c r="I963" i="28"/>
  <c r="I964" i="28"/>
  <c r="I965" i="28"/>
  <c r="I966" i="28"/>
  <c r="I967" i="28"/>
  <c r="I968" i="28"/>
  <c r="I969" i="28"/>
  <c r="I970" i="28"/>
  <c r="I971" i="28"/>
  <c r="I972" i="28"/>
  <c r="I973" i="28"/>
  <c r="I974" i="28"/>
  <c r="I975" i="28"/>
  <c r="I976" i="28"/>
  <c r="I977" i="28"/>
  <c r="I978" i="28"/>
  <c r="I979" i="28"/>
  <c r="I980" i="28"/>
  <c r="I981" i="28"/>
  <c r="I982" i="28"/>
  <c r="I983" i="28"/>
  <c r="I984" i="28"/>
  <c r="I985" i="28"/>
  <c r="I986" i="28"/>
  <c r="I987" i="28"/>
  <c r="I988" i="28"/>
  <c r="I989" i="28"/>
  <c r="I990" i="28"/>
  <c r="I991" i="28"/>
  <c r="I992" i="28"/>
  <c r="I993" i="28"/>
  <c r="I994" i="28"/>
  <c r="I995" i="28"/>
  <c r="I996" i="28"/>
  <c r="I997" i="28"/>
  <c r="I998" i="28"/>
  <c r="I999" i="28"/>
  <c r="I1000" i="28"/>
  <c r="I1001" i="28"/>
  <c r="I1002" i="28"/>
  <c r="I1003" i="28"/>
  <c r="B10" i="28"/>
  <c r="B11" i="28"/>
  <c r="B12" i="28"/>
  <c r="B13" i="28"/>
  <c r="B14" i="28"/>
  <c r="B15" i="28"/>
  <c r="B16" i="28"/>
  <c r="B17" i="28"/>
  <c r="B18" i="28"/>
  <c r="B19" i="28"/>
  <c r="B20" i="28"/>
  <c r="B21" i="28"/>
  <c r="B22" i="28"/>
  <c r="B23" i="28"/>
  <c r="B24" i="28"/>
  <c r="B25" i="28"/>
  <c r="B26" i="28"/>
  <c r="B27" i="28"/>
  <c r="B28" i="28"/>
  <c r="B29" i="28"/>
  <c r="B30" i="28"/>
  <c r="B31" i="28"/>
  <c r="B32" i="28"/>
  <c r="B33" i="28"/>
  <c r="B34" i="28"/>
  <c r="B35" i="28"/>
  <c r="B36" i="28"/>
  <c r="B37" i="28"/>
  <c r="B38" i="28"/>
  <c r="B39" i="28"/>
  <c r="B40" i="28"/>
  <c r="B41" i="28"/>
  <c r="B42" i="28"/>
  <c r="B43" i="28"/>
  <c r="B44" i="28"/>
  <c r="B45" i="28"/>
  <c r="B46" i="28"/>
  <c r="B47" i="28"/>
  <c r="B48" i="28"/>
  <c r="B49" i="28"/>
  <c r="B50" i="28"/>
  <c r="B51" i="28"/>
  <c r="B52" i="28"/>
  <c r="B53" i="28"/>
  <c r="B54" i="28"/>
  <c r="B55" i="28"/>
  <c r="B56" i="28"/>
  <c r="B57" i="28"/>
  <c r="B58" i="28"/>
  <c r="B59" i="28"/>
  <c r="B60" i="28"/>
  <c r="B61" i="28"/>
  <c r="B62" i="28"/>
  <c r="B63" i="28"/>
  <c r="B64" i="28"/>
  <c r="B65" i="28"/>
  <c r="B66" i="28"/>
  <c r="B67" i="28"/>
  <c r="B68" i="28"/>
  <c r="B69" i="28"/>
  <c r="B70" i="28"/>
  <c r="B71" i="28"/>
  <c r="B72" i="28"/>
  <c r="B73" i="28"/>
  <c r="B74" i="28"/>
  <c r="B75" i="28"/>
  <c r="B76" i="28"/>
  <c r="B77" i="28"/>
  <c r="B78" i="28"/>
  <c r="B79" i="28"/>
  <c r="B80" i="28"/>
  <c r="B81" i="28"/>
  <c r="B82" i="28"/>
  <c r="B83" i="28"/>
  <c r="B84" i="28"/>
  <c r="B85" i="28"/>
  <c r="B86" i="28"/>
  <c r="B87" i="28"/>
  <c r="B88" i="28"/>
  <c r="B89" i="28"/>
  <c r="B90" i="28"/>
  <c r="B91" i="28"/>
  <c r="B92" i="28"/>
  <c r="B93" i="28"/>
  <c r="B94" i="28"/>
  <c r="B95" i="28"/>
  <c r="B96" i="28"/>
  <c r="B97" i="28"/>
  <c r="B98" i="28"/>
  <c r="B99" i="28"/>
  <c r="B100" i="28"/>
  <c r="B101" i="28"/>
  <c r="B102" i="28"/>
  <c r="B103" i="28"/>
  <c r="B104" i="28"/>
  <c r="B105" i="28"/>
  <c r="B106" i="28"/>
  <c r="B107" i="28"/>
  <c r="B108" i="28"/>
  <c r="B109" i="28"/>
  <c r="B110" i="28"/>
  <c r="B111" i="28"/>
  <c r="B112" i="28"/>
  <c r="B113" i="28"/>
  <c r="B114" i="28"/>
  <c r="B115" i="28"/>
  <c r="B116" i="28"/>
  <c r="B117" i="28"/>
  <c r="B118" i="28"/>
  <c r="B119" i="28"/>
  <c r="B120" i="28"/>
  <c r="B121" i="28"/>
  <c r="B122" i="28"/>
  <c r="B123" i="28"/>
  <c r="B124" i="28"/>
  <c r="B125" i="28"/>
  <c r="B126" i="28"/>
  <c r="B127" i="28"/>
  <c r="B128" i="28"/>
  <c r="B129" i="28"/>
  <c r="B130" i="28"/>
  <c r="B131" i="28"/>
  <c r="B132" i="28"/>
  <c r="B133" i="28"/>
  <c r="B134" i="28"/>
  <c r="B135" i="28"/>
  <c r="B136" i="28"/>
  <c r="B137" i="28"/>
  <c r="B138" i="28"/>
  <c r="B139" i="28"/>
  <c r="B140" i="28"/>
  <c r="B141" i="28"/>
  <c r="B142" i="28"/>
  <c r="B143" i="28"/>
  <c r="B144" i="28"/>
  <c r="B145" i="28"/>
  <c r="B146" i="28"/>
  <c r="B147" i="28"/>
  <c r="B148" i="28"/>
  <c r="B149" i="28"/>
  <c r="B150" i="28"/>
  <c r="B151" i="28"/>
  <c r="B152" i="28"/>
  <c r="B153" i="28"/>
  <c r="B154" i="28"/>
  <c r="B155" i="28"/>
  <c r="B156" i="28"/>
  <c r="B157" i="28"/>
  <c r="B158" i="28"/>
  <c r="B159" i="28"/>
  <c r="B160" i="28"/>
  <c r="B161" i="28"/>
  <c r="B162" i="28"/>
  <c r="B163" i="28"/>
  <c r="B164" i="28"/>
  <c r="B165" i="28"/>
  <c r="B166" i="28"/>
  <c r="B167" i="28"/>
  <c r="B168" i="28"/>
  <c r="B169" i="28"/>
  <c r="B170" i="28"/>
  <c r="B171" i="28"/>
  <c r="B172" i="28"/>
  <c r="B173" i="28"/>
  <c r="B174" i="28"/>
  <c r="B175" i="28"/>
  <c r="B176" i="28"/>
  <c r="B177" i="28"/>
  <c r="B178" i="28"/>
  <c r="B179" i="28"/>
  <c r="B180" i="28"/>
  <c r="B181" i="28"/>
  <c r="B182" i="28"/>
  <c r="B183" i="28"/>
  <c r="B184" i="28"/>
  <c r="B185" i="28"/>
  <c r="B186" i="28"/>
  <c r="B187" i="28"/>
  <c r="B188" i="28"/>
  <c r="B189" i="28"/>
  <c r="B190" i="28"/>
  <c r="B191" i="28"/>
  <c r="B192" i="28"/>
  <c r="B193" i="28"/>
  <c r="B194" i="28"/>
  <c r="B195" i="28"/>
  <c r="B196" i="28"/>
  <c r="B197" i="28"/>
  <c r="B198" i="28"/>
  <c r="B199" i="28"/>
  <c r="B200" i="28"/>
  <c r="B201" i="28"/>
  <c r="B202" i="28"/>
  <c r="B203" i="28"/>
  <c r="B204" i="28"/>
  <c r="B205" i="28"/>
  <c r="B206" i="28"/>
  <c r="B207" i="28"/>
  <c r="B208" i="28"/>
  <c r="B209" i="28"/>
  <c r="B210" i="28"/>
  <c r="B211" i="28"/>
  <c r="B212" i="28"/>
  <c r="B213" i="28"/>
  <c r="B214" i="28"/>
  <c r="B215" i="28"/>
  <c r="B216" i="28"/>
  <c r="B217" i="28"/>
  <c r="B218" i="28"/>
  <c r="B219" i="28"/>
  <c r="B220" i="28"/>
  <c r="B221" i="28"/>
  <c r="B222" i="28"/>
  <c r="B223" i="28"/>
  <c r="B224" i="28"/>
  <c r="B225" i="28"/>
  <c r="B226" i="28"/>
  <c r="B227" i="28"/>
  <c r="B228" i="28"/>
  <c r="B229" i="28"/>
  <c r="B230" i="28"/>
  <c r="B231" i="28"/>
  <c r="B232" i="28"/>
  <c r="B233" i="28"/>
  <c r="B234" i="28"/>
  <c r="B235" i="28"/>
  <c r="B236" i="28"/>
  <c r="B237" i="28"/>
  <c r="B238" i="28"/>
  <c r="B239" i="28"/>
  <c r="B240" i="28"/>
  <c r="B241" i="28"/>
  <c r="B242" i="28"/>
  <c r="B243" i="28"/>
  <c r="B244" i="28"/>
  <c r="B245" i="28"/>
  <c r="B246" i="28"/>
  <c r="B247" i="28"/>
  <c r="B248" i="28"/>
  <c r="B249" i="28"/>
  <c r="B250" i="28"/>
  <c r="B251" i="28"/>
  <c r="B252" i="28"/>
  <c r="B253" i="28"/>
  <c r="B254" i="28"/>
  <c r="B255" i="28"/>
  <c r="B256" i="28"/>
  <c r="B257" i="28"/>
  <c r="B258" i="28"/>
  <c r="B259" i="28"/>
  <c r="B260" i="28"/>
  <c r="B261" i="28"/>
  <c r="B262" i="28"/>
  <c r="B263" i="28"/>
  <c r="B264" i="28"/>
  <c r="B265" i="28"/>
  <c r="B266" i="28"/>
  <c r="B267" i="28"/>
  <c r="B268" i="28"/>
  <c r="B269" i="28"/>
  <c r="B270" i="28"/>
  <c r="B271" i="28"/>
  <c r="B272" i="28"/>
  <c r="B273" i="28"/>
  <c r="B274" i="28"/>
  <c r="B275" i="28"/>
  <c r="B276" i="28"/>
  <c r="B277" i="28"/>
  <c r="B278" i="28"/>
  <c r="B279" i="28"/>
  <c r="B280" i="28"/>
  <c r="B281" i="28"/>
  <c r="B282" i="28"/>
  <c r="B283" i="28"/>
  <c r="B284" i="28"/>
  <c r="B285" i="28"/>
  <c r="B286" i="28"/>
  <c r="B287" i="28"/>
  <c r="B288" i="28"/>
  <c r="B289" i="28"/>
  <c r="B290" i="28"/>
  <c r="B291" i="28"/>
  <c r="B292" i="28"/>
  <c r="B293" i="28"/>
  <c r="B294" i="28"/>
  <c r="B295" i="28"/>
  <c r="B296" i="28"/>
  <c r="B297" i="28"/>
  <c r="B298" i="28"/>
  <c r="B299" i="28"/>
  <c r="B300" i="28"/>
  <c r="B301" i="28"/>
  <c r="B302" i="28"/>
  <c r="B303" i="28"/>
  <c r="B304" i="28"/>
  <c r="B305" i="28"/>
  <c r="B306" i="28"/>
  <c r="B307" i="28"/>
  <c r="B308" i="28"/>
  <c r="B309" i="28"/>
  <c r="B310" i="28"/>
  <c r="B311" i="28"/>
  <c r="B312" i="28"/>
  <c r="B313" i="28"/>
  <c r="B314" i="28"/>
  <c r="B315" i="28"/>
  <c r="B316" i="28"/>
  <c r="B317" i="28"/>
  <c r="B318" i="28"/>
  <c r="B319" i="28"/>
  <c r="B320" i="28"/>
  <c r="B321" i="28"/>
  <c r="B322" i="28"/>
  <c r="B323" i="28"/>
  <c r="B324" i="28"/>
  <c r="B325" i="28"/>
  <c r="B326" i="28"/>
  <c r="B327" i="28"/>
  <c r="B328" i="28"/>
  <c r="B329" i="28"/>
  <c r="B330" i="28"/>
  <c r="B331" i="28"/>
  <c r="B332" i="28"/>
  <c r="B333" i="28"/>
  <c r="B334" i="28"/>
  <c r="B335" i="28"/>
  <c r="B336" i="28"/>
  <c r="B337" i="28"/>
  <c r="B338" i="28"/>
  <c r="B339" i="28"/>
  <c r="B340" i="28"/>
  <c r="B341" i="28"/>
  <c r="B342" i="28"/>
  <c r="B343" i="28"/>
  <c r="B344" i="28"/>
  <c r="B345" i="28"/>
  <c r="B346" i="28"/>
  <c r="B347" i="28"/>
  <c r="B348" i="28"/>
  <c r="B349" i="28"/>
  <c r="B350" i="28"/>
  <c r="B351" i="28"/>
  <c r="B352" i="28"/>
  <c r="B353" i="28"/>
  <c r="B354" i="28"/>
  <c r="B355" i="28"/>
  <c r="B356" i="28"/>
  <c r="B357" i="28"/>
  <c r="B358" i="28"/>
  <c r="B359" i="28"/>
  <c r="B360" i="28"/>
  <c r="B361" i="28"/>
  <c r="B362" i="28"/>
  <c r="B363" i="28"/>
  <c r="B364" i="28"/>
  <c r="B365" i="28"/>
  <c r="B366" i="28"/>
  <c r="B367" i="28"/>
  <c r="B368" i="28"/>
  <c r="B369" i="28"/>
  <c r="B370" i="28"/>
  <c r="B371" i="28"/>
  <c r="B372" i="28"/>
  <c r="B373" i="28"/>
  <c r="B374" i="28"/>
  <c r="B375" i="28"/>
  <c r="B376" i="28"/>
  <c r="B377" i="28"/>
  <c r="B378" i="28"/>
  <c r="B379" i="28"/>
  <c r="B380" i="28"/>
  <c r="B381" i="28"/>
  <c r="B382" i="28"/>
  <c r="B383" i="28"/>
  <c r="B384" i="28"/>
  <c r="B385" i="28"/>
  <c r="B386" i="28"/>
  <c r="B387" i="28"/>
  <c r="B388" i="28"/>
  <c r="B389" i="28"/>
  <c r="B390" i="28"/>
  <c r="B391" i="28"/>
  <c r="B392" i="28"/>
  <c r="B393" i="28"/>
  <c r="B394" i="28"/>
  <c r="B395" i="28"/>
  <c r="B396" i="28"/>
  <c r="B397" i="28"/>
  <c r="B398" i="28"/>
  <c r="B399" i="28"/>
  <c r="B400" i="28"/>
  <c r="B401" i="28"/>
  <c r="B402" i="28"/>
  <c r="B403" i="28"/>
  <c r="B404" i="28"/>
  <c r="B405" i="28"/>
  <c r="B406" i="28"/>
  <c r="B407" i="28"/>
  <c r="B408" i="28"/>
  <c r="B409" i="28"/>
  <c r="B410" i="28"/>
  <c r="B411" i="28"/>
  <c r="B412" i="28"/>
  <c r="B413" i="28"/>
  <c r="B414" i="28"/>
  <c r="B415" i="28"/>
  <c r="B416" i="28"/>
  <c r="B417" i="28"/>
  <c r="B418" i="28"/>
  <c r="B419" i="28"/>
  <c r="B420" i="28"/>
  <c r="B421" i="28"/>
  <c r="B422" i="28"/>
  <c r="B423" i="28"/>
  <c r="B424" i="28"/>
  <c r="B425" i="28"/>
  <c r="B426" i="28"/>
  <c r="B427" i="28"/>
  <c r="B428" i="28"/>
  <c r="B429" i="28"/>
  <c r="B430" i="28"/>
  <c r="B431" i="28"/>
  <c r="B432" i="28"/>
  <c r="B433" i="28"/>
  <c r="B434" i="28"/>
  <c r="B435" i="28"/>
  <c r="B436" i="28"/>
  <c r="B437" i="28"/>
  <c r="B438" i="28"/>
  <c r="B439" i="28"/>
  <c r="B440" i="28"/>
  <c r="B441" i="28"/>
  <c r="B442" i="28"/>
  <c r="B443" i="28"/>
  <c r="B444" i="28"/>
  <c r="B445" i="28"/>
  <c r="B446" i="28"/>
  <c r="B447" i="28"/>
  <c r="B448" i="28"/>
  <c r="B449" i="28"/>
  <c r="B450" i="28"/>
  <c r="B451" i="28"/>
  <c r="B452" i="28"/>
  <c r="B453" i="28"/>
  <c r="B454" i="28"/>
  <c r="B455" i="28"/>
  <c r="B456" i="28"/>
  <c r="B457" i="28"/>
  <c r="B458" i="28"/>
  <c r="B459" i="28"/>
  <c r="B460" i="28"/>
  <c r="B461" i="28"/>
  <c r="B462" i="28"/>
  <c r="B463" i="28"/>
  <c r="B464" i="28"/>
  <c r="B465" i="28"/>
  <c r="B466" i="28"/>
  <c r="B467" i="28"/>
  <c r="B468" i="28"/>
  <c r="B469" i="28"/>
  <c r="B470" i="28"/>
  <c r="B471" i="28"/>
  <c r="B472" i="28"/>
  <c r="B473" i="28"/>
  <c r="B474" i="28"/>
  <c r="B475" i="28"/>
  <c r="B476" i="28"/>
  <c r="B477" i="28"/>
  <c r="B478" i="28"/>
  <c r="B479" i="28"/>
  <c r="B480" i="28"/>
  <c r="B481" i="28"/>
  <c r="B482" i="28"/>
  <c r="B483" i="28"/>
  <c r="B484" i="28"/>
  <c r="B485" i="28"/>
  <c r="B486" i="28"/>
  <c r="B487" i="28"/>
  <c r="B488" i="28"/>
  <c r="B489" i="28"/>
  <c r="B490" i="28"/>
  <c r="B491" i="28"/>
  <c r="B492" i="28"/>
  <c r="B493" i="28"/>
  <c r="B494" i="28"/>
  <c r="B495" i="28"/>
  <c r="B496" i="28"/>
  <c r="B497" i="28"/>
  <c r="B498" i="28"/>
  <c r="B499" i="28"/>
  <c r="B500" i="28"/>
  <c r="B501" i="28"/>
  <c r="B502" i="28"/>
  <c r="B503" i="28"/>
  <c r="B504" i="28"/>
  <c r="B505" i="28"/>
  <c r="B506" i="28"/>
  <c r="B507" i="28"/>
  <c r="B508" i="28"/>
  <c r="B509" i="28"/>
  <c r="B510" i="28"/>
  <c r="B511" i="28"/>
  <c r="B512" i="28"/>
  <c r="B513" i="28"/>
  <c r="B514" i="28"/>
  <c r="B515" i="28"/>
  <c r="B516" i="28"/>
  <c r="B517" i="28"/>
  <c r="B518" i="28"/>
  <c r="B519" i="28"/>
  <c r="B520" i="28"/>
  <c r="B521" i="28"/>
  <c r="B522" i="28"/>
  <c r="B523" i="28"/>
  <c r="B524" i="28"/>
  <c r="B525" i="28"/>
  <c r="B526" i="28"/>
  <c r="B527" i="28"/>
  <c r="B528" i="28"/>
  <c r="B529" i="28"/>
  <c r="B530" i="28"/>
  <c r="B531" i="28"/>
  <c r="B532" i="28"/>
  <c r="B533" i="28"/>
  <c r="B534" i="28"/>
  <c r="B535" i="28"/>
  <c r="B536" i="28"/>
  <c r="B537" i="28"/>
  <c r="B538" i="28"/>
  <c r="B539" i="28"/>
  <c r="B540" i="28"/>
  <c r="B541" i="28"/>
  <c r="B542" i="28"/>
  <c r="B543" i="28"/>
  <c r="B544" i="28"/>
  <c r="B545" i="28"/>
  <c r="B546" i="28"/>
  <c r="B547" i="28"/>
  <c r="B548" i="28"/>
  <c r="B549" i="28"/>
  <c r="B550" i="28"/>
  <c r="B551" i="28"/>
  <c r="B552" i="28"/>
  <c r="B553" i="28"/>
  <c r="B554" i="28"/>
  <c r="B555" i="28"/>
  <c r="B556" i="28"/>
  <c r="B557" i="28"/>
  <c r="B558" i="28"/>
  <c r="B559" i="28"/>
  <c r="B560" i="28"/>
  <c r="B561" i="28"/>
  <c r="B562" i="28"/>
  <c r="B563" i="28"/>
  <c r="B564" i="28"/>
  <c r="B565" i="28"/>
  <c r="B566" i="28"/>
  <c r="B567" i="28"/>
  <c r="B568" i="28"/>
  <c r="B569" i="28"/>
  <c r="B570" i="28"/>
  <c r="B571" i="28"/>
  <c r="B572" i="28"/>
  <c r="B573" i="28"/>
  <c r="B574" i="28"/>
  <c r="B575" i="28"/>
  <c r="B576" i="28"/>
  <c r="B577" i="28"/>
  <c r="B578" i="28"/>
  <c r="B579" i="28"/>
  <c r="B580" i="28"/>
  <c r="B581" i="28"/>
  <c r="B582" i="28"/>
  <c r="B583" i="28"/>
  <c r="B584" i="28"/>
  <c r="B585" i="28"/>
  <c r="B586" i="28"/>
  <c r="B587" i="28"/>
  <c r="B588" i="28"/>
  <c r="B589" i="28"/>
  <c r="B590" i="28"/>
  <c r="B591" i="28"/>
  <c r="B592" i="28"/>
  <c r="B593" i="28"/>
  <c r="B594" i="28"/>
  <c r="B595" i="28"/>
  <c r="B596" i="28"/>
  <c r="B597" i="28"/>
  <c r="B598" i="28"/>
  <c r="B599" i="28"/>
  <c r="B600" i="28"/>
  <c r="B601" i="28"/>
  <c r="B602" i="28"/>
  <c r="B603" i="28"/>
  <c r="B604" i="28"/>
  <c r="B605" i="28"/>
  <c r="B606" i="28"/>
  <c r="B607" i="28"/>
  <c r="B608" i="28"/>
  <c r="B609" i="28"/>
  <c r="B610" i="28"/>
  <c r="B611" i="28"/>
  <c r="B612" i="28"/>
  <c r="B613" i="28"/>
  <c r="B614" i="28"/>
  <c r="B615" i="28"/>
  <c r="B616" i="28"/>
  <c r="B617" i="28"/>
  <c r="B618" i="28"/>
  <c r="B619" i="28"/>
  <c r="B620" i="28"/>
  <c r="B621" i="28"/>
  <c r="B622" i="28"/>
  <c r="B623" i="28"/>
  <c r="B624" i="28"/>
  <c r="B625" i="28"/>
  <c r="B626" i="28"/>
  <c r="B627" i="28"/>
  <c r="B628" i="28"/>
  <c r="B629" i="28"/>
  <c r="B630" i="28"/>
  <c r="B631" i="28"/>
  <c r="B632" i="28"/>
  <c r="B633" i="28"/>
  <c r="B634" i="28"/>
  <c r="B635" i="28"/>
  <c r="B636" i="28"/>
  <c r="B637" i="28"/>
  <c r="B638" i="28"/>
  <c r="B639" i="28"/>
  <c r="B640" i="28"/>
  <c r="B641" i="28"/>
  <c r="B642" i="28"/>
  <c r="B643" i="28"/>
  <c r="B644" i="28"/>
  <c r="B645" i="28"/>
  <c r="B646" i="28"/>
  <c r="B647" i="28"/>
  <c r="B648" i="28"/>
  <c r="B649" i="28"/>
  <c r="B650" i="28"/>
  <c r="B651" i="28"/>
  <c r="B652" i="28"/>
  <c r="B653" i="28"/>
  <c r="B654" i="28"/>
  <c r="B655" i="28"/>
  <c r="B656" i="28"/>
  <c r="B657" i="28"/>
  <c r="B658" i="28"/>
  <c r="B659" i="28"/>
  <c r="B660" i="28"/>
  <c r="B661" i="28"/>
  <c r="B662" i="28"/>
  <c r="B663" i="28"/>
  <c r="B664" i="28"/>
  <c r="B665" i="28"/>
  <c r="B666" i="28"/>
  <c r="B667" i="28"/>
  <c r="B668" i="28"/>
  <c r="B669" i="28"/>
  <c r="B670" i="28"/>
  <c r="B671" i="28"/>
  <c r="B672" i="28"/>
  <c r="B673" i="28"/>
  <c r="B674" i="28"/>
  <c r="B675" i="28"/>
  <c r="B676" i="28"/>
  <c r="B677" i="28"/>
  <c r="B678" i="28"/>
  <c r="B679" i="28"/>
  <c r="B680" i="28"/>
  <c r="B681" i="28"/>
  <c r="B682" i="28"/>
  <c r="B683" i="28"/>
  <c r="B684" i="28"/>
  <c r="B685" i="28"/>
  <c r="B686" i="28"/>
  <c r="B687" i="28"/>
  <c r="B688" i="28"/>
  <c r="B689" i="28"/>
  <c r="B690" i="28"/>
  <c r="B691" i="28"/>
  <c r="B692" i="28"/>
  <c r="B693" i="28"/>
  <c r="B694" i="28"/>
  <c r="B695" i="28"/>
  <c r="B696" i="28"/>
  <c r="B697" i="28"/>
  <c r="B698" i="28"/>
  <c r="B699" i="28"/>
  <c r="B700" i="28"/>
  <c r="B701" i="28"/>
  <c r="B702" i="28"/>
  <c r="B703" i="28"/>
  <c r="B704" i="28"/>
  <c r="B705" i="28"/>
  <c r="B706" i="28"/>
  <c r="B707" i="28"/>
  <c r="B708" i="28"/>
  <c r="B709" i="28"/>
  <c r="B710" i="28"/>
  <c r="B711" i="28"/>
  <c r="B712" i="28"/>
  <c r="B713" i="28"/>
  <c r="B714" i="28"/>
  <c r="B715" i="28"/>
  <c r="B716" i="28"/>
  <c r="B717" i="28"/>
  <c r="B718" i="28"/>
  <c r="B719" i="28"/>
  <c r="B720" i="28"/>
  <c r="B721" i="28"/>
  <c r="B722" i="28"/>
  <c r="B723" i="28"/>
  <c r="B724" i="28"/>
  <c r="B725" i="28"/>
  <c r="B726" i="28"/>
  <c r="B727" i="28"/>
  <c r="B728" i="28"/>
  <c r="B729" i="28"/>
  <c r="B730" i="28"/>
  <c r="B731" i="28"/>
  <c r="B732" i="28"/>
  <c r="B733" i="28"/>
  <c r="B734" i="28"/>
  <c r="B735" i="28"/>
  <c r="B736" i="28"/>
  <c r="B737" i="28"/>
  <c r="B738" i="28"/>
  <c r="B739" i="28"/>
  <c r="B740" i="28"/>
  <c r="B741" i="28"/>
  <c r="B742" i="28"/>
  <c r="B743" i="28"/>
  <c r="B744" i="28"/>
  <c r="B745" i="28"/>
  <c r="B746" i="28"/>
  <c r="B747" i="28"/>
  <c r="B748" i="28"/>
  <c r="B749" i="28"/>
  <c r="B750" i="28"/>
  <c r="B751" i="28"/>
  <c r="B752" i="28"/>
  <c r="B753" i="28"/>
  <c r="B754" i="28"/>
  <c r="B755" i="28"/>
  <c r="B756" i="28"/>
  <c r="B757" i="28"/>
  <c r="B758" i="28"/>
  <c r="B759" i="28"/>
  <c r="B760" i="28"/>
  <c r="B761" i="28"/>
  <c r="B762" i="28"/>
  <c r="B763" i="28"/>
  <c r="B764" i="28"/>
  <c r="B765" i="28"/>
  <c r="B766" i="28"/>
  <c r="B767" i="28"/>
  <c r="B768" i="28"/>
  <c r="B769" i="28"/>
  <c r="B770" i="28"/>
  <c r="B771" i="28"/>
  <c r="B772" i="28"/>
  <c r="B773" i="28"/>
  <c r="B774" i="28"/>
  <c r="B775" i="28"/>
  <c r="B776" i="28"/>
  <c r="B777" i="28"/>
  <c r="B778" i="28"/>
  <c r="B779" i="28"/>
  <c r="B780" i="28"/>
  <c r="B781" i="28"/>
  <c r="B782" i="28"/>
  <c r="B783" i="28"/>
  <c r="B784" i="28"/>
  <c r="B785" i="28"/>
  <c r="B786" i="28"/>
  <c r="B787" i="28"/>
  <c r="B788" i="28"/>
  <c r="B789" i="28"/>
  <c r="B790" i="28"/>
  <c r="B791" i="28"/>
  <c r="B792" i="28"/>
  <c r="B793" i="28"/>
  <c r="B794" i="28"/>
  <c r="B795" i="28"/>
  <c r="B796" i="28"/>
  <c r="B797" i="28"/>
  <c r="B798" i="28"/>
  <c r="B799" i="28"/>
  <c r="B800" i="28"/>
  <c r="B801" i="28"/>
  <c r="B802" i="28"/>
  <c r="B803" i="28"/>
  <c r="B804" i="28"/>
  <c r="B805" i="28"/>
  <c r="B806" i="28"/>
  <c r="B807" i="28"/>
  <c r="B808" i="28"/>
  <c r="B809" i="28"/>
  <c r="B810" i="28"/>
  <c r="B811" i="28"/>
  <c r="B812" i="28"/>
  <c r="B813" i="28"/>
  <c r="B814" i="28"/>
  <c r="B815" i="28"/>
  <c r="B816" i="28"/>
  <c r="B817" i="28"/>
  <c r="B818" i="28"/>
  <c r="B819" i="28"/>
  <c r="B820" i="28"/>
  <c r="B821" i="28"/>
  <c r="B822" i="28"/>
  <c r="B823" i="28"/>
  <c r="B824" i="28"/>
  <c r="B825" i="28"/>
  <c r="B826" i="28"/>
  <c r="B827" i="28"/>
  <c r="B828" i="28"/>
  <c r="B829" i="28"/>
  <c r="B830" i="28"/>
  <c r="B831" i="28"/>
  <c r="B832" i="28"/>
  <c r="B833" i="28"/>
  <c r="B834" i="28"/>
  <c r="B835" i="28"/>
  <c r="B836" i="28"/>
  <c r="B837" i="28"/>
  <c r="B838" i="28"/>
  <c r="B839" i="28"/>
  <c r="B840" i="28"/>
  <c r="B841" i="28"/>
  <c r="B842" i="28"/>
  <c r="B843" i="28"/>
  <c r="B844" i="28"/>
  <c r="B845" i="28"/>
  <c r="B846" i="28"/>
  <c r="B847" i="28"/>
  <c r="B848" i="28"/>
  <c r="B849" i="28"/>
  <c r="B850" i="28"/>
  <c r="B851" i="28"/>
  <c r="B852" i="28"/>
  <c r="B853" i="28"/>
  <c r="B854" i="28"/>
  <c r="B855" i="28"/>
  <c r="B856" i="28"/>
  <c r="B857" i="28"/>
  <c r="B858" i="28"/>
  <c r="B859" i="28"/>
  <c r="B860" i="28"/>
  <c r="B861" i="28"/>
  <c r="B862" i="28"/>
  <c r="B863" i="28"/>
  <c r="B864" i="28"/>
  <c r="B865" i="28"/>
  <c r="B866" i="28"/>
  <c r="B867" i="28"/>
  <c r="B868" i="28"/>
  <c r="B869" i="28"/>
  <c r="B870" i="28"/>
  <c r="B871" i="28"/>
  <c r="B872" i="28"/>
  <c r="B873" i="28"/>
  <c r="B874" i="28"/>
  <c r="B875" i="28"/>
  <c r="B876" i="28"/>
  <c r="B877" i="28"/>
  <c r="B878" i="28"/>
  <c r="B879" i="28"/>
  <c r="B880" i="28"/>
  <c r="B881" i="28"/>
  <c r="B882" i="28"/>
  <c r="B883" i="28"/>
  <c r="B884" i="28"/>
  <c r="B885" i="28"/>
  <c r="B886" i="28"/>
  <c r="B887" i="28"/>
  <c r="B888" i="28"/>
  <c r="B889" i="28"/>
  <c r="B890" i="28"/>
  <c r="B891" i="28"/>
  <c r="B892" i="28"/>
  <c r="B893" i="28"/>
  <c r="B894" i="28"/>
  <c r="B895" i="28"/>
  <c r="B896" i="28"/>
  <c r="B897" i="28"/>
  <c r="B898" i="28"/>
  <c r="B899" i="28"/>
  <c r="B900" i="28"/>
  <c r="B901" i="28"/>
  <c r="B902" i="28"/>
  <c r="B903" i="28"/>
  <c r="B904" i="28"/>
  <c r="B905" i="28"/>
  <c r="B906" i="28"/>
  <c r="B907" i="28"/>
  <c r="B908" i="28"/>
  <c r="B909" i="28"/>
  <c r="B910" i="28"/>
  <c r="B911" i="28"/>
  <c r="B912" i="28"/>
  <c r="B913" i="28"/>
  <c r="B914" i="28"/>
  <c r="B915" i="28"/>
  <c r="B916" i="28"/>
  <c r="B917" i="28"/>
  <c r="B918" i="28"/>
  <c r="B919" i="28"/>
  <c r="B920" i="28"/>
  <c r="B921" i="28"/>
  <c r="B922" i="28"/>
  <c r="B923" i="28"/>
  <c r="B924" i="28"/>
  <c r="B925" i="28"/>
  <c r="B926" i="28"/>
  <c r="B927" i="28"/>
  <c r="B928" i="28"/>
  <c r="B929" i="28"/>
  <c r="B930" i="28"/>
  <c r="B931" i="28"/>
  <c r="B932" i="28"/>
  <c r="B933" i="28"/>
  <c r="B934" i="28"/>
  <c r="B935" i="28"/>
  <c r="B936" i="28"/>
  <c r="B937" i="28"/>
  <c r="B938" i="28"/>
  <c r="B939" i="28"/>
  <c r="B940" i="28"/>
  <c r="B941" i="28"/>
  <c r="B942" i="28"/>
  <c r="B943" i="28"/>
  <c r="B944" i="28"/>
  <c r="B945" i="28"/>
  <c r="B946" i="28"/>
  <c r="B947" i="28"/>
  <c r="B948" i="28"/>
  <c r="B949" i="28"/>
  <c r="B950" i="28"/>
  <c r="B951" i="28"/>
  <c r="B952" i="28"/>
  <c r="B953" i="28"/>
  <c r="B954" i="28"/>
  <c r="B955" i="28"/>
  <c r="B956" i="28"/>
  <c r="B957" i="28"/>
  <c r="B958" i="28"/>
  <c r="B959" i="28"/>
  <c r="B960" i="28"/>
  <c r="B961" i="28"/>
  <c r="B962" i="28"/>
  <c r="B963" i="28"/>
  <c r="B964" i="28"/>
  <c r="B965" i="28"/>
  <c r="B966" i="28"/>
  <c r="B967" i="28"/>
  <c r="B968" i="28"/>
  <c r="B969" i="28"/>
  <c r="B970" i="28"/>
  <c r="B971" i="28"/>
  <c r="B972" i="28"/>
  <c r="B973" i="28"/>
  <c r="B974" i="28"/>
  <c r="B975" i="28"/>
  <c r="B976" i="28"/>
  <c r="B977" i="28"/>
  <c r="B978" i="28"/>
  <c r="B979" i="28"/>
  <c r="B980" i="28"/>
  <c r="B981" i="28"/>
  <c r="B982" i="28"/>
  <c r="B983" i="28"/>
  <c r="B984" i="28"/>
  <c r="B985" i="28"/>
  <c r="B986" i="28"/>
  <c r="B987" i="28"/>
  <c r="B988" i="28"/>
  <c r="B989" i="28"/>
  <c r="B990" i="28"/>
  <c r="B991" i="28"/>
  <c r="B992" i="28"/>
  <c r="B993" i="28"/>
  <c r="B994" i="28"/>
  <c r="B995" i="28"/>
  <c r="B996" i="28"/>
  <c r="B997" i="28"/>
  <c r="B998" i="28"/>
  <c r="B999" i="28"/>
  <c r="B1000" i="28"/>
  <c r="B1001" i="28"/>
  <c r="B1002" i="28"/>
  <c r="B1003" i="28"/>
  <c r="H10" i="28"/>
  <c r="H11" i="28"/>
  <c r="H12" i="28"/>
  <c r="H13" i="28"/>
  <c r="H14" i="28"/>
  <c r="H15" i="28"/>
  <c r="H16" i="28"/>
  <c r="H17" i="28"/>
  <c r="H18" i="28"/>
  <c r="H19" i="28"/>
  <c r="H20" i="28"/>
  <c r="H21" i="28"/>
  <c r="H22" i="28"/>
  <c r="H23" i="28"/>
  <c r="H24" i="28"/>
  <c r="H25" i="28"/>
  <c r="H26" i="28"/>
  <c r="H27" i="28"/>
  <c r="H28" i="28"/>
  <c r="H29" i="28"/>
  <c r="H30" i="28"/>
  <c r="H31" i="28"/>
  <c r="H32" i="28"/>
  <c r="H33" i="28"/>
  <c r="H34" i="28"/>
  <c r="H35" i="28"/>
  <c r="H36" i="28"/>
  <c r="H37" i="28"/>
  <c r="H38" i="28"/>
  <c r="H39" i="28"/>
  <c r="H40" i="28"/>
  <c r="H41" i="28"/>
  <c r="H42" i="28"/>
  <c r="H43" i="28"/>
  <c r="H44" i="28"/>
  <c r="H45" i="28"/>
  <c r="H46" i="28"/>
  <c r="H47" i="28"/>
  <c r="H48" i="28"/>
  <c r="H49" i="28"/>
  <c r="H50" i="28"/>
  <c r="H51" i="28"/>
  <c r="H52" i="28"/>
  <c r="H53" i="28"/>
  <c r="H54" i="28"/>
  <c r="H55" i="28"/>
  <c r="H56" i="28"/>
  <c r="H57" i="28"/>
  <c r="H58" i="28"/>
  <c r="H59" i="28"/>
  <c r="H60" i="28"/>
  <c r="H61" i="28"/>
  <c r="H62" i="28"/>
  <c r="H63" i="28"/>
  <c r="H64" i="28"/>
  <c r="H65" i="28"/>
  <c r="H66" i="28"/>
  <c r="H67" i="28"/>
  <c r="H68" i="28"/>
  <c r="H69" i="28"/>
  <c r="H70" i="28"/>
  <c r="H71" i="28"/>
  <c r="H72" i="28"/>
  <c r="H73" i="28"/>
  <c r="H74" i="28"/>
  <c r="H75" i="28"/>
  <c r="H76" i="28"/>
  <c r="H77" i="28"/>
  <c r="H78" i="28"/>
  <c r="H79" i="28"/>
  <c r="H80" i="28"/>
  <c r="H81" i="28"/>
  <c r="H82" i="28"/>
  <c r="H83" i="28"/>
  <c r="H84" i="28"/>
  <c r="H85" i="28"/>
  <c r="H86" i="28"/>
  <c r="H87" i="28"/>
  <c r="H88" i="28"/>
  <c r="H89" i="28"/>
  <c r="H90" i="28"/>
  <c r="H91" i="28"/>
  <c r="H92" i="28"/>
  <c r="H93" i="28"/>
  <c r="H94" i="28"/>
  <c r="H95" i="28"/>
  <c r="H96" i="28"/>
  <c r="H97" i="28"/>
  <c r="H98" i="28"/>
  <c r="H99" i="28"/>
  <c r="H100" i="28"/>
  <c r="H101" i="28"/>
  <c r="H102" i="28"/>
  <c r="H103" i="28"/>
  <c r="H104" i="28"/>
  <c r="H105" i="28"/>
  <c r="H106" i="28"/>
  <c r="H107" i="28"/>
  <c r="H108" i="28"/>
  <c r="H109" i="28"/>
  <c r="H110" i="28"/>
  <c r="H111" i="28"/>
  <c r="H112" i="28"/>
  <c r="H113" i="28"/>
  <c r="H114" i="28"/>
  <c r="H115" i="28"/>
  <c r="H116" i="28"/>
  <c r="H117" i="28"/>
  <c r="H118" i="28"/>
  <c r="H119" i="28"/>
  <c r="H120" i="28"/>
  <c r="H121" i="28"/>
  <c r="H122" i="28"/>
  <c r="H123" i="28"/>
  <c r="H124" i="28"/>
  <c r="H125" i="28"/>
  <c r="H126" i="28"/>
  <c r="H127" i="28"/>
  <c r="H128" i="28"/>
  <c r="H129" i="28"/>
  <c r="H130" i="28"/>
  <c r="H131" i="28"/>
  <c r="H132" i="28"/>
  <c r="H133" i="28"/>
  <c r="H134" i="28"/>
  <c r="H135" i="28"/>
  <c r="H136" i="28"/>
  <c r="H137" i="28"/>
  <c r="H138" i="28"/>
  <c r="H139" i="28"/>
  <c r="H140" i="28"/>
  <c r="H141" i="28"/>
  <c r="H142" i="28"/>
  <c r="H143" i="28"/>
  <c r="H144" i="28"/>
  <c r="H145" i="28"/>
  <c r="H146" i="28"/>
  <c r="H147" i="28"/>
  <c r="H148" i="28"/>
  <c r="H149" i="28"/>
  <c r="H150" i="28"/>
  <c r="H151" i="28"/>
  <c r="H152" i="28"/>
  <c r="H153" i="28"/>
  <c r="H154" i="28"/>
  <c r="H155" i="28"/>
  <c r="H156" i="28"/>
  <c r="H157" i="28"/>
  <c r="H158" i="28"/>
  <c r="H159" i="28"/>
  <c r="H160" i="28"/>
  <c r="H161" i="28"/>
  <c r="H162" i="28"/>
  <c r="H163" i="28"/>
  <c r="H164" i="28"/>
  <c r="H165" i="28"/>
  <c r="H166" i="28"/>
  <c r="H167" i="28"/>
  <c r="H168" i="28"/>
  <c r="H169" i="28"/>
  <c r="H170" i="28"/>
  <c r="H171" i="28"/>
  <c r="H172" i="28"/>
  <c r="H173" i="28"/>
  <c r="H174" i="28"/>
  <c r="H175" i="28"/>
  <c r="H176" i="28"/>
  <c r="H177" i="28"/>
  <c r="H178" i="28"/>
  <c r="H179" i="28"/>
  <c r="H180" i="28"/>
  <c r="H181" i="28"/>
  <c r="H182" i="28"/>
  <c r="H183" i="28"/>
  <c r="H184" i="28"/>
  <c r="H185" i="28"/>
  <c r="H186" i="28"/>
  <c r="H187" i="28"/>
  <c r="H188" i="28"/>
  <c r="H189" i="28"/>
  <c r="H190" i="28"/>
  <c r="H191" i="28"/>
  <c r="H192" i="28"/>
  <c r="H193" i="28"/>
  <c r="H194" i="28"/>
  <c r="H195" i="28"/>
  <c r="H196" i="28"/>
  <c r="H197" i="28"/>
  <c r="H198" i="28"/>
  <c r="H199" i="28"/>
  <c r="H200" i="28"/>
  <c r="H201" i="28"/>
  <c r="H202" i="28"/>
  <c r="H203" i="28"/>
  <c r="H204" i="28"/>
  <c r="H205" i="28"/>
  <c r="H206" i="28"/>
  <c r="H207" i="28"/>
  <c r="H208" i="28"/>
  <c r="H209" i="28"/>
  <c r="H210" i="28"/>
  <c r="H211" i="28"/>
  <c r="H212" i="28"/>
  <c r="H213" i="28"/>
  <c r="H214" i="28"/>
  <c r="H215" i="28"/>
  <c r="H216" i="28"/>
  <c r="H217" i="28"/>
  <c r="H218" i="28"/>
  <c r="H219" i="28"/>
  <c r="H220" i="28"/>
  <c r="H221" i="28"/>
  <c r="H222" i="28"/>
  <c r="H223" i="28"/>
  <c r="H224" i="28"/>
  <c r="H225" i="28"/>
  <c r="H226" i="28"/>
  <c r="H227" i="28"/>
  <c r="H228" i="28"/>
  <c r="H229" i="28"/>
  <c r="H230" i="28"/>
  <c r="H231" i="28"/>
  <c r="H232" i="28"/>
  <c r="H233" i="28"/>
  <c r="H234" i="28"/>
  <c r="H235" i="28"/>
  <c r="H236" i="28"/>
  <c r="H237" i="28"/>
  <c r="H238" i="28"/>
  <c r="H239" i="28"/>
  <c r="H240" i="28"/>
  <c r="H241" i="28"/>
  <c r="H242" i="28"/>
  <c r="H243" i="28"/>
  <c r="H244" i="28"/>
  <c r="H245" i="28"/>
  <c r="H246" i="28"/>
  <c r="H247" i="28"/>
  <c r="H248" i="28"/>
  <c r="H249" i="28"/>
  <c r="H250" i="28"/>
  <c r="H251" i="28"/>
  <c r="H252" i="28"/>
  <c r="H253" i="28"/>
  <c r="H254" i="28"/>
  <c r="H255" i="28"/>
  <c r="H256" i="28"/>
  <c r="H257" i="28"/>
  <c r="H258" i="28"/>
  <c r="H259" i="28"/>
  <c r="H260" i="28"/>
  <c r="H261" i="28"/>
  <c r="H262" i="28"/>
  <c r="H263" i="28"/>
  <c r="H264" i="28"/>
  <c r="H265" i="28"/>
  <c r="H266" i="28"/>
  <c r="H267" i="28"/>
  <c r="H268" i="28"/>
  <c r="H269" i="28"/>
  <c r="H270" i="28"/>
  <c r="H271" i="28"/>
  <c r="H272" i="28"/>
  <c r="H273" i="28"/>
  <c r="H274" i="28"/>
  <c r="H275" i="28"/>
  <c r="H276" i="28"/>
  <c r="H277" i="28"/>
  <c r="H278" i="28"/>
  <c r="H279" i="28"/>
  <c r="H280" i="28"/>
  <c r="H281" i="28"/>
  <c r="H282" i="28"/>
  <c r="H283" i="28"/>
  <c r="H284" i="28"/>
  <c r="H285" i="28"/>
  <c r="H286" i="28"/>
  <c r="H287" i="28"/>
  <c r="H288" i="28"/>
  <c r="H289" i="28"/>
  <c r="H290" i="28"/>
  <c r="H291" i="28"/>
  <c r="H292" i="28"/>
  <c r="H293" i="28"/>
  <c r="H294" i="28"/>
  <c r="H295" i="28"/>
  <c r="H296" i="28"/>
  <c r="H297" i="28"/>
  <c r="H298" i="28"/>
  <c r="H299" i="28"/>
  <c r="H300" i="28"/>
  <c r="H301" i="28"/>
  <c r="H302" i="28"/>
  <c r="H303" i="28"/>
  <c r="H304" i="28"/>
  <c r="H305" i="28"/>
  <c r="H306" i="28"/>
  <c r="H307" i="28"/>
  <c r="H308" i="28"/>
  <c r="H309" i="28"/>
  <c r="H310" i="28"/>
  <c r="H311" i="28"/>
  <c r="H312" i="28"/>
  <c r="H313" i="28"/>
  <c r="H314" i="28"/>
  <c r="H315" i="28"/>
  <c r="H316" i="28"/>
  <c r="H317" i="28"/>
  <c r="H318" i="28"/>
  <c r="H319" i="28"/>
  <c r="H320" i="28"/>
  <c r="H321" i="28"/>
  <c r="H322" i="28"/>
  <c r="H323" i="28"/>
  <c r="H324" i="28"/>
  <c r="H325" i="28"/>
  <c r="H326" i="28"/>
  <c r="H327" i="28"/>
  <c r="H328" i="28"/>
  <c r="H329" i="28"/>
  <c r="H330" i="28"/>
  <c r="H331" i="28"/>
  <c r="H332" i="28"/>
  <c r="H333" i="28"/>
  <c r="H334" i="28"/>
  <c r="H335" i="28"/>
  <c r="H336" i="28"/>
  <c r="H337" i="28"/>
  <c r="H338" i="28"/>
  <c r="H339" i="28"/>
  <c r="H340" i="28"/>
  <c r="H341" i="28"/>
  <c r="H342" i="28"/>
  <c r="H343" i="28"/>
  <c r="H344" i="28"/>
  <c r="H345" i="28"/>
  <c r="H346" i="28"/>
  <c r="H347" i="28"/>
  <c r="H348" i="28"/>
  <c r="H349" i="28"/>
  <c r="H350" i="28"/>
  <c r="H351" i="28"/>
  <c r="H352" i="28"/>
  <c r="H353" i="28"/>
  <c r="H354" i="28"/>
  <c r="H355" i="28"/>
  <c r="H356" i="28"/>
  <c r="H357" i="28"/>
  <c r="H358" i="28"/>
  <c r="H359" i="28"/>
  <c r="H360" i="28"/>
  <c r="H361" i="28"/>
  <c r="H362" i="28"/>
  <c r="H363" i="28"/>
  <c r="H364" i="28"/>
  <c r="H365" i="28"/>
  <c r="H366" i="28"/>
  <c r="H367" i="28"/>
  <c r="H368" i="28"/>
  <c r="H369" i="28"/>
  <c r="H370" i="28"/>
  <c r="H371" i="28"/>
  <c r="H372" i="28"/>
  <c r="H373" i="28"/>
  <c r="H374" i="28"/>
  <c r="H375" i="28"/>
  <c r="H376" i="28"/>
  <c r="H377" i="28"/>
  <c r="H378" i="28"/>
  <c r="H379" i="28"/>
  <c r="H380" i="28"/>
  <c r="H381" i="28"/>
  <c r="H382" i="28"/>
  <c r="H383" i="28"/>
  <c r="H384" i="28"/>
  <c r="H385" i="28"/>
  <c r="H386" i="28"/>
  <c r="H387" i="28"/>
  <c r="H388" i="28"/>
  <c r="H389" i="28"/>
  <c r="H390" i="28"/>
  <c r="H391" i="28"/>
  <c r="H392" i="28"/>
  <c r="H393" i="28"/>
  <c r="H394" i="28"/>
  <c r="H395" i="28"/>
  <c r="H396" i="28"/>
  <c r="H397" i="28"/>
  <c r="H398" i="28"/>
  <c r="H399" i="28"/>
  <c r="H400" i="28"/>
  <c r="H401" i="28"/>
  <c r="H402" i="28"/>
  <c r="H403" i="28"/>
  <c r="H404" i="28"/>
  <c r="H405" i="28"/>
  <c r="H406" i="28"/>
  <c r="H407" i="28"/>
  <c r="H408" i="28"/>
  <c r="H409" i="28"/>
  <c r="H410" i="28"/>
  <c r="H411" i="28"/>
  <c r="H412" i="28"/>
  <c r="H413" i="28"/>
  <c r="H414" i="28"/>
  <c r="H415" i="28"/>
  <c r="H416" i="28"/>
  <c r="H417" i="28"/>
  <c r="H418" i="28"/>
  <c r="H419" i="28"/>
  <c r="H420" i="28"/>
  <c r="H421" i="28"/>
  <c r="H422" i="28"/>
  <c r="H423" i="28"/>
  <c r="H424" i="28"/>
  <c r="H425" i="28"/>
  <c r="H426" i="28"/>
  <c r="H427" i="28"/>
  <c r="H428" i="28"/>
  <c r="H429" i="28"/>
  <c r="H430" i="28"/>
  <c r="H431" i="28"/>
  <c r="H432" i="28"/>
  <c r="H433" i="28"/>
  <c r="H434" i="28"/>
  <c r="H435" i="28"/>
  <c r="H436" i="28"/>
  <c r="H437" i="28"/>
  <c r="H438" i="28"/>
  <c r="H439" i="28"/>
  <c r="H440" i="28"/>
  <c r="H441" i="28"/>
  <c r="H442" i="28"/>
  <c r="H443" i="28"/>
  <c r="H444" i="28"/>
  <c r="H445" i="28"/>
  <c r="H446" i="28"/>
  <c r="H447" i="28"/>
  <c r="H448" i="28"/>
  <c r="H449" i="28"/>
  <c r="H450" i="28"/>
  <c r="H451" i="28"/>
  <c r="H452" i="28"/>
  <c r="H453" i="28"/>
  <c r="H454" i="28"/>
  <c r="H455" i="28"/>
  <c r="H456" i="28"/>
  <c r="H457" i="28"/>
  <c r="H458" i="28"/>
  <c r="H459" i="28"/>
  <c r="H460" i="28"/>
  <c r="H461" i="28"/>
  <c r="H462" i="28"/>
  <c r="H463" i="28"/>
  <c r="H464" i="28"/>
  <c r="H465" i="28"/>
  <c r="H466" i="28"/>
  <c r="H467" i="28"/>
  <c r="H468" i="28"/>
  <c r="H469" i="28"/>
  <c r="H470" i="28"/>
  <c r="H471" i="28"/>
  <c r="H472" i="28"/>
  <c r="H473" i="28"/>
  <c r="H474" i="28"/>
  <c r="H475" i="28"/>
  <c r="H476" i="28"/>
  <c r="H477" i="28"/>
  <c r="H478" i="28"/>
  <c r="H479" i="28"/>
  <c r="H480" i="28"/>
  <c r="H481" i="28"/>
  <c r="H482" i="28"/>
  <c r="H483" i="28"/>
  <c r="H484" i="28"/>
  <c r="H485" i="28"/>
  <c r="H486" i="28"/>
  <c r="H487" i="28"/>
  <c r="H488" i="28"/>
  <c r="H489" i="28"/>
  <c r="H490" i="28"/>
  <c r="H491" i="28"/>
  <c r="H492" i="28"/>
  <c r="H493" i="28"/>
  <c r="H494" i="28"/>
  <c r="H495" i="28"/>
  <c r="H496" i="28"/>
  <c r="H497" i="28"/>
  <c r="H498" i="28"/>
  <c r="H499" i="28"/>
  <c r="H500" i="28"/>
  <c r="H501" i="28"/>
  <c r="H502" i="28"/>
  <c r="H503" i="28"/>
  <c r="H504" i="28"/>
  <c r="H505" i="28"/>
  <c r="H506" i="28"/>
  <c r="H507" i="28"/>
  <c r="H508" i="28"/>
  <c r="H509" i="28"/>
  <c r="H510" i="28"/>
  <c r="H511" i="28"/>
  <c r="H512" i="28"/>
  <c r="H513" i="28"/>
  <c r="H514" i="28"/>
  <c r="H515" i="28"/>
  <c r="H516" i="28"/>
  <c r="H517" i="28"/>
  <c r="H518" i="28"/>
  <c r="H519" i="28"/>
  <c r="H520" i="28"/>
  <c r="H521" i="28"/>
  <c r="H522" i="28"/>
  <c r="H523" i="28"/>
  <c r="H524" i="28"/>
  <c r="H525" i="28"/>
  <c r="H526" i="28"/>
  <c r="H527" i="28"/>
  <c r="H528" i="28"/>
  <c r="H529" i="28"/>
  <c r="H530" i="28"/>
  <c r="H531" i="28"/>
  <c r="H532" i="28"/>
  <c r="H533" i="28"/>
  <c r="H534" i="28"/>
  <c r="H535" i="28"/>
  <c r="H536" i="28"/>
  <c r="H537" i="28"/>
  <c r="H538" i="28"/>
  <c r="H539" i="28"/>
  <c r="H540" i="28"/>
  <c r="H541" i="28"/>
  <c r="H542" i="28"/>
  <c r="H543" i="28"/>
  <c r="H544" i="28"/>
  <c r="H545" i="28"/>
  <c r="H546" i="28"/>
  <c r="H547" i="28"/>
  <c r="H548" i="28"/>
  <c r="H549" i="28"/>
  <c r="H550" i="28"/>
  <c r="H551" i="28"/>
  <c r="H552" i="28"/>
  <c r="H553" i="28"/>
  <c r="H554" i="28"/>
  <c r="H555" i="28"/>
  <c r="H556" i="28"/>
  <c r="H557" i="28"/>
  <c r="H558" i="28"/>
  <c r="H559" i="28"/>
  <c r="H560" i="28"/>
  <c r="H561" i="28"/>
  <c r="H562" i="28"/>
  <c r="H563" i="28"/>
  <c r="H564" i="28"/>
  <c r="H565" i="28"/>
  <c r="H566" i="28"/>
  <c r="H567" i="28"/>
  <c r="H568" i="28"/>
  <c r="H569" i="28"/>
  <c r="H570" i="28"/>
  <c r="H571" i="28"/>
  <c r="H572" i="28"/>
  <c r="H573" i="28"/>
  <c r="H574" i="28"/>
  <c r="H575" i="28"/>
  <c r="H576" i="28"/>
  <c r="H577" i="28"/>
  <c r="H578" i="28"/>
  <c r="H579" i="28"/>
  <c r="H580" i="28"/>
  <c r="H581" i="28"/>
  <c r="H582" i="28"/>
  <c r="H583" i="28"/>
  <c r="H584" i="28"/>
  <c r="H585" i="28"/>
  <c r="H586" i="28"/>
  <c r="H587" i="28"/>
  <c r="H588" i="28"/>
  <c r="H589" i="28"/>
  <c r="H590" i="28"/>
  <c r="H591" i="28"/>
  <c r="H592" i="28"/>
  <c r="H593" i="28"/>
  <c r="H594" i="28"/>
  <c r="H595" i="28"/>
  <c r="H596" i="28"/>
  <c r="H597" i="28"/>
  <c r="H598" i="28"/>
  <c r="H599" i="28"/>
  <c r="H600" i="28"/>
  <c r="H601" i="28"/>
  <c r="H602" i="28"/>
  <c r="H603" i="28"/>
  <c r="H604" i="28"/>
  <c r="H605" i="28"/>
  <c r="H606" i="28"/>
  <c r="H607" i="28"/>
  <c r="H608" i="28"/>
  <c r="H609" i="28"/>
  <c r="H610" i="28"/>
  <c r="H611" i="28"/>
  <c r="H612" i="28"/>
  <c r="H613" i="28"/>
  <c r="H614" i="28"/>
  <c r="H615" i="28"/>
  <c r="H616" i="28"/>
  <c r="H617" i="28"/>
  <c r="H618" i="28"/>
  <c r="H619" i="28"/>
  <c r="H620" i="28"/>
  <c r="H621" i="28"/>
  <c r="H622" i="28"/>
  <c r="H623" i="28"/>
  <c r="H624" i="28"/>
  <c r="H625" i="28"/>
  <c r="H626" i="28"/>
  <c r="H627" i="28"/>
  <c r="H628" i="28"/>
  <c r="H629" i="28"/>
  <c r="H630" i="28"/>
  <c r="H631" i="28"/>
  <c r="H632" i="28"/>
  <c r="H633" i="28"/>
  <c r="H634" i="28"/>
  <c r="H635" i="28"/>
  <c r="H636" i="28"/>
  <c r="H637" i="28"/>
  <c r="H638" i="28"/>
  <c r="H639" i="28"/>
  <c r="H640" i="28"/>
  <c r="H641" i="28"/>
  <c r="H642" i="28"/>
  <c r="H643" i="28"/>
  <c r="H644" i="28"/>
  <c r="H645" i="28"/>
  <c r="H646" i="28"/>
  <c r="H647" i="28"/>
  <c r="H648" i="28"/>
  <c r="H649" i="28"/>
  <c r="H650" i="28"/>
  <c r="H651" i="28"/>
  <c r="H652" i="28"/>
  <c r="H653" i="28"/>
  <c r="H654" i="28"/>
  <c r="H655" i="28"/>
  <c r="H656" i="28"/>
  <c r="H657" i="28"/>
  <c r="H658" i="28"/>
  <c r="H659" i="28"/>
  <c r="H660" i="28"/>
  <c r="H661" i="28"/>
  <c r="H662" i="28"/>
  <c r="H663" i="28"/>
  <c r="H664" i="28"/>
  <c r="H665" i="28"/>
  <c r="H666" i="28"/>
  <c r="H667" i="28"/>
  <c r="H668" i="28"/>
  <c r="H669" i="28"/>
  <c r="H670" i="28"/>
  <c r="H671" i="28"/>
  <c r="H672" i="28"/>
  <c r="H673" i="28"/>
  <c r="H674" i="28"/>
  <c r="H675" i="28"/>
  <c r="H676" i="28"/>
  <c r="H677" i="28"/>
  <c r="H678" i="28"/>
  <c r="H679" i="28"/>
  <c r="H680" i="28"/>
  <c r="H681" i="28"/>
  <c r="H682" i="28"/>
  <c r="H683" i="28"/>
  <c r="H684" i="28"/>
  <c r="H685" i="28"/>
  <c r="H686" i="28"/>
  <c r="H687" i="28"/>
  <c r="H688" i="28"/>
  <c r="H689" i="28"/>
  <c r="H690" i="28"/>
  <c r="H691" i="28"/>
  <c r="H692" i="28"/>
  <c r="H693" i="28"/>
  <c r="H694" i="28"/>
  <c r="H695" i="28"/>
  <c r="H696" i="28"/>
  <c r="H697" i="28"/>
  <c r="H698" i="28"/>
  <c r="H699" i="28"/>
  <c r="H700" i="28"/>
  <c r="H701" i="28"/>
  <c r="H702" i="28"/>
  <c r="H703" i="28"/>
  <c r="H704" i="28"/>
  <c r="H705" i="28"/>
  <c r="H706" i="28"/>
  <c r="H707" i="28"/>
  <c r="H708" i="28"/>
  <c r="H709" i="28"/>
  <c r="H710" i="28"/>
  <c r="H711" i="28"/>
  <c r="H712" i="28"/>
  <c r="H713" i="28"/>
  <c r="H714" i="28"/>
  <c r="H715" i="28"/>
  <c r="H716" i="28"/>
  <c r="H717" i="28"/>
  <c r="H718" i="28"/>
  <c r="H719" i="28"/>
  <c r="H720" i="28"/>
  <c r="H721" i="28"/>
  <c r="H722" i="28"/>
  <c r="H723" i="28"/>
  <c r="H724" i="28"/>
  <c r="H725" i="28"/>
  <c r="H726" i="28"/>
  <c r="H727" i="28"/>
  <c r="H728" i="28"/>
  <c r="H729" i="28"/>
  <c r="H730" i="28"/>
  <c r="H731" i="28"/>
  <c r="H732" i="28"/>
  <c r="H733" i="28"/>
  <c r="H734" i="28"/>
  <c r="H735" i="28"/>
  <c r="H736" i="28"/>
  <c r="H737" i="28"/>
  <c r="H738" i="28"/>
  <c r="H739" i="28"/>
  <c r="H740" i="28"/>
  <c r="H741" i="28"/>
  <c r="H742" i="28"/>
  <c r="H743" i="28"/>
  <c r="H744" i="28"/>
  <c r="H745" i="28"/>
  <c r="H746" i="28"/>
  <c r="H747" i="28"/>
  <c r="H748" i="28"/>
  <c r="H749" i="28"/>
  <c r="H750" i="28"/>
  <c r="H751" i="28"/>
  <c r="H752" i="28"/>
  <c r="H753" i="28"/>
  <c r="H754" i="28"/>
  <c r="H755" i="28"/>
  <c r="H756" i="28"/>
  <c r="H757" i="28"/>
  <c r="H758" i="28"/>
  <c r="H759" i="28"/>
  <c r="H760" i="28"/>
  <c r="H761" i="28"/>
  <c r="H762" i="28"/>
  <c r="H763" i="28"/>
  <c r="H764" i="28"/>
  <c r="H765" i="28"/>
  <c r="H766" i="28"/>
  <c r="H767" i="28"/>
  <c r="H768" i="28"/>
  <c r="H769" i="28"/>
  <c r="H770" i="28"/>
  <c r="H771" i="28"/>
  <c r="H772" i="28"/>
  <c r="H773" i="28"/>
  <c r="H774" i="28"/>
  <c r="H775" i="28"/>
  <c r="H776" i="28"/>
  <c r="H777" i="28"/>
  <c r="H778" i="28"/>
  <c r="H779" i="28"/>
  <c r="H780" i="28"/>
  <c r="H781" i="28"/>
  <c r="H782" i="28"/>
  <c r="H783" i="28"/>
  <c r="H784" i="28"/>
  <c r="H785" i="28"/>
  <c r="H786" i="28"/>
  <c r="H787" i="28"/>
  <c r="H788" i="28"/>
  <c r="H789" i="28"/>
  <c r="H790" i="28"/>
  <c r="H791" i="28"/>
  <c r="H792" i="28"/>
  <c r="H793" i="28"/>
  <c r="H794" i="28"/>
  <c r="H795" i="28"/>
  <c r="H796" i="28"/>
  <c r="H797" i="28"/>
  <c r="H798" i="28"/>
  <c r="H799" i="28"/>
  <c r="H800" i="28"/>
  <c r="H801" i="28"/>
  <c r="H802" i="28"/>
  <c r="H803" i="28"/>
  <c r="H804" i="28"/>
  <c r="H805" i="28"/>
  <c r="H806" i="28"/>
  <c r="H807" i="28"/>
  <c r="H808" i="28"/>
  <c r="H809" i="28"/>
  <c r="H810" i="28"/>
  <c r="H811" i="28"/>
  <c r="H812" i="28"/>
  <c r="H813" i="28"/>
  <c r="H814" i="28"/>
  <c r="H815" i="28"/>
  <c r="H816" i="28"/>
  <c r="H817" i="28"/>
  <c r="H818" i="28"/>
  <c r="H819" i="28"/>
  <c r="H820" i="28"/>
  <c r="H821" i="28"/>
  <c r="H822" i="28"/>
  <c r="H823" i="28"/>
  <c r="H824" i="28"/>
  <c r="H825" i="28"/>
  <c r="H826" i="28"/>
  <c r="H827" i="28"/>
  <c r="H828" i="28"/>
  <c r="H829" i="28"/>
  <c r="H830" i="28"/>
  <c r="H831" i="28"/>
  <c r="H832" i="28"/>
  <c r="H833" i="28"/>
  <c r="H834" i="28"/>
  <c r="H835" i="28"/>
  <c r="H836" i="28"/>
  <c r="H837" i="28"/>
  <c r="H838" i="28"/>
  <c r="H839" i="28"/>
  <c r="H840" i="28"/>
  <c r="H841" i="28"/>
  <c r="H842" i="28"/>
  <c r="H843" i="28"/>
  <c r="H844" i="28"/>
  <c r="H845" i="28"/>
  <c r="H846" i="28"/>
  <c r="H847" i="28"/>
  <c r="H848" i="28"/>
  <c r="H849" i="28"/>
  <c r="H850" i="28"/>
  <c r="H851" i="28"/>
  <c r="H852" i="28"/>
  <c r="H853" i="28"/>
  <c r="H854" i="28"/>
  <c r="H855" i="28"/>
  <c r="H856" i="28"/>
  <c r="H857" i="28"/>
  <c r="H858" i="28"/>
  <c r="H859" i="28"/>
  <c r="H860" i="28"/>
  <c r="H861" i="28"/>
  <c r="H862" i="28"/>
  <c r="H863" i="28"/>
  <c r="H864" i="28"/>
  <c r="H865" i="28"/>
  <c r="H866" i="28"/>
  <c r="H867" i="28"/>
  <c r="H868" i="28"/>
  <c r="H869" i="28"/>
  <c r="H870" i="28"/>
  <c r="H871" i="28"/>
  <c r="H872" i="28"/>
  <c r="H873" i="28"/>
  <c r="H874" i="28"/>
  <c r="H875" i="28"/>
  <c r="H876" i="28"/>
  <c r="H877" i="28"/>
  <c r="H878" i="28"/>
  <c r="H879" i="28"/>
  <c r="H880" i="28"/>
  <c r="H881" i="28"/>
  <c r="H882" i="28"/>
  <c r="H883" i="28"/>
  <c r="H884" i="28"/>
  <c r="H885" i="28"/>
  <c r="H886" i="28"/>
  <c r="H887" i="28"/>
  <c r="H888" i="28"/>
  <c r="H889" i="28"/>
  <c r="H890" i="28"/>
  <c r="H891" i="28"/>
  <c r="H892" i="28"/>
  <c r="H893" i="28"/>
  <c r="H894" i="28"/>
  <c r="H895" i="28"/>
  <c r="H896" i="28"/>
  <c r="H897" i="28"/>
  <c r="H898" i="28"/>
  <c r="H899" i="28"/>
  <c r="H900" i="28"/>
  <c r="H901" i="28"/>
  <c r="H902" i="28"/>
  <c r="H903" i="28"/>
  <c r="H904" i="28"/>
  <c r="H905" i="28"/>
  <c r="H906" i="28"/>
  <c r="H907" i="28"/>
  <c r="H908" i="28"/>
  <c r="H909" i="28"/>
  <c r="H910" i="28"/>
  <c r="H911" i="28"/>
  <c r="H912" i="28"/>
  <c r="H913" i="28"/>
  <c r="H914" i="28"/>
  <c r="H915" i="28"/>
  <c r="H916" i="28"/>
  <c r="H917" i="28"/>
  <c r="H918" i="28"/>
  <c r="H919" i="28"/>
  <c r="H920" i="28"/>
  <c r="H921" i="28"/>
  <c r="H922" i="28"/>
  <c r="H923" i="28"/>
  <c r="H924" i="28"/>
  <c r="H925" i="28"/>
  <c r="H926" i="28"/>
  <c r="H927" i="28"/>
  <c r="H928" i="28"/>
  <c r="H929" i="28"/>
  <c r="H930" i="28"/>
  <c r="H931" i="28"/>
  <c r="H932" i="28"/>
  <c r="H933" i="28"/>
  <c r="H934" i="28"/>
  <c r="H935" i="28"/>
  <c r="H936" i="28"/>
  <c r="H937" i="28"/>
  <c r="H938" i="28"/>
  <c r="H939" i="28"/>
  <c r="H940" i="28"/>
  <c r="H941" i="28"/>
  <c r="H942" i="28"/>
  <c r="H943" i="28"/>
  <c r="H944" i="28"/>
  <c r="H945" i="28"/>
  <c r="H946" i="28"/>
  <c r="H947" i="28"/>
  <c r="H948" i="28"/>
  <c r="H949" i="28"/>
  <c r="H950" i="28"/>
  <c r="H951" i="28"/>
  <c r="H952" i="28"/>
  <c r="H953" i="28"/>
  <c r="H954" i="28"/>
  <c r="H955" i="28"/>
  <c r="H956" i="28"/>
  <c r="H957" i="28"/>
  <c r="H958" i="28"/>
  <c r="H959" i="28"/>
  <c r="H960" i="28"/>
  <c r="H961" i="28"/>
  <c r="H962" i="28"/>
  <c r="H963" i="28"/>
  <c r="H964" i="28"/>
  <c r="H965" i="28"/>
  <c r="H966" i="28"/>
  <c r="H967" i="28"/>
  <c r="H968" i="28"/>
  <c r="H969" i="28"/>
  <c r="H970" i="28"/>
  <c r="H971" i="28"/>
  <c r="H972" i="28"/>
  <c r="H973" i="28"/>
  <c r="H974" i="28"/>
  <c r="H975" i="28"/>
  <c r="H976" i="28"/>
  <c r="H977" i="28"/>
  <c r="H978" i="28"/>
  <c r="H979" i="28"/>
  <c r="H980" i="28"/>
  <c r="H981" i="28"/>
  <c r="H982" i="28"/>
  <c r="H983" i="28"/>
  <c r="H984" i="28"/>
  <c r="H985" i="28"/>
  <c r="H986" i="28"/>
  <c r="H987" i="28"/>
  <c r="H988" i="28"/>
  <c r="H989" i="28"/>
  <c r="H990" i="28"/>
  <c r="H991" i="28"/>
  <c r="H992" i="28"/>
  <c r="H993" i="28"/>
  <c r="H994" i="28"/>
  <c r="H995" i="28"/>
  <c r="H996" i="28"/>
  <c r="H997" i="28"/>
  <c r="H998" i="28"/>
  <c r="H999" i="28"/>
  <c r="H1000" i="28"/>
  <c r="H1001" i="28"/>
  <c r="H1002" i="28"/>
  <c r="H1003" i="28"/>
  <c r="G10" i="28"/>
  <c r="G11" i="28"/>
  <c r="G12" i="28"/>
  <c r="G13" i="28"/>
  <c r="G14" i="28"/>
  <c r="G15" i="28"/>
  <c r="G16" i="28"/>
  <c r="G17" i="28"/>
  <c r="G18" i="28"/>
  <c r="G19" i="28"/>
  <c r="G20" i="28"/>
  <c r="G21" i="28"/>
  <c r="G22" i="28"/>
  <c r="G23" i="28"/>
  <c r="G24" i="28"/>
  <c r="G25" i="28"/>
  <c r="G26" i="28"/>
  <c r="G27" i="28"/>
  <c r="G28" i="28"/>
  <c r="G29" i="28"/>
  <c r="G30" i="28"/>
  <c r="G31" i="28"/>
  <c r="G32" i="28"/>
  <c r="G33" i="28"/>
  <c r="G34" i="28"/>
  <c r="G35" i="28"/>
  <c r="G36" i="28"/>
  <c r="G37" i="28"/>
  <c r="G38" i="28"/>
  <c r="G39" i="28"/>
  <c r="G40" i="28"/>
  <c r="G41" i="28"/>
  <c r="G42" i="28"/>
  <c r="G43" i="28"/>
  <c r="G44" i="28"/>
  <c r="G45" i="28"/>
  <c r="G46" i="28"/>
  <c r="G47" i="28"/>
  <c r="G48" i="28"/>
  <c r="G49" i="28"/>
  <c r="G50" i="28"/>
  <c r="G51" i="28"/>
  <c r="G52" i="28"/>
  <c r="G53" i="28"/>
  <c r="G54" i="28"/>
  <c r="G55" i="28"/>
  <c r="G56" i="28"/>
  <c r="G57" i="28"/>
  <c r="G58" i="28"/>
  <c r="G59" i="28"/>
  <c r="G60" i="28"/>
  <c r="G61" i="28"/>
  <c r="G62" i="28"/>
  <c r="G63" i="28"/>
  <c r="G64" i="28"/>
  <c r="G65" i="28"/>
  <c r="G66" i="28"/>
  <c r="G67" i="28"/>
  <c r="G68" i="28"/>
  <c r="G69" i="28"/>
  <c r="G70" i="28"/>
  <c r="G71" i="28"/>
  <c r="G72" i="28"/>
  <c r="G73" i="28"/>
  <c r="G74" i="28"/>
  <c r="G75" i="28"/>
  <c r="G76" i="28"/>
  <c r="G77" i="28"/>
  <c r="G78" i="28"/>
  <c r="G79" i="28"/>
  <c r="G80" i="28"/>
  <c r="G81" i="28"/>
  <c r="G82" i="28"/>
  <c r="G83" i="28"/>
  <c r="G84" i="28"/>
  <c r="G85" i="28"/>
  <c r="G86" i="28"/>
  <c r="G87" i="28"/>
  <c r="G88" i="28"/>
  <c r="G89" i="28"/>
  <c r="G90" i="28"/>
  <c r="G91" i="28"/>
  <c r="G92" i="28"/>
  <c r="G93" i="28"/>
  <c r="G94" i="28"/>
  <c r="G95" i="28"/>
  <c r="G96" i="28"/>
  <c r="G97" i="28"/>
  <c r="G98" i="28"/>
  <c r="G99" i="28"/>
  <c r="G100" i="28"/>
  <c r="G101" i="28"/>
  <c r="G102" i="28"/>
  <c r="G103" i="28"/>
  <c r="G104" i="28"/>
  <c r="G105" i="28"/>
  <c r="G106" i="28"/>
  <c r="G107" i="28"/>
  <c r="G108" i="28"/>
  <c r="G109" i="28"/>
  <c r="G110" i="28"/>
  <c r="G111" i="28"/>
  <c r="G112" i="28"/>
  <c r="G113" i="28"/>
  <c r="G114" i="28"/>
  <c r="G115" i="28"/>
  <c r="G116" i="28"/>
  <c r="G117" i="28"/>
  <c r="G118" i="28"/>
  <c r="G119" i="28"/>
  <c r="G120" i="28"/>
  <c r="G121" i="28"/>
  <c r="G122" i="28"/>
  <c r="G123" i="28"/>
  <c r="G124" i="28"/>
  <c r="G125" i="28"/>
  <c r="G126" i="28"/>
  <c r="G127" i="28"/>
  <c r="G128" i="28"/>
  <c r="G129" i="28"/>
  <c r="G130" i="28"/>
  <c r="G131" i="28"/>
  <c r="G132" i="28"/>
  <c r="G133" i="28"/>
  <c r="G134" i="28"/>
  <c r="G135" i="28"/>
  <c r="G136" i="28"/>
  <c r="G137" i="28"/>
  <c r="G138" i="28"/>
  <c r="G139" i="28"/>
  <c r="G140" i="28"/>
  <c r="G141" i="28"/>
  <c r="G142" i="28"/>
  <c r="G143" i="28"/>
  <c r="G144" i="28"/>
  <c r="G145" i="28"/>
  <c r="G146" i="28"/>
  <c r="G147" i="28"/>
  <c r="G148" i="28"/>
  <c r="G149" i="28"/>
  <c r="G150" i="28"/>
  <c r="G151" i="28"/>
  <c r="G152" i="28"/>
  <c r="G153" i="28"/>
  <c r="G154" i="28"/>
  <c r="G155" i="28"/>
  <c r="G156" i="28"/>
  <c r="G157" i="28"/>
  <c r="G158" i="28"/>
  <c r="G159" i="28"/>
  <c r="G160" i="28"/>
  <c r="G161" i="28"/>
  <c r="G162" i="28"/>
  <c r="G163" i="28"/>
  <c r="G164" i="28"/>
  <c r="G165" i="28"/>
  <c r="G166" i="28"/>
  <c r="G167" i="28"/>
  <c r="G168" i="28"/>
  <c r="G169" i="28"/>
  <c r="G170" i="28"/>
  <c r="G171" i="28"/>
  <c r="G172" i="28"/>
  <c r="G173" i="28"/>
  <c r="G174" i="28"/>
  <c r="G175" i="28"/>
  <c r="G176" i="28"/>
  <c r="G177" i="28"/>
  <c r="G178" i="28"/>
  <c r="G179" i="28"/>
  <c r="G180" i="28"/>
  <c r="G181" i="28"/>
  <c r="G182" i="28"/>
  <c r="G183" i="28"/>
  <c r="G184" i="28"/>
  <c r="G185" i="28"/>
  <c r="G186" i="28"/>
  <c r="G187" i="28"/>
  <c r="G188" i="28"/>
  <c r="G189" i="28"/>
  <c r="G190" i="28"/>
  <c r="G191" i="28"/>
  <c r="G192" i="28"/>
  <c r="G193" i="28"/>
  <c r="G194" i="28"/>
  <c r="G195" i="28"/>
  <c r="G196" i="28"/>
  <c r="G197" i="28"/>
  <c r="G198" i="28"/>
  <c r="G199" i="28"/>
  <c r="G200" i="28"/>
  <c r="G201" i="28"/>
  <c r="G202" i="28"/>
  <c r="G203" i="28"/>
  <c r="G204" i="28"/>
  <c r="G205" i="28"/>
  <c r="G206" i="28"/>
  <c r="G207" i="28"/>
  <c r="G208" i="28"/>
  <c r="G209" i="28"/>
  <c r="G210" i="28"/>
  <c r="G211" i="28"/>
  <c r="G212" i="28"/>
  <c r="G213" i="28"/>
  <c r="G214" i="28"/>
  <c r="G215" i="28"/>
  <c r="G216" i="28"/>
  <c r="G217" i="28"/>
  <c r="G218" i="28"/>
  <c r="G219" i="28"/>
  <c r="G220" i="28"/>
  <c r="G221" i="28"/>
  <c r="G222" i="28"/>
  <c r="G223" i="28"/>
  <c r="G224" i="28"/>
  <c r="G225" i="28"/>
  <c r="G226" i="28"/>
  <c r="G227" i="28"/>
  <c r="G228" i="28"/>
  <c r="G229" i="28"/>
  <c r="G230" i="28"/>
  <c r="G231" i="28"/>
  <c r="G232" i="28"/>
  <c r="G233" i="28"/>
  <c r="G234" i="28"/>
  <c r="G235" i="28"/>
  <c r="G236" i="28"/>
  <c r="G237" i="28"/>
  <c r="G238" i="28"/>
  <c r="G239" i="28"/>
  <c r="G240" i="28"/>
  <c r="G241" i="28"/>
  <c r="G242" i="28"/>
  <c r="G243" i="28"/>
  <c r="G244" i="28"/>
  <c r="G245" i="28"/>
  <c r="G246" i="28"/>
  <c r="G247" i="28"/>
  <c r="G248" i="28"/>
  <c r="G249" i="28"/>
  <c r="G250" i="28"/>
  <c r="G251" i="28"/>
  <c r="G252" i="28"/>
  <c r="G253" i="28"/>
  <c r="G254" i="28"/>
  <c r="G255" i="28"/>
  <c r="G256" i="28"/>
  <c r="G257" i="28"/>
  <c r="G258" i="28"/>
  <c r="G259" i="28"/>
  <c r="G260" i="28"/>
  <c r="G261" i="28"/>
  <c r="G262" i="28"/>
  <c r="G263" i="28"/>
  <c r="G264" i="28"/>
  <c r="G265" i="28"/>
  <c r="G266" i="28"/>
  <c r="G267" i="28"/>
  <c r="G268" i="28"/>
  <c r="G269" i="28"/>
  <c r="G270" i="28"/>
  <c r="G271" i="28"/>
  <c r="G272" i="28"/>
  <c r="G273" i="28"/>
  <c r="G274" i="28"/>
  <c r="G275" i="28"/>
  <c r="G276" i="28"/>
  <c r="G277" i="28"/>
  <c r="G278" i="28"/>
  <c r="G279" i="28"/>
  <c r="G280" i="28"/>
  <c r="G281" i="28"/>
  <c r="G282" i="28"/>
  <c r="G283" i="28"/>
  <c r="G284" i="28"/>
  <c r="G285" i="28"/>
  <c r="G286" i="28"/>
  <c r="G287" i="28"/>
  <c r="G288" i="28"/>
  <c r="G289" i="28"/>
  <c r="G290" i="28"/>
  <c r="G291" i="28"/>
  <c r="G292" i="28"/>
  <c r="G293" i="28"/>
  <c r="G294" i="28"/>
  <c r="G295" i="28"/>
  <c r="G296" i="28"/>
  <c r="G297" i="28"/>
  <c r="G298" i="28"/>
  <c r="G299" i="28"/>
  <c r="G300" i="28"/>
  <c r="G301" i="28"/>
  <c r="G302" i="28"/>
  <c r="G303" i="28"/>
  <c r="G304" i="28"/>
  <c r="G305" i="28"/>
  <c r="G306" i="28"/>
  <c r="G307" i="28"/>
  <c r="G308" i="28"/>
  <c r="G309" i="28"/>
  <c r="G310" i="28"/>
  <c r="G311" i="28"/>
  <c r="G312" i="28"/>
  <c r="G313" i="28"/>
  <c r="G314" i="28"/>
  <c r="G315" i="28"/>
  <c r="G316" i="28"/>
  <c r="G317" i="28"/>
  <c r="G318" i="28"/>
  <c r="G319" i="28"/>
  <c r="G320" i="28"/>
  <c r="G321" i="28"/>
  <c r="G322" i="28"/>
  <c r="G323" i="28"/>
  <c r="G324" i="28"/>
  <c r="G325" i="28"/>
  <c r="G326" i="28"/>
  <c r="G327" i="28"/>
  <c r="G328" i="28"/>
  <c r="G329" i="28"/>
  <c r="G330" i="28"/>
  <c r="G331" i="28"/>
  <c r="G332" i="28"/>
  <c r="G333" i="28"/>
  <c r="G334" i="28"/>
  <c r="G335" i="28"/>
  <c r="G336" i="28"/>
  <c r="G337" i="28"/>
  <c r="G338" i="28"/>
  <c r="G339" i="28"/>
  <c r="G340" i="28"/>
  <c r="G341" i="28"/>
  <c r="G342" i="28"/>
  <c r="G343" i="28"/>
  <c r="G344" i="28"/>
  <c r="G345" i="28"/>
  <c r="G346" i="28"/>
  <c r="G347" i="28"/>
  <c r="G348" i="28"/>
  <c r="G349" i="28"/>
  <c r="G350" i="28"/>
  <c r="G351" i="28"/>
  <c r="G352" i="28"/>
  <c r="G353" i="28"/>
  <c r="G354" i="28"/>
  <c r="G355" i="28"/>
  <c r="G356" i="28"/>
  <c r="G357" i="28"/>
  <c r="G358" i="28"/>
  <c r="G359" i="28"/>
  <c r="G360" i="28"/>
  <c r="G361" i="28"/>
  <c r="G362" i="28"/>
  <c r="G363" i="28"/>
  <c r="G364" i="28"/>
  <c r="G365" i="28"/>
  <c r="G366" i="28"/>
  <c r="G367" i="28"/>
  <c r="G368" i="28"/>
  <c r="G369" i="28"/>
  <c r="G370" i="28"/>
  <c r="G371" i="28"/>
  <c r="G372" i="28"/>
  <c r="G373" i="28"/>
  <c r="G374" i="28"/>
  <c r="G375" i="28"/>
  <c r="G376" i="28"/>
  <c r="G377" i="28"/>
  <c r="G378" i="28"/>
  <c r="G379" i="28"/>
  <c r="G380" i="28"/>
  <c r="G381" i="28"/>
  <c r="G382" i="28"/>
  <c r="G383" i="28"/>
  <c r="G384" i="28"/>
  <c r="G385" i="28"/>
  <c r="G386" i="28"/>
  <c r="G387" i="28"/>
  <c r="G388" i="28"/>
  <c r="G389" i="28"/>
  <c r="G390" i="28"/>
  <c r="G391" i="28"/>
  <c r="G392" i="28"/>
  <c r="G393" i="28"/>
  <c r="G394" i="28"/>
  <c r="G395" i="28"/>
  <c r="G396" i="28"/>
  <c r="G397" i="28"/>
  <c r="G398" i="28"/>
  <c r="G399" i="28"/>
  <c r="G400" i="28"/>
  <c r="G401" i="28"/>
  <c r="G402" i="28"/>
  <c r="G403" i="28"/>
  <c r="G404" i="28"/>
  <c r="G405" i="28"/>
  <c r="G406" i="28"/>
  <c r="G407" i="28"/>
  <c r="G408" i="28"/>
  <c r="G409" i="28"/>
  <c r="G410" i="28"/>
  <c r="G411" i="28"/>
  <c r="G412" i="28"/>
  <c r="G413" i="28"/>
  <c r="G414" i="28"/>
  <c r="G415" i="28"/>
  <c r="G416" i="28"/>
  <c r="G417" i="28"/>
  <c r="G418" i="28"/>
  <c r="G419" i="28"/>
  <c r="G420" i="28"/>
  <c r="G421" i="28"/>
  <c r="G422" i="28"/>
  <c r="G423" i="28"/>
  <c r="G424" i="28"/>
  <c r="G425" i="28"/>
  <c r="G426" i="28"/>
  <c r="G427" i="28"/>
  <c r="G428" i="28"/>
  <c r="G429" i="28"/>
  <c r="G430" i="28"/>
  <c r="G431" i="28"/>
  <c r="G432" i="28"/>
  <c r="G433" i="28"/>
  <c r="G434" i="28"/>
  <c r="G435" i="28"/>
  <c r="G436" i="28"/>
  <c r="G437" i="28"/>
  <c r="G438" i="28"/>
  <c r="G439" i="28"/>
  <c r="G440" i="28"/>
  <c r="G441" i="28"/>
  <c r="G442" i="28"/>
  <c r="G443" i="28"/>
  <c r="G444" i="28"/>
  <c r="G445" i="28"/>
  <c r="G446" i="28"/>
  <c r="G447" i="28"/>
  <c r="G448" i="28"/>
  <c r="G449" i="28"/>
  <c r="G450" i="28"/>
  <c r="G451" i="28"/>
  <c r="G452" i="28"/>
  <c r="G453" i="28"/>
  <c r="G454" i="28"/>
  <c r="G455" i="28"/>
  <c r="G456" i="28"/>
  <c r="G457" i="28"/>
  <c r="G458" i="28"/>
  <c r="G459" i="28"/>
  <c r="G460" i="28"/>
  <c r="G461" i="28"/>
  <c r="G462" i="28"/>
  <c r="G463" i="28"/>
  <c r="G464" i="28"/>
  <c r="G465" i="28"/>
  <c r="G466" i="28"/>
  <c r="G467" i="28"/>
  <c r="G468" i="28"/>
  <c r="G469" i="28"/>
  <c r="G470" i="28"/>
  <c r="G471" i="28"/>
  <c r="G472" i="28"/>
  <c r="G473" i="28"/>
  <c r="G474" i="28"/>
  <c r="G475" i="28"/>
  <c r="G476" i="28"/>
  <c r="G477" i="28"/>
  <c r="G478" i="28"/>
  <c r="G479" i="28"/>
  <c r="G480" i="28"/>
  <c r="G481" i="28"/>
  <c r="G482" i="28"/>
  <c r="G483" i="28"/>
  <c r="G484" i="28"/>
  <c r="G485" i="28"/>
  <c r="G486" i="28"/>
  <c r="G487" i="28"/>
  <c r="G488" i="28"/>
  <c r="G489" i="28"/>
  <c r="G490" i="28"/>
  <c r="G491" i="28"/>
  <c r="G492" i="28"/>
  <c r="G493" i="28"/>
  <c r="G494" i="28"/>
  <c r="G495" i="28"/>
  <c r="G496" i="28"/>
  <c r="G497" i="28"/>
  <c r="G498" i="28"/>
  <c r="G499" i="28"/>
  <c r="G500" i="28"/>
  <c r="G501" i="28"/>
  <c r="G502" i="28"/>
  <c r="G503" i="28"/>
  <c r="G504" i="28"/>
  <c r="G505" i="28"/>
  <c r="G506" i="28"/>
  <c r="G507" i="28"/>
  <c r="G508" i="28"/>
  <c r="G509" i="28"/>
  <c r="G510" i="28"/>
  <c r="G511" i="28"/>
  <c r="G512" i="28"/>
  <c r="G513" i="28"/>
  <c r="G514" i="28"/>
  <c r="G515" i="28"/>
  <c r="G516" i="28"/>
  <c r="G517" i="28"/>
  <c r="G518" i="28"/>
  <c r="G519" i="28"/>
  <c r="G520" i="28"/>
  <c r="G521" i="28"/>
  <c r="G522" i="28"/>
  <c r="G523" i="28"/>
  <c r="G524" i="28"/>
  <c r="G525" i="28"/>
  <c r="G526" i="28"/>
  <c r="G527" i="28"/>
  <c r="G528" i="28"/>
  <c r="G529" i="28"/>
  <c r="G530" i="28"/>
  <c r="G531" i="28"/>
  <c r="G532" i="28"/>
  <c r="G533" i="28"/>
  <c r="G534" i="28"/>
  <c r="G535" i="28"/>
  <c r="G536" i="28"/>
  <c r="G537" i="28"/>
  <c r="G538" i="28"/>
  <c r="G539" i="28"/>
  <c r="G540" i="28"/>
  <c r="G541" i="28"/>
  <c r="G542" i="28"/>
  <c r="G543" i="28"/>
  <c r="G544" i="28"/>
  <c r="G545" i="28"/>
  <c r="G546" i="28"/>
  <c r="G547" i="28"/>
  <c r="G548" i="28"/>
  <c r="G549" i="28"/>
  <c r="G550" i="28"/>
  <c r="G551" i="28"/>
  <c r="G552" i="28"/>
  <c r="G553" i="28"/>
  <c r="G554" i="28"/>
  <c r="G555" i="28"/>
  <c r="G556" i="28"/>
  <c r="G557" i="28"/>
  <c r="G558" i="28"/>
  <c r="G559" i="28"/>
  <c r="G560" i="28"/>
  <c r="G561" i="28"/>
  <c r="G562" i="28"/>
  <c r="G563" i="28"/>
  <c r="G564" i="28"/>
  <c r="G565" i="28"/>
  <c r="G566" i="28"/>
  <c r="G567" i="28"/>
  <c r="G568" i="28"/>
  <c r="G569" i="28"/>
  <c r="G570" i="28"/>
  <c r="G571" i="28"/>
  <c r="G572" i="28"/>
  <c r="G573" i="28"/>
  <c r="G574" i="28"/>
  <c r="G575" i="28"/>
  <c r="G576" i="28"/>
  <c r="G577" i="28"/>
  <c r="G578" i="28"/>
  <c r="G579" i="28"/>
  <c r="G580" i="28"/>
  <c r="G581" i="28"/>
  <c r="G582" i="28"/>
  <c r="G583" i="28"/>
  <c r="G584" i="28"/>
  <c r="G585" i="28"/>
  <c r="G586" i="28"/>
  <c r="G587" i="28"/>
  <c r="G588" i="28"/>
  <c r="G589" i="28"/>
  <c r="G590" i="28"/>
  <c r="G591" i="28"/>
  <c r="G592" i="28"/>
  <c r="G593" i="28"/>
  <c r="G594" i="28"/>
  <c r="G595" i="28"/>
  <c r="G596" i="28"/>
  <c r="G597" i="28"/>
  <c r="G598" i="28"/>
  <c r="G599" i="28"/>
  <c r="G600" i="28"/>
  <c r="G601" i="28"/>
  <c r="G602" i="28"/>
  <c r="G603" i="28"/>
  <c r="G604" i="28"/>
  <c r="G605" i="28"/>
  <c r="G606" i="28"/>
  <c r="G607" i="28"/>
  <c r="G608" i="28"/>
  <c r="G609" i="28"/>
  <c r="G610" i="28"/>
  <c r="G611" i="28"/>
  <c r="G612" i="28"/>
  <c r="G613" i="28"/>
  <c r="G614" i="28"/>
  <c r="G615" i="28"/>
  <c r="G616" i="28"/>
  <c r="G617" i="28"/>
  <c r="G618" i="28"/>
  <c r="G619" i="28"/>
  <c r="G620" i="28"/>
  <c r="G621" i="28"/>
  <c r="G622" i="28"/>
  <c r="G623" i="28"/>
  <c r="G624" i="28"/>
  <c r="G625" i="28"/>
  <c r="G626" i="28"/>
  <c r="G627" i="28"/>
  <c r="G628" i="28"/>
  <c r="G629" i="28"/>
  <c r="G630" i="28"/>
  <c r="G631" i="28"/>
  <c r="G632" i="28"/>
  <c r="G633" i="28"/>
  <c r="G634" i="28"/>
  <c r="G635" i="28"/>
  <c r="G636" i="28"/>
  <c r="G637" i="28"/>
  <c r="G638" i="28"/>
  <c r="G639" i="28"/>
  <c r="G640" i="28"/>
  <c r="G641" i="28"/>
  <c r="G642" i="28"/>
  <c r="G643" i="28"/>
  <c r="G644" i="28"/>
  <c r="G645" i="28"/>
  <c r="G646" i="28"/>
  <c r="G647" i="28"/>
  <c r="G648" i="28"/>
  <c r="G649" i="28"/>
  <c r="G650" i="28"/>
  <c r="G651" i="28"/>
  <c r="G652" i="28"/>
  <c r="G653" i="28"/>
  <c r="G654" i="28"/>
  <c r="G655" i="28"/>
  <c r="G656" i="28"/>
  <c r="G657" i="28"/>
  <c r="G658" i="28"/>
  <c r="G659" i="28"/>
  <c r="G660" i="28"/>
  <c r="G661" i="28"/>
  <c r="G662" i="28"/>
  <c r="G663" i="28"/>
  <c r="G664" i="28"/>
  <c r="G665" i="28"/>
  <c r="G666" i="28"/>
  <c r="G667" i="28"/>
  <c r="G668" i="28"/>
  <c r="G669" i="28"/>
  <c r="G670" i="28"/>
  <c r="G671" i="28"/>
  <c r="G672" i="28"/>
  <c r="G673" i="28"/>
  <c r="G674" i="28"/>
  <c r="G675" i="28"/>
  <c r="G676" i="28"/>
  <c r="G677" i="28"/>
  <c r="G678" i="28"/>
  <c r="G679" i="28"/>
  <c r="G680" i="28"/>
  <c r="G681" i="28"/>
  <c r="G682" i="28"/>
  <c r="G683" i="28"/>
  <c r="G684" i="28"/>
  <c r="G685" i="28"/>
  <c r="G686" i="28"/>
  <c r="G687" i="28"/>
  <c r="G688" i="28"/>
  <c r="G689" i="28"/>
  <c r="G690" i="28"/>
  <c r="G691" i="28"/>
  <c r="G692" i="28"/>
  <c r="G693" i="28"/>
  <c r="G694" i="28"/>
  <c r="G695" i="28"/>
  <c r="G696" i="28"/>
  <c r="G697" i="28"/>
  <c r="G698" i="28"/>
  <c r="G699" i="28"/>
  <c r="G700" i="28"/>
  <c r="G701" i="28"/>
  <c r="G702" i="28"/>
  <c r="G703" i="28"/>
  <c r="G704" i="28"/>
  <c r="G705" i="28"/>
  <c r="G706" i="28"/>
  <c r="G707" i="28"/>
  <c r="G708" i="28"/>
  <c r="G709" i="28"/>
  <c r="G710" i="28"/>
  <c r="G711" i="28"/>
  <c r="G712" i="28"/>
  <c r="G713" i="28"/>
  <c r="G714" i="28"/>
  <c r="G715" i="28"/>
  <c r="G716" i="28"/>
  <c r="G717" i="28"/>
  <c r="G718" i="28"/>
  <c r="G719" i="28"/>
  <c r="G720" i="28"/>
  <c r="G721" i="28"/>
  <c r="G722" i="28"/>
  <c r="G723" i="28"/>
  <c r="G724" i="28"/>
  <c r="G725" i="28"/>
  <c r="G726" i="28"/>
  <c r="G727" i="28"/>
  <c r="G728" i="28"/>
  <c r="G729" i="28"/>
  <c r="G730" i="28"/>
  <c r="G731" i="28"/>
  <c r="G732" i="28"/>
  <c r="G733" i="28"/>
  <c r="G734" i="28"/>
  <c r="G735" i="28"/>
  <c r="G736" i="28"/>
  <c r="G737" i="28"/>
  <c r="G738" i="28"/>
  <c r="G739" i="28"/>
  <c r="G740" i="28"/>
  <c r="G741" i="28"/>
  <c r="G742" i="28"/>
  <c r="G743" i="28"/>
  <c r="G744" i="28"/>
  <c r="G745" i="28"/>
  <c r="G746" i="28"/>
  <c r="G747" i="28"/>
  <c r="G748" i="28"/>
  <c r="G749" i="28"/>
  <c r="G750" i="28"/>
  <c r="G751" i="28"/>
  <c r="G752" i="28"/>
  <c r="G753" i="28"/>
  <c r="G754" i="28"/>
  <c r="G755" i="28"/>
  <c r="G756" i="28"/>
  <c r="G757" i="28"/>
  <c r="G758" i="28"/>
  <c r="G759" i="28"/>
  <c r="G760" i="28"/>
  <c r="G761" i="28"/>
  <c r="G762" i="28"/>
  <c r="G763" i="28"/>
  <c r="G764" i="28"/>
  <c r="G765" i="28"/>
  <c r="G766" i="28"/>
  <c r="G767" i="28"/>
  <c r="G768" i="28"/>
  <c r="G769" i="28"/>
  <c r="G770" i="28"/>
  <c r="G771" i="28"/>
  <c r="G772" i="28"/>
  <c r="G773" i="28"/>
  <c r="G774" i="28"/>
  <c r="G775" i="28"/>
  <c r="G776" i="28"/>
  <c r="G777" i="28"/>
  <c r="G778" i="28"/>
  <c r="G779" i="28"/>
  <c r="G780" i="28"/>
  <c r="G781" i="28"/>
  <c r="G782" i="28"/>
  <c r="G783" i="28"/>
  <c r="G784" i="28"/>
  <c r="G785" i="28"/>
  <c r="G786" i="28"/>
  <c r="G787" i="28"/>
  <c r="G788" i="28"/>
  <c r="G789" i="28"/>
  <c r="G790" i="28"/>
  <c r="G791" i="28"/>
  <c r="G792" i="28"/>
  <c r="G793" i="28"/>
  <c r="G794" i="28"/>
  <c r="G795" i="28"/>
  <c r="G796" i="28"/>
  <c r="G797" i="28"/>
  <c r="G798" i="28"/>
  <c r="G799" i="28"/>
  <c r="G800" i="28"/>
  <c r="G801" i="28"/>
  <c r="G802" i="28"/>
  <c r="G803" i="28"/>
  <c r="G804" i="28"/>
  <c r="G805" i="28"/>
  <c r="G806" i="28"/>
  <c r="G807" i="28"/>
  <c r="G808" i="28"/>
  <c r="G809" i="28"/>
  <c r="G810" i="28"/>
  <c r="G811" i="28"/>
  <c r="G812" i="28"/>
  <c r="G813" i="28"/>
  <c r="G814" i="28"/>
  <c r="G815" i="28"/>
  <c r="G816" i="28"/>
  <c r="G817" i="28"/>
  <c r="G818" i="28"/>
  <c r="G819" i="28"/>
  <c r="G820" i="28"/>
  <c r="G821" i="28"/>
  <c r="G822" i="28"/>
  <c r="G823" i="28"/>
  <c r="G824" i="28"/>
  <c r="G825" i="28"/>
  <c r="G826" i="28"/>
  <c r="G827" i="28"/>
  <c r="G828" i="28"/>
  <c r="G829" i="28"/>
  <c r="G830" i="28"/>
  <c r="G831" i="28"/>
  <c r="G832" i="28"/>
  <c r="G833" i="28"/>
  <c r="G834" i="28"/>
  <c r="G835" i="28"/>
  <c r="G836" i="28"/>
  <c r="G837" i="28"/>
  <c r="G838" i="28"/>
  <c r="G839" i="28"/>
  <c r="G840" i="28"/>
  <c r="G841" i="28"/>
  <c r="G842" i="28"/>
  <c r="G843" i="28"/>
  <c r="G844" i="28"/>
  <c r="G845" i="28"/>
  <c r="G846" i="28"/>
  <c r="G847" i="28"/>
  <c r="G848" i="28"/>
  <c r="G849" i="28"/>
  <c r="G850" i="28"/>
  <c r="G851" i="28"/>
  <c r="G852" i="28"/>
  <c r="G853" i="28"/>
  <c r="G854" i="28"/>
  <c r="G855" i="28"/>
  <c r="G856" i="28"/>
  <c r="G857" i="28"/>
  <c r="G858" i="28"/>
  <c r="G859" i="28"/>
  <c r="G860" i="28"/>
  <c r="G861" i="28"/>
  <c r="G862" i="28"/>
  <c r="G863" i="28"/>
  <c r="G864" i="28"/>
  <c r="G865" i="28"/>
  <c r="G866" i="28"/>
  <c r="G867" i="28"/>
  <c r="G868" i="28"/>
  <c r="G869" i="28"/>
  <c r="G870" i="28"/>
  <c r="G871" i="28"/>
  <c r="G872" i="28"/>
  <c r="G873" i="28"/>
  <c r="G874" i="28"/>
  <c r="G875" i="28"/>
  <c r="G876" i="28"/>
  <c r="G877" i="28"/>
  <c r="G878" i="28"/>
  <c r="G879" i="28"/>
  <c r="G880" i="28"/>
  <c r="G881" i="28"/>
  <c r="G882" i="28"/>
  <c r="G883" i="28"/>
  <c r="G884" i="28"/>
  <c r="G885" i="28"/>
  <c r="G886" i="28"/>
  <c r="G887" i="28"/>
  <c r="G888" i="28"/>
  <c r="G889" i="28"/>
  <c r="G890" i="28"/>
  <c r="G891" i="28"/>
  <c r="G892" i="28"/>
  <c r="G893" i="28"/>
  <c r="G894" i="28"/>
  <c r="G895" i="28"/>
  <c r="G896" i="28"/>
  <c r="G897" i="28"/>
  <c r="G898" i="28"/>
  <c r="G899" i="28"/>
  <c r="G900" i="28"/>
  <c r="G901" i="28"/>
  <c r="G902" i="28"/>
  <c r="G903" i="28"/>
  <c r="G904" i="28"/>
  <c r="G905" i="28"/>
  <c r="G906" i="28"/>
  <c r="G907" i="28"/>
  <c r="G908" i="28"/>
  <c r="G909" i="28"/>
  <c r="G910" i="28"/>
  <c r="G911" i="28"/>
  <c r="G912" i="28"/>
  <c r="G913" i="28"/>
  <c r="G914" i="28"/>
  <c r="G915" i="28"/>
  <c r="G916" i="28"/>
  <c r="G917" i="28"/>
  <c r="G918" i="28"/>
  <c r="G919" i="28"/>
  <c r="G920" i="28"/>
  <c r="G921" i="28"/>
  <c r="G922" i="28"/>
  <c r="G923" i="28"/>
  <c r="G924" i="28"/>
  <c r="G925" i="28"/>
  <c r="G926" i="28"/>
  <c r="G927" i="28"/>
  <c r="G928" i="28"/>
  <c r="G929" i="28"/>
  <c r="G930" i="28"/>
  <c r="G931" i="28"/>
  <c r="G932" i="28"/>
  <c r="G933" i="28"/>
  <c r="G934" i="28"/>
  <c r="G935" i="28"/>
  <c r="G936" i="28"/>
  <c r="G937" i="28"/>
  <c r="G938" i="28"/>
  <c r="G939" i="28"/>
  <c r="G940" i="28"/>
  <c r="G941" i="28"/>
  <c r="G942" i="28"/>
  <c r="G943" i="28"/>
  <c r="G944" i="28"/>
  <c r="G945" i="28"/>
  <c r="G946" i="28"/>
  <c r="G947" i="28"/>
  <c r="G948" i="28"/>
  <c r="G949" i="28"/>
  <c r="G950" i="28"/>
  <c r="G951" i="28"/>
  <c r="G952" i="28"/>
  <c r="G953" i="28"/>
  <c r="G954" i="28"/>
  <c r="G955" i="28"/>
  <c r="G956" i="28"/>
  <c r="G957" i="28"/>
  <c r="G958" i="28"/>
  <c r="G959" i="28"/>
  <c r="G960" i="28"/>
  <c r="G961" i="28"/>
  <c r="G962" i="28"/>
  <c r="G963" i="28"/>
  <c r="G964" i="28"/>
  <c r="G965" i="28"/>
  <c r="G966" i="28"/>
  <c r="G967" i="28"/>
  <c r="G968" i="28"/>
  <c r="G969" i="28"/>
  <c r="G970" i="28"/>
  <c r="G971" i="28"/>
  <c r="G972" i="28"/>
  <c r="G973" i="28"/>
  <c r="G974" i="28"/>
  <c r="G975" i="28"/>
  <c r="G976" i="28"/>
  <c r="G977" i="28"/>
  <c r="G978" i="28"/>
  <c r="G979" i="28"/>
  <c r="G980" i="28"/>
  <c r="G981" i="28"/>
  <c r="G982" i="28"/>
  <c r="G983" i="28"/>
  <c r="G984" i="28"/>
  <c r="G985" i="28"/>
  <c r="G986" i="28"/>
  <c r="G987" i="28"/>
  <c r="G988" i="28"/>
  <c r="G989" i="28"/>
  <c r="G990" i="28"/>
  <c r="G991" i="28"/>
  <c r="G992" i="28"/>
  <c r="G993" i="28"/>
  <c r="G994" i="28"/>
  <c r="G995" i="28"/>
  <c r="G996" i="28"/>
  <c r="G997" i="28"/>
  <c r="G998" i="28"/>
  <c r="G999" i="28"/>
  <c r="G1000" i="28"/>
  <c r="G1001" i="28"/>
  <c r="G1002" i="28"/>
  <c r="G1003" i="28"/>
  <c r="F10" i="28"/>
  <c r="F11" i="28"/>
  <c r="F12" i="28"/>
  <c r="F13" i="28"/>
  <c r="F14" i="28"/>
  <c r="F15" i="28"/>
  <c r="F16" i="28"/>
  <c r="F17" i="28"/>
  <c r="F18" i="28"/>
  <c r="F19" i="28"/>
  <c r="F20" i="28"/>
  <c r="F21" i="28"/>
  <c r="F22" i="28"/>
  <c r="F23" i="28"/>
  <c r="F24" i="28"/>
  <c r="F25" i="28"/>
  <c r="F26" i="28"/>
  <c r="F27" i="28"/>
  <c r="F28" i="28"/>
  <c r="F29" i="28"/>
  <c r="F30" i="28"/>
  <c r="F31" i="28"/>
  <c r="F32" i="28"/>
  <c r="F33" i="28"/>
  <c r="F34" i="28"/>
  <c r="F35" i="28"/>
  <c r="F36" i="28"/>
  <c r="F37" i="28"/>
  <c r="F38" i="28"/>
  <c r="F39" i="28"/>
  <c r="F40" i="28"/>
  <c r="F41" i="28"/>
  <c r="F42" i="28"/>
  <c r="F43" i="28"/>
  <c r="F44" i="28"/>
  <c r="F45" i="28"/>
  <c r="F46" i="28"/>
  <c r="F47" i="28"/>
  <c r="F48" i="28"/>
  <c r="F49" i="28"/>
  <c r="F50" i="28"/>
  <c r="F51" i="28"/>
  <c r="F52" i="28"/>
  <c r="F53" i="28"/>
  <c r="F54" i="28"/>
  <c r="F55" i="28"/>
  <c r="F56" i="28"/>
  <c r="F57" i="28"/>
  <c r="F58" i="28"/>
  <c r="F59" i="28"/>
  <c r="F60" i="28"/>
  <c r="F61" i="28"/>
  <c r="F62" i="28"/>
  <c r="F63" i="28"/>
  <c r="F64" i="28"/>
  <c r="F65" i="28"/>
  <c r="F66" i="28"/>
  <c r="F67" i="28"/>
  <c r="F68" i="28"/>
  <c r="F69" i="28"/>
  <c r="F70" i="28"/>
  <c r="F71" i="28"/>
  <c r="F72" i="28"/>
  <c r="F73" i="28"/>
  <c r="F74" i="28"/>
  <c r="F75" i="28"/>
  <c r="F76" i="28"/>
  <c r="F77" i="28"/>
  <c r="F78" i="28"/>
  <c r="F79" i="28"/>
  <c r="F80" i="28"/>
  <c r="F81" i="28"/>
  <c r="F82" i="28"/>
  <c r="F83" i="28"/>
  <c r="F84" i="28"/>
  <c r="F85" i="28"/>
  <c r="F86" i="28"/>
  <c r="F87" i="28"/>
  <c r="F88" i="28"/>
  <c r="F89" i="28"/>
  <c r="F90" i="28"/>
  <c r="F91" i="28"/>
  <c r="F92" i="28"/>
  <c r="F93" i="28"/>
  <c r="F94" i="28"/>
  <c r="F95" i="28"/>
  <c r="F96" i="28"/>
  <c r="F97" i="28"/>
  <c r="F98" i="28"/>
  <c r="F99" i="28"/>
  <c r="F100" i="28"/>
  <c r="F101" i="28"/>
  <c r="F102" i="28"/>
  <c r="F103" i="28"/>
  <c r="F104" i="28"/>
  <c r="F105" i="28"/>
  <c r="F106" i="28"/>
  <c r="F107" i="28"/>
  <c r="F108" i="28"/>
  <c r="F109" i="28"/>
  <c r="F110" i="28"/>
  <c r="F111" i="28"/>
  <c r="F112" i="28"/>
  <c r="F113" i="28"/>
  <c r="F114" i="28"/>
  <c r="F115" i="28"/>
  <c r="F116" i="28"/>
  <c r="F117" i="28"/>
  <c r="F118" i="28"/>
  <c r="F119" i="28"/>
  <c r="F120" i="28"/>
  <c r="F121" i="28"/>
  <c r="F122" i="28"/>
  <c r="F123" i="28"/>
  <c r="F124" i="28"/>
  <c r="F125" i="28"/>
  <c r="F126" i="28"/>
  <c r="F127" i="28"/>
  <c r="F128" i="28"/>
  <c r="F129" i="28"/>
  <c r="F130" i="28"/>
  <c r="F131" i="28"/>
  <c r="F132" i="28"/>
  <c r="F133" i="28"/>
  <c r="F134" i="28"/>
  <c r="F135" i="28"/>
  <c r="F136" i="28"/>
  <c r="F137" i="28"/>
  <c r="F138" i="28"/>
  <c r="F139" i="28"/>
  <c r="F140" i="28"/>
  <c r="F141" i="28"/>
  <c r="F142" i="28"/>
  <c r="F143" i="28"/>
  <c r="F144" i="28"/>
  <c r="F145" i="28"/>
  <c r="F146" i="28"/>
  <c r="F147" i="28"/>
  <c r="F148" i="28"/>
  <c r="F149" i="28"/>
  <c r="F150" i="28"/>
  <c r="F151" i="28"/>
  <c r="F152" i="28"/>
  <c r="F153" i="28"/>
  <c r="F154" i="28"/>
  <c r="F155" i="28"/>
  <c r="F156" i="28"/>
  <c r="F157" i="28"/>
  <c r="F158" i="28"/>
  <c r="F159" i="28"/>
  <c r="F160" i="28"/>
  <c r="F161" i="28"/>
  <c r="F162" i="28"/>
  <c r="F163" i="28"/>
  <c r="F164" i="28"/>
  <c r="F165" i="28"/>
  <c r="F166" i="28"/>
  <c r="F167" i="28"/>
  <c r="F168" i="28"/>
  <c r="F169" i="28"/>
  <c r="F170" i="28"/>
  <c r="F171" i="28"/>
  <c r="F172" i="28"/>
  <c r="F173" i="28"/>
  <c r="F174" i="28"/>
  <c r="F175" i="28"/>
  <c r="F176" i="28"/>
  <c r="F177" i="28"/>
  <c r="F178" i="28"/>
  <c r="F179" i="28"/>
  <c r="F180" i="28"/>
  <c r="F181" i="28"/>
  <c r="F182" i="28"/>
  <c r="F183" i="28"/>
  <c r="F184" i="28"/>
  <c r="F185" i="28"/>
  <c r="F186" i="28"/>
  <c r="F187" i="28"/>
  <c r="F188" i="28"/>
  <c r="F189" i="28"/>
  <c r="F190" i="28"/>
  <c r="F191" i="28"/>
  <c r="F192" i="28"/>
  <c r="F193" i="28"/>
  <c r="F194" i="28"/>
  <c r="F195" i="28"/>
  <c r="F196" i="28"/>
  <c r="F197" i="28"/>
  <c r="F198" i="28"/>
  <c r="F199" i="28"/>
  <c r="F200" i="28"/>
  <c r="F201" i="28"/>
  <c r="F202" i="28"/>
  <c r="F203" i="28"/>
  <c r="F204" i="28"/>
  <c r="F205" i="28"/>
  <c r="F206" i="28"/>
  <c r="F207" i="28"/>
  <c r="F208" i="28"/>
  <c r="F209" i="28"/>
  <c r="F210" i="28"/>
  <c r="F211" i="28"/>
  <c r="F212" i="28"/>
  <c r="F213" i="28"/>
  <c r="F214" i="28"/>
  <c r="F215" i="28"/>
  <c r="F216" i="28"/>
  <c r="F217" i="28"/>
  <c r="F218" i="28"/>
  <c r="F219" i="28"/>
  <c r="F220" i="28"/>
  <c r="F221" i="28"/>
  <c r="F222" i="28"/>
  <c r="F223" i="28"/>
  <c r="F224" i="28"/>
  <c r="F225" i="28"/>
  <c r="F226" i="28"/>
  <c r="F227" i="28"/>
  <c r="F228" i="28"/>
  <c r="F229" i="28"/>
  <c r="F230" i="28"/>
  <c r="F231" i="28"/>
  <c r="F232" i="28"/>
  <c r="F233" i="28"/>
  <c r="F234" i="28"/>
  <c r="F235" i="28"/>
  <c r="F236" i="28"/>
  <c r="F237" i="28"/>
  <c r="F238" i="28"/>
  <c r="F239" i="28"/>
  <c r="F240" i="28"/>
  <c r="F241" i="28"/>
  <c r="F242" i="28"/>
  <c r="F243" i="28"/>
  <c r="F244" i="28"/>
  <c r="F245" i="28"/>
  <c r="F246" i="28"/>
  <c r="F247" i="28"/>
  <c r="F248" i="28"/>
  <c r="F249" i="28"/>
  <c r="F250" i="28"/>
  <c r="F251" i="28"/>
  <c r="F252" i="28"/>
  <c r="F253" i="28"/>
  <c r="F254" i="28"/>
  <c r="F255" i="28"/>
  <c r="F256" i="28"/>
  <c r="F257" i="28"/>
  <c r="F258" i="28"/>
  <c r="F259" i="28"/>
  <c r="F260" i="28"/>
  <c r="F261" i="28"/>
  <c r="F262" i="28"/>
  <c r="F263" i="28"/>
  <c r="F264" i="28"/>
  <c r="F265" i="28"/>
  <c r="F266" i="28"/>
  <c r="F267" i="28"/>
  <c r="F268" i="28"/>
  <c r="F269" i="28"/>
  <c r="F270" i="28"/>
  <c r="F271" i="28"/>
  <c r="F272" i="28"/>
  <c r="F273" i="28"/>
  <c r="F274" i="28"/>
  <c r="F275" i="28"/>
  <c r="F276" i="28"/>
  <c r="F277" i="28"/>
  <c r="F278" i="28"/>
  <c r="F279" i="28"/>
  <c r="F280" i="28"/>
  <c r="F281" i="28"/>
  <c r="F282" i="28"/>
  <c r="F283" i="28"/>
  <c r="F284" i="28"/>
  <c r="F285" i="28"/>
  <c r="F286" i="28"/>
  <c r="F287" i="28"/>
  <c r="F288" i="28"/>
  <c r="F289" i="28"/>
  <c r="F290" i="28"/>
  <c r="F291" i="28"/>
  <c r="F292" i="28"/>
  <c r="F293" i="28"/>
  <c r="F294" i="28"/>
  <c r="F295" i="28"/>
  <c r="F296" i="28"/>
  <c r="F297" i="28"/>
  <c r="F298" i="28"/>
  <c r="F299" i="28"/>
  <c r="F300" i="28"/>
  <c r="F301" i="28"/>
  <c r="F302" i="28"/>
  <c r="F303" i="28"/>
  <c r="F304" i="28"/>
  <c r="F305" i="28"/>
  <c r="F306" i="28"/>
  <c r="F307" i="28"/>
  <c r="F308" i="28"/>
  <c r="F309" i="28"/>
  <c r="F310" i="28"/>
  <c r="F311" i="28"/>
  <c r="F312" i="28"/>
  <c r="F313" i="28"/>
  <c r="F314" i="28"/>
  <c r="F315" i="28"/>
  <c r="F316" i="28"/>
  <c r="F317" i="28"/>
  <c r="F318" i="28"/>
  <c r="F319" i="28"/>
  <c r="F320" i="28"/>
  <c r="F321" i="28"/>
  <c r="F322" i="28"/>
  <c r="F323" i="28"/>
  <c r="F324" i="28"/>
  <c r="F325" i="28"/>
  <c r="F326" i="28"/>
  <c r="F327" i="28"/>
  <c r="F328" i="28"/>
  <c r="F329" i="28"/>
  <c r="F330" i="28"/>
  <c r="F331" i="28"/>
  <c r="F332" i="28"/>
  <c r="F333" i="28"/>
  <c r="F334" i="28"/>
  <c r="F335" i="28"/>
  <c r="F336" i="28"/>
  <c r="F337" i="28"/>
  <c r="F338" i="28"/>
  <c r="F339" i="28"/>
  <c r="F340" i="28"/>
  <c r="F341" i="28"/>
  <c r="F342" i="28"/>
  <c r="F343" i="28"/>
  <c r="F344" i="28"/>
  <c r="F345" i="28"/>
  <c r="F346" i="28"/>
  <c r="F347" i="28"/>
  <c r="F348" i="28"/>
  <c r="F349" i="28"/>
  <c r="F350" i="28"/>
  <c r="F351" i="28"/>
  <c r="F352" i="28"/>
  <c r="F353" i="28"/>
  <c r="F354" i="28"/>
  <c r="F355" i="28"/>
  <c r="F356" i="28"/>
  <c r="F357" i="28"/>
  <c r="F358" i="28"/>
  <c r="F359" i="28"/>
  <c r="F360" i="28"/>
  <c r="F361" i="28"/>
  <c r="F362" i="28"/>
  <c r="F363" i="28"/>
  <c r="F364" i="28"/>
  <c r="F365" i="28"/>
  <c r="F366" i="28"/>
  <c r="F367" i="28"/>
  <c r="F368" i="28"/>
  <c r="F369" i="28"/>
  <c r="F370" i="28"/>
  <c r="F371" i="28"/>
  <c r="F372" i="28"/>
  <c r="F373" i="28"/>
  <c r="F374" i="28"/>
  <c r="F375" i="28"/>
  <c r="F376" i="28"/>
  <c r="F377" i="28"/>
  <c r="F378" i="28"/>
  <c r="F379" i="28"/>
  <c r="F380" i="28"/>
  <c r="F381" i="28"/>
  <c r="F382" i="28"/>
  <c r="F383" i="28"/>
  <c r="F384" i="28"/>
  <c r="F385" i="28"/>
  <c r="F386" i="28"/>
  <c r="F387" i="28"/>
  <c r="F388" i="28"/>
  <c r="F389" i="28"/>
  <c r="F390" i="28"/>
  <c r="F391" i="28"/>
  <c r="F392" i="28"/>
  <c r="F393" i="28"/>
  <c r="F394" i="28"/>
  <c r="F395" i="28"/>
  <c r="F396" i="28"/>
  <c r="F397" i="28"/>
  <c r="F398" i="28"/>
  <c r="F399" i="28"/>
  <c r="F400" i="28"/>
  <c r="F401" i="28"/>
  <c r="F402" i="28"/>
  <c r="F403" i="28"/>
  <c r="F404" i="28"/>
  <c r="F405" i="28"/>
  <c r="F406" i="28"/>
  <c r="F407" i="28"/>
  <c r="F408" i="28"/>
  <c r="F409" i="28"/>
  <c r="F410" i="28"/>
  <c r="F411" i="28"/>
  <c r="F412" i="28"/>
  <c r="F413" i="28"/>
  <c r="F414" i="28"/>
  <c r="F415" i="28"/>
  <c r="F416" i="28"/>
  <c r="F417" i="28"/>
  <c r="F418" i="28"/>
  <c r="F419" i="28"/>
  <c r="F420" i="28"/>
  <c r="F421" i="28"/>
  <c r="F422" i="28"/>
  <c r="F423" i="28"/>
  <c r="F424" i="28"/>
  <c r="F425" i="28"/>
  <c r="F426" i="28"/>
  <c r="F427" i="28"/>
  <c r="F428" i="28"/>
  <c r="F429" i="28"/>
  <c r="F430" i="28"/>
  <c r="F431" i="28"/>
  <c r="F432" i="28"/>
  <c r="F433" i="28"/>
  <c r="F434" i="28"/>
  <c r="F435" i="28"/>
  <c r="F436" i="28"/>
  <c r="F437" i="28"/>
  <c r="F438" i="28"/>
  <c r="F439" i="28"/>
  <c r="F440" i="28"/>
  <c r="F441" i="28"/>
  <c r="F442" i="28"/>
  <c r="F443" i="28"/>
  <c r="F444" i="28"/>
  <c r="F445" i="28"/>
  <c r="F446" i="28"/>
  <c r="F447" i="28"/>
  <c r="F448" i="28"/>
  <c r="F449" i="28"/>
  <c r="F450" i="28"/>
  <c r="F451" i="28"/>
  <c r="F452" i="28"/>
  <c r="F453" i="28"/>
  <c r="F454" i="28"/>
  <c r="F455" i="28"/>
  <c r="F456" i="28"/>
  <c r="F457" i="28"/>
  <c r="F458" i="28"/>
  <c r="F459" i="28"/>
  <c r="F460" i="28"/>
  <c r="F461" i="28"/>
  <c r="F462" i="28"/>
  <c r="F463" i="28"/>
  <c r="F464" i="28"/>
  <c r="F465" i="28"/>
  <c r="F466" i="28"/>
  <c r="F467" i="28"/>
  <c r="F468" i="28"/>
  <c r="F469" i="28"/>
  <c r="F470" i="28"/>
  <c r="F471" i="28"/>
  <c r="F472" i="28"/>
  <c r="F473" i="28"/>
  <c r="F474" i="28"/>
  <c r="F475" i="28"/>
  <c r="F476" i="28"/>
  <c r="F477" i="28"/>
  <c r="F478" i="28"/>
  <c r="F479" i="28"/>
  <c r="F480" i="28"/>
  <c r="F481" i="28"/>
  <c r="F482" i="28"/>
  <c r="F483" i="28"/>
  <c r="F484" i="28"/>
  <c r="F485" i="28"/>
  <c r="F486" i="28"/>
  <c r="F487" i="28"/>
  <c r="F488" i="28"/>
  <c r="F489" i="28"/>
  <c r="F490" i="28"/>
  <c r="F491" i="28"/>
  <c r="F492" i="28"/>
  <c r="F493" i="28"/>
  <c r="F494" i="28"/>
  <c r="F495" i="28"/>
  <c r="F496" i="28"/>
  <c r="F497" i="28"/>
  <c r="F498" i="28"/>
  <c r="F499" i="28"/>
  <c r="F500" i="28"/>
  <c r="F501" i="28"/>
  <c r="F502" i="28"/>
  <c r="F503" i="28"/>
  <c r="F504" i="28"/>
  <c r="F505" i="28"/>
  <c r="F506" i="28"/>
  <c r="F507" i="28"/>
  <c r="F508" i="28"/>
  <c r="F509" i="28"/>
  <c r="F510" i="28"/>
  <c r="F511" i="28"/>
  <c r="F512" i="28"/>
  <c r="F513" i="28"/>
  <c r="F514" i="28"/>
  <c r="F515" i="28"/>
  <c r="F516" i="28"/>
  <c r="F517" i="28"/>
  <c r="F518" i="28"/>
  <c r="F519" i="28"/>
  <c r="F520" i="28"/>
  <c r="F521" i="28"/>
  <c r="F522" i="28"/>
  <c r="F523" i="28"/>
  <c r="F524" i="28"/>
  <c r="F525" i="28"/>
  <c r="F526" i="28"/>
  <c r="F527" i="28"/>
  <c r="F528" i="28"/>
  <c r="F529" i="28"/>
  <c r="F530" i="28"/>
  <c r="F531" i="28"/>
  <c r="F532" i="28"/>
  <c r="F533" i="28"/>
  <c r="F534" i="28"/>
  <c r="F535" i="28"/>
  <c r="F536" i="28"/>
  <c r="F537" i="28"/>
  <c r="F538" i="28"/>
  <c r="F539" i="28"/>
  <c r="F540" i="28"/>
  <c r="F541" i="28"/>
  <c r="F542" i="28"/>
  <c r="F543" i="28"/>
  <c r="F544" i="28"/>
  <c r="F545" i="28"/>
  <c r="F546" i="28"/>
  <c r="F547" i="28"/>
  <c r="F548" i="28"/>
  <c r="F549" i="28"/>
  <c r="F550" i="28"/>
  <c r="F551" i="28"/>
  <c r="F552" i="28"/>
  <c r="F553" i="28"/>
  <c r="F554" i="28"/>
  <c r="F555" i="28"/>
  <c r="F556" i="28"/>
  <c r="F557" i="28"/>
  <c r="F558" i="28"/>
  <c r="F559" i="28"/>
  <c r="F560" i="28"/>
  <c r="F561" i="28"/>
  <c r="F562" i="28"/>
  <c r="F563" i="28"/>
  <c r="F564" i="28"/>
  <c r="F565" i="28"/>
  <c r="F566" i="28"/>
  <c r="F567" i="28"/>
  <c r="F568" i="28"/>
  <c r="F569" i="28"/>
  <c r="F570" i="28"/>
  <c r="F571" i="28"/>
  <c r="F572" i="28"/>
  <c r="F573" i="28"/>
  <c r="F574" i="28"/>
  <c r="F575" i="28"/>
  <c r="F576" i="28"/>
  <c r="F577" i="28"/>
  <c r="F578" i="28"/>
  <c r="F579" i="28"/>
  <c r="F580" i="28"/>
  <c r="F581" i="28"/>
  <c r="F582" i="28"/>
  <c r="F583" i="28"/>
  <c r="F584" i="28"/>
  <c r="F585" i="28"/>
  <c r="F586" i="28"/>
  <c r="F587" i="28"/>
  <c r="F588" i="28"/>
  <c r="F589" i="28"/>
  <c r="F590" i="28"/>
  <c r="F591" i="28"/>
  <c r="F592" i="28"/>
  <c r="F593" i="28"/>
  <c r="F594" i="28"/>
  <c r="F595" i="28"/>
  <c r="F596" i="28"/>
  <c r="F597" i="28"/>
  <c r="F598" i="28"/>
  <c r="F599" i="28"/>
  <c r="F600" i="28"/>
  <c r="F601" i="28"/>
  <c r="F602" i="28"/>
  <c r="F603" i="28"/>
  <c r="F604" i="28"/>
  <c r="F605" i="28"/>
  <c r="F606" i="28"/>
  <c r="F607" i="28"/>
  <c r="F608" i="28"/>
  <c r="F609" i="28"/>
  <c r="F610" i="28"/>
  <c r="F611" i="28"/>
  <c r="F612" i="28"/>
  <c r="F613" i="28"/>
  <c r="F614" i="28"/>
  <c r="F615" i="28"/>
  <c r="F616" i="28"/>
  <c r="F617" i="28"/>
  <c r="F618" i="28"/>
  <c r="F619" i="28"/>
  <c r="F620" i="28"/>
  <c r="F621" i="28"/>
  <c r="F622" i="28"/>
  <c r="F623" i="28"/>
  <c r="F624" i="28"/>
  <c r="F625" i="28"/>
  <c r="F626" i="28"/>
  <c r="F627" i="28"/>
  <c r="F628" i="28"/>
  <c r="F629" i="28"/>
  <c r="F630" i="28"/>
  <c r="F631" i="28"/>
  <c r="F632" i="28"/>
  <c r="F633" i="28"/>
  <c r="F634" i="28"/>
  <c r="F635" i="28"/>
  <c r="F636" i="28"/>
  <c r="F637" i="28"/>
  <c r="F638" i="28"/>
  <c r="F639" i="28"/>
  <c r="F640" i="28"/>
  <c r="F641" i="28"/>
  <c r="F642" i="28"/>
  <c r="F643" i="28"/>
  <c r="F644" i="28"/>
  <c r="F645" i="28"/>
  <c r="F646" i="28"/>
  <c r="F647" i="28"/>
  <c r="F648" i="28"/>
  <c r="F649" i="28"/>
  <c r="F650" i="28"/>
  <c r="F651" i="28"/>
  <c r="F652" i="28"/>
  <c r="F653" i="28"/>
  <c r="F654" i="28"/>
  <c r="F655" i="28"/>
  <c r="F656" i="28"/>
  <c r="F657" i="28"/>
  <c r="F658" i="28"/>
  <c r="F659" i="28"/>
  <c r="F660" i="28"/>
  <c r="F661" i="28"/>
  <c r="F662" i="28"/>
  <c r="F663" i="28"/>
  <c r="F664" i="28"/>
  <c r="F665" i="28"/>
  <c r="F666" i="28"/>
  <c r="F667" i="28"/>
  <c r="F668" i="28"/>
  <c r="F669" i="28"/>
  <c r="F670" i="28"/>
  <c r="F671" i="28"/>
  <c r="F672" i="28"/>
  <c r="F673" i="28"/>
  <c r="F674" i="28"/>
  <c r="F675" i="28"/>
  <c r="F676" i="28"/>
  <c r="F677" i="28"/>
  <c r="F678" i="28"/>
  <c r="F679" i="28"/>
  <c r="F680" i="28"/>
  <c r="F681" i="28"/>
  <c r="F682" i="28"/>
  <c r="F683" i="28"/>
  <c r="F684" i="28"/>
  <c r="F685" i="28"/>
  <c r="F686" i="28"/>
  <c r="F687" i="28"/>
  <c r="F688" i="28"/>
  <c r="F689" i="28"/>
  <c r="F690" i="28"/>
  <c r="F691" i="28"/>
  <c r="F692" i="28"/>
  <c r="F693" i="28"/>
  <c r="F694" i="28"/>
  <c r="F695" i="28"/>
  <c r="F696" i="28"/>
  <c r="F697" i="28"/>
  <c r="F698" i="28"/>
  <c r="F699" i="28"/>
  <c r="F700" i="28"/>
  <c r="F701" i="28"/>
  <c r="F702" i="28"/>
  <c r="F703" i="28"/>
  <c r="F704" i="28"/>
  <c r="F705" i="28"/>
  <c r="F706" i="28"/>
  <c r="F707" i="28"/>
  <c r="F708" i="28"/>
  <c r="F709" i="28"/>
  <c r="F710" i="28"/>
  <c r="F711" i="28"/>
  <c r="F712" i="28"/>
  <c r="F713" i="28"/>
  <c r="F714" i="28"/>
  <c r="F715" i="28"/>
  <c r="F716" i="28"/>
  <c r="F717" i="28"/>
  <c r="F718" i="28"/>
  <c r="F719" i="28"/>
  <c r="F720" i="28"/>
  <c r="F721" i="28"/>
  <c r="F722" i="28"/>
  <c r="F723" i="28"/>
  <c r="F724" i="28"/>
  <c r="F725" i="28"/>
  <c r="F726" i="28"/>
  <c r="F727" i="28"/>
  <c r="F728" i="28"/>
  <c r="F729" i="28"/>
  <c r="F730" i="28"/>
  <c r="F731" i="28"/>
  <c r="F732" i="28"/>
  <c r="F733" i="28"/>
  <c r="F734" i="28"/>
  <c r="F735" i="28"/>
  <c r="F736" i="28"/>
  <c r="F737" i="28"/>
  <c r="F738" i="28"/>
  <c r="F739" i="28"/>
  <c r="F740" i="28"/>
  <c r="F741" i="28"/>
  <c r="F742" i="28"/>
  <c r="F743" i="28"/>
  <c r="F744" i="28"/>
  <c r="F745" i="28"/>
  <c r="F746" i="28"/>
  <c r="F747" i="28"/>
  <c r="F748" i="28"/>
  <c r="F749" i="28"/>
  <c r="F750" i="28"/>
  <c r="F751" i="28"/>
  <c r="F752" i="28"/>
  <c r="F753" i="28"/>
  <c r="F754" i="28"/>
  <c r="F755" i="28"/>
  <c r="F756" i="28"/>
  <c r="F757" i="28"/>
  <c r="F758" i="28"/>
  <c r="F759" i="28"/>
  <c r="F760" i="28"/>
  <c r="F761" i="28"/>
  <c r="F762" i="28"/>
  <c r="F763" i="28"/>
  <c r="F764" i="28"/>
  <c r="F765" i="28"/>
  <c r="F766" i="28"/>
  <c r="F767" i="28"/>
  <c r="F768" i="28"/>
  <c r="F769" i="28"/>
  <c r="F770" i="28"/>
  <c r="F771" i="28"/>
  <c r="F772" i="28"/>
  <c r="F773" i="28"/>
  <c r="F774" i="28"/>
  <c r="F775" i="28"/>
  <c r="F776" i="28"/>
  <c r="F777" i="28"/>
  <c r="F778" i="28"/>
  <c r="F779" i="28"/>
  <c r="F780" i="28"/>
  <c r="F781" i="28"/>
  <c r="F782" i="28"/>
  <c r="F783" i="28"/>
  <c r="F784" i="28"/>
  <c r="F785" i="28"/>
  <c r="F786" i="28"/>
  <c r="F787" i="28"/>
  <c r="F788" i="28"/>
  <c r="F789" i="28"/>
  <c r="F790" i="28"/>
  <c r="F791" i="28"/>
  <c r="F792" i="28"/>
  <c r="F793" i="28"/>
  <c r="F794" i="28"/>
  <c r="F795" i="28"/>
  <c r="F796" i="28"/>
  <c r="F797" i="28"/>
  <c r="F798" i="28"/>
  <c r="F799" i="28"/>
  <c r="F800" i="28"/>
  <c r="F801" i="28"/>
  <c r="F802" i="28"/>
  <c r="F803" i="28"/>
  <c r="F804" i="28"/>
  <c r="F805" i="28"/>
  <c r="F806" i="28"/>
  <c r="F807" i="28"/>
  <c r="F808" i="28"/>
  <c r="F809" i="28"/>
  <c r="F810" i="28"/>
  <c r="F811" i="28"/>
  <c r="F812" i="28"/>
  <c r="F813" i="28"/>
  <c r="F814" i="28"/>
  <c r="F815" i="28"/>
  <c r="F816" i="28"/>
  <c r="F817" i="28"/>
  <c r="F818" i="28"/>
  <c r="F819" i="28"/>
  <c r="F820" i="28"/>
  <c r="F821" i="28"/>
  <c r="F822" i="28"/>
  <c r="F823" i="28"/>
  <c r="F824" i="28"/>
  <c r="F825" i="28"/>
  <c r="F826" i="28"/>
  <c r="F827" i="28"/>
  <c r="F828" i="28"/>
  <c r="F829" i="28"/>
  <c r="F830" i="28"/>
  <c r="F831" i="28"/>
  <c r="F832" i="28"/>
  <c r="F833" i="28"/>
  <c r="F834" i="28"/>
  <c r="F835" i="28"/>
  <c r="F836" i="28"/>
  <c r="F837" i="28"/>
  <c r="F838" i="28"/>
  <c r="F839" i="28"/>
  <c r="F840" i="28"/>
  <c r="F841" i="28"/>
  <c r="F842" i="28"/>
  <c r="F843" i="28"/>
  <c r="F844" i="28"/>
  <c r="F845" i="28"/>
  <c r="F846" i="28"/>
  <c r="F847" i="28"/>
  <c r="F848" i="28"/>
  <c r="F849" i="28"/>
  <c r="F850" i="28"/>
  <c r="F851" i="28"/>
  <c r="F852" i="28"/>
  <c r="F853" i="28"/>
  <c r="F854" i="28"/>
  <c r="F855" i="28"/>
  <c r="F856" i="28"/>
  <c r="F857" i="28"/>
  <c r="F858" i="28"/>
  <c r="F859" i="28"/>
  <c r="F860" i="28"/>
  <c r="F861" i="28"/>
  <c r="F862" i="28"/>
  <c r="F863" i="28"/>
  <c r="F864" i="28"/>
  <c r="F865" i="28"/>
  <c r="F866" i="28"/>
  <c r="F867" i="28"/>
  <c r="F868" i="28"/>
  <c r="F869" i="28"/>
  <c r="F870" i="28"/>
  <c r="F871" i="28"/>
  <c r="F872" i="28"/>
  <c r="F873" i="28"/>
  <c r="F874" i="28"/>
  <c r="F875" i="28"/>
  <c r="F876" i="28"/>
  <c r="F877" i="28"/>
  <c r="F878" i="28"/>
  <c r="F879" i="28"/>
  <c r="F880" i="28"/>
  <c r="F881" i="28"/>
  <c r="F882" i="28"/>
  <c r="F883" i="28"/>
  <c r="F884" i="28"/>
  <c r="F885" i="28"/>
  <c r="F886" i="28"/>
  <c r="F887" i="28"/>
  <c r="F888" i="28"/>
  <c r="F889" i="28"/>
  <c r="F890" i="28"/>
  <c r="F891" i="28"/>
  <c r="F892" i="28"/>
  <c r="F893" i="28"/>
  <c r="F894" i="28"/>
  <c r="F895" i="28"/>
  <c r="F896" i="28"/>
  <c r="F897" i="28"/>
  <c r="F898" i="28"/>
  <c r="F899" i="28"/>
  <c r="F900" i="28"/>
  <c r="F901" i="28"/>
  <c r="F902" i="28"/>
  <c r="F903" i="28"/>
  <c r="F904" i="28"/>
  <c r="F905" i="28"/>
  <c r="F906" i="28"/>
  <c r="F907" i="28"/>
  <c r="F908" i="28"/>
  <c r="F909" i="28"/>
  <c r="F910" i="28"/>
  <c r="F911" i="28"/>
  <c r="F912" i="28"/>
  <c r="F913" i="28"/>
  <c r="F914" i="28"/>
  <c r="F915" i="28"/>
  <c r="F916" i="28"/>
  <c r="F917" i="28"/>
  <c r="F918" i="28"/>
  <c r="F919" i="28"/>
  <c r="F920" i="28"/>
  <c r="F921" i="28"/>
  <c r="F922" i="28"/>
  <c r="F923" i="28"/>
  <c r="F924" i="28"/>
  <c r="F925" i="28"/>
  <c r="F926" i="28"/>
  <c r="F927" i="28"/>
  <c r="F928" i="28"/>
  <c r="F929" i="28"/>
  <c r="F930" i="28"/>
  <c r="F931" i="28"/>
  <c r="F932" i="28"/>
  <c r="F933" i="28"/>
  <c r="F934" i="28"/>
  <c r="F935" i="28"/>
  <c r="F936" i="28"/>
  <c r="F937" i="28"/>
  <c r="F938" i="28"/>
  <c r="F939" i="28"/>
  <c r="F940" i="28"/>
  <c r="F941" i="28"/>
  <c r="F942" i="28"/>
  <c r="F943" i="28"/>
  <c r="F944" i="28"/>
  <c r="F945" i="28"/>
  <c r="F946" i="28"/>
  <c r="F947" i="28"/>
  <c r="F948" i="28"/>
  <c r="F949" i="28"/>
  <c r="F950" i="28"/>
  <c r="F951" i="28"/>
  <c r="F952" i="28"/>
  <c r="F953" i="28"/>
  <c r="F954" i="28"/>
  <c r="F955" i="28"/>
  <c r="F956" i="28"/>
  <c r="F957" i="28"/>
  <c r="F958" i="28"/>
  <c r="F959" i="28"/>
  <c r="F960" i="28"/>
  <c r="F961" i="28"/>
  <c r="F962" i="28"/>
  <c r="F963" i="28"/>
  <c r="F964" i="28"/>
  <c r="F965" i="28"/>
  <c r="F966" i="28"/>
  <c r="F967" i="28"/>
  <c r="F968" i="28"/>
  <c r="F969" i="28"/>
  <c r="F970" i="28"/>
  <c r="F971" i="28"/>
  <c r="F972" i="28"/>
  <c r="F973" i="28"/>
  <c r="F974" i="28"/>
  <c r="F975" i="28"/>
  <c r="F976" i="28"/>
  <c r="F977" i="28"/>
  <c r="F978" i="28"/>
  <c r="F979" i="28"/>
  <c r="F980" i="28"/>
  <c r="F981" i="28"/>
  <c r="F982" i="28"/>
  <c r="F983" i="28"/>
  <c r="F984" i="28"/>
  <c r="F985" i="28"/>
  <c r="F986" i="28"/>
  <c r="F987" i="28"/>
  <c r="F988" i="28"/>
  <c r="F989" i="28"/>
  <c r="F990" i="28"/>
  <c r="F991" i="28"/>
  <c r="F992" i="28"/>
  <c r="F993" i="28"/>
  <c r="F994" i="28"/>
  <c r="F995" i="28"/>
  <c r="F996" i="28"/>
  <c r="F997" i="28"/>
  <c r="F998" i="28"/>
  <c r="F999" i="28"/>
  <c r="F1000" i="28"/>
  <c r="F1001" i="28"/>
  <c r="F1002" i="28"/>
  <c r="F1003" i="28"/>
  <c r="E10" i="28"/>
  <c r="E11" i="28"/>
  <c r="E12" i="28"/>
  <c r="E13" i="28"/>
  <c r="E14" i="28"/>
  <c r="E15" i="28"/>
  <c r="E16" i="28"/>
  <c r="E17" i="28"/>
  <c r="E18" i="28"/>
  <c r="E19" i="28"/>
  <c r="E20" i="28"/>
  <c r="E21" i="28"/>
  <c r="E22" i="28"/>
  <c r="E23" i="28"/>
  <c r="E24" i="28"/>
  <c r="E25" i="28"/>
  <c r="E26" i="28"/>
  <c r="E27" i="28"/>
  <c r="E28" i="28"/>
  <c r="E29" i="28"/>
  <c r="E30" i="28"/>
  <c r="E31" i="28"/>
  <c r="E32" i="28"/>
  <c r="E33" i="28"/>
  <c r="E34" i="28"/>
  <c r="E35" i="28"/>
  <c r="E36" i="28"/>
  <c r="E37" i="28"/>
  <c r="E38" i="28"/>
  <c r="E39" i="28"/>
  <c r="E40" i="28"/>
  <c r="E41" i="28"/>
  <c r="E42" i="28"/>
  <c r="E43" i="28"/>
  <c r="E44" i="28"/>
  <c r="E45" i="28"/>
  <c r="E46" i="28"/>
  <c r="E47" i="28"/>
  <c r="E48" i="28"/>
  <c r="E49" i="28"/>
  <c r="E50" i="28"/>
  <c r="E51" i="28"/>
  <c r="E52" i="28"/>
  <c r="E53" i="28"/>
  <c r="E54" i="28"/>
  <c r="E55" i="28"/>
  <c r="E56" i="28"/>
  <c r="E57" i="28"/>
  <c r="E58" i="28"/>
  <c r="E59" i="28"/>
  <c r="E60" i="28"/>
  <c r="E61" i="28"/>
  <c r="E62" i="28"/>
  <c r="E63" i="28"/>
  <c r="E64" i="28"/>
  <c r="E65" i="28"/>
  <c r="E66" i="28"/>
  <c r="E67" i="28"/>
  <c r="E68" i="28"/>
  <c r="E69" i="28"/>
  <c r="E70" i="28"/>
  <c r="E71" i="28"/>
  <c r="E72" i="28"/>
  <c r="E73" i="28"/>
  <c r="E74" i="28"/>
  <c r="E75" i="28"/>
  <c r="E76" i="28"/>
  <c r="E77" i="28"/>
  <c r="E78" i="28"/>
  <c r="E79" i="28"/>
  <c r="E80" i="28"/>
  <c r="E81" i="28"/>
  <c r="E82" i="28"/>
  <c r="E83" i="28"/>
  <c r="E84" i="28"/>
  <c r="E85" i="28"/>
  <c r="E86" i="28"/>
  <c r="E87" i="28"/>
  <c r="E88" i="28"/>
  <c r="E89" i="28"/>
  <c r="E90" i="28"/>
  <c r="E91" i="28"/>
  <c r="E92" i="28"/>
  <c r="E93" i="28"/>
  <c r="E94" i="28"/>
  <c r="E95" i="28"/>
  <c r="E96" i="28"/>
  <c r="E97" i="28"/>
  <c r="E98" i="28"/>
  <c r="E99" i="28"/>
  <c r="E100" i="28"/>
  <c r="E101" i="28"/>
  <c r="E102" i="28"/>
  <c r="E103" i="28"/>
  <c r="E104" i="28"/>
  <c r="E105" i="28"/>
  <c r="E106" i="28"/>
  <c r="E107" i="28"/>
  <c r="E108" i="28"/>
  <c r="E109" i="28"/>
  <c r="E110" i="28"/>
  <c r="E111" i="28"/>
  <c r="E112" i="28"/>
  <c r="E113" i="28"/>
  <c r="E114" i="28"/>
  <c r="E115" i="28"/>
  <c r="E116" i="28"/>
  <c r="E117" i="28"/>
  <c r="E118" i="28"/>
  <c r="E119" i="28"/>
  <c r="E120" i="28"/>
  <c r="E121" i="28"/>
  <c r="E122" i="28"/>
  <c r="E123" i="28"/>
  <c r="E124" i="28"/>
  <c r="E125" i="28"/>
  <c r="E126" i="28"/>
  <c r="E127" i="28"/>
  <c r="E128" i="28"/>
  <c r="E129" i="28"/>
  <c r="E130" i="28"/>
  <c r="E131" i="28"/>
  <c r="E132" i="28"/>
  <c r="E133" i="28"/>
  <c r="E134" i="28"/>
  <c r="E135" i="28"/>
  <c r="E136" i="28"/>
  <c r="E137" i="28"/>
  <c r="E138" i="28"/>
  <c r="E139" i="28"/>
  <c r="E140" i="28"/>
  <c r="E141" i="28"/>
  <c r="E142" i="28"/>
  <c r="E143" i="28"/>
  <c r="E144" i="28"/>
  <c r="E145" i="28"/>
  <c r="E146" i="28"/>
  <c r="E147" i="28"/>
  <c r="E148" i="28"/>
  <c r="E149" i="28"/>
  <c r="E150" i="28"/>
  <c r="E151" i="28"/>
  <c r="E152" i="28"/>
  <c r="E153" i="28"/>
  <c r="E154" i="28"/>
  <c r="E155" i="28"/>
  <c r="E156" i="28"/>
  <c r="E157" i="28"/>
  <c r="E158" i="28"/>
  <c r="E159" i="28"/>
  <c r="E160" i="28"/>
  <c r="E161" i="28"/>
  <c r="E162" i="28"/>
  <c r="E163" i="28"/>
  <c r="E164" i="28"/>
  <c r="E165" i="28"/>
  <c r="E166" i="28"/>
  <c r="E167" i="28"/>
  <c r="E168" i="28"/>
  <c r="E169" i="28"/>
  <c r="E170" i="28"/>
  <c r="E171" i="28"/>
  <c r="E172" i="28"/>
  <c r="E173" i="28"/>
  <c r="E174" i="28"/>
  <c r="E175" i="28"/>
  <c r="E176" i="28"/>
  <c r="E177" i="28"/>
  <c r="E178" i="28"/>
  <c r="E179" i="28"/>
  <c r="E180" i="28"/>
  <c r="E181" i="28"/>
  <c r="E182" i="28"/>
  <c r="E183" i="28"/>
  <c r="E184" i="28"/>
  <c r="E185" i="28"/>
  <c r="E186" i="28"/>
  <c r="E187" i="28"/>
  <c r="E188" i="28"/>
  <c r="E189" i="28"/>
  <c r="E190" i="28"/>
  <c r="E191" i="28"/>
  <c r="E192" i="28"/>
  <c r="E193" i="28"/>
  <c r="E194" i="28"/>
  <c r="E195" i="28"/>
  <c r="E196" i="28"/>
  <c r="E197" i="28"/>
  <c r="E198" i="28"/>
  <c r="E199" i="28"/>
  <c r="E200" i="28"/>
  <c r="E201" i="28"/>
  <c r="E202" i="28"/>
  <c r="E203" i="28"/>
  <c r="E204" i="28"/>
  <c r="E205" i="28"/>
  <c r="E206" i="28"/>
  <c r="E207" i="28"/>
  <c r="E208" i="28"/>
  <c r="E209" i="28"/>
  <c r="E210" i="28"/>
  <c r="E211" i="28"/>
  <c r="E212" i="28"/>
  <c r="E213" i="28"/>
  <c r="E214" i="28"/>
  <c r="E215" i="28"/>
  <c r="E216" i="28"/>
  <c r="E217" i="28"/>
  <c r="E218" i="28"/>
  <c r="E219" i="28"/>
  <c r="E220" i="28"/>
  <c r="E221" i="28"/>
  <c r="E222" i="28"/>
  <c r="E223" i="28"/>
  <c r="E224" i="28"/>
  <c r="E225" i="28"/>
  <c r="E226" i="28"/>
  <c r="E227" i="28"/>
  <c r="E228" i="28"/>
  <c r="E229" i="28"/>
  <c r="E230" i="28"/>
  <c r="E231" i="28"/>
  <c r="E232" i="28"/>
  <c r="E233" i="28"/>
  <c r="E234" i="28"/>
  <c r="E235" i="28"/>
  <c r="E236" i="28"/>
  <c r="E237" i="28"/>
  <c r="E238" i="28"/>
  <c r="E239" i="28"/>
  <c r="E240" i="28"/>
  <c r="E241" i="28"/>
  <c r="E242" i="28"/>
  <c r="E243" i="28"/>
  <c r="E244" i="28"/>
  <c r="E245" i="28"/>
  <c r="E246" i="28"/>
  <c r="E247" i="28"/>
  <c r="E248" i="28"/>
  <c r="E249" i="28"/>
  <c r="E250" i="28"/>
  <c r="E251" i="28"/>
  <c r="E252" i="28"/>
  <c r="E253" i="28"/>
  <c r="E254" i="28"/>
  <c r="E255" i="28"/>
  <c r="E256" i="28"/>
  <c r="E257" i="28"/>
  <c r="E258" i="28"/>
  <c r="E259" i="28"/>
  <c r="E260" i="28"/>
  <c r="E261" i="28"/>
  <c r="E262" i="28"/>
  <c r="E263" i="28"/>
  <c r="E264" i="28"/>
  <c r="E265" i="28"/>
  <c r="E266" i="28"/>
  <c r="E267" i="28"/>
  <c r="E268" i="28"/>
  <c r="E269" i="28"/>
  <c r="E270" i="28"/>
  <c r="E271" i="28"/>
  <c r="E272" i="28"/>
  <c r="E273" i="28"/>
  <c r="E274" i="28"/>
  <c r="E275" i="28"/>
  <c r="E276" i="28"/>
  <c r="E277" i="28"/>
  <c r="E278" i="28"/>
  <c r="E279" i="28"/>
  <c r="E280" i="28"/>
  <c r="E281" i="28"/>
  <c r="E282" i="28"/>
  <c r="E283" i="28"/>
  <c r="E284" i="28"/>
  <c r="E285" i="28"/>
  <c r="E286" i="28"/>
  <c r="E287" i="28"/>
  <c r="E288" i="28"/>
  <c r="E289" i="28"/>
  <c r="E290" i="28"/>
  <c r="E291" i="28"/>
  <c r="E292" i="28"/>
  <c r="E293" i="28"/>
  <c r="E294" i="28"/>
  <c r="E295" i="28"/>
  <c r="E296" i="28"/>
  <c r="E297" i="28"/>
  <c r="E298" i="28"/>
  <c r="E299" i="28"/>
  <c r="E300" i="28"/>
  <c r="E301" i="28"/>
  <c r="E302" i="28"/>
  <c r="E303" i="28"/>
  <c r="E304" i="28"/>
  <c r="E305" i="28"/>
  <c r="E306" i="28"/>
  <c r="E307" i="28"/>
  <c r="E308" i="28"/>
  <c r="E309" i="28"/>
  <c r="E310" i="28"/>
  <c r="E311" i="28"/>
  <c r="E312" i="28"/>
  <c r="E313" i="28"/>
  <c r="E314" i="28"/>
  <c r="E315" i="28"/>
  <c r="E316" i="28"/>
  <c r="E317" i="28"/>
  <c r="E318" i="28"/>
  <c r="E319" i="28"/>
  <c r="E320" i="28"/>
  <c r="E321" i="28"/>
  <c r="E322" i="28"/>
  <c r="E323" i="28"/>
  <c r="E324" i="28"/>
  <c r="E325" i="28"/>
  <c r="E326" i="28"/>
  <c r="E327" i="28"/>
  <c r="E328" i="28"/>
  <c r="E329" i="28"/>
  <c r="E330" i="28"/>
  <c r="E331" i="28"/>
  <c r="E332" i="28"/>
  <c r="E333" i="28"/>
  <c r="E334" i="28"/>
  <c r="E335" i="28"/>
  <c r="E336" i="28"/>
  <c r="E337" i="28"/>
  <c r="E338" i="28"/>
  <c r="E339" i="28"/>
  <c r="E340" i="28"/>
  <c r="E341" i="28"/>
  <c r="E342" i="28"/>
  <c r="E343" i="28"/>
  <c r="E344" i="28"/>
  <c r="E345" i="28"/>
  <c r="E346" i="28"/>
  <c r="E347" i="28"/>
  <c r="E348" i="28"/>
  <c r="E349" i="28"/>
  <c r="E350" i="28"/>
  <c r="E351" i="28"/>
  <c r="E352" i="28"/>
  <c r="E353" i="28"/>
  <c r="E354" i="28"/>
  <c r="E355" i="28"/>
  <c r="E356" i="28"/>
  <c r="E357" i="28"/>
  <c r="E358" i="28"/>
  <c r="E359" i="28"/>
  <c r="E360" i="28"/>
  <c r="E361" i="28"/>
  <c r="E362" i="28"/>
  <c r="E363" i="28"/>
  <c r="E364" i="28"/>
  <c r="E365" i="28"/>
  <c r="E366" i="28"/>
  <c r="E367" i="28"/>
  <c r="E368" i="28"/>
  <c r="E369" i="28"/>
  <c r="E370" i="28"/>
  <c r="E371" i="28"/>
  <c r="E372" i="28"/>
  <c r="E373" i="28"/>
  <c r="E374" i="28"/>
  <c r="E375" i="28"/>
  <c r="E376" i="28"/>
  <c r="E377" i="28"/>
  <c r="E378" i="28"/>
  <c r="E379" i="28"/>
  <c r="E380" i="28"/>
  <c r="E381" i="28"/>
  <c r="E382" i="28"/>
  <c r="E383" i="28"/>
  <c r="E384" i="28"/>
  <c r="E385" i="28"/>
  <c r="E386" i="28"/>
  <c r="E387" i="28"/>
  <c r="E388" i="28"/>
  <c r="E389" i="28"/>
  <c r="E390" i="28"/>
  <c r="E391" i="28"/>
  <c r="E392" i="28"/>
  <c r="E393" i="28"/>
  <c r="E394" i="28"/>
  <c r="E395" i="28"/>
  <c r="E396" i="28"/>
  <c r="E397" i="28"/>
  <c r="E398" i="28"/>
  <c r="E399" i="28"/>
  <c r="E400" i="28"/>
  <c r="E401" i="28"/>
  <c r="E402" i="28"/>
  <c r="E403" i="28"/>
  <c r="E404" i="28"/>
  <c r="E405" i="28"/>
  <c r="E406" i="28"/>
  <c r="E407" i="28"/>
  <c r="E408" i="28"/>
  <c r="E409" i="28"/>
  <c r="E410" i="28"/>
  <c r="E411" i="28"/>
  <c r="E412" i="28"/>
  <c r="E413" i="28"/>
  <c r="E414" i="28"/>
  <c r="E415" i="28"/>
  <c r="E416" i="28"/>
  <c r="E417" i="28"/>
  <c r="E418" i="28"/>
  <c r="E419" i="28"/>
  <c r="E420" i="28"/>
  <c r="E421" i="28"/>
  <c r="E422" i="28"/>
  <c r="E423" i="28"/>
  <c r="E424" i="28"/>
  <c r="E425" i="28"/>
  <c r="E426" i="28"/>
  <c r="E427" i="28"/>
  <c r="E428" i="28"/>
  <c r="E429" i="28"/>
  <c r="E430" i="28"/>
  <c r="E431" i="28"/>
  <c r="E432" i="28"/>
  <c r="E433" i="28"/>
  <c r="E434" i="28"/>
  <c r="E435" i="28"/>
  <c r="E436" i="28"/>
  <c r="E437" i="28"/>
  <c r="E438" i="28"/>
  <c r="E439" i="28"/>
  <c r="E440" i="28"/>
  <c r="E441" i="28"/>
  <c r="E442" i="28"/>
  <c r="E443" i="28"/>
  <c r="E444" i="28"/>
  <c r="E445" i="28"/>
  <c r="E446" i="28"/>
  <c r="E447" i="28"/>
  <c r="E448" i="28"/>
  <c r="E449" i="28"/>
  <c r="E450" i="28"/>
  <c r="E451" i="28"/>
  <c r="E452" i="28"/>
  <c r="E453" i="28"/>
  <c r="E454" i="28"/>
  <c r="E455" i="28"/>
  <c r="E456" i="28"/>
  <c r="E457" i="28"/>
  <c r="E458" i="28"/>
  <c r="E459" i="28"/>
  <c r="E460" i="28"/>
  <c r="E461" i="28"/>
  <c r="E462" i="28"/>
  <c r="E463" i="28"/>
  <c r="E464" i="28"/>
  <c r="E465" i="28"/>
  <c r="E466" i="28"/>
  <c r="E467" i="28"/>
  <c r="E468" i="28"/>
  <c r="E469" i="28"/>
  <c r="E470" i="28"/>
  <c r="E471" i="28"/>
  <c r="E472" i="28"/>
  <c r="E473" i="28"/>
  <c r="E474" i="28"/>
  <c r="E475" i="28"/>
  <c r="E476" i="28"/>
  <c r="E477" i="28"/>
  <c r="E478" i="28"/>
  <c r="E479" i="28"/>
  <c r="E480" i="28"/>
  <c r="E481" i="28"/>
  <c r="E482" i="28"/>
  <c r="E483" i="28"/>
  <c r="E484" i="28"/>
  <c r="E485" i="28"/>
  <c r="E486" i="28"/>
  <c r="E487" i="28"/>
  <c r="E488" i="28"/>
  <c r="E489" i="28"/>
  <c r="E490" i="28"/>
  <c r="E491" i="28"/>
  <c r="E492" i="28"/>
  <c r="E493" i="28"/>
  <c r="E494" i="28"/>
  <c r="E495" i="28"/>
  <c r="E496" i="28"/>
  <c r="E497" i="28"/>
  <c r="E498" i="28"/>
  <c r="E499" i="28"/>
  <c r="E500" i="28"/>
  <c r="E501" i="28"/>
  <c r="E502" i="28"/>
  <c r="E503" i="28"/>
  <c r="E504" i="28"/>
  <c r="E505" i="28"/>
  <c r="E506" i="28"/>
  <c r="E507" i="28"/>
  <c r="E508" i="28"/>
  <c r="E509" i="28"/>
  <c r="E510" i="28"/>
  <c r="E511" i="28"/>
  <c r="E512" i="28"/>
  <c r="E513" i="28"/>
  <c r="E514" i="28"/>
  <c r="E515" i="28"/>
  <c r="E516" i="28"/>
  <c r="E517" i="28"/>
  <c r="E518" i="28"/>
  <c r="E519" i="28"/>
  <c r="E520" i="28"/>
  <c r="E521" i="28"/>
  <c r="E522" i="28"/>
  <c r="E523" i="28"/>
  <c r="E524" i="28"/>
  <c r="E525" i="28"/>
  <c r="E526" i="28"/>
  <c r="E527" i="28"/>
  <c r="E528" i="28"/>
  <c r="E529" i="28"/>
  <c r="E530" i="28"/>
  <c r="E531" i="28"/>
  <c r="E532" i="28"/>
  <c r="E533" i="28"/>
  <c r="E534" i="28"/>
  <c r="E535" i="28"/>
  <c r="E536" i="28"/>
  <c r="E537" i="28"/>
  <c r="E538" i="28"/>
  <c r="E539" i="28"/>
  <c r="E540" i="28"/>
  <c r="E541" i="28"/>
  <c r="E542" i="28"/>
  <c r="E543" i="28"/>
  <c r="E544" i="28"/>
  <c r="E545" i="28"/>
  <c r="E546" i="28"/>
  <c r="E547" i="28"/>
  <c r="E548" i="28"/>
  <c r="E549" i="28"/>
  <c r="E550" i="28"/>
  <c r="E551" i="28"/>
  <c r="E552" i="28"/>
  <c r="E553" i="28"/>
  <c r="E554" i="28"/>
  <c r="E555" i="28"/>
  <c r="E556" i="28"/>
  <c r="E557" i="28"/>
  <c r="E558" i="28"/>
  <c r="E559" i="28"/>
  <c r="E560" i="28"/>
  <c r="E561" i="28"/>
  <c r="E562" i="28"/>
  <c r="E563" i="28"/>
  <c r="E564" i="28"/>
  <c r="E565" i="28"/>
  <c r="E566" i="28"/>
  <c r="E567" i="28"/>
  <c r="E568" i="28"/>
  <c r="E569" i="28"/>
  <c r="E570" i="28"/>
  <c r="E571" i="28"/>
  <c r="E572" i="28"/>
  <c r="E573" i="28"/>
  <c r="E574" i="28"/>
  <c r="E575" i="28"/>
  <c r="E576" i="28"/>
  <c r="E577" i="28"/>
  <c r="E578" i="28"/>
  <c r="E579" i="28"/>
  <c r="E580" i="28"/>
  <c r="E581" i="28"/>
  <c r="E582" i="28"/>
  <c r="E583" i="28"/>
  <c r="E584" i="28"/>
  <c r="E585" i="28"/>
  <c r="E586" i="28"/>
  <c r="E587" i="28"/>
  <c r="E588" i="28"/>
  <c r="E589" i="28"/>
  <c r="E590" i="28"/>
  <c r="E591" i="28"/>
  <c r="E592" i="28"/>
  <c r="E593" i="28"/>
  <c r="E594" i="28"/>
  <c r="E595" i="28"/>
  <c r="E596" i="28"/>
  <c r="E597" i="28"/>
  <c r="E598" i="28"/>
  <c r="E599" i="28"/>
  <c r="E600" i="28"/>
  <c r="E601" i="28"/>
  <c r="E602" i="28"/>
  <c r="E603" i="28"/>
  <c r="E604" i="28"/>
  <c r="E605" i="28"/>
  <c r="E606" i="28"/>
  <c r="E607" i="28"/>
  <c r="E608" i="28"/>
  <c r="E609" i="28"/>
  <c r="E610" i="28"/>
  <c r="E611" i="28"/>
  <c r="E612" i="28"/>
  <c r="E613" i="28"/>
  <c r="E614" i="28"/>
  <c r="E615" i="28"/>
  <c r="E616" i="28"/>
  <c r="E617" i="28"/>
  <c r="E618" i="28"/>
  <c r="E619" i="28"/>
  <c r="E620" i="28"/>
  <c r="E621" i="28"/>
  <c r="E622" i="28"/>
  <c r="E623" i="28"/>
  <c r="E624" i="28"/>
  <c r="E625" i="28"/>
  <c r="E626" i="28"/>
  <c r="E627" i="28"/>
  <c r="E628" i="28"/>
  <c r="E629" i="28"/>
  <c r="E630" i="28"/>
  <c r="E631" i="28"/>
  <c r="E632" i="28"/>
  <c r="E633" i="28"/>
  <c r="E634" i="28"/>
  <c r="E635" i="28"/>
  <c r="E636" i="28"/>
  <c r="E637" i="28"/>
  <c r="E638" i="28"/>
  <c r="E639" i="28"/>
  <c r="E640" i="28"/>
  <c r="E641" i="28"/>
  <c r="E642" i="28"/>
  <c r="E643" i="28"/>
  <c r="E644" i="28"/>
  <c r="E645" i="28"/>
  <c r="E646" i="28"/>
  <c r="E647" i="28"/>
  <c r="E648" i="28"/>
  <c r="E649" i="28"/>
  <c r="E650" i="28"/>
  <c r="E651" i="28"/>
  <c r="E652" i="28"/>
  <c r="E653" i="28"/>
  <c r="E654" i="28"/>
  <c r="E655" i="28"/>
  <c r="E656" i="28"/>
  <c r="E657" i="28"/>
  <c r="E658" i="28"/>
  <c r="E659" i="28"/>
  <c r="E660" i="28"/>
  <c r="E661" i="28"/>
  <c r="E662" i="28"/>
  <c r="E663" i="28"/>
  <c r="E664" i="28"/>
  <c r="E665" i="28"/>
  <c r="E666" i="28"/>
  <c r="E667" i="28"/>
  <c r="E668" i="28"/>
  <c r="E669" i="28"/>
  <c r="E670" i="28"/>
  <c r="E671" i="28"/>
  <c r="E672" i="28"/>
  <c r="E673" i="28"/>
  <c r="E674" i="28"/>
  <c r="E675" i="28"/>
  <c r="E676" i="28"/>
  <c r="E677" i="28"/>
  <c r="E678" i="28"/>
  <c r="E679" i="28"/>
  <c r="E680" i="28"/>
  <c r="E681" i="28"/>
  <c r="E682" i="28"/>
  <c r="E683" i="28"/>
  <c r="E684" i="28"/>
  <c r="E685" i="28"/>
  <c r="E686" i="28"/>
  <c r="E687" i="28"/>
  <c r="E688" i="28"/>
  <c r="E689" i="28"/>
  <c r="E690" i="28"/>
  <c r="E691" i="28"/>
  <c r="E692" i="28"/>
  <c r="E693" i="28"/>
  <c r="E694" i="28"/>
  <c r="E695" i="28"/>
  <c r="E696" i="28"/>
  <c r="E697" i="28"/>
  <c r="E698" i="28"/>
  <c r="E699" i="28"/>
  <c r="E700" i="28"/>
  <c r="E701" i="28"/>
  <c r="E702" i="28"/>
  <c r="E703" i="28"/>
  <c r="E704" i="28"/>
  <c r="E705" i="28"/>
  <c r="E706" i="28"/>
  <c r="E707" i="28"/>
  <c r="E708" i="28"/>
  <c r="E709" i="28"/>
  <c r="E710" i="28"/>
  <c r="E711" i="28"/>
  <c r="E712" i="28"/>
  <c r="E713" i="28"/>
  <c r="E714" i="28"/>
  <c r="E715" i="28"/>
  <c r="E716" i="28"/>
  <c r="E717" i="28"/>
  <c r="E718" i="28"/>
  <c r="E719" i="28"/>
  <c r="E720" i="28"/>
  <c r="E721" i="28"/>
  <c r="E722" i="28"/>
  <c r="E723" i="28"/>
  <c r="E724" i="28"/>
  <c r="E725" i="28"/>
  <c r="E726" i="28"/>
  <c r="E727" i="28"/>
  <c r="E728" i="28"/>
  <c r="E729" i="28"/>
  <c r="E730" i="28"/>
  <c r="E731" i="28"/>
  <c r="E732" i="28"/>
  <c r="E733" i="28"/>
  <c r="E734" i="28"/>
  <c r="E735" i="28"/>
  <c r="E736" i="28"/>
  <c r="E737" i="28"/>
  <c r="E738" i="28"/>
  <c r="E739" i="28"/>
  <c r="E740" i="28"/>
  <c r="E741" i="28"/>
  <c r="E742" i="28"/>
  <c r="E743" i="28"/>
  <c r="E744" i="28"/>
  <c r="E745" i="28"/>
  <c r="E746" i="28"/>
  <c r="E747" i="28"/>
  <c r="E748" i="28"/>
  <c r="E749" i="28"/>
  <c r="E750" i="28"/>
  <c r="E751" i="28"/>
  <c r="E752" i="28"/>
  <c r="E753" i="28"/>
  <c r="E754" i="28"/>
  <c r="E755" i="28"/>
  <c r="E756" i="28"/>
  <c r="E757" i="28"/>
  <c r="E758" i="28"/>
  <c r="E759" i="28"/>
  <c r="E760" i="28"/>
  <c r="E761" i="28"/>
  <c r="E762" i="28"/>
  <c r="E763" i="28"/>
  <c r="E764" i="28"/>
  <c r="E765" i="28"/>
  <c r="E766" i="28"/>
  <c r="E767" i="28"/>
  <c r="E768" i="28"/>
  <c r="E769" i="28"/>
  <c r="E770" i="28"/>
  <c r="E771" i="28"/>
  <c r="E772" i="28"/>
  <c r="E773" i="28"/>
  <c r="E774" i="28"/>
  <c r="E775" i="28"/>
  <c r="E776" i="28"/>
  <c r="E777" i="28"/>
  <c r="E778" i="28"/>
  <c r="E779" i="28"/>
  <c r="E780" i="28"/>
  <c r="E781" i="28"/>
  <c r="E782" i="28"/>
  <c r="E783" i="28"/>
  <c r="E784" i="28"/>
  <c r="E785" i="28"/>
  <c r="E786" i="28"/>
  <c r="E787" i="28"/>
  <c r="E788" i="28"/>
  <c r="E789" i="28"/>
  <c r="E790" i="28"/>
  <c r="E791" i="28"/>
  <c r="E792" i="28"/>
  <c r="E793" i="28"/>
  <c r="E794" i="28"/>
  <c r="E795" i="28"/>
  <c r="E796" i="28"/>
  <c r="E797" i="28"/>
  <c r="E798" i="28"/>
  <c r="E799" i="28"/>
  <c r="E800" i="28"/>
  <c r="E801" i="28"/>
  <c r="E802" i="28"/>
  <c r="E803" i="28"/>
  <c r="E804" i="28"/>
  <c r="E805" i="28"/>
  <c r="E806" i="28"/>
  <c r="E807" i="28"/>
  <c r="E808" i="28"/>
  <c r="E809" i="28"/>
  <c r="E810" i="28"/>
  <c r="E811" i="28"/>
  <c r="E812" i="28"/>
  <c r="E813" i="28"/>
  <c r="E814" i="28"/>
  <c r="E815" i="28"/>
  <c r="E816" i="28"/>
  <c r="E817" i="28"/>
  <c r="E818" i="28"/>
  <c r="E819" i="28"/>
  <c r="E820" i="28"/>
  <c r="E821" i="28"/>
  <c r="E822" i="28"/>
  <c r="E823" i="28"/>
  <c r="E824" i="28"/>
  <c r="E825" i="28"/>
  <c r="E826" i="28"/>
  <c r="E827" i="28"/>
  <c r="E828" i="28"/>
  <c r="E829" i="28"/>
  <c r="E830" i="28"/>
  <c r="E831" i="28"/>
  <c r="E832" i="28"/>
  <c r="E833" i="28"/>
  <c r="E834" i="28"/>
  <c r="E835" i="28"/>
  <c r="E836" i="28"/>
  <c r="E837" i="28"/>
  <c r="E838" i="28"/>
  <c r="E839" i="28"/>
  <c r="E840" i="28"/>
  <c r="E841" i="28"/>
  <c r="E842" i="28"/>
  <c r="E843" i="28"/>
  <c r="E844" i="28"/>
  <c r="E845" i="28"/>
  <c r="E846" i="28"/>
  <c r="E847" i="28"/>
  <c r="E848" i="28"/>
  <c r="E849" i="28"/>
  <c r="E850" i="28"/>
  <c r="E851" i="28"/>
  <c r="E852" i="28"/>
  <c r="E853" i="28"/>
  <c r="E854" i="28"/>
  <c r="E855" i="28"/>
  <c r="E856" i="28"/>
  <c r="E857" i="28"/>
  <c r="E858" i="28"/>
  <c r="E859" i="28"/>
  <c r="E860" i="28"/>
  <c r="E861" i="28"/>
  <c r="E862" i="28"/>
  <c r="E863" i="28"/>
  <c r="E864" i="28"/>
  <c r="E865" i="28"/>
  <c r="E866" i="28"/>
  <c r="E867" i="28"/>
  <c r="E868" i="28"/>
  <c r="E869" i="28"/>
  <c r="E870" i="28"/>
  <c r="E871" i="28"/>
  <c r="E872" i="28"/>
  <c r="E873" i="28"/>
  <c r="E874" i="28"/>
  <c r="E875" i="28"/>
  <c r="E876" i="28"/>
  <c r="E877" i="28"/>
  <c r="E878" i="28"/>
  <c r="E879" i="28"/>
  <c r="E880" i="28"/>
  <c r="E881" i="28"/>
  <c r="E882" i="28"/>
  <c r="E883" i="28"/>
  <c r="E884" i="28"/>
  <c r="E885" i="28"/>
  <c r="E886" i="28"/>
  <c r="E887" i="28"/>
  <c r="E888" i="28"/>
  <c r="E889" i="28"/>
  <c r="E890" i="28"/>
  <c r="E891" i="28"/>
  <c r="E892" i="28"/>
  <c r="E893" i="28"/>
  <c r="E894" i="28"/>
  <c r="E895" i="28"/>
  <c r="E896" i="28"/>
  <c r="E897" i="28"/>
  <c r="E898" i="28"/>
  <c r="E899" i="28"/>
  <c r="E900" i="28"/>
  <c r="E901" i="28"/>
  <c r="E902" i="28"/>
  <c r="E903" i="28"/>
  <c r="E904" i="28"/>
  <c r="E905" i="28"/>
  <c r="E906" i="28"/>
  <c r="E907" i="28"/>
  <c r="E908" i="28"/>
  <c r="E909" i="28"/>
  <c r="E910" i="28"/>
  <c r="E911" i="28"/>
  <c r="E912" i="28"/>
  <c r="E913" i="28"/>
  <c r="E914" i="28"/>
  <c r="E915" i="28"/>
  <c r="E916" i="28"/>
  <c r="E917" i="28"/>
  <c r="E918" i="28"/>
  <c r="E919" i="28"/>
  <c r="E920" i="28"/>
  <c r="E921" i="28"/>
  <c r="E922" i="28"/>
  <c r="E923" i="28"/>
  <c r="E924" i="28"/>
  <c r="E925" i="28"/>
  <c r="E926" i="28"/>
  <c r="E927" i="28"/>
  <c r="E928" i="28"/>
  <c r="E929" i="28"/>
  <c r="E930" i="28"/>
  <c r="E931" i="28"/>
  <c r="E932" i="28"/>
  <c r="E933" i="28"/>
  <c r="E934" i="28"/>
  <c r="E935" i="28"/>
  <c r="E936" i="28"/>
  <c r="E937" i="28"/>
  <c r="E938" i="28"/>
  <c r="E939" i="28"/>
  <c r="E940" i="28"/>
  <c r="E941" i="28"/>
  <c r="E942" i="28"/>
  <c r="E943" i="28"/>
  <c r="E944" i="28"/>
  <c r="E945" i="28"/>
  <c r="E946" i="28"/>
  <c r="E947" i="28"/>
  <c r="E948" i="28"/>
  <c r="E949" i="28"/>
  <c r="E950" i="28"/>
  <c r="E951" i="28"/>
  <c r="E952" i="28"/>
  <c r="E953" i="28"/>
  <c r="E954" i="28"/>
  <c r="E955" i="28"/>
  <c r="E956" i="28"/>
  <c r="E957" i="28"/>
  <c r="E958" i="28"/>
  <c r="E959" i="28"/>
  <c r="E960" i="28"/>
  <c r="E961" i="28"/>
  <c r="E962" i="28"/>
  <c r="E963" i="28"/>
  <c r="E964" i="28"/>
  <c r="E965" i="28"/>
  <c r="E966" i="28"/>
  <c r="E967" i="28"/>
  <c r="E968" i="28"/>
  <c r="E969" i="28"/>
  <c r="E970" i="28"/>
  <c r="E971" i="28"/>
  <c r="E972" i="28"/>
  <c r="E973" i="28"/>
  <c r="E974" i="28"/>
  <c r="E975" i="28"/>
  <c r="E976" i="28"/>
  <c r="E977" i="28"/>
  <c r="E978" i="28"/>
  <c r="E979" i="28"/>
  <c r="E980" i="28"/>
  <c r="E981" i="28"/>
  <c r="E982" i="28"/>
  <c r="E983" i="28"/>
  <c r="E984" i="28"/>
  <c r="E985" i="28"/>
  <c r="E986" i="28"/>
  <c r="E987" i="28"/>
  <c r="E988" i="28"/>
  <c r="E989" i="28"/>
  <c r="E990" i="28"/>
  <c r="E991" i="28"/>
  <c r="E992" i="28"/>
  <c r="E993" i="28"/>
  <c r="E994" i="28"/>
  <c r="E995" i="28"/>
  <c r="E996" i="28"/>
  <c r="E997" i="28"/>
  <c r="E998" i="28"/>
  <c r="E999" i="28"/>
  <c r="E1000" i="28"/>
  <c r="E1001" i="28"/>
  <c r="E1002" i="28"/>
  <c r="E1003" i="28"/>
  <c r="D10" i="28"/>
  <c r="D11" i="28"/>
  <c r="D12" i="28"/>
  <c r="D13" i="28"/>
  <c r="D14" i="28"/>
  <c r="D15" i="28"/>
  <c r="D16" i="28"/>
  <c r="D17" i="28"/>
  <c r="D18" i="28"/>
  <c r="D19" i="28"/>
  <c r="D20" i="28"/>
  <c r="D21" i="28"/>
  <c r="D22" i="28"/>
  <c r="D23" i="28"/>
  <c r="D24" i="28"/>
  <c r="D25" i="28"/>
  <c r="D26" i="28"/>
  <c r="D27" i="28"/>
  <c r="D28" i="28"/>
  <c r="D29" i="28"/>
  <c r="D30" i="28"/>
  <c r="D31" i="28"/>
  <c r="D32" i="28"/>
  <c r="D33" i="28"/>
  <c r="D34" i="28"/>
  <c r="D35" i="28"/>
  <c r="D36" i="28"/>
  <c r="D37" i="28"/>
  <c r="D38" i="28"/>
  <c r="D39" i="28"/>
  <c r="D40" i="28"/>
  <c r="D41" i="28"/>
  <c r="D42" i="28"/>
  <c r="D43" i="28"/>
  <c r="D44" i="28"/>
  <c r="D45" i="28"/>
  <c r="D46" i="28"/>
  <c r="D47" i="28"/>
  <c r="D48" i="28"/>
  <c r="D49" i="28"/>
  <c r="D50" i="28"/>
  <c r="D51" i="28"/>
  <c r="D52" i="28"/>
  <c r="D53" i="28"/>
  <c r="D54" i="28"/>
  <c r="D55" i="28"/>
  <c r="D56" i="28"/>
  <c r="D57" i="28"/>
  <c r="D58" i="28"/>
  <c r="D59" i="28"/>
  <c r="D60" i="28"/>
  <c r="D61" i="28"/>
  <c r="D62" i="28"/>
  <c r="D63" i="28"/>
  <c r="D64" i="28"/>
  <c r="D65" i="28"/>
  <c r="D66" i="28"/>
  <c r="D67" i="28"/>
  <c r="D68" i="28"/>
  <c r="D69" i="28"/>
  <c r="D70" i="28"/>
  <c r="D71" i="28"/>
  <c r="D72" i="28"/>
  <c r="D73" i="28"/>
  <c r="D74" i="28"/>
  <c r="D75" i="28"/>
  <c r="D76" i="28"/>
  <c r="D77" i="28"/>
  <c r="D78" i="28"/>
  <c r="D79" i="28"/>
  <c r="D80" i="28"/>
  <c r="D81" i="28"/>
  <c r="D82" i="28"/>
  <c r="D83" i="28"/>
  <c r="D84" i="28"/>
  <c r="D85" i="28"/>
  <c r="D86" i="28"/>
  <c r="D87" i="28"/>
  <c r="D88" i="28"/>
  <c r="D89" i="28"/>
  <c r="D90" i="28"/>
  <c r="D91" i="28"/>
  <c r="D92" i="28"/>
  <c r="D93" i="28"/>
  <c r="D94" i="28"/>
  <c r="D95" i="28"/>
  <c r="D96" i="28"/>
  <c r="D97" i="28"/>
  <c r="D98" i="28"/>
  <c r="D99" i="28"/>
  <c r="D100" i="28"/>
  <c r="D101" i="28"/>
  <c r="D102" i="28"/>
  <c r="D103" i="28"/>
  <c r="D104" i="28"/>
  <c r="D105" i="28"/>
  <c r="D106" i="28"/>
  <c r="D107" i="28"/>
  <c r="D108" i="28"/>
  <c r="D109" i="28"/>
  <c r="D110" i="28"/>
  <c r="D111" i="28"/>
  <c r="D112" i="28"/>
  <c r="D113" i="28"/>
  <c r="D114" i="28"/>
  <c r="D115" i="28"/>
  <c r="D116" i="28"/>
  <c r="D117" i="28"/>
  <c r="D118" i="28"/>
  <c r="D119" i="28"/>
  <c r="D120" i="28"/>
  <c r="D121" i="28"/>
  <c r="D122" i="28"/>
  <c r="D123" i="28"/>
  <c r="D124" i="28"/>
  <c r="D125" i="28"/>
  <c r="D126" i="28"/>
  <c r="D127" i="28"/>
  <c r="D128" i="28"/>
  <c r="D129" i="28"/>
  <c r="D130" i="28"/>
  <c r="D131" i="28"/>
  <c r="D132" i="28"/>
  <c r="D133" i="28"/>
  <c r="D134" i="28"/>
  <c r="D135" i="28"/>
  <c r="D136" i="28"/>
  <c r="D137" i="28"/>
  <c r="D138" i="28"/>
  <c r="D139" i="28"/>
  <c r="D140" i="28"/>
  <c r="D141" i="28"/>
  <c r="D142" i="28"/>
  <c r="D143" i="28"/>
  <c r="D144" i="28"/>
  <c r="D145" i="28"/>
  <c r="D146" i="28"/>
  <c r="D147" i="28"/>
  <c r="D148" i="28"/>
  <c r="D149" i="28"/>
  <c r="D150" i="28"/>
  <c r="D151" i="28"/>
  <c r="D152" i="28"/>
  <c r="D153" i="28"/>
  <c r="D154" i="28"/>
  <c r="D155" i="28"/>
  <c r="D156" i="28"/>
  <c r="D157" i="28"/>
  <c r="D158" i="28"/>
  <c r="D159" i="28"/>
  <c r="D160" i="28"/>
  <c r="D161" i="28"/>
  <c r="D162" i="28"/>
  <c r="D163" i="28"/>
  <c r="D164" i="28"/>
  <c r="D165" i="28"/>
  <c r="D166" i="28"/>
  <c r="D167" i="28"/>
  <c r="D168" i="28"/>
  <c r="D169" i="28"/>
  <c r="D170" i="28"/>
  <c r="D171" i="28"/>
  <c r="D172" i="28"/>
  <c r="D173" i="28"/>
  <c r="D174" i="28"/>
  <c r="D175" i="28"/>
  <c r="D176" i="28"/>
  <c r="D177" i="28"/>
  <c r="D178" i="28"/>
  <c r="D179" i="28"/>
  <c r="D180" i="28"/>
  <c r="D181" i="28"/>
  <c r="D182" i="28"/>
  <c r="D183" i="28"/>
  <c r="D184" i="28"/>
  <c r="D185" i="28"/>
  <c r="D186" i="28"/>
  <c r="D187" i="28"/>
  <c r="D188" i="28"/>
  <c r="D189" i="28"/>
  <c r="D190" i="28"/>
  <c r="D191" i="28"/>
  <c r="D192" i="28"/>
  <c r="D193" i="28"/>
  <c r="D194" i="28"/>
  <c r="D195" i="28"/>
  <c r="D196" i="28"/>
  <c r="D197" i="28"/>
  <c r="D198" i="28"/>
  <c r="D199" i="28"/>
  <c r="D200" i="28"/>
  <c r="D201" i="28"/>
  <c r="D202" i="28"/>
  <c r="D203" i="28"/>
  <c r="D204" i="28"/>
  <c r="D205" i="28"/>
  <c r="D206" i="28"/>
  <c r="D207" i="28"/>
  <c r="D208" i="28"/>
  <c r="D209" i="28"/>
  <c r="D210" i="28"/>
  <c r="D211" i="28"/>
  <c r="D212" i="28"/>
  <c r="D213" i="28"/>
  <c r="D214" i="28"/>
  <c r="D215" i="28"/>
  <c r="D216" i="28"/>
  <c r="D217" i="28"/>
  <c r="D218" i="28"/>
  <c r="D219" i="28"/>
  <c r="D220" i="28"/>
  <c r="D221" i="28"/>
  <c r="D222" i="28"/>
  <c r="D223" i="28"/>
  <c r="D224" i="28"/>
  <c r="D225" i="28"/>
  <c r="D226" i="28"/>
  <c r="D227" i="28"/>
  <c r="D228" i="28"/>
  <c r="D229" i="28"/>
  <c r="D230" i="28"/>
  <c r="D231" i="28"/>
  <c r="D232" i="28"/>
  <c r="D233" i="28"/>
  <c r="D234" i="28"/>
  <c r="D235" i="28"/>
  <c r="D236" i="28"/>
  <c r="D237" i="28"/>
  <c r="D238" i="28"/>
  <c r="D239" i="28"/>
  <c r="D240" i="28"/>
  <c r="D241" i="28"/>
  <c r="D242" i="28"/>
  <c r="D243" i="28"/>
  <c r="D244" i="28"/>
  <c r="D245" i="28"/>
  <c r="D246" i="28"/>
  <c r="D247" i="28"/>
  <c r="D248" i="28"/>
  <c r="D249" i="28"/>
  <c r="D250" i="28"/>
  <c r="D251" i="28"/>
  <c r="D252" i="28"/>
  <c r="D253" i="28"/>
  <c r="D254" i="28"/>
  <c r="D255" i="28"/>
  <c r="D256" i="28"/>
  <c r="D257" i="28"/>
  <c r="D258" i="28"/>
  <c r="D259" i="28"/>
  <c r="D260" i="28"/>
  <c r="D261" i="28"/>
  <c r="D262" i="28"/>
  <c r="D263" i="28"/>
  <c r="D264" i="28"/>
  <c r="D265" i="28"/>
  <c r="D266" i="28"/>
  <c r="D267" i="28"/>
  <c r="D268" i="28"/>
  <c r="D269" i="28"/>
  <c r="D270" i="28"/>
  <c r="D271" i="28"/>
  <c r="D272" i="28"/>
  <c r="D273" i="28"/>
  <c r="D274" i="28"/>
  <c r="D275" i="28"/>
  <c r="D276" i="28"/>
  <c r="D277" i="28"/>
  <c r="D278" i="28"/>
  <c r="D279" i="28"/>
  <c r="D280" i="28"/>
  <c r="D281" i="28"/>
  <c r="D282" i="28"/>
  <c r="D283" i="28"/>
  <c r="D284" i="28"/>
  <c r="D285" i="28"/>
  <c r="D286" i="28"/>
  <c r="D287" i="28"/>
  <c r="D288" i="28"/>
  <c r="D289" i="28"/>
  <c r="D290" i="28"/>
  <c r="D291" i="28"/>
  <c r="D292" i="28"/>
  <c r="D293" i="28"/>
  <c r="D294" i="28"/>
  <c r="D295" i="28"/>
  <c r="D296" i="28"/>
  <c r="D297" i="28"/>
  <c r="D298" i="28"/>
  <c r="D299" i="28"/>
  <c r="D300" i="28"/>
  <c r="D301" i="28"/>
  <c r="D302" i="28"/>
  <c r="D303" i="28"/>
  <c r="D304" i="28"/>
  <c r="D305" i="28"/>
  <c r="D306" i="28"/>
  <c r="D307" i="28"/>
  <c r="D308" i="28"/>
  <c r="D309" i="28"/>
  <c r="D310" i="28"/>
  <c r="D311" i="28"/>
  <c r="D312" i="28"/>
  <c r="D313" i="28"/>
  <c r="D314" i="28"/>
  <c r="D315" i="28"/>
  <c r="D316" i="28"/>
  <c r="D317" i="28"/>
  <c r="D318" i="28"/>
  <c r="D319" i="28"/>
  <c r="D320" i="28"/>
  <c r="D321" i="28"/>
  <c r="D322" i="28"/>
  <c r="D323" i="28"/>
  <c r="D324" i="28"/>
  <c r="D325" i="28"/>
  <c r="D326" i="28"/>
  <c r="D327" i="28"/>
  <c r="D328" i="28"/>
  <c r="D329" i="28"/>
  <c r="D330" i="28"/>
  <c r="D331" i="28"/>
  <c r="D332" i="28"/>
  <c r="D333" i="28"/>
  <c r="D334" i="28"/>
  <c r="D335" i="28"/>
  <c r="D336" i="28"/>
  <c r="D337" i="28"/>
  <c r="D338" i="28"/>
  <c r="D339" i="28"/>
  <c r="D340" i="28"/>
  <c r="D341" i="28"/>
  <c r="D342" i="28"/>
  <c r="D343" i="28"/>
  <c r="D344" i="28"/>
  <c r="D345" i="28"/>
  <c r="D346" i="28"/>
  <c r="D347" i="28"/>
  <c r="D348" i="28"/>
  <c r="D349" i="28"/>
  <c r="D350" i="28"/>
  <c r="D351" i="28"/>
  <c r="D352" i="28"/>
  <c r="D353" i="28"/>
  <c r="D354" i="28"/>
  <c r="D355" i="28"/>
  <c r="D356" i="28"/>
  <c r="D357" i="28"/>
  <c r="D358" i="28"/>
  <c r="D359" i="28"/>
  <c r="D360" i="28"/>
  <c r="D361" i="28"/>
  <c r="D362" i="28"/>
  <c r="D363" i="28"/>
  <c r="D364" i="28"/>
  <c r="D365" i="28"/>
  <c r="D366" i="28"/>
  <c r="D367" i="28"/>
  <c r="D368" i="28"/>
  <c r="D369" i="28"/>
  <c r="D370" i="28"/>
  <c r="D371" i="28"/>
  <c r="D372" i="28"/>
  <c r="D373" i="28"/>
  <c r="D374" i="28"/>
  <c r="D375" i="28"/>
  <c r="D376" i="28"/>
  <c r="D377" i="28"/>
  <c r="D378" i="28"/>
  <c r="D379" i="28"/>
  <c r="D380" i="28"/>
  <c r="D381" i="28"/>
  <c r="D382" i="28"/>
  <c r="D383" i="28"/>
  <c r="D384" i="28"/>
  <c r="D385" i="28"/>
  <c r="D386" i="28"/>
  <c r="D387" i="28"/>
  <c r="D388" i="28"/>
  <c r="D389" i="28"/>
  <c r="D390" i="28"/>
  <c r="D391" i="28"/>
  <c r="D392" i="28"/>
  <c r="D393" i="28"/>
  <c r="D394" i="28"/>
  <c r="D395" i="28"/>
  <c r="D396" i="28"/>
  <c r="D397" i="28"/>
  <c r="D398" i="28"/>
  <c r="D399" i="28"/>
  <c r="D400" i="28"/>
  <c r="D401" i="28"/>
  <c r="D402" i="28"/>
  <c r="D403" i="28"/>
  <c r="D404" i="28"/>
  <c r="D405" i="28"/>
  <c r="D406" i="28"/>
  <c r="D407" i="28"/>
  <c r="D408" i="28"/>
  <c r="D409" i="28"/>
  <c r="D410" i="28"/>
  <c r="D411" i="28"/>
  <c r="D412" i="28"/>
  <c r="D413" i="28"/>
  <c r="D414" i="28"/>
  <c r="D415" i="28"/>
  <c r="D416" i="28"/>
  <c r="D417" i="28"/>
  <c r="D418" i="28"/>
  <c r="D419" i="28"/>
  <c r="D420" i="28"/>
  <c r="D421" i="28"/>
  <c r="D422" i="28"/>
  <c r="D423" i="28"/>
  <c r="D424" i="28"/>
  <c r="D425" i="28"/>
  <c r="D426" i="28"/>
  <c r="D427" i="28"/>
  <c r="D428" i="28"/>
  <c r="D429" i="28"/>
  <c r="D430" i="28"/>
  <c r="D431" i="28"/>
  <c r="D432" i="28"/>
  <c r="D433" i="28"/>
  <c r="D434" i="28"/>
  <c r="D435" i="28"/>
  <c r="D436" i="28"/>
  <c r="D437" i="28"/>
  <c r="D438" i="28"/>
  <c r="D439" i="28"/>
  <c r="D440" i="28"/>
  <c r="D441" i="28"/>
  <c r="D442" i="28"/>
  <c r="D443" i="28"/>
  <c r="D444" i="28"/>
  <c r="D445" i="28"/>
  <c r="D446" i="28"/>
  <c r="D447" i="28"/>
  <c r="D448" i="28"/>
  <c r="D449" i="28"/>
  <c r="D450" i="28"/>
  <c r="D451" i="28"/>
  <c r="D452" i="28"/>
  <c r="D453" i="28"/>
  <c r="D454" i="28"/>
  <c r="D455" i="28"/>
  <c r="D456" i="28"/>
  <c r="D457" i="28"/>
  <c r="D458" i="28"/>
  <c r="D459" i="28"/>
  <c r="D460" i="28"/>
  <c r="D461" i="28"/>
  <c r="D462" i="28"/>
  <c r="D463" i="28"/>
  <c r="D464" i="28"/>
  <c r="D465" i="28"/>
  <c r="D466" i="28"/>
  <c r="D467" i="28"/>
  <c r="D468" i="28"/>
  <c r="D469" i="28"/>
  <c r="D470" i="28"/>
  <c r="D471" i="28"/>
  <c r="D472" i="28"/>
  <c r="D473" i="28"/>
  <c r="D474" i="28"/>
  <c r="D475" i="28"/>
  <c r="D476" i="28"/>
  <c r="D477" i="28"/>
  <c r="D478" i="28"/>
  <c r="D479" i="28"/>
  <c r="D480" i="28"/>
  <c r="D481" i="28"/>
  <c r="D482" i="28"/>
  <c r="D483" i="28"/>
  <c r="D484" i="28"/>
  <c r="D485" i="28"/>
  <c r="D486" i="28"/>
  <c r="D487" i="28"/>
  <c r="D488" i="28"/>
  <c r="D489" i="28"/>
  <c r="D490" i="28"/>
  <c r="D491" i="28"/>
  <c r="D492" i="28"/>
  <c r="D493" i="28"/>
  <c r="D494" i="28"/>
  <c r="D495" i="28"/>
  <c r="D496" i="28"/>
  <c r="D497" i="28"/>
  <c r="D498" i="28"/>
  <c r="D499" i="28"/>
  <c r="D500" i="28"/>
  <c r="D501" i="28"/>
  <c r="D502" i="28"/>
  <c r="D503" i="28"/>
  <c r="D504" i="28"/>
  <c r="D505" i="28"/>
  <c r="D506" i="28"/>
  <c r="D507" i="28"/>
  <c r="D508" i="28"/>
  <c r="D509" i="28"/>
  <c r="D510" i="28"/>
  <c r="D511" i="28"/>
  <c r="D512" i="28"/>
  <c r="D513" i="28"/>
  <c r="D514" i="28"/>
  <c r="D515" i="28"/>
  <c r="D516" i="28"/>
  <c r="D517" i="28"/>
  <c r="D518" i="28"/>
  <c r="D519" i="28"/>
  <c r="D520" i="28"/>
  <c r="D521" i="28"/>
  <c r="D522" i="28"/>
  <c r="D523" i="28"/>
  <c r="D524" i="28"/>
  <c r="D525" i="28"/>
  <c r="D526" i="28"/>
  <c r="D527" i="28"/>
  <c r="D528" i="28"/>
  <c r="D529" i="28"/>
  <c r="D530" i="28"/>
  <c r="D531" i="28"/>
  <c r="D532" i="28"/>
  <c r="D533" i="28"/>
  <c r="D534" i="28"/>
  <c r="D535" i="28"/>
  <c r="D536" i="28"/>
  <c r="D537" i="28"/>
  <c r="D538" i="28"/>
  <c r="D539" i="28"/>
  <c r="D540" i="28"/>
  <c r="D541" i="28"/>
  <c r="D542" i="28"/>
  <c r="D543" i="28"/>
  <c r="D544" i="28"/>
  <c r="D545" i="28"/>
  <c r="D546" i="28"/>
  <c r="D547" i="28"/>
  <c r="D548" i="28"/>
  <c r="D549" i="28"/>
  <c r="D550" i="28"/>
  <c r="D551" i="28"/>
  <c r="D552" i="28"/>
  <c r="D553" i="28"/>
  <c r="D554" i="28"/>
  <c r="D555" i="28"/>
  <c r="D556" i="28"/>
  <c r="D557" i="28"/>
  <c r="D558" i="28"/>
  <c r="D559" i="28"/>
  <c r="D560" i="28"/>
  <c r="D561" i="28"/>
  <c r="D562" i="28"/>
  <c r="D563" i="28"/>
  <c r="D564" i="28"/>
  <c r="D565" i="28"/>
  <c r="D566" i="28"/>
  <c r="D567" i="28"/>
  <c r="D568" i="28"/>
  <c r="D569" i="28"/>
  <c r="D570" i="28"/>
  <c r="D571" i="28"/>
  <c r="D572" i="28"/>
  <c r="D573" i="28"/>
  <c r="D574" i="28"/>
  <c r="D575" i="28"/>
  <c r="D576" i="28"/>
  <c r="D577" i="28"/>
  <c r="D578" i="28"/>
  <c r="D579" i="28"/>
  <c r="D580" i="28"/>
  <c r="D581" i="28"/>
  <c r="D582" i="28"/>
  <c r="D583" i="28"/>
  <c r="D584" i="28"/>
  <c r="D585" i="28"/>
  <c r="D586" i="28"/>
  <c r="D587" i="28"/>
  <c r="D588" i="28"/>
  <c r="D589" i="28"/>
  <c r="D590" i="28"/>
  <c r="D591" i="28"/>
  <c r="D592" i="28"/>
  <c r="D593" i="28"/>
  <c r="D594" i="28"/>
  <c r="D595" i="28"/>
  <c r="D596" i="28"/>
  <c r="D597" i="28"/>
  <c r="D598" i="28"/>
  <c r="D599" i="28"/>
  <c r="D600" i="28"/>
  <c r="D601" i="28"/>
  <c r="D602" i="28"/>
  <c r="D603" i="28"/>
  <c r="D604" i="28"/>
  <c r="D605" i="28"/>
  <c r="D606" i="28"/>
  <c r="D607" i="28"/>
  <c r="D608" i="28"/>
  <c r="D609" i="28"/>
  <c r="D610" i="28"/>
  <c r="D611" i="28"/>
  <c r="D612" i="28"/>
  <c r="D613" i="28"/>
  <c r="D614" i="28"/>
  <c r="D615" i="28"/>
  <c r="D616" i="28"/>
  <c r="D617" i="28"/>
  <c r="D618" i="28"/>
  <c r="D619" i="28"/>
  <c r="D620" i="28"/>
  <c r="D621" i="28"/>
  <c r="D622" i="28"/>
  <c r="D623" i="28"/>
  <c r="D624" i="28"/>
  <c r="D625" i="28"/>
  <c r="D626" i="28"/>
  <c r="D627" i="28"/>
  <c r="D628" i="28"/>
  <c r="D629" i="28"/>
  <c r="D630" i="28"/>
  <c r="D631" i="28"/>
  <c r="D632" i="28"/>
  <c r="D633" i="28"/>
  <c r="D634" i="28"/>
  <c r="D635" i="28"/>
  <c r="D636" i="28"/>
  <c r="D637" i="28"/>
  <c r="D638" i="28"/>
  <c r="D639" i="28"/>
  <c r="D640" i="28"/>
  <c r="D641" i="28"/>
  <c r="D642" i="28"/>
  <c r="D643" i="28"/>
  <c r="D644" i="28"/>
  <c r="D645" i="28"/>
  <c r="D646" i="28"/>
  <c r="D647" i="28"/>
  <c r="D648" i="28"/>
  <c r="D649" i="28"/>
  <c r="D650" i="28"/>
  <c r="D651" i="28"/>
  <c r="D652" i="28"/>
  <c r="D653" i="28"/>
  <c r="D654" i="28"/>
  <c r="D655" i="28"/>
  <c r="D656" i="28"/>
  <c r="D657" i="28"/>
  <c r="D658" i="28"/>
  <c r="D659" i="28"/>
  <c r="D660" i="28"/>
  <c r="D661" i="28"/>
  <c r="D662" i="28"/>
  <c r="D663" i="28"/>
  <c r="D664" i="28"/>
  <c r="D665" i="28"/>
  <c r="D666" i="28"/>
  <c r="D667" i="28"/>
  <c r="D668" i="28"/>
  <c r="D669" i="28"/>
  <c r="D670" i="28"/>
  <c r="D671" i="28"/>
  <c r="D672" i="28"/>
  <c r="D673" i="28"/>
  <c r="D674" i="28"/>
  <c r="D675" i="28"/>
  <c r="D676" i="28"/>
  <c r="D677" i="28"/>
  <c r="D678" i="28"/>
  <c r="D679" i="28"/>
  <c r="D680" i="28"/>
  <c r="D681" i="28"/>
  <c r="D682" i="28"/>
  <c r="D683" i="28"/>
  <c r="D684" i="28"/>
  <c r="D685" i="28"/>
  <c r="D686" i="28"/>
  <c r="D687" i="28"/>
  <c r="D688" i="28"/>
  <c r="D689" i="28"/>
  <c r="D690" i="28"/>
  <c r="D691" i="28"/>
  <c r="D692" i="28"/>
  <c r="D693" i="28"/>
  <c r="D694" i="28"/>
  <c r="D695" i="28"/>
  <c r="D696" i="28"/>
  <c r="D697" i="28"/>
  <c r="D698" i="28"/>
  <c r="D699" i="28"/>
  <c r="D700" i="28"/>
  <c r="D701" i="28"/>
  <c r="D702" i="28"/>
  <c r="D703" i="28"/>
  <c r="D704" i="28"/>
  <c r="D705" i="28"/>
  <c r="D706" i="28"/>
  <c r="D707" i="28"/>
  <c r="D708" i="28"/>
  <c r="D709" i="28"/>
  <c r="D710" i="28"/>
  <c r="D711" i="28"/>
  <c r="D712" i="28"/>
  <c r="D713" i="28"/>
  <c r="D714" i="28"/>
  <c r="D715" i="28"/>
  <c r="D716" i="28"/>
  <c r="D717" i="28"/>
  <c r="D718" i="28"/>
  <c r="D719" i="28"/>
  <c r="D720" i="28"/>
  <c r="D721" i="28"/>
  <c r="D722" i="28"/>
  <c r="D723" i="28"/>
  <c r="D724" i="28"/>
  <c r="D725" i="28"/>
  <c r="D726" i="28"/>
  <c r="D727" i="28"/>
  <c r="D728" i="28"/>
  <c r="D729" i="28"/>
  <c r="D730" i="28"/>
  <c r="D731" i="28"/>
  <c r="D732" i="28"/>
  <c r="D733" i="28"/>
  <c r="D734" i="28"/>
  <c r="D735" i="28"/>
  <c r="D736" i="28"/>
  <c r="D737" i="28"/>
  <c r="D738" i="28"/>
  <c r="D739" i="28"/>
  <c r="D740" i="28"/>
  <c r="D741" i="28"/>
  <c r="D742" i="28"/>
  <c r="D743" i="28"/>
  <c r="D744" i="28"/>
  <c r="D745" i="28"/>
  <c r="D746" i="28"/>
  <c r="D747" i="28"/>
  <c r="D748" i="28"/>
  <c r="D749" i="28"/>
  <c r="D750" i="28"/>
  <c r="D751" i="28"/>
  <c r="D752" i="28"/>
  <c r="D753" i="28"/>
  <c r="D754" i="28"/>
  <c r="D755" i="28"/>
  <c r="D756" i="28"/>
  <c r="D757" i="28"/>
  <c r="D758" i="28"/>
  <c r="D759" i="28"/>
  <c r="D760" i="28"/>
  <c r="D761" i="28"/>
  <c r="D762" i="28"/>
  <c r="D763" i="28"/>
  <c r="D764" i="28"/>
  <c r="D765" i="28"/>
  <c r="D766" i="28"/>
  <c r="D767" i="28"/>
  <c r="D768" i="28"/>
  <c r="D769" i="28"/>
  <c r="D770" i="28"/>
  <c r="D771" i="28"/>
  <c r="D772" i="28"/>
  <c r="D773" i="28"/>
  <c r="D774" i="28"/>
  <c r="D775" i="28"/>
  <c r="D776" i="28"/>
  <c r="D777" i="28"/>
  <c r="D778" i="28"/>
  <c r="D779" i="28"/>
  <c r="D780" i="28"/>
  <c r="D781" i="28"/>
  <c r="D782" i="28"/>
  <c r="D783" i="28"/>
  <c r="D784" i="28"/>
  <c r="D785" i="28"/>
  <c r="D786" i="28"/>
  <c r="D787" i="28"/>
  <c r="D788" i="28"/>
  <c r="D789" i="28"/>
  <c r="D790" i="28"/>
  <c r="D791" i="28"/>
  <c r="D792" i="28"/>
  <c r="D793" i="28"/>
  <c r="D794" i="28"/>
  <c r="D795" i="28"/>
  <c r="D796" i="28"/>
  <c r="D797" i="28"/>
  <c r="D798" i="28"/>
  <c r="D799" i="28"/>
  <c r="D800" i="28"/>
  <c r="D801" i="28"/>
  <c r="D802" i="28"/>
  <c r="D803" i="28"/>
  <c r="D804" i="28"/>
  <c r="D805" i="28"/>
  <c r="D806" i="28"/>
  <c r="D807" i="28"/>
  <c r="D808" i="28"/>
  <c r="D809" i="28"/>
  <c r="D810" i="28"/>
  <c r="D811" i="28"/>
  <c r="D812" i="28"/>
  <c r="D813" i="28"/>
  <c r="D814" i="28"/>
  <c r="D815" i="28"/>
  <c r="D816" i="28"/>
  <c r="D817" i="28"/>
  <c r="D818" i="28"/>
  <c r="D819" i="28"/>
  <c r="D820" i="28"/>
  <c r="D821" i="28"/>
  <c r="D822" i="28"/>
  <c r="D823" i="28"/>
  <c r="D824" i="28"/>
  <c r="D825" i="28"/>
  <c r="D826" i="28"/>
  <c r="D827" i="28"/>
  <c r="D828" i="28"/>
  <c r="D829" i="28"/>
  <c r="D830" i="28"/>
  <c r="D831" i="28"/>
  <c r="D832" i="28"/>
  <c r="D833" i="28"/>
  <c r="D834" i="28"/>
  <c r="D835" i="28"/>
  <c r="D836" i="28"/>
  <c r="D837" i="28"/>
  <c r="D838" i="28"/>
  <c r="D839" i="28"/>
  <c r="D840" i="28"/>
  <c r="D841" i="28"/>
  <c r="D842" i="28"/>
  <c r="D843" i="28"/>
  <c r="D844" i="28"/>
  <c r="D845" i="28"/>
  <c r="D846" i="28"/>
  <c r="D847" i="28"/>
  <c r="D848" i="28"/>
  <c r="D849" i="28"/>
  <c r="D850" i="28"/>
  <c r="D851" i="28"/>
  <c r="D852" i="28"/>
  <c r="D853" i="28"/>
  <c r="D854" i="28"/>
  <c r="D855" i="28"/>
  <c r="D856" i="28"/>
  <c r="D857" i="28"/>
  <c r="D858" i="28"/>
  <c r="D859" i="28"/>
  <c r="D860" i="28"/>
  <c r="D861" i="28"/>
  <c r="D862" i="28"/>
  <c r="D863" i="28"/>
  <c r="D864" i="28"/>
  <c r="D865" i="28"/>
  <c r="D866" i="28"/>
  <c r="D867" i="28"/>
  <c r="D868" i="28"/>
  <c r="D869" i="28"/>
  <c r="D870" i="28"/>
  <c r="D871" i="28"/>
  <c r="D872" i="28"/>
  <c r="D873" i="28"/>
  <c r="D874" i="28"/>
  <c r="D875" i="28"/>
  <c r="D876" i="28"/>
  <c r="D877" i="28"/>
  <c r="D878" i="28"/>
  <c r="D879" i="28"/>
  <c r="D880" i="28"/>
  <c r="D881" i="28"/>
  <c r="D882" i="28"/>
  <c r="D883" i="28"/>
  <c r="D884" i="28"/>
  <c r="D885" i="28"/>
  <c r="D886" i="28"/>
  <c r="D887" i="28"/>
  <c r="D888" i="28"/>
  <c r="D889" i="28"/>
  <c r="D890" i="28"/>
  <c r="D891" i="28"/>
  <c r="D892" i="28"/>
  <c r="D893" i="28"/>
  <c r="D894" i="28"/>
  <c r="D895" i="28"/>
  <c r="D896" i="28"/>
  <c r="D897" i="28"/>
  <c r="D898" i="28"/>
  <c r="D899" i="28"/>
  <c r="D900" i="28"/>
  <c r="D901" i="28"/>
  <c r="D902" i="28"/>
  <c r="D903" i="28"/>
  <c r="D904" i="28"/>
  <c r="D905" i="28"/>
  <c r="D906" i="28"/>
  <c r="D907" i="28"/>
  <c r="D908" i="28"/>
  <c r="D909" i="28"/>
  <c r="D910" i="28"/>
  <c r="D911" i="28"/>
  <c r="D912" i="28"/>
  <c r="D913" i="28"/>
  <c r="D914" i="28"/>
  <c r="D915" i="28"/>
  <c r="D916" i="28"/>
  <c r="D917" i="28"/>
  <c r="D918" i="28"/>
  <c r="D919" i="28"/>
  <c r="D920" i="28"/>
  <c r="D921" i="28"/>
  <c r="D922" i="28"/>
  <c r="D923" i="28"/>
  <c r="D924" i="28"/>
  <c r="D925" i="28"/>
  <c r="D926" i="28"/>
  <c r="D927" i="28"/>
  <c r="D928" i="28"/>
  <c r="D929" i="28"/>
  <c r="D930" i="28"/>
  <c r="D931" i="28"/>
  <c r="D932" i="28"/>
  <c r="D933" i="28"/>
  <c r="D934" i="28"/>
  <c r="D935" i="28"/>
  <c r="D936" i="28"/>
  <c r="D937" i="28"/>
  <c r="D938" i="28"/>
  <c r="D939" i="28"/>
  <c r="D940" i="28"/>
  <c r="D941" i="28"/>
  <c r="D942" i="28"/>
  <c r="D943" i="28"/>
  <c r="D944" i="28"/>
  <c r="D945" i="28"/>
  <c r="D946" i="28"/>
  <c r="D947" i="28"/>
  <c r="D948" i="28"/>
  <c r="D949" i="28"/>
  <c r="D950" i="28"/>
  <c r="D951" i="28"/>
  <c r="D952" i="28"/>
  <c r="D953" i="28"/>
  <c r="D954" i="28"/>
  <c r="D955" i="28"/>
  <c r="D956" i="28"/>
  <c r="D957" i="28"/>
  <c r="D958" i="28"/>
  <c r="D959" i="28"/>
  <c r="D960" i="28"/>
  <c r="D961" i="28"/>
  <c r="D962" i="28"/>
  <c r="D963" i="28"/>
  <c r="D964" i="28"/>
  <c r="D965" i="28"/>
  <c r="D966" i="28"/>
  <c r="D967" i="28"/>
  <c r="D968" i="28"/>
  <c r="D969" i="28"/>
  <c r="D970" i="28"/>
  <c r="D971" i="28"/>
  <c r="D972" i="28"/>
  <c r="D973" i="28"/>
  <c r="D974" i="28"/>
  <c r="D975" i="28"/>
  <c r="D976" i="28"/>
  <c r="D977" i="28"/>
  <c r="D978" i="28"/>
  <c r="D979" i="28"/>
  <c r="D980" i="28"/>
  <c r="D981" i="28"/>
  <c r="D982" i="28"/>
  <c r="D983" i="28"/>
  <c r="D984" i="28"/>
  <c r="D985" i="28"/>
  <c r="D986" i="28"/>
  <c r="D987" i="28"/>
  <c r="D988" i="28"/>
  <c r="D989" i="28"/>
  <c r="D990" i="28"/>
  <c r="D991" i="28"/>
  <c r="D992" i="28"/>
  <c r="D993" i="28"/>
  <c r="D994" i="28"/>
  <c r="D995" i="28"/>
  <c r="D996" i="28"/>
  <c r="D997" i="28"/>
  <c r="D998" i="28"/>
  <c r="D999" i="28"/>
  <c r="D1000" i="28"/>
  <c r="D1001" i="28"/>
  <c r="D1002" i="28"/>
  <c r="D1003" i="28"/>
  <c r="C10" i="28"/>
  <c r="C11" i="28"/>
  <c r="C12" i="28"/>
  <c r="C13" i="28"/>
  <c r="C14" i="28"/>
  <c r="C15" i="28"/>
  <c r="C16" i="28"/>
  <c r="C17" i="28"/>
  <c r="C18" i="28"/>
  <c r="C19" i="28"/>
  <c r="C20" i="28"/>
  <c r="C21" i="28"/>
  <c r="C22" i="28"/>
  <c r="C23" i="28"/>
  <c r="C24" i="28"/>
  <c r="C25" i="28"/>
  <c r="C26" i="28"/>
  <c r="C27" i="28"/>
  <c r="C28" i="28"/>
  <c r="C29" i="28"/>
  <c r="C30" i="28"/>
  <c r="C31" i="28"/>
  <c r="C32" i="28"/>
  <c r="C33" i="28"/>
  <c r="C34" i="28"/>
  <c r="C35" i="28"/>
  <c r="C36" i="28"/>
  <c r="C37" i="28"/>
  <c r="C38" i="28"/>
  <c r="C39" i="28"/>
  <c r="C40" i="28"/>
  <c r="C41" i="28"/>
  <c r="C42" i="28"/>
  <c r="C43" i="28"/>
  <c r="C44" i="28"/>
  <c r="C45" i="28"/>
  <c r="C46" i="28"/>
  <c r="C47" i="28"/>
  <c r="C48" i="28"/>
  <c r="C49" i="28"/>
  <c r="C50" i="28"/>
  <c r="C51" i="28"/>
  <c r="C52" i="28"/>
  <c r="C53" i="28"/>
  <c r="C54" i="28"/>
  <c r="C55" i="28"/>
  <c r="C56" i="28"/>
  <c r="C57" i="28"/>
  <c r="C58" i="28"/>
  <c r="C59" i="28"/>
  <c r="C60" i="28"/>
  <c r="C61" i="28"/>
  <c r="C62" i="28"/>
  <c r="C63" i="28"/>
  <c r="C64" i="28"/>
  <c r="C65" i="28"/>
  <c r="C66" i="28"/>
  <c r="C67" i="28"/>
  <c r="C68" i="28"/>
  <c r="C69" i="28"/>
  <c r="C70" i="28"/>
  <c r="C71" i="28"/>
  <c r="C72" i="28"/>
  <c r="C73" i="28"/>
  <c r="C74" i="28"/>
  <c r="C75" i="28"/>
  <c r="C76" i="28"/>
  <c r="C77" i="28"/>
  <c r="C78" i="28"/>
  <c r="C79" i="28"/>
  <c r="C80" i="28"/>
  <c r="C81" i="28"/>
  <c r="C82" i="28"/>
  <c r="C83" i="28"/>
  <c r="C84" i="28"/>
  <c r="C85" i="28"/>
  <c r="C86" i="28"/>
  <c r="C87" i="28"/>
  <c r="C88" i="28"/>
  <c r="C89" i="28"/>
  <c r="C90" i="28"/>
  <c r="C91" i="28"/>
  <c r="C92" i="28"/>
  <c r="C93" i="28"/>
  <c r="C94" i="28"/>
  <c r="C95" i="28"/>
  <c r="C96" i="28"/>
  <c r="C97" i="28"/>
  <c r="C98" i="28"/>
  <c r="C99" i="28"/>
  <c r="C100" i="28"/>
  <c r="C101" i="28"/>
  <c r="C102" i="28"/>
  <c r="C103" i="28"/>
  <c r="C104" i="28"/>
  <c r="C105" i="28"/>
  <c r="C106" i="28"/>
  <c r="C107" i="28"/>
  <c r="C108" i="28"/>
  <c r="C109" i="28"/>
  <c r="C110" i="28"/>
  <c r="C111" i="28"/>
  <c r="C112" i="28"/>
  <c r="C113" i="28"/>
  <c r="C114" i="28"/>
  <c r="C115" i="28"/>
  <c r="C116" i="28"/>
  <c r="C117" i="28"/>
  <c r="C118" i="28"/>
  <c r="C119" i="28"/>
  <c r="C120" i="28"/>
  <c r="C121" i="28"/>
  <c r="C122" i="28"/>
  <c r="C123" i="28"/>
  <c r="C124" i="28"/>
  <c r="C125" i="28"/>
  <c r="C126" i="28"/>
  <c r="C127" i="28"/>
  <c r="C128" i="28"/>
  <c r="C129" i="28"/>
  <c r="C130" i="28"/>
  <c r="C131" i="28"/>
  <c r="C132" i="28"/>
  <c r="C133" i="28"/>
  <c r="C134" i="28"/>
  <c r="C135" i="28"/>
  <c r="C136" i="28"/>
  <c r="C137" i="28"/>
  <c r="C138" i="28"/>
  <c r="C139" i="28"/>
  <c r="C140" i="28"/>
  <c r="C141" i="28"/>
  <c r="C142" i="28"/>
  <c r="C143" i="28"/>
  <c r="C144" i="28"/>
  <c r="C145" i="28"/>
  <c r="C146" i="28"/>
  <c r="C147" i="28"/>
  <c r="C148" i="28"/>
  <c r="C149" i="28"/>
  <c r="C150" i="28"/>
  <c r="C151" i="28"/>
  <c r="C152" i="28"/>
  <c r="C153" i="28"/>
  <c r="C154" i="28"/>
  <c r="C155" i="28"/>
  <c r="C156" i="28"/>
  <c r="C157" i="28"/>
  <c r="C158" i="28"/>
  <c r="C159" i="28"/>
  <c r="C160" i="28"/>
  <c r="C161" i="28"/>
  <c r="C162" i="28"/>
  <c r="C163" i="28"/>
  <c r="C164" i="28"/>
  <c r="C165" i="28"/>
  <c r="C166" i="28"/>
  <c r="C167" i="28"/>
  <c r="C168" i="28"/>
  <c r="C169" i="28"/>
  <c r="C170" i="28"/>
  <c r="C171" i="28"/>
  <c r="C172" i="28"/>
  <c r="C173" i="28"/>
  <c r="C174" i="28"/>
  <c r="C175" i="28"/>
  <c r="C176" i="28"/>
  <c r="C177" i="28"/>
  <c r="C178" i="28"/>
  <c r="C179" i="28"/>
  <c r="C180" i="28"/>
  <c r="C181" i="28"/>
  <c r="C182" i="28"/>
  <c r="C183" i="28"/>
  <c r="C184" i="28"/>
  <c r="C185" i="28"/>
  <c r="C186" i="28"/>
  <c r="C187" i="28"/>
  <c r="C188" i="28"/>
  <c r="C189" i="28"/>
  <c r="C190" i="28"/>
  <c r="C191" i="28"/>
  <c r="C192" i="28"/>
  <c r="C193" i="28"/>
  <c r="C194" i="28"/>
  <c r="C195" i="28"/>
  <c r="C196" i="28"/>
  <c r="C197" i="28"/>
  <c r="C198" i="28"/>
  <c r="C199" i="28"/>
  <c r="C200" i="28"/>
  <c r="C201" i="28"/>
  <c r="C202" i="28"/>
  <c r="C203" i="28"/>
  <c r="C204" i="28"/>
  <c r="C205" i="28"/>
  <c r="C206" i="28"/>
  <c r="C207" i="28"/>
  <c r="C208" i="28"/>
  <c r="C209" i="28"/>
  <c r="C210" i="28"/>
  <c r="C211" i="28"/>
  <c r="C212" i="28"/>
  <c r="C213" i="28"/>
  <c r="C214" i="28"/>
  <c r="C215" i="28"/>
  <c r="C216" i="28"/>
  <c r="C217" i="28"/>
  <c r="C218" i="28"/>
  <c r="C219" i="28"/>
  <c r="C220" i="28"/>
  <c r="C221" i="28"/>
  <c r="C222" i="28"/>
  <c r="C223" i="28"/>
  <c r="C224" i="28"/>
  <c r="C225" i="28"/>
  <c r="C226" i="28"/>
  <c r="C227" i="28"/>
  <c r="C228" i="28"/>
  <c r="C229" i="28"/>
  <c r="C230" i="28"/>
  <c r="C231" i="28"/>
  <c r="C232" i="28"/>
  <c r="C233" i="28"/>
  <c r="C234" i="28"/>
  <c r="C235" i="28"/>
  <c r="C236" i="28"/>
  <c r="C237" i="28"/>
  <c r="C238" i="28"/>
  <c r="C239" i="28"/>
  <c r="C240" i="28"/>
  <c r="C241" i="28"/>
  <c r="C242" i="28"/>
  <c r="C243" i="28"/>
  <c r="C244" i="28"/>
  <c r="C245" i="28"/>
  <c r="C246" i="28"/>
  <c r="C247" i="28"/>
  <c r="C248" i="28"/>
  <c r="C249" i="28"/>
  <c r="C250" i="28"/>
  <c r="C251" i="28"/>
  <c r="C252" i="28"/>
  <c r="C253" i="28"/>
  <c r="C254" i="28"/>
  <c r="C255" i="28"/>
  <c r="C256" i="28"/>
  <c r="C257" i="28"/>
  <c r="C258" i="28"/>
  <c r="C259" i="28"/>
  <c r="C260" i="28"/>
  <c r="C261" i="28"/>
  <c r="C262" i="28"/>
  <c r="C263" i="28"/>
  <c r="C264" i="28"/>
  <c r="C265" i="28"/>
  <c r="C266" i="28"/>
  <c r="C267" i="28"/>
  <c r="C268" i="28"/>
  <c r="C269" i="28"/>
  <c r="C270" i="28"/>
  <c r="C271" i="28"/>
  <c r="C272" i="28"/>
  <c r="C273" i="28"/>
  <c r="C274" i="28"/>
  <c r="C275" i="28"/>
  <c r="C276" i="28"/>
  <c r="C277" i="28"/>
  <c r="C278" i="28"/>
  <c r="C279" i="28"/>
  <c r="C280" i="28"/>
  <c r="C281" i="28"/>
  <c r="C282" i="28"/>
  <c r="C283" i="28"/>
  <c r="C284" i="28"/>
  <c r="C285" i="28"/>
  <c r="C286" i="28"/>
  <c r="C287" i="28"/>
  <c r="C288" i="28"/>
  <c r="C289" i="28"/>
  <c r="C290" i="28"/>
  <c r="C291" i="28"/>
  <c r="C292" i="28"/>
  <c r="C293" i="28"/>
  <c r="C294" i="28"/>
  <c r="C295" i="28"/>
  <c r="C296" i="28"/>
  <c r="C297" i="28"/>
  <c r="C298" i="28"/>
  <c r="C299" i="28"/>
  <c r="C300" i="28"/>
  <c r="C301" i="28"/>
  <c r="C302" i="28"/>
  <c r="C303" i="28"/>
  <c r="C304" i="28"/>
  <c r="C305" i="28"/>
  <c r="C306" i="28"/>
  <c r="C307" i="28"/>
  <c r="C308" i="28"/>
  <c r="C309" i="28"/>
  <c r="C310" i="28"/>
  <c r="C311" i="28"/>
  <c r="C312" i="28"/>
  <c r="C313" i="28"/>
  <c r="C314" i="28"/>
  <c r="C315" i="28"/>
  <c r="C316" i="28"/>
  <c r="C317" i="28"/>
  <c r="C318" i="28"/>
  <c r="C319" i="28"/>
  <c r="C320" i="28"/>
  <c r="C321" i="28"/>
  <c r="C322" i="28"/>
  <c r="C323" i="28"/>
  <c r="C324" i="28"/>
  <c r="C325" i="28"/>
  <c r="C326" i="28"/>
  <c r="C327" i="28"/>
  <c r="C328" i="28"/>
  <c r="C329" i="28"/>
  <c r="C330" i="28"/>
  <c r="C331" i="28"/>
  <c r="C332" i="28"/>
  <c r="C333" i="28"/>
  <c r="C334" i="28"/>
  <c r="C335" i="28"/>
  <c r="C336" i="28"/>
  <c r="C337" i="28"/>
  <c r="C338" i="28"/>
  <c r="C339" i="28"/>
  <c r="C340" i="28"/>
  <c r="C341" i="28"/>
  <c r="C342" i="28"/>
  <c r="C343" i="28"/>
  <c r="C344" i="28"/>
  <c r="C345" i="28"/>
  <c r="C346" i="28"/>
  <c r="C347" i="28"/>
  <c r="C348" i="28"/>
  <c r="C349" i="28"/>
  <c r="C350" i="28"/>
  <c r="C351" i="28"/>
  <c r="C352" i="28"/>
  <c r="C353" i="28"/>
  <c r="C354" i="28"/>
  <c r="C355" i="28"/>
  <c r="C356" i="28"/>
  <c r="C357" i="28"/>
  <c r="C358" i="28"/>
  <c r="C359" i="28"/>
  <c r="C360" i="28"/>
  <c r="C361" i="28"/>
  <c r="C362" i="28"/>
  <c r="C363" i="28"/>
  <c r="C364" i="28"/>
  <c r="C365" i="28"/>
  <c r="C366" i="28"/>
  <c r="C367" i="28"/>
  <c r="C368" i="28"/>
  <c r="C369" i="28"/>
  <c r="C370" i="28"/>
  <c r="C371" i="28"/>
  <c r="C372" i="28"/>
  <c r="C373" i="28"/>
  <c r="C374" i="28"/>
  <c r="C375" i="28"/>
  <c r="C376" i="28"/>
  <c r="C377" i="28"/>
  <c r="C378" i="28"/>
  <c r="C379" i="28"/>
  <c r="C380" i="28"/>
  <c r="C381" i="28"/>
  <c r="C382" i="28"/>
  <c r="C383" i="28"/>
  <c r="C384" i="28"/>
  <c r="C385" i="28"/>
  <c r="C386" i="28"/>
  <c r="C387" i="28"/>
  <c r="C388" i="28"/>
  <c r="C389" i="28"/>
  <c r="C390" i="28"/>
  <c r="C391" i="28"/>
  <c r="C392" i="28"/>
  <c r="C393" i="28"/>
  <c r="C394" i="28"/>
  <c r="C395" i="28"/>
  <c r="C396" i="28"/>
  <c r="C397" i="28"/>
  <c r="C398" i="28"/>
  <c r="C399" i="28"/>
  <c r="C400" i="28"/>
  <c r="C401" i="28"/>
  <c r="C402" i="28"/>
  <c r="C403" i="28"/>
  <c r="C404" i="28"/>
  <c r="C405" i="28"/>
  <c r="C406" i="28"/>
  <c r="C407" i="28"/>
  <c r="C408" i="28"/>
  <c r="C409" i="28"/>
  <c r="C410" i="28"/>
  <c r="C411" i="28"/>
  <c r="C412" i="28"/>
  <c r="C413" i="28"/>
  <c r="C414" i="28"/>
  <c r="C415" i="28"/>
  <c r="C416" i="28"/>
  <c r="C417" i="28"/>
  <c r="C418" i="28"/>
  <c r="C419" i="28"/>
  <c r="C420" i="28"/>
  <c r="C421" i="28"/>
  <c r="C422" i="28"/>
  <c r="C423" i="28"/>
  <c r="C424" i="28"/>
  <c r="C425" i="28"/>
  <c r="C426" i="28"/>
  <c r="C427" i="28"/>
  <c r="C428" i="28"/>
  <c r="C429" i="28"/>
  <c r="C430" i="28"/>
  <c r="C431" i="28"/>
  <c r="C432" i="28"/>
  <c r="C433" i="28"/>
  <c r="C434" i="28"/>
  <c r="C435" i="28"/>
  <c r="C436" i="28"/>
  <c r="C437" i="28"/>
  <c r="C438" i="28"/>
  <c r="C439" i="28"/>
  <c r="C440" i="28"/>
  <c r="C441" i="28"/>
  <c r="C442" i="28"/>
  <c r="C443" i="28"/>
  <c r="C444" i="28"/>
  <c r="C445" i="28"/>
  <c r="C446" i="28"/>
  <c r="C447" i="28"/>
  <c r="C448" i="28"/>
  <c r="C449" i="28"/>
  <c r="C450" i="28"/>
  <c r="C451" i="28"/>
  <c r="C452" i="28"/>
  <c r="C453" i="28"/>
  <c r="C454" i="28"/>
  <c r="C455" i="28"/>
  <c r="C456" i="28"/>
  <c r="C457" i="28"/>
  <c r="C458" i="28"/>
  <c r="C459" i="28"/>
  <c r="C460" i="28"/>
  <c r="C461" i="28"/>
  <c r="C462" i="28"/>
  <c r="C463" i="28"/>
  <c r="C464" i="28"/>
  <c r="C465" i="28"/>
  <c r="C466" i="28"/>
  <c r="C467" i="28"/>
  <c r="C468" i="28"/>
  <c r="C469" i="28"/>
  <c r="C470" i="28"/>
  <c r="C471" i="28"/>
  <c r="C472" i="28"/>
  <c r="C473" i="28"/>
  <c r="C474" i="28"/>
  <c r="C475" i="28"/>
  <c r="C476" i="28"/>
  <c r="C477" i="28"/>
  <c r="C478" i="28"/>
  <c r="C479" i="28"/>
  <c r="C480" i="28"/>
  <c r="C481" i="28"/>
  <c r="C482" i="28"/>
  <c r="C483" i="28"/>
  <c r="C484" i="28"/>
  <c r="C485" i="28"/>
  <c r="C486" i="28"/>
  <c r="C487" i="28"/>
  <c r="C488" i="28"/>
  <c r="C489" i="28"/>
  <c r="C490" i="28"/>
  <c r="C491" i="28"/>
  <c r="C492" i="28"/>
  <c r="C493" i="28"/>
  <c r="C494" i="28"/>
  <c r="C495" i="28"/>
  <c r="C496" i="28"/>
  <c r="C497" i="28"/>
  <c r="C498" i="28"/>
  <c r="C499" i="28"/>
  <c r="C500" i="28"/>
  <c r="C501" i="28"/>
  <c r="C502" i="28"/>
  <c r="C503" i="28"/>
  <c r="C504" i="28"/>
  <c r="C505" i="28"/>
  <c r="C506" i="28"/>
  <c r="C507" i="28"/>
  <c r="C508" i="28"/>
  <c r="C509" i="28"/>
  <c r="C510" i="28"/>
  <c r="C511" i="28"/>
  <c r="C512" i="28"/>
  <c r="C513" i="28"/>
  <c r="C514" i="28"/>
  <c r="C515" i="28"/>
  <c r="C516" i="28"/>
  <c r="C517" i="28"/>
  <c r="C518" i="28"/>
  <c r="C519" i="28"/>
  <c r="C520" i="28"/>
  <c r="C521" i="28"/>
  <c r="C522" i="28"/>
  <c r="C523" i="28"/>
  <c r="C524" i="28"/>
  <c r="C525" i="28"/>
  <c r="C526" i="28"/>
  <c r="C527" i="28"/>
  <c r="C528" i="28"/>
  <c r="C529" i="28"/>
  <c r="C530" i="28"/>
  <c r="C531" i="28"/>
  <c r="C532" i="28"/>
  <c r="C533" i="28"/>
  <c r="C534" i="28"/>
  <c r="C535" i="28"/>
  <c r="C536" i="28"/>
  <c r="C537" i="28"/>
  <c r="C538" i="28"/>
  <c r="C539" i="28"/>
  <c r="C540" i="28"/>
  <c r="C541" i="28"/>
  <c r="C542" i="28"/>
  <c r="C543" i="28"/>
  <c r="C544" i="28"/>
  <c r="C545" i="28"/>
  <c r="C546" i="28"/>
  <c r="C547" i="28"/>
  <c r="C548" i="28"/>
  <c r="C549" i="28"/>
  <c r="C550" i="28"/>
  <c r="C551" i="28"/>
  <c r="C552" i="28"/>
  <c r="C553" i="28"/>
  <c r="C554" i="28"/>
  <c r="C555" i="28"/>
  <c r="C556" i="28"/>
  <c r="C557" i="28"/>
  <c r="C558" i="28"/>
  <c r="C559" i="28"/>
  <c r="C560" i="28"/>
  <c r="C561" i="28"/>
  <c r="C562" i="28"/>
  <c r="C563" i="28"/>
  <c r="C564" i="28"/>
  <c r="C565" i="28"/>
  <c r="C566" i="28"/>
  <c r="C567" i="28"/>
  <c r="C568" i="28"/>
  <c r="C569" i="28"/>
  <c r="C570" i="28"/>
  <c r="C571" i="28"/>
  <c r="C572" i="28"/>
  <c r="C573" i="28"/>
  <c r="C574" i="28"/>
  <c r="C575" i="28"/>
  <c r="C576" i="28"/>
  <c r="C577" i="28"/>
  <c r="C578" i="28"/>
  <c r="C579" i="28"/>
  <c r="C580" i="28"/>
  <c r="C581" i="28"/>
  <c r="C582" i="28"/>
  <c r="C583" i="28"/>
  <c r="C584" i="28"/>
  <c r="C585" i="28"/>
  <c r="C586" i="28"/>
  <c r="C587" i="28"/>
  <c r="C588" i="28"/>
  <c r="C589" i="28"/>
  <c r="C590" i="28"/>
  <c r="C591" i="28"/>
  <c r="C592" i="28"/>
  <c r="C593" i="28"/>
  <c r="C594" i="28"/>
  <c r="C595" i="28"/>
  <c r="C596" i="28"/>
  <c r="C597" i="28"/>
  <c r="C598" i="28"/>
  <c r="C599" i="28"/>
  <c r="C600" i="28"/>
  <c r="C601" i="28"/>
  <c r="C602" i="28"/>
  <c r="C603" i="28"/>
  <c r="C604" i="28"/>
  <c r="C605" i="28"/>
  <c r="C606" i="28"/>
  <c r="C607" i="28"/>
  <c r="C608" i="28"/>
  <c r="C609" i="28"/>
  <c r="C610" i="28"/>
  <c r="C611" i="28"/>
  <c r="C612" i="28"/>
  <c r="C613" i="28"/>
  <c r="C614" i="28"/>
  <c r="C615" i="28"/>
  <c r="C616" i="28"/>
  <c r="C617" i="28"/>
  <c r="C618" i="28"/>
  <c r="C619" i="28"/>
  <c r="C620" i="28"/>
  <c r="C621" i="28"/>
  <c r="C622" i="28"/>
  <c r="C623" i="28"/>
  <c r="C624" i="28"/>
  <c r="C625" i="28"/>
  <c r="C626" i="28"/>
  <c r="C627" i="28"/>
  <c r="C628" i="28"/>
  <c r="C629" i="28"/>
  <c r="C630" i="28"/>
  <c r="C631" i="28"/>
  <c r="C632" i="28"/>
  <c r="C633" i="28"/>
  <c r="C634" i="28"/>
  <c r="C635" i="28"/>
  <c r="C636" i="28"/>
  <c r="C637" i="28"/>
  <c r="C638" i="28"/>
  <c r="C639" i="28"/>
  <c r="C640" i="28"/>
  <c r="C641" i="28"/>
  <c r="C642" i="28"/>
  <c r="C643" i="28"/>
  <c r="C644" i="28"/>
  <c r="C645" i="28"/>
  <c r="C646" i="28"/>
  <c r="C647" i="28"/>
  <c r="C648" i="28"/>
  <c r="C649" i="28"/>
  <c r="C650" i="28"/>
  <c r="C651" i="28"/>
  <c r="C652" i="28"/>
  <c r="C653" i="28"/>
  <c r="C654" i="28"/>
  <c r="C655" i="28"/>
  <c r="C656" i="28"/>
  <c r="C657" i="28"/>
  <c r="C658" i="28"/>
  <c r="C659" i="28"/>
  <c r="C660" i="28"/>
  <c r="C661" i="28"/>
  <c r="C662" i="28"/>
  <c r="C663" i="28"/>
  <c r="C664" i="28"/>
  <c r="C665" i="28"/>
  <c r="C666" i="28"/>
  <c r="C667" i="28"/>
  <c r="C668" i="28"/>
  <c r="C669" i="28"/>
  <c r="C670" i="28"/>
  <c r="C671" i="28"/>
  <c r="C672" i="28"/>
  <c r="C673" i="28"/>
  <c r="C674" i="28"/>
  <c r="C675" i="28"/>
  <c r="C676" i="28"/>
  <c r="C677" i="28"/>
  <c r="C678" i="28"/>
  <c r="C679" i="28"/>
  <c r="C680" i="28"/>
  <c r="C681" i="28"/>
  <c r="C682" i="28"/>
  <c r="C683" i="28"/>
  <c r="C684" i="28"/>
  <c r="C685" i="28"/>
  <c r="C686" i="28"/>
  <c r="C687" i="28"/>
  <c r="C688" i="28"/>
  <c r="C689" i="28"/>
  <c r="C690" i="28"/>
  <c r="C691" i="28"/>
  <c r="C692" i="28"/>
  <c r="C693" i="28"/>
  <c r="C694" i="28"/>
  <c r="C695" i="28"/>
  <c r="C696" i="28"/>
  <c r="C697" i="28"/>
  <c r="C698" i="28"/>
  <c r="C699" i="28"/>
  <c r="C700" i="28"/>
  <c r="C701" i="28"/>
  <c r="C702" i="28"/>
  <c r="C703" i="28"/>
  <c r="C704" i="28"/>
  <c r="C705" i="28"/>
  <c r="C706" i="28"/>
  <c r="C707" i="28"/>
  <c r="C708" i="28"/>
  <c r="C709" i="28"/>
  <c r="C710" i="28"/>
  <c r="C711" i="28"/>
  <c r="C712" i="28"/>
  <c r="C713" i="28"/>
  <c r="C714" i="28"/>
  <c r="C715" i="28"/>
  <c r="C716" i="28"/>
  <c r="C717" i="28"/>
  <c r="C718" i="28"/>
  <c r="C719" i="28"/>
  <c r="C720" i="28"/>
  <c r="C721" i="28"/>
  <c r="C722" i="28"/>
  <c r="C723" i="28"/>
  <c r="C724" i="28"/>
  <c r="C725" i="28"/>
  <c r="C726" i="28"/>
  <c r="C727" i="28"/>
  <c r="C728" i="28"/>
  <c r="C729" i="28"/>
  <c r="C730" i="28"/>
  <c r="C731" i="28"/>
  <c r="C732" i="28"/>
  <c r="C733" i="28"/>
  <c r="C734" i="28"/>
  <c r="C735" i="28"/>
  <c r="C736" i="28"/>
  <c r="C737" i="28"/>
  <c r="C738" i="28"/>
  <c r="C739" i="28"/>
  <c r="C740" i="28"/>
  <c r="C741" i="28"/>
  <c r="C742" i="28"/>
  <c r="C743" i="28"/>
  <c r="C744" i="28"/>
  <c r="C745" i="28"/>
  <c r="C746" i="28"/>
  <c r="C747" i="28"/>
  <c r="C748" i="28"/>
  <c r="C749" i="28"/>
  <c r="C750" i="28"/>
  <c r="C751" i="28"/>
  <c r="C752" i="28"/>
  <c r="C753" i="28"/>
  <c r="C754" i="28"/>
  <c r="C755" i="28"/>
  <c r="C756" i="28"/>
  <c r="C757" i="28"/>
  <c r="C758" i="28"/>
  <c r="C759" i="28"/>
  <c r="C760" i="28"/>
  <c r="C761" i="28"/>
  <c r="C762" i="28"/>
  <c r="C763" i="28"/>
  <c r="C764" i="28"/>
  <c r="C765" i="28"/>
  <c r="C766" i="28"/>
  <c r="C767" i="28"/>
  <c r="C768" i="28"/>
  <c r="C769" i="28"/>
  <c r="C770" i="28"/>
  <c r="C771" i="28"/>
  <c r="C772" i="28"/>
  <c r="C773" i="28"/>
  <c r="C774" i="28"/>
  <c r="C775" i="28"/>
  <c r="C776" i="28"/>
  <c r="C777" i="28"/>
  <c r="C778" i="28"/>
  <c r="C779" i="28"/>
  <c r="C780" i="28"/>
  <c r="C781" i="28"/>
  <c r="C782" i="28"/>
  <c r="C783" i="28"/>
  <c r="C784" i="28"/>
  <c r="C785" i="28"/>
  <c r="C786" i="28"/>
  <c r="C787" i="28"/>
  <c r="C788" i="28"/>
  <c r="C789" i="28"/>
  <c r="C790" i="28"/>
  <c r="C791" i="28"/>
  <c r="C792" i="28"/>
  <c r="C793" i="28"/>
  <c r="C794" i="28"/>
  <c r="C795" i="28"/>
  <c r="C796" i="28"/>
  <c r="C797" i="28"/>
  <c r="C798" i="28"/>
  <c r="C799" i="28"/>
  <c r="C800" i="28"/>
  <c r="C801" i="28"/>
  <c r="C802" i="28"/>
  <c r="C803" i="28"/>
  <c r="C804" i="28"/>
  <c r="C805" i="28"/>
  <c r="C806" i="28"/>
  <c r="C807" i="28"/>
  <c r="C808" i="28"/>
  <c r="C809" i="28"/>
  <c r="C810" i="28"/>
  <c r="C811" i="28"/>
  <c r="C812" i="28"/>
  <c r="C813" i="28"/>
  <c r="C814" i="28"/>
  <c r="C815" i="28"/>
  <c r="C816" i="28"/>
  <c r="C817" i="28"/>
  <c r="C818" i="28"/>
  <c r="C819" i="28"/>
  <c r="C820" i="28"/>
  <c r="C821" i="28"/>
  <c r="C822" i="28"/>
  <c r="C823" i="28"/>
  <c r="C824" i="28"/>
  <c r="C825" i="28"/>
  <c r="C826" i="28"/>
  <c r="C827" i="28"/>
  <c r="C828" i="28"/>
  <c r="C829" i="28"/>
  <c r="C830" i="28"/>
  <c r="C831" i="28"/>
  <c r="C832" i="28"/>
  <c r="C833" i="28"/>
  <c r="C834" i="28"/>
  <c r="C835" i="28"/>
  <c r="C836" i="28"/>
  <c r="C837" i="28"/>
  <c r="C838" i="28"/>
  <c r="C839" i="28"/>
  <c r="C840" i="28"/>
  <c r="C841" i="28"/>
  <c r="C842" i="28"/>
  <c r="C843" i="28"/>
  <c r="C844" i="28"/>
  <c r="C845" i="28"/>
  <c r="C846" i="28"/>
  <c r="C847" i="28"/>
  <c r="C848" i="28"/>
  <c r="C849" i="28"/>
  <c r="C850" i="28"/>
  <c r="C851" i="28"/>
  <c r="C852" i="28"/>
  <c r="C853" i="28"/>
  <c r="C854" i="28"/>
  <c r="C855" i="28"/>
  <c r="C856" i="28"/>
  <c r="C857" i="28"/>
  <c r="C858" i="28"/>
  <c r="C859" i="28"/>
  <c r="C860" i="28"/>
  <c r="C861" i="28"/>
  <c r="C862" i="28"/>
  <c r="C863" i="28"/>
  <c r="C864" i="28"/>
  <c r="C865" i="28"/>
  <c r="C866" i="28"/>
  <c r="C867" i="28"/>
  <c r="C868" i="28"/>
  <c r="C869" i="28"/>
  <c r="C870" i="28"/>
  <c r="C871" i="28"/>
  <c r="C872" i="28"/>
  <c r="C873" i="28"/>
  <c r="C874" i="28"/>
  <c r="C875" i="28"/>
  <c r="C876" i="28"/>
  <c r="C877" i="28"/>
  <c r="C878" i="28"/>
  <c r="C879" i="28"/>
  <c r="C880" i="28"/>
  <c r="C881" i="28"/>
  <c r="C882" i="28"/>
  <c r="C883" i="28"/>
  <c r="C884" i="28"/>
  <c r="C885" i="28"/>
  <c r="C886" i="28"/>
  <c r="C887" i="28"/>
  <c r="C888" i="28"/>
  <c r="C889" i="28"/>
  <c r="C890" i="28"/>
  <c r="C891" i="28"/>
  <c r="C892" i="28"/>
  <c r="C893" i="28"/>
  <c r="C894" i="28"/>
  <c r="C895" i="28"/>
  <c r="C896" i="28"/>
  <c r="C897" i="28"/>
  <c r="C898" i="28"/>
  <c r="C899" i="28"/>
  <c r="C900" i="28"/>
  <c r="C901" i="28"/>
  <c r="C902" i="28"/>
  <c r="C903" i="28"/>
  <c r="C904" i="28"/>
  <c r="C905" i="28"/>
  <c r="C906" i="28"/>
  <c r="C907" i="28"/>
  <c r="C908" i="28"/>
  <c r="C909" i="28"/>
  <c r="C910" i="28"/>
  <c r="C911" i="28"/>
  <c r="C912" i="28"/>
  <c r="C913" i="28"/>
  <c r="C914" i="28"/>
  <c r="C915" i="28"/>
  <c r="C916" i="28"/>
  <c r="C917" i="28"/>
  <c r="C918" i="28"/>
  <c r="C919" i="28"/>
  <c r="C920" i="28"/>
  <c r="C921" i="28"/>
  <c r="C922" i="28"/>
  <c r="C923" i="28"/>
  <c r="C924" i="28"/>
  <c r="C925" i="28"/>
  <c r="C926" i="28"/>
  <c r="C927" i="28"/>
  <c r="C928" i="28"/>
  <c r="C929" i="28"/>
  <c r="C930" i="28"/>
  <c r="C931" i="28"/>
  <c r="C932" i="28"/>
  <c r="C933" i="28"/>
  <c r="C934" i="28"/>
  <c r="C935" i="28"/>
  <c r="C936" i="28"/>
  <c r="C937" i="28"/>
  <c r="C938" i="28"/>
  <c r="C939" i="28"/>
  <c r="C940" i="28"/>
  <c r="C941" i="28"/>
  <c r="C942" i="28"/>
  <c r="C943" i="28"/>
  <c r="C944" i="28"/>
  <c r="C945" i="28"/>
  <c r="C946" i="28"/>
  <c r="C947" i="28"/>
  <c r="C948" i="28"/>
  <c r="C949" i="28"/>
  <c r="C950" i="28"/>
  <c r="C951" i="28"/>
  <c r="C952" i="28"/>
  <c r="C953" i="28"/>
  <c r="C954" i="28"/>
  <c r="C955" i="28"/>
  <c r="C956" i="28"/>
  <c r="C957" i="28"/>
  <c r="C958" i="28"/>
  <c r="C959" i="28"/>
  <c r="C960" i="28"/>
  <c r="C961" i="28"/>
  <c r="C962" i="28"/>
  <c r="C963" i="28"/>
  <c r="C964" i="28"/>
  <c r="C965" i="28"/>
  <c r="C966" i="28"/>
  <c r="C967" i="28"/>
  <c r="C968" i="28"/>
  <c r="C969" i="28"/>
  <c r="C970" i="28"/>
  <c r="C971" i="28"/>
  <c r="C972" i="28"/>
  <c r="C973" i="28"/>
  <c r="C974" i="28"/>
  <c r="C975" i="28"/>
  <c r="C976" i="28"/>
  <c r="C977" i="28"/>
  <c r="C978" i="28"/>
  <c r="C979" i="28"/>
  <c r="C980" i="28"/>
  <c r="C981" i="28"/>
  <c r="C982" i="28"/>
  <c r="C983" i="28"/>
  <c r="C984" i="28"/>
  <c r="C985" i="28"/>
  <c r="C986" i="28"/>
  <c r="C987" i="28"/>
  <c r="C988" i="28"/>
  <c r="C989" i="28"/>
  <c r="C990" i="28"/>
  <c r="C991" i="28"/>
  <c r="C992" i="28"/>
  <c r="C993" i="28"/>
  <c r="C994" i="28"/>
  <c r="C995" i="28"/>
  <c r="C996" i="28"/>
  <c r="C997" i="28"/>
  <c r="C998" i="28"/>
  <c r="C999" i="28"/>
  <c r="C1000" i="28"/>
  <c r="C1001" i="28"/>
  <c r="C1002" i="28"/>
  <c r="C1003" i="28"/>
  <c r="G301" i="42"/>
  <c r="G302" i="42"/>
  <c r="G303" i="42"/>
  <c r="G304" i="42"/>
  <c r="G305" i="42"/>
  <c r="G306" i="42"/>
  <c r="G307" i="42"/>
  <c r="G308" i="42"/>
  <c r="G309" i="42"/>
  <c r="G310" i="42"/>
  <c r="G311" i="42"/>
  <c r="G312" i="42"/>
  <c r="G313" i="42"/>
  <c r="G314" i="42"/>
  <c r="G315" i="42"/>
  <c r="G316" i="42"/>
  <c r="G317" i="42"/>
  <c r="G318" i="42"/>
  <c r="G319" i="42"/>
  <c r="G320" i="42"/>
  <c r="G321" i="42"/>
  <c r="G322" i="42"/>
  <c r="G323" i="42"/>
  <c r="G324" i="42"/>
  <c r="G325" i="42"/>
  <c r="G326" i="42"/>
  <c r="G327" i="42"/>
  <c r="G328" i="42"/>
  <c r="G329" i="42"/>
  <c r="G330" i="42"/>
  <c r="G331" i="42"/>
  <c r="G332" i="42"/>
  <c r="G333" i="42"/>
  <c r="G334" i="42"/>
  <c r="G335" i="42"/>
  <c r="G336" i="42"/>
  <c r="G337" i="42"/>
  <c r="G338" i="42"/>
  <c r="G339" i="42"/>
  <c r="G340" i="42"/>
  <c r="G341" i="42"/>
  <c r="G342" i="42"/>
  <c r="G343" i="42"/>
  <c r="G344" i="42"/>
  <c r="G345" i="42"/>
  <c r="G346" i="42"/>
  <c r="G347" i="42"/>
  <c r="G348" i="42"/>
  <c r="G349" i="42"/>
  <c r="G350" i="42"/>
  <c r="G351" i="42"/>
  <c r="G352" i="42"/>
  <c r="G353" i="42"/>
  <c r="G354" i="42"/>
  <c r="G355" i="42"/>
  <c r="G356" i="42"/>
  <c r="G357" i="42"/>
  <c r="G358" i="42"/>
  <c r="G359" i="42"/>
  <c r="G360" i="42"/>
  <c r="G361" i="42"/>
  <c r="G362" i="42"/>
  <c r="F301" i="42"/>
  <c r="F302" i="42"/>
  <c r="F303" i="42"/>
  <c r="F304" i="42"/>
  <c r="F305" i="42"/>
  <c r="F306" i="42"/>
  <c r="F307" i="42"/>
  <c r="F308" i="42"/>
  <c r="F309" i="42"/>
  <c r="F310" i="42"/>
  <c r="F311" i="42"/>
  <c r="F312" i="42"/>
  <c r="F313" i="42"/>
  <c r="F314" i="42"/>
  <c r="F315" i="42"/>
  <c r="F316" i="42"/>
  <c r="F317" i="42"/>
  <c r="F318" i="42"/>
  <c r="F319" i="42"/>
  <c r="F320" i="42"/>
  <c r="F321" i="42"/>
  <c r="F322" i="42"/>
  <c r="F323" i="42"/>
  <c r="F324" i="42"/>
  <c r="F325" i="42"/>
  <c r="F326" i="42"/>
  <c r="F327" i="42"/>
  <c r="F328" i="42"/>
  <c r="F329" i="42"/>
  <c r="F330" i="42"/>
  <c r="F331" i="42"/>
  <c r="F332" i="42"/>
  <c r="F333" i="42"/>
  <c r="F334" i="42"/>
  <c r="F335" i="42"/>
  <c r="F336" i="42"/>
  <c r="F337" i="42"/>
  <c r="F338" i="42"/>
  <c r="F339" i="42"/>
  <c r="F340" i="42"/>
  <c r="F341" i="42"/>
  <c r="F342" i="42"/>
  <c r="F343" i="42"/>
  <c r="F344" i="42"/>
  <c r="F345" i="42"/>
  <c r="F346" i="42"/>
  <c r="F347" i="42"/>
  <c r="F348" i="42"/>
  <c r="F349" i="42"/>
  <c r="F350" i="42"/>
  <c r="F351" i="42"/>
  <c r="F352" i="42"/>
  <c r="F353" i="42"/>
  <c r="F354" i="42"/>
  <c r="F355" i="42"/>
  <c r="F356" i="42"/>
  <c r="F357" i="42"/>
  <c r="F358" i="42"/>
  <c r="F359" i="42"/>
  <c r="F360" i="42"/>
  <c r="F361" i="42"/>
  <c r="F362" i="42"/>
  <c r="E301" i="42"/>
  <c r="E302" i="42"/>
  <c r="E303" i="42"/>
  <c r="E304" i="42"/>
  <c r="E305" i="42"/>
  <c r="E306" i="42"/>
  <c r="E307" i="42"/>
  <c r="E308" i="42"/>
  <c r="E309" i="42"/>
  <c r="E310" i="42"/>
  <c r="E311" i="42"/>
  <c r="E312" i="42"/>
  <c r="E313" i="42"/>
  <c r="E314" i="42"/>
  <c r="E315" i="42"/>
  <c r="E316" i="42"/>
  <c r="E317" i="42"/>
  <c r="E318" i="42"/>
  <c r="E319" i="42"/>
  <c r="E320" i="42"/>
  <c r="E321" i="42"/>
  <c r="E322" i="42"/>
  <c r="E323" i="42"/>
  <c r="E324" i="42"/>
  <c r="E325" i="42"/>
  <c r="E326" i="42"/>
  <c r="E327" i="42"/>
  <c r="E328" i="42"/>
  <c r="E329" i="42"/>
  <c r="E330" i="42"/>
  <c r="E331" i="42"/>
  <c r="E332" i="42"/>
  <c r="E333" i="42"/>
  <c r="E334" i="42"/>
  <c r="E335" i="42"/>
  <c r="E336" i="42"/>
  <c r="E337" i="42"/>
  <c r="E338" i="42"/>
  <c r="E339" i="42"/>
  <c r="E340" i="42"/>
  <c r="E341" i="42"/>
  <c r="E342" i="42"/>
  <c r="E343" i="42"/>
  <c r="E344" i="42"/>
  <c r="E345" i="42"/>
  <c r="E346" i="42"/>
  <c r="E347" i="42"/>
  <c r="E348" i="42"/>
  <c r="E349" i="42"/>
  <c r="E350" i="42"/>
  <c r="E351" i="42"/>
  <c r="E352" i="42"/>
  <c r="E353" i="42"/>
  <c r="E354" i="42"/>
  <c r="E355" i="42"/>
  <c r="E356" i="42"/>
  <c r="E357" i="42"/>
  <c r="E358" i="42"/>
  <c r="E359" i="42"/>
  <c r="E360" i="42"/>
  <c r="E361" i="42"/>
  <c r="E362" i="42"/>
  <c r="D301" i="42"/>
  <c r="D302" i="42"/>
  <c r="D303" i="42"/>
  <c r="D304" i="42"/>
  <c r="D305" i="42"/>
  <c r="D306" i="42"/>
  <c r="D307" i="42"/>
  <c r="D308" i="42"/>
  <c r="D309" i="42"/>
  <c r="D310" i="42"/>
  <c r="D311" i="42"/>
  <c r="D312" i="42"/>
  <c r="D313" i="42"/>
  <c r="D314" i="42"/>
  <c r="D315" i="42"/>
  <c r="D316" i="42"/>
  <c r="D317" i="42"/>
  <c r="D318" i="42"/>
  <c r="D319" i="42"/>
  <c r="D320" i="42"/>
  <c r="D321" i="42"/>
  <c r="D322" i="42"/>
  <c r="D323" i="42"/>
  <c r="D324" i="42"/>
  <c r="D325" i="42"/>
  <c r="D326" i="42"/>
  <c r="D327" i="42"/>
  <c r="D328" i="42"/>
  <c r="D329" i="42"/>
  <c r="D330" i="42"/>
  <c r="D331" i="42"/>
  <c r="D332" i="42"/>
  <c r="D333" i="42"/>
  <c r="D334" i="42"/>
  <c r="D335" i="42"/>
  <c r="D336" i="42"/>
  <c r="D337" i="42"/>
  <c r="D338" i="42"/>
  <c r="D339" i="42"/>
  <c r="D340" i="42"/>
  <c r="D341" i="42"/>
  <c r="D342" i="42"/>
  <c r="D343" i="42"/>
  <c r="D344" i="42"/>
  <c r="D345" i="42"/>
  <c r="D346" i="42"/>
  <c r="D347" i="42"/>
  <c r="D348" i="42"/>
  <c r="D349" i="42"/>
  <c r="D350" i="42"/>
  <c r="D351" i="42"/>
  <c r="D352" i="42"/>
  <c r="D353" i="42"/>
  <c r="D354" i="42"/>
  <c r="D355" i="42"/>
  <c r="D356" i="42"/>
  <c r="D357" i="42"/>
  <c r="D358" i="42"/>
  <c r="D359" i="42"/>
  <c r="D360" i="42"/>
  <c r="D361" i="42"/>
  <c r="D362" i="42"/>
  <c r="C301" i="42"/>
  <c r="C302" i="42"/>
  <c r="C303" i="42"/>
  <c r="C304" i="42"/>
  <c r="C305" i="42"/>
  <c r="C306" i="42"/>
  <c r="C307" i="42"/>
  <c r="C308" i="42"/>
  <c r="C309" i="42"/>
  <c r="C310" i="42"/>
  <c r="C311" i="42"/>
  <c r="C312" i="42"/>
  <c r="C313" i="42"/>
  <c r="C314" i="42"/>
  <c r="C315" i="42"/>
  <c r="C316" i="42"/>
  <c r="C317" i="42"/>
  <c r="C318" i="42"/>
  <c r="C319" i="42"/>
  <c r="C320" i="42"/>
  <c r="C321" i="42"/>
  <c r="C322" i="42"/>
  <c r="C323" i="42"/>
  <c r="C324" i="42"/>
  <c r="C325" i="42"/>
  <c r="C326" i="42"/>
  <c r="C327" i="42"/>
  <c r="C328" i="42"/>
  <c r="C329" i="42"/>
  <c r="C330" i="42"/>
  <c r="C331" i="42"/>
  <c r="C332" i="42"/>
  <c r="C333" i="42"/>
  <c r="C334" i="42"/>
  <c r="C335" i="42"/>
  <c r="C336" i="42"/>
  <c r="C337" i="42"/>
  <c r="C338" i="42"/>
  <c r="C339" i="42"/>
  <c r="C340" i="42"/>
  <c r="C341" i="42"/>
  <c r="C342" i="42"/>
  <c r="C343" i="42"/>
  <c r="C344" i="42"/>
  <c r="C345" i="42"/>
  <c r="C346" i="42"/>
  <c r="C347" i="42"/>
  <c r="C348" i="42"/>
  <c r="C349" i="42"/>
  <c r="C350" i="42"/>
  <c r="C351" i="42"/>
  <c r="C352" i="42"/>
  <c r="C353" i="42"/>
  <c r="C354" i="42"/>
  <c r="C355" i="42"/>
  <c r="C356" i="42"/>
  <c r="C357" i="42"/>
  <c r="C358" i="42"/>
  <c r="C359" i="42"/>
  <c r="C360" i="42"/>
  <c r="C361" i="42"/>
  <c r="C362" i="42"/>
  <c r="H301" i="41"/>
  <c r="H302" i="41"/>
  <c r="H303" i="41"/>
  <c r="H304" i="41"/>
  <c r="H305" i="41"/>
  <c r="H306" i="41"/>
  <c r="H307" i="41"/>
  <c r="H308" i="41"/>
  <c r="H309" i="41"/>
  <c r="H310" i="41"/>
  <c r="H311" i="41"/>
  <c r="H312" i="41"/>
  <c r="H313" i="41"/>
  <c r="H314" i="41"/>
  <c r="H315" i="41"/>
  <c r="H316" i="41"/>
  <c r="H317" i="41"/>
  <c r="H318" i="41"/>
  <c r="H319" i="41"/>
  <c r="H320" i="41"/>
  <c r="H321" i="41"/>
  <c r="H322" i="41"/>
  <c r="H323" i="41"/>
  <c r="H324" i="41"/>
  <c r="H325" i="41"/>
  <c r="H326" i="41"/>
  <c r="H327" i="41"/>
  <c r="H328" i="41"/>
  <c r="H329" i="41"/>
  <c r="H330" i="41"/>
  <c r="H331" i="41"/>
  <c r="H332" i="41"/>
  <c r="H333" i="41"/>
  <c r="H334" i="41"/>
  <c r="H335" i="41"/>
  <c r="H336" i="41"/>
  <c r="H337" i="41"/>
  <c r="H338" i="41"/>
  <c r="H339" i="41"/>
  <c r="H340" i="41"/>
  <c r="H341" i="41"/>
  <c r="H342" i="41"/>
  <c r="H343" i="41"/>
  <c r="H344" i="41"/>
  <c r="H345" i="41"/>
  <c r="H346" i="41"/>
  <c r="H347" i="41"/>
  <c r="H348" i="41"/>
  <c r="H349" i="41"/>
  <c r="H350" i="41"/>
  <c r="H351" i="41"/>
  <c r="H352" i="41"/>
  <c r="H353" i="41"/>
  <c r="H354" i="41"/>
  <c r="H355" i="41"/>
  <c r="H356" i="41"/>
  <c r="H357" i="41"/>
  <c r="H358" i="41"/>
  <c r="H359" i="41"/>
  <c r="H360" i="41"/>
  <c r="H361" i="41"/>
  <c r="H362" i="41"/>
  <c r="G301" i="41"/>
  <c r="G302" i="41"/>
  <c r="G303" i="41"/>
  <c r="G304" i="41"/>
  <c r="G305" i="41"/>
  <c r="G306" i="41"/>
  <c r="G307" i="41"/>
  <c r="G308" i="41"/>
  <c r="G309" i="41"/>
  <c r="G310" i="41"/>
  <c r="G311" i="41"/>
  <c r="G312" i="41"/>
  <c r="G313" i="41"/>
  <c r="G314" i="41"/>
  <c r="G315" i="41"/>
  <c r="G316" i="41"/>
  <c r="G317" i="41"/>
  <c r="G318" i="41"/>
  <c r="G319" i="41"/>
  <c r="G320" i="41"/>
  <c r="G321" i="41"/>
  <c r="G322" i="41"/>
  <c r="G323" i="41"/>
  <c r="G324" i="41"/>
  <c r="G325" i="41"/>
  <c r="G326" i="41"/>
  <c r="G327" i="41"/>
  <c r="G328" i="41"/>
  <c r="G329" i="41"/>
  <c r="G330" i="41"/>
  <c r="G331" i="41"/>
  <c r="G332" i="41"/>
  <c r="G333" i="41"/>
  <c r="G334" i="41"/>
  <c r="G335" i="41"/>
  <c r="G336" i="41"/>
  <c r="G337" i="41"/>
  <c r="G338" i="41"/>
  <c r="G339" i="41"/>
  <c r="G340" i="41"/>
  <c r="G341" i="41"/>
  <c r="G342" i="41"/>
  <c r="G343" i="41"/>
  <c r="G344" i="41"/>
  <c r="G345" i="41"/>
  <c r="G346" i="41"/>
  <c r="G347" i="41"/>
  <c r="G348" i="41"/>
  <c r="G349" i="41"/>
  <c r="G350" i="41"/>
  <c r="G351" i="41"/>
  <c r="G352" i="41"/>
  <c r="G353" i="41"/>
  <c r="G354" i="41"/>
  <c r="G355" i="41"/>
  <c r="G356" i="41"/>
  <c r="G357" i="41"/>
  <c r="G358" i="41"/>
  <c r="G359" i="41"/>
  <c r="G360" i="41"/>
  <c r="G361" i="41"/>
  <c r="G362" i="41"/>
  <c r="F301" i="41"/>
  <c r="F302" i="41"/>
  <c r="F303" i="41"/>
  <c r="F304" i="41"/>
  <c r="F305" i="41"/>
  <c r="F306" i="41"/>
  <c r="F307" i="41"/>
  <c r="F308" i="41"/>
  <c r="F309" i="41"/>
  <c r="F310" i="41"/>
  <c r="F311" i="41"/>
  <c r="F312" i="41"/>
  <c r="F313" i="41"/>
  <c r="F314" i="41"/>
  <c r="F315" i="41"/>
  <c r="F316" i="41"/>
  <c r="F317" i="41"/>
  <c r="F318" i="41"/>
  <c r="F319" i="41"/>
  <c r="F320" i="41"/>
  <c r="F321" i="41"/>
  <c r="F322" i="41"/>
  <c r="F323" i="41"/>
  <c r="F324" i="41"/>
  <c r="F325" i="41"/>
  <c r="F326" i="41"/>
  <c r="F327" i="41"/>
  <c r="F328" i="41"/>
  <c r="F329" i="41"/>
  <c r="F330" i="41"/>
  <c r="F331" i="41"/>
  <c r="F332" i="41"/>
  <c r="F333" i="41"/>
  <c r="F334" i="41"/>
  <c r="F335" i="41"/>
  <c r="F336" i="41"/>
  <c r="F337" i="41"/>
  <c r="F338" i="41"/>
  <c r="F339" i="41"/>
  <c r="F340" i="41"/>
  <c r="F341" i="41"/>
  <c r="F342" i="41"/>
  <c r="F343" i="41"/>
  <c r="F344" i="41"/>
  <c r="F345" i="41"/>
  <c r="F346" i="41"/>
  <c r="F347" i="41"/>
  <c r="F348" i="41"/>
  <c r="F349" i="41"/>
  <c r="F350" i="41"/>
  <c r="F351" i="41"/>
  <c r="F352" i="41"/>
  <c r="F353" i="41"/>
  <c r="F354" i="41"/>
  <c r="F355" i="41"/>
  <c r="F356" i="41"/>
  <c r="F357" i="41"/>
  <c r="F358" i="41"/>
  <c r="F359" i="41"/>
  <c r="F360" i="41"/>
  <c r="F361" i="41"/>
  <c r="F362" i="41"/>
  <c r="E301" i="41"/>
  <c r="E302" i="41"/>
  <c r="E303" i="41"/>
  <c r="E304" i="41"/>
  <c r="E305" i="41"/>
  <c r="E306" i="41"/>
  <c r="E307" i="41"/>
  <c r="E308" i="41"/>
  <c r="E309" i="41"/>
  <c r="E310" i="41"/>
  <c r="E311" i="41"/>
  <c r="E312" i="41"/>
  <c r="E313" i="41"/>
  <c r="E314" i="41"/>
  <c r="E315" i="41"/>
  <c r="E316" i="41"/>
  <c r="E317" i="41"/>
  <c r="E318" i="41"/>
  <c r="E319" i="41"/>
  <c r="E320" i="41"/>
  <c r="E321" i="41"/>
  <c r="E322" i="41"/>
  <c r="E323" i="41"/>
  <c r="E324" i="41"/>
  <c r="E325" i="41"/>
  <c r="E326" i="41"/>
  <c r="E327" i="41"/>
  <c r="E328" i="41"/>
  <c r="E329" i="41"/>
  <c r="E330" i="41"/>
  <c r="E331" i="41"/>
  <c r="E332" i="41"/>
  <c r="E333" i="41"/>
  <c r="E334" i="41"/>
  <c r="E335" i="41"/>
  <c r="E336" i="41"/>
  <c r="E337" i="41"/>
  <c r="E338" i="41"/>
  <c r="E339" i="41"/>
  <c r="E340" i="41"/>
  <c r="E341" i="41"/>
  <c r="E342" i="41"/>
  <c r="E343" i="41"/>
  <c r="E344" i="41"/>
  <c r="E345" i="41"/>
  <c r="E346" i="41"/>
  <c r="E347" i="41"/>
  <c r="E348" i="41"/>
  <c r="E349" i="41"/>
  <c r="E350" i="41"/>
  <c r="E351" i="41"/>
  <c r="E352" i="41"/>
  <c r="E353" i="41"/>
  <c r="E354" i="41"/>
  <c r="E355" i="41"/>
  <c r="E356" i="41"/>
  <c r="E357" i="41"/>
  <c r="E358" i="41"/>
  <c r="E359" i="41"/>
  <c r="E360" i="41"/>
  <c r="E361" i="41"/>
  <c r="E362" i="41"/>
  <c r="D301" i="41"/>
  <c r="D302" i="41"/>
  <c r="D303" i="41"/>
  <c r="D304" i="41"/>
  <c r="D305" i="41"/>
  <c r="D306" i="41"/>
  <c r="D307" i="41"/>
  <c r="D308" i="41"/>
  <c r="D309" i="41"/>
  <c r="D310" i="41"/>
  <c r="D311" i="41"/>
  <c r="D312" i="41"/>
  <c r="D313" i="41"/>
  <c r="D314" i="41"/>
  <c r="D315" i="41"/>
  <c r="D316" i="41"/>
  <c r="D317" i="41"/>
  <c r="D318" i="41"/>
  <c r="D319" i="41"/>
  <c r="D320" i="41"/>
  <c r="D321" i="41"/>
  <c r="D322" i="41"/>
  <c r="D323" i="41"/>
  <c r="D324" i="41"/>
  <c r="D325" i="41"/>
  <c r="D326" i="41"/>
  <c r="D327" i="41"/>
  <c r="D328" i="41"/>
  <c r="D329" i="41"/>
  <c r="D330" i="41"/>
  <c r="D331" i="41"/>
  <c r="D332" i="41"/>
  <c r="D333" i="41"/>
  <c r="D334" i="41"/>
  <c r="D335" i="41"/>
  <c r="D336" i="41"/>
  <c r="D337" i="41"/>
  <c r="D338" i="41"/>
  <c r="D339" i="41"/>
  <c r="D340" i="41"/>
  <c r="D341" i="41"/>
  <c r="D342" i="41"/>
  <c r="D343" i="41"/>
  <c r="D344" i="41"/>
  <c r="D345" i="41"/>
  <c r="D346" i="41"/>
  <c r="D347" i="41"/>
  <c r="D348" i="41"/>
  <c r="D349" i="41"/>
  <c r="D350" i="41"/>
  <c r="D351" i="41"/>
  <c r="D352" i="41"/>
  <c r="D353" i="41"/>
  <c r="D354" i="41"/>
  <c r="D355" i="41"/>
  <c r="D356" i="41"/>
  <c r="D357" i="41"/>
  <c r="D358" i="41"/>
  <c r="D359" i="41"/>
  <c r="D360" i="41"/>
  <c r="D361" i="41"/>
  <c r="D362" i="41"/>
  <c r="C301" i="41"/>
  <c r="C302" i="41"/>
  <c r="C303" i="41"/>
  <c r="C304" i="41"/>
  <c r="C305" i="41"/>
  <c r="C306" i="41"/>
  <c r="C307" i="41"/>
  <c r="C308" i="41"/>
  <c r="C309" i="41"/>
  <c r="C310" i="41"/>
  <c r="C311" i="41"/>
  <c r="C312" i="41"/>
  <c r="C313" i="41"/>
  <c r="C314" i="41"/>
  <c r="C315" i="41"/>
  <c r="C316" i="41"/>
  <c r="C317" i="41"/>
  <c r="C318" i="41"/>
  <c r="C319" i="41"/>
  <c r="C320" i="41"/>
  <c r="C321" i="41"/>
  <c r="C322" i="41"/>
  <c r="C323" i="41"/>
  <c r="C324" i="41"/>
  <c r="C325" i="41"/>
  <c r="C326" i="41"/>
  <c r="C327" i="41"/>
  <c r="C328" i="41"/>
  <c r="C329" i="41"/>
  <c r="C330" i="41"/>
  <c r="C331" i="41"/>
  <c r="C332" i="41"/>
  <c r="C333" i="41"/>
  <c r="C334" i="41"/>
  <c r="C335" i="41"/>
  <c r="C336" i="41"/>
  <c r="C337" i="41"/>
  <c r="C338" i="41"/>
  <c r="C339" i="41"/>
  <c r="C340" i="41"/>
  <c r="C341" i="41"/>
  <c r="C342" i="41"/>
  <c r="C343" i="41"/>
  <c r="C344" i="41"/>
  <c r="C345" i="41"/>
  <c r="C346" i="41"/>
  <c r="C347" i="41"/>
  <c r="C348" i="41"/>
  <c r="C349" i="41"/>
  <c r="C350" i="41"/>
  <c r="C351" i="41"/>
  <c r="C352" i="41"/>
  <c r="C353" i="41"/>
  <c r="C354" i="41"/>
  <c r="C355" i="41"/>
  <c r="C356" i="41"/>
  <c r="C357" i="41"/>
  <c r="C358" i="41"/>
  <c r="C359" i="41"/>
  <c r="C360" i="41"/>
  <c r="C361" i="41"/>
  <c r="C362" i="41"/>
  <c r="G10" i="29"/>
  <c r="G11" i="29"/>
  <c r="G12" i="29"/>
  <c r="G13" i="29"/>
  <c r="G14" i="29"/>
  <c r="G15" i="29"/>
  <c r="G16" i="29"/>
  <c r="G17" i="29"/>
  <c r="G18" i="29"/>
  <c r="G19" i="29"/>
  <c r="G20" i="29"/>
  <c r="G21" i="29"/>
  <c r="G22" i="29"/>
  <c r="G23" i="29"/>
  <c r="G24" i="29"/>
  <c r="G25" i="29"/>
  <c r="G26" i="29"/>
  <c r="G27" i="29"/>
  <c r="G28" i="29"/>
  <c r="G29" i="29"/>
  <c r="G30" i="29"/>
  <c r="G31" i="29"/>
  <c r="G32" i="29"/>
  <c r="G33" i="29"/>
  <c r="G34" i="29"/>
  <c r="G35" i="29"/>
  <c r="G36" i="29"/>
  <c r="G37" i="29"/>
  <c r="G38" i="29"/>
  <c r="G39" i="29"/>
  <c r="G40" i="29"/>
  <c r="G41" i="29"/>
  <c r="G42" i="29"/>
  <c r="G43" i="29"/>
  <c r="G44" i="29"/>
  <c r="G45" i="29"/>
  <c r="G46" i="29"/>
  <c r="G47" i="29"/>
  <c r="G48" i="29"/>
  <c r="G49" i="29"/>
  <c r="G50" i="29"/>
  <c r="G51" i="29"/>
  <c r="G52" i="29"/>
  <c r="G53" i="29"/>
  <c r="G54" i="29"/>
  <c r="G55" i="29"/>
  <c r="G56" i="29"/>
  <c r="G57" i="29"/>
  <c r="G58" i="29"/>
  <c r="G59" i="29"/>
  <c r="G60" i="29"/>
  <c r="G61" i="29"/>
  <c r="G62" i="29"/>
  <c r="G63" i="29"/>
  <c r="G64" i="29"/>
  <c r="G65" i="29"/>
  <c r="G66" i="29"/>
  <c r="G67" i="29"/>
  <c r="G68" i="29"/>
  <c r="G69" i="29"/>
  <c r="G70" i="29"/>
  <c r="G71" i="29"/>
  <c r="G72" i="29"/>
  <c r="G73" i="29"/>
  <c r="G74" i="29"/>
  <c r="G75" i="29"/>
  <c r="G76" i="29"/>
  <c r="G77" i="29"/>
  <c r="G78" i="29"/>
  <c r="G79" i="29"/>
  <c r="G80" i="29"/>
  <c r="G81" i="29"/>
  <c r="G82" i="29"/>
  <c r="G83" i="29"/>
  <c r="G84" i="29"/>
  <c r="G85" i="29"/>
  <c r="G86" i="29"/>
  <c r="G87" i="29"/>
  <c r="G88" i="29"/>
  <c r="G89" i="29"/>
  <c r="G90" i="29"/>
  <c r="G91" i="29"/>
  <c r="G92" i="29"/>
  <c r="G93" i="29"/>
  <c r="G94" i="29"/>
  <c r="G95" i="29"/>
  <c r="G96" i="29"/>
  <c r="G97" i="29"/>
  <c r="G98" i="29"/>
  <c r="G99" i="29"/>
  <c r="G100" i="29"/>
  <c r="G101" i="29"/>
  <c r="G102" i="29"/>
  <c r="G103" i="29"/>
  <c r="G104" i="29"/>
  <c r="G105" i="29"/>
  <c r="G106" i="29"/>
  <c r="G107" i="29"/>
  <c r="G108" i="29"/>
  <c r="G109" i="29"/>
  <c r="G110" i="29"/>
  <c r="G111" i="29"/>
  <c r="G112" i="29"/>
  <c r="G113" i="29"/>
  <c r="G114" i="29"/>
  <c r="G115" i="29"/>
  <c r="G116" i="29"/>
  <c r="G117" i="29"/>
  <c r="G118" i="29"/>
  <c r="G119" i="29"/>
  <c r="G120" i="29"/>
  <c r="G121" i="29"/>
  <c r="G122" i="29"/>
  <c r="G123" i="29"/>
  <c r="G124" i="29"/>
  <c r="G125" i="29"/>
  <c r="G126" i="29"/>
  <c r="G127" i="29"/>
  <c r="G128" i="29"/>
  <c r="G129" i="29"/>
  <c r="G130" i="29"/>
  <c r="G131" i="29"/>
  <c r="G132" i="29"/>
  <c r="G133" i="29"/>
  <c r="G134" i="29"/>
  <c r="G135" i="29"/>
  <c r="G136" i="29"/>
  <c r="G137" i="29"/>
  <c r="G138" i="29"/>
  <c r="G139" i="29"/>
  <c r="G140" i="29"/>
  <c r="G141" i="29"/>
  <c r="G142" i="29"/>
  <c r="G143" i="29"/>
  <c r="G144" i="29"/>
  <c r="G145" i="29"/>
  <c r="G146" i="29"/>
  <c r="G147" i="29"/>
  <c r="G148" i="29"/>
  <c r="G149" i="29"/>
  <c r="G150" i="29"/>
  <c r="G151" i="29"/>
  <c r="G152" i="29"/>
  <c r="G153" i="29"/>
  <c r="G154" i="29"/>
  <c r="G155" i="29"/>
  <c r="G156" i="29"/>
  <c r="G157" i="29"/>
  <c r="G158" i="29"/>
  <c r="G159" i="29"/>
  <c r="G160" i="29"/>
  <c r="G161" i="29"/>
  <c r="G162" i="29"/>
  <c r="G163" i="29"/>
  <c r="G164" i="29"/>
  <c r="G165" i="29"/>
  <c r="G166" i="29"/>
  <c r="G167" i="29"/>
  <c r="G168" i="29"/>
  <c r="G169" i="29"/>
  <c r="G170" i="29"/>
  <c r="G171" i="29"/>
  <c r="G172" i="29"/>
  <c r="G173" i="29"/>
  <c r="G174" i="29"/>
  <c r="G175" i="29"/>
  <c r="G176" i="29"/>
  <c r="G177" i="29"/>
  <c r="G178" i="29"/>
  <c r="G179" i="29"/>
  <c r="G180" i="29"/>
  <c r="G181" i="29"/>
  <c r="G182" i="29"/>
  <c r="G183" i="29"/>
  <c r="G184" i="29"/>
  <c r="G185" i="29"/>
  <c r="G186" i="29"/>
  <c r="G187" i="29"/>
  <c r="G188" i="29"/>
  <c r="G189" i="29"/>
  <c r="G190" i="29"/>
  <c r="G191" i="29"/>
  <c r="G192" i="29"/>
  <c r="G193" i="29"/>
  <c r="G194" i="29"/>
  <c r="G195" i="29"/>
  <c r="G196" i="29"/>
  <c r="G197" i="29"/>
  <c r="G198" i="29"/>
  <c r="G199" i="29"/>
  <c r="G200" i="29"/>
  <c r="G201" i="29"/>
  <c r="G202" i="29"/>
  <c r="G203" i="29"/>
  <c r="G204" i="29"/>
  <c r="G205" i="29"/>
  <c r="G206" i="29"/>
  <c r="G207" i="29"/>
  <c r="G208" i="29"/>
  <c r="G209" i="29"/>
  <c r="G210" i="29"/>
  <c r="G211" i="29"/>
  <c r="G212" i="29"/>
  <c r="G213" i="29"/>
  <c r="G214" i="29"/>
  <c r="G215" i="29"/>
  <c r="G216" i="29"/>
  <c r="G217" i="29"/>
  <c r="G218" i="29"/>
  <c r="G219" i="29"/>
  <c r="G220" i="29"/>
  <c r="G221" i="29"/>
  <c r="G222" i="29"/>
  <c r="G223" i="29"/>
  <c r="G224" i="29"/>
  <c r="G225" i="29"/>
  <c r="G226" i="29"/>
  <c r="G227" i="29"/>
  <c r="G228" i="29"/>
  <c r="G229" i="29"/>
  <c r="G230" i="29"/>
  <c r="G231" i="29"/>
  <c r="G232" i="29"/>
  <c r="G233" i="29"/>
  <c r="G234" i="29"/>
  <c r="G235" i="29"/>
  <c r="G236" i="29"/>
  <c r="G237" i="29"/>
  <c r="G238" i="29"/>
  <c r="G239" i="29"/>
  <c r="G240" i="29"/>
  <c r="G241" i="29"/>
  <c r="G242" i="29"/>
  <c r="G243" i="29"/>
  <c r="G244" i="29"/>
  <c r="G245" i="29"/>
  <c r="G246" i="29"/>
  <c r="G247" i="29"/>
  <c r="G248" i="29"/>
  <c r="G249" i="29"/>
  <c r="G250" i="29"/>
  <c r="G251" i="29"/>
  <c r="G252" i="29"/>
  <c r="G253" i="29"/>
  <c r="G254" i="29"/>
  <c r="G255" i="29"/>
  <c r="G256" i="29"/>
  <c r="G257" i="29"/>
  <c r="G258" i="29"/>
  <c r="G259" i="29"/>
  <c r="G260" i="29"/>
  <c r="G261" i="29"/>
  <c r="G262" i="29"/>
  <c r="G263" i="29"/>
  <c r="G264" i="29"/>
  <c r="G265" i="29"/>
  <c r="G266" i="29"/>
  <c r="G267" i="29"/>
  <c r="G268" i="29"/>
  <c r="G269" i="29"/>
  <c r="G270" i="29"/>
  <c r="G271" i="29"/>
  <c r="G272" i="29"/>
  <c r="G273" i="29"/>
  <c r="G274" i="29"/>
  <c r="G275" i="29"/>
  <c r="G276" i="29"/>
  <c r="G277" i="29"/>
  <c r="G278" i="29"/>
  <c r="G279" i="29"/>
  <c r="G280" i="29"/>
  <c r="G281" i="29"/>
  <c r="G282" i="29"/>
  <c r="G283" i="29"/>
  <c r="G284" i="29"/>
  <c r="G285" i="29"/>
  <c r="G286" i="29"/>
  <c r="G287" i="29"/>
  <c r="G288" i="29"/>
  <c r="G289" i="29"/>
  <c r="G290" i="29"/>
  <c r="G291" i="29"/>
  <c r="G292" i="29"/>
  <c r="G293" i="29"/>
  <c r="G294" i="29"/>
  <c r="G295" i="29"/>
  <c r="G296" i="29"/>
  <c r="G297" i="29"/>
  <c r="G298" i="29"/>
  <c r="G299" i="29"/>
  <c r="G300" i="29"/>
  <c r="G301" i="29"/>
  <c r="G302" i="29"/>
  <c r="G303" i="29"/>
  <c r="G304" i="29"/>
  <c r="G305" i="29"/>
  <c r="G306" i="29"/>
  <c r="G307" i="29"/>
  <c r="G308" i="29"/>
  <c r="G309" i="29"/>
  <c r="G310" i="29"/>
  <c r="G311" i="29"/>
  <c r="G312" i="29"/>
  <c r="G313" i="29"/>
  <c r="G314" i="29"/>
  <c r="G315" i="29"/>
  <c r="G316" i="29"/>
  <c r="G317" i="29"/>
  <c r="G318" i="29"/>
  <c r="G319" i="29"/>
  <c r="G320" i="29"/>
  <c r="G321" i="29"/>
  <c r="G322" i="29"/>
  <c r="G323" i="29"/>
  <c r="G324" i="29"/>
  <c r="G325" i="29"/>
  <c r="G326" i="29"/>
  <c r="G327" i="29"/>
  <c r="G328" i="29"/>
  <c r="G329" i="29"/>
  <c r="G330" i="29"/>
  <c r="G331" i="29"/>
  <c r="G332" i="29"/>
  <c r="G333" i="29"/>
  <c r="G334" i="29"/>
  <c r="G335" i="29"/>
  <c r="G336" i="29"/>
  <c r="G337" i="29"/>
  <c r="G338" i="29"/>
  <c r="G339" i="29"/>
  <c r="G340" i="29"/>
  <c r="G341" i="29"/>
  <c r="G342" i="29"/>
  <c r="G343" i="29"/>
  <c r="G344" i="29"/>
  <c r="G345" i="29"/>
  <c r="G346" i="29"/>
  <c r="G347" i="29"/>
  <c r="G348" i="29"/>
  <c r="G349" i="29"/>
  <c r="G350" i="29"/>
  <c r="G351" i="29"/>
  <c r="G352" i="29"/>
  <c r="G353" i="29"/>
  <c r="G354" i="29"/>
  <c r="G355" i="29"/>
  <c r="G356" i="29"/>
  <c r="G357" i="29"/>
  <c r="G358" i="29"/>
  <c r="G359" i="29"/>
  <c r="G360" i="29"/>
  <c r="G361" i="29"/>
  <c r="G362" i="29"/>
  <c r="G363" i="29"/>
  <c r="G364" i="29"/>
  <c r="G365" i="29"/>
  <c r="G366" i="29"/>
  <c r="G367" i="29"/>
  <c r="G368" i="29"/>
  <c r="G369" i="29"/>
  <c r="G370" i="29"/>
  <c r="G371" i="29"/>
  <c r="G372" i="29"/>
  <c r="G373" i="29"/>
  <c r="G374" i="29"/>
  <c r="G375" i="29"/>
  <c r="G376" i="29"/>
  <c r="G377" i="29"/>
  <c r="G378" i="29"/>
  <c r="G379" i="29"/>
  <c r="G380" i="29"/>
  <c r="G381" i="29"/>
  <c r="G382" i="29"/>
  <c r="G383" i="29"/>
  <c r="G384" i="29"/>
  <c r="G385" i="29"/>
  <c r="G386" i="29"/>
  <c r="G387" i="29"/>
  <c r="G388" i="29"/>
  <c r="G389" i="29"/>
  <c r="G390" i="29"/>
  <c r="G391" i="29"/>
  <c r="G392" i="29"/>
  <c r="G393" i="29"/>
  <c r="G394" i="29"/>
  <c r="G395" i="29"/>
  <c r="G396" i="29"/>
  <c r="G397" i="29"/>
  <c r="G398" i="29"/>
  <c r="G399" i="29"/>
  <c r="G400" i="29"/>
  <c r="G401" i="29"/>
  <c r="G402" i="29"/>
  <c r="G403" i="29"/>
  <c r="G404" i="29"/>
  <c r="G405" i="29"/>
  <c r="G406" i="29"/>
  <c r="G407" i="29"/>
  <c r="G408" i="29"/>
  <c r="G409" i="29"/>
  <c r="G410" i="29"/>
  <c r="G411" i="29"/>
  <c r="G412" i="29"/>
  <c r="G413" i="29"/>
  <c r="G414" i="29"/>
  <c r="G415" i="29"/>
  <c r="G416" i="29"/>
  <c r="G417" i="29"/>
  <c r="G418" i="29"/>
  <c r="G419" i="29"/>
  <c r="G420" i="29"/>
  <c r="G421" i="29"/>
  <c r="G422" i="29"/>
  <c r="G423" i="29"/>
  <c r="G424" i="29"/>
  <c r="G425" i="29"/>
  <c r="G426" i="29"/>
  <c r="G427" i="29"/>
  <c r="G428" i="29"/>
  <c r="G429" i="29"/>
  <c r="G430" i="29"/>
  <c r="G431" i="29"/>
  <c r="G432" i="29"/>
  <c r="G433" i="29"/>
  <c r="G434" i="29"/>
  <c r="G435" i="29"/>
  <c r="G436" i="29"/>
  <c r="G437" i="29"/>
  <c r="G438" i="29"/>
  <c r="G439" i="29"/>
  <c r="G440" i="29"/>
  <c r="G441" i="29"/>
  <c r="G442" i="29"/>
  <c r="G443" i="29"/>
  <c r="G444" i="29"/>
  <c r="G445" i="29"/>
  <c r="G446" i="29"/>
  <c r="G447" i="29"/>
  <c r="G448" i="29"/>
  <c r="G449" i="29"/>
  <c r="G450" i="29"/>
  <c r="G451" i="29"/>
  <c r="G452" i="29"/>
  <c r="G453" i="29"/>
  <c r="G454" i="29"/>
  <c r="G455" i="29"/>
  <c r="G456" i="29"/>
  <c r="G457" i="29"/>
  <c r="G458" i="29"/>
  <c r="G459" i="29"/>
  <c r="G460" i="29"/>
  <c r="G461" i="29"/>
  <c r="G462" i="29"/>
  <c r="G463" i="29"/>
  <c r="G464" i="29"/>
  <c r="G465" i="29"/>
  <c r="G466" i="29"/>
  <c r="G467" i="29"/>
  <c r="G468" i="29"/>
  <c r="G469" i="29"/>
  <c r="G470" i="29"/>
  <c r="G471" i="29"/>
  <c r="G472" i="29"/>
  <c r="G473" i="29"/>
  <c r="G474" i="29"/>
  <c r="G475" i="29"/>
  <c r="G476" i="29"/>
  <c r="G477" i="29"/>
  <c r="G478" i="29"/>
  <c r="G479" i="29"/>
  <c r="G480" i="29"/>
  <c r="G481" i="29"/>
  <c r="G482" i="29"/>
  <c r="G483" i="29"/>
  <c r="G484" i="29"/>
  <c r="G485" i="29"/>
  <c r="G486" i="29"/>
  <c r="G487" i="29"/>
  <c r="G488" i="29"/>
  <c r="G489" i="29"/>
  <c r="G490" i="29"/>
  <c r="G491" i="29"/>
  <c r="G492" i="29"/>
  <c r="G493" i="29"/>
  <c r="G494" i="29"/>
  <c r="G495" i="29"/>
  <c r="G496" i="29"/>
  <c r="G497" i="29"/>
  <c r="G498" i="29"/>
  <c r="G499" i="29"/>
  <c r="G500" i="29"/>
  <c r="G501" i="29"/>
  <c r="G502" i="29"/>
  <c r="G503" i="29"/>
  <c r="G504" i="29"/>
  <c r="G505" i="29"/>
  <c r="G506" i="29"/>
  <c r="G507" i="29"/>
  <c r="G508" i="29"/>
  <c r="G509" i="29"/>
  <c r="G510" i="29"/>
  <c r="G511" i="29"/>
  <c r="G512" i="29"/>
  <c r="G513" i="29"/>
  <c r="G514" i="29"/>
  <c r="G515" i="29"/>
  <c r="G516" i="29"/>
  <c r="G517" i="29"/>
  <c r="G518" i="29"/>
  <c r="G519" i="29"/>
  <c r="G520" i="29"/>
  <c r="G521" i="29"/>
  <c r="G522" i="29"/>
  <c r="G523" i="29"/>
  <c r="G524" i="29"/>
  <c r="G525" i="29"/>
  <c r="G526" i="29"/>
  <c r="G527" i="29"/>
  <c r="G528" i="29"/>
  <c r="G529" i="29"/>
  <c r="G530" i="29"/>
  <c r="G531" i="29"/>
  <c r="G532" i="29"/>
  <c r="G533" i="29"/>
  <c r="G534" i="29"/>
  <c r="G535" i="29"/>
  <c r="G536" i="29"/>
  <c r="G537" i="29"/>
  <c r="G538" i="29"/>
  <c r="G539" i="29"/>
  <c r="G540" i="29"/>
  <c r="G541" i="29"/>
  <c r="G542" i="29"/>
  <c r="G543" i="29"/>
  <c r="G544" i="29"/>
  <c r="G545" i="29"/>
  <c r="G546" i="29"/>
  <c r="G547" i="29"/>
  <c r="G548" i="29"/>
  <c r="G549" i="29"/>
  <c r="G550" i="29"/>
  <c r="G551" i="29"/>
  <c r="G552" i="29"/>
  <c r="G553" i="29"/>
  <c r="G554" i="29"/>
  <c r="G555" i="29"/>
  <c r="G556" i="29"/>
  <c r="G557" i="29"/>
  <c r="G558" i="29"/>
  <c r="G559" i="29"/>
  <c r="G560" i="29"/>
  <c r="G561" i="29"/>
  <c r="G562" i="29"/>
  <c r="G563" i="29"/>
  <c r="G564" i="29"/>
  <c r="G565" i="29"/>
  <c r="G566" i="29"/>
  <c r="G567" i="29"/>
  <c r="G568" i="29"/>
  <c r="G569" i="29"/>
  <c r="G570" i="29"/>
  <c r="G571" i="29"/>
  <c r="G572" i="29"/>
  <c r="G573" i="29"/>
  <c r="G574" i="29"/>
  <c r="G575" i="29"/>
  <c r="G576" i="29"/>
  <c r="G577" i="29"/>
  <c r="G578" i="29"/>
  <c r="G579" i="29"/>
  <c r="G580" i="29"/>
  <c r="G581" i="29"/>
  <c r="G582" i="29"/>
  <c r="G583" i="29"/>
  <c r="G584" i="29"/>
  <c r="G585" i="29"/>
  <c r="G586" i="29"/>
  <c r="G587" i="29"/>
  <c r="G588" i="29"/>
  <c r="G589" i="29"/>
  <c r="G590" i="29"/>
  <c r="G591" i="29"/>
  <c r="G592" i="29"/>
  <c r="G593" i="29"/>
  <c r="G594" i="29"/>
  <c r="G595" i="29"/>
  <c r="G596" i="29"/>
  <c r="G597" i="29"/>
  <c r="G598" i="29"/>
  <c r="G599" i="29"/>
  <c r="G600" i="29"/>
  <c r="G601" i="29"/>
  <c r="G602" i="29"/>
  <c r="G603" i="29"/>
  <c r="G604" i="29"/>
  <c r="G605" i="29"/>
  <c r="G606" i="29"/>
  <c r="G607" i="29"/>
  <c r="G608" i="29"/>
  <c r="G609" i="29"/>
  <c r="G610" i="29"/>
  <c r="G611" i="29"/>
  <c r="G612" i="29"/>
  <c r="G613" i="29"/>
  <c r="G614" i="29"/>
  <c r="G615" i="29"/>
  <c r="G616" i="29"/>
  <c r="G617" i="29"/>
  <c r="G618" i="29"/>
  <c r="G619" i="29"/>
  <c r="G620" i="29"/>
  <c r="G621" i="29"/>
  <c r="G622" i="29"/>
  <c r="G623" i="29"/>
  <c r="G624" i="29"/>
  <c r="G625" i="29"/>
  <c r="G626" i="29"/>
  <c r="G627" i="29"/>
  <c r="G628" i="29"/>
  <c r="G629" i="29"/>
  <c r="G630" i="29"/>
  <c r="G631" i="29"/>
  <c r="G632" i="29"/>
  <c r="G633" i="29"/>
  <c r="G634" i="29"/>
  <c r="G635" i="29"/>
  <c r="G636" i="29"/>
  <c r="G637" i="29"/>
  <c r="G638" i="29"/>
  <c r="G639" i="29"/>
  <c r="G640" i="29"/>
  <c r="G641" i="29"/>
  <c r="G642" i="29"/>
  <c r="G643" i="29"/>
  <c r="G644" i="29"/>
  <c r="G645" i="29"/>
  <c r="G646" i="29"/>
  <c r="G647" i="29"/>
  <c r="G648" i="29"/>
  <c r="G649" i="29"/>
  <c r="G650" i="29"/>
  <c r="G651" i="29"/>
  <c r="G652" i="29"/>
  <c r="G653" i="29"/>
  <c r="G654" i="29"/>
  <c r="G655" i="29"/>
  <c r="G656" i="29"/>
  <c r="G657" i="29"/>
  <c r="G658" i="29"/>
  <c r="G659" i="29"/>
  <c r="G660" i="29"/>
  <c r="G661" i="29"/>
  <c r="G662" i="29"/>
  <c r="G663" i="29"/>
  <c r="G664" i="29"/>
  <c r="G665" i="29"/>
  <c r="G666" i="29"/>
  <c r="G667" i="29"/>
  <c r="G668" i="29"/>
  <c r="G669" i="29"/>
  <c r="G670" i="29"/>
  <c r="G671" i="29"/>
  <c r="G672" i="29"/>
  <c r="G673" i="29"/>
  <c r="G674" i="29"/>
  <c r="G675" i="29"/>
  <c r="G676" i="29"/>
  <c r="G677" i="29"/>
  <c r="G678" i="29"/>
  <c r="G679" i="29"/>
  <c r="G680" i="29"/>
  <c r="G681" i="29"/>
  <c r="G682" i="29"/>
  <c r="G683" i="29"/>
  <c r="G684" i="29"/>
  <c r="G685" i="29"/>
  <c r="G686" i="29"/>
  <c r="G687" i="29"/>
  <c r="G688" i="29"/>
  <c r="G689" i="29"/>
  <c r="G690" i="29"/>
  <c r="G691" i="29"/>
  <c r="G692" i="29"/>
  <c r="G693" i="29"/>
  <c r="G694" i="29"/>
  <c r="G695" i="29"/>
  <c r="G696" i="29"/>
  <c r="G697" i="29"/>
  <c r="G698" i="29"/>
  <c r="G699" i="29"/>
  <c r="G700" i="29"/>
  <c r="G701" i="29"/>
  <c r="G702" i="29"/>
  <c r="G703" i="29"/>
  <c r="G704" i="29"/>
  <c r="G705" i="29"/>
  <c r="G706" i="29"/>
  <c r="G707" i="29"/>
  <c r="G708" i="29"/>
  <c r="G709" i="29"/>
  <c r="G710" i="29"/>
  <c r="G711" i="29"/>
  <c r="G712" i="29"/>
  <c r="G713" i="29"/>
  <c r="G714" i="29"/>
  <c r="G715" i="29"/>
  <c r="G716" i="29"/>
  <c r="G717" i="29"/>
  <c r="G718" i="29"/>
  <c r="G719" i="29"/>
  <c r="G720" i="29"/>
  <c r="G721" i="29"/>
  <c r="G722" i="29"/>
  <c r="G723" i="29"/>
  <c r="G724" i="29"/>
  <c r="G725" i="29"/>
  <c r="G726" i="29"/>
  <c r="G727" i="29"/>
  <c r="G728" i="29"/>
  <c r="G729" i="29"/>
  <c r="G730" i="29"/>
  <c r="G731" i="29"/>
  <c r="G732" i="29"/>
  <c r="G733" i="29"/>
  <c r="G734" i="29"/>
  <c r="G735" i="29"/>
  <c r="G736" i="29"/>
  <c r="G737" i="29"/>
  <c r="G738" i="29"/>
  <c r="G739" i="29"/>
  <c r="G740" i="29"/>
  <c r="G741" i="29"/>
  <c r="G742" i="29"/>
  <c r="G743" i="29"/>
  <c r="G744" i="29"/>
  <c r="G745" i="29"/>
  <c r="G746" i="29"/>
  <c r="G747" i="29"/>
  <c r="G748" i="29"/>
  <c r="G749" i="29"/>
  <c r="G750" i="29"/>
  <c r="G751" i="29"/>
  <c r="G752" i="29"/>
  <c r="G753" i="29"/>
  <c r="G754" i="29"/>
  <c r="G755" i="29"/>
  <c r="G756" i="29"/>
  <c r="G757" i="29"/>
  <c r="G758" i="29"/>
  <c r="G759" i="29"/>
  <c r="G760" i="29"/>
  <c r="G761" i="29"/>
  <c r="G762" i="29"/>
  <c r="G763" i="29"/>
  <c r="G764" i="29"/>
  <c r="G765" i="29"/>
  <c r="G766" i="29"/>
  <c r="G767" i="29"/>
  <c r="G768" i="29"/>
  <c r="G769" i="29"/>
  <c r="G770" i="29"/>
  <c r="G771" i="29"/>
  <c r="G772" i="29"/>
  <c r="G773" i="29"/>
  <c r="G774" i="29"/>
  <c r="G775" i="29"/>
  <c r="G776" i="29"/>
  <c r="G777" i="29"/>
  <c r="G778" i="29"/>
  <c r="G779" i="29"/>
  <c r="G780" i="29"/>
  <c r="G781" i="29"/>
  <c r="G782" i="29"/>
  <c r="G783" i="29"/>
  <c r="G784" i="29"/>
  <c r="G785" i="29"/>
  <c r="G786" i="29"/>
  <c r="G787" i="29"/>
  <c r="G788" i="29"/>
  <c r="G789" i="29"/>
  <c r="G790" i="29"/>
  <c r="G791" i="29"/>
  <c r="G792" i="29"/>
  <c r="G793" i="29"/>
  <c r="G794" i="29"/>
  <c r="G795" i="29"/>
  <c r="G796" i="29"/>
  <c r="G797" i="29"/>
  <c r="G798" i="29"/>
  <c r="G799" i="29"/>
  <c r="G800" i="29"/>
  <c r="G801" i="29"/>
  <c r="G802" i="29"/>
  <c r="G803" i="29"/>
  <c r="G804" i="29"/>
  <c r="G805" i="29"/>
  <c r="G806" i="29"/>
  <c r="G807" i="29"/>
  <c r="G808" i="29"/>
  <c r="G809" i="29"/>
  <c r="G810" i="29"/>
  <c r="G811" i="29"/>
  <c r="G812" i="29"/>
  <c r="G813" i="29"/>
  <c r="G814" i="29"/>
  <c r="G815" i="29"/>
  <c r="G816" i="29"/>
  <c r="G817" i="29"/>
  <c r="G818" i="29"/>
  <c r="G819" i="29"/>
  <c r="G820" i="29"/>
  <c r="G821" i="29"/>
  <c r="G822" i="29"/>
  <c r="G823" i="29"/>
  <c r="G824" i="29"/>
  <c r="G825" i="29"/>
  <c r="G826" i="29"/>
  <c r="G827" i="29"/>
  <c r="G828" i="29"/>
  <c r="G829" i="29"/>
  <c r="G830" i="29"/>
  <c r="G831" i="29"/>
  <c r="G832" i="29"/>
  <c r="G833" i="29"/>
  <c r="G834" i="29"/>
  <c r="G835" i="29"/>
  <c r="G836" i="29"/>
  <c r="G837" i="29"/>
  <c r="G838" i="29"/>
  <c r="G839" i="29"/>
  <c r="G840" i="29"/>
  <c r="G841" i="29"/>
  <c r="G842" i="29"/>
  <c r="G843" i="29"/>
  <c r="G844" i="29"/>
  <c r="G845" i="29"/>
  <c r="G846" i="29"/>
  <c r="G847" i="29"/>
  <c r="G848" i="29"/>
  <c r="G849" i="29"/>
  <c r="G850" i="29"/>
  <c r="G851" i="29"/>
  <c r="G852" i="29"/>
  <c r="G853" i="29"/>
  <c r="G854" i="29"/>
  <c r="G855" i="29"/>
  <c r="G856" i="29"/>
  <c r="G857" i="29"/>
  <c r="G858" i="29"/>
  <c r="G859" i="29"/>
  <c r="G860" i="29"/>
  <c r="G861" i="29"/>
  <c r="G862" i="29"/>
  <c r="G863" i="29"/>
  <c r="G864" i="29"/>
  <c r="G865" i="29"/>
  <c r="G866" i="29"/>
  <c r="G867" i="29"/>
  <c r="G868" i="29"/>
  <c r="G869" i="29"/>
  <c r="G870" i="29"/>
  <c r="G871" i="29"/>
  <c r="G872" i="29"/>
  <c r="G873" i="29"/>
  <c r="G874" i="29"/>
  <c r="G875" i="29"/>
  <c r="G876" i="29"/>
  <c r="G877" i="29"/>
  <c r="G878" i="29"/>
  <c r="G879" i="29"/>
  <c r="G880" i="29"/>
  <c r="G881" i="29"/>
  <c r="G882" i="29"/>
  <c r="G883" i="29"/>
  <c r="G884" i="29"/>
  <c r="G885" i="29"/>
  <c r="G886" i="29"/>
  <c r="G887" i="29"/>
  <c r="G888" i="29"/>
  <c r="G889" i="29"/>
  <c r="G890" i="29"/>
  <c r="G891" i="29"/>
  <c r="G892" i="29"/>
  <c r="G893" i="29"/>
  <c r="G894" i="29"/>
  <c r="G895" i="29"/>
  <c r="G896" i="29"/>
  <c r="G897" i="29"/>
  <c r="G898" i="29"/>
  <c r="G899" i="29"/>
  <c r="G900" i="29"/>
  <c r="G901" i="29"/>
  <c r="G902" i="29"/>
  <c r="G903" i="29"/>
  <c r="G904" i="29"/>
  <c r="G905" i="29"/>
  <c r="G906" i="29"/>
  <c r="G907" i="29"/>
  <c r="G908" i="29"/>
  <c r="G909" i="29"/>
  <c r="G910" i="29"/>
  <c r="G911" i="29"/>
  <c r="G912" i="29"/>
  <c r="G913" i="29"/>
  <c r="G914" i="29"/>
  <c r="G915" i="29"/>
  <c r="G916" i="29"/>
  <c r="G917" i="29"/>
  <c r="G918" i="29"/>
  <c r="G919" i="29"/>
  <c r="G920" i="29"/>
  <c r="G921" i="29"/>
  <c r="G922" i="29"/>
  <c r="G923" i="29"/>
  <c r="G924" i="29"/>
  <c r="G925" i="29"/>
  <c r="G926" i="29"/>
  <c r="G927" i="29"/>
  <c r="G928" i="29"/>
  <c r="G929" i="29"/>
  <c r="G930" i="29"/>
  <c r="G931" i="29"/>
  <c r="G932" i="29"/>
  <c r="G933" i="29"/>
  <c r="G934" i="29"/>
  <c r="G935" i="29"/>
  <c r="G936" i="29"/>
  <c r="G937" i="29"/>
  <c r="G938" i="29"/>
  <c r="G939" i="29"/>
  <c r="G940" i="29"/>
  <c r="G941" i="29"/>
  <c r="G942" i="29"/>
  <c r="G943" i="29"/>
  <c r="G944" i="29"/>
  <c r="G945" i="29"/>
  <c r="G946" i="29"/>
  <c r="G947" i="29"/>
  <c r="G948" i="29"/>
  <c r="G949" i="29"/>
  <c r="G950" i="29"/>
  <c r="G951" i="29"/>
  <c r="G952" i="29"/>
  <c r="G953" i="29"/>
  <c r="G954" i="29"/>
  <c r="G955" i="29"/>
  <c r="G956" i="29"/>
  <c r="G957" i="29"/>
  <c r="G958" i="29"/>
  <c r="G959" i="29"/>
  <c r="G960" i="29"/>
  <c r="G961" i="29"/>
  <c r="G962" i="29"/>
  <c r="G963" i="29"/>
  <c r="G964" i="29"/>
  <c r="G965" i="29"/>
  <c r="G966" i="29"/>
  <c r="G967" i="29"/>
  <c r="G968" i="29"/>
  <c r="G969" i="29"/>
  <c r="G970" i="29"/>
  <c r="G971" i="29"/>
  <c r="G972" i="29"/>
  <c r="G973" i="29"/>
  <c r="G974" i="29"/>
  <c r="G975" i="29"/>
  <c r="G976" i="29"/>
  <c r="G977" i="29"/>
  <c r="G978" i="29"/>
  <c r="G979" i="29"/>
  <c r="G980" i="29"/>
  <c r="G981" i="29"/>
  <c r="G982" i="29"/>
  <c r="G983" i="29"/>
  <c r="G984" i="29"/>
  <c r="G985" i="29"/>
  <c r="G986" i="29"/>
  <c r="G987" i="29"/>
  <c r="G988" i="29"/>
  <c r="G989" i="29"/>
  <c r="G990" i="29"/>
  <c r="G991" i="29"/>
  <c r="G992" i="29"/>
  <c r="G993" i="29"/>
  <c r="G994" i="29"/>
  <c r="G995" i="29"/>
  <c r="G996" i="29"/>
  <c r="G997" i="29"/>
  <c r="G998" i="29"/>
  <c r="G999" i="29"/>
  <c r="G1000" i="29"/>
  <c r="G1001" i="29"/>
  <c r="G1002" i="29"/>
  <c r="G1003" i="29"/>
  <c r="F10" i="29"/>
  <c r="F11" i="29"/>
  <c r="F12" i="29"/>
  <c r="F13" i="29"/>
  <c r="F14" i="29"/>
  <c r="F15" i="29"/>
  <c r="F16" i="29"/>
  <c r="F17" i="29"/>
  <c r="F18" i="29"/>
  <c r="F19" i="29"/>
  <c r="F20" i="29"/>
  <c r="F21" i="29"/>
  <c r="F22" i="29"/>
  <c r="F23" i="29"/>
  <c r="F24" i="29"/>
  <c r="F25" i="29"/>
  <c r="F26" i="29"/>
  <c r="F27" i="29"/>
  <c r="F28" i="29"/>
  <c r="F29" i="29"/>
  <c r="F30" i="29"/>
  <c r="F31" i="29"/>
  <c r="F32" i="29"/>
  <c r="F33" i="29"/>
  <c r="F34" i="29"/>
  <c r="F35" i="29"/>
  <c r="F36" i="29"/>
  <c r="F37" i="29"/>
  <c r="F38" i="29"/>
  <c r="F39" i="29"/>
  <c r="F40" i="29"/>
  <c r="F41" i="29"/>
  <c r="F42" i="29"/>
  <c r="F43" i="29"/>
  <c r="F44" i="29"/>
  <c r="F45" i="29"/>
  <c r="F46" i="29"/>
  <c r="F47" i="29"/>
  <c r="F48" i="29"/>
  <c r="F49" i="29"/>
  <c r="F50" i="29"/>
  <c r="F51" i="29"/>
  <c r="F52" i="29"/>
  <c r="F53" i="29"/>
  <c r="F54" i="29"/>
  <c r="F55" i="29"/>
  <c r="F56" i="29"/>
  <c r="F57" i="29"/>
  <c r="F58" i="29"/>
  <c r="F59" i="29"/>
  <c r="F60" i="29"/>
  <c r="F61" i="29"/>
  <c r="F62" i="29"/>
  <c r="F63" i="29"/>
  <c r="F64" i="29"/>
  <c r="F65" i="29"/>
  <c r="F66" i="29"/>
  <c r="F67" i="29"/>
  <c r="F68" i="29"/>
  <c r="F69" i="29"/>
  <c r="F70" i="29"/>
  <c r="F71" i="29"/>
  <c r="F72" i="29"/>
  <c r="F73" i="29"/>
  <c r="F74" i="29"/>
  <c r="F75" i="29"/>
  <c r="F76" i="29"/>
  <c r="F77" i="29"/>
  <c r="F78" i="29"/>
  <c r="F79" i="29"/>
  <c r="F80" i="29"/>
  <c r="F81" i="29"/>
  <c r="F82" i="29"/>
  <c r="F83" i="29"/>
  <c r="F84" i="29"/>
  <c r="F85" i="29"/>
  <c r="F86" i="29"/>
  <c r="F87" i="29"/>
  <c r="F88" i="29"/>
  <c r="F89" i="29"/>
  <c r="F90" i="29"/>
  <c r="F91" i="29"/>
  <c r="F92" i="29"/>
  <c r="F93" i="29"/>
  <c r="F94" i="29"/>
  <c r="F95" i="29"/>
  <c r="F96" i="29"/>
  <c r="F97" i="29"/>
  <c r="F98" i="29"/>
  <c r="F99" i="29"/>
  <c r="F100" i="29"/>
  <c r="F101" i="29"/>
  <c r="F102" i="29"/>
  <c r="F103" i="29"/>
  <c r="F104" i="29"/>
  <c r="F105" i="29"/>
  <c r="F106" i="29"/>
  <c r="F107" i="29"/>
  <c r="F108" i="29"/>
  <c r="F109" i="29"/>
  <c r="F110" i="29"/>
  <c r="F111" i="29"/>
  <c r="F112" i="29"/>
  <c r="F113" i="29"/>
  <c r="F114" i="29"/>
  <c r="F115" i="29"/>
  <c r="F116" i="29"/>
  <c r="F117" i="29"/>
  <c r="F118" i="29"/>
  <c r="F119" i="29"/>
  <c r="F120" i="29"/>
  <c r="F121" i="29"/>
  <c r="F122" i="29"/>
  <c r="F123" i="29"/>
  <c r="F124" i="29"/>
  <c r="F125" i="29"/>
  <c r="F126" i="29"/>
  <c r="F127" i="29"/>
  <c r="F128" i="29"/>
  <c r="F129" i="29"/>
  <c r="F130" i="29"/>
  <c r="F131" i="29"/>
  <c r="F132" i="29"/>
  <c r="F133" i="29"/>
  <c r="F134" i="29"/>
  <c r="F135" i="29"/>
  <c r="F136" i="29"/>
  <c r="F137" i="29"/>
  <c r="F138" i="29"/>
  <c r="F139" i="29"/>
  <c r="F140" i="29"/>
  <c r="F141" i="29"/>
  <c r="F142" i="29"/>
  <c r="F143" i="29"/>
  <c r="F144" i="29"/>
  <c r="F145" i="29"/>
  <c r="F146" i="29"/>
  <c r="F147" i="29"/>
  <c r="F148" i="29"/>
  <c r="F149" i="29"/>
  <c r="F150" i="29"/>
  <c r="F151" i="29"/>
  <c r="F152" i="29"/>
  <c r="F153" i="29"/>
  <c r="F154" i="29"/>
  <c r="F155" i="29"/>
  <c r="F156" i="29"/>
  <c r="F157" i="29"/>
  <c r="F158" i="29"/>
  <c r="F159" i="29"/>
  <c r="F160" i="29"/>
  <c r="F161" i="29"/>
  <c r="F162" i="29"/>
  <c r="F163" i="29"/>
  <c r="F164" i="29"/>
  <c r="F165" i="29"/>
  <c r="F166" i="29"/>
  <c r="F167" i="29"/>
  <c r="F168" i="29"/>
  <c r="F169" i="29"/>
  <c r="F170" i="29"/>
  <c r="F171" i="29"/>
  <c r="F172" i="29"/>
  <c r="F173" i="29"/>
  <c r="F174" i="29"/>
  <c r="F175" i="29"/>
  <c r="F176" i="29"/>
  <c r="F177" i="29"/>
  <c r="F178" i="29"/>
  <c r="F179" i="29"/>
  <c r="F180" i="29"/>
  <c r="F181" i="29"/>
  <c r="F182" i="29"/>
  <c r="F183" i="29"/>
  <c r="F184" i="29"/>
  <c r="F185" i="29"/>
  <c r="F186" i="29"/>
  <c r="F187" i="29"/>
  <c r="F188" i="29"/>
  <c r="F189" i="29"/>
  <c r="F190" i="29"/>
  <c r="F191" i="29"/>
  <c r="F192" i="29"/>
  <c r="F193" i="29"/>
  <c r="F194" i="29"/>
  <c r="F195" i="29"/>
  <c r="F196" i="29"/>
  <c r="F197" i="29"/>
  <c r="F198" i="29"/>
  <c r="F199" i="29"/>
  <c r="F200" i="29"/>
  <c r="F201" i="29"/>
  <c r="F202" i="29"/>
  <c r="F203" i="29"/>
  <c r="F204" i="29"/>
  <c r="F205" i="29"/>
  <c r="F206" i="29"/>
  <c r="F207" i="29"/>
  <c r="F208" i="29"/>
  <c r="F209" i="29"/>
  <c r="F210" i="29"/>
  <c r="F211" i="29"/>
  <c r="F212" i="29"/>
  <c r="F213" i="29"/>
  <c r="F214" i="29"/>
  <c r="F215" i="29"/>
  <c r="F216" i="29"/>
  <c r="F217" i="29"/>
  <c r="F218" i="29"/>
  <c r="F219" i="29"/>
  <c r="F220" i="29"/>
  <c r="F221" i="29"/>
  <c r="F222" i="29"/>
  <c r="F223" i="29"/>
  <c r="F224" i="29"/>
  <c r="F225" i="29"/>
  <c r="F226" i="29"/>
  <c r="F227" i="29"/>
  <c r="F228" i="29"/>
  <c r="F229" i="29"/>
  <c r="F230" i="29"/>
  <c r="F231" i="29"/>
  <c r="F232" i="29"/>
  <c r="F233" i="29"/>
  <c r="F234" i="29"/>
  <c r="F235" i="29"/>
  <c r="F236" i="29"/>
  <c r="F237" i="29"/>
  <c r="F238" i="29"/>
  <c r="F239" i="29"/>
  <c r="F240" i="29"/>
  <c r="F241" i="29"/>
  <c r="F242" i="29"/>
  <c r="F243" i="29"/>
  <c r="F244" i="29"/>
  <c r="F245" i="29"/>
  <c r="F246" i="29"/>
  <c r="F247" i="29"/>
  <c r="F248" i="29"/>
  <c r="F249" i="29"/>
  <c r="F250" i="29"/>
  <c r="F251" i="29"/>
  <c r="F252" i="29"/>
  <c r="F253" i="29"/>
  <c r="F254" i="29"/>
  <c r="F255" i="29"/>
  <c r="F256" i="29"/>
  <c r="F257" i="29"/>
  <c r="F258" i="29"/>
  <c r="F259" i="29"/>
  <c r="F260" i="29"/>
  <c r="F261" i="29"/>
  <c r="F262" i="29"/>
  <c r="F263" i="29"/>
  <c r="F264" i="29"/>
  <c r="F265" i="29"/>
  <c r="F266" i="29"/>
  <c r="F267" i="29"/>
  <c r="F268" i="29"/>
  <c r="F269" i="29"/>
  <c r="F270" i="29"/>
  <c r="F271" i="29"/>
  <c r="F272" i="29"/>
  <c r="F273" i="29"/>
  <c r="F274" i="29"/>
  <c r="F275" i="29"/>
  <c r="F276" i="29"/>
  <c r="F277" i="29"/>
  <c r="F278" i="29"/>
  <c r="F279" i="29"/>
  <c r="F280" i="29"/>
  <c r="F281" i="29"/>
  <c r="F282" i="29"/>
  <c r="F283" i="29"/>
  <c r="F284" i="29"/>
  <c r="F285" i="29"/>
  <c r="F286" i="29"/>
  <c r="F287" i="29"/>
  <c r="F288" i="29"/>
  <c r="F289" i="29"/>
  <c r="F290" i="29"/>
  <c r="F291" i="29"/>
  <c r="F292" i="29"/>
  <c r="F293" i="29"/>
  <c r="F294" i="29"/>
  <c r="F295" i="29"/>
  <c r="F296" i="29"/>
  <c r="F297" i="29"/>
  <c r="F298" i="29"/>
  <c r="F299" i="29"/>
  <c r="F300" i="29"/>
  <c r="F301" i="29"/>
  <c r="F302" i="29"/>
  <c r="F303" i="29"/>
  <c r="F304" i="29"/>
  <c r="F305" i="29"/>
  <c r="F306" i="29"/>
  <c r="F307" i="29"/>
  <c r="F308" i="29"/>
  <c r="F309" i="29"/>
  <c r="F310" i="29"/>
  <c r="F311" i="29"/>
  <c r="F312" i="29"/>
  <c r="F313" i="29"/>
  <c r="F314" i="29"/>
  <c r="F315" i="29"/>
  <c r="F316" i="29"/>
  <c r="F317" i="29"/>
  <c r="F318" i="29"/>
  <c r="F319" i="29"/>
  <c r="F320" i="29"/>
  <c r="F321" i="29"/>
  <c r="F322" i="29"/>
  <c r="F323" i="29"/>
  <c r="F324" i="29"/>
  <c r="F325" i="29"/>
  <c r="F326" i="29"/>
  <c r="F327" i="29"/>
  <c r="F328" i="29"/>
  <c r="F329" i="29"/>
  <c r="F330" i="29"/>
  <c r="F331" i="29"/>
  <c r="F332" i="29"/>
  <c r="F333" i="29"/>
  <c r="F334" i="29"/>
  <c r="F335" i="29"/>
  <c r="F336" i="29"/>
  <c r="F337" i="29"/>
  <c r="F338" i="29"/>
  <c r="F339" i="29"/>
  <c r="F340" i="29"/>
  <c r="F341" i="29"/>
  <c r="F342" i="29"/>
  <c r="F343" i="29"/>
  <c r="F344" i="29"/>
  <c r="F345" i="29"/>
  <c r="F346" i="29"/>
  <c r="F347" i="29"/>
  <c r="F348" i="29"/>
  <c r="F349" i="29"/>
  <c r="F350" i="29"/>
  <c r="F351" i="29"/>
  <c r="F352" i="29"/>
  <c r="F353" i="29"/>
  <c r="F354" i="29"/>
  <c r="F355" i="29"/>
  <c r="F356" i="29"/>
  <c r="F357" i="29"/>
  <c r="F358" i="29"/>
  <c r="F359" i="29"/>
  <c r="F360" i="29"/>
  <c r="F361" i="29"/>
  <c r="F362" i="29"/>
  <c r="F363" i="29"/>
  <c r="F364" i="29"/>
  <c r="F365" i="29"/>
  <c r="F366" i="29"/>
  <c r="F367" i="29"/>
  <c r="F368" i="29"/>
  <c r="F369" i="29"/>
  <c r="F370" i="29"/>
  <c r="F371" i="29"/>
  <c r="F372" i="29"/>
  <c r="F373" i="29"/>
  <c r="F374" i="29"/>
  <c r="F375" i="29"/>
  <c r="F376" i="29"/>
  <c r="F377" i="29"/>
  <c r="F378" i="29"/>
  <c r="F379" i="29"/>
  <c r="F380" i="29"/>
  <c r="F381" i="29"/>
  <c r="F382" i="29"/>
  <c r="F383" i="29"/>
  <c r="F384" i="29"/>
  <c r="F385" i="29"/>
  <c r="F386" i="29"/>
  <c r="F387" i="29"/>
  <c r="F388" i="29"/>
  <c r="F389" i="29"/>
  <c r="F390" i="29"/>
  <c r="F391" i="29"/>
  <c r="F392" i="29"/>
  <c r="F393" i="29"/>
  <c r="F394" i="29"/>
  <c r="F395" i="29"/>
  <c r="F396" i="29"/>
  <c r="F397" i="29"/>
  <c r="F398" i="29"/>
  <c r="F399" i="29"/>
  <c r="F400" i="29"/>
  <c r="F401" i="29"/>
  <c r="F402" i="29"/>
  <c r="F403" i="29"/>
  <c r="F404" i="29"/>
  <c r="F405" i="29"/>
  <c r="F406" i="29"/>
  <c r="F407" i="29"/>
  <c r="F408" i="29"/>
  <c r="F409" i="29"/>
  <c r="F410" i="29"/>
  <c r="F411" i="29"/>
  <c r="F412" i="29"/>
  <c r="F413" i="29"/>
  <c r="F414" i="29"/>
  <c r="F415" i="29"/>
  <c r="F416" i="29"/>
  <c r="F417" i="29"/>
  <c r="F418" i="29"/>
  <c r="F419" i="29"/>
  <c r="F420" i="29"/>
  <c r="F421" i="29"/>
  <c r="F422" i="29"/>
  <c r="F423" i="29"/>
  <c r="F424" i="29"/>
  <c r="F425" i="29"/>
  <c r="F426" i="29"/>
  <c r="F427" i="29"/>
  <c r="F428" i="29"/>
  <c r="F429" i="29"/>
  <c r="F430" i="29"/>
  <c r="F431" i="29"/>
  <c r="F432" i="29"/>
  <c r="F433" i="29"/>
  <c r="F434" i="29"/>
  <c r="F435" i="29"/>
  <c r="F436" i="29"/>
  <c r="F437" i="29"/>
  <c r="F438" i="29"/>
  <c r="F439" i="29"/>
  <c r="F440" i="29"/>
  <c r="F441" i="29"/>
  <c r="F442" i="29"/>
  <c r="F443" i="29"/>
  <c r="F444" i="29"/>
  <c r="F445" i="29"/>
  <c r="F446" i="29"/>
  <c r="F447" i="29"/>
  <c r="F448" i="29"/>
  <c r="F449" i="29"/>
  <c r="F450" i="29"/>
  <c r="F451" i="29"/>
  <c r="F452" i="29"/>
  <c r="F453" i="29"/>
  <c r="F454" i="29"/>
  <c r="F455" i="29"/>
  <c r="F456" i="29"/>
  <c r="F457" i="29"/>
  <c r="F458" i="29"/>
  <c r="F459" i="29"/>
  <c r="F460" i="29"/>
  <c r="F461" i="29"/>
  <c r="F462" i="29"/>
  <c r="F463" i="29"/>
  <c r="F464" i="29"/>
  <c r="F465" i="29"/>
  <c r="F466" i="29"/>
  <c r="F467" i="29"/>
  <c r="F468" i="29"/>
  <c r="F469" i="29"/>
  <c r="F470" i="29"/>
  <c r="F471" i="29"/>
  <c r="F472" i="29"/>
  <c r="F473" i="29"/>
  <c r="F474" i="29"/>
  <c r="F475" i="29"/>
  <c r="F476" i="29"/>
  <c r="F477" i="29"/>
  <c r="F478" i="29"/>
  <c r="F479" i="29"/>
  <c r="F480" i="29"/>
  <c r="F481" i="29"/>
  <c r="F482" i="29"/>
  <c r="F483" i="29"/>
  <c r="F484" i="29"/>
  <c r="F485" i="29"/>
  <c r="F486" i="29"/>
  <c r="F487" i="29"/>
  <c r="F488" i="29"/>
  <c r="F489" i="29"/>
  <c r="F490" i="29"/>
  <c r="F491" i="29"/>
  <c r="F492" i="29"/>
  <c r="F493" i="29"/>
  <c r="F494" i="29"/>
  <c r="F495" i="29"/>
  <c r="F496" i="29"/>
  <c r="F497" i="29"/>
  <c r="F498" i="29"/>
  <c r="F499" i="29"/>
  <c r="F500" i="29"/>
  <c r="F501" i="29"/>
  <c r="F502" i="29"/>
  <c r="F503" i="29"/>
  <c r="F504" i="29"/>
  <c r="F505" i="29"/>
  <c r="F506" i="29"/>
  <c r="F507" i="29"/>
  <c r="F508" i="29"/>
  <c r="F509" i="29"/>
  <c r="F510" i="29"/>
  <c r="F511" i="29"/>
  <c r="F512" i="29"/>
  <c r="F513" i="29"/>
  <c r="F514" i="29"/>
  <c r="F515" i="29"/>
  <c r="F516" i="29"/>
  <c r="F517" i="29"/>
  <c r="F518" i="29"/>
  <c r="F519" i="29"/>
  <c r="F520" i="29"/>
  <c r="F521" i="29"/>
  <c r="F522" i="29"/>
  <c r="F523" i="29"/>
  <c r="F524" i="29"/>
  <c r="F525" i="29"/>
  <c r="F526" i="29"/>
  <c r="F527" i="29"/>
  <c r="F528" i="29"/>
  <c r="F529" i="29"/>
  <c r="F530" i="29"/>
  <c r="F531" i="29"/>
  <c r="F532" i="29"/>
  <c r="F533" i="29"/>
  <c r="F534" i="29"/>
  <c r="F535" i="29"/>
  <c r="F536" i="29"/>
  <c r="F537" i="29"/>
  <c r="F538" i="29"/>
  <c r="F539" i="29"/>
  <c r="F540" i="29"/>
  <c r="F541" i="29"/>
  <c r="F542" i="29"/>
  <c r="F543" i="29"/>
  <c r="F544" i="29"/>
  <c r="F545" i="29"/>
  <c r="F546" i="29"/>
  <c r="F547" i="29"/>
  <c r="F548" i="29"/>
  <c r="F549" i="29"/>
  <c r="F550" i="29"/>
  <c r="F551" i="29"/>
  <c r="F552" i="29"/>
  <c r="F553" i="29"/>
  <c r="F554" i="29"/>
  <c r="F555" i="29"/>
  <c r="F556" i="29"/>
  <c r="F557" i="29"/>
  <c r="F558" i="29"/>
  <c r="F559" i="29"/>
  <c r="F560" i="29"/>
  <c r="F561" i="29"/>
  <c r="F562" i="29"/>
  <c r="F563" i="29"/>
  <c r="F564" i="29"/>
  <c r="F565" i="29"/>
  <c r="F566" i="29"/>
  <c r="F567" i="29"/>
  <c r="F568" i="29"/>
  <c r="F569" i="29"/>
  <c r="F570" i="29"/>
  <c r="F571" i="29"/>
  <c r="F572" i="29"/>
  <c r="F573" i="29"/>
  <c r="F574" i="29"/>
  <c r="F575" i="29"/>
  <c r="F576" i="29"/>
  <c r="F577" i="29"/>
  <c r="F578" i="29"/>
  <c r="F579" i="29"/>
  <c r="F580" i="29"/>
  <c r="F581" i="29"/>
  <c r="F582" i="29"/>
  <c r="F583" i="29"/>
  <c r="F584" i="29"/>
  <c r="F585" i="29"/>
  <c r="F586" i="29"/>
  <c r="F587" i="29"/>
  <c r="F588" i="29"/>
  <c r="F589" i="29"/>
  <c r="F590" i="29"/>
  <c r="F591" i="29"/>
  <c r="F592" i="29"/>
  <c r="F593" i="29"/>
  <c r="F594" i="29"/>
  <c r="F595" i="29"/>
  <c r="F596" i="29"/>
  <c r="F597" i="29"/>
  <c r="F598" i="29"/>
  <c r="F599" i="29"/>
  <c r="F600" i="29"/>
  <c r="F601" i="29"/>
  <c r="F602" i="29"/>
  <c r="F603" i="29"/>
  <c r="F604" i="29"/>
  <c r="F605" i="29"/>
  <c r="F606" i="29"/>
  <c r="F607" i="29"/>
  <c r="F608" i="29"/>
  <c r="F609" i="29"/>
  <c r="F610" i="29"/>
  <c r="F611" i="29"/>
  <c r="F612" i="29"/>
  <c r="F613" i="29"/>
  <c r="F614" i="29"/>
  <c r="F615" i="29"/>
  <c r="F616" i="29"/>
  <c r="F617" i="29"/>
  <c r="F618" i="29"/>
  <c r="F619" i="29"/>
  <c r="F620" i="29"/>
  <c r="F621" i="29"/>
  <c r="F622" i="29"/>
  <c r="F623" i="29"/>
  <c r="F624" i="29"/>
  <c r="F625" i="29"/>
  <c r="F626" i="29"/>
  <c r="F627" i="29"/>
  <c r="F628" i="29"/>
  <c r="F629" i="29"/>
  <c r="F630" i="29"/>
  <c r="F631" i="29"/>
  <c r="F632" i="29"/>
  <c r="F633" i="29"/>
  <c r="F634" i="29"/>
  <c r="F635" i="29"/>
  <c r="F636" i="29"/>
  <c r="F637" i="29"/>
  <c r="F638" i="29"/>
  <c r="F639" i="29"/>
  <c r="F640" i="29"/>
  <c r="F641" i="29"/>
  <c r="F642" i="29"/>
  <c r="F643" i="29"/>
  <c r="F644" i="29"/>
  <c r="F645" i="29"/>
  <c r="F646" i="29"/>
  <c r="F647" i="29"/>
  <c r="F648" i="29"/>
  <c r="F649" i="29"/>
  <c r="F650" i="29"/>
  <c r="F651" i="29"/>
  <c r="F652" i="29"/>
  <c r="F653" i="29"/>
  <c r="F654" i="29"/>
  <c r="F655" i="29"/>
  <c r="F656" i="29"/>
  <c r="F657" i="29"/>
  <c r="F658" i="29"/>
  <c r="F659" i="29"/>
  <c r="F660" i="29"/>
  <c r="F661" i="29"/>
  <c r="F662" i="29"/>
  <c r="F663" i="29"/>
  <c r="F664" i="29"/>
  <c r="F665" i="29"/>
  <c r="F666" i="29"/>
  <c r="F667" i="29"/>
  <c r="F668" i="29"/>
  <c r="F669" i="29"/>
  <c r="F670" i="29"/>
  <c r="F671" i="29"/>
  <c r="F672" i="29"/>
  <c r="F673" i="29"/>
  <c r="F674" i="29"/>
  <c r="F675" i="29"/>
  <c r="F676" i="29"/>
  <c r="F677" i="29"/>
  <c r="F678" i="29"/>
  <c r="F679" i="29"/>
  <c r="F680" i="29"/>
  <c r="F681" i="29"/>
  <c r="F682" i="29"/>
  <c r="F683" i="29"/>
  <c r="F684" i="29"/>
  <c r="F685" i="29"/>
  <c r="F686" i="29"/>
  <c r="F687" i="29"/>
  <c r="F688" i="29"/>
  <c r="F689" i="29"/>
  <c r="F690" i="29"/>
  <c r="F691" i="29"/>
  <c r="F692" i="29"/>
  <c r="F693" i="29"/>
  <c r="F694" i="29"/>
  <c r="F695" i="29"/>
  <c r="F696" i="29"/>
  <c r="F697" i="29"/>
  <c r="F698" i="29"/>
  <c r="F699" i="29"/>
  <c r="F700" i="29"/>
  <c r="F701" i="29"/>
  <c r="F702" i="29"/>
  <c r="F703" i="29"/>
  <c r="F704" i="29"/>
  <c r="F705" i="29"/>
  <c r="F706" i="29"/>
  <c r="F707" i="29"/>
  <c r="F708" i="29"/>
  <c r="F709" i="29"/>
  <c r="F710" i="29"/>
  <c r="F711" i="29"/>
  <c r="F712" i="29"/>
  <c r="F713" i="29"/>
  <c r="F714" i="29"/>
  <c r="F715" i="29"/>
  <c r="F716" i="29"/>
  <c r="F717" i="29"/>
  <c r="F718" i="29"/>
  <c r="F719" i="29"/>
  <c r="F720" i="29"/>
  <c r="F721" i="29"/>
  <c r="F722" i="29"/>
  <c r="F723" i="29"/>
  <c r="F724" i="29"/>
  <c r="F725" i="29"/>
  <c r="F726" i="29"/>
  <c r="F727" i="29"/>
  <c r="F728" i="29"/>
  <c r="F729" i="29"/>
  <c r="F730" i="29"/>
  <c r="F731" i="29"/>
  <c r="F732" i="29"/>
  <c r="F733" i="29"/>
  <c r="F734" i="29"/>
  <c r="F735" i="29"/>
  <c r="F736" i="29"/>
  <c r="F737" i="29"/>
  <c r="F738" i="29"/>
  <c r="F739" i="29"/>
  <c r="F740" i="29"/>
  <c r="F741" i="29"/>
  <c r="F742" i="29"/>
  <c r="F743" i="29"/>
  <c r="F744" i="29"/>
  <c r="F745" i="29"/>
  <c r="F746" i="29"/>
  <c r="F747" i="29"/>
  <c r="F748" i="29"/>
  <c r="F749" i="29"/>
  <c r="F750" i="29"/>
  <c r="F751" i="29"/>
  <c r="F752" i="29"/>
  <c r="F753" i="29"/>
  <c r="F754" i="29"/>
  <c r="F755" i="29"/>
  <c r="F756" i="29"/>
  <c r="F757" i="29"/>
  <c r="F758" i="29"/>
  <c r="F759" i="29"/>
  <c r="F760" i="29"/>
  <c r="F761" i="29"/>
  <c r="F762" i="29"/>
  <c r="F763" i="29"/>
  <c r="F764" i="29"/>
  <c r="F765" i="29"/>
  <c r="F766" i="29"/>
  <c r="F767" i="29"/>
  <c r="F768" i="29"/>
  <c r="F769" i="29"/>
  <c r="F770" i="29"/>
  <c r="F771" i="29"/>
  <c r="F772" i="29"/>
  <c r="F773" i="29"/>
  <c r="F774" i="29"/>
  <c r="F775" i="29"/>
  <c r="F776" i="29"/>
  <c r="F777" i="29"/>
  <c r="F778" i="29"/>
  <c r="F779" i="29"/>
  <c r="F780" i="29"/>
  <c r="F781" i="29"/>
  <c r="F782" i="29"/>
  <c r="F783" i="29"/>
  <c r="F784" i="29"/>
  <c r="F785" i="29"/>
  <c r="F786" i="29"/>
  <c r="F787" i="29"/>
  <c r="F788" i="29"/>
  <c r="F789" i="29"/>
  <c r="F790" i="29"/>
  <c r="F791" i="29"/>
  <c r="F792" i="29"/>
  <c r="F793" i="29"/>
  <c r="F794" i="29"/>
  <c r="F795" i="29"/>
  <c r="F796" i="29"/>
  <c r="F797" i="29"/>
  <c r="F798" i="29"/>
  <c r="F799" i="29"/>
  <c r="F800" i="29"/>
  <c r="F801" i="29"/>
  <c r="F802" i="29"/>
  <c r="F803" i="29"/>
  <c r="F804" i="29"/>
  <c r="F805" i="29"/>
  <c r="F806" i="29"/>
  <c r="F807" i="29"/>
  <c r="F808" i="29"/>
  <c r="F809" i="29"/>
  <c r="F810" i="29"/>
  <c r="F811" i="29"/>
  <c r="F812" i="29"/>
  <c r="F813" i="29"/>
  <c r="F814" i="29"/>
  <c r="F815" i="29"/>
  <c r="F816" i="29"/>
  <c r="F817" i="29"/>
  <c r="F818" i="29"/>
  <c r="F819" i="29"/>
  <c r="F820" i="29"/>
  <c r="F821" i="29"/>
  <c r="F822" i="29"/>
  <c r="F823" i="29"/>
  <c r="F824" i="29"/>
  <c r="F825" i="29"/>
  <c r="F826" i="29"/>
  <c r="F827" i="29"/>
  <c r="F828" i="29"/>
  <c r="F829" i="29"/>
  <c r="F830" i="29"/>
  <c r="F831" i="29"/>
  <c r="F832" i="29"/>
  <c r="F833" i="29"/>
  <c r="F834" i="29"/>
  <c r="F835" i="29"/>
  <c r="F836" i="29"/>
  <c r="F837" i="29"/>
  <c r="F838" i="29"/>
  <c r="F839" i="29"/>
  <c r="F840" i="29"/>
  <c r="F841" i="29"/>
  <c r="F842" i="29"/>
  <c r="F843" i="29"/>
  <c r="F844" i="29"/>
  <c r="F845" i="29"/>
  <c r="F846" i="29"/>
  <c r="F847" i="29"/>
  <c r="F848" i="29"/>
  <c r="F849" i="29"/>
  <c r="F850" i="29"/>
  <c r="F851" i="29"/>
  <c r="F852" i="29"/>
  <c r="F853" i="29"/>
  <c r="F854" i="29"/>
  <c r="F855" i="29"/>
  <c r="F856" i="29"/>
  <c r="F857" i="29"/>
  <c r="F858" i="29"/>
  <c r="F859" i="29"/>
  <c r="F860" i="29"/>
  <c r="F861" i="29"/>
  <c r="F862" i="29"/>
  <c r="F863" i="29"/>
  <c r="F864" i="29"/>
  <c r="F865" i="29"/>
  <c r="F866" i="29"/>
  <c r="F867" i="29"/>
  <c r="F868" i="29"/>
  <c r="F869" i="29"/>
  <c r="F870" i="29"/>
  <c r="F871" i="29"/>
  <c r="F872" i="29"/>
  <c r="F873" i="29"/>
  <c r="F874" i="29"/>
  <c r="F875" i="29"/>
  <c r="F876" i="29"/>
  <c r="F877" i="29"/>
  <c r="F878" i="29"/>
  <c r="F879" i="29"/>
  <c r="F880" i="29"/>
  <c r="F881" i="29"/>
  <c r="F882" i="29"/>
  <c r="F883" i="29"/>
  <c r="F884" i="29"/>
  <c r="F885" i="29"/>
  <c r="F886" i="29"/>
  <c r="F887" i="29"/>
  <c r="F888" i="29"/>
  <c r="F889" i="29"/>
  <c r="F890" i="29"/>
  <c r="F891" i="29"/>
  <c r="F892" i="29"/>
  <c r="F893" i="29"/>
  <c r="F894" i="29"/>
  <c r="F895" i="29"/>
  <c r="F896" i="29"/>
  <c r="F897" i="29"/>
  <c r="F898" i="29"/>
  <c r="F899" i="29"/>
  <c r="F900" i="29"/>
  <c r="F901" i="29"/>
  <c r="F902" i="29"/>
  <c r="F903" i="29"/>
  <c r="F904" i="29"/>
  <c r="F905" i="29"/>
  <c r="F906" i="29"/>
  <c r="F907" i="29"/>
  <c r="F908" i="29"/>
  <c r="F909" i="29"/>
  <c r="F910" i="29"/>
  <c r="F911" i="29"/>
  <c r="F912" i="29"/>
  <c r="F913" i="29"/>
  <c r="F914" i="29"/>
  <c r="F915" i="29"/>
  <c r="F916" i="29"/>
  <c r="F917" i="29"/>
  <c r="F918" i="29"/>
  <c r="F919" i="29"/>
  <c r="F920" i="29"/>
  <c r="F921" i="29"/>
  <c r="F922" i="29"/>
  <c r="F923" i="29"/>
  <c r="F924" i="29"/>
  <c r="F925" i="29"/>
  <c r="F926" i="29"/>
  <c r="F927" i="29"/>
  <c r="F928" i="29"/>
  <c r="F929" i="29"/>
  <c r="F930" i="29"/>
  <c r="F931" i="29"/>
  <c r="F932" i="29"/>
  <c r="F933" i="29"/>
  <c r="F934" i="29"/>
  <c r="F935" i="29"/>
  <c r="F936" i="29"/>
  <c r="F937" i="29"/>
  <c r="F938" i="29"/>
  <c r="F939" i="29"/>
  <c r="F940" i="29"/>
  <c r="F941" i="29"/>
  <c r="F942" i="29"/>
  <c r="F943" i="29"/>
  <c r="F944" i="29"/>
  <c r="F945" i="29"/>
  <c r="F946" i="29"/>
  <c r="F947" i="29"/>
  <c r="F948" i="29"/>
  <c r="F949" i="29"/>
  <c r="F950" i="29"/>
  <c r="F951" i="29"/>
  <c r="F952" i="29"/>
  <c r="F953" i="29"/>
  <c r="F954" i="29"/>
  <c r="F955" i="29"/>
  <c r="F956" i="29"/>
  <c r="F957" i="29"/>
  <c r="F958" i="29"/>
  <c r="F959" i="29"/>
  <c r="F960" i="29"/>
  <c r="F961" i="29"/>
  <c r="F962" i="29"/>
  <c r="F963" i="29"/>
  <c r="F964" i="29"/>
  <c r="F965" i="29"/>
  <c r="F966" i="29"/>
  <c r="F967" i="29"/>
  <c r="F968" i="29"/>
  <c r="F969" i="29"/>
  <c r="F970" i="29"/>
  <c r="F971" i="29"/>
  <c r="F972" i="29"/>
  <c r="F973" i="29"/>
  <c r="F974" i="29"/>
  <c r="F975" i="29"/>
  <c r="F976" i="29"/>
  <c r="F977" i="29"/>
  <c r="F978" i="29"/>
  <c r="F979" i="29"/>
  <c r="F980" i="29"/>
  <c r="F981" i="29"/>
  <c r="F982" i="29"/>
  <c r="F983" i="29"/>
  <c r="F984" i="29"/>
  <c r="F985" i="29"/>
  <c r="F986" i="29"/>
  <c r="F987" i="29"/>
  <c r="F988" i="29"/>
  <c r="F989" i="29"/>
  <c r="F990" i="29"/>
  <c r="F991" i="29"/>
  <c r="F992" i="29"/>
  <c r="F993" i="29"/>
  <c r="F994" i="29"/>
  <c r="F995" i="29"/>
  <c r="F996" i="29"/>
  <c r="F997" i="29"/>
  <c r="F998" i="29"/>
  <c r="F999" i="29"/>
  <c r="F1000" i="29"/>
  <c r="F1001" i="29"/>
  <c r="F1002" i="29"/>
  <c r="F1003" i="29"/>
  <c r="E10" i="29"/>
  <c r="E11" i="29"/>
  <c r="E12" i="29"/>
  <c r="E13" i="29"/>
  <c r="E14" i="29"/>
  <c r="E15" i="29"/>
  <c r="E16" i="29"/>
  <c r="E17" i="29"/>
  <c r="E18" i="29"/>
  <c r="E19" i="29"/>
  <c r="E20" i="29"/>
  <c r="E21" i="29"/>
  <c r="E22" i="29"/>
  <c r="E23" i="29"/>
  <c r="E24" i="29"/>
  <c r="E25" i="29"/>
  <c r="E26" i="29"/>
  <c r="E27" i="29"/>
  <c r="E28" i="29"/>
  <c r="E29" i="29"/>
  <c r="E30" i="29"/>
  <c r="E31" i="29"/>
  <c r="E32" i="29"/>
  <c r="E33" i="29"/>
  <c r="E34" i="29"/>
  <c r="E35" i="29"/>
  <c r="E36" i="29"/>
  <c r="E37" i="29"/>
  <c r="E38" i="29"/>
  <c r="E39" i="29"/>
  <c r="E40" i="29"/>
  <c r="E41" i="29"/>
  <c r="E42" i="29"/>
  <c r="E43" i="29"/>
  <c r="E44" i="29"/>
  <c r="E45" i="29"/>
  <c r="E46" i="29"/>
  <c r="E47" i="29"/>
  <c r="E48" i="29"/>
  <c r="E49" i="29"/>
  <c r="E50" i="29"/>
  <c r="E51" i="29"/>
  <c r="E52" i="29"/>
  <c r="E53" i="29"/>
  <c r="E54" i="29"/>
  <c r="E55" i="29"/>
  <c r="E56" i="29"/>
  <c r="E57" i="29"/>
  <c r="E58" i="29"/>
  <c r="E59" i="29"/>
  <c r="E60" i="29"/>
  <c r="E61" i="29"/>
  <c r="E62" i="29"/>
  <c r="E63" i="29"/>
  <c r="E64" i="29"/>
  <c r="E65" i="29"/>
  <c r="E66" i="29"/>
  <c r="E67" i="29"/>
  <c r="E68" i="29"/>
  <c r="E69" i="29"/>
  <c r="E70" i="29"/>
  <c r="E71" i="29"/>
  <c r="E72" i="29"/>
  <c r="E73" i="29"/>
  <c r="E74" i="29"/>
  <c r="E75" i="29"/>
  <c r="E76" i="29"/>
  <c r="E77" i="29"/>
  <c r="E78" i="29"/>
  <c r="E79" i="29"/>
  <c r="E80" i="29"/>
  <c r="E81" i="29"/>
  <c r="E82" i="29"/>
  <c r="E83" i="29"/>
  <c r="E84" i="29"/>
  <c r="E85" i="29"/>
  <c r="E86" i="29"/>
  <c r="E87" i="29"/>
  <c r="E88" i="29"/>
  <c r="E89" i="29"/>
  <c r="E90" i="29"/>
  <c r="E91" i="29"/>
  <c r="E92" i="29"/>
  <c r="E93" i="29"/>
  <c r="E94" i="29"/>
  <c r="E95" i="29"/>
  <c r="E96" i="29"/>
  <c r="E97" i="29"/>
  <c r="E98" i="29"/>
  <c r="E99" i="29"/>
  <c r="E100" i="29"/>
  <c r="E101" i="29"/>
  <c r="E102" i="29"/>
  <c r="E103" i="29"/>
  <c r="E104" i="29"/>
  <c r="E105" i="29"/>
  <c r="E106" i="29"/>
  <c r="E107" i="29"/>
  <c r="E108" i="29"/>
  <c r="E109" i="29"/>
  <c r="E110" i="29"/>
  <c r="E111" i="29"/>
  <c r="E112" i="29"/>
  <c r="E113" i="29"/>
  <c r="E114" i="29"/>
  <c r="E115" i="29"/>
  <c r="E116" i="29"/>
  <c r="E117" i="29"/>
  <c r="E118" i="29"/>
  <c r="E119" i="29"/>
  <c r="E120" i="29"/>
  <c r="E121" i="29"/>
  <c r="E122" i="29"/>
  <c r="E123" i="29"/>
  <c r="E124" i="29"/>
  <c r="E125" i="29"/>
  <c r="E126" i="29"/>
  <c r="E127" i="29"/>
  <c r="E128" i="29"/>
  <c r="E129" i="29"/>
  <c r="E130" i="29"/>
  <c r="E131" i="29"/>
  <c r="E132" i="29"/>
  <c r="E133" i="29"/>
  <c r="E134" i="29"/>
  <c r="E135" i="29"/>
  <c r="E136" i="29"/>
  <c r="E137" i="29"/>
  <c r="E138" i="29"/>
  <c r="E139" i="29"/>
  <c r="E140" i="29"/>
  <c r="E141" i="29"/>
  <c r="E142" i="29"/>
  <c r="E143" i="29"/>
  <c r="E144" i="29"/>
  <c r="E145" i="29"/>
  <c r="E146" i="29"/>
  <c r="E147" i="29"/>
  <c r="E148" i="29"/>
  <c r="E149" i="29"/>
  <c r="E150" i="29"/>
  <c r="E151" i="29"/>
  <c r="E152" i="29"/>
  <c r="E153" i="29"/>
  <c r="E154" i="29"/>
  <c r="E155" i="29"/>
  <c r="E156" i="29"/>
  <c r="E157" i="29"/>
  <c r="E158" i="29"/>
  <c r="E159" i="29"/>
  <c r="E160" i="29"/>
  <c r="E161" i="29"/>
  <c r="E162" i="29"/>
  <c r="E163" i="29"/>
  <c r="E164" i="29"/>
  <c r="E165" i="29"/>
  <c r="E166" i="29"/>
  <c r="E167" i="29"/>
  <c r="E168" i="29"/>
  <c r="E169" i="29"/>
  <c r="E170" i="29"/>
  <c r="E171" i="29"/>
  <c r="E172" i="29"/>
  <c r="E173" i="29"/>
  <c r="E174" i="29"/>
  <c r="E175" i="29"/>
  <c r="E176" i="29"/>
  <c r="E177" i="29"/>
  <c r="E178" i="29"/>
  <c r="E179" i="29"/>
  <c r="E180" i="29"/>
  <c r="E181" i="29"/>
  <c r="E182" i="29"/>
  <c r="E183" i="29"/>
  <c r="E184" i="29"/>
  <c r="E185" i="29"/>
  <c r="E186" i="29"/>
  <c r="E187" i="29"/>
  <c r="E188" i="29"/>
  <c r="E189" i="29"/>
  <c r="E190" i="29"/>
  <c r="E191" i="29"/>
  <c r="E192" i="29"/>
  <c r="E193" i="29"/>
  <c r="E194" i="29"/>
  <c r="E195" i="29"/>
  <c r="E196" i="29"/>
  <c r="E197" i="29"/>
  <c r="E198" i="29"/>
  <c r="E199" i="29"/>
  <c r="E200" i="29"/>
  <c r="E201" i="29"/>
  <c r="E202" i="29"/>
  <c r="E203" i="29"/>
  <c r="E204" i="29"/>
  <c r="E205" i="29"/>
  <c r="E206" i="29"/>
  <c r="E207" i="29"/>
  <c r="E208" i="29"/>
  <c r="E209" i="29"/>
  <c r="E210" i="29"/>
  <c r="E211" i="29"/>
  <c r="E212" i="29"/>
  <c r="E213" i="29"/>
  <c r="E214" i="29"/>
  <c r="E215" i="29"/>
  <c r="E216" i="29"/>
  <c r="E217" i="29"/>
  <c r="E218" i="29"/>
  <c r="E219" i="29"/>
  <c r="E220" i="29"/>
  <c r="E221" i="29"/>
  <c r="E222" i="29"/>
  <c r="E223" i="29"/>
  <c r="E224" i="29"/>
  <c r="E225" i="29"/>
  <c r="E226" i="29"/>
  <c r="E227" i="29"/>
  <c r="E228" i="29"/>
  <c r="E229" i="29"/>
  <c r="E230" i="29"/>
  <c r="E231" i="29"/>
  <c r="E232" i="29"/>
  <c r="E233" i="29"/>
  <c r="E234" i="29"/>
  <c r="E235" i="29"/>
  <c r="E236" i="29"/>
  <c r="E237" i="29"/>
  <c r="E238" i="29"/>
  <c r="E239" i="29"/>
  <c r="E240" i="29"/>
  <c r="E241" i="29"/>
  <c r="E242" i="29"/>
  <c r="E243" i="29"/>
  <c r="E244" i="29"/>
  <c r="E245" i="29"/>
  <c r="E246" i="29"/>
  <c r="E247" i="29"/>
  <c r="E248" i="29"/>
  <c r="E249" i="29"/>
  <c r="E250" i="29"/>
  <c r="E251" i="29"/>
  <c r="E252" i="29"/>
  <c r="E253" i="29"/>
  <c r="E254" i="29"/>
  <c r="E255" i="29"/>
  <c r="E256" i="29"/>
  <c r="E257" i="29"/>
  <c r="E258" i="29"/>
  <c r="E259" i="29"/>
  <c r="E260" i="29"/>
  <c r="E261" i="29"/>
  <c r="E262" i="29"/>
  <c r="E263" i="29"/>
  <c r="E264" i="29"/>
  <c r="E265" i="29"/>
  <c r="E266" i="29"/>
  <c r="E267" i="29"/>
  <c r="E268" i="29"/>
  <c r="E269" i="29"/>
  <c r="E270" i="29"/>
  <c r="E271" i="29"/>
  <c r="E272" i="29"/>
  <c r="E273" i="29"/>
  <c r="E274" i="29"/>
  <c r="E275" i="29"/>
  <c r="E276" i="29"/>
  <c r="E277" i="29"/>
  <c r="E278" i="29"/>
  <c r="E279" i="29"/>
  <c r="E280" i="29"/>
  <c r="E281" i="29"/>
  <c r="E282" i="29"/>
  <c r="E283" i="29"/>
  <c r="E284" i="29"/>
  <c r="E285" i="29"/>
  <c r="E286" i="29"/>
  <c r="E287" i="29"/>
  <c r="E288" i="29"/>
  <c r="E289" i="29"/>
  <c r="E290" i="29"/>
  <c r="E291" i="29"/>
  <c r="E292" i="29"/>
  <c r="E293" i="29"/>
  <c r="E294" i="29"/>
  <c r="E295" i="29"/>
  <c r="E296" i="29"/>
  <c r="E297" i="29"/>
  <c r="E298" i="29"/>
  <c r="E299" i="29"/>
  <c r="E300" i="29"/>
  <c r="E301" i="29"/>
  <c r="E302" i="29"/>
  <c r="E303" i="29"/>
  <c r="E304" i="29"/>
  <c r="E305" i="29"/>
  <c r="E306" i="29"/>
  <c r="E307" i="29"/>
  <c r="E308" i="29"/>
  <c r="E309" i="29"/>
  <c r="E310" i="29"/>
  <c r="E311" i="29"/>
  <c r="E312" i="29"/>
  <c r="E313" i="29"/>
  <c r="E314" i="29"/>
  <c r="E315" i="29"/>
  <c r="E316" i="29"/>
  <c r="E317" i="29"/>
  <c r="E318" i="29"/>
  <c r="E319" i="29"/>
  <c r="E320" i="29"/>
  <c r="E321" i="29"/>
  <c r="E322" i="29"/>
  <c r="E323" i="29"/>
  <c r="E324" i="29"/>
  <c r="E325" i="29"/>
  <c r="E326" i="29"/>
  <c r="E327" i="29"/>
  <c r="E328" i="29"/>
  <c r="E329" i="29"/>
  <c r="E330" i="29"/>
  <c r="E331" i="29"/>
  <c r="E332" i="29"/>
  <c r="E333" i="29"/>
  <c r="E334" i="29"/>
  <c r="E335" i="29"/>
  <c r="E336" i="29"/>
  <c r="E337" i="29"/>
  <c r="E338" i="29"/>
  <c r="E339" i="29"/>
  <c r="E340" i="29"/>
  <c r="E341" i="29"/>
  <c r="E342" i="29"/>
  <c r="E343" i="29"/>
  <c r="E344" i="29"/>
  <c r="E345" i="29"/>
  <c r="E346" i="29"/>
  <c r="E347" i="29"/>
  <c r="E348" i="29"/>
  <c r="E349" i="29"/>
  <c r="E350" i="29"/>
  <c r="E351" i="29"/>
  <c r="E352" i="29"/>
  <c r="E353" i="29"/>
  <c r="E354" i="29"/>
  <c r="E355" i="29"/>
  <c r="E356" i="29"/>
  <c r="E357" i="29"/>
  <c r="E358" i="29"/>
  <c r="E359" i="29"/>
  <c r="E360" i="29"/>
  <c r="E361" i="29"/>
  <c r="E362" i="29"/>
  <c r="E363" i="29"/>
  <c r="E364" i="29"/>
  <c r="E365" i="29"/>
  <c r="E366" i="29"/>
  <c r="E367" i="29"/>
  <c r="E368" i="29"/>
  <c r="E369" i="29"/>
  <c r="E370" i="29"/>
  <c r="E371" i="29"/>
  <c r="E372" i="29"/>
  <c r="E373" i="29"/>
  <c r="E374" i="29"/>
  <c r="E375" i="29"/>
  <c r="E376" i="29"/>
  <c r="E377" i="29"/>
  <c r="E378" i="29"/>
  <c r="E379" i="29"/>
  <c r="E380" i="29"/>
  <c r="E381" i="29"/>
  <c r="E382" i="29"/>
  <c r="E383" i="29"/>
  <c r="E384" i="29"/>
  <c r="E385" i="29"/>
  <c r="E386" i="29"/>
  <c r="E387" i="29"/>
  <c r="E388" i="29"/>
  <c r="E389" i="29"/>
  <c r="E390" i="29"/>
  <c r="E391" i="29"/>
  <c r="E392" i="29"/>
  <c r="E393" i="29"/>
  <c r="E394" i="29"/>
  <c r="E395" i="29"/>
  <c r="E396" i="29"/>
  <c r="E397" i="29"/>
  <c r="E398" i="29"/>
  <c r="E399" i="29"/>
  <c r="E400" i="29"/>
  <c r="E401" i="29"/>
  <c r="E402" i="29"/>
  <c r="E403" i="29"/>
  <c r="E404" i="29"/>
  <c r="E405" i="29"/>
  <c r="E406" i="29"/>
  <c r="E407" i="29"/>
  <c r="E408" i="29"/>
  <c r="E409" i="29"/>
  <c r="E410" i="29"/>
  <c r="E411" i="29"/>
  <c r="E412" i="29"/>
  <c r="E413" i="29"/>
  <c r="E414" i="29"/>
  <c r="E415" i="29"/>
  <c r="E416" i="29"/>
  <c r="E417" i="29"/>
  <c r="E418" i="29"/>
  <c r="E419" i="29"/>
  <c r="E420" i="29"/>
  <c r="E421" i="29"/>
  <c r="E422" i="29"/>
  <c r="E423" i="29"/>
  <c r="E424" i="29"/>
  <c r="E425" i="29"/>
  <c r="E426" i="29"/>
  <c r="E427" i="29"/>
  <c r="E428" i="29"/>
  <c r="E429" i="29"/>
  <c r="E430" i="29"/>
  <c r="E431" i="29"/>
  <c r="E432" i="29"/>
  <c r="E433" i="29"/>
  <c r="E434" i="29"/>
  <c r="E435" i="29"/>
  <c r="E436" i="29"/>
  <c r="E437" i="29"/>
  <c r="E438" i="29"/>
  <c r="E439" i="29"/>
  <c r="E440" i="29"/>
  <c r="E441" i="29"/>
  <c r="E442" i="29"/>
  <c r="E443" i="29"/>
  <c r="E444" i="29"/>
  <c r="E445" i="29"/>
  <c r="E446" i="29"/>
  <c r="E447" i="29"/>
  <c r="E448" i="29"/>
  <c r="E449" i="29"/>
  <c r="E450" i="29"/>
  <c r="E451" i="29"/>
  <c r="E452" i="29"/>
  <c r="E453" i="29"/>
  <c r="E454" i="29"/>
  <c r="E455" i="29"/>
  <c r="E456" i="29"/>
  <c r="E457" i="29"/>
  <c r="E458" i="29"/>
  <c r="E459" i="29"/>
  <c r="E460" i="29"/>
  <c r="E461" i="29"/>
  <c r="E462" i="29"/>
  <c r="E463" i="29"/>
  <c r="E464" i="29"/>
  <c r="E465" i="29"/>
  <c r="E466" i="29"/>
  <c r="E467" i="29"/>
  <c r="E468" i="29"/>
  <c r="E469" i="29"/>
  <c r="E470" i="29"/>
  <c r="E471" i="29"/>
  <c r="E472" i="29"/>
  <c r="E473" i="29"/>
  <c r="E474" i="29"/>
  <c r="E475" i="29"/>
  <c r="E476" i="29"/>
  <c r="E477" i="29"/>
  <c r="E478" i="29"/>
  <c r="E479" i="29"/>
  <c r="E480" i="29"/>
  <c r="E481" i="29"/>
  <c r="E482" i="29"/>
  <c r="E483" i="29"/>
  <c r="E484" i="29"/>
  <c r="E485" i="29"/>
  <c r="E486" i="29"/>
  <c r="E487" i="29"/>
  <c r="E488" i="29"/>
  <c r="E489" i="29"/>
  <c r="E490" i="29"/>
  <c r="E491" i="29"/>
  <c r="E492" i="29"/>
  <c r="E493" i="29"/>
  <c r="E494" i="29"/>
  <c r="E495" i="29"/>
  <c r="E496" i="29"/>
  <c r="E497" i="29"/>
  <c r="E498" i="29"/>
  <c r="E499" i="29"/>
  <c r="E500" i="29"/>
  <c r="E501" i="29"/>
  <c r="E502" i="29"/>
  <c r="E503" i="29"/>
  <c r="E504" i="29"/>
  <c r="E505" i="29"/>
  <c r="E506" i="29"/>
  <c r="E507" i="29"/>
  <c r="E508" i="29"/>
  <c r="E509" i="29"/>
  <c r="E510" i="29"/>
  <c r="E511" i="29"/>
  <c r="E512" i="29"/>
  <c r="E513" i="29"/>
  <c r="E514" i="29"/>
  <c r="E515" i="29"/>
  <c r="E516" i="29"/>
  <c r="E517" i="29"/>
  <c r="E518" i="29"/>
  <c r="E519" i="29"/>
  <c r="E520" i="29"/>
  <c r="E521" i="29"/>
  <c r="E522" i="29"/>
  <c r="E523" i="29"/>
  <c r="E524" i="29"/>
  <c r="E525" i="29"/>
  <c r="E526" i="29"/>
  <c r="E527" i="29"/>
  <c r="E528" i="29"/>
  <c r="E529" i="29"/>
  <c r="E530" i="29"/>
  <c r="E531" i="29"/>
  <c r="E532" i="29"/>
  <c r="E533" i="29"/>
  <c r="E534" i="29"/>
  <c r="E535" i="29"/>
  <c r="E536" i="29"/>
  <c r="E537" i="29"/>
  <c r="E538" i="29"/>
  <c r="E539" i="29"/>
  <c r="E540" i="29"/>
  <c r="E541" i="29"/>
  <c r="E542" i="29"/>
  <c r="E543" i="29"/>
  <c r="E544" i="29"/>
  <c r="E545" i="29"/>
  <c r="E546" i="29"/>
  <c r="E547" i="29"/>
  <c r="E548" i="29"/>
  <c r="E549" i="29"/>
  <c r="E550" i="29"/>
  <c r="E551" i="29"/>
  <c r="E552" i="29"/>
  <c r="E553" i="29"/>
  <c r="E554" i="29"/>
  <c r="E555" i="29"/>
  <c r="E556" i="29"/>
  <c r="E557" i="29"/>
  <c r="E558" i="29"/>
  <c r="E559" i="29"/>
  <c r="E560" i="29"/>
  <c r="E561" i="29"/>
  <c r="E562" i="29"/>
  <c r="E563" i="29"/>
  <c r="E564" i="29"/>
  <c r="E565" i="29"/>
  <c r="E566" i="29"/>
  <c r="E567" i="29"/>
  <c r="E568" i="29"/>
  <c r="E569" i="29"/>
  <c r="E570" i="29"/>
  <c r="E571" i="29"/>
  <c r="E572" i="29"/>
  <c r="E573" i="29"/>
  <c r="E574" i="29"/>
  <c r="E575" i="29"/>
  <c r="E576" i="29"/>
  <c r="E577" i="29"/>
  <c r="E578" i="29"/>
  <c r="E579" i="29"/>
  <c r="E580" i="29"/>
  <c r="E581" i="29"/>
  <c r="E582" i="29"/>
  <c r="E583" i="29"/>
  <c r="E584" i="29"/>
  <c r="E585" i="29"/>
  <c r="E586" i="29"/>
  <c r="E587" i="29"/>
  <c r="E588" i="29"/>
  <c r="E589" i="29"/>
  <c r="E590" i="29"/>
  <c r="E591" i="29"/>
  <c r="E592" i="29"/>
  <c r="E593" i="29"/>
  <c r="E594" i="29"/>
  <c r="E595" i="29"/>
  <c r="E596" i="29"/>
  <c r="E597" i="29"/>
  <c r="E598" i="29"/>
  <c r="E599" i="29"/>
  <c r="E600" i="29"/>
  <c r="E601" i="29"/>
  <c r="E602" i="29"/>
  <c r="E603" i="29"/>
  <c r="E604" i="29"/>
  <c r="E605" i="29"/>
  <c r="E606" i="29"/>
  <c r="E607" i="29"/>
  <c r="E608" i="29"/>
  <c r="E609" i="29"/>
  <c r="E610" i="29"/>
  <c r="E611" i="29"/>
  <c r="E612" i="29"/>
  <c r="E613" i="29"/>
  <c r="E614" i="29"/>
  <c r="E615" i="29"/>
  <c r="E616" i="29"/>
  <c r="E617" i="29"/>
  <c r="E618" i="29"/>
  <c r="E619" i="29"/>
  <c r="E620" i="29"/>
  <c r="E621" i="29"/>
  <c r="E622" i="29"/>
  <c r="E623" i="29"/>
  <c r="E624" i="29"/>
  <c r="E625" i="29"/>
  <c r="E626" i="29"/>
  <c r="E627" i="29"/>
  <c r="E628" i="29"/>
  <c r="E629" i="29"/>
  <c r="E630" i="29"/>
  <c r="E631" i="29"/>
  <c r="E632" i="29"/>
  <c r="E633" i="29"/>
  <c r="E634" i="29"/>
  <c r="E635" i="29"/>
  <c r="E636" i="29"/>
  <c r="E637" i="29"/>
  <c r="E638" i="29"/>
  <c r="E639" i="29"/>
  <c r="E640" i="29"/>
  <c r="E641" i="29"/>
  <c r="E642" i="29"/>
  <c r="E643" i="29"/>
  <c r="E644" i="29"/>
  <c r="E645" i="29"/>
  <c r="E646" i="29"/>
  <c r="E647" i="29"/>
  <c r="E648" i="29"/>
  <c r="E649" i="29"/>
  <c r="E650" i="29"/>
  <c r="E651" i="29"/>
  <c r="E652" i="29"/>
  <c r="E653" i="29"/>
  <c r="E654" i="29"/>
  <c r="E655" i="29"/>
  <c r="E656" i="29"/>
  <c r="E657" i="29"/>
  <c r="E658" i="29"/>
  <c r="E659" i="29"/>
  <c r="E660" i="29"/>
  <c r="E661" i="29"/>
  <c r="E662" i="29"/>
  <c r="E663" i="29"/>
  <c r="E664" i="29"/>
  <c r="E665" i="29"/>
  <c r="E666" i="29"/>
  <c r="E667" i="29"/>
  <c r="E668" i="29"/>
  <c r="E669" i="29"/>
  <c r="E670" i="29"/>
  <c r="E671" i="29"/>
  <c r="E672" i="29"/>
  <c r="E673" i="29"/>
  <c r="E674" i="29"/>
  <c r="E675" i="29"/>
  <c r="E676" i="29"/>
  <c r="E677" i="29"/>
  <c r="E678" i="29"/>
  <c r="E679" i="29"/>
  <c r="E680" i="29"/>
  <c r="E681" i="29"/>
  <c r="E682" i="29"/>
  <c r="E683" i="29"/>
  <c r="E684" i="29"/>
  <c r="E685" i="29"/>
  <c r="E686" i="29"/>
  <c r="E687" i="29"/>
  <c r="E688" i="29"/>
  <c r="E689" i="29"/>
  <c r="E690" i="29"/>
  <c r="E691" i="29"/>
  <c r="E692" i="29"/>
  <c r="E693" i="29"/>
  <c r="E694" i="29"/>
  <c r="E695" i="29"/>
  <c r="E696" i="29"/>
  <c r="E697" i="29"/>
  <c r="E698" i="29"/>
  <c r="E699" i="29"/>
  <c r="E700" i="29"/>
  <c r="E701" i="29"/>
  <c r="E702" i="29"/>
  <c r="E703" i="29"/>
  <c r="E704" i="29"/>
  <c r="E705" i="29"/>
  <c r="E706" i="29"/>
  <c r="E707" i="29"/>
  <c r="E708" i="29"/>
  <c r="E709" i="29"/>
  <c r="E710" i="29"/>
  <c r="E711" i="29"/>
  <c r="E712" i="29"/>
  <c r="E713" i="29"/>
  <c r="E714" i="29"/>
  <c r="E715" i="29"/>
  <c r="E716" i="29"/>
  <c r="E717" i="29"/>
  <c r="E718" i="29"/>
  <c r="E719" i="29"/>
  <c r="E720" i="29"/>
  <c r="E721" i="29"/>
  <c r="E722" i="29"/>
  <c r="E723" i="29"/>
  <c r="E724" i="29"/>
  <c r="E725" i="29"/>
  <c r="E726" i="29"/>
  <c r="E727" i="29"/>
  <c r="E728" i="29"/>
  <c r="E729" i="29"/>
  <c r="E730" i="29"/>
  <c r="E731" i="29"/>
  <c r="E732" i="29"/>
  <c r="E733" i="29"/>
  <c r="E734" i="29"/>
  <c r="E735" i="29"/>
  <c r="E736" i="29"/>
  <c r="E737" i="29"/>
  <c r="E738" i="29"/>
  <c r="E739" i="29"/>
  <c r="E740" i="29"/>
  <c r="E741" i="29"/>
  <c r="E742" i="29"/>
  <c r="E743" i="29"/>
  <c r="E744" i="29"/>
  <c r="E745" i="29"/>
  <c r="E746" i="29"/>
  <c r="E747" i="29"/>
  <c r="E748" i="29"/>
  <c r="E749" i="29"/>
  <c r="E750" i="29"/>
  <c r="E751" i="29"/>
  <c r="E752" i="29"/>
  <c r="E753" i="29"/>
  <c r="E754" i="29"/>
  <c r="E755" i="29"/>
  <c r="E756" i="29"/>
  <c r="E757" i="29"/>
  <c r="E758" i="29"/>
  <c r="E759" i="29"/>
  <c r="E760" i="29"/>
  <c r="E761" i="29"/>
  <c r="E762" i="29"/>
  <c r="E763" i="29"/>
  <c r="E764" i="29"/>
  <c r="E765" i="29"/>
  <c r="E766" i="29"/>
  <c r="E767" i="29"/>
  <c r="E768" i="29"/>
  <c r="E769" i="29"/>
  <c r="E770" i="29"/>
  <c r="E771" i="29"/>
  <c r="E772" i="29"/>
  <c r="E773" i="29"/>
  <c r="E774" i="29"/>
  <c r="E775" i="29"/>
  <c r="E776" i="29"/>
  <c r="E777" i="29"/>
  <c r="E778" i="29"/>
  <c r="E779" i="29"/>
  <c r="E780" i="29"/>
  <c r="E781" i="29"/>
  <c r="E782" i="29"/>
  <c r="E783" i="29"/>
  <c r="E784" i="29"/>
  <c r="E785" i="29"/>
  <c r="E786" i="29"/>
  <c r="E787" i="29"/>
  <c r="E788" i="29"/>
  <c r="E789" i="29"/>
  <c r="E790" i="29"/>
  <c r="E791" i="29"/>
  <c r="E792" i="29"/>
  <c r="E793" i="29"/>
  <c r="E794" i="29"/>
  <c r="E795" i="29"/>
  <c r="E796" i="29"/>
  <c r="E797" i="29"/>
  <c r="E798" i="29"/>
  <c r="E799" i="29"/>
  <c r="E800" i="29"/>
  <c r="E801" i="29"/>
  <c r="E802" i="29"/>
  <c r="E803" i="29"/>
  <c r="E804" i="29"/>
  <c r="E805" i="29"/>
  <c r="E806" i="29"/>
  <c r="E807" i="29"/>
  <c r="E808" i="29"/>
  <c r="E809" i="29"/>
  <c r="E810" i="29"/>
  <c r="E811" i="29"/>
  <c r="E812" i="29"/>
  <c r="E813" i="29"/>
  <c r="E814" i="29"/>
  <c r="E815" i="29"/>
  <c r="E816" i="29"/>
  <c r="E817" i="29"/>
  <c r="E818" i="29"/>
  <c r="E819" i="29"/>
  <c r="E820" i="29"/>
  <c r="E821" i="29"/>
  <c r="E822" i="29"/>
  <c r="E823" i="29"/>
  <c r="E824" i="29"/>
  <c r="E825" i="29"/>
  <c r="E826" i="29"/>
  <c r="E827" i="29"/>
  <c r="E828" i="29"/>
  <c r="E829" i="29"/>
  <c r="E830" i="29"/>
  <c r="E831" i="29"/>
  <c r="E832" i="29"/>
  <c r="E833" i="29"/>
  <c r="E834" i="29"/>
  <c r="E835" i="29"/>
  <c r="E836" i="29"/>
  <c r="E837" i="29"/>
  <c r="E838" i="29"/>
  <c r="E839" i="29"/>
  <c r="E840" i="29"/>
  <c r="E841" i="29"/>
  <c r="E842" i="29"/>
  <c r="E843" i="29"/>
  <c r="E844" i="29"/>
  <c r="E845" i="29"/>
  <c r="E846" i="29"/>
  <c r="E847" i="29"/>
  <c r="E848" i="29"/>
  <c r="E849" i="29"/>
  <c r="E850" i="29"/>
  <c r="E851" i="29"/>
  <c r="E852" i="29"/>
  <c r="E853" i="29"/>
  <c r="E854" i="29"/>
  <c r="E855" i="29"/>
  <c r="E856" i="29"/>
  <c r="E857" i="29"/>
  <c r="E858" i="29"/>
  <c r="E859" i="29"/>
  <c r="E860" i="29"/>
  <c r="E861" i="29"/>
  <c r="E862" i="29"/>
  <c r="E863" i="29"/>
  <c r="E864" i="29"/>
  <c r="E865" i="29"/>
  <c r="E866" i="29"/>
  <c r="E867" i="29"/>
  <c r="E868" i="29"/>
  <c r="E869" i="29"/>
  <c r="E870" i="29"/>
  <c r="E871" i="29"/>
  <c r="E872" i="29"/>
  <c r="E873" i="29"/>
  <c r="E874" i="29"/>
  <c r="E875" i="29"/>
  <c r="E876" i="29"/>
  <c r="E877" i="29"/>
  <c r="E878" i="29"/>
  <c r="E879" i="29"/>
  <c r="E880" i="29"/>
  <c r="E881" i="29"/>
  <c r="E882" i="29"/>
  <c r="E883" i="29"/>
  <c r="E884" i="29"/>
  <c r="E885" i="29"/>
  <c r="E886" i="29"/>
  <c r="E887" i="29"/>
  <c r="E888" i="29"/>
  <c r="E889" i="29"/>
  <c r="E890" i="29"/>
  <c r="E891" i="29"/>
  <c r="E892" i="29"/>
  <c r="E893" i="29"/>
  <c r="E894" i="29"/>
  <c r="E895" i="29"/>
  <c r="E896" i="29"/>
  <c r="E897" i="29"/>
  <c r="E898" i="29"/>
  <c r="E899" i="29"/>
  <c r="E900" i="29"/>
  <c r="E901" i="29"/>
  <c r="E902" i="29"/>
  <c r="E903" i="29"/>
  <c r="E904" i="29"/>
  <c r="E905" i="29"/>
  <c r="E906" i="29"/>
  <c r="E907" i="29"/>
  <c r="E908" i="29"/>
  <c r="E909" i="29"/>
  <c r="E910" i="29"/>
  <c r="E911" i="29"/>
  <c r="E912" i="29"/>
  <c r="E913" i="29"/>
  <c r="E914" i="29"/>
  <c r="E915" i="29"/>
  <c r="E916" i="29"/>
  <c r="E917" i="29"/>
  <c r="E918" i="29"/>
  <c r="E919" i="29"/>
  <c r="E920" i="29"/>
  <c r="E921" i="29"/>
  <c r="E922" i="29"/>
  <c r="E923" i="29"/>
  <c r="E924" i="29"/>
  <c r="E925" i="29"/>
  <c r="E926" i="29"/>
  <c r="E927" i="29"/>
  <c r="E928" i="29"/>
  <c r="E929" i="29"/>
  <c r="E930" i="29"/>
  <c r="E931" i="29"/>
  <c r="E932" i="29"/>
  <c r="E933" i="29"/>
  <c r="E934" i="29"/>
  <c r="E935" i="29"/>
  <c r="E936" i="29"/>
  <c r="E937" i="29"/>
  <c r="E938" i="29"/>
  <c r="E939" i="29"/>
  <c r="E940" i="29"/>
  <c r="E941" i="29"/>
  <c r="E942" i="29"/>
  <c r="E943" i="29"/>
  <c r="E944" i="29"/>
  <c r="E945" i="29"/>
  <c r="E946" i="29"/>
  <c r="E947" i="29"/>
  <c r="E948" i="29"/>
  <c r="E949" i="29"/>
  <c r="E950" i="29"/>
  <c r="E951" i="29"/>
  <c r="E952" i="29"/>
  <c r="E953" i="29"/>
  <c r="E954" i="29"/>
  <c r="E955" i="29"/>
  <c r="E956" i="29"/>
  <c r="E957" i="29"/>
  <c r="E958" i="29"/>
  <c r="E959" i="29"/>
  <c r="E960" i="29"/>
  <c r="E961" i="29"/>
  <c r="E962" i="29"/>
  <c r="E963" i="29"/>
  <c r="E964" i="29"/>
  <c r="E965" i="29"/>
  <c r="E966" i="29"/>
  <c r="E967" i="29"/>
  <c r="E968" i="29"/>
  <c r="E969" i="29"/>
  <c r="E970" i="29"/>
  <c r="E971" i="29"/>
  <c r="E972" i="29"/>
  <c r="E973" i="29"/>
  <c r="E974" i="29"/>
  <c r="E975" i="29"/>
  <c r="E976" i="29"/>
  <c r="E977" i="29"/>
  <c r="E978" i="29"/>
  <c r="E979" i="29"/>
  <c r="E980" i="29"/>
  <c r="E981" i="29"/>
  <c r="E982" i="29"/>
  <c r="E983" i="29"/>
  <c r="E984" i="29"/>
  <c r="E985" i="29"/>
  <c r="E986" i="29"/>
  <c r="E987" i="29"/>
  <c r="E988" i="29"/>
  <c r="E989" i="29"/>
  <c r="E990" i="29"/>
  <c r="E991" i="29"/>
  <c r="E992" i="29"/>
  <c r="E993" i="29"/>
  <c r="E994" i="29"/>
  <c r="E995" i="29"/>
  <c r="E996" i="29"/>
  <c r="E997" i="29"/>
  <c r="E998" i="29"/>
  <c r="E999" i="29"/>
  <c r="E1000" i="29"/>
  <c r="E1001" i="29"/>
  <c r="E1002" i="29"/>
  <c r="E1003" i="29"/>
  <c r="D10" i="29"/>
  <c r="D11" i="29"/>
  <c r="D12" i="29"/>
  <c r="D13" i="29"/>
  <c r="D14" i="29"/>
  <c r="D15" i="29"/>
  <c r="D16" i="29"/>
  <c r="D17" i="29"/>
  <c r="D18" i="29"/>
  <c r="D19" i="29"/>
  <c r="D20" i="29"/>
  <c r="D21" i="29"/>
  <c r="D22" i="29"/>
  <c r="D23" i="29"/>
  <c r="D24" i="29"/>
  <c r="D25" i="29"/>
  <c r="D26" i="29"/>
  <c r="D27" i="29"/>
  <c r="D28" i="29"/>
  <c r="D29" i="29"/>
  <c r="D30" i="29"/>
  <c r="D31" i="29"/>
  <c r="D32" i="29"/>
  <c r="D33" i="29"/>
  <c r="D34" i="29"/>
  <c r="D35" i="29"/>
  <c r="D36" i="29"/>
  <c r="D37" i="29"/>
  <c r="D38" i="29"/>
  <c r="D39" i="29"/>
  <c r="D40" i="29"/>
  <c r="D41" i="29"/>
  <c r="D42" i="29"/>
  <c r="D43" i="29"/>
  <c r="D44" i="29"/>
  <c r="D45" i="29"/>
  <c r="D46" i="29"/>
  <c r="D47" i="29"/>
  <c r="D48" i="29"/>
  <c r="D49" i="29"/>
  <c r="D50" i="29"/>
  <c r="D51" i="29"/>
  <c r="D52" i="29"/>
  <c r="D53" i="29"/>
  <c r="D54" i="29"/>
  <c r="D55" i="29"/>
  <c r="D56" i="29"/>
  <c r="D57" i="29"/>
  <c r="D58" i="29"/>
  <c r="D59" i="29"/>
  <c r="D60" i="29"/>
  <c r="D61" i="29"/>
  <c r="D62" i="29"/>
  <c r="D63" i="29"/>
  <c r="D64" i="29"/>
  <c r="D65" i="29"/>
  <c r="D66" i="29"/>
  <c r="D67" i="29"/>
  <c r="D68" i="29"/>
  <c r="D69" i="29"/>
  <c r="D70" i="29"/>
  <c r="D71" i="29"/>
  <c r="D72" i="29"/>
  <c r="D73" i="29"/>
  <c r="D74" i="29"/>
  <c r="D75" i="29"/>
  <c r="D76" i="29"/>
  <c r="D77" i="29"/>
  <c r="D78" i="29"/>
  <c r="D79" i="29"/>
  <c r="D80" i="29"/>
  <c r="D81" i="29"/>
  <c r="D82" i="29"/>
  <c r="D83" i="29"/>
  <c r="D84" i="29"/>
  <c r="D85" i="29"/>
  <c r="D86" i="29"/>
  <c r="D87" i="29"/>
  <c r="D88" i="29"/>
  <c r="D89" i="29"/>
  <c r="D90" i="29"/>
  <c r="D91" i="29"/>
  <c r="D92" i="29"/>
  <c r="D93" i="29"/>
  <c r="D94" i="29"/>
  <c r="D95" i="29"/>
  <c r="D96" i="29"/>
  <c r="D97" i="29"/>
  <c r="D98" i="29"/>
  <c r="D99" i="29"/>
  <c r="D100" i="29"/>
  <c r="D101" i="29"/>
  <c r="D102" i="29"/>
  <c r="D103" i="29"/>
  <c r="D104" i="29"/>
  <c r="D105" i="29"/>
  <c r="D106" i="29"/>
  <c r="D107" i="29"/>
  <c r="D108" i="29"/>
  <c r="D109" i="29"/>
  <c r="D110" i="29"/>
  <c r="D111" i="29"/>
  <c r="D112" i="29"/>
  <c r="D113" i="29"/>
  <c r="D114" i="29"/>
  <c r="D115" i="29"/>
  <c r="D116" i="29"/>
  <c r="D117" i="29"/>
  <c r="D118" i="29"/>
  <c r="D119" i="29"/>
  <c r="D120" i="29"/>
  <c r="D121" i="29"/>
  <c r="D122" i="29"/>
  <c r="D123" i="29"/>
  <c r="D124" i="29"/>
  <c r="D125" i="29"/>
  <c r="D126" i="29"/>
  <c r="D127" i="29"/>
  <c r="D128" i="29"/>
  <c r="D129" i="29"/>
  <c r="D130" i="29"/>
  <c r="D131" i="29"/>
  <c r="D132" i="29"/>
  <c r="D133" i="29"/>
  <c r="D134" i="29"/>
  <c r="D135" i="29"/>
  <c r="D136" i="29"/>
  <c r="D137" i="29"/>
  <c r="D138" i="29"/>
  <c r="D139" i="29"/>
  <c r="D140" i="29"/>
  <c r="D141" i="29"/>
  <c r="D142" i="29"/>
  <c r="D143" i="29"/>
  <c r="D144" i="29"/>
  <c r="D145" i="29"/>
  <c r="D146" i="29"/>
  <c r="D147" i="29"/>
  <c r="D148" i="29"/>
  <c r="D149" i="29"/>
  <c r="D150" i="29"/>
  <c r="D151" i="29"/>
  <c r="D152" i="29"/>
  <c r="D153" i="29"/>
  <c r="D154" i="29"/>
  <c r="D155" i="29"/>
  <c r="D156" i="29"/>
  <c r="D157" i="29"/>
  <c r="D158" i="29"/>
  <c r="D159" i="29"/>
  <c r="D160" i="29"/>
  <c r="D161" i="29"/>
  <c r="D162" i="29"/>
  <c r="D163" i="29"/>
  <c r="D164" i="29"/>
  <c r="D165" i="29"/>
  <c r="D166" i="29"/>
  <c r="D167" i="29"/>
  <c r="D168" i="29"/>
  <c r="D169" i="29"/>
  <c r="D170" i="29"/>
  <c r="D171" i="29"/>
  <c r="D172" i="29"/>
  <c r="D173" i="29"/>
  <c r="D174" i="29"/>
  <c r="D175" i="29"/>
  <c r="D176" i="29"/>
  <c r="D177" i="29"/>
  <c r="D178" i="29"/>
  <c r="D179" i="29"/>
  <c r="D180" i="29"/>
  <c r="D181" i="29"/>
  <c r="D182" i="29"/>
  <c r="D183" i="29"/>
  <c r="D184" i="29"/>
  <c r="D185" i="29"/>
  <c r="D186" i="29"/>
  <c r="D187" i="29"/>
  <c r="D188" i="29"/>
  <c r="D189" i="29"/>
  <c r="D190" i="29"/>
  <c r="D191" i="29"/>
  <c r="D192" i="29"/>
  <c r="D193" i="29"/>
  <c r="D194" i="29"/>
  <c r="D195" i="29"/>
  <c r="D196" i="29"/>
  <c r="D197" i="29"/>
  <c r="D198" i="29"/>
  <c r="D199" i="29"/>
  <c r="D200" i="29"/>
  <c r="D201" i="29"/>
  <c r="D202" i="29"/>
  <c r="D203" i="29"/>
  <c r="D204" i="29"/>
  <c r="D205" i="29"/>
  <c r="D206" i="29"/>
  <c r="D207" i="29"/>
  <c r="D208" i="29"/>
  <c r="D209" i="29"/>
  <c r="D210" i="29"/>
  <c r="D211" i="29"/>
  <c r="D212" i="29"/>
  <c r="D213" i="29"/>
  <c r="D214" i="29"/>
  <c r="D215" i="29"/>
  <c r="D216" i="29"/>
  <c r="D217" i="29"/>
  <c r="D218" i="29"/>
  <c r="D219" i="29"/>
  <c r="D220" i="29"/>
  <c r="D221" i="29"/>
  <c r="D222" i="29"/>
  <c r="D223" i="29"/>
  <c r="D224" i="29"/>
  <c r="D225" i="29"/>
  <c r="D226" i="29"/>
  <c r="D227" i="29"/>
  <c r="D228" i="29"/>
  <c r="D229" i="29"/>
  <c r="D230" i="29"/>
  <c r="D231" i="29"/>
  <c r="D232" i="29"/>
  <c r="D233" i="29"/>
  <c r="D234" i="29"/>
  <c r="D235" i="29"/>
  <c r="D236" i="29"/>
  <c r="D237" i="29"/>
  <c r="D238" i="29"/>
  <c r="D239" i="29"/>
  <c r="D240" i="29"/>
  <c r="D241" i="29"/>
  <c r="D242" i="29"/>
  <c r="D243" i="29"/>
  <c r="D244" i="29"/>
  <c r="D245" i="29"/>
  <c r="D246" i="29"/>
  <c r="D247" i="29"/>
  <c r="D248" i="29"/>
  <c r="D249" i="29"/>
  <c r="D250" i="29"/>
  <c r="D251" i="29"/>
  <c r="D252" i="29"/>
  <c r="D253" i="29"/>
  <c r="D254" i="29"/>
  <c r="D255" i="29"/>
  <c r="D256" i="29"/>
  <c r="D257" i="29"/>
  <c r="D258" i="29"/>
  <c r="D259" i="29"/>
  <c r="D260" i="29"/>
  <c r="D261" i="29"/>
  <c r="D262" i="29"/>
  <c r="D263" i="29"/>
  <c r="D264" i="29"/>
  <c r="D265" i="29"/>
  <c r="D266" i="29"/>
  <c r="D267" i="29"/>
  <c r="D268" i="29"/>
  <c r="D269" i="29"/>
  <c r="D270" i="29"/>
  <c r="D271" i="29"/>
  <c r="D272" i="29"/>
  <c r="D273" i="29"/>
  <c r="D274" i="29"/>
  <c r="D275" i="29"/>
  <c r="D276" i="29"/>
  <c r="D277" i="29"/>
  <c r="D278" i="29"/>
  <c r="D279" i="29"/>
  <c r="D280" i="29"/>
  <c r="D281" i="29"/>
  <c r="D282" i="29"/>
  <c r="D283" i="29"/>
  <c r="D284" i="29"/>
  <c r="D285" i="29"/>
  <c r="D286" i="29"/>
  <c r="D287" i="29"/>
  <c r="D288" i="29"/>
  <c r="D289" i="29"/>
  <c r="D290" i="29"/>
  <c r="D291" i="29"/>
  <c r="D292" i="29"/>
  <c r="D293" i="29"/>
  <c r="D294" i="29"/>
  <c r="D295" i="29"/>
  <c r="D296" i="29"/>
  <c r="D297" i="29"/>
  <c r="D298" i="29"/>
  <c r="D299" i="29"/>
  <c r="D300" i="29"/>
  <c r="D301" i="29"/>
  <c r="D302" i="29"/>
  <c r="D303" i="29"/>
  <c r="D304" i="29"/>
  <c r="D305" i="29"/>
  <c r="D306" i="29"/>
  <c r="D307" i="29"/>
  <c r="D308" i="29"/>
  <c r="D309" i="29"/>
  <c r="D310" i="29"/>
  <c r="D311" i="29"/>
  <c r="D312" i="29"/>
  <c r="D313" i="29"/>
  <c r="D314" i="29"/>
  <c r="D315" i="29"/>
  <c r="D316" i="29"/>
  <c r="D317" i="29"/>
  <c r="D318" i="29"/>
  <c r="D319" i="29"/>
  <c r="D320" i="29"/>
  <c r="D321" i="29"/>
  <c r="D322" i="29"/>
  <c r="D323" i="29"/>
  <c r="D324" i="29"/>
  <c r="D325" i="29"/>
  <c r="D326" i="29"/>
  <c r="D327" i="29"/>
  <c r="D328" i="29"/>
  <c r="D329" i="29"/>
  <c r="D330" i="29"/>
  <c r="D331" i="29"/>
  <c r="D332" i="29"/>
  <c r="D333" i="29"/>
  <c r="D334" i="29"/>
  <c r="D335" i="29"/>
  <c r="D336" i="29"/>
  <c r="D337" i="29"/>
  <c r="D338" i="29"/>
  <c r="D339" i="29"/>
  <c r="D340" i="29"/>
  <c r="D341" i="29"/>
  <c r="D342" i="29"/>
  <c r="D343" i="29"/>
  <c r="D344" i="29"/>
  <c r="D345" i="29"/>
  <c r="D346" i="29"/>
  <c r="D347" i="29"/>
  <c r="D348" i="29"/>
  <c r="D349" i="29"/>
  <c r="D350" i="29"/>
  <c r="D351" i="29"/>
  <c r="D352" i="29"/>
  <c r="D353" i="29"/>
  <c r="D354" i="29"/>
  <c r="D355" i="29"/>
  <c r="D356" i="29"/>
  <c r="D357" i="29"/>
  <c r="D358" i="29"/>
  <c r="D359" i="29"/>
  <c r="D360" i="29"/>
  <c r="D361" i="29"/>
  <c r="D362" i="29"/>
  <c r="D363" i="29"/>
  <c r="D364" i="29"/>
  <c r="D365" i="29"/>
  <c r="D366" i="29"/>
  <c r="D367" i="29"/>
  <c r="D368" i="29"/>
  <c r="D369" i="29"/>
  <c r="D370" i="29"/>
  <c r="D371" i="29"/>
  <c r="D372" i="29"/>
  <c r="D373" i="29"/>
  <c r="D374" i="29"/>
  <c r="D375" i="29"/>
  <c r="D376" i="29"/>
  <c r="D377" i="29"/>
  <c r="D378" i="29"/>
  <c r="D379" i="29"/>
  <c r="D380" i="29"/>
  <c r="D381" i="29"/>
  <c r="D382" i="29"/>
  <c r="D383" i="29"/>
  <c r="D384" i="29"/>
  <c r="D385" i="29"/>
  <c r="D386" i="29"/>
  <c r="D387" i="29"/>
  <c r="D388" i="29"/>
  <c r="D389" i="29"/>
  <c r="D390" i="29"/>
  <c r="D391" i="29"/>
  <c r="D392" i="29"/>
  <c r="D393" i="29"/>
  <c r="D394" i="29"/>
  <c r="D395" i="29"/>
  <c r="D396" i="29"/>
  <c r="D397" i="29"/>
  <c r="D398" i="29"/>
  <c r="D399" i="29"/>
  <c r="D400" i="29"/>
  <c r="D401" i="29"/>
  <c r="D402" i="29"/>
  <c r="D403" i="29"/>
  <c r="D404" i="29"/>
  <c r="D405" i="29"/>
  <c r="D406" i="29"/>
  <c r="D407" i="29"/>
  <c r="D408" i="29"/>
  <c r="D409" i="29"/>
  <c r="D410" i="29"/>
  <c r="D411" i="29"/>
  <c r="D412" i="29"/>
  <c r="D413" i="29"/>
  <c r="D414" i="29"/>
  <c r="D415" i="29"/>
  <c r="D416" i="29"/>
  <c r="D417" i="29"/>
  <c r="D418" i="29"/>
  <c r="D419" i="29"/>
  <c r="D420" i="29"/>
  <c r="D421" i="29"/>
  <c r="D422" i="29"/>
  <c r="D423" i="29"/>
  <c r="D424" i="29"/>
  <c r="D425" i="29"/>
  <c r="D426" i="29"/>
  <c r="D427" i="29"/>
  <c r="D428" i="29"/>
  <c r="D429" i="29"/>
  <c r="D430" i="29"/>
  <c r="D431" i="29"/>
  <c r="D432" i="29"/>
  <c r="D433" i="29"/>
  <c r="D434" i="29"/>
  <c r="D435" i="29"/>
  <c r="D436" i="29"/>
  <c r="D437" i="29"/>
  <c r="D438" i="29"/>
  <c r="D439" i="29"/>
  <c r="D440" i="29"/>
  <c r="D441" i="29"/>
  <c r="D442" i="29"/>
  <c r="D443" i="29"/>
  <c r="D444" i="29"/>
  <c r="D445" i="29"/>
  <c r="D446" i="29"/>
  <c r="D447" i="29"/>
  <c r="D448" i="29"/>
  <c r="D449" i="29"/>
  <c r="D450" i="29"/>
  <c r="D451" i="29"/>
  <c r="D452" i="29"/>
  <c r="D453" i="29"/>
  <c r="D454" i="29"/>
  <c r="D455" i="29"/>
  <c r="D456" i="29"/>
  <c r="D457" i="29"/>
  <c r="D458" i="29"/>
  <c r="D459" i="29"/>
  <c r="D460" i="29"/>
  <c r="D461" i="29"/>
  <c r="D462" i="29"/>
  <c r="D463" i="29"/>
  <c r="D464" i="29"/>
  <c r="D465" i="29"/>
  <c r="D466" i="29"/>
  <c r="D467" i="29"/>
  <c r="D468" i="29"/>
  <c r="D469" i="29"/>
  <c r="D470" i="29"/>
  <c r="D471" i="29"/>
  <c r="D472" i="29"/>
  <c r="D473" i="29"/>
  <c r="D474" i="29"/>
  <c r="D475" i="29"/>
  <c r="D476" i="29"/>
  <c r="D477" i="29"/>
  <c r="D478" i="29"/>
  <c r="D479" i="29"/>
  <c r="D480" i="29"/>
  <c r="D481" i="29"/>
  <c r="D482" i="29"/>
  <c r="D483" i="29"/>
  <c r="D484" i="29"/>
  <c r="D485" i="29"/>
  <c r="D486" i="29"/>
  <c r="D487" i="29"/>
  <c r="D488" i="29"/>
  <c r="D489" i="29"/>
  <c r="D490" i="29"/>
  <c r="D491" i="29"/>
  <c r="D492" i="29"/>
  <c r="D493" i="29"/>
  <c r="D494" i="29"/>
  <c r="D495" i="29"/>
  <c r="D496" i="29"/>
  <c r="D497" i="29"/>
  <c r="D498" i="29"/>
  <c r="D499" i="29"/>
  <c r="D500" i="29"/>
  <c r="D501" i="29"/>
  <c r="D502" i="29"/>
  <c r="D503" i="29"/>
  <c r="D504" i="29"/>
  <c r="D505" i="29"/>
  <c r="D506" i="29"/>
  <c r="D507" i="29"/>
  <c r="D508" i="29"/>
  <c r="D509" i="29"/>
  <c r="D510" i="29"/>
  <c r="D511" i="29"/>
  <c r="D512" i="29"/>
  <c r="D513" i="29"/>
  <c r="D514" i="29"/>
  <c r="D515" i="29"/>
  <c r="D516" i="29"/>
  <c r="D517" i="29"/>
  <c r="D518" i="29"/>
  <c r="D519" i="29"/>
  <c r="D520" i="29"/>
  <c r="D521" i="29"/>
  <c r="D522" i="29"/>
  <c r="D523" i="29"/>
  <c r="D524" i="29"/>
  <c r="D525" i="29"/>
  <c r="D526" i="29"/>
  <c r="D527" i="29"/>
  <c r="D528" i="29"/>
  <c r="D529" i="29"/>
  <c r="D530" i="29"/>
  <c r="D531" i="29"/>
  <c r="D532" i="29"/>
  <c r="D533" i="29"/>
  <c r="D534" i="29"/>
  <c r="D535" i="29"/>
  <c r="D536" i="29"/>
  <c r="D537" i="29"/>
  <c r="D538" i="29"/>
  <c r="D539" i="29"/>
  <c r="D540" i="29"/>
  <c r="D541" i="29"/>
  <c r="D542" i="29"/>
  <c r="D543" i="29"/>
  <c r="D544" i="29"/>
  <c r="D545" i="29"/>
  <c r="D546" i="29"/>
  <c r="D547" i="29"/>
  <c r="D548" i="29"/>
  <c r="D549" i="29"/>
  <c r="D550" i="29"/>
  <c r="D551" i="29"/>
  <c r="D552" i="29"/>
  <c r="D553" i="29"/>
  <c r="D554" i="29"/>
  <c r="D555" i="29"/>
  <c r="D556" i="29"/>
  <c r="D557" i="29"/>
  <c r="D558" i="29"/>
  <c r="D559" i="29"/>
  <c r="D560" i="29"/>
  <c r="D561" i="29"/>
  <c r="D562" i="29"/>
  <c r="D563" i="29"/>
  <c r="D564" i="29"/>
  <c r="D565" i="29"/>
  <c r="D566" i="29"/>
  <c r="D567" i="29"/>
  <c r="D568" i="29"/>
  <c r="D569" i="29"/>
  <c r="D570" i="29"/>
  <c r="D571" i="29"/>
  <c r="D572" i="29"/>
  <c r="D573" i="29"/>
  <c r="D574" i="29"/>
  <c r="D575" i="29"/>
  <c r="D576" i="29"/>
  <c r="D577" i="29"/>
  <c r="D578" i="29"/>
  <c r="D579" i="29"/>
  <c r="D580" i="29"/>
  <c r="D581" i="29"/>
  <c r="D582" i="29"/>
  <c r="D583" i="29"/>
  <c r="D584" i="29"/>
  <c r="D585" i="29"/>
  <c r="D586" i="29"/>
  <c r="D587" i="29"/>
  <c r="D588" i="29"/>
  <c r="D589" i="29"/>
  <c r="D590" i="29"/>
  <c r="D591" i="29"/>
  <c r="D592" i="29"/>
  <c r="D593" i="29"/>
  <c r="D594" i="29"/>
  <c r="D595" i="29"/>
  <c r="D596" i="29"/>
  <c r="D597" i="29"/>
  <c r="D598" i="29"/>
  <c r="D599" i="29"/>
  <c r="D600" i="29"/>
  <c r="D601" i="29"/>
  <c r="D602" i="29"/>
  <c r="D603" i="29"/>
  <c r="D604" i="29"/>
  <c r="D605" i="29"/>
  <c r="D606" i="29"/>
  <c r="D607" i="29"/>
  <c r="D608" i="29"/>
  <c r="D609" i="29"/>
  <c r="D610" i="29"/>
  <c r="D611" i="29"/>
  <c r="D612" i="29"/>
  <c r="D613" i="29"/>
  <c r="D614" i="29"/>
  <c r="D615" i="29"/>
  <c r="D616" i="29"/>
  <c r="D617" i="29"/>
  <c r="D618" i="29"/>
  <c r="D619" i="29"/>
  <c r="D620" i="29"/>
  <c r="D621" i="29"/>
  <c r="D622" i="29"/>
  <c r="D623" i="29"/>
  <c r="D624" i="29"/>
  <c r="D625" i="29"/>
  <c r="D626" i="29"/>
  <c r="D627" i="29"/>
  <c r="D628" i="29"/>
  <c r="D629" i="29"/>
  <c r="D630" i="29"/>
  <c r="D631" i="29"/>
  <c r="D632" i="29"/>
  <c r="D633" i="29"/>
  <c r="D634" i="29"/>
  <c r="D635" i="29"/>
  <c r="D636" i="29"/>
  <c r="D637" i="29"/>
  <c r="D638" i="29"/>
  <c r="D639" i="29"/>
  <c r="D640" i="29"/>
  <c r="D641" i="29"/>
  <c r="D642" i="29"/>
  <c r="D643" i="29"/>
  <c r="D644" i="29"/>
  <c r="D645" i="29"/>
  <c r="D646" i="29"/>
  <c r="D647" i="29"/>
  <c r="D648" i="29"/>
  <c r="D649" i="29"/>
  <c r="D650" i="29"/>
  <c r="D651" i="29"/>
  <c r="D652" i="29"/>
  <c r="D653" i="29"/>
  <c r="D654" i="29"/>
  <c r="D655" i="29"/>
  <c r="D656" i="29"/>
  <c r="D657" i="29"/>
  <c r="D658" i="29"/>
  <c r="D659" i="29"/>
  <c r="D660" i="29"/>
  <c r="D661" i="29"/>
  <c r="D662" i="29"/>
  <c r="D663" i="29"/>
  <c r="D664" i="29"/>
  <c r="D665" i="29"/>
  <c r="D666" i="29"/>
  <c r="D667" i="29"/>
  <c r="D668" i="29"/>
  <c r="D669" i="29"/>
  <c r="D670" i="29"/>
  <c r="D671" i="29"/>
  <c r="D672" i="29"/>
  <c r="D673" i="29"/>
  <c r="D674" i="29"/>
  <c r="D675" i="29"/>
  <c r="D676" i="29"/>
  <c r="D677" i="29"/>
  <c r="D678" i="29"/>
  <c r="D679" i="29"/>
  <c r="D680" i="29"/>
  <c r="D681" i="29"/>
  <c r="D682" i="29"/>
  <c r="D683" i="29"/>
  <c r="D684" i="29"/>
  <c r="D685" i="29"/>
  <c r="D686" i="29"/>
  <c r="D687" i="29"/>
  <c r="D688" i="29"/>
  <c r="D689" i="29"/>
  <c r="D690" i="29"/>
  <c r="D691" i="29"/>
  <c r="D692" i="29"/>
  <c r="D693" i="29"/>
  <c r="D694" i="29"/>
  <c r="D695" i="29"/>
  <c r="D696" i="29"/>
  <c r="D697" i="29"/>
  <c r="D698" i="29"/>
  <c r="D699" i="29"/>
  <c r="D700" i="29"/>
  <c r="D701" i="29"/>
  <c r="D702" i="29"/>
  <c r="D703" i="29"/>
  <c r="D704" i="29"/>
  <c r="D705" i="29"/>
  <c r="D706" i="29"/>
  <c r="D707" i="29"/>
  <c r="D708" i="29"/>
  <c r="D709" i="29"/>
  <c r="D710" i="29"/>
  <c r="D711" i="29"/>
  <c r="D712" i="29"/>
  <c r="D713" i="29"/>
  <c r="D714" i="29"/>
  <c r="D715" i="29"/>
  <c r="D716" i="29"/>
  <c r="D717" i="29"/>
  <c r="D718" i="29"/>
  <c r="D719" i="29"/>
  <c r="D720" i="29"/>
  <c r="D721" i="29"/>
  <c r="D722" i="29"/>
  <c r="D723" i="29"/>
  <c r="D724" i="29"/>
  <c r="D725" i="29"/>
  <c r="D726" i="29"/>
  <c r="D727" i="29"/>
  <c r="D728" i="29"/>
  <c r="D729" i="29"/>
  <c r="D730" i="29"/>
  <c r="D731" i="29"/>
  <c r="D732" i="29"/>
  <c r="D733" i="29"/>
  <c r="D734" i="29"/>
  <c r="D735" i="29"/>
  <c r="D736" i="29"/>
  <c r="D737" i="29"/>
  <c r="D738" i="29"/>
  <c r="D739" i="29"/>
  <c r="D740" i="29"/>
  <c r="D741" i="29"/>
  <c r="D742" i="29"/>
  <c r="D743" i="29"/>
  <c r="D744" i="29"/>
  <c r="D745" i="29"/>
  <c r="D746" i="29"/>
  <c r="D747" i="29"/>
  <c r="D748" i="29"/>
  <c r="D749" i="29"/>
  <c r="D750" i="29"/>
  <c r="D751" i="29"/>
  <c r="D752" i="29"/>
  <c r="D753" i="29"/>
  <c r="D754" i="29"/>
  <c r="D755" i="29"/>
  <c r="D756" i="29"/>
  <c r="D757" i="29"/>
  <c r="D758" i="29"/>
  <c r="D759" i="29"/>
  <c r="D760" i="29"/>
  <c r="D761" i="29"/>
  <c r="D762" i="29"/>
  <c r="D763" i="29"/>
  <c r="D764" i="29"/>
  <c r="D765" i="29"/>
  <c r="D766" i="29"/>
  <c r="D767" i="29"/>
  <c r="D768" i="29"/>
  <c r="D769" i="29"/>
  <c r="D770" i="29"/>
  <c r="D771" i="29"/>
  <c r="D772" i="29"/>
  <c r="D773" i="29"/>
  <c r="D774" i="29"/>
  <c r="D775" i="29"/>
  <c r="D776" i="29"/>
  <c r="D777" i="29"/>
  <c r="D778" i="29"/>
  <c r="D779" i="29"/>
  <c r="D780" i="29"/>
  <c r="D781" i="29"/>
  <c r="D782" i="29"/>
  <c r="D783" i="29"/>
  <c r="D784" i="29"/>
  <c r="D785" i="29"/>
  <c r="D786" i="29"/>
  <c r="D787" i="29"/>
  <c r="D788" i="29"/>
  <c r="D789" i="29"/>
  <c r="D790" i="29"/>
  <c r="D791" i="29"/>
  <c r="D792" i="29"/>
  <c r="D793" i="29"/>
  <c r="D794" i="29"/>
  <c r="D795" i="29"/>
  <c r="D796" i="29"/>
  <c r="D797" i="29"/>
  <c r="D798" i="29"/>
  <c r="D799" i="29"/>
  <c r="D800" i="29"/>
  <c r="D801" i="29"/>
  <c r="D802" i="29"/>
  <c r="D803" i="29"/>
  <c r="D804" i="29"/>
  <c r="D805" i="29"/>
  <c r="D806" i="29"/>
  <c r="D807" i="29"/>
  <c r="D808" i="29"/>
  <c r="D809" i="29"/>
  <c r="D810" i="29"/>
  <c r="D811" i="29"/>
  <c r="D812" i="29"/>
  <c r="D813" i="29"/>
  <c r="D814" i="29"/>
  <c r="D815" i="29"/>
  <c r="D816" i="29"/>
  <c r="D817" i="29"/>
  <c r="D818" i="29"/>
  <c r="D819" i="29"/>
  <c r="D820" i="29"/>
  <c r="D821" i="29"/>
  <c r="D822" i="29"/>
  <c r="D823" i="29"/>
  <c r="D824" i="29"/>
  <c r="D825" i="29"/>
  <c r="D826" i="29"/>
  <c r="D827" i="29"/>
  <c r="D828" i="29"/>
  <c r="D829" i="29"/>
  <c r="D830" i="29"/>
  <c r="D831" i="29"/>
  <c r="D832" i="29"/>
  <c r="D833" i="29"/>
  <c r="D834" i="29"/>
  <c r="D835" i="29"/>
  <c r="D836" i="29"/>
  <c r="D837" i="29"/>
  <c r="D838" i="29"/>
  <c r="D839" i="29"/>
  <c r="D840" i="29"/>
  <c r="D841" i="29"/>
  <c r="D842" i="29"/>
  <c r="D843" i="29"/>
  <c r="D844" i="29"/>
  <c r="D845" i="29"/>
  <c r="D846" i="29"/>
  <c r="D847" i="29"/>
  <c r="D848" i="29"/>
  <c r="D849" i="29"/>
  <c r="D850" i="29"/>
  <c r="D851" i="29"/>
  <c r="D852" i="29"/>
  <c r="D853" i="29"/>
  <c r="D854" i="29"/>
  <c r="D855" i="29"/>
  <c r="D856" i="29"/>
  <c r="D857" i="29"/>
  <c r="D858" i="29"/>
  <c r="D859" i="29"/>
  <c r="D860" i="29"/>
  <c r="D861" i="29"/>
  <c r="D862" i="29"/>
  <c r="D863" i="29"/>
  <c r="D864" i="29"/>
  <c r="D865" i="29"/>
  <c r="D866" i="29"/>
  <c r="D867" i="29"/>
  <c r="D868" i="29"/>
  <c r="D869" i="29"/>
  <c r="D870" i="29"/>
  <c r="D871" i="29"/>
  <c r="D872" i="29"/>
  <c r="D873" i="29"/>
  <c r="D874" i="29"/>
  <c r="D875" i="29"/>
  <c r="D876" i="29"/>
  <c r="D877" i="29"/>
  <c r="D878" i="29"/>
  <c r="D879" i="29"/>
  <c r="D880" i="29"/>
  <c r="D881" i="29"/>
  <c r="D882" i="29"/>
  <c r="D883" i="29"/>
  <c r="D884" i="29"/>
  <c r="D885" i="29"/>
  <c r="D886" i="29"/>
  <c r="D887" i="29"/>
  <c r="D888" i="29"/>
  <c r="D889" i="29"/>
  <c r="D890" i="29"/>
  <c r="D891" i="29"/>
  <c r="D892" i="29"/>
  <c r="D893" i="29"/>
  <c r="D894" i="29"/>
  <c r="D895" i="29"/>
  <c r="D896" i="29"/>
  <c r="D897" i="29"/>
  <c r="D898" i="29"/>
  <c r="D899" i="29"/>
  <c r="D900" i="29"/>
  <c r="D901" i="29"/>
  <c r="D902" i="29"/>
  <c r="D903" i="29"/>
  <c r="D904" i="29"/>
  <c r="D905" i="29"/>
  <c r="D906" i="29"/>
  <c r="D907" i="29"/>
  <c r="D908" i="29"/>
  <c r="D909" i="29"/>
  <c r="D910" i="29"/>
  <c r="D911" i="29"/>
  <c r="D912" i="29"/>
  <c r="D913" i="29"/>
  <c r="D914" i="29"/>
  <c r="D915" i="29"/>
  <c r="D916" i="29"/>
  <c r="D917" i="29"/>
  <c r="D918" i="29"/>
  <c r="D919" i="29"/>
  <c r="D920" i="29"/>
  <c r="D921" i="29"/>
  <c r="D922" i="29"/>
  <c r="D923" i="29"/>
  <c r="D924" i="29"/>
  <c r="D925" i="29"/>
  <c r="D926" i="29"/>
  <c r="D927" i="29"/>
  <c r="D928" i="29"/>
  <c r="D929" i="29"/>
  <c r="D930" i="29"/>
  <c r="D931" i="29"/>
  <c r="D932" i="29"/>
  <c r="D933" i="29"/>
  <c r="D934" i="29"/>
  <c r="D935" i="29"/>
  <c r="D936" i="29"/>
  <c r="D937" i="29"/>
  <c r="D938" i="29"/>
  <c r="D939" i="29"/>
  <c r="D940" i="29"/>
  <c r="D941" i="29"/>
  <c r="D942" i="29"/>
  <c r="D943" i="29"/>
  <c r="D944" i="29"/>
  <c r="D945" i="29"/>
  <c r="D946" i="29"/>
  <c r="D947" i="29"/>
  <c r="D948" i="29"/>
  <c r="D949" i="29"/>
  <c r="D950" i="29"/>
  <c r="D951" i="29"/>
  <c r="D952" i="29"/>
  <c r="D953" i="29"/>
  <c r="D954" i="29"/>
  <c r="D955" i="29"/>
  <c r="D956" i="29"/>
  <c r="D957" i="29"/>
  <c r="D958" i="29"/>
  <c r="D959" i="29"/>
  <c r="D960" i="29"/>
  <c r="D961" i="29"/>
  <c r="D962" i="29"/>
  <c r="D963" i="29"/>
  <c r="D964" i="29"/>
  <c r="D965" i="29"/>
  <c r="D966" i="29"/>
  <c r="D967" i="29"/>
  <c r="D968" i="29"/>
  <c r="D969" i="29"/>
  <c r="D970" i="29"/>
  <c r="D971" i="29"/>
  <c r="D972" i="29"/>
  <c r="D973" i="29"/>
  <c r="D974" i="29"/>
  <c r="D975" i="29"/>
  <c r="D976" i="29"/>
  <c r="D977" i="29"/>
  <c r="D978" i="29"/>
  <c r="D979" i="29"/>
  <c r="D980" i="29"/>
  <c r="D981" i="29"/>
  <c r="D982" i="29"/>
  <c r="D983" i="29"/>
  <c r="D984" i="29"/>
  <c r="D985" i="29"/>
  <c r="D986" i="29"/>
  <c r="D987" i="29"/>
  <c r="D988" i="29"/>
  <c r="D989" i="29"/>
  <c r="D990" i="29"/>
  <c r="D991" i="29"/>
  <c r="D992" i="29"/>
  <c r="D993" i="29"/>
  <c r="D994" i="29"/>
  <c r="D995" i="29"/>
  <c r="D996" i="29"/>
  <c r="D997" i="29"/>
  <c r="D998" i="29"/>
  <c r="D999" i="29"/>
  <c r="D1000" i="29"/>
  <c r="D1001" i="29"/>
  <c r="D1002" i="29"/>
  <c r="D1003" i="29"/>
  <c r="C10" i="29"/>
  <c r="C11" i="29"/>
  <c r="C12" i="29"/>
  <c r="C13" i="29"/>
  <c r="C14" i="29"/>
  <c r="C15" i="29"/>
  <c r="C16" i="29"/>
  <c r="C17" i="29"/>
  <c r="C18" i="29"/>
  <c r="C19" i="29"/>
  <c r="C20" i="29"/>
  <c r="C21" i="29"/>
  <c r="C22" i="29"/>
  <c r="C23" i="29"/>
  <c r="C24" i="29"/>
  <c r="C25" i="29"/>
  <c r="C26" i="29"/>
  <c r="C27" i="29"/>
  <c r="C28" i="29"/>
  <c r="C29" i="29"/>
  <c r="C30" i="29"/>
  <c r="C31" i="29"/>
  <c r="C32" i="29"/>
  <c r="C33" i="29"/>
  <c r="C34" i="29"/>
  <c r="C35" i="29"/>
  <c r="C36" i="29"/>
  <c r="C37" i="29"/>
  <c r="C38" i="29"/>
  <c r="C39" i="29"/>
  <c r="C40" i="29"/>
  <c r="C41" i="29"/>
  <c r="C42" i="29"/>
  <c r="C43" i="29"/>
  <c r="C44" i="29"/>
  <c r="C45" i="29"/>
  <c r="C46" i="29"/>
  <c r="C47" i="29"/>
  <c r="C48" i="29"/>
  <c r="C49" i="29"/>
  <c r="C50" i="29"/>
  <c r="C51" i="29"/>
  <c r="C52" i="29"/>
  <c r="C53" i="29"/>
  <c r="C54" i="29"/>
  <c r="C55" i="29"/>
  <c r="C56" i="29"/>
  <c r="C57" i="29"/>
  <c r="C58" i="29"/>
  <c r="C59" i="29"/>
  <c r="C60" i="29"/>
  <c r="C61" i="29"/>
  <c r="C62" i="29"/>
  <c r="C63" i="29"/>
  <c r="C64" i="29"/>
  <c r="C65" i="29"/>
  <c r="C66" i="29"/>
  <c r="C67" i="29"/>
  <c r="C68" i="29"/>
  <c r="C69" i="29"/>
  <c r="C70" i="29"/>
  <c r="C71" i="29"/>
  <c r="C72" i="29"/>
  <c r="C73" i="29"/>
  <c r="C74" i="29"/>
  <c r="C75" i="29"/>
  <c r="C76" i="29"/>
  <c r="C77" i="29"/>
  <c r="C78" i="29"/>
  <c r="C79" i="29"/>
  <c r="C80" i="29"/>
  <c r="C81" i="29"/>
  <c r="C82" i="29"/>
  <c r="C83" i="29"/>
  <c r="C84" i="29"/>
  <c r="C85" i="29"/>
  <c r="C86" i="29"/>
  <c r="C87" i="29"/>
  <c r="C88" i="29"/>
  <c r="C89" i="29"/>
  <c r="C90" i="29"/>
  <c r="C91" i="29"/>
  <c r="C92" i="29"/>
  <c r="C93" i="29"/>
  <c r="C94" i="29"/>
  <c r="C95" i="29"/>
  <c r="C96" i="29"/>
  <c r="C97" i="29"/>
  <c r="C98" i="29"/>
  <c r="C99" i="29"/>
  <c r="C100" i="29"/>
  <c r="C101" i="29"/>
  <c r="C102" i="29"/>
  <c r="C103" i="29"/>
  <c r="C104" i="29"/>
  <c r="C105" i="29"/>
  <c r="C106" i="29"/>
  <c r="C107" i="29"/>
  <c r="C108" i="29"/>
  <c r="C109" i="29"/>
  <c r="C110" i="29"/>
  <c r="C111" i="29"/>
  <c r="C112" i="29"/>
  <c r="C113" i="29"/>
  <c r="C114" i="29"/>
  <c r="C115" i="29"/>
  <c r="C116" i="29"/>
  <c r="C117" i="29"/>
  <c r="C118" i="29"/>
  <c r="C119" i="29"/>
  <c r="C120" i="29"/>
  <c r="C121" i="29"/>
  <c r="C122" i="29"/>
  <c r="C123" i="29"/>
  <c r="C124" i="29"/>
  <c r="C125" i="29"/>
  <c r="C126" i="29"/>
  <c r="C127" i="29"/>
  <c r="C128" i="29"/>
  <c r="C129" i="29"/>
  <c r="C130" i="29"/>
  <c r="C131" i="29"/>
  <c r="C132" i="29"/>
  <c r="C133" i="29"/>
  <c r="C134" i="29"/>
  <c r="C135" i="29"/>
  <c r="C136" i="29"/>
  <c r="C137" i="29"/>
  <c r="C138" i="29"/>
  <c r="C139" i="29"/>
  <c r="C140" i="29"/>
  <c r="C141" i="29"/>
  <c r="C142" i="29"/>
  <c r="C143" i="29"/>
  <c r="C144" i="29"/>
  <c r="C145" i="29"/>
  <c r="C146" i="29"/>
  <c r="C147" i="29"/>
  <c r="C148" i="29"/>
  <c r="C149" i="29"/>
  <c r="C150" i="29"/>
  <c r="C151" i="29"/>
  <c r="C152" i="29"/>
  <c r="C153" i="29"/>
  <c r="C154" i="29"/>
  <c r="C155" i="29"/>
  <c r="C156" i="29"/>
  <c r="C157" i="29"/>
  <c r="C158" i="29"/>
  <c r="C159" i="29"/>
  <c r="C160" i="29"/>
  <c r="C161" i="29"/>
  <c r="C162" i="29"/>
  <c r="C163" i="29"/>
  <c r="C164" i="29"/>
  <c r="C165" i="29"/>
  <c r="C166" i="29"/>
  <c r="C167" i="29"/>
  <c r="C168" i="29"/>
  <c r="C169" i="29"/>
  <c r="C170" i="29"/>
  <c r="C171" i="29"/>
  <c r="C172" i="29"/>
  <c r="C173" i="29"/>
  <c r="C174" i="29"/>
  <c r="C175" i="29"/>
  <c r="C176" i="29"/>
  <c r="C177" i="29"/>
  <c r="C178" i="29"/>
  <c r="C179" i="29"/>
  <c r="C180" i="29"/>
  <c r="C181" i="29"/>
  <c r="C182" i="29"/>
  <c r="C183" i="29"/>
  <c r="C184" i="29"/>
  <c r="C185" i="29"/>
  <c r="C186" i="29"/>
  <c r="C187" i="29"/>
  <c r="C188" i="29"/>
  <c r="C189" i="29"/>
  <c r="C190" i="29"/>
  <c r="C191" i="29"/>
  <c r="C192" i="29"/>
  <c r="C193" i="29"/>
  <c r="C194" i="29"/>
  <c r="C195" i="29"/>
  <c r="C196" i="29"/>
  <c r="C197" i="29"/>
  <c r="C198" i="29"/>
  <c r="C199" i="29"/>
  <c r="C200" i="29"/>
  <c r="C201" i="29"/>
  <c r="C202" i="29"/>
  <c r="C203" i="29"/>
  <c r="C204" i="29"/>
  <c r="C205" i="29"/>
  <c r="C206" i="29"/>
  <c r="C207" i="29"/>
  <c r="C208" i="29"/>
  <c r="C209" i="29"/>
  <c r="C210" i="29"/>
  <c r="C211" i="29"/>
  <c r="C212" i="29"/>
  <c r="C213" i="29"/>
  <c r="C214" i="29"/>
  <c r="C215" i="29"/>
  <c r="C216" i="29"/>
  <c r="C217" i="29"/>
  <c r="C218" i="29"/>
  <c r="C219" i="29"/>
  <c r="C220" i="29"/>
  <c r="C221" i="29"/>
  <c r="C222" i="29"/>
  <c r="C223" i="29"/>
  <c r="C224" i="29"/>
  <c r="C225" i="29"/>
  <c r="C226" i="29"/>
  <c r="C227" i="29"/>
  <c r="C228" i="29"/>
  <c r="C229" i="29"/>
  <c r="C230" i="29"/>
  <c r="C231" i="29"/>
  <c r="C232" i="29"/>
  <c r="C233" i="29"/>
  <c r="C234" i="29"/>
  <c r="C235" i="29"/>
  <c r="C236" i="29"/>
  <c r="C237" i="29"/>
  <c r="C238" i="29"/>
  <c r="C239" i="29"/>
  <c r="C240" i="29"/>
  <c r="C241" i="29"/>
  <c r="C242" i="29"/>
  <c r="C243" i="29"/>
  <c r="C244" i="29"/>
  <c r="C245" i="29"/>
  <c r="C246" i="29"/>
  <c r="C247" i="29"/>
  <c r="C248" i="29"/>
  <c r="C249" i="29"/>
  <c r="C250" i="29"/>
  <c r="C251" i="29"/>
  <c r="C252" i="29"/>
  <c r="C253" i="29"/>
  <c r="C254" i="29"/>
  <c r="C255" i="29"/>
  <c r="C256" i="29"/>
  <c r="C257" i="29"/>
  <c r="C258" i="29"/>
  <c r="C259" i="29"/>
  <c r="C260" i="29"/>
  <c r="C261" i="29"/>
  <c r="C262" i="29"/>
  <c r="C263" i="29"/>
  <c r="C264" i="29"/>
  <c r="C265" i="29"/>
  <c r="C266" i="29"/>
  <c r="C267" i="29"/>
  <c r="C268" i="29"/>
  <c r="C269" i="29"/>
  <c r="C270" i="29"/>
  <c r="C271" i="29"/>
  <c r="C272" i="29"/>
  <c r="C273" i="29"/>
  <c r="C274" i="29"/>
  <c r="C275" i="29"/>
  <c r="C276" i="29"/>
  <c r="C277" i="29"/>
  <c r="C278" i="29"/>
  <c r="C279" i="29"/>
  <c r="C280" i="29"/>
  <c r="C281" i="29"/>
  <c r="C282" i="29"/>
  <c r="C283" i="29"/>
  <c r="C284" i="29"/>
  <c r="C285" i="29"/>
  <c r="C286" i="29"/>
  <c r="C287" i="29"/>
  <c r="C288" i="29"/>
  <c r="C289" i="29"/>
  <c r="C290" i="29"/>
  <c r="C291" i="29"/>
  <c r="C292" i="29"/>
  <c r="C293" i="29"/>
  <c r="C294" i="29"/>
  <c r="C295" i="29"/>
  <c r="C296" i="29"/>
  <c r="C297" i="29"/>
  <c r="C298" i="29"/>
  <c r="C299" i="29"/>
  <c r="C300" i="29"/>
  <c r="C301" i="29"/>
  <c r="C302" i="29"/>
  <c r="C303" i="29"/>
  <c r="C304" i="29"/>
  <c r="C305" i="29"/>
  <c r="C306" i="29"/>
  <c r="C307" i="29"/>
  <c r="C308" i="29"/>
  <c r="C309" i="29"/>
  <c r="C310" i="29"/>
  <c r="C311" i="29"/>
  <c r="C312" i="29"/>
  <c r="C313" i="29"/>
  <c r="C314" i="29"/>
  <c r="C315" i="29"/>
  <c r="C316" i="29"/>
  <c r="C317" i="29"/>
  <c r="C318" i="29"/>
  <c r="C319" i="29"/>
  <c r="C320" i="29"/>
  <c r="C321" i="29"/>
  <c r="C322" i="29"/>
  <c r="C323" i="29"/>
  <c r="C324" i="29"/>
  <c r="C325" i="29"/>
  <c r="C326" i="29"/>
  <c r="C327" i="29"/>
  <c r="C328" i="29"/>
  <c r="C329" i="29"/>
  <c r="C330" i="29"/>
  <c r="C331" i="29"/>
  <c r="C332" i="29"/>
  <c r="C333" i="29"/>
  <c r="C334" i="29"/>
  <c r="C335" i="29"/>
  <c r="C336" i="29"/>
  <c r="C337" i="29"/>
  <c r="C338" i="29"/>
  <c r="C339" i="29"/>
  <c r="C340" i="29"/>
  <c r="C341" i="29"/>
  <c r="C342" i="29"/>
  <c r="C343" i="29"/>
  <c r="C344" i="29"/>
  <c r="C345" i="29"/>
  <c r="C346" i="29"/>
  <c r="C347" i="29"/>
  <c r="C348" i="29"/>
  <c r="C349" i="29"/>
  <c r="C350" i="29"/>
  <c r="C351" i="29"/>
  <c r="C352" i="29"/>
  <c r="C353" i="29"/>
  <c r="C354" i="29"/>
  <c r="C355" i="29"/>
  <c r="C356" i="29"/>
  <c r="C357" i="29"/>
  <c r="C358" i="29"/>
  <c r="C359" i="29"/>
  <c r="C360" i="29"/>
  <c r="C361" i="29"/>
  <c r="C362" i="29"/>
  <c r="C363" i="29"/>
  <c r="C364" i="29"/>
  <c r="C365" i="29"/>
  <c r="C366" i="29"/>
  <c r="C367" i="29"/>
  <c r="C368" i="29"/>
  <c r="C369" i="29"/>
  <c r="C370" i="29"/>
  <c r="C371" i="29"/>
  <c r="C372" i="29"/>
  <c r="C373" i="29"/>
  <c r="C374" i="29"/>
  <c r="C375" i="29"/>
  <c r="C376" i="29"/>
  <c r="C377" i="29"/>
  <c r="C378" i="29"/>
  <c r="C379" i="29"/>
  <c r="C380" i="29"/>
  <c r="C381" i="29"/>
  <c r="C382" i="29"/>
  <c r="C383" i="29"/>
  <c r="C384" i="29"/>
  <c r="C385" i="29"/>
  <c r="C386" i="29"/>
  <c r="C387" i="29"/>
  <c r="C388" i="29"/>
  <c r="C389" i="29"/>
  <c r="C390" i="29"/>
  <c r="C391" i="29"/>
  <c r="C392" i="29"/>
  <c r="C393" i="29"/>
  <c r="C394" i="29"/>
  <c r="C395" i="29"/>
  <c r="C396" i="29"/>
  <c r="C397" i="29"/>
  <c r="C398" i="29"/>
  <c r="C399" i="29"/>
  <c r="C400" i="29"/>
  <c r="C401" i="29"/>
  <c r="C402" i="29"/>
  <c r="C403" i="29"/>
  <c r="C404" i="29"/>
  <c r="C405" i="29"/>
  <c r="C406" i="29"/>
  <c r="C407" i="29"/>
  <c r="C408" i="29"/>
  <c r="C409" i="29"/>
  <c r="C410" i="29"/>
  <c r="C411" i="29"/>
  <c r="C412" i="29"/>
  <c r="C413" i="29"/>
  <c r="C414" i="29"/>
  <c r="C415" i="29"/>
  <c r="C416" i="29"/>
  <c r="C417" i="29"/>
  <c r="C418" i="29"/>
  <c r="C419" i="29"/>
  <c r="C420" i="29"/>
  <c r="C421" i="29"/>
  <c r="C422" i="29"/>
  <c r="C423" i="29"/>
  <c r="C424" i="29"/>
  <c r="C425" i="29"/>
  <c r="C426" i="29"/>
  <c r="C427" i="29"/>
  <c r="C428" i="29"/>
  <c r="C429" i="29"/>
  <c r="C430" i="29"/>
  <c r="C431" i="29"/>
  <c r="C432" i="29"/>
  <c r="C433" i="29"/>
  <c r="C434" i="29"/>
  <c r="C435" i="29"/>
  <c r="C436" i="29"/>
  <c r="C437" i="29"/>
  <c r="C438" i="29"/>
  <c r="C439" i="29"/>
  <c r="C440" i="29"/>
  <c r="C441" i="29"/>
  <c r="C442" i="29"/>
  <c r="C443" i="29"/>
  <c r="C444" i="29"/>
  <c r="C445" i="29"/>
  <c r="C446" i="29"/>
  <c r="C447" i="29"/>
  <c r="C448" i="29"/>
  <c r="C449" i="29"/>
  <c r="C450" i="29"/>
  <c r="C451" i="29"/>
  <c r="C452" i="29"/>
  <c r="C453" i="29"/>
  <c r="C454" i="29"/>
  <c r="C455" i="29"/>
  <c r="C456" i="29"/>
  <c r="C457" i="29"/>
  <c r="C458" i="29"/>
  <c r="C459" i="29"/>
  <c r="C460" i="29"/>
  <c r="C461" i="29"/>
  <c r="C462" i="29"/>
  <c r="C463" i="29"/>
  <c r="C464" i="29"/>
  <c r="C465" i="29"/>
  <c r="C466" i="29"/>
  <c r="C467" i="29"/>
  <c r="C468" i="29"/>
  <c r="C469" i="29"/>
  <c r="C470" i="29"/>
  <c r="C471" i="29"/>
  <c r="C472" i="29"/>
  <c r="C473" i="29"/>
  <c r="C474" i="29"/>
  <c r="C475" i="29"/>
  <c r="C476" i="29"/>
  <c r="C477" i="29"/>
  <c r="C478" i="29"/>
  <c r="C479" i="29"/>
  <c r="C480" i="29"/>
  <c r="C481" i="29"/>
  <c r="C482" i="29"/>
  <c r="C483" i="29"/>
  <c r="C484" i="29"/>
  <c r="C485" i="29"/>
  <c r="C486" i="29"/>
  <c r="C487" i="29"/>
  <c r="C488" i="29"/>
  <c r="C489" i="29"/>
  <c r="C490" i="29"/>
  <c r="C491" i="29"/>
  <c r="C492" i="29"/>
  <c r="C493" i="29"/>
  <c r="C494" i="29"/>
  <c r="C495" i="29"/>
  <c r="C496" i="29"/>
  <c r="C497" i="29"/>
  <c r="C498" i="29"/>
  <c r="C499" i="29"/>
  <c r="C500" i="29"/>
  <c r="C501" i="29"/>
  <c r="C502" i="29"/>
  <c r="C503" i="29"/>
  <c r="C504" i="29"/>
  <c r="C505" i="29"/>
  <c r="C506" i="29"/>
  <c r="C507" i="29"/>
  <c r="C508" i="29"/>
  <c r="C509" i="29"/>
  <c r="C510" i="29"/>
  <c r="C511" i="29"/>
  <c r="C512" i="29"/>
  <c r="C513" i="29"/>
  <c r="C514" i="29"/>
  <c r="C515" i="29"/>
  <c r="C516" i="29"/>
  <c r="C517" i="29"/>
  <c r="C518" i="29"/>
  <c r="C519" i="29"/>
  <c r="C520" i="29"/>
  <c r="C521" i="29"/>
  <c r="C522" i="29"/>
  <c r="C523" i="29"/>
  <c r="C524" i="29"/>
  <c r="C525" i="29"/>
  <c r="C526" i="29"/>
  <c r="C527" i="29"/>
  <c r="C528" i="29"/>
  <c r="C529" i="29"/>
  <c r="C530" i="29"/>
  <c r="C531" i="29"/>
  <c r="C532" i="29"/>
  <c r="C533" i="29"/>
  <c r="C534" i="29"/>
  <c r="C535" i="29"/>
  <c r="C536" i="29"/>
  <c r="C537" i="29"/>
  <c r="C538" i="29"/>
  <c r="C539" i="29"/>
  <c r="C540" i="29"/>
  <c r="C541" i="29"/>
  <c r="C542" i="29"/>
  <c r="C543" i="29"/>
  <c r="C544" i="29"/>
  <c r="C545" i="29"/>
  <c r="C546" i="29"/>
  <c r="C547" i="29"/>
  <c r="C548" i="29"/>
  <c r="C549" i="29"/>
  <c r="C550" i="29"/>
  <c r="C551" i="29"/>
  <c r="C552" i="29"/>
  <c r="C553" i="29"/>
  <c r="C554" i="29"/>
  <c r="C555" i="29"/>
  <c r="C556" i="29"/>
  <c r="C557" i="29"/>
  <c r="C558" i="29"/>
  <c r="C559" i="29"/>
  <c r="C560" i="29"/>
  <c r="C561" i="29"/>
  <c r="C562" i="29"/>
  <c r="C563" i="29"/>
  <c r="C564" i="29"/>
  <c r="C565" i="29"/>
  <c r="C566" i="29"/>
  <c r="C567" i="29"/>
  <c r="C568" i="29"/>
  <c r="C569" i="29"/>
  <c r="C570" i="29"/>
  <c r="C571" i="29"/>
  <c r="C572" i="29"/>
  <c r="C573" i="29"/>
  <c r="C574" i="29"/>
  <c r="C575" i="29"/>
  <c r="C576" i="29"/>
  <c r="C577" i="29"/>
  <c r="C578" i="29"/>
  <c r="C579" i="29"/>
  <c r="C580" i="29"/>
  <c r="C581" i="29"/>
  <c r="C582" i="29"/>
  <c r="C583" i="29"/>
  <c r="C584" i="29"/>
  <c r="C585" i="29"/>
  <c r="C586" i="29"/>
  <c r="C587" i="29"/>
  <c r="C588" i="29"/>
  <c r="C589" i="29"/>
  <c r="C590" i="29"/>
  <c r="C591" i="29"/>
  <c r="C592" i="29"/>
  <c r="C593" i="29"/>
  <c r="C594" i="29"/>
  <c r="C595" i="29"/>
  <c r="C596" i="29"/>
  <c r="C597" i="29"/>
  <c r="C598" i="29"/>
  <c r="C599" i="29"/>
  <c r="C600" i="29"/>
  <c r="C601" i="29"/>
  <c r="C602" i="29"/>
  <c r="C603" i="29"/>
  <c r="C604" i="29"/>
  <c r="C605" i="29"/>
  <c r="C606" i="29"/>
  <c r="C607" i="29"/>
  <c r="C608" i="29"/>
  <c r="C609" i="29"/>
  <c r="C610" i="29"/>
  <c r="C611" i="29"/>
  <c r="C612" i="29"/>
  <c r="C613" i="29"/>
  <c r="C614" i="29"/>
  <c r="C615" i="29"/>
  <c r="C616" i="29"/>
  <c r="C617" i="29"/>
  <c r="C618" i="29"/>
  <c r="C619" i="29"/>
  <c r="C620" i="29"/>
  <c r="C621" i="29"/>
  <c r="C622" i="29"/>
  <c r="C623" i="29"/>
  <c r="C624" i="29"/>
  <c r="C625" i="29"/>
  <c r="C626" i="29"/>
  <c r="C627" i="29"/>
  <c r="C628" i="29"/>
  <c r="C629" i="29"/>
  <c r="C630" i="29"/>
  <c r="C631" i="29"/>
  <c r="C632" i="29"/>
  <c r="C633" i="29"/>
  <c r="C634" i="29"/>
  <c r="C635" i="29"/>
  <c r="C636" i="29"/>
  <c r="C637" i="29"/>
  <c r="C638" i="29"/>
  <c r="C639" i="29"/>
  <c r="C640" i="29"/>
  <c r="C641" i="29"/>
  <c r="C642" i="29"/>
  <c r="C643" i="29"/>
  <c r="C644" i="29"/>
  <c r="C645" i="29"/>
  <c r="C646" i="29"/>
  <c r="C647" i="29"/>
  <c r="C648" i="29"/>
  <c r="C649" i="29"/>
  <c r="C650" i="29"/>
  <c r="C651" i="29"/>
  <c r="C652" i="29"/>
  <c r="C653" i="29"/>
  <c r="C654" i="29"/>
  <c r="C655" i="29"/>
  <c r="C656" i="29"/>
  <c r="C657" i="29"/>
  <c r="C658" i="29"/>
  <c r="C659" i="29"/>
  <c r="C660" i="29"/>
  <c r="C661" i="29"/>
  <c r="C662" i="29"/>
  <c r="C663" i="29"/>
  <c r="C664" i="29"/>
  <c r="C665" i="29"/>
  <c r="C666" i="29"/>
  <c r="C667" i="29"/>
  <c r="C668" i="29"/>
  <c r="C669" i="29"/>
  <c r="C670" i="29"/>
  <c r="C671" i="29"/>
  <c r="C672" i="29"/>
  <c r="C673" i="29"/>
  <c r="C674" i="29"/>
  <c r="C675" i="29"/>
  <c r="C676" i="29"/>
  <c r="C677" i="29"/>
  <c r="C678" i="29"/>
  <c r="C679" i="29"/>
  <c r="C680" i="29"/>
  <c r="C681" i="29"/>
  <c r="C682" i="29"/>
  <c r="C683" i="29"/>
  <c r="C684" i="29"/>
  <c r="C685" i="29"/>
  <c r="C686" i="29"/>
  <c r="C687" i="29"/>
  <c r="C688" i="29"/>
  <c r="C689" i="29"/>
  <c r="C690" i="29"/>
  <c r="C691" i="29"/>
  <c r="C692" i="29"/>
  <c r="C693" i="29"/>
  <c r="C694" i="29"/>
  <c r="C695" i="29"/>
  <c r="C696" i="29"/>
  <c r="C697" i="29"/>
  <c r="C698" i="29"/>
  <c r="C699" i="29"/>
  <c r="C700" i="29"/>
  <c r="C701" i="29"/>
  <c r="C702" i="29"/>
  <c r="C703" i="29"/>
  <c r="C704" i="29"/>
  <c r="C705" i="29"/>
  <c r="C706" i="29"/>
  <c r="C707" i="29"/>
  <c r="C708" i="29"/>
  <c r="C709" i="29"/>
  <c r="C710" i="29"/>
  <c r="C711" i="29"/>
  <c r="C712" i="29"/>
  <c r="C713" i="29"/>
  <c r="C714" i="29"/>
  <c r="C715" i="29"/>
  <c r="C716" i="29"/>
  <c r="C717" i="29"/>
  <c r="C718" i="29"/>
  <c r="C719" i="29"/>
  <c r="C720" i="29"/>
  <c r="C721" i="29"/>
  <c r="C722" i="29"/>
  <c r="C723" i="29"/>
  <c r="C724" i="29"/>
  <c r="C725" i="29"/>
  <c r="C726" i="29"/>
  <c r="C727" i="29"/>
  <c r="C728" i="29"/>
  <c r="C729" i="29"/>
  <c r="C730" i="29"/>
  <c r="C731" i="29"/>
  <c r="C732" i="29"/>
  <c r="C733" i="29"/>
  <c r="C734" i="29"/>
  <c r="C735" i="29"/>
  <c r="C736" i="29"/>
  <c r="C737" i="29"/>
  <c r="C738" i="29"/>
  <c r="C739" i="29"/>
  <c r="C740" i="29"/>
  <c r="C741" i="29"/>
  <c r="C742" i="29"/>
  <c r="C743" i="29"/>
  <c r="C744" i="29"/>
  <c r="C745" i="29"/>
  <c r="C746" i="29"/>
  <c r="C747" i="29"/>
  <c r="C748" i="29"/>
  <c r="C749" i="29"/>
  <c r="C750" i="29"/>
  <c r="C751" i="29"/>
  <c r="C752" i="29"/>
  <c r="C753" i="29"/>
  <c r="C754" i="29"/>
  <c r="C755" i="29"/>
  <c r="C756" i="29"/>
  <c r="C757" i="29"/>
  <c r="C758" i="29"/>
  <c r="C759" i="29"/>
  <c r="C760" i="29"/>
  <c r="C761" i="29"/>
  <c r="C762" i="29"/>
  <c r="C763" i="29"/>
  <c r="C764" i="29"/>
  <c r="C765" i="29"/>
  <c r="C766" i="29"/>
  <c r="C767" i="29"/>
  <c r="C768" i="29"/>
  <c r="C769" i="29"/>
  <c r="C770" i="29"/>
  <c r="C771" i="29"/>
  <c r="C772" i="29"/>
  <c r="C773" i="29"/>
  <c r="C774" i="29"/>
  <c r="C775" i="29"/>
  <c r="C776" i="29"/>
  <c r="C777" i="29"/>
  <c r="C778" i="29"/>
  <c r="C779" i="29"/>
  <c r="C780" i="29"/>
  <c r="C781" i="29"/>
  <c r="C782" i="29"/>
  <c r="C783" i="29"/>
  <c r="C784" i="29"/>
  <c r="C785" i="29"/>
  <c r="C786" i="29"/>
  <c r="C787" i="29"/>
  <c r="C788" i="29"/>
  <c r="C789" i="29"/>
  <c r="C790" i="29"/>
  <c r="C791" i="29"/>
  <c r="C792" i="29"/>
  <c r="C793" i="29"/>
  <c r="C794" i="29"/>
  <c r="C795" i="29"/>
  <c r="C796" i="29"/>
  <c r="C797" i="29"/>
  <c r="C798" i="29"/>
  <c r="C799" i="29"/>
  <c r="C800" i="29"/>
  <c r="C801" i="29"/>
  <c r="C802" i="29"/>
  <c r="C803" i="29"/>
  <c r="C804" i="29"/>
  <c r="C805" i="29"/>
  <c r="C806" i="29"/>
  <c r="C807" i="29"/>
  <c r="C808" i="29"/>
  <c r="C809" i="29"/>
  <c r="C810" i="29"/>
  <c r="C811" i="29"/>
  <c r="C812" i="29"/>
  <c r="C813" i="29"/>
  <c r="C814" i="29"/>
  <c r="C815" i="29"/>
  <c r="C816" i="29"/>
  <c r="C817" i="29"/>
  <c r="C818" i="29"/>
  <c r="C819" i="29"/>
  <c r="C820" i="29"/>
  <c r="C821" i="29"/>
  <c r="C822" i="29"/>
  <c r="C823" i="29"/>
  <c r="C824" i="29"/>
  <c r="C825" i="29"/>
  <c r="C826" i="29"/>
  <c r="C827" i="29"/>
  <c r="C828" i="29"/>
  <c r="C829" i="29"/>
  <c r="C830" i="29"/>
  <c r="C831" i="29"/>
  <c r="C832" i="29"/>
  <c r="C833" i="29"/>
  <c r="C834" i="29"/>
  <c r="C835" i="29"/>
  <c r="C836" i="29"/>
  <c r="C837" i="29"/>
  <c r="C838" i="29"/>
  <c r="C839" i="29"/>
  <c r="C840" i="29"/>
  <c r="C841" i="29"/>
  <c r="C842" i="29"/>
  <c r="C843" i="29"/>
  <c r="C844" i="29"/>
  <c r="C845" i="29"/>
  <c r="C846" i="29"/>
  <c r="C847" i="29"/>
  <c r="C848" i="29"/>
  <c r="C849" i="29"/>
  <c r="C850" i="29"/>
  <c r="C851" i="29"/>
  <c r="C852" i="29"/>
  <c r="C853" i="29"/>
  <c r="C854" i="29"/>
  <c r="C855" i="29"/>
  <c r="C856" i="29"/>
  <c r="C857" i="29"/>
  <c r="C858" i="29"/>
  <c r="C859" i="29"/>
  <c r="C860" i="29"/>
  <c r="C861" i="29"/>
  <c r="C862" i="29"/>
  <c r="C863" i="29"/>
  <c r="C864" i="29"/>
  <c r="C865" i="29"/>
  <c r="C866" i="29"/>
  <c r="C867" i="29"/>
  <c r="C868" i="29"/>
  <c r="C869" i="29"/>
  <c r="C870" i="29"/>
  <c r="C871" i="29"/>
  <c r="C872" i="29"/>
  <c r="C873" i="29"/>
  <c r="C874" i="29"/>
  <c r="C875" i="29"/>
  <c r="C876" i="29"/>
  <c r="C877" i="29"/>
  <c r="C878" i="29"/>
  <c r="C879" i="29"/>
  <c r="C880" i="29"/>
  <c r="C881" i="29"/>
  <c r="C882" i="29"/>
  <c r="C883" i="29"/>
  <c r="C884" i="29"/>
  <c r="C885" i="29"/>
  <c r="C886" i="29"/>
  <c r="C887" i="29"/>
  <c r="C888" i="29"/>
  <c r="C889" i="29"/>
  <c r="C890" i="29"/>
  <c r="C891" i="29"/>
  <c r="C892" i="29"/>
  <c r="C893" i="29"/>
  <c r="C894" i="29"/>
  <c r="C895" i="29"/>
  <c r="C896" i="29"/>
  <c r="C897" i="29"/>
  <c r="C898" i="29"/>
  <c r="C899" i="29"/>
  <c r="C900" i="29"/>
  <c r="C901" i="29"/>
  <c r="C902" i="29"/>
  <c r="C903" i="29"/>
  <c r="C904" i="29"/>
  <c r="C905" i="29"/>
  <c r="C906" i="29"/>
  <c r="C907" i="29"/>
  <c r="C908" i="29"/>
  <c r="C909" i="29"/>
  <c r="C910" i="29"/>
  <c r="C911" i="29"/>
  <c r="C912" i="29"/>
  <c r="C913" i="29"/>
  <c r="C914" i="29"/>
  <c r="C915" i="29"/>
  <c r="C916" i="29"/>
  <c r="C917" i="29"/>
  <c r="C918" i="29"/>
  <c r="C919" i="29"/>
  <c r="C920" i="29"/>
  <c r="C921" i="29"/>
  <c r="C922" i="29"/>
  <c r="C923" i="29"/>
  <c r="C924" i="29"/>
  <c r="C925" i="29"/>
  <c r="C926" i="29"/>
  <c r="C927" i="29"/>
  <c r="C928" i="29"/>
  <c r="C929" i="29"/>
  <c r="C930" i="29"/>
  <c r="C931" i="29"/>
  <c r="C932" i="29"/>
  <c r="C933" i="29"/>
  <c r="C934" i="29"/>
  <c r="C935" i="29"/>
  <c r="C936" i="29"/>
  <c r="C937" i="29"/>
  <c r="C938" i="29"/>
  <c r="C939" i="29"/>
  <c r="C940" i="29"/>
  <c r="C941" i="29"/>
  <c r="C942" i="29"/>
  <c r="C943" i="29"/>
  <c r="C944" i="29"/>
  <c r="C945" i="29"/>
  <c r="C946" i="29"/>
  <c r="C947" i="29"/>
  <c r="C948" i="29"/>
  <c r="C949" i="29"/>
  <c r="C950" i="29"/>
  <c r="C951" i="29"/>
  <c r="C952" i="29"/>
  <c r="C953" i="29"/>
  <c r="C954" i="29"/>
  <c r="C955" i="29"/>
  <c r="C956" i="29"/>
  <c r="C957" i="29"/>
  <c r="C958" i="29"/>
  <c r="C959" i="29"/>
  <c r="C960" i="29"/>
  <c r="C961" i="29"/>
  <c r="C962" i="29"/>
  <c r="C963" i="29"/>
  <c r="C964" i="29"/>
  <c r="C965" i="29"/>
  <c r="C966" i="29"/>
  <c r="C967" i="29"/>
  <c r="C968" i="29"/>
  <c r="C969" i="29"/>
  <c r="C970" i="29"/>
  <c r="C971" i="29"/>
  <c r="C972" i="29"/>
  <c r="C973" i="29"/>
  <c r="C974" i="29"/>
  <c r="C975" i="29"/>
  <c r="C976" i="29"/>
  <c r="C977" i="29"/>
  <c r="C978" i="29"/>
  <c r="C979" i="29"/>
  <c r="C980" i="29"/>
  <c r="C981" i="29"/>
  <c r="C982" i="29"/>
  <c r="C983" i="29"/>
  <c r="C984" i="29"/>
  <c r="C985" i="29"/>
  <c r="C986" i="29"/>
  <c r="C987" i="29"/>
  <c r="C988" i="29"/>
  <c r="C989" i="29"/>
  <c r="C990" i="29"/>
  <c r="C991" i="29"/>
  <c r="C992" i="29"/>
  <c r="C993" i="29"/>
  <c r="C994" i="29"/>
  <c r="C995" i="29"/>
  <c r="C996" i="29"/>
  <c r="C997" i="29"/>
  <c r="C998" i="29"/>
  <c r="C999" i="29"/>
  <c r="C1000" i="29"/>
  <c r="C1001" i="29"/>
  <c r="C1002" i="29"/>
  <c r="C1003" i="29"/>
  <c r="H10" i="30"/>
  <c r="H11" i="30"/>
  <c r="H12" i="30"/>
  <c r="H13" i="30"/>
  <c r="H14" i="30"/>
  <c r="H15" i="30"/>
  <c r="H16" i="30"/>
  <c r="H17" i="30"/>
  <c r="H18" i="30"/>
  <c r="H19" i="30"/>
  <c r="H20" i="30"/>
  <c r="H21" i="30"/>
  <c r="H22" i="30"/>
  <c r="H23" i="30"/>
  <c r="H24" i="30"/>
  <c r="H25" i="30"/>
  <c r="H26" i="30"/>
  <c r="H27" i="30"/>
  <c r="H28" i="30"/>
  <c r="H29" i="30"/>
  <c r="H30" i="30"/>
  <c r="H31" i="30"/>
  <c r="H32" i="30"/>
  <c r="H33" i="30"/>
  <c r="H34" i="30"/>
  <c r="H35" i="30"/>
  <c r="H36" i="30"/>
  <c r="H37" i="30"/>
  <c r="H38" i="30"/>
  <c r="H39" i="30"/>
  <c r="H40" i="30"/>
  <c r="H41" i="30"/>
  <c r="H42" i="30"/>
  <c r="H43" i="30"/>
  <c r="H44" i="30"/>
  <c r="H45" i="30"/>
  <c r="H46" i="30"/>
  <c r="H47" i="30"/>
  <c r="H48" i="30"/>
  <c r="H49" i="30"/>
  <c r="H50" i="30"/>
  <c r="H51" i="30"/>
  <c r="H52" i="30"/>
  <c r="H53" i="30"/>
  <c r="H54" i="30"/>
  <c r="H55" i="30"/>
  <c r="H56" i="30"/>
  <c r="H57" i="30"/>
  <c r="H58" i="30"/>
  <c r="H59" i="30"/>
  <c r="H60" i="30"/>
  <c r="H61" i="30"/>
  <c r="H62" i="30"/>
  <c r="H63" i="30"/>
  <c r="H64" i="30"/>
  <c r="H65" i="30"/>
  <c r="H66" i="30"/>
  <c r="H67" i="30"/>
  <c r="H68" i="30"/>
  <c r="H69" i="30"/>
  <c r="H70" i="30"/>
  <c r="H71" i="30"/>
  <c r="H72" i="30"/>
  <c r="H73" i="30"/>
  <c r="H74" i="30"/>
  <c r="H75" i="30"/>
  <c r="H76" i="30"/>
  <c r="H77" i="30"/>
  <c r="H78" i="30"/>
  <c r="H79" i="30"/>
  <c r="H80" i="30"/>
  <c r="H81" i="30"/>
  <c r="H82" i="30"/>
  <c r="H83" i="30"/>
  <c r="H84" i="30"/>
  <c r="H85" i="30"/>
  <c r="H86" i="30"/>
  <c r="H87" i="30"/>
  <c r="H88" i="30"/>
  <c r="H89" i="30"/>
  <c r="H90" i="30"/>
  <c r="H91" i="30"/>
  <c r="H92" i="30"/>
  <c r="H93" i="30"/>
  <c r="H94" i="30"/>
  <c r="H95" i="30"/>
  <c r="H96" i="30"/>
  <c r="H97" i="30"/>
  <c r="H98" i="30"/>
  <c r="H99" i="30"/>
  <c r="H100" i="30"/>
  <c r="H101" i="30"/>
  <c r="H102" i="30"/>
  <c r="H103" i="30"/>
  <c r="H104" i="30"/>
  <c r="H105" i="30"/>
  <c r="H106" i="30"/>
  <c r="H107" i="30"/>
  <c r="H108" i="30"/>
  <c r="H109" i="30"/>
  <c r="H110" i="30"/>
  <c r="H111" i="30"/>
  <c r="H112" i="30"/>
  <c r="H113" i="30"/>
  <c r="H114" i="30"/>
  <c r="H115" i="30"/>
  <c r="H116" i="30"/>
  <c r="H117" i="30"/>
  <c r="H118" i="30"/>
  <c r="H119" i="30"/>
  <c r="H120" i="30"/>
  <c r="H121" i="30"/>
  <c r="H122" i="30"/>
  <c r="H123" i="30"/>
  <c r="H124" i="30"/>
  <c r="H125" i="30"/>
  <c r="H126" i="30"/>
  <c r="H127" i="30"/>
  <c r="H128" i="30"/>
  <c r="H129" i="30"/>
  <c r="H130" i="30"/>
  <c r="H131" i="30"/>
  <c r="H132" i="30"/>
  <c r="H133" i="30"/>
  <c r="H134" i="30"/>
  <c r="H135" i="30"/>
  <c r="H136" i="30"/>
  <c r="H137" i="30"/>
  <c r="H138" i="30"/>
  <c r="H139" i="30"/>
  <c r="H140" i="30"/>
  <c r="H141" i="30"/>
  <c r="H142" i="30"/>
  <c r="H143" i="30"/>
  <c r="H144" i="30"/>
  <c r="H145" i="30"/>
  <c r="H146" i="30"/>
  <c r="H147" i="30"/>
  <c r="H148" i="30"/>
  <c r="H149" i="30"/>
  <c r="H150" i="30"/>
  <c r="H151" i="30"/>
  <c r="H152" i="30"/>
  <c r="H153" i="30"/>
  <c r="H154" i="30"/>
  <c r="H155" i="30"/>
  <c r="H156" i="30"/>
  <c r="H157" i="30"/>
  <c r="H158" i="30"/>
  <c r="H159" i="30"/>
  <c r="H160" i="30"/>
  <c r="H161" i="30"/>
  <c r="H162" i="30"/>
  <c r="H163" i="30"/>
  <c r="H164" i="30"/>
  <c r="H165" i="30"/>
  <c r="H166" i="30"/>
  <c r="H167" i="30"/>
  <c r="H168" i="30"/>
  <c r="H169" i="30"/>
  <c r="H170" i="30"/>
  <c r="H171" i="30"/>
  <c r="H172" i="30"/>
  <c r="H173" i="30"/>
  <c r="H174" i="30"/>
  <c r="H175" i="30"/>
  <c r="H176" i="30"/>
  <c r="H177" i="30"/>
  <c r="H178" i="30"/>
  <c r="H179" i="30"/>
  <c r="H180" i="30"/>
  <c r="H181" i="30"/>
  <c r="H182" i="30"/>
  <c r="H183" i="30"/>
  <c r="H184" i="30"/>
  <c r="H185" i="30"/>
  <c r="H186" i="30"/>
  <c r="H187" i="30"/>
  <c r="H188" i="30"/>
  <c r="H189" i="30"/>
  <c r="H190" i="30"/>
  <c r="H191" i="30"/>
  <c r="H192" i="30"/>
  <c r="H193" i="30"/>
  <c r="H194" i="30"/>
  <c r="H195" i="30"/>
  <c r="H196" i="30"/>
  <c r="H197" i="30"/>
  <c r="H198" i="30"/>
  <c r="H199" i="30"/>
  <c r="H200" i="30"/>
  <c r="H201" i="30"/>
  <c r="H202" i="30"/>
  <c r="H203" i="30"/>
  <c r="H204" i="30"/>
  <c r="H205" i="30"/>
  <c r="H206" i="30"/>
  <c r="H207" i="30"/>
  <c r="H208" i="30"/>
  <c r="H209" i="30"/>
  <c r="H210" i="30"/>
  <c r="H211" i="30"/>
  <c r="H212" i="30"/>
  <c r="H213" i="30"/>
  <c r="H214" i="30"/>
  <c r="H215" i="30"/>
  <c r="H216" i="30"/>
  <c r="H217" i="30"/>
  <c r="H218" i="30"/>
  <c r="H219" i="30"/>
  <c r="H220" i="30"/>
  <c r="H221" i="30"/>
  <c r="H222" i="30"/>
  <c r="H223" i="30"/>
  <c r="H224" i="30"/>
  <c r="H225" i="30"/>
  <c r="H226" i="30"/>
  <c r="H227" i="30"/>
  <c r="H228" i="30"/>
  <c r="H229" i="30"/>
  <c r="H230" i="30"/>
  <c r="H231" i="30"/>
  <c r="H232" i="30"/>
  <c r="H233" i="30"/>
  <c r="H234" i="30"/>
  <c r="H235" i="30"/>
  <c r="H236" i="30"/>
  <c r="H237" i="30"/>
  <c r="H238" i="30"/>
  <c r="H239" i="30"/>
  <c r="H240" i="30"/>
  <c r="H241" i="30"/>
  <c r="H242" i="30"/>
  <c r="H243" i="30"/>
  <c r="H244" i="30"/>
  <c r="H245" i="30"/>
  <c r="H246" i="30"/>
  <c r="H247" i="30"/>
  <c r="H248" i="30"/>
  <c r="H249" i="30"/>
  <c r="H250" i="30"/>
  <c r="H251" i="30"/>
  <c r="H252" i="30"/>
  <c r="H253" i="30"/>
  <c r="H254" i="30"/>
  <c r="H255" i="30"/>
  <c r="H256" i="30"/>
  <c r="H257" i="30"/>
  <c r="H258" i="30"/>
  <c r="H259" i="30"/>
  <c r="H260" i="30"/>
  <c r="H261" i="30"/>
  <c r="H262" i="30"/>
  <c r="H263" i="30"/>
  <c r="H264" i="30"/>
  <c r="H265" i="30"/>
  <c r="H266" i="30"/>
  <c r="H267" i="30"/>
  <c r="H268" i="30"/>
  <c r="H269" i="30"/>
  <c r="H270" i="30"/>
  <c r="H271" i="30"/>
  <c r="H272" i="30"/>
  <c r="H273" i="30"/>
  <c r="H274" i="30"/>
  <c r="H275" i="30"/>
  <c r="H276" i="30"/>
  <c r="H277" i="30"/>
  <c r="H278" i="30"/>
  <c r="H279" i="30"/>
  <c r="H280" i="30"/>
  <c r="H281" i="30"/>
  <c r="H282" i="30"/>
  <c r="H283" i="30"/>
  <c r="H284" i="30"/>
  <c r="H285" i="30"/>
  <c r="H286" i="30"/>
  <c r="H287" i="30"/>
  <c r="H288" i="30"/>
  <c r="H289" i="30"/>
  <c r="H290" i="30"/>
  <c r="H291" i="30"/>
  <c r="H292" i="30"/>
  <c r="H293" i="30"/>
  <c r="H294" i="30"/>
  <c r="H295" i="30"/>
  <c r="H296" i="30"/>
  <c r="H297" i="30"/>
  <c r="H298" i="30"/>
  <c r="H299" i="30"/>
  <c r="H300" i="30"/>
  <c r="H301" i="30"/>
  <c r="H302" i="30"/>
  <c r="H303" i="30"/>
  <c r="H304" i="30"/>
  <c r="H305" i="30"/>
  <c r="H306" i="30"/>
  <c r="H307" i="30"/>
  <c r="H308" i="30"/>
  <c r="H309" i="30"/>
  <c r="H310" i="30"/>
  <c r="H311" i="30"/>
  <c r="H312" i="30"/>
  <c r="H313" i="30"/>
  <c r="H314" i="30"/>
  <c r="H315" i="30"/>
  <c r="H316" i="30"/>
  <c r="H317" i="30"/>
  <c r="H318" i="30"/>
  <c r="H319" i="30"/>
  <c r="H320" i="30"/>
  <c r="H321" i="30"/>
  <c r="H322" i="30"/>
  <c r="H323" i="30"/>
  <c r="H324" i="30"/>
  <c r="H325" i="30"/>
  <c r="H326" i="30"/>
  <c r="H327" i="30"/>
  <c r="H328" i="30"/>
  <c r="H329" i="30"/>
  <c r="H330" i="30"/>
  <c r="H331" i="30"/>
  <c r="H332" i="30"/>
  <c r="H333" i="30"/>
  <c r="H334" i="30"/>
  <c r="H335" i="30"/>
  <c r="H336" i="30"/>
  <c r="H337" i="30"/>
  <c r="H338" i="30"/>
  <c r="H339" i="30"/>
  <c r="H340" i="30"/>
  <c r="H341" i="30"/>
  <c r="H342" i="30"/>
  <c r="H343" i="30"/>
  <c r="H344" i="30"/>
  <c r="H345" i="30"/>
  <c r="H346" i="30"/>
  <c r="H347" i="30"/>
  <c r="H348" i="30"/>
  <c r="H349" i="30"/>
  <c r="H350" i="30"/>
  <c r="H351" i="30"/>
  <c r="H352" i="30"/>
  <c r="H353" i="30"/>
  <c r="H354" i="30"/>
  <c r="H355" i="30"/>
  <c r="H356" i="30"/>
  <c r="H357" i="30"/>
  <c r="H358" i="30"/>
  <c r="H359" i="30"/>
  <c r="H360" i="30"/>
  <c r="H361" i="30"/>
  <c r="H362" i="30"/>
  <c r="H363" i="30"/>
  <c r="H364" i="30"/>
  <c r="H365" i="30"/>
  <c r="H366" i="30"/>
  <c r="H367" i="30"/>
  <c r="H368" i="30"/>
  <c r="H369" i="30"/>
  <c r="H370" i="30"/>
  <c r="H371" i="30"/>
  <c r="H372" i="30"/>
  <c r="H373" i="30"/>
  <c r="H374" i="30"/>
  <c r="H375" i="30"/>
  <c r="H376" i="30"/>
  <c r="H377" i="30"/>
  <c r="H378" i="30"/>
  <c r="H379" i="30"/>
  <c r="H380" i="30"/>
  <c r="H381" i="30"/>
  <c r="H382" i="30"/>
  <c r="H383" i="30"/>
  <c r="H384" i="30"/>
  <c r="H385" i="30"/>
  <c r="H386" i="30"/>
  <c r="H387" i="30"/>
  <c r="H388" i="30"/>
  <c r="H389" i="30"/>
  <c r="H390" i="30"/>
  <c r="H391" i="30"/>
  <c r="H392" i="30"/>
  <c r="H393" i="30"/>
  <c r="H394" i="30"/>
  <c r="H395" i="30"/>
  <c r="H396" i="30"/>
  <c r="H397" i="30"/>
  <c r="H398" i="30"/>
  <c r="H399" i="30"/>
  <c r="H400" i="30"/>
  <c r="H401" i="30"/>
  <c r="H402" i="30"/>
  <c r="H403" i="30"/>
  <c r="H404" i="30"/>
  <c r="H405" i="30"/>
  <c r="H406" i="30"/>
  <c r="H407" i="30"/>
  <c r="H408" i="30"/>
  <c r="H409" i="30"/>
  <c r="H410" i="30"/>
  <c r="H411" i="30"/>
  <c r="H412" i="30"/>
  <c r="H413" i="30"/>
  <c r="H414" i="30"/>
  <c r="H415" i="30"/>
  <c r="H416" i="30"/>
  <c r="H417" i="30"/>
  <c r="H418" i="30"/>
  <c r="H419" i="30"/>
  <c r="H420" i="30"/>
  <c r="H421" i="30"/>
  <c r="H422" i="30"/>
  <c r="H423" i="30"/>
  <c r="H424" i="30"/>
  <c r="H425" i="30"/>
  <c r="H426" i="30"/>
  <c r="H427" i="30"/>
  <c r="H428" i="30"/>
  <c r="H429" i="30"/>
  <c r="H430" i="30"/>
  <c r="H431" i="30"/>
  <c r="H432" i="30"/>
  <c r="H433" i="30"/>
  <c r="H434" i="30"/>
  <c r="H435" i="30"/>
  <c r="H436" i="30"/>
  <c r="H437" i="30"/>
  <c r="H438" i="30"/>
  <c r="H439" i="30"/>
  <c r="H440" i="30"/>
  <c r="H441" i="30"/>
  <c r="H442" i="30"/>
  <c r="H443" i="30"/>
  <c r="H444" i="30"/>
  <c r="H445" i="30"/>
  <c r="H446" i="30"/>
  <c r="H447" i="30"/>
  <c r="H448" i="30"/>
  <c r="H449" i="30"/>
  <c r="H450" i="30"/>
  <c r="H451" i="30"/>
  <c r="H452" i="30"/>
  <c r="H453" i="30"/>
  <c r="H454" i="30"/>
  <c r="H455" i="30"/>
  <c r="H456" i="30"/>
  <c r="H457" i="30"/>
  <c r="H458" i="30"/>
  <c r="H459" i="30"/>
  <c r="H460" i="30"/>
  <c r="H461" i="30"/>
  <c r="H462" i="30"/>
  <c r="H463" i="30"/>
  <c r="H464" i="30"/>
  <c r="H465" i="30"/>
  <c r="H466" i="30"/>
  <c r="H467" i="30"/>
  <c r="H468" i="30"/>
  <c r="H469" i="30"/>
  <c r="H470" i="30"/>
  <c r="H471" i="30"/>
  <c r="H472" i="30"/>
  <c r="H473" i="30"/>
  <c r="H474" i="30"/>
  <c r="H475" i="30"/>
  <c r="H476" i="30"/>
  <c r="H477" i="30"/>
  <c r="H478" i="30"/>
  <c r="H479" i="30"/>
  <c r="H480" i="30"/>
  <c r="H481" i="30"/>
  <c r="H482" i="30"/>
  <c r="H483" i="30"/>
  <c r="H484" i="30"/>
  <c r="H485" i="30"/>
  <c r="H486" i="30"/>
  <c r="H487" i="30"/>
  <c r="H488" i="30"/>
  <c r="H489" i="30"/>
  <c r="H490" i="30"/>
  <c r="H491" i="30"/>
  <c r="H492" i="30"/>
  <c r="H493" i="30"/>
  <c r="H494" i="30"/>
  <c r="H495" i="30"/>
  <c r="H496" i="30"/>
  <c r="H497" i="30"/>
  <c r="H498" i="30"/>
  <c r="H499" i="30"/>
  <c r="H500" i="30"/>
  <c r="H501" i="30"/>
  <c r="H502" i="30"/>
  <c r="H503" i="30"/>
  <c r="H504" i="30"/>
  <c r="H505" i="30"/>
  <c r="H506" i="30"/>
  <c r="H507" i="30"/>
  <c r="H508" i="30"/>
  <c r="H509" i="30"/>
  <c r="H510" i="30"/>
  <c r="H511" i="30"/>
  <c r="H512" i="30"/>
  <c r="H513" i="30"/>
  <c r="H514" i="30"/>
  <c r="H515" i="30"/>
  <c r="H516" i="30"/>
  <c r="H517" i="30"/>
  <c r="H518" i="30"/>
  <c r="H519" i="30"/>
  <c r="H520" i="30"/>
  <c r="H521" i="30"/>
  <c r="H522" i="30"/>
  <c r="H523" i="30"/>
  <c r="H524" i="30"/>
  <c r="H525" i="30"/>
  <c r="H526" i="30"/>
  <c r="H527" i="30"/>
  <c r="H528" i="30"/>
  <c r="H529" i="30"/>
  <c r="H530" i="30"/>
  <c r="H531" i="30"/>
  <c r="H532" i="30"/>
  <c r="H533" i="30"/>
  <c r="H534" i="30"/>
  <c r="H535" i="30"/>
  <c r="H536" i="30"/>
  <c r="H537" i="30"/>
  <c r="H538" i="30"/>
  <c r="H539" i="30"/>
  <c r="H540" i="30"/>
  <c r="H541" i="30"/>
  <c r="H542" i="30"/>
  <c r="H543" i="30"/>
  <c r="H544" i="30"/>
  <c r="H545" i="30"/>
  <c r="H546" i="30"/>
  <c r="H547" i="30"/>
  <c r="H548" i="30"/>
  <c r="H549" i="30"/>
  <c r="H550" i="30"/>
  <c r="H551" i="30"/>
  <c r="H552" i="30"/>
  <c r="H553" i="30"/>
  <c r="H554" i="30"/>
  <c r="H555" i="30"/>
  <c r="H556" i="30"/>
  <c r="H557" i="30"/>
  <c r="H558" i="30"/>
  <c r="H559" i="30"/>
  <c r="H560" i="30"/>
  <c r="H561" i="30"/>
  <c r="H562" i="30"/>
  <c r="H563" i="30"/>
  <c r="H564" i="30"/>
  <c r="H565" i="30"/>
  <c r="H566" i="30"/>
  <c r="H567" i="30"/>
  <c r="H568" i="30"/>
  <c r="H569" i="30"/>
  <c r="H570" i="30"/>
  <c r="H571" i="30"/>
  <c r="H572" i="30"/>
  <c r="H573" i="30"/>
  <c r="H574" i="30"/>
  <c r="H575" i="30"/>
  <c r="H576" i="30"/>
  <c r="H577" i="30"/>
  <c r="H578" i="30"/>
  <c r="H579" i="30"/>
  <c r="H580" i="30"/>
  <c r="H581" i="30"/>
  <c r="H582" i="30"/>
  <c r="H583" i="30"/>
  <c r="H584" i="30"/>
  <c r="H585" i="30"/>
  <c r="H586" i="30"/>
  <c r="H587" i="30"/>
  <c r="H588" i="30"/>
  <c r="H589" i="30"/>
  <c r="H590" i="30"/>
  <c r="H591" i="30"/>
  <c r="H592" i="30"/>
  <c r="H593" i="30"/>
  <c r="H594" i="30"/>
  <c r="H595" i="30"/>
  <c r="H596" i="30"/>
  <c r="H597" i="30"/>
  <c r="H598" i="30"/>
  <c r="H599" i="30"/>
  <c r="H600" i="30"/>
  <c r="H601" i="30"/>
  <c r="H602" i="30"/>
  <c r="H603" i="30"/>
  <c r="H604" i="30"/>
  <c r="H605" i="30"/>
  <c r="H606" i="30"/>
  <c r="H607" i="30"/>
  <c r="H608" i="30"/>
  <c r="H609" i="30"/>
  <c r="H610" i="30"/>
  <c r="H611" i="30"/>
  <c r="H612" i="30"/>
  <c r="H613" i="30"/>
  <c r="H614" i="30"/>
  <c r="H615" i="30"/>
  <c r="H616" i="30"/>
  <c r="H617" i="30"/>
  <c r="H618" i="30"/>
  <c r="H619" i="30"/>
  <c r="H620" i="30"/>
  <c r="H621" i="30"/>
  <c r="H622" i="30"/>
  <c r="H623" i="30"/>
  <c r="H624" i="30"/>
  <c r="H625" i="30"/>
  <c r="H626" i="30"/>
  <c r="H627" i="30"/>
  <c r="H628" i="30"/>
  <c r="H629" i="30"/>
  <c r="H630" i="30"/>
  <c r="H631" i="30"/>
  <c r="H632" i="30"/>
  <c r="H633" i="30"/>
  <c r="H634" i="30"/>
  <c r="H635" i="30"/>
  <c r="H636" i="30"/>
  <c r="H637" i="30"/>
  <c r="H638" i="30"/>
  <c r="H639" i="30"/>
  <c r="H640" i="30"/>
  <c r="H641" i="30"/>
  <c r="H642" i="30"/>
  <c r="H643" i="30"/>
  <c r="H644" i="30"/>
  <c r="H645" i="30"/>
  <c r="H646" i="30"/>
  <c r="H647" i="30"/>
  <c r="H648" i="30"/>
  <c r="H649" i="30"/>
  <c r="H650" i="30"/>
  <c r="H651" i="30"/>
  <c r="H652" i="30"/>
  <c r="H653" i="30"/>
  <c r="H654" i="30"/>
  <c r="H655" i="30"/>
  <c r="H656" i="30"/>
  <c r="H657" i="30"/>
  <c r="H658" i="30"/>
  <c r="H659" i="30"/>
  <c r="H660" i="30"/>
  <c r="H661" i="30"/>
  <c r="H662" i="30"/>
  <c r="H663" i="30"/>
  <c r="H664" i="30"/>
  <c r="H665" i="30"/>
  <c r="H666" i="30"/>
  <c r="H667" i="30"/>
  <c r="H668" i="30"/>
  <c r="H669" i="30"/>
  <c r="H670" i="30"/>
  <c r="H671" i="30"/>
  <c r="H672" i="30"/>
  <c r="H673" i="30"/>
  <c r="H674" i="30"/>
  <c r="H675" i="30"/>
  <c r="H676" i="30"/>
  <c r="H677" i="30"/>
  <c r="H678" i="30"/>
  <c r="H679" i="30"/>
  <c r="H680" i="30"/>
  <c r="H681" i="30"/>
  <c r="H682" i="30"/>
  <c r="H683" i="30"/>
  <c r="H684" i="30"/>
  <c r="H685" i="30"/>
  <c r="H686" i="30"/>
  <c r="H687" i="30"/>
  <c r="H688" i="30"/>
  <c r="H689" i="30"/>
  <c r="H690" i="30"/>
  <c r="H691" i="30"/>
  <c r="H692" i="30"/>
  <c r="H693" i="30"/>
  <c r="H694" i="30"/>
  <c r="H695" i="30"/>
  <c r="H696" i="30"/>
  <c r="H697" i="30"/>
  <c r="H698" i="30"/>
  <c r="H699" i="30"/>
  <c r="H700" i="30"/>
  <c r="H701" i="30"/>
  <c r="H702" i="30"/>
  <c r="H703" i="30"/>
  <c r="H704" i="30"/>
  <c r="H705" i="30"/>
  <c r="H706" i="30"/>
  <c r="H707" i="30"/>
  <c r="H708" i="30"/>
  <c r="H709" i="30"/>
  <c r="H710" i="30"/>
  <c r="H711" i="30"/>
  <c r="H712" i="30"/>
  <c r="H713" i="30"/>
  <c r="H714" i="30"/>
  <c r="H715" i="30"/>
  <c r="H716" i="30"/>
  <c r="H717" i="30"/>
  <c r="H718" i="30"/>
  <c r="H719" i="30"/>
  <c r="H720" i="30"/>
  <c r="H721" i="30"/>
  <c r="H722" i="30"/>
  <c r="H723" i="30"/>
  <c r="H724" i="30"/>
  <c r="H725" i="30"/>
  <c r="H726" i="30"/>
  <c r="H727" i="30"/>
  <c r="H728" i="30"/>
  <c r="H729" i="30"/>
  <c r="H730" i="30"/>
  <c r="H731" i="30"/>
  <c r="H732" i="30"/>
  <c r="H733" i="30"/>
  <c r="H734" i="30"/>
  <c r="H735" i="30"/>
  <c r="H736" i="30"/>
  <c r="H737" i="30"/>
  <c r="H738" i="30"/>
  <c r="H739" i="30"/>
  <c r="H740" i="30"/>
  <c r="H741" i="30"/>
  <c r="H742" i="30"/>
  <c r="H743" i="30"/>
  <c r="H744" i="30"/>
  <c r="H745" i="30"/>
  <c r="H746" i="30"/>
  <c r="H747" i="30"/>
  <c r="H748" i="30"/>
  <c r="H749" i="30"/>
  <c r="H750" i="30"/>
  <c r="H751" i="30"/>
  <c r="H752" i="30"/>
  <c r="H753" i="30"/>
  <c r="H754" i="30"/>
  <c r="H755" i="30"/>
  <c r="H756" i="30"/>
  <c r="H757" i="30"/>
  <c r="H758" i="30"/>
  <c r="H759" i="30"/>
  <c r="H760" i="30"/>
  <c r="H761" i="30"/>
  <c r="H762" i="30"/>
  <c r="H763" i="30"/>
  <c r="H764" i="30"/>
  <c r="H765" i="30"/>
  <c r="H766" i="30"/>
  <c r="H767" i="30"/>
  <c r="H768" i="30"/>
  <c r="H769" i="30"/>
  <c r="H770" i="30"/>
  <c r="H771" i="30"/>
  <c r="H772" i="30"/>
  <c r="H773" i="30"/>
  <c r="H774" i="30"/>
  <c r="H775" i="30"/>
  <c r="H776" i="30"/>
  <c r="H777" i="30"/>
  <c r="H778" i="30"/>
  <c r="H779" i="30"/>
  <c r="H780" i="30"/>
  <c r="H781" i="30"/>
  <c r="H782" i="30"/>
  <c r="H783" i="30"/>
  <c r="H784" i="30"/>
  <c r="H785" i="30"/>
  <c r="H786" i="30"/>
  <c r="H787" i="30"/>
  <c r="H788" i="30"/>
  <c r="H789" i="30"/>
  <c r="H790" i="30"/>
  <c r="H791" i="30"/>
  <c r="H792" i="30"/>
  <c r="H793" i="30"/>
  <c r="H794" i="30"/>
  <c r="H795" i="30"/>
  <c r="H796" i="30"/>
  <c r="H797" i="30"/>
  <c r="H798" i="30"/>
  <c r="H799" i="30"/>
  <c r="H800" i="30"/>
  <c r="H801" i="30"/>
  <c r="H802" i="30"/>
  <c r="H803" i="30"/>
  <c r="H804" i="30"/>
  <c r="H805" i="30"/>
  <c r="H806" i="30"/>
  <c r="H807" i="30"/>
  <c r="H808" i="30"/>
  <c r="H809" i="30"/>
  <c r="H810" i="30"/>
  <c r="H811" i="30"/>
  <c r="H812" i="30"/>
  <c r="H813" i="30"/>
  <c r="H814" i="30"/>
  <c r="H815" i="30"/>
  <c r="H816" i="30"/>
  <c r="H817" i="30"/>
  <c r="H818" i="30"/>
  <c r="H819" i="30"/>
  <c r="H820" i="30"/>
  <c r="H821" i="30"/>
  <c r="H822" i="30"/>
  <c r="H823" i="30"/>
  <c r="H824" i="30"/>
  <c r="H825" i="30"/>
  <c r="H826" i="30"/>
  <c r="H827" i="30"/>
  <c r="H828" i="30"/>
  <c r="H829" i="30"/>
  <c r="H830" i="30"/>
  <c r="H831" i="30"/>
  <c r="H832" i="30"/>
  <c r="H833" i="30"/>
  <c r="H834" i="30"/>
  <c r="H835" i="30"/>
  <c r="H836" i="30"/>
  <c r="H837" i="30"/>
  <c r="H838" i="30"/>
  <c r="H839" i="30"/>
  <c r="H840" i="30"/>
  <c r="H841" i="30"/>
  <c r="H842" i="30"/>
  <c r="H843" i="30"/>
  <c r="H844" i="30"/>
  <c r="H845" i="30"/>
  <c r="H846" i="30"/>
  <c r="H847" i="30"/>
  <c r="H848" i="30"/>
  <c r="H849" i="30"/>
  <c r="H850" i="30"/>
  <c r="H851" i="30"/>
  <c r="H852" i="30"/>
  <c r="H853" i="30"/>
  <c r="H854" i="30"/>
  <c r="H855" i="30"/>
  <c r="H856" i="30"/>
  <c r="H857" i="30"/>
  <c r="H858" i="30"/>
  <c r="H859" i="30"/>
  <c r="H860" i="30"/>
  <c r="H861" i="30"/>
  <c r="H862" i="30"/>
  <c r="H863" i="30"/>
  <c r="H864" i="30"/>
  <c r="H865" i="30"/>
  <c r="H866" i="30"/>
  <c r="H867" i="30"/>
  <c r="H868" i="30"/>
  <c r="H869" i="30"/>
  <c r="H870" i="30"/>
  <c r="H871" i="30"/>
  <c r="H872" i="30"/>
  <c r="H873" i="30"/>
  <c r="H874" i="30"/>
  <c r="H875" i="30"/>
  <c r="H876" i="30"/>
  <c r="H877" i="30"/>
  <c r="H878" i="30"/>
  <c r="H879" i="30"/>
  <c r="H880" i="30"/>
  <c r="H881" i="30"/>
  <c r="H882" i="30"/>
  <c r="H883" i="30"/>
  <c r="H884" i="30"/>
  <c r="H885" i="30"/>
  <c r="H886" i="30"/>
  <c r="H887" i="30"/>
  <c r="H888" i="30"/>
  <c r="H889" i="30"/>
  <c r="H890" i="30"/>
  <c r="H891" i="30"/>
  <c r="H892" i="30"/>
  <c r="H893" i="30"/>
  <c r="H894" i="30"/>
  <c r="H895" i="30"/>
  <c r="H896" i="30"/>
  <c r="H897" i="30"/>
  <c r="H898" i="30"/>
  <c r="H899" i="30"/>
  <c r="H900" i="30"/>
  <c r="H901" i="30"/>
  <c r="H902" i="30"/>
  <c r="H903" i="30"/>
  <c r="H904" i="30"/>
  <c r="H905" i="30"/>
  <c r="H906" i="30"/>
  <c r="H907" i="30"/>
  <c r="H908" i="30"/>
  <c r="H909" i="30"/>
  <c r="H910" i="30"/>
  <c r="H911" i="30"/>
  <c r="H912" i="30"/>
  <c r="H913" i="30"/>
  <c r="H914" i="30"/>
  <c r="H915" i="30"/>
  <c r="H916" i="30"/>
  <c r="H917" i="30"/>
  <c r="H918" i="30"/>
  <c r="H919" i="30"/>
  <c r="H920" i="30"/>
  <c r="H921" i="30"/>
  <c r="H922" i="30"/>
  <c r="H923" i="30"/>
  <c r="H924" i="30"/>
  <c r="H925" i="30"/>
  <c r="H926" i="30"/>
  <c r="H927" i="30"/>
  <c r="H928" i="30"/>
  <c r="H929" i="30"/>
  <c r="H930" i="30"/>
  <c r="H931" i="30"/>
  <c r="H932" i="30"/>
  <c r="H933" i="30"/>
  <c r="H934" i="30"/>
  <c r="H935" i="30"/>
  <c r="H936" i="30"/>
  <c r="H937" i="30"/>
  <c r="H938" i="30"/>
  <c r="H939" i="30"/>
  <c r="H940" i="30"/>
  <c r="H941" i="30"/>
  <c r="H942" i="30"/>
  <c r="H943" i="30"/>
  <c r="H944" i="30"/>
  <c r="H945" i="30"/>
  <c r="H946" i="30"/>
  <c r="H947" i="30"/>
  <c r="H948" i="30"/>
  <c r="H949" i="30"/>
  <c r="H950" i="30"/>
  <c r="H951" i="30"/>
  <c r="H952" i="30"/>
  <c r="H953" i="30"/>
  <c r="H954" i="30"/>
  <c r="H955" i="30"/>
  <c r="H956" i="30"/>
  <c r="H957" i="30"/>
  <c r="H958" i="30"/>
  <c r="H959" i="30"/>
  <c r="H960" i="30"/>
  <c r="H961" i="30"/>
  <c r="H962" i="30"/>
  <c r="H963" i="30"/>
  <c r="H964" i="30"/>
  <c r="H965" i="30"/>
  <c r="H966" i="30"/>
  <c r="H967" i="30"/>
  <c r="H968" i="30"/>
  <c r="H969" i="30"/>
  <c r="H970" i="30"/>
  <c r="H971" i="30"/>
  <c r="H972" i="30"/>
  <c r="H973" i="30"/>
  <c r="H974" i="30"/>
  <c r="H975" i="30"/>
  <c r="H976" i="30"/>
  <c r="H977" i="30"/>
  <c r="H978" i="30"/>
  <c r="H979" i="30"/>
  <c r="H980" i="30"/>
  <c r="H981" i="30"/>
  <c r="H982" i="30"/>
  <c r="H983" i="30"/>
  <c r="H984" i="30"/>
  <c r="H985" i="30"/>
  <c r="H986" i="30"/>
  <c r="H987" i="30"/>
  <c r="H988" i="30"/>
  <c r="H989" i="30"/>
  <c r="H990" i="30"/>
  <c r="H991" i="30"/>
  <c r="H992" i="30"/>
  <c r="H993" i="30"/>
  <c r="H994" i="30"/>
  <c r="H995" i="30"/>
  <c r="H996" i="30"/>
  <c r="H997" i="30"/>
  <c r="H998" i="30"/>
  <c r="H999" i="30"/>
  <c r="H1000" i="30"/>
  <c r="H1001" i="30"/>
  <c r="H1002" i="30"/>
  <c r="H1003" i="30"/>
  <c r="H1004" i="30"/>
  <c r="G10" i="30"/>
  <c r="G11" i="30"/>
  <c r="G12" i="30"/>
  <c r="G13" i="30"/>
  <c r="G14" i="30"/>
  <c r="G15" i="30"/>
  <c r="G16" i="30"/>
  <c r="G17" i="30"/>
  <c r="G18" i="30"/>
  <c r="G19" i="30"/>
  <c r="G20" i="30"/>
  <c r="G21" i="30"/>
  <c r="G22" i="30"/>
  <c r="G23" i="30"/>
  <c r="G24" i="30"/>
  <c r="G25" i="30"/>
  <c r="G26" i="30"/>
  <c r="G27" i="30"/>
  <c r="G28" i="30"/>
  <c r="G29" i="30"/>
  <c r="G30" i="30"/>
  <c r="G31" i="30"/>
  <c r="G32" i="30"/>
  <c r="G33" i="30"/>
  <c r="G34" i="30"/>
  <c r="G35" i="30"/>
  <c r="G36" i="30"/>
  <c r="G37" i="30"/>
  <c r="G38" i="30"/>
  <c r="G39" i="30"/>
  <c r="G40" i="30"/>
  <c r="G41" i="30"/>
  <c r="G42" i="30"/>
  <c r="G43" i="30"/>
  <c r="G44" i="30"/>
  <c r="G45" i="30"/>
  <c r="G46" i="30"/>
  <c r="G47" i="30"/>
  <c r="G48" i="30"/>
  <c r="G49" i="30"/>
  <c r="G50" i="30"/>
  <c r="G51" i="30"/>
  <c r="G52" i="30"/>
  <c r="G53" i="30"/>
  <c r="G54" i="30"/>
  <c r="G55" i="30"/>
  <c r="G56" i="30"/>
  <c r="G57" i="30"/>
  <c r="G58" i="30"/>
  <c r="G59" i="30"/>
  <c r="G60" i="30"/>
  <c r="G61" i="30"/>
  <c r="G62" i="30"/>
  <c r="G63" i="30"/>
  <c r="G64" i="30"/>
  <c r="G65" i="30"/>
  <c r="G66" i="30"/>
  <c r="G67" i="30"/>
  <c r="G68" i="30"/>
  <c r="G69" i="30"/>
  <c r="G70" i="30"/>
  <c r="G71" i="30"/>
  <c r="G72" i="30"/>
  <c r="G73" i="30"/>
  <c r="G74" i="30"/>
  <c r="G75" i="30"/>
  <c r="G76" i="30"/>
  <c r="G77" i="30"/>
  <c r="G78" i="30"/>
  <c r="G79" i="30"/>
  <c r="G80" i="30"/>
  <c r="G81" i="30"/>
  <c r="G82" i="30"/>
  <c r="G83" i="30"/>
  <c r="G84" i="30"/>
  <c r="G85" i="30"/>
  <c r="G86" i="30"/>
  <c r="G87" i="30"/>
  <c r="G88" i="30"/>
  <c r="G89" i="30"/>
  <c r="G90" i="30"/>
  <c r="G91" i="30"/>
  <c r="G92" i="30"/>
  <c r="G93" i="30"/>
  <c r="G94" i="30"/>
  <c r="G95" i="30"/>
  <c r="G96" i="30"/>
  <c r="G97" i="30"/>
  <c r="G98" i="30"/>
  <c r="G99" i="30"/>
  <c r="G100" i="30"/>
  <c r="G101" i="30"/>
  <c r="G102" i="30"/>
  <c r="G103" i="30"/>
  <c r="G104" i="30"/>
  <c r="G105" i="30"/>
  <c r="G106" i="30"/>
  <c r="G107" i="30"/>
  <c r="G108" i="30"/>
  <c r="G109" i="30"/>
  <c r="G110" i="30"/>
  <c r="G111" i="30"/>
  <c r="G112" i="30"/>
  <c r="G113" i="30"/>
  <c r="G114" i="30"/>
  <c r="G115" i="30"/>
  <c r="G116" i="30"/>
  <c r="G117" i="30"/>
  <c r="G118" i="30"/>
  <c r="G119" i="30"/>
  <c r="G120" i="30"/>
  <c r="G121" i="30"/>
  <c r="G122" i="30"/>
  <c r="G123" i="30"/>
  <c r="G124" i="30"/>
  <c r="G125" i="30"/>
  <c r="G126" i="30"/>
  <c r="G127" i="30"/>
  <c r="G128" i="30"/>
  <c r="G129" i="30"/>
  <c r="G130" i="30"/>
  <c r="G131" i="30"/>
  <c r="G132" i="30"/>
  <c r="G133" i="30"/>
  <c r="G134" i="30"/>
  <c r="G135" i="30"/>
  <c r="G136" i="30"/>
  <c r="G137" i="30"/>
  <c r="G138" i="30"/>
  <c r="G139" i="30"/>
  <c r="G140" i="30"/>
  <c r="G141" i="30"/>
  <c r="G142" i="30"/>
  <c r="G143" i="30"/>
  <c r="G144" i="30"/>
  <c r="G145" i="30"/>
  <c r="G146" i="30"/>
  <c r="G147" i="30"/>
  <c r="G148" i="30"/>
  <c r="G149" i="30"/>
  <c r="G150" i="30"/>
  <c r="G151" i="30"/>
  <c r="G152" i="30"/>
  <c r="G153" i="30"/>
  <c r="G154" i="30"/>
  <c r="G155" i="30"/>
  <c r="G156" i="30"/>
  <c r="G157" i="30"/>
  <c r="G158" i="30"/>
  <c r="G159" i="30"/>
  <c r="G160" i="30"/>
  <c r="G161" i="30"/>
  <c r="G162" i="30"/>
  <c r="G163" i="30"/>
  <c r="G164" i="30"/>
  <c r="G165" i="30"/>
  <c r="G166" i="30"/>
  <c r="G167" i="30"/>
  <c r="G168" i="30"/>
  <c r="G169" i="30"/>
  <c r="G170" i="30"/>
  <c r="G171" i="30"/>
  <c r="G172" i="30"/>
  <c r="G173" i="30"/>
  <c r="G174" i="30"/>
  <c r="G175" i="30"/>
  <c r="G176" i="30"/>
  <c r="G177" i="30"/>
  <c r="G178" i="30"/>
  <c r="G179" i="30"/>
  <c r="G180" i="30"/>
  <c r="G181" i="30"/>
  <c r="G182" i="30"/>
  <c r="G183" i="30"/>
  <c r="G184" i="30"/>
  <c r="G185" i="30"/>
  <c r="G186" i="30"/>
  <c r="G187" i="30"/>
  <c r="G188" i="30"/>
  <c r="G189" i="30"/>
  <c r="G190" i="30"/>
  <c r="G191" i="30"/>
  <c r="G192" i="30"/>
  <c r="G193" i="30"/>
  <c r="G194" i="30"/>
  <c r="G195" i="30"/>
  <c r="G196" i="30"/>
  <c r="G197" i="30"/>
  <c r="G198" i="30"/>
  <c r="G199" i="30"/>
  <c r="G200" i="30"/>
  <c r="G201" i="30"/>
  <c r="G202" i="30"/>
  <c r="G203" i="30"/>
  <c r="G204" i="30"/>
  <c r="G205" i="30"/>
  <c r="G206" i="30"/>
  <c r="G207" i="30"/>
  <c r="G208" i="30"/>
  <c r="G209" i="30"/>
  <c r="G210" i="30"/>
  <c r="G211" i="30"/>
  <c r="G212" i="30"/>
  <c r="G213" i="30"/>
  <c r="G214" i="30"/>
  <c r="G215" i="30"/>
  <c r="G216" i="30"/>
  <c r="G217" i="30"/>
  <c r="G218" i="30"/>
  <c r="G219" i="30"/>
  <c r="G220" i="30"/>
  <c r="G221" i="30"/>
  <c r="G222" i="30"/>
  <c r="G223" i="30"/>
  <c r="G224" i="30"/>
  <c r="G225" i="30"/>
  <c r="G226" i="30"/>
  <c r="G227" i="30"/>
  <c r="G228" i="30"/>
  <c r="G229" i="30"/>
  <c r="G230" i="30"/>
  <c r="G231" i="30"/>
  <c r="G232" i="30"/>
  <c r="G233" i="30"/>
  <c r="G234" i="30"/>
  <c r="G235" i="30"/>
  <c r="G236" i="30"/>
  <c r="G237" i="30"/>
  <c r="G238" i="30"/>
  <c r="G239" i="30"/>
  <c r="G240" i="30"/>
  <c r="G241" i="30"/>
  <c r="G242" i="30"/>
  <c r="G243" i="30"/>
  <c r="G244" i="30"/>
  <c r="G245" i="30"/>
  <c r="G246" i="30"/>
  <c r="G247" i="30"/>
  <c r="G248" i="30"/>
  <c r="G249" i="30"/>
  <c r="G250" i="30"/>
  <c r="G251" i="30"/>
  <c r="G252" i="30"/>
  <c r="G253" i="30"/>
  <c r="G254" i="30"/>
  <c r="G255" i="30"/>
  <c r="G256" i="30"/>
  <c r="G257" i="30"/>
  <c r="G258" i="30"/>
  <c r="G259" i="30"/>
  <c r="G260" i="30"/>
  <c r="G261" i="30"/>
  <c r="G262" i="30"/>
  <c r="G263" i="30"/>
  <c r="G264" i="30"/>
  <c r="G265" i="30"/>
  <c r="G266" i="30"/>
  <c r="G267" i="30"/>
  <c r="G268" i="30"/>
  <c r="G269" i="30"/>
  <c r="G270" i="30"/>
  <c r="G271" i="30"/>
  <c r="G272" i="30"/>
  <c r="G273" i="30"/>
  <c r="G274" i="30"/>
  <c r="G275" i="30"/>
  <c r="G276" i="30"/>
  <c r="G277" i="30"/>
  <c r="G278" i="30"/>
  <c r="G279" i="30"/>
  <c r="G280" i="30"/>
  <c r="G281" i="30"/>
  <c r="G282" i="30"/>
  <c r="G283" i="30"/>
  <c r="G284" i="30"/>
  <c r="G285" i="30"/>
  <c r="G286" i="30"/>
  <c r="G287" i="30"/>
  <c r="G288" i="30"/>
  <c r="G289" i="30"/>
  <c r="G290" i="30"/>
  <c r="G291" i="30"/>
  <c r="G292" i="30"/>
  <c r="G293" i="30"/>
  <c r="G294" i="30"/>
  <c r="G295" i="30"/>
  <c r="G296" i="30"/>
  <c r="G297" i="30"/>
  <c r="G298" i="30"/>
  <c r="G299" i="30"/>
  <c r="G300" i="30"/>
  <c r="G301" i="30"/>
  <c r="G302" i="30"/>
  <c r="G303" i="30"/>
  <c r="G304" i="30"/>
  <c r="G305" i="30"/>
  <c r="G306" i="30"/>
  <c r="G307" i="30"/>
  <c r="G308" i="30"/>
  <c r="G309" i="30"/>
  <c r="G310" i="30"/>
  <c r="G311" i="30"/>
  <c r="G312" i="30"/>
  <c r="G313" i="30"/>
  <c r="G314" i="30"/>
  <c r="G315" i="30"/>
  <c r="G316" i="30"/>
  <c r="G317" i="30"/>
  <c r="G318" i="30"/>
  <c r="G319" i="30"/>
  <c r="G320" i="30"/>
  <c r="G321" i="30"/>
  <c r="G322" i="30"/>
  <c r="G323" i="30"/>
  <c r="G324" i="30"/>
  <c r="G325" i="30"/>
  <c r="G326" i="30"/>
  <c r="G327" i="30"/>
  <c r="G328" i="30"/>
  <c r="G329" i="30"/>
  <c r="G330" i="30"/>
  <c r="G331" i="30"/>
  <c r="G332" i="30"/>
  <c r="G333" i="30"/>
  <c r="G334" i="30"/>
  <c r="G335" i="30"/>
  <c r="G336" i="30"/>
  <c r="G337" i="30"/>
  <c r="G338" i="30"/>
  <c r="G339" i="30"/>
  <c r="G340" i="30"/>
  <c r="G341" i="30"/>
  <c r="G342" i="30"/>
  <c r="G343" i="30"/>
  <c r="G344" i="30"/>
  <c r="G345" i="30"/>
  <c r="G346" i="30"/>
  <c r="G347" i="30"/>
  <c r="G348" i="30"/>
  <c r="G349" i="30"/>
  <c r="G350" i="30"/>
  <c r="G351" i="30"/>
  <c r="G352" i="30"/>
  <c r="G353" i="30"/>
  <c r="G354" i="30"/>
  <c r="G355" i="30"/>
  <c r="G356" i="30"/>
  <c r="G357" i="30"/>
  <c r="G358" i="30"/>
  <c r="G359" i="30"/>
  <c r="G360" i="30"/>
  <c r="G361" i="30"/>
  <c r="G362" i="30"/>
  <c r="G363" i="30"/>
  <c r="G364" i="30"/>
  <c r="G365" i="30"/>
  <c r="G366" i="30"/>
  <c r="G367" i="30"/>
  <c r="G368" i="30"/>
  <c r="G369" i="30"/>
  <c r="G370" i="30"/>
  <c r="G371" i="30"/>
  <c r="G372" i="30"/>
  <c r="G373" i="30"/>
  <c r="G374" i="30"/>
  <c r="G375" i="30"/>
  <c r="G376" i="30"/>
  <c r="G377" i="30"/>
  <c r="G378" i="30"/>
  <c r="G379" i="30"/>
  <c r="G380" i="30"/>
  <c r="G381" i="30"/>
  <c r="G382" i="30"/>
  <c r="G383" i="30"/>
  <c r="G384" i="30"/>
  <c r="G385" i="30"/>
  <c r="G386" i="30"/>
  <c r="G387" i="30"/>
  <c r="G388" i="30"/>
  <c r="G389" i="30"/>
  <c r="G390" i="30"/>
  <c r="G391" i="30"/>
  <c r="G392" i="30"/>
  <c r="G393" i="30"/>
  <c r="G394" i="30"/>
  <c r="G395" i="30"/>
  <c r="G396" i="30"/>
  <c r="G397" i="30"/>
  <c r="G398" i="30"/>
  <c r="G399" i="30"/>
  <c r="G400" i="30"/>
  <c r="G401" i="30"/>
  <c r="G402" i="30"/>
  <c r="G403" i="30"/>
  <c r="G404" i="30"/>
  <c r="G405" i="30"/>
  <c r="G406" i="30"/>
  <c r="G407" i="30"/>
  <c r="G408" i="30"/>
  <c r="G409" i="30"/>
  <c r="G410" i="30"/>
  <c r="G411" i="30"/>
  <c r="G412" i="30"/>
  <c r="G413" i="30"/>
  <c r="G414" i="30"/>
  <c r="G415" i="30"/>
  <c r="G416" i="30"/>
  <c r="G417" i="30"/>
  <c r="G418" i="30"/>
  <c r="G419" i="30"/>
  <c r="G420" i="30"/>
  <c r="G421" i="30"/>
  <c r="G422" i="30"/>
  <c r="G423" i="30"/>
  <c r="G424" i="30"/>
  <c r="G425" i="30"/>
  <c r="G426" i="30"/>
  <c r="G427" i="30"/>
  <c r="G428" i="30"/>
  <c r="G429" i="30"/>
  <c r="G430" i="30"/>
  <c r="G431" i="30"/>
  <c r="G432" i="30"/>
  <c r="G433" i="30"/>
  <c r="G434" i="30"/>
  <c r="G435" i="30"/>
  <c r="G436" i="30"/>
  <c r="G437" i="30"/>
  <c r="G438" i="30"/>
  <c r="G439" i="30"/>
  <c r="G440" i="30"/>
  <c r="G441" i="30"/>
  <c r="G442" i="30"/>
  <c r="G443" i="30"/>
  <c r="G444" i="30"/>
  <c r="G445" i="30"/>
  <c r="G446" i="30"/>
  <c r="G447" i="30"/>
  <c r="G448" i="30"/>
  <c r="G449" i="30"/>
  <c r="G450" i="30"/>
  <c r="G451" i="30"/>
  <c r="G452" i="30"/>
  <c r="G453" i="30"/>
  <c r="G454" i="30"/>
  <c r="G455" i="30"/>
  <c r="G456" i="30"/>
  <c r="G457" i="30"/>
  <c r="G458" i="30"/>
  <c r="G459" i="30"/>
  <c r="G460" i="30"/>
  <c r="G461" i="30"/>
  <c r="G462" i="30"/>
  <c r="G463" i="30"/>
  <c r="G464" i="30"/>
  <c r="G465" i="30"/>
  <c r="G466" i="30"/>
  <c r="G467" i="30"/>
  <c r="G468" i="30"/>
  <c r="G469" i="30"/>
  <c r="G470" i="30"/>
  <c r="G471" i="30"/>
  <c r="G472" i="30"/>
  <c r="G473" i="30"/>
  <c r="G474" i="30"/>
  <c r="G475" i="30"/>
  <c r="G476" i="30"/>
  <c r="G477" i="30"/>
  <c r="G478" i="30"/>
  <c r="G479" i="30"/>
  <c r="G480" i="30"/>
  <c r="G481" i="30"/>
  <c r="G482" i="30"/>
  <c r="G483" i="30"/>
  <c r="G484" i="30"/>
  <c r="G485" i="30"/>
  <c r="G486" i="30"/>
  <c r="G487" i="30"/>
  <c r="G488" i="30"/>
  <c r="G489" i="30"/>
  <c r="G490" i="30"/>
  <c r="G491" i="30"/>
  <c r="G492" i="30"/>
  <c r="G493" i="30"/>
  <c r="G494" i="30"/>
  <c r="G495" i="30"/>
  <c r="G496" i="30"/>
  <c r="G497" i="30"/>
  <c r="G498" i="30"/>
  <c r="G499" i="30"/>
  <c r="G500" i="30"/>
  <c r="G501" i="30"/>
  <c r="G502" i="30"/>
  <c r="G503" i="30"/>
  <c r="G504" i="30"/>
  <c r="G505" i="30"/>
  <c r="G506" i="30"/>
  <c r="G507" i="30"/>
  <c r="G508" i="30"/>
  <c r="G509" i="30"/>
  <c r="G510" i="30"/>
  <c r="G511" i="30"/>
  <c r="G512" i="30"/>
  <c r="G513" i="30"/>
  <c r="G514" i="30"/>
  <c r="G515" i="30"/>
  <c r="G516" i="30"/>
  <c r="G517" i="30"/>
  <c r="G518" i="30"/>
  <c r="G519" i="30"/>
  <c r="G520" i="30"/>
  <c r="G521" i="30"/>
  <c r="G522" i="30"/>
  <c r="G523" i="30"/>
  <c r="G524" i="30"/>
  <c r="G525" i="30"/>
  <c r="G526" i="30"/>
  <c r="G527" i="30"/>
  <c r="G528" i="30"/>
  <c r="G529" i="30"/>
  <c r="G530" i="30"/>
  <c r="G531" i="30"/>
  <c r="G532" i="30"/>
  <c r="G533" i="30"/>
  <c r="G534" i="30"/>
  <c r="G535" i="30"/>
  <c r="G536" i="30"/>
  <c r="G537" i="30"/>
  <c r="G538" i="30"/>
  <c r="G539" i="30"/>
  <c r="G540" i="30"/>
  <c r="G541" i="30"/>
  <c r="G542" i="30"/>
  <c r="G543" i="30"/>
  <c r="G544" i="30"/>
  <c r="G545" i="30"/>
  <c r="G546" i="30"/>
  <c r="G547" i="30"/>
  <c r="G548" i="30"/>
  <c r="G549" i="30"/>
  <c r="G550" i="30"/>
  <c r="G551" i="30"/>
  <c r="G552" i="30"/>
  <c r="G553" i="30"/>
  <c r="G554" i="30"/>
  <c r="G555" i="30"/>
  <c r="G556" i="30"/>
  <c r="G557" i="30"/>
  <c r="G558" i="30"/>
  <c r="G559" i="30"/>
  <c r="G560" i="30"/>
  <c r="G561" i="30"/>
  <c r="G562" i="30"/>
  <c r="G563" i="30"/>
  <c r="G564" i="30"/>
  <c r="G565" i="30"/>
  <c r="G566" i="30"/>
  <c r="G567" i="30"/>
  <c r="G568" i="30"/>
  <c r="G569" i="30"/>
  <c r="G570" i="30"/>
  <c r="G571" i="30"/>
  <c r="G572" i="30"/>
  <c r="G573" i="30"/>
  <c r="G574" i="30"/>
  <c r="G575" i="30"/>
  <c r="G576" i="30"/>
  <c r="G577" i="30"/>
  <c r="G578" i="30"/>
  <c r="G579" i="30"/>
  <c r="G580" i="30"/>
  <c r="G581" i="30"/>
  <c r="G582" i="30"/>
  <c r="G583" i="30"/>
  <c r="G584" i="30"/>
  <c r="G585" i="30"/>
  <c r="G586" i="30"/>
  <c r="G587" i="30"/>
  <c r="G588" i="30"/>
  <c r="G589" i="30"/>
  <c r="G590" i="30"/>
  <c r="G591" i="30"/>
  <c r="G592" i="30"/>
  <c r="G593" i="30"/>
  <c r="G594" i="30"/>
  <c r="G595" i="30"/>
  <c r="G596" i="30"/>
  <c r="G597" i="30"/>
  <c r="G598" i="30"/>
  <c r="G599" i="30"/>
  <c r="G600" i="30"/>
  <c r="G601" i="30"/>
  <c r="G602" i="30"/>
  <c r="G603" i="30"/>
  <c r="G604" i="30"/>
  <c r="G605" i="30"/>
  <c r="G606" i="30"/>
  <c r="G607" i="30"/>
  <c r="G608" i="30"/>
  <c r="G609" i="30"/>
  <c r="G610" i="30"/>
  <c r="G611" i="30"/>
  <c r="G612" i="30"/>
  <c r="G613" i="30"/>
  <c r="G614" i="30"/>
  <c r="G615" i="30"/>
  <c r="G616" i="30"/>
  <c r="G617" i="30"/>
  <c r="G618" i="30"/>
  <c r="G619" i="30"/>
  <c r="G620" i="30"/>
  <c r="G621" i="30"/>
  <c r="G622" i="30"/>
  <c r="G623" i="30"/>
  <c r="G624" i="30"/>
  <c r="G625" i="30"/>
  <c r="G626" i="30"/>
  <c r="G627" i="30"/>
  <c r="G628" i="30"/>
  <c r="G629" i="30"/>
  <c r="G630" i="30"/>
  <c r="G631" i="30"/>
  <c r="G632" i="30"/>
  <c r="G633" i="30"/>
  <c r="G634" i="30"/>
  <c r="G635" i="30"/>
  <c r="G636" i="30"/>
  <c r="G637" i="30"/>
  <c r="G638" i="30"/>
  <c r="G639" i="30"/>
  <c r="G640" i="30"/>
  <c r="G641" i="30"/>
  <c r="G642" i="30"/>
  <c r="G643" i="30"/>
  <c r="G644" i="30"/>
  <c r="G645" i="30"/>
  <c r="G646" i="30"/>
  <c r="G647" i="30"/>
  <c r="G648" i="30"/>
  <c r="G649" i="30"/>
  <c r="G650" i="30"/>
  <c r="G651" i="30"/>
  <c r="G652" i="30"/>
  <c r="G653" i="30"/>
  <c r="G654" i="30"/>
  <c r="G655" i="30"/>
  <c r="G656" i="30"/>
  <c r="G657" i="30"/>
  <c r="G658" i="30"/>
  <c r="G659" i="30"/>
  <c r="G660" i="30"/>
  <c r="G661" i="30"/>
  <c r="G662" i="30"/>
  <c r="G663" i="30"/>
  <c r="G664" i="30"/>
  <c r="G665" i="30"/>
  <c r="G666" i="30"/>
  <c r="G667" i="30"/>
  <c r="G668" i="30"/>
  <c r="G669" i="30"/>
  <c r="G670" i="30"/>
  <c r="G671" i="30"/>
  <c r="G672" i="30"/>
  <c r="G673" i="30"/>
  <c r="G674" i="30"/>
  <c r="G675" i="30"/>
  <c r="G676" i="30"/>
  <c r="G677" i="30"/>
  <c r="G678" i="30"/>
  <c r="G679" i="30"/>
  <c r="G680" i="30"/>
  <c r="G681" i="30"/>
  <c r="G682" i="30"/>
  <c r="G683" i="30"/>
  <c r="G684" i="30"/>
  <c r="G685" i="30"/>
  <c r="G686" i="30"/>
  <c r="G687" i="30"/>
  <c r="G688" i="30"/>
  <c r="G689" i="30"/>
  <c r="G690" i="30"/>
  <c r="G691" i="30"/>
  <c r="G692" i="30"/>
  <c r="G693" i="30"/>
  <c r="G694" i="30"/>
  <c r="G695" i="30"/>
  <c r="G696" i="30"/>
  <c r="G697" i="30"/>
  <c r="G698" i="30"/>
  <c r="G699" i="30"/>
  <c r="G700" i="30"/>
  <c r="G701" i="30"/>
  <c r="G702" i="30"/>
  <c r="G703" i="30"/>
  <c r="G704" i="30"/>
  <c r="G705" i="30"/>
  <c r="G706" i="30"/>
  <c r="G707" i="30"/>
  <c r="G708" i="30"/>
  <c r="G709" i="30"/>
  <c r="G710" i="30"/>
  <c r="G711" i="30"/>
  <c r="G712" i="30"/>
  <c r="G713" i="30"/>
  <c r="G714" i="30"/>
  <c r="G715" i="30"/>
  <c r="G716" i="30"/>
  <c r="G717" i="30"/>
  <c r="G718" i="30"/>
  <c r="G719" i="30"/>
  <c r="G720" i="30"/>
  <c r="G721" i="30"/>
  <c r="G722" i="30"/>
  <c r="G723" i="30"/>
  <c r="G724" i="30"/>
  <c r="G725" i="30"/>
  <c r="G726" i="30"/>
  <c r="G727" i="30"/>
  <c r="G728" i="30"/>
  <c r="G729" i="30"/>
  <c r="G730" i="30"/>
  <c r="G731" i="30"/>
  <c r="G732" i="30"/>
  <c r="G733" i="30"/>
  <c r="G734" i="30"/>
  <c r="G735" i="30"/>
  <c r="G736" i="30"/>
  <c r="G737" i="30"/>
  <c r="G738" i="30"/>
  <c r="G739" i="30"/>
  <c r="G740" i="30"/>
  <c r="G741" i="30"/>
  <c r="G742" i="30"/>
  <c r="G743" i="30"/>
  <c r="G744" i="30"/>
  <c r="G745" i="30"/>
  <c r="G746" i="30"/>
  <c r="G747" i="30"/>
  <c r="G748" i="30"/>
  <c r="G749" i="30"/>
  <c r="G750" i="30"/>
  <c r="G751" i="30"/>
  <c r="G752" i="30"/>
  <c r="G753" i="30"/>
  <c r="G754" i="30"/>
  <c r="G755" i="30"/>
  <c r="G756" i="30"/>
  <c r="G757" i="30"/>
  <c r="G758" i="30"/>
  <c r="G759" i="30"/>
  <c r="G760" i="30"/>
  <c r="G761" i="30"/>
  <c r="G762" i="30"/>
  <c r="G763" i="30"/>
  <c r="G764" i="30"/>
  <c r="G765" i="30"/>
  <c r="G766" i="30"/>
  <c r="G767" i="30"/>
  <c r="G768" i="30"/>
  <c r="G769" i="30"/>
  <c r="G770" i="30"/>
  <c r="G771" i="30"/>
  <c r="G772" i="30"/>
  <c r="G773" i="30"/>
  <c r="G774" i="30"/>
  <c r="G775" i="30"/>
  <c r="G776" i="30"/>
  <c r="G777" i="30"/>
  <c r="G778" i="30"/>
  <c r="G779" i="30"/>
  <c r="G780" i="30"/>
  <c r="G781" i="30"/>
  <c r="G782" i="30"/>
  <c r="G783" i="30"/>
  <c r="G784" i="30"/>
  <c r="G785" i="30"/>
  <c r="G786" i="30"/>
  <c r="G787" i="30"/>
  <c r="G788" i="30"/>
  <c r="G789" i="30"/>
  <c r="G790" i="30"/>
  <c r="G791" i="30"/>
  <c r="G792" i="30"/>
  <c r="G793" i="30"/>
  <c r="G794" i="30"/>
  <c r="G795" i="30"/>
  <c r="G796" i="30"/>
  <c r="G797" i="30"/>
  <c r="G798" i="30"/>
  <c r="G799" i="30"/>
  <c r="G800" i="30"/>
  <c r="G801" i="30"/>
  <c r="G802" i="30"/>
  <c r="G803" i="30"/>
  <c r="G804" i="30"/>
  <c r="G805" i="30"/>
  <c r="G806" i="30"/>
  <c r="G807" i="30"/>
  <c r="G808" i="30"/>
  <c r="G809" i="30"/>
  <c r="G810" i="30"/>
  <c r="G811" i="30"/>
  <c r="G812" i="30"/>
  <c r="G813" i="30"/>
  <c r="G814" i="30"/>
  <c r="G815" i="30"/>
  <c r="G816" i="30"/>
  <c r="G817" i="30"/>
  <c r="G818" i="30"/>
  <c r="G819" i="30"/>
  <c r="G820" i="30"/>
  <c r="G821" i="30"/>
  <c r="G822" i="30"/>
  <c r="G823" i="30"/>
  <c r="G824" i="30"/>
  <c r="G825" i="30"/>
  <c r="G826" i="30"/>
  <c r="G827" i="30"/>
  <c r="G828" i="30"/>
  <c r="G829" i="30"/>
  <c r="G830" i="30"/>
  <c r="G831" i="30"/>
  <c r="G832" i="30"/>
  <c r="G833" i="30"/>
  <c r="G834" i="30"/>
  <c r="G835" i="30"/>
  <c r="G836" i="30"/>
  <c r="G837" i="30"/>
  <c r="G838" i="30"/>
  <c r="G839" i="30"/>
  <c r="G840" i="30"/>
  <c r="G841" i="30"/>
  <c r="G842" i="30"/>
  <c r="G843" i="30"/>
  <c r="G844" i="30"/>
  <c r="G845" i="30"/>
  <c r="G846" i="30"/>
  <c r="G847" i="30"/>
  <c r="G848" i="30"/>
  <c r="G849" i="30"/>
  <c r="G850" i="30"/>
  <c r="G851" i="30"/>
  <c r="G852" i="30"/>
  <c r="G853" i="30"/>
  <c r="G854" i="30"/>
  <c r="G855" i="30"/>
  <c r="G856" i="30"/>
  <c r="G857" i="30"/>
  <c r="G858" i="30"/>
  <c r="G859" i="30"/>
  <c r="G860" i="30"/>
  <c r="G861" i="30"/>
  <c r="G862" i="30"/>
  <c r="G863" i="30"/>
  <c r="G864" i="30"/>
  <c r="G865" i="30"/>
  <c r="G866" i="30"/>
  <c r="G867" i="30"/>
  <c r="G868" i="30"/>
  <c r="G869" i="30"/>
  <c r="G870" i="30"/>
  <c r="G871" i="30"/>
  <c r="G872" i="30"/>
  <c r="G873" i="30"/>
  <c r="G874" i="30"/>
  <c r="G875" i="30"/>
  <c r="G876" i="30"/>
  <c r="G877" i="30"/>
  <c r="G878" i="30"/>
  <c r="G879" i="30"/>
  <c r="G880" i="30"/>
  <c r="G881" i="30"/>
  <c r="G882" i="30"/>
  <c r="G883" i="30"/>
  <c r="G884" i="30"/>
  <c r="G885" i="30"/>
  <c r="G886" i="30"/>
  <c r="G887" i="30"/>
  <c r="G888" i="30"/>
  <c r="G889" i="30"/>
  <c r="G890" i="30"/>
  <c r="G891" i="30"/>
  <c r="G892" i="30"/>
  <c r="G893" i="30"/>
  <c r="G894" i="30"/>
  <c r="G895" i="30"/>
  <c r="G896" i="30"/>
  <c r="G897" i="30"/>
  <c r="G898" i="30"/>
  <c r="G899" i="30"/>
  <c r="G900" i="30"/>
  <c r="G901" i="30"/>
  <c r="G902" i="30"/>
  <c r="G903" i="30"/>
  <c r="G904" i="30"/>
  <c r="G905" i="30"/>
  <c r="G906" i="30"/>
  <c r="G907" i="30"/>
  <c r="G908" i="30"/>
  <c r="G909" i="30"/>
  <c r="G910" i="30"/>
  <c r="G911" i="30"/>
  <c r="G912" i="30"/>
  <c r="G913" i="30"/>
  <c r="G914" i="30"/>
  <c r="G915" i="30"/>
  <c r="G916" i="30"/>
  <c r="G917" i="30"/>
  <c r="G918" i="30"/>
  <c r="G919" i="30"/>
  <c r="G920" i="30"/>
  <c r="G921" i="30"/>
  <c r="G922" i="30"/>
  <c r="G923" i="30"/>
  <c r="G924" i="30"/>
  <c r="G925" i="30"/>
  <c r="G926" i="30"/>
  <c r="G927" i="30"/>
  <c r="G928" i="30"/>
  <c r="G929" i="30"/>
  <c r="G930" i="30"/>
  <c r="G931" i="30"/>
  <c r="G932" i="30"/>
  <c r="G933" i="30"/>
  <c r="G934" i="30"/>
  <c r="G935" i="30"/>
  <c r="G936" i="30"/>
  <c r="G937" i="30"/>
  <c r="G938" i="30"/>
  <c r="G939" i="30"/>
  <c r="G940" i="30"/>
  <c r="G941" i="30"/>
  <c r="G942" i="30"/>
  <c r="G943" i="30"/>
  <c r="G944" i="30"/>
  <c r="G945" i="30"/>
  <c r="G946" i="30"/>
  <c r="G947" i="30"/>
  <c r="G948" i="30"/>
  <c r="G949" i="30"/>
  <c r="G950" i="30"/>
  <c r="G951" i="30"/>
  <c r="G952" i="30"/>
  <c r="G953" i="30"/>
  <c r="G954" i="30"/>
  <c r="G955" i="30"/>
  <c r="G956" i="30"/>
  <c r="G957" i="30"/>
  <c r="G958" i="30"/>
  <c r="G959" i="30"/>
  <c r="G960" i="30"/>
  <c r="G961" i="30"/>
  <c r="G962" i="30"/>
  <c r="G963" i="30"/>
  <c r="G964" i="30"/>
  <c r="G965" i="30"/>
  <c r="G966" i="30"/>
  <c r="G967" i="30"/>
  <c r="G968" i="30"/>
  <c r="G969" i="30"/>
  <c r="G970" i="30"/>
  <c r="G971" i="30"/>
  <c r="G972" i="30"/>
  <c r="G973" i="30"/>
  <c r="G974" i="30"/>
  <c r="G975" i="30"/>
  <c r="G976" i="30"/>
  <c r="G977" i="30"/>
  <c r="G978" i="30"/>
  <c r="G979" i="30"/>
  <c r="G980" i="30"/>
  <c r="G981" i="30"/>
  <c r="G982" i="30"/>
  <c r="G983" i="30"/>
  <c r="G984" i="30"/>
  <c r="G985" i="30"/>
  <c r="G986" i="30"/>
  <c r="G987" i="30"/>
  <c r="G988" i="30"/>
  <c r="G989" i="30"/>
  <c r="G990" i="30"/>
  <c r="G991" i="30"/>
  <c r="G992" i="30"/>
  <c r="G993" i="30"/>
  <c r="G994" i="30"/>
  <c r="G995" i="30"/>
  <c r="G996" i="30"/>
  <c r="G997" i="30"/>
  <c r="G998" i="30"/>
  <c r="G999" i="30"/>
  <c r="G1000" i="30"/>
  <c r="G1001" i="30"/>
  <c r="G1002" i="30"/>
  <c r="G1003" i="30"/>
  <c r="G1004" i="30"/>
  <c r="F10" i="30"/>
  <c r="F11" i="30"/>
  <c r="F12" i="30"/>
  <c r="F13" i="30"/>
  <c r="F14" i="30"/>
  <c r="F15" i="30"/>
  <c r="F16" i="30"/>
  <c r="F17" i="30"/>
  <c r="F18" i="30"/>
  <c r="F19" i="30"/>
  <c r="F20" i="30"/>
  <c r="F21" i="30"/>
  <c r="F22" i="30"/>
  <c r="F23" i="30"/>
  <c r="F24" i="30"/>
  <c r="F25" i="30"/>
  <c r="F26" i="30"/>
  <c r="F27" i="30"/>
  <c r="F28" i="30"/>
  <c r="F29" i="30"/>
  <c r="F30" i="30"/>
  <c r="F31" i="30"/>
  <c r="F32" i="30"/>
  <c r="F33" i="30"/>
  <c r="F34" i="30"/>
  <c r="F35" i="30"/>
  <c r="F36" i="30"/>
  <c r="F37" i="30"/>
  <c r="F38" i="30"/>
  <c r="F39" i="30"/>
  <c r="F40" i="30"/>
  <c r="F41" i="30"/>
  <c r="F42" i="30"/>
  <c r="F43" i="30"/>
  <c r="F44" i="30"/>
  <c r="F45" i="30"/>
  <c r="F46" i="30"/>
  <c r="F47" i="30"/>
  <c r="F48" i="30"/>
  <c r="F49" i="30"/>
  <c r="F50" i="30"/>
  <c r="F51" i="30"/>
  <c r="F52" i="30"/>
  <c r="F53" i="30"/>
  <c r="F54" i="30"/>
  <c r="F55" i="30"/>
  <c r="F56" i="30"/>
  <c r="F57" i="30"/>
  <c r="F58" i="30"/>
  <c r="F59" i="30"/>
  <c r="F60" i="30"/>
  <c r="F61" i="30"/>
  <c r="F62" i="30"/>
  <c r="F63" i="30"/>
  <c r="F64" i="30"/>
  <c r="F65" i="30"/>
  <c r="F66" i="30"/>
  <c r="F67" i="30"/>
  <c r="F68" i="30"/>
  <c r="F69" i="30"/>
  <c r="F70" i="30"/>
  <c r="F71" i="30"/>
  <c r="F72" i="30"/>
  <c r="F73" i="30"/>
  <c r="F74" i="30"/>
  <c r="F75" i="30"/>
  <c r="F76" i="30"/>
  <c r="F77" i="30"/>
  <c r="F78" i="30"/>
  <c r="F79" i="30"/>
  <c r="F80" i="30"/>
  <c r="F81" i="30"/>
  <c r="F82" i="30"/>
  <c r="F83" i="30"/>
  <c r="F84" i="30"/>
  <c r="F85" i="30"/>
  <c r="F86" i="30"/>
  <c r="F87" i="30"/>
  <c r="F88" i="30"/>
  <c r="F89" i="30"/>
  <c r="F90" i="30"/>
  <c r="F91" i="30"/>
  <c r="F92" i="30"/>
  <c r="F93" i="30"/>
  <c r="F94" i="30"/>
  <c r="F95" i="30"/>
  <c r="F96" i="30"/>
  <c r="F97" i="30"/>
  <c r="F98" i="30"/>
  <c r="F99" i="30"/>
  <c r="F100" i="30"/>
  <c r="F101" i="30"/>
  <c r="F102" i="30"/>
  <c r="F103" i="30"/>
  <c r="F104" i="30"/>
  <c r="F105" i="30"/>
  <c r="F106" i="30"/>
  <c r="F107" i="30"/>
  <c r="F108" i="30"/>
  <c r="F109" i="30"/>
  <c r="F110" i="30"/>
  <c r="F111" i="30"/>
  <c r="F112" i="30"/>
  <c r="F113" i="30"/>
  <c r="F114" i="30"/>
  <c r="F115" i="30"/>
  <c r="F116" i="30"/>
  <c r="F117" i="30"/>
  <c r="F118" i="30"/>
  <c r="F119" i="30"/>
  <c r="F120" i="30"/>
  <c r="F121" i="30"/>
  <c r="F122" i="30"/>
  <c r="F123" i="30"/>
  <c r="F124" i="30"/>
  <c r="F125" i="30"/>
  <c r="F126" i="30"/>
  <c r="F127" i="30"/>
  <c r="F128" i="30"/>
  <c r="F129" i="30"/>
  <c r="F130" i="30"/>
  <c r="F131" i="30"/>
  <c r="F132" i="30"/>
  <c r="F133" i="30"/>
  <c r="F134" i="30"/>
  <c r="F135" i="30"/>
  <c r="F136" i="30"/>
  <c r="F137" i="30"/>
  <c r="F138" i="30"/>
  <c r="F139" i="30"/>
  <c r="F140" i="30"/>
  <c r="F141" i="30"/>
  <c r="F142" i="30"/>
  <c r="F143" i="30"/>
  <c r="F144" i="30"/>
  <c r="F145" i="30"/>
  <c r="F146" i="30"/>
  <c r="F147" i="30"/>
  <c r="F148" i="30"/>
  <c r="F149" i="30"/>
  <c r="F150" i="30"/>
  <c r="F151" i="30"/>
  <c r="F152" i="30"/>
  <c r="F153" i="30"/>
  <c r="F154" i="30"/>
  <c r="F155" i="30"/>
  <c r="F156" i="30"/>
  <c r="F157" i="30"/>
  <c r="F158" i="30"/>
  <c r="F159" i="30"/>
  <c r="F160" i="30"/>
  <c r="F161" i="30"/>
  <c r="F162" i="30"/>
  <c r="F163" i="30"/>
  <c r="F164" i="30"/>
  <c r="F165" i="30"/>
  <c r="F166" i="30"/>
  <c r="F167" i="30"/>
  <c r="F168" i="30"/>
  <c r="F169" i="30"/>
  <c r="F170" i="30"/>
  <c r="F171" i="30"/>
  <c r="F172" i="30"/>
  <c r="F173" i="30"/>
  <c r="F174" i="30"/>
  <c r="F175" i="30"/>
  <c r="F176" i="30"/>
  <c r="F177" i="30"/>
  <c r="F178" i="30"/>
  <c r="F179" i="30"/>
  <c r="F180" i="30"/>
  <c r="F181" i="30"/>
  <c r="F182" i="30"/>
  <c r="F183" i="30"/>
  <c r="F184" i="30"/>
  <c r="F185" i="30"/>
  <c r="F186" i="30"/>
  <c r="F187" i="30"/>
  <c r="F188" i="30"/>
  <c r="F189" i="30"/>
  <c r="F190" i="30"/>
  <c r="F191" i="30"/>
  <c r="F192" i="30"/>
  <c r="F193" i="30"/>
  <c r="F194" i="30"/>
  <c r="F195" i="30"/>
  <c r="F196" i="30"/>
  <c r="F197" i="30"/>
  <c r="F198" i="30"/>
  <c r="F199" i="30"/>
  <c r="F200" i="30"/>
  <c r="F201" i="30"/>
  <c r="F202" i="30"/>
  <c r="F203" i="30"/>
  <c r="F204" i="30"/>
  <c r="F205" i="30"/>
  <c r="F206" i="30"/>
  <c r="F207" i="30"/>
  <c r="F208" i="30"/>
  <c r="F209" i="30"/>
  <c r="F210" i="30"/>
  <c r="F211" i="30"/>
  <c r="F212" i="30"/>
  <c r="F213" i="30"/>
  <c r="F214" i="30"/>
  <c r="F215" i="30"/>
  <c r="F216" i="30"/>
  <c r="F217" i="30"/>
  <c r="F218" i="30"/>
  <c r="F219" i="30"/>
  <c r="F220" i="30"/>
  <c r="F221" i="30"/>
  <c r="F222" i="30"/>
  <c r="F223" i="30"/>
  <c r="F224" i="30"/>
  <c r="F225" i="30"/>
  <c r="F226" i="30"/>
  <c r="F227" i="30"/>
  <c r="F228" i="30"/>
  <c r="F229" i="30"/>
  <c r="F230" i="30"/>
  <c r="F231" i="30"/>
  <c r="F232" i="30"/>
  <c r="F233" i="30"/>
  <c r="F234" i="30"/>
  <c r="F235" i="30"/>
  <c r="F236" i="30"/>
  <c r="F237" i="30"/>
  <c r="F238" i="30"/>
  <c r="F239" i="30"/>
  <c r="F240" i="30"/>
  <c r="F241" i="30"/>
  <c r="F242" i="30"/>
  <c r="F243" i="30"/>
  <c r="F244" i="30"/>
  <c r="F245" i="30"/>
  <c r="F246" i="30"/>
  <c r="F247" i="30"/>
  <c r="F248" i="30"/>
  <c r="F249" i="30"/>
  <c r="F250" i="30"/>
  <c r="F251" i="30"/>
  <c r="F252" i="30"/>
  <c r="F253" i="30"/>
  <c r="F254" i="30"/>
  <c r="F255" i="30"/>
  <c r="F256" i="30"/>
  <c r="F257" i="30"/>
  <c r="F258" i="30"/>
  <c r="F259" i="30"/>
  <c r="F260" i="30"/>
  <c r="F261" i="30"/>
  <c r="F262" i="30"/>
  <c r="F263" i="30"/>
  <c r="F264" i="30"/>
  <c r="F265" i="30"/>
  <c r="F266" i="30"/>
  <c r="F267" i="30"/>
  <c r="F268" i="30"/>
  <c r="F269" i="30"/>
  <c r="F270" i="30"/>
  <c r="F271" i="30"/>
  <c r="F272" i="30"/>
  <c r="F273" i="30"/>
  <c r="F274" i="30"/>
  <c r="F275" i="30"/>
  <c r="F276" i="30"/>
  <c r="F277" i="30"/>
  <c r="F278" i="30"/>
  <c r="F279" i="30"/>
  <c r="F280" i="30"/>
  <c r="F281" i="30"/>
  <c r="F282" i="30"/>
  <c r="F283" i="30"/>
  <c r="F284" i="30"/>
  <c r="F285" i="30"/>
  <c r="F286" i="30"/>
  <c r="F287" i="30"/>
  <c r="F288" i="30"/>
  <c r="F289" i="30"/>
  <c r="F290" i="30"/>
  <c r="F291" i="30"/>
  <c r="F292" i="30"/>
  <c r="F293" i="30"/>
  <c r="F294" i="30"/>
  <c r="F295" i="30"/>
  <c r="F296" i="30"/>
  <c r="F297" i="30"/>
  <c r="F298" i="30"/>
  <c r="F299" i="30"/>
  <c r="F300" i="30"/>
  <c r="F301" i="30"/>
  <c r="F302" i="30"/>
  <c r="F303" i="30"/>
  <c r="F304" i="30"/>
  <c r="F305" i="30"/>
  <c r="F306" i="30"/>
  <c r="F307" i="30"/>
  <c r="F308" i="30"/>
  <c r="F309" i="30"/>
  <c r="F310" i="30"/>
  <c r="F311" i="30"/>
  <c r="F312" i="30"/>
  <c r="F313" i="30"/>
  <c r="F314" i="30"/>
  <c r="F315" i="30"/>
  <c r="F316" i="30"/>
  <c r="F317" i="30"/>
  <c r="F318" i="30"/>
  <c r="F319" i="30"/>
  <c r="F320" i="30"/>
  <c r="F321" i="30"/>
  <c r="F322" i="30"/>
  <c r="F323" i="30"/>
  <c r="F324" i="30"/>
  <c r="F325" i="30"/>
  <c r="F326" i="30"/>
  <c r="F327" i="30"/>
  <c r="F328" i="30"/>
  <c r="F329" i="30"/>
  <c r="F330" i="30"/>
  <c r="F331" i="30"/>
  <c r="F332" i="30"/>
  <c r="F333" i="30"/>
  <c r="F334" i="30"/>
  <c r="F335" i="30"/>
  <c r="F336" i="30"/>
  <c r="F337" i="30"/>
  <c r="F338" i="30"/>
  <c r="F339" i="30"/>
  <c r="F340" i="30"/>
  <c r="F341" i="30"/>
  <c r="F342" i="30"/>
  <c r="F343" i="30"/>
  <c r="F344" i="30"/>
  <c r="F345" i="30"/>
  <c r="F346" i="30"/>
  <c r="F347" i="30"/>
  <c r="F348" i="30"/>
  <c r="F349" i="30"/>
  <c r="F350" i="30"/>
  <c r="F351" i="30"/>
  <c r="F352" i="30"/>
  <c r="F353" i="30"/>
  <c r="F354" i="30"/>
  <c r="F355" i="30"/>
  <c r="F356" i="30"/>
  <c r="F357" i="30"/>
  <c r="F358" i="30"/>
  <c r="F359" i="30"/>
  <c r="F360" i="30"/>
  <c r="F361" i="30"/>
  <c r="F362" i="30"/>
  <c r="F363" i="30"/>
  <c r="F364" i="30"/>
  <c r="F365" i="30"/>
  <c r="F366" i="30"/>
  <c r="F367" i="30"/>
  <c r="F368" i="30"/>
  <c r="F369" i="30"/>
  <c r="F370" i="30"/>
  <c r="F371" i="30"/>
  <c r="F372" i="30"/>
  <c r="F373" i="30"/>
  <c r="F374" i="30"/>
  <c r="F375" i="30"/>
  <c r="F376" i="30"/>
  <c r="F377" i="30"/>
  <c r="F378" i="30"/>
  <c r="F379" i="30"/>
  <c r="F380" i="30"/>
  <c r="F381" i="30"/>
  <c r="F382" i="30"/>
  <c r="F383" i="30"/>
  <c r="F384" i="30"/>
  <c r="F385" i="30"/>
  <c r="F386" i="30"/>
  <c r="F387" i="30"/>
  <c r="F388" i="30"/>
  <c r="F389" i="30"/>
  <c r="F390" i="30"/>
  <c r="F391" i="30"/>
  <c r="F392" i="30"/>
  <c r="F393" i="30"/>
  <c r="F394" i="30"/>
  <c r="F395" i="30"/>
  <c r="F396" i="30"/>
  <c r="F397" i="30"/>
  <c r="F398" i="30"/>
  <c r="F399" i="30"/>
  <c r="F400" i="30"/>
  <c r="F401" i="30"/>
  <c r="F402" i="30"/>
  <c r="F403" i="30"/>
  <c r="F404" i="30"/>
  <c r="F405" i="30"/>
  <c r="F406" i="30"/>
  <c r="F407" i="30"/>
  <c r="F408" i="30"/>
  <c r="F409" i="30"/>
  <c r="F410" i="30"/>
  <c r="F411" i="30"/>
  <c r="F412" i="30"/>
  <c r="F413" i="30"/>
  <c r="F414" i="30"/>
  <c r="F415" i="30"/>
  <c r="F416" i="30"/>
  <c r="F417" i="30"/>
  <c r="F418" i="30"/>
  <c r="F419" i="30"/>
  <c r="F420" i="30"/>
  <c r="F421" i="30"/>
  <c r="F422" i="30"/>
  <c r="F423" i="30"/>
  <c r="F424" i="30"/>
  <c r="F425" i="30"/>
  <c r="F426" i="30"/>
  <c r="F427" i="30"/>
  <c r="F428" i="30"/>
  <c r="F429" i="30"/>
  <c r="F430" i="30"/>
  <c r="F431" i="30"/>
  <c r="F432" i="30"/>
  <c r="F433" i="30"/>
  <c r="F434" i="30"/>
  <c r="F435" i="30"/>
  <c r="F436" i="30"/>
  <c r="F437" i="30"/>
  <c r="F438" i="30"/>
  <c r="F439" i="30"/>
  <c r="F440" i="30"/>
  <c r="F441" i="30"/>
  <c r="F442" i="30"/>
  <c r="F443" i="30"/>
  <c r="F444" i="30"/>
  <c r="F445" i="30"/>
  <c r="F446" i="30"/>
  <c r="F447" i="30"/>
  <c r="F448" i="30"/>
  <c r="F449" i="30"/>
  <c r="F450" i="30"/>
  <c r="F451" i="30"/>
  <c r="F452" i="30"/>
  <c r="F453" i="30"/>
  <c r="F454" i="30"/>
  <c r="F455" i="30"/>
  <c r="F456" i="30"/>
  <c r="F457" i="30"/>
  <c r="F458" i="30"/>
  <c r="F459" i="30"/>
  <c r="F460" i="30"/>
  <c r="F461" i="30"/>
  <c r="F462" i="30"/>
  <c r="F463" i="30"/>
  <c r="F464" i="30"/>
  <c r="F465" i="30"/>
  <c r="F466" i="30"/>
  <c r="F467" i="30"/>
  <c r="F468" i="30"/>
  <c r="F469" i="30"/>
  <c r="F470" i="30"/>
  <c r="F471" i="30"/>
  <c r="F472" i="30"/>
  <c r="F473" i="30"/>
  <c r="F474" i="30"/>
  <c r="F475" i="30"/>
  <c r="F476" i="30"/>
  <c r="F477" i="30"/>
  <c r="F478" i="30"/>
  <c r="F479" i="30"/>
  <c r="F480" i="30"/>
  <c r="F481" i="30"/>
  <c r="F482" i="30"/>
  <c r="F483" i="30"/>
  <c r="F484" i="30"/>
  <c r="F485" i="30"/>
  <c r="F486" i="30"/>
  <c r="F487" i="30"/>
  <c r="F488" i="30"/>
  <c r="F489" i="30"/>
  <c r="F490" i="30"/>
  <c r="F491" i="30"/>
  <c r="F492" i="30"/>
  <c r="F493" i="30"/>
  <c r="F494" i="30"/>
  <c r="F495" i="30"/>
  <c r="F496" i="30"/>
  <c r="F497" i="30"/>
  <c r="F498" i="30"/>
  <c r="F499" i="30"/>
  <c r="F500" i="30"/>
  <c r="F501" i="30"/>
  <c r="F502" i="30"/>
  <c r="F503" i="30"/>
  <c r="F504" i="30"/>
  <c r="F505" i="30"/>
  <c r="F506" i="30"/>
  <c r="F507" i="30"/>
  <c r="F508" i="30"/>
  <c r="F509" i="30"/>
  <c r="F510" i="30"/>
  <c r="F511" i="30"/>
  <c r="F512" i="30"/>
  <c r="F513" i="30"/>
  <c r="F514" i="30"/>
  <c r="F515" i="30"/>
  <c r="F516" i="30"/>
  <c r="F517" i="30"/>
  <c r="F518" i="30"/>
  <c r="F519" i="30"/>
  <c r="F520" i="30"/>
  <c r="F521" i="30"/>
  <c r="F522" i="30"/>
  <c r="F523" i="30"/>
  <c r="F524" i="30"/>
  <c r="F525" i="30"/>
  <c r="F526" i="30"/>
  <c r="F527" i="30"/>
  <c r="F528" i="30"/>
  <c r="F529" i="30"/>
  <c r="F530" i="30"/>
  <c r="F531" i="30"/>
  <c r="F532" i="30"/>
  <c r="F533" i="30"/>
  <c r="F534" i="30"/>
  <c r="F535" i="30"/>
  <c r="F536" i="30"/>
  <c r="F537" i="30"/>
  <c r="F538" i="30"/>
  <c r="F539" i="30"/>
  <c r="F540" i="30"/>
  <c r="F541" i="30"/>
  <c r="F542" i="30"/>
  <c r="F543" i="30"/>
  <c r="F544" i="30"/>
  <c r="F545" i="30"/>
  <c r="F546" i="30"/>
  <c r="F547" i="30"/>
  <c r="F548" i="30"/>
  <c r="F549" i="30"/>
  <c r="F550" i="30"/>
  <c r="F551" i="30"/>
  <c r="F552" i="30"/>
  <c r="F553" i="30"/>
  <c r="F554" i="30"/>
  <c r="F555" i="30"/>
  <c r="F556" i="30"/>
  <c r="F557" i="30"/>
  <c r="F558" i="30"/>
  <c r="F559" i="30"/>
  <c r="F560" i="30"/>
  <c r="F561" i="30"/>
  <c r="F562" i="30"/>
  <c r="F563" i="30"/>
  <c r="F564" i="30"/>
  <c r="F565" i="30"/>
  <c r="F566" i="30"/>
  <c r="F567" i="30"/>
  <c r="F568" i="30"/>
  <c r="F569" i="30"/>
  <c r="F570" i="30"/>
  <c r="F571" i="30"/>
  <c r="F572" i="30"/>
  <c r="F573" i="30"/>
  <c r="F574" i="30"/>
  <c r="F575" i="30"/>
  <c r="F576" i="30"/>
  <c r="F577" i="30"/>
  <c r="F578" i="30"/>
  <c r="F579" i="30"/>
  <c r="F580" i="30"/>
  <c r="F581" i="30"/>
  <c r="F582" i="30"/>
  <c r="F583" i="30"/>
  <c r="F584" i="30"/>
  <c r="F585" i="30"/>
  <c r="F586" i="30"/>
  <c r="F587" i="30"/>
  <c r="F588" i="30"/>
  <c r="F589" i="30"/>
  <c r="F590" i="30"/>
  <c r="F591" i="30"/>
  <c r="F592" i="30"/>
  <c r="F593" i="30"/>
  <c r="F594" i="30"/>
  <c r="F595" i="30"/>
  <c r="F596" i="30"/>
  <c r="F597" i="30"/>
  <c r="F598" i="30"/>
  <c r="F599" i="30"/>
  <c r="F600" i="30"/>
  <c r="F601" i="30"/>
  <c r="F602" i="30"/>
  <c r="F603" i="30"/>
  <c r="F604" i="30"/>
  <c r="F605" i="30"/>
  <c r="F606" i="30"/>
  <c r="F607" i="30"/>
  <c r="F608" i="30"/>
  <c r="F609" i="30"/>
  <c r="F610" i="30"/>
  <c r="F611" i="30"/>
  <c r="F612" i="30"/>
  <c r="F613" i="30"/>
  <c r="F614" i="30"/>
  <c r="F615" i="30"/>
  <c r="F616" i="30"/>
  <c r="F617" i="30"/>
  <c r="F618" i="30"/>
  <c r="F619" i="30"/>
  <c r="F620" i="30"/>
  <c r="F621" i="30"/>
  <c r="F622" i="30"/>
  <c r="F623" i="30"/>
  <c r="F624" i="30"/>
  <c r="F625" i="30"/>
  <c r="F626" i="30"/>
  <c r="F627" i="30"/>
  <c r="F628" i="30"/>
  <c r="F629" i="30"/>
  <c r="F630" i="30"/>
  <c r="F631" i="30"/>
  <c r="F632" i="30"/>
  <c r="F633" i="30"/>
  <c r="F634" i="30"/>
  <c r="F635" i="30"/>
  <c r="F636" i="30"/>
  <c r="F637" i="30"/>
  <c r="F638" i="30"/>
  <c r="F639" i="30"/>
  <c r="F640" i="30"/>
  <c r="F641" i="30"/>
  <c r="F642" i="30"/>
  <c r="F643" i="30"/>
  <c r="F644" i="30"/>
  <c r="F645" i="30"/>
  <c r="F646" i="30"/>
  <c r="F647" i="30"/>
  <c r="F648" i="30"/>
  <c r="F649" i="30"/>
  <c r="F650" i="30"/>
  <c r="F651" i="30"/>
  <c r="F652" i="30"/>
  <c r="F653" i="30"/>
  <c r="F654" i="30"/>
  <c r="F655" i="30"/>
  <c r="F656" i="30"/>
  <c r="F657" i="30"/>
  <c r="F658" i="30"/>
  <c r="F659" i="30"/>
  <c r="F660" i="30"/>
  <c r="F661" i="30"/>
  <c r="F662" i="30"/>
  <c r="F663" i="30"/>
  <c r="F664" i="30"/>
  <c r="F665" i="30"/>
  <c r="F666" i="30"/>
  <c r="F667" i="30"/>
  <c r="F668" i="30"/>
  <c r="F669" i="30"/>
  <c r="F670" i="30"/>
  <c r="F671" i="30"/>
  <c r="F672" i="30"/>
  <c r="F673" i="30"/>
  <c r="F674" i="30"/>
  <c r="F675" i="30"/>
  <c r="F676" i="30"/>
  <c r="F677" i="30"/>
  <c r="F678" i="30"/>
  <c r="F679" i="30"/>
  <c r="F680" i="30"/>
  <c r="F681" i="30"/>
  <c r="F682" i="30"/>
  <c r="F683" i="30"/>
  <c r="F684" i="30"/>
  <c r="F685" i="30"/>
  <c r="F686" i="30"/>
  <c r="F687" i="30"/>
  <c r="F688" i="30"/>
  <c r="F689" i="30"/>
  <c r="F690" i="30"/>
  <c r="F691" i="30"/>
  <c r="F692" i="30"/>
  <c r="F693" i="30"/>
  <c r="F694" i="30"/>
  <c r="F695" i="30"/>
  <c r="F696" i="30"/>
  <c r="F697" i="30"/>
  <c r="F698" i="30"/>
  <c r="F699" i="30"/>
  <c r="F700" i="30"/>
  <c r="F701" i="30"/>
  <c r="F702" i="30"/>
  <c r="F703" i="30"/>
  <c r="F704" i="30"/>
  <c r="F705" i="30"/>
  <c r="F706" i="30"/>
  <c r="F707" i="30"/>
  <c r="F708" i="30"/>
  <c r="F709" i="30"/>
  <c r="F710" i="30"/>
  <c r="F711" i="30"/>
  <c r="F712" i="30"/>
  <c r="F713" i="30"/>
  <c r="F714" i="30"/>
  <c r="F715" i="30"/>
  <c r="F716" i="30"/>
  <c r="F717" i="30"/>
  <c r="F718" i="30"/>
  <c r="F719" i="30"/>
  <c r="F720" i="30"/>
  <c r="F721" i="30"/>
  <c r="F722" i="30"/>
  <c r="F723" i="30"/>
  <c r="F724" i="30"/>
  <c r="F725" i="30"/>
  <c r="F726" i="30"/>
  <c r="F727" i="30"/>
  <c r="F728" i="30"/>
  <c r="F729" i="30"/>
  <c r="F730" i="30"/>
  <c r="F731" i="30"/>
  <c r="F732" i="30"/>
  <c r="F733" i="30"/>
  <c r="F734" i="30"/>
  <c r="F735" i="30"/>
  <c r="F736" i="30"/>
  <c r="F737" i="30"/>
  <c r="F738" i="30"/>
  <c r="F739" i="30"/>
  <c r="F740" i="30"/>
  <c r="F741" i="30"/>
  <c r="F742" i="30"/>
  <c r="F743" i="30"/>
  <c r="F744" i="30"/>
  <c r="F745" i="30"/>
  <c r="F746" i="30"/>
  <c r="F747" i="30"/>
  <c r="F748" i="30"/>
  <c r="F749" i="30"/>
  <c r="F750" i="30"/>
  <c r="F751" i="30"/>
  <c r="F752" i="30"/>
  <c r="F753" i="30"/>
  <c r="F754" i="30"/>
  <c r="F755" i="30"/>
  <c r="F756" i="30"/>
  <c r="F757" i="30"/>
  <c r="F758" i="30"/>
  <c r="F759" i="30"/>
  <c r="F760" i="30"/>
  <c r="F761" i="30"/>
  <c r="F762" i="30"/>
  <c r="F763" i="30"/>
  <c r="F764" i="30"/>
  <c r="F765" i="30"/>
  <c r="F766" i="30"/>
  <c r="F767" i="30"/>
  <c r="F768" i="30"/>
  <c r="F769" i="30"/>
  <c r="F770" i="30"/>
  <c r="F771" i="30"/>
  <c r="F772" i="30"/>
  <c r="F773" i="30"/>
  <c r="F774" i="30"/>
  <c r="F775" i="30"/>
  <c r="F776" i="30"/>
  <c r="F777" i="30"/>
  <c r="F778" i="30"/>
  <c r="F779" i="30"/>
  <c r="F780" i="30"/>
  <c r="F781" i="30"/>
  <c r="F782" i="30"/>
  <c r="F783" i="30"/>
  <c r="F784" i="30"/>
  <c r="F785" i="30"/>
  <c r="F786" i="30"/>
  <c r="F787" i="30"/>
  <c r="F788" i="30"/>
  <c r="F789" i="30"/>
  <c r="F790" i="30"/>
  <c r="F791" i="30"/>
  <c r="F792" i="30"/>
  <c r="F793" i="30"/>
  <c r="F794" i="30"/>
  <c r="F795" i="30"/>
  <c r="F796" i="30"/>
  <c r="F797" i="30"/>
  <c r="F798" i="30"/>
  <c r="F799" i="30"/>
  <c r="F800" i="30"/>
  <c r="F801" i="30"/>
  <c r="F802" i="30"/>
  <c r="F803" i="30"/>
  <c r="F804" i="30"/>
  <c r="F805" i="30"/>
  <c r="F806" i="30"/>
  <c r="F807" i="30"/>
  <c r="F808" i="30"/>
  <c r="F809" i="30"/>
  <c r="F810" i="30"/>
  <c r="F811" i="30"/>
  <c r="F812" i="30"/>
  <c r="F813" i="30"/>
  <c r="F814" i="30"/>
  <c r="F815" i="30"/>
  <c r="F816" i="30"/>
  <c r="F817" i="30"/>
  <c r="F818" i="30"/>
  <c r="F819" i="30"/>
  <c r="F820" i="30"/>
  <c r="F821" i="30"/>
  <c r="F822" i="30"/>
  <c r="F823" i="30"/>
  <c r="F824" i="30"/>
  <c r="F825" i="30"/>
  <c r="F826" i="30"/>
  <c r="F827" i="30"/>
  <c r="F828" i="30"/>
  <c r="F829" i="30"/>
  <c r="F830" i="30"/>
  <c r="F831" i="30"/>
  <c r="F832" i="30"/>
  <c r="F833" i="30"/>
  <c r="F834" i="30"/>
  <c r="F835" i="30"/>
  <c r="F836" i="30"/>
  <c r="F837" i="30"/>
  <c r="F838" i="30"/>
  <c r="F839" i="30"/>
  <c r="F840" i="30"/>
  <c r="F841" i="30"/>
  <c r="F842" i="30"/>
  <c r="F843" i="30"/>
  <c r="F844" i="30"/>
  <c r="F845" i="30"/>
  <c r="F846" i="30"/>
  <c r="F847" i="30"/>
  <c r="F848" i="30"/>
  <c r="F849" i="30"/>
  <c r="F850" i="30"/>
  <c r="F851" i="30"/>
  <c r="F852" i="30"/>
  <c r="F853" i="30"/>
  <c r="F854" i="30"/>
  <c r="F855" i="30"/>
  <c r="F856" i="30"/>
  <c r="F857" i="30"/>
  <c r="F858" i="30"/>
  <c r="F859" i="30"/>
  <c r="F860" i="30"/>
  <c r="F861" i="30"/>
  <c r="F862" i="30"/>
  <c r="F863" i="30"/>
  <c r="F864" i="30"/>
  <c r="F865" i="30"/>
  <c r="F866" i="30"/>
  <c r="F867" i="30"/>
  <c r="F868" i="30"/>
  <c r="F869" i="30"/>
  <c r="F870" i="30"/>
  <c r="F871" i="30"/>
  <c r="F872" i="30"/>
  <c r="F873" i="30"/>
  <c r="F874" i="30"/>
  <c r="F875" i="30"/>
  <c r="F876" i="30"/>
  <c r="F877" i="30"/>
  <c r="F878" i="30"/>
  <c r="F879" i="30"/>
  <c r="F880" i="30"/>
  <c r="F881" i="30"/>
  <c r="F882" i="30"/>
  <c r="F883" i="30"/>
  <c r="F884" i="30"/>
  <c r="F885" i="30"/>
  <c r="F886" i="30"/>
  <c r="F887" i="30"/>
  <c r="F888" i="30"/>
  <c r="F889" i="30"/>
  <c r="F890" i="30"/>
  <c r="F891" i="30"/>
  <c r="F892" i="30"/>
  <c r="F893" i="30"/>
  <c r="F894" i="30"/>
  <c r="F895" i="30"/>
  <c r="F896" i="30"/>
  <c r="F897" i="30"/>
  <c r="F898" i="30"/>
  <c r="F899" i="30"/>
  <c r="F900" i="30"/>
  <c r="F901" i="30"/>
  <c r="F902" i="30"/>
  <c r="F903" i="30"/>
  <c r="F904" i="30"/>
  <c r="F905" i="30"/>
  <c r="F906" i="30"/>
  <c r="F907" i="30"/>
  <c r="F908" i="30"/>
  <c r="F909" i="30"/>
  <c r="F910" i="30"/>
  <c r="F911" i="30"/>
  <c r="F912" i="30"/>
  <c r="F913" i="30"/>
  <c r="F914" i="30"/>
  <c r="F915" i="30"/>
  <c r="F916" i="30"/>
  <c r="F917" i="30"/>
  <c r="F918" i="30"/>
  <c r="F919" i="30"/>
  <c r="F920" i="30"/>
  <c r="F921" i="30"/>
  <c r="F922" i="30"/>
  <c r="F923" i="30"/>
  <c r="F924" i="30"/>
  <c r="F925" i="30"/>
  <c r="F926" i="30"/>
  <c r="F927" i="30"/>
  <c r="F928" i="30"/>
  <c r="F929" i="30"/>
  <c r="F930" i="30"/>
  <c r="F931" i="30"/>
  <c r="F932" i="30"/>
  <c r="F933" i="30"/>
  <c r="F934" i="30"/>
  <c r="F935" i="30"/>
  <c r="F936" i="30"/>
  <c r="F937" i="30"/>
  <c r="F938" i="30"/>
  <c r="F939" i="30"/>
  <c r="F940" i="30"/>
  <c r="F941" i="30"/>
  <c r="F942" i="30"/>
  <c r="F943" i="30"/>
  <c r="F944" i="30"/>
  <c r="F945" i="30"/>
  <c r="F946" i="30"/>
  <c r="F947" i="30"/>
  <c r="F948" i="30"/>
  <c r="F949" i="30"/>
  <c r="F950" i="30"/>
  <c r="F951" i="30"/>
  <c r="F952" i="30"/>
  <c r="F953" i="30"/>
  <c r="F954" i="30"/>
  <c r="F955" i="30"/>
  <c r="F956" i="30"/>
  <c r="F957" i="30"/>
  <c r="F958" i="30"/>
  <c r="F959" i="30"/>
  <c r="F960" i="30"/>
  <c r="F961" i="30"/>
  <c r="F962" i="30"/>
  <c r="F963" i="30"/>
  <c r="F964" i="30"/>
  <c r="F965" i="30"/>
  <c r="F966" i="30"/>
  <c r="F967" i="30"/>
  <c r="F968" i="30"/>
  <c r="F969" i="30"/>
  <c r="F970" i="30"/>
  <c r="F971" i="30"/>
  <c r="F972" i="30"/>
  <c r="F973" i="30"/>
  <c r="F974" i="30"/>
  <c r="F975" i="30"/>
  <c r="F976" i="30"/>
  <c r="F977" i="30"/>
  <c r="F978" i="30"/>
  <c r="F979" i="30"/>
  <c r="F980" i="30"/>
  <c r="F981" i="30"/>
  <c r="F982" i="30"/>
  <c r="F983" i="30"/>
  <c r="F984" i="30"/>
  <c r="F985" i="30"/>
  <c r="F986" i="30"/>
  <c r="F987" i="30"/>
  <c r="F988" i="30"/>
  <c r="F989" i="30"/>
  <c r="F990" i="30"/>
  <c r="F991" i="30"/>
  <c r="F992" i="30"/>
  <c r="F993" i="30"/>
  <c r="F994" i="30"/>
  <c r="F995" i="30"/>
  <c r="F996" i="30"/>
  <c r="F997" i="30"/>
  <c r="F998" i="30"/>
  <c r="F999" i="30"/>
  <c r="F1000" i="30"/>
  <c r="F1001" i="30"/>
  <c r="F1002" i="30"/>
  <c r="F1003" i="30"/>
  <c r="F1004" i="30"/>
  <c r="E10" i="30"/>
  <c r="E11" i="30"/>
  <c r="E12" i="30"/>
  <c r="E13" i="30"/>
  <c r="E14" i="30"/>
  <c r="E15" i="30"/>
  <c r="E16" i="30"/>
  <c r="E17" i="30"/>
  <c r="E18" i="30"/>
  <c r="E19" i="30"/>
  <c r="E20" i="30"/>
  <c r="E21" i="30"/>
  <c r="E22" i="30"/>
  <c r="E23" i="30"/>
  <c r="E24" i="30"/>
  <c r="E25" i="30"/>
  <c r="E26" i="30"/>
  <c r="E27" i="30"/>
  <c r="E28" i="30"/>
  <c r="E29" i="30"/>
  <c r="E30" i="30"/>
  <c r="E31" i="30"/>
  <c r="E32" i="30"/>
  <c r="E33" i="30"/>
  <c r="E34" i="30"/>
  <c r="E35" i="30"/>
  <c r="E36" i="30"/>
  <c r="E37" i="30"/>
  <c r="E38" i="30"/>
  <c r="E39" i="30"/>
  <c r="E40" i="30"/>
  <c r="E41" i="30"/>
  <c r="E42" i="30"/>
  <c r="E43" i="30"/>
  <c r="E44" i="30"/>
  <c r="E45" i="30"/>
  <c r="E46" i="30"/>
  <c r="E47" i="30"/>
  <c r="E48" i="30"/>
  <c r="E49" i="30"/>
  <c r="E50" i="30"/>
  <c r="E51" i="30"/>
  <c r="E52" i="30"/>
  <c r="E53" i="30"/>
  <c r="E54" i="30"/>
  <c r="E55" i="30"/>
  <c r="E56" i="30"/>
  <c r="E57" i="30"/>
  <c r="E58" i="30"/>
  <c r="E59" i="30"/>
  <c r="E60" i="30"/>
  <c r="E61" i="30"/>
  <c r="E62" i="30"/>
  <c r="E63" i="30"/>
  <c r="E64" i="30"/>
  <c r="E65" i="30"/>
  <c r="E66" i="30"/>
  <c r="E67" i="30"/>
  <c r="E68" i="30"/>
  <c r="E69" i="30"/>
  <c r="E70" i="30"/>
  <c r="E71" i="30"/>
  <c r="E72" i="30"/>
  <c r="E73" i="30"/>
  <c r="E74" i="30"/>
  <c r="E75" i="30"/>
  <c r="E76" i="30"/>
  <c r="E77" i="30"/>
  <c r="E78" i="30"/>
  <c r="E79" i="30"/>
  <c r="E80" i="30"/>
  <c r="E81" i="30"/>
  <c r="E82" i="30"/>
  <c r="E83" i="30"/>
  <c r="E84" i="30"/>
  <c r="E85" i="30"/>
  <c r="E86" i="30"/>
  <c r="E87" i="30"/>
  <c r="E88" i="30"/>
  <c r="E89" i="30"/>
  <c r="E90" i="30"/>
  <c r="E91" i="30"/>
  <c r="E92" i="30"/>
  <c r="E93" i="30"/>
  <c r="E94" i="30"/>
  <c r="E95" i="30"/>
  <c r="E96" i="30"/>
  <c r="E97" i="30"/>
  <c r="E98" i="30"/>
  <c r="E99" i="30"/>
  <c r="E100" i="30"/>
  <c r="E101" i="30"/>
  <c r="E102" i="30"/>
  <c r="E103" i="30"/>
  <c r="E104" i="30"/>
  <c r="E105" i="30"/>
  <c r="E106" i="30"/>
  <c r="E107" i="30"/>
  <c r="E108" i="30"/>
  <c r="E109" i="30"/>
  <c r="E110" i="30"/>
  <c r="E111" i="30"/>
  <c r="E112" i="30"/>
  <c r="E113" i="30"/>
  <c r="E114" i="30"/>
  <c r="E115" i="30"/>
  <c r="E116" i="30"/>
  <c r="E117" i="30"/>
  <c r="E118" i="30"/>
  <c r="E119" i="30"/>
  <c r="E120" i="30"/>
  <c r="E121" i="30"/>
  <c r="E122" i="30"/>
  <c r="E123" i="30"/>
  <c r="E124" i="30"/>
  <c r="E125" i="30"/>
  <c r="E126" i="30"/>
  <c r="E127" i="30"/>
  <c r="E128" i="30"/>
  <c r="E129" i="30"/>
  <c r="E130" i="30"/>
  <c r="E131" i="30"/>
  <c r="E132" i="30"/>
  <c r="E133" i="30"/>
  <c r="E134" i="30"/>
  <c r="E135" i="30"/>
  <c r="E136" i="30"/>
  <c r="E137" i="30"/>
  <c r="E138" i="30"/>
  <c r="E139" i="30"/>
  <c r="E140" i="30"/>
  <c r="E141" i="30"/>
  <c r="E142" i="30"/>
  <c r="E143" i="30"/>
  <c r="E144" i="30"/>
  <c r="E145" i="30"/>
  <c r="E146" i="30"/>
  <c r="E147" i="30"/>
  <c r="E148" i="30"/>
  <c r="E149" i="30"/>
  <c r="E150" i="30"/>
  <c r="E151" i="30"/>
  <c r="E152" i="30"/>
  <c r="E153" i="30"/>
  <c r="E154" i="30"/>
  <c r="E155" i="30"/>
  <c r="E156" i="30"/>
  <c r="E157" i="30"/>
  <c r="E158" i="30"/>
  <c r="E159" i="30"/>
  <c r="E160" i="30"/>
  <c r="E161" i="30"/>
  <c r="E162" i="30"/>
  <c r="E163" i="30"/>
  <c r="E164" i="30"/>
  <c r="E165" i="30"/>
  <c r="E166" i="30"/>
  <c r="E167" i="30"/>
  <c r="E168" i="30"/>
  <c r="E169" i="30"/>
  <c r="E170" i="30"/>
  <c r="E171" i="30"/>
  <c r="E172" i="30"/>
  <c r="E173" i="30"/>
  <c r="E174" i="30"/>
  <c r="E175" i="30"/>
  <c r="E176" i="30"/>
  <c r="E177" i="30"/>
  <c r="E178" i="30"/>
  <c r="E179" i="30"/>
  <c r="E180" i="30"/>
  <c r="E181" i="30"/>
  <c r="E182" i="30"/>
  <c r="E183" i="30"/>
  <c r="E184" i="30"/>
  <c r="E185" i="30"/>
  <c r="E186" i="30"/>
  <c r="E187" i="30"/>
  <c r="E188" i="30"/>
  <c r="E189" i="30"/>
  <c r="E190" i="30"/>
  <c r="E191" i="30"/>
  <c r="E192" i="30"/>
  <c r="E193" i="30"/>
  <c r="E194" i="30"/>
  <c r="E195" i="30"/>
  <c r="E196" i="30"/>
  <c r="E197" i="30"/>
  <c r="E198" i="30"/>
  <c r="E199" i="30"/>
  <c r="E200" i="30"/>
  <c r="E201" i="30"/>
  <c r="E202" i="30"/>
  <c r="E203" i="30"/>
  <c r="E204" i="30"/>
  <c r="E205" i="30"/>
  <c r="E206" i="30"/>
  <c r="E207" i="30"/>
  <c r="E208" i="30"/>
  <c r="E209" i="30"/>
  <c r="E210" i="30"/>
  <c r="E211" i="30"/>
  <c r="E212" i="30"/>
  <c r="E213" i="30"/>
  <c r="E214" i="30"/>
  <c r="E215" i="30"/>
  <c r="E216" i="30"/>
  <c r="E217" i="30"/>
  <c r="E218" i="30"/>
  <c r="E219" i="30"/>
  <c r="E220" i="30"/>
  <c r="E221" i="30"/>
  <c r="E222" i="30"/>
  <c r="E223" i="30"/>
  <c r="E224" i="30"/>
  <c r="E225" i="30"/>
  <c r="E226" i="30"/>
  <c r="E227" i="30"/>
  <c r="E228" i="30"/>
  <c r="E229" i="30"/>
  <c r="E230" i="30"/>
  <c r="E231" i="30"/>
  <c r="E232" i="30"/>
  <c r="E233" i="30"/>
  <c r="E234" i="30"/>
  <c r="E235" i="30"/>
  <c r="E236" i="30"/>
  <c r="E237" i="30"/>
  <c r="E238" i="30"/>
  <c r="E239" i="30"/>
  <c r="E240" i="30"/>
  <c r="E241" i="30"/>
  <c r="E242" i="30"/>
  <c r="E243" i="30"/>
  <c r="E244" i="30"/>
  <c r="E245" i="30"/>
  <c r="E246" i="30"/>
  <c r="E247" i="30"/>
  <c r="E248" i="30"/>
  <c r="E249" i="30"/>
  <c r="E250" i="30"/>
  <c r="E251" i="30"/>
  <c r="E252" i="30"/>
  <c r="E253" i="30"/>
  <c r="E254" i="30"/>
  <c r="E255" i="30"/>
  <c r="E256" i="30"/>
  <c r="E257" i="30"/>
  <c r="E258" i="30"/>
  <c r="E259" i="30"/>
  <c r="E260" i="30"/>
  <c r="E261" i="30"/>
  <c r="E262" i="30"/>
  <c r="E263" i="30"/>
  <c r="E264" i="30"/>
  <c r="E265" i="30"/>
  <c r="E266" i="30"/>
  <c r="E267" i="30"/>
  <c r="E268" i="30"/>
  <c r="E269" i="30"/>
  <c r="E270" i="30"/>
  <c r="E271" i="30"/>
  <c r="E272" i="30"/>
  <c r="E273" i="30"/>
  <c r="E274" i="30"/>
  <c r="E275" i="30"/>
  <c r="E276" i="30"/>
  <c r="E277" i="30"/>
  <c r="E278" i="30"/>
  <c r="E279" i="30"/>
  <c r="E280" i="30"/>
  <c r="E281" i="30"/>
  <c r="E282" i="30"/>
  <c r="E283" i="30"/>
  <c r="E284" i="30"/>
  <c r="E285" i="30"/>
  <c r="E286" i="30"/>
  <c r="E287" i="30"/>
  <c r="E288" i="30"/>
  <c r="E289" i="30"/>
  <c r="E290" i="30"/>
  <c r="E291" i="30"/>
  <c r="E292" i="30"/>
  <c r="E293" i="30"/>
  <c r="E294" i="30"/>
  <c r="E295" i="30"/>
  <c r="E296" i="30"/>
  <c r="E297" i="30"/>
  <c r="E298" i="30"/>
  <c r="E299" i="30"/>
  <c r="E300" i="30"/>
  <c r="E301" i="30"/>
  <c r="E302" i="30"/>
  <c r="E303" i="30"/>
  <c r="E304" i="30"/>
  <c r="E305" i="30"/>
  <c r="E306" i="30"/>
  <c r="E307" i="30"/>
  <c r="E308" i="30"/>
  <c r="E309" i="30"/>
  <c r="E310" i="30"/>
  <c r="E311" i="30"/>
  <c r="E312" i="30"/>
  <c r="E313" i="30"/>
  <c r="E314" i="30"/>
  <c r="E315" i="30"/>
  <c r="E316" i="30"/>
  <c r="E317" i="30"/>
  <c r="E318" i="30"/>
  <c r="E319" i="30"/>
  <c r="E320" i="30"/>
  <c r="E321" i="30"/>
  <c r="E322" i="30"/>
  <c r="E323" i="30"/>
  <c r="E324" i="30"/>
  <c r="E325" i="30"/>
  <c r="E326" i="30"/>
  <c r="E327" i="30"/>
  <c r="E328" i="30"/>
  <c r="E329" i="30"/>
  <c r="E330" i="30"/>
  <c r="E331" i="30"/>
  <c r="E332" i="30"/>
  <c r="E333" i="30"/>
  <c r="E334" i="30"/>
  <c r="E335" i="30"/>
  <c r="E336" i="30"/>
  <c r="E337" i="30"/>
  <c r="E338" i="30"/>
  <c r="E339" i="30"/>
  <c r="E340" i="30"/>
  <c r="E341" i="30"/>
  <c r="E342" i="30"/>
  <c r="E343" i="30"/>
  <c r="E344" i="30"/>
  <c r="E345" i="30"/>
  <c r="E346" i="30"/>
  <c r="E347" i="30"/>
  <c r="E348" i="30"/>
  <c r="E349" i="30"/>
  <c r="E350" i="30"/>
  <c r="E351" i="30"/>
  <c r="E352" i="30"/>
  <c r="E353" i="30"/>
  <c r="E354" i="30"/>
  <c r="E355" i="30"/>
  <c r="E356" i="30"/>
  <c r="E357" i="30"/>
  <c r="E358" i="30"/>
  <c r="E359" i="30"/>
  <c r="E360" i="30"/>
  <c r="E361" i="30"/>
  <c r="E362" i="30"/>
  <c r="E363" i="30"/>
  <c r="E364" i="30"/>
  <c r="E365" i="30"/>
  <c r="E366" i="30"/>
  <c r="E367" i="30"/>
  <c r="E368" i="30"/>
  <c r="E369" i="30"/>
  <c r="E370" i="30"/>
  <c r="E371" i="30"/>
  <c r="E372" i="30"/>
  <c r="E373" i="30"/>
  <c r="E374" i="30"/>
  <c r="E375" i="30"/>
  <c r="E376" i="30"/>
  <c r="E377" i="30"/>
  <c r="E378" i="30"/>
  <c r="E379" i="30"/>
  <c r="E380" i="30"/>
  <c r="E381" i="30"/>
  <c r="E382" i="30"/>
  <c r="E383" i="30"/>
  <c r="E384" i="30"/>
  <c r="E385" i="30"/>
  <c r="E386" i="30"/>
  <c r="E387" i="30"/>
  <c r="E388" i="30"/>
  <c r="E389" i="30"/>
  <c r="E390" i="30"/>
  <c r="E391" i="30"/>
  <c r="E392" i="30"/>
  <c r="E393" i="30"/>
  <c r="E394" i="30"/>
  <c r="E395" i="30"/>
  <c r="E396" i="30"/>
  <c r="E397" i="30"/>
  <c r="E398" i="30"/>
  <c r="E399" i="30"/>
  <c r="E400" i="30"/>
  <c r="E401" i="30"/>
  <c r="E402" i="30"/>
  <c r="E403" i="30"/>
  <c r="E404" i="30"/>
  <c r="E405" i="30"/>
  <c r="E406" i="30"/>
  <c r="E407" i="30"/>
  <c r="E408" i="30"/>
  <c r="E409" i="30"/>
  <c r="E410" i="30"/>
  <c r="E411" i="30"/>
  <c r="E412" i="30"/>
  <c r="E413" i="30"/>
  <c r="E414" i="30"/>
  <c r="E415" i="30"/>
  <c r="E416" i="30"/>
  <c r="E417" i="30"/>
  <c r="E418" i="30"/>
  <c r="E419" i="30"/>
  <c r="E420" i="30"/>
  <c r="E421" i="30"/>
  <c r="E422" i="30"/>
  <c r="E423" i="30"/>
  <c r="E424" i="30"/>
  <c r="E425" i="30"/>
  <c r="E426" i="30"/>
  <c r="E427" i="30"/>
  <c r="E428" i="30"/>
  <c r="E429" i="30"/>
  <c r="E430" i="30"/>
  <c r="E431" i="30"/>
  <c r="E432" i="30"/>
  <c r="E433" i="30"/>
  <c r="E434" i="30"/>
  <c r="E435" i="30"/>
  <c r="E436" i="30"/>
  <c r="E437" i="30"/>
  <c r="E438" i="30"/>
  <c r="E439" i="30"/>
  <c r="E440" i="30"/>
  <c r="E441" i="30"/>
  <c r="E442" i="30"/>
  <c r="E443" i="30"/>
  <c r="E444" i="30"/>
  <c r="E445" i="30"/>
  <c r="E446" i="30"/>
  <c r="E447" i="30"/>
  <c r="E448" i="30"/>
  <c r="E449" i="30"/>
  <c r="E450" i="30"/>
  <c r="E451" i="30"/>
  <c r="E452" i="30"/>
  <c r="E453" i="30"/>
  <c r="E454" i="30"/>
  <c r="E455" i="30"/>
  <c r="E456" i="30"/>
  <c r="E457" i="30"/>
  <c r="E458" i="30"/>
  <c r="E459" i="30"/>
  <c r="E460" i="30"/>
  <c r="E461" i="30"/>
  <c r="E462" i="30"/>
  <c r="E463" i="30"/>
  <c r="E464" i="30"/>
  <c r="E465" i="30"/>
  <c r="E466" i="30"/>
  <c r="E467" i="30"/>
  <c r="E468" i="30"/>
  <c r="E469" i="30"/>
  <c r="E470" i="30"/>
  <c r="E471" i="30"/>
  <c r="E472" i="30"/>
  <c r="E473" i="30"/>
  <c r="E474" i="30"/>
  <c r="E475" i="30"/>
  <c r="E476" i="30"/>
  <c r="E477" i="30"/>
  <c r="E478" i="30"/>
  <c r="E479" i="30"/>
  <c r="E480" i="30"/>
  <c r="E481" i="30"/>
  <c r="E482" i="30"/>
  <c r="E483" i="30"/>
  <c r="E484" i="30"/>
  <c r="E485" i="30"/>
  <c r="E486" i="30"/>
  <c r="E487" i="30"/>
  <c r="E488" i="30"/>
  <c r="E489" i="30"/>
  <c r="E490" i="30"/>
  <c r="E491" i="30"/>
  <c r="E492" i="30"/>
  <c r="E493" i="30"/>
  <c r="E494" i="30"/>
  <c r="E495" i="30"/>
  <c r="E496" i="30"/>
  <c r="E497" i="30"/>
  <c r="E498" i="30"/>
  <c r="E499" i="30"/>
  <c r="E500" i="30"/>
  <c r="E501" i="30"/>
  <c r="E502" i="30"/>
  <c r="E503" i="30"/>
  <c r="E504" i="30"/>
  <c r="E505" i="30"/>
  <c r="E506" i="30"/>
  <c r="E507" i="30"/>
  <c r="E508" i="30"/>
  <c r="E509" i="30"/>
  <c r="E510" i="30"/>
  <c r="E511" i="30"/>
  <c r="E512" i="30"/>
  <c r="E513" i="30"/>
  <c r="E514" i="30"/>
  <c r="E515" i="30"/>
  <c r="E516" i="30"/>
  <c r="E517" i="30"/>
  <c r="E518" i="30"/>
  <c r="E519" i="30"/>
  <c r="E520" i="30"/>
  <c r="E521" i="30"/>
  <c r="E522" i="30"/>
  <c r="E523" i="30"/>
  <c r="E524" i="30"/>
  <c r="E525" i="30"/>
  <c r="E526" i="30"/>
  <c r="E527" i="30"/>
  <c r="E528" i="30"/>
  <c r="E529" i="30"/>
  <c r="E530" i="30"/>
  <c r="E531" i="30"/>
  <c r="E532" i="30"/>
  <c r="E533" i="30"/>
  <c r="E534" i="30"/>
  <c r="E535" i="30"/>
  <c r="E536" i="30"/>
  <c r="E537" i="30"/>
  <c r="E538" i="30"/>
  <c r="E539" i="30"/>
  <c r="E540" i="30"/>
  <c r="E541" i="30"/>
  <c r="E542" i="30"/>
  <c r="E543" i="30"/>
  <c r="E544" i="30"/>
  <c r="E545" i="30"/>
  <c r="E546" i="30"/>
  <c r="E547" i="30"/>
  <c r="E548" i="30"/>
  <c r="E549" i="30"/>
  <c r="E550" i="30"/>
  <c r="E551" i="30"/>
  <c r="E552" i="30"/>
  <c r="E553" i="30"/>
  <c r="E554" i="30"/>
  <c r="E555" i="30"/>
  <c r="E556" i="30"/>
  <c r="E557" i="30"/>
  <c r="E558" i="30"/>
  <c r="E559" i="30"/>
  <c r="E560" i="30"/>
  <c r="E561" i="30"/>
  <c r="E562" i="30"/>
  <c r="E563" i="30"/>
  <c r="E564" i="30"/>
  <c r="E565" i="30"/>
  <c r="E566" i="30"/>
  <c r="E567" i="30"/>
  <c r="E568" i="30"/>
  <c r="E569" i="30"/>
  <c r="E570" i="30"/>
  <c r="E571" i="30"/>
  <c r="E572" i="30"/>
  <c r="E573" i="30"/>
  <c r="E574" i="30"/>
  <c r="E575" i="30"/>
  <c r="E576" i="30"/>
  <c r="E577" i="30"/>
  <c r="E578" i="30"/>
  <c r="E579" i="30"/>
  <c r="E580" i="30"/>
  <c r="E581" i="30"/>
  <c r="E582" i="30"/>
  <c r="E583" i="30"/>
  <c r="E584" i="30"/>
  <c r="E585" i="30"/>
  <c r="E586" i="30"/>
  <c r="E587" i="30"/>
  <c r="E588" i="30"/>
  <c r="E589" i="30"/>
  <c r="E590" i="30"/>
  <c r="E591" i="30"/>
  <c r="E592" i="30"/>
  <c r="E593" i="30"/>
  <c r="E594" i="30"/>
  <c r="E595" i="30"/>
  <c r="E596" i="30"/>
  <c r="E597" i="30"/>
  <c r="E598" i="30"/>
  <c r="E599" i="30"/>
  <c r="E600" i="30"/>
  <c r="E601" i="30"/>
  <c r="E602" i="30"/>
  <c r="E603" i="30"/>
  <c r="E604" i="30"/>
  <c r="E605" i="30"/>
  <c r="E606" i="30"/>
  <c r="E607" i="30"/>
  <c r="E608" i="30"/>
  <c r="E609" i="30"/>
  <c r="E610" i="30"/>
  <c r="E611" i="30"/>
  <c r="E612" i="30"/>
  <c r="E613" i="30"/>
  <c r="E614" i="30"/>
  <c r="E615" i="30"/>
  <c r="E616" i="30"/>
  <c r="E617" i="30"/>
  <c r="E618" i="30"/>
  <c r="E619" i="30"/>
  <c r="E620" i="30"/>
  <c r="E621" i="30"/>
  <c r="E622" i="30"/>
  <c r="E623" i="30"/>
  <c r="E624" i="30"/>
  <c r="E625" i="30"/>
  <c r="E626" i="30"/>
  <c r="E627" i="30"/>
  <c r="E628" i="30"/>
  <c r="E629" i="30"/>
  <c r="E630" i="30"/>
  <c r="E631" i="30"/>
  <c r="E632" i="30"/>
  <c r="E633" i="30"/>
  <c r="E634" i="30"/>
  <c r="E635" i="30"/>
  <c r="E636" i="30"/>
  <c r="E637" i="30"/>
  <c r="E638" i="30"/>
  <c r="E639" i="30"/>
  <c r="E640" i="30"/>
  <c r="E641" i="30"/>
  <c r="E642" i="30"/>
  <c r="E643" i="30"/>
  <c r="E644" i="30"/>
  <c r="E645" i="30"/>
  <c r="E646" i="30"/>
  <c r="E647" i="30"/>
  <c r="E648" i="30"/>
  <c r="E649" i="30"/>
  <c r="E650" i="30"/>
  <c r="E651" i="30"/>
  <c r="E652" i="30"/>
  <c r="E653" i="30"/>
  <c r="E654" i="30"/>
  <c r="E655" i="30"/>
  <c r="E656" i="30"/>
  <c r="E657" i="30"/>
  <c r="E658" i="30"/>
  <c r="E659" i="30"/>
  <c r="E660" i="30"/>
  <c r="E661" i="30"/>
  <c r="E662" i="30"/>
  <c r="E663" i="30"/>
  <c r="E664" i="30"/>
  <c r="E665" i="30"/>
  <c r="E666" i="30"/>
  <c r="E667" i="30"/>
  <c r="E668" i="30"/>
  <c r="E669" i="30"/>
  <c r="E670" i="30"/>
  <c r="E671" i="30"/>
  <c r="E672" i="30"/>
  <c r="E673" i="30"/>
  <c r="E674" i="30"/>
  <c r="E675" i="30"/>
  <c r="E676" i="30"/>
  <c r="E677" i="30"/>
  <c r="E678" i="30"/>
  <c r="E679" i="30"/>
  <c r="E680" i="30"/>
  <c r="E681" i="30"/>
  <c r="E682" i="30"/>
  <c r="E683" i="30"/>
  <c r="E684" i="30"/>
  <c r="E685" i="30"/>
  <c r="E686" i="30"/>
  <c r="E687" i="30"/>
  <c r="E688" i="30"/>
  <c r="E689" i="30"/>
  <c r="E690" i="30"/>
  <c r="E691" i="30"/>
  <c r="E692" i="30"/>
  <c r="E693" i="30"/>
  <c r="E694" i="30"/>
  <c r="E695" i="30"/>
  <c r="E696" i="30"/>
  <c r="E697" i="30"/>
  <c r="E698" i="30"/>
  <c r="E699" i="30"/>
  <c r="E700" i="30"/>
  <c r="E701" i="30"/>
  <c r="E702" i="30"/>
  <c r="E703" i="30"/>
  <c r="E704" i="30"/>
  <c r="E705" i="30"/>
  <c r="E706" i="30"/>
  <c r="E707" i="30"/>
  <c r="E708" i="30"/>
  <c r="E709" i="30"/>
  <c r="E710" i="30"/>
  <c r="E711" i="30"/>
  <c r="E712" i="30"/>
  <c r="E713" i="30"/>
  <c r="E714" i="30"/>
  <c r="E715" i="30"/>
  <c r="E716" i="30"/>
  <c r="E717" i="30"/>
  <c r="E718" i="30"/>
  <c r="E719" i="30"/>
  <c r="E720" i="30"/>
  <c r="E721" i="30"/>
  <c r="E722" i="30"/>
  <c r="E723" i="30"/>
  <c r="E724" i="30"/>
  <c r="E725" i="30"/>
  <c r="E726" i="30"/>
  <c r="E727" i="30"/>
  <c r="E728" i="30"/>
  <c r="E729" i="30"/>
  <c r="E730" i="30"/>
  <c r="E731" i="30"/>
  <c r="E732" i="30"/>
  <c r="E733" i="30"/>
  <c r="E734" i="30"/>
  <c r="E735" i="30"/>
  <c r="E736" i="30"/>
  <c r="E737" i="30"/>
  <c r="E738" i="30"/>
  <c r="E739" i="30"/>
  <c r="E740" i="30"/>
  <c r="E741" i="30"/>
  <c r="E742" i="30"/>
  <c r="E743" i="30"/>
  <c r="E744" i="30"/>
  <c r="E745" i="30"/>
  <c r="E746" i="30"/>
  <c r="E747" i="30"/>
  <c r="E748" i="30"/>
  <c r="E749" i="30"/>
  <c r="E750" i="30"/>
  <c r="E751" i="30"/>
  <c r="E752" i="30"/>
  <c r="E753" i="30"/>
  <c r="E754" i="30"/>
  <c r="E755" i="30"/>
  <c r="E756" i="30"/>
  <c r="E757" i="30"/>
  <c r="E758" i="30"/>
  <c r="E759" i="30"/>
  <c r="E760" i="30"/>
  <c r="E761" i="30"/>
  <c r="E762" i="30"/>
  <c r="E763" i="30"/>
  <c r="E764" i="30"/>
  <c r="E765" i="30"/>
  <c r="E766" i="30"/>
  <c r="E767" i="30"/>
  <c r="E768" i="30"/>
  <c r="E769" i="30"/>
  <c r="E770" i="30"/>
  <c r="E771" i="30"/>
  <c r="E772" i="30"/>
  <c r="E773" i="30"/>
  <c r="E774" i="30"/>
  <c r="E775" i="30"/>
  <c r="E776" i="30"/>
  <c r="E777" i="30"/>
  <c r="E778" i="30"/>
  <c r="E779" i="30"/>
  <c r="E780" i="30"/>
  <c r="E781" i="30"/>
  <c r="E782" i="30"/>
  <c r="E783" i="30"/>
  <c r="E784" i="30"/>
  <c r="E785" i="30"/>
  <c r="E786" i="30"/>
  <c r="E787" i="30"/>
  <c r="E788" i="30"/>
  <c r="E789" i="30"/>
  <c r="E790" i="30"/>
  <c r="E791" i="30"/>
  <c r="E792" i="30"/>
  <c r="E793" i="30"/>
  <c r="E794" i="30"/>
  <c r="E795" i="30"/>
  <c r="E796" i="30"/>
  <c r="E797" i="30"/>
  <c r="E798" i="30"/>
  <c r="E799" i="30"/>
  <c r="E800" i="30"/>
  <c r="E801" i="30"/>
  <c r="E802" i="30"/>
  <c r="E803" i="30"/>
  <c r="E804" i="30"/>
  <c r="E805" i="30"/>
  <c r="E806" i="30"/>
  <c r="E807" i="30"/>
  <c r="E808" i="30"/>
  <c r="E809" i="30"/>
  <c r="E810" i="30"/>
  <c r="E811" i="30"/>
  <c r="E812" i="30"/>
  <c r="E813" i="30"/>
  <c r="E814" i="30"/>
  <c r="E815" i="30"/>
  <c r="E816" i="30"/>
  <c r="E817" i="30"/>
  <c r="E818" i="30"/>
  <c r="E819" i="30"/>
  <c r="E820" i="30"/>
  <c r="E821" i="30"/>
  <c r="E822" i="30"/>
  <c r="E823" i="30"/>
  <c r="E824" i="30"/>
  <c r="E825" i="30"/>
  <c r="E826" i="30"/>
  <c r="E827" i="30"/>
  <c r="E828" i="30"/>
  <c r="E829" i="30"/>
  <c r="E830" i="30"/>
  <c r="E831" i="30"/>
  <c r="E832" i="30"/>
  <c r="E833" i="30"/>
  <c r="E834" i="30"/>
  <c r="E835" i="30"/>
  <c r="E836" i="30"/>
  <c r="E837" i="30"/>
  <c r="E838" i="30"/>
  <c r="E839" i="30"/>
  <c r="E840" i="30"/>
  <c r="E841" i="30"/>
  <c r="E842" i="30"/>
  <c r="E843" i="30"/>
  <c r="E844" i="30"/>
  <c r="E845" i="30"/>
  <c r="E846" i="30"/>
  <c r="E847" i="30"/>
  <c r="E848" i="30"/>
  <c r="E849" i="30"/>
  <c r="E850" i="30"/>
  <c r="E851" i="30"/>
  <c r="E852" i="30"/>
  <c r="E853" i="30"/>
  <c r="E854" i="30"/>
  <c r="E855" i="30"/>
  <c r="E856" i="30"/>
  <c r="E857" i="30"/>
  <c r="E858" i="30"/>
  <c r="E859" i="30"/>
  <c r="E860" i="30"/>
  <c r="E861" i="30"/>
  <c r="E862" i="30"/>
  <c r="E863" i="30"/>
  <c r="E864" i="30"/>
  <c r="E865" i="30"/>
  <c r="E866" i="30"/>
  <c r="E867" i="30"/>
  <c r="E868" i="30"/>
  <c r="E869" i="30"/>
  <c r="E870" i="30"/>
  <c r="E871" i="30"/>
  <c r="E872" i="30"/>
  <c r="E873" i="30"/>
  <c r="E874" i="30"/>
  <c r="E875" i="30"/>
  <c r="E876" i="30"/>
  <c r="E877" i="30"/>
  <c r="E878" i="30"/>
  <c r="E879" i="30"/>
  <c r="E880" i="30"/>
  <c r="E881" i="30"/>
  <c r="E882" i="30"/>
  <c r="E883" i="30"/>
  <c r="E884" i="30"/>
  <c r="E885" i="30"/>
  <c r="E886" i="30"/>
  <c r="E887" i="30"/>
  <c r="E888" i="30"/>
  <c r="E889" i="30"/>
  <c r="E890" i="30"/>
  <c r="E891" i="30"/>
  <c r="E892" i="30"/>
  <c r="E893" i="30"/>
  <c r="E894" i="30"/>
  <c r="E895" i="30"/>
  <c r="E896" i="30"/>
  <c r="E897" i="30"/>
  <c r="E898" i="30"/>
  <c r="E899" i="30"/>
  <c r="E900" i="30"/>
  <c r="E901" i="30"/>
  <c r="E902" i="30"/>
  <c r="E903" i="30"/>
  <c r="E904" i="30"/>
  <c r="E905" i="30"/>
  <c r="E906" i="30"/>
  <c r="E907" i="30"/>
  <c r="E908" i="30"/>
  <c r="E909" i="30"/>
  <c r="E910" i="30"/>
  <c r="E911" i="30"/>
  <c r="E912" i="30"/>
  <c r="E913" i="30"/>
  <c r="E914" i="30"/>
  <c r="E915" i="30"/>
  <c r="E916" i="30"/>
  <c r="E917" i="30"/>
  <c r="E918" i="30"/>
  <c r="E919" i="30"/>
  <c r="E920" i="30"/>
  <c r="E921" i="30"/>
  <c r="E922" i="30"/>
  <c r="E923" i="30"/>
  <c r="E924" i="30"/>
  <c r="E925" i="30"/>
  <c r="E926" i="30"/>
  <c r="E927" i="30"/>
  <c r="E928" i="30"/>
  <c r="E929" i="30"/>
  <c r="E930" i="30"/>
  <c r="E931" i="30"/>
  <c r="E932" i="30"/>
  <c r="E933" i="30"/>
  <c r="E934" i="30"/>
  <c r="E935" i="30"/>
  <c r="E936" i="30"/>
  <c r="E937" i="30"/>
  <c r="E938" i="30"/>
  <c r="E939" i="30"/>
  <c r="E940" i="30"/>
  <c r="E941" i="30"/>
  <c r="E942" i="30"/>
  <c r="E943" i="30"/>
  <c r="E944" i="30"/>
  <c r="E945" i="30"/>
  <c r="E946" i="30"/>
  <c r="E947" i="30"/>
  <c r="E948" i="30"/>
  <c r="E949" i="30"/>
  <c r="E950" i="30"/>
  <c r="E951" i="30"/>
  <c r="E952" i="30"/>
  <c r="E953" i="30"/>
  <c r="E954" i="30"/>
  <c r="E955" i="30"/>
  <c r="E956" i="30"/>
  <c r="E957" i="30"/>
  <c r="E958" i="30"/>
  <c r="E959" i="30"/>
  <c r="E960" i="30"/>
  <c r="E961" i="30"/>
  <c r="E962" i="30"/>
  <c r="E963" i="30"/>
  <c r="E964" i="30"/>
  <c r="E965" i="30"/>
  <c r="E966" i="30"/>
  <c r="E967" i="30"/>
  <c r="E968" i="30"/>
  <c r="E969" i="30"/>
  <c r="E970" i="30"/>
  <c r="E971" i="30"/>
  <c r="E972" i="30"/>
  <c r="E973" i="30"/>
  <c r="E974" i="30"/>
  <c r="E975" i="30"/>
  <c r="E976" i="30"/>
  <c r="E977" i="30"/>
  <c r="E978" i="30"/>
  <c r="E979" i="30"/>
  <c r="E980" i="30"/>
  <c r="E981" i="30"/>
  <c r="E982" i="30"/>
  <c r="E983" i="30"/>
  <c r="E984" i="30"/>
  <c r="E985" i="30"/>
  <c r="E986" i="30"/>
  <c r="E987" i="30"/>
  <c r="E988" i="30"/>
  <c r="E989" i="30"/>
  <c r="E990" i="30"/>
  <c r="E991" i="30"/>
  <c r="E992" i="30"/>
  <c r="E993" i="30"/>
  <c r="E994" i="30"/>
  <c r="E995" i="30"/>
  <c r="E996" i="30"/>
  <c r="E997" i="30"/>
  <c r="E998" i="30"/>
  <c r="E999" i="30"/>
  <c r="E1000" i="30"/>
  <c r="E1001" i="30"/>
  <c r="E1002" i="30"/>
  <c r="E1003" i="30"/>
  <c r="E1004" i="30"/>
  <c r="B10" i="30"/>
  <c r="B11" i="30"/>
  <c r="B12" i="30"/>
  <c r="B13" i="30"/>
  <c r="B14" i="30"/>
  <c r="B15" i="30"/>
  <c r="B16" i="30"/>
  <c r="B17" i="30"/>
  <c r="B18" i="30"/>
  <c r="B19" i="30"/>
  <c r="B20" i="30"/>
  <c r="B21" i="30"/>
  <c r="B22" i="30"/>
  <c r="B23" i="30"/>
  <c r="B24" i="30"/>
  <c r="B25" i="30"/>
  <c r="B26" i="30"/>
  <c r="B27" i="30"/>
  <c r="B28" i="30"/>
  <c r="B29" i="30"/>
  <c r="B30" i="30"/>
  <c r="B31" i="30"/>
  <c r="B32" i="30"/>
  <c r="B33" i="30"/>
  <c r="B34" i="30"/>
  <c r="B35" i="30"/>
  <c r="B36" i="30"/>
  <c r="B37" i="30"/>
  <c r="B38" i="30"/>
  <c r="B39" i="30"/>
  <c r="B40" i="30"/>
  <c r="B41" i="30"/>
  <c r="B42" i="30"/>
  <c r="B43" i="30"/>
  <c r="B44" i="30"/>
  <c r="B45" i="30"/>
  <c r="B46" i="30"/>
  <c r="B47" i="30"/>
  <c r="B48" i="30"/>
  <c r="B49" i="30"/>
  <c r="B50" i="30"/>
  <c r="B51" i="30"/>
  <c r="B52" i="30"/>
  <c r="B53" i="30"/>
  <c r="B54" i="30"/>
  <c r="B55" i="30"/>
  <c r="B56" i="30"/>
  <c r="B57" i="30"/>
  <c r="B58" i="30"/>
  <c r="B59" i="30"/>
  <c r="B60" i="30"/>
  <c r="B61" i="30"/>
  <c r="B62" i="30"/>
  <c r="B63" i="30"/>
  <c r="B64" i="30"/>
  <c r="B65" i="30"/>
  <c r="B66" i="30"/>
  <c r="B67" i="30"/>
  <c r="B68" i="30"/>
  <c r="B69" i="30"/>
  <c r="B70" i="30"/>
  <c r="B71" i="30"/>
  <c r="B72" i="30"/>
  <c r="B73" i="30"/>
  <c r="B74" i="30"/>
  <c r="B75" i="30"/>
  <c r="B76" i="30"/>
  <c r="B77" i="30"/>
  <c r="B78" i="30"/>
  <c r="B79" i="30"/>
  <c r="B80" i="30"/>
  <c r="B81" i="30"/>
  <c r="B82" i="30"/>
  <c r="B83" i="30"/>
  <c r="B84" i="30"/>
  <c r="B85" i="30"/>
  <c r="B86" i="30"/>
  <c r="B87" i="30"/>
  <c r="B88" i="30"/>
  <c r="B89" i="30"/>
  <c r="B90" i="30"/>
  <c r="B91" i="30"/>
  <c r="B92" i="30"/>
  <c r="B93" i="30"/>
  <c r="B94" i="30"/>
  <c r="B95" i="30"/>
  <c r="B96" i="30"/>
  <c r="B97" i="30"/>
  <c r="B98" i="30"/>
  <c r="B99" i="30"/>
  <c r="B100" i="30"/>
  <c r="B101" i="30"/>
  <c r="B102" i="30"/>
  <c r="B103" i="30"/>
  <c r="B104" i="30"/>
  <c r="B105" i="30"/>
  <c r="B106" i="30"/>
  <c r="B107" i="30"/>
  <c r="B108" i="30"/>
  <c r="B109" i="30"/>
  <c r="B110" i="30"/>
  <c r="B111" i="30"/>
  <c r="B112" i="30"/>
  <c r="B113" i="30"/>
  <c r="B114" i="30"/>
  <c r="B115" i="30"/>
  <c r="B116" i="30"/>
  <c r="B117" i="30"/>
  <c r="B118" i="30"/>
  <c r="B119" i="30"/>
  <c r="B120" i="30"/>
  <c r="B121" i="30"/>
  <c r="B122" i="30"/>
  <c r="B123" i="30"/>
  <c r="B124" i="30"/>
  <c r="B125" i="30"/>
  <c r="B126" i="30"/>
  <c r="B127" i="30"/>
  <c r="B128" i="30"/>
  <c r="B129" i="30"/>
  <c r="B130" i="30"/>
  <c r="B131" i="30"/>
  <c r="B132" i="30"/>
  <c r="B133" i="30"/>
  <c r="B134" i="30"/>
  <c r="B135" i="30"/>
  <c r="B136" i="30"/>
  <c r="B137" i="30"/>
  <c r="B138" i="30"/>
  <c r="B139" i="30"/>
  <c r="B140" i="30"/>
  <c r="B141" i="30"/>
  <c r="B142" i="30"/>
  <c r="B143" i="30"/>
  <c r="B144" i="30"/>
  <c r="B145" i="30"/>
  <c r="B146" i="30"/>
  <c r="B147" i="30"/>
  <c r="B148" i="30"/>
  <c r="B149" i="30"/>
  <c r="B150" i="30"/>
  <c r="B151" i="30"/>
  <c r="B152" i="30"/>
  <c r="B153" i="30"/>
  <c r="B154" i="30"/>
  <c r="B155" i="30"/>
  <c r="B156" i="30"/>
  <c r="B157" i="30"/>
  <c r="B158" i="30"/>
  <c r="B159" i="30"/>
  <c r="B160" i="30"/>
  <c r="B161" i="30"/>
  <c r="B162" i="30"/>
  <c r="B163" i="30"/>
  <c r="B164" i="30"/>
  <c r="B165" i="30"/>
  <c r="B166" i="30"/>
  <c r="B167" i="30"/>
  <c r="B168" i="30"/>
  <c r="B169" i="30"/>
  <c r="B170" i="30"/>
  <c r="B171" i="30"/>
  <c r="B172" i="30"/>
  <c r="B173" i="30"/>
  <c r="B174" i="30"/>
  <c r="B175" i="30"/>
  <c r="B176" i="30"/>
  <c r="B177" i="30"/>
  <c r="B178" i="30"/>
  <c r="B179" i="30"/>
  <c r="B180" i="30"/>
  <c r="B181" i="30"/>
  <c r="B182" i="30"/>
  <c r="B183" i="30"/>
  <c r="B184" i="30"/>
  <c r="B185" i="30"/>
  <c r="B186" i="30"/>
  <c r="B187" i="30"/>
  <c r="B188" i="30"/>
  <c r="B189" i="30"/>
  <c r="B190" i="30"/>
  <c r="B191" i="30"/>
  <c r="B192" i="30"/>
  <c r="B193" i="30"/>
  <c r="B194" i="30"/>
  <c r="B195" i="30"/>
  <c r="B196" i="30"/>
  <c r="B197" i="30"/>
  <c r="B198" i="30"/>
  <c r="B199" i="30"/>
  <c r="B200" i="30"/>
  <c r="B201" i="30"/>
  <c r="B202" i="30"/>
  <c r="B203" i="30"/>
  <c r="B204" i="30"/>
  <c r="B205" i="30"/>
  <c r="B206" i="30"/>
  <c r="B207" i="30"/>
  <c r="B208" i="30"/>
  <c r="B209" i="30"/>
  <c r="B210" i="30"/>
  <c r="B211" i="30"/>
  <c r="B212" i="30"/>
  <c r="B213" i="30"/>
  <c r="B214" i="30"/>
  <c r="B215" i="30"/>
  <c r="B216" i="30"/>
  <c r="B217" i="30"/>
  <c r="B218" i="30"/>
  <c r="B219" i="30"/>
  <c r="B220" i="30"/>
  <c r="B221" i="30"/>
  <c r="B222" i="30"/>
  <c r="B223" i="30"/>
  <c r="B224" i="30"/>
  <c r="B225" i="30"/>
  <c r="B226" i="30"/>
  <c r="B227" i="30"/>
  <c r="B228" i="30"/>
  <c r="B229" i="30"/>
  <c r="B230" i="30"/>
  <c r="B231" i="30"/>
  <c r="B232" i="30"/>
  <c r="B233" i="30"/>
  <c r="B234" i="30"/>
  <c r="B235" i="30"/>
  <c r="B236" i="30"/>
  <c r="B237" i="30"/>
  <c r="B238" i="30"/>
  <c r="B239" i="30"/>
  <c r="B240" i="30"/>
  <c r="B241" i="30"/>
  <c r="B242" i="30"/>
  <c r="B243" i="30"/>
  <c r="B244" i="30"/>
  <c r="B245" i="30"/>
  <c r="B246" i="30"/>
  <c r="B247" i="30"/>
  <c r="B248" i="30"/>
  <c r="B249" i="30"/>
  <c r="B250" i="30"/>
  <c r="B251" i="30"/>
  <c r="B252" i="30"/>
  <c r="B253" i="30"/>
  <c r="B254" i="30"/>
  <c r="B255" i="30"/>
  <c r="B256" i="30"/>
  <c r="B257" i="30"/>
  <c r="B258" i="30"/>
  <c r="B259" i="30"/>
  <c r="B260" i="30"/>
  <c r="B261" i="30"/>
  <c r="B262" i="30"/>
  <c r="B263" i="30"/>
  <c r="B264" i="30"/>
  <c r="B265" i="30"/>
  <c r="B266" i="30"/>
  <c r="B267" i="30"/>
  <c r="B268" i="30"/>
  <c r="B269" i="30"/>
  <c r="B270" i="30"/>
  <c r="B271" i="30"/>
  <c r="B272" i="30"/>
  <c r="B273" i="30"/>
  <c r="B274" i="30"/>
  <c r="B275" i="30"/>
  <c r="B276" i="30"/>
  <c r="B277" i="30"/>
  <c r="B278" i="30"/>
  <c r="B279" i="30"/>
  <c r="B280" i="30"/>
  <c r="B281" i="30"/>
  <c r="B282" i="30"/>
  <c r="B283" i="30"/>
  <c r="B284" i="30"/>
  <c r="B285" i="30"/>
  <c r="B286" i="30"/>
  <c r="B287" i="30"/>
  <c r="B288" i="30"/>
  <c r="B289" i="30"/>
  <c r="B290" i="30"/>
  <c r="B291" i="30"/>
  <c r="B292" i="30"/>
  <c r="B293" i="30"/>
  <c r="B294" i="30"/>
  <c r="B295" i="30"/>
  <c r="B296" i="30"/>
  <c r="B297" i="30"/>
  <c r="B298" i="30"/>
  <c r="B299" i="30"/>
  <c r="B300" i="30"/>
  <c r="B301" i="30"/>
  <c r="B302" i="30"/>
  <c r="B303" i="30"/>
  <c r="B304" i="30"/>
  <c r="B305" i="30"/>
  <c r="B306" i="30"/>
  <c r="B307" i="30"/>
  <c r="B308" i="30"/>
  <c r="B309" i="30"/>
  <c r="B310" i="30"/>
  <c r="B311" i="30"/>
  <c r="B312" i="30"/>
  <c r="B313" i="30"/>
  <c r="B314" i="30"/>
  <c r="B315" i="30"/>
  <c r="B316" i="30"/>
  <c r="B317" i="30"/>
  <c r="B318" i="30"/>
  <c r="B319" i="30"/>
  <c r="B320" i="30"/>
  <c r="B321" i="30"/>
  <c r="B322" i="30"/>
  <c r="B323" i="30"/>
  <c r="B324" i="30"/>
  <c r="B325" i="30"/>
  <c r="B326" i="30"/>
  <c r="B327" i="30"/>
  <c r="B328" i="30"/>
  <c r="B329" i="30"/>
  <c r="B330" i="30"/>
  <c r="B331" i="30"/>
  <c r="B332" i="30"/>
  <c r="B333" i="30"/>
  <c r="B334" i="30"/>
  <c r="B335" i="30"/>
  <c r="B336" i="30"/>
  <c r="B337" i="30"/>
  <c r="B338" i="30"/>
  <c r="B339" i="30"/>
  <c r="B340" i="30"/>
  <c r="B341" i="30"/>
  <c r="B342" i="30"/>
  <c r="B343" i="30"/>
  <c r="B344" i="30"/>
  <c r="B345" i="30"/>
  <c r="B346" i="30"/>
  <c r="B347" i="30"/>
  <c r="B348" i="30"/>
  <c r="B349" i="30"/>
  <c r="B350" i="30"/>
  <c r="B351" i="30"/>
  <c r="B352" i="30"/>
  <c r="B353" i="30"/>
  <c r="B354" i="30"/>
  <c r="B355" i="30"/>
  <c r="B356" i="30"/>
  <c r="B357" i="30"/>
  <c r="B358" i="30"/>
  <c r="B359" i="30"/>
  <c r="B360" i="30"/>
  <c r="B361" i="30"/>
  <c r="B362" i="30"/>
  <c r="B363" i="30"/>
  <c r="B364" i="30"/>
  <c r="B365" i="30"/>
  <c r="B366" i="30"/>
  <c r="B367" i="30"/>
  <c r="B368" i="30"/>
  <c r="B369" i="30"/>
  <c r="B370" i="30"/>
  <c r="B371" i="30"/>
  <c r="B372" i="30"/>
  <c r="B373" i="30"/>
  <c r="B374" i="30"/>
  <c r="B375" i="30"/>
  <c r="B376" i="30"/>
  <c r="B377" i="30"/>
  <c r="B378" i="30"/>
  <c r="B379" i="30"/>
  <c r="B380" i="30"/>
  <c r="B381" i="30"/>
  <c r="B382" i="30"/>
  <c r="B383" i="30"/>
  <c r="B384" i="30"/>
  <c r="B385" i="30"/>
  <c r="B386" i="30"/>
  <c r="B387" i="30"/>
  <c r="B388" i="30"/>
  <c r="B389" i="30"/>
  <c r="B390" i="30"/>
  <c r="B391" i="30"/>
  <c r="B392" i="30"/>
  <c r="B393" i="30"/>
  <c r="B394" i="30"/>
  <c r="B395" i="30"/>
  <c r="B396" i="30"/>
  <c r="B397" i="30"/>
  <c r="B398" i="30"/>
  <c r="B399" i="30"/>
  <c r="B400" i="30"/>
  <c r="B401" i="30"/>
  <c r="B402" i="30"/>
  <c r="B403" i="30"/>
  <c r="B404" i="30"/>
  <c r="B405" i="30"/>
  <c r="B406" i="30"/>
  <c r="B407" i="30"/>
  <c r="B408" i="30"/>
  <c r="B409" i="30"/>
  <c r="B410" i="30"/>
  <c r="B411" i="30"/>
  <c r="B412" i="30"/>
  <c r="B413" i="30"/>
  <c r="B414" i="30"/>
  <c r="B415" i="30"/>
  <c r="B416" i="30"/>
  <c r="B417" i="30"/>
  <c r="B418" i="30"/>
  <c r="B419" i="30"/>
  <c r="B420" i="30"/>
  <c r="B421" i="30"/>
  <c r="B422" i="30"/>
  <c r="B423" i="30"/>
  <c r="B424" i="30"/>
  <c r="B425" i="30"/>
  <c r="B426" i="30"/>
  <c r="B427" i="30"/>
  <c r="B428" i="30"/>
  <c r="B429" i="30"/>
  <c r="B430" i="30"/>
  <c r="B431" i="30"/>
  <c r="B432" i="30"/>
  <c r="B433" i="30"/>
  <c r="B434" i="30"/>
  <c r="B435" i="30"/>
  <c r="B436" i="30"/>
  <c r="B437" i="30"/>
  <c r="B438" i="30"/>
  <c r="B439" i="30"/>
  <c r="B440" i="30"/>
  <c r="B441" i="30"/>
  <c r="B442" i="30"/>
  <c r="B443" i="30"/>
  <c r="B444" i="30"/>
  <c r="B445" i="30"/>
  <c r="B446" i="30"/>
  <c r="B447" i="30"/>
  <c r="B448" i="30"/>
  <c r="B449" i="30"/>
  <c r="B450" i="30"/>
  <c r="B451" i="30"/>
  <c r="B452" i="30"/>
  <c r="B453" i="30"/>
  <c r="B454" i="30"/>
  <c r="B455" i="30"/>
  <c r="B456" i="30"/>
  <c r="B457" i="30"/>
  <c r="B458" i="30"/>
  <c r="B459" i="30"/>
  <c r="B460" i="30"/>
  <c r="B461" i="30"/>
  <c r="B462" i="30"/>
  <c r="B463" i="30"/>
  <c r="B464" i="30"/>
  <c r="B465" i="30"/>
  <c r="B466" i="30"/>
  <c r="B467" i="30"/>
  <c r="B468" i="30"/>
  <c r="B469" i="30"/>
  <c r="B470" i="30"/>
  <c r="B471" i="30"/>
  <c r="B472" i="30"/>
  <c r="B473" i="30"/>
  <c r="B474" i="30"/>
  <c r="B475" i="30"/>
  <c r="B476" i="30"/>
  <c r="B477" i="30"/>
  <c r="B478" i="30"/>
  <c r="B479" i="30"/>
  <c r="B480" i="30"/>
  <c r="B481" i="30"/>
  <c r="B482" i="30"/>
  <c r="B483" i="30"/>
  <c r="B484" i="30"/>
  <c r="B485" i="30"/>
  <c r="B486" i="30"/>
  <c r="B487" i="30"/>
  <c r="B488" i="30"/>
  <c r="B489" i="30"/>
  <c r="B490" i="30"/>
  <c r="B491" i="30"/>
  <c r="B492" i="30"/>
  <c r="B493" i="30"/>
  <c r="B494" i="30"/>
  <c r="B495" i="30"/>
  <c r="B496" i="30"/>
  <c r="B497" i="30"/>
  <c r="B498" i="30"/>
  <c r="B499" i="30"/>
  <c r="B500" i="30"/>
  <c r="B501" i="30"/>
  <c r="B502" i="30"/>
  <c r="B503" i="30"/>
  <c r="B504" i="30"/>
  <c r="B505" i="30"/>
  <c r="B506" i="30"/>
  <c r="B507" i="30"/>
  <c r="B508" i="30"/>
  <c r="B509" i="30"/>
  <c r="B510" i="30"/>
  <c r="B511" i="30"/>
  <c r="B512" i="30"/>
  <c r="B513" i="30"/>
  <c r="B514" i="30"/>
  <c r="B515" i="30"/>
  <c r="B516" i="30"/>
  <c r="B517" i="30"/>
  <c r="B518" i="30"/>
  <c r="B519" i="30"/>
  <c r="B520" i="30"/>
  <c r="B521" i="30"/>
  <c r="B522" i="30"/>
  <c r="B523" i="30"/>
  <c r="B524" i="30"/>
  <c r="B525" i="30"/>
  <c r="B526" i="30"/>
  <c r="B527" i="30"/>
  <c r="B528" i="30"/>
  <c r="B529" i="30"/>
  <c r="B530" i="30"/>
  <c r="B531" i="30"/>
  <c r="B532" i="30"/>
  <c r="B533" i="30"/>
  <c r="B534" i="30"/>
  <c r="B535" i="30"/>
  <c r="B536" i="30"/>
  <c r="B537" i="30"/>
  <c r="B538" i="30"/>
  <c r="B539" i="30"/>
  <c r="B540" i="30"/>
  <c r="B541" i="30"/>
  <c r="B542" i="30"/>
  <c r="B543" i="30"/>
  <c r="B544" i="30"/>
  <c r="B545" i="30"/>
  <c r="B546" i="30"/>
  <c r="B547" i="30"/>
  <c r="B548" i="30"/>
  <c r="B549" i="30"/>
  <c r="B550" i="30"/>
  <c r="B551" i="30"/>
  <c r="B552" i="30"/>
  <c r="B553" i="30"/>
  <c r="B554" i="30"/>
  <c r="B555" i="30"/>
  <c r="B556" i="30"/>
  <c r="B557" i="30"/>
  <c r="B558" i="30"/>
  <c r="B559" i="30"/>
  <c r="B560" i="30"/>
  <c r="B561" i="30"/>
  <c r="B562" i="30"/>
  <c r="B563" i="30"/>
  <c r="B564" i="30"/>
  <c r="B565" i="30"/>
  <c r="B566" i="30"/>
  <c r="B567" i="30"/>
  <c r="B568" i="30"/>
  <c r="B569" i="30"/>
  <c r="B570" i="30"/>
  <c r="B571" i="30"/>
  <c r="B572" i="30"/>
  <c r="B573" i="30"/>
  <c r="B574" i="30"/>
  <c r="B575" i="30"/>
  <c r="B576" i="30"/>
  <c r="B577" i="30"/>
  <c r="B578" i="30"/>
  <c r="B579" i="30"/>
  <c r="B580" i="30"/>
  <c r="B581" i="30"/>
  <c r="B582" i="30"/>
  <c r="B583" i="30"/>
  <c r="B584" i="30"/>
  <c r="B585" i="30"/>
  <c r="B586" i="30"/>
  <c r="B587" i="30"/>
  <c r="B588" i="30"/>
  <c r="B589" i="30"/>
  <c r="B590" i="30"/>
  <c r="B591" i="30"/>
  <c r="B592" i="30"/>
  <c r="B593" i="30"/>
  <c r="B594" i="30"/>
  <c r="B595" i="30"/>
  <c r="B596" i="30"/>
  <c r="B597" i="30"/>
  <c r="B598" i="30"/>
  <c r="B599" i="30"/>
  <c r="B600" i="30"/>
  <c r="B601" i="30"/>
  <c r="B602" i="30"/>
  <c r="B603" i="30"/>
  <c r="B604" i="30"/>
  <c r="B605" i="30"/>
  <c r="B606" i="30"/>
  <c r="B607" i="30"/>
  <c r="B608" i="30"/>
  <c r="B609" i="30"/>
  <c r="B610" i="30"/>
  <c r="B611" i="30"/>
  <c r="B612" i="30"/>
  <c r="B613" i="30"/>
  <c r="B614" i="30"/>
  <c r="B615" i="30"/>
  <c r="B616" i="30"/>
  <c r="B617" i="30"/>
  <c r="B618" i="30"/>
  <c r="B619" i="30"/>
  <c r="B620" i="30"/>
  <c r="B621" i="30"/>
  <c r="B622" i="30"/>
  <c r="B623" i="30"/>
  <c r="B624" i="30"/>
  <c r="B625" i="30"/>
  <c r="B626" i="30"/>
  <c r="B627" i="30"/>
  <c r="B628" i="30"/>
  <c r="B629" i="30"/>
  <c r="B630" i="30"/>
  <c r="B631" i="30"/>
  <c r="B632" i="30"/>
  <c r="B633" i="30"/>
  <c r="B634" i="30"/>
  <c r="B635" i="30"/>
  <c r="B636" i="30"/>
  <c r="B637" i="30"/>
  <c r="B638" i="30"/>
  <c r="B639" i="30"/>
  <c r="B640" i="30"/>
  <c r="B641" i="30"/>
  <c r="B642" i="30"/>
  <c r="B643" i="30"/>
  <c r="B644" i="30"/>
  <c r="B645" i="30"/>
  <c r="B646" i="30"/>
  <c r="B647" i="30"/>
  <c r="B648" i="30"/>
  <c r="B649" i="30"/>
  <c r="B650" i="30"/>
  <c r="B651" i="30"/>
  <c r="B652" i="30"/>
  <c r="B653" i="30"/>
  <c r="B654" i="30"/>
  <c r="B655" i="30"/>
  <c r="B656" i="30"/>
  <c r="B657" i="30"/>
  <c r="B658" i="30"/>
  <c r="B659" i="30"/>
  <c r="B660" i="30"/>
  <c r="B661" i="30"/>
  <c r="B662" i="30"/>
  <c r="B663" i="30"/>
  <c r="B664" i="30"/>
  <c r="B665" i="30"/>
  <c r="B666" i="30"/>
  <c r="B667" i="30"/>
  <c r="B668" i="30"/>
  <c r="B669" i="30"/>
  <c r="B670" i="30"/>
  <c r="B671" i="30"/>
  <c r="B672" i="30"/>
  <c r="B673" i="30"/>
  <c r="B674" i="30"/>
  <c r="B675" i="30"/>
  <c r="B676" i="30"/>
  <c r="B677" i="30"/>
  <c r="B678" i="30"/>
  <c r="B679" i="30"/>
  <c r="B680" i="30"/>
  <c r="B681" i="30"/>
  <c r="B682" i="30"/>
  <c r="B683" i="30"/>
  <c r="B684" i="30"/>
  <c r="B685" i="30"/>
  <c r="B686" i="30"/>
  <c r="B687" i="30"/>
  <c r="B688" i="30"/>
  <c r="B689" i="30"/>
  <c r="B690" i="30"/>
  <c r="B691" i="30"/>
  <c r="B692" i="30"/>
  <c r="B693" i="30"/>
  <c r="B694" i="30"/>
  <c r="B695" i="30"/>
  <c r="B696" i="30"/>
  <c r="B697" i="30"/>
  <c r="B698" i="30"/>
  <c r="B699" i="30"/>
  <c r="B700" i="30"/>
  <c r="B701" i="30"/>
  <c r="B702" i="30"/>
  <c r="B703" i="30"/>
  <c r="B704" i="30"/>
  <c r="B705" i="30"/>
  <c r="B706" i="30"/>
  <c r="B707" i="30"/>
  <c r="B708" i="30"/>
  <c r="B709" i="30"/>
  <c r="B710" i="30"/>
  <c r="B711" i="30"/>
  <c r="B712" i="30"/>
  <c r="B713" i="30"/>
  <c r="B714" i="30"/>
  <c r="B715" i="30"/>
  <c r="B716" i="30"/>
  <c r="B717" i="30"/>
  <c r="B718" i="30"/>
  <c r="B719" i="30"/>
  <c r="B720" i="30"/>
  <c r="B721" i="30"/>
  <c r="B722" i="30"/>
  <c r="B723" i="30"/>
  <c r="B724" i="30"/>
  <c r="B725" i="30"/>
  <c r="B726" i="30"/>
  <c r="B727" i="30"/>
  <c r="B728" i="30"/>
  <c r="B729" i="30"/>
  <c r="B730" i="30"/>
  <c r="B731" i="30"/>
  <c r="B732" i="30"/>
  <c r="B733" i="30"/>
  <c r="B734" i="30"/>
  <c r="B735" i="30"/>
  <c r="B736" i="30"/>
  <c r="B737" i="30"/>
  <c r="B738" i="30"/>
  <c r="B739" i="30"/>
  <c r="B740" i="30"/>
  <c r="B741" i="30"/>
  <c r="B742" i="30"/>
  <c r="B743" i="30"/>
  <c r="B744" i="30"/>
  <c r="B745" i="30"/>
  <c r="B746" i="30"/>
  <c r="B747" i="30"/>
  <c r="B748" i="30"/>
  <c r="B749" i="30"/>
  <c r="B750" i="30"/>
  <c r="B751" i="30"/>
  <c r="B752" i="30"/>
  <c r="B753" i="30"/>
  <c r="B754" i="30"/>
  <c r="B755" i="30"/>
  <c r="B756" i="30"/>
  <c r="B757" i="30"/>
  <c r="B758" i="30"/>
  <c r="B759" i="30"/>
  <c r="B760" i="30"/>
  <c r="B761" i="30"/>
  <c r="B762" i="30"/>
  <c r="B763" i="30"/>
  <c r="B764" i="30"/>
  <c r="B765" i="30"/>
  <c r="B766" i="30"/>
  <c r="B767" i="30"/>
  <c r="B768" i="30"/>
  <c r="B769" i="30"/>
  <c r="B770" i="30"/>
  <c r="B771" i="30"/>
  <c r="B772" i="30"/>
  <c r="B773" i="30"/>
  <c r="B774" i="30"/>
  <c r="B775" i="30"/>
  <c r="B776" i="30"/>
  <c r="B777" i="30"/>
  <c r="B778" i="30"/>
  <c r="B779" i="30"/>
  <c r="B780" i="30"/>
  <c r="B781" i="30"/>
  <c r="B782" i="30"/>
  <c r="B783" i="30"/>
  <c r="B784" i="30"/>
  <c r="B785" i="30"/>
  <c r="B786" i="30"/>
  <c r="B787" i="30"/>
  <c r="B788" i="30"/>
  <c r="B789" i="30"/>
  <c r="B790" i="30"/>
  <c r="B791" i="30"/>
  <c r="B792" i="30"/>
  <c r="B793" i="30"/>
  <c r="B794" i="30"/>
  <c r="B795" i="30"/>
  <c r="B796" i="30"/>
  <c r="B797" i="30"/>
  <c r="B798" i="30"/>
  <c r="B799" i="30"/>
  <c r="B800" i="30"/>
  <c r="B801" i="30"/>
  <c r="B802" i="30"/>
  <c r="B803" i="30"/>
  <c r="B804" i="30"/>
  <c r="B805" i="30"/>
  <c r="B806" i="30"/>
  <c r="B807" i="30"/>
  <c r="B808" i="30"/>
  <c r="B809" i="30"/>
  <c r="B810" i="30"/>
  <c r="B811" i="30"/>
  <c r="B812" i="30"/>
  <c r="B813" i="30"/>
  <c r="B814" i="30"/>
  <c r="B815" i="30"/>
  <c r="B816" i="30"/>
  <c r="B817" i="30"/>
  <c r="B818" i="30"/>
  <c r="B819" i="30"/>
  <c r="B820" i="30"/>
  <c r="B821" i="30"/>
  <c r="B822" i="30"/>
  <c r="B823" i="30"/>
  <c r="B824" i="30"/>
  <c r="B825" i="30"/>
  <c r="B826" i="30"/>
  <c r="B827" i="30"/>
  <c r="B828" i="30"/>
  <c r="B829" i="30"/>
  <c r="B830" i="30"/>
  <c r="B831" i="30"/>
  <c r="B832" i="30"/>
  <c r="B833" i="30"/>
  <c r="B834" i="30"/>
  <c r="B835" i="30"/>
  <c r="B836" i="30"/>
  <c r="B837" i="30"/>
  <c r="B838" i="30"/>
  <c r="B839" i="30"/>
  <c r="B840" i="30"/>
  <c r="B841" i="30"/>
  <c r="B842" i="30"/>
  <c r="B843" i="30"/>
  <c r="B844" i="30"/>
  <c r="B845" i="30"/>
  <c r="B846" i="30"/>
  <c r="B847" i="30"/>
  <c r="B848" i="30"/>
  <c r="B849" i="30"/>
  <c r="B850" i="30"/>
  <c r="B851" i="30"/>
  <c r="B852" i="30"/>
  <c r="B853" i="30"/>
  <c r="B854" i="30"/>
  <c r="B855" i="30"/>
  <c r="B856" i="30"/>
  <c r="B857" i="30"/>
  <c r="B858" i="30"/>
  <c r="B859" i="30"/>
  <c r="B860" i="30"/>
  <c r="B861" i="30"/>
  <c r="B862" i="30"/>
  <c r="B863" i="30"/>
  <c r="B864" i="30"/>
  <c r="B865" i="30"/>
  <c r="B866" i="30"/>
  <c r="B867" i="30"/>
  <c r="B868" i="30"/>
  <c r="B869" i="30"/>
  <c r="B870" i="30"/>
  <c r="B871" i="30"/>
  <c r="B872" i="30"/>
  <c r="B873" i="30"/>
  <c r="B874" i="30"/>
  <c r="B875" i="30"/>
  <c r="B876" i="30"/>
  <c r="B877" i="30"/>
  <c r="B878" i="30"/>
  <c r="B879" i="30"/>
  <c r="B880" i="30"/>
  <c r="B881" i="30"/>
  <c r="B882" i="30"/>
  <c r="B883" i="30"/>
  <c r="B884" i="30"/>
  <c r="B885" i="30"/>
  <c r="B886" i="30"/>
  <c r="B887" i="30"/>
  <c r="B888" i="30"/>
  <c r="B889" i="30"/>
  <c r="B890" i="30"/>
  <c r="B891" i="30"/>
  <c r="B892" i="30"/>
  <c r="B893" i="30"/>
  <c r="B894" i="30"/>
  <c r="B895" i="30"/>
  <c r="B896" i="30"/>
  <c r="B897" i="30"/>
  <c r="B898" i="30"/>
  <c r="B899" i="30"/>
  <c r="B900" i="30"/>
  <c r="B901" i="30"/>
  <c r="B902" i="30"/>
  <c r="B903" i="30"/>
  <c r="B904" i="30"/>
  <c r="B905" i="30"/>
  <c r="B906" i="30"/>
  <c r="B907" i="30"/>
  <c r="B908" i="30"/>
  <c r="B909" i="30"/>
  <c r="B910" i="30"/>
  <c r="B911" i="30"/>
  <c r="B912" i="30"/>
  <c r="B913" i="30"/>
  <c r="B914" i="30"/>
  <c r="B915" i="30"/>
  <c r="B916" i="30"/>
  <c r="B917" i="30"/>
  <c r="B918" i="30"/>
  <c r="B919" i="30"/>
  <c r="B920" i="30"/>
  <c r="B921" i="30"/>
  <c r="B922" i="30"/>
  <c r="B923" i="30"/>
  <c r="B924" i="30"/>
  <c r="B925" i="30"/>
  <c r="B926" i="30"/>
  <c r="B927" i="30"/>
  <c r="B928" i="30"/>
  <c r="B929" i="30"/>
  <c r="B930" i="30"/>
  <c r="B931" i="30"/>
  <c r="B932" i="30"/>
  <c r="B933" i="30"/>
  <c r="B934" i="30"/>
  <c r="B935" i="30"/>
  <c r="B936" i="30"/>
  <c r="B937" i="30"/>
  <c r="B938" i="30"/>
  <c r="B939" i="30"/>
  <c r="B940" i="30"/>
  <c r="B941" i="30"/>
  <c r="B942" i="30"/>
  <c r="B943" i="30"/>
  <c r="B944" i="30"/>
  <c r="B945" i="30"/>
  <c r="B946" i="30"/>
  <c r="B947" i="30"/>
  <c r="B948" i="30"/>
  <c r="B949" i="30"/>
  <c r="B950" i="30"/>
  <c r="B951" i="30"/>
  <c r="B952" i="30"/>
  <c r="B953" i="30"/>
  <c r="B954" i="30"/>
  <c r="B955" i="30"/>
  <c r="B956" i="30"/>
  <c r="B957" i="30"/>
  <c r="B958" i="30"/>
  <c r="B959" i="30"/>
  <c r="B960" i="30"/>
  <c r="B961" i="30"/>
  <c r="B962" i="30"/>
  <c r="B963" i="30"/>
  <c r="B964" i="30"/>
  <c r="B965" i="30"/>
  <c r="B966" i="30"/>
  <c r="B967" i="30"/>
  <c r="B968" i="30"/>
  <c r="B969" i="30"/>
  <c r="B970" i="30"/>
  <c r="B971" i="30"/>
  <c r="B972" i="30"/>
  <c r="B973" i="30"/>
  <c r="B974" i="30"/>
  <c r="B975" i="30"/>
  <c r="B976" i="30"/>
  <c r="B977" i="30"/>
  <c r="B978" i="30"/>
  <c r="B979" i="30"/>
  <c r="B980" i="30"/>
  <c r="B981" i="30"/>
  <c r="B982" i="30"/>
  <c r="B983" i="30"/>
  <c r="B984" i="30"/>
  <c r="B985" i="30"/>
  <c r="B986" i="30"/>
  <c r="B987" i="30"/>
  <c r="B988" i="30"/>
  <c r="B989" i="30"/>
  <c r="B990" i="30"/>
  <c r="B991" i="30"/>
  <c r="B992" i="30"/>
  <c r="B993" i="30"/>
  <c r="B994" i="30"/>
  <c r="B995" i="30"/>
  <c r="B996" i="30"/>
  <c r="B997" i="30"/>
  <c r="B998" i="30"/>
  <c r="B999" i="30"/>
  <c r="B1000" i="30"/>
  <c r="B1001" i="30"/>
  <c r="B1002" i="30"/>
  <c r="B1003" i="30"/>
  <c r="B1004" i="30"/>
  <c r="D10" i="30"/>
  <c r="D11" i="30"/>
  <c r="D12" i="30"/>
  <c r="D13" i="30"/>
  <c r="D14" i="30"/>
  <c r="D15" i="30"/>
  <c r="D16" i="30"/>
  <c r="D17" i="30"/>
  <c r="D18" i="30"/>
  <c r="D19" i="30"/>
  <c r="D20" i="30"/>
  <c r="D21" i="30"/>
  <c r="D22" i="30"/>
  <c r="D23" i="30"/>
  <c r="D24" i="30"/>
  <c r="D25" i="30"/>
  <c r="D26" i="30"/>
  <c r="D27" i="30"/>
  <c r="D28" i="30"/>
  <c r="D29" i="30"/>
  <c r="D30" i="30"/>
  <c r="D31" i="30"/>
  <c r="D32" i="30"/>
  <c r="D33" i="30"/>
  <c r="D34" i="30"/>
  <c r="D35" i="30"/>
  <c r="D36" i="30"/>
  <c r="D37" i="30"/>
  <c r="D38" i="30"/>
  <c r="D39" i="30"/>
  <c r="D40" i="30"/>
  <c r="D41" i="30"/>
  <c r="D42" i="30"/>
  <c r="D43" i="30"/>
  <c r="D44" i="30"/>
  <c r="D45" i="30"/>
  <c r="D46" i="30"/>
  <c r="D47" i="30"/>
  <c r="D48" i="30"/>
  <c r="D49" i="30"/>
  <c r="D50" i="30"/>
  <c r="D51" i="30"/>
  <c r="D52" i="30"/>
  <c r="D53" i="30"/>
  <c r="D54" i="30"/>
  <c r="D55" i="30"/>
  <c r="D56" i="30"/>
  <c r="D57" i="30"/>
  <c r="D58" i="30"/>
  <c r="D59" i="30"/>
  <c r="D60" i="30"/>
  <c r="D61" i="30"/>
  <c r="D62" i="30"/>
  <c r="D63" i="30"/>
  <c r="D64" i="30"/>
  <c r="D65" i="30"/>
  <c r="D66" i="30"/>
  <c r="D67" i="30"/>
  <c r="D68" i="30"/>
  <c r="D69" i="30"/>
  <c r="D70" i="30"/>
  <c r="D71" i="30"/>
  <c r="D72" i="30"/>
  <c r="D73" i="30"/>
  <c r="D74" i="30"/>
  <c r="D75" i="30"/>
  <c r="D76" i="30"/>
  <c r="D77" i="30"/>
  <c r="D78" i="30"/>
  <c r="D79" i="30"/>
  <c r="D80" i="30"/>
  <c r="D81" i="30"/>
  <c r="D82" i="30"/>
  <c r="D83" i="30"/>
  <c r="D84" i="30"/>
  <c r="D85" i="30"/>
  <c r="D86" i="30"/>
  <c r="D87" i="30"/>
  <c r="D88" i="30"/>
  <c r="D89" i="30"/>
  <c r="D90" i="30"/>
  <c r="D91" i="30"/>
  <c r="D92" i="30"/>
  <c r="D93" i="30"/>
  <c r="D94" i="30"/>
  <c r="D95" i="30"/>
  <c r="D96" i="30"/>
  <c r="D97" i="30"/>
  <c r="D98" i="30"/>
  <c r="D99" i="30"/>
  <c r="D100" i="30"/>
  <c r="D101" i="30"/>
  <c r="D102" i="30"/>
  <c r="D103" i="30"/>
  <c r="D104" i="30"/>
  <c r="D105" i="30"/>
  <c r="D106" i="30"/>
  <c r="D107" i="30"/>
  <c r="D108" i="30"/>
  <c r="D109" i="30"/>
  <c r="D110" i="30"/>
  <c r="D111" i="30"/>
  <c r="D112" i="30"/>
  <c r="D113" i="30"/>
  <c r="D114" i="30"/>
  <c r="D115" i="30"/>
  <c r="D116" i="30"/>
  <c r="D117" i="30"/>
  <c r="D118" i="30"/>
  <c r="D119" i="30"/>
  <c r="D120" i="30"/>
  <c r="D121" i="30"/>
  <c r="D122" i="30"/>
  <c r="D123" i="30"/>
  <c r="D124" i="30"/>
  <c r="D125" i="30"/>
  <c r="D126" i="30"/>
  <c r="D127" i="30"/>
  <c r="D128" i="30"/>
  <c r="D129" i="30"/>
  <c r="D130" i="30"/>
  <c r="D131" i="30"/>
  <c r="D132" i="30"/>
  <c r="D133" i="30"/>
  <c r="D134" i="30"/>
  <c r="D135" i="30"/>
  <c r="D136" i="30"/>
  <c r="D137" i="30"/>
  <c r="D138" i="30"/>
  <c r="D139" i="30"/>
  <c r="D140" i="30"/>
  <c r="D141" i="30"/>
  <c r="D142" i="30"/>
  <c r="D143" i="30"/>
  <c r="D144" i="30"/>
  <c r="D145" i="30"/>
  <c r="D146" i="30"/>
  <c r="D147" i="30"/>
  <c r="D148" i="30"/>
  <c r="D149" i="30"/>
  <c r="D150" i="30"/>
  <c r="D151" i="30"/>
  <c r="D152" i="30"/>
  <c r="D153" i="30"/>
  <c r="D154" i="30"/>
  <c r="D155" i="30"/>
  <c r="D156" i="30"/>
  <c r="D157" i="30"/>
  <c r="D158" i="30"/>
  <c r="D159" i="30"/>
  <c r="D160" i="30"/>
  <c r="D161" i="30"/>
  <c r="D162" i="30"/>
  <c r="D163" i="30"/>
  <c r="D164" i="30"/>
  <c r="D165" i="30"/>
  <c r="D166" i="30"/>
  <c r="D167" i="30"/>
  <c r="D168" i="30"/>
  <c r="D169" i="30"/>
  <c r="D170" i="30"/>
  <c r="D171" i="30"/>
  <c r="D172" i="30"/>
  <c r="D173" i="30"/>
  <c r="D174" i="30"/>
  <c r="D175" i="30"/>
  <c r="D176" i="30"/>
  <c r="D177" i="30"/>
  <c r="D178" i="30"/>
  <c r="D179" i="30"/>
  <c r="D180" i="30"/>
  <c r="D181" i="30"/>
  <c r="D182" i="30"/>
  <c r="D183" i="30"/>
  <c r="D184" i="30"/>
  <c r="D185" i="30"/>
  <c r="D186" i="30"/>
  <c r="D187" i="30"/>
  <c r="D188" i="30"/>
  <c r="D189" i="30"/>
  <c r="D190" i="30"/>
  <c r="D191" i="30"/>
  <c r="D192" i="30"/>
  <c r="D193" i="30"/>
  <c r="D194" i="30"/>
  <c r="D195" i="30"/>
  <c r="D196" i="30"/>
  <c r="D197" i="30"/>
  <c r="D198" i="30"/>
  <c r="D199" i="30"/>
  <c r="D200" i="30"/>
  <c r="D201" i="30"/>
  <c r="D202" i="30"/>
  <c r="D203" i="30"/>
  <c r="D204" i="30"/>
  <c r="D205" i="30"/>
  <c r="D206" i="30"/>
  <c r="D207" i="30"/>
  <c r="D208" i="30"/>
  <c r="D209" i="30"/>
  <c r="D210" i="30"/>
  <c r="D211" i="30"/>
  <c r="D212" i="30"/>
  <c r="D213" i="30"/>
  <c r="D214" i="30"/>
  <c r="D215" i="30"/>
  <c r="D216" i="30"/>
  <c r="D217" i="30"/>
  <c r="D218" i="30"/>
  <c r="D219" i="30"/>
  <c r="D220" i="30"/>
  <c r="D221" i="30"/>
  <c r="D222" i="30"/>
  <c r="D223" i="30"/>
  <c r="D224" i="30"/>
  <c r="D225" i="30"/>
  <c r="D226" i="30"/>
  <c r="D227" i="30"/>
  <c r="D228" i="30"/>
  <c r="D229" i="30"/>
  <c r="D230" i="30"/>
  <c r="D231" i="30"/>
  <c r="D232" i="30"/>
  <c r="D233" i="30"/>
  <c r="D234" i="30"/>
  <c r="D235" i="30"/>
  <c r="D236" i="30"/>
  <c r="D237" i="30"/>
  <c r="D238" i="30"/>
  <c r="D239" i="30"/>
  <c r="D240" i="30"/>
  <c r="D241" i="30"/>
  <c r="D242" i="30"/>
  <c r="D243" i="30"/>
  <c r="D244" i="30"/>
  <c r="D245" i="30"/>
  <c r="D246" i="30"/>
  <c r="D247" i="30"/>
  <c r="D248" i="30"/>
  <c r="D249" i="30"/>
  <c r="D250" i="30"/>
  <c r="D251" i="30"/>
  <c r="D252" i="30"/>
  <c r="D253" i="30"/>
  <c r="D254" i="30"/>
  <c r="D255" i="30"/>
  <c r="D256" i="30"/>
  <c r="D257" i="30"/>
  <c r="D258" i="30"/>
  <c r="D259" i="30"/>
  <c r="D260" i="30"/>
  <c r="D261" i="30"/>
  <c r="D262" i="30"/>
  <c r="D263" i="30"/>
  <c r="D264" i="30"/>
  <c r="D265" i="30"/>
  <c r="D266" i="30"/>
  <c r="D267" i="30"/>
  <c r="D268" i="30"/>
  <c r="D269" i="30"/>
  <c r="D270" i="30"/>
  <c r="D271" i="30"/>
  <c r="D272" i="30"/>
  <c r="D273" i="30"/>
  <c r="D274" i="30"/>
  <c r="D275" i="30"/>
  <c r="D276" i="30"/>
  <c r="D277" i="30"/>
  <c r="D278" i="30"/>
  <c r="D279" i="30"/>
  <c r="D280" i="30"/>
  <c r="D281" i="30"/>
  <c r="D282" i="30"/>
  <c r="D283" i="30"/>
  <c r="D284" i="30"/>
  <c r="D285" i="30"/>
  <c r="D286" i="30"/>
  <c r="D287" i="30"/>
  <c r="D288" i="30"/>
  <c r="D289" i="30"/>
  <c r="D290" i="30"/>
  <c r="D291" i="30"/>
  <c r="D292" i="30"/>
  <c r="D293" i="30"/>
  <c r="D294" i="30"/>
  <c r="D295" i="30"/>
  <c r="D296" i="30"/>
  <c r="D297" i="30"/>
  <c r="D298" i="30"/>
  <c r="D299" i="30"/>
  <c r="D300" i="30"/>
  <c r="D301" i="30"/>
  <c r="D302" i="30"/>
  <c r="D303" i="30"/>
  <c r="D304" i="30"/>
  <c r="D305" i="30"/>
  <c r="D306" i="30"/>
  <c r="D307" i="30"/>
  <c r="D308" i="30"/>
  <c r="D309" i="30"/>
  <c r="D310" i="30"/>
  <c r="D311" i="30"/>
  <c r="D312" i="30"/>
  <c r="D313" i="30"/>
  <c r="D314" i="30"/>
  <c r="D315" i="30"/>
  <c r="D316" i="30"/>
  <c r="D317" i="30"/>
  <c r="D318" i="30"/>
  <c r="D319" i="30"/>
  <c r="D320" i="30"/>
  <c r="D321" i="30"/>
  <c r="D322" i="30"/>
  <c r="D323" i="30"/>
  <c r="D324" i="30"/>
  <c r="D325" i="30"/>
  <c r="D326" i="30"/>
  <c r="D327" i="30"/>
  <c r="D328" i="30"/>
  <c r="D329" i="30"/>
  <c r="D330" i="30"/>
  <c r="D331" i="30"/>
  <c r="D332" i="30"/>
  <c r="D333" i="30"/>
  <c r="D334" i="30"/>
  <c r="D335" i="30"/>
  <c r="D336" i="30"/>
  <c r="D337" i="30"/>
  <c r="D338" i="30"/>
  <c r="D339" i="30"/>
  <c r="D340" i="30"/>
  <c r="D341" i="30"/>
  <c r="D342" i="30"/>
  <c r="D343" i="30"/>
  <c r="D344" i="30"/>
  <c r="D345" i="30"/>
  <c r="D346" i="30"/>
  <c r="D347" i="30"/>
  <c r="D348" i="30"/>
  <c r="D349" i="30"/>
  <c r="D350" i="30"/>
  <c r="D351" i="30"/>
  <c r="D352" i="30"/>
  <c r="D353" i="30"/>
  <c r="D354" i="30"/>
  <c r="D355" i="30"/>
  <c r="D356" i="30"/>
  <c r="D357" i="30"/>
  <c r="D358" i="30"/>
  <c r="D359" i="30"/>
  <c r="D360" i="30"/>
  <c r="D361" i="30"/>
  <c r="D362" i="30"/>
  <c r="D363" i="30"/>
  <c r="D364" i="30"/>
  <c r="D365" i="30"/>
  <c r="D366" i="30"/>
  <c r="D367" i="30"/>
  <c r="D368" i="30"/>
  <c r="D369" i="30"/>
  <c r="D370" i="30"/>
  <c r="D371" i="30"/>
  <c r="D372" i="30"/>
  <c r="D373" i="30"/>
  <c r="D374" i="30"/>
  <c r="D375" i="30"/>
  <c r="D376" i="30"/>
  <c r="D377" i="30"/>
  <c r="D378" i="30"/>
  <c r="D379" i="30"/>
  <c r="D380" i="30"/>
  <c r="D381" i="30"/>
  <c r="D382" i="30"/>
  <c r="D383" i="30"/>
  <c r="D384" i="30"/>
  <c r="D385" i="30"/>
  <c r="D386" i="30"/>
  <c r="D387" i="30"/>
  <c r="D388" i="30"/>
  <c r="D389" i="30"/>
  <c r="D390" i="30"/>
  <c r="D391" i="30"/>
  <c r="D392" i="30"/>
  <c r="D393" i="30"/>
  <c r="D394" i="30"/>
  <c r="D395" i="30"/>
  <c r="D396" i="30"/>
  <c r="D397" i="30"/>
  <c r="D398" i="30"/>
  <c r="D399" i="30"/>
  <c r="D400" i="30"/>
  <c r="D401" i="30"/>
  <c r="D402" i="30"/>
  <c r="D403" i="30"/>
  <c r="D404" i="30"/>
  <c r="D405" i="30"/>
  <c r="D406" i="30"/>
  <c r="D407" i="30"/>
  <c r="D408" i="30"/>
  <c r="D409" i="30"/>
  <c r="D410" i="30"/>
  <c r="D411" i="30"/>
  <c r="D412" i="30"/>
  <c r="D413" i="30"/>
  <c r="D414" i="30"/>
  <c r="D415" i="30"/>
  <c r="D416" i="30"/>
  <c r="D417" i="30"/>
  <c r="D418" i="30"/>
  <c r="D419" i="30"/>
  <c r="D420" i="30"/>
  <c r="D421" i="30"/>
  <c r="D422" i="30"/>
  <c r="D423" i="30"/>
  <c r="D424" i="30"/>
  <c r="D425" i="30"/>
  <c r="D426" i="30"/>
  <c r="D427" i="30"/>
  <c r="D428" i="30"/>
  <c r="D429" i="30"/>
  <c r="D430" i="30"/>
  <c r="D431" i="30"/>
  <c r="D432" i="30"/>
  <c r="D433" i="30"/>
  <c r="D434" i="30"/>
  <c r="D435" i="30"/>
  <c r="D436" i="30"/>
  <c r="D437" i="30"/>
  <c r="D438" i="30"/>
  <c r="D439" i="30"/>
  <c r="D440" i="30"/>
  <c r="D441" i="30"/>
  <c r="D442" i="30"/>
  <c r="D443" i="30"/>
  <c r="D444" i="30"/>
  <c r="D445" i="30"/>
  <c r="D446" i="30"/>
  <c r="D447" i="30"/>
  <c r="D448" i="30"/>
  <c r="D449" i="30"/>
  <c r="D450" i="30"/>
  <c r="D451" i="30"/>
  <c r="D452" i="30"/>
  <c r="D453" i="30"/>
  <c r="D454" i="30"/>
  <c r="D455" i="30"/>
  <c r="D456" i="30"/>
  <c r="D457" i="30"/>
  <c r="D458" i="30"/>
  <c r="D459" i="30"/>
  <c r="D460" i="30"/>
  <c r="D461" i="30"/>
  <c r="D462" i="30"/>
  <c r="D463" i="30"/>
  <c r="D464" i="30"/>
  <c r="D465" i="30"/>
  <c r="D466" i="30"/>
  <c r="D467" i="30"/>
  <c r="D468" i="30"/>
  <c r="D469" i="30"/>
  <c r="D470" i="30"/>
  <c r="D471" i="30"/>
  <c r="D472" i="30"/>
  <c r="D473" i="30"/>
  <c r="D474" i="30"/>
  <c r="D475" i="30"/>
  <c r="D476" i="30"/>
  <c r="D477" i="30"/>
  <c r="D478" i="30"/>
  <c r="D479" i="30"/>
  <c r="D480" i="30"/>
  <c r="D481" i="30"/>
  <c r="D482" i="30"/>
  <c r="D483" i="30"/>
  <c r="D484" i="30"/>
  <c r="D485" i="30"/>
  <c r="D486" i="30"/>
  <c r="D487" i="30"/>
  <c r="D488" i="30"/>
  <c r="D489" i="30"/>
  <c r="D490" i="30"/>
  <c r="D491" i="30"/>
  <c r="D492" i="30"/>
  <c r="D493" i="30"/>
  <c r="D494" i="30"/>
  <c r="D495" i="30"/>
  <c r="D496" i="30"/>
  <c r="D497" i="30"/>
  <c r="D498" i="30"/>
  <c r="D499" i="30"/>
  <c r="D500" i="30"/>
  <c r="D501" i="30"/>
  <c r="D502" i="30"/>
  <c r="D503" i="30"/>
  <c r="D504" i="30"/>
  <c r="D505" i="30"/>
  <c r="D506" i="30"/>
  <c r="D507" i="30"/>
  <c r="D508" i="30"/>
  <c r="D509" i="30"/>
  <c r="D510" i="30"/>
  <c r="D511" i="30"/>
  <c r="D512" i="30"/>
  <c r="D513" i="30"/>
  <c r="D514" i="30"/>
  <c r="D515" i="30"/>
  <c r="D516" i="30"/>
  <c r="D517" i="30"/>
  <c r="D518" i="30"/>
  <c r="D519" i="30"/>
  <c r="D520" i="30"/>
  <c r="D521" i="30"/>
  <c r="D522" i="30"/>
  <c r="D523" i="30"/>
  <c r="D524" i="30"/>
  <c r="D525" i="30"/>
  <c r="D526" i="30"/>
  <c r="D527" i="30"/>
  <c r="D528" i="30"/>
  <c r="D529" i="30"/>
  <c r="D530" i="30"/>
  <c r="D531" i="30"/>
  <c r="D532" i="30"/>
  <c r="D533" i="30"/>
  <c r="D534" i="30"/>
  <c r="D535" i="30"/>
  <c r="D536" i="30"/>
  <c r="D537" i="30"/>
  <c r="D538" i="30"/>
  <c r="D539" i="30"/>
  <c r="D540" i="30"/>
  <c r="D541" i="30"/>
  <c r="D542" i="30"/>
  <c r="D543" i="30"/>
  <c r="D544" i="30"/>
  <c r="D545" i="30"/>
  <c r="D546" i="30"/>
  <c r="D547" i="30"/>
  <c r="D548" i="30"/>
  <c r="D549" i="30"/>
  <c r="D550" i="30"/>
  <c r="D551" i="30"/>
  <c r="D552" i="30"/>
  <c r="D553" i="30"/>
  <c r="D554" i="30"/>
  <c r="D555" i="30"/>
  <c r="D556" i="30"/>
  <c r="D557" i="30"/>
  <c r="D558" i="30"/>
  <c r="D559" i="30"/>
  <c r="D560" i="30"/>
  <c r="D561" i="30"/>
  <c r="D562" i="30"/>
  <c r="D563" i="30"/>
  <c r="D564" i="30"/>
  <c r="D565" i="30"/>
  <c r="D566" i="30"/>
  <c r="D567" i="30"/>
  <c r="D568" i="30"/>
  <c r="D569" i="30"/>
  <c r="D570" i="30"/>
  <c r="D571" i="30"/>
  <c r="D572" i="30"/>
  <c r="D573" i="30"/>
  <c r="D574" i="30"/>
  <c r="D575" i="30"/>
  <c r="D576" i="30"/>
  <c r="D577" i="30"/>
  <c r="D578" i="30"/>
  <c r="D579" i="30"/>
  <c r="D580" i="30"/>
  <c r="D581" i="30"/>
  <c r="D582" i="30"/>
  <c r="D583" i="30"/>
  <c r="D584" i="30"/>
  <c r="D585" i="30"/>
  <c r="D586" i="30"/>
  <c r="D587" i="30"/>
  <c r="D588" i="30"/>
  <c r="D589" i="30"/>
  <c r="D590" i="30"/>
  <c r="D591" i="30"/>
  <c r="D592" i="30"/>
  <c r="D593" i="30"/>
  <c r="D594" i="30"/>
  <c r="D595" i="30"/>
  <c r="D596" i="30"/>
  <c r="D597" i="30"/>
  <c r="D598" i="30"/>
  <c r="D599" i="30"/>
  <c r="D600" i="30"/>
  <c r="D601" i="30"/>
  <c r="D602" i="30"/>
  <c r="D603" i="30"/>
  <c r="D604" i="30"/>
  <c r="D605" i="30"/>
  <c r="D606" i="30"/>
  <c r="D607" i="30"/>
  <c r="D608" i="30"/>
  <c r="D609" i="30"/>
  <c r="D610" i="30"/>
  <c r="D611" i="30"/>
  <c r="D612" i="30"/>
  <c r="D613" i="30"/>
  <c r="D614" i="30"/>
  <c r="D615" i="30"/>
  <c r="D616" i="30"/>
  <c r="D617" i="30"/>
  <c r="D618" i="30"/>
  <c r="D619" i="30"/>
  <c r="D620" i="30"/>
  <c r="D621" i="30"/>
  <c r="D622" i="30"/>
  <c r="D623" i="30"/>
  <c r="D624" i="30"/>
  <c r="D625" i="30"/>
  <c r="D626" i="30"/>
  <c r="D627" i="30"/>
  <c r="D628" i="30"/>
  <c r="D629" i="30"/>
  <c r="D630" i="30"/>
  <c r="D631" i="30"/>
  <c r="D632" i="30"/>
  <c r="D633" i="30"/>
  <c r="D634" i="30"/>
  <c r="D635" i="30"/>
  <c r="D636" i="30"/>
  <c r="D637" i="30"/>
  <c r="D638" i="30"/>
  <c r="D639" i="30"/>
  <c r="D640" i="30"/>
  <c r="D641" i="30"/>
  <c r="D642" i="30"/>
  <c r="D643" i="30"/>
  <c r="D644" i="30"/>
  <c r="D645" i="30"/>
  <c r="D646" i="30"/>
  <c r="D647" i="30"/>
  <c r="D648" i="30"/>
  <c r="D649" i="30"/>
  <c r="D650" i="30"/>
  <c r="D651" i="30"/>
  <c r="D652" i="30"/>
  <c r="D653" i="30"/>
  <c r="D654" i="30"/>
  <c r="D655" i="30"/>
  <c r="D656" i="30"/>
  <c r="D657" i="30"/>
  <c r="D658" i="30"/>
  <c r="D659" i="30"/>
  <c r="D660" i="30"/>
  <c r="D661" i="30"/>
  <c r="D662" i="30"/>
  <c r="D663" i="30"/>
  <c r="D664" i="30"/>
  <c r="D665" i="30"/>
  <c r="D666" i="30"/>
  <c r="D667" i="30"/>
  <c r="D668" i="30"/>
  <c r="D669" i="30"/>
  <c r="D670" i="30"/>
  <c r="D671" i="30"/>
  <c r="D672" i="30"/>
  <c r="D673" i="30"/>
  <c r="D674" i="30"/>
  <c r="D675" i="30"/>
  <c r="D676" i="30"/>
  <c r="D677" i="30"/>
  <c r="D678" i="30"/>
  <c r="D679" i="30"/>
  <c r="D680" i="30"/>
  <c r="D681" i="30"/>
  <c r="D682" i="30"/>
  <c r="D683" i="30"/>
  <c r="D684" i="30"/>
  <c r="D685" i="30"/>
  <c r="D686" i="30"/>
  <c r="D687" i="30"/>
  <c r="D688" i="30"/>
  <c r="D689" i="30"/>
  <c r="D690" i="30"/>
  <c r="D691" i="30"/>
  <c r="D692" i="30"/>
  <c r="D693" i="30"/>
  <c r="D694" i="30"/>
  <c r="D695" i="30"/>
  <c r="D696" i="30"/>
  <c r="D697" i="30"/>
  <c r="D698" i="30"/>
  <c r="D699" i="30"/>
  <c r="D700" i="30"/>
  <c r="D701" i="30"/>
  <c r="D702" i="30"/>
  <c r="D703" i="30"/>
  <c r="D704" i="30"/>
  <c r="D705" i="30"/>
  <c r="D706" i="30"/>
  <c r="D707" i="30"/>
  <c r="D708" i="30"/>
  <c r="D709" i="30"/>
  <c r="D710" i="30"/>
  <c r="D711" i="30"/>
  <c r="D712" i="30"/>
  <c r="D713" i="30"/>
  <c r="D714" i="30"/>
  <c r="D715" i="30"/>
  <c r="D716" i="30"/>
  <c r="D717" i="30"/>
  <c r="D718" i="30"/>
  <c r="D719" i="30"/>
  <c r="D720" i="30"/>
  <c r="D721" i="30"/>
  <c r="D722" i="30"/>
  <c r="D723" i="30"/>
  <c r="D724" i="30"/>
  <c r="D725" i="30"/>
  <c r="D726" i="30"/>
  <c r="D727" i="30"/>
  <c r="D728" i="30"/>
  <c r="D729" i="30"/>
  <c r="D730" i="30"/>
  <c r="D731" i="30"/>
  <c r="D732" i="30"/>
  <c r="D733" i="30"/>
  <c r="D734" i="30"/>
  <c r="D735" i="30"/>
  <c r="D736" i="30"/>
  <c r="D737" i="30"/>
  <c r="D738" i="30"/>
  <c r="D739" i="30"/>
  <c r="D740" i="30"/>
  <c r="D741" i="30"/>
  <c r="D742" i="30"/>
  <c r="D743" i="30"/>
  <c r="D744" i="30"/>
  <c r="D745" i="30"/>
  <c r="D746" i="30"/>
  <c r="D747" i="30"/>
  <c r="D748" i="30"/>
  <c r="D749" i="30"/>
  <c r="D750" i="30"/>
  <c r="D751" i="30"/>
  <c r="D752" i="30"/>
  <c r="D753" i="30"/>
  <c r="D754" i="30"/>
  <c r="D755" i="30"/>
  <c r="D756" i="30"/>
  <c r="D757" i="30"/>
  <c r="D758" i="30"/>
  <c r="D759" i="30"/>
  <c r="D760" i="30"/>
  <c r="D761" i="30"/>
  <c r="D762" i="30"/>
  <c r="D763" i="30"/>
  <c r="D764" i="30"/>
  <c r="D765" i="30"/>
  <c r="D766" i="30"/>
  <c r="D767" i="30"/>
  <c r="D768" i="30"/>
  <c r="D769" i="30"/>
  <c r="D770" i="30"/>
  <c r="D771" i="30"/>
  <c r="D772" i="30"/>
  <c r="D773" i="30"/>
  <c r="D774" i="30"/>
  <c r="D775" i="30"/>
  <c r="D776" i="30"/>
  <c r="D777" i="30"/>
  <c r="D778" i="30"/>
  <c r="D779" i="30"/>
  <c r="D780" i="30"/>
  <c r="D781" i="30"/>
  <c r="D782" i="30"/>
  <c r="D783" i="30"/>
  <c r="D784" i="30"/>
  <c r="D785" i="30"/>
  <c r="D786" i="30"/>
  <c r="D787" i="30"/>
  <c r="D788" i="30"/>
  <c r="D789" i="30"/>
  <c r="D790" i="30"/>
  <c r="D791" i="30"/>
  <c r="D792" i="30"/>
  <c r="D793" i="30"/>
  <c r="D794" i="30"/>
  <c r="D795" i="30"/>
  <c r="D796" i="30"/>
  <c r="D797" i="30"/>
  <c r="D798" i="30"/>
  <c r="D799" i="30"/>
  <c r="D800" i="30"/>
  <c r="D801" i="30"/>
  <c r="D802" i="30"/>
  <c r="D803" i="30"/>
  <c r="D804" i="30"/>
  <c r="D805" i="30"/>
  <c r="D806" i="30"/>
  <c r="D807" i="30"/>
  <c r="D808" i="30"/>
  <c r="D809" i="30"/>
  <c r="D810" i="30"/>
  <c r="D811" i="30"/>
  <c r="D812" i="30"/>
  <c r="D813" i="30"/>
  <c r="D814" i="30"/>
  <c r="D815" i="30"/>
  <c r="D816" i="30"/>
  <c r="D817" i="30"/>
  <c r="D818" i="30"/>
  <c r="D819" i="30"/>
  <c r="D820" i="30"/>
  <c r="D821" i="30"/>
  <c r="D822" i="30"/>
  <c r="D823" i="30"/>
  <c r="D824" i="30"/>
  <c r="D825" i="30"/>
  <c r="D826" i="30"/>
  <c r="D827" i="30"/>
  <c r="D828" i="30"/>
  <c r="D829" i="30"/>
  <c r="D830" i="30"/>
  <c r="D831" i="30"/>
  <c r="D832" i="30"/>
  <c r="D833" i="30"/>
  <c r="D834" i="30"/>
  <c r="D835" i="30"/>
  <c r="D836" i="30"/>
  <c r="D837" i="30"/>
  <c r="D838" i="30"/>
  <c r="D839" i="30"/>
  <c r="D840" i="30"/>
  <c r="D841" i="30"/>
  <c r="D842" i="30"/>
  <c r="D843" i="30"/>
  <c r="D844" i="30"/>
  <c r="D845" i="30"/>
  <c r="D846" i="30"/>
  <c r="D847" i="30"/>
  <c r="D848" i="30"/>
  <c r="D849" i="30"/>
  <c r="D850" i="30"/>
  <c r="D851" i="30"/>
  <c r="D852" i="30"/>
  <c r="D853" i="30"/>
  <c r="D854" i="30"/>
  <c r="D855" i="30"/>
  <c r="D856" i="30"/>
  <c r="D857" i="30"/>
  <c r="D858" i="30"/>
  <c r="D859" i="30"/>
  <c r="D860" i="30"/>
  <c r="D861" i="30"/>
  <c r="D862" i="30"/>
  <c r="D863" i="30"/>
  <c r="D864" i="30"/>
  <c r="D865" i="30"/>
  <c r="D866" i="30"/>
  <c r="D867" i="30"/>
  <c r="D868" i="30"/>
  <c r="D869" i="30"/>
  <c r="D870" i="30"/>
  <c r="D871" i="30"/>
  <c r="D872" i="30"/>
  <c r="D873" i="30"/>
  <c r="D874" i="30"/>
  <c r="D875" i="30"/>
  <c r="D876" i="30"/>
  <c r="D877" i="30"/>
  <c r="D878" i="30"/>
  <c r="D879" i="30"/>
  <c r="D880" i="30"/>
  <c r="D881" i="30"/>
  <c r="D882" i="30"/>
  <c r="D883" i="30"/>
  <c r="D884" i="30"/>
  <c r="D885" i="30"/>
  <c r="D886" i="30"/>
  <c r="D887" i="30"/>
  <c r="D888" i="30"/>
  <c r="D889" i="30"/>
  <c r="D890" i="30"/>
  <c r="D891" i="30"/>
  <c r="D892" i="30"/>
  <c r="D893" i="30"/>
  <c r="D894" i="30"/>
  <c r="D895" i="30"/>
  <c r="D896" i="30"/>
  <c r="D897" i="30"/>
  <c r="D898" i="30"/>
  <c r="D899" i="30"/>
  <c r="D900" i="30"/>
  <c r="D901" i="30"/>
  <c r="D902" i="30"/>
  <c r="D903" i="30"/>
  <c r="D904" i="30"/>
  <c r="D905" i="30"/>
  <c r="D906" i="30"/>
  <c r="D907" i="30"/>
  <c r="D908" i="30"/>
  <c r="D909" i="30"/>
  <c r="D910" i="30"/>
  <c r="D911" i="30"/>
  <c r="D912" i="30"/>
  <c r="D913" i="30"/>
  <c r="D914" i="30"/>
  <c r="D915" i="30"/>
  <c r="D916" i="30"/>
  <c r="D917" i="30"/>
  <c r="D918" i="30"/>
  <c r="D919" i="30"/>
  <c r="D920" i="30"/>
  <c r="D921" i="30"/>
  <c r="D922" i="30"/>
  <c r="D923" i="30"/>
  <c r="D924" i="30"/>
  <c r="D925" i="30"/>
  <c r="D926" i="30"/>
  <c r="D927" i="30"/>
  <c r="D928" i="30"/>
  <c r="D929" i="30"/>
  <c r="D930" i="30"/>
  <c r="D931" i="30"/>
  <c r="D932" i="30"/>
  <c r="D933" i="30"/>
  <c r="D934" i="30"/>
  <c r="D935" i="30"/>
  <c r="D936" i="30"/>
  <c r="D937" i="30"/>
  <c r="D938" i="30"/>
  <c r="D939" i="30"/>
  <c r="D940" i="30"/>
  <c r="D941" i="30"/>
  <c r="D942" i="30"/>
  <c r="D943" i="30"/>
  <c r="D944" i="30"/>
  <c r="D945" i="30"/>
  <c r="D946" i="30"/>
  <c r="D947" i="30"/>
  <c r="D948" i="30"/>
  <c r="D949" i="30"/>
  <c r="D950" i="30"/>
  <c r="D951" i="30"/>
  <c r="D952" i="30"/>
  <c r="D953" i="30"/>
  <c r="D954" i="30"/>
  <c r="D955" i="30"/>
  <c r="D956" i="30"/>
  <c r="D957" i="30"/>
  <c r="D958" i="30"/>
  <c r="D959" i="30"/>
  <c r="D960" i="30"/>
  <c r="D961" i="30"/>
  <c r="D962" i="30"/>
  <c r="D963" i="30"/>
  <c r="D964" i="30"/>
  <c r="D965" i="30"/>
  <c r="D966" i="30"/>
  <c r="D967" i="30"/>
  <c r="D968" i="30"/>
  <c r="D969" i="30"/>
  <c r="D970" i="30"/>
  <c r="D971" i="30"/>
  <c r="D972" i="30"/>
  <c r="D973" i="30"/>
  <c r="D974" i="30"/>
  <c r="D975" i="30"/>
  <c r="D976" i="30"/>
  <c r="D977" i="30"/>
  <c r="D978" i="30"/>
  <c r="D979" i="30"/>
  <c r="D980" i="30"/>
  <c r="D981" i="30"/>
  <c r="D982" i="30"/>
  <c r="D983" i="30"/>
  <c r="D984" i="30"/>
  <c r="D985" i="30"/>
  <c r="D986" i="30"/>
  <c r="D987" i="30"/>
  <c r="D988" i="30"/>
  <c r="D989" i="30"/>
  <c r="D990" i="30"/>
  <c r="D991" i="30"/>
  <c r="D992" i="30"/>
  <c r="D993" i="30"/>
  <c r="D994" i="30"/>
  <c r="D995" i="30"/>
  <c r="D996" i="30"/>
  <c r="D997" i="30"/>
  <c r="D998" i="30"/>
  <c r="D999" i="30"/>
  <c r="D1000" i="30"/>
  <c r="D1001" i="30"/>
  <c r="D1002" i="30"/>
  <c r="D1003" i="30"/>
  <c r="D1004" i="30"/>
  <c r="C10" i="30"/>
  <c r="C11" i="30"/>
  <c r="C12" i="30"/>
  <c r="C13" i="30"/>
  <c r="C14" i="30"/>
  <c r="C15" i="30"/>
  <c r="C16" i="30"/>
  <c r="C17" i="30"/>
  <c r="C18" i="30"/>
  <c r="C19" i="30"/>
  <c r="C20" i="30"/>
  <c r="C21" i="30"/>
  <c r="C22" i="30"/>
  <c r="C23" i="30"/>
  <c r="C24" i="30"/>
  <c r="C25" i="30"/>
  <c r="C26" i="30"/>
  <c r="C27" i="30"/>
  <c r="C28" i="30"/>
  <c r="C29" i="30"/>
  <c r="C30" i="30"/>
  <c r="C31" i="30"/>
  <c r="C32" i="30"/>
  <c r="C33" i="30"/>
  <c r="C34" i="30"/>
  <c r="C35" i="30"/>
  <c r="C36" i="30"/>
  <c r="C37" i="30"/>
  <c r="C38" i="30"/>
  <c r="C39" i="30"/>
  <c r="C40" i="30"/>
  <c r="C41" i="30"/>
  <c r="C42" i="30"/>
  <c r="C43" i="30"/>
  <c r="C44" i="30"/>
  <c r="C45" i="30"/>
  <c r="C46" i="30"/>
  <c r="C47" i="30"/>
  <c r="C48" i="30"/>
  <c r="C49" i="30"/>
  <c r="C50" i="30"/>
  <c r="C51" i="30"/>
  <c r="C52" i="30"/>
  <c r="C53" i="30"/>
  <c r="C54" i="30"/>
  <c r="C55" i="30"/>
  <c r="C56" i="30"/>
  <c r="C57" i="30"/>
  <c r="C58" i="30"/>
  <c r="C59" i="30"/>
  <c r="C60" i="30"/>
  <c r="C61" i="30"/>
  <c r="C62" i="30"/>
  <c r="C63" i="30"/>
  <c r="C64" i="30"/>
  <c r="C65" i="30"/>
  <c r="C66" i="30"/>
  <c r="C67" i="30"/>
  <c r="C68" i="30"/>
  <c r="C69" i="30"/>
  <c r="C70" i="30"/>
  <c r="C71" i="30"/>
  <c r="C72" i="30"/>
  <c r="C73" i="30"/>
  <c r="C74" i="30"/>
  <c r="C75" i="30"/>
  <c r="C76" i="30"/>
  <c r="C77" i="30"/>
  <c r="C78" i="30"/>
  <c r="C79" i="30"/>
  <c r="C80" i="30"/>
  <c r="C81" i="30"/>
  <c r="C82" i="30"/>
  <c r="C83" i="30"/>
  <c r="C84" i="30"/>
  <c r="C85" i="30"/>
  <c r="C86" i="30"/>
  <c r="C87" i="30"/>
  <c r="C88" i="30"/>
  <c r="C89" i="30"/>
  <c r="C90" i="30"/>
  <c r="C91" i="30"/>
  <c r="C92" i="30"/>
  <c r="C93" i="30"/>
  <c r="C94" i="30"/>
  <c r="C95" i="30"/>
  <c r="C96" i="30"/>
  <c r="C97" i="30"/>
  <c r="C98" i="30"/>
  <c r="C99" i="30"/>
  <c r="C100" i="30"/>
  <c r="C101" i="30"/>
  <c r="C102" i="30"/>
  <c r="C103" i="30"/>
  <c r="C104" i="30"/>
  <c r="C105" i="30"/>
  <c r="C106" i="30"/>
  <c r="C107" i="30"/>
  <c r="C108" i="30"/>
  <c r="C109" i="30"/>
  <c r="C110" i="30"/>
  <c r="C111" i="30"/>
  <c r="C112" i="30"/>
  <c r="C113" i="30"/>
  <c r="C114" i="30"/>
  <c r="C115" i="30"/>
  <c r="C116" i="30"/>
  <c r="C117" i="30"/>
  <c r="C118" i="30"/>
  <c r="C119" i="30"/>
  <c r="C120" i="30"/>
  <c r="C121" i="30"/>
  <c r="C122" i="30"/>
  <c r="C123" i="30"/>
  <c r="C124" i="30"/>
  <c r="C125" i="30"/>
  <c r="C126" i="30"/>
  <c r="C127" i="30"/>
  <c r="C128" i="30"/>
  <c r="C129" i="30"/>
  <c r="C130" i="30"/>
  <c r="C131" i="30"/>
  <c r="C132" i="30"/>
  <c r="C133" i="30"/>
  <c r="C134" i="30"/>
  <c r="C135" i="30"/>
  <c r="C136" i="30"/>
  <c r="C137" i="30"/>
  <c r="C138" i="30"/>
  <c r="C139" i="30"/>
  <c r="C140" i="30"/>
  <c r="C141" i="30"/>
  <c r="C142" i="30"/>
  <c r="C143" i="30"/>
  <c r="C144" i="30"/>
  <c r="C145" i="30"/>
  <c r="C146" i="30"/>
  <c r="C147" i="30"/>
  <c r="C148" i="30"/>
  <c r="C149" i="30"/>
  <c r="C150" i="30"/>
  <c r="C151" i="30"/>
  <c r="C152" i="30"/>
  <c r="C153" i="30"/>
  <c r="C154" i="30"/>
  <c r="C155" i="30"/>
  <c r="C156" i="30"/>
  <c r="C157" i="30"/>
  <c r="C158" i="30"/>
  <c r="C159" i="30"/>
  <c r="C160" i="30"/>
  <c r="C161" i="30"/>
  <c r="C162" i="30"/>
  <c r="C163" i="30"/>
  <c r="C164" i="30"/>
  <c r="C165" i="30"/>
  <c r="C166" i="30"/>
  <c r="C167" i="30"/>
  <c r="C168" i="30"/>
  <c r="C169" i="30"/>
  <c r="C170" i="30"/>
  <c r="C171" i="30"/>
  <c r="C172" i="30"/>
  <c r="C173" i="30"/>
  <c r="C174" i="30"/>
  <c r="C175" i="30"/>
  <c r="C176" i="30"/>
  <c r="C177" i="30"/>
  <c r="C178" i="30"/>
  <c r="C179" i="30"/>
  <c r="C180" i="30"/>
  <c r="C181" i="30"/>
  <c r="C182" i="30"/>
  <c r="C183" i="30"/>
  <c r="C184" i="30"/>
  <c r="C185" i="30"/>
  <c r="C186" i="30"/>
  <c r="C187" i="30"/>
  <c r="C188" i="30"/>
  <c r="C189" i="30"/>
  <c r="C190" i="30"/>
  <c r="C191" i="30"/>
  <c r="C192" i="30"/>
  <c r="C193" i="30"/>
  <c r="C194" i="30"/>
  <c r="C195" i="30"/>
  <c r="C196" i="30"/>
  <c r="C197" i="30"/>
  <c r="C198" i="30"/>
  <c r="C199" i="30"/>
  <c r="C200" i="30"/>
  <c r="C201" i="30"/>
  <c r="C202" i="30"/>
  <c r="C203" i="30"/>
  <c r="C204" i="30"/>
  <c r="C205" i="30"/>
  <c r="C206" i="30"/>
  <c r="C207" i="30"/>
  <c r="C208" i="30"/>
  <c r="C209" i="30"/>
  <c r="C210" i="30"/>
  <c r="C211" i="30"/>
  <c r="C212" i="30"/>
  <c r="C213" i="30"/>
  <c r="C214" i="30"/>
  <c r="C215" i="30"/>
  <c r="C216" i="30"/>
  <c r="C217" i="30"/>
  <c r="C218" i="30"/>
  <c r="C219" i="30"/>
  <c r="C220" i="30"/>
  <c r="C221" i="30"/>
  <c r="C222" i="30"/>
  <c r="C223" i="30"/>
  <c r="C224" i="30"/>
  <c r="C225" i="30"/>
  <c r="C226" i="30"/>
  <c r="C227" i="30"/>
  <c r="C228" i="30"/>
  <c r="C229" i="30"/>
  <c r="C230" i="30"/>
  <c r="C231" i="30"/>
  <c r="C232" i="30"/>
  <c r="C233" i="30"/>
  <c r="C234" i="30"/>
  <c r="C235" i="30"/>
  <c r="C236" i="30"/>
  <c r="C237" i="30"/>
  <c r="C238" i="30"/>
  <c r="C239" i="30"/>
  <c r="C240" i="30"/>
  <c r="C241" i="30"/>
  <c r="C242" i="30"/>
  <c r="C243" i="30"/>
  <c r="C244" i="30"/>
  <c r="C245" i="30"/>
  <c r="C246" i="30"/>
  <c r="C247" i="30"/>
  <c r="C248" i="30"/>
  <c r="C249" i="30"/>
  <c r="C250" i="30"/>
  <c r="C251" i="30"/>
  <c r="C252" i="30"/>
  <c r="C253" i="30"/>
  <c r="C254" i="30"/>
  <c r="C255" i="30"/>
  <c r="C256" i="30"/>
  <c r="C257" i="30"/>
  <c r="C258" i="30"/>
  <c r="C259" i="30"/>
  <c r="C260" i="30"/>
  <c r="C261" i="30"/>
  <c r="C262" i="30"/>
  <c r="C263" i="30"/>
  <c r="C264" i="30"/>
  <c r="C265" i="30"/>
  <c r="C266" i="30"/>
  <c r="C267" i="30"/>
  <c r="C268" i="30"/>
  <c r="C269" i="30"/>
  <c r="C270" i="30"/>
  <c r="C271" i="30"/>
  <c r="C272" i="30"/>
  <c r="C273" i="30"/>
  <c r="C274" i="30"/>
  <c r="C275" i="30"/>
  <c r="C276" i="30"/>
  <c r="C277" i="30"/>
  <c r="C278" i="30"/>
  <c r="C279" i="30"/>
  <c r="C280" i="30"/>
  <c r="C281" i="30"/>
  <c r="C282" i="30"/>
  <c r="C283" i="30"/>
  <c r="C284" i="30"/>
  <c r="C285" i="30"/>
  <c r="C286" i="30"/>
  <c r="C287" i="30"/>
  <c r="C288" i="30"/>
  <c r="C289" i="30"/>
  <c r="C290" i="30"/>
  <c r="C291" i="30"/>
  <c r="C292" i="30"/>
  <c r="C293" i="30"/>
  <c r="C294" i="30"/>
  <c r="C295" i="30"/>
  <c r="C296" i="30"/>
  <c r="C297" i="30"/>
  <c r="C298" i="30"/>
  <c r="C299" i="30"/>
  <c r="C300" i="30"/>
  <c r="C301" i="30"/>
  <c r="C302" i="30"/>
  <c r="C303" i="30"/>
  <c r="C304" i="30"/>
  <c r="C305" i="30"/>
  <c r="C306" i="30"/>
  <c r="C307" i="30"/>
  <c r="C308" i="30"/>
  <c r="C309" i="30"/>
  <c r="C310" i="30"/>
  <c r="C311" i="30"/>
  <c r="C312" i="30"/>
  <c r="C313" i="30"/>
  <c r="C314" i="30"/>
  <c r="C315" i="30"/>
  <c r="C316" i="30"/>
  <c r="C317" i="30"/>
  <c r="C318" i="30"/>
  <c r="C319" i="30"/>
  <c r="C320" i="30"/>
  <c r="C321" i="30"/>
  <c r="C322" i="30"/>
  <c r="C323" i="30"/>
  <c r="C324" i="30"/>
  <c r="C325" i="30"/>
  <c r="C326" i="30"/>
  <c r="C327" i="30"/>
  <c r="C328" i="30"/>
  <c r="C329" i="30"/>
  <c r="C330" i="30"/>
  <c r="C331" i="30"/>
  <c r="C332" i="30"/>
  <c r="C333" i="30"/>
  <c r="C334" i="30"/>
  <c r="C335" i="30"/>
  <c r="C336" i="30"/>
  <c r="C337" i="30"/>
  <c r="C338" i="30"/>
  <c r="C339" i="30"/>
  <c r="C340" i="30"/>
  <c r="C341" i="30"/>
  <c r="C342" i="30"/>
  <c r="C343" i="30"/>
  <c r="C344" i="30"/>
  <c r="C345" i="30"/>
  <c r="C346" i="30"/>
  <c r="C347" i="30"/>
  <c r="C348" i="30"/>
  <c r="C349" i="30"/>
  <c r="C350" i="30"/>
  <c r="C351" i="30"/>
  <c r="C352" i="30"/>
  <c r="C353" i="30"/>
  <c r="C354" i="30"/>
  <c r="C355" i="30"/>
  <c r="C356" i="30"/>
  <c r="C357" i="30"/>
  <c r="C358" i="30"/>
  <c r="C359" i="30"/>
  <c r="C360" i="30"/>
  <c r="C361" i="30"/>
  <c r="C362" i="30"/>
  <c r="C363" i="30"/>
  <c r="C364" i="30"/>
  <c r="C365" i="30"/>
  <c r="C366" i="30"/>
  <c r="C367" i="30"/>
  <c r="C368" i="30"/>
  <c r="C369" i="30"/>
  <c r="C370" i="30"/>
  <c r="C371" i="30"/>
  <c r="C372" i="30"/>
  <c r="C373" i="30"/>
  <c r="C374" i="30"/>
  <c r="C375" i="30"/>
  <c r="C376" i="30"/>
  <c r="C377" i="30"/>
  <c r="C378" i="30"/>
  <c r="C379" i="30"/>
  <c r="C380" i="30"/>
  <c r="C381" i="30"/>
  <c r="C382" i="30"/>
  <c r="C383" i="30"/>
  <c r="C384" i="30"/>
  <c r="C385" i="30"/>
  <c r="C386" i="30"/>
  <c r="C387" i="30"/>
  <c r="C388" i="30"/>
  <c r="C389" i="30"/>
  <c r="C390" i="30"/>
  <c r="C391" i="30"/>
  <c r="C392" i="30"/>
  <c r="C393" i="30"/>
  <c r="C394" i="30"/>
  <c r="C395" i="30"/>
  <c r="C396" i="30"/>
  <c r="C397" i="30"/>
  <c r="C398" i="30"/>
  <c r="C399" i="30"/>
  <c r="C400" i="30"/>
  <c r="C401" i="30"/>
  <c r="C402" i="30"/>
  <c r="C403" i="30"/>
  <c r="C404" i="30"/>
  <c r="C405" i="30"/>
  <c r="C406" i="30"/>
  <c r="C407" i="30"/>
  <c r="C408" i="30"/>
  <c r="C409" i="30"/>
  <c r="C410" i="30"/>
  <c r="C411" i="30"/>
  <c r="C412" i="30"/>
  <c r="C413" i="30"/>
  <c r="C414" i="30"/>
  <c r="C415" i="30"/>
  <c r="C416" i="30"/>
  <c r="C417" i="30"/>
  <c r="C418" i="30"/>
  <c r="C419" i="30"/>
  <c r="C420" i="30"/>
  <c r="C421" i="30"/>
  <c r="C422" i="30"/>
  <c r="C423" i="30"/>
  <c r="C424" i="30"/>
  <c r="C425" i="30"/>
  <c r="C426" i="30"/>
  <c r="C427" i="30"/>
  <c r="C428" i="30"/>
  <c r="C429" i="30"/>
  <c r="C430" i="30"/>
  <c r="C431" i="30"/>
  <c r="C432" i="30"/>
  <c r="C433" i="30"/>
  <c r="C434" i="30"/>
  <c r="C435" i="30"/>
  <c r="C436" i="30"/>
  <c r="C437" i="30"/>
  <c r="C438" i="30"/>
  <c r="C439" i="30"/>
  <c r="C440" i="30"/>
  <c r="C441" i="30"/>
  <c r="C442" i="30"/>
  <c r="C443" i="30"/>
  <c r="C444" i="30"/>
  <c r="C445" i="30"/>
  <c r="C446" i="30"/>
  <c r="C447" i="30"/>
  <c r="C448" i="30"/>
  <c r="C449" i="30"/>
  <c r="C450" i="30"/>
  <c r="C451" i="30"/>
  <c r="C452" i="30"/>
  <c r="C453" i="30"/>
  <c r="C454" i="30"/>
  <c r="C455" i="30"/>
  <c r="C456" i="30"/>
  <c r="C457" i="30"/>
  <c r="C458" i="30"/>
  <c r="C459" i="30"/>
  <c r="C460" i="30"/>
  <c r="C461" i="30"/>
  <c r="C462" i="30"/>
  <c r="C463" i="30"/>
  <c r="C464" i="30"/>
  <c r="C465" i="30"/>
  <c r="C466" i="30"/>
  <c r="C467" i="30"/>
  <c r="C468" i="30"/>
  <c r="C469" i="30"/>
  <c r="C470" i="30"/>
  <c r="C471" i="30"/>
  <c r="C472" i="30"/>
  <c r="C473" i="30"/>
  <c r="C474" i="30"/>
  <c r="C475" i="30"/>
  <c r="C476" i="30"/>
  <c r="C477" i="30"/>
  <c r="C478" i="30"/>
  <c r="C479" i="30"/>
  <c r="C480" i="30"/>
  <c r="C481" i="30"/>
  <c r="C482" i="30"/>
  <c r="C483" i="30"/>
  <c r="C484" i="30"/>
  <c r="C485" i="30"/>
  <c r="C486" i="30"/>
  <c r="C487" i="30"/>
  <c r="C488" i="30"/>
  <c r="C489" i="30"/>
  <c r="C490" i="30"/>
  <c r="C491" i="30"/>
  <c r="C492" i="30"/>
  <c r="C493" i="30"/>
  <c r="C494" i="30"/>
  <c r="C495" i="30"/>
  <c r="C496" i="30"/>
  <c r="C497" i="30"/>
  <c r="C498" i="30"/>
  <c r="C499" i="30"/>
  <c r="C500" i="30"/>
  <c r="C501" i="30"/>
  <c r="C502" i="30"/>
  <c r="C503" i="30"/>
  <c r="C504" i="30"/>
  <c r="C505" i="30"/>
  <c r="C506" i="30"/>
  <c r="C507" i="30"/>
  <c r="C508" i="30"/>
  <c r="C509" i="30"/>
  <c r="C510" i="30"/>
  <c r="C511" i="30"/>
  <c r="C512" i="30"/>
  <c r="C513" i="30"/>
  <c r="C514" i="30"/>
  <c r="C515" i="30"/>
  <c r="C516" i="30"/>
  <c r="C517" i="30"/>
  <c r="C518" i="30"/>
  <c r="C519" i="30"/>
  <c r="C520" i="30"/>
  <c r="C521" i="30"/>
  <c r="C522" i="30"/>
  <c r="C523" i="30"/>
  <c r="C524" i="30"/>
  <c r="C525" i="30"/>
  <c r="C526" i="30"/>
  <c r="C527" i="30"/>
  <c r="C528" i="30"/>
  <c r="C529" i="30"/>
  <c r="C530" i="30"/>
  <c r="C531" i="30"/>
  <c r="C532" i="30"/>
  <c r="C533" i="30"/>
  <c r="C534" i="30"/>
  <c r="C535" i="30"/>
  <c r="C536" i="30"/>
  <c r="C537" i="30"/>
  <c r="C538" i="30"/>
  <c r="C539" i="30"/>
  <c r="C540" i="30"/>
  <c r="C541" i="30"/>
  <c r="C542" i="30"/>
  <c r="C543" i="30"/>
  <c r="C544" i="30"/>
  <c r="C545" i="30"/>
  <c r="C546" i="30"/>
  <c r="C547" i="30"/>
  <c r="C548" i="30"/>
  <c r="C549" i="30"/>
  <c r="C550" i="30"/>
  <c r="C551" i="30"/>
  <c r="C552" i="30"/>
  <c r="C553" i="30"/>
  <c r="C554" i="30"/>
  <c r="C555" i="30"/>
  <c r="C556" i="30"/>
  <c r="C557" i="30"/>
  <c r="C558" i="30"/>
  <c r="C559" i="30"/>
  <c r="C560" i="30"/>
  <c r="C561" i="30"/>
  <c r="C562" i="30"/>
  <c r="C563" i="30"/>
  <c r="C564" i="30"/>
  <c r="C565" i="30"/>
  <c r="C566" i="30"/>
  <c r="C567" i="30"/>
  <c r="C568" i="30"/>
  <c r="C569" i="30"/>
  <c r="C570" i="30"/>
  <c r="C571" i="30"/>
  <c r="C572" i="30"/>
  <c r="C573" i="30"/>
  <c r="C574" i="30"/>
  <c r="C575" i="30"/>
  <c r="C576" i="30"/>
  <c r="C577" i="30"/>
  <c r="C578" i="30"/>
  <c r="C579" i="30"/>
  <c r="C580" i="30"/>
  <c r="C581" i="30"/>
  <c r="C582" i="30"/>
  <c r="C583" i="30"/>
  <c r="C584" i="30"/>
  <c r="C585" i="30"/>
  <c r="C586" i="30"/>
  <c r="C587" i="30"/>
  <c r="C588" i="30"/>
  <c r="C589" i="30"/>
  <c r="C590" i="30"/>
  <c r="C591" i="30"/>
  <c r="C592" i="30"/>
  <c r="C593" i="30"/>
  <c r="C594" i="30"/>
  <c r="C595" i="30"/>
  <c r="C596" i="30"/>
  <c r="C597" i="30"/>
  <c r="C598" i="30"/>
  <c r="C599" i="30"/>
  <c r="C600" i="30"/>
  <c r="C601" i="30"/>
  <c r="C602" i="30"/>
  <c r="C603" i="30"/>
  <c r="C604" i="30"/>
  <c r="C605" i="30"/>
  <c r="C606" i="30"/>
  <c r="C607" i="30"/>
  <c r="C608" i="30"/>
  <c r="C609" i="30"/>
  <c r="C610" i="30"/>
  <c r="C611" i="30"/>
  <c r="C612" i="30"/>
  <c r="C613" i="30"/>
  <c r="C614" i="30"/>
  <c r="C615" i="30"/>
  <c r="C616" i="30"/>
  <c r="C617" i="30"/>
  <c r="C618" i="30"/>
  <c r="C619" i="30"/>
  <c r="C620" i="30"/>
  <c r="C621" i="30"/>
  <c r="C622" i="30"/>
  <c r="C623" i="30"/>
  <c r="C624" i="30"/>
  <c r="C625" i="30"/>
  <c r="C626" i="30"/>
  <c r="C627" i="30"/>
  <c r="C628" i="30"/>
  <c r="C629" i="30"/>
  <c r="C630" i="30"/>
  <c r="C631" i="30"/>
  <c r="C632" i="30"/>
  <c r="C633" i="30"/>
  <c r="C634" i="30"/>
  <c r="C635" i="30"/>
  <c r="C636" i="30"/>
  <c r="C637" i="30"/>
  <c r="C638" i="30"/>
  <c r="C639" i="30"/>
  <c r="C640" i="30"/>
  <c r="C641" i="30"/>
  <c r="C642" i="30"/>
  <c r="C643" i="30"/>
  <c r="C644" i="30"/>
  <c r="C645" i="30"/>
  <c r="C646" i="30"/>
  <c r="C647" i="30"/>
  <c r="C648" i="30"/>
  <c r="C649" i="30"/>
  <c r="C650" i="30"/>
  <c r="C651" i="30"/>
  <c r="C652" i="30"/>
  <c r="C653" i="30"/>
  <c r="C654" i="30"/>
  <c r="C655" i="30"/>
  <c r="C656" i="30"/>
  <c r="C657" i="30"/>
  <c r="C658" i="30"/>
  <c r="C659" i="30"/>
  <c r="C660" i="30"/>
  <c r="C661" i="30"/>
  <c r="C662" i="30"/>
  <c r="C663" i="30"/>
  <c r="C664" i="30"/>
  <c r="C665" i="30"/>
  <c r="C666" i="30"/>
  <c r="C667" i="30"/>
  <c r="C668" i="30"/>
  <c r="C669" i="30"/>
  <c r="C670" i="30"/>
  <c r="C671" i="30"/>
  <c r="C672" i="30"/>
  <c r="C673" i="30"/>
  <c r="C674" i="30"/>
  <c r="C675" i="30"/>
  <c r="C676" i="30"/>
  <c r="C677" i="30"/>
  <c r="C678" i="30"/>
  <c r="C679" i="30"/>
  <c r="C680" i="30"/>
  <c r="C681" i="30"/>
  <c r="C682" i="30"/>
  <c r="C683" i="30"/>
  <c r="C684" i="30"/>
  <c r="C685" i="30"/>
  <c r="C686" i="30"/>
  <c r="C687" i="30"/>
  <c r="C688" i="30"/>
  <c r="C689" i="30"/>
  <c r="C690" i="30"/>
  <c r="C691" i="30"/>
  <c r="C692" i="30"/>
  <c r="C693" i="30"/>
  <c r="C694" i="30"/>
  <c r="C695" i="30"/>
  <c r="C696" i="30"/>
  <c r="C697" i="30"/>
  <c r="C698" i="30"/>
  <c r="C699" i="30"/>
  <c r="C700" i="30"/>
  <c r="C701" i="30"/>
  <c r="C702" i="30"/>
  <c r="C703" i="30"/>
  <c r="C704" i="30"/>
  <c r="C705" i="30"/>
  <c r="C706" i="30"/>
  <c r="C707" i="30"/>
  <c r="C708" i="30"/>
  <c r="C709" i="30"/>
  <c r="C710" i="30"/>
  <c r="C711" i="30"/>
  <c r="C712" i="30"/>
  <c r="C713" i="30"/>
  <c r="C714" i="30"/>
  <c r="C715" i="30"/>
  <c r="C716" i="30"/>
  <c r="C717" i="30"/>
  <c r="C718" i="30"/>
  <c r="C719" i="30"/>
  <c r="C720" i="30"/>
  <c r="C721" i="30"/>
  <c r="C722" i="30"/>
  <c r="C723" i="30"/>
  <c r="C724" i="30"/>
  <c r="C725" i="30"/>
  <c r="C726" i="30"/>
  <c r="C727" i="30"/>
  <c r="C728" i="30"/>
  <c r="C729" i="30"/>
  <c r="C730" i="30"/>
  <c r="C731" i="30"/>
  <c r="C732" i="30"/>
  <c r="C733" i="30"/>
  <c r="C734" i="30"/>
  <c r="C735" i="30"/>
  <c r="C736" i="30"/>
  <c r="C737" i="30"/>
  <c r="C738" i="30"/>
  <c r="C739" i="30"/>
  <c r="C740" i="30"/>
  <c r="C741" i="30"/>
  <c r="C742" i="30"/>
  <c r="C743" i="30"/>
  <c r="C744" i="30"/>
  <c r="C745" i="30"/>
  <c r="C746" i="30"/>
  <c r="C747" i="30"/>
  <c r="C748" i="30"/>
  <c r="C749" i="30"/>
  <c r="C750" i="30"/>
  <c r="C751" i="30"/>
  <c r="C752" i="30"/>
  <c r="C753" i="30"/>
  <c r="C754" i="30"/>
  <c r="C755" i="30"/>
  <c r="C756" i="30"/>
  <c r="C757" i="30"/>
  <c r="C758" i="30"/>
  <c r="C759" i="30"/>
  <c r="C760" i="30"/>
  <c r="C761" i="30"/>
  <c r="C762" i="30"/>
  <c r="C763" i="30"/>
  <c r="C764" i="30"/>
  <c r="C765" i="30"/>
  <c r="C766" i="30"/>
  <c r="C767" i="30"/>
  <c r="C768" i="30"/>
  <c r="C769" i="30"/>
  <c r="C770" i="30"/>
  <c r="C771" i="30"/>
  <c r="C772" i="30"/>
  <c r="C773" i="30"/>
  <c r="C774" i="30"/>
  <c r="C775" i="30"/>
  <c r="C776" i="30"/>
  <c r="C777" i="30"/>
  <c r="C778" i="30"/>
  <c r="C779" i="30"/>
  <c r="C780" i="30"/>
  <c r="C781" i="30"/>
  <c r="C782" i="30"/>
  <c r="C783" i="30"/>
  <c r="C784" i="30"/>
  <c r="C785" i="30"/>
  <c r="C786" i="30"/>
  <c r="C787" i="30"/>
  <c r="C788" i="30"/>
  <c r="C789" i="30"/>
  <c r="C790" i="30"/>
  <c r="C791" i="30"/>
  <c r="C792" i="30"/>
  <c r="C793" i="30"/>
  <c r="C794" i="30"/>
  <c r="C795" i="30"/>
  <c r="C796" i="30"/>
  <c r="C797" i="30"/>
  <c r="C798" i="30"/>
  <c r="C799" i="30"/>
  <c r="C800" i="30"/>
  <c r="C801" i="30"/>
  <c r="C802" i="30"/>
  <c r="C803" i="30"/>
  <c r="C804" i="30"/>
  <c r="C805" i="30"/>
  <c r="C806" i="30"/>
  <c r="C807" i="30"/>
  <c r="C808" i="30"/>
  <c r="C809" i="30"/>
  <c r="C810" i="30"/>
  <c r="C811" i="30"/>
  <c r="C812" i="30"/>
  <c r="C813" i="30"/>
  <c r="C814" i="30"/>
  <c r="C815" i="30"/>
  <c r="C816" i="30"/>
  <c r="C817" i="30"/>
  <c r="C818" i="30"/>
  <c r="C819" i="30"/>
  <c r="C820" i="30"/>
  <c r="C821" i="30"/>
  <c r="C822" i="30"/>
  <c r="C823" i="30"/>
  <c r="C824" i="30"/>
  <c r="C825" i="30"/>
  <c r="C826" i="30"/>
  <c r="C827" i="30"/>
  <c r="C828" i="30"/>
  <c r="C829" i="30"/>
  <c r="C830" i="30"/>
  <c r="C831" i="30"/>
  <c r="C832" i="30"/>
  <c r="C833" i="30"/>
  <c r="C834" i="30"/>
  <c r="C835" i="30"/>
  <c r="C836" i="30"/>
  <c r="C837" i="30"/>
  <c r="C838" i="30"/>
  <c r="C839" i="30"/>
  <c r="C840" i="30"/>
  <c r="C841" i="30"/>
  <c r="C842" i="30"/>
  <c r="C843" i="30"/>
  <c r="C844" i="30"/>
  <c r="C845" i="30"/>
  <c r="C846" i="30"/>
  <c r="C847" i="30"/>
  <c r="C848" i="30"/>
  <c r="C849" i="30"/>
  <c r="C850" i="30"/>
  <c r="C851" i="30"/>
  <c r="C852" i="30"/>
  <c r="C853" i="30"/>
  <c r="C854" i="30"/>
  <c r="C855" i="30"/>
  <c r="C856" i="30"/>
  <c r="C857" i="30"/>
  <c r="C858" i="30"/>
  <c r="C859" i="30"/>
  <c r="C860" i="30"/>
  <c r="C861" i="30"/>
  <c r="C862" i="30"/>
  <c r="C863" i="30"/>
  <c r="C864" i="30"/>
  <c r="C865" i="30"/>
  <c r="C866" i="30"/>
  <c r="C867" i="30"/>
  <c r="C868" i="30"/>
  <c r="C869" i="30"/>
  <c r="C870" i="30"/>
  <c r="C871" i="30"/>
  <c r="C872" i="30"/>
  <c r="C873" i="30"/>
  <c r="C874" i="30"/>
  <c r="C875" i="30"/>
  <c r="C876" i="30"/>
  <c r="C877" i="30"/>
  <c r="C878" i="30"/>
  <c r="C879" i="30"/>
  <c r="C880" i="30"/>
  <c r="C881" i="30"/>
  <c r="C882" i="30"/>
  <c r="C883" i="30"/>
  <c r="C884" i="30"/>
  <c r="C885" i="30"/>
  <c r="C886" i="30"/>
  <c r="C887" i="30"/>
  <c r="C888" i="30"/>
  <c r="C889" i="30"/>
  <c r="C890" i="30"/>
  <c r="C891" i="30"/>
  <c r="C892" i="30"/>
  <c r="C893" i="30"/>
  <c r="C894" i="30"/>
  <c r="C895" i="30"/>
  <c r="C896" i="30"/>
  <c r="C897" i="30"/>
  <c r="C898" i="30"/>
  <c r="C899" i="30"/>
  <c r="C900" i="30"/>
  <c r="C901" i="30"/>
  <c r="C902" i="30"/>
  <c r="C903" i="30"/>
  <c r="C904" i="30"/>
  <c r="C905" i="30"/>
  <c r="C906" i="30"/>
  <c r="C907" i="30"/>
  <c r="C908" i="30"/>
  <c r="C909" i="30"/>
  <c r="C910" i="30"/>
  <c r="C911" i="30"/>
  <c r="C912" i="30"/>
  <c r="C913" i="30"/>
  <c r="C914" i="30"/>
  <c r="C915" i="30"/>
  <c r="C916" i="30"/>
  <c r="C917" i="30"/>
  <c r="C918" i="30"/>
  <c r="C919" i="30"/>
  <c r="C920" i="30"/>
  <c r="C921" i="30"/>
  <c r="C922" i="30"/>
  <c r="C923" i="30"/>
  <c r="C924" i="30"/>
  <c r="C925" i="30"/>
  <c r="C926" i="30"/>
  <c r="C927" i="30"/>
  <c r="C928" i="30"/>
  <c r="C929" i="30"/>
  <c r="C930" i="30"/>
  <c r="C931" i="30"/>
  <c r="C932" i="30"/>
  <c r="C933" i="30"/>
  <c r="C934" i="30"/>
  <c r="C935" i="30"/>
  <c r="C936" i="30"/>
  <c r="C937" i="30"/>
  <c r="C938" i="30"/>
  <c r="C939" i="30"/>
  <c r="C940" i="30"/>
  <c r="C941" i="30"/>
  <c r="C942" i="30"/>
  <c r="C943" i="30"/>
  <c r="C944" i="30"/>
  <c r="C945" i="30"/>
  <c r="C946" i="30"/>
  <c r="C947" i="30"/>
  <c r="C948" i="30"/>
  <c r="C949" i="30"/>
  <c r="C950" i="30"/>
  <c r="C951" i="30"/>
  <c r="C952" i="30"/>
  <c r="C953" i="30"/>
  <c r="C954" i="30"/>
  <c r="C955" i="30"/>
  <c r="C956" i="30"/>
  <c r="C957" i="30"/>
  <c r="C958" i="30"/>
  <c r="C959" i="30"/>
  <c r="C960" i="30"/>
  <c r="C961" i="30"/>
  <c r="C962" i="30"/>
  <c r="C963" i="30"/>
  <c r="C964" i="30"/>
  <c r="C965" i="30"/>
  <c r="C966" i="30"/>
  <c r="C967" i="30"/>
  <c r="C968" i="30"/>
  <c r="C969" i="30"/>
  <c r="C970" i="30"/>
  <c r="C971" i="30"/>
  <c r="C972" i="30"/>
  <c r="C973" i="30"/>
  <c r="C974" i="30"/>
  <c r="C975" i="30"/>
  <c r="C976" i="30"/>
  <c r="C977" i="30"/>
  <c r="C978" i="30"/>
  <c r="C979" i="30"/>
  <c r="C980" i="30"/>
  <c r="C981" i="30"/>
  <c r="C982" i="30"/>
  <c r="C983" i="30"/>
  <c r="C984" i="30"/>
  <c r="C985" i="30"/>
  <c r="C986" i="30"/>
  <c r="C987" i="30"/>
  <c r="C988" i="30"/>
  <c r="C989" i="30"/>
  <c r="C990" i="30"/>
  <c r="C991" i="30"/>
  <c r="C992" i="30"/>
  <c r="C993" i="30"/>
  <c r="C994" i="30"/>
  <c r="C995" i="30"/>
  <c r="C996" i="30"/>
  <c r="C997" i="30"/>
  <c r="C998" i="30"/>
  <c r="C999" i="30"/>
  <c r="C1000" i="30"/>
  <c r="C1001" i="30"/>
  <c r="C1002" i="30"/>
  <c r="C1003" i="30"/>
  <c r="C1004" i="30"/>
  <c r="C14" i="45" l="1"/>
  <c r="C13" i="45"/>
  <c r="C12" i="45"/>
  <c r="C11" i="45"/>
  <c r="C9" i="45"/>
  <c r="C8" i="45"/>
  <c r="C7" i="45"/>
  <c r="C6" i="45"/>
  <c r="C5" i="45"/>
  <c r="C10" i="45"/>
  <c r="P10" i="43" l="1"/>
  <c r="P11" i="43"/>
  <c r="P12" i="43"/>
  <c r="P13" i="43"/>
  <c r="P14" i="43"/>
  <c r="P15" i="43"/>
  <c r="P16" i="43"/>
  <c r="P17" i="43"/>
  <c r="P18" i="43"/>
  <c r="P19" i="43"/>
  <c r="P20" i="43"/>
  <c r="P21" i="43"/>
  <c r="P22" i="43"/>
  <c r="P23" i="43"/>
  <c r="P24" i="43"/>
  <c r="P25" i="43"/>
  <c r="P26" i="43"/>
  <c r="P27" i="43"/>
  <c r="P28" i="43"/>
  <c r="P29" i="43"/>
  <c r="P30" i="43"/>
  <c r="P31" i="43"/>
  <c r="P32" i="43"/>
  <c r="P33" i="43"/>
  <c r="P34" i="43"/>
  <c r="P35" i="43"/>
  <c r="P36" i="43"/>
  <c r="P37" i="43"/>
  <c r="P38" i="43"/>
  <c r="P39" i="43"/>
  <c r="P40" i="43"/>
  <c r="P41" i="43"/>
  <c r="P42" i="43"/>
  <c r="P43" i="43"/>
  <c r="P44" i="43"/>
  <c r="P45" i="43"/>
  <c r="P46" i="43"/>
  <c r="P47" i="43"/>
  <c r="P48" i="43"/>
  <c r="P49" i="43"/>
  <c r="P50" i="43"/>
  <c r="P51" i="43"/>
  <c r="P52" i="43"/>
  <c r="P53" i="43"/>
  <c r="P54" i="43"/>
  <c r="P55" i="43"/>
  <c r="P56" i="43"/>
  <c r="P57" i="43"/>
  <c r="P58" i="43"/>
  <c r="P59" i="43"/>
  <c r="P60" i="43"/>
  <c r="P61" i="43"/>
  <c r="P62" i="43"/>
  <c r="P63" i="43"/>
  <c r="P64" i="43"/>
  <c r="P65" i="43"/>
  <c r="P66" i="43"/>
  <c r="P67" i="43"/>
  <c r="P68" i="43"/>
  <c r="P69" i="43"/>
  <c r="P70" i="43"/>
  <c r="P71" i="43"/>
  <c r="P72" i="43"/>
  <c r="P73" i="43"/>
  <c r="P74" i="43"/>
  <c r="P75" i="43"/>
  <c r="P76" i="43"/>
  <c r="P77" i="43"/>
  <c r="P78" i="43"/>
  <c r="P79" i="43"/>
  <c r="P80" i="43"/>
  <c r="P81" i="43"/>
  <c r="P82" i="43"/>
  <c r="P83" i="43"/>
  <c r="P84" i="43"/>
  <c r="P85" i="43"/>
  <c r="P86" i="43"/>
  <c r="P87" i="43"/>
  <c r="P88" i="43"/>
  <c r="P89" i="43"/>
  <c r="P90" i="43"/>
  <c r="P91" i="43"/>
  <c r="P92" i="43"/>
  <c r="P93" i="43"/>
  <c r="P94" i="43"/>
  <c r="P95" i="43"/>
  <c r="P96" i="43"/>
  <c r="P97" i="43"/>
  <c r="P98" i="43"/>
  <c r="P99" i="43"/>
  <c r="P100" i="43"/>
  <c r="P101" i="43"/>
  <c r="P102" i="43"/>
  <c r="P103" i="43"/>
  <c r="P104" i="43"/>
  <c r="P105" i="43"/>
  <c r="P106" i="43"/>
  <c r="P107" i="43"/>
  <c r="P108" i="43"/>
  <c r="P109" i="43"/>
  <c r="P110" i="43"/>
  <c r="P111" i="43"/>
  <c r="P112" i="43"/>
  <c r="P113" i="43"/>
  <c r="P114" i="43"/>
  <c r="P115" i="43"/>
  <c r="P116" i="43"/>
  <c r="P117" i="43"/>
  <c r="P118" i="43"/>
  <c r="P119" i="43"/>
  <c r="P120" i="43"/>
  <c r="P121" i="43"/>
  <c r="P122" i="43"/>
  <c r="P123" i="43"/>
  <c r="P124" i="43"/>
  <c r="P125" i="43"/>
  <c r="P126" i="43"/>
  <c r="P127" i="43"/>
  <c r="P128" i="43"/>
  <c r="P129" i="43"/>
  <c r="P130" i="43"/>
  <c r="P131" i="43"/>
  <c r="P132" i="43"/>
  <c r="P133" i="43"/>
  <c r="P134" i="43"/>
  <c r="P135" i="43"/>
  <c r="P136" i="43"/>
  <c r="P137" i="43"/>
  <c r="P138" i="43"/>
  <c r="P139" i="43"/>
  <c r="P140" i="43"/>
  <c r="P141" i="43"/>
  <c r="P142" i="43"/>
  <c r="P143" i="43"/>
  <c r="P144" i="43"/>
  <c r="P145" i="43"/>
  <c r="P146" i="43"/>
  <c r="P147" i="43"/>
  <c r="P148" i="43"/>
  <c r="P149" i="43"/>
  <c r="P150" i="43"/>
  <c r="P151" i="43"/>
  <c r="P152" i="43"/>
  <c r="P153" i="43"/>
  <c r="P154" i="43"/>
  <c r="P155" i="43"/>
  <c r="P156" i="43"/>
  <c r="P157" i="43"/>
  <c r="P158" i="43"/>
  <c r="P159" i="43"/>
  <c r="P160" i="43"/>
  <c r="P161" i="43"/>
  <c r="P162" i="43"/>
  <c r="P163" i="43"/>
  <c r="P164" i="43"/>
  <c r="P165" i="43"/>
  <c r="P166" i="43"/>
  <c r="P167" i="43"/>
  <c r="P168" i="43"/>
  <c r="P169" i="43"/>
  <c r="P170" i="43"/>
  <c r="P171" i="43"/>
  <c r="P172" i="43"/>
  <c r="P173" i="43"/>
  <c r="P174" i="43"/>
  <c r="P175" i="43"/>
  <c r="P176" i="43"/>
  <c r="P177" i="43"/>
  <c r="P178" i="43"/>
  <c r="P179" i="43"/>
  <c r="P180" i="43"/>
  <c r="P181" i="43"/>
  <c r="P182" i="43"/>
  <c r="P183" i="43"/>
  <c r="P184" i="43"/>
  <c r="P185" i="43"/>
  <c r="P186" i="43"/>
  <c r="P187" i="43"/>
  <c r="P188" i="43"/>
  <c r="P189" i="43"/>
  <c r="P190" i="43"/>
  <c r="P191" i="43"/>
  <c r="P192" i="43"/>
  <c r="P193" i="43"/>
  <c r="P194" i="43"/>
  <c r="P195" i="43"/>
  <c r="P196" i="43"/>
  <c r="P197" i="43"/>
  <c r="P198" i="43"/>
  <c r="P199" i="43"/>
  <c r="P200" i="43"/>
  <c r="P201" i="43"/>
  <c r="P202" i="43"/>
  <c r="P203" i="43"/>
  <c r="P204" i="43"/>
  <c r="P205" i="43"/>
  <c r="P206" i="43"/>
  <c r="P207" i="43"/>
  <c r="P208" i="43"/>
  <c r="P209" i="43"/>
  <c r="P210" i="43"/>
  <c r="P211" i="43"/>
  <c r="P212" i="43"/>
  <c r="P213" i="43"/>
  <c r="P214" i="43"/>
  <c r="P215" i="43"/>
  <c r="P216" i="43"/>
  <c r="P217" i="43"/>
  <c r="P218" i="43"/>
  <c r="P219" i="43"/>
  <c r="P220" i="43"/>
  <c r="P221" i="43"/>
  <c r="P222" i="43"/>
  <c r="P223" i="43"/>
  <c r="P224" i="43"/>
  <c r="P225" i="43"/>
  <c r="P226" i="43"/>
  <c r="P227" i="43"/>
  <c r="P228" i="43"/>
  <c r="P229" i="43"/>
  <c r="P230" i="43"/>
  <c r="P231" i="43"/>
  <c r="P232" i="43"/>
  <c r="P233" i="43"/>
  <c r="P234" i="43"/>
  <c r="P235" i="43"/>
  <c r="P236" i="43"/>
  <c r="P237" i="43"/>
  <c r="P238" i="43"/>
  <c r="P239" i="43"/>
  <c r="P240" i="43"/>
  <c r="P241" i="43"/>
  <c r="P242" i="43"/>
  <c r="P243" i="43"/>
  <c r="P244" i="43"/>
  <c r="P245" i="43"/>
  <c r="P246" i="43"/>
  <c r="P247" i="43"/>
  <c r="P248" i="43"/>
  <c r="P249" i="43"/>
  <c r="P250" i="43"/>
  <c r="P251" i="43"/>
  <c r="P252" i="43"/>
  <c r="P253" i="43"/>
  <c r="P254" i="43"/>
  <c r="P255" i="43"/>
  <c r="P256" i="43"/>
  <c r="P257" i="43"/>
  <c r="P258" i="43"/>
  <c r="P259" i="43"/>
  <c r="P260" i="43"/>
  <c r="P261" i="43"/>
  <c r="P262" i="43"/>
  <c r="P263" i="43"/>
  <c r="P264" i="43"/>
  <c r="P265" i="43"/>
  <c r="P266" i="43"/>
  <c r="P267" i="43"/>
  <c r="P268" i="43"/>
  <c r="P269" i="43"/>
  <c r="P270" i="43"/>
  <c r="P271" i="43"/>
  <c r="P272" i="43"/>
  <c r="P273" i="43"/>
  <c r="P274" i="43"/>
  <c r="P275" i="43"/>
  <c r="P276" i="43"/>
  <c r="P277" i="43"/>
  <c r="P278" i="43"/>
  <c r="P279" i="43"/>
  <c r="P280" i="43"/>
  <c r="P281" i="43"/>
  <c r="P282" i="43"/>
  <c r="P283" i="43"/>
  <c r="P284" i="43"/>
  <c r="P285" i="43"/>
  <c r="P286" i="43"/>
  <c r="P287" i="43"/>
  <c r="P288" i="43"/>
  <c r="P289" i="43"/>
  <c r="P290" i="43"/>
  <c r="P291" i="43"/>
  <c r="P292" i="43"/>
  <c r="P293" i="43"/>
  <c r="P294" i="43"/>
  <c r="P295" i="43"/>
  <c r="P296" i="43"/>
  <c r="P297" i="43"/>
  <c r="P298" i="43"/>
  <c r="P299" i="43"/>
  <c r="P300" i="43"/>
  <c r="P363" i="43"/>
  <c r="P364" i="43"/>
  <c r="P365" i="43"/>
  <c r="P366" i="43"/>
  <c r="P367" i="43"/>
  <c r="P368" i="43"/>
  <c r="P369" i="43"/>
  <c r="P370" i="43"/>
  <c r="P371" i="43"/>
  <c r="P372" i="43"/>
  <c r="P373" i="43"/>
  <c r="P374" i="43"/>
  <c r="P375" i="43"/>
  <c r="P376" i="43"/>
  <c r="P377" i="43"/>
  <c r="P378" i="43"/>
  <c r="P379" i="43"/>
  <c r="P380" i="43"/>
  <c r="P381" i="43"/>
  <c r="P382" i="43"/>
  <c r="P383" i="43"/>
  <c r="P384" i="43"/>
  <c r="P385" i="43"/>
  <c r="P386" i="43"/>
  <c r="P387" i="43"/>
  <c r="P388" i="43"/>
  <c r="P389" i="43"/>
  <c r="P390" i="43"/>
  <c r="P391" i="43"/>
  <c r="P392" i="43"/>
  <c r="P393" i="43"/>
  <c r="P394" i="43"/>
  <c r="P395" i="43"/>
  <c r="P396" i="43"/>
  <c r="P397" i="43"/>
  <c r="P398" i="43"/>
  <c r="P399" i="43"/>
  <c r="P400" i="43"/>
  <c r="P401" i="43"/>
  <c r="P402" i="43"/>
  <c r="P403" i="43"/>
  <c r="P404" i="43"/>
  <c r="P405" i="43"/>
  <c r="P406" i="43"/>
  <c r="P407" i="43"/>
  <c r="P408" i="43"/>
  <c r="P409" i="43"/>
  <c r="P410" i="43"/>
  <c r="P411" i="43"/>
  <c r="P412" i="43"/>
  <c r="P413" i="43"/>
  <c r="P414" i="43"/>
  <c r="P415" i="43"/>
  <c r="P416" i="43"/>
  <c r="P417" i="43"/>
  <c r="P418" i="43"/>
  <c r="P419" i="43"/>
  <c r="P420" i="43"/>
  <c r="P421" i="43"/>
  <c r="P422" i="43"/>
  <c r="P423" i="43"/>
  <c r="P424" i="43"/>
  <c r="P425" i="43"/>
  <c r="P426" i="43"/>
  <c r="P427" i="43"/>
  <c r="P428" i="43"/>
  <c r="P429" i="43"/>
  <c r="P430" i="43"/>
  <c r="P431" i="43"/>
  <c r="P432" i="43"/>
  <c r="P433" i="43"/>
  <c r="P434" i="43"/>
  <c r="P435" i="43"/>
  <c r="P436" i="43"/>
  <c r="P437" i="43"/>
  <c r="P438" i="43"/>
  <c r="P439" i="43"/>
  <c r="P440" i="43"/>
  <c r="P441" i="43"/>
  <c r="P442" i="43"/>
  <c r="P443" i="43"/>
  <c r="P444" i="43"/>
  <c r="P445" i="43"/>
  <c r="P446" i="43"/>
  <c r="P447" i="43"/>
  <c r="P448" i="43"/>
  <c r="P449" i="43"/>
  <c r="P450" i="43"/>
  <c r="P451" i="43"/>
  <c r="P452" i="43"/>
  <c r="P453" i="43"/>
  <c r="P454" i="43"/>
  <c r="P455" i="43"/>
  <c r="P456" i="43"/>
  <c r="P457" i="43"/>
  <c r="P458" i="43"/>
  <c r="P459" i="43"/>
  <c r="P460" i="43"/>
  <c r="P461" i="43"/>
  <c r="P462" i="43"/>
  <c r="P463" i="43"/>
  <c r="P464" i="43"/>
  <c r="P465" i="43"/>
  <c r="P466" i="43"/>
  <c r="P467" i="43"/>
  <c r="P468" i="43"/>
  <c r="P469" i="43"/>
  <c r="P470" i="43"/>
  <c r="P471" i="43"/>
  <c r="P472" i="43"/>
  <c r="P473" i="43"/>
  <c r="P474" i="43"/>
  <c r="P475" i="43"/>
  <c r="P476" i="43"/>
  <c r="P477" i="43"/>
  <c r="P478" i="43"/>
  <c r="P479" i="43"/>
  <c r="P480" i="43"/>
  <c r="P481" i="43"/>
  <c r="P482" i="43"/>
  <c r="P483" i="43"/>
  <c r="P484" i="43"/>
  <c r="P485" i="43"/>
  <c r="P486" i="43"/>
  <c r="P487" i="43"/>
  <c r="P488" i="43"/>
  <c r="P489" i="43"/>
  <c r="P490" i="43"/>
  <c r="P491" i="43"/>
  <c r="P492" i="43"/>
  <c r="P493" i="43"/>
  <c r="P494" i="43"/>
  <c r="P495" i="43"/>
  <c r="P496" i="43"/>
  <c r="P497" i="43"/>
  <c r="P498" i="43"/>
  <c r="P499" i="43"/>
  <c r="P500" i="43"/>
  <c r="P501" i="43"/>
  <c r="P502" i="43"/>
  <c r="P503" i="43"/>
  <c r="P504" i="43"/>
  <c r="P505" i="43"/>
  <c r="P506" i="43"/>
  <c r="P507" i="43"/>
  <c r="P508" i="43"/>
  <c r="P509" i="43"/>
  <c r="P510" i="43"/>
  <c r="P511" i="43"/>
  <c r="P512" i="43"/>
  <c r="P513" i="43"/>
  <c r="P514" i="43"/>
  <c r="P515" i="43"/>
  <c r="P516" i="43"/>
  <c r="P517" i="43"/>
  <c r="P518" i="43"/>
  <c r="P519" i="43"/>
  <c r="P520" i="43"/>
  <c r="P521" i="43"/>
  <c r="P522" i="43"/>
  <c r="P523" i="43"/>
  <c r="P524" i="43"/>
  <c r="P525" i="43"/>
  <c r="P526" i="43"/>
  <c r="P527" i="43"/>
  <c r="P528" i="43"/>
  <c r="P529" i="43"/>
  <c r="P530" i="43"/>
  <c r="P531" i="43"/>
  <c r="P532" i="43"/>
  <c r="P533" i="43"/>
  <c r="P534" i="43"/>
  <c r="P535" i="43"/>
  <c r="P536" i="43"/>
  <c r="P537" i="43"/>
  <c r="P538" i="43"/>
  <c r="P539" i="43"/>
  <c r="P540" i="43"/>
  <c r="P541" i="43"/>
  <c r="P542" i="43"/>
  <c r="P543" i="43"/>
  <c r="P544" i="43"/>
  <c r="P545" i="43"/>
  <c r="P546" i="43"/>
  <c r="P547" i="43"/>
  <c r="P548" i="43"/>
  <c r="P549" i="43"/>
  <c r="P550" i="43"/>
  <c r="P551" i="43"/>
  <c r="P552" i="43"/>
  <c r="P553" i="43"/>
  <c r="P554" i="43"/>
  <c r="P555" i="43"/>
  <c r="P556" i="43"/>
  <c r="P557" i="43"/>
  <c r="P558" i="43"/>
  <c r="P559" i="43"/>
  <c r="P560" i="43"/>
  <c r="P561" i="43"/>
  <c r="P562" i="43"/>
  <c r="P563" i="43"/>
  <c r="P564" i="43"/>
  <c r="P565" i="43"/>
  <c r="P566" i="43"/>
  <c r="P567" i="43"/>
  <c r="P568" i="43"/>
  <c r="P569" i="43"/>
  <c r="P570" i="43"/>
  <c r="P571" i="43"/>
  <c r="P572" i="43"/>
  <c r="P573" i="43"/>
  <c r="P574" i="43"/>
  <c r="P575" i="43"/>
  <c r="P576" i="43"/>
  <c r="P577" i="43"/>
  <c r="P578" i="43"/>
  <c r="P579" i="43"/>
  <c r="P580" i="43"/>
  <c r="P581" i="43"/>
  <c r="P582" i="43"/>
  <c r="P583" i="43"/>
  <c r="P584" i="43"/>
  <c r="P585" i="43"/>
  <c r="P586" i="43"/>
  <c r="P587" i="43"/>
  <c r="P588" i="43"/>
  <c r="P589" i="43"/>
  <c r="P590" i="43"/>
  <c r="P591" i="43"/>
  <c r="P592" i="43"/>
  <c r="P593" i="43"/>
  <c r="P594" i="43"/>
  <c r="P595" i="43"/>
  <c r="P596" i="43"/>
  <c r="P597" i="43"/>
  <c r="P598" i="43"/>
  <c r="P599" i="43"/>
  <c r="P600" i="43"/>
  <c r="P601" i="43"/>
  <c r="P602" i="43"/>
  <c r="P603" i="43"/>
  <c r="P604" i="43"/>
  <c r="P605" i="43"/>
  <c r="P606" i="43"/>
  <c r="P607" i="43"/>
  <c r="P608" i="43"/>
  <c r="P609" i="43"/>
  <c r="P610" i="43"/>
  <c r="P611" i="43"/>
  <c r="P612" i="43"/>
  <c r="P613" i="43"/>
  <c r="P614" i="43"/>
  <c r="P615" i="43"/>
  <c r="P616" i="43"/>
  <c r="P617" i="43"/>
  <c r="P618" i="43"/>
  <c r="P619" i="43"/>
  <c r="P620" i="43"/>
  <c r="P621" i="43"/>
  <c r="P622" i="43"/>
  <c r="P623" i="43"/>
  <c r="P624" i="43"/>
  <c r="P625" i="43"/>
  <c r="P626" i="43"/>
  <c r="P627" i="43"/>
  <c r="P628" i="43"/>
  <c r="P629" i="43"/>
  <c r="P630" i="43"/>
  <c r="P631" i="43"/>
  <c r="P632" i="43"/>
  <c r="P633" i="43"/>
  <c r="P634" i="43"/>
  <c r="P635" i="43"/>
  <c r="P636" i="43"/>
  <c r="P637" i="43"/>
  <c r="P638" i="43"/>
  <c r="P639" i="43"/>
  <c r="P640" i="43"/>
  <c r="P641" i="43"/>
  <c r="P642" i="43"/>
  <c r="P643" i="43"/>
  <c r="P644" i="43"/>
  <c r="P645" i="43"/>
  <c r="P646" i="43"/>
  <c r="P647" i="43"/>
  <c r="P648" i="43"/>
  <c r="P649" i="43"/>
  <c r="P650" i="43"/>
  <c r="P651" i="43"/>
  <c r="P652" i="43"/>
  <c r="P653" i="43"/>
  <c r="P654" i="43"/>
  <c r="P655" i="43"/>
  <c r="P656" i="43"/>
  <c r="P657" i="43"/>
  <c r="P658" i="43"/>
  <c r="P659" i="43"/>
  <c r="P660" i="43"/>
  <c r="P661" i="43"/>
  <c r="P662" i="43"/>
  <c r="P663" i="43"/>
  <c r="P664" i="43"/>
  <c r="P665" i="43"/>
  <c r="P666" i="43"/>
  <c r="P667" i="43"/>
  <c r="P668" i="43"/>
  <c r="P669" i="43"/>
  <c r="P670" i="43"/>
  <c r="P671" i="43"/>
  <c r="P672" i="43"/>
  <c r="P673" i="43"/>
  <c r="P674" i="43"/>
  <c r="P675" i="43"/>
  <c r="P676" i="43"/>
  <c r="P677" i="43"/>
  <c r="P678" i="43"/>
  <c r="P679" i="43"/>
  <c r="P680" i="43"/>
  <c r="P681" i="43"/>
  <c r="P682" i="43"/>
  <c r="P683" i="43"/>
  <c r="P684" i="43"/>
  <c r="P685" i="43"/>
  <c r="P686" i="43"/>
  <c r="P687" i="43"/>
  <c r="P688" i="43"/>
  <c r="P689" i="43"/>
  <c r="P690" i="43"/>
  <c r="P691" i="43"/>
  <c r="P692" i="43"/>
  <c r="P693" i="43"/>
  <c r="P694" i="43"/>
  <c r="P695" i="43"/>
  <c r="P696" i="43"/>
  <c r="P697" i="43"/>
  <c r="P698" i="43"/>
  <c r="P699" i="43"/>
  <c r="P700" i="43"/>
  <c r="P701" i="43"/>
  <c r="P702" i="43"/>
  <c r="P703" i="43"/>
  <c r="P704" i="43"/>
  <c r="P705" i="43"/>
  <c r="P706" i="43"/>
  <c r="P707" i="43"/>
  <c r="P708" i="43"/>
  <c r="P709" i="43"/>
  <c r="P710" i="43"/>
  <c r="P711" i="43"/>
  <c r="P712" i="43"/>
  <c r="P713" i="43"/>
  <c r="P714" i="43"/>
  <c r="P715" i="43"/>
  <c r="P716" i="43"/>
  <c r="P717" i="43"/>
  <c r="P718" i="43"/>
  <c r="P719" i="43"/>
  <c r="P720" i="43"/>
  <c r="P721" i="43"/>
  <c r="P722" i="43"/>
  <c r="P723" i="43"/>
  <c r="P724" i="43"/>
  <c r="P725" i="43"/>
  <c r="P726" i="43"/>
  <c r="P727" i="43"/>
  <c r="P728" i="43"/>
  <c r="P729" i="43"/>
  <c r="P730" i="43"/>
  <c r="P731" i="43"/>
  <c r="P732" i="43"/>
  <c r="P733" i="43"/>
  <c r="P734" i="43"/>
  <c r="P735" i="43"/>
  <c r="P736" i="43"/>
  <c r="P737" i="43"/>
  <c r="P738" i="43"/>
  <c r="P739" i="43"/>
  <c r="P740" i="43"/>
  <c r="P741" i="43"/>
  <c r="P742" i="43"/>
  <c r="P743" i="43"/>
  <c r="P744" i="43"/>
  <c r="P745" i="43"/>
  <c r="P746" i="43"/>
  <c r="P747" i="43"/>
  <c r="P748" i="43"/>
  <c r="P749" i="43"/>
  <c r="P750" i="43"/>
  <c r="P751" i="43"/>
  <c r="P752" i="43"/>
  <c r="P753" i="43"/>
  <c r="P754" i="43"/>
  <c r="P755" i="43"/>
  <c r="P756" i="43"/>
  <c r="P757" i="43"/>
  <c r="P758" i="43"/>
  <c r="P759" i="43"/>
  <c r="P760" i="43"/>
  <c r="P761" i="43"/>
  <c r="P762" i="43"/>
  <c r="P763" i="43"/>
  <c r="P764" i="43"/>
  <c r="P765" i="43"/>
  <c r="P766" i="43"/>
  <c r="P767" i="43"/>
  <c r="P768" i="43"/>
  <c r="P769" i="43"/>
  <c r="P770" i="43"/>
  <c r="P771" i="43"/>
  <c r="P772" i="43"/>
  <c r="P773" i="43"/>
  <c r="P774" i="43"/>
  <c r="P775" i="43"/>
  <c r="P776" i="43"/>
  <c r="P777" i="43"/>
  <c r="P778" i="43"/>
  <c r="P779" i="43"/>
  <c r="P780" i="43"/>
  <c r="P781" i="43"/>
  <c r="P782" i="43"/>
  <c r="P783" i="43"/>
  <c r="P784" i="43"/>
  <c r="P785" i="43"/>
  <c r="P786" i="43"/>
  <c r="P787" i="43"/>
  <c r="P788" i="43"/>
  <c r="P789" i="43"/>
  <c r="P790" i="43"/>
  <c r="P791" i="43"/>
  <c r="P792" i="43"/>
  <c r="P793" i="43"/>
  <c r="P794" i="43"/>
  <c r="P795" i="43"/>
  <c r="P796" i="43"/>
  <c r="P797" i="43"/>
  <c r="P798" i="43"/>
  <c r="P799" i="43"/>
  <c r="P800" i="43"/>
  <c r="P801" i="43"/>
  <c r="P802" i="43"/>
  <c r="P803" i="43"/>
  <c r="P804" i="43"/>
  <c r="P805" i="43"/>
  <c r="P806" i="43"/>
  <c r="P807" i="43"/>
  <c r="P808" i="43"/>
  <c r="P809" i="43"/>
  <c r="P810" i="43"/>
  <c r="P811" i="43"/>
  <c r="P812" i="43"/>
  <c r="P813" i="43"/>
  <c r="P814" i="43"/>
  <c r="P815" i="43"/>
  <c r="P816" i="43"/>
  <c r="P817" i="43"/>
  <c r="P818" i="43"/>
  <c r="P819" i="43"/>
  <c r="P820" i="43"/>
  <c r="P821" i="43"/>
  <c r="P822" i="43"/>
  <c r="P823" i="43"/>
  <c r="P824" i="43"/>
  <c r="P825" i="43"/>
  <c r="P826" i="43"/>
  <c r="P827" i="43"/>
  <c r="P828" i="43"/>
  <c r="P829" i="43"/>
  <c r="P830" i="43"/>
  <c r="P831" i="43"/>
  <c r="P832" i="43"/>
  <c r="P833" i="43"/>
  <c r="P834" i="43"/>
  <c r="P835" i="43"/>
  <c r="P836" i="43"/>
  <c r="P837" i="43"/>
  <c r="P838" i="43"/>
  <c r="P839" i="43"/>
  <c r="P840" i="43"/>
  <c r="P841" i="43"/>
  <c r="P842" i="43"/>
  <c r="P843" i="43"/>
  <c r="P844" i="43"/>
  <c r="P845" i="43"/>
  <c r="P846" i="43"/>
  <c r="P847" i="43"/>
  <c r="P848" i="43"/>
  <c r="P849" i="43"/>
  <c r="P850" i="43"/>
  <c r="P851" i="43"/>
  <c r="P852" i="43"/>
  <c r="P853" i="43"/>
  <c r="P854" i="43"/>
  <c r="P855" i="43"/>
  <c r="P856" i="43"/>
  <c r="P857" i="43"/>
  <c r="P858" i="43"/>
  <c r="P859" i="43"/>
  <c r="P860" i="43"/>
  <c r="P861" i="43"/>
  <c r="P862" i="43"/>
  <c r="P863" i="43"/>
  <c r="P864" i="43"/>
  <c r="P865" i="43"/>
  <c r="P866" i="43"/>
  <c r="P867" i="43"/>
  <c r="P868" i="43"/>
  <c r="P869" i="43"/>
  <c r="P870" i="43"/>
  <c r="P871" i="43"/>
  <c r="P872" i="43"/>
  <c r="P873" i="43"/>
  <c r="P874" i="43"/>
  <c r="P875" i="43"/>
  <c r="P876" i="43"/>
  <c r="P877" i="43"/>
  <c r="P878" i="43"/>
  <c r="P879" i="43"/>
  <c r="P880" i="43"/>
  <c r="P881" i="43"/>
  <c r="P882" i="43"/>
  <c r="P883" i="43"/>
  <c r="P884" i="43"/>
  <c r="P885" i="43"/>
  <c r="P886" i="43"/>
  <c r="P887" i="43"/>
  <c r="P888" i="43"/>
  <c r="P889" i="43"/>
  <c r="P890" i="43"/>
  <c r="P891" i="43"/>
  <c r="P892" i="43"/>
  <c r="P893" i="43"/>
  <c r="P894" i="43"/>
  <c r="P895" i="43"/>
  <c r="P896" i="43"/>
  <c r="P897" i="43"/>
  <c r="P898" i="43"/>
  <c r="P899" i="43"/>
  <c r="P900" i="43"/>
  <c r="P901" i="43"/>
  <c r="P902" i="43"/>
  <c r="P903" i="43"/>
  <c r="P904" i="43"/>
  <c r="P905" i="43"/>
  <c r="P906" i="43"/>
  <c r="P907" i="43"/>
  <c r="P908" i="43"/>
  <c r="P909" i="43"/>
  <c r="P910" i="43"/>
  <c r="P911" i="43"/>
  <c r="P912" i="43"/>
  <c r="P913" i="43"/>
  <c r="P914" i="43"/>
  <c r="P915" i="43"/>
  <c r="P916" i="43"/>
  <c r="P917" i="43"/>
  <c r="P918" i="43"/>
  <c r="P919" i="43"/>
  <c r="P920" i="43"/>
  <c r="P921" i="43"/>
  <c r="P922" i="43"/>
  <c r="P923" i="43"/>
  <c r="P924" i="43"/>
  <c r="P925" i="43"/>
  <c r="P926" i="43"/>
  <c r="P927" i="43"/>
  <c r="P928" i="43"/>
  <c r="P929" i="43"/>
  <c r="P930" i="43"/>
  <c r="P931" i="43"/>
  <c r="P932" i="43"/>
  <c r="P933" i="43"/>
  <c r="P934" i="43"/>
  <c r="P935" i="43"/>
  <c r="P936" i="43"/>
  <c r="P937" i="43"/>
  <c r="P938" i="43"/>
  <c r="P939" i="43"/>
  <c r="P940" i="43"/>
  <c r="P941" i="43"/>
  <c r="P942" i="43"/>
  <c r="P943" i="43"/>
  <c r="P944" i="43"/>
  <c r="P945" i="43"/>
  <c r="P946" i="43"/>
  <c r="P947" i="43"/>
  <c r="P948" i="43"/>
  <c r="P949" i="43"/>
  <c r="P950" i="43"/>
  <c r="P951" i="43"/>
  <c r="P952" i="43"/>
  <c r="P953" i="43"/>
  <c r="P954" i="43"/>
  <c r="P955" i="43"/>
  <c r="P956" i="43"/>
  <c r="P957" i="43"/>
  <c r="P958" i="43"/>
  <c r="P959" i="43"/>
  <c r="P960" i="43"/>
  <c r="P961" i="43"/>
  <c r="P962" i="43"/>
  <c r="P963" i="43"/>
  <c r="P964" i="43"/>
  <c r="P965" i="43"/>
  <c r="P966" i="43"/>
  <c r="P967" i="43"/>
  <c r="P968" i="43"/>
  <c r="P969" i="43"/>
  <c r="P970" i="43"/>
  <c r="P971" i="43"/>
  <c r="P972" i="43"/>
  <c r="P973" i="43"/>
  <c r="P974" i="43"/>
  <c r="P975" i="43"/>
  <c r="P976" i="43"/>
  <c r="P977" i="43"/>
  <c r="P978" i="43"/>
  <c r="P979" i="43"/>
  <c r="P980" i="43"/>
  <c r="P981" i="43"/>
  <c r="P982" i="43"/>
  <c r="P983" i="43"/>
  <c r="P984" i="43"/>
  <c r="P985" i="43"/>
  <c r="P986" i="43"/>
  <c r="P987" i="43"/>
  <c r="P988" i="43"/>
  <c r="P989" i="43"/>
  <c r="P990" i="43"/>
  <c r="P991" i="43"/>
  <c r="P992" i="43"/>
  <c r="P993" i="43"/>
  <c r="P994" i="43"/>
  <c r="P995" i="43"/>
  <c r="P996" i="43"/>
  <c r="P997" i="43"/>
  <c r="P998" i="43"/>
  <c r="P999" i="43"/>
  <c r="P1000" i="43"/>
  <c r="P1001" i="43"/>
  <c r="P1002" i="43"/>
  <c r="P1003" i="43"/>
  <c r="O10" i="43"/>
  <c r="O11" i="43"/>
  <c r="O12" i="43"/>
  <c r="O13" i="43"/>
  <c r="O14" i="43"/>
  <c r="O15" i="43"/>
  <c r="O16" i="43"/>
  <c r="O17" i="43"/>
  <c r="O18" i="43"/>
  <c r="O19" i="43"/>
  <c r="O20" i="43"/>
  <c r="O21" i="43"/>
  <c r="O22" i="43"/>
  <c r="O23" i="43"/>
  <c r="O24" i="43"/>
  <c r="O25" i="43"/>
  <c r="O26" i="43"/>
  <c r="O27" i="43"/>
  <c r="O28" i="43"/>
  <c r="O29" i="43"/>
  <c r="O30" i="43"/>
  <c r="O31" i="43"/>
  <c r="O32" i="43"/>
  <c r="O33" i="43"/>
  <c r="O34" i="43"/>
  <c r="O35" i="43"/>
  <c r="O36" i="43"/>
  <c r="O37" i="43"/>
  <c r="O38" i="43"/>
  <c r="O39" i="43"/>
  <c r="O40" i="43"/>
  <c r="O41" i="43"/>
  <c r="O42" i="43"/>
  <c r="O43" i="43"/>
  <c r="O44" i="43"/>
  <c r="O45" i="43"/>
  <c r="O46" i="43"/>
  <c r="O47" i="43"/>
  <c r="O48" i="43"/>
  <c r="O49" i="43"/>
  <c r="O50" i="43"/>
  <c r="O51" i="43"/>
  <c r="O52" i="43"/>
  <c r="O53" i="43"/>
  <c r="O54" i="43"/>
  <c r="O55" i="43"/>
  <c r="O56" i="43"/>
  <c r="O57" i="43"/>
  <c r="O58" i="43"/>
  <c r="O59" i="43"/>
  <c r="O60" i="43"/>
  <c r="O61" i="43"/>
  <c r="O62" i="43"/>
  <c r="O63" i="43"/>
  <c r="O64" i="43"/>
  <c r="O65" i="43"/>
  <c r="O66" i="43"/>
  <c r="O67" i="43"/>
  <c r="O68" i="43"/>
  <c r="O69" i="43"/>
  <c r="O70" i="43"/>
  <c r="O71" i="43"/>
  <c r="O72" i="43"/>
  <c r="O73" i="43"/>
  <c r="O74" i="43"/>
  <c r="O75" i="43"/>
  <c r="O76" i="43"/>
  <c r="O77" i="43"/>
  <c r="O78" i="43"/>
  <c r="O79" i="43"/>
  <c r="O80" i="43"/>
  <c r="O81" i="43"/>
  <c r="O82" i="43"/>
  <c r="O83" i="43"/>
  <c r="O84" i="43"/>
  <c r="O85" i="43"/>
  <c r="O86" i="43"/>
  <c r="O87" i="43"/>
  <c r="O88" i="43"/>
  <c r="O89" i="43"/>
  <c r="O90" i="43"/>
  <c r="O91" i="43"/>
  <c r="O92" i="43"/>
  <c r="O93" i="43"/>
  <c r="O94" i="43"/>
  <c r="O95" i="43"/>
  <c r="O96" i="43"/>
  <c r="O97" i="43"/>
  <c r="O98" i="43"/>
  <c r="O99" i="43"/>
  <c r="O100" i="43"/>
  <c r="O101" i="43"/>
  <c r="O102" i="43"/>
  <c r="O103" i="43"/>
  <c r="O104" i="43"/>
  <c r="O105" i="43"/>
  <c r="O106" i="43"/>
  <c r="O107" i="43"/>
  <c r="O108" i="43"/>
  <c r="O109" i="43"/>
  <c r="O110" i="43"/>
  <c r="O111" i="43"/>
  <c r="O112" i="43"/>
  <c r="O113" i="43"/>
  <c r="O114" i="43"/>
  <c r="O115" i="43"/>
  <c r="O116" i="43"/>
  <c r="O117" i="43"/>
  <c r="O118" i="43"/>
  <c r="O119" i="43"/>
  <c r="O120" i="43"/>
  <c r="O121" i="43"/>
  <c r="O122" i="43"/>
  <c r="O123" i="43"/>
  <c r="O124" i="43"/>
  <c r="O125" i="43"/>
  <c r="O126" i="43"/>
  <c r="O127" i="43"/>
  <c r="O128" i="43"/>
  <c r="O129" i="43"/>
  <c r="O130" i="43"/>
  <c r="O131" i="43"/>
  <c r="O132" i="43"/>
  <c r="O133" i="43"/>
  <c r="O134" i="43"/>
  <c r="O135" i="43"/>
  <c r="O136" i="43"/>
  <c r="O137" i="43"/>
  <c r="O138" i="43"/>
  <c r="O139" i="43"/>
  <c r="O140" i="43"/>
  <c r="O141" i="43"/>
  <c r="O142" i="43"/>
  <c r="O143" i="43"/>
  <c r="O144" i="43"/>
  <c r="O145" i="43"/>
  <c r="O146" i="43"/>
  <c r="O147" i="43"/>
  <c r="O148" i="43"/>
  <c r="O149" i="43"/>
  <c r="O150" i="43"/>
  <c r="O151" i="43"/>
  <c r="O152" i="43"/>
  <c r="O153" i="43"/>
  <c r="O154" i="43"/>
  <c r="O155" i="43"/>
  <c r="O156" i="43"/>
  <c r="O157" i="43"/>
  <c r="O158" i="43"/>
  <c r="O159" i="43"/>
  <c r="O160" i="43"/>
  <c r="O161" i="43"/>
  <c r="O162" i="43"/>
  <c r="O163" i="43"/>
  <c r="O164" i="43"/>
  <c r="O165" i="43"/>
  <c r="O166" i="43"/>
  <c r="O167" i="43"/>
  <c r="O168" i="43"/>
  <c r="O169" i="43"/>
  <c r="O170" i="43"/>
  <c r="O171" i="43"/>
  <c r="O172" i="43"/>
  <c r="O173" i="43"/>
  <c r="O174" i="43"/>
  <c r="O175" i="43"/>
  <c r="O176" i="43"/>
  <c r="O177" i="43"/>
  <c r="O178" i="43"/>
  <c r="O179" i="43"/>
  <c r="O180" i="43"/>
  <c r="O181" i="43"/>
  <c r="O182" i="43"/>
  <c r="O183" i="43"/>
  <c r="O184" i="43"/>
  <c r="O185" i="43"/>
  <c r="O186" i="43"/>
  <c r="O187" i="43"/>
  <c r="O188" i="43"/>
  <c r="O189" i="43"/>
  <c r="O190" i="43"/>
  <c r="O191" i="43"/>
  <c r="O192" i="43"/>
  <c r="O193" i="43"/>
  <c r="O194" i="43"/>
  <c r="O195" i="43"/>
  <c r="O196" i="43"/>
  <c r="O197" i="43"/>
  <c r="O198" i="43"/>
  <c r="O199" i="43"/>
  <c r="O200" i="43"/>
  <c r="O201" i="43"/>
  <c r="O202" i="43"/>
  <c r="O203" i="43"/>
  <c r="O204" i="43"/>
  <c r="O205" i="43"/>
  <c r="O206" i="43"/>
  <c r="O207" i="43"/>
  <c r="O208" i="43"/>
  <c r="O209" i="43"/>
  <c r="O210" i="43"/>
  <c r="O211" i="43"/>
  <c r="O212" i="43"/>
  <c r="O213" i="43"/>
  <c r="O214" i="43"/>
  <c r="O215" i="43"/>
  <c r="O216" i="43"/>
  <c r="O217" i="43"/>
  <c r="O218" i="43"/>
  <c r="O219" i="43"/>
  <c r="O220" i="43"/>
  <c r="O221" i="43"/>
  <c r="O222" i="43"/>
  <c r="O223" i="43"/>
  <c r="O224" i="43"/>
  <c r="O225" i="43"/>
  <c r="O226" i="43"/>
  <c r="O227" i="43"/>
  <c r="O228" i="43"/>
  <c r="O229" i="43"/>
  <c r="O230" i="43"/>
  <c r="O231" i="43"/>
  <c r="O232" i="43"/>
  <c r="O233" i="43"/>
  <c r="O234" i="43"/>
  <c r="O235" i="43"/>
  <c r="O236" i="43"/>
  <c r="O237" i="43"/>
  <c r="O238" i="43"/>
  <c r="O239" i="43"/>
  <c r="O240" i="43"/>
  <c r="O241" i="43"/>
  <c r="O242" i="43"/>
  <c r="O243" i="43"/>
  <c r="O244" i="43"/>
  <c r="O245" i="43"/>
  <c r="O246" i="43"/>
  <c r="O247" i="43"/>
  <c r="O248" i="43"/>
  <c r="O249" i="43"/>
  <c r="O250" i="43"/>
  <c r="O251" i="43"/>
  <c r="O252" i="43"/>
  <c r="O253" i="43"/>
  <c r="O254" i="43"/>
  <c r="O255" i="43"/>
  <c r="O256" i="43"/>
  <c r="O257" i="43"/>
  <c r="O258" i="43"/>
  <c r="O259" i="43"/>
  <c r="O260" i="43"/>
  <c r="O261" i="43"/>
  <c r="O262" i="43"/>
  <c r="O263" i="43"/>
  <c r="O264" i="43"/>
  <c r="O265" i="43"/>
  <c r="O266" i="43"/>
  <c r="O267" i="43"/>
  <c r="O268" i="43"/>
  <c r="O269" i="43"/>
  <c r="O270" i="43"/>
  <c r="O271" i="43"/>
  <c r="O272" i="43"/>
  <c r="O273" i="43"/>
  <c r="O274" i="43"/>
  <c r="O275" i="43"/>
  <c r="O276" i="43"/>
  <c r="O277" i="43"/>
  <c r="O278" i="43"/>
  <c r="O279" i="43"/>
  <c r="O280" i="43"/>
  <c r="O281" i="43"/>
  <c r="O282" i="43"/>
  <c r="O283" i="43"/>
  <c r="O284" i="43"/>
  <c r="O285" i="43"/>
  <c r="O286" i="43"/>
  <c r="O287" i="43"/>
  <c r="O288" i="43"/>
  <c r="O289" i="43"/>
  <c r="O290" i="43"/>
  <c r="O291" i="43"/>
  <c r="O292" i="43"/>
  <c r="O293" i="43"/>
  <c r="O294" i="43"/>
  <c r="O295" i="43"/>
  <c r="O296" i="43"/>
  <c r="O297" i="43"/>
  <c r="O298" i="43"/>
  <c r="O299" i="43"/>
  <c r="O300" i="43"/>
  <c r="O363" i="43"/>
  <c r="O364" i="43"/>
  <c r="O365" i="43"/>
  <c r="O366" i="43"/>
  <c r="O367" i="43"/>
  <c r="O368" i="43"/>
  <c r="O369" i="43"/>
  <c r="O370" i="43"/>
  <c r="O371" i="43"/>
  <c r="O372" i="43"/>
  <c r="O373" i="43"/>
  <c r="O374" i="43"/>
  <c r="O375" i="43"/>
  <c r="O376" i="43"/>
  <c r="O377" i="43"/>
  <c r="O378" i="43"/>
  <c r="O379" i="43"/>
  <c r="O380" i="43"/>
  <c r="O381" i="43"/>
  <c r="O382" i="43"/>
  <c r="O383" i="43"/>
  <c r="O384" i="43"/>
  <c r="O385" i="43"/>
  <c r="O386" i="43"/>
  <c r="O387" i="43"/>
  <c r="O388" i="43"/>
  <c r="O389" i="43"/>
  <c r="O390" i="43"/>
  <c r="O391" i="43"/>
  <c r="O392" i="43"/>
  <c r="O393" i="43"/>
  <c r="O394" i="43"/>
  <c r="O395" i="43"/>
  <c r="O396" i="43"/>
  <c r="O397" i="43"/>
  <c r="O398" i="43"/>
  <c r="O399" i="43"/>
  <c r="O400" i="43"/>
  <c r="O401" i="43"/>
  <c r="O402" i="43"/>
  <c r="O403" i="43"/>
  <c r="O404" i="43"/>
  <c r="O405" i="43"/>
  <c r="O406" i="43"/>
  <c r="O407" i="43"/>
  <c r="O408" i="43"/>
  <c r="O409" i="43"/>
  <c r="O410" i="43"/>
  <c r="O411" i="43"/>
  <c r="O412" i="43"/>
  <c r="O413" i="43"/>
  <c r="O414" i="43"/>
  <c r="O415" i="43"/>
  <c r="O416" i="43"/>
  <c r="O417" i="43"/>
  <c r="O418" i="43"/>
  <c r="O419" i="43"/>
  <c r="O420" i="43"/>
  <c r="O421" i="43"/>
  <c r="O422" i="43"/>
  <c r="O423" i="43"/>
  <c r="O424" i="43"/>
  <c r="O425" i="43"/>
  <c r="O426" i="43"/>
  <c r="O427" i="43"/>
  <c r="O428" i="43"/>
  <c r="O429" i="43"/>
  <c r="O430" i="43"/>
  <c r="O431" i="43"/>
  <c r="O432" i="43"/>
  <c r="O433" i="43"/>
  <c r="O434" i="43"/>
  <c r="O435" i="43"/>
  <c r="O436" i="43"/>
  <c r="O437" i="43"/>
  <c r="O438" i="43"/>
  <c r="O439" i="43"/>
  <c r="O440" i="43"/>
  <c r="O441" i="43"/>
  <c r="O442" i="43"/>
  <c r="O443" i="43"/>
  <c r="O444" i="43"/>
  <c r="O445" i="43"/>
  <c r="O446" i="43"/>
  <c r="O447" i="43"/>
  <c r="O448" i="43"/>
  <c r="O449" i="43"/>
  <c r="O450" i="43"/>
  <c r="O451" i="43"/>
  <c r="O452" i="43"/>
  <c r="O453" i="43"/>
  <c r="O454" i="43"/>
  <c r="O455" i="43"/>
  <c r="O456" i="43"/>
  <c r="O457" i="43"/>
  <c r="O458" i="43"/>
  <c r="O459" i="43"/>
  <c r="O460" i="43"/>
  <c r="O461" i="43"/>
  <c r="O462" i="43"/>
  <c r="O463" i="43"/>
  <c r="O464" i="43"/>
  <c r="O465" i="43"/>
  <c r="O466" i="43"/>
  <c r="O467" i="43"/>
  <c r="O468" i="43"/>
  <c r="O469" i="43"/>
  <c r="O470" i="43"/>
  <c r="O471" i="43"/>
  <c r="O472" i="43"/>
  <c r="O473" i="43"/>
  <c r="O474" i="43"/>
  <c r="O475" i="43"/>
  <c r="O476" i="43"/>
  <c r="O477" i="43"/>
  <c r="O478" i="43"/>
  <c r="O479" i="43"/>
  <c r="O480" i="43"/>
  <c r="O481" i="43"/>
  <c r="O482" i="43"/>
  <c r="O483" i="43"/>
  <c r="O484" i="43"/>
  <c r="O485" i="43"/>
  <c r="O486" i="43"/>
  <c r="O487" i="43"/>
  <c r="O488" i="43"/>
  <c r="O489" i="43"/>
  <c r="O490" i="43"/>
  <c r="O491" i="43"/>
  <c r="O492" i="43"/>
  <c r="O493" i="43"/>
  <c r="O494" i="43"/>
  <c r="O495" i="43"/>
  <c r="O496" i="43"/>
  <c r="O497" i="43"/>
  <c r="O498" i="43"/>
  <c r="O499" i="43"/>
  <c r="O500" i="43"/>
  <c r="O501" i="43"/>
  <c r="O502" i="43"/>
  <c r="O503" i="43"/>
  <c r="O504" i="43"/>
  <c r="O505" i="43"/>
  <c r="O506" i="43"/>
  <c r="O507" i="43"/>
  <c r="O508" i="43"/>
  <c r="O509" i="43"/>
  <c r="O510" i="43"/>
  <c r="O511" i="43"/>
  <c r="O512" i="43"/>
  <c r="O513" i="43"/>
  <c r="O514" i="43"/>
  <c r="O515" i="43"/>
  <c r="O516" i="43"/>
  <c r="O517" i="43"/>
  <c r="O518" i="43"/>
  <c r="O519" i="43"/>
  <c r="O520" i="43"/>
  <c r="O521" i="43"/>
  <c r="O522" i="43"/>
  <c r="O523" i="43"/>
  <c r="O524" i="43"/>
  <c r="O525" i="43"/>
  <c r="O526" i="43"/>
  <c r="O527" i="43"/>
  <c r="O528" i="43"/>
  <c r="O529" i="43"/>
  <c r="O530" i="43"/>
  <c r="O531" i="43"/>
  <c r="O532" i="43"/>
  <c r="O533" i="43"/>
  <c r="O534" i="43"/>
  <c r="O535" i="43"/>
  <c r="O536" i="43"/>
  <c r="O537" i="43"/>
  <c r="O538" i="43"/>
  <c r="O539" i="43"/>
  <c r="O540" i="43"/>
  <c r="O541" i="43"/>
  <c r="O542" i="43"/>
  <c r="O543" i="43"/>
  <c r="O544" i="43"/>
  <c r="O545" i="43"/>
  <c r="O546" i="43"/>
  <c r="O547" i="43"/>
  <c r="O548" i="43"/>
  <c r="O549" i="43"/>
  <c r="O550" i="43"/>
  <c r="O551" i="43"/>
  <c r="O552" i="43"/>
  <c r="O553" i="43"/>
  <c r="O554" i="43"/>
  <c r="O555" i="43"/>
  <c r="O556" i="43"/>
  <c r="O557" i="43"/>
  <c r="O558" i="43"/>
  <c r="O559" i="43"/>
  <c r="O560" i="43"/>
  <c r="O561" i="43"/>
  <c r="O562" i="43"/>
  <c r="O563" i="43"/>
  <c r="O564" i="43"/>
  <c r="O565" i="43"/>
  <c r="O566" i="43"/>
  <c r="O567" i="43"/>
  <c r="O568" i="43"/>
  <c r="O569" i="43"/>
  <c r="O570" i="43"/>
  <c r="O571" i="43"/>
  <c r="O572" i="43"/>
  <c r="O573" i="43"/>
  <c r="O574" i="43"/>
  <c r="O575" i="43"/>
  <c r="O576" i="43"/>
  <c r="O577" i="43"/>
  <c r="O578" i="43"/>
  <c r="O579" i="43"/>
  <c r="O580" i="43"/>
  <c r="O581" i="43"/>
  <c r="O582" i="43"/>
  <c r="O583" i="43"/>
  <c r="O584" i="43"/>
  <c r="O585" i="43"/>
  <c r="O586" i="43"/>
  <c r="O587" i="43"/>
  <c r="O588" i="43"/>
  <c r="O589" i="43"/>
  <c r="O590" i="43"/>
  <c r="O591" i="43"/>
  <c r="O592" i="43"/>
  <c r="O593" i="43"/>
  <c r="O594" i="43"/>
  <c r="O595" i="43"/>
  <c r="O596" i="43"/>
  <c r="O597" i="43"/>
  <c r="O598" i="43"/>
  <c r="O599" i="43"/>
  <c r="O600" i="43"/>
  <c r="O601" i="43"/>
  <c r="O602" i="43"/>
  <c r="O603" i="43"/>
  <c r="O604" i="43"/>
  <c r="O605" i="43"/>
  <c r="O606" i="43"/>
  <c r="O607" i="43"/>
  <c r="O608" i="43"/>
  <c r="O609" i="43"/>
  <c r="O610" i="43"/>
  <c r="O611" i="43"/>
  <c r="O612" i="43"/>
  <c r="O613" i="43"/>
  <c r="O614" i="43"/>
  <c r="O615" i="43"/>
  <c r="O616" i="43"/>
  <c r="O617" i="43"/>
  <c r="O618" i="43"/>
  <c r="O619" i="43"/>
  <c r="O620" i="43"/>
  <c r="O621" i="43"/>
  <c r="O622" i="43"/>
  <c r="O623" i="43"/>
  <c r="O624" i="43"/>
  <c r="O625" i="43"/>
  <c r="O626" i="43"/>
  <c r="O627" i="43"/>
  <c r="O628" i="43"/>
  <c r="O629" i="43"/>
  <c r="O630" i="43"/>
  <c r="O631" i="43"/>
  <c r="O632" i="43"/>
  <c r="O633" i="43"/>
  <c r="O634" i="43"/>
  <c r="O635" i="43"/>
  <c r="O636" i="43"/>
  <c r="O637" i="43"/>
  <c r="O638" i="43"/>
  <c r="O639" i="43"/>
  <c r="O640" i="43"/>
  <c r="O641" i="43"/>
  <c r="O642" i="43"/>
  <c r="O643" i="43"/>
  <c r="O644" i="43"/>
  <c r="O645" i="43"/>
  <c r="O646" i="43"/>
  <c r="O647" i="43"/>
  <c r="O648" i="43"/>
  <c r="O649" i="43"/>
  <c r="O650" i="43"/>
  <c r="O651" i="43"/>
  <c r="O652" i="43"/>
  <c r="O653" i="43"/>
  <c r="O654" i="43"/>
  <c r="O655" i="43"/>
  <c r="O656" i="43"/>
  <c r="O657" i="43"/>
  <c r="O658" i="43"/>
  <c r="O659" i="43"/>
  <c r="O660" i="43"/>
  <c r="O661" i="43"/>
  <c r="O662" i="43"/>
  <c r="O663" i="43"/>
  <c r="O664" i="43"/>
  <c r="O665" i="43"/>
  <c r="O666" i="43"/>
  <c r="O667" i="43"/>
  <c r="O668" i="43"/>
  <c r="O669" i="43"/>
  <c r="O670" i="43"/>
  <c r="O671" i="43"/>
  <c r="O672" i="43"/>
  <c r="O673" i="43"/>
  <c r="O674" i="43"/>
  <c r="O675" i="43"/>
  <c r="O676" i="43"/>
  <c r="O677" i="43"/>
  <c r="O678" i="43"/>
  <c r="O679" i="43"/>
  <c r="O680" i="43"/>
  <c r="O681" i="43"/>
  <c r="O682" i="43"/>
  <c r="O683" i="43"/>
  <c r="O684" i="43"/>
  <c r="O685" i="43"/>
  <c r="O686" i="43"/>
  <c r="O687" i="43"/>
  <c r="O688" i="43"/>
  <c r="O689" i="43"/>
  <c r="O690" i="43"/>
  <c r="O691" i="43"/>
  <c r="O692" i="43"/>
  <c r="O693" i="43"/>
  <c r="O694" i="43"/>
  <c r="O695" i="43"/>
  <c r="O696" i="43"/>
  <c r="O697" i="43"/>
  <c r="O698" i="43"/>
  <c r="O699" i="43"/>
  <c r="O700" i="43"/>
  <c r="O701" i="43"/>
  <c r="O702" i="43"/>
  <c r="O703" i="43"/>
  <c r="O704" i="43"/>
  <c r="O705" i="43"/>
  <c r="O706" i="43"/>
  <c r="O707" i="43"/>
  <c r="O708" i="43"/>
  <c r="O709" i="43"/>
  <c r="O710" i="43"/>
  <c r="O711" i="43"/>
  <c r="O712" i="43"/>
  <c r="O713" i="43"/>
  <c r="O714" i="43"/>
  <c r="O715" i="43"/>
  <c r="O716" i="43"/>
  <c r="O717" i="43"/>
  <c r="O718" i="43"/>
  <c r="O719" i="43"/>
  <c r="O720" i="43"/>
  <c r="O721" i="43"/>
  <c r="O722" i="43"/>
  <c r="O723" i="43"/>
  <c r="O724" i="43"/>
  <c r="O725" i="43"/>
  <c r="O726" i="43"/>
  <c r="O727" i="43"/>
  <c r="O728" i="43"/>
  <c r="O729" i="43"/>
  <c r="O730" i="43"/>
  <c r="O731" i="43"/>
  <c r="O732" i="43"/>
  <c r="O733" i="43"/>
  <c r="O734" i="43"/>
  <c r="O735" i="43"/>
  <c r="O736" i="43"/>
  <c r="O737" i="43"/>
  <c r="O738" i="43"/>
  <c r="O739" i="43"/>
  <c r="O740" i="43"/>
  <c r="O741" i="43"/>
  <c r="O742" i="43"/>
  <c r="O743" i="43"/>
  <c r="O744" i="43"/>
  <c r="O745" i="43"/>
  <c r="O746" i="43"/>
  <c r="O747" i="43"/>
  <c r="O748" i="43"/>
  <c r="O749" i="43"/>
  <c r="O750" i="43"/>
  <c r="O751" i="43"/>
  <c r="O752" i="43"/>
  <c r="O753" i="43"/>
  <c r="O754" i="43"/>
  <c r="O755" i="43"/>
  <c r="O756" i="43"/>
  <c r="O757" i="43"/>
  <c r="O758" i="43"/>
  <c r="O759" i="43"/>
  <c r="O760" i="43"/>
  <c r="O761" i="43"/>
  <c r="O762" i="43"/>
  <c r="O763" i="43"/>
  <c r="O764" i="43"/>
  <c r="O765" i="43"/>
  <c r="O766" i="43"/>
  <c r="O767" i="43"/>
  <c r="O768" i="43"/>
  <c r="O769" i="43"/>
  <c r="O770" i="43"/>
  <c r="O771" i="43"/>
  <c r="O772" i="43"/>
  <c r="O773" i="43"/>
  <c r="O774" i="43"/>
  <c r="O775" i="43"/>
  <c r="O776" i="43"/>
  <c r="O777" i="43"/>
  <c r="O778" i="43"/>
  <c r="O779" i="43"/>
  <c r="O780" i="43"/>
  <c r="O781" i="43"/>
  <c r="O782" i="43"/>
  <c r="O783" i="43"/>
  <c r="O784" i="43"/>
  <c r="O785" i="43"/>
  <c r="O786" i="43"/>
  <c r="O787" i="43"/>
  <c r="O788" i="43"/>
  <c r="O789" i="43"/>
  <c r="O790" i="43"/>
  <c r="O791" i="43"/>
  <c r="O792" i="43"/>
  <c r="O793" i="43"/>
  <c r="O794" i="43"/>
  <c r="O795" i="43"/>
  <c r="O796" i="43"/>
  <c r="O797" i="43"/>
  <c r="O798" i="43"/>
  <c r="O799" i="43"/>
  <c r="O800" i="43"/>
  <c r="O801" i="43"/>
  <c r="O802" i="43"/>
  <c r="O803" i="43"/>
  <c r="O804" i="43"/>
  <c r="O805" i="43"/>
  <c r="O806" i="43"/>
  <c r="O807" i="43"/>
  <c r="O808" i="43"/>
  <c r="O809" i="43"/>
  <c r="O810" i="43"/>
  <c r="O811" i="43"/>
  <c r="O812" i="43"/>
  <c r="O813" i="43"/>
  <c r="O814" i="43"/>
  <c r="O815" i="43"/>
  <c r="O816" i="43"/>
  <c r="O817" i="43"/>
  <c r="O818" i="43"/>
  <c r="O819" i="43"/>
  <c r="O820" i="43"/>
  <c r="O821" i="43"/>
  <c r="O822" i="43"/>
  <c r="O823" i="43"/>
  <c r="O824" i="43"/>
  <c r="O825" i="43"/>
  <c r="O826" i="43"/>
  <c r="O827" i="43"/>
  <c r="O828" i="43"/>
  <c r="O829" i="43"/>
  <c r="O830" i="43"/>
  <c r="O831" i="43"/>
  <c r="O832" i="43"/>
  <c r="O833" i="43"/>
  <c r="O834" i="43"/>
  <c r="O835" i="43"/>
  <c r="O836" i="43"/>
  <c r="O837" i="43"/>
  <c r="O838" i="43"/>
  <c r="O839" i="43"/>
  <c r="O840" i="43"/>
  <c r="O841" i="43"/>
  <c r="O842" i="43"/>
  <c r="O843" i="43"/>
  <c r="O844" i="43"/>
  <c r="O845" i="43"/>
  <c r="O846" i="43"/>
  <c r="O847" i="43"/>
  <c r="O848" i="43"/>
  <c r="O849" i="43"/>
  <c r="O850" i="43"/>
  <c r="O851" i="43"/>
  <c r="O852" i="43"/>
  <c r="O853" i="43"/>
  <c r="O854" i="43"/>
  <c r="O855" i="43"/>
  <c r="O856" i="43"/>
  <c r="O857" i="43"/>
  <c r="O858" i="43"/>
  <c r="O859" i="43"/>
  <c r="O860" i="43"/>
  <c r="O861" i="43"/>
  <c r="O862" i="43"/>
  <c r="O863" i="43"/>
  <c r="O864" i="43"/>
  <c r="O865" i="43"/>
  <c r="O866" i="43"/>
  <c r="O867" i="43"/>
  <c r="O868" i="43"/>
  <c r="O869" i="43"/>
  <c r="O870" i="43"/>
  <c r="O871" i="43"/>
  <c r="O872" i="43"/>
  <c r="O873" i="43"/>
  <c r="O874" i="43"/>
  <c r="O875" i="43"/>
  <c r="O876" i="43"/>
  <c r="O877" i="43"/>
  <c r="O878" i="43"/>
  <c r="O879" i="43"/>
  <c r="O880" i="43"/>
  <c r="O881" i="43"/>
  <c r="O882" i="43"/>
  <c r="O883" i="43"/>
  <c r="O884" i="43"/>
  <c r="O885" i="43"/>
  <c r="O886" i="43"/>
  <c r="O887" i="43"/>
  <c r="O888" i="43"/>
  <c r="O889" i="43"/>
  <c r="O890" i="43"/>
  <c r="O891" i="43"/>
  <c r="O892" i="43"/>
  <c r="O893" i="43"/>
  <c r="O894" i="43"/>
  <c r="O895" i="43"/>
  <c r="O896" i="43"/>
  <c r="O897" i="43"/>
  <c r="O898" i="43"/>
  <c r="O899" i="43"/>
  <c r="O900" i="43"/>
  <c r="O901" i="43"/>
  <c r="O902" i="43"/>
  <c r="O903" i="43"/>
  <c r="O904" i="43"/>
  <c r="O905" i="43"/>
  <c r="O906" i="43"/>
  <c r="O907" i="43"/>
  <c r="O908" i="43"/>
  <c r="O909" i="43"/>
  <c r="O910" i="43"/>
  <c r="O911" i="43"/>
  <c r="O912" i="43"/>
  <c r="O913" i="43"/>
  <c r="O914" i="43"/>
  <c r="O915" i="43"/>
  <c r="O916" i="43"/>
  <c r="O917" i="43"/>
  <c r="O918" i="43"/>
  <c r="O919" i="43"/>
  <c r="O920" i="43"/>
  <c r="O921" i="43"/>
  <c r="O922" i="43"/>
  <c r="O923" i="43"/>
  <c r="O924" i="43"/>
  <c r="O925" i="43"/>
  <c r="O926" i="43"/>
  <c r="O927" i="43"/>
  <c r="O928" i="43"/>
  <c r="O929" i="43"/>
  <c r="O930" i="43"/>
  <c r="O931" i="43"/>
  <c r="O932" i="43"/>
  <c r="O933" i="43"/>
  <c r="O934" i="43"/>
  <c r="O935" i="43"/>
  <c r="O936" i="43"/>
  <c r="O937" i="43"/>
  <c r="O938" i="43"/>
  <c r="O939" i="43"/>
  <c r="O940" i="43"/>
  <c r="O941" i="43"/>
  <c r="O942" i="43"/>
  <c r="O943" i="43"/>
  <c r="O944" i="43"/>
  <c r="O945" i="43"/>
  <c r="O946" i="43"/>
  <c r="O947" i="43"/>
  <c r="O948" i="43"/>
  <c r="O949" i="43"/>
  <c r="O950" i="43"/>
  <c r="O951" i="43"/>
  <c r="O952" i="43"/>
  <c r="O953" i="43"/>
  <c r="O954" i="43"/>
  <c r="O955" i="43"/>
  <c r="O956" i="43"/>
  <c r="O957" i="43"/>
  <c r="O958" i="43"/>
  <c r="O959" i="43"/>
  <c r="O960" i="43"/>
  <c r="O961" i="43"/>
  <c r="O962" i="43"/>
  <c r="O963" i="43"/>
  <c r="O964" i="43"/>
  <c r="O965" i="43"/>
  <c r="O966" i="43"/>
  <c r="O967" i="43"/>
  <c r="O968" i="43"/>
  <c r="O969" i="43"/>
  <c r="O970" i="43"/>
  <c r="O971" i="43"/>
  <c r="O972" i="43"/>
  <c r="O973" i="43"/>
  <c r="O974" i="43"/>
  <c r="O975" i="43"/>
  <c r="O976" i="43"/>
  <c r="O977" i="43"/>
  <c r="O978" i="43"/>
  <c r="O979" i="43"/>
  <c r="O980" i="43"/>
  <c r="O981" i="43"/>
  <c r="O982" i="43"/>
  <c r="O983" i="43"/>
  <c r="O984" i="43"/>
  <c r="O985" i="43"/>
  <c r="O986" i="43"/>
  <c r="O987" i="43"/>
  <c r="O988" i="43"/>
  <c r="O989" i="43"/>
  <c r="O990" i="43"/>
  <c r="O991" i="43"/>
  <c r="O992" i="43"/>
  <c r="O993" i="43"/>
  <c r="O994" i="43"/>
  <c r="O995" i="43"/>
  <c r="O996" i="43"/>
  <c r="O997" i="43"/>
  <c r="O998" i="43"/>
  <c r="O999" i="43"/>
  <c r="O1000" i="43"/>
  <c r="O1001" i="43"/>
  <c r="O1002" i="43"/>
  <c r="O1003" i="43"/>
  <c r="N10" i="43"/>
  <c r="N11" i="43"/>
  <c r="N12" i="43"/>
  <c r="N13" i="43"/>
  <c r="N14" i="43"/>
  <c r="N15" i="43"/>
  <c r="N16" i="43"/>
  <c r="N17" i="43"/>
  <c r="N18" i="43"/>
  <c r="N19" i="43"/>
  <c r="N20" i="43"/>
  <c r="N21" i="43"/>
  <c r="N22" i="43"/>
  <c r="N23" i="43"/>
  <c r="N24" i="43"/>
  <c r="N25" i="43"/>
  <c r="N26" i="43"/>
  <c r="N27" i="43"/>
  <c r="N28" i="43"/>
  <c r="N29" i="43"/>
  <c r="N30" i="43"/>
  <c r="N31" i="43"/>
  <c r="N32" i="43"/>
  <c r="N33" i="43"/>
  <c r="N34" i="43"/>
  <c r="N35" i="43"/>
  <c r="N36" i="43"/>
  <c r="N37" i="43"/>
  <c r="N38" i="43"/>
  <c r="N39" i="43"/>
  <c r="N40" i="43"/>
  <c r="N41" i="43"/>
  <c r="N42" i="43"/>
  <c r="N43" i="43"/>
  <c r="N44" i="43"/>
  <c r="N45" i="43"/>
  <c r="N46" i="43"/>
  <c r="N47" i="43"/>
  <c r="N48" i="43"/>
  <c r="N49" i="43"/>
  <c r="N50" i="43"/>
  <c r="N51" i="43"/>
  <c r="N52" i="43"/>
  <c r="N53" i="43"/>
  <c r="N54" i="43"/>
  <c r="N55" i="43"/>
  <c r="N56" i="43"/>
  <c r="N57" i="43"/>
  <c r="N58" i="43"/>
  <c r="N59" i="43"/>
  <c r="N60" i="43"/>
  <c r="N61" i="43"/>
  <c r="N62" i="43"/>
  <c r="N63" i="43"/>
  <c r="N64" i="43"/>
  <c r="N65" i="43"/>
  <c r="N66" i="43"/>
  <c r="N67" i="43"/>
  <c r="N68" i="43"/>
  <c r="N69" i="43"/>
  <c r="N70" i="43"/>
  <c r="N71" i="43"/>
  <c r="N72" i="43"/>
  <c r="N73" i="43"/>
  <c r="N74" i="43"/>
  <c r="N75" i="43"/>
  <c r="N76" i="43"/>
  <c r="N77" i="43"/>
  <c r="N78" i="43"/>
  <c r="N79" i="43"/>
  <c r="N80" i="43"/>
  <c r="N81" i="43"/>
  <c r="N82" i="43"/>
  <c r="N83" i="43"/>
  <c r="N84" i="43"/>
  <c r="N85" i="43"/>
  <c r="N86" i="43"/>
  <c r="N87" i="43"/>
  <c r="N88" i="43"/>
  <c r="N89" i="43"/>
  <c r="N90" i="43"/>
  <c r="N91" i="43"/>
  <c r="N92" i="43"/>
  <c r="N93" i="43"/>
  <c r="N94" i="43"/>
  <c r="N95" i="43"/>
  <c r="N96" i="43"/>
  <c r="N97" i="43"/>
  <c r="N98" i="43"/>
  <c r="N99" i="43"/>
  <c r="N100" i="43"/>
  <c r="N101" i="43"/>
  <c r="N102" i="43"/>
  <c r="N103" i="43"/>
  <c r="N104" i="43"/>
  <c r="N105" i="43"/>
  <c r="N106" i="43"/>
  <c r="N107" i="43"/>
  <c r="N108" i="43"/>
  <c r="N109" i="43"/>
  <c r="N110" i="43"/>
  <c r="N111" i="43"/>
  <c r="N112" i="43"/>
  <c r="N113" i="43"/>
  <c r="N114" i="43"/>
  <c r="N115" i="43"/>
  <c r="N116" i="43"/>
  <c r="N117" i="43"/>
  <c r="N118" i="43"/>
  <c r="N119" i="43"/>
  <c r="N120" i="43"/>
  <c r="N121" i="43"/>
  <c r="N122" i="43"/>
  <c r="N123" i="43"/>
  <c r="N124" i="43"/>
  <c r="N125" i="43"/>
  <c r="N126" i="43"/>
  <c r="N127" i="43"/>
  <c r="N128" i="43"/>
  <c r="N129" i="43"/>
  <c r="N130" i="43"/>
  <c r="N131" i="43"/>
  <c r="N132" i="43"/>
  <c r="N133" i="43"/>
  <c r="N134" i="43"/>
  <c r="N135" i="43"/>
  <c r="N136" i="43"/>
  <c r="N137" i="43"/>
  <c r="N138" i="43"/>
  <c r="N139" i="43"/>
  <c r="N140" i="43"/>
  <c r="N141" i="43"/>
  <c r="N142" i="43"/>
  <c r="N143" i="43"/>
  <c r="N144" i="43"/>
  <c r="N145" i="43"/>
  <c r="N146" i="43"/>
  <c r="N147" i="43"/>
  <c r="N148" i="43"/>
  <c r="N149" i="43"/>
  <c r="N150" i="43"/>
  <c r="N151" i="43"/>
  <c r="N152" i="43"/>
  <c r="N153" i="43"/>
  <c r="N154" i="43"/>
  <c r="N155" i="43"/>
  <c r="N156" i="43"/>
  <c r="N157" i="43"/>
  <c r="N158" i="43"/>
  <c r="N159" i="43"/>
  <c r="N160" i="43"/>
  <c r="N161" i="43"/>
  <c r="N162" i="43"/>
  <c r="N163" i="43"/>
  <c r="N164" i="43"/>
  <c r="N165" i="43"/>
  <c r="N166" i="43"/>
  <c r="N167" i="43"/>
  <c r="N168" i="43"/>
  <c r="N169" i="43"/>
  <c r="N170" i="43"/>
  <c r="N171" i="43"/>
  <c r="N172" i="43"/>
  <c r="N173" i="43"/>
  <c r="N174" i="43"/>
  <c r="N175" i="43"/>
  <c r="N176" i="43"/>
  <c r="N177" i="43"/>
  <c r="N178" i="43"/>
  <c r="N179" i="43"/>
  <c r="N180" i="43"/>
  <c r="N181" i="43"/>
  <c r="N182" i="43"/>
  <c r="N183" i="43"/>
  <c r="N184" i="43"/>
  <c r="N185" i="43"/>
  <c r="N186" i="43"/>
  <c r="N187" i="43"/>
  <c r="N188" i="43"/>
  <c r="N189" i="43"/>
  <c r="N190" i="43"/>
  <c r="N191" i="43"/>
  <c r="N192" i="43"/>
  <c r="N193" i="43"/>
  <c r="N194" i="43"/>
  <c r="N195" i="43"/>
  <c r="N196" i="43"/>
  <c r="N197" i="43"/>
  <c r="N198" i="43"/>
  <c r="N199" i="43"/>
  <c r="N200" i="43"/>
  <c r="N201" i="43"/>
  <c r="N202" i="43"/>
  <c r="N203" i="43"/>
  <c r="N204" i="43"/>
  <c r="N205" i="43"/>
  <c r="N206" i="43"/>
  <c r="N207" i="43"/>
  <c r="N208" i="43"/>
  <c r="N209" i="43"/>
  <c r="N210" i="43"/>
  <c r="N211" i="43"/>
  <c r="N212" i="43"/>
  <c r="N213" i="43"/>
  <c r="N214" i="43"/>
  <c r="N215" i="43"/>
  <c r="N216" i="43"/>
  <c r="N217" i="43"/>
  <c r="N218" i="43"/>
  <c r="N219" i="43"/>
  <c r="N220" i="43"/>
  <c r="N221" i="43"/>
  <c r="N222" i="43"/>
  <c r="N223" i="43"/>
  <c r="N224" i="43"/>
  <c r="N225" i="43"/>
  <c r="N226" i="43"/>
  <c r="N227" i="43"/>
  <c r="N228" i="43"/>
  <c r="N229" i="43"/>
  <c r="N230" i="43"/>
  <c r="N231" i="43"/>
  <c r="N232" i="43"/>
  <c r="N233" i="43"/>
  <c r="N234" i="43"/>
  <c r="N235" i="43"/>
  <c r="N236" i="43"/>
  <c r="N237" i="43"/>
  <c r="N238" i="43"/>
  <c r="N239" i="43"/>
  <c r="N240" i="43"/>
  <c r="N241" i="43"/>
  <c r="N242" i="43"/>
  <c r="N243" i="43"/>
  <c r="N244" i="43"/>
  <c r="N245" i="43"/>
  <c r="N246" i="43"/>
  <c r="N247" i="43"/>
  <c r="N248" i="43"/>
  <c r="N249" i="43"/>
  <c r="N250" i="43"/>
  <c r="N251" i="43"/>
  <c r="N252" i="43"/>
  <c r="N253" i="43"/>
  <c r="N254" i="43"/>
  <c r="N255" i="43"/>
  <c r="N256" i="43"/>
  <c r="N257" i="43"/>
  <c r="N258" i="43"/>
  <c r="N259" i="43"/>
  <c r="N260" i="43"/>
  <c r="N261" i="43"/>
  <c r="N262" i="43"/>
  <c r="N263" i="43"/>
  <c r="N264" i="43"/>
  <c r="N265" i="43"/>
  <c r="N266" i="43"/>
  <c r="N267" i="43"/>
  <c r="N268" i="43"/>
  <c r="N269" i="43"/>
  <c r="N270" i="43"/>
  <c r="N271" i="43"/>
  <c r="N272" i="43"/>
  <c r="N273" i="43"/>
  <c r="N274" i="43"/>
  <c r="N275" i="43"/>
  <c r="N276" i="43"/>
  <c r="N277" i="43"/>
  <c r="N278" i="43"/>
  <c r="N279" i="43"/>
  <c r="N280" i="43"/>
  <c r="N281" i="43"/>
  <c r="N282" i="43"/>
  <c r="N283" i="43"/>
  <c r="N284" i="43"/>
  <c r="N285" i="43"/>
  <c r="N286" i="43"/>
  <c r="N287" i="43"/>
  <c r="N288" i="43"/>
  <c r="N289" i="43"/>
  <c r="N290" i="43"/>
  <c r="N291" i="43"/>
  <c r="N292" i="43"/>
  <c r="N293" i="43"/>
  <c r="N294" i="43"/>
  <c r="N295" i="43"/>
  <c r="N296" i="43"/>
  <c r="N297" i="43"/>
  <c r="N298" i="43"/>
  <c r="N299" i="43"/>
  <c r="N300" i="43"/>
  <c r="N363" i="43"/>
  <c r="N364" i="43"/>
  <c r="N365" i="43"/>
  <c r="N366" i="43"/>
  <c r="N367" i="43"/>
  <c r="N368" i="43"/>
  <c r="N369" i="43"/>
  <c r="N370" i="43"/>
  <c r="N371" i="43"/>
  <c r="N372" i="43"/>
  <c r="N373" i="43"/>
  <c r="N374" i="43"/>
  <c r="N375" i="43"/>
  <c r="N376" i="43"/>
  <c r="N377" i="43"/>
  <c r="N378" i="43"/>
  <c r="N379" i="43"/>
  <c r="N380" i="43"/>
  <c r="N381" i="43"/>
  <c r="N382" i="43"/>
  <c r="N383" i="43"/>
  <c r="N384" i="43"/>
  <c r="N385" i="43"/>
  <c r="N386" i="43"/>
  <c r="N387" i="43"/>
  <c r="N388" i="43"/>
  <c r="N389" i="43"/>
  <c r="N390" i="43"/>
  <c r="N391" i="43"/>
  <c r="N392" i="43"/>
  <c r="N393" i="43"/>
  <c r="N394" i="43"/>
  <c r="N395" i="43"/>
  <c r="N396" i="43"/>
  <c r="N397" i="43"/>
  <c r="N398" i="43"/>
  <c r="N399" i="43"/>
  <c r="N400" i="43"/>
  <c r="N401" i="43"/>
  <c r="N402" i="43"/>
  <c r="N403" i="43"/>
  <c r="N404" i="43"/>
  <c r="N405" i="43"/>
  <c r="N406" i="43"/>
  <c r="N407" i="43"/>
  <c r="N408" i="43"/>
  <c r="N409" i="43"/>
  <c r="N410" i="43"/>
  <c r="N411" i="43"/>
  <c r="N412" i="43"/>
  <c r="N413" i="43"/>
  <c r="N414" i="43"/>
  <c r="N415" i="43"/>
  <c r="N416" i="43"/>
  <c r="N417" i="43"/>
  <c r="N418" i="43"/>
  <c r="N419" i="43"/>
  <c r="N420" i="43"/>
  <c r="N421" i="43"/>
  <c r="N422" i="43"/>
  <c r="N423" i="43"/>
  <c r="N424" i="43"/>
  <c r="N425" i="43"/>
  <c r="N426" i="43"/>
  <c r="N427" i="43"/>
  <c r="N428" i="43"/>
  <c r="N429" i="43"/>
  <c r="N430" i="43"/>
  <c r="N431" i="43"/>
  <c r="N432" i="43"/>
  <c r="N433" i="43"/>
  <c r="N434" i="43"/>
  <c r="N435" i="43"/>
  <c r="N436" i="43"/>
  <c r="N437" i="43"/>
  <c r="N438" i="43"/>
  <c r="N439" i="43"/>
  <c r="N440" i="43"/>
  <c r="N441" i="43"/>
  <c r="N442" i="43"/>
  <c r="N443" i="43"/>
  <c r="N444" i="43"/>
  <c r="N445" i="43"/>
  <c r="N446" i="43"/>
  <c r="N447" i="43"/>
  <c r="N448" i="43"/>
  <c r="N449" i="43"/>
  <c r="N450" i="43"/>
  <c r="N451" i="43"/>
  <c r="N452" i="43"/>
  <c r="N453" i="43"/>
  <c r="N454" i="43"/>
  <c r="N455" i="43"/>
  <c r="N456" i="43"/>
  <c r="N457" i="43"/>
  <c r="N458" i="43"/>
  <c r="N459" i="43"/>
  <c r="N460" i="43"/>
  <c r="N461" i="43"/>
  <c r="N462" i="43"/>
  <c r="N463" i="43"/>
  <c r="N464" i="43"/>
  <c r="N465" i="43"/>
  <c r="N466" i="43"/>
  <c r="N467" i="43"/>
  <c r="N468" i="43"/>
  <c r="N469" i="43"/>
  <c r="N470" i="43"/>
  <c r="N471" i="43"/>
  <c r="N472" i="43"/>
  <c r="N473" i="43"/>
  <c r="N474" i="43"/>
  <c r="N475" i="43"/>
  <c r="N476" i="43"/>
  <c r="N477" i="43"/>
  <c r="N478" i="43"/>
  <c r="N479" i="43"/>
  <c r="N480" i="43"/>
  <c r="N481" i="43"/>
  <c r="N482" i="43"/>
  <c r="N483" i="43"/>
  <c r="N484" i="43"/>
  <c r="N485" i="43"/>
  <c r="N486" i="43"/>
  <c r="N487" i="43"/>
  <c r="N488" i="43"/>
  <c r="N489" i="43"/>
  <c r="N490" i="43"/>
  <c r="N491" i="43"/>
  <c r="N492" i="43"/>
  <c r="N493" i="43"/>
  <c r="N494" i="43"/>
  <c r="N495" i="43"/>
  <c r="N496" i="43"/>
  <c r="N497" i="43"/>
  <c r="N498" i="43"/>
  <c r="N499" i="43"/>
  <c r="N500" i="43"/>
  <c r="N501" i="43"/>
  <c r="N502" i="43"/>
  <c r="N503" i="43"/>
  <c r="N504" i="43"/>
  <c r="N505" i="43"/>
  <c r="N506" i="43"/>
  <c r="N507" i="43"/>
  <c r="N508" i="43"/>
  <c r="N509" i="43"/>
  <c r="N510" i="43"/>
  <c r="N511" i="43"/>
  <c r="N512" i="43"/>
  <c r="N513" i="43"/>
  <c r="N514" i="43"/>
  <c r="N515" i="43"/>
  <c r="N516" i="43"/>
  <c r="N517" i="43"/>
  <c r="N518" i="43"/>
  <c r="N519" i="43"/>
  <c r="N520" i="43"/>
  <c r="N521" i="43"/>
  <c r="N522" i="43"/>
  <c r="N523" i="43"/>
  <c r="N524" i="43"/>
  <c r="N525" i="43"/>
  <c r="N526" i="43"/>
  <c r="N527" i="43"/>
  <c r="N528" i="43"/>
  <c r="N529" i="43"/>
  <c r="N530" i="43"/>
  <c r="N531" i="43"/>
  <c r="N532" i="43"/>
  <c r="N533" i="43"/>
  <c r="N534" i="43"/>
  <c r="N535" i="43"/>
  <c r="N536" i="43"/>
  <c r="N537" i="43"/>
  <c r="N538" i="43"/>
  <c r="N539" i="43"/>
  <c r="N540" i="43"/>
  <c r="N541" i="43"/>
  <c r="N542" i="43"/>
  <c r="N543" i="43"/>
  <c r="N544" i="43"/>
  <c r="N545" i="43"/>
  <c r="N546" i="43"/>
  <c r="N547" i="43"/>
  <c r="N548" i="43"/>
  <c r="N549" i="43"/>
  <c r="N550" i="43"/>
  <c r="N551" i="43"/>
  <c r="N552" i="43"/>
  <c r="N553" i="43"/>
  <c r="N554" i="43"/>
  <c r="N555" i="43"/>
  <c r="N556" i="43"/>
  <c r="N557" i="43"/>
  <c r="N558" i="43"/>
  <c r="N559" i="43"/>
  <c r="N560" i="43"/>
  <c r="N561" i="43"/>
  <c r="N562" i="43"/>
  <c r="N563" i="43"/>
  <c r="N564" i="43"/>
  <c r="N565" i="43"/>
  <c r="N566" i="43"/>
  <c r="N567" i="43"/>
  <c r="N568" i="43"/>
  <c r="N569" i="43"/>
  <c r="N570" i="43"/>
  <c r="N571" i="43"/>
  <c r="N572" i="43"/>
  <c r="N573" i="43"/>
  <c r="N574" i="43"/>
  <c r="N575" i="43"/>
  <c r="N576" i="43"/>
  <c r="N577" i="43"/>
  <c r="N578" i="43"/>
  <c r="N579" i="43"/>
  <c r="N580" i="43"/>
  <c r="N581" i="43"/>
  <c r="N582" i="43"/>
  <c r="N583" i="43"/>
  <c r="N584" i="43"/>
  <c r="N585" i="43"/>
  <c r="N586" i="43"/>
  <c r="N587" i="43"/>
  <c r="N588" i="43"/>
  <c r="N589" i="43"/>
  <c r="N590" i="43"/>
  <c r="N591" i="43"/>
  <c r="N592" i="43"/>
  <c r="N593" i="43"/>
  <c r="N594" i="43"/>
  <c r="N595" i="43"/>
  <c r="N596" i="43"/>
  <c r="N597" i="43"/>
  <c r="N598" i="43"/>
  <c r="N599" i="43"/>
  <c r="N600" i="43"/>
  <c r="N601" i="43"/>
  <c r="N602" i="43"/>
  <c r="N603" i="43"/>
  <c r="N604" i="43"/>
  <c r="N605" i="43"/>
  <c r="N606" i="43"/>
  <c r="N607" i="43"/>
  <c r="N608" i="43"/>
  <c r="N609" i="43"/>
  <c r="N610" i="43"/>
  <c r="N611" i="43"/>
  <c r="N612" i="43"/>
  <c r="N613" i="43"/>
  <c r="N614" i="43"/>
  <c r="N615" i="43"/>
  <c r="N616" i="43"/>
  <c r="N617" i="43"/>
  <c r="N618" i="43"/>
  <c r="N619" i="43"/>
  <c r="N620" i="43"/>
  <c r="N621" i="43"/>
  <c r="N622" i="43"/>
  <c r="N623" i="43"/>
  <c r="N624" i="43"/>
  <c r="N625" i="43"/>
  <c r="N626" i="43"/>
  <c r="N627" i="43"/>
  <c r="N628" i="43"/>
  <c r="N629" i="43"/>
  <c r="N630" i="43"/>
  <c r="N631" i="43"/>
  <c r="N632" i="43"/>
  <c r="N633" i="43"/>
  <c r="N634" i="43"/>
  <c r="N635" i="43"/>
  <c r="N636" i="43"/>
  <c r="N637" i="43"/>
  <c r="N638" i="43"/>
  <c r="N639" i="43"/>
  <c r="N640" i="43"/>
  <c r="N641" i="43"/>
  <c r="N642" i="43"/>
  <c r="N643" i="43"/>
  <c r="N644" i="43"/>
  <c r="N645" i="43"/>
  <c r="N646" i="43"/>
  <c r="N647" i="43"/>
  <c r="N648" i="43"/>
  <c r="N649" i="43"/>
  <c r="N650" i="43"/>
  <c r="N651" i="43"/>
  <c r="N652" i="43"/>
  <c r="N653" i="43"/>
  <c r="N654" i="43"/>
  <c r="N655" i="43"/>
  <c r="N656" i="43"/>
  <c r="N657" i="43"/>
  <c r="N658" i="43"/>
  <c r="N659" i="43"/>
  <c r="N660" i="43"/>
  <c r="N661" i="43"/>
  <c r="N662" i="43"/>
  <c r="N663" i="43"/>
  <c r="N664" i="43"/>
  <c r="N665" i="43"/>
  <c r="N666" i="43"/>
  <c r="N667" i="43"/>
  <c r="N668" i="43"/>
  <c r="N669" i="43"/>
  <c r="N670" i="43"/>
  <c r="N671" i="43"/>
  <c r="N672" i="43"/>
  <c r="N673" i="43"/>
  <c r="N674" i="43"/>
  <c r="N675" i="43"/>
  <c r="N676" i="43"/>
  <c r="N677" i="43"/>
  <c r="N678" i="43"/>
  <c r="N679" i="43"/>
  <c r="N680" i="43"/>
  <c r="N681" i="43"/>
  <c r="N682" i="43"/>
  <c r="N683" i="43"/>
  <c r="N684" i="43"/>
  <c r="N685" i="43"/>
  <c r="N686" i="43"/>
  <c r="N687" i="43"/>
  <c r="N688" i="43"/>
  <c r="N689" i="43"/>
  <c r="N690" i="43"/>
  <c r="N691" i="43"/>
  <c r="N692" i="43"/>
  <c r="N693" i="43"/>
  <c r="N694" i="43"/>
  <c r="N695" i="43"/>
  <c r="N696" i="43"/>
  <c r="N697" i="43"/>
  <c r="N698" i="43"/>
  <c r="N699" i="43"/>
  <c r="N700" i="43"/>
  <c r="N701" i="43"/>
  <c r="N702" i="43"/>
  <c r="N703" i="43"/>
  <c r="N704" i="43"/>
  <c r="N705" i="43"/>
  <c r="N706" i="43"/>
  <c r="N707" i="43"/>
  <c r="N708" i="43"/>
  <c r="N709" i="43"/>
  <c r="N710" i="43"/>
  <c r="N711" i="43"/>
  <c r="N712" i="43"/>
  <c r="N713" i="43"/>
  <c r="N714" i="43"/>
  <c r="N715" i="43"/>
  <c r="N716" i="43"/>
  <c r="N717" i="43"/>
  <c r="N718" i="43"/>
  <c r="N719" i="43"/>
  <c r="N720" i="43"/>
  <c r="N721" i="43"/>
  <c r="N722" i="43"/>
  <c r="N723" i="43"/>
  <c r="N724" i="43"/>
  <c r="N725" i="43"/>
  <c r="N726" i="43"/>
  <c r="N727" i="43"/>
  <c r="N728" i="43"/>
  <c r="N729" i="43"/>
  <c r="N730" i="43"/>
  <c r="N731" i="43"/>
  <c r="N732" i="43"/>
  <c r="N733" i="43"/>
  <c r="N734" i="43"/>
  <c r="N735" i="43"/>
  <c r="N736" i="43"/>
  <c r="N737" i="43"/>
  <c r="N738" i="43"/>
  <c r="N739" i="43"/>
  <c r="N740" i="43"/>
  <c r="N741" i="43"/>
  <c r="N742" i="43"/>
  <c r="N743" i="43"/>
  <c r="N744" i="43"/>
  <c r="N745" i="43"/>
  <c r="N746" i="43"/>
  <c r="N747" i="43"/>
  <c r="N748" i="43"/>
  <c r="N749" i="43"/>
  <c r="N750" i="43"/>
  <c r="N751" i="43"/>
  <c r="N752" i="43"/>
  <c r="N753" i="43"/>
  <c r="N754" i="43"/>
  <c r="N755" i="43"/>
  <c r="N756" i="43"/>
  <c r="N757" i="43"/>
  <c r="N758" i="43"/>
  <c r="N759" i="43"/>
  <c r="N760" i="43"/>
  <c r="N761" i="43"/>
  <c r="N762" i="43"/>
  <c r="N763" i="43"/>
  <c r="N764" i="43"/>
  <c r="N765" i="43"/>
  <c r="N766" i="43"/>
  <c r="N767" i="43"/>
  <c r="N768" i="43"/>
  <c r="N769" i="43"/>
  <c r="N770" i="43"/>
  <c r="N771" i="43"/>
  <c r="N772" i="43"/>
  <c r="N773" i="43"/>
  <c r="N774" i="43"/>
  <c r="N775" i="43"/>
  <c r="N776" i="43"/>
  <c r="N777" i="43"/>
  <c r="N778" i="43"/>
  <c r="N779" i="43"/>
  <c r="N780" i="43"/>
  <c r="N781" i="43"/>
  <c r="N782" i="43"/>
  <c r="N783" i="43"/>
  <c r="N784" i="43"/>
  <c r="N785" i="43"/>
  <c r="N786" i="43"/>
  <c r="N787" i="43"/>
  <c r="N788" i="43"/>
  <c r="N789" i="43"/>
  <c r="N790" i="43"/>
  <c r="N791" i="43"/>
  <c r="N792" i="43"/>
  <c r="N793" i="43"/>
  <c r="N794" i="43"/>
  <c r="N795" i="43"/>
  <c r="N796" i="43"/>
  <c r="N797" i="43"/>
  <c r="N798" i="43"/>
  <c r="N799" i="43"/>
  <c r="N800" i="43"/>
  <c r="N801" i="43"/>
  <c r="N802" i="43"/>
  <c r="N803" i="43"/>
  <c r="N804" i="43"/>
  <c r="N805" i="43"/>
  <c r="N806" i="43"/>
  <c r="N807" i="43"/>
  <c r="N808" i="43"/>
  <c r="N809" i="43"/>
  <c r="N810" i="43"/>
  <c r="N811" i="43"/>
  <c r="N812" i="43"/>
  <c r="N813" i="43"/>
  <c r="N814" i="43"/>
  <c r="N815" i="43"/>
  <c r="N816" i="43"/>
  <c r="N817" i="43"/>
  <c r="N818" i="43"/>
  <c r="N819" i="43"/>
  <c r="N820" i="43"/>
  <c r="N821" i="43"/>
  <c r="N822" i="43"/>
  <c r="N823" i="43"/>
  <c r="N824" i="43"/>
  <c r="N825" i="43"/>
  <c r="N826" i="43"/>
  <c r="N827" i="43"/>
  <c r="N828" i="43"/>
  <c r="N829" i="43"/>
  <c r="N830" i="43"/>
  <c r="N831" i="43"/>
  <c r="N832" i="43"/>
  <c r="N833" i="43"/>
  <c r="N834" i="43"/>
  <c r="N835" i="43"/>
  <c r="N836" i="43"/>
  <c r="N837" i="43"/>
  <c r="N838" i="43"/>
  <c r="N839" i="43"/>
  <c r="N840" i="43"/>
  <c r="N841" i="43"/>
  <c r="N842" i="43"/>
  <c r="N843" i="43"/>
  <c r="N844" i="43"/>
  <c r="N845" i="43"/>
  <c r="N846" i="43"/>
  <c r="N847" i="43"/>
  <c r="N848" i="43"/>
  <c r="N849" i="43"/>
  <c r="N850" i="43"/>
  <c r="N851" i="43"/>
  <c r="N852" i="43"/>
  <c r="N853" i="43"/>
  <c r="N854" i="43"/>
  <c r="N855" i="43"/>
  <c r="N856" i="43"/>
  <c r="N857" i="43"/>
  <c r="N858" i="43"/>
  <c r="N859" i="43"/>
  <c r="N860" i="43"/>
  <c r="N861" i="43"/>
  <c r="N862" i="43"/>
  <c r="N863" i="43"/>
  <c r="N864" i="43"/>
  <c r="N865" i="43"/>
  <c r="N866" i="43"/>
  <c r="N867" i="43"/>
  <c r="N868" i="43"/>
  <c r="N869" i="43"/>
  <c r="N870" i="43"/>
  <c r="N871" i="43"/>
  <c r="N872" i="43"/>
  <c r="N873" i="43"/>
  <c r="N874" i="43"/>
  <c r="N875" i="43"/>
  <c r="N876" i="43"/>
  <c r="N877" i="43"/>
  <c r="N878" i="43"/>
  <c r="N879" i="43"/>
  <c r="N880" i="43"/>
  <c r="N881" i="43"/>
  <c r="N882" i="43"/>
  <c r="N883" i="43"/>
  <c r="N884" i="43"/>
  <c r="N885" i="43"/>
  <c r="N886" i="43"/>
  <c r="N887" i="43"/>
  <c r="N888" i="43"/>
  <c r="N889" i="43"/>
  <c r="N890" i="43"/>
  <c r="N891" i="43"/>
  <c r="N892" i="43"/>
  <c r="N893" i="43"/>
  <c r="N894" i="43"/>
  <c r="N895" i="43"/>
  <c r="N896" i="43"/>
  <c r="N897" i="43"/>
  <c r="N898" i="43"/>
  <c r="N899" i="43"/>
  <c r="N900" i="43"/>
  <c r="N901" i="43"/>
  <c r="N902" i="43"/>
  <c r="N903" i="43"/>
  <c r="N904" i="43"/>
  <c r="N905" i="43"/>
  <c r="N906" i="43"/>
  <c r="N907" i="43"/>
  <c r="N908" i="43"/>
  <c r="N909" i="43"/>
  <c r="N910" i="43"/>
  <c r="N911" i="43"/>
  <c r="N912" i="43"/>
  <c r="N913" i="43"/>
  <c r="N914" i="43"/>
  <c r="N915" i="43"/>
  <c r="N916" i="43"/>
  <c r="N917" i="43"/>
  <c r="N918" i="43"/>
  <c r="N919" i="43"/>
  <c r="N920" i="43"/>
  <c r="N921" i="43"/>
  <c r="N922" i="43"/>
  <c r="N923" i="43"/>
  <c r="N924" i="43"/>
  <c r="N925" i="43"/>
  <c r="N926" i="43"/>
  <c r="N927" i="43"/>
  <c r="N928" i="43"/>
  <c r="N929" i="43"/>
  <c r="N930" i="43"/>
  <c r="N931" i="43"/>
  <c r="N932" i="43"/>
  <c r="N933" i="43"/>
  <c r="N934" i="43"/>
  <c r="N935" i="43"/>
  <c r="N936" i="43"/>
  <c r="N937" i="43"/>
  <c r="N938" i="43"/>
  <c r="N939" i="43"/>
  <c r="N940" i="43"/>
  <c r="N941" i="43"/>
  <c r="N942" i="43"/>
  <c r="N943" i="43"/>
  <c r="N944" i="43"/>
  <c r="N945" i="43"/>
  <c r="N946" i="43"/>
  <c r="N947" i="43"/>
  <c r="N948" i="43"/>
  <c r="N949" i="43"/>
  <c r="N950" i="43"/>
  <c r="N951" i="43"/>
  <c r="N952" i="43"/>
  <c r="N953" i="43"/>
  <c r="N954" i="43"/>
  <c r="N955" i="43"/>
  <c r="N956" i="43"/>
  <c r="N957" i="43"/>
  <c r="N958" i="43"/>
  <c r="N959" i="43"/>
  <c r="N960" i="43"/>
  <c r="N961" i="43"/>
  <c r="N962" i="43"/>
  <c r="N963" i="43"/>
  <c r="N964" i="43"/>
  <c r="N965" i="43"/>
  <c r="N966" i="43"/>
  <c r="N967" i="43"/>
  <c r="N968" i="43"/>
  <c r="N969" i="43"/>
  <c r="N970" i="43"/>
  <c r="N971" i="43"/>
  <c r="N972" i="43"/>
  <c r="N973" i="43"/>
  <c r="N974" i="43"/>
  <c r="N975" i="43"/>
  <c r="N976" i="43"/>
  <c r="N977" i="43"/>
  <c r="N978" i="43"/>
  <c r="N979" i="43"/>
  <c r="N980" i="43"/>
  <c r="N981" i="43"/>
  <c r="N982" i="43"/>
  <c r="N983" i="43"/>
  <c r="N984" i="43"/>
  <c r="N985" i="43"/>
  <c r="N986" i="43"/>
  <c r="N987" i="43"/>
  <c r="N988" i="43"/>
  <c r="N989" i="43"/>
  <c r="N990" i="43"/>
  <c r="N991" i="43"/>
  <c r="N992" i="43"/>
  <c r="N993" i="43"/>
  <c r="N994" i="43"/>
  <c r="N995" i="43"/>
  <c r="N996" i="43"/>
  <c r="N997" i="43"/>
  <c r="N998" i="43"/>
  <c r="N999" i="43"/>
  <c r="N1000" i="43"/>
  <c r="N1001" i="43"/>
  <c r="N1002" i="43"/>
  <c r="N1003" i="43"/>
  <c r="M10" i="43"/>
  <c r="M11" i="43"/>
  <c r="M12" i="43"/>
  <c r="M13" i="43"/>
  <c r="M14" i="43"/>
  <c r="M15" i="43"/>
  <c r="M16" i="43"/>
  <c r="M17" i="43"/>
  <c r="M18" i="43"/>
  <c r="M19" i="43"/>
  <c r="M20" i="43"/>
  <c r="M21" i="43"/>
  <c r="M22" i="43"/>
  <c r="M23" i="43"/>
  <c r="M24" i="43"/>
  <c r="M25" i="43"/>
  <c r="M26" i="43"/>
  <c r="M27" i="43"/>
  <c r="M28" i="43"/>
  <c r="M29" i="43"/>
  <c r="M30" i="43"/>
  <c r="M31" i="43"/>
  <c r="M32" i="43"/>
  <c r="M33" i="43"/>
  <c r="M34" i="43"/>
  <c r="M35" i="43"/>
  <c r="M36" i="43"/>
  <c r="M37" i="43"/>
  <c r="M38" i="43"/>
  <c r="M39" i="43"/>
  <c r="M40" i="43"/>
  <c r="M41" i="43"/>
  <c r="M42" i="43"/>
  <c r="M43" i="43"/>
  <c r="M44" i="43"/>
  <c r="M45" i="43"/>
  <c r="M46" i="43"/>
  <c r="M47" i="43"/>
  <c r="M48" i="43"/>
  <c r="M49" i="43"/>
  <c r="M50" i="43"/>
  <c r="M51" i="43"/>
  <c r="M52" i="43"/>
  <c r="M53" i="43"/>
  <c r="M54" i="43"/>
  <c r="M55" i="43"/>
  <c r="M56" i="43"/>
  <c r="M57" i="43"/>
  <c r="M58" i="43"/>
  <c r="M59" i="43"/>
  <c r="M60" i="43"/>
  <c r="M61" i="43"/>
  <c r="M62" i="43"/>
  <c r="M63" i="43"/>
  <c r="M64" i="43"/>
  <c r="M65" i="43"/>
  <c r="M66" i="43"/>
  <c r="M67" i="43"/>
  <c r="M68" i="43"/>
  <c r="M69" i="43"/>
  <c r="M70" i="43"/>
  <c r="M71" i="43"/>
  <c r="M72" i="43"/>
  <c r="M73" i="43"/>
  <c r="M74" i="43"/>
  <c r="M75" i="43"/>
  <c r="M76" i="43"/>
  <c r="M77" i="43"/>
  <c r="M78" i="43"/>
  <c r="M79" i="43"/>
  <c r="M80" i="43"/>
  <c r="M81" i="43"/>
  <c r="M82" i="43"/>
  <c r="M83" i="43"/>
  <c r="M84" i="43"/>
  <c r="M85" i="43"/>
  <c r="M86" i="43"/>
  <c r="M87" i="43"/>
  <c r="M88" i="43"/>
  <c r="M89" i="43"/>
  <c r="M90" i="43"/>
  <c r="M91" i="43"/>
  <c r="M92" i="43"/>
  <c r="M93" i="43"/>
  <c r="M94" i="43"/>
  <c r="M95" i="43"/>
  <c r="M96" i="43"/>
  <c r="M97" i="43"/>
  <c r="M98" i="43"/>
  <c r="M99" i="43"/>
  <c r="M100" i="43"/>
  <c r="M101" i="43"/>
  <c r="M102" i="43"/>
  <c r="M103" i="43"/>
  <c r="M104" i="43"/>
  <c r="M105" i="43"/>
  <c r="M106" i="43"/>
  <c r="M107" i="43"/>
  <c r="M108" i="43"/>
  <c r="M109" i="43"/>
  <c r="M110" i="43"/>
  <c r="M111" i="43"/>
  <c r="M112" i="43"/>
  <c r="M113" i="43"/>
  <c r="M114" i="43"/>
  <c r="M115" i="43"/>
  <c r="M116" i="43"/>
  <c r="M117" i="43"/>
  <c r="M118" i="43"/>
  <c r="M119" i="43"/>
  <c r="M120" i="43"/>
  <c r="M121" i="43"/>
  <c r="M122" i="43"/>
  <c r="M123" i="43"/>
  <c r="M124" i="43"/>
  <c r="M125" i="43"/>
  <c r="M126" i="43"/>
  <c r="M127" i="43"/>
  <c r="M128" i="43"/>
  <c r="M129" i="43"/>
  <c r="M130" i="43"/>
  <c r="M131" i="43"/>
  <c r="M132" i="43"/>
  <c r="M133" i="43"/>
  <c r="M134" i="43"/>
  <c r="M135" i="43"/>
  <c r="M136" i="43"/>
  <c r="M137" i="43"/>
  <c r="M138" i="43"/>
  <c r="M139" i="43"/>
  <c r="M140" i="43"/>
  <c r="M141" i="43"/>
  <c r="M142" i="43"/>
  <c r="M143" i="43"/>
  <c r="M144" i="43"/>
  <c r="M145" i="43"/>
  <c r="M146" i="43"/>
  <c r="M147" i="43"/>
  <c r="M148" i="43"/>
  <c r="M149" i="43"/>
  <c r="M150" i="43"/>
  <c r="M151" i="43"/>
  <c r="M152" i="43"/>
  <c r="M153" i="43"/>
  <c r="M154" i="43"/>
  <c r="M155" i="43"/>
  <c r="M156" i="43"/>
  <c r="M157" i="43"/>
  <c r="M158" i="43"/>
  <c r="M159" i="43"/>
  <c r="M160" i="43"/>
  <c r="M161" i="43"/>
  <c r="M162" i="43"/>
  <c r="M163" i="43"/>
  <c r="M164" i="43"/>
  <c r="M165" i="43"/>
  <c r="M166" i="43"/>
  <c r="M167" i="43"/>
  <c r="M168" i="43"/>
  <c r="M169" i="43"/>
  <c r="M170" i="43"/>
  <c r="M171" i="43"/>
  <c r="M172" i="43"/>
  <c r="M173" i="43"/>
  <c r="M174" i="43"/>
  <c r="M175" i="43"/>
  <c r="M176" i="43"/>
  <c r="M177" i="43"/>
  <c r="M178" i="43"/>
  <c r="M179" i="43"/>
  <c r="M180" i="43"/>
  <c r="M181" i="43"/>
  <c r="M182" i="43"/>
  <c r="M183" i="43"/>
  <c r="M184" i="43"/>
  <c r="M185" i="43"/>
  <c r="M186" i="43"/>
  <c r="M187" i="43"/>
  <c r="M188" i="43"/>
  <c r="M189" i="43"/>
  <c r="M190" i="43"/>
  <c r="M191" i="43"/>
  <c r="M192" i="43"/>
  <c r="M193" i="43"/>
  <c r="M194" i="43"/>
  <c r="M195" i="43"/>
  <c r="M196" i="43"/>
  <c r="M197" i="43"/>
  <c r="M198" i="43"/>
  <c r="M199" i="43"/>
  <c r="M200" i="43"/>
  <c r="M201" i="43"/>
  <c r="M202" i="43"/>
  <c r="M203" i="43"/>
  <c r="M204" i="43"/>
  <c r="M205" i="43"/>
  <c r="M206" i="43"/>
  <c r="M207" i="43"/>
  <c r="M208" i="43"/>
  <c r="M209" i="43"/>
  <c r="M210" i="43"/>
  <c r="M211" i="43"/>
  <c r="M212" i="43"/>
  <c r="M213" i="43"/>
  <c r="M214" i="43"/>
  <c r="M215" i="43"/>
  <c r="M216" i="43"/>
  <c r="M217" i="43"/>
  <c r="M218" i="43"/>
  <c r="M219" i="43"/>
  <c r="M220" i="43"/>
  <c r="M221" i="43"/>
  <c r="M222" i="43"/>
  <c r="M223" i="43"/>
  <c r="M224" i="43"/>
  <c r="M225" i="43"/>
  <c r="M226" i="43"/>
  <c r="M227" i="43"/>
  <c r="M228" i="43"/>
  <c r="M229" i="43"/>
  <c r="M230" i="43"/>
  <c r="M231" i="43"/>
  <c r="M232" i="43"/>
  <c r="M233" i="43"/>
  <c r="M234" i="43"/>
  <c r="M235" i="43"/>
  <c r="M236" i="43"/>
  <c r="M237" i="43"/>
  <c r="M238" i="43"/>
  <c r="M239" i="43"/>
  <c r="M240" i="43"/>
  <c r="M241" i="43"/>
  <c r="M242" i="43"/>
  <c r="M243" i="43"/>
  <c r="M244" i="43"/>
  <c r="M245" i="43"/>
  <c r="M246" i="43"/>
  <c r="M247" i="43"/>
  <c r="M248" i="43"/>
  <c r="M249" i="43"/>
  <c r="M250" i="43"/>
  <c r="M251" i="43"/>
  <c r="M252" i="43"/>
  <c r="M253" i="43"/>
  <c r="M254" i="43"/>
  <c r="M255" i="43"/>
  <c r="M256" i="43"/>
  <c r="M257" i="43"/>
  <c r="M258" i="43"/>
  <c r="M259" i="43"/>
  <c r="M260" i="43"/>
  <c r="M261" i="43"/>
  <c r="M262" i="43"/>
  <c r="M263" i="43"/>
  <c r="M264" i="43"/>
  <c r="M265" i="43"/>
  <c r="M266" i="43"/>
  <c r="M267" i="43"/>
  <c r="M268" i="43"/>
  <c r="M269" i="43"/>
  <c r="M270" i="43"/>
  <c r="M271" i="43"/>
  <c r="M272" i="43"/>
  <c r="M273" i="43"/>
  <c r="M274" i="43"/>
  <c r="M275" i="43"/>
  <c r="M276" i="43"/>
  <c r="M277" i="43"/>
  <c r="M278" i="43"/>
  <c r="M279" i="43"/>
  <c r="M280" i="43"/>
  <c r="M281" i="43"/>
  <c r="M282" i="43"/>
  <c r="M283" i="43"/>
  <c r="M284" i="43"/>
  <c r="M285" i="43"/>
  <c r="M286" i="43"/>
  <c r="M287" i="43"/>
  <c r="M288" i="43"/>
  <c r="M289" i="43"/>
  <c r="M290" i="43"/>
  <c r="M291" i="43"/>
  <c r="M292" i="43"/>
  <c r="M293" i="43"/>
  <c r="M294" i="43"/>
  <c r="M295" i="43"/>
  <c r="M296" i="43"/>
  <c r="M297" i="43"/>
  <c r="M298" i="43"/>
  <c r="M299" i="43"/>
  <c r="M300" i="43"/>
  <c r="M363" i="43"/>
  <c r="M364" i="43"/>
  <c r="M365" i="43"/>
  <c r="M366" i="43"/>
  <c r="M367" i="43"/>
  <c r="M368" i="43"/>
  <c r="M369" i="43"/>
  <c r="M370" i="43"/>
  <c r="M371" i="43"/>
  <c r="M372" i="43"/>
  <c r="M373" i="43"/>
  <c r="M374" i="43"/>
  <c r="M375" i="43"/>
  <c r="M376" i="43"/>
  <c r="M377" i="43"/>
  <c r="M378" i="43"/>
  <c r="M379" i="43"/>
  <c r="M380" i="43"/>
  <c r="M381" i="43"/>
  <c r="M382" i="43"/>
  <c r="M383" i="43"/>
  <c r="M384" i="43"/>
  <c r="M385" i="43"/>
  <c r="M386" i="43"/>
  <c r="M387" i="43"/>
  <c r="M388" i="43"/>
  <c r="M389" i="43"/>
  <c r="M390" i="43"/>
  <c r="M391" i="43"/>
  <c r="M392" i="43"/>
  <c r="M393" i="43"/>
  <c r="M394" i="43"/>
  <c r="M395" i="43"/>
  <c r="M396" i="43"/>
  <c r="M397" i="43"/>
  <c r="M398" i="43"/>
  <c r="M399" i="43"/>
  <c r="M400" i="43"/>
  <c r="M401" i="43"/>
  <c r="M402" i="43"/>
  <c r="M403" i="43"/>
  <c r="M404" i="43"/>
  <c r="M405" i="43"/>
  <c r="M406" i="43"/>
  <c r="M407" i="43"/>
  <c r="M408" i="43"/>
  <c r="M409" i="43"/>
  <c r="M410" i="43"/>
  <c r="M411" i="43"/>
  <c r="M412" i="43"/>
  <c r="M413" i="43"/>
  <c r="M414" i="43"/>
  <c r="M415" i="43"/>
  <c r="M416" i="43"/>
  <c r="M417" i="43"/>
  <c r="M418" i="43"/>
  <c r="M419" i="43"/>
  <c r="M420" i="43"/>
  <c r="M421" i="43"/>
  <c r="M422" i="43"/>
  <c r="M423" i="43"/>
  <c r="M424" i="43"/>
  <c r="M425" i="43"/>
  <c r="M426" i="43"/>
  <c r="M427" i="43"/>
  <c r="M428" i="43"/>
  <c r="M429" i="43"/>
  <c r="M430" i="43"/>
  <c r="M431" i="43"/>
  <c r="M432" i="43"/>
  <c r="M433" i="43"/>
  <c r="M434" i="43"/>
  <c r="M435" i="43"/>
  <c r="M436" i="43"/>
  <c r="M437" i="43"/>
  <c r="M438" i="43"/>
  <c r="M439" i="43"/>
  <c r="M440" i="43"/>
  <c r="M441" i="43"/>
  <c r="M442" i="43"/>
  <c r="M443" i="43"/>
  <c r="M444" i="43"/>
  <c r="M445" i="43"/>
  <c r="M446" i="43"/>
  <c r="M447" i="43"/>
  <c r="M448" i="43"/>
  <c r="M449" i="43"/>
  <c r="M450" i="43"/>
  <c r="M451" i="43"/>
  <c r="M452" i="43"/>
  <c r="M453" i="43"/>
  <c r="M454" i="43"/>
  <c r="M455" i="43"/>
  <c r="M456" i="43"/>
  <c r="M457" i="43"/>
  <c r="M458" i="43"/>
  <c r="M459" i="43"/>
  <c r="M460" i="43"/>
  <c r="M461" i="43"/>
  <c r="M462" i="43"/>
  <c r="M463" i="43"/>
  <c r="M464" i="43"/>
  <c r="M465" i="43"/>
  <c r="M466" i="43"/>
  <c r="M467" i="43"/>
  <c r="M468" i="43"/>
  <c r="M469" i="43"/>
  <c r="M470" i="43"/>
  <c r="M471" i="43"/>
  <c r="M472" i="43"/>
  <c r="M473" i="43"/>
  <c r="M474" i="43"/>
  <c r="M475" i="43"/>
  <c r="M476" i="43"/>
  <c r="M477" i="43"/>
  <c r="M478" i="43"/>
  <c r="M479" i="43"/>
  <c r="M480" i="43"/>
  <c r="M481" i="43"/>
  <c r="M482" i="43"/>
  <c r="M483" i="43"/>
  <c r="M484" i="43"/>
  <c r="M485" i="43"/>
  <c r="M486" i="43"/>
  <c r="M487" i="43"/>
  <c r="M488" i="43"/>
  <c r="M489" i="43"/>
  <c r="M490" i="43"/>
  <c r="M491" i="43"/>
  <c r="M492" i="43"/>
  <c r="M493" i="43"/>
  <c r="M494" i="43"/>
  <c r="M495" i="43"/>
  <c r="M496" i="43"/>
  <c r="M497" i="43"/>
  <c r="M498" i="43"/>
  <c r="M499" i="43"/>
  <c r="M500" i="43"/>
  <c r="M501" i="43"/>
  <c r="M502" i="43"/>
  <c r="M503" i="43"/>
  <c r="M504" i="43"/>
  <c r="M505" i="43"/>
  <c r="M506" i="43"/>
  <c r="M507" i="43"/>
  <c r="M508" i="43"/>
  <c r="M509" i="43"/>
  <c r="M510" i="43"/>
  <c r="M511" i="43"/>
  <c r="M512" i="43"/>
  <c r="M513" i="43"/>
  <c r="M514" i="43"/>
  <c r="M515" i="43"/>
  <c r="M516" i="43"/>
  <c r="M517" i="43"/>
  <c r="M518" i="43"/>
  <c r="M519" i="43"/>
  <c r="M520" i="43"/>
  <c r="M521" i="43"/>
  <c r="M522" i="43"/>
  <c r="M523" i="43"/>
  <c r="M524" i="43"/>
  <c r="M525" i="43"/>
  <c r="M526" i="43"/>
  <c r="M527" i="43"/>
  <c r="M528" i="43"/>
  <c r="M529" i="43"/>
  <c r="M530" i="43"/>
  <c r="M531" i="43"/>
  <c r="M532" i="43"/>
  <c r="M533" i="43"/>
  <c r="M534" i="43"/>
  <c r="M535" i="43"/>
  <c r="M536" i="43"/>
  <c r="M537" i="43"/>
  <c r="M538" i="43"/>
  <c r="M539" i="43"/>
  <c r="M540" i="43"/>
  <c r="M541" i="43"/>
  <c r="M542" i="43"/>
  <c r="M543" i="43"/>
  <c r="M544" i="43"/>
  <c r="M545" i="43"/>
  <c r="M546" i="43"/>
  <c r="M547" i="43"/>
  <c r="M548" i="43"/>
  <c r="M549" i="43"/>
  <c r="M550" i="43"/>
  <c r="M551" i="43"/>
  <c r="M552" i="43"/>
  <c r="M553" i="43"/>
  <c r="M554" i="43"/>
  <c r="M555" i="43"/>
  <c r="M556" i="43"/>
  <c r="M557" i="43"/>
  <c r="M558" i="43"/>
  <c r="M559" i="43"/>
  <c r="M560" i="43"/>
  <c r="M561" i="43"/>
  <c r="M562" i="43"/>
  <c r="M563" i="43"/>
  <c r="M564" i="43"/>
  <c r="M565" i="43"/>
  <c r="M566" i="43"/>
  <c r="M567" i="43"/>
  <c r="M568" i="43"/>
  <c r="M569" i="43"/>
  <c r="M570" i="43"/>
  <c r="M571" i="43"/>
  <c r="M572" i="43"/>
  <c r="M573" i="43"/>
  <c r="M574" i="43"/>
  <c r="M575" i="43"/>
  <c r="M576" i="43"/>
  <c r="M577" i="43"/>
  <c r="M578" i="43"/>
  <c r="M579" i="43"/>
  <c r="M580" i="43"/>
  <c r="M581" i="43"/>
  <c r="M582" i="43"/>
  <c r="M583" i="43"/>
  <c r="M584" i="43"/>
  <c r="M585" i="43"/>
  <c r="M586" i="43"/>
  <c r="M587" i="43"/>
  <c r="M588" i="43"/>
  <c r="M589" i="43"/>
  <c r="M590" i="43"/>
  <c r="M591" i="43"/>
  <c r="M592" i="43"/>
  <c r="M593" i="43"/>
  <c r="M594" i="43"/>
  <c r="M595" i="43"/>
  <c r="M596" i="43"/>
  <c r="M597" i="43"/>
  <c r="M598" i="43"/>
  <c r="M599" i="43"/>
  <c r="M600" i="43"/>
  <c r="M601" i="43"/>
  <c r="M602" i="43"/>
  <c r="M603" i="43"/>
  <c r="M604" i="43"/>
  <c r="M605" i="43"/>
  <c r="M606" i="43"/>
  <c r="M607" i="43"/>
  <c r="M608" i="43"/>
  <c r="M609" i="43"/>
  <c r="M610" i="43"/>
  <c r="M611" i="43"/>
  <c r="M612" i="43"/>
  <c r="M613" i="43"/>
  <c r="M614" i="43"/>
  <c r="M615" i="43"/>
  <c r="M616" i="43"/>
  <c r="M617" i="43"/>
  <c r="M618" i="43"/>
  <c r="M619" i="43"/>
  <c r="M620" i="43"/>
  <c r="M621" i="43"/>
  <c r="M622" i="43"/>
  <c r="M623" i="43"/>
  <c r="M624" i="43"/>
  <c r="M625" i="43"/>
  <c r="M626" i="43"/>
  <c r="M627" i="43"/>
  <c r="M628" i="43"/>
  <c r="M629" i="43"/>
  <c r="M630" i="43"/>
  <c r="M631" i="43"/>
  <c r="M632" i="43"/>
  <c r="M633" i="43"/>
  <c r="M634" i="43"/>
  <c r="M635" i="43"/>
  <c r="M636" i="43"/>
  <c r="M637" i="43"/>
  <c r="M638" i="43"/>
  <c r="M639" i="43"/>
  <c r="M640" i="43"/>
  <c r="M641" i="43"/>
  <c r="M642" i="43"/>
  <c r="M643" i="43"/>
  <c r="M644" i="43"/>
  <c r="M645" i="43"/>
  <c r="M646" i="43"/>
  <c r="M647" i="43"/>
  <c r="M648" i="43"/>
  <c r="M649" i="43"/>
  <c r="M650" i="43"/>
  <c r="M651" i="43"/>
  <c r="M652" i="43"/>
  <c r="M653" i="43"/>
  <c r="M654" i="43"/>
  <c r="M655" i="43"/>
  <c r="M656" i="43"/>
  <c r="M657" i="43"/>
  <c r="M658" i="43"/>
  <c r="M659" i="43"/>
  <c r="M660" i="43"/>
  <c r="M661" i="43"/>
  <c r="M662" i="43"/>
  <c r="M663" i="43"/>
  <c r="M664" i="43"/>
  <c r="M665" i="43"/>
  <c r="M666" i="43"/>
  <c r="M667" i="43"/>
  <c r="M668" i="43"/>
  <c r="M669" i="43"/>
  <c r="M670" i="43"/>
  <c r="M671" i="43"/>
  <c r="M672" i="43"/>
  <c r="M673" i="43"/>
  <c r="M674" i="43"/>
  <c r="M675" i="43"/>
  <c r="M676" i="43"/>
  <c r="M677" i="43"/>
  <c r="M678" i="43"/>
  <c r="M679" i="43"/>
  <c r="M680" i="43"/>
  <c r="M681" i="43"/>
  <c r="M682" i="43"/>
  <c r="M683" i="43"/>
  <c r="M684" i="43"/>
  <c r="M685" i="43"/>
  <c r="M686" i="43"/>
  <c r="M687" i="43"/>
  <c r="M688" i="43"/>
  <c r="M689" i="43"/>
  <c r="M690" i="43"/>
  <c r="M691" i="43"/>
  <c r="M692" i="43"/>
  <c r="M693" i="43"/>
  <c r="M694" i="43"/>
  <c r="M695" i="43"/>
  <c r="M696" i="43"/>
  <c r="M697" i="43"/>
  <c r="M698" i="43"/>
  <c r="M699" i="43"/>
  <c r="M700" i="43"/>
  <c r="M701" i="43"/>
  <c r="M702" i="43"/>
  <c r="M703" i="43"/>
  <c r="M704" i="43"/>
  <c r="M705" i="43"/>
  <c r="M706" i="43"/>
  <c r="M707" i="43"/>
  <c r="M708" i="43"/>
  <c r="M709" i="43"/>
  <c r="M710" i="43"/>
  <c r="M711" i="43"/>
  <c r="M712" i="43"/>
  <c r="M713" i="43"/>
  <c r="M714" i="43"/>
  <c r="M715" i="43"/>
  <c r="M716" i="43"/>
  <c r="M717" i="43"/>
  <c r="M718" i="43"/>
  <c r="M719" i="43"/>
  <c r="M720" i="43"/>
  <c r="M721" i="43"/>
  <c r="M722" i="43"/>
  <c r="M723" i="43"/>
  <c r="M724" i="43"/>
  <c r="M725" i="43"/>
  <c r="M726" i="43"/>
  <c r="M727" i="43"/>
  <c r="M728" i="43"/>
  <c r="M729" i="43"/>
  <c r="M730" i="43"/>
  <c r="M731" i="43"/>
  <c r="M732" i="43"/>
  <c r="M733" i="43"/>
  <c r="M734" i="43"/>
  <c r="M735" i="43"/>
  <c r="M736" i="43"/>
  <c r="M737" i="43"/>
  <c r="M738" i="43"/>
  <c r="M739" i="43"/>
  <c r="M740" i="43"/>
  <c r="M741" i="43"/>
  <c r="M742" i="43"/>
  <c r="M743" i="43"/>
  <c r="M744" i="43"/>
  <c r="M745" i="43"/>
  <c r="M746" i="43"/>
  <c r="M747" i="43"/>
  <c r="M748" i="43"/>
  <c r="M749" i="43"/>
  <c r="M750" i="43"/>
  <c r="M751" i="43"/>
  <c r="M752" i="43"/>
  <c r="M753" i="43"/>
  <c r="M754" i="43"/>
  <c r="M755" i="43"/>
  <c r="M756" i="43"/>
  <c r="M757" i="43"/>
  <c r="M758" i="43"/>
  <c r="M759" i="43"/>
  <c r="M760" i="43"/>
  <c r="M761" i="43"/>
  <c r="M762" i="43"/>
  <c r="M763" i="43"/>
  <c r="M764" i="43"/>
  <c r="M765" i="43"/>
  <c r="M766" i="43"/>
  <c r="M767" i="43"/>
  <c r="M768" i="43"/>
  <c r="M769" i="43"/>
  <c r="M770" i="43"/>
  <c r="M771" i="43"/>
  <c r="M772" i="43"/>
  <c r="M773" i="43"/>
  <c r="M774" i="43"/>
  <c r="M775" i="43"/>
  <c r="M776" i="43"/>
  <c r="M777" i="43"/>
  <c r="M778" i="43"/>
  <c r="M779" i="43"/>
  <c r="M780" i="43"/>
  <c r="M781" i="43"/>
  <c r="M782" i="43"/>
  <c r="M783" i="43"/>
  <c r="M784" i="43"/>
  <c r="M785" i="43"/>
  <c r="M786" i="43"/>
  <c r="M787" i="43"/>
  <c r="M788" i="43"/>
  <c r="M789" i="43"/>
  <c r="M790" i="43"/>
  <c r="M791" i="43"/>
  <c r="M792" i="43"/>
  <c r="M793" i="43"/>
  <c r="M794" i="43"/>
  <c r="M795" i="43"/>
  <c r="M796" i="43"/>
  <c r="M797" i="43"/>
  <c r="M798" i="43"/>
  <c r="M799" i="43"/>
  <c r="M800" i="43"/>
  <c r="M801" i="43"/>
  <c r="M802" i="43"/>
  <c r="M803" i="43"/>
  <c r="M804" i="43"/>
  <c r="M805" i="43"/>
  <c r="M806" i="43"/>
  <c r="M807" i="43"/>
  <c r="M808" i="43"/>
  <c r="M809" i="43"/>
  <c r="M810" i="43"/>
  <c r="M811" i="43"/>
  <c r="M812" i="43"/>
  <c r="M813" i="43"/>
  <c r="M814" i="43"/>
  <c r="M815" i="43"/>
  <c r="M816" i="43"/>
  <c r="M817" i="43"/>
  <c r="M818" i="43"/>
  <c r="M819" i="43"/>
  <c r="M820" i="43"/>
  <c r="M821" i="43"/>
  <c r="M822" i="43"/>
  <c r="M823" i="43"/>
  <c r="M824" i="43"/>
  <c r="M825" i="43"/>
  <c r="M826" i="43"/>
  <c r="M827" i="43"/>
  <c r="M828" i="43"/>
  <c r="M829" i="43"/>
  <c r="M830" i="43"/>
  <c r="M831" i="43"/>
  <c r="M832" i="43"/>
  <c r="M833" i="43"/>
  <c r="M834" i="43"/>
  <c r="M835" i="43"/>
  <c r="M836" i="43"/>
  <c r="M837" i="43"/>
  <c r="M838" i="43"/>
  <c r="M839" i="43"/>
  <c r="M840" i="43"/>
  <c r="M841" i="43"/>
  <c r="M842" i="43"/>
  <c r="M843" i="43"/>
  <c r="M844" i="43"/>
  <c r="M845" i="43"/>
  <c r="M846" i="43"/>
  <c r="M847" i="43"/>
  <c r="M848" i="43"/>
  <c r="M849" i="43"/>
  <c r="M850" i="43"/>
  <c r="M851" i="43"/>
  <c r="M852" i="43"/>
  <c r="M853" i="43"/>
  <c r="M854" i="43"/>
  <c r="M855" i="43"/>
  <c r="M856" i="43"/>
  <c r="M857" i="43"/>
  <c r="M858" i="43"/>
  <c r="M859" i="43"/>
  <c r="M860" i="43"/>
  <c r="M861" i="43"/>
  <c r="M862" i="43"/>
  <c r="M863" i="43"/>
  <c r="M864" i="43"/>
  <c r="M865" i="43"/>
  <c r="M866" i="43"/>
  <c r="M867" i="43"/>
  <c r="M868" i="43"/>
  <c r="M869" i="43"/>
  <c r="M870" i="43"/>
  <c r="M871" i="43"/>
  <c r="M872" i="43"/>
  <c r="M873" i="43"/>
  <c r="M874" i="43"/>
  <c r="M875" i="43"/>
  <c r="M876" i="43"/>
  <c r="M877" i="43"/>
  <c r="M878" i="43"/>
  <c r="M879" i="43"/>
  <c r="M880" i="43"/>
  <c r="M881" i="43"/>
  <c r="M882" i="43"/>
  <c r="M883" i="43"/>
  <c r="M884" i="43"/>
  <c r="M885" i="43"/>
  <c r="M886" i="43"/>
  <c r="M887" i="43"/>
  <c r="M888" i="43"/>
  <c r="M889" i="43"/>
  <c r="M890" i="43"/>
  <c r="M891" i="43"/>
  <c r="M892" i="43"/>
  <c r="M893" i="43"/>
  <c r="M894" i="43"/>
  <c r="M895" i="43"/>
  <c r="M896" i="43"/>
  <c r="M897" i="43"/>
  <c r="M898" i="43"/>
  <c r="M899" i="43"/>
  <c r="M900" i="43"/>
  <c r="M901" i="43"/>
  <c r="M902" i="43"/>
  <c r="M903" i="43"/>
  <c r="M904" i="43"/>
  <c r="M905" i="43"/>
  <c r="M906" i="43"/>
  <c r="M907" i="43"/>
  <c r="M908" i="43"/>
  <c r="M909" i="43"/>
  <c r="M910" i="43"/>
  <c r="M911" i="43"/>
  <c r="M912" i="43"/>
  <c r="M913" i="43"/>
  <c r="M914" i="43"/>
  <c r="M915" i="43"/>
  <c r="M916" i="43"/>
  <c r="M917" i="43"/>
  <c r="M918" i="43"/>
  <c r="M919" i="43"/>
  <c r="M920" i="43"/>
  <c r="M921" i="43"/>
  <c r="M922" i="43"/>
  <c r="M923" i="43"/>
  <c r="M924" i="43"/>
  <c r="M925" i="43"/>
  <c r="M926" i="43"/>
  <c r="M927" i="43"/>
  <c r="M928" i="43"/>
  <c r="M929" i="43"/>
  <c r="M930" i="43"/>
  <c r="M931" i="43"/>
  <c r="M932" i="43"/>
  <c r="M933" i="43"/>
  <c r="M934" i="43"/>
  <c r="M935" i="43"/>
  <c r="M936" i="43"/>
  <c r="M937" i="43"/>
  <c r="M938" i="43"/>
  <c r="M939" i="43"/>
  <c r="M940" i="43"/>
  <c r="M941" i="43"/>
  <c r="M942" i="43"/>
  <c r="M943" i="43"/>
  <c r="M944" i="43"/>
  <c r="M945" i="43"/>
  <c r="M946" i="43"/>
  <c r="M947" i="43"/>
  <c r="M948" i="43"/>
  <c r="M949" i="43"/>
  <c r="M950" i="43"/>
  <c r="M951" i="43"/>
  <c r="M952" i="43"/>
  <c r="M953" i="43"/>
  <c r="M954" i="43"/>
  <c r="M955" i="43"/>
  <c r="M956" i="43"/>
  <c r="M957" i="43"/>
  <c r="M958" i="43"/>
  <c r="M959" i="43"/>
  <c r="M960" i="43"/>
  <c r="M961" i="43"/>
  <c r="M962" i="43"/>
  <c r="M963" i="43"/>
  <c r="M964" i="43"/>
  <c r="M965" i="43"/>
  <c r="M966" i="43"/>
  <c r="M967" i="43"/>
  <c r="M968" i="43"/>
  <c r="M969" i="43"/>
  <c r="M970" i="43"/>
  <c r="M971" i="43"/>
  <c r="M972" i="43"/>
  <c r="M973" i="43"/>
  <c r="M974" i="43"/>
  <c r="M975" i="43"/>
  <c r="M976" i="43"/>
  <c r="M977" i="43"/>
  <c r="M978" i="43"/>
  <c r="M979" i="43"/>
  <c r="M980" i="43"/>
  <c r="M981" i="43"/>
  <c r="M982" i="43"/>
  <c r="M983" i="43"/>
  <c r="M984" i="43"/>
  <c r="M985" i="43"/>
  <c r="M986" i="43"/>
  <c r="M987" i="43"/>
  <c r="M988" i="43"/>
  <c r="M989" i="43"/>
  <c r="M990" i="43"/>
  <c r="M991" i="43"/>
  <c r="M992" i="43"/>
  <c r="M993" i="43"/>
  <c r="M994" i="43"/>
  <c r="M995" i="43"/>
  <c r="M996" i="43"/>
  <c r="M997" i="43"/>
  <c r="M998" i="43"/>
  <c r="M999" i="43"/>
  <c r="M1000" i="43"/>
  <c r="M1001" i="43"/>
  <c r="M1002" i="43"/>
  <c r="M1003" i="43"/>
  <c r="L10" i="43"/>
  <c r="L11" i="43"/>
  <c r="L12" i="43"/>
  <c r="L13" i="43"/>
  <c r="L14" i="43"/>
  <c r="L15" i="43"/>
  <c r="L16" i="43"/>
  <c r="L17" i="43"/>
  <c r="L18" i="43"/>
  <c r="L19" i="43"/>
  <c r="L20" i="43"/>
  <c r="L21" i="43"/>
  <c r="L22" i="43"/>
  <c r="L23" i="43"/>
  <c r="L24" i="43"/>
  <c r="L25" i="43"/>
  <c r="L26" i="43"/>
  <c r="L27" i="43"/>
  <c r="L28" i="43"/>
  <c r="L29" i="43"/>
  <c r="L30" i="43"/>
  <c r="L31" i="43"/>
  <c r="L32" i="43"/>
  <c r="L33" i="43"/>
  <c r="L34" i="43"/>
  <c r="L35" i="43"/>
  <c r="L36" i="43"/>
  <c r="L37" i="43"/>
  <c r="L38" i="43"/>
  <c r="L39" i="43"/>
  <c r="L40" i="43"/>
  <c r="L41" i="43"/>
  <c r="L42" i="43"/>
  <c r="L43" i="43"/>
  <c r="L44" i="43"/>
  <c r="L45" i="43"/>
  <c r="L46" i="43"/>
  <c r="L47" i="43"/>
  <c r="L48" i="43"/>
  <c r="L49" i="43"/>
  <c r="L50" i="43"/>
  <c r="L51" i="43"/>
  <c r="L52" i="43"/>
  <c r="L53" i="43"/>
  <c r="L54" i="43"/>
  <c r="L55" i="43"/>
  <c r="L56" i="43"/>
  <c r="L57" i="43"/>
  <c r="L58" i="43"/>
  <c r="L59" i="43"/>
  <c r="L60" i="43"/>
  <c r="L61" i="43"/>
  <c r="L62" i="43"/>
  <c r="L63" i="43"/>
  <c r="L64" i="43"/>
  <c r="L65" i="43"/>
  <c r="L66" i="43"/>
  <c r="L67" i="43"/>
  <c r="L68" i="43"/>
  <c r="L69" i="43"/>
  <c r="L70" i="43"/>
  <c r="L71" i="43"/>
  <c r="L72" i="43"/>
  <c r="L73" i="43"/>
  <c r="L74" i="43"/>
  <c r="L75" i="43"/>
  <c r="L76" i="43"/>
  <c r="L77" i="43"/>
  <c r="L78" i="43"/>
  <c r="L79" i="43"/>
  <c r="L80" i="43"/>
  <c r="L81" i="43"/>
  <c r="L82" i="43"/>
  <c r="L83" i="43"/>
  <c r="L84" i="43"/>
  <c r="L85" i="43"/>
  <c r="L86" i="43"/>
  <c r="L87" i="43"/>
  <c r="L88" i="43"/>
  <c r="L89" i="43"/>
  <c r="L90" i="43"/>
  <c r="L91" i="43"/>
  <c r="L92" i="43"/>
  <c r="L93" i="43"/>
  <c r="L94" i="43"/>
  <c r="L95" i="43"/>
  <c r="L96" i="43"/>
  <c r="L97" i="43"/>
  <c r="L98" i="43"/>
  <c r="L99" i="43"/>
  <c r="L100" i="43"/>
  <c r="L101" i="43"/>
  <c r="L102" i="43"/>
  <c r="L103" i="43"/>
  <c r="L104" i="43"/>
  <c r="L105" i="43"/>
  <c r="L106" i="43"/>
  <c r="L107" i="43"/>
  <c r="L108" i="43"/>
  <c r="L109" i="43"/>
  <c r="L110" i="43"/>
  <c r="L111" i="43"/>
  <c r="L112" i="43"/>
  <c r="L113" i="43"/>
  <c r="L114" i="43"/>
  <c r="L115" i="43"/>
  <c r="L116" i="43"/>
  <c r="L117" i="43"/>
  <c r="L118" i="43"/>
  <c r="L119" i="43"/>
  <c r="L120" i="43"/>
  <c r="L121" i="43"/>
  <c r="L122" i="43"/>
  <c r="L123" i="43"/>
  <c r="L124" i="43"/>
  <c r="L125" i="43"/>
  <c r="L126" i="43"/>
  <c r="L127" i="43"/>
  <c r="L128" i="43"/>
  <c r="L129" i="43"/>
  <c r="L130" i="43"/>
  <c r="L131" i="43"/>
  <c r="L132" i="43"/>
  <c r="L133" i="43"/>
  <c r="L134" i="43"/>
  <c r="L135" i="43"/>
  <c r="L136" i="43"/>
  <c r="L137" i="43"/>
  <c r="L138" i="43"/>
  <c r="L139" i="43"/>
  <c r="L140" i="43"/>
  <c r="L141" i="43"/>
  <c r="L142" i="43"/>
  <c r="L143" i="43"/>
  <c r="L144" i="43"/>
  <c r="L145" i="43"/>
  <c r="L146" i="43"/>
  <c r="L147" i="43"/>
  <c r="L148" i="43"/>
  <c r="L149" i="43"/>
  <c r="L150" i="43"/>
  <c r="L151" i="43"/>
  <c r="L152" i="43"/>
  <c r="L153" i="43"/>
  <c r="L154" i="43"/>
  <c r="L155" i="43"/>
  <c r="L156" i="43"/>
  <c r="L157" i="43"/>
  <c r="L158" i="43"/>
  <c r="L159" i="43"/>
  <c r="L160" i="43"/>
  <c r="L161" i="43"/>
  <c r="L162" i="43"/>
  <c r="L163" i="43"/>
  <c r="L164" i="43"/>
  <c r="L165" i="43"/>
  <c r="L166" i="43"/>
  <c r="L167" i="43"/>
  <c r="L168" i="43"/>
  <c r="L169" i="43"/>
  <c r="L170" i="43"/>
  <c r="L171" i="43"/>
  <c r="L172" i="43"/>
  <c r="L173" i="43"/>
  <c r="L174" i="43"/>
  <c r="L175" i="43"/>
  <c r="L176" i="43"/>
  <c r="L177" i="43"/>
  <c r="L178" i="43"/>
  <c r="L179" i="43"/>
  <c r="L180" i="43"/>
  <c r="L181" i="43"/>
  <c r="L182" i="43"/>
  <c r="L183" i="43"/>
  <c r="L184" i="43"/>
  <c r="L185" i="43"/>
  <c r="L186" i="43"/>
  <c r="L187" i="43"/>
  <c r="L188" i="43"/>
  <c r="L189" i="43"/>
  <c r="L190" i="43"/>
  <c r="L191" i="43"/>
  <c r="L192" i="43"/>
  <c r="L193" i="43"/>
  <c r="L194" i="43"/>
  <c r="L195" i="43"/>
  <c r="L196" i="43"/>
  <c r="L197" i="43"/>
  <c r="L198" i="43"/>
  <c r="L199" i="43"/>
  <c r="L200" i="43"/>
  <c r="L201" i="43"/>
  <c r="L202" i="43"/>
  <c r="L203" i="43"/>
  <c r="L204" i="43"/>
  <c r="L205" i="43"/>
  <c r="L206" i="43"/>
  <c r="L207" i="43"/>
  <c r="L208" i="43"/>
  <c r="L209" i="43"/>
  <c r="L210" i="43"/>
  <c r="L211" i="43"/>
  <c r="L212" i="43"/>
  <c r="L213" i="43"/>
  <c r="L214" i="43"/>
  <c r="L215" i="43"/>
  <c r="L216" i="43"/>
  <c r="L217" i="43"/>
  <c r="L218" i="43"/>
  <c r="L219" i="43"/>
  <c r="L220" i="43"/>
  <c r="L221" i="43"/>
  <c r="L222" i="43"/>
  <c r="L223" i="43"/>
  <c r="L224" i="43"/>
  <c r="L225" i="43"/>
  <c r="L226" i="43"/>
  <c r="L227" i="43"/>
  <c r="L228" i="43"/>
  <c r="L229" i="43"/>
  <c r="L230" i="43"/>
  <c r="L231" i="43"/>
  <c r="L232" i="43"/>
  <c r="L233" i="43"/>
  <c r="L234" i="43"/>
  <c r="L235" i="43"/>
  <c r="L236" i="43"/>
  <c r="L237" i="43"/>
  <c r="L238" i="43"/>
  <c r="L239" i="43"/>
  <c r="L240" i="43"/>
  <c r="L241" i="43"/>
  <c r="L242" i="43"/>
  <c r="L243" i="43"/>
  <c r="L244" i="43"/>
  <c r="L245" i="43"/>
  <c r="L246" i="43"/>
  <c r="L247" i="43"/>
  <c r="L248" i="43"/>
  <c r="L249" i="43"/>
  <c r="L250" i="43"/>
  <c r="L251" i="43"/>
  <c r="L252" i="43"/>
  <c r="L253" i="43"/>
  <c r="L254" i="43"/>
  <c r="L255" i="43"/>
  <c r="L256" i="43"/>
  <c r="L257" i="43"/>
  <c r="L258" i="43"/>
  <c r="L259" i="43"/>
  <c r="L260" i="43"/>
  <c r="L261" i="43"/>
  <c r="L262" i="43"/>
  <c r="L263" i="43"/>
  <c r="L264" i="43"/>
  <c r="L265" i="43"/>
  <c r="L266" i="43"/>
  <c r="L267" i="43"/>
  <c r="L268" i="43"/>
  <c r="L269" i="43"/>
  <c r="L270" i="43"/>
  <c r="L271" i="43"/>
  <c r="L272" i="43"/>
  <c r="L273" i="43"/>
  <c r="L274" i="43"/>
  <c r="L275" i="43"/>
  <c r="L276" i="43"/>
  <c r="L277" i="43"/>
  <c r="L278" i="43"/>
  <c r="L279" i="43"/>
  <c r="L280" i="43"/>
  <c r="L281" i="43"/>
  <c r="L282" i="43"/>
  <c r="L283" i="43"/>
  <c r="L284" i="43"/>
  <c r="L285" i="43"/>
  <c r="L286" i="43"/>
  <c r="L287" i="43"/>
  <c r="L288" i="43"/>
  <c r="L289" i="43"/>
  <c r="L290" i="43"/>
  <c r="L291" i="43"/>
  <c r="L292" i="43"/>
  <c r="L293" i="43"/>
  <c r="L294" i="43"/>
  <c r="L295" i="43"/>
  <c r="L296" i="43"/>
  <c r="L297" i="43"/>
  <c r="L298" i="43"/>
  <c r="L299" i="43"/>
  <c r="L300" i="43"/>
  <c r="L363" i="43"/>
  <c r="L364" i="43"/>
  <c r="L365" i="43"/>
  <c r="L366" i="43"/>
  <c r="L367" i="43"/>
  <c r="L368" i="43"/>
  <c r="L369" i="43"/>
  <c r="L370" i="43"/>
  <c r="L371" i="43"/>
  <c r="L372" i="43"/>
  <c r="L373" i="43"/>
  <c r="L374" i="43"/>
  <c r="L375" i="43"/>
  <c r="L376" i="43"/>
  <c r="L377" i="43"/>
  <c r="L378" i="43"/>
  <c r="L379" i="43"/>
  <c r="L380" i="43"/>
  <c r="L381" i="43"/>
  <c r="L382" i="43"/>
  <c r="L383" i="43"/>
  <c r="L384" i="43"/>
  <c r="L385" i="43"/>
  <c r="L386" i="43"/>
  <c r="L387" i="43"/>
  <c r="L388" i="43"/>
  <c r="L389" i="43"/>
  <c r="L390" i="43"/>
  <c r="L391" i="43"/>
  <c r="L392" i="43"/>
  <c r="L393" i="43"/>
  <c r="L394" i="43"/>
  <c r="L395" i="43"/>
  <c r="L396" i="43"/>
  <c r="L397" i="43"/>
  <c r="L398" i="43"/>
  <c r="L399" i="43"/>
  <c r="L400" i="43"/>
  <c r="L401" i="43"/>
  <c r="L402" i="43"/>
  <c r="L403" i="43"/>
  <c r="L404" i="43"/>
  <c r="L405" i="43"/>
  <c r="L406" i="43"/>
  <c r="L407" i="43"/>
  <c r="L408" i="43"/>
  <c r="L409" i="43"/>
  <c r="L410" i="43"/>
  <c r="L411" i="43"/>
  <c r="L412" i="43"/>
  <c r="L413" i="43"/>
  <c r="L414" i="43"/>
  <c r="L415" i="43"/>
  <c r="L416" i="43"/>
  <c r="L417" i="43"/>
  <c r="L418" i="43"/>
  <c r="L419" i="43"/>
  <c r="L420" i="43"/>
  <c r="L421" i="43"/>
  <c r="L422" i="43"/>
  <c r="L423" i="43"/>
  <c r="L424" i="43"/>
  <c r="L425" i="43"/>
  <c r="L426" i="43"/>
  <c r="L427" i="43"/>
  <c r="L428" i="43"/>
  <c r="L429" i="43"/>
  <c r="L430" i="43"/>
  <c r="L431" i="43"/>
  <c r="L432" i="43"/>
  <c r="L433" i="43"/>
  <c r="L434" i="43"/>
  <c r="L435" i="43"/>
  <c r="L436" i="43"/>
  <c r="L437" i="43"/>
  <c r="L438" i="43"/>
  <c r="L439" i="43"/>
  <c r="L440" i="43"/>
  <c r="L441" i="43"/>
  <c r="L442" i="43"/>
  <c r="L443" i="43"/>
  <c r="L444" i="43"/>
  <c r="L445" i="43"/>
  <c r="L446" i="43"/>
  <c r="L447" i="43"/>
  <c r="L448" i="43"/>
  <c r="L449" i="43"/>
  <c r="L450" i="43"/>
  <c r="L451" i="43"/>
  <c r="L452" i="43"/>
  <c r="L453" i="43"/>
  <c r="L454" i="43"/>
  <c r="L455" i="43"/>
  <c r="L456" i="43"/>
  <c r="L457" i="43"/>
  <c r="L458" i="43"/>
  <c r="L459" i="43"/>
  <c r="L460" i="43"/>
  <c r="L461" i="43"/>
  <c r="L462" i="43"/>
  <c r="L463" i="43"/>
  <c r="L464" i="43"/>
  <c r="L465" i="43"/>
  <c r="L466" i="43"/>
  <c r="L467" i="43"/>
  <c r="L468" i="43"/>
  <c r="L469" i="43"/>
  <c r="L470" i="43"/>
  <c r="L471" i="43"/>
  <c r="L472" i="43"/>
  <c r="L473" i="43"/>
  <c r="L474" i="43"/>
  <c r="L475" i="43"/>
  <c r="L476" i="43"/>
  <c r="L477" i="43"/>
  <c r="L478" i="43"/>
  <c r="L479" i="43"/>
  <c r="L480" i="43"/>
  <c r="L481" i="43"/>
  <c r="L482" i="43"/>
  <c r="L483" i="43"/>
  <c r="L484" i="43"/>
  <c r="L485" i="43"/>
  <c r="L486" i="43"/>
  <c r="L487" i="43"/>
  <c r="L488" i="43"/>
  <c r="L489" i="43"/>
  <c r="L490" i="43"/>
  <c r="L491" i="43"/>
  <c r="L492" i="43"/>
  <c r="L493" i="43"/>
  <c r="L494" i="43"/>
  <c r="L495" i="43"/>
  <c r="L496" i="43"/>
  <c r="L497" i="43"/>
  <c r="L498" i="43"/>
  <c r="L499" i="43"/>
  <c r="L500" i="43"/>
  <c r="L501" i="43"/>
  <c r="L502" i="43"/>
  <c r="L503" i="43"/>
  <c r="L504" i="43"/>
  <c r="L505" i="43"/>
  <c r="L506" i="43"/>
  <c r="L507" i="43"/>
  <c r="L508" i="43"/>
  <c r="L509" i="43"/>
  <c r="L510" i="43"/>
  <c r="L511" i="43"/>
  <c r="L512" i="43"/>
  <c r="L513" i="43"/>
  <c r="L514" i="43"/>
  <c r="L515" i="43"/>
  <c r="L516" i="43"/>
  <c r="L517" i="43"/>
  <c r="L518" i="43"/>
  <c r="L519" i="43"/>
  <c r="L520" i="43"/>
  <c r="L521" i="43"/>
  <c r="L522" i="43"/>
  <c r="L523" i="43"/>
  <c r="L524" i="43"/>
  <c r="L525" i="43"/>
  <c r="L526" i="43"/>
  <c r="L527" i="43"/>
  <c r="L528" i="43"/>
  <c r="L529" i="43"/>
  <c r="L530" i="43"/>
  <c r="L531" i="43"/>
  <c r="L532" i="43"/>
  <c r="L533" i="43"/>
  <c r="L534" i="43"/>
  <c r="L535" i="43"/>
  <c r="L536" i="43"/>
  <c r="L537" i="43"/>
  <c r="L538" i="43"/>
  <c r="L539" i="43"/>
  <c r="L540" i="43"/>
  <c r="L541" i="43"/>
  <c r="L542" i="43"/>
  <c r="L543" i="43"/>
  <c r="L544" i="43"/>
  <c r="L545" i="43"/>
  <c r="L546" i="43"/>
  <c r="L547" i="43"/>
  <c r="L548" i="43"/>
  <c r="L549" i="43"/>
  <c r="L550" i="43"/>
  <c r="L551" i="43"/>
  <c r="L552" i="43"/>
  <c r="L553" i="43"/>
  <c r="L554" i="43"/>
  <c r="L555" i="43"/>
  <c r="L556" i="43"/>
  <c r="L557" i="43"/>
  <c r="L558" i="43"/>
  <c r="L559" i="43"/>
  <c r="L560" i="43"/>
  <c r="L561" i="43"/>
  <c r="L562" i="43"/>
  <c r="L563" i="43"/>
  <c r="L564" i="43"/>
  <c r="L565" i="43"/>
  <c r="L566" i="43"/>
  <c r="L567" i="43"/>
  <c r="L568" i="43"/>
  <c r="L569" i="43"/>
  <c r="L570" i="43"/>
  <c r="L571" i="43"/>
  <c r="L572" i="43"/>
  <c r="L573" i="43"/>
  <c r="L574" i="43"/>
  <c r="L575" i="43"/>
  <c r="L576" i="43"/>
  <c r="L577" i="43"/>
  <c r="L578" i="43"/>
  <c r="L579" i="43"/>
  <c r="L580" i="43"/>
  <c r="L581" i="43"/>
  <c r="L582" i="43"/>
  <c r="L583" i="43"/>
  <c r="L584" i="43"/>
  <c r="L585" i="43"/>
  <c r="L586" i="43"/>
  <c r="L587" i="43"/>
  <c r="L588" i="43"/>
  <c r="L589" i="43"/>
  <c r="L590" i="43"/>
  <c r="L591" i="43"/>
  <c r="L592" i="43"/>
  <c r="L593" i="43"/>
  <c r="L594" i="43"/>
  <c r="L595" i="43"/>
  <c r="L596" i="43"/>
  <c r="L597" i="43"/>
  <c r="L598" i="43"/>
  <c r="L599" i="43"/>
  <c r="L600" i="43"/>
  <c r="L601" i="43"/>
  <c r="L602" i="43"/>
  <c r="L603" i="43"/>
  <c r="L604" i="43"/>
  <c r="L605" i="43"/>
  <c r="L606" i="43"/>
  <c r="L607" i="43"/>
  <c r="L608" i="43"/>
  <c r="L609" i="43"/>
  <c r="L610" i="43"/>
  <c r="L611" i="43"/>
  <c r="L612" i="43"/>
  <c r="L613" i="43"/>
  <c r="L614" i="43"/>
  <c r="L615" i="43"/>
  <c r="L616" i="43"/>
  <c r="L617" i="43"/>
  <c r="L618" i="43"/>
  <c r="L619" i="43"/>
  <c r="L620" i="43"/>
  <c r="L621" i="43"/>
  <c r="L622" i="43"/>
  <c r="L623" i="43"/>
  <c r="L624" i="43"/>
  <c r="L625" i="43"/>
  <c r="L626" i="43"/>
  <c r="L627" i="43"/>
  <c r="L628" i="43"/>
  <c r="L629" i="43"/>
  <c r="L630" i="43"/>
  <c r="L631" i="43"/>
  <c r="L632" i="43"/>
  <c r="L633" i="43"/>
  <c r="L634" i="43"/>
  <c r="L635" i="43"/>
  <c r="L636" i="43"/>
  <c r="L637" i="43"/>
  <c r="L638" i="43"/>
  <c r="L639" i="43"/>
  <c r="L640" i="43"/>
  <c r="L641" i="43"/>
  <c r="L642" i="43"/>
  <c r="L643" i="43"/>
  <c r="L644" i="43"/>
  <c r="L645" i="43"/>
  <c r="L646" i="43"/>
  <c r="L647" i="43"/>
  <c r="L648" i="43"/>
  <c r="L649" i="43"/>
  <c r="L650" i="43"/>
  <c r="L651" i="43"/>
  <c r="L652" i="43"/>
  <c r="L653" i="43"/>
  <c r="L654" i="43"/>
  <c r="L655" i="43"/>
  <c r="L656" i="43"/>
  <c r="L657" i="43"/>
  <c r="L658" i="43"/>
  <c r="L659" i="43"/>
  <c r="L660" i="43"/>
  <c r="L661" i="43"/>
  <c r="L662" i="43"/>
  <c r="L663" i="43"/>
  <c r="L664" i="43"/>
  <c r="L665" i="43"/>
  <c r="L666" i="43"/>
  <c r="L667" i="43"/>
  <c r="L668" i="43"/>
  <c r="L669" i="43"/>
  <c r="L670" i="43"/>
  <c r="L671" i="43"/>
  <c r="L672" i="43"/>
  <c r="L673" i="43"/>
  <c r="L674" i="43"/>
  <c r="L675" i="43"/>
  <c r="L676" i="43"/>
  <c r="L677" i="43"/>
  <c r="L678" i="43"/>
  <c r="L679" i="43"/>
  <c r="L680" i="43"/>
  <c r="L681" i="43"/>
  <c r="L682" i="43"/>
  <c r="L683" i="43"/>
  <c r="L684" i="43"/>
  <c r="L685" i="43"/>
  <c r="L686" i="43"/>
  <c r="L687" i="43"/>
  <c r="L688" i="43"/>
  <c r="L689" i="43"/>
  <c r="L690" i="43"/>
  <c r="L691" i="43"/>
  <c r="L692" i="43"/>
  <c r="L693" i="43"/>
  <c r="L694" i="43"/>
  <c r="L695" i="43"/>
  <c r="L696" i="43"/>
  <c r="L697" i="43"/>
  <c r="L698" i="43"/>
  <c r="L699" i="43"/>
  <c r="L700" i="43"/>
  <c r="L701" i="43"/>
  <c r="L702" i="43"/>
  <c r="L703" i="43"/>
  <c r="L704" i="43"/>
  <c r="L705" i="43"/>
  <c r="L706" i="43"/>
  <c r="L707" i="43"/>
  <c r="L708" i="43"/>
  <c r="L709" i="43"/>
  <c r="L710" i="43"/>
  <c r="L711" i="43"/>
  <c r="L712" i="43"/>
  <c r="L713" i="43"/>
  <c r="L714" i="43"/>
  <c r="L715" i="43"/>
  <c r="L716" i="43"/>
  <c r="L717" i="43"/>
  <c r="L718" i="43"/>
  <c r="L719" i="43"/>
  <c r="L720" i="43"/>
  <c r="L721" i="43"/>
  <c r="L722" i="43"/>
  <c r="L723" i="43"/>
  <c r="L724" i="43"/>
  <c r="L725" i="43"/>
  <c r="L726" i="43"/>
  <c r="L727" i="43"/>
  <c r="L728" i="43"/>
  <c r="L729" i="43"/>
  <c r="L730" i="43"/>
  <c r="L731" i="43"/>
  <c r="L732" i="43"/>
  <c r="L733" i="43"/>
  <c r="L734" i="43"/>
  <c r="L735" i="43"/>
  <c r="L736" i="43"/>
  <c r="L737" i="43"/>
  <c r="L738" i="43"/>
  <c r="L739" i="43"/>
  <c r="L740" i="43"/>
  <c r="L741" i="43"/>
  <c r="L742" i="43"/>
  <c r="L743" i="43"/>
  <c r="L744" i="43"/>
  <c r="L745" i="43"/>
  <c r="L746" i="43"/>
  <c r="L747" i="43"/>
  <c r="L748" i="43"/>
  <c r="L749" i="43"/>
  <c r="L750" i="43"/>
  <c r="L751" i="43"/>
  <c r="L752" i="43"/>
  <c r="L753" i="43"/>
  <c r="L754" i="43"/>
  <c r="L755" i="43"/>
  <c r="L756" i="43"/>
  <c r="L757" i="43"/>
  <c r="L758" i="43"/>
  <c r="L759" i="43"/>
  <c r="L760" i="43"/>
  <c r="L761" i="43"/>
  <c r="L762" i="43"/>
  <c r="L763" i="43"/>
  <c r="L764" i="43"/>
  <c r="L765" i="43"/>
  <c r="L766" i="43"/>
  <c r="L767" i="43"/>
  <c r="L768" i="43"/>
  <c r="L769" i="43"/>
  <c r="L770" i="43"/>
  <c r="L771" i="43"/>
  <c r="L772" i="43"/>
  <c r="L773" i="43"/>
  <c r="L774" i="43"/>
  <c r="L775" i="43"/>
  <c r="L776" i="43"/>
  <c r="L777" i="43"/>
  <c r="L778" i="43"/>
  <c r="L779" i="43"/>
  <c r="L780" i="43"/>
  <c r="L781" i="43"/>
  <c r="L782" i="43"/>
  <c r="L783" i="43"/>
  <c r="L784" i="43"/>
  <c r="L785" i="43"/>
  <c r="L786" i="43"/>
  <c r="L787" i="43"/>
  <c r="L788" i="43"/>
  <c r="L789" i="43"/>
  <c r="L790" i="43"/>
  <c r="L791" i="43"/>
  <c r="L792" i="43"/>
  <c r="L793" i="43"/>
  <c r="L794" i="43"/>
  <c r="L795" i="43"/>
  <c r="L796" i="43"/>
  <c r="L797" i="43"/>
  <c r="L798" i="43"/>
  <c r="L799" i="43"/>
  <c r="L800" i="43"/>
  <c r="L801" i="43"/>
  <c r="L802" i="43"/>
  <c r="L803" i="43"/>
  <c r="L804" i="43"/>
  <c r="L805" i="43"/>
  <c r="L806" i="43"/>
  <c r="L807" i="43"/>
  <c r="L808" i="43"/>
  <c r="L809" i="43"/>
  <c r="L810" i="43"/>
  <c r="L811" i="43"/>
  <c r="L812" i="43"/>
  <c r="L813" i="43"/>
  <c r="L814" i="43"/>
  <c r="L815" i="43"/>
  <c r="L816" i="43"/>
  <c r="L817" i="43"/>
  <c r="L818" i="43"/>
  <c r="L819" i="43"/>
  <c r="L820" i="43"/>
  <c r="L821" i="43"/>
  <c r="L822" i="43"/>
  <c r="L823" i="43"/>
  <c r="L824" i="43"/>
  <c r="L825" i="43"/>
  <c r="L826" i="43"/>
  <c r="L827" i="43"/>
  <c r="L828" i="43"/>
  <c r="L829" i="43"/>
  <c r="L830" i="43"/>
  <c r="L831" i="43"/>
  <c r="L832" i="43"/>
  <c r="L833" i="43"/>
  <c r="L834" i="43"/>
  <c r="L835" i="43"/>
  <c r="L836" i="43"/>
  <c r="L837" i="43"/>
  <c r="L838" i="43"/>
  <c r="L839" i="43"/>
  <c r="L840" i="43"/>
  <c r="L841" i="43"/>
  <c r="L842" i="43"/>
  <c r="L843" i="43"/>
  <c r="L844" i="43"/>
  <c r="L845" i="43"/>
  <c r="L846" i="43"/>
  <c r="L847" i="43"/>
  <c r="L848" i="43"/>
  <c r="L849" i="43"/>
  <c r="L850" i="43"/>
  <c r="L851" i="43"/>
  <c r="L852" i="43"/>
  <c r="L853" i="43"/>
  <c r="L854" i="43"/>
  <c r="L855" i="43"/>
  <c r="L856" i="43"/>
  <c r="L857" i="43"/>
  <c r="L858" i="43"/>
  <c r="L859" i="43"/>
  <c r="L860" i="43"/>
  <c r="L861" i="43"/>
  <c r="L862" i="43"/>
  <c r="L863" i="43"/>
  <c r="L864" i="43"/>
  <c r="L865" i="43"/>
  <c r="L866" i="43"/>
  <c r="L867" i="43"/>
  <c r="L868" i="43"/>
  <c r="L869" i="43"/>
  <c r="L870" i="43"/>
  <c r="L871" i="43"/>
  <c r="L872" i="43"/>
  <c r="L873" i="43"/>
  <c r="L874" i="43"/>
  <c r="L875" i="43"/>
  <c r="L876" i="43"/>
  <c r="L877" i="43"/>
  <c r="L878" i="43"/>
  <c r="L879" i="43"/>
  <c r="L880" i="43"/>
  <c r="L881" i="43"/>
  <c r="L882" i="43"/>
  <c r="L883" i="43"/>
  <c r="L884" i="43"/>
  <c r="L885" i="43"/>
  <c r="L886" i="43"/>
  <c r="L887" i="43"/>
  <c r="L888" i="43"/>
  <c r="L889" i="43"/>
  <c r="L890" i="43"/>
  <c r="L891" i="43"/>
  <c r="L892" i="43"/>
  <c r="L893" i="43"/>
  <c r="L894" i="43"/>
  <c r="L895" i="43"/>
  <c r="L896" i="43"/>
  <c r="L897" i="43"/>
  <c r="L898" i="43"/>
  <c r="L899" i="43"/>
  <c r="L900" i="43"/>
  <c r="L901" i="43"/>
  <c r="L902" i="43"/>
  <c r="L903" i="43"/>
  <c r="L904" i="43"/>
  <c r="L905" i="43"/>
  <c r="L906" i="43"/>
  <c r="L907" i="43"/>
  <c r="L908" i="43"/>
  <c r="L909" i="43"/>
  <c r="L910" i="43"/>
  <c r="L911" i="43"/>
  <c r="L912" i="43"/>
  <c r="L913" i="43"/>
  <c r="L914" i="43"/>
  <c r="L915" i="43"/>
  <c r="L916" i="43"/>
  <c r="L917" i="43"/>
  <c r="L918" i="43"/>
  <c r="L919" i="43"/>
  <c r="L920" i="43"/>
  <c r="L921" i="43"/>
  <c r="L922" i="43"/>
  <c r="L923" i="43"/>
  <c r="L924" i="43"/>
  <c r="L925" i="43"/>
  <c r="L926" i="43"/>
  <c r="L927" i="43"/>
  <c r="L928" i="43"/>
  <c r="L929" i="43"/>
  <c r="L930" i="43"/>
  <c r="L931" i="43"/>
  <c r="L932" i="43"/>
  <c r="L933" i="43"/>
  <c r="L934" i="43"/>
  <c r="L935" i="43"/>
  <c r="L936" i="43"/>
  <c r="L937" i="43"/>
  <c r="L938" i="43"/>
  <c r="L939" i="43"/>
  <c r="L940" i="43"/>
  <c r="L941" i="43"/>
  <c r="L942" i="43"/>
  <c r="L943" i="43"/>
  <c r="L944" i="43"/>
  <c r="L945" i="43"/>
  <c r="L946" i="43"/>
  <c r="L947" i="43"/>
  <c r="L948" i="43"/>
  <c r="L949" i="43"/>
  <c r="L950" i="43"/>
  <c r="L951" i="43"/>
  <c r="L952" i="43"/>
  <c r="L953" i="43"/>
  <c r="L954" i="43"/>
  <c r="L955" i="43"/>
  <c r="L956" i="43"/>
  <c r="L957" i="43"/>
  <c r="L958" i="43"/>
  <c r="L959" i="43"/>
  <c r="L960" i="43"/>
  <c r="L961" i="43"/>
  <c r="L962" i="43"/>
  <c r="L963" i="43"/>
  <c r="L964" i="43"/>
  <c r="L965" i="43"/>
  <c r="L966" i="43"/>
  <c r="L967" i="43"/>
  <c r="L968" i="43"/>
  <c r="L969" i="43"/>
  <c r="L970" i="43"/>
  <c r="L971" i="43"/>
  <c r="L972" i="43"/>
  <c r="L973" i="43"/>
  <c r="L974" i="43"/>
  <c r="L975" i="43"/>
  <c r="L976" i="43"/>
  <c r="L977" i="43"/>
  <c r="L978" i="43"/>
  <c r="L979" i="43"/>
  <c r="L980" i="43"/>
  <c r="L981" i="43"/>
  <c r="L982" i="43"/>
  <c r="L983" i="43"/>
  <c r="L984" i="43"/>
  <c r="L985" i="43"/>
  <c r="L986" i="43"/>
  <c r="L987" i="43"/>
  <c r="L988" i="43"/>
  <c r="L989" i="43"/>
  <c r="L990" i="43"/>
  <c r="L991" i="43"/>
  <c r="L992" i="43"/>
  <c r="L993" i="43"/>
  <c r="L994" i="43"/>
  <c r="L995" i="43"/>
  <c r="L996" i="43"/>
  <c r="L997" i="43"/>
  <c r="L998" i="43"/>
  <c r="L999" i="43"/>
  <c r="L1000" i="43"/>
  <c r="L1001" i="43"/>
  <c r="L1002" i="43"/>
  <c r="L1003" i="43"/>
  <c r="K10" i="43"/>
  <c r="K11" i="43"/>
  <c r="K12" i="43"/>
  <c r="K13" i="43"/>
  <c r="K14" i="43"/>
  <c r="K15" i="43"/>
  <c r="K16" i="43"/>
  <c r="K17" i="43"/>
  <c r="K18" i="43"/>
  <c r="K19" i="43"/>
  <c r="K20" i="43"/>
  <c r="K21" i="43"/>
  <c r="K22" i="43"/>
  <c r="K23" i="43"/>
  <c r="K24" i="43"/>
  <c r="K25" i="43"/>
  <c r="K26" i="43"/>
  <c r="K27" i="43"/>
  <c r="K28" i="43"/>
  <c r="K29" i="43"/>
  <c r="K30" i="43"/>
  <c r="K31" i="43"/>
  <c r="K32" i="43"/>
  <c r="K33" i="43"/>
  <c r="K34" i="43"/>
  <c r="K35" i="43"/>
  <c r="K36" i="43"/>
  <c r="K37" i="43"/>
  <c r="K38" i="43"/>
  <c r="K39" i="43"/>
  <c r="K40" i="43"/>
  <c r="K41" i="43"/>
  <c r="K42" i="43"/>
  <c r="K43" i="43"/>
  <c r="K44" i="43"/>
  <c r="K45" i="43"/>
  <c r="K46" i="43"/>
  <c r="K47" i="43"/>
  <c r="K48" i="43"/>
  <c r="K49" i="43"/>
  <c r="K50" i="43"/>
  <c r="K51" i="43"/>
  <c r="K52" i="43"/>
  <c r="K53" i="43"/>
  <c r="K54" i="43"/>
  <c r="K55" i="43"/>
  <c r="K56" i="43"/>
  <c r="K57" i="43"/>
  <c r="K58" i="43"/>
  <c r="K59" i="43"/>
  <c r="K60" i="43"/>
  <c r="K61" i="43"/>
  <c r="K62" i="43"/>
  <c r="K63" i="43"/>
  <c r="K64" i="43"/>
  <c r="K65" i="43"/>
  <c r="K66" i="43"/>
  <c r="K67" i="43"/>
  <c r="K68" i="43"/>
  <c r="K69" i="43"/>
  <c r="K70" i="43"/>
  <c r="K71" i="43"/>
  <c r="K72" i="43"/>
  <c r="K73" i="43"/>
  <c r="K74" i="43"/>
  <c r="K75" i="43"/>
  <c r="K76" i="43"/>
  <c r="K77" i="43"/>
  <c r="K78" i="43"/>
  <c r="K79" i="43"/>
  <c r="K80" i="43"/>
  <c r="K81" i="43"/>
  <c r="K82" i="43"/>
  <c r="K83" i="43"/>
  <c r="K84" i="43"/>
  <c r="K85" i="43"/>
  <c r="K86" i="43"/>
  <c r="K87" i="43"/>
  <c r="K88" i="43"/>
  <c r="K89" i="43"/>
  <c r="K90" i="43"/>
  <c r="K91" i="43"/>
  <c r="K92" i="43"/>
  <c r="K93" i="43"/>
  <c r="K94" i="43"/>
  <c r="K95" i="43"/>
  <c r="K96" i="43"/>
  <c r="K97" i="43"/>
  <c r="K98" i="43"/>
  <c r="K99" i="43"/>
  <c r="K100" i="43"/>
  <c r="K101" i="43"/>
  <c r="K102" i="43"/>
  <c r="K103" i="43"/>
  <c r="K104" i="43"/>
  <c r="K105" i="43"/>
  <c r="K106" i="43"/>
  <c r="K107" i="43"/>
  <c r="K108" i="43"/>
  <c r="K109" i="43"/>
  <c r="K110" i="43"/>
  <c r="K111" i="43"/>
  <c r="K112" i="43"/>
  <c r="K113" i="43"/>
  <c r="K114" i="43"/>
  <c r="K115" i="43"/>
  <c r="K116" i="43"/>
  <c r="K117" i="43"/>
  <c r="K118" i="43"/>
  <c r="K119" i="43"/>
  <c r="K120" i="43"/>
  <c r="K121" i="43"/>
  <c r="K122" i="43"/>
  <c r="K123" i="43"/>
  <c r="K124" i="43"/>
  <c r="K125" i="43"/>
  <c r="K126" i="43"/>
  <c r="K127" i="43"/>
  <c r="K128" i="43"/>
  <c r="K129" i="43"/>
  <c r="K130" i="43"/>
  <c r="K131" i="43"/>
  <c r="K132" i="43"/>
  <c r="K133" i="43"/>
  <c r="K134" i="43"/>
  <c r="K135" i="43"/>
  <c r="K136" i="43"/>
  <c r="K137" i="43"/>
  <c r="K138" i="43"/>
  <c r="K139" i="43"/>
  <c r="K140" i="43"/>
  <c r="K141" i="43"/>
  <c r="K142" i="43"/>
  <c r="K143" i="43"/>
  <c r="K144" i="43"/>
  <c r="K145" i="43"/>
  <c r="K146" i="43"/>
  <c r="K147" i="43"/>
  <c r="K148" i="43"/>
  <c r="K149" i="43"/>
  <c r="K150" i="43"/>
  <c r="K151" i="43"/>
  <c r="K152" i="43"/>
  <c r="K153" i="43"/>
  <c r="K154" i="43"/>
  <c r="K155" i="43"/>
  <c r="K156" i="43"/>
  <c r="K157" i="43"/>
  <c r="K158" i="43"/>
  <c r="K159" i="43"/>
  <c r="K160" i="43"/>
  <c r="K161" i="43"/>
  <c r="K162" i="43"/>
  <c r="K163" i="43"/>
  <c r="K164" i="43"/>
  <c r="K165" i="43"/>
  <c r="K166" i="43"/>
  <c r="K167" i="43"/>
  <c r="K168" i="43"/>
  <c r="K169" i="43"/>
  <c r="K170" i="43"/>
  <c r="K171" i="43"/>
  <c r="K172" i="43"/>
  <c r="K173" i="43"/>
  <c r="K174" i="43"/>
  <c r="K175" i="43"/>
  <c r="K176" i="43"/>
  <c r="K177" i="43"/>
  <c r="K178" i="43"/>
  <c r="K179" i="43"/>
  <c r="K180" i="43"/>
  <c r="K181" i="43"/>
  <c r="K182" i="43"/>
  <c r="K183" i="43"/>
  <c r="K184" i="43"/>
  <c r="K185" i="43"/>
  <c r="K186" i="43"/>
  <c r="K187" i="43"/>
  <c r="K188" i="43"/>
  <c r="K189" i="43"/>
  <c r="K190" i="43"/>
  <c r="K191" i="43"/>
  <c r="K192" i="43"/>
  <c r="K193" i="43"/>
  <c r="K194" i="43"/>
  <c r="K195" i="43"/>
  <c r="K196" i="43"/>
  <c r="K197" i="43"/>
  <c r="K198" i="43"/>
  <c r="K199" i="43"/>
  <c r="K200" i="43"/>
  <c r="K201" i="43"/>
  <c r="K202" i="43"/>
  <c r="K203" i="43"/>
  <c r="K204" i="43"/>
  <c r="K205" i="43"/>
  <c r="K206" i="43"/>
  <c r="K207" i="43"/>
  <c r="K208" i="43"/>
  <c r="K209" i="43"/>
  <c r="K210" i="43"/>
  <c r="K211" i="43"/>
  <c r="K212" i="43"/>
  <c r="K213" i="43"/>
  <c r="K214" i="43"/>
  <c r="K215" i="43"/>
  <c r="K216" i="43"/>
  <c r="K217" i="43"/>
  <c r="K218" i="43"/>
  <c r="K219" i="43"/>
  <c r="K220" i="43"/>
  <c r="K221" i="43"/>
  <c r="K222" i="43"/>
  <c r="K223" i="43"/>
  <c r="K224" i="43"/>
  <c r="K225" i="43"/>
  <c r="K226" i="43"/>
  <c r="K227" i="43"/>
  <c r="K228" i="43"/>
  <c r="K229" i="43"/>
  <c r="K230" i="43"/>
  <c r="K231" i="43"/>
  <c r="K232" i="43"/>
  <c r="K233" i="43"/>
  <c r="K234" i="43"/>
  <c r="K235" i="43"/>
  <c r="K236" i="43"/>
  <c r="K237" i="43"/>
  <c r="K238" i="43"/>
  <c r="K239" i="43"/>
  <c r="K240" i="43"/>
  <c r="K241" i="43"/>
  <c r="K242" i="43"/>
  <c r="K243" i="43"/>
  <c r="K244" i="43"/>
  <c r="K245" i="43"/>
  <c r="K246" i="43"/>
  <c r="K247" i="43"/>
  <c r="K248" i="43"/>
  <c r="K249" i="43"/>
  <c r="K250" i="43"/>
  <c r="K251" i="43"/>
  <c r="K252" i="43"/>
  <c r="K253" i="43"/>
  <c r="K254" i="43"/>
  <c r="K255" i="43"/>
  <c r="K256" i="43"/>
  <c r="K257" i="43"/>
  <c r="K258" i="43"/>
  <c r="K259" i="43"/>
  <c r="K260" i="43"/>
  <c r="K261" i="43"/>
  <c r="K262" i="43"/>
  <c r="K263" i="43"/>
  <c r="K264" i="43"/>
  <c r="K265" i="43"/>
  <c r="K266" i="43"/>
  <c r="K267" i="43"/>
  <c r="K268" i="43"/>
  <c r="K269" i="43"/>
  <c r="K270" i="43"/>
  <c r="K271" i="43"/>
  <c r="K272" i="43"/>
  <c r="K273" i="43"/>
  <c r="K274" i="43"/>
  <c r="K275" i="43"/>
  <c r="K276" i="43"/>
  <c r="K277" i="43"/>
  <c r="K278" i="43"/>
  <c r="K279" i="43"/>
  <c r="K280" i="43"/>
  <c r="K281" i="43"/>
  <c r="K282" i="43"/>
  <c r="K283" i="43"/>
  <c r="K284" i="43"/>
  <c r="K285" i="43"/>
  <c r="K286" i="43"/>
  <c r="K287" i="43"/>
  <c r="K288" i="43"/>
  <c r="K289" i="43"/>
  <c r="K290" i="43"/>
  <c r="K291" i="43"/>
  <c r="K292" i="43"/>
  <c r="K293" i="43"/>
  <c r="K294" i="43"/>
  <c r="K295" i="43"/>
  <c r="K296" i="43"/>
  <c r="K297" i="43"/>
  <c r="K298" i="43"/>
  <c r="K299" i="43"/>
  <c r="K300" i="43"/>
  <c r="K363" i="43"/>
  <c r="K364" i="43"/>
  <c r="K365" i="43"/>
  <c r="K366" i="43"/>
  <c r="K367" i="43"/>
  <c r="K368" i="43"/>
  <c r="K369" i="43"/>
  <c r="K370" i="43"/>
  <c r="K371" i="43"/>
  <c r="K372" i="43"/>
  <c r="K373" i="43"/>
  <c r="K374" i="43"/>
  <c r="K375" i="43"/>
  <c r="K376" i="43"/>
  <c r="K377" i="43"/>
  <c r="K378" i="43"/>
  <c r="K379" i="43"/>
  <c r="K380" i="43"/>
  <c r="K381" i="43"/>
  <c r="K382" i="43"/>
  <c r="K383" i="43"/>
  <c r="K384" i="43"/>
  <c r="K385" i="43"/>
  <c r="K386" i="43"/>
  <c r="K387" i="43"/>
  <c r="K388" i="43"/>
  <c r="K389" i="43"/>
  <c r="K390" i="43"/>
  <c r="K391" i="43"/>
  <c r="K392" i="43"/>
  <c r="K393" i="43"/>
  <c r="K394" i="43"/>
  <c r="K395" i="43"/>
  <c r="K396" i="43"/>
  <c r="K397" i="43"/>
  <c r="K398" i="43"/>
  <c r="K399" i="43"/>
  <c r="K400" i="43"/>
  <c r="K401" i="43"/>
  <c r="K402" i="43"/>
  <c r="K403" i="43"/>
  <c r="K404" i="43"/>
  <c r="K405" i="43"/>
  <c r="K406" i="43"/>
  <c r="K407" i="43"/>
  <c r="K408" i="43"/>
  <c r="K409" i="43"/>
  <c r="K410" i="43"/>
  <c r="K411" i="43"/>
  <c r="K412" i="43"/>
  <c r="K413" i="43"/>
  <c r="K414" i="43"/>
  <c r="K415" i="43"/>
  <c r="K416" i="43"/>
  <c r="K417" i="43"/>
  <c r="K418" i="43"/>
  <c r="K419" i="43"/>
  <c r="K420" i="43"/>
  <c r="K421" i="43"/>
  <c r="K422" i="43"/>
  <c r="K423" i="43"/>
  <c r="K424" i="43"/>
  <c r="K425" i="43"/>
  <c r="K426" i="43"/>
  <c r="K427" i="43"/>
  <c r="K428" i="43"/>
  <c r="K429" i="43"/>
  <c r="K430" i="43"/>
  <c r="K431" i="43"/>
  <c r="K432" i="43"/>
  <c r="K433" i="43"/>
  <c r="K434" i="43"/>
  <c r="K435" i="43"/>
  <c r="K436" i="43"/>
  <c r="K437" i="43"/>
  <c r="K438" i="43"/>
  <c r="K439" i="43"/>
  <c r="K440" i="43"/>
  <c r="K441" i="43"/>
  <c r="K442" i="43"/>
  <c r="K443" i="43"/>
  <c r="K444" i="43"/>
  <c r="K445" i="43"/>
  <c r="K446" i="43"/>
  <c r="K447" i="43"/>
  <c r="K448" i="43"/>
  <c r="K449" i="43"/>
  <c r="K450" i="43"/>
  <c r="K451" i="43"/>
  <c r="K452" i="43"/>
  <c r="K453" i="43"/>
  <c r="K454" i="43"/>
  <c r="K455" i="43"/>
  <c r="K456" i="43"/>
  <c r="K457" i="43"/>
  <c r="K458" i="43"/>
  <c r="K459" i="43"/>
  <c r="K460" i="43"/>
  <c r="K461" i="43"/>
  <c r="K462" i="43"/>
  <c r="K463" i="43"/>
  <c r="K464" i="43"/>
  <c r="K465" i="43"/>
  <c r="K466" i="43"/>
  <c r="K467" i="43"/>
  <c r="K468" i="43"/>
  <c r="K469" i="43"/>
  <c r="K470" i="43"/>
  <c r="K471" i="43"/>
  <c r="K472" i="43"/>
  <c r="K473" i="43"/>
  <c r="K474" i="43"/>
  <c r="K475" i="43"/>
  <c r="K476" i="43"/>
  <c r="K477" i="43"/>
  <c r="K478" i="43"/>
  <c r="K479" i="43"/>
  <c r="K480" i="43"/>
  <c r="K481" i="43"/>
  <c r="K482" i="43"/>
  <c r="K483" i="43"/>
  <c r="K484" i="43"/>
  <c r="K485" i="43"/>
  <c r="K486" i="43"/>
  <c r="K487" i="43"/>
  <c r="K488" i="43"/>
  <c r="K489" i="43"/>
  <c r="K490" i="43"/>
  <c r="K491" i="43"/>
  <c r="K492" i="43"/>
  <c r="K493" i="43"/>
  <c r="K494" i="43"/>
  <c r="K495" i="43"/>
  <c r="K496" i="43"/>
  <c r="K497" i="43"/>
  <c r="K498" i="43"/>
  <c r="K499" i="43"/>
  <c r="K500" i="43"/>
  <c r="K501" i="43"/>
  <c r="K502" i="43"/>
  <c r="K503" i="43"/>
  <c r="K504" i="43"/>
  <c r="K505" i="43"/>
  <c r="K506" i="43"/>
  <c r="K507" i="43"/>
  <c r="K508" i="43"/>
  <c r="K509" i="43"/>
  <c r="K510" i="43"/>
  <c r="K511" i="43"/>
  <c r="K512" i="43"/>
  <c r="K513" i="43"/>
  <c r="K514" i="43"/>
  <c r="K515" i="43"/>
  <c r="K516" i="43"/>
  <c r="K517" i="43"/>
  <c r="K518" i="43"/>
  <c r="K519" i="43"/>
  <c r="K520" i="43"/>
  <c r="K521" i="43"/>
  <c r="K522" i="43"/>
  <c r="K523" i="43"/>
  <c r="K524" i="43"/>
  <c r="K525" i="43"/>
  <c r="K526" i="43"/>
  <c r="K527" i="43"/>
  <c r="K528" i="43"/>
  <c r="K529" i="43"/>
  <c r="K530" i="43"/>
  <c r="K531" i="43"/>
  <c r="K532" i="43"/>
  <c r="K533" i="43"/>
  <c r="K534" i="43"/>
  <c r="K535" i="43"/>
  <c r="K536" i="43"/>
  <c r="K537" i="43"/>
  <c r="K538" i="43"/>
  <c r="K539" i="43"/>
  <c r="K540" i="43"/>
  <c r="K541" i="43"/>
  <c r="K542" i="43"/>
  <c r="K543" i="43"/>
  <c r="K544" i="43"/>
  <c r="K545" i="43"/>
  <c r="K546" i="43"/>
  <c r="K547" i="43"/>
  <c r="K548" i="43"/>
  <c r="K549" i="43"/>
  <c r="K550" i="43"/>
  <c r="K551" i="43"/>
  <c r="K552" i="43"/>
  <c r="K553" i="43"/>
  <c r="K554" i="43"/>
  <c r="K555" i="43"/>
  <c r="K556" i="43"/>
  <c r="K557" i="43"/>
  <c r="K558" i="43"/>
  <c r="K559" i="43"/>
  <c r="K560" i="43"/>
  <c r="K561" i="43"/>
  <c r="K562" i="43"/>
  <c r="K563" i="43"/>
  <c r="K564" i="43"/>
  <c r="K565" i="43"/>
  <c r="K566" i="43"/>
  <c r="K567" i="43"/>
  <c r="K568" i="43"/>
  <c r="K569" i="43"/>
  <c r="K570" i="43"/>
  <c r="K571" i="43"/>
  <c r="K572" i="43"/>
  <c r="K573" i="43"/>
  <c r="K574" i="43"/>
  <c r="K575" i="43"/>
  <c r="K576" i="43"/>
  <c r="K577" i="43"/>
  <c r="K578" i="43"/>
  <c r="K579" i="43"/>
  <c r="K580" i="43"/>
  <c r="K581" i="43"/>
  <c r="K582" i="43"/>
  <c r="K583" i="43"/>
  <c r="K584" i="43"/>
  <c r="K585" i="43"/>
  <c r="K586" i="43"/>
  <c r="K587" i="43"/>
  <c r="K588" i="43"/>
  <c r="K589" i="43"/>
  <c r="K590" i="43"/>
  <c r="K591" i="43"/>
  <c r="K592" i="43"/>
  <c r="K593" i="43"/>
  <c r="K594" i="43"/>
  <c r="K595" i="43"/>
  <c r="K596" i="43"/>
  <c r="K597" i="43"/>
  <c r="K598" i="43"/>
  <c r="K599" i="43"/>
  <c r="K600" i="43"/>
  <c r="K601" i="43"/>
  <c r="K602" i="43"/>
  <c r="K603" i="43"/>
  <c r="K604" i="43"/>
  <c r="K605" i="43"/>
  <c r="K606" i="43"/>
  <c r="K607" i="43"/>
  <c r="K608" i="43"/>
  <c r="K609" i="43"/>
  <c r="K610" i="43"/>
  <c r="K611" i="43"/>
  <c r="K612" i="43"/>
  <c r="K613" i="43"/>
  <c r="K614" i="43"/>
  <c r="K615" i="43"/>
  <c r="K616" i="43"/>
  <c r="K617" i="43"/>
  <c r="K618" i="43"/>
  <c r="K619" i="43"/>
  <c r="K620" i="43"/>
  <c r="K621" i="43"/>
  <c r="K622" i="43"/>
  <c r="K623" i="43"/>
  <c r="K624" i="43"/>
  <c r="K625" i="43"/>
  <c r="K626" i="43"/>
  <c r="K627" i="43"/>
  <c r="K628" i="43"/>
  <c r="K629" i="43"/>
  <c r="K630" i="43"/>
  <c r="K631" i="43"/>
  <c r="K632" i="43"/>
  <c r="K633" i="43"/>
  <c r="K634" i="43"/>
  <c r="K635" i="43"/>
  <c r="K636" i="43"/>
  <c r="K637" i="43"/>
  <c r="K638" i="43"/>
  <c r="K639" i="43"/>
  <c r="K640" i="43"/>
  <c r="K641" i="43"/>
  <c r="K642" i="43"/>
  <c r="K643" i="43"/>
  <c r="K644" i="43"/>
  <c r="K645" i="43"/>
  <c r="K646" i="43"/>
  <c r="K647" i="43"/>
  <c r="K648" i="43"/>
  <c r="K649" i="43"/>
  <c r="K650" i="43"/>
  <c r="K651" i="43"/>
  <c r="K652" i="43"/>
  <c r="K653" i="43"/>
  <c r="K654" i="43"/>
  <c r="K655" i="43"/>
  <c r="K656" i="43"/>
  <c r="K657" i="43"/>
  <c r="K658" i="43"/>
  <c r="K659" i="43"/>
  <c r="K660" i="43"/>
  <c r="K661" i="43"/>
  <c r="K662" i="43"/>
  <c r="K663" i="43"/>
  <c r="K664" i="43"/>
  <c r="K665" i="43"/>
  <c r="K666" i="43"/>
  <c r="K667" i="43"/>
  <c r="K668" i="43"/>
  <c r="K669" i="43"/>
  <c r="K670" i="43"/>
  <c r="K671" i="43"/>
  <c r="K672" i="43"/>
  <c r="K673" i="43"/>
  <c r="K674" i="43"/>
  <c r="K675" i="43"/>
  <c r="K676" i="43"/>
  <c r="K677" i="43"/>
  <c r="K678" i="43"/>
  <c r="K679" i="43"/>
  <c r="K680" i="43"/>
  <c r="K681" i="43"/>
  <c r="K682" i="43"/>
  <c r="K683" i="43"/>
  <c r="K684" i="43"/>
  <c r="K685" i="43"/>
  <c r="K686" i="43"/>
  <c r="K687" i="43"/>
  <c r="K688" i="43"/>
  <c r="K689" i="43"/>
  <c r="K690" i="43"/>
  <c r="K691" i="43"/>
  <c r="K692" i="43"/>
  <c r="K693" i="43"/>
  <c r="K694" i="43"/>
  <c r="K695" i="43"/>
  <c r="K696" i="43"/>
  <c r="K697" i="43"/>
  <c r="K698" i="43"/>
  <c r="K699" i="43"/>
  <c r="K700" i="43"/>
  <c r="K701" i="43"/>
  <c r="K702" i="43"/>
  <c r="K703" i="43"/>
  <c r="K704" i="43"/>
  <c r="K705" i="43"/>
  <c r="K706" i="43"/>
  <c r="K707" i="43"/>
  <c r="K708" i="43"/>
  <c r="K709" i="43"/>
  <c r="K710" i="43"/>
  <c r="K711" i="43"/>
  <c r="K712" i="43"/>
  <c r="K713" i="43"/>
  <c r="K714" i="43"/>
  <c r="K715" i="43"/>
  <c r="K716" i="43"/>
  <c r="K717" i="43"/>
  <c r="K718" i="43"/>
  <c r="K719" i="43"/>
  <c r="K720" i="43"/>
  <c r="K721" i="43"/>
  <c r="K722" i="43"/>
  <c r="K723" i="43"/>
  <c r="K724" i="43"/>
  <c r="K725" i="43"/>
  <c r="K726" i="43"/>
  <c r="K727" i="43"/>
  <c r="K728" i="43"/>
  <c r="K729" i="43"/>
  <c r="K730" i="43"/>
  <c r="K731" i="43"/>
  <c r="K732" i="43"/>
  <c r="K733" i="43"/>
  <c r="K734" i="43"/>
  <c r="K735" i="43"/>
  <c r="K736" i="43"/>
  <c r="K737" i="43"/>
  <c r="K738" i="43"/>
  <c r="K739" i="43"/>
  <c r="K740" i="43"/>
  <c r="K741" i="43"/>
  <c r="K742" i="43"/>
  <c r="K743" i="43"/>
  <c r="K744" i="43"/>
  <c r="K745" i="43"/>
  <c r="K746" i="43"/>
  <c r="K747" i="43"/>
  <c r="K748" i="43"/>
  <c r="K749" i="43"/>
  <c r="K750" i="43"/>
  <c r="K751" i="43"/>
  <c r="K752" i="43"/>
  <c r="K753" i="43"/>
  <c r="K754" i="43"/>
  <c r="K755" i="43"/>
  <c r="K756" i="43"/>
  <c r="K757" i="43"/>
  <c r="K758" i="43"/>
  <c r="K759" i="43"/>
  <c r="K760" i="43"/>
  <c r="K761" i="43"/>
  <c r="K762" i="43"/>
  <c r="K763" i="43"/>
  <c r="K764" i="43"/>
  <c r="K765" i="43"/>
  <c r="K766" i="43"/>
  <c r="K767" i="43"/>
  <c r="K768" i="43"/>
  <c r="K769" i="43"/>
  <c r="K770" i="43"/>
  <c r="K771" i="43"/>
  <c r="K772" i="43"/>
  <c r="K773" i="43"/>
  <c r="K774" i="43"/>
  <c r="K775" i="43"/>
  <c r="K776" i="43"/>
  <c r="K777" i="43"/>
  <c r="K778" i="43"/>
  <c r="K779" i="43"/>
  <c r="K780" i="43"/>
  <c r="K781" i="43"/>
  <c r="K782" i="43"/>
  <c r="K783" i="43"/>
  <c r="K784" i="43"/>
  <c r="K785" i="43"/>
  <c r="K786" i="43"/>
  <c r="K787" i="43"/>
  <c r="K788" i="43"/>
  <c r="K789" i="43"/>
  <c r="K790" i="43"/>
  <c r="K791" i="43"/>
  <c r="K792" i="43"/>
  <c r="K793" i="43"/>
  <c r="K794" i="43"/>
  <c r="K795" i="43"/>
  <c r="K796" i="43"/>
  <c r="K797" i="43"/>
  <c r="K798" i="43"/>
  <c r="K799" i="43"/>
  <c r="K800" i="43"/>
  <c r="K801" i="43"/>
  <c r="K802" i="43"/>
  <c r="K803" i="43"/>
  <c r="K804" i="43"/>
  <c r="K805" i="43"/>
  <c r="K806" i="43"/>
  <c r="K807" i="43"/>
  <c r="K808" i="43"/>
  <c r="K809" i="43"/>
  <c r="K810" i="43"/>
  <c r="K811" i="43"/>
  <c r="K812" i="43"/>
  <c r="K813" i="43"/>
  <c r="K814" i="43"/>
  <c r="K815" i="43"/>
  <c r="K816" i="43"/>
  <c r="K817" i="43"/>
  <c r="K818" i="43"/>
  <c r="K819" i="43"/>
  <c r="K820" i="43"/>
  <c r="K821" i="43"/>
  <c r="K822" i="43"/>
  <c r="K823" i="43"/>
  <c r="K824" i="43"/>
  <c r="K825" i="43"/>
  <c r="K826" i="43"/>
  <c r="K827" i="43"/>
  <c r="K828" i="43"/>
  <c r="K829" i="43"/>
  <c r="K830" i="43"/>
  <c r="K831" i="43"/>
  <c r="K832" i="43"/>
  <c r="K833" i="43"/>
  <c r="K834" i="43"/>
  <c r="K835" i="43"/>
  <c r="K836" i="43"/>
  <c r="K837" i="43"/>
  <c r="K838" i="43"/>
  <c r="K839" i="43"/>
  <c r="K840" i="43"/>
  <c r="K841" i="43"/>
  <c r="K842" i="43"/>
  <c r="K843" i="43"/>
  <c r="K844" i="43"/>
  <c r="K845" i="43"/>
  <c r="K846" i="43"/>
  <c r="K847" i="43"/>
  <c r="K848" i="43"/>
  <c r="K849" i="43"/>
  <c r="K850" i="43"/>
  <c r="K851" i="43"/>
  <c r="K852" i="43"/>
  <c r="K853" i="43"/>
  <c r="K854" i="43"/>
  <c r="K855" i="43"/>
  <c r="K856" i="43"/>
  <c r="K857" i="43"/>
  <c r="K858" i="43"/>
  <c r="K859" i="43"/>
  <c r="K860" i="43"/>
  <c r="K861" i="43"/>
  <c r="K862" i="43"/>
  <c r="K863" i="43"/>
  <c r="K864" i="43"/>
  <c r="K865" i="43"/>
  <c r="K866" i="43"/>
  <c r="K867" i="43"/>
  <c r="K868" i="43"/>
  <c r="K869" i="43"/>
  <c r="K870" i="43"/>
  <c r="K871" i="43"/>
  <c r="K872" i="43"/>
  <c r="K873" i="43"/>
  <c r="K874" i="43"/>
  <c r="K875" i="43"/>
  <c r="K876" i="43"/>
  <c r="K877" i="43"/>
  <c r="K878" i="43"/>
  <c r="K879" i="43"/>
  <c r="K880" i="43"/>
  <c r="K881" i="43"/>
  <c r="K882" i="43"/>
  <c r="K883" i="43"/>
  <c r="K884" i="43"/>
  <c r="K885" i="43"/>
  <c r="K886" i="43"/>
  <c r="K887" i="43"/>
  <c r="K888" i="43"/>
  <c r="K889" i="43"/>
  <c r="K890" i="43"/>
  <c r="K891" i="43"/>
  <c r="K892" i="43"/>
  <c r="K893" i="43"/>
  <c r="K894" i="43"/>
  <c r="K895" i="43"/>
  <c r="K896" i="43"/>
  <c r="K897" i="43"/>
  <c r="K898" i="43"/>
  <c r="K899" i="43"/>
  <c r="K900" i="43"/>
  <c r="K901" i="43"/>
  <c r="K902" i="43"/>
  <c r="K903" i="43"/>
  <c r="K904" i="43"/>
  <c r="K905" i="43"/>
  <c r="K906" i="43"/>
  <c r="K907" i="43"/>
  <c r="K908" i="43"/>
  <c r="K909" i="43"/>
  <c r="K910" i="43"/>
  <c r="K911" i="43"/>
  <c r="K912" i="43"/>
  <c r="K913" i="43"/>
  <c r="K914" i="43"/>
  <c r="K915" i="43"/>
  <c r="K916" i="43"/>
  <c r="K917" i="43"/>
  <c r="K918" i="43"/>
  <c r="K919" i="43"/>
  <c r="K920" i="43"/>
  <c r="K921" i="43"/>
  <c r="K922" i="43"/>
  <c r="K923" i="43"/>
  <c r="K924" i="43"/>
  <c r="K925" i="43"/>
  <c r="K926" i="43"/>
  <c r="K927" i="43"/>
  <c r="K928" i="43"/>
  <c r="K929" i="43"/>
  <c r="K930" i="43"/>
  <c r="K931" i="43"/>
  <c r="K932" i="43"/>
  <c r="K933" i="43"/>
  <c r="K934" i="43"/>
  <c r="K935" i="43"/>
  <c r="K936" i="43"/>
  <c r="K937" i="43"/>
  <c r="K938" i="43"/>
  <c r="K939" i="43"/>
  <c r="K940" i="43"/>
  <c r="K941" i="43"/>
  <c r="K942" i="43"/>
  <c r="K943" i="43"/>
  <c r="K944" i="43"/>
  <c r="K945" i="43"/>
  <c r="K946" i="43"/>
  <c r="K947" i="43"/>
  <c r="K948" i="43"/>
  <c r="K949" i="43"/>
  <c r="K950" i="43"/>
  <c r="K951" i="43"/>
  <c r="K952" i="43"/>
  <c r="K953" i="43"/>
  <c r="K954" i="43"/>
  <c r="K955" i="43"/>
  <c r="K956" i="43"/>
  <c r="K957" i="43"/>
  <c r="K958" i="43"/>
  <c r="K959" i="43"/>
  <c r="K960" i="43"/>
  <c r="K961" i="43"/>
  <c r="K962" i="43"/>
  <c r="K963" i="43"/>
  <c r="K964" i="43"/>
  <c r="K965" i="43"/>
  <c r="K966" i="43"/>
  <c r="K967" i="43"/>
  <c r="K968" i="43"/>
  <c r="K969" i="43"/>
  <c r="K970" i="43"/>
  <c r="K971" i="43"/>
  <c r="K972" i="43"/>
  <c r="K973" i="43"/>
  <c r="K974" i="43"/>
  <c r="K975" i="43"/>
  <c r="K976" i="43"/>
  <c r="K977" i="43"/>
  <c r="K978" i="43"/>
  <c r="K979" i="43"/>
  <c r="K980" i="43"/>
  <c r="K981" i="43"/>
  <c r="K982" i="43"/>
  <c r="K983" i="43"/>
  <c r="K984" i="43"/>
  <c r="K985" i="43"/>
  <c r="K986" i="43"/>
  <c r="K987" i="43"/>
  <c r="K988" i="43"/>
  <c r="K989" i="43"/>
  <c r="K990" i="43"/>
  <c r="K991" i="43"/>
  <c r="K992" i="43"/>
  <c r="K993" i="43"/>
  <c r="K994" i="43"/>
  <c r="K995" i="43"/>
  <c r="K996" i="43"/>
  <c r="K997" i="43"/>
  <c r="K998" i="43"/>
  <c r="K999" i="43"/>
  <c r="K1000" i="43"/>
  <c r="K1001" i="43"/>
  <c r="K1002" i="43"/>
  <c r="K1003" i="43"/>
  <c r="J10" i="43"/>
  <c r="J11" i="43"/>
  <c r="J12" i="43"/>
  <c r="J13" i="43"/>
  <c r="J14" i="43"/>
  <c r="J15" i="43"/>
  <c r="J16" i="43"/>
  <c r="J17" i="43"/>
  <c r="J18" i="43"/>
  <c r="J19" i="43"/>
  <c r="J20" i="43"/>
  <c r="J21" i="43"/>
  <c r="J22" i="43"/>
  <c r="J23" i="43"/>
  <c r="J24" i="43"/>
  <c r="J25" i="43"/>
  <c r="J26" i="43"/>
  <c r="J27" i="43"/>
  <c r="J28" i="43"/>
  <c r="J29" i="43"/>
  <c r="J30" i="43"/>
  <c r="J31" i="43"/>
  <c r="J32" i="43"/>
  <c r="J33" i="43"/>
  <c r="J34" i="43"/>
  <c r="J35" i="43"/>
  <c r="J36" i="43"/>
  <c r="J37" i="43"/>
  <c r="J38" i="43"/>
  <c r="J39" i="43"/>
  <c r="J40" i="43"/>
  <c r="J41" i="43"/>
  <c r="J42" i="43"/>
  <c r="J43" i="43"/>
  <c r="J44" i="43"/>
  <c r="J45" i="43"/>
  <c r="J46" i="43"/>
  <c r="J47" i="43"/>
  <c r="J48" i="43"/>
  <c r="J49" i="43"/>
  <c r="J50" i="43"/>
  <c r="J51" i="43"/>
  <c r="J52" i="43"/>
  <c r="J53" i="43"/>
  <c r="J54" i="43"/>
  <c r="J55" i="43"/>
  <c r="J56" i="43"/>
  <c r="J57" i="43"/>
  <c r="J58" i="43"/>
  <c r="J59" i="43"/>
  <c r="J60" i="43"/>
  <c r="J61" i="43"/>
  <c r="J62" i="43"/>
  <c r="J63" i="43"/>
  <c r="J64" i="43"/>
  <c r="J65" i="43"/>
  <c r="J66" i="43"/>
  <c r="J67" i="43"/>
  <c r="J68" i="43"/>
  <c r="J69" i="43"/>
  <c r="J70" i="43"/>
  <c r="J71" i="43"/>
  <c r="J72" i="43"/>
  <c r="J73" i="43"/>
  <c r="J74" i="43"/>
  <c r="J75" i="43"/>
  <c r="J76" i="43"/>
  <c r="J77" i="43"/>
  <c r="J78" i="43"/>
  <c r="J79" i="43"/>
  <c r="J80" i="43"/>
  <c r="J81" i="43"/>
  <c r="J82" i="43"/>
  <c r="J83" i="43"/>
  <c r="J84" i="43"/>
  <c r="J85" i="43"/>
  <c r="J86" i="43"/>
  <c r="J87" i="43"/>
  <c r="J88" i="43"/>
  <c r="J89" i="43"/>
  <c r="J90" i="43"/>
  <c r="J91" i="43"/>
  <c r="J92" i="43"/>
  <c r="J93" i="43"/>
  <c r="J94" i="43"/>
  <c r="J95" i="43"/>
  <c r="J96" i="43"/>
  <c r="J97" i="43"/>
  <c r="J98" i="43"/>
  <c r="J99" i="43"/>
  <c r="J100" i="43"/>
  <c r="J101" i="43"/>
  <c r="J102" i="43"/>
  <c r="J103" i="43"/>
  <c r="J104" i="43"/>
  <c r="J105" i="43"/>
  <c r="J106" i="43"/>
  <c r="J107" i="43"/>
  <c r="J108" i="43"/>
  <c r="J109" i="43"/>
  <c r="J110" i="43"/>
  <c r="J111" i="43"/>
  <c r="J112" i="43"/>
  <c r="J113" i="43"/>
  <c r="J114" i="43"/>
  <c r="J115" i="43"/>
  <c r="J116" i="43"/>
  <c r="J117" i="43"/>
  <c r="J118" i="43"/>
  <c r="J119" i="43"/>
  <c r="J120" i="43"/>
  <c r="J121" i="43"/>
  <c r="J122" i="43"/>
  <c r="J123" i="43"/>
  <c r="J124" i="43"/>
  <c r="J125" i="43"/>
  <c r="J126" i="43"/>
  <c r="J127" i="43"/>
  <c r="J128" i="43"/>
  <c r="J129" i="43"/>
  <c r="J130" i="43"/>
  <c r="J131" i="43"/>
  <c r="J132" i="43"/>
  <c r="J133" i="43"/>
  <c r="J134" i="43"/>
  <c r="J135" i="43"/>
  <c r="J136" i="43"/>
  <c r="J137" i="43"/>
  <c r="J138" i="43"/>
  <c r="J139" i="43"/>
  <c r="J140" i="43"/>
  <c r="J141" i="43"/>
  <c r="J142" i="43"/>
  <c r="J143" i="43"/>
  <c r="J144" i="43"/>
  <c r="J145" i="43"/>
  <c r="J146" i="43"/>
  <c r="J147" i="43"/>
  <c r="J148" i="43"/>
  <c r="J149" i="43"/>
  <c r="J150" i="43"/>
  <c r="J151" i="43"/>
  <c r="J152" i="43"/>
  <c r="J153" i="43"/>
  <c r="J154" i="43"/>
  <c r="J155" i="43"/>
  <c r="J156" i="43"/>
  <c r="J157" i="43"/>
  <c r="J158" i="43"/>
  <c r="J159" i="43"/>
  <c r="J160" i="43"/>
  <c r="J161" i="43"/>
  <c r="J162" i="43"/>
  <c r="J163" i="43"/>
  <c r="J164" i="43"/>
  <c r="J165" i="43"/>
  <c r="J166" i="43"/>
  <c r="J167" i="43"/>
  <c r="J168" i="43"/>
  <c r="J169" i="43"/>
  <c r="J170" i="43"/>
  <c r="J171" i="43"/>
  <c r="J172" i="43"/>
  <c r="J173" i="43"/>
  <c r="J174" i="43"/>
  <c r="J175" i="43"/>
  <c r="J176" i="43"/>
  <c r="J177" i="43"/>
  <c r="J178" i="43"/>
  <c r="J179" i="43"/>
  <c r="J180" i="43"/>
  <c r="J181" i="43"/>
  <c r="J182" i="43"/>
  <c r="J183" i="43"/>
  <c r="J184" i="43"/>
  <c r="J185" i="43"/>
  <c r="J186" i="43"/>
  <c r="J187" i="43"/>
  <c r="J188" i="43"/>
  <c r="J189" i="43"/>
  <c r="J190" i="43"/>
  <c r="J191" i="43"/>
  <c r="J192" i="43"/>
  <c r="J193" i="43"/>
  <c r="J194" i="43"/>
  <c r="J195" i="43"/>
  <c r="J196" i="43"/>
  <c r="J197" i="43"/>
  <c r="J198" i="43"/>
  <c r="J199" i="43"/>
  <c r="J200" i="43"/>
  <c r="J201" i="43"/>
  <c r="J202" i="43"/>
  <c r="J203" i="43"/>
  <c r="J204" i="43"/>
  <c r="J205" i="43"/>
  <c r="J206" i="43"/>
  <c r="J207" i="43"/>
  <c r="J208" i="43"/>
  <c r="J209" i="43"/>
  <c r="J210" i="43"/>
  <c r="J211" i="43"/>
  <c r="J212" i="43"/>
  <c r="J213" i="43"/>
  <c r="J214" i="43"/>
  <c r="J215" i="43"/>
  <c r="J216" i="43"/>
  <c r="J217" i="43"/>
  <c r="J218" i="43"/>
  <c r="J219" i="43"/>
  <c r="J220" i="43"/>
  <c r="J221" i="43"/>
  <c r="J222" i="43"/>
  <c r="J223" i="43"/>
  <c r="J224" i="43"/>
  <c r="J225" i="43"/>
  <c r="J226" i="43"/>
  <c r="J227" i="43"/>
  <c r="J228" i="43"/>
  <c r="J229" i="43"/>
  <c r="J230" i="43"/>
  <c r="J231" i="43"/>
  <c r="J232" i="43"/>
  <c r="J233" i="43"/>
  <c r="J234" i="43"/>
  <c r="J235" i="43"/>
  <c r="J236" i="43"/>
  <c r="J237" i="43"/>
  <c r="J238" i="43"/>
  <c r="J239" i="43"/>
  <c r="J240" i="43"/>
  <c r="J241" i="43"/>
  <c r="J242" i="43"/>
  <c r="J243" i="43"/>
  <c r="J244" i="43"/>
  <c r="J245" i="43"/>
  <c r="J246" i="43"/>
  <c r="J247" i="43"/>
  <c r="J248" i="43"/>
  <c r="J249" i="43"/>
  <c r="J250" i="43"/>
  <c r="J251" i="43"/>
  <c r="J252" i="43"/>
  <c r="J253" i="43"/>
  <c r="J254" i="43"/>
  <c r="J255" i="43"/>
  <c r="J256" i="43"/>
  <c r="J257" i="43"/>
  <c r="J258" i="43"/>
  <c r="J259" i="43"/>
  <c r="J260" i="43"/>
  <c r="J261" i="43"/>
  <c r="J262" i="43"/>
  <c r="J263" i="43"/>
  <c r="J264" i="43"/>
  <c r="J265" i="43"/>
  <c r="J266" i="43"/>
  <c r="J267" i="43"/>
  <c r="J268" i="43"/>
  <c r="J269" i="43"/>
  <c r="J270" i="43"/>
  <c r="J271" i="43"/>
  <c r="J272" i="43"/>
  <c r="J273" i="43"/>
  <c r="J274" i="43"/>
  <c r="J275" i="43"/>
  <c r="J276" i="43"/>
  <c r="J277" i="43"/>
  <c r="J278" i="43"/>
  <c r="J279" i="43"/>
  <c r="J280" i="43"/>
  <c r="J281" i="43"/>
  <c r="J282" i="43"/>
  <c r="J283" i="43"/>
  <c r="J284" i="43"/>
  <c r="J285" i="43"/>
  <c r="J286" i="43"/>
  <c r="J287" i="43"/>
  <c r="J288" i="43"/>
  <c r="J289" i="43"/>
  <c r="J290" i="43"/>
  <c r="J291" i="43"/>
  <c r="J292" i="43"/>
  <c r="J293" i="43"/>
  <c r="J294" i="43"/>
  <c r="J295" i="43"/>
  <c r="J296" i="43"/>
  <c r="J297" i="43"/>
  <c r="J298" i="43"/>
  <c r="J299" i="43"/>
  <c r="J300" i="43"/>
  <c r="J363" i="43"/>
  <c r="J364" i="43"/>
  <c r="J365" i="43"/>
  <c r="J366" i="43"/>
  <c r="J367" i="43"/>
  <c r="J368" i="43"/>
  <c r="J369" i="43"/>
  <c r="J370" i="43"/>
  <c r="J371" i="43"/>
  <c r="J372" i="43"/>
  <c r="J373" i="43"/>
  <c r="J374" i="43"/>
  <c r="J375" i="43"/>
  <c r="J376" i="43"/>
  <c r="J377" i="43"/>
  <c r="J378" i="43"/>
  <c r="J379" i="43"/>
  <c r="J380" i="43"/>
  <c r="J381" i="43"/>
  <c r="J382" i="43"/>
  <c r="J383" i="43"/>
  <c r="J384" i="43"/>
  <c r="J385" i="43"/>
  <c r="J386" i="43"/>
  <c r="J387" i="43"/>
  <c r="J388" i="43"/>
  <c r="J389" i="43"/>
  <c r="J390" i="43"/>
  <c r="J391" i="43"/>
  <c r="J392" i="43"/>
  <c r="J393" i="43"/>
  <c r="J394" i="43"/>
  <c r="J395" i="43"/>
  <c r="J396" i="43"/>
  <c r="J397" i="43"/>
  <c r="J398" i="43"/>
  <c r="J399" i="43"/>
  <c r="J400" i="43"/>
  <c r="J401" i="43"/>
  <c r="J402" i="43"/>
  <c r="J403" i="43"/>
  <c r="J404" i="43"/>
  <c r="J405" i="43"/>
  <c r="J406" i="43"/>
  <c r="J407" i="43"/>
  <c r="J408" i="43"/>
  <c r="J409" i="43"/>
  <c r="J410" i="43"/>
  <c r="J411" i="43"/>
  <c r="J412" i="43"/>
  <c r="J413" i="43"/>
  <c r="J414" i="43"/>
  <c r="J415" i="43"/>
  <c r="J416" i="43"/>
  <c r="J417" i="43"/>
  <c r="J418" i="43"/>
  <c r="J419" i="43"/>
  <c r="J420" i="43"/>
  <c r="J421" i="43"/>
  <c r="J422" i="43"/>
  <c r="J423" i="43"/>
  <c r="J424" i="43"/>
  <c r="J425" i="43"/>
  <c r="J426" i="43"/>
  <c r="J427" i="43"/>
  <c r="J428" i="43"/>
  <c r="J429" i="43"/>
  <c r="J430" i="43"/>
  <c r="J431" i="43"/>
  <c r="J432" i="43"/>
  <c r="J433" i="43"/>
  <c r="J434" i="43"/>
  <c r="J435" i="43"/>
  <c r="J436" i="43"/>
  <c r="J437" i="43"/>
  <c r="J438" i="43"/>
  <c r="J439" i="43"/>
  <c r="J440" i="43"/>
  <c r="J441" i="43"/>
  <c r="J442" i="43"/>
  <c r="J443" i="43"/>
  <c r="J444" i="43"/>
  <c r="J445" i="43"/>
  <c r="J446" i="43"/>
  <c r="J447" i="43"/>
  <c r="J448" i="43"/>
  <c r="J449" i="43"/>
  <c r="J450" i="43"/>
  <c r="J451" i="43"/>
  <c r="J452" i="43"/>
  <c r="J453" i="43"/>
  <c r="J454" i="43"/>
  <c r="J455" i="43"/>
  <c r="J456" i="43"/>
  <c r="J457" i="43"/>
  <c r="J458" i="43"/>
  <c r="J459" i="43"/>
  <c r="J460" i="43"/>
  <c r="J461" i="43"/>
  <c r="J462" i="43"/>
  <c r="J463" i="43"/>
  <c r="J464" i="43"/>
  <c r="J465" i="43"/>
  <c r="J466" i="43"/>
  <c r="J467" i="43"/>
  <c r="J468" i="43"/>
  <c r="J469" i="43"/>
  <c r="J470" i="43"/>
  <c r="J471" i="43"/>
  <c r="J472" i="43"/>
  <c r="J473" i="43"/>
  <c r="J474" i="43"/>
  <c r="J475" i="43"/>
  <c r="J476" i="43"/>
  <c r="J477" i="43"/>
  <c r="J478" i="43"/>
  <c r="J479" i="43"/>
  <c r="J480" i="43"/>
  <c r="J481" i="43"/>
  <c r="J482" i="43"/>
  <c r="J483" i="43"/>
  <c r="J484" i="43"/>
  <c r="J485" i="43"/>
  <c r="J486" i="43"/>
  <c r="J487" i="43"/>
  <c r="J488" i="43"/>
  <c r="J489" i="43"/>
  <c r="J490" i="43"/>
  <c r="J491" i="43"/>
  <c r="J492" i="43"/>
  <c r="J493" i="43"/>
  <c r="J494" i="43"/>
  <c r="J495" i="43"/>
  <c r="J496" i="43"/>
  <c r="J497" i="43"/>
  <c r="J498" i="43"/>
  <c r="J499" i="43"/>
  <c r="J500" i="43"/>
  <c r="J501" i="43"/>
  <c r="J502" i="43"/>
  <c r="J503" i="43"/>
  <c r="J504" i="43"/>
  <c r="J505" i="43"/>
  <c r="J506" i="43"/>
  <c r="J507" i="43"/>
  <c r="J508" i="43"/>
  <c r="J509" i="43"/>
  <c r="J510" i="43"/>
  <c r="J511" i="43"/>
  <c r="J512" i="43"/>
  <c r="J513" i="43"/>
  <c r="J514" i="43"/>
  <c r="J515" i="43"/>
  <c r="J516" i="43"/>
  <c r="J517" i="43"/>
  <c r="J518" i="43"/>
  <c r="J519" i="43"/>
  <c r="J520" i="43"/>
  <c r="J521" i="43"/>
  <c r="J522" i="43"/>
  <c r="J523" i="43"/>
  <c r="J524" i="43"/>
  <c r="J525" i="43"/>
  <c r="J526" i="43"/>
  <c r="J527" i="43"/>
  <c r="J528" i="43"/>
  <c r="J529" i="43"/>
  <c r="J530" i="43"/>
  <c r="J531" i="43"/>
  <c r="J532" i="43"/>
  <c r="J533" i="43"/>
  <c r="J534" i="43"/>
  <c r="J535" i="43"/>
  <c r="J536" i="43"/>
  <c r="J537" i="43"/>
  <c r="J538" i="43"/>
  <c r="J539" i="43"/>
  <c r="J540" i="43"/>
  <c r="J541" i="43"/>
  <c r="J542" i="43"/>
  <c r="J543" i="43"/>
  <c r="J544" i="43"/>
  <c r="J545" i="43"/>
  <c r="J546" i="43"/>
  <c r="J547" i="43"/>
  <c r="J548" i="43"/>
  <c r="J549" i="43"/>
  <c r="J550" i="43"/>
  <c r="J551" i="43"/>
  <c r="J552" i="43"/>
  <c r="J553" i="43"/>
  <c r="J554" i="43"/>
  <c r="J555" i="43"/>
  <c r="J556" i="43"/>
  <c r="J557" i="43"/>
  <c r="J558" i="43"/>
  <c r="J559" i="43"/>
  <c r="J560" i="43"/>
  <c r="J561" i="43"/>
  <c r="J562" i="43"/>
  <c r="J563" i="43"/>
  <c r="J564" i="43"/>
  <c r="J565" i="43"/>
  <c r="J566" i="43"/>
  <c r="J567" i="43"/>
  <c r="J568" i="43"/>
  <c r="J569" i="43"/>
  <c r="J570" i="43"/>
  <c r="J571" i="43"/>
  <c r="J572" i="43"/>
  <c r="J573" i="43"/>
  <c r="J574" i="43"/>
  <c r="J575" i="43"/>
  <c r="J576" i="43"/>
  <c r="J577" i="43"/>
  <c r="J578" i="43"/>
  <c r="J579" i="43"/>
  <c r="J580" i="43"/>
  <c r="J581" i="43"/>
  <c r="J582" i="43"/>
  <c r="J583" i="43"/>
  <c r="J584" i="43"/>
  <c r="J585" i="43"/>
  <c r="J586" i="43"/>
  <c r="J587" i="43"/>
  <c r="J588" i="43"/>
  <c r="J589" i="43"/>
  <c r="J590" i="43"/>
  <c r="J591" i="43"/>
  <c r="J592" i="43"/>
  <c r="J593" i="43"/>
  <c r="J594" i="43"/>
  <c r="J595" i="43"/>
  <c r="J596" i="43"/>
  <c r="J597" i="43"/>
  <c r="J598" i="43"/>
  <c r="J599" i="43"/>
  <c r="J600" i="43"/>
  <c r="J601" i="43"/>
  <c r="J602" i="43"/>
  <c r="J603" i="43"/>
  <c r="J604" i="43"/>
  <c r="J605" i="43"/>
  <c r="J606" i="43"/>
  <c r="J607" i="43"/>
  <c r="J608" i="43"/>
  <c r="J609" i="43"/>
  <c r="J610" i="43"/>
  <c r="J611" i="43"/>
  <c r="J612" i="43"/>
  <c r="J613" i="43"/>
  <c r="J614" i="43"/>
  <c r="J615" i="43"/>
  <c r="J616" i="43"/>
  <c r="J617" i="43"/>
  <c r="J618" i="43"/>
  <c r="J619" i="43"/>
  <c r="J620" i="43"/>
  <c r="J621" i="43"/>
  <c r="J622" i="43"/>
  <c r="J623" i="43"/>
  <c r="J624" i="43"/>
  <c r="J625" i="43"/>
  <c r="J626" i="43"/>
  <c r="J627" i="43"/>
  <c r="J628" i="43"/>
  <c r="J629" i="43"/>
  <c r="J630" i="43"/>
  <c r="J631" i="43"/>
  <c r="J632" i="43"/>
  <c r="J633" i="43"/>
  <c r="J634" i="43"/>
  <c r="J635" i="43"/>
  <c r="J636" i="43"/>
  <c r="J637" i="43"/>
  <c r="J638" i="43"/>
  <c r="J639" i="43"/>
  <c r="J640" i="43"/>
  <c r="J641" i="43"/>
  <c r="J642" i="43"/>
  <c r="J643" i="43"/>
  <c r="J644" i="43"/>
  <c r="J645" i="43"/>
  <c r="J646" i="43"/>
  <c r="J647" i="43"/>
  <c r="J648" i="43"/>
  <c r="J649" i="43"/>
  <c r="J650" i="43"/>
  <c r="J651" i="43"/>
  <c r="J652" i="43"/>
  <c r="J653" i="43"/>
  <c r="J654" i="43"/>
  <c r="J655" i="43"/>
  <c r="J656" i="43"/>
  <c r="J657" i="43"/>
  <c r="J658" i="43"/>
  <c r="J659" i="43"/>
  <c r="J660" i="43"/>
  <c r="J661" i="43"/>
  <c r="J662" i="43"/>
  <c r="J663" i="43"/>
  <c r="J664" i="43"/>
  <c r="J665" i="43"/>
  <c r="J666" i="43"/>
  <c r="J667" i="43"/>
  <c r="J668" i="43"/>
  <c r="J669" i="43"/>
  <c r="J670" i="43"/>
  <c r="J671" i="43"/>
  <c r="J672" i="43"/>
  <c r="J673" i="43"/>
  <c r="J674" i="43"/>
  <c r="J675" i="43"/>
  <c r="J676" i="43"/>
  <c r="J677" i="43"/>
  <c r="J678" i="43"/>
  <c r="J679" i="43"/>
  <c r="J680" i="43"/>
  <c r="J681" i="43"/>
  <c r="J682" i="43"/>
  <c r="J683" i="43"/>
  <c r="J684" i="43"/>
  <c r="J685" i="43"/>
  <c r="J686" i="43"/>
  <c r="J687" i="43"/>
  <c r="J688" i="43"/>
  <c r="J689" i="43"/>
  <c r="J690" i="43"/>
  <c r="J691" i="43"/>
  <c r="J692" i="43"/>
  <c r="J693" i="43"/>
  <c r="J694" i="43"/>
  <c r="J695" i="43"/>
  <c r="J696" i="43"/>
  <c r="J697" i="43"/>
  <c r="J698" i="43"/>
  <c r="J699" i="43"/>
  <c r="J700" i="43"/>
  <c r="J701" i="43"/>
  <c r="J702" i="43"/>
  <c r="J703" i="43"/>
  <c r="J704" i="43"/>
  <c r="J705" i="43"/>
  <c r="J706" i="43"/>
  <c r="J707" i="43"/>
  <c r="J708" i="43"/>
  <c r="J709" i="43"/>
  <c r="J710" i="43"/>
  <c r="J711" i="43"/>
  <c r="J712" i="43"/>
  <c r="J713" i="43"/>
  <c r="J714" i="43"/>
  <c r="J715" i="43"/>
  <c r="J716" i="43"/>
  <c r="J717" i="43"/>
  <c r="J718" i="43"/>
  <c r="J719" i="43"/>
  <c r="J720" i="43"/>
  <c r="J721" i="43"/>
  <c r="J722" i="43"/>
  <c r="J723" i="43"/>
  <c r="J724" i="43"/>
  <c r="J725" i="43"/>
  <c r="J726" i="43"/>
  <c r="J727" i="43"/>
  <c r="J728" i="43"/>
  <c r="J729" i="43"/>
  <c r="J730" i="43"/>
  <c r="J731" i="43"/>
  <c r="J732" i="43"/>
  <c r="J733" i="43"/>
  <c r="J734" i="43"/>
  <c r="J735" i="43"/>
  <c r="J736" i="43"/>
  <c r="J737" i="43"/>
  <c r="J738" i="43"/>
  <c r="J739" i="43"/>
  <c r="J740" i="43"/>
  <c r="J741" i="43"/>
  <c r="J742" i="43"/>
  <c r="J743" i="43"/>
  <c r="J744" i="43"/>
  <c r="J745" i="43"/>
  <c r="J746" i="43"/>
  <c r="J747" i="43"/>
  <c r="J748" i="43"/>
  <c r="J749" i="43"/>
  <c r="J750" i="43"/>
  <c r="J751" i="43"/>
  <c r="J752" i="43"/>
  <c r="J753" i="43"/>
  <c r="J754" i="43"/>
  <c r="J755" i="43"/>
  <c r="J756" i="43"/>
  <c r="J757" i="43"/>
  <c r="J758" i="43"/>
  <c r="J759" i="43"/>
  <c r="J760" i="43"/>
  <c r="J761" i="43"/>
  <c r="J762" i="43"/>
  <c r="J763" i="43"/>
  <c r="J764" i="43"/>
  <c r="J765" i="43"/>
  <c r="J766" i="43"/>
  <c r="J767" i="43"/>
  <c r="J768" i="43"/>
  <c r="J769" i="43"/>
  <c r="J770" i="43"/>
  <c r="J771" i="43"/>
  <c r="J772" i="43"/>
  <c r="J773" i="43"/>
  <c r="J774" i="43"/>
  <c r="J775" i="43"/>
  <c r="J776" i="43"/>
  <c r="J777" i="43"/>
  <c r="J778" i="43"/>
  <c r="J779" i="43"/>
  <c r="J780" i="43"/>
  <c r="J781" i="43"/>
  <c r="J782" i="43"/>
  <c r="J783" i="43"/>
  <c r="J784" i="43"/>
  <c r="J785" i="43"/>
  <c r="J786" i="43"/>
  <c r="J787" i="43"/>
  <c r="J788" i="43"/>
  <c r="J789" i="43"/>
  <c r="J790" i="43"/>
  <c r="J791" i="43"/>
  <c r="J792" i="43"/>
  <c r="J793" i="43"/>
  <c r="J794" i="43"/>
  <c r="J795" i="43"/>
  <c r="J796" i="43"/>
  <c r="J797" i="43"/>
  <c r="J798" i="43"/>
  <c r="J799" i="43"/>
  <c r="J800" i="43"/>
  <c r="J801" i="43"/>
  <c r="J802" i="43"/>
  <c r="J803" i="43"/>
  <c r="J804" i="43"/>
  <c r="J805" i="43"/>
  <c r="J806" i="43"/>
  <c r="J807" i="43"/>
  <c r="J808" i="43"/>
  <c r="J809" i="43"/>
  <c r="J810" i="43"/>
  <c r="J811" i="43"/>
  <c r="J812" i="43"/>
  <c r="J813" i="43"/>
  <c r="J814" i="43"/>
  <c r="J815" i="43"/>
  <c r="J816" i="43"/>
  <c r="J817" i="43"/>
  <c r="J818" i="43"/>
  <c r="J819" i="43"/>
  <c r="J820" i="43"/>
  <c r="J821" i="43"/>
  <c r="J822" i="43"/>
  <c r="J823" i="43"/>
  <c r="J824" i="43"/>
  <c r="J825" i="43"/>
  <c r="J826" i="43"/>
  <c r="J827" i="43"/>
  <c r="J828" i="43"/>
  <c r="J829" i="43"/>
  <c r="J830" i="43"/>
  <c r="J831" i="43"/>
  <c r="J832" i="43"/>
  <c r="J833" i="43"/>
  <c r="J834" i="43"/>
  <c r="J835" i="43"/>
  <c r="J836" i="43"/>
  <c r="J837" i="43"/>
  <c r="J838" i="43"/>
  <c r="J839" i="43"/>
  <c r="J840" i="43"/>
  <c r="J841" i="43"/>
  <c r="J842" i="43"/>
  <c r="J843" i="43"/>
  <c r="J844" i="43"/>
  <c r="J845" i="43"/>
  <c r="J846" i="43"/>
  <c r="J847" i="43"/>
  <c r="J848" i="43"/>
  <c r="J849" i="43"/>
  <c r="J850" i="43"/>
  <c r="J851" i="43"/>
  <c r="J852" i="43"/>
  <c r="J853" i="43"/>
  <c r="J854" i="43"/>
  <c r="J855" i="43"/>
  <c r="J856" i="43"/>
  <c r="J857" i="43"/>
  <c r="J858" i="43"/>
  <c r="J859" i="43"/>
  <c r="J860" i="43"/>
  <c r="J861" i="43"/>
  <c r="J862" i="43"/>
  <c r="J863" i="43"/>
  <c r="J864" i="43"/>
  <c r="J865" i="43"/>
  <c r="J866" i="43"/>
  <c r="J867" i="43"/>
  <c r="J868" i="43"/>
  <c r="J869" i="43"/>
  <c r="J870" i="43"/>
  <c r="J871" i="43"/>
  <c r="J872" i="43"/>
  <c r="J873" i="43"/>
  <c r="J874" i="43"/>
  <c r="J875" i="43"/>
  <c r="J876" i="43"/>
  <c r="J877" i="43"/>
  <c r="J878" i="43"/>
  <c r="J879" i="43"/>
  <c r="J880" i="43"/>
  <c r="J881" i="43"/>
  <c r="J882" i="43"/>
  <c r="J883" i="43"/>
  <c r="J884" i="43"/>
  <c r="J885" i="43"/>
  <c r="J886" i="43"/>
  <c r="J887" i="43"/>
  <c r="J888" i="43"/>
  <c r="J889" i="43"/>
  <c r="J890" i="43"/>
  <c r="J891" i="43"/>
  <c r="J892" i="43"/>
  <c r="J893" i="43"/>
  <c r="J894" i="43"/>
  <c r="J895" i="43"/>
  <c r="J896" i="43"/>
  <c r="J897" i="43"/>
  <c r="J898" i="43"/>
  <c r="J899" i="43"/>
  <c r="J900" i="43"/>
  <c r="J901" i="43"/>
  <c r="J902" i="43"/>
  <c r="J903" i="43"/>
  <c r="J904" i="43"/>
  <c r="J905" i="43"/>
  <c r="J906" i="43"/>
  <c r="J907" i="43"/>
  <c r="J908" i="43"/>
  <c r="J909" i="43"/>
  <c r="J910" i="43"/>
  <c r="J911" i="43"/>
  <c r="J912" i="43"/>
  <c r="J913" i="43"/>
  <c r="J914" i="43"/>
  <c r="J915" i="43"/>
  <c r="J916" i="43"/>
  <c r="J917" i="43"/>
  <c r="J918" i="43"/>
  <c r="J919" i="43"/>
  <c r="J920" i="43"/>
  <c r="J921" i="43"/>
  <c r="J922" i="43"/>
  <c r="J923" i="43"/>
  <c r="J924" i="43"/>
  <c r="J925" i="43"/>
  <c r="J926" i="43"/>
  <c r="J927" i="43"/>
  <c r="J928" i="43"/>
  <c r="J929" i="43"/>
  <c r="J930" i="43"/>
  <c r="J931" i="43"/>
  <c r="J932" i="43"/>
  <c r="J933" i="43"/>
  <c r="J934" i="43"/>
  <c r="J935" i="43"/>
  <c r="J936" i="43"/>
  <c r="J937" i="43"/>
  <c r="J938" i="43"/>
  <c r="J939" i="43"/>
  <c r="J940" i="43"/>
  <c r="J941" i="43"/>
  <c r="J942" i="43"/>
  <c r="J943" i="43"/>
  <c r="J944" i="43"/>
  <c r="J945" i="43"/>
  <c r="J946" i="43"/>
  <c r="J947" i="43"/>
  <c r="J948" i="43"/>
  <c r="J949" i="43"/>
  <c r="J950" i="43"/>
  <c r="J951" i="43"/>
  <c r="J952" i="43"/>
  <c r="J953" i="43"/>
  <c r="J954" i="43"/>
  <c r="J955" i="43"/>
  <c r="J956" i="43"/>
  <c r="J957" i="43"/>
  <c r="J958" i="43"/>
  <c r="J959" i="43"/>
  <c r="J960" i="43"/>
  <c r="J961" i="43"/>
  <c r="J962" i="43"/>
  <c r="J963" i="43"/>
  <c r="J964" i="43"/>
  <c r="J965" i="43"/>
  <c r="J966" i="43"/>
  <c r="J967" i="43"/>
  <c r="J968" i="43"/>
  <c r="J969" i="43"/>
  <c r="J970" i="43"/>
  <c r="J971" i="43"/>
  <c r="J972" i="43"/>
  <c r="J973" i="43"/>
  <c r="J974" i="43"/>
  <c r="J975" i="43"/>
  <c r="J976" i="43"/>
  <c r="J977" i="43"/>
  <c r="J978" i="43"/>
  <c r="J979" i="43"/>
  <c r="J980" i="43"/>
  <c r="J981" i="43"/>
  <c r="J982" i="43"/>
  <c r="J983" i="43"/>
  <c r="J984" i="43"/>
  <c r="J985" i="43"/>
  <c r="J986" i="43"/>
  <c r="J987" i="43"/>
  <c r="J988" i="43"/>
  <c r="J989" i="43"/>
  <c r="J990" i="43"/>
  <c r="J991" i="43"/>
  <c r="J992" i="43"/>
  <c r="J993" i="43"/>
  <c r="J994" i="43"/>
  <c r="J995" i="43"/>
  <c r="J996" i="43"/>
  <c r="J997" i="43"/>
  <c r="J998" i="43"/>
  <c r="J999" i="43"/>
  <c r="J1000" i="43"/>
  <c r="J1001" i="43"/>
  <c r="J1002" i="43"/>
  <c r="J1003" i="43"/>
  <c r="I10" i="43"/>
  <c r="I11" i="43"/>
  <c r="I12" i="43"/>
  <c r="I13" i="43"/>
  <c r="I14" i="43"/>
  <c r="I15" i="43"/>
  <c r="I16" i="43"/>
  <c r="I17" i="43"/>
  <c r="I18" i="43"/>
  <c r="I19" i="43"/>
  <c r="I20" i="43"/>
  <c r="I21" i="43"/>
  <c r="I22" i="43"/>
  <c r="I23" i="43"/>
  <c r="I24" i="43"/>
  <c r="I25" i="43"/>
  <c r="I26" i="43"/>
  <c r="I27" i="43"/>
  <c r="I28" i="43"/>
  <c r="I29" i="43"/>
  <c r="I30" i="43"/>
  <c r="I31" i="43"/>
  <c r="I32" i="43"/>
  <c r="I33" i="43"/>
  <c r="I34" i="43"/>
  <c r="I35" i="43"/>
  <c r="I36" i="43"/>
  <c r="I37" i="43"/>
  <c r="I38" i="43"/>
  <c r="I39" i="43"/>
  <c r="I40" i="43"/>
  <c r="I41" i="43"/>
  <c r="I42" i="43"/>
  <c r="I43" i="43"/>
  <c r="I44" i="43"/>
  <c r="I45" i="43"/>
  <c r="I46" i="43"/>
  <c r="I47" i="43"/>
  <c r="I48" i="43"/>
  <c r="I49" i="43"/>
  <c r="I50" i="43"/>
  <c r="I51" i="43"/>
  <c r="I52" i="43"/>
  <c r="I53" i="43"/>
  <c r="I54" i="43"/>
  <c r="I55" i="43"/>
  <c r="I56" i="43"/>
  <c r="I57" i="43"/>
  <c r="I58" i="43"/>
  <c r="I59" i="43"/>
  <c r="I60" i="43"/>
  <c r="I61" i="43"/>
  <c r="I62" i="43"/>
  <c r="I63" i="43"/>
  <c r="I64" i="43"/>
  <c r="I65" i="43"/>
  <c r="I66" i="43"/>
  <c r="I67" i="43"/>
  <c r="I68" i="43"/>
  <c r="I69" i="43"/>
  <c r="I70" i="43"/>
  <c r="I71" i="43"/>
  <c r="I72" i="43"/>
  <c r="I73" i="43"/>
  <c r="I74" i="43"/>
  <c r="I75" i="43"/>
  <c r="I76" i="43"/>
  <c r="I77" i="43"/>
  <c r="I78" i="43"/>
  <c r="I79" i="43"/>
  <c r="I80" i="43"/>
  <c r="I81" i="43"/>
  <c r="I82" i="43"/>
  <c r="I83" i="43"/>
  <c r="I84" i="43"/>
  <c r="I85" i="43"/>
  <c r="I86" i="43"/>
  <c r="I87" i="43"/>
  <c r="I88" i="43"/>
  <c r="I89" i="43"/>
  <c r="I90" i="43"/>
  <c r="I91" i="43"/>
  <c r="I92" i="43"/>
  <c r="I93" i="43"/>
  <c r="I94" i="43"/>
  <c r="I95" i="43"/>
  <c r="I96" i="43"/>
  <c r="I97" i="43"/>
  <c r="I98" i="43"/>
  <c r="I99" i="43"/>
  <c r="I100" i="43"/>
  <c r="I101" i="43"/>
  <c r="I102" i="43"/>
  <c r="I103" i="43"/>
  <c r="I104" i="43"/>
  <c r="I105" i="43"/>
  <c r="I106" i="43"/>
  <c r="I107" i="43"/>
  <c r="I108" i="43"/>
  <c r="I109" i="43"/>
  <c r="I110" i="43"/>
  <c r="I111" i="43"/>
  <c r="I112" i="43"/>
  <c r="I113" i="43"/>
  <c r="I114" i="43"/>
  <c r="I115" i="43"/>
  <c r="I116" i="43"/>
  <c r="I117" i="43"/>
  <c r="I118" i="43"/>
  <c r="I119" i="43"/>
  <c r="I120" i="43"/>
  <c r="I121" i="43"/>
  <c r="I122" i="43"/>
  <c r="I123" i="43"/>
  <c r="I124" i="43"/>
  <c r="I125" i="43"/>
  <c r="I126" i="43"/>
  <c r="I127" i="43"/>
  <c r="I128" i="43"/>
  <c r="I129" i="43"/>
  <c r="I130" i="43"/>
  <c r="I131" i="43"/>
  <c r="I132" i="43"/>
  <c r="I133" i="43"/>
  <c r="I134" i="43"/>
  <c r="I135" i="43"/>
  <c r="I136" i="43"/>
  <c r="I137" i="43"/>
  <c r="I138" i="43"/>
  <c r="I139" i="43"/>
  <c r="I140" i="43"/>
  <c r="I141" i="43"/>
  <c r="I142" i="43"/>
  <c r="I143" i="43"/>
  <c r="I144" i="43"/>
  <c r="I145" i="43"/>
  <c r="I146" i="43"/>
  <c r="I147" i="43"/>
  <c r="I148" i="43"/>
  <c r="I149" i="43"/>
  <c r="I150" i="43"/>
  <c r="I151" i="43"/>
  <c r="I152" i="43"/>
  <c r="I153" i="43"/>
  <c r="I154" i="43"/>
  <c r="I155" i="43"/>
  <c r="I156" i="43"/>
  <c r="I157" i="43"/>
  <c r="I158" i="43"/>
  <c r="I159" i="43"/>
  <c r="I160" i="43"/>
  <c r="I161" i="43"/>
  <c r="I162" i="43"/>
  <c r="I163" i="43"/>
  <c r="I164" i="43"/>
  <c r="I165" i="43"/>
  <c r="I166" i="43"/>
  <c r="I167" i="43"/>
  <c r="I168" i="43"/>
  <c r="I169" i="43"/>
  <c r="I170" i="43"/>
  <c r="I171" i="43"/>
  <c r="I172" i="43"/>
  <c r="I173" i="43"/>
  <c r="I174" i="43"/>
  <c r="I175" i="43"/>
  <c r="I176" i="43"/>
  <c r="I177" i="43"/>
  <c r="I178" i="43"/>
  <c r="I179" i="43"/>
  <c r="I180" i="43"/>
  <c r="I181" i="43"/>
  <c r="I182" i="43"/>
  <c r="I183" i="43"/>
  <c r="I184" i="43"/>
  <c r="I185" i="43"/>
  <c r="I186" i="43"/>
  <c r="I187" i="43"/>
  <c r="I188" i="43"/>
  <c r="I189" i="43"/>
  <c r="I190" i="43"/>
  <c r="I191" i="43"/>
  <c r="I192" i="43"/>
  <c r="I193" i="43"/>
  <c r="I194" i="43"/>
  <c r="I195" i="43"/>
  <c r="I196" i="43"/>
  <c r="I197" i="43"/>
  <c r="I198" i="43"/>
  <c r="I199" i="43"/>
  <c r="I200" i="43"/>
  <c r="I201" i="43"/>
  <c r="I202" i="43"/>
  <c r="I203" i="43"/>
  <c r="I204" i="43"/>
  <c r="I205" i="43"/>
  <c r="I206" i="43"/>
  <c r="I207" i="43"/>
  <c r="I208" i="43"/>
  <c r="I209" i="43"/>
  <c r="I210" i="43"/>
  <c r="I211" i="43"/>
  <c r="I212" i="43"/>
  <c r="I213" i="43"/>
  <c r="I214" i="43"/>
  <c r="I215" i="43"/>
  <c r="I216" i="43"/>
  <c r="I217" i="43"/>
  <c r="I218" i="43"/>
  <c r="I219" i="43"/>
  <c r="I220" i="43"/>
  <c r="I221" i="43"/>
  <c r="I222" i="43"/>
  <c r="I223" i="43"/>
  <c r="I224" i="43"/>
  <c r="I225" i="43"/>
  <c r="I226" i="43"/>
  <c r="I227" i="43"/>
  <c r="I228" i="43"/>
  <c r="I229" i="43"/>
  <c r="I230" i="43"/>
  <c r="I231" i="43"/>
  <c r="I232" i="43"/>
  <c r="I233" i="43"/>
  <c r="I234" i="43"/>
  <c r="I235" i="43"/>
  <c r="I236" i="43"/>
  <c r="I237" i="43"/>
  <c r="I238" i="43"/>
  <c r="I239" i="43"/>
  <c r="I240" i="43"/>
  <c r="I241" i="43"/>
  <c r="I242" i="43"/>
  <c r="I243" i="43"/>
  <c r="I244" i="43"/>
  <c r="I245" i="43"/>
  <c r="I246" i="43"/>
  <c r="I247" i="43"/>
  <c r="I248" i="43"/>
  <c r="I249" i="43"/>
  <c r="I250" i="43"/>
  <c r="I251" i="43"/>
  <c r="I252" i="43"/>
  <c r="I253" i="43"/>
  <c r="I254" i="43"/>
  <c r="I255" i="43"/>
  <c r="I256" i="43"/>
  <c r="I257" i="43"/>
  <c r="I258" i="43"/>
  <c r="I259" i="43"/>
  <c r="I260" i="43"/>
  <c r="I261" i="43"/>
  <c r="I262" i="43"/>
  <c r="I263" i="43"/>
  <c r="I264" i="43"/>
  <c r="I265" i="43"/>
  <c r="I266" i="43"/>
  <c r="I267" i="43"/>
  <c r="I268" i="43"/>
  <c r="I269" i="43"/>
  <c r="I270" i="43"/>
  <c r="I271" i="43"/>
  <c r="I272" i="43"/>
  <c r="I273" i="43"/>
  <c r="I274" i="43"/>
  <c r="I275" i="43"/>
  <c r="I276" i="43"/>
  <c r="I277" i="43"/>
  <c r="I278" i="43"/>
  <c r="I279" i="43"/>
  <c r="I280" i="43"/>
  <c r="I281" i="43"/>
  <c r="I282" i="43"/>
  <c r="I283" i="43"/>
  <c r="I284" i="43"/>
  <c r="I285" i="43"/>
  <c r="I286" i="43"/>
  <c r="I287" i="43"/>
  <c r="I288" i="43"/>
  <c r="I289" i="43"/>
  <c r="I290" i="43"/>
  <c r="I291" i="43"/>
  <c r="I292" i="43"/>
  <c r="I293" i="43"/>
  <c r="I294" i="43"/>
  <c r="I295" i="43"/>
  <c r="I296" i="43"/>
  <c r="I297" i="43"/>
  <c r="I298" i="43"/>
  <c r="I299" i="43"/>
  <c r="I300" i="43"/>
  <c r="I363" i="43"/>
  <c r="I364" i="43"/>
  <c r="I365" i="43"/>
  <c r="I366" i="43"/>
  <c r="I367" i="43"/>
  <c r="I368" i="43"/>
  <c r="I369" i="43"/>
  <c r="I370" i="43"/>
  <c r="I371" i="43"/>
  <c r="I372" i="43"/>
  <c r="I373" i="43"/>
  <c r="I374" i="43"/>
  <c r="I375" i="43"/>
  <c r="I376" i="43"/>
  <c r="I377" i="43"/>
  <c r="I378" i="43"/>
  <c r="I379" i="43"/>
  <c r="I380" i="43"/>
  <c r="I381" i="43"/>
  <c r="I382" i="43"/>
  <c r="I383" i="43"/>
  <c r="I384" i="43"/>
  <c r="I385" i="43"/>
  <c r="I386" i="43"/>
  <c r="I387" i="43"/>
  <c r="I388" i="43"/>
  <c r="I389" i="43"/>
  <c r="I390" i="43"/>
  <c r="I391" i="43"/>
  <c r="I392" i="43"/>
  <c r="I393" i="43"/>
  <c r="I394" i="43"/>
  <c r="I395" i="43"/>
  <c r="I396" i="43"/>
  <c r="I397" i="43"/>
  <c r="I398" i="43"/>
  <c r="I399" i="43"/>
  <c r="I400" i="43"/>
  <c r="I401" i="43"/>
  <c r="I402" i="43"/>
  <c r="I403" i="43"/>
  <c r="I404" i="43"/>
  <c r="I405" i="43"/>
  <c r="I406" i="43"/>
  <c r="I407" i="43"/>
  <c r="I408" i="43"/>
  <c r="I409" i="43"/>
  <c r="I410" i="43"/>
  <c r="I411" i="43"/>
  <c r="I412" i="43"/>
  <c r="I413" i="43"/>
  <c r="I414" i="43"/>
  <c r="I415" i="43"/>
  <c r="I416" i="43"/>
  <c r="I417" i="43"/>
  <c r="I418" i="43"/>
  <c r="I419" i="43"/>
  <c r="I420" i="43"/>
  <c r="I421" i="43"/>
  <c r="I422" i="43"/>
  <c r="I423" i="43"/>
  <c r="I424" i="43"/>
  <c r="I425" i="43"/>
  <c r="I426" i="43"/>
  <c r="I427" i="43"/>
  <c r="I428" i="43"/>
  <c r="I429" i="43"/>
  <c r="I430" i="43"/>
  <c r="I431" i="43"/>
  <c r="I432" i="43"/>
  <c r="I433" i="43"/>
  <c r="I434" i="43"/>
  <c r="I435" i="43"/>
  <c r="I436" i="43"/>
  <c r="I437" i="43"/>
  <c r="I438" i="43"/>
  <c r="I439" i="43"/>
  <c r="I440" i="43"/>
  <c r="I441" i="43"/>
  <c r="I442" i="43"/>
  <c r="I443" i="43"/>
  <c r="I444" i="43"/>
  <c r="I445" i="43"/>
  <c r="I446" i="43"/>
  <c r="I447" i="43"/>
  <c r="I448" i="43"/>
  <c r="I449" i="43"/>
  <c r="I450" i="43"/>
  <c r="I451" i="43"/>
  <c r="I452" i="43"/>
  <c r="I453" i="43"/>
  <c r="I454" i="43"/>
  <c r="I455" i="43"/>
  <c r="I456" i="43"/>
  <c r="I457" i="43"/>
  <c r="I458" i="43"/>
  <c r="I459" i="43"/>
  <c r="I460" i="43"/>
  <c r="I461" i="43"/>
  <c r="I462" i="43"/>
  <c r="I463" i="43"/>
  <c r="I464" i="43"/>
  <c r="I465" i="43"/>
  <c r="I466" i="43"/>
  <c r="I467" i="43"/>
  <c r="I468" i="43"/>
  <c r="I469" i="43"/>
  <c r="I470" i="43"/>
  <c r="I471" i="43"/>
  <c r="I472" i="43"/>
  <c r="I473" i="43"/>
  <c r="I474" i="43"/>
  <c r="I475" i="43"/>
  <c r="I476" i="43"/>
  <c r="I477" i="43"/>
  <c r="I478" i="43"/>
  <c r="I479" i="43"/>
  <c r="I480" i="43"/>
  <c r="I481" i="43"/>
  <c r="I482" i="43"/>
  <c r="I483" i="43"/>
  <c r="I484" i="43"/>
  <c r="I485" i="43"/>
  <c r="I486" i="43"/>
  <c r="I487" i="43"/>
  <c r="I488" i="43"/>
  <c r="I489" i="43"/>
  <c r="I490" i="43"/>
  <c r="I491" i="43"/>
  <c r="I492" i="43"/>
  <c r="I493" i="43"/>
  <c r="I494" i="43"/>
  <c r="I495" i="43"/>
  <c r="I496" i="43"/>
  <c r="I497" i="43"/>
  <c r="I498" i="43"/>
  <c r="I499" i="43"/>
  <c r="I500" i="43"/>
  <c r="I501" i="43"/>
  <c r="I502" i="43"/>
  <c r="I503" i="43"/>
  <c r="I504" i="43"/>
  <c r="I505" i="43"/>
  <c r="I506" i="43"/>
  <c r="I507" i="43"/>
  <c r="I508" i="43"/>
  <c r="I509" i="43"/>
  <c r="I510" i="43"/>
  <c r="I511" i="43"/>
  <c r="I512" i="43"/>
  <c r="I513" i="43"/>
  <c r="I514" i="43"/>
  <c r="I515" i="43"/>
  <c r="I516" i="43"/>
  <c r="I517" i="43"/>
  <c r="I518" i="43"/>
  <c r="I519" i="43"/>
  <c r="I520" i="43"/>
  <c r="I521" i="43"/>
  <c r="I522" i="43"/>
  <c r="I523" i="43"/>
  <c r="I524" i="43"/>
  <c r="I525" i="43"/>
  <c r="I526" i="43"/>
  <c r="I527" i="43"/>
  <c r="I528" i="43"/>
  <c r="I529" i="43"/>
  <c r="I530" i="43"/>
  <c r="I531" i="43"/>
  <c r="I532" i="43"/>
  <c r="I533" i="43"/>
  <c r="I534" i="43"/>
  <c r="I535" i="43"/>
  <c r="I536" i="43"/>
  <c r="I537" i="43"/>
  <c r="I538" i="43"/>
  <c r="I539" i="43"/>
  <c r="I540" i="43"/>
  <c r="I541" i="43"/>
  <c r="I542" i="43"/>
  <c r="I543" i="43"/>
  <c r="I544" i="43"/>
  <c r="I545" i="43"/>
  <c r="I546" i="43"/>
  <c r="I547" i="43"/>
  <c r="I548" i="43"/>
  <c r="I549" i="43"/>
  <c r="I550" i="43"/>
  <c r="I551" i="43"/>
  <c r="I552" i="43"/>
  <c r="I553" i="43"/>
  <c r="I554" i="43"/>
  <c r="I555" i="43"/>
  <c r="I556" i="43"/>
  <c r="I557" i="43"/>
  <c r="I558" i="43"/>
  <c r="I559" i="43"/>
  <c r="I560" i="43"/>
  <c r="I561" i="43"/>
  <c r="I562" i="43"/>
  <c r="I563" i="43"/>
  <c r="I564" i="43"/>
  <c r="I565" i="43"/>
  <c r="I566" i="43"/>
  <c r="I567" i="43"/>
  <c r="I568" i="43"/>
  <c r="I569" i="43"/>
  <c r="I570" i="43"/>
  <c r="I571" i="43"/>
  <c r="I572" i="43"/>
  <c r="I573" i="43"/>
  <c r="I574" i="43"/>
  <c r="I575" i="43"/>
  <c r="I576" i="43"/>
  <c r="I577" i="43"/>
  <c r="I578" i="43"/>
  <c r="I579" i="43"/>
  <c r="I580" i="43"/>
  <c r="I581" i="43"/>
  <c r="I582" i="43"/>
  <c r="I583" i="43"/>
  <c r="I584" i="43"/>
  <c r="I585" i="43"/>
  <c r="I586" i="43"/>
  <c r="I587" i="43"/>
  <c r="I588" i="43"/>
  <c r="I589" i="43"/>
  <c r="I590" i="43"/>
  <c r="I591" i="43"/>
  <c r="I592" i="43"/>
  <c r="I593" i="43"/>
  <c r="I594" i="43"/>
  <c r="I595" i="43"/>
  <c r="I596" i="43"/>
  <c r="I597" i="43"/>
  <c r="I598" i="43"/>
  <c r="I599" i="43"/>
  <c r="I600" i="43"/>
  <c r="I601" i="43"/>
  <c r="I602" i="43"/>
  <c r="I603" i="43"/>
  <c r="I604" i="43"/>
  <c r="I605" i="43"/>
  <c r="I606" i="43"/>
  <c r="I607" i="43"/>
  <c r="I608" i="43"/>
  <c r="I609" i="43"/>
  <c r="I610" i="43"/>
  <c r="I611" i="43"/>
  <c r="I612" i="43"/>
  <c r="I613" i="43"/>
  <c r="I614" i="43"/>
  <c r="I615" i="43"/>
  <c r="I616" i="43"/>
  <c r="I617" i="43"/>
  <c r="I618" i="43"/>
  <c r="I619" i="43"/>
  <c r="I620" i="43"/>
  <c r="I621" i="43"/>
  <c r="I622" i="43"/>
  <c r="I623" i="43"/>
  <c r="I624" i="43"/>
  <c r="I625" i="43"/>
  <c r="I626" i="43"/>
  <c r="I627" i="43"/>
  <c r="I628" i="43"/>
  <c r="I629" i="43"/>
  <c r="I630" i="43"/>
  <c r="I631" i="43"/>
  <c r="I632" i="43"/>
  <c r="I633" i="43"/>
  <c r="I634" i="43"/>
  <c r="I635" i="43"/>
  <c r="I636" i="43"/>
  <c r="I637" i="43"/>
  <c r="I638" i="43"/>
  <c r="I639" i="43"/>
  <c r="I640" i="43"/>
  <c r="I641" i="43"/>
  <c r="I642" i="43"/>
  <c r="I643" i="43"/>
  <c r="I644" i="43"/>
  <c r="I645" i="43"/>
  <c r="I646" i="43"/>
  <c r="I647" i="43"/>
  <c r="I648" i="43"/>
  <c r="I649" i="43"/>
  <c r="I650" i="43"/>
  <c r="I651" i="43"/>
  <c r="I652" i="43"/>
  <c r="I653" i="43"/>
  <c r="I654" i="43"/>
  <c r="I655" i="43"/>
  <c r="I656" i="43"/>
  <c r="I657" i="43"/>
  <c r="I658" i="43"/>
  <c r="I659" i="43"/>
  <c r="I660" i="43"/>
  <c r="I661" i="43"/>
  <c r="I662" i="43"/>
  <c r="I663" i="43"/>
  <c r="I664" i="43"/>
  <c r="I665" i="43"/>
  <c r="I666" i="43"/>
  <c r="I667" i="43"/>
  <c r="I668" i="43"/>
  <c r="I669" i="43"/>
  <c r="I670" i="43"/>
  <c r="I671" i="43"/>
  <c r="I672" i="43"/>
  <c r="I673" i="43"/>
  <c r="I674" i="43"/>
  <c r="I675" i="43"/>
  <c r="I676" i="43"/>
  <c r="I677" i="43"/>
  <c r="I678" i="43"/>
  <c r="I679" i="43"/>
  <c r="I680" i="43"/>
  <c r="I681" i="43"/>
  <c r="I682" i="43"/>
  <c r="I683" i="43"/>
  <c r="I684" i="43"/>
  <c r="I685" i="43"/>
  <c r="I686" i="43"/>
  <c r="I687" i="43"/>
  <c r="I688" i="43"/>
  <c r="I689" i="43"/>
  <c r="I690" i="43"/>
  <c r="I691" i="43"/>
  <c r="I692" i="43"/>
  <c r="I693" i="43"/>
  <c r="I694" i="43"/>
  <c r="I695" i="43"/>
  <c r="I696" i="43"/>
  <c r="I697" i="43"/>
  <c r="I698" i="43"/>
  <c r="I699" i="43"/>
  <c r="I700" i="43"/>
  <c r="I701" i="43"/>
  <c r="I702" i="43"/>
  <c r="I703" i="43"/>
  <c r="I704" i="43"/>
  <c r="I705" i="43"/>
  <c r="I706" i="43"/>
  <c r="I707" i="43"/>
  <c r="I708" i="43"/>
  <c r="I709" i="43"/>
  <c r="I710" i="43"/>
  <c r="I711" i="43"/>
  <c r="I712" i="43"/>
  <c r="I713" i="43"/>
  <c r="I714" i="43"/>
  <c r="I715" i="43"/>
  <c r="I716" i="43"/>
  <c r="I717" i="43"/>
  <c r="I718" i="43"/>
  <c r="I719" i="43"/>
  <c r="I720" i="43"/>
  <c r="I721" i="43"/>
  <c r="I722" i="43"/>
  <c r="I723" i="43"/>
  <c r="I724" i="43"/>
  <c r="I725" i="43"/>
  <c r="I726" i="43"/>
  <c r="I727" i="43"/>
  <c r="I728" i="43"/>
  <c r="I729" i="43"/>
  <c r="I730" i="43"/>
  <c r="I731" i="43"/>
  <c r="I732" i="43"/>
  <c r="I733" i="43"/>
  <c r="I734" i="43"/>
  <c r="I735" i="43"/>
  <c r="I736" i="43"/>
  <c r="I737" i="43"/>
  <c r="I738" i="43"/>
  <c r="I739" i="43"/>
  <c r="I740" i="43"/>
  <c r="I741" i="43"/>
  <c r="I742" i="43"/>
  <c r="I743" i="43"/>
  <c r="I744" i="43"/>
  <c r="I745" i="43"/>
  <c r="I746" i="43"/>
  <c r="I747" i="43"/>
  <c r="I748" i="43"/>
  <c r="I749" i="43"/>
  <c r="I750" i="43"/>
  <c r="I751" i="43"/>
  <c r="I752" i="43"/>
  <c r="I753" i="43"/>
  <c r="I754" i="43"/>
  <c r="I755" i="43"/>
  <c r="I756" i="43"/>
  <c r="I757" i="43"/>
  <c r="I758" i="43"/>
  <c r="I759" i="43"/>
  <c r="I760" i="43"/>
  <c r="I761" i="43"/>
  <c r="I762" i="43"/>
  <c r="I763" i="43"/>
  <c r="I764" i="43"/>
  <c r="I765" i="43"/>
  <c r="I766" i="43"/>
  <c r="I767" i="43"/>
  <c r="I768" i="43"/>
  <c r="I769" i="43"/>
  <c r="I770" i="43"/>
  <c r="I771" i="43"/>
  <c r="I772" i="43"/>
  <c r="I773" i="43"/>
  <c r="I774" i="43"/>
  <c r="I775" i="43"/>
  <c r="I776" i="43"/>
  <c r="I777" i="43"/>
  <c r="I778" i="43"/>
  <c r="I779" i="43"/>
  <c r="I780" i="43"/>
  <c r="I781" i="43"/>
  <c r="I782" i="43"/>
  <c r="I783" i="43"/>
  <c r="I784" i="43"/>
  <c r="I785" i="43"/>
  <c r="I786" i="43"/>
  <c r="I787" i="43"/>
  <c r="I788" i="43"/>
  <c r="I789" i="43"/>
  <c r="I790" i="43"/>
  <c r="I791" i="43"/>
  <c r="I792" i="43"/>
  <c r="I793" i="43"/>
  <c r="I794" i="43"/>
  <c r="I795" i="43"/>
  <c r="I796" i="43"/>
  <c r="I797" i="43"/>
  <c r="I798" i="43"/>
  <c r="I799" i="43"/>
  <c r="I800" i="43"/>
  <c r="I801" i="43"/>
  <c r="I802" i="43"/>
  <c r="I803" i="43"/>
  <c r="I804" i="43"/>
  <c r="I805" i="43"/>
  <c r="I806" i="43"/>
  <c r="I807" i="43"/>
  <c r="I808" i="43"/>
  <c r="I809" i="43"/>
  <c r="I810" i="43"/>
  <c r="I811" i="43"/>
  <c r="I812" i="43"/>
  <c r="I813" i="43"/>
  <c r="I814" i="43"/>
  <c r="I815" i="43"/>
  <c r="I816" i="43"/>
  <c r="I817" i="43"/>
  <c r="I818" i="43"/>
  <c r="I819" i="43"/>
  <c r="I820" i="43"/>
  <c r="I821" i="43"/>
  <c r="I822" i="43"/>
  <c r="I823" i="43"/>
  <c r="I824" i="43"/>
  <c r="I825" i="43"/>
  <c r="I826" i="43"/>
  <c r="I827" i="43"/>
  <c r="I828" i="43"/>
  <c r="I829" i="43"/>
  <c r="I830" i="43"/>
  <c r="I831" i="43"/>
  <c r="I832" i="43"/>
  <c r="I833" i="43"/>
  <c r="I834" i="43"/>
  <c r="I835" i="43"/>
  <c r="I836" i="43"/>
  <c r="I837" i="43"/>
  <c r="I838" i="43"/>
  <c r="I839" i="43"/>
  <c r="I840" i="43"/>
  <c r="I841" i="43"/>
  <c r="I842" i="43"/>
  <c r="I843" i="43"/>
  <c r="I844" i="43"/>
  <c r="I845" i="43"/>
  <c r="I846" i="43"/>
  <c r="I847" i="43"/>
  <c r="I848" i="43"/>
  <c r="I849" i="43"/>
  <c r="I850" i="43"/>
  <c r="I851" i="43"/>
  <c r="I852" i="43"/>
  <c r="I853" i="43"/>
  <c r="I854" i="43"/>
  <c r="I855" i="43"/>
  <c r="I856" i="43"/>
  <c r="I857" i="43"/>
  <c r="I858" i="43"/>
  <c r="I859" i="43"/>
  <c r="I860" i="43"/>
  <c r="I861" i="43"/>
  <c r="I862" i="43"/>
  <c r="I863" i="43"/>
  <c r="I864" i="43"/>
  <c r="I865" i="43"/>
  <c r="I866" i="43"/>
  <c r="I867" i="43"/>
  <c r="I868" i="43"/>
  <c r="I869" i="43"/>
  <c r="I870" i="43"/>
  <c r="I871" i="43"/>
  <c r="I872" i="43"/>
  <c r="I873" i="43"/>
  <c r="I874" i="43"/>
  <c r="I875" i="43"/>
  <c r="I876" i="43"/>
  <c r="I877" i="43"/>
  <c r="I878" i="43"/>
  <c r="I879" i="43"/>
  <c r="I880" i="43"/>
  <c r="I881" i="43"/>
  <c r="I882" i="43"/>
  <c r="I883" i="43"/>
  <c r="I884" i="43"/>
  <c r="I885" i="43"/>
  <c r="I886" i="43"/>
  <c r="I887" i="43"/>
  <c r="I888" i="43"/>
  <c r="I889" i="43"/>
  <c r="I890" i="43"/>
  <c r="I891" i="43"/>
  <c r="I892" i="43"/>
  <c r="I893" i="43"/>
  <c r="I894" i="43"/>
  <c r="I895" i="43"/>
  <c r="I896" i="43"/>
  <c r="I897" i="43"/>
  <c r="I898" i="43"/>
  <c r="I899" i="43"/>
  <c r="I900" i="43"/>
  <c r="I901" i="43"/>
  <c r="I902" i="43"/>
  <c r="I903" i="43"/>
  <c r="I904" i="43"/>
  <c r="I905" i="43"/>
  <c r="I906" i="43"/>
  <c r="I907" i="43"/>
  <c r="I908" i="43"/>
  <c r="I909" i="43"/>
  <c r="I910" i="43"/>
  <c r="I911" i="43"/>
  <c r="I912" i="43"/>
  <c r="I913" i="43"/>
  <c r="I914" i="43"/>
  <c r="I915" i="43"/>
  <c r="I916" i="43"/>
  <c r="I917" i="43"/>
  <c r="I918" i="43"/>
  <c r="I919" i="43"/>
  <c r="I920" i="43"/>
  <c r="I921" i="43"/>
  <c r="I922" i="43"/>
  <c r="I923" i="43"/>
  <c r="I924" i="43"/>
  <c r="I925" i="43"/>
  <c r="I926" i="43"/>
  <c r="I927" i="43"/>
  <c r="I928" i="43"/>
  <c r="I929" i="43"/>
  <c r="I930" i="43"/>
  <c r="I931" i="43"/>
  <c r="I932" i="43"/>
  <c r="I933" i="43"/>
  <c r="I934" i="43"/>
  <c r="I935" i="43"/>
  <c r="I936" i="43"/>
  <c r="I937" i="43"/>
  <c r="I938" i="43"/>
  <c r="I939" i="43"/>
  <c r="I940" i="43"/>
  <c r="I941" i="43"/>
  <c r="I942" i="43"/>
  <c r="I943" i="43"/>
  <c r="I944" i="43"/>
  <c r="I945" i="43"/>
  <c r="I946" i="43"/>
  <c r="I947" i="43"/>
  <c r="I948" i="43"/>
  <c r="I949" i="43"/>
  <c r="I950" i="43"/>
  <c r="I951" i="43"/>
  <c r="I952" i="43"/>
  <c r="I953" i="43"/>
  <c r="I954" i="43"/>
  <c r="I955" i="43"/>
  <c r="I956" i="43"/>
  <c r="I957" i="43"/>
  <c r="I958" i="43"/>
  <c r="I959" i="43"/>
  <c r="I960" i="43"/>
  <c r="I961" i="43"/>
  <c r="I962" i="43"/>
  <c r="I963" i="43"/>
  <c r="I964" i="43"/>
  <c r="I965" i="43"/>
  <c r="I966" i="43"/>
  <c r="I967" i="43"/>
  <c r="I968" i="43"/>
  <c r="I969" i="43"/>
  <c r="I970" i="43"/>
  <c r="I971" i="43"/>
  <c r="I972" i="43"/>
  <c r="I973" i="43"/>
  <c r="I974" i="43"/>
  <c r="I975" i="43"/>
  <c r="I976" i="43"/>
  <c r="I977" i="43"/>
  <c r="I978" i="43"/>
  <c r="I979" i="43"/>
  <c r="I980" i="43"/>
  <c r="I981" i="43"/>
  <c r="I982" i="43"/>
  <c r="I983" i="43"/>
  <c r="I984" i="43"/>
  <c r="I985" i="43"/>
  <c r="I986" i="43"/>
  <c r="I987" i="43"/>
  <c r="I988" i="43"/>
  <c r="I989" i="43"/>
  <c r="I990" i="43"/>
  <c r="I991" i="43"/>
  <c r="I992" i="43"/>
  <c r="I993" i="43"/>
  <c r="I994" i="43"/>
  <c r="I995" i="43"/>
  <c r="I996" i="43"/>
  <c r="I997" i="43"/>
  <c r="I998" i="43"/>
  <c r="I999" i="43"/>
  <c r="I1000" i="43"/>
  <c r="I1001" i="43"/>
  <c r="I1002" i="43"/>
  <c r="I1003" i="43"/>
  <c r="H10" i="43"/>
  <c r="H11" i="43"/>
  <c r="H12" i="43"/>
  <c r="H13" i="43"/>
  <c r="H14" i="43"/>
  <c r="H15" i="43"/>
  <c r="H16" i="43"/>
  <c r="H17" i="43"/>
  <c r="H18" i="43"/>
  <c r="H19" i="43"/>
  <c r="H20" i="43"/>
  <c r="H21" i="43"/>
  <c r="H22" i="43"/>
  <c r="H23" i="43"/>
  <c r="H24" i="43"/>
  <c r="H25" i="43"/>
  <c r="H26" i="43"/>
  <c r="H27" i="43"/>
  <c r="H28" i="43"/>
  <c r="H29" i="43"/>
  <c r="H30" i="43"/>
  <c r="H31" i="43"/>
  <c r="H32" i="43"/>
  <c r="H33" i="43"/>
  <c r="H34" i="43"/>
  <c r="H35" i="43"/>
  <c r="H36" i="43"/>
  <c r="H37" i="43"/>
  <c r="H38" i="43"/>
  <c r="H39" i="43"/>
  <c r="H40" i="43"/>
  <c r="H41" i="43"/>
  <c r="H42" i="43"/>
  <c r="H43" i="43"/>
  <c r="H44" i="43"/>
  <c r="H45" i="43"/>
  <c r="H46" i="43"/>
  <c r="H47" i="43"/>
  <c r="H48" i="43"/>
  <c r="H49" i="43"/>
  <c r="H50" i="43"/>
  <c r="H51" i="43"/>
  <c r="H52" i="43"/>
  <c r="H53" i="43"/>
  <c r="H54" i="43"/>
  <c r="H55" i="43"/>
  <c r="H56" i="43"/>
  <c r="H57" i="43"/>
  <c r="H58" i="43"/>
  <c r="H59" i="43"/>
  <c r="H60" i="43"/>
  <c r="H61" i="43"/>
  <c r="H62" i="43"/>
  <c r="H63" i="43"/>
  <c r="H64" i="43"/>
  <c r="H65" i="43"/>
  <c r="H66" i="43"/>
  <c r="H67" i="43"/>
  <c r="H68" i="43"/>
  <c r="H69" i="43"/>
  <c r="H70" i="43"/>
  <c r="H71" i="43"/>
  <c r="H72" i="43"/>
  <c r="H73" i="43"/>
  <c r="H74" i="43"/>
  <c r="H75" i="43"/>
  <c r="H76" i="43"/>
  <c r="H77" i="43"/>
  <c r="H78" i="43"/>
  <c r="H79" i="43"/>
  <c r="H80" i="43"/>
  <c r="H81" i="43"/>
  <c r="H82" i="43"/>
  <c r="H83" i="43"/>
  <c r="H84" i="43"/>
  <c r="H85" i="43"/>
  <c r="H86" i="43"/>
  <c r="H87" i="43"/>
  <c r="H88" i="43"/>
  <c r="H89" i="43"/>
  <c r="H90" i="43"/>
  <c r="H91" i="43"/>
  <c r="H92" i="43"/>
  <c r="H93" i="43"/>
  <c r="H94" i="43"/>
  <c r="H95" i="43"/>
  <c r="H96" i="43"/>
  <c r="H97" i="43"/>
  <c r="H98" i="43"/>
  <c r="H99" i="43"/>
  <c r="H100" i="43"/>
  <c r="H101" i="43"/>
  <c r="H102" i="43"/>
  <c r="H103" i="43"/>
  <c r="H104" i="43"/>
  <c r="H105" i="43"/>
  <c r="H106" i="43"/>
  <c r="H107" i="43"/>
  <c r="H108" i="43"/>
  <c r="H109" i="43"/>
  <c r="H110" i="43"/>
  <c r="H111" i="43"/>
  <c r="H112" i="43"/>
  <c r="H113" i="43"/>
  <c r="H114" i="43"/>
  <c r="H115" i="43"/>
  <c r="H116" i="43"/>
  <c r="H117" i="43"/>
  <c r="H118" i="43"/>
  <c r="H119" i="43"/>
  <c r="H120" i="43"/>
  <c r="H121" i="43"/>
  <c r="H122" i="43"/>
  <c r="H123" i="43"/>
  <c r="H124" i="43"/>
  <c r="H125" i="43"/>
  <c r="H126" i="43"/>
  <c r="H127" i="43"/>
  <c r="H128" i="43"/>
  <c r="H129" i="43"/>
  <c r="H130" i="43"/>
  <c r="H131" i="43"/>
  <c r="H132" i="43"/>
  <c r="H133" i="43"/>
  <c r="H134" i="43"/>
  <c r="H135" i="43"/>
  <c r="H136" i="43"/>
  <c r="H137" i="43"/>
  <c r="H138" i="43"/>
  <c r="H139" i="43"/>
  <c r="H140" i="43"/>
  <c r="H141" i="43"/>
  <c r="H142" i="43"/>
  <c r="H143" i="43"/>
  <c r="H144" i="43"/>
  <c r="H145" i="43"/>
  <c r="H146" i="43"/>
  <c r="H147" i="43"/>
  <c r="H148" i="43"/>
  <c r="H149" i="43"/>
  <c r="H150" i="43"/>
  <c r="H151" i="43"/>
  <c r="H152" i="43"/>
  <c r="H153" i="43"/>
  <c r="H154" i="43"/>
  <c r="H155" i="43"/>
  <c r="H156" i="43"/>
  <c r="H157" i="43"/>
  <c r="H158" i="43"/>
  <c r="H159" i="43"/>
  <c r="H160" i="43"/>
  <c r="H161" i="43"/>
  <c r="H162" i="43"/>
  <c r="H163" i="43"/>
  <c r="H164" i="43"/>
  <c r="H165" i="43"/>
  <c r="H166" i="43"/>
  <c r="H167" i="43"/>
  <c r="H168" i="43"/>
  <c r="H169" i="43"/>
  <c r="H170" i="43"/>
  <c r="H171" i="43"/>
  <c r="H172" i="43"/>
  <c r="H173" i="43"/>
  <c r="H174" i="43"/>
  <c r="H175" i="43"/>
  <c r="H176" i="43"/>
  <c r="H177" i="43"/>
  <c r="H178" i="43"/>
  <c r="H179" i="43"/>
  <c r="H180" i="43"/>
  <c r="H181" i="43"/>
  <c r="H182" i="43"/>
  <c r="H183" i="43"/>
  <c r="H184" i="43"/>
  <c r="H185" i="43"/>
  <c r="H186" i="43"/>
  <c r="H187" i="43"/>
  <c r="H188" i="43"/>
  <c r="H189" i="43"/>
  <c r="H190" i="43"/>
  <c r="H191" i="43"/>
  <c r="H192" i="43"/>
  <c r="H193" i="43"/>
  <c r="H194" i="43"/>
  <c r="H195" i="43"/>
  <c r="H196" i="43"/>
  <c r="H197" i="43"/>
  <c r="H198" i="43"/>
  <c r="H199" i="43"/>
  <c r="H200" i="43"/>
  <c r="H201" i="43"/>
  <c r="H202" i="43"/>
  <c r="H203" i="43"/>
  <c r="H204" i="43"/>
  <c r="H205" i="43"/>
  <c r="H206" i="43"/>
  <c r="H207" i="43"/>
  <c r="H208" i="43"/>
  <c r="H209" i="43"/>
  <c r="H210" i="43"/>
  <c r="H211" i="43"/>
  <c r="H212" i="43"/>
  <c r="H213" i="43"/>
  <c r="H214" i="43"/>
  <c r="H215" i="43"/>
  <c r="H216" i="43"/>
  <c r="H217" i="43"/>
  <c r="H218" i="43"/>
  <c r="H219" i="43"/>
  <c r="H220" i="43"/>
  <c r="H221" i="43"/>
  <c r="H222" i="43"/>
  <c r="H223" i="43"/>
  <c r="H224" i="43"/>
  <c r="H225" i="43"/>
  <c r="H226" i="43"/>
  <c r="H227" i="43"/>
  <c r="H228" i="43"/>
  <c r="H229" i="43"/>
  <c r="H230" i="43"/>
  <c r="H231" i="43"/>
  <c r="H232" i="43"/>
  <c r="H233" i="43"/>
  <c r="H234" i="43"/>
  <c r="H235" i="43"/>
  <c r="H236" i="43"/>
  <c r="H237" i="43"/>
  <c r="H238" i="43"/>
  <c r="H239" i="43"/>
  <c r="H240" i="43"/>
  <c r="H241" i="43"/>
  <c r="H242" i="43"/>
  <c r="H243" i="43"/>
  <c r="H244" i="43"/>
  <c r="H245" i="43"/>
  <c r="H246" i="43"/>
  <c r="H247" i="43"/>
  <c r="H248" i="43"/>
  <c r="H249" i="43"/>
  <c r="H250" i="43"/>
  <c r="H251" i="43"/>
  <c r="H252" i="43"/>
  <c r="H253" i="43"/>
  <c r="H254" i="43"/>
  <c r="H255" i="43"/>
  <c r="H256" i="43"/>
  <c r="H257" i="43"/>
  <c r="H258" i="43"/>
  <c r="H259" i="43"/>
  <c r="H260" i="43"/>
  <c r="H261" i="43"/>
  <c r="H262" i="43"/>
  <c r="H263" i="43"/>
  <c r="H264" i="43"/>
  <c r="H265" i="43"/>
  <c r="H266" i="43"/>
  <c r="H267" i="43"/>
  <c r="H268" i="43"/>
  <c r="H269" i="43"/>
  <c r="H270" i="43"/>
  <c r="H271" i="43"/>
  <c r="H272" i="43"/>
  <c r="H273" i="43"/>
  <c r="H274" i="43"/>
  <c r="H275" i="43"/>
  <c r="H276" i="43"/>
  <c r="H277" i="43"/>
  <c r="H278" i="43"/>
  <c r="H279" i="43"/>
  <c r="H280" i="43"/>
  <c r="H281" i="43"/>
  <c r="H282" i="43"/>
  <c r="H283" i="43"/>
  <c r="H284" i="43"/>
  <c r="H285" i="43"/>
  <c r="H286" i="43"/>
  <c r="H287" i="43"/>
  <c r="H288" i="43"/>
  <c r="H289" i="43"/>
  <c r="H290" i="43"/>
  <c r="H291" i="43"/>
  <c r="H292" i="43"/>
  <c r="H293" i="43"/>
  <c r="H294" i="43"/>
  <c r="H295" i="43"/>
  <c r="H296" i="43"/>
  <c r="H297" i="43"/>
  <c r="H298" i="43"/>
  <c r="H299" i="43"/>
  <c r="H300" i="43"/>
  <c r="H363" i="43"/>
  <c r="H364" i="43"/>
  <c r="H365" i="43"/>
  <c r="H366" i="43"/>
  <c r="H367" i="43"/>
  <c r="H368" i="43"/>
  <c r="H369" i="43"/>
  <c r="H370" i="43"/>
  <c r="H371" i="43"/>
  <c r="H372" i="43"/>
  <c r="H373" i="43"/>
  <c r="H374" i="43"/>
  <c r="H375" i="43"/>
  <c r="H376" i="43"/>
  <c r="H377" i="43"/>
  <c r="H378" i="43"/>
  <c r="H379" i="43"/>
  <c r="H380" i="43"/>
  <c r="H381" i="43"/>
  <c r="H382" i="43"/>
  <c r="H383" i="43"/>
  <c r="H384" i="43"/>
  <c r="H385" i="43"/>
  <c r="H386" i="43"/>
  <c r="H387" i="43"/>
  <c r="H388" i="43"/>
  <c r="H389" i="43"/>
  <c r="H390" i="43"/>
  <c r="H391" i="43"/>
  <c r="H392" i="43"/>
  <c r="H393" i="43"/>
  <c r="H394" i="43"/>
  <c r="H395" i="43"/>
  <c r="H396" i="43"/>
  <c r="H397" i="43"/>
  <c r="H398" i="43"/>
  <c r="H399" i="43"/>
  <c r="H400" i="43"/>
  <c r="H401" i="43"/>
  <c r="H402" i="43"/>
  <c r="H403" i="43"/>
  <c r="H404" i="43"/>
  <c r="H405" i="43"/>
  <c r="H406" i="43"/>
  <c r="H407" i="43"/>
  <c r="H408" i="43"/>
  <c r="H409" i="43"/>
  <c r="H410" i="43"/>
  <c r="H411" i="43"/>
  <c r="H412" i="43"/>
  <c r="H413" i="43"/>
  <c r="H414" i="43"/>
  <c r="H415" i="43"/>
  <c r="H416" i="43"/>
  <c r="H417" i="43"/>
  <c r="H418" i="43"/>
  <c r="H419" i="43"/>
  <c r="H420" i="43"/>
  <c r="H421" i="43"/>
  <c r="H422" i="43"/>
  <c r="H423" i="43"/>
  <c r="H424" i="43"/>
  <c r="H425" i="43"/>
  <c r="H426" i="43"/>
  <c r="H427" i="43"/>
  <c r="H428" i="43"/>
  <c r="H429" i="43"/>
  <c r="H430" i="43"/>
  <c r="H431" i="43"/>
  <c r="H432" i="43"/>
  <c r="H433" i="43"/>
  <c r="H434" i="43"/>
  <c r="H435" i="43"/>
  <c r="H436" i="43"/>
  <c r="H437" i="43"/>
  <c r="H438" i="43"/>
  <c r="H439" i="43"/>
  <c r="H440" i="43"/>
  <c r="H441" i="43"/>
  <c r="H442" i="43"/>
  <c r="H443" i="43"/>
  <c r="H444" i="43"/>
  <c r="H445" i="43"/>
  <c r="H446" i="43"/>
  <c r="H447" i="43"/>
  <c r="H448" i="43"/>
  <c r="H449" i="43"/>
  <c r="H450" i="43"/>
  <c r="H451" i="43"/>
  <c r="H452" i="43"/>
  <c r="H453" i="43"/>
  <c r="H454" i="43"/>
  <c r="H455" i="43"/>
  <c r="H456" i="43"/>
  <c r="H457" i="43"/>
  <c r="H458" i="43"/>
  <c r="H459" i="43"/>
  <c r="H460" i="43"/>
  <c r="H461" i="43"/>
  <c r="H462" i="43"/>
  <c r="H463" i="43"/>
  <c r="H464" i="43"/>
  <c r="H465" i="43"/>
  <c r="H466" i="43"/>
  <c r="H467" i="43"/>
  <c r="H468" i="43"/>
  <c r="H469" i="43"/>
  <c r="H470" i="43"/>
  <c r="H471" i="43"/>
  <c r="H472" i="43"/>
  <c r="H473" i="43"/>
  <c r="H474" i="43"/>
  <c r="H475" i="43"/>
  <c r="H476" i="43"/>
  <c r="H477" i="43"/>
  <c r="H478" i="43"/>
  <c r="H479" i="43"/>
  <c r="H480" i="43"/>
  <c r="H481" i="43"/>
  <c r="H482" i="43"/>
  <c r="H483" i="43"/>
  <c r="H484" i="43"/>
  <c r="H485" i="43"/>
  <c r="H486" i="43"/>
  <c r="H487" i="43"/>
  <c r="H488" i="43"/>
  <c r="H489" i="43"/>
  <c r="H490" i="43"/>
  <c r="H491" i="43"/>
  <c r="H492" i="43"/>
  <c r="H493" i="43"/>
  <c r="H494" i="43"/>
  <c r="H495" i="43"/>
  <c r="H496" i="43"/>
  <c r="H497" i="43"/>
  <c r="H498" i="43"/>
  <c r="H499" i="43"/>
  <c r="H500" i="43"/>
  <c r="H501" i="43"/>
  <c r="H502" i="43"/>
  <c r="H503" i="43"/>
  <c r="H504" i="43"/>
  <c r="H505" i="43"/>
  <c r="H506" i="43"/>
  <c r="H507" i="43"/>
  <c r="H508" i="43"/>
  <c r="H509" i="43"/>
  <c r="H510" i="43"/>
  <c r="H511" i="43"/>
  <c r="H512" i="43"/>
  <c r="H513" i="43"/>
  <c r="H514" i="43"/>
  <c r="H515" i="43"/>
  <c r="H516" i="43"/>
  <c r="H517" i="43"/>
  <c r="H518" i="43"/>
  <c r="H519" i="43"/>
  <c r="H520" i="43"/>
  <c r="H521" i="43"/>
  <c r="H522" i="43"/>
  <c r="H523" i="43"/>
  <c r="H524" i="43"/>
  <c r="H525" i="43"/>
  <c r="H526" i="43"/>
  <c r="H527" i="43"/>
  <c r="H528" i="43"/>
  <c r="H529" i="43"/>
  <c r="H530" i="43"/>
  <c r="H531" i="43"/>
  <c r="H532" i="43"/>
  <c r="H533" i="43"/>
  <c r="H534" i="43"/>
  <c r="H535" i="43"/>
  <c r="H536" i="43"/>
  <c r="H537" i="43"/>
  <c r="H538" i="43"/>
  <c r="H539" i="43"/>
  <c r="H540" i="43"/>
  <c r="H541" i="43"/>
  <c r="H542" i="43"/>
  <c r="H543" i="43"/>
  <c r="H544" i="43"/>
  <c r="H545" i="43"/>
  <c r="H546" i="43"/>
  <c r="H547" i="43"/>
  <c r="H548" i="43"/>
  <c r="H549" i="43"/>
  <c r="H550" i="43"/>
  <c r="H551" i="43"/>
  <c r="H552" i="43"/>
  <c r="H553" i="43"/>
  <c r="H554" i="43"/>
  <c r="H555" i="43"/>
  <c r="H556" i="43"/>
  <c r="H557" i="43"/>
  <c r="H558" i="43"/>
  <c r="H559" i="43"/>
  <c r="H560" i="43"/>
  <c r="H561" i="43"/>
  <c r="H562" i="43"/>
  <c r="H563" i="43"/>
  <c r="H564" i="43"/>
  <c r="H565" i="43"/>
  <c r="H566" i="43"/>
  <c r="H567" i="43"/>
  <c r="H568" i="43"/>
  <c r="H569" i="43"/>
  <c r="H570" i="43"/>
  <c r="H571" i="43"/>
  <c r="H572" i="43"/>
  <c r="H573" i="43"/>
  <c r="H574" i="43"/>
  <c r="H575" i="43"/>
  <c r="H576" i="43"/>
  <c r="H577" i="43"/>
  <c r="H578" i="43"/>
  <c r="H579" i="43"/>
  <c r="H580" i="43"/>
  <c r="H581" i="43"/>
  <c r="H582" i="43"/>
  <c r="H583" i="43"/>
  <c r="H584" i="43"/>
  <c r="H585" i="43"/>
  <c r="H586" i="43"/>
  <c r="H587" i="43"/>
  <c r="H588" i="43"/>
  <c r="H589" i="43"/>
  <c r="H590" i="43"/>
  <c r="H591" i="43"/>
  <c r="H592" i="43"/>
  <c r="H593" i="43"/>
  <c r="H594" i="43"/>
  <c r="H595" i="43"/>
  <c r="H596" i="43"/>
  <c r="H597" i="43"/>
  <c r="H598" i="43"/>
  <c r="H599" i="43"/>
  <c r="H600" i="43"/>
  <c r="H601" i="43"/>
  <c r="H602" i="43"/>
  <c r="H603" i="43"/>
  <c r="H604" i="43"/>
  <c r="H605" i="43"/>
  <c r="H606" i="43"/>
  <c r="H607" i="43"/>
  <c r="H608" i="43"/>
  <c r="H609" i="43"/>
  <c r="H610" i="43"/>
  <c r="H611" i="43"/>
  <c r="H612" i="43"/>
  <c r="H613" i="43"/>
  <c r="H614" i="43"/>
  <c r="H615" i="43"/>
  <c r="H616" i="43"/>
  <c r="H617" i="43"/>
  <c r="H618" i="43"/>
  <c r="H619" i="43"/>
  <c r="H620" i="43"/>
  <c r="H621" i="43"/>
  <c r="H622" i="43"/>
  <c r="H623" i="43"/>
  <c r="H624" i="43"/>
  <c r="H625" i="43"/>
  <c r="H626" i="43"/>
  <c r="H627" i="43"/>
  <c r="H628" i="43"/>
  <c r="H629" i="43"/>
  <c r="H630" i="43"/>
  <c r="H631" i="43"/>
  <c r="H632" i="43"/>
  <c r="H633" i="43"/>
  <c r="H634" i="43"/>
  <c r="H635" i="43"/>
  <c r="H636" i="43"/>
  <c r="H637" i="43"/>
  <c r="H638" i="43"/>
  <c r="H639" i="43"/>
  <c r="H640" i="43"/>
  <c r="H641" i="43"/>
  <c r="H642" i="43"/>
  <c r="H643" i="43"/>
  <c r="H644" i="43"/>
  <c r="H645" i="43"/>
  <c r="H646" i="43"/>
  <c r="H647" i="43"/>
  <c r="H648" i="43"/>
  <c r="H649" i="43"/>
  <c r="H650" i="43"/>
  <c r="H651" i="43"/>
  <c r="H652" i="43"/>
  <c r="H653" i="43"/>
  <c r="H654" i="43"/>
  <c r="H655" i="43"/>
  <c r="H656" i="43"/>
  <c r="H657" i="43"/>
  <c r="H658" i="43"/>
  <c r="H659" i="43"/>
  <c r="H660" i="43"/>
  <c r="H661" i="43"/>
  <c r="H662" i="43"/>
  <c r="H663" i="43"/>
  <c r="H664" i="43"/>
  <c r="H665" i="43"/>
  <c r="H666" i="43"/>
  <c r="H667" i="43"/>
  <c r="H668" i="43"/>
  <c r="H669" i="43"/>
  <c r="H670" i="43"/>
  <c r="H671" i="43"/>
  <c r="H672" i="43"/>
  <c r="H673" i="43"/>
  <c r="H674" i="43"/>
  <c r="H675" i="43"/>
  <c r="H676" i="43"/>
  <c r="H677" i="43"/>
  <c r="H678" i="43"/>
  <c r="H679" i="43"/>
  <c r="H680" i="43"/>
  <c r="H681" i="43"/>
  <c r="H682" i="43"/>
  <c r="H683" i="43"/>
  <c r="H684" i="43"/>
  <c r="H685" i="43"/>
  <c r="H686" i="43"/>
  <c r="H687" i="43"/>
  <c r="H688" i="43"/>
  <c r="H689" i="43"/>
  <c r="H690" i="43"/>
  <c r="H691" i="43"/>
  <c r="H692" i="43"/>
  <c r="H693" i="43"/>
  <c r="H694" i="43"/>
  <c r="H695" i="43"/>
  <c r="H696" i="43"/>
  <c r="H697" i="43"/>
  <c r="H698" i="43"/>
  <c r="H699" i="43"/>
  <c r="H700" i="43"/>
  <c r="H701" i="43"/>
  <c r="H702" i="43"/>
  <c r="H703" i="43"/>
  <c r="H704" i="43"/>
  <c r="H705" i="43"/>
  <c r="H706" i="43"/>
  <c r="H707" i="43"/>
  <c r="H708" i="43"/>
  <c r="H709" i="43"/>
  <c r="H710" i="43"/>
  <c r="H711" i="43"/>
  <c r="H712" i="43"/>
  <c r="H713" i="43"/>
  <c r="H714" i="43"/>
  <c r="H715" i="43"/>
  <c r="H716" i="43"/>
  <c r="H717" i="43"/>
  <c r="H718" i="43"/>
  <c r="H719" i="43"/>
  <c r="H720" i="43"/>
  <c r="H721" i="43"/>
  <c r="H722" i="43"/>
  <c r="H723" i="43"/>
  <c r="H724" i="43"/>
  <c r="H725" i="43"/>
  <c r="H726" i="43"/>
  <c r="H727" i="43"/>
  <c r="H728" i="43"/>
  <c r="H729" i="43"/>
  <c r="H730" i="43"/>
  <c r="H731" i="43"/>
  <c r="H732" i="43"/>
  <c r="H733" i="43"/>
  <c r="H734" i="43"/>
  <c r="H735" i="43"/>
  <c r="H736" i="43"/>
  <c r="H737" i="43"/>
  <c r="H738" i="43"/>
  <c r="H739" i="43"/>
  <c r="H740" i="43"/>
  <c r="H741" i="43"/>
  <c r="H742" i="43"/>
  <c r="H743" i="43"/>
  <c r="H744" i="43"/>
  <c r="H745" i="43"/>
  <c r="H746" i="43"/>
  <c r="H747" i="43"/>
  <c r="H748" i="43"/>
  <c r="H749" i="43"/>
  <c r="H750" i="43"/>
  <c r="H751" i="43"/>
  <c r="H752" i="43"/>
  <c r="H753" i="43"/>
  <c r="H754" i="43"/>
  <c r="H755" i="43"/>
  <c r="H756" i="43"/>
  <c r="H757" i="43"/>
  <c r="H758" i="43"/>
  <c r="H759" i="43"/>
  <c r="H760" i="43"/>
  <c r="H761" i="43"/>
  <c r="H762" i="43"/>
  <c r="H763" i="43"/>
  <c r="H764" i="43"/>
  <c r="H765" i="43"/>
  <c r="H766" i="43"/>
  <c r="H767" i="43"/>
  <c r="H768" i="43"/>
  <c r="H769" i="43"/>
  <c r="H770" i="43"/>
  <c r="H771" i="43"/>
  <c r="H772" i="43"/>
  <c r="H773" i="43"/>
  <c r="H774" i="43"/>
  <c r="H775" i="43"/>
  <c r="H776" i="43"/>
  <c r="H777" i="43"/>
  <c r="H778" i="43"/>
  <c r="H779" i="43"/>
  <c r="H780" i="43"/>
  <c r="H781" i="43"/>
  <c r="H782" i="43"/>
  <c r="H783" i="43"/>
  <c r="H784" i="43"/>
  <c r="H785" i="43"/>
  <c r="H786" i="43"/>
  <c r="H787" i="43"/>
  <c r="H788" i="43"/>
  <c r="H789" i="43"/>
  <c r="H790" i="43"/>
  <c r="H791" i="43"/>
  <c r="H792" i="43"/>
  <c r="H793" i="43"/>
  <c r="H794" i="43"/>
  <c r="H795" i="43"/>
  <c r="H796" i="43"/>
  <c r="H797" i="43"/>
  <c r="H798" i="43"/>
  <c r="H799" i="43"/>
  <c r="H800" i="43"/>
  <c r="H801" i="43"/>
  <c r="H802" i="43"/>
  <c r="H803" i="43"/>
  <c r="H804" i="43"/>
  <c r="H805" i="43"/>
  <c r="H806" i="43"/>
  <c r="H807" i="43"/>
  <c r="H808" i="43"/>
  <c r="H809" i="43"/>
  <c r="H810" i="43"/>
  <c r="H811" i="43"/>
  <c r="H812" i="43"/>
  <c r="H813" i="43"/>
  <c r="H814" i="43"/>
  <c r="H815" i="43"/>
  <c r="H816" i="43"/>
  <c r="H817" i="43"/>
  <c r="H818" i="43"/>
  <c r="H819" i="43"/>
  <c r="H820" i="43"/>
  <c r="H821" i="43"/>
  <c r="H822" i="43"/>
  <c r="H823" i="43"/>
  <c r="H824" i="43"/>
  <c r="H825" i="43"/>
  <c r="H826" i="43"/>
  <c r="H827" i="43"/>
  <c r="H828" i="43"/>
  <c r="H829" i="43"/>
  <c r="H830" i="43"/>
  <c r="H831" i="43"/>
  <c r="H832" i="43"/>
  <c r="H833" i="43"/>
  <c r="H834" i="43"/>
  <c r="H835" i="43"/>
  <c r="H836" i="43"/>
  <c r="H837" i="43"/>
  <c r="H838" i="43"/>
  <c r="H839" i="43"/>
  <c r="H840" i="43"/>
  <c r="H841" i="43"/>
  <c r="H842" i="43"/>
  <c r="H843" i="43"/>
  <c r="H844" i="43"/>
  <c r="H845" i="43"/>
  <c r="H846" i="43"/>
  <c r="H847" i="43"/>
  <c r="H848" i="43"/>
  <c r="H849" i="43"/>
  <c r="H850" i="43"/>
  <c r="H851" i="43"/>
  <c r="H852" i="43"/>
  <c r="H853" i="43"/>
  <c r="H854" i="43"/>
  <c r="H855" i="43"/>
  <c r="H856" i="43"/>
  <c r="H857" i="43"/>
  <c r="H858" i="43"/>
  <c r="H859" i="43"/>
  <c r="H860" i="43"/>
  <c r="H861" i="43"/>
  <c r="H862" i="43"/>
  <c r="H863" i="43"/>
  <c r="H864" i="43"/>
  <c r="H865" i="43"/>
  <c r="H866" i="43"/>
  <c r="H867" i="43"/>
  <c r="H868" i="43"/>
  <c r="H869" i="43"/>
  <c r="H870" i="43"/>
  <c r="H871" i="43"/>
  <c r="H872" i="43"/>
  <c r="H873" i="43"/>
  <c r="H874" i="43"/>
  <c r="H875" i="43"/>
  <c r="H876" i="43"/>
  <c r="H877" i="43"/>
  <c r="H878" i="43"/>
  <c r="H879" i="43"/>
  <c r="H880" i="43"/>
  <c r="H881" i="43"/>
  <c r="H882" i="43"/>
  <c r="H883" i="43"/>
  <c r="H884" i="43"/>
  <c r="H885" i="43"/>
  <c r="H886" i="43"/>
  <c r="H887" i="43"/>
  <c r="H888" i="43"/>
  <c r="H889" i="43"/>
  <c r="H890" i="43"/>
  <c r="H891" i="43"/>
  <c r="H892" i="43"/>
  <c r="H893" i="43"/>
  <c r="H894" i="43"/>
  <c r="H895" i="43"/>
  <c r="H896" i="43"/>
  <c r="H897" i="43"/>
  <c r="H898" i="43"/>
  <c r="H899" i="43"/>
  <c r="H900" i="43"/>
  <c r="H901" i="43"/>
  <c r="H902" i="43"/>
  <c r="H903" i="43"/>
  <c r="H904" i="43"/>
  <c r="H905" i="43"/>
  <c r="H906" i="43"/>
  <c r="H907" i="43"/>
  <c r="H908" i="43"/>
  <c r="H909" i="43"/>
  <c r="H910" i="43"/>
  <c r="H911" i="43"/>
  <c r="H912" i="43"/>
  <c r="H913" i="43"/>
  <c r="H914" i="43"/>
  <c r="H915" i="43"/>
  <c r="H916" i="43"/>
  <c r="H917" i="43"/>
  <c r="H918" i="43"/>
  <c r="H919" i="43"/>
  <c r="H920" i="43"/>
  <c r="H921" i="43"/>
  <c r="H922" i="43"/>
  <c r="H923" i="43"/>
  <c r="H924" i="43"/>
  <c r="H925" i="43"/>
  <c r="H926" i="43"/>
  <c r="H927" i="43"/>
  <c r="H928" i="43"/>
  <c r="H929" i="43"/>
  <c r="H930" i="43"/>
  <c r="H931" i="43"/>
  <c r="H932" i="43"/>
  <c r="H933" i="43"/>
  <c r="H934" i="43"/>
  <c r="H935" i="43"/>
  <c r="H936" i="43"/>
  <c r="H937" i="43"/>
  <c r="H938" i="43"/>
  <c r="H939" i="43"/>
  <c r="H940" i="43"/>
  <c r="H941" i="43"/>
  <c r="H942" i="43"/>
  <c r="H943" i="43"/>
  <c r="H944" i="43"/>
  <c r="H945" i="43"/>
  <c r="H946" i="43"/>
  <c r="H947" i="43"/>
  <c r="H948" i="43"/>
  <c r="H949" i="43"/>
  <c r="H950" i="43"/>
  <c r="H951" i="43"/>
  <c r="H952" i="43"/>
  <c r="H953" i="43"/>
  <c r="H954" i="43"/>
  <c r="H955" i="43"/>
  <c r="H956" i="43"/>
  <c r="H957" i="43"/>
  <c r="H958" i="43"/>
  <c r="H959" i="43"/>
  <c r="H960" i="43"/>
  <c r="H961" i="43"/>
  <c r="H962" i="43"/>
  <c r="H963" i="43"/>
  <c r="H964" i="43"/>
  <c r="H965" i="43"/>
  <c r="H966" i="43"/>
  <c r="H967" i="43"/>
  <c r="H968" i="43"/>
  <c r="H969" i="43"/>
  <c r="H970" i="43"/>
  <c r="H971" i="43"/>
  <c r="H972" i="43"/>
  <c r="H973" i="43"/>
  <c r="H974" i="43"/>
  <c r="H975" i="43"/>
  <c r="H976" i="43"/>
  <c r="H977" i="43"/>
  <c r="H978" i="43"/>
  <c r="H979" i="43"/>
  <c r="H980" i="43"/>
  <c r="H981" i="43"/>
  <c r="H982" i="43"/>
  <c r="H983" i="43"/>
  <c r="H984" i="43"/>
  <c r="H985" i="43"/>
  <c r="H986" i="43"/>
  <c r="H987" i="43"/>
  <c r="H988" i="43"/>
  <c r="H989" i="43"/>
  <c r="H990" i="43"/>
  <c r="H991" i="43"/>
  <c r="H992" i="43"/>
  <c r="H993" i="43"/>
  <c r="H994" i="43"/>
  <c r="H995" i="43"/>
  <c r="H996" i="43"/>
  <c r="H997" i="43"/>
  <c r="H998" i="43"/>
  <c r="H999" i="43"/>
  <c r="H1000" i="43"/>
  <c r="H1001" i="43"/>
  <c r="H1002" i="43"/>
  <c r="H1003" i="43"/>
  <c r="G10" i="43"/>
  <c r="G11" i="43"/>
  <c r="G12" i="43"/>
  <c r="G13" i="43"/>
  <c r="G14" i="43"/>
  <c r="G15" i="43"/>
  <c r="G16" i="43"/>
  <c r="G17" i="43"/>
  <c r="G18" i="43"/>
  <c r="G19" i="43"/>
  <c r="G20" i="43"/>
  <c r="G21" i="43"/>
  <c r="G22" i="43"/>
  <c r="G23" i="43"/>
  <c r="G24" i="43"/>
  <c r="G25" i="43"/>
  <c r="G26" i="43"/>
  <c r="G27" i="43"/>
  <c r="G28" i="43"/>
  <c r="G29" i="43"/>
  <c r="G30" i="43"/>
  <c r="G31" i="43"/>
  <c r="G32" i="43"/>
  <c r="G33" i="43"/>
  <c r="G34" i="43"/>
  <c r="G35" i="43"/>
  <c r="G36" i="43"/>
  <c r="G37" i="43"/>
  <c r="G38" i="43"/>
  <c r="G39" i="43"/>
  <c r="G40" i="43"/>
  <c r="G41" i="43"/>
  <c r="G42" i="43"/>
  <c r="G43" i="43"/>
  <c r="G44" i="43"/>
  <c r="G45" i="43"/>
  <c r="G46" i="43"/>
  <c r="G47" i="43"/>
  <c r="G48" i="43"/>
  <c r="G49" i="43"/>
  <c r="G50" i="43"/>
  <c r="G51" i="43"/>
  <c r="G52" i="43"/>
  <c r="G53" i="43"/>
  <c r="G54" i="43"/>
  <c r="G55" i="43"/>
  <c r="G56" i="43"/>
  <c r="G57" i="43"/>
  <c r="G58" i="43"/>
  <c r="G59" i="43"/>
  <c r="G60" i="43"/>
  <c r="G61" i="43"/>
  <c r="G62" i="43"/>
  <c r="G63" i="43"/>
  <c r="G64" i="43"/>
  <c r="G65" i="43"/>
  <c r="G66" i="43"/>
  <c r="G67" i="43"/>
  <c r="G68" i="43"/>
  <c r="G69" i="43"/>
  <c r="G70" i="43"/>
  <c r="G71" i="43"/>
  <c r="G72" i="43"/>
  <c r="G73" i="43"/>
  <c r="G74" i="43"/>
  <c r="G75" i="43"/>
  <c r="G76" i="43"/>
  <c r="G77" i="43"/>
  <c r="G78" i="43"/>
  <c r="G79" i="43"/>
  <c r="G80" i="43"/>
  <c r="G81" i="43"/>
  <c r="G82" i="43"/>
  <c r="G83" i="43"/>
  <c r="G84" i="43"/>
  <c r="G85" i="43"/>
  <c r="G86" i="43"/>
  <c r="G87" i="43"/>
  <c r="G88" i="43"/>
  <c r="G89" i="43"/>
  <c r="G90" i="43"/>
  <c r="G91" i="43"/>
  <c r="G92" i="43"/>
  <c r="G93" i="43"/>
  <c r="G94" i="43"/>
  <c r="G95" i="43"/>
  <c r="G96" i="43"/>
  <c r="G97" i="43"/>
  <c r="G98" i="43"/>
  <c r="G99" i="43"/>
  <c r="G100" i="43"/>
  <c r="G101" i="43"/>
  <c r="G102" i="43"/>
  <c r="G103" i="43"/>
  <c r="G104" i="43"/>
  <c r="G105" i="43"/>
  <c r="G106" i="43"/>
  <c r="G107" i="43"/>
  <c r="G108" i="43"/>
  <c r="G109" i="43"/>
  <c r="G110" i="43"/>
  <c r="G111" i="43"/>
  <c r="G112" i="43"/>
  <c r="G113" i="43"/>
  <c r="G114" i="43"/>
  <c r="G115" i="43"/>
  <c r="G116" i="43"/>
  <c r="G117" i="43"/>
  <c r="G118" i="43"/>
  <c r="G119" i="43"/>
  <c r="G120" i="43"/>
  <c r="G121" i="43"/>
  <c r="G122" i="43"/>
  <c r="G123" i="43"/>
  <c r="G124" i="43"/>
  <c r="G125" i="43"/>
  <c r="G126" i="43"/>
  <c r="G127" i="43"/>
  <c r="G128" i="43"/>
  <c r="G129" i="43"/>
  <c r="G130" i="43"/>
  <c r="G131" i="43"/>
  <c r="G132" i="43"/>
  <c r="G133" i="43"/>
  <c r="G134" i="43"/>
  <c r="G135" i="43"/>
  <c r="G136" i="43"/>
  <c r="G137" i="43"/>
  <c r="G138" i="43"/>
  <c r="G139" i="43"/>
  <c r="G140" i="43"/>
  <c r="G141" i="43"/>
  <c r="G142" i="43"/>
  <c r="G143" i="43"/>
  <c r="G144" i="43"/>
  <c r="G145" i="43"/>
  <c r="G146" i="43"/>
  <c r="G147" i="43"/>
  <c r="G148" i="43"/>
  <c r="G149" i="43"/>
  <c r="G150" i="43"/>
  <c r="G151" i="43"/>
  <c r="G152" i="43"/>
  <c r="G153" i="43"/>
  <c r="G154" i="43"/>
  <c r="G155" i="43"/>
  <c r="G156" i="43"/>
  <c r="G157" i="43"/>
  <c r="G158" i="43"/>
  <c r="G159" i="43"/>
  <c r="G160" i="43"/>
  <c r="G161" i="43"/>
  <c r="G162" i="43"/>
  <c r="G163" i="43"/>
  <c r="G164" i="43"/>
  <c r="G165" i="43"/>
  <c r="G166" i="43"/>
  <c r="G167" i="43"/>
  <c r="G168" i="43"/>
  <c r="G169" i="43"/>
  <c r="G170" i="43"/>
  <c r="G171" i="43"/>
  <c r="G172" i="43"/>
  <c r="G173" i="43"/>
  <c r="G174" i="43"/>
  <c r="G175" i="43"/>
  <c r="G176" i="43"/>
  <c r="G177" i="43"/>
  <c r="G178" i="43"/>
  <c r="G179" i="43"/>
  <c r="G180" i="43"/>
  <c r="G181" i="43"/>
  <c r="G182" i="43"/>
  <c r="G183" i="43"/>
  <c r="G184" i="43"/>
  <c r="G185" i="43"/>
  <c r="G186" i="43"/>
  <c r="G187" i="43"/>
  <c r="G188" i="43"/>
  <c r="G189" i="43"/>
  <c r="G190" i="43"/>
  <c r="G191" i="43"/>
  <c r="G192" i="43"/>
  <c r="G193" i="43"/>
  <c r="G194" i="43"/>
  <c r="G195" i="43"/>
  <c r="G196" i="43"/>
  <c r="G197" i="43"/>
  <c r="G198" i="43"/>
  <c r="G199" i="43"/>
  <c r="G200" i="43"/>
  <c r="G201" i="43"/>
  <c r="G202" i="43"/>
  <c r="G203" i="43"/>
  <c r="G204" i="43"/>
  <c r="G205" i="43"/>
  <c r="G206" i="43"/>
  <c r="G207" i="43"/>
  <c r="G208" i="43"/>
  <c r="G209" i="43"/>
  <c r="G210" i="43"/>
  <c r="G211" i="43"/>
  <c r="G212" i="43"/>
  <c r="G213" i="43"/>
  <c r="G214" i="43"/>
  <c r="G215" i="43"/>
  <c r="G216" i="43"/>
  <c r="G217" i="43"/>
  <c r="G218" i="43"/>
  <c r="G219" i="43"/>
  <c r="G220" i="43"/>
  <c r="G221" i="43"/>
  <c r="G222" i="43"/>
  <c r="G223" i="43"/>
  <c r="G224" i="43"/>
  <c r="G225" i="43"/>
  <c r="G226" i="43"/>
  <c r="G227" i="43"/>
  <c r="G228" i="43"/>
  <c r="G229" i="43"/>
  <c r="G230" i="43"/>
  <c r="G231" i="43"/>
  <c r="G232" i="43"/>
  <c r="G233" i="43"/>
  <c r="G234" i="43"/>
  <c r="G235" i="43"/>
  <c r="G236" i="43"/>
  <c r="G237" i="43"/>
  <c r="G238" i="43"/>
  <c r="G239" i="43"/>
  <c r="G240" i="43"/>
  <c r="G241" i="43"/>
  <c r="G242" i="43"/>
  <c r="G243" i="43"/>
  <c r="G244" i="43"/>
  <c r="G245" i="43"/>
  <c r="G246" i="43"/>
  <c r="G247" i="43"/>
  <c r="G248" i="43"/>
  <c r="G249" i="43"/>
  <c r="G250" i="43"/>
  <c r="G251" i="43"/>
  <c r="G252" i="43"/>
  <c r="G253" i="43"/>
  <c r="G254" i="43"/>
  <c r="G255" i="43"/>
  <c r="G256" i="43"/>
  <c r="G257" i="43"/>
  <c r="G258" i="43"/>
  <c r="G259" i="43"/>
  <c r="G260" i="43"/>
  <c r="G261" i="43"/>
  <c r="G262" i="43"/>
  <c r="G263" i="43"/>
  <c r="G264" i="43"/>
  <c r="G265" i="43"/>
  <c r="G266" i="43"/>
  <c r="G267" i="43"/>
  <c r="G268" i="43"/>
  <c r="G269" i="43"/>
  <c r="G270" i="43"/>
  <c r="G271" i="43"/>
  <c r="G272" i="43"/>
  <c r="G273" i="43"/>
  <c r="G274" i="43"/>
  <c r="G275" i="43"/>
  <c r="G276" i="43"/>
  <c r="G277" i="43"/>
  <c r="G278" i="43"/>
  <c r="G279" i="43"/>
  <c r="G280" i="43"/>
  <c r="G281" i="43"/>
  <c r="G282" i="43"/>
  <c r="G283" i="43"/>
  <c r="G284" i="43"/>
  <c r="G285" i="43"/>
  <c r="G286" i="43"/>
  <c r="G287" i="43"/>
  <c r="G288" i="43"/>
  <c r="G289" i="43"/>
  <c r="G290" i="43"/>
  <c r="G291" i="43"/>
  <c r="G292" i="43"/>
  <c r="G293" i="43"/>
  <c r="G294" i="43"/>
  <c r="G295" i="43"/>
  <c r="G296" i="43"/>
  <c r="G297" i="43"/>
  <c r="G298" i="43"/>
  <c r="G299" i="43"/>
  <c r="G300" i="43"/>
  <c r="G363" i="43"/>
  <c r="G364" i="43"/>
  <c r="G365" i="43"/>
  <c r="G366" i="43"/>
  <c r="G367" i="43"/>
  <c r="G368" i="43"/>
  <c r="G369" i="43"/>
  <c r="G370" i="43"/>
  <c r="G371" i="43"/>
  <c r="G372" i="43"/>
  <c r="G373" i="43"/>
  <c r="G374" i="43"/>
  <c r="G375" i="43"/>
  <c r="G376" i="43"/>
  <c r="G377" i="43"/>
  <c r="G378" i="43"/>
  <c r="G379" i="43"/>
  <c r="G380" i="43"/>
  <c r="G381" i="43"/>
  <c r="G382" i="43"/>
  <c r="G383" i="43"/>
  <c r="G384" i="43"/>
  <c r="G385" i="43"/>
  <c r="G386" i="43"/>
  <c r="G387" i="43"/>
  <c r="G388" i="43"/>
  <c r="G389" i="43"/>
  <c r="G390" i="43"/>
  <c r="G391" i="43"/>
  <c r="G392" i="43"/>
  <c r="G393" i="43"/>
  <c r="G394" i="43"/>
  <c r="G395" i="43"/>
  <c r="G396" i="43"/>
  <c r="G397" i="43"/>
  <c r="G398" i="43"/>
  <c r="G399" i="43"/>
  <c r="G400" i="43"/>
  <c r="G401" i="43"/>
  <c r="G402" i="43"/>
  <c r="G403" i="43"/>
  <c r="G404" i="43"/>
  <c r="G405" i="43"/>
  <c r="G406" i="43"/>
  <c r="G407" i="43"/>
  <c r="G408" i="43"/>
  <c r="G409" i="43"/>
  <c r="G410" i="43"/>
  <c r="G411" i="43"/>
  <c r="G412" i="43"/>
  <c r="G413" i="43"/>
  <c r="G414" i="43"/>
  <c r="G415" i="43"/>
  <c r="G416" i="43"/>
  <c r="G417" i="43"/>
  <c r="G418" i="43"/>
  <c r="G419" i="43"/>
  <c r="G420" i="43"/>
  <c r="G421" i="43"/>
  <c r="G422" i="43"/>
  <c r="G423" i="43"/>
  <c r="G424" i="43"/>
  <c r="G425" i="43"/>
  <c r="G426" i="43"/>
  <c r="G427" i="43"/>
  <c r="G428" i="43"/>
  <c r="G429" i="43"/>
  <c r="G430" i="43"/>
  <c r="G431" i="43"/>
  <c r="G432" i="43"/>
  <c r="G433" i="43"/>
  <c r="G434" i="43"/>
  <c r="G435" i="43"/>
  <c r="G436" i="43"/>
  <c r="G437" i="43"/>
  <c r="G438" i="43"/>
  <c r="G439" i="43"/>
  <c r="G440" i="43"/>
  <c r="G441" i="43"/>
  <c r="G442" i="43"/>
  <c r="G443" i="43"/>
  <c r="G444" i="43"/>
  <c r="G445" i="43"/>
  <c r="G446" i="43"/>
  <c r="G447" i="43"/>
  <c r="G448" i="43"/>
  <c r="G449" i="43"/>
  <c r="G450" i="43"/>
  <c r="G451" i="43"/>
  <c r="G452" i="43"/>
  <c r="G453" i="43"/>
  <c r="G454" i="43"/>
  <c r="G455" i="43"/>
  <c r="G456" i="43"/>
  <c r="G457" i="43"/>
  <c r="G458" i="43"/>
  <c r="G459" i="43"/>
  <c r="G460" i="43"/>
  <c r="G461" i="43"/>
  <c r="G462" i="43"/>
  <c r="G463" i="43"/>
  <c r="G464" i="43"/>
  <c r="G465" i="43"/>
  <c r="G466" i="43"/>
  <c r="G467" i="43"/>
  <c r="G468" i="43"/>
  <c r="G469" i="43"/>
  <c r="G470" i="43"/>
  <c r="G471" i="43"/>
  <c r="G472" i="43"/>
  <c r="G473" i="43"/>
  <c r="G474" i="43"/>
  <c r="G475" i="43"/>
  <c r="G476" i="43"/>
  <c r="G477" i="43"/>
  <c r="G478" i="43"/>
  <c r="G479" i="43"/>
  <c r="G480" i="43"/>
  <c r="G481" i="43"/>
  <c r="G482" i="43"/>
  <c r="G483" i="43"/>
  <c r="G484" i="43"/>
  <c r="G485" i="43"/>
  <c r="G486" i="43"/>
  <c r="G487" i="43"/>
  <c r="G488" i="43"/>
  <c r="G489" i="43"/>
  <c r="G490" i="43"/>
  <c r="G491" i="43"/>
  <c r="G492" i="43"/>
  <c r="G493" i="43"/>
  <c r="G494" i="43"/>
  <c r="G495" i="43"/>
  <c r="G496" i="43"/>
  <c r="G497" i="43"/>
  <c r="G498" i="43"/>
  <c r="G499" i="43"/>
  <c r="G500" i="43"/>
  <c r="G501" i="43"/>
  <c r="G502" i="43"/>
  <c r="G503" i="43"/>
  <c r="G504" i="43"/>
  <c r="G505" i="43"/>
  <c r="G506" i="43"/>
  <c r="G507" i="43"/>
  <c r="G508" i="43"/>
  <c r="G509" i="43"/>
  <c r="G510" i="43"/>
  <c r="G511" i="43"/>
  <c r="G512" i="43"/>
  <c r="G513" i="43"/>
  <c r="G514" i="43"/>
  <c r="G515" i="43"/>
  <c r="G516" i="43"/>
  <c r="G517" i="43"/>
  <c r="G518" i="43"/>
  <c r="G519" i="43"/>
  <c r="G520" i="43"/>
  <c r="G521" i="43"/>
  <c r="G522" i="43"/>
  <c r="G523" i="43"/>
  <c r="G524" i="43"/>
  <c r="G525" i="43"/>
  <c r="G526" i="43"/>
  <c r="G527" i="43"/>
  <c r="G528" i="43"/>
  <c r="G529" i="43"/>
  <c r="G530" i="43"/>
  <c r="G531" i="43"/>
  <c r="G532" i="43"/>
  <c r="G533" i="43"/>
  <c r="G534" i="43"/>
  <c r="G535" i="43"/>
  <c r="G536" i="43"/>
  <c r="G537" i="43"/>
  <c r="G538" i="43"/>
  <c r="G539" i="43"/>
  <c r="G540" i="43"/>
  <c r="G541" i="43"/>
  <c r="G542" i="43"/>
  <c r="G543" i="43"/>
  <c r="G544" i="43"/>
  <c r="G545" i="43"/>
  <c r="G546" i="43"/>
  <c r="G547" i="43"/>
  <c r="G548" i="43"/>
  <c r="G549" i="43"/>
  <c r="G550" i="43"/>
  <c r="G551" i="43"/>
  <c r="G552" i="43"/>
  <c r="G553" i="43"/>
  <c r="G554" i="43"/>
  <c r="G555" i="43"/>
  <c r="G556" i="43"/>
  <c r="G557" i="43"/>
  <c r="G558" i="43"/>
  <c r="G559" i="43"/>
  <c r="G560" i="43"/>
  <c r="G561" i="43"/>
  <c r="G562" i="43"/>
  <c r="G563" i="43"/>
  <c r="G564" i="43"/>
  <c r="G565" i="43"/>
  <c r="G566" i="43"/>
  <c r="G567" i="43"/>
  <c r="G568" i="43"/>
  <c r="G569" i="43"/>
  <c r="G570" i="43"/>
  <c r="G571" i="43"/>
  <c r="G572" i="43"/>
  <c r="G573" i="43"/>
  <c r="G574" i="43"/>
  <c r="G575" i="43"/>
  <c r="G576" i="43"/>
  <c r="G577" i="43"/>
  <c r="G578" i="43"/>
  <c r="G579" i="43"/>
  <c r="G580" i="43"/>
  <c r="G581" i="43"/>
  <c r="G582" i="43"/>
  <c r="G583" i="43"/>
  <c r="G584" i="43"/>
  <c r="G585" i="43"/>
  <c r="G586" i="43"/>
  <c r="G587" i="43"/>
  <c r="G588" i="43"/>
  <c r="G589" i="43"/>
  <c r="G590" i="43"/>
  <c r="G591" i="43"/>
  <c r="G592" i="43"/>
  <c r="G593" i="43"/>
  <c r="G594" i="43"/>
  <c r="G595" i="43"/>
  <c r="G596" i="43"/>
  <c r="G597" i="43"/>
  <c r="G598" i="43"/>
  <c r="G599" i="43"/>
  <c r="G600" i="43"/>
  <c r="G601" i="43"/>
  <c r="G602" i="43"/>
  <c r="G603" i="43"/>
  <c r="G604" i="43"/>
  <c r="G605" i="43"/>
  <c r="G606" i="43"/>
  <c r="G607" i="43"/>
  <c r="G608" i="43"/>
  <c r="G609" i="43"/>
  <c r="G610" i="43"/>
  <c r="G611" i="43"/>
  <c r="G612" i="43"/>
  <c r="G613" i="43"/>
  <c r="G614" i="43"/>
  <c r="G615" i="43"/>
  <c r="G616" i="43"/>
  <c r="G617" i="43"/>
  <c r="G618" i="43"/>
  <c r="G619" i="43"/>
  <c r="G620" i="43"/>
  <c r="G621" i="43"/>
  <c r="G622" i="43"/>
  <c r="G623" i="43"/>
  <c r="G624" i="43"/>
  <c r="G625" i="43"/>
  <c r="G626" i="43"/>
  <c r="G627" i="43"/>
  <c r="G628" i="43"/>
  <c r="G629" i="43"/>
  <c r="G630" i="43"/>
  <c r="G631" i="43"/>
  <c r="G632" i="43"/>
  <c r="G633" i="43"/>
  <c r="G634" i="43"/>
  <c r="G635" i="43"/>
  <c r="G636" i="43"/>
  <c r="G637" i="43"/>
  <c r="G638" i="43"/>
  <c r="G639" i="43"/>
  <c r="G640" i="43"/>
  <c r="G641" i="43"/>
  <c r="G642" i="43"/>
  <c r="G643" i="43"/>
  <c r="G644" i="43"/>
  <c r="G645" i="43"/>
  <c r="G646" i="43"/>
  <c r="G647" i="43"/>
  <c r="G648" i="43"/>
  <c r="G649" i="43"/>
  <c r="G650" i="43"/>
  <c r="G651" i="43"/>
  <c r="G652" i="43"/>
  <c r="G653" i="43"/>
  <c r="G654" i="43"/>
  <c r="G655" i="43"/>
  <c r="G656" i="43"/>
  <c r="G657" i="43"/>
  <c r="G658" i="43"/>
  <c r="G659" i="43"/>
  <c r="G660" i="43"/>
  <c r="G661" i="43"/>
  <c r="G662" i="43"/>
  <c r="G663" i="43"/>
  <c r="G664" i="43"/>
  <c r="G665" i="43"/>
  <c r="G666" i="43"/>
  <c r="G667" i="43"/>
  <c r="G668" i="43"/>
  <c r="G669" i="43"/>
  <c r="G670" i="43"/>
  <c r="G671" i="43"/>
  <c r="G672" i="43"/>
  <c r="G673" i="43"/>
  <c r="G674" i="43"/>
  <c r="G675" i="43"/>
  <c r="G676" i="43"/>
  <c r="G677" i="43"/>
  <c r="G678" i="43"/>
  <c r="G679" i="43"/>
  <c r="G680" i="43"/>
  <c r="G681" i="43"/>
  <c r="G682" i="43"/>
  <c r="G683" i="43"/>
  <c r="G684" i="43"/>
  <c r="G685" i="43"/>
  <c r="G686" i="43"/>
  <c r="G687" i="43"/>
  <c r="G688" i="43"/>
  <c r="G689" i="43"/>
  <c r="G690" i="43"/>
  <c r="G691" i="43"/>
  <c r="G692" i="43"/>
  <c r="G693" i="43"/>
  <c r="G694" i="43"/>
  <c r="G695" i="43"/>
  <c r="G696" i="43"/>
  <c r="G697" i="43"/>
  <c r="G698" i="43"/>
  <c r="G699" i="43"/>
  <c r="G700" i="43"/>
  <c r="G701" i="43"/>
  <c r="G702" i="43"/>
  <c r="G703" i="43"/>
  <c r="G704" i="43"/>
  <c r="G705" i="43"/>
  <c r="G706" i="43"/>
  <c r="G707" i="43"/>
  <c r="G708" i="43"/>
  <c r="G709" i="43"/>
  <c r="G710" i="43"/>
  <c r="G711" i="43"/>
  <c r="G712" i="43"/>
  <c r="G713" i="43"/>
  <c r="G714" i="43"/>
  <c r="G715" i="43"/>
  <c r="G716" i="43"/>
  <c r="G717" i="43"/>
  <c r="G718" i="43"/>
  <c r="G719" i="43"/>
  <c r="G720" i="43"/>
  <c r="G721" i="43"/>
  <c r="G722" i="43"/>
  <c r="G723" i="43"/>
  <c r="G724" i="43"/>
  <c r="G725" i="43"/>
  <c r="G726" i="43"/>
  <c r="G727" i="43"/>
  <c r="G728" i="43"/>
  <c r="G729" i="43"/>
  <c r="G730" i="43"/>
  <c r="G731" i="43"/>
  <c r="G732" i="43"/>
  <c r="G733" i="43"/>
  <c r="G734" i="43"/>
  <c r="G735" i="43"/>
  <c r="G736" i="43"/>
  <c r="G737" i="43"/>
  <c r="G738" i="43"/>
  <c r="G739" i="43"/>
  <c r="G740" i="43"/>
  <c r="G741" i="43"/>
  <c r="G742" i="43"/>
  <c r="G743" i="43"/>
  <c r="G744" i="43"/>
  <c r="G745" i="43"/>
  <c r="G746" i="43"/>
  <c r="G747" i="43"/>
  <c r="G748" i="43"/>
  <c r="G749" i="43"/>
  <c r="G750" i="43"/>
  <c r="G751" i="43"/>
  <c r="G752" i="43"/>
  <c r="G753" i="43"/>
  <c r="G754" i="43"/>
  <c r="G755" i="43"/>
  <c r="G756" i="43"/>
  <c r="G757" i="43"/>
  <c r="G758" i="43"/>
  <c r="G759" i="43"/>
  <c r="G760" i="43"/>
  <c r="G761" i="43"/>
  <c r="G762" i="43"/>
  <c r="G763" i="43"/>
  <c r="G764" i="43"/>
  <c r="G765" i="43"/>
  <c r="G766" i="43"/>
  <c r="G767" i="43"/>
  <c r="G768" i="43"/>
  <c r="G769" i="43"/>
  <c r="G770" i="43"/>
  <c r="G771" i="43"/>
  <c r="G772" i="43"/>
  <c r="G773" i="43"/>
  <c r="G774" i="43"/>
  <c r="G775" i="43"/>
  <c r="G776" i="43"/>
  <c r="G777" i="43"/>
  <c r="G778" i="43"/>
  <c r="G779" i="43"/>
  <c r="G780" i="43"/>
  <c r="G781" i="43"/>
  <c r="G782" i="43"/>
  <c r="G783" i="43"/>
  <c r="G784" i="43"/>
  <c r="G785" i="43"/>
  <c r="G786" i="43"/>
  <c r="G787" i="43"/>
  <c r="G788" i="43"/>
  <c r="G789" i="43"/>
  <c r="G790" i="43"/>
  <c r="G791" i="43"/>
  <c r="G792" i="43"/>
  <c r="G793" i="43"/>
  <c r="G794" i="43"/>
  <c r="G795" i="43"/>
  <c r="G796" i="43"/>
  <c r="G797" i="43"/>
  <c r="G798" i="43"/>
  <c r="G799" i="43"/>
  <c r="G800" i="43"/>
  <c r="G801" i="43"/>
  <c r="G802" i="43"/>
  <c r="G803" i="43"/>
  <c r="G804" i="43"/>
  <c r="G805" i="43"/>
  <c r="G806" i="43"/>
  <c r="G807" i="43"/>
  <c r="G808" i="43"/>
  <c r="G809" i="43"/>
  <c r="G810" i="43"/>
  <c r="G811" i="43"/>
  <c r="G812" i="43"/>
  <c r="G813" i="43"/>
  <c r="G814" i="43"/>
  <c r="G815" i="43"/>
  <c r="G816" i="43"/>
  <c r="G817" i="43"/>
  <c r="G818" i="43"/>
  <c r="G819" i="43"/>
  <c r="G820" i="43"/>
  <c r="G821" i="43"/>
  <c r="G822" i="43"/>
  <c r="G823" i="43"/>
  <c r="G824" i="43"/>
  <c r="G825" i="43"/>
  <c r="G826" i="43"/>
  <c r="G827" i="43"/>
  <c r="G828" i="43"/>
  <c r="G829" i="43"/>
  <c r="G830" i="43"/>
  <c r="G831" i="43"/>
  <c r="G832" i="43"/>
  <c r="G833" i="43"/>
  <c r="G834" i="43"/>
  <c r="G835" i="43"/>
  <c r="G836" i="43"/>
  <c r="G837" i="43"/>
  <c r="G838" i="43"/>
  <c r="G839" i="43"/>
  <c r="G840" i="43"/>
  <c r="G841" i="43"/>
  <c r="G842" i="43"/>
  <c r="G843" i="43"/>
  <c r="G844" i="43"/>
  <c r="G845" i="43"/>
  <c r="G846" i="43"/>
  <c r="G847" i="43"/>
  <c r="G848" i="43"/>
  <c r="G849" i="43"/>
  <c r="G850" i="43"/>
  <c r="G851" i="43"/>
  <c r="G852" i="43"/>
  <c r="G853" i="43"/>
  <c r="G854" i="43"/>
  <c r="G855" i="43"/>
  <c r="G856" i="43"/>
  <c r="G857" i="43"/>
  <c r="G858" i="43"/>
  <c r="G859" i="43"/>
  <c r="G860" i="43"/>
  <c r="G861" i="43"/>
  <c r="G862" i="43"/>
  <c r="G863" i="43"/>
  <c r="G864" i="43"/>
  <c r="G865" i="43"/>
  <c r="G866" i="43"/>
  <c r="G867" i="43"/>
  <c r="G868" i="43"/>
  <c r="G869" i="43"/>
  <c r="G870" i="43"/>
  <c r="G871" i="43"/>
  <c r="G872" i="43"/>
  <c r="G873" i="43"/>
  <c r="G874" i="43"/>
  <c r="G875" i="43"/>
  <c r="G876" i="43"/>
  <c r="G877" i="43"/>
  <c r="G878" i="43"/>
  <c r="G879" i="43"/>
  <c r="G880" i="43"/>
  <c r="G881" i="43"/>
  <c r="G882" i="43"/>
  <c r="G883" i="43"/>
  <c r="G884" i="43"/>
  <c r="G885" i="43"/>
  <c r="G886" i="43"/>
  <c r="G887" i="43"/>
  <c r="G888" i="43"/>
  <c r="G889" i="43"/>
  <c r="G890" i="43"/>
  <c r="G891" i="43"/>
  <c r="G892" i="43"/>
  <c r="G893" i="43"/>
  <c r="G894" i="43"/>
  <c r="G895" i="43"/>
  <c r="G896" i="43"/>
  <c r="G897" i="43"/>
  <c r="G898" i="43"/>
  <c r="G899" i="43"/>
  <c r="G900" i="43"/>
  <c r="G901" i="43"/>
  <c r="G902" i="43"/>
  <c r="G903" i="43"/>
  <c r="G904" i="43"/>
  <c r="G905" i="43"/>
  <c r="G906" i="43"/>
  <c r="G907" i="43"/>
  <c r="G908" i="43"/>
  <c r="G909" i="43"/>
  <c r="G910" i="43"/>
  <c r="G911" i="43"/>
  <c r="G912" i="43"/>
  <c r="G913" i="43"/>
  <c r="G914" i="43"/>
  <c r="G915" i="43"/>
  <c r="G916" i="43"/>
  <c r="G917" i="43"/>
  <c r="G918" i="43"/>
  <c r="G919" i="43"/>
  <c r="G920" i="43"/>
  <c r="G921" i="43"/>
  <c r="G922" i="43"/>
  <c r="G923" i="43"/>
  <c r="G924" i="43"/>
  <c r="G925" i="43"/>
  <c r="G926" i="43"/>
  <c r="G927" i="43"/>
  <c r="G928" i="43"/>
  <c r="G929" i="43"/>
  <c r="G930" i="43"/>
  <c r="G931" i="43"/>
  <c r="G932" i="43"/>
  <c r="G933" i="43"/>
  <c r="G934" i="43"/>
  <c r="G935" i="43"/>
  <c r="G936" i="43"/>
  <c r="G937" i="43"/>
  <c r="G938" i="43"/>
  <c r="G939" i="43"/>
  <c r="G940" i="43"/>
  <c r="G941" i="43"/>
  <c r="G942" i="43"/>
  <c r="G943" i="43"/>
  <c r="G944" i="43"/>
  <c r="G945" i="43"/>
  <c r="G946" i="43"/>
  <c r="G947" i="43"/>
  <c r="G948" i="43"/>
  <c r="G949" i="43"/>
  <c r="G950" i="43"/>
  <c r="G951" i="43"/>
  <c r="G952" i="43"/>
  <c r="G953" i="43"/>
  <c r="G954" i="43"/>
  <c r="G955" i="43"/>
  <c r="G956" i="43"/>
  <c r="G957" i="43"/>
  <c r="G958" i="43"/>
  <c r="G959" i="43"/>
  <c r="G960" i="43"/>
  <c r="G961" i="43"/>
  <c r="G962" i="43"/>
  <c r="G963" i="43"/>
  <c r="G964" i="43"/>
  <c r="G965" i="43"/>
  <c r="G966" i="43"/>
  <c r="G967" i="43"/>
  <c r="G968" i="43"/>
  <c r="G969" i="43"/>
  <c r="G970" i="43"/>
  <c r="G971" i="43"/>
  <c r="G972" i="43"/>
  <c r="G973" i="43"/>
  <c r="G974" i="43"/>
  <c r="G975" i="43"/>
  <c r="G976" i="43"/>
  <c r="G977" i="43"/>
  <c r="G978" i="43"/>
  <c r="G979" i="43"/>
  <c r="G980" i="43"/>
  <c r="G981" i="43"/>
  <c r="G982" i="43"/>
  <c r="G983" i="43"/>
  <c r="G984" i="43"/>
  <c r="G985" i="43"/>
  <c r="G986" i="43"/>
  <c r="G987" i="43"/>
  <c r="G988" i="43"/>
  <c r="G989" i="43"/>
  <c r="G990" i="43"/>
  <c r="G991" i="43"/>
  <c r="G992" i="43"/>
  <c r="G993" i="43"/>
  <c r="G994" i="43"/>
  <c r="G995" i="43"/>
  <c r="G996" i="43"/>
  <c r="G997" i="43"/>
  <c r="G998" i="43"/>
  <c r="G999" i="43"/>
  <c r="G1000" i="43"/>
  <c r="G1001" i="43"/>
  <c r="G1002" i="43"/>
  <c r="G1003" i="43"/>
  <c r="F10" i="43"/>
  <c r="F11" i="43"/>
  <c r="F12" i="43"/>
  <c r="F13" i="43"/>
  <c r="F14" i="43"/>
  <c r="F15" i="43"/>
  <c r="F16" i="43"/>
  <c r="F17" i="43"/>
  <c r="F18" i="43"/>
  <c r="F19" i="43"/>
  <c r="F20" i="43"/>
  <c r="F21" i="43"/>
  <c r="F22" i="43"/>
  <c r="F23" i="43"/>
  <c r="F24" i="43"/>
  <c r="F25" i="43"/>
  <c r="F26" i="43"/>
  <c r="F27" i="43"/>
  <c r="F28" i="43"/>
  <c r="F29" i="43"/>
  <c r="F30" i="43"/>
  <c r="F31" i="43"/>
  <c r="F32" i="43"/>
  <c r="F33" i="43"/>
  <c r="F34" i="43"/>
  <c r="F35" i="43"/>
  <c r="F36" i="43"/>
  <c r="F37" i="43"/>
  <c r="F38" i="43"/>
  <c r="F39" i="43"/>
  <c r="F40" i="43"/>
  <c r="F41" i="43"/>
  <c r="F42" i="43"/>
  <c r="F43" i="43"/>
  <c r="F44" i="43"/>
  <c r="F45" i="43"/>
  <c r="F46" i="43"/>
  <c r="F47" i="43"/>
  <c r="F48" i="43"/>
  <c r="F49" i="43"/>
  <c r="F50" i="43"/>
  <c r="F51" i="43"/>
  <c r="F52" i="43"/>
  <c r="F53" i="43"/>
  <c r="F54" i="43"/>
  <c r="F55" i="43"/>
  <c r="F56" i="43"/>
  <c r="F57" i="43"/>
  <c r="F58" i="43"/>
  <c r="F59" i="43"/>
  <c r="F60" i="43"/>
  <c r="F61" i="43"/>
  <c r="F62" i="43"/>
  <c r="F63" i="43"/>
  <c r="F64" i="43"/>
  <c r="F65" i="43"/>
  <c r="F66" i="43"/>
  <c r="F67" i="43"/>
  <c r="F68" i="43"/>
  <c r="F69" i="43"/>
  <c r="F70" i="43"/>
  <c r="F71" i="43"/>
  <c r="F72" i="43"/>
  <c r="F73" i="43"/>
  <c r="F74" i="43"/>
  <c r="F75" i="43"/>
  <c r="F76" i="43"/>
  <c r="F77" i="43"/>
  <c r="F78" i="43"/>
  <c r="F79" i="43"/>
  <c r="F80" i="43"/>
  <c r="F81" i="43"/>
  <c r="F82" i="43"/>
  <c r="F83" i="43"/>
  <c r="F84" i="43"/>
  <c r="F85" i="43"/>
  <c r="F86" i="43"/>
  <c r="F87" i="43"/>
  <c r="F88" i="43"/>
  <c r="F89" i="43"/>
  <c r="F90" i="43"/>
  <c r="F91" i="43"/>
  <c r="F92" i="43"/>
  <c r="F93" i="43"/>
  <c r="F94" i="43"/>
  <c r="F95" i="43"/>
  <c r="F96" i="43"/>
  <c r="F97" i="43"/>
  <c r="F98" i="43"/>
  <c r="F99" i="43"/>
  <c r="F100" i="43"/>
  <c r="F101" i="43"/>
  <c r="F102" i="43"/>
  <c r="F103" i="43"/>
  <c r="F104" i="43"/>
  <c r="F105" i="43"/>
  <c r="F106" i="43"/>
  <c r="F107" i="43"/>
  <c r="F108" i="43"/>
  <c r="F109" i="43"/>
  <c r="F110" i="43"/>
  <c r="F111" i="43"/>
  <c r="F112" i="43"/>
  <c r="F113" i="43"/>
  <c r="F114" i="43"/>
  <c r="F115" i="43"/>
  <c r="F116" i="43"/>
  <c r="F117" i="43"/>
  <c r="F118" i="43"/>
  <c r="F119" i="43"/>
  <c r="F120" i="43"/>
  <c r="F121" i="43"/>
  <c r="F122" i="43"/>
  <c r="F123" i="43"/>
  <c r="F124" i="43"/>
  <c r="F125" i="43"/>
  <c r="F126" i="43"/>
  <c r="F127" i="43"/>
  <c r="F128" i="43"/>
  <c r="F129" i="43"/>
  <c r="F130" i="43"/>
  <c r="F131" i="43"/>
  <c r="F132" i="43"/>
  <c r="F133" i="43"/>
  <c r="F134" i="43"/>
  <c r="F135" i="43"/>
  <c r="F136" i="43"/>
  <c r="F137" i="43"/>
  <c r="F138" i="43"/>
  <c r="F139" i="43"/>
  <c r="F140" i="43"/>
  <c r="F141" i="43"/>
  <c r="F142" i="43"/>
  <c r="F143" i="43"/>
  <c r="F144" i="43"/>
  <c r="F145" i="43"/>
  <c r="F146" i="43"/>
  <c r="F147" i="43"/>
  <c r="F148" i="43"/>
  <c r="F149" i="43"/>
  <c r="F150" i="43"/>
  <c r="F151" i="43"/>
  <c r="F152" i="43"/>
  <c r="F153" i="43"/>
  <c r="F154" i="43"/>
  <c r="F155" i="43"/>
  <c r="F156" i="43"/>
  <c r="F157" i="43"/>
  <c r="F158" i="43"/>
  <c r="F159" i="43"/>
  <c r="F160" i="43"/>
  <c r="F161" i="43"/>
  <c r="F162" i="43"/>
  <c r="F163" i="43"/>
  <c r="F164" i="43"/>
  <c r="F165" i="43"/>
  <c r="F166" i="43"/>
  <c r="F167" i="43"/>
  <c r="F168" i="43"/>
  <c r="F169" i="43"/>
  <c r="F170" i="43"/>
  <c r="F171" i="43"/>
  <c r="F172" i="43"/>
  <c r="F173" i="43"/>
  <c r="F174" i="43"/>
  <c r="F175" i="43"/>
  <c r="F176" i="43"/>
  <c r="F177" i="43"/>
  <c r="F178" i="43"/>
  <c r="F179" i="43"/>
  <c r="F180" i="43"/>
  <c r="F181" i="43"/>
  <c r="F182" i="43"/>
  <c r="F183" i="43"/>
  <c r="F184" i="43"/>
  <c r="F185" i="43"/>
  <c r="F186" i="43"/>
  <c r="F187" i="43"/>
  <c r="F188" i="43"/>
  <c r="F189" i="43"/>
  <c r="F190" i="43"/>
  <c r="F191" i="43"/>
  <c r="F192" i="43"/>
  <c r="F193" i="43"/>
  <c r="F194" i="43"/>
  <c r="F195" i="43"/>
  <c r="F196" i="43"/>
  <c r="F197" i="43"/>
  <c r="F198" i="43"/>
  <c r="F199" i="43"/>
  <c r="F200" i="43"/>
  <c r="F201" i="43"/>
  <c r="F202" i="43"/>
  <c r="F203" i="43"/>
  <c r="F204" i="43"/>
  <c r="F205" i="43"/>
  <c r="F206" i="43"/>
  <c r="F207" i="43"/>
  <c r="F208" i="43"/>
  <c r="F209" i="43"/>
  <c r="F210" i="43"/>
  <c r="F211" i="43"/>
  <c r="F212" i="43"/>
  <c r="F213" i="43"/>
  <c r="F214" i="43"/>
  <c r="F215" i="43"/>
  <c r="F216" i="43"/>
  <c r="F217" i="43"/>
  <c r="F218" i="43"/>
  <c r="F219" i="43"/>
  <c r="F220" i="43"/>
  <c r="F221" i="43"/>
  <c r="F222" i="43"/>
  <c r="F223" i="43"/>
  <c r="F224" i="43"/>
  <c r="F225" i="43"/>
  <c r="F226" i="43"/>
  <c r="F227" i="43"/>
  <c r="F228" i="43"/>
  <c r="F229" i="43"/>
  <c r="F230" i="43"/>
  <c r="F231" i="43"/>
  <c r="F232" i="43"/>
  <c r="F233" i="43"/>
  <c r="F234" i="43"/>
  <c r="F235" i="43"/>
  <c r="F236" i="43"/>
  <c r="F237" i="43"/>
  <c r="F238" i="43"/>
  <c r="F239" i="43"/>
  <c r="F240" i="43"/>
  <c r="F241" i="43"/>
  <c r="F242" i="43"/>
  <c r="F243" i="43"/>
  <c r="F244" i="43"/>
  <c r="F245" i="43"/>
  <c r="F246" i="43"/>
  <c r="F247" i="43"/>
  <c r="F248" i="43"/>
  <c r="F249" i="43"/>
  <c r="F250" i="43"/>
  <c r="F251" i="43"/>
  <c r="F252" i="43"/>
  <c r="F253" i="43"/>
  <c r="F254" i="43"/>
  <c r="F255" i="43"/>
  <c r="F256" i="43"/>
  <c r="F257" i="43"/>
  <c r="F258" i="43"/>
  <c r="F259" i="43"/>
  <c r="F260" i="43"/>
  <c r="F261" i="43"/>
  <c r="F262" i="43"/>
  <c r="F263" i="43"/>
  <c r="F264" i="43"/>
  <c r="F265" i="43"/>
  <c r="F266" i="43"/>
  <c r="F267" i="43"/>
  <c r="F268" i="43"/>
  <c r="F269" i="43"/>
  <c r="F270" i="43"/>
  <c r="F271" i="43"/>
  <c r="F272" i="43"/>
  <c r="F273" i="43"/>
  <c r="F274" i="43"/>
  <c r="F275" i="43"/>
  <c r="F276" i="43"/>
  <c r="F277" i="43"/>
  <c r="F278" i="43"/>
  <c r="F279" i="43"/>
  <c r="F280" i="43"/>
  <c r="F281" i="43"/>
  <c r="F282" i="43"/>
  <c r="F283" i="43"/>
  <c r="F284" i="43"/>
  <c r="F285" i="43"/>
  <c r="F286" i="43"/>
  <c r="F287" i="43"/>
  <c r="F288" i="43"/>
  <c r="F289" i="43"/>
  <c r="F290" i="43"/>
  <c r="F291" i="43"/>
  <c r="F292" i="43"/>
  <c r="F293" i="43"/>
  <c r="F294" i="43"/>
  <c r="F295" i="43"/>
  <c r="F296" i="43"/>
  <c r="F297" i="43"/>
  <c r="F298" i="43"/>
  <c r="F299" i="43"/>
  <c r="F300" i="43"/>
  <c r="F363" i="43"/>
  <c r="F364" i="43"/>
  <c r="F365" i="43"/>
  <c r="F366" i="43"/>
  <c r="F367" i="43"/>
  <c r="F368" i="43"/>
  <c r="F369" i="43"/>
  <c r="F370" i="43"/>
  <c r="F371" i="43"/>
  <c r="F372" i="43"/>
  <c r="F373" i="43"/>
  <c r="F374" i="43"/>
  <c r="F375" i="43"/>
  <c r="F376" i="43"/>
  <c r="F377" i="43"/>
  <c r="F378" i="43"/>
  <c r="F379" i="43"/>
  <c r="F380" i="43"/>
  <c r="F381" i="43"/>
  <c r="F382" i="43"/>
  <c r="F383" i="43"/>
  <c r="F384" i="43"/>
  <c r="F385" i="43"/>
  <c r="F386" i="43"/>
  <c r="F387" i="43"/>
  <c r="F388" i="43"/>
  <c r="F389" i="43"/>
  <c r="F390" i="43"/>
  <c r="F391" i="43"/>
  <c r="F392" i="43"/>
  <c r="F393" i="43"/>
  <c r="F394" i="43"/>
  <c r="F395" i="43"/>
  <c r="F396" i="43"/>
  <c r="F397" i="43"/>
  <c r="F398" i="43"/>
  <c r="F399" i="43"/>
  <c r="F400" i="43"/>
  <c r="F401" i="43"/>
  <c r="F402" i="43"/>
  <c r="F403" i="43"/>
  <c r="F404" i="43"/>
  <c r="F405" i="43"/>
  <c r="F406" i="43"/>
  <c r="F407" i="43"/>
  <c r="F408" i="43"/>
  <c r="F409" i="43"/>
  <c r="F410" i="43"/>
  <c r="F411" i="43"/>
  <c r="F412" i="43"/>
  <c r="F413" i="43"/>
  <c r="F414" i="43"/>
  <c r="F415" i="43"/>
  <c r="F416" i="43"/>
  <c r="F417" i="43"/>
  <c r="F418" i="43"/>
  <c r="F419" i="43"/>
  <c r="F420" i="43"/>
  <c r="F421" i="43"/>
  <c r="F422" i="43"/>
  <c r="F423" i="43"/>
  <c r="F424" i="43"/>
  <c r="F425" i="43"/>
  <c r="F426" i="43"/>
  <c r="F427" i="43"/>
  <c r="F428" i="43"/>
  <c r="F429" i="43"/>
  <c r="F430" i="43"/>
  <c r="F431" i="43"/>
  <c r="F432" i="43"/>
  <c r="F433" i="43"/>
  <c r="F434" i="43"/>
  <c r="F435" i="43"/>
  <c r="F436" i="43"/>
  <c r="F437" i="43"/>
  <c r="F438" i="43"/>
  <c r="F439" i="43"/>
  <c r="F440" i="43"/>
  <c r="F441" i="43"/>
  <c r="F442" i="43"/>
  <c r="F443" i="43"/>
  <c r="F444" i="43"/>
  <c r="F445" i="43"/>
  <c r="F446" i="43"/>
  <c r="F447" i="43"/>
  <c r="F448" i="43"/>
  <c r="F449" i="43"/>
  <c r="F450" i="43"/>
  <c r="F451" i="43"/>
  <c r="F452" i="43"/>
  <c r="F453" i="43"/>
  <c r="F454" i="43"/>
  <c r="F455" i="43"/>
  <c r="F456" i="43"/>
  <c r="F457" i="43"/>
  <c r="F458" i="43"/>
  <c r="F459" i="43"/>
  <c r="F460" i="43"/>
  <c r="F461" i="43"/>
  <c r="F462" i="43"/>
  <c r="F463" i="43"/>
  <c r="F464" i="43"/>
  <c r="F465" i="43"/>
  <c r="F466" i="43"/>
  <c r="F467" i="43"/>
  <c r="F468" i="43"/>
  <c r="F469" i="43"/>
  <c r="F470" i="43"/>
  <c r="F471" i="43"/>
  <c r="F472" i="43"/>
  <c r="F473" i="43"/>
  <c r="F474" i="43"/>
  <c r="F475" i="43"/>
  <c r="F476" i="43"/>
  <c r="F477" i="43"/>
  <c r="F478" i="43"/>
  <c r="F479" i="43"/>
  <c r="F480" i="43"/>
  <c r="F481" i="43"/>
  <c r="F482" i="43"/>
  <c r="F483" i="43"/>
  <c r="F484" i="43"/>
  <c r="F485" i="43"/>
  <c r="F486" i="43"/>
  <c r="F487" i="43"/>
  <c r="F488" i="43"/>
  <c r="F489" i="43"/>
  <c r="F490" i="43"/>
  <c r="F491" i="43"/>
  <c r="F492" i="43"/>
  <c r="F493" i="43"/>
  <c r="F494" i="43"/>
  <c r="F495" i="43"/>
  <c r="F496" i="43"/>
  <c r="F497" i="43"/>
  <c r="F498" i="43"/>
  <c r="F499" i="43"/>
  <c r="F500" i="43"/>
  <c r="F501" i="43"/>
  <c r="F502" i="43"/>
  <c r="F503" i="43"/>
  <c r="F504" i="43"/>
  <c r="F505" i="43"/>
  <c r="F506" i="43"/>
  <c r="F507" i="43"/>
  <c r="F508" i="43"/>
  <c r="F509" i="43"/>
  <c r="F510" i="43"/>
  <c r="F511" i="43"/>
  <c r="F512" i="43"/>
  <c r="F513" i="43"/>
  <c r="F514" i="43"/>
  <c r="F515" i="43"/>
  <c r="F516" i="43"/>
  <c r="F517" i="43"/>
  <c r="F518" i="43"/>
  <c r="F519" i="43"/>
  <c r="F520" i="43"/>
  <c r="F521" i="43"/>
  <c r="F522" i="43"/>
  <c r="F523" i="43"/>
  <c r="F524" i="43"/>
  <c r="F525" i="43"/>
  <c r="F526" i="43"/>
  <c r="F527" i="43"/>
  <c r="F528" i="43"/>
  <c r="F529" i="43"/>
  <c r="F530" i="43"/>
  <c r="F531" i="43"/>
  <c r="F532" i="43"/>
  <c r="F533" i="43"/>
  <c r="F534" i="43"/>
  <c r="F535" i="43"/>
  <c r="F536" i="43"/>
  <c r="F537" i="43"/>
  <c r="F538" i="43"/>
  <c r="F539" i="43"/>
  <c r="F540" i="43"/>
  <c r="F541" i="43"/>
  <c r="F542" i="43"/>
  <c r="F543" i="43"/>
  <c r="F544" i="43"/>
  <c r="F545" i="43"/>
  <c r="F546" i="43"/>
  <c r="F547" i="43"/>
  <c r="F548" i="43"/>
  <c r="F549" i="43"/>
  <c r="F550" i="43"/>
  <c r="F551" i="43"/>
  <c r="F552" i="43"/>
  <c r="F553" i="43"/>
  <c r="F554" i="43"/>
  <c r="F555" i="43"/>
  <c r="F556" i="43"/>
  <c r="F557" i="43"/>
  <c r="F558" i="43"/>
  <c r="F559" i="43"/>
  <c r="F560" i="43"/>
  <c r="F561" i="43"/>
  <c r="F562" i="43"/>
  <c r="F563" i="43"/>
  <c r="F564" i="43"/>
  <c r="F565" i="43"/>
  <c r="F566" i="43"/>
  <c r="F567" i="43"/>
  <c r="F568" i="43"/>
  <c r="F569" i="43"/>
  <c r="F570" i="43"/>
  <c r="F571" i="43"/>
  <c r="F572" i="43"/>
  <c r="F573" i="43"/>
  <c r="F574" i="43"/>
  <c r="F575" i="43"/>
  <c r="F576" i="43"/>
  <c r="F577" i="43"/>
  <c r="F578" i="43"/>
  <c r="F579" i="43"/>
  <c r="F580" i="43"/>
  <c r="F581" i="43"/>
  <c r="F582" i="43"/>
  <c r="F583" i="43"/>
  <c r="F584" i="43"/>
  <c r="F585" i="43"/>
  <c r="F586" i="43"/>
  <c r="F587" i="43"/>
  <c r="F588" i="43"/>
  <c r="F589" i="43"/>
  <c r="F590" i="43"/>
  <c r="F591" i="43"/>
  <c r="F592" i="43"/>
  <c r="F593" i="43"/>
  <c r="F594" i="43"/>
  <c r="F595" i="43"/>
  <c r="F596" i="43"/>
  <c r="F597" i="43"/>
  <c r="F598" i="43"/>
  <c r="F599" i="43"/>
  <c r="F600" i="43"/>
  <c r="F601" i="43"/>
  <c r="F602" i="43"/>
  <c r="F603" i="43"/>
  <c r="F604" i="43"/>
  <c r="F605" i="43"/>
  <c r="F606" i="43"/>
  <c r="F607" i="43"/>
  <c r="F608" i="43"/>
  <c r="F609" i="43"/>
  <c r="F610" i="43"/>
  <c r="F611" i="43"/>
  <c r="F612" i="43"/>
  <c r="F613" i="43"/>
  <c r="F614" i="43"/>
  <c r="F615" i="43"/>
  <c r="F616" i="43"/>
  <c r="F617" i="43"/>
  <c r="F618" i="43"/>
  <c r="F619" i="43"/>
  <c r="F620" i="43"/>
  <c r="F621" i="43"/>
  <c r="F622" i="43"/>
  <c r="F623" i="43"/>
  <c r="F624" i="43"/>
  <c r="F625" i="43"/>
  <c r="F626" i="43"/>
  <c r="F627" i="43"/>
  <c r="F628" i="43"/>
  <c r="F629" i="43"/>
  <c r="F630" i="43"/>
  <c r="F631" i="43"/>
  <c r="F632" i="43"/>
  <c r="F633" i="43"/>
  <c r="F634" i="43"/>
  <c r="F635" i="43"/>
  <c r="F636" i="43"/>
  <c r="F637" i="43"/>
  <c r="F638" i="43"/>
  <c r="F639" i="43"/>
  <c r="F640" i="43"/>
  <c r="F641" i="43"/>
  <c r="F642" i="43"/>
  <c r="F643" i="43"/>
  <c r="F644" i="43"/>
  <c r="F645" i="43"/>
  <c r="F646" i="43"/>
  <c r="F647" i="43"/>
  <c r="F648" i="43"/>
  <c r="F649" i="43"/>
  <c r="F650" i="43"/>
  <c r="F651" i="43"/>
  <c r="F652" i="43"/>
  <c r="F653" i="43"/>
  <c r="F654" i="43"/>
  <c r="F655" i="43"/>
  <c r="F656" i="43"/>
  <c r="F657" i="43"/>
  <c r="F658" i="43"/>
  <c r="F659" i="43"/>
  <c r="F660" i="43"/>
  <c r="F661" i="43"/>
  <c r="F662" i="43"/>
  <c r="F663" i="43"/>
  <c r="F664" i="43"/>
  <c r="F665" i="43"/>
  <c r="F666" i="43"/>
  <c r="F667" i="43"/>
  <c r="F668" i="43"/>
  <c r="F669" i="43"/>
  <c r="F670" i="43"/>
  <c r="F671" i="43"/>
  <c r="F672" i="43"/>
  <c r="F673" i="43"/>
  <c r="F674" i="43"/>
  <c r="F675" i="43"/>
  <c r="F676" i="43"/>
  <c r="F677" i="43"/>
  <c r="F678" i="43"/>
  <c r="F679" i="43"/>
  <c r="F680" i="43"/>
  <c r="F681" i="43"/>
  <c r="F682" i="43"/>
  <c r="F683" i="43"/>
  <c r="F684" i="43"/>
  <c r="F685" i="43"/>
  <c r="F686" i="43"/>
  <c r="F687" i="43"/>
  <c r="F688" i="43"/>
  <c r="F689" i="43"/>
  <c r="F690" i="43"/>
  <c r="F691" i="43"/>
  <c r="F692" i="43"/>
  <c r="F693" i="43"/>
  <c r="F694" i="43"/>
  <c r="F695" i="43"/>
  <c r="F696" i="43"/>
  <c r="F697" i="43"/>
  <c r="F698" i="43"/>
  <c r="F699" i="43"/>
  <c r="F700" i="43"/>
  <c r="F701" i="43"/>
  <c r="F702" i="43"/>
  <c r="F703" i="43"/>
  <c r="F704" i="43"/>
  <c r="F705" i="43"/>
  <c r="F706" i="43"/>
  <c r="F707" i="43"/>
  <c r="F708" i="43"/>
  <c r="F709" i="43"/>
  <c r="F710" i="43"/>
  <c r="F711" i="43"/>
  <c r="F712" i="43"/>
  <c r="F713" i="43"/>
  <c r="F714" i="43"/>
  <c r="F715" i="43"/>
  <c r="F716" i="43"/>
  <c r="F717" i="43"/>
  <c r="F718" i="43"/>
  <c r="F719" i="43"/>
  <c r="F720" i="43"/>
  <c r="F721" i="43"/>
  <c r="F722" i="43"/>
  <c r="F723" i="43"/>
  <c r="F724" i="43"/>
  <c r="F725" i="43"/>
  <c r="F726" i="43"/>
  <c r="F727" i="43"/>
  <c r="F728" i="43"/>
  <c r="F729" i="43"/>
  <c r="F730" i="43"/>
  <c r="F731" i="43"/>
  <c r="F732" i="43"/>
  <c r="F733" i="43"/>
  <c r="F734" i="43"/>
  <c r="F735" i="43"/>
  <c r="F736" i="43"/>
  <c r="F737" i="43"/>
  <c r="F738" i="43"/>
  <c r="F739" i="43"/>
  <c r="F740" i="43"/>
  <c r="F741" i="43"/>
  <c r="F742" i="43"/>
  <c r="F743" i="43"/>
  <c r="F744" i="43"/>
  <c r="F745" i="43"/>
  <c r="F746" i="43"/>
  <c r="F747" i="43"/>
  <c r="F748" i="43"/>
  <c r="F749" i="43"/>
  <c r="F750" i="43"/>
  <c r="F751" i="43"/>
  <c r="F752" i="43"/>
  <c r="F753" i="43"/>
  <c r="F754" i="43"/>
  <c r="F755" i="43"/>
  <c r="F756" i="43"/>
  <c r="F757" i="43"/>
  <c r="F758" i="43"/>
  <c r="F759" i="43"/>
  <c r="F760" i="43"/>
  <c r="F761" i="43"/>
  <c r="F762" i="43"/>
  <c r="F763" i="43"/>
  <c r="F764" i="43"/>
  <c r="F765" i="43"/>
  <c r="F766" i="43"/>
  <c r="F767" i="43"/>
  <c r="F768" i="43"/>
  <c r="F769" i="43"/>
  <c r="F770" i="43"/>
  <c r="F771" i="43"/>
  <c r="F772" i="43"/>
  <c r="F773" i="43"/>
  <c r="F774" i="43"/>
  <c r="F775" i="43"/>
  <c r="F776" i="43"/>
  <c r="F777" i="43"/>
  <c r="F778" i="43"/>
  <c r="F779" i="43"/>
  <c r="F780" i="43"/>
  <c r="F781" i="43"/>
  <c r="F782" i="43"/>
  <c r="F783" i="43"/>
  <c r="F784" i="43"/>
  <c r="F785" i="43"/>
  <c r="F786" i="43"/>
  <c r="F787" i="43"/>
  <c r="F788" i="43"/>
  <c r="F789" i="43"/>
  <c r="F790" i="43"/>
  <c r="F791" i="43"/>
  <c r="F792" i="43"/>
  <c r="F793" i="43"/>
  <c r="F794" i="43"/>
  <c r="F795" i="43"/>
  <c r="F796" i="43"/>
  <c r="F797" i="43"/>
  <c r="F798" i="43"/>
  <c r="F799" i="43"/>
  <c r="F800" i="43"/>
  <c r="F801" i="43"/>
  <c r="F802" i="43"/>
  <c r="F803" i="43"/>
  <c r="F804" i="43"/>
  <c r="F805" i="43"/>
  <c r="F806" i="43"/>
  <c r="F807" i="43"/>
  <c r="F808" i="43"/>
  <c r="F809" i="43"/>
  <c r="F810" i="43"/>
  <c r="F811" i="43"/>
  <c r="F812" i="43"/>
  <c r="F813" i="43"/>
  <c r="F814" i="43"/>
  <c r="F815" i="43"/>
  <c r="F816" i="43"/>
  <c r="F817" i="43"/>
  <c r="F818" i="43"/>
  <c r="F819" i="43"/>
  <c r="F820" i="43"/>
  <c r="F821" i="43"/>
  <c r="F822" i="43"/>
  <c r="F823" i="43"/>
  <c r="F824" i="43"/>
  <c r="F825" i="43"/>
  <c r="F826" i="43"/>
  <c r="F827" i="43"/>
  <c r="F828" i="43"/>
  <c r="F829" i="43"/>
  <c r="F830" i="43"/>
  <c r="F831" i="43"/>
  <c r="F832" i="43"/>
  <c r="F833" i="43"/>
  <c r="F834" i="43"/>
  <c r="F835" i="43"/>
  <c r="F836" i="43"/>
  <c r="F837" i="43"/>
  <c r="F838" i="43"/>
  <c r="F839" i="43"/>
  <c r="F840" i="43"/>
  <c r="F841" i="43"/>
  <c r="F842" i="43"/>
  <c r="F843" i="43"/>
  <c r="F844" i="43"/>
  <c r="F845" i="43"/>
  <c r="F846" i="43"/>
  <c r="F847" i="43"/>
  <c r="F848" i="43"/>
  <c r="F849" i="43"/>
  <c r="F850" i="43"/>
  <c r="F851" i="43"/>
  <c r="F852" i="43"/>
  <c r="F853" i="43"/>
  <c r="F854" i="43"/>
  <c r="F855" i="43"/>
  <c r="F856" i="43"/>
  <c r="F857" i="43"/>
  <c r="F858" i="43"/>
  <c r="F859" i="43"/>
  <c r="F860" i="43"/>
  <c r="F861" i="43"/>
  <c r="F862" i="43"/>
  <c r="F863" i="43"/>
  <c r="F864" i="43"/>
  <c r="F865" i="43"/>
  <c r="F866" i="43"/>
  <c r="F867" i="43"/>
  <c r="F868" i="43"/>
  <c r="F869" i="43"/>
  <c r="F870" i="43"/>
  <c r="F871" i="43"/>
  <c r="F872" i="43"/>
  <c r="F873" i="43"/>
  <c r="F874" i="43"/>
  <c r="F875" i="43"/>
  <c r="F876" i="43"/>
  <c r="F877" i="43"/>
  <c r="F878" i="43"/>
  <c r="F879" i="43"/>
  <c r="F880" i="43"/>
  <c r="F881" i="43"/>
  <c r="F882" i="43"/>
  <c r="F883" i="43"/>
  <c r="F884" i="43"/>
  <c r="F885" i="43"/>
  <c r="F886" i="43"/>
  <c r="F887" i="43"/>
  <c r="F888" i="43"/>
  <c r="F889" i="43"/>
  <c r="F890" i="43"/>
  <c r="F891" i="43"/>
  <c r="F892" i="43"/>
  <c r="F893" i="43"/>
  <c r="F894" i="43"/>
  <c r="F895" i="43"/>
  <c r="F896" i="43"/>
  <c r="F897" i="43"/>
  <c r="F898" i="43"/>
  <c r="F899" i="43"/>
  <c r="F900" i="43"/>
  <c r="F901" i="43"/>
  <c r="F902" i="43"/>
  <c r="F903" i="43"/>
  <c r="F904" i="43"/>
  <c r="F905" i="43"/>
  <c r="F906" i="43"/>
  <c r="F907" i="43"/>
  <c r="F908" i="43"/>
  <c r="F909" i="43"/>
  <c r="F910" i="43"/>
  <c r="F911" i="43"/>
  <c r="F912" i="43"/>
  <c r="F913" i="43"/>
  <c r="F914" i="43"/>
  <c r="F915" i="43"/>
  <c r="F916" i="43"/>
  <c r="F917" i="43"/>
  <c r="F918" i="43"/>
  <c r="F919" i="43"/>
  <c r="F920" i="43"/>
  <c r="F921" i="43"/>
  <c r="F922" i="43"/>
  <c r="F923" i="43"/>
  <c r="F924" i="43"/>
  <c r="F925" i="43"/>
  <c r="F926" i="43"/>
  <c r="F927" i="43"/>
  <c r="F928" i="43"/>
  <c r="F929" i="43"/>
  <c r="F930" i="43"/>
  <c r="F931" i="43"/>
  <c r="F932" i="43"/>
  <c r="F933" i="43"/>
  <c r="F934" i="43"/>
  <c r="F935" i="43"/>
  <c r="F936" i="43"/>
  <c r="F937" i="43"/>
  <c r="F938" i="43"/>
  <c r="F939" i="43"/>
  <c r="F940" i="43"/>
  <c r="F941" i="43"/>
  <c r="F942" i="43"/>
  <c r="F943" i="43"/>
  <c r="F944" i="43"/>
  <c r="F945" i="43"/>
  <c r="F946" i="43"/>
  <c r="F947" i="43"/>
  <c r="F948" i="43"/>
  <c r="F949" i="43"/>
  <c r="F950" i="43"/>
  <c r="F951" i="43"/>
  <c r="F952" i="43"/>
  <c r="F953" i="43"/>
  <c r="F954" i="43"/>
  <c r="F955" i="43"/>
  <c r="F956" i="43"/>
  <c r="F957" i="43"/>
  <c r="F958" i="43"/>
  <c r="F959" i="43"/>
  <c r="F960" i="43"/>
  <c r="F961" i="43"/>
  <c r="F962" i="43"/>
  <c r="F963" i="43"/>
  <c r="F964" i="43"/>
  <c r="F965" i="43"/>
  <c r="F966" i="43"/>
  <c r="F967" i="43"/>
  <c r="F968" i="43"/>
  <c r="F969" i="43"/>
  <c r="F970" i="43"/>
  <c r="F971" i="43"/>
  <c r="F972" i="43"/>
  <c r="F973" i="43"/>
  <c r="F974" i="43"/>
  <c r="F975" i="43"/>
  <c r="F976" i="43"/>
  <c r="F977" i="43"/>
  <c r="F978" i="43"/>
  <c r="F979" i="43"/>
  <c r="F980" i="43"/>
  <c r="F981" i="43"/>
  <c r="F982" i="43"/>
  <c r="F983" i="43"/>
  <c r="F984" i="43"/>
  <c r="F985" i="43"/>
  <c r="F986" i="43"/>
  <c r="F987" i="43"/>
  <c r="F988" i="43"/>
  <c r="F989" i="43"/>
  <c r="F990" i="43"/>
  <c r="F991" i="43"/>
  <c r="F992" i="43"/>
  <c r="F993" i="43"/>
  <c r="F994" i="43"/>
  <c r="F995" i="43"/>
  <c r="F996" i="43"/>
  <c r="F997" i="43"/>
  <c r="F998" i="43"/>
  <c r="F999" i="43"/>
  <c r="F1000" i="43"/>
  <c r="F1001" i="43"/>
  <c r="F1002" i="43"/>
  <c r="F1003" i="43"/>
  <c r="E10" i="43"/>
  <c r="E11" i="43"/>
  <c r="E12" i="43"/>
  <c r="E13" i="43"/>
  <c r="E14" i="43"/>
  <c r="E15" i="43"/>
  <c r="E16" i="43"/>
  <c r="E17" i="43"/>
  <c r="E18" i="43"/>
  <c r="E19" i="43"/>
  <c r="E20" i="43"/>
  <c r="E21" i="43"/>
  <c r="E22" i="43"/>
  <c r="E23" i="43"/>
  <c r="E24" i="43"/>
  <c r="E25" i="43"/>
  <c r="E26" i="43"/>
  <c r="E27" i="43"/>
  <c r="E28" i="43"/>
  <c r="E29" i="43"/>
  <c r="E30" i="43"/>
  <c r="E31" i="43"/>
  <c r="E32" i="43"/>
  <c r="E33" i="43"/>
  <c r="E34" i="43"/>
  <c r="E35" i="43"/>
  <c r="E36" i="43"/>
  <c r="E37" i="43"/>
  <c r="E38" i="43"/>
  <c r="E39" i="43"/>
  <c r="E40" i="43"/>
  <c r="E41" i="43"/>
  <c r="E42" i="43"/>
  <c r="E43" i="43"/>
  <c r="E44" i="43"/>
  <c r="E45" i="43"/>
  <c r="E46" i="43"/>
  <c r="E47" i="43"/>
  <c r="E48" i="43"/>
  <c r="E49" i="43"/>
  <c r="E50" i="43"/>
  <c r="E51" i="43"/>
  <c r="E52" i="43"/>
  <c r="E53" i="43"/>
  <c r="E54" i="43"/>
  <c r="E55" i="43"/>
  <c r="E56" i="43"/>
  <c r="E57" i="43"/>
  <c r="E58" i="43"/>
  <c r="E59" i="43"/>
  <c r="E60" i="43"/>
  <c r="E61" i="43"/>
  <c r="E62" i="43"/>
  <c r="E63" i="43"/>
  <c r="E64" i="43"/>
  <c r="E65" i="43"/>
  <c r="E66" i="43"/>
  <c r="E67" i="43"/>
  <c r="E68" i="43"/>
  <c r="E69" i="43"/>
  <c r="E70" i="43"/>
  <c r="E71" i="43"/>
  <c r="E72" i="43"/>
  <c r="E73" i="43"/>
  <c r="E74" i="43"/>
  <c r="E75" i="43"/>
  <c r="E76" i="43"/>
  <c r="E77" i="43"/>
  <c r="E78" i="43"/>
  <c r="E79" i="43"/>
  <c r="E80" i="43"/>
  <c r="E81" i="43"/>
  <c r="E82" i="43"/>
  <c r="E83" i="43"/>
  <c r="E84" i="43"/>
  <c r="E85" i="43"/>
  <c r="E86" i="43"/>
  <c r="E87" i="43"/>
  <c r="E88" i="43"/>
  <c r="E89" i="43"/>
  <c r="E90" i="43"/>
  <c r="E91" i="43"/>
  <c r="E92" i="43"/>
  <c r="E93" i="43"/>
  <c r="E94" i="43"/>
  <c r="E95" i="43"/>
  <c r="E96" i="43"/>
  <c r="E97" i="43"/>
  <c r="E98" i="43"/>
  <c r="E99" i="43"/>
  <c r="E100" i="43"/>
  <c r="E101" i="43"/>
  <c r="E102" i="43"/>
  <c r="E103" i="43"/>
  <c r="E104" i="43"/>
  <c r="E105" i="43"/>
  <c r="E106" i="43"/>
  <c r="E107" i="43"/>
  <c r="E108" i="43"/>
  <c r="E109" i="43"/>
  <c r="E110" i="43"/>
  <c r="E111" i="43"/>
  <c r="E112" i="43"/>
  <c r="E113" i="43"/>
  <c r="E114" i="43"/>
  <c r="E115" i="43"/>
  <c r="E116" i="43"/>
  <c r="E117" i="43"/>
  <c r="E118" i="43"/>
  <c r="E119" i="43"/>
  <c r="E120" i="43"/>
  <c r="E121" i="43"/>
  <c r="E122" i="43"/>
  <c r="E123" i="43"/>
  <c r="E124" i="43"/>
  <c r="E125" i="43"/>
  <c r="E126" i="43"/>
  <c r="E127" i="43"/>
  <c r="E128" i="43"/>
  <c r="E129" i="43"/>
  <c r="E130" i="43"/>
  <c r="E131" i="43"/>
  <c r="E132" i="43"/>
  <c r="E133" i="43"/>
  <c r="E134" i="43"/>
  <c r="E135" i="43"/>
  <c r="E136" i="43"/>
  <c r="E137" i="43"/>
  <c r="E138" i="43"/>
  <c r="E139" i="43"/>
  <c r="E140" i="43"/>
  <c r="E141" i="43"/>
  <c r="E142" i="43"/>
  <c r="E143" i="43"/>
  <c r="E144" i="43"/>
  <c r="E145" i="43"/>
  <c r="E146" i="43"/>
  <c r="E147" i="43"/>
  <c r="E148" i="43"/>
  <c r="E149" i="43"/>
  <c r="E150" i="43"/>
  <c r="E151" i="43"/>
  <c r="E152" i="43"/>
  <c r="E153" i="43"/>
  <c r="E154" i="43"/>
  <c r="E155" i="43"/>
  <c r="E156" i="43"/>
  <c r="E157" i="43"/>
  <c r="E158" i="43"/>
  <c r="E159" i="43"/>
  <c r="E160" i="43"/>
  <c r="E161" i="43"/>
  <c r="E162" i="43"/>
  <c r="E163" i="43"/>
  <c r="E164" i="43"/>
  <c r="E165" i="43"/>
  <c r="E166" i="43"/>
  <c r="E167" i="43"/>
  <c r="E168" i="43"/>
  <c r="E169" i="43"/>
  <c r="E170" i="43"/>
  <c r="E171" i="43"/>
  <c r="E172" i="43"/>
  <c r="E173" i="43"/>
  <c r="E174" i="43"/>
  <c r="E175" i="43"/>
  <c r="E176" i="43"/>
  <c r="E177" i="43"/>
  <c r="E178" i="43"/>
  <c r="E179" i="43"/>
  <c r="E180" i="43"/>
  <c r="E181" i="43"/>
  <c r="E182" i="43"/>
  <c r="E183" i="43"/>
  <c r="E184" i="43"/>
  <c r="E185" i="43"/>
  <c r="E186" i="43"/>
  <c r="E187" i="43"/>
  <c r="E188" i="43"/>
  <c r="E189" i="43"/>
  <c r="E190" i="43"/>
  <c r="E191" i="43"/>
  <c r="E192" i="43"/>
  <c r="E193" i="43"/>
  <c r="E194" i="43"/>
  <c r="E195" i="43"/>
  <c r="E196" i="43"/>
  <c r="E197" i="43"/>
  <c r="E198" i="43"/>
  <c r="E199" i="43"/>
  <c r="E200" i="43"/>
  <c r="E201" i="43"/>
  <c r="E202" i="43"/>
  <c r="E203" i="43"/>
  <c r="E204" i="43"/>
  <c r="E205" i="43"/>
  <c r="E206" i="43"/>
  <c r="E207" i="43"/>
  <c r="E208" i="43"/>
  <c r="E209" i="43"/>
  <c r="E210" i="43"/>
  <c r="E211" i="43"/>
  <c r="E212" i="43"/>
  <c r="E213" i="43"/>
  <c r="E214" i="43"/>
  <c r="E215" i="43"/>
  <c r="E216" i="43"/>
  <c r="E217" i="43"/>
  <c r="E218" i="43"/>
  <c r="E219" i="43"/>
  <c r="E220" i="43"/>
  <c r="E221" i="43"/>
  <c r="E222" i="43"/>
  <c r="E223" i="43"/>
  <c r="E224" i="43"/>
  <c r="E225" i="43"/>
  <c r="E226" i="43"/>
  <c r="E227" i="43"/>
  <c r="E228" i="43"/>
  <c r="E229" i="43"/>
  <c r="E230" i="43"/>
  <c r="E231" i="43"/>
  <c r="E232" i="43"/>
  <c r="E233" i="43"/>
  <c r="E234" i="43"/>
  <c r="E235" i="43"/>
  <c r="E236" i="43"/>
  <c r="E237" i="43"/>
  <c r="E238" i="43"/>
  <c r="E239" i="43"/>
  <c r="E240" i="43"/>
  <c r="E241" i="43"/>
  <c r="E242" i="43"/>
  <c r="E243" i="43"/>
  <c r="E244" i="43"/>
  <c r="E245" i="43"/>
  <c r="E246" i="43"/>
  <c r="E247" i="43"/>
  <c r="E248" i="43"/>
  <c r="E249" i="43"/>
  <c r="E250" i="43"/>
  <c r="E251" i="43"/>
  <c r="E252" i="43"/>
  <c r="E253" i="43"/>
  <c r="E254" i="43"/>
  <c r="E255" i="43"/>
  <c r="E256" i="43"/>
  <c r="E257" i="43"/>
  <c r="E258" i="43"/>
  <c r="E259" i="43"/>
  <c r="E260" i="43"/>
  <c r="E261" i="43"/>
  <c r="E262" i="43"/>
  <c r="E263" i="43"/>
  <c r="E264" i="43"/>
  <c r="E265" i="43"/>
  <c r="E266" i="43"/>
  <c r="E267" i="43"/>
  <c r="E268" i="43"/>
  <c r="E269" i="43"/>
  <c r="E270" i="43"/>
  <c r="E271" i="43"/>
  <c r="E272" i="43"/>
  <c r="E273" i="43"/>
  <c r="E274" i="43"/>
  <c r="E275" i="43"/>
  <c r="E276" i="43"/>
  <c r="E277" i="43"/>
  <c r="E278" i="43"/>
  <c r="E279" i="43"/>
  <c r="E280" i="43"/>
  <c r="E281" i="43"/>
  <c r="E282" i="43"/>
  <c r="E283" i="43"/>
  <c r="E284" i="43"/>
  <c r="E285" i="43"/>
  <c r="E286" i="43"/>
  <c r="E287" i="43"/>
  <c r="E288" i="43"/>
  <c r="E289" i="43"/>
  <c r="E290" i="43"/>
  <c r="E291" i="43"/>
  <c r="E292" i="43"/>
  <c r="E293" i="43"/>
  <c r="E294" i="43"/>
  <c r="E295" i="43"/>
  <c r="E296" i="43"/>
  <c r="E297" i="43"/>
  <c r="E298" i="43"/>
  <c r="E299" i="43"/>
  <c r="E300" i="43"/>
  <c r="E363" i="43"/>
  <c r="E364" i="43"/>
  <c r="E365" i="43"/>
  <c r="E366" i="43"/>
  <c r="E367" i="43"/>
  <c r="E368" i="43"/>
  <c r="E369" i="43"/>
  <c r="E370" i="43"/>
  <c r="E371" i="43"/>
  <c r="E372" i="43"/>
  <c r="E373" i="43"/>
  <c r="E374" i="43"/>
  <c r="E375" i="43"/>
  <c r="E376" i="43"/>
  <c r="E377" i="43"/>
  <c r="E378" i="43"/>
  <c r="E379" i="43"/>
  <c r="E380" i="43"/>
  <c r="E381" i="43"/>
  <c r="E382" i="43"/>
  <c r="E383" i="43"/>
  <c r="E384" i="43"/>
  <c r="E385" i="43"/>
  <c r="E386" i="43"/>
  <c r="E387" i="43"/>
  <c r="E388" i="43"/>
  <c r="E389" i="43"/>
  <c r="E390" i="43"/>
  <c r="E391" i="43"/>
  <c r="E392" i="43"/>
  <c r="E393" i="43"/>
  <c r="E394" i="43"/>
  <c r="E395" i="43"/>
  <c r="E396" i="43"/>
  <c r="E397" i="43"/>
  <c r="E398" i="43"/>
  <c r="E399" i="43"/>
  <c r="E400" i="43"/>
  <c r="E401" i="43"/>
  <c r="E402" i="43"/>
  <c r="E403" i="43"/>
  <c r="E404" i="43"/>
  <c r="E405" i="43"/>
  <c r="E406" i="43"/>
  <c r="E407" i="43"/>
  <c r="E408" i="43"/>
  <c r="E409" i="43"/>
  <c r="E410" i="43"/>
  <c r="E411" i="43"/>
  <c r="E412" i="43"/>
  <c r="E413" i="43"/>
  <c r="E414" i="43"/>
  <c r="E415" i="43"/>
  <c r="E416" i="43"/>
  <c r="E417" i="43"/>
  <c r="E418" i="43"/>
  <c r="E419" i="43"/>
  <c r="E420" i="43"/>
  <c r="E421" i="43"/>
  <c r="E422" i="43"/>
  <c r="E423" i="43"/>
  <c r="E424" i="43"/>
  <c r="E425" i="43"/>
  <c r="E426" i="43"/>
  <c r="E427" i="43"/>
  <c r="E428" i="43"/>
  <c r="E429" i="43"/>
  <c r="E430" i="43"/>
  <c r="E431" i="43"/>
  <c r="E432" i="43"/>
  <c r="E433" i="43"/>
  <c r="E434" i="43"/>
  <c r="E435" i="43"/>
  <c r="E436" i="43"/>
  <c r="E437" i="43"/>
  <c r="E438" i="43"/>
  <c r="E439" i="43"/>
  <c r="E440" i="43"/>
  <c r="E441" i="43"/>
  <c r="E442" i="43"/>
  <c r="E443" i="43"/>
  <c r="E444" i="43"/>
  <c r="E445" i="43"/>
  <c r="E446" i="43"/>
  <c r="E447" i="43"/>
  <c r="E448" i="43"/>
  <c r="E449" i="43"/>
  <c r="E450" i="43"/>
  <c r="E451" i="43"/>
  <c r="E452" i="43"/>
  <c r="E453" i="43"/>
  <c r="E454" i="43"/>
  <c r="E455" i="43"/>
  <c r="E456" i="43"/>
  <c r="E457" i="43"/>
  <c r="E458" i="43"/>
  <c r="E459" i="43"/>
  <c r="E460" i="43"/>
  <c r="E461" i="43"/>
  <c r="E462" i="43"/>
  <c r="E463" i="43"/>
  <c r="E464" i="43"/>
  <c r="E465" i="43"/>
  <c r="E466" i="43"/>
  <c r="E467" i="43"/>
  <c r="E468" i="43"/>
  <c r="E469" i="43"/>
  <c r="E470" i="43"/>
  <c r="E471" i="43"/>
  <c r="E472" i="43"/>
  <c r="E473" i="43"/>
  <c r="E474" i="43"/>
  <c r="E475" i="43"/>
  <c r="E476" i="43"/>
  <c r="E477" i="43"/>
  <c r="E478" i="43"/>
  <c r="E479" i="43"/>
  <c r="E480" i="43"/>
  <c r="E481" i="43"/>
  <c r="E482" i="43"/>
  <c r="E483" i="43"/>
  <c r="E484" i="43"/>
  <c r="E485" i="43"/>
  <c r="E486" i="43"/>
  <c r="E487" i="43"/>
  <c r="E488" i="43"/>
  <c r="E489" i="43"/>
  <c r="E490" i="43"/>
  <c r="E491" i="43"/>
  <c r="E492" i="43"/>
  <c r="E493" i="43"/>
  <c r="E494" i="43"/>
  <c r="E495" i="43"/>
  <c r="E496" i="43"/>
  <c r="E497" i="43"/>
  <c r="E498" i="43"/>
  <c r="E499" i="43"/>
  <c r="E500" i="43"/>
  <c r="E501" i="43"/>
  <c r="E502" i="43"/>
  <c r="E503" i="43"/>
  <c r="E504" i="43"/>
  <c r="E505" i="43"/>
  <c r="E506" i="43"/>
  <c r="E507" i="43"/>
  <c r="E508" i="43"/>
  <c r="E509" i="43"/>
  <c r="E510" i="43"/>
  <c r="E511" i="43"/>
  <c r="E512" i="43"/>
  <c r="E513" i="43"/>
  <c r="E514" i="43"/>
  <c r="E515" i="43"/>
  <c r="E516" i="43"/>
  <c r="E517" i="43"/>
  <c r="E518" i="43"/>
  <c r="E519" i="43"/>
  <c r="E520" i="43"/>
  <c r="E521" i="43"/>
  <c r="E522" i="43"/>
  <c r="E523" i="43"/>
  <c r="E524" i="43"/>
  <c r="E525" i="43"/>
  <c r="E526" i="43"/>
  <c r="E527" i="43"/>
  <c r="E528" i="43"/>
  <c r="E529" i="43"/>
  <c r="E530" i="43"/>
  <c r="E531" i="43"/>
  <c r="E532" i="43"/>
  <c r="E533" i="43"/>
  <c r="E534" i="43"/>
  <c r="E535" i="43"/>
  <c r="E536" i="43"/>
  <c r="E537" i="43"/>
  <c r="E538" i="43"/>
  <c r="E539" i="43"/>
  <c r="E540" i="43"/>
  <c r="E541" i="43"/>
  <c r="E542" i="43"/>
  <c r="E543" i="43"/>
  <c r="E544" i="43"/>
  <c r="E545" i="43"/>
  <c r="E546" i="43"/>
  <c r="E547" i="43"/>
  <c r="E548" i="43"/>
  <c r="E549" i="43"/>
  <c r="E550" i="43"/>
  <c r="E551" i="43"/>
  <c r="E552" i="43"/>
  <c r="E553" i="43"/>
  <c r="E554" i="43"/>
  <c r="E555" i="43"/>
  <c r="E556" i="43"/>
  <c r="E557" i="43"/>
  <c r="E558" i="43"/>
  <c r="E559" i="43"/>
  <c r="E560" i="43"/>
  <c r="E561" i="43"/>
  <c r="E562" i="43"/>
  <c r="E563" i="43"/>
  <c r="E564" i="43"/>
  <c r="E565" i="43"/>
  <c r="E566" i="43"/>
  <c r="E567" i="43"/>
  <c r="E568" i="43"/>
  <c r="E569" i="43"/>
  <c r="E570" i="43"/>
  <c r="E571" i="43"/>
  <c r="E572" i="43"/>
  <c r="E573" i="43"/>
  <c r="E574" i="43"/>
  <c r="E575" i="43"/>
  <c r="E576" i="43"/>
  <c r="E577" i="43"/>
  <c r="E578" i="43"/>
  <c r="E579" i="43"/>
  <c r="E580" i="43"/>
  <c r="E581" i="43"/>
  <c r="E582" i="43"/>
  <c r="E583" i="43"/>
  <c r="E584" i="43"/>
  <c r="E585" i="43"/>
  <c r="E586" i="43"/>
  <c r="E587" i="43"/>
  <c r="E588" i="43"/>
  <c r="E589" i="43"/>
  <c r="E590" i="43"/>
  <c r="E591" i="43"/>
  <c r="E592" i="43"/>
  <c r="E593" i="43"/>
  <c r="E594" i="43"/>
  <c r="E595" i="43"/>
  <c r="E596" i="43"/>
  <c r="E597" i="43"/>
  <c r="E598" i="43"/>
  <c r="E599" i="43"/>
  <c r="E600" i="43"/>
  <c r="E601" i="43"/>
  <c r="E602" i="43"/>
  <c r="E603" i="43"/>
  <c r="E604" i="43"/>
  <c r="E605" i="43"/>
  <c r="E606" i="43"/>
  <c r="E607" i="43"/>
  <c r="E608" i="43"/>
  <c r="E609" i="43"/>
  <c r="E610" i="43"/>
  <c r="E611" i="43"/>
  <c r="E612" i="43"/>
  <c r="E613" i="43"/>
  <c r="E614" i="43"/>
  <c r="E615" i="43"/>
  <c r="E616" i="43"/>
  <c r="E617" i="43"/>
  <c r="E618" i="43"/>
  <c r="E619" i="43"/>
  <c r="E620" i="43"/>
  <c r="E621" i="43"/>
  <c r="E622" i="43"/>
  <c r="E623" i="43"/>
  <c r="E624" i="43"/>
  <c r="E625" i="43"/>
  <c r="E626" i="43"/>
  <c r="E627" i="43"/>
  <c r="E628" i="43"/>
  <c r="E629" i="43"/>
  <c r="E630" i="43"/>
  <c r="E631" i="43"/>
  <c r="E632" i="43"/>
  <c r="E633" i="43"/>
  <c r="E634" i="43"/>
  <c r="E635" i="43"/>
  <c r="E636" i="43"/>
  <c r="E637" i="43"/>
  <c r="E638" i="43"/>
  <c r="E639" i="43"/>
  <c r="E640" i="43"/>
  <c r="E641" i="43"/>
  <c r="E642" i="43"/>
  <c r="E643" i="43"/>
  <c r="E644" i="43"/>
  <c r="E645" i="43"/>
  <c r="E646" i="43"/>
  <c r="E647" i="43"/>
  <c r="E648" i="43"/>
  <c r="E649" i="43"/>
  <c r="E650" i="43"/>
  <c r="E651" i="43"/>
  <c r="E652" i="43"/>
  <c r="E653" i="43"/>
  <c r="E654" i="43"/>
  <c r="E655" i="43"/>
  <c r="E656" i="43"/>
  <c r="E657" i="43"/>
  <c r="E658" i="43"/>
  <c r="E659" i="43"/>
  <c r="E660" i="43"/>
  <c r="E661" i="43"/>
  <c r="E662" i="43"/>
  <c r="E663" i="43"/>
  <c r="E664" i="43"/>
  <c r="E665" i="43"/>
  <c r="E666" i="43"/>
  <c r="E667" i="43"/>
  <c r="E668" i="43"/>
  <c r="E669" i="43"/>
  <c r="E670" i="43"/>
  <c r="E671" i="43"/>
  <c r="E672" i="43"/>
  <c r="E673" i="43"/>
  <c r="E674" i="43"/>
  <c r="E675" i="43"/>
  <c r="E676" i="43"/>
  <c r="E677" i="43"/>
  <c r="E678" i="43"/>
  <c r="E679" i="43"/>
  <c r="E680" i="43"/>
  <c r="E681" i="43"/>
  <c r="E682" i="43"/>
  <c r="E683" i="43"/>
  <c r="E684" i="43"/>
  <c r="E685" i="43"/>
  <c r="E686" i="43"/>
  <c r="E687" i="43"/>
  <c r="E688" i="43"/>
  <c r="E689" i="43"/>
  <c r="E690" i="43"/>
  <c r="E691" i="43"/>
  <c r="E692" i="43"/>
  <c r="E693" i="43"/>
  <c r="E694" i="43"/>
  <c r="E695" i="43"/>
  <c r="E696" i="43"/>
  <c r="E697" i="43"/>
  <c r="E698" i="43"/>
  <c r="E699" i="43"/>
  <c r="E700" i="43"/>
  <c r="E701" i="43"/>
  <c r="E702" i="43"/>
  <c r="E703" i="43"/>
  <c r="E704" i="43"/>
  <c r="E705" i="43"/>
  <c r="E706" i="43"/>
  <c r="E707" i="43"/>
  <c r="E708" i="43"/>
  <c r="E709" i="43"/>
  <c r="E710" i="43"/>
  <c r="E711" i="43"/>
  <c r="E712" i="43"/>
  <c r="E713" i="43"/>
  <c r="E714" i="43"/>
  <c r="E715" i="43"/>
  <c r="E716" i="43"/>
  <c r="E717" i="43"/>
  <c r="E718" i="43"/>
  <c r="E719" i="43"/>
  <c r="E720" i="43"/>
  <c r="E721" i="43"/>
  <c r="E722" i="43"/>
  <c r="E723" i="43"/>
  <c r="E724" i="43"/>
  <c r="E725" i="43"/>
  <c r="E726" i="43"/>
  <c r="E727" i="43"/>
  <c r="E728" i="43"/>
  <c r="E729" i="43"/>
  <c r="E730" i="43"/>
  <c r="E731" i="43"/>
  <c r="E732" i="43"/>
  <c r="E733" i="43"/>
  <c r="E734" i="43"/>
  <c r="E735" i="43"/>
  <c r="E736" i="43"/>
  <c r="E737" i="43"/>
  <c r="E738" i="43"/>
  <c r="E739" i="43"/>
  <c r="E740" i="43"/>
  <c r="E741" i="43"/>
  <c r="E742" i="43"/>
  <c r="E743" i="43"/>
  <c r="E744" i="43"/>
  <c r="E745" i="43"/>
  <c r="E746" i="43"/>
  <c r="E747" i="43"/>
  <c r="E748" i="43"/>
  <c r="E749" i="43"/>
  <c r="E750" i="43"/>
  <c r="E751" i="43"/>
  <c r="E752" i="43"/>
  <c r="E753" i="43"/>
  <c r="E754" i="43"/>
  <c r="E755" i="43"/>
  <c r="E756" i="43"/>
  <c r="E757" i="43"/>
  <c r="E758" i="43"/>
  <c r="E759" i="43"/>
  <c r="E760" i="43"/>
  <c r="E761" i="43"/>
  <c r="E762" i="43"/>
  <c r="E763" i="43"/>
  <c r="E764" i="43"/>
  <c r="E765" i="43"/>
  <c r="E766" i="43"/>
  <c r="E767" i="43"/>
  <c r="E768" i="43"/>
  <c r="E769" i="43"/>
  <c r="E770" i="43"/>
  <c r="E771" i="43"/>
  <c r="E772" i="43"/>
  <c r="E773" i="43"/>
  <c r="E774" i="43"/>
  <c r="E775" i="43"/>
  <c r="E776" i="43"/>
  <c r="E777" i="43"/>
  <c r="E778" i="43"/>
  <c r="E779" i="43"/>
  <c r="E780" i="43"/>
  <c r="E781" i="43"/>
  <c r="E782" i="43"/>
  <c r="E783" i="43"/>
  <c r="E784" i="43"/>
  <c r="E785" i="43"/>
  <c r="E786" i="43"/>
  <c r="E787" i="43"/>
  <c r="E788" i="43"/>
  <c r="E789" i="43"/>
  <c r="E790" i="43"/>
  <c r="E791" i="43"/>
  <c r="E792" i="43"/>
  <c r="E793" i="43"/>
  <c r="E794" i="43"/>
  <c r="E795" i="43"/>
  <c r="E796" i="43"/>
  <c r="E797" i="43"/>
  <c r="E798" i="43"/>
  <c r="E799" i="43"/>
  <c r="E800" i="43"/>
  <c r="E801" i="43"/>
  <c r="E802" i="43"/>
  <c r="E803" i="43"/>
  <c r="E804" i="43"/>
  <c r="E805" i="43"/>
  <c r="E806" i="43"/>
  <c r="E807" i="43"/>
  <c r="E808" i="43"/>
  <c r="E809" i="43"/>
  <c r="E810" i="43"/>
  <c r="E811" i="43"/>
  <c r="E812" i="43"/>
  <c r="E813" i="43"/>
  <c r="E814" i="43"/>
  <c r="E815" i="43"/>
  <c r="E816" i="43"/>
  <c r="E817" i="43"/>
  <c r="E818" i="43"/>
  <c r="E819" i="43"/>
  <c r="E820" i="43"/>
  <c r="E821" i="43"/>
  <c r="E822" i="43"/>
  <c r="E823" i="43"/>
  <c r="E824" i="43"/>
  <c r="E825" i="43"/>
  <c r="E826" i="43"/>
  <c r="E827" i="43"/>
  <c r="E828" i="43"/>
  <c r="E829" i="43"/>
  <c r="E830" i="43"/>
  <c r="E831" i="43"/>
  <c r="E832" i="43"/>
  <c r="E833" i="43"/>
  <c r="E834" i="43"/>
  <c r="E835" i="43"/>
  <c r="E836" i="43"/>
  <c r="E837" i="43"/>
  <c r="E838" i="43"/>
  <c r="E839" i="43"/>
  <c r="E840" i="43"/>
  <c r="E841" i="43"/>
  <c r="E842" i="43"/>
  <c r="E843" i="43"/>
  <c r="E844" i="43"/>
  <c r="E845" i="43"/>
  <c r="E846" i="43"/>
  <c r="E847" i="43"/>
  <c r="E848" i="43"/>
  <c r="E849" i="43"/>
  <c r="E850" i="43"/>
  <c r="E851" i="43"/>
  <c r="E852" i="43"/>
  <c r="E853" i="43"/>
  <c r="E854" i="43"/>
  <c r="E855" i="43"/>
  <c r="E856" i="43"/>
  <c r="E857" i="43"/>
  <c r="E858" i="43"/>
  <c r="E859" i="43"/>
  <c r="E860" i="43"/>
  <c r="E861" i="43"/>
  <c r="E862" i="43"/>
  <c r="E863" i="43"/>
  <c r="E864" i="43"/>
  <c r="E865" i="43"/>
  <c r="E866" i="43"/>
  <c r="E867" i="43"/>
  <c r="E868" i="43"/>
  <c r="E869" i="43"/>
  <c r="E870" i="43"/>
  <c r="E871" i="43"/>
  <c r="E872" i="43"/>
  <c r="E873" i="43"/>
  <c r="E874" i="43"/>
  <c r="E875" i="43"/>
  <c r="E876" i="43"/>
  <c r="E877" i="43"/>
  <c r="E878" i="43"/>
  <c r="E879" i="43"/>
  <c r="E880" i="43"/>
  <c r="E881" i="43"/>
  <c r="E882" i="43"/>
  <c r="E883" i="43"/>
  <c r="E884" i="43"/>
  <c r="E885" i="43"/>
  <c r="E886" i="43"/>
  <c r="E887" i="43"/>
  <c r="E888" i="43"/>
  <c r="E889" i="43"/>
  <c r="E890" i="43"/>
  <c r="E891" i="43"/>
  <c r="E892" i="43"/>
  <c r="E893" i="43"/>
  <c r="E894" i="43"/>
  <c r="E895" i="43"/>
  <c r="E896" i="43"/>
  <c r="E897" i="43"/>
  <c r="E898" i="43"/>
  <c r="E899" i="43"/>
  <c r="E900" i="43"/>
  <c r="E901" i="43"/>
  <c r="E902" i="43"/>
  <c r="E903" i="43"/>
  <c r="E904" i="43"/>
  <c r="E905" i="43"/>
  <c r="E906" i="43"/>
  <c r="E907" i="43"/>
  <c r="E908" i="43"/>
  <c r="E909" i="43"/>
  <c r="E910" i="43"/>
  <c r="E911" i="43"/>
  <c r="E912" i="43"/>
  <c r="E913" i="43"/>
  <c r="E914" i="43"/>
  <c r="E915" i="43"/>
  <c r="E916" i="43"/>
  <c r="E917" i="43"/>
  <c r="E918" i="43"/>
  <c r="E919" i="43"/>
  <c r="E920" i="43"/>
  <c r="E921" i="43"/>
  <c r="E922" i="43"/>
  <c r="E923" i="43"/>
  <c r="E924" i="43"/>
  <c r="E925" i="43"/>
  <c r="E926" i="43"/>
  <c r="E927" i="43"/>
  <c r="E928" i="43"/>
  <c r="E929" i="43"/>
  <c r="E930" i="43"/>
  <c r="E931" i="43"/>
  <c r="E932" i="43"/>
  <c r="E933" i="43"/>
  <c r="E934" i="43"/>
  <c r="E935" i="43"/>
  <c r="E936" i="43"/>
  <c r="E937" i="43"/>
  <c r="E938" i="43"/>
  <c r="E939" i="43"/>
  <c r="E940" i="43"/>
  <c r="E941" i="43"/>
  <c r="E942" i="43"/>
  <c r="E943" i="43"/>
  <c r="E944" i="43"/>
  <c r="E945" i="43"/>
  <c r="E946" i="43"/>
  <c r="E947" i="43"/>
  <c r="E948" i="43"/>
  <c r="E949" i="43"/>
  <c r="E950" i="43"/>
  <c r="E951" i="43"/>
  <c r="E952" i="43"/>
  <c r="E953" i="43"/>
  <c r="E954" i="43"/>
  <c r="E955" i="43"/>
  <c r="E956" i="43"/>
  <c r="E957" i="43"/>
  <c r="E958" i="43"/>
  <c r="E959" i="43"/>
  <c r="E960" i="43"/>
  <c r="E961" i="43"/>
  <c r="E962" i="43"/>
  <c r="E963" i="43"/>
  <c r="E964" i="43"/>
  <c r="E965" i="43"/>
  <c r="E966" i="43"/>
  <c r="E967" i="43"/>
  <c r="E968" i="43"/>
  <c r="E969" i="43"/>
  <c r="E970" i="43"/>
  <c r="E971" i="43"/>
  <c r="E972" i="43"/>
  <c r="E973" i="43"/>
  <c r="E974" i="43"/>
  <c r="E975" i="43"/>
  <c r="E976" i="43"/>
  <c r="E977" i="43"/>
  <c r="E978" i="43"/>
  <c r="E979" i="43"/>
  <c r="E980" i="43"/>
  <c r="E981" i="43"/>
  <c r="E982" i="43"/>
  <c r="E983" i="43"/>
  <c r="E984" i="43"/>
  <c r="E985" i="43"/>
  <c r="E986" i="43"/>
  <c r="E987" i="43"/>
  <c r="E988" i="43"/>
  <c r="E989" i="43"/>
  <c r="E990" i="43"/>
  <c r="E991" i="43"/>
  <c r="E992" i="43"/>
  <c r="E993" i="43"/>
  <c r="E994" i="43"/>
  <c r="E995" i="43"/>
  <c r="E996" i="43"/>
  <c r="E997" i="43"/>
  <c r="E998" i="43"/>
  <c r="E999" i="43"/>
  <c r="E1000" i="43"/>
  <c r="E1001" i="43"/>
  <c r="E1002" i="43"/>
  <c r="E1003" i="43"/>
  <c r="D10" i="43"/>
  <c r="D11" i="43"/>
  <c r="D12" i="43"/>
  <c r="D13" i="43"/>
  <c r="D14" i="43"/>
  <c r="D15" i="43"/>
  <c r="D16" i="43"/>
  <c r="D17" i="43"/>
  <c r="D18" i="43"/>
  <c r="D19" i="43"/>
  <c r="D20" i="43"/>
  <c r="D21" i="43"/>
  <c r="D22" i="43"/>
  <c r="D23" i="43"/>
  <c r="D24" i="43"/>
  <c r="D25" i="43"/>
  <c r="D26" i="43"/>
  <c r="D27" i="43"/>
  <c r="D28" i="43"/>
  <c r="D29" i="43"/>
  <c r="D30" i="43"/>
  <c r="D31" i="43"/>
  <c r="D32" i="43"/>
  <c r="D33" i="43"/>
  <c r="D34" i="43"/>
  <c r="D35" i="43"/>
  <c r="D36" i="43"/>
  <c r="D37" i="43"/>
  <c r="D38" i="43"/>
  <c r="D39" i="43"/>
  <c r="D40" i="43"/>
  <c r="D41" i="43"/>
  <c r="D42" i="43"/>
  <c r="D43" i="43"/>
  <c r="D44" i="43"/>
  <c r="D45" i="43"/>
  <c r="D46" i="43"/>
  <c r="D47" i="43"/>
  <c r="D48" i="43"/>
  <c r="D49" i="43"/>
  <c r="D50" i="43"/>
  <c r="D51" i="43"/>
  <c r="D52" i="43"/>
  <c r="D53" i="43"/>
  <c r="D54" i="43"/>
  <c r="D55" i="43"/>
  <c r="D56" i="43"/>
  <c r="D57" i="43"/>
  <c r="D58" i="43"/>
  <c r="D59" i="43"/>
  <c r="D60" i="43"/>
  <c r="D61" i="43"/>
  <c r="D62" i="43"/>
  <c r="D63" i="43"/>
  <c r="D64" i="43"/>
  <c r="D65" i="43"/>
  <c r="D66" i="43"/>
  <c r="D67" i="43"/>
  <c r="D68" i="43"/>
  <c r="D69" i="43"/>
  <c r="D70" i="43"/>
  <c r="D71" i="43"/>
  <c r="D72" i="43"/>
  <c r="D73" i="43"/>
  <c r="D74" i="43"/>
  <c r="D75" i="43"/>
  <c r="D76" i="43"/>
  <c r="D77" i="43"/>
  <c r="D78" i="43"/>
  <c r="D79" i="43"/>
  <c r="D80" i="43"/>
  <c r="D81" i="43"/>
  <c r="D82" i="43"/>
  <c r="D83" i="43"/>
  <c r="D84" i="43"/>
  <c r="D85" i="43"/>
  <c r="D86" i="43"/>
  <c r="D87" i="43"/>
  <c r="D88" i="43"/>
  <c r="D89" i="43"/>
  <c r="D90" i="43"/>
  <c r="D91" i="43"/>
  <c r="D92" i="43"/>
  <c r="D93" i="43"/>
  <c r="D94" i="43"/>
  <c r="D95" i="43"/>
  <c r="D96" i="43"/>
  <c r="D97" i="43"/>
  <c r="D98" i="43"/>
  <c r="D99" i="43"/>
  <c r="D100" i="43"/>
  <c r="D101" i="43"/>
  <c r="D102" i="43"/>
  <c r="D103" i="43"/>
  <c r="D104" i="43"/>
  <c r="D105" i="43"/>
  <c r="D106" i="43"/>
  <c r="D107" i="43"/>
  <c r="D108" i="43"/>
  <c r="D109" i="43"/>
  <c r="D110" i="43"/>
  <c r="D111" i="43"/>
  <c r="D112" i="43"/>
  <c r="D113" i="43"/>
  <c r="D114" i="43"/>
  <c r="D115" i="43"/>
  <c r="D116" i="43"/>
  <c r="D117" i="43"/>
  <c r="D118" i="43"/>
  <c r="D119" i="43"/>
  <c r="D120" i="43"/>
  <c r="D121" i="43"/>
  <c r="D122" i="43"/>
  <c r="D123" i="43"/>
  <c r="D124" i="43"/>
  <c r="D125" i="43"/>
  <c r="D126" i="43"/>
  <c r="D127" i="43"/>
  <c r="D128" i="43"/>
  <c r="D129" i="43"/>
  <c r="D130" i="43"/>
  <c r="D131" i="43"/>
  <c r="D132" i="43"/>
  <c r="D133" i="43"/>
  <c r="D134" i="43"/>
  <c r="D135" i="43"/>
  <c r="D136" i="43"/>
  <c r="D137" i="43"/>
  <c r="D138" i="43"/>
  <c r="D139" i="43"/>
  <c r="D140" i="43"/>
  <c r="D141" i="43"/>
  <c r="D142" i="43"/>
  <c r="D143" i="43"/>
  <c r="D144" i="43"/>
  <c r="D145" i="43"/>
  <c r="D146" i="43"/>
  <c r="D147" i="43"/>
  <c r="D148" i="43"/>
  <c r="D149" i="43"/>
  <c r="D150" i="43"/>
  <c r="D151" i="43"/>
  <c r="D152" i="43"/>
  <c r="D153" i="43"/>
  <c r="D154" i="43"/>
  <c r="D155" i="43"/>
  <c r="D156" i="43"/>
  <c r="D157" i="43"/>
  <c r="D158" i="43"/>
  <c r="D159" i="43"/>
  <c r="D160" i="43"/>
  <c r="D161" i="43"/>
  <c r="D162" i="43"/>
  <c r="D163" i="43"/>
  <c r="D164" i="43"/>
  <c r="D165" i="43"/>
  <c r="D166" i="43"/>
  <c r="D167" i="43"/>
  <c r="D168" i="43"/>
  <c r="D169" i="43"/>
  <c r="D170" i="43"/>
  <c r="D171" i="43"/>
  <c r="D172" i="43"/>
  <c r="D173" i="43"/>
  <c r="D174" i="43"/>
  <c r="D175" i="43"/>
  <c r="D176" i="43"/>
  <c r="D177" i="43"/>
  <c r="D178" i="43"/>
  <c r="D179" i="43"/>
  <c r="D180" i="43"/>
  <c r="D181" i="43"/>
  <c r="D182" i="43"/>
  <c r="D183" i="43"/>
  <c r="D184" i="43"/>
  <c r="D185" i="43"/>
  <c r="D186" i="43"/>
  <c r="D187" i="43"/>
  <c r="D188" i="43"/>
  <c r="D189" i="43"/>
  <c r="D190" i="43"/>
  <c r="D191" i="43"/>
  <c r="D192" i="43"/>
  <c r="D193" i="43"/>
  <c r="D194" i="43"/>
  <c r="D195" i="43"/>
  <c r="D196" i="43"/>
  <c r="D197" i="43"/>
  <c r="D198" i="43"/>
  <c r="D199" i="43"/>
  <c r="D200" i="43"/>
  <c r="D201" i="43"/>
  <c r="D202" i="43"/>
  <c r="D203" i="43"/>
  <c r="D204" i="43"/>
  <c r="D205" i="43"/>
  <c r="D206" i="43"/>
  <c r="D207" i="43"/>
  <c r="D208" i="43"/>
  <c r="D209" i="43"/>
  <c r="D210" i="43"/>
  <c r="D211" i="43"/>
  <c r="D212" i="43"/>
  <c r="D213" i="43"/>
  <c r="D214" i="43"/>
  <c r="D215" i="43"/>
  <c r="D216" i="43"/>
  <c r="D217" i="43"/>
  <c r="D218" i="43"/>
  <c r="D219" i="43"/>
  <c r="D220" i="43"/>
  <c r="D221" i="43"/>
  <c r="D222" i="43"/>
  <c r="D223" i="43"/>
  <c r="D224" i="43"/>
  <c r="D225" i="43"/>
  <c r="D226" i="43"/>
  <c r="D227" i="43"/>
  <c r="D228" i="43"/>
  <c r="D229" i="43"/>
  <c r="D230" i="43"/>
  <c r="D231" i="43"/>
  <c r="D232" i="43"/>
  <c r="D233" i="43"/>
  <c r="D234" i="43"/>
  <c r="D235" i="43"/>
  <c r="D236" i="43"/>
  <c r="D237" i="43"/>
  <c r="D238" i="43"/>
  <c r="D239" i="43"/>
  <c r="D240" i="43"/>
  <c r="D241" i="43"/>
  <c r="D242" i="43"/>
  <c r="D243" i="43"/>
  <c r="D244" i="43"/>
  <c r="D245" i="43"/>
  <c r="D246" i="43"/>
  <c r="D247" i="43"/>
  <c r="D248" i="43"/>
  <c r="D249" i="43"/>
  <c r="D250" i="43"/>
  <c r="D251" i="43"/>
  <c r="D252" i="43"/>
  <c r="D253" i="43"/>
  <c r="D254" i="43"/>
  <c r="D255" i="43"/>
  <c r="D256" i="43"/>
  <c r="D257" i="43"/>
  <c r="D258" i="43"/>
  <c r="D259" i="43"/>
  <c r="D260" i="43"/>
  <c r="D261" i="43"/>
  <c r="D262" i="43"/>
  <c r="D263" i="43"/>
  <c r="D264" i="43"/>
  <c r="D265" i="43"/>
  <c r="D266" i="43"/>
  <c r="D267" i="43"/>
  <c r="D268" i="43"/>
  <c r="D269" i="43"/>
  <c r="D270" i="43"/>
  <c r="D271" i="43"/>
  <c r="D272" i="43"/>
  <c r="D273" i="43"/>
  <c r="D274" i="43"/>
  <c r="D275" i="43"/>
  <c r="D276" i="43"/>
  <c r="D277" i="43"/>
  <c r="D278" i="43"/>
  <c r="D279" i="43"/>
  <c r="D280" i="43"/>
  <c r="D281" i="43"/>
  <c r="D282" i="43"/>
  <c r="D283" i="43"/>
  <c r="D284" i="43"/>
  <c r="D285" i="43"/>
  <c r="D286" i="43"/>
  <c r="D287" i="43"/>
  <c r="D288" i="43"/>
  <c r="D289" i="43"/>
  <c r="D290" i="43"/>
  <c r="D291" i="43"/>
  <c r="D292" i="43"/>
  <c r="D293" i="43"/>
  <c r="D294" i="43"/>
  <c r="D295" i="43"/>
  <c r="D296" i="43"/>
  <c r="D297" i="43"/>
  <c r="D298" i="43"/>
  <c r="D299" i="43"/>
  <c r="D300" i="43"/>
  <c r="D363" i="43"/>
  <c r="D364" i="43"/>
  <c r="D365" i="43"/>
  <c r="D366" i="43"/>
  <c r="D367" i="43"/>
  <c r="D368" i="43"/>
  <c r="D369" i="43"/>
  <c r="D370" i="43"/>
  <c r="D371" i="43"/>
  <c r="D372" i="43"/>
  <c r="D373" i="43"/>
  <c r="D374" i="43"/>
  <c r="D375" i="43"/>
  <c r="D376" i="43"/>
  <c r="D377" i="43"/>
  <c r="D378" i="43"/>
  <c r="D379" i="43"/>
  <c r="D380" i="43"/>
  <c r="D381" i="43"/>
  <c r="D382" i="43"/>
  <c r="D383" i="43"/>
  <c r="D384" i="43"/>
  <c r="D385" i="43"/>
  <c r="D386" i="43"/>
  <c r="D387" i="43"/>
  <c r="D388" i="43"/>
  <c r="D389" i="43"/>
  <c r="D390" i="43"/>
  <c r="D391" i="43"/>
  <c r="D392" i="43"/>
  <c r="D393" i="43"/>
  <c r="D394" i="43"/>
  <c r="D395" i="43"/>
  <c r="D396" i="43"/>
  <c r="D397" i="43"/>
  <c r="D398" i="43"/>
  <c r="D399" i="43"/>
  <c r="D400" i="43"/>
  <c r="D401" i="43"/>
  <c r="D402" i="43"/>
  <c r="D403" i="43"/>
  <c r="D404" i="43"/>
  <c r="D405" i="43"/>
  <c r="D406" i="43"/>
  <c r="D407" i="43"/>
  <c r="D408" i="43"/>
  <c r="D409" i="43"/>
  <c r="D410" i="43"/>
  <c r="D411" i="43"/>
  <c r="D412" i="43"/>
  <c r="D413" i="43"/>
  <c r="D414" i="43"/>
  <c r="D415" i="43"/>
  <c r="D416" i="43"/>
  <c r="D417" i="43"/>
  <c r="D418" i="43"/>
  <c r="D419" i="43"/>
  <c r="D420" i="43"/>
  <c r="D421" i="43"/>
  <c r="D422" i="43"/>
  <c r="D423" i="43"/>
  <c r="D424" i="43"/>
  <c r="D425" i="43"/>
  <c r="D426" i="43"/>
  <c r="D427" i="43"/>
  <c r="D428" i="43"/>
  <c r="D429" i="43"/>
  <c r="D430" i="43"/>
  <c r="D431" i="43"/>
  <c r="D432" i="43"/>
  <c r="D433" i="43"/>
  <c r="D434" i="43"/>
  <c r="D435" i="43"/>
  <c r="D436" i="43"/>
  <c r="D437" i="43"/>
  <c r="D438" i="43"/>
  <c r="D439" i="43"/>
  <c r="D440" i="43"/>
  <c r="D441" i="43"/>
  <c r="D442" i="43"/>
  <c r="D443" i="43"/>
  <c r="D444" i="43"/>
  <c r="D445" i="43"/>
  <c r="D446" i="43"/>
  <c r="D447" i="43"/>
  <c r="D448" i="43"/>
  <c r="D449" i="43"/>
  <c r="D450" i="43"/>
  <c r="D451" i="43"/>
  <c r="D452" i="43"/>
  <c r="D453" i="43"/>
  <c r="D454" i="43"/>
  <c r="D455" i="43"/>
  <c r="D456" i="43"/>
  <c r="D457" i="43"/>
  <c r="D458" i="43"/>
  <c r="D459" i="43"/>
  <c r="D460" i="43"/>
  <c r="D461" i="43"/>
  <c r="D462" i="43"/>
  <c r="D463" i="43"/>
  <c r="D464" i="43"/>
  <c r="D465" i="43"/>
  <c r="D466" i="43"/>
  <c r="D467" i="43"/>
  <c r="D468" i="43"/>
  <c r="D469" i="43"/>
  <c r="D470" i="43"/>
  <c r="D471" i="43"/>
  <c r="D472" i="43"/>
  <c r="D473" i="43"/>
  <c r="D474" i="43"/>
  <c r="D475" i="43"/>
  <c r="D476" i="43"/>
  <c r="D477" i="43"/>
  <c r="D478" i="43"/>
  <c r="D479" i="43"/>
  <c r="D480" i="43"/>
  <c r="D481" i="43"/>
  <c r="D482" i="43"/>
  <c r="D483" i="43"/>
  <c r="D484" i="43"/>
  <c r="D485" i="43"/>
  <c r="D486" i="43"/>
  <c r="D487" i="43"/>
  <c r="D488" i="43"/>
  <c r="D489" i="43"/>
  <c r="D490" i="43"/>
  <c r="D491" i="43"/>
  <c r="D492" i="43"/>
  <c r="D493" i="43"/>
  <c r="D494" i="43"/>
  <c r="D495" i="43"/>
  <c r="D496" i="43"/>
  <c r="D497" i="43"/>
  <c r="D498" i="43"/>
  <c r="D499" i="43"/>
  <c r="D500" i="43"/>
  <c r="D501" i="43"/>
  <c r="D502" i="43"/>
  <c r="D503" i="43"/>
  <c r="D504" i="43"/>
  <c r="D505" i="43"/>
  <c r="D506" i="43"/>
  <c r="D507" i="43"/>
  <c r="D508" i="43"/>
  <c r="D509" i="43"/>
  <c r="D510" i="43"/>
  <c r="D511" i="43"/>
  <c r="D512" i="43"/>
  <c r="D513" i="43"/>
  <c r="D514" i="43"/>
  <c r="D515" i="43"/>
  <c r="D516" i="43"/>
  <c r="D517" i="43"/>
  <c r="D518" i="43"/>
  <c r="D519" i="43"/>
  <c r="D520" i="43"/>
  <c r="D521" i="43"/>
  <c r="D522" i="43"/>
  <c r="D523" i="43"/>
  <c r="D524" i="43"/>
  <c r="D525" i="43"/>
  <c r="D526" i="43"/>
  <c r="D527" i="43"/>
  <c r="D528" i="43"/>
  <c r="D529" i="43"/>
  <c r="D530" i="43"/>
  <c r="D531" i="43"/>
  <c r="D532" i="43"/>
  <c r="D533" i="43"/>
  <c r="D534" i="43"/>
  <c r="D535" i="43"/>
  <c r="D536" i="43"/>
  <c r="D537" i="43"/>
  <c r="D538" i="43"/>
  <c r="D539" i="43"/>
  <c r="D540" i="43"/>
  <c r="D541" i="43"/>
  <c r="D542" i="43"/>
  <c r="D543" i="43"/>
  <c r="D544" i="43"/>
  <c r="D545" i="43"/>
  <c r="D546" i="43"/>
  <c r="D547" i="43"/>
  <c r="D548" i="43"/>
  <c r="D549" i="43"/>
  <c r="D550" i="43"/>
  <c r="D551" i="43"/>
  <c r="D552" i="43"/>
  <c r="D553" i="43"/>
  <c r="D554" i="43"/>
  <c r="D555" i="43"/>
  <c r="D556" i="43"/>
  <c r="D557" i="43"/>
  <c r="D558" i="43"/>
  <c r="D559" i="43"/>
  <c r="D560" i="43"/>
  <c r="D561" i="43"/>
  <c r="D562" i="43"/>
  <c r="D563" i="43"/>
  <c r="D564" i="43"/>
  <c r="D565" i="43"/>
  <c r="D566" i="43"/>
  <c r="D567" i="43"/>
  <c r="D568" i="43"/>
  <c r="D569" i="43"/>
  <c r="D570" i="43"/>
  <c r="D571" i="43"/>
  <c r="D572" i="43"/>
  <c r="D573" i="43"/>
  <c r="D574" i="43"/>
  <c r="D575" i="43"/>
  <c r="D576" i="43"/>
  <c r="D577" i="43"/>
  <c r="D578" i="43"/>
  <c r="D579" i="43"/>
  <c r="D580" i="43"/>
  <c r="D581" i="43"/>
  <c r="D582" i="43"/>
  <c r="D583" i="43"/>
  <c r="D584" i="43"/>
  <c r="D585" i="43"/>
  <c r="D586" i="43"/>
  <c r="D587" i="43"/>
  <c r="D588" i="43"/>
  <c r="D589" i="43"/>
  <c r="D590" i="43"/>
  <c r="D591" i="43"/>
  <c r="D592" i="43"/>
  <c r="D593" i="43"/>
  <c r="D594" i="43"/>
  <c r="D595" i="43"/>
  <c r="D596" i="43"/>
  <c r="D597" i="43"/>
  <c r="D598" i="43"/>
  <c r="D599" i="43"/>
  <c r="D600" i="43"/>
  <c r="D601" i="43"/>
  <c r="D602" i="43"/>
  <c r="D603" i="43"/>
  <c r="D604" i="43"/>
  <c r="D605" i="43"/>
  <c r="D606" i="43"/>
  <c r="D607" i="43"/>
  <c r="D608" i="43"/>
  <c r="D609" i="43"/>
  <c r="D610" i="43"/>
  <c r="D611" i="43"/>
  <c r="D612" i="43"/>
  <c r="D613" i="43"/>
  <c r="D614" i="43"/>
  <c r="D615" i="43"/>
  <c r="D616" i="43"/>
  <c r="D617" i="43"/>
  <c r="D618" i="43"/>
  <c r="D619" i="43"/>
  <c r="D620" i="43"/>
  <c r="D621" i="43"/>
  <c r="D622" i="43"/>
  <c r="D623" i="43"/>
  <c r="D624" i="43"/>
  <c r="D625" i="43"/>
  <c r="D626" i="43"/>
  <c r="D627" i="43"/>
  <c r="D628" i="43"/>
  <c r="D629" i="43"/>
  <c r="D630" i="43"/>
  <c r="D631" i="43"/>
  <c r="D632" i="43"/>
  <c r="D633" i="43"/>
  <c r="D634" i="43"/>
  <c r="D635" i="43"/>
  <c r="D636" i="43"/>
  <c r="D637" i="43"/>
  <c r="D638" i="43"/>
  <c r="D639" i="43"/>
  <c r="D640" i="43"/>
  <c r="D641" i="43"/>
  <c r="D642" i="43"/>
  <c r="D643" i="43"/>
  <c r="D644" i="43"/>
  <c r="D645" i="43"/>
  <c r="D646" i="43"/>
  <c r="D647" i="43"/>
  <c r="D648" i="43"/>
  <c r="D649" i="43"/>
  <c r="D650" i="43"/>
  <c r="D651" i="43"/>
  <c r="D652" i="43"/>
  <c r="D653" i="43"/>
  <c r="D654" i="43"/>
  <c r="D655" i="43"/>
  <c r="D656" i="43"/>
  <c r="D657" i="43"/>
  <c r="D658" i="43"/>
  <c r="D659" i="43"/>
  <c r="D660" i="43"/>
  <c r="D661" i="43"/>
  <c r="D662" i="43"/>
  <c r="D663" i="43"/>
  <c r="D664" i="43"/>
  <c r="D665" i="43"/>
  <c r="D666" i="43"/>
  <c r="D667" i="43"/>
  <c r="D668" i="43"/>
  <c r="D669" i="43"/>
  <c r="D670" i="43"/>
  <c r="D671" i="43"/>
  <c r="D672" i="43"/>
  <c r="D673" i="43"/>
  <c r="D674" i="43"/>
  <c r="D675" i="43"/>
  <c r="D676" i="43"/>
  <c r="D677" i="43"/>
  <c r="D678" i="43"/>
  <c r="D679" i="43"/>
  <c r="D680" i="43"/>
  <c r="D681" i="43"/>
  <c r="D682" i="43"/>
  <c r="D683" i="43"/>
  <c r="D684" i="43"/>
  <c r="D685" i="43"/>
  <c r="D686" i="43"/>
  <c r="D687" i="43"/>
  <c r="D688" i="43"/>
  <c r="D689" i="43"/>
  <c r="D690" i="43"/>
  <c r="D691" i="43"/>
  <c r="D692" i="43"/>
  <c r="D693" i="43"/>
  <c r="D694" i="43"/>
  <c r="D695" i="43"/>
  <c r="D696" i="43"/>
  <c r="D697" i="43"/>
  <c r="D698" i="43"/>
  <c r="D699" i="43"/>
  <c r="D700" i="43"/>
  <c r="D701" i="43"/>
  <c r="D702" i="43"/>
  <c r="D703" i="43"/>
  <c r="D704" i="43"/>
  <c r="D705" i="43"/>
  <c r="D706" i="43"/>
  <c r="D707" i="43"/>
  <c r="D708" i="43"/>
  <c r="D709" i="43"/>
  <c r="D710" i="43"/>
  <c r="D711" i="43"/>
  <c r="D712" i="43"/>
  <c r="D713" i="43"/>
  <c r="D714" i="43"/>
  <c r="D715" i="43"/>
  <c r="D716" i="43"/>
  <c r="D717" i="43"/>
  <c r="D718" i="43"/>
  <c r="D719" i="43"/>
  <c r="D720" i="43"/>
  <c r="D721" i="43"/>
  <c r="D722" i="43"/>
  <c r="D723" i="43"/>
  <c r="D724" i="43"/>
  <c r="D725" i="43"/>
  <c r="D726" i="43"/>
  <c r="D727" i="43"/>
  <c r="D728" i="43"/>
  <c r="D729" i="43"/>
  <c r="D730" i="43"/>
  <c r="D731" i="43"/>
  <c r="D732" i="43"/>
  <c r="D733" i="43"/>
  <c r="D734" i="43"/>
  <c r="D735" i="43"/>
  <c r="D736" i="43"/>
  <c r="D737" i="43"/>
  <c r="D738" i="43"/>
  <c r="D739" i="43"/>
  <c r="D740" i="43"/>
  <c r="D741" i="43"/>
  <c r="D742" i="43"/>
  <c r="D743" i="43"/>
  <c r="D744" i="43"/>
  <c r="D745" i="43"/>
  <c r="D746" i="43"/>
  <c r="D747" i="43"/>
  <c r="D748" i="43"/>
  <c r="D749" i="43"/>
  <c r="D750" i="43"/>
  <c r="D751" i="43"/>
  <c r="D752" i="43"/>
  <c r="D753" i="43"/>
  <c r="D754" i="43"/>
  <c r="D755" i="43"/>
  <c r="D756" i="43"/>
  <c r="D757" i="43"/>
  <c r="D758" i="43"/>
  <c r="D759" i="43"/>
  <c r="D760" i="43"/>
  <c r="D761" i="43"/>
  <c r="D762" i="43"/>
  <c r="D763" i="43"/>
  <c r="D764" i="43"/>
  <c r="D765" i="43"/>
  <c r="D766" i="43"/>
  <c r="D767" i="43"/>
  <c r="D768" i="43"/>
  <c r="D769" i="43"/>
  <c r="D770" i="43"/>
  <c r="D771" i="43"/>
  <c r="D772" i="43"/>
  <c r="D773" i="43"/>
  <c r="D774" i="43"/>
  <c r="D775" i="43"/>
  <c r="D776" i="43"/>
  <c r="D777" i="43"/>
  <c r="D778" i="43"/>
  <c r="D779" i="43"/>
  <c r="D780" i="43"/>
  <c r="D781" i="43"/>
  <c r="D782" i="43"/>
  <c r="D783" i="43"/>
  <c r="D784" i="43"/>
  <c r="D785" i="43"/>
  <c r="D786" i="43"/>
  <c r="D787" i="43"/>
  <c r="D788" i="43"/>
  <c r="D789" i="43"/>
  <c r="D790" i="43"/>
  <c r="D791" i="43"/>
  <c r="D792" i="43"/>
  <c r="D793" i="43"/>
  <c r="D794" i="43"/>
  <c r="D795" i="43"/>
  <c r="D796" i="43"/>
  <c r="D797" i="43"/>
  <c r="D798" i="43"/>
  <c r="D799" i="43"/>
  <c r="D800" i="43"/>
  <c r="D801" i="43"/>
  <c r="D802" i="43"/>
  <c r="D803" i="43"/>
  <c r="D804" i="43"/>
  <c r="D805" i="43"/>
  <c r="D806" i="43"/>
  <c r="D807" i="43"/>
  <c r="D808" i="43"/>
  <c r="D809" i="43"/>
  <c r="D810" i="43"/>
  <c r="D811" i="43"/>
  <c r="D812" i="43"/>
  <c r="D813" i="43"/>
  <c r="D814" i="43"/>
  <c r="D815" i="43"/>
  <c r="D816" i="43"/>
  <c r="D817" i="43"/>
  <c r="D818" i="43"/>
  <c r="D819" i="43"/>
  <c r="D820" i="43"/>
  <c r="D821" i="43"/>
  <c r="D822" i="43"/>
  <c r="D823" i="43"/>
  <c r="D824" i="43"/>
  <c r="D825" i="43"/>
  <c r="D826" i="43"/>
  <c r="D827" i="43"/>
  <c r="D828" i="43"/>
  <c r="D829" i="43"/>
  <c r="D830" i="43"/>
  <c r="D831" i="43"/>
  <c r="D832" i="43"/>
  <c r="D833" i="43"/>
  <c r="D834" i="43"/>
  <c r="D835" i="43"/>
  <c r="D836" i="43"/>
  <c r="D837" i="43"/>
  <c r="D838" i="43"/>
  <c r="D839" i="43"/>
  <c r="D840" i="43"/>
  <c r="D841" i="43"/>
  <c r="D842" i="43"/>
  <c r="D843" i="43"/>
  <c r="D844" i="43"/>
  <c r="D845" i="43"/>
  <c r="D846" i="43"/>
  <c r="D847" i="43"/>
  <c r="D848" i="43"/>
  <c r="D849" i="43"/>
  <c r="D850" i="43"/>
  <c r="D851" i="43"/>
  <c r="D852" i="43"/>
  <c r="D853" i="43"/>
  <c r="D854" i="43"/>
  <c r="D855" i="43"/>
  <c r="D856" i="43"/>
  <c r="D857" i="43"/>
  <c r="D858" i="43"/>
  <c r="D859" i="43"/>
  <c r="D860" i="43"/>
  <c r="D861" i="43"/>
  <c r="D862" i="43"/>
  <c r="D863" i="43"/>
  <c r="D864" i="43"/>
  <c r="D865" i="43"/>
  <c r="D866" i="43"/>
  <c r="D867" i="43"/>
  <c r="D868" i="43"/>
  <c r="D869" i="43"/>
  <c r="D870" i="43"/>
  <c r="D871" i="43"/>
  <c r="D872" i="43"/>
  <c r="D873" i="43"/>
  <c r="D874" i="43"/>
  <c r="D875" i="43"/>
  <c r="D876" i="43"/>
  <c r="D877" i="43"/>
  <c r="D878" i="43"/>
  <c r="D879" i="43"/>
  <c r="D880" i="43"/>
  <c r="D881" i="43"/>
  <c r="D882" i="43"/>
  <c r="D883" i="43"/>
  <c r="D884" i="43"/>
  <c r="D885" i="43"/>
  <c r="D886" i="43"/>
  <c r="D887" i="43"/>
  <c r="D888" i="43"/>
  <c r="D889" i="43"/>
  <c r="D890" i="43"/>
  <c r="D891" i="43"/>
  <c r="D892" i="43"/>
  <c r="D893" i="43"/>
  <c r="D894" i="43"/>
  <c r="D895" i="43"/>
  <c r="D896" i="43"/>
  <c r="D897" i="43"/>
  <c r="D898" i="43"/>
  <c r="D899" i="43"/>
  <c r="D900" i="43"/>
  <c r="D901" i="43"/>
  <c r="D902" i="43"/>
  <c r="D903" i="43"/>
  <c r="D904" i="43"/>
  <c r="D905" i="43"/>
  <c r="D906" i="43"/>
  <c r="D907" i="43"/>
  <c r="D908" i="43"/>
  <c r="D909" i="43"/>
  <c r="D910" i="43"/>
  <c r="D911" i="43"/>
  <c r="D912" i="43"/>
  <c r="D913" i="43"/>
  <c r="D914" i="43"/>
  <c r="D915" i="43"/>
  <c r="D916" i="43"/>
  <c r="D917" i="43"/>
  <c r="D918" i="43"/>
  <c r="D919" i="43"/>
  <c r="D920" i="43"/>
  <c r="D921" i="43"/>
  <c r="D922" i="43"/>
  <c r="D923" i="43"/>
  <c r="D924" i="43"/>
  <c r="D925" i="43"/>
  <c r="D926" i="43"/>
  <c r="D927" i="43"/>
  <c r="D928" i="43"/>
  <c r="D929" i="43"/>
  <c r="D930" i="43"/>
  <c r="D931" i="43"/>
  <c r="D932" i="43"/>
  <c r="D933" i="43"/>
  <c r="D934" i="43"/>
  <c r="D935" i="43"/>
  <c r="D936" i="43"/>
  <c r="D937" i="43"/>
  <c r="D938" i="43"/>
  <c r="D939" i="43"/>
  <c r="D940" i="43"/>
  <c r="D941" i="43"/>
  <c r="D942" i="43"/>
  <c r="D943" i="43"/>
  <c r="D944" i="43"/>
  <c r="D945" i="43"/>
  <c r="D946" i="43"/>
  <c r="D947" i="43"/>
  <c r="D948" i="43"/>
  <c r="D949" i="43"/>
  <c r="D950" i="43"/>
  <c r="D951" i="43"/>
  <c r="D952" i="43"/>
  <c r="D953" i="43"/>
  <c r="D954" i="43"/>
  <c r="D955" i="43"/>
  <c r="D956" i="43"/>
  <c r="D957" i="43"/>
  <c r="D958" i="43"/>
  <c r="D959" i="43"/>
  <c r="D960" i="43"/>
  <c r="D961" i="43"/>
  <c r="D962" i="43"/>
  <c r="D963" i="43"/>
  <c r="D964" i="43"/>
  <c r="D965" i="43"/>
  <c r="D966" i="43"/>
  <c r="D967" i="43"/>
  <c r="D968" i="43"/>
  <c r="D969" i="43"/>
  <c r="D970" i="43"/>
  <c r="D971" i="43"/>
  <c r="D972" i="43"/>
  <c r="D973" i="43"/>
  <c r="D974" i="43"/>
  <c r="D975" i="43"/>
  <c r="D976" i="43"/>
  <c r="D977" i="43"/>
  <c r="D978" i="43"/>
  <c r="D979" i="43"/>
  <c r="D980" i="43"/>
  <c r="D981" i="43"/>
  <c r="D982" i="43"/>
  <c r="D983" i="43"/>
  <c r="D984" i="43"/>
  <c r="D985" i="43"/>
  <c r="D986" i="43"/>
  <c r="D987" i="43"/>
  <c r="D988" i="43"/>
  <c r="D989" i="43"/>
  <c r="D990" i="43"/>
  <c r="D991" i="43"/>
  <c r="D992" i="43"/>
  <c r="D993" i="43"/>
  <c r="D994" i="43"/>
  <c r="D995" i="43"/>
  <c r="D996" i="43"/>
  <c r="D997" i="43"/>
  <c r="D998" i="43"/>
  <c r="D999" i="43"/>
  <c r="D1000" i="43"/>
  <c r="D1001" i="43"/>
  <c r="D1002" i="43"/>
  <c r="D1003" i="43"/>
  <c r="C10" i="43"/>
  <c r="C11" i="43"/>
  <c r="C12" i="43"/>
  <c r="C13" i="43"/>
  <c r="C14" i="43"/>
  <c r="C15" i="43"/>
  <c r="C16" i="43"/>
  <c r="C17" i="43"/>
  <c r="C18" i="43"/>
  <c r="C19" i="43"/>
  <c r="C20" i="43"/>
  <c r="C21" i="43"/>
  <c r="C22" i="43"/>
  <c r="C23" i="43"/>
  <c r="C24" i="43"/>
  <c r="C25" i="43"/>
  <c r="C26" i="43"/>
  <c r="C27" i="43"/>
  <c r="C28" i="43"/>
  <c r="C29" i="43"/>
  <c r="C30" i="43"/>
  <c r="C31" i="43"/>
  <c r="C32" i="43"/>
  <c r="C33" i="43"/>
  <c r="C34" i="43"/>
  <c r="C35" i="43"/>
  <c r="C36" i="43"/>
  <c r="C37" i="43"/>
  <c r="C38" i="43"/>
  <c r="C39" i="43"/>
  <c r="C40" i="43"/>
  <c r="C41" i="43"/>
  <c r="C42" i="43"/>
  <c r="C43" i="43"/>
  <c r="C44" i="43"/>
  <c r="C45" i="43"/>
  <c r="C46" i="43"/>
  <c r="C47" i="43"/>
  <c r="C48" i="43"/>
  <c r="C49" i="43"/>
  <c r="C50" i="43"/>
  <c r="C51" i="43"/>
  <c r="C52" i="43"/>
  <c r="C53" i="43"/>
  <c r="C54" i="43"/>
  <c r="C55" i="43"/>
  <c r="C56" i="43"/>
  <c r="C57" i="43"/>
  <c r="C58" i="43"/>
  <c r="C59" i="43"/>
  <c r="C60" i="43"/>
  <c r="C61" i="43"/>
  <c r="C62" i="43"/>
  <c r="C63" i="43"/>
  <c r="C64" i="43"/>
  <c r="C65" i="43"/>
  <c r="C66" i="43"/>
  <c r="C67" i="43"/>
  <c r="C68" i="43"/>
  <c r="C69" i="43"/>
  <c r="C70" i="43"/>
  <c r="C71" i="43"/>
  <c r="C72" i="43"/>
  <c r="C73" i="43"/>
  <c r="C74" i="43"/>
  <c r="C75" i="43"/>
  <c r="C76" i="43"/>
  <c r="C77" i="43"/>
  <c r="C78" i="43"/>
  <c r="C79" i="43"/>
  <c r="C80" i="43"/>
  <c r="C81" i="43"/>
  <c r="C82" i="43"/>
  <c r="C83" i="43"/>
  <c r="C84" i="43"/>
  <c r="C85" i="43"/>
  <c r="C86" i="43"/>
  <c r="C87" i="43"/>
  <c r="C88" i="43"/>
  <c r="C89" i="43"/>
  <c r="C90" i="43"/>
  <c r="C91" i="43"/>
  <c r="C92" i="43"/>
  <c r="C93" i="43"/>
  <c r="C94" i="43"/>
  <c r="C95" i="43"/>
  <c r="C96" i="43"/>
  <c r="C97" i="43"/>
  <c r="C98" i="43"/>
  <c r="C99" i="43"/>
  <c r="C100" i="43"/>
  <c r="C101" i="43"/>
  <c r="C102" i="43"/>
  <c r="C103" i="43"/>
  <c r="C104" i="43"/>
  <c r="C105" i="43"/>
  <c r="C106" i="43"/>
  <c r="C107" i="43"/>
  <c r="C108" i="43"/>
  <c r="C109" i="43"/>
  <c r="C110" i="43"/>
  <c r="C111" i="43"/>
  <c r="C112" i="43"/>
  <c r="C113" i="43"/>
  <c r="C114" i="43"/>
  <c r="C115" i="43"/>
  <c r="C116" i="43"/>
  <c r="C117" i="43"/>
  <c r="C118" i="43"/>
  <c r="C119" i="43"/>
  <c r="C120" i="43"/>
  <c r="C121" i="43"/>
  <c r="C122" i="43"/>
  <c r="C123" i="43"/>
  <c r="C124" i="43"/>
  <c r="C125" i="43"/>
  <c r="C126" i="43"/>
  <c r="C127" i="43"/>
  <c r="C128" i="43"/>
  <c r="C129" i="43"/>
  <c r="C130" i="43"/>
  <c r="C131" i="43"/>
  <c r="C132" i="43"/>
  <c r="C133" i="43"/>
  <c r="C134" i="43"/>
  <c r="C135" i="43"/>
  <c r="C136" i="43"/>
  <c r="C137" i="43"/>
  <c r="C138" i="43"/>
  <c r="C139" i="43"/>
  <c r="C140" i="43"/>
  <c r="C141" i="43"/>
  <c r="C142" i="43"/>
  <c r="C143" i="43"/>
  <c r="C144" i="43"/>
  <c r="C145" i="43"/>
  <c r="C146" i="43"/>
  <c r="C147" i="43"/>
  <c r="C148" i="43"/>
  <c r="C149" i="43"/>
  <c r="C150" i="43"/>
  <c r="C151" i="43"/>
  <c r="C152" i="43"/>
  <c r="C153" i="43"/>
  <c r="C154" i="43"/>
  <c r="C155" i="43"/>
  <c r="C156" i="43"/>
  <c r="C157" i="43"/>
  <c r="C158" i="43"/>
  <c r="C159" i="43"/>
  <c r="C160" i="43"/>
  <c r="C161" i="43"/>
  <c r="C162" i="43"/>
  <c r="C163" i="43"/>
  <c r="C164" i="43"/>
  <c r="C165" i="43"/>
  <c r="C166" i="43"/>
  <c r="C167" i="43"/>
  <c r="C168" i="43"/>
  <c r="C169" i="43"/>
  <c r="C170" i="43"/>
  <c r="C171" i="43"/>
  <c r="C172" i="43"/>
  <c r="C173" i="43"/>
  <c r="C174" i="43"/>
  <c r="C175" i="43"/>
  <c r="C176" i="43"/>
  <c r="C177" i="43"/>
  <c r="C178" i="43"/>
  <c r="C179" i="43"/>
  <c r="C180" i="43"/>
  <c r="C181" i="43"/>
  <c r="C182" i="43"/>
  <c r="C183" i="43"/>
  <c r="C184" i="43"/>
  <c r="C185" i="43"/>
  <c r="C186" i="43"/>
  <c r="C187" i="43"/>
  <c r="C188" i="43"/>
  <c r="C189" i="43"/>
  <c r="C190" i="43"/>
  <c r="C191" i="43"/>
  <c r="C192" i="43"/>
  <c r="C193" i="43"/>
  <c r="C194" i="43"/>
  <c r="C195" i="43"/>
  <c r="C196" i="43"/>
  <c r="C197" i="43"/>
  <c r="C198" i="43"/>
  <c r="C199" i="43"/>
  <c r="C200" i="43"/>
  <c r="C201" i="43"/>
  <c r="C202" i="43"/>
  <c r="C203" i="43"/>
  <c r="C204" i="43"/>
  <c r="C205" i="43"/>
  <c r="C206" i="43"/>
  <c r="C207" i="43"/>
  <c r="C208" i="43"/>
  <c r="C209" i="43"/>
  <c r="C210" i="43"/>
  <c r="C211" i="43"/>
  <c r="C212" i="43"/>
  <c r="C213" i="43"/>
  <c r="C214" i="43"/>
  <c r="C215" i="43"/>
  <c r="C216" i="43"/>
  <c r="C217" i="43"/>
  <c r="C218" i="43"/>
  <c r="C219" i="43"/>
  <c r="C220" i="43"/>
  <c r="C221" i="43"/>
  <c r="C222" i="43"/>
  <c r="C223" i="43"/>
  <c r="C224" i="43"/>
  <c r="C225" i="43"/>
  <c r="C226" i="43"/>
  <c r="C227" i="43"/>
  <c r="C228" i="43"/>
  <c r="C229" i="43"/>
  <c r="C230" i="43"/>
  <c r="C231" i="43"/>
  <c r="C232" i="43"/>
  <c r="C233" i="43"/>
  <c r="C234" i="43"/>
  <c r="C235" i="43"/>
  <c r="C236" i="43"/>
  <c r="C237" i="43"/>
  <c r="C238" i="43"/>
  <c r="C239" i="43"/>
  <c r="C240" i="43"/>
  <c r="C241" i="43"/>
  <c r="C242" i="43"/>
  <c r="C243" i="43"/>
  <c r="C244" i="43"/>
  <c r="C245" i="43"/>
  <c r="C246" i="43"/>
  <c r="C247" i="43"/>
  <c r="C248" i="43"/>
  <c r="C249" i="43"/>
  <c r="C250" i="43"/>
  <c r="C251" i="43"/>
  <c r="C252" i="43"/>
  <c r="C253" i="43"/>
  <c r="C254" i="43"/>
  <c r="C255" i="43"/>
  <c r="C256" i="43"/>
  <c r="C257" i="43"/>
  <c r="C258" i="43"/>
  <c r="C259" i="43"/>
  <c r="C260" i="43"/>
  <c r="C261" i="43"/>
  <c r="C262" i="43"/>
  <c r="C263" i="43"/>
  <c r="C264" i="43"/>
  <c r="C265" i="43"/>
  <c r="C266" i="43"/>
  <c r="C267" i="43"/>
  <c r="C268" i="43"/>
  <c r="C269" i="43"/>
  <c r="C270" i="43"/>
  <c r="C271" i="43"/>
  <c r="C272" i="43"/>
  <c r="C273" i="43"/>
  <c r="C274" i="43"/>
  <c r="C275" i="43"/>
  <c r="C276" i="43"/>
  <c r="C277" i="43"/>
  <c r="C278" i="43"/>
  <c r="C279" i="43"/>
  <c r="C280" i="43"/>
  <c r="C281" i="43"/>
  <c r="C282" i="43"/>
  <c r="C283" i="43"/>
  <c r="C284" i="43"/>
  <c r="C285" i="43"/>
  <c r="C286" i="43"/>
  <c r="C287" i="43"/>
  <c r="C288" i="43"/>
  <c r="C289" i="43"/>
  <c r="C290" i="43"/>
  <c r="C291" i="43"/>
  <c r="C292" i="43"/>
  <c r="C293" i="43"/>
  <c r="C294" i="43"/>
  <c r="C295" i="43"/>
  <c r="C296" i="43"/>
  <c r="C297" i="43"/>
  <c r="C298" i="43"/>
  <c r="C299" i="43"/>
  <c r="C300" i="43"/>
  <c r="C363" i="43"/>
  <c r="C364" i="43"/>
  <c r="C365" i="43"/>
  <c r="C366" i="43"/>
  <c r="C367" i="43"/>
  <c r="C368" i="43"/>
  <c r="C369" i="43"/>
  <c r="C370" i="43"/>
  <c r="C371" i="43"/>
  <c r="C372" i="43"/>
  <c r="C373" i="43"/>
  <c r="C374" i="43"/>
  <c r="C375" i="43"/>
  <c r="C376" i="43"/>
  <c r="C377" i="43"/>
  <c r="C378" i="43"/>
  <c r="C379" i="43"/>
  <c r="C380" i="43"/>
  <c r="C381" i="43"/>
  <c r="C382" i="43"/>
  <c r="C383" i="43"/>
  <c r="C384" i="43"/>
  <c r="C385" i="43"/>
  <c r="C386" i="43"/>
  <c r="C387" i="43"/>
  <c r="C388" i="43"/>
  <c r="C389" i="43"/>
  <c r="C390" i="43"/>
  <c r="C391" i="43"/>
  <c r="C392" i="43"/>
  <c r="C393" i="43"/>
  <c r="C394" i="43"/>
  <c r="C395" i="43"/>
  <c r="C396" i="43"/>
  <c r="C397" i="43"/>
  <c r="C398" i="43"/>
  <c r="C399" i="43"/>
  <c r="C400" i="43"/>
  <c r="C401" i="43"/>
  <c r="C402" i="43"/>
  <c r="C403" i="43"/>
  <c r="C404" i="43"/>
  <c r="C405" i="43"/>
  <c r="C406" i="43"/>
  <c r="C407" i="43"/>
  <c r="C408" i="43"/>
  <c r="C409" i="43"/>
  <c r="C410" i="43"/>
  <c r="C411" i="43"/>
  <c r="C412" i="43"/>
  <c r="C413" i="43"/>
  <c r="C414" i="43"/>
  <c r="C415" i="43"/>
  <c r="C416" i="43"/>
  <c r="C417" i="43"/>
  <c r="C418" i="43"/>
  <c r="C419" i="43"/>
  <c r="C420" i="43"/>
  <c r="C421" i="43"/>
  <c r="C422" i="43"/>
  <c r="C423" i="43"/>
  <c r="C424" i="43"/>
  <c r="C425" i="43"/>
  <c r="C426" i="43"/>
  <c r="C427" i="43"/>
  <c r="C428" i="43"/>
  <c r="C429" i="43"/>
  <c r="C430" i="43"/>
  <c r="C431" i="43"/>
  <c r="C432" i="43"/>
  <c r="C433" i="43"/>
  <c r="C434" i="43"/>
  <c r="C435" i="43"/>
  <c r="C436" i="43"/>
  <c r="C437" i="43"/>
  <c r="C438" i="43"/>
  <c r="C439" i="43"/>
  <c r="C440" i="43"/>
  <c r="C441" i="43"/>
  <c r="C442" i="43"/>
  <c r="C443" i="43"/>
  <c r="C444" i="43"/>
  <c r="C445" i="43"/>
  <c r="C446" i="43"/>
  <c r="C447" i="43"/>
  <c r="C448" i="43"/>
  <c r="C449" i="43"/>
  <c r="C450" i="43"/>
  <c r="C451" i="43"/>
  <c r="C452" i="43"/>
  <c r="C453" i="43"/>
  <c r="C454" i="43"/>
  <c r="C455" i="43"/>
  <c r="C456" i="43"/>
  <c r="C457" i="43"/>
  <c r="C458" i="43"/>
  <c r="C459" i="43"/>
  <c r="C460" i="43"/>
  <c r="C461" i="43"/>
  <c r="C462" i="43"/>
  <c r="C463" i="43"/>
  <c r="C464" i="43"/>
  <c r="C465" i="43"/>
  <c r="C466" i="43"/>
  <c r="C467" i="43"/>
  <c r="C468" i="43"/>
  <c r="C469" i="43"/>
  <c r="C470" i="43"/>
  <c r="C471" i="43"/>
  <c r="C472" i="43"/>
  <c r="C473" i="43"/>
  <c r="C474" i="43"/>
  <c r="C475" i="43"/>
  <c r="C476" i="43"/>
  <c r="C477" i="43"/>
  <c r="C478" i="43"/>
  <c r="C479" i="43"/>
  <c r="C480" i="43"/>
  <c r="C481" i="43"/>
  <c r="C482" i="43"/>
  <c r="C483" i="43"/>
  <c r="C484" i="43"/>
  <c r="C485" i="43"/>
  <c r="C486" i="43"/>
  <c r="C487" i="43"/>
  <c r="C488" i="43"/>
  <c r="C489" i="43"/>
  <c r="C490" i="43"/>
  <c r="C491" i="43"/>
  <c r="C492" i="43"/>
  <c r="C493" i="43"/>
  <c r="C494" i="43"/>
  <c r="C495" i="43"/>
  <c r="C496" i="43"/>
  <c r="C497" i="43"/>
  <c r="C498" i="43"/>
  <c r="C499" i="43"/>
  <c r="C500" i="43"/>
  <c r="C501" i="43"/>
  <c r="C502" i="43"/>
  <c r="C503" i="43"/>
  <c r="C504" i="43"/>
  <c r="C505" i="43"/>
  <c r="C506" i="43"/>
  <c r="C507" i="43"/>
  <c r="C508" i="43"/>
  <c r="C509" i="43"/>
  <c r="C510" i="43"/>
  <c r="C511" i="43"/>
  <c r="C512" i="43"/>
  <c r="C513" i="43"/>
  <c r="C514" i="43"/>
  <c r="C515" i="43"/>
  <c r="C516" i="43"/>
  <c r="C517" i="43"/>
  <c r="C518" i="43"/>
  <c r="C519" i="43"/>
  <c r="C520" i="43"/>
  <c r="C521" i="43"/>
  <c r="C522" i="43"/>
  <c r="C523" i="43"/>
  <c r="C524" i="43"/>
  <c r="C525" i="43"/>
  <c r="C526" i="43"/>
  <c r="C527" i="43"/>
  <c r="C528" i="43"/>
  <c r="C529" i="43"/>
  <c r="C530" i="43"/>
  <c r="C531" i="43"/>
  <c r="C532" i="43"/>
  <c r="C533" i="43"/>
  <c r="C534" i="43"/>
  <c r="C535" i="43"/>
  <c r="C536" i="43"/>
  <c r="C537" i="43"/>
  <c r="C538" i="43"/>
  <c r="C539" i="43"/>
  <c r="C540" i="43"/>
  <c r="C541" i="43"/>
  <c r="C542" i="43"/>
  <c r="C543" i="43"/>
  <c r="C544" i="43"/>
  <c r="C545" i="43"/>
  <c r="C546" i="43"/>
  <c r="C547" i="43"/>
  <c r="C548" i="43"/>
  <c r="C549" i="43"/>
  <c r="C550" i="43"/>
  <c r="C551" i="43"/>
  <c r="C552" i="43"/>
  <c r="C553" i="43"/>
  <c r="C554" i="43"/>
  <c r="C555" i="43"/>
  <c r="C556" i="43"/>
  <c r="C557" i="43"/>
  <c r="C558" i="43"/>
  <c r="C559" i="43"/>
  <c r="C560" i="43"/>
  <c r="C561" i="43"/>
  <c r="C562" i="43"/>
  <c r="C563" i="43"/>
  <c r="C564" i="43"/>
  <c r="C565" i="43"/>
  <c r="C566" i="43"/>
  <c r="C567" i="43"/>
  <c r="C568" i="43"/>
  <c r="C569" i="43"/>
  <c r="C570" i="43"/>
  <c r="C571" i="43"/>
  <c r="C572" i="43"/>
  <c r="C573" i="43"/>
  <c r="C574" i="43"/>
  <c r="C575" i="43"/>
  <c r="C576" i="43"/>
  <c r="C577" i="43"/>
  <c r="C578" i="43"/>
  <c r="C579" i="43"/>
  <c r="C580" i="43"/>
  <c r="C581" i="43"/>
  <c r="C582" i="43"/>
  <c r="C583" i="43"/>
  <c r="C584" i="43"/>
  <c r="C585" i="43"/>
  <c r="C586" i="43"/>
  <c r="C587" i="43"/>
  <c r="C588" i="43"/>
  <c r="C589" i="43"/>
  <c r="C590" i="43"/>
  <c r="C591" i="43"/>
  <c r="C592" i="43"/>
  <c r="C593" i="43"/>
  <c r="C594" i="43"/>
  <c r="C595" i="43"/>
  <c r="C596" i="43"/>
  <c r="C597" i="43"/>
  <c r="C598" i="43"/>
  <c r="C599" i="43"/>
  <c r="C600" i="43"/>
  <c r="C601" i="43"/>
  <c r="C602" i="43"/>
  <c r="C603" i="43"/>
  <c r="C604" i="43"/>
  <c r="C605" i="43"/>
  <c r="C606" i="43"/>
  <c r="C607" i="43"/>
  <c r="C608" i="43"/>
  <c r="C609" i="43"/>
  <c r="C610" i="43"/>
  <c r="C611" i="43"/>
  <c r="C612" i="43"/>
  <c r="C613" i="43"/>
  <c r="C614" i="43"/>
  <c r="C615" i="43"/>
  <c r="C616" i="43"/>
  <c r="C617" i="43"/>
  <c r="C618" i="43"/>
  <c r="C619" i="43"/>
  <c r="C620" i="43"/>
  <c r="C621" i="43"/>
  <c r="C622" i="43"/>
  <c r="C623" i="43"/>
  <c r="C624" i="43"/>
  <c r="C625" i="43"/>
  <c r="C626" i="43"/>
  <c r="C627" i="43"/>
  <c r="C628" i="43"/>
  <c r="C629" i="43"/>
  <c r="C630" i="43"/>
  <c r="C631" i="43"/>
  <c r="C632" i="43"/>
  <c r="C633" i="43"/>
  <c r="C634" i="43"/>
  <c r="C635" i="43"/>
  <c r="C636" i="43"/>
  <c r="C637" i="43"/>
  <c r="C638" i="43"/>
  <c r="C639" i="43"/>
  <c r="C640" i="43"/>
  <c r="C641" i="43"/>
  <c r="C642" i="43"/>
  <c r="C643" i="43"/>
  <c r="C644" i="43"/>
  <c r="C645" i="43"/>
  <c r="C646" i="43"/>
  <c r="C647" i="43"/>
  <c r="C648" i="43"/>
  <c r="C649" i="43"/>
  <c r="C650" i="43"/>
  <c r="C651" i="43"/>
  <c r="C652" i="43"/>
  <c r="C653" i="43"/>
  <c r="C654" i="43"/>
  <c r="C655" i="43"/>
  <c r="C656" i="43"/>
  <c r="C657" i="43"/>
  <c r="C658" i="43"/>
  <c r="C659" i="43"/>
  <c r="C660" i="43"/>
  <c r="C661" i="43"/>
  <c r="C662" i="43"/>
  <c r="C663" i="43"/>
  <c r="C664" i="43"/>
  <c r="C665" i="43"/>
  <c r="C666" i="43"/>
  <c r="C667" i="43"/>
  <c r="C668" i="43"/>
  <c r="C669" i="43"/>
  <c r="C670" i="43"/>
  <c r="C671" i="43"/>
  <c r="C672" i="43"/>
  <c r="C673" i="43"/>
  <c r="C674" i="43"/>
  <c r="C675" i="43"/>
  <c r="C676" i="43"/>
  <c r="C677" i="43"/>
  <c r="C678" i="43"/>
  <c r="C679" i="43"/>
  <c r="C680" i="43"/>
  <c r="C681" i="43"/>
  <c r="C682" i="43"/>
  <c r="C683" i="43"/>
  <c r="C684" i="43"/>
  <c r="C685" i="43"/>
  <c r="C686" i="43"/>
  <c r="C687" i="43"/>
  <c r="C688" i="43"/>
  <c r="C689" i="43"/>
  <c r="C690" i="43"/>
  <c r="C691" i="43"/>
  <c r="C692" i="43"/>
  <c r="C693" i="43"/>
  <c r="C694" i="43"/>
  <c r="C695" i="43"/>
  <c r="C696" i="43"/>
  <c r="C697" i="43"/>
  <c r="C698" i="43"/>
  <c r="C699" i="43"/>
  <c r="C700" i="43"/>
  <c r="C701" i="43"/>
  <c r="C702" i="43"/>
  <c r="C703" i="43"/>
  <c r="C704" i="43"/>
  <c r="C705" i="43"/>
  <c r="C706" i="43"/>
  <c r="C707" i="43"/>
  <c r="C708" i="43"/>
  <c r="C709" i="43"/>
  <c r="C710" i="43"/>
  <c r="C711" i="43"/>
  <c r="C712" i="43"/>
  <c r="C713" i="43"/>
  <c r="C714" i="43"/>
  <c r="C715" i="43"/>
  <c r="C716" i="43"/>
  <c r="C717" i="43"/>
  <c r="C718" i="43"/>
  <c r="C719" i="43"/>
  <c r="C720" i="43"/>
  <c r="C721" i="43"/>
  <c r="C722" i="43"/>
  <c r="C723" i="43"/>
  <c r="C724" i="43"/>
  <c r="C725" i="43"/>
  <c r="C726" i="43"/>
  <c r="C727" i="43"/>
  <c r="C728" i="43"/>
  <c r="C729" i="43"/>
  <c r="C730" i="43"/>
  <c r="C731" i="43"/>
  <c r="C732" i="43"/>
  <c r="C733" i="43"/>
  <c r="C734" i="43"/>
  <c r="C735" i="43"/>
  <c r="C736" i="43"/>
  <c r="C737" i="43"/>
  <c r="C738" i="43"/>
  <c r="C739" i="43"/>
  <c r="C740" i="43"/>
  <c r="C741" i="43"/>
  <c r="C742" i="43"/>
  <c r="C743" i="43"/>
  <c r="C744" i="43"/>
  <c r="C745" i="43"/>
  <c r="C746" i="43"/>
  <c r="C747" i="43"/>
  <c r="C748" i="43"/>
  <c r="C749" i="43"/>
  <c r="C750" i="43"/>
  <c r="C751" i="43"/>
  <c r="C752" i="43"/>
  <c r="C753" i="43"/>
  <c r="C754" i="43"/>
  <c r="C755" i="43"/>
  <c r="C756" i="43"/>
  <c r="C757" i="43"/>
  <c r="C758" i="43"/>
  <c r="C759" i="43"/>
  <c r="C760" i="43"/>
  <c r="C761" i="43"/>
  <c r="C762" i="43"/>
  <c r="C763" i="43"/>
  <c r="C764" i="43"/>
  <c r="C765" i="43"/>
  <c r="C766" i="43"/>
  <c r="C767" i="43"/>
  <c r="C768" i="43"/>
  <c r="C769" i="43"/>
  <c r="C770" i="43"/>
  <c r="C771" i="43"/>
  <c r="C772" i="43"/>
  <c r="C773" i="43"/>
  <c r="C774" i="43"/>
  <c r="C775" i="43"/>
  <c r="C776" i="43"/>
  <c r="C777" i="43"/>
  <c r="C778" i="43"/>
  <c r="C779" i="43"/>
  <c r="C780" i="43"/>
  <c r="C781" i="43"/>
  <c r="C782" i="43"/>
  <c r="C783" i="43"/>
  <c r="C784" i="43"/>
  <c r="C785" i="43"/>
  <c r="C786" i="43"/>
  <c r="C787" i="43"/>
  <c r="C788" i="43"/>
  <c r="C789" i="43"/>
  <c r="C790" i="43"/>
  <c r="C791" i="43"/>
  <c r="C792" i="43"/>
  <c r="C793" i="43"/>
  <c r="C794" i="43"/>
  <c r="C795" i="43"/>
  <c r="C796" i="43"/>
  <c r="C797" i="43"/>
  <c r="C798" i="43"/>
  <c r="C799" i="43"/>
  <c r="C800" i="43"/>
  <c r="C801" i="43"/>
  <c r="C802" i="43"/>
  <c r="C803" i="43"/>
  <c r="C804" i="43"/>
  <c r="C805" i="43"/>
  <c r="C806" i="43"/>
  <c r="C807" i="43"/>
  <c r="C808" i="43"/>
  <c r="C809" i="43"/>
  <c r="C810" i="43"/>
  <c r="C811" i="43"/>
  <c r="C812" i="43"/>
  <c r="C813" i="43"/>
  <c r="C814" i="43"/>
  <c r="C815" i="43"/>
  <c r="C816" i="43"/>
  <c r="C817" i="43"/>
  <c r="C818" i="43"/>
  <c r="C819" i="43"/>
  <c r="C820" i="43"/>
  <c r="C821" i="43"/>
  <c r="C822" i="43"/>
  <c r="C823" i="43"/>
  <c r="C824" i="43"/>
  <c r="C825" i="43"/>
  <c r="C826" i="43"/>
  <c r="C827" i="43"/>
  <c r="C828" i="43"/>
  <c r="C829" i="43"/>
  <c r="C830" i="43"/>
  <c r="C831" i="43"/>
  <c r="C832" i="43"/>
  <c r="C833" i="43"/>
  <c r="C834" i="43"/>
  <c r="C835" i="43"/>
  <c r="C836" i="43"/>
  <c r="C837" i="43"/>
  <c r="C838" i="43"/>
  <c r="C839" i="43"/>
  <c r="C840" i="43"/>
  <c r="C841" i="43"/>
  <c r="C842" i="43"/>
  <c r="C843" i="43"/>
  <c r="C844" i="43"/>
  <c r="C845" i="43"/>
  <c r="C846" i="43"/>
  <c r="C847" i="43"/>
  <c r="C848" i="43"/>
  <c r="C849" i="43"/>
  <c r="C850" i="43"/>
  <c r="C851" i="43"/>
  <c r="C852" i="43"/>
  <c r="C853" i="43"/>
  <c r="C854" i="43"/>
  <c r="C855" i="43"/>
  <c r="C856" i="43"/>
  <c r="C857" i="43"/>
  <c r="C858" i="43"/>
  <c r="C859" i="43"/>
  <c r="C860" i="43"/>
  <c r="C861" i="43"/>
  <c r="C862" i="43"/>
  <c r="C863" i="43"/>
  <c r="C864" i="43"/>
  <c r="C865" i="43"/>
  <c r="C866" i="43"/>
  <c r="C867" i="43"/>
  <c r="C868" i="43"/>
  <c r="C869" i="43"/>
  <c r="C870" i="43"/>
  <c r="C871" i="43"/>
  <c r="C872" i="43"/>
  <c r="C873" i="43"/>
  <c r="C874" i="43"/>
  <c r="C875" i="43"/>
  <c r="C876" i="43"/>
  <c r="C877" i="43"/>
  <c r="C878" i="43"/>
  <c r="C879" i="43"/>
  <c r="C880" i="43"/>
  <c r="C881" i="43"/>
  <c r="C882" i="43"/>
  <c r="C883" i="43"/>
  <c r="C884" i="43"/>
  <c r="C885" i="43"/>
  <c r="C886" i="43"/>
  <c r="C887" i="43"/>
  <c r="C888" i="43"/>
  <c r="C889" i="43"/>
  <c r="C890" i="43"/>
  <c r="C891" i="43"/>
  <c r="C892" i="43"/>
  <c r="C893" i="43"/>
  <c r="C894" i="43"/>
  <c r="C895" i="43"/>
  <c r="C896" i="43"/>
  <c r="C897" i="43"/>
  <c r="C898" i="43"/>
  <c r="C899" i="43"/>
  <c r="C900" i="43"/>
  <c r="C901" i="43"/>
  <c r="C902" i="43"/>
  <c r="C903" i="43"/>
  <c r="C904" i="43"/>
  <c r="C905" i="43"/>
  <c r="C906" i="43"/>
  <c r="C907" i="43"/>
  <c r="C908" i="43"/>
  <c r="C909" i="43"/>
  <c r="C910" i="43"/>
  <c r="C911" i="43"/>
  <c r="C912" i="43"/>
  <c r="C913" i="43"/>
  <c r="C914" i="43"/>
  <c r="C915" i="43"/>
  <c r="C916" i="43"/>
  <c r="C917" i="43"/>
  <c r="C918" i="43"/>
  <c r="C919" i="43"/>
  <c r="C920" i="43"/>
  <c r="C921" i="43"/>
  <c r="C922" i="43"/>
  <c r="C923" i="43"/>
  <c r="C924" i="43"/>
  <c r="C925" i="43"/>
  <c r="C926" i="43"/>
  <c r="C927" i="43"/>
  <c r="C928" i="43"/>
  <c r="C929" i="43"/>
  <c r="C930" i="43"/>
  <c r="C931" i="43"/>
  <c r="C932" i="43"/>
  <c r="C933" i="43"/>
  <c r="C934" i="43"/>
  <c r="C935" i="43"/>
  <c r="C936" i="43"/>
  <c r="C937" i="43"/>
  <c r="C938" i="43"/>
  <c r="C939" i="43"/>
  <c r="C940" i="43"/>
  <c r="C941" i="43"/>
  <c r="C942" i="43"/>
  <c r="C943" i="43"/>
  <c r="C944" i="43"/>
  <c r="C945" i="43"/>
  <c r="C946" i="43"/>
  <c r="C947" i="43"/>
  <c r="C948" i="43"/>
  <c r="C949" i="43"/>
  <c r="C950" i="43"/>
  <c r="C951" i="43"/>
  <c r="C952" i="43"/>
  <c r="C953" i="43"/>
  <c r="C954" i="43"/>
  <c r="C955" i="43"/>
  <c r="C956" i="43"/>
  <c r="C957" i="43"/>
  <c r="C958" i="43"/>
  <c r="C959" i="43"/>
  <c r="C960" i="43"/>
  <c r="C961" i="43"/>
  <c r="C962" i="43"/>
  <c r="C963" i="43"/>
  <c r="C964" i="43"/>
  <c r="C965" i="43"/>
  <c r="C966" i="43"/>
  <c r="C967" i="43"/>
  <c r="C968" i="43"/>
  <c r="C969" i="43"/>
  <c r="C970" i="43"/>
  <c r="C971" i="43"/>
  <c r="C972" i="43"/>
  <c r="C973" i="43"/>
  <c r="C974" i="43"/>
  <c r="C975" i="43"/>
  <c r="C976" i="43"/>
  <c r="C977" i="43"/>
  <c r="C978" i="43"/>
  <c r="C979" i="43"/>
  <c r="C980" i="43"/>
  <c r="C981" i="43"/>
  <c r="C982" i="43"/>
  <c r="C983" i="43"/>
  <c r="C984" i="43"/>
  <c r="C985" i="43"/>
  <c r="C986" i="43"/>
  <c r="C987" i="43"/>
  <c r="C988" i="43"/>
  <c r="C989" i="43"/>
  <c r="C990" i="43"/>
  <c r="C991" i="43"/>
  <c r="C992" i="43"/>
  <c r="C993" i="43"/>
  <c r="C994" i="43"/>
  <c r="C995" i="43"/>
  <c r="C996" i="43"/>
  <c r="C997" i="43"/>
  <c r="C998" i="43"/>
  <c r="C999" i="43"/>
  <c r="C1000" i="43"/>
  <c r="C1001" i="43"/>
  <c r="C1002" i="43"/>
  <c r="C1003" i="43"/>
  <c r="B10" i="43"/>
  <c r="B11" i="43"/>
  <c r="B12" i="43"/>
  <c r="B13" i="43"/>
  <c r="B14" i="43"/>
  <c r="B15" i="43"/>
  <c r="B16" i="43"/>
  <c r="B17" i="43"/>
  <c r="B18" i="43"/>
  <c r="B19" i="43"/>
  <c r="B20" i="43"/>
  <c r="B21" i="43"/>
  <c r="B22" i="43"/>
  <c r="B23" i="43"/>
  <c r="B24" i="43"/>
  <c r="B25" i="43"/>
  <c r="B26" i="43"/>
  <c r="B27" i="43"/>
  <c r="B28" i="43"/>
  <c r="B29" i="43"/>
  <c r="B30" i="43"/>
  <c r="B31" i="43"/>
  <c r="B32" i="43"/>
  <c r="B33" i="43"/>
  <c r="B34" i="43"/>
  <c r="B35" i="43"/>
  <c r="B36" i="43"/>
  <c r="B37" i="43"/>
  <c r="B38" i="43"/>
  <c r="B39" i="43"/>
  <c r="B40" i="43"/>
  <c r="B41" i="43"/>
  <c r="B42" i="43"/>
  <c r="B43" i="43"/>
  <c r="B44" i="43"/>
  <c r="B45" i="43"/>
  <c r="B46" i="43"/>
  <c r="B47" i="43"/>
  <c r="B48" i="43"/>
  <c r="B49" i="43"/>
  <c r="B50" i="43"/>
  <c r="B51" i="43"/>
  <c r="B52" i="43"/>
  <c r="B53" i="43"/>
  <c r="B54" i="43"/>
  <c r="B55" i="43"/>
  <c r="B56" i="43"/>
  <c r="B57" i="43"/>
  <c r="B58" i="43"/>
  <c r="B59" i="43"/>
  <c r="B60" i="43"/>
  <c r="B61" i="43"/>
  <c r="B62" i="43"/>
  <c r="B63" i="43"/>
  <c r="B64" i="43"/>
  <c r="B65" i="43"/>
  <c r="B66" i="43"/>
  <c r="B67" i="43"/>
  <c r="B68" i="43"/>
  <c r="B69" i="43"/>
  <c r="B70" i="43"/>
  <c r="B71" i="43"/>
  <c r="B72" i="43"/>
  <c r="B73" i="43"/>
  <c r="B74" i="43"/>
  <c r="B75" i="43"/>
  <c r="B76" i="43"/>
  <c r="B77" i="43"/>
  <c r="B78" i="43"/>
  <c r="B79" i="43"/>
  <c r="B80" i="43"/>
  <c r="B81" i="43"/>
  <c r="B82" i="43"/>
  <c r="B83" i="43"/>
  <c r="B84" i="43"/>
  <c r="B85" i="43"/>
  <c r="B86" i="43"/>
  <c r="B87" i="43"/>
  <c r="B88" i="43"/>
  <c r="B89" i="43"/>
  <c r="B90" i="43"/>
  <c r="B91" i="43"/>
  <c r="B92" i="43"/>
  <c r="B93" i="43"/>
  <c r="B94" i="43"/>
  <c r="B95" i="43"/>
  <c r="B96" i="43"/>
  <c r="B97" i="43"/>
  <c r="B98" i="43"/>
  <c r="B99" i="43"/>
  <c r="B100" i="43"/>
  <c r="B101" i="43"/>
  <c r="B102" i="43"/>
  <c r="B103" i="43"/>
  <c r="B104" i="43"/>
  <c r="B105" i="43"/>
  <c r="B106" i="43"/>
  <c r="B107" i="43"/>
  <c r="B108" i="43"/>
  <c r="B109" i="43"/>
  <c r="B110" i="43"/>
  <c r="B111" i="43"/>
  <c r="B112" i="43"/>
  <c r="B113" i="43"/>
  <c r="B114" i="43"/>
  <c r="B115" i="43"/>
  <c r="B116" i="43"/>
  <c r="B117" i="43"/>
  <c r="B118" i="43"/>
  <c r="B119" i="43"/>
  <c r="B120" i="43"/>
  <c r="B121" i="43"/>
  <c r="B122" i="43"/>
  <c r="B123" i="43"/>
  <c r="B124" i="43"/>
  <c r="B125" i="43"/>
  <c r="B126" i="43"/>
  <c r="B127" i="43"/>
  <c r="B128" i="43"/>
  <c r="B129" i="43"/>
  <c r="B130" i="43"/>
  <c r="B131" i="43"/>
  <c r="B132" i="43"/>
  <c r="B133" i="43"/>
  <c r="B134" i="43"/>
  <c r="B135" i="43"/>
  <c r="B136" i="43"/>
  <c r="B137" i="43"/>
  <c r="B138" i="43"/>
  <c r="B139" i="43"/>
  <c r="B140" i="43"/>
  <c r="B141" i="43"/>
  <c r="B142" i="43"/>
  <c r="B143" i="43"/>
  <c r="B144" i="43"/>
  <c r="B145" i="43"/>
  <c r="B146" i="43"/>
  <c r="B147" i="43"/>
  <c r="B148" i="43"/>
  <c r="B149" i="43"/>
  <c r="B150" i="43"/>
  <c r="B151" i="43"/>
  <c r="B152" i="43"/>
  <c r="B153" i="43"/>
  <c r="B154" i="43"/>
  <c r="B155" i="43"/>
  <c r="B156" i="43"/>
  <c r="B157" i="43"/>
  <c r="B158" i="43"/>
  <c r="B159" i="43"/>
  <c r="B160" i="43"/>
  <c r="B161" i="43"/>
  <c r="B162" i="43"/>
  <c r="B163" i="43"/>
  <c r="B164" i="43"/>
  <c r="B165" i="43"/>
  <c r="B166" i="43"/>
  <c r="B167" i="43"/>
  <c r="B168" i="43"/>
  <c r="B169" i="43"/>
  <c r="B170" i="43"/>
  <c r="B171" i="43"/>
  <c r="B172" i="43"/>
  <c r="B173" i="43"/>
  <c r="B174" i="43"/>
  <c r="B175" i="43"/>
  <c r="B176" i="43"/>
  <c r="B177" i="43"/>
  <c r="B178" i="43"/>
  <c r="B179" i="43"/>
  <c r="B180" i="43"/>
  <c r="B181" i="43"/>
  <c r="B182" i="43"/>
  <c r="B183" i="43"/>
  <c r="B184" i="43"/>
  <c r="B185" i="43"/>
  <c r="B186" i="43"/>
  <c r="B187" i="43"/>
  <c r="B188" i="43"/>
  <c r="B189" i="43"/>
  <c r="B190" i="43"/>
  <c r="B191" i="43"/>
  <c r="B192" i="43"/>
  <c r="B193" i="43"/>
  <c r="B194" i="43"/>
  <c r="B195" i="43"/>
  <c r="B196" i="43"/>
  <c r="B197" i="43"/>
  <c r="B198" i="43"/>
  <c r="B199" i="43"/>
  <c r="B200" i="43"/>
  <c r="B201" i="43"/>
  <c r="B202" i="43"/>
  <c r="B203" i="43"/>
  <c r="B204" i="43"/>
  <c r="B205" i="43"/>
  <c r="B206" i="43"/>
  <c r="B207" i="43"/>
  <c r="B208" i="43"/>
  <c r="B209" i="43"/>
  <c r="B210" i="43"/>
  <c r="B211" i="43"/>
  <c r="B212" i="43"/>
  <c r="B213" i="43"/>
  <c r="B214" i="43"/>
  <c r="B215" i="43"/>
  <c r="B216" i="43"/>
  <c r="B217" i="43"/>
  <c r="B218" i="43"/>
  <c r="B219" i="43"/>
  <c r="B220" i="43"/>
  <c r="B221" i="43"/>
  <c r="B222" i="43"/>
  <c r="B223" i="43"/>
  <c r="B224" i="43"/>
  <c r="B225" i="43"/>
  <c r="B226" i="43"/>
  <c r="B227" i="43"/>
  <c r="B228" i="43"/>
  <c r="B229" i="43"/>
  <c r="B230" i="43"/>
  <c r="B231" i="43"/>
  <c r="B232" i="43"/>
  <c r="B233" i="43"/>
  <c r="B234" i="43"/>
  <c r="B235" i="43"/>
  <c r="B236" i="43"/>
  <c r="B237" i="43"/>
  <c r="B238" i="43"/>
  <c r="B239" i="43"/>
  <c r="B240" i="43"/>
  <c r="B241" i="43"/>
  <c r="B242" i="43"/>
  <c r="B243" i="43"/>
  <c r="B244" i="43"/>
  <c r="B245" i="43"/>
  <c r="B246" i="43"/>
  <c r="B247" i="43"/>
  <c r="B248" i="43"/>
  <c r="B249" i="43"/>
  <c r="B250" i="43"/>
  <c r="B251" i="43"/>
  <c r="B252" i="43"/>
  <c r="B253" i="43"/>
  <c r="B254" i="43"/>
  <c r="B255" i="43"/>
  <c r="B256" i="43"/>
  <c r="B257" i="43"/>
  <c r="B258" i="43"/>
  <c r="B259" i="43"/>
  <c r="B260" i="43"/>
  <c r="B261" i="43"/>
  <c r="B262" i="43"/>
  <c r="B263" i="43"/>
  <c r="B264" i="43"/>
  <c r="B265" i="43"/>
  <c r="B266" i="43"/>
  <c r="B267" i="43"/>
  <c r="B268" i="43"/>
  <c r="B269" i="43"/>
  <c r="B270" i="43"/>
  <c r="B271" i="43"/>
  <c r="B272" i="43"/>
  <c r="B273" i="43"/>
  <c r="B274" i="43"/>
  <c r="B275" i="43"/>
  <c r="B276" i="43"/>
  <c r="B277" i="43"/>
  <c r="B278" i="43"/>
  <c r="B279" i="43"/>
  <c r="B280" i="43"/>
  <c r="B281" i="43"/>
  <c r="B282" i="43"/>
  <c r="B283" i="43"/>
  <c r="B284" i="43"/>
  <c r="B285" i="43"/>
  <c r="B286" i="43"/>
  <c r="B287" i="43"/>
  <c r="B288" i="43"/>
  <c r="B289" i="43"/>
  <c r="B290" i="43"/>
  <c r="B291" i="43"/>
  <c r="B292" i="43"/>
  <c r="B293" i="43"/>
  <c r="B294" i="43"/>
  <c r="B295" i="43"/>
  <c r="B296" i="43"/>
  <c r="B297" i="43"/>
  <c r="B298" i="43"/>
  <c r="B299" i="43"/>
  <c r="B300" i="43"/>
  <c r="B363" i="43"/>
  <c r="B364" i="43"/>
  <c r="B365" i="43"/>
  <c r="B366" i="43"/>
  <c r="B367" i="43"/>
  <c r="B368" i="43"/>
  <c r="B369" i="43"/>
  <c r="B370" i="43"/>
  <c r="B371" i="43"/>
  <c r="B372" i="43"/>
  <c r="B373" i="43"/>
  <c r="B374" i="43"/>
  <c r="B375" i="43"/>
  <c r="B376" i="43"/>
  <c r="B377" i="43"/>
  <c r="B378" i="43"/>
  <c r="B379" i="43"/>
  <c r="B380" i="43"/>
  <c r="B381" i="43"/>
  <c r="B382" i="43"/>
  <c r="B383" i="43"/>
  <c r="B384" i="43"/>
  <c r="B385" i="43"/>
  <c r="B386" i="43"/>
  <c r="B387" i="43"/>
  <c r="B388" i="43"/>
  <c r="B389" i="43"/>
  <c r="B390" i="43"/>
  <c r="B391" i="43"/>
  <c r="B392" i="43"/>
  <c r="B393" i="43"/>
  <c r="B394" i="43"/>
  <c r="B395" i="43"/>
  <c r="B396" i="43"/>
  <c r="B397" i="43"/>
  <c r="B398" i="43"/>
  <c r="B399" i="43"/>
  <c r="B400" i="43"/>
  <c r="B401" i="43"/>
  <c r="B402" i="43"/>
  <c r="B403" i="43"/>
  <c r="B404" i="43"/>
  <c r="B405" i="43"/>
  <c r="B406" i="43"/>
  <c r="B407" i="43"/>
  <c r="B408" i="43"/>
  <c r="B409" i="43"/>
  <c r="B410" i="43"/>
  <c r="B411" i="43"/>
  <c r="B412" i="43"/>
  <c r="B413" i="43"/>
  <c r="B414" i="43"/>
  <c r="B415" i="43"/>
  <c r="B416" i="43"/>
  <c r="B417" i="43"/>
  <c r="B418" i="43"/>
  <c r="B419" i="43"/>
  <c r="B420" i="43"/>
  <c r="B421" i="43"/>
  <c r="B422" i="43"/>
  <c r="B423" i="43"/>
  <c r="B424" i="43"/>
  <c r="B425" i="43"/>
  <c r="B426" i="43"/>
  <c r="B427" i="43"/>
  <c r="B428" i="43"/>
  <c r="B429" i="43"/>
  <c r="B430" i="43"/>
  <c r="B431" i="43"/>
  <c r="B432" i="43"/>
  <c r="B433" i="43"/>
  <c r="B434" i="43"/>
  <c r="B435" i="43"/>
  <c r="B436" i="43"/>
  <c r="B437" i="43"/>
  <c r="B438" i="43"/>
  <c r="B439" i="43"/>
  <c r="B440" i="43"/>
  <c r="B441" i="43"/>
  <c r="B442" i="43"/>
  <c r="B443" i="43"/>
  <c r="B444" i="43"/>
  <c r="B445" i="43"/>
  <c r="B446" i="43"/>
  <c r="B447" i="43"/>
  <c r="B448" i="43"/>
  <c r="B449" i="43"/>
  <c r="B450" i="43"/>
  <c r="B451" i="43"/>
  <c r="B452" i="43"/>
  <c r="B453" i="43"/>
  <c r="B454" i="43"/>
  <c r="B455" i="43"/>
  <c r="B456" i="43"/>
  <c r="B457" i="43"/>
  <c r="B458" i="43"/>
  <c r="B459" i="43"/>
  <c r="B460" i="43"/>
  <c r="B461" i="43"/>
  <c r="B462" i="43"/>
  <c r="B463" i="43"/>
  <c r="B464" i="43"/>
  <c r="B465" i="43"/>
  <c r="B466" i="43"/>
  <c r="B467" i="43"/>
  <c r="B468" i="43"/>
  <c r="B469" i="43"/>
  <c r="B470" i="43"/>
  <c r="B471" i="43"/>
  <c r="B472" i="43"/>
  <c r="B473" i="43"/>
  <c r="B474" i="43"/>
  <c r="B475" i="43"/>
  <c r="B476" i="43"/>
  <c r="B477" i="43"/>
  <c r="B478" i="43"/>
  <c r="B479" i="43"/>
  <c r="B480" i="43"/>
  <c r="B481" i="43"/>
  <c r="B482" i="43"/>
  <c r="B483" i="43"/>
  <c r="B484" i="43"/>
  <c r="B485" i="43"/>
  <c r="B486" i="43"/>
  <c r="B487" i="43"/>
  <c r="B488" i="43"/>
  <c r="B489" i="43"/>
  <c r="B490" i="43"/>
  <c r="B491" i="43"/>
  <c r="B492" i="43"/>
  <c r="B493" i="43"/>
  <c r="B494" i="43"/>
  <c r="B495" i="43"/>
  <c r="B496" i="43"/>
  <c r="B497" i="43"/>
  <c r="B498" i="43"/>
  <c r="B499" i="43"/>
  <c r="B500" i="43"/>
  <c r="B501" i="43"/>
  <c r="B502" i="43"/>
  <c r="B503" i="43"/>
  <c r="B504" i="43"/>
  <c r="B505" i="43"/>
  <c r="B506" i="43"/>
  <c r="B507" i="43"/>
  <c r="B508" i="43"/>
  <c r="B509" i="43"/>
  <c r="B510" i="43"/>
  <c r="B511" i="43"/>
  <c r="B512" i="43"/>
  <c r="B513" i="43"/>
  <c r="B514" i="43"/>
  <c r="B515" i="43"/>
  <c r="B516" i="43"/>
  <c r="B517" i="43"/>
  <c r="B518" i="43"/>
  <c r="B519" i="43"/>
  <c r="B520" i="43"/>
  <c r="B521" i="43"/>
  <c r="B522" i="43"/>
  <c r="B523" i="43"/>
  <c r="B524" i="43"/>
  <c r="B525" i="43"/>
  <c r="B526" i="43"/>
  <c r="B527" i="43"/>
  <c r="B528" i="43"/>
  <c r="B529" i="43"/>
  <c r="B530" i="43"/>
  <c r="B531" i="43"/>
  <c r="B532" i="43"/>
  <c r="B533" i="43"/>
  <c r="B534" i="43"/>
  <c r="B535" i="43"/>
  <c r="B536" i="43"/>
  <c r="B537" i="43"/>
  <c r="B538" i="43"/>
  <c r="B539" i="43"/>
  <c r="B540" i="43"/>
  <c r="B541" i="43"/>
  <c r="B542" i="43"/>
  <c r="B543" i="43"/>
  <c r="B544" i="43"/>
  <c r="B545" i="43"/>
  <c r="B546" i="43"/>
  <c r="B547" i="43"/>
  <c r="B548" i="43"/>
  <c r="B549" i="43"/>
  <c r="B550" i="43"/>
  <c r="B551" i="43"/>
  <c r="B552" i="43"/>
  <c r="B553" i="43"/>
  <c r="B554" i="43"/>
  <c r="B555" i="43"/>
  <c r="B556" i="43"/>
  <c r="B557" i="43"/>
  <c r="B558" i="43"/>
  <c r="B559" i="43"/>
  <c r="B560" i="43"/>
  <c r="B561" i="43"/>
  <c r="B562" i="43"/>
  <c r="B563" i="43"/>
  <c r="B564" i="43"/>
  <c r="B565" i="43"/>
  <c r="B566" i="43"/>
  <c r="B567" i="43"/>
  <c r="B568" i="43"/>
  <c r="B569" i="43"/>
  <c r="B570" i="43"/>
  <c r="B571" i="43"/>
  <c r="B572" i="43"/>
  <c r="B573" i="43"/>
  <c r="B574" i="43"/>
  <c r="B575" i="43"/>
  <c r="B576" i="43"/>
  <c r="B577" i="43"/>
  <c r="B578" i="43"/>
  <c r="B579" i="43"/>
  <c r="B580" i="43"/>
  <c r="B581" i="43"/>
  <c r="B582" i="43"/>
  <c r="B583" i="43"/>
  <c r="B584" i="43"/>
  <c r="B585" i="43"/>
  <c r="B586" i="43"/>
  <c r="B587" i="43"/>
  <c r="B588" i="43"/>
  <c r="B589" i="43"/>
  <c r="B590" i="43"/>
  <c r="B591" i="43"/>
  <c r="B592" i="43"/>
  <c r="B593" i="43"/>
  <c r="B594" i="43"/>
  <c r="B595" i="43"/>
  <c r="B596" i="43"/>
  <c r="B597" i="43"/>
  <c r="B598" i="43"/>
  <c r="B599" i="43"/>
  <c r="B600" i="43"/>
  <c r="B601" i="43"/>
  <c r="B602" i="43"/>
  <c r="B603" i="43"/>
  <c r="B604" i="43"/>
  <c r="B605" i="43"/>
  <c r="B606" i="43"/>
  <c r="B607" i="43"/>
  <c r="B608" i="43"/>
  <c r="B609" i="43"/>
  <c r="B610" i="43"/>
  <c r="B611" i="43"/>
  <c r="B612" i="43"/>
  <c r="B613" i="43"/>
  <c r="B614" i="43"/>
  <c r="B615" i="43"/>
  <c r="B616" i="43"/>
  <c r="B617" i="43"/>
  <c r="B618" i="43"/>
  <c r="B619" i="43"/>
  <c r="B620" i="43"/>
  <c r="B621" i="43"/>
  <c r="B622" i="43"/>
  <c r="B623" i="43"/>
  <c r="B624" i="43"/>
  <c r="B625" i="43"/>
  <c r="B626" i="43"/>
  <c r="B627" i="43"/>
  <c r="B628" i="43"/>
  <c r="B629" i="43"/>
  <c r="B630" i="43"/>
  <c r="B631" i="43"/>
  <c r="B632" i="43"/>
  <c r="B633" i="43"/>
  <c r="B634" i="43"/>
  <c r="B635" i="43"/>
  <c r="B636" i="43"/>
  <c r="B637" i="43"/>
  <c r="B638" i="43"/>
  <c r="B639" i="43"/>
  <c r="B640" i="43"/>
  <c r="B641" i="43"/>
  <c r="B642" i="43"/>
  <c r="B643" i="43"/>
  <c r="B644" i="43"/>
  <c r="B645" i="43"/>
  <c r="B646" i="43"/>
  <c r="B647" i="43"/>
  <c r="B648" i="43"/>
  <c r="B649" i="43"/>
  <c r="B650" i="43"/>
  <c r="B651" i="43"/>
  <c r="B652" i="43"/>
  <c r="B653" i="43"/>
  <c r="B654" i="43"/>
  <c r="B655" i="43"/>
  <c r="B656" i="43"/>
  <c r="B657" i="43"/>
  <c r="B658" i="43"/>
  <c r="B659" i="43"/>
  <c r="B660" i="43"/>
  <c r="B661" i="43"/>
  <c r="B662" i="43"/>
  <c r="B663" i="43"/>
  <c r="B664" i="43"/>
  <c r="B665" i="43"/>
  <c r="B666" i="43"/>
  <c r="B667" i="43"/>
  <c r="B668" i="43"/>
  <c r="B669" i="43"/>
  <c r="B670" i="43"/>
  <c r="B671" i="43"/>
  <c r="B672" i="43"/>
  <c r="B673" i="43"/>
  <c r="B674" i="43"/>
  <c r="B675" i="43"/>
  <c r="B676" i="43"/>
  <c r="B677" i="43"/>
  <c r="B678" i="43"/>
  <c r="B679" i="43"/>
  <c r="B680" i="43"/>
  <c r="B681" i="43"/>
  <c r="B682" i="43"/>
  <c r="B683" i="43"/>
  <c r="B684" i="43"/>
  <c r="B685" i="43"/>
  <c r="B686" i="43"/>
  <c r="B687" i="43"/>
  <c r="B688" i="43"/>
  <c r="B689" i="43"/>
  <c r="B690" i="43"/>
  <c r="B691" i="43"/>
  <c r="B692" i="43"/>
  <c r="B693" i="43"/>
  <c r="B694" i="43"/>
  <c r="B695" i="43"/>
  <c r="B696" i="43"/>
  <c r="B697" i="43"/>
  <c r="B698" i="43"/>
  <c r="B699" i="43"/>
  <c r="B700" i="43"/>
  <c r="B701" i="43"/>
  <c r="B702" i="43"/>
  <c r="B703" i="43"/>
  <c r="B704" i="43"/>
  <c r="B705" i="43"/>
  <c r="B706" i="43"/>
  <c r="B707" i="43"/>
  <c r="B708" i="43"/>
  <c r="B709" i="43"/>
  <c r="B710" i="43"/>
  <c r="B711" i="43"/>
  <c r="B712" i="43"/>
  <c r="B713" i="43"/>
  <c r="B714" i="43"/>
  <c r="B715" i="43"/>
  <c r="B716" i="43"/>
  <c r="B717" i="43"/>
  <c r="B718" i="43"/>
  <c r="B719" i="43"/>
  <c r="B720" i="43"/>
  <c r="B721" i="43"/>
  <c r="B722" i="43"/>
  <c r="B723" i="43"/>
  <c r="B724" i="43"/>
  <c r="B725" i="43"/>
  <c r="B726" i="43"/>
  <c r="B727" i="43"/>
  <c r="B728" i="43"/>
  <c r="B729" i="43"/>
  <c r="B730" i="43"/>
  <c r="B731" i="43"/>
  <c r="B732" i="43"/>
  <c r="B733" i="43"/>
  <c r="B734" i="43"/>
  <c r="B735" i="43"/>
  <c r="B736" i="43"/>
  <c r="B737" i="43"/>
  <c r="B738" i="43"/>
  <c r="B739" i="43"/>
  <c r="B740" i="43"/>
  <c r="B741" i="43"/>
  <c r="B742" i="43"/>
  <c r="B743" i="43"/>
  <c r="B744" i="43"/>
  <c r="B745" i="43"/>
  <c r="B746" i="43"/>
  <c r="B747" i="43"/>
  <c r="B748" i="43"/>
  <c r="B749" i="43"/>
  <c r="B750" i="43"/>
  <c r="B751" i="43"/>
  <c r="B752" i="43"/>
  <c r="B753" i="43"/>
  <c r="B754" i="43"/>
  <c r="B755" i="43"/>
  <c r="B756" i="43"/>
  <c r="B757" i="43"/>
  <c r="B758" i="43"/>
  <c r="B759" i="43"/>
  <c r="B760" i="43"/>
  <c r="B761" i="43"/>
  <c r="B762" i="43"/>
  <c r="B763" i="43"/>
  <c r="B764" i="43"/>
  <c r="B765" i="43"/>
  <c r="B766" i="43"/>
  <c r="B767" i="43"/>
  <c r="B768" i="43"/>
  <c r="B769" i="43"/>
  <c r="B770" i="43"/>
  <c r="B771" i="43"/>
  <c r="B772" i="43"/>
  <c r="B773" i="43"/>
  <c r="B774" i="43"/>
  <c r="B775" i="43"/>
  <c r="B776" i="43"/>
  <c r="B777" i="43"/>
  <c r="B778" i="43"/>
  <c r="B779" i="43"/>
  <c r="B780" i="43"/>
  <c r="B781" i="43"/>
  <c r="B782" i="43"/>
  <c r="B783" i="43"/>
  <c r="B784" i="43"/>
  <c r="B785" i="43"/>
  <c r="B786" i="43"/>
  <c r="B787" i="43"/>
  <c r="B788" i="43"/>
  <c r="B789" i="43"/>
  <c r="B790" i="43"/>
  <c r="B791" i="43"/>
  <c r="B792" i="43"/>
  <c r="B793" i="43"/>
  <c r="B794" i="43"/>
  <c r="B795" i="43"/>
  <c r="B796" i="43"/>
  <c r="B797" i="43"/>
  <c r="B798" i="43"/>
  <c r="B799" i="43"/>
  <c r="B800" i="43"/>
  <c r="B801" i="43"/>
  <c r="B802" i="43"/>
  <c r="B803" i="43"/>
  <c r="B804" i="43"/>
  <c r="B805" i="43"/>
  <c r="B806" i="43"/>
  <c r="B807" i="43"/>
  <c r="B808" i="43"/>
  <c r="B809" i="43"/>
  <c r="B810" i="43"/>
  <c r="B811" i="43"/>
  <c r="B812" i="43"/>
  <c r="B813" i="43"/>
  <c r="B814" i="43"/>
  <c r="B815" i="43"/>
  <c r="B816" i="43"/>
  <c r="B817" i="43"/>
  <c r="B818" i="43"/>
  <c r="B819" i="43"/>
  <c r="B820" i="43"/>
  <c r="B821" i="43"/>
  <c r="B822" i="43"/>
  <c r="B823" i="43"/>
  <c r="B824" i="43"/>
  <c r="B825" i="43"/>
  <c r="B826" i="43"/>
  <c r="B827" i="43"/>
  <c r="B828" i="43"/>
  <c r="B829" i="43"/>
  <c r="B830" i="43"/>
  <c r="B831" i="43"/>
  <c r="B832" i="43"/>
  <c r="B833" i="43"/>
  <c r="B834" i="43"/>
  <c r="B835" i="43"/>
  <c r="B836" i="43"/>
  <c r="B837" i="43"/>
  <c r="B838" i="43"/>
  <c r="B839" i="43"/>
  <c r="B840" i="43"/>
  <c r="B841" i="43"/>
  <c r="B842" i="43"/>
  <c r="B843" i="43"/>
  <c r="B844" i="43"/>
  <c r="B845" i="43"/>
  <c r="B846" i="43"/>
  <c r="B847" i="43"/>
  <c r="B848" i="43"/>
  <c r="B849" i="43"/>
  <c r="B850" i="43"/>
  <c r="B851" i="43"/>
  <c r="B852" i="43"/>
  <c r="B853" i="43"/>
  <c r="B854" i="43"/>
  <c r="B855" i="43"/>
  <c r="B856" i="43"/>
  <c r="B857" i="43"/>
  <c r="B858" i="43"/>
  <c r="B859" i="43"/>
  <c r="B860" i="43"/>
  <c r="B861" i="43"/>
  <c r="B862" i="43"/>
  <c r="B863" i="43"/>
  <c r="B864" i="43"/>
  <c r="B865" i="43"/>
  <c r="B866" i="43"/>
  <c r="B867" i="43"/>
  <c r="B868" i="43"/>
  <c r="B869" i="43"/>
  <c r="B870" i="43"/>
  <c r="B871" i="43"/>
  <c r="B872" i="43"/>
  <c r="B873" i="43"/>
  <c r="B874" i="43"/>
  <c r="B875" i="43"/>
  <c r="B876" i="43"/>
  <c r="B877" i="43"/>
  <c r="B878" i="43"/>
  <c r="B879" i="43"/>
  <c r="B880" i="43"/>
  <c r="B881" i="43"/>
  <c r="B882" i="43"/>
  <c r="B883" i="43"/>
  <c r="B884" i="43"/>
  <c r="B885" i="43"/>
  <c r="B886" i="43"/>
  <c r="B887" i="43"/>
  <c r="B888" i="43"/>
  <c r="B889" i="43"/>
  <c r="B890" i="43"/>
  <c r="B891" i="43"/>
  <c r="B892" i="43"/>
  <c r="B893" i="43"/>
  <c r="B894" i="43"/>
  <c r="B895" i="43"/>
  <c r="B896" i="43"/>
  <c r="B897" i="43"/>
  <c r="B898" i="43"/>
  <c r="B899" i="43"/>
  <c r="B900" i="43"/>
  <c r="B901" i="43"/>
  <c r="B902" i="43"/>
  <c r="B903" i="43"/>
  <c r="B904" i="43"/>
  <c r="B905" i="43"/>
  <c r="B906" i="43"/>
  <c r="B907" i="43"/>
  <c r="B908" i="43"/>
  <c r="B909" i="43"/>
  <c r="B910" i="43"/>
  <c r="B911" i="43"/>
  <c r="B912" i="43"/>
  <c r="B913" i="43"/>
  <c r="B914" i="43"/>
  <c r="B915" i="43"/>
  <c r="B916" i="43"/>
  <c r="B917" i="43"/>
  <c r="B918" i="43"/>
  <c r="B919" i="43"/>
  <c r="B920" i="43"/>
  <c r="B921" i="43"/>
  <c r="B922" i="43"/>
  <c r="B923" i="43"/>
  <c r="B924" i="43"/>
  <c r="B925" i="43"/>
  <c r="B926" i="43"/>
  <c r="B927" i="43"/>
  <c r="B928" i="43"/>
  <c r="B929" i="43"/>
  <c r="B930" i="43"/>
  <c r="B931" i="43"/>
  <c r="B932" i="43"/>
  <c r="B933" i="43"/>
  <c r="B934" i="43"/>
  <c r="B935" i="43"/>
  <c r="B936" i="43"/>
  <c r="B937" i="43"/>
  <c r="B938" i="43"/>
  <c r="B939" i="43"/>
  <c r="B940" i="43"/>
  <c r="B941" i="43"/>
  <c r="B942" i="43"/>
  <c r="B943" i="43"/>
  <c r="B944" i="43"/>
  <c r="B945" i="43"/>
  <c r="B946" i="43"/>
  <c r="B947" i="43"/>
  <c r="B948" i="43"/>
  <c r="B949" i="43"/>
  <c r="B950" i="43"/>
  <c r="B951" i="43"/>
  <c r="B952" i="43"/>
  <c r="B953" i="43"/>
  <c r="B954" i="43"/>
  <c r="B955" i="43"/>
  <c r="B956" i="43"/>
  <c r="B957" i="43"/>
  <c r="B958" i="43"/>
  <c r="B959" i="43"/>
  <c r="B960" i="43"/>
  <c r="B961" i="43"/>
  <c r="B962" i="43"/>
  <c r="B963" i="43"/>
  <c r="B964" i="43"/>
  <c r="B965" i="43"/>
  <c r="B966" i="43"/>
  <c r="B967" i="43"/>
  <c r="B968" i="43"/>
  <c r="B969" i="43"/>
  <c r="B970" i="43"/>
  <c r="B971" i="43"/>
  <c r="B972" i="43"/>
  <c r="B973" i="43"/>
  <c r="B974" i="43"/>
  <c r="B975" i="43"/>
  <c r="B976" i="43"/>
  <c r="B977" i="43"/>
  <c r="B978" i="43"/>
  <c r="B979" i="43"/>
  <c r="B980" i="43"/>
  <c r="B981" i="43"/>
  <c r="B982" i="43"/>
  <c r="B983" i="43"/>
  <c r="B984" i="43"/>
  <c r="B985" i="43"/>
  <c r="B986" i="43"/>
  <c r="B987" i="43"/>
  <c r="B988" i="43"/>
  <c r="B989" i="43"/>
  <c r="B990" i="43"/>
  <c r="B991" i="43"/>
  <c r="B992" i="43"/>
  <c r="B993" i="43"/>
  <c r="B994" i="43"/>
  <c r="B995" i="43"/>
  <c r="B996" i="43"/>
  <c r="B997" i="43"/>
  <c r="B998" i="43"/>
  <c r="B999" i="43"/>
  <c r="B1000" i="43"/>
  <c r="B1001" i="43"/>
  <c r="B1002" i="43"/>
  <c r="B1003" i="43"/>
  <c r="B10" i="42"/>
  <c r="B11" i="42"/>
  <c r="B12" i="42"/>
  <c r="B13" i="42"/>
  <c r="B14" i="42"/>
  <c r="B15" i="42"/>
  <c r="B16" i="42"/>
  <c r="B17" i="42"/>
  <c r="B18" i="42"/>
  <c r="B19" i="42"/>
  <c r="B20" i="42"/>
  <c r="B21" i="42"/>
  <c r="B22" i="42"/>
  <c r="B23" i="42"/>
  <c r="B24" i="42"/>
  <c r="B25" i="42"/>
  <c r="B26" i="42"/>
  <c r="B27" i="42"/>
  <c r="B28" i="42"/>
  <c r="B29" i="42"/>
  <c r="B30" i="42"/>
  <c r="B31" i="42"/>
  <c r="B32" i="42"/>
  <c r="B33" i="42"/>
  <c r="B34" i="42"/>
  <c r="B35" i="42"/>
  <c r="B36" i="42"/>
  <c r="B37" i="42"/>
  <c r="B38" i="42"/>
  <c r="B39" i="42"/>
  <c r="B40" i="42"/>
  <c r="B41" i="42"/>
  <c r="B42" i="42"/>
  <c r="B43" i="42"/>
  <c r="B44" i="42"/>
  <c r="B45" i="42"/>
  <c r="B46" i="42"/>
  <c r="B47" i="42"/>
  <c r="B48" i="42"/>
  <c r="B49" i="42"/>
  <c r="B50" i="42"/>
  <c r="B51" i="42"/>
  <c r="B52" i="42"/>
  <c r="B53" i="42"/>
  <c r="B54" i="42"/>
  <c r="B55" i="42"/>
  <c r="B56" i="42"/>
  <c r="B57" i="42"/>
  <c r="B58" i="42"/>
  <c r="B59" i="42"/>
  <c r="B60" i="42"/>
  <c r="B61" i="42"/>
  <c r="B62" i="42"/>
  <c r="B63" i="42"/>
  <c r="B64" i="42"/>
  <c r="B65" i="42"/>
  <c r="B66" i="42"/>
  <c r="B67" i="42"/>
  <c r="B68" i="42"/>
  <c r="B69" i="42"/>
  <c r="B70" i="42"/>
  <c r="B71" i="42"/>
  <c r="B72" i="42"/>
  <c r="B73" i="42"/>
  <c r="B74" i="42"/>
  <c r="B75" i="42"/>
  <c r="B76" i="42"/>
  <c r="B77" i="42"/>
  <c r="B78" i="42"/>
  <c r="B79" i="42"/>
  <c r="B80" i="42"/>
  <c r="B81" i="42"/>
  <c r="B82" i="42"/>
  <c r="B83" i="42"/>
  <c r="B84" i="42"/>
  <c r="B85" i="42"/>
  <c r="B86" i="42"/>
  <c r="B87" i="42"/>
  <c r="B88" i="42"/>
  <c r="B89" i="42"/>
  <c r="B90" i="42"/>
  <c r="B91" i="42"/>
  <c r="B92" i="42"/>
  <c r="B93" i="42"/>
  <c r="B94" i="42"/>
  <c r="B95" i="42"/>
  <c r="B96" i="42"/>
  <c r="B97" i="42"/>
  <c r="B98" i="42"/>
  <c r="B99" i="42"/>
  <c r="B100" i="42"/>
  <c r="B101" i="42"/>
  <c r="B102" i="42"/>
  <c r="B103" i="42"/>
  <c r="B104" i="42"/>
  <c r="B105" i="42"/>
  <c r="B106" i="42"/>
  <c r="B107" i="42"/>
  <c r="B108" i="42"/>
  <c r="B109" i="42"/>
  <c r="B110" i="42"/>
  <c r="B111" i="42"/>
  <c r="B112" i="42"/>
  <c r="B113" i="42"/>
  <c r="B114" i="42"/>
  <c r="B115" i="42"/>
  <c r="B116" i="42"/>
  <c r="B117" i="42"/>
  <c r="B118" i="42"/>
  <c r="B119" i="42"/>
  <c r="B120" i="42"/>
  <c r="B121" i="42"/>
  <c r="B122" i="42"/>
  <c r="B123" i="42"/>
  <c r="B124" i="42"/>
  <c r="B125" i="42"/>
  <c r="B126" i="42"/>
  <c r="B127" i="42"/>
  <c r="B128" i="42"/>
  <c r="B129" i="42"/>
  <c r="B130" i="42"/>
  <c r="B131" i="42"/>
  <c r="B132" i="42"/>
  <c r="B133" i="42"/>
  <c r="B134" i="42"/>
  <c r="B135" i="42"/>
  <c r="B136" i="42"/>
  <c r="B137" i="42"/>
  <c r="B138" i="42"/>
  <c r="B139" i="42"/>
  <c r="B140" i="42"/>
  <c r="B141" i="42"/>
  <c r="B142" i="42"/>
  <c r="B143" i="42"/>
  <c r="B144" i="42"/>
  <c r="B145" i="42"/>
  <c r="B146" i="42"/>
  <c r="B147" i="42"/>
  <c r="B148" i="42"/>
  <c r="B149" i="42"/>
  <c r="B150" i="42"/>
  <c r="B151" i="42"/>
  <c r="B152" i="42"/>
  <c r="B153" i="42"/>
  <c r="B154" i="42"/>
  <c r="B155" i="42"/>
  <c r="B156" i="42"/>
  <c r="B157" i="42"/>
  <c r="B158" i="42"/>
  <c r="B159" i="42"/>
  <c r="B160" i="42"/>
  <c r="B161" i="42"/>
  <c r="B162" i="42"/>
  <c r="B163" i="42"/>
  <c r="B164" i="42"/>
  <c r="B165" i="42"/>
  <c r="B166" i="42"/>
  <c r="B167" i="42"/>
  <c r="B168" i="42"/>
  <c r="B169" i="42"/>
  <c r="B170" i="42"/>
  <c r="B171" i="42"/>
  <c r="B172" i="42"/>
  <c r="B173" i="42"/>
  <c r="B174" i="42"/>
  <c r="B175" i="42"/>
  <c r="B176" i="42"/>
  <c r="B177" i="42"/>
  <c r="B178" i="42"/>
  <c r="B179" i="42"/>
  <c r="B180" i="42"/>
  <c r="B181" i="42"/>
  <c r="B182" i="42"/>
  <c r="B183" i="42"/>
  <c r="B184" i="42"/>
  <c r="B185" i="42"/>
  <c r="B186" i="42"/>
  <c r="B187" i="42"/>
  <c r="B188" i="42"/>
  <c r="B189" i="42"/>
  <c r="B190" i="42"/>
  <c r="B191" i="42"/>
  <c r="B192" i="42"/>
  <c r="B193" i="42"/>
  <c r="B194" i="42"/>
  <c r="B195" i="42"/>
  <c r="B196" i="42"/>
  <c r="B197" i="42"/>
  <c r="B198" i="42"/>
  <c r="B199" i="42"/>
  <c r="B200" i="42"/>
  <c r="B201" i="42"/>
  <c r="B202" i="42"/>
  <c r="B203" i="42"/>
  <c r="B204" i="42"/>
  <c r="B205" i="42"/>
  <c r="B206" i="42"/>
  <c r="B207" i="42"/>
  <c r="B208" i="42"/>
  <c r="B209" i="42"/>
  <c r="B210" i="42"/>
  <c r="B211" i="42"/>
  <c r="B212" i="42"/>
  <c r="B213" i="42"/>
  <c r="B214" i="42"/>
  <c r="B215" i="42"/>
  <c r="B216" i="42"/>
  <c r="B217" i="42"/>
  <c r="B218" i="42"/>
  <c r="B219" i="42"/>
  <c r="B220" i="42"/>
  <c r="B221" i="42"/>
  <c r="B222" i="42"/>
  <c r="B223" i="42"/>
  <c r="B224" i="42"/>
  <c r="B225" i="42"/>
  <c r="B226" i="42"/>
  <c r="B227" i="42"/>
  <c r="B228" i="42"/>
  <c r="B229" i="42"/>
  <c r="B230" i="42"/>
  <c r="B231" i="42"/>
  <c r="B232" i="42"/>
  <c r="B233" i="42"/>
  <c r="B234" i="42"/>
  <c r="B235" i="42"/>
  <c r="B236" i="42"/>
  <c r="B237" i="42"/>
  <c r="B238" i="42"/>
  <c r="B239" i="42"/>
  <c r="B240" i="42"/>
  <c r="B241" i="42"/>
  <c r="B242" i="42"/>
  <c r="B243" i="42"/>
  <c r="B244" i="42"/>
  <c r="B245" i="42"/>
  <c r="B246" i="42"/>
  <c r="B247" i="42"/>
  <c r="B248" i="42"/>
  <c r="B249" i="42"/>
  <c r="B250" i="42"/>
  <c r="B251" i="42"/>
  <c r="B252" i="42"/>
  <c r="B253" i="42"/>
  <c r="B254" i="42"/>
  <c r="B255" i="42"/>
  <c r="B256" i="42"/>
  <c r="B257" i="42"/>
  <c r="B258" i="42"/>
  <c r="B259" i="42"/>
  <c r="B260" i="42"/>
  <c r="B261" i="42"/>
  <c r="B262" i="42"/>
  <c r="B263" i="42"/>
  <c r="B264" i="42"/>
  <c r="B265" i="42"/>
  <c r="B266" i="42"/>
  <c r="B267" i="42"/>
  <c r="B268" i="42"/>
  <c r="B269" i="42"/>
  <c r="B270" i="42"/>
  <c r="B271" i="42"/>
  <c r="B272" i="42"/>
  <c r="B273" i="42"/>
  <c r="B274" i="42"/>
  <c r="B275" i="42"/>
  <c r="B276" i="42"/>
  <c r="B277" i="42"/>
  <c r="B278" i="42"/>
  <c r="B279" i="42"/>
  <c r="B280" i="42"/>
  <c r="B281" i="42"/>
  <c r="B282" i="42"/>
  <c r="B283" i="42"/>
  <c r="B284" i="42"/>
  <c r="B285" i="42"/>
  <c r="B286" i="42"/>
  <c r="B287" i="42"/>
  <c r="B288" i="42"/>
  <c r="B289" i="42"/>
  <c r="B290" i="42"/>
  <c r="B291" i="42"/>
  <c r="B292" i="42"/>
  <c r="B293" i="42"/>
  <c r="B294" i="42"/>
  <c r="B295" i="42"/>
  <c r="B296" i="42"/>
  <c r="B297" i="42"/>
  <c r="B298" i="42"/>
  <c r="B299" i="42"/>
  <c r="B300" i="42"/>
  <c r="B301" i="42"/>
  <c r="B302" i="42"/>
  <c r="B303" i="42"/>
  <c r="B304" i="42"/>
  <c r="B305" i="42"/>
  <c r="B306" i="42"/>
  <c r="B307" i="42"/>
  <c r="B308" i="42"/>
  <c r="B309" i="42"/>
  <c r="B310" i="42"/>
  <c r="B311" i="42"/>
  <c r="B312" i="42"/>
  <c r="B313" i="42"/>
  <c r="B314" i="42"/>
  <c r="B315" i="42"/>
  <c r="B316" i="42"/>
  <c r="B317" i="42"/>
  <c r="B318" i="42"/>
  <c r="B319" i="42"/>
  <c r="B320" i="42"/>
  <c r="B321" i="42"/>
  <c r="B322" i="42"/>
  <c r="B323" i="42"/>
  <c r="B324" i="42"/>
  <c r="B325" i="42"/>
  <c r="B326" i="42"/>
  <c r="B327" i="42"/>
  <c r="B328" i="42"/>
  <c r="B329" i="42"/>
  <c r="B330" i="42"/>
  <c r="B331" i="42"/>
  <c r="B332" i="42"/>
  <c r="B333" i="42"/>
  <c r="B334" i="42"/>
  <c r="B335" i="42"/>
  <c r="B336" i="42"/>
  <c r="B337" i="42"/>
  <c r="B338" i="42"/>
  <c r="B339" i="42"/>
  <c r="B340" i="42"/>
  <c r="B341" i="42"/>
  <c r="B342" i="42"/>
  <c r="B343" i="42"/>
  <c r="B344" i="42"/>
  <c r="B345" i="42"/>
  <c r="B346" i="42"/>
  <c r="B347" i="42"/>
  <c r="B348" i="42"/>
  <c r="B349" i="42"/>
  <c r="B350" i="42"/>
  <c r="B351" i="42"/>
  <c r="B352" i="42"/>
  <c r="B353" i="42"/>
  <c r="B354" i="42"/>
  <c r="B355" i="42"/>
  <c r="B356" i="42"/>
  <c r="B357" i="42"/>
  <c r="B358" i="42"/>
  <c r="B359" i="42"/>
  <c r="B360" i="42"/>
  <c r="B361" i="42"/>
  <c r="B362" i="42"/>
  <c r="B363" i="42"/>
  <c r="B364" i="42"/>
  <c r="B365" i="42"/>
  <c r="B366" i="42"/>
  <c r="B367" i="42"/>
  <c r="B368" i="42"/>
  <c r="B369" i="42"/>
  <c r="B370" i="42"/>
  <c r="B371" i="42"/>
  <c r="B372" i="42"/>
  <c r="B373" i="42"/>
  <c r="B374" i="42"/>
  <c r="B375" i="42"/>
  <c r="B376" i="42"/>
  <c r="B377" i="42"/>
  <c r="B378" i="42"/>
  <c r="B379" i="42"/>
  <c r="B380" i="42"/>
  <c r="B381" i="42"/>
  <c r="B382" i="42"/>
  <c r="B383" i="42"/>
  <c r="B384" i="42"/>
  <c r="B385" i="42"/>
  <c r="B386" i="42"/>
  <c r="B387" i="42"/>
  <c r="B388" i="42"/>
  <c r="B389" i="42"/>
  <c r="B390" i="42"/>
  <c r="B391" i="42"/>
  <c r="B392" i="42"/>
  <c r="B393" i="42"/>
  <c r="B394" i="42"/>
  <c r="B395" i="42"/>
  <c r="B396" i="42"/>
  <c r="B397" i="42"/>
  <c r="B398" i="42"/>
  <c r="B399" i="42"/>
  <c r="B400" i="42"/>
  <c r="B401" i="42"/>
  <c r="B402" i="42"/>
  <c r="B403" i="42"/>
  <c r="B404" i="42"/>
  <c r="B405" i="42"/>
  <c r="B406" i="42"/>
  <c r="B407" i="42"/>
  <c r="B408" i="42"/>
  <c r="B409" i="42"/>
  <c r="B410" i="42"/>
  <c r="B411" i="42"/>
  <c r="B412" i="42"/>
  <c r="B413" i="42"/>
  <c r="B414" i="42"/>
  <c r="B415" i="42"/>
  <c r="B416" i="42"/>
  <c r="B417" i="42"/>
  <c r="B418" i="42"/>
  <c r="B419" i="42"/>
  <c r="B420" i="42"/>
  <c r="B421" i="42"/>
  <c r="B422" i="42"/>
  <c r="B423" i="42"/>
  <c r="B424" i="42"/>
  <c r="B425" i="42"/>
  <c r="B426" i="42"/>
  <c r="B427" i="42"/>
  <c r="B428" i="42"/>
  <c r="B429" i="42"/>
  <c r="B430" i="42"/>
  <c r="B431" i="42"/>
  <c r="B432" i="42"/>
  <c r="B433" i="42"/>
  <c r="B434" i="42"/>
  <c r="B435" i="42"/>
  <c r="B436" i="42"/>
  <c r="B437" i="42"/>
  <c r="B438" i="42"/>
  <c r="B439" i="42"/>
  <c r="B440" i="42"/>
  <c r="B441" i="42"/>
  <c r="B442" i="42"/>
  <c r="B443" i="42"/>
  <c r="B444" i="42"/>
  <c r="B445" i="42"/>
  <c r="B446" i="42"/>
  <c r="B447" i="42"/>
  <c r="B448" i="42"/>
  <c r="B449" i="42"/>
  <c r="B450" i="42"/>
  <c r="B451" i="42"/>
  <c r="B452" i="42"/>
  <c r="B453" i="42"/>
  <c r="B454" i="42"/>
  <c r="B455" i="42"/>
  <c r="B456" i="42"/>
  <c r="B457" i="42"/>
  <c r="B458" i="42"/>
  <c r="B459" i="42"/>
  <c r="B460" i="42"/>
  <c r="B461" i="42"/>
  <c r="B462" i="42"/>
  <c r="B463" i="42"/>
  <c r="B464" i="42"/>
  <c r="B465" i="42"/>
  <c r="B466" i="42"/>
  <c r="B467" i="42"/>
  <c r="B468" i="42"/>
  <c r="B469" i="42"/>
  <c r="B470" i="42"/>
  <c r="B471" i="42"/>
  <c r="B472" i="42"/>
  <c r="B473" i="42"/>
  <c r="B474" i="42"/>
  <c r="B475" i="42"/>
  <c r="B476" i="42"/>
  <c r="B477" i="42"/>
  <c r="B478" i="42"/>
  <c r="B479" i="42"/>
  <c r="B480" i="42"/>
  <c r="B481" i="42"/>
  <c r="B482" i="42"/>
  <c r="B483" i="42"/>
  <c r="B484" i="42"/>
  <c r="B485" i="42"/>
  <c r="B486" i="42"/>
  <c r="B487" i="42"/>
  <c r="B488" i="42"/>
  <c r="B489" i="42"/>
  <c r="B490" i="42"/>
  <c r="B491" i="42"/>
  <c r="B492" i="42"/>
  <c r="B493" i="42"/>
  <c r="B494" i="42"/>
  <c r="B495" i="42"/>
  <c r="B496" i="42"/>
  <c r="B497" i="42"/>
  <c r="B498" i="42"/>
  <c r="B499" i="42"/>
  <c r="B500" i="42"/>
  <c r="B501" i="42"/>
  <c r="B502" i="42"/>
  <c r="B503" i="42"/>
  <c r="B504" i="42"/>
  <c r="B505" i="42"/>
  <c r="B506" i="42"/>
  <c r="B507" i="42"/>
  <c r="B508" i="42"/>
  <c r="B509" i="42"/>
  <c r="B510" i="42"/>
  <c r="B511" i="42"/>
  <c r="B512" i="42"/>
  <c r="B513" i="42"/>
  <c r="B514" i="42"/>
  <c r="B515" i="42"/>
  <c r="B516" i="42"/>
  <c r="B517" i="42"/>
  <c r="B518" i="42"/>
  <c r="B519" i="42"/>
  <c r="B520" i="42"/>
  <c r="B521" i="42"/>
  <c r="B522" i="42"/>
  <c r="B523" i="42"/>
  <c r="B524" i="42"/>
  <c r="B525" i="42"/>
  <c r="B526" i="42"/>
  <c r="B527" i="42"/>
  <c r="B528" i="42"/>
  <c r="B529" i="42"/>
  <c r="B530" i="42"/>
  <c r="B531" i="42"/>
  <c r="B532" i="42"/>
  <c r="B533" i="42"/>
  <c r="B534" i="42"/>
  <c r="B535" i="42"/>
  <c r="B536" i="42"/>
  <c r="B537" i="42"/>
  <c r="B538" i="42"/>
  <c r="B539" i="42"/>
  <c r="B540" i="42"/>
  <c r="B541" i="42"/>
  <c r="B542" i="42"/>
  <c r="B543" i="42"/>
  <c r="B544" i="42"/>
  <c r="B545" i="42"/>
  <c r="B546" i="42"/>
  <c r="B547" i="42"/>
  <c r="B548" i="42"/>
  <c r="B549" i="42"/>
  <c r="B550" i="42"/>
  <c r="B551" i="42"/>
  <c r="B552" i="42"/>
  <c r="B553" i="42"/>
  <c r="B554" i="42"/>
  <c r="B555" i="42"/>
  <c r="B556" i="42"/>
  <c r="B557" i="42"/>
  <c r="B558" i="42"/>
  <c r="B559" i="42"/>
  <c r="B560" i="42"/>
  <c r="B561" i="42"/>
  <c r="B562" i="42"/>
  <c r="B563" i="42"/>
  <c r="B564" i="42"/>
  <c r="B565" i="42"/>
  <c r="B566" i="42"/>
  <c r="B567" i="42"/>
  <c r="B568" i="42"/>
  <c r="B569" i="42"/>
  <c r="B570" i="42"/>
  <c r="B571" i="42"/>
  <c r="B572" i="42"/>
  <c r="B573" i="42"/>
  <c r="B574" i="42"/>
  <c r="B575" i="42"/>
  <c r="B576" i="42"/>
  <c r="B577" i="42"/>
  <c r="B578" i="42"/>
  <c r="B579" i="42"/>
  <c r="B580" i="42"/>
  <c r="B581" i="42"/>
  <c r="B582" i="42"/>
  <c r="B583" i="42"/>
  <c r="B584" i="42"/>
  <c r="B585" i="42"/>
  <c r="B586" i="42"/>
  <c r="B587" i="42"/>
  <c r="B588" i="42"/>
  <c r="B589" i="42"/>
  <c r="B590" i="42"/>
  <c r="B591" i="42"/>
  <c r="B592" i="42"/>
  <c r="B593" i="42"/>
  <c r="B594" i="42"/>
  <c r="B595" i="42"/>
  <c r="B596" i="42"/>
  <c r="B597" i="42"/>
  <c r="B598" i="42"/>
  <c r="B599" i="42"/>
  <c r="B600" i="42"/>
  <c r="B601" i="42"/>
  <c r="B602" i="42"/>
  <c r="B603" i="42"/>
  <c r="B604" i="42"/>
  <c r="B605" i="42"/>
  <c r="B606" i="42"/>
  <c r="B607" i="42"/>
  <c r="B608" i="42"/>
  <c r="B609" i="42"/>
  <c r="B610" i="42"/>
  <c r="B611" i="42"/>
  <c r="B612" i="42"/>
  <c r="B613" i="42"/>
  <c r="B614" i="42"/>
  <c r="B615" i="42"/>
  <c r="B616" i="42"/>
  <c r="B617" i="42"/>
  <c r="B618" i="42"/>
  <c r="B619" i="42"/>
  <c r="B620" i="42"/>
  <c r="B621" i="42"/>
  <c r="B622" i="42"/>
  <c r="B623" i="42"/>
  <c r="B624" i="42"/>
  <c r="B625" i="42"/>
  <c r="B626" i="42"/>
  <c r="B627" i="42"/>
  <c r="B628" i="42"/>
  <c r="B629" i="42"/>
  <c r="B630" i="42"/>
  <c r="B631" i="42"/>
  <c r="B632" i="42"/>
  <c r="B633" i="42"/>
  <c r="B634" i="42"/>
  <c r="B635" i="42"/>
  <c r="B636" i="42"/>
  <c r="B637" i="42"/>
  <c r="B638" i="42"/>
  <c r="B639" i="42"/>
  <c r="B640" i="42"/>
  <c r="B641" i="42"/>
  <c r="B642" i="42"/>
  <c r="B643" i="42"/>
  <c r="B644" i="42"/>
  <c r="B645" i="42"/>
  <c r="B646" i="42"/>
  <c r="B647" i="42"/>
  <c r="B648" i="42"/>
  <c r="B649" i="42"/>
  <c r="B650" i="42"/>
  <c r="B651" i="42"/>
  <c r="B652" i="42"/>
  <c r="B653" i="42"/>
  <c r="B654" i="42"/>
  <c r="B655" i="42"/>
  <c r="B656" i="42"/>
  <c r="B657" i="42"/>
  <c r="B658" i="42"/>
  <c r="B659" i="42"/>
  <c r="B660" i="42"/>
  <c r="B661" i="42"/>
  <c r="B662" i="42"/>
  <c r="B663" i="42"/>
  <c r="B664" i="42"/>
  <c r="B665" i="42"/>
  <c r="B666" i="42"/>
  <c r="B667" i="42"/>
  <c r="B668" i="42"/>
  <c r="B669" i="42"/>
  <c r="B670" i="42"/>
  <c r="B671" i="42"/>
  <c r="B672" i="42"/>
  <c r="B673" i="42"/>
  <c r="B674" i="42"/>
  <c r="B675" i="42"/>
  <c r="B676" i="42"/>
  <c r="B677" i="42"/>
  <c r="B678" i="42"/>
  <c r="B679" i="42"/>
  <c r="B680" i="42"/>
  <c r="B681" i="42"/>
  <c r="B682" i="42"/>
  <c r="B683" i="42"/>
  <c r="B684" i="42"/>
  <c r="B685" i="42"/>
  <c r="B686" i="42"/>
  <c r="B687" i="42"/>
  <c r="B688" i="42"/>
  <c r="B689" i="42"/>
  <c r="B690" i="42"/>
  <c r="B691" i="42"/>
  <c r="B692" i="42"/>
  <c r="B693" i="42"/>
  <c r="B694" i="42"/>
  <c r="B695" i="42"/>
  <c r="B696" i="42"/>
  <c r="B697" i="42"/>
  <c r="B698" i="42"/>
  <c r="B699" i="42"/>
  <c r="B700" i="42"/>
  <c r="B701" i="42"/>
  <c r="B702" i="42"/>
  <c r="B703" i="42"/>
  <c r="B704" i="42"/>
  <c r="B705" i="42"/>
  <c r="B706" i="42"/>
  <c r="B707" i="42"/>
  <c r="B708" i="42"/>
  <c r="B709" i="42"/>
  <c r="B710" i="42"/>
  <c r="B711" i="42"/>
  <c r="B712" i="42"/>
  <c r="B713" i="42"/>
  <c r="B714" i="42"/>
  <c r="B715" i="42"/>
  <c r="B716" i="42"/>
  <c r="B717" i="42"/>
  <c r="B718" i="42"/>
  <c r="B719" i="42"/>
  <c r="B720" i="42"/>
  <c r="B721" i="42"/>
  <c r="B722" i="42"/>
  <c r="B723" i="42"/>
  <c r="B724" i="42"/>
  <c r="B725" i="42"/>
  <c r="B726" i="42"/>
  <c r="B727" i="42"/>
  <c r="B728" i="42"/>
  <c r="B729" i="42"/>
  <c r="B730" i="42"/>
  <c r="B731" i="42"/>
  <c r="B732" i="42"/>
  <c r="B733" i="42"/>
  <c r="B734" i="42"/>
  <c r="B735" i="42"/>
  <c r="B736" i="42"/>
  <c r="B737" i="42"/>
  <c r="B738" i="42"/>
  <c r="B739" i="42"/>
  <c r="B740" i="42"/>
  <c r="B741" i="42"/>
  <c r="B742" i="42"/>
  <c r="B743" i="42"/>
  <c r="B744" i="42"/>
  <c r="B745" i="42"/>
  <c r="B746" i="42"/>
  <c r="B747" i="42"/>
  <c r="B748" i="42"/>
  <c r="B749" i="42"/>
  <c r="B750" i="42"/>
  <c r="B751" i="42"/>
  <c r="B752" i="42"/>
  <c r="B753" i="42"/>
  <c r="B754" i="42"/>
  <c r="B755" i="42"/>
  <c r="B756" i="42"/>
  <c r="B757" i="42"/>
  <c r="B758" i="42"/>
  <c r="B759" i="42"/>
  <c r="B760" i="42"/>
  <c r="B761" i="42"/>
  <c r="B762" i="42"/>
  <c r="B763" i="42"/>
  <c r="B764" i="42"/>
  <c r="B765" i="42"/>
  <c r="B766" i="42"/>
  <c r="B767" i="42"/>
  <c r="B768" i="42"/>
  <c r="B769" i="42"/>
  <c r="B770" i="42"/>
  <c r="B771" i="42"/>
  <c r="B772" i="42"/>
  <c r="B773" i="42"/>
  <c r="B774" i="42"/>
  <c r="B775" i="42"/>
  <c r="B776" i="42"/>
  <c r="B777" i="42"/>
  <c r="B778" i="42"/>
  <c r="B779" i="42"/>
  <c r="B780" i="42"/>
  <c r="B781" i="42"/>
  <c r="B782" i="42"/>
  <c r="B783" i="42"/>
  <c r="B784" i="42"/>
  <c r="B785" i="42"/>
  <c r="B786" i="42"/>
  <c r="B787" i="42"/>
  <c r="B788" i="42"/>
  <c r="B789" i="42"/>
  <c r="B790" i="42"/>
  <c r="B791" i="42"/>
  <c r="B792" i="42"/>
  <c r="B793" i="42"/>
  <c r="B794" i="42"/>
  <c r="B795" i="42"/>
  <c r="B796" i="42"/>
  <c r="B797" i="42"/>
  <c r="B798" i="42"/>
  <c r="B799" i="42"/>
  <c r="B800" i="42"/>
  <c r="B801" i="42"/>
  <c r="B802" i="42"/>
  <c r="B803" i="42"/>
  <c r="B804" i="42"/>
  <c r="B805" i="42"/>
  <c r="B806" i="42"/>
  <c r="B807" i="42"/>
  <c r="B808" i="42"/>
  <c r="B809" i="42"/>
  <c r="B810" i="42"/>
  <c r="B811" i="42"/>
  <c r="B812" i="42"/>
  <c r="B813" i="42"/>
  <c r="B814" i="42"/>
  <c r="B815" i="42"/>
  <c r="B816" i="42"/>
  <c r="B817" i="42"/>
  <c r="B818" i="42"/>
  <c r="B819" i="42"/>
  <c r="B820" i="42"/>
  <c r="B821" i="42"/>
  <c r="B822" i="42"/>
  <c r="B823" i="42"/>
  <c r="B824" i="42"/>
  <c r="B825" i="42"/>
  <c r="B826" i="42"/>
  <c r="B827" i="42"/>
  <c r="B828" i="42"/>
  <c r="B829" i="42"/>
  <c r="B830" i="42"/>
  <c r="B831" i="42"/>
  <c r="B832" i="42"/>
  <c r="B833" i="42"/>
  <c r="B834" i="42"/>
  <c r="B835" i="42"/>
  <c r="B836" i="42"/>
  <c r="B837" i="42"/>
  <c r="B838" i="42"/>
  <c r="B839" i="42"/>
  <c r="B840" i="42"/>
  <c r="B841" i="42"/>
  <c r="B842" i="42"/>
  <c r="B843" i="42"/>
  <c r="B844" i="42"/>
  <c r="B845" i="42"/>
  <c r="B846" i="42"/>
  <c r="B847" i="42"/>
  <c r="B848" i="42"/>
  <c r="B849" i="42"/>
  <c r="B850" i="42"/>
  <c r="B851" i="42"/>
  <c r="B852" i="42"/>
  <c r="B853" i="42"/>
  <c r="B854" i="42"/>
  <c r="B855" i="42"/>
  <c r="B856" i="42"/>
  <c r="B857" i="42"/>
  <c r="B858" i="42"/>
  <c r="B859" i="42"/>
  <c r="B860" i="42"/>
  <c r="B861" i="42"/>
  <c r="B862" i="42"/>
  <c r="B863" i="42"/>
  <c r="B864" i="42"/>
  <c r="B865" i="42"/>
  <c r="B866" i="42"/>
  <c r="B867" i="42"/>
  <c r="B868" i="42"/>
  <c r="B869" i="42"/>
  <c r="B870" i="42"/>
  <c r="B871" i="42"/>
  <c r="B872" i="42"/>
  <c r="B873" i="42"/>
  <c r="B874" i="42"/>
  <c r="B875" i="42"/>
  <c r="B876" i="42"/>
  <c r="B877" i="42"/>
  <c r="B878" i="42"/>
  <c r="B879" i="42"/>
  <c r="B880" i="42"/>
  <c r="B881" i="42"/>
  <c r="B882" i="42"/>
  <c r="B883" i="42"/>
  <c r="B884" i="42"/>
  <c r="B885" i="42"/>
  <c r="B886" i="42"/>
  <c r="B887" i="42"/>
  <c r="B888" i="42"/>
  <c r="B889" i="42"/>
  <c r="B890" i="42"/>
  <c r="B891" i="42"/>
  <c r="B892" i="42"/>
  <c r="B893" i="42"/>
  <c r="B894" i="42"/>
  <c r="B895" i="42"/>
  <c r="B896" i="42"/>
  <c r="B897" i="42"/>
  <c r="B898" i="42"/>
  <c r="B899" i="42"/>
  <c r="B900" i="42"/>
  <c r="B901" i="42"/>
  <c r="B902" i="42"/>
  <c r="B903" i="42"/>
  <c r="B904" i="42"/>
  <c r="B905" i="42"/>
  <c r="B906" i="42"/>
  <c r="B907" i="42"/>
  <c r="B908" i="42"/>
  <c r="B909" i="42"/>
  <c r="B910" i="42"/>
  <c r="B911" i="42"/>
  <c r="B912" i="42"/>
  <c r="B913" i="42"/>
  <c r="B914" i="42"/>
  <c r="B915" i="42"/>
  <c r="B916" i="42"/>
  <c r="B917" i="42"/>
  <c r="B918" i="42"/>
  <c r="B919" i="42"/>
  <c r="B920" i="42"/>
  <c r="B921" i="42"/>
  <c r="B922" i="42"/>
  <c r="B923" i="42"/>
  <c r="B924" i="42"/>
  <c r="B925" i="42"/>
  <c r="B926" i="42"/>
  <c r="B927" i="42"/>
  <c r="B928" i="42"/>
  <c r="B929" i="42"/>
  <c r="B930" i="42"/>
  <c r="B931" i="42"/>
  <c r="B932" i="42"/>
  <c r="B933" i="42"/>
  <c r="B934" i="42"/>
  <c r="B935" i="42"/>
  <c r="B936" i="42"/>
  <c r="B937" i="42"/>
  <c r="B938" i="42"/>
  <c r="B939" i="42"/>
  <c r="B940" i="42"/>
  <c r="B941" i="42"/>
  <c r="B942" i="42"/>
  <c r="B943" i="42"/>
  <c r="B944" i="42"/>
  <c r="B945" i="42"/>
  <c r="B946" i="42"/>
  <c r="B947" i="42"/>
  <c r="B948" i="42"/>
  <c r="B949" i="42"/>
  <c r="B950" i="42"/>
  <c r="B951" i="42"/>
  <c r="B952" i="42"/>
  <c r="B953" i="42"/>
  <c r="B954" i="42"/>
  <c r="B955" i="42"/>
  <c r="B956" i="42"/>
  <c r="B957" i="42"/>
  <c r="B958" i="42"/>
  <c r="B959" i="42"/>
  <c r="B960" i="42"/>
  <c r="B961" i="42"/>
  <c r="B962" i="42"/>
  <c r="B963" i="42"/>
  <c r="B964" i="42"/>
  <c r="B965" i="42"/>
  <c r="B966" i="42"/>
  <c r="B967" i="42"/>
  <c r="B968" i="42"/>
  <c r="B969" i="42"/>
  <c r="B970" i="42"/>
  <c r="B971" i="42"/>
  <c r="B972" i="42"/>
  <c r="B973" i="42"/>
  <c r="B974" i="42"/>
  <c r="B975" i="42"/>
  <c r="B976" i="42"/>
  <c r="B977" i="42"/>
  <c r="B978" i="42"/>
  <c r="B979" i="42"/>
  <c r="B980" i="42"/>
  <c r="B981" i="42"/>
  <c r="B982" i="42"/>
  <c r="B983" i="42"/>
  <c r="B984" i="42"/>
  <c r="B985" i="42"/>
  <c r="B986" i="42"/>
  <c r="B987" i="42"/>
  <c r="B988" i="42"/>
  <c r="B989" i="42"/>
  <c r="B990" i="42"/>
  <c r="B991" i="42"/>
  <c r="B992" i="42"/>
  <c r="B993" i="42"/>
  <c r="B994" i="42"/>
  <c r="B995" i="42"/>
  <c r="B996" i="42"/>
  <c r="B997" i="42"/>
  <c r="B998" i="42"/>
  <c r="B999" i="42"/>
  <c r="B1000" i="42"/>
  <c r="B1001" i="42"/>
  <c r="B1002" i="42"/>
  <c r="B1003" i="42"/>
  <c r="B10" i="41"/>
  <c r="B11" i="41"/>
  <c r="B12" i="41"/>
  <c r="B13" i="41"/>
  <c r="B14" i="41"/>
  <c r="B15" i="41"/>
  <c r="B16" i="41"/>
  <c r="B17" i="41"/>
  <c r="B18" i="41"/>
  <c r="B19" i="41"/>
  <c r="B20" i="41"/>
  <c r="B21" i="41"/>
  <c r="B22" i="41"/>
  <c r="B23" i="41"/>
  <c r="B24" i="41"/>
  <c r="B25" i="41"/>
  <c r="B26" i="41"/>
  <c r="B27" i="41"/>
  <c r="B28" i="41"/>
  <c r="B29" i="41"/>
  <c r="B30" i="41"/>
  <c r="B31" i="41"/>
  <c r="B32" i="41"/>
  <c r="B33" i="41"/>
  <c r="B34" i="41"/>
  <c r="B35" i="41"/>
  <c r="B36" i="41"/>
  <c r="B37" i="41"/>
  <c r="B38" i="41"/>
  <c r="B39" i="41"/>
  <c r="B40" i="41"/>
  <c r="B41" i="41"/>
  <c r="B42" i="41"/>
  <c r="B43" i="41"/>
  <c r="B44" i="41"/>
  <c r="B45" i="41"/>
  <c r="B46" i="41"/>
  <c r="B47" i="41"/>
  <c r="B48" i="41"/>
  <c r="B49" i="41"/>
  <c r="B50" i="41"/>
  <c r="B51" i="41"/>
  <c r="B52" i="41"/>
  <c r="B53" i="41"/>
  <c r="B54" i="41"/>
  <c r="B55" i="41"/>
  <c r="B56" i="41"/>
  <c r="B57" i="41"/>
  <c r="B58" i="41"/>
  <c r="B59" i="41"/>
  <c r="B60" i="41"/>
  <c r="B61" i="41"/>
  <c r="B62" i="41"/>
  <c r="B63" i="41"/>
  <c r="B64" i="41"/>
  <c r="B65" i="41"/>
  <c r="B66" i="41"/>
  <c r="B67" i="41"/>
  <c r="B68" i="41"/>
  <c r="B69" i="41"/>
  <c r="B70" i="41"/>
  <c r="B71" i="41"/>
  <c r="B72" i="41"/>
  <c r="B73" i="41"/>
  <c r="B74" i="41"/>
  <c r="B75" i="41"/>
  <c r="B76" i="41"/>
  <c r="B77" i="41"/>
  <c r="B78" i="41"/>
  <c r="B79" i="41"/>
  <c r="B80" i="41"/>
  <c r="B81" i="41"/>
  <c r="B82" i="41"/>
  <c r="B83" i="41"/>
  <c r="B84" i="41"/>
  <c r="B85" i="41"/>
  <c r="B86" i="41"/>
  <c r="B87" i="41"/>
  <c r="B88" i="41"/>
  <c r="B89" i="41"/>
  <c r="B90" i="41"/>
  <c r="B91" i="41"/>
  <c r="B92" i="41"/>
  <c r="B93" i="41"/>
  <c r="B94" i="41"/>
  <c r="B95" i="41"/>
  <c r="B96" i="41"/>
  <c r="B97" i="41"/>
  <c r="B98" i="41"/>
  <c r="B99" i="41"/>
  <c r="B100" i="41"/>
  <c r="B101" i="41"/>
  <c r="B102" i="41"/>
  <c r="B103" i="41"/>
  <c r="B104" i="41"/>
  <c r="B105" i="41"/>
  <c r="B106" i="41"/>
  <c r="B107" i="41"/>
  <c r="B108" i="41"/>
  <c r="B109" i="41"/>
  <c r="B110" i="41"/>
  <c r="B111" i="41"/>
  <c r="B112" i="41"/>
  <c r="B113" i="41"/>
  <c r="B114" i="41"/>
  <c r="B115" i="41"/>
  <c r="B116" i="41"/>
  <c r="B117" i="41"/>
  <c r="B118" i="41"/>
  <c r="B119" i="41"/>
  <c r="B120" i="41"/>
  <c r="B121" i="41"/>
  <c r="B122" i="41"/>
  <c r="B123" i="41"/>
  <c r="B124" i="41"/>
  <c r="B125" i="41"/>
  <c r="B126" i="41"/>
  <c r="B127" i="41"/>
  <c r="B128" i="41"/>
  <c r="B129" i="41"/>
  <c r="B130" i="41"/>
  <c r="B131" i="41"/>
  <c r="B132" i="41"/>
  <c r="B133" i="41"/>
  <c r="B134" i="41"/>
  <c r="B135" i="41"/>
  <c r="B136" i="41"/>
  <c r="B137" i="41"/>
  <c r="B138" i="41"/>
  <c r="B139" i="41"/>
  <c r="B140" i="41"/>
  <c r="B141" i="41"/>
  <c r="B142" i="41"/>
  <c r="B143" i="41"/>
  <c r="B144" i="41"/>
  <c r="B145" i="41"/>
  <c r="B146" i="41"/>
  <c r="B147" i="41"/>
  <c r="B148" i="41"/>
  <c r="B149" i="41"/>
  <c r="B150" i="41"/>
  <c r="B151" i="41"/>
  <c r="B152" i="41"/>
  <c r="B153" i="41"/>
  <c r="B154" i="41"/>
  <c r="B155" i="41"/>
  <c r="B156" i="41"/>
  <c r="B157" i="41"/>
  <c r="B158" i="41"/>
  <c r="B159" i="41"/>
  <c r="B160" i="41"/>
  <c r="B161" i="41"/>
  <c r="B162" i="41"/>
  <c r="B163" i="41"/>
  <c r="B164" i="41"/>
  <c r="B165" i="41"/>
  <c r="B166" i="41"/>
  <c r="B167" i="41"/>
  <c r="B168" i="41"/>
  <c r="B169" i="41"/>
  <c r="B170" i="41"/>
  <c r="B171" i="41"/>
  <c r="B172" i="41"/>
  <c r="B173" i="41"/>
  <c r="B174" i="41"/>
  <c r="B175" i="41"/>
  <c r="B176" i="41"/>
  <c r="B177" i="41"/>
  <c r="B178" i="41"/>
  <c r="B179" i="41"/>
  <c r="B180" i="41"/>
  <c r="B181" i="41"/>
  <c r="B182" i="41"/>
  <c r="B183" i="41"/>
  <c r="B184" i="41"/>
  <c r="B185" i="41"/>
  <c r="B186" i="41"/>
  <c r="B187" i="41"/>
  <c r="B188" i="41"/>
  <c r="B189" i="41"/>
  <c r="B190" i="41"/>
  <c r="B191" i="41"/>
  <c r="B192" i="41"/>
  <c r="B193" i="41"/>
  <c r="B194" i="41"/>
  <c r="B195" i="41"/>
  <c r="B196" i="41"/>
  <c r="B197" i="41"/>
  <c r="B198" i="41"/>
  <c r="B199" i="41"/>
  <c r="B200" i="41"/>
  <c r="B201" i="41"/>
  <c r="B202" i="41"/>
  <c r="B203" i="41"/>
  <c r="B204" i="41"/>
  <c r="B205" i="41"/>
  <c r="B206" i="41"/>
  <c r="B207" i="41"/>
  <c r="B208" i="41"/>
  <c r="B209" i="41"/>
  <c r="B210" i="41"/>
  <c r="B211" i="41"/>
  <c r="B212" i="41"/>
  <c r="B213" i="41"/>
  <c r="B214" i="41"/>
  <c r="B215" i="41"/>
  <c r="B216" i="41"/>
  <c r="B217" i="41"/>
  <c r="B218" i="41"/>
  <c r="B219" i="41"/>
  <c r="B220" i="41"/>
  <c r="B221" i="41"/>
  <c r="B222" i="41"/>
  <c r="B223" i="41"/>
  <c r="B224" i="41"/>
  <c r="B225" i="41"/>
  <c r="B226" i="41"/>
  <c r="B227" i="41"/>
  <c r="B228" i="41"/>
  <c r="B229" i="41"/>
  <c r="B230" i="41"/>
  <c r="B231" i="41"/>
  <c r="B232" i="41"/>
  <c r="B233" i="41"/>
  <c r="B234" i="41"/>
  <c r="B235" i="41"/>
  <c r="B236" i="41"/>
  <c r="B237" i="41"/>
  <c r="B238" i="41"/>
  <c r="B239" i="41"/>
  <c r="B240" i="41"/>
  <c r="B241" i="41"/>
  <c r="B242" i="41"/>
  <c r="B243" i="41"/>
  <c r="B244" i="41"/>
  <c r="B245" i="41"/>
  <c r="B246" i="41"/>
  <c r="B247" i="41"/>
  <c r="B248" i="41"/>
  <c r="B249" i="41"/>
  <c r="B250" i="41"/>
  <c r="B251" i="41"/>
  <c r="B252" i="41"/>
  <c r="B253" i="41"/>
  <c r="B254" i="41"/>
  <c r="B255" i="41"/>
  <c r="B256" i="41"/>
  <c r="B257" i="41"/>
  <c r="B258" i="41"/>
  <c r="B259" i="41"/>
  <c r="B260" i="41"/>
  <c r="B261" i="41"/>
  <c r="B262" i="41"/>
  <c r="B263" i="41"/>
  <c r="B264" i="41"/>
  <c r="B265" i="41"/>
  <c r="B266" i="41"/>
  <c r="B267" i="41"/>
  <c r="B268" i="41"/>
  <c r="B269" i="41"/>
  <c r="B270" i="41"/>
  <c r="B271" i="41"/>
  <c r="B272" i="41"/>
  <c r="B273" i="41"/>
  <c r="B274" i="41"/>
  <c r="B275" i="41"/>
  <c r="B276" i="41"/>
  <c r="B277" i="41"/>
  <c r="B278" i="41"/>
  <c r="B279" i="41"/>
  <c r="B280" i="41"/>
  <c r="B281" i="41"/>
  <c r="B282" i="41"/>
  <c r="B283" i="41"/>
  <c r="B284" i="41"/>
  <c r="B285" i="41"/>
  <c r="B286" i="41"/>
  <c r="B287" i="41"/>
  <c r="B288" i="41"/>
  <c r="B289" i="41"/>
  <c r="B290" i="41"/>
  <c r="B291" i="41"/>
  <c r="B292" i="41"/>
  <c r="B293" i="41"/>
  <c r="B294" i="41"/>
  <c r="B295" i="41"/>
  <c r="B296" i="41"/>
  <c r="B297" i="41"/>
  <c r="B298" i="41"/>
  <c r="B299" i="41"/>
  <c r="B300" i="41"/>
  <c r="B301" i="41"/>
  <c r="B302" i="41"/>
  <c r="B303" i="41"/>
  <c r="B304" i="41"/>
  <c r="B305" i="41"/>
  <c r="B306" i="41"/>
  <c r="B307" i="41"/>
  <c r="B308" i="41"/>
  <c r="B309" i="41"/>
  <c r="B310" i="41"/>
  <c r="B311" i="41"/>
  <c r="B312" i="41"/>
  <c r="B313" i="41"/>
  <c r="B314" i="41"/>
  <c r="B315" i="41"/>
  <c r="B316" i="41"/>
  <c r="B317" i="41"/>
  <c r="B318" i="41"/>
  <c r="B319" i="41"/>
  <c r="B320" i="41"/>
  <c r="B321" i="41"/>
  <c r="B322" i="41"/>
  <c r="B323" i="41"/>
  <c r="B324" i="41"/>
  <c r="B325" i="41"/>
  <c r="B326" i="41"/>
  <c r="B327" i="41"/>
  <c r="B328" i="41"/>
  <c r="B329" i="41"/>
  <c r="B330" i="41"/>
  <c r="B331" i="41"/>
  <c r="B332" i="41"/>
  <c r="B333" i="41"/>
  <c r="B334" i="41"/>
  <c r="B335" i="41"/>
  <c r="B336" i="41"/>
  <c r="B337" i="41"/>
  <c r="B338" i="41"/>
  <c r="B339" i="41"/>
  <c r="B340" i="41"/>
  <c r="B341" i="41"/>
  <c r="B342" i="41"/>
  <c r="B343" i="41"/>
  <c r="B344" i="41"/>
  <c r="B345" i="41"/>
  <c r="B346" i="41"/>
  <c r="B347" i="41"/>
  <c r="B348" i="41"/>
  <c r="B349" i="41"/>
  <c r="B350" i="41"/>
  <c r="B351" i="41"/>
  <c r="B352" i="41"/>
  <c r="B353" i="41"/>
  <c r="B354" i="41"/>
  <c r="B355" i="41"/>
  <c r="B356" i="41"/>
  <c r="B357" i="41"/>
  <c r="B358" i="41"/>
  <c r="B359" i="41"/>
  <c r="B360" i="41"/>
  <c r="B361" i="41"/>
  <c r="B362" i="41"/>
  <c r="B363" i="41"/>
  <c r="B364" i="41"/>
  <c r="B365" i="41"/>
  <c r="B366" i="41"/>
  <c r="B367" i="41"/>
  <c r="B368" i="41"/>
  <c r="B369" i="41"/>
  <c r="B370" i="41"/>
  <c r="B371" i="41"/>
  <c r="B372" i="41"/>
  <c r="B373" i="41"/>
  <c r="B374" i="41"/>
  <c r="B375" i="41"/>
  <c r="B376" i="41"/>
  <c r="B377" i="41"/>
  <c r="B378" i="41"/>
  <c r="B379" i="41"/>
  <c r="B380" i="41"/>
  <c r="B381" i="41"/>
  <c r="B382" i="41"/>
  <c r="B383" i="41"/>
  <c r="B384" i="41"/>
  <c r="B385" i="41"/>
  <c r="B386" i="41"/>
  <c r="B387" i="41"/>
  <c r="B388" i="41"/>
  <c r="B389" i="41"/>
  <c r="B390" i="41"/>
  <c r="B391" i="41"/>
  <c r="B392" i="41"/>
  <c r="B393" i="41"/>
  <c r="B394" i="41"/>
  <c r="B395" i="41"/>
  <c r="B396" i="41"/>
  <c r="B397" i="41"/>
  <c r="B398" i="41"/>
  <c r="B399" i="41"/>
  <c r="B400" i="41"/>
  <c r="B401" i="41"/>
  <c r="B402" i="41"/>
  <c r="B403" i="41"/>
  <c r="B404" i="41"/>
  <c r="B405" i="41"/>
  <c r="B406" i="41"/>
  <c r="B407" i="41"/>
  <c r="B408" i="41"/>
  <c r="B409" i="41"/>
  <c r="B410" i="41"/>
  <c r="B411" i="41"/>
  <c r="B412" i="41"/>
  <c r="B413" i="41"/>
  <c r="B414" i="41"/>
  <c r="B415" i="41"/>
  <c r="B416" i="41"/>
  <c r="B417" i="41"/>
  <c r="B418" i="41"/>
  <c r="B419" i="41"/>
  <c r="B420" i="41"/>
  <c r="B421" i="41"/>
  <c r="B422" i="41"/>
  <c r="B423" i="41"/>
  <c r="B424" i="41"/>
  <c r="B425" i="41"/>
  <c r="B426" i="41"/>
  <c r="B427" i="41"/>
  <c r="B428" i="41"/>
  <c r="B429" i="41"/>
  <c r="B430" i="41"/>
  <c r="B431" i="41"/>
  <c r="B432" i="41"/>
  <c r="B433" i="41"/>
  <c r="B434" i="41"/>
  <c r="B435" i="41"/>
  <c r="B436" i="41"/>
  <c r="B437" i="41"/>
  <c r="B438" i="41"/>
  <c r="B439" i="41"/>
  <c r="B440" i="41"/>
  <c r="B441" i="41"/>
  <c r="B442" i="41"/>
  <c r="B443" i="41"/>
  <c r="B444" i="41"/>
  <c r="B445" i="41"/>
  <c r="B446" i="41"/>
  <c r="B447" i="41"/>
  <c r="B448" i="41"/>
  <c r="B449" i="41"/>
  <c r="B450" i="41"/>
  <c r="B451" i="41"/>
  <c r="B452" i="41"/>
  <c r="B453" i="41"/>
  <c r="B454" i="41"/>
  <c r="B455" i="41"/>
  <c r="B456" i="41"/>
  <c r="B457" i="41"/>
  <c r="B458" i="41"/>
  <c r="B459" i="41"/>
  <c r="B460" i="41"/>
  <c r="B461" i="41"/>
  <c r="B462" i="41"/>
  <c r="B463" i="41"/>
  <c r="B464" i="41"/>
  <c r="B465" i="41"/>
  <c r="B466" i="41"/>
  <c r="B467" i="41"/>
  <c r="B468" i="41"/>
  <c r="B469" i="41"/>
  <c r="B470" i="41"/>
  <c r="B471" i="41"/>
  <c r="B472" i="41"/>
  <c r="B473" i="41"/>
  <c r="B474" i="41"/>
  <c r="B475" i="41"/>
  <c r="B476" i="41"/>
  <c r="B477" i="41"/>
  <c r="B478" i="41"/>
  <c r="B479" i="41"/>
  <c r="B480" i="41"/>
  <c r="B481" i="41"/>
  <c r="B482" i="41"/>
  <c r="B483" i="41"/>
  <c r="B484" i="41"/>
  <c r="B485" i="41"/>
  <c r="B486" i="41"/>
  <c r="B487" i="41"/>
  <c r="B488" i="41"/>
  <c r="B489" i="41"/>
  <c r="B490" i="41"/>
  <c r="B491" i="41"/>
  <c r="B492" i="41"/>
  <c r="B493" i="41"/>
  <c r="B494" i="41"/>
  <c r="B495" i="41"/>
  <c r="B496" i="41"/>
  <c r="B497" i="41"/>
  <c r="B498" i="41"/>
  <c r="B499" i="41"/>
  <c r="B500" i="41"/>
  <c r="B501" i="41"/>
  <c r="B502" i="41"/>
  <c r="B503" i="41"/>
  <c r="B504" i="41"/>
  <c r="B505" i="41"/>
  <c r="B506" i="41"/>
  <c r="B507" i="41"/>
  <c r="B508" i="41"/>
  <c r="B509" i="41"/>
  <c r="B510" i="41"/>
  <c r="B511" i="41"/>
  <c r="B512" i="41"/>
  <c r="B513" i="41"/>
  <c r="B514" i="41"/>
  <c r="B515" i="41"/>
  <c r="B516" i="41"/>
  <c r="B517" i="41"/>
  <c r="B518" i="41"/>
  <c r="B519" i="41"/>
  <c r="B520" i="41"/>
  <c r="B521" i="41"/>
  <c r="B522" i="41"/>
  <c r="B523" i="41"/>
  <c r="B524" i="41"/>
  <c r="B525" i="41"/>
  <c r="B526" i="41"/>
  <c r="B527" i="41"/>
  <c r="B528" i="41"/>
  <c r="B529" i="41"/>
  <c r="B530" i="41"/>
  <c r="B531" i="41"/>
  <c r="B532" i="41"/>
  <c r="B533" i="41"/>
  <c r="B534" i="41"/>
  <c r="B535" i="41"/>
  <c r="B536" i="41"/>
  <c r="B537" i="41"/>
  <c r="B538" i="41"/>
  <c r="B539" i="41"/>
  <c r="B540" i="41"/>
  <c r="B541" i="41"/>
  <c r="B542" i="41"/>
  <c r="B543" i="41"/>
  <c r="B544" i="41"/>
  <c r="B545" i="41"/>
  <c r="B546" i="41"/>
  <c r="B547" i="41"/>
  <c r="B548" i="41"/>
  <c r="B549" i="41"/>
  <c r="B550" i="41"/>
  <c r="B551" i="41"/>
  <c r="B552" i="41"/>
  <c r="B553" i="41"/>
  <c r="B554" i="41"/>
  <c r="B555" i="41"/>
  <c r="B556" i="41"/>
  <c r="B557" i="41"/>
  <c r="B558" i="41"/>
  <c r="B559" i="41"/>
  <c r="B560" i="41"/>
  <c r="B561" i="41"/>
  <c r="B562" i="41"/>
  <c r="B563" i="41"/>
  <c r="B564" i="41"/>
  <c r="B565" i="41"/>
  <c r="B566" i="41"/>
  <c r="B567" i="41"/>
  <c r="B568" i="41"/>
  <c r="B569" i="41"/>
  <c r="B570" i="41"/>
  <c r="B571" i="41"/>
  <c r="B572" i="41"/>
  <c r="B573" i="41"/>
  <c r="B574" i="41"/>
  <c r="B575" i="41"/>
  <c r="B576" i="41"/>
  <c r="B577" i="41"/>
  <c r="B578" i="41"/>
  <c r="B579" i="41"/>
  <c r="B580" i="41"/>
  <c r="B581" i="41"/>
  <c r="B582" i="41"/>
  <c r="B583" i="41"/>
  <c r="B584" i="41"/>
  <c r="B585" i="41"/>
  <c r="B586" i="41"/>
  <c r="B587" i="41"/>
  <c r="B588" i="41"/>
  <c r="B589" i="41"/>
  <c r="B590" i="41"/>
  <c r="B591" i="41"/>
  <c r="B592" i="41"/>
  <c r="B593" i="41"/>
  <c r="B594" i="41"/>
  <c r="B595" i="41"/>
  <c r="B596" i="41"/>
  <c r="B597" i="41"/>
  <c r="B598" i="41"/>
  <c r="B599" i="41"/>
  <c r="B600" i="41"/>
  <c r="B601" i="41"/>
  <c r="B602" i="41"/>
  <c r="B603" i="41"/>
  <c r="B604" i="41"/>
  <c r="B605" i="41"/>
  <c r="B606" i="41"/>
  <c r="B607" i="41"/>
  <c r="B608" i="41"/>
  <c r="B609" i="41"/>
  <c r="B610" i="41"/>
  <c r="B611" i="41"/>
  <c r="B612" i="41"/>
  <c r="B613" i="41"/>
  <c r="B614" i="41"/>
  <c r="B615" i="41"/>
  <c r="B616" i="41"/>
  <c r="B617" i="41"/>
  <c r="B618" i="41"/>
  <c r="B619" i="41"/>
  <c r="B620" i="41"/>
  <c r="B621" i="41"/>
  <c r="B622" i="41"/>
  <c r="B623" i="41"/>
  <c r="B624" i="41"/>
  <c r="B625" i="41"/>
  <c r="B626" i="41"/>
  <c r="B627" i="41"/>
  <c r="B628" i="41"/>
  <c r="B629" i="41"/>
  <c r="B630" i="41"/>
  <c r="B631" i="41"/>
  <c r="B632" i="41"/>
  <c r="B633" i="41"/>
  <c r="B634" i="41"/>
  <c r="B635" i="41"/>
  <c r="B636" i="41"/>
  <c r="B637" i="41"/>
  <c r="B638" i="41"/>
  <c r="B639" i="41"/>
  <c r="B640" i="41"/>
  <c r="B641" i="41"/>
  <c r="B642" i="41"/>
  <c r="B643" i="41"/>
  <c r="B644" i="41"/>
  <c r="B645" i="41"/>
  <c r="B646" i="41"/>
  <c r="B647" i="41"/>
  <c r="B648" i="41"/>
  <c r="B649" i="41"/>
  <c r="B650" i="41"/>
  <c r="B651" i="41"/>
  <c r="B652" i="41"/>
  <c r="B653" i="41"/>
  <c r="B654" i="41"/>
  <c r="B655" i="41"/>
  <c r="B656" i="41"/>
  <c r="B657" i="41"/>
  <c r="B658" i="41"/>
  <c r="B659" i="41"/>
  <c r="B660" i="41"/>
  <c r="B661" i="41"/>
  <c r="B662" i="41"/>
  <c r="B663" i="41"/>
  <c r="B664" i="41"/>
  <c r="B665" i="41"/>
  <c r="B666" i="41"/>
  <c r="B667" i="41"/>
  <c r="B668" i="41"/>
  <c r="B669" i="41"/>
  <c r="B670" i="41"/>
  <c r="B671" i="41"/>
  <c r="B672" i="41"/>
  <c r="B673" i="41"/>
  <c r="B674" i="41"/>
  <c r="B675" i="41"/>
  <c r="B676" i="41"/>
  <c r="B677" i="41"/>
  <c r="B678" i="41"/>
  <c r="B679" i="41"/>
  <c r="B680" i="41"/>
  <c r="B681" i="41"/>
  <c r="B682" i="41"/>
  <c r="B683" i="41"/>
  <c r="B684" i="41"/>
  <c r="B685" i="41"/>
  <c r="B686" i="41"/>
  <c r="B687" i="41"/>
  <c r="B688" i="41"/>
  <c r="B689" i="41"/>
  <c r="B690" i="41"/>
  <c r="B691" i="41"/>
  <c r="B692" i="41"/>
  <c r="B693" i="41"/>
  <c r="B694" i="41"/>
  <c r="B695" i="41"/>
  <c r="B696" i="41"/>
  <c r="B697" i="41"/>
  <c r="B698" i="41"/>
  <c r="B699" i="41"/>
  <c r="B700" i="41"/>
  <c r="B701" i="41"/>
  <c r="B702" i="41"/>
  <c r="B703" i="41"/>
  <c r="B704" i="41"/>
  <c r="B705" i="41"/>
  <c r="B706" i="41"/>
  <c r="B707" i="41"/>
  <c r="B708" i="41"/>
  <c r="B709" i="41"/>
  <c r="B710" i="41"/>
  <c r="B711" i="41"/>
  <c r="B712" i="41"/>
  <c r="B713" i="41"/>
  <c r="B714" i="41"/>
  <c r="B715" i="41"/>
  <c r="B716" i="41"/>
  <c r="B717" i="41"/>
  <c r="B718" i="41"/>
  <c r="B719" i="41"/>
  <c r="B720" i="41"/>
  <c r="B721" i="41"/>
  <c r="B722" i="41"/>
  <c r="B723" i="41"/>
  <c r="B724" i="41"/>
  <c r="B725" i="41"/>
  <c r="B726" i="41"/>
  <c r="B727" i="41"/>
  <c r="B728" i="41"/>
  <c r="B729" i="41"/>
  <c r="B730" i="41"/>
  <c r="B731" i="41"/>
  <c r="B732" i="41"/>
  <c r="B733" i="41"/>
  <c r="B734" i="41"/>
  <c r="B735" i="41"/>
  <c r="B736" i="41"/>
  <c r="B737" i="41"/>
  <c r="B738" i="41"/>
  <c r="B739" i="41"/>
  <c r="B740" i="41"/>
  <c r="B741" i="41"/>
  <c r="B742" i="41"/>
  <c r="B743" i="41"/>
  <c r="B744" i="41"/>
  <c r="B745" i="41"/>
  <c r="B746" i="41"/>
  <c r="B747" i="41"/>
  <c r="B748" i="41"/>
  <c r="B749" i="41"/>
  <c r="B750" i="41"/>
  <c r="B751" i="41"/>
  <c r="B752" i="41"/>
  <c r="B753" i="41"/>
  <c r="B754" i="41"/>
  <c r="B755" i="41"/>
  <c r="B756" i="41"/>
  <c r="B757" i="41"/>
  <c r="B758" i="41"/>
  <c r="B759" i="41"/>
  <c r="B760" i="41"/>
  <c r="B761" i="41"/>
  <c r="B762" i="41"/>
  <c r="B763" i="41"/>
  <c r="B764" i="41"/>
  <c r="B765" i="41"/>
  <c r="B766" i="41"/>
  <c r="B767" i="41"/>
  <c r="B768" i="41"/>
  <c r="B769" i="41"/>
  <c r="B770" i="41"/>
  <c r="B771" i="41"/>
  <c r="B772" i="41"/>
  <c r="B773" i="41"/>
  <c r="B774" i="41"/>
  <c r="B775" i="41"/>
  <c r="B776" i="41"/>
  <c r="B777" i="41"/>
  <c r="B778" i="41"/>
  <c r="B779" i="41"/>
  <c r="B780" i="41"/>
  <c r="B781" i="41"/>
  <c r="B782" i="41"/>
  <c r="B783" i="41"/>
  <c r="B784" i="41"/>
  <c r="B785" i="41"/>
  <c r="B786" i="41"/>
  <c r="B787" i="41"/>
  <c r="B788" i="41"/>
  <c r="B789" i="41"/>
  <c r="B790" i="41"/>
  <c r="B791" i="41"/>
  <c r="B792" i="41"/>
  <c r="B793" i="41"/>
  <c r="B794" i="41"/>
  <c r="B795" i="41"/>
  <c r="B796" i="41"/>
  <c r="B797" i="41"/>
  <c r="B798" i="41"/>
  <c r="B799" i="41"/>
  <c r="B800" i="41"/>
  <c r="B801" i="41"/>
  <c r="B802" i="41"/>
  <c r="B803" i="41"/>
  <c r="B804" i="41"/>
  <c r="B805" i="41"/>
  <c r="B806" i="41"/>
  <c r="B807" i="41"/>
  <c r="B808" i="41"/>
  <c r="B809" i="41"/>
  <c r="B810" i="41"/>
  <c r="B811" i="41"/>
  <c r="B812" i="41"/>
  <c r="B813" i="41"/>
  <c r="B814" i="41"/>
  <c r="B815" i="41"/>
  <c r="B816" i="41"/>
  <c r="B817" i="41"/>
  <c r="B818" i="41"/>
  <c r="B819" i="41"/>
  <c r="B820" i="41"/>
  <c r="B821" i="41"/>
  <c r="B822" i="41"/>
  <c r="B823" i="41"/>
  <c r="B824" i="41"/>
  <c r="B825" i="41"/>
  <c r="B826" i="41"/>
  <c r="B827" i="41"/>
  <c r="B828" i="41"/>
  <c r="B829" i="41"/>
  <c r="B830" i="41"/>
  <c r="B831" i="41"/>
  <c r="B832" i="41"/>
  <c r="B833" i="41"/>
  <c r="B834" i="41"/>
  <c r="B835" i="41"/>
  <c r="B836" i="41"/>
  <c r="B837" i="41"/>
  <c r="B838" i="41"/>
  <c r="B839" i="41"/>
  <c r="B840" i="41"/>
  <c r="B841" i="41"/>
  <c r="B842" i="41"/>
  <c r="B843" i="41"/>
  <c r="B844" i="41"/>
  <c r="B845" i="41"/>
  <c r="B846" i="41"/>
  <c r="B847" i="41"/>
  <c r="B848" i="41"/>
  <c r="B849" i="41"/>
  <c r="B850" i="41"/>
  <c r="B851" i="41"/>
  <c r="B852" i="41"/>
  <c r="B853" i="41"/>
  <c r="B854" i="41"/>
  <c r="B855" i="41"/>
  <c r="B856" i="41"/>
  <c r="B857" i="41"/>
  <c r="B858" i="41"/>
  <c r="B859" i="41"/>
  <c r="B860" i="41"/>
  <c r="B861" i="41"/>
  <c r="B862" i="41"/>
  <c r="B863" i="41"/>
  <c r="B864" i="41"/>
  <c r="B865" i="41"/>
  <c r="B866" i="41"/>
  <c r="B867" i="41"/>
  <c r="B868" i="41"/>
  <c r="B869" i="41"/>
  <c r="B870" i="41"/>
  <c r="B871" i="41"/>
  <c r="B872" i="41"/>
  <c r="B873" i="41"/>
  <c r="B874" i="41"/>
  <c r="B875" i="41"/>
  <c r="B876" i="41"/>
  <c r="B877" i="41"/>
  <c r="B878" i="41"/>
  <c r="B879" i="41"/>
  <c r="B880" i="41"/>
  <c r="B881" i="41"/>
  <c r="B882" i="41"/>
  <c r="B883" i="41"/>
  <c r="B884" i="41"/>
  <c r="B885" i="41"/>
  <c r="B886" i="41"/>
  <c r="B887" i="41"/>
  <c r="B888" i="41"/>
  <c r="B889" i="41"/>
  <c r="B890" i="41"/>
  <c r="B891" i="41"/>
  <c r="B892" i="41"/>
  <c r="B893" i="41"/>
  <c r="B894" i="41"/>
  <c r="B895" i="41"/>
  <c r="B896" i="41"/>
  <c r="B897" i="41"/>
  <c r="B898" i="41"/>
  <c r="B899" i="41"/>
  <c r="B900" i="41"/>
  <c r="B901" i="41"/>
  <c r="B902" i="41"/>
  <c r="B903" i="41"/>
  <c r="B904" i="41"/>
  <c r="B905" i="41"/>
  <c r="B906" i="41"/>
  <c r="B907" i="41"/>
  <c r="B908" i="41"/>
  <c r="B909" i="41"/>
  <c r="B910" i="41"/>
  <c r="B911" i="41"/>
  <c r="B912" i="41"/>
  <c r="B913" i="41"/>
  <c r="B914" i="41"/>
  <c r="B915" i="41"/>
  <c r="B916" i="41"/>
  <c r="B917" i="41"/>
  <c r="B918" i="41"/>
  <c r="B919" i="41"/>
  <c r="B920" i="41"/>
  <c r="B921" i="41"/>
  <c r="B922" i="41"/>
  <c r="B923" i="41"/>
  <c r="B924" i="41"/>
  <c r="B925" i="41"/>
  <c r="B926" i="41"/>
  <c r="B927" i="41"/>
  <c r="B928" i="41"/>
  <c r="B929" i="41"/>
  <c r="B930" i="41"/>
  <c r="B931" i="41"/>
  <c r="B932" i="41"/>
  <c r="B933" i="41"/>
  <c r="B934" i="41"/>
  <c r="B935" i="41"/>
  <c r="B936" i="41"/>
  <c r="B937" i="41"/>
  <c r="B938" i="41"/>
  <c r="B939" i="41"/>
  <c r="B940" i="41"/>
  <c r="B941" i="41"/>
  <c r="B942" i="41"/>
  <c r="B943" i="41"/>
  <c r="B944" i="41"/>
  <c r="B945" i="41"/>
  <c r="B946" i="41"/>
  <c r="B947" i="41"/>
  <c r="B948" i="41"/>
  <c r="B949" i="41"/>
  <c r="B950" i="41"/>
  <c r="B951" i="41"/>
  <c r="B952" i="41"/>
  <c r="B953" i="41"/>
  <c r="B954" i="41"/>
  <c r="B955" i="41"/>
  <c r="B956" i="41"/>
  <c r="B957" i="41"/>
  <c r="B958" i="41"/>
  <c r="B959" i="41"/>
  <c r="B960" i="41"/>
  <c r="B961" i="41"/>
  <c r="B962" i="41"/>
  <c r="B963" i="41"/>
  <c r="B964" i="41"/>
  <c r="B965" i="41"/>
  <c r="B966" i="41"/>
  <c r="B967" i="41"/>
  <c r="B968" i="41"/>
  <c r="B969" i="41"/>
  <c r="B970" i="41"/>
  <c r="B971" i="41"/>
  <c r="B972" i="41"/>
  <c r="B973" i="41"/>
  <c r="B974" i="41"/>
  <c r="B975" i="41"/>
  <c r="B976" i="41"/>
  <c r="B977" i="41"/>
  <c r="B978" i="41"/>
  <c r="B979" i="41"/>
  <c r="B980" i="41"/>
  <c r="B981" i="41"/>
  <c r="B982" i="41"/>
  <c r="B983" i="41"/>
  <c r="B984" i="41"/>
  <c r="B985" i="41"/>
  <c r="B986" i="41"/>
  <c r="B987" i="41"/>
  <c r="B988" i="41"/>
  <c r="B989" i="41"/>
  <c r="B990" i="41"/>
  <c r="B991" i="41"/>
  <c r="B992" i="41"/>
  <c r="B993" i="41"/>
  <c r="B994" i="41"/>
  <c r="B995" i="41"/>
  <c r="B996" i="41"/>
  <c r="B997" i="41"/>
  <c r="B998" i="41"/>
  <c r="B999" i="41"/>
  <c r="B1000" i="41"/>
  <c r="B1001" i="41"/>
  <c r="B1002" i="41"/>
  <c r="B1003" i="41"/>
  <c r="B1004" i="41"/>
  <c r="B10" i="29"/>
  <c r="B11" i="29"/>
  <c r="B12" i="29"/>
  <c r="B13" i="29"/>
  <c r="B14" i="29"/>
  <c r="B15" i="29"/>
  <c r="B16" i="29"/>
  <c r="B17" i="29"/>
  <c r="B18" i="29"/>
  <c r="B19" i="29"/>
  <c r="B20" i="29"/>
  <c r="B21" i="29"/>
  <c r="B22" i="29"/>
  <c r="B23" i="29"/>
  <c r="B24" i="29"/>
  <c r="B25" i="29"/>
  <c r="B26" i="29"/>
  <c r="B27" i="29"/>
  <c r="B28" i="29"/>
  <c r="B29" i="29"/>
  <c r="B30" i="29"/>
  <c r="B31" i="29"/>
  <c r="B32" i="29"/>
  <c r="B33" i="29"/>
  <c r="B34" i="29"/>
  <c r="B35" i="29"/>
  <c r="B36" i="29"/>
  <c r="B37" i="29"/>
  <c r="B38" i="29"/>
  <c r="B39" i="29"/>
  <c r="B40" i="29"/>
  <c r="B41" i="29"/>
  <c r="B42" i="29"/>
  <c r="B43" i="29"/>
  <c r="B44" i="29"/>
  <c r="B45" i="29"/>
  <c r="B46" i="29"/>
  <c r="B47" i="29"/>
  <c r="B48" i="29"/>
  <c r="B49" i="29"/>
  <c r="B50" i="29"/>
  <c r="B51" i="29"/>
  <c r="B52" i="29"/>
  <c r="B53" i="29"/>
  <c r="B54" i="29"/>
  <c r="B55" i="29"/>
  <c r="B56" i="29"/>
  <c r="B57" i="29"/>
  <c r="B58" i="29"/>
  <c r="B59" i="29"/>
  <c r="B60" i="29"/>
  <c r="B61" i="29"/>
  <c r="B62" i="29"/>
  <c r="B63" i="29"/>
  <c r="B64" i="29"/>
  <c r="B65" i="29"/>
  <c r="B66" i="29"/>
  <c r="B67" i="29"/>
  <c r="B68" i="29"/>
  <c r="B69" i="29"/>
  <c r="B70" i="29"/>
  <c r="B71" i="29"/>
  <c r="B72" i="29"/>
  <c r="B73" i="29"/>
  <c r="B74" i="29"/>
  <c r="B75" i="29"/>
  <c r="B76" i="29"/>
  <c r="B77" i="29"/>
  <c r="B78" i="29"/>
  <c r="B79" i="29"/>
  <c r="B80" i="29"/>
  <c r="B81" i="29"/>
  <c r="B82" i="29"/>
  <c r="B83" i="29"/>
  <c r="B84" i="29"/>
  <c r="B85" i="29"/>
  <c r="B86" i="29"/>
  <c r="B87" i="29"/>
  <c r="B88" i="29"/>
  <c r="B89" i="29"/>
  <c r="B90" i="29"/>
  <c r="B91" i="29"/>
  <c r="B92" i="29"/>
  <c r="B93" i="29"/>
  <c r="B94" i="29"/>
  <c r="B95" i="29"/>
  <c r="B96" i="29"/>
  <c r="B97" i="29"/>
  <c r="B98" i="29"/>
  <c r="B99" i="29"/>
  <c r="B100" i="29"/>
  <c r="B101" i="29"/>
  <c r="B102" i="29"/>
  <c r="B103" i="29"/>
  <c r="B104" i="29"/>
  <c r="B105" i="29"/>
  <c r="B106" i="29"/>
  <c r="B107" i="29"/>
  <c r="B108" i="29"/>
  <c r="B109" i="29"/>
  <c r="B110" i="29"/>
  <c r="B111" i="29"/>
  <c r="B112" i="29"/>
  <c r="B113" i="29"/>
  <c r="B114" i="29"/>
  <c r="B115" i="29"/>
  <c r="B116" i="29"/>
  <c r="B117" i="29"/>
  <c r="B118" i="29"/>
  <c r="B119" i="29"/>
  <c r="B120" i="29"/>
  <c r="B121" i="29"/>
  <c r="B122" i="29"/>
  <c r="B123" i="29"/>
  <c r="B124" i="29"/>
  <c r="B125" i="29"/>
  <c r="B126" i="29"/>
  <c r="B127" i="29"/>
  <c r="B128" i="29"/>
  <c r="B129" i="29"/>
  <c r="B130" i="29"/>
  <c r="B131" i="29"/>
  <c r="B132" i="29"/>
  <c r="B133" i="29"/>
  <c r="B134" i="29"/>
  <c r="B135" i="29"/>
  <c r="B136" i="29"/>
  <c r="B137" i="29"/>
  <c r="B138" i="29"/>
  <c r="B139" i="29"/>
  <c r="B140" i="29"/>
  <c r="B141" i="29"/>
  <c r="B142" i="29"/>
  <c r="B143" i="29"/>
  <c r="B144" i="29"/>
  <c r="B145" i="29"/>
  <c r="B146" i="29"/>
  <c r="B147" i="29"/>
  <c r="B148" i="29"/>
  <c r="B149" i="29"/>
  <c r="B150" i="29"/>
  <c r="B151" i="29"/>
  <c r="B152" i="29"/>
  <c r="B153" i="29"/>
  <c r="B154" i="29"/>
  <c r="B155" i="29"/>
  <c r="B156" i="29"/>
  <c r="B157" i="29"/>
  <c r="B158" i="29"/>
  <c r="B159" i="29"/>
  <c r="B160" i="29"/>
  <c r="B161" i="29"/>
  <c r="B162" i="29"/>
  <c r="B163" i="29"/>
  <c r="B164" i="29"/>
  <c r="B165" i="29"/>
  <c r="B166" i="29"/>
  <c r="B167" i="29"/>
  <c r="B168" i="29"/>
  <c r="B169" i="29"/>
  <c r="B170" i="29"/>
  <c r="B171" i="29"/>
  <c r="B172" i="29"/>
  <c r="B173" i="29"/>
  <c r="B174" i="29"/>
  <c r="B175" i="29"/>
  <c r="B176" i="29"/>
  <c r="B177" i="29"/>
  <c r="B178" i="29"/>
  <c r="B179" i="29"/>
  <c r="B180" i="29"/>
  <c r="B181" i="29"/>
  <c r="B182" i="29"/>
  <c r="B183" i="29"/>
  <c r="B184" i="29"/>
  <c r="B185" i="29"/>
  <c r="B186" i="29"/>
  <c r="B187" i="29"/>
  <c r="B188" i="29"/>
  <c r="B189" i="29"/>
  <c r="B190" i="29"/>
  <c r="B191" i="29"/>
  <c r="B192" i="29"/>
  <c r="B193" i="29"/>
  <c r="B194" i="29"/>
  <c r="B195" i="29"/>
  <c r="B196" i="29"/>
  <c r="B197" i="29"/>
  <c r="B198" i="29"/>
  <c r="B199" i="29"/>
  <c r="B200" i="29"/>
  <c r="B201" i="29"/>
  <c r="B202" i="29"/>
  <c r="B203" i="29"/>
  <c r="B204" i="29"/>
  <c r="B205" i="29"/>
  <c r="B206" i="29"/>
  <c r="B207" i="29"/>
  <c r="B208" i="29"/>
  <c r="B209" i="29"/>
  <c r="B210" i="29"/>
  <c r="B211" i="29"/>
  <c r="B212" i="29"/>
  <c r="B213" i="29"/>
  <c r="B214" i="29"/>
  <c r="B215" i="29"/>
  <c r="B216" i="29"/>
  <c r="B217" i="29"/>
  <c r="B218" i="29"/>
  <c r="B219" i="29"/>
  <c r="B220" i="29"/>
  <c r="B221" i="29"/>
  <c r="B222" i="29"/>
  <c r="B223" i="29"/>
  <c r="B224" i="29"/>
  <c r="B225" i="29"/>
  <c r="B226" i="29"/>
  <c r="B227" i="29"/>
  <c r="B228" i="29"/>
  <c r="B229" i="29"/>
  <c r="B230" i="29"/>
  <c r="B231" i="29"/>
  <c r="B232" i="29"/>
  <c r="B233" i="29"/>
  <c r="B234" i="29"/>
  <c r="B235" i="29"/>
  <c r="B236" i="29"/>
  <c r="B237" i="29"/>
  <c r="B238" i="29"/>
  <c r="B239" i="29"/>
  <c r="B240" i="29"/>
  <c r="B241" i="29"/>
  <c r="B242" i="29"/>
  <c r="B243" i="29"/>
  <c r="B244" i="29"/>
  <c r="B245" i="29"/>
  <c r="B246" i="29"/>
  <c r="B247" i="29"/>
  <c r="B248" i="29"/>
  <c r="B249" i="29"/>
  <c r="B250" i="29"/>
  <c r="B251" i="29"/>
  <c r="B252" i="29"/>
  <c r="B253" i="29"/>
  <c r="B254" i="29"/>
  <c r="B255" i="29"/>
  <c r="B256" i="29"/>
  <c r="B257" i="29"/>
  <c r="B258" i="29"/>
  <c r="B259" i="29"/>
  <c r="B260" i="29"/>
  <c r="B261" i="29"/>
  <c r="B262" i="29"/>
  <c r="B263" i="29"/>
  <c r="B264" i="29"/>
  <c r="B265" i="29"/>
  <c r="B266" i="29"/>
  <c r="B267" i="29"/>
  <c r="B268" i="29"/>
  <c r="B269" i="29"/>
  <c r="B270" i="29"/>
  <c r="B271" i="29"/>
  <c r="B272" i="29"/>
  <c r="B273" i="29"/>
  <c r="B274" i="29"/>
  <c r="B275" i="29"/>
  <c r="B276" i="29"/>
  <c r="B277" i="29"/>
  <c r="B278" i="29"/>
  <c r="B279" i="29"/>
  <c r="B280" i="29"/>
  <c r="B281" i="29"/>
  <c r="B282" i="29"/>
  <c r="B283" i="29"/>
  <c r="B284" i="29"/>
  <c r="B285" i="29"/>
  <c r="B286" i="29"/>
  <c r="B287" i="29"/>
  <c r="B288" i="29"/>
  <c r="B289" i="29"/>
  <c r="B290" i="29"/>
  <c r="B291" i="29"/>
  <c r="B292" i="29"/>
  <c r="B293" i="29"/>
  <c r="B294" i="29"/>
  <c r="B295" i="29"/>
  <c r="B296" i="29"/>
  <c r="B297" i="29"/>
  <c r="B298" i="29"/>
  <c r="B299" i="29"/>
  <c r="B300" i="29"/>
  <c r="B301" i="29"/>
  <c r="B302" i="29"/>
  <c r="B303" i="29"/>
  <c r="B304" i="29"/>
  <c r="B305" i="29"/>
  <c r="B306" i="29"/>
  <c r="B307" i="29"/>
  <c r="B308" i="29"/>
  <c r="B309" i="29"/>
  <c r="B310" i="29"/>
  <c r="B311" i="29"/>
  <c r="B312" i="29"/>
  <c r="B313" i="29"/>
  <c r="B314" i="29"/>
  <c r="B315" i="29"/>
  <c r="B316" i="29"/>
  <c r="B317" i="29"/>
  <c r="B318" i="29"/>
  <c r="B319" i="29"/>
  <c r="B320" i="29"/>
  <c r="B321" i="29"/>
  <c r="B322" i="29"/>
  <c r="B323" i="29"/>
  <c r="B324" i="29"/>
  <c r="B325" i="29"/>
  <c r="B326" i="29"/>
  <c r="B327" i="29"/>
  <c r="B328" i="29"/>
  <c r="B329" i="29"/>
  <c r="B330" i="29"/>
  <c r="B331" i="29"/>
  <c r="B332" i="29"/>
  <c r="B333" i="29"/>
  <c r="B334" i="29"/>
  <c r="B335" i="29"/>
  <c r="B336" i="29"/>
  <c r="B337" i="29"/>
  <c r="B338" i="29"/>
  <c r="B339" i="29"/>
  <c r="B340" i="29"/>
  <c r="B341" i="29"/>
  <c r="B342" i="29"/>
  <c r="B343" i="29"/>
  <c r="B344" i="29"/>
  <c r="B345" i="29"/>
  <c r="B346" i="29"/>
  <c r="B347" i="29"/>
  <c r="B348" i="29"/>
  <c r="B349" i="29"/>
  <c r="B350" i="29"/>
  <c r="B351" i="29"/>
  <c r="B352" i="29"/>
  <c r="B353" i="29"/>
  <c r="B354" i="29"/>
  <c r="B355" i="29"/>
  <c r="B356" i="29"/>
  <c r="B357" i="29"/>
  <c r="B358" i="29"/>
  <c r="B359" i="29"/>
  <c r="B360" i="29"/>
  <c r="B361" i="29"/>
  <c r="B362" i="29"/>
  <c r="B363" i="29"/>
  <c r="B364" i="29"/>
  <c r="B365" i="29"/>
  <c r="B366" i="29"/>
  <c r="B367" i="29"/>
  <c r="B368" i="29"/>
  <c r="B369" i="29"/>
  <c r="B370" i="29"/>
  <c r="B371" i="29"/>
  <c r="B372" i="29"/>
  <c r="B373" i="29"/>
  <c r="B374" i="29"/>
  <c r="B375" i="29"/>
  <c r="B376" i="29"/>
  <c r="B377" i="29"/>
  <c r="B378" i="29"/>
  <c r="B379" i="29"/>
  <c r="B380" i="29"/>
  <c r="B381" i="29"/>
  <c r="B382" i="29"/>
  <c r="B383" i="29"/>
  <c r="B384" i="29"/>
  <c r="B385" i="29"/>
  <c r="B386" i="29"/>
  <c r="B387" i="29"/>
  <c r="B388" i="29"/>
  <c r="B389" i="29"/>
  <c r="B390" i="29"/>
  <c r="B391" i="29"/>
  <c r="B392" i="29"/>
  <c r="B393" i="29"/>
  <c r="B394" i="29"/>
  <c r="B395" i="29"/>
  <c r="B396" i="29"/>
  <c r="B397" i="29"/>
  <c r="B398" i="29"/>
  <c r="B399" i="29"/>
  <c r="B400" i="29"/>
  <c r="B401" i="29"/>
  <c r="B402" i="29"/>
  <c r="B403" i="29"/>
  <c r="B404" i="29"/>
  <c r="B405" i="29"/>
  <c r="B406" i="29"/>
  <c r="B407" i="29"/>
  <c r="B408" i="29"/>
  <c r="B409" i="29"/>
  <c r="B410" i="29"/>
  <c r="B411" i="29"/>
  <c r="B412" i="29"/>
  <c r="B413" i="29"/>
  <c r="B414" i="29"/>
  <c r="B415" i="29"/>
  <c r="B416" i="29"/>
  <c r="B417" i="29"/>
  <c r="B418" i="29"/>
  <c r="B419" i="29"/>
  <c r="B420" i="29"/>
  <c r="B421" i="29"/>
  <c r="B422" i="29"/>
  <c r="B423" i="29"/>
  <c r="B424" i="29"/>
  <c r="B425" i="29"/>
  <c r="B426" i="29"/>
  <c r="B427" i="29"/>
  <c r="B428" i="29"/>
  <c r="B429" i="29"/>
  <c r="B430" i="29"/>
  <c r="B431" i="29"/>
  <c r="B432" i="29"/>
  <c r="B433" i="29"/>
  <c r="B434" i="29"/>
  <c r="B435" i="29"/>
  <c r="B436" i="29"/>
  <c r="B437" i="29"/>
  <c r="B438" i="29"/>
  <c r="B439" i="29"/>
  <c r="B440" i="29"/>
  <c r="B441" i="29"/>
  <c r="B442" i="29"/>
  <c r="B443" i="29"/>
  <c r="B444" i="29"/>
  <c r="B445" i="29"/>
  <c r="B446" i="29"/>
  <c r="B447" i="29"/>
  <c r="B448" i="29"/>
  <c r="B449" i="29"/>
  <c r="B450" i="29"/>
  <c r="B451" i="29"/>
  <c r="B452" i="29"/>
  <c r="B453" i="29"/>
  <c r="B454" i="29"/>
  <c r="B455" i="29"/>
  <c r="B456" i="29"/>
  <c r="B457" i="29"/>
  <c r="B458" i="29"/>
  <c r="B459" i="29"/>
  <c r="B460" i="29"/>
  <c r="B461" i="29"/>
  <c r="B462" i="29"/>
  <c r="B463" i="29"/>
  <c r="B464" i="29"/>
  <c r="B465" i="29"/>
  <c r="B466" i="29"/>
  <c r="B467" i="29"/>
  <c r="B468" i="29"/>
  <c r="B469" i="29"/>
  <c r="B470" i="29"/>
  <c r="B471" i="29"/>
  <c r="B472" i="29"/>
  <c r="B473" i="29"/>
  <c r="B474" i="29"/>
  <c r="B475" i="29"/>
  <c r="B476" i="29"/>
  <c r="B477" i="29"/>
  <c r="B478" i="29"/>
  <c r="B479" i="29"/>
  <c r="B480" i="29"/>
  <c r="B481" i="29"/>
  <c r="B482" i="29"/>
  <c r="B483" i="29"/>
  <c r="B484" i="29"/>
  <c r="B485" i="29"/>
  <c r="B486" i="29"/>
  <c r="B487" i="29"/>
  <c r="B488" i="29"/>
  <c r="B489" i="29"/>
  <c r="B490" i="29"/>
  <c r="B491" i="29"/>
  <c r="B492" i="29"/>
  <c r="B493" i="29"/>
  <c r="B494" i="29"/>
  <c r="B495" i="29"/>
  <c r="B496" i="29"/>
  <c r="B497" i="29"/>
  <c r="B498" i="29"/>
  <c r="B499" i="29"/>
  <c r="B500" i="29"/>
  <c r="B501" i="29"/>
  <c r="B502" i="29"/>
  <c r="B503" i="29"/>
  <c r="B504" i="29"/>
  <c r="B505" i="29"/>
  <c r="B506" i="29"/>
  <c r="B507" i="29"/>
  <c r="B508" i="29"/>
  <c r="B509" i="29"/>
  <c r="B510" i="29"/>
  <c r="B511" i="29"/>
  <c r="B512" i="29"/>
  <c r="B513" i="29"/>
  <c r="B514" i="29"/>
  <c r="B515" i="29"/>
  <c r="B516" i="29"/>
  <c r="B517" i="29"/>
  <c r="B518" i="29"/>
  <c r="B519" i="29"/>
  <c r="B520" i="29"/>
  <c r="B521" i="29"/>
  <c r="B522" i="29"/>
  <c r="B523" i="29"/>
  <c r="B524" i="29"/>
  <c r="B525" i="29"/>
  <c r="B526" i="29"/>
  <c r="B527" i="29"/>
  <c r="B528" i="29"/>
  <c r="B529" i="29"/>
  <c r="B530" i="29"/>
  <c r="B531" i="29"/>
  <c r="B532" i="29"/>
  <c r="B533" i="29"/>
  <c r="B534" i="29"/>
  <c r="B535" i="29"/>
  <c r="B536" i="29"/>
  <c r="B537" i="29"/>
  <c r="B538" i="29"/>
  <c r="B539" i="29"/>
  <c r="B540" i="29"/>
  <c r="B541" i="29"/>
  <c r="B542" i="29"/>
  <c r="B543" i="29"/>
  <c r="B544" i="29"/>
  <c r="B545" i="29"/>
  <c r="B546" i="29"/>
  <c r="B547" i="29"/>
  <c r="B548" i="29"/>
  <c r="B549" i="29"/>
  <c r="B550" i="29"/>
  <c r="B551" i="29"/>
  <c r="B552" i="29"/>
  <c r="B553" i="29"/>
  <c r="B554" i="29"/>
  <c r="B555" i="29"/>
  <c r="B556" i="29"/>
  <c r="B557" i="29"/>
  <c r="B558" i="29"/>
  <c r="B559" i="29"/>
  <c r="B560" i="29"/>
  <c r="B561" i="29"/>
  <c r="B562" i="29"/>
  <c r="B563" i="29"/>
  <c r="B564" i="29"/>
  <c r="B565" i="29"/>
  <c r="B566" i="29"/>
  <c r="B567" i="29"/>
  <c r="B568" i="29"/>
  <c r="B569" i="29"/>
  <c r="B570" i="29"/>
  <c r="B571" i="29"/>
  <c r="B572" i="29"/>
  <c r="B573" i="29"/>
  <c r="B574" i="29"/>
  <c r="B575" i="29"/>
  <c r="B576" i="29"/>
  <c r="B577" i="29"/>
  <c r="B578" i="29"/>
  <c r="B579" i="29"/>
  <c r="B580" i="29"/>
  <c r="B581" i="29"/>
  <c r="B582" i="29"/>
  <c r="B583" i="29"/>
  <c r="B584" i="29"/>
  <c r="B585" i="29"/>
  <c r="B586" i="29"/>
  <c r="B587" i="29"/>
  <c r="B588" i="29"/>
  <c r="B589" i="29"/>
  <c r="B590" i="29"/>
  <c r="B591" i="29"/>
  <c r="B592" i="29"/>
  <c r="B593" i="29"/>
  <c r="B594" i="29"/>
  <c r="B595" i="29"/>
  <c r="B596" i="29"/>
  <c r="B597" i="29"/>
  <c r="B598" i="29"/>
  <c r="B599" i="29"/>
  <c r="B600" i="29"/>
  <c r="B601" i="29"/>
  <c r="B602" i="29"/>
  <c r="B603" i="29"/>
  <c r="B604" i="29"/>
  <c r="B605" i="29"/>
  <c r="B606" i="29"/>
  <c r="B607" i="29"/>
  <c r="B608" i="29"/>
  <c r="B609" i="29"/>
  <c r="B610" i="29"/>
  <c r="B611" i="29"/>
  <c r="B612" i="29"/>
  <c r="B613" i="29"/>
  <c r="B614" i="29"/>
  <c r="B615" i="29"/>
  <c r="B616" i="29"/>
  <c r="B617" i="29"/>
  <c r="B618" i="29"/>
  <c r="B619" i="29"/>
  <c r="B620" i="29"/>
  <c r="B621" i="29"/>
  <c r="B622" i="29"/>
  <c r="B623" i="29"/>
  <c r="B624" i="29"/>
  <c r="B625" i="29"/>
  <c r="B626" i="29"/>
  <c r="B627" i="29"/>
  <c r="B628" i="29"/>
  <c r="B629" i="29"/>
  <c r="B630" i="29"/>
  <c r="B631" i="29"/>
  <c r="B632" i="29"/>
  <c r="B633" i="29"/>
  <c r="B634" i="29"/>
  <c r="B635" i="29"/>
  <c r="B636" i="29"/>
  <c r="B637" i="29"/>
  <c r="B638" i="29"/>
  <c r="B639" i="29"/>
  <c r="B640" i="29"/>
  <c r="B641" i="29"/>
  <c r="B642" i="29"/>
  <c r="B643" i="29"/>
  <c r="B644" i="29"/>
  <c r="B645" i="29"/>
  <c r="B646" i="29"/>
  <c r="B647" i="29"/>
  <c r="B648" i="29"/>
  <c r="B649" i="29"/>
  <c r="B650" i="29"/>
  <c r="B651" i="29"/>
  <c r="B652" i="29"/>
  <c r="B653" i="29"/>
  <c r="B654" i="29"/>
  <c r="B655" i="29"/>
  <c r="B656" i="29"/>
  <c r="B657" i="29"/>
  <c r="B658" i="29"/>
  <c r="B659" i="29"/>
  <c r="B660" i="29"/>
  <c r="B661" i="29"/>
  <c r="B662" i="29"/>
  <c r="B663" i="29"/>
  <c r="B664" i="29"/>
  <c r="B665" i="29"/>
  <c r="B666" i="29"/>
  <c r="B667" i="29"/>
  <c r="B668" i="29"/>
  <c r="B669" i="29"/>
  <c r="B670" i="29"/>
  <c r="B671" i="29"/>
  <c r="B672" i="29"/>
  <c r="B673" i="29"/>
  <c r="B674" i="29"/>
  <c r="B675" i="29"/>
  <c r="B676" i="29"/>
  <c r="B677" i="29"/>
  <c r="B678" i="29"/>
  <c r="B679" i="29"/>
  <c r="B680" i="29"/>
  <c r="B681" i="29"/>
  <c r="B682" i="29"/>
  <c r="B683" i="29"/>
  <c r="B684" i="29"/>
  <c r="B685" i="29"/>
  <c r="B686" i="29"/>
  <c r="B687" i="29"/>
  <c r="B688" i="29"/>
  <c r="B689" i="29"/>
  <c r="B690" i="29"/>
  <c r="B691" i="29"/>
  <c r="B692" i="29"/>
  <c r="B693" i="29"/>
  <c r="B694" i="29"/>
  <c r="B695" i="29"/>
  <c r="B696" i="29"/>
  <c r="B697" i="29"/>
  <c r="B698" i="29"/>
  <c r="B699" i="29"/>
  <c r="B700" i="29"/>
  <c r="B701" i="29"/>
  <c r="B702" i="29"/>
  <c r="B703" i="29"/>
  <c r="B704" i="29"/>
  <c r="B705" i="29"/>
  <c r="B706" i="29"/>
  <c r="B707" i="29"/>
  <c r="B708" i="29"/>
  <c r="B709" i="29"/>
  <c r="B710" i="29"/>
  <c r="B711" i="29"/>
  <c r="B712" i="29"/>
  <c r="B713" i="29"/>
  <c r="B714" i="29"/>
  <c r="B715" i="29"/>
  <c r="B716" i="29"/>
  <c r="B717" i="29"/>
  <c r="B718" i="29"/>
  <c r="B719" i="29"/>
  <c r="B720" i="29"/>
  <c r="B721" i="29"/>
  <c r="B722" i="29"/>
  <c r="B723" i="29"/>
  <c r="B724" i="29"/>
  <c r="B725" i="29"/>
  <c r="B726" i="29"/>
  <c r="B727" i="29"/>
  <c r="B728" i="29"/>
  <c r="B729" i="29"/>
  <c r="B730" i="29"/>
  <c r="B731" i="29"/>
  <c r="B732" i="29"/>
  <c r="B733" i="29"/>
  <c r="B734" i="29"/>
  <c r="B735" i="29"/>
  <c r="B736" i="29"/>
  <c r="B737" i="29"/>
  <c r="B738" i="29"/>
  <c r="B739" i="29"/>
  <c r="B740" i="29"/>
  <c r="B741" i="29"/>
  <c r="B742" i="29"/>
  <c r="B743" i="29"/>
  <c r="B744" i="29"/>
  <c r="B745" i="29"/>
  <c r="B746" i="29"/>
  <c r="B747" i="29"/>
  <c r="B748" i="29"/>
  <c r="B749" i="29"/>
  <c r="B750" i="29"/>
  <c r="B751" i="29"/>
  <c r="B752" i="29"/>
  <c r="B753" i="29"/>
  <c r="B754" i="29"/>
  <c r="B755" i="29"/>
  <c r="B756" i="29"/>
  <c r="B757" i="29"/>
  <c r="B758" i="29"/>
  <c r="B759" i="29"/>
  <c r="B760" i="29"/>
  <c r="B761" i="29"/>
  <c r="B762" i="29"/>
  <c r="B763" i="29"/>
  <c r="B764" i="29"/>
  <c r="B765" i="29"/>
  <c r="B766" i="29"/>
  <c r="B767" i="29"/>
  <c r="B768" i="29"/>
  <c r="B769" i="29"/>
  <c r="B770" i="29"/>
  <c r="B771" i="29"/>
  <c r="B772" i="29"/>
  <c r="B773" i="29"/>
  <c r="B774" i="29"/>
  <c r="B775" i="29"/>
  <c r="B776" i="29"/>
  <c r="B777" i="29"/>
  <c r="B778" i="29"/>
  <c r="B779" i="29"/>
  <c r="B780" i="29"/>
  <c r="B781" i="29"/>
  <c r="B782" i="29"/>
  <c r="B783" i="29"/>
  <c r="B784" i="29"/>
  <c r="B785" i="29"/>
  <c r="B786" i="29"/>
  <c r="B787" i="29"/>
  <c r="B788" i="29"/>
  <c r="B789" i="29"/>
  <c r="B790" i="29"/>
  <c r="B791" i="29"/>
  <c r="B792" i="29"/>
  <c r="B793" i="29"/>
  <c r="B794" i="29"/>
  <c r="B795" i="29"/>
  <c r="B796" i="29"/>
  <c r="B797" i="29"/>
  <c r="B798" i="29"/>
  <c r="B799" i="29"/>
  <c r="B800" i="29"/>
  <c r="B801" i="29"/>
  <c r="B802" i="29"/>
  <c r="B803" i="29"/>
  <c r="B804" i="29"/>
  <c r="B805" i="29"/>
  <c r="B806" i="29"/>
  <c r="B807" i="29"/>
  <c r="B808" i="29"/>
  <c r="B809" i="29"/>
  <c r="B810" i="29"/>
  <c r="B811" i="29"/>
  <c r="B812" i="29"/>
  <c r="B813" i="29"/>
  <c r="B814" i="29"/>
  <c r="B815" i="29"/>
  <c r="B816" i="29"/>
  <c r="B817" i="29"/>
  <c r="B818" i="29"/>
  <c r="B819" i="29"/>
  <c r="B820" i="29"/>
  <c r="B821" i="29"/>
  <c r="B822" i="29"/>
  <c r="B823" i="29"/>
  <c r="B824" i="29"/>
  <c r="B825" i="29"/>
  <c r="B826" i="29"/>
  <c r="B827" i="29"/>
  <c r="B828" i="29"/>
  <c r="B829" i="29"/>
  <c r="B830" i="29"/>
  <c r="B831" i="29"/>
  <c r="B832" i="29"/>
  <c r="B833" i="29"/>
  <c r="B834" i="29"/>
  <c r="B835" i="29"/>
  <c r="B836" i="29"/>
  <c r="B837" i="29"/>
  <c r="B838" i="29"/>
  <c r="B839" i="29"/>
  <c r="B840" i="29"/>
  <c r="B841" i="29"/>
  <c r="B842" i="29"/>
  <c r="B843" i="29"/>
  <c r="B844" i="29"/>
  <c r="B845" i="29"/>
  <c r="B846" i="29"/>
  <c r="B847" i="29"/>
  <c r="B848" i="29"/>
  <c r="B849" i="29"/>
  <c r="B850" i="29"/>
  <c r="B851" i="29"/>
  <c r="B852" i="29"/>
  <c r="B853" i="29"/>
  <c r="B854" i="29"/>
  <c r="B855" i="29"/>
  <c r="B856" i="29"/>
  <c r="B857" i="29"/>
  <c r="B858" i="29"/>
  <c r="B859" i="29"/>
  <c r="B860" i="29"/>
  <c r="B861" i="29"/>
  <c r="B862" i="29"/>
  <c r="B863" i="29"/>
  <c r="B864" i="29"/>
  <c r="B865" i="29"/>
  <c r="B866" i="29"/>
  <c r="B867" i="29"/>
  <c r="B868" i="29"/>
  <c r="B869" i="29"/>
  <c r="B870" i="29"/>
  <c r="B871" i="29"/>
  <c r="B872" i="29"/>
  <c r="B873" i="29"/>
  <c r="B874" i="29"/>
  <c r="B875" i="29"/>
  <c r="B876" i="29"/>
  <c r="B877" i="29"/>
  <c r="B878" i="29"/>
  <c r="B879" i="29"/>
  <c r="B880" i="29"/>
  <c r="B881" i="29"/>
  <c r="B882" i="29"/>
  <c r="B883" i="29"/>
  <c r="B884" i="29"/>
  <c r="B885" i="29"/>
  <c r="B886" i="29"/>
  <c r="B887" i="29"/>
  <c r="B888" i="29"/>
  <c r="B889" i="29"/>
  <c r="B890" i="29"/>
  <c r="B891" i="29"/>
  <c r="B892" i="29"/>
  <c r="B893" i="29"/>
  <c r="B894" i="29"/>
  <c r="B895" i="29"/>
  <c r="B896" i="29"/>
  <c r="B897" i="29"/>
  <c r="B898" i="29"/>
  <c r="B899" i="29"/>
  <c r="B900" i="29"/>
  <c r="B901" i="29"/>
  <c r="B902" i="29"/>
  <c r="B903" i="29"/>
  <c r="B904" i="29"/>
  <c r="B905" i="29"/>
  <c r="B906" i="29"/>
  <c r="B907" i="29"/>
  <c r="B908" i="29"/>
  <c r="B909" i="29"/>
  <c r="B910" i="29"/>
  <c r="B911" i="29"/>
  <c r="B912" i="29"/>
  <c r="B913" i="29"/>
  <c r="B914" i="29"/>
  <c r="B915" i="29"/>
  <c r="B916" i="29"/>
  <c r="B917" i="29"/>
  <c r="B918" i="29"/>
  <c r="B919" i="29"/>
  <c r="B920" i="29"/>
  <c r="B921" i="29"/>
  <c r="B922" i="29"/>
  <c r="B923" i="29"/>
  <c r="B924" i="29"/>
  <c r="B925" i="29"/>
  <c r="B926" i="29"/>
  <c r="B927" i="29"/>
  <c r="B928" i="29"/>
  <c r="B929" i="29"/>
  <c r="B930" i="29"/>
  <c r="B931" i="29"/>
  <c r="B932" i="29"/>
  <c r="B933" i="29"/>
  <c r="B934" i="29"/>
  <c r="B935" i="29"/>
  <c r="B936" i="29"/>
  <c r="B937" i="29"/>
  <c r="B938" i="29"/>
  <c r="B939" i="29"/>
  <c r="B940" i="29"/>
  <c r="B941" i="29"/>
  <c r="B942" i="29"/>
  <c r="B943" i="29"/>
  <c r="B944" i="29"/>
  <c r="B945" i="29"/>
  <c r="B946" i="29"/>
  <c r="B947" i="29"/>
  <c r="B948" i="29"/>
  <c r="B949" i="29"/>
  <c r="B950" i="29"/>
  <c r="B951" i="29"/>
  <c r="B952" i="29"/>
  <c r="B953" i="29"/>
  <c r="B954" i="29"/>
  <c r="B955" i="29"/>
  <c r="B956" i="29"/>
  <c r="B957" i="29"/>
  <c r="B958" i="29"/>
  <c r="B959" i="29"/>
  <c r="B960" i="29"/>
  <c r="B961" i="29"/>
  <c r="B962" i="29"/>
  <c r="B963" i="29"/>
  <c r="B964" i="29"/>
  <c r="B965" i="29"/>
  <c r="B966" i="29"/>
  <c r="B967" i="29"/>
  <c r="B968" i="29"/>
  <c r="B969" i="29"/>
  <c r="B970" i="29"/>
  <c r="B971" i="29"/>
  <c r="B972" i="29"/>
  <c r="B973" i="29"/>
  <c r="B974" i="29"/>
  <c r="B975" i="29"/>
  <c r="B976" i="29"/>
  <c r="B977" i="29"/>
  <c r="B978" i="29"/>
  <c r="B979" i="29"/>
  <c r="B980" i="29"/>
  <c r="B981" i="29"/>
  <c r="B982" i="29"/>
  <c r="B983" i="29"/>
  <c r="B984" i="29"/>
  <c r="B985" i="29"/>
  <c r="B986" i="29"/>
  <c r="B987" i="29"/>
  <c r="B988" i="29"/>
  <c r="B989" i="29"/>
  <c r="B990" i="29"/>
  <c r="B991" i="29"/>
  <c r="B992" i="29"/>
  <c r="B993" i="29"/>
  <c r="B994" i="29"/>
  <c r="B995" i="29"/>
  <c r="B996" i="29"/>
  <c r="B997" i="29"/>
  <c r="B998" i="29"/>
  <c r="B999" i="29"/>
  <c r="B1000" i="29"/>
  <c r="B1001" i="29"/>
  <c r="B1002" i="29"/>
  <c r="B1003" i="29"/>
  <c r="G429" i="42"/>
  <c r="G427" i="42"/>
  <c r="G426" i="42"/>
  <c r="G424" i="42"/>
  <c r="G422" i="42"/>
  <c r="G420" i="42"/>
  <c r="G417" i="42"/>
  <c r="G412" i="42"/>
  <c r="G410" i="42"/>
  <c r="G409" i="42"/>
  <c r="G408" i="42"/>
  <c r="G406" i="42"/>
  <c r="G405" i="42"/>
  <c r="G404" i="42"/>
  <c r="G403" i="42"/>
  <c r="G401" i="42"/>
  <c r="G400" i="42"/>
  <c r="G397" i="42"/>
  <c r="G396" i="42"/>
  <c r="G395" i="42"/>
  <c r="G394" i="42"/>
  <c r="G393" i="42"/>
  <c r="G390" i="42"/>
  <c r="G387" i="42"/>
  <c r="G384" i="42"/>
  <c r="G381" i="42"/>
  <c r="G380" i="42"/>
  <c r="G379" i="42"/>
  <c r="G378" i="42"/>
  <c r="G377" i="42"/>
  <c r="G376" i="42"/>
  <c r="G374" i="42"/>
  <c r="G373" i="42"/>
  <c r="G370" i="42"/>
  <c r="G368" i="42"/>
  <c r="G367" i="42"/>
  <c r="G366" i="42"/>
  <c r="G364" i="42"/>
  <c r="G363" i="42"/>
  <c r="G299" i="42"/>
  <c r="G298" i="42"/>
  <c r="G297" i="42"/>
  <c r="G296" i="42"/>
  <c r="G295" i="42"/>
  <c r="G294" i="42"/>
  <c r="G293" i="42"/>
  <c r="G292" i="42"/>
  <c r="G291" i="42"/>
  <c r="G290" i="42"/>
  <c r="G289" i="42"/>
  <c r="G288" i="42"/>
  <c r="G287" i="42"/>
  <c r="G286" i="42"/>
  <c r="G285" i="42"/>
  <c r="G284" i="42"/>
  <c r="G283" i="42"/>
  <c r="G282" i="42"/>
  <c r="G281" i="42"/>
  <c r="G280" i="42"/>
  <c r="G279" i="42"/>
  <c r="G278" i="42"/>
  <c r="G277" i="42"/>
  <c r="G276" i="42"/>
  <c r="G275" i="42"/>
  <c r="G274" i="42"/>
  <c r="G273" i="42"/>
  <c r="G272" i="42"/>
  <c r="G271" i="42"/>
  <c r="G270" i="42"/>
  <c r="G269" i="42"/>
  <c r="G268" i="42"/>
  <c r="G267" i="42"/>
  <c r="G266" i="42"/>
  <c r="G265" i="42"/>
  <c r="G264" i="42"/>
  <c r="G263" i="42"/>
  <c r="G262" i="42"/>
  <c r="G261" i="42"/>
  <c r="G260" i="42"/>
  <c r="G259" i="42"/>
  <c r="G258" i="42"/>
  <c r="G257" i="42"/>
  <c r="G256" i="42"/>
  <c r="G255" i="42"/>
  <c r="G254" i="42"/>
  <c r="G253" i="42"/>
  <c r="G252" i="42"/>
  <c r="G251" i="42"/>
  <c r="G250" i="42"/>
  <c r="G249" i="42"/>
  <c r="G248" i="42"/>
  <c r="G247" i="42"/>
  <c r="G246" i="42"/>
  <c r="G245" i="42"/>
  <c r="G244" i="42"/>
  <c r="G243" i="42"/>
  <c r="G242" i="42"/>
  <c r="G241" i="42"/>
  <c r="G240" i="42"/>
  <c r="G239" i="42"/>
  <c r="G238" i="42"/>
  <c r="G237" i="42"/>
  <c r="G236" i="42"/>
  <c r="G235" i="42"/>
  <c r="G234" i="42"/>
  <c r="G233" i="42"/>
  <c r="G232" i="42"/>
  <c r="G231" i="42"/>
  <c r="G230" i="42"/>
  <c r="G229" i="42"/>
  <c r="G228" i="42"/>
  <c r="G227" i="42"/>
  <c r="G226" i="42"/>
  <c r="G225" i="42"/>
  <c r="G224" i="42"/>
  <c r="G223" i="42"/>
  <c r="G222" i="42"/>
  <c r="G221" i="42"/>
  <c r="G220" i="42"/>
  <c r="G219" i="42"/>
  <c r="G218" i="42"/>
  <c r="G217" i="42"/>
  <c r="G216" i="42"/>
  <c r="F429" i="42"/>
  <c r="F427" i="42"/>
  <c r="F426" i="42"/>
  <c r="F424" i="42"/>
  <c r="F422" i="42"/>
  <c r="F420" i="42"/>
  <c r="F417" i="42"/>
  <c r="F412" i="42"/>
  <c r="F410" i="42"/>
  <c r="F409" i="42"/>
  <c r="F408" i="42"/>
  <c r="F406" i="42"/>
  <c r="F405" i="42"/>
  <c r="F404" i="42"/>
  <c r="F403" i="42"/>
  <c r="F401" i="42"/>
  <c r="F400" i="42"/>
  <c r="F397" i="42"/>
  <c r="F396" i="42"/>
  <c r="F395" i="42"/>
  <c r="F394" i="42"/>
  <c r="F393" i="42"/>
  <c r="F390" i="42"/>
  <c r="F387" i="42"/>
  <c r="F384" i="42"/>
  <c r="F381" i="42"/>
  <c r="F380" i="42"/>
  <c r="F379" i="42"/>
  <c r="F378" i="42"/>
  <c r="F377" i="42"/>
  <c r="F376" i="42"/>
  <c r="F374" i="42"/>
  <c r="F373" i="42"/>
  <c r="F370" i="42"/>
  <c r="F368" i="42"/>
  <c r="F367" i="42"/>
  <c r="F366" i="42"/>
  <c r="F364" i="42"/>
  <c r="F363" i="42"/>
  <c r="F299" i="42"/>
  <c r="F298" i="42"/>
  <c r="F297" i="42"/>
  <c r="F296" i="42"/>
  <c r="F295" i="42"/>
  <c r="F294" i="42"/>
  <c r="F293" i="42"/>
  <c r="F292" i="42"/>
  <c r="F291" i="42"/>
  <c r="F290" i="42"/>
  <c r="F289" i="42"/>
  <c r="F288" i="42"/>
  <c r="F287" i="42"/>
  <c r="F286" i="42"/>
  <c r="F285" i="42"/>
  <c r="F284" i="42"/>
  <c r="F283" i="42"/>
  <c r="F282" i="42"/>
  <c r="F281" i="42"/>
  <c r="F280" i="42"/>
  <c r="F279" i="42"/>
  <c r="F278" i="42"/>
  <c r="F277" i="42"/>
  <c r="F276" i="42"/>
  <c r="F275" i="42"/>
  <c r="F274" i="42"/>
  <c r="F273" i="42"/>
  <c r="F272" i="42"/>
  <c r="F271" i="42"/>
  <c r="F270" i="42"/>
  <c r="F269" i="42"/>
  <c r="F268" i="42"/>
  <c r="F267" i="42"/>
  <c r="F266" i="42"/>
  <c r="F265" i="42"/>
  <c r="F264" i="42"/>
  <c r="F263" i="42"/>
  <c r="F262" i="42"/>
  <c r="F261" i="42"/>
  <c r="F260" i="42"/>
  <c r="F259" i="42"/>
  <c r="F258" i="42"/>
  <c r="F257" i="42"/>
  <c r="F256" i="42"/>
  <c r="F255" i="42"/>
  <c r="F254" i="42"/>
  <c r="F253" i="42"/>
  <c r="F252" i="42"/>
  <c r="F251" i="42"/>
  <c r="F250" i="42"/>
  <c r="F249" i="42"/>
  <c r="F248" i="42"/>
  <c r="F247" i="42"/>
  <c r="F246" i="42"/>
  <c r="F245" i="42"/>
  <c r="F244" i="42"/>
  <c r="F243" i="42"/>
  <c r="F242" i="42"/>
  <c r="F241" i="42"/>
  <c r="F240" i="42"/>
  <c r="F239" i="42"/>
  <c r="F238" i="42"/>
  <c r="F237" i="42"/>
  <c r="F236" i="42"/>
  <c r="F235" i="42"/>
  <c r="F234" i="42"/>
  <c r="F233" i="42"/>
  <c r="F232" i="42"/>
  <c r="F231" i="42"/>
  <c r="F230" i="42"/>
  <c r="F229" i="42"/>
  <c r="F228" i="42"/>
  <c r="F227" i="42"/>
  <c r="F226" i="42"/>
  <c r="F225" i="42"/>
  <c r="F224" i="42"/>
  <c r="F223" i="42"/>
  <c r="F222" i="42"/>
  <c r="F221" i="42"/>
  <c r="F220" i="42"/>
  <c r="F219" i="42"/>
  <c r="F218" i="42"/>
  <c r="F217" i="42"/>
  <c r="F216" i="42"/>
  <c r="E429" i="42"/>
  <c r="E427" i="42"/>
  <c r="E426" i="42"/>
  <c r="E424" i="42"/>
  <c r="E422" i="42"/>
  <c r="E420" i="42"/>
  <c r="E417" i="42"/>
  <c r="E412" i="42"/>
  <c r="E410" i="42"/>
  <c r="E409" i="42"/>
  <c r="E408" i="42"/>
  <c r="E406" i="42"/>
  <c r="E405" i="42"/>
  <c r="E404" i="42"/>
  <c r="E403" i="42"/>
  <c r="E401" i="42"/>
  <c r="E400" i="42"/>
  <c r="E397" i="42"/>
  <c r="E396" i="42"/>
  <c r="E395" i="42"/>
  <c r="E394" i="42"/>
  <c r="E393" i="42"/>
  <c r="E390" i="42"/>
  <c r="E387" i="42"/>
  <c r="E384" i="42"/>
  <c r="E381" i="42"/>
  <c r="E380" i="42"/>
  <c r="E379" i="42"/>
  <c r="E378" i="42"/>
  <c r="E377" i="42"/>
  <c r="E376" i="42"/>
  <c r="E374" i="42"/>
  <c r="E373" i="42"/>
  <c r="E370" i="42"/>
  <c r="E368" i="42"/>
  <c r="E367" i="42"/>
  <c r="E366" i="42"/>
  <c r="E364" i="42"/>
  <c r="E363" i="42"/>
  <c r="E299" i="42"/>
  <c r="E298" i="42"/>
  <c r="E297" i="42"/>
  <c r="E296" i="42"/>
  <c r="E295" i="42"/>
  <c r="E294" i="42"/>
  <c r="E293" i="42"/>
  <c r="E292" i="42"/>
  <c r="E291" i="42"/>
  <c r="E290" i="42"/>
  <c r="E289" i="42"/>
  <c r="E288" i="42"/>
  <c r="E287" i="42"/>
  <c r="E286" i="42"/>
  <c r="E285" i="42"/>
  <c r="E284" i="42"/>
  <c r="E283" i="42"/>
  <c r="E282" i="42"/>
  <c r="E281" i="42"/>
  <c r="E280" i="42"/>
  <c r="E279" i="42"/>
  <c r="E278" i="42"/>
  <c r="E277" i="42"/>
  <c r="E276" i="42"/>
  <c r="E275" i="42"/>
  <c r="E274" i="42"/>
  <c r="E273" i="42"/>
  <c r="E272" i="42"/>
  <c r="E271" i="42"/>
  <c r="E270" i="42"/>
  <c r="E269" i="42"/>
  <c r="E268" i="42"/>
  <c r="E267" i="42"/>
  <c r="E266" i="42"/>
  <c r="E265" i="42"/>
  <c r="E264" i="42"/>
  <c r="E263" i="42"/>
  <c r="E262" i="42"/>
  <c r="E261" i="42"/>
  <c r="E260" i="42"/>
  <c r="E259" i="42"/>
  <c r="E258" i="42"/>
  <c r="E257" i="42"/>
  <c r="E256" i="42"/>
  <c r="E255" i="42"/>
  <c r="E254" i="42"/>
  <c r="E253" i="42"/>
  <c r="E252" i="42"/>
  <c r="E251" i="42"/>
  <c r="E250" i="42"/>
  <c r="E249" i="42"/>
  <c r="E248" i="42"/>
  <c r="E247" i="42"/>
  <c r="E246" i="42"/>
  <c r="E245" i="42"/>
  <c r="E244" i="42"/>
  <c r="E243" i="42"/>
  <c r="E242" i="42"/>
  <c r="E241" i="42"/>
  <c r="E240" i="42"/>
  <c r="E239" i="42"/>
  <c r="E238" i="42"/>
  <c r="E237" i="42"/>
  <c r="E236" i="42"/>
  <c r="E235" i="42"/>
  <c r="E234" i="42"/>
  <c r="E233" i="42"/>
  <c r="E232" i="42"/>
  <c r="E231" i="42"/>
  <c r="E230" i="42"/>
  <c r="E229" i="42"/>
  <c r="E228" i="42"/>
  <c r="E227" i="42"/>
  <c r="E226" i="42"/>
  <c r="E225" i="42"/>
  <c r="E224" i="42"/>
  <c r="E223" i="42"/>
  <c r="E222" i="42"/>
  <c r="E221" i="42"/>
  <c r="E220" i="42"/>
  <c r="E219" i="42"/>
  <c r="E218" i="42"/>
  <c r="E217" i="42"/>
  <c r="E216" i="42"/>
  <c r="D429" i="42"/>
  <c r="D427" i="42"/>
  <c r="D426" i="42"/>
  <c r="D424" i="42"/>
  <c r="D422" i="42"/>
  <c r="D420" i="42"/>
  <c r="D417" i="42"/>
  <c r="D412" i="42"/>
  <c r="D410" i="42"/>
  <c r="D409" i="42"/>
  <c r="D408" i="42"/>
  <c r="D406" i="42"/>
  <c r="D405" i="42"/>
  <c r="D404" i="42"/>
  <c r="D403" i="42"/>
  <c r="D401" i="42"/>
  <c r="D400" i="42"/>
  <c r="D397" i="42"/>
  <c r="D396" i="42"/>
  <c r="D395" i="42"/>
  <c r="D394" i="42"/>
  <c r="D393" i="42"/>
  <c r="D390" i="42"/>
  <c r="D387" i="42"/>
  <c r="D384" i="42"/>
  <c r="D381" i="42"/>
  <c r="D380" i="42"/>
  <c r="D379" i="42"/>
  <c r="D378" i="42"/>
  <c r="D377" i="42"/>
  <c r="D376" i="42"/>
  <c r="D374" i="42"/>
  <c r="D373" i="42"/>
  <c r="D370" i="42"/>
  <c r="D368" i="42"/>
  <c r="D367" i="42"/>
  <c r="D366" i="42"/>
  <c r="D364" i="42"/>
  <c r="D363" i="42"/>
  <c r="D299" i="42"/>
  <c r="D298" i="42"/>
  <c r="D297" i="42"/>
  <c r="D296" i="42"/>
  <c r="D295" i="42"/>
  <c r="D294" i="42"/>
  <c r="D293" i="42"/>
  <c r="D292" i="42"/>
  <c r="D291" i="42"/>
  <c r="D290" i="42"/>
  <c r="D289" i="42"/>
  <c r="D288" i="42"/>
  <c r="D287" i="42"/>
  <c r="D286" i="42"/>
  <c r="D285" i="42"/>
  <c r="D284" i="42"/>
  <c r="D283" i="42"/>
  <c r="D282" i="42"/>
  <c r="D281" i="42"/>
  <c r="D280" i="42"/>
  <c r="D279" i="42"/>
  <c r="D278" i="42"/>
  <c r="D277" i="42"/>
  <c r="D276" i="42"/>
  <c r="D275" i="42"/>
  <c r="D274" i="42"/>
  <c r="D273" i="42"/>
  <c r="D272" i="42"/>
  <c r="D271" i="42"/>
  <c r="D270" i="42"/>
  <c r="D269" i="42"/>
  <c r="D268" i="42"/>
  <c r="D267" i="42"/>
  <c r="D266" i="42"/>
  <c r="D265" i="42"/>
  <c r="D264" i="42"/>
  <c r="D263" i="42"/>
  <c r="D262" i="42"/>
  <c r="D261" i="42"/>
  <c r="D260" i="42"/>
  <c r="D259" i="42"/>
  <c r="D258" i="42"/>
  <c r="D257" i="42"/>
  <c r="D256" i="42"/>
  <c r="D255" i="42"/>
  <c r="D254" i="42"/>
  <c r="D253" i="42"/>
  <c r="D252" i="42"/>
  <c r="D251" i="42"/>
  <c r="D250" i="42"/>
  <c r="D249" i="42"/>
  <c r="D248" i="42"/>
  <c r="D247" i="42"/>
  <c r="D246" i="42"/>
  <c r="D245" i="42"/>
  <c r="D244" i="42"/>
  <c r="D243" i="42"/>
  <c r="D242" i="42"/>
  <c r="D241" i="42"/>
  <c r="D240" i="42"/>
  <c r="D239" i="42"/>
  <c r="D238" i="42"/>
  <c r="D237" i="42"/>
  <c r="D236" i="42"/>
  <c r="D235" i="42"/>
  <c r="D234" i="42"/>
  <c r="D233" i="42"/>
  <c r="D232" i="42"/>
  <c r="D231" i="42"/>
  <c r="D230" i="42"/>
  <c r="D229" i="42"/>
  <c r="D228" i="42"/>
  <c r="D227" i="42"/>
  <c r="D226" i="42"/>
  <c r="D225" i="42"/>
  <c r="D224" i="42"/>
  <c r="D223" i="42"/>
  <c r="D222" i="42"/>
  <c r="D221" i="42"/>
  <c r="D220" i="42"/>
  <c r="D219" i="42"/>
  <c r="D218" i="42"/>
  <c r="D217" i="42"/>
  <c r="D216" i="42"/>
  <c r="C429" i="42"/>
  <c r="C427" i="42"/>
  <c r="C426" i="42"/>
  <c r="C424" i="42"/>
  <c r="C422" i="42"/>
  <c r="C420" i="42"/>
  <c r="C417" i="42"/>
  <c r="C412" i="42"/>
  <c r="C410" i="42"/>
  <c r="C409" i="42"/>
  <c r="C408" i="42"/>
  <c r="C406" i="42"/>
  <c r="C405" i="42"/>
  <c r="C404" i="42"/>
  <c r="C403" i="42"/>
  <c r="C401" i="42"/>
  <c r="C400" i="42"/>
  <c r="C397" i="42"/>
  <c r="C396" i="42"/>
  <c r="C395" i="42"/>
  <c r="C394" i="42"/>
  <c r="C393" i="42"/>
  <c r="C390" i="42"/>
  <c r="C387" i="42"/>
  <c r="C384" i="42"/>
  <c r="C381" i="42"/>
  <c r="C380" i="42"/>
  <c r="C379" i="42"/>
  <c r="C378" i="42"/>
  <c r="C377" i="42"/>
  <c r="C376" i="42"/>
  <c r="C374" i="42"/>
  <c r="C373" i="42"/>
  <c r="C370" i="42"/>
  <c r="C368" i="42"/>
  <c r="C367" i="42"/>
  <c r="C366" i="42"/>
  <c r="C364" i="42"/>
  <c r="C363" i="42"/>
  <c r="C299" i="42"/>
  <c r="C298" i="42"/>
  <c r="C297" i="42"/>
  <c r="C296" i="42"/>
  <c r="C295" i="42"/>
  <c r="C294" i="42"/>
  <c r="C293" i="42"/>
  <c r="C292" i="42"/>
  <c r="C291" i="42"/>
  <c r="C290" i="42"/>
  <c r="C289" i="42"/>
  <c r="C288" i="42"/>
  <c r="C287" i="42"/>
  <c r="C286" i="42"/>
  <c r="C285" i="42"/>
  <c r="C284" i="42"/>
  <c r="C283" i="42"/>
  <c r="C282" i="42"/>
  <c r="C281" i="42"/>
  <c r="C280" i="42"/>
  <c r="C279" i="42"/>
  <c r="C278" i="42"/>
  <c r="C277" i="42"/>
  <c r="C276" i="42"/>
  <c r="C275" i="42"/>
  <c r="C274" i="42"/>
  <c r="C273" i="42"/>
  <c r="C272" i="42"/>
  <c r="C271" i="42"/>
  <c r="C270" i="42"/>
  <c r="C269" i="42"/>
  <c r="C268" i="42"/>
  <c r="C267" i="42"/>
  <c r="C266" i="42"/>
  <c r="C265" i="42"/>
  <c r="C264" i="42"/>
  <c r="C263" i="42"/>
  <c r="C262" i="42"/>
  <c r="C261" i="42"/>
  <c r="C260" i="42"/>
  <c r="C259" i="42"/>
  <c r="C258" i="42"/>
  <c r="C257" i="42"/>
  <c r="C256" i="42"/>
  <c r="C255" i="42"/>
  <c r="C254" i="42"/>
  <c r="C253" i="42"/>
  <c r="C252" i="42"/>
  <c r="C251" i="42"/>
  <c r="C250" i="42"/>
  <c r="C249" i="42"/>
  <c r="C248" i="42"/>
  <c r="C247" i="42"/>
  <c r="C246" i="42"/>
  <c r="C245" i="42"/>
  <c r="C244" i="42"/>
  <c r="C243" i="42"/>
  <c r="C242" i="42"/>
  <c r="C241" i="42"/>
  <c r="C240" i="42"/>
  <c r="C239" i="42"/>
  <c r="C238" i="42"/>
  <c r="C237" i="42"/>
  <c r="C236" i="42"/>
  <c r="C235" i="42"/>
  <c r="C234" i="42"/>
  <c r="C233" i="42"/>
  <c r="C232" i="42"/>
  <c r="C231" i="42"/>
  <c r="C230" i="42"/>
  <c r="C229" i="42"/>
  <c r="C228" i="42"/>
  <c r="C227" i="42"/>
  <c r="C226" i="42"/>
  <c r="C225" i="42"/>
  <c r="C224" i="42"/>
  <c r="C223" i="42"/>
  <c r="C222" i="42"/>
  <c r="C221" i="42"/>
  <c r="C220" i="42"/>
  <c r="C219" i="42"/>
  <c r="C218" i="42"/>
  <c r="C217" i="42"/>
  <c r="C216" i="42"/>
  <c r="I888" i="29"/>
  <c r="I894" i="29"/>
  <c r="I896" i="29"/>
  <c r="I902" i="29"/>
  <c r="I904" i="29"/>
  <c r="I910" i="29"/>
  <c r="I912" i="29"/>
  <c r="I918" i="29"/>
  <c r="I920" i="29"/>
  <c r="I926" i="29"/>
  <c r="I928" i="29"/>
  <c r="I934" i="29"/>
  <c r="I936" i="29"/>
  <c r="I942" i="29"/>
  <c r="I944" i="29"/>
  <c r="I950" i="29"/>
  <c r="I952" i="29"/>
  <c r="I958" i="29"/>
  <c r="I960" i="29"/>
  <c r="I966" i="29"/>
  <c r="I968" i="29"/>
  <c r="I974" i="29"/>
  <c r="I976" i="29"/>
  <c r="I982" i="29"/>
  <c r="I984" i="29"/>
  <c r="I990" i="29"/>
  <c r="I992" i="29"/>
  <c r="I998" i="29"/>
  <c r="I1000" i="29"/>
  <c r="I891" i="29"/>
  <c r="I907" i="29"/>
  <c r="I923" i="29"/>
  <c r="I939" i="29"/>
  <c r="I955" i="29"/>
  <c r="I971" i="29"/>
  <c r="I987" i="29"/>
  <c r="I1003" i="29"/>
  <c r="I887" i="29"/>
  <c r="I890" i="29"/>
  <c r="I892" i="29"/>
  <c r="I895" i="29"/>
  <c r="I898" i="29"/>
  <c r="I899" i="29"/>
  <c r="I900" i="29"/>
  <c r="I903" i="29"/>
  <c r="I906" i="29"/>
  <c r="I908" i="29"/>
  <c r="I911" i="29"/>
  <c r="I914" i="29"/>
  <c r="I915" i="29"/>
  <c r="I916" i="29"/>
  <c r="I919" i="29"/>
  <c r="I922" i="29"/>
  <c r="I924" i="29"/>
  <c r="I927" i="29"/>
  <c r="I930" i="29"/>
  <c r="I931" i="29"/>
  <c r="I932" i="29"/>
  <c r="I935" i="29"/>
  <c r="I938" i="29"/>
  <c r="I940" i="29"/>
  <c r="I943" i="29"/>
  <c r="I946" i="29"/>
  <c r="I947" i="29"/>
  <c r="I948" i="29"/>
  <c r="I951" i="29"/>
  <c r="I954" i="29"/>
  <c r="I956" i="29"/>
  <c r="I959" i="29"/>
  <c r="I962" i="29"/>
  <c r="I963" i="29"/>
  <c r="I964" i="29"/>
  <c r="I967" i="29"/>
  <c r="I970" i="29"/>
  <c r="I972" i="29"/>
  <c r="I975" i="29"/>
  <c r="I978" i="29"/>
  <c r="I979" i="29"/>
  <c r="I980" i="29"/>
  <c r="I983" i="29"/>
  <c r="I986" i="29"/>
  <c r="I988" i="29"/>
  <c r="I991" i="29"/>
  <c r="I994" i="29"/>
  <c r="I995" i="29"/>
  <c r="I996" i="29"/>
  <c r="I999" i="29"/>
  <c r="I1002" i="29"/>
  <c r="H10" i="41"/>
  <c r="H11" i="41"/>
  <c r="H12" i="41"/>
  <c r="H13" i="41"/>
  <c r="H14" i="41"/>
  <c r="H15" i="41"/>
  <c r="H16" i="41"/>
  <c r="H17" i="41"/>
  <c r="H18" i="41"/>
  <c r="H19" i="41"/>
  <c r="H20" i="41"/>
  <c r="H21" i="41"/>
  <c r="H22" i="41"/>
  <c r="H23" i="41"/>
  <c r="H24" i="41"/>
  <c r="H25" i="41"/>
  <c r="H26" i="41"/>
  <c r="H27" i="41"/>
  <c r="H28" i="41"/>
  <c r="H29" i="41"/>
  <c r="H30" i="41"/>
  <c r="H31" i="41"/>
  <c r="H32" i="41"/>
  <c r="H33" i="41"/>
  <c r="H34" i="41"/>
  <c r="H35" i="41"/>
  <c r="H36" i="41"/>
  <c r="H37" i="41"/>
  <c r="H38" i="41"/>
  <c r="H39" i="41"/>
  <c r="H40" i="41"/>
  <c r="H41" i="41"/>
  <c r="H42" i="41"/>
  <c r="H43" i="41"/>
  <c r="H44" i="41"/>
  <c r="H45" i="41"/>
  <c r="H46" i="41"/>
  <c r="H47" i="41"/>
  <c r="H48" i="41"/>
  <c r="H49" i="41"/>
  <c r="H50" i="41"/>
  <c r="H51" i="41"/>
  <c r="H52" i="41"/>
  <c r="H53" i="41"/>
  <c r="H54" i="41"/>
  <c r="H55" i="41"/>
  <c r="H56" i="41"/>
  <c r="H57" i="41"/>
  <c r="H58" i="41"/>
  <c r="H59" i="41"/>
  <c r="H60" i="41"/>
  <c r="H61" i="41"/>
  <c r="H62" i="41"/>
  <c r="H63" i="41"/>
  <c r="H64" i="41"/>
  <c r="H65" i="41"/>
  <c r="H66" i="41"/>
  <c r="H67" i="41"/>
  <c r="H68" i="41"/>
  <c r="H69" i="41"/>
  <c r="H70" i="41"/>
  <c r="H71" i="41"/>
  <c r="H72" i="41"/>
  <c r="H73" i="41"/>
  <c r="H74" i="41"/>
  <c r="H75" i="41"/>
  <c r="H76" i="41"/>
  <c r="H77" i="41"/>
  <c r="H78" i="41"/>
  <c r="H79" i="41"/>
  <c r="H80" i="41"/>
  <c r="H81" i="41"/>
  <c r="H82" i="41"/>
  <c r="H83" i="41"/>
  <c r="H84" i="41"/>
  <c r="H85" i="41"/>
  <c r="H86" i="41"/>
  <c r="H87" i="41"/>
  <c r="H88" i="41"/>
  <c r="H89" i="41"/>
  <c r="H90" i="41"/>
  <c r="H91" i="41"/>
  <c r="H92" i="41"/>
  <c r="H93" i="41"/>
  <c r="H94" i="41"/>
  <c r="H95" i="41"/>
  <c r="H96" i="41"/>
  <c r="H97" i="41"/>
  <c r="H98" i="41"/>
  <c r="H99" i="41"/>
  <c r="H100" i="41"/>
  <c r="H101" i="41"/>
  <c r="H102" i="41"/>
  <c r="H103" i="41"/>
  <c r="H104" i="41"/>
  <c r="H105" i="41"/>
  <c r="H106" i="41"/>
  <c r="H107" i="41"/>
  <c r="H108" i="41"/>
  <c r="H109" i="41"/>
  <c r="H110" i="41"/>
  <c r="H111" i="41"/>
  <c r="H112" i="41"/>
  <c r="H113" i="41"/>
  <c r="H114" i="41"/>
  <c r="H115" i="41"/>
  <c r="H116" i="41"/>
  <c r="H117" i="41"/>
  <c r="H118" i="41"/>
  <c r="H119" i="41"/>
  <c r="H120" i="41"/>
  <c r="H121" i="41"/>
  <c r="H122" i="41"/>
  <c r="H123" i="41"/>
  <c r="H124" i="41"/>
  <c r="H125" i="41"/>
  <c r="H126" i="41"/>
  <c r="H127" i="41"/>
  <c r="H128" i="41"/>
  <c r="H129" i="41"/>
  <c r="H130" i="41"/>
  <c r="H131" i="41"/>
  <c r="H132" i="41"/>
  <c r="H133" i="41"/>
  <c r="H134" i="41"/>
  <c r="H135" i="41"/>
  <c r="H136" i="41"/>
  <c r="H137" i="41"/>
  <c r="H138" i="41"/>
  <c r="H139" i="41"/>
  <c r="H140" i="41"/>
  <c r="H141" i="41"/>
  <c r="H142" i="41"/>
  <c r="H143" i="41"/>
  <c r="H144" i="41"/>
  <c r="H145" i="41"/>
  <c r="H146" i="41"/>
  <c r="H147" i="41"/>
  <c r="H148" i="41"/>
  <c r="H149" i="41"/>
  <c r="H150" i="41"/>
  <c r="H151" i="41"/>
  <c r="H152" i="41"/>
  <c r="H153" i="41"/>
  <c r="H154" i="41"/>
  <c r="H155" i="41"/>
  <c r="H156" i="41"/>
  <c r="H157" i="41"/>
  <c r="H158" i="41"/>
  <c r="H159" i="41"/>
  <c r="H160" i="41"/>
  <c r="H161" i="41"/>
  <c r="H162" i="41"/>
  <c r="H163" i="41"/>
  <c r="H164" i="41"/>
  <c r="H165" i="41"/>
  <c r="H166" i="41"/>
  <c r="H167" i="41"/>
  <c r="H168" i="41"/>
  <c r="H169" i="41"/>
  <c r="H170" i="41"/>
  <c r="H171" i="41"/>
  <c r="H172" i="41"/>
  <c r="H173" i="41"/>
  <c r="H174" i="41"/>
  <c r="H175" i="41"/>
  <c r="H176" i="41"/>
  <c r="H177" i="41"/>
  <c r="H178" i="41"/>
  <c r="H179" i="41"/>
  <c r="H180" i="41"/>
  <c r="H181" i="41"/>
  <c r="H182" i="41"/>
  <c r="H183" i="41"/>
  <c r="H184" i="41"/>
  <c r="H185" i="41"/>
  <c r="H186" i="41"/>
  <c r="H187" i="41"/>
  <c r="H188" i="41"/>
  <c r="H189" i="41"/>
  <c r="H190" i="41"/>
  <c r="H191" i="41"/>
  <c r="H192" i="41"/>
  <c r="H193" i="41"/>
  <c r="H194" i="41"/>
  <c r="H195" i="41"/>
  <c r="H196" i="41"/>
  <c r="H197" i="41"/>
  <c r="H198" i="41"/>
  <c r="H199" i="41"/>
  <c r="H200" i="41"/>
  <c r="H201" i="41"/>
  <c r="H202" i="41"/>
  <c r="H203" i="41"/>
  <c r="H204" i="41"/>
  <c r="H205" i="41"/>
  <c r="H206" i="41"/>
  <c r="H207" i="41"/>
  <c r="H208" i="41"/>
  <c r="H209" i="41"/>
  <c r="H210" i="41"/>
  <c r="H211" i="41"/>
  <c r="H212" i="41"/>
  <c r="H213" i="41"/>
  <c r="H214" i="41"/>
  <c r="H215" i="41"/>
  <c r="H216" i="41"/>
  <c r="H217" i="41"/>
  <c r="H218" i="41"/>
  <c r="H219" i="41"/>
  <c r="H220" i="41"/>
  <c r="H221" i="41"/>
  <c r="H222" i="41"/>
  <c r="H223" i="41"/>
  <c r="H224" i="41"/>
  <c r="H225" i="41"/>
  <c r="H226" i="41"/>
  <c r="H227" i="41"/>
  <c r="H228" i="41"/>
  <c r="H229" i="41"/>
  <c r="H230" i="41"/>
  <c r="H231" i="41"/>
  <c r="H232" i="41"/>
  <c r="H233" i="41"/>
  <c r="H234" i="41"/>
  <c r="H235" i="41"/>
  <c r="H236" i="41"/>
  <c r="H237" i="41"/>
  <c r="H238" i="41"/>
  <c r="H239" i="41"/>
  <c r="H240" i="41"/>
  <c r="H241" i="41"/>
  <c r="H242" i="41"/>
  <c r="H243" i="41"/>
  <c r="H244" i="41"/>
  <c r="H245" i="41"/>
  <c r="H246" i="41"/>
  <c r="H247" i="41"/>
  <c r="H248" i="41"/>
  <c r="H249" i="41"/>
  <c r="H250" i="41"/>
  <c r="H251" i="41"/>
  <c r="H252" i="41"/>
  <c r="H253" i="41"/>
  <c r="H254" i="41"/>
  <c r="H255" i="41"/>
  <c r="H256" i="41"/>
  <c r="H257" i="41"/>
  <c r="H258" i="41"/>
  <c r="H259" i="41"/>
  <c r="H260" i="41"/>
  <c r="H261" i="41"/>
  <c r="H262" i="41"/>
  <c r="H263" i="41"/>
  <c r="H264" i="41"/>
  <c r="H265" i="41"/>
  <c r="H266" i="41"/>
  <c r="H267" i="41"/>
  <c r="H268" i="41"/>
  <c r="H269" i="41"/>
  <c r="H270" i="41"/>
  <c r="H271" i="41"/>
  <c r="H272" i="41"/>
  <c r="H273" i="41"/>
  <c r="H274" i="41"/>
  <c r="H275" i="41"/>
  <c r="H276" i="41"/>
  <c r="H277" i="41"/>
  <c r="H278" i="41"/>
  <c r="H279" i="41"/>
  <c r="H280" i="41"/>
  <c r="H281" i="41"/>
  <c r="H282" i="41"/>
  <c r="H283" i="41"/>
  <c r="H284" i="41"/>
  <c r="H285" i="41"/>
  <c r="H286" i="41"/>
  <c r="H287" i="41"/>
  <c r="H288" i="41"/>
  <c r="H289" i="41"/>
  <c r="H290" i="41"/>
  <c r="H291" i="41"/>
  <c r="H292" i="41"/>
  <c r="H293" i="41"/>
  <c r="H294" i="41"/>
  <c r="H295" i="41"/>
  <c r="H296" i="41"/>
  <c r="H297" i="41"/>
  <c r="H298" i="41"/>
  <c r="H299" i="41"/>
  <c r="H300" i="41"/>
  <c r="H363" i="41"/>
  <c r="H364" i="41"/>
  <c r="H365" i="41"/>
  <c r="H366" i="41"/>
  <c r="H367" i="41"/>
  <c r="H368" i="41"/>
  <c r="H369" i="41"/>
  <c r="H370" i="41"/>
  <c r="H371" i="41"/>
  <c r="H372" i="41"/>
  <c r="H373" i="41"/>
  <c r="H374" i="41"/>
  <c r="H375" i="41"/>
  <c r="H376" i="41"/>
  <c r="H377" i="41"/>
  <c r="H378" i="41"/>
  <c r="H379" i="41"/>
  <c r="H380" i="41"/>
  <c r="H381" i="41"/>
  <c r="H382" i="41"/>
  <c r="H383" i="41"/>
  <c r="H384" i="41"/>
  <c r="H385" i="41"/>
  <c r="H386" i="41"/>
  <c r="H387" i="41"/>
  <c r="H388" i="41"/>
  <c r="H389" i="41"/>
  <c r="H390" i="41"/>
  <c r="H391" i="41"/>
  <c r="H392" i="41"/>
  <c r="H393" i="41"/>
  <c r="H394" i="41"/>
  <c r="H395" i="41"/>
  <c r="H396" i="41"/>
  <c r="H397" i="41"/>
  <c r="H398" i="41"/>
  <c r="H399" i="41"/>
  <c r="H400" i="41"/>
  <c r="H401" i="41"/>
  <c r="H402" i="41"/>
  <c r="H403" i="41"/>
  <c r="H404" i="41"/>
  <c r="H405" i="41"/>
  <c r="H406" i="41"/>
  <c r="H407" i="41"/>
  <c r="H408" i="41"/>
  <c r="H409" i="41"/>
  <c r="H410" i="41"/>
  <c r="H411" i="41"/>
  <c r="H412" i="41"/>
  <c r="H413" i="41"/>
  <c r="H414" i="41"/>
  <c r="H415" i="41"/>
  <c r="H416" i="41"/>
  <c r="H417" i="41"/>
  <c r="H418" i="41"/>
  <c r="H419" i="41"/>
  <c r="H420" i="41"/>
  <c r="H421" i="41"/>
  <c r="H422" i="41"/>
  <c r="H423" i="41"/>
  <c r="H424" i="41"/>
  <c r="H425" i="41"/>
  <c r="H426" i="41"/>
  <c r="H427" i="41"/>
  <c r="H428" i="41"/>
  <c r="H429" i="41"/>
  <c r="H430" i="41"/>
  <c r="H431" i="41"/>
  <c r="H432" i="41"/>
  <c r="H433" i="41"/>
  <c r="H434" i="41"/>
  <c r="H435" i="41"/>
  <c r="H436" i="41"/>
  <c r="H437" i="41"/>
  <c r="H438" i="41"/>
  <c r="H439" i="41"/>
  <c r="H440" i="41"/>
  <c r="H441" i="41"/>
  <c r="H442" i="41"/>
  <c r="H443" i="41"/>
  <c r="H444" i="41"/>
  <c r="H445" i="41"/>
  <c r="H446" i="41"/>
  <c r="H447" i="41"/>
  <c r="H448" i="41"/>
  <c r="H449" i="41"/>
  <c r="H450" i="41"/>
  <c r="H451" i="41"/>
  <c r="H452" i="41"/>
  <c r="H453" i="41"/>
  <c r="H454" i="41"/>
  <c r="H455" i="41"/>
  <c r="H456" i="41"/>
  <c r="H457" i="41"/>
  <c r="H458" i="41"/>
  <c r="H459" i="41"/>
  <c r="H460" i="41"/>
  <c r="H461" i="41"/>
  <c r="H462" i="41"/>
  <c r="H463" i="41"/>
  <c r="H464" i="41"/>
  <c r="H465" i="41"/>
  <c r="H466" i="41"/>
  <c r="H467" i="41"/>
  <c r="H468" i="41"/>
  <c r="H469" i="41"/>
  <c r="H470" i="41"/>
  <c r="H471" i="41"/>
  <c r="H472" i="41"/>
  <c r="H473" i="41"/>
  <c r="H474" i="41"/>
  <c r="H475" i="41"/>
  <c r="H476" i="41"/>
  <c r="H477" i="41"/>
  <c r="H478" i="41"/>
  <c r="H479" i="41"/>
  <c r="H480" i="41"/>
  <c r="H481" i="41"/>
  <c r="H482" i="41"/>
  <c r="H483" i="41"/>
  <c r="H484" i="41"/>
  <c r="H485" i="41"/>
  <c r="H486" i="41"/>
  <c r="H487" i="41"/>
  <c r="H488" i="41"/>
  <c r="H489" i="41"/>
  <c r="H490" i="41"/>
  <c r="H491" i="41"/>
  <c r="H492" i="41"/>
  <c r="H493" i="41"/>
  <c r="H494" i="41"/>
  <c r="H495" i="41"/>
  <c r="H496" i="41"/>
  <c r="H497" i="41"/>
  <c r="H498" i="41"/>
  <c r="H499" i="41"/>
  <c r="H500" i="41"/>
  <c r="H501" i="41"/>
  <c r="H502" i="41"/>
  <c r="H503" i="41"/>
  <c r="H504" i="41"/>
  <c r="H505" i="41"/>
  <c r="H506" i="41"/>
  <c r="H507" i="41"/>
  <c r="H508" i="41"/>
  <c r="H509" i="41"/>
  <c r="H510" i="41"/>
  <c r="H511" i="41"/>
  <c r="H512" i="41"/>
  <c r="H513" i="41"/>
  <c r="H514" i="41"/>
  <c r="H515" i="41"/>
  <c r="H516" i="41"/>
  <c r="H517" i="41"/>
  <c r="H518" i="41"/>
  <c r="H519" i="41"/>
  <c r="H520" i="41"/>
  <c r="H521" i="41"/>
  <c r="H522" i="41"/>
  <c r="H523" i="41"/>
  <c r="H524" i="41"/>
  <c r="H525" i="41"/>
  <c r="H526" i="41"/>
  <c r="H527" i="41"/>
  <c r="H528" i="41"/>
  <c r="H529" i="41"/>
  <c r="H530" i="41"/>
  <c r="H531" i="41"/>
  <c r="H532" i="41"/>
  <c r="H533" i="41"/>
  <c r="H534" i="41"/>
  <c r="H535" i="41"/>
  <c r="H536" i="41"/>
  <c r="H537" i="41"/>
  <c r="H538" i="41"/>
  <c r="H539" i="41"/>
  <c r="H540" i="41"/>
  <c r="H541" i="41"/>
  <c r="H542" i="41"/>
  <c r="H543" i="41"/>
  <c r="H544" i="41"/>
  <c r="H545" i="41"/>
  <c r="H546" i="41"/>
  <c r="H547" i="41"/>
  <c r="H548" i="41"/>
  <c r="H549" i="41"/>
  <c r="H550" i="41"/>
  <c r="H551" i="41"/>
  <c r="H552" i="41"/>
  <c r="H553" i="41"/>
  <c r="H554" i="41"/>
  <c r="H555" i="41"/>
  <c r="H556" i="41"/>
  <c r="H557" i="41"/>
  <c r="H558" i="41"/>
  <c r="H559" i="41"/>
  <c r="H560" i="41"/>
  <c r="H561" i="41"/>
  <c r="H562" i="41"/>
  <c r="H563" i="41"/>
  <c r="H564" i="41"/>
  <c r="H565" i="41"/>
  <c r="H566" i="41"/>
  <c r="H567" i="41"/>
  <c r="H568" i="41"/>
  <c r="H569" i="41"/>
  <c r="H570" i="41"/>
  <c r="H571" i="41"/>
  <c r="H572" i="41"/>
  <c r="H573" i="41"/>
  <c r="H574" i="41"/>
  <c r="H575" i="41"/>
  <c r="H576" i="41"/>
  <c r="H577" i="41"/>
  <c r="H578" i="41"/>
  <c r="H579" i="41"/>
  <c r="H580" i="41"/>
  <c r="H581" i="41"/>
  <c r="H582" i="41"/>
  <c r="H583" i="41"/>
  <c r="H584" i="41"/>
  <c r="H585" i="41"/>
  <c r="H586" i="41"/>
  <c r="H587" i="41"/>
  <c r="H588" i="41"/>
  <c r="H589" i="41"/>
  <c r="H590" i="41"/>
  <c r="H591" i="41"/>
  <c r="H592" i="41"/>
  <c r="H593" i="41"/>
  <c r="H594" i="41"/>
  <c r="H595" i="41"/>
  <c r="H596" i="41"/>
  <c r="H597" i="41"/>
  <c r="H598" i="41"/>
  <c r="H599" i="41"/>
  <c r="H600" i="41"/>
  <c r="H601" i="41"/>
  <c r="H602" i="41"/>
  <c r="H603" i="41"/>
  <c r="H604" i="41"/>
  <c r="H605" i="41"/>
  <c r="H606" i="41"/>
  <c r="H607" i="41"/>
  <c r="H608" i="41"/>
  <c r="H609" i="41"/>
  <c r="H610" i="41"/>
  <c r="H611" i="41"/>
  <c r="H612" i="41"/>
  <c r="H613" i="41"/>
  <c r="H614" i="41"/>
  <c r="H615" i="41"/>
  <c r="H616" i="41"/>
  <c r="H617" i="41"/>
  <c r="H618" i="41"/>
  <c r="H619" i="41"/>
  <c r="H620" i="41"/>
  <c r="H621" i="41"/>
  <c r="H622" i="41"/>
  <c r="H623" i="41"/>
  <c r="H624" i="41"/>
  <c r="H625" i="41"/>
  <c r="H626" i="41"/>
  <c r="H627" i="41"/>
  <c r="H628" i="41"/>
  <c r="H629" i="41"/>
  <c r="H630" i="41"/>
  <c r="H631" i="41"/>
  <c r="H632" i="41"/>
  <c r="H633" i="41"/>
  <c r="H634" i="41"/>
  <c r="H635" i="41"/>
  <c r="H636" i="41"/>
  <c r="H637" i="41"/>
  <c r="H638" i="41"/>
  <c r="H639" i="41"/>
  <c r="H640" i="41"/>
  <c r="H641" i="41"/>
  <c r="H642" i="41"/>
  <c r="H643" i="41"/>
  <c r="H644" i="41"/>
  <c r="H645" i="41"/>
  <c r="H646" i="41"/>
  <c r="H647" i="41"/>
  <c r="H648" i="41"/>
  <c r="H649" i="41"/>
  <c r="H650" i="41"/>
  <c r="H651" i="41"/>
  <c r="H652" i="41"/>
  <c r="H653" i="41"/>
  <c r="H654" i="41"/>
  <c r="H655" i="41"/>
  <c r="H656" i="41"/>
  <c r="H657" i="41"/>
  <c r="H658" i="41"/>
  <c r="H659" i="41"/>
  <c r="H660" i="41"/>
  <c r="H661" i="41"/>
  <c r="H662" i="41"/>
  <c r="H663" i="41"/>
  <c r="H664" i="41"/>
  <c r="H665" i="41"/>
  <c r="H666" i="41"/>
  <c r="H667" i="41"/>
  <c r="H668" i="41"/>
  <c r="H669" i="41"/>
  <c r="H670" i="41"/>
  <c r="H671" i="41"/>
  <c r="H672" i="41"/>
  <c r="H673" i="41"/>
  <c r="H674" i="41"/>
  <c r="H675" i="41"/>
  <c r="H676" i="41"/>
  <c r="H677" i="41"/>
  <c r="H678" i="41"/>
  <c r="H679" i="41"/>
  <c r="H680" i="41"/>
  <c r="H681" i="41"/>
  <c r="H682" i="41"/>
  <c r="H683" i="41"/>
  <c r="H684" i="41"/>
  <c r="H685" i="41"/>
  <c r="H686" i="41"/>
  <c r="H687" i="41"/>
  <c r="H688" i="41"/>
  <c r="H689" i="41"/>
  <c r="H690" i="41"/>
  <c r="H691" i="41"/>
  <c r="H692" i="41"/>
  <c r="H693" i="41"/>
  <c r="H694" i="41"/>
  <c r="H695" i="41"/>
  <c r="H696" i="41"/>
  <c r="H697" i="41"/>
  <c r="H698" i="41"/>
  <c r="H699" i="41"/>
  <c r="H700" i="41"/>
  <c r="H701" i="41"/>
  <c r="H702" i="41"/>
  <c r="H703" i="41"/>
  <c r="H704" i="41"/>
  <c r="H705" i="41"/>
  <c r="H706" i="41"/>
  <c r="H707" i="41"/>
  <c r="H708" i="41"/>
  <c r="H709" i="41"/>
  <c r="H710" i="41"/>
  <c r="H711" i="41"/>
  <c r="H712" i="41"/>
  <c r="H713" i="41"/>
  <c r="H714" i="41"/>
  <c r="H715" i="41"/>
  <c r="H716" i="41"/>
  <c r="H717" i="41"/>
  <c r="H718" i="41"/>
  <c r="H719" i="41"/>
  <c r="H720" i="41"/>
  <c r="H721" i="41"/>
  <c r="H722" i="41"/>
  <c r="H723" i="41"/>
  <c r="H724" i="41"/>
  <c r="H725" i="41"/>
  <c r="H726" i="41"/>
  <c r="H727" i="41"/>
  <c r="H728" i="41"/>
  <c r="H729" i="41"/>
  <c r="H730" i="41"/>
  <c r="H731" i="41"/>
  <c r="H732" i="41"/>
  <c r="H733" i="41"/>
  <c r="H734" i="41"/>
  <c r="H735" i="41"/>
  <c r="H736" i="41"/>
  <c r="H737" i="41"/>
  <c r="H738" i="41"/>
  <c r="H739" i="41"/>
  <c r="H740" i="41"/>
  <c r="H741" i="41"/>
  <c r="H742" i="41"/>
  <c r="H743" i="41"/>
  <c r="H744" i="41"/>
  <c r="H745" i="41"/>
  <c r="H746" i="41"/>
  <c r="H747" i="41"/>
  <c r="H748" i="41"/>
  <c r="H749" i="41"/>
  <c r="H750" i="41"/>
  <c r="H751" i="41"/>
  <c r="H752" i="41"/>
  <c r="H753" i="41"/>
  <c r="H754" i="41"/>
  <c r="H755" i="41"/>
  <c r="H756" i="41"/>
  <c r="H757" i="41"/>
  <c r="H758" i="41"/>
  <c r="H759" i="41"/>
  <c r="H760" i="41"/>
  <c r="H761" i="41"/>
  <c r="H762" i="41"/>
  <c r="H763" i="41"/>
  <c r="H764" i="41"/>
  <c r="H765" i="41"/>
  <c r="H766" i="41"/>
  <c r="H767" i="41"/>
  <c r="H768" i="41"/>
  <c r="H769" i="41"/>
  <c r="H770" i="41"/>
  <c r="H771" i="41"/>
  <c r="H772" i="41"/>
  <c r="H773" i="41"/>
  <c r="H774" i="41"/>
  <c r="H775" i="41"/>
  <c r="H776" i="41"/>
  <c r="H777" i="41"/>
  <c r="H778" i="41"/>
  <c r="H779" i="41"/>
  <c r="H780" i="41"/>
  <c r="H781" i="41"/>
  <c r="H782" i="41"/>
  <c r="H783" i="41"/>
  <c r="H784" i="41"/>
  <c r="H785" i="41"/>
  <c r="H786" i="41"/>
  <c r="H787" i="41"/>
  <c r="H788" i="41"/>
  <c r="H789" i="41"/>
  <c r="H790" i="41"/>
  <c r="H791" i="41"/>
  <c r="H792" i="41"/>
  <c r="H793" i="41"/>
  <c r="H794" i="41"/>
  <c r="H795" i="41"/>
  <c r="H796" i="41"/>
  <c r="H797" i="41"/>
  <c r="H798" i="41"/>
  <c r="H799" i="41"/>
  <c r="H800" i="41"/>
  <c r="H801" i="41"/>
  <c r="H802" i="41"/>
  <c r="H803" i="41"/>
  <c r="H804" i="41"/>
  <c r="H805" i="41"/>
  <c r="H806" i="41"/>
  <c r="H807" i="41"/>
  <c r="H808" i="41"/>
  <c r="H809" i="41"/>
  <c r="H810" i="41"/>
  <c r="H811" i="41"/>
  <c r="H812" i="41"/>
  <c r="H813" i="41"/>
  <c r="H814" i="41"/>
  <c r="H815" i="41"/>
  <c r="H816" i="41"/>
  <c r="H817" i="41"/>
  <c r="H818" i="41"/>
  <c r="H819" i="41"/>
  <c r="H820" i="41"/>
  <c r="H821" i="41"/>
  <c r="H822" i="41"/>
  <c r="H823" i="41"/>
  <c r="H824" i="41"/>
  <c r="H825" i="41"/>
  <c r="H826" i="41"/>
  <c r="H827" i="41"/>
  <c r="H828" i="41"/>
  <c r="H829" i="41"/>
  <c r="H830" i="41"/>
  <c r="H831" i="41"/>
  <c r="H832" i="41"/>
  <c r="H833" i="41"/>
  <c r="H834" i="41"/>
  <c r="H835" i="41"/>
  <c r="H836" i="41"/>
  <c r="H837" i="41"/>
  <c r="H838" i="41"/>
  <c r="H839" i="41"/>
  <c r="H840" i="41"/>
  <c r="H841" i="41"/>
  <c r="H842" i="41"/>
  <c r="H843" i="41"/>
  <c r="H844" i="41"/>
  <c r="H845" i="41"/>
  <c r="H846" i="41"/>
  <c r="H847" i="41"/>
  <c r="H848" i="41"/>
  <c r="H849" i="41"/>
  <c r="H850" i="41"/>
  <c r="H851" i="41"/>
  <c r="H852" i="41"/>
  <c r="H853" i="41"/>
  <c r="H854" i="41"/>
  <c r="H855" i="41"/>
  <c r="H856" i="41"/>
  <c r="H857" i="41"/>
  <c r="H858" i="41"/>
  <c r="H859" i="41"/>
  <c r="H860" i="41"/>
  <c r="H861" i="41"/>
  <c r="H862" i="41"/>
  <c r="H863" i="41"/>
  <c r="H864" i="41"/>
  <c r="H865" i="41"/>
  <c r="H866" i="41"/>
  <c r="H867" i="41"/>
  <c r="H868" i="41"/>
  <c r="H869" i="41"/>
  <c r="H870" i="41"/>
  <c r="H871" i="41"/>
  <c r="H872" i="41"/>
  <c r="H873" i="41"/>
  <c r="H874" i="41"/>
  <c r="H875" i="41"/>
  <c r="H876" i="41"/>
  <c r="H877" i="41"/>
  <c r="H878" i="41"/>
  <c r="H879" i="41"/>
  <c r="H880" i="41"/>
  <c r="H881" i="41"/>
  <c r="H882" i="41"/>
  <c r="H883" i="41"/>
  <c r="H884" i="41"/>
  <c r="H885" i="41"/>
  <c r="H886" i="41"/>
  <c r="H887" i="41"/>
  <c r="H888" i="41"/>
  <c r="H889" i="41"/>
  <c r="H890" i="41"/>
  <c r="H891" i="41"/>
  <c r="H892" i="41"/>
  <c r="H893" i="41"/>
  <c r="H894" i="41"/>
  <c r="H895" i="41"/>
  <c r="H896" i="41"/>
  <c r="H897" i="41"/>
  <c r="H898" i="41"/>
  <c r="H899" i="41"/>
  <c r="H900" i="41"/>
  <c r="H901" i="41"/>
  <c r="H902" i="41"/>
  <c r="H903" i="41"/>
  <c r="H904" i="41"/>
  <c r="H905" i="41"/>
  <c r="H906" i="41"/>
  <c r="H907" i="41"/>
  <c r="H908" i="41"/>
  <c r="H909" i="41"/>
  <c r="H910" i="41"/>
  <c r="H911" i="41"/>
  <c r="H912" i="41"/>
  <c r="H913" i="41"/>
  <c r="H914" i="41"/>
  <c r="H915" i="41"/>
  <c r="H916" i="41"/>
  <c r="H917" i="41"/>
  <c r="H918" i="41"/>
  <c r="H919" i="41"/>
  <c r="H920" i="41"/>
  <c r="H921" i="41"/>
  <c r="H922" i="41"/>
  <c r="H923" i="41"/>
  <c r="H924" i="41"/>
  <c r="H925" i="41"/>
  <c r="H926" i="41"/>
  <c r="H927" i="41"/>
  <c r="H928" i="41"/>
  <c r="H929" i="41"/>
  <c r="H930" i="41"/>
  <c r="H931" i="41"/>
  <c r="H932" i="41"/>
  <c r="H933" i="41"/>
  <c r="H934" i="41"/>
  <c r="H935" i="41"/>
  <c r="H936" i="41"/>
  <c r="H937" i="41"/>
  <c r="H938" i="41"/>
  <c r="H939" i="41"/>
  <c r="H940" i="41"/>
  <c r="H941" i="41"/>
  <c r="H942" i="41"/>
  <c r="H943" i="41"/>
  <c r="H944" i="41"/>
  <c r="H945" i="41"/>
  <c r="H946" i="41"/>
  <c r="H947" i="41"/>
  <c r="H948" i="41"/>
  <c r="H949" i="41"/>
  <c r="H950" i="41"/>
  <c r="H951" i="41"/>
  <c r="H952" i="41"/>
  <c r="H953" i="41"/>
  <c r="H954" i="41"/>
  <c r="H955" i="41"/>
  <c r="H956" i="41"/>
  <c r="H957" i="41"/>
  <c r="H958" i="41"/>
  <c r="H959" i="41"/>
  <c r="H960" i="41"/>
  <c r="H961" i="41"/>
  <c r="H962" i="41"/>
  <c r="H963" i="41"/>
  <c r="H964" i="41"/>
  <c r="H965" i="41"/>
  <c r="H966" i="41"/>
  <c r="H967" i="41"/>
  <c r="H968" i="41"/>
  <c r="H969" i="41"/>
  <c r="H970" i="41"/>
  <c r="H971" i="41"/>
  <c r="H972" i="41"/>
  <c r="H973" i="41"/>
  <c r="H974" i="41"/>
  <c r="H975" i="41"/>
  <c r="H976" i="41"/>
  <c r="H977" i="41"/>
  <c r="H978" i="41"/>
  <c r="H979" i="41"/>
  <c r="H980" i="41"/>
  <c r="H981" i="41"/>
  <c r="H982" i="41"/>
  <c r="H983" i="41"/>
  <c r="H984" i="41"/>
  <c r="H985" i="41"/>
  <c r="H986" i="41"/>
  <c r="H987" i="41"/>
  <c r="H988" i="41"/>
  <c r="H989" i="41"/>
  <c r="H990" i="41"/>
  <c r="H991" i="41"/>
  <c r="H992" i="41"/>
  <c r="H993" i="41"/>
  <c r="H994" i="41"/>
  <c r="H995" i="41"/>
  <c r="H996" i="41"/>
  <c r="H997" i="41"/>
  <c r="H998" i="41"/>
  <c r="H999" i="41"/>
  <c r="H1000" i="41"/>
  <c r="H1001" i="41"/>
  <c r="H1002" i="41"/>
  <c r="H1003" i="41"/>
  <c r="H1004" i="41"/>
  <c r="G10" i="41"/>
  <c r="G11" i="41"/>
  <c r="G12" i="41"/>
  <c r="G13" i="41"/>
  <c r="G14" i="41"/>
  <c r="G15" i="41"/>
  <c r="G16" i="41"/>
  <c r="G17" i="41"/>
  <c r="G18" i="41"/>
  <c r="G19" i="41"/>
  <c r="G20" i="41"/>
  <c r="G21" i="41"/>
  <c r="G22" i="41"/>
  <c r="G23" i="41"/>
  <c r="G24" i="41"/>
  <c r="G25" i="41"/>
  <c r="G26" i="41"/>
  <c r="G27" i="41"/>
  <c r="G28" i="41"/>
  <c r="G29" i="41"/>
  <c r="G30" i="41"/>
  <c r="G31" i="41"/>
  <c r="G32" i="41"/>
  <c r="G33" i="41"/>
  <c r="G34" i="41"/>
  <c r="G35" i="41"/>
  <c r="G36" i="41"/>
  <c r="G37" i="41"/>
  <c r="G38" i="41"/>
  <c r="G39" i="41"/>
  <c r="G40" i="41"/>
  <c r="G41" i="41"/>
  <c r="G42" i="41"/>
  <c r="G43" i="41"/>
  <c r="G44" i="41"/>
  <c r="G45" i="41"/>
  <c r="G46" i="41"/>
  <c r="G47" i="41"/>
  <c r="G48" i="41"/>
  <c r="G49" i="41"/>
  <c r="G50" i="41"/>
  <c r="G51" i="41"/>
  <c r="G52" i="41"/>
  <c r="G53" i="41"/>
  <c r="G54" i="41"/>
  <c r="G55" i="41"/>
  <c r="G56" i="41"/>
  <c r="G57" i="41"/>
  <c r="G58" i="41"/>
  <c r="G59" i="41"/>
  <c r="G60" i="41"/>
  <c r="G61" i="41"/>
  <c r="G62" i="41"/>
  <c r="G63" i="41"/>
  <c r="G64" i="41"/>
  <c r="G65" i="41"/>
  <c r="G66" i="41"/>
  <c r="G67" i="41"/>
  <c r="G68" i="41"/>
  <c r="G69" i="41"/>
  <c r="G70" i="41"/>
  <c r="G71" i="41"/>
  <c r="G72" i="41"/>
  <c r="G73" i="41"/>
  <c r="G74" i="41"/>
  <c r="G75" i="41"/>
  <c r="G76" i="41"/>
  <c r="G77" i="41"/>
  <c r="G78" i="41"/>
  <c r="G79" i="41"/>
  <c r="G80" i="41"/>
  <c r="G81" i="41"/>
  <c r="G82" i="41"/>
  <c r="G83" i="41"/>
  <c r="G84" i="41"/>
  <c r="G85" i="41"/>
  <c r="G86" i="41"/>
  <c r="G87" i="41"/>
  <c r="G88" i="41"/>
  <c r="G89" i="41"/>
  <c r="G90" i="41"/>
  <c r="G91" i="41"/>
  <c r="G92" i="41"/>
  <c r="G93" i="41"/>
  <c r="G94" i="41"/>
  <c r="G95" i="41"/>
  <c r="G96" i="41"/>
  <c r="G97" i="41"/>
  <c r="G98" i="41"/>
  <c r="G99" i="41"/>
  <c r="G100" i="41"/>
  <c r="G101" i="41"/>
  <c r="G102" i="41"/>
  <c r="G103" i="41"/>
  <c r="G104" i="41"/>
  <c r="G105" i="41"/>
  <c r="G106" i="41"/>
  <c r="G107" i="41"/>
  <c r="G108" i="41"/>
  <c r="G109" i="41"/>
  <c r="G110" i="41"/>
  <c r="G111" i="41"/>
  <c r="G112" i="41"/>
  <c r="G113" i="41"/>
  <c r="G114" i="41"/>
  <c r="G115" i="41"/>
  <c r="G116" i="41"/>
  <c r="G117" i="41"/>
  <c r="G118" i="41"/>
  <c r="G119" i="41"/>
  <c r="G120" i="41"/>
  <c r="G121" i="41"/>
  <c r="G122" i="41"/>
  <c r="G123" i="41"/>
  <c r="G124" i="41"/>
  <c r="G125" i="41"/>
  <c r="G126" i="41"/>
  <c r="G127" i="41"/>
  <c r="G128" i="41"/>
  <c r="G129" i="41"/>
  <c r="G130" i="41"/>
  <c r="G131" i="41"/>
  <c r="G132" i="41"/>
  <c r="G133" i="41"/>
  <c r="G134" i="41"/>
  <c r="G135" i="41"/>
  <c r="G136" i="41"/>
  <c r="G137" i="41"/>
  <c r="G138" i="41"/>
  <c r="G139" i="41"/>
  <c r="G140" i="41"/>
  <c r="G141" i="41"/>
  <c r="G142" i="41"/>
  <c r="G143" i="41"/>
  <c r="G144" i="41"/>
  <c r="G145" i="41"/>
  <c r="G146" i="41"/>
  <c r="G147" i="41"/>
  <c r="G148" i="41"/>
  <c r="G149" i="41"/>
  <c r="G150" i="41"/>
  <c r="G151" i="41"/>
  <c r="G152" i="41"/>
  <c r="G153" i="41"/>
  <c r="G154" i="41"/>
  <c r="G155" i="41"/>
  <c r="G156" i="41"/>
  <c r="G157" i="41"/>
  <c r="G158" i="41"/>
  <c r="G159" i="41"/>
  <c r="G160" i="41"/>
  <c r="G161" i="41"/>
  <c r="G162" i="41"/>
  <c r="G163" i="41"/>
  <c r="G164" i="41"/>
  <c r="G165" i="41"/>
  <c r="G166" i="41"/>
  <c r="G167" i="41"/>
  <c r="G168" i="41"/>
  <c r="G169" i="41"/>
  <c r="G170" i="41"/>
  <c r="G171" i="41"/>
  <c r="G172" i="41"/>
  <c r="G173" i="41"/>
  <c r="G174" i="41"/>
  <c r="G175" i="41"/>
  <c r="G176" i="41"/>
  <c r="G177" i="41"/>
  <c r="G178" i="41"/>
  <c r="G179" i="41"/>
  <c r="G180" i="41"/>
  <c r="G181" i="41"/>
  <c r="G182" i="41"/>
  <c r="G183" i="41"/>
  <c r="G184" i="41"/>
  <c r="G185" i="41"/>
  <c r="G186" i="41"/>
  <c r="G187" i="41"/>
  <c r="G188" i="41"/>
  <c r="G189" i="41"/>
  <c r="G190" i="41"/>
  <c r="G191" i="41"/>
  <c r="G192" i="41"/>
  <c r="G193" i="41"/>
  <c r="G194" i="41"/>
  <c r="G195" i="41"/>
  <c r="G196" i="41"/>
  <c r="G197" i="41"/>
  <c r="G198" i="41"/>
  <c r="G199" i="41"/>
  <c r="G200" i="41"/>
  <c r="G201" i="41"/>
  <c r="G202" i="41"/>
  <c r="G203" i="41"/>
  <c r="G204" i="41"/>
  <c r="G205" i="41"/>
  <c r="G206" i="41"/>
  <c r="G207" i="41"/>
  <c r="G208" i="41"/>
  <c r="G209" i="41"/>
  <c r="G210" i="41"/>
  <c r="G211" i="41"/>
  <c r="G212" i="41"/>
  <c r="G213" i="41"/>
  <c r="G214" i="41"/>
  <c r="G215" i="41"/>
  <c r="G216" i="41"/>
  <c r="G217" i="41"/>
  <c r="G218" i="41"/>
  <c r="G219" i="41"/>
  <c r="G220" i="41"/>
  <c r="G221" i="41"/>
  <c r="G222" i="41"/>
  <c r="G223" i="41"/>
  <c r="G224" i="41"/>
  <c r="G225" i="41"/>
  <c r="G226" i="41"/>
  <c r="G227" i="41"/>
  <c r="G228" i="41"/>
  <c r="G229" i="41"/>
  <c r="G230" i="41"/>
  <c r="G231" i="41"/>
  <c r="G232" i="41"/>
  <c r="G233" i="41"/>
  <c r="G234" i="41"/>
  <c r="G235" i="41"/>
  <c r="G236" i="41"/>
  <c r="G237" i="41"/>
  <c r="G238" i="41"/>
  <c r="G239" i="41"/>
  <c r="G240" i="41"/>
  <c r="G241" i="41"/>
  <c r="G242" i="41"/>
  <c r="G243" i="41"/>
  <c r="G244" i="41"/>
  <c r="G245" i="41"/>
  <c r="G246" i="41"/>
  <c r="G247" i="41"/>
  <c r="G248" i="41"/>
  <c r="G249" i="41"/>
  <c r="G250" i="41"/>
  <c r="G251" i="41"/>
  <c r="G252" i="41"/>
  <c r="G253" i="41"/>
  <c r="G254" i="41"/>
  <c r="G255" i="41"/>
  <c r="G256" i="41"/>
  <c r="G257" i="41"/>
  <c r="G258" i="41"/>
  <c r="G259" i="41"/>
  <c r="G260" i="41"/>
  <c r="G261" i="41"/>
  <c r="G262" i="41"/>
  <c r="G263" i="41"/>
  <c r="G264" i="41"/>
  <c r="G265" i="41"/>
  <c r="G266" i="41"/>
  <c r="G267" i="41"/>
  <c r="G268" i="41"/>
  <c r="G269" i="41"/>
  <c r="G270" i="41"/>
  <c r="G271" i="41"/>
  <c r="G272" i="41"/>
  <c r="G273" i="41"/>
  <c r="G274" i="41"/>
  <c r="G275" i="41"/>
  <c r="G276" i="41"/>
  <c r="G277" i="41"/>
  <c r="G278" i="41"/>
  <c r="G279" i="41"/>
  <c r="G280" i="41"/>
  <c r="G281" i="41"/>
  <c r="G282" i="41"/>
  <c r="G283" i="41"/>
  <c r="G284" i="41"/>
  <c r="G285" i="41"/>
  <c r="G286" i="41"/>
  <c r="G287" i="41"/>
  <c r="G288" i="41"/>
  <c r="G289" i="41"/>
  <c r="G290" i="41"/>
  <c r="G291" i="41"/>
  <c r="G292" i="41"/>
  <c r="G293" i="41"/>
  <c r="G294" i="41"/>
  <c r="G295" i="41"/>
  <c r="G296" i="41"/>
  <c r="G297" i="41"/>
  <c r="G298" i="41"/>
  <c r="G299" i="41"/>
  <c r="G300" i="41"/>
  <c r="G363" i="41"/>
  <c r="G364" i="41"/>
  <c r="G365" i="41"/>
  <c r="G366" i="41"/>
  <c r="G367" i="41"/>
  <c r="G368" i="41"/>
  <c r="G369" i="41"/>
  <c r="G370" i="41"/>
  <c r="G371" i="41"/>
  <c r="G372" i="41"/>
  <c r="G373" i="41"/>
  <c r="G374" i="41"/>
  <c r="G375" i="41"/>
  <c r="G376" i="41"/>
  <c r="G377" i="41"/>
  <c r="G378" i="41"/>
  <c r="G379" i="41"/>
  <c r="G380" i="41"/>
  <c r="G381" i="41"/>
  <c r="G382" i="41"/>
  <c r="G383" i="41"/>
  <c r="G384" i="41"/>
  <c r="G385" i="41"/>
  <c r="G386" i="41"/>
  <c r="G387" i="41"/>
  <c r="G388" i="41"/>
  <c r="G389" i="41"/>
  <c r="G390" i="41"/>
  <c r="G391" i="41"/>
  <c r="G392" i="41"/>
  <c r="G393" i="41"/>
  <c r="G394" i="41"/>
  <c r="G395" i="41"/>
  <c r="G396" i="41"/>
  <c r="G397" i="41"/>
  <c r="G398" i="41"/>
  <c r="G399" i="41"/>
  <c r="G400" i="41"/>
  <c r="G401" i="41"/>
  <c r="G402" i="41"/>
  <c r="G403" i="41"/>
  <c r="G404" i="41"/>
  <c r="G405" i="41"/>
  <c r="G406" i="41"/>
  <c r="G407" i="41"/>
  <c r="G408" i="41"/>
  <c r="G409" i="41"/>
  <c r="G410" i="41"/>
  <c r="G411" i="41"/>
  <c r="G412" i="41"/>
  <c r="G413" i="41"/>
  <c r="G414" i="41"/>
  <c r="G415" i="41"/>
  <c r="G416" i="41"/>
  <c r="G417" i="41"/>
  <c r="G418" i="41"/>
  <c r="G419" i="41"/>
  <c r="G420" i="41"/>
  <c r="G421" i="41"/>
  <c r="G422" i="41"/>
  <c r="G423" i="41"/>
  <c r="G424" i="41"/>
  <c r="G425" i="41"/>
  <c r="G426" i="41"/>
  <c r="G427" i="41"/>
  <c r="G428" i="41"/>
  <c r="G429" i="41"/>
  <c r="G430" i="41"/>
  <c r="G431" i="41"/>
  <c r="G432" i="41"/>
  <c r="G433" i="41"/>
  <c r="G434" i="41"/>
  <c r="G435" i="41"/>
  <c r="G436" i="41"/>
  <c r="G437" i="41"/>
  <c r="G438" i="41"/>
  <c r="G439" i="41"/>
  <c r="G440" i="41"/>
  <c r="G441" i="41"/>
  <c r="G442" i="41"/>
  <c r="G443" i="41"/>
  <c r="G444" i="41"/>
  <c r="G445" i="41"/>
  <c r="G446" i="41"/>
  <c r="G447" i="41"/>
  <c r="G448" i="41"/>
  <c r="G449" i="41"/>
  <c r="G450" i="41"/>
  <c r="G451" i="41"/>
  <c r="G452" i="41"/>
  <c r="G453" i="41"/>
  <c r="G454" i="41"/>
  <c r="G455" i="41"/>
  <c r="G456" i="41"/>
  <c r="G457" i="41"/>
  <c r="G458" i="41"/>
  <c r="G459" i="41"/>
  <c r="G460" i="41"/>
  <c r="G461" i="41"/>
  <c r="G462" i="41"/>
  <c r="G463" i="41"/>
  <c r="G464" i="41"/>
  <c r="G465" i="41"/>
  <c r="G466" i="41"/>
  <c r="G467" i="41"/>
  <c r="G468" i="41"/>
  <c r="G469" i="41"/>
  <c r="G470" i="41"/>
  <c r="G471" i="41"/>
  <c r="G472" i="41"/>
  <c r="G473" i="41"/>
  <c r="G474" i="41"/>
  <c r="G475" i="41"/>
  <c r="G476" i="41"/>
  <c r="G477" i="41"/>
  <c r="G478" i="41"/>
  <c r="G479" i="41"/>
  <c r="G480" i="41"/>
  <c r="G481" i="41"/>
  <c r="G482" i="41"/>
  <c r="G483" i="41"/>
  <c r="G484" i="41"/>
  <c r="G485" i="41"/>
  <c r="G486" i="41"/>
  <c r="G487" i="41"/>
  <c r="G488" i="41"/>
  <c r="G489" i="41"/>
  <c r="G490" i="41"/>
  <c r="G491" i="41"/>
  <c r="G492" i="41"/>
  <c r="G493" i="41"/>
  <c r="G494" i="41"/>
  <c r="G495" i="41"/>
  <c r="G496" i="41"/>
  <c r="G497" i="41"/>
  <c r="G498" i="41"/>
  <c r="G499" i="41"/>
  <c r="G500" i="41"/>
  <c r="G501" i="41"/>
  <c r="G502" i="41"/>
  <c r="G503" i="41"/>
  <c r="G504" i="41"/>
  <c r="G505" i="41"/>
  <c r="G506" i="41"/>
  <c r="G507" i="41"/>
  <c r="G508" i="41"/>
  <c r="G509" i="41"/>
  <c r="G510" i="41"/>
  <c r="G511" i="41"/>
  <c r="G512" i="41"/>
  <c r="G513" i="41"/>
  <c r="G514" i="41"/>
  <c r="G515" i="41"/>
  <c r="G516" i="41"/>
  <c r="G517" i="41"/>
  <c r="G518" i="41"/>
  <c r="G519" i="41"/>
  <c r="G520" i="41"/>
  <c r="G521" i="41"/>
  <c r="G522" i="41"/>
  <c r="G523" i="41"/>
  <c r="G524" i="41"/>
  <c r="G525" i="41"/>
  <c r="G526" i="41"/>
  <c r="G527" i="41"/>
  <c r="G528" i="41"/>
  <c r="G529" i="41"/>
  <c r="G530" i="41"/>
  <c r="G531" i="41"/>
  <c r="G532" i="41"/>
  <c r="G533" i="41"/>
  <c r="G534" i="41"/>
  <c r="G535" i="41"/>
  <c r="G536" i="41"/>
  <c r="G537" i="41"/>
  <c r="G538" i="41"/>
  <c r="G539" i="41"/>
  <c r="G540" i="41"/>
  <c r="G541" i="41"/>
  <c r="G542" i="41"/>
  <c r="G543" i="41"/>
  <c r="G544" i="41"/>
  <c r="G545" i="41"/>
  <c r="G546" i="41"/>
  <c r="G547" i="41"/>
  <c r="G548" i="41"/>
  <c r="G549" i="41"/>
  <c r="G550" i="41"/>
  <c r="G551" i="41"/>
  <c r="G552" i="41"/>
  <c r="G553" i="41"/>
  <c r="G554" i="41"/>
  <c r="G555" i="41"/>
  <c r="G556" i="41"/>
  <c r="G557" i="41"/>
  <c r="G558" i="41"/>
  <c r="G559" i="41"/>
  <c r="G560" i="41"/>
  <c r="G561" i="41"/>
  <c r="G562" i="41"/>
  <c r="G563" i="41"/>
  <c r="G564" i="41"/>
  <c r="G565" i="41"/>
  <c r="G566" i="41"/>
  <c r="G567" i="41"/>
  <c r="G568" i="41"/>
  <c r="G569" i="41"/>
  <c r="G570" i="41"/>
  <c r="G571" i="41"/>
  <c r="G572" i="41"/>
  <c r="G573" i="41"/>
  <c r="G574" i="41"/>
  <c r="G575" i="41"/>
  <c r="G576" i="41"/>
  <c r="G577" i="41"/>
  <c r="G578" i="41"/>
  <c r="G579" i="41"/>
  <c r="G580" i="41"/>
  <c r="G581" i="41"/>
  <c r="G582" i="41"/>
  <c r="G583" i="41"/>
  <c r="G584" i="41"/>
  <c r="G585" i="41"/>
  <c r="G586" i="41"/>
  <c r="G587" i="41"/>
  <c r="G588" i="41"/>
  <c r="G589" i="41"/>
  <c r="G590" i="41"/>
  <c r="G591" i="41"/>
  <c r="G592" i="41"/>
  <c r="G593" i="41"/>
  <c r="G594" i="41"/>
  <c r="G595" i="41"/>
  <c r="G596" i="41"/>
  <c r="G597" i="41"/>
  <c r="G598" i="41"/>
  <c r="G599" i="41"/>
  <c r="G600" i="41"/>
  <c r="G601" i="41"/>
  <c r="G602" i="41"/>
  <c r="G603" i="41"/>
  <c r="G604" i="41"/>
  <c r="G605" i="41"/>
  <c r="G606" i="41"/>
  <c r="G607" i="41"/>
  <c r="G608" i="41"/>
  <c r="G609" i="41"/>
  <c r="G610" i="41"/>
  <c r="G611" i="41"/>
  <c r="G612" i="41"/>
  <c r="G613" i="41"/>
  <c r="G614" i="41"/>
  <c r="G615" i="41"/>
  <c r="G616" i="41"/>
  <c r="G617" i="41"/>
  <c r="G618" i="41"/>
  <c r="G619" i="41"/>
  <c r="G620" i="41"/>
  <c r="G621" i="41"/>
  <c r="G622" i="41"/>
  <c r="G623" i="41"/>
  <c r="G624" i="41"/>
  <c r="G625" i="41"/>
  <c r="G626" i="41"/>
  <c r="G627" i="41"/>
  <c r="G628" i="41"/>
  <c r="G629" i="41"/>
  <c r="G630" i="41"/>
  <c r="G631" i="41"/>
  <c r="G632" i="41"/>
  <c r="G633" i="41"/>
  <c r="G634" i="41"/>
  <c r="G635" i="41"/>
  <c r="G636" i="41"/>
  <c r="G637" i="41"/>
  <c r="G638" i="41"/>
  <c r="G639" i="41"/>
  <c r="G640" i="41"/>
  <c r="G641" i="41"/>
  <c r="G642" i="41"/>
  <c r="G643" i="41"/>
  <c r="G644" i="41"/>
  <c r="G645" i="41"/>
  <c r="G646" i="41"/>
  <c r="G647" i="41"/>
  <c r="G648" i="41"/>
  <c r="G649" i="41"/>
  <c r="G650" i="41"/>
  <c r="G651" i="41"/>
  <c r="G652" i="41"/>
  <c r="G653" i="41"/>
  <c r="G654" i="41"/>
  <c r="G655" i="41"/>
  <c r="G656" i="41"/>
  <c r="G657" i="41"/>
  <c r="G658" i="41"/>
  <c r="G659" i="41"/>
  <c r="G660" i="41"/>
  <c r="G661" i="41"/>
  <c r="G662" i="41"/>
  <c r="G663" i="41"/>
  <c r="G664" i="41"/>
  <c r="G665" i="41"/>
  <c r="G666" i="41"/>
  <c r="G667" i="41"/>
  <c r="G668" i="41"/>
  <c r="G669" i="41"/>
  <c r="G670" i="41"/>
  <c r="G671" i="41"/>
  <c r="G672" i="41"/>
  <c r="G673" i="41"/>
  <c r="G674" i="41"/>
  <c r="G675" i="41"/>
  <c r="G676" i="41"/>
  <c r="G677" i="41"/>
  <c r="G678" i="41"/>
  <c r="G679" i="41"/>
  <c r="G680" i="41"/>
  <c r="G681" i="41"/>
  <c r="G682" i="41"/>
  <c r="G683" i="41"/>
  <c r="G684" i="41"/>
  <c r="G685" i="41"/>
  <c r="G686" i="41"/>
  <c r="G687" i="41"/>
  <c r="G688" i="41"/>
  <c r="G689" i="41"/>
  <c r="G690" i="41"/>
  <c r="G691" i="41"/>
  <c r="G692" i="41"/>
  <c r="G693" i="41"/>
  <c r="G694" i="41"/>
  <c r="G695" i="41"/>
  <c r="G696" i="41"/>
  <c r="G697" i="41"/>
  <c r="G698" i="41"/>
  <c r="G699" i="41"/>
  <c r="G700" i="41"/>
  <c r="G701" i="41"/>
  <c r="G702" i="41"/>
  <c r="G703" i="41"/>
  <c r="G704" i="41"/>
  <c r="G705" i="41"/>
  <c r="G706" i="41"/>
  <c r="G707" i="41"/>
  <c r="G708" i="41"/>
  <c r="G709" i="41"/>
  <c r="G710" i="41"/>
  <c r="G711" i="41"/>
  <c r="G712" i="41"/>
  <c r="G713" i="41"/>
  <c r="G714" i="41"/>
  <c r="G715" i="41"/>
  <c r="G716" i="41"/>
  <c r="G717" i="41"/>
  <c r="G718" i="41"/>
  <c r="G719" i="41"/>
  <c r="G720" i="41"/>
  <c r="G721" i="41"/>
  <c r="G722" i="41"/>
  <c r="G723" i="41"/>
  <c r="G724" i="41"/>
  <c r="G725" i="41"/>
  <c r="G726" i="41"/>
  <c r="G727" i="41"/>
  <c r="G728" i="41"/>
  <c r="G729" i="41"/>
  <c r="G730" i="41"/>
  <c r="G731" i="41"/>
  <c r="G732" i="41"/>
  <c r="G733" i="41"/>
  <c r="G734" i="41"/>
  <c r="G735" i="41"/>
  <c r="G736" i="41"/>
  <c r="G737" i="41"/>
  <c r="G738" i="41"/>
  <c r="G739" i="41"/>
  <c r="G740" i="41"/>
  <c r="G741" i="41"/>
  <c r="G742" i="41"/>
  <c r="G743" i="41"/>
  <c r="G744" i="41"/>
  <c r="G745" i="41"/>
  <c r="G746" i="41"/>
  <c r="G747" i="41"/>
  <c r="G748" i="41"/>
  <c r="G749" i="41"/>
  <c r="G750" i="41"/>
  <c r="G751" i="41"/>
  <c r="G752" i="41"/>
  <c r="G753" i="41"/>
  <c r="G754" i="41"/>
  <c r="G755" i="41"/>
  <c r="G756" i="41"/>
  <c r="G757" i="41"/>
  <c r="G758" i="41"/>
  <c r="G759" i="41"/>
  <c r="G760" i="41"/>
  <c r="G761" i="41"/>
  <c r="G762" i="41"/>
  <c r="G763" i="41"/>
  <c r="G764" i="41"/>
  <c r="G765" i="41"/>
  <c r="G766" i="41"/>
  <c r="G767" i="41"/>
  <c r="G768" i="41"/>
  <c r="G769" i="41"/>
  <c r="G770" i="41"/>
  <c r="G771" i="41"/>
  <c r="G772" i="41"/>
  <c r="G773" i="41"/>
  <c r="G774" i="41"/>
  <c r="G775" i="41"/>
  <c r="G776" i="41"/>
  <c r="G777" i="41"/>
  <c r="G778" i="41"/>
  <c r="G779" i="41"/>
  <c r="G780" i="41"/>
  <c r="G781" i="41"/>
  <c r="G782" i="41"/>
  <c r="G783" i="41"/>
  <c r="G784" i="41"/>
  <c r="G785" i="41"/>
  <c r="G786" i="41"/>
  <c r="G787" i="41"/>
  <c r="G788" i="41"/>
  <c r="G789" i="41"/>
  <c r="G790" i="41"/>
  <c r="G791" i="41"/>
  <c r="G792" i="41"/>
  <c r="G793" i="41"/>
  <c r="G794" i="41"/>
  <c r="G795" i="41"/>
  <c r="G796" i="41"/>
  <c r="G797" i="41"/>
  <c r="G798" i="41"/>
  <c r="G799" i="41"/>
  <c r="G800" i="41"/>
  <c r="G801" i="41"/>
  <c r="G802" i="41"/>
  <c r="G803" i="41"/>
  <c r="G804" i="41"/>
  <c r="G805" i="41"/>
  <c r="G806" i="41"/>
  <c r="G807" i="41"/>
  <c r="G808" i="41"/>
  <c r="G809" i="41"/>
  <c r="G810" i="41"/>
  <c r="G811" i="41"/>
  <c r="G812" i="41"/>
  <c r="G813" i="41"/>
  <c r="G814" i="41"/>
  <c r="G815" i="41"/>
  <c r="G816" i="41"/>
  <c r="G817" i="41"/>
  <c r="G818" i="41"/>
  <c r="G819" i="41"/>
  <c r="G820" i="41"/>
  <c r="G821" i="41"/>
  <c r="G822" i="41"/>
  <c r="G823" i="41"/>
  <c r="G824" i="41"/>
  <c r="G825" i="41"/>
  <c r="G826" i="41"/>
  <c r="G827" i="41"/>
  <c r="G828" i="41"/>
  <c r="G829" i="41"/>
  <c r="G830" i="41"/>
  <c r="G831" i="41"/>
  <c r="G832" i="41"/>
  <c r="G833" i="41"/>
  <c r="G834" i="41"/>
  <c r="G835" i="41"/>
  <c r="G836" i="41"/>
  <c r="G837" i="41"/>
  <c r="G838" i="41"/>
  <c r="G839" i="41"/>
  <c r="G840" i="41"/>
  <c r="G841" i="41"/>
  <c r="G842" i="41"/>
  <c r="G843" i="41"/>
  <c r="G844" i="41"/>
  <c r="G845" i="41"/>
  <c r="G846" i="41"/>
  <c r="G847" i="41"/>
  <c r="G848" i="41"/>
  <c r="G849" i="41"/>
  <c r="G850" i="41"/>
  <c r="G851" i="41"/>
  <c r="G852" i="41"/>
  <c r="G853" i="41"/>
  <c r="G854" i="41"/>
  <c r="G855" i="41"/>
  <c r="G856" i="41"/>
  <c r="G857" i="41"/>
  <c r="G858" i="41"/>
  <c r="G859" i="41"/>
  <c r="G860" i="41"/>
  <c r="G861" i="41"/>
  <c r="G862" i="41"/>
  <c r="G863" i="41"/>
  <c r="G864" i="41"/>
  <c r="G865" i="41"/>
  <c r="G866" i="41"/>
  <c r="G867" i="41"/>
  <c r="G868" i="41"/>
  <c r="G869" i="41"/>
  <c r="G870" i="41"/>
  <c r="G871" i="41"/>
  <c r="G872" i="41"/>
  <c r="G873" i="41"/>
  <c r="G874" i="41"/>
  <c r="G875" i="41"/>
  <c r="G876" i="41"/>
  <c r="G877" i="41"/>
  <c r="G878" i="41"/>
  <c r="G879" i="41"/>
  <c r="G880" i="41"/>
  <c r="G881" i="41"/>
  <c r="G882" i="41"/>
  <c r="G883" i="41"/>
  <c r="G884" i="41"/>
  <c r="G885" i="41"/>
  <c r="G886" i="41"/>
  <c r="G887" i="41"/>
  <c r="G888" i="41"/>
  <c r="G889" i="41"/>
  <c r="G890" i="41"/>
  <c r="G891" i="41"/>
  <c r="G892" i="41"/>
  <c r="G893" i="41"/>
  <c r="G894" i="41"/>
  <c r="G895" i="41"/>
  <c r="G896" i="41"/>
  <c r="G897" i="41"/>
  <c r="G898" i="41"/>
  <c r="G899" i="41"/>
  <c r="G900" i="41"/>
  <c r="G901" i="41"/>
  <c r="G902" i="41"/>
  <c r="G903" i="41"/>
  <c r="G904" i="41"/>
  <c r="G905" i="41"/>
  <c r="G906" i="41"/>
  <c r="G907" i="41"/>
  <c r="G908" i="41"/>
  <c r="G909" i="41"/>
  <c r="G910" i="41"/>
  <c r="G911" i="41"/>
  <c r="G912" i="41"/>
  <c r="G913" i="41"/>
  <c r="G914" i="41"/>
  <c r="G915" i="41"/>
  <c r="G916" i="41"/>
  <c r="G917" i="41"/>
  <c r="G918" i="41"/>
  <c r="G919" i="41"/>
  <c r="G920" i="41"/>
  <c r="G921" i="41"/>
  <c r="G922" i="41"/>
  <c r="G923" i="41"/>
  <c r="G924" i="41"/>
  <c r="G925" i="41"/>
  <c r="G926" i="41"/>
  <c r="G927" i="41"/>
  <c r="G928" i="41"/>
  <c r="G929" i="41"/>
  <c r="G930" i="41"/>
  <c r="G931" i="41"/>
  <c r="G932" i="41"/>
  <c r="G933" i="41"/>
  <c r="G934" i="41"/>
  <c r="G935" i="41"/>
  <c r="G936" i="41"/>
  <c r="G937" i="41"/>
  <c r="G938" i="41"/>
  <c r="G939" i="41"/>
  <c r="G940" i="41"/>
  <c r="G941" i="41"/>
  <c r="G942" i="41"/>
  <c r="G943" i="41"/>
  <c r="G944" i="41"/>
  <c r="G945" i="41"/>
  <c r="G946" i="41"/>
  <c r="G947" i="41"/>
  <c r="G948" i="41"/>
  <c r="G949" i="41"/>
  <c r="G950" i="41"/>
  <c r="G951" i="41"/>
  <c r="G952" i="41"/>
  <c r="G953" i="41"/>
  <c r="G954" i="41"/>
  <c r="G955" i="41"/>
  <c r="G956" i="41"/>
  <c r="G957" i="41"/>
  <c r="G958" i="41"/>
  <c r="G959" i="41"/>
  <c r="G960" i="41"/>
  <c r="G961" i="41"/>
  <c r="G962" i="41"/>
  <c r="G963" i="41"/>
  <c r="G964" i="41"/>
  <c r="G965" i="41"/>
  <c r="G966" i="41"/>
  <c r="G967" i="41"/>
  <c r="G968" i="41"/>
  <c r="G969" i="41"/>
  <c r="G970" i="41"/>
  <c r="G971" i="41"/>
  <c r="G972" i="41"/>
  <c r="G973" i="41"/>
  <c r="G974" i="41"/>
  <c r="G975" i="41"/>
  <c r="G976" i="41"/>
  <c r="G977" i="41"/>
  <c r="G978" i="41"/>
  <c r="G979" i="41"/>
  <c r="G980" i="41"/>
  <c r="G981" i="41"/>
  <c r="G982" i="41"/>
  <c r="G983" i="41"/>
  <c r="G984" i="41"/>
  <c r="G985" i="41"/>
  <c r="G986" i="41"/>
  <c r="G987" i="41"/>
  <c r="G988" i="41"/>
  <c r="G989" i="41"/>
  <c r="G990" i="41"/>
  <c r="G991" i="41"/>
  <c r="G992" i="41"/>
  <c r="G993" i="41"/>
  <c r="G994" i="41"/>
  <c r="G995" i="41"/>
  <c r="G996" i="41"/>
  <c r="G997" i="41"/>
  <c r="G998" i="41"/>
  <c r="G999" i="41"/>
  <c r="G1000" i="41"/>
  <c r="G1001" i="41"/>
  <c r="G1002" i="41"/>
  <c r="G1003" i="41"/>
  <c r="G1004" i="41"/>
  <c r="F10" i="41"/>
  <c r="F11" i="41"/>
  <c r="F12" i="41"/>
  <c r="F13" i="41"/>
  <c r="F14" i="41"/>
  <c r="F15" i="41"/>
  <c r="F16" i="41"/>
  <c r="F17" i="41"/>
  <c r="F18" i="41"/>
  <c r="F19" i="41"/>
  <c r="F20" i="41"/>
  <c r="F21" i="41"/>
  <c r="F22" i="41"/>
  <c r="F23" i="41"/>
  <c r="F24" i="41"/>
  <c r="F25" i="41"/>
  <c r="F26" i="41"/>
  <c r="F27" i="41"/>
  <c r="F28" i="41"/>
  <c r="F29" i="41"/>
  <c r="F30" i="41"/>
  <c r="F31" i="41"/>
  <c r="F32" i="41"/>
  <c r="F33" i="41"/>
  <c r="F34" i="41"/>
  <c r="F35" i="41"/>
  <c r="F36" i="41"/>
  <c r="F37" i="41"/>
  <c r="F38" i="41"/>
  <c r="F39" i="41"/>
  <c r="F40" i="41"/>
  <c r="F41" i="41"/>
  <c r="F42" i="41"/>
  <c r="F43" i="41"/>
  <c r="F44" i="41"/>
  <c r="F45" i="41"/>
  <c r="F46" i="41"/>
  <c r="F47" i="41"/>
  <c r="F48" i="41"/>
  <c r="F49" i="41"/>
  <c r="F50" i="41"/>
  <c r="F51" i="41"/>
  <c r="F52" i="41"/>
  <c r="F53" i="41"/>
  <c r="F54" i="41"/>
  <c r="F55" i="41"/>
  <c r="F56" i="41"/>
  <c r="F57" i="41"/>
  <c r="F58" i="41"/>
  <c r="F59" i="41"/>
  <c r="F60" i="41"/>
  <c r="F61" i="41"/>
  <c r="F62" i="41"/>
  <c r="F63" i="41"/>
  <c r="F64" i="41"/>
  <c r="F65" i="41"/>
  <c r="F66" i="41"/>
  <c r="F67" i="41"/>
  <c r="F68" i="41"/>
  <c r="F69" i="41"/>
  <c r="F70" i="41"/>
  <c r="F71" i="41"/>
  <c r="F72" i="41"/>
  <c r="F73" i="41"/>
  <c r="F74" i="41"/>
  <c r="F75" i="41"/>
  <c r="F76" i="41"/>
  <c r="F77" i="41"/>
  <c r="F78" i="41"/>
  <c r="F79" i="41"/>
  <c r="F80" i="41"/>
  <c r="F81" i="41"/>
  <c r="F82" i="41"/>
  <c r="F83" i="41"/>
  <c r="F84" i="41"/>
  <c r="F85" i="41"/>
  <c r="F86" i="41"/>
  <c r="F87" i="41"/>
  <c r="F88" i="41"/>
  <c r="F89" i="41"/>
  <c r="F90" i="41"/>
  <c r="F91" i="41"/>
  <c r="F92" i="41"/>
  <c r="F93" i="41"/>
  <c r="F94" i="41"/>
  <c r="F95" i="41"/>
  <c r="F96" i="41"/>
  <c r="F97" i="41"/>
  <c r="F98" i="41"/>
  <c r="F99" i="41"/>
  <c r="F100" i="41"/>
  <c r="F101" i="41"/>
  <c r="F102" i="41"/>
  <c r="F103" i="41"/>
  <c r="F104" i="41"/>
  <c r="F105" i="41"/>
  <c r="F106" i="41"/>
  <c r="F107" i="41"/>
  <c r="F108" i="41"/>
  <c r="F109" i="41"/>
  <c r="F110" i="41"/>
  <c r="F111" i="41"/>
  <c r="F112" i="41"/>
  <c r="F113" i="41"/>
  <c r="F114" i="41"/>
  <c r="F115" i="41"/>
  <c r="F116" i="41"/>
  <c r="F117" i="41"/>
  <c r="F118" i="41"/>
  <c r="F119" i="41"/>
  <c r="F120" i="41"/>
  <c r="F121" i="41"/>
  <c r="F122" i="41"/>
  <c r="F123" i="41"/>
  <c r="F124" i="41"/>
  <c r="F125" i="41"/>
  <c r="F126" i="41"/>
  <c r="F127" i="41"/>
  <c r="F128" i="41"/>
  <c r="F129" i="41"/>
  <c r="F130" i="41"/>
  <c r="F131" i="41"/>
  <c r="F132" i="41"/>
  <c r="F133" i="41"/>
  <c r="F134" i="41"/>
  <c r="F135" i="41"/>
  <c r="F136" i="41"/>
  <c r="F137" i="41"/>
  <c r="F138" i="41"/>
  <c r="F139" i="41"/>
  <c r="F140" i="41"/>
  <c r="F141" i="41"/>
  <c r="F142" i="41"/>
  <c r="F143" i="41"/>
  <c r="F144" i="41"/>
  <c r="F145" i="41"/>
  <c r="F146" i="41"/>
  <c r="F147" i="41"/>
  <c r="F148" i="41"/>
  <c r="F149" i="41"/>
  <c r="F150" i="41"/>
  <c r="F151" i="41"/>
  <c r="F152" i="41"/>
  <c r="F153" i="41"/>
  <c r="F154" i="41"/>
  <c r="F155" i="41"/>
  <c r="F156" i="41"/>
  <c r="F157" i="41"/>
  <c r="F158" i="41"/>
  <c r="F159" i="41"/>
  <c r="F160" i="41"/>
  <c r="F161" i="41"/>
  <c r="F162" i="41"/>
  <c r="F163" i="41"/>
  <c r="F164" i="41"/>
  <c r="F165" i="41"/>
  <c r="F166" i="41"/>
  <c r="F167" i="41"/>
  <c r="F168" i="41"/>
  <c r="F169" i="41"/>
  <c r="F170" i="41"/>
  <c r="F171" i="41"/>
  <c r="F172" i="41"/>
  <c r="F173" i="41"/>
  <c r="F174" i="41"/>
  <c r="F175" i="41"/>
  <c r="F176" i="41"/>
  <c r="F177" i="41"/>
  <c r="F178" i="41"/>
  <c r="F179" i="41"/>
  <c r="F180" i="41"/>
  <c r="F181" i="41"/>
  <c r="F182" i="41"/>
  <c r="F183" i="41"/>
  <c r="F184" i="41"/>
  <c r="F185" i="41"/>
  <c r="F186" i="41"/>
  <c r="F187" i="41"/>
  <c r="F188" i="41"/>
  <c r="F189" i="41"/>
  <c r="F190" i="41"/>
  <c r="F191" i="41"/>
  <c r="F192" i="41"/>
  <c r="F193" i="41"/>
  <c r="F194" i="41"/>
  <c r="F195" i="41"/>
  <c r="F196" i="41"/>
  <c r="F197" i="41"/>
  <c r="F198" i="41"/>
  <c r="F199" i="41"/>
  <c r="F200" i="41"/>
  <c r="F201" i="41"/>
  <c r="F202" i="41"/>
  <c r="F203" i="41"/>
  <c r="F204" i="41"/>
  <c r="F205" i="41"/>
  <c r="F206" i="41"/>
  <c r="F207" i="41"/>
  <c r="F208" i="41"/>
  <c r="F209" i="41"/>
  <c r="F210" i="41"/>
  <c r="F211" i="41"/>
  <c r="F212" i="41"/>
  <c r="F213" i="41"/>
  <c r="F214" i="41"/>
  <c r="F215" i="41"/>
  <c r="F216" i="41"/>
  <c r="F217" i="41"/>
  <c r="F218" i="41"/>
  <c r="F219" i="41"/>
  <c r="F220" i="41"/>
  <c r="F221" i="41"/>
  <c r="F222" i="41"/>
  <c r="F223" i="41"/>
  <c r="F224" i="41"/>
  <c r="F225" i="41"/>
  <c r="F226" i="41"/>
  <c r="F227" i="41"/>
  <c r="F228" i="41"/>
  <c r="F229" i="41"/>
  <c r="F230" i="41"/>
  <c r="F231" i="41"/>
  <c r="F232" i="41"/>
  <c r="F233" i="41"/>
  <c r="F234" i="41"/>
  <c r="F235" i="41"/>
  <c r="F236" i="41"/>
  <c r="F237" i="41"/>
  <c r="F238" i="41"/>
  <c r="F239" i="41"/>
  <c r="F240" i="41"/>
  <c r="F241" i="41"/>
  <c r="F242" i="41"/>
  <c r="F243" i="41"/>
  <c r="F244" i="41"/>
  <c r="F245" i="41"/>
  <c r="F246" i="41"/>
  <c r="F247" i="41"/>
  <c r="F248" i="41"/>
  <c r="F249" i="41"/>
  <c r="F250" i="41"/>
  <c r="F251" i="41"/>
  <c r="F252" i="41"/>
  <c r="F253" i="41"/>
  <c r="F254" i="41"/>
  <c r="F255" i="41"/>
  <c r="F256" i="41"/>
  <c r="F257" i="41"/>
  <c r="F258" i="41"/>
  <c r="F259" i="41"/>
  <c r="F260" i="41"/>
  <c r="F261" i="41"/>
  <c r="F262" i="41"/>
  <c r="F263" i="41"/>
  <c r="F264" i="41"/>
  <c r="F265" i="41"/>
  <c r="F266" i="41"/>
  <c r="F267" i="41"/>
  <c r="F268" i="41"/>
  <c r="F269" i="41"/>
  <c r="F270" i="41"/>
  <c r="F271" i="41"/>
  <c r="F272" i="41"/>
  <c r="F273" i="41"/>
  <c r="F274" i="41"/>
  <c r="F275" i="41"/>
  <c r="F276" i="41"/>
  <c r="F277" i="41"/>
  <c r="F278" i="41"/>
  <c r="F279" i="41"/>
  <c r="F280" i="41"/>
  <c r="F281" i="41"/>
  <c r="F282" i="41"/>
  <c r="F283" i="41"/>
  <c r="F284" i="41"/>
  <c r="F285" i="41"/>
  <c r="F286" i="41"/>
  <c r="F287" i="41"/>
  <c r="F288" i="41"/>
  <c r="F289" i="41"/>
  <c r="F290" i="41"/>
  <c r="F291" i="41"/>
  <c r="F292" i="41"/>
  <c r="F293" i="41"/>
  <c r="F294" i="41"/>
  <c r="F295" i="41"/>
  <c r="F296" i="41"/>
  <c r="F297" i="41"/>
  <c r="F298" i="41"/>
  <c r="F299" i="41"/>
  <c r="F300" i="41"/>
  <c r="F363" i="41"/>
  <c r="F364" i="41"/>
  <c r="F365" i="41"/>
  <c r="F366" i="41"/>
  <c r="F367" i="41"/>
  <c r="F368" i="41"/>
  <c r="F369" i="41"/>
  <c r="F370" i="41"/>
  <c r="F371" i="41"/>
  <c r="F372" i="41"/>
  <c r="F373" i="41"/>
  <c r="F374" i="41"/>
  <c r="F375" i="41"/>
  <c r="F376" i="41"/>
  <c r="F377" i="41"/>
  <c r="F378" i="41"/>
  <c r="F379" i="41"/>
  <c r="F380" i="41"/>
  <c r="F381" i="41"/>
  <c r="F382" i="41"/>
  <c r="F383" i="41"/>
  <c r="F384" i="41"/>
  <c r="F385" i="41"/>
  <c r="F386" i="41"/>
  <c r="F387" i="41"/>
  <c r="F388" i="41"/>
  <c r="F389" i="41"/>
  <c r="F390" i="41"/>
  <c r="F391" i="41"/>
  <c r="F392" i="41"/>
  <c r="F393" i="41"/>
  <c r="F394" i="41"/>
  <c r="F395" i="41"/>
  <c r="F396" i="41"/>
  <c r="F397" i="41"/>
  <c r="F398" i="41"/>
  <c r="F399" i="41"/>
  <c r="F400" i="41"/>
  <c r="F401" i="41"/>
  <c r="F402" i="41"/>
  <c r="F403" i="41"/>
  <c r="F404" i="41"/>
  <c r="F405" i="41"/>
  <c r="F406" i="41"/>
  <c r="F407" i="41"/>
  <c r="F408" i="41"/>
  <c r="F409" i="41"/>
  <c r="F410" i="41"/>
  <c r="F411" i="41"/>
  <c r="F412" i="41"/>
  <c r="F413" i="41"/>
  <c r="F414" i="41"/>
  <c r="F415" i="41"/>
  <c r="F416" i="41"/>
  <c r="F417" i="41"/>
  <c r="F418" i="41"/>
  <c r="F419" i="41"/>
  <c r="F420" i="41"/>
  <c r="F421" i="41"/>
  <c r="F422" i="41"/>
  <c r="F423" i="41"/>
  <c r="F424" i="41"/>
  <c r="F425" i="41"/>
  <c r="F426" i="41"/>
  <c r="F427" i="41"/>
  <c r="F428" i="41"/>
  <c r="F429" i="41"/>
  <c r="F430" i="41"/>
  <c r="F431" i="41"/>
  <c r="F432" i="41"/>
  <c r="F433" i="41"/>
  <c r="F434" i="41"/>
  <c r="F435" i="41"/>
  <c r="F436" i="41"/>
  <c r="F437" i="41"/>
  <c r="F438" i="41"/>
  <c r="F439" i="41"/>
  <c r="F440" i="41"/>
  <c r="F441" i="41"/>
  <c r="F442" i="41"/>
  <c r="F443" i="41"/>
  <c r="F444" i="41"/>
  <c r="F445" i="41"/>
  <c r="F446" i="41"/>
  <c r="F447" i="41"/>
  <c r="F448" i="41"/>
  <c r="F449" i="41"/>
  <c r="F450" i="41"/>
  <c r="F451" i="41"/>
  <c r="F452" i="41"/>
  <c r="F453" i="41"/>
  <c r="F454" i="41"/>
  <c r="F455" i="41"/>
  <c r="F456" i="41"/>
  <c r="F457" i="41"/>
  <c r="F458" i="41"/>
  <c r="F459" i="41"/>
  <c r="F460" i="41"/>
  <c r="F461" i="41"/>
  <c r="F462" i="41"/>
  <c r="F463" i="41"/>
  <c r="F464" i="41"/>
  <c r="F465" i="41"/>
  <c r="F466" i="41"/>
  <c r="F467" i="41"/>
  <c r="F468" i="41"/>
  <c r="F469" i="41"/>
  <c r="F470" i="41"/>
  <c r="F471" i="41"/>
  <c r="F472" i="41"/>
  <c r="F473" i="41"/>
  <c r="F474" i="41"/>
  <c r="F475" i="41"/>
  <c r="F476" i="41"/>
  <c r="F477" i="41"/>
  <c r="F478" i="41"/>
  <c r="F479" i="41"/>
  <c r="F480" i="41"/>
  <c r="F481" i="41"/>
  <c r="F482" i="41"/>
  <c r="F483" i="41"/>
  <c r="F484" i="41"/>
  <c r="F485" i="41"/>
  <c r="F486" i="41"/>
  <c r="F487" i="41"/>
  <c r="F488" i="41"/>
  <c r="F489" i="41"/>
  <c r="F490" i="41"/>
  <c r="F491" i="41"/>
  <c r="F492" i="41"/>
  <c r="F493" i="41"/>
  <c r="F494" i="41"/>
  <c r="F495" i="41"/>
  <c r="F496" i="41"/>
  <c r="F497" i="41"/>
  <c r="F498" i="41"/>
  <c r="F499" i="41"/>
  <c r="F500" i="41"/>
  <c r="F501" i="41"/>
  <c r="F502" i="41"/>
  <c r="F503" i="41"/>
  <c r="F504" i="41"/>
  <c r="F505" i="41"/>
  <c r="F506" i="41"/>
  <c r="F507" i="41"/>
  <c r="F508" i="41"/>
  <c r="F509" i="41"/>
  <c r="F510" i="41"/>
  <c r="F511" i="41"/>
  <c r="F512" i="41"/>
  <c r="F513" i="41"/>
  <c r="F514" i="41"/>
  <c r="F515" i="41"/>
  <c r="F516" i="41"/>
  <c r="F517" i="41"/>
  <c r="F518" i="41"/>
  <c r="F519" i="41"/>
  <c r="F520" i="41"/>
  <c r="F521" i="41"/>
  <c r="F522" i="41"/>
  <c r="F523" i="41"/>
  <c r="F524" i="41"/>
  <c r="F525" i="41"/>
  <c r="F526" i="41"/>
  <c r="F527" i="41"/>
  <c r="F528" i="41"/>
  <c r="F529" i="41"/>
  <c r="F530" i="41"/>
  <c r="F531" i="41"/>
  <c r="F532" i="41"/>
  <c r="F533" i="41"/>
  <c r="F534" i="41"/>
  <c r="F535" i="41"/>
  <c r="F536" i="41"/>
  <c r="F537" i="41"/>
  <c r="F538" i="41"/>
  <c r="F539" i="41"/>
  <c r="F540" i="41"/>
  <c r="F541" i="41"/>
  <c r="F542" i="41"/>
  <c r="F543" i="41"/>
  <c r="F544" i="41"/>
  <c r="F545" i="41"/>
  <c r="F546" i="41"/>
  <c r="F547" i="41"/>
  <c r="F548" i="41"/>
  <c r="F549" i="41"/>
  <c r="F550" i="41"/>
  <c r="F551" i="41"/>
  <c r="F552" i="41"/>
  <c r="F553" i="41"/>
  <c r="F554" i="41"/>
  <c r="F555" i="41"/>
  <c r="F556" i="41"/>
  <c r="F557" i="41"/>
  <c r="F558" i="41"/>
  <c r="F559" i="41"/>
  <c r="F560" i="41"/>
  <c r="F561" i="41"/>
  <c r="F562" i="41"/>
  <c r="F563" i="41"/>
  <c r="F564" i="41"/>
  <c r="F565" i="41"/>
  <c r="F566" i="41"/>
  <c r="F567" i="41"/>
  <c r="F568" i="41"/>
  <c r="F569" i="41"/>
  <c r="F570" i="41"/>
  <c r="F571" i="41"/>
  <c r="F572" i="41"/>
  <c r="F573" i="41"/>
  <c r="F574" i="41"/>
  <c r="F575" i="41"/>
  <c r="F576" i="41"/>
  <c r="F577" i="41"/>
  <c r="F578" i="41"/>
  <c r="F579" i="41"/>
  <c r="F580" i="41"/>
  <c r="F581" i="41"/>
  <c r="F582" i="41"/>
  <c r="F583" i="41"/>
  <c r="F584" i="41"/>
  <c r="F585" i="41"/>
  <c r="F586" i="41"/>
  <c r="F587" i="41"/>
  <c r="F588" i="41"/>
  <c r="F589" i="41"/>
  <c r="F590" i="41"/>
  <c r="F591" i="41"/>
  <c r="F592" i="41"/>
  <c r="F593" i="41"/>
  <c r="F594" i="41"/>
  <c r="F595" i="41"/>
  <c r="F596" i="41"/>
  <c r="F597" i="41"/>
  <c r="F598" i="41"/>
  <c r="F599" i="41"/>
  <c r="F600" i="41"/>
  <c r="F601" i="41"/>
  <c r="F602" i="41"/>
  <c r="F603" i="41"/>
  <c r="F604" i="41"/>
  <c r="F605" i="41"/>
  <c r="F606" i="41"/>
  <c r="F607" i="41"/>
  <c r="F608" i="41"/>
  <c r="F609" i="41"/>
  <c r="F610" i="41"/>
  <c r="F611" i="41"/>
  <c r="F612" i="41"/>
  <c r="F613" i="41"/>
  <c r="F614" i="41"/>
  <c r="F615" i="41"/>
  <c r="F616" i="41"/>
  <c r="F617" i="41"/>
  <c r="F618" i="41"/>
  <c r="F619" i="41"/>
  <c r="F620" i="41"/>
  <c r="F621" i="41"/>
  <c r="F622" i="41"/>
  <c r="F623" i="41"/>
  <c r="F624" i="41"/>
  <c r="F625" i="41"/>
  <c r="F626" i="41"/>
  <c r="F627" i="41"/>
  <c r="F628" i="41"/>
  <c r="F629" i="41"/>
  <c r="F630" i="41"/>
  <c r="F631" i="41"/>
  <c r="F632" i="41"/>
  <c r="F633" i="41"/>
  <c r="F634" i="41"/>
  <c r="F635" i="41"/>
  <c r="F636" i="41"/>
  <c r="F637" i="41"/>
  <c r="F638" i="41"/>
  <c r="F639" i="41"/>
  <c r="F640" i="41"/>
  <c r="F641" i="41"/>
  <c r="F642" i="41"/>
  <c r="F643" i="41"/>
  <c r="F644" i="41"/>
  <c r="F645" i="41"/>
  <c r="F646" i="41"/>
  <c r="F647" i="41"/>
  <c r="F648" i="41"/>
  <c r="F649" i="41"/>
  <c r="F650" i="41"/>
  <c r="F651" i="41"/>
  <c r="F652" i="41"/>
  <c r="F653" i="41"/>
  <c r="F654" i="41"/>
  <c r="F655" i="41"/>
  <c r="F656" i="41"/>
  <c r="F657" i="41"/>
  <c r="F658" i="41"/>
  <c r="F659" i="41"/>
  <c r="F660" i="41"/>
  <c r="F661" i="41"/>
  <c r="F662" i="41"/>
  <c r="F663" i="41"/>
  <c r="F664" i="41"/>
  <c r="F665" i="41"/>
  <c r="F666" i="41"/>
  <c r="F667" i="41"/>
  <c r="F668" i="41"/>
  <c r="F669" i="41"/>
  <c r="F670" i="41"/>
  <c r="F671" i="41"/>
  <c r="F672" i="41"/>
  <c r="F673" i="41"/>
  <c r="F674" i="41"/>
  <c r="F675" i="41"/>
  <c r="F676" i="41"/>
  <c r="F677" i="41"/>
  <c r="F678" i="41"/>
  <c r="F679" i="41"/>
  <c r="F680" i="41"/>
  <c r="F681" i="41"/>
  <c r="F682" i="41"/>
  <c r="F683" i="41"/>
  <c r="F684" i="41"/>
  <c r="F685" i="41"/>
  <c r="F686" i="41"/>
  <c r="F687" i="41"/>
  <c r="F688" i="41"/>
  <c r="F689" i="41"/>
  <c r="F690" i="41"/>
  <c r="F691" i="41"/>
  <c r="F692" i="41"/>
  <c r="F693" i="41"/>
  <c r="F694" i="41"/>
  <c r="F695" i="41"/>
  <c r="F696" i="41"/>
  <c r="F697" i="41"/>
  <c r="F698" i="41"/>
  <c r="F699" i="41"/>
  <c r="F700" i="41"/>
  <c r="F701" i="41"/>
  <c r="F702" i="41"/>
  <c r="F703" i="41"/>
  <c r="F704" i="41"/>
  <c r="F705" i="41"/>
  <c r="F706" i="41"/>
  <c r="F707" i="41"/>
  <c r="F708" i="41"/>
  <c r="F709" i="41"/>
  <c r="F710" i="41"/>
  <c r="F711" i="41"/>
  <c r="F712" i="41"/>
  <c r="F713" i="41"/>
  <c r="F714" i="41"/>
  <c r="F715" i="41"/>
  <c r="F716" i="41"/>
  <c r="F717" i="41"/>
  <c r="F718" i="41"/>
  <c r="F719" i="41"/>
  <c r="F720" i="41"/>
  <c r="F721" i="41"/>
  <c r="F722" i="41"/>
  <c r="F723" i="41"/>
  <c r="F724" i="41"/>
  <c r="F725" i="41"/>
  <c r="F726" i="41"/>
  <c r="F727" i="41"/>
  <c r="F728" i="41"/>
  <c r="F729" i="41"/>
  <c r="F730" i="41"/>
  <c r="F731" i="41"/>
  <c r="F732" i="41"/>
  <c r="F733" i="41"/>
  <c r="F734" i="41"/>
  <c r="F735" i="41"/>
  <c r="F736" i="41"/>
  <c r="F737" i="41"/>
  <c r="F738" i="41"/>
  <c r="F739" i="41"/>
  <c r="F740" i="41"/>
  <c r="F741" i="41"/>
  <c r="F742" i="41"/>
  <c r="F743" i="41"/>
  <c r="F744" i="41"/>
  <c r="F745" i="41"/>
  <c r="F746" i="41"/>
  <c r="F747" i="41"/>
  <c r="F748" i="41"/>
  <c r="F749" i="41"/>
  <c r="F750" i="41"/>
  <c r="F751" i="41"/>
  <c r="F752" i="41"/>
  <c r="F753" i="41"/>
  <c r="F754" i="41"/>
  <c r="F755" i="41"/>
  <c r="F756" i="41"/>
  <c r="F757" i="41"/>
  <c r="F758" i="41"/>
  <c r="F759" i="41"/>
  <c r="F760" i="41"/>
  <c r="F761" i="41"/>
  <c r="F762" i="41"/>
  <c r="F763" i="41"/>
  <c r="F764" i="41"/>
  <c r="F765" i="41"/>
  <c r="F766" i="41"/>
  <c r="F767" i="41"/>
  <c r="F768" i="41"/>
  <c r="F769" i="41"/>
  <c r="F770" i="41"/>
  <c r="F771" i="41"/>
  <c r="F772" i="41"/>
  <c r="F773" i="41"/>
  <c r="F774" i="41"/>
  <c r="F775" i="41"/>
  <c r="F776" i="41"/>
  <c r="F777" i="41"/>
  <c r="F778" i="41"/>
  <c r="F779" i="41"/>
  <c r="F780" i="41"/>
  <c r="F781" i="41"/>
  <c r="F782" i="41"/>
  <c r="F783" i="41"/>
  <c r="F784" i="41"/>
  <c r="F785" i="41"/>
  <c r="F786" i="41"/>
  <c r="F787" i="41"/>
  <c r="F788" i="41"/>
  <c r="F789" i="41"/>
  <c r="F790" i="41"/>
  <c r="F791" i="41"/>
  <c r="F792" i="41"/>
  <c r="F793" i="41"/>
  <c r="F794" i="41"/>
  <c r="F795" i="41"/>
  <c r="F796" i="41"/>
  <c r="F797" i="41"/>
  <c r="F798" i="41"/>
  <c r="F799" i="41"/>
  <c r="F800" i="41"/>
  <c r="F801" i="41"/>
  <c r="F802" i="41"/>
  <c r="F803" i="41"/>
  <c r="F804" i="41"/>
  <c r="F805" i="41"/>
  <c r="F806" i="41"/>
  <c r="F807" i="41"/>
  <c r="F808" i="41"/>
  <c r="F809" i="41"/>
  <c r="F810" i="41"/>
  <c r="F811" i="41"/>
  <c r="F812" i="41"/>
  <c r="F813" i="41"/>
  <c r="F814" i="41"/>
  <c r="F815" i="41"/>
  <c r="F816" i="41"/>
  <c r="F817" i="41"/>
  <c r="F818" i="41"/>
  <c r="F819" i="41"/>
  <c r="F820" i="41"/>
  <c r="F821" i="41"/>
  <c r="F822" i="41"/>
  <c r="F823" i="41"/>
  <c r="F824" i="41"/>
  <c r="F825" i="41"/>
  <c r="F826" i="41"/>
  <c r="F827" i="41"/>
  <c r="F828" i="41"/>
  <c r="F829" i="41"/>
  <c r="F830" i="41"/>
  <c r="F831" i="41"/>
  <c r="F832" i="41"/>
  <c r="F833" i="41"/>
  <c r="F834" i="41"/>
  <c r="F835" i="41"/>
  <c r="F836" i="41"/>
  <c r="F837" i="41"/>
  <c r="F838" i="41"/>
  <c r="F839" i="41"/>
  <c r="F840" i="41"/>
  <c r="F841" i="41"/>
  <c r="F842" i="41"/>
  <c r="F843" i="41"/>
  <c r="F844" i="41"/>
  <c r="F845" i="41"/>
  <c r="F846" i="41"/>
  <c r="F847" i="41"/>
  <c r="F848" i="41"/>
  <c r="F849" i="41"/>
  <c r="F850" i="41"/>
  <c r="F851" i="41"/>
  <c r="F852" i="41"/>
  <c r="F853" i="41"/>
  <c r="F854" i="41"/>
  <c r="F855" i="41"/>
  <c r="F856" i="41"/>
  <c r="F857" i="41"/>
  <c r="F858" i="41"/>
  <c r="F859" i="41"/>
  <c r="F860" i="41"/>
  <c r="F861" i="41"/>
  <c r="F862" i="41"/>
  <c r="F863" i="41"/>
  <c r="F864" i="41"/>
  <c r="F865" i="41"/>
  <c r="F866" i="41"/>
  <c r="F867" i="41"/>
  <c r="F868" i="41"/>
  <c r="F869" i="41"/>
  <c r="F870" i="41"/>
  <c r="F871" i="41"/>
  <c r="F872" i="41"/>
  <c r="F873" i="41"/>
  <c r="F874" i="41"/>
  <c r="F875" i="41"/>
  <c r="F876" i="41"/>
  <c r="F877" i="41"/>
  <c r="F878" i="41"/>
  <c r="F879" i="41"/>
  <c r="F880" i="41"/>
  <c r="F881" i="41"/>
  <c r="F882" i="41"/>
  <c r="F883" i="41"/>
  <c r="F884" i="41"/>
  <c r="F885" i="41"/>
  <c r="F886" i="41"/>
  <c r="F887" i="41"/>
  <c r="F888" i="41"/>
  <c r="F889" i="41"/>
  <c r="F890" i="41"/>
  <c r="F891" i="41"/>
  <c r="F892" i="41"/>
  <c r="F893" i="41"/>
  <c r="F894" i="41"/>
  <c r="F895" i="41"/>
  <c r="F896" i="41"/>
  <c r="F897" i="41"/>
  <c r="F898" i="41"/>
  <c r="F899" i="41"/>
  <c r="F900" i="41"/>
  <c r="F901" i="41"/>
  <c r="F902" i="41"/>
  <c r="F903" i="41"/>
  <c r="F904" i="41"/>
  <c r="F905" i="41"/>
  <c r="F906" i="41"/>
  <c r="F907" i="41"/>
  <c r="F908" i="41"/>
  <c r="F909" i="41"/>
  <c r="F910" i="41"/>
  <c r="F911" i="41"/>
  <c r="F912" i="41"/>
  <c r="F913" i="41"/>
  <c r="F914" i="41"/>
  <c r="F915" i="41"/>
  <c r="F916" i="41"/>
  <c r="F917" i="41"/>
  <c r="F918" i="41"/>
  <c r="F919" i="41"/>
  <c r="F920" i="41"/>
  <c r="F921" i="41"/>
  <c r="F922" i="41"/>
  <c r="F923" i="41"/>
  <c r="F924" i="41"/>
  <c r="F925" i="41"/>
  <c r="F926" i="41"/>
  <c r="F927" i="41"/>
  <c r="F928" i="41"/>
  <c r="F929" i="41"/>
  <c r="F930" i="41"/>
  <c r="F931" i="41"/>
  <c r="F932" i="41"/>
  <c r="F933" i="41"/>
  <c r="F934" i="41"/>
  <c r="F935" i="41"/>
  <c r="F936" i="41"/>
  <c r="F937" i="41"/>
  <c r="F938" i="41"/>
  <c r="F939" i="41"/>
  <c r="F940" i="41"/>
  <c r="F941" i="41"/>
  <c r="F942" i="41"/>
  <c r="F943" i="41"/>
  <c r="F944" i="41"/>
  <c r="F945" i="41"/>
  <c r="F946" i="41"/>
  <c r="F947" i="41"/>
  <c r="F948" i="41"/>
  <c r="F949" i="41"/>
  <c r="F950" i="41"/>
  <c r="F951" i="41"/>
  <c r="F952" i="41"/>
  <c r="F953" i="41"/>
  <c r="F954" i="41"/>
  <c r="F955" i="41"/>
  <c r="F956" i="41"/>
  <c r="F957" i="41"/>
  <c r="F958" i="41"/>
  <c r="F959" i="41"/>
  <c r="F960" i="41"/>
  <c r="F961" i="41"/>
  <c r="F962" i="41"/>
  <c r="F963" i="41"/>
  <c r="F964" i="41"/>
  <c r="F965" i="41"/>
  <c r="F966" i="41"/>
  <c r="F967" i="41"/>
  <c r="F968" i="41"/>
  <c r="F969" i="41"/>
  <c r="F970" i="41"/>
  <c r="F971" i="41"/>
  <c r="F972" i="41"/>
  <c r="F973" i="41"/>
  <c r="F974" i="41"/>
  <c r="F975" i="41"/>
  <c r="F976" i="41"/>
  <c r="F977" i="41"/>
  <c r="F978" i="41"/>
  <c r="F979" i="41"/>
  <c r="F980" i="41"/>
  <c r="F981" i="41"/>
  <c r="F982" i="41"/>
  <c r="F983" i="41"/>
  <c r="F984" i="41"/>
  <c r="F985" i="41"/>
  <c r="F986" i="41"/>
  <c r="F987" i="41"/>
  <c r="F988" i="41"/>
  <c r="F989" i="41"/>
  <c r="F990" i="41"/>
  <c r="F991" i="41"/>
  <c r="F992" i="41"/>
  <c r="F993" i="41"/>
  <c r="F994" i="41"/>
  <c r="F995" i="41"/>
  <c r="F996" i="41"/>
  <c r="F997" i="41"/>
  <c r="F998" i="41"/>
  <c r="F999" i="41"/>
  <c r="F1000" i="41"/>
  <c r="F1001" i="41"/>
  <c r="F1002" i="41"/>
  <c r="F1003" i="41"/>
  <c r="F1004" i="41"/>
  <c r="E10" i="41"/>
  <c r="E11" i="41"/>
  <c r="E12" i="41"/>
  <c r="E13" i="41"/>
  <c r="E14" i="41"/>
  <c r="E15" i="41"/>
  <c r="E16" i="41"/>
  <c r="E17" i="41"/>
  <c r="E18" i="41"/>
  <c r="E19" i="41"/>
  <c r="E20" i="41"/>
  <c r="E21" i="41"/>
  <c r="E22" i="41"/>
  <c r="E23" i="41"/>
  <c r="E24" i="41"/>
  <c r="E25" i="41"/>
  <c r="E26" i="41"/>
  <c r="E27" i="41"/>
  <c r="E28" i="41"/>
  <c r="E29" i="41"/>
  <c r="E30" i="41"/>
  <c r="E31" i="41"/>
  <c r="E32" i="41"/>
  <c r="E33" i="41"/>
  <c r="E34" i="41"/>
  <c r="E35" i="41"/>
  <c r="E36" i="41"/>
  <c r="E37" i="41"/>
  <c r="E38" i="41"/>
  <c r="E39" i="41"/>
  <c r="E40" i="41"/>
  <c r="E41" i="41"/>
  <c r="E42" i="41"/>
  <c r="E43" i="41"/>
  <c r="E44" i="41"/>
  <c r="E45" i="41"/>
  <c r="E46" i="41"/>
  <c r="E47" i="41"/>
  <c r="E48" i="41"/>
  <c r="E49" i="41"/>
  <c r="E50" i="41"/>
  <c r="E51" i="41"/>
  <c r="E52" i="41"/>
  <c r="E53" i="41"/>
  <c r="E54" i="41"/>
  <c r="E55" i="41"/>
  <c r="E56" i="41"/>
  <c r="E57" i="41"/>
  <c r="E58" i="41"/>
  <c r="E59" i="41"/>
  <c r="E60" i="41"/>
  <c r="E61" i="41"/>
  <c r="E62" i="41"/>
  <c r="E63" i="41"/>
  <c r="E64" i="41"/>
  <c r="E65" i="41"/>
  <c r="E66" i="41"/>
  <c r="E67" i="41"/>
  <c r="E68" i="41"/>
  <c r="E69" i="41"/>
  <c r="E70" i="41"/>
  <c r="E71" i="41"/>
  <c r="E72" i="41"/>
  <c r="E73" i="41"/>
  <c r="E74" i="41"/>
  <c r="E75" i="41"/>
  <c r="E76" i="41"/>
  <c r="E77" i="41"/>
  <c r="E78" i="41"/>
  <c r="E79" i="41"/>
  <c r="E80" i="41"/>
  <c r="E81" i="41"/>
  <c r="E82" i="41"/>
  <c r="E83" i="41"/>
  <c r="E84" i="41"/>
  <c r="E85" i="41"/>
  <c r="E86" i="41"/>
  <c r="E87" i="41"/>
  <c r="E88" i="41"/>
  <c r="E89" i="41"/>
  <c r="E90" i="41"/>
  <c r="E91" i="41"/>
  <c r="E92" i="41"/>
  <c r="E93" i="41"/>
  <c r="E94" i="41"/>
  <c r="E95" i="41"/>
  <c r="E96" i="41"/>
  <c r="E97" i="41"/>
  <c r="E98" i="41"/>
  <c r="E99" i="41"/>
  <c r="E100" i="41"/>
  <c r="E101" i="41"/>
  <c r="E102" i="41"/>
  <c r="E103" i="41"/>
  <c r="E104" i="41"/>
  <c r="E105" i="41"/>
  <c r="E106" i="41"/>
  <c r="E107" i="41"/>
  <c r="E108" i="41"/>
  <c r="E109" i="41"/>
  <c r="E110" i="41"/>
  <c r="E111" i="41"/>
  <c r="E112" i="41"/>
  <c r="E113" i="41"/>
  <c r="E114" i="41"/>
  <c r="E115" i="41"/>
  <c r="E116" i="41"/>
  <c r="E117" i="41"/>
  <c r="E118" i="41"/>
  <c r="E119" i="41"/>
  <c r="E120" i="41"/>
  <c r="E121" i="41"/>
  <c r="E122" i="41"/>
  <c r="E123" i="41"/>
  <c r="E124" i="41"/>
  <c r="E125" i="41"/>
  <c r="E126" i="41"/>
  <c r="E127" i="41"/>
  <c r="E128" i="41"/>
  <c r="E129" i="41"/>
  <c r="E130" i="41"/>
  <c r="E131" i="41"/>
  <c r="E132" i="41"/>
  <c r="E133" i="41"/>
  <c r="E134" i="41"/>
  <c r="E135" i="41"/>
  <c r="E136" i="41"/>
  <c r="E137" i="41"/>
  <c r="E138" i="41"/>
  <c r="E139" i="41"/>
  <c r="E140" i="41"/>
  <c r="E141" i="41"/>
  <c r="E142" i="41"/>
  <c r="E143" i="41"/>
  <c r="E144" i="41"/>
  <c r="E145" i="41"/>
  <c r="E146" i="41"/>
  <c r="E147" i="41"/>
  <c r="E148" i="41"/>
  <c r="E149" i="41"/>
  <c r="E150" i="41"/>
  <c r="E151" i="41"/>
  <c r="E152" i="41"/>
  <c r="E153" i="41"/>
  <c r="E154" i="41"/>
  <c r="E155" i="41"/>
  <c r="E156" i="41"/>
  <c r="E157" i="41"/>
  <c r="E158" i="41"/>
  <c r="E159" i="41"/>
  <c r="E160" i="41"/>
  <c r="E161" i="41"/>
  <c r="E162" i="41"/>
  <c r="E163" i="41"/>
  <c r="E164" i="41"/>
  <c r="E165" i="41"/>
  <c r="E166" i="41"/>
  <c r="E167" i="41"/>
  <c r="E168" i="41"/>
  <c r="E169" i="41"/>
  <c r="E170" i="41"/>
  <c r="E171" i="41"/>
  <c r="E172" i="41"/>
  <c r="E173" i="41"/>
  <c r="E174" i="41"/>
  <c r="E175" i="41"/>
  <c r="E176" i="41"/>
  <c r="E177" i="41"/>
  <c r="E178" i="41"/>
  <c r="E179" i="41"/>
  <c r="E180" i="41"/>
  <c r="E181" i="41"/>
  <c r="E182" i="41"/>
  <c r="E183" i="41"/>
  <c r="E184" i="41"/>
  <c r="E185" i="41"/>
  <c r="E186" i="41"/>
  <c r="E187" i="41"/>
  <c r="E188" i="41"/>
  <c r="E189" i="41"/>
  <c r="E190" i="41"/>
  <c r="E191" i="41"/>
  <c r="E192" i="41"/>
  <c r="E193" i="41"/>
  <c r="E194" i="41"/>
  <c r="E195" i="41"/>
  <c r="E196" i="41"/>
  <c r="E197" i="41"/>
  <c r="E198" i="41"/>
  <c r="E199" i="41"/>
  <c r="E200" i="41"/>
  <c r="E201" i="41"/>
  <c r="E202" i="41"/>
  <c r="E203" i="41"/>
  <c r="E204" i="41"/>
  <c r="E205" i="41"/>
  <c r="E206" i="41"/>
  <c r="E207" i="41"/>
  <c r="E208" i="41"/>
  <c r="E209" i="41"/>
  <c r="E210" i="41"/>
  <c r="E211" i="41"/>
  <c r="E212" i="41"/>
  <c r="E213" i="41"/>
  <c r="E214" i="41"/>
  <c r="E215" i="41"/>
  <c r="E216" i="41"/>
  <c r="E217" i="41"/>
  <c r="E218" i="41"/>
  <c r="E219" i="41"/>
  <c r="E220" i="41"/>
  <c r="E221" i="41"/>
  <c r="E222" i="41"/>
  <c r="E223" i="41"/>
  <c r="E224" i="41"/>
  <c r="E225" i="41"/>
  <c r="E226" i="41"/>
  <c r="E227" i="41"/>
  <c r="E228" i="41"/>
  <c r="E229" i="41"/>
  <c r="E230" i="41"/>
  <c r="E231" i="41"/>
  <c r="E232" i="41"/>
  <c r="E233" i="41"/>
  <c r="E234" i="41"/>
  <c r="E235" i="41"/>
  <c r="E236" i="41"/>
  <c r="E237" i="41"/>
  <c r="E238" i="41"/>
  <c r="E239" i="41"/>
  <c r="E240" i="41"/>
  <c r="E241" i="41"/>
  <c r="E242" i="41"/>
  <c r="E243" i="41"/>
  <c r="E244" i="41"/>
  <c r="E245" i="41"/>
  <c r="E246" i="41"/>
  <c r="E247" i="41"/>
  <c r="E248" i="41"/>
  <c r="E249" i="41"/>
  <c r="E250" i="41"/>
  <c r="E251" i="41"/>
  <c r="E252" i="41"/>
  <c r="E253" i="41"/>
  <c r="E254" i="41"/>
  <c r="E255" i="41"/>
  <c r="E256" i="41"/>
  <c r="E257" i="41"/>
  <c r="E258" i="41"/>
  <c r="E259" i="41"/>
  <c r="E260" i="41"/>
  <c r="E261" i="41"/>
  <c r="E262" i="41"/>
  <c r="E263" i="41"/>
  <c r="E264" i="41"/>
  <c r="E265" i="41"/>
  <c r="E266" i="41"/>
  <c r="E267" i="41"/>
  <c r="E268" i="41"/>
  <c r="E269" i="41"/>
  <c r="E270" i="41"/>
  <c r="E271" i="41"/>
  <c r="E272" i="41"/>
  <c r="E273" i="41"/>
  <c r="E274" i="41"/>
  <c r="E275" i="41"/>
  <c r="E276" i="41"/>
  <c r="E277" i="41"/>
  <c r="E278" i="41"/>
  <c r="E279" i="41"/>
  <c r="E280" i="41"/>
  <c r="E281" i="41"/>
  <c r="E282" i="41"/>
  <c r="E283" i="41"/>
  <c r="E284" i="41"/>
  <c r="E285" i="41"/>
  <c r="E286" i="41"/>
  <c r="E287" i="41"/>
  <c r="E288" i="41"/>
  <c r="E289" i="41"/>
  <c r="E290" i="41"/>
  <c r="E291" i="41"/>
  <c r="E292" i="41"/>
  <c r="E293" i="41"/>
  <c r="E294" i="41"/>
  <c r="E295" i="41"/>
  <c r="E296" i="41"/>
  <c r="E297" i="41"/>
  <c r="E298" i="41"/>
  <c r="E299" i="41"/>
  <c r="E300" i="41"/>
  <c r="E363" i="41"/>
  <c r="E364" i="41"/>
  <c r="E365" i="41"/>
  <c r="E366" i="41"/>
  <c r="E367" i="41"/>
  <c r="E368" i="41"/>
  <c r="E369" i="41"/>
  <c r="E370" i="41"/>
  <c r="E371" i="41"/>
  <c r="E372" i="41"/>
  <c r="E373" i="41"/>
  <c r="E374" i="41"/>
  <c r="E375" i="41"/>
  <c r="E376" i="41"/>
  <c r="E377" i="41"/>
  <c r="E378" i="41"/>
  <c r="E379" i="41"/>
  <c r="E380" i="41"/>
  <c r="E381" i="41"/>
  <c r="E382" i="41"/>
  <c r="E383" i="41"/>
  <c r="E384" i="41"/>
  <c r="E385" i="41"/>
  <c r="E386" i="41"/>
  <c r="E387" i="41"/>
  <c r="E388" i="41"/>
  <c r="E389" i="41"/>
  <c r="E390" i="41"/>
  <c r="E391" i="41"/>
  <c r="E392" i="41"/>
  <c r="E393" i="41"/>
  <c r="E394" i="41"/>
  <c r="E395" i="41"/>
  <c r="E396" i="41"/>
  <c r="E397" i="41"/>
  <c r="E398" i="41"/>
  <c r="E399" i="41"/>
  <c r="E400" i="41"/>
  <c r="E401" i="41"/>
  <c r="E402" i="41"/>
  <c r="E403" i="41"/>
  <c r="E404" i="41"/>
  <c r="E405" i="41"/>
  <c r="E406" i="41"/>
  <c r="E407" i="41"/>
  <c r="E408" i="41"/>
  <c r="E409" i="41"/>
  <c r="E410" i="41"/>
  <c r="E411" i="41"/>
  <c r="E412" i="41"/>
  <c r="E413" i="41"/>
  <c r="E414" i="41"/>
  <c r="E415" i="41"/>
  <c r="E416" i="41"/>
  <c r="E417" i="41"/>
  <c r="E418" i="41"/>
  <c r="E419" i="41"/>
  <c r="E420" i="41"/>
  <c r="E421" i="41"/>
  <c r="E422" i="41"/>
  <c r="E423" i="41"/>
  <c r="E424" i="41"/>
  <c r="E425" i="41"/>
  <c r="E426" i="41"/>
  <c r="E427" i="41"/>
  <c r="E428" i="41"/>
  <c r="E429" i="41"/>
  <c r="E430" i="41"/>
  <c r="E431" i="41"/>
  <c r="E432" i="41"/>
  <c r="E433" i="41"/>
  <c r="E434" i="41"/>
  <c r="E435" i="41"/>
  <c r="E436" i="41"/>
  <c r="E437" i="41"/>
  <c r="E438" i="41"/>
  <c r="E439" i="41"/>
  <c r="E440" i="41"/>
  <c r="E441" i="41"/>
  <c r="E442" i="41"/>
  <c r="E443" i="41"/>
  <c r="E444" i="41"/>
  <c r="E445" i="41"/>
  <c r="E446" i="41"/>
  <c r="E447" i="41"/>
  <c r="E448" i="41"/>
  <c r="E449" i="41"/>
  <c r="E450" i="41"/>
  <c r="E451" i="41"/>
  <c r="E452" i="41"/>
  <c r="E453" i="41"/>
  <c r="E454" i="41"/>
  <c r="E455" i="41"/>
  <c r="E456" i="41"/>
  <c r="E457" i="41"/>
  <c r="E458" i="41"/>
  <c r="E459" i="41"/>
  <c r="E460" i="41"/>
  <c r="E461" i="41"/>
  <c r="E462" i="41"/>
  <c r="E463" i="41"/>
  <c r="E464" i="41"/>
  <c r="E465" i="41"/>
  <c r="E466" i="41"/>
  <c r="E467" i="41"/>
  <c r="E468" i="41"/>
  <c r="E469" i="41"/>
  <c r="E470" i="41"/>
  <c r="E471" i="41"/>
  <c r="E472" i="41"/>
  <c r="E473" i="41"/>
  <c r="E474" i="41"/>
  <c r="E475" i="41"/>
  <c r="E476" i="41"/>
  <c r="E477" i="41"/>
  <c r="E478" i="41"/>
  <c r="E479" i="41"/>
  <c r="E480" i="41"/>
  <c r="E481" i="41"/>
  <c r="E482" i="41"/>
  <c r="E483" i="41"/>
  <c r="E484" i="41"/>
  <c r="E485" i="41"/>
  <c r="E486" i="41"/>
  <c r="E487" i="41"/>
  <c r="E488" i="41"/>
  <c r="E489" i="41"/>
  <c r="E490" i="41"/>
  <c r="E491" i="41"/>
  <c r="E492" i="41"/>
  <c r="E493" i="41"/>
  <c r="E494" i="41"/>
  <c r="E495" i="41"/>
  <c r="E496" i="41"/>
  <c r="E497" i="41"/>
  <c r="E498" i="41"/>
  <c r="E499" i="41"/>
  <c r="E500" i="41"/>
  <c r="E501" i="41"/>
  <c r="E502" i="41"/>
  <c r="E503" i="41"/>
  <c r="E504" i="41"/>
  <c r="E505" i="41"/>
  <c r="E506" i="41"/>
  <c r="E507" i="41"/>
  <c r="E508" i="41"/>
  <c r="E509" i="41"/>
  <c r="E510" i="41"/>
  <c r="E511" i="41"/>
  <c r="E512" i="41"/>
  <c r="E513" i="41"/>
  <c r="E514" i="41"/>
  <c r="E515" i="41"/>
  <c r="E516" i="41"/>
  <c r="E517" i="41"/>
  <c r="E518" i="41"/>
  <c r="E519" i="41"/>
  <c r="E520" i="41"/>
  <c r="E521" i="41"/>
  <c r="E522" i="41"/>
  <c r="E523" i="41"/>
  <c r="E524" i="41"/>
  <c r="E525" i="41"/>
  <c r="E526" i="41"/>
  <c r="E527" i="41"/>
  <c r="E528" i="41"/>
  <c r="E529" i="41"/>
  <c r="E530" i="41"/>
  <c r="E531" i="41"/>
  <c r="E532" i="41"/>
  <c r="E533" i="41"/>
  <c r="E534" i="41"/>
  <c r="E535" i="41"/>
  <c r="E536" i="41"/>
  <c r="E537" i="41"/>
  <c r="E538" i="41"/>
  <c r="E539" i="41"/>
  <c r="E540" i="41"/>
  <c r="E541" i="41"/>
  <c r="E542" i="41"/>
  <c r="E543" i="41"/>
  <c r="E544" i="41"/>
  <c r="E545" i="41"/>
  <c r="E546" i="41"/>
  <c r="E547" i="41"/>
  <c r="E548" i="41"/>
  <c r="E549" i="41"/>
  <c r="E550" i="41"/>
  <c r="E551" i="41"/>
  <c r="E552" i="41"/>
  <c r="E553" i="41"/>
  <c r="E554" i="41"/>
  <c r="E555" i="41"/>
  <c r="E556" i="41"/>
  <c r="E557" i="41"/>
  <c r="E558" i="41"/>
  <c r="E559" i="41"/>
  <c r="E560" i="41"/>
  <c r="E561" i="41"/>
  <c r="E562" i="41"/>
  <c r="E563" i="41"/>
  <c r="E564" i="41"/>
  <c r="E565" i="41"/>
  <c r="E566" i="41"/>
  <c r="E567" i="41"/>
  <c r="E568" i="41"/>
  <c r="E569" i="41"/>
  <c r="E570" i="41"/>
  <c r="E571" i="41"/>
  <c r="E572" i="41"/>
  <c r="E573" i="41"/>
  <c r="E574" i="41"/>
  <c r="E575" i="41"/>
  <c r="E576" i="41"/>
  <c r="E577" i="41"/>
  <c r="E578" i="41"/>
  <c r="E579" i="41"/>
  <c r="E580" i="41"/>
  <c r="E581" i="41"/>
  <c r="E582" i="41"/>
  <c r="E583" i="41"/>
  <c r="E584" i="41"/>
  <c r="E585" i="41"/>
  <c r="E586" i="41"/>
  <c r="E587" i="41"/>
  <c r="E588" i="41"/>
  <c r="E589" i="41"/>
  <c r="E590" i="41"/>
  <c r="E591" i="41"/>
  <c r="E592" i="41"/>
  <c r="E593" i="41"/>
  <c r="E594" i="41"/>
  <c r="E595" i="41"/>
  <c r="E596" i="41"/>
  <c r="E597" i="41"/>
  <c r="E598" i="41"/>
  <c r="E599" i="41"/>
  <c r="E600" i="41"/>
  <c r="E601" i="41"/>
  <c r="E602" i="41"/>
  <c r="E603" i="41"/>
  <c r="E604" i="41"/>
  <c r="E605" i="41"/>
  <c r="E606" i="41"/>
  <c r="E607" i="41"/>
  <c r="E608" i="41"/>
  <c r="E609" i="41"/>
  <c r="E610" i="41"/>
  <c r="E611" i="41"/>
  <c r="E612" i="41"/>
  <c r="E613" i="41"/>
  <c r="E614" i="41"/>
  <c r="E615" i="41"/>
  <c r="E616" i="41"/>
  <c r="E617" i="41"/>
  <c r="E618" i="41"/>
  <c r="E619" i="41"/>
  <c r="E620" i="41"/>
  <c r="E621" i="41"/>
  <c r="E622" i="41"/>
  <c r="E623" i="41"/>
  <c r="E624" i="41"/>
  <c r="E625" i="41"/>
  <c r="E626" i="41"/>
  <c r="E627" i="41"/>
  <c r="E628" i="41"/>
  <c r="E629" i="41"/>
  <c r="E630" i="41"/>
  <c r="E631" i="41"/>
  <c r="E632" i="41"/>
  <c r="E633" i="41"/>
  <c r="E634" i="41"/>
  <c r="E635" i="41"/>
  <c r="E636" i="41"/>
  <c r="E637" i="41"/>
  <c r="E638" i="41"/>
  <c r="E639" i="41"/>
  <c r="E640" i="41"/>
  <c r="E641" i="41"/>
  <c r="E642" i="41"/>
  <c r="E643" i="41"/>
  <c r="E644" i="41"/>
  <c r="E645" i="41"/>
  <c r="E646" i="41"/>
  <c r="E647" i="41"/>
  <c r="E648" i="41"/>
  <c r="E649" i="41"/>
  <c r="E650" i="41"/>
  <c r="E651" i="41"/>
  <c r="E652" i="41"/>
  <c r="E653" i="41"/>
  <c r="E654" i="41"/>
  <c r="E655" i="41"/>
  <c r="E656" i="41"/>
  <c r="E657" i="41"/>
  <c r="E658" i="41"/>
  <c r="E659" i="41"/>
  <c r="E660" i="41"/>
  <c r="E661" i="41"/>
  <c r="E662" i="41"/>
  <c r="E663" i="41"/>
  <c r="E664" i="41"/>
  <c r="E665" i="41"/>
  <c r="E666" i="41"/>
  <c r="E667" i="41"/>
  <c r="E668" i="41"/>
  <c r="E669" i="41"/>
  <c r="E670" i="41"/>
  <c r="E671" i="41"/>
  <c r="E672" i="41"/>
  <c r="E673" i="41"/>
  <c r="E674" i="41"/>
  <c r="E675" i="41"/>
  <c r="E676" i="41"/>
  <c r="E677" i="41"/>
  <c r="E678" i="41"/>
  <c r="E679" i="41"/>
  <c r="E680" i="41"/>
  <c r="E681" i="41"/>
  <c r="E682" i="41"/>
  <c r="E683" i="41"/>
  <c r="E684" i="41"/>
  <c r="E685" i="41"/>
  <c r="E686" i="41"/>
  <c r="E687" i="41"/>
  <c r="E688" i="41"/>
  <c r="E689" i="41"/>
  <c r="E690" i="41"/>
  <c r="E691" i="41"/>
  <c r="E692" i="41"/>
  <c r="E693" i="41"/>
  <c r="E694" i="41"/>
  <c r="E695" i="41"/>
  <c r="E696" i="41"/>
  <c r="E697" i="41"/>
  <c r="E698" i="41"/>
  <c r="E699" i="41"/>
  <c r="E700" i="41"/>
  <c r="E701" i="41"/>
  <c r="E702" i="41"/>
  <c r="E703" i="41"/>
  <c r="E704" i="41"/>
  <c r="E705" i="41"/>
  <c r="E706" i="41"/>
  <c r="E707" i="41"/>
  <c r="E708" i="41"/>
  <c r="E709" i="41"/>
  <c r="E710" i="41"/>
  <c r="E711" i="41"/>
  <c r="E712" i="41"/>
  <c r="E713" i="41"/>
  <c r="E714" i="41"/>
  <c r="E715" i="41"/>
  <c r="E716" i="41"/>
  <c r="E717" i="41"/>
  <c r="E718" i="41"/>
  <c r="E719" i="41"/>
  <c r="E720" i="41"/>
  <c r="E721" i="41"/>
  <c r="E722" i="41"/>
  <c r="E723" i="41"/>
  <c r="E724" i="41"/>
  <c r="E725" i="41"/>
  <c r="E726" i="41"/>
  <c r="E727" i="41"/>
  <c r="E728" i="41"/>
  <c r="E729" i="41"/>
  <c r="E730" i="41"/>
  <c r="E731" i="41"/>
  <c r="E732" i="41"/>
  <c r="E733" i="41"/>
  <c r="E734" i="41"/>
  <c r="E735" i="41"/>
  <c r="E736" i="41"/>
  <c r="E737" i="41"/>
  <c r="E738" i="41"/>
  <c r="E739" i="41"/>
  <c r="E740" i="41"/>
  <c r="E741" i="41"/>
  <c r="E742" i="41"/>
  <c r="E743" i="41"/>
  <c r="E744" i="41"/>
  <c r="E745" i="41"/>
  <c r="E746" i="41"/>
  <c r="E747" i="41"/>
  <c r="E748" i="41"/>
  <c r="E749" i="41"/>
  <c r="E750" i="41"/>
  <c r="E751" i="41"/>
  <c r="E752" i="41"/>
  <c r="E753" i="41"/>
  <c r="E754" i="41"/>
  <c r="E755" i="41"/>
  <c r="E756" i="41"/>
  <c r="E757" i="41"/>
  <c r="E758" i="41"/>
  <c r="E759" i="41"/>
  <c r="E760" i="41"/>
  <c r="E761" i="41"/>
  <c r="E762" i="41"/>
  <c r="E763" i="41"/>
  <c r="E764" i="41"/>
  <c r="E765" i="41"/>
  <c r="E766" i="41"/>
  <c r="E767" i="41"/>
  <c r="E768" i="41"/>
  <c r="E769" i="41"/>
  <c r="E770" i="41"/>
  <c r="E771" i="41"/>
  <c r="E772" i="41"/>
  <c r="E773" i="41"/>
  <c r="E774" i="41"/>
  <c r="E775" i="41"/>
  <c r="E776" i="41"/>
  <c r="E777" i="41"/>
  <c r="E778" i="41"/>
  <c r="E779" i="41"/>
  <c r="E780" i="41"/>
  <c r="E781" i="41"/>
  <c r="E782" i="41"/>
  <c r="E783" i="41"/>
  <c r="E784" i="41"/>
  <c r="E785" i="41"/>
  <c r="E786" i="41"/>
  <c r="E787" i="41"/>
  <c r="E788" i="41"/>
  <c r="E789" i="41"/>
  <c r="E790" i="41"/>
  <c r="E791" i="41"/>
  <c r="E792" i="41"/>
  <c r="E793" i="41"/>
  <c r="E794" i="41"/>
  <c r="E795" i="41"/>
  <c r="E796" i="41"/>
  <c r="E797" i="41"/>
  <c r="E798" i="41"/>
  <c r="E799" i="41"/>
  <c r="E800" i="41"/>
  <c r="E801" i="41"/>
  <c r="E802" i="41"/>
  <c r="E803" i="41"/>
  <c r="E804" i="41"/>
  <c r="E805" i="41"/>
  <c r="E806" i="41"/>
  <c r="E807" i="41"/>
  <c r="E808" i="41"/>
  <c r="E809" i="41"/>
  <c r="E810" i="41"/>
  <c r="E811" i="41"/>
  <c r="E812" i="41"/>
  <c r="E813" i="41"/>
  <c r="E814" i="41"/>
  <c r="E815" i="41"/>
  <c r="E816" i="41"/>
  <c r="E817" i="41"/>
  <c r="E818" i="41"/>
  <c r="E819" i="41"/>
  <c r="E820" i="41"/>
  <c r="E821" i="41"/>
  <c r="E822" i="41"/>
  <c r="E823" i="41"/>
  <c r="E824" i="41"/>
  <c r="E825" i="41"/>
  <c r="E826" i="41"/>
  <c r="E827" i="41"/>
  <c r="E828" i="41"/>
  <c r="E829" i="41"/>
  <c r="E830" i="41"/>
  <c r="E831" i="41"/>
  <c r="E832" i="41"/>
  <c r="E833" i="41"/>
  <c r="E834" i="41"/>
  <c r="E835" i="41"/>
  <c r="E836" i="41"/>
  <c r="E837" i="41"/>
  <c r="E838" i="41"/>
  <c r="E839" i="41"/>
  <c r="E840" i="41"/>
  <c r="E841" i="41"/>
  <c r="E842" i="41"/>
  <c r="E843" i="41"/>
  <c r="E844" i="41"/>
  <c r="E845" i="41"/>
  <c r="E846" i="41"/>
  <c r="E847" i="41"/>
  <c r="E848" i="41"/>
  <c r="E849" i="41"/>
  <c r="E850" i="41"/>
  <c r="E851" i="41"/>
  <c r="E852" i="41"/>
  <c r="E853" i="41"/>
  <c r="E854" i="41"/>
  <c r="E855" i="41"/>
  <c r="E856" i="41"/>
  <c r="E857" i="41"/>
  <c r="E858" i="41"/>
  <c r="E859" i="41"/>
  <c r="E860" i="41"/>
  <c r="E861" i="41"/>
  <c r="E862" i="41"/>
  <c r="E863" i="41"/>
  <c r="E864" i="41"/>
  <c r="E865" i="41"/>
  <c r="E866" i="41"/>
  <c r="E867" i="41"/>
  <c r="E868" i="41"/>
  <c r="E869" i="41"/>
  <c r="E870" i="41"/>
  <c r="E871" i="41"/>
  <c r="E872" i="41"/>
  <c r="E873" i="41"/>
  <c r="E874" i="41"/>
  <c r="E875" i="41"/>
  <c r="E876" i="41"/>
  <c r="E877" i="41"/>
  <c r="E878" i="41"/>
  <c r="E879" i="41"/>
  <c r="E880" i="41"/>
  <c r="E881" i="41"/>
  <c r="E882" i="41"/>
  <c r="E883" i="41"/>
  <c r="E884" i="41"/>
  <c r="E885" i="41"/>
  <c r="E886" i="41"/>
  <c r="E887" i="41"/>
  <c r="E888" i="41"/>
  <c r="E889" i="41"/>
  <c r="E890" i="41"/>
  <c r="E891" i="41"/>
  <c r="E892" i="41"/>
  <c r="E893" i="41"/>
  <c r="E894" i="41"/>
  <c r="E895" i="41"/>
  <c r="E896" i="41"/>
  <c r="E897" i="41"/>
  <c r="E898" i="41"/>
  <c r="E899" i="41"/>
  <c r="E900" i="41"/>
  <c r="E901" i="41"/>
  <c r="E902" i="41"/>
  <c r="E903" i="41"/>
  <c r="E904" i="41"/>
  <c r="E905" i="41"/>
  <c r="E906" i="41"/>
  <c r="E907" i="41"/>
  <c r="E908" i="41"/>
  <c r="E909" i="41"/>
  <c r="E910" i="41"/>
  <c r="E911" i="41"/>
  <c r="E912" i="41"/>
  <c r="E913" i="41"/>
  <c r="E914" i="41"/>
  <c r="E915" i="41"/>
  <c r="E916" i="41"/>
  <c r="E917" i="41"/>
  <c r="E918" i="41"/>
  <c r="E919" i="41"/>
  <c r="E920" i="41"/>
  <c r="E921" i="41"/>
  <c r="E922" i="41"/>
  <c r="E923" i="41"/>
  <c r="E924" i="41"/>
  <c r="E925" i="41"/>
  <c r="E926" i="41"/>
  <c r="E927" i="41"/>
  <c r="E928" i="41"/>
  <c r="E929" i="41"/>
  <c r="E930" i="41"/>
  <c r="E931" i="41"/>
  <c r="E932" i="41"/>
  <c r="E933" i="41"/>
  <c r="E934" i="41"/>
  <c r="E935" i="41"/>
  <c r="E936" i="41"/>
  <c r="E937" i="41"/>
  <c r="E938" i="41"/>
  <c r="E939" i="41"/>
  <c r="E940" i="41"/>
  <c r="E941" i="41"/>
  <c r="E942" i="41"/>
  <c r="E943" i="41"/>
  <c r="E944" i="41"/>
  <c r="E945" i="41"/>
  <c r="E946" i="41"/>
  <c r="E947" i="41"/>
  <c r="E948" i="41"/>
  <c r="E949" i="41"/>
  <c r="E950" i="41"/>
  <c r="E951" i="41"/>
  <c r="E952" i="41"/>
  <c r="E953" i="41"/>
  <c r="E954" i="41"/>
  <c r="E955" i="41"/>
  <c r="E956" i="41"/>
  <c r="E957" i="41"/>
  <c r="E958" i="41"/>
  <c r="E959" i="41"/>
  <c r="E960" i="41"/>
  <c r="E961" i="41"/>
  <c r="E962" i="41"/>
  <c r="E963" i="41"/>
  <c r="E964" i="41"/>
  <c r="E965" i="41"/>
  <c r="E966" i="41"/>
  <c r="E967" i="41"/>
  <c r="E968" i="41"/>
  <c r="E969" i="41"/>
  <c r="E970" i="41"/>
  <c r="E971" i="41"/>
  <c r="E972" i="41"/>
  <c r="E973" i="41"/>
  <c r="E974" i="41"/>
  <c r="E975" i="41"/>
  <c r="E976" i="41"/>
  <c r="E977" i="41"/>
  <c r="E978" i="41"/>
  <c r="E979" i="41"/>
  <c r="E980" i="41"/>
  <c r="E981" i="41"/>
  <c r="E982" i="41"/>
  <c r="E983" i="41"/>
  <c r="E984" i="41"/>
  <c r="E985" i="41"/>
  <c r="E986" i="41"/>
  <c r="E987" i="41"/>
  <c r="E988" i="41"/>
  <c r="E989" i="41"/>
  <c r="E990" i="41"/>
  <c r="E991" i="41"/>
  <c r="E992" i="41"/>
  <c r="E993" i="41"/>
  <c r="E994" i="41"/>
  <c r="E995" i="41"/>
  <c r="E996" i="41"/>
  <c r="E997" i="41"/>
  <c r="E998" i="41"/>
  <c r="E999" i="41"/>
  <c r="E1000" i="41"/>
  <c r="E1001" i="41"/>
  <c r="E1002" i="41"/>
  <c r="E1003" i="41"/>
  <c r="E1004" i="41"/>
  <c r="D10" i="41"/>
  <c r="D11" i="41"/>
  <c r="D12" i="41"/>
  <c r="D13" i="41"/>
  <c r="D14" i="41"/>
  <c r="D15" i="41"/>
  <c r="D16" i="41"/>
  <c r="D17" i="41"/>
  <c r="D18" i="41"/>
  <c r="D19" i="41"/>
  <c r="D20" i="41"/>
  <c r="D21" i="41"/>
  <c r="D22" i="41"/>
  <c r="D23" i="41"/>
  <c r="D24" i="41"/>
  <c r="D25" i="41"/>
  <c r="D26" i="41"/>
  <c r="D27" i="41"/>
  <c r="D28" i="41"/>
  <c r="D29" i="41"/>
  <c r="D30" i="41"/>
  <c r="D31" i="41"/>
  <c r="D32" i="41"/>
  <c r="D33" i="41"/>
  <c r="D34" i="41"/>
  <c r="D35" i="41"/>
  <c r="D36" i="41"/>
  <c r="D37" i="41"/>
  <c r="D38" i="41"/>
  <c r="D39" i="41"/>
  <c r="D40" i="41"/>
  <c r="D41" i="41"/>
  <c r="D42" i="41"/>
  <c r="D43" i="41"/>
  <c r="D44" i="41"/>
  <c r="D45" i="41"/>
  <c r="D46" i="41"/>
  <c r="D47" i="41"/>
  <c r="D48" i="41"/>
  <c r="D49" i="41"/>
  <c r="D50" i="41"/>
  <c r="D51" i="41"/>
  <c r="D52" i="41"/>
  <c r="D53" i="41"/>
  <c r="D54" i="41"/>
  <c r="D55" i="41"/>
  <c r="D56" i="41"/>
  <c r="D57" i="41"/>
  <c r="D58" i="41"/>
  <c r="D59" i="41"/>
  <c r="D60" i="41"/>
  <c r="D61" i="41"/>
  <c r="D62" i="41"/>
  <c r="D63" i="41"/>
  <c r="D64" i="41"/>
  <c r="D65" i="41"/>
  <c r="D66" i="41"/>
  <c r="D67" i="41"/>
  <c r="D68" i="41"/>
  <c r="D69" i="41"/>
  <c r="D70" i="41"/>
  <c r="D71" i="41"/>
  <c r="D72" i="41"/>
  <c r="D73" i="41"/>
  <c r="D74" i="41"/>
  <c r="D75" i="41"/>
  <c r="D76" i="41"/>
  <c r="D77" i="41"/>
  <c r="D78" i="41"/>
  <c r="D79" i="41"/>
  <c r="D80" i="41"/>
  <c r="D81" i="41"/>
  <c r="D82" i="41"/>
  <c r="D83" i="41"/>
  <c r="D84" i="41"/>
  <c r="D85" i="41"/>
  <c r="D86" i="41"/>
  <c r="D87" i="41"/>
  <c r="D88" i="41"/>
  <c r="D89" i="41"/>
  <c r="D90" i="41"/>
  <c r="D91" i="41"/>
  <c r="D92" i="41"/>
  <c r="D93" i="41"/>
  <c r="D94" i="41"/>
  <c r="D95" i="41"/>
  <c r="D96" i="41"/>
  <c r="D97" i="41"/>
  <c r="D98" i="41"/>
  <c r="D99" i="41"/>
  <c r="D100" i="41"/>
  <c r="D101" i="41"/>
  <c r="D102" i="41"/>
  <c r="D103" i="41"/>
  <c r="D104" i="41"/>
  <c r="D105" i="41"/>
  <c r="D106" i="41"/>
  <c r="D107" i="41"/>
  <c r="D108" i="41"/>
  <c r="D109" i="41"/>
  <c r="D110" i="41"/>
  <c r="D111" i="41"/>
  <c r="D112" i="41"/>
  <c r="D113" i="41"/>
  <c r="D114" i="41"/>
  <c r="D115" i="41"/>
  <c r="D116" i="41"/>
  <c r="D117" i="41"/>
  <c r="D118" i="41"/>
  <c r="D119" i="41"/>
  <c r="D120" i="41"/>
  <c r="D121" i="41"/>
  <c r="D122" i="41"/>
  <c r="D123" i="41"/>
  <c r="D124" i="41"/>
  <c r="D125" i="41"/>
  <c r="D126" i="41"/>
  <c r="D127" i="41"/>
  <c r="D128" i="41"/>
  <c r="D129" i="41"/>
  <c r="D130" i="41"/>
  <c r="D131" i="41"/>
  <c r="D132" i="41"/>
  <c r="D133" i="41"/>
  <c r="D134" i="41"/>
  <c r="D135" i="41"/>
  <c r="D136" i="41"/>
  <c r="D137" i="41"/>
  <c r="D138" i="41"/>
  <c r="D139" i="41"/>
  <c r="D140" i="41"/>
  <c r="D141" i="41"/>
  <c r="D142" i="41"/>
  <c r="D143" i="41"/>
  <c r="D144" i="41"/>
  <c r="D145" i="41"/>
  <c r="D146" i="41"/>
  <c r="D147" i="41"/>
  <c r="D148" i="41"/>
  <c r="D149" i="41"/>
  <c r="D150" i="41"/>
  <c r="D151" i="41"/>
  <c r="D152" i="41"/>
  <c r="D153" i="41"/>
  <c r="D154" i="41"/>
  <c r="D155" i="41"/>
  <c r="D156" i="41"/>
  <c r="D157" i="41"/>
  <c r="D158" i="41"/>
  <c r="D159" i="41"/>
  <c r="D160" i="41"/>
  <c r="D161" i="41"/>
  <c r="D162" i="41"/>
  <c r="D163" i="41"/>
  <c r="D164" i="41"/>
  <c r="D165" i="41"/>
  <c r="D166" i="41"/>
  <c r="D167" i="41"/>
  <c r="D168" i="41"/>
  <c r="D169" i="41"/>
  <c r="D170" i="41"/>
  <c r="D171" i="41"/>
  <c r="D172" i="41"/>
  <c r="D173" i="41"/>
  <c r="D174" i="41"/>
  <c r="D175" i="41"/>
  <c r="D176" i="41"/>
  <c r="D177" i="41"/>
  <c r="D178" i="41"/>
  <c r="D179" i="41"/>
  <c r="D180" i="41"/>
  <c r="D181" i="41"/>
  <c r="D182" i="41"/>
  <c r="D183" i="41"/>
  <c r="D184" i="41"/>
  <c r="D185" i="41"/>
  <c r="D186" i="41"/>
  <c r="D187" i="41"/>
  <c r="D188" i="41"/>
  <c r="D189" i="41"/>
  <c r="D190" i="41"/>
  <c r="D191" i="41"/>
  <c r="D192" i="41"/>
  <c r="D193" i="41"/>
  <c r="D194" i="41"/>
  <c r="D195" i="41"/>
  <c r="D196" i="41"/>
  <c r="D197" i="41"/>
  <c r="D198" i="41"/>
  <c r="D199" i="41"/>
  <c r="D200" i="41"/>
  <c r="D201" i="41"/>
  <c r="D202" i="41"/>
  <c r="D203" i="41"/>
  <c r="D204" i="41"/>
  <c r="D205" i="41"/>
  <c r="D206" i="41"/>
  <c r="D207" i="41"/>
  <c r="D208" i="41"/>
  <c r="D209" i="41"/>
  <c r="D210" i="41"/>
  <c r="D211" i="41"/>
  <c r="D212" i="41"/>
  <c r="D213" i="41"/>
  <c r="D214" i="41"/>
  <c r="D215" i="41"/>
  <c r="D216" i="41"/>
  <c r="D217" i="41"/>
  <c r="D218" i="41"/>
  <c r="D219" i="41"/>
  <c r="D220" i="41"/>
  <c r="D221" i="41"/>
  <c r="D222" i="41"/>
  <c r="D223" i="41"/>
  <c r="D224" i="41"/>
  <c r="D225" i="41"/>
  <c r="D226" i="41"/>
  <c r="D227" i="41"/>
  <c r="D228" i="41"/>
  <c r="D229" i="41"/>
  <c r="D230" i="41"/>
  <c r="D231" i="41"/>
  <c r="D232" i="41"/>
  <c r="D233" i="41"/>
  <c r="D234" i="41"/>
  <c r="D235" i="41"/>
  <c r="D236" i="41"/>
  <c r="D237" i="41"/>
  <c r="D238" i="41"/>
  <c r="D239" i="41"/>
  <c r="D240" i="41"/>
  <c r="D241" i="41"/>
  <c r="D242" i="41"/>
  <c r="D243" i="41"/>
  <c r="D244" i="41"/>
  <c r="D245" i="41"/>
  <c r="D246" i="41"/>
  <c r="D247" i="41"/>
  <c r="D248" i="41"/>
  <c r="D249" i="41"/>
  <c r="D250" i="41"/>
  <c r="D251" i="41"/>
  <c r="D252" i="41"/>
  <c r="D253" i="41"/>
  <c r="D254" i="41"/>
  <c r="D255" i="41"/>
  <c r="D256" i="41"/>
  <c r="D257" i="41"/>
  <c r="D258" i="41"/>
  <c r="D259" i="41"/>
  <c r="D260" i="41"/>
  <c r="D261" i="41"/>
  <c r="D262" i="41"/>
  <c r="D263" i="41"/>
  <c r="D264" i="41"/>
  <c r="D265" i="41"/>
  <c r="D266" i="41"/>
  <c r="D267" i="41"/>
  <c r="D268" i="41"/>
  <c r="D269" i="41"/>
  <c r="D270" i="41"/>
  <c r="D271" i="41"/>
  <c r="D272" i="41"/>
  <c r="D273" i="41"/>
  <c r="D274" i="41"/>
  <c r="D275" i="41"/>
  <c r="D276" i="41"/>
  <c r="D277" i="41"/>
  <c r="D278" i="41"/>
  <c r="D279" i="41"/>
  <c r="D280" i="41"/>
  <c r="D281" i="41"/>
  <c r="D282" i="41"/>
  <c r="D283" i="41"/>
  <c r="D284" i="41"/>
  <c r="D285" i="41"/>
  <c r="D286" i="41"/>
  <c r="D287" i="41"/>
  <c r="D288" i="41"/>
  <c r="D289" i="41"/>
  <c r="D290" i="41"/>
  <c r="D291" i="41"/>
  <c r="D292" i="41"/>
  <c r="D293" i="41"/>
  <c r="D294" i="41"/>
  <c r="D295" i="41"/>
  <c r="D296" i="41"/>
  <c r="D297" i="41"/>
  <c r="D298" i="41"/>
  <c r="D299" i="41"/>
  <c r="D300" i="41"/>
  <c r="D363" i="41"/>
  <c r="D364" i="41"/>
  <c r="D365" i="41"/>
  <c r="D366" i="41"/>
  <c r="D367" i="41"/>
  <c r="D368" i="41"/>
  <c r="D369" i="41"/>
  <c r="D370" i="41"/>
  <c r="D371" i="41"/>
  <c r="D372" i="41"/>
  <c r="D373" i="41"/>
  <c r="D374" i="41"/>
  <c r="D375" i="41"/>
  <c r="D376" i="41"/>
  <c r="D377" i="41"/>
  <c r="D378" i="41"/>
  <c r="D379" i="41"/>
  <c r="D380" i="41"/>
  <c r="D381" i="41"/>
  <c r="D382" i="41"/>
  <c r="D383" i="41"/>
  <c r="D384" i="41"/>
  <c r="D385" i="41"/>
  <c r="D386" i="41"/>
  <c r="D387" i="41"/>
  <c r="D388" i="41"/>
  <c r="D389" i="41"/>
  <c r="D390" i="41"/>
  <c r="D391" i="41"/>
  <c r="D392" i="41"/>
  <c r="D393" i="41"/>
  <c r="D394" i="41"/>
  <c r="D395" i="41"/>
  <c r="D396" i="41"/>
  <c r="D397" i="41"/>
  <c r="D398" i="41"/>
  <c r="D399" i="41"/>
  <c r="D400" i="41"/>
  <c r="D401" i="41"/>
  <c r="D402" i="41"/>
  <c r="D403" i="41"/>
  <c r="D404" i="41"/>
  <c r="D405" i="41"/>
  <c r="D406" i="41"/>
  <c r="D407" i="41"/>
  <c r="D408" i="41"/>
  <c r="D409" i="41"/>
  <c r="D410" i="41"/>
  <c r="D411" i="41"/>
  <c r="D412" i="41"/>
  <c r="D413" i="41"/>
  <c r="D414" i="41"/>
  <c r="D415" i="41"/>
  <c r="D416" i="41"/>
  <c r="D417" i="41"/>
  <c r="D418" i="41"/>
  <c r="D419" i="41"/>
  <c r="D420" i="41"/>
  <c r="D421" i="41"/>
  <c r="D422" i="41"/>
  <c r="D423" i="41"/>
  <c r="D424" i="41"/>
  <c r="D425" i="41"/>
  <c r="D426" i="41"/>
  <c r="D427" i="41"/>
  <c r="D428" i="41"/>
  <c r="D429" i="41"/>
  <c r="D430" i="41"/>
  <c r="D431" i="41"/>
  <c r="D432" i="41"/>
  <c r="D433" i="41"/>
  <c r="D434" i="41"/>
  <c r="D435" i="41"/>
  <c r="D436" i="41"/>
  <c r="D437" i="41"/>
  <c r="D438" i="41"/>
  <c r="D439" i="41"/>
  <c r="D440" i="41"/>
  <c r="D441" i="41"/>
  <c r="D442" i="41"/>
  <c r="D443" i="41"/>
  <c r="D444" i="41"/>
  <c r="D445" i="41"/>
  <c r="D446" i="41"/>
  <c r="D447" i="41"/>
  <c r="D448" i="41"/>
  <c r="D449" i="41"/>
  <c r="D450" i="41"/>
  <c r="D451" i="41"/>
  <c r="D452" i="41"/>
  <c r="D453" i="41"/>
  <c r="D454" i="41"/>
  <c r="D455" i="41"/>
  <c r="D456" i="41"/>
  <c r="D457" i="41"/>
  <c r="D458" i="41"/>
  <c r="D459" i="41"/>
  <c r="D460" i="41"/>
  <c r="D461" i="41"/>
  <c r="D462" i="41"/>
  <c r="D463" i="41"/>
  <c r="D464" i="41"/>
  <c r="D465" i="41"/>
  <c r="D466" i="41"/>
  <c r="D467" i="41"/>
  <c r="D468" i="41"/>
  <c r="D469" i="41"/>
  <c r="D470" i="41"/>
  <c r="D471" i="41"/>
  <c r="D472" i="41"/>
  <c r="D473" i="41"/>
  <c r="D474" i="41"/>
  <c r="D475" i="41"/>
  <c r="D476" i="41"/>
  <c r="D477" i="41"/>
  <c r="D478" i="41"/>
  <c r="D479" i="41"/>
  <c r="D480" i="41"/>
  <c r="D481" i="41"/>
  <c r="D482" i="41"/>
  <c r="D483" i="41"/>
  <c r="D484" i="41"/>
  <c r="D485" i="41"/>
  <c r="D486" i="41"/>
  <c r="D487" i="41"/>
  <c r="D488" i="41"/>
  <c r="D489" i="41"/>
  <c r="D490" i="41"/>
  <c r="D491" i="41"/>
  <c r="D492" i="41"/>
  <c r="D493" i="41"/>
  <c r="D494" i="41"/>
  <c r="D495" i="41"/>
  <c r="D496" i="41"/>
  <c r="D497" i="41"/>
  <c r="D498" i="41"/>
  <c r="D499" i="41"/>
  <c r="D500" i="41"/>
  <c r="D501" i="41"/>
  <c r="D502" i="41"/>
  <c r="D503" i="41"/>
  <c r="D504" i="41"/>
  <c r="D505" i="41"/>
  <c r="D506" i="41"/>
  <c r="D507" i="41"/>
  <c r="D508" i="41"/>
  <c r="D509" i="41"/>
  <c r="D510" i="41"/>
  <c r="D511" i="41"/>
  <c r="D512" i="41"/>
  <c r="D513" i="41"/>
  <c r="D514" i="41"/>
  <c r="D515" i="41"/>
  <c r="D516" i="41"/>
  <c r="D517" i="41"/>
  <c r="D518" i="41"/>
  <c r="D519" i="41"/>
  <c r="D520" i="41"/>
  <c r="D521" i="41"/>
  <c r="D522" i="41"/>
  <c r="D523" i="41"/>
  <c r="D524" i="41"/>
  <c r="D525" i="41"/>
  <c r="D526" i="41"/>
  <c r="D527" i="41"/>
  <c r="D528" i="41"/>
  <c r="D529" i="41"/>
  <c r="D530" i="41"/>
  <c r="D531" i="41"/>
  <c r="D532" i="41"/>
  <c r="D533" i="41"/>
  <c r="D534" i="41"/>
  <c r="D535" i="41"/>
  <c r="D536" i="41"/>
  <c r="D537" i="41"/>
  <c r="D538" i="41"/>
  <c r="D539" i="41"/>
  <c r="D540" i="41"/>
  <c r="D541" i="41"/>
  <c r="D542" i="41"/>
  <c r="D543" i="41"/>
  <c r="D544" i="41"/>
  <c r="D545" i="41"/>
  <c r="D546" i="41"/>
  <c r="D547" i="41"/>
  <c r="D548" i="41"/>
  <c r="D549" i="41"/>
  <c r="D550" i="41"/>
  <c r="D551" i="41"/>
  <c r="D552" i="41"/>
  <c r="D553" i="41"/>
  <c r="D554" i="41"/>
  <c r="D555" i="41"/>
  <c r="D556" i="41"/>
  <c r="D557" i="41"/>
  <c r="D558" i="41"/>
  <c r="D559" i="41"/>
  <c r="D560" i="41"/>
  <c r="D561" i="41"/>
  <c r="D562" i="41"/>
  <c r="D563" i="41"/>
  <c r="D564" i="41"/>
  <c r="D565" i="41"/>
  <c r="D566" i="41"/>
  <c r="D567" i="41"/>
  <c r="D568" i="41"/>
  <c r="D569" i="41"/>
  <c r="D570" i="41"/>
  <c r="D571" i="41"/>
  <c r="D572" i="41"/>
  <c r="D573" i="41"/>
  <c r="D574" i="41"/>
  <c r="D575" i="41"/>
  <c r="D576" i="41"/>
  <c r="D577" i="41"/>
  <c r="D578" i="41"/>
  <c r="D579" i="41"/>
  <c r="D580" i="41"/>
  <c r="D581" i="41"/>
  <c r="D582" i="41"/>
  <c r="D583" i="41"/>
  <c r="D584" i="41"/>
  <c r="D585" i="41"/>
  <c r="D586" i="41"/>
  <c r="D587" i="41"/>
  <c r="D588" i="41"/>
  <c r="D589" i="41"/>
  <c r="D590" i="41"/>
  <c r="D591" i="41"/>
  <c r="D592" i="41"/>
  <c r="D593" i="41"/>
  <c r="D594" i="41"/>
  <c r="D595" i="41"/>
  <c r="D596" i="41"/>
  <c r="D597" i="41"/>
  <c r="D598" i="41"/>
  <c r="D599" i="41"/>
  <c r="D600" i="41"/>
  <c r="D601" i="41"/>
  <c r="D602" i="41"/>
  <c r="D603" i="41"/>
  <c r="D604" i="41"/>
  <c r="D605" i="41"/>
  <c r="D606" i="41"/>
  <c r="D607" i="41"/>
  <c r="D608" i="41"/>
  <c r="D609" i="41"/>
  <c r="D610" i="41"/>
  <c r="D611" i="41"/>
  <c r="D612" i="41"/>
  <c r="D613" i="41"/>
  <c r="D614" i="41"/>
  <c r="D615" i="41"/>
  <c r="D616" i="41"/>
  <c r="D617" i="41"/>
  <c r="D618" i="41"/>
  <c r="D619" i="41"/>
  <c r="D620" i="41"/>
  <c r="D621" i="41"/>
  <c r="D622" i="41"/>
  <c r="D623" i="41"/>
  <c r="D624" i="41"/>
  <c r="D625" i="41"/>
  <c r="D626" i="41"/>
  <c r="D627" i="41"/>
  <c r="D628" i="41"/>
  <c r="D629" i="41"/>
  <c r="D630" i="41"/>
  <c r="D631" i="41"/>
  <c r="D632" i="41"/>
  <c r="D633" i="41"/>
  <c r="D634" i="41"/>
  <c r="D635" i="41"/>
  <c r="D636" i="41"/>
  <c r="D637" i="41"/>
  <c r="D638" i="41"/>
  <c r="D639" i="41"/>
  <c r="D640" i="41"/>
  <c r="D641" i="41"/>
  <c r="D642" i="41"/>
  <c r="D643" i="41"/>
  <c r="D644" i="41"/>
  <c r="D645" i="41"/>
  <c r="D646" i="41"/>
  <c r="D647" i="41"/>
  <c r="D648" i="41"/>
  <c r="D649" i="41"/>
  <c r="D650" i="41"/>
  <c r="D651" i="41"/>
  <c r="D652" i="41"/>
  <c r="D653" i="41"/>
  <c r="D654" i="41"/>
  <c r="D655" i="41"/>
  <c r="D656" i="41"/>
  <c r="D657" i="41"/>
  <c r="D658" i="41"/>
  <c r="D659" i="41"/>
  <c r="D660" i="41"/>
  <c r="D661" i="41"/>
  <c r="D662" i="41"/>
  <c r="D663" i="41"/>
  <c r="D664" i="41"/>
  <c r="D665" i="41"/>
  <c r="D666" i="41"/>
  <c r="D667" i="41"/>
  <c r="D668" i="41"/>
  <c r="D669" i="41"/>
  <c r="D670" i="41"/>
  <c r="D671" i="41"/>
  <c r="D672" i="41"/>
  <c r="D673" i="41"/>
  <c r="D674" i="41"/>
  <c r="D675" i="41"/>
  <c r="D676" i="41"/>
  <c r="D677" i="41"/>
  <c r="D678" i="41"/>
  <c r="D679" i="41"/>
  <c r="D680" i="41"/>
  <c r="D681" i="41"/>
  <c r="D682" i="41"/>
  <c r="D683" i="41"/>
  <c r="D684" i="41"/>
  <c r="D685" i="41"/>
  <c r="D686" i="41"/>
  <c r="D687" i="41"/>
  <c r="D688" i="41"/>
  <c r="D689" i="41"/>
  <c r="D690" i="41"/>
  <c r="D691" i="41"/>
  <c r="D692" i="41"/>
  <c r="D693" i="41"/>
  <c r="D694" i="41"/>
  <c r="D695" i="41"/>
  <c r="D696" i="41"/>
  <c r="D697" i="41"/>
  <c r="D698" i="41"/>
  <c r="D699" i="41"/>
  <c r="D700" i="41"/>
  <c r="D701" i="41"/>
  <c r="D702" i="41"/>
  <c r="D703" i="41"/>
  <c r="D704" i="41"/>
  <c r="D705" i="41"/>
  <c r="D706" i="41"/>
  <c r="D707" i="41"/>
  <c r="D708" i="41"/>
  <c r="D709" i="41"/>
  <c r="D710" i="41"/>
  <c r="D711" i="41"/>
  <c r="D712" i="41"/>
  <c r="D713" i="41"/>
  <c r="D714" i="41"/>
  <c r="D715" i="41"/>
  <c r="D716" i="41"/>
  <c r="D717" i="41"/>
  <c r="D718" i="41"/>
  <c r="D719" i="41"/>
  <c r="D720" i="41"/>
  <c r="D721" i="41"/>
  <c r="D722" i="41"/>
  <c r="D723" i="41"/>
  <c r="D724" i="41"/>
  <c r="D725" i="41"/>
  <c r="D726" i="41"/>
  <c r="D727" i="41"/>
  <c r="D728" i="41"/>
  <c r="D729" i="41"/>
  <c r="D730" i="41"/>
  <c r="D731" i="41"/>
  <c r="D732" i="41"/>
  <c r="D733" i="41"/>
  <c r="D734" i="41"/>
  <c r="D735" i="41"/>
  <c r="D736" i="41"/>
  <c r="D737" i="41"/>
  <c r="D738" i="41"/>
  <c r="D739" i="41"/>
  <c r="D740" i="41"/>
  <c r="D741" i="41"/>
  <c r="D742" i="41"/>
  <c r="D743" i="41"/>
  <c r="D744" i="41"/>
  <c r="D745" i="41"/>
  <c r="D746" i="41"/>
  <c r="D747" i="41"/>
  <c r="D748" i="41"/>
  <c r="D749" i="41"/>
  <c r="D750" i="41"/>
  <c r="D751" i="41"/>
  <c r="D752" i="41"/>
  <c r="D753" i="41"/>
  <c r="D754" i="41"/>
  <c r="D755" i="41"/>
  <c r="D756" i="41"/>
  <c r="D757" i="41"/>
  <c r="D758" i="41"/>
  <c r="D759" i="41"/>
  <c r="D760" i="41"/>
  <c r="D761" i="41"/>
  <c r="D762" i="41"/>
  <c r="D763" i="41"/>
  <c r="D764" i="41"/>
  <c r="D765" i="41"/>
  <c r="D766" i="41"/>
  <c r="D767" i="41"/>
  <c r="D768" i="41"/>
  <c r="D769" i="41"/>
  <c r="D770" i="41"/>
  <c r="D771" i="41"/>
  <c r="D772" i="41"/>
  <c r="D773" i="41"/>
  <c r="D774" i="41"/>
  <c r="D775" i="41"/>
  <c r="D776" i="41"/>
  <c r="D777" i="41"/>
  <c r="D778" i="41"/>
  <c r="D779" i="41"/>
  <c r="D780" i="41"/>
  <c r="D781" i="41"/>
  <c r="D782" i="41"/>
  <c r="D783" i="41"/>
  <c r="D784" i="41"/>
  <c r="D785" i="41"/>
  <c r="D786" i="41"/>
  <c r="D787" i="41"/>
  <c r="D788" i="41"/>
  <c r="D789" i="41"/>
  <c r="D790" i="41"/>
  <c r="D791" i="41"/>
  <c r="D792" i="41"/>
  <c r="D793" i="41"/>
  <c r="D794" i="41"/>
  <c r="D795" i="41"/>
  <c r="D796" i="41"/>
  <c r="D797" i="41"/>
  <c r="D798" i="41"/>
  <c r="D799" i="41"/>
  <c r="D800" i="41"/>
  <c r="D801" i="41"/>
  <c r="D802" i="41"/>
  <c r="D803" i="41"/>
  <c r="D804" i="41"/>
  <c r="D805" i="41"/>
  <c r="D806" i="41"/>
  <c r="D807" i="41"/>
  <c r="D808" i="41"/>
  <c r="D809" i="41"/>
  <c r="D810" i="41"/>
  <c r="D811" i="41"/>
  <c r="D812" i="41"/>
  <c r="D813" i="41"/>
  <c r="D814" i="41"/>
  <c r="D815" i="41"/>
  <c r="D816" i="41"/>
  <c r="D817" i="41"/>
  <c r="D818" i="41"/>
  <c r="D819" i="41"/>
  <c r="D820" i="41"/>
  <c r="D821" i="41"/>
  <c r="D822" i="41"/>
  <c r="D823" i="41"/>
  <c r="D824" i="41"/>
  <c r="D825" i="41"/>
  <c r="D826" i="41"/>
  <c r="D827" i="41"/>
  <c r="D828" i="41"/>
  <c r="D829" i="41"/>
  <c r="D830" i="41"/>
  <c r="D831" i="41"/>
  <c r="D832" i="41"/>
  <c r="D833" i="41"/>
  <c r="D834" i="41"/>
  <c r="D835" i="41"/>
  <c r="D836" i="41"/>
  <c r="D837" i="41"/>
  <c r="D838" i="41"/>
  <c r="D839" i="41"/>
  <c r="D840" i="41"/>
  <c r="D841" i="41"/>
  <c r="D842" i="41"/>
  <c r="D843" i="41"/>
  <c r="D844" i="41"/>
  <c r="D845" i="41"/>
  <c r="D846" i="41"/>
  <c r="D847" i="41"/>
  <c r="D848" i="41"/>
  <c r="D849" i="41"/>
  <c r="D850" i="41"/>
  <c r="D851" i="41"/>
  <c r="D852" i="41"/>
  <c r="D853" i="41"/>
  <c r="D854" i="41"/>
  <c r="D855" i="41"/>
  <c r="D856" i="41"/>
  <c r="D857" i="41"/>
  <c r="D858" i="41"/>
  <c r="D859" i="41"/>
  <c r="D860" i="41"/>
  <c r="D861" i="41"/>
  <c r="D862" i="41"/>
  <c r="D863" i="41"/>
  <c r="D864" i="41"/>
  <c r="D865" i="41"/>
  <c r="D866" i="41"/>
  <c r="D867" i="41"/>
  <c r="D868" i="41"/>
  <c r="D869" i="41"/>
  <c r="D870" i="41"/>
  <c r="D871" i="41"/>
  <c r="D872" i="41"/>
  <c r="D873" i="41"/>
  <c r="D874" i="41"/>
  <c r="D875" i="41"/>
  <c r="D876" i="41"/>
  <c r="D877" i="41"/>
  <c r="D878" i="41"/>
  <c r="D879" i="41"/>
  <c r="D880" i="41"/>
  <c r="D881" i="41"/>
  <c r="D882" i="41"/>
  <c r="D883" i="41"/>
  <c r="D884" i="41"/>
  <c r="D885" i="41"/>
  <c r="D886" i="41"/>
  <c r="D887" i="41"/>
  <c r="D888" i="41"/>
  <c r="D889" i="41"/>
  <c r="D890" i="41"/>
  <c r="D891" i="41"/>
  <c r="D892" i="41"/>
  <c r="D893" i="41"/>
  <c r="D894" i="41"/>
  <c r="D895" i="41"/>
  <c r="D896" i="41"/>
  <c r="D897" i="41"/>
  <c r="D898" i="41"/>
  <c r="D899" i="41"/>
  <c r="D900" i="41"/>
  <c r="D901" i="41"/>
  <c r="D902" i="41"/>
  <c r="D903" i="41"/>
  <c r="D904" i="41"/>
  <c r="D905" i="41"/>
  <c r="D906" i="41"/>
  <c r="D907" i="41"/>
  <c r="D908" i="41"/>
  <c r="D909" i="41"/>
  <c r="D910" i="41"/>
  <c r="D911" i="41"/>
  <c r="D912" i="41"/>
  <c r="D913" i="41"/>
  <c r="D914" i="41"/>
  <c r="D915" i="41"/>
  <c r="D916" i="41"/>
  <c r="D917" i="41"/>
  <c r="D918" i="41"/>
  <c r="D919" i="41"/>
  <c r="D920" i="41"/>
  <c r="D921" i="41"/>
  <c r="D922" i="41"/>
  <c r="D923" i="41"/>
  <c r="D924" i="41"/>
  <c r="D925" i="41"/>
  <c r="D926" i="41"/>
  <c r="D927" i="41"/>
  <c r="D928" i="41"/>
  <c r="D929" i="41"/>
  <c r="D930" i="41"/>
  <c r="D931" i="41"/>
  <c r="D932" i="41"/>
  <c r="D933" i="41"/>
  <c r="D934" i="41"/>
  <c r="D935" i="41"/>
  <c r="D936" i="41"/>
  <c r="D937" i="41"/>
  <c r="D938" i="41"/>
  <c r="D939" i="41"/>
  <c r="D940" i="41"/>
  <c r="D941" i="41"/>
  <c r="D942" i="41"/>
  <c r="D943" i="41"/>
  <c r="D944" i="41"/>
  <c r="D945" i="41"/>
  <c r="D946" i="41"/>
  <c r="D947" i="41"/>
  <c r="D948" i="41"/>
  <c r="D949" i="41"/>
  <c r="D950" i="41"/>
  <c r="D951" i="41"/>
  <c r="D952" i="41"/>
  <c r="D953" i="41"/>
  <c r="D954" i="41"/>
  <c r="D955" i="41"/>
  <c r="D956" i="41"/>
  <c r="D957" i="41"/>
  <c r="D958" i="41"/>
  <c r="D959" i="41"/>
  <c r="D960" i="41"/>
  <c r="D961" i="41"/>
  <c r="D962" i="41"/>
  <c r="D963" i="41"/>
  <c r="D964" i="41"/>
  <c r="D965" i="41"/>
  <c r="D966" i="41"/>
  <c r="D967" i="41"/>
  <c r="D968" i="41"/>
  <c r="D969" i="41"/>
  <c r="D970" i="41"/>
  <c r="D971" i="41"/>
  <c r="D972" i="41"/>
  <c r="D973" i="41"/>
  <c r="D974" i="41"/>
  <c r="D975" i="41"/>
  <c r="D976" i="41"/>
  <c r="D977" i="41"/>
  <c r="D978" i="41"/>
  <c r="D979" i="41"/>
  <c r="D980" i="41"/>
  <c r="D981" i="41"/>
  <c r="D982" i="41"/>
  <c r="D983" i="41"/>
  <c r="D984" i="41"/>
  <c r="D985" i="41"/>
  <c r="D986" i="41"/>
  <c r="D987" i="41"/>
  <c r="D988" i="41"/>
  <c r="D989" i="41"/>
  <c r="D990" i="41"/>
  <c r="D991" i="41"/>
  <c r="D992" i="41"/>
  <c r="D993" i="41"/>
  <c r="D994" i="41"/>
  <c r="D995" i="41"/>
  <c r="D996" i="41"/>
  <c r="D997" i="41"/>
  <c r="D998" i="41"/>
  <c r="D999" i="41"/>
  <c r="D1000" i="41"/>
  <c r="D1001" i="41"/>
  <c r="D1002" i="41"/>
  <c r="D1003" i="41"/>
  <c r="D1004" i="41"/>
  <c r="C10" i="41"/>
  <c r="C11" i="41"/>
  <c r="C12" i="41"/>
  <c r="C13" i="41"/>
  <c r="C14" i="41"/>
  <c r="C15" i="41"/>
  <c r="C16" i="41"/>
  <c r="C17" i="41"/>
  <c r="C18" i="41"/>
  <c r="C19" i="41"/>
  <c r="C20" i="41"/>
  <c r="C21" i="41"/>
  <c r="C22" i="41"/>
  <c r="C23" i="41"/>
  <c r="C24" i="41"/>
  <c r="C25" i="41"/>
  <c r="C26" i="41"/>
  <c r="C27" i="41"/>
  <c r="C28" i="41"/>
  <c r="C29" i="41"/>
  <c r="C30" i="41"/>
  <c r="C31" i="41"/>
  <c r="C32" i="41"/>
  <c r="C33" i="41"/>
  <c r="C34" i="41"/>
  <c r="C35" i="41"/>
  <c r="C36" i="41"/>
  <c r="C37" i="41"/>
  <c r="C38" i="41"/>
  <c r="C39" i="41"/>
  <c r="C40" i="41"/>
  <c r="C41" i="41"/>
  <c r="C42" i="41"/>
  <c r="C43" i="41"/>
  <c r="C44" i="41"/>
  <c r="C45" i="41"/>
  <c r="C46" i="41"/>
  <c r="C47" i="41"/>
  <c r="C48" i="41"/>
  <c r="C49" i="41"/>
  <c r="C50" i="41"/>
  <c r="C51" i="41"/>
  <c r="C52" i="41"/>
  <c r="C53" i="41"/>
  <c r="C54" i="41"/>
  <c r="C55" i="41"/>
  <c r="C56" i="41"/>
  <c r="C57" i="41"/>
  <c r="C58" i="41"/>
  <c r="C59" i="41"/>
  <c r="C60" i="41"/>
  <c r="C61" i="41"/>
  <c r="C62" i="41"/>
  <c r="C63" i="41"/>
  <c r="C64" i="41"/>
  <c r="C65" i="41"/>
  <c r="C66" i="41"/>
  <c r="C67" i="41"/>
  <c r="C68" i="41"/>
  <c r="C69" i="41"/>
  <c r="C70" i="41"/>
  <c r="C71" i="41"/>
  <c r="C72" i="41"/>
  <c r="C73" i="41"/>
  <c r="C74" i="41"/>
  <c r="C75" i="41"/>
  <c r="C76" i="41"/>
  <c r="C77" i="41"/>
  <c r="C78" i="41"/>
  <c r="C79" i="41"/>
  <c r="C80" i="41"/>
  <c r="C81" i="41"/>
  <c r="C82" i="41"/>
  <c r="C83" i="41"/>
  <c r="C84" i="41"/>
  <c r="C85" i="41"/>
  <c r="C86" i="41"/>
  <c r="C87" i="41"/>
  <c r="C88" i="41"/>
  <c r="C89" i="41"/>
  <c r="C90" i="41"/>
  <c r="C91" i="41"/>
  <c r="C92" i="41"/>
  <c r="C93" i="41"/>
  <c r="C94" i="41"/>
  <c r="C95" i="41"/>
  <c r="C96" i="41"/>
  <c r="C97" i="41"/>
  <c r="C98" i="41"/>
  <c r="C99" i="41"/>
  <c r="C100" i="41"/>
  <c r="C101" i="41"/>
  <c r="C102" i="41"/>
  <c r="C103" i="41"/>
  <c r="C104" i="41"/>
  <c r="C105" i="41"/>
  <c r="C106" i="41"/>
  <c r="C107" i="41"/>
  <c r="C108" i="41"/>
  <c r="C109" i="41"/>
  <c r="C110" i="41"/>
  <c r="C111" i="41"/>
  <c r="C112" i="41"/>
  <c r="C113" i="41"/>
  <c r="C114" i="41"/>
  <c r="C115" i="41"/>
  <c r="C116" i="41"/>
  <c r="C117" i="41"/>
  <c r="C118" i="41"/>
  <c r="C119" i="41"/>
  <c r="C120" i="41"/>
  <c r="C121" i="41"/>
  <c r="C122" i="41"/>
  <c r="C123" i="41"/>
  <c r="C124" i="41"/>
  <c r="C125" i="41"/>
  <c r="C126" i="41"/>
  <c r="C127" i="41"/>
  <c r="C128" i="41"/>
  <c r="C129" i="41"/>
  <c r="C130" i="41"/>
  <c r="C131" i="41"/>
  <c r="C132" i="41"/>
  <c r="C133" i="41"/>
  <c r="C134" i="41"/>
  <c r="C135" i="41"/>
  <c r="C136" i="41"/>
  <c r="C137" i="41"/>
  <c r="C138" i="41"/>
  <c r="C139" i="41"/>
  <c r="C140" i="41"/>
  <c r="C141" i="41"/>
  <c r="C142" i="41"/>
  <c r="C143" i="41"/>
  <c r="C144" i="41"/>
  <c r="C145" i="41"/>
  <c r="C146" i="41"/>
  <c r="C147" i="41"/>
  <c r="C148" i="41"/>
  <c r="C149" i="41"/>
  <c r="C150" i="41"/>
  <c r="C151" i="41"/>
  <c r="C152" i="41"/>
  <c r="C153" i="41"/>
  <c r="C154" i="41"/>
  <c r="C155" i="41"/>
  <c r="C156" i="41"/>
  <c r="C157" i="41"/>
  <c r="C158" i="41"/>
  <c r="C159" i="41"/>
  <c r="C160" i="41"/>
  <c r="C161" i="41"/>
  <c r="C162" i="41"/>
  <c r="C163" i="41"/>
  <c r="C164" i="41"/>
  <c r="C165" i="41"/>
  <c r="C166" i="41"/>
  <c r="C167" i="41"/>
  <c r="C168" i="41"/>
  <c r="C169" i="41"/>
  <c r="C170" i="41"/>
  <c r="C171" i="41"/>
  <c r="C172" i="41"/>
  <c r="C173" i="41"/>
  <c r="C174" i="41"/>
  <c r="C175" i="41"/>
  <c r="C176" i="41"/>
  <c r="C177" i="41"/>
  <c r="C178" i="41"/>
  <c r="C179" i="41"/>
  <c r="C180" i="41"/>
  <c r="C181" i="41"/>
  <c r="C182" i="41"/>
  <c r="C183" i="41"/>
  <c r="C184" i="41"/>
  <c r="C185" i="41"/>
  <c r="C186" i="41"/>
  <c r="C187" i="41"/>
  <c r="C188" i="41"/>
  <c r="C189" i="41"/>
  <c r="C190" i="41"/>
  <c r="C191" i="41"/>
  <c r="C192" i="41"/>
  <c r="C193" i="41"/>
  <c r="C194" i="41"/>
  <c r="C195" i="41"/>
  <c r="C196" i="41"/>
  <c r="C197" i="41"/>
  <c r="C198" i="41"/>
  <c r="C199" i="41"/>
  <c r="C200" i="41"/>
  <c r="C201" i="41"/>
  <c r="C202" i="41"/>
  <c r="C203" i="41"/>
  <c r="C204" i="41"/>
  <c r="C205" i="41"/>
  <c r="C206" i="41"/>
  <c r="C207" i="41"/>
  <c r="C208" i="41"/>
  <c r="C209" i="41"/>
  <c r="C210" i="41"/>
  <c r="C211" i="41"/>
  <c r="C212" i="41"/>
  <c r="C213" i="41"/>
  <c r="C214" i="41"/>
  <c r="C215" i="41"/>
  <c r="C216" i="41"/>
  <c r="C217" i="41"/>
  <c r="C218" i="41"/>
  <c r="C219" i="41"/>
  <c r="C220" i="41"/>
  <c r="C221" i="41"/>
  <c r="C222" i="41"/>
  <c r="C223" i="41"/>
  <c r="C224" i="41"/>
  <c r="C225" i="41"/>
  <c r="C226" i="41"/>
  <c r="C227" i="41"/>
  <c r="C228" i="41"/>
  <c r="C229" i="41"/>
  <c r="C230" i="41"/>
  <c r="C231" i="41"/>
  <c r="C232" i="41"/>
  <c r="C233" i="41"/>
  <c r="C234" i="41"/>
  <c r="C235" i="41"/>
  <c r="C236" i="41"/>
  <c r="C237" i="41"/>
  <c r="C238" i="41"/>
  <c r="C239" i="41"/>
  <c r="C240" i="41"/>
  <c r="C241" i="41"/>
  <c r="C242" i="41"/>
  <c r="C243" i="41"/>
  <c r="C244" i="41"/>
  <c r="C245" i="41"/>
  <c r="C246" i="41"/>
  <c r="C247" i="41"/>
  <c r="C248" i="41"/>
  <c r="C249" i="41"/>
  <c r="C250" i="41"/>
  <c r="C251" i="41"/>
  <c r="C252" i="41"/>
  <c r="C253" i="41"/>
  <c r="C254" i="41"/>
  <c r="C255" i="41"/>
  <c r="C256" i="41"/>
  <c r="C257" i="41"/>
  <c r="C258" i="41"/>
  <c r="C259" i="41"/>
  <c r="C260" i="41"/>
  <c r="C261" i="41"/>
  <c r="C262" i="41"/>
  <c r="C263" i="41"/>
  <c r="C264" i="41"/>
  <c r="C265" i="41"/>
  <c r="C266" i="41"/>
  <c r="C267" i="41"/>
  <c r="C268" i="41"/>
  <c r="C269" i="41"/>
  <c r="C270" i="41"/>
  <c r="C271" i="41"/>
  <c r="C272" i="41"/>
  <c r="C273" i="41"/>
  <c r="C274" i="41"/>
  <c r="C275" i="41"/>
  <c r="C276" i="41"/>
  <c r="C277" i="41"/>
  <c r="C278" i="41"/>
  <c r="C279" i="41"/>
  <c r="C280" i="41"/>
  <c r="C281" i="41"/>
  <c r="C282" i="41"/>
  <c r="C283" i="41"/>
  <c r="C284" i="41"/>
  <c r="C285" i="41"/>
  <c r="C286" i="41"/>
  <c r="C287" i="41"/>
  <c r="C288" i="41"/>
  <c r="C289" i="41"/>
  <c r="C290" i="41"/>
  <c r="C291" i="41"/>
  <c r="C292" i="41"/>
  <c r="C293" i="41"/>
  <c r="C294" i="41"/>
  <c r="C295" i="41"/>
  <c r="C296" i="41"/>
  <c r="C297" i="41"/>
  <c r="C298" i="41"/>
  <c r="C299" i="41"/>
  <c r="C300" i="41"/>
  <c r="C363" i="41"/>
  <c r="C364" i="41"/>
  <c r="C365" i="41"/>
  <c r="C366" i="41"/>
  <c r="C367" i="41"/>
  <c r="C368" i="41"/>
  <c r="C369" i="41"/>
  <c r="C370" i="41"/>
  <c r="C371" i="41"/>
  <c r="C372" i="41"/>
  <c r="C373" i="41"/>
  <c r="C374" i="41"/>
  <c r="C375" i="41"/>
  <c r="C376" i="41"/>
  <c r="C377" i="41"/>
  <c r="C378" i="41"/>
  <c r="C379" i="41"/>
  <c r="C380" i="41"/>
  <c r="C381" i="41"/>
  <c r="C382" i="41"/>
  <c r="C383" i="41"/>
  <c r="C384" i="41"/>
  <c r="C385" i="41"/>
  <c r="C386" i="41"/>
  <c r="C387" i="41"/>
  <c r="C388" i="41"/>
  <c r="C389" i="41"/>
  <c r="C390" i="41"/>
  <c r="C391" i="41"/>
  <c r="C392" i="41"/>
  <c r="C393" i="41"/>
  <c r="C394" i="41"/>
  <c r="C395" i="41"/>
  <c r="C396" i="41"/>
  <c r="C397" i="41"/>
  <c r="C398" i="41"/>
  <c r="C399" i="41"/>
  <c r="C400" i="41"/>
  <c r="C401" i="41"/>
  <c r="C402" i="41"/>
  <c r="C403" i="41"/>
  <c r="C404" i="41"/>
  <c r="C405" i="41"/>
  <c r="C406" i="41"/>
  <c r="C407" i="41"/>
  <c r="C408" i="41"/>
  <c r="C409" i="41"/>
  <c r="C410" i="41"/>
  <c r="C411" i="41"/>
  <c r="C412" i="41"/>
  <c r="C413" i="41"/>
  <c r="C414" i="41"/>
  <c r="C415" i="41"/>
  <c r="C416" i="41"/>
  <c r="C417" i="41"/>
  <c r="C418" i="41"/>
  <c r="C419" i="41"/>
  <c r="C420" i="41"/>
  <c r="C421" i="41"/>
  <c r="C422" i="41"/>
  <c r="C423" i="41"/>
  <c r="C424" i="41"/>
  <c r="C425" i="41"/>
  <c r="C426" i="41"/>
  <c r="C427" i="41"/>
  <c r="C428" i="41"/>
  <c r="C429" i="41"/>
  <c r="C430" i="41"/>
  <c r="C431" i="41"/>
  <c r="C432" i="41"/>
  <c r="C433" i="41"/>
  <c r="C434" i="41"/>
  <c r="C435" i="41"/>
  <c r="C436" i="41"/>
  <c r="C437" i="41"/>
  <c r="C438" i="41"/>
  <c r="C439" i="41"/>
  <c r="C440" i="41"/>
  <c r="C441" i="41"/>
  <c r="C442" i="41"/>
  <c r="C443" i="41"/>
  <c r="C444" i="41"/>
  <c r="C445" i="41"/>
  <c r="C446" i="41"/>
  <c r="C447" i="41"/>
  <c r="C448" i="41"/>
  <c r="C449" i="41"/>
  <c r="C450" i="41"/>
  <c r="C451" i="41"/>
  <c r="C452" i="41"/>
  <c r="C453" i="41"/>
  <c r="C454" i="41"/>
  <c r="C455" i="41"/>
  <c r="C456" i="41"/>
  <c r="C457" i="41"/>
  <c r="C458" i="41"/>
  <c r="C459" i="41"/>
  <c r="C460" i="41"/>
  <c r="C461" i="41"/>
  <c r="C462" i="41"/>
  <c r="C463" i="41"/>
  <c r="C464" i="41"/>
  <c r="C465" i="41"/>
  <c r="C466" i="41"/>
  <c r="C467" i="41"/>
  <c r="C468" i="41"/>
  <c r="C469" i="41"/>
  <c r="C470" i="41"/>
  <c r="C471" i="41"/>
  <c r="C472" i="41"/>
  <c r="C473" i="41"/>
  <c r="C474" i="41"/>
  <c r="C475" i="41"/>
  <c r="C476" i="41"/>
  <c r="C477" i="41"/>
  <c r="C478" i="41"/>
  <c r="C479" i="41"/>
  <c r="C480" i="41"/>
  <c r="C481" i="41"/>
  <c r="C482" i="41"/>
  <c r="C483" i="41"/>
  <c r="C484" i="41"/>
  <c r="C485" i="41"/>
  <c r="C486" i="41"/>
  <c r="C487" i="41"/>
  <c r="C488" i="41"/>
  <c r="C489" i="41"/>
  <c r="C490" i="41"/>
  <c r="C491" i="41"/>
  <c r="C492" i="41"/>
  <c r="C493" i="41"/>
  <c r="C494" i="41"/>
  <c r="C495" i="41"/>
  <c r="C496" i="41"/>
  <c r="C497" i="41"/>
  <c r="C498" i="41"/>
  <c r="C499" i="41"/>
  <c r="C500" i="41"/>
  <c r="C501" i="41"/>
  <c r="C502" i="41"/>
  <c r="C503" i="41"/>
  <c r="C504" i="41"/>
  <c r="C505" i="41"/>
  <c r="C506" i="41"/>
  <c r="C507" i="41"/>
  <c r="C508" i="41"/>
  <c r="C509" i="41"/>
  <c r="C510" i="41"/>
  <c r="C511" i="41"/>
  <c r="C512" i="41"/>
  <c r="C513" i="41"/>
  <c r="C514" i="41"/>
  <c r="C515" i="41"/>
  <c r="C516" i="41"/>
  <c r="C517" i="41"/>
  <c r="C518" i="41"/>
  <c r="C519" i="41"/>
  <c r="C520" i="41"/>
  <c r="C521" i="41"/>
  <c r="C522" i="41"/>
  <c r="C523" i="41"/>
  <c r="C524" i="41"/>
  <c r="C525" i="41"/>
  <c r="C526" i="41"/>
  <c r="C527" i="41"/>
  <c r="C528" i="41"/>
  <c r="C529" i="41"/>
  <c r="C530" i="41"/>
  <c r="C531" i="41"/>
  <c r="C532" i="41"/>
  <c r="C533" i="41"/>
  <c r="C534" i="41"/>
  <c r="C535" i="41"/>
  <c r="C536" i="41"/>
  <c r="C537" i="41"/>
  <c r="C538" i="41"/>
  <c r="C539" i="41"/>
  <c r="C540" i="41"/>
  <c r="C541" i="41"/>
  <c r="C542" i="41"/>
  <c r="C543" i="41"/>
  <c r="C544" i="41"/>
  <c r="C545" i="41"/>
  <c r="C546" i="41"/>
  <c r="C547" i="41"/>
  <c r="C548" i="41"/>
  <c r="C549" i="41"/>
  <c r="C550" i="41"/>
  <c r="C551" i="41"/>
  <c r="C552" i="41"/>
  <c r="C553" i="41"/>
  <c r="C554" i="41"/>
  <c r="C555" i="41"/>
  <c r="C556" i="41"/>
  <c r="C557" i="41"/>
  <c r="C558" i="41"/>
  <c r="C559" i="41"/>
  <c r="C560" i="41"/>
  <c r="C561" i="41"/>
  <c r="C562" i="41"/>
  <c r="C563" i="41"/>
  <c r="C564" i="41"/>
  <c r="C565" i="41"/>
  <c r="C566" i="41"/>
  <c r="C567" i="41"/>
  <c r="C568" i="41"/>
  <c r="C569" i="41"/>
  <c r="C570" i="41"/>
  <c r="C571" i="41"/>
  <c r="C572" i="41"/>
  <c r="C573" i="41"/>
  <c r="C574" i="41"/>
  <c r="C575" i="41"/>
  <c r="C576" i="41"/>
  <c r="C577" i="41"/>
  <c r="C578" i="41"/>
  <c r="C579" i="41"/>
  <c r="C580" i="41"/>
  <c r="C581" i="41"/>
  <c r="C582" i="41"/>
  <c r="C583" i="41"/>
  <c r="C584" i="41"/>
  <c r="C585" i="41"/>
  <c r="C586" i="41"/>
  <c r="C587" i="41"/>
  <c r="C588" i="41"/>
  <c r="C589" i="41"/>
  <c r="C590" i="41"/>
  <c r="C591" i="41"/>
  <c r="C592" i="41"/>
  <c r="C593" i="41"/>
  <c r="C594" i="41"/>
  <c r="C595" i="41"/>
  <c r="C596" i="41"/>
  <c r="C597" i="41"/>
  <c r="C598" i="41"/>
  <c r="C599" i="41"/>
  <c r="C600" i="41"/>
  <c r="C601" i="41"/>
  <c r="C602" i="41"/>
  <c r="C603" i="41"/>
  <c r="C604" i="41"/>
  <c r="C605" i="41"/>
  <c r="C606" i="41"/>
  <c r="C607" i="41"/>
  <c r="C608" i="41"/>
  <c r="C609" i="41"/>
  <c r="C610" i="41"/>
  <c r="C611" i="41"/>
  <c r="C612" i="41"/>
  <c r="C613" i="41"/>
  <c r="C614" i="41"/>
  <c r="C615" i="41"/>
  <c r="C616" i="41"/>
  <c r="C617" i="41"/>
  <c r="C618" i="41"/>
  <c r="C619" i="41"/>
  <c r="C620" i="41"/>
  <c r="C621" i="41"/>
  <c r="C622" i="41"/>
  <c r="C623" i="41"/>
  <c r="C624" i="41"/>
  <c r="C625" i="41"/>
  <c r="C626" i="41"/>
  <c r="C627" i="41"/>
  <c r="C628" i="41"/>
  <c r="C629" i="41"/>
  <c r="C630" i="41"/>
  <c r="C631" i="41"/>
  <c r="C632" i="41"/>
  <c r="C633" i="41"/>
  <c r="C634" i="41"/>
  <c r="C635" i="41"/>
  <c r="C636" i="41"/>
  <c r="C637" i="41"/>
  <c r="C638" i="41"/>
  <c r="C639" i="41"/>
  <c r="C640" i="41"/>
  <c r="C641" i="41"/>
  <c r="C642" i="41"/>
  <c r="C643" i="41"/>
  <c r="C644" i="41"/>
  <c r="C645" i="41"/>
  <c r="C646" i="41"/>
  <c r="C647" i="41"/>
  <c r="C648" i="41"/>
  <c r="C649" i="41"/>
  <c r="C650" i="41"/>
  <c r="C651" i="41"/>
  <c r="C652" i="41"/>
  <c r="C653" i="41"/>
  <c r="C654" i="41"/>
  <c r="C655" i="41"/>
  <c r="C656" i="41"/>
  <c r="C657" i="41"/>
  <c r="C658" i="41"/>
  <c r="C659" i="41"/>
  <c r="C660" i="41"/>
  <c r="C661" i="41"/>
  <c r="C662" i="41"/>
  <c r="C663" i="41"/>
  <c r="C664" i="41"/>
  <c r="C665" i="41"/>
  <c r="C666" i="41"/>
  <c r="C667" i="41"/>
  <c r="C668" i="41"/>
  <c r="C669" i="41"/>
  <c r="C670" i="41"/>
  <c r="C671" i="41"/>
  <c r="C672" i="41"/>
  <c r="C673" i="41"/>
  <c r="C674" i="41"/>
  <c r="C675" i="41"/>
  <c r="C676" i="41"/>
  <c r="C677" i="41"/>
  <c r="C678" i="41"/>
  <c r="C679" i="41"/>
  <c r="C680" i="41"/>
  <c r="C681" i="41"/>
  <c r="C682" i="41"/>
  <c r="C683" i="41"/>
  <c r="C684" i="41"/>
  <c r="C685" i="41"/>
  <c r="C686" i="41"/>
  <c r="C687" i="41"/>
  <c r="C688" i="41"/>
  <c r="C689" i="41"/>
  <c r="C690" i="41"/>
  <c r="C691" i="41"/>
  <c r="C692" i="41"/>
  <c r="C693" i="41"/>
  <c r="C694" i="41"/>
  <c r="C695" i="41"/>
  <c r="C696" i="41"/>
  <c r="C697" i="41"/>
  <c r="C698" i="41"/>
  <c r="C699" i="41"/>
  <c r="C700" i="41"/>
  <c r="C701" i="41"/>
  <c r="C702" i="41"/>
  <c r="C703" i="41"/>
  <c r="C704" i="41"/>
  <c r="C705" i="41"/>
  <c r="C706" i="41"/>
  <c r="C707" i="41"/>
  <c r="C708" i="41"/>
  <c r="C709" i="41"/>
  <c r="C710" i="41"/>
  <c r="C711" i="41"/>
  <c r="C712" i="41"/>
  <c r="C713" i="41"/>
  <c r="C714" i="41"/>
  <c r="C715" i="41"/>
  <c r="C716" i="41"/>
  <c r="C717" i="41"/>
  <c r="C718" i="41"/>
  <c r="C719" i="41"/>
  <c r="C720" i="41"/>
  <c r="C721" i="41"/>
  <c r="C722" i="41"/>
  <c r="C723" i="41"/>
  <c r="C724" i="41"/>
  <c r="C725" i="41"/>
  <c r="C726" i="41"/>
  <c r="C727" i="41"/>
  <c r="C728" i="41"/>
  <c r="C729" i="41"/>
  <c r="C730" i="41"/>
  <c r="C731" i="41"/>
  <c r="C732" i="41"/>
  <c r="C733" i="41"/>
  <c r="C734" i="41"/>
  <c r="C735" i="41"/>
  <c r="C736" i="41"/>
  <c r="C737" i="41"/>
  <c r="C738" i="41"/>
  <c r="C739" i="41"/>
  <c r="C740" i="41"/>
  <c r="C741" i="41"/>
  <c r="C742" i="41"/>
  <c r="C743" i="41"/>
  <c r="C744" i="41"/>
  <c r="C745" i="41"/>
  <c r="C746" i="41"/>
  <c r="C747" i="41"/>
  <c r="C748" i="41"/>
  <c r="C749" i="41"/>
  <c r="C750" i="41"/>
  <c r="C751" i="41"/>
  <c r="C752" i="41"/>
  <c r="C753" i="41"/>
  <c r="C754" i="41"/>
  <c r="C755" i="41"/>
  <c r="C756" i="41"/>
  <c r="C757" i="41"/>
  <c r="C758" i="41"/>
  <c r="C759" i="41"/>
  <c r="C760" i="41"/>
  <c r="C761" i="41"/>
  <c r="C762" i="41"/>
  <c r="C763" i="41"/>
  <c r="C764" i="41"/>
  <c r="C765" i="41"/>
  <c r="C766" i="41"/>
  <c r="C767" i="41"/>
  <c r="C768" i="41"/>
  <c r="C769" i="41"/>
  <c r="C770" i="41"/>
  <c r="C771" i="41"/>
  <c r="C772" i="41"/>
  <c r="C773" i="41"/>
  <c r="C774" i="41"/>
  <c r="C775" i="41"/>
  <c r="C776" i="41"/>
  <c r="C777" i="41"/>
  <c r="C778" i="41"/>
  <c r="C779" i="41"/>
  <c r="C780" i="41"/>
  <c r="C781" i="41"/>
  <c r="C782" i="41"/>
  <c r="C783" i="41"/>
  <c r="C784" i="41"/>
  <c r="C785" i="41"/>
  <c r="C786" i="41"/>
  <c r="C787" i="41"/>
  <c r="C788" i="41"/>
  <c r="C789" i="41"/>
  <c r="C790" i="41"/>
  <c r="C791" i="41"/>
  <c r="C792" i="41"/>
  <c r="C793" i="41"/>
  <c r="C794" i="41"/>
  <c r="C795" i="41"/>
  <c r="C796" i="41"/>
  <c r="C797" i="41"/>
  <c r="C798" i="41"/>
  <c r="C799" i="41"/>
  <c r="C800" i="41"/>
  <c r="C801" i="41"/>
  <c r="C802" i="41"/>
  <c r="C803" i="41"/>
  <c r="C804" i="41"/>
  <c r="C805" i="41"/>
  <c r="C806" i="41"/>
  <c r="C807" i="41"/>
  <c r="C808" i="41"/>
  <c r="C809" i="41"/>
  <c r="C810" i="41"/>
  <c r="C811" i="41"/>
  <c r="C812" i="41"/>
  <c r="C813" i="41"/>
  <c r="C814" i="41"/>
  <c r="C815" i="41"/>
  <c r="C816" i="41"/>
  <c r="C817" i="41"/>
  <c r="C818" i="41"/>
  <c r="C819" i="41"/>
  <c r="C820" i="41"/>
  <c r="C821" i="41"/>
  <c r="C822" i="41"/>
  <c r="C823" i="41"/>
  <c r="C824" i="41"/>
  <c r="C825" i="41"/>
  <c r="C826" i="41"/>
  <c r="C827" i="41"/>
  <c r="C828" i="41"/>
  <c r="C829" i="41"/>
  <c r="C830" i="41"/>
  <c r="C831" i="41"/>
  <c r="C832" i="41"/>
  <c r="C833" i="41"/>
  <c r="C834" i="41"/>
  <c r="C835" i="41"/>
  <c r="C836" i="41"/>
  <c r="C837" i="41"/>
  <c r="C838" i="41"/>
  <c r="C839" i="41"/>
  <c r="C840" i="41"/>
  <c r="C841" i="41"/>
  <c r="C842" i="41"/>
  <c r="C843" i="41"/>
  <c r="C844" i="41"/>
  <c r="C845" i="41"/>
  <c r="C846" i="41"/>
  <c r="C847" i="41"/>
  <c r="C848" i="41"/>
  <c r="C849" i="41"/>
  <c r="C850" i="41"/>
  <c r="C851" i="41"/>
  <c r="C852" i="41"/>
  <c r="C853" i="41"/>
  <c r="C854" i="41"/>
  <c r="C855" i="41"/>
  <c r="C856" i="41"/>
  <c r="C857" i="41"/>
  <c r="C858" i="41"/>
  <c r="C859" i="41"/>
  <c r="C860" i="41"/>
  <c r="C861" i="41"/>
  <c r="C862" i="41"/>
  <c r="C863" i="41"/>
  <c r="C864" i="41"/>
  <c r="C865" i="41"/>
  <c r="C866" i="41"/>
  <c r="C867" i="41"/>
  <c r="C868" i="41"/>
  <c r="C869" i="41"/>
  <c r="C870" i="41"/>
  <c r="C871" i="41"/>
  <c r="C872" i="41"/>
  <c r="C873" i="41"/>
  <c r="C874" i="41"/>
  <c r="C875" i="41"/>
  <c r="C876" i="41"/>
  <c r="C877" i="41"/>
  <c r="C878" i="41"/>
  <c r="C879" i="41"/>
  <c r="C880" i="41"/>
  <c r="C881" i="41"/>
  <c r="C882" i="41"/>
  <c r="C883" i="41"/>
  <c r="C884" i="41"/>
  <c r="C885" i="41"/>
  <c r="C886" i="41"/>
  <c r="C887" i="41"/>
  <c r="C888" i="41"/>
  <c r="C889" i="41"/>
  <c r="C890" i="41"/>
  <c r="C891" i="41"/>
  <c r="C892" i="41"/>
  <c r="C893" i="41"/>
  <c r="C894" i="41"/>
  <c r="C895" i="41"/>
  <c r="C896" i="41"/>
  <c r="C897" i="41"/>
  <c r="C898" i="41"/>
  <c r="C899" i="41"/>
  <c r="C900" i="41"/>
  <c r="C901" i="41"/>
  <c r="C902" i="41"/>
  <c r="C903" i="41"/>
  <c r="C904" i="41"/>
  <c r="C905" i="41"/>
  <c r="C906" i="41"/>
  <c r="C907" i="41"/>
  <c r="C908" i="41"/>
  <c r="C909" i="41"/>
  <c r="C910" i="41"/>
  <c r="C911" i="41"/>
  <c r="C912" i="41"/>
  <c r="C913" i="41"/>
  <c r="C914" i="41"/>
  <c r="C915" i="41"/>
  <c r="C916" i="41"/>
  <c r="C917" i="41"/>
  <c r="C918" i="41"/>
  <c r="C919" i="41"/>
  <c r="C920" i="41"/>
  <c r="C921" i="41"/>
  <c r="C922" i="41"/>
  <c r="C923" i="41"/>
  <c r="C924" i="41"/>
  <c r="C925" i="41"/>
  <c r="C926" i="41"/>
  <c r="C927" i="41"/>
  <c r="C928" i="41"/>
  <c r="C929" i="41"/>
  <c r="C930" i="41"/>
  <c r="C931" i="41"/>
  <c r="C932" i="41"/>
  <c r="C933" i="41"/>
  <c r="C934" i="41"/>
  <c r="C935" i="41"/>
  <c r="C936" i="41"/>
  <c r="C937" i="41"/>
  <c r="C938" i="41"/>
  <c r="C939" i="41"/>
  <c r="C940" i="41"/>
  <c r="C941" i="41"/>
  <c r="C942" i="41"/>
  <c r="C943" i="41"/>
  <c r="C944" i="41"/>
  <c r="C945" i="41"/>
  <c r="C946" i="41"/>
  <c r="C947" i="41"/>
  <c r="C948" i="41"/>
  <c r="C949" i="41"/>
  <c r="C950" i="41"/>
  <c r="C951" i="41"/>
  <c r="C952" i="41"/>
  <c r="C953" i="41"/>
  <c r="C954" i="41"/>
  <c r="C955" i="41"/>
  <c r="C956" i="41"/>
  <c r="C957" i="41"/>
  <c r="C958" i="41"/>
  <c r="C959" i="41"/>
  <c r="C960" i="41"/>
  <c r="C961" i="41"/>
  <c r="C962" i="41"/>
  <c r="C963" i="41"/>
  <c r="C964" i="41"/>
  <c r="C965" i="41"/>
  <c r="C966" i="41"/>
  <c r="C967" i="41"/>
  <c r="C968" i="41"/>
  <c r="C969" i="41"/>
  <c r="C970" i="41"/>
  <c r="C971" i="41"/>
  <c r="C972" i="41"/>
  <c r="C973" i="41"/>
  <c r="C974" i="41"/>
  <c r="C975" i="41"/>
  <c r="C976" i="41"/>
  <c r="C977" i="41"/>
  <c r="C978" i="41"/>
  <c r="C979" i="41"/>
  <c r="C980" i="41"/>
  <c r="C981" i="41"/>
  <c r="C982" i="41"/>
  <c r="C983" i="41"/>
  <c r="C984" i="41"/>
  <c r="C985" i="41"/>
  <c r="C986" i="41"/>
  <c r="C987" i="41"/>
  <c r="C988" i="41"/>
  <c r="C989" i="41"/>
  <c r="C990" i="41"/>
  <c r="C991" i="41"/>
  <c r="C992" i="41"/>
  <c r="C993" i="41"/>
  <c r="C994" i="41"/>
  <c r="C995" i="41"/>
  <c r="C996" i="41"/>
  <c r="C997" i="41"/>
  <c r="C998" i="41"/>
  <c r="C999" i="41"/>
  <c r="C1000" i="41"/>
  <c r="C1001" i="41"/>
  <c r="C1002" i="41"/>
  <c r="C1003" i="41"/>
  <c r="C1004" i="41"/>
  <c r="I1001" i="29" l="1"/>
  <c r="I989" i="29"/>
  <c r="I977" i="29"/>
  <c r="I957" i="29"/>
  <c r="I945" i="29"/>
  <c r="I933" i="29"/>
  <c r="I921" i="29"/>
  <c r="I909" i="29"/>
  <c r="I897" i="29"/>
  <c r="I997" i="29"/>
  <c r="I985" i="29"/>
  <c r="I973" i="29"/>
  <c r="I965" i="29"/>
  <c r="I953" i="29"/>
  <c r="I941" i="29"/>
  <c r="I929" i="29"/>
  <c r="I917" i="29"/>
  <c r="I905" i="29"/>
  <c r="I889" i="29"/>
  <c r="I993" i="29"/>
  <c r="I981" i="29"/>
  <c r="I969" i="29"/>
  <c r="I961" i="29"/>
  <c r="I949" i="29"/>
  <c r="I937" i="29"/>
  <c r="I925" i="29"/>
  <c r="I913" i="29"/>
  <c r="I901" i="29"/>
  <c r="I893" i="29"/>
  <c r="I883" i="29"/>
  <c r="I879" i="29"/>
  <c r="I875" i="29"/>
  <c r="I871" i="29"/>
  <c r="I867" i="29"/>
  <c r="I863" i="29"/>
  <c r="I859" i="29"/>
  <c r="I855" i="29"/>
  <c r="I851" i="29"/>
  <c r="I847" i="29"/>
  <c r="I843" i="29"/>
  <c r="I839" i="29"/>
  <c r="I835" i="29"/>
  <c r="I831" i="29"/>
  <c r="I827" i="29"/>
  <c r="I823" i="29"/>
  <c r="I819" i="29"/>
  <c r="I815" i="29"/>
  <c r="I811" i="29"/>
  <c r="I807" i="29"/>
  <c r="I803" i="29"/>
  <c r="I799" i="29"/>
  <c r="I795" i="29"/>
  <c r="I791" i="29"/>
  <c r="I787" i="29"/>
  <c r="I783" i="29"/>
  <c r="I779" i="29"/>
  <c r="I775" i="29"/>
  <c r="I771" i="29"/>
  <c r="I767" i="29"/>
  <c r="I763" i="29"/>
  <c r="I759" i="29"/>
  <c r="I755" i="29"/>
  <c r="I751" i="29"/>
  <c r="I747" i="29"/>
  <c r="I743" i="29"/>
  <c r="I739" i="29"/>
  <c r="I735" i="29"/>
  <c r="I731" i="29"/>
  <c r="I727" i="29"/>
  <c r="I723" i="29"/>
  <c r="I719" i="29"/>
  <c r="I715" i="29"/>
  <c r="I711" i="29"/>
  <c r="I707" i="29"/>
  <c r="I703" i="29"/>
  <c r="I699" i="29"/>
  <c r="I695" i="29"/>
  <c r="I691" i="29"/>
  <c r="I687" i="29"/>
  <c r="I683" i="29"/>
  <c r="I679" i="29"/>
  <c r="I675" i="29"/>
  <c r="I671" i="29"/>
  <c r="I667" i="29"/>
  <c r="I663" i="29"/>
  <c r="I659" i="29"/>
  <c r="I655" i="29"/>
  <c r="I651" i="29"/>
  <c r="I647" i="29"/>
  <c r="I643" i="29"/>
  <c r="I639" i="29"/>
  <c r="I635" i="29"/>
  <c r="I631" i="29"/>
  <c r="I627" i="29"/>
  <c r="I623" i="29"/>
  <c r="I619" i="29"/>
  <c r="I615" i="29"/>
  <c r="I611" i="29"/>
  <c r="I607" i="29"/>
  <c r="I603" i="29"/>
  <c r="I599" i="29"/>
  <c r="I595" i="29"/>
  <c r="I591" i="29"/>
  <c r="I587" i="29"/>
  <c r="I583" i="29"/>
  <c r="I579" i="29"/>
  <c r="I575" i="29"/>
  <c r="I571" i="29"/>
  <c r="I567" i="29"/>
  <c r="I563" i="29"/>
  <c r="I559" i="29"/>
  <c r="I555" i="29"/>
  <c r="I551" i="29"/>
  <c r="I547" i="29"/>
  <c r="I543" i="29"/>
  <c r="I539" i="29"/>
  <c r="I535" i="29"/>
  <c r="I531" i="29"/>
  <c r="I527" i="29"/>
  <c r="I523" i="29"/>
  <c r="I519" i="29"/>
  <c r="I515" i="29"/>
  <c r="I511" i="29"/>
  <c r="I507" i="29"/>
  <c r="I503" i="29"/>
  <c r="I499" i="29"/>
  <c r="I495" i="29"/>
  <c r="I491" i="29"/>
  <c r="I487" i="29"/>
  <c r="I483" i="29"/>
  <c r="I479" i="29"/>
  <c r="I475" i="29"/>
  <c r="I471" i="29"/>
  <c r="I467" i="29"/>
  <c r="I463" i="29"/>
  <c r="I459" i="29"/>
  <c r="I455" i="29"/>
  <c r="I451" i="29"/>
  <c r="I447" i="29"/>
  <c r="I443" i="29"/>
  <c r="I439" i="29"/>
  <c r="I435" i="29"/>
  <c r="I431" i="29"/>
  <c r="I427" i="29"/>
  <c r="I423" i="29"/>
  <c r="I419" i="29"/>
  <c r="I415" i="29"/>
  <c r="I411" i="29"/>
  <c r="I407" i="29"/>
  <c r="I403" i="29"/>
  <c r="I399" i="29"/>
  <c r="I395" i="29"/>
  <c r="I391" i="29"/>
  <c r="I387" i="29"/>
  <c r="I383" i="29"/>
  <c r="I379" i="29"/>
  <c r="I375" i="29"/>
  <c r="I371" i="29"/>
  <c r="I367" i="29"/>
  <c r="I363" i="29"/>
  <c r="I359" i="29"/>
  <c r="I355" i="29"/>
  <c r="I351" i="29"/>
  <c r="I347" i="29"/>
  <c r="I343" i="29"/>
  <c r="I339" i="29"/>
  <c r="I335" i="29"/>
  <c r="I331" i="29"/>
  <c r="I327" i="29"/>
  <c r="I323" i="29"/>
  <c r="I319" i="29"/>
  <c r="I315" i="29"/>
  <c r="I311" i="29"/>
  <c r="I307" i="29"/>
  <c r="I303" i="29"/>
  <c r="I299" i="29"/>
  <c r="I295" i="29"/>
  <c r="I291" i="29"/>
  <c r="I287" i="29"/>
  <c r="I283" i="29"/>
  <c r="I279" i="29"/>
  <c r="I275" i="29"/>
  <c r="I271" i="29"/>
  <c r="I267" i="29"/>
  <c r="I263" i="29"/>
  <c r="I259" i="29"/>
  <c r="I255" i="29"/>
  <c r="I251" i="29"/>
  <c r="I247" i="29"/>
  <c r="I243" i="29"/>
  <c r="I239" i="29"/>
  <c r="I235" i="29"/>
  <c r="I231" i="29"/>
  <c r="I227" i="29"/>
  <c r="I223" i="29"/>
  <c r="I219" i="29"/>
  <c r="I215" i="29"/>
  <c r="I211" i="29"/>
  <c r="I207" i="29"/>
  <c r="I203" i="29"/>
  <c r="I199" i="29"/>
  <c r="I195" i="29"/>
  <c r="I191" i="29"/>
  <c r="I187" i="29"/>
  <c r="I183" i="29"/>
  <c r="I179" i="29"/>
  <c r="I175" i="29"/>
  <c r="I171" i="29"/>
  <c r="I167" i="29"/>
  <c r="I163" i="29"/>
  <c r="I159" i="29"/>
  <c r="I155" i="29"/>
  <c r="I151" i="29"/>
  <c r="I147" i="29"/>
  <c r="I143" i="29"/>
  <c r="I139" i="29"/>
  <c r="I135" i="29"/>
  <c r="I131" i="29"/>
  <c r="I127" i="29"/>
  <c r="I123" i="29"/>
  <c r="I119" i="29"/>
  <c r="I115" i="29"/>
  <c r="I111" i="29"/>
  <c r="I107" i="29"/>
  <c r="I103" i="29"/>
  <c r="I99" i="29"/>
  <c r="I95" i="29"/>
  <c r="I91" i="29"/>
  <c r="I87" i="29"/>
  <c r="I83" i="29"/>
  <c r="I79" i="29"/>
  <c r="I75" i="29"/>
  <c r="I71" i="29"/>
  <c r="I67" i="29"/>
  <c r="I63" i="29"/>
  <c r="I59" i="29"/>
  <c r="I55" i="29"/>
  <c r="I51" i="29"/>
  <c r="I47" i="29"/>
  <c r="I43" i="29"/>
  <c r="I39" i="29"/>
  <c r="I35" i="29"/>
  <c r="I31" i="29"/>
  <c r="I27" i="29"/>
  <c r="I23" i="29"/>
  <c r="I19" i="29"/>
  <c r="I15" i="29"/>
  <c r="I11" i="29"/>
  <c r="I842" i="29"/>
  <c r="I778" i="29"/>
  <c r="I762" i="29"/>
  <c r="I714" i="29"/>
  <c r="I650" i="29"/>
  <c r="I618" i="29"/>
  <c r="I562" i="29"/>
  <c r="I874" i="29"/>
  <c r="I826" i="29"/>
  <c r="I810" i="29"/>
  <c r="I746" i="29"/>
  <c r="I698" i="29"/>
  <c r="I682" i="29"/>
  <c r="I634" i="29"/>
  <c r="I498" i="29"/>
  <c r="I884" i="29"/>
  <c r="I880" i="29"/>
  <c r="I876" i="29"/>
  <c r="I872" i="29"/>
  <c r="I868" i="29"/>
  <c r="I864" i="29"/>
  <c r="I860" i="29"/>
  <c r="I856" i="29"/>
  <c r="I852" i="29"/>
  <c r="I848" i="29"/>
  <c r="I844" i="29"/>
  <c r="I840" i="29"/>
  <c r="I836" i="29"/>
  <c r="I832" i="29"/>
  <c r="I828" i="29"/>
  <c r="I824" i="29"/>
  <c r="I820" i="29"/>
  <c r="I816" i="29"/>
  <c r="I812" i="29"/>
  <c r="I808" i="29"/>
  <c r="I804" i="29"/>
  <c r="I800" i="29"/>
  <c r="I796" i="29"/>
  <c r="I792" i="29"/>
  <c r="I788" i="29"/>
  <c r="I784" i="29"/>
  <c r="I780" i="29"/>
  <c r="I776" i="29"/>
  <c r="I772" i="29"/>
  <c r="I768" i="29"/>
  <c r="I764" i="29"/>
  <c r="I760" i="29"/>
  <c r="I756" i="29"/>
  <c r="I752" i="29"/>
  <c r="I748" i="29"/>
  <c r="I744" i="29"/>
  <c r="I740" i="29"/>
  <c r="I736" i="29"/>
  <c r="I732" i="29"/>
  <c r="I728" i="29"/>
  <c r="I724" i="29"/>
  <c r="I720" i="29"/>
  <c r="I716" i="29"/>
  <c r="I712" i="29"/>
  <c r="I708" i="29"/>
  <c r="I704" i="29"/>
  <c r="I700" i="29"/>
  <c r="I696" i="29"/>
  <c r="I692" i="29"/>
  <c r="I688" i="29"/>
  <c r="I684" i="29"/>
  <c r="I680" i="29"/>
  <c r="I676" i="29"/>
  <c r="I672" i="29"/>
  <c r="I668" i="29"/>
  <c r="I664" i="29"/>
  <c r="I660" i="29"/>
  <c r="I656" i="29"/>
  <c r="I652" i="29"/>
  <c r="I648" i="29"/>
  <c r="I644" i="29"/>
  <c r="I640" i="29"/>
  <c r="I636" i="29"/>
  <c r="I632" i="29"/>
  <c r="I628" i="29"/>
  <c r="I624" i="29"/>
  <c r="I620" i="29"/>
  <c r="I616" i="29"/>
  <c r="I612" i="29"/>
  <c r="I608" i="29"/>
  <c r="I604" i="29"/>
  <c r="I600" i="29"/>
  <c r="I596" i="29"/>
  <c r="I592" i="29"/>
  <c r="I588" i="29"/>
  <c r="I584" i="29"/>
  <c r="I580" i="29"/>
  <c r="I576" i="29"/>
  <c r="I572" i="29"/>
  <c r="I568" i="29"/>
  <c r="I564" i="29"/>
  <c r="I560" i="29"/>
  <c r="I556" i="29"/>
  <c r="I552" i="29"/>
  <c r="I548" i="29"/>
  <c r="I544" i="29"/>
  <c r="I540" i="29"/>
  <c r="I536" i="29"/>
  <c r="I532" i="29"/>
  <c r="I528" i="29"/>
  <c r="I524" i="29"/>
  <c r="I520" i="29"/>
  <c r="I516" i="29"/>
  <c r="I512" i="29"/>
  <c r="I508" i="29"/>
  <c r="I504" i="29"/>
  <c r="I500" i="29"/>
  <c r="I496" i="29"/>
  <c r="I492" i="29"/>
  <c r="I488" i="29"/>
  <c r="I484" i="29"/>
  <c r="I480" i="29"/>
  <c r="I476" i="29"/>
  <c r="I472" i="29"/>
  <c r="I468" i="29"/>
  <c r="I464" i="29"/>
  <c r="I460" i="29"/>
  <c r="I456" i="29"/>
  <c r="I452" i="29"/>
  <c r="I448" i="29"/>
  <c r="I444" i="29"/>
  <c r="I440" i="29"/>
  <c r="I436" i="29"/>
  <c r="I432" i="29"/>
  <c r="I428" i="29"/>
  <c r="I424" i="29"/>
  <c r="I420" i="29"/>
  <c r="I416" i="29"/>
  <c r="I412" i="29"/>
  <c r="I408" i="29"/>
  <c r="I404" i="29"/>
  <c r="I400" i="29"/>
  <c r="I396" i="29"/>
  <c r="I392" i="29"/>
  <c r="I388" i="29"/>
  <c r="I384" i="29"/>
  <c r="I380" i="29"/>
  <c r="I376" i="29"/>
  <c r="I372" i="29"/>
  <c r="I368" i="29"/>
  <c r="I364" i="29"/>
  <c r="I360" i="29"/>
  <c r="I356" i="29"/>
  <c r="I352" i="29"/>
  <c r="I348" i="29"/>
  <c r="I344" i="29"/>
  <c r="I340" i="29"/>
  <c r="I336" i="29"/>
  <c r="I332" i="29"/>
  <c r="I328" i="29"/>
  <c r="I324" i="29"/>
  <c r="I320" i="29"/>
  <c r="I316" i="29"/>
  <c r="I312" i="29"/>
  <c r="I308" i="29"/>
  <c r="I304" i="29"/>
  <c r="I300" i="29"/>
  <c r="I296" i="29"/>
  <c r="I292" i="29"/>
  <c r="I288" i="29"/>
  <c r="I284" i="29"/>
  <c r="I280" i="29"/>
  <c r="I276" i="29"/>
  <c r="I272" i="29"/>
  <c r="I268" i="29"/>
  <c r="I264" i="29"/>
  <c r="I260" i="29"/>
  <c r="I256" i="29"/>
  <c r="I252" i="29"/>
  <c r="I248" i="29"/>
  <c r="I244" i="29"/>
  <c r="I240" i="29"/>
  <c r="I236" i="29"/>
  <c r="I232" i="29"/>
  <c r="I228" i="29"/>
  <c r="I224" i="29"/>
  <c r="I220" i="29"/>
  <c r="I216" i="29"/>
  <c r="I212" i="29"/>
  <c r="I208" i="29"/>
  <c r="I204" i="29"/>
  <c r="I200" i="29"/>
  <c r="I196" i="29"/>
  <c r="I192" i="29"/>
  <c r="I188" i="29"/>
  <c r="I184" i="29"/>
  <c r="I180" i="29"/>
  <c r="I176" i="29"/>
  <c r="I172" i="29"/>
  <c r="I168" i="29"/>
  <c r="I164" i="29"/>
  <c r="I160" i="29"/>
  <c r="I156" i="29"/>
  <c r="I152" i="29"/>
  <c r="I148" i="29"/>
  <c r="I144" i="29"/>
  <c r="I140" i="29"/>
  <c r="I136" i="29"/>
  <c r="I132" i="29"/>
  <c r="I128" i="29"/>
  <c r="I124" i="29"/>
  <c r="I120" i="29"/>
  <c r="I116" i="29"/>
  <c r="I112" i="29"/>
  <c r="I108" i="29"/>
  <c r="I104" i="29"/>
  <c r="I100" i="29"/>
  <c r="I96" i="29"/>
  <c r="I92" i="29"/>
  <c r="I88" i="29"/>
  <c r="I84" i="29"/>
  <c r="I80" i="29"/>
  <c r="I76" i="29"/>
  <c r="I72" i="29"/>
  <c r="I68" i="29"/>
  <c r="I64" i="29"/>
  <c r="I60" i="29"/>
  <c r="I56" i="29"/>
  <c r="I52" i="29"/>
  <c r="I48" i="29"/>
  <c r="I44" i="29"/>
  <c r="I40" i="29"/>
  <c r="I36" i="29"/>
  <c r="I32" i="29"/>
  <c r="I28" i="29"/>
  <c r="I24" i="29"/>
  <c r="I20" i="29"/>
  <c r="I16" i="29"/>
  <c r="I12" i="29"/>
  <c r="I858" i="29"/>
  <c r="I794" i="29"/>
  <c r="I730" i="29"/>
  <c r="I666" i="29"/>
  <c r="I602" i="29"/>
  <c r="I434" i="29"/>
  <c r="I334" i="29"/>
  <c r="I250" i="29"/>
  <c r="I38" i="29"/>
  <c r="I886" i="29"/>
  <c r="I882" i="29"/>
  <c r="I878" i="29"/>
  <c r="I870" i="29"/>
  <c r="I866" i="29"/>
  <c r="I862" i="29"/>
  <c r="I854" i="29"/>
  <c r="I850" i="29"/>
  <c r="I846" i="29"/>
  <c r="I838" i="29"/>
  <c r="I834" i="29"/>
  <c r="I830" i="29"/>
  <c r="I822" i="29"/>
  <c r="I818" i="29"/>
  <c r="I814" i="29"/>
  <c r="I806" i="29"/>
  <c r="I802" i="29"/>
  <c r="I798" i="29"/>
  <c r="I790" i="29"/>
  <c r="I786" i="29"/>
  <c r="I782" i="29"/>
  <c r="I774" i="29"/>
  <c r="I770" i="29"/>
  <c r="I766" i="29"/>
  <c r="I758" i="29"/>
  <c r="I754" i="29"/>
  <c r="I750" i="29"/>
  <c r="I742" i="29"/>
  <c r="I738" i="29"/>
  <c r="I734" i="29"/>
  <c r="I726" i="29"/>
  <c r="I722" i="29"/>
  <c r="I718" i="29"/>
  <c r="I710" i="29"/>
  <c r="I706" i="29"/>
  <c r="I702" i="29"/>
  <c r="I694" i="29"/>
  <c r="I690" i="29"/>
  <c r="I686" i="29"/>
  <c r="I678" i="29"/>
  <c r="I674" i="29"/>
  <c r="I670" i="29"/>
  <c r="I662" i="29"/>
  <c r="I658" i="29"/>
  <c r="I654" i="29"/>
  <c r="I646" i="29"/>
  <c r="I642" i="29"/>
  <c r="I638" i="29"/>
  <c r="I630" i="29"/>
  <c r="I626" i="29"/>
  <c r="I622" i="29"/>
  <c r="I614" i="29"/>
  <c r="I610" i="29"/>
  <c r="I606" i="29"/>
  <c r="I598" i="29"/>
  <c r="I594" i="29"/>
  <c r="I590" i="29"/>
  <c r="I586" i="29"/>
  <c r="I582" i="29"/>
  <c r="I578" i="29"/>
  <c r="I574" i="29"/>
  <c r="I570" i="29"/>
  <c r="I566" i="29"/>
  <c r="I558" i="29"/>
  <c r="I554" i="29"/>
  <c r="I550" i="29"/>
  <c r="I546" i="29"/>
  <c r="I542" i="29"/>
  <c r="I538" i="29"/>
  <c r="I534" i="29"/>
  <c r="I530" i="29"/>
  <c r="I526" i="29"/>
  <c r="I522" i="29"/>
  <c r="I518" i="29"/>
  <c r="I514" i="29"/>
  <c r="I510" i="29"/>
  <c r="I506" i="29"/>
  <c r="I502" i="29"/>
  <c r="I494" i="29"/>
  <c r="I490" i="29"/>
  <c r="I486" i="29"/>
  <c r="I482" i="29"/>
  <c r="I478" i="29"/>
  <c r="I474" i="29"/>
  <c r="I470" i="29"/>
  <c r="I466" i="29"/>
  <c r="I450" i="29"/>
  <c r="I418" i="29"/>
  <c r="I382" i="29"/>
  <c r="I366" i="29"/>
  <c r="I350" i="29"/>
  <c r="I318" i="29"/>
  <c r="I302" i="29"/>
  <c r="I298" i="29"/>
  <c r="I282" i="29"/>
  <c r="I266" i="29"/>
  <c r="I230" i="29"/>
  <c r="I198" i="29"/>
  <c r="I166" i="29"/>
  <c r="I102" i="29"/>
  <c r="I409" i="29"/>
  <c r="I405" i="29"/>
  <c r="I401" i="29"/>
  <c r="I397" i="29"/>
  <c r="I393" i="29"/>
  <c r="I301" i="29"/>
  <c r="I462" i="29"/>
  <c r="I458" i="29"/>
  <c r="I454" i="29"/>
  <c r="I446" i="29"/>
  <c r="I442" i="29"/>
  <c r="I438" i="29"/>
  <c r="I430" i="29"/>
  <c r="I426" i="29"/>
  <c r="I422" i="29"/>
  <c r="I414" i="29"/>
  <c r="I410" i="29"/>
  <c r="I406" i="29"/>
  <c r="I402" i="29"/>
  <c r="I398" i="29"/>
  <c r="I394" i="29"/>
  <c r="I390" i="29"/>
  <c r="I386" i="29"/>
  <c r="I378" i="29"/>
  <c r="I374" i="29"/>
  <c r="I370" i="29"/>
  <c r="I362" i="29"/>
  <c r="I358" i="29"/>
  <c r="I354" i="29"/>
  <c r="I346" i="29"/>
  <c r="I342" i="29"/>
  <c r="I338" i="29"/>
  <c r="I330" i="29"/>
  <c r="I326" i="29"/>
  <c r="I322" i="29"/>
  <c r="I314" i="29"/>
  <c r="I310" i="29"/>
  <c r="I306" i="29"/>
  <c r="I294" i="29"/>
  <c r="I290" i="29"/>
  <c r="I286" i="29"/>
  <c r="I278" i="29"/>
  <c r="I274" i="29"/>
  <c r="I270" i="29"/>
  <c r="I262" i="29"/>
  <c r="I258" i="29"/>
  <c r="I254" i="29"/>
  <c r="I246" i="29"/>
  <c r="I242" i="29"/>
  <c r="I238" i="29"/>
  <c r="I234" i="29"/>
  <c r="I226" i="29"/>
  <c r="I222" i="29"/>
  <c r="I218" i="29"/>
  <c r="I214" i="29"/>
  <c r="I210" i="29"/>
  <c r="I206" i="29"/>
  <c r="I202" i="29"/>
  <c r="I194" i="29"/>
  <c r="I190" i="29"/>
  <c r="I186" i="29"/>
  <c r="I182" i="29"/>
  <c r="I178" i="29"/>
  <c r="I174" i="29"/>
  <c r="I170" i="29"/>
  <c r="I162" i="29"/>
  <c r="I158" i="29"/>
  <c r="I154" i="29"/>
  <c r="I150" i="29"/>
  <c r="I146" i="29"/>
  <c r="I142" i="29"/>
  <c r="I138" i="29"/>
  <c r="I134" i="29"/>
  <c r="I130" i="29"/>
  <c r="I126" i="29"/>
  <c r="I122" i="29"/>
  <c r="I118" i="29"/>
  <c r="I114" i="29"/>
  <c r="I110" i="29"/>
  <c r="I106" i="29"/>
  <c r="I98" i="29"/>
  <c r="I94" i="29"/>
  <c r="I90" i="29"/>
  <c r="I86" i="29"/>
  <c r="I82" i="29"/>
  <c r="I78" i="29"/>
  <c r="I74" i="29"/>
  <c r="I70" i="29"/>
  <c r="I66" i="29"/>
  <c r="I62" i="29"/>
  <c r="I58" i="29"/>
  <c r="I54" i="29"/>
  <c r="I50" i="29"/>
  <c r="I46" i="29"/>
  <c r="I42" i="29"/>
  <c r="I34" i="29"/>
  <c r="I30" i="29"/>
  <c r="I26" i="29"/>
  <c r="I22" i="29"/>
  <c r="I18" i="29"/>
  <c r="I14" i="29"/>
  <c r="I10" i="29"/>
  <c r="I885" i="29"/>
  <c r="I881" i="29"/>
  <c r="I877" i="29"/>
  <c r="I873" i="29"/>
  <c r="I869" i="29"/>
  <c r="I865" i="29"/>
  <c r="I861" i="29"/>
  <c r="I857" i="29"/>
  <c r="I853" i="29"/>
  <c r="I849" i="29"/>
  <c r="I845" i="29"/>
  <c r="I841" i="29"/>
  <c r="I837" i="29"/>
  <c r="I833" i="29"/>
  <c r="I829" i="29"/>
  <c r="I825" i="29"/>
  <c r="I821" i="29"/>
  <c r="I817" i="29"/>
  <c r="I813" i="29"/>
  <c r="I809" i="29"/>
  <c r="I805" i="29"/>
  <c r="I801" i="29"/>
  <c r="I797" i="29"/>
  <c r="I793" i="29"/>
  <c r="I789" i="29"/>
  <c r="I785" i="29"/>
  <c r="I781" i="29"/>
  <c r="I777" i="29"/>
  <c r="I417" i="29"/>
  <c r="I381" i="29"/>
  <c r="I373" i="29"/>
  <c r="I357" i="29"/>
  <c r="I353" i="29"/>
  <c r="I349" i="29"/>
  <c r="I345" i="29"/>
  <c r="I341" i="29"/>
  <c r="I337" i="29"/>
  <c r="I333" i="29"/>
  <c r="I329" i="29"/>
  <c r="I325" i="29"/>
  <c r="I321" i="29"/>
  <c r="I313" i="29"/>
  <c r="I309" i="29"/>
  <c r="I773" i="29"/>
  <c r="I769" i="29"/>
  <c r="I765" i="29"/>
  <c r="I761" i="29"/>
  <c r="I757" i="29"/>
  <c r="I753" i="29"/>
  <c r="I749" i="29"/>
  <c r="I745" i="29"/>
  <c r="I741" i="29"/>
  <c r="I737" i="29"/>
  <c r="I733" i="29"/>
  <c r="I729" i="29"/>
  <c r="I725" i="29"/>
  <c r="I721" i="29"/>
  <c r="I717" i="29"/>
  <c r="I713" i="29"/>
  <c r="I709" i="29"/>
  <c r="I705" i="29"/>
  <c r="I701" i="29"/>
  <c r="I697" i="29"/>
  <c r="I693" i="29"/>
  <c r="I689" i="29"/>
  <c r="I685" i="29"/>
  <c r="I681" i="29"/>
  <c r="I677" i="29"/>
  <c r="I673" i="29"/>
  <c r="I669" i="29"/>
  <c r="I665" i="29"/>
  <c r="I661" i="29"/>
  <c r="I657" i="29"/>
  <c r="I653" i="29"/>
  <c r="I649" i="29"/>
  <c r="I645" i="29"/>
  <c r="I641" i="29"/>
  <c r="I637" i="29"/>
  <c r="I633" i="29"/>
  <c r="I629" i="29"/>
  <c r="I625" i="29"/>
  <c r="I621" i="29"/>
  <c r="I617" i="29"/>
  <c r="I613" i="29"/>
  <c r="I609" i="29"/>
  <c r="I605" i="29"/>
  <c r="I601" i="29"/>
  <c r="I597" i="29"/>
  <c r="I593" i="29"/>
  <c r="I589" i="29"/>
  <c r="I585" i="29"/>
  <c r="I581" i="29"/>
  <c r="I577" i="29"/>
  <c r="I573" i="29"/>
  <c r="I569" i="29"/>
  <c r="I565" i="29"/>
  <c r="I561" i="29"/>
  <c r="I557" i="29"/>
  <c r="I553" i="29"/>
  <c r="I549" i="29"/>
  <c r="I545" i="29"/>
  <c r="I541" i="29"/>
  <c r="I537" i="29"/>
  <c r="I533" i="29"/>
  <c r="I529" i="29"/>
  <c r="I525" i="29"/>
  <c r="I521" i="29"/>
  <c r="I517" i="29"/>
  <c r="I513" i="29"/>
  <c r="I509" i="29"/>
  <c r="I505" i="29"/>
  <c r="I501" i="29"/>
  <c r="I497" i="29"/>
  <c r="I493" i="29"/>
  <c r="I489" i="29"/>
  <c r="I485" i="29"/>
  <c r="I481" i="29"/>
  <c r="I477" i="29"/>
  <c r="I473" i="29"/>
  <c r="I469" i="29"/>
  <c r="I465" i="29"/>
  <c r="I461" i="29"/>
  <c r="I457" i="29"/>
  <c r="I453" i="29"/>
  <c r="I449" i="29"/>
  <c r="I445" i="29"/>
  <c r="I441" i="29"/>
  <c r="I437" i="29"/>
  <c r="I433" i="29"/>
  <c r="I429" i="29"/>
  <c r="I425" i="29"/>
  <c r="I421" i="29"/>
  <c r="I413" i="29"/>
  <c r="I389" i="29"/>
  <c r="I385" i="29"/>
  <c r="I377" i="29"/>
  <c r="I369" i="29"/>
  <c r="I365" i="29"/>
  <c r="I361" i="29"/>
  <c r="I317" i="29"/>
  <c r="I305" i="29"/>
  <c r="I297" i="29"/>
  <c r="I293" i="29"/>
  <c r="I289" i="29"/>
  <c r="I285" i="29"/>
  <c r="I281" i="29"/>
  <c r="I277" i="29"/>
  <c r="I273" i="29"/>
  <c r="I269" i="29"/>
  <c r="I265" i="29"/>
  <c r="I261" i="29"/>
  <c r="I257" i="29"/>
  <c r="I253" i="29"/>
  <c r="I249" i="29"/>
  <c r="I245" i="29"/>
  <c r="I241" i="29"/>
  <c r="I237" i="29"/>
  <c r="I233" i="29"/>
  <c r="I229" i="29"/>
  <c r="I225" i="29"/>
  <c r="I221" i="29"/>
  <c r="I217" i="29"/>
  <c r="I213" i="29"/>
  <c r="I209" i="29"/>
  <c r="I205" i="29"/>
  <c r="I201" i="29"/>
  <c r="I197" i="29"/>
  <c r="I193" i="29"/>
  <c r="I189" i="29"/>
  <c r="I185" i="29"/>
  <c r="I181" i="29"/>
  <c r="I177" i="29"/>
  <c r="I173" i="29"/>
  <c r="I169" i="29"/>
  <c r="I165" i="29"/>
  <c r="I161" i="29"/>
  <c r="I157" i="29"/>
  <c r="I153" i="29"/>
  <c r="I149" i="29"/>
  <c r="I145" i="29"/>
  <c r="I141" i="29"/>
  <c r="I137" i="29"/>
  <c r="I133" i="29"/>
  <c r="I129" i="29"/>
  <c r="I125" i="29"/>
  <c r="I121" i="29"/>
  <c r="I117" i="29"/>
  <c r="I113" i="29"/>
  <c r="I109" i="29"/>
  <c r="I105" i="29"/>
  <c r="I101" i="29"/>
  <c r="I97" i="29"/>
  <c r="I93" i="29"/>
  <c r="I89" i="29"/>
  <c r="I85" i="29"/>
  <c r="I81" i="29"/>
  <c r="I77" i="29"/>
  <c r="I73" i="29"/>
  <c r="I69" i="29"/>
  <c r="I65" i="29"/>
  <c r="I61" i="29"/>
  <c r="I57" i="29"/>
  <c r="I53" i="29"/>
  <c r="I49" i="29"/>
  <c r="I45" i="29"/>
  <c r="I41" i="29"/>
  <c r="I37" i="29"/>
  <c r="I33" i="29"/>
  <c r="I29" i="29"/>
  <c r="I25" i="29"/>
  <c r="I21" i="29"/>
  <c r="I17" i="29"/>
  <c r="I13" i="29"/>
  <c r="G3" i="7" l="1"/>
  <c r="C3" i="7"/>
  <c r="A3" i="7"/>
  <c r="C15" i="5"/>
  <c r="D15" i="5"/>
  <c r="E15" i="5"/>
  <c r="F15" i="5"/>
  <c r="G15" i="5"/>
  <c r="H15" i="5"/>
  <c r="I15" i="5"/>
  <c r="J15" i="5"/>
  <c r="K15" i="5"/>
  <c r="B15" i="5"/>
  <c r="C14" i="5"/>
  <c r="D14" i="5"/>
  <c r="E14" i="5"/>
  <c r="F14" i="5"/>
  <c r="G14" i="5"/>
  <c r="H14" i="5"/>
  <c r="I14" i="5"/>
  <c r="J14" i="5"/>
  <c r="K14" i="5"/>
  <c r="C13" i="5"/>
  <c r="D13" i="5"/>
  <c r="E13" i="5"/>
  <c r="G13" i="5"/>
  <c r="H13" i="5"/>
  <c r="I13" i="5"/>
  <c r="J13" i="5"/>
  <c r="K13" i="5"/>
  <c r="B13" i="5"/>
  <c r="B14" i="5"/>
  <c r="S300" i="1"/>
  <c r="S301" i="1"/>
  <c r="S303" i="1"/>
  <c r="S302" i="1"/>
  <c r="S304" i="1"/>
  <c r="S305" i="1"/>
  <c r="S306" i="1"/>
  <c r="S307" i="1"/>
  <c r="S309" i="1"/>
  <c r="S308" i="1"/>
  <c r="S310" i="1"/>
  <c r="S311" i="1"/>
  <c r="S312" i="1"/>
  <c r="S314" i="1"/>
  <c r="S313" i="1"/>
  <c r="S316" i="1"/>
  <c r="S318" i="1"/>
  <c r="S319" i="1"/>
  <c r="S320" i="1"/>
  <c r="S321" i="1"/>
  <c r="S322" i="1"/>
  <c r="S323" i="1"/>
  <c r="S324" i="1"/>
  <c r="S325" i="1"/>
  <c r="T357" i="1"/>
  <c r="T358" i="1"/>
  <c r="S357" i="1"/>
  <c r="S358" i="1"/>
  <c r="M14" i="5" l="1"/>
  <c r="M13" i="5"/>
  <c r="L15" i="5"/>
  <c r="M15" i="5"/>
  <c r="L14" i="5"/>
  <c r="K22" i="5" l="1"/>
  <c r="G22" i="5"/>
  <c r="C22" i="5"/>
  <c r="J22" i="5"/>
  <c r="B22" i="5"/>
  <c r="H22" i="5"/>
  <c r="D22" i="5"/>
  <c r="I22" i="5"/>
  <c r="E22" i="5"/>
  <c r="T327" i="1" l="1"/>
  <c r="T326" i="1"/>
  <c r="S327" i="1"/>
  <c r="S326" i="1"/>
  <c r="M317" i="1"/>
  <c r="S317" i="1" s="1"/>
  <c r="M315" i="1"/>
  <c r="C5" i="47"/>
  <c r="C4" i="47"/>
  <c r="B4" i="5"/>
  <c r="R376" i="43"/>
  <c r="R370" i="43"/>
  <c r="R367" i="43"/>
  <c r="R358" i="43"/>
  <c r="R355" i="43"/>
  <c r="R351" i="43"/>
  <c r="R348" i="43"/>
  <c r="R342" i="43"/>
  <c r="R339" i="43"/>
  <c r="R335" i="43"/>
  <c r="R333" i="43"/>
  <c r="R331" i="43"/>
  <c r="R326" i="43"/>
  <c r="R325" i="43"/>
  <c r="R319" i="43"/>
  <c r="R306" i="43"/>
  <c r="C9" i="43"/>
  <c r="D9" i="43"/>
  <c r="E9" i="43"/>
  <c r="F9" i="43"/>
  <c r="G9" i="43"/>
  <c r="H9" i="43"/>
  <c r="I9" i="43"/>
  <c r="J9" i="43"/>
  <c r="K9" i="43"/>
  <c r="L9" i="43"/>
  <c r="M9" i="43"/>
  <c r="N9" i="43"/>
  <c r="O9" i="43"/>
  <c r="P9" i="43"/>
  <c r="B9" i="43"/>
  <c r="D9" i="28"/>
  <c r="C9" i="28"/>
  <c r="R306" i="28"/>
  <c r="R325" i="28"/>
  <c r="R326" i="28"/>
  <c r="R330" i="28"/>
  <c r="R331" i="28"/>
  <c r="R333" i="28"/>
  <c r="R342" i="28"/>
  <c r="R358" i="28"/>
  <c r="R367" i="28"/>
  <c r="R370" i="28"/>
  <c r="R376" i="28"/>
  <c r="E9" i="28"/>
  <c r="F9" i="28"/>
  <c r="G9" i="28"/>
  <c r="H9" i="28"/>
  <c r="I9" i="28"/>
  <c r="J9" i="28"/>
  <c r="K9" i="28"/>
  <c r="L9" i="28"/>
  <c r="M9" i="28"/>
  <c r="N9" i="28"/>
  <c r="O9" i="28"/>
  <c r="P9" i="28"/>
  <c r="G215" i="42"/>
  <c r="G9" i="42"/>
  <c r="G10" i="42"/>
  <c r="G11" i="42"/>
  <c r="G12" i="42"/>
  <c r="G13" i="42"/>
  <c r="G14" i="42"/>
  <c r="G15" i="42"/>
  <c r="G16" i="42"/>
  <c r="G17" i="42"/>
  <c r="G18" i="42"/>
  <c r="G19" i="42"/>
  <c r="G20" i="42"/>
  <c r="G21" i="42"/>
  <c r="G22" i="42"/>
  <c r="G23" i="42"/>
  <c r="G24" i="42"/>
  <c r="G25" i="42"/>
  <c r="G26" i="42"/>
  <c r="G27" i="42"/>
  <c r="G28" i="42"/>
  <c r="G29" i="42"/>
  <c r="G30" i="42"/>
  <c r="G31" i="42"/>
  <c r="G32" i="42"/>
  <c r="G33" i="42"/>
  <c r="G34" i="42"/>
  <c r="G35" i="42"/>
  <c r="G36" i="42"/>
  <c r="G37" i="42"/>
  <c r="G38" i="42"/>
  <c r="G39" i="42"/>
  <c r="G40" i="42"/>
  <c r="G41" i="42"/>
  <c r="G42" i="42"/>
  <c r="G43" i="42"/>
  <c r="G44" i="42"/>
  <c r="G45" i="42"/>
  <c r="G46" i="42"/>
  <c r="G47" i="42"/>
  <c r="G48" i="42"/>
  <c r="G49" i="42"/>
  <c r="G50" i="42"/>
  <c r="G51" i="42"/>
  <c r="G52" i="42"/>
  <c r="G53" i="42"/>
  <c r="G54" i="42"/>
  <c r="G55" i="42"/>
  <c r="G56" i="42"/>
  <c r="G57" i="42"/>
  <c r="G58" i="42"/>
  <c r="G59" i="42"/>
  <c r="G60" i="42"/>
  <c r="G61" i="42"/>
  <c r="G62" i="42"/>
  <c r="G63" i="42"/>
  <c r="G64" i="42"/>
  <c r="G65" i="42"/>
  <c r="G66" i="42"/>
  <c r="G67" i="42"/>
  <c r="G68" i="42"/>
  <c r="G69" i="42"/>
  <c r="G70" i="42"/>
  <c r="G71" i="42"/>
  <c r="G72" i="42"/>
  <c r="G73" i="42"/>
  <c r="G74" i="42"/>
  <c r="G75" i="42"/>
  <c r="G76" i="42"/>
  <c r="G77" i="42"/>
  <c r="G78" i="42"/>
  <c r="G79" i="42"/>
  <c r="G80" i="42"/>
  <c r="G81" i="42"/>
  <c r="G82" i="42"/>
  <c r="G83" i="42"/>
  <c r="G84" i="42"/>
  <c r="G85" i="42"/>
  <c r="G86" i="42"/>
  <c r="G87" i="42"/>
  <c r="G88" i="42"/>
  <c r="G89" i="42"/>
  <c r="G90" i="42"/>
  <c r="G91" i="42"/>
  <c r="G92" i="42"/>
  <c r="G93" i="42"/>
  <c r="G94" i="42"/>
  <c r="G95" i="42"/>
  <c r="G96" i="42"/>
  <c r="G97" i="42"/>
  <c r="G98" i="42"/>
  <c r="G99" i="42"/>
  <c r="G100" i="42"/>
  <c r="G101" i="42"/>
  <c r="G102" i="42"/>
  <c r="G103" i="42"/>
  <c r="G104" i="42"/>
  <c r="G105" i="42"/>
  <c r="G106" i="42"/>
  <c r="G107" i="42"/>
  <c r="G108" i="42"/>
  <c r="G109" i="42"/>
  <c r="G110" i="42"/>
  <c r="G111" i="42"/>
  <c r="G112" i="42"/>
  <c r="G113" i="42"/>
  <c r="G114" i="42"/>
  <c r="G115" i="42"/>
  <c r="G116" i="42"/>
  <c r="G117" i="42"/>
  <c r="G118" i="42"/>
  <c r="G119" i="42"/>
  <c r="G120" i="42"/>
  <c r="G121" i="42"/>
  <c r="G122" i="42"/>
  <c r="G123" i="42"/>
  <c r="G124" i="42"/>
  <c r="G125" i="42"/>
  <c r="G126" i="42"/>
  <c r="G127" i="42"/>
  <c r="G128" i="42"/>
  <c r="G129" i="42"/>
  <c r="G130" i="42"/>
  <c r="G131" i="42"/>
  <c r="G132" i="42"/>
  <c r="G133" i="42"/>
  <c r="G134" i="42"/>
  <c r="G135" i="42"/>
  <c r="G136" i="42"/>
  <c r="G137" i="42"/>
  <c r="G138" i="42"/>
  <c r="G139" i="42"/>
  <c r="G140" i="42"/>
  <c r="G141" i="42"/>
  <c r="G142" i="42"/>
  <c r="G143" i="42"/>
  <c r="G144" i="42"/>
  <c r="G145" i="42"/>
  <c r="G146" i="42"/>
  <c r="G147" i="42"/>
  <c r="G148" i="42"/>
  <c r="G149" i="42"/>
  <c r="G150" i="42"/>
  <c r="G151" i="42"/>
  <c r="G152" i="42"/>
  <c r="G153" i="42"/>
  <c r="G154" i="42"/>
  <c r="G155" i="42"/>
  <c r="G156" i="42"/>
  <c r="G157" i="42"/>
  <c r="G158" i="42"/>
  <c r="G159" i="42"/>
  <c r="G160" i="42"/>
  <c r="G161" i="42"/>
  <c r="G162" i="42"/>
  <c r="G163" i="42"/>
  <c r="G164" i="42"/>
  <c r="G165" i="42"/>
  <c r="G166" i="42"/>
  <c r="G167" i="42"/>
  <c r="G168" i="42"/>
  <c r="G169" i="42"/>
  <c r="G170" i="42"/>
  <c r="G171" i="42"/>
  <c r="G172" i="42"/>
  <c r="G173" i="42"/>
  <c r="G174" i="42"/>
  <c r="G175" i="42"/>
  <c r="G176" i="42"/>
  <c r="G177" i="42"/>
  <c r="G178" i="42"/>
  <c r="G179" i="42"/>
  <c r="G180" i="42"/>
  <c r="G181" i="42"/>
  <c r="G182" i="42"/>
  <c r="G183" i="42"/>
  <c r="G184" i="42"/>
  <c r="G185" i="42"/>
  <c r="G186" i="42"/>
  <c r="G187" i="42"/>
  <c r="G188" i="42"/>
  <c r="G189" i="42"/>
  <c r="G190" i="42"/>
  <c r="G191" i="42"/>
  <c r="G192" i="42"/>
  <c r="G193" i="42"/>
  <c r="G194" i="42"/>
  <c r="G195" i="42"/>
  <c r="G196" i="42"/>
  <c r="G197" i="42"/>
  <c r="G198" i="42"/>
  <c r="G199" i="42"/>
  <c r="G200" i="42"/>
  <c r="G201" i="42"/>
  <c r="G202" i="42"/>
  <c r="G203" i="42"/>
  <c r="G204" i="42"/>
  <c r="G205" i="42"/>
  <c r="G206" i="42"/>
  <c r="G207" i="42"/>
  <c r="G208" i="42"/>
  <c r="G209" i="42"/>
  <c r="G210" i="42"/>
  <c r="G211" i="42"/>
  <c r="G212" i="42"/>
  <c r="G213" i="42"/>
  <c r="G214" i="42"/>
  <c r="G300" i="42"/>
  <c r="G365" i="42"/>
  <c r="G369" i="42"/>
  <c r="G371" i="42"/>
  <c r="G372" i="42"/>
  <c r="G375" i="42"/>
  <c r="G382" i="42"/>
  <c r="G383" i="42"/>
  <c r="G385" i="42"/>
  <c r="G386" i="42"/>
  <c r="G388" i="42"/>
  <c r="G389" i="42"/>
  <c r="G391" i="42"/>
  <c r="G392" i="42"/>
  <c r="G398" i="42"/>
  <c r="G399" i="42"/>
  <c r="G402" i="42"/>
  <c r="G407" i="42"/>
  <c r="G411" i="42"/>
  <c r="G413" i="42"/>
  <c r="G414" i="42"/>
  <c r="G415" i="42"/>
  <c r="G416" i="42"/>
  <c r="G418" i="42"/>
  <c r="G419" i="42"/>
  <c r="G421" i="42"/>
  <c r="G423" i="42"/>
  <c r="G425" i="42"/>
  <c r="G428" i="42"/>
  <c r="G430" i="42"/>
  <c r="G431" i="42"/>
  <c r="G432" i="42"/>
  <c r="G433" i="42"/>
  <c r="G434" i="42"/>
  <c r="G435" i="42"/>
  <c r="G436" i="42"/>
  <c r="G437" i="42"/>
  <c r="G438" i="42"/>
  <c r="G439" i="42"/>
  <c r="G440" i="42"/>
  <c r="G441" i="42"/>
  <c r="G442" i="42"/>
  <c r="G443" i="42"/>
  <c r="G444" i="42"/>
  <c r="G445" i="42"/>
  <c r="G446" i="42"/>
  <c r="G447" i="42"/>
  <c r="G448" i="42"/>
  <c r="G449" i="42"/>
  <c r="G450" i="42"/>
  <c r="G451" i="42"/>
  <c r="G452" i="42"/>
  <c r="G453" i="42"/>
  <c r="G454" i="42"/>
  <c r="G455" i="42"/>
  <c r="G456" i="42"/>
  <c r="G457" i="42"/>
  <c r="G458" i="42"/>
  <c r="G459" i="42"/>
  <c r="G460" i="42"/>
  <c r="G461" i="42"/>
  <c r="G462" i="42"/>
  <c r="G463" i="42"/>
  <c r="G464" i="42"/>
  <c r="G465" i="42"/>
  <c r="G466" i="42"/>
  <c r="G467" i="42"/>
  <c r="G468" i="42"/>
  <c r="G469" i="42"/>
  <c r="G470" i="42"/>
  <c r="G471" i="42"/>
  <c r="G472" i="42"/>
  <c r="G473" i="42"/>
  <c r="G474" i="42"/>
  <c r="G475" i="42"/>
  <c r="G476" i="42"/>
  <c r="G477" i="42"/>
  <c r="G478" i="42"/>
  <c r="G479" i="42"/>
  <c r="G480" i="42"/>
  <c r="G481" i="42"/>
  <c r="G482" i="42"/>
  <c r="G483" i="42"/>
  <c r="G484" i="42"/>
  <c r="G485" i="42"/>
  <c r="G486" i="42"/>
  <c r="G487" i="42"/>
  <c r="G488" i="42"/>
  <c r="G489" i="42"/>
  <c r="G490" i="42"/>
  <c r="G491" i="42"/>
  <c r="G492" i="42"/>
  <c r="G493" i="42"/>
  <c r="G494" i="42"/>
  <c r="G495" i="42"/>
  <c r="G496" i="42"/>
  <c r="G497" i="42"/>
  <c r="G498" i="42"/>
  <c r="G499" i="42"/>
  <c r="G500" i="42"/>
  <c r="G501" i="42"/>
  <c r="G502" i="42"/>
  <c r="G503" i="42"/>
  <c r="G504" i="42"/>
  <c r="G505" i="42"/>
  <c r="G506" i="42"/>
  <c r="G507" i="42"/>
  <c r="G508" i="42"/>
  <c r="G509" i="42"/>
  <c r="G510" i="42"/>
  <c r="G511" i="42"/>
  <c r="G512" i="42"/>
  <c r="G513" i="42"/>
  <c r="G514" i="42"/>
  <c r="G515" i="42"/>
  <c r="G516" i="42"/>
  <c r="G517" i="42"/>
  <c r="G518" i="42"/>
  <c r="G519" i="42"/>
  <c r="G520" i="42"/>
  <c r="G521" i="42"/>
  <c r="G522" i="42"/>
  <c r="G523" i="42"/>
  <c r="G524" i="42"/>
  <c r="G525" i="42"/>
  <c r="G526" i="42"/>
  <c r="G527" i="42"/>
  <c r="G528" i="42"/>
  <c r="G529" i="42"/>
  <c r="G530" i="42"/>
  <c r="G531" i="42"/>
  <c r="G532" i="42"/>
  <c r="G533" i="42"/>
  <c r="G534" i="42"/>
  <c r="G535" i="42"/>
  <c r="G536" i="42"/>
  <c r="G537" i="42"/>
  <c r="G538" i="42"/>
  <c r="G539" i="42"/>
  <c r="G540" i="42"/>
  <c r="G541" i="42"/>
  <c r="G542" i="42"/>
  <c r="G543" i="42"/>
  <c r="G544" i="42"/>
  <c r="G545" i="42"/>
  <c r="G546" i="42"/>
  <c r="G547" i="42"/>
  <c r="G548" i="42"/>
  <c r="G549" i="42"/>
  <c r="G550" i="42"/>
  <c r="G551" i="42"/>
  <c r="G552" i="42"/>
  <c r="G553" i="42"/>
  <c r="G554" i="42"/>
  <c r="G555" i="42"/>
  <c r="G556" i="42"/>
  <c r="G557" i="42"/>
  <c r="G558" i="42"/>
  <c r="G559" i="42"/>
  <c r="G560" i="42"/>
  <c r="G561" i="42"/>
  <c r="G562" i="42"/>
  <c r="G563" i="42"/>
  <c r="G564" i="42"/>
  <c r="G565" i="42"/>
  <c r="G566" i="42"/>
  <c r="G567" i="42"/>
  <c r="G568" i="42"/>
  <c r="G569" i="42"/>
  <c r="G570" i="42"/>
  <c r="G571" i="42"/>
  <c r="G572" i="42"/>
  <c r="G573" i="42"/>
  <c r="G574" i="42"/>
  <c r="G575" i="42"/>
  <c r="G576" i="42"/>
  <c r="G577" i="42"/>
  <c r="G578" i="42"/>
  <c r="G579" i="42"/>
  <c r="G580" i="42"/>
  <c r="G581" i="42"/>
  <c r="G582" i="42"/>
  <c r="G583" i="42"/>
  <c r="G584" i="42"/>
  <c r="G585" i="42"/>
  <c r="G586" i="42"/>
  <c r="G587" i="42"/>
  <c r="G588" i="42"/>
  <c r="G589" i="42"/>
  <c r="G590" i="42"/>
  <c r="G591" i="42"/>
  <c r="G592" i="42"/>
  <c r="G593" i="42"/>
  <c r="G594" i="42"/>
  <c r="G595" i="42"/>
  <c r="G596" i="42"/>
  <c r="G597" i="42"/>
  <c r="G598" i="42"/>
  <c r="G599" i="42"/>
  <c r="G600" i="42"/>
  <c r="G601" i="42"/>
  <c r="G602" i="42"/>
  <c r="G603" i="42"/>
  <c r="G604" i="42"/>
  <c r="G605" i="42"/>
  <c r="G606" i="42"/>
  <c r="G607" i="42"/>
  <c r="G608" i="42"/>
  <c r="G609" i="42"/>
  <c r="G610" i="42"/>
  <c r="G611" i="42"/>
  <c r="G612" i="42"/>
  <c r="G613" i="42"/>
  <c r="G614" i="42"/>
  <c r="G615" i="42"/>
  <c r="G616" i="42"/>
  <c r="G617" i="42"/>
  <c r="G618" i="42"/>
  <c r="G619" i="42"/>
  <c r="G620" i="42"/>
  <c r="G621" i="42"/>
  <c r="G622" i="42"/>
  <c r="G623" i="42"/>
  <c r="G624" i="42"/>
  <c r="G625" i="42"/>
  <c r="G626" i="42"/>
  <c r="G627" i="42"/>
  <c r="G628" i="42"/>
  <c r="G629" i="42"/>
  <c r="G630" i="42"/>
  <c r="G631" i="42"/>
  <c r="G632" i="42"/>
  <c r="G633" i="42"/>
  <c r="G634" i="42"/>
  <c r="G635" i="42"/>
  <c r="G636" i="42"/>
  <c r="G637" i="42"/>
  <c r="G638" i="42"/>
  <c r="G639" i="42"/>
  <c r="G640" i="42"/>
  <c r="G641" i="42"/>
  <c r="G642" i="42"/>
  <c r="G643" i="42"/>
  <c r="G644" i="42"/>
  <c r="G645" i="42"/>
  <c r="G646" i="42"/>
  <c r="G647" i="42"/>
  <c r="G648" i="42"/>
  <c r="G649" i="42"/>
  <c r="G650" i="42"/>
  <c r="G651" i="42"/>
  <c r="G652" i="42"/>
  <c r="G653" i="42"/>
  <c r="G654" i="42"/>
  <c r="G655" i="42"/>
  <c r="G656" i="42"/>
  <c r="G657" i="42"/>
  <c r="G658" i="42"/>
  <c r="G659" i="42"/>
  <c r="G660" i="42"/>
  <c r="G661" i="42"/>
  <c r="G662" i="42"/>
  <c r="G663" i="42"/>
  <c r="G664" i="42"/>
  <c r="G665" i="42"/>
  <c r="G666" i="42"/>
  <c r="G667" i="42"/>
  <c r="G668" i="42"/>
  <c r="G669" i="42"/>
  <c r="G670" i="42"/>
  <c r="G671" i="42"/>
  <c r="G672" i="42"/>
  <c r="G673" i="42"/>
  <c r="G674" i="42"/>
  <c r="G675" i="42"/>
  <c r="G676" i="42"/>
  <c r="G677" i="42"/>
  <c r="G678" i="42"/>
  <c r="G679" i="42"/>
  <c r="G680" i="42"/>
  <c r="G681" i="42"/>
  <c r="G682" i="42"/>
  <c r="G683" i="42"/>
  <c r="G684" i="42"/>
  <c r="G685" i="42"/>
  <c r="G686" i="42"/>
  <c r="G687" i="42"/>
  <c r="G688" i="42"/>
  <c r="G689" i="42"/>
  <c r="G690" i="42"/>
  <c r="G691" i="42"/>
  <c r="G692" i="42"/>
  <c r="G693" i="42"/>
  <c r="G694" i="42"/>
  <c r="G695" i="42"/>
  <c r="G696" i="42"/>
  <c r="G697" i="42"/>
  <c r="G698" i="42"/>
  <c r="G699" i="42"/>
  <c r="G700" i="42"/>
  <c r="G701" i="42"/>
  <c r="G702" i="42"/>
  <c r="G703" i="42"/>
  <c r="G704" i="42"/>
  <c r="G705" i="42"/>
  <c r="G706" i="42"/>
  <c r="G707" i="42"/>
  <c r="G708" i="42"/>
  <c r="G709" i="42"/>
  <c r="G710" i="42"/>
  <c r="G711" i="42"/>
  <c r="G712" i="42"/>
  <c r="G713" i="42"/>
  <c r="G714" i="42"/>
  <c r="G715" i="42"/>
  <c r="G716" i="42"/>
  <c r="G717" i="42"/>
  <c r="G718" i="42"/>
  <c r="G719" i="42"/>
  <c r="G720" i="42"/>
  <c r="G721" i="42"/>
  <c r="G722" i="42"/>
  <c r="G723" i="42"/>
  <c r="G724" i="42"/>
  <c r="G725" i="42"/>
  <c r="G726" i="42"/>
  <c r="G727" i="42"/>
  <c r="G728" i="42"/>
  <c r="G729" i="42"/>
  <c r="G730" i="42"/>
  <c r="G731" i="42"/>
  <c r="G732" i="42"/>
  <c r="G733" i="42"/>
  <c r="G734" i="42"/>
  <c r="G735" i="42"/>
  <c r="G736" i="42"/>
  <c r="G737" i="42"/>
  <c r="G738" i="42"/>
  <c r="G739" i="42"/>
  <c r="G740" i="42"/>
  <c r="G741" i="42"/>
  <c r="G742" i="42"/>
  <c r="G743" i="42"/>
  <c r="G744" i="42"/>
  <c r="G745" i="42"/>
  <c r="G746" i="42"/>
  <c r="G747" i="42"/>
  <c r="G748" i="42"/>
  <c r="G749" i="42"/>
  <c r="G750" i="42"/>
  <c r="G751" i="42"/>
  <c r="G752" i="42"/>
  <c r="G753" i="42"/>
  <c r="G754" i="42"/>
  <c r="G755" i="42"/>
  <c r="G756" i="42"/>
  <c r="G757" i="42"/>
  <c r="G758" i="42"/>
  <c r="G759" i="42"/>
  <c r="G760" i="42"/>
  <c r="G761" i="42"/>
  <c r="G762" i="42"/>
  <c r="G763" i="42"/>
  <c r="G764" i="42"/>
  <c r="G765" i="42"/>
  <c r="G766" i="42"/>
  <c r="G767" i="42"/>
  <c r="G768" i="42"/>
  <c r="G769" i="42"/>
  <c r="G770" i="42"/>
  <c r="G771" i="42"/>
  <c r="G772" i="42"/>
  <c r="G773" i="42"/>
  <c r="G774" i="42"/>
  <c r="G775" i="42"/>
  <c r="G776" i="42"/>
  <c r="G777" i="42"/>
  <c r="G778" i="42"/>
  <c r="G779" i="42"/>
  <c r="G780" i="42"/>
  <c r="G781" i="42"/>
  <c r="G782" i="42"/>
  <c r="G783" i="42"/>
  <c r="G784" i="42"/>
  <c r="G785" i="42"/>
  <c r="G786" i="42"/>
  <c r="G787" i="42"/>
  <c r="G788" i="42"/>
  <c r="G789" i="42"/>
  <c r="G790" i="42"/>
  <c r="G791" i="42"/>
  <c r="G792" i="42"/>
  <c r="G793" i="42"/>
  <c r="G794" i="42"/>
  <c r="G795" i="42"/>
  <c r="G796" i="42"/>
  <c r="G797" i="42"/>
  <c r="G798" i="42"/>
  <c r="G799" i="42"/>
  <c r="G800" i="42"/>
  <c r="G801" i="42"/>
  <c r="G802" i="42"/>
  <c r="G803" i="42"/>
  <c r="G804" i="42"/>
  <c r="G805" i="42"/>
  <c r="G806" i="42"/>
  <c r="G807" i="42"/>
  <c r="G808" i="42"/>
  <c r="G809" i="42"/>
  <c r="G810" i="42"/>
  <c r="G811" i="42"/>
  <c r="G812" i="42"/>
  <c r="G813" i="42"/>
  <c r="G814" i="42"/>
  <c r="G815" i="42"/>
  <c r="G816" i="42"/>
  <c r="G817" i="42"/>
  <c r="G818" i="42"/>
  <c r="G819" i="42"/>
  <c r="G820" i="42"/>
  <c r="G821" i="42"/>
  <c r="G822" i="42"/>
  <c r="G823" i="42"/>
  <c r="G824" i="42"/>
  <c r="G825" i="42"/>
  <c r="G826" i="42"/>
  <c r="G827" i="42"/>
  <c r="G828" i="42"/>
  <c r="G829" i="42"/>
  <c r="G830" i="42"/>
  <c r="G831" i="42"/>
  <c r="G832" i="42"/>
  <c r="G833" i="42"/>
  <c r="G834" i="42"/>
  <c r="G835" i="42"/>
  <c r="G836" i="42"/>
  <c r="G837" i="42"/>
  <c r="G838" i="42"/>
  <c r="G839" i="42"/>
  <c r="G840" i="42"/>
  <c r="G841" i="42"/>
  <c r="G842" i="42"/>
  <c r="G843" i="42"/>
  <c r="G844" i="42"/>
  <c r="G845" i="42"/>
  <c r="G846" i="42"/>
  <c r="G847" i="42"/>
  <c r="G848" i="42"/>
  <c r="G849" i="42"/>
  <c r="G850" i="42"/>
  <c r="G851" i="42"/>
  <c r="G852" i="42"/>
  <c r="G853" i="42"/>
  <c r="G854" i="42"/>
  <c r="G855" i="42"/>
  <c r="G856" i="42"/>
  <c r="G857" i="42"/>
  <c r="G858" i="42"/>
  <c r="G859" i="42"/>
  <c r="G860" i="42"/>
  <c r="G861" i="42"/>
  <c r="G862" i="42"/>
  <c r="G863" i="42"/>
  <c r="G864" i="42"/>
  <c r="G865" i="42"/>
  <c r="G866" i="42"/>
  <c r="G867" i="42"/>
  <c r="G868" i="42"/>
  <c r="G869" i="42"/>
  <c r="G870" i="42"/>
  <c r="G871" i="42"/>
  <c r="G872" i="42"/>
  <c r="G873" i="42"/>
  <c r="G874" i="42"/>
  <c r="G875" i="42"/>
  <c r="G876" i="42"/>
  <c r="G877" i="42"/>
  <c r="G878" i="42"/>
  <c r="G879" i="42"/>
  <c r="G880" i="42"/>
  <c r="G881" i="42"/>
  <c r="G882" i="42"/>
  <c r="G883" i="42"/>
  <c r="G884" i="42"/>
  <c r="G885" i="42"/>
  <c r="G886" i="42"/>
  <c r="G887" i="42"/>
  <c r="G888" i="42"/>
  <c r="G889" i="42"/>
  <c r="G890" i="42"/>
  <c r="G891" i="42"/>
  <c r="G892" i="42"/>
  <c r="G893" i="42"/>
  <c r="G894" i="42"/>
  <c r="G895" i="42"/>
  <c r="G896" i="42"/>
  <c r="G897" i="42"/>
  <c r="G898" i="42"/>
  <c r="G899" i="42"/>
  <c r="G900" i="42"/>
  <c r="G901" i="42"/>
  <c r="G902" i="42"/>
  <c r="G903" i="42"/>
  <c r="G904" i="42"/>
  <c r="G905" i="42"/>
  <c r="G906" i="42"/>
  <c r="G907" i="42"/>
  <c r="G908" i="42"/>
  <c r="G909" i="42"/>
  <c r="G910" i="42"/>
  <c r="G911" i="42"/>
  <c r="G912" i="42"/>
  <c r="G913" i="42"/>
  <c r="G914" i="42"/>
  <c r="G915" i="42"/>
  <c r="G916" i="42"/>
  <c r="G917" i="42"/>
  <c r="G918" i="42"/>
  <c r="G919" i="42"/>
  <c r="G920" i="42"/>
  <c r="G921" i="42"/>
  <c r="G922" i="42"/>
  <c r="G923" i="42"/>
  <c r="G924" i="42"/>
  <c r="G925" i="42"/>
  <c r="G926" i="42"/>
  <c r="G927" i="42"/>
  <c r="G928" i="42"/>
  <c r="G929" i="42"/>
  <c r="G930" i="42"/>
  <c r="G931" i="42"/>
  <c r="G932" i="42"/>
  <c r="G933" i="42"/>
  <c r="G934" i="42"/>
  <c r="G935" i="42"/>
  <c r="G936" i="42"/>
  <c r="G937" i="42"/>
  <c r="G938" i="42"/>
  <c r="G939" i="42"/>
  <c r="G940" i="42"/>
  <c r="G941" i="42"/>
  <c r="G942" i="42"/>
  <c r="G943" i="42"/>
  <c r="G944" i="42"/>
  <c r="G945" i="42"/>
  <c r="G946" i="42"/>
  <c r="G947" i="42"/>
  <c r="G948" i="42"/>
  <c r="G949" i="42"/>
  <c r="G950" i="42"/>
  <c r="G951" i="42"/>
  <c r="G952" i="42"/>
  <c r="G953" i="42"/>
  <c r="G954" i="42"/>
  <c r="G955" i="42"/>
  <c r="G956" i="42"/>
  <c r="G957" i="42"/>
  <c r="G958" i="42"/>
  <c r="G959" i="42"/>
  <c r="G960" i="42"/>
  <c r="G961" i="42"/>
  <c r="C215" i="42"/>
  <c r="C9" i="42"/>
  <c r="C10" i="42"/>
  <c r="C11" i="42"/>
  <c r="C12" i="42"/>
  <c r="C13" i="42"/>
  <c r="C14" i="42"/>
  <c r="C15" i="42"/>
  <c r="C16" i="42"/>
  <c r="C17" i="42"/>
  <c r="C18" i="42"/>
  <c r="C19" i="42"/>
  <c r="C20" i="42"/>
  <c r="C21" i="42"/>
  <c r="C22" i="42"/>
  <c r="C23" i="42"/>
  <c r="C24" i="42"/>
  <c r="C25" i="42"/>
  <c r="C26" i="42"/>
  <c r="C27" i="42"/>
  <c r="C28" i="42"/>
  <c r="C29" i="42"/>
  <c r="C30" i="42"/>
  <c r="C31" i="42"/>
  <c r="C32" i="42"/>
  <c r="C33" i="42"/>
  <c r="C34" i="42"/>
  <c r="C35" i="42"/>
  <c r="C36" i="42"/>
  <c r="C37" i="42"/>
  <c r="C38" i="42"/>
  <c r="C39" i="42"/>
  <c r="C40" i="42"/>
  <c r="C41" i="42"/>
  <c r="C42" i="42"/>
  <c r="C43" i="42"/>
  <c r="C44" i="42"/>
  <c r="C45" i="42"/>
  <c r="C46" i="42"/>
  <c r="C47" i="42"/>
  <c r="C48" i="42"/>
  <c r="C49" i="42"/>
  <c r="C50" i="42"/>
  <c r="C51" i="42"/>
  <c r="C52" i="42"/>
  <c r="C53" i="42"/>
  <c r="C54" i="42"/>
  <c r="C55" i="42"/>
  <c r="C56" i="42"/>
  <c r="C57" i="42"/>
  <c r="C58" i="42"/>
  <c r="C59" i="42"/>
  <c r="C60" i="42"/>
  <c r="C61" i="42"/>
  <c r="C62" i="42"/>
  <c r="C63" i="42"/>
  <c r="C64" i="42"/>
  <c r="C65" i="42"/>
  <c r="C66" i="42"/>
  <c r="C67" i="42"/>
  <c r="C68" i="42"/>
  <c r="C69" i="42"/>
  <c r="C70" i="42"/>
  <c r="C71" i="42"/>
  <c r="C72" i="42"/>
  <c r="C73" i="42"/>
  <c r="C74" i="42"/>
  <c r="C75" i="42"/>
  <c r="C76" i="42"/>
  <c r="C77" i="42"/>
  <c r="C78" i="42"/>
  <c r="C79" i="42"/>
  <c r="C80" i="42"/>
  <c r="C81" i="42"/>
  <c r="C82" i="42"/>
  <c r="C83" i="42"/>
  <c r="C84" i="42"/>
  <c r="C85" i="42"/>
  <c r="C86" i="42"/>
  <c r="C87" i="42"/>
  <c r="C88" i="42"/>
  <c r="C89" i="42"/>
  <c r="C90" i="42"/>
  <c r="C91" i="42"/>
  <c r="C92" i="42"/>
  <c r="C93" i="42"/>
  <c r="C94" i="42"/>
  <c r="C95" i="42"/>
  <c r="C96" i="42"/>
  <c r="C97" i="42"/>
  <c r="C98" i="42"/>
  <c r="C99" i="42"/>
  <c r="C100" i="42"/>
  <c r="C101" i="42"/>
  <c r="C102" i="42"/>
  <c r="C103" i="42"/>
  <c r="C104" i="42"/>
  <c r="C105" i="42"/>
  <c r="C106" i="42"/>
  <c r="C107" i="42"/>
  <c r="C108" i="42"/>
  <c r="C109" i="42"/>
  <c r="C110" i="42"/>
  <c r="C111" i="42"/>
  <c r="C112" i="42"/>
  <c r="C113" i="42"/>
  <c r="C114" i="42"/>
  <c r="C115" i="42"/>
  <c r="C116" i="42"/>
  <c r="C117" i="42"/>
  <c r="C118" i="42"/>
  <c r="C119" i="42"/>
  <c r="C120" i="42"/>
  <c r="C121" i="42"/>
  <c r="C122" i="42"/>
  <c r="C123" i="42"/>
  <c r="C124" i="42"/>
  <c r="C125" i="42"/>
  <c r="C126" i="42"/>
  <c r="C127" i="42"/>
  <c r="C128" i="42"/>
  <c r="C129" i="42"/>
  <c r="C130" i="42"/>
  <c r="C131" i="42"/>
  <c r="C132" i="42"/>
  <c r="C133" i="42"/>
  <c r="C134" i="42"/>
  <c r="C135" i="42"/>
  <c r="C136" i="42"/>
  <c r="C137" i="42"/>
  <c r="C138" i="42"/>
  <c r="C139" i="42"/>
  <c r="C140" i="42"/>
  <c r="C141" i="42"/>
  <c r="C142" i="42"/>
  <c r="C143" i="42"/>
  <c r="C144" i="42"/>
  <c r="C145" i="42"/>
  <c r="C146" i="42"/>
  <c r="C147" i="42"/>
  <c r="C148" i="42"/>
  <c r="C149" i="42"/>
  <c r="C150" i="42"/>
  <c r="C151" i="42"/>
  <c r="C152" i="42"/>
  <c r="C153" i="42"/>
  <c r="C154" i="42"/>
  <c r="C155" i="42"/>
  <c r="C156" i="42"/>
  <c r="C157" i="42"/>
  <c r="C158" i="42"/>
  <c r="C159" i="42"/>
  <c r="C160" i="42"/>
  <c r="C161" i="42"/>
  <c r="C162" i="42"/>
  <c r="C163" i="42"/>
  <c r="C164" i="42"/>
  <c r="C165" i="42"/>
  <c r="C166" i="42"/>
  <c r="C167" i="42"/>
  <c r="C168" i="42"/>
  <c r="C169" i="42"/>
  <c r="C170" i="42"/>
  <c r="C171" i="42"/>
  <c r="C172" i="42"/>
  <c r="C173" i="42"/>
  <c r="C174" i="42"/>
  <c r="C175" i="42"/>
  <c r="C176" i="42"/>
  <c r="C177" i="42"/>
  <c r="C178" i="42"/>
  <c r="C179" i="42"/>
  <c r="C180" i="42"/>
  <c r="C181" i="42"/>
  <c r="C182" i="42"/>
  <c r="C183" i="42"/>
  <c r="C184" i="42"/>
  <c r="C185" i="42"/>
  <c r="C186" i="42"/>
  <c r="C187" i="42"/>
  <c r="C188" i="42"/>
  <c r="C189" i="42"/>
  <c r="C190" i="42"/>
  <c r="C191" i="42"/>
  <c r="C192" i="42"/>
  <c r="C193" i="42"/>
  <c r="C194" i="42"/>
  <c r="C195" i="42"/>
  <c r="C196" i="42"/>
  <c r="C197" i="42"/>
  <c r="C198" i="42"/>
  <c r="C199" i="42"/>
  <c r="C200" i="42"/>
  <c r="C201" i="42"/>
  <c r="C202" i="42"/>
  <c r="C203" i="42"/>
  <c r="C204" i="42"/>
  <c r="C205" i="42"/>
  <c r="C206" i="42"/>
  <c r="C207" i="42"/>
  <c r="C208" i="42"/>
  <c r="C209" i="42"/>
  <c r="C210" i="42"/>
  <c r="C211" i="42"/>
  <c r="C212" i="42"/>
  <c r="C213" i="42"/>
  <c r="C214" i="42"/>
  <c r="C300" i="42"/>
  <c r="I306" i="42"/>
  <c r="I319" i="42"/>
  <c r="I325" i="42"/>
  <c r="I326" i="42"/>
  <c r="I329" i="42"/>
  <c r="I330" i="42"/>
  <c r="I331" i="42"/>
  <c r="I333" i="42"/>
  <c r="I335" i="42"/>
  <c r="I339" i="42"/>
  <c r="I342" i="42"/>
  <c r="I348" i="42"/>
  <c r="I351" i="42"/>
  <c r="I355" i="42"/>
  <c r="I358" i="42"/>
  <c r="C365" i="42"/>
  <c r="I367" i="42"/>
  <c r="C369" i="42"/>
  <c r="I370" i="42"/>
  <c r="C371" i="42"/>
  <c r="C372" i="42"/>
  <c r="C375" i="42"/>
  <c r="I376" i="42"/>
  <c r="C382" i="42"/>
  <c r="C383" i="42"/>
  <c r="C385" i="42"/>
  <c r="C386" i="42"/>
  <c r="C388" i="42"/>
  <c r="C389" i="42"/>
  <c r="C391" i="42"/>
  <c r="C392" i="42"/>
  <c r="C398" i="42"/>
  <c r="C399" i="42"/>
  <c r="C402" i="42"/>
  <c r="C407" i="42"/>
  <c r="C411" i="42"/>
  <c r="C413" i="42"/>
  <c r="C414" i="42"/>
  <c r="C415" i="42"/>
  <c r="C416" i="42"/>
  <c r="C418" i="42"/>
  <c r="C419" i="42"/>
  <c r="C421" i="42"/>
  <c r="C423" i="42"/>
  <c r="C425" i="42"/>
  <c r="C428" i="42"/>
  <c r="C430" i="42"/>
  <c r="C431" i="42"/>
  <c r="C432" i="42"/>
  <c r="C433" i="42"/>
  <c r="C434" i="42"/>
  <c r="C435" i="42"/>
  <c r="C436" i="42"/>
  <c r="C437" i="42"/>
  <c r="C438" i="42"/>
  <c r="C439" i="42"/>
  <c r="C440" i="42"/>
  <c r="C441" i="42"/>
  <c r="C442" i="42"/>
  <c r="C443" i="42"/>
  <c r="C444" i="42"/>
  <c r="C445" i="42"/>
  <c r="C446" i="42"/>
  <c r="C447" i="42"/>
  <c r="C448" i="42"/>
  <c r="C449" i="42"/>
  <c r="C450" i="42"/>
  <c r="C451" i="42"/>
  <c r="C452" i="42"/>
  <c r="C453" i="42"/>
  <c r="C454" i="42"/>
  <c r="C455" i="42"/>
  <c r="C456" i="42"/>
  <c r="C457" i="42"/>
  <c r="C458" i="42"/>
  <c r="C459" i="42"/>
  <c r="C460" i="42"/>
  <c r="C461" i="42"/>
  <c r="C462" i="42"/>
  <c r="C463" i="42"/>
  <c r="C464" i="42"/>
  <c r="C465" i="42"/>
  <c r="C466" i="42"/>
  <c r="C467" i="42"/>
  <c r="C468" i="42"/>
  <c r="C469" i="42"/>
  <c r="C470" i="42"/>
  <c r="C471" i="42"/>
  <c r="C472" i="42"/>
  <c r="C473" i="42"/>
  <c r="C474" i="42"/>
  <c r="C475" i="42"/>
  <c r="C476" i="42"/>
  <c r="C477" i="42"/>
  <c r="C478" i="42"/>
  <c r="C479" i="42"/>
  <c r="C480" i="42"/>
  <c r="C481" i="42"/>
  <c r="C482" i="42"/>
  <c r="C483" i="42"/>
  <c r="C484" i="42"/>
  <c r="C485" i="42"/>
  <c r="C486" i="42"/>
  <c r="C487" i="42"/>
  <c r="C488" i="42"/>
  <c r="C489" i="42"/>
  <c r="C490" i="42"/>
  <c r="C491" i="42"/>
  <c r="C492" i="42"/>
  <c r="C493" i="42"/>
  <c r="C494" i="42"/>
  <c r="C495" i="42"/>
  <c r="C496" i="42"/>
  <c r="C497" i="42"/>
  <c r="C498" i="42"/>
  <c r="C499" i="42"/>
  <c r="C500" i="42"/>
  <c r="C501" i="42"/>
  <c r="C502" i="42"/>
  <c r="C503" i="42"/>
  <c r="C504" i="42"/>
  <c r="C505" i="42"/>
  <c r="C506" i="42"/>
  <c r="C507" i="42"/>
  <c r="C508" i="42"/>
  <c r="C509" i="42"/>
  <c r="C510" i="42"/>
  <c r="C511" i="42"/>
  <c r="C512" i="42"/>
  <c r="C513" i="42"/>
  <c r="C514" i="42"/>
  <c r="C515" i="42"/>
  <c r="C516" i="42"/>
  <c r="C517" i="42"/>
  <c r="C518" i="42"/>
  <c r="C519" i="42"/>
  <c r="C520" i="42"/>
  <c r="C521" i="42"/>
  <c r="C522" i="42"/>
  <c r="C523" i="42"/>
  <c r="C524" i="42"/>
  <c r="C525" i="42"/>
  <c r="C526" i="42"/>
  <c r="C527" i="42"/>
  <c r="C528" i="42"/>
  <c r="C529" i="42"/>
  <c r="C530" i="42"/>
  <c r="C531" i="42"/>
  <c r="C532" i="42"/>
  <c r="C533" i="42"/>
  <c r="C534" i="42"/>
  <c r="C535" i="42"/>
  <c r="C536" i="42"/>
  <c r="C537" i="42"/>
  <c r="C538" i="42"/>
  <c r="C539" i="42"/>
  <c r="C540" i="42"/>
  <c r="C541" i="42"/>
  <c r="C542" i="42"/>
  <c r="C543" i="42"/>
  <c r="C544" i="42"/>
  <c r="C545" i="42"/>
  <c r="C546" i="42"/>
  <c r="C547" i="42"/>
  <c r="C548" i="42"/>
  <c r="C549" i="42"/>
  <c r="C550" i="42"/>
  <c r="C551" i="42"/>
  <c r="C552" i="42"/>
  <c r="C553" i="42"/>
  <c r="C554" i="42"/>
  <c r="C555" i="42"/>
  <c r="C556" i="42"/>
  <c r="C557" i="42"/>
  <c r="C558" i="42"/>
  <c r="C559" i="42"/>
  <c r="C560" i="42"/>
  <c r="C561" i="42"/>
  <c r="C562" i="42"/>
  <c r="C563" i="42"/>
  <c r="C564" i="42"/>
  <c r="C565" i="42"/>
  <c r="C566" i="42"/>
  <c r="C567" i="42"/>
  <c r="C568" i="42"/>
  <c r="C569" i="42"/>
  <c r="C570" i="42"/>
  <c r="C571" i="42"/>
  <c r="C572" i="42"/>
  <c r="C573" i="42"/>
  <c r="C574" i="42"/>
  <c r="C575" i="42"/>
  <c r="C576" i="42"/>
  <c r="C577" i="42"/>
  <c r="C578" i="42"/>
  <c r="C579" i="42"/>
  <c r="C580" i="42"/>
  <c r="C581" i="42"/>
  <c r="C582" i="42"/>
  <c r="C583" i="42"/>
  <c r="C584" i="42"/>
  <c r="C585" i="42"/>
  <c r="C586" i="42"/>
  <c r="C587" i="42"/>
  <c r="C588" i="42"/>
  <c r="C589" i="42"/>
  <c r="C590" i="42"/>
  <c r="C591" i="42"/>
  <c r="C592" i="42"/>
  <c r="C593" i="42"/>
  <c r="C594" i="42"/>
  <c r="C595" i="42"/>
  <c r="C596" i="42"/>
  <c r="C597" i="42"/>
  <c r="C598" i="42"/>
  <c r="C599" i="42"/>
  <c r="C600" i="42"/>
  <c r="C601" i="42"/>
  <c r="C602" i="42"/>
  <c r="C603" i="42"/>
  <c r="C604" i="42"/>
  <c r="C605" i="42"/>
  <c r="C606" i="42"/>
  <c r="C607" i="42"/>
  <c r="C608" i="42"/>
  <c r="C609" i="42"/>
  <c r="C610" i="42"/>
  <c r="C611" i="42"/>
  <c r="C612" i="42"/>
  <c r="C613" i="42"/>
  <c r="C614" i="42"/>
  <c r="C615" i="42"/>
  <c r="C616" i="42"/>
  <c r="C617" i="42"/>
  <c r="C618" i="42"/>
  <c r="C619" i="42"/>
  <c r="C620" i="42"/>
  <c r="C621" i="42"/>
  <c r="C622" i="42"/>
  <c r="C623" i="42"/>
  <c r="C624" i="42"/>
  <c r="C625" i="42"/>
  <c r="C626" i="42"/>
  <c r="C627" i="42"/>
  <c r="C628" i="42"/>
  <c r="C629" i="42"/>
  <c r="C630" i="42"/>
  <c r="C631" i="42"/>
  <c r="C632" i="42"/>
  <c r="C633" i="42"/>
  <c r="C634" i="42"/>
  <c r="C635" i="42"/>
  <c r="C636" i="42"/>
  <c r="C637" i="42"/>
  <c r="C638" i="42"/>
  <c r="C639" i="42"/>
  <c r="C640" i="42"/>
  <c r="C641" i="42"/>
  <c r="C642" i="42"/>
  <c r="C643" i="42"/>
  <c r="C644" i="42"/>
  <c r="C645" i="42"/>
  <c r="C646" i="42"/>
  <c r="C647" i="42"/>
  <c r="C648" i="42"/>
  <c r="C649" i="42"/>
  <c r="C650" i="42"/>
  <c r="C651" i="42"/>
  <c r="C652" i="42"/>
  <c r="C653" i="42"/>
  <c r="C654" i="42"/>
  <c r="C655" i="42"/>
  <c r="C656" i="42"/>
  <c r="C657" i="42"/>
  <c r="C658" i="42"/>
  <c r="C659" i="42"/>
  <c r="C660" i="42"/>
  <c r="C661" i="42"/>
  <c r="C662" i="42"/>
  <c r="C663" i="42"/>
  <c r="C664" i="42"/>
  <c r="C665" i="42"/>
  <c r="C666" i="42"/>
  <c r="C667" i="42"/>
  <c r="C668" i="42"/>
  <c r="C669" i="42"/>
  <c r="C670" i="42"/>
  <c r="C671" i="42"/>
  <c r="C672" i="42"/>
  <c r="C673" i="42"/>
  <c r="C674" i="42"/>
  <c r="C675" i="42"/>
  <c r="C676" i="42"/>
  <c r="C677" i="42"/>
  <c r="C678" i="42"/>
  <c r="C679" i="42"/>
  <c r="C680" i="42"/>
  <c r="C681" i="42"/>
  <c r="C682" i="42"/>
  <c r="C683" i="42"/>
  <c r="C684" i="42"/>
  <c r="C685" i="42"/>
  <c r="C686" i="42"/>
  <c r="C687" i="42"/>
  <c r="C688" i="42"/>
  <c r="C689" i="42"/>
  <c r="C690" i="42"/>
  <c r="C691" i="42"/>
  <c r="C692" i="42"/>
  <c r="C693" i="42"/>
  <c r="C694" i="42"/>
  <c r="C695" i="42"/>
  <c r="C696" i="42"/>
  <c r="C697" i="42"/>
  <c r="C698" i="42"/>
  <c r="C699" i="42"/>
  <c r="C700" i="42"/>
  <c r="C701" i="42"/>
  <c r="C702" i="42"/>
  <c r="C703" i="42"/>
  <c r="C704" i="42"/>
  <c r="C705" i="42"/>
  <c r="C706" i="42"/>
  <c r="C707" i="42"/>
  <c r="C708" i="42"/>
  <c r="C709" i="42"/>
  <c r="C710" i="42"/>
  <c r="C711" i="42"/>
  <c r="C712" i="42"/>
  <c r="C713" i="42"/>
  <c r="C714" i="42"/>
  <c r="C715" i="42"/>
  <c r="C716" i="42"/>
  <c r="C717" i="42"/>
  <c r="C718" i="42"/>
  <c r="C719" i="42"/>
  <c r="C720" i="42"/>
  <c r="C721" i="42"/>
  <c r="C722" i="42"/>
  <c r="C723" i="42"/>
  <c r="C724" i="42"/>
  <c r="C725" i="42"/>
  <c r="C726" i="42"/>
  <c r="C727" i="42"/>
  <c r="C728" i="42"/>
  <c r="C729" i="42"/>
  <c r="C730" i="42"/>
  <c r="C731" i="42"/>
  <c r="C732" i="42"/>
  <c r="C733" i="42"/>
  <c r="C734" i="42"/>
  <c r="C735" i="42"/>
  <c r="C736" i="42"/>
  <c r="C737" i="42"/>
  <c r="C738" i="42"/>
  <c r="C739" i="42"/>
  <c r="C740" i="42"/>
  <c r="C741" i="42"/>
  <c r="C742" i="42"/>
  <c r="C743" i="42"/>
  <c r="C744" i="42"/>
  <c r="C745" i="42"/>
  <c r="C746" i="42"/>
  <c r="C747" i="42"/>
  <c r="C748" i="42"/>
  <c r="C749" i="42"/>
  <c r="C750" i="42"/>
  <c r="C751" i="42"/>
  <c r="C752" i="42"/>
  <c r="C753" i="42"/>
  <c r="C754" i="42"/>
  <c r="C755" i="42"/>
  <c r="C756" i="42"/>
  <c r="C757" i="42"/>
  <c r="C758" i="42"/>
  <c r="C759" i="42"/>
  <c r="C760" i="42"/>
  <c r="C761" i="42"/>
  <c r="C762" i="42"/>
  <c r="C763" i="42"/>
  <c r="C764" i="42"/>
  <c r="C765" i="42"/>
  <c r="C766" i="42"/>
  <c r="C767" i="42"/>
  <c r="C768" i="42"/>
  <c r="C769" i="42"/>
  <c r="C770" i="42"/>
  <c r="C771" i="42"/>
  <c r="C772" i="42"/>
  <c r="C773" i="42"/>
  <c r="C774" i="42"/>
  <c r="C775" i="42"/>
  <c r="C776" i="42"/>
  <c r="C777" i="42"/>
  <c r="C778" i="42"/>
  <c r="C779" i="42"/>
  <c r="C780" i="42"/>
  <c r="C781" i="42"/>
  <c r="C782" i="42"/>
  <c r="C783" i="42"/>
  <c r="C784" i="42"/>
  <c r="C785" i="42"/>
  <c r="C786" i="42"/>
  <c r="C787" i="42"/>
  <c r="C788" i="42"/>
  <c r="C789" i="42"/>
  <c r="C790" i="42"/>
  <c r="C791" i="42"/>
  <c r="C792" i="42"/>
  <c r="C793" i="42"/>
  <c r="C794" i="42"/>
  <c r="C795" i="42"/>
  <c r="C796" i="42"/>
  <c r="C797" i="42"/>
  <c r="C798" i="42"/>
  <c r="C799" i="42"/>
  <c r="C800" i="42"/>
  <c r="C801" i="42"/>
  <c r="C802" i="42"/>
  <c r="C803" i="42"/>
  <c r="C804" i="42"/>
  <c r="C805" i="42"/>
  <c r="C806" i="42"/>
  <c r="C807" i="42"/>
  <c r="C808" i="42"/>
  <c r="C809" i="42"/>
  <c r="C810" i="42"/>
  <c r="C811" i="42"/>
  <c r="C812" i="42"/>
  <c r="C813" i="42"/>
  <c r="C814" i="42"/>
  <c r="C815" i="42"/>
  <c r="C816" i="42"/>
  <c r="C817" i="42"/>
  <c r="C818" i="42"/>
  <c r="C819" i="42"/>
  <c r="C820" i="42"/>
  <c r="C821" i="42"/>
  <c r="C822" i="42"/>
  <c r="C823" i="42"/>
  <c r="C824" i="42"/>
  <c r="C825" i="42"/>
  <c r="C826" i="42"/>
  <c r="C827" i="42"/>
  <c r="C828" i="42"/>
  <c r="C829" i="42"/>
  <c r="C830" i="42"/>
  <c r="C831" i="42"/>
  <c r="C832" i="42"/>
  <c r="C833" i="42"/>
  <c r="C834" i="42"/>
  <c r="C835" i="42"/>
  <c r="C836" i="42"/>
  <c r="C837" i="42"/>
  <c r="C838" i="42"/>
  <c r="C839" i="42"/>
  <c r="C840" i="42"/>
  <c r="C841" i="42"/>
  <c r="C842" i="42"/>
  <c r="C843" i="42"/>
  <c r="C844" i="42"/>
  <c r="C845" i="42"/>
  <c r="C846" i="42"/>
  <c r="C847" i="42"/>
  <c r="C848" i="42"/>
  <c r="C849" i="42"/>
  <c r="C850" i="42"/>
  <c r="C851" i="42"/>
  <c r="C852" i="42"/>
  <c r="C853" i="42"/>
  <c r="C854" i="42"/>
  <c r="C855" i="42"/>
  <c r="C856" i="42"/>
  <c r="C857" i="42"/>
  <c r="C858" i="42"/>
  <c r="C859" i="42"/>
  <c r="C860" i="42"/>
  <c r="C861" i="42"/>
  <c r="C862" i="42"/>
  <c r="C863" i="42"/>
  <c r="C864" i="42"/>
  <c r="C865" i="42"/>
  <c r="C866" i="42"/>
  <c r="C867" i="42"/>
  <c r="C868" i="42"/>
  <c r="C869" i="42"/>
  <c r="C870" i="42"/>
  <c r="C871" i="42"/>
  <c r="C872" i="42"/>
  <c r="C873" i="42"/>
  <c r="C874" i="42"/>
  <c r="C875" i="42"/>
  <c r="C876" i="42"/>
  <c r="C877" i="42"/>
  <c r="C878" i="42"/>
  <c r="C879" i="42"/>
  <c r="C880" i="42"/>
  <c r="C881" i="42"/>
  <c r="C882" i="42"/>
  <c r="C883" i="42"/>
  <c r="C884" i="42"/>
  <c r="C885" i="42"/>
  <c r="C886" i="42"/>
  <c r="C887" i="42"/>
  <c r="C888" i="42"/>
  <c r="C889" i="42"/>
  <c r="C890" i="42"/>
  <c r="C891" i="42"/>
  <c r="C892" i="42"/>
  <c r="C893" i="42"/>
  <c r="C894" i="42"/>
  <c r="C895" i="42"/>
  <c r="C896" i="42"/>
  <c r="C897" i="42"/>
  <c r="C898" i="42"/>
  <c r="C899" i="42"/>
  <c r="C900" i="42"/>
  <c r="C901" i="42"/>
  <c r="C902" i="42"/>
  <c r="C903" i="42"/>
  <c r="C904" i="42"/>
  <c r="C905" i="42"/>
  <c r="C906" i="42"/>
  <c r="C907" i="42"/>
  <c r="C908" i="42"/>
  <c r="C909" i="42"/>
  <c r="C910" i="42"/>
  <c r="C911" i="42"/>
  <c r="C912" i="42"/>
  <c r="C913" i="42"/>
  <c r="C914" i="42"/>
  <c r="C915" i="42"/>
  <c r="C916" i="42"/>
  <c r="C917" i="42"/>
  <c r="C918" i="42"/>
  <c r="C919" i="42"/>
  <c r="C920" i="42"/>
  <c r="C921" i="42"/>
  <c r="C922" i="42"/>
  <c r="C923" i="42"/>
  <c r="C924" i="42"/>
  <c r="C925" i="42"/>
  <c r="C926" i="42"/>
  <c r="C927" i="42"/>
  <c r="C928" i="42"/>
  <c r="C929" i="42"/>
  <c r="C930" i="42"/>
  <c r="C931" i="42"/>
  <c r="C932" i="42"/>
  <c r="C933" i="42"/>
  <c r="C934" i="42"/>
  <c r="C935" i="42"/>
  <c r="C936" i="42"/>
  <c r="C937" i="42"/>
  <c r="C938" i="42"/>
  <c r="C939" i="42"/>
  <c r="C940" i="42"/>
  <c r="C941" i="42"/>
  <c r="C942" i="42"/>
  <c r="C943" i="42"/>
  <c r="C944" i="42"/>
  <c r="C945" i="42"/>
  <c r="C946" i="42"/>
  <c r="C947" i="42"/>
  <c r="C948" i="42"/>
  <c r="C949" i="42"/>
  <c r="C950" i="42"/>
  <c r="C951" i="42"/>
  <c r="C952" i="42"/>
  <c r="C953" i="42"/>
  <c r="C954" i="42"/>
  <c r="C955" i="42"/>
  <c r="C956" i="42"/>
  <c r="C957" i="42"/>
  <c r="C958" i="42"/>
  <c r="C959" i="42"/>
  <c r="C960" i="42"/>
  <c r="C961" i="42"/>
  <c r="D215" i="42"/>
  <c r="D9" i="42"/>
  <c r="D10" i="42"/>
  <c r="D11" i="42"/>
  <c r="D12" i="42"/>
  <c r="D13" i="42"/>
  <c r="D14" i="42"/>
  <c r="D15" i="42"/>
  <c r="D16" i="42"/>
  <c r="D17" i="42"/>
  <c r="D18" i="42"/>
  <c r="D19" i="42"/>
  <c r="D20" i="42"/>
  <c r="D21" i="42"/>
  <c r="D22" i="42"/>
  <c r="D23" i="42"/>
  <c r="D24" i="42"/>
  <c r="D25" i="42"/>
  <c r="D26" i="42"/>
  <c r="D27" i="42"/>
  <c r="D28" i="42"/>
  <c r="D29" i="42"/>
  <c r="D30" i="42"/>
  <c r="D31" i="42"/>
  <c r="D32" i="42"/>
  <c r="D33" i="42"/>
  <c r="D34" i="42"/>
  <c r="D35" i="42"/>
  <c r="D36" i="42"/>
  <c r="D37" i="42"/>
  <c r="D38" i="42"/>
  <c r="D39" i="42"/>
  <c r="D40" i="42"/>
  <c r="D41" i="42"/>
  <c r="D42" i="42"/>
  <c r="D43" i="42"/>
  <c r="D44" i="42"/>
  <c r="D45" i="42"/>
  <c r="D46" i="42"/>
  <c r="D47" i="42"/>
  <c r="D48" i="42"/>
  <c r="D49" i="42"/>
  <c r="D50" i="42"/>
  <c r="D51" i="42"/>
  <c r="D52" i="42"/>
  <c r="D53" i="42"/>
  <c r="D54" i="42"/>
  <c r="D55" i="42"/>
  <c r="D56" i="42"/>
  <c r="D57" i="42"/>
  <c r="D58" i="42"/>
  <c r="D59" i="42"/>
  <c r="D60" i="42"/>
  <c r="D61" i="42"/>
  <c r="D62" i="42"/>
  <c r="D63" i="42"/>
  <c r="D64" i="42"/>
  <c r="D65" i="42"/>
  <c r="D66" i="42"/>
  <c r="D67" i="42"/>
  <c r="D68" i="42"/>
  <c r="D69" i="42"/>
  <c r="D70" i="42"/>
  <c r="D71" i="42"/>
  <c r="D72" i="42"/>
  <c r="D73" i="42"/>
  <c r="D74" i="42"/>
  <c r="D75" i="42"/>
  <c r="D76" i="42"/>
  <c r="D77" i="42"/>
  <c r="D78" i="42"/>
  <c r="D79" i="42"/>
  <c r="D80" i="42"/>
  <c r="D81" i="42"/>
  <c r="D82" i="42"/>
  <c r="D83" i="42"/>
  <c r="D84" i="42"/>
  <c r="D85" i="42"/>
  <c r="D86" i="42"/>
  <c r="D87" i="42"/>
  <c r="D88" i="42"/>
  <c r="D89" i="42"/>
  <c r="D90" i="42"/>
  <c r="D91" i="42"/>
  <c r="D92" i="42"/>
  <c r="D93" i="42"/>
  <c r="D94" i="42"/>
  <c r="D95" i="42"/>
  <c r="D96" i="42"/>
  <c r="D97" i="42"/>
  <c r="D98" i="42"/>
  <c r="D99" i="42"/>
  <c r="D100" i="42"/>
  <c r="D101" i="42"/>
  <c r="D102" i="42"/>
  <c r="D103" i="42"/>
  <c r="D104" i="42"/>
  <c r="D105" i="42"/>
  <c r="D106" i="42"/>
  <c r="D107" i="42"/>
  <c r="D108" i="42"/>
  <c r="D109" i="42"/>
  <c r="D110" i="42"/>
  <c r="D111" i="42"/>
  <c r="D112" i="42"/>
  <c r="D113" i="42"/>
  <c r="D114" i="42"/>
  <c r="D115" i="42"/>
  <c r="D116" i="42"/>
  <c r="D117" i="42"/>
  <c r="D118" i="42"/>
  <c r="D119" i="42"/>
  <c r="D120" i="42"/>
  <c r="D121" i="42"/>
  <c r="D122" i="42"/>
  <c r="D123" i="42"/>
  <c r="D124" i="42"/>
  <c r="D125" i="42"/>
  <c r="D126" i="42"/>
  <c r="D127" i="42"/>
  <c r="D128" i="42"/>
  <c r="D129" i="42"/>
  <c r="D130" i="42"/>
  <c r="D131" i="42"/>
  <c r="D132" i="42"/>
  <c r="D133" i="42"/>
  <c r="D134" i="42"/>
  <c r="D135" i="42"/>
  <c r="D136" i="42"/>
  <c r="D137" i="42"/>
  <c r="D138" i="42"/>
  <c r="D139" i="42"/>
  <c r="D140" i="42"/>
  <c r="D141" i="42"/>
  <c r="D142" i="42"/>
  <c r="D143" i="42"/>
  <c r="D144" i="42"/>
  <c r="D145" i="42"/>
  <c r="D146" i="42"/>
  <c r="D147" i="42"/>
  <c r="D148" i="42"/>
  <c r="D149" i="42"/>
  <c r="D150" i="42"/>
  <c r="D151" i="42"/>
  <c r="D152" i="42"/>
  <c r="D153" i="42"/>
  <c r="D154" i="42"/>
  <c r="D155" i="42"/>
  <c r="D156" i="42"/>
  <c r="D157" i="42"/>
  <c r="D158" i="42"/>
  <c r="D159" i="42"/>
  <c r="D160" i="42"/>
  <c r="D161" i="42"/>
  <c r="D162" i="42"/>
  <c r="D163" i="42"/>
  <c r="D164" i="42"/>
  <c r="D165" i="42"/>
  <c r="D166" i="42"/>
  <c r="D167" i="42"/>
  <c r="D168" i="42"/>
  <c r="D169" i="42"/>
  <c r="D170" i="42"/>
  <c r="D171" i="42"/>
  <c r="D172" i="42"/>
  <c r="D173" i="42"/>
  <c r="D174" i="42"/>
  <c r="D175" i="42"/>
  <c r="D176" i="42"/>
  <c r="D177" i="42"/>
  <c r="D178" i="42"/>
  <c r="D179" i="42"/>
  <c r="D180" i="42"/>
  <c r="D181" i="42"/>
  <c r="D182" i="42"/>
  <c r="D183" i="42"/>
  <c r="D184" i="42"/>
  <c r="D185" i="42"/>
  <c r="D186" i="42"/>
  <c r="D187" i="42"/>
  <c r="D188" i="42"/>
  <c r="D189" i="42"/>
  <c r="D190" i="42"/>
  <c r="D191" i="42"/>
  <c r="D192" i="42"/>
  <c r="D193" i="42"/>
  <c r="D194" i="42"/>
  <c r="D195" i="42"/>
  <c r="D196" i="42"/>
  <c r="D197" i="42"/>
  <c r="D198" i="42"/>
  <c r="D199" i="42"/>
  <c r="D200" i="42"/>
  <c r="D201" i="42"/>
  <c r="D202" i="42"/>
  <c r="D203" i="42"/>
  <c r="D204" i="42"/>
  <c r="D205" i="42"/>
  <c r="D206" i="42"/>
  <c r="D207" i="42"/>
  <c r="D208" i="42"/>
  <c r="D209" i="42"/>
  <c r="D210" i="42"/>
  <c r="D211" i="42"/>
  <c r="D212" i="42"/>
  <c r="D213" i="42"/>
  <c r="D214" i="42"/>
  <c r="D300" i="42"/>
  <c r="D365" i="42"/>
  <c r="D369" i="42"/>
  <c r="D371" i="42"/>
  <c r="D372" i="42"/>
  <c r="D375" i="42"/>
  <c r="D382" i="42"/>
  <c r="D383" i="42"/>
  <c r="D385" i="42"/>
  <c r="D386" i="42"/>
  <c r="D388" i="42"/>
  <c r="D389" i="42"/>
  <c r="D391" i="42"/>
  <c r="D392" i="42"/>
  <c r="D398" i="42"/>
  <c r="D399" i="42"/>
  <c r="D402" i="42"/>
  <c r="D407" i="42"/>
  <c r="D411" i="42"/>
  <c r="D413" i="42"/>
  <c r="D414" i="42"/>
  <c r="D415" i="42"/>
  <c r="D416" i="42"/>
  <c r="D418" i="42"/>
  <c r="D419" i="42"/>
  <c r="D421" i="42"/>
  <c r="D423" i="42"/>
  <c r="D425" i="42"/>
  <c r="D428" i="42"/>
  <c r="D430" i="42"/>
  <c r="D431" i="42"/>
  <c r="D432" i="42"/>
  <c r="D433" i="42"/>
  <c r="D434" i="42"/>
  <c r="D435" i="42"/>
  <c r="D436" i="42"/>
  <c r="D437" i="42"/>
  <c r="D438" i="42"/>
  <c r="D439" i="42"/>
  <c r="D440" i="42"/>
  <c r="D441" i="42"/>
  <c r="D442" i="42"/>
  <c r="D443" i="42"/>
  <c r="D444" i="42"/>
  <c r="D445" i="42"/>
  <c r="D446" i="42"/>
  <c r="D447" i="42"/>
  <c r="D448" i="42"/>
  <c r="D449" i="42"/>
  <c r="D450" i="42"/>
  <c r="D451" i="42"/>
  <c r="D452" i="42"/>
  <c r="D453" i="42"/>
  <c r="D454" i="42"/>
  <c r="D455" i="42"/>
  <c r="D456" i="42"/>
  <c r="D457" i="42"/>
  <c r="D458" i="42"/>
  <c r="D459" i="42"/>
  <c r="D460" i="42"/>
  <c r="D461" i="42"/>
  <c r="D462" i="42"/>
  <c r="D463" i="42"/>
  <c r="D464" i="42"/>
  <c r="D465" i="42"/>
  <c r="D466" i="42"/>
  <c r="D467" i="42"/>
  <c r="D468" i="42"/>
  <c r="D469" i="42"/>
  <c r="D470" i="42"/>
  <c r="D471" i="42"/>
  <c r="D472" i="42"/>
  <c r="D473" i="42"/>
  <c r="D474" i="42"/>
  <c r="D475" i="42"/>
  <c r="D476" i="42"/>
  <c r="D477" i="42"/>
  <c r="D478" i="42"/>
  <c r="D479" i="42"/>
  <c r="D480" i="42"/>
  <c r="D481" i="42"/>
  <c r="D482" i="42"/>
  <c r="D483" i="42"/>
  <c r="D484" i="42"/>
  <c r="D485" i="42"/>
  <c r="D486" i="42"/>
  <c r="D487" i="42"/>
  <c r="D488" i="42"/>
  <c r="D489" i="42"/>
  <c r="D490" i="42"/>
  <c r="D491" i="42"/>
  <c r="D492" i="42"/>
  <c r="D493" i="42"/>
  <c r="D494" i="42"/>
  <c r="D495" i="42"/>
  <c r="D496" i="42"/>
  <c r="D497" i="42"/>
  <c r="D498" i="42"/>
  <c r="D499" i="42"/>
  <c r="D500" i="42"/>
  <c r="D501" i="42"/>
  <c r="D502" i="42"/>
  <c r="D503" i="42"/>
  <c r="D504" i="42"/>
  <c r="D505" i="42"/>
  <c r="D506" i="42"/>
  <c r="D507" i="42"/>
  <c r="D508" i="42"/>
  <c r="D509" i="42"/>
  <c r="D510" i="42"/>
  <c r="D511" i="42"/>
  <c r="D512" i="42"/>
  <c r="D513" i="42"/>
  <c r="D514" i="42"/>
  <c r="D515" i="42"/>
  <c r="D516" i="42"/>
  <c r="D517" i="42"/>
  <c r="D518" i="42"/>
  <c r="D519" i="42"/>
  <c r="D520" i="42"/>
  <c r="D521" i="42"/>
  <c r="D522" i="42"/>
  <c r="D523" i="42"/>
  <c r="D524" i="42"/>
  <c r="D525" i="42"/>
  <c r="D526" i="42"/>
  <c r="D527" i="42"/>
  <c r="D528" i="42"/>
  <c r="D529" i="42"/>
  <c r="D530" i="42"/>
  <c r="D531" i="42"/>
  <c r="D532" i="42"/>
  <c r="D533" i="42"/>
  <c r="D534" i="42"/>
  <c r="D535" i="42"/>
  <c r="D536" i="42"/>
  <c r="D537" i="42"/>
  <c r="D538" i="42"/>
  <c r="D539" i="42"/>
  <c r="D540" i="42"/>
  <c r="D541" i="42"/>
  <c r="D542" i="42"/>
  <c r="D543" i="42"/>
  <c r="D544" i="42"/>
  <c r="D545" i="42"/>
  <c r="D546" i="42"/>
  <c r="D547" i="42"/>
  <c r="D548" i="42"/>
  <c r="D549" i="42"/>
  <c r="D550" i="42"/>
  <c r="D551" i="42"/>
  <c r="D552" i="42"/>
  <c r="D553" i="42"/>
  <c r="D554" i="42"/>
  <c r="D555" i="42"/>
  <c r="D556" i="42"/>
  <c r="D557" i="42"/>
  <c r="D558" i="42"/>
  <c r="D559" i="42"/>
  <c r="D560" i="42"/>
  <c r="D561" i="42"/>
  <c r="D562" i="42"/>
  <c r="D563" i="42"/>
  <c r="D564" i="42"/>
  <c r="D565" i="42"/>
  <c r="D566" i="42"/>
  <c r="D567" i="42"/>
  <c r="D568" i="42"/>
  <c r="D569" i="42"/>
  <c r="D570" i="42"/>
  <c r="D571" i="42"/>
  <c r="D572" i="42"/>
  <c r="D573" i="42"/>
  <c r="D574" i="42"/>
  <c r="D575" i="42"/>
  <c r="D576" i="42"/>
  <c r="D577" i="42"/>
  <c r="D578" i="42"/>
  <c r="D579" i="42"/>
  <c r="D580" i="42"/>
  <c r="D581" i="42"/>
  <c r="D582" i="42"/>
  <c r="D583" i="42"/>
  <c r="D584" i="42"/>
  <c r="D585" i="42"/>
  <c r="D586" i="42"/>
  <c r="D587" i="42"/>
  <c r="D588" i="42"/>
  <c r="D589" i="42"/>
  <c r="D590" i="42"/>
  <c r="D591" i="42"/>
  <c r="D592" i="42"/>
  <c r="D593" i="42"/>
  <c r="D594" i="42"/>
  <c r="D595" i="42"/>
  <c r="D596" i="42"/>
  <c r="D597" i="42"/>
  <c r="D598" i="42"/>
  <c r="D599" i="42"/>
  <c r="D600" i="42"/>
  <c r="D601" i="42"/>
  <c r="D602" i="42"/>
  <c r="D603" i="42"/>
  <c r="D604" i="42"/>
  <c r="D605" i="42"/>
  <c r="D606" i="42"/>
  <c r="D607" i="42"/>
  <c r="D608" i="42"/>
  <c r="D609" i="42"/>
  <c r="D610" i="42"/>
  <c r="D611" i="42"/>
  <c r="D612" i="42"/>
  <c r="D613" i="42"/>
  <c r="D614" i="42"/>
  <c r="D615" i="42"/>
  <c r="D616" i="42"/>
  <c r="D617" i="42"/>
  <c r="D618" i="42"/>
  <c r="D619" i="42"/>
  <c r="D620" i="42"/>
  <c r="D621" i="42"/>
  <c r="D622" i="42"/>
  <c r="D623" i="42"/>
  <c r="D624" i="42"/>
  <c r="D625" i="42"/>
  <c r="D626" i="42"/>
  <c r="D627" i="42"/>
  <c r="D628" i="42"/>
  <c r="D629" i="42"/>
  <c r="D630" i="42"/>
  <c r="D631" i="42"/>
  <c r="D632" i="42"/>
  <c r="D633" i="42"/>
  <c r="D634" i="42"/>
  <c r="D635" i="42"/>
  <c r="D636" i="42"/>
  <c r="D637" i="42"/>
  <c r="D638" i="42"/>
  <c r="D639" i="42"/>
  <c r="D640" i="42"/>
  <c r="D641" i="42"/>
  <c r="D642" i="42"/>
  <c r="D643" i="42"/>
  <c r="D644" i="42"/>
  <c r="D645" i="42"/>
  <c r="D646" i="42"/>
  <c r="D647" i="42"/>
  <c r="D648" i="42"/>
  <c r="D649" i="42"/>
  <c r="D650" i="42"/>
  <c r="D651" i="42"/>
  <c r="D652" i="42"/>
  <c r="D653" i="42"/>
  <c r="D654" i="42"/>
  <c r="D655" i="42"/>
  <c r="D656" i="42"/>
  <c r="D657" i="42"/>
  <c r="D658" i="42"/>
  <c r="D659" i="42"/>
  <c r="D660" i="42"/>
  <c r="D661" i="42"/>
  <c r="D662" i="42"/>
  <c r="D663" i="42"/>
  <c r="D664" i="42"/>
  <c r="D665" i="42"/>
  <c r="D666" i="42"/>
  <c r="D667" i="42"/>
  <c r="D668" i="42"/>
  <c r="D669" i="42"/>
  <c r="D670" i="42"/>
  <c r="D671" i="42"/>
  <c r="D672" i="42"/>
  <c r="D673" i="42"/>
  <c r="D674" i="42"/>
  <c r="D675" i="42"/>
  <c r="D676" i="42"/>
  <c r="D677" i="42"/>
  <c r="D678" i="42"/>
  <c r="D679" i="42"/>
  <c r="D680" i="42"/>
  <c r="D681" i="42"/>
  <c r="D682" i="42"/>
  <c r="D683" i="42"/>
  <c r="D684" i="42"/>
  <c r="D685" i="42"/>
  <c r="D686" i="42"/>
  <c r="D687" i="42"/>
  <c r="D688" i="42"/>
  <c r="D689" i="42"/>
  <c r="D690" i="42"/>
  <c r="D691" i="42"/>
  <c r="D692" i="42"/>
  <c r="D693" i="42"/>
  <c r="D694" i="42"/>
  <c r="D695" i="42"/>
  <c r="D696" i="42"/>
  <c r="D697" i="42"/>
  <c r="D698" i="42"/>
  <c r="D699" i="42"/>
  <c r="D700" i="42"/>
  <c r="D701" i="42"/>
  <c r="D702" i="42"/>
  <c r="D703" i="42"/>
  <c r="D704" i="42"/>
  <c r="D705" i="42"/>
  <c r="D706" i="42"/>
  <c r="D707" i="42"/>
  <c r="D708" i="42"/>
  <c r="D709" i="42"/>
  <c r="D710" i="42"/>
  <c r="D711" i="42"/>
  <c r="D712" i="42"/>
  <c r="D713" i="42"/>
  <c r="D714" i="42"/>
  <c r="D715" i="42"/>
  <c r="D716" i="42"/>
  <c r="D717" i="42"/>
  <c r="D718" i="42"/>
  <c r="D719" i="42"/>
  <c r="D720" i="42"/>
  <c r="D721" i="42"/>
  <c r="D722" i="42"/>
  <c r="D723" i="42"/>
  <c r="D724" i="42"/>
  <c r="D725" i="42"/>
  <c r="D726" i="42"/>
  <c r="D727" i="42"/>
  <c r="D728" i="42"/>
  <c r="D729" i="42"/>
  <c r="D730" i="42"/>
  <c r="D731" i="42"/>
  <c r="D732" i="42"/>
  <c r="D733" i="42"/>
  <c r="D734" i="42"/>
  <c r="D735" i="42"/>
  <c r="D736" i="42"/>
  <c r="D737" i="42"/>
  <c r="D738" i="42"/>
  <c r="D739" i="42"/>
  <c r="D740" i="42"/>
  <c r="D741" i="42"/>
  <c r="D742" i="42"/>
  <c r="D743" i="42"/>
  <c r="D744" i="42"/>
  <c r="D745" i="42"/>
  <c r="D746" i="42"/>
  <c r="D747" i="42"/>
  <c r="D748" i="42"/>
  <c r="D749" i="42"/>
  <c r="D750" i="42"/>
  <c r="D751" i="42"/>
  <c r="D752" i="42"/>
  <c r="D753" i="42"/>
  <c r="D754" i="42"/>
  <c r="D755" i="42"/>
  <c r="D756" i="42"/>
  <c r="D757" i="42"/>
  <c r="D758" i="42"/>
  <c r="D759" i="42"/>
  <c r="D760" i="42"/>
  <c r="D761" i="42"/>
  <c r="D762" i="42"/>
  <c r="D763" i="42"/>
  <c r="D764" i="42"/>
  <c r="D765" i="42"/>
  <c r="D766" i="42"/>
  <c r="D767" i="42"/>
  <c r="D768" i="42"/>
  <c r="D769" i="42"/>
  <c r="D770" i="42"/>
  <c r="D771" i="42"/>
  <c r="D772" i="42"/>
  <c r="D773" i="42"/>
  <c r="D774" i="42"/>
  <c r="D775" i="42"/>
  <c r="D776" i="42"/>
  <c r="D777" i="42"/>
  <c r="D778" i="42"/>
  <c r="D779" i="42"/>
  <c r="D780" i="42"/>
  <c r="D781" i="42"/>
  <c r="D782" i="42"/>
  <c r="D783" i="42"/>
  <c r="D784" i="42"/>
  <c r="D785" i="42"/>
  <c r="D786" i="42"/>
  <c r="D787" i="42"/>
  <c r="D788" i="42"/>
  <c r="D789" i="42"/>
  <c r="D790" i="42"/>
  <c r="D791" i="42"/>
  <c r="D792" i="42"/>
  <c r="D793" i="42"/>
  <c r="D794" i="42"/>
  <c r="D795" i="42"/>
  <c r="D796" i="42"/>
  <c r="D797" i="42"/>
  <c r="D798" i="42"/>
  <c r="D799" i="42"/>
  <c r="D800" i="42"/>
  <c r="D801" i="42"/>
  <c r="D802" i="42"/>
  <c r="D803" i="42"/>
  <c r="D804" i="42"/>
  <c r="D805" i="42"/>
  <c r="D806" i="42"/>
  <c r="D807" i="42"/>
  <c r="D808" i="42"/>
  <c r="D809" i="42"/>
  <c r="D810" i="42"/>
  <c r="D811" i="42"/>
  <c r="D812" i="42"/>
  <c r="D813" i="42"/>
  <c r="D814" i="42"/>
  <c r="D815" i="42"/>
  <c r="D816" i="42"/>
  <c r="D817" i="42"/>
  <c r="D818" i="42"/>
  <c r="D819" i="42"/>
  <c r="D820" i="42"/>
  <c r="D821" i="42"/>
  <c r="D822" i="42"/>
  <c r="D823" i="42"/>
  <c r="D824" i="42"/>
  <c r="D825" i="42"/>
  <c r="D826" i="42"/>
  <c r="D827" i="42"/>
  <c r="D828" i="42"/>
  <c r="D829" i="42"/>
  <c r="D830" i="42"/>
  <c r="D831" i="42"/>
  <c r="D832" i="42"/>
  <c r="D833" i="42"/>
  <c r="D834" i="42"/>
  <c r="D835" i="42"/>
  <c r="D836" i="42"/>
  <c r="D837" i="42"/>
  <c r="D838" i="42"/>
  <c r="D839" i="42"/>
  <c r="D840" i="42"/>
  <c r="D841" i="42"/>
  <c r="D842" i="42"/>
  <c r="D843" i="42"/>
  <c r="D844" i="42"/>
  <c r="D845" i="42"/>
  <c r="D846" i="42"/>
  <c r="D847" i="42"/>
  <c r="D848" i="42"/>
  <c r="D849" i="42"/>
  <c r="D850" i="42"/>
  <c r="D851" i="42"/>
  <c r="D852" i="42"/>
  <c r="D853" i="42"/>
  <c r="D854" i="42"/>
  <c r="D855" i="42"/>
  <c r="D856" i="42"/>
  <c r="D857" i="42"/>
  <c r="D858" i="42"/>
  <c r="D859" i="42"/>
  <c r="D860" i="42"/>
  <c r="D861" i="42"/>
  <c r="D862" i="42"/>
  <c r="D863" i="42"/>
  <c r="D864" i="42"/>
  <c r="D865" i="42"/>
  <c r="D866" i="42"/>
  <c r="D867" i="42"/>
  <c r="D868" i="42"/>
  <c r="D869" i="42"/>
  <c r="D870" i="42"/>
  <c r="D871" i="42"/>
  <c r="D872" i="42"/>
  <c r="D873" i="42"/>
  <c r="D874" i="42"/>
  <c r="D875" i="42"/>
  <c r="D876" i="42"/>
  <c r="D877" i="42"/>
  <c r="D878" i="42"/>
  <c r="D879" i="42"/>
  <c r="D880" i="42"/>
  <c r="D881" i="42"/>
  <c r="D882" i="42"/>
  <c r="D883" i="42"/>
  <c r="D884" i="42"/>
  <c r="D885" i="42"/>
  <c r="D886" i="42"/>
  <c r="D887" i="42"/>
  <c r="D888" i="42"/>
  <c r="D889" i="42"/>
  <c r="D890" i="42"/>
  <c r="D891" i="42"/>
  <c r="D892" i="42"/>
  <c r="D893" i="42"/>
  <c r="D894" i="42"/>
  <c r="D895" i="42"/>
  <c r="D896" i="42"/>
  <c r="D897" i="42"/>
  <c r="D898" i="42"/>
  <c r="D899" i="42"/>
  <c r="D900" i="42"/>
  <c r="D901" i="42"/>
  <c r="D902" i="42"/>
  <c r="D903" i="42"/>
  <c r="D904" i="42"/>
  <c r="D905" i="42"/>
  <c r="D906" i="42"/>
  <c r="D907" i="42"/>
  <c r="D908" i="42"/>
  <c r="D909" i="42"/>
  <c r="D910" i="42"/>
  <c r="D911" i="42"/>
  <c r="D912" i="42"/>
  <c r="D913" i="42"/>
  <c r="D914" i="42"/>
  <c r="D915" i="42"/>
  <c r="D916" i="42"/>
  <c r="D917" i="42"/>
  <c r="D918" i="42"/>
  <c r="D919" i="42"/>
  <c r="D920" i="42"/>
  <c r="D921" i="42"/>
  <c r="D922" i="42"/>
  <c r="D923" i="42"/>
  <c r="D924" i="42"/>
  <c r="D925" i="42"/>
  <c r="D926" i="42"/>
  <c r="D927" i="42"/>
  <c r="D928" i="42"/>
  <c r="D929" i="42"/>
  <c r="D930" i="42"/>
  <c r="D931" i="42"/>
  <c r="D932" i="42"/>
  <c r="D933" i="42"/>
  <c r="D934" i="42"/>
  <c r="D935" i="42"/>
  <c r="D936" i="42"/>
  <c r="D937" i="42"/>
  <c r="D938" i="42"/>
  <c r="D939" i="42"/>
  <c r="D940" i="42"/>
  <c r="D941" i="42"/>
  <c r="D942" i="42"/>
  <c r="D943" i="42"/>
  <c r="D944" i="42"/>
  <c r="D945" i="42"/>
  <c r="D946" i="42"/>
  <c r="D947" i="42"/>
  <c r="D948" i="42"/>
  <c r="D949" i="42"/>
  <c r="D950" i="42"/>
  <c r="D951" i="42"/>
  <c r="D952" i="42"/>
  <c r="D953" i="42"/>
  <c r="D954" i="42"/>
  <c r="D955" i="42"/>
  <c r="D956" i="42"/>
  <c r="D957" i="42"/>
  <c r="D958" i="42"/>
  <c r="D959" i="42"/>
  <c r="D960" i="42"/>
  <c r="D961" i="42"/>
  <c r="E215" i="42"/>
  <c r="E9" i="42"/>
  <c r="E10" i="42"/>
  <c r="E11" i="42"/>
  <c r="E12" i="42"/>
  <c r="E13" i="42"/>
  <c r="E14" i="42"/>
  <c r="E15" i="42"/>
  <c r="E16" i="42"/>
  <c r="E17" i="42"/>
  <c r="E18" i="42"/>
  <c r="E19" i="42"/>
  <c r="E20" i="42"/>
  <c r="E21" i="42"/>
  <c r="E22" i="42"/>
  <c r="E23" i="42"/>
  <c r="E24" i="42"/>
  <c r="E25" i="42"/>
  <c r="E26" i="42"/>
  <c r="E27" i="42"/>
  <c r="E28" i="42"/>
  <c r="E29" i="42"/>
  <c r="E30" i="42"/>
  <c r="E31" i="42"/>
  <c r="E32" i="42"/>
  <c r="E33" i="42"/>
  <c r="E34" i="42"/>
  <c r="E35" i="42"/>
  <c r="E36" i="42"/>
  <c r="E37" i="42"/>
  <c r="E38" i="42"/>
  <c r="E39" i="42"/>
  <c r="E40" i="42"/>
  <c r="E41" i="42"/>
  <c r="E42" i="42"/>
  <c r="E43" i="42"/>
  <c r="E44" i="42"/>
  <c r="E45" i="42"/>
  <c r="E46" i="42"/>
  <c r="E47" i="42"/>
  <c r="E48" i="42"/>
  <c r="E49" i="42"/>
  <c r="E50" i="42"/>
  <c r="E51" i="42"/>
  <c r="E52" i="42"/>
  <c r="E53" i="42"/>
  <c r="E54" i="42"/>
  <c r="E55" i="42"/>
  <c r="E56" i="42"/>
  <c r="E57" i="42"/>
  <c r="E58" i="42"/>
  <c r="E59" i="42"/>
  <c r="E60" i="42"/>
  <c r="E61" i="42"/>
  <c r="E62" i="42"/>
  <c r="E63" i="42"/>
  <c r="E64" i="42"/>
  <c r="E65" i="42"/>
  <c r="E66" i="42"/>
  <c r="E67" i="42"/>
  <c r="E68" i="42"/>
  <c r="E69" i="42"/>
  <c r="E70" i="42"/>
  <c r="E71" i="42"/>
  <c r="E72" i="42"/>
  <c r="E73" i="42"/>
  <c r="E74" i="42"/>
  <c r="E75" i="42"/>
  <c r="E76" i="42"/>
  <c r="E77" i="42"/>
  <c r="E78" i="42"/>
  <c r="E79" i="42"/>
  <c r="E80" i="42"/>
  <c r="E81" i="42"/>
  <c r="E82" i="42"/>
  <c r="E83" i="42"/>
  <c r="E84" i="42"/>
  <c r="E85" i="42"/>
  <c r="E86" i="42"/>
  <c r="E87" i="42"/>
  <c r="E88" i="42"/>
  <c r="E89" i="42"/>
  <c r="E90" i="42"/>
  <c r="E91" i="42"/>
  <c r="E92" i="42"/>
  <c r="E93" i="42"/>
  <c r="E94" i="42"/>
  <c r="E95" i="42"/>
  <c r="E96" i="42"/>
  <c r="E97" i="42"/>
  <c r="E98" i="42"/>
  <c r="E99" i="42"/>
  <c r="E100" i="42"/>
  <c r="E101" i="42"/>
  <c r="E102" i="42"/>
  <c r="E103" i="42"/>
  <c r="E104" i="42"/>
  <c r="E105" i="42"/>
  <c r="E106" i="42"/>
  <c r="E107" i="42"/>
  <c r="E108" i="42"/>
  <c r="E109" i="42"/>
  <c r="E110" i="42"/>
  <c r="E111" i="42"/>
  <c r="E112" i="42"/>
  <c r="E113" i="42"/>
  <c r="E114" i="42"/>
  <c r="E115" i="42"/>
  <c r="E116" i="42"/>
  <c r="E117" i="42"/>
  <c r="E118" i="42"/>
  <c r="E119" i="42"/>
  <c r="E120" i="42"/>
  <c r="E121" i="42"/>
  <c r="E122" i="42"/>
  <c r="E123" i="42"/>
  <c r="E124" i="42"/>
  <c r="E125" i="42"/>
  <c r="E126" i="42"/>
  <c r="E127" i="42"/>
  <c r="E128" i="42"/>
  <c r="E129" i="42"/>
  <c r="E130" i="42"/>
  <c r="E131" i="42"/>
  <c r="E132" i="42"/>
  <c r="E133" i="42"/>
  <c r="E134" i="42"/>
  <c r="E135" i="42"/>
  <c r="E136" i="42"/>
  <c r="E137" i="42"/>
  <c r="E138" i="42"/>
  <c r="E139" i="42"/>
  <c r="E140" i="42"/>
  <c r="E141" i="42"/>
  <c r="E142" i="42"/>
  <c r="E143" i="42"/>
  <c r="E144" i="42"/>
  <c r="E145" i="42"/>
  <c r="E146" i="42"/>
  <c r="E147" i="42"/>
  <c r="E148" i="42"/>
  <c r="E149" i="42"/>
  <c r="E150" i="42"/>
  <c r="E151" i="42"/>
  <c r="E152" i="42"/>
  <c r="E153" i="42"/>
  <c r="E154" i="42"/>
  <c r="E155" i="42"/>
  <c r="E156" i="42"/>
  <c r="E157" i="42"/>
  <c r="E158" i="42"/>
  <c r="E159" i="42"/>
  <c r="E160" i="42"/>
  <c r="E161" i="42"/>
  <c r="E162" i="42"/>
  <c r="E163" i="42"/>
  <c r="E164" i="42"/>
  <c r="E165" i="42"/>
  <c r="E166" i="42"/>
  <c r="E167" i="42"/>
  <c r="E168" i="42"/>
  <c r="E169" i="42"/>
  <c r="E170" i="42"/>
  <c r="E171" i="42"/>
  <c r="E172" i="42"/>
  <c r="E173" i="42"/>
  <c r="E174" i="42"/>
  <c r="E175" i="42"/>
  <c r="E176" i="42"/>
  <c r="E177" i="42"/>
  <c r="E178" i="42"/>
  <c r="E179" i="42"/>
  <c r="E180" i="42"/>
  <c r="E181" i="42"/>
  <c r="E182" i="42"/>
  <c r="E183" i="42"/>
  <c r="E184" i="42"/>
  <c r="E185" i="42"/>
  <c r="E186" i="42"/>
  <c r="E187" i="42"/>
  <c r="E188" i="42"/>
  <c r="E189" i="42"/>
  <c r="E190" i="42"/>
  <c r="E191" i="42"/>
  <c r="E192" i="42"/>
  <c r="E193" i="42"/>
  <c r="E194" i="42"/>
  <c r="E195" i="42"/>
  <c r="E196" i="42"/>
  <c r="E197" i="42"/>
  <c r="E198" i="42"/>
  <c r="E199" i="42"/>
  <c r="E200" i="42"/>
  <c r="E201" i="42"/>
  <c r="E202" i="42"/>
  <c r="E203" i="42"/>
  <c r="E204" i="42"/>
  <c r="E205" i="42"/>
  <c r="E206" i="42"/>
  <c r="E207" i="42"/>
  <c r="E208" i="42"/>
  <c r="E209" i="42"/>
  <c r="E210" i="42"/>
  <c r="E211" i="42"/>
  <c r="E212" i="42"/>
  <c r="E213" i="42"/>
  <c r="E214" i="42"/>
  <c r="E300" i="42"/>
  <c r="E365" i="42"/>
  <c r="E369" i="42"/>
  <c r="E371" i="42"/>
  <c r="E372" i="42"/>
  <c r="E375" i="42"/>
  <c r="E382" i="42"/>
  <c r="E383" i="42"/>
  <c r="E385" i="42"/>
  <c r="E386" i="42"/>
  <c r="E388" i="42"/>
  <c r="E389" i="42"/>
  <c r="E391" i="42"/>
  <c r="E392" i="42"/>
  <c r="E398" i="42"/>
  <c r="E399" i="42"/>
  <c r="E402" i="42"/>
  <c r="E407" i="42"/>
  <c r="E411" i="42"/>
  <c r="E413" i="42"/>
  <c r="E414" i="42"/>
  <c r="E415" i="42"/>
  <c r="E416" i="42"/>
  <c r="E418" i="42"/>
  <c r="E419" i="42"/>
  <c r="E421" i="42"/>
  <c r="E423" i="42"/>
  <c r="E425" i="42"/>
  <c r="E428" i="42"/>
  <c r="E430" i="42"/>
  <c r="E431" i="42"/>
  <c r="E432" i="42"/>
  <c r="E433" i="42"/>
  <c r="E434" i="42"/>
  <c r="E435" i="42"/>
  <c r="E436" i="42"/>
  <c r="E437" i="42"/>
  <c r="E438" i="42"/>
  <c r="E439" i="42"/>
  <c r="E440" i="42"/>
  <c r="E441" i="42"/>
  <c r="E442" i="42"/>
  <c r="E443" i="42"/>
  <c r="E444" i="42"/>
  <c r="E445" i="42"/>
  <c r="E446" i="42"/>
  <c r="E447" i="42"/>
  <c r="E448" i="42"/>
  <c r="E449" i="42"/>
  <c r="E450" i="42"/>
  <c r="E451" i="42"/>
  <c r="E452" i="42"/>
  <c r="E453" i="42"/>
  <c r="E454" i="42"/>
  <c r="E455" i="42"/>
  <c r="E456" i="42"/>
  <c r="E457" i="42"/>
  <c r="E458" i="42"/>
  <c r="E459" i="42"/>
  <c r="E460" i="42"/>
  <c r="E461" i="42"/>
  <c r="E462" i="42"/>
  <c r="E463" i="42"/>
  <c r="E464" i="42"/>
  <c r="E465" i="42"/>
  <c r="E466" i="42"/>
  <c r="E467" i="42"/>
  <c r="E468" i="42"/>
  <c r="E469" i="42"/>
  <c r="E470" i="42"/>
  <c r="E471" i="42"/>
  <c r="E472" i="42"/>
  <c r="E473" i="42"/>
  <c r="E474" i="42"/>
  <c r="E475" i="42"/>
  <c r="E476" i="42"/>
  <c r="E477" i="42"/>
  <c r="E478" i="42"/>
  <c r="E479" i="42"/>
  <c r="E480" i="42"/>
  <c r="E481" i="42"/>
  <c r="E482" i="42"/>
  <c r="E483" i="42"/>
  <c r="E484" i="42"/>
  <c r="E485" i="42"/>
  <c r="E486" i="42"/>
  <c r="E487" i="42"/>
  <c r="E488" i="42"/>
  <c r="E489" i="42"/>
  <c r="E490" i="42"/>
  <c r="E491" i="42"/>
  <c r="E492" i="42"/>
  <c r="E493" i="42"/>
  <c r="E494" i="42"/>
  <c r="E495" i="42"/>
  <c r="E496" i="42"/>
  <c r="E497" i="42"/>
  <c r="E498" i="42"/>
  <c r="E499" i="42"/>
  <c r="E500" i="42"/>
  <c r="E501" i="42"/>
  <c r="E502" i="42"/>
  <c r="E503" i="42"/>
  <c r="E504" i="42"/>
  <c r="E505" i="42"/>
  <c r="E506" i="42"/>
  <c r="E507" i="42"/>
  <c r="E508" i="42"/>
  <c r="E509" i="42"/>
  <c r="E510" i="42"/>
  <c r="E511" i="42"/>
  <c r="E512" i="42"/>
  <c r="E513" i="42"/>
  <c r="E514" i="42"/>
  <c r="E515" i="42"/>
  <c r="E516" i="42"/>
  <c r="E517" i="42"/>
  <c r="E518" i="42"/>
  <c r="E519" i="42"/>
  <c r="E520" i="42"/>
  <c r="E521" i="42"/>
  <c r="E522" i="42"/>
  <c r="E523" i="42"/>
  <c r="E524" i="42"/>
  <c r="E525" i="42"/>
  <c r="E526" i="42"/>
  <c r="E527" i="42"/>
  <c r="E528" i="42"/>
  <c r="E529" i="42"/>
  <c r="E530" i="42"/>
  <c r="E531" i="42"/>
  <c r="E532" i="42"/>
  <c r="E533" i="42"/>
  <c r="E534" i="42"/>
  <c r="E535" i="42"/>
  <c r="E536" i="42"/>
  <c r="E537" i="42"/>
  <c r="E538" i="42"/>
  <c r="E539" i="42"/>
  <c r="E540" i="42"/>
  <c r="E541" i="42"/>
  <c r="E542" i="42"/>
  <c r="E543" i="42"/>
  <c r="E544" i="42"/>
  <c r="E545" i="42"/>
  <c r="E546" i="42"/>
  <c r="E547" i="42"/>
  <c r="E548" i="42"/>
  <c r="E549" i="42"/>
  <c r="E550" i="42"/>
  <c r="E551" i="42"/>
  <c r="E552" i="42"/>
  <c r="E553" i="42"/>
  <c r="E554" i="42"/>
  <c r="E555" i="42"/>
  <c r="E556" i="42"/>
  <c r="E557" i="42"/>
  <c r="E558" i="42"/>
  <c r="E559" i="42"/>
  <c r="E560" i="42"/>
  <c r="E561" i="42"/>
  <c r="E562" i="42"/>
  <c r="E563" i="42"/>
  <c r="E564" i="42"/>
  <c r="E565" i="42"/>
  <c r="E566" i="42"/>
  <c r="E567" i="42"/>
  <c r="E568" i="42"/>
  <c r="E569" i="42"/>
  <c r="E570" i="42"/>
  <c r="E571" i="42"/>
  <c r="E572" i="42"/>
  <c r="E573" i="42"/>
  <c r="E574" i="42"/>
  <c r="E575" i="42"/>
  <c r="E576" i="42"/>
  <c r="E577" i="42"/>
  <c r="E578" i="42"/>
  <c r="E579" i="42"/>
  <c r="E580" i="42"/>
  <c r="E581" i="42"/>
  <c r="E582" i="42"/>
  <c r="E583" i="42"/>
  <c r="E584" i="42"/>
  <c r="E585" i="42"/>
  <c r="E586" i="42"/>
  <c r="E587" i="42"/>
  <c r="E588" i="42"/>
  <c r="E589" i="42"/>
  <c r="E590" i="42"/>
  <c r="E591" i="42"/>
  <c r="E592" i="42"/>
  <c r="E593" i="42"/>
  <c r="E594" i="42"/>
  <c r="E595" i="42"/>
  <c r="E596" i="42"/>
  <c r="E597" i="42"/>
  <c r="E598" i="42"/>
  <c r="E599" i="42"/>
  <c r="E600" i="42"/>
  <c r="E601" i="42"/>
  <c r="E602" i="42"/>
  <c r="E603" i="42"/>
  <c r="E604" i="42"/>
  <c r="E605" i="42"/>
  <c r="E606" i="42"/>
  <c r="E607" i="42"/>
  <c r="E608" i="42"/>
  <c r="E609" i="42"/>
  <c r="E610" i="42"/>
  <c r="E611" i="42"/>
  <c r="E612" i="42"/>
  <c r="E613" i="42"/>
  <c r="E614" i="42"/>
  <c r="E615" i="42"/>
  <c r="E616" i="42"/>
  <c r="E617" i="42"/>
  <c r="E618" i="42"/>
  <c r="E619" i="42"/>
  <c r="E620" i="42"/>
  <c r="E621" i="42"/>
  <c r="E622" i="42"/>
  <c r="E623" i="42"/>
  <c r="E624" i="42"/>
  <c r="E625" i="42"/>
  <c r="E626" i="42"/>
  <c r="E627" i="42"/>
  <c r="E628" i="42"/>
  <c r="E629" i="42"/>
  <c r="E630" i="42"/>
  <c r="E631" i="42"/>
  <c r="E632" i="42"/>
  <c r="E633" i="42"/>
  <c r="E634" i="42"/>
  <c r="E635" i="42"/>
  <c r="E636" i="42"/>
  <c r="E637" i="42"/>
  <c r="E638" i="42"/>
  <c r="E639" i="42"/>
  <c r="E640" i="42"/>
  <c r="E641" i="42"/>
  <c r="E642" i="42"/>
  <c r="E643" i="42"/>
  <c r="E644" i="42"/>
  <c r="E645" i="42"/>
  <c r="E646" i="42"/>
  <c r="E647" i="42"/>
  <c r="E648" i="42"/>
  <c r="E649" i="42"/>
  <c r="E650" i="42"/>
  <c r="E651" i="42"/>
  <c r="E652" i="42"/>
  <c r="E653" i="42"/>
  <c r="E654" i="42"/>
  <c r="E655" i="42"/>
  <c r="E656" i="42"/>
  <c r="E657" i="42"/>
  <c r="E658" i="42"/>
  <c r="E659" i="42"/>
  <c r="E660" i="42"/>
  <c r="E661" i="42"/>
  <c r="E662" i="42"/>
  <c r="E663" i="42"/>
  <c r="E664" i="42"/>
  <c r="E665" i="42"/>
  <c r="E666" i="42"/>
  <c r="E667" i="42"/>
  <c r="E668" i="42"/>
  <c r="E669" i="42"/>
  <c r="E670" i="42"/>
  <c r="E671" i="42"/>
  <c r="E672" i="42"/>
  <c r="E673" i="42"/>
  <c r="E674" i="42"/>
  <c r="E675" i="42"/>
  <c r="E676" i="42"/>
  <c r="E677" i="42"/>
  <c r="E678" i="42"/>
  <c r="E679" i="42"/>
  <c r="E680" i="42"/>
  <c r="E681" i="42"/>
  <c r="E682" i="42"/>
  <c r="E683" i="42"/>
  <c r="E684" i="42"/>
  <c r="E685" i="42"/>
  <c r="E686" i="42"/>
  <c r="E687" i="42"/>
  <c r="E688" i="42"/>
  <c r="E689" i="42"/>
  <c r="E690" i="42"/>
  <c r="E691" i="42"/>
  <c r="E692" i="42"/>
  <c r="E693" i="42"/>
  <c r="E694" i="42"/>
  <c r="E695" i="42"/>
  <c r="E696" i="42"/>
  <c r="E697" i="42"/>
  <c r="E698" i="42"/>
  <c r="E699" i="42"/>
  <c r="E700" i="42"/>
  <c r="E701" i="42"/>
  <c r="E702" i="42"/>
  <c r="E703" i="42"/>
  <c r="E704" i="42"/>
  <c r="E705" i="42"/>
  <c r="E706" i="42"/>
  <c r="E707" i="42"/>
  <c r="E708" i="42"/>
  <c r="E709" i="42"/>
  <c r="E710" i="42"/>
  <c r="E711" i="42"/>
  <c r="E712" i="42"/>
  <c r="E713" i="42"/>
  <c r="E714" i="42"/>
  <c r="E715" i="42"/>
  <c r="E716" i="42"/>
  <c r="E717" i="42"/>
  <c r="E718" i="42"/>
  <c r="E719" i="42"/>
  <c r="E720" i="42"/>
  <c r="E721" i="42"/>
  <c r="E722" i="42"/>
  <c r="E723" i="42"/>
  <c r="E724" i="42"/>
  <c r="E725" i="42"/>
  <c r="E726" i="42"/>
  <c r="E727" i="42"/>
  <c r="E728" i="42"/>
  <c r="E729" i="42"/>
  <c r="E730" i="42"/>
  <c r="E731" i="42"/>
  <c r="E732" i="42"/>
  <c r="E733" i="42"/>
  <c r="E734" i="42"/>
  <c r="E735" i="42"/>
  <c r="E736" i="42"/>
  <c r="E737" i="42"/>
  <c r="E738" i="42"/>
  <c r="E739" i="42"/>
  <c r="E740" i="42"/>
  <c r="E741" i="42"/>
  <c r="E742" i="42"/>
  <c r="E743" i="42"/>
  <c r="E744" i="42"/>
  <c r="E745" i="42"/>
  <c r="E746" i="42"/>
  <c r="E747" i="42"/>
  <c r="E748" i="42"/>
  <c r="E749" i="42"/>
  <c r="E750" i="42"/>
  <c r="E751" i="42"/>
  <c r="E752" i="42"/>
  <c r="E753" i="42"/>
  <c r="E754" i="42"/>
  <c r="E755" i="42"/>
  <c r="E756" i="42"/>
  <c r="E757" i="42"/>
  <c r="E758" i="42"/>
  <c r="E759" i="42"/>
  <c r="E760" i="42"/>
  <c r="E761" i="42"/>
  <c r="E762" i="42"/>
  <c r="E763" i="42"/>
  <c r="E764" i="42"/>
  <c r="E765" i="42"/>
  <c r="E766" i="42"/>
  <c r="E767" i="42"/>
  <c r="E768" i="42"/>
  <c r="E769" i="42"/>
  <c r="E770" i="42"/>
  <c r="E771" i="42"/>
  <c r="E772" i="42"/>
  <c r="E773" i="42"/>
  <c r="E774" i="42"/>
  <c r="E775" i="42"/>
  <c r="E776" i="42"/>
  <c r="E777" i="42"/>
  <c r="E778" i="42"/>
  <c r="E779" i="42"/>
  <c r="E780" i="42"/>
  <c r="E781" i="42"/>
  <c r="E782" i="42"/>
  <c r="E783" i="42"/>
  <c r="E784" i="42"/>
  <c r="E785" i="42"/>
  <c r="E786" i="42"/>
  <c r="E787" i="42"/>
  <c r="E788" i="42"/>
  <c r="E789" i="42"/>
  <c r="E790" i="42"/>
  <c r="E791" i="42"/>
  <c r="E792" i="42"/>
  <c r="E793" i="42"/>
  <c r="E794" i="42"/>
  <c r="E795" i="42"/>
  <c r="E796" i="42"/>
  <c r="E797" i="42"/>
  <c r="E798" i="42"/>
  <c r="E799" i="42"/>
  <c r="E800" i="42"/>
  <c r="E801" i="42"/>
  <c r="E802" i="42"/>
  <c r="E803" i="42"/>
  <c r="E804" i="42"/>
  <c r="E805" i="42"/>
  <c r="E806" i="42"/>
  <c r="E807" i="42"/>
  <c r="E808" i="42"/>
  <c r="E809" i="42"/>
  <c r="E810" i="42"/>
  <c r="E811" i="42"/>
  <c r="E812" i="42"/>
  <c r="E813" i="42"/>
  <c r="E814" i="42"/>
  <c r="E815" i="42"/>
  <c r="E816" i="42"/>
  <c r="E817" i="42"/>
  <c r="E818" i="42"/>
  <c r="E819" i="42"/>
  <c r="E820" i="42"/>
  <c r="E821" i="42"/>
  <c r="E822" i="42"/>
  <c r="E823" i="42"/>
  <c r="E824" i="42"/>
  <c r="E825" i="42"/>
  <c r="E826" i="42"/>
  <c r="E827" i="42"/>
  <c r="E828" i="42"/>
  <c r="E829" i="42"/>
  <c r="E830" i="42"/>
  <c r="E831" i="42"/>
  <c r="E832" i="42"/>
  <c r="E833" i="42"/>
  <c r="E834" i="42"/>
  <c r="E835" i="42"/>
  <c r="E836" i="42"/>
  <c r="E837" i="42"/>
  <c r="E838" i="42"/>
  <c r="E839" i="42"/>
  <c r="E840" i="42"/>
  <c r="E841" i="42"/>
  <c r="E842" i="42"/>
  <c r="E843" i="42"/>
  <c r="E844" i="42"/>
  <c r="E845" i="42"/>
  <c r="E846" i="42"/>
  <c r="E847" i="42"/>
  <c r="E848" i="42"/>
  <c r="E849" i="42"/>
  <c r="E850" i="42"/>
  <c r="E851" i="42"/>
  <c r="E852" i="42"/>
  <c r="E853" i="42"/>
  <c r="E854" i="42"/>
  <c r="E855" i="42"/>
  <c r="E856" i="42"/>
  <c r="E857" i="42"/>
  <c r="E858" i="42"/>
  <c r="E859" i="42"/>
  <c r="E860" i="42"/>
  <c r="E861" i="42"/>
  <c r="E862" i="42"/>
  <c r="E863" i="42"/>
  <c r="E864" i="42"/>
  <c r="E865" i="42"/>
  <c r="E866" i="42"/>
  <c r="E867" i="42"/>
  <c r="E868" i="42"/>
  <c r="E869" i="42"/>
  <c r="E870" i="42"/>
  <c r="E871" i="42"/>
  <c r="E872" i="42"/>
  <c r="E873" i="42"/>
  <c r="E874" i="42"/>
  <c r="E875" i="42"/>
  <c r="E876" i="42"/>
  <c r="E877" i="42"/>
  <c r="E878" i="42"/>
  <c r="E879" i="42"/>
  <c r="E880" i="42"/>
  <c r="E881" i="42"/>
  <c r="E882" i="42"/>
  <c r="E883" i="42"/>
  <c r="E884" i="42"/>
  <c r="E885" i="42"/>
  <c r="E886" i="42"/>
  <c r="E887" i="42"/>
  <c r="E888" i="42"/>
  <c r="E889" i="42"/>
  <c r="E890" i="42"/>
  <c r="E891" i="42"/>
  <c r="E892" i="42"/>
  <c r="E893" i="42"/>
  <c r="E894" i="42"/>
  <c r="E895" i="42"/>
  <c r="E896" i="42"/>
  <c r="E897" i="42"/>
  <c r="E898" i="42"/>
  <c r="E899" i="42"/>
  <c r="E900" i="42"/>
  <c r="E901" i="42"/>
  <c r="E902" i="42"/>
  <c r="E903" i="42"/>
  <c r="E904" i="42"/>
  <c r="E905" i="42"/>
  <c r="E906" i="42"/>
  <c r="E907" i="42"/>
  <c r="E908" i="42"/>
  <c r="E909" i="42"/>
  <c r="E910" i="42"/>
  <c r="E911" i="42"/>
  <c r="E912" i="42"/>
  <c r="E913" i="42"/>
  <c r="E914" i="42"/>
  <c r="E915" i="42"/>
  <c r="E916" i="42"/>
  <c r="E917" i="42"/>
  <c r="E918" i="42"/>
  <c r="E919" i="42"/>
  <c r="E920" i="42"/>
  <c r="E921" i="42"/>
  <c r="E922" i="42"/>
  <c r="E923" i="42"/>
  <c r="E924" i="42"/>
  <c r="E925" i="42"/>
  <c r="E926" i="42"/>
  <c r="E927" i="42"/>
  <c r="E928" i="42"/>
  <c r="E929" i="42"/>
  <c r="E930" i="42"/>
  <c r="E931" i="42"/>
  <c r="E932" i="42"/>
  <c r="E933" i="42"/>
  <c r="E934" i="42"/>
  <c r="E935" i="42"/>
  <c r="E936" i="42"/>
  <c r="E937" i="42"/>
  <c r="E938" i="42"/>
  <c r="E939" i="42"/>
  <c r="E940" i="42"/>
  <c r="E941" i="42"/>
  <c r="E942" i="42"/>
  <c r="E943" i="42"/>
  <c r="E944" i="42"/>
  <c r="E945" i="42"/>
  <c r="E946" i="42"/>
  <c r="E947" i="42"/>
  <c r="E948" i="42"/>
  <c r="E949" i="42"/>
  <c r="E950" i="42"/>
  <c r="E951" i="42"/>
  <c r="E952" i="42"/>
  <c r="E953" i="42"/>
  <c r="E954" i="42"/>
  <c r="E955" i="42"/>
  <c r="E956" i="42"/>
  <c r="E957" i="42"/>
  <c r="E958" i="42"/>
  <c r="E959" i="42"/>
  <c r="E960" i="42"/>
  <c r="E961" i="42"/>
  <c r="F215" i="42"/>
  <c r="F9" i="42"/>
  <c r="F10" i="42"/>
  <c r="F11" i="42"/>
  <c r="F12" i="42"/>
  <c r="F13" i="42"/>
  <c r="F14" i="42"/>
  <c r="F15" i="42"/>
  <c r="F16" i="42"/>
  <c r="F17" i="42"/>
  <c r="F18" i="42"/>
  <c r="F19" i="42"/>
  <c r="F20" i="42"/>
  <c r="F21" i="42"/>
  <c r="F22" i="42"/>
  <c r="F23" i="42"/>
  <c r="F24" i="42"/>
  <c r="F25" i="42"/>
  <c r="F26" i="42"/>
  <c r="F27" i="42"/>
  <c r="F28" i="42"/>
  <c r="F29" i="42"/>
  <c r="F30" i="42"/>
  <c r="F31" i="42"/>
  <c r="F32" i="42"/>
  <c r="F33" i="42"/>
  <c r="F34" i="42"/>
  <c r="F35" i="42"/>
  <c r="F36" i="42"/>
  <c r="F37" i="42"/>
  <c r="F38" i="42"/>
  <c r="F39" i="42"/>
  <c r="F40" i="42"/>
  <c r="F41" i="42"/>
  <c r="F42" i="42"/>
  <c r="F43" i="42"/>
  <c r="F44" i="42"/>
  <c r="F45" i="42"/>
  <c r="F46" i="42"/>
  <c r="F47" i="42"/>
  <c r="F48" i="42"/>
  <c r="F49" i="42"/>
  <c r="F50" i="42"/>
  <c r="F51" i="42"/>
  <c r="F52" i="42"/>
  <c r="F53" i="42"/>
  <c r="F54" i="42"/>
  <c r="F55" i="42"/>
  <c r="F56" i="42"/>
  <c r="F57" i="42"/>
  <c r="F58" i="42"/>
  <c r="F59" i="42"/>
  <c r="F60" i="42"/>
  <c r="F61" i="42"/>
  <c r="F62" i="42"/>
  <c r="F63" i="42"/>
  <c r="F64" i="42"/>
  <c r="F65" i="42"/>
  <c r="F66" i="42"/>
  <c r="F67" i="42"/>
  <c r="F68" i="42"/>
  <c r="F69" i="42"/>
  <c r="F70" i="42"/>
  <c r="F71" i="42"/>
  <c r="F72" i="42"/>
  <c r="F73" i="42"/>
  <c r="F74" i="42"/>
  <c r="F75" i="42"/>
  <c r="F76" i="42"/>
  <c r="F77" i="42"/>
  <c r="F78" i="42"/>
  <c r="F79" i="42"/>
  <c r="F80" i="42"/>
  <c r="F81" i="42"/>
  <c r="F82" i="42"/>
  <c r="F83" i="42"/>
  <c r="F84" i="42"/>
  <c r="F85" i="42"/>
  <c r="F86" i="42"/>
  <c r="F87" i="42"/>
  <c r="F88" i="42"/>
  <c r="F89" i="42"/>
  <c r="F90" i="42"/>
  <c r="F91" i="42"/>
  <c r="F92" i="42"/>
  <c r="F93" i="42"/>
  <c r="F94" i="42"/>
  <c r="F95" i="42"/>
  <c r="F96" i="42"/>
  <c r="F97" i="42"/>
  <c r="F98" i="42"/>
  <c r="F99" i="42"/>
  <c r="F100" i="42"/>
  <c r="F101" i="42"/>
  <c r="F102" i="42"/>
  <c r="F103" i="42"/>
  <c r="F104" i="42"/>
  <c r="F105" i="42"/>
  <c r="F106" i="42"/>
  <c r="F107" i="42"/>
  <c r="F108" i="42"/>
  <c r="F109" i="42"/>
  <c r="F110" i="42"/>
  <c r="F111" i="42"/>
  <c r="F112" i="42"/>
  <c r="F113" i="42"/>
  <c r="F114" i="42"/>
  <c r="F115" i="42"/>
  <c r="F116" i="42"/>
  <c r="F117" i="42"/>
  <c r="F118" i="42"/>
  <c r="F119" i="42"/>
  <c r="F120" i="42"/>
  <c r="F121" i="42"/>
  <c r="F122" i="42"/>
  <c r="F123" i="42"/>
  <c r="F124" i="42"/>
  <c r="F125" i="42"/>
  <c r="F126" i="42"/>
  <c r="F127" i="42"/>
  <c r="F128" i="42"/>
  <c r="F129" i="42"/>
  <c r="F130" i="42"/>
  <c r="F131" i="42"/>
  <c r="F132" i="42"/>
  <c r="F133" i="42"/>
  <c r="F134" i="42"/>
  <c r="F135" i="42"/>
  <c r="F136" i="42"/>
  <c r="F137" i="42"/>
  <c r="F138" i="42"/>
  <c r="F139" i="42"/>
  <c r="F140" i="42"/>
  <c r="F141" i="42"/>
  <c r="F142" i="42"/>
  <c r="F143" i="42"/>
  <c r="F144" i="42"/>
  <c r="F145" i="42"/>
  <c r="F146" i="42"/>
  <c r="F147" i="42"/>
  <c r="F148" i="42"/>
  <c r="F149" i="42"/>
  <c r="F150" i="42"/>
  <c r="F151" i="42"/>
  <c r="F152" i="42"/>
  <c r="F153" i="42"/>
  <c r="F154" i="42"/>
  <c r="F155" i="42"/>
  <c r="F156" i="42"/>
  <c r="F157" i="42"/>
  <c r="F158" i="42"/>
  <c r="F159" i="42"/>
  <c r="F160" i="42"/>
  <c r="F161" i="42"/>
  <c r="F162" i="42"/>
  <c r="F163" i="42"/>
  <c r="F164" i="42"/>
  <c r="F165" i="42"/>
  <c r="F166" i="42"/>
  <c r="F167" i="42"/>
  <c r="F168" i="42"/>
  <c r="F169" i="42"/>
  <c r="F170" i="42"/>
  <c r="F171" i="42"/>
  <c r="F172" i="42"/>
  <c r="F173" i="42"/>
  <c r="F174" i="42"/>
  <c r="F175" i="42"/>
  <c r="F176" i="42"/>
  <c r="F177" i="42"/>
  <c r="F178" i="42"/>
  <c r="F179" i="42"/>
  <c r="F180" i="42"/>
  <c r="F181" i="42"/>
  <c r="F182" i="42"/>
  <c r="F183" i="42"/>
  <c r="F184" i="42"/>
  <c r="F185" i="42"/>
  <c r="F186" i="42"/>
  <c r="F187" i="42"/>
  <c r="F188" i="42"/>
  <c r="F189" i="42"/>
  <c r="F190" i="42"/>
  <c r="F191" i="42"/>
  <c r="F192" i="42"/>
  <c r="F193" i="42"/>
  <c r="F194" i="42"/>
  <c r="F195" i="42"/>
  <c r="F196" i="42"/>
  <c r="F197" i="42"/>
  <c r="F198" i="42"/>
  <c r="F199" i="42"/>
  <c r="F200" i="42"/>
  <c r="F201" i="42"/>
  <c r="F202" i="42"/>
  <c r="F203" i="42"/>
  <c r="F204" i="42"/>
  <c r="F205" i="42"/>
  <c r="F206" i="42"/>
  <c r="F207" i="42"/>
  <c r="F208" i="42"/>
  <c r="F209" i="42"/>
  <c r="F210" i="42"/>
  <c r="F211" i="42"/>
  <c r="F212" i="42"/>
  <c r="F213" i="42"/>
  <c r="F214" i="42"/>
  <c r="F300" i="42"/>
  <c r="F365" i="42"/>
  <c r="F369" i="42"/>
  <c r="F371" i="42"/>
  <c r="F372" i="42"/>
  <c r="F375" i="42"/>
  <c r="F382" i="42"/>
  <c r="F383" i="42"/>
  <c r="F385" i="42"/>
  <c r="F386" i="42"/>
  <c r="F388" i="42"/>
  <c r="F389" i="42"/>
  <c r="F391" i="42"/>
  <c r="F392" i="42"/>
  <c r="F398" i="42"/>
  <c r="F399" i="42"/>
  <c r="F402" i="42"/>
  <c r="F407" i="42"/>
  <c r="F411" i="42"/>
  <c r="F413" i="42"/>
  <c r="F414" i="42"/>
  <c r="F415" i="42"/>
  <c r="F416" i="42"/>
  <c r="F418" i="42"/>
  <c r="F419" i="42"/>
  <c r="F421" i="42"/>
  <c r="F423" i="42"/>
  <c r="F425" i="42"/>
  <c r="F428" i="42"/>
  <c r="F430" i="42"/>
  <c r="F431" i="42"/>
  <c r="F432" i="42"/>
  <c r="F433" i="42"/>
  <c r="F434" i="42"/>
  <c r="F435" i="42"/>
  <c r="F436" i="42"/>
  <c r="F437" i="42"/>
  <c r="F438" i="42"/>
  <c r="F439" i="42"/>
  <c r="F440" i="42"/>
  <c r="F441" i="42"/>
  <c r="F442" i="42"/>
  <c r="F443" i="42"/>
  <c r="F444" i="42"/>
  <c r="F445" i="42"/>
  <c r="F446" i="42"/>
  <c r="F447" i="42"/>
  <c r="F448" i="42"/>
  <c r="F449" i="42"/>
  <c r="F450" i="42"/>
  <c r="F451" i="42"/>
  <c r="F452" i="42"/>
  <c r="F453" i="42"/>
  <c r="F454" i="42"/>
  <c r="F455" i="42"/>
  <c r="F456" i="42"/>
  <c r="F457" i="42"/>
  <c r="F458" i="42"/>
  <c r="F459" i="42"/>
  <c r="F460" i="42"/>
  <c r="F461" i="42"/>
  <c r="F462" i="42"/>
  <c r="F463" i="42"/>
  <c r="F464" i="42"/>
  <c r="F465" i="42"/>
  <c r="F466" i="42"/>
  <c r="F467" i="42"/>
  <c r="F468" i="42"/>
  <c r="F469" i="42"/>
  <c r="F470" i="42"/>
  <c r="F471" i="42"/>
  <c r="F472" i="42"/>
  <c r="F473" i="42"/>
  <c r="F474" i="42"/>
  <c r="F475" i="42"/>
  <c r="F476" i="42"/>
  <c r="F477" i="42"/>
  <c r="F478" i="42"/>
  <c r="F479" i="42"/>
  <c r="F480" i="42"/>
  <c r="F481" i="42"/>
  <c r="F482" i="42"/>
  <c r="F483" i="42"/>
  <c r="F484" i="42"/>
  <c r="F485" i="42"/>
  <c r="F486" i="42"/>
  <c r="F487" i="42"/>
  <c r="F488" i="42"/>
  <c r="F489" i="42"/>
  <c r="F490" i="42"/>
  <c r="F491" i="42"/>
  <c r="F492" i="42"/>
  <c r="F493" i="42"/>
  <c r="F494" i="42"/>
  <c r="F495" i="42"/>
  <c r="F496" i="42"/>
  <c r="F497" i="42"/>
  <c r="F498" i="42"/>
  <c r="F499" i="42"/>
  <c r="F500" i="42"/>
  <c r="F501" i="42"/>
  <c r="F502" i="42"/>
  <c r="F503" i="42"/>
  <c r="F504" i="42"/>
  <c r="F505" i="42"/>
  <c r="F506" i="42"/>
  <c r="F507" i="42"/>
  <c r="F508" i="42"/>
  <c r="F509" i="42"/>
  <c r="F510" i="42"/>
  <c r="F511" i="42"/>
  <c r="F512" i="42"/>
  <c r="F513" i="42"/>
  <c r="F514" i="42"/>
  <c r="F515" i="42"/>
  <c r="F516" i="42"/>
  <c r="F517" i="42"/>
  <c r="F518" i="42"/>
  <c r="F519" i="42"/>
  <c r="F520" i="42"/>
  <c r="F521" i="42"/>
  <c r="F522" i="42"/>
  <c r="F523" i="42"/>
  <c r="F524" i="42"/>
  <c r="F525" i="42"/>
  <c r="F526" i="42"/>
  <c r="F527" i="42"/>
  <c r="F528" i="42"/>
  <c r="F529" i="42"/>
  <c r="F530" i="42"/>
  <c r="F531" i="42"/>
  <c r="F532" i="42"/>
  <c r="F533" i="42"/>
  <c r="F534" i="42"/>
  <c r="F535" i="42"/>
  <c r="F536" i="42"/>
  <c r="F537" i="42"/>
  <c r="F538" i="42"/>
  <c r="F539" i="42"/>
  <c r="F540" i="42"/>
  <c r="F541" i="42"/>
  <c r="F542" i="42"/>
  <c r="F543" i="42"/>
  <c r="F544" i="42"/>
  <c r="F545" i="42"/>
  <c r="F546" i="42"/>
  <c r="F547" i="42"/>
  <c r="F548" i="42"/>
  <c r="F549" i="42"/>
  <c r="F550" i="42"/>
  <c r="F551" i="42"/>
  <c r="F552" i="42"/>
  <c r="F553" i="42"/>
  <c r="F554" i="42"/>
  <c r="F555" i="42"/>
  <c r="F556" i="42"/>
  <c r="F557" i="42"/>
  <c r="F558" i="42"/>
  <c r="F559" i="42"/>
  <c r="F560" i="42"/>
  <c r="F561" i="42"/>
  <c r="F562" i="42"/>
  <c r="F563" i="42"/>
  <c r="F564" i="42"/>
  <c r="F565" i="42"/>
  <c r="F566" i="42"/>
  <c r="F567" i="42"/>
  <c r="F568" i="42"/>
  <c r="F569" i="42"/>
  <c r="F570" i="42"/>
  <c r="F571" i="42"/>
  <c r="F572" i="42"/>
  <c r="F573" i="42"/>
  <c r="F574" i="42"/>
  <c r="F575" i="42"/>
  <c r="F576" i="42"/>
  <c r="F577" i="42"/>
  <c r="F578" i="42"/>
  <c r="F579" i="42"/>
  <c r="F580" i="42"/>
  <c r="F581" i="42"/>
  <c r="F582" i="42"/>
  <c r="F583" i="42"/>
  <c r="F584" i="42"/>
  <c r="F585" i="42"/>
  <c r="F586" i="42"/>
  <c r="F587" i="42"/>
  <c r="F588" i="42"/>
  <c r="F589" i="42"/>
  <c r="F590" i="42"/>
  <c r="F591" i="42"/>
  <c r="F592" i="42"/>
  <c r="F593" i="42"/>
  <c r="F594" i="42"/>
  <c r="F595" i="42"/>
  <c r="F596" i="42"/>
  <c r="F597" i="42"/>
  <c r="F598" i="42"/>
  <c r="F599" i="42"/>
  <c r="F600" i="42"/>
  <c r="F601" i="42"/>
  <c r="F602" i="42"/>
  <c r="F603" i="42"/>
  <c r="F604" i="42"/>
  <c r="F605" i="42"/>
  <c r="F606" i="42"/>
  <c r="F607" i="42"/>
  <c r="F608" i="42"/>
  <c r="F609" i="42"/>
  <c r="F610" i="42"/>
  <c r="F611" i="42"/>
  <c r="F612" i="42"/>
  <c r="F613" i="42"/>
  <c r="F614" i="42"/>
  <c r="F615" i="42"/>
  <c r="F616" i="42"/>
  <c r="F617" i="42"/>
  <c r="F618" i="42"/>
  <c r="F619" i="42"/>
  <c r="F620" i="42"/>
  <c r="F621" i="42"/>
  <c r="F622" i="42"/>
  <c r="F623" i="42"/>
  <c r="F624" i="42"/>
  <c r="F625" i="42"/>
  <c r="F626" i="42"/>
  <c r="F627" i="42"/>
  <c r="F628" i="42"/>
  <c r="F629" i="42"/>
  <c r="F630" i="42"/>
  <c r="F631" i="42"/>
  <c r="F632" i="42"/>
  <c r="F633" i="42"/>
  <c r="F634" i="42"/>
  <c r="F635" i="42"/>
  <c r="F636" i="42"/>
  <c r="F637" i="42"/>
  <c r="F638" i="42"/>
  <c r="F639" i="42"/>
  <c r="F640" i="42"/>
  <c r="F641" i="42"/>
  <c r="F642" i="42"/>
  <c r="F643" i="42"/>
  <c r="F644" i="42"/>
  <c r="F645" i="42"/>
  <c r="F646" i="42"/>
  <c r="F647" i="42"/>
  <c r="F648" i="42"/>
  <c r="F649" i="42"/>
  <c r="F650" i="42"/>
  <c r="F651" i="42"/>
  <c r="F652" i="42"/>
  <c r="F653" i="42"/>
  <c r="F654" i="42"/>
  <c r="F655" i="42"/>
  <c r="F656" i="42"/>
  <c r="F657" i="42"/>
  <c r="F658" i="42"/>
  <c r="F659" i="42"/>
  <c r="F660" i="42"/>
  <c r="F661" i="42"/>
  <c r="F662" i="42"/>
  <c r="F663" i="42"/>
  <c r="F664" i="42"/>
  <c r="F665" i="42"/>
  <c r="F666" i="42"/>
  <c r="F667" i="42"/>
  <c r="F668" i="42"/>
  <c r="F669" i="42"/>
  <c r="F670" i="42"/>
  <c r="F671" i="42"/>
  <c r="F672" i="42"/>
  <c r="F673" i="42"/>
  <c r="F674" i="42"/>
  <c r="F675" i="42"/>
  <c r="F676" i="42"/>
  <c r="F677" i="42"/>
  <c r="F678" i="42"/>
  <c r="F679" i="42"/>
  <c r="F680" i="42"/>
  <c r="F681" i="42"/>
  <c r="F682" i="42"/>
  <c r="F683" i="42"/>
  <c r="F684" i="42"/>
  <c r="F685" i="42"/>
  <c r="F686" i="42"/>
  <c r="F687" i="42"/>
  <c r="F688" i="42"/>
  <c r="F689" i="42"/>
  <c r="F690" i="42"/>
  <c r="F691" i="42"/>
  <c r="F692" i="42"/>
  <c r="F693" i="42"/>
  <c r="F694" i="42"/>
  <c r="F695" i="42"/>
  <c r="F696" i="42"/>
  <c r="F697" i="42"/>
  <c r="F698" i="42"/>
  <c r="F699" i="42"/>
  <c r="F700" i="42"/>
  <c r="F701" i="42"/>
  <c r="F702" i="42"/>
  <c r="F703" i="42"/>
  <c r="F704" i="42"/>
  <c r="F705" i="42"/>
  <c r="F706" i="42"/>
  <c r="F707" i="42"/>
  <c r="F708" i="42"/>
  <c r="F709" i="42"/>
  <c r="F710" i="42"/>
  <c r="F711" i="42"/>
  <c r="F712" i="42"/>
  <c r="F713" i="42"/>
  <c r="F714" i="42"/>
  <c r="F715" i="42"/>
  <c r="F716" i="42"/>
  <c r="F717" i="42"/>
  <c r="F718" i="42"/>
  <c r="F719" i="42"/>
  <c r="F720" i="42"/>
  <c r="F721" i="42"/>
  <c r="F722" i="42"/>
  <c r="F723" i="42"/>
  <c r="F724" i="42"/>
  <c r="F725" i="42"/>
  <c r="F726" i="42"/>
  <c r="F727" i="42"/>
  <c r="F728" i="42"/>
  <c r="F729" i="42"/>
  <c r="F730" i="42"/>
  <c r="F731" i="42"/>
  <c r="F732" i="42"/>
  <c r="F733" i="42"/>
  <c r="F734" i="42"/>
  <c r="F735" i="42"/>
  <c r="F736" i="42"/>
  <c r="F737" i="42"/>
  <c r="F738" i="42"/>
  <c r="F739" i="42"/>
  <c r="F740" i="42"/>
  <c r="F741" i="42"/>
  <c r="F742" i="42"/>
  <c r="F743" i="42"/>
  <c r="F744" i="42"/>
  <c r="F745" i="42"/>
  <c r="F746" i="42"/>
  <c r="F747" i="42"/>
  <c r="F748" i="42"/>
  <c r="F749" i="42"/>
  <c r="F750" i="42"/>
  <c r="F751" i="42"/>
  <c r="F752" i="42"/>
  <c r="F753" i="42"/>
  <c r="F754" i="42"/>
  <c r="F755" i="42"/>
  <c r="F756" i="42"/>
  <c r="F757" i="42"/>
  <c r="F758" i="42"/>
  <c r="F759" i="42"/>
  <c r="F760" i="42"/>
  <c r="F761" i="42"/>
  <c r="F762" i="42"/>
  <c r="F763" i="42"/>
  <c r="F764" i="42"/>
  <c r="F765" i="42"/>
  <c r="F766" i="42"/>
  <c r="F767" i="42"/>
  <c r="F768" i="42"/>
  <c r="F769" i="42"/>
  <c r="F770" i="42"/>
  <c r="F771" i="42"/>
  <c r="F772" i="42"/>
  <c r="F773" i="42"/>
  <c r="F774" i="42"/>
  <c r="F775" i="42"/>
  <c r="F776" i="42"/>
  <c r="F777" i="42"/>
  <c r="F778" i="42"/>
  <c r="F779" i="42"/>
  <c r="F780" i="42"/>
  <c r="F781" i="42"/>
  <c r="F782" i="42"/>
  <c r="F783" i="42"/>
  <c r="F784" i="42"/>
  <c r="F785" i="42"/>
  <c r="F786" i="42"/>
  <c r="F787" i="42"/>
  <c r="F788" i="42"/>
  <c r="F789" i="42"/>
  <c r="F790" i="42"/>
  <c r="F791" i="42"/>
  <c r="F792" i="42"/>
  <c r="F793" i="42"/>
  <c r="F794" i="42"/>
  <c r="F795" i="42"/>
  <c r="F796" i="42"/>
  <c r="F797" i="42"/>
  <c r="F798" i="42"/>
  <c r="F799" i="42"/>
  <c r="F800" i="42"/>
  <c r="F801" i="42"/>
  <c r="F802" i="42"/>
  <c r="F803" i="42"/>
  <c r="F804" i="42"/>
  <c r="F805" i="42"/>
  <c r="F806" i="42"/>
  <c r="F807" i="42"/>
  <c r="F808" i="42"/>
  <c r="F809" i="42"/>
  <c r="F810" i="42"/>
  <c r="F811" i="42"/>
  <c r="F812" i="42"/>
  <c r="F813" i="42"/>
  <c r="F814" i="42"/>
  <c r="F815" i="42"/>
  <c r="F816" i="42"/>
  <c r="F817" i="42"/>
  <c r="F818" i="42"/>
  <c r="F819" i="42"/>
  <c r="F820" i="42"/>
  <c r="F821" i="42"/>
  <c r="F822" i="42"/>
  <c r="F823" i="42"/>
  <c r="F824" i="42"/>
  <c r="F825" i="42"/>
  <c r="F826" i="42"/>
  <c r="F827" i="42"/>
  <c r="F828" i="42"/>
  <c r="F829" i="42"/>
  <c r="F830" i="42"/>
  <c r="F831" i="42"/>
  <c r="F832" i="42"/>
  <c r="F833" i="42"/>
  <c r="F834" i="42"/>
  <c r="F835" i="42"/>
  <c r="F836" i="42"/>
  <c r="F837" i="42"/>
  <c r="F838" i="42"/>
  <c r="F839" i="42"/>
  <c r="F840" i="42"/>
  <c r="F841" i="42"/>
  <c r="F842" i="42"/>
  <c r="F843" i="42"/>
  <c r="F844" i="42"/>
  <c r="F845" i="42"/>
  <c r="F846" i="42"/>
  <c r="F847" i="42"/>
  <c r="F848" i="42"/>
  <c r="F849" i="42"/>
  <c r="F850" i="42"/>
  <c r="F851" i="42"/>
  <c r="F852" i="42"/>
  <c r="F853" i="42"/>
  <c r="F854" i="42"/>
  <c r="F855" i="42"/>
  <c r="F856" i="42"/>
  <c r="F857" i="42"/>
  <c r="F858" i="42"/>
  <c r="F859" i="42"/>
  <c r="F860" i="42"/>
  <c r="F861" i="42"/>
  <c r="F862" i="42"/>
  <c r="F863" i="42"/>
  <c r="F864" i="42"/>
  <c r="F865" i="42"/>
  <c r="F866" i="42"/>
  <c r="F867" i="42"/>
  <c r="F868" i="42"/>
  <c r="F869" i="42"/>
  <c r="F870" i="42"/>
  <c r="F871" i="42"/>
  <c r="F872" i="42"/>
  <c r="F873" i="42"/>
  <c r="F874" i="42"/>
  <c r="F875" i="42"/>
  <c r="F876" i="42"/>
  <c r="F877" i="42"/>
  <c r="F878" i="42"/>
  <c r="F879" i="42"/>
  <c r="F880" i="42"/>
  <c r="F881" i="42"/>
  <c r="F882" i="42"/>
  <c r="F883" i="42"/>
  <c r="F884" i="42"/>
  <c r="F885" i="42"/>
  <c r="F886" i="42"/>
  <c r="F887" i="42"/>
  <c r="F888" i="42"/>
  <c r="F889" i="42"/>
  <c r="F890" i="42"/>
  <c r="F891" i="42"/>
  <c r="F892" i="42"/>
  <c r="F893" i="42"/>
  <c r="F894" i="42"/>
  <c r="F895" i="42"/>
  <c r="F896" i="42"/>
  <c r="F897" i="42"/>
  <c r="F898" i="42"/>
  <c r="F899" i="42"/>
  <c r="F900" i="42"/>
  <c r="F901" i="42"/>
  <c r="F902" i="42"/>
  <c r="F903" i="42"/>
  <c r="F904" i="42"/>
  <c r="F905" i="42"/>
  <c r="F906" i="42"/>
  <c r="F907" i="42"/>
  <c r="F908" i="42"/>
  <c r="F909" i="42"/>
  <c r="F910" i="42"/>
  <c r="F911" i="42"/>
  <c r="F912" i="42"/>
  <c r="F913" i="42"/>
  <c r="F914" i="42"/>
  <c r="F915" i="42"/>
  <c r="F916" i="42"/>
  <c r="F917" i="42"/>
  <c r="F918" i="42"/>
  <c r="F919" i="42"/>
  <c r="F920" i="42"/>
  <c r="F921" i="42"/>
  <c r="F922" i="42"/>
  <c r="F923" i="42"/>
  <c r="F924" i="42"/>
  <c r="F925" i="42"/>
  <c r="F926" i="42"/>
  <c r="F927" i="42"/>
  <c r="F928" i="42"/>
  <c r="F929" i="42"/>
  <c r="F930" i="42"/>
  <c r="F931" i="42"/>
  <c r="F932" i="42"/>
  <c r="F933" i="42"/>
  <c r="F934" i="42"/>
  <c r="F935" i="42"/>
  <c r="F936" i="42"/>
  <c r="F937" i="42"/>
  <c r="F938" i="42"/>
  <c r="F939" i="42"/>
  <c r="F940" i="42"/>
  <c r="F941" i="42"/>
  <c r="F942" i="42"/>
  <c r="F943" i="42"/>
  <c r="F944" i="42"/>
  <c r="F945" i="42"/>
  <c r="F946" i="42"/>
  <c r="F947" i="42"/>
  <c r="F948" i="42"/>
  <c r="F949" i="42"/>
  <c r="F950" i="42"/>
  <c r="F951" i="42"/>
  <c r="F952" i="42"/>
  <c r="F953" i="42"/>
  <c r="F954" i="42"/>
  <c r="F955" i="42"/>
  <c r="F956" i="42"/>
  <c r="F957" i="42"/>
  <c r="F958" i="42"/>
  <c r="F959" i="42"/>
  <c r="F960" i="42"/>
  <c r="F961" i="42"/>
  <c r="R319" i="28"/>
  <c r="R335" i="28"/>
  <c r="R339" i="28"/>
  <c r="R348" i="28"/>
  <c r="R351" i="28"/>
  <c r="R355" i="28"/>
  <c r="B9" i="28"/>
  <c r="G9" i="29"/>
  <c r="C9" i="29"/>
  <c r="D9" i="29"/>
  <c r="E9" i="29"/>
  <c r="F9" i="29"/>
  <c r="C1003" i="42"/>
  <c r="D1003" i="42"/>
  <c r="E1003" i="42"/>
  <c r="F1003" i="42"/>
  <c r="G1003" i="42"/>
  <c r="C1002" i="42"/>
  <c r="D1002" i="42"/>
  <c r="E1002" i="42"/>
  <c r="F1002" i="42"/>
  <c r="G1002" i="42"/>
  <c r="C1001" i="42"/>
  <c r="D1001" i="42"/>
  <c r="E1001" i="42"/>
  <c r="F1001" i="42"/>
  <c r="G1001" i="42"/>
  <c r="C1000" i="42"/>
  <c r="D1000" i="42"/>
  <c r="E1000" i="42"/>
  <c r="F1000" i="42"/>
  <c r="G1000" i="42"/>
  <c r="C999" i="42"/>
  <c r="D999" i="42"/>
  <c r="E999" i="42"/>
  <c r="F999" i="42"/>
  <c r="G999" i="42"/>
  <c r="C998" i="42"/>
  <c r="D998" i="42"/>
  <c r="E998" i="42"/>
  <c r="F998" i="42"/>
  <c r="G998" i="42"/>
  <c r="C997" i="42"/>
  <c r="D997" i="42"/>
  <c r="E997" i="42"/>
  <c r="F997" i="42"/>
  <c r="G997" i="42"/>
  <c r="C996" i="42"/>
  <c r="D996" i="42"/>
  <c r="E996" i="42"/>
  <c r="F996" i="42"/>
  <c r="G996" i="42"/>
  <c r="C995" i="42"/>
  <c r="D995" i="42"/>
  <c r="E995" i="42"/>
  <c r="F995" i="42"/>
  <c r="G995" i="42"/>
  <c r="C994" i="42"/>
  <c r="D994" i="42"/>
  <c r="E994" i="42"/>
  <c r="F994" i="42"/>
  <c r="G994" i="42"/>
  <c r="C993" i="42"/>
  <c r="D993" i="42"/>
  <c r="E993" i="42"/>
  <c r="F993" i="42"/>
  <c r="G993" i="42"/>
  <c r="C992" i="42"/>
  <c r="D992" i="42"/>
  <c r="E992" i="42"/>
  <c r="F992" i="42"/>
  <c r="G992" i="42"/>
  <c r="C991" i="42"/>
  <c r="D991" i="42"/>
  <c r="E991" i="42"/>
  <c r="F991" i="42"/>
  <c r="G991" i="42"/>
  <c r="C990" i="42"/>
  <c r="D990" i="42"/>
  <c r="E990" i="42"/>
  <c r="F990" i="42"/>
  <c r="G990" i="42"/>
  <c r="C989" i="42"/>
  <c r="D989" i="42"/>
  <c r="E989" i="42"/>
  <c r="F989" i="42"/>
  <c r="G989" i="42"/>
  <c r="C988" i="42"/>
  <c r="D988" i="42"/>
  <c r="E988" i="42"/>
  <c r="F988" i="42"/>
  <c r="G988" i="42"/>
  <c r="C987" i="42"/>
  <c r="D987" i="42"/>
  <c r="E987" i="42"/>
  <c r="F987" i="42"/>
  <c r="G987" i="42"/>
  <c r="C986" i="42"/>
  <c r="D986" i="42"/>
  <c r="E986" i="42"/>
  <c r="F986" i="42"/>
  <c r="G986" i="42"/>
  <c r="C985" i="42"/>
  <c r="D985" i="42"/>
  <c r="E985" i="42"/>
  <c r="F985" i="42"/>
  <c r="G985" i="42"/>
  <c r="C984" i="42"/>
  <c r="D984" i="42"/>
  <c r="E984" i="42"/>
  <c r="F984" i="42"/>
  <c r="G984" i="42"/>
  <c r="C983" i="42"/>
  <c r="D983" i="42"/>
  <c r="E983" i="42"/>
  <c r="F983" i="42"/>
  <c r="G983" i="42"/>
  <c r="C982" i="42"/>
  <c r="D982" i="42"/>
  <c r="E982" i="42"/>
  <c r="F982" i="42"/>
  <c r="G982" i="42"/>
  <c r="C981" i="42"/>
  <c r="D981" i="42"/>
  <c r="E981" i="42"/>
  <c r="F981" i="42"/>
  <c r="G981" i="42"/>
  <c r="C980" i="42"/>
  <c r="D980" i="42"/>
  <c r="E980" i="42"/>
  <c r="F980" i="42"/>
  <c r="G980" i="42"/>
  <c r="C979" i="42"/>
  <c r="D979" i="42"/>
  <c r="E979" i="42"/>
  <c r="F979" i="42"/>
  <c r="G979" i="42"/>
  <c r="C978" i="42"/>
  <c r="D978" i="42"/>
  <c r="E978" i="42"/>
  <c r="F978" i="42"/>
  <c r="G978" i="42"/>
  <c r="C977" i="42"/>
  <c r="D977" i="42"/>
  <c r="E977" i="42"/>
  <c r="F977" i="42"/>
  <c r="G977" i="42"/>
  <c r="C976" i="42"/>
  <c r="D976" i="42"/>
  <c r="E976" i="42"/>
  <c r="F976" i="42"/>
  <c r="G976" i="42"/>
  <c r="C975" i="42"/>
  <c r="D975" i="42"/>
  <c r="E975" i="42"/>
  <c r="F975" i="42"/>
  <c r="G975" i="42"/>
  <c r="C974" i="42"/>
  <c r="D974" i="42"/>
  <c r="E974" i="42"/>
  <c r="F974" i="42"/>
  <c r="G974" i="42"/>
  <c r="C973" i="42"/>
  <c r="D973" i="42"/>
  <c r="E973" i="42"/>
  <c r="F973" i="42"/>
  <c r="G973" i="42"/>
  <c r="C972" i="42"/>
  <c r="D972" i="42"/>
  <c r="E972" i="42"/>
  <c r="F972" i="42"/>
  <c r="G972" i="42"/>
  <c r="C971" i="42"/>
  <c r="D971" i="42"/>
  <c r="E971" i="42"/>
  <c r="F971" i="42"/>
  <c r="G971" i="42"/>
  <c r="C970" i="42"/>
  <c r="D970" i="42"/>
  <c r="E970" i="42"/>
  <c r="F970" i="42"/>
  <c r="G970" i="42"/>
  <c r="C969" i="42"/>
  <c r="D969" i="42"/>
  <c r="E969" i="42"/>
  <c r="F969" i="42"/>
  <c r="G969" i="42"/>
  <c r="C968" i="42"/>
  <c r="D968" i="42"/>
  <c r="E968" i="42"/>
  <c r="F968" i="42"/>
  <c r="G968" i="42"/>
  <c r="C967" i="42"/>
  <c r="D967" i="42"/>
  <c r="E967" i="42"/>
  <c r="F967" i="42"/>
  <c r="G967" i="42"/>
  <c r="C966" i="42"/>
  <c r="D966" i="42"/>
  <c r="E966" i="42"/>
  <c r="F966" i="42"/>
  <c r="G966" i="42"/>
  <c r="C965" i="42"/>
  <c r="D965" i="42"/>
  <c r="E965" i="42"/>
  <c r="F965" i="42"/>
  <c r="G965" i="42"/>
  <c r="C964" i="42"/>
  <c r="D964" i="42"/>
  <c r="E964" i="42"/>
  <c r="F964" i="42"/>
  <c r="G964" i="42"/>
  <c r="C963" i="42"/>
  <c r="D963" i="42"/>
  <c r="E963" i="42"/>
  <c r="F963" i="42"/>
  <c r="G963" i="42"/>
  <c r="C962" i="42"/>
  <c r="D962" i="42"/>
  <c r="E962" i="42"/>
  <c r="F962" i="42"/>
  <c r="G962" i="42"/>
  <c r="B9" i="42"/>
  <c r="B9" i="29"/>
  <c r="J376" i="41"/>
  <c r="J370" i="41"/>
  <c r="J367" i="41"/>
  <c r="J358" i="41"/>
  <c r="J355" i="41"/>
  <c r="J351" i="41"/>
  <c r="J348" i="41"/>
  <c r="J342" i="41"/>
  <c r="J339" i="41"/>
  <c r="J335" i="41"/>
  <c r="J333" i="41"/>
  <c r="J331" i="41"/>
  <c r="J329" i="41"/>
  <c r="J326" i="41"/>
  <c r="J325" i="41"/>
  <c r="J319" i="41"/>
  <c r="J306" i="41"/>
  <c r="C9" i="41"/>
  <c r="D9" i="41"/>
  <c r="E9" i="41"/>
  <c r="F9" i="41"/>
  <c r="G9" i="41"/>
  <c r="H9" i="41"/>
  <c r="B9" i="41"/>
  <c r="C9" i="30"/>
  <c r="J306" i="30"/>
  <c r="J319" i="30"/>
  <c r="J325" i="30"/>
  <c r="J326" i="30"/>
  <c r="J329" i="30"/>
  <c r="J330" i="30"/>
  <c r="J331" i="30"/>
  <c r="J333" i="30"/>
  <c r="J335" i="30"/>
  <c r="J339" i="30"/>
  <c r="J342" i="30"/>
  <c r="J348" i="30"/>
  <c r="J351" i="30"/>
  <c r="J355" i="30"/>
  <c r="J358" i="30"/>
  <c r="J367" i="30"/>
  <c r="J370" i="30"/>
  <c r="J376" i="30"/>
  <c r="D9" i="30"/>
  <c r="E9" i="30"/>
  <c r="F9" i="30"/>
  <c r="G9" i="30"/>
  <c r="J338" i="30"/>
  <c r="J882" i="30"/>
  <c r="J909" i="30"/>
  <c r="H9" i="30"/>
  <c r="B9" i="30"/>
  <c r="C4" i="5"/>
  <c r="C5" i="5"/>
  <c r="C6" i="5"/>
  <c r="C7" i="5"/>
  <c r="C8" i="5"/>
  <c r="C9" i="5"/>
  <c r="C10" i="5"/>
  <c r="C11" i="5"/>
  <c r="C12" i="5"/>
  <c r="D4" i="5"/>
  <c r="D5" i="5"/>
  <c r="D6" i="5"/>
  <c r="D7" i="5"/>
  <c r="D8" i="5"/>
  <c r="D9" i="5"/>
  <c r="D10" i="5"/>
  <c r="D11" i="5"/>
  <c r="D12" i="5"/>
  <c r="E4" i="5"/>
  <c r="E5" i="5"/>
  <c r="E6" i="5"/>
  <c r="E7" i="5"/>
  <c r="E8" i="5"/>
  <c r="E9" i="5"/>
  <c r="E10" i="5"/>
  <c r="E11" i="5"/>
  <c r="E12" i="5"/>
  <c r="F4" i="5"/>
  <c r="F5" i="5"/>
  <c r="F6" i="5"/>
  <c r="F7" i="5"/>
  <c r="F8" i="5"/>
  <c r="F9" i="5"/>
  <c r="F10" i="5"/>
  <c r="F11" i="5"/>
  <c r="F12" i="5"/>
  <c r="G4" i="5"/>
  <c r="G5" i="5"/>
  <c r="G6" i="5"/>
  <c r="G7" i="5"/>
  <c r="G8" i="5"/>
  <c r="G9" i="5"/>
  <c r="G10" i="5"/>
  <c r="G11" i="5"/>
  <c r="G12" i="5"/>
  <c r="H4" i="5"/>
  <c r="H5" i="5"/>
  <c r="H6" i="5"/>
  <c r="H7" i="5"/>
  <c r="H8" i="5"/>
  <c r="H9" i="5"/>
  <c r="H10" i="5"/>
  <c r="H11" i="5"/>
  <c r="H12" i="5"/>
  <c r="I4" i="5"/>
  <c r="I5" i="5"/>
  <c r="I6" i="5"/>
  <c r="I7" i="5"/>
  <c r="I8" i="5"/>
  <c r="I9" i="5"/>
  <c r="I10" i="5"/>
  <c r="I11" i="5"/>
  <c r="I12" i="5"/>
  <c r="J4" i="5"/>
  <c r="J5" i="5"/>
  <c r="J6" i="5"/>
  <c r="J7" i="5"/>
  <c r="J8" i="5"/>
  <c r="J9" i="5"/>
  <c r="J10" i="5"/>
  <c r="J11" i="5"/>
  <c r="J12" i="5"/>
  <c r="K4" i="5"/>
  <c r="K5" i="5"/>
  <c r="K6" i="5"/>
  <c r="K7" i="5"/>
  <c r="K8" i="5"/>
  <c r="K9" i="5"/>
  <c r="K10" i="5"/>
  <c r="K11" i="5"/>
  <c r="K12" i="5"/>
  <c r="B5" i="5"/>
  <c r="B6" i="5"/>
  <c r="B7" i="5"/>
  <c r="B8" i="5"/>
  <c r="B9" i="5"/>
  <c r="B10" i="5"/>
  <c r="B11" i="5"/>
  <c r="B12" i="5"/>
  <c r="G3" i="40"/>
  <c r="E3" i="40"/>
  <c r="C3" i="40"/>
  <c r="A3" i="40"/>
  <c r="S8" i="1"/>
  <c r="S10" i="1"/>
  <c r="S9" i="1"/>
  <c r="S11" i="1"/>
  <c r="S12" i="1"/>
  <c r="S13" i="1"/>
  <c r="S14" i="1"/>
  <c r="S15" i="1"/>
  <c r="S16" i="1"/>
  <c r="S17" i="1"/>
  <c r="S19" i="1"/>
  <c r="S18" i="1"/>
  <c r="S20" i="1"/>
  <c r="S21" i="1"/>
  <c r="S22" i="1"/>
  <c r="S23" i="1"/>
  <c r="S24" i="1"/>
  <c r="S25" i="1"/>
  <c r="S26" i="1"/>
  <c r="S27" i="1"/>
  <c r="S28" i="1"/>
  <c r="S30" i="1"/>
  <c r="S29" i="1"/>
  <c r="S31" i="1"/>
  <c r="S33" i="1"/>
  <c r="S32" i="1"/>
  <c r="S34" i="1"/>
  <c r="S35" i="1"/>
  <c r="S36" i="1"/>
  <c r="S37" i="1"/>
  <c r="S38" i="1"/>
  <c r="S39" i="1"/>
  <c r="S40" i="1"/>
  <c r="S43" i="1"/>
  <c r="S42" i="1"/>
  <c r="S41" i="1"/>
  <c r="S44" i="1"/>
  <c r="S45" i="1"/>
  <c r="S46" i="1"/>
  <c r="S47" i="1"/>
  <c r="S48" i="1"/>
  <c r="S49" i="1"/>
  <c r="S50" i="1"/>
  <c r="S52" i="1"/>
  <c r="S51" i="1"/>
  <c r="S55" i="1"/>
  <c r="S54" i="1"/>
  <c r="S53" i="1"/>
  <c r="S56" i="1"/>
  <c r="S57" i="1"/>
  <c r="S59" i="1"/>
  <c r="S58" i="1"/>
  <c r="S60" i="1"/>
  <c r="S61" i="1"/>
  <c r="S62" i="1"/>
  <c r="S63" i="1"/>
  <c r="S64" i="1"/>
  <c r="S66" i="1"/>
  <c r="S65" i="1"/>
  <c r="S67" i="1"/>
  <c r="S69" i="1"/>
  <c r="S68" i="1"/>
  <c r="S70" i="1"/>
  <c r="S72" i="1"/>
  <c r="S73" i="1"/>
  <c r="S71" i="1"/>
  <c r="S74" i="1"/>
  <c r="S75" i="1"/>
  <c r="S77" i="1"/>
  <c r="S76" i="1"/>
  <c r="S78" i="1"/>
  <c r="S79" i="1"/>
  <c r="S80" i="1"/>
  <c r="S82" i="1"/>
  <c r="S81" i="1"/>
  <c r="S84" i="1"/>
  <c r="S83" i="1"/>
  <c r="S85" i="1"/>
  <c r="S87" i="1"/>
  <c r="S86" i="1"/>
  <c r="S88" i="1"/>
  <c r="S89" i="1"/>
  <c r="S90" i="1"/>
  <c r="S91" i="1"/>
  <c r="S92" i="1"/>
  <c r="S93" i="1"/>
  <c r="S95" i="1"/>
  <c r="S94" i="1"/>
  <c r="S96" i="1"/>
  <c r="S97" i="1"/>
  <c r="S98" i="1"/>
  <c r="S99" i="1"/>
  <c r="S100" i="1"/>
  <c r="S102" i="1"/>
  <c r="S101" i="1"/>
  <c r="S103" i="1"/>
  <c r="S106" i="1"/>
  <c r="S105" i="1"/>
  <c r="S104" i="1"/>
  <c r="S107" i="1"/>
  <c r="S108" i="1"/>
  <c r="S109" i="1"/>
  <c r="S110" i="1"/>
  <c r="S111" i="1"/>
  <c r="S112" i="1"/>
  <c r="S113" i="1"/>
  <c r="S115" i="1"/>
  <c r="S114" i="1"/>
  <c r="S118" i="1"/>
  <c r="S117" i="1"/>
  <c r="S116" i="1"/>
  <c r="S119" i="1"/>
  <c r="S120" i="1"/>
  <c r="S122" i="1"/>
  <c r="S121" i="1"/>
  <c r="S123" i="1"/>
  <c r="S125" i="1"/>
  <c r="S124" i="1"/>
  <c r="S126" i="1"/>
  <c r="S128" i="1"/>
  <c r="S127" i="1"/>
  <c r="S129" i="1"/>
  <c r="S130" i="1"/>
  <c r="S133" i="1"/>
  <c r="S132" i="1"/>
  <c r="S131" i="1"/>
  <c r="S134" i="1"/>
  <c r="S135" i="1"/>
  <c r="S136" i="1"/>
  <c r="S137" i="1"/>
  <c r="S139" i="1"/>
  <c r="S138" i="1"/>
  <c r="S141" i="1"/>
  <c r="S142" i="1"/>
  <c r="S140" i="1"/>
  <c r="S144" i="1"/>
  <c r="S143" i="1"/>
  <c r="S146" i="1"/>
  <c r="S148" i="1"/>
  <c r="S147" i="1"/>
  <c r="S145" i="1"/>
  <c r="S151" i="1"/>
  <c r="S149" i="1"/>
  <c r="S150" i="1"/>
  <c r="S153" i="1"/>
  <c r="S152" i="1"/>
  <c r="S154" i="1"/>
  <c r="S155" i="1"/>
  <c r="S158" i="1"/>
  <c r="S157" i="1"/>
  <c r="S156" i="1"/>
  <c r="S161" i="1"/>
  <c r="S159" i="1"/>
  <c r="S160" i="1"/>
  <c r="S162" i="1"/>
  <c r="S163" i="1"/>
  <c r="S164" i="1"/>
  <c r="S165" i="1"/>
  <c r="S166" i="1"/>
  <c r="S167" i="1"/>
  <c r="S169" i="1"/>
  <c r="S168" i="1"/>
  <c r="S170" i="1"/>
  <c r="S171" i="1"/>
  <c r="S172" i="1"/>
  <c r="S173" i="1"/>
  <c r="S174" i="1"/>
  <c r="S176" i="1"/>
  <c r="S175" i="1"/>
  <c r="S177" i="1"/>
  <c r="S180" i="1"/>
  <c r="S179" i="1"/>
  <c r="S178" i="1"/>
  <c r="S181" i="1"/>
  <c r="S182" i="1"/>
  <c r="S183" i="1"/>
  <c r="S186" i="1"/>
  <c r="S185" i="1"/>
  <c r="S184" i="1"/>
  <c r="S187" i="1"/>
  <c r="S188" i="1"/>
  <c r="S190" i="1"/>
  <c r="S191" i="1"/>
  <c r="S189" i="1"/>
  <c r="S192" i="1"/>
  <c r="S193" i="1"/>
  <c r="S194" i="1"/>
  <c r="S195" i="1"/>
  <c r="S197" i="1"/>
  <c r="S196" i="1"/>
  <c r="S199" i="1"/>
  <c r="S198" i="1"/>
  <c r="S200" i="1"/>
  <c r="S201" i="1"/>
  <c r="S202" i="1"/>
  <c r="S203" i="1"/>
  <c r="S204" i="1"/>
  <c r="S205" i="1"/>
  <c r="S206" i="1"/>
  <c r="S207" i="1"/>
  <c r="S208" i="1"/>
  <c r="S209" i="1"/>
  <c r="S210" i="1"/>
  <c r="S212" i="1"/>
  <c r="S211" i="1"/>
  <c r="S213" i="1"/>
  <c r="S214" i="1"/>
  <c r="S215" i="1"/>
  <c r="S216" i="1"/>
  <c r="S219" i="1"/>
  <c r="S217" i="1"/>
  <c r="S218" i="1"/>
  <c r="S220" i="1"/>
  <c r="S221" i="1"/>
  <c r="S224" i="1"/>
  <c r="S222" i="1"/>
  <c r="S223" i="1"/>
  <c r="S226" i="1"/>
  <c r="S227" i="1"/>
  <c r="S225" i="1"/>
  <c r="S229" i="1"/>
  <c r="S228" i="1"/>
  <c r="S231" i="1"/>
  <c r="S230" i="1"/>
  <c r="S232" i="1"/>
  <c r="S233" i="1"/>
  <c r="S234" i="1"/>
  <c r="S235" i="1"/>
  <c r="S236" i="1"/>
  <c r="S237" i="1"/>
  <c r="S239" i="1"/>
  <c r="S240" i="1"/>
  <c r="S238" i="1"/>
  <c r="S241" i="1"/>
  <c r="S242" i="1"/>
  <c r="S244" i="1"/>
  <c r="S243" i="1"/>
  <c r="S245" i="1"/>
  <c r="S246" i="1"/>
  <c r="S248" i="1"/>
  <c r="S247" i="1"/>
  <c r="S250" i="1"/>
  <c r="S249" i="1"/>
  <c r="S251" i="1"/>
  <c r="S253" i="1"/>
  <c r="S252" i="1"/>
  <c r="S255" i="1"/>
  <c r="S254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4" i="1"/>
  <c r="S273" i="1"/>
  <c r="S275" i="1"/>
  <c r="S276" i="1"/>
  <c r="S277" i="1"/>
  <c r="S278" i="1"/>
  <c r="S279" i="1"/>
  <c r="S280" i="1"/>
  <c r="S281" i="1"/>
  <c r="S282" i="1"/>
  <c r="S283" i="1"/>
  <c r="S284" i="1"/>
  <c r="S286" i="1"/>
  <c r="S285" i="1"/>
  <c r="S287" i="1"/>
  <c r="S288" i="1"/>
  <c r="S289" i="1"/>
  <c r="S290" i="1"/>
  <c r="S291" i="1"/>
  <c r="S293" i="1"/>
  <c r="S292" i="1"/>
  <c r="S294" i="1"/>
  <c r="S295" i="1"/>
  <c r="S296" i="1"/>
  <c r="S297" i="1"/>
  <c r="S298" i="1"/>
  <c r="S299" i="1"/>
  <c r="S328" i="1"/>
  <c r="S329" i="1"/>
  <c r="S330" i="1"/>
  <c r="S331" i="1"/>
  <c r="S333" i="1"/>
  <c r="S332" i="1"/>
  <c r="S334" i="1"/>
  <c r="S335" i="1"/>
  <c r="S337" i="1"/>
  <c r="S336" i="1"/>
  <c r="S338" i="1"/>
  <c r="S339" i="1"/>
  <c r="S340" i="1"/>
  <c r="S341" i="1"/>
  <c r="S342" i="1"/>
  <c r="S343" i="1"/>
  <c r="S344" i="1"/>
  <c r="S346" i="1"/>
  <c r="S345" i="1"/>
  <c r="S347" i="1"/>
  <c r="S348" i="1"/>
  <c r="S349" i="1"/>
  <c r="S350" i="1"/>
  <c r="S351" i="1"/>
  <c r="S352" i="1"/>
  <c r="S353" i="1"/>
  <c r="S354" i="1"/>
  <c r="S355" i="1"/>
  <c r="S356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T236" i="1"/>
  <c r="T217" i="1"/>
  <c r="T286" i="1"/>
  <c r="T292" i="1"/>
  <c r="T271" i="1"/>
  <c r="T218" i="1"/>
  <c r="T234" i="1"/>
  <c r="T216" i="1"/>
  <c r="T224" i="1"/>
  <c r="T263" i="1"/>
  <c r="T248" i="1"/>
  <c r="T261" i="1"/>
  <c r="T290" i="1"/>
  <c r="T264" i="1"/>
  <c r="T275" i="1"/>
  <c r="T219" i="1"/>
  <c r="T221" i="1"/>
  <c r="T223" i="1"/>
  <c r="T232" i="1"/>
  <c r="T233" i="1"/>
  <c r="T260" i="1"/>
  <c r="T247" i="1"/>
  <c r="T240" i="1"/>
  <c r="T254" i="1"/>
  <c r="T278" i="1"/>
  <c r="T252" i="1"/>
  <c r="T255" i="1"/>
  <c r="T272" i="1"/>
  <c r="T242" i="1"/>
  <c r="T245" i="1"/>
  <c r="T266" i="1"/>
  <c r="T277" i="1"/>
  <c r="T280" i="1"/>
  <c r="T283" i="1"/>
  <c r="T294" i="1"/>
  <c r="T291" i="1"/>
  <c r="T276" i="1"/>
  <c r="T222" i="1"/>
  <c r="T246" i="1"/>
  <c r="T256" i="1"/>
  <c r="T281" i="1"/>
  <c r="T293" i="1"/>
  <c r="T214" i="1"/>
  <c r="T215" i="1"/>
  <c r="T220" i="1"/>
  <c r="T227" i="1"/>
  <c r="T225" i="1"/>
  <c r="T226" i="1"/>
  <c r="T228" i="1"/>
  <c r="T229" i="1"/>
  <c r="T231" i="1"/>
  <c r="T230" i="1"/>
  <c r="T235" i="1"/>
  <c r="T237" i="1"/>
  <c r="T238" i="1"/>
  <c r="T239" i="1"/>
  <c r="T241" i="1"/>
  <c r="T244" i="1"/>
  <c r="T243" i="1"/>
  <c r="T249" i="1"/>
  <c r="T250" i="1"/>
  <c r="T251" i="1"/>
  <c r="T253" i="1"/>
  <c r="T262" i="1"/>
  <c r="T284" i="1"/>
  <c r="T267" i="1"/>
  <c r="T279" i="1"/>
  <c r="T282" i="1"/>
  <c r="T287" i="1"/>
  <c r="T274" i="1"/>
  <c r="T285" i="1"/>
  <c r="T288" i="1"/>
  <c r="T295" i="1"/>
  <c r="T257" i="1"/>
  <c r="T258" i="1"/>
  <c r="T259" i="1"/>
  <c r="T265" i="1"/>
  <c r="T268" i="1"/>
  <c r="T269" i="1"/>
  <c r="T270" i="1"/>
  <c r="T273" i="1"/>
  <c r="T296" i="1"/>
  <c r="T297" i="1"/>
  <c r="T298" i="1"/>
  <c r="T289" i="1"/>
  <c r="T160" i="1"/>
  <c r="T108" i="1"/>
  <c r="T23" i="1"/>
  <c r="T43" i="1"/>
  <c r="T48" i="1"/>
  <c r="T146" i="1"/>
  <c r="T190" i="1"/>
  <c r="T111" i="1"/>
  <c r="T189" i="1"/>
  <c r="T142" i="1"/>
  <c r="T41" i="1"/>
  <c r="T123" i="1"/>
  <c r="T182" i="1"/>
  <c r="T66" i="1"/>
  <c r="T198" i="1"/>
  <c r="T167" i="1"/>
  <c r="T212" i="1"/>
  <c r="T65" i="1"/>
  <c r="T150" i="1"/>
  <c r="T72" i="1"/>
  <c r="T157" i="1"/>
  <c r="T134" i="1"/>
  <c r="T120" i="1"/>
  <c r="T126" i="1"/>
  <c r="T97" i="1"/>
  <c r="T145" i="1"/>
  <c r="T57" i="1"/>
  <c r="T92" i="1"/>
  <c r="T129" i="1"/>
  <c r="T86" i="1"/>
  <c r="T77" i="1"/>
  <c r="T83" i="1"/>
  <c r="T144" i="1"/>
  <c r="T153" i="1"/>
  <c r="T143" i="1"/>
  <c r="T122" i="1"/>
  <c r="T102" i="1"/>
  <c r="T36" i="1"/>
  <c r="T13" i="1"/>
  <c r="T10" i="1"/>
  <c r="T27" i="1"/>
  <c r="T156" i="1"/>
  <c r="T132" i="1"/>
  <c r="T117" i="1"/>
  <c r="T174" i="1"/>
  <c r="T137" i="1"/>
  <c r="T186" i="1"/>
  <c r="T184" i="1"/>
  <c r="T31" i="1"/>
  <c r="T154" i="1"/>
  <c r="T119" i="1"/>
  <c r="T98" i="1"/>
  <c r="T106" i="1"/>
  <c r="T151" i="1"/>
  <c r="T53" i="1"/>
  <c r="T104" i="1"/>
  <c r="T16" i="1"/>
  <c r="T89" i="1"/>
  <c r="T130" i="1"/>
  <c r="T25" i="1"/>
  <c r="T28" i="1"/>
  <c r="T17" i="1"/>
  <c r="T136" i="1"/>
  <c r="T38" i="1"/>
  <c r="T133" i="1"/>
  <c r="T21" i="1"/>
  <c r="T100" i="1"/>
  <c r="T82" i="1"/>
  <c r="T24" i="1"/>
  <c r="T14" i="1"/>
  <c r="T165" i="1"/>
  <c r="T67" i="1"/>
  <c r="T131" i="1"/>
  <c r="T11" i="1"/>
  <c r="T22" i="1"/>
  <c r="T70" i="1"/>
  <c r="T79" i="1"/>
  <c r="T20" i="1"/>
  <c r="T34" i="1"/>
  <c r="T26" i="1"/>
  <c r="T12" i="1"/>
  <c r="T152" i="1"/>
  <c r="T61" i="1"/>
  <c r="T37" i="1"/>
  <c r="T76" i="1"/>
  <c r="T125" i="1"/>
  <c r="T140" i="1"/>
  <c r="T32" i="1"/>
  <c r="T80" i="1"/>
  <c r="T88" i="1"/>
  <c r="T60" i="1"/>
  <c r="T68" i="1"/>
  <c r="T75" i="1"/>
  <c r="T59" i="1"/>
  <c r="T69" i="1"/>
  <c r="T94" i="1"/>
  <c r="T18" i="1"/>
  <c r="T33" i="1"/>
  <c r="T9" i="1"/>
  <c r="T45" i="1"/>
  <c r="T93" i="1"/>
  <c r="T158" i="1"/>
  <c r="T47" i="1"/>
  <c r="T127" i="1"/>
  <c r="T55" i="1"/>
  <c r="T46" i="1"/>
  <c r="T64" i="1"/>
  <c r="T8" i="1"/>
  <c r="T163" i="1"/>
  <c r="T162" i="1"/>
  <c r="T87" i="1"/>
  <c r="T121" i="1"/>
  <c r="T128" i="1"/>
  <c r="T51" i="1"/>
  <c r="T54" i="1"/>
  <c r="T29" i="1"/>
  <c r="T166" i="1"/>
  <c r="T35" i="1"/>
  <c r="T85" i="1"/>
  <c r="T114" i="1"/>
  <c r="T39" i="1"/>
  <c r="T44" i="1"/>
  <c r="T49" i="1"/>
  <c r="T78" i="1"/>
  <c r="T159" i="1"/>
  <c r="T30" i="1"/>
  <c r="T161" i="1"/>
  <c r="T171" i="1"/>
  <c r="T15" i="1"/>
  <c r="T168" i="1"/>
  <c r="T178" i="1"/>
  <c r="T124" i="1"/>
  <c r="T62" i="1"/>
  <c r="T169" i="1"/>
  <c r="T101" i="1"/>
  <c r="T96" i="1"/>
  <c r="T81" i="1"/>
  <c r="T176" i="1"/>
  <c r="T141" i="1"/>
  <c r="T138" i="1"/>
  <c r="T90" i="1"/>
  <c r="T148" i="1"/>
  <c r="T91" i="1"/>
  <c r="T112" i="1"/>
  <c r="T155" i="1"/>
  <c r="T84" i="1"/>
  <c r="T19" i="1"/>
  <c r="T56" i="1"/>
  <c r="T103" i="1"/>
  <c r="T135" i="1"/>
  <c r="T179" i="1"/>
  <c r="T116" i="1"/>
  <c r="T58" i="1"/>
  <c r="T139" i="1"/>
  <c r="T52" i="1"/>
  <c r="T173" i="1"/>
  <c r="T180" i="1"/>
  <c r="T50" i="1"/>
  <c r="T105" i="1"/>
  <c r="T107" i="1"/>
  <c r="T74" i="1"/>
  <c r="T71" i="1"/>
  <c r="T177" i="1"/>
  <c r="T164" i="1"/>
  <c r="T110" i="1"/>
  <c r="T113" i="1"/>
  <c r="T147" i="1"/>
  <c r="T40" i="1"/>
  <c r="T63" i="1"/>
  <c r="T95" i="1"/>
  <c r="T99" i="1"/>
  <c r="T172" i="1"/>
  <c r="T73" i="1"/>
  <c r="T149" i="1"/>
  <c r="T109" i="1"/>
  <c r="T115" i="1"/>
  <c r="T118" i="1"/>
  <c r="T170" i="1"/>
  <c r="T175" i="1"/>
  <c r="T181" i="1"/>
  <c r="T183" i="1"/>
  <c r="T185" i="1"/>
  <c r="T187" i="1"/>
  <c r="T188" i="1"/>
  <c r="T191" i="1"/>
  <c r="T193" i="1"/>
  <c r="T192" i="1"/>
  <c r="T194" i="1"/>
  <c r="T195" i="1"/>
  <c r="T197" i="1"/>
  <c r="T196" i="1"/>
  <c r="T199" i="1"/>
  <c r="T200" i="1"/>
  <c r="T201" i="1"/>
  <c r="T202" i="1"/>
  <c r="T203" i="1"/>
  <c r="T204" i="1"/>
  <c r="T205" i="1"/>
  <c r="T207" i="1"/>
  <c r="T206" i="1"/>
  <c r="T208" i="1"/>
  <c r="T209" i="1"/>
  <c r="T210" i="1"/>
  <c r="T211" i="1"/>
  <c r="T213" i="1"/>
  <c r="T299" i="1"/>
  <c r="T300" i="1"/>
  <c r="T301" i="1"/>
  <c r="T303" i="1"/>
  <c r="T302" i="1"/>
  <c r="T304" i="1"/>
  <c r="T306" i="1"/>
  <c r="T305" i="1"/>
  <c r="T308" i="1"/>
  <c r="T307" i="1"/>
  <c r="T309" i="1"/>
  <c r="T310" i="1"/>
  <c r="T311" i="1"/>
  <c r="T312" i="1"/>
  <c r="T314" i="1"/>
  <c r="T315" i="1"/>
  <c r="T313" i="1"/>
  <c r="T316" i="1"/>
  <c r="T317" i="1"/>
  <c r="T318" i="1"/>
  <c r="T319" i="1"/>
  <c r="T320" i="1"/>
  <c r="T321" i="1"/>
  <c r="T322" i="1"/>
  <c r="T324" i="1"/>
  <c r="T323" i="1"/>
  <c r="T325" i="1"/>
  <c r="T328" i="1"/>
  <c r="T329" i="1"/>
  <c r="T330" i="1"/>
  <c r="T331" i="1"/>
  <c r="T333" i="1"/>
  <c r="T332" i="1"/>
  <c r="T334" i="1"/>
  <c r="T335" i="1"/>
  <c r="T337" i="1"/>
  <c r="T336" i="1"/>
  <c r="T338" i="1"/>
  <c r="T339" i="1"/>
  <c r="T340" i="1"/>
  <c r="T341" i="1"/>
  <c r="T342" i="1"/>
  <c r="T343" i="1"/>
  <c r="T344" i="1"/>
  <c r="T346" i="1"/>
  <c r="T345" i="1"/>
  <c r="T347" i="1"/>
  <c r="T348" i="1"/>
  <c r="T349" i="1"/>
  <c r="T350" i="1"/>
  <c r="T351" i="1"/>
  <c r="T352" i="1"/>
  <c r="T353" i="1"/>
  <c r="T354" i="1"/>
  <c r="T355" i="1"/>
  <c r="T356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42" i="1"/>
  <c r="C4" i="45"/>
  <c r="E3" i="7" l="1"/>
  <c r="S315" i="1"/>
  <c r="F13" i="5"/>
  <c r="L13" i="5" s="1"/>
  <c r="B7" i="40"/>
  <c r="A4" i="40" s="1"/>
  <c r="J246" i="30"/>
  <c r="J214" i="30"/>
  <c r="J16" i="30"/>
  <c r="C8" i="30"/>
  <c r="G8" i="30"/>
  <c r="G16" i="5"/>
  <c r="C16" i="5"/>
  <c r="J16" i="5"/>
  <c r="F16" i="5"/>
  <c r="I16" i="5"/>
  <c r="E16" i="5"/>
  <c r="K16" i="5"/>
  <c r="H16" i="5"/>
  <c r="D16" i="5"/>
  <c r="B16" i="5"/>
  <c r="M12" i="5"/>
  <c r="B7" i="7"/>
  <c r="F22" i="5"/>
  <c r="B21" i="5"/>
  <c r="K21" i="5"/>
  <c r="G21" i="5"/>
  <c r="C21" i="5"/>
  <c r="J21" i="5"/>
  <c r="F21" i="5"/>
  <c r="I21" i="5"/>
  <c r="E21" i="5"/>
  <c r="H21" i="5"/>
  <c r="D21" i="5"/>
  <c r="I447" i="42"/>
  <c r="J845" i="30"/>
  <c r="I115" i="42"/>
  <c r="I72" i="42"/>
  <c r="J188" i="30"/>
  <c r="I9" i="29"/>
  <c r="I179" i="42"/>
  <c r="I44" i="42"/>
  <c r="I645" i="42"/>
  <c r="R10" i="28"/>
  <c r="J952" i="30"/>
  <c r="J792" i="30"/>
  <c r="J552" i="30"/>
  <c r="J268" i="30"/>
  <c r="J204" i="30"/>
  <c r="J172" i="30"/>
  <c r="J80" i="30"/>
  <c r="J744" i="30"/>
  <c r="J680" i="30"/>
  <c r="J616" i="30"/>
  <c r="J488" i="30"/>
  <c r="J144" i="30"/>
  <c r="I24" i="42"/>
  <c r="I314" i="42"/>
  <c r="J904" i="30"/>
  <c r="J424" i="30"/>
  <c r="I290" i="42"/>
  <c r="I959" i="42"/>
  <c r="I935" i="42"/>
  <c r="I927" i="42"/>
  <c r="I903" i="42"/>
  <c r="I871" i="42"/>
  <c r="I863" i="42"/>
  <c r="I847" i="42"/>
  <c r="I839" i="42"/>
  <c r="I831" i="42"/>
  <c r="I815" i="42"/>
  <c r="I799" i="42"/>
  <c r="I783" i="42"/>
  <c r="I775" i="42"/>
  <c r="I751" i="42"/>
  <c r="I743" i="42"/>
  <c r="I703" i="42"/>
  <c r="I687" i="42"/>
  <c r="I679" i="42"/>
  <c r="I639" i="42"/>
  <c r="I623" i="42"/>
  <c r="I615" i="42"/>
  <c r="I575" i="42"/>
  <c r="I559" i="42"/>
  <c r="I551" i="42"/>
  <c r="I511" i="42"/>
  <c r="I495" i="42"/>
  <c r="I487" i="42"/>
  <c r="I431" i="42"/>
  <c r="I423" i="42"/>
  <c r="I383" i="42"/>
  <c r="I371" i="42"/>
  <c r="I363" i="42"/>
  <c r="I343" i="42"/>
  <c r="I267" i="42"/>
  <c r="I259" i="42"/>
  <c r="I251" i="42"/>
  <c r="I243" i="42"/>
  <c r="I235" i="42"/>
  <c r="I227" i="42"/>
  <c r="I219" i="42"/>
  <c r="I211" i="42"/>
  <c r="I203" i="42"/>
  <c r="I195" i="42"/>
  <c r="I187" i="42"/>
  <c r="I171" i="42"/>
  <c r="I163" i="42"/>
  <c r="I155" i="42"/>
  <c r="I147" i="42"/>
  <c r="I139" i="42"/>
  <c r="I131" i="42"/>
  <c r="I123" i="42"/>
  <c r="I107" i="42"/>
  <c r="I320" i="42"/>
  <c r="I316" i="42"/>
  <c r="I308" i="42"/>
  <c r="I296" i="42"/>
  <c r="I288" i="42"/>
  <c r="I284" i="42"/>
  <c r="I276" i="42"/>
  <c r="I100" i="42"/>
  <c r="I96" i="42"/>
  <c r="I92" i="42"/>
  <c r="I88" i="42"/>
  <c r="I84" i="42"/>
  <c r="I80" i="42"/>
  <c r="I76" i="42"/>
  <c r="I68" i="42"/>
  <c r="I64" i="42"/>
  <c r="I60" i="42"/>
  <c r="I56" i="42"/>
  <c r="I52" i="42"/>
  <c r="I48" i="42"/>
  <c r="I40" i="42"/>
  <c r="I36" i="42"/>
  <c r="I32" i="42"/>
  <c r="I28" i="42"/>
  <c r="I20" i="42"/>
  <c r="I16" i="42"/>
  <c r="I12" i="42"/>
  <c r="R9" i="28"/>
  <c r="L7" i="5"/>
  <c r="L4" i="5"/>
  <c r="I537" i="42"/>
  <c r="J1000" i="30"/>
  <c r="J984" i="30"/>
  <c r="J968" i="30"/>
  <c r="J936" i="30"/>
  <c r="J920" i="30"/>
  <c r="J888" i="30"/>
  <c r="J872" i="30"/>
  <c r="J856" i="30"/>
  <c r="J840" i="30"/>
  <c r="J824" i="30"/>
  <c r="J808" i="30"/>
  <c r="J776" i="30"/>
  <c r="J760" i="30"/>
  <c r="J728" i="30"/>
  <c r="J712" i="30"/>
  <c r="J696" i="30"/>
  <c r="J664" i="30"/>
  <c r="J648" i="30"/>
  <c r="J632" i="30"/>
  <c r="J600" i="30"/>
  <c r="J584" i="30"/>
  <c r="J568" i="30"/>
  <c r="J536" i="30"/>
  <c r="J520" i="30"/>
  <c r="J504" i="30"/>
  <c r="J472" i="30"/>
  <c r="J456" i="30"/>
  <c r="J440" i="30"/>
  <c r="J408" i="30"/>
  <c r="J392" i="30"/>
  <c r="J356" i="30"/>
  <c r="J352" i="30"/>
  <c r="J320" i="30"/>
  <c r="J316" i="30"/>
  <c r="J300" i="30"/>
  <c r="J284" i="30"/>
  <c r="J252" i="30"/>
  <c r="J236" i="30"/>
  <c r="J220" i="30"/>
  <c r="J200" i="30"/>
  <c r="J196" i="30"/>
  <c r="J192" i="30"/>
  <c r="J184" i="30"/>
  <c r="J180" i="30"/>
  <c r="J176" i="30"/>
  <c r="J168" i="30"/>
  <c r="J164" i="30"/>
  <c r="J160" i="30"/>
  <c r="J128" i="30"/>
  <c r="J112" i="30"/>
  <c r="J96" i="30"/>
  <c r="J64" i="30"/>
  <c r="J48" i="30"/>
  <c r="J32" i="30"/>
  <c r="I980" i="42"/>
  <c r="J754" i="30"/>
  <c r="J278" i="30"/>
  <c r="I961" i="42"/>
  <c r="I953" i="42"/>
  <c r="I929" i="42"/>
  <c r="I921" i="42"/>
  <c r="I901" i="42"/>
  <c r="I897" i="42"/>
  <c r="I889" i="42"/>
  <c r="I877" i="42"/>
  <c r="I865" i="42"/>
  <c r="I857" i="42"/>
  <c r="I845" i="42"/>
  <c r="I837" i="42"/>
  <c r="I825" i="42"/>
  <c r="I805" i="42"/>
  <c r="I801" i="42"/>
  <c r="I793" i="42"/>
  <c r="I781" i="42"/>
  <c r="I773" i="42"/>
  <c r="I769" i="42"/>
  <c r="I749" i="42"/>
  <c r="I741" i="42"/>
  <c r="I737" i="42"/>
  <c r="I729" i="42"/>
  <c r="I717" i="42"/>
  <c r="I709" i="42"/>
  <c r="I705" i="42"/>
  <c r="I697" i="42"/>
  <c r="I685" i="42"/>
  <c r="I677" i="42"/>
  <c r="I673" i="42"/>
  <c r="I665" i="42"/>
  <c r="I653" i="42"/>
  <c r="I641" i="42"/>
  <c r="I633" i="42"/>
  <c r="I621" i="42"/>
  <c r="I613" i="42"/>
  <c r="I609" i="42"/>
  <c r="I601" i="42"/>
  <c r="I589" i="42"/>
  <c r="I581" i="42"/>
  <c r="I577" i="42"/>
  <c r="I569" i="42"/>
  <c r="I557" i="42"/>
  <c r="I549" i="42"/>
  <c r="I545" i="42"/>
  <c r="I525" i="42"/>
  <c r="I517" i="42"/>
  <c r="I513" i="42"/>
  <c r="I505" i="42"/>
  <c r="I493" i="42"/>
  <c r="I485" i="42"/>
  <c r="I481" i="42"/>
  <c r="I473" i="42"/>
  <c r="I461" i="42"/>
  <c r="I453" i="42"/>
  <c r="I449" i="42"/>
  <c r="I441" i="42"/>
  <c r="I429" i="42"/>
  <c r="I421" i="42"/>
  <c r="I417" i="42"/>
  <c r="I409" i="42"/>
  <c r="I397" i="42"/>
  <c r="I389" i="42"/>
  <c r="I385" i="42"/>
  <c r="I377" i="42"/>
  <c r="I361" i="42"/>
  <c r="I353" i="42"/>
  <c r="I265" i="42"/>
  <c r="I257" i="42"/>
  <c r="I249" i="42"/>
  <c r="I241" i="42"/>
  <c r="I233" i="42"/>
  <c r="I225" i="42"/>
  <c r="I209" i="42"/>
  <c r="I201" i="42"/>
  <c r="I193" i="42"/>
  <c r="I185" i="42"/>
  <c r="I177" i="42"/>
  <c r="I169" i="42"/>
  <c r="I161" i="42"/>
  <c r="I153" i="42"/>
  <c r="I145" i="42"/>
  <c r="I137" i="42"/>
  <c r="I129" i="42"/>
  <c r="I121" i="42"/>
  <c r="I113" i="42"/>
  <c r="I105" i="42"/>
  <c r="O8" i="43"/>
  <c r="K8" i="43"/>
  <c r="G8" i="43"/>
  <c r="C8" i="43"/>
  <c r="N8" i="43"/>
  <c r="J8" i="43"/>
  <c r="F8" i="43"/>
  <c r="E8" i="43"/>
  <c r="M8" i="43"/>
  <c r="J75" i="30"/>
  <c r="J43" i="30"/>
  <c r="J973" i="30"/>
  <c r="J781" i="30"/>
  <c r="J725" i="30"/>
  <c r="J385" i="30"/>
  <c r="J317" i="30"/>
  <c r="J101" i="30"/>
  <c r="I337" i="42"/>
  <c r="I282" i="42"/>
  <c r="I102" i="42"/>
  <c r="I98" i="42"/>
  <c r="I94" i="42"/>
  <c r="I90" i="42"/>
  <c r="I86" i="42"/>
  <c r="I82" i="42"/>
  <c r="I78" i="42"/>
  <c r="I74" i="42"/>
  <c r="I70" i="42"/>
  <c r="I66" i="42"/>
  <c r="I62" i="42"/>
  <c r="I58" i="42"/>
  <c r="I54" i="42"/>
  <c r="I50" i="42"/>
  <c r="I46" i="42"/>
  <c r="I42" i="42"/>
  <c r="I38" i="42"/>
  <c r="I34" i="42"/>
  <c r="I30" i="42"/>
  <c r="I26" i="42"/>
  <c r="I22" i="42"/>
  <c r="I18" i="42"/>
  <c r="I14" i="42"/>
  <c r="I10" i="42"/>
  <c r="I895" i="42"/>
  <c r="I807" i="42"/>
  <c r="I767" i="42"/>
  <c r="I735" i="42"/>
  <c r="I719" i="42"/>
  <c r="I711" i="42"/>
  <c r="I671" i="42"/>
  <c r="I655" i="42"/>
  <c r="I647" i="42"/>
  <c r="I607" i="42"/>
  <c r="I591" i="42"/>
  <c r="I583" i="42"/>
  <c r="I543" i="42"/>
  <c r="I527" i="42"/>
  <c r="I519" i="42"/>
  <c r="I479" i="42"/>
  <c r="I463" i="42"/>
  <c r="I455" i="42"/>
  <c r="I415" i="42"/>
  <c r="I399" i="42"/>
  <c r="I391" i="42"/>
  <c r="I375" i="42"/>
  <c r="I217" i="42"/>
  <c r="I8" i="43"/>
  <c r="M7" i="5"/>
  <c r="J123" i="30"/>
  <c r="J91" i="30"/>
  <c r="J59" i="30"/>
  <c r="J27" i="30"/>
  <c r="R532" i="28"/>
  <c r="G19" i="5"/>
  <c r="L9" i="5"/>
  <c r="C20" i="5"/>
  <c r="C19" i="5"/>
  <c r="J155" i="30"/>
  <c r="I941" i="42"/>
  <c r="I933" i="42"/>
  <c r="I909" i="42"/>
  <c r="I869" i="42"/>
  <c r="I833" i="42"/>
  <c r="I813" i="42"/>
  <c r="I761" i="42"/>
  <c r="R64" i="28"/>
  <c r="P8" i="43"/>
  <c r="R873" i="43"/>
  <c r="R877" i="43"/>
  <c r="R881" i="43"/>
  <c r="R885" i="43"/>
  <c r="R889" i="43"/>
  <c r="R893" i="43"/>
  <c r="R897" i="43"/>
  <c r="R901" i="43"/>
  <c r="R905" i="43"/>
  <c r="R909" i="43"/>
  <c r="R913" i="43"/>
  <c r="R917" i="43"/>
  <c r="R872" i="43"/>
  <c r="R876" i="43"/>
  <c r="R880" i="43"/>
  <c r="R884" i="43"/>
  <c r="R888" i="43"/>
  <c r="R892" i="43"/>
  <c r="R896" i="43"/>
  <c r="R900" i="43"/>
  <c r="R904" i="43"/>
  <c r="R908" i="43"/>
  <c r="R912" i="43"/>
  <c r="R916" i="43"/>
  <c r="R329" i="43"/>
  <c r="R875" i="43"/>
  <c r="R879" i="43"/>
  <c r="R883" i="43"/>
  <c r="R887" i="43"/>
  <c r="R891" i="43"/>
  <c r="R895" i="43"/>
  <c r="R899" i="43"/>
  <c r="R903" i="43"/>
  <c r="R907" i="43"/>
  <c r="R911" i="43"/>
  <c r="R915" i="43"/>
  <c r="R874" i="43"/>
  <c r="R878" i="43"/>
  <c r="R882" i="43"/>
  <c r="R886" i="43"/>
  <c r="R890" i="43"/>
  <c r="R894" i="43"/>
  <c r="R898" i="43"/>
  <c r="R902" i="43"/>
  <c r="R906" i="43"/>
  <c r="R910" i="43"/>
  <c r="R914" i="43"/>
  <c r="R918" i="43"/>
  <c r="J139" i="30"/>
  <c r="J107" i="30"/>
  <c r="M6" i="5"/>
  <c r="J11" i="30"/>
  <c r="J850" i="30"/>
  <c r="J786" i="30"/>
  <c r="J690" i="30"/>
  <c r="J626" i="30"/>
  <c r="J562" i="30"/>
  <c r="J498" i="30"/>
  <c r="J434" i="30"/>
  <c r="J946" i="30"/>
  <c r="J818" i="30"/>
  <c r="J989" i="30"/>
  <c r="J925" i="30"/>
  <c r="J861" i="30"/>
  <c r="J797" i="30"/>
  <c r="J733" i="30"/>
  <c r="J709" i="30"/>
  <c r="J681" i="30"/>
  <c r="J669" i="30"/>
  <c r="J645" i="30"/>
  <c r="J617" i="30"/>
  <c r="J605" i="30"/>
  <c r="J581" i="30"/>
  <c r="J553" i="30"/>
  <c r="J541" i="30"/>
  <c r="J517" i="30"/>
  <c r="J489" i="30"/>
  <c r="J477" i="30"/>
  <c r="J453" i="30"/>
  <c r="J425" i="30"/>
  <c r="J417" i="30"/>
  <c r="J405" i="30"/>
  <c r="J393" i="30"/>
  <c r="J373" i="30"/>
  <c r="J357" i="30"/>
  <c r="J345" i="30"/>
  <c r="J309" i="30"/>
  <c r="J289" i="30"/>
  <c r="J257" i="30"/>
  <c r="J225" i="30"/>
  <c r="J133" i="30"/>
  <c r="J69" i="30"/>
  <c r="J37" i="30"/>
  <c r="J11" i="41"/>
  <c r="J354" i="41"/>
  <c r="J363" i="41"/>
  <c r="J368" i="41"/>
  <c r="I960" i="42"/>
  <c r="I956" i="42"/>
  <c r="I952" i="42"/>
  <c r="I948" i="42"/>
  <c r="I944" i="42"/>
  <c r="I940" i="42"/>
  <c r="I936" i="42"/>
  <c r="I932" i="42"/>
  <c r="I928" i="42"/>
  <c r="I924" i="42"/>
  <c r="I920" i="42"/>
  <c r="I916" i="42"/>
  <c r="I912" i="42"/>
  <c r="I908" i="42"/>
  <c r="I904" i="42"/>
  <c r="I900" i="42"/>
  <c r="I896" i="42"/>
  <c r="I892" i="42"/>
  <c r="I888" i="42"/>
  <c r="I884" i="42"/>
  <c r="I880" i="42"/>
  <c r="I876" i="42"/>
  <c r="I872" i="42"/>
  <c r="I868" i="42"/>
  <c r="I864" i="42"/>
  <c r="I860" i="42"/>
  <c r="I856" i="42"/>
  <c r="I852" i="42"/>
  <c r="I848" i="42"/>
  <c r="I844" i="42"/>
  <c r="I840" i="42"/>
  <c r="I836" i="42"/>
  <c r="I832" i="42"/>
  <c r="I828" i="42"/>
  <c r="I824" i="42"/>
  <c r="I820" i="42"/>
  <c r="I816" i="42"/>
  <c r="I812" i="42"/>
  <c r="I808" i="42"/>
  <c r="I804" i="42"/>
  <c r="I800" i="42"/>
  <c r="I796" i="42"/>
  <c r="I792" i="42"/>
  <c r="I788" i="42"/>
  <c r="I784" i="42"/>
  <c r="I780" i="42"/>
  <c r="I776" i="42"/>
  <c r="I772" i="42"/>
  <c r="I768" i="42"/>
  <c r="I764" i="42"/>
  <c r="I760" i="42"/>
  <c r="I756" i="42"/>
  <c r="I752" i="42"/>
  <c r="I748" i="42"/>
  <c r="I744" i="42"/>
  <c r="I740" i="42"/>
  <c r="I736" i="42"/>
  <c r="I732" i="42"/>
  <c r="I728" i="42"/>
  <c r="I724" i="42"/>
  <c r="I720" i="42"/>
  <c r="I716" i="42"/>
  <c r="I712" i="42"/>
  <c r="I708" i="42"/>
  <c r="I704" i="42"/>
  <c r="I700" i="42"/>
  <c r="I696" i="42"/>
  <c r="I692" i="42"/>
  <c r="I688" i="42"/>
  <c r="I684" i="42"/>
  <c r="I680" i="42"/>
  <c r="I676" i="42"/>
  <c r="I672" i="42"/>
  <c r="I668" i="42"/>
  <c r="I664" i="42"/>
  <c r="I660" i="42"/>
  <c r="I656" i="42"/>
  <c r="I652" i="42"/>
  <c r="I648" i="42"/>
  <c r="I644" i="42"/>
  <c r="I640" i="42"/>
  <c r="I636" i="42"/>
  <c r="I632" i="42"/>
  <c r="I628" i="42"/>
  <c r="I624" i="42"/>
  <c r="I620" i="42"/>
  <c r="I616" i="42"/>
  <c r="I612" i="42"/>
  <c r="I608" i="42"/>
  <c r="I604" i="42"/>
  <c r="I600" i="42"/>
  <c r="I596" i="42"/>
  <c r="I592" i="42"/>
  <c r="I588" i="42"/>
  <c r="I584" i="42"/>
  <c r="I580" i="42"/>
  <c r="I576" i="42"/>
  <c r="I572" i="42"/>
  <c r="I568" i="42"/>
  <c r="I564" i="42"/>
  <c r="I560" i="42"/>
  <c r="I556" i="42"/>
  <c r="I552" i="42"/>
  <c r="I548" i="42"/>
  <c r="I544" i="42"/>
  <c r="I540" i="42"/>
  <c r="I536" i="42"/>
  <c r="I532" i="42"/>
  <c r="I528" i="42"/>
  <c r="I524" i="42"/>
  <c r="I520" i="42"/>
  <c r="I516" i="42"/>
  <c r="I512" i="42"/>
  <c r="I508" i="42"/>
  <c r="I504" i="42"/>
  <c r="I500" i="42"/>
  <c r="I496" i="42"/>
  <c r="I492" i="42"/>
  <c r="I488" i="42"/>
  <c r="I484" i="42"/>
  <c r="I480" i="42"/>
  <c r="I476" i="42"/>
  <c r="I472" i="42"/>
  <c r="I468" i="42"/>
  <c r="I464" i="42"/>
  <c r="I460" i="42"/>
  <c r="I456" i="42"/>
  <c r="I452" i="42"/>
  <c r="I448" i="42"/>
  <c r="I444" i="42"/>
  <c r="I440" i="42"/>
  <c r="I436" i="42"/>
  <c r="I432" i="42"/>
  <c r="I428" i="42"/>
  <c r="I424" i="42"/>
  <c r="I420" i="42"/>
  <c r="I416" i="42"/>
  <c r="I412" i="42"/>
  <c r="I408" i="42"/>
  <c r="I404" i="42"/>
  <c r="I400" i="42"/>
  <c r="I396" i="42"/>
  <c r="I392" i="42"/>
  <c r="I388" i="42"/>
  <c r="I384" i="42"/>
  <c r="I380" i="42"/>
  <c r="I372" i="42"/>
  <c r="I368" i="42"/>
  <c r="I364" i="42"/>
  <c r="I360" i="42"/>
  <c r="I356" i="42"/>
  <c r="I352" i="42"/>
  <c r="I344" i="42"/>
  <c r="I340" i="42"/>
  <c r="I312" i="42"/>
  <c r="I304" i="42"/>
  <c r="I300" i="42"/>
  <c r="I292" i="42"/>
  <c r="I280" i="42"/>
  <c r="I272" i="42"/>
  <c r="I268" i="42"/>
  <c r="I264" i="42"/>
  <c r="I260" i="42"/>
  <c r="I256" i="42"/>
  <c r="I252" i="42"/>
  <c r="I248" i="42"/>
  <c r="I244" i="42"/>
  <c r="I240" i="42"/>
  <c r="I236" i="42"/>
  <c r="I232" i="42"/>
  <c r="I228" i="42"/>
  <c r="I224" i="42"/>
  <c r="I220" i="42"/>
  <c r="I212" i="42"/>
  <c r="I208" i="42"/>
  <c r="I204" i="42"/>
  <c r="I200" i="42"/>
  <c r="I196" i="42"/>
  <c r="I192" i="42"/>
  <c r="I188" i="42"/>
  <c r="I184" i="42"/>
  <c r="I180" i="42"/>
  <c r="I176" i="42"/>
  <c r="I172" i="42"/>
  <c r="I168" i="42"/>
  <c r="I164" i="42"/>
  <c r="I160" i="42"/>
  <c r="I156" i="42"/>
  <c r="I152" i="42"/>
  <c r="I148" i="42"/>
  <c r="I144" i="42"/>
  <c r="I140" i="42"/>
  <c r="I136" i="42"/>
  <c r="I132" i="42"/>
  <c r="I128" i="42"/>
  <c r="I124" i="42"/>
  <c r="I120" i="42"/>
  <c r="I116" i="42"/>
  <c r="I112" i="42"/>
  <c r="I108" i="42"/>
  <c r="I104" i="42"/>
  <c r="I218" i="42"/>
  <c r="I957" i="42"/>
  <c r="I949" i="42"/>
  <c r="I945" i="42"/>
  <c r="I937" i="42"/>
  <c r="I925" i="42"/>
  <c r="I917" i="42"/>
  <c r="I913" i="42"/>
  <c r="I905" i="42"/>
  <c r="I893" i="42"/>
  <c r="I885" i="42"/>
  <c r="I881" i="42"/>
  <c r="I873" i="42"/>
  <c r="I861" i="42"/>
  <c r="I853" i="42"/>
  <c r="I849" i="42"/>
  <c r="I841" i="42"/>
  <c r="I829" i="42"/>
  <c r="I821" i="42"/>
  <c r="I817" i="42"/>
  <c r="I809" i="42"/>
  <c r="I797" i="42"/>
  <c r="I789" i="42"/>
  <c r="I785" i="42"/>
  <c r="I777" i="42"/>
  <c r="I765" i="42"/>
  <c r="I757" i="42"/>
  <c r="I753" i="42"/>
  <c r="I745" i="42"/>
  <c r="I733" i="42"/>
  <c r="I725" i="42"/>
  <c r="I721" i="42"/>
  <c r="I713" i="42"/>
  <c r="I701" i="42"/>
  <c r="I693" i="42"/>
  <c r="I689" i="42"/>
  <c r="I681" i="42"/>
  <c r="I669" i="42"/>
  <c r="I661" i="42"/>
  <c r="I657" i="42"/>
  <c r="I649" i="42"/>
  <c r="I637" i="42"/>
  <c r="I629" i="42"/>
  <c r="I625" i="42"/>
  <c r="I617" i="42"/>
  <c r="I605" i="42"/>
  <c r="I597" i="42"/>
  <c r="I593" i="42"/>
  <c r="I585" i="42"/>
  <c r="I573" i="42"/>
  <c r="I565" i="42"/>
  <c r="I561" i="42"/>
  <c r="I553" i="42"/>
  <c r="I541" i="42"/>
  <c r="I533" i="42"/>
  <c r="I529" i="42"/>
  <c r="I521" i="42"/>
  <c r="I509" i="42"/>
  <c r="I501" i="42"/>
  <c r="I497" i="42"/>
  <c r="I489" i="42"/>
  <c r="I477" i="42"/>
  <c r="I469" i="42"/>
  <c r="I465" i="42"/>
  <c r="I457" i="42"/>
  <c r="I445" i="42"/>
  <c r="I437" i="42"/>
  <c r="I433" i="42"/>
  <c r="I425" i="42"/>
  <c r="I413" i="42"/>
  <c r="I405" i="42"/>
  <c r="I401" i="42"/>
  <c r="I393" i="42"/>
  <c r="I381" i="42"/>
  <c r="I373" i="42"/>
  <c r="I369" i="42"/>
  <c r="I365" i="42"/>
  <c r="I357" i="42"/>
  <c r="I349" i="42"/>
  <c r="I345" i="42"/>
  <c r="I341" i="42"/>
  <c r="I317" i="42"/>
  <c r="I313" i="42"/>
  <c r="I309" i="42"/>
  <c r="I305" i="42"/>
  <c r="I301" i="42"/>
  <c r="I297" i="42"/>
  <c r="I293" i="42"/>
  <c r="I289" i="42"/>
  <c r="I285" i="42"/>
  <c r="I281" i="42"/>
  <c r="I277" i="42"/>
  <c r="I273" i="42"/>
  <c r="I269" i="42"/>
  <c r="I261" i="42"/>
  <c r="I253" i="42"/>
  <c r="I245" i="42"/>
  <c r="I237" i="42"/>
  <c r="I229" i="42"/>
  <c r="I221" i="42"/>
  <c r="I213" i="42"/>
  <c r="I205" i="42"/>
  <c r="I197" i="42"/>
  <c r="I189" i="42"/>
  <c r="I181" i="42"/>
  <c r="I173" i="42"/>
  <c r="I165" i="42"/>
  <c r="I157" i="42"/>
  <c r="I149" i="42"/>
  <c r="I141" i="42"/>
  <c r="I133" i="42"/>
  <c r="I125" i="42"/>
  <c r="I117" i="42"/>
  <c r="I109" i="42"/>
  <c r="I101" i="42"/>
  <c r="I97" i="42"/>
  <c r="I93" i="42"/>
  <c r="I89" i="42"/>
  <c r="I85" i="42"/>
  <c r="I81" i="42"/>
  <c r="I77" i="42"/>
  <c r="I73" i="42"/>
  <c r="I69" i="42"/>
  <c r="I65" i="42"/>
  <c r="I61" i="42"/>
  <c r="I57" i="42"/>
  <c r="I53" i="42"/>
  <c r="I49" i="42"/>
  <c r="I45" i="42"/>
  <c r="I41" i="42"/>
  <c r="I37" i="42"/>
  <c r="I33" i="42"/>
  <c r="I29" i="42"/>
  <c r="I25" i="42"/>
  <c r="I21" i="42"/>
  <c r="I17" i="42"/>
  <c r="I13" i="42"/>
  <c r="I9" i="42"/>
  <c r="I215" i="42"/>
  <c r="I958" i="42"/>
  <c r="I954" i="42"/>
  <c r="I950" i="42"/>
  <c r="I946" i="42"/>
  <c r="I942" i="42"/>
  <c r="I938" i="42"/>
  <c r="I934" i="42"/>
  <c r="I930" i="42"/>
  <c r="I926" i="42"/>
  <c r="I922" i="42"/>
  <c r="I918" i="42"/>
  <c r="I914" i="42"/>
  <c r="I910" i="42"/>
  <c r="I906" i="42"/>
  <c r="I902" i="42"/>
  <c r="I898" i="42"/>
  <c r="I894" i="42"/>
  <c r="I890" i="42"/>
  <c r="I886" i="42"/>
  <c r="I882" i="42"/>
  <c r="I878" i="42"/>
  <c r="I874" i="42"/>
  <c r="I870" i="42"/>
  <c r="I866" i="42"/>
  <c r="I862" i="42"/>
  <c r="I858" i="42"/>
  <c r="I854" i="42"/>
  <c r="I850" i="42"/>
  <c r="I846" i="42"/>
  <c r="I842" i="42"/>
  <c r="I838" i="42"/>
  <c r="I834" i="42"/>
  <c r="I830" i="42"/>
  <c r="I826" i="42"/>
  <c r="I822" i="42"/>
  <c r="I818" i="42"/>
  <c r="J294" i="30"/>
  <c r="J262" i="30"/>
  <c r="J230" i="30"/>
  <c r="J978" i="30"/>
  <c r="J962" i="30"/>
  <c r="J914" i="30"/>
  <c r="J898" i="30"/>
  <c r="J834" i="30"/>
  <c r="J770" i="30"/>
  <c r="J706" i="30"/>
  <c r="J642" i="30"/>
  <c r="J578" i="30"/>
  <c r="J514" i="30"/>
  <c r="J450" i="30"/>
  <c r="J402" i="30"/>
  <c r="J994" i="30"/>
  <c r="J930" i="30"/>
  <c r="J866" i="30"/>
  <c r="J802" i="30"/>
  <c r="J738" i="30"/>
  <c r="J722" i="30"/>
  <c r="J674" i="30"/>
  <c r="J658" i="30"/>
  <c r="J610" i="30"/>
  <c r="J594" i="30"/>
  <c r="J546" i="30"/>
  <c r="J530" i="30"/>
  <c r="J482" i="30"/>
  <c r="J466" i="30"/>
  <c r="J418" i="30"/>
  <c r="J386" i="30"/>
  <c r="J366" i="30"/>
  <c r="J310" i="30"/>
  <c r="J29" i="41"/>
  <c r="J33" i="41"/>
  <c r="J41" i="41"/>
  <c r="J61" i="41"/>
  <c r="J121" i="41"/>
  <c r="J125" i="41"/>
  <c r="J129" i="41"/>
  <c r="J133" i="41"/>
  <c r="J137" i="41"/>
  <c r="J141" i="41"/>
  <c r="J165" i="41"/>
  <c r="J213" i="41"/>
  <c r="E8" i="41"/>
  <c r="H8" i="41"/>
  <c r="D8" i="41"/>
  <c r="G8" i="41"/>
  <c r="J245" i="41"/>
  <c r="J249" i="41"/>
  <c r="J253" i="41"/>
  <c r="J257" i="41"/>
  <c r="J261" i="41"/>
  <c r="J289" i="41"/>
  <c r="J293" i="41"/>
  <c r="J297" i="41"/>
  <c r="J301" i="41"/>
  <c r="I814" i="42"/>
  <c r="I810" i="42"/>
  <c r="I806" i="42"/>
  <c r="I802" i="42"/>
  <c r="I798" i="42"/>
  <c r="I794" i="42"/>
  <c r="I790" i="42"/>
  <c r="I786" i="42"/>
  <c r="I782" i="42"/>
  <c r="I778" i="42"/>
  <c r="I774" i="42"/>
  <c r="I770" i="42"/>
  <c r="I766" i="42"/>
  <c r="I762" i="42"/>
  <c r="I758" i="42"/>
  <c r="I754" i="42"/>
  <c r="I750" i="42"/>
  <c r="I746" i="42"/>
  <c r="I742" i="42"/>
  <c r="I738" i="42"/>
  <c r="I734" i="42"/>
  <c r="I730" i="42"/>
  <c r="I726" i="42"/>
  <c r="I722" i="42"/>
  <c r="I718" i="42"/>
  <c r="I714" i="42"/>
  <c r="I710" i="42"/>
  <c r="I706" i="42"/>
  <c r="I702" i="42"/>
  <c r="I698" i="42"/>
  <c r="I694" i="42"/>
  <c r="I690" i="42"/>
  <c r="I686" i="42"/>
  <c r="I682" i="42"/>
  <c r="I678" i="42"/>
  <c r="I674" i="42"/>
  <c r="I670" i="42"/>
  <c r="I666" i="42"/>
  <c r="I662" i="42"/>
  <c r="I658" i="42"/>
  <c r="I654" i="42"/>
  <c r="I650" i="42"/>
  <c r="I646" i="42"/>
  <c r="I642" i="42"/>
  <c r="I638" i="42"/>
  <c r="I634" i="42"/>
  <c r="I630" i="42"/>
  <c r="I626" i="42"/>
  <c r="I622" i="42"/>
  <c r="I618" i="42"/>
  <c r="I614" i="42"/>
  <c r="I610" i="42"/>
  <c r="I606" i="42"/>
  <c r="I602" i="42"/>
  <c r="I598" i="42"/>
  <c r="I594" i="42"/>
  <c r="I590" i="42"/>
  <c r="I586" i="42"/>
  <c r="I582" i="42"/>
  <c r="I578" i="42"/>
  <c r="I574" i="42"/>
  <c r="I570" i="42"/>
  <c r="I566" i="42"/>
  <c r="I562" i="42"/>
  <c r="I558" i="42"/>
  <c r="I554" i="42"/>
  <c r="I550" i="42"/>
  <c r="I546" i="42"/>
  <c r="I542" i="42"/>
  <c r="I538" i="42"/>
  <c r="I534" i="42"/>
  <c r="I530" i="42"/>
  <c r="I526" i="42"/>
  <c r="I522" i="42"/>
  <c r="I518" i="42"/>
  <c r="I514" i="42"/>
  <c r="I510" i="42"/>
  <c r="I506" i="42"/>
  <c r="I502" i="42"/>
  <c r="I498" i="42"/>
  <c r="I494" i="42"/>
  <c r="I490" i="42"/>
  <c r="I486" i="42"/>
  <c r="I482" i="42"/>
  <c r="I478" i="42"/>
  <c r="I474" i="42"/>
  <c r="I470" i="42"/>
  <c r="I466" i="42"/>
  <c r="I462" i="42"/>
  <c r="I458" i="42"/>
  <c r="I454" i="42"/>
  <c r="I450" i="42"/>
  <c r="I446" i="42"/>
  <c r="I442" i="42"/>
  <c r="I438" i="42"/>
  <c r="I434" i="42"/>
  <c r="I430" i="42"/>
  <c r="I426" i="42"/>
  <c r="I422" i="42"/>
  <c r="I418" i="42"/>
  <c r="I414" i="42"/>
  <c r="I410" i="42"/>
  <c r="I406" i="42"/>
  <c r="I402" i="42"/>
  <c r="I398" i="42"/>
  <c r="I394" i="42"/>
  <c r="I390" i="42"/>
  <c r="I386" i="42"/>
  <c r="I382" i="42"/>
  <c r="I378" i="42"/>
  <c r="I374" i="42"/>
  <c r="I366" i="42"/>
  <c r="I362" i="42"/>
  <c r="I354" i="42"/>
  <c r="I350" i="42"/>
  <c r="I346" i="42"/>
  <c r="I338" i="42"/>
  <c r="I318" i="42"/>
  <c r="I310" i="42"/>
  <c r="I302" i="42"/>
  <c r="I298" i="42"/>
  <c r="I294" i="42"/>
  <c r="I286" i="42"/>
  <c r="I278" i="42"/>
  <c r="I274" i="42"/>
  <c r="I270" i="42"/>
  <c r="I266" i="42"/>
  <c r="I262" i="42"/>
  <c r="I258" i="42"/>
  <c r="I254" i="42"/>
  <c r="I250" i="42"/>
  <c r="I246" i="42"/>
  <c r="I242" i="42"/>
  <c r="I238" i="42"/>
  <c r="I234" i="42"/>
  <c r="I230" i="42"/>
  <c r="I226" i="42"/>
  <c r="I222" i="42"/>
  <c r="I214" i="42"/>
  <c r="I210" i="42"/>
  <c r="I206" i="42"/>
  <c r="I202" i="42"/>
  <c r="I198" i="42"/>
  <c r="I194" i="42"/>
  <c r="I190" i="42"/>
  <c r="I186" i="42"/>
  <c r="I182" i="42"/>
  <c r="I178" i="42"/>
  <c r="I174" i="42"/>
  <c r="I170" i="42"/>
  <c r="I166" i="42"/>
  <c r="I162" i="42"/>
  <c r="I158" i="42"/>
  <c r="I154" i="42"/>
  <c r="I150" i="42"/>
  <c r="I146" i="42"/>
  <c r="I142" i="42"/>
  <c r="I138" i="42"/>
  <c r="I134" i="42"/>
  <c r="I130" i="42"/>
  <c r="I126" i="42"/>
  <c r="I122" i="42"/>
  <c r="I118" i="42"/>
  <c r="I114" i="42"/>
  <c r="I110" i="42"/>
  <c r="I106" i="42"/>
  <c r="I216" i="42"/>
  <c r="I955" i="42"/>
  <c r="I951" i="42"/>
  <c r="I947" i="42"/>
  <c r="I943" i="42"/>
  <c r="I939" i="42"/>
  <c r="I931" i="42"/>
  <c r="I923" i="42"/>
  <c r="I919" i="42"/>
  <c r="I915" i="42"/>
  <c r="I911" i="42"/>
  <c r="I907" i="42"/>
  <c r="I899" i="42"/>
  <c r="I891" i="42"/>
  <c r="I887" i="42"/>
  <c r="I883" i="42"/>
  <c r="I879" i="42"/>
  <c r="I875" i="42"/>
  <c r="I867" i="42"/>
  <c r="I859" i="42"/>
  <c r="I855" i="42"/>
  <c r="I851" i="42"/>
  <c r="I843" i="42"/>
  <c r="I835" i="42"/>
  <c r="I827" i="42"/>
  <c r="I823" i="42"/>
  <c r="I819" i="42"/>
  <c r="I811" i="42"/>
  <c r="I803" i="42"/>
  <c r="I795" i="42"/>
  <c r="I791" i="42"/>
  <c r="I787" i="42"/>
  <c r="I779" i="42"/>
  <c r="I771" i="42"/>
  <c r="I763" i="42"/>
  <c r="I759" i="42"/>
  <c r="I755" i="42"/>
  <c r="I747" i="42"/>
  <c r="I739" i="42"/>
  <c r="I731" i="42"/>
  <c r="I727" i="42"/>
  <c r="I723" i="42"/>
  <c r="I715" i="42"/>
  <c r="I707" i="42"/>
  <c r="I699" i="42"/>
  <c r="I695" i="42"/>
  <c r="I691" i="42"/>
  <c r="I683" i="42"/>
  <c r="I675" i="42"/>
  <c r="I667" i="42"/>
  <c r="I663" i="42"/>
  <c r="I659" i="42"/>
  <c r="I651" i="42"/>
  <c r="I643" i="42"/>
  <c r="I635" i="42"/>
  <c r="I631" i="42"/>
  <c r="I627" i="42"/>
  <c r="I619" i="42"/>
  <c r="I611" i="42"/>
  <c r="I603" i="42"/>
  <c r="I599" i="42"/>
  <c r="I595" i="42"/>
  <c r="I587" i="42"/>
  <c r="I579" i="42"/>
  <c r="I571" i="42"/>
  <c r="I567" i="42"/>
  <c r="I563" i="42"/>
  <c r="I555" i="42"/>
  <c r="I547" i="42"/>
  <c r="I539" i="42"/>
  <c r="I535" i="42"/>
  <c r="I531" i="42"/>
  <c r="I523" i="42"/>
  <c r="I515" i="42"/>
  <c r="I507" i="42"/>
  <c r="I503" i="42"/>
  <c r="I499" i="42"/>
  <c r="I491" i="42"/>
  <c r="I483" i="42"/>
  <c r="I475" i="42"/>
  <c r="I471" i="42"/>
  <c r="I467" i="42"/>
  <c r="I459" i="42"/>
  <c r="I451" i="42"/>
  <c r="I443" i="42"/>
  <c r="I439" i="42"/>
  <c r="I435" i="42"/>
  <c r="I427" i="42"/>
  <c r="I419" i="42"/>
  <c r="I411" i="42"/>
  <c r="I407" i="42"/>
  <c r="I403" i="42"/>
  <c r="I395" i="42"/>
  <c r="I387" i="42"/>
  <c r="I379" i="42"/>
  <c r="I359" i="42"/>
  <c r="I347" i="42"/>
  <c r="I315" i="42"/>
  <c r="I311" i="42"/>
  <c r="I307" i="42"/>
  <c r="I303" i="42"/>
  <c r="I299" i="42"/>
  <c r="I295" i="42"/>
  <c r="I291" i="42"/>
  <c r="I287" i="42"/>
  <c r="I283" i="42"/>
  <c r="I279" i="42"/>
  <c r="I275" i="42"/>
  <c r="I271" i="42"/>
  <c r="I263" i="42"/>
  <c r="I255" i="42"/>
  <c r="I247" i="42"/>
  <c r="I239" i="42"/>
  <c r="I231" i="42"/>
  <c r="I223" i="42"/>
  <c r="I207" i="42"/>
  <c r="I199" i="42"/>
  <c r="I191" i="42"/>
  <c r="I183" i="42"/>
  <c r="I175" i="42"/>
  <c r="I167" i="42"/>
  <c r="I159" i="42"/>
  <c r="I151" i="42"/>
  <c r="I143" i="42"/>
  <c r="I135" i="42"/>
  <c r="I127" i="42"/>
  <c r="I119" i="42"/>
  <c r="I111" i="42"/>
  <c r="I103" i="42"/>
  <c r="I99" i="42"/>
  <c r="I95" i="42"/>
  <c r="I91" i="42"/>
  <c r="I87" i="42"/>
  <c r="I83" i="42"/>
  <c r="I79" i="42"/>
  <c r="I75" i="42"/>
  <c r="I71" i="42"/>
  <c r="I67" i="42"/>
  <c r="I63" i="42"/>
  <c r="I59" i="42"/>
  <c r="I55" i="42"/>
  <c r="I51" i="42"/>
  <c r="I47" i="42"/>
  <c r="I43" i="42"/>
  <c r="I39" i="42"/>
  <c r="I35" i="42"/>
  <c r="I31" i="42"/>
  <c r="I27" i="42"/>
  <c r="I23" i="42"/>
  <c r="I19" i="42"/>
  <c r="I15" i="42"/>
  <c r="I11" i="42"/>
  <c r="R991" i="28"/>
  <c r="R959" i="28"/>
  <c r="R835" i="28"/>
  <c r="R587" i="28"/>
  <c r="R575" i="28"/>
  <c r="R475" i="28"/>
  <c r="R419" i="28"/>
  <c r="R295" i="28"/>
  <c r="R279" i="28"/>
  <c r="R263" i="28"/>
  <c r="R247" i="28"/>
  <c r="R231" i="28"/>
  <c r="R215" i="28"/>
  <c r="R199" i="28"/>
  <c r="R183" i="28"/>
  <c r="R179" i="28"/>
  <c r="R175" i="28"/>
  <c r="R171" i="28"/>
  <c r="R167" i="28"/>
  <c r="R163" i="28"/>
  <c r="R159" i="28"/>
  <c r="R155" i="28"/>
  <c r="R151" i="28"/>
  <c r="R147" i="28"/>
  <c r="R143" i="28"/>
  <c r="R139" i="28"/>
  <c r="R135" i="28"/>
  <c r="R131" i="28"/>
  <c r="R127" i="28"/>
  <c r="R123" i="28"/>
  <c r="R119" i="28"/>
  <c r="R115" i="28"/>
  <c r="R111" i="28"/>
  <c r="R107" i="28"/>
  <c r="R103" i="28"/>
  <c r="R99" i="28"/>
  <c r="R95" i="28"/>
  <c r="R91" i="28"/>
  <c r="R87" i="28"/>
  <c r="R83" i="28"/>
  <c r="R79" i="28"/>
  <c r="R75" i="28"/>
  <c r="R71" i="28"/>
  <c r="R67" i="28"/>
  <c r="R63" i="28"/>
  <c r="R59" i="28"/>
  <c r="R55" i="28"/>
  <c r="R51" i="28"/>
  <c r="R47" i="28"/>
  <c r="R43" i="28"/>
  <c r="R39" i="28"/>
  <c r="R35" i="28"/>
  <c r="R31" i="28"/>
  <c r="R27" i="28"/>
  <c r="R23" i="28"/>
  <c r="R19" i="28"/>
  <c r="R15" i="28"/>
  <c r="R11" i="28"/>
  <c r="R998" i="28"/>
  <c r="R982" i="28"/>
  <c r="R950" i="28"/>
  <c r="R934" i="28"/>
  <c r="R918" i="28"/>
  <c r="R898" i="28"/>
  <c r="R882" i="28"/>
  <c r="R874" i="28"/>
  <c r="R866" i="28"/>
  <c r="R858" i="28"/>
  <c r="R842" i="28"/>
  <c r="R834" i="28"/>
  <c r="R818" i="28"/>
  <c r="R810" i="28"/>
  <c r="R802" i="28"/>
  <c r="R794" i="28"/>
  <c r="R778" i="28"/>
  <c r="R770" i="28"/>
  <c r="R758" i="28"/>
  <c r="R754" i="28"/>
  <c r="R746" i="28"/>
  <c r="R742" i="28"/>
  <c r="R738" i="28"/>
  <c r="R726" i="28"/>
  <c r="R714" i="28"/>
  <c r="R710" i="28"/>
  <c r="R694" i="28"/>
  <c r="R682" i="28"/>
  <c r="R678" i="28"/>
  <c r="R662" i="28"/>
  <c r="R650" i="28"/>
  <c r="R646" i="28"/>
  <c r="R630" i="28"/>
  <c r="R618" i="28"/>
  <c r="R614" i="28"/>
  <c r="R598" i="28"/>
  <c r="R586" i="28"/>
  <c r="R582" i="28"/>
  <c r="R574" i="28"/>
  <c r="R554" i="28"/>
  <c r="R526" i="28"/>
  <c r="R518" i="28"/>
  <c r="R502" i="28"/>
  <c r="R490" i="28"/>
  <c r="R474" i="28"/>
  <c r="R462" i="28"/>
  <c r="R454" i="28"/>
  <c r="R446" i="28"/>
  <c r="R426" i="28"/>
  <c r="R398" i="28"/>
  <c r="R390" i="28"/>
  <c r="R374" i="28"/>
  <c r="R362" i="28"/>
  <c r="R354" i="28"/>
  <c r="R346" i="28"/>
  <c r="R282" i="28"/>
  <c r="R222" i="28"/>
  <c r="R198" i="28"/>
  <c r="R190" i="28"/>
  <c r="R178" i="28"/>
  <c r="R170" i="28"/>
  <c r="R158" i="28"/>
  <c r="R142" i="28"/>
  <c r="R138" i="28"/>
  <c r="R130" i="28"/>
  <c r="R122" i="28"/>
  <c r="R114" i="28"/>
  <c r="R110" i="28"/>
  <c r="R94" i="28"/>
  <c r="R82" i="28"/>
  <c r="R74" i="28"/>
  <c r="R66" i="28"/>
  <c r="R46" i="28"/>
  <c r="R18" i="28"/>
  <c r="R181" i="28"/>
  <c r="R173" i="28"/>
  <c r="R153" i="28"/>
  <c r="R149" i="28"/>
  <c r="R125" i="28"/>
  <c r="R121" i="28"/>
  <c r="R101" i="28"/>
  <c r="R93" i="28"/>
  <c r="R85" i="28"/>
  <c r="R73" i="28"/>
  <c r="R57" i="28"/>
  <c r="R53" i="28"/>
  <c r="R45" i="28"/>
  <c r="R37" i="28"/>
  <c r="R29" i="28"/>
  <c r="R25" i="28"/>
  <c r="R21" i="28"/>
  <c r="R996" i="28"/>
  <c r="R992" i="28"/>
  <c r="R984" i="28"/>
  <c r="R980" i="28"/>
  <c r="R976" i="28"/>
  <c r="R972" i="28"/>
  <c r="R968" i="28"/>
  <c r="R964" i="28"/>
  <c r="R956" i="28"/>
  <c r="R952" i="28"/>
  <c r="R944" i="28"/>
  <c r="R940" i="28"/>
  <c r="R932" i="28"/>
  <c r="R928" i="28"/>
  <c r="R920" i="28"/>
  <c r="R916" i="28"/>
  <c r="R912" i="28"/>
  <c r="R908" i="28"/>
  <c r="R904" i="28"/>
  <c r="R900" i="28"/>
  <c r="R896" i="28"/>
  <c r="R892" i="28"/>
  <c r="R888" i="28"/>
  <c r="R884" i="28"/>
  <c r="R880" i="28"/>
  <c r="R876" i="28"/>
  <c r="R872" i="28"/>
  <c r="R868" i="28"/>
  <c r="R864" i="28"/>
  <c r="R860" i="28"/>
  <c r="R856" i="28"/>
  <c r="R852" i="28"/>
  <c r="R848" i="28"/>
  <c r="R844" i="28"/>
  <c r="R840" i="28"/>
  <c r="R836" i="28"/>
  <c r="R832" i="28"/>
  <c r="R828" i="28"/>
  <c r="R824" i="28"/>
  <c r="R820" i="28"/>
  <c r="R816" i="28"/>
  <c r="R812" i="28"/>
  <c r="R808" i="28"/>
  <c r="R804" i="28"/>
  <c r="R800" i="28"/>
  <c r="R796" i="28"/>
  <c r="R792" i="28"/>
  <c r="R788" i="28"/>
  <c r="R784" i="28"/>
  <c r="R780" i="28"/>
  <c r="R776" i="28"/>
  <c r="R772" i="28"/>
  <c r="R768" i="28"/>
  <c r="R764" i="28"/>
  <c r="R760" i="28"/>
  <c r="R756" i="28"/>
  <c r="R752" i="28"/>
  <c r="R748" i="28"/>
  <c r="R744" i="28"/>
  <c r="R740" i="28"/>
  <c r="R736" i="28"/>
  <c r="R732" i="28"/>
  <c r="R728" i="28"/>
  <c r="R724" i="28"/>
  <c r="R720" i="28"/>
  <c r="R716" i="28"/>
  <c r="R712" i="28"/>
  <c r="R708" i="28"/>
  <c r="R704" i="28"/>
  <c r="R700" i="28"/>
  <c r="R696" i="28"/>
  <c r="R692" i="28"/>
  <c r="R688" i="28"/>
  <c r="R684" i="28"/>
  <c r="R680" i="28"/>
  <c r="R676" i="28"/>
  <c r="R672" i="28"/>
  <c r="R668" i="28"/>
  <c r="R664" i="28"/>
  <c r="R660" i="28"/>
  <c r="R656" i="28"/>
  <c r="R652" i="28"/>
  <c r="R648" i="28"/>
  <c r="R644" i="28"/>
  <c r="R640" i="28"/>
  <c r="R636" i="28"/>
  <c r="R632" i="28"/>
  <c r="R628" i="28"/>
  <c r="R624" i="28"/>
  <c r="R620" i="28"/>
  <c r="R616" i="28"/>
  <c r="R612" i="28"/>
  <c r="R608" i="28"/>
  <c r="R604" i="28"/>
  <c r="R600" i="28"/>
  <c r="R596" i="28"/>
  <c r="R592" i="28"/>
  <c r="R588" i="28"/>
  <c r="R584" i="28"/>
  <c r="R580" i="28"/>
  <c r="R576" i="28"/>
  <c r="R568" i="28"/>
  <c r="R564" i="28"/>
  <c r="R560" i="28"/>
  <c r="R552" i="28"/>
  <c r="R548" i="28"/>
  <c r="R544" i="28"/>
  <c r="R536" i="28"/>
  <c r="R528" i="28"/>
  <c r="R520" i="28"/>
  <c r="R516" i="28"/>
  <c r="R512" i="28"/>
  <c r="R504" i="28"/>
  <c r="R500" i="28"/>
  <c r="R496" i="28"/>
  <c r="R488" i="28"/>
  <c r="R484" i="28"/>
  <c r="R480" i="28"/>
  <c r="R472" i="28"/>
  <c r="R468" i="28"/>
  <c r="R464" i="28"/>
  <c r="R456" i="28"/>
  <c r="R452" i="28"/>
  <c r="R448" i="28"/>
  <c r="R440" i="28"/>
  <c r="R436" i="28"/>
  <c r="R432" i="28"/>
  <c r="R424" i="28"/>
  <c r="R420" i="28"/>
  <c r="R416" i="28"/>
  <c r="R408" i="28"/>
  <c r="R404" i="28"/>
  <c r="R400" i="28"/>
  <c r="R392" i="28"/>
  <c r="R388" i="28"/>
  <c r="R384" i="28"/>
  <c r="R372" i="28"/>
  <c r="R368" i="28"/>
  <c r="R364" i="28"/>
  <c r="R352" i="28"/>
  <c r="R340" i="28"/>
  <c r="R320" i="28"/>
  <c r="R316" i="28"/>
  <c r="R312" i="28"/>
  <c r="R304" i="28"/>
  <c r="R300" i="28"/>
  <c r="R296" i="28"/>
  <c r="R292" i="28"/>
  <c r="R288" i="28"/>
  <c r="R280" i="28"/>
  <c r="R276" i="28"/>
  <c r="R272" i="28"/>
  <c r="R268" i="28"/>
  <c r="R264" i="28"/>
  <c r="R260" i="28"/>
  <c r="R256" i="28"/>
  <c r="R248" i="28"/>
  <c r="R244" i="28"/>
  <c r="R240" i="28"/>
  <c r="R236" i="28"/>
  <c r="R232" i="28"/>
  <c r="R228" i="28"/>
  <c r="R224" i="28"/>
  <c r="R216" i="28"/>
  <c r="R212" i="28"/>
  <c r="R208" i="28"/>
  <c r="R204" i="28"/>
  <c r="R200" i="28"/>
  <c r="R196" i="28"/>
  <c r="R192" i="28"/>
  <c r="R184" i="28"/>
  <c r="R180" i="28"/>
  <c r="R176" i="28"/>
  <c r="R168" i="28"/>
  <c r="R164" i="28"/>
  <c r="R160" i="28"/>
  <c r="R152" i="28"/>
  <c r="R148" i="28"/>
  <c r="R144" i="28"/>
  <c r="R136" i="28"/>
  <c r="R132" i="28"/>
  <c r="R128" i="28"/>
  <c r="R120" i="28"/>
  <c r="R116" i="28"/>
  <c r="R112" i="28"/>
  <c r="R104" i="28"/>
  <c r="R100" i="28"/>
  <c r="R96" i="28"/>
  <c r="R88" i="28"/>
  <c r="R84" i="28"/>
  <c r="R80" i="28"/>
  <c r="R72" i="28"/>
  <c r="R68" i="28"/>
  <c r="R56" i="28"/>
  <c r="R52" i="28"/>
  <c r="R48" i="28"/>
  <c r="R40" i="28"/>
  <c r="R36" i="28"/>
  <c r="R32" i="28"/>
  <c r="R24" i="28"/>
  <c r="R20" i="28"/>
  <c r="R16" i="28"/>
  <c r="R357" i="43"/>
  <c r="R362" i="43"/>
  <c r="R366" i="43"/>
  <c r="R372" i="43"/>
  <c r="R377" i="43"/>
  <c r="R381" i="43"/>
  <c r="R385" i="43"/>
  <c r="R389" i="43"/>
  <c r="R393" i="43"/>
  <c r="R397" i="43"/>
  <c r="R401" i="43"/>
  <c r="R405" i="43"/>
  <c r="R356" i="43"/>
  <c r="R361" i="43"/>
  <c r="R365" i="43"/>
  <c r="R371" i="43"/>
  <c r="R375" i="43"/>
  <c r="R380" i="43"/>
  <c r="R384" i="43"/>
  <c r="R388" i="43"/>
  <c r="R392" i="43"/>
  <c r="R396" i="43"/>
  <c r="R400" i="43"/>
  <c r="R404" i="43"/>
  <c r="R702" i="43"/>
  <c r="R354" i="43"/>
  <c r="R360" i="43"/>
  <c r="R364" i="43"/>
  <c r="R369" i="43"/>
  <c r="R374" i="43"/>
  <c r="R379" i="43"/>
  <c r="R383" i="43"/>
  <c r="R387" i="43"/>
  <c r="R391" i="43"/>
  <c r="R395" i="43"/>
  <c r="R399" i="43"/>
  <c r="R403" i="43"/>
  <c r="L8" i="43"/>
  <c r="H8" i="43"/>
  <c r="D8" i="43"/>
  <c r="R353" i="43"/>
  <c r="R359" i="43"/>
  <c r="R363" i="43"/>
  <c r="R368" i="43"/>
  <c r="R373" i="43"/>
  <c r="R378" i="43"/>
  <c r="R382" i="43"/>
  <c r="R386" i="43"/>
  <c r="R390" i="43"/>
  <c r="R394" i="43"/>
  <c r="R398" i="43"/>
  <c r="R402" i="43"/>
  <c r="R406" i="43"/>
  <c r="I336" i="42"/>
  <c r="R336" i="28"/>
  <c r="J334" i="30"/>
  <c r="I334" i="42"/>
  <c r="I332" i="42"/>
  <c r="J481" i="30"/>
  <c r="J465" i="30"/>
  <c r="J993" i="30"/>
  <c r="J913" i="30"/>
  <c r="J877" i="30"/>
  <c r="J865" i="30"/>
  <c r="J849" i="30"/>
  <c r="J817" i="30"/>
  <c r="J765" i="30"/>
  <c r="J749" i="30"/>
  <c r="J729" i="30"/>
  <c r="J717" i="30"/>
  <c r="J701" i="30"/>
  <c r="J689" i="30"/>
  <c r="J677" i="30"/>
  <c r="J665" i="30"/>
  <c r="J653" i="30"/>
  <c r="J641" i="30"/>
  <c r="J633" i="30"/>
  <c r="J621" i="30"/>
  <c r="J597" i="30"/>
  <c r="J585" i="30"/>
  <c r="J573" i="30"/>
  <c r="J549" i="30"/>
  <c r="J525" i="30"/>
  <c r="J505" i="30"/>
  <c r="J485" i="30"/>
  <c r="J473" i="30"/>
  <c r="J461" i="30"/>
  <c r="J437" i="30"/>
  <c r="J413" i="30"/>
  <c r="J401" i="30"/>
  <c r="J389" i="30"/>
  <c r="J377" i="30"/>
  <c r="J369" i="30"/>
  <c r="J353" i="30"/>
  <c r="J337" i="30"/>
  <c r="J297" i="30"/>
  <c r="J285" i="30"/>
  <c r="J273" i="30"/>
  <c r="J265" i="30"/>
  <c r="J253" i="30"/>
  <c r="J241" i="30"/>
  <c r="J229" i="30"/>
  <c r="J217" i="30"/>
  <c r="J205" i="30"/>
  <c r="J193" i="30"/>
  <c r="J185" i="30"/>
  <c r="J173" i="30"/>
  <c r="J161" i="30"/>
  <c r="J149" i="30"/>
  <c r="J137" i="30"/>
  <c r="J125" i="30"/>
  <c r="J117" i="30"/>
  <c r="J105" i="30"/>
  <c r="J89" i="30"/>
  <c r="J77" i="30"/>
  <c r="J57" i="30"/>
  <c r="J49" i="30"/>
  <c r="J33" i="30"/>
  <c r="J21" i="30"/>
  <c r="J21" i="41"/>
  <c r="J25" i="41"/>
  <c r="J37" i="41"/>
  <c r="J65" i="41"/>
  <c r="J69" i="41"/>
  <c r="J77" i="41"/>
  <c r="J89" i="41"/>
  <c r="J93" i="41"/>
  <c r="J97" i="41"/>
  <c r="J113" i="41"/>
  <c r="J169" i="41"/>
  <c r="J173" i="41"/>
  <c r="J209" i="41"/>
  <c r="J221" i="41"/>
  <c r="J229" i="41"/>
  <c r="J237" i="41"/>
  <c r="J269" i="41"/>
  <c r="J273" i="41"/>
  <c r="J305" i="41"/>
  <c r="J309" i="41"/>
  <c r="J313" i="41"/>
  <c r="J317" i="41"/>
  <c r="J625" i="30"/>
  <c r="J609" i="30"/>
  <c r="J593" i="30"/>
  <c r="J577" i="30"/>
  <c r="J545" i="30"/>
  <c r="J449" i="30"/>
  <c r="J977" i="30"/>
  <c r="J957" i="30"/>
  <c r="J941" i="30"/>
  <c r="J929" i="30"/>
  <c r="J893" i="30"/>
  <c r="J881" i="30"/>
  <c r="J833" i="30"/>
  <c r="J801" i="30"/>
  <c r="J785" i="30"/>
  <c r="J769" i="30"/>
  <c r="J721" i="30"/>
  <c r="J697" i="30"/>
  <c r="J685" i="30"/>
  <c r="J657" i="30"/>
  <c r="J629" i="30"/>
  <c r="J601" i="30"/>
  <c r="J565" i="30"/>
  <c r="J537" i="30"/>
  <c r="J501" i="30"/>
  <c r="J441" i="30"/>
  <c r="J429" i="30"/>
  <c r="J381" i="30"/>
  <c r="J365" i="30"/>
  <c r="J313" i="30"/>
  <c r="J301" i="30"/>
  <c r="J277" i="30"/>
  <c r="J261" i="30"/>
  <c r="J245" i="30"/>
  <c r="J233" i="30"/>
  <c r="J221" i="30"/>
  <c r="J209" i="30"/>
  <c r="J197" i="30"/>
  <c r="J177" i="30"/>
  <c r="J165" i="30"/>
  <c r="J153" i="30"/>
  <c r="J141" i="30"/>
  <c r="J129" i="30"/>
  <c r="J113" i="30"/>
  <c r="J97" i="30"/>
  <c r="J85" i="30"/>
  <c r="J73" i="30"/>
  <c r="J61" i="30"/>
  <c r="J41" i="30"/>
  <c r="J29" i="30"/>
  <c r="J17" i="30"/>
  <c r="J45" i="41"/>
  <c r="J49" i="41"/>
  <c r="J85" i="41"/>
  <c r="J145" i="41"/>
  <c r="J265" i="41"/>
  <c r="J733" i="41"/>
  <c r="J737" i="41"/>
  <c r="J741" i="41"/>
  <c r="J745" i="41"/>
  <c r="J749" i="41"/>
  <c r="J753" i="41"/>
  <c r="J757" i="41"/>
  <c r="J761" i="41"/>
  <c r="J765" i="41"/>
  <c r="J769" i="41"/>
  <c r="J773" i="41"/>
  <c r="J777" i="41"/>
  <c r="J781" i="41"/>
  <c r="J785" i="41"/>
  <c r="J789" i="41"/>
  <c r="J793" i="41"/>
  <c r="J561" i="30"/>
  <c r="J529" i="30"/>
  <c r="J513" i="30"/>
  <c r="J497" i="30"/>
  <c r="J433" i="30"/>
  <c r="J961" i="30"/>
  <c r="J945" i="30"/>
  <c r="J897" i="30"/>
  <c r="J829" i="30"/>
  <c r="J813" i="30"/>
  <c r="J753" i="30"/>
  <c r="J737" i="30"/>
  <c r="J713" i="30"/>
  <c r="J705" i="30"/>
  <c r="J693" i="30"/>
  <c r="J673" i="30"/>
  <c r="J661" i="30"/>
  <c r="J649" i="30"/>
  <c r="J637" i="30"/>
  <c r="J613" i="30"/>
  <c r="J589" i="30"/>
  <c r="J569" i="30"/>
  <c r="J557" i="30"/>
  <c r="J533" i="30"/>
  <c r="J521" i="30"/>
  <c r="J509" i="30"/>
  <c r="J493" i="30"/>
  <c r="J469" i="30"/>
  <c r="J457" i="30"/>
  <c r="J445" i="30"/>
  <c r="J421" i="30"/>
  <c r="J409" i="30"/>
  <c r="J397" i="30"/>
  <c r="J361" i="30"/>
  <c r="J349" i="30"/>
  <c r="J341" i="30"/>
  <c r="J305" i="30"/>
  <c r="J293" i="30"/>
  <c r="J281" i="30"/>
  <c r="J269" i="30"/>
  <c r="J249" i="30"/>
  <c r="J237" i="30"/>
  <c r="J213" i="30"/>
  <c r="J201" i="30"/>
  <c r="J189" i="30"/>
  <c r="J181" i="30"/>
  <c r="J169" i="30"/>
  <c r="J157" i="30"/>
  <c r="J145" i="30"/>
  <c r="J121" i="30"/>
  <c r="J109" i="30"/>
  <c r="J93" i="30"/>
  <c r="J81" i="30"/>
  <c r="J65" i="30"/>
  <c r="J53" i="30"/>
  <c r="J45" i="30"/>
  <c r="J25" i="30"/>
  <c r="J13" i="30"/>
  <c r="J17" i="41"/>
  <c r="J53" i="41"/>
  <c r="J57" i="41"/>
  <c r="J73" i="41"/>
  <c r="J81" i="41"/>
  <c r="J101" i="41"/>
  <c r="J105" i="41"/>
  <c r="J109" i="41"/>
  <c r="J117" i="41"/>
  <c r="J149" i="41"/>
  <c r="J153" i="41"/>
  <c r="J157" i="41"/>
  <c r="J161" i="41"/>
  <c r="J177" i="41"/>
  <c r="J181" i="41"/>
  <c r="J185" i="41"/>
  <c r="J217" i="41"/>
  <c r="J225" i="41"/>
  <c r="J233" i="41"/>
  <c r="J241" i="41"/>
  <c r="J277" i="41"/>
  <c r="J281" i="41"/>
  <c r="J285" i="41"/>
  <c r="M10" i="5"/>
  <c r="J359" i="41"/>
  <c r="K20" i="5"/>
  <c r="J20" i="5"/>
  <c r="G20" i="5"/>
  <c r="M9" i="5"/>
  <c r="M5" i="5"/>
  <c r="M11" i="5"/>
  <c r="J9" i="30"/>
  <c r="H8" i="30"/>
  <c r="J344" i="41"/>
  <c r="J349" i="41"/>
  <c r="L12" i="5"/>
  <c r="K19" i="5"/>
  <c r="I20" i="5"/>
  <c r="I19" i="5"/>
  <c r="F20" i="5"/>
  <c r="E20" i="5"/>
  <c r="E19" i="5"/>
  <c r="J1004" i="30"/>
  <c r="J996" i="30"/>
  <c r="J992" i="30"/>
  <c r="J988" i="30"/>
  <c r="J980" i="30"/>
  <c r="J976" i="30"/>
  <c r="J972" i="30"/>
  <c r="J964" i="30"/>
  <c r="J960" i="30"/>
  <c r="J956" i="30"/>
  <c r="J948" i="30"/>
  <c r="J944" i="30"/>
  <c r="J940" i="30"/>
  <c r="J932" i="30"/>
  <c r="J928" i="30"/>
  <c r="J924" i="30"/>
  <c r="J916" i="30"/>
  <c r="J912" i="30"/>
  <c r="J908" i="30"/>
  <c r="J900" i="30"/>
  <c r="J896" i="30"/>
  <c r="J892" i="30"/>
  <c r="J884" i="30"/>
  <c r="J880" i="30"/>
  <c r="J876" i="30"/>
  <c r="J868" i="30"/>
  <c r="J864" i="30"/>
  <c r="J860" i="30"/>
  <c r="J852" i="30"/>
  <c r="J848" i="30"/>
  <c r="J844" i="30"/>
  <c r="J836" i="30"/>
  <c r="J832" i="30"/>
  <c r="J828" i="30"/>
  <c r="J820" i="30"/>
  <c r="J816" i="30"/>
  <c r="J812" i="30"/>
  <c r="J804" i="30"/>
  <c r="J800" i="30"/>
  <c r="J796" i="30"/>
  <c r="J788" i="30"/>
  <c r="J784" i="30"/>
  <c r="J780" i="30"/>
  <c r="J772" i="30"/>
  <c r="J768" i="30"/>
  <c r="J764" i="30"/>
  <c r="J756" i="30"/>
  <c r="J752" i="30"/>
  <c r="J748" i="30"/>
  <c r="J740" i="30"/>
  <c r="J736" i="30"/>
  <c r="J732" i="30"/>
  <c r="J724" i="30"/>
  <c r="J720" i="30"/>
  <c r="J716" i="30"/>
  <c r="J708" i="30"/>
  <c r="J704" i="30"/>
  <c r="J700" i="30"/>
  <c r="J692" i="30"/>
  <c r="J688" i="30"/>
  <c r="J684" i="30"/>
  <c r="J676" i="30"/>
  <c r="J672" i="30"/>
  <c r="J668" i="30"/>
  <c r="J660" i="30"/>
  <c r="J656" i="30"/>
  <c r="J652" i="30"/>
  <c r="J644" i="30"/>
  <c r="J640" i="30"/>
  <c r="J636" i="30"/>
  <c r="J628" i="30"/>
  <c r="J624" i="30"/>
  <c r="J620" i="30"/>
  <c r="J612" i="30"/>
  <c r="J608" i="30"/>
  <c r="J604" i="30"/>
  <c r="J596" i="30"/>
  <c r="J592" i="30"/>
  <c r="J588" i="30"/>
  <c r="J580" i="30"/>
  <c r="J576" i="30"/>
  <c r="J572" i="30"/>
  <c r="J564" i="30"/>
  <c r="J560" i="30"/>
  <c r="J556" i="30"/>
  <c r="J548" i="30"/>
  <c r="J544" i="30"/>
  <c r="J540" i="30"/>
  <c r="J532" i="30"/>
  <c r="J528" i="30"/>
  <c r="J524" i="30"/>
  <c r="J516" i="30"/>
  <c r="J512" i="30"/>
  <c r="J508" i="30"/>
  <c r="J500" i="30"/>
  <c r="J496" i="30"/>
  <c r="J492" i="30"/>
  <c r="J484" i="30"/>
  <c r="J480" i="30"/>
  <c r="J476" i="30"/>
  <c r="J468" i="30"/>
  <c r="J464" i="30"/>
  <c r="J460" i="30"/>
  <c r="J452" i="30"/>
  <c r="J448" i="30"/>
  <c r="J444" i="30"/>
  <c r="J436" i="30"/>
  <c r="J432" i="30"/>
  <c r="J428" i="30"/>
  <c r="J420" i="30"/>
  <c r="J416" i="30"/>
  <c r="J412" i="30"/>
  <c r="J404" i="30"/>
  <c r="J400" i="30"/>
  <c r="J396" i="30"/>
  <c r="J388" i="30"/>
  <c r="J384" i="30"/>
  <c r="J380" i="30"/>
  <c r="J372" i="30"/>
  <c r="J368" i="30"/>
  <c r="J364" i="30"/>
  <c r="J360" i="30"/>
  <c r="J344" i="30"/>
  <c r="J340" i="30"/>
  <c r="J336" i="30"/>
  <c r="J332" i="30"/>
  <c r="J312" i="30"/>
  <c r="J308" i="30"/>
  <c r="J304" i="30"/>
  <c r="J296" i="30"/>
  <c r="J292" i="30"/>
  <c r="J288" i="30"/>
  <c r="J280" i="30"/>
  <c r="J276" i="30"/>
  <c r="J272" i="30"/>
  <c r="J264" i="30"/>
  <c r="J260" i="30"/>
  <c r="J256" i="30"/>
  <c r="J248" i="30"/>
  <c r="J244" i="30"/>
  <c r="J240" i="30"/>
  <c r="J232" i="30"/>
  <c r="J228" i="30"/>
  <c r="J224" i="30"/>
  <c r="J216" i="30"/>
  <c r="J212" i="30"/>
  <c r="J208" i="30"/>
  <c r="J156" i="30"/>
  <c r="J152" i="30"/>
  <c r="J148" i="30"/>
  <c r="J140" i="30"/>
  <c r="J136" i="30"/>
  <c r="J132" i="30"/>
  <c r="J124" i="30"/>
  <c r="J120" i="30"/>
  <c r="J116" i="30"/>
  <c r="J108" i="30"/>
  <c r="J104" i="30"/>
  <c r="J100" i="30"/>
  <c r="J92" i="30"/>
  <c r="J88" i="30"/>
  <c r="J84" i="30"/>
  <c r="J76" i="30"/>
  <c r="J72" i="30"/>
  <c r="J68" i="30"/>
  <c r="J60" i="30"/>
  <c r="J56" i="30"/>
  <c r="J52" i="30"/>
  <c r="J44" i="30"/>
  <c r="J40" i="30"/>
  <c r="J36" i="30"/>
  <c r="J28" i="30"/>
  <c r="J24" i="30"/>
  <c r="J20" i="30"/>
  <c r="J1001" i="30"/>
  <c r="J997" i="30"/>
  <c r="J985" i="30"/>
  <c r="J981" i="30"/>
  <c r="J969" i="30"/>
  <c r="J965" i="30"/>
  <c r="J953" i="30"/>
  <c r="J949" i="30"/>
  <c r="J937" i="30"/>
  <c r="J933" i="30"/>
  <c r="J921" i="30"/>
  <c r="J917" i="30"/>
  <c r="J905" i="30"/>
  <c r="J901" i="30"/>
  <c r="J889" i="30"/>
  <c r="J885" i="30"/>
  <c r="J873" i="30"/>
  <c r="J869" i="30"/>
  <c r="J857" i="30"/>
  <c r="J853" i="30"/>
  <c r="J841" i="30"/>
  <c r="J837" i="30"/>
  <c r="J825" i="30"/>
  <c r="J821" i="30"/>
  <c r="J809" i="30"/>
  <c r="J805" i="30"/>
  <c r="J793" i="30"/>
  <c r="J789" i="30"/>
  <c r="J777" i="30"/>
  <c r="J773" i="30"/>
  <c r="J761" i="30"/>
  <c r="J757" i="30"/>
  <c r="J745" i="30"/>
  <c r="J741" i="30"/>
  <c r="J16" i="41"/>
  <c r="J20" i="41"/>
  <c r="J24" i="41"/>
  <c r="J28" i="41"/>
  <c r="J32" i="41"/>
  <c r="J36" i="41"/>
  <c r="J40" i="41"/>
  <c r="J44" i="41"/>
  <c r="J48" i="41"/>
  <c r="J52" i="41"/>
  <c r="J56" i="41"/>
  <c r="J60" i="41"/>
  <c r="J64" i="41"/>
  <c r="J68" i="41"/>
  <c r="J72" i="41"/>
  <c r="J76" i="41"/>
  <c r="J80" i="41"/>
  <c r="J84" i="41"/>
  <c r="J88" i="41"/>
  <c r="J92" i="41"/>
  <c r="J96" i="41"/>
  <c r="J100" i="41"/>
  <c r="J104" i="41"/>
  <c r="J108" i="41"/>
  <c r="J112" i="41"/>
  <c r="J116" i="41"/>
  <c r="J120" i="41"/>
  <c r="J124" i="41"/>
  <c r="J128" i="41"/>
  <c r="J132" i="41"/>
  <c r="J136" i="41"/>
  <c r="J140" i="41"/>
  <c r="J144" i="41"/>
  <c r="J148" i="41"/>
  <c r="J152" i="41"/>
  <c r="J156" i="41"/>
  <c r="J160" i="41"/>
  <c r="J164" i="41"/>
  <c r="J168" i="41"/>
  <c r="J172" i="41"/>
  <c r="J176" i="41"/>
  <c r="J180" i="41"/>
  <c r="J184" i="41"/>
  <c r="J188" i="41"/>
  <c r="J189" i="41"/>
  <c r="J338" i="41"/>
  <c r="J343" i="41"/>
  <c r="J347" i="41"/>
  <c r="J353" i="41"/>
  <c r="J357" i="41"/>
  <c r="J362" i="41"/>
  <c r="J366" i="41"/>
  <c r="J732" i="41"/>
  <c r="J736" i="41"/>
  <c r="J740" i="41"/>
  <c r="J744" i="41"/>
  <c r="J748" i="41"/>
  <c r="J752" i="41"/>
  <c r="J756" i="41"/>
  <c r="J760" i="41"/>
  <c r="J764" i="41"/>
  <c r="J768" i="41"/>
  <c r="J772" i="41"/>
  <c r="J776" i="41"/>
  <c r="J780" i="41"/>
  <c r="J784" i="41"/>
  <c r="J788" i="41"/>
  <c r="J792" i="41"/>
  <c r="L11" i="5"/>
  <c r="L8" i="5"/>
  <c r="L5" i="5"/>
  <c r="J1003" i="30"/>
  <c r="J999" i="30"/>
  <c r="J995" i="30"/>
  <c r="J991" i="30"/>
  <c r="J987" i="30"/>
  <c r="J983" i="30"/>
  <c r="J979" i="30"/>
  <c r="J975" i="30"/>
  <c r="J971" i="30"/>
  <c r="J967" i="30"/>
  <c r="J963" i="30"/>
  <c r="J959" i="30"/>
  <c r="J955" i="30"/>
  <c r="J951" i="30"/>
  <c r="J947" i="30"/>
  <c r="J943" i="30"/>
  <c r="J939" i="30"/>
  <c r="J935" i="30"/>
  <c r="J931" i="30"/>
  <c r="J927" i="30"/>
  <c r="J923" i="30"/>
  <c r="J919" i="30"/>
  <c r="J915" i="30"/>
  <c r="J911" i="30"/>
  <c r="J907" i="30"/>
  <c r="J903" i="30"/>
  <c r="J899" i="30"/>
  <c r="J895" i="30"/>
  <c r="J891" i="30"/>
  <c r="J887" i="30"/>
  <c r="J883" i="30"/>
  <c r="J879" i="30"/>
  <c r="J875" i="30"/>
  <c r="J871" i="30"/>
  <c r="J867" i="30"/>
  <c r="J863" i="30"/>
  <c r="J859" i="30"/>
  <c r="J855" i="30"/>
  <c r="J851" i="30"/>
  <c r="J847" i="30"/>
  <c r="J843" i="30"/>
  <c r="J839" i="30"/>
  <c r="J835" i="30"/>
  <c r="J831" i="30"/>
  <c r="J827" i="30"/>
  <c r="J823" i="30"/>
  <c r="J819" i="30"/>
  <c r="J815" i="30"/>
  <c r="J811" i="30"/>
  <c r="J807" i="30"/>
  <c r="J803" i="30"/>
  <c r="J799" i="30"/>
  <c r="J795" i="30"/>
  <c r="J791" i="30"/>
  <c r="J787" i="30"/>
  <c r="J783" i="30"/>
  <c r="J779" i="30"/>
  <c r="J775" i="30"/>
  <c r="J771" i="30"/>
  <c r="J767" i="30"/>
  <c r="J763" i="30"/>
  <c r="J759" i="30"/>
  <c r="J755" i="30"/>
  <c r="J751" i="30"/>
  <c r="J747" i="30"/>
  <c r="J743" i="30"/>
  <c r="J739" i="30"/>
  <c r="J735" i="30"/>
  <c r="J731" i="30"/>
  <c r="J727" i="30"/>
  <c r="J723" i="30"/>
  <c r="J719" i="30"/>
  <c r="J715" i="30"/>
  <c r="J711" i="30"/>
  <c r="J707" i="30"/>
  <c r="J703" i="30"/>
  <c r="J699" i="30"/>
  <c r="J695" i="30"/>
  <c r="J691" i="30"/>
  <c r="J687" i="30"/>
  <c r="J683" i="30"/>
  <c r="J679" i="30"/>
  <c r="J675" i="30"/>
  <c r="J671" i="30"/>
  <c r="J667" i="30"/>
  <c r="J663" i="30"/>
  <c r="J659" i="30"/>
  <c r="J655" i="30"/>
  <c r="J651" i="30"/>
  <c r="J647" i="30"/>
  <c r="J643" i="30"/>
  <c r="J639" i="30"/>
  <c r="J635" i="30"/>
  <c r="J631" i="30"/>
  <c r="J627" i="30"/>
  <c r="J623" i="30"/>
  <c r="J619" i="30"/>
  <c r="J615" i="30"/>
  <c r="J611" i="30"/>
  <c r="J607" i="30"/>
  <c r="J603" i="30"/>
  <c r="J599" i="30"/>
  <c r="J595" i="30"/>
  <c r="J591" i="30"/>
  <c r="J587" i="30"/>
  <c r="J583" i="30"/>
  <c r="J579" i="30"/>
  <c r="J575" i="30"/>
  <c r="J571" i="30"/>
  <c r="J567" i="30"/>
  <c r="J563" i="30"/>
  <c r="J559" i="30"/>
  <c r="J555" i="30"/>
  <c r="J551" i="30"/>
  <c r="J547" i="30"/>
  <c r="J543" i="30"/>
  <c r="J539" i="30"/>
  <c r="J535" i="30"/>
  <c r="J531" i="30"/>
  <c r="J527" i="30"/>
  <c r="J523" i="30"/>
  <c r="J519" i="30"/>
  <c r="J515" i="30"/>
  <c r="J511" i="30"/>
  <c r="J507" i="30"/>
  <c r="J503" i="30"/>
  <c r="J499" i="30"/>
  <c r="J495" i="30"/>
  <c r="J491" i="30"/>
  <c r="J487" i="30"/>
  <c r="J483" i="30"/>
  <c r="J479" i="30"/>
  <c r="J475" i="30"/>
  <c r="J471" i="30"/>
  <c r="J467" i="30"/>
  <c r="J463" i="30"/>
  <c r="J459" i="30"/>
  <c r="J455" i="30"/>
  <c r="J451" i="30"/>
  <c r="J447" i="30"/>
  <c r="J443" i="30"/>
  <c r="J439" i="30"/>
  <c r="J435" i="30"/>
  <c r="J431" i="30"/>
  <c r="J427" i="30"/>
  <c r="J423" i="30"/>
  <c r="J419" i="30"/>
  <c r="J415" i="30"/>
  <c r="J411" i="30"/>
  <c r="J407" i="30"/>
  <c r="J403" i="30"/>
  <c r="J399" i="30"/>
  <c r="J395" i="30"/>
  <c r="J391" i="30"/>
  <c r="J387" i="30"/>
  <c r="J383" i="30"/>
  <c r="J379" i="30"/>
  <c r="J375" i="30"/>
  <c r="J371" i="30"/>
  <c r="J363" i="30"/>
  <c r="J359" i="30"/>
  <c r="J347" i="30"/>
  <c r="J343" i="30"/>
  <c r="J315" i="30"/>
  <c r="J311" i="30"/>
  <c r="J307" i="30"/>
  <c r="J303" i="30"/>
  <c r="J299" i="30"/>
  <c r="J295" i="30"/>
  <c r="J291" i="30"/>
  <c r="J287" i="30"/>
  <c r="J283" i="30"/>
  <c r="J279" i="30"/>
  <c r="J275" i="30"/>
  <c r="J271" i="30"/>
  <c r="J267" i="30"/>
  <c r="J263" i="30"/>
  <c r="J259" i="30"/>
  <c r="J255" i="30"/>
  <c r="J251" i="30"/>
  <c r="J247" i="30"/>
  <c r="J243" i="30"/>
  <c r="J239" i="30"/>
  <c r="J235" i="30"/>
  <c r="J231" i="30"/>
  <c r="J227" i="30"/>
  <c r="J223" i="30"/>
  <c r="J219" i="30"/>
  <c r="J215" i="30"/>
  <c r="J211" i="30"/>
  <c r="J207" i="30"/>
  <c r="F8" i="30"/>
  <c r="J203" i="30"/>
  <c r="J199" i="30"/>
  <c r="J195" i="30"/>
  <c r="J191" i="30"/>
  <c r="J187" i="30"/>
  <c r="J183" i="30"/>
  <c r="J179" i="30"/>
  <c r="J175" i="30"/>
  <c r="J171" i="30"/>
  <c r="J167" i="30"/>
  <c r="J163" i="30"/>
  <c r="J159" i="30"/>
  <c r="J151" i="30"/>
  <c r="J147" i="30"/>
  <c r="J143" i="30"/>
  <c r="J135" i="30"/>
  <c r="J131" i="30"/>
  <c r="J127" i="30"/>
  <c r="J119" i="30"/>
  <c r="J115" i="30"/>
  <c r="J111" i="30"/>
  <c r="J103" i="30"/>
  <c r="J99" i="30"/>
  <c r="J95" i="30"/>
  <c r="J87" i="30"/>
  <c r="J83" i="30"/>
  <c r="J79" i="30"/>
  <c r="J71" i="30"/>
  <c r="J67" i="30"/>
  <c r="J63" i="30"/>
  <c r="J55" i="30"/>
  <c r="J51" i="30"/>
  <c r="J47" i="30"/>
  <c r="J39" i="30"/>
  <c r="J35" i="30"/>
  <c r="J31" i="30"/>
  <c r="J23" i="30"/>
  <c r="J19" i="30"/>
  <c r="J15" i="30"/>
  <c r="J15" i="41"/>
  <c r="J19" i="41"/>
  <c r="J23" i="41"/>
  <c r="J27" i="41"/>
  <c r="J31" i="41"/>
  <c r="J35" i="41"/>
  <c r="J39" i="41"/>
  <c r="J43" i="41"/>
  <c r="J47" i="41"/>
  <c r="J51" i="41"/>
  <c r="J55" i="41"/>
  <c r="J59" i="41"/>
  <c r="J63" i="41"/>
  <c r="J67" i="41"/>
  <c r="J71" i="41"/>
  <c r="J75" i="41"/>
  <c r="J79" i="41"/>
  <c r="J83" i="41"/>
  <c r="J87" i="41"/>
  <c r="J91" i="41"/>
  <c r="J95" i="41"/>
  <c r="J99" i="41"/>
  <c r="J103" i="41"/>
  <c r="J107" i="41"/>
  <c r="J111" i="41"/>
  <c r="J115" i="41"/>
  <c r="J119" i="41"/>
  <c r="J123" i="41"/>
  <c r="J127" i="41"/>
  <c r="J131" i="41"/>
  <c r="J135" i="41"/>
  <c r="J139" i="41"/>
  <c r="J143" i="41"/>
  <c r="J147" i="41"/>
  <c r="J151" i="41"/>
  <c r="J155" i="41"/>
  <c r="J159" i="41"/>
  <c r="J163" i="41"/>
  <c r="J167" i="41"/>
  <c r="J171" i="41"/>
  <c r="J175" i="41"/>
  <c r="J179" i="41"/>
  <c r="J183" i="41"/>
  <c r="J187" i="41"/>
  <c r="J207" i="41"/>
  <c r="J211" i="41"/>
  <c r="J215" i="41"/>
  <c r="J219" i="41"/>
  <c r="J223" i="41"/>
  <c r="J227" i="41"/>
  <c r="J231" i="41"/>
  <c r="J235" i="41"/>
  <c r="J239" i="41"/>
  <c r="J243" i="41"/>
  <c r="J247" i="41"/>
  <c r="J251" i="41"/>
  <c r="J255" i="41"/>
  <c r="J259" i="41"/>
  <c r="J263" i="41"/>
  <c r="J267" i="41"/>
  <c r="J271" i="41"/>
  <c r="J275" i="41"/>
  <c r="J279" i="41"/>
  <c r="J283" i="41"/>
  <c r="J287" i="41"/>
  <c r="J291" i="41"/>
  <c r="J295" i="41"/>
  <c r="J299" i="41"/>
  <c r="J303" i="41"/>
  <c r="J307" i="41"/>
  <c r="J311" i="41"/>
  <c r="J315" i="41"/>
  <c r="J332" i="41"/>
  <c r="J337" i="41"/>
  <c r="J341" i="41"/>
  <c r="J346" i="41"/>
  <c r="J352" i="41"/>
  <c r="J731" i="41"/>
  <c r="J735" i="41"/>
  <c r="J739" i="41"/>
  <c r="J743" i="41"/>
  <c r="J747" i="41"/>
  <c r="J751" i="41"/>
  <c r="J755" i="41"/>
  <c r="J759" i="41"/>
  <c r="J763" i="41"/>
  <c r="J767" i="41"/>
  <c r="J771" i="41"/>
  <c r="J775" i="41"/>
  <c r="J779" i="41"/>
  <c r="J783" i="41"/>
  <c r="J787" i="41"/>
  <c r="J791" i="41"/>
  <c r="J1002" i="30"/>
  <c r="J998" i="30"/>
  <c r="J990" i="30"/>
  <c r="J986" i="30"/>
  <c r="J982" i="30"/>
  <c r="J974" i="30"/>
  <c r="J970" i="30"/>
  <c r="J966" i="30"/>
  <c r="J958" i="30"/>
  <c r="J954" i="30"/>
  <c r="J950" i="30"/>
  <c r="J942" i="30"/>
  <c r="J938" i="30"/>
  <c r="J934" i="30"/>
  <c r="J926" i="30"/>
  <c r="J922" i="30"/>
  <c r="J918" i="30"/>
  <c r="J910" i="30"/>
  <c r="J906" i="30"/>
  <c r="J902" i="30"/>
  <c r="J894" i="30"/>
  <c r="J890" i="30"/>
  <c r="J886" i="30"/>
  <c r="J878" i="30"/>
  <c r="J874" i="30"/>
  <c r="J870" i="30"/>
  <c r="J862" i="30"/>
  <c r="J858" i="30"/>
  <c r="J854" i="30"/>
  <c r="J846" i="30"/>
  <c r="J842" i="30"/>
  <c r="J838" i="30"/>
  <c r="J830" i="30"/>
  <c r="J826" i="30"/>
  <c r="J822" i="30"/>
  <c r="J814" i="30"/>
  <c r="J810" i="30"/>
  <c r="J806" i="30"/>
  <c r="J798" i="30"/>
  <c r="J794" i="30"/>
  <c r="J790" i="30"/>
  <c r="J782" i="30"/>
  <c r="J778" i="30"/>
  <c r="J774" i="30"/>
  <c r="J766" i="30"/>
  <c r="J762" i="30"/>
  <c r="J758" i="30"/>
  <c r="J750" i="30"/>
  <c r="J746" i="30"/>
  <c r="J742" i="30"/>
  <c r="J734" i="30"/>
  <c r="J730" i="30"/>
  <c r="J726" i="30"/>
  <c r="J718" i="30"/>
  <c r="J714" i="30"/>
  <c r="J710" i="30"/>
  <c r="J702" i="30"/>
  <c r="J698" i="30"/>
  <c r="J694" i="30"/>
  <c r="J686" i="30"/>
  <c r="J682" i="30"/>
  <c r="J678" i="30"/>
  <c r="J670" i="30"/>
  <c r="J666" i="30"/>
  <c r="J662" i="30"/>
  <c r="J654" i="30"/>
  <c r="J650" i="30"/>
  <c r="J646" i="30"/>
  <c r="J638" i="30"/>
  <c r="J634" i="30"/>
  <c r="J630" i="30"/>
  <c r="J622" i="30"/>
  <c r="J618" i="30"/>
  <c r="J614" i="30"/>
  <c r="J606" i="30"/>
  <c r="J602" i="30"/>
  <c r="J598" i="30"/>
  <c r="J590" i="30"/>
  <c r="J586" i="30"/>
  <c r="J582" i="30"/>
  <c r="J574" i="30"/>
  <c r="J570" i="30"/>
  <c r="J566" i="30"/>
  <c r="J558" i="30"/>
  <c r="J554" i="30"/>
  <c r="J550" i="30"/>
  <c r="J542" i="30"/>
  <c r="J538" i="30"/>
  <c r="J534" i="30"/>
  <c r="J526" i="30"/>
  <c r="J522" i="30"/>
  <c r="J518" i="30"/>
  <c r="J510" i="30"/>
  <c r="J506" i="30"/>
  <c r="J502" i="30"/>
  <c r="J494" i="30"/>
  <c r="J490" i="30"/>
  <c r="J486" i="30"/>
  <c r="J478" i="30"/>
  <c r="J474" i="30"/>
  <c r="J470" i="30"/>
  <c r="J462" i="30"/>
  <c r="J458" i="30"/>
  <c r="J454" i="30"/>
  <c r="J446" i="30"/>
  <c r="J442" i="30"/>
  <c r="J438" i="30"/>
  <c r="J430" i="30"/>
  <c r="J426" i="30"/>
  <c r="J422" i="30"/>
  <c r="J414" i="30"/>
  <c r="J410" i="30"/>
  <c r="J406" i="30"/>
  <c r="J398" i="30"/>
  <c r="J394" i="30"/>
  <c r="J390" i="30"/>
  <c r="J382" i="30"/>
  <c r="J378" i="30"/>
  <c r="J374" i="30"/>
  <c r="J362" i="30"/>
  <c r="J354" i="30"/>
  <c r="J350" i="30"/>
  <c r="J346" i="30"/>
  <c r="J318" i="30"/>
  <c r="J314" i="30"/>
  <c r="J302" i="30"/>
  <c r="J298" i="30"/>
  <c r="J290" i="30"/>
  <c r="J286" i="30"/>
  <c r="J282" i="30"/>
  <c r="J274" i="30"/>
  <c r="J270" i="30"/>
  <c r="J266" i="30"/>
  <c r="J258" i="30"/>
  <c r="J254" i="30"/>
  <c r="J250" i="30"/>
  <c r="J242" i="30"/>
  <c r="J238" i="30"/>
  <c r="J234" i="30"/>
  <c r="J226" i="30"/>
  <c r="J222" i="30"/>
  <c r="J218" i="30"/>
  <c r="J210" i="30"/>
  <c r="J206" i="30"/>
  <c r="J202" i="30"/>
  <c r="J198" i="30"/>
  <c r="J194" i="30"/>
  <c r="J190" i="30"/>
  <c r="J186" i="30"/>
  <c r="J182" i="30"/>
  <c r="J178" i="30"/>
  <c r="J174" i="30"/>
  <c r="J170" i="30"/>
  <c r="J166" i="30"/>
  <c r="J162" i="30"/>
  <c r="J158" i="30"/>
  <c r="J154" i="30"/>
  <c r="J150" i="30"/>
  <c r="J146" i="30"/>
  <c r="J142" i="30"/>
  <c r="J138" i="30"/>
  <c r="J134" i="30"/>
  <c r="J130" i="30"/>
  <c r="J126" i="30"/>
  <c r="J122" i="30"/>
  <c r="J118" i="30"/>
  <c r="J114" i="30"/>
  <c r="J110" i="30"/>
  <c r="J106" i="30"/>
  <c r="J102" i="30"/>
  <c r="J98" i="30"/>
  <c r="J94" i="30"/>
  <c r="J90" i="30"/>
  <c r="J86" i="30"/>
  <c r="J82" i="30"/>
  <c r="J78" i="30"/>
  <c r="J74" i="30"/>
  <c r="J70" i="30"/>
  <c r="J66" i="30"/>
  <c r="J62" i="30"/>
  <c r="J58" i="30"/>
  <c r="J54" i="30"/>
  <c r="J50" i="30"/>
  <c r="J46" i="30"/>
  <c r="J42" i="30"/>
  <c r="J38" i="30"/>
  <c r="J34" i="30"/>
  <c r="J30" i="30"/>
  <c r="J26" i="30"/>
  <c r="J22" i="30"/>
  <c r="J18" i="30"/>
  <c r="J14" i="30"/>
  <c r="J14" i="41"/>
  <c r="J18" i="41"/>
  <c r="J22" i="41"/>
  <c r="J26" i="41"/>
  <c r="J30" i="41"/>
  <c r="J34" i="41"/>
  <c r="J38" i="41"/>
  <c r="J42" i="41"/>
  <c r="J46" i="41"/>
  <c r="J50" i="41"/>
  <c r="J54" i="41"/>
  <c r="J58" i="41"/>
  <c r="J62" i="41"/>
  <c r="J66" i="41"/>
  <c r="J70" i="41"/>
  <c r="J74" i="41"/>
  <c r="J78" i="41"/>
  <c r="J82" i="41"/>
  <c r="J86" i="41"/>
  <c r="J90" i="41"/>
  <c r="J94" i="41"/>
  <c r="J98" i="41"/>
  <c r="J102" i="41"/>
  <c r="J106" i="41"/>
  <c r="J110" i="41"/>
  <c r="J114" i="41"/>
  <c r="J118" i="41"/>
  <c r="J122" i="41"/>
  <c r="J126" i="41"/>
  <c r="J130" i="41"/>
  <c r="J134" i="41"/>
  <c r="J138" i="41"/>
  <c r="J142" i="41"/>
  <c r="J146" i="41"/>
  <c r="J150" i="41"/>
  <c r="J154" i="41"/>
  <c r="J158" i="41"/>
  <c r="J162" i="41"/>
  <c r="J166" i="41"/>
  <c r="J170" i="41"/>
  <c r="J174" i="41"/>
  <c r="J178" i="41"/>
  <c r="J182" i="41"/>
  <c r="J186" i="41"/>
  <c r="J206" i="41"/>
  <c r="J210" i="41"/>
  <c r="J214" i="41"/>
  <c r="F8" i="41"/>
  <c r="J218" i="41"/>
  <c r="J222" i="41"/>
  <c r="J226" i="41"/>
  <c r="J230" i="41"/>
  <c r="J234" i="41"/>
  <c r="J238" i="41"/>
  <c r="J242" i="41"/>
  <c r="J246" i="41"/>
  <c r="J250" i="41"/>
  <c r="J254" i="41"/>
  <c r="J258" i="41"/>
  <c r="J262" i="41"/>
  <c r="J266" i="41"/>
  <c r="J270" i="41"/>
  <c r="J274" i="41"/>
  <c r="J278" i="41"/>
  <c r="J282" i="41"/>
  <c r="J286" i="41"/>
  <c r="J290" i="41"/>
  <c r="J294" i="41"/>
  <c r="J298" i="41"/>
  <c r="J302" i="41"/>
  <c r="J310" i="41"/>
  <c r="J314" i="41"/>
  <c r="J318" i="41"/>
  <c r="J330" i="41"/>
  <c r="J336" i="41"/>
  <c r="J360" i="41"/>
  <c r="J364" i="41"/>
  <c r="J369" i="41"/>
  <c r="J734" i="41"/>
  <c r="J738" i="41"/>
  <c r="J742" i="41"/>
  <c r="J746" i="41"/>
  <c r="J750" i="41"/>
  <c r="J754" i="41"/>
  <c r="J758" i="41"/>
  <c r="J762" i="41"/>
  <c r="J766" i="41"/>
  <c r="J770" i="41"/>
  <c r="J774" i="41"/>
  <c r="J778" i="41"/>
  <c r="J782" i="41"/>
  <c r="J786" i="41"/>
  <c r="J790" i="41"/>
  <c r="I989" i="42"/>
  <c r="I1002" i="42"/>
  <c r="J193" i="41"/>
  <c r="J197" i="41"/>
  <c r="J201" i="41"/>
  <c r="J205" i="41"/>
  <c r="J208" i="41"/>
  <c r="J212" i="41"/>
  <c r="J216" i="41"/>
  <c r="J220" i="41"/>
  <c r="J224" i="41"/>
  <c r="J228" i="41"/>
  <c r="J232" i="41"/>
  <c r="J236" i="41"/>
  <c r="J240" i="41"/>
  <c r="J244" i="41"/>
  <c r="J248" i="41"/>
  <c r="J252" i="41"/>
  <c r="J256" i="41"/>
  <c r="J260" i="41"/>
  <c r="J264" i="41"/>
  <c r="J268" i="41"/>
  <c r="J272" i="41"/>
  <c r="J276" i="41"/>
  <c r="J280" i="41"/>
  <c r="J284" i="41"/>
  <c r="J288" i="41"/>
  <c r="J292" i="41"/>
  <c r="J296" i="41"/>
  <c r="J300" i="41"/>
  <c r="J304" i="41"/>
  <c r="J308" i="41"/>
  <c r="J312" i="41"/>
  <c r="J316" i="41"/>
  <c r="J320" i="41"/>
  <c r="J334" i="41"/>
  <c r="J340" i="41"/>
  <c r="J345" i="41"/>
  <c r="J350" i="41"/>
  <c r="J356" i="41"/>
  <c r="J361" i="41"/>
  <c r="J365" i="41"/>
  <c r="J371" i="41"/>
  <c r="J417" i="41"/>
  <c r="J421" i="41"/>
  <c r="J425" i="41"/>
  <c r="J429" i="41"/>
  <c r="J433" i="41"/>
  <c r="J437" i="41"/>
  <c r="J441" i="41"/>
  <c r="J445" i="41"/>
  <c r="J449" i="41"/>
  <c r="J453" i="41"/>
  <c r="J457" i="41"/>
  <c r="J461" i="41"/>
  <c r="J465" i="41"/>
  <c r="J469" i="41"/>
  <c r="J473" i="41"/>
  <c r="J477" i="41"/>
  <c r="J481" i="41"/>
  <c r="J485" i="41"/>
  <c r="J489" i="41"/>
  <c r="J493" i="41"/>
  <c r="J497" i="41"/>
  <c r="J501" i="41"/>
  <c r="J505" i="41"/>
  <c r="J509" i="41"/>
  <c r="J513" i="41"/>
  <c r="J517" i="41"/>
  <c r="J521" i="41"/>
  <c r="J525" i="41"/>
  <c r="J529" i="41"/>
  <c r="J533" i="41"/>
  <c r="J537" i="41"/>
  <c r="J541" i="41"/>
  <c r="J545" i="41"/>
  <c r="J549" i="41"/>
  <c r="J553" i="41"/>
  <c r="J557" i="41"/>
  <c r="J561" i="41"/>
  <c r="J565" i="41"/>
  <c r="J569" i="41"/>
  <c r="J573" i="41"/>
  <c r="J577" i="41"/>
  <c r="J581" i="41"/>
  <c r="J585" i="41"/>
  <c r="J589" i="41"/>
  <c r="J593" i="41"/>
  <c r="J597" i="41"/>
  <c r="J601" i="41"/>
  <c r="J605" i="41"/>
  <c r="J609" i="41"/>
  <c r="J613" i="41"/>
  <c r="J617" i="41"/>
  <c r="J621" i="41"/>
  <c r="J625" i="41"/>
  <c r="J629" i="41"/>
  <c r="J633" i="41"/>
  <c r="J637" i="41"/>
  <c r="J641" i="41"/>
  <c r="J645" i="41"/>
  <c r="J649" i="41"/>
  <c r="J653" i="41"/>
  <c r="J657" i="41"/>
  <c r="J661" i="41"/>
  <c r="J665" i="41"/>
  <c r="J669" i="41"/>
  <c r="J673" i="41"/>
  <c r="J677" i="41"/>
  <c r="J681" i="41"/>
  <c r="J685" i="41"/>
  <c r="J689" i="41"/>
  <c r="J693" i="41"/>
  <c r="J697" i="41"/>
  <c r="J701" i="41"/>
  <c r="J705" i="41"/>
  <c r="J709" i="41"/>
  <c r="J713" i="41"/>
  <c r="J717" i="41"/>
  <c r="J721" i="41"/>
  <c r="J725" i="41"/>
  <c r="J729" i="41"/>
  <c r="J950" i="41"/>
  <c r="J954" i="41"/>
  <c r="J958" i="41"/>
  <c r="J962" i="41"/>
  <c r="J966" i="41"/>
  <c r="J970" i="41"/>
  <c r="J974" i="41"/>
  <c r="J978" i="41"/>
  <c r="J982" i="41"/>
  <c r="J986" i="41"/>
  <c r="J990" i="41"/>
  <c r="J994" i="41"/>
  <c r="J998" i="41"/>
  <c r="J1002" i="41"/>
  <c r="I970" i="42"/>
  <c r="J953" i="41"/>
  <c r="J957" i="41"/>
  <c r="J961" i="41"/>
  <c r="J965" i="41"/>
  <c r="J969" i="41"/>
  <c r="J973" i="41"/>
  <c r="J977" i="41"/>
  <c r="J981" i="41"/>
  <c r="J985" i="41"/>
  <c r="J989" i="41"/>
  <c r="J993" i="41"/>
  <c r="J997" i="41"/>
  <c r="J1001" i="41"/>
  <c r="I996" i="42"/>
  <c r="I973" i="42"/>
  <c r="I964" i="42"/>
  <c r="I969" i="42"/>
  <c r="I986" i="42"/>
  <c r="I988" i="42"/>
  <c r="R1003" i="28"/>
  <c r="R999" i="28"/>
  <c r="R995" i="28"/>
  <c r="R987" i="28"/>
  <c r="R983" i="28"/>
  <c r="R979" i="28"/>
  <c r="R975" i="28"/>
  <c r="R971" i="28"/>
  <c r="R967" i="28"/>
  <c r="R963" i="28"/>
  <c r="R955" i="28"/>
  <c r="R951" i="28"/>
  <c r="R947" i="28"/>
  <c r="R943" i="28"/>
  <c r="R939" i="28"/>
  <c r="R935" i="28"/>
  <c r="R931" i="28"/>
  <c r="R927" i="28"/>
  <c r="R923" i="28"/>
  <c r="R919" i="28"/>
  <c r="R851" i="28"/>
  <c r="R827" i="28"/>
  <c r="R819" i="28"/>
  <c r="R811" i="28"/>
  <c r="R795" i="28"/>
  <c r="R735" i="28"/>
  <c r="R727" i="28"/>
  <c r="R683" i="28"/>
  <c r="R651" i="28"/>
  <c r="R619" i="28"/>
  <c r="R547" i="28"/>
  <c r="R447" i="28"/>
  <c r="R267" i="28"/>
  <c r="R915" i="28"/>
  <c r="R911" i="28"/>
  <c r="R907" i="28"/>
  <c r="R903" i="28"/>
  <c r="R899" i="28"/>
  <c r="R895" i="28"/>
  <c r="R891" i="28"/>
  <c r="R887" i="28"/>
  <c r="R883" i="28"/>
  <c r="R879" i="28"/>
  <c r="R875" i="28"/>
  <c r="R871" i="28"/>
  <c r="R867" i="28"/>
  <c r="R863" i="28"/>
  <c r="R859" i="28"/>
  <c r="R855" i="28"/>
  <c r="R847" i="28"/>
  <c r="R843" i="28"/>
  <c r="R839" i="28"/>
  <c r="R831" i="28"/>
  <c r="R823" i="28"/>
  <c r="R815" i="28"/>
  <c r="R807" i="28"/>
  <c r="R803" i="28"/>
  <c r="R799" i="28"/>
  <c r="R791" i="28"/>
  <c r="R787" i="28"/>
  <c r="R783" i="28"/>
  <c r="R779" i="28"/>
  <c r="R775" i="28"/>
  <c r="R771" i="28"/>
  <c r="R767" i="28"/>
  <c r="R763" i="28"/>
  <c r="R759" i="28"/>
  <c r="R755" i="28"/>
  <c r="R751" i="28"/>
  <c r="R747" i="28"/>
  <c r="R743" i="28"/>
  <c r="R739" i="28"/>
  <c r="R731" i="28"/>
  <c r="R723" i="28"/>
  <c r="R719" i="28"/>
  <c r="R715" i="28"/>
  <c r="R711" i="28"/>
  <c r="R707" i="28"/>
  <c r="R703" i="28"/>
  <c r="R699" i="28"/>
  <c r="R695" i="28"/>
  <c r="R691" i="28"/>
  <c r="R687" i="28"/>
  <c r="R679" i="28"/>
  <c r="R675" i="28"/>
  <c r="R671" i="28"/>
  <c r="R667" i="28"/>
  <c r="R663" i="28"/>
  <c r="R659" i="28"/>
  <c r="R655" i="28"/>
  <c r="R647" i="28"/>
  <c r="R643" i="28"/>
  <c r="R639" i="28"/>
  <c r="R635" i="28"/>
  <c r="R631" i="28"/>
  <c r="R627" i="28"/>
  <c r="R623" i="28"/>
  <c r="R615" i="28"/>
  <c r="R611" i="28"/>
  <c r="R607" i="28"/>
  <c r="R603" i="28"/>
  <c r="R599" i="28"/>
  <c r="R595" i="28"/>
  <c r="R591" i="28"/>
  <c r="R583" i="28"/>
  <c r="R579" i="28"/>
  <c r="R571" i="28"/>
  <c r="R567" i="28"/>
  <c r="R563" i="28"/>
  <c r="R559" i="28"/>
  <c r="R555" i="28"/>
  <c r="R551" i="28"/>
  <c r="R543" i="28"/>
  <c r="R539" i="28"/>
  <c r="R535" i="28"/>
  <c r="R531" i="28"/>
  <c r="R527" i="28"/>
  <c r="R523" i="28"/>
  <c r="R519" i="28"/>
  <c r="R515" i="28"/>
  <c r="R511" i="28"/>
  <c r="R507" i="28"/>
  <c r="R503" i="28"/>
  <c r="R499" i="28"/>
  <c r="R495" i="28"/>
  <c r="R491" i="28"/>
  <c r="R487" i="28"/>
  <c r="R483" i="28"/>
  <c r="R479" i="28"/>
  <c r="R471" i="28"/>
  <c r="R467" i="28"/>
  <c r="R463" i="28"/>
  <c r="R459" i="28"/>
  <c r="R455" i="28"/>
  <c r="R451" i="28"/>
  <c r="R443" i="28"/>
  <c r="R439" i="28"/>
  <c r="R435" i="28"/>
  <c r="R431" i="28"/>
  <c r="R427" i="28"/>
  <c r="R423" i="28"/>
  <c r="R415" i="28"/>
  <c r="R411" i="28"/>
  <c r="R407" i="28"/>
  <c r="R403" i="28"/>
  <c r="R399" i="28"/>
  <c r="R395" i="28"/>
  <c r="R391" i="28"/>
  <c r="R387" i="28"/>
  <c r="R383" i="28"/>
  <c r="R379" i="28"/>
  <c r="R375" i="28"/>
  <c r="R371" i="28"/>
  <c r="R363" i="28"/>
  <c r="R359" i="28"/>
  <c r="R347" i="28"/>
  <c r="R343" i="28"/>
  <c r="R315" i="28"/>
  <c r="R311" i="28"/>
  <c r="R307" i="28"/>
  <c r="R299" i="28"/>
  <c r="R287" i="28"/>
  <c r="R283" i="28"/>
  <c r="R275" i="28"/>
  <c r="R255" i="28"/>
  <c r="R251" i="28"/>
  <c r="R243" i="28"/>
  <c r="R235" i="28"/>
  <c r="R223" i="28"/>
  <c r="R219" i="28"/>
  <c r="R211" i="28"/>
  <c r="R203" i="28"/>
  <c r="R191" i="28"/>
  <c r="R187" i="28"/>
  <c r="R1002" i="28"/>
  <c r="R994" i="28"/>
  <c r="R986" i="28"/>
  <c r="R970" i="28"/>
  <c r="R962" i="28"/>
  <c r="R946" i="28"/>
  <c r="R938" i="28"/>
  <c r="R930" i="28"/>
  <c r="R922" i="28"/>
  <c r="R906" i="28"/>
  <c r="R886" i="28"/>
  <c r="R870" i="28"/>
  <c r="R854" i="28"/>
  <c r="R822" i="28"/>
  <c r="R806" i="28"/>
  <c r="R790" i="28"/>
  <c r="R730" i="28"/>
  <c r="R722" i="28"/>
  <c r="R698" i="28"/>
  <c r="R666" i="28"/>
  <c r="R634" i="28"/>
  <c r="R602" i="28"/>
  <c r="R566" i="28"/>
  <c r="R538" i="28"/>
  <c r="R510" i="28"/>
  <c r="R438" i="28"/>
  <c r="R410" i="28"/>
  <c r="R382" i="28"/>
  <c r="R270" i="28"/>
  <c r="R978" i="28"/>
  <c r="R966" i="28"/>
  <c r="R954" i="28"/>
  <c r="R914" i="28"/>
  <c r="R902" i="28"/>
  <c r="R890" i="28"/>
  <c r="R850" i="28"/>
  <c r="R838" i="28"/>
  <c r="R826" i="28"/>
  <c r="R786" i="28"/>
  <c r="R774" i="28"/>
  <c r="R762" i="28"/>
  <c r="R734" i="28"/>
  <c r="R718" i="28"/>
  <c r="R706" i="28"/>
  <c r="R702" i="28"/>
  <c r="R690" i="28"/>
  <c r="R686" i="28"/>
  <c r="R674" i="28"/>
  <c r="R670" i="28"/>
  <c r="R658" i="28"/>
  <c r="R654" i="28"/>
  <c r="R642" i="28"/>
  <c r="R638" i="28"/>
  <c r="R626" i="28"/>
  <c r="R622" i="28"/>
  <c r="R610" i="28"/>
  <c r="R606" i="28"/>
  <c r="R594" i="28"/>
  <c r="R590" i="28"/>
  <c r="R578" i="28"/>
  <c r="R570" i="28"/>
  <c r="R562" i="28"/>
  <c r="R558" i="28"/>
  <c r="R550" i="28"/>
  <c r="R546" i="28"/>
  <c r="R542" i="28"/>
  <c r="R534" i="28"/>
  <c r="R530" i="28"/>
  <c r="R522" i="28"/>
  <c r="R514" i="28"/>
  <c r="R506" i="28"/>
  <c r="R498" i="28"/>
  <c r="R494" i="28"/>
  <c r="R486" i="28"/>
  <c r="R482" i="28"/>
  <c r="R478" i="28"/>
  <c r="R470" i="28"/>
  <c r="R466" i="28"/>
  <c r="R458" i="28"/>
  <c r="R450" i="28"/>
  <c r="R442" i="28"/>
  <c r="R434" i="28"/>
  <c r="R430" i="28"/>
  <c r="R422" i="28"/>
  <c r="R418" i="28"/>
  <c r="R414" i="28"/>
  <c r="R406" i="28"/>
  <c r="R402" i="28"/>
  <c r="R394" i="28"/>
  <c r="R386" i="28"/>
  <c r="R378" i="28"/>
  <c r="R366" i="28"/>
  <c r="R350" i="28"/>
  <c r="R338" i="28"/>
  <c r="R334" i="28"/>
  <c r="R318" i="28"/>
  <c r="R314" i="28"/>
  <c r="R310" i="28"/>
  <c r="R302" i="28"/>
  <c r="R298" i="28"/>
  <c r="R294" i="28"/>
  <c r="R286" i="28"/>
  <c r="R278" i="28"/>
  <c r="R266" i="28"/>
  <c r="R262" i="28"/>
  <c r="R254" i="28"/>
  <c r="R250" i="28"/>
  <c r="R246" i="28"/>
  <c r="R238" i="28"/>
  <c r="R234" i="28"/>
  <c r="R230" i="28"/>
  <c r="R218" i="28"/>
  <c r="R214" i="28"/>
  <c r="R206" i="28"/>
  <c r="R202" i="28"/>
  <c r="R186" i="28"/>
  <c r="R182" i="28"/>
  <c r="R174" i="28"/>
  <c r="R166" i="28"/>
  <c r="R162" i="28"/>
  <c r="R154" i="28"/>
  <c r="R150" i="28"/>
  <c r="R146" i="28"/>
  <c r="R134" i="28"/>
  <c r="R126" i="28"/>
  <c r="R118" i="28"/>
  <c r="R106" i="28"/>
  <c r="R102" i="28"/>
  <c r="R98" i="28"/>
  <c r="R90" i="28"/>
  <c r="R86" i="28"/>
  <c r="R78" i="28"/>
  <c r="R70" i="28"/>
  <c r="R62" i="28"/>
  <c r="R58" i="28"/>
  <c r="R54" i="28"/>
  <c r="R50" i="28"/>
  <c r="R42" i="28"/>
  <c r="R38" i="28"/>
  <c r="R34" i="28"/>
  <c r="R30" i="28"/>
  <c r="R26" i="28"/>
  <c r="R22" i="28"/>
  <c r="R14" i="28"/>
  <c r="R165" i="28"/>
  <c r="R157" i="28"/>
  <c r="R137" i="28"/>
  <c r="R117" i="28"/>
  <c r="R109" i="28"/>
  <c r="R89" i="28"/>
  <c r="R61" i="28"/>
  <c r="R1000" i="28"/>
  <c r="R988" i="28"/>
  <c r="R960" i="28"/>
  <c r="R948" i="28"/>
  <c r="R936" i="28"/>
  <c r="R924" i="28"/>
  <c r="R177" i="28"/>
  <c r="R169" i="28"/>
  <c r="R161" i="28"/>
  <c r="R145" i="28"/>
  <c r="R141" i="28"/>
  <c r="R133" i="28"/>
  <c r="R129" i="28"/>
  <c r="R113" i="28"/>
  <c r="R105" i="28"/>
  <c r="R97" i="28"/>
  <c r="R81" i="28"/>
  <c r="R77" i="28"/>
  <c r="R69" i="28"/>
  <c r="R65" i="28"/>
  <c r="R49" i="28"/>
  <c r="R41" i="28"/>
  <c r="R33" i="28"/>
  <c r="R17" i="28"/>
  <c r="R13" i="28"/>
  <c r="R572" i="28"/>
  <c r="R556" i="28"/>
  <c r="R540" i="28"/>
  <c r="R524" i="28"/>
  <c r="R508" i="28"/>
  <c r="R492" i="28"/>
  <c r="R476" i="28"/>
  <c r="R460" i="28"/>
  <c r="R444" i="28"/>
  <c r="R428" i="28"/>
  <c r="R412" i="28"/>
  <c r="R396" i="28"/>
  <c r="R380" i="28"/>
  <c r="R356" i="28"/>
  <c r="R332" i="28"/>
  <c r="R360" i="28"/>
  <c r="R344" i="28"/>
  <c r="R308" i="28"/>
  <c r="R284" i="28"/>
  <c r="R252" i="28"/>
  <c r="R220" i="28"/>
  <c r="R188" i="28"/>
  <c r="R172" i="28"/>
  <c r="R156" i="28"/>
  <c r="R140" i="28"/>
  <c r="R124" i="28"/>
  <c r="R108" i="28"/>
  <c r="R92" i="28"/>
  <c r="R76" i="28"/>
  <c r="R60" i="28"/>
  <c r="R44" i="28"/>
  <c r="R28" i="28"/>
  <c r="R12" i="28"/>
  <c r="R303" i="28"/>
  <c r="R291" i="28"/>
  <c r="R271" i="28"/>
  <c r="R259" i="28"/>
  <c r="R239" i="28"/>
  <c r="R227" i="28"/>
  <c r="R207" i="28"/>
  <c r="R195" i="28"/>
  <c r="R665" i="43"/>
  <c r="R669" i="43"/>
  <c r="R673" i="43"/>
  <c r="R677" i="43"/>
  <c r="R681" i="43"/>
  <c r="R685" i="43"/>
  <c r="R689" i="43"/>
  <c r="R693" i="43"/>
  <c r="R697" i="43"/>
  <c r="R936" i="43"/>
  <c r="R940" i="43"/>
  <c r="R944" i="43"/>
  <c r="R948" i="43"/>
  <c r="R952" i="43"/>
  <c r="R956" i="43"/>
  <c r="R960" i="43"/>
  <c r="R964" i="43"/>
  <c r="R968" i="43"/>
  <c r="R972" i="43"/>
  <c r="R976" i="43"/>
  <c r="R980" i="43"/>
  <c r="R984" i="43"/>
  <c r="R988" i="43"/>
  <c r="R992" i="43"/>
  <c r="R996" i="43"/>
  <c r="R1000" i="43"/>
  <c r="R1003" i="43"/>
  <c r="R664" i="43"/>
  <c r="R668" i="43"/>
  <c r="R672" i="43"/>
  <c r="R676" i="43"/>
  <c r="R680" i="43"/>
  <c r="R684" i="43"/>
  <c r="R688" i="43"/>
  <c r="R692" i="43"/>
  <c r="R696" i="43"/>
  <c r="R700" i="43"/>
  <c r="R955" i="43"/>
  <c r="R959" i="43"/>
  <c r="R963" i="43"/>
  <c r="R967" i="43"/>
  <c r="R971" i="43"/>
  <c r="R975" i="43"/>
  <c r="R979" i="43"/>
  <c r="R983" i="43"/>
  <c r="R987" i="43"/>
  <c r="R991" i="43"/>
  <c r="R995" i="43"/>
  <c r="R999" i="43"/>
  <c r="R1002" i="43"/>
  <c r="R990" i="28"/>
  <c r="R974" i="28"/>
  <c r="R958" i="28"/>
  <c r="R942" i="28"/>
  <c r="R926" i="28"/>
  <c r="R910" i="28"/>
  <c r="R894" i="28"/>
  <c r="R878" i="28"/>
  <c r="R862" i="28"/>
  <c r="R846" i="28"/>
  <c r="R830" i="28"/>
  <c r="R814" i="28"/>
  <c r="R798" i="28"/>
  <c r="R782" i="28"/>
  <c r="R766" i="28"/>
  <c r="R750" i="28"/>
  <c r="R322" i="28"/>
  <c r="R290" i="28"/>
  <c r="R274" i="28"/>
  <c r="R258" i="28"/>
  <c r="R242" i="28"/>
  <c r="R226" i="28"/>
  <c r="R210" i="28"/>
  <c r="R194" i="28"/>
  <c r="R1001" i="28"/>
  <c r="R997" i="28"/>
  <c r="R993" i="28"/>
  <c r="R989" i="28"/>
  <c r="R985" i="28"/>
  <c r="R981" i="28"/>
  <c r="R977" i="28"/>
  <c r="R973" i="28"/>
  <c r="R969" i="28"/>
  <c r="R965" i="28"/>
  <c r="R961" i="28"/>
  <c r="R957" i="28"/>
  <c r="R953" i="28"/>
  <c r="R663" i="43"/>
  <c r="R667" i="43"/>
  <c r="R671" i="43"/>
  <c r="R675" i="43"/>
  <c r="R679" i="43"/>
  <c r="R683" i="43"/>
  <c r="R687" i="43"/>
  <c r="R691" i="43"/>
  <c r="R695" i="43"/>
  <c r="R699" i="43"/>
  <c r="R954" i="43"/>
  <c r="R958" i="43"/>
  <c r="R962" i="43"/>
  <c r="R966" i="43"/>
  <c r="R970" i="43"/>
  <c r="R974" i="43"/>
  <c r="R978" i="43"/>
  <c r="R982" i="43"/>
  <c r="R986" i="43"/>
  <c r="R990" i="43"/>
  <c r="R994" i="43"/>
  <c r="R998" i="43"/>
  <c r="R1001" i="43"/>
  <c r="R661" i="43"/>
  <c r="R662" i="43"/>
  <c r="R666" i="43"/>
  <c r="R670" i="43"/>
  <c r="R674" i="43"/>
  <c r="R678" i="43"/>
  <c r="R682" i="43"/>
  <c r="R686" i="43"/>
  <c r="R690" i="43"/>
  <c r="R694" i="43"/>
  <c r="R698" i="43"/>
  <c r="R957" i="43"/>
  <c r="R961" i="43"/>
  <c r="R965" i="43"/>
  <c r="R969" i="43"/>
  <c r="R973" i="43"/>
  <c r="R977" i="43"/>
  <c r="R981" i="43"/>
  <c r="R985" i="43"/>
  <c r="R989" i="43"/>
  <c r="R993" i="43"/>
  <c r="R997" i="43"/>
  <c r="D8" i="30"/>
  <c r="J19" i="5"/>
  <c r="H20" i="5"/>
  <c r="F19" i="5"/>
  <c r="D20" i="5"/>
  <c r="B19" i="5"/>
  <c r="B20" i="5"/>
  <c r="M8" i="5"/>
  <c r="M4" i="5"/>
  <c r="J12" i="30"/>
  <c r="L6" i="5"/>
  <c r="J372" i="41"/>
  <c r="J380" i="41"/>
  <c r="J384" i="41"/>
  <c r="J388" i="41"/>
  <c r="J392" i="41"/>
  <c r="J396" i="41"/>
  <c r="J400" i="41"/>
  <c r="J404" i="41"/>
  <c r="J408" i="41"/>
  <c r="J412" i="41"/>
  <c r="J795" i="41"/>
  <c r="J799" i="41"/>
  <c r="J803" i="41"/>
  <c r="J807" i="41"/>
  <c r="J811" i="41"/>
  <c r="J815" i="41"/>
  <c r="J819" i="41"/>
  <c r="J823" i="41"/>
  <c r="J827" i="41"/>
  <c r="J831" i="41"/>
  <c r="J835" i="41"/>
  <c r="J839" i="41"/>
  <c r="J843" i="41"/>
  <c r="J847" i="41"/>
  <c r="J854" i="41"/>
  <c r="J858" i="41"/>
  <c r="J862" i="41"/>
  <c r="J866" i="41"/>
  <c r="J870" i="41"/>
  <c r="J874" i="41"/>
  <c r="J878" i="41"/>
  <c r="J882" i="41"/>
  <c r="J886" i="41"/>
  <c r="J890" i="41"/>
  <c r="J894" i="41"/>
  <c r="J898" i="41"/>
  <c r="J902" i="41"/>
  <c r="J906" i="41"/>
  <c r="J910" i="41"/>
  <c r="J10" i="30"/>
  <c r="E8" i="30"/>
  <c r="J192" i="41"/>
  <c r="J196" i="41"/>
  <c r="J200" i="41"/>
  <c r="J204" i="41"/>
  <c r="J375" i="41"/>
  <c r="J379" i="41"/>
  <c r="J383" i="41"/>
  <c r="J387" i="41"/>
  <c r="J391" i="41"/>
  <c r="J395" i="41"/>
  <c r="J399" i="41"/>
  <c r="J403" i="41"/>
  <c r="J407" i="41"/>
  <c r="J411" i="41"/>
  <c r="J12" i="41"/>
  <c r="C8" i="41"/>
  <c r="J191" i="41"/>
  <c r="J195" i="41"/>
  <c r="J199" i="41"/>
  <c r="J203" i="41"/>
  <c r="J374" i="41"/>
  <c r="J378" i="41"/>
  <c r="J382" i="41"/>
  <c r="J386" i="41"/>
  <c r="J390" i="41"/>
  <c r="J394" i="41"/>
  <c r="J398" i="41"/>
  <c r="J402" i="41"/>
  <c r="J406" i="41"/>
  <c r="J410" i="41"/>
  <c r="J415" i="41"/>
  <c r="J419" i="41"/>
  <c r="J423" i="41"/>
  <c r="J427" i="41"/>
  <c r="J431" i="41"/>
  <c r="J435" i="41"/>
  <c r="J439" i="41"/>
  <c r="J443" i="41"/>
  <c r="J447" i="41"/>
  <c r="J451" i="41"/>
  <c r="J455" i="41"/>
  <c r="J459" i="41"/>
  <c r="J463" i="41"/>
  <c r="J467" i="41"/>
  <c r="J471" i="41"/>
  <c r="J475" i="41"/>
  <c r="J479" i="41"/>
  <c r="J483" i="41"/>
  <c r="J487" i="41"/>
  <c r="J491" i="41"/>
  <c r="J495" i="41"/>
  <c r="J499" i="41"/>
  <c r="J503" i="41"/>
  <c r="J507" i="41"/>
  <c r="J511" i="41"/>
  <c r="J515" i="41"/>
  <c r="J519" i="41"/>
  <c r="J523" i="41"/>
  <c r="J527" i="41"/>
  <c r="J531" i="41"/>
  <c r="J535" i="41"/>
  <c r="J539" i="41"/>
  <c r="J190" i="41"/>
  <c r="J194" i="41"/>
  <c r="J198" i="41"/>
  <c r="J202" i="41"/>
  <c r="J373" i="41"/>
  <c r="J377" i="41"/>
  <c r="J381" i="41"/>
  <c r="J385" i="41"/>
  <c r="J389" i="41"/>
  <c r="J393" i="41"/>
  <c r="J397" i="41"/>
  <c r="J401" i="41"/>
  <c r="J405" i="41"/>
  <c r="J409" i="41"/>
  <c r="J413" i="41"/>
  <c r="J414" i="41"/>
  <c r="J418" i="41"/>
  <c r="J422" i="41"/>
  <c r="J426" i="41"/>
  <c r="J430" i="41"/>
  <c r="J434" i="41"/>
  <c r="J438" i="41"/>
  <c r="J442" i="41"/>
  <c r="J446" i="41"/>
  <c r="J450" i="41"/>
  <c r="J454" i="41"/>
  <c r="J458" i="41"/>
  <c r="J462" i="41"/>
  <c r="J466" i="41"/>
  <c r="J470" i="41"/>
  <c r="J474" i="41"/>
  <c r="J478" i="41"/>
  <c r="J482" i="41"/>
  <c r="J486" i="41"/>
  <c r="J490" i="41"/>
  <c r="J494" i="41"/>
  <c r="J498" i="41"/>
  <c r="J502" i="41"/>
  <c r="J506" i="41"/>
  <c r="J510" i="41"/>
  <c r="J514" i="41"/>
  <c r="J518" i="41"/>
  <c r="J522" i="41"/>
  <c r="J526" i="41"/>
  <c r="J530" i="41"/>
  <c r="J534" i="41"/>
  <c r="J538" i="41"/>
  <c r="J542" i="41"/>
  <c r="J546" i="41"/>
  <c r="J550" i="41"/>
  <c r="J554" i="41"/>
  <c r="J558" i="41"/>
  <c r="J562" i="41"/>
  <c r="J566" i="41"/>
  <c r="J570" i="41"/>
  <c r="J574" i="41"/>
  <c r="J578" i="41"/>
  <c r="J582" i="41"/>
  <c r="J586" i="41"/>
  <c r="J590" i="41"/>
  <c r="J594" i="41"/>
  <c r="J598" i="41"/>
  <c r="J602" i="41"/>
  <c r="J606" i="41"/>
  <c r="J610" i="41"/>
  <c r="J614" i="41"/>
  <c r="J618" i="41"/>
  <c r="J622" i="41"/>
  <c r="J626" i="41"/>
  <c r="J630" i="41"/>
  <c r="J634" i="41"/>
  <c r="J638" i="41"/>
  <c r="J642" i="41"/>
  <c r="J646" i="41"/>
  <c r="J650" i="41"/>
  <c r="J654" i="41"/>
  <c r="J658" i="41"/>
  <c r="J662" i="41"/>
  <c r="J666" i="41"/>
  <c r="J670" i="41"/>
  <c r="J674" i="41"/>
  <c r="J678" i="41"/>
  <c r="J682" i="41"/>
  <c r="J686" i="41"/>
  <c r="J690" i="41"/>
  <c r="J694" i="41"/>
  <c r="J698" i="41"/>
  <c r="J702" i="41"/>
  <c r="J706" i="41"/>
  <c r="J710" i="41"/>
  <c r="J714" i="41"/>
  <c r="J718" i="41"/>
  <c r="J722" i="41"/>
  <c r="J726" i="41"/>
  <c r="J730" i="41"/>
  <c r="J796" i="41"/>
  <c r="J800" i="41"/>
  <c r="J804" i="41"/>
  <c r="J808" i="41"/>
  <c r="J812" i="41"/>
  <c r="J816" i="41"/>
  <c r="J820" i="41"/>
  <c r="J824" i="41"/>
  <c r="J828" i="41"/>
  <c r="J832" i="41"/>
  <c r="J836" i="41"/>
  <c r="J840" i="41"/>
  <c r="J844" i="41"/>
  <c r="J848" i="41"/>
  <c r="J851" i="41"/>
  <c r="J855" i="41"/>
  <c r="J859" i="41"/>
  <c r="J863" i="41"/>
  <c r="J867" i="41"/>
  <c r="J871" i="41"/>
  <c r="J875" i="41"/>
  <c r="J879" i="41"/>
  <c r="J883" i="41"/>
  <c r="J887" i="41"/>
  <c r="J891" i="41"/>
  <c r="J895" i="41"/>
  <c r="J899" i="41"/>
  <c r="J903" i="41"/>
  <c r="J907" i="41"/>
  <c r="J911" i="41"/>
  <c r="F8" i="29"/>
  <c r="J416" i="41"/>
  <c r="J420" i="41"/>
  <c r="J424" i="41"/>
  <c r="J428" i="41"/>
  <c r="J432" i="41"/>
  <c r="J436" i="41"/>
  <c r="J440" i="41"/>
  <c r="J444" i="41"/>
  <c r="J448" i="41"/>
  <c r="J452" i="41"/>
  <c r="J456" i="41"/>
  <c r="J460" i="41"/>
  <c r="J464" i="41"/>
  <c r="J468" i="41"/>
  <c r="J472" i="41"/>
  <c r="J476" i="41"/>
  <c r="J480" i="41"/>
  <c r="J484" i="41"/>
  <c r="J488" i="41"/>
  <c r="J492" i="41"/>
  <c r="J496" i="41"/>
  <c r="J500" i="41"/>
  <c r="J504" i="41"/>
  <c r="J508" i="41"/>
  <c r="J512" i="41"/>
  <c r="J516" i="41"/>
  <c r="J520" i="41"/>
  <c r="J524" i="41"/>
  <c r="J528" i="41"/>
  <c r="J532" i="41"/>
  <c r="J536" i="41"/>
  <c r="J540" i="41"/>
  <c r="J544" i="41"/>
  <c r="J548" i="41"/>
  <c r="J552" i="41"/>
  <c r="J556" i="41"/>
  <c r="J560" i="41"/>
  <c r="J564" i="41"/>
  <c r="J568" i="41"/>
  <c r="J572" i="41"/>
  <c r="J576" i="41"/>
  <c r="J580" i="41"/>
  <c r="J584" i="41"/>
  <c r="J588" i="41"/>
  <c r="J592" i="41"/>
  <c r="J596" i="41"/>
  <c r="J600" i="41"/>
  <c r="J604" i="41"/>
  <c r="J608" i="41"/>
  <c r="J612" i="41"/>
  <c r="J616" i="41"/>
  <c r="J620" i="41"/>
  <c r="J624" i="41"/>
  <c r="J628" i="41"/>
  <c r="J632" i="41"/>
  <c r="J636" i="41"/>
  <c r="J640" i="41"/>
  <c r="J644" i="41"/>
  <c r="J648" i="41"/>
  <c r="J652" i="41"/>
  <c r="J656" i="41"/>
  <c r="J660" i="41"/>
  <c r="J664" i="41"/>
  <c r="J668" i="41"/>
  <c r="J672" i="41"/>
  <c r="J676" i="41"/>
  <c r="J680" i="41"/>
  <c r="J684" i="41"/>
  <c r="J688" i="41"/>
  <c r="J692" i="41"/>
  <c r="J696" i="41"/>
  <c r="J700" i="41"/>
  <c r="J704" i="41"/>
  <c r="J708" i="41"/>
  <c r="J712" i="41"/>
  <c r="J716" i="41"/>
  <c r="J720" i="41"/>
  <c r="J724" i="41"/>
  <c r="J728" i="41"/>
  <c r="J794" i="41"/>
  <c r="J798" i="41"/>
  <c r="J802" i="41"/>
  <c r="J806" i="41"/>
  <c r="J810" i="41"/>
  <c r="J814" i="41"/>
  <c r="J818" i="41"/>
  <c r="J822" i="41"/>
  <c r="J826" i="41"/>
  <c r="J830" i="41"/>
  <c r="J834" i="41"/>
  <c r="J838" i="41"/>
  <c r="J842" i="41"/>
  <c r="J846" i="41"/>
  <c r="J850" i="41"/>
  <c r="J853" i="41"/>
  <c r="J857" i="41"/>
  <c r="J861" i="41"/>
  <c r="J865" i="41"/>
  <c r="J869" i="41"/>
  <c r="J873" i="41"/>
  <c r="J877" i="41"/>
  <c r="J881" i="41"/>
  <c r="J885" i="41"/>
  <c r="J889" i="41"/>
  <c r="J893" i="41"/>
  <c r="J897" i="41"/>
  <c r="J901" i="41"/>
  <c r="J905" i="41"/>
  <c r="J909" i="41"/>
  <c r="J913" i="41"/>
  <c r="J917" i="41"/>
  <c r="J921" i="41"/>
  <c r="J925" i="41"/>
  <c r="J929" i="41"/>
  <c r="J933" i="41"/>
  <c r="J937" i="41"/>
  <c r="J941" i="41"/>
  <c r="J945" i="41"/>
  <c r="J949" i="41"/>
  <c r="J543" i="41"/>
  <c r="J547" i="41"/>
  <c r="J551" i="41"/>
  <c r="J555" i="41"/>
  <c r="J559" i="41"/>
  <c r="J563" i="41"/>
  <c r="J567" i="41"/>
  <c r="J571" i="41"/>
  <c r="J575" i="41"/>
  <c r="J579" i="41"/>
  <c r="J583" i="41"/>
  <c r="J587" i="41"/>
  <c r="J591" i="41"/>
  <c r="J595" i="41"/>
  <c r="J599" i="41"/>
  <c r="J603" i="41"/>
  <c r="J607" i="41"/>
  <c r="J611" i="41"/>
  <c r="J615" i="41"/>
  <c r="J619" i="41"/>
  <c r="J623" i="41"/>
  <c r="J627" i="41"/>
  <c r="J631" i="41"/>
  <c r="J635" i="41"/>
  <c r="J639" i="41"/>
  <c r="J643" i="41"/>
  <c r="J647" i="41"/>
  <c r="J651" i="41"/>
  <c r="J655" i="41"/>
  <c r="J659" i="41"/>
  <c r="J663" i="41"/>
  <c r="J667" i="41"/>
  <c r="J671" i="41"/>
  <c r="J675" i="41"/>
  <c r="J679" i="41"/>
  <c r="J683" i="41"/>
  <c r="J687" i="41"/>
  <c r="J691" i="41"/>
  <c r="J695" i="41"/>
  <c r="J699" i="41"/>
  <c r="J703" i="41"/>
  <c r="J707" i="41"/>
  <c r="J711" i="41"/>
  <c r="J715" i="41"/>
  <c r="J719" i="41"/>
  <c r="J723" i="41"/>
  <c r="J727" i="41"/>
  <c r="J797" i="41"/>
  <c r="J801" i="41"/>
  <c r="J805" i="41"/>
  <c r="J809" i="41"/>
  <c r="J813" i="41"/>
  <c r="J817" i="41"/>
  <c r="J821" i="41"/>
  <c r="J825" i="41"/>
  <c r="J829" i="41"/>
  <c r="J833" i="41"/>
  <c r="J837" i="41"/>
  <c r="J841" i="41"/>
  <c r="J845" i="41"/>
  <c r="J849" i="41"/>
  <c r="J852" i="41"/>
  <c r="J856" i="41"/>
  <c r="J860" i="41"/>
  <c r="J864" i="41"/>
  <c r="J868" i="41"/>
  <c r="J872" i="41"/>
  <c r="J876" i="41"/>
  <c r="J880" i="41"/>
  <c r="J884" i="41"/>
  <c r="J888" i="41"/>
  <c r="J892" i="41"/>
  <c r="J896" i="41"/>
  <c r="J900" i="41"/>
  <c r="J904" i="41"/>
  <c r="J908" i="41"/>
  <c r="J912" i="41"/>
  <c r="J914" i="41"/>
  <c r="J918" i="41"/>
  <c r="J922" i="41"/>
  <c r="J926" i="41"/>
  <c r="J930" i="41"/>
  <c r="J934" i="41"/>
  <c r="J938" i="41"/>
  <c r="J942" i="41"/>
  <c r="J946" i="41"/>
  <c r="J916" i="41"/>
  <c r="J920" i="41"/>
  <c r="J924" i="41"/>
  <c r="J928" i="41"/>
  <c r="J932" i="41"/>
  <c r="J936" i="41"/>
  <c r="J940" i="41"/>
  <c r="J944" i="41"/>
  <c r="J948" i="41"/>
  <c r="J952" i="41"/>
  <c r="J956" i="41"/>
  <c r="J960" i="41"/>
  <c r="J964" i="41"/>
  <c r="J968" i="41"/>
  <c r="J972" i="41"/>
  <c r="J976" i="41"/>
  <c r="J980" i="41"/>
  <c r="J984" i="41"/>
  <c r="J988" i="41"/>
  <c r="J992" i="41"/>
  <c r="J996" i="41"/>
  <c r="J1000" i="41"/>
  <c r="J1004" i="41"/>
  <c r="J915" i="41"/>
  <c r="J919" i="41"/>
  <c r="J923" i="41"/>
  <c r="J927" i="41"/>
  <c r="J931" i="41"/>
  <c r="J935" i="41"/>
  <c r="J939" i="41"/>
  <c r="J943" i="41"/>
  <c r="J947" i="41"/>
  <c r="J951" i="41"/>
  <c r="J955" i="41"/>
  <c r="J959" i="41"/>
  <c r="J963" i="41"/>
  <c r="J967" i="41"/>
  <c r="J971" i="41"/>
  <c r="J975" i="41"/>
  <c r="J979" i="41"/>
  <c r="J983" i="41"/>
  <c r="J987" i="41"/>
  <c r="J991" i="41"/>
  <c r="J995" i="41"/>
  <c r="J999" i="41"/>
  <c r="J1003" i="41"/>
  <c r="I992" i="42"/>
  <c r="I994" i="42"/>
  <c r="I976" i="42"/>
  <c r="I978" i="42"/>
  <c r="I1001" i="42"/>
  <c r="I962" i="42"/>
  <c r="I972" i="42"/>
  <c r="I985" i="42"/>
  <c r="I965" i="42"/>
  <c r="I968" i="42"/>
  <c r="I974" i="42"/>
  <c r="I981" i="42"/>
  <c r="I984" i="42"/>
  <c r="I990" i="42"/>
  <c r="I997" i="42"/>
  <c r="I1000" i="42"/>
  <c r="I966" i="42"/>
  <c r="I977" i="42"/>
  <c r="I982" i="42"/>
  <c r="I993" i="42"/>
  <c r="I998" i="42"/>
  <c r="R323" i="28"/>
  <c r="M8" i="28"/>
  <c r="G8" i="28"/>
  <c r="D8" i="28"/>
  <c r="R12" i="43"/>
  <c r="R16" i="43"/>
  <c r="R20" i="43"/>
  <c r="R24" i="43"/>
  <c r="R28" i="43"/>
  <c r="R32" i="43"/>
  <c r="R36" i="43"/>
  <c r="R40" i="43"/>
  <c r="R44" i="43"/>
  <c r="R48" i="43"/>
  <c r="R52" i="43"/>
  <c r="R56" i="43"/>
  <c r="R60" i="43"/>
  <c r="R64" i="43"/>
  <c r="R68" i="43"/>
  <c r="R72" i="43"/>
  <c r="R76" i="43"/>
  <c r="R80" i="43"/>
  <c r="R84" i="43"/>
  <c r="R88" i="43"/>
  <c r="R92" i="43"/>
  <c r="R96" i="43"/>
  <c r="R100" i="43"/>
  <c r="R104" i="43"/>
  <c r="R108" i="43"/>
  <c r="R112" i="43"/>
  <c r="R116" i="43"/>
  <c r="R120" i="43"/>
  <c r="R124" i="43"/>
  <c r="R128" i="43"/>
  <c r="R132" i="43"/>
  <c r="R136" i="43"/>
  <c r="R140" i="43"/>
  <c r="R144" i="43"/>
  <c r="R148" i="43"/>
  <c r="R152" i="43"/>
  <c r="R156" i="43"/>
  <c r="R160" i="43"/>
  <c r="R164" i="43"/>
  <c r="R168" i="43"/>
  <c r="R172" i="43"/>
  <c r="R176" i="43"/>
  <c r="R180" i="43"/>
  <c r="R184" i="43"/>
  <c r="R188" i="43"/>
  <c r="R192" i="43"/>
  <c r="R196" i="43"/>
  <c r="R200" i="43"/>
  <c r="R204" i="43"/>
  <c r="R208" i="43"/>
  <c r="R212" i="43"/>
  <c r="R216" i="43"/>
  <c r="R220" i="43"/>
  <c r="R224" i="43"/>
  <c r="R228" i="43"/>
  <c r="R232" i="43"/>
  <c r="R236" i="43"/>
  <c r="R240" i="43"/>
  <c r="R244" i="43"/>
  <c r="R248" i="43"/>
  <c r="R252" i="43"/>
  <c r="R256" i="43"/>
  <c r="R260" i="43"/>
  <c r="R264" i="43"/>
  <c r="R267" i="43"/>
  <c r="R271" i="43"/>
  <c r="R275" i="43"/>
  <c r="R279" i="43"/>
  <c r="R283" i="43"/>
  <c r="R287" i="43"/>
  <c r="R316" i="43"/>
  <c r="R332" i="43"/>
  <c r="R410" i="43"/>
  <c r="R414" i="43"/>
  <c r="R418" i="43"/>
  <c r="R422" i="43"/>
  <c r="R426" i="43"/>
  <c r="R430" i="43"/>
  <c r="N8" i="28"/>
  <c r="H8" i="28"/>
  <c r="C8" i="28"/>
  <c r="R11" i="43"/>
  <c r="R15" i="43"/>
  <c r="R19" i="43"/>
  <c r="R23" i="43"/>
  <c r="R27" i="43"/>
  <c r="R31" i="43"/>
  <c r="R35" i="43"/>
  <c r="R39" i="43"/>
  <c r="R43" i="43"/>
  <c r="R47" i="43"/>
  <c r="R51" i="43"/>
  <c r="R55" i="43"/>
  <c r="R59" i="43"/>
  <c r="R63" i="43"/>
  <c r="R67" i="43"/>
  <c r="R71" i="43"/>
  <c r="R75" i="43"/>
  <c r="R79" i="43"/>
  <c r="R83" i="43"/>
  <c r="R87" i="43"/>
  <c r="R91" i="43"/>
  <c r="R95" i="43"/>
  <c r="R99" i="43"/>
  <c r="R103" i="43"/>
  <c r="R107" i="43"/>
  <c r="R111" i="43"/>
  <c r="R115" i="43"/>
  <c r="R119" i="43"/>
  <c r="R123" i="43"/>
  <c r="R127" i="43"/>
  <c r="R131" i="43"/>
  <c r="R135" i="43"/>
  <c r="R139" i="43"/>
  <c r="R143" i="43"/>
  <c r="R147" i="43"/>
  <c r="R151" i="43"/>
  <c r="R155" i="43"/>
  <c r="R159" i="43"/>
  <c r="R163" i="43"/>
  <c r="R167" i="43"/>
  <c r="R171" i="43"/>
  <c r="R175" i="43"/>
  <c r="R179" i="43"/>
  <c r="R183" i="43"/>
  <c r="R187" i="43"/>
  <c r="R191" i="43"/>
  <c r="R195" i="43"/>
  <c r="R199" i="43"/>
  <c r="R203" i="43"/>
  <c r="R207" i="43"/>
  <c r="R211" i="43"/>
  <c r="R215" i="43"/>
  <c r="R219" i="43"/>
  <c r="R223" i="43"/>
  <c r="R227" i="43"/>
  <c r="R231" i="43"/>
  <c r="R235" i="43"/>
  <c r="R239" i="43"/>
  <c r="R243" i="43"/>
  <c r="R247" i="43"/>
  <c r="R251" i="43"/>
  <c r="R255" i="43"/>
  <c r="R259" i="43"/>
  <c r="R263" i="43"/>
  <c r="R266" i="43"/>
  <c r="R270" i="43"/>
  <c r="R274" i="43"/>
  <c r="R278" i="43"/>
  <c r="R282" i="43"/>
  <c r="R286" i="43"/>
  <c r="R320" i="43"/>
  <c r="R330" i="43"/>
  <c r="R344" i="43"/>
  <c r="R349" i="43"/>
  <c r="R409" i="43"/>
  <c r="R413" i="43"/>
  <c r="R417" i="43"/>
  <c r="R421" i="43"/>
  <c r="R425" i="43"/>
  <c r="R429" i="43"/>
  <c r="K8" i="28"/>
  <c r="I8" i="28"/>
  <c r="E8" i="28"/>
  <c r="R10" i="43"/>
  <c r="R14" i="43"/>
  <c r="R18" i="43"/>
  <c r="R22" i="43"/>
  <c r="R26" i="43"/>
  <c r="R30" i="43"/>
  <c r="R34" i="43"/>
  <c r="R38" i="43"/>
  <c r="R42" i="43"/>
  <c r="R46" i="43"/>
  <c r="R50" i="43"/>
  <c r="R54" i="43"/>
  <c r="R58" i="43"/>
  <c r="R62" i="43"/>
  <c r="R66" i="43"/>
  <c r="R70" i="43"/>
  <c r="R74" i="43"/>
  <c r="R78" i="43"/>
  <c r="R82" i="43"/>
  <c r="R86" i="43"/>
  <c r="R90" i="43"/>
  <c r="R94" i="43"/>
  <c r="R98" i="43"/>
  <c r="R102" i="43"/>
  <c r="R106" i="43"/>
  <c r="R110" i="43"/>
  <c r="R114" i="43"/>
  <c r="R118" i="43"/>
  <c r="R122" i="43"/>
  <c r="R126" i="43"/>
  <c r="R130" i="43"/>
  <c r="R134" i="43"/>
  <c r="R138" i="43"/>
  <c r="R142" i="43"/>
  <c r="R146" i="43"/>
  <c r="R150" i="43"/>
  <c r="R154" i="43"/>
  <c r="R158" i="43"/>
  <c r="R162" i="43"/>
  <c r="R166" i="43"/>
  <c r="R170" i="43"/>
  <c r="R174" i="43"/>
  <c r="R178" i="43"/>
  <c r="R182" i="43"/>
  <c r="R186" i="43"/>
  <c r="R190" i="43"/>
  <c r="R194" i="43"/>
  <c r="R198" i="43"/>
  <c r="R202" i="43"/>
  <c r="R206" i="43"/>
  <c r="R210" i="43"/>
  <c r="R214" i="43"/>
  <c r="R218" i="43"/>
  <c r="R222" i="43"/>
  <c r="R226" i="43"/>
  <c r="R230" i="43"/>
  <c r="R234" i="43"/>
  <c r="R238" i="43"/>
  <c r="R242" i="43"/>
  <c r="R246" i="43"/>
  <c r="R250" i="43"/>
  <c r="R338" i="43"/>
  <c r="R343" i="43"/>
  <c r="R347" i="43"/>
  <c r="R408" i="43"/>
  <c r="R412" i="43"/>
  <c r="R416" i="43"/>
  <c r="R420" i="43"/>
  <c r="R424" i="43"/>
  <c r="R428" i="43"/>
  <c r="C8" i="42"/>
  <c r="R321" i="28"/>
  <c r="R317" i="28"/>
  <c r="R313" i="28"/>
  <c r="R309" i="28"/>
  <c r="R305" i="28"/>
  <c r="R301" i="28"/>
  <c r="R297" i="28"/>
  <c r="R293" i="28"/>
  <c r="R289" i="28"/>
  <c r="R285" i="28"/>
  <c r="R281" i="28"/>
  <c r="R277" i="28"/>
  <c r="R273" i="28"/>
  <c r="R269" i="28"/>
  <c r="R265" i="28"/>
  <c r="R261" i="28"/>
  <c r="R257" i="28"/>
  <c r="R253" i="28"/>
  <c r="R249" i="28"/>
  <c r="R245" i="28"/>
  <c r="R241" i="28"/>
  <c r="R237" i="28"/>
  <c r="R233" i="28"/>
  <c r="R229" i="28"/>
  <c r="R225" i="28"/>
  <c r="R221" i="28"/>
  <c r="R217" i="28"/>
  <c r="R213" i="28"/>
  <c r="R209" i="28"/>
  <c r="R205" i="28"/>
  <c r="R201" i="28"/>
  <c r="R197" i="28"/>
  <c r="R193" i="28"/>
  <c r="R189" i="28"/>
  <c r="R185" i="28"/>
  <c r="L8" i="28"/>
  <c r="J8" i="28"/>
  <c r="F8" i="28"/>
  <c r="R9" i="43"/>
  <c r="R13" i="43"/>
  <c r="R17" i="43"/>
  <c r="R21" i="43"/>
  <c r="R25" i="43"/>
  <c r="R29" i="43"/>
  <c r="R33" i="43"/>
  <c r="R37" i="43"/>
  <c r="R41" i="43"/>
  <c r="R45" i="43"/>
  <c r="R49" i="43"/>
  <c r="R53" i="43"/>
  <c r="R57" i="43"/>
  <c r="R61" i="43"/>
  <c r="R65" i="43"/>
  <c r="R69" i="43"/>
  <c r="R73" i="43"/>
  <c r="R77" i="43"/>
  <c r="R81" i="43"/>
  <c r="R85" i="43"/>
  <c r="R89" i="43"/>
  <c r="R93" i="43"/>
  <c r="R97" i="43"/>
  <c r="R101" i="43"/>
  <c r="R105" i="43"/>
  <c r="R109" i="43"/>
  <c r="R113" i="43"/>
  <c r="R117" i="43"/>
  <c r="R121" i="43"/>
  <c r="R125" i="43"/>
  <c r="R129" i="43"/>
  <c r="R133" i="43"/>
  <c r="R137" i="43"/>
  <c r="R141" i="43"/>
  <c r="R145" i="43"/>
  <c r="R149" i="43"/>
  <c r="R153" i="43"/>
  <c r="R157" i="43"/>
  <c r="R161" i="43"/>
  <c r="R165" i="43"/>
  <c r="R169" i="43"/>
  <c r="R173" i="43"/>
  <c r="R177" i="43"/>
  <c r="R181" i="43"/>
  <c r="R185" i="43"/>
  <c r="R189" i="43"/>
  <c r="R193" i="43"/>
  <c r="R197" i="43"/>
  <c r="R201" i="43"/>
  <c r="R205" i="43"/>
  <c r="R209" i="43"/>
  <c r="R213" i="43"/>
  <c r="R217" i="43"/>
  <c r="R221" i="43"/>
  <c r="R225" i="43"/>
  <c r="R229" i="43"/>
  <c r="R233" i="43"/>
  <c r="R237" i="43"/>
  <c r="R241" i="43"/>
  <c r="R245" i="43"/>
  <c r="R249" i="43"/>
  <c r="R337" i="43"/>
  <c r="R407" i="43"/>
  <c r="R411" i="43"/>
  <c r="R415" i="43"/>
  <c r="R419" i="43"/>
  <c r="R423" i="43"/>
  <c r="R427" i="43"/>
  <c r="R431" i="43"/>
  <c r="R434" i="43"/>
  <c r="R438" i="43"/>
  <c r="R441" i="43"/>
  <c r="R446" i="43"/>
  <c r="R450" i="43"/>
  <c r="R454" i="43"/>
  <c r="R514" i="43"/>
  <c r="R606" i="43"/>
  <c r="R610" i="43"/>
  <c r="R617" i="43"/>
  <c r="R621" i="43"/>
  <c r="R625" i="43"/>
  <c r="R629" i="43"/>
  <c r="R633" i="43"/>
  <c r="R637" i="43"/>
  <c r="R641" i="43"/>
  <c r="R645" i="43"/>
  <c r="R649" i="43"/>
  <c r="R653" i="43"/>
  <c r="R657" i="43"/>
  <c r="R706" i="43"/>
  <c r="R810" i="43"/>
  <c r="R814" i="43"/>
  <c r="R818" i="43"/>
  <c r="R822" i="43"/>
  <c r="R826" i="43"/>
  <c r="R830" i="43"/>
  <c r="R834" i="43"/>
  <c r="R838" i="43"/>
  <c r="R842" i="43"/>
  <c r="R846" i="43"/>
  <c r="R850" i="43"/>
  <c r="R854" i="43"/>
  <c r="R858" i="43"/>
  <c r="R862" i="43"/>
  <c r="R866" i="43"/>
  <c r="R870" i="43"/>
  <c r="R920" i="43"/>
  <c r="R924" i="43"/>
  <c r="R928" i="43"/>
  <c r="R932" i="43"/>
  <c r="R433" i="43"/>
  <c r="R437" i="43"/>
  <c r="R440" i="43"/>
  <c r="R445" i="43"/>
  <c r="R449" i="43"/>
  <c r="R453" i="43"/>
  <c r="R513" i="43"/>
  <c r="R517" i="43"/>
  <c r="R565" i="43"/>
  <c r="R569" i="43"/>
  <c r="R573" i="43"/>
  <c r="R577" i="43"/>
  <c r="R581" i="43"/>
  <c r="R585" i="43"/>
  <c r="R589" i="43"/>
  <c r="R593" i="43"/>
  <c r="R597" i="43"/>
  <c r="R601" i="43"/>
  <c r="R605" i="43"/>
  <c r="R609" i="43"/>
  <c r="R613" i="43"/>
  <c r="R616" i="43"/>
  <c r="R620" i="43"/>
  <c r="R624" i="43"/>
  <c r="R628" i="43"/>
  <c r="R632" i="43"/>
  <c r="R636" i="43"/>
  <c r="R640" i="43"/>
  <c r="R644" i="43"/>
  <c r="R648" i="43"/>
  <c r="R652" i="43"/>
  <c r="R656" i="43"/>
  <c r="R660" i="43"/>
  <c r="R701" i="43"/>
  <c r="R705" i="43"/>
  <c r="R809" i="43"/>
  <c r="R813" i="43"/>
  <c r="R817" i="43"/>
  <c r="R821" i="43"/>
  <c r="R825" i="43"/>
  <c r="R829" i="43"/>
  <c r="R833" i="43"/>
  <c r="R837" i="43"/>
  <c r="R841" i="43"/>
  <c r="R845" i="43"/>
  <c r="R849" i="43"/>
  <c r="R853" i="43"/>
  <c r="R857" i="43"/>
  <c r="R861" i="43"/>
  <c r="R865" i="43"/>
  <c r="R869" i="43"/>
  <c r="R919" i="43"/>
  <c r="R923" i="43"/>
  <c r="R927" i="43"/>
  <c r="R931" i="43"/>
  <c r="R935" i="43"/>
  <c r="R939" i="43"/>
  <c r="R943" i="43"/>
  <c r="R947" i="43"/>
  <c r="R951" i="43"/>
  <c r="R254" i="43"/>
  <c r="R258" i="43"/>
  <c r="R262" i="43"/>
  <c r="R269" i="43"/>
  <c r="R273" i="43"/>
  <c r="R277" i="43"/>
  <c r="R281" i="43"/>
  <c r="R285" i="43"/>
  <c r="R289" i="43"/>
  <c r="R318" i="43"/>
  <c r="R336" i="43"/>
  <c r="R341" i="43"/>
  <c r="R346" i="43"/>
  <c r="R352" i="43"/>
  <c r="R432" i="43"/>
  <c r="R436" i="43"/>
  <c r="R443" i="43"/>
  <c r="R444" i="43"/>
  <c r="R448" i="43"/>
  <c r="R452" i="43"/>
  <c r="R512" i="43"/>
  <c r="R516" i="43"/>
  <c r="R608" i="43"/>
  <c r="R612" i="43"/>
  <c r="R615" i="43"/>
  <c r="R619" i="43"/>
  <c r="R623" i="43"/>
  <c r="R627" i="43"/>
  <c r="R631" i="43"/>
  <c r="R635" i="43"/>
  <c r="R639" i="43"/>
  <c r="R643" i="43"/>
  <c r="R647" i="43"/>
  <c r="R651" i="43"/>
  <c r="R655" i="43"/>
  <c r="R659" i="43"/>
  <c r="R704" i="43"/>
  <c r="R808" i="43"/>
  <c r="R812" i="43"/>
  <c r="R816" i="43"/>
  <c r="R820" i="43"/>
  <c r="R824" i="43"/>
  <c r="R828" i="43"/>
  <c r="R832" i="43"/>
  <c r="R836" i="43"/>
  <c r="R840" i="43"/>
  <c r="R844" i="43"/>
  <c r="R848" i="43"/>
  <c r="R852" i="43"/>
  <c r="R856" i="43"/>
  <c r="R860" i="43"/>
  <c r="R864" i="43"/>
  <c r="R868" i="43"/>
  <c r="R922" i="43"/>
  <c r="R926" i="43"/>
  <c r="R930" i="43"/>
  <c r="R934" i="43"/>
  <c r="R938" i="43"/>
  <c r="R942" i="43"/>
  <c r="R946" i="43"/>
  <c r="R950" i="43"/>
  <c r="R253" i="43"/>
  <c r="R257" i="43"/>
  <c r="R261" i="43"/>
  <c r="R265" i="43"/>
  <c r="R268" i="43"/>
  <c r="R272" i="43"/>
  <c r="R276" i="43"/>
  <c r="R280" i="43"/>
  <c r="R284" i="43"/>
  <c r="R288" i="43"/>
  <c r="R317" i="43"/>
  <c r="R334" i="43"/>
  <c r="R340" i="43"/>
  <c r="R345" i="43"/>
  <c r="R350" i="43"/>
  <c r="R435" i="43"/>
  <c r="R439" i="43"/>
  <c r="R442" i="43"/>
  <c r="R447" i="43"/>
  <c r="R451" i="43"/>
  <c r="R515" i="43"/>
  <c r="R607" i="43"/>
  <c r="R611" i="43"/>
  <c r="R614" i="43"/>
  <c r="R618" i="43"/>
  <c r="R622" i="43"/>
  <c r="R626" i="43"/>
  <c r="R630" i="43"/>
  <c r="R634" i="43"/>
  <c r="R638" i="43"/>
  <c r="R642" i="43"/>
  <c r="R646" i="43"/>
  <c r="R650" i="43"/>
  <c r="R654" i="43"/>
  <c r="R658" i="43"/>
  <c r="R703" i="43"/>
  <c r="R811" i="43"/>
  <c r="R815" i="43"/>
  <c r="R819" i="43"/>
  <c r="R823" i="43"/>
  <c r="R827" i="43"/>
  <c r="R831" i="43"/>
  <c r="R835" i="43"/>
  <c r="R839" i="43"/>
  <c r="R843" i="43"/>
  <c r="R847" i="43"/>
  <c r="R851" i="43"/>
  <c r="R855" i="43"/>
  <c r="R859" i="43"/>
  <c r="R863" i="43"/>
  <c r="R867" i="43"/>
  <c r="R871" i="43"/>
  <c r="R921" i="43"/>
  <c r="R925" i="43"/>
  <c r="R929" i="43"/>
  <c r="R933" i="43"/>
  <c r="R937" i="43"/>
  <c r="R941" i="43"/>
  <c r="R945" i="43"/>
  <c r="R949" i="43"/>
  <c r="R953" i="43"/>
  <c r="J328" i="41"/>
  <c r="J328" i="30"/>
  <c r="I328" i="42"/>
  <c r="R328" i="28"/>
  <c r="R328" i="43"/>
  <c r="J327" i="41"/>
  <c r="J327" i="30"/>
  <c r="R327" i="28"/>
  <c r="R327" i="43"/>
  <c r="I327" i="42"/>
  <c r="E4" i="7"/>
  <c r="L10" i="5"/>
  <c r="H19" i="5"/>
  <c r="D19" i="5"/>
  <c r="J10" i="41"/>
  <c r="J13" i="41"/>
  <c r="J9" i="41"/>
  <c r="I975" i="42"/>
  <c r="I991" i="42"/>
  <c r="C8" i="29"/>
  <c r="E8" i="42"/>
  <c r="I971" i="42"/>
  <c r="I987" i="42"/>
  <c r="I1003" i="42"/>
  <c r="D8" i="29"/>
  <c r="D8" i="42"/>
  <c r="R949" i="28"/>
  <c r="R945" i="28"/>
  <c r="R941" i="28"/>
  <c r="R937" i="28"/>
  <c r="R933" i="28"/>
  <c r="R929" i="28"/>
  <c r="R925" i="28"/>
  <c r="R921" i="28"/>
  <c r="R917" i="28"/>
  <c r="R913" i="28"/>
  <c r="R909" i="28"/>
  <c r="R905" i="28"/>
  <c r="R901" i="28"/>
  <c r="R897" i="28"/>
  <c r="R893" i="28"/>
  <c r="R889" i="28"/>
  <c r="R885" i="28"/>
  <c r="R881" i="28"/>
  <c r="R877" i="28"/>
  <c r="R873" i="28"/>
  <c r="R869" i="28"/>
  <c r="R865" i="28"/>
  <c r="R861" i="28"/>
  <c r="R857" i="28"/>
  <c r="R853" i="28"/>
  <c r="R849" i="28"/>
  <c r="R845" i="28"/>
  <c r="R841" i="28"/>
  <c r="R837" i="28"/>
  <c r="R833" i="28"/>
  <c r="R829" i="28"/>
  <c r="R825" i="28"/>
  <c r="R821" i="28"/>
  <c r="R817" i="28"/>
  <c r="R813" i="28"/>
  <c r="R809" i="28"/>
  <c r="R805" i="28"/>
  <c r="R801" i="28"/>
  <c r="R797" i="28"/>
  <c r="R793" i="28"/>
  <c r="R789" i="28"/>
  <c r="R785" i="28"/>
  <c r="R781" i="28"/>
  <c r="R777" i="28"/>
  <c r="R773" i="28"/>
  <c r="R769" i="28"/>
  <c r="R765" i="28"/>
  <c r="R761" i="28"/>
  <c r="R757" i="28"/>
  <c r="R753" i="28"/>
  <c r="R749" i="28"/>
  <c r="R745" i="28"/>
  <c r="R741" i="28"/>
  <c r="R737" i="28"/>
  <c r="R733" i="28"/>
  <c r="R729" i="28"/>
  <c r="R725" i="28"/>
  <c r="R721" i="28"/>
  <c r="R717" i="28"/>
  <c r="R713" i="28"/>
  <c r="R709" i="28"/>
  <c r="R705" i="28"/>
  <c r="R701" i="28"/>
  <c r="R697" i="28"/>
  <c r="R693" i="28"/>
  <c r="R689" i="28"/>
  <c r="R685" i="28"/>
  <c r="R681" i="28"/>
  <c r="R677" i="28"/>
  <c r="R673" i="28"/>
  <c r="R669" i="28"/>
  <c r="R665" i="28"/>
  <c r="R661" i="28"/>
  <c r="R657" i="28"/>
  <c r="R653" i="28"/>
  <c r="R649" i="28"/>
  <c r="R645" i="28"/>
  <c r="R641" i="28"/>
  <c r="R637" i="28"/>
  <c r="R633" i="28"/>
  <c r="R629" i="28"/>
  <c r="R625" i="28"/>
  <c r="R621" i="28"/>
  <c r="R617" i="28"/>
  <c r="R613" i="28"/>
  <c r="R609" i="28"/>
  <c r="R605" i="28"/>
  <c r="R601" i="28"/>
  <c r="R597" i="28"/>
  <c r="R593" i="28"/>
  <c r="R589" i="28"/>
  <c r="R585" i="28"/>
  <c r="R581" i="28"/>
  <c r="R577" i="28"/>
  <c r="R573" i="28"/>
  <c r="R569" i="28"/>
  <c r="R565" i="28"/>
  <c r="R561" i="28"/>
  <c r="R557" i="28"/>
  <c r="R553" i="28"/>
  <c r="R549" i="28"/>
  <c r="R545" i="28"/>
  <c r="R541" i="28"/>
  <c r="R537" i="28"/>
  <c r="R533" i="28"/>
  <c r="R529" i="28"/>
  <c r="R525" i="28"/>
  <c r="R521" i="28"/>
  <c r="R517" i="28"/>
  <c r="R513" i="28"/>
  <c r="R509" i="28"/>
  <c r="R505" i="28"/>
  <c r="R501" i="28"/>
  <c r="R497" i="28"/>
  <c r="R493" i="28"/>
  <c r="R489" i="28"/>
  <c r="R485" i="28"/>
  <c r="R481" i="28"/>
  <c r="R477" i="28"/>
  <c r="R473" i="28"/>
  <c r="R469" i="28"/>
  <c r="R465" i="28"/>
  <c r="R461" i="28"/>
  <c r="R457" i="28"/>
  <c r="R453" i="28"/>
  <c r="R449" i="28"/>
  <c r="R445" i="28"/>
  <c r="R441" i="28"/>
  <c r="R437" i="28"/>
  <c r="R433" i="28"/>
  <c r="R429" i="28"/>
  <c r="R425" i="28"/>
  <c r="R421" i="28"/>
  <c r="R417" i="28"/>
  <c r="R413" i="28"/>
  <c r="R409" i="28"/>
  <c r="R405" i="28"/>
  <c r="R401" i="28"/>
  <c r="R397" i="28"/>
  <c r="R393" i="28"/>
  <c r="R389" i="28"/>
  <c r="R385" i="28"/>
  <c r="R381" i="28"/>
  <c r="R377" i="28"/>
  <c r="R373" i="28"/>
  <c r="R369" i="28"/>
  <c r="R365" i="28"/>
  <c r="R361" i="28"/>
  <c r="R357" i="28"/>
  <c r="R353" i="28"/>
  <c r="R349" i="28"/>
  <c r="R345" i="28"/>
  <c r="R341" i="28"/>
  <c r="R337" i="28"/>
  <c r="R329" i="28"/>
  <c r="O8" i="28"/>
  <c r="I967" i="42"/>
  <c r="I983" i="42"/>
  <c r="I999" i="42"/>
  <c r="E8" i="29"/>
  <c r="P8" i="28"/>
  <c r="I963" i="42"/>
  <c r="I979" i="42"/>
  <c r="I995" i="42"/>
  <c r="G8" i="29"/>
  <c r="F8" i="42"/>
  <c r="G8" i="42"/>
  <c r="R290" i="43"/>
  <c r="R294" i="43"/>
  <c r="R298" i="43"/>
  <c r="R302" i="43"/>
  <c r="R307" i="43"/>
  <c r="R311" i="43"/>
  <c r="R315" i="43"/>
  <c r="R324" i="28"/>
  <c r="R293" i="43"/>
  <c r="R297" i="43"/>
  <c r="R301" i="43"/>
  <c r="R305" i="43"/>
  <c r="R310" i="43"/>
  <c r="R314" i="43"/>
  <c r="R292" i="43"/>
  <c r="R296" i="43"/>
  <c r="R300" i="43"/>
  <c r="R304" i="43"/>
  <c r="R309" i="43"/>
  <c r="R313" i="43"/>
  <c r="R291" i="43"/>
  <c r="R295" i="43"/>
  <c r="R299" i="43"/>
  <c r="R303" i="43"/>
  <c r="R308" i="43"/>
  <c r="R312" i="43"/>
  <c r="R457" i="43"/>
  <c r="R461" i="43"/>
  <c r="R465" i="43"/>
  <c r="R469" i="43"/>
  <c r="R473" i="43"/>
  <c r="R477" i="43"/>
  <c r="R481" i="43"/>
  <c r="R485" i="43"/>
  <c r="R489" i="43"/>
  <c r="R493" i="43"/>
  <c r="R497" i="43"/>
  <c r="R501" i="43"/>
  <c r="R505" i="43"/>
  <c r="R509" i="43"/>
  <c r="R456" i="43"/>
  <c r="R460" i="43"/>
  <c r="R464" i="43"/>
  <c r="R468" i="43"/>
  <c r="R472" i="43"/>
  <c r="R476" i="43"/>
  <c r="R480" i="43"/>
  <c r="R484" i="43"/>
  <c r="R488" i="43"/>
  <c r="R492" i="43"/>
  <c r="R496" i="43"/>
  <c r="R500" i="43"/>
  <c r="R504" i="43"/>
  <c r="R508" i="43"/>
  <c r="R455" i="43"/>
  <c r="R459" i="43"/>
  <c r="R463" i="43"/>
  <c r="R467" i="43"/>
  <c r="R471" i="43"/>
  <c r="R475" i="43"/>
  <c r="R479" i="43"/>
  <c r="R483" i="43"/>
  <c r="R487" i="43"/>
  <c r="R491" i="43"/>
  <c r="R495" i="43"/>
  <c r="R499" i="43"/>
  <c r="R503" i="43"/>
  <c r="R507" i="43"/>
  <c r="R511" i="43"/>
  <c r="R458" i="43"/>
  <c r="R462" i="43"/>
  <c r="R466" i="43"/>
  <c r="R470" i="43"/>
  <c r="R474" i="43"/>
  <c r="R478" i="43"/>
  <c r="R482" i="43"/>
  <c r="R486" i="43"/>
  <c r="R490" i="43"/>
  <c r="R494" i="43"/>
  <c r="R498" i="43"/>
  <c r="R502" i="43"/>
  <c r="R506" i="43"/>
  <c r="R510" i="43"/>
  <c r="R521" i="43"/>
  <c r="R525" i="43"/>
  <c r="R529" i="43"/>
  <c r="R533" i="43"/>
  <c r="R537" i="43"/>
  <c r="R541" i="43"/>
  <c r="R545" i="43"/>
  <c r="R549" i="43"/>
  <c r="R553" i="43"/>
  <c r="R557" i="43"/>
  <c r="R561" i="43"/>
  <c r="R520" i="43"/>
  <c r="R524" i="43"/>
  <c r="R528" i="43"/>
  <c r="R532" i="43"/>
  <c r="R536" i="43"/>
  <c r="R540" i="43"/>
  <c r="R544" i="43"/>
  <c r="R548" i="43"/>
  <c r="R552" i="43"/>
  <c r="R556" i="43"/>
  <c r="R560" i="43"/>
  <c r="R564" i="43"/>
  <c r="R568" i="43"/>
  <c r="R572" i="43"/>
  <c r="R576" i="43"/>
  <c r="R580" i="43"/>
  <c r="R584" i="43"/>
  <c r="R588" i="43"/>
  <c r="R592" i="43"/>
  <c r="R596" i="43"/>
  <c r="R600" i="43"/>
  <c r="R604" i="43"/>
  <c r="R519" i="43"/>
  <c r="R523" i="43"/>
  <c r="R527" i="43"/>
  <c r="R531" i="43"/>
  <c r="R535" i="43"/>
  <c r="R539" i="43"/>
  <c r="R543" i="43"/>
  <c r="R547" i="43"/>
  <c r="R551" i="43"/>
  <c r="R555" i="43"/>
  <c r="R559" i="43"/>
  <c r="R563" i="43"/>
  <c r="R567" i="43"/>
  <c r="R571" i="43"/>
  <c r="R575" i="43"/>
  <c r="R579" i="43"/>
  <c r="R583" i="43"/>
  <c r="R587" i="43"/>
  <c r="R591" i="43"/>
  <c r="R595" i="43"/>
  <c r="R599" i="43"/>
  <c r="R603" i="43"/>
  <c r="R518" i="43"/>
  <c r="R522" i="43"/>
  <c r="R526" i="43"/>
  <c r="R530" i="43"/>
  <c r="R534" i="43"/>
  <c r="R538" i="43"/>
  <c r="R542" i="43"/>
  <c r="R546" i="43"/>
  <c r="R550" i="43"/>
  <c r="R554" i="43"/>
  <c r="R558" i="43"/>
  <c r="R562" i="43"/>
  <c r="R566" i="43"/>
  <c r="R570" i="43"/>
  <c r="R574" i="43"/>
  <c r="R578" i="43"/>
  <c r="R582" i="43"/>
  <c r="R586" i="43"/>
  <c r="R590" i="43"/>
  <c r="R594" i="43"/>
  <c r="R598" i="43"/>
  <c r="R602" i="43"/>
  <c r="R709" i="43"/>
  <c r="R713" i="43"/>
  <c r="R717" i="43"/>
  <c r="R721" i="43"/>
  <c r="R725" i="43"/>
  <c r="R729" i="43"/>
  <c r="R733" i="43"/>
  <c r="R737" i="43"/>
  <c r="R741" i="43"/>
  <c r="R745" i="43"/>
  <c r="R749" i="43"/>
  <c r="R753" i="43"/>
  <c r="R757" i="43"/>
  <c r="R761" i="43"/>
  <c r="R765" i="43"/>
  <c r="R769" i="43"/>
  <c r="R773" i="43"/>
  <c r="R777" i="43"/>
  <c r="R781" i="43"/>
  <c r="R785" i="43"/>
  <c r="R708" i="43"/>
  <c r="R712" i="43"/>
  <c r="R716" i="43"/>
  <c r="R720" i="43"/>
  <c r="R724" i="43"/>
  <c r="R728" i="43"/>
  <c r="R732" i="43"/>
  <c r="R736" i="43"/>
  <c r="R740" i="43"/>
  <c r="R744" i="43"/>
  <c r="R748" i="43"/>
  <c r="R752" i="43"/>
  <c r="R756" i="43"/>
  <c r="R760" i="43"/>
  <c r="R764" i="43"/>
  <c r="R768" i="43"/>
  <c r="R772" i="43"/>
  <c r="R776" i="43"/>
  <c r="R780" i="43"/>
  <c r="R784" i="43"/>
  <c r="R707" i="43"/>
  <c r="R711" i="43"/>
  <c r="R715" i="43"/>
  <c r="R719" i="43"/>
  <c r="R723" i="43"/>
  <c r="R727" i="43"/>
  <c r="R731" i="43"/>
  <c r="R735" i="43"/>
  <c r="R739" i="43"/>
  <c r="R743" i="43"/>
  <c r="R747" i="43"/>
  <c r="R751" i="43"/>
  <c r="R755" i="43"/>
  <c r="R759" i="43"/>
  <c r="R763" i="43"/>
  <c r="R767" i="43"/>
  <c r="R771" i="43"/>
  <c r="R775" i="43"/>
  <c r="R779" i="43"/>
  <c r="R783" i="43"/>
  <c r="R710" i="43"/>
  <c r="R714" i="43"/>
  <c r="R718" i="43"/>
  <c r="R722" i="43"/>
  <c r="R726" i="43"/>
  <c r="R730" i="43"/>
  <c r="R734" i="43"/>
  <c r="R738" i="43"/>
  <c r="R742" i="43"/>
  <c r="R746" i="43"/>
  <c r="R750" i="43"/>
  <c r="R754" i="43"/>
  <c r="R758" i="43"/>
  <c r="R762" i="43"/>
  <c r="R766" i="43"/>
  <c r="R770" i="43"/>
  <c r="R774" i="43"/>
  <c r="R778" i="43"/>
  <c r="R782" i="43"/>
  <c r="R786" i="43"/>
  <c r="R790" i="43"/>
  <c r="R794" i="43"/>
  <c r="R798" i="43"/>
  <c r="R802" i="43"/>
  <c r="R806" i="43"/>
  <c r="R789" i="43"/>
  <c r="R793" i="43"/>
  <c r="R797" i="43"/>
  <c r="R801" i="43"/>
  <c r="R805" i="43"/>
  <c r="R788" i="43"/>
  <c r="R792" i="43"/>
  <c r="R796" i="43"/>
  <c r="R800" i="43"/>
  <c r="R804" i="43"/>
  <c r="R787" i="43"/>
  <c r="R791" i="43"/>
  <c r="R795" i="43"/>
  <c r="R799" i="43"/>
  <c r="R803" i="43"/>
  <c r="R807" i="43"/>
  <c r="J324" i="41"/>
  <c r="J324" i="30"/>
  <c r="I324" i="42"/>
  <c r="R324" i="43"/>
  <c r="J323" i="41"/>
  <c r="J323" i="30"/>
  <c r="I323" i="42"/>
  <c r="R323" i="43"/>
  <c r="J322" i="41"/>
  <c r="J322" i="30"/>
  <c r="R322" i="43"/>
  <c r="J321" i="30"/>
  <c r="J321" i="41"/>
  <c r="I322" i="42"/>
  <c r="I321" i="42"/>
  <c r="R321" i="43"/>
  <c r="J8" i="30" l="1"/>
  <c r="O3" i="30" s="1"/>
  <c r="R8" i="28"/>
  <c r="M6" i="28" s="1"/>
  <c r="I8" i="29"/>
  <c r="M1" i="29" s="1"/>
  <c r="J8" i="41"/>
  <c r="O3" i="41" s="1"/>
  <c r="M16" i="5"/>
  <c r="L16" i="5"/>
  <c r="L21" i="5"/>
  <c r="M22" i="5"/>
  <c r="M21" i="5"/>
  <c r="L22" i="5"/>
  <c r="M19" i="5"/>
  <c r="L20" i="5"/>
  <c r="M20" i="5"/>
  <c r="L19" i="5"/>
  <c r="G4" i="7"/>
  <c r="A4" i="7"/>
  <c r="C4" i="7"/>
  <c r="C4" i="40"/>
  <c r="R8" i="43"/>
  <c r="M6" i="43" s="1"/>
  <c r="G4" i="40"/>
  <c r="E4" i="40"/>
  <c r="I8" i="42"/>
  <c r="M3" i="42" s="1"/>
  <c r="O6" i="30" l="1"/>
  <c r="O2" i="30"/>
  <c r="O1" i="30"/>
  <c r="O5" i="30"/>
  <c r="O4" i="30"/>
  <c r="E6" i="28"/>
  <c r="P6" i="28"/>
  <c r="I6" i="28"/>
  <c r="C6" i="28"/>
  <c r="L6" i="28"/>
  <c r="J6" i="28"/>
  <c r="G6" i="28"/>
  <c r="K6" i="28"/>
  <c r="O6" i="28"/>
  <c r="F6" i="28"/>
  <c r="D6" i="28"/>
  <c r="N6" i="28"/>
  <c r="H6" i="28"/>
  <c r="M2" i="29"/>
  <c r="M3" i="29"/>
  <c r="M4" i="29"/>
  <c r="M5" i="29"/>
  <c r="O2" i="41"/>
  <c r="O6" i="41"/>
  <c r="O1" i="41"/>
  <c r="O4" i="41"/>
  <c r="O5" i="41"/>
  <c r="H6" i="43"/>
  <c r="G6" i="43"/>
  <c r="I6" i="43"/>
  <c r="J6" i="43"/>
  <c r="L6" i="43"/>
  <c r="F6" i="43"/>
  <c r="O6" i="43"/>
  <c r="E6" i="43"/>
  <c r="C6" i="43"/>
  <c r="D6" i="43"/>
  <c r="N6" i="43"/>
  <c r="K6" i="43"/>
  <c r="P6" i="43"/>
  <c r="M1" i="42"/>
  <c r="M2" i="42"/>
  <c r="M5" i="42"/>
  <c r="M4" i="42"/>
</calcChain>
</file>

<file path=xl/comments1.xml><?xml version="1.0" encoding="utf-8"?>
<comments xmlns="http://schemas.openxmlformats.org/spreadsheetml/2006/main">
  <authors>
    <author>Aguirre, David Aguirr (external - Temp Staff)</author>
  </authors>
  <commentList>
    <comment ref="A260" authorId="0" shapeId="0">
      <text>
        <r>
          <rPr>
            <b/>
            <sz val="9"/>
            <color indexed="81"/>
            <rFont val="Tahoma"/>
            <family val="2"/>
          </rPr>
          <t>Aguirre, David Aguirr (external - Temp Staff):</t>
        </r>
        <r>
          <rPr>
            <sz val="9"/>
            <color indexed="81"/>
            <rFont val="Tahoma"/>
            <family val="2"/>
          </rPr>
          <t xml:space="preserve">
Merge in News Center with: http://news.sap.com/rising-digital-challenge/
</t>
        </r>
      </text>
    </comment>
    <comment ref="A261" authorId="0" shapeId="0">
      <text>
        <r>
          <rPr>
            <b/>
            <sz val="9"/>
            <color indexed="81"/>
            <rFont val="Tahoma"/>
            <family val="2"/>
          </rPr>
          <t>Aguirre, David Aguirr (external - Temp Staff):</t>
        </r>
        <r>
          <rPr>
            <sz val="9"/>
            <color indexed="81"/>
            <rFont val="Tahoma"/>
            <family val="2"/>
          </rPr>
          <t xml:space="preserve">
Merge in NewsCenter with: http://news.sap.com/chipping-with-a-champ/</t>
        </r>
      </text>
    </comment>
    <comment ref="A264" authorId="0" shapeId="0">
      <text>
        <r>
          <rPr>
            <b/>
            <sz val="9"/>
            <color indexed="81"/>
            <rFont val="Tahoma"/>
            <family val="2"/>
          </rPr>
          <t>Aguirre, David Aguirr (external - Temp Staff):</t>
        </r>
        <r>
          <rPr>
            <sz val="9"/>
            <color indexed="81"/>
            <rFont val="Tahoma"/>
            <family val="2"/>
          </rPr>
          <t xml:space="preserve">
Merge in News Center with: http://news.sap.com/ariba-made-in-a-free-world-mitigating-slavery-in-the-supply-chain/</t>
        </r>
      </text>
    </comment>
  </commentList>
</comments>
</file>

<file path=xl/sharedStrings.xml><?xml version="1.0" encoding="utf-8"?>
<sst xmlns="http://schemas.openxmlformats.org/spreadsheetml/2006/main" count="4273" uniqueCount="606">
  <si>
    <t>Global Content Team</t>
  </si>
  <si>
    <t>Metrics</t>
  </si>
  <si>
    <t>Multimedia Resources</t>
  </si>
  <si>
    <t>Date</t>
  </si>
  <si>
    <t>Owner</t>
  </si>
  <si>
    <t xml:space="preserve">Title + Embedded Link  </t>
  </si>
  <si>
    <t>GCA Move the Needle</t>
  </si>
  <si>
    <t>Board Area</t>
  </si>
  <si>
    <t>Region</t>
  </si>
  <si>
    <t>INTERNAL</t>
  </si>
  <si>
    <t>EXTERNAL</t>
  </si>
  <si>
    <t>Forbes</t>
  </si>
  <si>
    <t>News Center</t>
  </si>
  <si>
    <t>Business Trends / SCN</t>
  </si>
  <si>
    <t>Twitter @SAPnews</t>
  </si>
  <si>
    <t>Comments</t>
  </si>
  <si>
    <t>Views</t>
  </si>
  <si>
    <t>Impressions</t>
  </si>
  <si>
    <t>Engagement</t>
  </si>
  <si>
    <t>Video</t>
  </si>
  <si>
    <t>Slideshow</t>
  </si>
  <si>
    <t>Infographic</t>
  </si>
  <si>
    <t>Youth</t>
  </si>
  <si>
    <t>Healthcare</t>
  </si>
  <si>
    <t>Innovation</t>
  </si>
  <si>
    <t>Sports</t>
  </si>
  <si>
    <t xml:space="preserve">Services Delivery &amp; Support (go-lives and deployments) </t>
  </si>
  <si>
    <t>Human Resources (SAP HR and employee stories)</t>
  </si>
  <si>
    <t>Office of the CEO</t>
  </si>
  <si>
    <t>GCO – Regions</t>
  </si>
  <si>
    <t>GCO – Platform Solutions</t>
  </si>
  <si>
    <t xml:space="preserve">GCO – Industry Cloud </t>
  </si>
  <si>
    <t>GCO – HR (SuccessFactors)</t>
  </si>
  <si>
    <t>GCO – Services Sales</t>
  </si>
  <si>
    <t>GCO – Other</t>
  </si>
  <si>
    <t>Business Network (Concur, Ariba, Fieldglass)</t>
  </si>
  <si>
    <t>NA</t>
  </si>
  <si>
    <t>LATAM</t>
  </si>
  <si>
    <t>APJ</t>
  </si>
  <si>
    <t>China</t>
  </si>
  <si>
    <t>EMEA</t>
  </si>
  <si>
    <t>Global</t>
  </si>
  <si>
    <t>CHANNELS</t>
  </si>
  <si>
    <t>DROPDOWN LIST ENG Articles</t>
  </si>
  <si>
    <t>Corporate Portal</t>
  </si>
  <si>
    <t>Will Berlin Out-Innovate Silicon Valley?</t>
  </si>
  <si>
    <t>Watch for These Top Trends in 2015</t>
  </si>
  <si>
    <t>Top Five Things to Know: Cristina Palmaka</t>
  </si>
  <si>
    <t>Top 5: Empowering Women at Work</t>
  </si>
  <si>
    <t>The Results Are Out</t>
  </si>
  <si>
    <t>The Disruptors: Harley to Minas Gerais</t>
  </si>
  <si>
    <t>The Disruptors: Doing the Smart Thing</t>
  </si>
  <si>
    <t>Security Is in Your Hands</t>
  </si>
  <si>
    <t>SAP at World Economic Forum (Day 1)</t>
  </si>
  <si>
    <t>SAP Achieves 2014 Outlook as Cloud Surges</t>
  </si>
  <si>
    <t>Regaining the Upper Hand with S4HANA</t>
  </si>
  <si>
    <t>Photo Contest: Bending the Rules</t>
  </si>
  <si>
    <t>Phase One of SAP.com Goes Live</t>
  </si>
  <si>
    <t>Overcoming the Trust Deficit</t>
  </si>
  <si>
    <t>New Regional Appointments in EMEA and MEE</t>
  </si>
  <si>
    <t>Mobility Compliance Reloaded</t>
  </si>
  <si>
    <t>Is Unpredictability the New Norm?</t>
  </si>
  <si>
    <t>IBM is Practicing What SAP Teaches</t>
  </si>
  <si>
    <t>Hidden Champion: The Crisis Manager</t>
  </si>
  <si>
    <t>Global Managing Board Adds Two Members</t>
  </si>
  <si>
    <t>Forklift Meets Cloud</t>
  </si>
  <si>
    <t>Decoding the Human Body</t>
  </si>
  <si>
    <t>Customer Connection Helps Optimize Products</t>
  </si>
  <si>
    <t>Career Path: From Manager to Expert</t>
  </si>
  <si>
    <t>Capturing the Essence of SAP</t>
  </si>
  <si>
    <t>Bill in MENA: Exciting New Prospects</t>
  </si>
  <si>
    <t>Are You a Sports Ignoramus?</t>
  </si>
  <si>
    <t>A Business Leader in Marketing</t>
  </si>
  <si>
    <t>2015: Full Throttle for Cloud Growth</t>
  </si>
  <si>
    <t>“The Driving Force is Data”</t>
  </si>
  <si>
    <t>A New Twist To the News</t>
  </si>
  <si>
    <t>Hate Your Job?</t>
  </si>
  <si>
    <t>Healthcare gets the IT Treatment</t>
  </si>
  <si>
    <t>The Disruptors: People, Planet, Profit</t>
  </si>
  <si>
    <t>Sleeping Beauties</t>
  </si>
  <si>
    <t>Getting Ahead of the Curve in Safety</t>
  </si>
  <si>
    <t>SAP and NHL Team up for Hockey Fans</t>
  </si>
  <si>
    <t>SAP Labs India Hosts IoT Day</t>
  </si>
  <si>
    <t>“I Was Born This Way”</t>
  </si>
  <si>
    <t>The Business Re-Imaginer</t>
  </si>
  <si>
    <t>Big S/4HANA Wins in Latin America</t>
  </si>
  <si>
    <t>Powering the Energy Revolution</t>
  </si>
  <si>
    <t>Sending the Right Message</t>
  </si>
  <si>
    <t>The Disruptors: Plant Bottles, not Plastic</t>
  </si>
  <si>
    <t>Need to Know: SAP Corporate Framework</t>
  </si>
  <si>
    <t>Get Your Cricket World Cup Updates</t>
  </si>
  <si>
    <t>The Difference Between Life and Death</t>
  </si>
  <si>
    <t>Photo Contest: 2014 Winners Announced</t>
  </si>
  <si>
    <t>“How We Run” Takes Off</t>
  </si>
  <si>
    <t>Ideas with Impact</t>
  </si>
  <si>
    <t>Building Bridges: Sound of Collaboration</t>
  </si>
  <si>
    <t>The Disruptors: Tech Dress at Work</t>
  </si>
  <si>
    <t>Four Times to the Moon and Back</t>
  </si>
  <si>
    <t>SAP Turbo-Charges Education</t>
  </si>
  <si>
    <t>The Complexity Antidote</t>
  </si>
  <si>
    <t>The Disruptors: Eldorado for Shoppers</t>
  </si>
  <si>
    <t>Digitized Health Care Saves Lives</t>
  </si>
  <si>
    <t>Connecting the Autism Community</t>
  </si>
  <si>
    <t>Career Coaching (1/3)</t>
  </si>
  <si>
    <t>Out of This World</t>
  </si>
  <si>
    <t>Unleash the Startup in You</t>
  </si>
  <si>
    <t>The Disruptors: Barcelona For You!</t>
  </si>
  <si>
    <t>Career Coaching (2/3)</t>
  </si>
  <si>
    <t>The Edge of Innovation</t>
  </si>
  <si>
    <t>MWC- Mobile Industry’s Reality Test</t>
  </si>
  <si>
    <t>Telcos Tap into the Connected Woman</t>
  </si>
  <si>
    <t>A New Perspective on IoT</t>
  </si>
  <si>
    <t>SAP Inspiration Pavilion Opens in Beijing</t>
  </si>
  <si>
    <t>Culture Wall Up and Running</t>
  </si>
  <si>
    <t>Walldorf and Silicon Valley in Tech Fever</t>
  </si>
  <si>
    <t>Career Coaching (3/3)</t>
  </si>
  <si>
    <t>Next Generation of SAP MaxAttention</t>
  </si>
  <si>
    <t>Women’s Day: Make It Happen!</t>
  </si>
  <si>
    <t>The Disruptors: Getting Personal With Big Data</t>
  </si>
  <si>
    <t>A Showcase for Real-Time Retail</t>
  </si>
  <si>
    <t>Creating A Strong Culture</t>
  </si>
  <si>
    <t>How Jaime Found His Dream Job</t>
  </si>
  <si>
    <t>Jenny Dearborn: Powerful Leader in IT</t>
  </si>
  <si>
    <t>Introducing the New SAP Store</t>
  </si>
  <si>
    <t>Never Lose Your Sense of Curiosity</t>
  </si>
  <si>
    <t>HanaHaus Opens in Palo Alto</t>
  </si>
  <si>
    <t>The Disruptors: These Schutz are Made for Walking</t>
  </si>
  <si>
    <t>Hidden Champion: The Global Citizen</t>
  </si>
  <si>
    <t>Photo Contest: Diversity &amp; Inclusion</t>
  </si>
  <si>
    <t>Strong Commitment Increases Profit</t>
  </si>
  <si>
    <t>CeBIT 2015: High-Touch SAP</t>
  </si>
  <si>
    <t>Cricket Fans Bowled Over by SAP</t>
  </si>
  <si>
    <t>Apple Pay and the Payment Platform Revolution</t>
  </si>
  <si>
    <t>Hands On with High Tech</t>
  </si>
  <si>
    <t>InnoJam: Smart(Cit)ies Have the Answer</t>
  </si>
  <si>
    <t>How Fit Are You Really?</t>
  </si>
  <si>
    <t>Welcome to the Talent Journey!</t>
  </si>
  <si>
    <t>The Disruptors: Bikers Against Disease</t>
  </si>
  <si>
    <t>Solving the Cancer Puzzle with SAP HANA</t>
  </si>
  <si>
    <t>No Innovation Without Learning</t>
  </si>
  <si>
    <t>SAP Mourns Klaus Tschira</t>
  </si>
  <si>
    <t>Thinking Faster with SAP HANA In Your Head — Literally</t>
  </si>
  <si>
    <t>Six Tips for Better Clicks</t>
  </si>
  <si>
    <t>How Does the Cloud Benefit HR?</t>
  </si>
  <si>
    <t>Greater Mobile Productivity Now</t>
  </si>
  <si>
    <t>A Question of Quality</t>
  </si>
  <si>
    <t>Hot and Cloudy, Chance of Meatballs</t>
  </si>
  <si>
    <t>The Digital Economy in the Spotlight</t>
  </si>
  <si>
    <t>“The Consumer Rules”</t>
  </si>
  <si>
    <t>Key Accelerator for SAP´s Growth Aspirations</t>
  </si>
  <si>
    <t>Spotting the Centaur at SAPPHIRE NOW</t>
  </si>
  <si>
    <t>Women’s Leadership Summit 2015</t>
  </si>
  <si>
    <t>From Selling Products to Selling Outcomes</t>
  </si>
  <si>
    <t>Smart Business Networks</t>
  </si>
  <si>
    <t>Transform Information Into Action</t>
  </si>
  <si>
    <t>Executive Board Meetings of the Future</t>
  </si>
  <si>
    <t>Photo Contest “On the Move”</t>
  </si>
  <si>
    <t>Get Designing</t>
  </si>
  <si>
    <t>Molecular Health: A Technology Trailblazer</t>
  </si>
  <si>
    <t>Remote Access Made Simple</t>
  </si>
  <si>
    <t>AMG Moves into the Fast Lane</t>
  </si>
  <si>
    <t>Gender Quota for Supervisory Board</t>
  </si>
  <si>
    <t>Adding Energy to Red Bull</t>
  </si>
  <si>
    <t>Early Achievers</t>
  </si>
  <si>
    <t>B/E Aerospace is Flying High</t>
  </si>
  <si>
    <t>Investing in Future Tech Talent</t>
  </si>
  <si>
    <t>The Disruptors: Bring On BI</t>
  </si>
  <si>
    <t>Digital Transformation at Bayer</t>
  </si>
  <si>
    <t>SAP Founders’ Award Reloaded</t>
  </si>
  <si>
    <t>Nepal Earthquake: SAP Supports Red Cross</t>
  </si>
  <si>
    <t>Intrapreneurship: Where Are We Now?</t>
  </si>
  <si>
    <t>Kenya: Going Far Together</t>
  </si>
  <si>
    <t>The Disruptors: Five Cents for a Clean Toilet</t>
  </si>
  <si>
    <t>SAP Sports One at the Starting Line</t>
  </si>
  <si>
    <t>Creativity and the Art of Completion</t>
  </si>
  <si>
    <t>SME Coaching For Free</t>
  </si>
  <si>
    <t>Lockdown in Chicago</t>
  </si>
  <si>
    <t>The In-Memory Revolution</t>
  </si>
  <si>
    <t>Q1: Exceptional Cloud Growth</t>
  </si>
  <si>
    <t>New Behaviors at SAP</t>
  </si>
  <si>
    <t>“A Very Substantial Cloud Business”</t>
  </si>
  <si>
    <t>Master of Arts</t>
  </si>
  <si>
    <t>The Disruptors: Shirt Delivery by Drone?</t>
  </si>
  <si>
    <t>Robots for Babies</t>
  </si>
  <si>
    <t>IT Powers the Energy Sector</t>
  </si>
  <si>
    <t>Dietmar Hopp Celebrates his 75th Birthday</t>
  </si>
  <si>
    <t>From Drones to Selfie Sticks</t>
  </si>
  <si>
    <t>SAP Forum in Moscow Takes Off</t>
  </si>
  <si>
    <t>The Disruptors: No End to the Innovation Race</t>
  </si>
  <si>
    <t>Who Are You Calling a Nerd? SAP Employees Hit the Road</t>
  </si>
  <si>
    <t>Bill and François Hollande Talk Technology</t>
  </si>
  <si>
    <t>A Python on My Way to School</t>
  </si>
  <si>
    <t>Double Win for Manufacturing</t>
  </si>
  <si>
    <t>S/4HANA: “The Big New Thing”</t>
  </si>
  <si>
    <t>From Refugee to Tech Exec</t>
  </si>
  <si>
    <t>Social Sabbatical: Not a One Way Street</t>
  </si>
  <si>
    <t>A Matter of Integrity</t>
  </si>
  <si>
    <t>The Disruptors: Eco Easter Eggs</t>
  </si>
  <si>
    <t>Brazil Inc, Part 2: Investing Smartly</t>
  </si>
  <si>
    <t>Dare to be Scared</t>
  </si>
  <si>
    <t>Top Five Things to Know: Paula Jacomo</t>
  </si>
  <si>
    <t>IT &amp; Healthcare Illustrated</t>
  </si>
  <si>
    <t>Mission Control, we Fly to Mars</t>
  </si>
  <si>
    <t>The Future of Talent Management</t>
  </si>
  <si>
    <t>Brazil Inc – Nailing Complexity</t>
  </si>
  <si>
    <t>Just Ask Dr. B. Data</t>
  </si>
  <si>
    <t>Accelerating Cloud Growth – The Lowdown</t>
  </si>
  <si>
    <t>The Secret to Product Success</t>
  </si>
  <si>
    <t>Nostalgic-Art Tests In-Memory Platform</t>
  </si>
  <si>
    <t>The Disruptors: Unique Solutions</t>
  </si>
  <si>
    <t>Career Success Center Kicks Off</t>
  </si>
  <si>
    <t>Marketplace for Connected Car Services</t>
  </si>
  <si>
    <t>SAP Supports Non-Discrimination Act</t>
  </si>
  <si>
    <t>Analyzing the Game</t>
  </si>
  <si>
    <t>Becoming Simply Irresistible</t>
  </si>
  <si>
    <t>Torsten Falk</t>
  </si>
  <si>
    <t>Arunima Kumar</t>
  </si>
  <si>
    <t>Amira Polack</t>
  </si>
  <si>
    <t>Judith Magyar</t>
  </si>
  <si>
    <t>Andreas Schmitz</t>
  </si>
  <si>
    <t>Tobias Essig</t>
  </si>
  <si>
    <t>Susan Galer</t>
  </si>
  <si>
    <t>Mark Cheever</t>
  </si>
  <si>
    <t>Paul Baur</t>
  </si>
  <si>
    <t>Andrea Diederichs</t>
  </si>
  <si>
    <t>Cornelia Weiss-Justen</t>
  </si>
  <si>
    <t>Richard Campbell</t>
  </si>
  <si>
    <t>Miriam Siebeking</t>
  </si>
  <si>
    <t>Michael Zipf</t>
  </si>
  <si>
    <t>Paul Taylor</t>
  </si>
  <si>
    <t>Emily Scorer</t>
  </si>
  <si>
    <t>Derek Klobucher</t>
  </si>
  <si>
    <t xml:space="preserve">Stephan Magura </t>
  </si>
  <si>
    <t>Charlotte Otter</t>
  </si>
  <si>
    <t>Christine Donato</t>
  </si>
  <si>
    <t>Anita Riegel</t>
  </si>
  <si>
    <t>Diana Vega</t>
  </si>
  <si>
    <t>Stephan Magura</t>
  </si>
  <si>
    <t>Jacqueline Prause</t>
  </si>
  <si>
    <t>Robin Meyerhoff</t>
  </si>
  <si>
    <t>Sarah Harvey</t>
  </si>
  <si>
    <t>Perry Manross</t>
  </si>
  <si>
    <t>Denise Broady</t>
  </si>
  <si>
    <t>Teara Kuhn</t>
  </si>
  <si>
    <t>Frederic Masse</t>
  </si>
  <si>
    <t>Stephanie Rieder</t>
  </si>
  <si>
    <t>Sarah Kellman</t>
  </si>
  <si>
    <t>Marcus Winkler</t>
  </si>
  <si>
    <t>Molli Jordan</t>
  </si>
  <si>
    <t>Catherine Girardin</t>
  </si>
  <si>
    <t>Alicia Lenze</t>
  </si>
  <si>
    <t>Jenny Dearborn</t>
  </si>
  <si>
    <t>Kesja Cichowski</t>
  </si>
  <si>
    <t>Tim Clark</t>
  </si>
  <si>
    <t>Debra Curtis-Magley</t>
  </si>
  <si>
    <t>Diana Pauly</t>
  </si>
  <si>
    <t>Susan Orenstein</t>
  </si>
  <si>
    <t>Anna Burkhadt</t>
  </si>
  <si>
    <t>Susan Jee Janice Ng</t>
  </si>
  <si>
    <t>Nadia Boyes</t>
  </si>
  <si>
    <t>Marcus Krug</t>
  </si>
  <si>
    <t>Jakob Braun</t>
  </si>
  <si>
    <t>Lena Walther</t>
  </si>
  <si>
    <t>Sonakishi Nandy</t>
  </si>
  <si>
    <t>Nicola Leske</t>
  </si>
  <si>
    <t>Jerry Janda</t>
  </si>
  <si>
    <t>Corinna Machmeier</t>
  </si>
  <si>
    <t>Tibor Hornyak</t>
  </si>
  <si>
    <t>Christine Susanne Mueller</t>
  </si>
  <si>
    <t>Suan Jee Janice Ng</t>
  </si>
  <si>
    <t>Courtney Robinson</t>
  </si>
  <si>
    <t>Slideshow, Infographic</t>
  </si>
  <si>
    <t>Infographic, Video</t>
  </si>
  <si>
    <t>Video, Slideshow</t>
  </si>
  <si>
    <t>Slideshow, Video</t>
  </si>
  <si>
    <t>Video, Infographic, Slideshow</t>
  </si>
  <si>
    <t>Cirque du Soleil - Free to be Creative</t>
  </si>
  <si>
    <t>John Pelle</t>
  </si>
  <si>
    <t>Video, Infographic</t>
  </si>
  <si>
    <t>Agnes Biesiekierska</t>
  </si>
  <si>
    <t>Jennifer Alejandro</t>
  </si>
  <si>
    <t>Richard Nikolic</t>
  </si>
  <si>
    <t>Phillip Klewitz</t>
  </si>
  <si>
    <t>SAP News</t>
  </si>
  <si>
    <t>Cueneyt Cam</t>
  </si>
  <si>
    <t>COPE Gives Franz Confidence</t>
  </si>
  <si>
    <t>Powering up East Africa</t>
  </si>
  <si>
    <t>Surge in SAP Brand Value</t>
  </si>
  <si>
    <t>HANA Spatial: Where Are They Now?</t>
  </si>
  <si>
    <t>Growth and Jobs Through Digitalization</t>
  </si>
  <si>
    <t>Atos Doubles Its Revenue with SAP</t>
  </si>
  <si>
    <t>Photo Contest: On the Move</t>
  </si>
  <si>
    <t>Ready for Five Generations in Your Workplace?</t>
  </si>
  <si>
    <t>ZERO Downtime: Mission Accomplished</t>
  </si>
  <si>
    <t>Seven SAP Channel Execs Honored</t>
  </si>
  <si>
    <t>Salesforce.com: Poster Child for Cloud 1.0</t>
  </si>
  <si>
    <t>Now Showing in Airports Near You</t>
  </si>
  <si>
    <t>The Disruptors: Klitschko’s City Knockout</t>
  </si>
  <si>
    <t>“Everything Is Possible at SAP”</t>
  </si>
  <si>
    <t>Vote Now!</t>
  </si>
  <si>
    <t>Designing with the Elderly</t>
  </si>
  <si>
    <t>Breakthroughs? Take A Break</t>
  </si>
  <si>
    <t>Building dreams</t>
  </si>
  <si>
    <t>Why Ikram Can’t Find a Job</t>
  </si>
  <si>
    <t>Innovation Spotting at the Paris Air Show</t>
  </si>
  <si>
    <t>Where in the World Do we Run Simple?</t>
  </si>
  <si>
    <t>Removing the Boardroom Blindfolds</t>
  </si>
  <si>
    <t>Trash After the Big Bash</t>
  </si>
  <si>
    <t>Dynamic Online Learning</t>
  </si>
  <si>
    <t>And the Winner Is…</t>
  </si>
  <si>
    <t>The Disruptors: Become a Smart Port</t>
  </si>
  <si>
    <t>Shravan Finds His Place</t>
  </si>
  <si>
    <t>Overcoming Every Hurdle</t>
  </si>
  <si>
    <t>Simpler, Faster, Unified, Efficient</t>
  </si>
  <si>
    <t>Crafty Tunes with Music 4.0</t>
  </si>
  <si>
    <t>Restoring Growth Across Latin America</t>
  </si>
  <si>
    <t>Ford and SAP Put Design in High Gear</t>
  </si>
  <si>
    <t>Software Coding in Lagos</t>
  </si>
  <si>
    <t>Gillian Lindsell</t>
  </si>
  <si>
    <t>Renata Pompeu Pividal</t>
  </si>
  <si>
    <t>Jane Gray</t>
  </si>
  <si>
    <t>Angela Klose</t>
  </si>
  <si>
    <t>Angela Dunn</t>
  </si>
  <si>
    <t>Thomas Pohl</t>
  </si>
  <si>
    <t>Vivek Bapat</t>
  </si>
  <si>
    <t>Cindy McKendry</t>
  </si>
  <si>
    <t>Mike Ettling</t>
  </si>
  <si>
    <t xml:space="preserve">GCO – Customer Engagement &amp; Commerce (CRM &amp; hybris) </t>
  </si>
  <si>
    <t>GPO (Partner, Ecosystem, Channels)</t>
  </si>
  <si>
    <t>P&amp;I (Research &amp; Development)</t>
  </si>
  <si>
    <t>Corporate Portal (Views)</t>
  </si>
  <si>
    <t>Corporate Portal (Comments)</t>
  </si>
  <si>
    <t>Forbes (Views)</t>
  </si>
  <si>
    <t>Forbes (Comments)</t>
  </si>
  <si>
    <t>News Center (Views)</t>
  </si>
  <si>
    <t>News Center (Comments)</t>
  </si>
  <si>
    <t>Business Trends / SCN (Views)</t>
  </si>
  <si>
    <t>Business Trends / SCN (Comments)</t>
  </si>
  <si>
    <t>SUMMARY</t>
  </si>
  <si>
    <t>Total of Views</t>
  </si>
  <si>
    <t>Total of Comments</t>
  </si>
  <si>
    <t>Twitter @SAPnews  (Impressions)</t>
  </si>
  <si>
    <t>Twitter @SAPnews (Engagement)</t>
  </si>
  <si>
    <t>Jan</t>
  </si>
  <si>
    <t>Feb</t>
  </si>
  <si>
    <t>Mar</t>
  </si>
  <si>
    <t>April</t>
  </si>
  <si>
    <t>May</t>
  </si>
  <si>
    <t>Jun</t>
  </si>
  <si>
    <t>Total</t>
  </si>
  <si>
    <t>Articles 2015</t>
  </si>
  <si>
    <t>Building Bridges</t>
  </si>
  <si>
    <t>Bettina Wunderle</t>
  </si>
  <si>
    <t>Christine Kubach</t>
  </si>
  <si>
    <t>Anne Hardy</t>
  </si>
  <si>
    <t>Ursula Kreuch</t>
  </si>
  <si>
    <t>Chistiane Kubach</t>
  </si>
  <si>
    <t>Kate Morgan</t>
  </si>
  <si>
    <t>Total Views of all channels</t>
  </si>
  <si>
    <t>Please, Do not change this value</t>
  </si>
  <si>
    <t>Articles numbers of views %</t>
  </si>
  <si>
    <t>Corporate</t>
  </si>
  <si>
    <t>Total Views</t>
  </si>
  <si>
    <t>Total Coments</t>
  </si>
  <si>
    <t>Client</t>
  </si>
  <si>
    <t>Yes</t>
  </si>
  <si>
    <t>No</t>
  </si>
  <si>
    <t>Customer</t>
  </si>
  <si>
    <t>Hackers Meet Their Match in SAP</t>
  </si>
  <si>
    <t>Driving IT Innovation (Literally)</t>
  </si>
  <si>
    <t xml:space="preserve">P&amp;I (Research &amp; Development), GCO – Industry Cloud </t>
  </si>
  <si>
    <t>When Smart Cities Fight Mother Nature</t>
  </si>
  <si>
    <t>SAP’s Fast and Furious Facts</t>
  </si>
  <si>
    <t>Team U.S. Wins the Solheim Cup</t>
  </si>
  <si>
    <t>SAP Responds to the Refugee Crisis</t>
  </si>
  <si>
    <t>“I Feel Stronger Than Ever”</t>
  </si>
  <si>
    <t>We’re Not in Kansas Anymore</t>
  </si>
  <si>
    <t>Be a Hero. No Cape Required.</t>
  </si>
  <si>
    <t>Customers Are in the Driver’s Seat Now</t>
  </si>
  <si>
    <t>Black and White</t>
  </si>
  <si>
    <t>The Disruptors: Data Doctors Trust</t>
  </si>
  <si>
    <t>GCO – Industry Cloud , GCO – Platform Solutions</t>
  </si>
  <si>
    <t>Power in Employees’ Pockets</t>
  </si>
  <si>
    <t xml:space="preserve">GCO – Platform Solutions, GCO – Industry Cloud </t>
  </si>
  <si>
    <t>Refugee Crisis – How You Can Help</t>
  </si>
  <si>
    <t>SAP S/4HANA Branding Update</t>
  </si>
  <si>
    <t>Easier Partnering, Bigger Opportunities</t>
  </si>
  <si>
    <t>Platforms Are Hot Again. Digitize Now!</t>
  </si>
  <si>
    <t>Parlez-Vous Business in Africa?</t>
  </si>
  <si>
    <t>SAP Waves the Rainbow Flag</t>
  </si>
  <si>
    <t>Cultivating Our Curiosity</t>
  </si>
  <si>
    <t>They Came, Pitched, and Conquered</t>
  </si>
  <si>
    <t>Fashion Gets a Tech Makeover</t>
  </si>
  <si>
    <t>Fresh Face Joins the Supervisory Board</t>
  </si>
  <si>
    <t>Top Honors for TwoGo by SAP</t>
  </si>
  <si>
    <t>Ariba: All Fired Up</t>
  </si>
  <si>
    <t>Taking Football into the Cloud</t>
  </si>
  <si>
    <t>Greek Debt Crisis</t>
  </si>
  <si>
    <t>Founders’ Award: Where Are We Now?</t>
  </si>
  <si>
    <t>Cecile Yasmin Schreyer</t>
  </si>
  <si>
    <t>Living the New Behaviors</t>
  </si>
  <si>
    <t>Never Too Early for STEM</t>
  </si>
  <si>
    <t>Innovation, Youth</t>
  </si>
  <si>
    <t>Quentin Clark Appointed to SAP Board</t>
  </si>
  <si>
    <t>Photo Contest: Street Photography</t>
  </si>
  <si>
    <t>Diversity and the Digital Economy</t>
  </si>
  <si>
    <t>Stacy Eidson Comes</t>
  </si>
  <si>
    <t>Go West, Young Man</t>
  </si>
  <si>
    <t>GCO – Regions, Human Resources (SAP HR and employee stories)</t>
  </si>
  <si>
    <t>Innovative Israel</t>
  </si>
  <si>
    <t>Coaching, Leading, Managing</t>
  </si>
  <si>
    <t>Let’s Get Physical</t>
  </si>
  <si>
    <t>The Adventures of Super Simple</t>
  </si>
  <si>
    <t>Define Your Career</t>
  </si>
  <si>
    <t>Caroline Kohout</t>
  </si>
  <si>
    <t>Gamification: Party Pirate Style</t>
  </si>
  <si>
    <t>Mitigate Slavery in the Supply Chain</t>
  </si>
  <si>
    <t>Lync Succeeds SAP Connect for Meetings</t>
  </si>
  <si>
    <t>Aidan Hyland</t>
  </si>
  <si>
    <t>SAP Grows in the Cloud and Network</t>
  </si>
  <si>
    <t>Making Security Run Simple</t>
  </si>
  <si>
    <t>Tanja Schaetz-Kruft</t>
  </si>
  <si>
    <t>The Making of “In the Clouds with SAP”</t>
  </si>
  <si>
    <t>Jackie Montesinos Suarez</t>
  </si>
  <si>
    <t>The Disruptors: Why Fieldglass is One</t>
  </si>
  <si>
    <t>Good Job, Keep Rolling, Stop Flying</t>
  </si>
  <si>
    <t>Taylor Made, Disaster on the Hudson</t>
  </si>
  <si>
    <t>Israel and Germany: Trust Breeds Innovation</t>
  </si>
  <si>
    <t>From Poaching to Farming</t>
  </si>
  <si>
    <t>Adapt or Die</t>
  </si>
  <si>
    <t>Coding and Corner Kicks</t>
  </si>
  <si>
    <t>Sports, Youth</t>
  </si>
  <si>
    <t>Customer Survey: Please, Keep it Simple</t>
  </si>
  <si>
    <t>Heidi Ferguson-Mueller</t>
  </si>
  <si>
    <t>Spotlight on Women Leaders at SAP</t>
  </si>
  <si>
    <t>Unified Ticketing: One Support for Everyone</t>
  </si>
  <si>
    <t>Stephan Kamps</t>
  </si>
  <si>
    <t>Talking Trash at Lunch</t>
  </si>
  <si>
    <t>GCO – Industry Cloud , GCO – Regions</t>
  </si>
  <si>
    <t>The Digital Economy Manifesto</t>
  </si>
  <si>
    <t>Jeff Woods</t>
  </si>
  <si>
    <t>Structure + Freedom = Innovation</t>
  </si>
  <si>
    <t>SAP on Wheels</t>
  </si>
  <si>
    <t>Educational Equity Fueled by Tech</t>
  </si>
  <si>
    <t>Jhon Ward</t>
  </si>
  <si>
    <t>Recipe for a Sports App</t>
  </si>
  <si>
    <t>The Valley Revs Up Social Start Ups</t>
  </si>
  <si>
    <t>A Dynamic Duo</t>
  </si>
  <si>
    <t>Kids Discover The Digital Economy</t>
  </si>
  <si>
    <t>…Sails to Sales Success</t>
  </si>
  <si>
    <t>Digitization with Extra Horsepower</t>
  </si>
  <si>
    <t>Lynda Seger</t>
  </si>
  <si>
    <t>The Neglected Morality of IoT</t>
  </si>
  <si>
    <t>Putting the Swing Back in Walldorf</t>
  </si>
  <si>
    <t>Wipe Your Lenses and Hit the Streets!</t>
  </si>
  <si>
    <t>Two Sides of the Same Coin</t>
  </si>
  <si>
    <t>Ending Supply Chain Slavery</t>
  </si>
  <si>
    <t>A Matter Of Support</t>
  </si>
  <si>
    <t xml:space="preserve">GCO – Services Sales, GCO – Customer Engagement &amp; Commerce (CRM &amp; hybris) </t>
  </si>
  <si>
    <t>The Crippling Cost of Sports Injuries</t>
  </si>
  <si>
    <t>Innovation in a Lump of Iron</t>
  </si>
  <si>
    <t>Nadine Huelsen</t>
  </si>
  <si>
    <t>The Pitfalls of Brand Journalism</t>
  </si>
  <si>
    <t>Wake Up and Smell the Crayons</t>
  </si>
  <si>
    <t>Tapping IoT’s Potential</t>
  </si>
  <si>
    <t>Baerbel Schultz</t>
  </si>
  <si>
    <t>Making Sailing Simpler</t>
  </si>
  <si>
    <t>Don’t be a Dodo</t>
  </si>
  <si>
    <t>How to Design Digital Transformation</t>
  </si>
  <si>
    <t>Sam Yen</t>
  </si>
  <si>
    <t>Wearable at Work – The SAP and Google Challenge</t>
  </si>
  <si>
    <t>Thorsten Leiduck</t>
  </si>
  <si>
    <t>SAP Strategy, Live and In Color</t>
  </si>
  <si>
    <t>July</t>
  </si>
  <si>
    <t>Row Labels</t>
  </si>
  <si>
    <t>(blank)</t>
  </si>
  <si>
    <t>Grand Total</t>
  </si>
  <si>
    <t xml:space="preserve">Count of Title + Embedded Link  </t>
  </si>
  <si>
    <t>Sum of Total of Views</t>
  </si>
  <si>
    <t>DATE</t>
  </si>
  <si>
    <t>Validation</t>
  </si>
  <si>
    <t>FIX</t>
  </si>
  <si>
    <t>NA, LATAM, EMEA</t>
  </si>
  <si>
    <t>GCO – Regions, GCO – Platform Solutions</t>
  </si>
  <si>
    <t xml:space="preserve">GCO – Platform Solutions, GCO – Customer Engagement &amp; Commerce (CRM &amp; hybris) </t>
  </si>
  <si>
    <t>GCO – Industry Cloud , GCO – Platform Solutions, GCO – Regions</t>
  </si>
  <si>
    <t>-</t>
  </si>
  <si>
    <t>Cat Videos Are Overrated</t>
  </si>
  <si>
    <t>Let's Get Real</t>
  </si>
  <si>
    <t>Aug</t>
  </si>
  <si>
    <t>Sep</t>
  </si>
  <si>
    <t>Oct</t>
  </si>
  <si>
    <t>Nov</t>
  </si>
  <si>
    <t>Dec</t>
  </si>
  <si>
    <t>(Multiple Items)</t>
  </si>
  <si>
    <t>(All)</t>
  </si>
  <si>
    <t>Q1</t>
  </si>
  <si>
    <t>Q2</t>
  </si>
  <si>
    <t>Q3</t>
  </si>
  <si>
    <t>Max of Total of Comments</t>
  </si>
  <si>
    <t>PERCENTAGE</t>
  </si>
  <si>
    <t>PERCENTAGES</t>
  </si>
  <si>
    <t>Count of Customer</t>
  </si>
  <si>
    <t>Ready, Set, Code! STEM’s Africa Road Show</t>
  </si>
  <si>
    <t>Michael Kleinemeier Joins Executive Board</t>
  </si>
  <si>
    <t>And the Winner is…</t>
  </si>
  <si>
    <t>Customer Hops Onto SAP HANA Express</t>
  </si>
  <si>
    <t>One4: You Can Help the Refugee Crisis NOW</t>
  </si>
  <si>
    <t>SAP Expands HCM Suite with Multiposting</t>
  </si>
  <si>
    <t>GCO – HR (SuccessFactors), P&amp;I (Research &amp; Development)</t>
  </si>
  <si>
    <t>Corporate, Innovation</t>
  </si>
  <si>
    <t>The Play-by-Play on SAP Sports One</t>
  </si>
  <si>
    <t>Q3: Record Results in the Cloud</t>
  </si>
  <si>
    <t>GCO – Platform Solutions, GCO – Industry Cloud , Office of the CEO</t>
  </si>
  <si>
    <t>Innovation Deals a Blow Against Cancer</t>
  </si>
  <si>
    <t>Healthcare, Innovation</t>
  </si>
  <si>
    <t>P&amp;I (Research &amp; Development), GCO – Industry Cloud , Human Resources (SAP HR and employee stories)</t>
  </si>
  <si>
    <t>#One4: The Power of One Idea</t>
  </si>
  <si>
    <t>Coding the Future: Fresh Perspectives</t>
  </si>
  <si>
    <t>SAP HANA Support Packs a Punch</t>
  </si>
  <si>
    <t>The Spirit of Solidarity</t>
  </si>
  <si>
    <t>Record Q3 Results Are Confirmed</t>
  </si>
  <si>
    <t>“No Room for Complacency”</t>
  </si>
  <si>
    <t>SAP S/4HANA Goes Way off the Charts</t>
  </si>
  <si>
    <t>Judith Magyar, Carolyn Coad</t>
  </si>
  <si>
    <t>And the Winner Is….</t>
  </si>
  <si>
    <t>The Disruptors – Where robots do the dirty work</t>
  </si>
  <si>
    <t>The Quality Execution Principle</t>
  </si>
  <si>
    <t>From Leadership to Legacy</t>
  </si>
  <si>
    <t>Innovation, Entrepreneurialism, Courage: From AribaPay to Suseo Rail</t>
  </si>
  <si>
    <t>A Sporting Showcase for Technology</t>
  </si>
  <si>
    <t>What’s Got Turkey Talking?</t>
  </si>
  <si>
    <t>Living Simple</t>
  </si>
  <si>
    <t>Oil and Safety Mix Well in Azerbaijan</t>
  </si>
  <si>
    <t>Computers and the Tyranny of the Present</t>
  </si>
  <si>
    <t>SAP on the Hill: 1 Minute Mini Series</t>
  </si>
  <si>
    <t>Data Dilemma</t>
  </si>
  <si>
    <t>Heralding the Future</t>
  </si>
  <si>
    <t>Vive la France</t>
  </si>
  <si>
    <t>SAP Employees Break Volunteering Record</t>
  </si>
  <si>
    <t>Patricia Crazzolara, Kesja Cichowski</t>
  </si>
  <si>
    <t>What Moved You Most in 2015?</t>
  </si>
  <si>
    <t>SAP’s Light Bulb Moment</t>
  </si>
  <si>
    <t>Funding a Worthy Cause</t>
  </si>
  <si>
    <t>SAP Aces Corporate Equality Index for LGBT Inclusion</t>
  </si>
  <si>
    <t>Dare to Be More Human</t>
  </si>
  <si>
    <t>Delivering on a Promise</t>
  </si>
  <si>
    <t>Enter the Green Cloud</t>
  </si>
  <si>
    <t>How Cities Are Turning Down the Heat</t>
  </si>
  <si>
    <t>Putting Trees Back Where They Belong</t>
  </si>
  <si>
    <t>Time is Running Out</t>
  </si>
  <si>
    <t>Paul Baur, Alexander Januschke, Natalie Hauck</t>
  </si>
  <si>
    <t>“I Love to Score Goals”</t>
  </si>
  <si>
    <t>“We Can Help Mitigate the Risks”</t>
  </si>
  <si>
    <t>GCO – Industry Cloud , GCO – Services Sales</t>
  </si>
  <si>
    <t>Youth, Innovation</t>
  </si>
  <si>
    <t>The Connected Stadium @ FC Bayern Munich</t>
  </si>
  <si>
    <t xml:space="preserve">Michael Nuesslein </t>
  </si>
  <si>
    <t>Totems of Technology</t>
  </si>
  <si>
    <t xml:space="preserve">Corinna Machmeier </t>
  </si>
  <si>
    <t xml:space="preserve">Judith Magyar </t>
  </si>
  <si>
    <t>Steve Lucas Talks SAP HANA</t>
  </si>
  <si>
    <t>Jon Leiberman</t>
  </si>
  <si>
    <t>Steve Lucas – SAP HANA DELIVERS!</t>
  </si>
  <si>
    <t xml:space="preserve">Steve Lucas, Jon Leiberman </t>
  </si>
  <si>
    <t>SAP HANA, Now More Than Ever</t>
  </si>
  <si>
    <t xml:space="preserve">Robin Meyerhoff </t>
  </si>
  <si>
    <t>The Platform for Everyone</t>
  </si>
  <si>
    <t xml:space="preserve">Stephan Magura, Thomas Leonhardi </t>
  </si>
  <si>
    <t>Megan Meany</t>
  </si>
  <si>
    <t>Parking Made Painless</t>
  </si>
  <si>
    <t>SAP HANA Healthcare – Dawn of New Era</t>
  </si>
  <si>
    <t>The Digital Rescuer</t>
  </si>
  <si>
    <t xml:space="preserve">Paul Baur, Natalie Hauck, Alexander Januschke </t>
  </si>
  <si>
    <t>Difference Makers!</t>
  </si>
  <si>
    <t>Q4</t>
  </si>
  <si>
    <t>Crescent Garden Runs Simple!</t>
  </si>
  <si>
    <t>Digital India on the Rise</t>
  </si>
  <si>
    <t>Renata Pompeu Pividal, Robin Meyerhoff</t>
  </si>
  <si>
    <t>How Brazil’s River People Can Save the Amazon</t>
  </si>
  <si>
    <t>Advise and Consult</t>
  </si>
  <si>
    <t>Social Business Takes Root in Eastern Europe</t>
  </si>
  <si>
    <t>Laughing All the Way to the Bank</t>
  </si>
  <si>
    <t>Employees Support Relief Efforts in Chennai</t>
  </si>
  <si>
    <t>Siemens Industry: Three Pillars Bolster the First “Big Thing”</t>
  </si>
  <si>
    <t xml:space="preserve">11 Real World Examples of Digital Transformation </t>
  </si>
  <si>
    <t xml:space="preserve">Business Network (Concur, Ariba, Fieldglass), P&amp;I (Research &amp; Development), GCO – Industry Cloud </t>
  </si>
  <si>
    <t>Innovation, Sports</t>
  </si>
  <si>
    <t>EMEA, NA</t>
  </si>
  <si>
    <t>Human Resources (SAP HR and employee stories), Corporate</t>
  </si>
  <si>
    <t>Corporate, Youth</t>
  </si>
  <si>
    <t>Human Resources (SAP HR and employee stories), Corporate, Office of the CEO</t>
  </si>
  <si>
    <t>GCO – Platform Solutions, Business Network (Concur, Ariba, Fieldglass)</t>
  </si>
  <si>
    <t>Corporate, Sports</t>
  </si>
  <si>
    <t>Corporate, Human Resources (SAP HR and employee stories)</t>
  </si>
  <si>
    <t>Innovation, Corporate</t>
  </si>
  <si>
    <t xml:space="preserve">Corporate, GCO – Industry Cloud </t>
  </si>
  <si>
    <t>GCO – Industry Cloud , P&amp;I (Research &amp; Development)</t>
  </si>
  <si>
    <t xml:space="preserve">GCO – Regions, Human Resources (SAP HR and employee stories), Office of the CEO, GCO – Industry Cloud </t>
  </si>
  <si>
    <t>Human Resources (SAP HR and employee stories), GCO – Platform Solutions, Office of the CEO, GCO – Regions</t>
  </si>
  <si>
    <t xml:space="preserve">GCO – Industry Cloud , Services Delivery &amp; Support (go-lives and deployments) </t>
  </si>
  <si>
    <t>Human Resources (SAP HR and employee stories), GCO – Regions</t>
  </si>
  <si>
    <t>Corporate, Youth, Innovation</t>
  </si>
  <si>
    <t>TOTAL: 36</t>
  </si>
  <si>
    <t>TOTAL: 3</t>
  </si>
  <si>
    <t>GCO – Industry Cloud , GCO – Platform Solutions, Business Network (Concur, Ariba, Fieldglass)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</si>
</sst>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26"/>
      <name val="Arial"/>
      <family val="2"/>
    </font>
    <font>
      <sz val="18"/>
      <name val="Arial"/>
      <family val="2"/>
    </font>
    <font>
      <b/>
      <sz val="12"/>
      <color theme="0"/>
      <name val="Calibri"/>
      <family val="2"/>
      <scheme val="minor"/>
    </font>
    <font>
      <b/>
      <sz val="22"/>
      <color theme="0" tint="-0.499984740745262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u/>
      <sz val="11"/>
      <color rgb="FF3366F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7"/>
      <name val="Calibri"/>
      <family val="2"/>
      <scheme val="minor"/>
    </font>
    <font>
      <u/>
      <sz val="11"/>
      <color theme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rgb="FFFFC000"/>
      <name val="Calibri"/>
      <family val="2"/>
      <scheme val="minor"/>
    </font>
    <font>
      <b/>
      <sz val="14"/>
      <color rgb="FFFFC000"/>
      <name val="Calibri"/>
      <family val="2"/>
      <scheme val="minor"/>
    </font>
    <font>
      <b/>
      <sz val="22"/>
      <color rgb="FFFFC000"/>
      <name val="Calibri"/>
      <family val="2"/>
      <scheme val="minor"/>
    </font>
    <font>
      <b/>
      <sz val="11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4D4D4D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1C1C1C"/>
        <bgColor indexed="64"/>
      </patternFill>
    </fill>
    <fill>
      <patternFill patternType="solid">
        <fgColor theme="7" tint="-0.249977111117893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auto="1"/>
      </left>
      <right/>
      <top/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thin">
        <color theme="0" tint="-0.14999847407452621"/>
      </right>
      <top/>
      <bottom/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</borders>
  <cellStyleXfs count="3">
    <xf numFmtId="0" fontId="0" fillId="0" borderId="0"/>
    <xf numFmtId="0" fontId="9" fillId="0" borderId="0" applyNumberFormat="0" applyFill="0" applyBorder="0" applyAlignment="0" applyProtection="0"/>
    <xf numFmtId="9" fontId="21" fillId="0" borderId="0" applyFont="0" applyFill="0" applyBorder="0" applyAlignment="0" applyProtection="0"/>
  </cellStyleXfs>
  <cellXfs count="171">
    <xf numFmtId="0" fontId="0" fillId="0" borderId="0" xfId="0"/>
    <xf numFmtId="0" fontId="0" fillId="0" borderId="0" xfId="0" applyAlignment="1">
      <alignment vertical="center" wrapText="1"/>
    </xf>
    <xf numFmtId="0" fontId="0" fillId="0" borderId="1" xfId="0" applyBorder="1" applyAlignment="1">
      <alignment vertical="center" wrapText="1"/>
    </xf>
    <xf numFmtId="0" fontId="0" fillId="0" borderId="0" xfId="0" applyAlignment="1">
      <alignment vertical="center"/>
    </xf>
    <xf numFmtId="0" fontId="0" fillId="0" borderId="1" xfId="0" applyBorder="1" applyAlignment="1">
      <alignment vertical="center"/>
    </xf>
    <xf numFmtId="0" fontId="4" fillId="2" borderId="0" xfId="0" applyFont="1" applyFill="1" applyAlignment="1" applyProtection="1">
      <alignment vertical="center"/>
    </xf>
    <xf numFmtId="0" fontId="0" fillId="0" borderId="0" xfId="0" applyAlignment="1" applyProtection="1">
      <alignment vertical="center"/>
    </xf>
    <xf numFmtId="0" fontId="5" fillId="2" borderId="0" xfId="0" applyFont="1" applyFill="1" applyAlignment="1" applyProtection="1">
      <alignment vertical="center"/>
    </xf>
    <xf numFmtId="0" fontId="6" fillId="2" borderId="0" xfId="0" applyFont="1" applyFill="1" applyAlignment="1" applyProtection="1">
      <alignment vertical="center"/>
    </xf>
    <xf numFmtId="0" fontId="0" fillId="8" borderId="0" xfId="0" applyFill="1" applyAlignment="1">
      <alignment vertical="center"/>
    </xf>
    <xf numFmtId="0" fontId="0" fillId="0" borderId="7" xfId="0" applyFont="1" applyFill="1" applyBorder="1" applyAlignment="1">
      <alignment vertical="center" wrapText="1"/>
    </xf>
    <xf numFmtId="0" fontId="0" fillId="0" borderId="7" xfId="0" applyBorder="1" applyAlignment="1">
      <alignment vertical="center" wrapText="1"/>
    </xf>
    <xf numFmtId="0" fontId="0" fillId="0" borderId="7" xfId="0" applyBorder="1" applyAlignment="1">
      <alignment vertical="center"/>
    </xf>
    <xf numFmtId="0" fontId="0" fillId="0" borderId="9" xfId="0" applyBorder="1" applyAlignment="1">
      <alignment vertical="center" wrapText="1"/>
    </xf>
    <xf numFmtId="0" fontId="0" fillId="2" borderId="0" xfId="0" applyFill="1" applyAlignment="1" applyProtection="1">
      <alignment vertical="center"/>
    </xf>
    <xf numFmtId="0" fontId="4" fillId="2" borderId="0" xfId="0" applyFont="1" applyFill="1" applyAlignment="1" applyProtection="1">
      <alignment vertical="center" wrapText="1"/>
    </xf>
    <xf numFmtId="0" fontId="0" fillId="2" borderId="0" xfId="0" applyFill="1" applyAlignment="1" applyProtection="1">
      <alignment vertical="center" wrapText="1"/>
    </xf>
    <xf numFmtId="14" fontId="0" fillId="0" borderId="7" xfId="0" applyNumberFormat="1" applyBorder="1" applyAlignment="1">
      <alignment vertical="center" wrapText="1"/>
    </xf>
    <xf numFmtId="0" fontId="0" fillId="8" borderId="0" xfId="0" applyFill="1" applyAlignment="1">
      <alignment vertical="center" wrapText="1"/>
    </xf>
    <xf numFmtId="0" fontId="1" fillId="2" borderId="0" xfId="0" applyFont="1" applyFill="1"/>
    <xf numFmtId="0" fontId="0" fillId="8" borderId="0" xfId="0" applyFill="1"/>
    <xf numFmtId="0" fontId="0" fillId="12" borderId="10" xfId="0" applyFill="1" applyBorder="1" applyAlignment="1" applyProtection="1">
      <alignment vertical="center"/>
    </xf>
    <xf numFmtId="0" fontId="0" fillId="12" borderId="11" xfId="0" applyFill="1" applyBorder="1" applyAlignment="1" applyProtection="1">
      <alignment vertical="center"/>
    </xf>
    <xf numFmtId="0" fontId="0" fillId="0" borderId="5" xfId="0" applyBorder="1" applyAlignment="1">
      <alignment vertical="center"/>
    </xf>
    <xf numFmtId="0" fontId="0" fillId="2" borderId="0" xfId="0" applyFill="1"/>
    <xf numFmtId="0" fontId="11" fillId="2" borderId="0" xfId="0" applyFont="1" applyFill="1" applyAlignment="1">
      <alignment vertical="center"/>
    </xf>
    <xf numFmtId="1" fontId="0" fillId="0" borderId="0" xfId="0" applyNumberFormat="1"/>
    <xf numFmtId="0" fontId="1" fillId="17" borderId="0" xfId="0" applyFont="1" applyFill="1"/>
    <xf numFmtId="0" fontId="0" fillId="8" borderId="7" xfId="0" applyFill="1" applyBorder="1" applyAlignment="1">
      <alignment vertical="center" wrapText="1"/>
    </xf>
    <xf numFmtId="0" fontId="0" fillId="0" borderId="0" xfId="0" applyBorder="1" applyAlignment="1">
      <alignment vertical="center"/>
    </xf>
    <xf numFmtId="14" fontId="0" fillId="0" borderId="0" xfId="0" applyNumberFormat="1" applyBorder="1" applyAlignment="1">
      <alignment vertical="center" wrapText="1"/>
    </xf>
    <xf numFmtId="0" fontId="0" fillId="0" borderId="0" xfId="0" applyFont="1" applyFill="1" applyBorder="1" applyAlignment="1">
      <alignment vertical="center" wrapText="1"/>
    </xf>
    <xf numFmtId="0" fontId="0" fillId="0" borderId="0" xfId="0" applyBorder="1" applyAlignment="1">
      <alignment vertical="center" wrapText="1"/>
    </xf>
    <xf numFmtId="1" fontId="1" fillId="17" borderId="0" xfId="0" applyNumberFormat="1" applyFont="1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15" borderId="0" xfId="0" applyFill="1" applyAlignment="1">
      <alignment horizontal="left"/>
    </xf>
    <xf numFmtId="0" fontId="0" fillId="15" borderId="0" xfId="0" applyNumberFormat="1" applyFill="1"/>
    <xf numFmtId="0" fontId="12" fillId="2" borderId="12" xfId="0" applyFont="1" applyFill="1" applyBorder="1"/>
    <xf numFmtId="1" fontId="13" fillId="8" borderId="10" xfId="0" applyNumberFormat="1" applyFont="1" applyFill="1" applyBorder="1"/>
    <xf numFmtId="10" fontId="0" fillId="0" borderId="0" xfId="0" applyNumberFormat="1"/>
    <xf numFmtId="0" fontId="0" fillId="10" borderId="0" xfId="0" applyFill="1" applyAlignment="1">
      <alignment vertical="center"/>
    </xf>
    <xf numFmtId="0" fontId="0" fillId="18" borderId="0" xfId="0" applyFill="1"/>
    <xf numFmtId="0" fontId="0" fillId="18" borderId="0" xfId="0" applyFill="1" applyAlignment="1">
      <alignment vertical="center"/>
    </xf>
    <xf numFmtId="0" fontId="0" fillId="19" borderId="0" xfId="0" applyFill="1" applyAlignment="1">
      <alignment vertical="center"/>
    </xf>
    <xf numFmtId="0" fontId="0" fillId="20" borderId="0" xfId="0" applyFill="1" applyAlignment="1">
      <alignment vertical="center"/>
    </xf>
    <xf numFmtId="0" fontId="9" fillId="0" borderId="16" xfId="1" applyBorder="1" applyAlignment="1"/>
    <xf numFmtId="14" fontId="0" fillId="0" borderId="0" xfId="0" applyNumberFormat="1"/>
    <xf numFmtId="0" fontId="0" fillId="21" borderId="10" xfId="0" applyFill="1" applyBorder="1"/>
    <xf numFmtId="0" fontId="0" fillId="0" borderId="0" xfId="0" applyAlignment="1">
      <alignment textRotation="90"/>
    </xf>
    <xf numFmtId="0" fontId="0" fillId="0" borderId="0" xfId="0" applyAlignment="1">
      <alignment horizontal="center" textRotation="90"/>
    </xf>
    <xf numFmtId="0" fontId="17" fillId="22" borderId="0" xfId="0" applyFont="1" applyFill="1" applyAlignment="1">
      <alignment horizontal="center"/>
    </xf>
    <xf numFmtId="0" fontId="16" fillId="22" borderId="0" xfId="0" applyFont="1" applyFill="1" applyAlignment="1">
      <alignment horizontal="center"/>
    </xf>
    <xf numFmtId="0" fontId="9" fillId="23" borderId="16" xfId="1" applyFill="1" applyBorder="1"/>
    <xf numFmtId="0" fontId="0" fillId="23" borderId="7" xfId="0" applyFill="1" applyBorder="1" applyAlignment="1">
      <alignment vertical="center"/>
    </xf>
    <xf numFmtId="0" fontId="0" fillId="23" borderId="9" xfId="0" applyFill="1" applyBorder="1" applyAlignment="1">
      <alignment vertical="center" wrapText="1"/>
    </xf>
    <xf numFmtId="0" fontId="0" fillId="23" borderId="1" xfId="0" applyFill="1" applyBorder="1" applyAlignment="1">
      <alignment vertical="center"/>
    </xf>
    <xf numFmtId="0" fontId="0" fillId="23" borderId="5" xfId="0" applyFill="1" applyBorder="1" applyAlignment="1">
      <alignment vertical="center"/>
    </xf>
    <xf numFmtId="0" fontId="0" fillId="23" borderId="0" xfId="0" applyFill="1" applyAlignment="1">
      <alignment vertical="center"/>
    </xf>
    <xf numFmtId="0" fontId="4" fillId="15" borderId="1" xfId="0" applyFont="1" applyFill="1" applyBorder="1" applyAlignment="1">
      <alignment vertical="center"/>
    </xf>
    <xf numFmtId="0" fontId="9" fillId="23" borderId="16" xfId="1" applyFill="1" applyBorder="1" applyAlignment="1"/>
    <xf numFmtId="14" fontId="0" fillId="23" borderId="7" xfId="0" applyNumberFormat="1" applyFill="1" applyBorder="1" applyAlignment="1">
      <alignment vertical="center" wrapText="1"/>
    </xf>
    <xf numFmtId="0" fontId="0" fillId="23" borderId="7" xfId="0" applyFont="1" applyFill="1" applyBorder="1" applyAlignment="1">
      <alignment vertical="center" wrapText="1"/>
    </xf>
    <xf numFmtId="0" fontId="0" fillId="23" borderId="7" xfId="0" applyFill="1" applyBorder="1" applyAlignment="1">
      <alignment vertical="center" wrapText="1"/>
    </xf>
    <xf numFmtId="0" fontId="0" fillId="15" borderId="1" xfId="0" applyFill="1" applyBorder="1" applyAlignment="1">
      <alignment vertical="center"/>
    </xf>
    <xf numFmtId="0" fontId="4" fillId="23" borderId="0" xfId="0" applyFont="1" applyFill="1" applyAlignment="1">
      <alignment vertical="center"/>
    </xf>
    <xf numFmtId="0" fontId="4" fillId="23" borderId="7" xfId="0" applyFont="1" applyFill="1" applyBorder="1" applyAlignment="1">
      <alignment vertical="center"/>
    </xf>
    <xf numFmtId="14" fontId="4" fillId="23" borderId="7" xfId="0" applyNumberFormat="1" applyFont="1" applyFill="1" applyBorder="1" applyAlignment="1">
      <alignment vertical="center" wrapText="1"/>
    </xf>
    <xf numFmtId="0" fontId="4" fillId="23" borderId="7" xfId="0" applyFont="1" applyFill="1" applyBorder="1" applyAlignment="1">
      <alignment vertical="center" wrapText="1"/>
    </xf>
    <xf numFmtId="0" fontId="4" fillId="23" borderId="9" xfId="0" applyFont="1" applyFill="1" applyBorder="1" applyAlignment="1">
      <alignment vertical="center" wrapText="1"/>
    </xf>
    <xf numFmtId="0" fontId="4" fillId="23" borderId="5" xfId="0" applyFont="1" applyFill="1" applyBorder="1" applyAlignment="1">
      <alignment vertical="center"/>
    </xf>
    <xf numFmtId="0" fontId="18" fillId="23" borderId="16" xfId="1" applyFont="1" applyFill="1" applyBorder="1" applyAlignment="1"/>
    <xf numFmtId="0" fontId="9" fillId="23" borderId="7" xfId="1" applyFill="1" applyBorder="1" applyAlignment="1"/>
    <xf numFmtId="0" fontId="9" fillId="23" borderId="16" xfId="1" applyFill="1" applyBorder="1" applyAlignment="1">
      <alignment vertical="center"/>
    </xf>
    <xf numFmtId="0" fontId="0" fillId="15" borderId="1" xfId="0" applyFont="1" applyFill="1" applyBorder="1" applyAlignment="1">
      <alignment vertical="center"/>
    </xf>
    <xf numFmtId="0" fontId="9" fillId="23" borderId="18" xfId="1" applyFill="1" applyBorder="1" applyAlignment="1"/>
    <xf numFmtId="0" fontId="9" fillId="23" borderId="17" xfId="1" applyFill="1" applyBorder="1" applyAlignment="1">
      <alignment vertical="center" wrapText="1"/>
    </xf>
    <xf numFmtId="0" fontId="9" fillId="23" borderId="7" xfId="1" applyFill="1" applyBorder="1" applyAlignment="1">
      <alignment vertical="center" wrapText="1"/>
    </xf>
    <xf numFmtId="0" fontId="1" fillId="23" borderId="7" xfId="0" applyFont="1" applyFill="1" applyBorder="1" applyAlignment="1">
      <alignment vertical="center"/>
    </xf>
    <xf numFmtId="14" fontId="1" fillId="23" borderId="7" xfId="0" applyNumberFormat="1" applyFont="1" applyFill="1" applyBorder="1" applyAlignment="1">
      <alignment vertical="center" wrapText="1"/>
    </xf>
    <xf numFmtId="0" fontId="9" fillId="23" borderId="7" xfId="1" applyFill="1" applyBorder="1" applyAlignment="1">
      <alignment wrapText="1"/>
    </xf>
    <xf numFmtId="0" fontId="1" fillId="23" borderId="7" xfId="0" applyFont="1" applyFill="1" applyBorder="1"/>
    <xf numFmtId="0" fontId="0" fillId="23" borderId="7" xfId="0" applyFill="1" applyBorder="1" applyAlignment="1">
      <alignment wrapText="1"/>
    </xf>
    <xf numFmtId="0" fontId="0" fillId="23" borderId="9" xfId="0" applyFill="1" applyBorder="1" applyAlignment="1">
      <alignment wrapText="1"/>
    </xf>
    <xf numFmtId="0" fontId="0" fillId="23" borderId="1" xfId="0" applyFill="1" applyBorder="1"/>
    <xf numFmtId="0" fontId="0" fillId="23" borderId="7" xfId="0" applyFont="1" applyFill="1" applyBorder="1" applyAlignment="1">
      <alignment wrapText="1"/>
    </xf>
    <xf numFmtId="0" fontId="1" fillId="23" borderId="7" xfId="0" applyFont="1" applyFill="1" applyBorder="1" applyAlignment="1">
      <alignment vertical="center" wrapText="1"/>
    </xf>
    <xf numFmtId="0" fontId="15" fillId="23" borderId="7" xfId="1" applyFont="1" applyFill="1" applyBorder="1" applyAlignment="1">
      <alignment wrapText="1"/>
    </xf>
    <xf numFmtId="0" fontId="15" fillId="23" borderId="7" xfId="1" applyFont="1" applyFill="1" applyBorder="1" applyAlignment="1">
      <alignment vertical="center" wrapText="1"/>
    </xf>
    <xf numFmtId="3" fontId="0" fillId="23" borderId="1" xfId="0" applyNumberFormat="1" applyFill="1" applyBorder="1" applyAlignment="1">
      <alignment vertical="center"/>
    </xf>
    <xf numFmtId="0" fontId="9" fillId="23" borderId="0" xfId="1" applyFill="1" applyBorder="1" applyAlignment="1">
      <alignment vertical="center" wrapText="1"/>
    </xf>
    <xf numFmtId="0" fontId="9" fillId="23" borderId="0" xfId="1" applyFill="1" applyBorder="1" applyAlignment="1">
      <alignment wrapText="1"/>
    </xf>
    <xf numFmtId="0" fontId="15" fillId="23" borderId="0" xfId="1" applyFont="1" applyFill="1" applyBorder="1" applyAlignment="1">
      <alignment wrapText="1"/>
    </xf>
    <xf numFmtId="0" fontId="9" fillId="23" borderId="0" xfId="1" applyFill="1" applyBorder="1"/>
    <xf numFmtId="0" fontId="1" fillId="23" borderId="0" xfId="0" applyFont="1" applyFill="1" applyBorder="1" applyAlignment="1">
      <alignment vertical="center"/>
    </xf>
    <xf numFmtId="0" fontId="15" fillId="23" borderId="0" xfId="1" applyFont="1" applyFill="1" applyBorder="1"/>
    <xf numFmtId="0" fontId="10" fillId="2" borderId="0" xfId="0" applyFont="1" applyFill="1" applyAlignment="1">
      <alignment horizontal="center"/>
    </xf>
    <xf numFmtId="0" fontId="0" fillId="0" borderId="0" xfId="0" applyFill="1" applyAlignment="1">
      <alignment horizontal="left"/>
    </xf>
    <xf numFmtId="0" fontId="0" fillId="0" borderId="0" xfId="0" applyNumberFormat="1" applyFill="1"/>
    <xf numFmtId="0" fontId="12" fillId="2" borderId="0" xfId="0" applyFont="1" applyFill="1"/>
    <xf numFmtId="0" fontId="12" fillId="2" borderId="0" xfId="0" applyFont="1" applyFill="1" applyAlignment="1">
      <alignment horizontal="center"/>
    </xf>
    <xf numFmtId="1" fontId="0" fillId="24" borderId="0" xfId="0" applyNumberFormat="1" applyFill="1"/>
    <xf numFmtId="1" fontId="0" fillId="14" borderId="0" xfId="0" applyNumberFormat="1" applyFill="1"/>
    <xf numFmtId="1" fontId="0" fillId="13" borderId="0" xfId="0" applyNumberFormat="1" applyFill="1"/>
    <xf numFmtId="10" fontId="22" fillId="2" borderId="0" xfId="0" applyNumberFormat="1" applyFont="1" applyFill="1"/>
    <xf numFmtId="164" fontId="10" fillId="2" borderId="0" xfId="2" applyNumberFormat="1" applyFont="1" applyFill="1" applyAlignment="1">
      <alignment horizontal="center"/>
    </xf>
    <xf numFmtId="164" fontId="0" fillId="0" borderId="0" xfId="0" applyNumberFormat="1"/>
    <xf numFmtId="9" fontId="26" fillId="2" borderId="0" xfId="2" applyFont="1" applyFill="1" applyAlignment="1">
      <alignment horizontal="center"/>
    </xf>
    <xf numFmtId="0" fontId="9" fillId="23" borderId="0" xfId="1" applyFill="1" applyBorder="1" applyAlignment="1"/>
    <xf numFmtId="9" fontId="1" fillId="2" borderId="0" xfId="2" applyFont="1" applyFill="1" applyAlignment="1">
      <alignment horizontal="center"/>
    </xf>
    <xf numFmtId="0" fontId="9" fillId="0" borderId="16" xfId="1" applyBorder="1"/>
    <xf numFmtId="0" fontId="9" fillId="0" borderId="0" xfId="1" applyBorder="1" applyAlignment="1"/>
    <xf numFmtId="0" fontId="0" fillId="0" borderId="7" xfId="0" applyBorder="1"/>
    <xf numFmtId="0" fontId="9" fillId="0" borderId="0" xfId="1" applyBorder="1"/>
    <xf numFmtId="0" fontId="9" fillId="0" borderId="7" xfId="1" applyBorder="1" applyAlignment="1">
      <alignment vertical="center" wrapText="1"/>
    </xf>
    <xf numFmtId="1" fontId="0" fillId="26" borderId="0" xfId="0" applyNumberFormat="1" applyFill="1"/>
    <xf numFmtId="0" fontId="9" fillId="0" borderId="0" xfId="1" applyBorder="1" applyAlignment="1">
      <alignment vertical="center" wrapText="1"/>
    </xf>
    <xf numFmtId="14" fontId="0" fillId="0" borderId="7" xfId="0" applyNumberFormat="1" applyBorder="1" applyAlignment="1">
      <alignment vertical="center"/>
    </xf>
    <xf numFmtId="0" fontId="9" fillId="0" borderId="17" xfId="1" applyBorder="1" applyAlignment="1">
      <alignment vertical="center" wrapText="1"/>
    </xf>
    <xf numFmtId="0" fontId="9" fillId="0" borderId="7" xfId="1" applyBorder="1" applyAlignment="1">
      <alignment vertical="center"/>
    </xf>
    <xf numFmtId="0" fontId="12" fillId="2" borderId="12" xfId="0" applyFont="1" applyFill="1" applyBorder="1" applyAlignment="1">
      <alignment wrapText="1"/>
    </xf>
    <xf numFmtId="1" fontId="13" fillId="8" borderId="10" xfId="0" applyNumberFormat="1" applyFont="1" applyFill="1" applyBorder="1" applyAlignment="1">
      <alignment horizontal="center" vertical="center"/>
    </xf>
    <xf numFmtId="0" fontId="0" fillId="21" borderId="15" xfId="0" applyFill="1" applyBorder="1" applyAlignment="1">
      <alignment horizontal="center" vertical="center"/>
    </xf>
    <xf numFmtId="0" fontId="17" fillId="2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indent="1"/>
    </xf>
    <xf numFmtId="9" fontId="0" fillId="0" borderId="0" xfId="0" applyNumberFormat="1"/>
    <xf numFmtId="9" fontId="0" fillId="0" borderId="0" xfId="2" applyFont="1"/>
    <xf numFmtId="9" fontId="0" fillId="13" borderId="0" xfId="2" applyFont="1" applyFill="1"/>
    <xf numFmtId="9" fontId="0" fillId="14" borderId="0" xfId="2" applyFont="1" applyFill="1"/>
    <xf numFmtId="0" fontId="3" fillId="13" borderId="13" xfId="0" applyFont="1" applyFill="1" applyBorder="1" applyAlignment="1" applyProtection="1">
      <alignment horizontal="center" vertical="center" wrapText="1"/>
    </xf>
    <xf numFmtId="0" fontId="3" fillId="14" borderId="13" xfId="0" applyFont="1" applyFill="1" applyBorder="1" applyAlignment="1" applyProtection="1">
      <alignment horizontal="center" vertical="center" wrapText="1"/>
    </xf>
    <xf numFmtId="0" fontId="3" fillId="3" borderId="13" xfId="0" applyFont="1" applyFill="1" applyBorder="1" applyAlignment="1" applyProtection="1">
      <alignment horizontal="center" vertical="center" wrapText="1"/>
    </xf>
    <xf numFmtId="0" fontId="3" fillId="4" borderId="13" xfId="0" applyFont="1" applyFill="1" applyBorder="1" applyAlignment="1" applyProtection="1">
      <alignment horizontal="center" vertical="center" wrapText="1"/>
    </xf>
    <xf numFmtId="0" fontId="3" fillId="5" borderId="13" xfId="0" applyFont="1" applyFill="1" applyBorder="1" applyAlignment="1" applyProtection="1">
      <alignment horizontal="center" vertical="center" wrapText="1"/>
    </xf>
    <xf numFmtId="0" fontId="3" fillId="6" borderId="13" xfId="0" applyFont="1" applyFill="1" applyBorder="1" applyAlignment="1" applyProtection="1">
      <alignment horizontal="center" vertical="center" wrapText="1"/>
    </xf>
    <xf numFmtId="0" fontId="3" fillId="7" borderId="13" xfId="0" applyFont="1" applyFill="1" applyBorder="1" applyAlignment="1" applyProtection="1">
      <alignment horizontal="center" vertical="center" wrapText="1"/>
    </xf>
    <xf numFmtId="0" fontId="7" fillId="8" borderId="0" xfId="0" applyFont="1" applyFill="1" applyAlignment="1" applyProtection="1">
      <alignment horizontal="center" vertical="center" wrapText="1"/>
    </xf>
    <xf numFmtId="0" fontId="7" fillId="8" borderId="4" xfId="0" applyFont="1" applyFill="1" applyBorder="1" applyAlignment="1" applyProtection="1">
      <alignment horizontal="center" vertical="center" wrapText="1"/>
    </xf>
    <xf numFmtId="0" fontId="7" fillId="8" borderId="6" xfId="0" applyFont="1" applyFill="1" applyBorder="1" applyAlignment="1" applyProtection="1">
      <alignment horizontal="center" vertical="center" wrapText="1"/>
    </xf>
    <xf numFmtId="0" fontId="7" fillId="8" borderId="3" xfId="0" applyFont="1" applyFill="1" applyBorder="1" applyAlignment="1" applyProtection="1">
      <alignment horizontal="center" vertical="center" wrapText="1"/>
    </xf>
    <xf numFmtId="0" fontId="7" fillId="8" borderId="1" xfId="0" applyFont="1" applyFill="1" applyBorder="1" applyAlignment="1" applyProtection="1">
      <alignment horizontal="center" vertical="center"/>
    </xf>
    <xf numFmtId="0" fontId="7" fillId="8" borderId="2" xfId="0" applyFont="1" applyFill="1" applyBorder="1" applyAlignment="1" applyProtection="1">
      <alignment horizontal="center" vertical="center"/>
    </xf>
    <xf numFmtId="9" fontId="22" fillId="2" borderId="0" xfId="0" applyNumberFormat="1" applyFont="1" applyFill="1"/>
    <xf numFmtId="0" fontId="2" fillId="11" borderId="10" xfId="0" applyFont="1" applyFill="1" applyBorder="1" applyAlignment="1" applyProtection="1">
      <alignment horizontal="center" vertical="center"/>
    </xf>
    <xf numFmtId="0" fontId="2" fillId="11" borderId="11" xfId="0" applyFont="1" applyFill="1" applyBorder="1" applyAlignment="1" applyProtection="1">
      <alignment horizontal="center" vertical="center"/>
    </xf>
    <xf numFmtId="0" fontId="2" fillId="8" borderId="10" xfId="0" applyFont="1" applyFill="1" applyBorder="1" applyAlignment="1" applyProtection="1">
      <alignment horizontal="center" vertical="center"/>
    </xf>
    <xf numFmtId="0" fontId="2" fillId="8" borderId="15" xfId="0" applyFont="1" applyFill="1" applyBorder="1" applyAlignment="1" applyProtection="1">
      <alignment horizontal="center" vertical="center"/>
    </xf>
    <xf numFmtId="0" fontId="2" fillId="8" borderId="11" xfId="0" applyFont="1" applyFill="1" applyBorder="1" applyAlignment="1" applyProtection="1">
      <alignment horizontal="center" vertical="center"/>
    </xf>
    <xf numFmtId="0" fontId="2" fillId="8" borderId="8" xfId="0" applyFont="1" applyFill="1" applyBorder="1" applyAlignment="1" applyProtection="1">
      <alignment horizontal="center" vertical="center"/>
    </xf>
    <xf numFmtId="0" fontId="2" fillId="8" borderId="0" xfId="0" applyFont="1" applyFill="1" applyBorder="1" applyAlignment="1" applyProtection="1">
      <alignment horizontal="center" vertical="center"/>
    </xf>
    <xf numFmtId="0" fontId="2" fillId="9" borderId="10" xfId="0" applyFont="1" applyFill="1" applyBorder="1" applyAlignment="1" applyProtection="1">
      <alignment horizontal="center" vertical="center"/>
    </xf>
    <xf numFmtId="0" fontId="2" fillId="9" borderId="15" xfId="0" applyFont="1" applyFill="1" applyBorder="1" applyAlignment="1" applyProtection="1">
      <alignment horizontal="center" vertical="center"/>
    </xf>
    <xf numFmtId="0" fontId="2" fillId="9" borderId="11" xfId="0" applyFont="1" applyFill="1" applyBorder="1" applyAlignment="1" applyProtection="1">
      <alignment horizontal="center" vertical="center"/>
    </xf>
    <xf numFmtId="0" fontId="2" fillId="8" borderId="0" xfId="0" applyFont="1" applyFill="1" applyAlignment="1">
      <alignment horizontal="center" vertical="center" wrapText="1"/>
    </xf>
    <xf numFmtId="0" fontId="8" fillId="0" borderId="0" xfId="0" applyFont="1" applyAlignment="1">
      <alignment horizontal="center"/>
    </xf>
    <xf numFmtId="0" fontId="7" fillId="16" borderId="0" xfId="0" applyFont="1" applyFill="1" applyAlignment="1">
      <alignment horizontal="center" vertical="center" wrapText="1"/>
    </xf>
    <xf numFmtId="0" fontId="10" fillId="2" borderId="0" xfId="0" applyFont="1" applyFill="1" applyAlignment="1">
      <alignment horizontal="center"/>
    </xf>
    <xf numFmtId="0" fontId="7" fillId="16" borderId="0" xfId="0" applyFont="1" applyFill="1" applyAlignment="1">
      <alignment horizontal="center" wrapText="1"/>
    </xf>
    <xf numFmtId="0" fontId="7" fillId="16" borderId="0" xfId="0" applyFont="1" applyFill="1" applyAlignment="1">
      <alignment horizontal="center"/>
    </xf>
    <xf numFmtId="9" fontId="0" fillId="0" borderId="0" xfId="0" applyNumberFormat="1" applyAlignment="1">
      <alignment horizontal="center"/>
    </xf>
    <xf numFmtId="0" fontId="14" fillId="0" borderId="13" xfId="0" applyFont="1" applyBorder="1" applyAlignment="1">
      <alignment horizontal="center" vertical="center" wrapText="1"/>
    </xf>
    <xf numFmtId="0" fontId="14" fillId="0" borderId="14" xfId="0" applyFont="1" applyBorder="1" applyAlignment="1">
      <alignment horizontal="center" vertical="center" wrapText="1"/>
    </xf>
    <xf numFmtId="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1" fillId="2" borderId="0" xfId="0" applyFont="1" applyFill="1" applyAlignment="1">
      <alignment horizontal="center"/>
    </xf>
    <xf numFmtId="10" fontId="0" fillId="0" borderId="0" xfId="0" applyNumberFormat="1" applyAlignment="1">
      <alignment horizontal="center"/>
    </xf>
    <xf numFmtId="0" fontId="23" fillId="25" borderId="0" xfId="0" applyFont="1" applyFill="1" applyAlignment="1">
      <alignment horizontal="center" vertical="center" textRotation="90" wrapText="1"/>
    </xf>
    <xf numFmtId="0" fontId="24" fillId="25" borderId="0" xfId="0" applyFont="1" applyFill="1" applyAlignment="1">
      <alignment horizontal="center" vertical="center" textRotation="90" wrapText="1"/>
    </xf>
    <xf numFmtId="0" fontId="25" fillId="8" borderId="0" xfId="0" applyFont="1" applyFill="1" applyAlignment="1">
      <alignment horizontal="center"/>
    </xf>
  </cellXfs>
  <cellStyles count="3">
    <cellStyle name="Hipervínculo" xfId="1" builtinId="8"/>
    <cellStyle name="Normal" xfId="0" builtinId="0"/>
    <cellStyle name="Porcentaje" xfId="2" builtinId="5"/>
  </cellStyles>
  <dxfs count="22"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colors>
    <mruColors>
      <color rgb="FF292929"/>
      <color rgb="FF4D4D4D"/>
      <color rgb="FF1C1C1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5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4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pivotCacheDefinition" Target="pivotCache/pivotCacheDefinition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3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2.xml"/><Relationship Id="rId28" Type="http://schemas.openxmlformats.org/officeDocument/2006/relationships/pivotCacheDefinition" Target="pivotCache/pivotCacheDefinition7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openxmlformats.org/officeDocument/2006/relationships/pivotCacheDefinition" Target="pivotCache/pivotCacheDefinition6.xml"/><Relationship Id="rId30" Type="http://schemas.openxmlformats.org/officeDocument/2006/relationships/pivotCacheDefinition" Target="pivotCache/pivotCacheDefinition9.xml"/><Relationship Id="rId35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152399</xdr:colOff>
      <xdr:row>0</xdr:row>
      <xdr:rowOff>142875</xdr:rowOff>
    </xdr:from>
    <xdr:to>
      <xdr:col>0</xdr:col>
      <xdr:colOff>1476560</xdr:colOff>
      <xdr:row>2</xdr:row>
      <xdr:rowOff>196272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399" y="142875"/>
          <a:ext cx="1324161" cy="675323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_rels/pivotCacheDefinition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guirre, David Aguirr (external - Temp Staff)" refreshedDate="42375.682239120368" createdVersion="5" refreshedVersion="5" minRefreshableVersion="3" recordCount="387">
  <cacheSource type="worksheet">
    <worksheetSource ref="A7:C391" sheet="Metrics - Articles"/>
  </cacheSource>
  <cacheFields count="3">
    <cacheField name="Title + Embedded Link  " numFmtId="0">
      <sharedItems containsBlank="1"/>
    </cacheField>
    <cacheField name="Owner" numFmtId="0">
      <sharedItems containsBlank="1" count="108">
        <m/>
        <s v="Michael Zipf"/>
        <s v="Paul Baur"/>
        <s v="Judith Magyar"/>
        <s v="Sarah Kellman"/>
        <s v="Phillip Klewitz"/>
        <s v="Paul Taylor"/>
        <s v="SAP News"/>
        <s v="Miriam Siebeking"/>
        <s v="Torsten Falk"/>
        <s v="Sarah Harvey"/>
        <s v="Cueneyt Cam"/>
        <s v="Agnes Biesiekierska"/>
        <s v="Richard Nikolic"/>
        <s v="Stephan Magura"/>
        <s v="Jennifer Alejandro"/>
        <s v="Susan Galer"/>
        <s v="John Pelle"/>
        <s v="Robin Meyerhoff"/>
        <s v="Courtney Robinson"/>
        <s v="Suan Jee Janice Ng"/>
        <s v="Christine Susanne Mueller"/>
        <s v="Building Bridges"/>
        <s v="Corinna Machmeier"/>
        <s v="Tibor Hornyak"/>
        <s v="Jerry Janda"/>
        <s v="Nicola Leske"/>
        <s v="Bettina Wunderle"/>
        <s v="Kesja Cichowski"/>
        <s v="Sonakishi Nandy"/>
        <s v="Lena Walther"/>
        <s v="Amira Polack"/>
        <s v="Christine Kubach"/>
        <s v="Jacqueline Prause"/>
        <s v="Jakob Braun"/>
        <s v="Marcus Krug"/>
        <s v="Anne Hardy"/>
        <s v="Teara Kuhn"/>
        <s v="Nadia Boyes"/>
        <s v="Ursula Kreuch"/>
        <s v="Susan Jee Janice Ng"/>
        <s v="Susan Orenstein"/>
        <s v="Andrea Diederichs"/>
        <s v="Anna Burkhadt"/>
        <s v="Diana Pauly"/>
        <s v="Emily Scorer"/>
        <s v="Debra Curtis-Magley"/>
        <s v="Tim Clark"/>
        <s v="Jenny Dearborn"/>
        <s v="Chistiane Kubach"/>
        <s v="Christine Donato"/>
        <s v="Anita Riegel"/>
        <s v="Diana Vega"/>
        <s v="Stephanie Rieder"/>
        <s v="Frederic Masse"/>
        <s v="Denise Broady"/>
        <s v="Perry Manross"/>
        <s v="Marcus Winkler"/>
        <s v="Alicia Lenze"/>
        <s v="Catherine Girardin"/>
        <s v="Molli Jordan"/>
        <s v="Charlotte Otter"/>
        <s v="Stephan Magura "/>
        <s v="Derek Klobucher"/>
        <s v="Andreas Schmitz"/>
        <s v="Richard Campbell"/>
        <s v="Cornelia Weiss-Justen"/>
        <s v="Mark Cheever"/>
        <s v="Kate Morgan"/>
        <s v="Tobias Essig"/>
        <s v="Arunima Kumar"/>
        <s v="Mike Ettling"/>
        <s v="Cindy McKendry"/>
        <s v="Angela Dunn"/>
        <s v="Vivek Bapat"/>
        <s v="Thomas Pohl"/>
        <s v="Angela Klose"/>
        <s v="Jane Gray"/>
        <s v="Renata Pompeu Pividal"/>
        <s v="Gillian Lindsell"/>
        <s v="Cecile Yasmin Schreyer"/>
        <s v="Stacy Eidson Comes"/>
        <s v="Caroline Kohout"/>
        <s v="Aidan Hyland"/>
        <s v="Jackie Montesinos Suarez"/>
        <s v="Tanja Schaetz-Kruft"/>
        <s v="Heidi Ferguson-Mueller"/>
        <s v="Stephan Kamps"/>
        <s v="Jeff Woods"/>
        <s v="Jhon Ward"/>
        <s v="Nadine Huelsen"/>
        <s v="Baerbel Schultz"/>
        <s v="Lynda Seger"/>
        <s v="Sam Yen"/>
        <s v="Thorsten Leiduck"/>
        <s v="Judith Magyar, Carolyn Coad"/>
        <s v="Patricia Crazzolara, Kesja Cichowski"/>
        <s v="Paul Baur, Alexander Januschke, Natalie Hauck"/>
        <s v="Michael Nuesslein "/>
        <s v="Judith Magyar "/>
        <s v="Corinna Machmeier "/>
        <s v="Jon Leiberman"/>
        <s v="Steve Lucas, Jon Leiberman "/>
        <s v="Robin Meyerhoff "/>
        <s v="Stephan Magura, Thomas Leonhardi "/>
        <s v="Paul Baur, Natalie Hauck, Alexander Januschke "/>
        <s v="Megan Meany"/>
        <s v="Renata Pompeu Pividal, Robin Meyerhoff"/>
      </sharedItems>
    </cacheField>
    <cacheField name="Date" numFmtId="0">
      <sharedItems containsNonDate="0" containsDate="1" containsString="0" containsBlank="1" minDate="2015-01-01T00:00:00" maxDate="2015-12-24T00:00:00" count="213">
        <m/>
        <d v="2015-01-01T00:00:00"/>
        <d v="2015-01-02T00:00:00"/>
        <d v="2015-01-05T00:00:00"/>
        <d v="2015-01-06T00:00:00"/>
        <d v="2015-01-09T00:00:00"/>
        <d v="2015-01-12T00:00:00"/>
        <d v="2015-01-15T00:00:00"/>
        <d v="2015-01-16T00:00:00"/>
        <d v="2015-01-19T00:00:00"/>
        <d v="2015-01-20T00:00:00"/>
        <d v="2015-01-21T00:00:00"/>
        <d v="2015-01-22T00:00:00"/>
        <d v="2015-01-23T00:00:00"/>
        <d v="2015-01-26T00:00:00"/>
        <d v="2015-01-27T00:00:00"/>
        <d v="2015-01-28T00:00:00"/>
        <d v="2015-01-29T00:00:00"/>
        <d v="2015-01-30T00:00:00"/>
        <d v="2015-02-01T00:00:00"/>
        <d v="2015-02-02T00:00:00"/>
        <d v="2015-02-03T00:00:00"/>
        <d v="2015-02-05T00:00:00"/>
        <d v="2015-02-06T00:00:00"/>
        <d v="2015-02-11T00:00:00"/>
        <d v="2015-02-12T00:00:00"/>
        <d v="2015-02-13T00:00:00"/>
        <d v="2015-02-16T00:00:00"/>
        <d v="2015-02-17T00:00:00"/>
        <d v="2015-02-18T00:00:00"/>
        <d v="2015-02-20T00:00:00"/>
        <d v="2015-02-21T00:00:00"/>
        <d v="2015-02-23T00:00:00"/>
        <d v="2015-02-24T00:00:00"/>
        <d v="2015-02-25T00:00:00"/>
        <d v="2015-02-26T00:00:00"/>
        <d v="2015-02-27T00:00:00"/>
        <d v="2015-03-02T00:00:00"/>
        <d v="2015-03-03T00:00:00"/>
        <d v="2015-03-04T00:00:00"/>
        <d v="2015-03-05T00:00:00"/>
        <d v="2015-03-06T00:00:00"/>
        <d v="2015-03-10T00:00:00"/>
        <d v="2015-03-11T00:00:00"/>
        <d v="2015-03-12T00:00:00"/>
        <d v="2015-03-13T00:00:00"/>
        <d v="2015-03-16T00:00:00"/>
        <d v="2015-03-17T00:00:00"/>
        <d v="2015-03-18T00:00:00"/>
        <d v="2015-03-19T00:00:00"/>
        <d v="2015-03-20T00:00:00"/>
        <d v="2015-03-23T00:00:00"/>
        <d v="2015-03-24T00:00:00"/>
        <d v="2015-03-25T00:00:00"/>
        <d v="2015-03-26T00:00:00"/>
        <d v="2015-03-30T00:00:00"/>
        <d v="2015-03-31T00:00:00"/>
        <d v="2015-04-01T00:00:00"/>
        <d v="2015-04-02T00:00:00"/>
        <d v="2015-04-07T00:00:00"/>
        <d v="2015-04-08T00:00:00"/>
        <d v="2015-04-09T00:00:00"/>
        <d v="2015-04-13T00:00:00"/>
        <d v="2015-04-14T00:00:00"/>
        <d v="2015-04-15T00:00:00"/>
        <d v="2015-04-16T00:00:00"/>
        <d v="2015-04-17T00:00:00"/>
        <d v="2015-04-20T00:00:00"/>
        <d v="2015-04-21T00:00:00"/>
        <d v="2015-04-22T00:00:00"/>
        <d v="2015-04-23T00:00:00"/>
        <d v="2015-04-24T00:00:00"/>
        <d v="2015-04-27T00:00:00"/>
        <d v="2015-04-28T00:00:00"/>
        <d v="2015-04-29T00:00:00"/>
        <d v="2015-04-30T00:00:00"/>
        <d v="2015-05-01T00:00:00"/>
        <d v="2015-05-04T00:00:00"/>
        <d v="2015-05-06T00:00:00"/>
        <d v="2015-05-07T00:00:00"/>
        <d v="2015-05-08T00:00:00"/>
        <d v="2015-05-10T00:00:00"/>
        <d v="2015-05-13T00:00:00"/>
        <d v="2015-05-14T00:00:00"/>
        <d v="2015-05-15T00:00:00"/>
        <d v="2015-05-18T00:00:00"/>
        <d v="2015-05-19T00:00:00"/>
        <d v="2015-05-20T00:00:00"/>
        <d v="2015-05-22T00:00:00"/>
        <d v="2015-05-25T00:00:00"/>
        <d v="2015-05-26T00:00:00"/>
        <d v="2015-05-27T00:00:00"/>
        <d v="2015-05-28T00:00:00"/>
        <d v="2015-05-29T00:00:00"/>
        <d v="2015-06-01T00:00:00"/>
        <d v="2015-06-02T00:00:00"/>
        <d v="2015-06-03T00:00:00"/>
        <d v="2015-06-04T00:00:00"/>
        <d v="2015-06-08T00:00:00"/>
        <d v="2015-06-09T00:00:00"/>
        <d v="2015-06-10T00:00:00"/>
        <d v="2015-06-11T00:00:00"/>
        <d v="2015-06-15T00:00:00"/>
        <d v="2015-06-16T00:00:00"/>
        <d v="2015-06-17T00:00:00"/>
        <d v="2015-06-18T00:00:00"/>
        <d v="2015-06-22T00:00:00"/>
        <d v="2015-06-23T00:00:00"/>
        <d v="2015-06-24T00:00:00"/>
        <d v="2015-06-25T00:00:00"/>
        <d v="2015-06-26T00:00:00"/>
        <d v="2015-06-29T00:00:00"/>
        <d v="2015-07-01T00:00:00"/>
        <d v="2015-07-02T00:00:00"/>
        <d v="2015-07-03T00:00:00"/>
        <d v="2015-07-06T00:00:00"/>
        <d v="2015-07-07T00:00:00"/>
        <d v="2015-07-09T00:00:00"/>
        <d v="2015-07-10T00:00:00"/>
        <d v="2015-07-13T00:00:00"/>
        <d v="2015-07-14T00:00:00"/>
        <d v="2015-07-15T00:00:00"/>
        <d v="2015-07-16T00:00:00"/>
        <d v="2015-07-17T00:00:00"/>
        <d v="2015-07-20T00:00:00"/>
        <d v="2015-07-21T00:00:00"/>
        <d v="2015-07-22T00:00:00"/>
        <d v="2015-07-23T00:00:00"/>
        <d v="2015-07-24T00:00:00"/>
        <d v="2015-07-27T00:00:00"/>
        <d v="2015-07-28T00:00:00"/>
        <d v="2015-07-29T00:00:00"/>
        <d v="2015-07-30T00:00:00"/>
        <d v="2015-07-31T00:00:00"/>
        <d v="2015-08-03T00:00:00"/>
        <d v="2015-08-04T00:00:00"/>
        <d v="2015-08-05T00:00:00"/>
        <d v="2015-08-06T00:00:00"/>
        <d v="2015-08-07T00:00:00"/>
        <d v="2015-08-10T00:00:00"/>
        <d v="2015-08-11T00:00:00"/>
        <d v="2015-08-12T00:00:00"/>
        <d v="2015-08-13T00:00:00"/>
        <d v="2015-08-17T00:00:00"/>
        <d v="2015-08-18T00:00:00"/>
        <d v="2015-08-19T00:00:00"/>
        <d v="2015-08-20T00:00:00"/>
        <d v="2015-08-21T00:00:00"/>
        <d v="2015-08-24T00:00:00"/>
        <d v="2015-08-25T00:00:00"/>
        <d v="2015-08-26T00:00:00"/>
        <d v="2015-08-28T00:00:00"/>
        <d v="2015-08-31T00:00:00"/>
        <d v="2015-09-01T00:00:00"/>
        <d v="2015-09-03T00:00:00"/>
        <d v="2015-09-08T00:00:00"/>
        <d v="2015-09-09T00:00:00"/>
        <d v="2015-09-10T00:00:00"/>
        <d v="2015-09-11T00:00:00"/>
        <d v="2015-09-14T00:00:00"/>
        <d v="2015-09-15T00:00:00"/>
        <d v="2015-09-16T00:00:00"/>
        <d v="2015-09-17T00:00:00"/>
        <d v="2015-09-22T00:00:00"/>
        <d v="2015-09-23T00:00:00"/>
        <d v="2015-09-25T00:00:00"/>
        <d v="2015-09-28T00:00:00"/>
        <d v="2015-09-29T00:00:00"/>
        <d v="2015-09-30T00:00:00"/>
        <d v="2015-10-01T00:00:00"/>
        <d v="2015-10-08T00:00:00"/>
        <d v="2015-10-09T00:00:00"/>
        <d v="2015-10-12T00:00:00"/>
        <d v="2015-10-13T00:00:00"/>
        <d v="2015-10-15T00:00:00"/>
        <d v="2015-10-16T00:00:00"/>
        <d v="2015-10-19T00:00:00"/>
        <d v="2015-10-20T00:00:00"/>
        <d v="2015-10-21T00:00:00"/>
        <d v="2015-10-22T00:00:00"/>
        <d v="2015-10-23T00:00:00"/>
        <d v="2015-10-28T00:00:00"/>
        <d v="2015-11-01T00:00:00"/>
        <d v="2015-11-04T00:00:00"/>
        <d v="2015-11-06T00:00:00"/>
        <d v="2015-11-10T00:00:00"/>
        <d v="2015-11-11T00:00:00"/>
        <d v="2015-11-12T00:00:00"/>
        <d v="2015-11-14T00:00:00"/>
        <d v="2015-11-17T00:00:00"/>
        <d v="2015-11-20T00:00:00"/>
        <d v="2015-11-23T00:00:00"/>
        <d v="2015-11-24T00:00:00"/>
        <d v="2015-11-25T00:00:00"/>
        <d v="2015-11-27T00:00:00"/>
        <d v="2015-11-30T00:00:00"/>
        <d v="2015-12-02T00:00:00"/>
        <d v="2015-12-03T00:00:00"/>
        <d v="2015-12-04T00:00:00"/>
        <d v="2015-12-05T00:00:00"/>
        <d v="2015-12-07T00:00:00"/>
        <d v="2015-12-08T00:00:00"/>
        <d v="2015-12-09T00:00:00"/>
        <d v="2015-12-10T00:00:00"/>
        <d v="2015-12-11T00:00:00"/>
        <d v="2015-12-13T00:00:00"/>
        <d v="2015-12-14T00:00:00"/>
        <d v="2015-12-15T00:00:00"/>
        <d v="2015-12-16T00:00:00"/>
        <d v="2015-12-17T00:00:00"/>
        <d v="2015-12-18T00:00:00"/>
        <d v="2015-12-21T00:00:00"/>
        <d v="2015-12-23T00:00:0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Aguirre, David Aguirr (external - Temp Staff)" refreshedDate="42376.469599652781" createdVersion="5" refreshedVersion="5" minRefreshableVersion="3" recordCount="355">
  <cacheSource type="worksheet">
    <worksheetSource ref="A7:B359" sheet="Metrics - Articles"/>
  </cacheSource>
  <cacheFields count="2">
    <cacheField name="Title + Embedded Link  " numFmtId="0">
      <sharedItems containsBlank="1"/>
    </cacheField>
    <cacheField name="Owner" numFmtId="0">
      <sharedItems containsBlank="1" count="108">
        <m/>
        <s v="Michael Zipf"/>
        <s v="Paul Baur"/>
        <s v="Judith Magyar"/>
        <s v="Sarah Kellman"/>
        <s v="Phillip Klewitz"/>
        <s v="Paul Taylor"/>
        <s v="SAP News"/>
        <s v="Miriam Siebeking"/>
        <s v="Torsten Falk"/>
        <s v="Sarah Harvey"/>
        <s v="Cueneyt Cam"/>
        <s v="Agnes Biesiekierska"/>
        <s v="Richard Nikolic"/>
        <s v="Stephan Magura"/>
        <s v="Jennifer Alejandro"/>
        <s v="Susan Galer"/>
        <s v="John Pelle"/>
        <s v="Robin Meyerhoff"/>
        <s v="Courtney Robinson"/>
        <s v="Suan Jee Janice Ng"/>
        <s v="Christine Susanne Mueller"/>
        <s v="Building Bridges"/>
        <s v="Corinna Machmeier"/>
        <s v="Tibor Hornyak"/>
        <s v="Jerry Janda"/>
        <s v="Nicola Leske"/>
        <s v="Bettina Wunderle"/>
        <s v="Kesja Cichowski"/>
        <s v="Sonakishi Nandy"/>
        <s v="Lena Walther"/>
        <s v="Amira Polack"/>
        <s v="Christine Kubach"/>
        <s v="Jacqueline Prause"/>
        <s v="Jakob Braun"/>
        <s v="Marcus Krug"/>
        <s v="Anne Hardy"/>
        <s v="Teara Kuhn"/>
        <s v="Nadia Boyes"/>
        <s v="Ursula Kreuch"/>
        <s v="Susan Jee Janice Ng"/>
        <s v="Susan Orenstein"/>
        <s v="Andrea Diederichs"/>
        <s v="Anna Burkhadt"/>
        <s v="Diana Pauly"/>
        <s v="Emily Scorer"/>
        <s v="Debra Curtis-Magley"/>
        <s v="Tim Clark"/>
        <s v="Jenny Dearborn"/>
        <s v="Chistiane Kubach"/>
        <s v="Christine Donato"/>
        <s v="Anita Riegel"/>
        <s v="Diana Vega"/>
        <s v="Stephanie Rieder"/>
        <s v="Frederic Masse"/>
        <s v="Denise Broady"/>
        <s v="Perry Manross"/>
        <s v="Marcus Winkler"/>
        <s v="Alicia Lenze"/>
        <s v="Catherine Girardin"/>
        <s v="Molli Jordan"/>
        <s v="Charlotte Otter"/>
        <s v="Stephan Magura "/>
        <s v="Derek Klobucher"/>
        <s v="Andreas Schmitz"/>
        <s v="Richard Campbell"/>
        <s v="Cornelia Weiss-Justen"/>
        <s v="Mark Cheever"/>
        <s v="Kate Morgan"/>
        <s v="Tobias Essig"/>
        <s v="Arunima Kumar"/>
        <s v="Mike Ettling"/>
        <s v="Cindy McKendry"/>
        <s v="Angela Dunn"/>
        <s v="Vivek Bapat"/>
        <s v="Thomas Pohl"/>
        <s v="Angela Klose"/>
        <s v="Jane Gray"/>
        <s v="Renata Pompeu Pividal"/>
        <s v="Gillian Lindsell"/>
        <s v="Cecile Yasmin Schreyer"/>
        <s v="Stacy Eidson Comes"/>
        <s v="Caroline Kohout"/>
        <s v="Aidan Hyland"/>
        <s v="Jackie Montesinos Suarez"/>
        <s v="Tanja Schaetz-Kruft"/>
        <s v="Heidi Ferguson-Mueller"/>
        <s v="Stephan Kamps"/>
        <s v="Jeff Woods"/>
        <s v="Jhon Ward"/>
        <s v="Nadine Huelsen"/>
        <s v="Baerbel Schultz"/>
        <s v="Lynda Seger"/>
        <s v="Sam Yen"/>
        <s v="Thorsten Leiduck"/>
        <s v="Judith Magyar, Carolyn Coad"/>
        <s v="Patricia Crazzolara, Kesja Cichowski"/>
        <s v="Paul Baur, Alexander Januschke, Natalie Hauck"/>
        <s v="Michael Nuesslein "/>
        <s v="Judith Magyar "/>
        <s v="Corinna Machmeier "/>
        <s v="Jon Leiberman"/>
        <s v="Steve Lucas, Jon Leiberman "/>
        <s v="Robin Meyerhoff "/>
        <s v="Stephan Magura, Thomas Leonhardi "/>
        <s v="Paul Baur, Natalie Hauck, Alexander Januschke "/>
        <s v="Megan Meany"/>
        <s v="Renata Pompeu Pividal, Robin Meyerhoff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Aguirre, David Aguirr (external - Temp Staff)" refreshedDate="42376.471144675925" createdVersion="5" refreshedVersion="5" minRefreshableVersion="3" recordCount="355">
  <cacheSource type="worksheet">
    <worksheetSource ref="A7:D359" sheet="Metrics - Articles"/>
  </cacheSource>
  <cacheFields count="4">
    <cacheField name="Title + Embedded Link  " numFmtId="0">
      <sharedItems containsBlank="1" count="350">
        <m/>
        <s v="A New Twist To the News"/>
        <s v="“The Driving Force is Data”"/>
        <s v="The Disruptors: Doing the Smart Thing"/>
        <s v="IBM is Practicing What SAP Teaches"/>
        <s v="Mobility Compliance Reloaded"/>
        <s v="Overcoming the Trust Deficit"/>
        <s v="Global Managing Board Adds Two Members"/>
        <s v="Photo Contest: Bending the Rules"/>
        <s v="The Results Are Out"/>
        <s v="SAP Achieves 2014 Outlook as Cloud Surges"/>
        <s v="Top 5: Empowering Women at Work"/>
        <s v="Customer Connection Helps Optimize Products"/>
        <s v="Security Is in Your Hands"/>
        <s v="Phase One of SAP.com Goes Live"/>
        <s v="New Regional Appointments in EMEA and MEE"/>
        <s v="Is Unpredictability the New Norm?"/>
        <s v="Regaining the Upper Hand with S4HANA"/>
        <s v="2015: Full Throttle for Cloud Growth"/>
        <s v="Capturing the Essence of SAP"/>
        <s v="The Disruptors: Harley to Minas Gerais"/>
        <s v="Career Path: From Manager to Expert"/>
        <s v="Are You a Sports Ignoramus?"/>
        <s v="SAP at World Economic Forum (Day 1)"/>
        <s v="Will Berlin Out-Innovate Silicon Valley?"/>
        <s v="Hidden Champion: The Crisis Manager"/>
        <s v="Forklift Meets Cloud"/>
        <s v="A Business Leader in Marketing"/>
        <s v="Top Five Things to Know: Cristina Palmaka"/>
        <s v="Decoding the Human Body"/>
        <s v="Watch for These Top Trends in 2015"/>
        <s v="Bill in MENA: Exciting New Prospects"/>
        <s v="The Business Re-Imaginer"/>
        <s v="Connecting the Autism Community"/>
        <s v="The Complexity Antidote"/>
        <s v="Cirque du Soleil - Free to be Creative"/>
        <s v="The Disruptors: Eldorado for Shoppers"/>
        <s v="Digitized Health Care Saves Lives"/>
        <s v="Four Times to the Moon and Back"/>
        <s v="SAP Turbo-Charges Education"/>
        <s v="The Disruptors: Tech Dress at Work"/>
        <s v="Building Bridges: Sound of Collaboration"/>
        <s v="Ideas with Impact"/>
        <s v="Photo Contest: 2014 Winners Announced"/>
        <s v="“How We Run” Takes Off"/>
        <s v="Get Your Cricket World Cup Updates"/>
        <s v="The Difference Between Life and Death"/>
        <s v="Need to Know: SAP Corporate Framework"/>
        <s v="The Disruptors: Plant Bottles, not Plastic"/>
        <s v="Sending the Right Message"/>
        <s v="Big S/4HANA Wins in Latin America"/>
        <s v="Powering the Energy Revolution"/>
        <s v="“I Was Born This Way”"/>
        <s v="SAP Labs India Hosts IoT Day"/>
        <s v="SAP and NHL Team up for Hockey Fans"/>
        <s v="Getting Ahead of the Curve in Safety"/>
        <s v="Sleeping Beauties"/>
        <s v="The Disruptors: People, Planet, Profit"/>
        <s v="Healthcare gets the IT Treatment"/>
        <s v="Hate Your Job?"/>
        <s v="Out of This World"/>
        <s v="Career Coaching (1/3)"/>
        <s v="A New Perspective on IoT"/>
        <s v="Telcos Tap into the Connected Woman"/>
        <s v="MWC- Mobile Industry’s Reality Test"/>
        <s v="SAP Inspiration Pavilion Opens in Beijing"/>
        <s v="The Edge of Innovation"/>
        <s v="Career Coaching (2/3)"/>
        <s v="Unleash the Startup in You"/>
        <s v="The Disruptors: Barcelona For You!"/>
        <s v="Culture Wall Up and Running"/>
        <s v="Career Coaching (3/3)"/>
        <s v="Walldorf and Silicon Valley in Tech Fever"/>
        <s v="Women’s Day: Make It Happen!"/>
        <s v="Next Generation of SAP MaxAttention"/>
        <s v="The Disruptors: Getting Personal With Big Data"/>
        <s v="A Showcase for Real-Time Retail"/>
        <s v="Creating A Strong Culture"/>
        <s v="Jenny Dearborn: Powerful Leader in IT"/>
        <s v="How Jaime Found His Dream Job"/>
        <s v="Introducing the New SAP Store"/>
        <s v="HanaHaus Opens in Palo Alto"/>
        <s v="Never Lose Your Sense of Curiosity"/>
        <s v="Hidden Champion: The Global Citizen"/>
        <s v="The Disruptors: These Schutz are Made for Walking"/>
        <s v="Photo Contest: Diversity &amp; Inclusion"/>
        <s v="Strong Commitment Increases Profit"/>
        <s v="CeBIT 2015: High-Touch SAP"/>
        <s v="Cricket Fans Bowled Over by SAP"/>
        <s v="Apple Pay and the Payment Platform Revolution"/>
        <s v="Hands On with High Tech"/>
        <s v="InnoJam: Smart(Cit)ies Have the Answer"/>
        <s v="How Fit Are You Really?"/>
        <s v="The Disruptors: Bikers Against Disease"/>
        <s v="Welcome to the Talent Journey!"/>
        <s v="Solving the Cancer Puzzle with SAP HANA"/>
        <s v="SAP Mourns Klaus Tschira"/>
        <s v="No Innovation Without Learning"/>
        <s v="Thinking Faster with SAP HANA In Your Head — Literally"/>
        <s v="How Does the Cloud Benefit HR?"/>
        <s v="Six Tips for Better Clicks"/>
        <s v="Just Ask Dr. B. Data"/>
        <s v="Accelerating Cloud Growth – The Lowdown"/>
        <s v="Brazil Inc – Nailing Complexity"/>
        <s v="The Disruptors: Eco Easter Eggs"/>
        <s v="Dare to be Scared"/>
        <s v="Brazil Inc, Part 2: Investing Smartly"/>
        <s v="Top Five Things to Know: Paula Jacomo"/>
        <s v="Mission Control, we Fly to Mars"/>
        <s v="IT &amp; Healthcare Illustrated"/>
        <s v="The Future of Talent Management"/>
        <s v="SAP Forum in Moscow Takes Off"/>
        <s v="The Disruptors: No End to the Innovation Race"/>
        <s v="Who Are You Calling a Nerd? SAP Employees Hit the Road"/>
        <s v="A Python on My Way to School"/>
        <s v="Double Win for Manufacturing"/>
        <s v="Bill and François Hollande Talk Technology"/>
        <s v="S/4HANA: “The Big New Thing”"/>
        <s v="From Refugee to Tech Exec"/>
        <s v="A Matter of Integrity"/>
        <s v="Social Sabbatical: Not a One Way Street"/>
        <s v="Q1: Exceptional Cloud Growth"/>
        <s v="New Behaviors at SAP"/>
        <s v="Master of Arts"/>
        <s v="“A Very Substantial Cloud Business”"/>
        <s v="The Disruptors: Shirt Delivery by Drone?"/>
        <s v="Robots for Babies"/>
        <s v="Dietmar Hopp Celebrates his 75th Birthday"/>
        <s v="IT Powers the Energy Sector"/>
        <s v="SAP Founders’ Award Reloaded"/>
        <s v="From Drones to Selfie Sticks"/>
        <s v="Nepal Earthquake: SAP Supports Red Cross"/>
        <s v="Kenya: Going Far Together"/>
        <s v="Intrapreneurship: Where Are We Now?"/>
        <s v="SAP Sports One at the Starting Line"/>
        <s v="The Disruptors: Five Cents for a Clean Toilet"/>
        <s v="The In-Memory Revolution"/>
        <s v="Lockdown in Chicago"/>
        <s v="Creativity and the Art of Completion"/>
        <s v="SME Coaching For Free"/>
        <s v="Greater Mobile Productivity Now"/>
        <s v="B/E Aerospace is Flying High"/>
        <s v="Key Accelerator for SAP´s Growth Aspirations"/>
        <s v="A Question of Quality"/>
        <s v="Hot and Cloudy, Chance of Meatballs"/>
        <s v="“The Consumer Rules”"/>
        <s v="The Digital Economy in the Spotlight"/>
        <s v="Women’s Leadership Summit 2015"/>
        <s v="Spotting the Centaur at SAPPHIRE NOW"/>
        <s v="From Selling Products to Selling Outcomes"/>
        <s v="Executive Board Meetings of the Future"/>
        <s v="Smart Business Networks"/>
        <s v="Transform Information Into Action"/>
        <s v="Photo Contest “On the Move”"/>
        <s v="Get Designing"/>
        <s v="Molecular Health: A Technology Trailblazer"/>
        <s v="Remote Access Made Simple"/>
        <s v="AMG Moves into the Fast Lane"/>
        <s v="Gender Quota for Supervisory Board"/>
        <s v="Early Achievers"/>
        <s v="Adding Energy to Red Bull"/>
        <s v="Investing in Future Tech Talent"/>
        <s v="The Disruptors: Bring On BI"/>
        <s v="Digital Transformation at Bayer"/>
        <s v="The Secret to Product Success"/>
        <s v="Career Success Center Kicks Off"/>
        <s v="The Disruptors: Unique Solutions"/>
        <s v="Nostalgic-Art Tests In-Memory Platform"/>
        <s v="Marketplace for Connected Car Services"/>
        <s v="SAP Supports Non-Discrimination Act"/>
        <s v="Analyzing the Game"/>
        <s v="Becoming Simply Irresistible"/>
        <s v="Atos Doubles Its Revenue with SAP"/>
        <s v="Powering up East Africa"/>
        <s v="Surge in SAP Brand Value"/>
        <s v="COPE Gives Franz Confidence"/>
        <s v="Growth and Jobs Through Digitalization"/>
        <s v="HANA Spatial: Where Are They Now?"/>
        <s v="Photo Contest: On the Move"/>
        <s v="Ready for Five Generations in Your Workplace?"/>
        <s v="ZERO Downtime: Mission Accomplished"/>
        <s v="Salesforce.com: Poster Child for Cloud 1.0"/>
        <s v="Seven SAP Channel Execs Honored"/>
        <s v="The Disruptors: Klitschko’s City Knockout"/>
        <s v="Now Showing in Airports Near You"/>
        <s v="“Everything Is Possible at SAP”"/>
        <s v="Vote Now!"/>
        <s v="Designing with the Elderly"/>
        <s v="Breakthroughs? Take A Break"/>
        <s v="Why Ikram Can’t Find a Job"/>
        <s v="Building dreams"/>
        <s v="Innovation Spotting at the Paris Air Show"/>
        <s v="Where in the World Do we Run Simple?"/>
        <s v="Removing the Boardroom Blindfolds"/>
        <s v="Trash After the Big Bash"/>
        <s v="Dynamic Online Learning"/>
        <s v="And the Winner Is…"/>
        <s v="Shravan Finds His Place"/>
        <s v="The Disruptors: Become a Smart Port"/>
        <s v="Overcoming Every Hurdle"/>
        <s v="Simpler, Faster, Unified, Efficient"/>
        <s v="Crafty Tunes with Music 4.0"/>
        <s v="Ford and SAP Put Design in High Gear"/>
        <s v="Restoring Growth Across Latin America"/>
        <s v="Software Coding in Lagos"/>
        <s v="SAP Waves the Rainbow Flag"/>
        <s v="Cultivating Our Curiosity"/>
        <s v="They Came, Pitched, and Conquered"/>
        <s v="Fresh Face Joins the Supervisory Board"/>
        <s v="Top Honors for TwoGo by SAP"/>
        <s v="Fashion Gets a Tech Makeover"/>
        <s v="Ariba: All Fired Up"/>
        <s v="Taking Football into the Cloud"/>
        <s v="Greek Debt Crisis"/>
        <s v="Living the New Behaviors"/>
        <s v="Founders’ Award: Where Are We Now?"/>
        <s v="Quentin Clark Appointed to SAP Board"/>
        <s v="Never Too Early for STEM"/>
        <s v="Photo Contest: Street Photography"/>
        <s v="Go West, Young Man"/>
        <s v="Diversity and the Digital Economy"/>
        <s v="Coaching, Leading, Managing"/>
        <s v="Innovative Israel"/>
        <s v="Let’s Get Physical"/>
        <s v="The Adventures of Super Simple"/>
        <s v="Define Your Career"/>
        <s v="Gamification: Party Pirate Style"/>
        <s v="Lync Succeeds SAP Connect for Meetings"/>
        <s v="Mitigate Slavery in the Supply Chain"/>
        <s v="The Making of “In the Clouds with SAP”"/>
        <s v="SAP Grows in the Cloud and Network"/>
        <s v="Making Security Run Simple"/>
        <s v="Good Job, Keep Rolling, Stop Flying"/>
        <s v="The Disruptors: Why Fieldglass is One"/>
        <s v="Taylor Made, Disaster on the Hudson"/>
        <s v="Israel and Germany: Trust Breeds Innovation"/>
        <s v="Adapt or Die"/>
        <s v="From Poaching to Farming"/>
        <s v="Customer Survey: Please, Keep it Simple"/>
        <s v="Coding and Corner Kicks"/>
        <s v="Unified Ticketing: One Support for Everyone"/>
        <s v="Spotlight on Women Leaders at SAP"/>
        <s v="Talking Trash at Lunch"/>
        <s v="The Digital Economy Manifesto"/>
        <s v="Structure + Freedom = Innovation"/>
        <s v="SAP on Wheels"/>
        <s v="Educational Equity Fueled by Tech"/>
        <s v="Recipe for a Sports App"/>
        <s v="The Valley Revs Up Social Start Ups"/>
        <s v="A Dynamic Duo"/>
        <s v="…Sails to Sales Success"/>
        <s v="Kids Discover The Digital Economy"/>
        <s v="Putting the Swing Back in Walldorf"/>
        <s v="Wipe Your Lenses and Hit the Streets!"/>
        <s v="Two Sides of the Same Coin"/>
        <s v="Ending Supply Chain Slavery"/>
        <s v="A Matter Of Support"/>
        <s v="The Crippling Cost of Sports Injuries"/>
        <s v="Innovation in a Lump of Iron"/>
        <s v="The Pitfalls of Brand Journalism"/>
        <s v="Parlez-Vous Business in Africa?"/>
        <s v="Wake Up and Smell the Crayons"/>
        <s v="Tapping IoT’s Potential"/>
        <s v="Making Sailing Simpler"/>
        <s v="Don’t be a Dodo"/>
        <s v="The Neglected Morality of IoT"/>
        <s v="Digitization with Extra Horsepower"/>
        <s v="Platforms Are Hot Again. Digitize Now!"/>
        <s v="Easier Partnering, Bigger Opportunities"/>
        <s v="Cat Videos Are Overrated"/>
        <s v="SAP S/4HANA Branding Update"/>
        <s v="Refugee Crisis – How You Can Help"/>
        <s v="Power in Employees’ Pockets"/>
        <s v="The Disruptors: Data Doctors Trust"/>
        <s v="Black and White"/>
        <s v="Customers Are in the Driver’s Seat Now"/>
        <s v="Be a Hero. No Cape Required."/>
        <s v="“I Feel Stronger Than Ever”"/>
        <s v="We’re Not in Kansas Anymore"/>
        <s v="SAP Responds to the Refugee Crisis"/>
        <s v="Team U.S. Wins the Solheim Cup"/>
        <s v="SAP’s Fast and Furious Facts"/>
        <s v="When Smart Cities Fight Mother Nature"/>
        <s v="Hackers Meet Their Match in SAP"/>
        <s v="Driving IT Innovation (Literally)"/>
        <s v="Let's Get Real"/>
        <s v="How to Design Digital Transformation"/>
        <s v="SAP Strategy, Live and In Color"/>
        <s v="Wearable at Work – The SAP and Google Challenge"/>
        <s v="Ready, Set, Code! STEM’s Africa Road Show"/>
        <s v="Michael Kleinemeier Joins Executive Board"/>
        <s v="Customer Hops Onto SAP HANA Express"/>
        <s v="One4: You Can Help the Refugee Crisis NOW"/>
        <s v="SAP Expands HCM Suite with Multiposting"/>
        <s v="Q3: Record Results in the Cloud"/>
        <s v="The Play-by-Play on SAP Sports One"/>
        <s v="#One4: The Power of One Idea"/>
        <s v="Coding the Future: Fresh Perspectives"/>
        <s v="Innovation Deals a Blow Against Cancer"/>
        <s v="SAP HANA Support Packs a Punch"/>
        <s v="The Spirit of Solidarity"/>
        <s v="Record Q3 Results Are Confirmed"/>
        <s v="“No Room for Complacency”"/>
        <s v="And the Winner Is…."/>
        <s v="SAP S/4HANA Goes Way off the Charts"/>
        <s v="The Disruptors – Where robots do the dirty work"/>
        <s v="The Quality Execution Principle"/>
        <s v="From Leadership to Legacy"/>
        <s v="Innovation, Entrepreneurialism, Courage: From AribaPay to Suseo Rail"/>
        <s v="A Sporting Showcase for Technology"/>
        <s v="What’s Got Turkey Talking?"/>
        <s v="Living Simple"/>
        <s v="Computers and the Tyranny of the Present"/>
        <s v="Oil and Safety Mix Well in Azerbaijan"/>
        <s v="SAP on the Hill: 1 Minute Mini Series"/>
        <s v="Data Dilemma"/>
        <s v="Heralding the Future"/>
        <s v="Vive la France"/>
        <s v="SAP Employees Break Volunteering Record"/>
        <s v="What Moved You Most in 2015?"/>
        <s v="SAP’s Light Bulb Moment"/>
        <s v="Funding a Worthy Cause"/>
        <s v="SAP Aces Corporate Equality Index for LGBT Inclusion"/>
        <s v="Dare to Be More Human"/>
        <s v="Delivering on a Promise"/>
        <s v="“I Love to Score Goals”"/>
        <s v="Time is Running Out"/>
        <s v="“We Can Help Mitigate the Risks”"/>
        <s v="The Connected Stadium @ FC Bayern Munich"/>
        <s v="How Cities Are Turning Down the Heat"/>
        <s v="Totems of Technology"/>
        <s v="Enter the Green Cloud"/>
        <s v="Steve Lucas Talks SAP HANA"/>
        <s v="Putting Trees Back Where They Belong"/>
        <s v="Steve Lucas – SAP HANA DELIVERS!"/>
        <s v="SAP HANA, Now More Than Ever"/>
        <s v="The Platform for Everyone"/>
        <s v="Parking Made Painless"/>
        <s v="SAP HANA Healthcare – Dawn of New Era"/>
        <s v="The Digital Rescuer"/>
        <s v="Difference Makers!"/>
        <s v="Crescent Garden Runs Simple!"/>
        <s v="Digital India on the Rise"/>
        <s v="How Brazil’s River People Can Save the Amazon"/>
        <s v="Advise and Consult"/>
        <s v="Social Business Takes Root in Eastern Europe"/>
        <s v="Siemens Industry: Three Pillars Bolster the First “Big Thing”"/>
        <s v="11 Real World Examples of Digital Transformation "/>
        <s v="Employees Support Relief Efforts in Chennai"/>
        <s v="Laughing All the Way to the Bank"/>
      </sharedItems>
    </cacheField>
    <cacheField name="Owner" numFmtId="0">
      <sharedItems containsBlank="1"/>
    </cacheField>
    <cacheField name="Date" numFmtId="0">
      <sharedItems containsNonDate="0" containsDate="1" containsString="0" containsBlank="1" minDate="2015-01-01T00:00:00" maxDate="2015-12-24T00:00:00" count="213">
        <m/>
        <d v="2015-01-01T00:00:00"/>
        <d v="2015-01-02T00:00:00"/>
        <d v="2015-01-05T00:00:00"/>
        <d v="2015-01-06T00:00:00"/>
        <d v="2015-01-09T00:00:00"/>
        <d v="2015-01-12T00:00:00"/>
        <d v="2015-01-15T00:00:00"/>
        <d v="2015-01-16T00:00:00"/>
        <d v="2015-01-19T00:00:00"/>
        <d v="2015-01-20T00:00:00"/>
        <d v="2015-01-21T00:00:00"/>
        <d v="2015-01-22T00:00:00"/>
        <d v="2015-01-23T00:00:00"/>
        <d v="2015-01-26T00:00:00"/>
        <d v="2015-01-27T00:00:00"/>
        <d v="2015-01-28T00:00:00"/>
        <d v="2015-01-29T00:00:00"/>
        <d v="2015-01-30T00:00:00"/>
        <d v="2015-02-01T00:00:00"/>
        <d v="2015-02-02T00:00:00"/>
        <d v="2015-02-03T00:00:00"/>
        <d v="2015-02-05T00:00:00"/>
        <d v="2015-02-06T00:00:00"/>
        <d v="2015-02-11T00:00:00"/>
        <d v="2015-02-12T00:00:00"/>
        <d v="2015-02-13T00:00:00"/>
        <d v="2015-02-16T00:00:00"/>
        <d v="2015-02-17T00:00:00"/>
        <d v="2015-02-18T00:00:00"/>
        <d v="2015-02-20T00:00:00"/>
        <d v="2015-02-21T00:00:00"/>
        <d v="2015-02-23T00:00:00"/>
        <d v="2015-02-24T00:00:00"/>
        <d v="2015-02-25T00:00:00"/>
        <d v="2015-02-26T00:00:00"/>
        <d v="2015-02-27T00:00:00"/>
        <d v="2015-03-02T00:00:00"/>
        <d v="2015-03-03T00:00:00"/>
        <d v="2015-03-04T00:00:00"/>
        <d v="2015-03-05T00:00:00"/>
        <d v="2015-03-06T00:00:00"/>
        <d v="2015-03-10T00:00:00"/>
        <d v="2015-03-11T00:00:00"/>
        <d v="2015-03-12T00:00:00"/>
        <d v="2015-03-13T00:00:00"/>
        <d v="2015-03-16T00:00:00"/>
        <d v="2015-03-17T00:00:00"/>
        <d v="2015-03-18T00:00:00"/>
        <d v="2015-03-19T00:00:00"/>
        <d v="2015-03-20T00:00:00"/>
        <d v="2015-03-23T00:00:00"/>
        <d v="2015-03-24T00:00:00"/>
        <d v="2015-03-25T00:00:00"/>
        <d v="2015-03-26T00:00:00"/>
        <d v="2015-03-30T00:00:00"/>
        <d v="2015-03-31T00:00:00"/>
        <d v="2015-04-01T00:00:00"/>
        <d v="2015-04-02T00:00:00"/>
        <d v="2015-04-07T00:00:00"/>
        <d v="2015-04-08T00:00:00"/>
        <d v="2015-04-09T00:00:00"/>
        <d v="2015-04-13T00:00:00"/>
        <d v="2015-04-14T00:00:00"/>
        <d v="2015-04-15T00:00:00"/>
        <d v="2015-04-16T00:00:00"/>
        <d v="2015-04-17T00:00:00"/>
        <d v="2015-04-20T00:00:00"/>
        <d v="2015-04-21T00:00:00"/>
        <d v="2015-04-22T00:00:00"/>
        <d v="2015-04-23T00:00:00"/>
        <d v="2015-04-24T00:00:00"/>
        <d v="2015-04-27T00:00:00"/>
        <d v="2015-04-28T00:00:00"/>
        <d v="2015-04-29T00:00:00"/>
        <d v="2015-04-30T00:00:00"/>
        <d v="2015-05-01T00:00:00"/>
        <d v="2015-05-04T00:00:00"/>
        <d v="2015-05-06T00:00:00"/>
        <d v="2015-05-07T00:00:00"/>
        <d v="2015-05-08T00:00:00"/>
        <d v="2015-05-10T00:00:00"/>
        <d v="2015-05-13T00:00:00"/>
        <d v="2015-05-14T00:00:00"/>
        <d v="2015-05-15T00:00:00"/>
        <d v="2015-05-18T00:00:00"/>
        <d v="2015-05-19T00:00:00"/>
        <d v="2015-05-20T00:00:00"/>
        <d v="2015-05-22T00:00:00"/>
        <d v="2015-05-25T00:00:00"/>
        <d v="2015-05-26T00:00:00"/>
        <d v="2015-05-27T00:00:00"/>
        <d v="2015-05-28T00:00:00"/>
        <d v="2015-05-29T00:00:00"/>
        <d v="2015-06-01T00:00:00"/>
        <d v="2015-06-02T00:00:00"/>
        <d v="2015-06-03T00:00:00"/>
        <d v="2015-06-04T00:00:00"/>
        <d v="2015-06-08T00:00:00"/>
        <d v="2015-06-09T00:00:00"/>
        <d v="2015-06-10T00:00:00"/>
        <d v="2015-06-11T00:00:00"/>
        <d v="2015-06-15T00:00:00"/>
        <d v="2015-06-16T00:00:00"/>
        <d v="2015-06-17T00:00:00"/>
        <d v="2015-06-18T00:00:00"/>
        <d v="2015-06-22T00:00:00"/>
        <d v="2015-06-23T00:00:00"/>
        <d v="2015-06-24T00:00:00"/>
        <d v="2015-06-25T00:00:00"/>
        <d v="2015-06-26T00:00:00"/>
        <d v="2015-06-29T00:00:00"/>
        <d v="2015-07-01T00:00:00"/>
        <d v="2015-07-02T00:00:00"/>
        <d v="2015-07-03T00:00:00"/>
        <d v="2015-07-06T00:00:00"/>
        <d v="2015-07-07T00:00:00"/>
        <d v="2015-07-09T00:00:00"/>
        <d v="2015-07-10T00:00:00"/>
        <d v="2015-07-13T00:00:00"/>
        <d v="2015-07-14T00:00:00"/>
        <d v="2015-07-15T00:00:00"/>
        <d v="2015-07-16T00:00:00"/>
        <d v="2015-07-17T00:00:00"/>
        <d v="2015-07-20T00:00:00"/>
        <d v="2015-07-21T00:00:00"/>
        <d v="2015-07-22T00:00:00"/>
        <d v="2015-07-23T00:00:00"/>
        <d v="2015-07-24T00:00:00"/>
        <d v="2015-07-27T00:00:00"/>
        <d v="2015-07-28T00:00:00"/>
        <d v="2015-07-29T00:00:00"/>
        <d v="2015-07-30T00:00:00"/>
        <d v="2015-07-31T00:00:00"/>
        <d v="2015-08-03T00:00:00"/>
        <d v="2015-08-04T00:00:00"/>
        <d v="2015-08-05T00:00:00"/>
        <d v="2015-08-06T00:00:00"/>
        <d v="2015-08-07T00:00:00"/>
        <d v="2015-08-10T00:00:00"/>
        <d v="2015-08-11T00:00:00"/>
        <d v="2015-08-12T00:00:00"/>
        <d v="2015-08-13T00:00:00"/>
        <d v="2015-08-17T00:00:00"/>
        <d v="2015-08-18T00:00:00"/>
        <d v="2015-08-19T00:00:00"/>
        <d v="2015-08-20T00:00:00"/>
        <d v="2015-08-21T00:00:00"/>
        <d v="2015-08-24T00:00:00"/>
        <d v="2015-08-25T00:00:00"/>
        <d v="2015-08-26T00:00:00"/>
        <d v="2015-08-28T00:00:00"/>
        <d v="2015-08-31T00:00:00"/>
        <d v="2015-09-01T00:00:00"/>
        <d v="2015-09-03T00:00:00"/>
        <d v="2015-09-08T00:00:00"/>
        <d v="2015-09-09T00:00:00"/>
        <d v="2015-09-10T00:00:00"/>
        <d v="2015-09-11T00:00:00"/>
        <d v="2015-09-14T00:00:00"/>
        <d v="2015-09-15T00:00:00"/>
        <d v="2015-09-16T00:00:00"/>
        <d v="2015-09-17T00:00:00"/>
        <d v="2015-09-22T00:00:00"/>
        <d v="2015-09-23T00:00:00"/>
        <d v="2015-09-25T00:00:00"/>
        <d v="2015-09-28T00:00:00"/>
        <d v="2015-09-29T00:00:00"/>
        <d v="2015-09-30T00:00:00"/>
        <d v="2015-10-01T00:00:00"/>
        <d v="2015-10-08T00:00:00"/>
        <d v="2015-10-09T00:00:00"/>
        <d v="2015-10-12T00:00:00"/>
        <d v="2015-10-13T00:00:00"/>
        <d v="2015-10-15T00:00:00"/>
        <d v="2015-10-16T00:00:00"/>
        <d v="2015-10-19T00:00:00"/>
        <d v="2015-10-20T00:00:00"/>
        <d v="2015-10-21T00:00:00"/>
        <d v="2015-10-22T00:00:00"/>
        <d v="2015-10-23T00:00:00"/>
        <d v="2015-10-28T00:00:00"/>
        <d v="2015-11-01T00:00:00"/>
        <d v="2015-11-04T00:00:00"/>
        <d v="2015-11-06T00:00:00"/>
        <d v="2015-11-10T00:00:00"/>
        <d v="2015-11-11T00:00:00"/>
        <d v="2015-11-12T00:00:00"/>
        <d v="2015-11-14T00:00:00"/>
        <d v="2015-11-17T00:00:00"/>
        <d v="2015-11-20T00:00:00"/>
        <d v="2015-11-23T00:00:00"/>
        <d v="2015-11-24T00:00:00"/>
        <d v="2015-11-25T00:00:00"/>
        <d v="2015-11-27T00:00:00"/>
        <d v="2015-11-30T00:00:00"/>
        <d v="2015-12-02T00:00:00"/>
        <d v="2015-12-03T00:00:00"/>
        <d v="2015-12-04T00:00:00"/>
        <d v="2015-12-05T00:00:00"/>
        <d v="2015-12-07T00:00:00"/>
        <d v="2015-12-08T00:00:00"/>
        <d v="2015-12-09T00:00:00"/>
        <d v="2015-12-10T00:00:00"/>
        <d v="2015-12-11T00:00:00"/>
        <d v="2015-12-13T00:00:00"/>
        <d v="2015-12-14T00:00:00"/>
        <d v="2015-12-15T00:00:00"/>
        <d v="2015-12-16T00:00:00"/>
        <d v="2015-12-17T00:00:00"/>
        <d v="2015-12-18T00:00:00"/>
        <d v="2015-12-21T00:00:00"/>
        <d v="2015-12-23T00:00:00"/>
      </sharedItems>
    </cacheField>
    <cacheField name="Multimedia Resources" numFmtId="0">
      <sharedItems containsBlank="1" count="10">
        <m/>
        <s v="Video"/>
        <s v="Video, Infographic"/>
        <s v="Infographic"/>
        <s v="Slideshow"/>
        <s v="Video, Slideshow"/>
        <s v="Video, Infographic, Slideshow"/>
        <s v="Slideshow, Video"/>
        <s v="Infographic, Video"/>
        <s v="Slideshow, Infographic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Aguirre, David Aguirr (external - Temp Staff)" refreshedDate="42376.473059027776" createdVersion="5" refreshedVersion="5" minRefreshableVersion="3" recordCount="485">
  <cacheSource type="worksheet">
    <worksheetSource ref="A7:T489" sheet="Metrics - Articles"/>
  </cacheSource>
  <cacheFields count="20">
    <cacheField name="Title + Embedded Link  " numFmtId="0">
      <sharedItems containsBlank="1" count="350">
        <m/>
        <s v="A New Twist To the News"/>
        <s v="“The Driving Force is Data”"/>
        <s v="The Disruptors: Doing the Smart Thing"/>
        <s v="IBM is Practicing What SAP Teaches"/>
        <s v="Mobility Compliance Reloaded"/>
        <s v="Overcoming the Trust Deficit"/>
        <s v="Global Managing Board Adds Two Members"/>
        <s v="Photo Contest: Bending the Rules"/>
        <s v="The Results Are Out"/>
        <s v="SAP Achieves 2014 Outlook as Cloud Surges"/>
        <s v="Top 5: Empowering Women at Work"/>
        <s v="Customer Connection Helps Optimize Products"/>
        <s v="Security Is in Your Hands"/>
        <s v="Phase One of SAP.com Goes Live"/>
        <s v="New Regional Appointments in EMEA and MEE"/>
        <s v="Is Unpredictability the New Norm?"/>
        <s v="Regaining the Upper Hand with S4HANA"/>
        <s v="2015: Full Throttle for Cloud Growth"/>
        <s v="Capturing the Essence of SAP"/>
        <s v="The Disruptors: Harley to Minas Gerais"/>
        <s v="Career Path: From Manager to Expert"/>
        <s v="Are You a Sports Ignoramus?"/>
        <s v="SAP at World Economic Forum (Day 1)"/>
        <s v="Will Berlin Out-Innovate Silicon Valley?"/>
        <s v="Hidden Champion: The Crisis Manager"/>
        <s v="Forklift Meets Cloud"/>
        <s v="A Business Leader in Marketing"/>
        <s v="Top Five Things to Know: Cristina Palmaka"/>
        <s v="Decoding the Human Body"/>
        <s v="Watch for These Top Trends in 2015"/>
        <s v="Bill in MENA: Exciting New Prospects"/>
        <s v="The Business Re-Imaginer"/>
        <s v="Connecting the Autism Community"/>
        <s v="The Complexity Antidote"/>
        <s v="Cirque du Soleil - Free to be Creative"/>
        <s v="The Disruptors: Eldorado for Shoppers"/>
        <s v="Digitized Health Care Saves Lives"/>
        <s v="Four Times to the Moon and Back"/>
        <s v="SAP Turbo-Charges Education"/>
        <s v="The Disruptors: Tech Dress at Work"/>
        <s v="Building Bridges: Sound of Collaboration"/>
        <s v="Ideas with Impact"/>
        <s v="Photo Contest: 2014 Winners Announced"/>
        <s v="“How We Run” Takes Off"/>
        <s v="Get Your Cricket World Cup Updates"/>
        <s v="The Difference Between Life and Death"/>
        <s v="Need to Know: SAP Corporate Framework"/>
        <s v="The Disruptors: Plant Bottles, not Plastic"/>
        <s v="Sending the Right Message"/>
        <s v="Big S/4HANA Wins in Latin America"/>
        <s v="Powering the Energy Revolution"/>
        <s v="“I Was Born This Way”"/>
        <s v="SAP Labs India Hosts IoT Day"/>
        <s v="SAP and NHL Team up for Hockey Fans"/>
        <s v="Getting Ahead of the Curve in Safety"/>
        <s v="Sleeping Beauties"/>
        <s v="The Disruptors: People, Planet, Profit"/>
        <s v="Healthcare gets the IT Treatment"/>
        <s v="Hate Your Job?"/>
        <s v="Out of This World"/>
        <s v="Career Coaching (1/3)"/>
        <s v="A New Perspective on IoT"/>
        <s v="Telcos Tap into the Connected Woman"/>
        <s v="MWC- Mobile Industry’s Reality Test"/>
        <s v="SAP Inspiration Pavilion Opens in Beijing"/>
        <s v="The Edge of Innovation"/>
        <s v="Career Coaching (2/3)"/>
        <s v="Unleash the Startup in You"/>
        <s v="The Disruptors: Barcelona For You!"/>
        <s v="Culture Wall Up and Running"/>
        <s v="Career Coaching (3/3)"/>
        <s v="Walldorf and Silicon Valley in Tech Fever"/>
        <s v="Women’s Day: Make It Happen!"/>
        <s v="Next Generation of SAP MaxAttention"/>
        <s v="The Disruptors: Getting Personal With Big Data"/>
        <s v="A Showcase for Real-Time Retail"/>
        <s v="Creating A Strong Culture"/>
        <s v="Jenny Dearborn: Powerful Leader in IT"/>
        <s v="How Jaime Found His Dream Job"/>
        <s v="Introducing the New SAP Store"/>
        <s v="HanaHaus Opens in Palo Alto"/>
        <s v="Never Lose Your Sense of Curiosity"/>
        <s v="Hidden Champion: The Global Citizen"/>
        <s v="The Disruptors: These Schutz are Made for Walking"/>
        <s v="Photo Contest: Diversity &amp; Inclusion"/>
        <s v="Strong Commitment Increases Profit"/>
        <s v="CeBIT 2015: High-Touch SAP"/>
        <s v="Cricket Fans Bowled Over by SAP"/>
        <s v="Apple Pay and the Payment Platform Revolution"/>
        <s v="Hands On with High Tech"/>
        <s v="InnoJam: Smart(Cit)ies Have the Answer"/>
        <s v="How Fit Are You Really?"/>
        <s v="The Disruptors: Bikers Against Disease"/>
        <s v="Welcome to the Talent Journey!"/>
        <s v="Solving the Cancer Puzzle with SAP HANA"/>
        <s v="SAP Mourns Klaus Tschira"/>
        <s v="No Innovation Without Learning"/>
        <s v="Thinking Faster with SAP HANA In Your Head — Literally"/>
        <s v="How Does the Cloud Benefit HR?"/>
        <s v="Six Tips for Better Clicks"/>
        <s v="Just Ask Dr. B. Data"/>
        <s v="Accelerating Cloud Growth – The Lowdown"/>
        <s v="Brazil Inc – Nailing Complexity"/>
        <s v="The Disruptors: Eco Easter Eggs"/>
        <s v="Dare to be Scared"/>
        <s v="Brazil Inc, Part 2: Investing Smartly"/>
        <s v="Top Five Things to Know: Paula Jacomo"/>
        <s v="Mission Control, we Fly to Mars"/>
        <s v="IT &amp; Healthcare Illustrated"/>
        <s v="The Future of Talent Management"/>
        <s v="SAP Forum in Moscow Takes Off"/>
        <s v="The Disruptors: No End to the Innovation Race"/>
        <s v="Who Are You Calling a Nerd? SAP Employees Hit the Road"/>
        <s v="A Python on My Way to School"/>
        <s v="Double Win for Manufacturing"/>
        <s v="Bill and François Hollande Talk Technology"/>
        <s v="S/4HANA: “The Big New Thing”"/>
        <s v="From Refugee to Tech Exec"/>
        <s v="A Matter of Integrity"/>
        <s v="Social Sabbatical: Not a One Way Street"/>
        <s v="Q1: Exceptional Cloud Growth"/>
        <s v="New Behaviors at SAP"/>
        <s v="Master of Arts"/>
        <s v="“A Very Substantial Cloud Business”"/>
        <s v="The Disruptors: Shirt Delivery by Drone?"/>
        <s v="Robots for Babies"/>
        <s v="Dietmar Hopp Celebrates his 75th Birthday"/>
        <s v="IT Powers the Energy Sector"/>
        <s v="SAP Founders’ Award Reloaded"/>
        <s v="From Drones to Selfie Sticks"/>
        <s v="Nepal Earthquake: SAP Supports Red Cross"/>
        <s v="Kenya: Going Far Together"/>
        <s v="Intrapreneurship: Where Are We Now?"/>
        <s v="SAP Sports One at the Starting Line"/>
        <s v="The Disruptors: Five Cents for a Clean Toilet"/>
        <s v="The In-Memory Revolution"/>
        <s v="Lockdown in Chicago"/>
        <s v="Creativity and the Art of Completion"/>
        <s v="SME Coaching For Free"/>
        <s v="Greater Mobile Productivity Now"/>
        <s v="B/E Aerospace is Flying High"/>
        <s v="Key Accelerator for SAP´s Growth Aspirations"/>
        <s v="A Question of Quality"/>
        <s v="Hot and Cloudy, Chance of Meatballs"/>
        <s v="“The Consumer Rules”"/>
        <s v="The Digital Economy in the Spotlight"/>
        <s v="Women’s Leadership Summit 2015"/>
        <s v="Spotting the Centaur at SAPPHIRE NOW"/>
        <s v="From Selling Products to Selling Outcomes"/>
        <s v="Executive Board Meetings of the Future"/>
        <s v="Smart Business Networks"/>
        <s v="Transform Information Into Action"/>
        <s v="Photo Contest “On the Move”"/>
        <s v="Get Designing"/>
        <s v="Molecular Health: A Technology Trailblazer"/>
        <s v="Remote Access Made Simple"/>
        <s v="AMG Moves into the Fast Lane"/>
        <s v="Gender Quota for Supervisory Board"/>
        <s v="Early Achievers"/>
        <s v="Adding Energy to Red Bull"/>
        <s v="Investing in Future Tech Talent"/>
        <s v="The Disruptors: Bring On BI"/>
        <s v="Digital Transformation at Bayer"/>
        <s v="The Secret to Product Success"/>
        <s v="Career Success Center Kicks Off"/>
        <s v="The Disruptors: Unique Solutions"/>
        <s v="Nostalgic-Art Tests In-Memory Platform"/>
        <s v="Marketplace for Connected Car Services"/>
        <s v="SAP Supports Non-Discrimination Act"/>
        <s v="Analyzing the Game"/>
        <s v="Becoming Simply Irresistible"/>
        <s v="Atos Doubles Its Revenue with SAP"/>
        <s v="Powering up East Africa"/>
        <s v="Surge in SAP Brand Value"/>
        <s v="COPE Gives Franz Confidence"/>
        <s v="Growth and Jobs Through Digitalization"/>
        <s v="HANA Spatial: Where Are They Now?"/>
        <s v="Photo Contest: On the Move"/>
        <s v="Ready for Five Generations in Your Workplace?"/>
        <s v="ZERO Downtime: Mission Accomplished"/>
        <s v="Salesforce.com: Poster Child for Cloud 1.0"/>
        <s v="Seven SAP Channel Execs Honored"/>
        <s v="The Disruptors: Klitschko’s City Knockout"/>
        <s v="Now Showing in Airports Near You"/>
        <s v="“Everything Is Possible at SAP”"/>
        <s v="Vote Now!"/>
        <s v="Designing with the Elderly"/>
        <s v="Breakthroughs? Take A Break"/>
        <s v="Why Ikram Can’t Find a Job"/>
        <s v="Building dreams"/>
        <s v="Innovation Spotting at the Paris Air Show"/>
        <s v="Where in the World Do we Run Simple?"/>
        <s v="Removing the Boardroom Blindfolds"/>
        <s v="Trash After the Big Bash"/>
        <s v="Dynamic Online Learning"/>
        <s v="And the Winner Is…"/>
        <s v="Shravan Finds His Place"/>
        <s v="The Disruptors: Become a Smart Port"/>
        <s v="Overcoming Every Hurdle"/>
        <s v="Simpler, Faster, Unified, Efficient"/>
        <s v="Crafty Tunes with Music 4.0"/>
        <s v="Ford and SAP Put Design in High Gear"/>
        <s v="Restoring Growth Across Latin America"/>
        <s v="Software Coding in Lagos"/>
        <s v="SAP Waves the Rainbow Flag"/>
        <s v="Cultivating Our Curiosity"/>
        <s v="They Came, Pitched, and Conquered"/>
        <s v="Fresh Face Joins the Supervisory Board"/>
        <s v="Top Honors for TwoGo by SAP"/>
        <s v="Fashion Gets a Tech Makeover"/>
        <s v="Ariba: All Fired Up"/>
        <s v="Taking Football into the Cloud"/>
        <s v="Greek Debt Crisis"/>
        <s v="Living the New Behaviors"/>
        <s v="Founders’ Award: Where Are We Now?"/>
        <s v="Quentin Clark Appointed to SAP Board"/>
        <s v="Never Too Early for STEM"/>
        <s v="Photo Contest: Street Photography"/>
        <s v="Go West, Young Man"/>
        <s v="Diversity and the Digital Economy"/>
        <s v="Coaching, Leading, Managing"/>
        <s v="Innovative Israel"/>
        <s v="Let’s Get Physical"/>
        <s v="The Adventures of Super Simple"/>
        <s v="Define Your Career"/>
        <s v="Gamification: Party Pirate Style"/>
        <s v="Lync Succeeds SAP Connect for Meetings"/>
        <s v="Mitigate Slavery in the Supply Chain"/>
        <s v="The Making of “In the Clouds with SAP”"/>
        <s v="SAP Grows in the Cloud and Network"/>
        <s v="Making Security Run Simple"/>
        <s v="Good Job, Keep Rolling, Stop Flying"/>
        <s v="The Disruptors: Why Fieldglass is One"/>
        <s v="Taylor Made, Disaster on the Hudson"/>
        <s v="Israel and Germany: Trust Breeds Innovation"/>
        <s v="Adapt or Die"/>
        <s v="From Poaching to Farming"/>
        <s v="Customer Survey: Please, Keep it Simple"/>
        <s v="Coding and Corner Kicks"/>
        <s v="Unified Ticketing: One Support for Everyone"/>
        <s v="Spotlight on Women Leaders at SAP"/>
        <s v="Talking Trash at Lunch"/>
        <s v="The Digital Economy Manifesto"/>
        <s v="Structure + Freedom = Innovation"/>
        <s v="SAP on Wheels"/>
        <s v="Educational Equity Fueled by Tech"/>
        <s v="Recipe for a Sports App"/>
        <s v="The Valley Revs Up Social Start Ups"/>
        <s v="A Dynamic Duo"/>
        <s v="…Sails to Sales Success"/>
        <s v="Kids Discover The Digital Economy"/>
        <s v="Putting the Swing Back in Walldorf"/>
        <s v="Wipe Your Lenses and Hit the Streets!"/>
        <s v="Two Sides of the Same Coin"/>
        <s v="Ending Supply Chain Slavery"/>
        <s v="A Matter Of Support"/>
        <s v="The Crippling Cost of Sports Injuries"/>
        <s v="Innovation in a Lump of Iron"/>
        <s v="The Pitfalls of Brand Journalism"/>
        <s v="Parlez-Vous Business in Africa?"/>
        <s v="Wake Up and Smell the Crayons"/>
        <s v="Tapping IoT’s Potential"/>
        <s v="Making Sailing Simpler"/>
        <s v="Don’t be a Dodo"/>
        <s v="The Neglected Morality of IoT"/>
        <s v="Digitization with Extra Horsepower"/>
        <s v="Platforms Are Hot Again. Digitize Now!"/>
        <s v="Easier Partnering, Bigger Opportunities"/>
        <s v="Cat Videos Are Overrated"/>
        <s v="SAP S/4HANA Branding Update"/>
        <s v="Refugee Crisis – How You Can Help"/>
        <s v="Power in Employees’ Pockets"/>
        <s v="The Disruptors: Data Doctors Trust"/>
        <s v="Black and White"/>
        <s v="Customers Are in the Driver’s Seat Now"/>
        <s v="Be a Hero. No Cape Required."/>
        <s v="“I Feel Stronger Than Ever”"/>
        <s v="We’re Not in Kansas Anymore"/>
        <s v="SAP Responds to the Refugee Crisis"/>
        <s v="Team U.S. Wins the Solheim Cup"/>
        <s v="SAP’s Fast and Furious Facts"/>
        <s v="When Smart Cities Fight Mother Nature"/>
        <s v="Hackers Meet Their Match in SAP"/>
        <s v="Driving IT Innovation (Literally)"/>
        <s v="Let's Get Real"/>
        <s v="How to Design Digital Transformation"/>
        <s v="SAP Strategy, Live and In Color"/>
        <s v="Wearable at Work – The SAP and Google Challenge"/>
        <s v="Ready, Set, Code! STEM’s Africa Road Show"/>
        <s v="Michael Kleinemeier Joins Executive Board"/>
        <s v="Customer Hops Onto SAP HANA Express"/>
        <s v="One4: You Can Help the Refugee Crisis NOW"/>
        <s v="SAP Expands HCM Suite with Multiposting"/>
        <s v="Q3: Record Results in the Cloud"/>
        <s v="The Play-by-Play on SAP Sports One"/>
        <s v="#One4: The Power of One Idea"/>
        <s v="Coding the Future: Fresh Perspectives"/>
        <s v="Innovation Deals a Blow Against Cancer"/>
        <s v="SAP HANA Support Packs a Punch"/>
        <s v="The Spirit of Solidarity"/>
        <s v="Record Q3 Results Are Confirmed"/>
        <s v="“No Room for Complacency”"/>
        <s v="And the Winner Is…."/>
        <s v="SAP S/4HANA Goes Way off the Charts"/>
        <s v="The Disruptors – Where robots do the dirty work"/>
        <s v="The Quality Execution Principle"/>
        <s v="From Leadership to Legacy"/>
        <s v="Innovation, Entrepreneurialism, Courage: From AribaPay to Suseo Rail"/>
        <s v="A Sporting Showcase for Technology"/>
        <s v="What’s Got Turkey Talking?"/>
        <s v="Living Simple"/>
        <s v="Computers and the Tyranny of the Present"/>
        <s v="Oil and Safety Mix Well in Azerbaijan"/>
        <s v="SAP on the Hill: 1 Minute Mini Series"/>
        <s v="Data Dilemma"/>
        <s v="Heralding the Future"/>
        <s v="Vive la France"/>
        <s v="SAP Employees Break Volunteering Record"/>
        <s v="What Moved You Most in 2015?"/>
        <s v="SAP’s Light Bulb Moment"/>
        <s v="Funding a Worthy Cause"/>
        <s v="SAP Aces Corporate Equality Index for LGBT Inclusion"/>
        <s v="Dare to Be More Human"/>
        <s v="Delivering on a Promise"/>
        <s v="“I Love to Score Goals”"/>
        <s v="Time is Running Out"/>
        <s v="“We Can Help Mitigate the Risks”"/>
        <s v="The Connected Stadium @ FC Bayern Munich"/>
        <s v="How Cities Are Turning Down the Heat"/>
        <s v="Totems of Technology"/>
        <s v="Enter the Green Cloud"/>
        <s v="Steve Lucas Talks SAP HANA"/>
        <s v="Putting Trees Back Where They Belong"/>
        <s v="Steve Lucas – SAP HANA DELIVERS!"/>
        <s v="SAP HANA, Now More Than Ever"/>
        <s v="The Platform for Everyone"/>
        <s v="Parking Made Painless"/>
        <s v="SAP HANA Healthcare – Dawn of New Era"/>
        <s v="The Digital Rescuer"/>
        <s v="Difference Makers!"/>
        <s v="Crescent Garden Runs Simple!"/>
        <s v="Digital India on the Rise"/>
        <s v="How Brazil’s River People Can Save the Amazon"/>
        <s v="Advise and Consult"/>
        <s v="Social Business Takes Root in Eastern Europe"/>
        <s v="Siemens Industry: Three Pillars Bolster the First “Big Thing”"/>
        <s v="11 Real World Examples of Digital Transformation "/>
        <s v="Employees Support Relief Efforts in Chennai"/>
        <s v="Laughing All the Way to the Bank"/>
      </sharedItems>
    </cacheField>
    <cacheField name="Owner" numFmtId="0">
      <sharedItems containsBlank="1"/>
    </cacheField>
    <cacheField name="Date" numFmtId="0">
      <sharedItems containsNonDate="0" containsDate="1" containsString="0" containsBlank="1" minDate="2015-01-01T00:00:00" maxDate="2015-12-24T00:00:00"/>
    </cacheField>
    <cacheField name="Multimedia Resources" numFmtId="0">
      <sharedItems containsBlank="1"/>
    </cacheField>
    <cacheField name="GCA Move the Needle" numFmtId="0">
      <sharedItems containsBlank="1"/>
    </cacheField>
    <cacheField name="Board Area" numFmtId="0">
      <sharedItems containsBlank="1"/>
    </cacheField>
    <cacheField name="Customer" numFmtId="0">
      <sharedItems containsBlank="1"/>
    </cacheField>
    <cacheField name="Region" numFmtId="0">
      <sharedItems containsBlank="1"/>
    </cacheField>
    <cacheField name="Corporate Portal (Views)" numFmtId="0">
      <sharedItems containsBlank="1" containsMixedTypes="1" containsNumber="1" containsInteger="1" minValue="9" maxValue="27449"/>
    </cacheField>
    <cacheField name="Corporate Portal (Comments)" numFmtId="0">
      <sharedItems containsBlank="1" containsMixedTypes="1" containsNumber="1" containsInteger="1" minValue="0" maxValue="359"/>
    </cacheField>
    <cacheField name="Forbes (Views)" numFmtId="0">
      <sharedItems containsBlank="1" containsMixedTypes="1" containsNumber="1" containsInteger="1" minValue="268" maxValue="12669"/>
    </cacheField>
    <cacheField name="Forbes (Comments)" numFmtId="0">
      <sharedItems containsBlank="1" containsMixedTypes="1" containsNumber="1" containsInteger="1" minValue="0" maxValue="2"/>
    </cacheField>
    <cacheField name="News Center (Views)" numFmtId="0">
      <sharedItems containsBlank="1" containsMixedTypes="1" containsNumber="1" containsInteger="1" minValue="15" maxValue="2180"/>
    </cacheField>
    <cacheField name="News Center (Comments)" numFmtId="0">
      <sharedItems containsBlank="1" containsMixedTypes="1" containsNumber="1" containsInteger="1" minValue="0" maxValue="1"/>
    </cacheField>
    <cacheField name="Business Trends / SCN (Views)" numFmtId="0">
      <sharedItems containsBlank="1" containsMixedTypes="1" containsNumber="1" containsInteger="1" minValue="45" maxValue="7140"/>
    </cacheField>
    <cacheField name="Business Trends / SCN (Comments)" numFmtId="0">
      <sharedItems containsBlank="1" containsMixedTypes="1" containsNumber="1" containsInteger="1" minValue="0" maxValue="12"/>
    </cacheField>
    <cacheField name="Twitter @SAPnews  (Impressions)" numFmtId="0">
      <sharedItems containsBlank="1" containsMixedTypes="1" containsNumber="1" containsInteger="1" minValue="14016" maxValue="105718"/>
    </cacheField>
    <cacheField name="Twitter @SAPnews (Engagement)" numFmtId="0">
      <sharedItems containsBlank="1" containsMixedTypes="1" containsNumber="1" containsInteger="1" minValue="0" maxValue="14"/>
    </cacheField>
    <cacheField name="Total of Views" numFmtId="0">
      <sharedItems containsString="0" containsBlank="1" containsNumber="1" containsInteger="1" minValue="0" maxValue="27449"/>
    </cacheField>
    <cacheField name="Total of Comments" numFmtId="0">
      <sharedItems containsString="0" containsBlank="1" containsNumber="1" containsInteger="1" minValue="0" maxValue="35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Aguirre, David Aguirr (external - Temp Staff)" refreshedDate="42376.474231944441" createdVersion="5" refreshedVersion="5" minRefreshableVersion="3" recordCount="555">
  <cacheSource type="worksheet">
    <worksheetSource ref="A7:T559" sheet="Metrics - Articles"/>
  </cacheSource>
  <cacheFields count="20">
    <cacheField name="Title + Embedded Link  " numFmtId="0">
      <sharedItems containsBlank="1" count="350">
        <m/>
        <s v="A New Twist To the News"/>
        <s v="“The Driving Force is Data”"/>
        <s v="The Disruptors: Doing the Smart Thing"/>
        <s v="IBM is Practicing What SAP Teaches"/>
        <s v="Mobility Compliance Reloaded"/>
        <s v="Overcoming the Trust Deficit"/>
        <s v="Global Managing Board Adds Two Members"/>
        <s v="Photo Contest: Bending the Rules"/>
        <s v="The Results Are Out"/>
        <s v="SAP Achieves 2014 Outlook as Cloud Surges"/>
        <s v="Top 5: Empowering Women at Work"/>
        <s v="Customer Connection Helps Optimize Products"/>
        <s v="Security Is in Your Hands"/>
        <s v="Phase One of SAP.com Goes Live"/>
        <s v="New Regional Appointments in EMEA and MEE"/>
        <s v="Is Unpredictability the New Norm?"/>
        <s v="Regaining the Upper Hand with S4HANA"/>
        <s v="2015: Full Throttle for Cloud Growth"/>
        <s v="Capturing the Essence of SAP"/>
        <s v="The Disruptors: Harley to Minas Gerais"/>
        <s v="Career Path: From Manager to Expert"/>
        <s v="Are You a Sports Ignoramus?"/>
        <s v="SAP at World Economic Forum (Day 1)"/>
        <s v="Will Berlin Out-Innovate Silicon Valley?"/>
        <s v="Hidden Champion: The Crisis Manager"/>
        <s v="Forklift Meets Cloud"/>
        <s v="A Business Leader in Marketing"/>
        <s v="Top Five Things to Know: Cristina Palmaka"/>
        <s v="Decoding the Human Body"/>
        <s v="Watch for These Top Trends in 2015"/>
        <s v="Bill in MENA: Exciting New Prospects"/>
        <s v="The Business Re-Imaginer"/>
        <s v="Connecting the Autism Community"/>
        <s v="The Complexity Antidote"/>
        <s v="Cirque du Soleil - Free to be Creative"/>
        <s v="The Disruptors: Eldorado for Shoppers"/>
        <s v="Digitized Health Care Saves Lives"/>
        <s v="Four Times to the Moon and Back"/>
        <s v="SAP Turbo-Charges Education"/>
        <s v="The Disruptors: Tech Dress at Work"/>
        <s v="Building Bridges: Sound of Collaboration"/>
        <s v="Ideas with Impact"/>
        <s v="Photo Contest: 2014 Winners Announced"/>
        <s v="“How We Run” Takes Off"/>
        <s v="Get Your Cricket World Cup Updates"/>
        <s v="The Difference Between Life and Death"/>
        <s v="Need to Know: SAP Corporate Framework"/>
        <s v="The Disruptors: Plant Bottles, not Plastic"/>
        <s v="Sending the Right Message"/>
        <s v="Big S/4HANA Wins in Latin America"/>
        <s v="Powering the Energy Revolution"/>
        <s v="“I Was Born This Way”"/>
        <s v="SAP Labs India Hosts IoT Day"/>
        <s v="SAP and NHL Team up for Hockey Fans"/>
        <s v="Getting Ahead of the Curve in Safety"/>
        <s v="Sleeping Beauties"/>
        <s v="The Disruptors: People, Planet, Profit"/>
        <s v="Healthcare gets the IT Treatment"/>
        <s v="Hate Your Job?"/>
        <s v="Out of This World"/>
        <s v="Career Coaching (1/3)"/>
        <s v="A New Perspective on IoT"/>
        <s v="Telcos Tap into the Connected Woman"/>
        <s v="MWC- Mobile Industry’s Reality Test"/>
        <s v="SAP Inspiration Pavilion Opens in Beijing"/>
        <s v="The Edge of Innovation"/>
        <s v="Career Coaching (2/3)"/>
        <s v="Unleash the Startup in You"/>
        <s v="The Disruptors: Barcelona For You!"/>
        <s v="Culture Wall Up and Running"/>
        <s v="Career Coaching (3/3)"/>
        <s v="Walldorf and Silicon Valley in Tech Fever"/>
        <s v="Women’s Day: Make It Happen!"/>
        <s v="Next Generation of SAP MaxAttention"/>
        <s v="The Disruptors: Getting Personal With Big Data"/>
        <s v="A Showcase for Real-Time Retail"/>
        <s v="Creating A Strong Culture"/>
        <s v="Jenny Dearborn: Powerful Leader in IT"/>
        <s v="How Jaime Found His Dream Job"/>
        <s v="Introducing the New SAP Store"/>
        <s v="HanaHaus Opens in Palo Alto"/>
        <s v="Never Lose Your Sense of Curiosity"/>
        <s v="Hidden Champion: The Global Citizen"/>
        <s v="The Disruptors: These Schutz are Made for Walking"/>
        <s v="Photo Contest: Diversity &amp; Inclusion"/>
        <s v="Strong Commitment Increases Profit"/>
        <s v="CeBIT 2015: High-Touch SAP"/>
        <s v="Cricket Fans Bowled Over by SAP"/>
        <s v="Apple Pay and the Payment Platform Revolution"/>
        <s v="Hands On with High Tech"/>
        <s v="InnoJam: Smart(Cit)ies Have the Answer"/>
        <s v="How Fit Are You Really?"/>
        <s v="The Disruptors: Bikers Against Disease"/>
        <s v="Welcome to the Talent Journey!"/>
        <s v="Solving the Cancer Puzzle with SAP HANA"/>
        <s v="SAP Mourns Klaus Tschira"/>
        <s v="No Innovation Without Learning"/>
        <s v="Thinking Faster with SAP HANA In Your Head — Literally"/>
        <s v="How Does the Cloud Benefit HR?"/>
        <s v="Six Tips for Better Clicks"/>
        <s v="Just Ask Dr. B. Data"/>
        <s v="Accelerating Cloud Growth – The Lowdown"/>
        <s v="Brazil Inc – Nailing Complexity"/>
        <s v="The Disruptors: Eco Easter Eggs"/>
        <s v="Dare to be Scared"/>
        <s v="Brazil Inc, Part 2: Investing Smartly"/>
        <s v="Top Five Things to Know: Paula Jacomo"/>
        <s v="Mission Control, we Fly to Mars"/>
        <s v="IT &amp; Healthcare Illustrated"/>
        <s v="The Future of Talent Management"/>
        <s v="SAP Forum in Moscow Takes Off"/>
        <s v="The Disruptors: No End to the Innovation Race"/>
        <s v="Who Are You Calling a Nerd? SAP Employees Hit the Road"/>
        <s v="A Python on My Way to School"/>
        <s v="Double Win for Manufacturing"/>
        <s v="Bill and François Hollande Talk Technology"/>
        <s v="S/4HANA: “The Big New Thing”"/>
        <s v="From Refugee to Tech Exec"/>
        <s v="A Matter of Integrity"/>
        <s v="Social Sabbatical: Not a One Way Street"/>
        <s v="Q1: Exceptional Cloud Growth"/>
        <s v="New Behaviors at SAP"/>
        <s v="Master of Arts"/>
        <s v="“A Very Substantial Cloud Business”"/>
        <s v="The Disruptors: Shirt Delivery by Drone?"/>
        <s v="Robots for Babies"/>
        <s v="Dietmar Hopp Celebrates his 75th Birthday"/>
        <s v="IT Powers the Energy Sector"/>
        <s v="SAP Founders’ Award Reloaded"/>
        <s v="From Drones to Selfie Sticks"/>
        <s v="Nepal Earthquake: SAP Supports Red Cross"/>
        <s v="Kenya: Going Far Together"/>
        <s v="Intrapreneurship: Where Are We Now?"/>
        <s v="SAP Sports One at the Starting Line"/>
        <s v="The Disruptors: Five Cents for a Clean Toilet"/>
        <s v="The In-Memory Revolution"/>
        <s v="Lockdown in Chicago"/>
        <s v="Creativity and the Art of Completion"/>
        <s v="SME Coaching For Free"/>
        <s v="Greater Mobile Productivity Now"/>
        <s v="B/E Aerospace is Flying High"/>
        <s v="Key Accelerator for SAP´s Growth Aspirations"/>
        <s v="A Question of Quality"/>
        <s v="Hot and Cloudy, Chance of Meatballs"/>
        <s v="“The Consumer Rules”"/>
        <s v="The Digital Economy in the Spotlight"/>
        <s v="Women’s Leadership Summit 2015"/>
        <s v="Spotting the Centaur at SAPPHIRE NOW"/>
        <s v="From Selling Products to Selling Outcomes"/>
        <s v="Executive Board Meetings of the Future"/>
        <s v="Smart Business Networks"/>
        <s v="Transform Information Into Action"/>
        <s v="Photo Contest “On the Move”"/>
        <s v="Get Designing"/>
        <s v="Molecular Health: A Technology Trailblazer"/>
        <s v="Remote Access Made Simple"/>
        <s v="AMG Moves into the Fast Lane"/>
        <s v="Gender Quota for Supervisory Board"/>
        <s v="Early Achievers"/>
        <s v="Adding Energy to Red Bull"/>
        <s v="Investing in Future Tech Talent"/>
        <s v="The Disruptors: Bring On BI"/>
        <s v="Digital Transformation at Bayer"/>
        <s v="The Secret to Product Success"/>
        <s v="Career Success Center Kicks Off"/>
        <s v="The Disruptors: Unique Solutions"/>
        <s v="Nostalgic-Art Tests In-Memory Platform"/>
        <s v="Marketplace for Connected Car Services"/>
        <s v="SAP Supports Non-Discrimination Act"/>
        <s v="Analyzing the Game"/>
        <s v="Becoming Simply Irresistible"/>
        <s v="Atos Doubles Its Revenue with SAP"/>
        <s v="Powering up East Africa"/>
        <s v="Surge in SAP Brand Value"/>
        <s v="COPE Gives Franz Confidence"/>
        <s v="Growth and Jobs Through Digitalization"/>
        <s v="HANA Spatial: Where Are They Now?"/>
        <s v="Photo Contest: On the Move"/>
        <s v="Ready for Five Generations in Your Workplace?"/>
        <s v="ZERO Downtime: Mission Accomplished"/>
        <s v="Salesforce.com: Poster Child for Cloud 1.0"/>
        <s v="Seven SAP Channel Execs Honored"/>
        <s v="The Disruptors: Klitschko’s City Knockout"/>
        <s v="Now Showing in Airports Near You"/>
        <s v="“Everything Is Possible at SAP”"/>
        <s v="Vote Now!"/>
        <s v="Designing with the Elderly"/>
        <s v="Breakthroughs? Take A Break"/>
        <s v="Why Ikram Can’t Find a Job"/>
        <s v="Building dreams"/>
        <s v="Innovation Spotting at the Paris Air Show"/>
        <s v="Where in the World Do we Run Simple?"/>
        <s v="Removing the Boardroom Blindfolds"/>
        <s v="Trash After the Big Bash"/>
        <s v="Dynamic Online Learning"/>
        <s v="And the Winner Is…"/>
        <s v="Shravan Finds His Place"/>
        <s v="The Disruptors: Become a Smart Port"/>
        <s v="Overcoming Every Hurdle"/>
        <s v="Simpler, Faster, Unified, Efficient"/>
        <s v="Crafty Tunes with Music 4.0"/>
        <s v="Ford and SAP Put Design in High Gear"/>
        <s v="Restoring Growth Across Latin America"/>
        <s v="Software Coding in Lagos"/>
        <s v="SAP Waves the Rainbow Flag"/>
        <s v="Cultivating Our Curiosity"/>
        <s v="They Came, Pitched, and Conquered"/>
        <s v="Fresh Face Joins the Supervisory Board"/>
        <s v="Top Honors for TwoGo by SAP"/>
        <s v="Fashion Gets a Tech Makeover"/>
        <s v="Ariba: All Fired Up"/>
        <s v="Taking Football into the Cloud"/>
        <s v="Greek Debt Crisis"/>
        <s v="Living the New Behaviors"/>
        <s v="Founders’ Award: Where Are We Now?"/>
        <s v="Quentin Clark Appointed to SAP Board"/>
        <s v="Never Too Early for STEM"/>
        <s v="Photo Contest: Street Photography"/>
        <s v="Go West, Young Man"/>
        <s v="Diversity and the Digital Economy"/>
        <s v="Coaching, Leading, Managing"/>
        <s v="Innovative Israel"/>
        <s v="Let’s Get Physical"/>
        <s v="The Adventures of Super Simple"/>
        <s v="Define Your Career"/>
        <s v="Gamification: Party Pirate Style"/>
        <s v="Lync Succeeds SAP Connect for Meetings"/>
        <s v="Mitigate Slavery in the Supply Chain"/>
        <s v="The Making of “In the Clouds with SAP”"/>
        <s v="SAP Grows in the Cloud and Network"/>
        <s v="Making Security Run Simple"/>
        <s v="Good Job, Keep Rolling, Stop Flying"/>
        <s v="The Disruptors: Why Fieldglass is One"/>
        <s v="Taylor Made, Disaster on the Hudson"/>
        <s v="Israel and Germany: Trust Breeds Innovation"/>
        <s v="Adapt or Die"/>
        <s v="From Poaching to Farming"/>
        <s v="Customer Survey: Please, Keep it Simple"/>
        <s v="Coding and Corner Kicks"/>
        <s v="Unified Ticketing: One Support for Everyone"/>
        <s v="Spotlight on Women Leaders at SAP"/>
        <s v="Talking Trash at Lunch"/>
        <s v="The Digital Economy Manifesto"/>
        <s v="Structure + Freedom = Innovation"/>
        <s v="SAP on Wheels"/>
        <s v="Educational Equity Fueled by Tech"/>
        <s v="Recipe for a Sports App"/>
        <s v="The Valley Revs Up Social Start Ups"/>
        <s v="A Dynamic Duo"/>
        <s v="…Sails to Sales Success"/>
        <s v="Kids Discover The Digital Economy"/>
        <s v="Putting the Swing Back in Walldorf"/>
        <s v="Wipe Your Lenses and Hit the Streets!"/>
        <s v="Two Sides of the Same Coin"/>
        <s v="Ending Supply Chain Slavery"/>
        <s v="A Matter Of Support"/>
        <s v="The Crippling Cost of Sports Injuries"/>
        <s v="Innovation in a Lump of Iron"/>
        <s v="The Pitfalls of Brand Journalism"/>
        <s v="Parlez-Vous Business in Africa?"/>
        <s v="Wake Up and Smell the Crayons"/>
        <s v="Tapping IoT’s Potential"/>
        <s v="Making Sailing Simpler"/>
        <s v="Don’t be a Dodo"/>
        <s v="The Neglected Morality of IoT"/>
        <s v="Digitization with Extra Horsepower"/>
        <s v="Platforms Are Hot Again. Digitize Now!"/>
        <s v="Easier Partnering, Bigger Opportunities"/>
        <s v="Cat Videos Are Overrated"/>
        <s v="SAP S/4HANA Branding Update"/>
        <s v="Refugee Crisis – How You Can Help"/>
        <s v="Power in Employees’ Pockets"/>
        <s v="The Disruptors: Data Doctors Trust"/>
        <s v="Black and White"/>
        <s v="Customers Are in the Driver’s Seat Now"/>
        <s v="Be a Hero. No Cape Required."/>
        <s v="“I Feel Stronger Than Ever”"/>
        <s v="We’re Not in Kansas Anymore"/>
        <s v="SAP Responds to the Refugee Crisis"/>
        <s v="Team U.S. Wins the Solheim Cup"/>
        <s v="SAP’s Fast and Furious Facts"/>
        <s v="When Smart Cities Fight Mother Nature"/>
        <s v="Hackers Meet Their Match in SAP"/>
        <s v="Driving IT Innovation (Literally)"/>
        <s v="Let's Get Real"/>
        <s v="How to Design Digital Transformation"/>
        <s v="SAP Strategy, Live and In Color"/>
        <s v="Wearable at Work – The SAP and Google Challenge"/>
        <s v="Ready, Set, Code! STEM’s Africa Road Show"/>
        <s v="Michael Kleinemeier Joins Executive Board"/>
        <s v="Customer Hops Onto SAP HANA Express"/>
        <s v="One4: You Can Help the Refugee Crisis NOW"/>
        <s v="SAP Expands HCM Suite with Multiposting"/>
        <s v="Q3: Record Results in the Cloud"/>
        <s v="The Play-by-Play on SAP Sports One"/>
        <s v="#One4: The Power of One Idea"/>
        <s v="Coding the Future: Fresh Perspectives"/>
        <s v="Innovation Deals a Blow Against Cancer"/>
        <s v="SAP HANA Support Packs a Punch"/>
        <s v="The Spirit of Solidarity"/>
        <s v="Record Q3 Results Are Confirmed"/>
        <s v="“No Room for Complacency”"/>
        <s v="And the Winner Is…."/>
        <s v="SAP S/4HANA Goes Way off the Charts"/>
        <s v="The Disruptors – Where robots do the dirty work"/>
        <s v="The Quality Execution Principle"/>
        <s v="From Leadership to Legacy"/>
        <s v="Innovation, Entrepreneurialism, Courage: From AribaPay to Suseo Rail"/>
        <s v="A Sporting Showcase for Technology"/>
        <s v="What’s Got Turkey Talking?"/>
        <s v="Living Simple"/>
        <s v="Computers and the Tyranny of the Present"/>
        <s v="Oil and Safety Mix Well in Azerbaijan"/>
        <s v="SAP on the Hill: 1 Minute Mini Series"/>
        <s v="Data Dilemma"/>
        <s v="Heralding the Future"/>
        <s v="Vive la France"/>
        <s v="SAP Employees Break Volunteering Record"/>
        <s v="What Moved You Most in 2015?"/>
        <s v="SAP’s Light Bulb Moment"/>
        <s v="Funding a Worthy Cause"/>
        <s v="SAP Aces Corporate Equality Index for LGBT Inclusion"/>
        <s v="Dare to Be More Human"/>
        <s v="Delivering on a Promise"/>
        <s v="“I Love to Score Goals”"/>
        <s v="Time is Running Out"/>
        <s v="“We Can Help Mitigate the Risks”"/>
        <s v="The Connected Stadium @ FC Bayern Munich"/>
        <s v="How Cities Are Turning Down the Heat"/>
        <s v="Totems of Technology"/>
        <s v="Enter the Green Cloud"/>
        <s v="Steve Lucas Talks SAP HANA"/>
        <s v="Putting Trees Back Where They Belong"/>
        <s v="Steve Lucas – SAP HANA DELIVERS!"/>
        <s v="SAP HANA, Now More Than Ever"/>
        <s v="The Platform for Everyone"/>
        <s v="Parking Made Painless"/>
        <s v="SAP HANA Healthcare – Dawn of New Era"/>
        <s v="The Digital Rescuer"/>
        <s v="Difference Makers!"/>
        <s v="Crescent Garden Runs Simple!"/>
        <s v="Digital India on the Rise"/>
        <s v="How Brazil’s River People Can Save the Amazon"/>
        <s v="Advise and Consult"/>
        <s v="Social Business Takes Root in Eastern Europe"/>
        <s v="Siemens Industry: Three Pillars Bolster the First “Big Thing”"/>
        <s v="11 Real World Examples of Digital Transformation "/>
        <s v="Employees Support Relief Efforts in Chennai"/>
        <s v="Laughing All the Way to the Bank"/>
      </sharedItems>
    </cacheField>
    <cacheField name="Owner" numFmtId="0">
      <sharedItems containsBlank="1"/>
    </cacheField>
    <cacheField name="Date" numFmtId="0">
      <sharedItems containsNonDate="0" containsDate="1" containsString="0" containsBlank="1" minDate="2015-01-01T00:00:00" maxDate="2015-12-24T00:00:00" count="213">
        <m/>
        <d v="2015-01-01T00:00:00"/>
        <d v="2015-01-02T00:00:00"/>
        <d v="2015-01-05T00:00:00"/>
        <d v="2015-01-06T00:00:00"/>
        <d v="2015-01-09T00:00:00"/>
        <d v="2015-01-12T00:00:00"/>
        <d v="2015-01-15T00:00:00"/>
        <d v="2015-01-16T00:00:00"/>
        <d v="2015-01-19T00:00:00"/>
        <d v="2015-01-20T00:00:00"/>
        <d v="2015-01-21T00:00:00"/>
        <d v="2015-01-22T00:00:00"/>
        <d v="2015-01-23T00:00:00"/>
        <d v="2015-01-26T00:00:00"/>
        <d v="2015-01-27T00:00:00"/>
        <d v="2015-01-28T00:00:00"/>
        <d v="2015-01-29T00:00:00"/>
        <d v="2015-01-30T00:00:00"/>
        <d v="2015-02-01T00:00:00"/>
        <d v="2015-02-02T00:00:00"/>
        <d v="2015-02-03T00:00:00"/>
        <d v="2015-02-05T00:00:00"/>
        <d v="2015-02-06T00:00:00"/>
        <d v="2015-02-11T00:00:00"/>
        <d v="2015-02-12T00:00:00"/>
        <d v="2015-02-13T00:00:00"/>
        <d v="2015-02-16T00:00:00"/>
        <d v="2015-02-17T00:00:00"/>
        <d v="2015-02-18T00:00:00"/>
        <d v="2015-02-20T00:00:00"/>
        <d v="2015-02-21T00:00:00"/>
        <d v="2015-02-23T00:00:00"/>
        <d v="2015-02-24T00:00:00"/>
        <d v="2015-02-25T00:00:00"/>
        <d v="2015-02-26T00:00:00"/>
        <d v="2015-02-27T00:00:00"/>
        <d v="2015-03-02T00:00:00"/>
        <d v="2015-03-03T00:00:00"/>
        <d v="2015-03-04T00:00:00"/>
        <d v="2015-03-05T00:00:00"/>
        <d v="2015-03-06T00:00:00"/>
        <d v="2015-03-10T00:00:00"/>
        <d v="2015-03-11T00:00:00"/>
        <d v="2015-03-12T00:00:00"/>
        <d v="2015-03-13T00:00:00"/>
        <d v="2015-03-16T00:00:00"/>
        <d v="2015-03-17T00:00:00"/>
        <d v="2015-03-18T00:00:00"/>
        <d v="2015-03-19T00:00:00"/>
        <d v="2015-03-20T00:00:00"/>
        <d v="2015-03-23T00:00:00"/>
        <d v="2015-03-24T00:00:00"/>
        <d v="2015-03-25T00:00:00"/>
        <d v="2015-03-26T00:00:00"/>
        <d v="2015-03-30T00:00:00"/>
        <d v="2015-03-31T00:00:00"/>
        <d v="2015-04-01T00:00:00"/>
        <d v="2015-04-02T00:00:00"/>
        <d v="2015-04-07T00:00:00"/>
        <d v="2015-04-08T00:00:00"/>
        <d v="2015-04-09T00:00:00"/>
        <d v="2015-04-13T00:00:00"/>
        <d v="2015-04-14T00:00:00"/>
        <d v="2015-04-15T00:00:00"/>
        <d v="2015-04-16T00:00:00"/>
        <d v="2015-04-17T00:00:00"/>
        <d v="2015-04-20T00:00:00"/>
        <d v="2015-04-21T00:00:00"/>
        <d v="2015-04-22T00:00:00"/>
        <d v="2015-04-23T00:00:00"/>
        <d v="2015-04-24T00:00:00"/>
        <d v="2015-04-27T00:00:00"/>
        <d v="2015-04-28T00:00:00"/>
        <d v="2015-04-29T00:00:00"/>
        <d v="2015-04-30T00:00:00"/>
        <d v="2015-05-01T00:00:00"/>
        <d v="2015-05-04T00:00:00"/>
        <d v="2015-05-06T00:00:00"/>
        <d v="2015-05-07T00:00:00"/>
        <d v="2015-05-08T00:00:00"/>
        <d v="2015-05-10T00:00:00"/>
        <d v="2015-05-13T00:00:00"/>
        <d v="2015-05-14T00:00:00"/>
        <d v="2015-05-15T00:00:00"/>
        <d v="2015-05-18T00:00:00"/>
        <d v="2015-05-19T00:00:00"/>
        <d v="2015-05-20T00:00:00"/>
        <d v="2015-05-22T00:00:00"/>
        <d v="2015-05-25T00:00:00"/>
        <d v="2015-05-26T00:00:00"/>
        <d v="2015-05-27T00:00:00"/>
        <d v="2015-05-28T00:00:00"/>
        <d v="2015-05-29T00:00:00"/>
        <d v="2015-06-01T00:00:00"/>
        <d v="2015-06-02T00:00:00"/>
        <d v="2015-06-03T00:00:00"/>
        <d v="2015-06-04T00:00:00"/>
        <d v="2015-06-08T00:00:00"/>
        <d v="2015-06-09T00:00:00"/>
        <d v="2015-06-10T00:00:00"/>
        <d v="2015-06-11T00:00:00"/>
        <d v="2015-06-15T00:00:00"/>
        <d v="2015-06-16T00:00:00"/>
        <d v="2015-06-17T00:00:00"/>
        <d v="2015-06-18T00:00:00"/>
        <d v="2015-06-22T00:00:00"/>
        <d v="2015-06-23T00:00:00"/>
        <d v="2015-06-24T00:00:00"/>
        <d v="2015-06-25T00:00:00"/>
        <d v="2015-06-26T00:00:00"/>
        <d v="2015-06-29T00:00:00"/>
        <d v="2015-07-01T00:00:00"/>
        <d v="2015-07-02T00:00:00"/>
        <d v="2015-07-03T00:00:00"/>
        <d v="2015-07-06T00:00:00"/>
        <d v="2015-07-07T00:00:00"/>
        <d v="2015-07-09T00:00:00"/>
        <d v="2015-07-10T00:00:00"/>
        <d v="2015-07-13T00:00:00"/>
        <d v="2015-07-14T00:00:00"/>
        <d v="2015-07-15T00:00:00"/>
        <d v="2015-07-16T00:00:00"/>
        <d v="2015-07-17T00:00:00"/>
        <d v="2015-07-20T00:00:00"/>
        <d v="2015-07-21T00:00:00"/>
        <d v="2015-07-22T00:00:00"/>
        <d v="2015-07-23T00:00:00"/>
        <d v="2015-07-24T00:00:00"/>
        <d v="2015-07-27T00:00:00"/>
        <d v="2015-07-28T00:00:00"/>
        <d v="2015-07-29T00:00:00"/>
        <d v="2015-07-30T00:00:00"/>
        <d v="2015-07-31T00:00:00"/>
        <d v="2015-08-03T00:00:00"/>
        <d v="2015-08-04T00:00:00"/>
        <d v="2015-08-05T00:00:00"/>
        <d v="2015-08-06T00:00:00"/>
        <d v="2015-08-07T00:00:00"/>
        <d v="2015-08-10T00:00:00"/>
        <d v="2015-08-11T00:00:00"/>
        <d v="2015-08-12T00:00:00"/>
        <d v="2015-08-13T00:00:00"/>
        <d v="2015-08-17T00:00:00"/>
        <d v="2015-08-18T00:00:00"/>
        <d v="2015-08-19T00:00:00"/>
        <d v="2015-08-20T00:00:00"/>
        <d v="2015-08-21T00:00:00"/>
        <d v="2015-08-24T00:00:00"/>
        <d v="2015-08-25T00:00:00"/>
        <d v="2015-08-26T00:00:00"/>
        <d v="2015-08-28T00:00:00"/>
        <d v="2015-08-31T00:00:00"/>
        <d v="2015-09-01T00:00:00"/>
        <d v="2015-09-03T00:00:00"/>
        <d v="2015-09-08T00:00:00"/>
        <d v="2015-09-09T00:00:00"/>
        <d v="2015-09-10T00:00:00"/>
        <d v="2015-09-11T00:00:00"/>
        <d v="2015-09-14T00:00:00"/>
        <d v="2015-09-15T00:00:00"/>
        <d v="2015-09-16T00:00:00"/>
        <d v="2015-09-17T00:00:00"/>
        <d v="2015-09-22T00:00:00"/>
        <d v="2015-09-23T00:00:00"/>
        <d v="2015-09-25T00:00:00"/>
        <d v="2015-09-28T00:00:00"/>
        <d v="2015-09-29T00:00:00"/>
        <d v="2015-09-30T00:00:00"/>
        <d v="2015-10-01T00:00:00"/>
        <d v="2015-10-08T00:00:00"/>
        <d v="2015-10-09T00:00:00"/>
        <d v="2015-10-12T00:00:00"/>
        <d v="2015-10-13T00:00:00"/>
        <d v="2015-10-15T00:00:00"/>
        <d v="2015-10-16T00:00:00"/>
        <d v="2015-10-19T00:00:00"/>
        <d v="2015-10-20T00:00:00"/>
        <d v="2015-10-21T00:00:00"/>
        <d v="2015-10-22T00:00:00"/>
        <d v="2015-10-23T00:00:00"/>
        <d v="2015-10-28T00:00:00"/>
        <d v="2015-11-01T00:00:00"/>
        <d v="2015-11-04T00:00:00"/>
        <d v="2015-11-06T00:00:00"/>
        <d v="2015-11-10T00:00:00"/>
        <d v="2015-11-11T00:00:00"/>
        <d v="2015-11-12T00:00:00"/>
        <d v="2015-11-14T00:00:00"/>
        <d v="2015-11-17T00:00:00"/>
        <d v="2015-11-20T00:00:00"/>
        <d v="2015-11-23T00:00:00"/>
        <d v="2015-11-24T00:00:00"/>
        <d v="2015-11-25T00:00:00"/>
        <d v="2015-11-27T00:00:00"/>
        <d v="2015-11-30T00:00:00"/>
        <d v="2015-12-02T00:00:00"/>
        <d v="2015-12-03T00:00:00"/>
        <d v="2015-12-04T00:00:00"/>
        <d v="2015-12-05T00:00:00"/>
        <d v="2015-12-07T00:00:00"/>
        <d v="2015-12-08T00:00:00"/>
        <d v="2015-12-09T00:00:00"/>
        <d v="2015-12-10T00:00:00"/>
        <d v="2015-12-11T00:00:00"/>
        <d v="2015-12-13T00:00:00"/>
        <d v="2015-12-14T00:00:00"/>
        <d v="2015-12-15T00:00:00"/>
        <d v="2015-12-16T00:00:00"/>
        <d v="2015-12-17T00:00:00"/>
        <d v="2015-12-18T00:00:00"/>
        <d v="2015-12-21T00:00:00"/>
        <d v="2015-12-23T00:00:00"/>
      </sharedItems>
    </cacheField>
    <cacheField name="Multimedia Resources" numFmtId="0">
      <sharedItems containsBlank="1"/>
    </cacheField>
    <cacheField name="GCA Move the Needle" numFmtId="0">
      <sharedItems containsBlank="1"/>
    </cacheField>
    <cacheField name="Board Area" numFmtId="0">
      <sharedItems containsBlank="1"/>
    </cacheField>
    <cacheField name="Customer" numFmtId="0">
      <sharedItems containsBlank="1"/>
    </cacheField>
    <cacheField name="Region" numFmtId="0">
      <sharedItems containsBlank="1"/>
    </cacheField>
    <cacheField name="Corporate Portal (Views)" numFmtId="0">
      <sharedItems containsBlank="1" containsMixedTypes="1" containsNumber="1" containsInteger="1" minValue="9" maxValue="27449"/>
    </cacheField>
    <cacheField name="Corporate Portal (Comments)" numFmtId="0">
      <sharedItems containsBlank="1" containsMixedTypes="1" containsNumber="1" containsInteger="1" minValue="0" maxValue="359"/>
    </cacheField>
    <cacheField name="Forbes (Views)" numFmtId="0">
      <sharedItems containsBlank="1" containsMixedTypes="1" containsNumber="1" containsInteger="1" minValue="268" maxValue="12669"/>
    </cacheField>
    <cacheField name="Forbes (Comments)" numFmtId="0">
      <sharedItems containsBlank="1" containsMixedTypes="1" containsNumber="1" containsInteger="1" minValue="0" maxValue="2"/>
    </cacheField>
    <cacheField name="News Center (Views)" numFmtId="0">
      <sharedItems containsBlank="1" containsMixedTypes="1" containsNumber="1" containsInteger="1" minValue="15" maxValue="2180"/>
    </cacheField>
    <cacheField name="News Center (Comments)" numFmtId="0">
      <sharedItems containsBlank="1" containsMixedTypes="1" containsNumber="1" containsInteger="1" minValue="0" maxValue="1"/>
    </cacheField>
    <cacheField name="Business Trends / SCN (Views)" numFmtId="0">
      <sharedItems containsBlank="1" containsMixedTypes="1" containsNumber="1" containsInteger="1" minValue="45" maxValue="7140"/>
    </cacheField>
    <cacheField name="Business Trends / SCN (Comments)" numFmtId="0">
      <sharedItems containsBlank="1" containsMixedTypes="1" containsNumber="1" containsInteger="1" minValue="0" maxValue="12"/>
    </cacheField>
    <cacheField name="Twitter @SAPnews  (Impressions)" numFmtId="0">
      <sharedItems containsBlank="1" containsMixedTypes="1" containsNumber="1" containsInteger="1" minValue="14016" maxValue="105718"/>
    </cacheField>
    <cacheField name="Twitter @SAPnews (Engagement)" numFmtId="0">
      <sharedItems containsBlank="1" containsMixedTypes="1" containsNumber="1" containsInteger="1" minValue="0" maxValue="14"/>
    </cacheField>
    <cacheField name="Total of Views" numFmtId="0">
      <sharedItems containsString="0" containsBlank="1" containsNumber="1" containsInteger="1" minValue="0" maxValue="27449"/>
    </cacheField>
    <cacheField name="Total of Comments" numFmtId="0">
      <sharedItems containsString="0" containsBlank="1" containsNumber="1" containsInteger="1" minValue="0" maxValue="35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r:id="rId1" refreshedBy="Aguirre, David Aguirr (external - Temp Staff)" refreshedDate="42376.48435914352" createdVersion="5" refreshedVersion="5" minRefreshableVersion="3" recordCount="393">
  <cacheSource type="worksheet">
    <worksheetSource ref="A7:T397" sheet="Metrics - Articles"/>
  </cacheSource>
  <cacheFields count="20">
    <cacheField name="Title + Embedded Link  " numFmtId="0">
      <sharedItems containsBlank="1" count="350">
        <m/>
        <s v="A New Twist To the News"/>
        <s v="“The Driving Force is Data”"/>
        <s v="The Disruptors: Doing the Smart Thing"/>
        <s v="IBM is Practicing What SAP Teaches"/>
        <s v="Mobility Compliance Reloaded"/>
        <s v="Overcoming the Trust Deficit"/>
        <s v="Global Managing Board Adds Two Members"/>
        <s v="Photo Contest: Bending the Rules"/>
        <s v="The Results Are Out"/>
        <s v="SAP Achieves 2014 Outlook as Cloud Surges"/>
        <s v="Top 5: Empowering Women at Work"/>
        <s v="Customer Connection Helps Optimize Products"/>
        <s v="Security Is in Your Hands"/>
        <s v="Phase One of SAP.com Goes Live"/>
        <s v="New Regional Appointments in EMEA and MEE"/>
        <s v="Is Unpredictability the New Norm?"/>
        <s v="Regaining the Upper Hand with S4HANA"/>
        <s v="2015: Full Throttle for Cloud Growth"/>
        <s v="Capturing the Essence of SAP"/>
        <s v="The Disruptors: Harley to Minas Gerais"/>
        <s v="Career Path: From Manager to Expert"/>
        <s v="Are You a Sports Ignoramus?"/>
        <s v="SAP at World Economic Forum (Day 1)"/>
        <s v="Will Berlin Out-Innovate Silicon Valley?"/>
        <s v="Hidden Champion: The Crisis Manager"/>
        <s v="Forklift Meets Cloud"/>
        <s v="A Business Leader in Marketing"/>
        <s v="Top Five Things to Know: Cristina Palmaka"/>
        <s v="Decoding the Human Body"/>
        <s v="Watch for These Top Trends in 2015"/>
        <s v="Bill in MENA: Exciting New Prospects"/>
        <s v="The Business Re-Imaginer"/>
        <s v="Connecting the Autism Community"/>
        <s v="The Complexity Antidote"/>
        <s v="Cirque du Soleil - Free to be Creative"/>
        <s v="The Disruptors: Eldorado for Shoppers"/>
        <s v="Digitized Health Care Saves Lives"/>
        <s v="Four Times to the Moon and Back"/>
        <s v="SAP Turbo-Charges Education"/>
        <s v="The Disruptors: Tech Dress at Work"/>
        <s v="Building Bridges: Sound of Collaboration"/>
        <s v="Ideas with Impact"/>
        <s v="Photo Contest: 2014 Winners Announced"/>
        <s v="“How We Run” Takes Off"/>
        <s v="Get Your Cricket World Cup Updates"/>
        <s v="The Difference Between Life and Death"/>
        <s v="Need to Know: SAP Corporate Framework"/>
        <s v="The Disruptors: Plant Bottles, not Plastic"/>
        <s v="Sending the Right Message"/>
        <s v="Big S/4HANA Wins in Latin America"/>
        <s v="Powering the Energy Revolution"/>
        <s v="“I Was Born This Way”"/>
        <s v="SAP Labs India Hosts IoT Day"/>
        <s v="SAP and NHL Team up for Hockey Fans"/>
        <s v="Getting Ahead of the Curve in Safety"/>
        <s v="Sleeping Beauties"/>
        <s v="The Disruptors: People, Planet, Profit"/>
        <s v="Healthcare gets the IT Treatment"/>
        <s v="Hate Your Job?"/>
        <s v="Out of This World"/>
        <s v="Career Coaching (1/3)"/>
        <s v="A New Perspective on IoT"/>
        <s v="Telcos Tap into the Connected Woman"/>
        <s v="MWC- Mobile Industry’s Reality Test"/>
        <s v="SAP Inspiration Pavilion Opens in Beijing"/>
        <s v="The Edge of Innovation"/>
        <s v="Career Coaching (2/3)"/>
        <s v="Unleash the Startup in You"/>
        <s v="The Disruptors: Barcelona For You!"/>
        <s v="Culture Wall Up and Running"/>
        <s v="Career Coaching (3/3)"/>
        <s v="Walldorf and Silicon Valley in Tech Fever"/>
        <s v="Women’s Day: Make It Happen!"/>
        <s v="Next Generation of SAP MaxAttention"/>
        <s v="The Disruptors: Getting Personal With Big Data"/>
        <s v="A Showcase for Real-Time Retail"/>
        <s v="Creating A Strong Culture"/>
        <s v="Jenny Dearborn: Powerful Leader in IT"/>
        <s v="How Jaime Found His Dream Job"/>
        <s v="Introducing the New SAP Store"/>
        <s v="HanaHaus Opens in Palo Alto"/>
        <s v="Never Lose Your Sense of Curiosity"/>
        <s v="Hidden Champion: The Global Citizen"/>
        <s v="The Disruptors: These Schutz are Made for Walking"/>
        <s v="Photo Contest: Diversity &amp; Inclusion"/>
        <s v="Strong Commitment Increases Profit"/>
        <s v="CeBIT 2015: High-Touch SAP"/>
        <s v="Cricket Fans Bowled Over by SAP"/>
        <s v="Apple Pay and the Payment Platform Revolution"/>
        <s v="Hands On with High Tech"/>
        <s v="InnoJam: Smart(Cit)ies Have the Answer"/>
        <s v="How Fit Are You Really?"/>
        <s v="The Disruptors: Bikers Against Disease"/>
        <s v="Welcome to the Talent Journey!"/>
        <s v="Solving the Cancer Puzzle with SAP HANA"/>
        <s v="SAP Mourns Klaus Tschira"/>
        <s v="No Innovation Without Learning"/>
        <s v="Thinking Faster with SAP HANA In Your Head — Literally"/>
        <s v="How Does the Cloud Benefit HR?"/>
        <s v="Six Tips for Better Clicks"/>
        <s v="Just Ask Dr. B. Data"/>
        <s v="Accelerating Cloud Growth – The Lowdown"/>
        <s v="Brazil Inc – Nailing Complexity"/>
        <s v="The Disruptors: Eco Easter Eggs"/>
        <s v="Dare to be Scared"/>
        <s v="Brazil Inc, Part 2: Investing Smartly"/>
        <s v="Top Five Things to Know: Paula Jacomo"/>
        <s v="Mission Control, we Fly to Mars"/>
        <s v="IT &amp; Healthcare Illustrated"/>
        <s v="The Future of Talent Management"/>
        <s v="SAP Forum in Moscow Takes Off"/>
        <s v="The Disruptors: No End to the Innovation Race"/>
        <s v="Who Are You Calling a Nerd? SAP Employees Hit the Road"/>
        <s v="A Python on My Way to School"/>
        <s v="Double Win for Manufacturing"/>
        <s v="Bill and François Hollande Talk Technology"/>
        <s v="S/4HANA: “The Big New Thing”"/>
        <s v="From Refugee to Tech Exec"/>
        <s v="A Matter of Integrity"/>
        <s v="Social Sabbatical: Not a One Way Street"/>
        <s v="Q1: Exceptional Cloud Growth"/>
        <s v="New Behaviors at SAP"/>
        <s v="Master of Arts"/>
        <s v="“A Very Substantial Cloud Business”"/>
        <s v="The Disruptors: Shirt Delivery by Drone?"/>
        <s v="Robots for Babies"/>
        <s v="Dietmar Hopp Celebrates his 75th Birthday"/>
        <s v="IT Powers the Energy Sector"/>
        <s v="SAP Founders’ Award Reloaded"/>
        <s v="From Drones to Selfie Sticks"/>
        <s v="Nepal Earthquake: SAP Supports Red Cross"/>
        <s v="Kenya: Going Far Together"/>
        <s v="Intrapreneurship: Where Are We Now?"/>
        <s v="SAP Sports One at the Starting Line"/>
        <s v="The Disruptors: Five Cents for a Clean Toilet"/>
        <s v="The In-Memory Revolution"/>
        <s v="Lockdown in Chicago"/>
        <s v="Creativity and the Art of Completion"/>
        <s v="SME Coaching For Free"/>
        <s v="Greater Mobile Productivity Now"/>
        <s v="B/E Aerospace is Flying High"/>
        <s v="Key Accelerator for SAP´s Growth Aspirations"/>
        <s v="A Question of Quality"/>
        <s v="Hot and Cloudy, Chance of Meatballs"/>
        <s v="“The Consumer Rules”"/>
        <s v="The Digital Economy in the Spotlight"/>
        <s v="Women’s Leadership Summit 2015"/>
        <s v="Spotting the Centaur at SAPPHIRE NOW"/>
        <s v="From Selling Products to Selling Outcomes"/>
        <s v="Executive Board Meetings of the Future"/>
        <s v="Smart Business Networks"/>
        <s v="Transform Information Into Action"/>
        <s v="Photo Contest “On the Move”"/>
        <s v="Get Designing"/>
        <s v="Molecular Health: A Technology Trailblazer"/>
        <s v="Remote Access Made Simple"/>
        <s v="AMG Moves into the Fast Lane"/>
        <s v="Gender Quota for Supervisory Board"/>
        <s v="Early Achievers"/>
        <s v="Adding Energy to Red Bull"/>
        <s v="Investing in Future Tech Talent"/>
        <s v="The Disruptors: Bring On BI"/>
        <s v="Digital Transformation at Bayer"/>
        <s v="The Secret to Product Success"/>
        <s v="Career Success Center Kicks Off"/>
        <s v="The Disruptors: Unique Solutions"/>
        <s v="Nostalgic-Art Tests In-Memory Platform"/>
        <s v="Marketplace for Connected Car Services"/>
        <s v="SAP Supports Non-Discrimination Act"/>
        <s v="Analyzing the Game"/>
        <s v="Becoming Simply Irresistible"/>
        <s v="Atos Doubles Its Revenue with SAP"/>
        <s v="Powering up East Africa"/>
        <s v="Surge in SAP Brand Value"/>
        <s v="COPE Gives Franz Confidence"/>
        <s v="Growth and Jobs Through Digitalization"/>
        <s v="HANA Spatial: Where Are They Now?"/>
        <s v="Photo Contest: On the Move"/>
        <s v="Ready for Five Generations in Your Workplace?"/>
        <s v="ZERO Downtime: Mission Accomplished"/>
        <s v="Salesforce.com: Poster Child for Cloud 1.0"/>
        <s v="Seven SAP Channel Execs Honored"/>
        <s v="The Disruptors: Klitschko’s City Knockout"/>
        <s v="Now Showing in Airports Near You"/>
        <s v="“Everything Is Possible at SAP”"/>
        <s v="Vote Now!"/>
        <s v="Designing with the Elderly"/>
        <s v="Breakthroughs? Take A Break"/>
        <s v="Why Ikram Can’t Find a Job"/>
        <s v="Building dreams"/>
        <s v="Innovation Spotting at the Paris Air Show"/>
        <s v="Where in the World Do we Run Simple?"/>
        <s v="Removing the Boardroom Blindfolds"/>
        <s v="Trash After the Big Bash"/>
        <s v="Dynamic Online Learning"/>
        <s v="And the Winner Is…"/>
        <s v="Shravan Finds His Place"/>
        <s v="The Disruptors: Become a Smart Port"/>
        <s v="Overcoming Every Hurdle"/>
        <s v="Simpler, Faster, Unified, Efficient"/>
        <s v="Crafty Tunes with Music 4.0"/>
        <s v="Ford and SAP Put Design in High Gear"/>
        <s v="Restoring Growth Across Latin America"/>
        <s v="Software Coding in Lagos"/>
        <s v="SAP Waves the Rainbow Flag"/>
        <s v="Cultivating Our Curiosity"/>
        <s v="They Came, Pitched, and Conquered"/>
        <s v="Fresh Face Joins the Supervisory Board"/>
        <s v="Top Honors for TwoGo by SAP"/>
        <s v="Fashion Gets a Tech Makeover"/>
        <s v="Ariba: All Fired Up"/>
        <s v="Taking Football into the Cloud"/>
        <s v="Greek Debt Crisis"/>
        <s v="Living the New Behaviors"/>
        <s v="Founders’ Award: Where Are We Now?"/>
        <s v="Quentin Clark Appointed to SAP Board"/>
        <s v="Never Too Early for STEM"/>
        <s v="Photo Contest: Street Photography"/>
        <s v="Go West, Young Man"/>
        <s v="Diversity and the Digital Economy"/>
        <s v="Coaching, Leading, Managing"/>
        <s v="Innovative Israel"/>
        <s v="Let’s Get Physical"/>
        <s v="The Adventures of Super Simple"/>
        <s v="Define Your Career"/>
        <s v="Gamification: Party Pirate Style"/>
        <s v="Lync Succeeds SAP Connect for Meetings"/>
        <s v="Mitigate Slavery in the Supply Chain"/>
        <s v="The Making of “In the Clouds with SAP”"/>
        <s v="SAP Grows in the Cloud and Network"/>
        <s v="Making Security Run Simple"/>
        <s v="Good Job, Keep Rolling, Stop Flying"/>
        <s v="The Disruptors: Why Fieldglass is One"/>
        <s v="Taylor Made, Disaster on the Hudson"/>
        <s v="Israel and Germany: Trust Breeds Innovation"/>
        <s v="Adapt or Die"/>
        <s v="From Poaching to Farming"/>
        <s v="Customer Survey: Please, Keep it Simple"/>
        <s v="Coding and Corner Kicks"/>
        <s v="Unified Ticketing: One Support for Everyone"/>
        <s v="Spotlight on Women Leaders at SAP"/>
        <s v="Talking Trash at Lunch"/>
        <s v="The Digital Economy Manifesto"/>
        <s v="Structure + Freedom = Innovation"/>
        <s v="SAP on Wheels"/>
        <s v="Educational Equity Fueled by Tech"/>
        <s v="Recipe for a Sports App"/>
        <s v="The Valley Revs Up Social Start Ups"/>
        <s v="A Dynamic Duo"/>
        <s v="…Sails to Sales Success"/>
        <s v="Kids Discover The Digital Economy"/>
        <s v="Putting the Swing Back in Walldorf"/>
        <s v="Wipe Your Lenses and Hit the Streets!"/>
        <s v="Two Sides of the Same Coin"/>
        <s v="Ending Supply Chain Slavery"/>
        <s v="A Matter Of Support"/>
        <s v="The Crippling Cost of Sports Injuries"/>
        <s v="Innovation in a Lump of Iron"/>
        <s v="The Pitfalls of Brand Journalism"/>
        <s v="Parlez-Vous Business in Africa?"/>
        <s v="Wake Up and Smell the Crayons"/>
        <s v="Tapping IoT’s Potential"/>
        <s v="Making Sailing Simpler"/>
        <s v="Don’t be a Dodo"/>
        <s v="The Neglected Morality of IoT"/>
        <s v="Digitization with Extra Horsepower"/>
        <s v="Platforms Are Hot Again. Digitize Now!"/>
        <s v="Easier Partnering, Bigger Opportunities"/>
        <s v="Cat Videos Are Overrated"/>
        <s v="SAP S/4HANA Branding Update"/>
        <s v="Refugee Crisis – How You Can Help"/>
        <s v="Power in Employees’ Pockets"/>
        <s v="The Disruptors: Data Doctors Trust"/>
        <s v="Black and White"/>
        <s v="Customers Are in the Driver’s Seat Now"/>
        <s v="Be a Hero. No Cape Required."/>
        <s v="“I Feel Stronger Than Ever”"/>
        <s v="We’re Not in Kansas Anymore"/>
        <s v="SAP Responds to the Refugee Crisis"/>
        <s v="Team U.S. Wins the Solheim Cup"/>
        <s v="SAP’s Fast and Furious Facts"/>
        <s v="When Smart Cities Fight Mother Nature"/>
        <s v="Hackers Meet Their Match in SAP"/>
        <s v="Driving IT Innovation (Literally)"/>
        <s v="Let's Get Real"/>
        <s v="How to Design Digital Transformation"/>
        <s v="SAP Strategy, Live and In Color"/>
        <s v="Wearable at Work – The SAP and Google Challenge"/>
        <s v="Ready, Set, Code! STEM’s Africa Road Show"/>
        <s v="Michael Kleinemeier Joins Executive Board"/>
        <s v="One4: You Can Help the Refugee Crisis NOW"/>
        <s v="SAP Expands HCM Suite with Multiposting"/>
        <s v="Customer Hops Onto SAP HANA Express"/>
        <s v="Q3: Record Results in the Cloud"/>
        <s v="The Play-by-Play on SAP Sports One"/>
        <s v="#One4: The Power of One Idea"/>
        <s v="Coding the Future: Fresh Perspectives"/>
        <s v="Innovation Deals a Blow Against Cancer"/>
        <s v="SAP HANA Support Packs a Punch"/>
        <s v="The Spirit of Solidarity"/>
        <s v="Record Q3 Results Are Confirmed"/>
        <s v="And the Winner Is…."/>
        <s v="“No Room for Complacency”"/>
        <s v="SAP S/4HANA Goes Way off the Charts"/>
        <s v="The Disruptors – Where robots do the dirty work"/>
        <s v="The Quality Execution Principle"/>
        <s v="From Leadership to Legacy"/>
        <s v="Innovation, Entrepreneurialism, Courage: From AribaPay to Suseo Rail"/>
        <s v="A Sporting Showcase for Technology"/>
        <s v="What’s Got Turkey Talking?"/>
        <s v="Living Simple"/>
        <s v="Computers and the Tyranny of the Present"/>
        <s v="Oil and Safety Mix Well in Azerbaijan"/>
        <s v="SAP on the Hill: 1 Minute Mini Series"/>
        <s v="Data Dilemma"/>
        <s v="Heralding the Future"/>
        <s v="Vive la France"/>
        <s v="SAP Employees Break Volunteering Record"/>
        <s v="What Moved You Most in 2015?"/>
        <s v="SAP’s Light Bulb Moment"/>
        <s v="SAP Aces Corporate Equality Index for LGBT Inclusion"/>
        <s v="Funding a Worthy Cause"/>
        <s v="Delivering on a Promise"/>
        <s v="Dare to Be More Human"/>
        <s v="“I Love to Score Goals”"/>
        <s v="Time is Running Out"/>
        <s v="“We Can Help Mitigate the Risks”"/>
        <s v="The Connected Stadium @ FC Bayern Munich"/>
        <s v="Totems of Technology"/>
        <s v="How Cities Are Turning Down the Heat"/>
        <s v="Enter the Green Cloud"/>
        <s v="Steve Lucas Talks SAP HANA"/>
        <s v="Steve Lucas – SAP HANA DELIVERS!"/>
        <s v="Putting Trees Back Where They Belong"/>
        <s v="SAP HANA, Now More Than Ever"/>
        <s v="The Platform for Everyone"/>
        <s v="Parking Made Painless"/>
        <s v="SAP HANA Healthcare – Dawn of New Era"/>
        <s v="The Digital Rescuer"/>
        <s v="Difference Makers!"/>
        <s v="Crescent Garden Runs Simple!"/>
        <s v="Digital India on the Rise"/>
        <s v="How Brazil’s River People Can Save the Amazon"/>
        <s v="Advise and Consult"/>
        <s v="Social Business Takes Root in Eastern Europe"/>
        <s v="Siemens Industry: Three Pillars Bolster the First “Big Thing”"/>
        <s v="11 Real World Examples of Digital Transformation "/>
        <s v="Laughing All the Way to the Bank"/>
        <s v="Employees Support Relief Efforts in Chennai"/>
      </sharedItems>
    </cacheField>
    <cacheField name="Owner" numFmtId="0">
      <sharedItems containsBlank="1"/>
    </cacheField>
    <cacheField name="Date" numFmtId="0">
      <sharedItems containsNonDate="0" containsDate="1" containsString="0" containsBlank="1" minDate="2015-01-01T00:00:00" maxDate="2015-12-24T00:00:00" count="213">
        <m/>
        <d v="2015-01-01T00:00:00"/>
        <d v="2015-01-02T00:00:00"/>
        <d v="2015-01-05T00:00:00"/>
        <d v="2015-01-06T00:00:00"/>
        <d v="2015-01-09T00:00:00"/>
        <d v="2015-01-12T00:00:00"/>
        <d v="2015-01-15T00:00:00"/>
        <d v="2015-01-16T00:00:00"/>
        <d v="2015-01-19T00:00:00"/>
        <d v="2015-01-20T00:00:00"/>
        <d v="2015-01-21T00:00:00"/>
        <d v="2015-01-22T00:00:00"/>
        <d v="2015-01-23T00:00:00"/>
        <d v="2015-01-26T00:00:00"/>
        <d v="2015-01-27T00:00:00"/>
        <d v="2015-01-28T00:00:00"/>
        <d v="2015-01-29T00:00:00"/>
        <d v="2015-01-30T00:00:00"/>
        <d v="2015-02-01T00:00:00"/>
        <d v="2015-02-02T00:00:00"/>
        <d v="2015-02-03T00:00:00"/>
        <d v="2015-02-05T00:00:00"/>
        <d v="2015-02-06T00:00:00"/>
        <d v="2015-02-11T00:00:00"/>
        <d v="2015-02-12T00:00:00"/>
        <d v="2015-02-13T00:00:00"/>
        <d v="2015-02-16T00:00:00"/>
        <d v="2015-02-17T00:00:00"/>
        <d v="2015-02-18T00:00:00"/>
        <d v="2015-02-20T00:00:00"/>
        <d v="2015-02-21T00:00:00"/>
        <d v="2015-02-23T00:00:00"/>
        <d v="2015-02-24T00:00:00"/>
        <d v="2015-02-25T00:00:00"/>
        <d v="2015-02-26T00:00:00"/>
        <d v="2015-02-27T00:00:00"/>
        <d v="2015-03-02T00:00:00"/>
        <d v="2015-03-03T00:00:00"/>
        <d v="2015-03-04T00:00:00"/>
        <d v="2015-03-05T00:00:00"/>
        <d v="2015-03-06T00:00:00"/>
        <d v="2015-03-10T00:00:00"/>
        <d v="2015-03-11T00:00:00"/>
        <d v="2015-03-12T00:00:00"/>
        <d v="2015-03-13T00:00:00"/>
        <d v="2015-03-16T00:00:00"/>
        <d v="2015-03-17T00:00:00"/>
        <d v="2015-03-18T00:00:00"/>
        <d v="2015-03-19T00:00:00"/>
        <d v="2015-03-20T00:00:00"/>
        <d v="2015-03-23T00:00:00"/>
        <d v="2015-03-24T00:00:00"/>
        <d v="2015-03-25T00:00:00"/>
        <d v="2015-03-26T00:00:00"/>
        <d v="2015-03-30T00:00:00"/>
        <d v="2015-03-31T00:00:00"/>
        <d v="2015-04-01T00:00:00"/>
        <d v="2015-04-02T00:00:00"/>
        <d v="2015-04-07T00:00:00"/>
        <d v="2015-04-08T00:00:00"/>
        <d v="2015-04-09T00:00:00"/>
        <d v="2015-04-13T00:00:00"/>
        <d v="2015-04-14T00:00:00"/>
        <d v="2015-04-15T00:00:00"/>
        <d v="2015-04-16T00:00:00"/>
        <d v="2015-04-17T00:00:00"/>
        <d v="2015-04-20T00:00:00"/>
        <d v="2015-04-21T00:00:00"/>
        <d v="2015-04-22T00:00:00"/>
        <d v="2015-04-23T00:00:00"/>
        <d v="2015-04-24T00:00:00"/>
        <d v="2015-04-27T00:00:00"/>
        <d v="2015-04-28T00:00:00"/>
        <d v="2015-04-29T00:00:00"/>
        <d v="2015-04-30T00:00:00"/>
        <d v="2015-05-01T00:00:00"/>
        <d v="2015-05-04T00:00:00"/>
        <d v="2015-05-06T00:00:00"/>
        <d v="2015-05-07T00:00:00"/>
        <d v="2015-05-08T00:00:00"/>
        <d v="2015-05-10T00:00:00"/>
        <d v="2015-05-13T00:00:00"/>
        <d v="2015-05-14T00:00:00"/>
        <d v="2015-05-15T00:00:00"/>
        <d v="2015-05-18T00:00:00"/>
        <d v="2015-05-19T00:00:00"/>
        <d v="2015-05-20T00:00:00"/>
        <d v="2015-05-22T00:00:00"/>
        <d v="2015-05-25T00:00:00"/>
        <d v="2015-05-26T00:00:00"/>
        <d v="2015-05-27T00:00:00"/>
        <d v="2015-05-28T00:00:00"/>
        <d v="2015-05-29T00:00:00"/>
        <d v="2015-06-01T00:00:00"/>
        <d v="2015-06-02T00:00:00"/>
        <d v="2015-06-03T00:00:00"/>
        <d v="2015-06-04T00:00:00"/>
        <d v="2015-06-08T00:00:00"/>
        <d v="2015-06-09T00:00:00"/>
        <d v="2015-06-10T00:00:00"/>
        <d v="2015-06-11T00:00:00"/>
        <d v="2015-06-15T00:00:00"/>
        <d v="2015-06-16T00:00:00"/>
        <d v="2015-06-17T00:00:00"/>
        <d v="2015-06-18T00:00:00"/>
        <d v="2015-06-22T00:00:00"/>
        <d v="2015-06-23T00:00:00"/>
        <d v="2015-06-24T00:00:00"/>
        <d v="2015-06-25T00:00:00"/>
        <d v="2015-06-26T00:00:00"/>
        <d v="2015-06-29T00:00:00"/>
        <d v="2015-07-01T00:00:00"/>
        <d v="2015-07-02T00:00:00"/>
        <d v="2015-07-03T00:00:00"/>
        <d v="2015-07-06T00:00:00"/>
        <d v="2015-07-07T00:00:00"/>
        <d v="2015-07-09T00:00:00"/>
        <d v="2015-07-10T00:00:00"/>
        <d v="2015-07-13T00:00:00"/>
        <d v="2015-07-14T00:00:00"/>
        <d v="2015-07-15T00:00:00"/>
        <d v="2015-07-16T00:00:00"/>
        <d v="2015-07-17T00:00:00"/>
        <d v="2015-07-20T00:00:00"/>
        <d v="2015-07-21T00:00:00"/>
        <d v="2015-07-22T00:00:00"/>
        <d v="2015-07-23T00:00:00"/>
        <d v="2015-07-24T00:00:00"/>
        <d v="2015-07-27T00:00:00"/>
        <d v="2015-07-28T00:00:00"/>
        <d v="2015-07-29T00:00:00"/>
        <d v="2015-07-30T00:00:00"/>
        <d v="2015-07-31T00:00:00"/>
        <d v="2015-08-03T00:00:00"/>
        <d v="2015-08-04T00:00:00"/>
        <d v="2015-08-05T00:00:00"/>
        <d v="2015-08-06T00:00:00"/>
        <d v="2015-08-07T00:00:00"/>
        <d v="2015-08-10T00:00:00"/>
        <d v="2015-08-11T00:00:00"/>
        <d v="2015-08-12T00:00:00"/>
        <d v="2015-08-13T00:00:00"/>
        <d v="2015-08-17T00:00:00"/>
        <d v="2015-08-18T00:00:00"/>
        <d v="2015-08-19T00:00:00"/>
        <d v="2015-08-20T00:00:00"/>
        <d v="2015-08-21T00:00:00"/>
        <d v="2015-08-24T00:00:00"/>
        <d v="2015-08-25T00:00:00"/>
        <d v="2015-08-26T00:00:00"/>
        <d v="2015-08-28T00:00:00"/>
        <d v="2015-08-31T00:00:00"/>
        <d v="2015-09-01T00:00:00"/>
        <d v="2015-09-03T00:00:00"/>
        <d v="2015-09-08T00:00:00"/>
        <d v="2015-09-09T00:00:00"/>
        <d v="2015-09-10T00:00:00"/>
        <d v="2015-09-11T00:00:00"/>
        <d v="2015-09-14T00:00:00"/>
        <d v="2015-09-15T00:00:00"/>
        <d v="2015-09-16T00:00:00"/>
        <d v="2015-09-17T00:00:00"/>
        <d v="2015-09-22T00:00:00"/>
        <d v="2015-09-23T00:00:00"/>
        <d v="2015-09-25T00:00:00"/>
        <d v="2015-09-28T00:00:00"/>
        <d v="2015-09-29T00:00:00"/>
        <d v="2015-09-30T00:00:00"/>
        <d v="2015-10-01T00:00:00"/>
        <d v="2015-10-08T00:00:00"/>
        <d v="2015-10-09T00:00:00"/>
        <d v="2015-10-12T00:00:00"/>
        <d v="2015-10-13T00:00:00"/>
        <d v="2015-10-15T00:00:00"/>
        <d v="2015-10-16T00:00:00"/>
        <d v="2015-10-19T00:00:00"/>
        <d v="2015-10-20T00:00:00"/>
        <d v="2015-10-21T00:00:00"/>
        <d v="2015-10-22T00:00:00"/>
        <d v="2015-10-23T00:00:00"/>
        <d v="2015-10-28T00:00:00"/>
        <d v="2015-11-01T00:00:00"/>
        <d v="2015-11-04T00:00:00"/>
        <d v="2015-11-06T00:00:00"/>
        <d v="2015-11-10T00:00:00"/>
        <d v="2015-11-11T00:00:00"/>
        <d v="2015-11-12T00:00:00"/>
        <d v="2015-11-14T00:00:00"/>
        <d v="2015-11-17T00:00:00"/>
        <d v="2015-11-20T00:00:00"/>
        <d v="2015-11-23T00:00:00"/>
        <d v="2015-11-24T00:00:00"/>
        <d v="2015-11-25T00:00:00"/>
        <d v="2015-11-27T00:00:00"/>
        <d v="2015-11-30T00:00:00"/>
        <d v="2015-12-02T00:00:00"/>
        <d v="2015-12-03T00:00:00"/>
        <d v="2015-12-04T00:00:00"/>
        <d v="2015-12-05T00:00:00"/>
        <d v="2015-12-07T00:00:00"/>
        <d v="2015-12-08T00:00:00"/>
        <d v="2015-12-09T00:00:00"/>
        <d v="2015-12-10T00:00:00"/>
        <d v="2015-12-11T00:00:00"/>
        <d v="2015-12-13T00:00:00"/>
        <d v="2015-12-14T00:00:00"/>
        <d v="2015-12-15T00:00:00"/>
        <d v="2015-12-16T00:00:00"/>
        <d v="2015-12-17T00:00:00"/>
        <d v="2015-12-18T00:00:00"/>
        <d v="2015-12-21T00:00:00"/>
        <d v="2015-12-23T00:00:00"/>
      </sharedItems>
    </cacheField>
    <cacheField name="Multimedia Resources" numFmtId="0">
      <sharedItems containsBlank="1" count="10">
        <m/>
        <s v="Video"/>
        <s v="Video, Infographic"/>
        <s v="Infographic"/>
        <s v="Slideshow"/>
        <s v="Video, Slideshow"/>
        <s v="Video, Infographic, Slideshow"/>
        <s v="Slideshow, Video"/>
        <s v="Infographic, Video"/>
        <s v="Slideshow, Infographic"/>
      </sharedItems>
    </cacheField>
    <cacheField name="GCA Move the Needle" numFmtId="0">
      <sharedItems containsBlank="1"/>
    </cacheField>
    <cacheField name="Board Area" numFmtId="0">
      <sharedItems containsBlank="1"/>
    </cacheField>
    <cacheField name="Customer" numFmtId="0">
      <sharedItems containsBlank="1"/>
    </cacheField>
    <cacheField name="Region" numFmtId="0">
      <sharedItems containsBlank="1"/>
    </cacheField>
    <cacheField name="Corporate Portal (Views)" numFmtId="0">
      <sharedItems containsBlank="1" containsMixedTypes="1" containsNumber="1" containsInteger="1" minValue="9" maxValue="27449"/>
    </cacheField>
    <cacheField name="Corporate Portal (Comments)" numFmtId="0">
      <sharedItems containsBlank="1" containsMixedTypes="1" containsNumber="1" containsInteger="1" minValue="0" maxValue="359"/>
    </cacheField>
    <cacheField name="Forbes (Views)" numFmtId="0">
      <sharedItems containsBlank="1" containsMixedTypes="1" containsNumber="1" containsInteger="1" minValue="268" maxValue="12669"/>
    </cacheField>
    <cacheField name="Forbes (Comments)" numFmtId="0">
      <sharedItems containsBlank="1" containsMixedTypes="1" containsNumber="1" containsInteger="1" minValue="0" maxValue="2"/>
    </cacheField>
    <cacheField name="News Center (Views)" numFmtId="0">
      <sharedItems containsBlank="1" containsMixedTypes="1" containsNumber="1" containsInteger="1" minValue="15" maxValue="2180"/>
    </cacheField>
    <cacheField name="News Center (Comments)" numFmtId="0">
      <sharedItems containsBlank="1" containsMixedTypes="1" containsNumber="1" containsInteger="1" minValue="0" maxValue="1"/>
    </cacheField>
    <cacheField name="Business Trends / SCN (Views)" numFmtId="0">
      <sharedItems containsBlank="1" containsMixedTypes="1" containsNumber="1" containsInteger="1" minValue="45" maxValue="7140"/>
    </cacheField>
    <cacheField name="Business Trends / SCN (Comments)" numFmtId="0">
      <sharedItems containsBlank="1" containsMixedTypes="1" containsNumber="1" containsInteger="1" minValue="0" maxValue="12"/>
    </cacheField>
    <cacheField name="Twitter @SAPnews  (Impressions)" numFmtId="0">
      <sharedItems containsBlank="1" containsMixedTypes="1" containsNumber="1" containsInteger="1" minValue="14016" maxValue="105718"/>
    </cacheField>
    <cacheField name="Twitter @SAPnews (Engagement)" numFmtId="0">
      <sharedItems containsBlank="1" containsMixedTypes="1" containsNumber="1" containsInteger="1" minValue="0" maxValue="14"/>
    </cacheField>
    <cacheField name="Total of Views" numFmtId="0">
      <sharedItems containsString="0" containsBlank="1" containsNumber="1" containsInteger="1" minValue="0" maxValue="27449"/>
    </cacheField>
    <cacheField name="Total of Comments" numFmtId="0">
      <sharedItems containsString="0" containsBlank="1" containsNumber="1" containsInteger="1" minValue="0" maxValue="35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r:id="rId1" refreshedBy="Aguirre, David Aguirr (external - Temp Staff)" refreshedDate="42376.488469444441" createdVersion="5" refreshedVersion="5" minRefreshableVersion="3" recordCount="479">
  <cacheSource type="worksheet">
    <worksheetSource ref="A7:T483" sheet="Metrics - Articles"/>
  </cacheSource>
  <cacheFields count="20">
    <cacheField name="Title + Embedded Link  " numFmtId="0">
      <sharedItems containsBlank="1" count="350">
        <m/>
        <s v="A New Twist To the News"/>
        <s v="“The Driving Force is Data”"/>
        <s v="The Disruptors: Doing the Smart Thing"/>
        <s v="IBM is Practicing What SAP Teaches"/>
        <s v="Mobility Compliance Reloaded"/>
        <s v="Overcoming the Trust Deficit"/>
        <s v="Global Managing Board Adds Two Members"/>
        <s v="Photo Contest: Bending the Rules"/>
        <s v="The Results Are Out"/>
        <s v="SAP Achieves 2014 Outlook as Cloud Surges"/>
        <s v="Top 5: Empowering Women at Work"/>
        <s v="Customer Connection Helps Optimize Products"/>
        <s v="Security Is in Your Hands"/>
        <s v="Phase One of SAP.com Goes Live"/>
        <s v="New Regional Appointments in EMEA and MEE"/>
        <s v="Is Unpredictability the New Norm?"/>
        <s v="Regaining the Upper Hand with S4HANA"/>
        <s v="2015: Full Throttle for Cloud Growth"/>
        <s v="Capturing the Essence of SAP"/>
        <s v="The Disruptors: Harley to Minas Gerais"/>
        <s v="Career Path: From Manager to Expert"/>
        <s v="Are You a Sports Ignoramus?"/>
        <s v="SAP at World Economic Forum (Day 1)"/>
        <s v="Will Berlin Out-Innovate Silicon Valley?"/>
        <s v="Hidden Champion: The Crisis Manager"/>
        <s v="Forklift Meets Cloud"/>
        <s v="A Business Leader in Marketing"/>
        <s v="Top Five Things to Know: Cristina Palmaka"/>
        <s v="Decoding the Human Body"/>
        <s v="Watch for These Top Trends in 2015"/>
        <s v="Bill in MENA: Exciting New Prospects"/>
        <s v="The Business Re-Imaginer"/>
        <s v="Connecting the Autism Community"/>
        <s v="The Complexity Antidote"/>
        <s v="Cirque du Soleil - Free to be Creative"/>
        <s v="The Disruptors: Eldorado for Shoppers"/>
        <s v="Digitized Health Care Saves Lives"/>
        <s v="Four Times to the Moon and Back"/>
        <s v="SAP Turbo-Charges Education"/>
        <s v="The Disruptors: Tech Dress at Work"/>
        <s v="Building Bridges: Sound of Collaboration"/>
        <s v="Ideas with Impact"/>
        <s v="Photo Contest: 2014 Winners Announced"/>
        <s v="“How We Run” Takes Off"/>
        <s v="Get Your Cricket World Cup Updates"/>
        <s v="The Difference Between Life and Death"/>
        <s v="Need to Know: SAP Corporate Framework"/>
        <s v="The Disruptors: Plant Bottles, not Plastic"/>
        <s v="Sending the Right Message"/>
        <s v="Big S/4HANA Wins in Latin America"/>
        <s v="Powering the Energy Revolution"/>
        <s v="“I Was Born This Way”"/>
        <s v="SAP Labs India Hosts IoT Day"/>
        <s v="SAP and NHL Team up for Hockey Fans"/>
        <s v="Getting Ahead of the Curve in Safety"/>
        <s v="Sleeping Beauties"/>
        <s v="The Disruptors: People, Planet, Profit"/>
        <s v="Healthcare gets the IT Treatment"/>
        <s v="Hate Your Job?"/>
        <s v="Out of This World"/>
        <s v="Career Coaching (1/3)"/>
        <s v="A New Perspective on IoT"/>
        <s v="Telcos Tap into the Connected Woman"/>
        <s v="MWC- Mobile Industry’s Reality Test"/>
        <s v="SAP Inspiration Pavilion Opens in Beijing"/>
        <s v="The Edge of Innovation"/>
        <s v="Career Coaching (2/3)"/>
        <s v="Unleash the Startup in You"/>
        <s v="The Disruptors: Barcelona For You!"/>
        <s v="Culture Wall Up and Running"/>
        <s v="Career Coaching (3/3)"/>
        <s v="Walldorf and Silicon Valley in Tech Fever"/>
        <s v="Women’s Day: Make It Happen!"/>
        <s v="Next Generation of SAP MaxAttention"/>
        <s v="The Disruptors: Getting Personal With Big Data"/>
        <s v="A Showcase for Real-Time Retail"/>
        <s v="Creating A Strong Culture"/>
        <s v="Jenny Dearborn: Powerful Leader in IT"/>
        <s v="How Jaime Found His Dream Job"/>
        <s v="Introducing the New SAP Store"/>
        <s v="HanaHaus Opens in Palo Alto"/>
        <s v="Never Lose Your Sense of Curiosity"/>
        <s v="Hidden Champion: The Global Citizen"/>
        <s v="The Disruptors: These Schutz are Made for Walking"/>
        <s v="Photo Contest: Diversity &amp; Inclusion"/>
        <s v="Strong Commitment Increases Profit"/>
        <s v="CeBIT 2015: High-Touch SAP"/>
        <s v="Cricket Fans Bowled Over by SAP"/>
        <s v="Apple Pay and the Payment Platform Revolution"/>
        <s v="Hands On with High Tech"/>
        <s v="InnoJam: Smart(Cit)ies Have the Answer"/>
        <s v="How Fit Are You Really?"/>
        <s v="The Disruptors: Bikers Against Disease"/>
        <s v="Welcome to the Talent Journey!"/>
        <s v="Solving the Cancer Puzzle with SAP HANA"/>
        <s v="SAP Mourns Klaus Tschira"/>
        <s v="No Innovation Without Learning"/>
        <s v="Thinking Faster with SAP HANA In Your Head — Literally"/>
        <s v="How Does the Cloud Benefit HR?"/>
        <s v="Six Tips for Better Clicks"/>
        <s v="Just Ask Dr. B. Data"/>
        <s v="Accelerating Cloud Growth – The Lowdown"/>
        <s v="Brazil Inc – Nailing Complexity"/>
        <s v="The Disruptors: Eco Easter Eggs"/>
        <s v="Dare to be Scared"/>
        <s v="Brazil Inc, Part 2: Investing Smartly"/>
        <s v="Top Five Things to Know: Paula Jacomo"/>
        <s v="Mission Control, we Fly to Mars"/>
        <s v="IT &amp; Healthcare Illustrated"/>
        <s v="The Future of Talent Management"/>
        <s v="SAP Forum in Moscow Takes Off"/>
        <s v="The Disruptors: No End to the Innovation Race"/>
        <s v="Who Are You Calling a Nerd? SAP Employees Hit the Road"/>
        <s v="A Python on My Way to School"/>
        <s v="Double Win for Manufacturing"/>
        <s v="Bill and François Hollande Talk Technology"/>
        <s v="S/4HANA: “The Big New Thing”"/>
        <s v="From Refugee to Tech Exec"/>
        <s v="A Matter of Integrity"/>
        <s v="Social Sabbatical: Not a One Way Street"/>
        <s v="Q1: Exceptional Cloud Growth"/>
        <s v="New Behaviors at SAP"/>
        <s v="Master of Arts"/>
        <s v="“A Very Substantial Cloud Business”"/>
        <s v="The Disruptors: Shirt Delivery by Drone?"/>
        <s v="Robots for Babies"/>
        <s v="Dietmar Hopp Celebrates his 75th Birthday"/>
        <s v="IT Powers the Energy Sector"/>
        <s v="SAP Founders’ Award Reloaded"/>
        <s v="From Drones to Selfie Sticks"/>
        <s v="Nepal Earthquake: SAP Supports Red Cross"/>
        <s v="Kenya: Going Far Together"/>
        <s v="Intrapreneurship: Where Are We Now?"/>
        <s v="SAP Sports One at the Starting Line"/>
        <s v="The Disruptors: Five Cents for a Clean Toilet"/>
        <s v="The In-Memory Revolution"/>
        <s v="Lockdown in Chicago"/>
        <s v="Creativity and the Art of Completion"/>
        <s v="SME Coaching For Free"/>
        <s v="Greater Mobile Productivity Now"/>
        <s v="B/E Aerospace is Flying High"/>
        <s v="Key Accelerator for SAP´s Growth Aspirations"/>
        <s v="A Question of Quality"/>
        <s v="Hot and Cloudy, Chance of Meatballs"/>
        <s v="“The Consumer Rules”"/>
        <s v="The Digital Economy in the Spotlight"/>
        <s v="Women’s Leadership Summit 2015"/>
        <s v="Spotting the Centaur at SAPPHIRE NOW"/>
        <s v="From Selling Products to Selling Outcomes"/>
        <s v="Executive Board Meetings of the Future"/>
        <s v="Smart Business Networks"/>
        <s v="Transform Information Into Action"/>
        <s v="Photo Contest “On the Move”"/>
        <s v="Get Designing"/>
        <s v="Molecular Health: A Technology Trailblazer"/>
        <s v="Remote Access Made Simple"/>
        <s v="AMG Moves into the Fast Lane"/>
        <s v="Gender Quota for Supervisory Board"/>
        <s v="Early Achievers"/>
        <s v="Adding Energy to Red Bull"/>
        <s v="Investing in Future Tech Talent"/>
        <s v="The Disruptors: Bring On BI"/>
        <s v="Digital Transformation at Bayer"/>
        <s v="The Secret to Product Success"/>
        <s v="Career Success Center Kicks Off"/>
        <s v="The Disruptors: Unique Solutions"/>
        <s v="Nostalgic-Art Tests In-Memory Platform"/>
        <s v="Marketplace for Connected Car Services"/>
        <s v="SAP Supports Non-Discrimination Act"/>
        <s v="Analyzing the Game"/>
        <s v="Becoming Simply Irresistible"/>
        <s v="Atos Doubles Its Revenue with SAP"/>
        <s v="Powering up East Africa"/>
        <s v="Surge in SAP Brand Value"/>
        <s v="COPE Gives Franz Confidence"/>
        <s v="Growth and Jobs Through Digitalization"/>
        <s v="HANA Spatial: Where Are They Now?"/>
        <s v="Photo Contest: On the Move"/>
        <s v="Ready for Five Generations in Your Workplace?"/>
        <s v="ZERO Downtime: Mission Accomplished"/>
        <s v="Salesforce.com: Poster Child for Cloud 1.0"/>
        <s v="Seven SAP Channel Execs Honored"/>
        <s v="The Disruptors: Klitschko’s City Knockout"/>
        <s v="Now Showing in Airports Near You"/>
        <s v="“Everything Is Possible at SAP”"/>
        <s v="Vote Now!"/>
        <s v="Designing with the Elderly"/>
        <s v="Breakthroughs? Take A Break"/>
        <s v="Why Ikram Can’t Find a Job"/>
        <s v="Building dreams"/>
        <s v="Innovation Spotting at the Paris Air Show"/>
        <s v="Where in the World Do we Run Simple?"/>
        <s v="Removing the Boardroom Blindfolds"/>
        <s v="Trash After the Big Bash"/>
        <s v="Dynamic Online Learning"/>
        <s v="And the Winner Is…"/>
        <s v="Shravan Finds His Place"/>
        <s v="The Disruptors: Become a Smart Port"/>
        <s v="Overcoming Every Hurdle"/>
        <s v="Simpler, Faster, Unified, Efficient"/>
        <s v="Crafty Tunes with Music 4.0"/>
        <s v="Ford and SAP Put Design in High Gear"/>
        <s v="Restoring Growth Across Latin America"/>
        <s v="Software Coding in Lagos"/>
        <s v="SAP Waves the Rainbow Flag"/>
        <s v="Cultivating Our Curiosity"/>
        <s v="They Came, Pitched, and Conquered"/>
        <s v="Fresh Face Joins the Supervisory Board"/>
        <s v="Top Honors for TwoGo by SAP"/>
        <s v="Fashion Gets a Tech Makeover"/>
        <s v="Ariba: All Fired Up"/>
        <s v="Taking Football into the Cloud"/>
        <s v="Greek Debt Crisis"/>
        <s v="Living the New Behaviors"/>
        <s v="Founders’ Award: Where Are We Now?"/>
        <s v="Quentin Clark Appointed to SAP Board"/>
        <s v="Never Too Early for STEM"/>
        <s v="Photo Contest: Street Photography"/>
        <s v="Go West, Young Man"/>
        <s v="Diversity and the Digital Economy"/>
        <s v="Coaching, Leading, Managing"/>
        <s v="Innovative Israel"/>
        <s v="Let’s Get Physical"/>
        <s v="The Adventures of Super Simple"/>
        <s v="Define Your Career"/>
        <s v="Gamification: Party Pirate Style"/>
        <s v="Lync Succeeds SAP Connect for Meetings"/>
        <s v="Mitigate Slavery in the Supply Chain"/>
        <s v="The Making of “In the Clouds with SAP”"/>
        <s v="SAP Grows in the Cloud and Network"/>
        <s v="Making Security Run Simple"/>
        <s v="Good Job, Keep Rolling, Stop Flying"/>
        <s v="The Disruptors: Why Fieldglass is One"/>
        <s v="Taylor Made, Disaster on the Hudson"/>
        <s v="Israel and Germany: Trust Breeds Innovation"/>
        <s v="Adapt or Die"/>
        <s v="From Poaching to Farming"/>
        <s v="Customer Survey: Please, Keep it Simple"/>
        <s v="Coding and Corner Kicks"/>
        <s v="Unified Ticketing: One Support for Everyone"/>
        <s v="Spotlight on Women Leaders at SAP"/>
        <s v="Talking Trash at Lunch"/>
        <s v="The Digital Economy Manifesto"/>
        <s v="Structure + Freedom = Innovation"/>
        <s v="SAP on Wheels"/>
        <s v="Educational Equity Fueled by Tech"/>
        <s v="Recipe for a Sports App"/>
        <s v="The Valley Revs Up Social Start Ups"/>
        <s v="A Dynamic Duo"/>
        <s v="…Sails to Sales Success"/>
        <s v="Kids Discover The Digital Economy"/>
        <s v="Putting the Swing Back in Walldorf"/>
        <s v="Wipe Your Lenses and Hit the Streets!"/>
        <s v="Two Sides of the Same Coin"/>
        <s v="Ending Supply Chain Slavery"/>
        <s v="A Matter Of Support"/>
        <s v="The Crippling Cost of Sports Injuries"/>
        <s v="Innovation in a Lump of Iron"/>
        <s v="The Pitfalls of Brand Journalism"/>
        <s v="Parlez-Vous Business in Africa?"/>
        <s v="Wake Up and Smell the Crayons"/>
        <s v="Tapping IoT’s Potential"/>
        <s v="Making Sailing Simpler"/>
        <s v="Don’t be a Dodo"/>
        <s v="The Neglected Morality of IoT"/>
        <s v="Digitization with Extra Horsepower"/>
        <s v="Platforms Are Hot Again. Digitize Now!"/>
        <s v="Easier Partnering, Bigger Opportunities"/>
        <s v="Cat Videos Are Overrated"/>
        <s v="SAP S/4HANA Branding Update"/>
        <s v="Refugee Crisis – How You Can Help"/>
        <s v="Power in Employees’ Pockets"/>
        <s v="The Disruptors: Data Doctors Trust"/>
        <s v="Black and White"/>
        <s v="Customers Are in the Driver’s Seat Now"/>
        <s v="Be a Hero. No Cape Required."/>
        <s v="“I Feel Stronger Than Ever”"/>
        <s v="We’re Not in Kansas Anymore"/>
        <s v="SAP Responds to the Refugee Crisis"/>
        <s v="Team U.S. Wins the Solheim Cup"/>
        <s v="SAP’s Fast and Furious Facts"/>
        <s v="When Smart Cities Fight Mother Nature"/>
        <s v="Hackers Meet Their Match in SAP"/>
        <s v="Driving IT Innovation (Literally)"/>
        <s v="Let's Get Real"/>
        <s v="How to Design Digital Transformation"/>
        <s v="SAP Strategy, Live and In Color"/>
        <s v="Wearable at Work – The SAP and Google Challenge"/>
        <s v="Ready, Set, Code! STEM’s Africa Road Show"/>
        <s v="Michael Kleinemeier Joins Executive Board"/>
        <s v="One4: You Can Help the Refugee Crisis NOW"/>
        <s v="Customer Hops Onto SAP HANA Express"/>
        <s v="SAP Expands HCM Suite with Multiposting"/>
        <s v="Q3: Record Results in the Cloud"/>
        <s v="The Play-by-Play on SAP Sports One"/>
        <s v="#One4: The Power of One Idea"/>
        <s v="Innovation Deals a Blow Against Cancer"/>
        <s v="Coding the Future: Fresh Perspectives"/>
        <s v="SAP HANA Support Packs a Punch"/>
        <s v="The Spirit of Solidarity"/>
        <s v="Record Q3 Results Are Confirmed"/>
        <s v="And the Winner Is…."/>
        <s v="“No Room for Complacency”"/>
        <s v="SAP S/4HANA Goes Way off the Charts"/>
        <s v="The Disruptors – Where robots do the dirty work"/>
        <s v="The Quality Execution Principle"/>
        <s v="From Leadership to Legacy"/>
        <s v="Innovation, Entrepreneurialism, Courage: From AribaPay to Suseo Rail"/>
        <s v="A Sporting Showcase for Technology"/>
        <s v="What’s Got Turkey Talking?"/>
        <s v="Living Simple"/>
        <s v="Computers and the Tyranny of the Present"/>
        <s v="Oil and Safety Mix Well in Azerbaijan"/>
        <s v="SAP on the Hill: 1 Minute Mini Series"/>
        <s v="Data Dilemma"/>
        <s v="Heralding the Future"/>
        <s v="Vive la France"/>
        <s v="SAP Employees Break Volunteering Record"/>
        <s v="What Moved You Most in 2015?"/>
        <s v="SAP’s Light Bulb Moment"/>
        <s v="SAP Aces Corporate Equality Index for LGBT Inclusion"/>
        <s v="Funding a Worthy Cause"/>
        <s v="Dare to Be More Human"/>
        <s v="Delivering on a Promise"/>
        <s v="“I Love to Score Goals”"/>
        <s v="Time is Running Out"/>
        <s v="“We Can Help Mitigate the Risks”"/>
        <s v="The Connected Stadium @ FC Bayern Munich"/>
        <s v="Totems of Technology"/>
        <s v="How Cities Are Turning Down the Heat"/>
        <s v="Enter the Green Cloud"/>
        <s v="Steve Lucas Talks SAP HANA"/>
        <s v="Steve Lucas – SAP HANA DELIVERS!"/>
        <s v="Putting Trees Back Where They Belong"/>
        <s v="SAP HANA, Now More Than Ever"/>
        <s v="The Platform for Everyone"/>
        <s v="Parking Made Painless"/>
        <s v="SAP HANA Healthcare – Dawn of New Era"/>
        <s v="The Digital Rescuer"/>
        <s v="Difference Makers!"/>
        <s v="Crescent Garden Runs Simple!"/>
        <s v="Digital India on the Rise"/>
        <s v="How Brazil’s River People Can Save the Amazon"/>
        <s v="Advise and Consult"/>
        <s v="Social Business Takes Root in Eastern Europe"/>
        <s v="Siemens Industry: Three Pillars Bolster the First “Big Thing”"/>
        <s v="11 Real World Examples of Digital Transformation "/>
        <s v="Employees Support Relief Efforts in Chennai"/>
        <s v="Laughing All the Way to the Bank"/>
      </sharedItems>
    </cacheField>
    <cacheField name="Owner" numFmtId="0">
      <sharedItems containsBlank="1"/>
    </cacheField>
    <cacheField name="Date" numFmtId="0">
      <sharedItems containsNonDate="0" containsDate="1" containsString="0" containsBlank="1" minDate="2015-01-01T00:00:00" maxDate="2015-12-24T00:00:00" count="213">
        <m/>
        <d v="2015-01-01T00:00:00"/>
        <d v="2015-01-02T00:00:00"/>
        <d v="2015-01-05T00:00:00"/>
        <d v="2015-01-06T00:00:00"/>
        <d v="2015-01-09T00:00:00"/>
        <d v="2015-01-12T00:00:00"/>
        <d v="2015-01-15T00:00:00"/>
        <d v="2015-01-16T00:00:00"/>
        <d v="2015-01-19T00:00:00"/>
        <d v="2015-01-20T00:00:00"/>
        <d v="2015-01-21T00:00:00"/>
        <d v="2015-01-22T00:00:00"/>
        <d v="2015-01-23T00:00:00"/>
        <d v="2015-01-26T00:00:00"/>
        <d v="2015-01-27T00:00:00"/>
        <d v="2015-01-28T00:00:00"/>
        <d v="2015-01-29T00:00:00"/>
        <d v="2015-01-30T00:00:00"/>
        <d v="2015-02-01T00:00:00"/>
        <d v="2015-02-02T00:00:00"/>
        <d v="2015-02-03T00:00:00"/>
        <d v="2015-02-05T00:00:00"/>
        <d v="2015-02-06T00:00:00"/>
        <d v="2015-02-11T00:00:00"/>
        <d v="2015-02-12T00:00:00"/>
        <d v="2015-02-13T00:00:00"/>
        <d v="2015-02-16T00:00:00"/>
        <d v="2015-02-17T00:00:00"/>
        <d v="2015-02-18T00:00:00"/>
        <d v="2015-02-20T00:00:00"/>
        <d v="2015-02-21T00:00:00"/>
        <d v="2015-02-23T00:00:00"/>
        <d v="2015-02-24T00:00:00"/>
        <d v="2015-02-25T00:00:00"/>
        <d v="2015-02-26T00:00:00"/>
        <d v="2015-02-27T00:00:00"/>
        <d v="2015-03-02T00:00:00"/>
        <d v="2015-03-03T00:00:00"/>
        <d v="2015-03-04T00:00:00"/>
        <d v="2015-03-05T00:00:00"/>
        <d v="2015-03-06T00:00:00"/>
        <d v="2015-03-10T00:00:00"/>
        <d v="2015-03-11T00:00:00"/>
        <d v="2015-03-12T00:00:00"/>
        <d v="2015-03-13T00:00:00"/>
        <d v="2015-03-16T00:00:00"/>
        <d v="2015-03-17T00:00:00"/>
        <d v="2015-03-18T00:00:00"/>
        <d v="2015-03-19T00:00:00"/>
        <d v="2015-03-20T00:00:00"/>
        <d v="2015-03-23T00:00:00"/>
        <d v="2015-03-24T00:00:00"/>
        <d v="2015-03-25T00:00:00"/>
        <d v="2015-03-26T00:00:00"/>
        <d v="2015-03-30T00:00:00"/>
        <d v="2015-03-31T00:00:00"/>
        <d v="2015-04-01T00:00:00"/>
        <d v="2015-04-02T00:00:00"/>
        <d v="2015-04-07T00:00:00"/>
        <d v="2015-04-08T00:00:00"/>
        <d v="2015-04-09T00:00:00"/>
        <d v="2015-04-13T00:00:00"/>
        <d v="2015-04-14T00:00:00"/>
        <d v="2015-04-15T00:00:00"/>
        <d v="2015-04-16T00:00:00"/>
        <d v="2015-04-17T00:00:00"/>
        <d v="2015-04-20T00:00:00"/>
        <d v="2015-04-21T00:00:00"/>
        <d v="2015-04-22T00:00:00"/>
        <d v="2015-04-23T00:00:00"/>
        <d v="2015-04-24T00:00:00"/>
        <d v="2015-04-27T00:00:00"/>
        <d v="2015-04-28T00:00:00"/>
        <d v="2015-04-29T00:00:00"/>
        <d v="2015-04-30T00:00:00"/>
        <d v="2015-05-01T00:00:00"/>
        <d v="2015-05-04T00:00:00"/>
        <d v="2015-05-06T00:00:00"/>
        <d v="2015-05-07T00:00:00"/>
        <d v="2015-05-08T00:00:00"/>
        <d v="2015-05-10T00:00:00"/>
        <d v="2015-05-13T00:00:00"/>
        <d v="2015-05-14T00:00:00"/>
        <d v="2015-05-15T00:00:00"/>
        <d v="2015-05-18T00:00:00"/>
        <d v="2015-05-19T00:00:00"/>
        <d v="2015-05-20T00:00:00"/>
        <d v="2015-05-22T00:00:00"/>
        <d v="2015-05-25T00:00:00"/>
        <d v="2015-05-26T00:00:00"/>
        <d v="2015-05-27T00:00:00"/>
        <d v="2015-05-28T00:00:00"/>
        <d v="2015-05-29T00:00:00"/>
        <d v="2015-06-01T00:00:00"/>
        <d v="2015-06-02T00:00:00"/>
        <d v="2015-06-03T00:00:00"/>
        <d v="2015-06-04T00:00:00"/>
        <d v="2015-06-08T00:00:00"/>
        <d v="2015-06-09T00:00:00"/>
        <d v="2015-06-10T00:00:00"/>
        <d v="2015-06-11T00:00:00"/>
        <d v="2015-06-15T00:00:00"/>
        <d v="2015-06-16T00:00:00"/>
        <d v="2015-06-17T00:00:00"/>
        <d v="2015-06-18T00:00:00"/>
        <d v="2015-06-22T00:00:00"/>
        <d v="2015-06-23T00:00:00"/>
        <d v="2015-06-24T00:00:00"/>
        <d v="2015-06-25T00:00:00"/>
        <d v="2015-06-26T00:00:00"/>
        <d v="2015-06-29T00:00:00"/>
        <d v="2015-07-01T00:00:00"/>
        <d v="2015-07-02T00:00:00"/>
        <d v="2015-07-03T00:00:00"/>
        <d v="2015-07-06T00:00:00"/>
        <d v="2015-07-07T00:00:00"/>
        <d v="2015-07-09T00:00:00"/>
        <d v="2015-07-10T00:00:00"/>
        <d v="2015-07-13T00:00:00"/>
        <d v="2015-07-14T00:00:00"/>
        <d v="2015-07-15T00:00:00"/>
        <d v="2015-07-16T00:00:00"/>
        <d v="2015-07-17T00:00:00"/>
        <d v="2015-07-20T00:00:00"/>
        <d v="2015-07-21T00:00:00"/>
        <d v="2015-07-22T00:00:00"/>
        <d v="2015-07-23T00:00:00"/>
        <d v="2015-07-24T00:00:00"/>
        <d v="2015-07-27T00:00:00"/>
        <d v="2015-07-28T00:00:00"/>
        <d v="2015-07-29T00:00:00"/>
        <d v="2015-07-30T00:00:00"/>
        <d v="2015-07-31T00:00:00"/>
        <d v="2015-08-03T00:00:00"/>
        <d v="2015-08-04T00:00:00"/>
        <d v="2015-08-05T00:00:00"/>
        <d v="2015-08-06T00:00:00"/>
        <d v="2015-08-07T00:00:00"/>
        <d v="2015-08-10T00:00:00"/>
        <d v="2015-08-11T00:00:00"/>
        <d v="2015-08-12T00:00:00"/>
        <d v="2015-08-13T00:00:00"/>
        <d v="2015-08-17T00:00:00"/>
        <d v="2015-08-18T00:00:00"/>
        <d v="2015-08-19T00:00:00"/>
        <d v="2015-08-20T00:00:00"/>
        <d v="2015-08-21T00:00:00"/>
        <d v="2015-08-24T00:00:00"/>
        <d v="2015-08-25T00:00:00"/>
        <d v="2015-08-26T00:00:00"/>
        <d v="2015-08-28T00:00:00"/>
        <d v="2015-08-31T00:00:00"/>
        <d v="2015-09-01T00:00:00"/>
        <d v="2015-09-03T00:00:00"/>
        <d v="2015-09-08T00:00:00"/>
        <d v="2015-09-09T00:00:00"/>
        <d v="2015-09-10T00:00:00"/>
        <d v="2015-09-11T00:00:00"/>
        <d v="2015-09-14T00:00:00"/>
        <d v="2015-09-15T00:00:00"/>
        <d v="2015-09-16T00:00:00"/>
        <d v="2015-09-17T00:00:00"/>
        <d v="2015-09-22T00:00:00"/>
        <d v="2015-09-23T00:00:00"/>
        <d v="2015-09-25T00:00:00"/>
        <d v="2015-09-28T00:00:00"/>
        <d v="2015-09-29T00:00:00"/>
        <d v="2015-09-30T00:00:00"/>
        <d v="2015-10-01T00:00:00"/>
        <d v="2015-10-08T00:00:00"/>
        <d v="2015-10-09T00:00:00"/>
        <d v="2015-10-12T00:00:00"/>
        <d v="2015-10-13T00:00:00"/>
        <d v="2015-10-15T00:00:00"/>
        <d v="2015-10-16T00:00:00"/>
        <d v="2015-10-19T00:00:00"/>
        <d v="2015-10-20T00:00:00"/>
        <d v="2015-10-21T00:00:00"/>
        <d v="2015-10-22T00:00:00"/>
        <d v="2015-10-23T00:00:00"/>
        <d v="2015-10-28T00:00:00"/>
        <d v="2015-11-01T00:00:00"/>
        <d v="2015-11-04T00:00:00"/>
        <d v="2015-11-06T00:00:00"/>
        <d v="2015-11-10T00:00:00"/>
        <d v="2015-11-11T00:00:00"/>
        <d v="2015-11-12T00:00:00"/>
        <d v="2015-11-14T00:00:00"/>
        <d v="2015-11-17T00:00:00"/>
        <d v="2015-11-20T00:00:00"/>
        <d v="2015-11-23T00:00:00"/>
        <d v="2015-11-24T00:00:00"/>
        <d v="2015-11-25T00:00:00"/>
        <d v="2015-11-27T00:00:00"/>
        <d v="2015-11-30T00:00:00"/>
        <d v="2015-12-02T00:00:00"/>
        <d v="2015-12-03T00:00:00"/>
        <d v="2015-12-04T00:00:00"/>
        <d v="2015-12-05T00:00:00"/>
        <d v="2015-12-07T00:00:00"/>
        <d v="2015-12-08T00:00:00"/>
        <d v="2015-12-09T00:00:00"/>
        <d v="2015-12-10T00:00:00"/>
        <d v="2015-12-11T00:00:00"/>
        <d v="2015-12-13T00:00:00"/>
        <d v="2015-12-14T00:00:00"/>
        <d v="2015-12-15T00:00:00"/>
        <d v="2015-12-16T00:00:00"/>
        <d v="2015-12-17T00:00:00"/>
        <d v="2015-12-18T00:00:00"/>
        <d v="2015-12-21T00:00:00"/>
        <d v="2015-12-23T00:00:00"/>
      </sharedItems>
    </cacheField>
    <cacheField name="Multimedia Resources" numFmtId="0">
      <sharedItems containsBlank="1"/>
    </cacheField>
    <cacheField name="GCA Move the Needle" numFmtId="0">
      <sharedItems containsBlank="1"/>
    </cacheField>
    <cacheField name="Board Area" numFmtId="0">
      <sharedItems containsBlank="1"/>
    </cacheField>
    <cacheField name="Customer" numFmtId="0">
      <sharedItems containsBlank="1"/>
    </cacheField>
    <cacheField name="Region" numFmtId="0">
      <sharedItems containsBlank="1"/>
    </cacheField>
    <cacheField name="Corporate Portal (Views)" numFmtId="0">
      <sharedItems containsBlank="1" containsMixedTypes="1" containsNumber="1" containsInteger="1" minValue="9" maxValue="27449"/>
    </cacheField>
    <cacheField name="Corporate Portal (Comments)" numFmtId="0">
      <sharedItems containsBlank="1" containsMixedTypes="1" containsNumber="1" containsInteger="1" minValue="0" maxValue="359"/>
    </cacheField>
    <cacheField name="Forbes (Views)" numFmtId="0">
      <sharedItems containsBlank="1" containsMixedTypes="1" containsNumber="1" containsInteger="1" minValue="268" maxValue="12669"/>
    </cacheField>
    <cacheField name="Forbes (Comments)" numFmtId="0">
      <sharedItems containsBlank="1" containsMixedTypes="1" containsNumber="1" containsInteger="1" minValue="0" maxValue="2"/>
    </cacheField>
    <cacheField name="News Center (Views)" numFmtId="0">
      <sharedItems containsBlank="1" containsMixedTypes="1" containsNumber="1" containsInteger="1" minValue="15" maxValue="2180"/>
    </cacheField>
    <cacheField name="News Center (Comments)" numFmtId="0">
      <sharedItems containsBlank="1" containsMixedTypes="1" containsNumber="1" containsInteger="1" minValue="0" maxValue="1"/>
    </cacheField>
    <cacheField name="Business Trends / SCN (Views)" numFmtId="0">
      <sharedItems containsBlank="1" containsMixedTypes="1" containsNumber="1" containsInteger="1" minValue="45" maxValue="7140"/>
    </cacheField>
    <cacheField name="Business Trends / SCN (Comments)" numFmtId="0">
      <sharedItems containsBlank="1" containsMixedTypes="1" containsNumber="1" containsInteger="1" minValue="0" maxValue="12"/>
    </cacheField>
    <cacheField name="Twitter @SAPnews  (Impressions)" numFmtId="0">
      <sharedItems containsBlank="1" containsMixedTypes="1" containsNumber="1" containsInteger="1" minValue="14016" maxValue="105718"/>
    </cacheField>
    <cacheField name="Twitter @SAPnews (Engagement)" numFmtId="0">
      <sharedItems containsBlank="1" containsMixedTypes="1" containsNumber="1" containsInteger="1" minValue="0" maxValue="14"/>
    </cacheField>
    <cacheField name="Total of Views" numFmtId="0">
      <sharedItems containsString="0" containsBlank="1" containsNumber="1" containsInteger="1" minValue="0" maxValue="27449"/>
    </cacheField>
    <cacheField name="Total of Comments" numFmtId="0">
      <sharedItems containsString="0" containsBlank="1" containsNumber="1" containsInteger="1" minValue="0" maxValue="35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r:id="rId1" refreshedBy="Aguirre, David Aguirr (external - Temp Staff)" refreshedDate="42376.490874421295" createdVersion="5" refreshedVersion="5" minRefreshableVersion="3" recordCount="508">
  <cacheSource type="worksheet">
    <worksheetSource ref="A7:H512" sheet="Metrics - Articles"/>
  </cacheSource>
  <cacheFields count="8">
    <cacheField name="Title + Embedded Link  " numFmtId="0">
      <sharedItems containsBlank="1"/>
    </cacheField>
    <cacheField name="Owner" numFmtId="0">
      <sharedItems containsBlank="1"/>
    </cacheField>
    <cacheField name="Date" numFmtId="0">
      <sharedItems containsNonDate="0" containsDate="1" containsString="0" containsBlank="1" minDate="2015-01-01T00:00:00" maxDate="2015-12-24T00:00:00" count="213">
        <m/>
        <d v="2015-01-01T00:00:00"/>
        <d v="2015-01-02T00:00:00"/>
        <d v="2015-01-05T00:00:00"/>
        <d v="2015-01-06T00:00:00"/>
        <d v="2015-01-09T00:00:00"/>
        <d v="2015-01-12T00:00:00"/>
        <d v="2015-01-15T00:00:00"/>
        <d v="2015-01-16T00:00:00"/>
        <d v="2015-01-19T00:00:00"/>
        <d v="2015-01-20T00:00:00"/>
        <d v="2015-01-21T00:00:00"/>
        <d v="2015-01-22T00:00:00"/>
        <d v="2015-01-23T00:00:00"/>
        <d v="2015-01-26T00:00:00"/>
        <d v="2015-01-27T00:00:00"/>
        <d v="2015-01-28T00:00:00"/>
        <d v="2015-01-29T00:00:00"/>
        <d v="2015-01-30T00:00:00"/>
        <d v="2015-02-01T00:00:00"/>
        <d v="2015-02-02T00:00:00"/>
        <d v="2015-02-03T00:00:00"/>
        <d v="2015-02-05T00:00:00"/>
        <d v="2015-02-06T00:00:00"/>
        <d v="2015-02-11T00:00:00"/>
        <d v="2015-02-12T00:00:00"/>
        <d v="2015-02-13T00:00:00"/>
        <d v="2015-02-16T00:00:00"/>
        <d v="2015-02-17T00:00:00"/>
        <d v="2015-02-18T00:00:00"/>
        <d v="2015-02-20T00:00:00"/>
        <d v="2015-02-21T00:00:00"/>
        <d v="2015-02-23T00:00:00"/>
        <d v="2015-02-24T00:00:00"/>
        <d v="2015-02-25T00:00:00"/>
        <d v="2015-02-26T00:00:00"/>
        <d v="2015-02-27T00:00:00"/>
        <d v="2015-03-02T00:00:00"/>
        <d v="2015-03-03T00:00:00"/>
        <d v="2015-03-04T00:00:00"/>
        <d v="2015-03-05T00:00:00"/>
        <d v="2015-03-06T00:00:00"/>
        <d v="2015-03-10T00:00:00"/>
        <d v="2015-03-11T00:00:00"/>
        <d v="2015-03-12T00:00:00"/>
        <d v="2015-03-13T00:00:00"/>
        <d v="2015-03-16T00:00:00"/>
        <d v="2015-03-17T00:00:00"/>
        <d v="2015-03-18T00:00:00"/>
        <d v="2015-03-19T00:00:00"/>
        <d v="2015-03-20T00:00:00"/>
        <d v="2015-03-23T00:00:00"/>
        <d v="2015-03-24T00:00:00"/>
        <d v="2015-03-25T00:00:00"/>
        <d v="2015-03-26T00:00:00"/>
        <d v="2015-03-30T00:00:00"/>
        <d v="2015-03-31T00:00:00"/>
        <d v="2015-04-01T00:00:00"/>
        <d v="2015-04-02T00:00:00"/>
        <d v="2015-04-07T00:00:00"/>
        <d v="2015-04-08T00:00:00"/>
        <d v="2015-04-09T00:00:00"/>
        <d v="2015-04-13T00:00:00"/>
        <d v="2015-04-14T00:00:00"/>
        <d v="2015-04-15T00:00:00"/>
        <d v="2015-04-16T00:00:00"/>
        <d v="2015-04-17T00:00:00"/>
        <d v="2015-04-20T00:00:00"/>
        <d v="2015-04-21T00:00:00"/>
        <d v="2015-04-22T00:00:00"/>
        <d v="2015-04-23T00:00:00"/>
        <d v="2015-04-24T00:00:00"/>
        <d v="2015-04-27T00:00:00"/>
        <d v="2015-04-28T00:00:00"/>
        <d v="2015-04-29T00:00:00"/>
        <d v="2015-04-30T00:00:00"/>
        <d v="2015-05-01T00:00:00"/>
        <d v="2015-05-04T00:00:00"/>
        <d v="2015-05-06T00:00:00"/>
        <d v="2015-05-07T00:00:00"/>
        <d v="2015-05-08T00:00:00"/>
        <d v="2015-05-10T00:00:00"/>
        <d v="2015-05-13T00:00:00"/>
        <d v="2015-05-14T00:00:00"/>
        <d v="2015-05-15T00:00:00"/>
        <d v="2015-05-18T00:00:00"/>
        <d v="2015-05-19T00:00:00"/>
        <d v="2015-05-20T00:00:00"/>
        <d v="2015-05-22T00:00:00"/>
        <d v="2015-05-25T00:00:00"/>
        <d v="2015-05-26T00:00:00"/>
        <d v="2015-05-27T00:00:00"/>
        <d v="2015-05-28T00:00:00"/>
        <d v="2015-05-29T00:00:00"/>
        <d v="2015-06-01T00:00:00"/>
        <d v="2015-06-02T00:00:00"/>
        <d v="2015-06-03T00:00:00"/>
        <d v="2015-06-04T00:00:00"/>
        <d v="2015-06-08T00:00:00"/>
        <d v="2015-06-09T00:00:00"/>
        <d v="2015-06-10T00:00:00"/>
        <d v="2015-06-11T00:00:00"/>
        <d v="2015-06-15T00:00:00"/>
        <d v="2015-06-16T00:00:00"/>
        <d v="2015-06-17T00:00:00"/>
        <d v="2015-06-18T00:00:00"/>
        <d v="2015-06-22T00:00:00"/>
        <d v="2015-06-23T00:00:00"/>
        <d v="2015-06-24T00:00:00"/>
        <d v="2015-06-25T00:00:00"/>
        <d v="2015-06-26T00:00:00"/>
        <d v="2015-06-29T00:00:00"/>
        <d v="2015-07-01T00:00:00"/>
        <d v="2015-07-02T00:00:00"/>
        <d v="2015-07-03T00:00:00"/>
        <d v="2015-07-06T00:00:00"/>
        <d v="2015-07-07T00:00:00"/>
        <d v="2015-07-09T00:00:00"/>
        <d v="2015-07-10T00:00:00"/>
        <d v="2015-07-13T00:00:00"/>
        <d v="2015-07-14T00:00:00"/>
        <d v="2015-07-15T00:00:00"/>
        <d v="2015-07-16T00:00:00"/>
        <d v="2015-07-17T00:00:00"/>
        <d v="2015-07-20T00:00:00"/>
        <d v="2015-07-21T00:00:00"/>
        <d v="2015-07-22T00:00:00"/>
        <d v="2015-07-23T00:00:00"/>
        <d v="2015-07-24T00:00:00"/>
        <d v="2015-07-27T00:00:00"/>
        <d v="2015-07-28T00:00:00"/>
        <d v="2015-07-29T00:00:00"/>
        <d v="2015-07-30T00:00:00"/>
        <d v="2015-07-31T00:00:00"/>
        <d v="2015-08-03T00:00:00"/>
        <d v="2015-08-04T00:00:00"/>
        <d v="2015-08-05T00:00:00"/>
        <d v="2015-08-06T00:00:00"/>
        <d v="2015-08-07T00:00:00"/>
        <d v="2015-08-10T00:00:00"/>
        <d v="2015-08-11T00:00:00"/>
        <d v="2015-08-12T00:00:00"/>
        <d v="2015-08-13T00:00:00"/>
        <d v="2015-08-17T00:00:00"/>
        <d v="2015-08-18T00:00:00"/>
        <d v="2015-08-19T00:00:00"/>
        <d v="2015-08-20T00:00:00"/>
        <d v="2015-08-21T00:00:00"/>
        <d v="2015-08-24T00:00:00"/>
        <d v="2015-08-25T00:00:00"/>
        <d v="2015-08-26T00:00:00"/>
        <d v="2015-08-28T00:00:00"/>
        <d v="2015-08-31T00:00:00"/>
        <d v="2015-09-01T00:00:00"/>
        <d v="2015-09-03T00:00:00"/>
        <d v="2015-09-08T00:00:00"/>
        <d v="2015-09-09T00:00:00"/>
        <d v="2015-09-10T00:00:00"/>
        <d v="2015-09-11T00:00:00"/>
        <d v="2015-09-14T00:00:00"/>
        <d v="2015-09-15T00:00:00"/>
        <d v="2015-09-16T00:00:00"/>
        <d v="2015-09-17T00:00:00"/>
        <d v="2015-09-22T00:00:00"/>
        <d v="2015-09-23T00:00:00"/>
        <d v="2015-09-25T00:00:00"/>
        <d v="2015-09-28T00:00:00"/>
        <d v="2015-09-29T00:00:00"/>
        <d v="2015-09-30T00:00:00"/>
        <d v="2015-10-01T00:00:00"/>
        <d v="2015-10-08T00:00:00"/>
        <d v="2015-10-09T00:00:00"/>
        <d v="2015-10-12T00:00:00"/>
        <d v="2015-10-13T00:00:00"/>
        <d v="2015-10-15T00:00:00"/>
        <d v="2015-10-16T00:00:00"/>
        <d v="2015-10-19T00:00:00"/>
        <d v="2015-10-20T00:00:00"/>
        <d v="2015-10-21T00:00:00"/>
        <d v="2015-10-22T00:00:00"/>
        <d v="2015-10-23T00:00:00"/>
        <d v="2015-10-28T00:00:00"/>
        <d v="2015-11-01T00:00:00"/>
        <d v="2015-11-04T00:00:00"/>
        <d v="2015-11-06T00:00:00"/>
        <d v="2015-11-10T00:00:00"/>
        <d v="2015-11-11T00:00:00"/>
        <d v="2015-11-12T00:00:00"/>
        <d v="2015-11-14T00:00:00"/>
        <d v="2015-11-17T00:00:00"/>
        <d v="2015-11-20T00:00:00"/>
        <d v="2015-11-23T00:00:00"/>
        <d v="2015-11-24T00:00:00"/>
        <d v="2015-11-25T00:00:00"/>
        <d v="2015-11-27T00:00:00"/>
        <d v="2015-11-30T00:00:00"/>
        <d v="2015-12-02T00:00:00"/>
        <d v="2015-12-03T00:00:00"/>
        <d v="2015-12-04T00:00:00"/>
        <d v="2015-12-05T00:00:00"/>
        <d v="2015-12-07T00:00:00"/>
        <d v="2015-12-08T00:00:00"/>
        <d v="2015-12-09T00:00:00"/>
        <d v="2015-12-10T00:00:00"/>
        <d v="2015-12-11T00:00:00"/>
        <d v="2015-12-13T00:00:00"/>
        <d v="2015-12-14T00:00:00"/>
        <d v="2015-12-15T00:00:00"/>
        <d v="2015-12-16T00:00:00"/>
        <d v="2015-12-17T00:00:00"/>
        <d v="2015-12-18T00:00:00"/>
        <d v="2015-12-21T00:00:00"/>
        <d v="2015-12-23T00:00:00"/>
      </sharedItems>
    </cacheField>
    <cacheField name="Multimedia Resources" numFmtId="0">
      <sharedItems containsBlank="1"/>
    </cacheField>
    <cacheField name="GCA Move the Needle" numFmtId="0">
      <sharedItems containsBlank="1"/>
    </cacheField>
    <cacheField name="Board Area" numFmtId="0">
      <sharedItems containsBlank="1"/>
    </cacheField>
    <cacheField name="Customer" numFmtId="0">
      <sharedItems containsBlank="1" count="3">
        <m/>
        <s v="No"/>
        <s v="Yes"/>
      </sharedItems>
    </cacheField>
    <cacheField name="Region" numFmtId="0">
      <sharedItems containsBlank="1" count="9">
        <m/>
        <s v="Global"/>
        <s v="EMEA"/>
        <s v="LATAM"/>
        <s v="China"/>
        <s v="APJ"/>
        <s v="NA"/>
        <s v="NA, LATAM, EMEA"/>
        <s v="EMEA, N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r:id="rId1" refreshedBy="Aguirre, David Aguirr (external - Temp Staff)" refreshedDate="42377.450996527776" createdVersion="5" refreshedVersion="5" minRefreshableVersion="3" recordCount="376">
  <cacheSource type="worksheet">
    <worksheetSource ref="A7:T380" sheet="Metrics - Articles"/>
  </cacheSource>
  <cacheFields count="20">
    <cacheField name="Title + Embedded Link  " numFmtId="0">
      <sharedItems containsBlank="1"/>
    </cacheField>
    <cacheField name="Owner" numFmtId="0">
      <sharedItems containsBlank="1"/>
    </cacheField>
    <cacheField name="Date" numFmtId="0">
      <sharedItems containsNonDate="0" containsDate="1" containsString="0" containsBlank="1" minDate="2015-01-01T00:00:00" maxDate="2015-12-24T00:00:00"/>
    </cacheField>
    <cacheField name="Multimedia Resources" numFmtId="0">
      <sharedItems containsBlank="1"/>
    </cacheField>
    <cacheField name="GCA Move the Needle" numFmtId="0">
      <sharedItems containsBlank="1"/>
    </cacheField>
    <cacheField name="Board Area" numFmtId="0">
      <sharedItems containsBlank="1"/>
    </cacheField>
    <cacheField name="Customer" numFmtId="0">
      <sharedItems containsBlank="1" count="3">
        <m/>
        <s v="No"/>
        <s v="Yes"/>
      </sharedItems>
    </cacheField>
    <cacheField name="Region" numFmtId="0">
      <sharedItems containsBlank="1"/>
    </cacheField>
    <cacheField name="Corporate Portal (Views)" numFmtId="0">
      <sharedItems containsBlank="1" containsMixedTypes="1" containsNumber="1" containsInteger="1" minValue="9" maxValue="27449"/>
    </cacheField>
    <cacheField name="Corporate Portal (Comments)" numFmtId="0">
      <sharedItems containsBlank="1" containsMixedTypes="1" containsNumber="1" containsInteger="1" minValue="0" maxValue="359"/>
    </cacheField>
    <cacheField name="Forbes (Views)" numFmtId="0">
      <sharedItems containsBlank="1" containsMixedTypes="1" containsNumber="1" containsInteger="1" minValue="268" maxValue="12669"/>
    </cacheField>
    <cacheField name="Forbes (Comments)" numFmtId="0">
      <sharedItems containsBlank="1" containsMixedTypes="1" containsNumber="1" containsInteger="1" minValue="0" maxValue="2"/>
    </cacheField>
    <cacheField name="News Center (Views)" numFmtId="0">
      <sharedItems containsBlank="1" containsMixedTypes="1" containsNumber="1" containsInteger="1" minValue="15" maxValue="2180"/>
    </cacheField>
    <cacheField name="News Center (Comments)" numFmtId="0">
      <sharedItems containsBlank="1" containsMixedTypes="1" containsNumber="1" containsInteger="1" minValue="0" maxValue="1"/>
    </cacheField>
    <cacheField name="Business Trends / SCN (Views)" numFmtId="0">
      <sharedItems containsBlank="1" containsMixedTypes="1" containsNumber="1" containsInteger="1" minValue="45" maxValue="7140"/>
    </cacheField>
    <cacheField name="Business Trends / SCN (Comments)" numFmtId="0">
      <sharedItems containsBlank="1" containsMixedTypes="1" containsNumber="1" containsInteger="1" minValue="0" maxValue="12"/>
    </cacheField>
    <cacheField name="Twitter @SAPnews  (Impressions)" numFmtId="0">
      <sharedItems containsBlank="1" containsMixedTypes="1" containsNumber="1" containsInteger="1" minValue="14016" maxValue="105718"/>
    </cacheField>
    <cacheField name="Twitter @SAPnews (Engagement)" numFmtId="0">
      <sharedItems containsBlank="1" containsMixedTypes="1" containsNumber="1" containsInteger="1" minValue="0" maxValue="14"/>
    </cacheField>
    <cacheField name="Total of Views" numFmtId="0">
      <sharedItems containsString="0" containsBlank="1" containsNumber="1" containsInteger="1" minValue="0" maxValue="27449"/>
    </cacheField>
    <cacheField name="Total of Comments" numFmtId="0">
      <sharedItems containsString="0" containsBlank="1" containsNumber="1" containsInteger="1" minValue="0" maxValue="35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87">
  <r>
    <m/>
    <x v="0"/>
    <x v="0"/>
  </r>
  <r>
    <s v="A New Twist To the News"/>
    <x v="1"/>
    <x v="1"/>
  </r>
  <r>
    <s v="“The Driving Force is Data”"/>
    <x v="2"/>
    <x v="1"/>
  </r>
  <r>
    <s v="The Disruptors: Doing the Smart Thing"/>
    <x v="3"/>
    <x v="1"/>
  </r>
  <r>
    <s v="IBM is Practicing What SAP Teaches"/>
    <x v="4"/>
    <x v="2"/>
  </r>
  <r>
    <s v="Mobility Compliance Reloaded"/>
    <x v="5"/>
    <x v="3"/>
  </r>
  <r>
    <s v="Overcoming the Trust Deficit"/>
    <x v="6"/>
    <x v="4"/>
  </r>
  <r>
    <s v="Global Managing Board Adds Two Members"/>
    <x v="7"/>
    <x v="5"/>
  </r>
  <r>
    <s v="Photo Contest: Bending the Rules"/>
    <x v="8"/>
    <x v="5"/>
  </r>
  <r>
    <s v="The Results Are Out"/>
    <x v="9"/>
    <x v="6"/>
  </r>
  <r>
    <s v="SAP Achieves 2014 Outlook as Cloud Surges"/>
    <x v="2"/>
    <x v="6"/>
  </r>
  <r>
    <s v="Top 5: Empowering Women at Work"/>
    <x v="10"/>
    <x v="7"/>
  </r>
  <r>
    <s v="Customer Connection Helps Optimize Products"/>
    <x v="11"/>
    <x v="7"/>
  </r>
  <r>
    <s v="Security Is in Your Hands"/>
    <x v="12"/>
    <x v="8"/>
  </r>
  <r>
    <s v="Phase One of SAP.com Goes Live"/>
    <x v="13"/>
    <x v="9"/>
  </r>
  <r>
    <s v="New Regional Appointments in EMEA and MEE"/>
    <x v="2"/>
    <x v="9"/>
  </r>
  <r>
    <s v="Is Unpredictability the New Norm?"/>
    <x v="6"/>
    <x v="10"/>
  </r>
  <r>
    <s v="Regaining the Upper Hand with S4HANA"/>
    <x v="14"/>
    <x v="10"/>
  </r>
  <r>
    <s v="2015: Full Throttle for Cloud Growth"/>
    <x v="2"/>
    <x v="11"/>
  </r>
  <r>
    <s v="Capturing the Essence of SAP"/>
    <x v="9"/>
    <x v="11"/>
  </r>
  <r>
    <s v="The Disruptors: Harley to Minas Gerais"/>
    <x v="3"/>
    <x v="12"/>
  </r>
  <r>
    <s v="Career Path: From Manager to Expert"/>
    <x v="9"/>
    <x v="13"/>
  </r>
  <r>
    <s v="Are You a Sports Ignoramus?"/>
    <x v="2"/>
    <x v="13"/>
  </r>
  <r>
    <s v="SAP at World Economic Forum (Day 1)"/>
    <x v="15"/>
    <x v="13"/>
  </r>
  <r>
    <s v="Will Berlin Out-Innovate Silicon Valley?"/>
    <x v="16"/>
    <x v="14"/>
  </r>
  <r>
    <s v="Hidden Champion: The Crisis Manager"/>
    <x v="14"/>
    <x v="15"/>
  </r>
  <r>
    <s v="Forklift Meets Cloud"/>
    <x v="1"/>
    <x v="15"/>
  </r>
  <r>
    <s v="A Business Leader in Marketing"/>
    <x v="17"/>
    <x v="16"/>
  </r>
  <r>
    <s v="Top Five Things to Know: Cristina Palmaka"/>
    <x v="18"/>
    <x v="16"/>
  </r>
  <r>
    <s v="Decoding the Human Body"/>
    <x v="1"/>
    <x v="17"/>
  </r>
  <r>
    <s v="Watch for These Top Trends in 2015"/>
    <x v="2"/>
    <x v="17"/>
  </r>
  <r>
    <s v="Bill in MENA: Exciting New Prospects"/>
    <x v="19"/>
    <x v="18"/>
  </r>
  <r>
    <s v="The Business Re-Imaginer"/>
    <x v="18"/>
    <x v="19"/>
  </r>
  <r>
    <s v="Connecting the Autism Community"/>
    <x v="20"/>
    <x v="20"/>
  </r>
  <r>
    <s v="The Complexity Antidote"/>
    <x v="6"/>
    <x v="21"/>
  </r>
  <r>
    <s v="Cirque du Soleil - Free to be Creative"/>
    <x v="6"/>
    <x v="21"/>
  </r>
  <r>
    <s v="The Disruptors: Eldorado for Shoppers"/>
    <x v="3"/>
    <x v="21"/>
  </r>
  <r>
    <s v="Digitized Health Care Saves Lives"/>
    <x v="18"/>
    <x v="21"/>
  </r>
  <r>
    <s v="Four Times to the Moon and Back"/>
    <x v="21"/>
    <x v="22"/>
  </r>
  <r>
    <s v="SAP Turbo-Charges Education"/>
    <x v="16"/>
    <x v="22"/>
  </r>
  <r>
    <s v="Photo Contest: Bending the Rules"/>
    <x v="8"/>
    <x v="23"/>
  </r>
  <r>
    <s v="The Disruptors: Tech Dress at Work"/>
    <x v="3"/>
    <x v="24"/>
  </r>
  <r>
    <s v="Building Bridges: Sound of Collaboration"/>
    <x v="22"/>
    <x v="25"/>
  </r>
  <r>
    <s v="Ideas with Impact"/>
    <x v="23"/>
    <x v="25"/>
  </r>
  <r>
    <s v="Photo Contest: 2014 Winners Announced"/>
    <x v="8"/>
    <x v="26"/>
  </r>
  <r>
    <s v="“How We Run” Takes Off"/>
    <x v="8"/>
    <x v="26"/>
  </r>
  <r>
    <s v="Get Your Cricket World Cup Updates"/>
    <x v="1"/>
    <x v="27"/>
  </r>
  <r>
    <s v="The Difference Between Life and Death"/>
    <x v="16"/>
    <x v="27"/>
  </r>
  <r>
    <s v="Need to Know: SAP Corporate Framework"/>
    <x v="24"/>
    <x v="27"/>
  </r>
  <r>
    <s v="The Disruptors: Plant Bottles, not Plastic"/>
    <x v="3"/>
    <x v="28"/>
  </r>
  <r>
    <s v="Sending the Right Message"/>
    <x v="25"/>
    <x v="28"/>
  </r>
  <r>
    <s v="Big S/4HANA Wins in Latin America"/>
    <x v="26"/>
    <x v="29"/>
  </r>
  <r>
    <s v="Powering the Energy Revolution"/>
    <x v="27"/>
    <x v="29"/>
  </r>
  <r>
    <s v="“I Was Born This Way”"/>
    <x v="28"/>
    <x v="30"/>
  </r>
  <r>
    <s v="SAP Labs India Hosts IoT Day"/>
    <x v="29"/>
    <x v="30"/>
  </r>
  <r>
    <s v="SAP and NHL Team up for Hockey Fans"/>
    <x v="30"/>
    <x v="31"/>
  </r>
  <r>
    <s v="Getting Ahead of the Curve in Safety"/>
    <x v="1"/>
    <x v="32"/>
  </r>
  <r>
    <s v="Sleeping Beauties"/>
    <x v="14"/>
    <x v="33"/>
  </r>
  <r>
    <s v="The Disruptors: People, Planet, Profit"/>
    <x v="3"/>
    <x v="34"/>
  </r>
  <r>
    <s v="Healthcare gets the IT Treatment"/>
    <x v="6"/>
    <x v="34"/>
  </r>
  <r>
    <s v="Hate Your Job?"/>
    <x v="31"/>
    <x v="35"/>
  </r>
  <r>
    <s v="Out of This World"/>
    <x v="2"/>
    <x v="36"/>
  </r>
  <r>
    <s v="Career Coaching (1/3)"/>
    <x v="9"/>
    <x v="36"/>
  </r>
  <r>
    <s v="A New Perspective on IoT"/>
    <x v="32"/>
    <x v="37"/>
  </r>
  <r>
    <s v="Telcos Tap into the Connected Woman"/>
    <x v="33"/>
    <x v="37"/>
  </r>
  <r>
    <s v="MWC- Mobile Industry’s Reality Test"/>
    <x v="6"/>
    <x v="37"/>
  </r>
  <r>
    <s v="SAP Inspiration Pavilion Opens in Beijing"/>
    <x v="34"/>
    <x v="37"/>
  </r>
  <r>
    <s v="The Edge of Innovation"/>
    <x v="33"/>
    <x v="38"/>
  </r>
  <r>
    <s v="Career Coaching (2/3)"/>
    <x v="9"/>
    <x v="39"/>
  </r>
  <r>
    <s v="Unleash the Startup in You"/>
    <x v="35"/>
    <x v="39"/>
  </r>
  <r>
    <s v="The Disruptors: Barcelona For You!"/>
    <x v="3"/>
    <x v="39"/>
  </r>
  <r>
    <s v="Culture Wall Up and Running"/>
    <x v="36"/>
    <x v="40"/>
  </r>
  <r>
    <s v="Career Coaching (3/3)"/>
    <x v="9"/>
    <x v="41"/>
  </r>
  <r>
    <s v="Walldorf and Silicon Valley in Tech Fever"/>
    <x v="37"/>
    <x v="41"/>
  </r>
  <r>
    <s v="Women’s Day: Make It Happen!"/>
    <x v="38"/>
    <x v="42"/>
  </r>
  <r>
    <s v="Next Generation of SAP MaxAttention"/>
    <x v="39"/>
    <x v="42"/>
  </r>
  <r>
    <s v="The Disruptors: Getting Personal With Big Data"/>
    <x v="3"/>
    <x v="43"/>
  </r>
  <r>
    <s v="A Showcase for Real-Time Retail"/>
    <x v="40"/>
    <x v="43"/>
  </r>
  <r>
    <s v="Creating A Strong Culture"/>
    <x v="41"/>
    <x v="44"/>
  </r>
  <r>
    <s v="Jenny Dearborn: Powerful Leader in IT"/>
    <x v="42"/>
    <x v="45"/>
  </r>
  <r>
    <s v="How Jaime Found His Dream Job"/>
    <x v="16"/>
    <x v="45"/>
  </r>
  <r>
    <s v="Introducing the New SAP Store"/>
    <x v="43"/>
    <x v="46"/>
  </r>
  <r>
    <s v="HanaHaus Opens in Palo Alto"/>
    <x v="41"/>
    <x v="47"/>
  </r>
  <r>
    <s v="Never Lose Your Sense of Curiosity"/>
    <x v="9"/>
    <x v="47"/>
  </r>
  <r>
    <s v="Hidden Champion: The Global Citizen"/>
    <x v="14"/>
    <x v="48"/>
  </r>
  <r>
    <s v="The Disruptors: These Schutz are Made for Walking"/>
    <x v="3"/>
    <x v="48"/>
  </r>
  <r>
    <s v="Photo Contest: Diversity &amp; Inclusion"/>
    <x v="8"/>
    <x v="49"/>
  </r>
  <r>
    <s v="Strong Commitment Increases Profit"/>
    <x v="44"/>
    <x v="50"/>
  </r>
  <r>
    <s v="CeBIT 2015: High-Touch SAP"/>
    <x v="28"/>
    <x v="50"/>
  </r>
  <r>
    <s v="Cricket Fans Bowled Over by SAP"/>
    <x v="45"/>
    <x v="51"/>
  </r>
  <r>
    <s v="Apple Pay and the Payment Platform Revolution"/>
    <x v="46"/>
    <x v="51"/>
  </r>
  <r>
    <s v="Hands On with High Tech"/>
    <x v="47"/>
    <x v="52"/>
  </r>
  <r>
    <s v="InnoJam: Smart(Cit)ies Have the Answer"/>
    <x v="28"/>
    <x v="52"/>
  </r>
  <r>
    <s v="How Fit Are You Really?"/>
    <x v="45"/>
    <x v="53"/>
  </r>
  <r>
    <s v="The Disruptors: Bikers Against Disease"/>
    <x v="3"/>
    <x v="54"/>
  </r>
  <r>
    <s v="Welcome to the Talent Journey!"/>
    <x v="48"/>
    <x v="54"/>
  </r>
  <r>
    <s v="Solving the Cancer Puzzle with SAP HANA"/>
    <x v="1"/>
    <x v="55"/>
  </r>
  <r>
    <s v="SAP Mourns Klaus Tschira"/>
    <x v="1"/>
    <x v="56"/>
  </r>
  <r>
    <s v="No Innovation Without Learning"/>
    <x v="49"/>
    <x v="56"/>
  </r>
  <r>
    <s v="Thinking Faster with SAP HANA In Your Head — Literally"/>
    <x v="2"/>
    <x v="56"/>
  </r>
  <r>
    <s v="How Does the Cloud Benefit HR?"/>
    <x v="16"/>
    <x v="56"/>
  </r>
  <r>
    <s v="Six Tips for Better Clicks"/>
    <x v="1"/>
    <x v="56"/>
  </r>
  <r>
    <s v="Just Ask Dr. B. Data"/>
    <x v="50"/>
    <x v="57"/>
  </r>
  <r>
    <s v="Accelerating Cloud Growth – The Lowdown"/>
    <x v="51"/>
    <x v="58"/>
  </r>
  <r>
    <s v="Brazil Inc – Nailing Complexity"/>
    <x v="6"/>
    <x v="59"/>
  </r>
  <r>
    <s v="Photo Contest: Diversity &amp; Inclusion"/>
    <x v="8"/>
    <x v="59"/>
  </r>
  <r>
    <s v="The Disruptors: Eco Easter Eggs"/>
    <x v="3"/>
    <x v="60"/>
  </r>
  <r>
    <s v="Dare to be Scared"/>
    <x v="52"/>
    <x v="61"/>
  </r>
  <r>
    <s v="Brazil Inc, Part 2: Investing Smartly"/>
    <x v="3"/>
    <x v="61"/>
  </r>
  <r>
    <s v="Top Five Things to Know: Paula Jacomo"/>
    <x v="18"/>
    <x v="62"/>
  </r>
  <r>
    <s v="Mission Control, we Fly to Mars"/>
    <x v="14"/>
    <x v="62"/>
  </r>
  <r>
    <s v="IT &amp; Healthcare Illustrated"/>
    <x v="33"/>
    <x v="62"/>
  </r>
  <r>
    <s v="The Future of Talent Management"/>
    <x v="16"/>
    <x v="63"/>
  </r>
  <r>
    <s v="SAP Forum in Moscow Takes Off"/>
    <x v="4"/>
    <x v="64"/>
  </r>
  <r>
    <s v="The Disruptors: No End to the Innovation Race"/>
    <x v="3"/>
    <x v="64"/>
  </r>
  <r>
    <s v="Who Are You Calling a Nerd? SAP Employees Hit the Road"/>
    <x v="53"/>
    <x v="64"/>
  </r>
  <r>
    <s v="A Python on My Way to School"/>
    <x v="42"/>
    <x v="65"/>
  </r>
  <r>
    <s v="Double Win for Manufacturing"/>
    <x v="37"/>
    <x v="65"/>
  </r>
  <r>
    <s v="Bill and François Hollande Talk Technology"/>
    <x v="54"/>
    <x v="65"/>
  </r>
  <r>
    <s v="S/4HANA: “The Big New Thing”"/>
    <x v="1"/>
    <x v="66"/>
  </r>
  <r>
    <s v="From Refugee to Tech Exec"/>
    <x v="55"/>
    <x v="67"/>
  </r>
  <r>
    <s v="A Matter of Integrity"/>
    <x v="56"/>
    <x v="67"/>
  </r>
  <r>
    <s v="Social Sabbatical: Not a One Way Street"/>
    <x v="45"/>
    <x v="67"/>
  </r>
  <r>
    <s v="Q1: Exceptional Cloud Growth"/>
    <x v="2"/>
    <x v="68"/>
  </r>
  <r>
    <s v="New Behaviors at SAP"/>
    <x v="9"/>
    <x v="69"/>
  </r>
  <r>
    <s v="Master of Arts"/>
    <x v="45"/>
    <x v="69"/>
  </r>
  <r>
    <s v="“A Very Substantial Cloud Business”"/>
    <x v="2"/>
    <x v="69"/>
  </r>
  <r>
    <s v="The Disruptors: Shirt Delivery by Drone?"/>
    <x v="3"/>
    <x v="69"/>
  </r>
  <r>
    <s v="Robots for Babies"/>
    <x v="45"/>
    <x v="70"/>
  </r>
  <r>
    <s v="Dietmar Hopp Celebrates his 75th Birthday"/>
    <x v="57"/>
    <x v="71"/>
  </r>
  <r>
    <s v="IT Powers the Energy Sector"/>
    <x v="1"/>
    <x v="71"/>
  </r>
  <r>
    <s v="SAP Founders’ Award Reloaded"/>
    <x v="2"/>
    <x v="72"/>
  </r>
  <r>
    <s v="From Drones to Selfie Sticks"/>
    <x v="3"/>
    <x v="72"/>
  </r>
  <r>
    <s v="Nepal Earthquake: SAP Supports Red Cross"/>
    <x v="58"/>
    <x v="73"/>
  </r>
  <r>
    <s v="Kenya: Going Far Together"/>
    <x v="3"/>
    <x v="73"/>
  </r>
  <r>
    <s v="Intrapreneurship: Where Are We Now?"/>
    <x v="59"/>
    <x v="73"/>
  </r>
  <r>
    <s v="SAP Sports One at the Starting Line"/>
    <x v="1"/>
    <x v="74"/>
  </r>
  <r>
    <s v="The Disruptors: Five Cents for a Clean Toilet"/>
    <x v="3"/>
    <x v="74"/>
  </r>
  <r>
    <s v="The In-Memory Revolution"/>
    <x v="2"/>
    <x v="75"/>
  </r>
  <r>
    <s v="Lockdown in Chicago"/>
    <x v="60"/>
    <x v="75"/>
  </r>
  <r>
    <s v="Creativity and the Art of Completion"/>
    <x v="6"/>
    <x v="75"/>
  </r>
  <r>
    <s v="SME Coaching For Free"/>
    <x v="33"/>
    <x v="75"/>
  </r>
  <r>
    <s v="Greater Mobile Productivity Now"/>
    <x v="61"/>
    <x v="76"/>
  </r>
  <r>
    <s v="B/E Aerospace is Flying High"/>
    <x v="16"/>
    <x v="76"/>
  </r>
  <r>
    <s v="Key Accelerator for SAP´s Growth Aspirations"/>
    <x v="6"/>
    <x v="76"/>
  </r>
  <r>
    <s v="A Question of Quality"/>
    <x v="62"/>
    <x v="77"/>
  </r>
  <r>
    <s v="Hot and Cloudy, Chance of Meatballs"/>
    <x v="6"/>
    <x v="77"/>
  </r>
  <r>
    <s v="“The Consumer Rules”"/>
    <x v="63"/>
    <x v="78"/>
  </r>
  <r>
    <s v="The Digital Economy in the Spotlight"/>
    <x v="1"/>
    <x v="78"/>
  </r>
  <r>
    <s v="Women’s Leadership Summit 2015"/>
    <x v="45"/>
    <x v="79"/>
  </r>
  <r>
    <s v="Spotting the Centaur at SAPPHIRE NOW"/>
    <x v="6"/>
    <x v="79"/>
  </r>
  <r>
    <s v="From Selling Products to Selling Outcomes"/>
    <x v="16"/>
    <x v="79"/>
  </r>
  <r>
    <s v="Executive Board Meetings of the Future"/>
    <x v="1"/>
    <x v="80"/>
  </r>
  <r>
    <s v="Smart Business Networks"/>
    <x v="6"/>
    <x v="80"/>
  </r>
  <r>
    <s v="Transform Information Into Action"/>
    <x v="3"/>
    <x v="80"/>
  </r>
  <r>
    <s v="Photo Contest “On the Move”"/>
    <x v="8"/>
    <x v="81"/>
  </r>
  <r>
    <s v="Get Designing"/>
    <x v="9"/>
    <x v="82"/>
  </r>
  <r>
    <s v="Molecular Health: A Technology Trailblazer"/>
    <x v="64"/>
    <x v="83"/>
  </r>
  <r>
    <s v="Remote Access Made Simple"/>
    <x v="65"/>
    <x v="84"/>
  </r>
  <r>
    <s v="AMG Moves into the Fast Lane"/>
    <x v="66"/>
    <x v="85"/>
  </r>
  <r>
    <s v="Gender Quota for Supervisory Board"/>
    <x v="42"/>
    <x v="86"/>
  </r>
  <r>
    <s v="Early Achievers"/>
    <x v="67"/>
    <x v="87"/>
  </r>
  <r>
    <s v="Adding Energy to Red Bull"/>
    <x v="2"/>
    <x v="87"/>
  </r>
  <r>
    <s v="Investing in Future Tech Talent"/>
    <x v="68"/>
    <x v="88"/>
  </r>
  <r>
    <s v="The Disruptors: Bring On BI"/>
    <x v="3"/>
    <x v="88"/>
  </r>
  <r>
    <s v="Digital Transformation at Bayer"/>
    <x v="64"/>
    <x v="89"/>
  </r>
  <r>
    <s v="The Secret to Product Success"/>
    <x v="69"/>
    <x v="90"/>
  </r>
  <r>
    <s v="Career Success Center Kicks Off"/>
    <x v="9"/>
    <x v="91"/>
  </r>
  <r>
    <s v="The Disruptors: Unique Solutions"/>
    <x v="3"/>
    <x v="91"/>
  </r>
  <r>
    <s v="Nostalgic-Art Tests In-Memory Platform"/>
    <x v="64"/>
    <x v="91"/>
  </r>
  <r>
    <s v="Marketplace for Connected Car Services"/>
    <x v="70"/>
    <x v="92"/>
  </r>
  <r>
    <s v="SAP Supports Non-Discrimination Act"/>
    <x v="9"/>
    <x v="93"/>
  </r>
  <r>
    <s v="Analyzing the Game"/>
    <x v="2"/>
    <x v="93"/>
  </r>
  <r>
    <s v="Becoming Simply Irresistible"/>
    <x v="31"/>
    <x v="93"/>
  </r>
  <r>
    <s v="Atos Doubles Its Revenue with SAP"/>
    <x v="16"/>
    <x v="94"/>
  </r>
  <r>
    <s v="Powering up East Africa"/>
    <x v="3"/>
    <x v="95"/>
  </r>
  <r>
    <s v="Surge in SAP Brand Value"/>
    <x v="6"/>
    <x v="95"/>
  </r>
  <r>
    <s v="COPE Gives Franz Confidence"/>
    <x v="14"/>
    <x v="96"/>
  </r>
  <r>
    <s v="Growth and Jobs Through Digitalization"/>
    <x v="2"/>
    <x v="96"/>
  </r>
  <r>
    <s v="HANA Spatial: Where Are They Now?"/>
    <x v="2"/>
    <x v="96"/>
  </r>
  <r>
    <s v="Photo Contest: On the Move"/>
    <x v="8"/>
    <x v="97"/>
  </r>
  <r>
    <s v="Ready for Five Generations in Your Workplace?"/>
    <x v="71"/>
    <x v="98"/>
  </r>
  <r>
    <s v="ZERO Downtime: Mission Accomplished"/>
    <x v="42"/>
    <x v="99"/>
  </r>
  <r>
    <s v="Salesforce.com: Poster Child for Cloud 1.0"/>
    <x v="6"/>
    <x v="99"/>
  </r>
  <r>
    <s v="Seven SAP Channel Execs Honored"/>
    <x v="72"/>
    <x v="99"/>
  </r>
  <r>
    <s v="The Disruptors: Klitschko’s City Knockout"/>
    <x v="3"/>
    <x v="100"/>
  </r>
  <r>
    <s v="Now Showing in Airports Near You"/>
    <x v="73"/>
    <x v="100"/>
  </r>
  <r>
    <s v="“Everything Is Possible at SAP”"/>
    <x v="14"/>
    <x v="101"/>
  </r>
  <r>
    <s v="Vote Now!"/>
    <x v="9"/>
    <x v="101"/>
  </r>
  <r>
    <s v="Designing with the Elderly"/>
    <x v="45"/>
    <x v="102"/>
  </r>
  <r>
    <s v="Breakthroughs? Take A Break"/>
    <x v="74"/>
    <x v="102"/>
  </r>
  <r>
    <s v="Why Ikram Can’t Find a Job"/>
    <x v="18"/>
    <x v="103"/>
  </r>
  <r>
    <s v="Building dreams"/>
    <x v="14"/>
    <x v="103"/>
  </r>
  <r>
    <s v="Innovation Spotting at the Paris Air Show"/>
    <x v="75"/>
    <x v="104"/>
  </r>
  <r>
    <s v="Where in the World Do we Run Simple?"/>
    <x v="73"/>
    <x v="104"/>
  </r>
  <r>
    <s v="Removing the Boardroom Blindfolds"/>
    <x v="6"/>
    <x v="105"/>
  </r>
  <r>
    <s v="Trash After the Big Bash"/>
    <x v="3"/>
    <x v="106"/>
  </r>
  <r>
    <s v="Dynamic Online Learning"/>
    <x v="16"/>
    <x v="107"/>
  </r>
  <r>
    <s v="And the Winner Is…"/>
    <x v="45"/>
    <x v="108"/>
  </r>
  <r>
    <s v="Shravan Finds His Place"/>
    <x v="1"/>
    <x v="108"/>
  </r>
  <r>
    <s v="The Disruptors: Become a Smart Port"/>
    <x v="3"/>
    <x v="108"/>
  </r>
  <r>
    <s v="Overcoming Every Hurdle"/>
    <x v="76"/>
    <x v="109"/>
  </r>
  <r>
    <s v="Simpler, Faster, Unified, Efficient"/>
    <x v="77"/>
    <x v="109"/>
  </r>
  <r>
    <s v="Crafty Tunes with Music 4.0"/>
    <x v="28"/>
    <x v="110"/>
  </r>
  <r>
    <s v="Ford and SAP Put Design in High Gear"/>
    <x v="18"/>
    <x v="110"/>
  </r>
  <r>
    <s v="Restoring Growth Across Latin America"/>
    <x v="78"/>
    <x v="110"/>
  </r>
  <r>
    <s v="Software Coding in Lagos"/>
    <x v="79"/>
    <x v="111"/>
  </r>
  <r>
    <s v="SAP Waves the Rainbow Flag"/>
    <x v="18"/>
    <x v="112"/>
  </r>
  <r>
    <s v="Cultivating Our Curiosity"/>
    <x v="9"/>
    <x v="113"/>
  </r>
  <r>
    <s v="They Came, Pitched, and Conquered"/>
    <x v="59"/>
    <x v="113"/>
  </r>
  <r>
    <s v="Fresh Face Joins the Supervisory Board"/>
    <x v="42"/>
    <x v="114"/>
  </r>
  <r>
    <s v="Top Honors for TwoGo by SAP"/>
    <x v="27"/>
    <x v="114"/>
  </r>
  <r>
    <s v="Fashion Gets a Tech Makeover"/>
    <x v="45"/>
    <x v="114"/>
  </r>
  <r>
    <s v="Ariba: All Fired Up"/>
    <x v="14"/>
    <x v="115"/>
  </r>
  <r>
    <s v="Taking Football into the Cloud"/>
    <x v="45"/>
    <x v="116"/>
  </r>
  <r>
    <s v="Greek Debt Crisis"/>
    <x v="1"/>
    <x v="117"/>
  </r>
  <r>
    <s v="Living the New Behaviors"/>
    <x v="45"/>
    <x v="117"/>
  </r>
  <r>
    <s v="Founders’ Award: Where Are We Now?"/>
    <x v="80"/>
    <x v="117"/>
  </r>
  <r>
    <s v="Quentin Clark Appointed to SAP Board"/>
    <x v="2"/>
    <x v="118"/>
  </r>
  <r>
    <s v="Never Too Early for STEM"/>
    <x v="16"/>
    <x v="118"/>
  </r>
  <r>
    <s v="Photo Contest: Street Photography"/>
    <x v="8"/>
    <x v="118"/>
  </r>
  <r>
    <s v="Go West, Young Man"/>
    <x v="18"/>
    <x v="119"/>
  </r>
  <r>
    <s v="Diversity and the Digital Economy"/>
    <x v="81"/>
    <x v="119"/>
  </r>
  <r>
    <s v="Coaching, Leading, Managing"/>
    <x v="41"/>
    <x v="120"/>
  </r>
  <r>
    <s v="Innovative Israel"/>
    <x v="2"/>
    <x v="120"/>
  </r>
  <r>
    <s v="Let’s Get Physical"/>
    <x v="45"/>
    <x v="121"/>
  </r>
  <r>
    <s v="The Adventures of Super Simple"/>
    <x v="45"/>
    <x v="122"/>
  </r>
  <r>
    <s v="Define Your Career"/>
    <x v="82"/>
    <x v="123"/>
  </r>
  <r>
    <s v="Gamification: Party Pirate Style"/>
    <x v="8"/>
    <x v="123"/>
  </r>
  <r>
    <s v="Lync Succeeds SAP Connect for Meetings"/>
    <x v="83"/>
    <x v="124"/>
  </r>
  <r>
    <s v="Mitigate Slavery in the Supply Chain"/>
    <x v="14"/>
    <x v="124"/>
  </r>
  <r>
    <s v="The Making of “In the Clouds with SAP”"/>
    <x v="84"/>
    <x v="125"/>
  </r>
  <r>
    <s v="SAP Grows in the Cloud and Network"/>
    <x v="2"/>
    <x v="125"/>
  </r>
  <r>
    <s v="Making Security Run Simple"/>
    <x v="85"/>
    <x v="125"/>
  </r>
  <r>
    <s v="Good Job, Keep Rolling, Stop Flying"/>
    <x v="2"/>
    <x v="126"/>
  </r>
  <r>
    <s v="The Disruptors: Why Fieldglass is One"/>
    <x v="3"/>
    <x v="126"/>
  </r>
  <r>
    <s v="Taylor Made, Disaster on the Hudson"/>
    <x v="6"/>
    <x v="127"/>
  </r>
  <r>
    <s v="Israel and Germany: Trust Breeds Innovation"/>
    <x v="2"/>
    <x v="127"/>
  </r>
  <r>
    <s v="Adapt or Die"/>
    <x v="3"/>
    <x v="128"/>
  </r>
  <r>
    <s v="From Poaching to Farming"/>
    <x v="1"/>
    <x v="128"/>
  </r>
  <r>
    <s v="Customer Survey: Please, Keep it Simple"/>
    <x v="86"/>
    <x v="129"/>
  </r>
  <r>
    <s v="Coding and Corner Kicks"/>
    <x v="23"/>
    <x v="129"/>
  </r>
  <r>
    <s v="Unified Ticketing: One Support for Everyone"/>
    <x v="87"/>
    <x v="130"/>
  </r>
  <r>
    <s v="Spotlight on Women Leaders at SAP"/>
    <x v="16"/>
    <x v="130"/>
  </r>
  <r>
    <s v="Talking Trash at Lunch"/>
    <x v="4"/>
    <x v="131"/>
  </r>
  <r>
    <s v="The Digital Economy Manifesto"/>
    <x v="88"/>
    <x v="132"/>
  </r>
  <r>
    <s v="Structure + Freedom = Innovation"/>
    <x v="14"/>
    <x v="132"/>
  </r>
  <r>
    <s v="SAP on Wheels"/>
    <x v="84"/>
    <x v="133"/>
  </r>
  <r>
    <s v="Educational Equity Fueled by Tech"/>
    <x v="89"/>
    <x v="133"/>
  </r>
  <r>
    <s v="Recipe for a Sports App"/>
    <x v="1"/>
    <x v="134"/>
  </r>
  <r>
    <s v="The Valley Revs Up Social Start Ups"/>
    <x v="18"/>
    <x v="135"/>
  </r>
  <r>
    <s v="A Dynamic Duo"/>
    <x v="14"/>
    <x v="136"/>
  </r>
  <r>
    <s v="…Sails to Sales Success"/>
    <x v="18"/>
    <x v="137"/>
  </r>
  <r>
    <s v="Kids Discover The Digital Economy"/>
    <x v="79"/>
    <x v="137"/>
  </r>
  <r>
    <s v="Putting the Swing Back in Walldorf"/>
    <x v="66"/>
    <x v="138"/>
  </r>
  <r>
    <s v="Wipe Your Lenses and Hit the Streets!"/>
    <x v="8"/>
    <x v="139"/>
  </r>
  <r>
    <s v="Two Sides of the Same Coin"/>
    <x v="61"/>
    <x v="140"/>
  </r>
  <r>
    <s v="Ending Supply Chain Slavery"/>
    <x v="46"/>
    <x v="141"/>
  </r>
  <r>
    <s v="A Matter Of Support"/>
    <x v="14"/>
    <x v="142"/>
  </r>
  <r>
    <s v="The Crippling Cost of Sports Injuries"/>
    <x v="3"/>
    <x v="143"/>
  </r>
  <r>
    <s v="Innovation in a Lump of Iron"/>
    <x v="90"/>
    <x v="144"/>
  </r>
  <r>
    <s v="The Pitfalls of Brand Journalism"/>
    <x v="47"/>
    <x v="145"/>
  </r>
  <r>
    <s v="Parlez-Vous Business in Africa?"/>
    <x v="18"/>
    <x v="146"/>
  </r>
  <r>
    <s v="Wake Up and Smell the Crayons"/>
    <x v="16"/>
    <x v="147"/>
  </r>
  <r>
    <s v="Tapping IoT’s Potential"/>
    <x v="91"/>
    <x v="148"/>
  </r>
  <r>
    <s v="Making Sailing Simpler"/>
    <x v="89"/>
    <x v="149"/>
  </r>
  <r>
    <s v="Spotlight on Women Leaders at SAP"/>
    <x v="16"/>
    <x v="150"/>
  </r>
  <r>
    <s v="Don’t be a Dodo"/>
    <x v="6"/>
    <x v="150"/>
  </r>
  <r>
    <s v="The Neglected Morality of IoT"/>
    <x v="63"/>
    <x v="151"/>
  </r>
  <r>
    <s v="Digitization with Extra Horsepower"/>
    <x v="92"/>
    <x v="152"/>
  </r>
  <r>
    <s v="Platforms Are Hot Again. Digitize Now!"/>
    <x v="3"/>
    <x v="153"/>
  </r>
  <r>
    <s v="Easier Partnering, Bigger Opportunities"/>
    <x v="33"/>
    <x v="154"/>
  </r>
  <r>
    <s v="Cat Videos Are Overrated"/>
    <x v="2"/>
    <x v="155"/>
  </r>
  <r>
    <s v="SAP S/4HANA Branding Update"/>
    <x v="3"/>
    <x v="155"/>
  </r>
  <r>
    <s v="Refugee Crisis – How You Can Help"/>
    <x v="1"/>
    <x v="156"/>
  </r>
  <r>
    <s v="Power in Employees’ Pockets"/>
    <x v="2"/>
    <x v="157"/>
  </r>
  <r>
    <s v="The Disruptors: Data Doctors Trust"/>
    <x v="3"/>
    <x v="158"/>
  </r>
  <r>
    <s v="Black and White"/>
    <x v="8"/>
    <x v="159"/>
  </r>
  <r>
    <s v="Customers Are in the Driver’s Seat Now"/>
    <x v="6"/>
    <x v="160"/>
  </r>
  <r>
    <s v="Be a Hero. No Cape Required."/>
    <x v="42"/>
    <x v="160"/>
  </r>
  <r>
    <s v="“I Feel Stronger Than Ever”"/>
    <x v="2"/>
    <x v="161"/>
  </r>
  <r>
    <s v="We’re Not in Kansas Anymore"/>
    <x v="6"/>
    <x v="161"/>
  </r>
  <r>
    <s v="SAP Responds to the Refugee Crisis"/>
    <x v="9"/>
    <x v="162"/>
  </r>
  <r>
    <s v="Team U.S. Wins the Solheim Cup"/>
    <x v="66"/>
    <x v="163"/>
  </r>
  <r>
    <s v="SAP’s Fast and Furious Facts"/>
    <x v="28"/>
    <x v="164"/>
  </r>
  <r>
    <s v="When Smart Cities Fight Mother Nature"/>
    <x v="3"/>
    <x v="165"/>
  </r>
  <r>
    <s v="Hackers Meet Their Match in SAP"/>
    <x v="64"/>
    <x v="165"/>
  </r>
  <r>
    <s v="Driving IT Innovation (Literally)"/>
    <x v="1"/>
    <x v="165"/>
  </r>
  <r>
    <s v="Let's Get Real"/>
    <x v="6"/>
    <x v="166"/>
  </r>
  <r>
    <s v="How to Design Digital Transformation"/>
    <x v="93"/>
    <x v="167"/>
  </r>
  <r>
    <s v="SAP Strategy, Live and In Color"/>
    <x v="4"/>
    <x v="168"/>
  </r>
  <r>
    <s v="Wearable at Work – The SAP and Google Challenge"/>
    <x v="94"/>
    <x v="168"/>
  </r>
  <r>
    <s v="Ready, Set, Code! STEM’s Africa Road Show"/>
    <x v="18"/>
    <x v="169"/>
  </r>
  <r>
    <s v="Michael Kleinemeier Joins Executive Board"/>
    <x v="3"/>
    <x v="170"/>
  </r>
  <r>
    <s v="And the Winner is…"/>
    <x v="8"/>
    <x v="171"/>
  </r>
  <r>
    <s v="Customer Hops Onto SAP HANA Express"/>
    <x v="3"/>
    <x v="172"/>
  </r>
  <r>
    <s v="One4: You Can Help the Refugee Crisis NOW"/>
    <x v="18"/>
    <x v="172"/>
  </r>
  <r>
    <s v="SAP Expands HCM Suite with Multiposting"/>
    <x v="2"/>
    <x v="172"/>
  </r>
  <r>
    <s v="Q3: Record Results in the Cloud"/>
    <x v="2"/>
    <x v="173"/>
  </r>
  <r>
    <s v="The Play-by-Play on SAP Sports One"/>
    <x v="64"/>
    <x v="173"/>
  </r>
  <r>
    <s v="#One4: The Power of One Idea"/>
    <x v="1"/>
    <x v="174"/>
  </r>
  <r>
    <s v="Coding the Future: Fresh Perspectives"/>
    <x v="23"/>
    <x v="174"/>
  </r>
  <r>
    <s v="Innovation Deals a Blow Against Cancer"/>
    <x v="14"/>
    <x v="174"/>
  </r>
  <r>
    <s v="SAP HANA Support Packs a Punch"/>
    <x v="64"/>
    <x v="175"/>
  </r>
  <r>
    <s v="The Spirit of Solidarity"/>
    <x v="14"/>
    <x v="176"/>
  </r>
  <r>
    <s v="Record Q3 Results Are Confirmed"/>
    <x v="2"/>
    <x v="177"/>
  </r>
  <r>
    <s v="“No Room for Complacency”"/>
    <x v="2"/>
    <x v="178"/>
  </r>
  <r>
    <s v="And the Winner Is…."/>
    <x v="6"/>
    <x v="178"/>
  </r>
  <r>
    <s v="SAP S/4HANA Goes Way off the Charts"/>
    <x v="95"/>
    <x v="178"/>
  </r>
  <r>
    <s v="The Disruptors – Where robots do the dirty work"/>
    <x v="3"/>
    <x v="179"/>
  </r>
  <r>
    <s v="The Quality Execution Principle"/>
    <x v="14"/>
    <x v="180"/>
  </r>
  <r>
    <s v="From Leadership to Legacy"/>
    <x v="3"/>
    <x v="181"/>
  </r>
  <r>
    <s v="Innovation, Entrepreneurialism, Courage: From AribaPay to Suseo Rail"/>
    <x v="2"/>
    <x v="182"/>
  </r>
  <r>
    <s v="A Sporting Showcase for Technology"/>
    <x v="3"/>
    <x v="183"/>
  </r>
  <r>
    <s v="What’s Got Turkey Talking?"/>
    <x v="14"/>
    <x v="183"/>
  </r>
  <r>
    <s v="Living Simple"/>
    <x v="8"/>
    <x v="184"/>
  </r>
  <r>
    <s v="Computers and the Tyranny of the Present"/>
    <x v="18"/>
    <x v="185"/>
  </r>
  <r>
    <s v="Oil and Safety Mix Well in Azerbaijan"/>
    <x v="3"/>
    <x v="185"/>
  </r>
  <r>
    <s v="SAP on the Hill: 1 Minute Mini Series"/>
    <x v="84"/>
    <x v="186"/>
  </r>
  <r>
    <s v="Data Dilemma"/>
    <x v="6"/>
    <x v="187"/>
  </r>
  <r>
    <s v="Heralding the Future"/>
    <x v="3"/>
    <x v="187"/>
  </r>
  <r>
    <s v="Vive la France"/>
    <x v="6"/>
    <x v="188"/>
  </r>
  <r>
    <s v="SAP Employees Break Volunteering Record"/>
    <x v="96"/>
    <x v="189"/>
  </r>
  <r>
    <s v="What Moved You Most in 2015?"/>
    <x v="14"/>
    <x v="190"/>
  </r>
  <r>
    <s v="SAP’s Light Bulb Moment"/>
    <x v="23"/>
    <x v="191"/>
  </r>
  <r>
    <s v="Funding a Worthy Cause"/>
    <x v="14"/>
    <x v="192"/>
  </r>
  <r>
    <s v="SAP Aces Corporate Equality Index for LGBT Inclusion"/>
    <x v="18"/>
    <x v="192"/>
  </r>
  <r>
    <s v="Dare to Be More Human"/>
    <x v="14"/>
    <x v="193"/>
  </r>
  <r>
    <s v="Delivering on a Promise"/>
    <x v="6"/>
    <x v="193"/>
  </r>
  <r>
    <s v="“I Love to Score Goals”"/>
    <x v="97"/>
    <x v="194"/>
  </r>
  <r>
    <s v="Time is Running Out"/>
    <x v="1"/>
    <x v="194"/>
  </r>
  <r>
    <s v="“We Can Help Mitigate the Risks”"/>
    <x v="7"/>
    <x v="195"/>
  </r>
  <r>
    <s v="The Connected Stadium @ FC Bayern Munich"/>
    <x v="98"/>
    <x v="196"/>
  </r>
  <r>
    <s v="How Cities Are Turning Down the Heat"/>
    <x v="99"/>
    <x v="197"/>
  </r>
  <r>
    <s v="Totems of Technology"/>
    <x v="100"/>
    <x v="197"/>
  </r>
  <r>
    <s v="And the Winner is…"/>
    <x v="8"/>
    <x v="198"/>
  </r>
  <r>
    <s v="Enter the Green Cloud"/>
    <x v="1"/>
    <x v="198"/>
  </r>
  <r>
    <s v="Steve Lucas Talks SAP HANA"/>
    <x v="101"/>
    <x v="199"/>
  </r>
  <r>
    <s v="Putting Trees Back Where They Belong"/>
    <x v="1"/>
    <x v="200"/>
  </r>
  <r>
    <s v="Steve Lucas – SAP HANA DELIVERS!"/>
    <x v="102"/>
    <x v="200"/>
  </r>
  <r>
    <s v="SAP HANA, Now More Than Ever"/>
    <x v="103"/>
    <x v="201"/>
  </r>
  <r>
    <s v="The Platform for Everyone"/>
    <x v="104"/>
    <x v="201"/>
  </r>
  <r>
    <s v="Parking Made Painless"/>
    <x v="1"/>
    <x v="202"/>
  </r>
  <r>
    <s v="SAP HANA Healthcare – Dawn of New Era"/>
    <x v="6"/>
    <x v="203"/>
  </r>
  <r>
    <s v="The Digital Rescuer"/>
    <x v="105"/>
    <x v="204"/>
  </r>
  <r>
    <s v="Difference Makers!"/>
    <x v="106"/>
    <x v="205"/>
  </r>
  <r>
    <s v="Crescent Garden Runs Simple!"/>
    <x v="101"/>
    <x v="206"/>
  </r>
  <r>
    <s v="Digital India on the Rise"/>
    <x v="18"/>
    <x v="207"/>
  </r>
  <r>
    <s v="How Brazil’s River People Can Save the Amazon"/>
    <x v="107"/>
    <x v="207"/>
  </r>
  <r>
    <s v="Advise and Consult"/>
    <x v="14"/>
    <x v="208"/>
  </r>
  <r>
    <s v="Social Business Takes Root in Eastern Europe"/>
    <x v="18"/>
    <x v="209"/>
  </r>
  <r>
    <s v="Siemens Industry: Three Pillars Bolster the First “Big Thing”"/>
    <x v="64"/>
    <x v="210"/>
  </r>
  <r>
    <s v="11 Real World Examples of Digital Transformation "/>
    <x v="64"/>
    <x v="211"/>
  </r>
  <r>
    <s v="Employees Support Relief Efforts in Chennai"/>
    <x v="2"/>
    <x v="212"/>
  </r>
  <r>
    <s v="Laughing All the Way to the Bank"/>
    <x v="99"/>
    <x v="212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55">
  <r>
    <m/>
    <x v="0"/>
  </r>
  <r>
    <s v="A New Twist To the News"/>
    <x v="1"/>
  </r>
  <r>
    <s v="“The Driving Force is Data”"/>
    <x v="2"/>
  </r>
  <r>
    <s v="The Disruptors: Doing the Smart Thing"/>
    <x v="3"/>
  </r>
  <r>
    <s v="IBM is Practicing What SAP Teaches"/>
    <x v="4"/>
  </r>
  <r>
    <s v="Mobility Compliance Reloaded"/>
    <x v="5"/>
  </r>
  <r>
    <s v="Overcoming the Trust Deficit"/>
    <x v="6"/>
  </r>
  <r>
    <s v="Global Managing Board Adds Two Members"/>
    <x v="7"/>
  </r>
  <r>
    <s v="Photo Contest: Bending the Rules"/>
    <x v="8"/>
  </r>
  <r>
    <s v="The Results Are Out"/>
    <x v="9"/>
  </r>
  <r>
    <s v="SAP Achieves 2014 Outlook as Cloud Surges"/>
    <x v="2"/>
  </r>
  <r>
    <s v="Top 5: Empowering Women at Work"/>
    <x v="10"/>
  </r>
  <r>
    <s v="Customer Connection Helps Optimize Products"/>
    <x v="11"/>
  </r>
  <r>
    <s v="Security Is in Your Hands"/>
    <x v="12"/>
  </r>
  <r>
    <s v="Phase One of SAP.com Goes Live"/>
    <x v="13"/>
  </r>
  <r>
    <s v="New Regional Appointments in EMEA and MEE"/>
    <x v="2"/>
  </r>
  <r>
    <s v="Is Unpredictability the New Norm?"/>
    <x v="6"/>
  </r>
  <r>
    <s v="Regaining the Upper Hand with S4HANA"/>
    <x v="14"/>
  </r>
  <r>
    <s v="2015: Full Throttle for Cloud Growth"/>
    <x v="2"/>
  </r>
  <r>
    <s v="Capturing the Essence of SAP"/>
    <x v="9"/>
  </r>
  <r>
    <s v="The Disruptors: Harley to Minas Gerais"/>
    <x v="3"/>
  </r>
  <r>
    <s v="Career Path: From Manager to Expert"/>
    <x v="9"/>
  </r>
  <r>
    <s v="Are You a Sports Ignoramus?"/>
    <x v="2"/>
  </r>
  <r>
    <s v="SAP at World Economic Forum (Day 1)"/>
    <x v="15"/>
  </r>
  <r>
    <s v="Will Berlin Out-Innovate Silicon Valley?"/>
    <x v="16"/>
  </r>
  <r>
    <s v="Hidden Champion: The Crisis Manager"/>
    <x v="14"/>
  </r>
  <r>
    <s v="Forklift Meets Cloud"/>
    <x v="1"/>
  </r>
  <r>
    <s v="A Business Leader in Marketing"/>
    <x v="17"/>
  </r>
  <r>
    <s v="Top Five Things to Know: Cristina Palmaka"/>
    <x v="18"/>
  </r>
  <r>
    <s v="Decoding the Human Body"/>
    <x v="1"/>
  </r>
  <r>
    <s v="Watch for These Top Trends in 2015"/>
    <x v="2"/>
  </r>
  <r>
    <s v="Bill in MENA: Exciting New Prospects"/>
    <x v="19"/>
  </r>
  <r>
    <s v="The Business Re-Imaginer"/>
    <x v="18"/>
  </r>
  <r>
    <s v="Connecting the Autism Community"/>
    <x v="20"/>
  </r>
  <r>
    <s v="The Complexity Antidote"/>
    <x v="6"/>
  </r>
  <r>
    <s v="Cirque du Soleil - Free to be Creative"/>
    <x v="6"/>
  </r>
  <r>
    <s v="The Disruptors: Eldorado for Shoppers"/>
    <x v="3"/>
  </r>
  <r>
    <s v="Digitized Health Care Saves Lives"/>
    <x v="18"/>
  </r>
  <r>
    <s v="Four Times to the Moon and Back"/>
    <x v="21"/>
  </r>
  <r>
    <s v="SAP Turbo-Charges Education"/>
    <x v="16"/>
  </r>
  <r>
    <s v="Photo Contest: Bending the Rules"/>
    <x v="8"/>
  </r>
  <r>
    <s v="The Disruptors: Tech Dress at Work"/>
    <x v="3"/>
  </r>
  <r>
    <s v="Building Bridges: Sound of Collaboration"/>
    <x v="22"/>
  </r>
  <r>
    <s v="Ideas with Impact"/>
    <x v="23"/>
  </r>
  <r>
    <s v="Photo Contest: 2014 Winners Announced"/>
    <x v="8"/>
  </r>
  <r>
    <s v="“How We Run” Takes Off"/>
    <x v="8"/>
  </r>
  <r>
    <s v="Get Your Cricket World Cup Updates"/>
    <x v="1"/>
  </r>
  <r>
    <s v="The Difference Between Life and Death"/>
    <x v="16"/>
  </r>
  <r>
    <s v="Need to Know: SAP Corporate Framework"/>
    <x v="24"/>
  </r>
  <r>
    <s v="The Disruptors: Plant Bottles, not Plastic"/>
    <x v="3"/>
  </r>
  <r>
    <s v="Sending the Right Message"/>
    <x v="25"/>
  </r>
  <r>
    <s v="Big S/4HANA Wins in Latin America"/>
    <x v="26"/>
  </r>
  <r>
    <s v="Powering the Energy Revolution"/>
    <x v="27"/>
  </r>
  <r>
    <s v="“I Was Born This Way”"/>
    <x v="28"/>
  </r>
  <r>
    <s v="SAP Labs India Hosts IoT Day"/>
    <x v="29"/>
  </r>
  <r>
    <s v="SAP and NHL Team up for Hockey Fans"/>
    <x v="30"/>
  </r>
  <r>
    <s v="Getting Ahead of the Curve in Safety"/>
    <x v="1"/>
  </r>
  <r>
    <s v="Sleeping Beauties"/>
    <x v="14"/>
  </r>
  <r>
    <s v="The Disruptors: People, Planet, Profit"/>
    <x v="3"/>
  </r>
  <r>
    <s v="Healthcare gets the IT Treatment"/>
    <x v="6"/>
  </r>
  <r>
    <s v="Hate Your Job?"/>
    <x v="31"/>
  </r>
  <r>
    <s v="Out of This World"/>
    <x v="2"/>
  </r>
  <r>
    <s v="Career Coaching (1/3)"/>
    <x v="9"/>
  </r>
  <r>
    <s v="A New Perspective on IoT"/>
    <x v="32"/>
  </r>
  <r>
    <s v="Telcos Tap into the Connected Woman"/>
    <x v="33"/>
  </r>
  <r>
    <s v="MWC- Mobile Industry’s Reality Test"/>
    <x v="6"/>
  </r>
  <r>
    <s v="SAP Inspiration Pavilion Opens in Beijing"/>
    <x v="34"/>
  </r>
  <r>
    <s v="The Edge of Innovation"/>
    <x v="33"/>
  </r>
  <r>
    <s v="Career Coaching (2/3)"/>
    <x v="9"/>
  </r>
  <r>
    <s v="Unleash the Startup in You"/>
    <x v="35"/>
  </r>
  <r>
    <s v="The Disruptors: Barcelona For You!"/>
    <x v="3"/>
  </r>
  <r>
    <s v="Culture Wall Up and Running"/>
    <x v="36"/>
  </r>
  <r>
    <s v="Career Coaching (3/3)"/>
    <x v="9"/>
  </r>
  <r>
    <s v="Walldorf and Silicon Valley in Tech Fever"/>
    <x v="37"/>
  </r>
  <r>
    <s v="Women’s Day: Make It Happen!"/>
    <x v="38"/>
  </r>
  <r>
    <s v="Next Generation of SAP MaxAttention"/>
    <x v="39"/>
  </r>
  <r>
    <s v="The Disruptors: Getting Personal With Big Data"/>
    <x v="3"/>
  </r>
  <r>
    <s v="A Showcase for Real-Time Retail"/>
    <x v="40"/>
  </r>
  <r>
    <s v="Creating A Strong Culture"/>
    <x v="41"/>
  </r>
  <r>
    <s v="Jenny Dearborn: Powerful Leader in IT"/>
    <x v="42"/>
  </r>
  <r>
    <s v="How Jaime Found His Dream Job"/>
    <x v="16"/>
  </r>
  <r>
    <s v="Introducing the New SAP Store"/>
    <x v="43"/>
  </r>
  <r>
    <s v="HanaHaus Opens in Palo Alto"/>
    <x v="41"/>
  </r>
  <r>
    <s v="Never Lose Your Sense of Curiosity"/>
    <x v="9"/>
  </r>
  <r>
    <s v="Hidden Champion: The Global Citizen"/>
    <x v="14"/>
  </r>
  <r>
    <s v="The Disruptors: These Schutz are Made for Walking"/>
    <x v="3"/>
  </r>
  <r>
    <s v="Photo Contest: Diversity &amp; Inclusion"/>
    <x v="8"/>
  </r>
  <r>
    <s v="Strong Commitment Increases Profit"/>
    <x v="44"/>
  </r>
  <r>
    <s v="CeBIT 2015: High-Touch SAP"/>
    <x v="28"/>
  </r>
  <r>
    <s v="Cricket Fans Bowled Over by SAP"/>
    <x v="45"/>
  </r>
  <r>
    <s v="Apple Pay and the Payment Platform Revolution"/>
    <x v="46"/>
  </r>
  <r>
    <s v="Hands On with High Tech"/>
    <x v="47"/>
  </r>
  <r>
    <s v="InnoJam: Smart(Cit)ies Have the Answer"/>
    <x v="28"/>
  </r>
  <r>
    <s v="How Fit Are You Really?"/>
    <x v="45"/>
  </r>
  <r>
    <s v="The Disruptors: Bikers Against Disease"/>
    <x v="3"/>
  </r>
  <r>
    <s v="Welcome to the Talent Journey!"/>
    <x v="48"/>
  </r>
  <r>
    <s v="Solving the Cancer Puzzle with SAP HANA"/>
    <x v="1"/>
  </r>
  <r>
    <s v="SAP Mourns Klaus Tschira"/>
    <x v="1"/>
  </r>
  <r>
    <s v="No Innovation Without Learning"/>
    <x v="49"/>
  </r>
  <r>
    <s v="Thinking Faster with SAP HANA In Your Head — Literally"/>
    <x v="2"/>
  </r>
  <r>
    <s v="How Does the Cloud Benefit HR?"/>
    <x v="16"/>
  </r>
  <r>
    <s v="Six Tips for Better Clicks"/>
    <x v="1"/>
  </r>
  <r>
    <s v="Just Ask Dr. B. Data"/>
    <x v="50"/>
  </r>
  <r>
    <s v="Accelerating Cloud Growth – The Lowdown"/>
    <x v="51"/>
  </r>
  <r>
    <s v="Brazil Inc – Nailing Complexity"/>
    <x v="6"/>
  </r>
  <r>
    <s v="Photo Contest: Diversity &amp; Inclusion"/>
    <x v="8"/>
  </r>
  <r>
    <s v="The Disruptors: Eco Easter Eggs"/>
    <x v="3"/>
  </r>
  <r>
    <s v="Dare to be Scared"/>
    <x v="52"/>
  </r>
  <r>
    <s v="Brazil Inc, Part 2: Investing Smartly"/>
    <x v="3"/>
  </r>
  <r>
    <s v="Top Five Things to Know: Paula Jacomo"/>
    <x v="18"/>
  </r>
  <r>
    <s v="Mission Control, we Fly to Mars"/>
    <x v="14"/>
  </r>
  <r>
    <s v="IT &amp; Healthcare Illustrated"/>
    <x v="33"/>
  </r>
  <r>
    <s v="The Future of Talent Management"/>
    <x v="16"/>
  </r>
  <r>
    <s v="SAP Forum in Moscow Takes Off"/>
    <x v="4"/>
  </r>
  <r>
    <s v="The Disruptors: No End to the Innovation Race"/>
    <x v="3"/>
  </r>
  <r>
    <s v="Who Are You Calling a Nerd? SAP Employees Hit the Road"/>
    <x v="53"/>
  </r>
  <r>
    <s v="A Python on My Way to School"/>
    <x v="42"/>
  </r>
  <r>
    <s v="Double Win for Manufacturing"/>
    <x v="37"/>
  </r>
  <r>
    <s v="Bill and François Hollande Talk Technology"/>
    <x v="54"/>
  </r>
  <r>
    <s v="S/4HANA: “The Big New Thing”"/>
    <x v="1"/>
  </r>
  <r>
    <s v="From Refugee to Tech Exec"/>
    <x v="55"/>
  </r>
  <r>
    <s v="A Matter of Integrity"/>
    <x v="56"/>
  </r>
  <r>
    <s v="Social Sabbatical: Not a One Way Street"/>
    <x v="45"/>
  </r>
  <r>
    <s v="Q1: Exceptional Cloud Growth"/>
    <x v="2"/>
  </r>
  <r>
    <s v="New Behaviors at SAP"/>
    <x v="9"/>
  </r>
  <r>
    <s v="Master of Arts"/>
    <x v="45"/>
  </r>
  <r>
    <s v="“A Very Substantial Cloud Business”"/>
    <x v="2"/>
  </r>
  <r>
    <s v="The Disruptors: Shirt Delivery by Drone?"/>
    <x v="3"/>
  </r>
  <r>
    <s v="Robots for Babies"/>
    <x v="45"/>
  </r>
  <r>
    <s v="Dietmar Hopp Celebrates his 75th Birthday"/>
    <x v="57"/>
  </r>
  <r>
    <s v="IT Powers the Energy Sector"/>
    <x v="1"/>
  </r>
  <r>
    <s v="SAP Founders’ Award Reloaded"/>
    <x v="2"/>
  </r>
  <r>
    <s v="From Drones to Selfie Sticks"/>
    <x v="3"/>
  </r>
  <r>
    <s v="Nepal Earthquake: SAP Supports Red Cross"/>
    <x v="58"/>
  </r>
  <r>
    <s v="Kenya: Going Far Together"/>
    <x v="3"/>
  </r>
  <r>
    <s v="Intrapreneurship: Where Are We Now?"/>
    <x v="59"/>
  </r>
  <r>
    <s v="SAP Sports One at the Starting Line"/>
    <x v="1"/>
  </r>
  <r>
    <s v="The Disruptors: Five Cents for a Clean Toilet"/>
    <x v="3"/>
  </r>
  <r>
    <s v="The In-Memory Revolution"/>
    <x v="2"/>
  </r>
  <r>
    <s v="Lockdown in Chicago"/>
    <x v="60"/>
  </r>
  <r>
    <s v="Creativity and the Art of Completion"/>
    <x v="6"/>
  </r>
  <r>
    <s v="SME Coaching For Free"/>
    <x v="33"/>
  </r>
  <r>
    <s v="Greater Mobile Productivity Now"/>
    <x v="61"/>
  </r>
  <r>
    <s v="B/E Aerospace is Flying High"/>
    <x v="16"/>
  </r>
  <r>
    <s v="Key Accelerator for SAP´s Growth Aspirations"/>
    <x v="6"/>
  </r>
  <r>
    <s v="A Question of Quality"/>
    <x v="62"/>
  </r>
  <r>
    <s v="Hot and Cloudy, Chance of Meatballs"/>
    <x v="6"/>
  </r>
  <r>
    <s v="“The Consumer Rules”"/>
    <x v="63"/>
  </r>
  <r>
    <s v="The Digital Economy in the Spotlight"/>
    <x v="1"/>
  </r>
  <r>
    <s v="Women’s Leadership Summit 2015"/>
    <x v="45"/>
  </r>
  <r>
    <s v="Spotting the Centaur at SAPPHIRE NOW"/>
    <x v="6"/>
  </r>
  <r>
    <s v="From Selling Products to Selling Outcomes"/>
    <x v="16"/>
  </r>
  <r>
    <s v="Executive Board Meetings of the Future"/>
    <x v="1"/>
  </r>
  <r>
    <s v="Smart Business Networks"/>
    <x v="6"/>
  </r>
  <r>
    <s v="Transform Information Into Action"/>
    <x v="3"/>
  </r>
  <r>
    <s v="Photo Contest “On the Move”"/>
    <x v="8"/>
  </r>
  <r>
    <s v="Get Designing"/>
    <x v="9"/>
  </r>
  <r>
    <s v="Molecular Health: A Technology Trailblazer"/>
    <x v="64"/>
  </r>
  <r>
    <s v="Remote Access Made Simple"/>
    <x v="65"/>
  </r>
  <r>
    <s v="AMG Moves into the Fast Lane"/>
    <x v="66"/>
  </r>
  <r>
    <s v="Gender Quota for Supervisory Board"/>
    <x v="42"/>
  </r>
  <r>
    <s v="Early Achievers"/>
    <x v="67"/>
  </r>
  <r>
    <s v="Adding Energy to Red Bull"/>
    <x v="2"/>
  </r>
  <r>
    <s v="Investing in Future Tech Talent"/>
    <x v="68"/>
  </r>
  <r>
    <s v="The Disruptors: Bring On BI"/>
    <x v="3"/>
  </r>
  <r>
    <s v="Digital Transformation at Bayer"/>
    <x v="64"/>
  </r>
  <r>
    <s v="The Secret to Product Success"/>
    <x v="69"/>
  </r>
  <r>
    <s v="Career Success Center Kicks Off"/>
    <x v="9"/>
  </r>
  <r>
    <s v="The Disruptors: Unique Solutions"/>
    <x v="3"/>
  </r>
  <r>
    <s v="Nostalgic-Art Tests In-Memory Platform"/>
    <x v="64"/>
  </r>
  <r>
    <s v="Marketplace for Connected Car Services"/>
    <x v="70"/>
  </r>
  <r>
    <s v="SAP Supports Non-Discrimination Act"/>
    <x v="9"/>
  </r>
  <r>
    <s v="Analyzing the Game"/>
    <x v="2"/>
  </r>
  <r>
    <s v="Becoming Simply Irresistible"/>
    <x v="31"/>
  </r>
  <r>
    <s v="Atos Doubles Its Revenue with SAP"/>
    <x v="16"/>
  </r>
  <r>
    <s v="Powering up East Africa"/>
    <x v="3"/>
  </r>
  <r>
    <s v="Surge in SAP Brand Value"/>
    <x v="6"/>
  </r>
  <r>
    <s v="COPE Gives Franz Confidence"/>
    <x v="14"/>
  </r>
  <r>
    <s v="Growth and Jobs Through Digitalization"/>
    <x v="2"/>
  </r>
  <r>
    <s v="HANA Spatial: Where Are They Now?"/>
    <x v="2"/>
  </r>
  <r>
    <s v="Photo Contest: On the Move"/>
    <x v="8"/>
  </r>
  <r>
    <s v="Ready for Five Generations in Your Workplace?"/>
    <x v="71"/>
  </r>
  <r>
    <s v="ZERO Downtime: Mission Accomplished"/>
    <x v="42"/>
  </r>
  <r>
    <s v="Salesforce.com: Poster Child for Cloud 1.0"/>
    <x v="6"/>
  </r>
  <r>
    <s v="Seven SAP Channel Execs Honored"/>
    <x v="72"/>
  </r>
  <r>
    <s v="The Disruptors: Klitschko’s City Knockout"/>
    <x v="3"/>
  </r>
  <r>
    <s v="Now Showing in Airports Near You"/>
    <x v="73"/>
  </r>
  <r>
    <s v="“Everything Is Possible at SAP”"/>
    <x v="14"/>
  </r>
  <r>
    <s v="Vote Now!"/>
    <x v="9"/>
  </r>
  <r>
    <s v="Designing with the Elderly"/>
    <x v="45"/>
  </r>
  <r>
    <s v="Breakthroughs? Take A Break"/>
    <x v="74"/>
  </r>
  <r>
    <s v="Why Ikram Can’t Find a Job"/>
    <x v="18"/>
  </r>
  <r>
    <s v="Building dreams"/>
    <x v="14"/>
  </r>
  <r>
    <s v="Innovation Spotting at the Paris Air Show"/>
    <x v="75"/>
  </r>
  <r>
    <s v="Where in the World Do we Run Simple?"/>
    <x v="73"/>
  </r>
  <r>
    <s v="Removing the Boardroom Blindfolds"/>
    <x v="6"/>
  </r>
  <r>
    <s v="Trash After the Big Bash"/>
    <x v="3"/>
  </r>
  <r>
    <s v="Dynamic Online Learning"/>
    <x v="16"/>
  </r>
  <r>
    <s v="And the Winner Is…"/>
    <x v="45"/>
  </r>
  <r>
    <s v="Shravan Finds His Place"/>
    <x v="1"/>
  </r>
  <r>
    <s v="The Disruptors: Become a Smart Port"/>
    <x v="3"/>
  </r>
  <r>
    <s v="Overcoming Every Hurdle"/>
    <x v="76"/>
  </r>
  <r>
    <s v="Simpler, Faster, Unified, Efficient"/>
    <x v="77"/>
  </r>
  <r>
    <s v="Crafty Tunes with Music 4.0"/>
    <x v="28"/>
  </r>
  <r>
    <s v="Ford and SAP Put Design in High Gear"/>
    <x v="18"/>
  </r>
  <r>
    <s v="Restoring Growth Across Latin America"/>
    <x v="78"/>
  </r>
  <r>
    <s v="Software Coding in Lagos"/>
    <x v="79"/>
  </r>
  <r>
    <s v="SAP Waves the Rainbow Flag"/>
    <x v="18"/>
  </r>
  <r>
    <s v="Cultivating Our Curiosity"/>
    <x v="9"/>
  </r>
  <r>
    <s v="They Came, Pitched, and Conquered"/>
    <x v="59"/>
  </r>
  <r>
    <s v="Fresh Face Joins the Supervisory Board"/>
    <x v="42"/>
  </r>
  <r>
    <s v="Top Honors for TwoGo by SAP"/>
    <x v="27"/>
  </r>
  <r>
    <s v="Fashion Gets a Tech Makeover"/>
    <x v="45"/>
  </r>
  <r>
    <s v="Ariba: All Fired Up"/>
    <x v="14"/>
  </r>
  <r>
    <s v="Taking Football into the Cloud"/>
    <x v="45"/>
  </r>
  <r>
    <s v="Greek Debt Crisis"/>
    <x v="1"/>
  </r>
  <r>
    <s v="Living the New Behaviors"/>
    <x v="45"/>
  </r>
  <r>
    <s v="Founders’ Award: Where Are We Now?"/>
    <x v="80"/>
  </r>
  <r>
    <s v="Quentin Clark Appointed to SAP Board"/>
    <x v="2"/>
  </r>
  <r>
    <s v="Never Too Early for STEM"/>
    <x v="16"/>
  </r>
  <r>
    <s v="Photo Contest: Street Photography"/>
    <x v="8"/>
  </r>
  <r>
    <s v="Go West, Young Man"/>
    <x v="18"/>
  </r>
  <r>
    <s v="Diversity and the Digital Economy"/>
    <x v="81"/>
  </r>
  <r>
    <s v="Coaching, Leading, Managing"/>
    <x v="41"/>
  </r>
  <r>
    <s v="Innovative Israel"/>
    <x v="2"/>
  </r>
  <r>
    <s v="Let’s Get Physical"/>
    <x v="45"/>
  </r>
  <r>
    <s v="The Adventures of Super Simple"/>
    <x v="45"/>
  </r>
  <r>
    <s v="Define Your Career"/>
    <x v="82"/>
  </r>
  <r>
    <s v="Gamification: Party Pirate Style"/>
    <x v="8"/>
  </r>
  <r>
    <s v="Lync Succeeds SAP Connect for Meetings"/>
    <x v="83"/>
  </r>
  <r>
    <s v="Mitigate Slavery in the Supply Chain"/>
    <x v="14"/>
  </r>
  <r>
    <s v="The Making of “In the Clouds with SAP”"/>
    <x v="84"/>
  </r>
  <r>
    <s v="SAP Grows in the Cloud and Network"/>
    <x v="2"/>
  </r>
  <r>
    <s v="Making Security Run Simple"/>
    <x v="85"/>
  </r>
  <r>
    <s v="Good Job, Keep Rolling, Stop Flying"/>
    <x v="2"/>
  </r>
  <r>
    <s v="The Disruptors: Why Fieldglass is One"/>
    <x v="3"/>
  </r>
  <r>
    <s v="Taylor Made, Disaster on the Hudson"/>
    <x v="6"/>
  </r>
  <r>
    <s v="Israel and Germany: Trust Breeds Innovation"/>
    <x v="2"/>
  </r>
  <r>
    <s v="Adapt or Die"/>
    <x v="3"/>
  </r>
  <r>
    <s v="From Poaching to Farming"/>
    <x v="1"/>
  </r>
  <r>
    <s v="Customer Survey: Please, Keep it Simple"/>
    <x v="86"/>
  </r>
  <r>
    <s v="Coding and Corner Kicks"/>
    <x v="23"/>
  </r>
  <r>
    <s v="Unified Ticketing: One Support for Everyone"/>
    <x v="87"/>
  </r>
  <r>
    <s v="Spotlight on Women Leaders at SAP"/>
    <x v="16"/>
  </r>
  <r>
    <s v="Talking Trash at Lunch"/>
    <x v="4"/>
  </r>
  <r>
    <s v="The Digital Economy Manifesto"/>
    <x v="88"/>
  </r>
  <r>
    <s v="Structure + Freedom = Innovation"/>
    <x v="14"/>
  </r>
  <r>
    <s v="SAP on Wheels"/>
    <x v="84"/>
  </r>
  <r>
    <s v="Educational Equity Fueled by Tech"/>
    <x v="89"/>
  </r>
  <r>
    <s v="Recipe for a Sports App"/>
    <x v="1"/>
  </r>
  <r>
    <s v="The Valley Revs Up Social Start Ups"/>
    <x v="18"/>
  </r>
  <r>
    <s v="A Dynamic Duo"/>
    <x v="14"/>
  </r>
  <r>
    <s v="…Sails to Sales Success"/>
    <x v="18"/>
  </r>
  <r>
    <s v="Kids Discover The Digital Economy"/>
    <x v="79"/>
  </r>
  <r>
    <s v="Putting the Swing Back in Walldorf"/>
    <x v="66"/>
  </r>
  <r>
    <s v="Wipe Your Lenses and Hit the Streets!"/>
    <x v="8"/>
  </r>
  <r>
    <s v="Two Sides of the Same Coin"/>
    <x v="61"/>
  </r>
  <r>
    <s v="Ending Supply Chain Slavery"/>
    <x v="46"/>
  </r>
  <r>
    <s v="A Matter Of Support"/>
    <x v="14"/>
  </r>
  <r>
    <s v="The Crippling Cost of Sports Injuries"/>
    <x v="3"/>
  </r>
  <r>
    <s v="Innovation in a Lump of Iron"/>
    <x v="90"/>
  </r>
  <r>
    <s v="The Pitfalls of Brand Journalism"/>
    <x v="47"/>
  </r>
  <r>
    <s v="Parlez-Vous Business in Africa?"/>
    <x v="18"/>
  </r>
  <r>
    <s v="Wake Up and Smell the Crayons"/>
    <x v="16"/>
  </r>
  <r>
    <s v="Tapping IoT’s Potential"/>
    <x v="91"/>
  </r>
  <r>
    <s v="Making Sailing Simpler"/>
    <x v="89"/>
  </r>
  <r>
    <s v="Spotlight on Women Leaders at SAP"/>
    <x v="16"/>
  </r>
  <r>
    <s v="Don’t be a Dodo"/>
    <x v="6"/>
  </r>
  <r>
    <s v="The Neglected Morality of IoT"/>
    <x v="63"/>
  </r>
  <r>
    <s v="Digitization with Extra Horsepower"/>
    <x v="92"/>
  </r>
  <r>
    <s v="Platforms Are Hot Again. Digitize Now!"/>
    <x v="3"/>
  </r>
  <r>
    <s v="Easier Partnering, Bigger Opportunities"/>
    <x v="33"/>
  </r>
  <r>
    <s v="Cat Videos Are Overrated"/>
    <x v="2"/>
  </r>
  <r>
    <s v="SAP S/4HANA Branding Update"/>
    <x v="3"/>
  </r>
  <r>
    <s v="Refugee Crisis – How You Can Help"/>
    <x v="1"/>
  </r>
  <r>
    <s v="Power in Employees’ Pockets"/>
    <x v="2"/>
  </r>
  <r>
    <s v="The Disruptors: Data Doctors Trust"/>
    <x v="3"/>
  </r>
  <r>
    <s v="Black and White"/>
    <x v="8"/>
  </r>
  <r>
    <s v="Customers Are in the Driver’s Seat Now"/>
    <x v="6"/>
  </r>
  <r>
    <s v="Be a Hero. No Cape Required."/>
    <x v="42"/>
  </r>
  <r>
    <s v="“I Feel Stronger Than Ever”"/>
    <x v="2"/>
  </r>
  <r>
    <s v="We’re Not in Kansas Anymore"/>
    <x v="6"/>
  </r>
  <r>
    <s v="SAP Responds to the Refugee Crisis"/>
    <x v="9"/>
  </r>
  <r>
    <s v="Team U.S. Wins the Solheim Cup"/>
    <x v="66"/>
  </r>
  <r>
    <s v="SAP’s Fast and Furious Facts"/>
    <x v="28"/>
  </r>
  <r>
    <s v="When Smart Cities Fight Mother Nature"/>
    <x v="3"/>
  </r>
  <r>
    <s v="Hackers Meet Their Match in SAP"/>
    <x v="64"/>
  </r>
  <r>
    <s v="Driving IT Innovation (Literally)"/>
    <x v="1"/>
  </r>
  <r>
    <s v="Let's Get Real"/>
    <x v="6"/>
  </r>
  <r>
    <s v="How to Design Digital Transformation"/>
    <x v="93"/>
  </r>
  <r>
    <s v="SAP Strategy, Live and In Color"/>
    <x v="4"/>
  </r>
  <r>
    <s v="Wearable at Work – The SAP and Google Challenge"/>
    <x v="94"/>
  </r>
  <r>
    <s v="Ready, Set, Code! STEM’s Africa Road Show"/>
    <x v="18"/>
  </r>
  <r>
    <s v="Michael Kleinemeier Joins Executive Board"/>
    <x v="3"/>
  </r>
  <r>
    <s v="And the Winner is…"/>
    <x v="8"/>
  </r>
  <r>
    <s v="Customer Hops Onto SAP HANA Express"/>
    <x v="3"/>
  </r>
  <r>
    <s v="One4: You Can Help the Refugee Crisis NOW"/>
    <x v="18"/>
  </r>
  <r>
    <s v="SAP Expands HCM Suite with Multiposting"/>
    <x v="2"/>
  </r>
  <r>
    <s v="Q3: Record Results in the Cloud"/>
    <x v="2"/>
  </r>
  <r>
    <s v="The Play-by-Play on SAP Sports One"/>
    <x v="64"/>
  </r>
  <r>
    <s v="#One4: The Power of One Idea"/>
    <x v="1"/>
  </r>
  <r>
    <s v="Coding the Future: Fresh Perspectives"/>
    <x v="23"/>
  </r>
  <r>
    <s v="Innovation Deals a Blow Against Cancer"/>
    <x v="14"/>
  </r>
  <r>
    <s v="SAP HANA Support Packs a Punch"/>
    <x v="64"/>
  </r>
  <r>
    <s v="The Spirit of Solidarity"/>
    <x v="14"/>
  </r>
  <r>
    <s v="Record Q3 Results Are Confirmed"/>
    <x v="2"/>
  </r>
  <r>
    <s v="“No Room for Complacency”"/>
    <x v="2"/>
  </r>
  <r>
    <s v="And the Winner Is…."/>
    <x v="6"/>
  </r>
  <r>
    <s v="SAP S/4HANA Goes Way off the Charts"/>
    <x v="95"/>
  </r>
  <r>
    <s v="The Disruptors – Where robots do the dirty work"/>
    <x v="3"/>
  </r>
  <r>
    <s v="The Quality Execution Principle"/>
    <x v="14"/>
  </r>
  <r>
    <s v="From Leadership to Legacy"/>
    <x v="3"/>
  </r>
  <r>
    <s v="Innovation, Entrepreneurialism, Courage: From AribaPay to Suseo Rail"/>
    <x v="2"/>
  </r>
  <r>
    <s v="A Sporting Showcase for Technology"/>
    <x v="3"/>
  </r>
  <r>
    <s v="What’s Got Turkey Talking?"/>
    <x v="14"/>
  </r>
  <r>
    <s v="Living Simple"/>
    <x v="8"/>
  </r>
  <r>
    <s v="Computers and the Tyranny of the Present"/>
    <x v="18"/>
  </r>
  <r>
    <s v="Oil and Safety Mix Well in Azerbaijan"/>
    <x v="3"/>
  </r>
  <r>
    <s v="SAP on the Hill: 1 Minute Mini Series"/>
    <x v="84"/>
  </r>
  <r>
    <s v="Data Dilemma"/>
    <x v="6"/>
  </r>
  <r>
    <s v="Heralding the Future"/>
    <x v="3"/>
  </r>
  <r>
    <s v="Vive la France"/>
    <x v="6"/>
  </r>
  <r>
    <s v="SAP Employees Break Volunteering Record"/>
    <x v="96"/>
  </r>
  <r>
    <s v="What Moved You Most in 2015?"/>
    <x v="14"/>
  </r>
  <r>
    <s v="SAP’s Light Bulb Moment"/>
    <x v="23"/>
  </r>
  <r>
    <s v="Funding a Worthy Cause"/>
    <x v="14"/>
  </r>
  <r>
    <s v="SAP Aces Corporate Equality Index for LGBT Inclusion"/>
    <x v="18"/>
  </r>
  <r>
    <s v="Dare to Be More Human"/>
    <x v="14"/>
  </r>
  <r>
    <s v="Delivering on a Promise"/>
    <x v="6"/>
  </r>
  <r>
    <s v="“I Love to Score Goals”"/>
    <x v="97"/>
  </r>
  <r>
    <s v="Time is Running Out"/>
    <x v="1"/>
  </r>
  <r>
    <s v="“We Can Help Mitigate the Risks”"/>
    <x v="7"/>
  </r>
  <r>
    <s v="The Connected Stadium @ FC Bayern Munich"/>
    <x v="98"/>
  </r>
  <r>
    <s v="How Cities Are Turning Down the Heat"/>
    <x v="99"/>
  </r>
  <r>
    <s v="Totems of Technology"/>
    <x v="100"/>
  </r>
  <r>
    <s v="And the Winner is…"/>
    <x v="8"/>
  </r>
  <r>
    <s v="Enter the Green Cloud"/>
    <x v="1"/>
  </r>
  <r>
    <s v="Steve Lucas Talks SAP HANA"/>
    <x v="101"/>
  </r>
  <r>
    <s v="Putting Trees Back Where They Belong"/>
    <x v="1"/>
  </r>
  <r>
    <s v="Steve Lucas – SAP HANA DELIVERS!"/>
    <x v="102"/>
  </r>
  <r>
    <s v="SAP HANA, Now More Than Ever"/>
    <x v="103"/>
  </r>
  <r>
    <s v="The Platform for Everyone"/>
    <x v="104"/>
  </r>
  <r>
    <s v="Parking Made Painless"/>
    <x v="1"/>
  </r>
  <r>
    <s v="SAP HANA Healthcare – Dawn of New Era"/>
    <x v="6"/>
  </r>
  <r>
    <s v="The Digital Rescuer"/>
    <x v="105"/>
  </r>
  <r>
    <s v="Difference Makers!"/>
    <x v="106"/>
  </r>
  <r>
    <s v="Crescent Garden Runs Simple!"/>
    <x v="101"/>
  </r>
  <r>
    <s v="Digital India on the Rise"/>
    <x v="18"/>
  </r>
  <r>
    <s v="How Brazil’s River People Can Save the Amazon"/>
    <x v="107"/>
  </r>
  <r>
    <s v="Advise and Consult"/>
    <x v="14"/>
  </r>
  <r>
    <s v="Social Business Takes Root in Eastern Europe"/>
    <x v="18"/>
  </r>
  <r>
    <s v="Siemens Industry: Three Pillars Bolster the First “Big Thing”"/>
    <x v="64"/>
  </r>
  <r>
    <s v="11 Real World Examples of Digital Transformation "/>
    <x v="64"/>
  </r>
  <r>
    <s v="Employees Support Relief Efforts in Chennai"/>
    <x v="2"/>
  </r>
  <r>
    <s v="Laughing All the Way to the Bank"/>
    <x v="99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355">
  <r>
    <x v="0"/>
    <m/>
    <x v="0"/>
    <x v="0"/>
  </r>
  <r>
    <x v="1"/>
    <s v="Michael Zipf"/>
    <x v="1"/>
    <x v="0"/>
  </r>
  <r>
    <x v="2"/>
    <s v="Paul Baur"/>
    <x v="1"/>
    <x v="1"/>
  </r>
  <r>
    <x v="3"/>
    <s v="Judith Magyar"/>
    <x v="1"/>
    <x v="1"/>
  </r>
  <r>
    <x v="4"/>
    <s v="Sarah Kellman"/>
    <x v="2"/>
    <x v="0"/>
  </r>
  <r>
    <x v="5"/>
    <s v="Phillip Klewitz"/>
    <x v="3"/>
    <x v="0"/>
  </r>
  <r>
    <x v="6"/>
    <s v="Paul Taylor"/>
    <x v="4"/>
    <x v="0"/>
  </r>
  <r>
    <x v="7"/>
    <s v="SAP News"/>
    <x v="5"/>
    <x v="0"/>
  </r>
  <r>
    <x v="8"/>
    <s v="Miriam Siebeking"/>
    <x v="5"/>
    <x v="0"/>
  </r>
  <r>
    <x v="9"/>
    <s v="Torsten Falk"/>
    <x v="6"/>
    <x v="2"/>
  </r>
  <r>
    <x v="10"/>
    <s v="Paul Baur"/>
    <x v="6"/>
    <x v="0"/>
  </r>
  <r>
    <x v="11"/>
    <s v="Sarah Harvey"/>
    <x v="7"/>
    <x v="0"/>
  </r>
  <r>
    <x v="12"/>
    <s v="Cueneyt Cam"/>
    <x v="7"/>
    <x v="0"/>
  </r>
  <r>
    <x v="13"/>
    <s v="Agnes Biesiekierska"/>
    <x v="8"/>
    <x v="0"/>
  </r>
  <r>
    <x v="14"/>
    <s v="Richard Nikolic"/>
    <x v="9"/>
    <x v="0"/>
  </r>
  <r>
    <x v="15"/>
    <s v="Paul Baur"/>
    <x v="9"/>
    <x v="0"/>
  </r>
  <r>
    <x v="16"/>
    <s v="Paul Taylor"/>
    <x v="10"/>
    <x v="3"/>
  </r>
  <r>
    <x v="17"/>
    <s v="Stephan Magura"/>
    <x v="10"/>
    <x v="0"/>
  </r>
  <r>
    <x v="18"/>
    <s v="Paul Baur"/>
    <x v="11"/>
    <x v="1"/>
  </r>
  <r>
    <x v="19"/>
    <s v="Torsten Falk"/>
    <x v="11"/>
    <x v="1"/>
  </r>
  <r>
    <x v="20"/>
    <s v="Judith Magyar"/>
    <x v="12"/>
    <x v="1"/>
  </r>
  <r>
    <x v="21"/>
    <s v="Torsten Falk"/>
    <x v="13"/>
    <x v="0"/>
  </r>
  <r>
    <x v="22"/>
    <s v="Paul Baur"/>
    <x v="13"/>
    <x v="1"/>
  </r>
  <r>
    <x v="23"/>
    <s v="Jennifer Alejandro"/>
    <x v="13"/>
    <x v="1"/>
  </r>
  <r>
    <x v="24"/>
    <s v="Susan Galer"/>
    <x v="14"/>
    <x v="0"/>
  </r>
  <r>
    <x v="25"/>
    <s v="Stephan Magura"/>
    <x v="15"/>
    <x v="0"/>
  </r>
  <r>
    <x v="26"/>
    <s v="Michael Zipf"/>
    <x v="15"/>
    <x v="0"/>
  </r>
  <r>
    <x v="27"/>
    <s v="John Pelle"/>
    <x v="16"/>
    <x v="1"/>
  </r>
  <r>
    <x v="28"/>
    <s v="Robin Meyerhoff"/>
    <x v="16"/>
    <x v="0"/>
  </r>
  <r>
    <x v="29"/>
    <s v="Michael Zipf"/>
    <x v="17"/>
    <x v="1"/>
  </r>
  <r>
    <x v="30"/>
    <s v="Paul Baur"/>
    <x v="17"/>
    <x v="0"/>
  </r>
  <r>
    <x v="31"/>
    <s v="Courtney Robinson"/>
    <x v="18"/>
    <x v="1"/>
  </r>
  <r>
    <x v="32"/>
    <s v="Robin Meyerhoff"/>
    <x v="19"/>
    <x v="0"/>
  </r>
  <r>
    <x v="33"/>
    <s v="Suan Jee Janice Ng"/>
    <x v="20"/>
    <x v="0"/>
  </r>
  <r>
    <x v="34"/>
    <s v="Paul Taylor"/>
    <x v="21"/>
    <x v="0"/>
  </r>
  <r>
    <x v="35"/>
    <s v="Paul Taylor"/>
    <x v="21"/>
    <x v="0"/>
  </r>
  <r>
    <x v="36"/>
    <s v="Judith Magyar"/>
    <x v="21"/>
    <x v="0"/>
  </r>
  <r>
    <x v="37"/>
    <s v="Robin Meyerhoff"/>
    <x v="21"/>
    <x v="0"/>
  </r>
  <r>
    <x v="38"/>
    <s v="Christine Susanne Mueller"/>
    <x v="22"/>
    <x v="0"/>
  </r>
  <r>
    <x v="39"/>
    <s v="Susan Galer"/>
    <x v="22"/>
    <x v="0"/>
  </r>
  <r>
    <x v="8"/>
    <s v="Miriam Siebeking"/>
    <x v="23"/>
    <x v="0"/>
  </r>
  <r>
    <x v="40"/>
    <s v="Judith Magyar"/>
    <x v="24"/>
    <x v="0"/>
  </r>
  <r>
    <x v="41"/>
    <s v="Building Bridges"/>
    <x v="25"/>
    <x v="0"/>
  </r>
  <r>
    <x v="42"/>
    <s v="Corinna Machmeier"/>
    <x v="25"/>
    <x v="0"/>
  </r>
  <r>
    <x v="43"/>
    <s v="Miriam Siebeking"/>
    <x v="26"/>
    <x v="0"/>
  </r>
  <r>
    <x v="44"/>
    <s v="Miriam Siebeking"/>
    <x v="26"/>
    <x v="0"/>
  </r>
  <r>
    <x v="45"/>
    <s v="Michael Zipf"/>
    <x v="27"/>
    <x v="0"/>
  </r>
  <r>
    <x v="46"/>
    <s v="Susan Galer"/>
    <x v="27"/>
    <x v="0"/>
  </r>
  <r>
    <x v="47"/>
    <s v="Tibor Hornyak"/>
    <x v="27"/>
    <x v="0"/>
  </r>
  <r>
    <x v="48"/>
    <s v="Judith Magyar"/>
    <x v="28"/>
    <x v="0"/>
  </r>
  <r>
    <x v="49"/>
    <s v="Jerry Janda"/>
    <x v="28"/>
    <x v="3"/>
  </r>
  <r>
    <x v="50"/>
    <s v="Nicola Leske"/>
    <x v="29"/>
    <x v="0"/>
  </r>
  <r>
    <x v="51"/>
    <s v="Bettina Wunderle"/>
    <x v="29"/>
    <x v="0"/>
  </r>
  <r>
    <x v="52"/>
    <s v="Kesja Cichowski"/>
    <x v="30"/>
    <x v="0"/>
  </r>
  <r>
    <x v="53"/>
    <s v="Sonakishi Nandy"/>
    <x v="30"/>
    <x v="0"/>
  </r>
  <r>
    <x v="54"/>
    <s v="Lena Walther"/>
    <x v="31"/>
    <x v="1"/>
  </r>
  <r>
    <x v="55"/>
    <s v="Michael Zipf"/>
    <x v="32"/>
    <x v="0"/>
  </r>
  <r>
    <x v="56"/>
    <s v="Stephan Magura"/>
    <x v="33"/>
    <x v="0"/>
  </r>
  <r>
    <x v="57"/>
    <s v="Judith Magyar"/>
    <x v="34"/>
    <x v="3"/>
  </r>
  <r>
    <x v="58"/>
    <s v="Paul Taylor"/>
    <x v="34"/>
    <x v="3"/>
  </r>
  <r>
    <x v="59"/>
    <s v="Amira Polack"/>
    <x v="35"/>
    <x v="3"/>
  </r>
  <r>
    <x v="60"/>
    <s v="Paul Baur"/>
    <x v="36"/>
    <x v="1"/>
  </r>
  <r>
    <x v="61"/>
    <s v="Torsten Falk"/>
    <x v="36"/>
    <x v="0"/>
  </r>
  <r>
    <x v="62"/>
    <s v="Christine Kubach"/>
    <x v="37"/>
    <x v="0"/>
  </r>
  <r>
    <x v="63"/>
    <s v="Jacqueline Prause"/>
    <x v="37"/>
    <x v="0"/>
  </r>
  <r>
    <x v="64"/>
    <s v="Paul Taylor"/>
    <x v="37"/>
    <x v="1"/>
  </r>
  <r>
    <x v="65"/>
    <s v="Jakob Braun"/>
    <x v="37"/>
    <x v="0"/>
  </r>
  <r>
    <x v="66"/>
    <s v="Jacqueline Prause"/>
    <x v="38"/>
    <x v="0"/>
  </r>
  <r>
    <x v="67"/>
    <s v="Torsten Falk"/>
    <x v="39"/>
    <x v="0"/>
  </r>
  <r>
    <x v="68"/>
    <s v="Marcus Krug"/>
    <x v="39"/>
    <x v="1"/>
  </r>
  <r>
    <x v="69"/>
    <s v="Judith Magyar"/>
    <x v="39"/>
    <x v="0"/>
  </r>
  <r>
    <x v="70"/>
    <s v="Anne Hardy"/>
    <x v="40"/>
    <x v="0"/>
  </r>
  <r>
    <x v="71"/>
    <s v="Torsten Falk"/>
    <x v="41"/>
    <x v="0"/>
  </r>
  <r>
    <x v="72"/>
    <s v="Teara Kuhn"/>
    <x v="41"/>
    <x v="1"/>
  </r>
  <r>
    <x v="73"/>
    <s v="Nadia Boyes"/>
    <x v="42"/>
    <x v="1"/>
  </r>
  <r>
    <x v="74"/>
    <s v="Ursula Kreuch"/>
    <x v="42"/>
    <x v="1"/>
  </r>
  <r>
    <x v="75"/>
    <s v="Judith Magyar"/>
    <x v="43"/>
    <x v="3"/>
  </r>
  <r>
    <x v="76"/>
    <s v="Susan Jee Janice Ng"/>
    <x v="43"/>
    <x v="1"/>
  </r>
  <r>
    <x v="77"/>
    <s v="Susan Orenstein"/>
    <x v="44"/>
    <x v="0"/>
  </r>
  <r>
    <x v="78"/>
    <s v="Andrea Diederichs"/>
    <x v="45"/>
    <x v="0"/>
  </r>
  <r>
    <x v="79"/>
    <s v="Susan Galer"/>
    <x v="45"/>
    <x v="1"/>
  </r>
  <r>
    <x v="80"/>
    <s v="Anna Burkhadt"/>
    <x v="46"/>
    <x v="0"/>
  </r>
  <r>
    <x v="81"/>
    <s v="Susan Orenstein"/>
    <x v="47"/>
    <x v="4"/>
  </r>
  <r>
    <x v="82"/>
    <s v="Torsten Falk"/>
    <x v="47"/>
    <x v="0"/>
  </r>
  <r>
    <x v="83"/>
    <s v="Stephan Magura"/>
    <x v="48"/>
    <x v="0"/>
  </r>
  <r>
    <x v="84"/>
    <s v="Judith Magyar"/>
    <x v="48"/>
    <x v="0"/>
  </r>
  <r>
    <x v="85"/>
    <s v="Miriam Siebeking"/>
    <x v="49"/>
    <x v="0"/>
  </r>
  <r>
    <x v="86"/>
    <s v="Diana Pauly"/>
    <x v="50"/>
    <x v="3"/>
  </r>
  <r>
    <x v="87"/>
    <s v="Kesja Cichowski"/>
    <x v="50"/>
    <x v="0"/>
  </r>
  <r>
    <x v="88"/>
    <s v="Emily Scorer"/>
    <x v="51"/>
    <x v="0"/>
  </r>
  <r>
    <x v="89"/>
    <s v="Debra Curtis-Magley"/>
    <x v="51"/>
    <x v="0"/>
  </r>
  <r>
    <x v="90"/>
    <s v="Tim Clark"/>
    <x v="52"/>
    <x v="1"/>
  </r>
  <r>
    <x v="91"/>
    <s v="Kesja Cichowski"/>
    <x v="52"/>
    <x v="5"/>
  </r>
  <r>
    <x v="92"/>
    <s v="Emily Scorer"/>
    <x v="53"/>
    <x v="0"/>
  </r>
  <r>
    <x v="93"/>
    <s v="Judith Magyar"/>
    <x v="54"/>
    <x v="0"/>
  </r>
  <r>
    <x v="94"/>
    <s v="Jenny Dearborn"/>
    <x v="54"/>
    <x v="2"/>
  </r>
  <r>
    <x v="95"/>
    <s v="Michael Zipf"/>
    <x v="55"/>
    <x v="1"/>
  </r>
  <r>
    <x v="96"/>
    <s v="Michael Zipf"/>
    <x v="56"/>
    <x v="4"/>
  </r>
  <r>
    <x v="97"/>
    <s v="Chistiane Kubach"/>
    <x v="56"/>
    <x v="1"/>
  </r>
  <r>
    <x v="98"/>
    <s v="Paul Baur"/>
    <x v="56"/>
    <x v="0"/>
  </r>
  <r>
    <x v="99"/>
    <s v="Susan Galer"/>
    <x v="56"/>
    <x v="1"/>
  </r>
  <r>
    <x v="100"/>
    <s v="Michael Zipf"/>
    <x v="56"/>
    <x v="0"/>
  </r>
  <r>
    <x v="101"/>
    <s v="Christine Donato"/>
    <x v="57"/>
    <x v="0"/>
  </r>
  <r>
    <x v="102"/>
    <s v="Anita Riegel"/>
    <x v="58"/>
    <x v="0"/>
  </r>
  <r>
    <x v="103"/>
    <s v="Paul Taylor"/>
    <x v="59"/>
    <x v="0"/>
  </r>
  <r>
    <x v="85"/>
    <s v="Miriam Siebeking"/>
    <x v="59"/>
    <x v="0"/>
  </r>
  <r>
    <x v="104"/>
    <s v="Judith Magyar"/>
    <x v="60"/>
    <x v="0"/>
  </r>
  <r>
    <x v="105"/>
    <s v="Diana Vega"/>
    <x v="61"/>
    <x v="0"/>
  </r>
  <r>
    <x v="106"/>
    <s v="Judith Magyar"/>
    <x v="61"/>
    <x v="3"/>
  </r>
  <r>
    <x v="107"/>
    <s v="Robin Meyerhoff"/>
    <x v="62"/>
    <x v="0"/>
  </r>
  <r>
    <x v="108"/>
    <s v="Stephan Magura"/>
    <x v="62"/>
    <x v="0"/>
  </r>
  <r>
    <x v="109"/>
    <s v="Jacqueline Prause"/>
    <x v="62"/>
    <x v="0"/>
  </r>
  <r>
    <x v="110"/>
    <s v="Susan Galer"/>
    <x v="63"/>
    <x v="0"/>
  </r>
  <r>
    <x v="111"/>
    <s v="Sarah Kellman"/>
    <x v="64"/>
    <x v="0"/>
  </r>
  <r>
    <x v="112"/>
    <s v="Judith Magyar"/>
    <x v="64"/>
    <x v="0"/>
  </r>
  <r>
    <x v="113"/>
    <s v="Stephanie Rieder"/>
    <x v="64"/>
    <x v="1"/>
  </r>
  <r>
    <x v="114"/>
    <s v="Andrea Diederichs"/>
    <x v="65"/>
    <x v="4"/>
  </r>
  <r>
    <x v="115"/>
    <s v="Teara Kuhn"/>
    <x v="65"/>
    <x v="0"/>
  </r>
  <r>
    <x v="116"/>
    <s v="Frederic Masse"/>
    <x v="65"/>
    <x v="0"/>
  </r>
  <r>
    <x v="117"/>
    <s v="Michael Zipf"/>
    <x v="66"/>
    <x v="1"/>
  </r>
  <r>
    <x v="118"/>
    <s v="Denise Broady"/>
    <x v="67"/>
    <x v="0"/>
  </r>
  <r>
    <x v="119"/>
    <s v="Perry Manross"/>
    <x v="67"/>
    <x v="0"/>
  </r>
  <r>
    <x v="120"/>
    <s v="Emily Scorer"/>
    <x v="67"/>
    <x v="5"/>
  </r>
  <r>
    <x v="121"/>
    <s v="Paul Baur"/>
    <x v="68"/>
    <x v="1"/>
  </r>
  <r>
    <x v="122"/>
    <s v="Torsten Falk"/>
    <x v="69"/>
    <x v="6"/>
  </r>
  <r>
    <x v="123"/>
    <s v="Emily Scorer"/>
    <x v="69"/>
    <x v="0"/>
  </r>
  <r>
    <x v="124"/>
    <s v="Paul Baur"/>
    <x v="69"/>
    <x v="1"/>
  </r>
  <r>
    <x v="125"/>
    <s v="Judith Magyar"/>
    <x v="69"/>
    <x v="1"/>
  </r>
  <r>
    <x v="126"/>
    <s v="Emily Scorer"/>
    <x v="70"/>
    <x v="1"/>
  </r>
  <r>
    <x v="127"/>
    <s v="Marcus Winkler"/>
    <x v="71"/>
    <x v="7"/>
  </r>
  <r>
    <x v="128"/>
    <s v="Michael Zipf"/>
    <x v="71"/>
    <x v="1"/>
  </r>
  <r>
    <x v="129"/>
    <s v="Paul Baur"/>
    <x v="72"/>
    <x v="1"/>
  </r>
  <r>
    <x v="130"/>
    <s v="Judith Magyar"/>
    <x v="72"/>
    <x v="1"/>
  </r>
  <r>
    <x v="131"/>
    <s v="Alicia Lenze"/>
    <x v="73"/>
    <x v="0"/>
  </r>
  <r>
    <x v="132"/>
    <s v="Judith Magyar"/>
    <x v="73"/>
    <x v="0"/>
  </r>
  <r>
    <x v="133"/>
    <s v="Catherine Girardin"/>
    <x v="73"/>
    <x v="0"/>
  </r>
  <r>
    <x v="134"/>
    <s v="Michael Zipf"/>
    <x v="74"/>
    <x v="1"/>
  </r>
  <r>
    <x v="135"/>
    <s v="Judith Magyar"/>
    <x v="74"/>
    <x v="3"/>
  </r>
  <r>
    <x v="136"/>
    <s v="Paul Baur"/>
    <x v="75"/>
    <x v="0"/>
  </r>
  <r>
    <x v="137"/>
    <s v="Molli Jordan"/>
    <x v="75"/>
    <x v="1"/>
  </r>
  <r>
    <x v="138"/>
    <s v="Paul Taylor"/>
    <x v="75"/>
    <x v="0"/>
  </r>
  <r>
    <x v="139"/>
    <s v="Jacqueline Prause"/>
    <x v="75"/>
    <x v="0"/>
  </r>
  <r>
    <x v="140"/>
    <s v="Charlotte Otter"/>
    <x v="76"/>
    <x v="0"/>
  </r>
  <r>
    <x v="141"/>
    <s v="Susan Galer"/>
    <x v="76"/>
    <x v="0"/>
  </r>
  <r>
    <x v="142"/>
    <s v="Paul Taylor"/>
    <x v="76"/>
    <x v="0"/>
  </r>
  <r>
    <x v="143"/>
    <s v="Stephan Magura "/>
    <x v="77"/>
    <x v="0"/>
  </r>
  <r>
    <x v="144"/>
    <s v="Paul Taylor"/>
    <x v="77"/>
    <x v="3"/>
  </r>
  <r>
    <x v="145"/>
    <s v="Derek Klobucher"/>
    <x v="78"/>
    <x v="0"/>
  </r>
  <r>
    <x v="146"/>
    <s v="Michael Zipf"/>
    <x v="78"/>
    <x v="0"/>
  </r>
  <r>
    <x v="147"/>
    <s v="Emily Scorer"/>
    <x v="79"/>
    <x v="0"/>
  </r>
  <r>
    <x v="148"/>
    <s v="Paul Taylor"/>
    <x v="79"/>
    <x v="0"/>
  </r>
  <r>
    <x v="149"/>
    <s v="Susan Galer"/>
    <x v="79"/>
    <x v="0"/>
  </r>
  <r>
    <x v="150"/>
    <s v="Michael Zipf"/>
    <x v="80"/>
    <x v="0"/>
  </r>
  <r>
    <x v="151"/>
    <s v="Paul Taylor"/>
    <x v="80"/>
    <x v="1"/>
  </r>
  <r>
    <x v="152"/>
    <s v="Judith Magyar"/>
    <x v="80"/>
    <x v="8"/>
  </r>
  <r>
    <x v="153"/>
    <s v="Miriam Siebeking"/>
    <x v="81"/>
    <x v="0"/>
  </r>
  <r>
    <x v="154"/>
    <s v="Torsten Falk"/>
    <x v="82"/>
    <x v="9"/>
  </r>
  <r>
    <x v="155"/>
    <s v="Andreas Schmitz"/>
    <x v="83"/>
    <x v="0"/>
  </r>
  <r>
    <x v="156"/>
    <s v="Richard Campbell"/>
    <x v="84"/>
    <x v="0"/>
  </r>
  <r>
    <x v="157"/>
    <s v="Cornelia Weiss-Justen"/>
    <x v="85"/>
    <x v="0"/>
  </r>
  <r>
    <x v="158"/>
    <s v="Andrea Diederichs"/>
    <x v="86"/>
    <x v="0"/>
  </r>
  <r>
    <x v="159"/>
    <s v="Mark Cheever"/>
    <x v="87"/>
    <x v="0"/>
  </r>
  <r>
    <x v="160"/>
    <s v="Paul Baur"/>
    <x v="87"/>
    <x v="1"/>
  </r>
  <r>
    <x v="161"/>
    <s v="Kate Morgan"/>
    <x v="88"/>
    <x v="0"/>
  </r>
  <r>
    <x v="162"/>
    <s v="Judith Magyar"/>
    <x v="88"/>
    <x v="0"/>
  </r>
  <r>
    <x v="163"/>
    <s v="Andreas Schmitz"/>
    <x v="89"/>
    <x v="0"/>
  </r>
  <r>
    <x v="164"/>
    <s v="Tobias Essig"/>
    <x v="90"/>
    <x v="3"/>
  </r>
  <r>
    <x v="165"/>
    <s v="Torsten Falk"/>
    <x v="91"/>
    <x v="1"/>
  </r>
  <r>
    <x v="166"/>
    <s v="Judith Magyar"/>
    <x v="91"/>
    <x v="1"/>
  </r>
  <r>
    <x v="167"/>
    <s v="Andreas Schmitz"/>
    <x v="91"/>
    <x v="0"/>
  </r>
  <r>
    <x v="168"/>
    <s v="Arunima Kumar"/>
    <x v="92"/>
    <x v="1"/>
  </r>
  <r>
    <x v="169"/>
    <s v="Torsten Falk"/>
    <x v="93"/>
    <x v="0"/>
  </r>
  <r>
    <x v="170"/>
    <s v="Paul Baur"/>
    <x v="93"/>
    <x v="0"/>
  </r>
  <r>
    <x v="171"/>
    <s v="Amira Polack"/>
    <x v="93"/>
    <x v="0"/>
  </r>
  <r>
    <x v="172"/>
    <s v="Susan Galer"/>
    <x v="94"/>
    <x v="0"/>
  </r>
  <r>
    <x v="173"/>
    <s v="Judith Magyar"/>
    <x v="95"/>
    <x v="1"/>
  </r>
  <r>
    <x v="174"/>
    <s v="Paul Taylor"/>
    <x v="95"/>
    <x v="3"/>
  </r>
  <r>
    <x v="175"/>
    <s v="Stephan Magura"/>
    <x v="96"/>
    <x v="1"/>
  </r>
  <r>
    <x v="176"/>
    <s v="Paul Baur"/>
    <x v="96"/>
    <x v="0"/>
  </r>
  <r>
    <x v="177"/>
    <s v="Paul Baur"/>
    <x v="96"/>
    <x v="0"/>
  </r>
  <r>
    <x v="178"/>
    <s v="Miriam Siebeking"/>
    <x v="97"/>
    <x v="0"/>
  </r>
  <r>
    <x v="179"/>
    <s v="Mike Ettling"/>
    <x v="98"/>
    <x v="0"/>
  </r>
  <r>
    <x v="180"/>
    <s v="Andrea Diederichs"/>
    <x v="99"/>
    <x v="1"/>
  </r>
  <r>
    <x v="181"/>
    <s v="Paul Taylor"/>
    <x v="99"/>
    <x v="0"/>
  </r>
  <r>
    <x v="182"/>
    <s v="Cindy McKendry"/>
    <x v="99"/>
    <x v="0"/>
  </r>
  <r>
    <x v="183"/>
    <s v="Judith Magyar"/>
    <x v="100"/>
    <x v="0"/>
  </r>
  <r>
    <x v="184"/>
    <s v="Angela Dunn"/>
    <x v="100"/>
    <x v="0"/>
  </r>
  <r>
    <x v="185"/>
    <s v="Stephan Magura"/>
    <x v="101"/>
    <x v="0"/>
  </r>
  <r>
    <x v="186"/>
    <s v="Torsten Falk"/>
    <x v="101"/>
    <x v="4"/>
  </r>
  <r>
    <x v="187"/>
    <s v="Emily Scorer"/>
    <x v="102"/>
    <x v="3"/>
  </r>
  <r>
    <x v="188"/>
    <s v="Vivek Bapat"/>
    <x v="102"/>
    <x v="0"/>
  </r>
  <r>
    <x v="189"/>
    <s v="Robin Meyerhoff"/>
    <x v="103"/>
    <x v="1"/>
  </r>
  <r>
    <x v="190"/>
    <s v="Stephan Magura"/>
    <x v="103"/>
    <x v="4"/>
  </r>
  <r>
    <x v="191"/>
    <s v="Thomas Pohl"/>
    <x v="104"/>
    <x v="1"/>
  </r>
  <r>
    <x v="192"/>
    <s v="Angela Dunn"/>
    <x v="104"/>
    <x v="0"/>
  </r>
  <r>
    <x v="193"/>
    <s v="Paul Taylor"/>
    <x v="105"/>
    <x v="1"/>
  </r>
  <r>
    <x v="194"/>
    <s v="Judith Magyar"/>
    <x v="106"/>
    <x v="0"/>
  </r>
  <r>
    <x v="195"/>
    <s v="Susan Galer"/>
    <x v="107"/>
    <x v="0"/>
  </r>
  <r>
    <x v="196"/>
    <s v="Emily Scorer"/>
    <x v="108"/>
    <x v="1"/>
  </r>
  <r>
    <x v="197"/>
    <s v="Michael Zipf"/>
    <x v="108"/>
    <x v="1"/>
  </r>
  <r>
    <x v="198"/>
    <s v="Judith Magyar"/>
    <x v="108"/>
    <x v="1"/>
  </r>
  <r>
    <x v="199"/>
    <s v="Angela Klose"/>
    <x v="109"/>
    <x v="1"/>
  </r>
  <r>
    <x v="200"/>
    <s v="Jane Gray"/>
    <x v="109"/>
    <x v="0"/>
  </r>
  <r>
    <x v="201"/>
    <s v="Kesja Cichowski"/>
    <x v="110"/>
    <x v="1"/>
  </r>
  <r>
    <x v="202"/>
    <s v="Robin Meyerhoff"/>
    <x v="110"/>
    <x v="7"/>
  </r>
  <r>
    <x v="203"/>
    <s v="Renata Pompeu Pividal"/>
    <x v="110"/>
    <x v="0"/>
  </r>
  <r>
    <x v="204"/>
    <s v="Gillian Lindsell"/>
    <x v="111"/>
    <x v="0"/>
  </r>
  <r>
    <x v="205"/>
    <s v="Robin Meyerhoff"/>
    <x v="112"/>
    <x v="1"/>
  </r>
  <r>
    <x v="206"/>
    <s v="Torsten Falk"/>
    <x v="113"/>
    <x v="0"/>
  </r>
  <r>
    <x v="207"/>
    <s v="Catherine Girardin"/>
    <x v="113"/>
    <x v="1"/>
  </r>
  <r>
    <x v="208"/>
    <s v="Andrea Diederichs"/>
    <x v="114"/>
    <x v="0"/>
  </r>
  <r>
    <x v="209"/>
    <s v="Bettina Wunderle"/>
    <x v="114"/>
    <x v="0"/>
  </r>
  <r>
    <x v="210"/>
    <s v="Emily Scorer"/>
    <x v="114"/>
    <x v="1"/>
  </r>
  <r>
    <x v="211"/>
    <s v="Stephan Magura"/>
    <x v="115"/>
    <x v="1"/>
  </r>
  <r>
    <x v="212"/>
    <s v="Emily Scorer"/>
    <x v="116"/>
    <x v="1"/>
  </r>
  <r>
    <x v="213"/>
    <s v="Michael Zipf"/>
    <x v="117"/>
    <x v="0"/>
  </r>
  <r>
    <x v="214"/>
    <s v="Emily Scorer"/>
    <x v="117"/>
    <x v="1"/>
  </r>
  <r>
    <x v="215"/>
    <s v="Cecile Yasmin Schreyer"/>
    <x v="117"/>
    <x v="0"/>
  </r>
  <r>
    <x v="216"/>
    <s v="Paul Baur"/>
    <x v="118"/>
    <x v="1"/>
  </r>
  <r>
    <x v="217"/>
    <s v="Susan Galer"/>
    <x v="118"/>
    <x v="0"/>
  </r>
  <r>
    <x v="218"/>
    <s v="Miriam Siebeking"/>
    <x v="118"/>
    <x v="0"/>
  </r>
  <r>
    <x v="219"/>
    <s v="Robin Meyerhoff"/>
    <x v="119"/>
    <x v="1"/>
  </r>
  <r>
    <x v="220"/>
    <s v="Stacy Eidson Comes"/>
    <x v="119"/>
    <x v="0"/>
  </r>
  <r>
    <x v="221"/>
    <s v="Susan Orenstein"/>
    <x v="120"/>
    <x v="0"/>
  </r>
  <r>
    <x v="222"/>
    <s v="Paul Baur"/>
    <x v="120"/>
    <x v="2"/>
  </r>
  <r>
    <x v="223"/>
    <s v="Emily Scorer"/>
    <x v="121"/>
    <x v="0"/>
  </r>
  <r>
    <x v="224"/>
    <s v="Emily Scorer"/>
    <x v="122"/>
    <x v="1"/>
  </r>
  <r>
    <x v="225"/>
    <s v="Caroline Kohout"/>
    <x v="123"/>
    <x v="0"/>
  </r>
  <r>
    <x v="226"/>
    <s v="Miriam Siebeking"/>
    <x v="123"/>
    <x v="0"/>
  </r>
  <r>
    <x v="227"/>
    <s v="Aidan Hyland"/>
    <x v="124"/>
    <x v="2"/>
  </r>
  <r>
    <x v="228"/>
    <s v="Stephan Magura"/>
    <x v="124"/>
    <x v="2"/>
  </r>
  <r>
    <x v="229"/>
    <s v="Jackie Montesinos Suarez"/>
    <x v="125"/>
    <x v="1"/>
  </r>
  <r>
    <x v="230"/>
    <s v="Paul Baur"/>
    <x v="125"/>
    <x v="1"/>
  </r>
  <r>
    <x v="231"/>
    <s v="Tanja Schaetz-Kruft"/>
    <x v="125"/>
    <x v="0"/>
  </r>
  <r>
    <x v="232"/>
    <s v="Paul Baur"/>
    <x v="126"/>
    <x v="1"/>
  </r>
  <r>
    <x v="233"/>
    <s v="Judith Magyar"/>
    <x v="126"/>
    <x v="0"/>
  </r>
  <r>
    <x v="234"/>
    <s v="Paul Taylor"/>
    <x v="127"/>
    <x v="3"/>
  </r>
  <r>
    <x v="235"/>
    <s v="Paul Baur"/>
    <x v="127"/>
    <x v="1"/>
  </r>
  <r>
    <x v="236"/>
    <s v="Judith Magyar"/>
    <x v="128"/>
    <x v="0"/>
  </r>
  <r>
    <x v="237"/>
    <s v="Michael Zipf"/>
    <x v="128"/>
    <x v="3"/>
  </r>
  <r>
    <x v="238"/>
    <s v="Heidi Ferguson-Mueller"/>
    <x v="129"/>
    <x v="3"/>
  </r>
  <r>
    <x v="239"/>
    <s v="Corinna Machmeier"/>
    <x v="129"/>
    <x v="1"/>
  </r>
  <r>
    <x v="240"/>
    <s v="Stephan Kamps"/>
    <x v="130"/>
    <x v="0"/>
  </r>
  <r>
    <x v="241"/>
    <s v="Susan Galer"/>
    <x v="130"/>
    <x v="0"/>
  </r>
  <r>
    <x v="242"/>
    <s v="Sarah Kellman"/>
    <x v="131"/>
    <x v="3"/>
  </r>
  <r>
    <x v="243"/>
    <s v="Jeff Woods"/>
    <x v="132"/>
    <x v="0"/>
  </r>
  <r>
    <x v="244"/>
    <s v="Stephan Magura"/>
    <x v="132"/>
    <x v="1"/>
  </r>
  <r>
    <x v="245"/>
    <s v="Jackie Montesinos Suarez"/>
    <x v="133"/>
    <x v="1"/>
  </r>
  <r>
    <x v="246"/>
    <s v="Jhon Ward"/>
    <x v="133"/>
    <x v="3"/>
  </r>
  <r>
    <x v="247"/>
    <s v="Michael Zipf"/>
    <x v="134"/>
    <x v="1"/>
  </r>
  <r>
    <x v="248"/>
    <s v="Robin Meyerhoff"/>
    <x v="135"/>
    <x v="1"/>
  </r>
  <r>
    <x v="249"/>
    <s v="Stephan Magura"/>
    <x v="136"/>
    <x v="1"/>
  </r>
  <r>
    <x v="250"/>
    <s v="Robin Meyerhoff"/>
    <x v="137"/>
    <x v="0"/>
  </r>
  <r>
    <x v="251"/>
    <s v="Gillian Lindsell"/>
    <x v="137"/>
    <x v="0"/>
  </r>
  <r>
    <x v="252"/>
    <s v="Cornelia Weiss-Justen"/>
    <x v="138"/>
    <x v="1"/>
  </r>
  <r>
    <x v="253"/>
    <s v="Miriam Siebeking"/>
    <x v="139"/>
    <x v="0"/>
  </r>
  <r>
    <x v="254"/>
    <s v="Charlotte Otter"/>
    <x v="140"/>
    <x v="1"/>
  </r>
  <r>
    <x v="255"/>
    <s v="Debra Curtis-Magley"/>
    <x v="141"/>
    <x v="1"/>
  </r>
  <r>
    <x v="256"/>
    <s v="Stephan Magura"/>
    <x v="142"/>
    <x v="1"/>
  </r>
  <r>
    <x v="257"/>
    <s v="Judith Magyar"/>
    <x v="143"/>
    <x v="3"/>
  </r>
  <r>
    <x v="258"/>
    <s v="Nadine Huelsen"/>
    <x v="144"/>
    <x v="0"/>
  </r>
  <r>
    <x v="259"/>
    <s v="Tim Clark"/>
    <x v="145"/>
    <x v="0"/>
  </r>
  <r>
    <x v="260"/>
    <s v="Robin Meyerhoff"/>
    <x v="146"/>
    <x v="1"/>
  </r>
  <r>
    <x v="261"/>
    <s v="Susan Galer"/>
    <x v="147"/>
    <x v="0"/>
  </r>
  <r>
    <x v="262"/>
    <s v="Baerbel Schultz"/>
    <x v="148"/>
    <x v="0"/>
  </r>
  <r>
    <x v="263"/>
    <s v="Jhon Ward"/>
    <x v="149"/>
    <x v="1"/>
  </r>
  <r>
    <x v="241"/>
    <s v="Susan Galer"/>
    <x v="150"/>
    <x v="0"/>
  </r>
  <r>
    <x v="264"/>
    <s v="Paul Taylor"/>
    <x v="150"/>
    <x v="3"/>
  </r>
  <r>
    <x v="265"/>
    <s v="Derek Klobucher"/>
    <x v="151"/>
    <x v="0"/>
  </r>
  <r>
    <x v="266"/>
    <s v="Lynda Seger"/>
    <x v="152"/>
    <x v="0"/>
  </r>
  <r>
    <x v="267"/>
    <s v="Judith Magyar"/>
    <x v="153"/>
    <x v="8"/>
  </r>
  <r>
    <x v="268"/>
    <s v="Jacqueline Prause"/>
    <x v="154"/>
    <x v="1"/>
  </r>
  <r>
    <x v="269"/>
    <s v="Paul Baur"/>
    <x v="155"/>
    <x v="1"/>
  </r>
  <r>
    <x v="270"/>
    <s v="Judith Magyar"/>
    <x v="155"/>
    <x v="3"/>
  </r>
  <r>
    <x v="271"/>
    <s v="Michael Zipf"/>
    <x v="156"/>
    <x v="0"/>
  </r>
  <r>
    <x v="272"/>
    <s v="Paul Baur"/>
    <x v="157"/>
    <x v="1"/>
  </r>
  <r>
    <x v="273"/>
    <s v="Judith Magyar"/>
    <x v="158"/>
    <x v="1"/>
  </r>
  <r>
    <x v="274"/>
    <s v="Miriam Siebeking"/>
    <x v="159"/>
    <x v="0"/>
  </r>
  <r>
    <x v="275"/>
    <s v="Paul Taylor"/>
    <x v="160"/>
    <x v="0"/>
  </r>
  <r>
    <x v="276"/>
    <s v="Andrea Diederichs"/>
    <x v="160"/>
    <x v="3"/>
  </r>
  <r>
    <x v="277"/>
    <s v="Paul Baur"/>
    <x v="161"/>
    <x v="0"/>
  </r>
  <r>
    <x v="278"/>
    <s v="Paul Taylor"/>
    <x v="161"/>
    <x v="3"/>
  </r>
  <r>
    <x v="279"/>
    <s v="Torsten Falk"/>
    <x v="162"/>
    <x v="0"/>
  </r>
  <r>
    <x v="280"/>
    <s v="Cornelia Weiss-Justen"/>
    <x v="163"/>
    <x v="1"/>
  </r>
  <r>
    <x v="281"/>
    <s v="Kesja Cichowski"/>
    <x v="164"/>
    <x v="0"/>
  </r>
  <r>
    <x v="282"/>
    <s v="Judith Magyar"/>
    <x v="165"/>
    <x v="1"/>
  </r>
  <r>
    <x v="283"/>
    <s v="Andreas Schmitz"/>
    <x v="165"/>
    <x v="0"/>
  </r>
  <r>
    <x v="284"/>
    <s v="Michael Zipf"/>
    <x v="165"/>
    <x v="1"/>
  </r>
  <r>
    <x v="285"/>
    <s v="Paul Taylor"/>
    <x v="166"/>
    <x v="0"/>
  </r>
  <r>
    <x v="286"/>
    <s v="Sam Yen"/>
    <x v="167"/>
    <x v="0"/>
  </r>
  <r>
    <x v="287"/>
    <s v="Sarah Kellman"/>
    <x v="168"/>
    <x v="8"/>
  </r>
  <r>
    <x v="288"/>
    <s v="Thorsten Leiduck"/>
    <x v="168"/>
    <x v="0"/>
  </r>
  <r>
    <x v="289"/>
    <s v="Robin Meyerhoff"/>
    <x v="169"/>
    <x v="0"/>
  </r>
  <r>
    <x v="290"/>
    <s v="Judith Magyar"/>
    <x v="170"/>
    <x v="1"/>
  </r>
  <r>
    <x v="196"/>
    <s v="Miriam Siebeking"/>
    <x v="171"/>
    <x v="0"/>
  </r>
  <r>
    <x v="291"/>
    <s v="Judith Magyar"/>
    <x v="172"/>
    <x v="1"/>
  </r>
  <r>
    <x v="292"/>
    <s v="Robin Meyerhoff"/>
    <x v="172"/>
    <x v="1"/>
  </r>
  <r>
    <x v="293"/>
    <s v="Paul Baur"/>
    <x v="172"/>
    <x v="0"/>
  </r>
  <r>
    <x v="294"/>
    <s v="Paul Baur"/>
    <x v="173"/>
    <x v="0"/>
  </r>
  <r>
    <x v="295"/>
    <s v="Andreas Schmitz"/>
    <x v="173"/>
    <x v="0"/>
  </r>
  <r>
    <x v="296"/>
    <s v="Michael Zipf"/>
    <x v="174"/>
    <x v="1"/>
  </r>
  <r>
    <x v="297"/>
    <s v="Corinna Machmeier"/>
    <x v="174"/>
    <x v="1"/>
  </r>
  <r>
    <x v="298"/>
    <s v="Stephan Magura"/>
    <x v="174"/>
    <x v="1"/>
  </r>
  <r>
    <x v="299"/>
    <s v="Andreas Schmitz"/>
    <x v="175"/>
    <x v="2"/>
  </r>
  <r>
    <x v="300"/>
    <s v="Stephan Magura"/>
    <x v="176"/>
    <x v="0"/>
  </r>
  <r>
    <x v="301"/>
    <s v="Paul Baur"/>
    <x v="177"/>
    <x v="1"/>
  </r>
  <r>
    <x v="302"/>
    <s v="Paul Baur"/>
    <x v="178"/>
    <x v="1"/>
  </r>
  <r>
    <x v="303"/>
    <s v="Paul Taylor"/>
    <x v="178"/>
    <x v="1"/>
  </r>
  <r>
    <x v="304"/>
    <s v="Judith Magyar, Carolyn Coad"/>
    <x v="178"/>
    <x v="0"/>
  </r>
  <r>
    <x v="305"/>
    <s v="Judith Magyar"/>
    <x v="179"/>
    <x v="0"/>
  </r>
  <r>
    <x v="306"/>
    <s v="Stephan Magura"/>
    <x v="180"/>
    <x v="0"/>
  </r>
  <r>
    <x v="307"/>
    <s v="Judith Magyar"/>
    <x v="181"/>
    <x v="0"/>
  </r>
  <r>
    <x v="308"/>
    <s v="Paul Baur"/>
    <x v="182"/>
    <x v="0"/>
  </r>
  <r>
    <x v="309"/>
    <s v="Judith Magyar"/>
    <x v="183"/>
    <x v="1"/>
  </r>
  <r>
    <x v="310"/>
    <s v="Stephan Magura"/>
    <x v="183"/>
    <x v="0"/>
  </r>
  <r>
    <x v="311"/>
    <s v="Miriam Siebeking"/>
    <x v="184"/>
    <x v="1"/>
  </r>
  <r>
    <x v="312"/>
    <s v="Robin Meyerhoff"/>
    <x v="185"/>
    <x v="1"/>
  </r>
  <r>
    <x v="313"/>
    <s v="Judith Magyar"/>
    <x v="185"/>
    <x v="0"/>
  </r>
  <r>
    <x v="314"/>
    <s v="Jackie Montesinos Suarez"/>
    <x v="186"/>
    <x v="1"/>
  </r>
  <r>
    <x v="315"/>
    <s v="Paul Taylor"/>
    <x v="187"/>
    <x v="1"/>
  </r>
  <r>
    <x v="316"/>
    <s v="Judith Magyar"/>
    <x v="187"/>
    <x v="0"/>
  </r>
  <r>
    <x v="317"/>
    <s v="Paul Taylor"/>
    <x v="188"/>
    <x v="0"/>
  </r>
  <r>
    <x v="318"/>
    <s v="Patricia Crazzolara, Kesja Cichowski"/>
    <x v="189"/>
    <x v="1"/>
  </r>
  <r>
    <x v="319"/>
    <s v="Stephan Magura"/>
    <x v="190"/>
    <x v="0"/>
  </r>
  <r>
    <x v="320"/>
    <s v="Corinna Machmeier"/>
    <x v="191"/>
    <x v="1"/>
  </r>
  <r>
    <x v="321"/>
    <s v="Stephan Magura"/>
    <x v="192"/>
    <x v="0"/>
  </r>
  <r>
    <x v="322"/>
    <s v="Robin Meyerhoff"/>
    <x v="192"/>
    <x v="3"/>
  </r>
  <r>
    <x v="323"/>
    <s v="Stephan Magura"/>
    <x v="193"/>
    <x v="1"/>
  </r>
  <r>
    <x v="324"/>
    <s v="Paul Taylor"/>
    <x v="193"/>
    <x v="1"/>
  </r>
  <r>
    <x v="325"/>
    <s v="Paul Baur, Alexander Januschke, Natalie Hauck"/>
    <x v="194"/>
    <x v="1"/>
  </r>
  <r>
    <x v="326"/>
    <s v="Michael Zipf"/>
    <x v="194"/>
    <x v="0"/>
  </r>
  <r>
    <x v="327"/>
    <s v="SAP News"/>
    <x v="195"/>
    <x v="0"/>
  </r>
  <r>
    <x v="328"/>
    <s v="Michael Nuesslein "/>
    <x v="196"/>
    <x v="1"/>
  </r>
  <r>
    <x v="329"/>
    <s v="Judith Magyar "/>
    <x v="197"/>
    <x v="1"/>
  </r>
  <r>
    <x v="330"/>
    <s v="Corinna Machmeier "/>
    <x v="197"/>
    <x v="1"/>
  </r>
  <r>
    <x v="196"/>
    <s v="Miriam Siebeking"/>
    <x v="198"/>
    <x v="0"/>
  </r>
  <r>
    <x v="331"/>
    <s v="Michael Zipf"/>
    <x v="198"/>
    <x v="0"/>
  </r>
  <r>
    <x v="332"/>
    <s v="Jon Leiberman"/>
    <x v="199"/>
    <x v="0"/>
  </r>
  <r>
    <x v="333"/>
    <s v="Michael Zipf"/>
    <x v="200"/>
    <x v="1"/>
  </r>
  <r>
    <x v="334"/>
    <s v="Steve Lucas, Jon Leiberman "/>
    <x v="200"/>
    <x v="1"/>
  </r>
  <r>
    <x v="335"/>
    <s v="Robin Meyerhoff "/>
    <x v="201"/>
    <x v="1"/>
  </r>
  <r>
    <x v="336"/>
    <s v="Stephan Magura, Thomas Leonhardi "/>
    <x v="201"/>
    <x v="1"/>
  </r>
  <r>
    <x v="337"/>
    <s v="Michael Zipf"/>
    <x v="202"/>
    <x v="1"/>
  </r>
  <r>
    <x v="338"/>
    <s v="Paul Taylor"/>
    <x v="203"/>
    <x v="1"/>
  </r>
  <r>
    <x v="339"/>
    <s v="Paul Baur, Natalie Hauck, Alexander Januschke "/>
    <x v="204"/>
    <x v="1"/>
  </r>
  <r>
    <x v="340"/>
    <s v="Megan Meany"/>
    <x v="205"/>
    <x v="0"/>
  </r>
  <r>
    <x v="341"/>
    <s v="Jon Leiberman"/>
    <x v="206"/>
    <x v="0"/>
  </r>
  <r>
    <x v="342"/>
    <s v="Robin Meyerhoff"/>
    <x v="207"/>
    <x v="3"/>
  </r>
  <r>
    <x v="343"/>
    <s v="Renata Pompeu Pividal, Robin Meyerhoff"/>
    <x v="207"/>
    <x v="1"/>
  </r>
  <r>
    <x v="344"/>
    <s v="Stephan Magura"/>
    <x v="208"/>
    <x v="1"/>
  </r>
  <r>
    <x v="345"/>
    <s v="Robin Meyerhoff"/>
    <x v="209"/>
    <x v="0"/>
  </r>
  <r>
    <x v="346"/>
    <s v="Andreas Schmitz"/>
    <x v="210"/>
    <x v="0"/>
  </r>
  <r>
    <x v="347"/>
    <s v="Andreas Schmitz"/>
    <x v="211"/>
    <x v="0"/>
  </r>
  <r>
    <x v="348"/>
    <s v="Paul Baur"/>
    <x v="212"/>
    <x v="0"/>
  </r>
  <r>
    <x v="349"/>
    <s v="Judith Magyar "/>
    <x v="212"/>
    <x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485">
  <r>
    <x v="0"/>
    <m/>
    <m/>
    <m/>
    <m/>
    <m/>
    <m/>
    <m/>
    <m/>
    <m/>
    <m/>
    <m/>
    <m/>
    <m/>
    <m/>
    <m/>
    <m/>
    <m/>
    <m/>
    <m/>
  </r>
  <r>
    <x v="1"/>
    <s v="Michael Zipf"/>
    <d v="2015-01-01T00:00:00"/>
    <m/>
    <s v="Corporate"/>
    <s v="Corporate"/>
    <s v="No"/>
    <s v="Global"/>
    <n v="1967"/>
    <n v="14"/>
    <m/>
    <m/>
    <m/>
    <m/>
    <m/>
    <m/>
    <m/>
    <m/>
    <n v="1967"/>
    <n v="14"/>
  </r>
  <r>
    <x v="2"/>
    <s v="Paul Baur"/>
    <d v="2015-01-01T00:00:00"/>
    <s v="Video"/>
    <s v="Sports"/>
    <s v="P&amp;I (Research &amp; Development)"/>
    <s v="Yes"/>
    <s v="Global"/>
    <n v="2170"/>
    <n v="0"/>
    <m/>
    <m/>
    <m/>
    <m/>
    <m/>
    <m/>
    <m/>
    <m/>
    <n v="2170"/>
    <n v="0"/>
  </r>
  <r>
    <x v="3"/>
    <s v="Judith Magyar"/>
    <d v="2015-01-01T00:00:00"/>
    <s v="Video"/>
    <s v="Innovation"/>
    <s v="GCO – Platform Solutions"/>
    <s v="Yes"/>
    <s v="Global"/>
    <n v="1799"/>
    <n v="0"/>
    <m/>
    <m/>
    <n v="144"/>
    <n v="0"/>
    <m/>
    <m/>
    <m/>
    <m/>
    <n v="1943"/>
    <n v="0"/>
  </r>
  <r>
    <x v="4"/>
    <s v="Sarah Kellman"/>
    <d v="2015-01-02T00:00:00"/>
    <m/>
    <s v="Innovation"/>
    <s v="GPO (Partner, Ecosystem, Channels)"/>
    <s v="No"/>
    <s v="Global"/>
    <n v="3075"/>
    <n v="15"/>
    <m/>
    <m/>
    <m/>
    <m/>
    <m/>
    <m/>
    <m/>
    <m/>
    <n v="3075"/>
    <n v="15"/>
  </r>
  <r>
    <x v="5"/>
    <s v="Phillip Klewitz"/>
    <d v="2015-01-05T00:00:00"/>
    <m/>
    <s v="Innovation"/>
    <s v="GCO – Platform Solutions"/>
    <s v="No"/>
    <s v="Global"/>
    <n v="2753"/>
    <n v="3"/>
    <m/>
    <m/>
    <m/>
    <m/>
    <m/>
    <m/>
    <m/>
    <m/>
    <n v="2753"/>
    <n v="3"/>
  </r>
  <r>
    <x v="6"/>
    <s v="Paul Taylor"/>
    <d v="2015-01-06T00:00:00"/>
    <m/>
    <s v="Innovation"/>
    <s v="Corporate"/>
    <s v="No"/>
    <s v="Global"/>
    <n v="1287"/>
    <n v="8"/>
    <n v="569"/>
    <n v="0"/>
    <n v="125"/>
    <n v="0"/>
    <m/>
    <m/>
    <m/>
    <m/>
    <n v="1981"/>
    <n v="8"/>
  </r>
  <r>
    <x v="7"/>
    <s v="SAP News"/>
    <d v="2015-01-09T00:00:00"/>
    <m/>
    <s v="Corporate"/>
    <s v="Corporate"/>
    <s v="No"/>
    <s v="Global"/>
    <n v="3163"/>
    <n v="6"/>
    <m/>
    <m/>
    <m/>
    <m/>
    <m/>
    <m/>
    <m/>
    <m/>
    <n v="3163"/>
    <n v="6"/>
  </r>
  <r>
    <x v="8"/>
    <s v="Miriam Siebeking"/>
    <d v="2015-01-09T00:00:00"/>
    <m/>
    <s v="Corporate"/>
    <s v="Corporate"/>
    <s v="No"/>
    <s v="Global"/>
    <n v="1482"/>
    <n v="1"/>
    <m/>
    <m/>
    <m/>
    <m/>
    <m/>
    <m/>
    <m/>
    <m/>
    <n v="1482"/>
    <n v="1"/>
  </r>
  <r>
    <x v="9"/>
    <s v="Torsten Falk"/>
    <d v="2015-01-12T00:00:00"/>
    <s v="Video, Infographic"/>
    <s v="Corporate"/>
    <s v="Human Resources (SAP HR and employee stories)"/>
    <s v="No"/>
    <s v="Global"/>
    <n v="8394"/>
    <n v="20"/>
    <m/>
    <m/>
    <m/>
    <m/>
    <m/>
    <m/>
    <m/>
    <m/>
    <n v="8394"/>
    <n v="20"/>
  </r>
  <r>
    <x v="10"/>
    <s v="Paul Baur"/>
    <d v="2015-01-12T00:00:00"/>
    <m/>
    <s v="Innovation"/>
    <s v="Office of the CEO"/>
    <s v="No"/>
    <s v="Global"/>
    <n v="5792"/>
    <n v="4"/>
    <m/>
    <m/>
    <m/>
    <m/>
    <m/>
    <m/>
    <m/>
    <m/>
    <n v="5792"/>
    <n v="4"/>
  </r>
  <r>
    <x v="11"/>
    <s v="Sarah Harvey"/>
    <d v="2015-01-15T00:00:00"/>
    <m/>
    <s v="Corporate"/>
    <s v="Human Resources (SAP HR and employee stories)"/>
    <s v="No"/>
    <s v="Global"/>
    <n v="2194"/>
    <n v="11"/>
    <m/>
    <m/>
    <m/>
    <m/>
    <m/>
    <m/>
    <m/>
    <m/>
    <n v="2194"/>
    <n v="11"/>
  </r>
  <r>
    <x v="12"/>
    <s v="Cueneyt Cam"/>
    <d v="2015-01-15T00:00:00"/>
    <m/>
    <s v="Corporate"/>
    <s v="Corporate"/>
    <s v="No"/>
    <s v="Global"/>
    <n v="1049"/>
    <n v="2"/>
    <m/>
    <m/>
    <m/>
    <m/>
    <m/>
    <m/>
    <m/>
    <m/>
    <n v="1049"/>
    <n v="2"/>
  </r>
  <r>
    <x v="13"/>
    <s v="Agnes Biesiekierska"/>
    <d v="2015-01-16T00:00:00"/>
    <m/>
    <s v="Corporate"/>
    <s v="Corporate"/>
    <s v="No"/>
    <s v="Global"/>
    <n v="2838"/>
    <n v="8"/>
    <m/>
    <m/>
    <m/>
    <m/>
    <m/>
    <m/>
    <m/>
    <m/>
    <n v="2838"/>
    <n v="8"/>
  </r>
  <r>
    <x v="14"/>
    <s v="Richard Nikolic"/>
    <d v="2015-01-19T00:00:00"/>
    <m/>
    <s v="Corporate"/>
    <s v="Corporate"/>
    <s v="No"/>
    <s v="Global"/>
    <n v="3779"/>
    <n v="44"/>
    <m/>
    <m/>
    <m/>
    <m/>
    <m/>
    <m/>
    <m/>
    <m/>
    <n v="3779"/>
    <n v="44"/>
  </r>
  <r>
    <x v="15"/>
    <s v="Paul Baur"/>
    <d v="2015-01-19T00:00:00"/>
    <m/>
    <s v="Corporate"/>
    <s v="Corporate"/>
    <s v="No"/>
    <s v="EMEA"/>
    <n v="3042"/>
    <n v="0"/>
    <m/>
    <m/>
    <m/>
    <m/>
    <m/>
    <m/>
    <m/>
    <m/>
    <n v="3042"/>
    <n v="0"/>
  </r>
  <r>
    <x v="16"/>
    <s v="Paul Taylor"/>
    <d v="2015-01-20T00:00:00"/>
    <s v="Infographic"/>
    <s v="Innovation"/>
    <s v="Business Network (Concur, Ariba, Fieldglass)"/>
    <s v="No"/>
    <s v="Global"/>
    <n v="1461"/>
    <n v="2"/>
    <m/>
    <m/>
    <n v="76"/>
    <n v="0"/>
    <n v="1145"/>
    <n v="0"/>
    <m/>
    <m/>
    <n v="2682"/>
    <n v="2"/>
  </r>
  <r>
    <x v="17"/>
    <s v="Stephan Magura"/>
    <d v="2015-01-20T00:00:00"/>
    <m/>
    <s v="Innovation"/>
    <s v="Office of the CEO"/>
    <s v="No"/>
    <s v="Global"/>
    <n v="3493"/>
    <n v="0"/>
    <m/>
    <m/>
    <m/>
    <m/>
    <m/>
    <m/>
    <m/>
    <m/>
    <n v="3493"/>
    <n v="0"/>
  </r>
  <r>
    <x v="18"/>
    <s v="Paul Baur"/>
    <d v="2015-01-21T00:00:00"/>
    <s v="Video"/>
    <s v="Innovation"/>
    <s v="Office of the CEO"/>
    <s v="No"/>
    <s v="Global"/>
    <n v="6504"/>
    <n v="10"/>
    <m/>
    <m/>
    <m/>
    <m/>
    <m/>
    <m/>
    <m/>
    <m/>
    <n v="6504"/>
    <n v="10"/>
  </r>
  <r>
    <x v="19"/>
    <s v="Torsten Falk"/>
    <d v="2015-01-21T00:00:00"/>
    <s v="Video"/>
    <s v="Corporate"/>
    <s v="Office of the CEO"/>
    <s v="No"/>
    <s v="Global"/>
    <n v="2759"/>
    <n v="0"/>
    <m/>
    <m/>
    <m/>
    <m/>
    <m/>
    <m/>
    <m/>
    <m/>
    <n v="2759"/>
    <n v="0"/>
  </r>
  <r>
    <x v="20"/>
    <s v="Judith Magyar"/>
    <d v="2015-01-22T00:00:00"/>
    <s v="Video"/>
    <s v="Innovation"/>
    <s v="GCO – Platform Solutions"/>
    <s v="Yes"/>
    <s v="Global"/>
    <n v="2160"/>
    <n v="8"/>
    <m/>
    <m/>
    <n v="139"/>
    <n v="0"/>
    <m/>
    <m/>
    <m/>
    <m/>
    <n v="2299"/>
    <n v="8"/>
  </r>
  <r>
    <x v="21"/>
    <s v="Torsten Falk"/>
    <d v="2015-01-23T00:00:00"/>
    <m/>
    <s v="Corporate"/>
    <s v="Human Resources (SAP HR and employee stories)"/>
    <s v="No"/>
    <s v="Global"/>
    <n v="5938"/>
    <n v="37"/>
    <m/>
    <m/>
    <m/>
    <m/>
    <m/>
    <m/>
    <m/>
    <m/>
    <n v="5938"/>
    <n v="37"/>
  </r>
  <r>
    <x v="22"/>
    <s v="Paul Baur"/>
    <d v="2015-01-23T00:00:00"/>
    <s v="Video"/>
    <s v="Sports"/>
    <s v="Corporate"/>
    <s v="No"/>
    <s v="Global"/>
    <n v="1661"/>
    <n v="11"/>
    <m/>
    <m/>
    <m/>
    <m/>
    <m/>
    <m/>
    <m/>
    <m/>
    <n v="1661"/>
    <n v="11"/>
  </r>
  <r>
    <x v="23"/>
    <s v="Jennifer Alejandro"/>
    <d v="2015-01-23T00:00:00"/>
    <s v="Video"/>
    <s v="Innovation"/>
    <s v="Office of the CEO"/>
    <s v="No"/>
    <s v="Global"/>
    <n v="1515"/>
    <n v="4"/>
    <m/>
    <m/>
    <m/>
    <m/>
    <m/>
    <m/>
    <m/>
    <m/>
    <n v="1515"/>
    <n v="4"/>
  </r>
  <r>
    <x v="24"/>
    <s v="Susan Galer"/>
    <d v="2015-01-26T00:00:00"/>
    <m/>
    <s v="Innovation"/>
    <s v="P&amp;I (Research &amp; Development)"/>
    <s v="Yes"/>
    <s v="EMEA"/>
    <n v="2578"/>
    <n v="7"/>
    <n v="3475"/>
    <n v="0"/>
    <m/>
    <m/>
    <m/>
    <m/>
    <m/>
    <m/>
    <n v="6053"/>
    <n v="7"/>
  </r>
  <r>
    <x v="25"/>
    <s v="Stephan Magura"/>
    <d v="2015-01-27T00:00:00"/>
    <m/>
    <s v="Corporate"/>
    <s v="Human Resources (SAP HR and employee stories)"/>
    <s v="No"/>
    <s v="Global"/>
    <n v="2346"/>
    <n v="9"/>
    <m/>
    <m/>
    <m/>
    <m/>
    <m/>
    <m/>
    <m/>
    <m/>
    <n v="2346"/>
    <n v="9"/>
  </r>
  <r>
    <x v="26"/>
    <s v="Michael Zipf"/>
    <d v="2015-01-27T00:00:00"/>
    <m/>
    <s v="Innovation"/>
    <s v="GCO – Platform Solutions"/>
    <s v="No"/>
    <s v="Global"/>
    <n v="2176"/>
    <n v="6"/>
    <m/>
    <m/>
    <m/>
    <m/>
    <m/>
    <m/>
    <m/>
    <m/>
    <n v="2176"/>
    <n v="6"/>
  </r>
  <r>
    <x v="27"/>
    <s v="John Pelle"/>
    <d v="2015-01-28T00:00:00"/>
    <s v="Video"/>
    <s v="Innovation"/>
    <s v="Office of the CEO"/>
    <s v="No"/>
    <s v="Global"/>
    <n v="2810"/>
    <n v="17"/>
    <m/>
    <m/>
    <m/>
    <m/>
    <m/>
    <m/>
    <m/>
    <m/>
    <n v="2810"/>
    <n v="17"/>
  </r>
  <r>
    <x v="28"/>
    <s v="Robin Meyerhoff"/>
    <d v="2015-01-28T00:00:00"/>
    <m/>
    <s v="Corporate"/>
    <s v="GCO – Regions"/>
    <s v="No"/>
    <s v="LATAM"/>
    <n v="1618"/>
    <n v="13"/>
    <m/>
    <m/>
    <m/>
    <m/>
    <m/>
    <m/>
    <m/>
    <m/>
    <n v="1618"/>
    <n v="13"/>
  </r>
  <r>
    <x v="29"/>
    <s v="Michael Zipf"/>
    <d v="2015-01-29T00:00:00"/>
    <s v="Video"/>
    <s v="Healthcare"/>
    <s v="GCO – Platform Solutions"/>
    <s v="No"/>
    <s v="Global"/>
    <n v="1791"/>
    <n v="7"/>
    <m/>
    <m/>
    <n v="171"/>
    <n v="0"/>
    <m/>
    <m/>
    <m/>
    <m/>
    <n v="1962"/>
    <n v="7"/>
  </r>
  <r>
    <x v="30"/>
    <s v="Paul Baur"/>
    <d v="2015-01-29T00:00:00"/>
    <m/>
    <s v="Innovation"/>
    <s v="Corporate"/>
    <s v="Yes"/>
    <s v="Global"/>
    <n v="2524"/>
    <n v="0"/>
    <m/>
    <m/>
    <m/>
    <m/>
    <m/>
    <m/>
    <m/>
    <m/>
    <n v="2524"/>
    <n v="0"/>
  </r>
  <r>
    <x v="31"/>
    <s v="Courtney Robinson"/>
    <d v="2015-01-30T00:00:00"/>
    <s v="Video"/>
    <s v="Youth"/>
    <s v="Office of the CEO"/>
    <s v="Yes"/>
    <s v="EMEA"/>
    <n v="4077"/>
    <n v="7"/>
    <m/>
    <m/>
    <m/>
    <m/>
    <m/>
    <m/>
    <m/>
    <m/>
    <n v="4077"/>
    <n v="7"/>
  </r>
  <r>
    <x v="32"/>
    <s v="Robin Meyerhoff"/>
    <d v="2015-02-01T00:00:00"/>
    <m/>
    <s v="Innovation"/>
    <s v="GCO – Industry Cloud "/>
    <s v="No"/>
    <s v="Global"/>
    <n v="1613"/>
    <n v="2"/>
    <m/>
    <m/>
    <m/>
    <m/>
    <m/>
    <m/>
    <m/>
    <m/>
    <n v="1613"/>
    <n v="2"/>
  </r>
  <r>
    <x v="33"/>
    <s v="Suan Jee Janice Ng"/>
    <d v="2015-02-02T00:00:00"/>
    <m/>
    <s v="Corporate"/>
    <s v="GCO – HR (SuccessFactors)"/>
    <s v="No"/>
    <s v="Global"/>
    <n v="729"/>
    <n v="0"/>
    <m/>
    <m/>
    <m/>
    <m/>
    <m/>
    <m/>
    <m/>
    <m/>
    <n v="729"/>
    <n v="0"/>
  </r>
  <r>
    <x v="34"/>
    <s v="Paul Taylor"/>
    <d v="2015-02-03T00:00:00"/>
    <m/>
    <s v="Innovation"/>
    <s v="GCO – Industry Cloud "/>
    <s v="No"/>
    <s v="Global"/>
    <n v="7120"/>
    <n v="13"/>
    <m/>
    <m/>
    <n v="1507"/>
    <n v="0"/>
    <n v="613"/>
    <n v="0"/>
    <m/>
    <m/>
    <n v="9240"/>
    <n v="13"/>
  </r>
  <r>
    <x v="35"/>
    <s v="Paul Taylor"/>
    <d v="2015-02-03T00:00:00"/>
    <m/>
    <s v="Innovation"/>
    <s v="GCO – HR (SuccessFactors)"/>
    <s v="Yes"/>
    <s v="Global"/>
    <n v="1850"/>
    <n v="8"/>
    <m/>
    <m/>
    <n v="600"/>
    <n v="0"/>
    <n v="862"/>
    <n v="0"/>
    <m/>
    <m/>
    <n v="3312"/>
    <n v="8"/>
  </r>
  <r>
    <x v="36"/>
    <s v="Judith Magyar"/>
    <d v="2015-02-03T00:00:00"/>
    <m/>
    <s v="Innovation"/>
    <s v="GCO – Platform Solutions"/>
    <s v="Yes"/>
    <s v="Global"/>
    <n v="1516"/>
    <n v="4"/>
    <m/>
    <m/>
    <m/>
    <m/>
    <m/>
    <m/>
    <m/>
    <m/>
    <n v="1516"/>
    <n v="4"/>
  </r>
  <r>
    <x v="37"/>
    <s v="Robin Meyerhoff"/>
    <d v="2015-02-03T00:00:00"/>
    <m/>
    <s v="Healthcare"/>
    <s v="GCO – Platform Solutions"/>
    <s v="No"/>
    <s v="Global"/>
    <n v="906"/>
    <n v="0"/>
    <m/>
    <m/>
    <n v="178"/>
    <n v="0"/>
    <n v="2276"/>
    <n v="0"/>
    <m/>
    <m/>
    <n v="3360"/>
    <n v="0"/>
  </r>
  <r>
    <x v="38"/>
    <s v="Christine Susanne Mueller"/>
    <d v="2015-02-05T00:00:00"/>
    <m/>
    <s v="Innovation"/>
    <s v="Human Resources (SAP HR and employee stories)"/>
    <s v="No"/>
    <s v="Global"/>
    <n v="2094"/>
    <n v="23"/>
    <m/>
    <m/>
    <m/>
    <m/>
    <m/>
    <m/>
    <m/>
    <m/>
    <n v="2094"/>
    <n v="23"/>
  </r>
  <r>
    <x v="39"/>
    <s v="Susan Galer"/>
    <d v="2015-02-05T00:00:00"/>
    <m/>
    <s v="Youth"/>
    <s v="GCO – Other"/>
    <s v="No"/>
    <s v="Global"/>
    <n v="1946"/>
    <n v="3"/>
    <m/>
    <m/>
    <m/>
    <m/>
    <m/>
    <m/>
    <m/>
    <m/>
    <n v="1946"/>
    <n v="3"/>
  </r>
  <r>
    <x v="8"/>
    <s v="Miriam Siebeking"/>
    <d v="2015-02-06T00:00:00"/>
    <m/>
    <s v="Corporate"/>
    <s v="Corporate"/>
    <s v="No"/>
    <s v="Global"/>
    <n v="2104"/>
    <n v="0"/>
    <m/>
    <m/>
    <m/>
    <m/>
    <m/>
    <m/>
    <m/>
    <m/>
    <n v="2104"/>
    <n v="0"/>
  </r>
  <r>
    <x v="40"/>
    <s v="Judith Magyar"/>
    <d v="2015-02-11T00:00:00"/>
    <m/>
    <s v="Innovation"/>
    <s v="GCO – Platform Solutions"/>
    <s v="Yes"/>
    <s v="Global"/>
    <n v="2485"/>
    <n v="5"/>
    <m/>
    <m/>
    <n v="249"/>
    <n v="0"/>
    <n v="850"/>
    <n v="0"/>
    <m/>
    <m/>
    <n v="3584"/>
    <n v="5"/>
  </r>
  <r>
    <x v="41"/>
    <s v="Building Bridges"/>
    <d v="2015-02-12T00:00:00"/>
    <m/>
    <s v="Corporate"/>
    <s v="Corporate"/>
    <s v="No"/>
    <s v="Global"/>
    <n v="1567"/>
    <n v="12"/>
    <m/>
    <m/>
    <m/>
    <m/>
    <m/>
    <m/>
    <m/>
    <m/>
    <n v="1567"/>
    <n v="12"/>
  </r>
  <r>
    <x v="42"/>
    <s v="Corinna Machmeier"/>
    <d v="2015-02-12T00:00:00"/>
    <m/>
    <s v="Youth"/>
    <s v="Human Resources (SAP HR and employee stories)"/>
    <s v="No"/>
    <s v="Global"/>
    <n v="858"/>
    <n v="1"/>
    <m/>
    <m/>
    <m/>
    <m/>
    <m/>
    <m/>
    <m/>
    <m/>
    <n v="858"/>
    <n v="1"/>
  </r>
  <r>
    <x v="43"/>
    <s v="Miriam Siebeking"/>
    <d v="2015-02-13T00:00:00"/>
    <m/>
    <s v="Corporate"/>
    <s v="Corporate"/>
    <s v="No"/>
    <s v="Global"/>
    <n v="1726"/>
    <n v="5"/>
    <m/>
    <m/>
    <m/>
    <m/>
    <m/>
    <m/>
    <m/>
    <m/>
    <n v="1726"/>
    <n v="5"/>
  </r>
  <r>
    <x v="44"/>
    <s v="Miriam Siebeking"/>
    <d v="2015-02-13T00:00:00"/>
    <m/>
    <s v="Corporate"/>
    <s v="Human Resources (SAP HR and employee stories)"/>
    <s v="No"/>
    <s v="Global"/>
    <n v="958"/>
    <n v="0"/>
    <m/>
    <m/>
    <m/>
    <m/>
    <m/>
    <m/>
    <m/>
    <m/>
    <n v="958"/>
    <n v="0"/>
  </r>
  <r>
    <x v="45"/>
    <s v="Michael Zipf"/>
    <d v="2015-02-16T00:00:00"/>
    <m/>
    <s v="Sports"/>
    <s v="GCO – Platform Solutions"/>
    <s v="Yes"/>
    <s v="Global"/>
    <n v="2021"/>
    <n v="16"/>
    <m/>
    <m/>
    <m/>
    <m/>
    <m/>
    <m/>
    <m/>
    <m/>
    <n v="2021"/>
    <n v="16"/>
  </r>
  <r>
    <x v="46"/>
    <s v="Susan Galer"/>
    <d v="2015-02-16T00:00:00"/>
    <m/>
    <s v="Healthcare"/>
    <s v="GCO – Industry Cloud "/>
    <s v="No"/>
    <s v="Global"/>
    <n v="619"/>
    <n v="4"/>
    <n v="1014"/>
    <n v="0"/>
    <m/>
    <m/>
    <m/>
    <m/>
    <m/>
    <m/>
    <n v="1633"/>
    <n v="4"/>
  </r>
  <r>
    <x v="47"/>
    <s v="Tibor Hornyak"/>
    <d v="2015-02-16T00:00:00"/>
    <m/>
    <s v="Innovation"/>
    <s v="Office of the CEO"/>
    <s v="No"/>
    <s v="Global"/>
    <n v="1720"/>
    <n v="3"/>
    <m/>
    <m/>
    <m/>
    <m/>
    <m/>
    <m/>
    <m/>
    <m/>
    <n v="1720"/>
    <n v="3"/>
  </r>
  <r>
    <x v="48"/>
    <s v="Judith Magyar"/>
    <d v="2015-02-17T00:00:00"/>
    <m/>
    <s v="Innovation"/>
    <s v="GCO – Platform Solutions"/>
    <s v="Yes"/>
    <s v="Global"/>
    <n v="1503"/>
    <n v="6"/>
    <m/>
    <m/>
    <n v="776"/>
    <n v="0"/>
    <m/>
    <m/>
    <m/>
    <m/>
    <n v="2279"/>
    <n v="6"/>
  </r>
  <r>
    <x v="49"/>
    <s v="Jerry Janda"/>
    <d v="2015-02-17T00:00:00"/>
    <s v="Infographic"/>
    <s v="Innovation"/>
    <s v="GCO – Industry Cloud "/>
    <s v="No"/>
    <s v="Global"/>
    <n v="1037"/>
    <n v="2"/>
    <m/>
    <m/>
    <m/>
    <m/>
    <m/>
    <m/>
    <m/>
    <m/>
    <n v="1037"/>
    <n v="2"/>
  </r>
  <r>
    <x v="50"/>
    <s v="Nicola Leske"/>
    <d v="2015-02-18T00:00:00"/>
    <m/>
    <s v="Innovation"/>
    <s v="GCO – Industry Cloud "/>
    <s v="Yes"/>
    <s v="LATAM"/>
    <n v="2269"/>
    <n v="14"/>
    <m/>
    <m/>
    <m/>
    <m/>
    <m/>
    <m/>
    <m/>
    <m/>
    <n v="2269"/>
    <n v="14"/>
  </r>
  <r>
    <x v="51"/>
    <s v="Bettina Wunderle"/>
    <d v="2015-02-18T00:00:00"/>
    <m/>
    <s v="Innovation"/>
    <s v="Office of the CEO"/>
    <s v="No"/>
    <s v="Global"/>
    <n v="975"/>
    <n v="9"/>
    <m/>
    <m/>
    <m/>
    <m/>
    <m/>
    <m/>
    <m/>
    <m/>
    <n v="975"/>
    <n v="9"/>
  </r>
  <r>
    <x v="52"/>
    <s v="Kesja Cichowski"/>
    <d v="2015-02-20T00:00:00"/>
    <m/>
    <s v="Corporate"/>
    <s v="Human Resources (SAP HR and employee stories)"/>
    <s v="No"/>
    <s v="Global"/>
    <n v="2311"/>
    <n v="57"/>
    <m/>
    <m/>
    <m/>
    <m/>
    <m/>
    <m/>
    <m/>
    <m/>
    <n v="2311"/>
    <n v="57"/>
  </r>
  <r>
    <x v="53"/>
    <s v="Sonakishi Nandy"/>
    <d v="2015-02-20T00:00:00"/>
    <m/>
    <s v="Innovation"/>
    <s v="P&amp;I (Research &amp; Development)"/>
    <s v="No"/>
    <s v="EMEA"/>
    <n v="2616"/>
    <n v="11"/>
    <m/>
    <m/>
    <m/>
    <m/>
    <m/>
    <m/>
    <m/>
    <m/>
    <n v="2616"/>
    <n v="11"/>
  </r>
  <r>
    <x v="54"/>
    <s v="Lena Walther"/>
    <d v="2015-02-21T00:00:00"/>
    <s v="Video"/>
    <s v="Sports"/>
    <s v="GCO – Industry Cloud "/>
    <s v="Yes"/>
    <s v="Global"/>
    <n v="1400"/>
    <n v="11"/>
    <m/>
    <m/>
    <m/>
    <m/>
    <m/>
    <m/>
    <m/>
    <m/>
    <n v="1400"/>
    <n v="11"/>
  </r>
  <r>
    <x v="55"/>
    <s v="Michael Zipf"/>
    <d v="2015-02-23T00:00:00"/>
    <m/>
    <s v="Innovation"/>
    <s v="GCO – Regions"/>
    <s v="No"/>
    <s v="Global"/>
    <n v="718"/>
    <n v="1"/>
    <m/>
    <m/>
    <m/>
    <m/>
    <m/>
    <m/>
    <m/>
    <m/>
    <n v="718"/>
    <n v="1"/>
  </r>
  <r>
    <x v="56"/>
    <s v="Stephan Magura"/>
    <d v="2015-02-24T00:00:00"/>
    <m/>
    <s v="Innovation"/>
    <s v="Corporate"/>
    <s v="No"/>
    <s v="EMEA"/>
    <n v="1999"/>
    <n v="8"/>
    <m/>
    <m/>
    <m/>
    <m/>
    <m/>
    <m/>
    <m/>
    <m/>
    <n v="1999"/>
    <n v="8"/>
  </r>
  <r>
    <x v="57"/>
    <s v="Judith Magyar"/>
    <d v="2015-02-25T00:00:00"/>
    <s v="Infographic"/>
    <s v="Innovation"/>
    <s v="GCO – Industry Cloud "/>
    <s v="No"/>
    <s v="Global"/>
    <n v="1004"/>
    <n v="5"/>
    <m/>
    <m/>
    <n v="196"/>
    <n v="0"/>
    <n v="393"/>
    <n v="0"/>
    <m/>
    <m/>
    <n v="1593"/>
    <n v="5"/>
  </r>
  <r>
    <x v="58"/>
    <s v="Paul Taylor"/>
    <d v="2015-02-25T00:00:00"/>
    <s v="Infographic"/>
    <s v="Healthcare"/>
    <s v="GCO – Platform Solutions"/>
    <s v="No"/>
    <s v="Global"/>
    <n v="792"/>
    <n v="4"/>
    <m/>
    <m/>
    <n v="195"/>
    <n v="0"/>
    <n v="492"/>
    <n v="0"/>
    <m/>
    <m/>
    <n v="1479"/>
    <n v="4"/>
  </r>
  <r>
    <x v="59"/>
    <s v="Amira Polack"/>
    <d v="2015-02-26T00:00:00"/>
    <s v="Infographic"/>
    <s v="Corporate"/>
    <s v="Human Resources (SAP HR and employee stories)"/>
    <s v="No"/>
    <s v="Global"/>
    <n v="3171"/>
    <n v="8"/>
    <m/>
    <m/>
    <m/>
    <m/>
    <m/>
    <m/>
    <m/>
    <m/>
    <n v="3171"/>
    <n v="8"/>
  </r>
  <r>
    <x v="60"/>
    <s v="Paul Baur"/>
    <d v="2015-02-27T00:00:00"/>
    <s v="Video"/>
    <s v="Corporate"/>
    <s v="Human Resources (SAP HR and employee stories)"/>
    <s v="No"/>
    <s v="Global"/>
    <n v="2236"/>
    <n v="43"/>
    <m/>
    <m/>
    <m/>
    <m/>
    <m/>
    <m/>
    <m/>
    <m/>
    <n v="2236"/>
    <n v="43"/>
  </r>
  <r>
    <x v="61"/>
    <s v="Torsten Falk"/>
    <d v="2015-02-27T00:00:00"/>
    <m/>
    <s v="Corporate"/>
    <s v="Human Resources (SAP HR and employee stories)"/>
    <s v="No"/>
    <s v="Global"/>
    <n v="2277"/>
    <n v="14"/>
    <m/>
    <m/>
    <m/>
    <m/>
    <m/>
    <m/>
    <m/>
    <m/>
    <n v="2277"/>
    <n v="14"/>
  </r>
  <r>
    <x v="62"/>
    <s v="Christine Kubach"/>
    <d v="2015-03-02T00:00:00"/>
    <m/>
    <s v="Innovation"/>
    <s v="P&amp;I (Research &amp; Development)"/>
    <s v="No"/>
    <s v="Global"/>
    <n v="2891"/>
    <n v="18"/>
    <m/>
    <m/>
    <m/>
    <m/>
    <m/>
    <m/>
    <m/>
    <m/>
    <n v="2891"/>
    <n v="18"/>
  </r>
  <r>
    <x v="63"/>
    <s v="Jacqueline Prause"/>
    <d v="2015-03-02T00:00:00"/>
    <m/>
    <s v="Corporate"/>
    <s v="GCO – Platform Solutions"/>
    <s v="No"/>
    <s v="EMEA"/>
    <n v="813"/>
    <n v="5"/>
    <m/>
    <m/>
    <m/>
    <m/>
    <m/>
    <m/>
    <m/>
    <m/>
    <n v="813"/>
    <n v="5"/>
  </r>
  <r>
    <x v="64"/>
    <s v="Paul Taylor"/>
    <d v="2015-03-02T00:00:00"/>
    <s v="Video"/>
    <s v="Innovation"/>
    <s v="GCO – Platform Solutions"/>
    <s v="No"/>
    <s v="EMEA"/>
    <n v="273"/>
    <n v="0"/>
    <n v="5602"/>
    <n v="0"/>
    <n v="75"/>
    <n v="0"/>
    <n v="355"/>
    <n v="0"/>
    <m/>
    <m/>
    <n v="6305"/>
    <n v="0"/>
  </r>
  <r>
    <x v="65"/>
    <s v="Jakob Braun"/>
    <d v="2015-03-02T00:00:00"/>
    <m/>
    <s v="Innovation"/>
    <s v="GCO – Regions"/>
    <s v="No"/>
    <s v="China"/>
    <n v="661"/>
    <n v="0"/>
    <m/>
    <m/>
    <m/>
    <m/>
    <m/>
    <m/>
    <m/>
    <m/>
    <n v="661"/>
    <n v="0"/>
  </r>
  <r>
    <x v="66"/>
    <s v="Jacqueline Prause"/>
    <d v="2015-03-03T00:00:00"/>
    <m/>
    <s v="Innovation"/>
    <s v="GCO – Platform Solutions"/>
    <s v="No"/>
    <s v="EMEA"/>
    <n v="819"/>
    <n v="0"/>
    <m/>
    <m/>
    <m/>
    <m/>
    <m/>
    <m/>
    <m/>
    <m/>
    <n v="819"/>
    <n v="0"/>
  </r>
  <r>
    <x v="67"/>
    <s v="Torsten Falk"/>
    <d v="2015-03-04T00:00:00"/>
    <m/>
    <s v="Corporate"/>
    <s v="Human Resources (SAP HR and employee stories)"/>
    <s v="No"/>
    <s v="Global"/>
    <n v="2283"/>
    <n v="16"/>
    <m/>
    <m/>
    <m/>
    <m/>
    <m/>
    <m/>
    <m/>
    <m/>
    <n v="2283"/>
    <n v="16"/>
  </r>
  <r>
    <x v="68"/>
    <s v="Marcus Krug"/>
    <d v="2015-03-04T00:00:00"/>
    <s v="Video"/>
    <s v="Youth"/>
    <s v="P&amp;I (Research &amp; Development)"/>
    <s v="No"/>
    <s v="Global"/>
    <n v="2554"/>
    <n v="7"/>
    <m/>
    <m/>
    <m/>
    <m/>
    <m/>
    <m/>
    <m/>
    <m/>
    <n v="2554"/>
    <n v="7"/>
  </r>
  <r>
    <x v="69"/>
    <s v="Judith Magyar"/>
    <d v="2015-03-04T00:00:00"/>
    <m/>
    <s v="Innovation"/>
    <s v="GCO – Platform Solutions"/>
    <s v="Yes"/>
    <s v="EMEA"/>
    <n v="1032"/>
    <n v="3"/>
    <m/>
    <m/>
    <n v="305"/>
    <n v="0"/>
    <m/>
    <m/>
    <m/>
    <m/>
    <n v="1337"/>
    <n v="3"/>
  </r>
  <r>
    <x v="70"/>
    <s v="Anne Hardy"/>
    <d v="2015-03-05T00:00:00"/>
    <m/>
    <s v="Corporate"/>
    <s v="Human Resources (SAP HR and employee stories)"/>
    <s v="No"/>
    <s v="Global"/>
    <n v="1569"/>
    <n v="6"/>
    <m/>
    <m/>
    <m/>
    <m/>
    <m/>
    <m/>
    <m/>
    <m/>
    <n v="1569"/>
    <n v="6"/>
  </r>
  <r>
    <x v="71"/>
    <s v="Torsten Falk"/>
    <d v="2015-03-06T00:00:00"/>
    <m/>
    <s v="Corporate"/>
    <s v="Human Resources (SAP HR and employee stories)"/>
    <s v="No"/>
    <s v="Global"/>
    <n v="2869"/>
    <n v="8"/>
    <m/>
    <m/>
    <m/>
    <m/>
    <m/>
    <m/>
    <m/>
    <m/>
    <n v="2869"/>
    <n v="8"/>
  </r>
  <r>
    <x v="72"/>
    <s v="Teara Kuhn"/>
    <d v="2015-03-06T00:00:00"/>
    <s v="Video"/>
    <s v="Innovation"/>
    <s v="P&amp;I (Research &amp; Development)"/>
    <s v="No"/>
    <s v="Global"/>
    <n v="2316"/>
    <n v="3"/>
    <m/>
    <m/>
    <m/>
    <m/>
    <m/>
    <m/>
    <m/>
    <m/>
    <n v="2316"/>
    <n v="3"/>
  </r>
  <r>
    <x v="73"/>
    <s v="Nadia Boyes"/>
    <d v="2015-03-10T00:00:00"/>
    <s v="Video"/>
    <s v="Corporate"/>
    <s v="Human Resources (SAP HR and employee stories)"/>
    <s v="No"/>
    <s v="Global"/>
    <n v="1186"/>
    <n v="6"/>
    <m/>
    <m/>
    <m/>
    <m/>
    <m/>
    <m/>
    <m/>
    <m/>
    <n v="1186"/>
    <n v="6"/>
  </r>
  <r>
    <x v="74"/>
    <s v="Ursula Kreuch"/>
    <d v="2015-03-10T00:00:00"/>
    <s v="Video"/>
    <s v="Innovation"/>
    <s v="GCO – Services Sales"/>
    <s v="No"/>
    <s v="Global"/>
    <n v="3610"/>
    <n v="2"/>
    <m/>
    <m/>
    <m/>
    <m/>
    <m/>
    <m/>
    <m/>
    <m/>
    <n v="3610"/>
    <n v="2"/>
  </r>
  <r>
    <x v="75"/>
    <s v="Judith Magyar"/>
    <d v="2015-03-11T00:00:00"/>
    <s v="Infographic"/>
    <s v="Innovation"/>
    <s v="GCO – Platform Solutions"/>
    <s v="No"/>
    <s v="Global"/>
    <n v="1362"/>
    <n v="4"/>
    <m/>
    <m/>
    <n v="251"/>
    <n v="0"/>
    <m/>
    <m/>
    <m/>
    <m/>
    <n v="1613"/>
    <n v="4"/>
  </r>
  <r>
    <x v="76"/>
    <s v="Susan Jee Janice Ng"/>
    <d v="2015-03-11T00:00:00"/>
    <s v="Video"/>
    <s v="Innovation"/>
    <s v="GCO – Industry Cloud "/>
    <s v="No"/>
    <s v="APJ"/>
    <n v="1071"/>
    <n v="3"/>
    <m/>
    <m/>
    <m/>
    <m/>
    <m/>
    <m/>
    <m/>
    <m/>
    <n v="1071"/>
    <n v="3"/>
  </r>
  <r>
    <x v="77"/>
    <s v="Susan Orenstein"/>
    <d v="2015-03-12T00:00:00"/>
    <m/>
    <s v="Corporate"/>
    <s v="Human Resources (SAP HR and employee stories)"/>
    <s v="No"/>
    <s v="Global"/>
    <n v="1629"/>
    <n v="47"/>
    <m/>
    <m/>
    <m/>
    <m/>
    <m/>
    <m/>
    <m/>
    <m/>
    <n v="1629"/>
    <n v="47"/>
  </r>
  <r>
    <x v="78"/>
    <s v="Andrea Diederichs"/>
    <d v="2015-03-13T00:00:00"/>
    <m/>
    <s v="Corporate"/>
    <s v="Human Resources (SAP HR and employee stories)"/>
    <s v="No"/>
    <s v="Global"/>
    <n v="3907"/>
    <n v="49"/>
    <m/>
    <m/>
    <n v="407"/>
    <n v="0"/>
    <m/>
    <m/>
    <m/>
    <m/>
    <n v="4314"/>
    <n v="49"/>
  </r>
  <r>
    <x v="79"/>
    <s v="Susan Galer"/>
    <d v="2015-03-13T00:00:00"/>
    <s v="Video"/>
    <s v="Youth"/>
    <s v="Human Resources (SAP HR and employee stories)"/>
    <s v="No"/>
    <s v="Global"/>
    <n v="1855"/>
    <n v="4"/>
    <m/>
    <m/>
    <m/>
    <m/>
    <m/>
    <m/>
    <m/>
    <m/>
    <n v="1855"/>
    <n v="4"/>
  </r>
  <r>
    <x v="80"/>
    <s v="Anna Burkhadt"/>
    <d v="2015-03-16T00:00:00"/>
    <m/>
    <s v="Innovation"/>
    <s v="GCO – Customer Engagement &amp; Commerce (CRM &amp; hybris) "/>
    <s v="No"/>
    <s v="Global"/>
    <n v="2322"/>
    <n v="6"/>
    <m/>
    <m/>
    <m/>
    <m/>
    <m/>
    <m/>
    <m/>
    <m/>
    <n v="2322"/>
    <n v="6"/>
  </r>
  <r>
    <x v="81"/>
    <s v="Susan Orenstein"/>
    <d v="2015-03-17T00:00:00"/>
    <s v="Slideshow"/>
    <s v="Corporate"/>
    <s v="Corporate"/>
    <s v="No"/>
    <s v="NA"/>
    <n v="7908"/>
    <n v="37"/>
    <m/>
    <m/>
    <m/>
    <m/>
    <m/>
    <m/>
    <m/>
    <m/>
    <n v="7908"/>
    <n v="37"/>
  </r>
  <r>
    <x v="82"/>
    <s v="Torsten Falk"/>
    <d v="2015-03-17T00:00:00"/>
    <m/>
    <s v="Corporate"/>
    <s v="GCO – Services Sales"/>
    <s v="No"/>
    <s v="Global"/>
    <n v="1144"/>
    <n v="4"/>
    <m/>
    <m/>
    <m/>
    <m/>
    <m/>
    <m/>
    <m/>
    <m/>
    <n v="1144"/>
    <n v="4"/>
  </r>
  <r>
    <x v="83"/>
    <s v="Stephan Magura"/>
    <d v="2015-03-18T00:00:00"/>
    <m/>
    <s v="Corporate"/>
    <s v="Human Resources (SAP HR and employee stories)"/>
    <s v="No"/>
    <s v="EMEA"/>
    <n v="1132"/>
    <n v="6"/>
    <m/>
    <m/>
    <m/>
    <m/>
    <m/>
    <m/>
    <m/>
    <m/>
    <n v="1132"/>
    <n v="6"/>
  </r>
  <r>
    <x v="84"/>
    <s v="Judith Magyar"/>
    <d v="2015-03-18T00:00:00"/>
    <m/>
    <s v="Innovation"/>
    <s v="Business Network (Concur, Ariba, Fieldglass)"/>
    <s v="Yes"/>
    <s v="LATAM"/>
    <n v="1041"/>
    <n v="2"/>
    <m/>
    <m/>
    <n v="661"/>
    <n v="0"/>
    <m/>
    <m/>
    <m/>
    <m/>
    <n v="1702"/>
    <n v="2"/>
  </r>
  <r>
    <x v="85"/>
    <s v="Miriam Siebeking"/>
    <d v="2015-03-19T00:00:00"/>
    <m/>
    <s v="Corporate"/>
    <s v="Corporate"/>
    <s v="No"/>
    <s v="Global"/>
    <n v="2080"/>
    <n v="3"/>
    <m/>
    <m/>
    <m/>
    <m/>
    <m/>
    <m/>
    <m/>
    <m/>
    <n v="2080"/>
    <n v="3"/>
  </r>
  <r>
    <x v="86"/>
    <s v="Diana Pauly"/>
    <d v="2015-03-20T00:00:00"/>
    <s v="Infographic"/>
    <s v="Corporate"/>
    <s v="Human Resources (SAP HR and employee stories)"/>
    <s v="No"/>
    <s v="Global"/>
    <n v="2252"/>
    <n v="4"/>
    <m/>
    <m/>
    <m/>
    <m/>
    <m/>
    <m/>
    <m/>
    <m/>
    <n v="2252"/>
    <n v="4"/>
  </r>
  <r>
    <x v="87"/>
    <s v="Kesja Cichowski"/>
    <d v="2015-03-20T00:00:00"/>
    <m/>
    <s v="Innovation"/>
    <s v="Corporate"/>
    <s v="No"/>
    <s v="Global"/>
    <n v="714"/>
    <n v="0"/>
    <m/>
    <m/>
    <m/>
    <m/>
    <m/>
    <m/>
    <m/>
    <m/>
    <n v="714"/>
    <n v="0"/>
  </r>
  <r>
    <x v="88"/>
    <s v="Emily Scorer"/>
    <d v="2015-03-23T00:00:00"/>
    <m/>
    <s v="Sports"/>
    <s v="GCO – Platform Solutions"/>
    <s v="Yes"/>
    <s v="Global"/>
    <n v="1377"/>
    <n v="12"/>
    <m/>
    <m/>
    <n v="1000"/>
    <n v="0"/>
    <m/>
    <m/>
    <m/>
    <m/>
    <n v="2377"/>
    <n v="12"/>
  </r>
  <r>
    <x v="89"/>
    <s v="Debra Curtis-Magley"/>
    <d v="2015-03-23T00:00:00"/>
    <m/>
    <s v="Innovation"/>
    <s v="Business Network (Concur, Ariba, Fieldglass)"/>
    <s v="No"/>
    <s v="Global"/>
    <n v="1277"/>
    <n v="2"/>
    <m/>
    <m/>
    <m/>
    <m/>
    <m/>
    <m/>
    <m/>
    <m/>
    <n v="1277"/>
    <n v="2"/>
  </r>
  <r>
    <x v="90"/>
    <s v="Tim Clark"/>
    <d v="2015-03-24T00:00:00"/>
    <s v="Video"/>
    <s v="Innovation"/>
    <s v="GCO – Other"/>
    <s v="No"/>
    <s v="NA"/>
    <n v="635"/>
    <n v="2"/>
    <n v="2384"/>
    <n v="0"/>
    <m/>
    <m/>
    <m/>
    <m/>
    <m/>
    <m/>
    <n v="3019"/>
    <n v="2"/>
  </r>
  <r>
    <x v="91"/>
    <s v="Kesja Cichowski"/>
    <d v="2015-03-24T00:00:00"/>
    <s v="Video, Slideshow"/>
    <s v="Youth"/>
    <s v="Corporate"/>
    <s v="No"/>
    <s v="EMEA"/>
    <n v="704"/>
    <n v="0"/>
    <m/>
    <m/>
    <m/>
    <m/>
    <m/>
    <m/>
    <m/>
    <m/>
    <n v="704"/>
    <n v="0"/>
  </r>
  <r>
    <x v="92"/>
    <s v="Emily Scorer"/>
    <d v="2015-03-25T00:00:00"/>
    <m/>
    <s v="Healthcare"/>
    <s v="Human Resources (SAP HR and employee stories)"/>
    <s v="No"/>
    <s v="Global"/>
    <n v="3701"/>
    <n v="53"/>
    <m/>
    <m/>
    <m/>
    <m/>
    <m/>
    <m/>
    <m/>
    <m/>
    <n v="3701"/>
    <n v="53"/>
  </r>
  <r>
    <x v="93"/>
    <s v="Judith Magyar"/>
    <d v="2015-03-26T00:00:00"/>
    <m/>
    <s v="Innovation"/>
    <s v="GCO – Platform Solutions"/>
    <s v="Yes"/>
    <s v="LATAM"/>
    <n v="1342"/>
    <n v="6"/>
    <m/>
    <m/>
    <n v="172"/>
    <n v="0"/>
    <m/>
    <m/>
    <m/>
    <m/>
    <n v="1514"/>
    <n v="6"/>
  </r>
  <r>
    <x v="94"/>
    <s v="Jenny Dearborn"/>
    <d v="2015-03-26T00:00:00"/>
    <s v="Video, Infographic"/>
    <s v="Corporate"/>
    <s v="Human Resources (SAP HR and employee stories)"/>
    <s v="No"/>
    <s v="Global"/>
    <n v="1353"/>
    <n v="4"/>
    <m/>
    <m/>
    <m/>
    <m/>
    <m/>
    <m/>
    <m/>
    <m/>
    <n v="1353"/>
    <n v="4"/>
  </r>
  <r>
    <x v="95"/>
    <s v="Michael Zipf"/>
    <d v="2015-03-30T00:00:00"/>
    <s v="Video"/>
    <s v="Healthcare"/>
    <s v="GCO – Platform Solutions"/>
    <s v="Yes"/>
    <s v="EMEA"/>
    <n v="1009"/>
    <n v="3"/>
    <m/>
    <m/>
    <m/>
    <m/>
    <m/>
    <m/>
    <m/>
    <m/>
    <n v="1009"/>
    <n v="3"/>
  </r>
  <r>
    <x v="96"/>
    <s v="Michael Zipf"/>
    <d v="2015-03-31T00:00:00"/>
    <s v="Slideshow"/>
    <s v="Corporate"/>
    <s v="Corporate"/>
    <s v="No"/>
    <s v="Global"/>
    <n v="12284"/>
    <n v="103"/>
    <m/>
    <m/>
    <m/>
    <m/>
    <m/>
    <m/>
    <m/>
    <m/>
    <n v="12284"/>
    <n v="103"/>
  </r>
  <r>
    <x v="97"/>
    <s v="Chistiane Kubach"/>
    <d v="2015-03-31T00:00:00"/>
    <s v="Video"/>
    <s v="Innovation"/>
    <s v="GCO – Regions"/>
    <s v="No"/>
    <s v="China"/>
    <n v="863"/>
    <n v="24"/>
    <m/>
    <m/>
    <m/>
    <m/>
    <m/>
    <m/>
    <m/>
    <m/>
    <n v="863"/>
    <n v="24"/>
  </r>
  <r>
    <x v="98"/>
    <s v="Paul Baur"/>
    <d v="2015-03-31T00:00:00"/>
    <m/>
    <s v="Healthcare"/>
    <s v="GCO – Platform Solutions"/>
    <s v="Yes"/>
    <s v="Global"/>
    <n v="1785"/>
    <n v="12"/>
    <m/>
    <m/>
    <m/>
    <m/>
    <n v="1597"/>
    <n v="7"/>
    <m/>
    <m/>
    <n v="3382"/>
    <n v="19"/>
  </r>
  <r>
    <x v="99"/>
    <s v="Susan Galer"/>
    <d v="2015-03-31T00:00:00"/>
    <s v="Video"/>
    <s v="Corporate"/>
    <s v="GCO – HR (SuccessFactors)"/>
    <s v="No"/>
    <s v="Global"/>
    <n v="722"/>
    <n v="0"/>
    <n v="2156"/>
    <n v="1"/>
    <m/>
    <m/>
    <m/>
    <m/>
    <m/>
    <m/>
    <n v="2878"/>
    <n v="1"/>
  </r>
  <r>
    <x v="100"/>
    <s v="Michael Zipf"/>
    <d v="2015-03-31T00:00:00"/>
    <m/>
    <s v="Corporate"/>
    <s v="Corporate"/>
    <s v="No"/>
    <s v="Global"/>
    <n v="829"/>
    <n v="1"/>
    <m/>
    <m/>
    <m/>
    <m/>
    <m/>
    <m/>
    <m/>
    <m/>
    <n v="829"/>
    <n v="1"/>
  </r>
  <r>
    <x v="101"/>
    <s v="Christine Donato"/>
    <d v="2015-04-01T00:00:00"/>
    <m/>
    <s v="Healthcare"/>
    <s v="GCO – Platform Solutions"/>
    <s v="Yes"/>
    <s v="Global"/>
    <n v="541"/>
    <n v="0"/>
    <m/>
    <m/>
    <m/>
    <m/>
    <m/>
    <m/>
    <m/>
    <m/>
    <n v="541"/>
    <n v="0"/>
  </r>
  <r>
    <x v="102"/>
    <s v="Anita Riegel"/>
    <d v="2015-04-02T00:00:00"/>
    <m/>
    <s v="Innovation"/>
    <s v="GCO – Industry Cloud "/>
    <s v="No"/>
    <s v="EMEA"/>
    <n v="768"/>
    <n v="0"/>
    <m/>
    <m/>
    <m/>
    <m/>
    <m/>
    <m/>
    <m/>
    <m/>
    <n v="768"/>
    <n v="0"/>
  </r>
  <r>
    <x v="103"/>
    <s v="Paul Taylor"/>
    <d v="2015-04-07T00:00:00"/>
    <m/>
    <s v="Innovation"/>
    <s v="GCO – Regions"/>
    <s v="No"/>
    <s v="LATAM"/>
    <n v="873"/>
    <n v="6"/>
    <n v="7606"/>
    <n v="0"/>
    <n v="171"/>
    <n v="0"/>
    <n v="713"/>
    <n v="2"/>
    <m/>
    <m/>
    <n v="9363"/>
    <n v="8"/>
  </r>
  <r>
    <x v="85"/>
    <s v="Miriam Siebeking"/>
    <d v="2015-04-07T00:00:00"/>
    <m/>
    <s v="Corporate"/>
    <s v="Corporate"/>
    <s v="No"/>
    <s v="Global"/>
    <n v="1120"/>
    <n v="0"/>
    <m/>
    <m/>
    <m/>
    <m/>
    <m/>
    <m/>
    <m/>
    <m/>
    <n v="1120"/>
    <n v="0"/>
  </r>
  <r>
    <x v="104"/>
    <s v="Judith Magyar"/>
    <d v="2015-04-08T00:00:00"/>
    <m/>
    <s v="Innovation"/>
    <s v="GCO – Platform Solutions"/>
    <s v="Yes"/>
    <s v="Global"/>
    <n v="769"/>
    <n v="0"/>
    <m/>
    <m/>
    <m/>
    <m/>
    <m/>
    <m/>
    <m/>
    <m/>
    <n v="769"/>
    <n v="0"/>
  </r>
  <r>
    <x v="105"/>
    <s v="Diana Vega"/>
    <d v="2015-04-09T00:00:00"/>
    <m/>
    <s v="Corporate"/>
    <s v="Human Resources (SAP HR and employee stories)"/>
    <s v="No"/>
    <s v="Global"/>
    <n v="1606"/>
    <n v="23"/>
    <m/>
    <m/>
    <m/>
    <m/>
    <m/>
    <m/>
    <m/>
    <m/>
    <n v="1606"/>
    <n v="23"/>
  </r>
  <r>
    <x v="106"/>
    <s v="Judith Magyar"/>
    <d v="2015-04-09T00:00:00"/>
    <s v="Infographic"/>
    <s v="Innovation"/>
    <s v="GCO – Regions"/>
    <s v="Yes"/>
    <s v="LATAM"/>
    <n v="506"/>
    <n v="0"/>
    <m/>
    <m/>
    <m/>
    <m/>
    <m/>
    <m/>
    <m/>
    <m/>
    <n v="506"/>
    <n v="0"/>
  </r>
  <r>
    <x v="107"/>
    <s v="Robin Meyerhoff"/>
    <d v="2015-04-13T00:00:00"/>
    <m/>
    <s v="Corporate"/>
    <s v="Human Resources (SAP HR and employee stories)"/>
    <s v="No"/>
    <s v="LATAM"/>
    <n v="977"/>
    <n v="8"/>
    <m/>
    <m/>
    <m/>
    <m/>
    <m/>
    <m/>
    <m/>
    <m/>
    <n v="977"/>
    <n v="8"/>
  </r>
  <r>
    <x v="108"/>
    <s v="Stephan Magura"/>
    <d v="2015-04-13T00:00:00"/>
    <m/>
    <s v="Innovation"/>
    <s v="Services Delivery &amp; Support (go-lives and deployments) "/>
    <s v="No"/>
    <s v="Global"/>
    <n v="1651"/>
    <n v="2"/>
    <m/>
    <m/>
    <n v="89"/>
    <n v="0"/>
    <m/>
    <m/>
    <m/>
    <m/>
    <n v="1740"/>
    <n v="2"/>
  </r>
  <r>
    <x v="109"/>
    <s v="Jacqueline Prause"/>
    <d v="2015-04-13T00:00:00"/>
    <m/>
    <s v="Healthcare"/>
    <s v="GCO – Industry Cloud "/>
    <s v="No"/>
    <s v="Global"/>
    <n v="503"/>
    <n v="0"/>
    <m/>
    <m/>
    <m/>
    <m/>
    <m/>
    <m/>
    <m/>
    <m/>
    <n v="503"/>
    <n v="0"/>
  </r>
  <r>
    <x v="110"/>
    <s v="Susan Galer"/>
    <d v="2015-04-14T00:00:00"/>
    <m/>
    <s v="Youth"/>
    <s v="Human Resources (SAP HR and employee stories)"/>
    <s v="No"/>
    <s v="Global"/>
    <n v="745"/>
    <n v="1"/>
    <n v="3216"/>
    <n v="0"/>
    <m/>
    <m/>
    <m/>
    <m/>
    <m/>
    <m/>
    <n v="3961"/>
    <n v="1"/>
  </r>
  <r>
    <x v="111"/>
    <s v="Sarah Kellman"/>
    <d v="2015-04-15T00:00:00"/>
    <m/>
    <s v="Innovation"/>
    <s v="GCO – Regions"/>
    <s v="No"/>
    <s v="EMEA"/>
    <n v="752"/>
    <n v="6"/>
    <m/>
    <m/>
    <n v="69"/>
    <n v="0"/>
    <n v="96"/>
    <n v="0"/>
    <m/>
    <m/>
    <n v="917"/>
    <n v="6"/>
  </r>
  <r>
    <x v="112"/>
    <s v="Judith Magyar"/>
    <d v="2015-04-15T00:00:00"/>
    <m/>
    <s v="Innovation"/>
    <s v="GCO – Platform Solutions"/>
    <s v="Yes"/>
    <s v="EMEA"/>
    <n v="756"/>
    <n v="5"/>
    <m/>
    <m/>
    <n v="199"/>
    <n v="0"/>
    <m/>
    <m/>
    <m/>
    <m/>
    <n v="955"/>
    <n v="5"/>
  </r>
  <r>
    <x v="113"/>
    <s v="Stephanie Rieder"/>
    <d v="2015-04-15T00:00:00"/>
    <s v="Video"/>
    <s v="Youth"/>
    <s v="Human Resources (SAP HR and employee stories)"/>
    <s v="No"/>
    <s v="EMEA"/>
    <n v="1835"/>
    <n v="4"/>
    <m/>
    <m/>
    <m/>
    <m/>
    <m/>
    <m/>
    <m/>
    <m/>
    <n v="1835"/>
    <n v="4"/>
  </r>
  <r>
    <x v="114"/>
    <s v="Andrea Diederichs"/>
    <d v="2015-04-16T00:00:00"/>
    <s v="Slideshow"/>
    <s v="Innovation"/>
    <s v="Human Resources (SAP HR and employee stories)"/>
    <s v="No"/>
    <s v="EMEA"/>
    <n v="1709"/>
    <n v="33"/>
    <m/>
    <m/>
    <m/>
    <m/>
    <n v="594"/>
    <n v="0"/>
    <m/>
    <m/>
    <n v="2303"/>
    <n v="33"/>
  </r>
  <r>
    <x v="115"/>
    <s v="Teara Kuhn"/>
    <d v="2015-04-16T00:00:00"/>
    <m/>
    <s v="Corporate"/>
    <s v="GCO – Industry Cloud "/>
    <s v="No"/>
    <s v="Global"/>
    <n v="1407"/>
    <n v="29"/>
    <m/>
    <m/>
    <m/>
    <m/>
    <m/>
    <m/>
    <m/>
    <m/>
    <n v="1407"/>
    <n v="29"/>
  </r>
  <r>
    <x v="116"/>
    <s v="Frederic Masse"/>
    <d v="2015-04-16T00:00:00"/>
    <m/>
    <s v="Innovation"/>
    <s v="Office of the CEO"/>
    <s v="Yes"/>
    <s v="EMEA"/>
    <n v="2435"/>
    <n v="6"/>
    <m/>
    <m/>
    <m/>
    <m/>
    <m/>
    <m/>
    <m/>
    <m/>
    <n v="2435"/>
    <n v="6"/>
  </r>
  <r>
    <x v="117"/>
    <s v="Michael Zipf"/>
    <d v="2015-04-17T00:00:00"/>
    <s v="Video"/>
    <s v="Innovation"/>
    <s v="GCO – Platform Solutions"/>
    <s v="No"/>
    <s v="Global"/>
    <n v="2475"/>
    <n v="1"/>
    <m/>
    <m/>
    <n v="2058"/>
    <n v="0"/>
    <m/>
    <m/>
    <m/>
    <m/>
    <n v="4533"/>
    <n v="1"/>
  </r>
  <r>
    <x v="118"/>
    <s v="Denise Broady"/>
    <d v="2015-04-20T00:00:00"/>
    <m/>
    <s v="Corporate"/>
    <s v="Human Resources (SAP HR and employee stories)"/>
    <s v="No"/>
    <s v="APJ"/>
    <n v="2061"/>
    <n v="35"/>
    <m/>
    <m/>
    <m/>
    <m/>
    <m/>
    <m/>
    <m/>
    <m/>
    <n v="2061"/>
    <n v="35"/>
  </r>
  <r>
    <x v="119"/>
    <s v="Perry Manross"/>
    <d v="2015-04-20T00:00:00"/>
    <m/>
    <s v="Corporate"/>
    <s v="Business Network (Concur, Ariba, Fieldglass)"/>
    <s v="No"/>
    <s v="Global"/>
    <n v="1832"/>
    <n v="8"/>
    <m/>
    <m/>
    <m/>
    <m/>
    <m/>
    <m/>
    <m/>
    <m/>
    <n v="1832"/>
    <n v="8"/>
  </r>
  <r>
    <x v="120"/>
    <s v="Emily Scorer"/>
    <d v="2015-04-20T00:00:00"/>
    <s v="Video, Slideshow"/>
    <s v="Youth"/>
    <s v="Human Resources (SAP HR and employee stories)"/>
    <s v="No"/>
    <s v="APJ"/>
    <n v="2737"/>
    <n v="4"/>
    <m/>
    <m/>
    <n v="517"/>
    <n v="0"/>
    <m/>
    <m/>
    <m/>
    <m/>
    <n v="3254"/>
    <n v="4"/>
  </r>
  <r>
    <x v="121"/>
    <s v="Paul Baur"/>
    <d v="2015-04-21T00:00:00"/>
    <s v="Video"/>
    <s v="Corporate"/>
    <s v="Corporate"/>
    <s v="No"/>
    <s v="Global"/>
    <n v="6989"/>
    <n v="7"/>
    <m/>
    <m/>
    <m/>
    <m/>
    <m/>
    <m/>
    <m/>
    <m/>
    <n v="6989"/>
    <n v="7"/>
  </r>
  <r>
    <x v="122"/>
    <s v="Torsten Falk"/>
    <d v="2015-04-22T00:00:00"/>
    <s v="Video, Infographic, Slideshow"/>
    <s v="Corporate"/>
    <s v="Human Resources (SAP HR and employee stories)"/>
    <s v="No"/>
    <s v="Global"/>
    <n v="3178"/>
    <n v="20"/>
    <m/>
    <m/>
    <m/>
    <m/>
    <m/>
    <m/>
    <m/>
    <m/>
    <n v="3178"/>
    <n v="20"/>
  </r>
  <r>
    <x v="123"/>
    <s v="Emily Scorer"/>
    <d v="2015-04-22T00:00:00"/>
    <m/>
    <s v="Corporate"/>
    <s v="Corporate"/>
    <s v="No"/>
    <s v="EMEA"/>
    <n v="823"/>
    <n v="12"/>
    <m/>
    <m/>
    <n v="80"/>
    <n v="0"/>
    <m/>
    <m/>
    <m/>
    <m/>
    <n v="903"/>
    <n v="12"/>
  </r>
  <r>
    <x v="124"/>
    <s v="Paul Baur"/>
    <d v="2015-04-22T00:00:00"/>
    <s v="Video"/>
    <s v="Corporate"/>
    <s v="Corporate"/>
    <s v="No"/>
    <s v="Global"/>
    <n v="3952"/>
    <n v="3"/>
    <m/>
    <m/>
    <m/>
    <m/>
    <m/>
    <m/>
    <m/>
    <m/>
    <n v="3952"/>
    <n v="3"/>
  </r>
  <r>
    <x v="125"/>
    <s v="Judith Magyar"/>
    <d v="2015-04-22T00:00:00"/>
    <s v="Video"/>
    <s v="Innovation"/>
    <s v="Business Network (Concur, Ariba, Fieldglass)"/>
    <s v="Yes"/>
    <s v="Global"/>
    <n v="965"/>
    <n v="0"/>
    <m/>
    <m/>
    <n v="159"/>
    <n v="0"/>
    <n v="261"/>
    <n v="0"/>
    <m/>
    <m/>
    <n v="1385"/>
    <n v="0"/>
  </r>
  <r>
    <x v="126"/>
    <s v="Emily Scorer"/>
    <d v="2015-04-23T00:00:00"/>
    <s v="Video"/>
    <s v="Innovation"/>
    <s v="Human Resources (SAP HR and employee stories)"/>
    <s v="No"/>
    <s v="Global"/>
    <n v="955"/>
    <n v="7"/>
    <m/>
    <m/>
    <m/>
    <m/>
    <m/>
    <m/>
    <m/>
    <m/>
    <n v="955"/>
    <n v="7"/>
  </r>
  <r>
    <x v="127"/>
    <s v="Marcus Winkler"/>
    <d v="2015-04-24T00:00:00"/>
    <s v="Slideshow, Video"/>
    <s v="Corporate"/>
    <s v="Corporate"/>
    <s v="No"/>
    <s v="Global"/>
    <n v="4268"/>
    <n v="24"/>
    <m/>
    <m/>
    <m/>
    <m/>
    <m/>
    <m/>
    <m/>
    <m/>
    <n v="4268"/>
    <n v="24"/>
  </r>
  <r>
    <x v="128"/>
    <s v="Michael Zipf"/>
    <d v="2015-04-24T00:00:00"/>
    <s v="Video"/>
    <s v="Innovation"/>
    <s v="GCO – Industry Cloud "/>
    <s v="No"/>
    <s v="Global"/>
    <n v="1021"/>
    <n v="0"/>
    <m/>
    <m/>
    <n v="65"/>
    <n v="0"/>
    <m/>
    <m/>
    <m/>
    <m/>
    <n v="1086"/>
    <n v="0"/>
  </r>
  <r>
    <x v="129"/>
    <s v="Paul Baur"/>
    <d v="2015-04-27T00:00:00"/>
    <s v="Video"/>
    <s v="Innovation"/>
    <s v="Corporate"/>
    <s v="No"/>
    <s v="Global"/>
    <n v="1183"/>
    <n v="4"/>
    <m/>
    <m/>
    <m/>
    <m/>
    <m/>
    <m/>
    <m/>
    <m/>
    <n v="1183"/>
    <n v="4"/>
  </r>
  <r>
    <x v="130"/>
    <s v="Judith Magyar"/>
    <d v="2015-04-27T00:00:00"/>
    <s v="Video"/>
    <s v="Innovation"/>
    <s v="GCO – Industry Cloud "/>
    <s v="No"/>
    <s v="EMEA"/>
    <n v="951"/>
    <n v="1"/>
    <m/>
    <m/>
    <m/>
    <m/>
    <m/>
    <m/>
    <m/>
    <m/>
    <n v="951"/>
    <n v="1"/>
  </r>
  <r>
    <x v="131"/>
    <s v="Alicia Lenze"/>
    <d v="2015-04-28T00:00:00"/>
    <m/>
    <s v="Corporate"/>
    <s v="Office of the CEO"/>
    <s v="No"/>
    <s v="Global"/>
    <n v="2429"/>
    <n v="61"/>
    <m/>
    <m/>
    <m/>
    <m/>
    <m/>
    <m/>
    <m/>
    <m/>
    <n v="2429"/>
    <n v="61"/>
  </r>
  <r>
    <x v="132"/>
    <s v="Judith Magyar"/>
    <d v="2015-04-28T00:00:00"/>
    <m/>
    <s v="Youth"/>
    <s v="GCO – Regions"/>
    <s v="Yes"/>
    <s v="EMEA"/>
    <n v="555"/>
    <n v="9"/>
    <n v="5200"/>
    <n v="0"/>
    <n v="41"/>
    <n v="0"/>
    <n v="644"/>
    <n v="0"/>
    <m/>
    <m/>
    <n v="6440"/>
    <n v="9"/>
  </r>
  <r>
    <x v="133"/>
    <s v="Catherine Girardin"/>
    <d v="2015-04-28T00:00:00"/>
    <m/>
    <s v="Innovation"/>
    <s v="GCO – Other"/>
    <s v="No"/>
    <s v="Global"/>
    <n v="1186"/>
    <n v="6"/>
    <m/>
    <m/>
    <m/>
    <m/>
    <m/>
    <m/>
    <m/>
    <m/>
    <n v="1186"/>
    <n v="6"/>
  </r>
  <r>
    <x v="134"/>
    <s v="Michael Zipf"/>
    <d v="2015-04-29T00:00:00"/>
    <s v="Video"/>
    <s v="Sports"/>
    <s v="GCO – Platform Solutions"/>
    <s v="Yes"/>
    <s v="Global"/>
    <n v="1362"/>
    <n v="5"/>
    <m/>
    <m/>
    <n v="265"/>
    <n v="0"/>
    <m/>
    <m/>
    <m/>
    <m/>
    <n v="1627"/>
    <n v="5"/>
  </r>
  <r>
    <x v="135"/>
    <s v="Judith Magyar"/>
    <d v="2015-04-29T00:00:00"/>
    <s v="Infographic"/>
    <s v="Innovation"/>
    <s v="Corporate"/>
    <s v="No"/>
    <s v="EMEA"/>
    <n v="439"/>
    <n v="4"/>
    <m/>
    <m/>
    <n v="201"/>
    <n v="0"/>
    <m/>
    <m/>
    <m/>
    <m/>
    <n v="640"/>
    <n v="4"/>
  </r>
  <r>
    <x v="136"/>
    <s v="Paul Baur"/>
    <d v="2015-04-30T00:00:00"/>
    <m/>
    <s v="Corporate"/>
    <s v="Corporate"/>
    <s v="No"/>
    <s v="Global"/>
    <n v="2559"/>
    <n v="7"/>
    <m/>
    <m/>
    <n v="881"/>
    <n v="0"/>
    <m/>
    <m/>
    <m/>
    <m/>
    <n v="3440"/>
    <n v="7"/>
  </r>
  <r>
    <x v="137"/>
    <s v="Molli Jordan"/>
    <d v="2015-04-30T00:00:00"/>
    <s v="Video"/>
    <s v="Youth"/>
    <s v="GCO – Platform Solutions"/>
    <s v="Yes"/>
    <s v="Global"/>
    <n v="1147"/>
    <n v="7"/>
    <m/>
    <m/>
    <m/>
    <m/>
    <m/>
    <m/>
    <m/>
    <m/>
    <n v="1147"/>
    <n v="7"/>
  </r>
  <r>
    <x v="138"/>
    <s v="Paul Taylor"/>
    <d v="2015-04-30T00:00:00"/>
    <m/>
    <s v="Innovation"/>
    <s v="Corporate"/>
    <s v="No"/>
    <s v="Global"/>
    <n v="439"/>
    <n v="5"/>
    <n v="4613"/>
    <n v="1"/>
    <m/>
    <m/>
    <n v="845"/>
    <n v="0"/>
    <m/>
    <m/>
    <n v="5897"/>
    <n v="6"/>
  </r>
  <r>
    <x v="139"/>
    <s v="Jacqueline Prause"/>
    <d v="2015-04-30T00:00:00"/>
    <m/>
    <s v="Corporate"/>
    <s v="Corporate"/>
    <s v="No"/>
    <s v="Global"/>
    <n v="736"/>
    <n v="1"/>
    <m/>
    <m/>
    <m/>
    <m/>
    <m/>
    <m/>
    <m/>
    <m/>
    <n v="736"/>
    <n v="1"/>
  </r>
  <r>
    <x v="140"/>
    <s v="Charlotte Otter"/>
    <d v="2015-05-01T00:00:00"/>
    <m/>
    <s v="Innovation"/>
    <s v="Corporate"/>
    <s v="No"/>
    <s v="Global"/>
    <n v="652"/>
    <n v="2"/>
    <m/>
    <m/>
    <m/>
    <m/>
    <m/>
    <m/>
    <m/>
    <m/>
    <n v="652"/>
    <n v="2"/>
  </r>
  <r>
    <x v="141"/>
    <s v="Susan Galer"/>
    <d v="2015-05-01T00:00:00"/>
    <m/>
    <s v="Innovation"/>
    <s v="GCO – HR (SuccessFactors)"/>
    <s v="Yes"/>
    <s v="Global"/>
    <n v="912"/>
    <n v="0"/>
    <n v="1105"/>
    <n v="0"/>
    <m/>
    <m/>
    <m/>
    <m/>
    <m/>
    <m/>
    <n v="2017"/>
    <n v="0"/>
  </r>
  <r>
    <x v="142"/>
    <s v="Paul Taylor"/>
    <d v="2015-05-01T00:00:00"/>
    <m/>
    <s v="Innovation"/>
    <s v="GCO – Customer Engagement &amp; Commerce (CRM &amp; hybris) "/>
    <s v="No"/>
    <s v="Global"/>
    <n v="756"/>
    <m/>
    <m/>
    <m/>
    <n v="111"/>
    <n v="0"/>
    <n v="374"/>
    <n v="0"/>
    <m/>
    <m/>
    <n v="1241"/>
    <n v="0"/>
  </r>
  <r>
    <x v="143"/>
    <s v="Stephan Magura "/>
    <d v="2015-05-04T00:00:00"/>
    <m/>
    <s v="Innovation"/>
    <s v="GCO – Industry Cloud "/>
    <s v="Yes"/>
    <s v="EMEA"/>
    <n v="749"/>
    <n v="8"/>
    <m/>
    <m/>
    <n v="262"/>
    <n v="0"/>
    <m/>
    <m/>
    <m/>
    <m/>
    <n v="1011"/>
    <n v="8"/>
  </r>
  <r>
    <x v="144"/>
    <s v="Paul Taylor"/>
    <d v="2015-05-04T00:00:00"/>
    <s v="Infographic"/>
    <s v="Innovation"/>
    <s v="GCO – Industry Cloud "/>
    <s v="No"/>
    <s v="Global"/>
    <n v="2694"/>
    <n v="3"/>
    <m/>
    <m/>
    <m/>
    <m/>
    <m/>
    <m/>
    <m/>
    <m/>
    <n v="2694"/>
    <n v="3"/>
  </r>
  <r>
    <x v="145"/>
    <s v="Derek Klobucher"/>
    <d v="2015-05-06T00:00:00"/>
    <m/>
    <s v="Innovation"/>
    <s v="Office of the CEO"/>
    <s v="No"/>
    <s v="Global"/>
    <n v="3864"/>
    <n v="2"/>
    <n v="3254"/>
    <n v="2"/>
    <m/>
    <m/>
    <m/>
    <m/>
    <m/>
    <m/>
    <n v="7118"/>
    <n v="4"/>
  </r>
  <r>
    <x v="146"/>
    <s v="Michael Zipf"/>
    <d v="2015-05-06T00:00:00"/>
    <m/>
    <s v="Innovation"/>
    <s v="Office of the CEO"/>
    <s v="No"/>
    <s v="Global"/>
    <n v="1097"/>
    <n v="1"/>
    <m/>
    <m/>
    <m/>
    <m/>
    <m/>
    <m/>
    <m/>
    <m/>
    <n v="1097"/>
    <n v="1"/>
  </r>
  <r>
    <x v="147"/>
    <s v="Emily Scorer"/>
    <d v="2015-05-07T00:00:00"/>
    <m/>
    <s v="Corporate"/>
    <s v="Human Resources (SAP HR and employee stories)"/>
    <s v="No"/>
    <s v="Global"/>
    <n v="1525"/>
    <n v="9"/>
    <m/>
    <m/>
    <n v="123"/>
    <n v="0"/>
    <m/>
    <m/>
    <m/>
    <m/>
    <n v="1648"/>
    <n v="9"/>
  </r>
  <r>
    <x v="148"/>
    <s v="Paul Taylor"/>
    <d v="2015-05-07T00:00:00"/>
    <m/>
    <s v="Innovation"/>
    <s v="Corporate"/>
    <s v="No"/>
    <s v="Global"/>
    <n v="498"/>
    <n v="1"/>
    <n v="917"/>
    <n v="1"/>
    <n v="127"/>
    <n v="0"/>
    <n v="338"/>
    <n v="0"/>
    <m/>
    <m/>
    <n v="1880"/>
    <n v="2"/>
  </r>
  <r>
    <x v="149"/>
    <s v="Susan Galer"/>
    <d v="2015-05-07T00:00:00"/>
    <m/>
    <s v="Innovation"/>
    <s v="GCO – Platform Solutions"/>
    <s v="Yes"/>
    <s v="Global"/>
    <n v="2079"/>
    <n v="1"/>
    <m/>
    <m/>
    <m/>
    <m/>
    <m/>
    <m/>
    <m/>
    <m/>
    <n v="2079"/>
    <n v="1"/>
  </r>
  <r>
    <x v="150"/>
    <s v="Michael Zipf"/>
    <d v="2015-05-08T00:00:00"/>
    <m/>
    <s v="Innovation"/>
    <s v="GCO – Platform Solutions"/>
    <s v="Yes"/>
    <s v="Global"/>
    <n v="1548"/>
    <n v="5"/>
    <m/>
    <m/>
    <m/>
    <m/>
    <m/>
    <m/>
    <m/>
    <m/>
    <n v="1548"/>
    <n v="5"/>
  </r>
  <r>
    <x v="151"/>
    <s v="Paul Taylor"/>
    <d v="2015-05-08T00:00:00"/>
    <s v="Video"/>
    <s v="Innovation"/>
    <s v="Business Network (Concur, Ariba, Fieldglass)"/>
    <s v="No"/>
    <s v="Global"/>
    <n v="1548"/>
    <n v="3"/>
    <m/>
    <m/>
    <m/>
    <m/>
    <m/>
    <m/>
    <m/>
    <m/>
    <n v="1548"/>
    <n v="3"/>
  </r>
  <r>
    <x v="152"/>
    <s v="Judith Magyar"/>
    <d v="2015-05-08T00:00:00"/>
    <s v="Infographic, Video"/>
    <s v="Innovation"/>
    <s v="GCO – Platform Solutions"/>
    <s v="No"/>
    <s v="Global"/>
    <n v="2508"/>
    <n v="1"/>
    <m/>
    <m/>
    <m/>
    <m/>
    <n v="2174"/>
    <n v="0"/>
    <m/>
    <m/>
    <n v="4682"/>
    <n v="1"/>
  </r>
  <r>
    <x v="153"/>
    <s v="Miriam Siebeking"/>
    <d v="2015-05-10T00:00:00"/>
    <m/>
    <s v="Corporate"/>
    <s v="Corporate"/>
    <s v="No"/>
    <s v="Global"/>
    <n v="1872"/>
    <n v="1"/>
    <m/>
    <m/>
    <m/>
    <m/>
    <m/>
    <m/>
    <m/>
    <m/>
    <n v="1872"/>
    <n v="1"/>
  </r>
  <r>
    <x v="154"/>
    <s v="Torsten Falk"/>
    <d v="2015-05-13T00:00:00"/>
    <s v="Slideshow, Infographic"/>
    <s v="Corporate"/>
    <s v="Human Resources (SAP HR and employee stories)"/>
    <s v="No"/>
    <s v="Global"/>
    <n v="1886"/>
    <n v="0"/>
    <m/>
    <m/>
    <m/>
    <m/>
    <m/>
    <m/>
    <m/>
    <m/>
    <n v="1886"/>
    <n v="0"/>
  </r>
  <r>
    <x v="155"/>
    <s v="Andreas Schmitz"/>
    <d v="2015-05-14T00:00:00"/>
    <m/>
    <s v="Healthcare"/>
    <s v="GCO – Platform Solutions"/>
    <s v="No"/>
    <s v="Global"/>
    <n v="794"/>
    <n v="2"/>
    <m/>
    <m/>
    <m/>
    <m/>
    <m/>
    <m/>
    <m/>
    <m/>
    <n v="794"/>
    <n v="2"/>
  </r>
  <r>
    <x v="156"/>
    <s v="Richard Campbell"/>
    <d v="2015-05-15T00:00:00"/>
    <m/>
    <s v="Corporate"/>
    <s v="Corporate"/>
    <s v="No"/>
    <s v="Global"/>
    <n v="3248"/>
    <n v="23"/>
    <m/>
    <m/>
    <m/>
    <m/>
    <m/>
    <m/>
    <m/>
    <m/>
    <n v="3248"/>
    <n v="23"/>
  </r>
  <r>
    <x v="157"/>
    <s v="Cornelia Weiss-Justen"/>
    <d v="2015-05-18T00:00:00"/>
    <m/>
    <s v="Innovation"/>
    <s v="P&amp;I (Research &amp; Development)"/>
    <s v="Yes"/>
    <s v="Global"/>
    <n v="1659"/>
    <n v="6"/>
    <m/>
    <m/>
    <m/>
    <m/>
    <m/>
    <m/>
    <m/>
    <m/>
    <n v="1659"/>
    <n v="6"/>
  </r>
  <r>
    <x v="158"/>
    <s v="Andrea Diederichs"/>
    <d v="2015-05-19T00:00:00"/>
    <m/>
    <s v="Corporate"/>
    <s v="Human Resources (SAP HR and employee stories)"/>
    <s v="No"/>
    <s v="Global"/>
    <n v="2570"/>
    <n v="32"/>
    <m/>
    <m/>
    <n v="128"/>
    <n v="0"/>
    <n v="446"/>
    <n v="0"/>
    <m/>
    <m/>
    <n v="3144"/>
    <n v="32"/>
  </r>
  <r>
    <x v="159"/>
    <s v="Mark Cheever"/>
    <d v="2015-05-20T00:00:00"/>
    <m/>
    <s v="Youth"/>
    <s v="Human Resources (SAP HR and employee stories)"/>
    <s v="No"/>
    <s v="Global"/>
    <n v="1511"/>
    <n v="10"/>
    <m/>
    <m/>
    <m/>
    <m/>
    <m/>
    <m/>
    <m/>
    <m/>
    <n v="1511"/>
    <n v="10"/>
  </r>
  <r>
    <x v="160"/>
    <s v="Paul Baur"/>
    <d v="2015-05-20T00:00:00"/>
    <s v="Video"/>
    <s v="Innovation"/>
    <s v="GCO – Customer Engagement &amp; Commerce (CRM &amp; hybris) "/>
    <s v="Yes"/>
    <s v="Global"/>
    <n v="1358"/>
    <n v="4"/>
    <m/>
    <m/>
    <m/>
    <m/>
    <m/>
    <m/>
    <m/>
    <m/>
    <n v="1358"/>
    <n v="4"/>
  </r>
  <r>
    <x v="161"/>
    <s v="Kate Morgan"/>
    <d v="2015-05-22T00:00:00"/>
    <m/>
    <s v="Youth"/>
    <s v="Corporate"/>
    <s v="No"/>
    <s v="Global"/>
    <n v="420"/>
    <n v="2"/>
    <m/>
    <m/>
    <m/>
    <m/>
    <m/>
    <m/>
    <m/>
    <m/>
    <n v="420"/>
    <n v="2"/>
  </r>
  <r>
    <x v="162"/>
    <s v="Judith Magyar"/>
    <d v="2015-05-22T00:00:00"/>
    <m/>
    <s v="Innovation"/>
    <s v="GPO (Partner, Ecosystem, Channels)"/>
    <s v="No"/>
    <s v="Global"/>
    <n v="1506"/>
    <n v="1"/>
    <m/>
    <m/>
    <m/>
    <m/>
    <m/>
    <m/>
    <m/>
    <m/>
    <n v="1506"/>
    <n v="1"/>
  </r>
  <r>
    <x v="163"/>
    <s v="Andreas Schmitz"/>
    <d v="2015-05-25T00:00:00"/>
    <m/>
    <s v="Healthcare"/>
    <s v="GCO – Platform Solutions"/>
    <s v="No"/>
    <s v="Global"/>
    <n v="719"/>
    <n v="0"/>
    <m/>
    <m/>
    <m/>
    <m/>
    <m/>
    <m/>
    <m/>
    <m/>
    <n v="719"/>
    <n v="0"/>
  </r>
  <r>
    <x v="164"/>
    <s v="Tobias Essig"/>
    <d v="2015-05-26T00:00:00"/>
    <s v="Infographic"/>
    <s v="Innovation"/>
    <s v="P&amp;I (Research &amp; Development)"/>
    <s v="No"/>
    <s v="Global"/>
    <n v="949"/>
    <n v="0"/>
    <m/>
    <m/>
    <m/>
    <m/>
    <m/>
    <m/>
    <m/>
    <m/>
    <n v="949"/>
    <n v="0"/>
  </r>
  <r>
    <x v="165"/>
    <s v="Torsten Falk"/>
    <d v="2015-05-27T00:00:00"/>
    <s v="Video"/>
    <s v="Corporate"/>
    <s v="Human Resources (SAP HR and employee stories)"/>
    <s v="No"/>
    <s v="Global"/>
    <n v="838"/>
    <n v="9"/>
    <m/>
    <m/>
    <n v="75"/>
    <n v="0"/>
    <m/>
    <m/>
    <m/>
    <m/>
    <n v="913"/>
    <n v="9"/>
  </r>
  <r>
    <x v="166"/>
    <s v="Judith Magyar"/>
    <d v="2015-05-27T00:00:00"/>
    <s v="Video"/>
    <s v="Innovation"/>
    <s v="GPO (Partner, Ecosystem, Channels)"/>
    <s v="Yes"/>
    <s v="LATAM"/>
    <n v="426"/>
    <n v="1"/>
    <m/>
    <m/>
    <m/>
    <m/>
    <m/>
    <m/>
    <m/>
    <m/>
    <n v="426"/>
    <n v="1"/>
  </r>
  <r>
    <x v="167"/>
    <s v="Andreas Schmitz"/>
    <d v="2015-05-27T00:00:00"/>
    <m/>
    <s v="Innovation"/>
    <s v="P&amp;I (Research &amp; Development)"/>
    <s v="Yes"/>
    <s v="Global"/>
    <n v="1185"/>
    <n v="0"/>
    <m/>
    <m/>
    <m/>
    <m/>
    <m/>
    <m/>
    <m/>
    <m/>
    <n v="1185"/>
    <n v="0"/>
  </r>
  <r>
    <x v="168"/>
    <s v="Arunima Kumar"/>
    <d v="2015-05-28T00:00:00"/>
    <s v="Video"/>
    <s v="Corporate"/>
    <s v="Corporate"/>
    <s v="No"/>
    <s v="Global"/>
    <n v="820"/>
    <n v="3"/>
    <m/>
    <m/>
    <m/>
    <m/>
    <m/>
    <m/>
    <m/>
    <m/>
    <n v="820"/>
    <n v="3"/>
  </r>
  <r>
    <x v="169"/>
    <s v="Torsten Falk"/>
    <d v="2015-05-29T00:00:00"/>
    <m/>
    <s v="Corporate"/>
    <s v="Human Resources (SAP HR and employee stories)"/>
    <s v="No"/>
    <s v="Global"/>
    <n v="1437"/>
    <n v="20"/>
    <m/>
    <m/>
    <m/>
    <m/>
    <m/>
    <m/>
    <m/>
    <m/>
    <n v="1437"/>
    <n v="20"/>
  </r>
  <r>
    <x v="170"/>
    <s v="Paul Baur"/>
    <d v="2015-05-29T00:00:00"/>
    <m/>
    <s v="Sports"/>
    <s v="GCO – Platform Solutions"/>
    <s v="Yes"/>
    <s v="Global"/>
    <n v="903"/>
    <n v="3"/>
    <m/>
    <m/>
    <m/>
    <m/>
    <m/>
    <m/>
    <m/>
    <m/>
    <n v="903"/>
    <n v="3"/>
  </r>
  <r>
    <x v="171"/>
    <s v="Amira Polack"/>
    <d v="2015-05-29T00:00:00"/>
    <m/>
    <s v="Youth"/>
    <s v="Corporate"/>
    <s v="No"/>
    <s v="Global"/>
    <n v="938"/>
    <n v="1"/>
    <m/>
    <m/>
    <m/>
    <m/>
    <m/>
    <m/>
    <m/>
    <m/>
    <n v="938"/>
    <n v="1"/>
  </r>
  <r>
    <x v="172"/>
    <s v="Susan Galer"/>
    <d v="2015-06-01T00:00:00"/>
    <m/>
    <s v="Innovation"/>
    <s v="GPO (Partner, Ecosystem, Channels)"/>
    <s v="Yes"/>
    <s v="Global"/>
    <n v="1308"/>
    <n v="3"/>
    <m/>
    <m/>
    <m/>
    <m/>
    <m/>
    <m/>
    <m/>
    <m/>
    <n v="1308"/>
    <n v="3"/>
  </r>
  <r>
    <x v="173"/>
    <s v="Judith Magyar"/>
    <d v="2015-06-02T00:00:00"/>
    <s v="Video"/>
    <s v="Innovation"/>
    <s v="GCO – Regions"/>
    <s v="No"/>
    <s v="EMEA"/>
    <n v="693"/>
    <n v="6"/>
    <n v="704"/>
    <n v="0"/>
    <m/>
    <m/>
    <n v="575"/>
    <n v="0"/>
    <m/>
    <m/>
    <n v="1972"/>
    <n v="6"/>
  </r>
  <r>
    <x v="174"/>
    <s v="Paul Taylor"/>
    <d v="2015-06-02T00:00:00"/>
    <s v="Infographic"/>
    <s v="Corporate"/>
    <s v="Office of the CEO"/>
    <s v="No"/>
    <s v="Global"/>
    <n v="1597"/>
    <n v="0"/>
    <m/>
    <m/>
    <m/>
    <m/>
    <m/>
    <m/>
    <m/>
    <m/>
    <n v="1597"/>
    <n v="0"/>
  </r>
  <r>
    <x v="175"/>
    <s v="Stephan Magura"/>
    <d v="2015-06-03T00:00:00"/>
    <s v="Video"/>
    <s v="Healthcare"/>
    <s v="Human Resources (SAP HR and employee stories)"/>
    <s v="No"/>
    <s v="Global"/>
    <n v="2196"/>
    <n v="28"/>
    <m/>
    <m/>
    <n v="62"/>
    <n v="0"/>
    <m/>
    <m/>
    <m/>
    <m/>
    <n v="2258"/>
    <n v="28"/>
  </r>
  <r>
    <x v="176"/>
    <s v="Paul Baur"/>
    <d v="2015-06-03T00:00:00"/>
    <m/>
    <s v="Innovation"/>
    <s v="Office of the CEO"/>
    <s v="Yes"/>
    <s v="EMEA"/>
    <n v="2703"/>
    <n v="7"/>
    <m/>
    <m/>
    <n v="57"/>
    <n v="0"/>
    <m/>
    <m/>
    <m/>
    <m/>
    <n v="2760"/>
    <n v="7"/>
  </r>
  <r>
    <x v="177"/>
    <s v="Paul Baur"/>
    <d v="2015-06-03T00:00:00"/>
    <m/>
    <s v="Innovation"/>
    <s v="P&amp;I (Research &amp; Development)"/>
    <s v="No"/>
    <s v="Global"/>
    <n v="2400"/>
    <n v="0"/>
    <m/>
    <m/>
    <m/>
    <m/>
    <m/>
    <m/>
    <m/>
    <m/>
    <n v="2400"/>
    <n v="0"/>
  </r>
  <r>
    <x v="178"/>
    <s v="Miriam Siebeking"/>
    <d v="2015-06-04T00:00:00"/>
    <m/>
    <s v="Corporate"/>
    <s v="Corporate"/>
    <s v="No"/>
    <s v="Global"/>
    <n v="1685"/>
    <n v="4"/>
    <m/>
    <m/>
    <m/>
    <m/>
    <m/>
    <m/>
    <m/>
    <m/>
    <n v="1685"/>
    <n v="4"/>
  </r>
  <r>
    <x v="179"/>
    <s v="Mike Ettling"/>
    <d v="2015-06-08T00:00:00"/>
    <m/>
    <s v="Corporate"/>
    <s v="Human Resources (SAP HR and employee stories)"/>
    <s v="No"/>
    <s v="Global"/>
    <n v="876"/>
    <n v="9"/>
    <m/>
    <m/>
    <m/>
    <m/>
    <m/>
    <m/>
    <m/>
    <m/>
    <n v="876"/>
    <n v="9"/>
  </r>
  <r>
    <x v="180"/>
    <s v="Andrea Diederichs"/>
    <d v="2015-06-09T00:00:00"/>
    <s v="Video"/>
    <s v="Innovation"/>
    <s v="Services Delivery &amp; Support (go-lives and deployments) "/>
    <s v="No"/>
    <s v="Global"/>
    <n v="1603"/>
    <n v="25"/>
    <m/>
    <m/>
    <m/>
    <m/>
    <n v="645"/>
    <n v="0"/>
    <m/>
    <m/>
    <n v="2248"/>
    <n v="25"/>
  </r>
  <r>
    <x v="181"/>
    <s v="Paul Taylor"/>
    <d v="2015-06-09T00:00:00"/>
    <m/>
    <s v="Innovation"/>
    <s v="GCO – Customer Engagement &amp; Commerce (CRM &amp; hybris) "/>
    <s v="No"/>
    <s v="Global"/>
    <n v="6427"/>
    <n v="19"/>
    <n v="1571"/>
    <n v="0"/>
    <m/>
    <m/>
    <n v="960"/>
    <n v="0"/>
    <m/>
    <m/>
    <n v="8958"/>
    <n v="19"/>
  </r>
  <r>
    <x v="182"/>
    <s v="Cindy McKendry"/>
    <d v="2015-06-09T00:00:00"/>
    <m/>
    <s v="Corporate"/>
    <s v="GPO (Partner, Ecosystem, Channels)"/>
    <s v="No"/>
    <s v="Global"/>
    <n v="1076"/>
    <n v="14"/>
    <m/>
    <m/>
    <m/>
    <m/>
    <m/>
    <m/>
    <m/>
    <m/>
    <n v="1076"/>
    <n v="14"/>
  </r>
  <r>
    <x v="183"/>
    <s v="Judith Magyar"/>
    <d v="2015-06-10T00:00:00"/>
    <m/>
    <s v="Innovation"/>
    <s v="GCO – Platform Solutions"/>
    <s v="Yes"/>
    <s v="Global"/>
    <n v="1656"/>
    <n v="14"/>
    <m/>
    <m/>
    <m/>
    <m/>
    <m/>
    <m/>
    <m/>
    <m/>
    <n v="1656"/>
    <n v="14"/>
  </r>
  <r>
    <x v="184"/>
    <s v="Angela Dunn"/>
    <d v="2015-06-10T00:00:00"/>
    <m/>
    <s v="Innovation"/>
    <s v="GCO – Platform Solutions"/>
    <s v="No"/>
    <s v="Global"/>
    <n v="1337"/>
    <n v="3"/>
    <m/>
    <m/>
    <m/>
    <m/>
    <m/>
    <m/>
    <m/>
    <m/>
    <n v="1337"/>
    <n v="3"/>
  </r>
  <r>
    <x v="185"/>
    <s v="Stephan Magura"/>
    <d v="2015-06-11T00:00:00"/>
    <m/>
    <s v="Corporate"/>
    <s v="GCO – Other"/>
    <s v="No"/>
    <s v="EMEA"/>
    <n v="1829"/>
    <n v="13"/>
    <m/>
    <m/>
    <m/>
    <m/>
    <m/>
    <m/>
    <m/>
    <m/>
    <n v="1829"/>
    <n v="13"/>
  </r>
  <r>
    <x v="186"/>
    <s v="Torsten Falk"/>
    <d v="2015-06-11T00:00:00"/>
    <s v="Slideshow"/>
    <s v="Corporate"/>
    <s v="Human Resources (SAP HR and employee stories)"/>
    <s v="No"/>
    <s v="Global"/>
    <n v="1930"/>
    <n v="8"/>
    <m/>
    <m/>
    <m/>
    <m/>
    <m/>
    <m/>
    <m/>
    <m/>
    <n v="1930"/>
    <n v="8"/>
  </r>
  <r>
    <x v="187"/>
    <s v="Emily Scorer"/>
    <d v="2015-06-15T00:00:00"/>
    <s v="Infographic"/>
    <s v="Innovation"/>
    <s v="P&amp;I (Research &amp; Development)"/>
    <s v="No"/>
    <s v="Global"/>
    <n v="842"/>
    <n v="8"/>
    <m/>
    <m/>
    <m/>
    <m/>
    <m/>
    <m/>
    <m/>
    <m/>
    <n v="842"/>
    <n v="8"/>
  </r>
  <r>
    <x v="188"/>
    <s v="Vivek Bapat"/>
    <d v="2015-06-15T00:00:00"/>
    <m/>
    <s v="Innovation"/>
    <s v="Corporate"/>
    <s v="No"/>
    <s v="Global"/>
    <n v="387"/>
    <n v="6"/>
    <m/>
    <m/>
    <m/>
    <m/>
    <m/>
    <m/>
    <m/>
    <m/>
    <n v="387"/>
    <n v="6"/>
  </r>
  <r>
    <x v="189"/>
    <s v="Robin Meyerhoff"/>
    <d v="2015-06-16T00:00:00"/>
    <s v="Video"/>
    <s v="Youth"/>
    <s v="Human Resources (SAP HR and employee stories)"/>
    <s v="No"/>
    <s v="EMEA"/>
    <n v="1442"/>
    <n v="14"/>
    <m/>
    <m/>
    <m/>
    <m/>
    <n v="477"/>
    <n v="0"/>
    <m/>
    <m/>
    <n v="1919"/>
    <n v="14"/>
  </r>
  <r>
    <x v="190"/>
    <s v="Stephan Magura"/>
    <d v="2015-06-16T00:00:00"/>
    <s v="Slideshow"/>
    <s v="Youth"/>
    <s v="Corporate"/>
    <s v="No"/>
    <s v="EMEA"/>
    <n v="419"/>
    <n v="9"/>
    <m/>
    <m/>
    <m/>
    <m/>
    <m/>
    <m/>
    <m/>
    <m/>
    <n v="419"/>
    <n v="9"/>
  </r>
  <r>
    <x v="191"/>
    <s v="Thomas Pohl"/>
    <d v="2015-06-17T00:00:00"/>
    <s v="Video"/>
    <s v="Innovation"/>
    <s v="GCO – Platform Solutions"/>
    <s v="No"/>
    <s v="EMEA"/>
    <n v="1188"/>
    <n v="5"/>
    <m/>
    <m/>
    <m/>
    <m/>
    <m/>
    <m/>
    <m/>
    <m/>
    <n v="1188"/>
    <n v="5"/>
  </r>
  <r>
    <x v="192"/>
    <s v="Angela Dunn"/>
    <d v="2015-06-17T00:00:00"/>
    <m/>
    <s v="Corporate"/>
    <s v="Office of the CEO"/>
    <s v="No"/>
    <s v="Global"/>
    <n v="847"/>
    <n v="0"/>
    <m/>
    <m/>
    <m/>
    <m/>
    <m/>
    <m/>
    <m/>
    <m/>
    <n v="847"/>
    <n v="0"/>
  </r>
  <r>
    <x v="193"/>
    <s v="Paul Taylor"/>
    <d v="2015-06-18T00:00:00"/>
    <s v="Video"/>
    <s v="Innovation"/>
    <s v="GCO – Platform Solutions"/>
    <s v="No"/>
    <s v="Global"/>
    <n v="1732"/>
    <n v="5"/>
    <m/>
    <m/>
    <m/>
    <m/>
    <m/>
    <m/>
    <m/>
    <m/>
    <n v="1732"/>
    <n v="5"/>
  </r>
  <r>
    <x v="194"/>
    <s v="Judith Magyar"/>
    <d v="2015-06-22T00:00:00"/>
    <m/>
    <s v="Corporate"/>
    <s v="Corporate"/>
    <s v="No"/>
    <s v="Global"/>
    <n v="835"/>
    <n v="13"/>
    <m/>
    <m/>
    <m/>
    <m/>
    <m/>
    <m/>
    <m/>
    <m/>
    <n v="835"/>
    <n v="13"/>
  </r>
  <r>
    <x v="195"/>
    <s v="Susan Galer"/>
    <d v="2015-06-23T00:00:00"/>
    <m/>
    <s v="Corporate"/>
    <s v="GCO – Industry Cloud "/>
    <s v="No"/>
    <s v="Global"/>
    <n v="678"/>
    <n v="4"/>
    <m/>
    <m/>
    <m/>
    <m/>
    <m/>
    <m/>
    <m/>
    <m/>
    <n v="678"/>
    <n v="4"/>
  </r>
  <r>
    <x v="196"/>
    <s v="Emily Scorer"/>
    <d v="2015-06-24T00:00:00"/>
    <s v="Video"/>
    <s v="Corporate"/>
    <s v="Human Resources (SAP HR and employee stories)"/>
    <s v="No"/>
    <s v="Global"/>
    <n v="2043"/>
    <n v="22"/>
    <m/>
    <m/>
    <m/>
    <m/>
    <m/>
    <m/>
    <m/>
    <m/>
    <n v="2043"/>
    <n v="22"/>
  </r>
  <r>
    <x v="197"/>
    <s v="Michael Zipf"/>
    <d v="2015-06-24T00:00:00"/>
    <s v="Video"/>
    <s v="Corporate"/>
    <s v="Human Resources (SAP HR and employee stories)"/>
    <s v="No"/>
    <s v="EMEA"/>
    <n v="1496"/>
    <n v="3"/>
    <m/>
    <m/>
    <m/>
    <m/>
    <m/>
    <m/>
    <m/>
    <m/>
    <n v="1496"/>
    <n v="3"/>
  </r>
  <r>
    <x v="198"/>
    <s v="Judith Magyar"/>
    <d v="2015-06-24T00:00:00"/>
    <s v="Video"/>
    <s v="Innovation"/>
    <s v="GCO – Industry Cloud , GCO – Platform Solutions"/>
    <s v="Yes"/>
    <s v="EMEA"/>
    <n v="411"/>
    <n v="1"/>
    <m/>
    <m/>
    <n v="133"/>
    <n v="0"/>
    <m/>
    <m/>
    <m/>
    <m/>
    <n v="544"/>
    <n v="1"/>
  </r>
  <r>
    <x v="199"/>
    <s v="Angela Klose"/>
    <d v="2015-06-25T00:00:00"/>
    <s v="Video"/>
    <s v="Sports"/>
    <s v="GCO – Platform Solutions"/>
    <s v="No"/>
    <s v="Global"/>
    <n v="410"/>
    <n v="3"/>
    <m/>
    <m/>
    <m/>
    <m/>
    <m/>
    <m/>
    <m/>
    <m/>
    <n v="410"/>
    <n v="3"/>
  </r>
  <r>
    <x v="200"/>
    <s v="Jane Gray"/>
    <d v="2015-06-25T00:00:00"/>
    <m/>
    <s v="Innovation"/>
    <s v="GCO – Platform Solutions"/>
    <s v="Yes"/>
    <s v="Global"/>
    <n v="326"/>
    <n v="1"/>
    <m/>
    <m/>
    <m/>
    <m/>
    <m/>
    <m/>
    <m/>
    <m/>
    <n v="326"/>
    <n v="1"/>
  </r>
  <r>
    <x v="201"/>
    <s v="Kesja Cichowski"/>
    <d v="2015-06-26T00:00:00"/>
    <s v="Video"/>
    <s v="Corporate"/>
    <s v="Human Resources (SAP HR and employee stories)"/>
    <s v="No"/>
    <s v="Global"/>
    <n v="1450"/>
    <n v="23"/>
    <m/>
    <m/>
    <m/>
    <m/>
    <m/>
    <m/>
    <m/>
    <m/>
    <n v="1450"/>
    <n v="23"/>
  </r>
  <r>
    <x v="202"/>
    <s v="Robin Meyerhoff"/>
    <d v="2015-06-26T00:00:00"/>
    <s v="Slideshow, Video"/>
    <s v="Innovation"/>
    <s v="P&amp;I (Research &amp; Development)"/>
    <s v="Yes"/>
    <s v="Global"/>
    <n v="1423"/>
    <n v="3"/>
    <m/>
    <m/>
    <m/>
    <m/>
    <n v="425"/>
    <n v="0"/>
    <m/>
    <m/>
    <n v="1848"/>
    <n v="3"/>
  </r>
  <r>
    <x v="203"/>
    <s v="Renata Pompeu Pividal"/>
    <d v="2015-06-26T00:00:00"/>
    <m/>
    <s v="Corporate"/>
    <s v="GCO – Regions"/>
    <s v="No"/>
    <s v="LATAM"/>
    <n v="931"/>
    <n v="3"/>
    <m/>
    <m/>
    <m/>
    <m/>
    <m/>
    <m/>
    <m/>
    <m/>
    <n v="931"/>
    <n v="3"/>
  </r>
  <r>
    <x v="204"/>
    <s v="Gillian Lindsell"/>
    <d v="2015-06-29T00:00:00"/>
    <m/>
    <s v="Youth"/>
    <s v="Corporate"/>
    <s v="No"/>
    <s v="EMEA"/>
    <n v="395"/>
    <n v="4"/>
    <m/>
    <m/>
    <m/>
    <m/>
    <m/>
    <m/>
    <m/>
    <m/>
    <n v="395"/>
    <n v="4"/>
  </r>
  <r>
    <x v="205"/>
    <s v="Robin Meyerhoff"/>
    <d v="2015-07-01T00:00:00"/>
    <s v="Video"/>
    <s v="Corporate"/>
    <s v="Human Resources (SAP HR and employee stories)"/>
    <s v="No"/>
    <s v="NA"/>
    <n v="4318"/>
    <n v="97"/>
    <n v="7986"/>
    <n v="1"/>
    <n v="330"/>
    <n v="0"/>
    <n v="2278"/>
    <n v="6"/>
    <m/>
    <m/>
    <n v="14912"/>
    <n v="104"/>
  </r>
  <r>
    <x v="206"/>
    <s v="Torsten Falk"/>
    <d v="2015-07-02T00:00:00"/>
    <m/>
    <s v="Corporate"/>
    <s v="Human Resources (SAP HR and employee stories)"/>
    <s v="No"/>
    <s v="Global"/>
    <n v="1327"/>
    <n v="18"/>
    <s v="-"/>
    <s v="-"/>
    <s v="-"/>
    <s v="-"/>
    <s v="-"/>
    <s v="-"/>
    <m/>
    <m/>
    <n v="1327"/>
    <n v="18"/>
  </r>
  <r>
    <x v="207"/>
    <s v="Catherine Girardin"/>
    <d v="2015-07-02T00:00:00"/>
    <s v="Video"/>
    <s v="Innovation"/>
    <s v="P&amp;I (Research &amp; Development)"/>
    <s v="No"/>
    <s v="EMEA"/>
    <n v="837"/>
    <n v="2"/>
    <s v="-"/>
    <s v="-"/>
    <s v="-"/>
    <s v="-"/>
    <s v="-"/>
    <s v="-"/>
    <m/>
    <m/>
    <n v="837"/>
    <n v="2"/>
  </r>
  <r>
    <x v="208"/>
    <s v="Andrea Diederichs"/>
    <d v="2015-07-03T00:00:00"/>
    <m/>
    <s v="Corporate"/>
    <s v="Office of the CEO"/>
    <s v="No"/>
    <s v="Global"/>
    <n v="3279"/>
    <n v="11"/>
    <s v="-"/>
    <s v="-"/>
    <s v="-"/>
    <s v="-"/>
    <s v="-"/>
    <s v="-"/>
    <m/>
    <m/>
    <n v="3279"/>
    <n v="11"/>
  </r>
  <r>
    <x v="209"/>
    <s v="Bettina Wunderle"/>
    <d v="2015-07-03T00:00:00"/>
    <m/>
    <s v="Innovation"/>
    <s v="P&amp;I (Research &amp; Development)"/>
    <s v="No"/>
    <s v="Global"/>
    <n v="979"/>
    <n v="7"/>
    <s v="-"/>
    <s v="-"/>
    <n v="15"/>
    <n v="0"/>
    <s v="-"/>
    <s v="-"/>
    <m/>
    <m/>
    <n v="994"/>
    <n v="7"/>
  </r>
  <r>
    <x v="210"/>
    <s v="Emily Scorer"/>
    <d v="2015-07-03T00:00:00"/>
    <s v="Video"/>
    <s v="Youth"/>
    <s v="P&amp;I (Research &amp; Development)"/>
    <s v="No"/>
    <s v="EMEA"/>
    <n v="593"/>
    <n v="2"/>
    <s v="-"/>
    <s v="-"/>
    <s v="-"/>
    <s v="-"/>
    <s v="-"/>
    <s v="-"/>
    <m/>
    <m/>
    <n v="593"/>
    <n v="2"/>
  </r>
  <r>
    <x v="211"/>
    <s v="Stephan Magura"/>
    <d v="2015-07-06T00:00:00"/>
    <s v="Video"/>
    <s v="Innovation"/>
    <s v="Business Network (Concur, Ariba, Fieldglass)"/>
    <s v="No"/>
    <s v="Global"/>
    <n v="917"/>
    <n v="2"/>
    <s v="-"/>
    <s v="-"/>
    <n v="546"/>
    <n v="0"/>
    <s v="-"/>
    <s v="-"/>
    <m/>
    <m/>
    <n v="1463"/>
    <n v="2"/>
  </r>
  <r>
    <x v="212"/>
    <s v="Emily Scorer"/>
    <d v="2015-07-07T00:00:00"/>
    <s v="Video"/>
    <s v="Sports"/>
    <s v="GCO – Industry Cloud , GCO – Platform Solutions"/>
    <s v="Yes"/>
    <s v="Global"/>
    <n v="1752"/>
    <n v="9"/>
    <s v="-"/>
    <s v="-"/>
    <n v="122"/>
    <n v="0"/>
    <s v="-"/>
    <s v="-"/>
    <m/>
    <m/>
    <n v="1874"/>
    <n v="9"/>
  </r>
  <r>
    <x v="213"/>
    <s v="Michael Zipf"/>
    <d v="2015-07-09T00:00:00"/>
    <m/>
    <s v="Corporate"/>
    <s v="Human Resources (SAP HR and employee stories)"/>
    <s v="No"/>
    <s v="EMEA"/>
    <n v="2892"/>
    <n v="12"/>
    <s v="-"/>
    <s v="-"/>
    <s v="-"/>
    <s v="-"/>
    <s v="-"/>
    <s v="-"/>
    <m/>
    <m/>
    <n v="2892"/>
    <n v="12"/>
  </r>
  <r>
    <x v="214"/>
    <s v="Emily Scorer"/>
    <d v="2015-07-09T00:00:00"/>
    <s v="Video"/>
    <s v="Corporate"/>
    <s v="Human Resources (SAP HR and employee stories)"/>
    <s v="No"/>
    <s v="Global"/>
    <n v="1588"/>
    <n v="10"/>
    <s v="-"/>
    <s v="-"/>
    <s v="-"/>
    <s v="-"/>
    <s v="-"/>
    <s v="-"/>
    <m/>
    <m/>
    <n v="1588"/>
    <n v="10"/>
  </r>
  <r>
    <x v="215"/>
    <s v="Cecile Yasmin Schreyer"/>
    <d v="2015-07-09T00:00:00"/>
    <m/>
    <s v="Corporate"/>
    <s v="Human Resources (SAP HR and employee stories)"/>
    <s v="No"/>
    <s v="Global"/>
    <n v="765"/>
    <n v="7"/>
    <s v="-"/>
    <s v="-"/>
    <s v="-"/>
    <s v="-"/>
    <s v="-"/>
    <s v="-"/>
    <m/>
    <m/>
    <n v="765"/>
    <n v="7"/>
  </r>
  <r>
    <x v="216"/>
    <s v="Paul Baur"/>
    <d v="2015-07-10T00:00:00"/>
    <s v="Video"/>
    <s v="Innovation"/>
    <s v="P&amp;I (Research &amp; Development)"/>
    <s v="No"/>
    <s v="Global"/>
    <n v="2580"/>
    <n v="5"/>
    <s v="-"/>
    <s v="-"/>
    <n v="639"/>
    <n v="0"/>
    <s v="-"/>
    <s v="-"/>
    <m/>
    <m/>
    <n v="3219"/>
    <n v="5"/>
  </r>
  <r>
    <x v="217"/>
    <s v="Susan Galer"/>
    <d v="2015-07-10T00:00:00"/>
    <m/>
    <s v="Youth"/>
    <s v="Corporate"/>
    <s v="No"/>
    <s v="EMEA"/>
    <n v="438"/>
    <n v="2"/>
    <s v="-"/>
    <s v="-"/>
    <n v="334"/>
    <n v="0"/>
    <s v="-"/>
    <s v="-"/>
    <m/>
    <m/>
    <n v="772"/>
    <n v="2"/>
  </r>
  <r>
    <x v="218"/>
    <s v="Miriam Siebeking"/>
    <d v="2015-07-10T00:00:00"/>
    <m/>
    <s v="Corporate"/>
    <s v="Human Resources (SAP HR and employee stories)"/>
    <s v="No"/>
    <s v="Global"/>
    <n v="1240"/>
    <n v="0"/>
    <s v="-"/>
    <s v="-"/>
    <s v="-"/>
    <s v="-"/>
    <s v="-"/>
    <s v="-"/>
    <m/>
    <m/>
    <n v="1240"/>
    <n v="0"/>
  </r>
  <r>
    <x v="219"/>
    <s v="Robin Meyerhoff"/>
    <d v="2015-07-13T00:00:00"/>
    <s v="Video"/>
    <s v="Corporate"/>
    <s v="GCO – Regions, Human Resources (SAP HR and employee stories)"/>
    <s v="No"/>
    <s v="NA"/>
    <n v="1622"/>
    <n v="17"/>
    <s v="-"/>
    <s v="-"/>
    <s v="-"/>
    <s v="-"/>
    <n v="649"/>
    <n v="0"/>
    <m/>
    <m/>
    <n v="2271"/>
    <n v="17"/>
  </r>
  <r>
    <x v="220"/>
    <s v="Stacy Eidson Comes"/>
    <d v="2015-07-13T00:00:00"/>
    <m/>
    <s v="Innovation"/>
    <s v="GCO – Other"/>
    <s v="No"/>
    <s v="Global"/>
    <n v="887"/>
    <n v="10"/>
    <s v="-"/>
    <s v="-"/>
    <s v="-"/>
    <s v="-"/>
    <s v="-"/>
    <s v="-"/>
    <m/>
    <m/>
    <n v="887"/>
    <n v="10"/>
  </r>
  <r>
    <x v="221"/>
    <s v="Susan Orenstein"/>
    <d v="2015-07-14T00:00:00"/>
    <m/>
    <s v="Corporate"/>
    <s v="Human Resources (SAP HR and employee stories)"/>
    <s v="No"/>
    <s v="NA"/>
    <n v="1279"/>
    <n v="17"/>
    <s v="-"/>
    <s v="-"/>
    <s v="-"/>
    <s v="-"/>
    <s v="-"/>
    <s v="-"/>
    <m/>
    <m/>
    <n v="1279"/>
    <n v="17"/>
  </r>
  <r>
    <x v="222"/>
    <s v="Paul Baur"/>
    <d v="2015-07-14T00:00:00"/>
    <s v="Video, Infographic"/>
    <s v="Innovation"/>
    <s v="P&amp;I (Research &amp; Development)"/>
    <s v="No"/>
    <s v="EMEA"/>
    <n v="1671"/>
    <n v="8"/>
    <s v="-"/>
    <s v="-"/>
    <n v="79"/>
    <n v="0"/>
    <n v="1395"/>
    <n v="0"/>
    <m/>
    <m/>
    <n v="3145"/>
    <n v="8"/>
  </r>
  <r>
    <x v="223"/>
    <s v="Emily Scorer"/>
    <d v="2015-07-15T00:00:00"/>
    <m/>
    <s v="Healthcare"/>
    <s v="Human Resources (SAP HR and employee stories)"/>
    <s v="No"/>
    <s v="EMEA"/>
    <n v="1309"/>
    <n v="9"/>
    <s v="-"/>
    <s v="-"/>
    <s v="-"/>
    <s v="-"/>
    <s v="-"/>
    <s v="-"/>
    <m/>
    <m/>
    <n v="1309"/>
    <n v="9"/>
  </r>
  <r>
    <x v="224"/>
    <s v="Emily Scorer"/>
    <d v="2015-07-16T00:00:00"/>
    <s v="Video"/>
    <s v="Innovation"/>
    <s v="Corporate"/>
    <s v="No"/>
    <s v="LATAM"/>
    <n v="2127"/>
    <n v="18"/>
    <s v="-"/>
    <s v="-"/>
    <s v="-"/>
    <s v="-"/>
    <s v="-"/>
    <s v="-"/>
    <m/>
    <m/>
    <n v="2127"/>
    <n v="18"/>
  </r>
  <r>
    <x v="225"/>
    <s v="Caroline Kohout"/>
    <d v="2015-07-17T00:00:00"/>
    <m/>
    <s v="Corporate"/>
    <s v="Human Resources (SAP HR and employee stories)"/>
    <s v="No"/>
    <s v="NA"/>
    <n v="1503"/>
    <n v="28"/>
    <s v="-"/>
    <s v="-"/>
    <s v="-"/>
    <s v="-"/>
    <s v="-"/>
    <s v="-"/>
    <m/>
    <m/>
    <n v="1503"/>
    <n v="28"/>
  </r>
  <r>
    <x v="226"/>
    <s v="Miriam Siebeking"/>
    <d v="2015-07-17T00:00:00"/>
    <m/>
    <s v="Innovation"/>
    <s v="P&amp;I (Research &amp; Development)"/>
    <s v="No"/>
    <s v="EMEA"/>
    <n v="1171"/>
    <n v="1"/>
    <s v="-"/>
    <s v="-"/>
    <s v="-"/>
    <s v="-"/>
    <n v="45"/>
    <n v="0"/>
    <m/>
    <m/>
    <n v="1216"/>
    <n v="1"/>
  </r>
  <r>
    <x v="227"/>
    <s v="Aidan Hyland"/>
    <d v="2015-07-20T00:00:00"/>
    <s v="Video, Infographic"/>
    <s v="Innovation"/>
    <s v="Corporate"/>
    <s v="No"/>
    <s v="Global"/>
    <n v="5959"/>
    <n v="53"/>
    <s v="-"/>
    <s v="-"/>
    <s v="-"/>
    <s v="-"/>
    <s v="-"/>
    <s v="-"/>
    <m/>
    <m/>
    <n v="5959"/>
    <n v="53"/>
  </r>
  <r>
    <x v="228"/>
    <s v="Stephan Magura"/>
    <d v="2015-07-20T00:00:00"/>
    <s v="Video, Infographic"/>
    <s v="Healthcare"/>
    <s v="Business Network (Concur, Ariba, Fieldglass)"/>
    <s v="Yes"/>
    <s v="EMEA"/>
    <n v="1010"/>
    <n v="10"/>
    <s v="-"/>
    <s v="-"/>
    <n v="119"/>
    <n v="0"/>
    <n v="269"/>
    <n v="0"/>
    <m/>
    <m/>
    <n v="1398"/>
    <n v="10"/>
  </r>
  <r>
    <x v="229"/>
    <s v="Jackie Montesinos Suarez"/>
    <d v="2015-07-21T00:00:00"/>
    <s v="Video"/>
    <s v="Innovation"/>
    <s v="GCO – Other"/>
    <s v="Yes"/>
    <s v="NA, LATAM, EMEA"/>
    <n v="727"/>
    <n v="15"/>
    <s v="-"/>
    <s v="-"/>
    <s v="-"/>
    <s v="-"/>
    <n v="785"/>
    <n v="0"/>
    <m/>
    <m/>
    <n v="1512"/>
    <n v="15"/>
  </r>
  <r>
    <x v="230"/>
    <s v="Paul Baur"/>
    <d v="2015-07-21T00:00:00"/>
    <s v="Video"/>
    <s v="Innovation"/>
    <s v="Corporate"/>
    <s v="No"/>
    <s v="Global"/>
    <n v="4066"/>
    <n v="2"/>
    <s v="-"/>
    <s v="-"/>
    <n v="843"/>
    <n v="0"/>
    <s v="-"/>
    <s v="-"/>
    <m/>
    <m/>
    <n v="4909"/>
    <n v="2"/>
  </r>
  <r>
    <x v="231"/>
    <s v="Tanja Schaetz-Kruft"/>
    <d v="2015-07-21T00:00:00"/>
    <m/>
    <s v="Innovation"/>
    <s v="GCO – Other"/>
    <s v="No"/>
    <s v="Global"/>
    <n v="593"/>
    <n v="1"/>
    <s v="-"/>
    <s v="-"/>
    <s v="-"/>
    <s v="-"/>
    <s v="-"/>
    <s v="-"/>
    <m/>
    <m/>
    <n v="593"/>
    <n v="1"/>
  </r>
  <r>
    <x v="232"/>
    <s v="Paul Baur"/>
    <d v="2015-07-22T00:00:00"/>
    <s v="Video"/>
    <s v="Corporate"/>
    <s v="Corporate"/>
    <s v="No"/>
    <s v="Global"/>
    <n v="4134"/>
    <n v="0"/>
    <s v="-"/>
    <s v="-"/>
    <s v="-"/>
    <s v="-"/>
    <s v="-"/>
    <s v="-"/>
    <m/>
    <m/>
    <n v="4134"/>
    <n v="0"/>
  </r>
  <r>
    <x v="233"/>
    <s v="Judith Magyar"/>
    <d v="2015-07-22T00:00:00"/>
    <m/>
    <s v="Innovation"/>
    <s v="Business Network (Concur, Ariba, Fieldglass)"/>
    <s v="No"/>
    <s v="Global"/>
    <n v="831"/>
    <n v="0"/>
    <s v="-"/>
    <s v="-"/>
    <n v="77"/>
    <n v="0"/>
    <n v="582"/>
    <n v="0"/>
    <m/>
    <m/>
    <n v="1490"/>
    <n v="0"/>
  </r>
  <r>
    <x v="234"/>
    <s v="Paul Taylor"/>
    <d v="2015-07-23T00:00:00"/>
    <s v="Infographic"/>
    <s v="Corporate"/>
    <s v="Corporate"/>
    <s v="No"/>
    <s v="NA"/>
    <n v="1089"/>
    <n v="7"/>
    <n v="734"/>
    <n v="0"/>
    <s v="-"/>
    <s v="-"/>
    <s v="-"/>
    <s v="-"/>
    <m/>
    <m/>
    <n v="1823"/>
    <n v="7"/>
  </r>
  <r>
    <x v="235"/>
    <s v="Paul Baur"/>
    <d v="2015-07-23T00:00:00"/>
    <s v="Video"/>
    <s v="Innovation"/>
    <s v="P&amp;I (Research &amp; Development)"/>
    <s v="No"/>
    <s v="EMEA"/>
    <n v="844"/>
    <n v="1"/>
    <s v="-"/>
    <s v="-"/>
    <s v="-"/>
    <s v="-"/>
    <n v="900"/>
    <n v="0"/>
    <m/>
    <m/>
    <n v="1744"/>
    <n v="1"/>
  </r>
  <r>
    <x v="236"/>
    <s v="Judith Magyar"/>
    <d v="2015-07-24T00:00:00"/>
    <m/>
    <s v="Corporate"/>
    <s v="Office of the CEO"/>
    <s v="No"/>
    <s v="Global"/>
    <n v="2267"/>
    <n v="8"/>
    <s v="-"/>
    <s v="-"/>
    <s v="-"/>
    <s v="-"/>
    <s v="-"/>
    <s v="-"/>
    <m/>
    <m/>
    <n v="2267"/>
    <n v="8"/>
  </r>
  <r>
    <x v="237"/>
    <s v="Michael Zipf"/>
    <d v="2015-07-24T00:00:00"/>
    <s v="Infographic"/>
    <s v="Innovation"/>
    <s v="GCO – Regions"/>
    <s v="Yes"/>
    <s v="EMEA"/>
    <n v="779"/>
    <n v="3"/>
    <s v="-"/>
    <s v="-"/>
    <n v="22"/>
    <n v="0"/>
    <s v="-"/>
    <s v="-"/>
    <m/>
    <m/>
    <n v="801"/>
    <n v="3"/>
  </r>
  <r>
    <x v="238"/>
    <s v="Heidi Ferguson-Mueller"/>
    <d v="2015-07-27T00:00:00"/>
    <s v="Infographic"/>
    <s v="Corporate"/>
    <s v="GCO – Other"/>
    <s v="No"/>
    <s v="Global"/>
    <n v="946"/>
    <n v="2"/>
    <s v="-"/>
    <s v="-"/>
    <s v="-"/>
    <s v="-"/>
    <s v="-"/>
    <s v="-"/>
    <m/>
    <m/>
    <n v="946"/>
    <n v="2"/>
  </r>
  <r>
    <x v="239"/>
    <s v="Corinna Machmeier"/>
    <d v="2015-07-27T00:00:00"/>
    <s v="Video"/>
    <s v="Sports, Youth"/>
    <s v="P&amp;I (Research &amp; Development)"/>
    <s v="No"/>
    <s v="EMEA"/>
    <n v="534"/>
    <n v="1"/>
    <s v="-"/>
    <s v="-"/>
    <s v="-"/>
    <s v="-"/>
    <n v="720"/>
    <n v="0"/>
    <m/>
    <m/>
    <n v="1254"/>
    <n v="1"/>
  </r>
  <r>
    <x v="240"/>
    <s v="Stephan Kamps"/>
    <d v="2015-07-28T00:00:00"/>
    <m/>
    <s v="Innovation"/>
    <s v="Corporate"/>
    <s v="No"/>
    <s v="Global"/>
    <n v="2879"/>
    <n v="11"/>
    <s v="-"/>
    <s v="-"/>
    <s v="-"/>
    <s v="-"/>
    <s v="-"/>
    <s v="-"/>
    <m/>
    <m/>
    <n v="2879"/>
    <n v="11"/>
  </r>
  <r>
    <x v="241"/>
    <s v="Susan Galer"/>
    <d v="2015-07-28T00:00:00"/>
    <m/>
    <s v="Corporate"/>
    <s v="Human Resources (SAP HR and employee stories)"/>
    <s v="No"/>
    <s v="EMEA"/>
    <n v="1237"/>
    <n v="9"/>
    <s v="-"/>
    <s v="-"/>
    <n v="1061"/>
    <n v="0"/>
    <s v="-"/>
    <s v="-"/>
    <m/>
    <m/>
    <n v="2298"/>
    <n v="9"/>
  </r>
  <r>
    <x v="242"/>
    <s v="Sarah Kellman"/>
    <d v="2015-07-29T00:00:00"/>
    <s v="Infographic"/>
    <s v="Innovation"/>
    <s v="GCO – Industry Cloud , GCO – Regions"/>
    <s v="Yes"/>
    <s v="EMEA"/>
    <n v="1297"/>
    <n v="26"/>
    <s v="-"/>
    <s v="-"/>
    <s v="-"/>
    <s v="-"/>
    <s v="-"/>
    <s v="-"/>
    <m/>
    <m/>
    <n v="1297"/>
    <n v="26"/>
  </r>
  <r>
    <x v="243"/>
    <s v="Jeff Woods"/>
    <d v="2015-07-30T00:00:00"/>
    <m/>
    <s v="Innovation"/>
    <s v="Corporate"/>
    <s v="No"/>
    <s v="Global"/>
    <n v="1002"/>
    <n v="5"/>
    <s v="-"/>
    <s v="-"/>
    <n v="96"/>
    <n v="0"/>
    <s v="-"/>
    <s v="-"/>
    <m/>
    <m/>
    <n v="1098"/>
    <n v="5"/>
  </r>
  <r>
    <x v="244"/>
    <s v="Stephan Magura"/>
    <d v="2015-07-30T00:00:00"/>
    <s v="Video"/>
    <s v="Innovation, Youth"/>
    <s v="Corporate"/>
    <s v="Yes"/>
    <s v="EMEA"/>
    <n v="712"/>
    <n v="3"/>
    <s v="-"/>
    <s v="-"/>
    <s v="-"/>
    <s v="-"/>
    <s v="-"/>
    <s v="-"/>
    <m/>
    <m/>
    <n v="712"/>
    <n v="3"/>
  </r>
  <r>
    <x v="245"/>
    <s v="Jackie Montesinos Suarez"/>
    <d v="2015-07-31T00:00:00"/>
    <s v="Video"/>
    <s v="Innovation"/>
    <s v="GCO – Regions, GCO – Platform Solutions"/>
    <s v="No"/>
    <s v="EMEA"/>
    <n v="1225"/>
    <n v="12"/>
    <s v="-"/>
    <s v="-"/>
    <n v="164"/>
    <n v="0"/>
    <s v="-"/>
    <s v="-"/>
    <m/>
    <m/>
    <n v="1389"/>
    <n v="12"/>
  </r>
  <r>
    <x v="246"/>
    <s v="Jhon Ward"/>
    <d v="2015-07-31T00:00:00"/>
    <s v="Infographic"/>
    <s v="Youth"/>
    <s v="Corporate"/>
    <s v="No"/>
    <s v="Global"/>
    <n v="512"/>
    <n v="1"/>
    <n v="4458"/>
    <n v="0"/>
    <n v="39"/>
    <n v="0"/>
    <s v="-"/>
    <s v="-"/>
    <m/>
    <m/>
    <n v="5009"/>
    <n v="1"/>
  </r>
  <r>
    <x v="247"/>
    <s v="Michael Zipf"/>
    <d v="2015-08-03T00:00:00"/>
    <s v="Video"/>
    <s v="Sports"/>
    <s v="Human Resources (SAP HR and employee stories)"/>
    <s v="No"/>
    <s v="EMEA"/>
    <n v="1791"/>
    <n v="48"/>
    <s v="-"/>
    <s v="-"/>
    <n v="223"/>
    <n v="0"/>
    <s v="-"/>
    <s v="-"/>
    <n v="75788"/>
    <n v="0"/>
    <n v="2014"/>
    <n v="48"/>
  </r>
  <r>
    <x v="248"/>
    <s v="Robin Meyerhoff"/>
    <d v="2015-08-04T00:00:00"/>
    <s v="Video"/>
    <s v="Innovation"/>
    <s v="P&amp;I (Research &amp; Development)"/>
    <s v="No"/>
    <s v="NA"/>
    <n v="786"/>
    <n v="4"/>
    <n v="1890"/>
    <n v="0"/>
    <n v="42"/>
    <n v="0"/>
    <n v="1037"/>
    <n v="0"/>
    <n v="105718"/>
    <n v="14"/>
    <n v="3755"/>
    <n v="4"/>
  </r>
  <r>
    <x v="249"/>
    <s v="Stephan Magura"/>
    <d v="2015-08-05T00:00:00"/>
    <s v="Video"/>
    <s v="Innovation"/>
    <s v="GPO (Partner, Ecosystem, Channels)"/>
    <s v="Yes"/>
    <s v="EMEA"/>
    <n v="1139"/>
    <n v="4"/>
    <s v="-"/>
    <s v="-"/>
    <n v="213"/>
    <n v="0"/>
    <s v="-"/>
    <s v="-"/>
    <m/>
    <m/>
    <n v="1352"/>
    <n v="4"/>
  </r>
  <r>
    <x v="250"/>
    <s v="Robin Meyerhoff"/>
    <d v="2015-08-06T00:00:00"/>
    <m/>
    <s v="Corporate"/>
    <s v="GCO – Regions"/>
    <s v="No"/>
    <s v="EMEA"/>
    <n v="1307"/>
    <n v="13"/>
    <s v="-"/>
    <s v="-"/>
    <s v="-"/>
    <s v="-"/>
    <n v="839"/>
    <n v="0"/>
    <m/>
    <m/>
    <n v="2146"/>
    <n v="13"/>
  </r>
  <r>
    <x v="251"/>
    <s v="Gillian Lindsell"/>
    <d v="2015-08-06T00:00:00"/>
    <m/>
    <s v="Youth"/>
    <s v="GCO – Regions"/>
    <s v="No"/>
    <s v="EMEA"/>
    <n v="492"/>
    <n v="6"/>
    <s v="-"/>
    <s v="-"/>
    <n v="181"/>
    <n v="0"/>
    <s v="-"/>
    <s v="-"/>
    <m/>
    <m/>
    <n v="673"/>
    <n v="6"/>
  </r>
  <r>
    <x v="252"/>
    <s v="Cornelia Weiss-Justen"/>
    <d v="2015-08-07T00:00:00"/>
    <s v="Video"/>
    <s v="Sports"/>
    <s v="Corporate"/>
    <s v="No"/>
    <s v="EMEA"/>
    <n v="1599"/>
    <n v="7"/>
    <s v="-"/>
    <s v="-"/>
    <n v="39"/>
    <n v="0"/>
    <s v="-"/>
    <s v="-"/>
    <m/>
    <m/>
    <n v="1638"/>
    <n v="7"/>
  </r>
  <r>
    <x v="253"/>
    <s v="Miriam Siebeking"/>
    <d v="2015-08-10T00:00:00"/>
    <m/>
    <s v="Corporate"/>
    <s v="Human Resources (SAP HR and employee stories)"/>
    <s v="No"/>
    <s v="Global"/>
    <n v="1065"/>
    <n v="0"/>
    <s v="-"/>
    <s v="-"/>
    <s v="-"/>
    <s v="-"/>
    <s v="-"/>
    <s v="-"/>
    <m/>
    <m/>
    <n v="1065"/>
    <n v="0"/>
  </r>
  <r>
    <x v="254"/>
    <s v="Charlotte Otter"/>
    <d v="2015-08-11T00:00:00"/>
    <s v="Video"/>
    <s v="Innovation"/>
    <s v="Corporate"/>
    <s v="No"/>
    <s v="Global"/>
    <n v="2480"/>
    <n v="3"/>
    <s v="-"/>
    <s v="-"/>
    <n v="94"/>
    <n v="0"/>
    <s v="-"/>
    <s v="-"/>
    <n v="76148"/>
    <n v="5"/>
    <n v="2574"/>
    <n v="3"/>
  </r>
  <r>
    <x v="255"/>
    <s v="Debra Curtis-Magley"/>
    <d v="2015-08-12T00:00:00"/>
    <s v="Video"/>
    <s v="Innovation"/>
    <s v="Business Network (Concur, Ariba, Fieldglass)"/>
    <s v="No"/>
    <s v="EMEA"/>
    <n v="1026"/>
    <n v="8"/>
    <s v="-"/>
    <s v="-"/>
    <n v="119"/>
    <n v="0"/>
    <n v="4188"/>
    <n v="0"/>
    <m/>
    <m/>
    <n v="5333"/>
    <n v="8"/>
  </r>
  <r>
    <x v="256"/>
    <s v="Stephan Magura"/>
    <d v="2015-08-13T00:00:00"/>
    <s v="Video"/>
    <s v="Innovation"/>
    <s v="GCO – Services Sales, GCO – Customer Engagement &amp; Commerce (CRM &amp; hybris) "/>
    <s v="No"/>
    <s v="Global"/>
    <n v="1378"/>
    <n v="2"/>
    <s v="-"/>
    <s v="-"/>
    <s v="-"/>
    <s v="-"/>
    <s v="-"/>
    <s v="-"/>
    <m/>
    <m/>
    <n v="1378"/>
    <n v="2"/>
  </r>
  <r>
    <x v="257"/>
    <s v="Judith Magyar"/>
    <d v="2015-08-17T00:00:00"/>
    <s v="Infographic"/>
    <s v="Sports"/>
    <s v="P&amp;I (Research &amp; Development), GCO – Industry Cloud "/>
    <s v="No"/>
    <s v="Global"/>
    <n v="1391"/>
    <n v="5"/>
    <n v="5602"/>
    <n v="0"/>
    <n v="262"/>
    <n v="0"/>
    <s v="-"/>
    <s v="-"/>
    <n v="96497"/>
    <n v="7"/>
    <n v="7255"/>
    <n v="5"/>
  </r>
  <r>
    <x v="258"/>
    <s v="Nadine Huelsen"/>
    <d v="2015-08-18T00:00:00"/>
    <m/>
    <s v="Innovation"/>
    <s v="Corporate"/>
    <s v="No"/>
    <s v="APJ"/>
    <n v="1630"/>
    <n v="26"/>
    <n v="12669"/>
    <n v="2"/>
    <n v="151"/>
    <n v="0"/>
    <n v="4177"/>
    <n v="12"/>
    <m/>
    <m/>
    <n v="18627"/>
    <n v="40"/>
  </r>
  <r>
    <x v="259"/>
    <s v="Tim Clark"/>
    <d v="2015-08-19T00:00:00"/>
    <m/>
    <s v="Corporate"/>
    <s v="Corporate"/>
    <s v="No"/>
    <s v="NA"/>
    <n v="806"/>
    <n v="8"/>
    <n v="268"/>
    <n v="0"/>
    <s v="-"/>
    <s v="-"/>
    <n v="990"/>
    <n v="0"/>
    <m/>
    <m/>
    <n v="2064"/>
    <n v="8"/>
  </r>
  <r>
    <x v="260"/>
    <s v="Robin Meyerhoff"/>
    <d v="2015-08-20T00:00:00"/>
    <s v="Video"/>
    <s v="Innovation"/>
    <s v="GCO – Regions"/>
    <s v="Yes"/>
    <s v="EMEA"/>
    <n v="979"/>
    <n v="6"/>
    <s v="-"/>
    <s v="-"/>
    <n v="117"/>
    <n v="0"/>
    <n v="1272"/>
    <n v="0"/>
    <n v="76512"/>
    <n v="3"/>
    <n v="2368"/>
    <n v="6"/>
  </r>
  <r>
    <x v="261"/>
    <s v="Susan Galer"/>
    <d v="2015-08-21T00:00:00"/>
    <m/>
    <s v="Innovation"/>
    <s v="GCO – HR (SuccessFactors)"/>
    <s v="No"/>
    <s v="Global"/>
    <n v="1366"/>
    <n v="5"/>
    <n v="2114"/>
    <n v="0"/>
    <s v="-"/>
    <s v="-"/>
    <n v="735"/>
    <n v="1"/>
    <m/>
    <m/>
    <n v="4215"/>
    <n v="6"/>
  </r>
  <r>
    <x v="262"/>
    <s v="Baerbel Schultz"/>
    <d v="2015-08-24T00:00:00"/>
    <m/>
    <s v="Innovation"/>
    <s v="P&amp;I (Research &amp; Development)"/>
    <s v="No"/>
    <s v="EMEA"/>
    <n v="932"/>
    <n v="2"/>
    <s v="-"/>
    <s v="-"/>
    <n v="236"/>
    <n v="0"/>
    <s v="-"/>
    <s v="-"/>
    <m/>
    <m/>
    <n v="1168"/>
    <n v="2"/>
  </r>
  <r>
    <x v="263"/>
    <s v="Jhon Ward"/>
    <d v="2015-08-25T00:00:00"/>
    <s v="Video"/>
    <s v="Sports"/>
    <s v="GCO – Industry Cloud , GCO – Platform Solutions"/>
    <s v="Yes"/>
    <s v="EMEA"/>
    <n v="577"/>
    <n v="0"/>
    <s v="-"/>
    <s v="-"/>
    <n v="189"/>
    <n v="0"/>
    <s v="-"/>
    <s v="-"/>
    <m/>
    <m/>
    <n v="766"/>
    <n v="0"/>
  </r>
  <r>
    <x v="241"/>
    <s v="Susan Galer"/>
    <d v="2015-08-26T00:00:00"/>
    <m/>
    <s v="Innovation"/>
    <s v="Human Resources (SAP HR and employee stories)"/>
    <s v="No"/>
    <s v="EMEA"/>
    <n v="5117"/>
    <n v="117"/>
    <s v="-"/>
    <s v="-"/>
    <n v="1883"/>
    <n v="0"/>
    <n v="841"/>
    <n v="0"/>
    <m/>
    <m/>
    <n v="7841"/>
    <n v="117"/>
  </r>
  <r>
    <x v="264"/>
    <s v="Paul Taylor"/>
    <d v="2015-08-26T00:00:00"/>
    <s v="Infographic"/>
    <s v="Innovation"/>
    <s v="Office of the CEO"/>
    <s v="No"/>
    <s v="Global"/>
    <n v="2454"/>
    <n v="9"/>
    <n v="2830"/>
    <n v="0"/>
    <s v="-"/>
    <s v="-"/>
    <n v="740"/>
    <n v="0"/>
    <m/>
    <m/>
    <n v="6024"/>
    <n v="9"/>
  </r>
  <r>
    <x v="265"/>
    <s v="Derek Klobucher"/>
    <d v="2015-08-28T00:00:00"/>
    <m/>
    <s v="Innovation"/>
    <s v="Corporate"/>
    <s v="No"/>
    <s v="Global"/>
    <n v="1663"/>
    <n v="20"/>
    <n v="1106"/>
    <n v="2"/>
    <n v="78"/>
    <n v="0"/>
    <s v="-"/>
    <s v="-"/>
    <m/>
    <m/>
    <n v="2847"/>
    <n v="22"/>
  </r>
  <r>
    <x v="266"/>
    <s v="Lynda Seger"/>
    <d v="2015-08-31T00:00:00"/>
    <m/>
    <s v="Sports"/>
    <s v="GCO – Industry Cloud "/>
    <s v="Yes"/>
    <s v="EMEA"/>
    <n v="801"/>
    <n v="3"/>
    <s v="-"/>
    <s v="-"/>
    <n v="69"/>
    <n v="0"/>
    <s v="-"/>
    <s v="-"/>
    <m/>
    <m/>
    <n v="870"/>
    <n v="3"/>
  </r>
  <r>
    <x v="267"/>
    <s v="Judith Magyar"/>
    <d v="2015-09-01T00:00:00"/>
    <s v="Infographic, Video"/>
    <s v="Innovation"/>
    <s v="GCO – Platform Solutions, GCO – Customer Engagement &amp; Commerce (CRM &amp; hybris) "/>
    <s v="No"/>
    <s v="Global"/>
    <n v="1884"/>
    <n v="5"/>
    <s v="-"/>
    <s v="-"/>
    <s v="-"/>
    <s v="-"/>
    <s v="-"/>
    <s v="-"/>
    <m/>
    <m/>
    <n v="1884"/>
    <n v="5"/>
  </r>
  <r>
    <x v="268"/>
    <s v="Jacqueline Prause"/>
    <d v="2015-09-03T00:00:00"/>
    <s v="Video"/>
    <s v="Corporate"/>
    <s v="GPO (Partner, Ecosystem, Channels)"/>
    <s v="No"/>
    <s v="Global"/>
    <n v="765"/>
    <n v="5"/>
    <s v="-"/>
    <s v="-"/>
    <n v="98"/>
    <n v="0"/>
    <s v="-"/>
    <s v="-"/>
    <m/>
    <m/>
    <n v="863"/>
    <n v="5"/>
  </r>
  <r>
    <x v="269"/>
    <s v="Paul Baur"/>
    <d v="2015-09-08T00:00:00"/>
    <s v="Video"/>
    <s v="Corporate"/>
    <s v="Corporate"/>
    <s v="No"/>
    <s v="Global"/>
    <n v="2383"/>
    <n v="14"/>
    <s v="-"/>
    <s v="-"/>
    <s v="-"/>
    <s v="-"/>
    <s v="-"/>
    <s v="-"/>
    <m/>
    <m/>
    <n v="2383"/>
    <n v="14"/>
  </r>
  <r>
    <x v="270"/>
    <s v="Judith Magyar"/>
    <d v="2015-09-08T00:00:00"/>
    <s v="Infographic"/>
    <s v="Innovation"/>
    <s v="GCO – Other"/>
    <s v="No"/>
    <s v="Global"/>
    <n v="3075"/>
    <n v="9"/>
    <s v="-"/>
    <s v="-"/>
    <s v="-"/>
    <s v="-"/>
    <s v="-"/>
    <s v="-"/>
    <m/>
    <m/>
    <n v="3075"/>
    <n v="9"/>
  </r>
  <r>
    <x v="271"/>
    <s v="Michael Zipf"/>
    <d v="2015-09-09T00:00:00"/>
    <m/>
    <s v="Corporate"/>
    <s v="Corporate"/>
    <s v="No"/>
    <s v="EMEA"/>
    <n v="6559"/>
    <n v="67"/>
    <s v="-"/>
    <s v="-"/>
    <s v="-"/>
    <s v="-"/>
    <s v="-"/>
    <s v="-"/>
    <m/>
    <m/>
    <n v="6559"/>
    <n v="67"/>
  </r>
  <r>
    <x v="272"/>
    <s v="Paul Baur"/>
    <d v="2015-09-10T00:00:00"/>
    <s v="Video"/>
    <s v="Healthcare"/>
    <s v="P&amp;I (Research &amp; Development)"/>
    <s v="No"/>
    <s v="Global"/>
    <n v="1237"/>
    <n v="2"/>
    <s v="-"/>
    <s v="-"/>
    <n v="109"/>
    <n v="0"/>
    <n v="548"/>
    <n v="0"/>
    <m/>
    <m/>
    <n v="1894"/>
    <n v="2"/>
  </r>
  <r>
    <x v="273"/>
    <s v="Judith Magyar"/>
    <d v="2015-09-11T00:00:00"/>
    <s v="Video"/>
    <s v="Healthcare"/>
    <s v="GCO – Industry Cloud , GCO – Platform Solutions"/>
    <s v="Yes"/>
    <s v="Global"/>
    <n v="1436"/>
    <n v="1"/>
    <s v="-"/>
    <s v="-"/>
    <n v="228"/>
    <n v="0"/>
    <n v="883"/>
    <n v="3"/>
    <m/>
    <m/>
    <n v="2547"/>
    <n v="4"/>
  </r>
  <r>
    <x v="274"/>
    <s v="Miriam Siebeking"/>
    <d v="2015-09-14T00:00:00"/>
    <m/>
    <s v="Corporate"/>
    <s v="Human Resources (SAP HR and employee stories)"/>
    <s v="No"/>
    <s v="Global"/>
    <n v="1073"/>
    <n v="0"/>
    <s v="-"/>
    <s v="-"/>
    <s v="-"/>
    <s v="-"/>
    <s v="-"/>
    <s v="-"/>
    <m/>
    <m/>
    <n v="1073"/>
    <n v="0"/>
  </r>
  <r>
    <x v="275"/>
    <s v="Paul Taylor"/>
    <d v="2015-09-15T00:00:00"/>
    <m/>
    <s v="Innovation"/>
    <s v="GCO – Customer Engagement &amp; Commerce (CRM &amp; hybris) "/>
    <s v="No"/>
    <s v="Global"/>
    <n v="2143"/>
    <n v="3"/>
    <s v="-"/>
    <s v="-"/>
    <n v="484"/>
    <n v="0"/>
    <s v="-"/>
    <s v="-"/>
    <n v="78019"/>
    <n v="7"/>
    <n v="2627"/>
    <n v="3"/>
  </r>
  <r>
    <x v="276"/>
    <s v="Andrea Diederichs"/>
    <d v="2015-09-15T00:00:00"/>
    <s v="Infographic"/>
    <s v="Corporate"/>
    <s v="Corporate"/>
    <s v="No"/>
    <s v="Global"/>
    <n v="1514"/>
    <n v="1"/>
    <s v="-"/>
    <s v="-"/>
    <s v="-"/>
    <s v="-"/>
    <s v="-"/>
    <s v="-"/>
    <m/>
    <m/>
    <n v="1514"/>
    <n v="1"/>
  </r>
  <r>
    <x v="277"/>
    <s v="Paul Baur"/>
    <d v="2015-09-16T00:00:00"/>
    <m/>
    <s v="Corporate"/>
    <s v="Office of the CEO"/>
    <s v="No"/>
    <s v="Global"/>
    <n v="27449"/>
    <n v="359"/>
    <s v="-"/>
    <s v="-"/>
    <s v="-"/>
    <s v="-"/>
    <s v="-"/>
    <s v="-"/>
    <m/>
    <m/>
    <n v="27449"/>
    <n v="359"/>
  </r>
  <r>
    <x v="278"/>
    <s v="Paul Taylor"/>
    <d v="2015-09-16T00:00:00"/>
    <s v="Infographic"/>
    <s v="Innovation"/>
    <s v="GCO – Customer Engagement &amp; Commerce (CRM &amp; hybris) "/>
    <s v="No"/>
    <s v="Global"/>
    <n v="2130"/>
    <n v="7"/>
    <n v="1772"/>
    <n v="0"/>
    <n v="149"/>
    <n v="0"/>
    <n v="7140"/>
    <n v="1"/>
    <n v="78209"/>
    <n v="10"/>
    <n v="11191"/>
    <n v="8"/>
  </r>
  <r>
    <x v="279"/>
    <s v="Torsten Falk"/>
    <d v="2015-09-17T00:00:00"/>
    <m/>
    <s v="Corporate"/>
    <s v="Corporate"/>
    <s v="No"/>
    <s v="Global"/>
    <n v="2753"/>
    <n v="19"/>
    <s v="-"/>
    <s v="-"/>
    <s v="-"/>
    <s v="-"/>
    <s v="-"/>
    <s v="-"/>
    <m/>
    <m/>
    <n v="2753"/>
    <n v="19"/>
  </r>
  <r>
    <x v="280"/>
    <s v="Cornelia Weiss-Justen"/>
    <d v="2015-09-22T00:00:00"/>
    <s v="Video"/>
    <s v="Sports"/>
    <s v="GCO – Platform Solutions, GCO – Industry Cloud "/>
    <s v="Yes"/>
    <s v="Global"/>
    <n v="862"/>
    <n v="3"/>
    <s v="-"/>
    <s v="-"/>
    <n v="63"/>
    <n v="0"/>
    <s v="-"/>
    <s v="-"/>
    <m/>
    <m/>
    <n v="925"/>
    <n v="3"/>
  </r>
  <r>
    <x v="281"/>
    <s v="Kesja Cichowski"/>
    <d v="2015-09-23T00:00:00"/>
    <m/>
    <s v="Corporate"/>
    <s v="Corporate"/>
    <s v="Yes"/>
    <s v="Global"/>
    <n v="1215"/>
    <n v="4"/>
    <s v="-"/>
    <s v="-"/>
    <s v="-"/>
    <s v="-"/>
    <s v="-"/>
    <s v="-"/>
    <m/>
    <m/>
    <n v="1215"/>
    <n v="4"/>
  </r>
  <r>
    <x v="282"/>
    <s v="Judith Magyar"/>
    <d v="2015-09-25T00:00:00"/>
    <s v="Video"/>
    <s v="Innovation"/>
    <s v="GCO – Industry Cloud , GCO – Platform Solutions, GCO – Regions"/>
    <s v="Yes"/>
    <s v="LATAM"/>
    <n v="1209"/>
    <n v="9"/>
    <n v="1151"/>
    <n v="0"/>
    <n v="195"/>
    <n v="0"/>
    <s v="-"/>
    <s v="-"/>
    <m/>
    <m/>
    <n v="2555"/>
    <n v="9"/>
  </r>
  <r>
    <x v="283"/>
    <s v="Andreas Schmitz"/>
    <d v="2015-09-25T00:00:00"/>
    <m/>
    <s v="Innovation"/>
    <s v="GCO – Other"/>
    <s v="No"/>
    <s v="Global"/>
    <n v="1671"/>
    <n v="6"/>
    <s v="-"/>
    <s v="-"/>
    <s v="-"/>
    <s v="-"/>
    <s v="-"/>
    <s v="-"/>
    <m/>
    <m/>
    <n v="1671"/>
    <n v="6"/>
  </r>
  <r>
    <x v="284"/>
    <s v="Michael Zipf"/>
    <d v="2015-09-25T00:00:00"/>
    <s v="Video"/>
    <s v="Innovation"/>
    <s v="P&amp;I (Research &amp; Development), GCO – Industry Cloud "/>
    <s v="No"/>
    <s v="Global"/>
    <n v="530"/>
    <n v="0"/>
    <s v="-"/>
    <s v="-"/>
    <n v="187"/>
    <n v="0"/>
    <n v="807"/>
    <n v="0"/>
    <m/>
    <m/>
    <n v="1524"/>
    <n v="0"/>
  </r>
  <r>
    <x v="285"/>
    <s v="Paul Taylor"/>
    <d v="2015-09-28T00:00:00"/>
    <m/>
    <s v="Innovation"/>
    <s v="GCO – Platform Solutions"/>
    <s v="No"/>
    <s v="Global"/>
    <n v="1187"/>
    <n v="2"/>
    <n v="982"/>
    <n v="0"/>
    <n v="114"/>
    <n v="0"/>
    <n v="787"/>
    <n v="0"/>
    <m/>
    <m/>
    <n v="3070"/>
    <n v="2"/>
  </r>
  <r>
    <x v="286"/>
    <s v="Sam Yen"/>
    <d v="2015-09-29T00:00:00"/>
    <m/>
    <s v="Innovation"/>
    <s v="P&amp;I (Research &amp; Development)"/>
    <s v="No"/>
    <s v="Global"/>
    <n v="1761"/>
    <n v="5"/>
    <n v="4650"/>
    <n v="1"/>
    <n v="275"/>
    <n v="0"/>
    <s v="-"/>
    <s v="-"/>
    <m/>
    <m/>
    <n v="6686"/>
    <n v="6"/>
  </r>
  <r>
    <x v="287"/>
    <s v="Sarah Kellman"/>
    <d v="2015-09-30T00:00:00"/>
    <s v="Infographic, Video"/>
    <s v="Corporate"/>
    <s v="Corporate"/>
    <s v="No"/>
    <s v="Global"/>
    <n v="2814"/>
    <n v="11"/>
    <s v="-"/>
    <s v="-"/>
    <s v="-"/>
    <s v="-"/>
    <s v="-"/>
    <s v="-"/>
    <m/>
    <m/>
    <n v="2814"/>
    <n v="11"/>
  </r>
  <r>
    <x v="288"/>
    <s v="Thorsten Leiduck"/>
    <d v="2015-09-30T00:00:00"/>
    <m/>
    <s v="Innovation"/>
    <s v="P&amp;I (Research &amp; Development)"/>
    <s v="No"/>
    <s v="EMEA"/>
    <n v="1310"/>
    <n v="1"/>
    <s v="-"/>
    <s v="-"/>
    <n v="2180"/>
    <n v="0"/>
    <s v="-"/>
    <s v="-"/>
    <m/>
    <m/>
    <n v="3490"/>
    <n v="1"/>
  </r>
  <r>
    <x v="289"/>
    <s v="Robin Meyerhoff"/>
    <d v="2015-10-01T00:00:00"/>
    <m/>
    <s v="Youth"/>
    <s v="Human Resources (SAP HR and employee stories)"/>
    <s v="No"/>
    <s v="EMEA"/>
    <n v="934"/>
    <n v="12"/>
    <s v="-"/>
    <s v="-"/>
    <n v="99"/>
    <n v="0"/>
    <n v="747"/>
    <n v="0"/>
    <s v="-"/>
    <s v="-"/>
    <n v="1780"/>
    <n v="12"/>
  </r>
  <r>
    <x v="290"/>
    <s v="Judith Magyar"/>
    <d v="2015-10-08T00:00:00"/>
    <s v="Video"/>
    <s v="Corporate"/>
    <s v="Corporate"/>
    <s v="No"/>
    <s v="Global"/>
    <n v="3141"/>
    <n v="5"/>
    <s v="-"/>
    <s v="-"/>
    <n v="596"/>
    <n v="0"/>
    <s v="-"/>
    <s v="-"/>
    <s v="-"/>
    <s v="-"/>
    <n v="3737"/>
    <n v="5"/>
  </r>
  <r>
    <x v="196"/>
    <s v="Miriam Siebeking"/>
    <d v="2015-10-09T00:00:00"/>
    <m/>
    <s v="Corporate"/>
    <s v="Corporate"/>
    <s v="No"/>
    <s v="Global"/>
    <n v="1018"/>
    <n v="0"/>
    <s v="-"/>
    <s v="-"/>
    <s v="-"/>
    <s v="-"/>
    <s v="-"/>
    <s v="-"/>
    <s v="-"/>
    <s v="-"/>
    <n v="1018"/>
    <n v="0"/>
  </r>
  <r>
    <x v="291"/>
    <s v="Judith Magyar"/>
    <d v="2015-10-12T00:00:00"/>
    <s v="Video"/>
    <s v="Innovation"/>
    <s v="P&amp;I (Research &amp; Development), GCO – Industry Cloud "/>
    <s v="No"/>
    <s v="Global"/>
    <n v="662"/>
    <n v="9"/>
    <s v="-"/>
    <s v="-"/>
    <s v="-"/>
    <s v="-"/>
    <s v="-"/>
    <s v="-"/>
    <s v="-"/>
    <s v="-"/>
    <n v="662"/>
    <n v="9"/>
  </r>
  <r>
    <x v="292"/>
    <s v="Robin Meyerhoff"/>
    <d v="2015-10-12T00:00:00"/>
    <s v="Video"/>
    <s v="Healthcare"/>
    <s v="Human Resources (SAP HR and employee stories)"/>
    <s v="No"/>
    <s v="EMEA"/>
    <n v="6484"/>
    <n v="21"/>
    <s v="-"/>
    <s v="-"/>
    <n v="1823"/>
    <n v="0"/>
    <s v="-"/>
    <s v="-"/>
    <s v="-"/>
    <s v="-"/>
    <n v="8307"/>
    <n v="21"/>
  </r>
  <r>
    <x v="293"/>
    <s v="Paul Baur"/>
    <d v="2015-10-12T00:00:00"/>
    <m/>
    <s v="Corporate, Innovation"/>
    <s v="GCO – HR (SuccessFactors), P&amp;I (Research &amp; Development)"/>
    <s v="No"/>
    <s v="Global"/>
    <n v="727"/>
    <n v="2"/>
    <s v="-"/>
    <s v="-"/>
    <s v="-"/>
    <s v="-"/>
    <s v="-"/>
    <s v="-"/>
    <s v="-"/>
    <s v="-"/>
    <n v="727"/>
    <n v="2"/>
  </r>
  <r>
    <x v="294"/>
    <s v="Paul Baur"/>
    <d v="2015-10-13T00:00:00"/>
    <m/>
    <s v="Corporate"/>
    <s v="GCO – Platform Solutions, GCO – Industry Cloud , Office of the CEO"/>
    <s v="No"/>
    <s v="Global"/>
    <n v="4459"/>
    <n v="10"/>
    <s v="-"/>
    <s v="-"/>
    <n v="1975"/>
    <n v="0"/>
    <s v="-"/>
    <s v="-"/>
    <s v="-"/>
    <s v="-"/>
    <n v="6434"/>
    <n v="10"/>
  </r>
  <r>
    <x v="295"/>
    <s v="Andreas Schmitz"/>
    <d v="2015-10-13T00:00:00"/>
    <m/>
    <s v="Sports"/>
    <s v="GCO – Industry Cloud "/>
    <s v="Yes"/>
    <s v="Global"/>
    <n v="349"/>
    <n v="0"/>
    <s v="-"/>
    <s v="-"/>
    <n v="877"/>
    <n v="0"/>
    <s v="-"/>
    <s v="-"/>
    <s v="-"/>
    <s v="-"/>
    <n v="1226"/>
    <n v="0"/>
  </r>
  <r>
    <x v="296"/>
    <s v="Michael Zipf"/>
    <d v="2015-10-15T00:00:00"/>
    <s v="Video"/>
    <s v="Corporate"/>
    <s v="Human Resources (SAP HR and employee stories)"/>
    <s v="No"/>
    <s v="Global"/>
    <n v="1968"/>
    <n v="16"/>
    <n v="737"/>
    <n v="0"/>
    <s v="-"/>
    <s v="-"/>
    <s v="-"/>
    <s v="-"/>
    <s v="-"/>
    <s v="-"/>
    <n v="2705"/>
    <n v="16"/>
  </r>
  <r>
    <x v="297"/>
    <s v="Corinna Machmeier"/>
    <d v="2015-10-15T00:00:00"/>
    <s v="Video"/>
    <s v="Youth"/>
    <s v="Human Resources (SAP HR and employee stories)"/>
    <s v="No"/>
    <s v="Global"/>
    <n v="9"/>
    <n v="0"/>
    <s v="-"/>
    <s v="-"/>
    <n v="165"/>
    <n v="0"/>
    <n v="424"/>
    <n v="0"/>
    <s v="-"/>
    <s v="-"/>
    <n v="598"/>
    <n v="0"/>
  </r>
  <r>
    <x v="298"/>
    <s v="Stephan Magura"/>
    <d v="2015-10-15T00:00:00"/>
    <s v="Video"/>
    <s v="Healthcare, Innovation"/>
    <s v="P&amp;I (Research &amp; Development), GCO – Industry Cloud , Human Resources (SAP HR and employee stories)"/>
    <s v="No"/>
    <s v="Global"/>
    <n v="404"/>
    <n v="1"/>
    <s v="-"/>
    <s v="-"/>
    <s v="-"/>
    <s v="-"/>
    <s v="-"/>
    <s v="-"/>
    <s v="-"/>
    <s v="-"/>
    <n v="404"/>
    <n v="1"/>
  </r>
  <r>
    <x v="299"/>
    <s v="Andreas Schmitz"/>
    <d v="2015-10-16T00:00:00"/>
    <s v="Video, Infographic"/>
    <s v="Innovation"/>
    <s v="GCO – Industry Cloud "/>
    <s v="No"/>
    <s v="Global"/>
    <n v="532"/>
    <n v="0"/>
    <s v="-"/>
    <s v="-"/>
    <n v="869"/>
    <n v="0"/>
    <s v="-"/>
    <s v="-"/>
    <s v="-"/>
    <s v="-"/>
    <n v="1401"/>
    <n v="0"/>
  </r>
  <r>
    <x v="300"/>
    <s v="Stephan Magura"/>
    <d v="2015-10-19T00:00:00"/>
    <m/>
    <s v="Corporate"/>
    <s v="Human Resources (SAP HR and employee stories)"/>
    <s v="No"/>
    <s v="NA"/>
    <n v="2783"/>
    <n v="43"/>
    <s v="-"/>
    <s v="-"/>
    <s v="-"/>
    <s v="-"/>
    <s v="-"/>
    <s v="-"/>
    <s v="-"/>
    <s v="-"/>
    <n v="2783"/>
    <n v="43"/>
  </r>
  <r>
    <x v="301"/>
    <s v="Paul Baur"/>
    <d v="2015-10-20T00:00:00"/>
    <s v="Video"/>
    <s v="Corporate"/>
    <s v="GCO – Industry Cloud "/>
    <s v="No"/>
    <s v="Global"/>
    <n v="4307"/>
    <n v="3"/>
    <s v="-"/>
    <s v="-"/>
    <s v="-"/>
    <s v="-"/>
    <s v="-"/>
    <s v="-"/>
    <s v="-"/>
    <s v="-"/>
    <n v="4307"/>
    <n v="3"/>
  </r>
  <r>
    <x v="302"/>
    <s v="Paul Baur"/>
    <d v="2015-10-21T00:00:00"/>
    <s v="Video"/>
    <s v="Corporate"/>
    <s v="Office of the CEO"/>
    <s v="No"/>
    <s v="Global"/>
    <n v="3323"/>
    <n v="8"/>
    <s v="-"/>
    <s v="-"/>
    <s v="-"/>
    <s v="-"/>
    <s v="-"/>
    <s v="-"/>
    <s v="-"/>
    <s v="-"/>
    <n v="3323"/>
    <n v="8"/>
  </r>
  <r>
    <x v="303"/>
    <s v="Paul Taylor"/>
    <d v="2015-10-21T00:00:00"/>
    <s v="Video"/>
    <s v="Innovation"/>
    <s v="Business Network (Concur, Ariba, Fieldglass), Office of the CEO, P&amp;I (Research &amp; Development)"/>
    <s v="No"/>
    <s v="Global"/>
    <n v="7129"/>
    <n v="51"/>
    <s v="-"/>
    <s v="-"/>
    <n v="301"/>
    <n v="0"/>
    <n v="982"/>
    <n v="0"/>
    <s v="-"/>
    <s v="-"/>
    <n v="8412"/>
    <n v="51"/>
  </r>
  <r>
    <x v="304"/>
    <s v="Judith Magyar, Carolyn Coad"/>
    <d v="2015-10-21T00:00:00"/>
    <m/>
    <s v="Corporate"/>
    <s v="GCO – Platform Solutions"/>
    <s v="Yes"/>
    <s v="Global"/>
    <n v="1045"/>
    <n v="0"/>
    <s v="-"/>
    <s v="-"/>
    <n v="725"/>
    <n v="0"/>
    <s v="-"/>
    <s v="-"/>
    <s v="-"/>
    <s v="-"/>
    <n v="1770"/>
    <n v="0"/>
  </r>
  <r>
    <x v="305"/>
    <s v="Judith Magyar"/>
    <d v="2015-10-22T00:00:00"/>
    <m/>
    <s v="Innovation"/>
    <s v="GCO – Industry Cloud "/>
    <s v="Yes"/>
    <s v="LATAM"/>
    <n v="846"/>
    <n v="1"/>
    <s v="-"/>
    <s v="-"/>
    <n v="98"/>
    <n v="0"/>
    <n v="407"/>
    <n v="0"/>
    <s v="-"/>
    <s v="-"/>
    <n v="1351"/>
    <n v="1"/>
  </r>
  <r>
    <x v="306"/>
    <s v="Stephan Magura"/>
    <d v="2015-10-23T00:00:00"/>
    <m/>
    <s v="Innovation"/>
    <s v="GCO – Industry Cloud , GCO – Services Sales"/>
    <s v="Yes"/>
    <s v="EMEA"/>
    <n v="623"/>
    <n v="3"/>
    <s v="-"/>
    <s v="-"/>
    <n v="211"/>
    <n v="1"/>
    <s v="-"/>
    <s v="-"/>
    <s v="-"/>
    <s v="-"/>
    <n v="834"/>
    <n v="4"/>
  </r>
  <r>
    <x v="307"/>
    <s v="Judith Magyar"/>
    <d v="2015-10-28T00:00:00"/>
    <m/>
    <s v="Youth, Innovation"/>
    <s v="Office of the CEO"/>
    <s v="No"/>
    <s v="Global"/>
    <n v="4093"/>
    <n v="3"/>
    <s v="-"/>
    <s v="-"/>
    <s v="-"/>
    <s v="-"/>
    <s v="-"/>
    <s v="-"/>
    <s v="-"/>
    <s v="-"/>
    <n v="4093"/>
    <n v="3"/>
  </r>
  <r>
    <x v="308"/>
    <s v="Paul Baur"/>
    <d v="2015-11-01T00:00:00"/>
    <m/>
    <s v="Corporate"/>
    <s v="Corporate"/>
    <s v="No"/>
    <s v="Global"/>
    <n v="350"/>
    <n v="0"/>
    <s v="-"/>
    <s v="-"/>
    <s v="-"/>
    <s v="-"/>
    <s v="-"/>
    <s v="-"/>
    <s v="-"/>
    <s v="-"/>
    <n v="350"/>
    <n v="0"/>
  </r>
  <r>
    <x v="309"/>
    <s v="Judith Magyar"/>
    <d v="2015-11-04T00:00:00"/>
    <s v="Video"/>
    <s v="Sports"/>
    <s v="GCO – Platform Solutions"/>
    <s v="No"/>
    <s v="NA"/>
    <n v="1189"/>
    <n v="1"/>
    <s v="-"/>
    <s v="-"/>
    <n v="227"/>
    <n v="0"/>
    <n v="780"/>
    <n v="0"/>
    <s v="-"/>
    <s v="-"/>
    <n v="2196"/>
    <n v="1"/>
  </r>
  <r>
    <x v="310"/>
    <s v="Stephan Magura"/>
    <d v="2015-11-04T00:00:00"/>
    <m/>
    <s v="Innovation"/>
    <s v="Services Delivery &amp; Support (go-lives and deployments) "/>
    <s v="Yes"/>
    <s v="EMEA"/>
    <n v="690"/>
    <n v="0"/>
    <s v="-"/>
    <s v="-"/>
    <s v="-"/>
    <s v="-"/>
    <s v="-"/>
    <s v="-"/>
    <s v="-"/>
    <s v="-"/>
    <n v="690"/>
    <n v="0"/>
  </r>
  <r>
    <x v="311"/>
    <s v="Miriam Siebeking"/>
    <d v="2015-11-06T00:00:00"/>
    <s v="Video"/>
    <s v="Corporate"/>
    <s v="Corporate"/>
    <s v="No"/>
    <s v="Global"/>
    <n v="1297"/>
    <n v="1"/>
    <s v="-"/>
    <s v="-"/>
    <s v="-"/>
    <s v="-"/>
    <s v="-"/>
    <s v="-"/>
    <s v="-"/>
    <s v="-"/>
    <n v="1297"/>
    <n v="1"/>
  </r>
  <r>
    <x v="312"/>
    <s v="Robin Meyerhoff"/>
    <d v="2015-11-10T00:00:00"/>
    <s v="Video"/>
    <s v="Innovation"/>
    <s v="Business Network (Concur, Ariba, Fieldglass), P&amp;I (Research &amp; Development), GCO – Industry Cloud "/>
    <s v="No"/>
    <s v="Global"/>
    <n v="1046"/>
    <n v="0"/>
    <n v="673"/>
    <n v="0"/>
    <n v="84"/>
    <n v="0"/>
    <n v="356"/>
    <n v="2"/>
    <s v="-"/>
    <s v="-"/>
    <n v="2159"/>
    <n v="2"/>
  </r>
  <r>
    <x v="313"/>
    <s v="Judith Magyar"/>
    <d v="2015-11-10T00:00:00"/>
    <m/>
    <s v="Innovation"/>
    <s v="GCO – Industry Cloud "/>
    <s v="Yes"/>
    <s v="EMEA"/>
    <n v="879"/>
    <n v="1"/>
    <s v="-"/>
    <s v="-"/>
    <n v="61"/>
    <n v="0"/>
    <n v="221"/>
    <n v="0"/>
    <s v="-"/>
    <s v="-"/>
    <n v="1161"/>
    <n v="1"/>
  </r>
  <r>
    <x v="314"/>
    <s v="Jackie Montesinos Suarez"/>
    <d v="2015-11-11T00:00:00"/>
    <s v="Video"/>
    <s v="Innovation, Sports"/>
    <s v="GCO – Other"/>
    <s v="No"/>
    <s v="NA"/>
    <n v="848"/>
    <n v="3"/>
    <s v="-"/>
    <s v="-"/>
    <s v="-"/>
    <s v="-"/>
    <s v="-"/>
    <s v="-"/>
    <s v="-"/>
    <s v="-"/>
    <n v="848"/>
    <n v="3"/>
  </r>
  <r>
    <x v="315"/>
    <s v="Paul Taylor"/>
    <d v="2015-11-12T00:00:00"/>
    <s v="Video"/>
    <s v="Innovation"/>
    <s v="GCO – Platform Solutions"/>
    <s v="No"/>
    <s v="EMEA, NA"/>
    <n v="2835"/>
    <n v="10"/>
    <s v="-"/>
    <s v="-"/>
    <n v="76"/>
    <n v="0"/>
    <n v="313"/>
    <n v="0"/>
    <s v="-"/>
    <s v="-"/>
    <n v="3224"/>
    <n v="10"/>
  </r>
  <r>
    <x v="316"/>
    <s v="Judith Magyar"/>
    <d v="2015-11-12T00:00:00"/>
    <m/>
    <s v="Innovation"/>
    <s v="GCO – Industry Cloud , GCO – Platform Solutions"/>
    <s v="No"/>
    <s v="EMEA"/>
    <n v="2897"/>
    <n v="10"/>
    <s v="-"/>
    <s v="-"/>
    <n v="236"/>
    <n v="0"/>
    <s v="-"/>
    <s v="-"/>
    <s v="-"/>
    <s v="-"/>
    <n v="3133"/>
    <n v="10"/>
  </r>
  <r>
    <x v="317"/>
    <s v="Paul Taylor"/>
    <d v="2015-11-14T00:00:00"/>
    <m/>
    <s v="Corporate"/>
    <s v="Human Resources (SAP HR and employee stories), Corporate"/>
    <s v="No"/>
    <s v="EMEA"/>
    <n v="6411"/>
    <n v="58"/>
    <s v="-"/>
    <s v="-"/>
    <s v="-"/>
    <s v="-"/>
    <s v="-"/>
    <s v="-"/>
    <s v="-"/>
    <s v="-"/>
    <n v="6411"/>
    <n v="58"/>
  </r>
  <r>
    <x v="318"/>
    <s v="Patricia Crazzolara, Kesja Cichowski"/>
    <d v="2015-11-17T00:00:00"/>
    <s v="Video"/>
    <s v="Corporate"/>
    <s v="Human Resources (SAP HR and employee stories)"/>
    <s v="No"/>
    <s v="EMEA"/>
    <n v="1700"/>
    <n v="24"/>
    <s v="-"/>
    <s v="-"/>
    <n v="84"/>
    <n v="0"/>
    <s v="-"/>
    <s v="-"/>
    <s v="-"/>
    <s v="-"/>
    <n v="1784"/>
    <n v="24"/>
  </r>
  <r>
    <x v="319"/>
    <s v="Stephan Magura"/>
    <d v="2015-11-20T00:00:00"/>
    <m/>
    <s v="Corporate"/>
    <s v="Human Resources (SAP HR and employee stories)"/>
    <s v="No"/>
    <s v="Global"/>
    <n v="1641"/>
    <n v="1"/>
    <s v="-"/>
    <s v="-"/>
    <s v="-"/>
    <s v="-"/>
    <s v="-"/>
    <s v="-"/>
    <s v="-"/>
    <s v="-"/>
    <n v="1641"/>
    <n v="1"/>
  </r>
  <r>
    <x v="320"/>
    <s v="Corinna Machmeier"/>
    <d v="2015-11-23T00:00:00"/>
    <s v="Video"/>
    <s v="Corporate, Youth"/>
    <s v="Human Resources (SAP HR and employee stories)"/>
    <s v="No"/>
    <s v="EMEA"/>
    <n v="1349"/>
    <n v="4"/>
    <s v="-"/>
    <s v="-"/>
    <n v="178"/>
    <n v="0"/>
    <s v="-"/>
    <s v="-"/>
    <s v="-"/>
    <s v="-"/>
    <n v="1527"/>
    <n v="4"/>
  </r>
  <r>
    <x v="321"/>
    <s v="Stephan Magura"/>
    <d v="2015-11-24T00:00:00"/>
    <m/>
    <s v="Corporate"/>
    <s v="Human Resources (SAP HR and employee stories)"/>
    <s v="No"/>
    <s v="EMEA"/>
    <n v="1829"/>
    <n v="4"/>
    <s v="-"/>
    <s v="-"/>
    <s v="-"/>
    <s v="-"/>
    <s v="-"/>
    <s v="-"/>
    <s v="-"/>
    <s v="-"/>
    <n v="1829"/>
    <n v="4"/>
  </r>
  <r>
    <x v="322"/>
    <s v="Robin Meyerhoff"/>
    <d v="2015-11-24T00:00:00"/>
    <s v="Infographic"/>
    <s v="Corporate"/>
    <s v="Human Resources (SAP HR and employee stories), Corporate, Office of the CEO"/>
    <s v="No"/>
    <s v="Global"/>
    <n v="2998"/>
    <n v="25"/>
    <s v="-"/>
    <s v="-"/>
    <n v="117"/>
    <n v="0"/>
    <n v="562"/>
    <n v="2"/>
    <s v="-"/>
    <s v="-"/>
    <n v="3677"/>
    <n v="27"/>
  </r>
  <r>
    <x v="323"/>
    <s v="Stephan Magura"/>
    <d v="2015-11-25T00:00:00"/>
    <s v="Video"/>
    <s v="Innovation"/>
    <s v="Services Delivery &amp; Support (go-lives and deployments) "/>
    <s v="No"/>
    <s v="EMEA"/>
    <n v="1779"/>
    <n v="2"/>
    <s v="-"/>
    <s v="-"/>
    <s v="-"/>
    <s v="-"/>
    <s v="-"/>
    <s v="-"/>
    <s v="-"/>
    <s v="-"/>
    <n v="1779"/>
    <n v="2"/>
  </r>
  <r>
    <x v="324"/>
    <s v="Paul Taylor"/>
    <d v="2015-11-25T00:00:00"/>
    <s v="Video"/>
    <s v="Innovation"/>
    <s v="GCO – Platform Solutions, Business Network (Concur, Ariba, Fieldglass)"/>
    <s v="No"/>
    <s v="Global"/>
    <n v="2047"/>
    <n v="0"/>
    <s v="-"/>
    <s v="-"/>
    <s v="-"/>
    <s v="-"/>
    <n v="1393"/>
    <n v="0"/>
    <s v="-"/>
    <s v="-"/>
    <n v="3440"/>
    <n v="0"/>
  </r>
  <r>
    <x v="325"/>
    <s v="Paul Baur, Alexander Januschke, Natalie Hauck"/>
    <d v="2015-11-27T00:00:00"/>
    <s v="Video"/>
    <s v="Corporate, Sports"/>
    <s v="Human Resources (SAP HR and employee stories)"/>
    <s v="No"/>
    <s v="EMEA"/>
    <n v="8691"/>
    <n v="18"/>
    <s v="-"/>
    <s v="-"/>
    <s v="-"/>
    <s v="-"/>
    <n v="226"/>
    <n v="0"/>
    <s v="-"/>
    <s v="-"/>
    <n v="8917"/>
    <n v="18"/>
  </r>
  <r>
    <x v="326"/>
    <s v="Michael Zipf"/>
    <d v="2015-11-27T00:00:00"/>
    <m/>
    <s v="Corporate"/>
    <s v="Corporate"/>
    <s v="No"/>
    <s v="Global"/>
    <n v="525"/>
    <n v="4"/>
    <s v="-"/>
    <s v="-"/>
    <s v="-"/>
    <s v="-"/>
    <s v="-"/>
    <s v="-"/>
    <s v="-"/>
    <s v="-"/>
    <n v="525"/>
    <n v="4"/>
  </r>
  <r>
    <x v="327"/>
    <s v="SAP News"/>
    <d v="2015-11-30T00:00:00"/>
    <m/>
    <s v="Corporate, Innovation"/>
    <s v="Office of the CEO, Corporate, GCO – Industry Cloud "/>
    <s v="No"/>
    <s v="Global"/>
    <n v="1310"/>
    <n v="2"/>
    <s v="-"/>
    <s v="-"/>
    <s v="-"/>
    <s v="-"/>
    <s v="-"/>
    <s v="-"/>
    <s v="-"/>
    <s v="-"/>
    <n v="1310"/>
    <n v="2"/>
  </r>
  <r>
    <x v="328"/>
    <s v="Michael Nuesslein "/>
    <d v="2015-12-02T00:00:00"/>
    <s v="Video"/>
    <s v="Sports"/>
    <s v="GCO – Industry Cloud , GCO – Platform Solutions"/>
    <s v="Yes"/>
    <s v="EMEA"/>
    <n v="2336"/>
    <n v="5"/>
    <s v="-"/>
    <s v="-"/>
    <m/>
    <m/>
    <s v="-"/>
    <s v="-"/>
    <s v="-"/>
    <s v="-"/>
    <n v="2336"/>
    <n v="5"/>
  </r>
  <r>
    <x v="329"/>
    <s v="Judith Magyar "/>
    <d v="2015-12-03T00:00:00"/>
    <s v="Video"/>
    <s v="Corporate"/>
    <s v="GCO – Industry Cloud , GCO – Platform Solutions, P&amp;I (Research &amp; Development)"/>
    <s v="No"/>
    <s v="EMEA, NA"/>
    <n v="186"/>
    <n v="0"/>
    <s v="-"/>
    <s v="-"/>
    <m/>
    <m/>
    <s v="-"/>
    <s v="-"/>
    <s v="-"/>
    <s v="-"/>
    <n v="186"/>
    <n v="0"/>
  </r>
  <r>
    <x v="330"/>
    <s v="Corinna Machmeier "/>
    <d v="2015-12-03T00:00:00"/>
    <s v="Video"/>
    <s v="Youth, Innovation"/>
    <s v="Corporate, P&amp;I (Research &amp; Development)"/>
    <s v="No"/>
    <s v="NA"/>
    <n v="473"/>
    <n v="0"/>
    <s v="-"/>
    <s v="-"/>
    <m/>
    <m/>
    <s v="-"/>
    <s v="-"/>
    <s v="-"/>
    <s v="-"/>
    <n v="473"/>
    <n v="0"/>
  </r>
  <r>
    <x v="196"/>
    <s v="Miriam Siebeking"/>
    <d v="2015-12-04T00:00:00"/>
    <m/>
    <s v="Corporate"/>
    <s v="Corporate, Human Resources (SAP HR and employee stories)"/>
    <s v="No"/>
    <s v="Global"/>
    <n v="2914"/>
    <n v="10"/>
    <s v="-"/>
    <s v="-"/>
    <m/>
    <m/>
    <s v="-"/>
    <s v="-"/>
    <s v="-"/>
    <s v="-"/>
    <n v="2914"/>
    <n v="10"/>
  </r>
  <r>
    <x v="331"/>
    <s v="Michael Zipf"/>
    <d v="2015-12-04T00:00:00"/>
    <m/>
    <s v="Corporate, Innovation"/>
    <s v="GCO – Other, GCO – Industry Cloud "/>
    <s v="No"/>
    <s v="Global"/>
    <n v="176"/>
    <n v="0"/>
    <s v="-"/>
    <s v="-"/>
    <m/>
    <m/>
    <s v="-"/>
    <s v="-"/>
    <n v="83805"/>
    <n v="7"/>
    <n v="176"/>
    <n v="0"/>
  </r>
  <r>
    <x v="332"/>
    <s v="Jon Leiberman"/>
    <d v="2015-12-05T00:00:00"/>
    <m/>
    <s v="Innovation, Corporate"/>
    <s v="GCO – Industry Cloud "/>
    <s v="No"/>
    <s v="Global"/>
    <n v="83"/>
    <n v="0"/>
    <s v="-"/>
    <s v="-"/>
    <m/>
    <m/>
    <s v="-"/>
    <s v="-"/>
    <n v="80370"/>
    <n v="4"/>
    <n v="83"/>
    <n v="0"/>
  </r>
  <r>
    <x v="333"/>
    <s v="Michael Zipf"/>
    <d v="2015-12-07T00:00:00"/>
    <s v="Video"/>
    <s v="Corporate, Innovation"/>
    <s v="Corporate, GCO – Industry Cloud "/>
    <s v="No"/>
    <s v="Global"/>
    <n v="244"/>
    <n v="0"/>
    <s v="-"/>
    <s v="-"/>
    <m/>
    <m/>
    <s v="-"/>
    <s v="-"/>
    <n v="83125"/>
    <n v="6"/>
    <n v="244"/>
    <n v="0"/>
  </r>
  <r>
    <x v="334"/>
    <s v="Steve Lucas, Jon Leiberman "/>
    <d v="2015-12-07T00:00:00"/>
    <s v="Video"/>
    <s v="Innovation"/>
    <s v="GCO – Industry Cloud "/>
    <s v="No"/>
    <s v="Global"/>
    <n v="2117"/>
    <n v="9"/>
    <s v="-"/>
    <s v="-"/>
    <m/>
    <m/>
    <s v="-"/>
    <s v="-"/>
    <s v="-"/>
    <s v="-"/>
    <n v="2117"/>
    <n v="9"/>
  </r>
  <r>
    <x v="335"/>
    <s v="Robin Meyerhoff "/>
    <d v="2015-12-08T00:00:00"/>
    <s v="Video"/>
    <s v="Innovation, Sports"/>
    <s v="GCO – Industry Cloud , GCO – Platform Solutions"/>
    <s v="Yes"/>
    <s v="Global"/>
    <n v="1892"/>
    <n v="1"/>
    <s v="-"/>
    <s v="-"/>
    <m/>
    <m/>
    <s v="-"/>
    <s v="-"/>
    <s v="-"/>
    <s v="-"/>
    <n v="1892"/>
    <n v="1"/>
  </r>
  <r>
    <x v="336"/>
    <s v="Stephan Magura, Thomas Leonhardi "/>
    <d v="2015-12-08T00:00:00"/>
    <s v="Video"/>
    <s v="Innovation"/>
    <s v="GCO – Industry Cloud "/>
    <s v="Yes"/>
    <s v="Global"/>
    <n v="1794"/>
    <n v="1"/>
    <s v="-"/>
    <s v="-"/>
    <m/>
    <m/>
    <s v="-"/>
    <s v="-"/>
    <s v="-"/>
    <s v="-"/>
    <n v="1794"/>
    <n v="1"/>
  </r>
  <r>
    <x v="337"/>
    <s v="Michael Zipf"/>
    <d v="2015-12-09T00:00:00"/>
    <s v="Video"/>
    <s v="Innovation"/>
    <s v="GCO – Industry Cloud , P&amp;I (Research &amp; Development)"/>
    <s v="No"/>
    <s v="NA"/>
    <n v="326"/>
    <n v="1"/>
    <s v="-"/>
    <s v="-"/>
    <m/>
    <m/>
    <s v="-"/>
    <s v="-"/>
    <n v="82457"/>
    <n v="6"/>
    <n v="326"/>
    <n v="1"/>
  </r>
  <r>
    <x v="338"/>
    <s v="Paul Taylor"/>
    <d v="2015-12-10T00:00:00"/>
    <s v="Video"/>
    <s v="Healthcare, Innovation"/>
    <s v="GCO – Platform Solutions, GCO – Industry Cloud "/>
    <s v="Yes"/>
    <s v="Global"/>
    <n v="1016"/>
    <n v="1"/>
    <s v="-"/>
    <s v="-"/>
    <m/>
    <m/>
    <s v="-"/>
    <s v="-"/>
    <s v="-"/>
    <s v="-"/>
    <n v="1016"/>
    <n v="1"/>
  </r>
  <r>
    <x v="339"/>
    <s v="Paul Baur, Natalie Hauck, Alexander Januschke "/>
    <d v="2015-12-11T00:00:00"/>
    <s v="Video"/>
    <s v="Innovation, Sports"/>
    <s v="GCO – Platform Solutions"/>
    <s v="No"/>
    <s v="EMEA"/>
    <n v="1636"/>
    <n v="13"/>
    <s v="-"/>
    <s v="-"/>
    <m/>
    <m/>
    <n v="209"/>
    <n v="0"/>
    <n v="80955"/>
    <n v="2"/>
    <n v="1845"/>
    <n v="13"/>
  </r>
  <r>
    <x v="340"/>
    <s v="Megan Meany"/>
    <d v="2015-12-13T00:00:00"/>
    <m/>
    <s v="Innovation"/>
    <s v="GCO – Industry Cloud "/>
    <s v="Yes"/>
    <s v="NA"/>
    <n v="41"/>
    <n v="0"/>
    <s v="-"/>
    <s v="-"/>
    <m/>
    <m/>
    <s v="-"/>
    <s v="-"/>
    <n v="81447"/>
    <n v="9"/>
    <n v="41"/>
    <n v="0"/>
  </r>
  <r>
    <x v="341"/>
    <s v="Jon Leiberman"/>
    <d v="2015-12-14T00:00:00"/>
    <m/>
    <s v="Innovation"/>
    <s v="GCO – Industry Cloud "/>
    <s v="Yes"/>
    <s v="NA"/>
    <n v="36"/>
    <n v="0"/>
    <s v="-"/>
    <s v="-"/>
    <m/>
    <m/>
    <s v="-"/>
    <s v="-"/>
    <n v="14016"/>
    <n v="0"/>
    <n v="36"/>
    <n v="0"/>
  </r>
  <r>
    <x v="342"/>
    <s v="Robin Meyerhoff"/>
    <d v="2015-12-15T00:00:00"/>
    <s v="Infographic"/>
    <s v="Corporate"/>
    <s v="GCO – Regions, Human Resources (SAP HR and employee stories), Office of the CEO, GCO – Industry Cloud "/>
    <s v="No"/>
    <s v="APJ"/>
    <n v="3542"/>
    <n v="16"/>
    <s v="-"/>
    <s v="-"/>
    <m/>
    <m/>
    <n v="1684"/>
    <n v="0"/>
    <s v="-"/>
    <s v="-"/>
    <n v="5226"/>
    <n v="16"/>
  </r>
  <r>
    <x v="343"/>
    <s v="Renata Pompeu Pividal, Robin Meyerhoff"/>
    <d v="2015-12-15T00:00:00"/>
    <s v="Video"/>
    <s v="Innovation, Youth"/>
    <s v="Human Resources (SAP HR and employee stories), GCO – Platform Solutions, Office of the CEO, GCO – Regions"/>
    <s v="Yes"/>
    <s v="LATAM"/>
    <n v="1095"/>
    <n v="10"/>
    <n v="2424"/>
    <n v="0"/>
    <m/>
    <m/>
    <n v="529"/>
    <n v="0"/>
    <n v="81853"/>
    <n v="6"/>
    <n v="4048"/>
    <n v="10"/>
  </r>
  <r>
    <x v="344"/>
    <s v="Stephan Magura"/>
    <d v="2015-12-16T00:00:00"/>
    <s v="Video"/>
    <s v="Corporate"/>
    <s v="GCO – Industry Cloud , Services Delivery &amp; Support (go-lives and deployments) "/>
    <s v="No"/>
    <s v="Global"/>
    <n v="1629"/>
    <n v="4"/>
    <s v="-"/>
    <s v="-"/>
    <s v="TBC"/>
    <s v="TBC"/>
    <s v="-"/>
    <s v="-"/>
    <n v="84108"/>
    <n v="2"/>
    <n v="1629"/>
    <n v="4"/>
  </r>
  <r>
    <x v="345"/>
    <s v="Robin Meyerhoff"/>
    <d v="2015-12-17T00:00:00"/>
    <m/>
    <s v="Corporate, Youth, Innovation"/>
    <s v="Human Resources (SAP HR and employee stories), GCO – Regions"/>
    <s v="No"/>
    <s v="EMEA"/>
    <n v="1532"/>
    <n v="7"/>
    <s v="-"/>
    <s v="-"/>
    <m/>
    <m/>
    <n v="556"/>
    <n v="0"/>
    <s v="-"/>
    <s v="-"/>
    <n v="2088"/>
    <n v="7"/>
  </r>
  <r>
    <x v="346"/>
    <s v="Andreas Schmitz"/>
    <d v="2015-12-18T00:00:00"/>
    <m/>
    <s v="Innovation"/>
    <s v="GCO – Industry Cloud "/>
    <s v="Yes"/>
    <s v="Global"/>
    <s v="-"/>
    <s v="-"/>
    <s v="-"/>
    <s v="-"/>
    <s v="TBC"/>
    <s v="TBC"/>
    <s v="-"/>
    <s v="-"/>
    <n v="83197"/>
    <n v="3"/>
    <n v="0"/>
    <n v="0"/>
  </r>
  <r>
    <x v="347"/>
    <s v="Andreas Schmitz"/>
    <d v="2015-12-21T00:00:00"/>
    <m/>
    <s v="Innovation, Corporate"/>
    <s v="GCO – Industry Cloud , GCO – Platform Solutions"/>
    <s v="Yes"/>
    <s v="EMEA"/>
    <s v="-"/>
    <s v="-"/>
    <s v="-"/>
    <s v="-"/>
    <s v="TBC"/>
    <s v="TBC"/>
    <s v="-"/>
    <s v="-"/>
    <n v="81655"/>
    <n v="11"/>
    <n v="0"/>
    <n v="0"/>
  </r>
  <r>
    <x v="348"/>
    <s v="Paul Baur"/>
    <d v="2015-12-23T00:00:00"/>
    <m/>
    <s v="Corporate"/>
    <s v="Human Resources (SAP HR and employee stories)"/>
    <s v="No"/>
    <s v="APJ"/>
    <n v="1381"/>
    <n v="13"/>
    <s v="-"/>
    <s v="-"/>
    <m/>
    <m/>
    <s v="-"/>
    <s v="-"/>
    <s v="-"/>
    <s v="-"/>
    <n v="1381"/>
    <n v="13"/>
  </r>
  <r>
    <x v="349"/>
    <s v="Judith Magyar "/>
    <d v="2015-12-23T00:00:00"/>
    <s v="Video"/>
    <s v="Innovation"/>
    <s v="GCO – Services Sales"/>
    <s v="Yes"/>
    <s v="LATAM"/>
    <n v="1682"/>
    <n v="11"/>
    <s v="-"/>
    <s v="-"/>
    <m/>
    <m/>
    <s v="-"/>
    <s v="-"/>
    <s v="-"/>
    <s v="-"/>
    <n v="1682"/>
    <n v="11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555">
  <r>
    <x v="0"/>
    <m/>
    <x v="0"/>
    <m/>
    <m/>
    <m/>
    <m/>
    <m/>
    <m/>
    <m/>
    <m/>
    <m/>
    <m/>
    <m/>
    <m/>
    <m/>
    <m/>
    <m/>
    <m/>
    <m/>
  </r>
  <r>
    <x v="1"/>
    <s v="Michael Zipf"/>
    <x v="1"/>
    <m/>
    <s v="Corporate"/>
    <s v="Corporate"/>
    <s v="No"/>
    <s v="Global"/>
    <n v="1967"/>
    <n v="14"/>
    <m/>
    <m/>
    <m/>
    <m/>
    <m/>
    <m/>
    <m/>
    <m/>
    <n v="1967"/>
    <n v="14"/>
  </r>
  <r>
    <x v="2"/>
    <s v="Paul Baur"/>
    <x v="1"/>
    <s v="Video"/>
    <s v="Sports"/>
    <s v="P&amp;I (Research &amp; Development)"/>
    <s v="Yes"/>
    <s v="Global"/>
    <n v="2170"/>
    <n v="0"/>
    <m/>
    <m/>
    <m/>
    <m/>
    <m/>
    <m/>
    <m/>
    <m/>
    <n v="2170"/>
    <n v="0"/>
  </r>
  <r>
    <x v="3"/>
    <s v="Judith Magyar"/>
    <x v="1"/>
    <s v="Video"/>
    <s v="Innovation"/>
    <s v="GCO – Platform Solutions"/>
    <s v="Yes"/>
    <s v="Global"/>
    <n v="1799"/>
    <n v="0"/>
    <m/>
    <m/>
    <n v="144"/>
    <n v="0"/>
    <m/>
    <m/>
    <m/>
    <m/>
    <n v="1943"/>
    <n v="0"/>
  </r>
  <r>
    <x v="4"/>
    <s v="Sarah Kellman"/>
    <x v="2"/>
    <m/>
    <s v="Innovation"/>
    <s v="GPO (Partner, Ecosystem, Channels)"/>
    <s v="No"/>
    <s v="Global"/>
    <n v="3075"/>
    <n v="15"/>
    <m/>
    <m/>
    <m/>
    <m/>
    <m/>
    <m/>
    <m/>
    <m/>
    <n v="3075"/>
    <n v="15"/>
  </r>
  <r>
    <x v="5"/>
    <s v="Phillip Klewitz"/>
    <x v="3"/>
    <m/>
    <s v="Innovation"/>
    <s v="GCO – Platform Solutions"/>
    <s v="No"/>
    <s v="Global"/>
    <n v="2753"/>
    <n v="3"/>
    <m/>
    <m/>
    <m/>
    <m/>
    <m/>
    <m/>
    <m/>
    <m/>
    <n v="2753"/>
    <n v="3"/>
  </r>
  <r>
    <x v="6"/>
    <s v="Paul Taylor"/>
    <x v="4"/>
    <m/>
    <s v="Innovation"/>
    <s v="Corporate"/>
    <s v="No"/>
    <s v="Global"/>
    <n v="1287"/>
    <n v="8"/>
    <n v="569"/>
    <n v="0"/>
    <n v="125"/>
    <n v="0"/>
    <m/>
    <m/>
    <m/>
    <m/>
    <n v="1981"/>
    <n v="8"/>
  </r>
  <r>
    <x v="7"/>
    <s v="SAP News"/>
    <x v="5"/>
    <m/>
    <s v="Corporate"/>
    <s v="Corporate"/>
    <s v="No"/>
    <s v="Global"/>
    <n v="3163"/>
    <n v="6"/>
    <m/>
    <m/>
    <m/>
    <m/>
    <m/>
    <m/>
    <m/>
    <m/>
    <n v="3163"/>
    <n v="6"/>
  </r>
  <r>
    <x v="8"/>
    <s v="Miriam Siebeking"/>
    <x v="5"/>
    <m/>
    <s v="Corporate"/>
    <s v="Corporate"/>
    <s v="No"/>
    <s v="Global"/>
    <n v="1482"/>
    <n v="1"/>
    <m/>
    <m/>
    <m/>
    <m/>
    <m/>
    <m/>
    <m/>
    <m/>
    <n v="1482"/>
    <n v="1"/>
  </r>
  <r>
    <x v="9"/>
    <s v="Torsten Falk"/>
    <x v="6"/>
    <s v="Video, Infographic"/>
    <s v="Corporate"/>
    <s v="Human Resources (SAP HR and employee stories)"/>
    <s v="No"/>
    <s v="Global"/>
    <n v="8394"/>
    <n v="20"/>
    <m/>
    <m/>
    <m/>
    <m/>
    <m/>
    <m/>
    <m/>
    <m/>
    <n v="8394"/>
    <n v="20"/>
  </r>
  <r>
    <x v="10"/>
    <s v="Paul Baur"/>
    <x v="6"/>
    <m/>
    <s v="Innovation"/>
    <s v="Office of the CEO"/>
    <s v="No"/>
    <s v="Global"/>
    <n v="5792"/>
    <n v="4"/>
    <m/>
    <m/>
    <m/>
    <m/>
    <m/>
    <m/>
    <m/>
    <m/>
    <n v="5792"/>
    <n v="4"/>
  </r>
  <r>
    <x v="11"/>
    <s v="Sarah Harvey"/>
    <x v="7"/>
    <m/>
    <s v="Corporate"/>
    <s v="Human Resources (SAP HR and employee stories)"/>
    <s v="No"/>
    <s v="Global"/>
    <n v="2194"/>
    <n v="11"/>
    <m/>
    <m/>
    <m/>
    <m/>
    <m/>
    <m/>
    <m/>
    <m/>
    <n v="2194"/>
    <n v="11"/>
  </r>
  <r>
    <x v="12"/>
    <s v="Cueneyt Cam"/>
    <x v="7"/>
    <m/>
    <s v="Corporate"/>
    <s v="Corporate"/>
    <s v="No"/>
    <s v="Global"/>
    <n v="1049"/>
    <n v="2"/>
    <m/>
    <m/>
    <m/>
    <m/>
    <m/>
    <m/>
    <m/>
    <m/>
    <n v="1049"/>
    <n v="2"/>
  </r>
  <r>
    <x v="13"/>
    <s v="Agnes Biesiekierska"/>
    <x v="8"/>
    <m/>
    <s v="Corporate"/>
    <s v="Corporate"/>
    <s v="No"/>
    <s v="Global"/>
    <n v="2838"/>
    <n v="8"/>
    <m/>
    <m/>
    <m/>
    <m/>
    <m/>
    <m/>
    <m/>
    <m/>
    <n v="2838"/>
    <n v="8"/>
  </r>
  <r>
    <x v="14"/>
    <s v="Richard Nikolic"/>
    <x v="9"/>
    <m/>
    <s v="Corporate"/>
    <s v="Corporate"/>
    <s v="No"/>
    <s v="Global"/>
    <n v="3779"/>
    <n v="44"/>
    <m/>
    <m/>
    <m/>
    <m/>
    <m/>
    <m/>
    <m/>
    <m/>
    <n v="3779"/>
    <n v="44"/>
  </r>
  <r>
    <x v="15"/>
    <s v="Paul Baur"/>
    <x v="9"/>
    <m/>
    <s v="Corporate"/>
    <s v="Corporate"/>
    <s v="No"/>
    <s v="EMEA"/>
    <n v="3042"/>
    <n v="0"/>
    <m/>
    <m/>
    <m/>
    <m/>
    <m/>
    <m/>
    <m/>
    <m/>
    <n v="3042"/>
    <n v="0"/>
  </r>
  <r>
    <x v="16"/>
    <s v="Paul Taylor"/>
    <x v="10"/>
    <s v="Infographic"/>
    <s v="Innovation"/>
    <s v="Business Network (Concur, Ariba, Fieldglass)"/>
    <s v="No"/>
    <s v="Global"/>
    <n v="1461"/>
    <n v="2"/>
    <m/>
    <m/>
    <n v="76"/>
    <n v="0"/>
    <n v="1145"/>
    <n v="0"/>
    <m/>
    <m/>
    <n v="2682"/>
    <n v="2"/>
  </r>
  <r>
    <x v="17"/>
    <s v="Stephan Magura"/>
    <x v="10"/>
    <m/>
    <s v="Innovation"/>
    <s v="Office of the CEO"/>
    <s v="No"/>
    <s v="Global"/>
    <n v="3493"/>
    <n v="0"/>
    <m/>
    <m/>
    <m/>
    <m/>
    <m/>
    <m/>
    <m/>
    <m/>
    <n v="3493"/>
    <n v="0"/>
  </r>
  <r>
    <x v="18"/>
    <s v="Paul Baur"/>
    <x v="11"/>
    <s v="Video"/>
    <s v="Innovation"/>
    <s v="Office of the CEO"/>
    <s v="No"/>
    <s v="Global"/>
    <n v="6504"/>
    <n v="10"/>
    <m/>
    <m/>
    <m/>
    <m/>
    <m/>
    <m/>
    <m/>
    <m/>
    <n v="6504"/>
    <n v="10"/>
  </r>
  <r>
    <x v="19"/>
    <s v="Torsten Falk"/>
    <x v="11"/>
    <s v="Video"/>
    <s v="Corporate"/>
    <s v="Office of the CEO"/>
    <s v="No"/>
    <s v="Global"/>
    <n v="2759"/>
    <n v="0"/>
    <m/>
    <m/>
    <m/>
    <m/>
    <m/>
    <m/>
    <m/>
    <m/>
    <n v="2759"/>
    <n v="0"/>
  </r>
  <r>
    <x v="20"/>
    <s v="Judith Magyar"/>
    <x v="12"/>
    <s v="Video"/>
    <s v="Innovation"/>
    <s v="GCO – Platform Solutions"/>
    <s v="Yes"/>
    <s v="Global"/>
    <n v="2160"/>
    <n v="8"/>
    <m/>
    <m/>
    <n v="139"/>
    <n v="0"/>
    <m/>
    <m/>
    <m/>
    <m/>
    <n v="2299"/>
    <n v="8"/>
  </r>
  <r>
    <x v="21"/>
    <s v="Torsten Falk"/>
    <x v="13"/>
    <m/>
    <s v="Corporate"/>
    <s v="Human Resources (SAP HR and employee stories)"/>
    <s v="No"/>
    <s v="Global"/>
    <n v="5938"/>
    <n v="37"/>
    <m/>
    <m/>
    <m/>
    <m/>
    <m/>
    <m/>
    <m/>
    <m/>
    <n v="5938"/>
    <n v="37"/>
  </r>
  <r>
    <x v="22"/>
    <s v="Paul Baur"/>
    <x v="13"/>
    <s v="Video"/>
    <s v="Sports"/>
    <s v="Corporate"/>
    <s v="No"/>
    <s v="Global"/>
    <n v="1661"/>
    <n v="11"/>
    <m/>
    <m/>
    <m/>
    <m/>
    <m/>
    <m/>
    <m/>
    <m/>
    <n v="1661"/>
    <n v="11"/>
  </r>
  <r>
    <x v="23"/>
    <s v="Jennifer Alejandro"/>
    <x v="13"/>
    <s v="Video"/>
    <s v="Innovation"/>
    <s v="Office of the CEO"/>
    <s v="No"/>
    <s v="Global"/>
    <n v="1515"/>
    <n v="4"/>
    <m/>
    <m/>
    <m/>
    <m/>
    <m/>
    <m/>
    <m/>
    <m/>
    <n v="1515"/>
    <n v="4"/>
  </r>
  <r>
    <x v="24"/>
    <s v="Susan Galer"/>
    <x v="14"/>
    <m/>
    <s v="Innovation"/>
    <s v="P&amp;I (Research &amp; Development)"/>
    <s v="Yes"/>
    <s v="EMEA"/>
    <n v="2578"/>
    <n v="7"/>
    <n v="3475"/>
    <n v="0"/>
    <m/>
    <m/>
    <m/>
    <m/>
    <m/>
    <m/>
    <n v="6053"/>
    <n v="7"/>
  </r>
  <r>
    <x v="25"/>
    <s v="Stephan Magura"/>
    <x v="15"/>
    <m/>
    <s v="Corporate"/>
    <s v="Human Resources (SAP HR and employee stories)"/>
    <s v="No"/>
    <s v="Global"/>
    <n v="2346"/>
    <n v="9"/>
    <m/>
    <m/>
    <m/>
    <m/>
    <m/>
    <m/>
    <m/>
    <m/>
    <n v="2346"/>
    <n v="9"/>
  </r>
  <r>
    <x v="26"/>
    <s v="Michael Zipf"/>
    <x v="15"/>
    <m/>
    <s v="Innovation"/>
    <s v="GCO – Platform Solutions"/>
    <s v="No"/>
    <s v="Global"/>
    <n v="2176"/>
    <n v="6"/>
    <m/>
    <m/>
    <m/>
    <m/>
    <m/>
    <m/>
    <m/>
    <m/>
    <n v="2176"/>
    <n v="6"/>
  </r>
  <r>
    <x v="27"/>
    <s v="John Pelle"/>
    <x v="16"/>
    <s v="Video"/>
    <s v="Innovation"/>
    <s v="Office of the CEO"/>
    <s v="No"/>
    <s v="Global"/>
    <n v="2810"/>
    <n v="17"/>
    <m/>
    <m/>
    <m/>
    <m/>
    <m/>
    <m/>
    <m/>
    <m/>
    <n v="2810"/>
    <n v="17"/>
  </r>
  <r>
    <x v="28"/>
    <s v="Robin Meyerhoff"/>
    <x v="16"/>
    <m/>
    <s v="Corporate"/>
    <s v="GCO – Regions"/>
    <s v="No"/>
    <s v="LATAM"/>
    <n v="1618"/>
    <n v="13"/>
    <m/>
    <m/>
    <m/>
    <m/>
    <m/>
    <m/>
    <m/>
    <m/>
    <n v="1618"/>
    <n v="13"/>
  </r>
  <r>
    <x v="29"/>
    <s v="Michael Zipf"/>
    <x v="17"/>
    <s v="Video"/>
    <s v="Healthcare"/>
    <s v="GCO – Platform Solutions"/>
    <s v="No"/>
    <s v="Global"/>
    <n v="1791"/>
    <n v="7"/>
    <m/>
    <m/>
    <n v="171"/>
    <n v="0"/>
    <m/>
    <m/>
    <m/>
    <m/>
    <n v="1962"/>
    <n v="7"/>
  </r>
  <r>
    <x v="30"/>
    <s v="Paul Baur"/>
    <x v="17"/>
    <m/>
    <s v="Innovation"/>
    <s v="Corporate"/>
    <s v="Yes"/>
    <s v="Global"/>
    <n v="2524"/>
    <n v="0"/>
    <m/>
    <m/>
    <m/>
    <m/>
    <m/>
    <m/>
    <m/>
    <m/>
    <n v="2524"/>
    <n v="0"/>
  </r>
  <r>
    <x v="31"/>
    <s v="Courtney Robinson"/>
    <x v="18"/>
    <s v="Video"/>
    <s v="Youth"/>
    <s v="Office of the CEO"/>
    <s v="Yes"/>
    <s v="EMEA"/>
    <n v="4077"/>
    <n v="7"/>
    <m/>
    <m/>
    <m/>
    <m/>
    <m/>
    <m/>
    <m/>
    <m/>
    <n v="4077"/>
    <n v="7"/>
  </r>
  <r>
    <x v="32"/>
    <s v="Robin Meyerhoff"/>
    <x v="19"/>
    <m/>
    <s v="Innovation"/>
    <s v="GCO – Industry Cloud "/>
    <s v="No"/>
    <s v="Global"/>
    <n v="1613"/>
    <n v="2"/>
    <m/>
    <m/>
    <m/>
    <m/>
    <m/>
    <m/>
    <m/>
    <m/>
    <n v="1613"/>
    <n v="2"/>
  </r>
  <r>
    <x v="33"/>
    <s v="Suan Jee Janice Ng"/>
    <x v="20"/>
    <m/>
    <s v="Corporate"/>
    <s v="GCO – HR (SuccessFactors)"/>
    <s v="No"/>
    <s v="Global"/>
    <n v="729"/>
    <n v="0"/>
    <m/>
    <m/>
    <m/>
    <m/>
    <m/>
    <m/>
    <m/>
    <m/>
    <n v="729"/>
    <n v="0"/>
  </r>
  <r>
    <x v="34"/>
    <s v="Paul Taylor"/>
    <x v="21"/>
    <m/>
    <s v="Innovation"/>
    <s v="GCO – Industry Cloud "/>
    <s v="No"/>
    <s v="Global"/>
    <n v="7120"/>
    <n v="13"/>
    <m/>
    <m/>
    <n v="1507"/>
    <n v="0"/>
    <n v="613"/>
    <n v="0"/>
    <m/>
    <m/>
    <n v="9240"/>
    <n v="13"/>
  </r>
  <r>
    <x v="35"/>
    <s v="Paul Taylor"/>
    <x v="21"/>
    <m/>
    <s v="Innovation"/>
    <s v="GCO – HR (SuccessFactors)"/>
    <s v="Yes"/>
    <s v="Global"/>
    <n v="1850"/>
    <n v="8"/>
    <m/>
    <m/>
    <n v="600"/>
    <n v="0"/>
    <n v="862"/>
    <n v="0"/>
    <m/>
    <m/>
    <n v="3312"/>
    <n v="8"/>
  </r>
  <r>
    <x v="36"/>
    <s v="Judith Magyar"/>
    <x v="21"/>
    <m/>
    <s v="Innovation"/>
    <s v="GCO – Platform Solutions"/>
    <s v="Yes"/>
    <s v="Global"/>
    <n v="1516"/>
    <n v="4"/>
    <m/>
    <m/>
    <m/>
    <m/>
    <m/>
    <m/>
    <m/>
    <m/>
    <n v="1516"/>
    <n v="4"/>
  </r>
  <r>
    <x v="37"/>
    <s v="Robin Meyerhoff"/>
    <x v="21"/>
    <m/>
    <s v="Healthcare"/>
    <s v="GCO – Platform Solutions"/>
    <s v="No"/>
    <s v="Global"/>
    <n v="906"/>
    <n v="0"/>
    <m/>
    <m/>
    <n v="178"/>
    <n v="0"/>
    <n v="2276"/>
    <n v="0"/>
    <m/>
    <m/>
    <n v="3360"/>
    <n v="0"/>
  </r>
  <r>
    <x v="38"/>
    <s v="Christine Susanne Mueller"/>
    <x v="22"/>
    <m/>
    <s v="Innovation"/>
    <s v="Human Resources (SAP HR and employee stories)"/>
    <s v="No"/>
    <s v="Global"/>
    <n v="2094"/>
    <n v="23"/>
    <m/>
    <m/>
    <m/>
    <m/>
    <m/>
    <m/>
    <m/>
    <m/>
    <n v="2094"/>
    <n v="23"/>
  </r>
  <r>
    <x v="39"/>
    <s v="Susan Galer"/>
    <x v="22"/>
    <m/>
    <s v="Youth"/>
    <s v="GCO – Other"/>
    <s v="No"/>
    <s v="Global"/>
    <n v="1946"/>
    <n v="3"/>
    <m/>
    <m/>
    <m/>
    <m/>
    <m/>
    <m/>
    <m/>
    <m/>
    <n v="1946"/>
    <n v="3"/>
  </r>
  <r>
    <x v="8"/>
    <s v="Miriam Siebeking"/>
    <x v="23"/>
    <m/>
    <s v="Corporate"/>
    <s v="Corporate"/>
    <s v="No"/>
    <s v="Global"/>
    <n v="2104"/>
    <n v="0"/>
    <m/>
    <m/>
    <m/>
    <m/>
    <m/>
    <m/>
    <m/>
    <m/>
    <n v="2104"/>
    <n v="0"/>
  </r>
  <r>
    <x v="40"/>
    <s v="Judith Magyar"/>
    <x v="24"/>
    <m/>
    <s v="Innovation"/>
    <s v="GCO – Platform Solutions"/>
    <s v="Yes"/>
    <s v="Global"/>
    <n v="2485"/>
    <n v="5"/>
    <m/>
    <m/>
    <n v="249"/>
    <n v="0"/>
    <n v="850"/>
    <n v="0"/>
    <m/>
    <m/>
    <n v="3584"/>
    <n v="5"/>
  </r>
  <r>
    <x v="41"/>
    <s v="Building Bridges"/>
    <x v="25"/>
    <m/>
    <s v="Corporate"/>
    <s v="Corporate"/>
    <s v="No"/>
    <s v="Global"/>
    <n v="1567"/>
    <n v="12"/>
    <m/>
    <m/>
    <m/>
    <m/>
    <m/>
    <m/>
    <m/>
    <m/>
    <n v="1567"/>
    <n v="12"/>
  </r>
  <r>
    <x v="42"/>
    <s v="Corinna Machmeier"/>
    <x v="25"/>
    <m/>
    <s v="Youth"/>
    <s v="Human Resources (SAP HR and employee stories)"/>
    <s v="No"/>
    <s v="Global"/>
    <n v="858"/>
    <n v="1"/>
    <m/>
    <m/>
    <m/>
    <m/>
    <m/>
    <m/>
    <m/>
    <m/>
    <n v="858"/>
    <n v="1"/>
  </r>
  <r>
    <x v="43"/>
    <s v="Miriam Siebeking"/>
    <x v="26"/>
    <m/>
    <s v="Corporate"/>
    <s v="Corporate"/>
    <s v="No"/>
    <s v="Global"/>
    <n v="1726"/>
    <n v="5"/>
    <m/>
    <m/>
    <m/>
    <m/>
    <m/>
    <m/>
    <m/>
    <m/>
    <n v="1726"/>
    <n v="5"/>
  </r>
  <r>
    <x v="44"/>
    <s v="Miriam Siebeking"/>
    <x v="26"/>
    <m/>
    <s v="Corporate"/>
    <s v="Human Resources (SAP HR and employee stories)"/>
    <s v="No"/>
    <s v="Global"/>
    <n v="958"/>
    <n v="0"/>
    <m/>
    <m/>
    <m/>
    <m/>
    <m/>
    <m/>
    <m/>
    <m/>
    <n v="958"/>
    <n v="0"/>
  </r>
  <r>
    <x v="45"/>
    <s v="Michael Zipf"/>
    <x v="27"/>
    <m/>
    <s v="Sports"/>
    <s v="GCO – Platform Solutions"/>
    <s v="Yes"/>
    <s v="Global"/>
    <n v="2021"/>
    <n v="16"/>
    <m/>
    <m/>
    <m/>
    <m/>
    <m/>
    <m/>
    <m/>
    <m/>
    <n v="2021"/>
    <n v="16"/>
  </r>
  <r>
    <x v="46"/>
    <s v="Susan Galer"/>
    <x v="27"/>
    <m/>
    <s v="Healthcare"/>
    <s v="GCO – Industry Cloud "/>
    <s v="No"/>
    <s v="Global"/>
    <n v="619"/>
    <n v="4"/>
    <n v="1014"/>
    <n v="0"/>
    <m/>
    <m/>
    <m/>
    <m/>
    <m/>
    <m/>
    <n v="1633"/>
    <n v="4"/>
  </r>
  <r>
    <x v="47"/>
    <s v="Tibor Hornyak"/>
    <x v="27"/>
    <m/>
    <s v="Innovation"/>
    <s v="Office of the CEO"/>
    <s v="No"/>
    <s v="Global"/>
    <n v="1720"/>
    <n v="3"/>
    <m/>
    <m/>
    <m/>
    <m/>
    <m/>
    <m/>
    <m/>
    <m/>
    <n v="1720"/>
    <n v="3"/>
  </r>
  <r>
    <x v="48"/>
    <s v="Judith Magyar"/>
    <x v="28"/>
    <m/>
    <s v="Innovation"/>
    <s v="GCO – Platform Solutions"/>
    <s v="Yes"/>
    <s v="Global"/>
    <n v="1503"/>
    <n v="6"/>
    <m/>
    <m/>
    <n v="776"/>
    <n v="0"/>
    <m/>
    <m/>
    <m/>
    <m/>
    <n v="2279"/>
    <n v="6"/>
  </r>
  <r>
    <x v="49"/>
    <s v="Jerry Janda"/>
    <x v="28"/>
    <s v="Infographic"/>
    <s v="Innovation"/>
    <s v="GCO – Industry Cloud "/>
    <s v="No"/>
    <s v="Global"/>
    <n v="1037"/>
    <n v="2"/>
    <m/>
    <m/>
    <m/>
    <m/>
    <m/>
    <m/>
    <m/>
    <m/>
    <n v="1037"/>
    <n v="2"/>
  </r>
  <r>
    <x v="50"/>
    <s v="Nicola Leske"/>
    <x v="29"/>
    <m/>
    <s v="Innovation"/>
    <s v="GCO – Industry Cloud "/>
    <s v="Yes"/>
    <s v="LATAM"/>
    <n v="2269"/>
    <n v="14"/>
    <m/>
    <m/>
    <m/>
    <m/>
    <m/>
    <m/>
    <m/>
    <m/>
    <n v="2269"/>
    <n v="14"/>
  </r>
  <r>
    <x v="51"/>
    <s v="Bettina Wunderle"/>
    <x v="29"/>
    <m/>
    <s v="Innovation"/>
    <s v="Office of the CEO"/>
    <s v="No"/>
    <s v="Global"/>
    <n v="975"/>
    <n v="9"/>
    <m/>
    <m/>
    <m/>
    <m/>
    <m/>
    <m/>
    <m/>
    <m/>
    <n v="975"/>
    <n v="9"/>
  </r>
  <r>
    <x v="52"/>
    <s v="Kesja Cichowski"/>
    <x v="30"/>
    <m/>
    <s v="Corporate"/>
    <s v="Human Resources (SAP HR and employee stories)"/>
    <s v="No"/>
    <s v="Global"/>
    <n v="2311"/>
    <n v="57"/>
    <m/>
    <m/>
    <m/>
    <m/>
    <m/>
    <m/>
    <m/>
    <m/>
    <n v="2311"/>
    <n v="57"/>
  </r>
  <r>
    <x v="53"/>
    <s v="Sonakishi Nandy"/>
    <x v="30"/>
    <m/>
    <s v="Innovation"/>
    <s v="P&amp;I (Research &amp; Development)"/>
    <s v="No"/>
    <s v="EMEA"/>
    <n v="2616"/>
    <n v="11"/>
    <m/>
    <m/>
    <m/>
    <m/>
    <m/>
    <m/>
    <m/>
    <m/>
    <n v="2616"/>
    <n v="11"/>
  </r>
  <r>
    <x v="54"/>
    <s v="Lena Walther"/>
    <x v="31"/>
    <s v="Video"/>
    <s v="Sports"/>
    <s v="GCO – Industry Cloud "/>
    <s v="Yes"/>
    <s v="Global"/>
    <n v="1400"/>
    <n v="11"/>
    <m/>
    <m/>
    <m/>
    <m/>
    <m/>
    <m/>
    <m/>
    <m/>
    <n v="1400"/>
    <n v="11"/>
  </r>
  <r>
    <x v="55"/>
    <s v="Michael Zipf"/>
    <x v="32"/>
    <m/>
    <s v="Innovation"/>
    <s v="GCO – Regions"/>
    <s v="No"/>
    <s v="Global"/>
    <n v="718"/>
    <n v="1"/>
    <m/>
    <m/>
    <m/>
    <m/>
    <m/>
    <m/>
    <m/>
    <m/>
    <n v="718"/>
    <n v="1"/>
  </r>
  <r>
    <x v="56"/>
    <s v="Stephan Magura"/>
    <x v="33"/>
    <m/>
    <s v="Innovation"/>
    <s v="Corporate"/>
    <s v="No"/>
    <s v="EMEA"/>
    <n v="1999"/>
    <n v="8"/>
    <m/>
    <m/>
    <m/>
    <m/>
    <m/>
    <m/>
    <m/>
    <m/>
    <n v="1999"/>
    <n v="8"/>
  </r>
  <r>
    <x v="57"/>
    <s v="Judith Magyar"/>
    <x v="34"/>
    <s v="Infographic"/>
    <s v="Innovation"/>
    <s v="GCO – Industry Cloud "/>
    <s v="No"/>
    <s v="Global"/>
    <n v="1004"/>
    <n v="5"/>
    <m/>
    <m/>
    <n v="196"/>
    <n v="0"/>
    <n v="393"/>
    <n v="0"/>
    <m/>
    <m/>
    <n v="1593"/>
    <n v="5"/>
  </r>
  <r>
    <x v="58"/>
    <s v="Paul Taylor"/>
    <x v="34"/>
    <s v="Infographic"/>
    <s v="Healthcare"/>
    <s v="GCO – Platform Solutions"/>
    <s v="No"/>
    <s v="Global"/>
    <n v="792"/>
    <n v="4"/>
    <m/>
    <m/>
    <n v="195"/>
    <n v="0"/>
    <n v="492"/>
    <n v="0"/>
    <m/>
    <m/>
    <n v="1479"/>
    <n v="4"/>
  </r>
  <r>
    <x v="59"/>
    <s v="Amira Polack"/>
    <x v="35"/>
    <s v="Infographic"/>
    <s v="Corporate"/>
    <s v="Human Resources (SAP HR and employee stories)"/>
    <s v="No"/>
    <s v="Global"/>
    <n v="3171"/>
    <n v="8"/>
    <m/>
    <m/>
    <m/>
    <m/>
    <m/>
    <m/>
    <m/>
    <m/>
    <n v="3171"/>
    <n v="8"/>
  </r>
  <r>
    <x v="60"/>
    <s v="Paul Baur"/>
    <x v="36"/>
    <s v="Video"/>
    <s v="Corporate"/>
    <s v="Human Resources (SAP HR and employee stories)"/>
    <s v="No"/>
    <s v="Global"/>
    <n v="2236"/>
    <n v="43"/>
    <m/>
    <m/>
    <m/>
    <m/>
    <m/>
    <m/>
    <m/>
    <m/>
    <n v="2236"/>
    <n v="43"/>
  </r>
  <r>
    <x v="61"/>
    <s v="Torsten Falk"/>
    <x v="36"/>
    <m/>
    <s v="Corporate"/>
    <s v="Human Resources (SAP HR and employee stories)"/>
    <s v="No"/>
    <s v="Global"/>
    <n v="2277"/>
    <n v="14"/>
    <m/>
    <m/>
    <m/>
    <m/>
    <m/>
    <m/>
    <m/>
    <m/>
    <n v="2277"/>
    <n v="14"/>
  </r>
  <r>
    <x v="62"/>
    <s v="Christine Kubach"/>
    <x v="37"/>
    <m/>
    <s v="Innovation"/>
    <s v="P&amp;I (Research &amp; Development)"/>
    <s v="No"/>
    <s v="Global"/>
    <n v="2891"/>
    <n v="18"/>
    <m/>
    <m/>
    <m/>
    <m/>
    <m/>
    <m/>
    <m/>
    <m/>
    <n v="2891"/>
    <n v="18"/>
  </r>
  <r>
    <x v="63"/>
    <s v="Jacqueline Prause"/>
    <x v="37"/>
    <m/>
    <s v="Corporate"/>
    <s v="GCO – Platform Solutions"/>
    <s v="No"/>
    <s v="EMEA"/>
    <n v="813"/>
    <n v="5"/>
    <m/>
    <m/>
    <m/>
    <m/>
    <m/>
    <m/>
    <m/>
    <m/>
    <n v="813"/>
    <n v="5"/>
  </r>
  <r>
    <x v="64"/>
    <s v="Paul Taylor"/>
    <x v="37"/>
    <s v="Video"/>
    <s v="Innovation"/>
    <s v="GCO – Platform Solutions"/>
    <s v="No"/>
    <s v="EMEA"/>
    <n v="273"/>
    <n v="0"/>
    <n v="5602"/>
    <n v="0"/>
    <n v="75"/>
    <n v="0"/>
    <n v="355"/>
    <n v="0"/>
    <m/>
    <m/>
    <n v="6305"/>
    <n v="0"/>
  </r>
  <r>
    <x v="65"/>
    <s v="Jakob Braun"/>
    <x v="37"/>
    <m/>
    <s v="Innovation"/>
    <s v="GCO – Regions"/>
    <s v="No"/>
    <s v="China"/>
    <n v="661"/>
    <n v="0"/>
    <m/>
    <m/>
    <m/>
    <m/>
    <m/>
    <m/>
    <m/>
    <m/>
    <n v="661"/>
    <n v="0"/>
  </r>
  <r>
    <x v="66"/>
    <s v="Jacqueline Prause"/>
    <x v="38"/>
    <m/>
    <s v="Innovation"/>
    <s v="GCO – Platform Solutions"/>
    <s v="No"/>
    <s v="EMEA"/>
    <n v="819"/>
    <n v="0"/>
    <m/>
    <m/>
    <m/>
    <m/>
    <m/>
    <m/>
    <m/>
    <m/>
    <n v="819"/>
    <n v="0"/>
  </r>
  <r>
    <x v="67"/>
    <s v="Torsten Falk"/>
    <x v="39"/>
    <m/>
    <s v="Corporate"/>
    <s v="Human Resources (SAP HR and employee stories)"/>
    <s v="No"/>
    <s v="Global"/>
    <n v="2283"/>
    <n v="16"/>
    <m/>
    <m/>
    <m/>
    <m/>
    <m/>
    <m/>
    <m/>
    <m/>
    <n v="2283"/>
    <n v="16"/>
  </r>
  <r>
    <x v="68"/>
    <s v="Marcus Krug"/>
    <x v="39"/>
    <s v="Video"/>
    <s v="Youth"/>
    <s v="P&amp;I (Research &amp; Development)"/>
    <s v="No"/>
    <s v="Global"/>
    <n v="2554"/>
    <n v="7"/>
    <m/>
    <m/>
    <m/>
    <m/>
    <m/>
    <m/>
    <m/>
    <m/>
    <n v="2554"/>
    <n v="7"/>
  </r>
  <r>
    <x v="69"/>
    <s v="Judith Magyar"/>
    <x v="39"/>
    <m/>
    <s v="Innovation"/>
    <s v="GCO – Platform Solutions"/>
    <s v="Yes"/>
    <s v="EMEA"/>
    <n v="1032"/>
    <n v="3"/>
    <m/>
    <m/>
    <n v="305"/>
    <n v="0"/>
    <m/>
    <m/>
    <m/>
    <m/>
    <n v="1337"/>
    <n v="3"/>
  </r>
  <r>
    <x v="70"/>
    <s v="Anne Hardy"/>
    <x v="40"/>
    <m/>
    <s v="Corporate"/>
    <s v="Human Resources (SAP HR and employee stories)"/>
    <s v="No"/>
    <s v="Global"/>
    <n v="1569"/>
    <n v="6"/>
    <m/>
    <m/>
    <m/>
    <m/>
    <m/>
    <m/>
    <m/>
    <m/>
    <n v="1569"/>
    <n v="6"/>
  </r>
  <r>
    <x v="71"/>
    <s v="Torsten Falk"/>
    <x v="41"/>
    <m/>
    <s v="Corporate"/>
    <s v="Human Resources (SAP HR and employee stories)"/>
    <s v="No"/>
    <s v="Global"/>
    <n v="2869"/>
    <n v="8"/>
    <m/>
    <m/>
    <m/>
    <m/>
    <m/>
    <m/>
    <m/>
    <m/>
    <n v="2869"/>
    <n v="8"/>
  </r>
  <r>
    <x v="72"/>
    <s v="Teara Kuhn"/>
    <x v="41"/>
    <s v="Video"/>
    <s v="Innovation"/>
    <s v="P&amp;I (Research &amp; Development)"/>
    <s v="No"/>
    <s v="Global"/>
    <n v="2316"/>
    <n v="3"/>
    <m/>
    <m/>
    <m/>
    <m/>
    <m/>
    <m/>
    <m/>
    <m/>
    <n v="2316"/>
    <n v="3"/>
  </r>
  <r>
    <x v="73"/>
    <s v="Nadia Boyes"/>
    <x v="42"/>
    <s v="Video"/>
    <s v="Corporate"/>
    <s v="Human Resources (SAP HR and employee stories)"/>
    <s v="No"/>
    <s v="Global"/>
    <n v="1186"/>
    <n v="6"/>
    <m/>
    <m/>
    <m/>
    <m/>
    <m/>
    <m/>
    <m/>
    <m/>
    <n v="1186"/>
    <n v="6"/>
  </r>
  <r>
    <x v="74"/>
    <s v="Ursula Kreuch"/>
    <x v="42"/>
    <s v="Video"/>
    <s v="Innovation"/>
    <s v="GCO – Services Sales"/>
    <s v="No"/>
    <s v="Global"/>
    <n v="3610"/>
    <n v="2"/>
    <m/>
    <m/>
    <m/>
    <m/>
    <m/>
    <m/>
    <m/>
    <m/>
    <n v="3610"/>
    <n v="2"/>
  </r>
  <r>
    <x v="75"/>
    <s v="Judith Magyar"/>
    <x v="43"/>
    <s v="Infographic"/>
    <s v="Innovation"/>
    <s v="GCO – Platform Solutions"/>
    <s v="No"/>
    <s v="Global"/>
    <n v="1362"/>
    <n v="4"/>
    <m/>
    <m/>
    <n v="251"/>
    <n v="0"/>
    <m/>
    <m/>
    <m/>
    <m/>
    <n v="1613"/>
    <n v="4"/>
  </r>
  <r>
    <x v="76"/>
    <s v="Susan Jee Janice Ng"/>
    <x v="43"/>
    <s v="Video"/>
    <s v="Innovation"/>
    <s v="GCO – Industry Cloud "/>
    <s v="No"/>
    <s v="APJ"/>
    <n v="1071"/>
    <n v="3"/>
    <m/>
    <m/>
    <m/>
    <m/>
    <m/>
    <m/>
    <m/>
    <m/>
    <n v="1071"/>
    <n v="3"/>
  </r>
  <r>
    <x v="77"/>
    <s v="Susan Orenstein"/>
    <x v="44"/>
    <m/>
    <s v="Corporate"/>
    <s v="Human Resources (SAP HR and employee stories)"/>
    <s v="No"/>
    <s v="Global"/>
    <n v="1629"/>
    <n v="47"/>
    <m/>
    <m/>
    <m/>
    <m/>
    <m/>
    <m/>
    <m/>
    <m/>
    <n v="1629"/>
    <n v="47"/>
  </r>
  <r>
    <x v="78"/>
    <s v="Andrea Diederichs"/>
    <x v="45"/>
    <m/>
    <s v="Corporate"/>
    <s v="Human Resources (SAP HR and employee stories)"/>
    <s v="No"/>
    <s v="Global"/>
    <n v="3907"/>
    <n v="49"/>
    <m/>
    <m/>
    <n v="407"/>
    <n v="0"/>
    <m/>
    <m/>
    <m/>
    <m/>
    <n v="4314"/>
    <n v="49"/>
  </r>
  <r>
    <x v="79"/>
    <s v="Susan Galer"/>
    <x v="45"/>
    <s v="Video"/>
    <s v="Youth"/>
    <s v="Human Resources (SAP HR and employee stories)"/>
    <s v="No"/>
    <s v="Global"/>
    <n v="1855"/>
    <n v="4"/>
    <m/>
    <m/>
    <m/>
    <m/>
    <m/>
    <m/>
    <m/>
    <m/>
    <n v="1855"/>
    <n v="4"/>
  </r>
  <r>
    <x v="80"/>
    <s v="Anna Burkhadt"/>
    <x v="46"/>
    <m/>
    <s v="Innovation"/>
    <s v="GCO – Customer Engagement &amp; Commerce (CRM &amp; hybris) "/>
    <s v="No"/>
    <s v="Global"/>
    <n v="2322"/>
    <n v="6"/>
    <m/>
    <m/>
    <m/>
    <m/>
    <m/>
    <m/>
    <m/>
    <m/>
    <n v="2322"/>
    <n v="6"/>
  </r>
  <r>
    <x v="81"/>
    <s v="Susan Orenstein"/>
    <x v="47"/>
    <s v="Slideshow"/>
    <s v="Corporate"/>
    <s v="Corporate"/>
    <s v="No"/>
    <s v="NA"/>
    <n v="7908"/>
    <n v="37"/>
    <m/>
    <m/>
    <m/>
    <m/>
    <m/>
    <m/>
    <m/>
    <m/>
    <n v="7908"/>
    <n v="37"/>
  </r>
  <r>
    <x v="82"/>
    <s v="Torsten Falk"/>
    <x v="47"/>
    <m/>
    <s v="Corporate"/>
    <s v="GCO – Services Sales"/>
    <s v="No"/>
    <s v="Global"/>
    <n v="1144"/>
    <n v="4"/>
    <m/>
    <m/>
    <m/>
    <m/>
    <m/>
    <m/>
    <m/>
    <m/>
    <n v="1144"/>
    <n v="4"/>
  </r>
  <r>
    <x v="83"/>
    <s v="Stephan Magura"/>
    <x v="48"/>
    <m/>
    <s v="Corporate"/>
    <s v="Human Resources (SAP HR and employee stories)"/>
    <s v="No"/>
    <s v="EMEA"/>
    <n v="1132"/>
    <n v="6"/>
    <m/>
    <m/>
    <m/>
    <m/>
    <m/>
    <m/>
    <m/>
    <m/>
    <n v="1132"/>
    <n v="6"/>
  </r>
  <r>
    <x v="84"/>
    <s v="Judith Magyar"/>
    <x v="48"/>
    <m/>
    <s v="Innovation"/>
    <s v="Business Network (Concur, Ariba, Fieldglass)"/>
    <s v="Yes"/>
    <s v="LATAM"/>
    <n v="1041"/>
    <n v="2"/>
    <m/>
    <m/>
    <n v="661"/>
    <n v="0"/>
    <m/>
    <m/>
    <m/>
    <m/>
    <n v="1702"/>
    <n v="2"/>
  </r>
  <r>
    <x v="85"/>
    <s v="Miriam Siebeking"/>
    <x v="49"/>
    <m/>
    <s v="Corporate"/>
    <s v="Corporate"/>
    <s v="No"/>
    <s v="Global"/>
    <n v="2080"/>
    <n v="3"/>
    <m/>
    <m/>
    <m/>
    <m/>
    <m/>
    <m/>
    <m/>
    <m/>
    <n v="2080"/>
    <n v="3"/>
  </r>
  <r>
    <x v="86"/>
    <s v="Diana Pauly"/>
    <x v="50"/>
    <s v="Infographic"/>
    <s v="Corporate"/>
    <s v="Human Resources (SAP HR and employee stories)"/>
    <s v="No"/>
    <s v="Global"/>
    <n v="2252"/>
    <n v="4"/>
    <m/>
    <m/>
    <m/>
    <m/>
    <m/>
    <m/>
    <m/>
    <m/>
    <n v="2252"/>
    <n v="4"/>
  </r>
  <r>
    <x v="87"/>
    <s v="Kesja Cichowski"/>
    <x v="50"/>
    <m/>
    <s v="Innovation"/>
    <s v="Corporate"/>
    <s v="No"/>
    <s v="Global"/>
    <n v="714"/>
    <n v="0"/>
    <m/>
    <m/>
    <m/>
    <m/>
    <m/>
    <m/>
    <m/>
    <m/>
    <n v="714"/>
    <n v="0"/>
  </r>
  <r>
    <x v="88"/>
    <s v="Emily Scorer"/>
    <x v="51"/>
    <m/>
    <s v="Sports"/>
    <s v="GCO – Platform Solutions"/>
    <s v="Yes"/>
    <s v="Global"/>
    <n v="1377"/>
    <n v="12"/>
    <m/>
    <m/>
    <n v="1000"/>
    <n v="0"/>
    <m/>
    <m/>
    <m/>
    <m/>
    <n v="2377"/>
    <n v="12"/>
  </r>
  <r>
    <x v="89"/>
    <s v="Debra Curtis-Magley"/>
    <x v="51"/>
    <m/>
    <s v="Innovation"/>
    <s v="Business Network (Concur, Ariba, Fieldglass)"/>
    <s v="No"/>
    <s v="Global"/>
    <n v="1277"/>
    <n v="2"/>
    <m/>
    <m/>
    <m/>
    <m/>
    <m/>
    <m/>
    <m/>
    <m/>
    <n v="1277"/>
    <n v="2"/>
  </r>
  <r>
    <x v="90"/>
    <s v="Tim Clark"/>
    <x v="52"/>
    <s v="Video"/>
    <s v="Innovation"/>
    <s v="GCO – Other"/>
    <s v="No"/>
    <s v="NA"/>
    <n v="635"/>
    <n v="2"/>
    <n v="2384"/>
    <n v="0"/>
    <m/>
    <m/>
    <m/>
    <m/>
    <m/>
    <m/>
    <n v="3019"/>
    <n v="2"/>
  </r>
  <r>
    <x v="91"/>
    <s v="Kesja Cichowski"/>
    <x v="52"/>
    <s v="Video, Slideshow"/>
    <s v="Youth"/>
    <s v="Corporate"/>
    <s v="No"/>
    <s v="EMEA"/>
    <n v="704"/>
    <n v="0"/>
    <m/>
    <m/>
    <m/>
    <m/>
    <m/>
    <m/>
    <m/>
    <m/>
    <n v="704"/>
    <n v="0"/>
  </r>
  <r>
    <x v="92"/>
    <s v="Emily Scorer"/>
    <x v="53"/>
    <m/>
    <s v="Healthcare"/>
    <s v="Human Resources (SAP HR and employee stories)"/>
    <s v="No"/>
    <s v="Global"/>
    <n v="3701"/>
    <n v="53"/>
    <m/>
    <m/>
    <m/>
    <m/>
    <m/>
    <m/>
    <m/>
    <m/>
    <n v="3701"/>
    <n v="53"/>
  </r>
  <r>
    <x v="93"/>
    <s v="Judith Magyar"/>
    <x v="54"/>
    <m/>
    <s v="Innovation"/>
    <s v="GCO – Platform Solutions"/>
    <s v="Yes"/>
    <s v="LATAM"/>
    <n v="1342"/>
    <n v="6"/>
    <m/>
    <m/>
    <n v="172"/>
    <n v="0"/>
    <m/>
    <m/>
    <m/>
    <m/>
    <n v="1514"/>
    <n v="6"/>
  </r>
  <r>
    <x v="94"/>
    <s v="Jenny Dearborn"/>
    <x v="54"/>
    <s v="Video, Infographic"/>
    <s v="Corporate"/>
    <s v="Human Resources (SAP HR and employee stories)"/>
    <s v="No"/>
    <s v="Global"/>
    <n v="1353"/>
    <n v="4"/>
    <m/>
    <m/>
    <m/>
    <m/>
    <m/>
    <m/>
    <m/>
    <m/>
    <n v="1353"/>
    <n v="4"/>
  </r>
  <r>
    <x v="95"/>
    <s v="Michael Zipf"/>
    <x v="55"/>
    <s v="Video"/>
    <s v="Healthcare"/>
    <s v="GCO – Platform Solutions"/>
    <s v="Yes"/>
    <s v="EMEA"/>
    <n v="1009"/>
    <n v="3"/>
    <m/>
    <m/>
    <m/>
    <m/>
    <m/>
    <m/>
    <m/>
    <m/>
    <n v="1009"/>
    <n v="3"/>
  </r>
  <r>
    <x v="96"/>
    <s v="Michael Zipf"/>
    <x v="56"/>
    <s v="Slideshow"/>
    <s v="Corporate"/>
    <s v="Corporate"/>
    <s v="No"/>
    <s v="Global"/>
    <n v="12284"/>
    <n v="103"/>
    <m/>
    <m/>
    <m/>
    <m/>
    <m/>
    <m/>
    <m/>
    <m/>
    <n v="12284"/>
    <n v="103"/>
  </r>
  <r>
    <x v="97"/>
    <s v="Chistiane Kubach"/>
    <x v="56"/>
    <s v="Video"/>
    <s v="Innovation"/>
    <s v="GCO – Regions"/>
    <s v="No"/>
    <s v="China"/>
    <n v="863"/>
    <n v="24"/>
    <m/>
    <m/>
    <m/>
    <m/>
    <m/>
    <m/>
    <m/>
    <m/>
    <n v="863"/>
    <n v="24"/>
  </r>
  <r>
    <x v="98"/>
    <s v="Paul Baur"/>
    <x v="56"/>
    <m/>
    <s v="Healthcare"/>
    <s v="GCO – Platform Solutions"/>
    <s v="Yes"/>
    <s v="Global"/>
    <n v="1785"/>
    <n v="12"/>
    <m/>
    <m/>
    <m/>
    <m/>
    <n v="1597"/>
    <n v="7"/>
    <m/>
    <m/>
    <n v="3382"/>
    <n v="19"/>
  </r>
  <r>
    <x v="99"/>
    <s v="Susan Galer"/>
    <x v="56"/>
    <s v="Video"/>
    <s v="Corporate"/>
    <s v="GCO – HR (SuccessFactors)"/>
    <s v="No"/>
    <s v="Global"/>
    <n v="722"/>
    <n v="0"/>
    <n v="2156"/>
    <n v="1"/>
    <m/>
    <m/>
    <m/>
    <m/>
    <m/>
    <m/>
    <n v="2878"/>
    <n v="1"/>
  </r>
  <r>
    <x v="100"/>
    <s v="Michael Zipf"/>
    <x v="56"/>
    <m/>
    <s v="Corporate"/>
    <s v="Corporate"/>
    <s v="No"/>
    <s v="Global"/>
    <n v="829"/>
    <n v="1"/>
    <m/>
    <m/>
    <m/>
    <m/>
    <m/>
    <m/>
    <m/>
    <m/>
    <n v="829"/>
    <n v="1"/>
  </r>
  <r>
    <x v="101"/>
    <s v="Christine Donato"/>
    <x v="57"/>
    <m/>
    <s v="Healthcare"/>
    <s v="GCO – Platform Solutions"/>
    <s v="Yes"/>
    <s v="Global"/>
    <n v="541"/>
    <n v="0"/>
    <m/>
    <m/>
    <m/>
    <m/>
    <m/>
    <m/>
    <m/>
    <m/>
    <n v="541"/>
    <n v="0"/>
  </r>
  <r>
    <x v="102"/>
    <s v="Anita Riegel"/>
    <x v="58"/>
    <m/>
    <s v="Innovation"/>
    <s v="GCO – Industry Cloud "/>
    <s v="No"/>
    <s v="EMEA"/>
    <n v="768"/>
    <n v="0"/>
    <m/>
    <m/>
    <m/>
    <m/>
    <m/>
    <m/>
    <m/>
    <m/>
    <n v="768"/>
    <n v="0"/>
  </r>
  <r>
    <x v="103"/>
    <s v="Paul Taylor"/>
    <x v="59"/>
    <m/>
    <s v="Innovation"/>
    <s v="GCO – Regions"/>
    <s v="No"/>
    <s v="LATAM"/>
    <n v="873"/>
    <n v="6"/>
    <n v="7606"/>
    <n v="0"/>
    <n v="171"/>
    <n v="0"/>
    <n v="713"/>
    <n v="2"/>
    <m/>
    <m/>
    <n v="9363"/>
    <n v="8"/>
  </r>
  <r>
    <x v="85"/>
    <s v="Miriam Siebeking"/>
    <x v="59"/>
    <m/>
    <s v="Corporate"/>
    <s v="Corporate"/>
    <s v="No"/>
    <s v="Global"/>
    <n v="1120"/>
    <n v="0"/>
    <m/>
    <m/>
    <m/>
    <m/>
    <m/>
    <m/>
    <m/>
    <m/>
    <n v="1120"/>
    <n v="0"/>
  </r>
  <r>
    <x v="104"/>
    <s v="Judith Magyar"/>
    <x v="60"/>
    <m/>
    <s v="Innovation"/>
    <s v="GCO – Platform Solutions"/>
    <s v="Yes"/>
    <s v="Global"/>
    <n v="769"/>
    <n v="0"/>
    <m/>
    <m/>
    <m/>
    <m/>
    <m/>
    <m/>
    <m/>
    <m/>
    <n v="769"/>
    <n v="0"/>
  </r>
  <r>
    <x v="105"/>
    <s v="Diana Vega"/>
    <x v="61"/>
    <m/>
    <s v="Corporate"/>
    <s v="Human Resources (SAP HR and employee stories)"/>
    <s v="No"/>
    <s v="Global"/>
    <n v="1606"/>
    <n v="23"/>
    <m/>
    <m/>
    <m/>
    <m/>
    <m/>
    <m/>
    <m/>
    <m/>
    <n v="1606"/>
    <n v="23"/>
  </r>
  <r>
    <x v="106"/>
    <s v="Judith Magyar"/>
    <x v="61"/>
    <s v="Infographic"/>
    <s v="Innovation"/>
    <s v="GCO – Regions"/>
    <s v="Yes"/>
    <s v="LATAM"/>
    <n v="506"/>
    <n v="0"/>
    <m/>
    <m/>
    <m/>
    <m/>
    <m/>
    <m/>
    <m/>
    <m/>
    <n v="506"/>
    <n v="0"/>
  </r>
  <r>
    <x v="107"/>
    <s v="Robin Meyerhoff"/>
    <x v="62"/>
    <m/>
    <s v="Corporate"/>
    <s v="Human Resources (SAP HR and employee stories)"/>
    <s v="No"/>
    <s v="LATAM"/>
    <n v="977"/>
    <n v="8"/>
    <m/>
    <m/>
    <m/>
    <m/>
    <m/>
    <m/>
    <m/>
    <m/>
    <n v="977"/>
    <n v="8"/>
  </r>
  <r>
    <x v="108"/>
    <s v="Stephan Magura"/>
    <x v="62"/>
    <m/>
    <s v="Innovation"/>
    <s v="Services Delivery &amp; Support (go-lives and deployments) "/>
    <s v="No"/>
    <s v="Global"/>
    <n v="1651"/>
    <n v="2"/>
    <m/>
    <m/>
    <n v="89"/>
    <n v="0"/>
    <m/>
    <m/>
    <m/>
    <m/>
    <n v="1740"/>
    <n v="2"/>
  </r>
  <r>
    <x v="109"/>
    <s v="Jacqueline Prause"/>
    <x v="62"/>
    <m/>
    <s v="Healthcare"/>
    <s v="GCO – Industry Cloud "/>
    <s v="No"/>
    <s v="Global"/>
    <n v="503"/>
    <n v="0"/>
    <m/>
    <m/>
    <m/>
    <m/>
    <m/>
    <m/>
    <m/>
    <m/>
    <n v="503"/>
    <n v="0"/>
  </r>
  <r>
    <x v="110"/>
    <s v="Susan Galer"/>
    <x v="63"/>
    <m/>
    <s v="Youth"/>
    <s v="Human Resources (SAP HR and employee stories)"/>
    <s v="No"/>
    <s v="Global"/>
    <n v="745"/>
    <n v="1"/>
    <n v="3216"/>
    <n v="0"/>
    <m/>
    <m/>
    <m/>
    <m/>
    <m/>
    <m/>
    <n v="3961"/>
    <n v="1"/>
  </r>
  <r>
    <x v="111"/>
    <s v="Sarah Kellman"/>
    <x v="64"/>
    <m/>
    <s v="Innovation"/>
    <s v="GCO – Regions"/>
    <s v="No"/>
    <s v="EMEA"/>
    <n v="752"/>
    <n v="6"/>
    <m/>
    <m/>
    <n v="69"/>
    <n v="0"/>
    <n v="96"/>
    <n v="0"/>
    <m/>
    <m/>
    <n v="917"/>
    <n v="6"/>
  </r>
  <r>
    <x v="112"/>
    <s v="Judith Magyar"/>
    <x v="64"/>
    <m/>
    <s v="Innovation"/>
    <s v="GCO – Platform Solutions"/>
    <s v="Yes"/>
    <s v="EMEA"/>
    <n v="756"/>
    <n v="5"/>
    <m/>
    <m/>
    <n v="199"/>
    <n v="0"/>
    <m/>
    <m/>
    <m/>
    <m/>
    <n v="955"/>
    <n v="5"/>
  </r>
  <r>
    <x v="113"/>
    <s v="Stephanie Rieder"/>
    <x v="64"/>
    <s v="Video"/>
    <s v="Youth"/>
    <s v="Human Resources (SAP HR and employee stories)"/>
    <s v="No"/>
    <s v="EMEA"/>
    <n v="1835"/>
    <n v="4"/>
    <m/>
    <m/>
    <m/>
    <m/>
    <m/>
    <m/>
    <m/>
    <m/>
    <n v="1835"/>
    <n v="4"/>
  </r>
  <r>
    <x v="114"/>
    <s v="Andrea Diederichs"/>
    <x v="65"/>
    <s v="Slideshow"/>
    <s v="Innovation"/>
    <s v="Human Resources (SAP HR and employee stories)"/>
    <s v="No"/>
    <s v="EMEA"/>
    <n v="1709"/>
    <n v="33"/>
    <m/>
    <m/>
    <m/>
    <m/>
    <n v="594"/>
    <n v="0"/>
    <m/>
    <m/>
    <n v="2303"/>
    <n v="33"/>
  </r>
  <r>
    <x v="115"/>
    <s v="Teara Kuhn"/>
    <x v="65"/>
    <m/>
    <s v="Corporate"/>
    <s v="GCO – Industry Cloud "/>
    <s v="No"/>
    <s v="Global"/>
    <n v="1407"/>
    <n v="29"/>
    <m/>
    <m/>
    <m/>
    <m/>
    <m/>
    <m/>
    <m/>
    <m/>
    <n v="1407"/>
    <n v="29"/>
  </r>
  <r>
    <x v="116"/>
    <s v="Frederic Masse"/>
    <x v="65"/>
    <m/>
    <s v="Innovation"/>
    <s v="Office of the CEO"/>
    <s v="Yes"/>
    <s v="EMEA"/>
    <n v="2435"/>
    <n v="6"/>
    <m/>
    <m/>
    <m/>
    <m/>
    <m/>
    <m/>
    <m/>
    <m/>
    <n v="2435"/>
    <n v="6"/>
  </r>
  <r>
    <x v="117"/>
    <s v="Michael Zipf"/>
    <x v="66"/>
    <s v="Video"/>
    <s v="Innovation"/>
    <s v="GCO – Platform Solutions"/>
    <s v="No"/>
    <s v="Global"/>
    <n v="2475"/>
    <n v="1"/>
    <m/>
    <m/>
    <n v="2058"/>
    <n v="0"/>
    <m/>
    <m/>
    <m/>
    <m/>
    <n v="4533"/>
    <n v="1"/>
  </r>
  <r>
    <x v="118"/>
    <s v="Denise Broady"/>
    <x v="67"/>
    <m/>
    <s v="Corporate"/>
    <s v="Human Resources (SAP HR and employee stories)"/>
    <s v="No"/>
    <s v="APJ"/>
    <n v="2061"/>
    <n v="35"/>
    <m/>
    <m/>
    <m/>
    <m/>
    <m/>
    <m/>
    <m/>
    <m/>
    <n v="2061"/>
    <n v="35"/>
  </r>
  <r>
    <x v="119"/>
    <s v="Perry Manross"/>
    <x v="67"/>
    <m/>
    <s v="Corporate"/>
    <s v="Business Network (Concur, Ariba, Fieldglass)"/>
    <s v="No"/>
    <s v="Global"/>
    <n v="1832"/>
    <n v="8"/>
    <m/>
    <m/>
    <m/>
    <m/>
    <m/>
    <m/>
    <m/>
    <m/>
    <n v="1832"/>
    <n v="8"/>
  </r>
  <r>
    <x v="120"/>
    <s v="Emily Scorer"/>
    <x v="67"/>
    <s v="Video, Slideshow"/>
    <s v="Youth"/>
    <s v="Human Resources (SAP HR and employee stories)"/>
    <s v="No"/>
    <s v="APJ"/>
    <n v="2737"/>
    <n v="4"/>
    <m/>
    <m/>
    <n v="517"/>
    <n v="0"/>
    <m/>
    <m/>
    <m/>
    <m/>
    <n v="3254"/>
    <n v="4"/>
  </r>
  <r>
    <x v="121"/>
    <s v="Paul Baur"/>
    <x v="68"/>
    <s v="Video"/>
    <s v="Corporate"/>
    <s v="Corporate"/>
    <s v="No"/>
    <s v="Global"/>
    <n v="6989"/>
    <n v="7"/>
    <m/>
    <m/>
    <m/>
    <m/>
    <m/>
    <m/>
    <m/>
    <m/>
    <n v="6989"/>
    <n v="7"/>
  </r>
  <r>
    <x v="122"/>
    <s v="Torsten Falk"/>
    <x v="69"/>
    <s v="Video, Infographic, Slideshow"/>
    <s v="Corporate"/>
    <s v="Human Resources (SAP HR and employee stories)"/>
    <s v="No"/>
    <s v="Global"/>
    <n v="3178"/>
    <n v="20"/>
    <m/>
    <m/>
    <m/>
    <m/>
    <m/>
    <m/>
    <m/>
    <m/>
    <n v="3178"/>
    <n v="20"/>
  </r>
  <r>
    <x v="123"/>
    <s v="Emily Scorer"/>
    <x v="69"/>
    <m/>
    <s v="Corporate"/>
    <s v="Corporate"/>
    <s v="No"/>
    <s v="EMEA"/>
    <n v="823"/>
    <n v="12"/>
    <m/>
    <m/>
    <n v="80"/>
    <n v="0"/>
    <m/>
    <m/>
    <m/>
    <m/>
    <n v="903"/>
    <n v="12"/>
  </r>
  <r>
    <x v="124"/>
    <s v="Paul Baur"/>
    <x v="69"/>
    <s v="Video"/>
    <s v="Corporate"/>
    <s v="Corporate"/>
    <s v="No"/>
    <s v="Global"/>
    <n v="3952"/>
    <n v="3"/>
    <m/>
    <m/>
    <m/>
    <m/>
    <m/>
    <m/>
    <m/>
    <m/>
    <n v="3952"/>
    <n v="3"/>
  </r>
  <r>
    <x v="125"/>
    <s v="Judith Magyar"/>
    <x v="69"/>
    <s v="Video"/>
    <s v="Innovation"/>
    <s v="Business Network (Concur, Ariba, Fieldglass)"/>
    <s v="Yes"/>
    <s v="Global"/>
    <n v="965"/>
    <n v="0"/>
    <m/>
    <m/>
    <n v="159"/>
    <n v="0"/>
    <n v="261"/>
    <n v="0"/>
    <m/>
    <m/>
    <n v="1385"/>
    <n v="0"/>
  </r>
  <r>
    <x v="126"/>
    <s v="Emily Scorer"/>
    <x v="70"/>
    <s v="Video"/>
    <s v="Innovation"/>
    <s v="Human Resources (SAP HR and employee stories)"/>
    <s v="No"/>
    <s v="Global"/>
    <n v="955"/>
    <n v="7"/>
    <m/>
    <m/>
    <m/>
    <m/>
    <m/>
    <m/>
    <m/>
    <m/>
    <n v="955"/>
    <n v="7"/>
  </r>
  <r>
    <x v="127"/>
    <s v="Marcus Winkler"/>
    <x v="71"/>
    <s v="Slideshow, Video"/>
    <s v="Corporate"/>
    <s v="Corporate"/>
    <s v="No"/>
    <s v="Global"/>
    <n v="4268"/>
    <n v="24"/>
    <m/>
    <m/>
    <m/>
    <m/>
    <m/>
    <m/>
    <m/>
    <m/>
    <n v="4268"/>
    <n v="24"/>
  </r>
  <r>
    <x v="128"/>
    <s v="Michael Zipf"/>
    <x v="71"/>
    <s v="Video"/>
    <s v="Innovation"/>
    <s v="GCO – Industry Cloud "/>
    <s v="No"/>
    <s v="Global"/>
    <n v="1021"/>
    <n v="0"/>
    <m/>
    <m/>
    <n v="65"/>
    <n v="0"/>
    <m/>
    <m/>
    <m/>
    <m/>
    <n v="1086"/>
    <n v="0"/>
  </r>
  <r>
    <x v="129"/>
    <s v="Paul Baur"/>
    <x v="72"/>
    <s v="Video"/>
    <s v="Innovation"/>
    <s v="Corporate"/>
    <s v="No"/>
    <s v="Global"/>
    <n v="1183"/>
    <n v="4"/>
    <m/>
    <m/>
    <m/>
    <m/>
    <m/>
    <m/>
    <m/>
    <m/>
    <n v="1183"/>
    <n v="4"/>
  </r>
  <r>
    <x v="130"/>
    <s v="Judith Magyar"/>
    <x v="72"/>
    <s v="Video"/>
    <s v="Innovation"/>
    <s v="GCO – Industry Cloud "/>
    <s v="No"/>
    <s v="EMEA"/>
    <n v="951"/>
    <n v="1"/>
    <m/>
    <m/>
    <m/>
    <m/>
    <m/>
    <m/>
    <m/>
    <m/>
    <n v="951"/>
    <n v="1"/>
  </r>
  <r>
    <x v="131"/>
    <s v="Alicia Lenze"/>
    <x v="73"/>
    <m/>
    <s v="Corporate"/>
    <s v="Office of the CEO"/>
    <s v="No"/>
    <s v="Global"/>
    <n v="2429"/>
    <n v="61"/>
    <m/>
    <m/>
    <m/>
    <m/>
    <m/>
    <m/>
    <m/>
    <m/>
    <n v="2429"/>
    <n v="61"/>
  </r>
  <r>
    <x v="132"/>
    <s v="Judith Magyar"/>
    <x v="73"/>
    <m/>
    <s v="Youth"/>
    <s v="GCO – Regions"/>
    <s v="Yes"/>
    <s v="EMEA"/>
    <n v="555"/>
    <n v="9"/>
    <n v="5200"/>
    <n v="0"/>
    <n v="41"/>
    <n v="0"/>
    <n v="644"/>
    <n v="0"/>
    <m/>
    <m/>
    <n v="6440"/>
    <n v="9"/>
  </r>
  <r>
    <x v="133"/>
    <s v="Catherine Girardin"/>
    <x v="73"/>
    <m/>
    <s v="Innovation"/>
    <s v="GCO – Other"/>
    <s v="No"/>
    <s v="Global"/>
    <n v="1186"/>
    <n v="6"/>
    <m/>
    <m/>
    <m/>
    <m/>
    <m/>
    <m/>
    <m/>
    <m/>
    <n v="1186"/>
    <n v="6"/>
  </r>
  <r>
    <x v="134"/>
    <s v="Michael Zipf"/>
    <x v="74"/>
    <s v="Video"/>
    <s v="Sports"/>
    <s v="GCO – Platform Solutions"/>
    <s v="Yes"/>
    <s v="Global"/>
    <n v="1362"/>
    <n v="5"/>
    <m/>
    <m/>
    <n v="265"/>
    <n v="0"/>
    <m/>
    <m/>
    <m/>
    <m/>
    <n v="1627"/>
    <n v="5"/>
  </r>
  <r>
    <x v="135"/>
    <s v="Judith Magyar"/>
    <x v="74"/>
    <s v="Infographic"/>
    <s v="Innovation"/>
    <s v="Corporate"/>
    <s v="No"/>
    <s v="EMEA"/>
    <n v="439"/>
    <n v="4"/>
    <m/>
    <m/>
    <n v="201"/>
    <n v="0"/>
    <m/>
    <m/>
    <m/>
    <m/>
    <n v="640"/>
    <n v="4"/>
  </r>
  <r>
    <x v="136"/>
    <s v="Paul Baur"/>
    <x v="75"/>
    <m/>
    <s v="Corporate"/>
    <s v="Corporate"/>
    <s v="No"/>
    <s v="Global"/>
    <n v="2559"/>
    <n v="7"/>
    <m/>
    <m/>
    <n v="881"/>
    <n v="0"/>
    <m/>
    <m/>
    <m/>
    <m/>
    <n v="3440"/>
    <n v="7"/>
  </r>
  <r>
    <x v="137"/>
    <s v="Molli Jordan"/>
    <x v="75"/>
    <s v="Video"/>
    <s v="Youth"/>
    <s v="GCO – Platform Solutions"/>
    <s v="Yes"/>
    <s v="Global"/>
    <n v="1147"/>
    <n v="7"/>
    <m/>
    <m/>
    <m/>
    <m/>
    <m/>
    <m/>
    <m/>
    <m/>
    <n v="1147"/>
    <n v="7"/>
  </r>
  <r>
    <x v="138"/>
    <s v="Paul Taylor"/>
    <x v="75"/>
    <m/>
    <s v="Innovation"/>
    <s v="Corporate"/>
    <s v="No"/>
    <s v="Global"/>
    <n v="439"/>
    <n v="5"/>
    <n v="4613"/>
    <n v="1"/>
    <m/>
    <m/>
    <n v="845"/>
    <n v="0"/>
    <m/>
    <m/>
    <n v="5897"/>
    <n v="6"/>
  </r>
  <r>
    <x v="139"/>
    <s v="Jacqueline Prause"/>
    <x v="75"/>
    <m/>
    <s v="Corporate"/>
    <s v="Corporate"/>
    <s v="No"/>
    <s v="Global"/>
    <n v="736"/>
    <n v="1"/>
    <m/>
    <m/>
    <m/>
    <m/>
    <m/>
    <m/>
    <m/>
    <m/>
    <n v="736"/>
    <n v="1"/>
  </r>
  <r>
    <x v="140"/>
    <s v="Charlotte Otter"/>
    <x v="76"/>
    <m/>
    <s v="Innovation"/>
    <s v="Corporate"/>
    <s v="No"/>
    <s v="Global"/>
    <n v="652"/>
    <n v="2"/>
    <m/>
    <m/>
    <m/>
    <m/>
    <m/>
    <m/>
    <m/>
    <m/>
    <n v="652"/>
    <n v="2"/>
  </r>
  <r>
    <x v="141"/>
    <s v="Susan Galer"/>
    <x v="76"/>
    <m/>
    <s v="Innovation"/>
    <s v="GCO – HR (SuccessFactors)"/>
    <s v="Yes"/>
    <s v="Global"/>
    <n v="912"/>
    <n v="0"/>
    <n v="1105"/>
    <n v="0"/>
    <m/>
    <m/>
    <m/>
    <m/>
    <m/>
    <m/>
    <n v="2017"/>
    <n v="0"/>
  </r>
  <r>
    <x v="142"/>
    <s v="Paul Taylor"/>
    <x v="76"/>
    <m/>
    <s v="Innovation"/>
    <s v="GCO – Customer Engagement &amp; Commerce (CRM &amp; hybris) "/>
    <s v="No"/>
    <s v="Global"/>
    <n v="756"/>
    <m/>
    <m/>
    <m/>
    <n v="111"/>
    <n v="0"/>
    <n v="374"/>
    <n v="0"/>
    <m/>
    <m/>
    <n v="1241"/>
    <n v="0"/>
  </r>
  <r>
    <x v="143"/>
    <s v="Stephan Magura "/>
    <x v="77"/>
    <m/>
    <s v="Innovation"/>
    <s v="GCO – Industry Cloud "/>
    <s v="Yes"/>
    <s v="EMEA"/>
    <n v="749"/>
    <n v="8"/>
    <m/>
    <m/>
    <n v="262"/>
    <n v="0"/>
    <m/>
    <m/>
    <m/>
    <m/>
    <n v="1011"/>
    <n v="8"/>
  </r>
  <r>
    <x v="144"/>
    <s v="Paul Taylor"/>
    <x v="77"/>
    <s v="Infographic"/>
    <s v="Innovation"/>
    <s v="GCO – Industry Cloud "/>
    <s v="No"/>
    <s v="Global"/>
    <n v="2694"/>
    <n v="3"/>
    <m/>
    <m/>
    <m/>
    <m/>
    <m/>
    <m/>
    <m/>
    <m/>
    <n v="2694"/>
    <n v="3"/>
  </r>
  <r>
    <x v="145"/>
    <s v="Derek Klobucher"/>
    <x v="78"/>
    <m/>
    <s v="Innovation"/>
    <s v="Office of the CEO"/>
    <s v="No"/>
    <s v="Global"/>
    <n v="3864"/>
    <n v="2"/>
    <n v="3254"/>
    <n v="2"/>
    <m/>
    <m/>
    <m/>
    <m/>
    <m/>
    <m/>
    <n v="7118"/>
    <n v="4"/>
  </r>
  <r>
    <x v="146"/>
    <s v="Michael Zipf"/>
    <x v="78"/>
    <m/>
    <s v="Innovation"/>
    <s v="Office of the CEO"/>
    <s v="No"/>
    <s v="Global"/>
    <n v="1097"/>
    <n v="1"/>
    <m/>
    <m/>
    <m/>
    <m/>
    <m/>
    <m/>
    <m/>
    <m/>
    <n v="1097"/>
    <n v="1"/>
  </r>
  <r>
    <x v="147"/>
    <s v="Emily Scorer"/>
    <x v="79"/>
    <m/>
    <s v="Corporate"/>
    <s v="Human Resources (SAP HR and employee stories)"/>
    <s v="No"/>
    <s v="Global"/>
    <n v="1525"/>
    <n v="9"/>
    <m/>
    <m/>
    <n v="123"/>
    <n v="0"/>
    <m/>
    <m/>
    <m/>
    <m/>
    <n v="1648"/>
    <n v="9"/>
  </r>
  <r>
    <x v="148"/>
    <s v="Paul Taylor"/>
    <x v="79"/>
    <m/>
    <s v="Innovation"/>
    <s v="Corporate"/>
    <s v="No"/>
    <s v="Global"/>
    <n v="498"/>
    <n v="1"/>
    <n v="917"/>
    <n v="1"/>
    <n v="127"/>
    <n v="0"/>
    <n v="338"/>
    <n v="0"/>
    <m/>
    <m/>
    <n v="1880"/>
    <n v="2"/>
  </r>
  <r>
    <x v="149"/>
    <s v="Susan Galer"/>
    <x v="79"/>
    <m/>
    <s v="Innovation"/>
    <s v="GCO – Platform Solutions"/>
    <s v="Yes"/>
    <s v="Global"/>
    <n v="2079"/>
    <n v="1"/>
    <m/>
    <m/>
    <m/>
    <m/>
    <m/>
    <m/>
    <m/>
    <m/>
    <n v="2079"/>
    <n v="1"/>
  </r>
  <r>
    <x v="150"/>
    <s v="Michael Zipf"/>
    <x v="80"/>
    <m/>
    <s v="Innovation"/>
    <s v="GCO – Platform Solutions"/>
    <s v="Yes"/>
    <s v="Global"/>
    <n v="1548"/>
    <n v="5"/>
    <m/>
    <m/>
    <m/>
    <m/>
    <m/>
    <m/>
    <m/>
    <m/>
    <n v="1548"/>
    <n v="5"/>
  </r>
  <r>
    <x v="151"/>
    <s v="Paul Taylor"/>
    <x v="80"/>
    <s v="Video"/>
    <s v="Innovation"/>
    <s v="Business Network (Concur, Ariba, Fieldglass)"/>
    <s v="No"/>
    <s v="Global"/>
    <n v="1548"/>
    <n v="3"/>
    <m/>
    <m/>
    <m/>
    <m/>
    <m/>
    <m/>
    <m/>
    <m/>
    <n v="1548"/>
    <n v="3"/>
  </r>
  <r>
    <x v="152"/>
    <s v="Judith Magyar"/>
    <x v="80"/>
    <s v="Infographic, Video"/>
    <s v="Innovation"/>
    <s v="GCO – Platform Solutions"/>
    <s v="No"/>
    <s v="Global"/>
    <n v="2508"/>
    <n v="1"/>
    <m/>
    <m/>
    <m/>
    <m/>
    <n v="2174"/>
    <n v="0"/>
    <m/>
    <m/>
    <n v="4682"/>
    <n v="1"/>
  </r>
  <r>
    <x v="153"/>
    <s v="Miriam Siebeking"/>
    <x v="81"/>
    <m/>
    <s v="Corporate"/>
    <s v="Corporate"/>
    <s v="No"/>
    <s v="Global"/>
    <n v="1872"/>
    <n v="1"/>
    <m/>
    <m/>
    <m/>
    <m/>
    <m/>
    <m/>
    <m/>
    <m/>
    <n v="1872"/>
    <n v="1"/>
  </r>
  <r>
    <x v="154"/>
    <s v="Torsten Falk"/>
    <x v="82"/>
    <s v="Slideshow, Infographic"/>
    <s v="Corporate"/>
    <s v="Human Resources (SAP HR and employee stories)"/>
    <s v="No"/>
    <s v="Global"/>
    <n v="1886"/>
    <n v="0"/>
    <m/>
    <m/>
    <m/>
    <m/>
    <m/>
    <m/>
    <m/>
    <m/>
    <n v="1886"/>
    <n v="0"/>
  </r>
  <r>
    <x v="155"/>
    <s v="Andreas Schmitz"/>
    <x v="83"/>
    <m/>
    <s v="Healthcare"/>
    <s v="GCO – Platform Solutions"/>
    <s v="No"/>
    <s v="Global"/>
    <n v="794"/>
    <n v="2"/>
    <m/>
    <m/>
    <m/>
    <m/>
    <m/>
    <m/>
    <m/>
    <m/>
    <n v="794"/>
    <n v="2"/>
  </r>
  <r>
    <x v="156"/>
    <s v="Richard Campbell"/>
    <x v="84"/>
    <m/>
    <s v="Corporate"/>
    <s v="Corporate"/>
    <s v="No"/>
    <s v="Global"/>
    <n v="3248"/>
    <n v="23"/>
    <m/>
    <m/>
    <m/>
    <m/>
    <m/>
    <m/>
    <m/>
    <m/>
    <n v="3248"/>
    <n v="23"/>
  </r>
  <r>
    <x v="157"/>
    <s v="Cornelia Weiss-Justen"/>
    <x v="85"/>
    <m/>
    <s v="Innovation"/>
    <s v="P&amp;I (Research &amp; Development)"/>
    <s v="Yes"/>
    <s v="Global"/>
    <n v="1659"/>
    <n v="6"/>
    <m/>
    <m/>
    <m/>
    <m/>
    <m/>
    <m/>
    <m/>
    <m/>
    <n v="1659"/>
    <n v="6"/>
  </r>
  <r>
    <x v="158"/>
    <s v="Andrea Diederichs"/>
    <x v="86"/>
    <m/>
    <s v="Corporate"/>
    <s v="Human Resources (SAP HR and employee stories)"/>
    <s v="No"/>
    <s v="Global"/>
    <n v="2570"/>
    <n v="32"/>
    <m/>
    <m/>
    <n v="128"/>
    <n v="0"/>
    <n v="446"/>
    <n v="0"/>
    <m/>
    <m/>
    <n v="3144"/>
    <n v="32"/>
  </r>
  <r>
    <x v="159"/>
    <s v="Mark Cheever"/>
    <x v="87"/>
    <m/>
    <s v="Youth"/>
    <s v="Human Resources (SAP HR and employee stories)"/>
    <s v="No"/>
    <s v="Global"/>
    <n v="1511"/>
    <n v="10"/>
    <m/>
    <m/>
    <m/>
    <m/>
    <m/>
    <m/>
    <m/>
    <m/>
    <n v="1511"/>
    <n v="10"/>
  </r>
  <r>
    <x v="160"/>
    <s v="Paul Baur"/>
    <x v="87"/>
    <s v="Video"/>
    <s v="Innovation"/>
    <s v="GCO – Customer Engagement &amp; Commerce (CRM &amp; hybris) "/>
    <s v="Yes"/>
    <s v="Global"/>
    <n v="1358"/>
    <n v="4"/>
    <m/>
    <m/>
    <m/>
    <m/>
    <m/>
    <m/>
    <m/>
    <m/>
    <n v="1358"/>
    <n v="4"/>
  </r>
  <r>
    <x v="161"/>
    <s v="Kate Morgan"/>
    <x v="88"/>
    <m/>
    <s v="Youth"/>
    <s v="Corporate"/>
    <s v="No"/>
    <s v="Global"/>
    <n v="420"/>
    <n v="2"/>
    <m/>
    <m/>
    <m/>
    <m/>
    <m/>
    <m/>
    <m/>
    <m/>
    <n v="420"/>
    <n v="2"/>
  </r>
  <r>
    <x v="162"/>
    <s v="Judith Magyar"/>
    <x v="88"/>
    <m/>
    <s v="Innovation"/>
    <s v="GPO (Partner, Ecosystem, Channels)"/>
    <s v="No"/>
    <s v="Global"/>
    <n v="1506"/>
    <n v="1"/>
    <m/>
    <m/>
    <m/>
    <m/>
    <m/>
    <m/>
    <m/>
    <m/>
    <n v="1506"/>
    <n v="1"/>
  </r>
  <r>
    <x v="163"/>
    <s v="Andreas Schmitz"/>
    <x v="89"/>
    <m/>
    <s v="Healthcare"/>
    <s v="GCO – Platform Solutions"/>
    <s v="No"/>
    <s v="Global"/>
    <n v="719"/>
    <n v="0"/>
    <m/>
    <m/>
    <m/>
    <m/>
    <m/>
    <m/>
    <m/>
    <m/>
    <n v="719"/>
    <n v="0"/>
  </r>
  <r>
    <x v="164"/>
    <s v="Tobias Essig"/>
    <x v="90"/>
    <s v="Infographic"/>
    <s v="Innovation"/>
    <s v="P&amp;I (Research &amp; Development)"/>
    <s v="No"/>
    <s v="Global"/>
    <n v="949"/>
    <n v="0"/>
    <m/>
    <m/>
    <m/>
    <m/>
    <m/>
    <m/>
    <m/>
    <m/>
    <n v="949"/>
    <n v="0"/>
  </r>
  <r>
    <x v="165"/>
    <s v="Torsten Falk"/>
    <x v="91"/>
    <s v="Video"/>
    <s v="Corporate"/>
    <s v="Human Resources (SAP HR and employee stories)"/>
    <s v="No"/>
    <s v="Global"/>
    <n v="838"/>
    <n v="9"/>
    <m/>
    <m/>
    <n v="75"/>
    <n v="0"/>
    <m/>
    <m/>
    <m/>
    <m/>
    <n v="913"/>
    <n v="9"/>
  </r>
  <r>
    <x v="166"/>
    <s v="Judith Magyar"/>
    <x v="91"/>
    <s v="Video"/>
    <s v="Innovation"/>
    <s v="GPO (Partner, Ecosystem, Channels)"/>
    <s v="Yes"/>
    <s v="LATAM"/>
    <n v="426"/>
    <n v="1"/>
    <m/>
    <m/>
    <m/>
    <m/>
    <m/>
    <m/>
    <m/>
    <m/>
    <n v="426"/>
    <n v="1"/>
  </r>
  <r>
    <x v="167"/>
    <s v="Andreas Schmitz"/>
    <x v="91"/>
    <m/>
    <s v="Innovation"/>
    <s v="P&amp;I (Research &amp; Development)"/>
    <s v="Yes"/>
    <s v="Global"/>
    <n v="1185"/>
    <n v="0"/>
    <m/>
    <m/>
    <m/>
    <m/>
    <m/>
    <m/>
    <m/>
    <m/>
    <n v="1185"/>
    <n v="0"/>
  </r>
  <r>
    <x v="168"/>
    <s v="Arunima Kumar"/>
    <x v="92"/>
    <s v="Video"/>
    <s v="Corporate"/>
    <s v="Corporate"/>
    <s v="No"/>
    <s v="Global"/>
    <n v="820"/>
    <n v="3"/>
    <m/>
    <m/>
    <m/>
    <m/>
    <m/>
    <m/>
    <m/>
    <m/>
    <n v="820"/>
    <n v="3"/>
  </r>
  <r>
    <x v="169"/>
    <s v="Torsten Falk"/>
    <x v="93"/>
    <m/>
    <s v="Corporate"/>
    <s v="Human Resources (SAP HR and employee stories)"/>
    <s v="No"/>
    <s v="Global"/>
    <n v="1437"/>
    <n v="20"/>
    <m/>
    <m/>
    <m/>
    <m/>
    <m/>
    <m/>
    <m/>
    <m/>
    <n v="1437"/>
    <n v="20"/>
  </r>
  <r>
    <x v="170"/>
    <s v="Paul Baur"/>
    <x v="93"/>
    <m/>
    <s v="Sports"/>
    <s v="GCO – Platform Solutions"/>
    <s v="Yes"/>
    <s v="Global"/>
    <n v="903"/>
    <n v="3"/>
    <m/>
    <m/>
    <m/>
    <m/>
    <m/>
    <m/>
    <m/>
    <m/>
    <n v="903"/>
    <n v="3"/>
  </r>
  <r>
    <x v="171"/>
    <s v="Amira Polack"/>
    <x v="93"/>
    <m/>
    <s v="Youth"/>
    <s v="Corporate"/>
    <s v="No"/>
    <s v="Global"/>
    <n v="938"/>
    <n v="1"/>
    <m/>
    <m/>
    <m/>
    <m/>
    <m/>
    <m/>
    <m/>
    <m/>
    <n v="938"/>
    <n v="1"/>
  </r>
  <r>
    <x v="172"/>
    <s v="Susan Galer"/>
    <x v="94"/>
    <m/>
    <s v="Innovation"/>
    <s v="GPO (Partner, Ecosystem, Channels)"/>
    <s v="Yes"/>
    <s v="Global"/>
    <n v="1308"/>
    <n v="3"/>
    <m/>
    <m/>
    <m/>
    <m/>
    <m/>
    <m/>
    <m/>
    <m/>
    <n v="1308"/>
    <n v="3"/>
  </r>
  <r>
    <x v="173"/>
    <s v="Judith Magyar"/>
    <x v="95"/>
    <s v="Video"/>
    <s v="Innovation"/>
    <s v="GCO – Regions"/>
    <s v="No"/>
    <s v="EMEA"/>
    <n v="693"/>
    <n v="6"/>
    <n v="704"/>
    <n v="0"/>
    <m/>
    <m/>
    <n v="575"/>
    <n v="0"/>
    <m/>
    <m/>
    <n v="1972"/>
    <n v="6"/>
  </r>
  <r>
    <x v="174"/>
    <s v="Paul Taylor"/>
    <x v="95"/>
    <s v="Infographic"/>
    <s v="Corporate"/>
    <s v="Office of the CEO"/>
    <s v="No"/>
    <s v="Global"/>
    <n v="1597"/>
    <n v="0"/>
    <m/>
    <m/>
    <m/>
    <m/>
    <m/>
    <m/>
    <m/>
    <m/>
    <n v="1597"/>
    <n v="0"/>
  </r>
  <r>
    <x v="175"/>
    <s v="Stephan Magura"/>
    <x v="96"/>
    <s v="Video"/>
    <s v="Healthcare"/>
    <s v="Human Resources (SAP HR and employee stories)"/>
    <s v="No"/>
    <s v="Global"/>
    <n v="2196"/>
    <n v="28"/>
    <m/>
    <m/>
    <n v="62"/>
    <n v="0"/>
    <m/>
    <m/>
    <m/>
    <m/>
    <n v="2258"/>
    <n v="28"/>
  </r>
  <r>
    <x v="176"/>
    <s v="Paul Baur"/>
    <x v="96"/>
    <m/>
    <s v="Innovation"/>
    <s v="Office of the CEO"/>
    <s v="Yes"/>
    <s v="EMEA"/>
    <n v="2703"/>
    <n v="7"/>
    <m/>
    <m/>
    <n v="57"/>
    <n v="0"/>
    <m/>
    <m/>
    <m/>
    <m/>
    <n v="2760"/>
    <n v="7"/>
  </r>
  <r>
    <x v="177"/>
    <s v="Paul Baur"/>
    <x v="96"/>
    <m/>
    <s v="Innovation"/>
    <s v="P&amp;I (Research &amp; Development)"/>
    <s v="No"/>
    <s v="Global"/>
    <n v="2400"/>
    <n v="0"/>
    <m/>
    <m/>
    <m/>
    <m/>
    <m/>
    <m/>
    <m/>
    <m/>
    <n v="2400"/>
    <n v="0"/>
  </r>
  <r>
    <x v="178"/>
    <s v="Miriam Siebeking"/>
    <x v="97"/>
    <m/>
    <s v="Corporate"/>
    <s v="Corporate"/>
    <s v="No"/>
    <s v="Global"/>
    <n v="1685"/>
    <n v="4"/>
    <m/>
    <m/>
    <m/>
    <m/>
    <m/>
    <m/>
    <m/>
    <m/>
    <n v="1685"/>
    <n v="4"/>
  </r>
  <r>
    <x v="179"/>
    <s v="Mike Ettling"/>
    <x v="98"/>
    <m/>
    <s v="Corporate"/>
    <s v="Human Resources (SAP HR and employee stories)"/>
    <s v="No"/>
    <s v="Global"/>
    <n v="876"/>
    <n v="9"/>
    <m/>
    <m/>
    <m/>
    <m/>
    <m/>
    <m/>
    <m/>
    <m/>
    <n v="876"/>
    <n v="9"/>
  </r>
  <r>
    <x v="180"/>
    <s v="Andrea Diederichs"/>
    <x v="99"/>
    <s v="Video"/>
    <s v="Innovation"/>
    <s v="Services Delivery &amp; Support (go-lives and deployments) "/>
    <s v="No"/>
    <s v="Global"/>
    <n v="1603"/>
    <n v="25"/>
    <m/>
    <m/>
    <m/>
    <m/>
    <n v="645"/>
    <n v="0"/>
    <m/>
    <m/>
    <n v="2248"/>
    <n v="25"/>
  </r>
  <r>
    <x v="181"/>
    <s v="Paul Taylor"/>
    <x v="99"/>
    <m/>
    <s v="Innovation"/>
    <s v="GCO – Customer Engagement &amp; Commerce (CRM &amp; hybris) "/>
    <s v="No"/>
    <s v="Global"/>
    <n v="6427"/>
    <n v="19"/>
    <n v="1571"/>
    <n v="0"/>
    <m/>
    <m/>
    <n v="960"/>
    <n v="0"/>
    <m/>
    <m/>
    <n v="8958"/>
    <n v="19"/>
  </r>
  <r>
    <x v="182"/>
    <s v="Cindy McKendry"/>
    <x v="99"/>
    <m/>
    <s v="Corporate"/>
    <s v="GPO (Partner, Ecosystem, Channels)"/>
    <s v="No"/>
    <s v="Global"/>
    <n v="1076"/>
    <n v="14"/>
    <m/>
    <m/>
    <m/>
    <m/>
    <m/>
    <m/>
    <m/>
    <m/>
    <n v="1076"/>
    <n v="14"/>
  </r>
  <r>
    <x v="183"/>
    <s v="Judith Magyar"/>
    <x v="100"/>
    <m/>
    <s v="Innovation"/>
    <s v="GCO – Platform Solutions"/>
    <s v="Yes"/>
    <s v="Global"/>
    <n v="1656"/>
    <n v="14"/>
    <m/>
    <m/>
    <m/>
    <m/>
    <m/>
    <m/>
    <m/>
    <m/>
    <n v="1656"/>
    <n v="14"/>
  </r>
  <r>
    <x v="184"/>
    <s v="Angela Dunn"/>
    <x v="100"/>
    <m/>
    <s v="Innovation"/>
    <s v="GCO – Platform Solutions"/>
    <s v="No"/>
    <s v="Global"/>
    <n v="1337"/>
    <n v="3"/>
    <m/>
    <m/>
    <m/>
    <m/>
    <m/>
    <m/>
    <m/>
    <m/>
    <n v="1337"/>
    <n v="3"/>
  </r>
  <r>
    <x v="185"/>
    <s v="Stephan Magura"/>
    <x v="101"/>
    <m/>
    <s v="Corporate"/>
    <s v="GCO – Other"/>
    <s v="No"/>
    <s v="EMEA"/>
    <n v="1829"/>
    <n v="13"/>
    <m/>
    <m/>
    <m/>
    <m/>
    <m/>
    <m/>
    <m/>
    <m/>
    <n v="1829"/>
    <n v="13"/>
  </r>
  <r>
    <x v="186"/>
    <s v="Torsten Falk"/>
    <x v="101"/>
    <s v="Slideshow"/>
    <s v="Corporate"/>
    <s v="Human Resources (SAP HR and employee stories)"/>
    <s v="No"/>
    <s v="Global"/>
    <n v="1930"/>
    <n v="8"/>
    <m/>
    <m/>
    <m/>
    <m/>
    <m/>
    <m/>
    <m/>
    <m/>
    <n v="1930"/>
    <n v="8"/>
  </r>
  <r>
    <x v="187"/>
    <s v="Emily Scorer"/>
    <x v="102"/>
    <s v="Infographic"/>
    <s v="Innovation"/>
    <s v="P&amp;I (Research &amp; Development)"/>
    <s v="No"/>
    <s v="Global"/>
    <n v="842"/>
    <n v="8"/>
    <m/>
    <m/>
    <m/>
    <m/>
    <m/>
    <m/>
    <m/>
    <m/>
    <n v="842"/>
    <n v="8"/>
  </r>
  <r>
    <x v="188"/>
    <s v="Vivek Bapat"/>
    <x v="102"/>
    <m/>
    <s v="Innovation"/>
    <s v="Corporate"/>
    <s v="No"/>
    <s v="Global"/>
    <n v="387"/>
    <n v="6"/>
    <m/>
    <m/>
    <m/>
    <m/>
    <m/>
    <m/>
    <m/>
    <m/>
    <n v="387"/>
    <n v="6"/>
  </r>
  <r>
    <x v="189"/>
    <s v="Robin Meyerhoff"/>
    <x v="103"/>
    <s v="Video"/>
    <s v="Youth"/>
    <s v="Human Resources (SAP HR and employee stories)"/>
    <s v="No"/>
    <s v="EMEA"/>
    <n v="1442"/>
    <n v="14"/>
    <m/>
    <m/>
    <m/>
    <m/>
    <n v="477"/>
    <n v="0"/>
    <m/>
    <m/>
    <n v="1919"/>
    <n v="14"/>
  </r>
  <r>
    <x v="190"/>
    <s v="Stephan Magura"/>
    <x v="103"/>
    <s v="Slideshow"/>
    <s v="Youth"/>
    <s v="Corporate"/>
    <s v="No"/>
    <s v="EMEA"/>
    <n v="419"/>
    <n v="9"/>
    <m/>
    <m/>
    <m/>
    <m/>
    <m/>
    <m/>
    <m/>
    <m/>
    <n v="419"/>
    <n v="9"/>
  </r>
  <r>
    <x v="191"/>
    <s v="Thomas Pohl"/>
    <x v="104"/>
    <s v="Video"/>
    <s v="Innovation"/>
    <s v="GCO – Platform Solutions"/>
    <s v="No"/>
    <s v="EMEA"/>
    <n v="1188"/>
    <n v="5"/>
    <m/>
    <m/>
    <m/>
    <m/>
    <m/>
    <m/>
    <m/>
    <m/>
    <n v="1188"/>
    <n v="5"/>
  </r>
  <r>
    <x v="192"/>
    <s v="Angela Dunn"/>
    <x v="104"/>
    <m/>
    <s v="Corporate"/>
    <s v="Office of the CEO"/>
    <s v="No"/>
    <s v="Global"/>
    <n v="847"/>
    <n v="0"/>
    <m/>
    <m/>
    <m/>
    <m/>
    <m/>
    <m/>
    <m/>
    <m/>
    <n v="847"/>
    <n v="0"/>
  </r>
  <r>
    <x v="193"/>
    <s v="Paul Taylor"/>
    <x v="105"/>
    <s v="Video"/>
    <s v="Innovation"/>
    <s v="GCO – Platform Solutions"/>
    <s v="No"/>
    <s v="Global"/>
    <n v="1732"/>
    <n v="5"/>
    <m/>
    <m/>
    <m/>
    <m/>
    <m/>
    <m/>
    <m/>
    <m/>
    <n v="1732"/>
    <n v="5"/>
  </r>
  <r>
    <x v="194"/>
    <s v="Judith Magyar"/>
    <x v="106"/>
    <m/>
    <s v="Corporate"/>
    <s v="Corporate"/>
    <s v="No"/>
    <s v="Global"/>
    <n v="835"/>
    <n v="13"/>
    <m/>
    <m/>
    <m/>
    <m/>
    <m/>
    <m/>
    <m/>
    <m/>
    <n v="835"/>
    <n v="13"/>
  </r>
  <r>
    <x v="195"/>
    <s v="Susan Galer"/>
    <x v="107"/>
    <m/>
    <s v="Corporate"/>
    <s v="GCO – Industry Cloud "/>
    <s v="No"/>
    <s v="Global"/>
    <n v="678"/>
    <n v="4"/>
    <m/>
    <m/>
    <m/>
    <m/>
    <m/>
    <m/>
    <m/>
    <m/>
    <n v="678"/>
    <n v="4"/>
  </r>
  <r>
    <x v="196"/>
    <s v="Emily Scorer"/>
    <x v="108"/>
    <s v="Video"/>
    <s v="Corporate"/>
    <s v="Human Resources (SAP HR and employee stories)"/>
    <s v="No"/>
    <s v="Global"/>
    <n v="2043"/>
    <n v="22"/>
    <m/>
    <m/>
    <m/>
    <m/>
    <m/>
    <m/>
    <m/>
    <m/>
    <n v="2043"/>
    <n v="22"/>
  </r>
  <r>
    <x v="197"/>
    <s v="Michael Zipf"/>
    <x v="108"/>
    <s v="Video"/>
    <s v="Corporate"/>
    <s v="Human Resources (SAP HR and employee stories)"/>
    <s v="No"/>
    <s v="EMEA"/>
    <n v="1496"/>
    <n v="3"/>
    <m/>
    <m/>
    <m/>
    <m/>
    <m/>
    <m/>
    <m/>
    <m/>
    <n v="1496"/>
    <n v="3"/>
  </r>
  <r>
    <x v="198"/>
    <s v="Judith Magyar"/>
    <x v="108"/>
    <s v="Video"/>
    <s v="Innovation"/>
    <s v="GCO – Industry Cloud , GCO – Platform Solutions"/>
    <s v="Yes"/>
    <s v="EMEA"/>
    <n v="411"/>
    <n v="1"/>
    <m/>
    <m/>
    <n v="133"/>
    <n v="0"/>
    <m/>
    <m/>
    <m/>
    <m/>
    <n v="544"/>
    <n v="1"/>
  </r>
  <r>
    <x v="199"/>
    <s v="Angela Klose"/>
    <x v="109"/>
    <s v="Video"/>
    <s v="Sports"/>
    <s v="GCO – Platform Solutions"/>
    <s v="No"/>
    <s v="Global"/>
    <n v="410"/>
    <n v="3"/>
    <m/>
    <m/>
    <m/>
    <m/>
    <m/>
    <m/>
    <m/>
    <m/>
    <n v="410"/>
    <n v="3"/>
  </r>
  <r>
    <x v="200"/>
    <s v="Jane Gray"/>
    <x v="109"/>
    <m/>
    <s v="Innovation"/>
    <s v="GCO – Platform Solutions"/>
    <s v="Yes"/>
    <s v="Global"/>
    <n v="326"/>
    <n v="1"/>
    <m/>
    <m/>
    <m/>
    <m/>
    <m/>
    <m/>
    <m/>
    <m/>
    <n v="326"/>
    <n v="1"/>
  </r>
  <r>
    <x v="201"/>
    <s v="Kesja Cichowski"/>
    <x v="110"/>
    <s v="Video"/>
    <s v="Corporate"/>
    <s v="Human Resources (SAP HR and employee stories)"/>
    <s v="No"/>
    <s v="Global"/>
    <n v="1450"/>
    <n v="23"/>
    <m/>
    <m/>
    <m/>
    <m/>
    <m/>
    <m/>
    <m/>
    <m/>
    <n v="1450"/>
    <n v="23"/>
  </r>
  <r>
    <x v="202"/>
    <s v="Robin Meyerhoff"/>
    <x v="110"/>
    <s v="Slideshow, Video"/>
    <s v="Innovation"/>
    <s v="P&amp;I (Research &amp; Development)"/>
    <s v="Yes"/>
    <s v="Global"/>
    <n v="1423"/>
    <n v="3"/>
    <m/>
    <m/>
    <m/>
    <m/>
    <n v="425"/>
    <n v="0"/>
    <m/>
    <m/>
    <n v="1848"/>
    <n v="3"/>
  </r>
  <r>
    <x v="203"/>
    <s v="Renata Pompeu Pividal"/>
    <x v="110"/>
    <m/>
    <s v="Corporate"/>
    <s v="GCO – Regions"/>
    <s v="No"/>
    <s v="LATAM"/>
    <n v="931"/>
    <n v="3"/>
    <m/>
    <m/>
    <m/>
    <m/>
    <m/>
    <m/>
    <m/>
    <m/>
    <n v="931"/>
    <n v="3"/>
  </r>
  <r>
    <x v="204"/>
    <s v="Gillian Lindsell"/>
    <x v="111"/>
    <m/>
    <s v="Youth"/>
    <s v="Corporate"/>
    <s v="No"/>
    <s v="EMEA"/>
    <n v="395"/>
    <n v="4"/>
    <m/>
    <m/>
    <m/>
    <m/>
    <m/>
    <m/>
    <m/>
    <m/>
    <n v="395"/>
    <n v="4"/>
  </r>
  <r>
    <x v="205"/>
    <s v="Robin Meyerhoff"/>
    <x v="112"/>
    <s v="Video"/>
    <s v="Corporate"/>
    <s v="Human Resources (SAP HR and employee stories)"/>
    <s v="No"/>
    <s v="NA"/>
    <n v="4318"/>
    <n v="97"/>
    <n v="7986"/>
    <n v="1"/>
    <n v="330"/>
    <n v="0"/>
    <n v="2278"/>
    <n v="6"/>
    <m/>
    <m/>
    <n v="14912"/>
    <n v="104"/>
  </r>
  <r>
    <x v="206"/>
    <s v="Torsten Falk"/>
    <x v="113"/>
    <m/>
    <s v="Corporate"/>
    <s v="Human Resources (SAP HR and employee stories)"/>
    <s v="No"/>
    <s v="Global"/>
    <n v="1327"/>
    <n v="18"/>
    <s v="-"/>
    <s v="-"/>
    <s v="-"/>
    <s v="-"/>
    <s v="-"/>
    <s v="-"/>
    <m/>
    <m/>
    <n v="1327"/>
    <n v="18"/>
  </r>
  <r>
    <x v="207"/>
    <s v="Catherine Girardin"/>
    <x v="113"/>
    <s v="Video"/>
    <s v="Innovation"/>
    <s v="P&amp;I (Research &amp; Development)"/>
    <s v="No"/>
    <s v="EMEA"/>
    <n v="837"/>
    <n v="2"/>
    <s v="-"/>
    <s v="-"/>
    <s v="-"/>
    <s v="-"/>
    <s v="-"/>
    <s v="-"/>
    <m/>
    <m/>
    <n v="837"/>
    <n v="2"/>
  </r>
  <r>
    <x v="208"/>
    <s v="Andrea Diederichs"/>
    <x v="114"/>
    <m/>
    <s v="Corporate"/>
    <s v="Office of the CEO"/>
    <s v="No"/>
    <s v="Global"/>
    <n v="3279"/>
    <n v="11"/>
    <s v="-"/>
    <s v="-"/>
    <s v="-"/>
    <s v="-"/>
    <s v="-"/>
    <s v="-"/>
    <m/>
    <m/>
    <n v="3279"/>
    <n v="11"/>
  </r>
  <r>
    <x v="209"/>
    <s v="Bettina Wunderle"/>
    <x v="114"/>
    <m/>
    <s v="Innovation"/>
    <s v="P&amp;I (Research &amp; Development)"/>
    <s v="No"/>
    <s v="Global"/>
    <n v="979"/>
    <n v="7"/>
    <s v="-"/>
    <s v="-"/>
    <n v="15"/>
    <n v="0"/>
    <s v="-"/>
    <s v="-"/>
    <m/>
    <m/>
    <n v="994"/>
    <n v="7"/>
  </r>
  <r>
    <x v="210"/>
    <s v="Emily Scorer"/>
    <x v="114"/>
    <s v="Video"/>
    <s v="Youth"/>
    <s v="P&amp;I (Research &amp; Development)"/>
    <s v="No"/>
    <s v="EMEA"/>
    <n v="593"/>
    <n v="2"/>
    <s v="-"/>
    <s v="-"/>
    <s v="-"/>
    <s v="-"/>
    <s v="-"/>
    <s v="-"/>
    <m/>
    <m/>
    <n v="593"/>
    <n v="2"/>
  </r>
  <r>
    <x v="211"/>
    <s v="Stephan Magura"/>
    <x v="115"/>
    <s v="Video"/>
    <s v="Innovation"/>
    <s v="Business Network (Concur, Ariba, Fieldglass)"/>
    <s v="No"/>
    <s v="Global"/>
    <n v="917"/>
    <n v="2"/>
    <s v="-"/>
    <s v="-"/>
    <n v="546"/>
    <n v="0"/>
    <s v="-"/>
    <s v="-"/>
    <m/>
    <m/>
    <n v="1463"/>
    <n v="2"/>
  </r>
  <r>
    <x v="212"/>
    <s v="Emily Scorer"/>
    <x v="116"/>
    <s v="Video"/>
    <s v="Sports"/>
    <s v="GCO – Industry Cloud , GCO – Platform Solutions"/>
    <s v="Yes"/>
    <s v="Global"/>
    <n v="1752"/>
    <n v="9"/>
    <s v="-"/>
    <s v="-"/>
    <n v="122"/>
    <n v="0"/>
    <s v="-"/>
    <s v="-"/>
    <m/>
    <m/>
    <n v="1874"/>
    <n v="9"/>
  </r>
  <r>
    <x v="213"/>
    <s v="Michael Zipf"/>
    <x v="117"/>
    <m/>
    <s v="Corporate"/>
    <s v="Human Resources (SAP HR and employee stories)"/>
    <s v="No"/>
    <s v="EMEA"/>
    <n v="2892"/>
    <n v="12"/>
    <s v="-"/>
    <s v="-"/>
    <s v="-"/>
    <s v="-"/>
    <s v="-"/>
    <s v="-"/>
    <m/>
    <m/>
    <n v="2892"/>
    <n v="12"/>
  </r>
  <r>
    <x v="214"/>
    <s v="Emily Scorer"/>
    <x v="117"/>
    <s v="Video"/>
    <s v="Corporate"/>
    <s v="Human Resources (SAP HR and employee stories)"/>
    <s v="No"/>
    <s v="Global"/>
    <n v="1588"/>
    <n v="10"/>
    <s v="-"/>
    <s v="-"/>
    <s v="-"/>
    <s v="-"/>
    <s v="-"/>
    <s v="-"/>
    <m/>
    <m/>
    <n v="1588"/>
    <n v="10"/>
  </r>
  <r>
    <x v="215"/>
    <s v="Cecile Yasmin Schreyer"/>
    <x v="117"/>
    <m/>
    <s v="Corporate"/>
    <s v="Human Resources (SAP HR and employee stories)"/>
    <s v="No"/>
    <s v="Global"/>
    <n v="765"/>
    <n v="7"/>
    <s v="-"/>
    <s v="-"/>
    <s v="-"/>
    <s v="-"/>
    <s v="-"/>
    <s v="-"/>
    <m/>
    <m/>
    <n v="765"/>
    <n v="7"/>
  </r>
  <r>
    <x v="216"/>
    <s v="Paul Baur"/>
    <x v="118"/>
    <s v="Video"/>
    <s v="Innovation"/>
    <s v="P&amp;I (Research &amp; Development)"/>
    <s v="No"/>
    <s v="Global"/>
    <n v="2580"/>
    <n v="5"/>
    <s v="-"/>
    <s v="-"/>
    <n v="639"/>
    <n v="0"/>
    <s v="-"/>
    <s v="-"/>
    <m/>
    <m/>
    <n v="3219"/>
    <n v="5"/>
  </r>
  <r>
    <x v="217"/>
    <s v="Susan Galer"/>
    <x v="118"/>
    <m/>
    <s v="Youth"/>
    <s v="Corporate"/>
    <s v="No"/>
    <s v="EMEA"/>
    <n v="438"/>
    <n v="2"/>
    <s v="-"/>
    <s v="-"/>
    <n v="334"/>
    <n v="0"/>
    <s v="-"/>
    <s v="-"/>
    <m/>
    <m/>
    <n v="772"/>
    <n v="2"/>
  </r>
  <r>
    <x v="218"/>
    <s v="Miriam Siebeking"/>
    <x v="118"/>
    <m/>
    <s v="Corporate"/>
    <s v="Human Resources (SAP HR and employee stories)"/>
    <s v="No"/>
    <s v="Global"/>
    <n v="1240"/>
    <n v="0"/>
    <s v="-"/>
    <s v="-"/>
    <s v="-"/>
    <s v="-"/>
    <s v="-"/>
    <s v="-"/>
    <m/>
    <m/>
    <n v="1240"/>
    <n v="0"/>
  </r>
  <r>
    <x v="219"/>
    <s v="Robin Meyerhoff"/>
    <x v="119"/>
    <s v="Video"/>
    <s v="Corporate"/>
    <s v="GCO – Regions, Human Resources (SAP HR and employee stories)"/>
    <s v="No"/>
    <s v="NA"/>
    <n v="1622"/>
    <n v="17"/>
    <s v="-"/>
    <s v="-"/>
    <s v="-"/>
    <s v="-"/>
    <n v="649"/>
    <n v="0"/>
    <m/>
    <m/>
    <n v="2271"/>
    <n v="17"/>
  </r>
  <r>
    <x v="220"/>
    <s v="Stacy Eidson Comes"/>
    <x v="119"/>
    <m/>
    <s v="Innovation"/>
    <s v="GCO – Other"/>
    <s v="No"/>
    <s v="Global"/>
    <n v="887"/>
    <n v="10"/>
    <s v="-"/>
    <s v="-"/>
    <s v="-"/>
    <s v="-"/>
    <s v="-"/>
    <s v="-"/>
    <m/>
    <m/>
    <n v="887"/>
    <n v="10"/>
  </r>
  <r>
    <x v="221"/>
    <s v="Susan Orenstein"/>
    <x v="120"/>
    <m/>
    <s v="Corporate"/>
    <s v="Human Resources (SAP HR and employee stories)"/>
    <s v="No"/>
    <s v="NA"/>
    <n v="1279"/>
    <n v="17"/>
    <s v="-"/>
    <s v="-"/>
    <s v="-"/>
    <s v="-"/>
    <s v="-"/>
    <s v="-"/>
    <m/>
    <m/>
    <n v="1279"/>
    <n v="17"/>
  </r>
  <r>
    <x v="222"/>
    <s v="Paul Baur"/>
    <x v="120"/>
    <s v="Video, Infographic"/>
    <s v="Innovation"/>
    <s v="P&amp;I (Research &amp; Development)"/>
    <s v="No"/>
    <s v="EMEA"/>
    <n v="1671"/>
    <n v="8"/>
    <s v="-"/>
    <s v="-"/>
    <n v="79"/>
    <n v="0"/>
    <n v="1395"/>
    <n v="0"/>
    <m/>
    <m/>
    <n v="3145"/>
    <n v="8"/>
  </r>
  <r>
    <x v="223"/>
    <s v="Emily Scorer"/>
    <x v="121"/>
    <m/>
    <s v="Healthcare"/>
    <s v="Human Resources (SAP HR and employee stories)"/>
    <s v="No"/>
    <s v="EMEA"/>
    <n v="1309"/>
    <n v="9"/>
    <s v="-"/>
    <s v="-"/>
    <s v="-"/>
    <s v="-"/>
    <s v="-"/>
    <s v="-"/>
    <m/>
    <m/>
    <n v="1309"/>
    <n v="9"/>
  </r>
  <r>
    <x v="224"/>
    <s v="Emily Scorer"/>
    <x v="122"/>
    <s v="Video"/>
    <s v="Innovation"/>
    <s v="Corporate"/>
    <s v="No"/>
    <s v="LATAM"/>
    <n v="2127"/>
    <n v="18"/>
    <s v="-"/>
    <s v="-"/>
    <s v="-"/>
    <s v="-"/>
    <s v="-"/>
    <s v="-"/>
    <m/>
    <m/>
    <n v="2127"/>
    <n v="18"/>
  </r>
  <r>
    <x v="225"/>
    <s v="Caroline Kohout"/>
    <x v="123"/>
    <m/>
    <s v="Corporate"/>
    <s v="Human Resources (SAP HR and employee stories)"/>
    <s v="No"/>
    <s v="NA"/>
    <n v="1503"/>
    <n v="28"/>
    <s v="-"/>
    <s v="-"/>
    <s v="-"/>
    <s v="-"/>
    <s v="-"/>
    <s v="-"/>
    <m/>
    <m/>
    <n v="1503"/>
    <n v="28"/>
  </r>
  <r>
    <x v="226"/>
    <s v="Miriam Siebeking"/>
    <x v="123"/>
    <m/>
    <s v="Innovation"/>
    <s v="P&amp;I (Research &amp; Development)"/>
    <s v="No"/>
    <s v="EMEA"/>
    <n v="1171"/>
    <n v="1"/>
    <s v="-"/>
    <s v="-"/>
    <s v="-"/>
    <s v="-"/>
    <n v="45"/>
    <n v="0"/>
    <m/>
    <m/>
    <n v="1216"/>
    <n v="1"/>
  </r>
  <r>
    <x v="227"/>
    <s v="Aidan Hyland"/>
    <x v="124"/>
    <s v="Video, Infographic"/>
    <s v="Innovation"/>
    <s v="Corporate"/>
    <s v="No"/>
    <s v="Global"/>
    <n v="5959"/>
    <n v="53"/>
    <s v="-"/>
    <s v="-"/>
    <s v="-"/>
    <s v="-"/>
    <s v="-"/>
    <s v="-"/>
    <m/>
    <m/>
    <n v="5959"/>
    <n v="53"/>
  </r>
  <r>
    <x v="228"/>
    <s v="Stephan Magura"/>
    <x v="124"/>
    <s v="Video, Infographic"/>
    <s v="Healthcare"/>
    <s v="Business Network (Concur, Ariba, Fieldglass)"/>
    <s v="Yes"/>
    <s v="EMEA"/>
    <n v="1010"/>
    <n v="10"/>
    <s v="-"/>
    <s v="-"/>
    <n v="119"/>
    <n v="0"/>
    <n v="269"/>
    <n v="0"/>
    <m/>
    <m/>
    <n v="1398"/>
    <n v="10"/>
  </r>
  <r>
    <x v="229"/>
    <s v="Jackie Montesinos Suarez"/>
    <x v="125"/>
    <s v="Video"/>
    <s v="Innovation"/>
    <s v="GCO – Other"/>
    <s v="Yes"/>
    <s v="NA, LATAM, EMEA"/>
    <n v="727"/>
    <n v="15"/>
    <s v="-"/>
    <s v="-"/>
    <s v="-"/>
    <s v="-"/>
    <n v="785"/>
    <n v="0"/>
    <m/>
    <m/>
    <n v="1512"/>
    <n v="15"/>
  </r>
  <r>
    <x v="230"/>
    <s v="Paul Baur"/>
    <x v="125"/>
    <s v="Video"/>
    <s v="Innovation"/>
    <s v="Corporate"/>
    <s v="No"/>
    <s v="Global"/>
    <n v="4066"/>
    <n v="2"/>
    <s v="-"/>
    <s v="-"/>
    <n v="843"/>
    <n v="0"/>
    <s v="-"/>
    <s v="-"/>
    <m/>
    <m/>
    <n v="4909"/>
    <n v="2"/>
  </r>
  <r>
    <x v="231"/>
    <s v="Tanja Schaetz-Kruft"/>
    <x v="125"/>
    <m/>
    <s v="Innovation"/>
    <s v="GCO – Other"/>
    <s v="No"/>
    <s v="Global"/>
    <n v="593"/>
    <n v="1"/>
    <s v="-"/>
    <s v="-"/>
    <s v="-"/>
    <s v="-"/>
    <s v="-"/>
    <s v="-"/>
    <m/>
    <m/>
    <n v="593"/>
    <n v="1"/>
  </r>
  <r>
    <x v="232"/>
    <s v="Paul Baur"/>
    <x v="126"/>
    <s v="Video"/>
    <s v="Corporate"/>
    <s v="Corporate"/>
    <s v="No"/>
    <s v="Global"/>
    <n v="4134"/>
    <n v="0"/>
    <s v="-"/>
    <s v="-"/>
    <s v="-"/>
    <s v="-"/>
    <s v="-"/>
    <s v="-"/>
    <m/>
    <m/>
    <n v="4134"/>
    <n v="0"/>
  </r>
  <r>
    <x v="233"/>
    <s v="Judith Magyar"/>
    <x v="126"/>
    <m/>
    <s v="Innovation"/>
    <s v="Business Network (Concur, Ariba, Fieldglass)"/>
    <s v="No"/>
    <s v="Global"/>
    <n v="831"/>
    <n v="0"/>
    <s v="-"/>
    <s v="-"/>
    <n v="77"/>
    <n v="0"/>
    <n v="582"/>
    <n v="0"/>
    <m/>
    <m/>
    <n v="1490"/>
    <n v="0"/>
  </r>
  <r>
    <x v="234"/>
    <s v="Paul Taylor"/>
    <x v="127"/>
    <s v="Infographic"/>
    <s v="Corporate"/>
    <s v="Corporate"/>
    <s v="No"/>
    <s v="NA"/>
    <n v="1089"/>
    <n v="7"/>
    <n v="734"/>
    <n v="0"/>
    <s v="-"/>
    <s v="-"/>
    <s v="-"/>
    <s v="-"/>
    <m/>
    <m/>
    <n v="1823"/>
    <n v="7"/>
  </r>
  <r>
    <x v="235"/>
    <s v="Paul Baur"/>
    <x v="127"/>
    <s v="Video"/>
    <s v="Innovation"/>
    <s v="P&amp;I (Research &amp; Development)"/>
    <s v="No"/>
    <s v="EMEA"/>
    <n v="844"/>
    <n v="1"/>
    <s v="-"/>
    <s v="-"/>
    <s v="-"/>
    <s v="-"/>
    <n v="900"/>
    <n v="0"/>
    <m/>
    <m/>
    <n v="1744"/>
    <n v="1"/>
  </r>
  <r>
    <x v="236"/>
    <s v="Judith Magyar"/>
    <x v="128"/>
    <m/>
    <s v="Corporate"/>
    <s v="Office of the CEO"/>
    <s v="No"/>
    <s v="Global"/>
    <n v="2267"/>
    <n v="8"/>
    <s v="-"/>
    <s v="-"/>
    <s v="-"/>
    <s v="-"/>
    <s v="-"/>
    <s v="-"/>
    <m/>
    <m/>
    <n v="2267"/>
    <n v="8"/>
  </r>
  <r>
    <x v="237"/>
    <s v="Michael Zipf"/>
    <x v="128"/>
    <s v="Infographic"/>
    <s v="Innovation"/>
    <s v="GCO – Regions"/>
    <s v="Yes"/>
    <s v="EMEA"/>
    <n v="779"/>
    <n v="3"/>
    <s v="-"/>
    <s v="-"/>
    <n v="22"/>
    <n v="0"/>
    <s v="-"/>
    <s v="-"/>
    <m/>
    <m/>
    <n v="801"/>
    <n v="3"/>
  </r>
  <r>
    <x v="238"/>
    <s v="Heidi Ferguson-Mueller"/>
    <x v="129"/>
    <s v="Infographic"/>
    <s v="Corporate"/>
    <s v="GCO – Other"/>
    <s v="No"/>
    <s v="Global"/>
    <n v="946"/>
    <n v="2"/>
    <s v="-"/>
    <s v="-"/>
    <s v="-"/>
    <s v="-"/>
    <s v="-"/>
    <s v="-"/>
    <m/>
    <m/>
    <n v="946"/>
    <n v="2"/>
  </r>
  <r>
    <x v="239"/>
    <s v="Corinna Machmeier"/>
    <x v="129"/>
    <s v="Video"/>
    <s v="Sports, Youth"/>
    <s v="P&amp;I (Research &amp; Development)"/>
    <s v="No"/>
    <s v="EMEA"/>
    <n v="534"/>
    <n v="1"/>
    <s v="-"/>
    <s v="-"/>
    <s v="-"/>
    <s v="-"/>
    <n v="720"/>
    <n v="0"/>
    <m/>
    <m/>
    <n v="1254"/>
    <n v="1"/>
  </r>
  <r>
    <x v="240"/>
    <s v="Stephan Kamps"/>
    <x v="130"/>
    <m/>
    <s v="Innovation"/>
    <s v="Corporate"/>
    <s v="No"/>
    <s v="Global"/>
    <n v="2879"/>
    <n v="11"/>
    <s v="-"/>
    <s v="-"/>
    <s v="-"/>
    <s v="-"/>
    <s v="-"/>
    <s v="-"/>
    <m/>
    <m/>
    <n v="2879"/>
    <n v="11"/>
  </r>
  <r>
    <x v="241"/>
    <s v="Susan Galer"/>
    <x v="130"/>
    <m/>
    <s v="Corporate"/>
    <s v="Human Resources (SAP HR and employee stories)"/>
    <s v="No"/>
    <s v="EMEA"/>
    <n v="1237"/>
    <n v="9"/>
    <s v="-"/>
    <s v="-"/>
    <n v="1061"/>
    <n v="0"/>
    <s v="-"/>
    <s v="-"/>
    <m/>
    <m/>
    <n v="2298"/>
    <n v="9"/>
  </r>
  <r>
    <x v="242"/>
    <s v="Sarah Kellman"/>
    <x v="131"/>
    <s v="Infographic"/>
    <s v="Innovation"/>
    <s v="GCO – Industry Cloud , GCO – Regions"/>
    <s v="Yes"/>
    <s v="EMEA"/>
    <n v="1297"/>
    <n v="26"/>
    <s v="-"/>
    <s v="-"/>
    <s v="-"/>
    <s v="-"/>
    <s v="-"/>
    <s v="-"/>
    <m/>
    <m/>
    <n v="1297"/>
    <n v="26"/>
  </r>
  <r>
    <x v="243"/>
    <s v="Jeff Woods"/>
    <x v="132"/>
    <m/>
    <s v="Innovation"/>
    <s v="Corporate"/>
    <s v="No"/>
    <s v="Global"/>
    <n v="1002"/>
    <n v="5"/>
    <s v="-"/>
    <s v="-"/>
    <n v="96"/>
    <n v="0"/>
    <s v="-"/>
    <s v="-"/>
    <m/>
    <m/>
    <n v="1098"/>
    <n v="5"/>
  </r>
  <r>
    <x v="244"/>
    <s v="Stephan Magura"/>
    <x v="132"/>
    <s v="Video"/>
    <s v="Innovation, Youth"/>
    <s v="Corporate"/>
    <s v="Yes"/>
    <s v="EMEA"/>
    <n v="712"/>
    <n v="3"/>
    <s v="-"/>
    <s v="-"/>
    <s v="-"/>
    <s v="-"/>
    <s v="-"/>
    <s v="-"/>
    <m/>
    <m/>
    <n v="712"/>
    <n v="3"/>
  </r>
  <r>
    <x v="245"/>
    <s v="Jackie Montesinos Suarez"/>
    <x v="133"/>
    <s v="Video"/>
    <s v="Innovation"/>
    <s v="GCO – Regions, GCO – Platform Solutions"/>
    <s v="No"/>
    <s v="EMEA"/>
    <n v="1225"/>
    <n v="12"/>
    <s v="-"/>
    <s v="-"/>
    <n v="164"/>
    <n v="0"/>
    <s v="-"/>
    <s v="-"/>
    <m/>
    <m/>
    <n v="1389"/>
    <n v="12"/>
  </r>
  <r>
    <x v="246"/>
    <s v="Jhon Ward"/>
    <x v="133"/>
    <s v="Infographic"/>
    <s v="Youth"/>
    <s v="Corporate"/>
    <s v="No"/>
    <s v="Global"/>
    <n v="512"/>
    <n v="1"/>
    <n v="4458"/>
    <n v="0"/>
    <n v="39"/>
    <n v="0"/>
    <s v="-"/>
    <s v="-"/>
    <m/>
    <m/>
    <n v="5009"/>
    <n v="1"/>
  </r>
  <r>
    <x v="247"/>
    <s v="Michael Zipf"/>
    <x v="134"/>
    <s v="Video"/>
    <s v="Sports"/>
    <s v="Human Resources (SAP HR and employee stories)"/>
    <s v="No"/>
    <s v="EMEA"/>
    <n v="1791"/>
    <n v="48"/>
    <s v="-"/>
    <s v="-"/>
    <n v="223"/>
    <n v="0"/>
    <s v="-"/>
    <s v="-"/>
    <n v="75788"/>
    <n v="0"/>
    <n v="2014"/>
    <n v="48"/>
  </r>
  <r>
    <x v="248"/>
    <s v="Robin Meyerhoff"/>
    <x v="135"/>
    <s v="Video"/>
    <s v="Innovation"/>
    <s v="P&amp;I (Research &amp; Development)"/>
    <s v="No"/>
    <s v="NA"/>
    <n v="786"/>
    <n v="4"/>
    <n v="1890"/>
    <n v="0"/>
    <n v="42"/>
    <n v="0"/>
    <n v="1037"/>
    <n v="0"/>
    <n v="105718"/>
    <n v="14"/>
    <n v="3755"/>
    <n v="4"/>
  </r>
  <r>
    <x v="249"/>
    <s v="Stephan Magura"/>
    <x v="136"/>
    <s v="Video"/>
    <s v="Innovation"/>
    <s v="GPO (Partner, Ecosystem, Channels)"/>
    <s v="Yes"/>
    <s v="EMEA"/>
    <n v="1139"/>
    <n v="4"/>
    <s v="-"/>
    <s v="-"/>
    <n v="213"/>
    <n v="0"/>
    <s v="-"/>
    <s v="-"/>
    <m/>
    <m/>
    <n v="1352"/>
    <n v="4"/>
  </r>
  <r>
    <x v="250"/>
    <s v="Robin Meyerhoff"/>
    <x v="137"/>
    <m/>
    <s v="Corporate"/>
    <s v="GCO – Regions"/>
    <s v="No"/>
    <s v="EMEA"/>
    <n v="1307"/>
    <n v="13"/>
    <s v="-"/>
    <s v="-"/>
    <s v="-"/>
    <s v="-"/>
    <n v="839"/>
    <n v="0"/>
    <m/>
    <m/>
    <n v="2146"/>
    <n v="13"/>
  </r>
  <r>
    <x v="251"/>
    <s v="Gillian Lindsell"/>
    <x v="137"/>
    <m/>
    <s v="Youth"/>
    <s v="GCO – Regions"/>
    <s v="No"/>
    <s v="EMEA"/>
    <n v="492"/>
    <n v="6"/>
    <s v="-"/>
    <s v="-"/>
    <n v="181"/>
    <n v="0"/>
    <s v="-"/>
    <s v="-"/>
    <m/>
    <m/>
    <n v="673"/>
    <n v="6"/>
  </r>
  <r>
    <x v="252"/>
    <s v="Cornelia Weiss-Justen"/>
    <x v="138"/>
    <s v="Video"/>
    <s v="Sports"/>
    <s v="Corporate"/>
    <s v="No"/>
    <s v="EMEA"/>
    <n v="1599"/>
    <n v="7"/>
    <s v="-"/>
    <s v="-"/>
    <n v="39"/>
    <n v="0"/>
    <s v="-"/>
    <s v="-"/>
    <m/>
    <m/>
    <n v="1638"/>
    <n v="7"/>
  </r>
  <r>
    <x v="253"/>
    <s v="Miriam Siebeking"/>
    <x v="139"/>
    <m/>
    <s v="Corporate"/>
    <s v="Human Resources (SAP HR and employee stories)"/>
    <s v="No"/>
    <s v="Global"/>
    <n v="1065"/>
    <n v="0"/>
    <s v="-"/>
    <s v="-"/>
    <s v="-"/>
    <s v="-"/>
    <s v="-"/>
    <s v="-"/>
    <m/>
    <m/>
    <n v="1065"/>
    <n v="0"/>
  </r>
  <r>
    <x v="254"/>
    <s v="Charlotte Otter"/>
    <x v="140"/>
    <s v="Video"/>
    <s v="Innovation"/>
    <s v="Corporate"/>
    <s v="No"/>
    <s v="Global"/>
    <n v="2480"/>
    <n v="3"/>
    <s v="-"/>
    <s v="-"/>
    <n v="94"/>
    <n v="0"/>
    <s v="-"/>
    <s v="-"/>
    <n v="76148"/>
    <n v="5"/>
    <n v="2574"/>
    <n v="3"/>
  </r>
  <r>
    <x v="255"/>
    <s v="Debra Curtis-Magley"/>
    <x v="141"/>
    <s v="Video"/>
    <s v="Innovation"/>
    <s v="Business Network (Concur, Ariba, Fieldglass)"/>
    <s v="No"/>
    <s v="EMEA"/>
    <n v="1026"/>
    <n v="8"/>
    <s v="-"/>
    <s v="-"/>
    <n v="119"/>
    <n v="0"/>
    <n v="4188"/>
    <n v="0"/>
    <m/>
    <m/>
    <n v="5333"/>
    <n v="8"/>
  </r>
  <r>
    <x v="256"/>
    <s v="Stephan Magura"/>
    <x v="142"/>
    <s v="Video"/>
    <s v="Innovation"/>
    <s v="GCO – Services Sales, GCO – Customer Engagement &amp; Commerce (CRM &amp; hybris) "/>
    <s v="No"/>
    <s v="Global"/>
    <n v="1378"/>
    <n v="2"/>
    <s v="-"/>
    <s v="-"/>
    <s v="-"/>
    <s v="-"/>
    <s v="-"/>
    <s v="-"/>
    <m/>
    <m/>
    <n v="1378"/>
    <n v="2"/>
  </r>
  <r>
    <x v="257"/>
    <s v="Judith Magyar"/>
    <x v="143"/>
    <s v="Infographic"/>
    <s v="Sports"/>
    <s v="P&amp;I (Research &amp; Development), GCO – Industry Cloud "/>
    <s v="No"/>
    <s v="Global"/>
    <n v="1391"/>
    <n v="5"/>
    <n v="5602"/>
    <n v="0"/>
    <n v="262"/>
    <n v="0"/>
    <s v="-"/>
    <s v="-"/>
    <n v="96497"/>
    <n v="7"/>
    <n v="7255"/>
    <n v="5"/>
  </r>
  <r>
    <x v="258"/>
    <s v="Nadine Huelsen"/>
    <x v="144"/>
    <m/>
    <s v="Innovation"/>
    <s v="Corporate"/>
    <s v="No"/>
    <s v="APJ"/>
    <n v="1630"/>
    <n v="26"/>
    <n v="12669"/>
    <n v="2"/>
    <n v="151"/>
    <n v="0"/>
    <n v="4177"/>
    <n v="12"/>
    <m/>
    <m/>
    <n v="18627"/>
    <n v="40"/>
  </r>
  <r>
    <x v="259"/>
    <s v="Tim Clark"/>
    <x v="145"/>
    <m/>
    <s v="Corporate"/>
    <s v="Corporate"/>
    <s v="No"/>
    <s v="NA"/>
    <n v="806"/>
    <n v="8"/>
    <n v="268"/>
    <n v="0"/>
    <s v="-"/>
    <s v="-"/>
    <n v="990"/>
    <n v="0"/>
    <m/>
    <m/>
    <n v="2064"/>
    <n v="8"/>
  </r>
  <r>
    <x v="260"/>
    <s v="Robin Meyerhoff"/>
    <x v="146"/>
    <s v="Video"/>
    <s v="Innovation"/>
    <s v="GCO – Regions"/>
    <s v="Yes"/>
    <s v="EMEA"/>
    <n v="979"/>
    <n v="6"/>
    <s v="-"/>
    <s v="-"/>
    <n v="117"/>
    <n v="0"/>
    <n v="1272"/>
    <n v="0"/>
    <n v="76512"/>
    <n v="3"/>
    <n v="2368"/>
    <n v="6"/>
  </r>
  <r>
    <x v="261"/>
    <s v="Susan Galer"/>
    <x v="147"/>
    <m/>
    <s v="Innovation"/>
    <s v="GCO – HR (SuccessFactors)"/>
    <s v="No"/>
    <s v="Global"/>
    <n v="1366"/>
    <n v="5"/>
    <n v="2114"/>
    <n v="0"/>
    <s v="-"/>
    <s v="-"/>
    <n v="735"/>
    <n v="1"/>
    <m/>
    <m/>
    <n v="4215"/>
    <n v="6"/>
  </r>
  <r>
    <x v="262"/>
    <s v="Baerbel Schultz"/>
    <x v="148"/>
    <m/>
    <s v="Innovation"/>
    <s v="P&amp;I (Research &amp; Development)"/>
    <s v="No"/>
    <s v="EMEA"/>
    <n v="932"/>
    <n v="2"/>
    <s v="-"/>
    <s v="-"/>
    <n v="236"/>
    <n v="0"/>
    <s v="-"/>
    <s v="-"/>
    <m/>
    <m/>
    <n v="1168"/>
    <n v="2"/>
  </r>
  <r>
    <x v="263"/>
    <s v="Jhon Ward"/>
    <x v="149"/>
    <s v="Video"/>
    <s v="Sports"/>
    <s v="GCO – Industry Cloud , GCO – Platform Solutions"/>
    <s v="Yes"/>
    <s v="EMEA"/>
    <n v="577"/>
    <n v="0"/>
    <s v="-"/>
    <s v="-"/>
    <n v="189"/>
    <n v="0"/>
    <s v="-"/>
    <s v="-"/>
    <m/>
    <m/>
    <n v="766"/>
    <n v="0"/>
  </r>
  <r>
    <x v="241"/>
    <s v="Susan Galer"/>
    <x v="150"/>
    <m/>
    <s v="Innovation"/>
    <s v="Human Resources (SAP HR and employee stories)"/>
    <s v="No"/>
    <s v="EMEA"/>
    <n v="5117"/>
    <n v="117"/>
    <s v="-"/>
    <s v="-"/>
    <n v="1883"/>
    <n v="0"/>
    <n v="841"/>
    <n v="0"/>
    <m/>
    <m/>
    <n v="7841"/>
    <n v="117"/>
  </r>
  <r>
    <x v="264"/>
    <s v="Paul Taylor"/>
    <x v="150"/>
    <s v="Infographic"/>
    <s v="Innovation"/>
    <s v="Office of the CEO"/>
    <s v="No"/>
    <s v="Global"/>
    <n v="2454"/>
    <n v="9"/>
    <n v="2830"/>
    <n v="0"/>
    <s v="-"/>
    <s v="-"/>
    <n v="740"/>
    <n v="0"/>
    <m/>
    <m/>
    <n v="6024"/>
    <n v="9"/>
  </r>
  <r>
    <x v="265"/>
    <s v="Derek Klobucher"/>
    <x v="151"/>
    <m/>
    <s v="Innovation"/>
    <s v="Corporate"/>
    <s v="No"/>
    <s v="Global"/>
    <n v="1663"/>
    <n v="20"/>
    <n v="1106"/>
    <n v="2"/>
    <n v="78"/>
    <n v="0"/>
    <s v="-"/>
    <s v="-"/>
    <m/>
    <m/>
    <n v="2847"/>
    <n v="22"/>
  </r>
  <r>
    <x v="266"/>
    <s v="Lynda Seger"/>
    <x v="152"/>
    <m/>
    <s v="Sports"/>
    <s v="GCO – Industry Cloud "/>
    <s v="Yes"/>
    <s v="EMEA"/>
    <n v="801"/>
    <n v="3"/>
    <s v="-"/>
    <s v="-"/>
    <n v="69"/>
    <n v="0"/>
    <s v="-"/>
    <s v="-"/>
    <m/>
    <m/>
    <n v="870"/>
    <n v="3"/>
  </r>
  <r>
    <x v="267"/>
    <s v="Judith Magyar"/>
    <x v="153"/>
    <s v="Infographic, Video"/>
    <s v="Innovation"/>
    <s v="GCO – Platform Solutions, GCO – Customer Engagement &amp; Commerce (CRM &amp; hybris) "/>
    <s v="No"/>
    <s v="Global"/>
    <n v="1884"/>
    <n v="5"/>
    <s v="-"/>
    <s v="-"/>
    <s v="-"/>
    <s v="-"/>
    <s v="-"/>
    <s v="-"/>
    <m/>
    <m/>
    <n v="1884"/>
    <n v="5"/>
  </r>
  <r>
    <x v="268"/>
    <s v="Jacqueline Prause"/>
    <x v="154"/>
    <s v="Video"/>
    <s v="Corporate"/>
    <s v="GPO (Partner, Ecosystem, Channels)"/>
    <s v="No"/>
    <s v="Global"/>
    <n v="765"/>
    <n v="5"/>
    <s v="-"/>
    <s v="-"/>
    <n v="98"/>
    <n v="0"/>
    <s v="-"/>
    <s v="-"/>
    <m/>
    <m/>
    <n v="863"/>
    <n v="5"/>
  </r>
  <r>
    <x v="269"/>
    <s v="Paul Baur"/>
    <x v="155"/>
    <s v="Video"/>
    <s v="Corporate"/>
    <s v="Corporate"/>
    <s v="No"/>
    <s v="Global"/>
    <n v="2383"/>
    <n v="14"/>
    <s v="-"/>
    <s v="-"/>
    <s v="-"/>
    <s v="-"/>
    <s v="-"/>
    <s v="-"/>
    <m/>
    <m/>
    <n v="2383"/>
    <n v="14"/>
  </r>
  <r>
    <x v="270"/>
    <s v="Judith Magyar"/>
    <x v="155"/>
    <s v="Infographic"/>
    <s v="Innovation"/>
    <s v="GCO – Other"/>
    <s v="No"/>
    <s v="Global"/>
    <n v="3075"/>
    <n v="9"/>
    <s v="-"/>
    <s v="-"/>
    <s v="-"/>
    <s v="-"/>
    <s v="-"/>
    <s v="-"/>
    <m/>
    <m/>
    <n v="3075"/>
    <n v="9"/>
  </r>
  <r>
    <x v="271"/>
    <s v="Michael Zipf"/>
    <x v="156"/>
    <m/>
    <s v="Corporate"/>
    <s v="Corporate"/>
    <s v="No"/>
    <s v="EMEA"/>
    <n v="6559"/>
    <n v="67"/>
    <s v="-"/>
    <s v="-"/>
    <s v="-"/>
    <s v="-"/>
    <s v="-"/>
    <s v="-"/>
    <m/>
    <m/>
    <n v="6559"/>
    <n v="67"/>
  </r>
  <r>
    <x v="272"/>
    <s v="Paul Baur"/>
    <x v="157"/>
    <s v="Video"/>
    <s v="Healthcare"/>
    <s v="P&amp;I (Research &amp; Development)"/>
    <s v="No"/>
    <s v="Global"/>
    <n v="1237"/>
    <n v="2"/>
    <s v="-"/>
    <s v="-"/>
    <n v="109"/>
    <n v="0"/>
    <n v="548"/>
    <n v="0"/>
    <m/>
    <m/>
    <n v="1894"/>
    <n v="2"/>
  </r>
  <r>
    <x v="273"/>
    <s v="Judith Magyar"/>
    <x v="158"/>
    <s v="Video"/>
    <s v="Healthcare"/>
    <s v="GCO – Industry Cloud , GCO – Platform Solutions"/>
    <s v="Yes"/>
    <s v="Global"/>
    <n v="1436"/>
    <n v="1"/>
    <s v="-"/>
    <s v="-"/>
    <n v="228"/>
    <n v="0"/>
    <n v="883"/>
    <n v="3"/>
    <m/>
    <m/>
    <n v="2547"/>
    <n v="4"/>
  </r>
  <r>
    <x v="274"/>
    <s v="Miriam Siebeking"/>
    <x v="159"/>
    <m/>
    <s v="Corporate"/>
    <s v="Human Resources (SAP HR and employee stories)"/>
    <s v="No"/>
    <s v="Global"/>
    <n v="1073"/>
    <n v="0"/>
    <s v="-"/>
    <s v="-"/>
    <s v="-"/>
    <s v="-"/>
    <s v="-"/>
    <s v="-"/>
    <m/>
    <m/>
    <n v="1073"/>
    <n v="0"/>
  </r>
  <r>
    <x v="275"/>
    <s v="Paul Taylor"/>
    <x v="160"/>
    <m/>
    <s v="Innovation"/>
    <s v="GCO – Customer Engagement &amp; Commerce (CRM &amp; hybris) "/>
    <s v="No"/>
    <s v="Global"/>
    <n v="2143"/>
    <n v="3"/>
    <s v="-"/>
    <s v="-"/>
    <n v="484"/>
    <n v="0"/>
    <s v="-"/>
    <s v="-"/>
    <n v="78019"/>
    <n v="7"/>
    <n v="2627"/>
    <n v="3"/>
  </r>
  <r>
    <x v="276"/>
    <s v="Andrea Diederichs"/>
    <x v="160"/>
    <s v="Infographic"/>
    <s v="Corporate"/>
    <s v="Corporate"/>
    <s v="No"/>
    <s v="Global"/>
    <n v="1514"/>
    <n v="1"/>
    <s v="-"/>
    <s v="-"/>
    <s v="-"/>
    <s v="-"/>
    <s v="-"/>
    <s v="-"/>
    <m/>
    <m/>
    <n v="1514"/>
    <n v="1"/>
  </r>
  <r>
    <x v="277"/>
    <s v="Paul Baur"/>
    <x v="161"/>
    <m/>
    <s v="Corporate"/>
    <s v="Office of the CEO"/>
    <s v="No"/>
    <s v="Global"/>
    <n v="27449"/>
    <n v="359"/>
    <s v="-"/>
    <s v="-"/>
    <s v="-"/>
    <s v="-"/>
    <s v="-"/>
    <s v="-"/>
    <m/>
    <m/>
    <n v="27449"/>
    <n v="359"/>
  </r>
  <r>
    <x v="278"/>
    <s v="Paul Taylor"/>
    <x v="161"/>
    <s v="Infographic"/>
    <s v="Innovation"/>
    <s v="GCO – Customer Engagement &amp; Commerce (CRM &amp; hybris) "/>
    <s v="No"/>
    <s v="Global"/>
    <n v="2130"/>
    <n v="7"/>
    <n v="1772"/>
    <n v="0"/>
    <n v="149"/>
    <n v="0"/>
    <n v="7140"/>
    <n v="1"/>
    <n v="78209"/>
    <n v="10"/>
    <n v="11191"/>
    <n v="8"/>
  </r>
  <r>
    <x v="279"/>
    <s v="Torsten Falk"/>
    <x v="162"/>
    <m/>
    <s v="Corporate"/>
    <s v="Corporate"/>
    <s v="No"/>
    <s v="Global"/>
    <n v="2753"/>
    <n v="19"/>
    <s v="-"/>
    <s v="-"/>
    <s v="-"/>
    <s v="-"/>
    <s v="-"/>
    <s v="-"/>
    <m/>
    <m/>
    <n v="2753"/>
    <n v="19"/>
  </r>
  <r>
    <x v="280"/>
    <s v="Cornelia Weiss-Justen"/>
    <x v="163"/>
    <s v="Video"/>
    <s v="Sports"/>
    <s v="GCO – Platform Solutions, GCO – Industry Cloud "/>
    <s v="Yes"/>
    <s v="Global"/>
    <n v="862"/>
    <n v="3"/>
    <s v="-"/>
    <s v="-"/>
    <n v="63"/>
    <n v="0"/>
    <s v="-"/>
    <s v="-"/>
    <m/>
    <m/>
    <n v="925"/>
    <n v="3"/>
  </r>
  <r>
    <x v="281"/>
    <s v="Kesja Cichowski"/>
    <x v="164"/>
    <m/>
    <s v="Corporate"/>
    <s v="Corporate"/>
    <s v="Yes"/>
    <s v="Global"/>
    <n v="1215"/>
    <n v="4"/>
    <s v="-"/>
    <s v="-"/>
    <s v="-"/>
    <s v="-"/>
    <s v="-"/>
    <s v="-"/>
    <m/>
    <m/>
    <n v="1215"/>
    <n v="4"/>
  </r>
  <r>
    <x v="282"/>
    <s v="Judith Magyar"/>
    <x v="165"/>
    <s v="Video"/>
    <s v="Innovation"/>
    <s v="GCO – Industry Cloud , GCO – Platform Solutions, GCO – Regions"/>
    <s v="Yes"/>
    <s v="LATAM"/>
    <n v="1209"/>
    <n v="9"/>
    <n v="1151"/>
    <n v="0"/>
    <n v="195"/>
    <n v="0"/>
    <s v="-"/>
    <s v="-"/>
    <m/>
    <m/>
    <n v="2555"/>
    <n v="9"/>
  </r>
  <r>
    <x v="283"/>
    <s v="Andreas Schmitz"/>
    <x v="165"/>
    <m/>
    <s v="Innovation"/>
    <s v="GCO – Other"/>
    <s v="No"/>
    <s v="Global"/>
    <n v="1671"/>
    <n v="6"/>
    <s v="-"/>
    <s v="-"/>
    <s v="-"/>
    <s v="-"/>
    <s v="-"/>
    <s v="-"/>
    <m/>
    <m/>
    <n v="1671"/>
    <n v="6"/>
  </r>
  <r>
    <x v="284"/>
    <s v="Michael Zipf"/>
    <x v="165"/>
    <s v="Video"/>
    <s v="Innovation"/>
    <s v="P&amp;I (Research &amp; Development), GCO – Industry Cloud "/>
    <s v="No"/>
    <s v="Global"/>
    <n v="530"/>
    <n v="0"/>
    <s v="-"/>
    <s v="-"/>
    <n v="187"/>
    <n v="0"/>
    <n v="807"/>
    <n v="0"/>
    <m/>
    <m/>
    <n v="1524"/>
    <n v="0"/>
  </r>
  <r>
    <x v="285"/>
    <s v="Paul Taylor"/>
    <x v="166"/>
    <m/>
    <s v="Innovation"/>
    <s v="GCO – Platform Solutions"/>
    <s v="No"/>
    <s v="Global"/>
    <n v="1187"/>
    <n v="2"/>
    <n v="982"/>
    <n v="0"/>
    <n v="114"/>
    <n v="0"/>
    <n v="787"/>
    <n v="0"/>
    <m/>
    <m/>
    <n v="3070"/>
    <n v="2"/>
  </r>
  <r>
    <x v="286"/>
    <s v="Sam Yen"/>
    <x v="167"/>
    <m/>
    <s v="Innovation"/>
    <s v="P&amp;I (Research &amp; Development)"/>
    <s v="No"/>
    <s v="Global"/>
    <n v="1761"/>
    <n v="5"/>
    <n v="4650"/>
    <n v="1"/>
    <n v="275"/>
    <n v="0"/>
    <s v="-"/>
    <s v="-"/>
    <m/>
    <m/>
    <n v="6686"/>
    <n v="6"/>
  </r>
  <r>
    <x v="287"/>
    <s v="Sarah Kellman"/>
    <x v="168"/>
    <s v="Infographic, Video"/>
    <s v="Corporate"/>
    <s v="Corporate"/>
    <s v="No"/>
    <s v="Global"/>
    <n v="2814"/>
    <n v="11"/>
    <s v="-"/>
    <s v="-"/>
    <s v="-"/>
    <s v="-"/>
    <s v="-"/>
    <s v="-"/>
    <m/>
    <m/>
    <n v="2814"/>
    <n v="11"/>
  </r>
  <r>
    <x v="288"/>
    <s v="Thorsten Leiduck"/>
    <x v="168"/>
    <m/>
    <s v="Innovation"/>
    <s v="P&amp;I (Research &amp; Development)"/>
    <s v="No"/>
    <s v="EMEA"/>
    <n v="1310"/>
    <n v="1"/>
    <s v="-"/>
    <s v="-"/>
    <n v="2180"/>
    <n v="0"/>
    <s v="-"/>
    <s v="-"/>
    <m/>
    <m/>
    <n v="3490"/>
    <n v="1"/>
  </r>
  <r>
    <x v="289"/>
    <s v="Robin Meyerhoff"/>
    <x v="169"/>
    <m/>
    <s v="Youth"/>
    <s v="Human Resources (SAP HR and employee stories)"/>
    <s v="No"/>
    <s v="EMEA"/>
    <n v="934"/>
    <n v="12"/>
    <s v="-"/>
    <s v="-"/>
    <n v="99"/>
    <n v="0"/>
    <n v="747"/>
    <n v="0"/>
    <s v="-"/>
    <s v="-"/>
    <n v="1780"/>
    <n v="12"/>
  </r>
  <r>
    <x v="290"/>
    <s v="Judith Magyar"/>
    <x v="170"/>
    <s v="Video"/>
    <s v="Corporate"/>
    <s v="Corporate"/>
    <s v="No"/>
    <s v="Global"/>
    <n v="3141"/>
    <n v="5"/>
    <s v="-"/>
    <s v="-"/>
    <n v="596"/>
    <n v="0"/>
    <s v="-"/>
    <s v="-"/>
    <s v="-"/>
    <s v="-"/>
    <n v="3737"/>
    <n v="5"/>
  </r>
  <r>
    <x v="196"/>
    <s v="Miriam Siebeking"/>
    <x v="171"/>
    <m/>
    <s v="Corporate"/>
    <s v="Corporate"/>
    <s v="No"/>
    <s v="Global"/>
    <n v="1018"/>
    <n v="0"/>
    <s v="-"/>
    <s v="-"/>
    <s v="-"/>
    <s v="-"/>
    <s v="-"/>
    <s v="-"/>
    <s v="-"/>
    <s v="-"/>
    <n v="1018"/>
    <n v="0"/>
  </r>
  <r>
    <x v="291"/>
    <s v="Judith Magyar"/>
    <x v="172"/>
    <s v="Video"/>
    <s v="Innovation"/>
    <s v="P&amp;I (Research &amp; Development), GCO – Industry Cloud "/>
    <s v="No"/>
    <s v="Global"/>
    <n v="662"/>
    <n v="9"/>
    <s v="-"/>
    <s v="-"/>
    <s v="-"/>
    <s v="-"/>
    <s v="-"/>
    <s v="-"/>
    <s v="-"/>
    <s v="-"/>
    <n v="662"/>
    <n v="9"/>
  </r>
  <r>
    <x v="292"/>
    <s v="Robin Meyerhoff"/>
    <x v="172"/>
    <s v="Video"/>
    <s v="Healthcare"/>
    <s v="Human Resources (SAP HR and employee stories)"/>
    <s v="No"/>
    <s v="EMEA"/>
    <n v="6484"/>
    <n v="21"/>
    <s v="-"/>
    <s v="-"/>
    <n v="1823"/>
    <n v="0"/>
    <s v="-"/>
    <s v="-"/>
    <s v="-"/>
    <s v="-"/>
    <n v="8307"/>
    <n v="21"/>
  </r>
  <r>
    <x v="293"/>
    <s v="Paul Baur"/>
    <x v="172"/>
    <m/>
    <s v="Corporate, Innovation"/>
    <s v="GCO – HR (SuccessFactors), P&amp;I (Research &amp; Development)"/>
    <s v="No"/>
    <s v="Global"/>
    <n v="727"/>
    <n v="2"/>
    <s v="-"/>
    <s v="-"/>
    <s v="-"/>
    <s v="-"/>
    <s v="-"/>
    <s v="-"/>
    <s v="-"/>
    <s v="-"/>
    <n v="727"/>
    <n v="2"/>
  </r>
  <r>
    <x v="294"/>
    <s v="Paul Baur"/>
    <x v="173"/>
    <m/>
    <s v="Corporate"/>
    <s v="GCO – Platform Solutions, GCO – Industry Cloud , Office of the CEO"/>
    <s v="No"/>
    <s v="Global"/>
    <n v="4459"/>
    <n v="10"/>
    <s v="-"/>
    <s v="-"/>
    <n v="1975"/>
    <n v="0"/>
    <s v="-"/>
    <s v="-"/>
    <s v="-"/>
    <s v="-"/>
    <n v="6434"/>
    <n v="10"/>
  </r>
  <r>
    <x v="295"/>
    <s v="Andreas Schmitz"/>
    <x v="173"/>
    <m/>
    <s v="Sports"/>
    <s v="GCO – Industry Cloud "/>
    <s v="Yes"/>
    <s v="Global"/>
    <n v="349"/>
    <n v="0"/>
    <s v="-"/>
    <s v="-"/>
    <n v="877"/>
    <n v="0"/>
    <s v="-"/>
    <s v="-"/>
    <s v="-"/>
    <s v="-"/>
    <n v="1226"/>
    <n v="0"/>
  </r>
  <r>
    <x v="296"/>
    <s v="Michael Zipf"/>
    <x v="174"/>
    <s v="Video"/>
    <s v="Corporate"/>
    <s v="Human Resources (SAP HR and employee stories)"/>
    <s v="No"/>
    <s v="Global"/>
    <n v="1968"/>
    <n v="16"/>
    <n v="737"/>
    <n v="0"/>
    <s v="-"/>
    <s v="-"/>
    <s v="-"/>
    <s v="-"/>
    <s v="-"/>
    <s v="-"/>
    <n v="2705"/>
    <n v="16"/>
  </r>
  <r>
    <x v="297"/>
    <s v="Corinna Machmeier"/>
    <x v="174"/>
    <s v="Video"/>
    <s v="Youth"/>
    <s v="Human Resources (SAP HR and employee stories)"/>
    <s v="No"/>
    <s v="Global"/>
    <n v="9"/>
    <n v="0"/>
    <s v="-"/>
    <s v="-"/>
    <n v="165"/>
    <n v="0"/>
    <n v="424"/>
    <n v="0"/>
    <s v="-"/>
    <s v="-"/>
    <n v="598"/>
    <n v="0"/>
  </r>
  <r>
    <x v="298"/>
    <s v="Stephan Magura"/>
    <x v="174"/>
    <s v="Video"/>
    <s v="Healthcare, Innovation"/>
    <s v="P&amp;I (Research &amp; Development), GCO – Industry Cloud , Human Resources (SAP HR and employee stories)"/>
    <s v="No"/>
    <s v="Global"/>
    <n v="404"/>
    <n v="1"/>
    <s v="-"/>
    <s v="-"/>
    <s v="-"/>
    <s v="-"/>
    <s v="-"/>
    <s v="-"/>
    <s v="-"/>
    <s v="-"/>
    <n v="404"/>
    <n v="1"/>
  </r>
  <r>
    <x v="299"/>
    <s v="Andreas Schmitz"/>
    <x v="175"/>
    <s v="Video, Infographic"/>
    <s v="Innovation"/>
    <s v="GCO – Industry Cloud "/>
    <s v="No"/>
    <s v="Global"/>
    <n v="532"/>
    <n v="0"/>
    <s v="-"/>
    <s v="-"/>
    <n v="869"/>
    <n v="0"/>
    <s v="-"/>
    <s v="-"/>
    <s v="-"/>
    <s v="-"/>
    <n v="1401"/>
    <n v="0"/>
  </r>
  <r>
    <x v="300"/>
    <s v="Stephan Magura"/>
    <x v="176"/>
    <m/>
    <s v="Corporate"/>
    <s v="Human Resources (SAP HR and employee stories)"/>
    <s v="No"/>
    <s v="NA"/>
    <n v="2783"/>
    <n v="43"/>
    <s v="-"/>
    <s v="-"/>
    <s v="-"/>
    <s v="-"/>
    <s v="-"/>
    <s v="-"/>
    <s v="-"/>
    <s v="-"/>
    <n v="2783"/>
    <n v="43"/>
  </r>
  <r>
    <x v="301"/>
    <s v="Paul Baur"/>
    <x v="177"/>
    <s v="Video"/>
    <s v="Corporate"/>
    <s v="GCO – Industry Cloud "/>
    <s v="No"/>
    <s v="Global"/>
    <n v="4307"/>
    <n v="3"/>
    <s v="-"/>
    <s v="-"/>
    <s v="-"/>
    <s v="-"/>
    <s v="-"/>
    <s v="-"/>
    <s v="-"/>
    <s v="-"/>
    <n v="4307"/>
    <n v="3"/>
  </r>
  <r>
    <x v="302"/>
    <s v="Paul Baur"/>
    <x v="178"/>
    <s v="Video"/>
    <s v="Corporate"/>
    <s v="Office of the CEO"/>
    <s v="No"/>
    <s v="Global"/>
    <n v="3323"/>
    <n v="8"/>
    <s v="-"/>
    <s v="-"/>
    <s v="-"/>
    <s v="-"/>
    <s v="-"/>
    <s v="-"/>
    <s v="-"/>
    <s v="-"/>
    <n v="3323"/>
    <n v="8"/>
  </r>
  <r>
    <x v="303"/>
    <s v="Paul Taylor"/>
    <x v="178"/>
    <s v="Video"/>
    <s v="Innovation"/>
    <s v="Business Network (Concur, Ariba, Fieldglass), Office of the CEO, P&amp;I (Research &amp; Development)"/>
    <s v="No"/>
    <s v="Global"/>
    <n v="7129"/>
    <n v="51"/>
    <s v="-"/>
    <s v="-"/>
    <n v="301"/>
    <n v="0"/>
    <n v="982"/>
    <n v="0"/>
    <s v="-"/>
    <s v="-"/>
    <n v="8412"/>
    <n v="51"/>
  </r>
  <r>
    <x v="304"/>
    <s v="Judith Magyar, Carolyn Coad"/>
    <x v="178"/>
    <m/>
    <s v="Corporate"/>
    <s v="GCO – Platform Solutions"/>
    <s v="Yes"/>
    <s v="Global"/>
    <n v="1045"/>
    <n v="0"/>
    <s v="-"/>
    <s v="-"/>
    <n v="725"/>
    <n v="0"/>
    <s v="-"/>
    <s v="-"/>
    <s v="-"/>
    <s v="-"/>
    <n v="1770"/>
    <n v="0"/>
  </r>
  <r>
    <x v="305"/>
    <s v="Judith Magyar"/>
    <x v="179"/>
    <m/>
    <s v="Innovation"/>
    <s v="GCO – Industry Cloud "/>
    <s v="Yes"/>
    <s v="LATAM"/>
    <n v="846"/>
    <n v="1"/>
    <s v="-"/>
    <s v="-"/>
    <n v="98"/>
    <n v="0"/>
    <n v="407"/>
    <n v="0"/>
    <s v="-"/>
    <s v="-"/>
    <n v="1351"/>
    <n v="1"/>
  </r>
  <r>
    <x v="306"/>
    <s v="Stephan Magura"/>
    <x v="180"/>
    <m/>
    <s v="Innovation"/>
    <s v="GCO – Industry Cloud , GCO – Services Sales"/>
    <s v="Yes"/>
    <s v="EMEA"/>
    <n v="623"/>
    <n v="3"/>
    <s v="-"/>
    <s v="-"/>
    <n v="211"/>
    <n v="1"/>
    <s v="-"/>
    <s v="-"/>
    <s v="-"/>
    <s v="-"/>
    <n v="834"/>
    <n v="4"/>
  </r>
  <r>
    <x v="307"/>
    <s v="Judith Magyar"/>
    <x v="181"/>
    <m/>
    <s v="Youth, Innovation"/>
    <s v="Office of the CEO"/>
    <s v="No"/>
    <s v="Global"/>
    <n v="4093"/>
    <n v="3"/>
    <s v="-"/>
    <s v="-"/>
    <s v="-"/>
    <s v="-"/>
    <s v="-"/>
    <s v="-"/>
    <s v="-"/>
    <s v="-"/>
    <n v="4093"/>
    <n v="3"/>
  </r>
  <r>
    <x v="308"/>
    <s v="Paul Baur"/>
    <x v="182"/>
    <m/>
    <s v="Corporate"/>
    <s v="Corporate"/>
    <s v="No"/>
    <s v="Global"/>
    <n v="350"/>
    <n v="0"/>
    <s v="-"/>
    <s v="-"/>
    <s v="-"/>
    <s v="-"/>
    <s v="-"/>
    <s v="-"/>
    <s v="-"/>
    <s v="-"/>
    <n v="350"/>
    <n v="0"/>
  </r>
  <r>
    <x v="309"/>
    <s v="Judith Magyar"/>
    <x v="183"/>
    <s v="Video"/>
    <s v="Sports"/>
    <s v="GCO – Platform Solutions"/>
    <s v="No"/>
    <s v="NA"/>
    <n v="1189"/>
    <n v="1"/>
    <s v="-"/>
    <s v="-"/>
    <n v="227"/>
    <n v="0"/>
    <n v="780"/>
    <n v="0"/>
    <s v="-"/>
    <s v="-"/>
    <n v="2196"/>
    <n v="1"/>
  </r>
  <r>
    <x v="310"/>
    <s v="Stephan Magura"/>
    <x v="183"/>
    <m/>
    <s v="Innovation"/>
    <s v="Services Delivery &amp; Support (go-lives and deployments) "/>
    <s v="Yes"/>
    <s v="EMEA"/>
    <n v="690"/>
    <n v="0"/>
    <s v="-"/>
    <s v="-"/>
    <s v="-"/>
    <s v="-"/>
    <s v="-"/>
    <s v="-"/>
    <s v="-"/>
    <s v="-"/>
    <n v="690"/>
    <n v="0"/>
  </r>
  <r>
    <x v="311"/>
    <s v="Miriam Siebeking"/>
    <x v="184"/>
    <s v="Video"/>
    <s v="Corporate"/>
    <s v="Corporate"/>
    <s v="No"/>
    <s v="Global"/>
    <n v="1297"/>
    <n v="1"/>
    <s v="-"/>
    <s v="-"/>
    <s v="-"/>
    <s v="-"/>
    <s v="-"/>
    <s v="-"/>
    <s v="-"/>
    <s v="-"/>
    <n v="1297"/>
    <n v="1"/>
  </r>
  <r>
    <x v="312"/>
    <s v="Robin Meyerhoff"/>
    <x v="185"/>
    <s v="Video"/>
    <s v="Innovation"/>
    <s v="Business Network (Concur, Ariba, Fieldglass), P&amp;I (Research &amp; Development), GCO – Industry Cloud "/>
    <s v="No"/>
    <s v="Global"/>
    <n v="1046"/>
    <n v="0"/>
    <n v="673"/>
    <n v="0"/>
    <n v="84"/>
    <n v="0"/>
    <n v="356"/>
    <n v="2"/>
    <s v="-"/>
    <s v="-"/>
    <n v="2159"/>
    <n v="2"/>
  </r>
  <r>
    <x v="313"/>
    <s v="Judith Magyar"/>
    <x v="185"/>
    <m/>
    <s v="Innovation"/>
    <s v="GCO – Industry Cloud "/>
    <s v="Yes"/>
    <s v="EMEA"/>
    <n v="879"/>
    <n v="1"/>
    <s v="-"/>
    <s v="-"/>
    <n v="61"/>
    <n v="0"/>
    <n v="221"/>
    <n v="0"/>
    <s v="-"/>
    <s v="-"/>
    <n v="1161"/>
    <n v="1"/>
  </r>
  <r>
    <x v="314"/>
    <s v="Jackie Montesinos Suarez"/>
    <x v="186"/>
    <s v="Video"/>
    <s v="Innovation, Sports"/>
    <s v="GCO – Other"/>
    <s v="No"/>
    <s v="NA"/>
    <n v="848"/>
    <n v="3"/>
    <s v="-"/>
    <s v="-"/>
    <s v="-"/>
    <s v="-"/>
    <s v="-"/>
    <s v="-"/>
    <s v="-"/>
    <s v="-"/>
    <n v="848"/>
    <n v="3"/>
  </r>
  <r>
    <x v="315"/>
    <s v="Paul Taylor"/>
    <x v="187"/>
    <s v="Video"/>
    <s v="Innovation"/>
    <s v="GCO – Platform Solutions"/>
    <s v="No"/>
    <s v="EMEA, NA"/>
    <n v="2835"/>
    <n v="10"/>
    <s v="-"/>
    <s v="-"/>
    <n v="76"/>
    <n v="0"/>
    <n v="313"/>
    <n v="0"/>
    <s v="-"/>
    <s v="-"/>
    <n v="3224"/>
    <n v="10"/>
  </r>
  <r>
    <x v="316"/>
    <s v="Judith Magyar"/>
    <x v="187"/>
    <m/>
    <s v="Innovation"/>
    <s v="GCO – Industry Cloud , GCO – Platform Solutions"/>
    <s v="No"/>
    <s v="EMEA"/>
    <n v="2897"/>
    <n v="10"/>
    <s v="-"/>
    <s v="-"/>
    <n v="236"/>
    <n v="0"/>
    <s v="-"/>
    <s v="-"/>
    <s v="-"/>
    <s v="-"/>
    <n v="3133"/>
    <n v="10"/>
  </r>
  <r>
    <x v="317"/>
    <s v="Paul Taylor"/>
    <x v="188"/>
    <m/>
    <s v="Corporate"/>
    <s v="Human Resources (SAP HR and employee stories), Corporate"/>
    <s v="No"/>
    <s v="EMEA"/>
    <n v="6411"/>
    <n v="58"/>
    <s v="-"/>
    <s v="-"/>
    <s v="-"/>
    <s v="-"/>
    <s v="-"/>
    <s v="-"/>
    <s v="-"/>
    <s v="-"/>
    <n v="6411"/>
    <n v="58"/>
  </r>
  <r>
    <x v="318"/>
    <s v="Patricia Crazzolara, Kesja Cichowski"/>
    <x v="189"/>
    <s v="Video"/>
    <s v="Corporate"/>
    <s v="Human Resources (SAP HR and employee stories)"/>
    <s v="No"/>
    <s v="EMEA"/>
    <n v="1700"/>
    <n v="24"/>
    <s v="-"/>
    <s v="-"/>
    <n v="84"/>
    <n v="0"/>
    <s v="-"/>
    <s v="-"/>
    <s v="-"/>
    <s v="-"/>
    <n v="1784"/>
    <n v="24"/>
  </r>
  <r>
    <x v="319"/>
    <s v="Stephan Magura"/>
    <x v="190"/>
    <m/>
    <s v="Corporate"/>
    <s v="Human Resources (SAP HR and employee stories)"/>
    <s v="No"/>
    <s v="Global"/>
    <n v="1641"/>
    <n v="1"/>
    <s v="-"/>
    <s v="-"/>
    <s v="-"/>
    <s v="-"/>
    <s v="-"/>
    <s v="-"/>
    <s v="-"/>
    <s v="-"/>
    <n v="1641"/>
    <n v="1"/>
  </r>
  <r>
    <x v="320"/>
    <s v="Corinna Machmeier"/>
    <x v="191"/>
    <s v="Video"/>
    <s v="Corporate, Youth"/>
    <s v="Human Resources (SAP HR and employee stories)"/>
    <s v="No"/>
    <s v="EMEA"/>
    <n v="1349"/>
    <n v="4"/>
    <s v="-"/>
    <s v="-"/>
    <n v="178"/>
    <n v="0"/>
    <s v="-"/>
    <s v="-"/>
    <s v="-"/>
    <s v="-"/>
    <n v="1527"/>
    <n v="4"/>
  </r>
  <r>
    <x v="321"/>
    <s v="Stephan Magura"/>
    <x v="192"/>
    <m/>
    <s v="Corporate"/>
    <s v="Human Resources (SAP HR and employee stories)"/>
    <s v="No"/>
    <s v="EMEA"/>
    <n v="1829"/>
    <n v="4"/>
    <s v="-"/>
    <s v="-"/>
    <s v="-"/>
    <s v="-"/>
    <s v="-"/>
    <s v="-"/>
    <s v="-"/>
    <s v="-"/>
    <n v="1829"/>
    <n v="4"/>
  </r>
  <r>
    <x v="322"/>
    <s v="Robin Meyerhoff"/>
    <x v="192"/>
    <s v="Infographic"/>
    <s v="Corporate"/>
    <s v="Human Resources (SAP HR and employee stories), Corporate, Office of the CEO"/>
    <s v="No"/>
    <s v="Global"/>
    <n v="2998"/>
    <n v="25"/>
    <s v="-"/>
    <s v="-"/>
    <n v="117"/>
    <n v="0"/>
    <n v="562"/>
    <n v="2"/>
    <s v="-"/>
    <s v="-"/>
    <n v="3677"/>
    <n v="27"/>
  </r>
  <r>
    <x v="323"/>
    <s v="Stephan Magura"/>
    <x v="193"/>
    <s v="Video"/>
    <s v="Innovation"/>
    <s v="Services Delivery &amp; Support (go-lives and deployments) "/>
    <s v="No"/>
    <s v="EMEA"/>
    <n v="1779"/>
    <n v="2"/>
    <s v="-"/>
    <s v="-"/>
    <s v="-"/>
    <s v="-"/>
    <s v="-"/>
    <s v="-"/>
    <s v="-"/>
    <s v="-"/>
    <n v="1779"/>
    <n v="2"/>
  </r>
  <r>
    <x v="324"/>
    <s v="Paul Taylor"/>
    <x v="193"/>
    <s v="Video"/>
    <s v="Innovation"/>
    <s v="GCO – Platform Solutions, Business Network (Concur, Ariba, Fieldglass)"/>
    <s v="No"/>
    <s v="Global"/>
    <n v="2047"/>
    <n v="0"/>
    <s v="-"/>
    <s v="-"/>
    <s v="-"/>
    <s v="-"/>
    <n v="1393"/>
    <n v="0"/>
    <s v="-"/>
    <s v="-"/>
    <n v="3440"/>
    <n v="0"/>
  </r>
  <r>
    <x v="325"/>
    <s v="Paul Baur, Alexander Januschke, Natalie Hauck"/>
    <x v="194"/>
    <s v="Video"/>
    <s v="Corporate, Sports"/>
    <s v="Human Resources (SAP HR and employee stories)"/>
    <s v="No"/>
    <s v="EMEA"/>
    <n v="8691"/>
    <n v="18"/>
    <s v="-"/>
    <s v="-"/>
    <s v="-"/>
    <s v="-"/>
    <n v="226"/>
    <n v="0"/>
    <s v="-"/>
    <s v="-"/>
    <n v="8917"/>
    <n v="18"/>
  </r>
  <r>
    <x v="326"/>
    <s v="Michael Zipf"/>
    <x v="194"/>
    <m/>
    <s v="Corporate"/>
    <s v="Corporate"/>
    <s v="No"/>
    <s v="Global"/>
    <n v="525"/>
    <n v="4"/>
    <s v="-"/>
    <s v="-"/>
    <s v="-"/>
    <s v="-"/>
    <s v="-"/>
    <s v="-"/>
    <s v="-"/>
    <s v="-"/>
    <n v="525"/>
    <n v="4"/>
  </r>
  <r>
    <x v="327"/>
    <s v="SAP News"/>
    <x v="195"/>
    <m/>
    <s v="Corporate, Innovation"/>
    <s v="Office of the CEO, Corporate, GCO – Industry Cloud "/>
    <s v="No"/>
    <s v="Global"/>
    <n v="1310"/>
    <n v="2"/>
    <s v="-"/>
    <s v="-"/>
    <s v="-"/>
    <s v="-"/>
    <s v="-"/>
    <s v="-"/>
    <s v="-"/>
    <s v="-"/>
    <n v="1310"/>
    <n v="2"/>
  </r>
  <r>
    <x v="328"/>
    <s v="Michael Nuesslein "/>
    <x v="196"/>
    <s v="Video"/>
    <s v="Sports"/>
    <s v="GCO – Industry Cloud , GCO – Platform Solutions"/>
    <s v="Yes"/>
    <s v="EMEA"/>
    <n v="2336"/>
    <n v="5"/>
    <s v="-"/>
    <s v="-"/>
    <m/>
    <m/>
    <s v="-"/>
    <s v="-"/>
    <s v="-"/>
    <s v="-"/>
    <n v="2336"/>
    <n v="5"/>
  </r>
  <r>
    <x v="329"/>
    <s v="Judith Magyar "/>
    <x v="197"/>
    <s v="Video"/>
    <s v="Corporate"/>
    <s v="GCO – Industry Cloud , GCO – Platform Solutions, P&amp;I (Research &amp; Development)"/>
    <s v="No"/>
    <s v="EMEA, NA"/>
    <n v="186"/>
    <n v="0"/>
    <s v="-"/>
    <s v="-"/>
    <m/>
    <m/>
    <s v="-"/>
    <s v="-"/>
    <s v="-"/>
    <s v="-"/>
    <n v="186"/>
    <n v="0"/>
  </r>
  <r>
    <x v="330"/>
    <s v="Corinna Machmeier "/>
    <x v="197"/>
    <s v="Video"/>
    <s v="Youth, Innovation"/>
    <s v="Corporate, P&amp;I (Research &amp; Development)"/>
    <s v="No"/>
    <s v="NA"/>
    <n v="473"/>
    <n v="0"/>
    <s v="-"/>
    <s v="-"/>
    <m/>
    <m/>
    <s v="-"/>
    <s v="-"/>
    <s v="-"/>
    <s v="-"/>
    <n v="473"/>
    <n v="0"/>
  </r>
  <r>
    <x v="196"/>
    <s v="Miriam Siebeking"/>
    <x v="198"/>
    <m/>
    <s v="Corporate"/>
    <s v="Corporate, Human Resources (SAP HR and employee stories)"/>
    <s v="No"/>
    <s v="Global"/>
    <n v="2914"/>
    <n v="10"/>
    <s v="-"/>
    <s v="-"/>
    <m/>
    <m/>
    <s v="-"/>
    <s v="-"/>
    <s v="-"/>
    <s v="-"/>
    <n v="2914"/>
    <n v="10"/>
  </r>
  <r>
    <x v="331"/>
    <s v="Michael Zipf"/>
    <x v="198"/>
    <m/>
    <s v="Corporate, Innovation"/>
    <s v="GCO – Other, GCO – Industry Cloud "/>
    <s v="No"/>
    <s v="Global"/>
    <n v="176"/>
    <n v="0"/>
    <s v="-"/>
    <s v="-"/>
    <m/>
    <m/>
    <s v="-"/>
    <s v="-"/>
    <n v="83805"/>
    <n v="7"/>
    <n v="176"/>
    <n v="0"/>
  </r>
  <r>
    <x v="332"/>
    <s v="Jon Leiberman"/>
    <x v="199"/>
    <m/>
    <s v="Innovation, Corporate"/>
    <s v="GCO – Industry Cloud "/>
    <s v="No"/>
    <s v="Global"/>
    <n v="83"/>
    <n v="0"/>
    <s v="-"/>
    <s v="-"/>
    <m/>
    <m/>
    <s v="-"/>
    <s v="-"/>
    <n v="80370"/>
    <n v="4"/>
    <n v="83"/>
    <n v="0"/>
  </r>
  <r>
    <x v="333"/>
    <s v="Michael Zipf"/>
    <x v="200"/>
    <s v="Video"/>
    <s v="Corporate, Innovation"/>
    <s v="Corporate, GCO – Industry Cloud "/>
    <s v="No"/>
    <s v="Global"/>
    <n v="244"/>
    <n v="0"/>
    <s v="-"/>
    <s v="-"/>
    <m/>
    <m/>
    <s v="-"/>
    <s v="-"/>
    <n v="83125"/>
    <n v="6"/>
    <n v="244"/>
    <n v="0"/>
  </r>
  <r>
    <x v="334"/>
    <s v="Steve Lucas, Jon Leiberman "/>
    <x v="200"/>
    <s v="Video"/>
    <s v="Innovation"/>
    <s v="GCO – Industry Cloud "/>
    <s v="No"/>
    <s v="Global"/>
    <n v="2117"/>
    <n v="9"/>
    <s v="-"/>
    <s v="-"/>
    <m/>
    <m/>
    <s v="-"/>
    <s v="-"/>
    <s v="-"/>
    <s v="-"/>
    <n v="2117"/>
    <n v="9"/>
  </r>
  <r>
    <x v="335"/>
    <s v="Robin Meyerhoff "/>
    <x v="201"/>
    <s v="Video"/>
    <s v="Innovation, Sports"/>
    <s v="GCO – Industry Cloud , GCO – Platform Solutions"/>
    <s v="Yes"/>
    <s v="Global"/>
    <n v="1892"/>
    <n v="1"/>
    <s v="-"/>
    <s v="-"/>
    <m/>
    <m/>
    <s v="-"/>
    <s v="-"/>
    <s v="-"/>
    <s v="-"/>
    <n v="1892"/>
    <n v="1"/>
  </r>
  <r>
    <x v="336"/>
    <s v="Stephan Magura, Thomas Leonhardi "/>
    <x v="201"/>
    <s v="Video"/>
    <s v="Innovation"/>
    <s v="GCO – Industry Cloud "/>
    <s v="Yes"/>
    <s v="Global"/>
    <n v="1794"/>
    <n v="1"/>
    <s v="-"/>
    <s v="-"/>
    <m/>
    <m/>
    <s v="-"/>
    <s v="-"/>
    <s v="-"/>
    <s v="-"/>
    <n v="1794"/>
    <n v="1"/>
  </r>
  <r>
    <x v="337"/>
    <s v="Michael Zipf"/>
    <x v="202"/>
    <s v="Video"/>
    <s v="Innovation"/>
    <s v="GCO – Industry Cloud , P&amp;I (Research &amp; Development)"/>
    <s v="No"/>
    <s v="NA"/>
    <n v="326"/>
    <n v="1"/>
    <s v="-"/>
    <s v="-"/>
    <m/>
    <m/>
    <s v="-"/>
    <s v="-"/>
    <n v="82457"/>
    <n v="6"/>
    <n v="326"/>
    <n v="1"/>
  </r>
  <r>
    <x v="338"/>
    <s v="Paul Taylor"/>
    <x v="203"/>
    <s v="Video"/>
    <s v="Healthcare, Innovation"/>
    <s v="GCO – Platform Solutions, GCO – Industry Cloud "/>
    <s v="Yes"/>
    <s v="Global"/>
    <n v="1016"/>
    <n v="1"/>
    <s v="-"/>
    <s v="-"/>
    <m/>
    <m/>
    <s v="-"/>
    <s v="-"/>
    <s v="-"/>
    <s v="-"/>
    <n v="1016"/>
    <n v="1"/>
  </r>
  <r>
    <x v="339"/>
    <s v="Paul Baur, Natalie Hauck, Alexander Januschke "/>
    <x v="204"/>
    <s v="Video"/>
    <s v="Innovation, Sports"/>
    <s v="GCO – Platform Solutions"/>
    <s v="No"/>
    <s v="EMEA"/>
    <n v="1636"/>
    <n v="13"/>
    <s v="-"/>
    <s v="-"/>
    <m/>
    <m/>
    <n v="209"/>
    <n v="0"/>
    <n v="80955"/>
    <n v="2"/>
    <n v="1845"/>
    <n v="13"/>
  </r>
  <r>
    <x v="340"/>
    <s v="Megan Meany"/>
    <x v="205"/>
    <m/>
    <s v="Innovation"/>
    <s v="GCO – Industry Cloud "/>
    <s v="Yes"/>
    <s v="NA"/>
    <n v="41"/>
    <n v="0"/>
    <s v="-"/>
    <s v="-"/>
    <m/>
    <m/>
    <s v="-"/>
    <s v="-"/>
    <n v="81447"/>
    <n v="9"/>
    <n v="41"/>
    <n v="0"/>
  </r>
  <r>
    <x v="341"/>
    <s v="Jon Leiberman"/>
    <x v="206"/>
    <m/>
    <s v="Innovation"/>
    <s v="GCO – Industry Cloud "/>
    <s v="Yes"/>
    <s v="NA"/>
    <n v="36"/>
    <n v="0"/>
    <s v="-"/>
    <s v="-"/>
    <m/>
    <m/>
    <s v="-"/>
    <s v="-"/>
    <n v="14016"/>
    <n v="0"/>
    <n v="36"/>
    <n v="0"/>
  </r>
  <r>
    <x v="342"/>
    <s v="Robin Meyerhoff"/>
    <x v="207"/>
    <s v="Infographic"/>
    <s v="Corporate"/>
    <s v="GCO – Regions, Human Resources (SAP HR and employee stories), Office of the CEO, GCO – Industry Cloud "/>
    <s v="No"/>
    <s v="APJ"/>
    <n v="3542"/>
    <n v="16"/>
    <s v="-"/>
    <s v="-"/>
    <m/>
    <m/>
    <n v="1684"/>
    <n v="0"/>
    <s v="-"/>
    <s v="-"/>
    <n v="5226"/>
    <n v="16"/>
  </r>
  <r>
    <x v="343"/>
    <s v="Renata Pompeu Pividal, Robin Meyerhoff"/>
    <x v="207"/>
    <s v="Video"/>
    <s v="Innovation, Youth"/>
    <s v="Human Resources (SAP HR and employee stories), GCO – Platform Solutions, Office of the CEO, GCO – Regions"/>
    <s v="Yes"/>
    <s v="LATAM"/>
    <n v="1095"/>
    <n v="10"/>
    <n v="2424"/>
    <n v="0"/>
    <m/>
    <m/>
    <n v="529"/>
    <n v="0"/>
    <n v="81853"/>
    <n v="6"/>
    <n v="4048"/>
    <n v="10"/>
  </r>
  <r>
    <x v="344"/>
    <s v="Stephan Magura"/>
    <x v="208"/>
    <s v="Video"/>
    <s v="Corporate"/>
    <s v="GCO – Industry Cloud , Services Delivery &amp; Support (go-lives and deployments) "/>
    <s v="No"/>
    <s v="Global"/>
    <n v="1629"/>
    <n v="4"/>
    <s v="-"/>
    <s v="-"/>
    <s v="TBC"/>
    <s v="TBC"/>
    <s v="-"/>
    <s v="-"/>
    <n v="84108"/>
    <n v="2"/>
    <n v="1629"/>
    <n v="4"/>
  </r>
  <r>
    <x v="345"/>
    <s v="Robin Meyerhoff"/>
    <x v="209"/>
    <m/>
    <s v="Corporate, Youth, Innovation"/>
    <s v="Human Resources (SAP HR and employee stories), GCO – Regions"/>
    <s v="No"/>
    <s v="EMEA"/>
    <n v="1532"/>
    <n v="7"/>
    <s v="-"/>
    <s v="-"/>
    <m/>
    <m/>
    <n v="556"/>
    <n v="0"/>
    <s v="-"/>
    <s v="-"/>
    <n v="2088"/>
    <n v="7"/>
  </r>
  <r>
    <x v="346"/>
    <s v="Andreas Schmitz"/>
    <x v="210"/>
    <m/>
    <s v="Innovation"/>
    <s v="GCO – Industry Cloud "/>
    <s v="Yes"/>
    <s v="Global"/>
    <s v="-"/>
    <s v="-"/>
    <s v="-"/>
    <s v="-"/>
    <s v="TBC"/>
    <s v="TBC"/>
    <s v="-"/>
    <s v="-"/>
    <n v="83197"/>
    <n v="3"/>
    <n v="0"/>
    <n v="0"/>
  </r>
  <r>
    <x v="347"/>
    <s v="Andreas Schmitz"/>
    <x v="211"/>
    <m/>
    <s v="Innovation, Corporate"/>
    <s v="GCO – Industry Cloud , GCO – Platform Solutions"/>
    <s v="Yes"/>
    <s v="EMEA"/>
    <s v="-"/>
    <s v="-"/>
    <s v="-"/>
    <s v="-"/>
    <s v="TBC"/>
    <s v="TBC"/>
    <s v="-"/>
    <s v="-"/>
    <n v="81655"/>
    <n v="11"/>
    <n v="0"/>
    <n v="0"/>
  </r>
  <r>
    <x v="348"/>
    <s v="Paul Baur"/>
    <x v="212"/>
    <m/>
    <s v="Corporate"/>
    <s v="Human Resources (SAP HR and employee stories)"/>
    <s v="No"/>
    <s v="APJ"/>
    <n v="1381"/>
    <n v="13"/>
    <s v="-"/>
    <s v="-"/>
    <m/>
    <m/>
    <s v="-"/>
    <s v="-"/>
    <s v="-"/>
    <s v="-"/>
    <n v="1381"/>
    <n v="13"/>
  </r>
  <r>
    <x v="349"/>
    <s v="Judith Magyar "/>
    <x v="212"/>
    <s v="Video"/>
    <s v="Innovation"/>
    <s v="GCO – Services Sales"/>
    <s v="Yes"/>
    <s v="LATAM"/>
    <n v="1682"/>
    <n v="11"/>
    <s v="-"/>
    <s v="-"/>
    <m/>
    <m/>
    <s v="-"/>
    <s v="-"/>
    <s v="-"/>
    <s v="-"/>
    <n v="1682"/>
    <n v="11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count="393">
  <r>
    <x v="0"/>
    <m/>
    <x v="0"/>
    <x v="0"/>
    <m/>
    <m/>
    <m/>
    <m/>
    <m/>
    <m/>
    <m/>
    <m/>
    <m/>
    <m/>
    <m/>
    <m/>
    <m/>
    <m/>
    <m/>
    <m/>
  </r>
  <r>
    <x v="1"/>
    <s v="Michael Zipf"/>
    <x v="1"/>
    <x v="0"/>
    <s v="Corporate"/>
    <s v="Corporate"/>
    <s v="No"/>
    <s v="Global"/>
    <n v="1967"/>
    <n v="14"/>
    <m/>
    <m/>
    <m/>
    <m/>
    <m/>
    <m/>
    <m/>
    <m/>
    <n v="1967"/>
    <n v="14"/>
  </r>
  <r>
    <x v="2"/>
    <s v="Paul Baur"/>
    <x v="1"/>
    <x v="1"/>
    <s v="Sports"/>
    <s v="P&amp;I (Research &amp; Development)"/>
    <s v="Yes"/>
    <s v="Global"/>
    <n v="2170"/>
    <n v="0"/>
    <m/>
    <m/>
    <m/>
    <m/>
    <m/>
    <m/>
    <m/>
    <m/>
    <n v="2170"/>
    <n v="0"/>
  </r>
  <r>
    <x v="3"/>
    <s v="Judith Magyar"/>
    <x v="1"/>
    <x v="1"/>
    <s v="Innovation"/>
    <s v="GCO – Platform Solutions"/>
    <s v="Yes"/>
    <s v="Global"/>
    <n v="1799"/>
    <n v="0"/>
    <m/>
    <m/>
    <n v="144"/>
    <n v="0"/>
    <m/>
    <m/>
    <m/>
    <m/>
    <n v="1943"/>
    <n v="0"/>
  </r>
  <r>
    <x v="4"/>
    <s v="Sarah Kellman"/>
    <x v="2"/>
    <x v="0"/>
    <s v="Innovation"/>
    <s v="GPO (Partner, Ecosystem, Channels)"/>
    <s v="No"/>
    <s v="Global"/>
    <n v="3075"/>
    <n v="15"/>
    <m/>
    <m/>
    <m/>
    <m/>
    <m/>
    <m/>
    <m/>
    <m/>
    <n v="3075"/>
    <n v="15"/>
  </r>
  <r>
    <x v="5"/>
    <s v="Phillip Klewitz"/>
    <x v="3"/>
    <x v="0"/>
    <s v="Innovation"/>
    <s v="GCO – Platform Solutions"/>
    <s v="No"/>
    <s v="Global"/>
    <n v="2753"/>
    <n v="3"/>
    <m/>
    <m/>
    <m/>
    <m/>
    <m/>
    <m/>
    <m/>
    <m/>
    <n v="2753"/>
    <n v="3"/>
  </r>
  <r>
    <x v="6"/>
    <s v="Paul Taylor"/>
    <x v="4"/>
    <x v="0"/>
    <s v="Innovation"/>
    <s v="Corporate"/>
    <s v="No"/>
    <s v="Global"/>
    <n v="1287"/>
    <n v="8"/>
    <n v="569"/>
    <n v="0"/>
    <n v="125"/>
    <n v="0"/>
    <m/>
    <m/>
    <m/>
    <m/>
    <n v="1981"/>
    <n v="8"/>
  </r>
  <r>
    <x v="7"/>
    <s v="SAP News"/>
    <x v="5"/>
    <x v="0"/>
    <s v="Corporate"/>
    <s v="Corporate"/>
    <s v="No"/>
    <s v="Global"/>
    <n v="3163"/>
    <n v="6"/>
    <m/>
    <m/>
    <m/>
    <m/>
    <m/>
    <m/>
    <m/>
    <m/>
    <n v="3163"/>
    <n v="6"/>
  </r>
  <r>
    <x v="8"/>
    <s v="Miriam Siebeking"/>
    <x v="5"/>
    <x v="0"/>
    <s v="Corporate"/>
    <s v="Corporate"/>
    <s v="No"/>
    <s v="Global"/>
    <n v="1482"/>
    <n v="1"/>
    <m/>
    <m/>
    <m/>
    <m/>
    <m/>
    <m/>
    <m/>
    <m/>
    <n v="1482"/>
    <n v="1"/>
  </r>
  <r>
    <x v="9"/>
    <s v="Torsten Falk"/>
    <x v="6"/>
    <x v="2"/>
    <s v="Corporate"/>
    <s v="Human Resources (SAP HR and employee stories)"/>
    <s v="No"/>
    <s v="Global"/>
    <n v="8394"/>
    <n v="20"/>
    <m/>
    <m/>
    <m/>
    <m/>
    <m/>
    <m/>
    <m/>
    <m/>
    <n v="8394"/>
    <n v="20"/>
  </r>
  <r>
    <x v="10"/>
    <s v="Paul Baur"/>
    <x v="6"/>
    <x v="0"/>
    <s v="Innovation"/>
    <s v="Office of the CEO"/>
    <s v="No"/>
    <s v="Global"/>
    <n v="5792"/>
    <n v="4"/>
    <m/>
    <m/>
    <m/>
    <m/>
    <m/>
    <m/>
    <m/>
    <m/>
    <n v="5792"/>
    <n v="4"/>
  </r>
  <r>
    <x v="11"/>
    <s v="Sarah Harvey"/>
    <x v="7"/>
    <x v="0"/>
    <s v="Corporate"/>
    <s v="Human Resources (SAP HR and employee stories)"/>
    <s v="No"/>
    <s v="Global"/>
    <n v="2194"/>
    <n v="11"/>
    <m/>
    <m/>
    <m/>
    <m/>
    <m/>
    <m/>
    <m/>
    <m/>
    <n v="2194"/>
    <n v="11"/>
  </r>
  <r>
    <x v="12"/>
    <s v="Cueneyt Cam"/>
    <x v="7"/>
    <x v="0"/>
    <s v="Corporate"/>
    <s v="Corporate"/>
    <s v="No"/>
    <s v="Global"/>
    <n v="1049"/>
    <n v="2"/>
    <m/>
    <m/>
    <m/>
    <m/>
    <m/>
    <m/>
    <m/>
    <m/>
    <n v="1049"/>
    <n v="2"/>
  </r>
  <r>
    <x v="13"/>
    <s v="Agnes Biesiekierska"/>
    <x v="8"/>
    <x v="0"/>
    <s v="Corporate"/>
    <s v="Corporate"/>
    <s v="No"/>
    <s v="Global"/>
    <n v="2838"/>
    <n v="8"/>
    <m/>
    <m/>
    <m/>
    <m/>
    <m/>
    <m/>
    <m/>
    <m/>
    <n v="2838"/>
    <n v="8"/>
  </r>
  <r>
    <x v="14"/>
    <s v="Richard Nikolic"/>
    <x v="9"/>
    <x v="0"/>
    <s v="Corporate"/>
    <s v="Corporate"/>
    <s v="No"/>
    <s v="Global"/>
    <n v="3779"/>
    <n v="44"/>
    <m/>
    <m/>
    <m/>
    <m/>
    <m/>
    <m/>
    <m/>
    <m/>
    <n v="3779"/>
    <n v="44"/>
  </r>
  <r>
    <x v="15"/>
    <s v="Paul Baur"/>
    <x v="9"/>
    <x v="0"/>
    <s v="Corporate"/>
    <s v="Corporate"/>
    <s v="No"/>
    <s v="EMEA"/>
    <n v="3042"/>
    <n v="0"/>
    <m/>
    <m/>
    <m/>
    <m/>
    <m/>
    <m/>
    <m/>
    <m/>
    <n v="3042"/>
    <n v="0"/>
  </r>
  <r>
    <x v="16"/>
    <s v="Paul Taylor"/>
    <x v="10"/>
    <x v="3"/>
    <s v="Innovation"/>
    <s v="Business Network (Concur, Ariba, Fieldglass)"/>
    <s v="No"/>
    <s v="Global"/>
    <n v="1461"/>
    <n v="2"/>
    <m/>
    <m/>
    <n v="76"/>
    <n v="0"/>
    <n v="1145"/>
    <n v="0"/>
    <m/>
    <m/>
    <n v="2682"/>
    <n v="2"/>
  </r>
  <r>
    <x v="17"/>
    <s v="Stephan Magura"/>
    <x v="10"/>
    <x v="0"/>
    <s v="Innovation"/>
    <s v="Office of the CEO"/>
    <s v="No"/>
    <s v="Global"/>
    <n v="3493"/>
    <n v="0"/>
    <m/>
    <m/>
    <m/>
    <m/>
    <m/>
    <m/>
    <m/>
    <m/>
    <n v="3493"/>
    <n v="0"/>
  </r>
  <r>
    <x v="18"/>
    <s v="Paul Baur"/>
    <x v="11"/>
    <x v="1"/>
    <s v="Innovation"/>
    <s v="Office of the CEO"/>
    <s v="No"/>
    <s v="Global"/>
    <n v="6504"/>
    <n v="10"/>
    <m/>
    <m/>
    <m/>
    <m/>
    <m/>
    <m/>
    <m/>
    <m/>
    <n v="6504"/>
    <n v="10"/>
  </r>
  <r>
    <x v="19"/>
    <s v="Torsten Falk"/>
    <x v="11"/>
    <x v="1"/>
    <s v="Corporate"/>
    <s v="Office of the CEO"/>
    <s v="No"/>
    <s v="Global"/>
    <n v="2759"/>
    <n v="0"/>
    <m/>
    <m/>
    <m/>
    <m/>
    <m/>
    <m/>
    <m/>
    <m/>
    <n v="2759"/>
    <n v="0"/>
  </r>
  <r>
    <x v="20"/>
    <s v="Judith Magyar"/>
    <x v="12"/>
    <x v="1"/>
    <s v="Innovation"/>
    <s v="GCO – Platform Solutions"/>
    <s v="Yes"/>
    <s v="Global"/>
    <n v="2160"/>
    <n v="8"/>
    <m/>
    <m/>
    <n v="139"/>
    <n v="0"/>
    <m/>
    <m/>
    <m/>
    <m/>
    <n v="2299"/>
    <n v="8"/>
  </r>
  <r>
    <x v="21"/>
    <s v="Torsten Falk"/>
    <x v="13"/>
    <x v="0"/>
    <s v="Corporate"/>
    <s v="Human Resources (SAP HR and employee stories)"/>
    <s v="No"/>
    <s v="Global"/>
    <n v="5938"/>
    <n v="37"/>
    <m/>
    <m/>
    <m/>
    <m/>
    <m/>
    <m/>
    <m/>
    <m/>
    <n v="5938"/>
    <n v="37"/>
  </r>
  <r>
    <x v="22"/>
    <s v="Paul Baur"/>
    <x v="13"/>
    <x v="1"/>
    <s v="Sports"/>
    <s v="Corporate"/>
    <s v="No"/>
    <s v="Global"/>
    <n v="1661"/>
    <n v="11"/>
    <m/>
    <m/>
    <m/>
    <m/>
    <m/>
    <m/>
    <m/>
    <m/>
    <n v="1661"/>
    <n v="11"/>
  </r>
  <r>
    <x v="23"/>
    <s v="Jennifer Alejandro"/>
    <x v="13"/>
    <x v="1"/>
    <s v="Innovation"/>
    <s v="Office of the CEO"/>
    <s v="No"/>
    <s v="Global"/>
    <n v="1515"/>
    <n v="4"/>
    <m/>
    <m/>
    <m/>
    <m/>
    <m/>
    <m/>
    <m/>
    <m/>
    <n v="1515"/>
    <n v="4"/>
  </r>
  <r>
    <x v="24"/>
    <s v="Susan Galer"/>
    <x v="14"/>
    <x v="0"/>
    <s v="Innovation"/>
    <s v="P&amp;I (Research &amp; Development)"/>
    <s v="Yes"/>
    <s v="EMEA"/>
    <n v="2578"/>
    <n v="7"/>
    <n v="3475"/>
    <n v="0"/>
    <m/>
    <m/>
    <m/>
    <m/>
    <m/>
    <m/>
    <n v="6053"/>
    <n v="7"/>
  </r>
  <r>
    <x v="25"/>
    <s v="Stephan Magura"/>
    <x v="15"/>
    <x v="0"/>
    <s v="Corporate"/>
    <s v="Human Resources (SAP HR and employee stories)"/>
    <s v="No"/>
    <s v="Global"/>
    <n v="2346"/>
    <n v="9"/>
    <m/>
    <m/>
    <m/>
    <m/>
    <m/>
    <m/>
    <m/>
    <m/>
    <n v="2346"/>
    <n v="9"/>
  </r>
  <r>
    <x v="26"/>
    <s v="Michael Zipf"/>
    <x v="15"/>
    <x v="0"/>
    <s v="Innovation"/>
    <s v="GCO – Platform Solutions"/>
    <s v="No"/>
    <s v="Global"/>
    <n v="2176"/>
    <n v="6"/>
    <m/>
    <m/>
    <m/>
    <m/>
    <m/>
    <m/>
    <m/>
    <m/>
    <n v="2176"/>
    <n v="6"/>
  </r>
  <r>
    <x v="27"/>
    <s v="John Pelle"/>
    <x v="16"/>
    <x v="1"/>
    <s v="Innovation"/>
    <s v="Office of the CEO"/>
    <s v="No"/>
    <s v="Global"/>
    <n v="2810"/>
    <n v="17"/>
    <m/>
    <m/>
    <m/>
    <m/>
    <m/>
    <m/>
    <m/>
    <m/>
    <n v="2810"/>
    <n v="17"/>
  </r>
  <r>
    <x v="28"/>
    <s v="Robin Meyerhoff"/>
    <x v="16"/>
    <x v="0"/>
    <s v="Corporate"/>
    <s v="GCO – Regions"/>
    <s v="No"/>
    <s v="LATAM"/>
    <n v="1618"/>
    <n v="13"/>
    <m/>
    <m/>
    <m/>
    <m/>
    <m/>
    <m/>
    <m/>
    <m/>
    <n v="1618"/>
    <n v="13"/>
  </r>
  <r>
    <x v="29"/>
    <s v="Michael Zipf"/>
    <x v="17"/>
    <x v="1"/>
    <s v="Healthcare"/>
    <s v="GCO – Platform Solutions"/>
    <s v="No"/>
    <s v="Global"/>
    <n v="1791"/>
    <n v="7"/>
    <m/>
    <m/>
    <n v="171"/>
    <n v="0"/>
    <m/>
    <m/>
    <m/>
    <m/>
    <n v="1962"/>
    <n v="7"/>
  </r>
  <r>
    <x v="30"/>
    <s v="Paul Baur"/>
    <x v="17"/>
    <x v="0"/>
    <s v="Innovation"/>
    <s v="Corporate"/>
    <s v="Yes"/>
    <s v="Global"/>
    <n v="2524"/>
    <n v="0"/>
    <m/>
    <m/>
    <m/>
    <m/>
    <m/>
    <m/>
    <m/>
    <m/>
    <n v="2524"/>
    <n v="0"/>
  </r>
  <r>
    <x v="31"/>
    <s v="Courtney Robinson"/>
    <x v="18"/>
    <x v="1"/>
    <s v="Youth"/>
    <s v="Office of the CEO"/>
    <s v="Yes"/>
    <s v="EMEA"/>
    <n v="4077"/>
    <n v="7"/>
    <m/>
    <m/>
    <m/>
    <m/>
    <m/>
    <m/>
    <m/>
    <m/>
    <n v="4077"/>
    <n v="7"/>
  </r>
  <r>
    <x v="32"/>
    <s v="Robin Meyerhoff"/>
    <x v="19"/>
    <x v="0"/>
    <s v="Innovation"/>
    <s v="GCO – Industry Cloud "/>
    <s v="No"/>
    <s v="Global"/>
    <n v="1613"/>
    <n v="2"/>
    <m/>
    <m/>
    <m/>
    <m/>
    <m/>
    <m/>
    <m/>
    <m/>
    <n v="1613"/>
    <n v="2"/>
  </r>
  <r>
    <x v="33"/>
    <s v="Suan Jee Janice Ng"/>
    <x v="20"/>
    <x v="0"/>
    <s v="Corporate"/>
    <s v="GCO – HR (SuccessFactors)"/>
    <s v="No"/>
    <s v="Global"/>
    <n v="729"/>
    <n v="0"/>
    <m/>
    <m/>
    <m/>
    <m/>
    <m/>
    <m/>
    <m/>
    <m/>
    <n v="729"/>
    <n v="0"/>
  </r>
  <r>
    <x v="34"/>
    <s v="Paul Taylor"/>
    <x v="21"/>
    <x v="0"/>
    <s v="Innovation"/>
    <s v="GCO – Industry Cloud "/>
    <s v="No"/>
    <s v="Global"/>
    <n v="7120"/>
    <n v="13"/>
    <m/>
    <m/>
    <n v="1507"/>
    <n v="0"/>
    <n v="613"/>
    <n v="0"/>
    <m/>
    <m/>
    <n v="9240"/>
    <n v="13"/>
  </r>
  <r>
    <x v="35"/>
    <s v="Paul Taylor"/>
    <x v="21"/>
    <x v="0"/>
    <s v="Innovation"/>
    <s v="GCO – HR (SuccessFactors)"/>
    <s v="Yes"/>
    <s v="Global"/>
    <n v="1850"/>
    <n v="8"/>
    <m/>
    <m/>
    <n v="600"/>
    <n v="0"/>
    <n v="862"/>
    <n v="0"/>
    <m/>
    <m/>
    <n v="3312"/>
    <n v="8"/>
  </r>
  <r>
    <x v="36"/>
    <s v="Judith Magyar"/>
    <x v="21"/>
    <x v="0"/>
    <s v="Innovation"/>
    <s v="GCO – Platform Solutions"/>
    <s v="Yes"/>
    <s v="Global"/>
    <n v="1516"/>
    <n v="4"/>
    <m/>
    <m/>
    <m/>
    <m/>
    <m/>
    <m/>
    <m/>
    <m/>
    <n v="1516"/>
    <n v="4"/>
  </r>
  <r>
    <x v="37"/>
    <s v="Robin Meyerhoff"/>
    <x v="21"/>
    <x v="0"/>
    <s v="Healthcare"/>
    <s v="GCO – Platform Solutions"/>
    <s v="No"/>
    <s v="Global"/>
    <n v="906"/>
    <n v="0"/>
    <m/>
    <m/>
    <n v="178"/>
    <n v="0"/>
    <n v="2276"/>
    <n v="0"/>
    <m/>
    <m/>
    <n v="3360"/>
    <n v="0"/>
  </r>
  <r>
    <x v="38"/>
    <s v="Christine Susanne Mueller"/>
    <x v="22"/>
    <x v="0"/>
    <s v="Innovation"/>
    <s v="Human Resources (SAP HR and employee stories)"/>
    <s v="No"/>
    <s v="Global"/>
    <n v="2094"/>
    <n v="23"/>
    <m/>
    <m/>
    <m/>
    <m/>
    <m/>
    <m/>
    <m/>
    <m/>
    <n v="2094"/>
    <n v="23"/>
  </r>
  <r>
    <x v="39"/>
    <s v="Susan Galer"/>
    <x v="22"/>
    <x v="0"/>
    <s v="Youth"/>
    <s v="GCO – Other"/>
    <s v="No"/>
    <s v="Global"/>
    <n v="1946"/>
    <n v="3"/>
    <m/>
    <m/>
    <m/>
    <m/>
    <m/>
    <m/>
    <m/>
    <m/>
    <n v="1946"/>
    <n v="3"/>
  </r>
  <r>
    <x v="8"/>
    <s v="Miriam Siebeking"/>
    <x v="23"/>
    <x v="0"/>
    <s v="Corporate"/>
    <s v="Corporate"/>
    <s v="No"/>
    <s v="Global"/>
    <n v="2104"/>
    <n v="0"/>
    <m/>
    <m/>
    <m/>
    <m/>
    <m/>
    <m/>
    <m/>
    <m/>
    <n v="2104"/>
    <n v="0"/>
  </r>
  <r>
    <x v="40"/>
    <s v="Judith Magyar"/>
    <x v="24"/>
    <x v="0"/>
    <s v="Innovation"/>
    <s v="GCO – Platform Solutions"/>
    <s v="Yes"/>
    <s v="Global"/>
    <n v="2485"/>
    <n v="5"/>
    <m/>
    <m/>
    <n v="249"/>
    <n v="0"/>
    <n v="850"/>
    <n v="0"/>
    <m/>
    <m/>
    <n v="3584"/>
    <n v="5"/>
  </r>
  <r>
    <x v="41"/>
    <s v="Building Bridges"/>
    <x v="25"/>
    <x v="0"/>
    <s v="Corporate"/>
    <s v="Corporate"/>
    <s v="No"/>
    <s v="Global"/>
    <n v="1567"/>
    <n v="12"/>
    <m/>
    <m/>
    <m/>
    <m/>
    <m/>
    <m/>
    <m/>
    <m/>
    <n v="1567"/>
    <n v="12"/>
  </r>
  <r>
    <x v="42"/>
    <s v="Corinna Machmeier"/>
    <x v="25"/>
    <x v="0"/>
    <s v="Youth"/>
    <s v="Human Resources (SAP HR and employee stories)"/>
    <s v="No"/>
    <s v="Global"/>
    <n v="858"/>
    <n v="1"/>
    <m/>
    <m/>
    <m/>
    <m/>
    <m/>
    <m/>
    <m/>
    <m/>
    <n v="858"/>
    <n v="1"/>
  </r>
  <r>
    <x v="43"/>
    <s v="Miriam Siebeking"/>
    <x v="26"/>
    <x v="0"/>
    <s v="Corporate"/>
    <s v="Corporate"/>
    <s v="No"/>
    <s v="Global"/>
    <n v="1726"/>
    <n v="5"/>
    <m/>
    <m/>
    <m/>
    <m/>
    <m/>
    <m/>
    <m/>
    <m/>
    <n v="1726"/>
    <n v="5"/>
  </r>
  <r>
    <x v="44"/>
    <s v="Miriam Siebeking"/>
    <x v="26"/>
    <x v="0"/>
    <s v="Corporate"/>
    <s v="Human Resources (SAP HR and employee stories)"/>
    <s v="No"/>
    <s v="Global"/>
    <n v="958"/>
    <n v="0"/>
    <m/>
    <m/>
    <m/>
    <m/>
    <m/>
    <m/>
    <m/>
    <m/>
    <n v="958"/>
    <n v="0"/>
  </r>
  <r>
    <x v="45"/>
    <s v="Michael Zipf"/>
    <x v="27"/>
    <x v="0"/>
    <s v="Sports"/>
    <s v="GCO – Platform Solutions"/>
    <s v="Yes"/>
    <s v="Global"/>
    <n v="2021"/>
    <n v="16"/>
    <m/>
    <m/>
    <m/>
    <m/>
    <m/>
    <m/>
    <m/>
    <m/>
    <n v="2021"/>
    <n v="16"/>
  </r>
  <r>
    <x v="46"/>
    <s v="Susan Galer"/>
    <x v="27"/>
    <x v="0"/>
    <s v="Healthcare"/>
    <s v="GCO – Industry Cloud "/>
    <s v="No"/>
    <s v="Global"/>
    <n v="619"/>
    <n v="4"/>
    <n v="1014"/>
    <n v="0"/>
    <m/>
    <m/>
    <m/>
    <m/>
    <m/>
    <m/>
    <n v="1633"/>
    <n v="4"/>
  </r>
  <r>
    <x v="47"/>
    <s v="Tibor Hornyak"/>
    <x v="27"/>
    <x v="0"/>
    <s v="Innovation"/>
    <s v="Office of the CEO"/>
    <s v="No"/>
    <s v="Global"/>
    <n v="1720"/>
    <n v="3"/>
    <m/>
    <m/>
    <m/>
    <m/>
    <m/>
    <m/>
    <m/>
    <m/>
    <n v="1720"/>
    <n v="3"/>
  </r>
  <r>
    <x v="48"/>
    <s v="Judith Magyar"/>
    <x v="28"/>
    <x v="0"/>
    <s v="Innovation"/>
    <s v="GCO – Platform Solutions"/>
    <s v="Yes"/>
    <s v="Global"/>
    <n v="1503"/>
    <n v="6"/>
    <m/>
    <m/>
    <n v="776"/>
    <n v="0"/>
    <m/>
    <m/>
    <m/>
    <m/>
    <n v="2279"/>
    <n v="6"/>
  </r>
  <r>
    <x v="49"/>
    <s v="Jerry Janda"/>
    <x v="28"/>
    <x v="3"/>
    <s v="Innovation"/>
    <s v="GCO – Industry Cloud "/>
    <s v="No"/>
    <s v="Global"/>
    <n v="1037"/>
    <n v="2"/>
    <m/>
    <m/>
    <m/>
    <m/>
    <m/>
    <m/>
    <m/>
    <m/>
    <n v="1037"/>
    <n v="2"/>
  </r>
  <r>
    <x v="50"/>
    <s v="Nicola Leske"/>
    <x v="29"/>
    <x v="0"/>
    <s v="Innovation"/>
    <s v="GCO – Industry Cloud "/>
    <s v="Yes"/>
    <s v="LATAM"/>
    <n v="2269"/>
    <n v="14"/>
    <m/>
    <m/>
    <m/>
    <m/>
    <m/>
    <m/>
    <m/>
    <m/>
    <n v="2269"/>
    <n v="14"/>
  </r>
  <r>
    <x v="51"/>
    <s v="Bettina Wunderle"/>
    <x v="29"/>
    <x v="0"/>
    <s v="Innovation"/>
    <s v="Office of the CEO"/>
    <s v="No"/>
    <s v="Global"/>
    <n v="975"/>
    <n v="9"/>
    <m/>
    <m/>
    <m/>
    <m/>
    <m/>
    <m/>
    <m/>
    <m/>
    <n v="975"/>
    <n v="9"/>
  </r>
  <r>
    <x v="52"/>
    <s v="Kesja Cichowski"/>
    <x v="30"/>
    <x v="0"/>
    <s v="Corporate"/>
    <s v="Human Resources (SAP HR and employee stories)"/>
    <s v="No"/>
    <s v="Global"/>
    <n v="2311"/>
    <n v="57"/>
    <m/>
    <m/>
    <m/>
    <m/>
    <m/>
    <m/>
    <m/>
    <m/>
    <n v="2311"/>
    <n v="57"/>
  </r>
  <r>
    <x v="53"/>
    <s v="Sonakishi Nandy"/>
    <x v="30"/>
    <x v="0"/>
    <s v="Innovation"/>
    <s v="P&amp;I (Research &amp; Development)"/>
    <s v="No"/>
    <s v="EMEA"/>
    <n v="2616"/>
    <n v="11"/>
    <m/>
    <m/>
    <m/>
    <m/>
    <m/>
    <m/>
    <m/>
    <m/>
    <n v="2616"/>
    <n v="11"/>
  </r>
  <r>
    <x v="54"/>
    <s v="Lena Walther"/>
    <x v="31"/>
    <x v="1"/>
    <s v="Sports"/>
    <s v="GCO – Industry Cloud "/>
    <s v="Yes"/>
    <s v="Global"/>
    <n v="1400"/>
    <n v="11"/>
    <m/>
    <m/>
    <m/>
    <m/>
    <m/>
    <m/>
    <m/>
    <m/>
    <n v="1400"/>
    <n v="11"/>
  </r>
  <r>
    <x v="55"/>
    <s v="Michael Zipf"/>
    <x v="32"/>
    <x v="0"/>
    <s v="Innovation"/>
    <s v="GCO – Regions"/>
    <s v="No"/>
    <s v="Global"/>
    <n v="718"/>
    <n v="1"/>
    <m/>
    <m/>
    <m/>
    <m/>
    <m/>
    <m/>
    <m/>
    <m/>
    <n v="718"/>
    <n v="1"/>
  </r>
  <r>
    <x v="56"/>
    <s v="Stephan Magura"/>
    <x v="33"/>
    <x v="0"/>
    <s v="Innovation"/>
    <s v="Corporate"/>
    <s v="No"/>
    <s v="EMEA"/>
    <n v="1999"/>
    <n v="8"/>
    <m/>
    <m/>
    <m/>
    <m/>
    <m/>
    <m/>
    <m/>
    <m/>
    <n v="1999"/>
    <n v="8"/>
  </r>
  <r>
    <x v="57"/>
    <s v="Judith Magyar"/>
    <x v="34"/>
    <x v="3"/>
    <s v="Innovation"/>
    <s v="GCO – Industry Cloud "/>
    <s v="No"/>
    <s v="Global"/>
    <n v="1004"/>
    <n v="5"/>
    <m/>
    <m/>
    <n v="196"/>
    <n v="0"/>
    <n v="393"/>
    <n v="0"/>
    <m/>
    <m/>
    <n v="1593"/>
    <n v="5"/>
  </r>
  <r>
    <x v="58"/>
    <s v="Paul Taylor"/>
    <x v="34"/>
    <x v="3"/>
    <s v="Healthcare"/>
    <s v="GCO – Platform Solutions"/>
    <s v="No"/>
    <s v="Global"/>
    <n v="792"/>
    <n v="4"/>
    <m/>
    <m/>
    <n v="195"/>
    <n v="0"/>
    <n v="492"/>
    <n v="0"/>
    <m/>
    <m/>
    <n v="1479"/>
    <n v="4"/>
  </r>
  <r>
    <x v="59"/>
    <s v="Amira Polack"/>
    <x v="35"/>
    <x v="3"/>
    <s v="Corporate"/>
    <s v="Human Resources (SAP HR and employee stories)"/>
    <s v="No"/>
    <s v="Global"/>
    <n v="3171"/>
    <n v="8"/>
    <m/>
    <m/>
    <m/>
    <m/>
    <m/>
    <m/>
    <m/>
    <m/>
    <n v="3171"/>
    <n v="8"/>
  </r>
  <r>
    <x v="60"/>
    <s v="Paul Baur"/>
    <x v="36"/>
    <x v="1"/>
    <s v="Corporate"/>
    <s v="Human Resources (SAP HR and employee stories)"/>
    <s v="No"/>
    <s v="Global"/>
    <n v="2236"/>
    <n v="43"/>
    <m/>
    <m/>
    <m/>
    <m/>
    <m/>
    <m/>
    <m/>
    <m/>
    <n v="2236"/>
    <n v="43"/>
  </r>
  <r>
    <x v="61"/>
    <s v="Torsten Falk"/>
    <x v="36"/>
    <x v="0"/>
    <s v="Corporate"/>
    <s v="Human Resources (SAP HR and employee stories)"/>
    <s v="No"/>
    <s v="Global"/>
    <n v="2277"/>
    <n v="14"/>
    <m/>
    <m/>
    <m/>
    <m/>
    <m/>
    <m/>
    <m/>
    <m/>
    <n v="2277"/>
    <n v="14"/>
  </r>
  <r>
    <x v="62"/>
    <s v="Christine Kubach"/>
    <x v="37"/>
    <x v="0"/>
    <s v="Innovation"/>
    <s v="P&amp;I (Research &amp; Development)"/>
    <s v="No"/>
    <s v="Global"/>
    <n v="2891"/>
    <n v="18"/>
    <m/>
    <m/>
    <m/>
    <m/>
    <m/>
    <m/>
    <m/>
    <m/>
    <n v="2891"/>
    <n v="18"/>
  </r>
  <r>
    <x v="63"/>
    <s v="Jacqueline Prause"/>
    <x v="37"/>
    <x v="0"/>
    <s v="Corporate"/>
    <s v="GCO – Platform Solutions"/>
    <s v="No"/>
    <s v="EMEA"/>
    <n v="813"/>
    <n v="5"/>
    <m/>
    <m/>
    <m/>
    <m/>
    <m/>
    <m/>
    <m/>
    <m/>
    <n v="813"/>
    <n v="5"/>
  </r>
  <r>
    <x v="64"/>
    <s v="Paul Taylor"/>
    <x v="37"/>
    <x v="1"/>
    <s v="Innovation"/>
    <s v="GCO – Platform Solutions"/>
    <s v="No"/>
    <s v="EMEA"/>
    <n v="273"/>
    <n v="0"/>
    <n v="5602"/>
    <n v="0"/>
    <n v="75"/>
    <n v="0"/>
    <n v="355"/>
    <n v="0"/>
    <m/>
    <m/>
    <n v="6305"/>
    <n v="0"/>
  </r>
  <r>
    <x v="65"/>
    <s v="Jakob Braun"/>
    <x v="37"/>
    <x v="0"/>
    <s v="Innovation"/>
    <s v="GCO – Regions"/>
    <s v="No"/>
    <s v="China"/>
    <n v="661"/>
    <n v="0"/>
    <m/>
    <m/>
    <m/>
    <m/>
    <m/>
    <m/>
    <m/>
    <m/>
    <n v="661"/>
    <n v="0"/>
  </r>
  <r>
    <x v="66"/>
    <s v="Jacqueline Prause"/>
    <x v="38"/>
    <x v="0"/>
    <s v="Innovation"/>
    <s v="GCO – Platform Solutions"/>
    <s v="No"/>
    <s v="EMEA"/>
    <n v="819"/>
    <n v="0"/>
    <m/>
    <m/>
    <m/>
    <m/>
    <m/>
    <m/>
    <m/>
    <m/>
    <n v="819"/>
    <n v="0"/>
  </r>
  <r>
    <x v="67"/>
    <s v="Torsten Falk"/>
    <x v="39"/>
    <x v="0"/>
    <s v="Corporate"/>
    <s v="Human Resources (SAP HR and employee stories)"/>
    <s v="No"/>
    <s v="Global"/>
    <n v="2283"/>
    <n v="16"/>
    <m/>
    <m/>
    <m/>
    <m/>
    <m/>
    <m/>
    <m/>
    <m/>
    <n v="2283"/>
    <n v="16"/>
  </r>
  <r>
    <x v="68"/>
    <s v="Marcus Krug"/>
    <x v="39"/>
    <x v="1"/>
    <s v="Youth"/>
    <s v="P&amp;I (Research &amp; Development)"/>
    <s v="No"/>
    <s v="Global"/>
    <n v="2554"/>
    <n v="7"/>
    <m/>
    <m/>
    <m/>
    <m/>
    <m/>
    <m/>
    <m/>
    <m/>
    <n v="2554"/>
    <n v="7"/>
  </r>
  <r>
    <x v="69"/>
    <s v="Judith Magyar"/>
    <x v="39"/>
    <x v="0"/>
    <s v="Innovation"/>
    <s v="GCO – Platform Solutions"/>
    <s v="Yes"/>
    <s v="EMEA"/>
    <n v="1032"/>
    <n v="3"/>
    <m/>
    <m/>
    <n v="305"/>
    <n v="0"/>
    <m/>
    <m/>
    <m/>
    <m/>
    <n v="1337"/>
    <n v="3"/>
  </r>
  <r>
    <x v="70"/>
    <s v="Anne Hardy"/>
    <x v="40"/>
    <x v="0"/>
    <s v="Corporate"/>
    <s v="Human Resources (SAP HR and employee stories)"/>
    <s v="No"/>
    <s v="Global"/>
    <n v="1569"/>
    <n v="6"/>
    <m/>
    <m/>
    <m/>
    <m/>
    <m/>
    <m/>
    <m/>
    <m/>
    <n v="1569"/>
    <n v="6"/>
  </r>
  <r>
    <x v="71"/>
    <s v="Torsten Falk"/>
    <x v="41"/>
    <x v="0"/>
    <s v="Corporate"/>
    <s v="Human Resources (SAP HR and employee stories)"/>
    <s v="No"/>
    <s v="Global"/>
    <n v="2869"/>
    <n v="8"/>
    <m/>
    <m/>
    <m/>
    <m/>
    <m/>
    <m/>
    <m/>
    <m/>
    <n v="2869"/>
    <n v="8"/>
  </r>
  <r>
    <x v="72"/>
    <s v="Teara Kuhn"/>
    <x v="41"/>
    <x v="1"/>
    <s v="Innovation"/>
    <s v="P&amp;I (Research &amp; Development)"/>
    <s v="No"/>
    <s v="Global"/>
    <n v="2316"/>
    <n v="3"/>
    <m/>
    <m/>
    <m/>
    <m/>
    <m/>
    <m/>
    <m/>
    <m/>
    <n v="2316"/>
    <n v="3"/>
  </r>
  <r>
    <x v="73"/>
    <s v="Nadia Boyes"/>
    <x v="42"/>
    <x v="1"/>
    <s v="Corporate"/>
    <s v="Human Resources (SAP HR and employee stories)"/>
    <s v="No"/>
    <s v="Global"/>
    <n v="1186"/>
    <n v="6"/>
    <m/>
    <m/>
    <m/>
    <m/>
    <m/>
    <m/>
    <m/>
    <m/>
    <n v="1186"/>
    <n v="6"/>
  </r>
  <r>
    <x v="74"/>
    <s v="Ursula Kreuch"/>
    <x v="42"/>
    <x v="1"/>
    <s v="Innovation"/>
    <s v="GCO – Services Sales"/>
    <s v="No"/>
    <s v="Global"/>
    <n v="3610"/>
    <n v="2"/>
    <m/>
    <m/>
    <m/>
    <m/>
    <m/>
    <m/>
    <m/>
    <m/>
    <n v="3610"/>
    <n v="2"/>
  </r>
  <r>
    <x v="75"/>
    <s v="Judith Magyar"/>
    <x v="43"/>
    <x v="3"/>
    <s v="Innovation"/>
    <s v="GCO – Platform Solutions"/>
    <s v="No"/>
    <s v="Global"/>
    <n v="1362"/>
    <n v="4"/>
    <m/>
    <m/>
    <n v="251"/>
    <n v="0"/>
    <m/>
    <m/>
    <m/>
    <m/>
    <n v="1613"/>
    <n v="4"/>
  </r>
  <r>
    <x v="76"/>
    <s v="Susan Jee Janice Ng"/>
    <x v="43"/>
    <x v="1"/>
    <s v="Innovation"/>
    <s v="GCO – Industry Cloud "/>
    <s v="No"/>
    <s v="APJ"/>
    <n v="1071"/>
    <n v="3"/>
    <m/>
    <m/>
    <m/>
    <m/>
    <m/>
    <m/>
    <m/>
    <m/>
    <n v="1071"/>
    <n v="3"/>
  </r>
  <r>
    <x v="77"/>
    <s v="Susan Orenstein"/>
    <x v="44"/>
    <x v="0"/>
    <s v="Corporate"/>
    <s v="Human Resources (SAP HR and employee stories)"/>
    <s v="No"/>
    <s v="Global"/>
    <n v="1629"/>
    <n v="47"/>
    <m/>
    <m/>
    <m/>
    <m/>
    <m/>
    <m/>
    <m/>
    <m/>
    <n v="1629"/>
    <n v="47"/>
  </r>
  <r>
    <x v="78"/>
    <s v="Andrea Diederichs"/>
    <x v="45"/>
    <x v="0"/>
    <s v="Corporate"/>
    <s v="Human Resources (SAP HR and employee stories)"/>
    <s v="No"/>
    <s v="Global"/>
    <n v="3907"/>
    <n v="49"/>
    <m/>
    <m/>
    <n v="407"/>
    <n v="0"/>
    <m/>
    <m/>
    <m/>
    <m/>
    <n v="4314"/>
    <n v="49"/>
  </r>
  <r>
    <x v="79"/>
    <s v="Susan Galer"/>
    <x v="45"/>
    <x v="1"/>
    <s v="Youth"/>
    <s v="Human Resources (SAP HR and employee stories)"/>
    <s v="No"/>
    <s v="Global"/>
    <n v="1855"/>
    <n v="4"/>
    <m/>
    <m/>
    <m/>
    <m/>
    <m/>
    <m/>
    <m/>
    <m/>
    <n v="1855"/>
    <n v="4"/>
  </r>
  <r>
    <x v="80"/>
    <s v="Anna Burkhadt"/>
    <x v="46"/>
    <x v="0"/>
    <s v="Innovation"/>
    <s v="GCO – Customer Engagement &amp; Commerce (CRM &amp; hybris) "/>
    <s v="No"/>
    <s v="Global"/>
    <n v="2322"/>
    <n v="6"/>
    <m/>
    <m/>
    <m/>
    <m/>
    <m/>
    <m/>
    <m/>
    <m/>
    <n v="2322"/>
    <n v="6"/>
  </r>
  <r>
    <x v="81"/>
    <s v="Susan Orenstein"/>
    <x v="47"/>
    <x v="4"/>
    <s v="Corporate"/>
    <s v="Corporate"/>
    <s v="No"/>
    <s v="NA"/>
    <n v="7908"/>
    <n v="37"/>
    <m/>
    <m/>
    <m/>
    <m/>
    <m/>
    <m/>
    <m/>
    <m/>
    <n v="7908"/>
    <n v="37"/>
  </r>
  <r>
    <x v="82"/>
    <s v="Torsten Falk"/>
    <x v="47"/>
    <x v="0"/>
    <s v="Corporate"/>
    <s v="GCO – Services Sales"/>
    <s v="No"/>
    <s v="Global"/>
    <n v="1144"/>
    <n v="4"/>
    <m/>
    <m/>
    <m/>
    <m/>
    <m/>
    <m/>
    <m/>
    <m/>
    <n v="1144"/>
    <n v="4"/>
  </r>
  <r>
    <x v="83"/>
    <s v="Stephan Magura"/>
    <x v="48"/>
    <x v="0"/>
    <s v="Corporate"/>
    <s v="Human Resources (SAP HR and employee stories)"/>
    <s v="No"/>
    <s v="EMEA"/>
    <n v="1132"/>
    <n v="6"/>
    <m/>
    <m/>
    <m/>
    <m/>
    <m/>
    <m/>
    <m/>
    <m/>
    <n v="1132"/>
    <n v="6"/>
  </r>
  <r>
    <x v="84"/>
    <s v="Judith Magyar"/>
    <x v="48"/>
    <x v="0"/>
    <s v="Innovation"/>
    <s v="Business Network (Concur, Ariba, Fieldglass)"/>
    <s v="Yes"/>
    <s v="LATAM"/>
    <n v="1041"/>
    <n v="2"/>
    <m/>
    <m/>
    <n v="661"/>
    <n v="0"/>
    <m/>
    <m/>
    <m/>
    <m/>
    <n v="1702"/>
    <n v="2"/>
  </r>
  <r>
    <x v="85"/>
    <s v="Miriam Siebeking"/>
    <x v="49"/>
    <x v="0"/>
    <s v="Corporate"/>
    <s v="Corporate"/>
    <s v="No"/>
    <s v="Global"/>
    <n v="2080"/>
    <n v="3"/>
    <m/>
    <m/>
    <m/>
    <m/>
    <m/>
    <m/>
    <m/>
    <m/>
    <n v="2080"/>
    <n v="3"/>
  </r>
  <r>
    <x v="86"/>
    <s v="Diana Pauly"/>
    <x v="50"/>
    <x v="3"/>
    <s v="Corporate"/>
    <s v="Human Resources (SAP HR and employee stories)"/>
    <s v="No"/>
    <s v="Global"/>
    <n v="2252"/>
    <n v="4"/>
    <m/>
    <m/>
    <m/>
    <m/>
    <m/>
    <m/>
    <m/>
    <m/>
    <n v="2252"/>
    <n v="4"/>
  </r>
  <r>
    <x v="87"/>
    <s v="Kesja Cichowski"/>
    <x v="50"/>
    <x v="0"/>
    <s v="Innovation"/>
    <s v="Corporate"/>
    <s v="No"/>
    <s v="Global"/>
    <n v="714"/>
    <n v="0"/>
    <m/>
    <m/>
    <m/>
    <m/>
    <m/>
    <m/>
    <m/>
    <m/>
    <n v="714"/>
    <n v="0"/>
  </r>
  <r>
    <x v="88"/>
    <s v="Emily Scorer"/>
    <x v="51"/>
    <x v="0"/>
    <s v="Sports"/>
    <s v="GCO – Platform Solutions"/>
    <s v="Yes"/>
    <s v="Global"/>
    <n v="1377"/>
    <n v="12"/>
    <m/>
    <m/>
    <n v="1000"/>
    <n v="0"/>
    <m/>
    <m/>
    <m/>
    <m/>
    <n v="2377"/>
    <n v="12"/>
  </r>
  <r>
    <x v="89"/>
    <s v="Debra Curtis-Magley"/>
    <x v="51"/>
    <x v="0"/>
    <s v="Innovation"/>
    <s v="Business Network (Concur, Ariba, Fieldglass)"/>
    <s v="No"/>
    <s v="Global"/>
    <n v="1277"/>
    <n v="2"/>
    <m/>
    <m/>
    <m/>
    <m/>
    <m/>
    <m/>
    <m/>
    <m/>
    <n v="1277"/>
    <n v="2"/>
  </r>
  <r>
    <x v="90"/>
    <s v="Tim Clark"/>
    <x v="52"/>
    <x v="1"/>
    <s v="Innovation"/>
    <s v="GCO – Other"/>
    <s v="No"/>
    <s v="NA"/>
    <n v="635"/>
    <n v="2"/>
    <n v="2384"/>
    <n v="0"/>
    <m/>
    <m/>
    <m/>
    <m/>
    <m/>
    <m/>
    <n v="3019"/>
    <n v="2"/>
  </r>
  <r>
    <x v="91"/>
    <s v="Kesja Cichowski"/>
    <x v="52"/>
    <x v="5"/>
    <s v="Youth"/>
    <s v="Corporate"/>
    <s v="No"/>
    <s v="EMEA"/>
    <n v="704"/>
    <n v="0"/>
    <m/>
    <m/>
    <m/>
    <m/>
    <m/>
    <m/>
    <m/>
    <m/>
    <n v="704"/>
    <n v="0"/>
  </r>
  <r>
    <x v="92"/>
    <s v="Emily Scorer"/>
    <x v="53"/>
    <x v="0"/>
    <s v="Healthcare"/>
    <s v="Human Resources (SAP HR and employee stories)"/>
    <s v="No"/>
    <s v="Global"/>
    <n v="3701"/>
    <n v="53"/>
    <m/>
    <m/>
    <m/>
    <m/>
    <m/>
    <m/>
    <m/>
    <m/>
    <n v="3701"/>
    <n v="53"/>
  </r>
  <r>
    <x v="93"/>
    <s v="Judith Magyar"/>
    <x v="54"/>
    <x v="0"/>
    <s v="Innovation"/>
    <s v="GCO – Platform Solutions"/>
    <s v="Yes"/>
    <s v="LATAM"/>
    <n v="1342"/>
    <n v="6"/>
    <m/>
    <m/>
    <n v="172"/>
    <n v="0"/>
    <m/>
    <m/>
    <m/>
    <m/>
    <n v="1514"/>
    <n v="6"/>
  </r>
  <r>
    <x v="94"/>
    <s v="Jenny Dearborn"/>
    <x v="54"/>
    <x v="2"/>
    <s v="Corporate"/>
    <s v="Human Resources (SAP HR and employee stories)"/>
    <s v="No"/>
    <s v="Global"/>
    <n v="1353"/>
    <n v="4"/>
    <m/>
    <m/>
    <m/>
    <m/>
    <m/>
    <m/>
    <m/>
    <m/>
    <n v="1353"/>
    <n v="4"/>
  </r>
  <r>
    <x v="95"/>
    <s v="Michael Zipf"/>
    <x v="55"/>
    <x v="1"/>
    <s v="Healthcare"/>
    <s v="GCO – Platform Solutions"/>
    <s v="Yes"/>
    <s v="EMEA"/>
    <n v="1009"/>
    <n v="3"/>
    <m/>
    <m/>
    <m/>
    <m/>
    <m/>
    <m/>
    <m/>
    <m/>
    <n v="1009"/>
    <n v="3"/>
  </r>
  <r>
    <x v="96"/>
    <s v="Michael Zipf"/>
    <x v="56"/>
    <x v="4"/>
    <s v="Corporate"/>
    <s v="Corporate"/>
    <s v="No"/>
    <s v="Global"/>
    <n v="12284"/>
    <n v="103"/>
    <m/>
    <m/>
    <m/>
    <m/>
    <m/>
    <m/>
    <m/>
    <m/>
    <n v="12284"/>
    <n v="103"/>
  </r>
  <r>
    <x v="97"/>
    <s v="Chistiane Kubach"/>
    <x v="56"/>
    <x v="1"/>
    <s v="Innovation"/>
    <s v="GCO – Regions"/>
    <s v="No"/>
    <s v="China"/>
    <n v="863"/>
    <n v="24"/>
    <m/>
    <m/>
    <m/>
    <m/>
    <m/>
    <m/>
    <m/>
    <m/>
    <n v="863"/>
    <n v="24"/>
  </r>
  <r>
    <x v="98"/>
    <s v="Paul Baur"/>
    <x v="56"/>
    <x v="0"/>
    <s v="Healthcare"/>
    <s v="GCO – Platform Solutions"/>
    <s v="Yes"/>
    <s v="Global"/>
    <n v="1785"/>
    <n v="12"/>
    <m/>
    <m/>
    <m/>
    <m/>
    <n v="1597"/>
    <n v="7"/>
    <m/>
    <m/>
    <n v="3382"/>
    <n v="19"/>
  </r>
  <r>
    <x v="99"/>
    <s v="Susan Galer"/>
    <x v="56"/>
    <x v="1"/>
    <s v="Corporate"/>
    <s v="GCO – HR (SuccessFactors)"/>
    <s v="No"/>
    <s v="Global"/>
    <n v="722"/>
    <n v="0"/>
    <n v="2156"/>
    <n v="1"/>
    <m/>
    <m/>
    <m/>
    <m/>
    <m/>
    <m/>
    <n v="2878"/>
    <n v="1"/>
  </r>
  <r>
    <x v="100"/>
    <s v="Michael Zipf"/>
    <x v="56"/>
    <x v="0"/>
    <s v="Corporate"/>
    <s v="Corporate"/>
    <s v="No"/>
    <s v="Global"/>
    <n v="829"/>
    <n v="1"/>
    <m/>
    <m/>
    <m/>
    <m/>
    <m/>
    <m/>
    <m/>
    <m/>
    <n v="829"/>
    <n v="1"/>
  </r>
  <r>
    <x v="101"/>
    <s v="Christine Donato"/>
    <x v="57"/>
    <x v="0"/>
    <s v="Healthcare"/>
    <s v="GCO – Platform Solutions"/>
    <s v="Yes"/>
    <s v="Global"/>
    <n v="541"/>
    <n v="0"/>
    <m/>
    <m/>
    <m/>
    <m/>
    <m/>
    <m/>
    <m/>
    <m/>
    <n v="541"/>
    <n v="0"/>
  </r>
  <r>
    <x v="102"/>
    <s v="Anita Riegel"/>
    <x v="58"/>
    <x v="0"/>
    <s v="Innovation"/>
    <s v="GCO – Industry Cloud "/>
    <s v="No"/>
    <s v="EMEA"/>
    <n v="768"/>
    <n v="0"/>
    <m/>
    <m/>
    <m/>
    <m/>
    <m/>
    <m/>
    <m/>
    <m/>
    <n v="768"/>
    <n v="0"/>
  </r>
  <r>
    <x v="103"/>
    <s v="Paul Taylor"/>
    <x v="59"/>
    <x v="0"/>
    <s v="Innovation"/>
    <s v="GCO – Regions"/>
    <s v="No"/>
    <s v="LATAM"/>
    <n v="873"/>
    <n v="6"/>
    <n v="7606"/>
    <n v="0"/>
    <n v="171"/>
    <n v="0"/>
    <n v="713"/>
    <n v="2"/>
    <m/>
    <m/>
    <n v="9363"/>
    <n v="8"/>
  </r>
  <r>
    <x v="85"/>
    <s v="Miriam Siebeking"/>
    <x v="59"/>
    <x v="0"/>
    <s v="Corporate"/>
    <s v="Corporate"/>
    <s v="No"/>
    <s v="Global"/>
    <n v="1120"/>
    <n v="0"/>
    <m/>
    <m/>
    <m/>
    <m/>
    <m/>
    <m/>
    <m/>
    <m/>
    <n v="1120"/>
    <n v="0"/>
  </r>
  <r>
    <x v="104"/>
    <s v="Judith Magyar"/>
    <x v="60"/>
    <x v="0"/>
    <s v="Innovation"/>
    <s v="GCO – Platform Solutions"/>
    <s v="Yes"/>
    <s v="Global"/>
    <n v="769"/>
    <n v="0"/>
    <m/>
    <m/>
    <m/>
    <m/>
    <m/>
    <m/>
    <m/>
    <m/>
    <n v="769"/>
    <n v="0"/>
  </r>
  <r>
    <x v="105"/>
    <s v="Diana Vega"/>
    <x v="61"/>
    <x v="0"/>
    <s v="Corporate"/>
    <s v="Human Resources (SAP HR and employee stories)"/>
    <s v="No"/>
    <s v="Global"/>
    <n v="1606"/>
    <n v="23"/>
    <m/>
    <m/>
    <m/>
    <m/>
    <m/>
    <m/>
    <m/>
    <m/>
    <n v="1606"/>
    <n v="23"/>
  </r>
  <r>
    <x v="106"/>
    <s v="Judith Magyar"/>
    <x v="61"/>
    <x v="3"/>
    <s v="Innovation"/>
    <s v="GCO – Regions"/>
    <s v="Yes"/>
    <s v="LATAM"/>
    <n v="506"/>
    <n v="0"/>
    <m/>
    <m/>
    <m/>
    <m/>
    <m/>
    <m/>
    <m/>
    <m/>
    <n v="506"/>
    <n v="0"/>
  </r>
  <r>
    <x v="107"/>
    <s v="Robin Meyerhoff"/>
    <x v="62"/>
    <x v="0"/>
    <s v="Corporate"/>
    <s v="Human Resources (SAP HR and employee stories)"/>
    <s v="No"/>
    <s v="LATAM"/>
    <n v="977"/>
    <n v="8"/>
    <m/>
    <m/>
    <m/>
    <m/>
    <m/>
    <m/>
    <m/>
    <m/>
    <n v="977"/>
    <n v="8"/>
  </r>
  <r>
    <x v="108"/>
    <s v="Stephan Magura"/>
    <x v="62"/>
    <x v="0"/>
    <s v="Innovation"/>
    <s v="Services Delivery &amp; Support (go-lives and deployments) "/>
    <s v="No"/>
    <s v="Global"/>
    <n v="1651"/>
    <n v="2"/>
    <m/>
    <m/>
    <n v="89"/>
    <n v="0"/>
    <m/>
    <m/>
    <m/>
    <m/>
    <n v="1740"/>
    <n v="2"/>
  </r>
  <r>
    <x v="109"/>
    <s v="Jacqueline Prause"/>
    <x v="62"/>
    <x v="0"/>
    <s v="Healthcare"/>
    <s v="GCO – Industry Cloud "/>
    <s v="No"/>
    <s v="Global"/>
    <n v="503"/>
    <n v="0"/>
    <m/>
    <m/>
    <m/>
    <m/>
    <m/>
    <m/>
    <m/>
    <m/>
    <n v="503"/>
    <n v="0"/>
  </r>
  <r>
    <x v="110"/>
    <s v="Susan Galer"/>
    <x v="63"/>
    <x v="0"/>
    <s v="Youth"/>
    <s v="Human Resources (SAP HR and employee stories)"/>
    <s v="No"/>
    <s v="Global"/>
    <n v="745"/>
    <n v="1"/>
    <n v="3216"/>
    <n v="0"/>
    <m/>
    <m/>
    <m/>
    <m/>
    <m/>
    <m/>
    <n v="3961"/>
    <n v="1"/>
  </r>
  <r>
    <x v="111"/>
    <s v="Sarah Kellman"/>
    <x v="64"/>
    <x v="0"/>
    <s v="Innovation"/>
    <s v="GCO – Regions"/>
    <s v="No"/>
    <s v="EMEA"/>
    <n v="752"/>
    <n v="6"/>
    <m/>
    <m/>
    <n v="69"/>
    <n v="0"/>
    <n v="96"/>
    <n v="0"/>
    <m/>
    <m/>
    <n v="917"/>
    <n v="6"/>
  </r>
  <r>
    <x v="112"/>
    <s v="Judith Magyar"/>
    <x v="64"/>
    <x v="0"/>
    <s v="Innovation"/>
    <s v="GCO – Platform Solutions"/>
    <s v="Yes"/>
    <s v="EMEA"/>
    <n v="756"/>
    <n v="5"/>
    <m/>
    <m/>
    <n v="199"/>
    <n v="0"/>
    <m/>
    <m/>
    <m/>
    <m/>
    <n v="955"/>
    <n v="5"/>
  </r>
  <r>
    <x v="113"/>
    <s v="Stephanie Rieder"/>
    <x v="64"/>
    <x v="1"/>
    <s v="Youth"/>
    <s v="Human Resources (SAP HR and employee stories)"/>
    <s v="No"/>
    <s v="EMEA"/>
    <n v="1835"/>
    <n v="4"/>
    <m/>
    <m/>
    <m/>
    <m/>
    <m/>
    <m/>
    <m/>
    <m/>
    <n v="1835"/>
    <n v="4"/>
  </r>
  <r>
    <x v="114"/>
    <s v="Andrea Diederichs"/>
    <x v="65"/>
    <x v="4"/>
    <s v="Innovation"/>
    <s v="Human Resources (SAP HR and employee stories)"/>
    <s v="No"/>
    <s v="EMEA"/>
    <n v="1709"/>
    <n v="33"/>
    <m/>
    <m/>
    <m/>
    <m/>
    <n v="594"/>
    <n v="0"/>
    <m/>
    <m/>
    <n v="2303"/>
    <n v="33"/>
  </r>
  <r>
    <x v="115"/>
    <s v="Teara Kuhn"/>
    <x v="65"/>
    <x v="0"/>
    <s v="Corporate"/>
    <s v="GCO – Industry Cloud "/>
    <s v="No"/>
    <s v="Global"/>
    <n v="1407"/>
    <n v="29"/>
    <m/>
    <m/>
    <m/>
    <m/>
    <m/>
    <m/>
    <m/>
    <m/>
    <n v="1407"/>
    <n v="29"/>
  </r>
  <r>
    <x v="116"/>
    <s v="Frederic Masse"/>
    <x v="65"/>
    <x v="0"/>
    <s v="Innovation"/>
    <s v="Office of the CEO"/>
    <s v="Yes"/>
    <s v="EMEA"/>
    <n v="2435"/>
    <n v="6"/>
    <m/>
    <m/>
    <m/>
    <m/>
    <m/>
    <m/>
    <m/>
    <m/>
    <n v="2435"/>
    <n v="6"/>
  </r>
  <r>
    <x v="117"/>
    <s v="Michael Zipf"/>
    <x v="66"/>
    <x v="1"/>
    <s v="Innovation"/>
    <s v="GCO – Platform Solutions"/>
    <s v="No"/>
    <s v="Global"/>
    <n v="2475"/>
    <n v="1"/>
    <m/>
    <m/>
    <n v="2058"/>
    <n v="0"/>
    <m/>
    <m/>
    <m/>
    <m/>
    <n v="4533"/>
    <n v="1"/>
  </r>
  <r>
    <x v="118"/>
    <s v="Denise Broady"/>
    <x v="67"/>
    <x v="0"/>
    <s v="Corporate"/>
    <s v="Human Resources (SAP HR and employee stories)"/>
    <s v="No"/>
    <s v="APJ"/>
    <n v="2061"/>
    <n v="35"/>
    <m/>
    <m/>
    <m/>
    <m/>
    <m/>
    <m/>
    <m/>
    <m/>
    <n v="2061"/>
    <n v="35"/>
  </r>
  <r>
    <x v="119"/>
    <s v="Perry Manross"/>
    <x v="67"/>
    <x v="0"/>
    <s v="Corporate"/>
    <s v="Business Network (Concur, Ariba, Fieldglass)"/>
    <s v="No"/>
    <s v="Global"/>
    <n v="1832"/>
    <n v="8"/>
    <m/>
    <m/>
    <m/>
    <m/>
    <m/>
    <m/>
    <m/>
    <m/>
    <n v="1832"/>
    <n v="8"/>
  </r>
  <r>
    <x v="120"/>
    <s v="Emily Scorer"/>
    <x v="67"/>
    <x v="5"/>
    <s v="Youth"/>
    <s v="Human Resources (SAP HR and employee stories)"/>
    <s v="No"/>
    <s v="APJ"/>
    <n v="2737"/>
    <n v="4"/>
    <m/>
    <m/>
    <n v="517"/>
    <n v="0"/>
    <m/>
    <m/>
    <m/>
    <m/>
    <n v="3254"/>
    <n v="4"/>
  </r>
  <r>
    <x v="121"/>
    <s v="Paul Baur"/>
    <x v="68"/>
    <x v="1"/>
    <s v="Corporate"/>
    <s v="Corporate"/>
    <s v="No"/>
    <s v="Global"/>
    <n v="6989"/>
    <n v="7"/>
    <m/>
    <m/>
    <m/>
    <m/>
    <m/>
    <m/>
    <m/>
    <m/>
    <n v="6989"/>
    <n v="7"/>
  </r>
  <r>
    <x v="122"/>
    <s v="Torsten Falk"/>
    <x v="69"/>
    <x v="6"/>
    <s v="Corporate"/>
    <s v="Human Resources (SAP HR and employee stories)"/>
    <s v="No"/>
    <s v="Global"/>
    <n v="3178"/>
    <n v="20"/>
    <m/>
    <m/>
    <m/>
    <m/>
    <m/>
    <m/>
    <m/>
    <m/>
    <n v="3178"/>
    <n v="20"/>
  </r>
  <r>
    <x v="123"/>
    <s v="Emily Scorer"/>
    <x v="69"/>
    <x v="0"/>
    <s v="Corporate"/>
    <s v="Corporate"/>
    <s v="No"/>
    <s v="EMEA"/>
    <n v="823"/>
    <n v="12"/>
    <m/>
    <m/>
    <n v="80"/>
    <n v="0"/>
    <m/>
    <m/>
    <m/>
    <m/>
    <n v="903"/>
    <n v="12"/>
  </r>
  <r>
    <x v="124"/>
    <s v="Paul Baur"/>
    <x v="69"/>
    <x v="1"/>
    <s v="Corporate"/>
    <s v="Corporate"/>
    <s v="No"/>
    <s v="Global"/>
    <n v="3952"/>
    <n v="3"/>
    <m/>
    <m/>
    <m/>
    <m/>
    <m/>
    <m/>
    <m/>
    <m/>
    <n v="3952"/>
    <n v="3"/>
  </r>
  <r>
    <x v="125"/>
    <s v="Judith Magyar"/>
    <x v="69"/>
    <x v="1"/>
    <s v="Innovation"/>
    <s v="Business Network (Concur, Ariba, Fieldglass)"/>
    <s v="Yes"/>
    <s v="Global"/>
    <n v="965"/>
    <n v="0"/>
    <m/>
    <m/>
    <n v="159"/>
    <n v="0"/>
    <n v="261"/>
    <n v="0"/>
    <m/>
    <m/>
    <n v="1385"/>
    <n v="0"/>
  </r>
  <r>
    <x v="126"/>
    <s v="Emily Scorer"/>
    <x v="70"/>
    <x v="1"/>
    <s v="Innovation"/>
    <s v="Human Resources (SAP HR and employee stories)"/>
    <s v="No"/>
    <s v="Global"/>
    <n v="955"/>
    <n v="7"/>
    <m/>
    <m/>
    <m/>
    <m/>
    <m/>
    <m/>
    <m/>
    <m/>
    <n v="955"/>
    <n v="7"/>
  </r>
  <r>
    <x v="127"/>
    <s v="Marcus Winkler"/>
    <x v="71"/>
    <x v="7"/>
    <s v="Corporate"/>
    <s v="Corporate"/>
    <s v="No"/>
    <s v="Global"/>
    <n v="4268"/>
    <n v="24"/>
    <m/>
    <m/>
    <m/>
    <m/>
    <m/>
    <m/>
    <m/>
    <m/>
    <n v="4268"/>
    <n v="24"/>
  </r>
  <r>
    <x v="128"/>
    <s v="Michael Zipf"/>
    <x v="71"/>
    <x v="1"/>
    <s v="Innovation"/>
    <s v="GCO – Industry Cloud "/>
    <s v="No"/>
    <s v="Global"/>
    <n v="1021"/>
    <n v="0"/>
    <m/>
    <m/>
    <n v="65"/>
    <n v="0"/>
    <m/>
    <m/>
    <m/>
    <m/>
    <n v="1086"/>
    <n v="0"/>
  </r>
  <r>
    <x v="129"/>
    <s v="Paul Baur"/>
    <x v="72"/>
    <x v="1"/>
    <s v="Innovation"/>
    <s v="Corporate"/>
    <s v="No"/>
    <s v="Global"/>
    <n v="1183"/>
    <n v="4"/>
    <m/>
    <m/>
    <m/>
    <m/>
    <m/>
    <m/>
    <m/>
    <m/>
    <n v="1183"/>
    <n v="4"/>
  </r>
  <r>
    <x v="130"/>
    <s v="Judith Magyar"/>
    <x v="72"/>
    <x v="1"/>
    <s v="Innovation"/>
    <s v="GCO – Industry Cloud "/>
    <s v="No"/>
    <s v="EMEA"/>
    <n v="951"/>
    <n v="1"/>
    <m/>
    <m/>
    <m/>
    <m/>
    <m/>
    <m/>
    <m/>
    <m/>
    <n v="951"/>
    <n v="1"/>
  </r>
  <r>
    <x v="131"/>
    <s v="Alicia Lenze"/>
    <x v="73"/>
    <x v="0"/>
    <s v="Corporate"/>
    <s v="Office of the CEO"/>
    <s v="No"/>
    <s v="Global"/>
    <n v="2429"/>
    <n v="61"/>
    <m/>
    <m/>
    <m/>
    <m/>
    <m/>
    <m/>
    <m/>
    <m/>
    <n v="2429"/>
    <n v="61"/>
  </r>
  <r>
    <x v="132"/>
    <s v="Judith Magyar"/>
    <x v="73"/>
    <x v="0"/>
    <s v="Youth"/>
    <s v="GCO – Regions"/>
    <s v="Yes"/>
    <s v="EMEA"/>
    <n v="555"/>
    <n v="9"/>
    <n v="5200"/>
    <n v="0"/>
    <n v="41"/>
    <n v="0"/>
    <n v="644"/>
    <n v="0"/>
    <m/>
    <m/>
    <n v="6440"/>
    <n v="9"/>
  </r>
  <r>
    <x v="133"/>
    <s v="Catherine Girardin"/>
    <x v="73"/>
    <x v="0"/>
    <s v="Innovation"/>
    <s v="GCO – Other"/>
    <s v="No"/>
    <s v="Global"/>
    <n v="1186"/>
    <n v="6"/>
    <m/>
    <m/>
    <m/>
    <m/>
    <m/>
    <m/>
    <m/>
    <m/>
    <n v="1186"/>
    <n v="6"/>
  </r>
  <r>
    <x v="134"/>
    <s v="Michael Zipf"/>
    <x v="74"/>
    <x v="1"/>
    <s v="Sports"/>
    <s v="GCO – Platform Solutions"/>
    <s v="Yes"/>
    <s v="Global"/>
    <n v="1362"/>
    <n v="5"/>
    <m/>
    <m/>
    <n v="265"/>
    <n v="0"/>
    <m/>
    <m/>
    <m/>
    <m/>
    <n v="1627"/>
    <n v="5"/>
  </r>
  <r>
    <x v="135"/>
    <s v="Judith Magyar"/>
    <x v="74"/>
    <x v="3"/>
    <s v="Innovation"/>
    <s v="Corporate"/>
    <s v="No"/>
    <s v="EMEA"/>
    <n v="439"/>
    <n v="4"/>
    <m/>
    <m/>
    <n v="201"/>
    <n v="0"/>
    <m/>
    <m/>
    <m/>
    <m/>
    <n v="640"/>
    <n v="4"/>
  </r>
  <r>
    <x v="136"/>
    <s v="Paul Baur"/>
    <x v="75"/>
    <x v="0"/>
    <s v="Corporate"/>
    <s v="Corporate"/>
    <s v="No"/>
    <s v="Global"/>
    <n v="2559"/>
    <n v="7"/>
    <m/>
    <m/>
    <n v="881"/>
    <n v="0"/>
    <m/>
    <m/>
    <m/>
    <m/>
    <n v="3440"/>
    <n v="7"/>
  </r>
  <r>
    <x v="137"/>
    <s v="Molli Jordan"/>
    <x v="75"/>
    <x v="1"/>
    <s v="Youth"/>
    <s v="GCO – Platform Solutions"/>
    <s v="Yes"/>
    <s v="Global"/>
    <n v="1147"/>
    <n v="7"/>
    <m/>
    <m/>
    <m/>
    <m/>
    <m/>
    <m/>
    <m/>
    <m/>
    <n v="1147"/>
    <n v="7"/>
  </r>
  <r>
    <x v="138"/>
    <s v="Paul Taylor"/>
    <x v="75"/>
    <x v="0"/>
    <s v="Innovation"/>
    <s v="Corporate"/>
    <s v="No"/>
    <s v="Global"/>
    <n v="439"/>
    <n v="5"/>
    <n v="4613"/>
    <n v="1"/>
    <m/>
    <m/>
    <n v="845"/>
    <n v="0"/>
    <m/>
    <m/>
    <n v="5897"/>
    <n v="6"/>
  </r>
  <r>
    <x v="139"/>
    <s v="Jacqueline Prause"/>
    <x v="75"/>
    <x v="0"/>
    <s v="Corporate"/>
    <s v="Corporate"/>
    <s v="No"/>
    <s v="Global"/>
    <n v="736"/>
    <n v="1"/>
    <m/>
    <m/>
    <m/>
    <m/>
    <m/>
    <m/>
    <m/>
    <m/>
    <n v="736"/>
    <n v="1"/>
  </r>
  <r>
    <x v="140"/>
    <s v="Charlotte Otter"/>
    <x v="76"/>
    <x v="0"/>
    <s v="Innovation"/>
    <s v="Corporate"/>
    <s v="No"/>
    <s v="Global"/>
    <n v="652"/>
    <n v="2"/>
    <m/>
    <m/>
    <m/>
    <m/>
    <m/>
    <m/>
    <m/>
    <m/>
    <n v="652"/>
    <n v="2"/>
  </r>
  <r>
    <x v="141"/>
    <s v="Susan Galer"/>
    <x v="76"/>
    <x v="0"/>
    <s v="Innovation"/>
    <s v="GCO – HR (SuccessFactors)"/>
    <s v="Yes"/>
    <s v="Global"/>
    <n v="912"/>
    <n v="0"/>
    <n v="1105"/>
    <n v="0"/>
    <m/>
    <m/>
    <m/>
    <m/>
    <m/>
    <m/>
    <n v="2017"/>
    <n v="0"/>
  </r>
  <r>
    <x v="142"/>
    <s v="Paul Taylor"/>
    <x v="76"/>
    <x v="0"/>
    <s v="Innovation"/>
    <s v="GCO – Customer Engagement &amp; Commerce (CRM &amp; hybris) "/>
    <s v="No"/>
    <s v="Global"/>
    <n v="756"/>
    <m/>
    <m/>
    <m/>
    <n v="111"/>
    <n v="0"/>
    <n v="374"/>
    <n v="0"/>
    <m/>
    <m/>
    <n v="1241"/>
    <n v="0"/>
  </r>
  <r>
    <x v="143"/>
    <s v="Stephan Magura "/>
    <x v="77"/>
    <x v="0"/>
    <s v="Innovation"/>
    <s v="GCO – Industry Cloud "/>
    <s v="Yes"/>
    <s v="EMEA"/>
    <n v="749"/>
    <n v="8"/>
    <m/>
    <m/>
    <n v="262"/>
    <n v="0"/>
    <m/>
    <m/>
    <m/>
    <m/>
    <n v="1011"/>
    <n v="8"/>
  </r>
  <r>
    <x v="144"/>
    <s v="Paul Taylor"/>
    <x v="77"/>
    <x v="3"/>
    <s v="Innovation"/>
    <s v="GCO – Industry Cloud "/>
    <s v="No"/>
    <s v="Global"/>
    <n v="2694"/>
    <n v="3"/>
    <m/>
    <m/>
    <m/>
    <m/>
    <m/>
    <m/>
    <m/>
    <m/>
    <n v="2694"/>
    <n v="3"/>
  </r>
  <r>
    <x v="145"/>
    <s v="Derek Klobucher"/>
    <x v="78"/>
    <x v="0"/>
    <s v="Innovation"/>
    <s v="Office of the CEO"/>
    <s v="No"/>
    <s v="Global"/>
    <n v="3864"/>
    <n v="2"/>
    <n v="3254"/>
    <n v="2"/>
    <m/>
    <m/>
    <m/>
    <m/>
    <m/>
    <m/>
    <n v="7118"/>
    <n v="4"/>
  </r>
  <r>
    <x v="146"/>
    <s v="Michael Zipf"/>
    <x v="78"/>
    <x v="0"/>
    <s v="Innovation"/>
    <s v="Office of the CEO"/>
    <s v="No"/>
    <s v="Global"/>
    <n v="1097"/>
    <n v="1"/>
    <m/>
    <m/>
    <m/>
    <m/>
    <m/>
    <m/>
    <m/>
    <m/>
    <n v="1097"/>
    <n v="1"/>
  </r>
  <r>
    <x v="147"/>
    <s v="Emily Scorer"/>
    <x v="79"/>
    <x v="0"/>
    <s v="Corporate"/>
    <s v="Human Resources (SAP HR and employee stories)"/>
    <s v="No"/>
    <s v="Global"/>
    <n v="1525"/>
    <n v="9"/>
    <m/>
    <m/>
    <n v="123"/>
    <n v="0"/>
    <m/>
    <m/>
    <m/>
    <m/>
    <n v="1648"/>
    <n v="9"/>
  </r>
  <r>
    <x v="148"/>
    <s v="Paul Taylor"/>
    <x v="79"/>
    <x v="0"/>
    <s v="Innovation"/>
    <s v="Corporate"/>
    <s v="No"/>
    <s v="Global"/>
    <n v="498"/>
    <n v="1"/>
    <n v="917"/>
    <n v="1"/>
    <n v="127"/>
    <n v="0"/>
    <n v="338"/>
    <n v="0"/>
    <m/>
    <m/>
    <n v="1880"/>
    <n v="2"/>
  </r>
  <r>
    <x v="149"/>
    <s v="Susan Galer"/>
    <x v="79"/>
    <x v="0"/>
    <s v="Innovation"/>
    <s v="GCO – Platform Solutions"/>
    <s v="Yes"/>
    <s v="Global"/>
    <n v="2079"/>
    <n v="1"/>
    <m/>
    <m/>
    <m/>
    <m/>
    <m/>
    <m/>
    <m/>
    <m/>
    <n v="2079"/>
    <n v="1"/>
  </r>
  <r>
    <x v="150"/>
    <s v="Michael Zipf"/>
    <x v="80"/>
    <x v="0"/>
    <s v="Innovation"/>
    <s v="GCO – Platform Solutions"/>
    <s v="Yes"/>
    <s v="Global"/>
    <n v="1548"/>
    <n v="5"/>
    <m/>
    <m/>
    <m/>
    <m/>
    <m/>
    <m/>
    <m/>
    <m/>
    <n v="1548"/>
    <n v="5"/>
  </r>
  <r>
    <x v="151"/>
    <s v="Paul Taylor"/>
    <x v="80"/>
    <x v="1"/>
    <s v="Innovation"/>
    <s v="Business Network (Concur, Ariba, Fieldglass)"/>
    <s v="No"/>
    <s v="Global"/>
    <n v="1548"/>
    <n v="3"/>
    <m/>
    <m/>
    <m/>
    <m/>
    <m/>
    <m/>
    <m/>
    <m/>
    <n v="1548"/>
    <n v="3"/>
  </r>
  <r>
    <x v="152"/>
    <s v="Judith Magyar"/>
    <x v="80"/>
    <x v="8"/>
    <s v="Innovation"/>
    <s v="GCO – Platform Solutions"/>
    <s v="No"/>
    <s v="Global"/>
    <n v="2508"/>
    <n v="1"/>
    <m/>
    <m/>
    <m/>
    <m/>
    <n v="2174"/>
    <n v="0"/>
    <m/>
    <m/>
    <n v="4682"/>
    <n v="1"/>
  </r>
  <r>
    <x v="153"/>
    <s v="Miriam Siebeking"/>
    <x v="81"/>
    <x v="0"/>
    <s v="Corporate"/>
    <s v="Corporate"/>
    <s v="No"/>
    <s v="Global"/>
    <n v="1872"/>
    <n v="1"/>
    <m/>
    <m/>
    <m/>
    <m/>
    <m/>
    <m/>
    <m/>
    <m/>
    <n v="1872"/>
    <n v="1"/>
  </r>
  <r>
    <x v="154"/>
    <s v="Torsten Falk"/>
    <x v="82"/>
    <x v="9"/>
    <s v="Corporate"/>
    <s v="Human Resources (SAP HR and employee stories)"/>
    <s v="No"/>
    <s v="Global"/>
    <n v="1886"/>
    <n v="0"/>
    <m/>
    <m/>
    <m/>
    <m/>
    <m/>
    <m/>
    <m/>
    <m/>
    <n v="1886"/>
    <n v="0"/>
  </r>
  <r>
    <x v="155"/>
    <s v="Andreas Schmitz"/>
    <x v="83"/>
    <x v="0"/>
    <s v="Healthcare"/>
    <s v="GCO – Platform Solutions"/>
    <s v="No"/>
    <s v="Global"/>
    <n v="794"/>
    <n v="2"/>
    <m/>
    <m/>
    <m/>
    <m/>
    <m/>
    <m/>
    <m/>
    <m/>
    <n v="794"/>
    <n v="2"/>
  </r>
  <r>
    <x v="156"/>
    <s v="Richard Campbell"/>
    <x v="84"/>
    <x v="0"/>
    <s v="Corporate"/>
    <s v="Corporate"/>
    <s v="No"/>
    <s v="Global"/>
    <n v="3248"/>
    <n v="23"/>
    <m/>
    <m/>
    <m/>
    <m/>
    <m/>
    <m/>
    <m/>
    <m/>
    <n v="3248"/>
    <n v="23"/>
  </r>
  <r>
    <x v="157"/>
    <s v="Cornelia Weiss-Justen"/>
    <x v="85"/>
    <x v="0"/>
    <s v="Innovation"/>
    <s v="P&amp;I (Research &amp; Development)"/>
    <s v="Yes"/>
    <s v="Global"/>
    <n v="1659"/>
    <n v="6"/>
    <m/>
    <m/>
    <m/>
    <m/>
    <m/>
    <m/>
    <m/>
    <m/>
    <n v="1659"/>
    <n v="6"/>
  </r>
  <r>
    <x v="158"/>
    <s v="Andrea Diederichs"/>
    <x v="86"/>
    <x v="0"/>
    <s v="Corporate"/>
    <s v="Human Resources (SAP HR and employee stories)"/>
    <s v="No"/>
    <s v="Global"/>
    <n v="2570"/>
    <n v="32"/>
    <m/>
    <m/>
    <n v="128"/>
    <n v="0"/>
    <n v="446"/>
    <n v="0"/>
    <m/>
    <m/>
    <n v="3144"/>
    <n v="32"/>
  </r>
  <r>
    <x v="159"/>
    <s v="Mark Cheever"/>
    <x v="87"/>
    <x v="0"/>
    <s v="Youth"/>
    <s v="Human Resources (SAP HR and employee stories)"/>
    <s v="No"/>
    <s v="Global"/>
    <n v="1511"/>
    <n v="10"/>
    <m/>
    <m/>
    <m/>
    <m/>
    <m/>
    <m/>
    <m/>
    <m/>
    <n v="1511"/>
    <n v="10"/>
  </r>
  <r>
    <x v="160"/>
    <s v="Paul Baur"/>
    <x v="87"/>
    <x v="1"/>
    <s v="Innovation"/>
    <s v="GCO – Customer Engagement &amp; Commerce (CRM &amp; hybris) "/>
    <s v="Yes"/>
    <s v="Global"/>
    <n v="1358"/>
    <n v="4"/>
    <m/>
    <m/>
    <m/>
    <m/>
    <m/>
    <m/>
    <m/>
    <m/>
    <n v="1358"/>
    <n v="4"/>
  </r>
  <r>
    <x v="161"/>
    <s v="Kate Morgan"/>
    <x v="88"/>
    <x v="0"/>
    <s v="Youth"/>
    <s v="Corporate"/>
    <s v="No"/>
    <s v="Global"/>
    <n v="420"/>
    <n v="2"/>
    <m/>
    <m/>
    <m/>
    <m/>
    <m/>
    <m/>
    <m/>
    <m/>
    <n v="420"/>
    <n v="2"/>
  </r>
  <r>
    <x v="162"/>
    <s v="Judith Magyar"/>
    <x v="88"/>
    <x v="0"/>
    <s v="Innovation"/>
    <s v="GPO (Partner, Ecosystem, Channels)"/>
    <s v="No"/>
    <s v="Global"/>
    <n v="1506"/>
    <n v="1"/>
    <m/>
    <m/>
    <m/>
    <m/>
    <m/>
    <m/>
    <m/>
    <m/>
    <n v="1506"/>
    <n v="1"/>
  </r>
  <r>
    <x v="163"/>
    <s v="Andreas Schmitz"/>
    <x v="89"/>
    <x v="0"/>
    <s v="Healthcare"/>
    <s v="GCO – Platform Solutions"/>
    <s v="No"/>
    <s v="Global"/>
    <n v="719"/>
    <n v="0"/>
    <m/>
    <m/>
    <m/>
    <m/>
    <m/>
    <m/>
    <m/>
    <m/>
    <n v="719"/>
    <n v="0"/>
  </r>
  <r>
    <x v="164"/>
    <s v="Tobias Essig"/>
    <x v="90"/>
    <x v="3"/>
    <s v="Innovation"/>
    <s v="P&amp;I (Research &amp; Development)"/>
    <s v="No"/>
    <s v="Global"/>
    <n v="949"/>
    <n v="0"/>
    <m/>
    <m/>
    <m/>
    <m/>
    <m/>
    <m/>
    <m/>
    <m/>
    <n v="949"/>
    <n v="0"/>
  </r>
  <r>
    <x v="165"/>
    <s v="Torsten Falk"/>
    <x v="91"/>
    <x v="1"/>
    <s v="Corporate"/>
    <s v="Human Resources (SAP HR and employee stories)"/>
    <s v="No"/>
    <s v="Global"/>
    <n v="838"/>
    <n v="9"/>
    <m/>
    <m/>
    <n v="75"/>
    <n v="0"/>
    <m/>
    <m/>
    <m/>
    <m/>
    <n v="913"/>
    <n v="9"/>
  </r>
  <r>
    <x v="166"/>
    <s v="Judith Magyar"/>
    <x v="91"/>
    <x v="1"/>
    <s v="Innovation"/>
    <s v="GPO (Partner, Ecosystem, Channels)"/>
    <s v="Yes"/>
    <s v="LATAM"/>
    <n v="426"/>
    <n v="1"/>
    <m/>
    <m/>
    <m/>
    <m/>
    <m/>
    <m/>
    <m/>
    <m/>
    <n v="426"/>
    <n v="1"/>
  </r>
  <r>
    <x v="167"/>
    <s v="Andreas Schmitz"/>
    <x v="91"/>
    <x v="0"/>
    <s v="Innovation"/>
    <s v="P&amp;I (Research &amp; Development)"/>
    <s v="Yes"/>
    <s v="Global"/>
    <n v="1185"/>
    <n v="0"/>
    <m/>
    <m/>
    <m/>
    <m/>
    <m/>
    <m/>
    <m/>
    <m/>
    <n v="1185"/>
    <n v="0"/>
  </r>
  <r>
    <x v="168"/>
    <s v="Arunima Kumar"/>
    <x v="92"/>
    <x v="1"/>
    <s v="Corporate"/>
    <s v="Corporate"/>
    <s v="No"/>
    <s v="Global"/>
    <n v="820"/>
    <n v="3"/>
    <m/>
    <m/>
    <m/>
    <m/>
    <m/>
    <m/>
    <m/>
    <m/>
    <n v="820"/>
    <n v="3"/>
  </r>
  <r>
    <x v="169"/>
    <s v="Torsten Falk"/>
    <x v="93"/>
    <x v="0"/>
    <s v="Corporate"/>
    <s v="Human Resources (SAP HR and employee stories)"/>
    <s v="No"/>
    <s v="Global"/>
    <n v="1437"/>
    <n v="20"/>
    <m/>
    <m/>
    <m/>
    <m/>
    <m/>
    <m/>
    <m/>
    <m/>
    <n v="1437"/>
    <n v="20"/>
  </r>
  <r>
    <x v="170"/>
    <s v="Paul Baur"/>
    <x v="93"/>
    <x v="0"/>
    <s v="Sports"/>
    <s v="GCO – Platform Solutions"/>
    <s v="Yes"/>
    <s v="Global"/>
    <n v="903"/>
    <n v="3"/>
    <m/>
    <m/>
    <m/>
    <m/>
    <m/>
    <m/>
    <m/>
    <m/>
    <n v="903"/>
    <n v="3"/>
  </r>
  <r>
    <x v="171"/>
    <s v="Amira Polack"/>
    <x v="93"/>
    <x v="0"/>
    <s v="Youth"/>
    <s v="Corporate"/>
    <s v="No"/>
    <s v="Global"/>
    <n v="938"/>
    <n v="1"/>
    <m/>
    <m/>
    <m/>
    <m/>
    <m/>
    <m/>
    <m/>
    <m/>
    <n v="938"/>
    <n v="1"/>
  </r>
  <r>
    <x v="172"/>
    <s v="Susan Galer"/>
    <x v="94"/>
    <x v="0"/>
    <s v="Innovation"/>
    <s v="GPO (Partner, Ecosystem, Channels)"/>
    <s v="Yes"/>
    <s v="Global"/>
    <n v="1308"/>
    <n v="3"/>
    <m/>
    <m/>
    <m/>
    <m/>
    <m/>
    <m/>
    <m/>
    <m/>
    <n v="1308"/>
    <n v="3"/>
  </r>
  <r>
    <x v="173"/>
    <s v="Judith Magyar"/>
    <x v="95"/>
    <x v="1"/>
    <s v="Innovation"/>
    <s v="GCO – Regions"/>
    <s v="No"/>
    <s v="EMEA"/>
    <n v="693"/>
    <n v="6"/>
    <n v="704"/>
    <n v="0"/>
    <m/>
    <m/>
    <n v="575"/>
    <n v="0"/>
    <m/>
    <m/>
    <n v="1972"/>
    <n v="6"/>
  </r>
  <r>
    <x v="174"/>
    <s v="Paul Taylor"/>
    <x v="95"/>
    <x v="3"/>
    <s v="Corporate"/>
    <s v="Office of the CEO"/>
    <s v="No"/>
    <s v="Global"/>
    <n v="1597"/>
    <n v="0"/>
    <m/>
    <m/>
    <m/>
    <m/>
    <m/>
    <m/>
    <m/>
    <m/>
    <n v="1597"/>
    <n v="0"/>
  </r>
  <r>
    <x v="175"/>
    <s v="Stephan Magura"/>
    <x v="96"/>
    <x v="1"/>
    <s v="Healthcare"/>
    <s v="Human Resources (SAP HR and employee stories)"/>
    <s v="No"/>
    <s v="Global"/>
    <n v="2196"/>
    <n v="28"/>
    <m/>
    <m/>
    <n v="62"/>
    <n v="0"/>
    <m/>
    <m/>
    <m/>
    <m/>
    <n v="2258"/>
    <n v="28"/>
  </r>
  <r>
    <x v="176"/>
    <s v="Paul Baur"/>
    <x v="96"/>
    <x v="0"/>
    <s v="Innovation"/>
    <s v="Office of the CEO"/>
    <s v="Yes"/>
    <s v="EMEA"/>
    <n v="2703"/>
    <n v="7"/>
    <m/>
    <m/>
    <n v="57"/>
    <n v="0"/>
    <m/>
    <m/>
    <m/>
    <m/>
    <n v="2760"/>
    <n v="7"/>
  </r>
  <r>
    <x v="177"/>
    <s v="Paul Baur"/>
    <x v="96"/>
    <x v="0"/>
    <s v="Innovation"/>
    <s v="P&amp;I (Research &amp; Development)"/>
    <s v="No"/>
    <s v="Global"/>
    <n v="2400"/>
    <n v="0"/>
    <m/>
    <m/>
    <m/>
    <m/>
    <m/>
    <m/>
    <m/>
    <m/>
    <n v="2400"/>
    <n v="0"/>
  </r>
  <r>
    <x v="178"/>
    <s v="Miriam Siebeking"/>
    <x v="97"/>
    <x v="0"/>
    <s v="Corporate"/>
    <s v="Corporate"/>
    <s v="No"/>
    <s v="Global"/>
    <n v="1685"/>
    <n v="4"/>
    <m/>
    <m/>
    <m/>
    <m/>
    <m/>
    <m/>
    <m/>
    <m/>
    <n v="1685"/>
    <n v="4"/>
  </r>
  <r>
    <x v="179"/>
    <s v="Mike Ettling"/>
    <x v="98"/>
    <x v="0"/>
    <s v="Corporate"/>
    <s v="Human Resources (SAP HR and employee stories)"/>
    <s v="No"/>
    <s v="Global"/>
    <n v="876"/>
    <n v="9"/>
    <m/>
    <m/>
    <m/>
    <m/>
    <m/>
    <m/>
    <m/>
    <m/>
    <n v="876"/>
    <n v="9"/>
  </r>
  <r>
    <x v="180"/>
    <s v="Andrea Diederichs"/>
    <x v="99"/>
    <x v="1"/>
    <s v="Innovation"/>
    <s v="Services Delivery &amp; Support (go-lives and deployments) "/>
    <s v="No"/>
    <s v="Global"/>
    <n v="1603"/>
    <n v="25"/>
    <m/>
    <m/>
    <m/>
    <m/>
    <n v="645"/>
    <n v="0"/>
    <m/>
    <m/>
    <n v="2248"/>
    <n v="25"/>
  </r>
  <r>
    <x v="181"/>
    <s v="Paul Taylor"/>
    <x v="99"/>
    <x v="0"/>
    <s v="Innovation"/>
    <s v="GCO – Customer Engagement &amp; Commerce (CRM &amp; hybris) "/>
    <s v="No"/>
    <s v="Global"/>
    <n v="6427"/>
    <n v="19"/>
    <n v="1571"/>
    <n v="0"/>
    <m/>
    <m/>
    <n v="960"/>
    <n v="0"/>
    <m/>
    <m/>
    <n v="8958"/>
    <n v="19"/>
  </r>
  <r>
    <x v="182"/>
    <s v="Cindy McKendry"/>
    <x v="99"/>
    <x v="0"/>
    <s v="Corporate"/>
    <s v="GPO (Partner, Ecosystem, Channels)"/>
    <s v="No"/>
    <s v="Global"/>
    <n v="1076"/>
    <n v="14"/>
    <m/>
    <m/>
    <m/>
    <m/>
    <m/>
    <m/>
    <m/>
    <m/>
    <n v="1076"/>
    <n v="14"/>
  </r>
  <r>
    <x v="183"/>
    <s v="Judith Magyar"/>
    <x v="100"/>
    <x v="0"/>
    <s v="Innovation"/>
    <s v="GCO – Platform Solutions"/>
    <s v="Yes"/>
    <s v="Global"/>
    <n v="1656"/>
    <n v="14"/>
    <m/>
    <m/>
    <m/>
    <m/>
    <m/>
    <m/>
    <m/>
    <m/>
    <n v="1656"/>
    <n v="14"/>
  </r>
  <r>
    <x v="184"/>
    <s v="Angela Dunn"/>
    <x v="100"/>
    <x v="0"/>
    <s v="Innovation"/>
    <s v="GCO – Platform Solutions"/>
    <s v="No"/>
    <s v="Global"/>
    <n v="1337"/>
    <n v="3"/>
    <m/>
    <m/>
    <m/>
    <m/>
    <m/>
    <m/>
    <m/>
    <m/>
    <n v="1337"/>
    <n v="3"/>
  </r>
  <r>
    <x v="185"/>
    <s v="Stephan Magura"/>
    <x v="101"/>
    <x v="0"/>
    <s v="Corporate"/>
    <s v="GCO – Other"/>
    <s v="No"/>
    <s v="EMEA"/>
    <n v="1829"/>
    <n v="13"/>
    <m/>
    <m/>
    <m/>
    <m/>
    <m/>
    <m/>
    <m/>
    <m/>
    <n v="1829"/>
    <n v="13"/>
  </r>
  <r>
    <x v="186"/>
    <s v="Torsten Falk"/>
    <x v="101"/>
    <x v="4"/>
    <s v="Corporate"/>
    <s v="Human Resources (SAP HR and employee stories)"/>
    <s v="No"/>
    <s v="Global"/>
    <n v="1930"/>
    <n v="8"/>
    <m/>
    <m/>
    <m/>
    <m/>
    <m/>
    <m/>
    <m/>
    <m/>
    <n v="1930"/>
    <n v="8"/>
  </r>
  <r>
    <x v="187"/>
    <s v="Emily Scorer"/>
    <x v="102"/>
    <x v="3"/>
    <s v="Innovation"/>
    <s v="P&amp;I (Research &amp; Development)"/>
    <s v="No"/>
    <s v="Global"/>
    <n v="842"/>
    <n v="8"/>
    <m/>
    <m/>
    <m/>
    <m/>
    <m/>
    <m/>
    <m/>
    <m/>
    <n v="842"/>
    <n v="8"/>
  </r>
  <r>
    <x v="188"/>
    <s v="Vivek Bapat"/>
    <x v="102"/>
    <x v="0"/>
    <s v="Innovation"/>
    <s v="Corporate"/>
    <s v="No"/>
    <s v="Global"/>
    <n v="387"/>
    <n v="6"/>
    <m/>
    <m/>
    <m/>
    <m/>
    <m/>
    <m/>
    <m/>
    <m/>
    <n v="387"/>
    <n v="6"/>
  </r>
  <r>
    <x v="189"/>
    <s v="Robin Meyerhoff"/>
    <x v="103"/>
    <x v="1"/>
    <s v="Youth"/>
    <s v="Human Resources (SAP HR and employee stories)"/>
    <s v="No"/>
    <s v="EMEA"/>
    <n v="1442"/>
    <n v="14"/>
    <m/>
    <m/>
    <m/>
    <m/>
    <n v="477"/>
    <n v="0"/>
    <m/>
    <m/>
    <n v="1919"/>
    <n v="14"/>
  </r>
  <r>
    <x v="190"/>
    <s v="Stephan Magura"/>
    <x v="103"/>
    <x v="4"/>
    <s v="Youth"/>
    <s v="Corporate"/>
    <s v="No"/>
    <s v="EMEA"/>
    <n v="419"/>
    <n v="9"/>
    <m/>
    <m/>
    <m/>
    <m/>
    <m/>
    <m/>
    <m/>
    <m/>
    <n v="419"/>
    <n v="9"/>
  </r>
  <r>
    <x v="191"/>
    <s v="Thomas Pohl"/>
    <x v="104"/>
    <x v="1"/>
    <s v="Innovation"/>
    <s v="GCO – Platform Solutions"/>
    <s v="No"/>
    <s v="EMEA"/>
    <n v="1188"/>
    <n v="5"/>
    <m/>
    <m/>
    <m/>
    <m/>
    <m/>
    <m/>
    <m/>
    <m/>
    <n v="1188"/>
    <n v="5"/>
  </r>
  <r>
    <x v="192"/>
    <s v="Angela Dunn"/>
    <x v="104"/>
    <x v="0"/>
    <s v="Corporate"/>
    <s v="Office of the CEO"/>
    <s v="No"/>
    <s v="Global"/>
    <n v="847"/>
    <n v="0"/>
    <m/>
    <m/>
    <m/>
    <m/>
    <m/>
    <m/>
    <m/>
    <m/>
    <n v="847"/>
    <n v="0"/>
  </r>
  <r>
    <x v="193"/>
    <s v="Paul Taylor"/>
    <x v="105"/>
    <x v="1"/>
    <s v="Innovation"/>
    <s v="GCO – Platform Solutions"/>
    <s v="No"/>
    <s v="Global"/>
    <n v="1732"/>
    <n v="5"/>
    <m/>
    <m/>
    <m/>
    <m/>
    <m/>
    <m/>
    <m/>
    <m/>
    <n v="1732"/>
    <n v="5"/>
  </r>
  <r>
    <x v="194"/>
    <s v="Judith Magyar"/>
    <x v="106"/>
    <x v="0"/>
    <s v="Corporate"/>
    <s v="Corporate"/>
    <s v="No"/>
    <s v="Global"/>
    <n v="835"/>
    <n v="13"/>
    <m/>
    <m/>
    <m/>
    <m/>
    <m/>
    <m/>
    <m/>
    <m/>
    <n v="835"/>
    <n v="13"/>
  </r>
  <r>
    <x v="195"/>
    <s v="Susan Galer"/>
    <x v="107"/>
    <x v="0"/>
    <s v="Corporate"/>
    <s v="GCO – Industry Cloud "/>
    <s v="No"/>
    <s v="Global"/>
    <n v="678"/>
    <n v="4"/>
    <m/>
    <m/>
    <m/>
    <m/>
    <m/>
    <m/>
    <m/>
    <m/>
    <n v="678"/>
    <n v="4"/>
  </r>
  <r>
    <x v="196"/>
    <s v="Emily Scorer"/>
    <x v="108"/>
    <x v="1"/>
    <s v="Corporate"/>
    <s v="Human Resources (SAP HR and employee stories)"/>
    <s v="No"/>
    <s v="Global"/>
    <n v="2043"/>
    <n v="22"/>
    <m/>
    <m/>
    <m/>
    <m/>
    <m/>
    <m/>
    <m/>
    <m/>
    <n v="2043"/>
    <n v="22"/>
  </r>
  <r>
    <x v="197"/>
    <s v="Michael Zipf"/>
    <x v="108"/>
    <x v="1"/>
    <s v="Corporate"/>
    <s v="Human Resources (SAP HR and employee stories)"/>
    <s v="No"/>
    <s v="EMEA"/>
    <n v="1496"/>
    <n v="3"/>
    <m/>
    <m/>
    <m/>
    <m/>
    <m/>
    <m/>
    <m/>
    <m/>
    <n v="1496"/>
    <n v="3"/>
  </r>
  <r>
    <x v="198"/>
    <s v="Judith Magyar"/>
    <x v="108"/>
    <x v="1"/>
    <s v="Innovation"/>
    <s v="GCO – Industry Cloud , GCO – Platform Solutions"/>
    <s v="Yes"/>
    <s v="EMEA"/>
    <n v="411"/>
    <n v="1"/>
    <m/>
    <m/>
    <n v="133"/>
    <n v="0"/>
    <m/>
    <m/>
    <m/>
    <m/>
    <n v="544"/>
    <n v="1"/>
  </r>
  <r>
    <x v="199"/>
    <s v="Angela Klose"/>
    <x v="109"/>
    <x v="1"/>
    <s v="Sports"/>
    <s v="GCO – Platform Solutions"/>
    <s v="No"/>
    <s v="Global"/>
    <n v="410"/>
    <n v="3"/>
    <m/>
    <m/>
    <m/>
    <m/>
    <m/>
    <m/>
    <m/>
    <m/>
    <n v="410"/>
    <n v="3"/>
  </r>
  <r>
    <x v="200"/>
    <s v="Jane Gray"/>
    <x v="109"/>
    <x v="0"/>
    <s v="Innovation"/>
    <s v="GCO – Platform Solutions"/>
    <s v="Yes"/>
    <s v="Global"/>
    <n v="326"/>
    <n v="1"/>
    <m/>
    <m/>
    <m/>
    <m/>
    <m/>
    <m/>
    <m/>
    <m/>
    <n v="326"/>
    <n v="1"/>
  </r>
  <r>
    <x v="201"/>
    <s v="Kesja Cichowski"/>
    <x v="110"/>
    <x v="1"/>
    <s v="Corporate"/>
    <s v="Human Resources (SAP HR and employee stories)"/>
    <s v="No"/>
    <s v="Global"/>
    <n v="1450"/>
    <n v="23"/>
    <m/>
    <m/>
    <m/>
    <m/>
    <m/>
    <m/>
    <m/>
    <m/>
    <n v="1450"/>
    <n v="23"/>
  </r>
  <r>
    <x v="202"/>
    <s v="Robin Meyerhoff"/>
    <x v="110"/>
    <x v="7"/>
    <s v="Innovation"/>
    <s v="P&amp;I (Research &amp; Development)"/>
    <s v="Yes"/>
    <s v="Global"/>
    <n v="1423"/>
    <n v="3"/>
    <m/>
    <m/>
    <m/>
    <m/>
    <n v="425"/>
    <n v="0"/>
    <m/>
    <m/>
    <n v="1848"/>
    <n v="3"/>
  </r>
  <r>
    <x v="203"/>
    <s v="Renata Pompeu Pividal"/>
    <x v="110"/>
    <x v="0"/>
    <s v="Corporate"/>
    <s v="GCO – Regions"/>
    <s v="No"/>
    <s v="LATAM"/>
    <n v="931"/>
    <n v="3"/>
    <m/>
    <m/>
    <m/>
    <m/>
    <m/>
    <m/>
    <m/>
    <m/>
    <n v="931"/>
    <n v="3"/>
  </r>
  <r>
    <x v="204"/>
    <s v="Gillian Lindsell"/>
    <x v="111"/>
    <x v="0"/>
    <s v="Youth"/>
    <s v="Corporate"/>
    <s v="No"/>
    <s v="EMEA"/>
    <n v="395"/>
    <n v="4"/>
    <m/>
    <m/>
    <m/>
    <m/>
    <m/>
    <m/>
    <m/>
    <m/>
    <n v="395"/>
    <n v="4"/>
  </r>
  <r>
    <x v="205"/>
    <s v="Robin Meyerhoff"/>
    <x v="112"/>
    <x v="1"/>
    <s v="Corporate"/>
    <s v="Human Resources (SAP HR and employee stories)"/>
    <s v="No"/>
    <s v="NA"/>
    <n v="4318"/>
    <n v="97"/>
    <n v="7986"/>
    <n v="1"/>
    <n v="330"/>
    <n v="0"/>
    <n v="2278"/>
    <n v="6"/>
    <m/>
    <m/>
    <n v="14912"/>
    <n v="104"/>
  </r>
  <r>
    <x v="206"/>
    <s v="Torsten Falk"/>
    <x v="113"/>
    <x v="0"/>
    <s v="Corporate"/>
    <s v="Human Resources (SAP HR and employee stories)"/>
    <s v="No"/>
    <s v="Global"/>
    <n v="1327"/>
    <n v="18"/>
    <s v="-"/>
    <s v="-"/>
    <s v="-"/>
    <s v="-"/>
    <s v="-"/>
    <s v="-"/>
    <m/>
    <m/>
    <n v="1327"/>
    <n v="18"/>
  </r>
  <r>
    <x v="207"/>
    <s v="Catherine Girardin"/>
    <x v="113"/>
    <x v="1"/>
    <s v="Innovation"/>
    <s v="P&amp;I (Research &amp; Development)"/>
    <s v="No"/>
    <s v="EMEA"/>
    <n v="837"/>
    <n v="2"/>
    <s v="-"/>
    <s v="-"/>
    <s v="-"/>
    <s v="-"/>
    <s v="-"/>
    <s v="-"/>
    <m/>
    <m/>
    <n v="837"/>
    <n v="2"/>
  </r>
  <r>
    <x v="208"/>
    <s v="Andrea Diederichs"/>
    <x v="114"/>
    <x v="0"/>
    <s v="Corporate"/>
    <s v="Office of the CEO"/>
    <s v="No"/>
    <s v="Global"/>
    <n v="3279"/>
    <n v="11"/>
    <s v="-"/>
    <s v="-"/>
    <s v="-"/>
    <s v="-"/>
    <s v="-"/>
    <s v="-"/>
    <m/>
    <m/>
    <n v="3279"/>
    <n v="11"/>
  </r>
  <r>
    <x v="209"/>
    <s v="Bettina Wunderle"/>
    <x v="114"/>
    <x v="0"/>
    <s v="Innovation"/>
    <s v="P&amp;I (Research &amp; Development)"/>
    <s v="No"/>
    <s v="Global"/>
    <n v="979"/>
    <n v="7"/>
    <s v="-"/>
    <s v="-"/>
    <n v="15"/>
    <n v="0"/>
    <s v="-"/>
    <s v="-"/>
    <m/>
    <m/>
    <n v="994"/>
    <n v="7"/>
  </r>
  <r>
    <x v="210"/>
    <s v="Emily Scorer"/>
    <x v="114"/>
    <x v="1"/>
    <s v="Youth"/>
    <s v="P&amp;I (Research &amp; Development)"/>
    <s v="No"/>
    <s v="EMEA"/>
    <n v="593"/>
    <n v="2"/>
    <s v="-"/>
    <s v="-"/>
    <s v="-"/>
    <s v="-"/>
    <s v="-"/>
    <s v="-"/>
    <m/>
    <m/>
    <n v="593"/>
    <n v="2"/>
  </r>
  <r>
    <x v="211"/>
    <s v="Stephan Magura"/>
    <x v="115"/>
    <x v="1"/>
    <s v="Innovation"/>
    <s v="Business Network (Concur, Ariba, Fieldglass)"/>
    <s v="No"/>
    <s v="Global"/>
    <n v="917"/>
    <n v="2"/>
    <s v="-"/>
    <s v="-"/>
    <n v="546"/>
    <n v="0"/>
    <s v="-"/>
    <s v="-"/>
    <m/>
    <m/>
    <n v="1463"/>
    <n v="2"/>
  </r>
  <r>
    <x v="212"/>
    <s v="Emily Scorer"/>
    <x v="116"/>
    <x v="1"/>
    <s v="Sports"/>
    <s v="GCO – Industry Cloud , GCO – Platform Solutions"/>
    <s v="Yes"/>
    <s v="Global"/>
    <n v="1752"/>
    <n v="9"/>
    <s v="-"/>
    <s v="-"/>
    <n v="122"/>
    <n v="0"/>
    <s v="-"/>
    <s v="-"/>
    <m/>
    <m/>
    <n v="1874"/>
    <n v="9"/>
  </r>
  <r>
    <x v="213"/>
    <s v="Michael Zipf"/>
    <x v="117"/>
    <x v="0"/>
    <s v="Corporate"/>
    <s v="Human Resources (SAP HR and employee stories)"/>
    <s v="No"/>
    <s v="EMEA"/>
    <n v="2892"/>
    <n v="12"/>
    <s v="-"/>
    <s v="-"/>
    <s v="-"/>
    <s v="-"/>
    <s v="-"/>
    <s v="-"/>
    <m/>
    <m/>
    <n v="2892"/>
    <n v="12"/>
  </r>
  <r>
    <x v="214"/>
    <s v="Emily Scorer"/>
    <x v="117"/>
    <x v="1"/>
    <s v="Corporate"/>
    <s v="Human Resources (SAP HR and employee stories)"/>
    <s v="No"/>
    <s v="Global"/>
    <n v="1588"/>
    <n v="10"/>
    <s v="-"/>
    <s v="-"/>
    <s v="-"/>
    <s v="-"/>
    <s v="-"/>
    <s v="-"/>
    <m/>
    <m/>
    <n v="1588"/>
    <n v="10"/>
  </r>
  <r>
    <x v="215"/>
    <s v="Cecile Yasmin Schreyer"/>
    <x v="117"/>
    <x v="0"/>
    <s v="Corporate"/>
    <s v="Human Resources (SAP HR and employee stories)"/>
    <s v="No"/>
    <s v="Global"/>
    <n v="765"/>
    <n v="7"/>
    <s v="-"/>
    <s v="-"/>
    <s v="-"/>
    <s v="-"/>
    <s v="-"/>
    <s v="-"/>
    <m/>
    <m/>
    <n v="765"/>
    <n v="7"/>
  </r>
  <r>
    <x v="216"/>
    <s v="Paul Baur"/>
    <x v="118"/>
    <x v="1"/>
    <s v="Innovation"/>
    <s v="P&amp;I (Research &amp; Development)"/>
    <s v="No"/>
    <s v="Global"/>
    <n v="2580"/>
    <n v="5"/>
    <s v="-"/>
    <s v="-"/>
    <n v="639"/>
    <n v="0"/>
    <s v="-"/>
    <s v="-"/>
    <m/>
    <m/>
    <n v="3219"/>
    <n v="5"/>
  </r>
  <r>
    <x v="217"/>
    <s v="Susan Galer"/>
    <x v="118"/>
    <x v="0"/>
    <s v="Youth"/>
    <s v="Corporate"/>
    <s v="No"/>
    <s v="EMEA"/>
    <n v="438"/>
    <n v="2"/>
    <s v="-"/>
    <s v="-"/>
    <n v="334"/>
    <n v="0"/>
    <s v="-"/>
    <s v="-"/>
    <m/>
    <m/>
    <n v="772"/>
    <n v="2"/>
  </r>
  <r>
    <x v="218"/>
    <s v="Miriam Siebeking"/>
    <x v="118"/>
    <x v="0"/>
    <s v="Corporate"/>
    <s v="Human Resources (SAP HR and employee stories)"/>
    <s v="No"/>
    <s v="Global"/>
    <n v="1240"/>
    <n v="0"/>
    <s v="-"/>
    <s v="-"/>
    <s v="-"/>
    <s v="-"/>
    <s v="-"/>
    <s v="-"/>
    <m/>
    <m/>
    <n v="1240"/>
    <n v="0"/>
  </r>
  <r>
    <x v="219"/>
    <s v="Robin Meyerhoff"/>
    <x v="119"/>
    <x v="1"/>
    <s v="Corporate"/>
    <s v="GCO – Regions, Human Resources (SAP HR and employee stories)"/>
    <s v="No"/>
    <s v="NA"/>
    <n v="1622"/>
    <n v="17"/>
    <s v="-"/>
    <s v="-"/>
    <s v="-"/>
    <s v="-"/>
    <n v="649"/>
    <n v="0"/>
    <m/>
    <m/>
    <n v="2271"/>
    <n v="17"/>
  </r>
  <r>
    <x v="220"/>
    <s v="Stacy Eidson Comes"/>
    <x v="119"/>
    <x v="0"/>
    <s v="Innovation"/>
    <s v="GCO – Other"/>
    <s v="No"/>
    <s v="Global"/>
    <n v="887"/>
    <n v="10"/>
    <s v="-"/>
    <s v="-"/>
    <s v="-"/>
    <s v="-"/>
    <s v="-"/>
    <s v="-"/>
    <m/>
    <m/>
    <n v="887"/>
    <n v="10"/>
  </r>
  <r>
    <x v="221"/>
    <s v="Susan Orenstein"/>
    <x v="120"/>
    <x v="0"/>
    <s v="Corporate"/>
    <s v="Human Resources (SAP HR and employee stories)"/>
    <s v="No"/>
    <s v="NA"/>
    <n v="1279"/>
    <n v="17"/>
    <s v="-"/>
    <s v="-"/>
    <s v="-"/>
    <s v="-"/>
    <s v="-"/>
    <s v="-"/>
    <m/>
    <m/>
    <n v="1279"/>
    <n v="17"/>
  </r>
  <r>
    <x v="222"/>
    <s v="Paul Baur"/>
    <x v="120"/>
    <x v="2"/>
    <s v="Innovation"/>
    <s v="P&amp;I (Research &amp; Development)"/>
    <s v="No"/>
    <s v="EMEA"/>
    <n v="1671"/>
    <n v="8"/>
    <s v="-"/>
    <s v="-"/>
    <n v="79"/>
    <n v="0"/>
    <n v="1395"/>
    <n v="0"/>
    <m/>
    <m/>
    <n v="3145"/>
    <n v="8"/>
  </r>
  <r>
    <x v="223"/>
    <s v="Emily Scorer"/>
    <x v="121"/>
    <x v="0"/>
    <s v="Healthcare"/>
    <s v="Human Resources (SAP HR and employee stories)"/>
    <s v="No"/>
    <s v="EMEA"/>
    <n v="1309"/>
    <n v="9"/>
    <s v="-"/>
    <s v="-"/>
    <s v="-"/>
    <s v="-"/>
    <s v="-"/>
    <s v="-"/>
    <m/>
    <m/>
    <n v="1309"/>
    <n v="9"/>
  </r>
  <r>
    <x v="224"/>
    <s v="Emily Scorer"/>
    <x v="122"/>
    <x v="1"/>
    <s v="Innovation"/>
    <s v="Corporate"/>
    <s v="No"/>
    <s v="LATAM"/>
    <n v="2127"/>
    <n v="18"/>
    <s v="-"/>
    <s v="-"/>
    <s v="-"/>
    <s v="-"/>
    <s v="-"/>
    <s v="-"/>
    <m/>
    <m/>
    <n v="2127"/>
    <n v="18"/>
  </r>
  <r>
    <x v="225"/>
    <s v="Caroline Kohout"/>
    <x v="123"/>
    <x v="0"/>
    <s v="Corporate"/>
    <s v="Human Resources (SAP HR and employee stories)"/>
    <s v="No"/>
    <s v="NA"/>
    <n v="1503"/>
    <n v="28"/>
    <s v="-"/>
    <s v="-"/>
    <s v="-"/>
    <s v="-"/>
    <s v="-"/>
    <s v="-"/>
    <m/>
    <m/>
    <n v="1503"/>
    <n v="28"/>
  </r>
  <r>
    <x v="226"/>
    <s v="Miriam Siebeking"/>
    <x v="123"/>
    <x v="0"/>
    <s v="Innovation"/>
    <s v="P&amp;I (Research &amp; Development)"/>
    <s v="No"/>
    <s v="EMEA"/>
    <n v="1171"/>
    <n v="1"/>
    <s v="-"/>
    <s v="-"/>
    <s v="-"/>
    <s v="-"/>
    <n v="45"/>
    <n v="0"/>
    <m/>
    <m/>
    <n v="1216"/>
    <n v="1"/>
  </r>
  <r>
    <x v="227"/>
    <s v="Aidan Hyland"/>
    <x v="124"/>
    <x v="2"/>
    <s v="Innovation"/>
    <s v="Corporate"/>
    <s v="No"/>
    <s v="Global"/>
    <n v="5959"/>
    <n v="53"/>
    <s v="-"/>
    <s v="-"/>
    <s v="-"/>
    <s v="-"/>
    <s v="-"/>
    <s v="-"/>
    <m/>
    <m/>
    <n v="5959"/>
    <n v="53"/>
  </r>
  <r>
    <x v="228"/>
    <s v="Stephan Magura"/>
    <x v="124"/>
    <x v="2"/>
    <s v="Healthcare"/>
    <s v="Business Network (Concur, Ariba, Fieldglass)"/>
    <s v="Yes"/>
    <s v="EMEA"/>
    <n v="1010"/>
    <n v="10"/>
    <s v="-"/>
    <s v="-"/>
    <n v="119"/>
    <n v="0"/>
    <n v="269"/>
    <n v="0"/>
    <m/>
    <m/>
    <n v="1398"/>
    <n v="10"/>
  </r>
  <r>
    <x v="229"/>
    <s v="Jackie Montesinos Suarez"/>
    <x v="125"/>
    <x v="1"/>
    <s v="Innovation"/>
    <s v="GCO – Other"/>
    <s v="Yes"/>
    <s v="NA, LATAM, EMEA"/>
    <n v="727"/>
    <n v="15"/>
    <s v="-"/>
    <s v="-"/>
    <s v="-"/>
    <s v="-"/>
    <n v="785"/>
    <n v="0"/>
    <m/>
    <m/>
    <n v="1512"/>
    <n v="15"/>
  </r>
  <r>
    <x v="230"/>
    <s v="Paul Baur"/>
    <x v="125"/>
    <x v="1"/>
    <s v="Innovation"/>
    <s v="Corporate"/>
    <s v="No"/>
    <s v="Global"/>
    <n v="4066"/>
    <n v="2"/>
    <s v="-"/>
    <s v="-"/>
    <n v="843"/>
    <n v="0"/>
    <s v="-"/>
    <s v="-"/>
    <m/>
    <m/>
    <n v="4909"/>
    <n v="2"/>
  </r>
  <r>
    <x v="231"/>
    <s v="Tanja Schaetz-Kruft"/>
    <x v="125"/>
    <x v="0"/>
    <s v="Innovation"/>
    <s v="GCO – Other"/>
    <s v="No"/>
    <s v="Global"/>
    <n v="593"/>
    <n v="1"/>
    <s v="-"/>
    <s v="-"/>
    <s v="-"/>
    <s v="-"/>
    <s v="-"/>
    <s v="-"/>
    <m/>
    <m/>
    <n v="593"/>
    <n v="1"/>
  </r>
  <r>
    <x v="232"/>
    <s v="Paul Baur"/>
    <x v="126"/>
    <x v="1"/>
    <s v="Corporate"/>
    <s v="Corporate"/>
    <s v="No"/>
    <s v="Global"/>
    <n v="4134"/>
    <n v="0"/>
    <s v="-"/>
    <s v="-"/>
    <s v="-"/>
    <s v="-"/>
    <s v="-"/>
    <s v="-"/>
    <m/>
    <m/>
    <n v="4134"/>
    <n v="0"/>
  </r>
  <r>
    <x v="233"/>
    <s v="Judith Magyar"/>
    <x v="126"/>
    <x v="0"/>
    <s v="Innovation"/>
    <s v="Business Network (Concur, Ariba, Fieldglass)"/>
    <s v="No"/>
    <s v="Global"/>
    <n v="831"/>
    <n v="0"/>
    <s v="-"/>
    <s v="-"/>
    <n v="77"/>
    <n v="0"/>
    <n v="582"/>
    <n v="0"/>
    <m/>
    <m/>
    <n v="1490"/>
    <n v="0"/>
  </r>
  <r>
    <x v="234"/>
    <s v="Paul Taylor"/>
    <x v="127"/>
    <x v="3"/>
    <s v="Corporate"/>
    <s v="Corporate"/>
    <s v="No"/>
    <s v="NA"/>
    <n v="1089"/>
    <n v="7"/>
    <n v="734"/>
    <n v="0"/>
    <s v="-"/>
    <s v="-"/>
    <s v="-"/>
    <s v="-"/>
    <m/>
    <m/>
    <n v="1823"/>
    <n v="7"/>
  </r>
  <r>
    <x v="235"/>
    <s v="Paul Baur"/>
    <x v="127"/>
    <x v="1"/>
    <s v="Innovation"/>
    <s v="P&amp;I (Research &amp; Development)"/>
    <s v="No"/>
    <s v="EMEA"/>
    <n v="844"/>
    <n v="1"/>
    <s v="-"/>
    <s v="-"/>
    <s v="-"/>
    <s v="-"/>
    <n v="900"/>
    <n v="0"/>
    <m/>
    <m/>
    <n v="1744"/>
    <n v="1"/>
  </r>
  <r>
    <x v="236"/>
    <s v="Judith Magyar"/>
    <x v="128"/>
    <x v="0"/>
    <s v="Corporate"/>
    <s v="Office of the CEO"/>
    <s v="No"/>
    <s v="Global"/>
    <n v="2267"/>
    <n v="8"/>
    <s v="-"/>
    <s v="-"/>
    <s v="-"/>
    <s v="-"/>
    <s v="-"/>
    <s v="-"/>
    <m/>
    <m/>
    <n v="2267"/>
    <n v="8"/>
  </r>
  <r>
    <x v="237"/>
    <s v="Michael Zipf"/>
    <x v="128"/>
    <x v="3"/>
    <s v="Innovation"/>
    <s v="GCO – Regions"/>
    <s v="Yes"/>
    <s v="EMEA"/>
    <n v="779"/>
    <n v="3"/>
    <s v="-"/>
    <s v="-"/>
    <n v="22"/>
    <n v="0"/>
    <s v="-"/>
    <s v="-"/>
    <m/>
    <m/>
    <n v="801"/>
    <n v="3"/>
  </r>
  <r>
    <x v="238"/>
    <s v="Heidi Ferguson-Mueller"/>
    <x v="129"/>
    <x v="3"/>
    <s v="Corporate"/>
    <s v="GCO – Other"/>
    <s v="No"/>
    <s v="Global"/>
    <n v="946"/>
    <n v="2"/>
    <s v="-"/>
    <s v="-"/>
    <s v="-"/>
    <s v="-"/>
    <s v="-"/>
    <s v="-"/>
    <m/>
    <m/>
    <n v="946"/>
    <n v="2"/>
  </r>
  <r>
    <x v="239"/>
    <s v="Corinna Machmeier"/>
    <x v="129"/>
    <x v="1"/>
    <s v="Sports, Youth"/>
    <s v="P&amp;I (Research &amp; Development)"/>
    <s v="No"/>
    <s v="EMEA"/>
    <n v="534"/>
    <n v="1"/>
    <s v="-"/>
    <s v="-"/>
    <s v="-"/>
    <s v="-"/>
    <n v="720"/>
    <n v="0"/>
    <m/>
    <m/>
    <n v="1254"/>
    <n v="1"/>
  </r>
  <r>
    <x v="240"/>
    <s v="Stephan Kamps"/>
    <x v="130"/>
    <x v="0"/>
    <s v="Innovation"/>
    <s v="Corporate"/>
    <s v="No"/>
    <s v="Global"/>
    <n v="2879"/>
    <n v="11"/>
    <s v="-"/>
    <s v="-"/>
    <s v="-"/>
    <s v="-"/>
    <s v="-"/>
    <s v="-"/>
    <m/>
    <m/>
    <n v="2879"/>
    <n v="11"/>
  </r>
  <r>
    <x v="241"/>
    <s v="Susan Galer"/>
    <x v="130"/>
    <x v="0"/>
    <s v="Corporate"/>
    <s v="Human Resources (SAP HR and employee stories)"/>
    <s v="No"/>
    <s v="EMEA"/>
    <n v="1237"/>
    <n v="9"/>
    <s v="-"/>
    <s v="-"/>
    <n v="1061"/>
    <n v="0"/>
    <s v="-"/>
    <s v="-"/>
    <m/>
    <m/>
    <n v="2298"/>
    <n v="9"/>
  </r>
  <r>
    <x v="242"/>
    <s v="Sarah Kellman"/>
    <x v="131"/>
    <x v="3"/>
    <s v="Innovation"/>
    <s v="GCO – Industry Cloud , GCO – Regions"/>
    <s v="Yes"/>
    <s v="EMEA"/>
    <n v="1297"/>
    <n v="26"/>
    <s v="-"/>
    <s v="-"/>
    <s v="-"/>
    <s v="-"/>
    <s v="-"/>
    <s v="-"/>
    <m/>
    <m/>
    <n v="1297"/>
    <n v="26"/>
  </r>
  <r>
    <x v="243"/>
    <s v="Jeff Woods"/>
    <x v="132"/>
    <x v="0"/>
    <s v="Innovation"/>
    <s v="Corporate"/>
    <s v="No"/>
    <s v="Global"/>
    <n v="1002"/>
    <n v="5"/>
    <s v="-"/>
    <s v="-"/>
    <n v="96"/>
    <n v="0"/>
    <s v="-"/>
    <s v="-"/>
    <m/>
    <m/>
    <n v="1098"/>
    <n v="5"/>
  </r>
  <r>
    <x v="244"/>
    <s v="Stephan Magura"/>
    <x v="132"/>
    <x v="1"/>
    <s v="Innovation, Youth"/>
    <s v="Corporate"/>
    <s v="Yes"/>
    <s v="EMEA"/>
    <n v="712"/>
    <n v="3"/>
    <s v="-"/>
    <s v="-"/>
    <s v="-"/>
    <s v="-"/>
    <s v="-"/>
    <s v="-"/>
    <m/>
    <m/>
    <n v="712"/>
    <n v="3"/>
  </r>
  <r>
    <x v="245"/>
    <s v="Jackie Montesinos Suarez"/>
    <x v="133"/>
    <x v="1"/>
    <s v="Innovation"/>
    <s v="GCO – Regions, GCO – Platform Solutions"/>
    <s v="No"/>
    <s v="EMEA"/>
    <n v="1225"/>
    <n v="12"/>
    <s v="-"/>
    <s v="-"/>
    <n v="164"/>
    <n v="0"/>
    <s v="-"/>
    <s v="-"/>
    <m/>
    <m/>
    <n v="1389"/>
    <n v="12"/>
  </r>
  <r>
    <x v="246"/>
    <s v="Jhon Ward"/>
    <x v="133"/>
    <x v="3"/>
    <s v="Youth"/>
    <s v="Corporate"/>
    <s v="No"/>
    <s v="Global"/>
    <n v="512"/>
    <n v="1"/>
    <n v="4458"/>
    <n v="0"/>
    <n v="39"/>
    <n v="0"/>
    <s v="-"/>
    <s v="-"/>
    <m/>
    <m/>
    <n v="5009"/>
    <n v="1"/>
  </r>
  <r>
    <x v="247"/>
    <s v="Michael Zipf"/>
    <x v="134"/>
    <x v="1"/>
    <s v="Sports"/>
    <s v="Human Resources (SAP HR and employee stories)"/>
    <s v="No"/>
    <s v="EMEA"/>
    <n v="1791"/>
    <n v="48"/>
    <s v="-"/>
    <s v="-"/>
    <n v="223"/>
    <n v="0"/>
    <s v="-"/>
    <s v="-"/>
    <n v="75788"/>
    <n v="0"/>
    <n v="2014"/>
    <n v="48"/>
  </r>
  <r>
    <x v="248"/>
    <s v="Robin Meyerhoff"/>
    <x v="135"/>
    <x v="1"/>
    <s v="Innovation"/>
    <s v="P&amp;I (Research &amp; Development)"/>
    <s v="No"/>
    <s v="NA"/>
    <n v="786"/>
    <n v="4"/>
    <n v="1890"/>
    <n v="0"/>
    <n v="42"/>
    <n v="0"/>
    <n v="1037"/>
    <n v="0"/>
    <n v="105718"/>
    <n v="14"/>
    <n v="3755"/>
    <n v="4"/>
  </r>
  <r>
    <x v="249"/>
    <s v="Stephan Magura"/>
    <x v="136"/>
    <x v="1"/>
    <s v="Innovation"/>
    <s v="GPO (Partner, Ecosystem, Channels)"/>
    <s v="Yes"/>
    <s v="EMEA"/>
    <n v="1139"/>
    <n v="4"/>
    <s v="-"/>
    <s v="-"/>
    <n v="213"/>
    <n v="0"/>
    <s v="-"/>
    <s v="-"/>
    <m/>
    <m/>
    <n v="1352"/>
    <n v="4"/>
  </r>
  <r>
    <x v="250"/>
    <s v="Robin Meyerhoff"/>
    <x v="137"/>
    <x v="0"/>
    <s v="Corporate"/>
    <s v="GCO – Regions"/>
    <s v="No"/>
    <s v="EMEA"/>
    <n v="1307"/>
    <n v="13"/>
    <s v="-"/>
    <s v="-"/>
    <s v="-"/>
    <s v="-"/>
    <n v="839"/>
    <n v="0"/>
    <m/>
    <m/>
    <n v="2146"/>
    <n v="13"/>
  </r>
  <r>
    <x v="251"/>
    <s v="Gillian Lindsell"/>
    <x v="137"/>
    <x v="0"/>
    <s v="Youth"/>
    <s v="GCO – Regions"/>
    <s v="No"/>
    <s v="EMEA"/>
    <n v="492"/>
    <n v="6"/>
    <s v="-"/>
    <s v="-"/>
    <n v="181"/>
    <n v="0"/>
    <s v="-"/>
    <s v="-"/>
    <m/>
    <m/>
    <n v="673"/>
    <n v="6"/>
  </r>
  <r>
    <x v="252"/>
    <s v="Cornelia Weiss-Justen"/>
    <x v="138"/>
    <x v="1"/>
    <s v="Sports"/>
    <s v="Corporate"/>
    <s v="No"/>
    <s v="EMEA"/>
    <n v="1599"/>
    <n v="7"/>
    <s v="-"/>
    <s v="-"/>
    <n v="39"/>
    <n v="0"/>
    <s v="-"/>
    <s v="-"/>
    <m/>
    <m/>
    <n v="1638"/>
    <n v="7"/>
  </r>
  <r>
    <x v="253"/>
    <s v="Miriam Siebeking"/>
    <x v="139"/>
    <x v="0"/>
    <s v="Corporate"/>
    <s v="Human Resources (SAP HR and employee stories)"/>
    <s v="No"/>
    <s v="Global"/>
    <n v="1065"/>
    <n v="0"/>
    <s v="-"/>
    <s v="-"/>
    <s v="-"/>
    <s v="-"/>
    <s v="-"/>
    <s v="-"/>
    <m/>
    <m/>
    <n v="1065"/>
    <n v="0"/>
  </r>
  <r>
    <x v="254"/>
    <s v="Charlotte Otter"/>
    <x v="140"/>
    <x v="1"/>
    <s v="Innovation"/>
    <s v="Corporate"/>
    <s v="No"/>
    <s v="Global"/>
    <n v="2480"/>
    <n v="3"/>
    <s v="-"/>
    <s v="-"/>
    <n v="94"/>
    <n v="0"/>
    <s v="-"/>
    <s v="-"/>
    <n v="76148"/>
    <n v="5"/>
    <n v="2574"/>
    <n v="3"/>
  </r>
  <r>
    <x v="255"/>
    <s v="Debra Curtis-Magley"/>
    <x v="141"/>
    <x v="1"/>
    <s v="Innovation"/>
    <s v="Business Network (Concur, Ariba, Fieldglass)"/>
    <s v="No"/>
    <s v="EMEA"/>
    <n v="1026"/>
    <n v="8"/>
    <s v="-"/>
    <s v="-"/>
    <n v="119"/>
    <n v="0"/>
    <n v="4188"/>
    <n v="0"/>
    <m/>
    <m/>
    <n v="5333"/>
    <n v="8"/>
  </r>
  <r>
    <x v="256"/>
    <s v="Stephan Magura"/>
    <x v="142"/>
    <x v="1"/>
    <s v="Innovation"/>
    <s v="GCO – Services Sales, GCO – Customer Engagement &amp; Commerce (CRM &amp; hybris) "/>
    <s v="No"/>
    <s v="Global"/>
    <n v="1378"/>
    <n v="2"/>
    <s v="-"/>
    <s v="-"/>
    <s v="-"/>
    <s v="-"/>
    <s v="-"/>
    <s v="-"/>
    <m/>
    <m/>
    <n v="1378"/>
    <n v="2"/>
  </r>
  <r>
    <x v="257"/>
    <s v="Judith Magyar"/>
    <x v="143"/>
    <x v="3"/>
    <s v="Sports"/>
    <s v="P&amp;I (Research &amp; Development), GCO – Industry Cloud "/>
    <s v="No"/>
    <s v="Global"/>
    <n v="1391"/>
    <n v="5"/>
    <n v="5602"/>
    <n v="0"/>
    <n v="262"/>
    <n v="0"/>
    <s v="-"/>
    <s v="-"/>
    <n v="96497"/>
    <n v="7"/>
    <n v="7255"/>
    <n v="5"/>
  </r>
  <r>
    <x v="258"/>
    <s v="Nadine Huelsen"/>
    <x v="144"/>
    <x v="0"/>
    <s v="Innovation"/>
    <s v="Corporate"/>
    <s v="No"/>
    <s v="APJ"/>
    <n v="1630"/>
    <n v="26"/>
    <n v="12669"/>
    <n v="2"/>
    <n v="151"/>
    <n v="0"/>
    <n v="4177"/>
    <n v="12"/>
    <m/>
    <m/>
    <n v="18627"/>
    <n v="40"/>
  </r>
  <r>
    <x v="259"/>
    <s v="Tim Clark"/>
    <x v="145"/>
    <x v="0"/>
    <s v="Corporate"/>
    <s v="Corporate"/>
    <s v="No"/>
    <s v="NA"/>
    <n v="806"/>
    <n v="8"/>
    <n v="268"/>
    <n v="0"/>
    <s v="-"/>
    <s v="-"/>
    <n v="990"/>
    <n v="0"/>
    <m/>
    <m/>
    <n v="2064"/>
    <n v="8"/>
  </r>
  <r>
    <x v="260"/>
    <s v="Robin Meyerhoff"/>
    <x v="146"/>
    <x v="1"/>
    <s v="Innovation"/>
    <s v="GCO – Regions"/>
    <s v="Yes"/>
    <s v="EMEA"/>
    <n v="979"/>
    <n v="6"/>
    <s v="-"/>
    <s v="-"/>
    <n v="117"/>
    <n v="0"/>
    <n v="1272"/>
    <n v="0"/>
    <n v="76512"/>
    <n v="3"/>
    <n v="2368"/>
    <n v="6"/>
  </r>
  <r>
    <x v="261"/>
    <s v="Susan Galer"/>
    <x v="147"/>
    <x v="0"/>
    <s v="Innovation"/>
    <s v="GCO – HR (SuccessFactors)"/>
    <s v="No"/>
    <s v="Global"/>
    <n v="1366"/>
    <n v="5"/>
    <n v="2114"/>
    <n v="0"/>
    <s v="-"/>
    <s v="-"/>
    <n v="735"/>
    <n v="1"/>
    <m/>
    <m/>
    <n v="4215"/>
    <n v="6"/>
  </r>
  <r>
    <x v="262"/>
    <s v="Baerbel Schultz"/>
    <x v="148"/>
    <x v="0"/>
    <s v="Innovation"/>
    <s v="P&amp;I (Research &amp; Development)"/>
    <s v="No"/>
    <s v="EMEA"/>
    <n v="932"/>
    <n v="2"/>
    <s v="-"/>
    <s v="-"/>
    <n v="236"/>
    <n v="0"/>
    <s v="-"/>
    <s v="-"/>
    <m/>
    <m/>
    <n v="1168"/>
    <n v="2"/>
  </r>
  <r>
    <x v="263"/>
    <s v="Jhon Ward"/>
    <x v="149"/>
    <x v="1"/>
    <s v="Sports"/>
    <s v="GCO – Industry Cloud , GCO – Platform Solutions"/>
    <s v="Yes"/>
    <s v="EMEA"/>
    <n v="577"/>
    <n v="0"/>
    <s v="-"/>
    <s v="-"/>
    <n v="189"/>
    <n v="0"/>
    <s v="-"/>
    <s v="-"/>
    <m/>
    <m/>
    <n v="766"/>
    <n v="0"/>
  </r>
  <r>
    <x v="241"/>
    <s v="Susan Galer"/>
    <x v="150"/>
    <x v="0"/>
    <s v="Innovation"/>
    <s v="Human Resources (SAP HR and employee stories)"/>
    <s v="No"/>
    <s v="EMEA"/>
    <n v="5117"/>
    <n v="117"/>
    <s v="-"/>
    <s v="-"/>
    <n v="1883"/>
    <n v="0"/>
    <n v="841"/>
    <n v="0"/>
    <m/>
    <m/>
    <n v="7841"/>
    <n v="117"/>
  </r>
  <r>
    <x v="264"/>
    <s v="Paul Taylor"/>
    <x v="150"/>
    <x v="3"/>
    <s v="Innovation"/>
    <s v="Office of the CEO"/>
    <s v="No"/>
    <s v="Global"/>
    <n v="2454"/>
    <n v="9"/>
    <n v="2830"/>
    <n v="0"/>
    <s v="-"/>
    <s v="-"/>
    <n v="740"/>
    <n v="0"/>
    <m/>
    <m/>
    <n v="6024"/>
    <n v="9"/>
  </r>
  <r>
    <x v="265"/>
    <s v="Derek Klobucher"/>
    <x v="151"/>
    <x v="0"/>
    <s v="Innovation"/>
    <s v="Corporate"/>
    <s v="No"/>
    <s v="Global"/>
    <n v="1663"/>
    <n v="20"/>
    <n v="1106"/>
    <n v="2"/>
    <n v="78"/>
    <n v="0"/>
    <s v="-"/>
    <s v="-"/>
    <m/>
    <m/>
    <n v="2847"/>
    <n v="22"/>
  </r>
  <r>
    <x v="266"/>
    <s v="Lynda Seger"/>
    <x v="152"/>
    <x v="0"/>
    <s v="Sports"/>
    <s v="GCO – Industry Cloud "/>
    <s v="Yes"/>
    <s v="EMEA"/>
    <n v="801"/>
    <n v="3"/>
    <s v="-"/>
    <s v="-"/>
    <n v="69"/>
    <n v="0"/>
    <s v="-"/>
    <s v="-"/>
    <m/>
    <m/>
    <n v="870"/>
    <n v="3"/>
  </r>
  <r>
    <x v="267"/>
    <s v="Judith Magyar"/>
    <x v="153"/>
    <x v="8"/>
    <s v="Innovation"/>
    <s v="GCO – Platform Solutions, GCO – Customer Engagement &amp; Commerce (CRM &amp; hybris) "/>
    <s v="No"/>
    <s v="Global"/>
    <n v="1884"/>
    <n v="5"/>
    <s v="-"/>
    <s v="-"/>
    <s v="-"/>
    <s v="-"/>
    <s v="-"/>
    <s v="-"/>
    <m/>
    <m/>
    <n v="1884"/>
    <n v="5"/>
  </r>
  <r>
    <x v="268"/>
    <s v="Jacqueline Prause"/>
    <x v="154"/>
    <x v="1"/>
    <s v="Corporate"/>
    <s v="GPO (Partner, Ecosystem, Channels)"/>
    <s v="No"/>
    <s v="Global"/>
    <n v="765"/>
    <n v="5"/>
    <s v="-"/>
    <s v="-"/>
    <n v="98"/>
    <n v="0"/>
    <s v="-"/>
    <s v="-"/>
    <m/>
    <m/>
    <n v="863"/>
    <n v="5"/>
  </r>
  <r>
    <x v="269"/>
    <s v="Paul Baur"/>
    <x v="155"/>
    <x v="1"/>
    <s v="Corporate"/>
    <s v="Corporate"/>
    <s v="No"/>
    <s v="Global"/>
    <n v="2383"/>
    <n v="14"/>
    <s v="-"/>
    <s v="-"/>
    <s v="-"/>
    <s v="-"/>
    <s v="-"/>
    <s v="-"/>
    <m/>
    <m/>
    <n v="2383"/>
    <n v="14"/>
  </r>
  <r>
    <x v="270"/>
    <s v="Judith Magyar"/>
    <x v="155"/>
    <x v="3"/>
    <s v="Innovation"/>
    <s v="GCO – Other"/>
    <s v="No"/>
    <s v="Global"/>
    <n v="3075"/>
    <n v="9"/>
    <s v="-"/>
    <s v="-"/>
    <s v="-"/>
    <s v="-"/>
    <s v="-"/>
    <s v="-"/>
    <m/>
    <m/>
    <n v="3075"/>
    <n v="9"/>
  </r>
  <r>
    <x v="271"/>
    <s v="Michael Zipf"/>
    <x v="156"/>
    <x v="0"/>
    <s v="Corporate"/>
    <s v="Corporate"/>
    <s v="No"/>
    <s v="EMEA"/>
    <n v="6559"/>
    <n v="67"/>
    <s v="-"/>
    <s v="-"/>
    <s v="-"/>
    <s v="-"/>
    <s v="-"/>
    <s v="-"/>
    <m/>
    <m/>
    <n v="6559"/>
    <n v="67"/>
  </r>
  <r>
    <x v="272"/>
    <s v="Paul Baur"/>
    <x v="157"/>
    <x v="1"/>
    <s v="Healthcare"/>
    <s v="P&amp;I (Research &amp; Development)"/>
    <s v="No"/>
    <s v="Global"/>
    <n v="1237"/>
    <n v="2"/>
    <s v="-"/>
    <s v="-"/>
    <n v="109"/>
    <n v="0"/>
    <n v="548"/>
    <n v="0"/>
    <m/>
    <m/>
    <n v="1894"/>
    <n v="2"/>
  </r>
  <r>
    <x v="273"/>
    <s v="Judith Magyar"/>
    <x v="158"/>
    <x v="1"/>
    <s v="Healthcare"/>
    <s v="GCO – Industry Cloud , GCO – Platform Solutions"/>
    <s v="Yes"/>
    <s v="Global"/>
    <n v="1436"/>
    <n v="1"/>
    <s v="-"/>
    <s v="-"/>
    <n v="228"/>
    <n v="0"/>
    <n v="883"/>
    <n v="3"/>
    <m/>
    <m/>
    <n v="2547"/>
    <n v="4"/>
  </r>
  <r>
    <x v="274"/>
    <s v="Miriam Siebeking"/>
    <x v="159"/>
    <x v="0"/>
    <s v="Corporate"/>
    <s v="Human Resources (SAP HR and employee stories)"/>
    <s v="No"/>
    <s v="Global"/>
    <n v="1073"/>
    <n v="0"/>
    <s v="-"/>
    <s v="-"/>
    <s v="-"/>
    <s v="-"/>
    <s v="-"/>
    <s v="-"/>
    <m/>
    <m/>
    <n v="1073"/>
    <n v="0"/>
  </r>
  <r>
    <x v="275"/>
    <s v="Paul Taylor"/>
    <x v="160"/>
    <x v="0"/>
    <s v="Innovation"/>
    <s v="GCO – Customer Engagement &amp; Commerce (CRM &amp; hybris) "/>
    <s v="No"/>
    <s v="Global"/>
    <n v="2143"/>
    <n v="3"/>
    <s v="-"/>
    <s v="-"/>
    <n v="484"/>
    <n v="0"/>
    <s v="-"/>
    <s v="-"/>
    <n v="78019"/>
    <n v="7"/>
    <n v="2627"/>
    <n v="3"/>
  </r>
  <r>
    <x v="276"/>
    <s v="Andrea Diederichs"/>
    <x v="160"/>
    <x v="3"/>
    <s v="Corporate"/>
    <s v="Corporate"/>
    <s v="No"/>
    <s v="Global"/>
    <n v="1514"/>
    <n v="1"/>
    <s v="-"/>
    <s v="-"/>
    <s v="-"/>
    <s v="-"/>
    <s v="-"/>
    <s v="-"/>
    <m/>
    <m/>
    <n v="1514"/>
    <n v="1"/>
  </r>
  <r>
    <x v="277"/>
    <s v="Paul Baur"/>
    <x v="161"/>
    <x v="0"/>
    <s v="Corporate"/>
    <s v="Office of the CEO"/>
    <s v="No"/>
    <s v="Global"/>
    <n v="27449"/>
    <n v="359"/>
    <s v="-"/>
    <s v="-"/>
    <s v="-"/>
    <s v="-"/>
    <s v="-"/>
    <s v="-"/>
    <m/>
    <m/>
    <n v="27449"/>
    <n v="359"/>
  </r>
  <r>
    <x v="278"/>
    <s v="Paul Taylor"/>
    <x v="161"/>
    <x v="3"/>
    <s v="Innovation"/>
    <s v="GCO – Customer Engagement &amp; Commerce (CRM &amp; hybris) "/>
    <s v="No"/>
    <s v="Global"/>
    <n v="2130"/>
    <n v="7"/>
    <n v="1772"/>
    <n v="0"/>
    <n v="149"/>
    <n v="0"/>
    <n v="7140"/>
    <n v="1"/>
    <n v="78209"/>
    <n v="10"/>
    <n v="11191"/>
    <n v="8"/>
  </r>
  <r>
    <x v="279"/>
    <s v="Torsten Falk"/>
    <x v="162"/>
    <x v="0"/>
    <s v="Corporate"/>
    <s v="Corporate"/>
    <s v="No"/>
    <s v="Global"/>
    <n v="2753"/>
    <n v="19"/>
    <s v="-"/>
    <s v="-"/>
    <s v="-"/>
    <s v="-"/>
    <s v="-"/>
    <s v="-"/>
    <m/>
    <m/>
    <n v="2753"/>
    <n v="19"/>
  </r>
  <r>
    <x v="280"/>
    <s v="Cornelia Weiss-Justen"/>
    <x v="163"/>
    <x v="1"/>
    <s v="Sports"/>
    <s v="GCO – Platform Solutions, GCO – Industry Cloud "/>
    <s v="Yes"/>
    <s v="Global"/>
    <n v="862"/>
    <n v="3"/>
    <s v="-"/>
    <s v="-"/>
    <n v="63"/>
    <n v="0"/>
    <s v="-"/>
    <s v="-"/>
    <m/>
    <m/>
    <n v="925"/>
    <n v="3"/>
  </r>
  <r>
    <x v="281"/>
    <s v="Kesja Cichowski"/>
    <x v="164"/>
    <x v="0"/>
    <s v="Corporate"/>
    <s v="Corporate"/>
    <s v="Yes"/>
    <s v="Global"/>
    <n v="1215"/>
    <n v="4"/>
    <s v="-"/>
    <s v="-"/>
    <s v="-"/>
    <s v="-"/>
    <s v="-"/>
    <s v="-"/>
    <m/>
    <m/>
    <n v="1215"/>
    <n v="4"/>
  </r>
  <r>
    <x v="282"/>
    <s v="Judith Magyar"/>
    <x v="165"/>
    <x v="1"/>
    <s v="Innovation"/>
    <s v="GCO – Industry Cloud , GCO – Platform Solutions, GCO – Regions"/>
    <s v="Yes"/>
    <s v="LATAM"/>
    <n v="1209"/>
    <n v="9"/>
    <n v="1151"/>
    <n v="0"/>
    <n v="195"/>
    <n v="0"/>
    <s v="-"/>
    <s v="-"/>
    <m/>
    <m/>
    <n v="2555"/>
    <n v="9"/>
  </r>
  <r>
    <x v="283"/>
    <s v="Andreas Schmitz"/>
    <x v="165"/>
    <x v="0"/>
    <s v="Innovation"/>
    <s v="GCO – Other"/>
    <s v="No"/>
    <s v="Global"/>
    <n v="1671"/>
    <n v="6"/>
    <s v="-"/>
    <s v="-"/>
    <s v="-"/>
    <s v="-"/>
    <s v="-"/>
    <s v="-"/>
    <m/>
    <m/>
    <n v="1671"/>
    <n v="6"/>
  </r>
  <r>
    <x v="284"/>
    <s v="Michael Zipf"/>
    <x v="165"/>
    <x v="1"/>
    <s v="Innovation"/>
    <s v="P&amp;I (Research &amp; Development), GCO – Industry Cloud "/>
    <s v="No"/>
    <s v="Global"/>
    <n v="530"/>
    <n v="0"/>
    <s v="-"/>
    <s v="-"/>
    <n v="187"/>
    <n v="0"/>
    <n v="807"/>
    <n v="0"/>
    <m/>
    <m/>
    <n v="1524"/>
    <n v="0"/>
  </r>
  <r>
    <x v="285"/>
    <s v="Paul Taylor"/>
    <x v="166"/>
    <x v="0"/>
    <s v="Innovation"/>
    <s v="GCO – Platform Solutions"/>
    <s v="No"/>
    <s v="Global"/>
    <n v="1187"/>
    <n v="2"/>
    <n v="982"/>
    <n v="0"/>
    <n v="114"/>
    <n v="0"/>
    <n v="787"/>
    <n v="0"/>
    <m/>
    <m/>
    <n v="3070"/>
    <n v="2"/>
  </r>
  <r>
    <x v="286"/>
    <s v="Sam Yen"/>
    <x v="167"/>
    <x v="0"/>
    <s v="Innovation"/>
    <s v="P&amp;I (Research &amp; Development)"/>
    <s v="No"/>
    <s v="Global"/>
    <n v="1761"/>
    <n v="5"/>
    <n v="4650"/>
    <n v="1"/>
    <n v="275"/>
    <n v="0"/>
    <s v="-"/>
    <s v="-"/>
    <m/>
    <m/>
    <n v="6686"/>
    <n v="6"/>
  </r>
  <r>
    <x v="287"/>
    <s v="Sarah Kellman"/>
    <x v="168"/>
    <x v="8"/>
    <s v="Corporate"/>
    <s v="Corporate"/>
    <s v="No"/>
    <s v="Global"/>
    <n v="2814"/>
    <n v="11"/>
    <s v="-"/>
    <s v="-"/>
    <s v="-"/>
    <s v="-"/>
    <s v="-"/>
    <s v="-"/>
    <m/>
    <m/>
    <n v="2814"/>
    <n v="11"/>
  </r>
  <r>
    <x v="288"/>
    <s v="Thorsten Leiduck"/>
    <x v="168"/>
    <x v="0"/>
    <s v="Innovation"/>
    <s v="P&amp;I (Research &amp; Development)"/>
    <s v="No"/>
    <s v="EMEA"/>
    <n v="1310"/>
    <n v="1"/>
    <s v="-"/>
    <s v="-"/>
    <n v="2180"/>
    <n v="0"/>
    <s v="-"/>
    <s v="-"/>
    <m/>
    <m/>
    <n v="3490"/>
    <n v="1"/>
  </r>
  <r>
    <x v="289"/>
    <s v="Robin Meyerhoff"/>
    <x v="169"/>
    <x v="0"/>
    <s v="Youth"/>
    <s v="Human Resources (SAP HR and employee stories)"/>
    <s v="No"/>
    <s v="EMEA"/>
    <n v="934"/>
    <n v="12"/>
    <s v="-"/>
    <s v="-"/>
    <n v="99"/>
    <n v="0"/>
    <n v="747"/>
    <n v="0"/>
    <s v="-"/>
    <s v="-"/>
    <n v="1780"/>
    <n v="12"/>
  </r>
  <r>
    <x v="290"/>
    <s v="Judith Magyar"/>
    <x v="170"/>
    <x v="1"/>
    <s v="Corporate"/>
    <s v="Corporate"/>
    <s v="No"/>
    <s v="Global"/>
    <n v="3141"/>
    <n v="5"/>
    <s v="-"/>
    <s v="-"/>
    <n v="596"/>
    <n v="0"/>
    <s v="-"/>
    <s v="-"/>
    <s v="-"/>
    <s v="-"/>
    <n v="3737"/>
    <n v="5"/>
  </r>
  <r>
    <x v="196"/>
    <s v="Miriam Siebeking"/>
    <x v="171"/>
    <x v="0"/>
    <s v="Corporate"/>
    <s v="Corporate"/>
    <s v="No"/>
    <s v="Global"/>
    <n v="1018"/>
    <n v="0"/>
    <s v="-"/>
    <s v="-"/>
    <s v="-"/>
    <s v="-"/>
    <s v="-"/>
    <s v="-"/>
    <s v="-"/>
    <s v="-"/>
    <n v="1018"/>
    <n v="0"/>
  </r>
  <r>
    <x v="291"/>
    <s v="Robin Meyerhoff"/>
    <x v="172"/>
    <x v="1"/>
    <s v="Healthcare"/>
    <s v="Human Resources (SAP HR and employee stories)"/>
    <s v="No"/>
    <s v="EMEA"/>
    <n v="6484"/>
    <n v="21"/>
    <s v="-"/>
    <s v="-"/>
    <n v="1823"/>
    <n v="0"/>
    <s v="-"/>
    <s v="-"/>
    <s v="-"/>
    <s v="-"/>
    <n v="8307"/>
    <n v="21"/>
  </r>
  <r>
    <x v="292"/>
    <s v="Paul Baur"/>
    <x v="172"/>
    <x v="0"/>
    <s v="Corporate, Innovation"/>
    <s v="GCO – HR (SuccessFactors), P&amp;I (Research &amp; Development)"/>
    <s v="No"/>
    <s v="Global"/>
    <n v="727"/>
    <n v="2"/>
    <s v="-"/>
    <s v="-"/>
    <s v="-"/>
    <s v="-"/>
    <s v="-"/>
    <s v="-"/>
    <s v="-"/>
    <s v="-"/>
    <n v="727"/>
    <n v="2"/>
  </r>
  <r>
    <x v="293"/>
    <s v="Judith Magyar"/>
    <x v="172"/>
    <x v="1"/>
    <s v="Innovation"/>
    <s v="P&amp;I (Research &amp; Development), GCO – Industry Cloud "/>
    <s v="No"/>
    <s v="Global"/>
    <n v="662"/>
    <n v="9"/>
    <s v="-"/>
    <s v="-"/>
    <s v="-"/>
    <s v="-"/>
    <s v="-"/>
    <s v="-"/>
    <s v="-"/>
    <s v="-"/>
    <n v="662"/>
    <n v="9"/>
  </r>
  <r>
    <x v="294"/>
    <s v="Paul Baur"/>
    <x v="173"/>
    <x v="0"/>
    <s v="Corporate"/>
    <s v="GCO – Platform Solutions, GCO – Industry Cloud , Office of the CEO"/>
    <s v="No"/>
    <s v="Global"/>
    <n v="4459"/>
    <n v="10"/>
    <s v="-"/>
    <s v="-"/>
    <n v="1975"/>
    <n v="0"/>
    <s v="-"/>
    <s v="-"/>
    <s v="-"/>
    <s v="-"/>
    <n v="6434"/>
    <n v="10"/>
  </r>
  <r>
    <x v="295"/>
    <s v="Andreas Schmitz"/>
    <x v="173"/>
    <x v="0"/>
    <s v="Sports"/>
    <s v="GCO – Industry Cloud "/>
    <s v="Yes"/>
    <s v="Global"/>
    <n v="349"/>
    <n v="0"/>
    <s v="-"/>
    <s v="-"/>
    <n v="877"/>
    <n v="0"/>
    <s v="-"/>
    <s v="-"/>
    <s v="-"/>
    <s v="-"/>
    <n v="1226"/>
    <n v="0"/>
  </r>
  <r>
    <x v="296"/>
    <s v="Michael Zipf"/>
    <x v="174"/>
    <x v="1"/>
    <s v="Corporate"/>
    <s v="Human Resources (SAP HR and employee stories)"/>
    <s v="No"/>
    <s v="Global"/>
    <n v="1968"/>
    <n v="16"/>
    <n v="737"/>
    <n v="0"/>
    <s v="-"/>
    <s v="-"/>
    <s v="-"/>
    <s v="-"/>
    <s v="-"/>
    <s v="-"/>
    <n v="2705"/>
    <n v="16"/>
  </r>
  <r>
    <x v="297"/>
    <s v="Corinna Machmeier"/>
    <x v="174"/>
    <x v="1"/>
    <s v="Youth"/>
    <s v="Human Resources (SAP HR and employee stories)"/>
    <s v="No"/>
    <s v="Global"/>
    <n v="9"/>
    <n v="0"/>
    <s v="-"/>
    <s v="-"/>
    <n v="165"/>
    <n v="0"/>
    <n v="424"/>
    <n v="0"/>
    <s v="-"/>
    <s v="-"/>
    <n v="598"/>
    <n v="0"/>
  </r>
  <r>
    <x v="298"/>
    <s v="Stephan Magura"/>
    <x v="174"/>
    <x v="1"/>
    <s v="Healthcare, Innovation"/>
    <s v="P&amp;I (Research &amp; Development), GCO – Industry Cloud , Human Resources (SAP HR and employee stories)"/>
    <s v="No"/>
    <s v="Global"/>
    <n v="404"/>
    <n v="1"/>
    <s v="-"/>
    <s v="-"/>
    <s v="-"/>
    <s v="-"/>
    <s v="-"/>
    <s v="-"/>
    <s v="-"/>
    <s v="-"/>
    <n v="404"/>
    <n v="1"/>
  </r>
  <r>
    <x v="299"/>
    <s v="Andreas Schmitz"/>
    <x v="175"/>
    <x v="2"/>
    <s v="Innovation"/>
    <s v="GCO – Industry Cloud "/>
    <s v="No"/>
    <s v="Global"/>
    <n v="532"/>
    <n v="0"/>
    <s v="-"/>
    <s v="-"/>
    <n v="869"/>
    <n v="0"/>
    <s v="-"/>
    <s v="-"/>
    <s v="-"/>
    <s v="-"/>
    <n v="1401"/>
    <n v="0"/>
  </r>
  <r>
    <x v="300"/>
    <s v="Stephan Magura"/>
    <x v="176"/>
    <x v="0"/>
    <s v="Corporate"/>
    <s v="Human Resources (SAP HR and employee stories)"/>
    <s v="No"/>
    <s v="NA"/>
    <n v="2783"/>
    <n v="43"/>
    <s v="-"/>
    <s v="-"/>
    <s v="-"/>
    <s v="-"/>
    <s v="-"/>
    <s v="-"/>
    <s v="-"/>
    <s v="-"/>
    <n v="2783"/>
    <n v="43"/>
  </r>
  <r>
    <x v="301"/>
    <s v="Paul Baur"/>
    <x v="177"/>
    <x v="1"/>
    <s v="Corporate"/>
    <s v="GCO – Industry Cloud "/>
    <s v="No"/>
    <s v="Global"/>
    <n v="4307"/>
    <n v="3"/>
    <s v="-"/>
    <s v="-"/>
    <s v="-"/>
    <s v="-"/>
    <s v="-"/>
    <s v="-"/>
    <s v="-"/>
    <s v="-"/>
    <n v="4307"/>
    <n v="3"/>
  </r>
  <r>
    <x v="302"/>
    <s v="Paul Taylor"/>
    <x v="178"/>
    <x v="1"/>
    <s v="Innovation"/>
    <s v="Business Network (Concur, Ariba, Fieldglass), Office of the CEO, P&amp;I (Research &amp; Development)"/>
    <s v="No"/>
    <s v="Global"/>
    <n v="7129"/>
    <n v="51"/>
    <s v="-"/>
    <s v="-"/>
    <n v="301"/>
    <n v="0"/>
    <n v="982"/>
    <n v="0"/>
    <s v="-"/>
    <s v="-"/>
    <n v="8412"/>
    <n v="51"/>
  </r>
  <r>
    <x v="303"/>
    <s v="Paul Baur"/>
    <x v="178"/>
    <x v="1"/>
    <s v="Corporate"/>
    <s v="Office of the CEO"/>
    <s v="No"/>
    <s v="Global"/>
    <n v="3323"/>
    <n v="8"/>
    <s v="-"/>
    <s v="-"/>
    <s v="-"/>
    <s v="-"/>
    <s v="-"/>
    <s v="-"/>
    <s v="-"/>
    <s v="-"/>
    <n v="3323"/>
    <n v="8"/>
  </r>
  <r>
    <x v="304"/>
    <s v="Judith Magyar, Carolyn Coad"/>
    <x v="178"/>
    <x v="0"/>
    <s v="Corporate"/>
    <s v="GCO – Platform Solutions"/>
    <s v="Yes"/>
    <s v="Global"/>
    <n v="1045"/>
    <n v="0"/>
    <s v="-"/>
    <s v="-"/>
    <n v="725"/>
    <n v="0"/>
    <s v="-"/>
    <s v="-"/>
    <s v="-"/>
    <s v="-"/>
    <n v="1770"/>
    <n v="0"/>
  </r>
  <r>
    <x v="305"/>
    <s v="Judith Magyar"/>
    <x v="179"/>
    <x v="0"/>
    <s v="Innovation"/>
    <s v="GCO – Industry Cloud "/>
    <s v="Yes"/>
    <s v="LATAM"/>
    <n v="846"/>
    <n v="1"/>
    <s v="-"/>
    <s v="-"/>
    <n v="98"/>
    <n v="0"/>
    <n v="407"/>
    <n v="0"/>
    <s v="-"/>
    <s v="-"/>
    <n v="1351"/>
    <n v="1"/>
  </r>
  <r>
    <x v="306"/>
    <s v="Stephan Magura"/>
    <x v="180"/>
    <x v="0"/>
    <s v="Innovation"/>
    <s v="GCO – Industry Cloud , GCO – Services Sales"/>
    <s v="Yes"/>
    <s v="EMEA"/>
    <n v="623"/>
    <n v="3"/>
    <s v="-"/>
    <s v="-"/>
    <n v="211"/>
    <n v="1"/>
    <s v="-"/>
    <s v="-"/>
    <s v="-"/>
    <s v="-"/>
    <n v="834"/>
    <n v="4"/>
  </r>
  <r>
    <x v="307"/>
    <s v="Judith Magyar"/>
    <x v="181"/>
    <x v="0"/>
    <s v="Youth, Innovation"/>
    <s v="Office of the CEO"/>
    <s v="No"/>
    <s v="Global"/>
    <n v="4093"/>
    <n v="3"/>
    <s v="-"/>
    <s v="-"/>
    <s v="-"/>
    <s v="-"/>
    <s v="-"/>
    <s v="-"/>
    <s v="-"/>
    <s v="-"/>
    <n v="4093"/>
    <n v="3"/>
  </r>
  <r>
    <x v="308"/>
    <s v="Paul Baur"/>
    <x v="182"/>
    <x v="0"/>
    <s v="Corporate"/>
    <s v="Corporate"/>
    <s v="No"/>
    <s v="Global"/>
    <n v="350"/>
    <n v="0"/>
    <s v="-"/>
    <s v="-"/>
    <s v="-"/>
    <s v="-"/>
    <s v="-"/>
    <s v="-"/>
    <s v="-"/>
    <s v="-"/>
    <n v="350"/>
    <n v="0"/>
  </r>
  <r>
    <x v="309"/>
    <s v="Judith Magyar"/>
    <x v="183"/>
    <x v="1"/>
    <s v="Sports"/>
    <s v="GCO – Platform Solutions"/>
    <s v="No"/>
    <s v="NA"/>
    <n v="1189"/>
    <n v="1"/>
    <s v="-"/>
    <s v="-"/>
    <n v="227"/>
    <n v="0"/>
    <n v="780"/>
    <n v="0"/>
    <s v="-"/>
    <s v="-"/>
    <n v="2196"/>
    <n v="1"/>
  </r>
  <r>
    <x v="310"/>
    <s v="Stephan Magura"/>
    <x v="183"/>
    <x v="0"/>
    <s v="Innovation"/>
    <s v="Services Delivery &amp; Support (go-lives and deployments) "/>
    <s v="Yes"/>
    <s v="EMEA"/>
    <n v="690"/>
    <n v="0"/>
    <s v="-"/>
    <s v="-"/>
    <s v="-"/>
    <s v="-"/>
    <s v="-"/>
    <s v="-"/>
    <s v="-"/>
    <s v="-"/>
    <n v="690"/>
    <n v="0"/>
  </r>
  <r>
    <x v="311"/>
    <s v="Miriam Siebeking"/>
    <x v="184"/>
    <x v="1"/>
    <s v="Corporate"/>
    <s v="Corporate"/>
    <s v="No"/>
    <s v="Global"/>
    <n v="1297"/>
    <n v="1"/>
    <s v="-"/>
    <s v="-"/>
    <s v="-"/>
    <s v="-"/>
    <s v="-"/>
    <s v="-"/>
    <s v="-"/>
    <s v="-"/>
    <n v="1297"/>
    <n v="1"/>
  </r>
  <r>
    <x v="312"/>
    <s v="Robin Meyerhoff"/>
    <x v="185"/>
    <x v="1"/>
    <s v="Innovation"/>
    <s v="Business Network (Concur, Ariba, Fieldglass), P&amp;I (Research &amp; Development), GCO – Industry Cloud "/>
    <s v="No"/>
    <s v="Global"/>
    <n v="1046"/>
    <n v="0"/>
    <n v="673"/>
    <n v="0"/>
    <n v="84"/>
    <n v="0"/>
    <n v="356"/>
    <n v="2"/>
    <s v="-"/>
    <s v="-"/>
    <n v="2159"/>
    <n v="2"/>
  </r>
  <r>
    <x v="313"/>
    <s v="Judith Magyar"/>
    <x v="185"/>
    <x v="0"/>
    <s v="Innovation"/>
    <s v="GCO – Industry Cloud "/>
    <s v="Yes"/>
    <s v="EMEA"/>
    <n v="879"/>
    <n v="1"/>
    <s v="-"/>
    <s v="-"/>
    <n v="61"/>
    <n v="0"/>
    <n v="221"/>
    <n v="0"/>
    <s v="-"/>
    <s v="-"/>
    <n v="1161"/>
    <n v="1"/>
  </r>
  <r>
    <x v="314"/>
    <s v="Jackie Montesinos Suarez"/>
    <x v="186"/>
    <x v="1"/>
    <s v="Innovation, Sports"/>
    <s v="GCO – Other"/>
    <s v="No"/>
    <s v="NA"/>
    <n v="848"/>
    <n v="3"/>
    <s v="-"/>
    <s v="-"/>
    <s v="-"/>
    <s v="-"/>
    <s v="-"/>
    <s v="-"/>
    <s v="-"/>
    <s v="-"/>
    <n v="848"/>
    <n v="3"/>
  </r>
  <r>
    <x v="315"/>
    <s v="Paul Taylor"/>
    <x v="187"/>
    <x v="1"/>
    <s v="Innovation"/>
    <s v="GCO – Platform Solutions"/>
    <s v="No"/>
    <s v="EMEA, NA"/>
    <n v="2835"/>
    <n v="10"/>
    <s v="-"/>
    <s v="-"/>
    <n v="76"/>
    <n v="0"/>
    <n v="313"/>
    <n v="0"/>
    <s v="-"/>
    <s v="-"/>
    <n v="3224"/>
    <n v="10"/>
  </r>
  <r>
    <x v="316"/>
    <s v="Judith Magyar"/>
    <x v="187"/>
    <x v="0"/>
    <s v="Innovation"/>
    <s v="GCO – Industry Cloud , GCO – Platform Solutions"/>
    <s v="No"/>
    <s v="EMEA"/>
    <n v="2897"/>
    <n v="10"/>
    <s v="-"/>
    <s v="-"/>
    <n v="236"/>
    <n v="0"/>
    <s v="-"/>
    <s v="-"/>
    <s v="-"/>
    <s v="-"/>
    <n v="3133"/>
    <n v="10"/>
  </r>
  <r>
    <x v="317"/>
    <s v="Paul Taylor"/>
    <x v="188"/>
    <x v="0"/>
    <s v="Corporate"/>
    <s v="Human Resources (SAP HR and employee stories), Corporate"/>
    <s v="No"/>
    <s v="EMEA"/>
    <n v="6411"/>
    <n v="58"/>
    <s v="-"/>
    <s v="-"/>
    <s v="-"/>
    <s v="-"/>
    <s v="-"/>
    <s v="-"/>
    <s v="-"/>
    <s v="-"/>
    <n v="6411"/>
    <n v="58"/>
  </r>
  <r>
    <x v="318"/>
    <s v="Patricia Crazzolara, Kesja Cichowski"/>
    <x v="189"/>
    <x v="1"/>
    <s v="Corporate"/>
    <s v="Human Resources (SAP HR and employee stories)"/>
    <s v="No"/>
    <s v="EMEA"/>
    <n v="1700"/>
    <n v="24"/>
    <s v="-"/>
    <s v="-"/>
    <n v="84"/>
    <n v="0"/>
    <s v="-"/>
    <s v="-"/>
    <s v="-"/>
    <s v="-"/>
    <n v="1784"/>
    <n v="24"/>
  </r>
  <r>
    <x v="319"/>
    <s v="Stephan Magura"/>
    <x v="190"/>
    <x v="0"/>
    <s v="Corporate"/>
    <s v="Human Resources (SAP HR and employee stories)"/>
    <s v="No"/>
    <s v="Global"/>
    <n v="1641"/>
    <n v="1"/>
    <s v="-"/>
    <s v="-"/>
    <s v="-"/>
    <s v="-"/>
    <s v="-"/>
    <s v="-"/>
    <s v="-"/>
    <s v="-"/>
    <n v="1641"/>
    <n v="1"/>
  </r>
  <r>
    <x v="320"/>
    <s v="Corinna Machmeier"/>
    <x v="191"/>
    <x v="1"/>
    <s v="Corporate, Youth"/>
    <s v="Human Resources (SAP HR and employee stories)"/>
    <s v="No"/>
    <s v="EMEA"/>
    <n v="1349"/>
    <n v="4"/>
    <s v="-"/>
    <s v="-"/>
    <n v="178"/>
    <n v="0"/>
    <s v="-"/>
    <s v="-"/>
    <s v="-"/>
    <s v="-"/>
    <n v="1527"/>
    <n v="4"/>
  </r>
  <r>
    <x v="321"/>
    <s v="Robin Meyerhoff"/>
    <x v="192"/>
    <x v="3"/>
    <s v="Corporate"/>
    <s v="Human Resources (SAP HR and employee stories), Corporate, Office of the CEO"/>
    <s v="No"/>
    <s v="Global"/>
    <n v="2998"/>
    <n v="25"/>
    <s v="-"/>
    <s v="-"/>
    <n v="117"/>
    <n v="0"/>
    <n v="562"/>
    <n v="2"/>
    <s v="-"/>
    <s v="-"/>
    <n v="3677"/>
    <n v="27"/>
  </r>
  <r>
    <x v="322"/>
    <s v="Stephan Magura"/>
    <x v="192"/>
    <x v="0"/>
    <s v="Corporate"/>
    <s v="Human Resources (SAP HR and employee stories)"/>
    <s v="No"/>
    <s v="EMEA"/>
    <n v="1829"/>
    <n v="4"/>
    <s v="-"/>
    <s v="-"/>
    <s v="-"/>
    <s v="-"/>
    <s v="-"/>
    <s v="-"/>
    <s v="-"/>
    <s v="-"/>
    <n v="1829"/>
    <n v="4"/>
  </r>
  <r>
    <x v="323"/>
    <s v="Paul Taylor"/>
    <x v="193"/>
    <x v="1"/>
    <s v="Innovation"/>
    <s v="GCO – Platform Solutions, Business Network (Concur, Ariba, Fieldglass)"/>
    <s v="No"/>
    <s v="Global"/>
    <n v="2047"/>
    <n v="0"/>
    <s v="-"/>
    <s v="-"/>
    <s v="-"/>
    <s v="-"/>
    <n v="1393"/>
    <n v="0"/>
    <s v="-"/>
    <s v="-"/>
    <n v="3440"/>
    <n v="0"/>
  </r>
  <r>
    <x v="324"/>
    <s v="Stephan Magura"/>
    <x v="193"/>
    <x v="1"/>
    <s v="Innovation"/>
    <s v="Services Delivery &amp; Support (go-lives and deployments) "/>
    <s v="No"/>
    <s v="EMEA"/>
    <n v="1779"/>
    <n v="2"/>
    <s v="-"/>
    <s v="-"/>
    <s v="-"/>
    <s v="-"/>
    <s v="-"/>
    <s v="-"/>
    <s v="-"/>
    <s v="-"/>
    <n v="1779"/>
    <n v="2"/>
  </r>
  <r>
    <x v="325"/>
    <s v="Paul Baur, Alexander Januschke, Natalie Hauck"/>
    <x v="194"/>
    <x v="1"/>
    <s v="Corporate, Sports"/>
    <s v="Human Resources (SAP HR and employee stories)"/>
    <s v="No"/>
    <s v="EMEA"/>
    <n v="8691"/>
    <n v="18"/>
    <s v="-"/>
    <s v="-"/>
    <s v="-"/>
    <s v="-"/>
    <n v="226"/>
    <n v="0"/>
    <s v="-"/>
    <s v="-"/>
    <n v="8917"/>
    <n v="18"/>
  </r>
  <r>
    <x v="326"/>
    <s v="Michael Zipf"/>
    <x v="194"/>
    <x v="0"/>
    <s v="Corporate"/>
    <s v="Corporate"/>
    <s v="No"/>
    <s v="Global"/>
    <n v="525"/>
    <n v="4"/>
    <s v="-"/>
    <s v="-"/>
    <s v="-"/>
    <s v="-"/>
    <s v="-"/>
    <s v="-"/>
    <s v="-"/>
    <s v="-"/>
    <n v="525"/>
    <n v="4"/>
  </r>
  <r>
    <x v="327"/>
    <s v="SAP News"/>
    <x v="195"/>
    <x v="0"/>
    <s v="Corporate, Innovation"/>
    <s v="Office of the CEO, Corporate, GCO – Industry Cloud "/>
    <s v="No"/>
    <s v="Global"/>
    <n v="1310"/>
    <n v="2"/>
    <s v="-"/>
    <s v="-"/>
    <s v="-"/>
    <s v="-"/>
    <s v="-"/>
    <s v="-"/>
    <s v="-"/>
    <s v="-"/>
    <n v="1310"/>
    <n v="2"/>
  </r>
  <r>
    <x v="328"/>
    <s v="Michael Nuesslein "/>
    <x v="196"/>
    <x v="1"/>
    <s v="Sports"/>
    <s v="GCO – Industry Cloud , GCO – Platform Solutions"/>
    <s v="Yes"/>
    <s v="EMEA"/>
    <n v="2336"/>
    <n v="5"/>
    <s v="-"/>
    <s v="-"/>
    <m/>
    <m/>
    <s v="-"/>
    <s v="-"/>
    <s v="-"/>
    <s v="-"/>
    <n v="2336"/>
    <n v="5"/>
  </r>
  <r>
    <x v="329"/>
    <s v="Corinna Machmeier "/>
    <x v="197"/>
    <x v="1"/>
    <s v="Youth, Innovation"/>
    <s v="Corporate, P&amp;I (Research &amp; Development)"/>
    <s v="No"/>
    <s v="NA"/>
    <n v="473"/>
    <n v="0"/>
    <s v="-"/>
    <s v="-"/>
    <m/>
    <m/>
    <s v="-"/>
    <s v="-"/>
    <s v="-"/>
    <s v="-"/>
    <n v="473"/>
    <n v="0"/>
  </r>
  <r>
    <x v="330"/>
    <s v="Judith Magyar "/>
    <x v="197"/>
    <x v="1"/>
    <s v="Corporate"/>
    <s v="GCO – Industry Cloud , GCO – Platform Solutions, P&amp;I (Research &amp; Development)"/>
    <s v="No"/>
    <s v="EMEA, NA"/>
    <n v="186"/>
    <n v="0"/>
    <s v="-"/>
    <s v="-"/>
    <m/>
    <m/>
    <s v="-"/>
    <s v="-"/>
    <s v="-"/>
    <s v="-"/>
    <n v="186"/>
    <n v="0"/>
  </r>
  <r>
    <x v="196"/>
    <s v="Miriam Siebeking"/>
    <x v="198"/>
    <x v="0"/>
    <s v="Corporate"/>
    <s v="Corporate, Human Resources (SAP HR and employee stories)"/>
    <s v="No"/>
    <s v="Global"/>
    <n v="2914"/>
    <n v="10"/>
    <s v="-"/>
    <s v="-"/>
    <m/>
    <m/>
    <s v="-"/>
    <s v="-"/>
    <s v="-"/>
    <s v="-"/>
    <n v="2914"/>
    <n v="10"/>
  </r>
  <r>
    <x v="331"/>
    <s v="Michael Zipf"/>
    <x v="198"/>
    <x v="0"/>
    <s v="Corporate, Innovation"/>
    <s v="GCO – Other, GCO – Industry Cloud "/>
    <s v="No"/>
    <s v="Global"/>
    <n v="176"/>
    <n v="0"/>
    <s v="-"/>
    <s v="-"/>
    <m/>
    <m/>
    <s v="-"/>
    <s v="-"/>
    <n v="83805"/>
    <n v="7"/>
    <n v="176"/>
    <n v="0"/>
  </r>
  <r>
    <x v="332"/>
    <s v="Jon Leiberman"/>
    <x v="199"/>
    <x v="0"/>
    <s v="Innovation, Corporate"/>
    <s v="GCO – Industry Cloud "/>
    <s v="No"/>
    <s v="Global"/>
    <n v="83"/>
    <n v="0"/>
    <s v="-"/>
    <s v="-"/>
    <m/>
    <m/>
    <s v="-"/>
    <s v="-"/>
    <n v="80370"/>
    <n v="4"/>
    <n v="83"/>
    <n v="0"/>
  </r>
  <r>
    <x v="333"/>
    <s v="Steve Lucas, Jon Leiberman "/>
    <x v="200"/>
    <x v="1"/>
    <s v="Innovation"/>
    <s v="GCO – Industry Cloud "/>
    <s v="No"/>
    <s v="Global"/>
    <n v="2117"/>
    <n v="9"/>
    <s v="-"/>
    <s v="-"/>
    <m/>
    <m/>
    <s v="-"/>
    <s v="-"/>
    <s v="-"/>
    <s v="-"/>
    <n v="2117"/>
    <n v="9"/>
  </r>
  <r>
    <x v="334"/>
    <s v="Michael Zipf"/>
    <x v="200"/>
    <x v="1"/>
    <s v="Corporate, Innovation"/>
    <s v="Corporate, GCO – Industry Cloud "/>
    <s v="No"/>
    <s v="Global"/>
    <n v="244"/>
    <n v="0"/>
    <s v="-"/>
    <s v="-"/>
    <m/>
    <m/>
    <s v="-"/>
    <s v="-"/>
    <n v="83125"/>
    <n v="6"/>
    <n v="244"/>
    <n v="0"/>
  </r>
  <r>
    <x v="335"/>
    <s v="Robin Meyerhoff "/>
    <x v="201"/>
    <x v="1"/>
    <s v="Innovation, Sports"/>
    <s v="GCO – Industry Cloud , GCO – Platform Solutions"/>
    <s v="Yes"/>
    <s v="Global"/>
    <n v="1892"/>
    <n v="1"/>
    <s v="-"/>
    <s v="-"/>
    <m/>
    <m/>
    <s v="-"/>
    <s v="-"/>
    <s v="-"/>
    <s v="-"/>
    <n v="1892"/>
    <n v="1"/>
  </r>
  <r>
    <x v="336"/>
    <s v="Stephan Magura, Thomas Leonhardi "/>
    <x v="201"/>
    <x v="1"/>
    <s v="Innovation"/>
    <s v="GCO – Industry Cloud "/>
    <s v="Yes"/>
    <s v="Global"/>
    <n v="1794"/>
    <n v="1"/>
    <s v="-"/>
    <s v="-"/>
    <m/>
    <m/>
    <s v="-"/>
    <s v="-"/>
    <s v="-"/>
    <s v="-"/>
    <n v="1794"/>
    <n v="1"/>
  </r>
  <r>
    <x v="337"/>
    <s v="Michael Zipf"/>
    <x v="202"/>
    <x v="1"/>
    <s v="Innovation"/>
    <s v="GCO – Industry Cloud , P&amp;I (Research &amp; Development)"/>
    <s v="No"/>
    <s v="NA"/>
    <n v="326"/>
    <n v="1"/>
    <s v="-"/>
    <s v="-"/>
    <m/>
    <m/>
    <s v="-"/>
    <s v="-"/>
    <n v="82457"/>
    <n v="6"/>
    <n v="326"/>
    <n v="1"/>
  </r>
  <r>
    <x v="338"/>
    <s v="Paul Taylor"/>
    <x v="203"/>
    <x v="1"/>
    <s v="Healthcare, Innovation"/>
    <s v="GCO – Platform Solutions, GCO – Industry Cloud "/>
    <s v="Yes"/>
    <s v="Global"/>
    <n v="1016"/>
    <n v="1"/>
    <s v="-"/>
    <s v="-"/>
    <m/>
    <m/>
    <s v="-"/>
    <s v="-"/>
    <s v="-"/>
    <s v="-"/>
    <n v="1016"/>
    <n v="1"/>
  </r>
  <r>
    <x v="339"/>
    <s v="Paul Baur, Natalie Hauck, Alexander Januschke "/>
    <x v="204"/>
    <x v="1"/>
    <s v="Innovation, Sports"/>
    <s v="GCO – Platform Solutions"/>
    <s v="No"/>
    <s v="EMEA"/>
    <n v="1636"/>
    <n v="13"/>
    <s v="-"/>
    <s v="-"/>
    <m/>
    <m/>
    <n v="209"/>
    <n v="0"/>
    <n v="80955"/>
    <n v="2"/>
    <n v="1845"/>
    <n v="13"/>
  </r>
  <r>
    <x v="340"/>
    <s v="Megan Meany"/>
    <x v="205"/>
    <x v="0"/>
    <s v="Innovation"/>
    <s v="GCO – Industry Cloud "/>
    <s v="Yes"/>
    <s v="NA"/>
    <n v="41"/>
    <n v="0"/>
    <s v="-"/>
    <s v="-"/>
    <m/>
    <m/>
    <s v="-"/>
    <s v="-"/>
    <n v="81447"/>
    <n v="9"/>
    <n v="41"/>
    <n v="0"/>
  </r>
  <r>
    <x v="341"/>
    <s v="Jon Leiberman"/>
    <x v="206"/>
    <x v="0"/>
    <s v="Innovation"/>
    <s v="GCO – Industry Cloud "/>
    <s v="Yes"/>
    <s v="NA"/>
    <n v="36"/>
    <n v="0"/>
    <s v="-"/>
    <s v="-"/>
    <m/>
    <m/>
    <s v="-"/>
    <s v="-"/>
    <n v="14016"/>
    <n v="0"/>
    <n v="36"/>
    <n v="0"/>
  </r>
  <r>
    <x v="342"/>
    <s v="Robin Meyerhoff"/>
    <x v="207"/>
    <x v="3"/>
    <s v="Corporate"/>
    <s v="GCO – Regions, Human Resources (SAP HR and employee stories), Office of the CEO, GCO – Industry Cloud "/>
    <s v="No"/>
    <s v="APJ"/>
    <n v="3542"/>
    <n v="16"/>
    <s v="-"/>
    <s v="-"/>
    <m/>
    <m/>
    <n v="1684"/>
    <n v="0"/>
    <s v="-"/>
    <s v="-"/>
    <n v="5226"/>
    <n v="16"/>
  </r>
  <r>
    <x v="343"/>
    <s v="Renata Pompeu Pividal, Robin Meyerhoff"/>
    <x v="207"/>
    <x v="1"/>
    <s v="Innovation, Youth"/>
    <s v="Human Resources (SAP HR and employee stories), GCO – Platform Solutions, Office of the CEO, GCO – Regions"/>
    <s v="Yes"/>
    <s v="LATAM"/>
    <n v="1095"/>
    <n v="10"/>
    <n v="2424"/>
    <n v="0"/>
    <m/>
    <m/>
    <n v="529"/>
    <n v="0"/>
    <n v="81853"/>
    <n v="6"/>
    <n v="4048"/>
    <n v="10"/>
  </r>
  <r>
    <x v="344"/>
    <s v="Stephan Magura"/>
    <x v="208"/>
    <x v="1"/>
    <s v="Corporate"/>
    <s v="GCO – Industry Cloud , Services Delivery &amp; Support (go-lives and deployments) "/>
    <s v="No"/>
    <s v="Global"/>
    <n v="1629"/>
    <n v="4"/>
    <s v="-"/>
    <s v="-"/>
    <s v="TBC"/>
    <s v="TBC"/>
    <s v="-"/>
    <s v="-"/>
    <n v="84108"/>
    <n v="2"/>
    <n v="1629"/>
    <n v="4"/>
  </r>
  <r>
    <x v="345"/>
    <s v="Robin Meyerhoff"/>
    <x v="209"/>
    <x v="0"/>
    <s v="Corporate, Youth, Innovation"/>
    <s v="Human Resources (SAP HR and employee stories), GCO – Regions"/>
    <s v="No"/>
    <s v="EMEA"/>
    <n v="1532"/>
    <n v="7"/>
    <s v="-"/>
    <s v="-"/>
    <m/>
    <m/>
    <n v="556"/>
    <n v="0"/>
    <s v="-"/>
    <s v="-"/>
    <n v="2088"/>
    <n v="7"/>
  </r>
  <r>
    <x v="346"/>
    <s v="Andreas Schmitz"/>
    <x v="210"/>
    <x v="0"/>
    <s v="Innovation"/>
    <s v="GCO – Industry Cloud "/>
    <s v="Yes"/>
    <s v="Global"/>
    <s v="-"/>
    <s v="-"/>
    <s v="-"/>
    <s v="-"/>
    <s v="TBC"/>
    <s v="TBC"/>
    <s v="-"/>
    <s v="-"/>
    <n v="83197"/>
    <n v="3"/>
    <n v="0"/>
    <n v="0"/>
  </r>
  <r>
    <x v="347"/>
    <s v="Andreas Schmitz"/>
    <x v="211"/>
    <x v="0"/>
    <s v="Innovation, Corporate"/>
    <s v="GCO – Industry Cloud , GCO – Platform Solutions"/>
    <s v="Yes"/>
    <s v="EMEA"/>
    <s v="-"/>
    <s v="-"/>
    <s v="-"/>
    <s v="-"/>
    <s v="TBC"/>
    <s v="TBC"/>
    <s v="-"/>
    <s v="-"/>
    <n v="81655"/>
    <n v="11"/>
    <n v="0"/>
    <n v="0"/>
  </r>
  <r>
    <x v="348"/>
    <s v="Judith Magyar "/>
    <x v="212"/>
    <x v="1"/>
    <s v="Innovation"/>
    <s v="GCO – Services Sales"/>
    <s v="Yes"/>
    <s v="LATAM"/>
    <n v="1682"/>
    <n v="11"/>
    <s v="-"/>
    <s v="-"/>
    <m/>
    <m/>
    <s v="-"/>
    <s v="-"/>
    <s v="-"/>
    <s v="-"/>
    <n v="1682"/>
    <n v="11"/>
  </r>
  <r>
    <x v="349"/>
    <s v="Paul Baur"/>
    <x v="212"/>
    <x v="0"/>
    <s v="Corporate"/>
    <s v="Human Resources (SAP HR and employee stories)"/>
    <s v="No"/>
    <s v="APJ"/>
    <n v="1381"/>
    <n v="13"/>
    <s v="-"/>
    <s v="-"/>
    <m/>
    <m/>
    <s v="-"/>
    <s v="-"/>
    <s v="-"/>
    <s v="-"/>
    <n v="1381"/>
    <n v="13"/>
  </r>
  <r>
    <x v="0"/>
    <m/>
    <x v="0"/>
    <x v="0"/>
    <m/>
    <m/>
    <m/>
    <m/>
    <m/>
    <m/>
    <m/>
    <m/>
    <m/>
    <m/>
    <m/>
    <m/>
    <m/>
    <m/>
    <n v="0"/>
    <n v="0"/>
  </r>
  <r>
    <x v="0"/>
    <m/>
    <x v="0"/>
    <x v="0"/>
    <m/>
    <m/>
    <m/>
    <m/>
    <m/>
    <m/>
    <m/>
    <m/>
    <m/>
    <m/>
    <m/>
    <m/>
    <m/>
    <m/>
    <n v="0"/>
    <n v="0"/>
  </r>
  <r>
    <x v="0"/>
    <m/>
    <x v="0"/>
    <x v="0"/>
    <m/>
    <m/>
    <m/>
    <m/>
    <m/>
    <m/>
    <m/>
    <m/>
    <m/>
    <m/>
    <m/>
    <m/>
    <m/>
    <m/>
    <n v="0"/>
    <n v="0"/>
  </r>
  <r>
    <x v="0"/>
    <m/>
    <x v="0"/>
    <x v="0"/>
    <m/>
    <m/>
    <m/>
    <m/>
    <m/>
    <m/>
    <m/>
    <m/>
    <m/>
    <m/>
    <m/>
    <m/>
    <m/>
    <m/>
    <n v="0"/>
    <n v="0"/>
  </r>
  <r>
    <x v="0"/>
    <m/>
    <x v="0"/>
    <x v="0"/>
    <m/>
    <m/>
    <m/>
    <m/>
    <m/>
    <m/>
    <m/>
    <m/>
    <m/>
    <m/>
    <m/>
    <m/>
    <m/>
    <m/>
    <n v="0"/>
    <n v="0"/>
  </r>
  <r>
    <x v="0"/>
    <m/>
    <x v="0"/>
    <x v="0"/>
    <m/>
    <m/>
    <m/>
    <m/>
    <m/>
    <m/>
    <m/>
    <m/>
    <m/>
    <m/>
    <m/>
    <m/>
    <m/>
    <m/>
    <n v="0"/>
    <n v="0"/>
  </r>
  <r>
    <x v="0"/>
    <m/>
    <x v="0"/>
    <x v="0"/>
    <m/>
    <m/>
    <m/>
    <m/>
    <m/>
    <m/>
    <m/>
    <m/>
    <m/>
    <m/>
    <m/>
    <m/>
    <m/>
    <m/>
    <n v="0"/>
    <n v="0"/>
  </r>
  <r>
    <x v="0"/>
    <m/>
    <x v="0"/>
    <x v="0"/>
    <m/>
    <m/>
    <m/>
    <m/>
    <m/>
    <m/>
    <m/>
    <m/>
    <m/>
    <m/>
    <m/>
    <m/>
    <m/>
    <m/>
    <n v="0"/>
    <n v="0"/>
  </r>
  <r>
    <x v="0"/>
    <m/>
    <x v="0"/>
    <x v="0"/>
    <m/>
    <m/>
    <m/>
    <m/>
    <m/>
    <m/>
    <m/>
    <m/>
    <m/>
    <m/>
    <m/>
    <m/>
    <m/>
    <m/>
    <n v="0"/>
    <n v="0"/>
  </r>
  <r>
    <x v="0"/>
    <m/>
    <x v="0"/>
    <x v="0"/>
    <m/>
    <m/>
    <m/>
    <m/>
    <m/>
    <m/>
    <m/>
    <m/>
    <m/>
    <m/>
    <m/>
    <m/>
    <m/>
    <m/>
    <n v="0"/>
    <n v="0"/>
  </r>
  <r>
    <x v="0"/>
    <m/>
    <x v="0"/>
    <x v="0"/>
    <m/>
    <m/>
    <m/>
    <m/>
    <m/>
    <m/>
    <m/>
    <m/>
    <m/>
    <m/>
    <m/>
    <m/>
    <m/>
    <m/>
    <n v="0"/>
    <n v="0"/>
  </r>
  <r>
    <x v="0"/>
    <m/>
    <x v="0"/>
    <x v="0"/>
    <m/>
    <m/>
    <m/>
    <m/>
    <m/>
    <m/>
    <m/>
    <m/>
    <m/>
    <m/>
    <m/>
    <m/>
    <m/>
    <m/>
    <n v="0"/>
    <n v="0"/>
  </r>
  <r>
    <x v="0"/>
    <m/>
    <x v="0"/>
    <x v="0"/>
    <m/>
    <m/>
    <m/>
    <m/>
    <m/>
    <m/>
    <m/>
    <m/>
    <m/>
    <m/>
    <m/>
    <m/>
    <m/>
    <m/>
    <n v="0"/>
    <n v="0"/>
  </r>
  <r>
    <x v="0"/>
    <m/>
    <x v="0"/>
    <x v="0"/>
    <m/>
    <m/>
    <m/>
    <m/>
    <m/>
    <m/>
    <m/>
    <m/>
    <m/>
    <m/>
    <m/>
    <m/>
    <m/>
    <m/>
    <n v="0"/>
    <n v="0"/>
  </r>
  <r>
    <x v="0"/>
    <m/>
    <x v="0"/>
    <x v="0"/>
    <m/>
    <m/>
    <m/>
    <m/>
    <m/>
    <m/>
    <m/>
    <m/>
    <m/>
    <m/>
    <m/>
    <m/>
    <m/>
    <m/>
    <n v="0"/>
    <n v="0"/>
  </r>
  <r>
    <x v="0"/>
    <m/>
    <x v="0"/>
    <x v="0"/>
    <m/>
    <m/>
    <m/>
    <m/>
    <m/>
    <m/>
    <m/>
    <m/>
    <m/>
    <m/>
    <m/>
    <m/>
    <m/>
    <m/>
    <n v="0"/>
    <n v="0"/>
  </r>
  <r>
    <x v="0"/>
    <m/>
    <x v="0"/>
    <x v="0"/>
    <m/>
    <m/>
    <m/>
    <m/>
    <m/>
    <m/>
    <m/>
    <m/>
    <m/>
    <m/>
    <m/>
    <m/>
    <m/>
    <m/>
    <n v="0"/>
    <n v="0"/>
  </r>
  <r>
    <x v="0"/>
    <m/>
    <x v="0"/>
    <x v="0"/>
    <m/>
    <m/>
    <m/>
    <m/>
    <m/>
    <m/>
    <m/>
    <m/>
    <m/>
    <m/>
    <m/>
    <m/>
    <m/>
    <m/>
    <n v="0"/>
    <n v="0"/>
  </r>
  <r>
    <x v="0"/>
    <m/>
    <x v="0"/>
    <x v="0"/>
    <m/>
    <m/>
    <m/>
    <m/>
    <m/>
    <m/>
    <m/>
    <m/>
    <m/>
    <m/>
    <m/>
    <m/>
    <m/>
    <m/>
    <n v="0"/>
    <n v="0"/>
  </r>
  <r>
    <x v="0"/>
    <m/>
    <x v="0"/>
    <x v="0"/>
    <m/>
    <m/>
    <m/>
    <m/>
    <m/>
    <m/>
    <m/>
    <m/>
    <m/>
    <m/>
    <m/>
    <m/>
    <m/>
    <m/>
    <n v="0"/>
    <n v="0"/>
  </r>
  <r>
    <x v="0"/>
    <m/>
    <x v="0"/>
    <x v="0"/>
    <m/>
    <m/>
    <m/>
    <m/>
    <m/>
    <m/>
    <m/>
    <m/>
    <m/>
    <m/>
    <m/>
    <m/>
    <m/>
    <m/>
    <n v="0"/>
    <n v="0"/>
  </r>
  <r>
    <x v="0"/>
    <m/>
    <x v="0"/>
    <x v="0"/>
    <m/>
    <m/>
    <m/>
    <m/>
    <m/>
    <m/>
    <m/>
    <m/>
    <m/>
    <m/>
    <m/>
    <m/>
    <m/>
    <m/>
    <n v="0"/>
    <n v="0"/>
  </r>
  <r>
    <x v="0"/>
    <m/>
    <x v="0"/>
    <x v="0"/>
    <m/>
    <m/>
    <m/>
    <m/>
    <m/>
    <m/>
    <m/>
    <m/>
    <m/>
    <m/>
    <m/>
    <m/>
    <m/>
    <m/>
    <n v="0"/>
    <n v="0"/>
  </r>
  <r>
    <x v="0"/>
    <m/>
    <x v="0"/>
    <x v="0"/>
    <m/>
    <m/>
    <m/>
    <m/>
    <m/>
    <m/>
    <m/>
    <m/>
    <m/>
    <m/>
    <m/>
    <m/>
    <m/>
    <m/>
    <n v="0"/>
    <n v="0"/>
  </r>
  <r>
    <x v="0"/>
    <m/>
    <x v="0"/>
    <x v="0"/>
    <m/>
    <m/>
    <m/>
    <m/>
    <m/>
    <m/>
    <m/>
    <m/>
    <m/>
    <m/>
    <m/>
    <m/>
    <m/>
    <m/>
    <n v="0"/>
    <n v="0"/>
  </r>
  <r>
    <x v="0"/>
    <m/>
    <x v="0"/>
    <x v="0"/>
    <m/>
    <m/>
    <m/>
    <m/>
    <m/>
    <m/>
    <m/>
    <m/>
    <m/>
    <m/>
    <m/>
    <m/>
    <m/>
    <m/>
    <n v="0"/>
    <n v="0"/>
  </r>
  <r>
    <x v="0"/>
    <m/>
    <x v="0"/>
    <x v="0"/>
    <m/>
    <m/>
    <m/>
    <m/>
    <m/>
    <m/>
    <m/>
    <m/>
    <m/>
    <m/>
    <m/>
    <m/>
    <m/>
    <m/>
    <n v="0"/>
    <n v="0"/>
  </r>
  <r>
    <x v="0"/>
    <m/>
    <x v="0"/>
    <x v="0"/>
    <m/>
    <m/>
    <m/>
    <m/>
    <m/>
    <m/>
    <m/>
    <m/>
    <m/>
    <m/>
    <m/>
    <m/>
    <m/>
    <m/>
    <n v="0"/>
    <n v="0"/>
  </r>
  <r>
    <x v="0"/>
    <m/>
    <x v="0"/>
    <x v="0"/>
    <m/>
    <m/>
    <m/>
    <m/>
    <m/>
    <m/>
    <m/>
    <m/>
    <m/>
    <m/>
    <m/>
    <m/>
    <m/>
    <m/>
    <n v="0"/>
    <n v="0"/>
  </r>
  <r>
    <x v="0"/>
    <m/>
    <x v="0"/>
    <x v="0"/>
    <m/>
    <m/>
    <m/>
    <m/>
    <m/>
    <m/>
    <m/>
    <m/>
    <m/>
    <m/>
    <m/>
    <m/>
    <m/>
    <m/>
    <n v="0"/>
    <n v="0"/>
  </r>
  <r>
    <x v="0"/>
    <m/>
    <x v="0"/>
    <x v="0"/>
    <m/>
    <m/>
    <m/>
    <m/>
    <m/>
    <m/>
    <m/>
    <m/>
    <m/>
    <m/>
    <m/>
    <m/>
    <m/>
    <m/>
    <n v="0"/>
    <n v="0"/>
  </r>
  <r>
    <x v="0"/>
    <m/>
    <x v="0"/>
    <x v="0"/>
    <m/>
    <m/>
    <m/>
    <m/>
    <m/>
    <m/>
    <m/>
    <m/>
    <m/>
    <m/>
    <m/>
    <m/>
    <m/>
    <m/>
    <n v="0"/>
    <n v="0"/>
  </r>
  <r>
    <x v="0"/>
    <m/>
    <x v="0"/>
    <x v="0"/>
    <m/>
    <m/>
    <m/>
    <m/>
    <m/>
    <m/>
    <m/>
    <m/>
    <m/>
    <m/>
    <m/>
    <m/>
    <m/>
    <m/>
    <n v="0"/>
    <n v="0"/>
  </r>
  <r>
    <x v="0"/>
    <m/>
    <x v="0"/>
    <x v="0"/>
    <m/>
    <m/>
    <m/>
    <m/>
    <m/>
    <m/>
    <m/>
    <m/>
    <m/>
    <m/>
    <m/>
    <m/>
    <m/>
    <m/>
    <n v="0"/>
    <n v="0"/>
  </r>
  <r>
    <x v="0"/>
    <m/>
    <x v="0"/>
    <x v="0"/>
    <m/>
    <m/>
    <m/>
    <m/>
    <m/>
    <m/>
    <m/>
    <m/>
    <m/>
    <m/>
    <m/>
    <m/>
    <m/>
    <m/>
    <n v="0"/>
    <n v="0"/>
  </r>
  <r>
    <x v="0"/>
    <m/>
    <x v="0"/>
    <x v="0"/>
    <m/>
    <m/>
    <m/>
    <m/>
    <m/>
    <m/>
    <m/>
    <m/>
    <m/>
    <m/>
    <m/>
    <m/>
    <m/>
    <m/>
    <n v="0"/>
    <n v="0"/>
  </r>
  <r>
    <x v="0"/>
    <m/>
    <x v="0"/>
    <x v="0"/>
    <m/>
    <m/>
    <m/>
    <m/>
    <m/>
    <m/>
    <m/>
    <m/>
    <m/>
    <m/>
    <m/>
    <m/>
    <m/>
    <m/>
    <n v="0"/>
    <n v="0"/>
  </r>
  <r>
    <x v="0"/>
    <m/>
    <x v="0"/>
    <x v="0"/>
    <m/>
    <m/>
    <m/>
    <m/>
    <m/>
    <m/>
    <m/>
    <m/>
    <m/>
    <m/>
    <m/>
    <m/>
    <m/>
    <m/>
    <n v="0"/>
    <n v="0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count="479">
  <r>
    <x v="0"/>
    <m/>
    <x v="0"/>
    <m/>
    <m/>
    <m/>
    <m/>
    <m/>
    <m/>
    <m/>
    <m/>
    <m/>
    <m/>
    <m/>
    <m/>
    <m/>
    <m/>
    <m/>
    <m/>
    <m/>
  </r>
  <r>
    <x v="1"/>
    <s v="Michael Zipf"/>
    <x v="1"/>
    <m/>
    <s v="Corporate"/>
    <s v="Corporate"/>
    <s v="No"/>
    <s v="Global"/>
    <n v="1967"/>
    <n v="14"/>
    <m/>
    <m/>
    <m/>
    <m/>
    <m/>
    <m/>
    <m/>
    <m/>
    <n v="1967"/>
    <n v="14"/>
  </r>
  <r>
    <x v="2"/>
    <s v="Paul Baur"/>
    <x v="1"/>
    <s v="Video"/>
    <s v="Sports"/>
    <s v="P&amp;I (Research &amp; Development)"/>
    <s v="Yes"/>
    <s v="Global"/>
    <n v="2170"/>
    <n v="0"/>
    <m/>
    <m/>
    <m/>
    <m/>
    <m/>
    <m/>
    <m/>
    <m/>
    <n v="2170"/>
    <n v="0"/>
  </r>
  <r>
    <x v="3"/>
    <s v="Judith Magyar"/>
    <x v="1"/>
    <s v="Video"/>
    <s v="Innovation"/>
    <s v="GCO – Platform Solutions"/>
    <s v="Yes"/>
    <s v="Global"/>
    <n v="1799"/>
    <n v="0"/>
    <m/>
    <m/>
    <n v="144"/>
    <n v="0"/>
    <m/>
    <m/>
    <m/>
    <m/>
    <n v="1943"/>
    <n v="0"/>
  </r>
  <r>
    <x v="4"/>
    <s v="Sarah Kellman"/>
    <x v="2"/>
    <m/>
    <s v="Innovation"/>
    <s v="GPO (Partner, Ecosystem, Channels)"/>
    <s v="No"/>
    <s v="Global"/>
    <n v="3075"/>
    <n v="15"/>
    <m/>
    <m/>
    <m/>
    <m/>
    <m/>
    <m/>
    <m/>
    <m/>
    <n v="3075"/>
    <n v="15"/>
  </r>
  <r>
    <x v="5"/>
    <s v="Phillip Klewitz"/>
    <x v="3"/>
    <m/>
    <s v="Innovation"/>
    <s v="GCO – Platform Solutions"/>
    <s v="No"/>
    <s v="Global"/>
    <n v="2753"/>
    <n v="3"/>
    <m/>
    <m/>
    <m/>
    <m/>
    <m/>
    <m/>
    <m/>
    <m/>
    <n v="2753"/>
    <n v="3"/>
  </r>
  <r>
    <x v="6"/>
    <s v="Paul Taylor"/>
    <x v="4"/>
    <m/>
    <s v="Innovation"/>
    <s v="Corporate"/>
    <s v="No"/>
    <s v="Global"/>
    <n v="1287"/>
    <n v="8"/>
    <n v="569"/>
    <n v="0"/>
    <n v="125"/>
    <n v="0"/>
    <m/>
    <m/>
    <m/>
    <m/>
    <n v="1981"/>
    <n v="8"/>
  </r>
  <r>
    <x v="7"/>
    <s v="SAP News"/>
    <x v="5"/>
    <m/>
    <s v="Corporate"/>
    <s v="Corporate"/>
    <s v="No"/>
    <s v="Global"/>
    <n v="3163"/>
    <n v="6"/>
    <m/>
    <m/>
    <m/>
    <m/>
    <m/>
    <m/>
    <m/>
    <m/>
    <n v="3163"/>
    <n v="6"/>
  </r>
  <r>
    <x v="8"/>
    <s v="Miriam Siebeking"/>
    <x v="5"/>
    <m/>
    <s v="Corporate"/>
    <s v="Corporate"/>
    <s v="No"/>
    <s v="Global"/>
    <n v="1482"/>
    <n v="1"/>
    <m/>
    <m/>
    <m/>
    <m/>
    <m/>
    <m/>
    <m/>
    <m/>
    <n v="1482"/>
    <n v="1"/>
  </r>
  <r>
    <x v="9"/>
    <s v="Torsten Falk"/>
    <x v="6"/>
    <s v="Video, Infographic"/>
    <s v="Corporate"/>
    <s v="Human Resources (SAP HR and employee stories)"/>
    <s v="No"/>
    <s v="Global"/>
    <n v="8394"/>
    <n v="20"/>
    <m/>
    <m/>
    <m/>
    <m/>
    <m/>
    <m/>
    <m/>
    <m/>
    <n v="8394"/>
    <n v="20"/>
  </r>
  <r>
    <x v="10"/>
    <s v="Paul Baur"/>
    <x v="6"/>
    <m/>
    <s v="Innovation"/>
    <s v="Office of the CEO"/>
    <s v="No"/>
    <s v="Global"/>
    <n v="5792"/>
    <n v="4"/>
    <m/>
    <m/>
    <m/>
    <m/>
    <m/>
    <m/>
    <m/>
    <m/>
    <n v="5792"/>
    <n v="4"/>
  </r>
  <r>
    <x v="11"/>
    <s v="Sarah Harvey"/>
    <x v="7"/>
    <m/>
    <s v="Corporate"/>
    <s v="Human Resources (SAP HR and employee stories)"/>
    <s v="No"/>
    <s v="Global"/>
    <n v="2194"/>
    <n v="11"/>
    <m/>
    <m/>
    <m/>
    <m/>
    <m/>
    <m/>
    <m/>
    <m/>
    <n v="2194"/>
    <n v="11"/>
  </r>
  <r>
    <x v="12"/>
    <s v="Cueneyt Cam"/>
    <x v="7"/>
    <m/>
    <s v="Corporate"/>
    <s v="Corporate"/>
    <s v="No"/>
    <s v="Global"/>
    <n v="1049"/>
    <n v="2"/>
    <m/>
    <m/>
    <m/>
    <m/>
    <m/>
    <m/>
    <m/>
    <m/>
    <n v="1049"/>
    <n v="2"/>
  </r>
  <r>
    <x v="13"/>
    <s v="Agnes Biesiekierska"/>
    <x v="8"/>
    <m/>
    <s v="Corporate"/>
    <s v="Corporate"/>
    <s v="No"/>
    <s v="Global"/>
    <n v="2838"/>
    <n v="8"/>
    <m/>
    <m/>
    <m/>
    <m/>
    <m/>
    <m/>
    <m/>
    <m/>
    <n v="2838"/>
    <n v="8"/>
  </r>
  <r>
    <x v="14"/>
    <s v="Richard Nikolic"/>
    <x v="9"/>
    <m/>
    <s v="Corporate"/>
    <s v="Corporate"/>
    <s v="No"/>
    <s v="Global"/>
    <n v="3779"/>
    <n v="44"/>
    <m/>
    <m/>
    <m/>
    <m/>
    <m/>
    <m/>
    <m/>
    <m/>
    <n v="3779"/>
    <n v="44"/>
  </r>
  <r>
    <x v="15"/>
    <s v="Paul Baur"/>
    <x v="9"/>
    <m/>
    <s v="Corporate"/>
    <s v="Corporate"/>
    <s v="No"/>
    <s v="EMEA"/>
    <n v="3042"/>
    <n v="0"/>
    <m/>
    <m/>
    <m/>
    <m/>
    <m/>
    <m/>
    <m/>
    <m/>
    <n v="3042"/>
    <n v="0"/>
  </r>
  <r>
    <x v="16"/>
    <s v="Paul Taylor"/>
    <x v="10"/>
    <s v="Infographic"/>
    <s v="Innovation"/>
    <s v="Business Network (Concur, Ariba, Fieldglass)"/>
    <s v="No"/>
    <s v="Global"/>
    <n v="1461"/>
    <n v="2"/>
    <m/>
    <m/>
    <n v="76"/>
    <n v="0"/>
    <n v="1145"/>
    <n v="0"/>
    <m/>
    <m/>
    <n v="2682"/>
    <n v="2"/>
  </r>
  <r>
    <x v="17"/>
    <s v="Stephan Magura"/>
    <x v="10"/>
    <m/>
    <s v="Innovation"/>
    <s v="Office of the CEO"/>
    <s v="No"/>
    <s v="Global"/>
    <n v="3493"/>
    <n v="0"/>
    <m/>
    <m/>
    <m/>
    <m/>
    <m/>
    <m/>
    <m/>
    <m/>
    <n v="3493"/>
    <n v="0"/>
  </r>
  <r>
    <x v="18"/>
    <s v="Paul Baur"/>
    <x v="11"/>
    <s v="Video"/>
    <s v="Innovation"/>
    <s v="Office of the CEO"/>
    <s v="No"/>
    <s v="Global"/>
    <n v="6504"/>
    <n v="10"/>
    <m/>
    <m/>
    <m/>
    <m/>
    <m/>
    <m/>
    <m/>
    <m/>
    <n v="6504"/>
    <n v="10"/>
  </r>
  <r>
    <x v="19"/>
    <s v="Torsten Falk"/>
    <x v="11"/>
    <s v="Video"/>
    <s v="Corporate"/>
    <s v="Office of the CEO"/>
    <s v="No"/>
    <s v="Global"/>
    <n v="2759"/>
    <n v="0"/>
    <m/>
    <m/>
    <m/>
    <m/>
    <m/>
    <m/>
    <m/>
    <m/>
    <n v="2759"/>
    <n v="0"/>
  </r>
  <r>
    <x v="20"/>
    <s v="Judith Magyar"/>
    <x v="12"/>
    <s v="Video"/>
    <s v="Innovation"/>
    <s v="GCO – Platform Solutions"/>
    <s v="Yes"/>
    <s v="Global"/>
    <n v="2160"/>
    <n v="8"/>
    <m/>
    <m/>
    <n v="139"/>
    <n v="0"/>
    <m/>
    <m/>
    <m/>
    <m/>
    <n v="2299"/>
    <n v="8"/>
  </r>
  <r>
    <x v="21"/>
    <s v="Torsten Falk"/>
    <x v="13"/>
    <m/>
    <s v="Corporate"/>
    <s v="Human Resources (SAP HR and employee stories)"/>
    <s v="No"/>
    <s v="Global"/>
    <n v="5938"/>
    <n v="37"/>
    <m/>
    <m/>
    <m/>
    <m/>
    <m/>
    <m/>
    <m/>
    <m/>
    <n v="5938"/>
    <n v="37"/>
  </r>
  <r>
    <x v="22"/>
    <s v="Paul Baur"/>
    <x v="13"/>
    <s v="Video"/>
    <s v="Sports"/>
    <s v="Corporate"/>
    <s v="No"/>
    <s v="Global"/>
    <n v="1661"/>
    <n v="11"/>
    <m/>
    <m/>
    <m/>
    <m/>
    <m/>
    <m/>
    <m/>
    <m/>
    <n v="1661"/>
    <n v="11"/>
  </r>
  <r>
    <x v="23"/>
    <s v="Jennifer Alejandro"/>
    <x v="13"/>
    <s v="Video"/>
    <s v="Innovation"/>
    <s v="Office of the CEO"/>
    <s v="No"/>
    <s v="Global"/>
    <n v="1515"/>
    <n v="4"/>
    <m/>
    <m/>
    <m/>
    <m/>
    <m/>
    <m/>
    <m/>
    <m/>
    <n v="1515"/>
    <n v="4"/>
  </r>
  <r>
    <x v="24"/>
    <s v="Susan Galer"/>
    <x v="14"/>
    <m/>
    <s v="Innovation"/>
    <s v="P&amp;I (Research &amp; Development)"/>
    <s v="Yes"/>
    <s v="EMEA"/>
    <n v="2578"/>
    <n v="7"/>
    <n v="3475"/>
    <n v="0"/>
    <m/>
    <m/>
    <m/>
    <m/>
    <m/>
    <m/>
    <n v="6053"/>
    <n v="7"/>
  </r>
  <r>
    <x v="25"/>
    <s v="Stephan Magura"/>
    <x v="15"/>
    <m/>
    <s v="Corporate"/>
    <s v="Human Resources (SAP HR and employee stories)"/>
    <s v="No"/>
    <s v="Global"/>
    <n v="2346"/>
    <n v="9"/>
    <m/>
    <m/>
    <m/>
    <m/>
    <m/>
    <m/>
    <m/>
    <m/>
    <n v="2346"/>
    <n v="9"/>
  </r>
  <r>
    <x v="26"/>
    <s v="Michael Zipf"/>
    <x v="15"/>
    <m/>
    <s v="Innovation"/>
    <s v="GCO – Platform Solutions"/>
    <s v="No"/>
    <s v="Global"/>
    <n v="2176"/>
    <n v="6"/>
    <m/>
    <m/>
    <m/>
    <m/>
    <m/>
    <m/>
    <m/>
    <m/>
    <n v="2176"/>
    <n v="6"/>
  </r>
  <r>
    <x v="27"/>
    <s v="John Pelle"/>
    <x v="16"/>
    <s v="Video"/>
    <s v="Innovation"/>
    <s v="Office of the CEO"/>
    <s v="No"/>
    <s v="Global"/>
    <n v="2810"/>
    <n v="17"/>
    <m/>
    <m/>
    <m/>
    <m/>
    <m/>
    <m/>
    <m/>
    <m/>
    <n v="2810"/>
    <n v="17"/>
  </r>
  <r>
    <x v="28"/>
    <s v="Robin Meyerhoff"/>
    <x v="16"/>
    <m/>
    <s v="Corporate"/>
    <s v="GCO – Regions"/>
    <s v="No"/>
    <s v="LATAM"/>
    <n v="1618"/>
    <n v="13"/>
    <m/>
    <m/>
    <m/>
    <m/>
    <m/>
    <m/>
    <m/>
    <m/>
    <n v="1618"/>
    <n v="13"/>
  </r>
  <r>
    <x v="29"/>
    <s v="Michael Zipf"/>
    <x v="17"/>
    <s v="Video"/>
    <s v="Healthcare"/>
    <s v="GCO – Platform Solutions"/>
    <s v="No"/>
    <s v="Global"/>
    <n v="1791"/>
    <n v="7"/>
    <m/>
    <m/>
    <n v="171"/>
    <n v="0"/>
    <m/>
    <m/>
    <m/>
    <m/>
    <n v="1962"/>
    <n v="7"/>
  </r>
  <r>
    <x v="30"/>
    <s v="Paul Baur"/>
    <x v="17"/>
    <m/>
    <s v="Innovation"/>
    <s v="Corporate"/>
    <s v="Yes"/>
    <s v="Global"/>
    <n v="2524"/>
    <n v="0"/>
    <m/>
    <m/>
    <m/>
    <m/>
    <m/>
    <m/>
    <m/>
    <m/>
    <n v="2524"/>
    <n v="0"/>
  </r>
  <r>
    <x v="31"/>
    <s v="Courtney Robinson"/>
    <x v="18"/>
    <s v="Video"/>
    <s v="Youth"/>
    <s v="Office of the CEO"/>
    <s v="Yes"/>
    <s v="EMEA"/>
    <n v="4077"/>
    <n v="7"/>
    <m/>
    <m/>
    <m/>
    <m/>
    <m/>
    <m/>
    <m/>
    <m/>
    <n v="4077"/>
    <n v="7"/>
  </r>
  <r>
    <x v="32"/>
    <s v="Robin Meyerhoff"/>
    <x v="19"/>
    <m/>
    <s v="Innovation"/>
    <s v="GCO – Industry Cloud "/>
    <s v="No"/>
    <s v="Global"/>
    <n v="1613"/>
    <n v="2"/>
    <m/>
    <m/>
    <m/>
    <m/>
    <m/>
    <m/>
    <m/>
    <m/>
    <n v="1613"/>
    <n v="2"/>
  </r>
  <r>
    <x v="33"/>
    <s v="Suan Jee Janice Ng"/>
    <x v="20"/>
    <m/>
    <s v="Corporate"/>
    <s v="GCO – HR (SuccessFactors)"/>
    <s v="No"/>
    <s v="Global"/>
    <n v="729"/>
    <n v="0"/>
    <m/>
    <m/>
    <m/>
    <m/>
    <m/>
    <m/>
    <m/>
    <m/>
    <n v="729"/>
    <n v="0"/>
  </r>
  <r>
    <x v="34"/>
    <s v="Paul Taylor"/>
    <x v="21"/>
    <m/>
    <s v="Innovation"/>
    <s v="GCO – Industry Cloud "/>
    <s v="No"/>
    <s v="Global"/>
    <n v="7120"/>
    <n v="13"/>
    <m/>
    <m/>
    <n v="1507"/>
    <n v="0"/>
    <n v="613"/>
    <n v="0"/>
    <m/>
    <m/>
    <n v="9240"/>
    <n v="13"/>
  </r>
  <r>
    <x v="35"/>
    <s v="Paul Taylor"/>
    <x v="21"/>
    <m/>
    <s v="Innovation"/>
    <s v="GCO – HR (SuccessFactors)"/>
    <s v="Yes"/>
    <s v="Global"/>
    <n v="1850"/>
    <n v="8"/>
    <m/>
    <m/>
    <n v="600"/>
    <n v="0"/>
    <n v="862"/>
    <n v="0"/>
    <m/>
    <m/>
    <n v="3312"/>
    <n v="8"/>
  </r>
  <r>
    <x v="36"/>
    <s v="Judith Magyar"/>
    <x v="21"/>
    <m/>
    <s v="Innovation"/>
    <s v="GCO – Platform Solutions"/>
    <s v="Yes"/>
    <s v="Global"/>
    <n v="1516"/>
    <n v="4"/>
    <m/>
    <m/>
    <m/>
    <m/>
    <m/>
    <m/>
    <m/>
    <m/>
    <n v="1516"/>
    <n v="4"/>
  </r>
  <r>
    <x v="37"/>
    <s v="Robin Meyerhoff"/>
    <x v="21"/>
    <m/>
    <s v="Healthcare"/>
    <s v="GCO – Platform Solutions"/>
    <s v="No"/>
    <s v="Global"/>
    <n v="906"/>
    <n v="0"/>
    <m/>
    <m/>
    <n v="178"/>
    <n v="0"/>
    <n v="2276"/>
    <n v="0"/>
    <m/>
    <m/>
    <n v="3360"/>
    <n v="0"/>
  </r>
  <r>
    <x v="38"/>
    <s v="Christine Susanne Mueller"/>
    <x v="22"/>
    <m/>
    <s v="Innovation"/>
    <s v="Human Resources (SAP HR and employee stories)"/>
    <s v="No"/>
    <s v="Global"/>
    <n v="2094"/>
    <n v="23"/>
    <m/>
    <m/>
    <m/>
    <m/>
    <m/>
    <m/>
    <m/>
    <m/>
    <n v="2094"/>
    <n v="23"/>
  </r>
  <r>
    <x v="39"/>
    <s v="Susan Galer"/>
    <x v="22"/>
    <m/>
    <s v="Youth"/>
    <s v="GCO – Other"/>
    <s v="No"/>
    <s v="Global"/>
    <n v="1946"/>
    <n v="3"/>
    <m/>
    <m/>
    <m/>
    <m/>
    <m/>
    <m/>
    <m/>
    <m/>
    <n v="1946"/>
    <n v="3"/>
  </r>
  <r>
    <x v="8"/>
    <s v="Miriam Siebeking"/>
    <x v="23"/>
    <m/>
    <s v="Corporate"/>
    <s v="Corporate"/>
    <s v="No"/>
    <s v="Global"/>
    <n v="2104"/>
    <n v="0"/>
    <m/>
    <m/>
    <m/>
    <m/>
    <m/>
    <m/>
    <m/>
    <m/>
    <n v="2104"/>
    <n v="0"/>
  </r>
  <r>
    <x v="40"/>
    <s v="Judith Magyar"/>
    <x v="24"/>
    <m/>
    <s v="Innovation"/>
    <s v="GCO – Platform Solutions"/>
    <s v="Yes"/>
    <s v="Global"/>
    <n v="2485"/>
    <n v="5"/>
    <m/>
    <m/>
    <n v="249"/>
    <n v="0"/>
    <n v="850"/>
    <n v="0"/>
    <m/>
    <m/>
    <n v="3584"/>
    <n v="5"/>
  </r>
  <r>
    <x v="41"/>
    <s v="Building Bridges"/>
    <x v="25"/>
    <m/>
    <s v="Corporate"/>
    <s v="Corporate"/>
    <s v="No"/>
    <s v="Global"/>
    <n v="1567"/>
    <n v="12"/>
    <m/>
    <m/>
    <m/>
    <m/>
    <m/>
    <m/>
    <m/>
    <m/>
    <n v="1567"/>
    <n v="12"/>
  </r>
  <r>
    <x v="42"/>
    <s v="Corinna Machmeier"/>
    <x v="25"/>
    <m/>
    <s v="Youth"/>
    <s v="Human Resources (SAP HR and employee stories)"/>
    <s v="No"/>
    <s v="Global"/>
    <n v="858"/>
    <n v="1"/>
    <m/>
    <m/>
    <m/>
    <m/>
    <m/>
    <m/>
    <m/>
    <m/>
    <n v="858"/>
    <n v="1"/>
  </r>
  <r>
    <x v="43"/>
    <s v="Miriam Siebeking"/>
    <x v="26"/>
    <m/>
    <s v="Corporate"/>
    <s v="Corporate"/>
    <s v="No"/>
    <s v="Global"/>
    <n v="1726"/>
    <n v="5"/>
    <m/>
    <m/>
    <m/>
    <m/>
    <m/>
    <m/>
    <m/>
    <m/>
    <n v="1726"/>
    <n v="5"/>
  </r>
  <r>
    <x v="44"/>
    <s v="Miriam Siebeking"/>
    <x v="26"/>
    <m/>
    <s v="Corporate"/>
    <s v="Human Resources (SAP HR and employee stories)"/>
    <s v="No"/>
    <s v="Global"/>
    <n v="958"/>
    <n v="0"/>
    <m/>
    <m/>
    <m/>
    <m/>
    <m/>
    <m/>
    <m/>
    <m/>
    <n v="958"/>
    <n v="0"/>
  </r>
  <r>
    <x v="45"/>
    <s v="Michael Zipf"/>
    <x v="27"/>
    <m/>
    <s v="Sports"/>
    <s v="GCO – Platform Solutions"/>
    <s v="Yes"/>
    <s v="Global"/>
    <n v="2021"/>
    <n v="16"/>
    <m/>
    <m/>
    <m/>
    <m/>
    <m/>
    <m/>
    <m/>
    <m/>
    <n v="2021"/>
    <n v="16"/>
  </r>
  <r>
    <x v="46"/>
    <s v="Susan Galer"/>
    <x v="27"/>
    <m/>
    <s v="Healthcare"/>
    <s v="GCO – Industry Cloud "/>
    <s v="No"/>
    <s v="Global"/>
    <n v="619"/>
    <n v="4"/>
    <n v="1014"/>
    <n v="0"/>
    <m/>
    <m/>
    <m/>
    <m/>
    <m/>
    <m/>
    <n v="1633"/>
    <n v="4"/>
  </r>
  <r>
    <x v="47"/>
    <s v="Tibor Hornyak"/>
    <x v="27"/>
    <m/>
    <s v="Innovation"/>
    <s v="Office of the CEO"/>
    <s v="No"/>
    <s v="Global"/>
    <n v="1720"/>
    <n v="3"/>
    <m/>
    <m/>
    <m/>
    <m/>
    <m/>
    <m/>
    <m/>
    <m/>
    <n v="1720"/>
    <n v="3"/>
  </r>
  <r>
    <x v="48"/>
    <s v="Judith Magyar"/>
    <x v="28"/>
    <m/>
    <s v="Innovation"/>
    <s v="GCO – Platform Solutions"/>
    <s v="Yes"/>
    <s v="Global"/>
    <n v="1503"/>
    <n v="6"/>
    <m/>
    <m/>
    <n v="776"/>
    <n v="0"/>
    <m/>
    <m/>
    <m/>
    <m/>
    <n v="2279"/>
    <n v="6"/>
  </r>
  <r>
    <x v="49"/>
    <s v="Jerry Janda"/>
    <x v="28"/>
    <s v="Infographic"/>
    <s v="Innovation"/>
    <s v="GCO – Industry Cloud "/>
    <s v="No"/>
    <s v="Global"/>
    <n v="1037"/>
    <n v="2"/>
    <m/>
    <m/>
    <m/>
    <m/>
    <m/>
    <m/>
    <m/>
    <m/>
    <n v="1037"/>
    <n v="2"/>
  </r>
  <r>
    <x v="50"/>
    <s v="Nicola Leske"/>
    <x v="29"/>
    <m/>
    <s v="Innovation"/>
    <s v="GCO – Industry Cloud "/>
    <s v="Yes"/>
    <s v="LATAM"/>
    <n v="2269"/>
    <n v="14"/>
    <m/>
    <m/>
    <m/>
    <m/>
    <m/>
    <m/>
    <m/>
    <m/>
    <n v="2269"/>
    <n v="14"/>
  </r>
  <r>
    <x v="51"/>
    <s v="Bettina Wunderle"/>
    <x v="29"/>
    <m/>
    <s v="Innovation"/>
    <s v="Office of the CEO"/>
    <s v="No"/>
    <s v="Global"/>
    <n v="975"/>
    <n v="9"/>
    <m/>
    <m/>
    <m/>
    <m/>
    <m/>
    <m/>
    <m/>
    <m/>
    <n v="975"/>
    <n v="9"/>
  </r>
  <r>
    <x v="52"/>
    <s v="Kesja Cichowski"/>
    <x v="30"/>
    <m/>
    <s v="Corporate"/>
    <s v="Human Resources (SAP HR and employee stories)"/>
    <s v="No"/>
    <s v="Global"/>
    <n v="2311"/>
    <n v="57"/>
    <m/>
    <m/>
    <m/>
    <m/>
    <m/>
    <m/>
    <m/>
    <m/>
    <n v="2311"/>
    <n v="57"/>
  </r>
  <r>
    <x v="53"/>
    <s v="Sonakishi Nandy"/>
    <x v="30"/>
    <m/>
    <s v="Innovation"/>
    <s v="P&amp;I (Research &amp; Development)"/>
    <s v="No"/>
    <s v="EMEA"/>
    <n v="2616"/>
    <n v="11"/>
    <m/>
    <m/>
    <m/>
    <m/>
    <m/>
    <m/>
    <m/>
    <m/>
    <n v="2616"/>
    <n v="11"/>
  </r>
  <r>
    <x v="54"/>
    <s v="Lena Walther"/>
    <x v="31"/>
    <s v="Video"/>
    <s v="Sports"/>
    <s v="GCO – Industry Cloud "/>
    <s v="Yes"/>
    <s v="Global"/>
    <n v="1400"/>
    <n v="11"/>
    <m/>
    <m/>
    <m/>
    <m/>
    <m/>
    <m/>
    <m/>
    <m/>
    <n v="1400"/>
    <n v="11"/>
  </r>
  <r>
    <x v="55"/>
    <s v="Michael Zipf"/>
    <x v="32"/>
    <m/>
    <s v="Innovation"/>
    <s v="GCO – Regions"/>
    <s v="No"/>
    <s v="Global"/>
    <n v="718"/>
    <n v="1"/>
    <m/>
    <m/>
    <m/>
    <m/>
    <m/>
    <m/>
    <m/>
    <m/>
    <n v="718"/>
    <n v="1"/>
  </r>
  <r>
    <x v="56"/>
    <s v="Stephan Magura"/>
    <x v="33"/>
    <m/>
    <s v="Innovation"/>
    <s v="Corporate"/>
    <s v="No"/>
    <s v="EMEA"/>
    <n v="1999"/>
    <n v="8"/>
    <m/>
    <m/>
    <m/>
    <m/>
    <m/>
    <m/>
    <m/>
    <m/>
    <n v="1999"/>
    <n v="8"/>
  </r>
  <r>
    <x v="57"/>
    <s v="Judith Magyar"/>
    <x v="34"/>
    <s v="Infographic"/>
    <s v="Innovation"/>
    <s v="GCO – Industry Cloud "/>
    <s v="No"/>
    <s v="Global"/>
    <n v="1004"/>
    <n v="5"/>
    <m/>
    <m/>
    <n v="196"/>
    <n v="0"/>
    <n v="393"/>
    <n v="0"/>
    <m/>
    <m/>
    <n v="1593"/>
    <n v="5"/>
  </r>
  <r>
    <x v="58"/>
    <s v="Paul Taylor"/>
    <x v="34"/>
    <s v="Infographic"/>
    <s v="Healthcare"/>
    <s v="GCO – Platform Solutions"/>
    <s v="No"/>
    <s v="Global"/>
    <n v="792"/>
    <n v="4"/>
    <m/>
    <m/>
    <n v="195"/>
    <n v="0"/>
    <n v="492"/>
    <n v="0"/>
    <m/>
    <m/>
    <n v="1479"/>
    <n v="4"/>
  </r>
  <r>
    <x v="59"/>
    <s v="Amira Polack"/>
    <x v="35"/>
    <s v="Infographic"/>
    <s v="Corporate"/>
    <s v="Human Resources (SAP HR and employee stories)"/>
    <s v="No"/>
    <s v="Global"/>
    <n v="3171"/>
    <n v="8"/>
    <m/>
    <m/>
    <m/>
    <m/>
    <m/>
    <m/>
    <m/>
    <m/>
    <n v="3171"/>
    <n v="8"/>
  </r>
  <r>
    <x v="60"/>
    <s v="Paul Baur"/>
    <x v="36"/>
    <s v="Video"/>
    <s v="Corporate"/>
    <s v="Human Resources (SAP HR and employee stories)"/>
    <s v="No"/>
    <s v="Global"/>
    <n v="2236"/>
    <n v="43"/>
    <m/>
    <m/>
    <m/>
    <m/>
    <m/>
    <m/>
    <m/>
    <m/>
    <n v="2236"/>
    <n v="43"/>
  </r>
  <r>
    <x v="61"/>
    <s v="Torsten Falk"/>
    <x v="36"/>
    <m/>
    <s v="Corporate"/>
    <s v="Human Resources (SAP HR and employee stories)"/>
    <s v="No"/>
    <s v="Global"/>
    <n v="2277"/>
    <n v="14"/>
    <m/>
    <m/>
    <m/>
    <m/>
    <m/>
    <m/>
    <m/>
    <m/>
    <n v="2277"/>
    <n v="14"/>
  </r>
  <r>
    <x v="62"/>
    <s v="Christine Kubach"/>
    <x v="37"/>
    <m/>
    <s v="Innovation"/>
    <s v="P&amp;I (Research &amp; Development)"/>
    <s v="No"/>
    <s v="Global"/>
    <n v="2891"/>
    <n v="18"/>
    <m/>
    <m/>
    <m/>
    <m/>
    <m/>
    <m/>
    <m/>
    <m/>
    <n v="2891"/>
    <n v="18"/>
  </r>
  <r>
    <x v="63"/>
    <s v="Jacqueline Prause"/>
    <x v="37"/>
    <m/>
    <s v="Corporate"/>
    <s v="GCO – Platform Solutions"/>
    <s v="No"/>
    <s v="EMEA"/>
    <n v="813"/>
    <n v="5"/>
    <m/>
    <m/>
    <m/>
    <m/>
    <m/>
    <m/>
    <m/>
    <m/>
    <n v="813"/>
    <n v="5"/>
  </r>
  <r>
    <x v="64"/>
    <s v="Paul Taylor"/>
    <x v="37"/>
    <s v="Video"/>
    <s v="Innovation"/>
    <s v="GCO – Platform Solutions"/>
    <s v="No"/>
    <s v="EMEA"/>
    <n v="273"/>
    <n v="0"/>
    <n v="5602"/>
    <n v="0"/>
    <n v="75"/>
    <n v="0"/>
    <n v="355"/>
    <n v="0"/>
    <m/>
    <m/>
    <n v="6305"/>
    <n v="0"/>
  </r>
  <r>
    <x v="65"/>
    <s v="Jakob Braun"/>
    <x v="37"/>
    <m/>
    <s v="Innovation"/>
    <s v="GCO – Regions"/>
    <s v="No"/>
    <s v="China"/>
    <n v="661"/>
    <n v="0"/>
    <m/>
    <m/>
    <m/>
    <m/>
    <m/>
    <m/>
    <m/>
    <m/>
    <n v="661"/>
    <n v="0"/>
  </r>
  <r>
    <x v="66"/>
    <s v="Jacqueline Prause"/>
    <x v="38"/>
    <m/>
    <s v="Innovation"/>
    <s v="GCO – Platform Solutions"/>
    <s v="No"/>
    <s v="EMEA"/>
    <n v="819"/>
    <n v="0"/>
    <m/>
    <m/>
    <m/>
    <m/>
    <m/>
    <m/>
    <m/>
    <m/>
    <n v="819"/>
    <n v="0"/>
  </r>
  <r>
    <x v="67"/>
    <s v="Torsten Falk"/>
    <x v="39"/>
    <m/>
    <s v="Corporate"/>
    <s v="Human Resources (SAP HR and employee stories)"/>
    <s v="No"/>
    <s v="Global"/>
    <n v="2283"/>
    <n v="16"/>
    <m/>
    <m/>
    <m/>
    <m/>
    <m/>
    <m/>
    <m/>
    <m/>
    <n v="2283"/>
    <n v="16"/>
  </r>
  <r>
    <x v="68"/>
    <s v="Marcus Krug"/>
    <x v="39"/>
    <s v="Video"/>
    <s v="Youth"/>
    <s v="P&amp;I (Research &amp; Development)"/>
    <s v="No"/>
    <s v="Global"/>
    <n v="2554"/>
    <n v="7"/>
    <m/>
    <m/>
    <m/>
    <m/>
    <m/>
    <m/>
    <m/>
    <m/>
    <n v="2554"/>
    <n v="7"/>
  </r>
  <r>
    <x v="69"/>
    <s v="Judith Magyar"/>
    <x v="39"/>
    <m/>
    <s v="Innovation"/>
    <s v="GCO – Platform Solutions"/>
    <s v="Yes"/>
    <s v="EMEA"/>
    <n v="1032"/>
    <n v="3"/>
    <m/>
    <m/>
    <n v="305"/>
    <n v="0"/>
    <m/>
    <m/>
    <m/>
    <m/>
    <n v="1337"/>
    <n v="3"/>
  </r>
  <r>
    <x v="70"/>
    <s v="Anne Hardy"/>
    <x v="40"/>
    <m/>
    <s v="Corporate"/>
    <s v="Human Resources (SAP HR and employee stories)"/>
    <s v="No"/>
    <s v="Global"/>
    <n v="1569"/>
    <n v="6"/>
    <m/>
    <m/>
    <m/>
    <m/>
    <m/>
    <m/>
    <m/>
    <m/>
    <n v="1569"/>
    <n v="6"/>
  </r>
  <r>
    <x v="71"/>
    <s v="Torsten Falk"/>
    <x v="41"/>
    <m/>
    <s v="Corporate"/>
    <s v="Human Resources (SAP HR and employee stories)"/>
    <s v="No"/>
    <s v="Global"/>
    <n v="2869"/>
    <n v="8"/>
    <m/>
    <m/>
    <m/>
    <m/>
    <m/>
    <m/>
    <m/>
    <m/>
    <n v="2869"/>
    <n v="8"/>
  </r>
  <r>
    <x v="72"/>
    <s v="Teara Kuhn"/>
    <x v="41"/>
    <s v="Video"/>
    <s v="Innovation"/>
    <s v="P&amp;I (Research &amp; Development)"/>
    <s v="No"/>
    <s v="Global"/>
    <n v="2316"/>
    <n v="3"/>
    <m/>
    <m/>
    <m/>
    <m/>
    <m/>
    <m/>
    <m/>
    <m/>
    <n v="2316"/>
    <n v="3"/>
  </r>
  <r>
    <x v="73"/>
    <s v="Nadia Boyes"/>
    <x v="42"/>
    <s v="Video"/>
    <s v="Corporate"/>
    <s v="Human Resources (SAP HR and employee stories)"/>
    <s v="No"/>
    <s v="Global"/>
    <n v="1186"/>
    <n v="6"/>
    <m/>
    <m/>
    <m/>
    <m/>
    <m/>
    <m/>
    <m/>
    <m/>
    <n v="1186"/>
    <n v="6"/>
  </r>
  <r>
    <x v="74"/>
    <s v="Ursula Kreuch"/>
    <x v="42"/>
    <s v="Video"/>
    <s v="Innovation"/>
    <s v="GCO – Services Sales"/>
    <s v="No"/>
    <s v="Global"/>
    <n v="3610"/>
    <n v="2"/>
    <m/>
    <m/>
    <m/>
    <m/>
    <m/>
    <m/>
    <m/>
    <m/>
    <n v="3610"/>
    <n v="2"/>
  </r>
  <r>
    <x v="75"/>
    <s v="Judith Magyar"/>
    <x v="43"/>
    <s v="Infographic"/>
    <s v="Innovation"/>
    <s v="GCO – Platform Solutions"/>
    <s v="No"/>
    <s v="Global"/>
    <n v="1362"/>
    <n v="4"/>
    <m/>
    <m/>
    <n v="251"/>
    <n v="0"/>
    <m/>
    <m/>
    <m/>
    <m/>
    <n v="1613"/>
    <n v="4"/>
  </r>
  <r>
    <x v="76"/>
    <s v="Susan Jee Janice Ng"/>
    <x v="43"/>
    <s v="Video"/>
    <s v="Innovation"/>
    <s v="GCO – Industry Cloud "/>
    <s v="No"/>
    <s v="APJ"/>
    <n v="1071"/>
    <n v="3"/>
    <m/>
    <m/>
    <m/>
    <m/>
    <m/>
    <m/>
    <m/>
    <m/>
    <n v="1071"/>
    <n v="3"/>
  </r>
  <r>
    <x v="77"/>
    <s v="Susan Orenstein"/>
    <x v="44"/>
    <m/>
    <s v="Corporate"/>
    <s v="Human Resources (SAP HR and employee stories)"/>
    <s v="No"/>
    <s v="Global"/>
    <n v="1629"/>
    <n v="47"/>
    <m/>
    <m/>
    <m/>
    <m/>
    <m/>
    <m/>
    <m/>
    <m/>
    <n v="1629"/>
    <n v="47"/>
  </r>
  <r>
    <x v="78"/>
    <s v="Andrea Diederichs"/>
    <x v="45"/>
    <m/>
    <s v="Corporate"/>
    <s v="Human Resources (SAP HR and employee stories)"/>
    <s v="No"/>
    <s v="Global"/>
    <n v="3907"/>
    <n v="49"/>
    <m/>
    <m/>
    <n v="407"/>
    <n v="0"/>
    <m/>
    <m/>
    <m/>
    <m/>
    <n v="4314"/>
    <n v="49"/>
  </r>
  <r>
    <x v="79"/>
    <s v="Susan Galer"/>
    <x v="45"/>
    <s v="Video"/>
    <s v="Youth"/>
    <s v="Human Resources (SAP HR and employee stories)"/>
    <s v="No"/>
    <s v="Global"/>
    <n v="1855"/>
    <n v="4"/>
    <m/>
    <m/>
    <m/>
    <m/>
    <m/>
    <m/>
    <m/>
    <m/>
    <n v="1855"/>
    <n v="4"/>
  </r>
  <r>
    <x v="80"/>
    <s v="Anna Burkhadt"/>
    <x v="46"/>
    <m/>
    <s v="Innovation"/>
    <s v="GCO – Customer Engagement &amp; Commerce (CRM &amp; hybris) "/>
    <s v="No"/>
    <s v="Global"/>
    <n v="2322"/>
    <n v="6"/>
    <m/>
    <m/>
    <m/>
    <m/>
    <m/>
    <m/>
    <m/>
    <m/>
    <n v="2322"/>
    <n v="6"/>
  </r>
  <r>
    <x v="81"/>
    <s v="Susan Orenstein"/>
    <x v="47"/>
    <s v="Slideshow"/>
    <s v="Corporate"/>
    <s v="Corporate"/>
    <s v="No"/>
    <s v="NA"/>
    <n v="7908"/>
    <n v="37"/>
    <m/>
    <m/>
    <m/>
    <m/>
    <m/>
    <m/>
    <m/>
    <m/>
    <n v="7908"/>
    <n v="37"/>
  </r>
  <r>
    <x v="82"/>
    <s v="Torsten Falk"/>
    <x v="47"/>
    <m/>
    <s v="Corporate"/>
    <s v="GCO – Services Sales"/>
    <s v="No"/>
    <s v="Global"/>
    <n v="1144"/>
    <n v="4"/>
    <m/>
    <m/>
    <m/>
    <m/>
    <m/>
    <m/>
    <m/>
    <m/>
    <n v="1144"/>
    <n v="4"/>
  </r>
  <r>
    <x v="83"/>
    <s v="Stephan Magura"/>
    <x v="48"/>
    <m/>
    <s v="Corporate"/>
    <s v="Human Resources (SAP HR and employee stories)"/>
    <s v="No"/>
    <s v="EMEA"/>
    <n v="1132"/>
    <n v="6"/>
    <m/>
    <m/>
    <m/>
    <m/>
    <m/>
    <m/>
    <m/>
    <m/>
    <n v="1132"/>
    <n v="6"/>
  </r>
  <r>
    <x v="84"/>
    <s v="Judith Magyar"/>
    <x v="48"/>
    <m/>
    <s v="Innovation"/>
    <s v="Business Network (Concur, Ariba, Fieldglass)"/>
    <s v="Yes"/>
    <s v="LATAM"/>
    <n v="1041"/>
    <n v="2"/>
    <m/>
    <m/>
    <n v="661"/>
    <n v="0"/>
    <m/>
    <m/>
    <m/>
    <m/>
    <n v="1702"/>
    <n v="2"/>
  </r>
  <r>
    <x v="85"/>
    <s v="Miriam Siebeking"/>
    <x v="49"/>
    <m/>
    <s v="Corporate"/>
    <s v="Corporate"/>
    <s v="No"/>
    <s v="Global"/>
    <n v="2080"/>
    <n v="3"/>
    <m/>
    <m/>
    <m/>
    <m/>
    <m/>
    <m/>
    <m/>
    <m/>
    <n v="2080"/>
    <n v="3"/>
  </r>
  <r>
    <x v="86"/>
    <s v="Diana Pauly"/>
    <x v="50"/>
    <s v="Infographic"/>
    <s v="Corporate"/>
    <s v="Human Resources (SAP HR and employee stories)"/>
    <s v="No"/>
    <s v="Global"/>
    <n v="2252"/>
    <n v="4"/>
    <m/>
    <m/>
    <m/>
    <m/>
    <m/>
    <m/>
    <m/>
    <m/>
    <n v="2252"/>
    <n v="4"/>
  </r>
  <r>
    <x v="87"/>
    <s v="Kesja Cichowski"/>
    <x v="50"/>
    <m/>
    <s v="Innovation"/>
    <s v="Corporate"/>
    <s v="No"/>
    <s v="Global"/>
    <n v="714"/>
    <n v="0"/>
    <m/>
    <m/>
    <m/>
    <m/>
    <m/>
    <m/>
    <m/>
    <m/>
    <n v="714"/>
    <n v="0"/>
  </r>
  <r>
    <x v="88"/>
    <s v="Emily Scorer"/>
    <x v="51"/>
    <m/>
    <s v="Sports"/>
    <s v="GCO – Platform Solutions"/>
    <s v="Yes"/>
    <s v="Global"/>
    <n v="1377"/>
    <n v="12"/>
    <m/>
    <m/>
    <n v="1000"/>
    <n v="0"/>
    <m/>
    <m/>
    <m/>
    <m/>
    <n v="2377"/>
    <n v="12"/>
  </r>
  <r>
    <x v="89"/>
    <s v="Debra Curtis-Magley"/>
    <x v="51"/>
    <m/>
    <s v="Innovation"/>
    <s v="Business Network (Concur, Ariba, Fieldglass)"/>
    <s v="No"/>
    <s v="Global"/>
    <n v="1277"/>
    <n v="2"/>
    <m/>
    <m/>
    <m/>
    <m/>
    <m/>
    <m/>
    <m/>
    <m/>
    <n v="1277"/>
    <n v="2"/>
  </r>
  <r>
    <x v="90"/>
    <s v="Tim Clark"/>
    <x v="52"/>
    <s v="Video"/>
    <s v="Innovation"/>
    <s v="GCO – Other"/>
    <s v="No"/>
    <s v="NA"/>
    <n v="635"/>
    <n v="2"/>
    <n v="2384"/>
    <n v="0"/>
    <m/>
    <m/>
    <m/>
    <m/>
    <m/>
    <m/>
    <n v="3019"/>
    <n v="2"/>
  </r>
  <r>
    <x v="91"/>
    <s v="Kesja Cichowski"/>
    <x v="52"/>
    <s v="Video, Slideshow"/>
    <s v="Youth"/>
    <s v="Corporate"/>
    <s v="No"/>
    <s v="EMEA"/>
    <n v="704"/>
    <n v="0"/>
    <m/>
    <m/>
    <m/>
    <m/>
    <m/>
    <m/>
    <m/>
    <m/>
    <n v="704"/>
    <n v="0"/>
  </r>
  <r>
    <x v="92"/>
    <s v="Emily Scorer"/>
    <x v="53"/>
    <m/>
    <s v="Healthcare"/>
    <s v="Human Resources (SAP HR and employee stories)"/>
    <s v="No"/>
    <s v="Global"/>
    <n v="3701"/>
    <n v="53"/>
    <m/>
    <m/>
    <m/>
    <m/>
    <m/>
    <m/>
    <m/>
    <m/>
    <n v="3701"/>
    <n v="53"/>
  </r>
  <r>
    <x v="93"/>
    <s v="Judith Magyar"/>
    <x v="54"/>
    <m/>
    <s v="Innovation"/>
    <s v="GCO – Platform Solutions"/>
    <s v="Yes"/>
    <s v="LATAM"/>
    <n v="1342"/>
    <n v="6"/>
    <m/>
    <m/>
    <n v="172"/>
    <n v="0"/>
    <m/>
    <m/>
    <m/>
    <m/>
    <n v="1514"/>
    <n v="6"/>
  </r>
  <r>
    <x v="94"/>
    <s v="Jenny Dearborn"/>
    <x v="54"/>
    <s v="Video, Infographic"/>
    <s v="Corporate"/>
    <s v="Human Resources (SAP HR and employee stories)"/>
    <s v="No"/>
    <s v="Global"/>
    <n v="1353"/>
    <n v="4"/>
    <m/>
    <m/>
    <m/>
    <m/>
    <m/>
    <m/>
    <m/>
    <m/>
    <n v="1353"/>
    <n v="4"/>
  </r>
  <r>
    <x v="95"/>
    <s v="Michael Zipf"/>
    <x v="55"/>
    <s v="Video"/>
    <s v="Healthcare"/>
    <s v="GCO – Platform Solutions"/>
    <s v="Yes"/>
    <s v="EMEA"/>
    <n v="1009"/>
    <n v="3"/>
    <m/>
    <m/>
    <m/>
    <m/>
    <m/>
    <m/>
    <m/>
    <m/>
    <n v="1009"/>
    <n v="3"/>
  </r>
  <r>
    <x v="96"/>
    <s v="Michael Zipf"/>
    <x v="56"/>
    <s v="Slideshow"/>
    <s v="Corporate"/>
    <s v="Corporate"/>
    <s v="No"/>
    <s v="Global"/>
    <n v="12284"/>
    <n v="103"/>
    <m/>
    <m/>
    <m/>
    <m/>
    <m/>
    <m/>
    <m/>
    <m/>
    <n v="12284"/>
    <n v="103"/>
  </r>
  <r>
    <x v="97"/>
    <s v="Chistiane Kubach"/>
    <x v="56"/>
    <s v="Video"/>
    <s v="Innovation"/>
    <s v="GCO – Regions"/>
    <s v="No"/>
    <s v="China"/>
    <n v="863"/>
    <n v="24"/>
    <m/>
    <m/>
    <m/>
    <m/>
    <m/>
    <m/>
    <m/>
    <m/>
    <n v="863"/>
    <n v="24"/>
  </r>
  <r>
    <x v="98"/>
    <s v="Paul Baur"/>
    <x v="56"/>
    <m/>
    <s v="Healthcare"/>
    <s v="GCO – Platform Solutions"/>
    <s v="Yes"/>
    <s v="Global"/>
    <n v="1785"/>
    <n v="12"/>
    <m/>
    <m/>
    <m/>
    <m/>
    <n v="1597"/>
    <n v="7"/>
    <m/>
    <m/>
    <n v="3382"/>
    <n v="19"/>
  </r>
  <r>
    <x v="99"/>
    <s v="Susan Galer"/>
    <x v="56"/>
    <s v="Video"/>
    <s v="Corporate"/>
    <s v="GCO – HR (SuccessFactors)"/>
    <s v="No"/>
    <s v="Global"/>
    <n v="722"/>
    <n v="0"/>
    <n v="2156"/>
    <n v="1"/>
    <m/>
    <m/>
    <m/>
    <m/>
    <m/>
    <m/>
    <n v="2878"/>
    <n v="1"/>
  </r>
  <r>
    <x v="100"/>
    <s v="Michael Zipf"/>
    <x v="56"/>
    <m/>
    <s v="Corporate"/>
    <s v="Corporate"/>
    <s v="No"/>
    <s v="Global"/>
    <n v="829"/>
    <n v="1"/>
    <m/>
    <m/>
    <m/>
    <m/>
    <m/>
    <m/>
    <m/>
    <m/>
    <n v="829"/>
    <n v="1"/>
  </r>
  <r>
    <x v="101"/>
    <s v="Christine Donato"/>
    <x v="57"/>
    <m/>
    <s v="Healthcare"/>
    <s v="GCO – Platform Solutions"/>
    <s v="Yes"/>
    <s v="Global"/>
    <n v="541"/>
    <n v="0"/>
    <m/>
    <m/>
    <m/>
    <m/>
    <m/>
    <m/>
    <m/>
    <m/>
    <n v="541"/>
    <n v="0"/>
  </r>
  <r>
    <x v="102"/>
    <s v="Anita Riegel"/>
    <x v="58"/>
    <m/>
    <s v="Innovation"/>
    <s v="GCO – Industry Cloud "/>
    <s v="No"/>
    <s v="EMEA"/>
    <n v="768"/>
    <n v="0"/>
    <m/>
    <m/>
    <m/>
    <m/>
    <m/>
    <m/>
    <m/>
    <m/>
    <n v="768"/>
    <n v="0"/>
  </r>
  <r>
    <x v="103"/>
    <s v="Paul Taylor"/>
    <x v="59"/>
    <m/>
    <s v="Innovation"/>
    <s v="GCO – Regions"/>
    <s v="No"/>
    <s v="LATAM"/>
    <n v="873"/>
    <n v="6"/>
    <n v="7606"/>
    <n v="0"/>
    <n v="171"/>
    <n v="0"/>
    <n v="713"/>
    <n v="2"/>
    <m/>
    <m/>
    <n v="9363"/>
    <n v="8"/>
  </r>
  <r>
    <x v="85"/>
    <s v="Miriam Siebeking"/>
    <x v="59"/>
    <m/>
    <s v="Corporate"/>
    <s v="Corporate"/>
    <s v="No"/>
    <s v="Global"/>
    <n v="1120"/>
    <n v="0"/>
    <m/>
    <m/>
    <m/>
    <m/>
    <m/>
    <m/>
    <m/>
    <m/>
    <n v="1120"/>
    <n v="0"/>
  </r>
  <r>
    <x v="104"/>
    <s v="Judith Magyar"/>
    <x v="60"/>
    <m/>
    <s v="Innovation"/>
    <s v="GCO – Platform Solutions"/>
    <s v="Yes"/>
    <s v="Global"/>
    <n v="769"/>
    <n v="0"/>
    <m/>
    <m/>
    <m/>
    <m/>
    <m/>
    <m/>
    <m/>
    <m/>
    <n v="769"/>
    <n v="0"/>
  </r>
  <r>
    <x v="105"/>
    <s v="Diana Vega"/>
    <x v="61"/>
    <m/>
    <s v="Corporate"/>
    <s v="Human Resources (SAP HR and employee stories)"/>
    <s v="No"/>
    <s v="Global"/>
    <n v="1606"/>
    <n v="23"/>
    <m/>
    <m/>
    <m/>
    <m/>
    <m/>
    <m/>
    <m/>
    <m/>
    <n v="1606"/>
    <n v="23"/>
  </r>
  <r>
    <x v="106"/>
    <s v="Judith Magyar"/>
    <x v="61"/>
    <s v="Infographic"/>
    <s v="Innovation"/>
    <s v="GCO – Regions"/>
    <s v="Yes"/>
    <s v="LATAM"/>
    <n v="506"/>
    <n v="0"/>
    <m/>
    <m/>
    <m/>
    <m/>
    <m/>
    <m/>
    <m/>
    <m/>
    <n v="506"/>
    <n v="0"/>
  </r>
  <r>
    <x v="107"/>
    <s v="Robin Meyerhoff"/>
    <x v="62"/>
    <m/>
    <s v="Corporate"/>
    <s v="Human Resources (SAP HR and employee stories)"/>
    <s v="No"/>
    <s v="LATAM"/>
    <n v="977"/>
    <n v="8"/>
    <m/>
    <m/>
    <m/>
    <m/>
    <m/>
    <m/>
    <m/>
    <m/>
    <n v="977"/>
    <n v="8"/>
  </r>
  <r>
    <x v="108"/>
    <s v="Stephan Magura"/>
    <x v="62"/>
    <m/>
    <s v="Innovation"/>
    <s v="Services Delivery &amp; Support (go-lives and deployments) "/>
    <s v="No"/>
    <s v="Global"/>
    <n v="1651"/>
    <n v="2"/>
    <m/>
    <m/>
    <n v="89"/>
    <n v="0"/>
    <m/>
    <m/>
    <m/>
    <m/>
    <n v="1740"/>
    <n v="2"/>
  </r>
  <r>
    <x v="109"/>
    <s v="Jacqueline Prause"/>
    <x v="62"/>
    <m/>
    <s v="Healthcare"/>
    <s v="GCO – Industry Cloud "/>
    <s v="No"/>
    <s v="Global"/>
    <n v="503"/>
    <n v="0"/>
    <m/>
    <m/>
    <m/>
    <m/>
    <m/>
    <m/>
    <m/>
    <m/>
    <n v="503"/>
    <n v="0"/>
  </r>
  <r>
    <x v="110"/>
    <s v="Susan Galer"/>
    <x v="63"/>
    <m/>
    <s v="Youth"/>
    <s v="Human Resources (SAP HR and employee stories)"/>
    <s v="No"/>
    <s v="Global"/>
    <n v="745"/>
    <n v="1"/>
    <n v="3216"/>
    <n v="0"/>
    <m/>
    <m/>
    <m/>
    <m/>
    <m/>
    <m/>
    <n v="3961"/>
    <n v="1"/>
  </r>
  <r>
    <x v="111"/>
    <s v="Sarah Kellman"/>
    <x v="64"/>
    <m/>
    <s v="Innovation"/>
    <s v="GCO – Regions"/>
    <s v="No"/>
    <s v="EMEA"/>
    <n v="752"/>
    <n v="6"/>
    <m/>
    <m/>
    <n v="69"/>
    <n v="0"/>
    <n v="96"/>
    <n v="0"/>
    <m/>
    <m/>
    <n v="917"/>
    <n v="6"/>
  </r>
  <r>
    <x v="112"/>
    <s v="Judith Magyar"/>
    <x v="64"/>
    <m/>
    <s v="Innovation"/>
    <s v="GCO – Platform Solutions"/>
    <s v="Yes"/>
    <s v="EMEA"/>
    <n v="756"/>
    <n v="5"/>
    <m/>
    <m/>
    <n v="199"/>
    <n v="0"/>
    <m/>
    <m/>
    <m/>
    <m/>
    <n v="955"/>
    <n v="5"/>
  </r>
  <r>
    <x v="113"/>
    <s v="Stephanie Rieder"/>
    <x v="64"/>
    <s v="Video"/>
    <s v="Youth"/>
    <s v="Human Resources (SAP HR and employee stories)"/>
    <s v="No"/>
    <s v="EMEA"/>
    <n v="1835"/>
    <n v="4"/>
    <m/>
    <m/>
    <m/>
    <m/>
    <m/>
    <m/>
    <m/>
    <m/>
    <n v="1835"/>
    <n v="4"/>
  </r>
  <r>
    <x v="114"/>
    <s v="Andrea Diederichs"/>
    <x v="65"/>
    <s v="Slideshow"/>
    <s v="Innovation"/>
    <s v="Human Resources (SAP HR and employee stories)"/>
    <s v="No"/>
    <s v="EMEA"/>
    <n v="1709"/>
    <n v="33"/>
    <m/>
    <m/>
    <m/>
    <m/>
    <n v="594"/>
    <n v="0"/>
    <m/>
    <m/>
    <n v="2303"/>
    <n v="33"/>
  </r>
  <r>
    <x v="115"/>
    <s v="Teara Kuhn"/>
    <x v="65"/>
    <m/>
    <s v="Corporate"/>
    <s v="GCO – Industry Cloud "/>
    <s v="No"/>
    <s v="Global"/>
    <n v="1407"/>
    <n v="29"/>
    <m/>
    <m/>
    <m/>
    <m/>
    <m/>
    <m/>
    <m/>
    <m/>
    <n v="1407"/>
    <n v="29"/>
  </r>
  <r>
    <x v="116"/>
    <s v="Frederic Masse"/>
    <x v="65"/>
    <m/>
    <s v="Innovation"/>
    <s v="Office of the CEO"/>
    <s v="Yes"/>
    <s v="EMEA"/>
    <n v="2435"/>
    <n v="6"/>
    <m/>
    <m/>
    <m/>
    <m/>
    <m/>
    <m/>
    <m/>
    <m/>
    <n v="2435"/>
    <n v="6"/>
  </r>
  <r>
    <x v="117"/>
    <s v="Michael Zipf"/>
    <x v="66"/>
    <s v="Video"/>
    <s v="Innovation"/>
    <s v="GCO – Platform Solutions"/>
    <s v="No"/>
    <s v="Global"/>
    <n v="2475"/>
    <n v="1"/>
    <m/>
    <m/>
    <n v="2058"/>
    <n v="0"/>
    <m/>
    <m/>
    <m/>
    <m/>
    <n v="4533"/>
    <n v="1"/>
  </r>
  <r>
    <x v="118"/>
    <s v="Denise Broady"/>
    <x v="67"/>
    <m/>
    <s v="Corporate"/>
    <s v="Human Resources (SAP HR and employee stories)"/>
    <s v="No"/>
    <s v="APJ"/>
    <n v="2061"/>
    <n v="35"/>
    <m/>
    <m/>
    <m/>
    <m/>
    <m/>
    <m/>
    <m/>
    <m/>
    <n v="2061"/>
    <n v="35"/>
  </r>
  <r>
    <x v="119"/>
    <s v="Perry Manross"/>
    <x v="67"/>
    <m/>
    <s v="Corporate"/>
    <s v="Business Network (Concur, Ariba, Fieldglass)"/>
    <s v="No"/>
    <s v="Global"/>
    <n v="1832"/>
    <n v="8"/>
    <m/>
    <m/>
    <m/>
    <m/>
    <m/>
    <m/>
    <m/>
    <m/>
    <n v="1832"/>
    <n v="8"/>
  </r>
  <r>
    <x v="120"/>
    <s v="Emily Scorer"/>
    <x v="67"/>
    <s v="Video, Slideshow"/>
    <s v="Youth"/>
    <s v="Human Resources (SAP HR and employee stories)"/>
    <s v="No"/>
    <s v="APJ"/>
    <n v="2737"/>
    <n v="4"/>
    <m/>
    <m/>
    <n v="517"/>
    <n v="0"/>
    <m/>
    <m/>
    <m/>
    <m/>
    <n v="3254"/>
    <n v="4"/>
  </r>
  <r>
    <x v="121"/>
    <s v="Paul Baur"/>
    <x v="68"/>
    <s v="Video"/>
    <s v="Corporate"/>
    <s v="Corporate"/>
    <s v="No"/>
    <s v="Global"/>
    <n v="6989"/>
    <n v="7"/>
    <m/>
    <m/>
    <m/>
    <m/>
    <m/>
    <m/>
    <m/>
    <m/>
    <n v="6989"/>
    <n v="7"/>
  </r>
  <r>
    <x v="122"/>
    <s v="Torsten Falk"/>
    <x v="69"/>
    <s v="Video, Infographic, Slideshow"/>
    <s v="Corporate"/>
    <s v="Human Resources (SAP HR and employee stories)"/>
    <s v="No"/>
    <s v="Global"/>
    <n v="3178"/>
    <n v="20"/>
    <m/>
    <m/>
    <m/>
    <m/>
    <m/>
    <m/>
    <m/>
    <m/>
    <n v="3178"/>
    <n v="20"/>
  </r>
  <r>
    <x v="123"/>
    <s v="Emily Scorer"/>
    <x v="69"/>
    <m/>
    <s v="Corporate"/>
    <s v="Corporate"/>
    <s v="No"/>
    <s v="EMEA"/>
    <n v="823"/>
    <n v="12"/>
    <m/>
    <m/>
    <n v="80"/>
    <n v="0"/>
    <m/>
    <m/>
    <m/>
    <m/>
    <n v="903"/>
    <n v="12"/>
  </r>
  <r>
    <x v="124"/>
    <s v="Paul Baur"/>
    <x v="69"/>
    <s v="Video"/>
    <s v="Corporate"/>
    <s v="Corporate"/>
    <s v="No"/>
    <s v="Global"/>
    <n v="3952"/>
    <n v="3"/>
    <m/>
    <m/>
    <m/>
    <m/>
    <m/>
    <m/>
    <m/>
    <m/>
    <n v="3952"/>
    <n v="3"/>
  </r>
  <r>
    <x v="125"/>
    <s v="Judith Magyar"/>
    <x v="69"/>
    <s v="Video"/>
    <s v="Innovation"/>
    <s v="Business Network (Concur, Ariba, Fieldglass)"/>
    <s v="Yes"/>
    <s v="Global"/>
    <n v="965"/>
    <n v="0"/>
    <m/>
    <m/>
    <n v="159"/>
    <n v="0"/>
    <n v="261"/>
    <n v="0"/>
    <m/>
    <m/>
    <n v="1385"/>
    <n v="0"/>
  </r>
  <r>
    <x v="126"/>
    <s v="Emily Scorer"/>
    <x v="70"/>
    <s v="Video"/>
    <s v="Innovation"/>
    <s v="Human Resources (SAP HR and employee stories)"/>
    <s v="No"/>
    <s v="Global"/>
    <n v="955"/>
    <n v="7"/>
    <m/>
    <m/>
    <m/>
    <m/>
    <m/>
    <m/>
    <m/>
    <m/>
    <n v="955"/>
    <n v="7"/>
  </r>
  <r>
    <x v="127"/>
    <s v="Marcus Winkler"/>
    <x v="71"/>
    <s v="Slideshow, Video"/>
    <s v="Corporate"/>
    <s v="Corporate"/>
    <s v="No"/>
    <s v="Global"/>
    <n v="4268"/>
    <n v="24"/>
    <m/>
    <m/>
    <m/>
    <m/>
    <m/>
    <m/>
    <m/>
    <m/>
    <n v="4268"/>
    <n v="24"/>
  </r>
  <r>
    <x v="128"/>
    <s v="Michael Zipf"/>
    <x v="71"/>
    <s v="Video"/>
    <s v="Innovation"/>
    <s v="GCO – Industry Cloud "/>
    <s v="No"/>
    <s v="Global"/>
    <n v="1021"/>
    <n v="0"/>
    <m/>
    <m/>
    <n v="65"/>
    <n v="0"/>
    <m/>
    <m/>
    <m/>
    <m/>
    <n v="1086"/>
    <n v="0"/>
  </r>
  <r>
    <x v="129"/>
    <s v="Paul Baur"/>
    <x v="72"/>
    <s v="Video"/>
    <s v="Innovation"/>
    <s v="Corporate"/>
    <s v="No"/>
    <s v="Global"/>
    <n v="1183"/>
    <n v="4"/>
    <m/>
    <m/>
    <m/>
    <m/>
    <m/>
    <m/>
    <m/>
    <m/>
    <n v="1183"/>
    <n v="4"/>
  </r>
  <r>
    <x v="130"/>
    <s v="Judith Magyar"/>
    <x v="72"/>
    <s v="Video"/>
    <s v="Innovation"/>
    <s v="GCO – Industry Cloud "/>
    <s v="No"/>
    <s v="EMEA"/>
    <n v="951"/>
    <n v="1"/>
    <m/>
    <m/>
    <m/>
    <m/>
    <m/>
    <m/>
    <m/>
    <m/>
    <n v="951"/>
    <n v="1"/>
  </r>
  <r>
    <x v="131"/>
    <s v="Alicia Lenze"/>
    <x v="73"/>
    <m/>
    <s v="Corporate"/>
    <s v="Office of the CEO"/>
    <s v="No"/>
    <s v="Global"/>
    <n v="2429"/>
    <n v="61"/>
    <m/>
    <m/>
    <m/>
    <m/>
    <m/>
    <m/>
    <m/>
    <m/>
    <n v="2429"/>
    <n v="61"/>
  </r>
  <r>
    <x v="132"/>
    <s v="Judith Magyar"/>
    <x v="73"/>
    <m/>
    <s v="Youth"/>
    <s v="GCO – Regions"/>
    <s v="Yes"/>
    <s v="EMEA"/>
    <n v="555"/>
    <n v="9"/>
    <n v="5200"/>
    <n v="0"/>
    <n v="41"/>
    <n v="0"/>
    <n v="644"/>
    <n v="0"/>
    <m/>
    <m/>
    <n v="6440"/>
    <n v="9"/>
  </r>
  <r>
    <x v="133"/>
    <s v="Catherine Girardin"/>
    <x v="73"/>
    <m/>
    <s v="Innovation"/>
    <s v="GCO – Other"/>
    <s v="No"/>
    <s v="Global"/>
    <n v="1186"/>
    <n v="6"/>
    <m/>
    <m/>
    <m/>
    <m/>
    <m/>
    <m/>
    <m/>
    <m/>
    <n v="1186"/>
    <n v="6"/>
  </r>
  <r>
    <x v="134"/>
    <s v="Michael Zipf"/>
    <x v="74"/>
    <s v="Video"/>
    <s v="Sports"/>
    <s v="GCO – Platform Solutions"/>
    <s v="Yes"/>
    <s v="Global"/>
    <n v="1362"/>
    <n v="5"/>
    <m/>
    <m/>
    <n v="265"/>
    <n v="0"/>
    <m/>
    <m/>
    <m/>
    <m/>
    <n v="1627"/>
    <n v="5"/>
  </r>
  <r>
    <x v="135"/>
    <s v="Judith Magyar"/>
    <x v="74"/>
    <s v="Infographic"/>
    <s v="Innovation"/>
    <s v="Corporate"/>
    <s v="No"/>
    <s v="EMEA"/>
    <n v="439"/>
    <n v="4"/>
    <m/>
    <m/>
    <n v="201"/>
    <n v="0"/>
    <m/>
    <m/>
    <m/>
    <m/>
    <n v="640"/>
    <n v="4"/>
  </r>
  <r>
    <x v="136"/>
    <s v="Paul Baur"/>
    <x v="75"/>
    <m/>
    <s v="Corporate"/>
    <s v="Corporate"/>
    <s v="No"/>
    <s v="Global"/>
    <n v="2559"/>
    <n v="7"/>
    <m/>
    <m/>
    <n v="881"/>
    <n v="0"/>
    <m/>
    <m/>
    <m/>
    <m/>
    <n v="3440"/>
    <n v="7"/>
  </r>
  <r>
    <x v="137"/>
    <s v="Molli Jordan"/>
    <x v="75"/>
    <s v="Video"/>
    <s v="Youth"/>
    <s v="GCO – Platform Solutions"/>
    <s v="Yes"/>
    <s v="Global"/>
    <n v="1147"/>
    <n v="7"/>
    <m/>
    <m/>
    <m/>
    <m/>
    <m/>
    <m/>
    <m/>
    <m/>
    <n v="1147"/>
    <n v="7"/>
  </r>
  <r>
    <x v="138"/>
    <s v="Paul Taylor"/>
    <x v="75"/>
    <m/>
    <s v="Innovation"/>
    <s v="Corporate"/>
    <s v="No"/>
    <s v="Global"/>
    <n v="439"/>
    <n v="5"/>
    <n v="4613"/>
    <n v="1"/>
    <m/>
    <m/>
    <n v="845"/>
    <n v="0"/>
    <m/>
    <m/>
    <n v="5897"/>
    <n v="6"/>
  </r>
  <r>
    <x v="139"/>
    <s v="Jacqueline Prause"/>
    <x v="75"/>
    <m/>
    <s v="Corporate"/>
    <s v="Corporate"/>
    <s v="No"/>
    <s v="Global"/>
    <n v="736"/>
    <n v="1"/>
    <m/>
    <m/>
    <m/>
    <m/>
    <m/>
    <m/>
    <m/>
    <m/>
    <n v="736"/>
    <n v="1"/>
  </r>
  <r>
    <x v="140"/>
    <s v="Charlotte Otter"/>
    <x v="76"/>
    <m/>
    <s v="Innovation"/>
    <s v="Corporate"/>
    <s v="No"/>
    <s v="Global"/>
    <n v="652"/>
    <n v="2"/>
    <m/>
    <m/>
    <m/>
    <m/>
    <m/>
    <m/>
    <m/>
    <m/>
    <n v="652"/>
    <n v="2"/>
  </r>
  <r>
    <x v="141"/>
    <s v="Susan Galer"/>
    <x v="76"/>
    <m/>
    <s v="Innovation"/>
    <s v="GCO – HR (SuccessFactors)"/>
    <s v="Yes"/>
    <s v="Global"/>
    <n v="912"/>
    <n v="0"/>
    <n v="1105"/>
    <n v="0"/>
    <m/>
    <m/>
    <m/>
    <m/>
    <m/>
    <m/>
    <n v="2017"/>
    <n v="0"/>
  </r>
  <r>
    <x v="142"/>
    <s v="Paul Taylor"/>
    <x v="76"/>
    <m/>
    <s v="Innovation"/>
    <s v="GCO – Customer Engagement &amp; Commerce (CRM &amp; hybris) "/>
    <s v="No"/>
    <s v="Global"/>
    <n v="756"/>
    <m/>
    <m/>
    <m/>
    <n v="111"/>
    <n v="0"/>
    <n v="374"/>
    <n v="0"/>
    <m/>
    <m/>
    <n v="1241"/>
    <n v="0"/>
  </r>
  <r>
    <x v="143"/>
    <s v="Stephan Magura "/>
    <x v="77"/>
    <m/>
    <s v="Innovation"/>
    <s v="GCO – Industry Cloud "/>
    <s v="Yes"/>
    <s v="EMEA"/>
    <n v="749"/>
    <n v="8"/>
    <m/>
    <m/>
    <n v="262"/>
    <n v="0"/>
    <m/>
    <m/>
    <m/>
    <m/>
    <n v="1011"/>
    <n v="8"/>
  </r>
  <r>
    <x v="144"/>
    <s v="Paul Taylor"/>
    <x v="77"/>
    <s v="Infographic"/>
    <s v="Innovation"/>
    <s v="GCO – Industry Cloud "/>
    <s v="No"/>
    <s v="Global"/>
    <n v="2694"/>
    <n v="3"/>
    <m/>
    <m/>
    <m/>
    <m/>
    <m/>
    <m/>
    <m/>
    <m/>
    <n v="2694"/>
    <n v="3"/>
  </r>
  <r>
    <x v="145"/>
    <s v="Derek Klobucher"/>
    <x v="78"/>
    <m/>
    <s v="Innovation"/>
    <s v="Office of the CEO"/>
    <s v="No"/>
    <s v="Global"/>
    <n v="3864"/>
    <n v="2"/>
    <n v="3254"/>
    <n v="2"/>
    <m/>
    <m/>
    <m/>
    <m/>
    <m/>
    <m/>
    <n v="7118"/>
    <n v="4"/>
  </r>
  <r>
    <x v="146"/>
    <s v="Michael Zipf"/>
    <x v="78"/>
    <m/>
    <s v="Innovation"/>
    <s v="Office of the CEO"/>
    <s v="No"/>
    <s v="Global"/>
    <n v="1097"/>
    <n v="1"/>
    <m/>
    <m/>
    <m/>
    <m/>
    <m/>
    <m/>
    <m/>
    <m/>
    <n v="1097"/>
    <n v="1"/>
  </r>
  <r>
    <x v="147"/>
    <s v="Emily Scorer"/>
    <x v="79"/>
    <m/>
    <s v="Corporate"/>
    <s v="Human Resources (SAP HR and employee stories)"/>
    <s v="No"/>
    <s v="Global"/>
    <n v="1525"/>
    <n v="9"/>
    <m/>
    <m/>
    <n v="123"/>
    <n v="0"/>
    <m/>
    <m/>
    <m/>
    <m/>
    <n v="1648"/>
    <n v="9"/>
  </r>
  <r>
    <x v="148"/>
    <s v="Paul Taylor"/>
    <x v="79"/>
    <m/>
    <s v="Innovation"/>
    <s v="Corporate"/>
    <s v="No"/>
    <s v="Global"/>
    <n v="498"/>
    <n v="1"/>
    <n v="917"/>
    <n v="1"/>
    <n v="127"/>
    <n v="0"/>
    <n v="338"/>
    <n v="0"/>
    <m/>
    <m/>
    <n v="1880"/>
    <n v="2"/>
  </r>
  <r>
    <x v="149"/>
    <s v="Susan Galer"/>
    <x v="79"/>
    <m/>
    <s v="Innovation"/>
    <s v="GCO – Platform Solutions"/>
    <s v="Yes"/>
    <s v="Global"/>
    <n v="2079"/>
    <n v="1"/>
    <m/>
    <m/>
    <m/>
    <m/>
    <m/>
    <m/>
    <m/>
    <m/>
    <n v="2079"/>
    <n v="1"/>
  </r>
  <r>
    <x v="150"/>
    <s v="Michael Zipf"/>
    <x v="80"/>
    <m/>
    <s v="Innovation"/>
    <s v="GCO – Platform Solutions"/>
    <s v="Yes"/>
    <s v="Global"/>
    <n v="1548"/>
    <n v="5"/>
    <m/>
    <m/>
    <m/>
    <m/>
    <m/>
    <m/>
    <m/>
    <m/>
    <n v="1548"/>
    <n v="5"/>
  </r>
  <r>
    <x v="151"/>
    <s v="Paul Taylor"/>
    <x v="80"/>
    <s v="Video"/>
    <s v="Innovation"/>
    <s v="Business Network (Concur, Ariba, Fieldglass)"/>
    <s v="No"/>
    <s v="Global"/>
    <n v="1548"/>
    <n v="3"/>
    <m/>
    <m/>
    <m/>
    <m/>
    <m/>
    <m/>
    <m/>
    <m/>
    <n v="1548"/>
    <n v="3"/>
  </r>
  <r>
    <x v="152"/>
    <s v="Judith Magyar"/>
    <x v="80"/>
    <s v="Infographic, Video"/>
    <s v="Innovation"/>
    <s v="GCO – Platform Solutions"/>
    <s v="No"/>
    <s v="Global"/>
    <n v="2508"/>
    <n v="1"/>
    <m/>
    <m/>
    <m/>
    <m/>
    <n v="2174"/>
    <n v="0"/>
    <m/>
    <m/>
    <n v="4682"/>
    <n v="1"/>
  </r>
  <r>
    <x v="153"/>
    <s v="Miriam Siebeking"/>
    <x v="81"/>
    <m/>
    <s v="Corporate"/>
    <s v="Corporate"/>
    <s v="No"/>
    <s v="Global"/>
    <n v="1872"/>
    <n v="1"/>
    <m/>
    <m/>
    <m/>
    <m/>
    <m/>
    <m/>
    <m/>
    <m/>
    <n v="1872"/>
    <n v="1"/>
  </r>
  <r>
    <x v="154"/>
    <s v="Torsten Falk"/>
    <x v="82"/>
    <s v="Slideshow, Infographic"/>
    <s v="Corporate"/>
    <s v="Human Resources (SAP HR and employee stories)"/>
    <s v="No"/>
    <s v="Global"/>
    <n v="1886"/>
    <n v="0"/>
    <m/>
    <m/>
    <m/>
    <m/>
    <m/>
    <m/>
    <m/>
    <m/>
    <n v="1886"/>
    <n v="0"/>
  </r>
  <r>
    <x v="155"/>
    <s v="Andreas Schmitz"/>
    <x v="83"/>
    <m/>
    <s v="Healthcare"/>
    <s v="GCO – Platform Solutions"/>
    <s v="No"/>
    <s v="Global"/>
    <n v="794"/>
    <n v="2"/>
    <m/>
    <m/>
    <m/>
    <m/>
    <m/>
    <m/>
    <m/>
    <m/>
    <n v="794"/>
    <n v="2"/>
  </r>
  <r>
    <x v="156"/>
    <s v="Richard Campbell"/>
    <x v="84"/>
    <m/>
    <s v="Corporate"/>
    <s v="Corporate"/>
    <s v="No"/>
    <s v="Global"/>
    <n v="3248"/>
    <n v="23"/>
    <m/>
    <m/>
    <m/>
    <m/>
    <m/>
    <m/>
    <m/>
    <m/>
    <n v="3248"/>
    <n v="23"/>
  </r>
  <r>
    <x v="157"/>
    <s v="Cornelia Weiss-Justen"/>
    <x v="85"/>
    <m/>
    <s v="Innovation"/>
    <s v="P&amp;I (Research &amp; Development)"/>
    <s v="Yes"/>
    <s v="Global"/>
    <n v="1659"/>
    <n v="6"/>
    <m/>
    <m/>
    <m/>
    <m/>
    <m/>
    <m/>
    <m/>
    <m/>
    <n v="1659"/>
    <n v="6"/>
  </r>
  <r>
    <x v="158"/>
    <s v="Andrea Diederichs"/>
    <x v="86"/>
    <m/>
    <s v="Corporate"/>
    <s v="Human Resources (SAP HR and employee stories)"/>
    <s v="No"/>
    <s v="Global"/>
    <n v="2570"/>
    <n v="32"/>
    <m/>
    <m/>
    <n v="128"/>
    <n v="0"/>
    <n v="446"/>
    <n v="0"/>
    <m/>
    <m/>
    <n v="3144"/>
    <n v="32"/>
  </r>
  <r>
    <x v="159"/>
    <s v="Mark Cheever"/>
    <x v="87"/>
    <m/>
    <s v="Youth"/>
    <s v="Human Resources (SAP HR and employee stories)"/>
    <s v="No"/>
    <s v="Global"/>
    <n v="1511"/>
    <n v="10"/>
    <m/>
    <m/>
    <m/>
    <m/>
    <m/>
    <m/>
    <m/>
    <m/>
    <n v="1511"/>
    <n v="10"/>
  </r>
  <r>
    <x v="160"/>
    <s v="Paul Baur"/>
    <x v="87"/>
    <s v="Video"/>
    <s v="Innovation"/>
    <s v="GCO – Customer Engagement &amp; Commerce (CRM &amp; hybris) "/>
    <s v="Yes"/>
    <s v="Global"/>
    <n v="1358"/>
    <n v="4"/>
    <m/>
    <m/>
    <m/>
    <m/>
    <m/>
    <m/>
    <m/>
    <m/>
    <n v="1358"/>
    <n v="4"/>
  </r>
  <r>
    <x v="161"/>
    <s v="Kate Morgan"/>
    <x v="88"/>
    <m/>
    <s v="Youth"/>
    <s v="Corporate"/>
    <s v="No"/>
    <s v="Global"/>
    <n v="420"/>
    <n v="2"/>
    <m/>
    <m/>
    <m/>
    <m/>
    <m/>
    <m/>
    <m/>
    <m/>
    <n v="420"/>
    <n v="2"/>
  </r>
  <r>
    <x v="162"/>
    <s v="Judith Magyar"/>
    <x v="88"/>
    <m/>
    <s v="Innovation"/>
    <s v="GPO (Partner, Ecosystem, Channels)"/>
    <s v="No"/>
    <s v="Global"/>
    <n v="1506"/>
    <n v="1"/>
    <m/>
    <m/>
    <m/>
    <m/>
    <m/>
    <m/>
    <m/>
    <m/>
    <n v="1506"/>
    <n v="1"/>
  </r>
  <r>
    <x v="163"/>
    <s v="Andreas Schmitz"/>
    <x v="89"/>
    <m/>
    <s v="Healthcare"/>
    <s v="GCO – Platform Solutions"/>
    <s v="No"/>
    <s v="Global"/>
    <n v="719"/>
    <n v="0"/>
    <m/>
    <m/>
    <m/>
    <m/>
    <m/>
    <m/>
    <m/>
    <m/>
    <n v="719"/>
    <n v="0"/>
  </r>
  <r>
    <x v="164"/>
    <s v="Tobias Essig"/>
    <x v="90"/>
    <s v="Infographic"/>
    <s v="Innovation"/>
    <s v="P&amp;I (Research &amp; Development)"/>
    <s v="No"/>
    <s v="Global"/>
    <n v="949"/>
    <n v="0"/>
    <m/>
    <m/>
    <m/>
    <m/>
    <m/>
    <m/>
    <m/>
    <m/>
    <n v="949"/>
    <n v="0"/>
  </r>
  <r>
    <x v="165"/>
    <s v="Torsten Falk"/>
    <x v="91"/>
    <s v="Video"/>
    <s v="Corporate"/>
    <s v="Human Resources (SAP HR and employee stories)"/>
    <s v="No"/>
    <s v="Global"/>
    <n v="838"/>
    <n v="9"/>
    <m/>
    <m/>
    <n v="75"/>
    <n v="0"/>
    <m/>
    <m/>
    <m/>
    <m/>
    <n v="913"/>
    <n v="9"/>
  </r>
  <r>
    <x v="166"/>
    <s v="Judith Magyar"/>
    <x v="91"/>
    <s v="Video"/>
    <s v="Innovation"/>
    <s v="GPO (Partner, Ecosystem, Channels)"/>
    <s v="Yes"/>
    <s v="LATAM"/>
    <n v="426"/>
    <n v="1"/>
    <m/>
    <m/>
    <m/>
    <m/>
    <m/>
    <m/>
    <m/>
    <m/>
    <n v="426"/>
    <n v="1"/>
  </r>
  <r>
    <x v="167"/>
    <s v="Andreas Schmitz"/>
    <x v="91"/>
    <m/>
    <s v="Innovation"/>
    <s v="P&amp;I (Research &amp; Development)"/>
    <s v="Yes"/>
    <s v="Global"/>
    <n v="1185"/>
    <n v="0"/>
    <m/>
    <m/>
    <m/>
    <m/>
    <m/>
    <m/>
    <m/>
    <m/>
    <n v="1185"/>
    <n v="0"/>
  </r>
  <r>
    <x v="168"/>
    <s v="Arunima Kumar"/>
    <x v="92"/>
    <s v="Video"/>
    <s v="Corporate"/>
    <s v="Corporate"/>
    <s v="No"/>
    <s v="Global"/>
    <n v="820"/>
    <n v="3"/>
    <m/>
    <m/>
    <m/>
    <m/>
    <m/>
    <m/>
    <m/>
    <m/>
    <n v="820"/>
    <n v="3"/>
  </r>
  <r>
    <x v="169"/>
    <s v="Torsten Falk"/>
    <x v="93"/>
    <m/>
    <s v="Corporate"/>
    <s v="Human Resources (SAP HR and employee stories)"/>
    <s v="No"/>
    <s v="Global"/>
    <n v="1437"/>
    <n v="20"/>
    <m/>
    <m/>
    <m/>
    <m/>
    <m/>
    <m/>
    <m/>
    <m/>
    <n v="1437"/>
    <n v="20"/>
  </r>
  <r>
    <x v="170"/>
    <s v="Paul Baur"/>
    <x v="93"/>
    <m/>
    <s v="Sports"/>
    <s v="GCO – Platform Solutions"/>
    <s v="Yes"/>
    <s v="Global"/>
    <n v="903"/>
    <n v="3"/>
    <m/>
    <m/>
    <m/>
    <m/>
    <m/>
    <m/>
    <m/>
    <m/>
    <n v="903"/>
    <n v="3"/>
  </r>
  <r>
    <x v="171"/>
    <s v="Amira Polack"/>
    <x v="93"/>
    <m/>
    <s v="Youth"/>
    <s v="Corporate"/>
    <s v="No"/>
    <s v="Global"/>
    <n v="938"/>
    <n v="1"/>
    <m/>
    <m/>
    <m/>
    <m/>
    <m/>
    <m/>
    <m/>
    <m/>
    <n v="938"/>
    <n v="1"/>
  </r>
  <r>
    <x v="172"/>
    <s v="Susan Galer"/>
    <x v="94"/>
    <m/>
    <s v="Innovation"/>
    <s v="GPO (Partner, Ecosystem, Channels)"/>
    <s v="Yes"/>
    <s v="Global"/>
    <n v="1308"/>
    <n v="3"/>
    <m/>
    <m/>
    <m/>
    <m/>
    <m/>
    <m/>
    <m/>
    <m/>
    <n v="1308"/>
    <n v="3"/>
  </r>
  <r>
    <x v="173"/>
    <s v="Judith Magyar"/>
    <x v="95"/>
    <s v="Video"/>
    <s v="Innovation"/>
    <s v="GCO – Regions"/>
    <s v="No"/>
    <s v="EMEA"/>
    <n v="693"/>
    <n v="6"/>
    <n v="704"/>
    <n v="0"/>
    <m/>
    <m/>
    <n v="575"/>
    <n v="0"/>
    <m/>
    <m/>
    <n v="1972"/>
    <n v="6"/>
  </r>
  <r>
    <x v="174"/>
    <s v="Paul Taylor"/>
    <x v="95"/>
    <s v="Infographic"/>
    <s v="Corporate"/>
    <s v="Office of the CEO"/>
    <s v="No"/>
    <s v="Global"/>
    <n v="1597"/>
    <n v="0"/>
    <m/>
    <m/>
    <m/>
    <m/>
    <m/>
    <m/>
    <m/>
    <m/>
    <n v="1597"/>
    <n v="0"/>
  </r>
  <r>
    <x v="175"/>
    <s v="Stephan Magura"/>
    <x v="96"/>
    <s v="Video"/>
    <s v="Healthcare"/>
    <s v="Human Resources (SAP HR and employee stories)"/>
    <s v="No"/>
    <s v="Global"/>
    <n v="2196"/>
    <n v="28"/>
    <m/>
    <m/>
    <n v="62"/>
    <n v="0"/>
    <m/>
    <m/>
    <m/>
    <m/>
    <n v="2258"/>
    <n v="28"/>
  </r>
  <r>
    <x v="176"/>
    <s v="Paul Baur"/>
    <x v="96"/>
    <m/>
    <s v="Innovation"/>
    <s v="Office of the CEO"/>
    <s v="Yes"/>
    <s v="EMEA"/>
    <n v="2703"/>
    <n v="7"/>
    <m/>
    <m/>
    <n v="57"/>
    <n v="0"/>
    <m/>
    <m/>
    <m/>
    <m/>
    <n v="2760"/>
    <n v="7"/>
  </r>
  <r>
    <x v="177"/>
    <s v="Paul Baur"/>
    <x v="96"/>
    <m/>
    <s v="Innovation"/>
    <s v="P&amp;I (Research &amp; Development)"/>
    <s v="No"/>
    <s v="Global"/>
    <n v="2400"/>
    <n v="0"/>
    <m/>
    <m/>
    <m/>
    <m/>
    <m/>
    <m/>
    <m/>
    <m/>
    <n v="2400"/>
    <n v="0"/>
  </r>
  <r>
    <x v="178"/>
    <s v="Miriam Siebeking"/>
    <x v="97"/>
    <m/>
    <s v="Corporate"/>
    <s v="Corporate"/>
    <s v="No"/>
    <s v="Global"/>
    <n v="1685"/>
    <n v="4"/>
    <m/>
    <m/>
    <m/>
    <m/>
    <m/>
    <m/>
    <m/>
    <m/>
    <n v="1685"/>
    <n v="4"/>
  </r>
  <r>
    <x v="179"/>
    <s v="Mike Ettling"/>
    <x v="98"/>
    <m/>
    <s v="Corporate"/>
    <s v="Human Resources (SAP HR and employee stories)"/>
    <s v="No"/>
    <s v="Global"/>
    <n v="876"/>
    <n v="9"/>
    <m/>
    <m/>
    <m/>
    <m/>
    <m/>
    <m/>
    <m/>
    <m/>
    <n v="876"/>
    <n v="9"/>
  </r>
  <r>
    <x v="180"/>
    <s v="Andrea Diederichs"/>
    <x v="99"/>
    <s v="Video"/>
    <s v="Innovation"/>
    <s v="Services Delivery &amp; Support (go-lives and deployments) "/>
    <s v="No"/>
    <s v="Global"/>
    <n v="1603"/>
    <n v="25"/>
    <m/>
    <m/>
    <m/>
    <m/>
    <n v="645"/>
    <n v="0"/>
    <m/>
    <m/>
    <n v="2248"/>
    <n v="25"/>
  </r>
  <r>
    <x v="181"/>
    <s v="Paul Taylor"/>
    <x v="99"/>
    <m/>
    <s v="Innovation"/>
    <s v="GCO – Customer Engagement &amp; Commerce (CRM &amp; hybris) "/>
    <s v="No"/>
    <s v="Global"/>
    <n v="6427"/>
    <n v="19"/>
    <n v="1571"/>
    <n v="0"/>
    <m/>
    <m/>
    <n v="960"/>
    <n v="0"/>
    <m/>
    <m/>
    <n v="8958"/>
    <n v="19"/>
  </r>
  <r>
    <x v="182"/>
    <s v="Cindy McKendry"/>
    <x v="99"/>
    <m/>
    <s v="Corporate"/>
    <s v="GPO (Partner, Ecosystem, Channels)"/>
    <s v="No"/>
    <s v="Global"/>
    <n v="1076"/>
    <n v="14"/>
    <m/>
    <m/>
    <m/>
    <m/>
    <m/>
    <m/>
    <m/>
    <m/>
    <n v="1076"/>
    <n v="14"/>
  </r>
  <r>
    <x v="183"/>
    <s v="Judith Magyar"/>
    <x v="100"/>
    <m/>
    <s v="Innovation"/>
    <s v="GCO – Platform Solutions"/>
    <s v="Yes"/>
    <s v="Global"/>
    <n v="1656"/>
    <n v="14"/>
    <m/>
    <m/>
    <m/>
    <m/>
    <m/>
    <m/>
    <m/>
    <m/>
    <n v="1656"/>
    <n v="14"/>
  </r>
  <r>
    <x v="184"/>
    <s v="Angela Dunn"/>
    <x v="100"/>
    <m/>
    <s v="Innovation"/>
    <s v="GCO – Platform Solutions"/>
    <s v="No"/>
    <s v="Global"/>
    <n v="1337"/>
    <n v="3"/>
    <m/>
    <m/>
    <m/>
    <m/>
    <m/>
    <m/>
    <m/>
    <m/>
    <n v="1337"/>
    <n v="3"/>
  </r>
  <r>
    <x v="185"/>
    <s v="Stephan Magura"/>
    <x v="101"/>
    <m/>
    <s v="Corporate"/>
    <s v="GCO – Other"/>
    <s v="No"/>
    <s v="EMEA"/>
    <n v="1829"/>
    <n v="13"/>
    <m/>
    <m/>
    <m/>
    <m/>
    <m/>
    <m/>
    <m/>
    <m/>
    <n v="1829"/>
    <n v="13"/>
  </r>
  <r>
    <x v="186"/>
    <s v="Torsten Falk"/>
    <x v="101"/>
    <s v="Slideshow"/>
    <s v="Corporate"/>
    <s v="Human Resources (SAP HR and employee stories)"/>
    <s v="No"/>
    <s v="Global"/>
    <n v="1930"/>
    <n v="8"/>
    <m/>
    <m/>
    <m/>
    <m/>
    <m/>
    <m/>
    <m/>
    <m/>
    <n v="1930"/>
    <n v="8"/>
  </r>
  <r>
    <x v="187"/>
    <s v="Emily Scorer"/>
    <x v="102"/>
    <s v="Infographic"/>
    <s v="Innovation"/>
    <s v="P&amp;I (Research &amp; Development)"/>
    <s v="No"/>
    <s v="Global"/>
    <n v="842"/>
    <n v="8"/>
    <m/>
    <m/>
    <m/>
    <m/>
    <m/>
    <m/>
    <m/>
    <m/>
    <n v="842"/>
    <n v="8"/>
  </r>
  <r>
    <x v="188"/>
    <s v="Vivek Bapat"/>
    <x v="102"/>
    <m/>
    <s v="Innovation"/>
    <s v="Corporate"/>
    <s v="No"/>
    <s v="Global"/>
    <n v="387"/>
    <n v="6"/>
    <m/>
    <m/>
    <m/>
    <m/>
    <m/>
    <m/>
    <m/>
    <m/>
    <n v="387"/>
    <n v="6"/>
  </r>
  <r>
    <x v="189"/>
    <s v="Robin Meyerhoff"/>
    <x v="103"/>
    <s v="Video"/>
    <s v="Youth"/>
    <s v="Human Resources (SAP HR and employee stories)"/>
    <s v="No"/>
    <s v="EMEA"/>
    <n v="1442"/>
    <n v="14"/>
    <m/>
    <m/>
    <m/>
    <m/>
    <n v="477"/>
    <n v="0"/>
    <m/>
    <m/>
    <n v="1919"/>
    <n v="14"/>
  </r>
  <r>
    <x v="190"/>
    <s v="Stephan Magura"/>
    <x v="103"/>
    <s v="Slideshow"/>
    <s v="Youth"/>
    <s v="Corporate"/>
    <s v="No"/>
    <s v="EMEA"/>
    <n v="419"/>
    <n v="9"/>
    <m/>
    <m/>
    <m/>
    <m/>
    <m/>
    <m/>
    <m/>
    <m/>
    <n v="419"/>
    <n v="9"/>
  </r>
  <r>
    <x v="191"/>
    <s v="Thomas Pohl"/>
    <x v="104"/>
    <s v="Video"/>
    <s v="Innovation"/>
    <s v="GCO – Platform Solutions"/>
    <s v="No"/>
    <s v="EMEA"/>
    <n v="1188"/>
    <n v="5"/>
    <m/>
    <m/>
    <m/>
    <m/>
    <m/>
    <m/>
    <m/>
    <m/>
    <n v="1188"/>
    <n v="5"/>
  </r>
  <r>
    <x v="192"/>
    <s v="Angela Dunn"/>
    <x v="104"/>
    <m/>
    <s v="Corporate"/>
    <s v="Office of the CEO"/>
    <s v="No"/>
    <s v="Global"/>
    <n v="847"/>
    <n v="0"/>
    <m/>
    <m/>
    <m/>
    <m/>
    <m/>
    <m/>
    <m/>
    <m/>
    <n v="847"/>
    <n v="0"/>
  </r>
  <r>
    <x v="193"/>
    <s v="Paul Taylor"/>
    <x v="105"/>
    <s v="Video"/>
    <s v="Innovation"/>
    <s v="GCO – Platform Solutions"/>
    <s v="No"/>
    <s v="Global"/>
    <n v="1732"/>
    <n v="5"/>
    <m/>
    <m/>
    <m/>
    <m/>
    <m/>
    <m/>
    <m/>
    <m/>
    <n v="1732"/>
    <n v="5"/>
  </r>
  <r>
    <x v="194"/>
    <s v="Judith Magyar"/>
    <x v="106"/>
    <m/>
    <s v="Corporate"/>
    <s v="Corporate"/>
    <s v="No"/>
    <s v="Global"/>
    <n v="835"/>
    <n v="13"/>
    <m/>
    <m/>
    <m/>
    <m/>
    <m/>
    <m/>
    <m/>
    <m/>
    <n v="835"/>
    <n v="13"/>
  </r>
  <r>
    <x v="195"/>
    <s v="Susan Galer"/>
    <x v="107"/>
    <m/>
    <s v="Corporate"/>
    <s v="GCO – Industry Cloud "/>
    <s v="No"/>
    <s v="Global"/>
    <n v="678"/>
    <n v="4"/>
    <m/>
    <m/>
    <m/>
    <m/>
    <m/>
    <m/>
    <m/>
    <m/>
    <n v="678"/>
    <n v="4"/>
  </r>
  <r>
    <x v="196"/>
    <s v="Emily Scorer"/>
    <x v="108"/>
    <s v="Video"/>
    <s v="Corporate"/>
    <s v="Human Resources (SAP HR and employee stories)"/>
    <s v="No"/>
    <s v="Global"/>
    <n v="2043"/>
    <n v="22"/>
    <m/>
    <m/>
    <m/>
    <m/>
    <m/>
    <m/>
    <m/>
    <m/>
    <n v="2043"/>
    <n v="22"/>
  </r>
  <r>
    <x v="197"/>
    <s v="Michael Zipf"/>
    <x v="108"/>
    <s v="Video"/>
    <s v="Corporate"/>
    <s v="Human Resources (SAP HR and employee stories)"/>
    <s v="No"/>
    <s v="EMEA"/>
    <n v="1496"/>
    <n v="3"/>
    <m/>
    <m/>
    <m/>
    <m/>
    <m/>
    <m/>
    <m/>
    <m/>
    <n v="1496"/>
    <n v="3"/>
  </r>
  <r>
    <x v="198"/>
    <s v="Judith Magyar"/>
    <x v="108"/>
    <s v="Video"/>
    <s v="Innovation"/>
    <s v="GCO – Industry Cloud , GCO – Platform Solutions"/>
    <s v="Yes"/>
    <s v="EMEA"/>
    <n v="411"/>
    <n v="1"/>
    <m/>
    <m/>
    <n v="133"/>
    <n v="0"/>
    <m/>
    <m/>
    <m/>
    <m/>
    <n v="544"/>
    <n v="1"/>
  </r>
  <r>
    <x v="199"/>
    <s v="Angela Klose"/>
    <x v="109"/>
    <s v="Video"/>
    <s v="Sports"/>
    <s v="GCO – Platform Solutions"/>
    <s v="No"/>
    <s v="Global"/>
    <n v="410"/>
    <n v="3"/>
    <m/>
    <m/>
    <m/>
    <m/>
    <m/>
    <m/>
    <m/>
    <m/>
    <n v="410"/>
    <n v="3"/>
  </r>
  <r>
    <x v="200"/>
    <s v="Jane Gray"/>
    <x v="109"/>
    <m/>
    <s v="Innovation"/>
    <s v="GCO – Platform Solutions"/>
    <s v="Yes"/>
    <s v="Global"/>
    <n v="326"/>
    <n v="1"/>
    <m/>
    <m/>
    <m/>
    <m/>
    <m/>
    <m/>
    <m/>
    <m/>
    <n v="326"/>
    <n v="1"/>
  </r>
  <r>
    <x v="201"/>
    <s v="Kesja Cichowski"/>
    <x v="110"/>
    <s v="Video"/>
    <s v="Corporate"/>
    <s v="Human Resources (SAP HR and employee stories)"/>
    <s v="No"/>
    <s v="Global"/>
    <n v="1450"/>
    <n v="23"/>
    <m/>
    <m/>
    <m/>
    <m/>
    <m/>
    <m/>
    <m/>
    <m/>
    <n v="1450"/>
    <n v="23"/>
  </r>
  <r>
    <x v="202"/>
    <s v="Robin Meyerhoff"/>
    <x v="110"/>
    <s v="Slideshow, Video"/>
    <s v="Innovation"/>
    <s v="P&amp;I (Research &amp; Development)"/>
    <s v="Yes"/>
    <s v="Global"/>
    <n v="1423"/>
    <n v="3"/>
    <m/>
    <m/>
    <m/>
    <m/>
    <n v="425"/>
    <n v="0"/>
    <m/>
    <m/>
    <n v="1848"/>
    <n v="3"/>
  </r>
  <r>
    <x v="203"/>
    <s v="Renata Pompeu Pividal"/>
    <x v="110"/>
    <m/>
    <s v="Corporate"/>
    <s v="GCO – Regions"/>
    <s v="No"/>
    <s v="LATAM"/>
    <n v="931"/>
    <n v="3"/>
    <m/>
    <m/>
    <m/>
    <m/>
    <m/>
    <m/>
    <m/>
    <m/>
    <n v="931"/>
    <n v="3"/>
  </r>
  <r>
    <x v="204"/>
    <s v="Gillian Lindsell"/>
    <x v="111"/>
    <m/>
    <s v="Youth"/>
    <s v="Corporate"/>
    <s v="No"/>
    <s v="EMEA"/>
    <n v="395"/>
    <n v="4"/>
    <m/>
    <m/>
    <m/>
    <m/>
    <m/>
    <m/>
    <m/>
    <m/>
    <n v="395"/>
    <n v="4"/>
  </r>
  <r>
    <x v="205"/>
    <s v="Robin Meyerhoff"/>
    <x v="112"/>
    <s v="Video"/>
    <s v="Corporate"/>
    <s v="Human Resources (SAP HR and employee stories)"/>
    <s v="No"/>
    <s v="NA"/>
    <n v="4318"/>
    <n v="97"/>
    <n v="7986"/>
    <n v="1"/>
    <n v="330"/>
    <n v="0"/>
    <n v="2278"/>
    <n v="6"/>
    <m/>
    <m/>
    <n v="14912"/>
    <n v="104"/>
  </r>
  <r>
    <x v="206"/>
    <s v="Torsten Falk"/>
    <x v="113"/>
    <m/>
    <s v="Corporate"/>
    <s v="Human Resources (SAP HR and employee stories)"/>
    <s v="No"/>
    <s v="Global"/>
    <n v="1327"/>
    <n v="18"/>
    <s v="-"/>
    <s v="-"/>
    <s v="-"/>
    <s v="-"/>
    <s v="-"/>
    <s v="-"/>
    <m/>
    <m/>
    <n v="1327"/>
    <n v="18"/>
  </r>
  <r>
    <x v="207"/>
    <s v="Catherine Girardin"/>
    <x v="113"/>
    <s v="Video"/>
    <s v="Innovation"/>
    <s v="P&amp;I (Research &amp; Development)"/>
    <s v="No"/>
    <s v="EMEA"/>
    <n v="837"/>
    <n v="2"/>
    <s v="-"/>
    <s v="-"/>
    <s v="-"/>
    <s v="-"/>
    <s v="-"/>
    <s v="-"/>
    <m/>
    <m/>
    <n v="837"/>
    <n v="2"/>
  </r>
  <r>
    <x v="208"/>
    <s v="Andrea Diederichs"/>
    <x v="114"/>
    <m/>
    <s v="Corporate"/>
    <s v="Office of the CEO"/>
    <s v="No"/>
    <s v="Global"/>
    <n v="3279"/>
    <n v="11"/>
    <s v="-"/>
    <s v="-"/>
    <s v="-"/>
    <s v="-"/>
    <s v="-"/>
    <s v="-"/>
    <m/>
    <m/>
    <n v="3279"/>
    <n v="11"/>
  </r>
  <r>
    <x v="209"/>
    <s v="Bettina Wunderle"/>
    <x v="114"/>
    <m/>
    <s v="Innovation"/>
    <s v="P&amp;I (Research &amp; Development)"/>
    <s v="No"/>
    <s v="Global"/>
    <n v="979"/>
    <n v="7"/>
    <s v="-"/>
    <s v="-"/>
    <n v="15"/>
    <n v="0"/>
    <s v="-"/>
    <s v="-"/>
    <m/>
    <m/>
    <n v="994"/>
    <n v="7"/>
  </r>
  <r>
    <x v="210"/>
    <s v="Emily Scorer"/>
    <x v="114"/>
    <s v="Video"/>
    <s v="Youth"/>
    <s v="P&amp;I (Research &amp; Development)"/>
    <s v="No"/>
    <s v="EMEA"/>
    <n v="593"/>
    <n v="2"/>
    <s v="-"/>
    <s v="-"/>
    <s v="-"/>
    <s v="-"/>
    <s v="-"/>
    <s v="-"/>
    <m/>
    <m/>
    <n v="593"/>
    <n v="2"/>
  </r>
  <r>
    <x v="211"/>
    <s v="Stephan Magura"/>
    <x v="115"/>
    <s v="Video"/>
    <s v="Innovation"/>
    <s v="Business Network (Concur, Ariba, Fieldglass)"/>
    <s v="No"/>
    <s v="Global"/>
    <n v="917"/>
    <n v="2"/>
    <s v="-"/>
    <s v="-"/>
    <n v="546"/>
    <n v="0"/>
    <s v="-"/>
    <s v="-"/>
    <m/>
    <m/>
    <n v="1463"/>
    <n v="2"/>
  </r>
  <r>
    <x v="212"/>
    <s v="Emily Scorer"/>
    <x v="116"/>
    <s v="Video"/>
    <s v="Sports"/>
    <s v="GCO – Industry Cloud , GCO – Platform Solutions"/>
    <s v="Yes"/>
    <s v="Global"/>
    <n v="1752"/>
    <n v="9"/>
    <s v="-"/>
    <s v="-"/>
    <n v="122"/>
    <n v="0"/>
    <s v="-"/>
    <s v="-"/>
    <m/>
    <m/>
    <n v="1874"/>
    <n v="9"/>
  </r>
  <r>
    <x v="213"/>
    <s v="Michael Zipf"/>
    <x v="117"/>
    <m/>
    <s v="Corporate"/>
    <s v="Human Resources (SAP HR and employee stories)"/>
    <s v="No"/>
    <s v="EMEA"/>
    <n v="2892"/>
    <n v="12"/>
    <s v="-"/>
    <s v="-"/>
    <s v="-"/>
    <s v="-"/>
    <s v="-"/>
    <s v="-"/>
    <m/>
    <m/>
    <n v="2892"/>
    <n v="12"/>
  </r>
  <r>
    <x v="214"/>
    <s v="Emily Scorer"/>
    <x v="117"/>
    <s v="Video"/>
    <s v="Corporate"/>
    <s v="Human Resources (SAP HR and employee stories)"/>
    <s v="No"/>
    <s v="Global"/>
    <n v="1588"/>
    <n v="10"/>
    <s v="-"/>
    <s v="-"/>
    <s v="-"/>
    <s v="-"/>
    <s v="-"/>
    <s v="-"/>
    <m/>
    <m/>
    <n v="1588"/>
    <n v="10"/>
  </r>
  <r>
    <x v="215"/>
    <s v="Cecile Yasmin Schreyer"/>
    <x v="117"/>
    <m/>
    <s v="Corporate"/>
    <s v="Human Resources (SAP HR and employee stories)"/>
    <s v="No"/>
    <s v="Global"/>
    <n v="765"/>
    <n v="7"/>
    <s v="-"/>
    <s v="-"/>
    <s v="-"/>
    <s v="-"/>
    <s v="-"/>
    <s v="-"/>
    <m/>
    <m/>
    <n v="765"/>
    <n v="7"/>
  </r>
  <r>
    <x v="216"/>
    <s v="Paul Baur"/>
    <x v="118"/>
    <s v="Video"/>
    <s v="Innovation"/>
    <s v="P&amp;I (Research &amp; Development)"/>
    <s v="No"/>
    <s v="Global"/>
    <n v="2580"/>
    <n v="5"/>
    <s v="-"/>
    <s v="-"/>
    <n v="639"/>
    <n v="0"/>
    <s v="-"/>
    <s v="-"/>
    <m/>
    <m/>
    <n v="3219"/>
    <n v="5"/>
  </r>
  <r>
    <x v="217"/>
    <s v="Susan Galer"/>
    <x v="118"/>
    <m/>
    <s v="Youth"/>
    <s v="Corporate"/>
    <s v="No"/>
    <s v="EMEA"/>
    <n v="438"/>
    <n v="2"/>
    <s v="-"/>
    <s v="-"/>
    <n v="334"/>
    <n v="0"/>
    <s v="-"/>
    <s v="-"/>
    <m/>
    <m/>
    <n v="772"/>
    <n v="2"/>
  </r>
  <r>
    <x v="218"/>
    <s v="Miriam Siebeking"/>
    <x v="118"/>
    <m/>
    <s v="Corporate"/>
    <s v="Human Resources (SAP HR and employee stories)"/>
    <s v="No"/>
    <s v="Global"/>
    <n v="1240"/>
    <n v="0"/>
    <s v="-"/>
    <s v="-"/>
    <s v="-"/>
    <s v="-"/>
    <s v="-"/>
    <s v="-"/>
    <m/>
    <m/>
    <n v="1240"/>
    <n v="0"/>
  </r>
  <r>
    <x v="219"/>
    <s v="Robin Meyerhoff"/>
    <x v="119"/>
    <s v="Video"/>
    <s v="Corporate"/>
    <s v="GCO – Regions, Human Resources (SAP HR and employee stories)"/>
    <s v="No"/>
    <s v="NA"/>
    <n v="1622"/>
    <n v="17"/>
    <s v="-"/>
    <s v="-"/>
    <s v="-"/>
    <s v="-"/>
    <n v="649"/>
    <n v="0"/>
    <m/>
    <m/>
    <n v="2271"/>
    <n v="17"/>
  </r>
  <r>
    <x v="220"/>
    <s v="Stacy Eidson Comes"/>
    <x v="119"/>
    <m/>
    <s v="Innovation"/>
    <s v="GCO – Other"/>
    <s v="No"/>
    <s v="Global"/>
    <n v="887"/>
    <n v="10"/>
    <s v="-"/>
    <s v="-"/>
    <s v="-"/>
    <s v="-"/>
    <s v="-"/>
    <s v="-"/>
    <m/>
    <m/>
    <n v="887"/>
    <n v="10"/>
  </r>
  <r>
    <x v="221"/>
    <s v="Susan Orenstein"/>
    <x v="120"/>
    <m/>
    <s v="Corporate"/>
    <s v="Human Resources (SAP HR and employee stories)"/>
    <s v="No"/>
    <s v="NA"/>
    <n v="1279"/>
    <n v="17"/>
    <s v="-"/>
    <s v="-"/>
    <s v="-"/>
    <s v="-"/>
    <s v="-"/>
    <s v="-"/>
    <m/>
    <m/>
    <n v="1279"/>
    <n v="17"/>
  </r>
  <r>
    <x v="222"/>
    <s v="Paul Baur"/>
    <x v="120"/>
    <s v="Video, Infographic"/>
    <s v="Innovation"/>
    <s v="P&amp;I (Research &amp; Development)"/>
    <s v="No"/>
    <s v="EMEA"/>
    <n v="1671"/>
    <n v="8"/>
    <s v="-"/>
    <s v="-"/>
    <n v="79"/>
    <n v="0"/>
    <n v="1395"/>
    <n v="0"/>
    <m/>
    <m/>
    <n v="3145"/>
    <n v="8"/>
  </r>
  <r>
    <x v="223"/>
    <s v="Emily Scorer"/>
    <x v="121"/>
    <m/>
    <s v="Healthcare"/>
    <s v="Human Resources (SAP HR and employee stories)"/>
    <s v="No"/>
    <s v="EMEA"/>
    <n v="1309"/>
    <n v="9"/>
    <s v="-"/>
    <s v="-"/>
    <s v="-"/>
    <s v="-"/>
    <s v="-"/>
    <s v="-"/>
    <m/>
    <m/>
    <n v="1309"/>
    <n v="9"/>
  </r>
  <r>
    <x v="224"/>
    <s v="Emily Scorer"/>
    <x v="122"/>
    <s v="Video"/>
    <s v="Innovation"/>
    <s v="Corporate"/>
    <s v="No"/>
    <s v="LATAM"/>
    <n v="2127"/>
    <n v="18"/>
    <s v="-"/>
    <s v="-"/>
    <s v="-"/>
    <s v="-"/>
    <s v="-"/>
    <s v="-"/>
    <m/>
    <m/>
    <n v="2127"/>
    <n v="18"/>
  </r>
  <r>
    <x v="225"/>
    <s v="Caroline Kohout"/>
    <x v="123"/>
    <m/>
    <s v="Corporate"/>
    <s v="Human Resources (SAP HR and employee stories)"/>
    <s v="No"/>
    <s v="NA"/>
    <n v="1503"/>
    <n v="28"/>
    <s v="-"/>
    <s v="-"/>
    <s v="-"/>
    <s v="-"/>
    <s v="-"/>
    <s v="-"/>
    <m/>
    <m/>
    <n v="1503"/>
    <n v="28"/>
  </r>
  <r>
    <x v="226"/>
    <s v="Miriam Siebeking"/>
    <x v="123"/>
    <m/>
    <s v="Innovation"/>
    <s v="P&amp;I (Research &amp; Development)"/>
    <s v="No"/>
    <s v="EMEA"/>
    <n v="1171"/>
    <n v="1"/>
    <s v="-"/>
    <s v="-"/>
    <s v="-"/>
    <s v="-"/>
    <n v="45"/>
    <n v="0"/>
    <m/>
    <m/>
    <n v="1216"/>
    <n v="1"/>
  </r>
  <r>
    <x v="227"/>
    <s v="Aidan Hyland"/>
    <x v="124"/>
    <s v="Video, Infographic"/>
    <s v="Innovation"/>
    <s v="Corporate"/>
    <s v="No"/>
    <s v="Global"/>
    <n v="5959"/>
    <n v="53"/>
    <s v="-"/>
    <s v="-"/>
    <s v="-"/>
    <s v="-"/>
    <s v="-"/>
    <s v="-"/>
    <m/>
    <m/>
    <n v="5959"/>
    <n v="53"/>
  </r>
  <r>
    <x v="228"/>
    <s v="Stephan Magura"/>
    <x v="124"/>
    <s v="Video, Infographic"/>
    <s v="Healthcare"/>
    <s v="Business Network (Concur, Ariba, Fieldglass)"/>
    <s v="Yes"/>
    <s v="EMEA"/>
    <n v="1010"/>
    <n v="10"/>
    <s v="-"/>
    <s v="-"/>
    <n v="119"/>
    <n v="0"/>
    <n v="269"/>
    <n v="0"/>
    <m/>
    <m/>
    <n v="1398"/>
    <n v="10"/>
  </r>
  <r>
    <x v="229"/>
    <s v="Jackie Montesinos Suarez"/>
    <x v="125"/>
    <s v="Video"/>
    <s v="Innovation"/>
    <s v="GCO – Other"/>
    <s v="Yes"/>
    <s v="NA, LATAM, EMEA"/>
    <n v="727"/>
    <n v="15"/>
    <s v="-"/>
    <s v="-"/>
    <s v="-"/>
    <s v="-"/>
    <n v="785"/>
    <n v="0"/>
    <m/>
    <m/>
    <n v="1512"/>
    <n v="15"/>
  </r>
  <r>
    <x v="230"/>
    <s v="Paul Baur"/>
    <x v="125"/>
    <s v="Video"/>
    <s v="Innovation"/>
    <s v="Corporate"/>
    <s v="No"/>
    <s v="Global"/>
    <n v="4066"/>
    <n v="2"/>
    <s v="-"/>
    <s v="-"/>
    <n v="843"/>
    <n v="0"/>
    <s v="-"/>
    <s v="-"/>
    <m/>
    <m/>
    <n v="4909"/>
    <n v="2"/>
  </r>
  <r>
    <x v="231"/>
    <s v="Tanja Schaetz-Kruft"/>
    <x v="125"/>
    <m/>
    <s v="Innovation"/>
    <s v="GCO – Other"/>
    <s v="No"/>
    <s v="Global"/>
    <n v="593"/>
    <n v="1"/>
    <s v="-"/>
    <s v="-"/>
    <s v="-"/>
    <s v="-"/>
    <s v="-"/>
    <s v="-"/>
    <m/>
    <m/>
    <n v="593"/>
    <n v="1"/>
  </r>
  <r>
    <x v="232"/>
    <s v="Paul Baur"/>
    <x v="126"/>
    <s v="Video"/>
    <s v="Corporate"/>
    <s v="Corporate"/>
    <s v="No"/>
    <s v="Global"/>
    <n v="4134"/>
    <n v="0"/>
    <s v="-"/>
    <s v="-"/>
    <s v="-"/>
    <s v="-"/>
    <s v="-"/>
    <s v="-"/>
    <m/>
    <m/>
    <n v="4134"/>
    <n v="0"/>
  </r>
  <r>
    <x v="233"/>
    <s v="Judith Magyar"/>
    <x v="126"/>
    <m/>
    <s v="Innovation"/>
    <s v="Business Network (Concur, Ariba, Fieldglass)"/>
    <s v="No"/>
    <s v="Global"/>
    <n v="831"/>
    <n v="0"/>
    <s v="-"/>
    <s v="-"/>
    <n v="77"/>
    <n v="0"/>
    <n v="582"/>
    <n v="0"/>
    <m/>
    <m/>
    <n v="1490"/>
    <n v="0"/>
  </r>
  <r>
    <x v="234"/>
    <s v="Paul Taylor"/>
    <x v="127"/>
    <s v="Infographic"/>
    <s v="Corporate"/>
    <s v="Corporate"/>
    <s v="No"/>
    <s v="NA"/>
    <n v="1089"/>
    <n v="7"/>
    <n v="734"/>
    <n v="0"/>
    <s v="-"/>
    <s v="-"/>
    <s v="-"/>
    <s v="-"/>
    <m/>
    <m/>
    <n v="1823"/>
    <n v="7"/>
  </r>
  <r>
    <x v="235"/>
    <s v="Paul Baur"/>
    <x v="127"/>
    <s v="Video"/>
    <s v="Innovation"/>
    <s v="P&amp;I (Research &amp; Development)"/>
    <s v="No"/>
    <s v="EMEA"/>
    <n v="844"/>
    <n v="1"/>
    <s v="-"/>
    <s v="-"/>
    <s v="-"/>
    <s v="-"/>
    <n v="900"/>
    <n v="0"/>
    <m/>
    <m/>
    <n v="1744"/>
    <n v="1"/>
  </r>
  <r>
    <x v="236"/>
    <s v="Judith Magyar"/>
    <x v="128"/>
    <m/>
    <s v="Corporate"/>
    <s v="Office of the CEO"/>
    <s v="No"/>
    <s v="Global"/>
    <n v="2267"/>
    <n v="8"/>
    <s v="-"/>
    <s v="-"/>
    <s v="-"/>
    <s v="-"/>
    <s v="-"/>
    <s v="-"/>
    <m/>
    <m/>
    <n v="2267"/>
    <n v="8"/>
  </r>
  <r>
    <x v="237"/>
    <s v="Michael Zipf"/>
    <x v="128"/>
    <s v="Infographic"/>
    <s v="Innovation"/>
    <s v="GCO – Regions"/>
    <s v="Yes"/>
    <s v="EMEA"/>
    <n v="779"/>
    <n v="3"/>
    <s v="-"/>
    <s v="-"/>
    <n v="22"/>
    <n v="0"/>
    <s v="-"/>
    <s v="-"/>
    <m/>
    <m/>
    <n v="801"/>
    <n v="3"/>
  </r>
  <r>
    <x v="238"/>
    <s v="Heidi Ferguson-Mueller"/>
    <x v="129"/>
    <s v="Infographic"/>
    <s v="Corporate"/>
    <s v="GCO – Other"/>
    <s v="No"/>
    <s v="Global"/>
    <n v="946"/>
    <n v="2"/>
    <s v="-"/>
    <s v="-"/>
    <s v="-"/>
    <s v="-"/>
    <s v="-"/>
    <s v="-"/>
    <m/>
    <m/>
    <n v="946"/>
    <n v="2"/>
  </r>
  <r>
    <x v="239"/>
    <s v="Corinna Machmeier"/>
    <x v="129"/>
    <s v="Video"/>
    <s v="Sports, Youth"/>
    <s v="P&amp;I (Research &amp; Development)"/>
    <s v="No"/>
    <s v="EMEA"/>
    <n v="534"/>
    <n v="1"/>
    <s v="-"/>
    <s v="-"/>
    <s v="-"/>
    <s v="-"/>
    <n v="720"/>
    <n v="0"/>
    <m/>
    <m/>
    <n v="1254"/>
    <n v="1"/>
  </r>
  <r>
    <x v="240"/>
    <s v="Stephan Kamps"/>
    <x v="130"/>
    <m/>
    <s v="Innovation"/>
    <s v="Corporate"/>
    <s v="No"/>
    <s v="Global"/>
    <n v="2879"/>
    <n v="11"/>
    <s v="-"/>
    <s v="-"/>
    <s v="-"/>
    <s v="-"/>
    <s v="-"/>
    <s v="-"/>
    <m/>
    <m/>
    <n v="2879"/>
    <n v="11"/>
  </r>
  <r>
    <x v="241"/>
    <s v="Susan Galer"/>
    <x v="130"/>
    <m/>
    <s v="Corporate"/>
    <s v="Human Resources (SAP HR and employee stories)"/>
    <s v="No"/>
    <s v="EMEA"/>
    <n v="1237"/>
    <n v="9"/>
    <s v="-"/>
    <s v="-"/>
    <n v="1061"/>
    <n v="0"/>
    <s v="-"/>
    <s v="-"/>
    <m/>
    <m/>
    <n v="2298"/>
    <n v="9"/>
  </r>
  <r>
    <x v="242"/>
    <s v="Sarah Kellman"/>
    <x v="131"/>
    <s v="Infographic"/>
    <s v="Innovation"/>
    <s v="GCO – Industry Cloud , GCO – Regions"/>
    <s v="Yes"/>
    <s v="EMEA"/>
    <n v="1297"/>
    <n v="26"/>
    <s v="-"/>
    <s v="-"/>
    <s v="-"/>
    <s v="-"/>
    <s v="-"/>
    <s v="-"/>
    <m/>
    <m/>
    <n v="1297"/>
    <n v="26"/>
  </r>
  <r>
    <x v="243"/>
    <s v="Jeff Woods"/>
    <x v="132"/>
    <m/>
    <s v="Innovation"/>
    <s v="Corporate"/>
    <s v="No"/>
    <s v="Global"/>
    <n v="1002"/>
    <n v="5"/>
    <s v="-"/>
    <s v="-"/>
    <n v="96"/>
    <n v="0"/>
    <s v="-"/>
    <s v="-"/>
    <m/>
    <m/>
    <n v="1098"/>
    <n v="5"/>
  </r>
  <r>
    <x v="244"/>
    <s v="Stephan Magura"/>
    <x v="132"/>
    <s v="Video"/>
    <s v="Innovation, Youth"/>
    <s v="Corporate"/>
    <s v="Yes"/>
    <s v="EMEA"/>
    <n v="712"/>
    <n v="3"/>
    <s v="-"/>
    <s v="-"/>
    <s v="-"/>
    <s v="-"/>
    <s v="-"/>
    <s v="-"/>
    <m/>
    <m/>
    <n v="712"/>
    <n v="3"/>
  </r>
  <r>
    <x v="245"/>
    <s v="Jackie Montesinos Suarez"/>
    <x v="133"/>
    <s v="Video"/>
    <s v="Innovation"/>
    <s v="GCO – Regions, GCO – Platform Solutions"/>
    <s v="No"/>
    <s v="EMEA"/>
    <n v="1225"/>
    <n v="12"/>
    <s v="-"/>
    <s v="-"/>
    <n v="164"/>
    <n v="0"/>
    <s v="-"/>
    <s v="-"/>
    <m/>
    <m/>
    <n v="1389"/>
    <n v="12"/>
  </r>
  <r>
    <x v="246"/>
    <s v="Jhon Ward"/>
    <x v="133"/>
    <s v="Infographic"/>
    <s v="Youth"/>
    <s v="Corporate"/>
    <s v="No"/>
    <s v="Global"/>
    <n v="512"/>
    <n v="1"/>
    <n v="4458"/>
    <n v="0"/>
    <n v="39"/>
    <n v="0"/>
    <s v="-"/>
    <s v="-"/>
    <m/>
    <m/>
    <n v="5009"/>
    <n v="1"/>
  </r>
  <r>
    <x v="247"/>
    <s v="Michael Zipf"/>
    <x v="134"/>
    <s v="Video"/>
    <s v="Sports"/>
    <s v="Human Resources (SAP HR and employee stories)"/>
    <s v="No"/>
    <s v="EMEA"/>
    <n v="1791"/>
    <n v="48"/>
    <s v="-"/>
    <s v="-"/>
    <n v="223"/>
    <n v="0"/>
    <s v="-"/>
    <s v="-"/>
    <n v="75788"/>
    <n v="0"/>
    <n v="2014"/>
    <n v="48"/>
  </r>
  <r>
    <x v="248"/>
    <s v="Robin Meyerhoff"/>
    <x v="135"/>
    <s v="Video"/>
    <s v="Innovation"/>
    <s v="P&amp;I (Research &amp; Development)"/>
    <s v="No"/>
    <s v="NA"/>
    <n v="786"/>
    <n v="4"/>
    <n v="1890"/>
    <n v="0"/>
    <n v="42"/>
    <n v="0"/>
    <n v="1037"/>
    <n v="0"/>
    <n v="105718"/>
    <n v="14"/>
    <n v="3755"/>
    <n v="4"/>
  </r>
  <r>
    <x v="249"/>
    <s v="Stephan Magura"/>
    <x v="136"/>
    <s v="Video"/>
    <s v="Innovation"/>
    <s v="GPO (Partner, Ecosystem, Channels)"/>
    <s v="Yes"/>
    <s v="EMEA"/>
    <n v="1139"/>
    <n v="4"/>
    <s v="-"/>
    <s v="-"/>
    <n v="213"/>
    <n v="0"/>
    <s v="-"/>
    <s v="-"/>
    <m/>
    <m/>
    <n v="1352"/>
    <n v="4"/>
  </r>
  <r>
    <x v="250"/>
    <s v="Robin Meyerhoff"/>
    <x v="137"/>
    <m/>
    <s v="Corporate"/>
    <s v="GCO – Regions"/>
    <s v="No"/>
    <s v="EMEA"/>
    <n v="1307"/>
    <n v="13"/>
    <s v="-"/>
    <s v="-"/>
    <s v="-"/>
    <s v="-"/>
    <n v="839"/>
    <n v="0"/>
    <m/>
    <m/>
    <n v="2146"/>
    <n v="13"/>
  </r>
  <r>
    <x v="251"/>
    <s v="Gillian Lindsell"/>
    <x v="137"/>
    <m/>
    <s v="Youth"/>
    <s v="GCO – Regions"/>
    <s v="No"/>
    <s v="EMEA"/>
    <n v="492"/>
    <n v="6"/>
    <s v="-"/>
    <s v="-"/>
    <n v="181"/>
    <n v="0"/>
    <s v="-"/>
    <s v="-"/>
    <m/>
    <m/>
    <n v="673"/>
    <n v="6"/>
  </r>
  <r>
    <x v="252"/>
    <s v="Cornelia Weiss-Justen"/>
    <x v="138"/>
    <s v="Video"/>
    <s v="Sports"/>
    <s v="Corporate"/>
    <s v="No"/>
    <s v="EMEA"/>
    <n v="1599"/>
    <n v="7"/>
    <s v="-"/>
    <s v="-"/>
    <n v="39"/>
    <n v="0"/>
    <s v="-"/>
    <s v="-"/>
    <m/>
    <m/>
    <n v="1638"/>
    <n v="7"/>
  </r>
  <r>
    <x v="253"/>
    <s v="Miriam Siebeking"/>
    <x v="139"/>
    <m/>
    <s v="Corporate"/>
    <s v="Human Resources (SAP HR and employee stories)"/>
    <s v="No"/>
    <s v="Global"/>
    <n v="1065"/>
    <n v="0"/>
    <s v="-"/>
    <s v="-"/>
    <s v="-"/>
    <s v="-"/>
    <s v="-"/>
    <s v="-"/>
    <m/>
    <m/>
    <n v="1065"/>
    <n v="0"/>
  </r>
  <r>
    <x v="254"/>
    <s v="Charlotte Otter"/>
    <x v="140"/>
    <s v="Video"/>
    <s v="Innovation"/>
    <s v="Corporate"/>
    <s v="No"/>
    <s v="Global"/>
    <n v="2480"/>
    <n v="3"/>
    <s v="-"/>
    <s v="-"/>
    <n v="94"/>
    <n v="0"/>
    <s v="-"/>
    <s v="-"/>
    <n v="76148"/>
    <n v="5"/>
    <n v="2574"/>
    <n v="3"/>
  </r>
  <r>
    <x v="255"/>
    <s v="Debra Curtis-Magley"/>
    <x v="141"/>
    <s v="Video"/>
    <s v="Innovation"/>
    <s v="Business Network (Concur, Ariba, Fieldglass)"/>
    <s v="No"/>
    <s v="EMEA"/>
    <n v="1026"/>
    <n v="8"/>
    <s v="-"/>
    <s v="-"/>
    <n v="119"/>
    <n v="0"/>
    <n v="4188"/>
    <n v="0"/>
    <m/>
    <m/>
    <n v="5333"/>
    <n v="8"/>
  </r>
  <r>
    <x v="256"/>
    <s v="Stephan Magura"/>
    <x v="142"/>
    <s v="Video"/>
    <s v="Innovation"/>
    <s v="GCO – Services Sales, GCO – Customer Engagement &amp; Commerce (CRM &amp; hybris) "/>
    <s v="No"/>
    <s v="Global"/>
    <n v="1378"/>
    <n v="2"/>
    <s v="-"/>
    <s v="-"/>
    <s v="-"/>
    <s v="-"/>
    <s v="-"/>
    <s v="-"/>
    <m/>
    <m/>
    <n v="1378"/>
    <n v="2"/>
  </r>
  <r>
    <x v="257"/>
    <s v="Judith Magyar"/>
    <x v="143"/>
    <s v="Infographic"/>
    <s v="Sports"/>
    <s v="P&amp;I (Research &amp; Development), GCO – Industry Cloud "/>
    <s v="No"/>
    <s v="Global"/>
    <n v="1391"/>
    <n v="5"/>
    <n v="5602"/>
    <n v="0"/>
    <n v="262"/>
    <n v="0"/>
    <s v="-"/>
    <s v="-"/>
    <n v="96497"/>
    <n v="7"/>
    <n v="7255"/>
    <n v="5"/>
  </r>
  <r>
    <x v="258"/>
    <s v="Nadine Huelsen"/>
    <x v="144"/>
    <m/>
    <s v="Innovation"/>
    <s v="Corporate"/>
    <s v="No"/>
    <s v="APJ"/>
    <n v="1630"/>
    <n v="26"/>
    <n v="12669"/>
    <n v="2"/>
    <n v="151"/>
    <n v="0"/>
    <n v="4177"/>
    <n v="12"/>
    <m/>
    <m/>
    <n v="18627"/>
    <n v="40"/>
  </r>
  <r>
    <x v="259"/>
    <s v="Tim Clark"/>
    <x v="145"/>
    <m/>
    <s v="Corporate"/>
    <s v="Corporate"/>
    <s v="No"/>
    <s v="NA"/>
    <n v="806"/>
    <n v="8"/>
    <n v="268"/>
    <n v="0"/>
    <s v="-"/>
    <s v="-"/>
    <n v="990"/>
    <n v="0"/>
    <m/>
    <m/>
    <n v="2064"/>
    <n v="8"/>
  </r>
  <r>
    <x v="260"/>
    <s v="Robin Meyerhoff"/>
    <x v="146"/>
    <s v="Video"/>
    <s v="Innovation"/>
    <s v="GCO – Regions"/>
    <s v="Yes"/>
    <s v="EMEA"/>
    <n v="979"/>
    <n v="6"/>
    <s v="-"/>
    <s v="-"/>
    <n v="117"/>
    <n v="0"/>
    <n v="1272"/>
    <n v="0"/>
    <n v="76512"/>
    <n v="3"/>
    <n v="2368"/>
    <n v="6"/>
  </r>
  <r>
    <x v="261"/>
    <s v="Susan Galer"/>
    <x v="147"/>
    <m/>
    <s v="Innovation"/>
    <s v="GCO – HR (SuccessFactors)"/>
    <s v="No"/>
    <s v="Global"/>
    <n v="1366"/>
    <n v="5"/>
    <n v="2114"/>
    <n v="0"/>
    <s v="-"/>
    <s v="-"/>
    <n v="735"/>
    <n v="1"/>
    <m/>
    <m/>
    <n v="4215"/>
    <n v="6"/>
  </r>
  <r>
    <x v="262"/>
    <s v="Baerbel Schultz"/>
    <x v="148"/>
    <m/>
    <s v="Innovation"/>
    <s v="P&amp;I (Research &amp; Development)"/>
    <s v="No"/>
    <s v="EMEA"/>
    <n v="932"/>
    <n v="2"/>
    <s v="-"/>
    <s v="-"/>
    <n v="236"/>
    <n v="0"/>
    <s v="-"/>
    <s v="-"/>
    <m/>
    <m/>
    <n v="1168"/>
    <n v="2"/>
  </r>
  <r>
    <x v="263"/>
    <s v="Jhon Ward"/>
    <x v="149"/>
    <s v="Video"/>
    <s v="Sports"/>
    <s v="GCO – Industry Cloud , GCO – Platform Solutions"/>
    <s v="Yes"/>
    <s v="EMEA"/>
    <n v="577"/>
    <n v="0"/>
    <s v="-"/>
    <s v="-"/>
    <n v="189"/>
    <n v="0"/>
    <s v="-"/>
    <s v="-"/>
    <m/>
    <m/>
    <n v="766"/>
    <n v="0"/>
  </r>
  <r>
    <x v="241"/>
    <s v="Susan Galer"/>
    <x v="150"/>
    <m/>
    <s v="Innovation"/>
    <s v="Human Resources (SAP HR and employee stories)"/>
    <s v="No"/>
    <s v="EMEA"/>
    <n v="5117"/>
    <n v="117"/>
    <s v="-"/>
    <s v="-"/>
    <n v="1883"/>
    <n v="0"/>
    <n v="841"/>
    <n v="0"/>
    <m/>
    <m/>
    <n v="7841"/>
    <n v="117"/>
  </r>
  <r>
    <x v="264"/>
    <s v="Paul Taylor"/>
    <x v="150"/>
    <s v="Infographic"/>
    <s v="Innovation"/>
    <s v="Office of the CEO"/>
    <s v="No"/>
    <s v="Global"/>
    <n v="2454"/>
    <n v="9"/>
    <n v="2830"/>
    <n v="0"/>
    <s v="-"/>
    <s v="-"/>
    <n v="740"/>
    <n v="0"/>
    <m/>
    <m/>
    <n v="6024"/>
    <n v="9"/>
  </r>
  <r>
    <x v="265"/>
    <s v="Derek Klobucher"/>
    <x v="151"/>
    <m/>
    <s v="Innovation"/>
    <s v="Corporate"/>
    <s v="No"/>
    <s v="Global"/>
    <n v="1663"/>
    <n v="20"/>
    <n v="1106"/>
    <n v="2"/>
    <n v="78"/>
    <n v="0"/>
    <s v="-"/>
    <s v="-"/>
    <m/>
    <m/>
    <n v="2847"/>
    <n v="22"/>
  </r>
  <r>
    <x v="266"/>
    <s v="Lynda Seger"/>
    <x v="152"/>
    <m/>
    <s v="Sports"/>
    <s v="GCO – Industry Cloud "/>
    <s v="Yes"/>
    <s v="EMEA"/>
    <n v="801"/>
    <n v="3"/>
    <s v="-"/>
    <s v="-"/>
    <n v="69"/>
    <n v="0"/>
    <s v="-"/>
    <s v="-"/>
    <m/>
    <m/>
    <n v="870"/>
    <n v="3"/>
  </r>
  <r>
    <x v="267"/>
    <s v="Judith Magyar"/>
    <x v="153"/>
    <s v="Infographic, Video"/>
    <s v="Innovation"/>
    <s v="GCO – Platform Solutions, GCO – Customer Engagement &amp; Commerce (CRM &amp; hybris) "/>
    <s v="No"/>
    <s v="Global"/>
    <n v="1884"/>
    <n v="5"/>
    <s v="-"/>
    <s v="-"/>
    <s v="-"/>
    <s v="-"/>
    <s v="-"/>
    <s v="-"/>
    <m/>
    <m/>
    <n v="1884"/>
    <n v="5"/>
  </r>
  <r>
    <x v="268"/>
    <s v="Jacqueline Prause"/>
    <x v="154"/>
    <s v="Video"/>
    <s v="Corporate"/>
    <s v="GPO (Partner, Ecosystem, Channels)"/>
    <s v="No"/>
    <s v="Global"/>
    <n v="765"/>
    <n v="5"/>
    <s v="-"/>
    <s v="-"/>
    <n v="98"/>
    <n v="0"/>
    <s v="-"/>
    <s v="-"/>
    <m/>
    <m/>
    <n v="863"/>
    <n v="5"/>
  </r>
  <r>
    <x v="269"/>
    <s v="Paul Baur"/>
    <x v="155"/>
    <s v="Video"/>
    <s v="Corporate"/>
    <s v="Corporate"/>
    <s v="No"/>
    <s v="Global"/>
    <n v="2383"/>
    <n v="14"/>
    <s v="-"/>
    <s v="-"/>
    <s v="-"/>
    <s v="-"/>
    <s v="-"/>
    <s v="-"/>
    <m/>
    <m/>
    <n v="2383"/>
    <n v="14"/>
  </r>
  <r>
    <x v="270"/>
    <s v="Judith Magyar"/>
    <x v="155"/>
    <s v="Infographic"/>
    <s v="Innovation"/>
    <s v="GCO – Other"/>
    <s v="No"/>
    <s v="Global"/>
    <n v="3075"/>
    <n v="9"/>
    <s v="-"/>
    <s v="-"/>
    <s v="-"/>
    <s v="-"/>
    <s v="-"/>
    <s v="-"/>
    <m/>
    <m/>
    <n v="3075"/>
    <n v="9"/>
  </r>
  <r>
    <x v="271"/>
    <s v="Michael Zipf"/>
    <x v="156"/>
    <m/>
    <s v="Corporate"/>
    <s v="Corporate"/>
    <s v="No"/>
    <s v="EMEA"/>
    <n v="6559"/>
    <n v="67"/>
    <s v="-"/>
    <s v="-"/>
    <s v="-"/>
    <s v="-"/>
    <s v="-"/>
    <s v="-"/>
    <m/>
    <m/>
    <n v="6559"/>
    <n v="67"/>
  </r>
  <r>
    <x v="272"/>
    <s v="Paul Baur"/>
    <x v="157"/>
    <s v="Video"/>
    <s v="Healthcare"/>
    <s v="P&amp;I (Research &amp; Development)"/>
    <s v="No"/>
    <s v="Global"/>
    <n v="1237"/>
    <n v="2"/>
    <s v="-"/>
    <s v="-"/>
    <n v="109"/>
    <n v="0"/>
    <n v="548"/>
    <n v="0"/>
    <m/>
    <m/>
    <n v="1894"/>
    <n v="2"/>
  </r>
  <r>
    <x v="273"/>
    <s v="Judith Magyar"/>
    <x v="158"/>
    <s v="Video"/>
    <s v="Healthcare"/>
    <s v="GCO – Industry Cloud , GCO – Platform Solutions"/>
    <s v="Yes"/>
    <s v="Global"/>
    <n v="1436"/>
    <n v="1"/>
    <s v="-"/>
    <s v="-"/>
    <n v="228"/>
    <n v="0"/>
    <n v="883"/>
    <n v="3"/>
    <m/>
    <m/>
    <n v="2547"/>
    <n v="4"/>
  </r>
  <r>
    <x v="274"/>
    <s v="Miriam Siebeking"/>
    <x v="159"/>
    <m/>
    <s v="Corporate"/>
    <s v="Human Resources (SAP HR and employee stories)"/>
    <s v="No"/>
    <s v="Global"/>
    <n v="1073"/>
    <n v="0"/>
    <s v="-"/>
    <s v="-"/>
    <s v="-"/>
    <s v="-"/>
    <s v="-"/>
    <s v="-"/>
    <m/>
    <m/>
    <n v="1073"/>
    <n v="0"/>
  </r>
  <r>
    <x v="275"/>
    <s v="Paul Taylor"/>
    <x v="160"/>
    <m/>
    <s v="Innovation"/>
    <s v="GCO – Customer Engagement &amp; Commerce (CRM &amp; hybris) "/>
    <s v="No"/>
    <s v="Global"/>
    <n v="2143"/>
    <n v="3"/>
    <s v="-"/>
    <s v="-"/>
    <n v="484"/>
    <n v="0"/>
    <s v="-"/>
    <s v="-"/>
    <n v="78019"/>
    <n v="7"/>
    <n v="2627"/>
    <n v="3"/>
  </r>
  <r>
    <x v="276"/>
    <s v="Andrea Diederichs"/>
    <x v="160"/>
    <s v="Infographic"/>
    <s v="Corporate"/>
    <s v="Corporate"/>
    <s v="No"/>
    <s v="Global"/>
    <n v="1514"/>
    <n v="1"/>
    <s v="-"/>
    <s v="-"/>
    <s v="-"/>
    <s v="-"/>
    <s v="-"/>
    <s v="-"/>
    <m/>
    <m/>
    <n v="1514"/>
    <n v="1"/>
  </r>
  <r>
    <x v="277"/>
    <s v="Paul Baur"/>
    <x v="161"/>
    <m/>
    <s v="Corporate"/>
    <s v="Office of the CEO"/>
    <s v="No"/>
    <s v="Global"/>
    <n v="27449"/>
    <n v="359"/>
    <s v="-"/>
    <s v="-"/>
    <s v="-"/>
    <s v="-"/>
    <s v="-"/>
    <s v="-"/>
    <m/>
    <m/>
    <n v="27449"/>
    <n v="359"/>
  </r>
  <r>
    <x v="278"/>
    <s v="Paul Taylor"/>
    <x v="161"/>
    <s v="Infographic"/>
    <s v="Innovation"/>
    <s v="GCO – Customer Engagement &amp; Commerce (CRM &amp; hybris) "/>
    <s v="No"/>
    <s v="Global"/>
    <n v="2130"/>
    <n v="7"/>
    <n v="1772"/>
    <n v="0"/>
    <n v="149"/>
    <n v="0"/>
    <n v="7140"/>
    <n v="1"/>
    <n v="78209"/>
    <n v="10"/>
    <n v="11191"/>
    <n v="8"/>
  </r>
  <r>
    <x v="279"/>
    <s v="Torsten Falk"/>
    <x v="162"/>
    <m/>
    <s v="Corporate"/>
    <s v="Corporate"/>
    <s v="No"/>
    <s v="Global"/>
    <n v="2753"/>
    <n v="19"/>
    <s v="-"/>
    <s v="-"/>
    <s v="-"/>
    <s v="-"/>
    <s v="-"/>
    <s v="-"/>
    <m/>
    <m/>
    <n v="2753"/>
    <n v="19"/>
  </r>
  <r>
    <x v="280"/>
    <s v="Cornelia Weiss-Justen"/>
    <x v="163"/>
    <s v="Video"/>
    <s v="Sports"/>
    <s v="GCO – Platform Solutions, GCO – Industry Cloud "/>
    <s v="Yes"/>
    <s v="Global"/>
    <n v="862"/>
    <n v="3"/>
    <s v="-"/>
    <s v="-"/>
    <n v="63"/>
    <n v="0"/>
    <s v="-"/>
    <s v="-"/>
    <m/>
    <m/>
    <n v="925"/>
    <n v="3"/>
  </r>
  <r>
    <x v="281"/>
    <s v="Kesja Cichowski"/>
    <x v="164"/>
    <m/>
    <s v="Corporate"/>
    <s v="Corporate"/>
    <s v="Yes"/>
    <s v="Global"/>
    <n v="1215"/>
    <n v="4"/>
    <s v="-"/>
    <s v="-"/>
    <s v="-"/>
    <s v="-"/>
    <s v="-"/>
    <s v="-"/>
    <m/>
    <m/>
    <n v="1215"/>
    <n v="4"/>
  </r>
  <r>
    <x v="282"/>
    <s v="Judith Magyar"/>
    <x v="165"/>
    <s v="Video"/>
    <s v="Innovation"/>
    <s v="GCO – Industry Cloud , GCO – Platform Solutions, GCO – Regions"/>
    <s v="Yes"/>
    <s v="LATAM"/>
    <n v="1209"/>
    <n v="9"/>
    <n v="1151"/>
    <n v="0"/>
    <n v="195"/>
    <n v="0"/>
    <s v="-"/>
    <s v="-"/>
    <m/>
    <m/>
    <n v="2555"/>
    <n v="9"/>
  </r>
  <r>
    <x v="283"/>
    <s v="Andreas Schmitz"/>
    <x v="165"/>
    <m/>
    <s v="Innovation"/>
    <s v="GCO – Other"/>
    <s v="No"/>
    <s v="Global"/>
    <n v="1671"/>
    <n v="6"/>
    <s v="-"/>
    <s v="-"/>
    <s v="-"/>
    <s v="-"/>
    <s v="-"/>
    <s v="-"/>
    <m/>
    <m/>
    <n v="1671"/>
    <n v="6"/>
  </r>
  <r>
    <x v="284"/>
    <s v="Michael Zipf"/>
    <x v="165"/>
    <s v="Video"/>
    <s v="Innovation"/>
    <s v="P&amp;I (Research &amp; Development), GCO – Industry Cloud "/>
    <s v="No"/>
    <s v="Global"/>
    <n v="530"/>
    <n v="0"/>
    <s v="-"/>
    <s v="-"/>
    <n v="187"/>
    <n v="0"/>
    <n v="807"/>
    <n v="0"/>
    <m/>
    <m/>
    <n v="1524"/>
    <n v="0"/>
  </r>
  <r>
    <x v="285"/>
    <s v="Paul Taylor"/>
    <x v="166"/>
    <m/>
    <s v="Innovation"/>
    <s v="GCO – Platform Solutions"/>
    <s v="No"/>
    <s v="Global"/>
    <n v="1187"/>
    <n v="2"/>
    <n v="982"/>
    <n v="0"/>
    <n v="114"/>
    <n v="0"/>
    <n v="787"/>
    <n v="0"/>
    <m/>
    <m/>
    <n v="3070"/>
    <n v="2"/>
  </r>
  <r>
    <x v="286"/>
    <s v="Sam Yen"/>
    <x v="167"/>
    <m/>
    <s v="Innovation"/>
    <s v="P&amp;I (Research &amp; Development)"/>
    <s v="No"/>
    <s v="Global"/>
    <n v="1761"/>
    <n v="5"/>
    <n v="4650"/>
    <n v="1"/>
    <n v="275"/>
    <n v="0"/>
    <s v="-"/>
    <s v="-"/>
    <m/>
    <m/>
    <n v="6686"/>
    <n v="6"/>
  </r>
  <r>
    <x v="287"/>
    <s v="Sarah Kellman"/>
    <x v="168"/>
    <s v="Infographic, Video"/>
    <s v="Corporate"/>
    <s v="Corporate"/>
    <s v="No"/>
    <s v="Global"/>
    <n v="2814"/>
    <n v="11"/>
    <s v="-"/>
    <s v="-"/>
    <s v="-"/>
    <s v="-"/>
    <s v="-"/>
    <s v="-"/>
    <m/>
    <m/>
    <n v="2814"/>
    <n v="11"/>
  </r>
  <r>
    <x v="288"/>
    <s v="Thorsten Leiduck"/>
    <x v="168"/>
    <m/>
    <s v="Innovation"/>
    <s v="P&amp;I (Research &amp; Development)"/>
    <s v="No"/>
    <s v="EMEA"/>
    <n v="1310"/>
    <n v="1"/>
    <s v="-"/>
    <s v="-"/>
    <n v="2180"/>
    <n v="0"/>
    <s v="-"/>
    <s v="-"/>
    <m/>
    <m/>
    <n v="3490"/>
    <n v="1"/>
  </r>
  <r>
    <x v="289"/>
    <s v="Robin Meyerhoff"/>
    <x v="169"/>
    <m/>
    <s v="Youth"/>
    <s v="Human Resources (SAP HR and employee stories)"/>
    <s v="No"/>
    <s v="EMEA"/>
    <n v="934"/>
    <n v="12"/>
    <s v="-"/>
    <s v="-"/>
    <n v="99"/>
    <n v="0"/>
    <n v="747"/>
    <n v="0"/>
    <s v="-"/>
    <s v="-"/>
    <n v="1780"/>
    <n v="12"/>
  </r>
  <r>
    <x v="290"/>
    <s v="Judith Magyar"/>
    <x v="170"/>
    <s v="Video"/>
    <s v="Corporate"/>
    <s v="Corporate"/>
    <s v="No"/>
    <s v="Global"/>
    <n v="3141"/>
    <n v="5"/>
    <s v="-"/>
    <s v="-"/>
    <n v="596"/>
    <n v="0"/>
    <s v="-"/>
    <s v="-"/>
    <s v="-"/>
    <s v="-"/>
    <n v="3737"/>
    <n v="5"/>
  </r>
  <r>
    <x v="196"/>
    <s v="Miriam Siebeking"/>
    <x v="171"/>
    <m/>
    <s v="Corporate"/>
    <s v="Corporate"/>
    <s v="No"/>
    <s v="Global"/>
    <n v="1018"/>
    <n v="0"/>
    <s v="-"/>
    <s v="-"/>
    <s v="-"/>
    <s v="-"/>
    <s v="-"/>
    <s v="-"/>
    <s v="-"/>
    <s v="-"/>
    <n v="1018"/>
    <n v="0"/>
  </r>
  <r>
    <x v="291"/>
    <s v="Robin Meyerhoff"/>
    <x v="172"/>
    <s v="Video"/>
    <s v="Healthcare"/>
    <s v="Human Resources (SAP HR and employee stories)"/>
    <s v="No"/>
    <s v="EMEA"/>
    <n v="6484"/>
    <n v="21"/>
    <s v="-"/>
    <s v="-"/>
    <n v="1823"/>
    <n v="0"/>
    <s v="-"/>
    <s v="-"/>
    <s v="-"/>
    <s v="-"/>
    <n v="8307"/>
    <n v="21"/>
  </r>
  <r>
    <x v="292"/>
    <s v="Judith Magyar"/>
    <x v="172"/>
    <s v="Video"/>
    <s v="Innovation"/>
    <s v="P&amp;I (Research &amp; Development), GCO – Industry Cloud "/>
    <s v="No"/>
    <s v="Global"/>
    <n v="662"/>
    <n v="9"/>
    <s v="-"/>
    <s v="-"/>
    <s v="-"/>
    <s v="-"/>
    <s v="-"/>
    <s v="-"/>
    <s v="-"/>
    <s v="-"/>
    <n v="662"/>
    <n v="9"/>
  </r>
  <r>
    <x v="293"/>
    <s v="Paul Baur"/>
    <x v="172"/>
    <m/>
    <s v="Corporate, Innovation"/>
    <s v="GCO – HR (SuccessFactors), P&amp;I (Research &amp; Development)"/>
    <s v="No"/>
    <s v="Global"/>
    <n v="727"/>
    <n v="2"/>
    <s v="-"/>
    <s v="-"/>
    <s v="-"/>
    <s v="-"/>
    <s v="-"/>
    <s v="-"/>
    <s v="-"/>
    <s v="-"/>
    <n v="727"/>
    <n v="2"/>
  </r>
  <r>
    <x v="294"/>
    <s v="Paul Baur"/>
    <x v="173"/>
    <m/>
    <s v="Corporate"/>
    <s v="GCO – Platform Solutions, GCO – Industry Cloud , Office of the CEO"/>
    <s v="No"/>
    <s v="Global"/>
    <n v="4459"/>
    <n v="10"/>
    <s v="-"/>
    <s v="-"/>
    <n v="1975"/>
    <n v="0"/>
    <s v="-"/>
    <s v="-"/>
    <s v="-"/>
    <s v="-"/>
    <n v="6434"/>
    <n v="10"/>
  </r>
  <r>
    <x v="295"/>
    <s v="Andreas Schmitz"/>
    <x v="173"/>
    <m/>
    <s v="Sports"/>
    <s v="GCO – Industry Cloud "/>
    <s v="Yes"/>
    <s v="Global"/>
    <n v="349"/>
    <n v="0"/>
    <s v="-"/>
    <s v="-"/>
    <n v="877"/>
    <n v="0"/>
    <s v="-"/>
    <s v="-"/>
    <s v="-"/>
    <s v="-"/>
    <n v="1226"/>
    <n v="0"/>
  </r>
  <r>
    <x v="296"/>
    <s v="Michael Zipf"/>
    <x v="174"/>
    <s v="Video"/>
    <s v="Corporate"/>
    <s v="Human Resources (SAP HR and employee stories)"/>
    <s v="No"/>
    <s v="Global"/>
    <n v="1968"/>
    <n v="16"/>
    <n v="737"/>
    <n v="0"/>
    <s v="-"/>
    <s v="-"/>
    <s v="-"/>
    <s v="-"/>
    <s v="-"/>
    <s v="-"/>
    <n v="2705"/>
    <n v="16"/>
  </r>
  <r>
    <x v="297"/>
    <s v="Stephan Magura"/>
    <x v="174"/>
    <s v="Video"/>
    <s v="Healthcare, Innovation"/>
    <s v="P&amp;I (Research &amp; Development), GCO – Industry Cloud , Human Resources (SAP HR and employee stories)"/>
    <s v="No"/>
    <s v="Global"/>
    <n v="404"/>
    <n v="1"/>
    <s v="-"/>
    <s v="-"/>
    <s v="-"/>
    <s v="-"/>
    <s v="-"/>
    <s v="-"/>
    <s v="-"/>
    <s v="-"/>
    <n v="404"/>
    <n v="1"/>
  </r>
  <r>
    <x v="298"/>
    <s v="Corinna Machmeier"/>
    <x v="174"/>
    <s v="Video"/>
    <s v="Youth"/>
    <s v="Human Resources (SAP HR and employee stories)"/>
    <s v="No"/>
    <s v="Global"/>
    <n v="9"/>
    <n v="0"/>
    <s v="-"/>
    <s v="-"/>
    <n v="165"/>
    <n v="0"/>
    <n v="424"/>
    <n v="0"/>
    <s v="-"/>
    <s v="-"/>
    <n v="598"/>
    <n v="0"/>
  </r>
  <r>
    <x v="299"/>
    <s v="Andreas Schmitz"/>
    <x v="175"/>
    <s v="Video, Infographic"/>
    <s v="Innovation"/>
    <s v="GCO – Industry Cloud "/>
    <s v="No"/>
    <s v="Global"/>
    <n v="532"/>
    <n v="0"/>
    <s v="-"/>
    <s v="-"/>
    <n v="869"/>
    <n v="0"/>
    <s v="-"/>
    <s v="-"/>
    <s v="-"/>
    <s v="-"/>
    <n v="1401"/>
    <n v="0"/>
  </r>
  <r>
    <x v="300"/>
    <s v="Stephan Magura"/>
    <x v="176"/>
    <m/>
    <s v="Corporate"/>
    <s v="Human Resources (SAP HR and employee stories)"/>
    <s v="No"/>
    <s v="NA"/>
    <n v="2783"/>
    <n v="43"/>
    <s v="-"/>
    <s v="-"/>
    <s v="-"/>
    <s v="-"/>
    <s v="-"/>
    <s v="-"/>
    <s v="-"/>
    <s v="-"/>
    <n v="2783"/>
    <n v="43"/>
  </r>
  <r>
    <x v="301"/>
    <s v="Paul Baur"/>
    <x v="177"/>
    <s v="Video"/>
    <s v="Corporate"/>
    <s v="GCO – Industry Cloud "/>
    <s v="No"/>
    <s v="Global"/>
    <n v="4307"/>
    <n v="3"/>
    <s v="-"/>
    <s v="-"/>
    <s v="-"/>
    <s v="-"/>
    <s v="-"/>
    <s v="-"/>
    <s v="-"/>
    <s v="-"/>
    <n v="4307"/>
    <n v="3"/>
  </r>
  <r>
    <x v="302"/>
    <s v="Paul Taylor"/>
    <x v="178"/>
    <s v="Video"/>
    <s v="Innovation"/>
    <s v="Business Network (Concur, Ariba, Fieldglass), Office of the CEO, P&amp;I (Research &amp; Development)"/>
    <s v="No"/>
    <s v="Global"/>
    <n v="7129"/>
    <n v="51"/>
    <s v="-"/>
    <s v="-"/>
    <n v="301"/>
    <n v="0"/>
    <n v="982"/>
    <n v="0"/>
    <s v="-"/>
    <s v="-"/>
    <n v="8412"/>
    <n v="51"/>
  </r>
  <r>
    <x v="303"/>
    <s v="Paul Baur"/>
    <x v="178"/>
    <s v="Video"/>
    <s v="Corporate"/>
    <s v="Office of the CEO"/>
    <s v="No"/>
    <s v="Global"/>
    <n v="3323"/>
    <n v="8"/>
    <s v="-"/>
    <s v="-"/>
    <s v="-"/>
    <s v="-"/>
    <s v="-"/>
    <s v="-"/>
    <s v="-"/>
    <s v="-"/>
    <n v="3323"/>
    <n v="8"/>
  </r>
  <r>
    <x v="304"/>
    <s v="Judith Magyar, Carolyn Coad"/>
    <x v="178"/>
    <m/>
    <s v="Corporate"/>
    <s v="GCO – Platform Solutions"/>
    <s v="Yes"/>
    <s v="Global"/>
    <n v="1045"/>
    <n v="0"/>
    <s v="-"/>
    <s v="-"/>
    <n v="725"/>
    <n v="0"/>
    <s v="-"/>
    <s v="-"/>
    <s v="-"/>
    <s v="-"/>
    <n v="1770"/>
    <n v="0"/>
  </r>
  <r>
    <x v="305"/>
    <s v="Judith Magyar"/>
    <x v="179"/>
    <m/>
    <s v="Innovation"/>
    <s v="GCO – Industry Cloud "/>
    <s v="Yes"/>
    <s v="LATAM"/>
    <n v="846"/>
    <n v="1"/>
    <s v="-"/>
    <s v="-"/>
    <n v="98"/>
    <n v="0"/>
    <n v="407"/>
    <n v="0"/>
    <s v="-"/>
    <s v="-"/>
    <n v="1351"/>
    <n v="1"/>
  </r>
  <r>
    <x v="306"/>
    <s v="Stephan Magura"/>
    <x v="180"/>
    <m/>
    <s v="Innovation"/>
    <s v="GCO – Industry Cloud , GCO – Services Sales"/>
    <s v="Yes"/>
    <s v="EMEA"/>
    <n v="623"/>
    <n v="3"/>
    <s v="-"/>
    <s v="-"/>
    <n v="211"/>
    <n v="1"/>
    <s v="-"/>
    <s v="-"/>
    <s v="-"/>
    <s v="-"/>
    <n v="834"/>
    <n v="4"/>
  </r>
  <r>
    <x v="307"/>
    <s v="Judith Magyar"/>
    <x v="181"/>
    <m/>
    <s v="Youth, Innovation"/>
    <s v="Office of the CEO"/>
    <s v="No"/>
    <s v="Global"/>
    <n v="4093"/>
    <n v="3"/>
    <s v="-"/>
    <s v="-"/>
    <s v="-"/>
    <s v="-"/>
    <s v="-"/>
    <s v="-"/>
    <s v="-"/>
    <s v="-"/>
    <n v="4093"/>
    <n v="3"/>
  </r>
  <r>
    <x v="308"/>
    <s v="Paul Baur"/>
    <x v="182"/>
    <m/>
    <s v="Corporate"/>
    <s v="Corporate"/>
    <s v="No"/>
    <s v="Global"/>
    <n v="350"/>
    <n v="0"/>
    <s v="-"/>
    <s v="-"/>
    <s v="-"/>
    <s v="-"/>
    <s v="-"/>
    <s v="-"/>
    <s v="-"/>
    <s v="-"/>
    <n v="350"/>
    <n v="0"/>
  </r>
  <r>
    <x v="309"/>
    <s v="Judith Magyar"/>
    <x v="183"/>
    <s v="Video"/>
    <s v="Sports"/>
    <s v="GCO – Platform Solutions"/>
    <s v="No"/>
    <s v="NA"/>
    <n v="1189"/>
    <n v="1"/>
    <s v="-"/>
    <s v="-"/>
    <n v="227"/>
    <n v="0"/>
    <n v="780"/>
    <n v="0"/>
    <s v="-"/>
    <s v="-"/>
    <n v="2196"/>
    <n v="1"/>
  </r>
  <r>
    <x v="310"/>
    <s v="Stephan Magura"/>
    <x v="183"/>
    <m/>
    <s v="Innovation"/>
    <s v="Services Delivery &amp; Support (go-lives and deployments) "/>
    <s v="Yes"/>
    <s v="EMEA"/>
    <n v="690"/>
    <n v="0"/>
    <s v="-"/>
    <s v="-"/>
    <s v="-"/>
    <s v="-"/>
    <s v="-"/>
    <s v="-"/>
    <s v="-"/>
    <s v="-"/>
    <n v="690"/>
    <n v="0"/>
  </r>
  <r>
    <x v="311"/>
    <s v="Miriam Siebeking"/>
    <x v="184"/>
    <s v="Video"/>
    <s v="Corporate"/>
    <s v="Corporate"/>
    <s v="No"/>
    <s v="Global"/>
    <n v="1297"/>
    <n v="1"/>
    <s v="-"/>
    <s v="-"/>
    <s v="-"/>
    <s v="-"/>
    <s v="-"/>
    <s v="-"/>
    <s v="-"/>
    <s v="-"/>
    <n v="1297"/>
    <n v="1"/>
  </r>
  <r>
    <x v="312"/>
    <s v="Robin Meyerhoff"/>
    <x v="185"/>
    <s v="Video"/>
    <s v="Innovation"/>
    <s v="Business Network (Concur, Ariba, Fieldglass), P&amp;I (Research &amp; Development), GCO – Industry Cloud "/>
    <s v="No"/>
    <s v="Global"/>
    <n v="1046"/>
    <n v="0"/>
    <n v="673"/>
    <n v="0"/>
    <n v="84"/>
    <n v="0"/>
    <n v="356"/>
    <n v="2"/>
    <s v="-"/>
    <s v="-"/>
    <n v="2159"/>
    <n v="2"/>
  </r>
  <r>
    <x v="313"/>
    <s v="Judith Magyar"/>
    <x v="185"/>
    <m/>
    <s v="Innovation"/>
    <s v="GCO – Industry Cloud "/>
    <s v="Yes"/>
    <s v="EMEA"/>
    <n v="879"/>
    <n v="1"/>
    <s v="-"/>
    <s v="-"/>
    <n v="61"/>
    <n v="0"/>
    <n v="221"/>
    <n v="0"/>
    <s v="-"/>
    <s v="-"/>
    <n v="1161"/>
    <n v="1"/>
  </r>
  <r>
    <x v="314"/>
    <s v="Jackie Montesinos Suarez"/>
    <x v="186"/>
    <s v="Video"/>
    <s v="Innovation, Sports"/>
    <s v="GCO – Other"/>
    <s v="No"/>
    <s v="NA"/>
    <n v="848"/>
    <n v="3"/>
    <s v="-"/>
    <s v="-"/>
    <s v="-"/>
    <s v="-"/>
    <s v="-"/>
    <s v="-"/>
    <s v="-"/>
    <s v="-"/>
    <n v="848"/>
    <n v="3"/>
  </r>
  <r>
    <x v="315"/>
    <s v="Paul Taylor"/>
    <x v="187"/>
    <s v="Video"/>
    <s v="Innovation"/>
    <s v="GCO – Platform Solutions"/>
    <s v="No"/>
    <s v="EMEA, NA"/>
    <n v="2835"/>
    <n v="10"/>
    <s v="-"/>
    <s v="-"/>
    <n v="76"/>
    <n v="0"/>
    <n v="313"/>
    <n v="0"/>
    <s v="-"/>
    <s v="-"/>
    <n v="3224"/>
    <n v="10"/>
  </r>
  <r>
    <x v="316"/>
    <s v="Judith Magyar"/>
    <x v="187"/>
    <m/>
    <s v="Innovation"/>
    <s v="GCO – Industry Cloud , GCO – Platform Solutions"/>
    <s v="No"/>
    <s v="EMEA"/>
    <n v="2897"/>
    <n v="10"/>
    <s v="-"/>
    <s v="-"/>
    <n v="236"/>
    <n v="0"/>
    <s v="-"/>
    <s v="-"/>
    <s v="-"/>
    <s v="-"/>
    <n v="3133"/>
    <n v="10"/>
  </r>
  <r>
    <x v="317"/>
    <s v="Paul Taylor"/>
    <x v="188"/>
    <m/>
    <s v="Corporate"/>
    <s v="Human Resources (SAP HR and employee stories), Corporate"/>
    <s v="No"/>
    <s v="EMEA"/>
    <n v="6411"/>
    <n v="58"/>
    <s v="-"/>
    <s v="-"/>
    <s v="-"/>
    <s v="-"/>
    <s v="-"/>
    <s v="-"/>
    <s v="-"/>
    <s v="-"/>
    <n v="6411"/>
    <n v="58"/>
  </r>
  <r>
    <x v="318"/>
    <s v="Patricia Crazzolara, Kesja Cichowski"/>
    <x v="189"/>
    <s v="Video"/>
    <s v="Corporate"/>
    <s v="Human Resources (SAP HR and employee stories)"/>
    <s v="No"/>
    <s v="EMEA"/>
    <n v="1700"/>
    <n v="24"/>
    <s v="-"/>
    <s v="-"/>
    <n v="84"/>
    <n v="0"/>
    <s v="-"/>
    <s v="-"/>
    <s v="-"/>
    <s v="-"/>
    <n v="1784"/>
    <n v="24"/>
  </r>
  <r>
    <x v="319"/>
    <s v="Stephan Magura"/>
    <x v="190"/>
    <m/>
    <s v="Corporate"/>
    <s v="Human Resources (SAP HR and employee stories)"/>
    <s v="No"/>
    <s v="Global"/>
    <n v="1641"/>
    <n v="1"/>
    <s v="-"/>
    <s v="-"/>
    <s v="-"/>
    <s v="-"/>
    <s v="-"/>
    <s v="-"/>
    <s v="-"/>
    <s v="-"/>
    <n v="1641"/>
    <n v="1"/>
  </r>
  <r>
    <x v="320"/>
    <s v="Corinna Machmeier"/>
    <x v="191"/>
    <s v="Video"/>
    <s v="Corporate, Youth"/>
    <s v="Human Resources (SAP HR and employee stories)"/>
    <s v="No"/>
    <s v="EMEA"/>
    <n v="1349"/>
    <n v="4"/>
    <s v="-"/>
    <s v="-"/>
    <n v="178"/>
    <n v="0"/>
    <s v="-"/>
    <s v="-"/>
    <s v="-"/>
    <s v="-"/>
    <n v="1527"/>
    <n v="4"/>
  </r>
  <r>
    <x v="321"/>
    <s v="Robin Meyerhoff"/>
    <x v="192"/>
    <s v="Infographic"/>
    <s v="Corporate"/>
    <s v="Human Resources (SAP HR and employee stories), Corporate, Office of the CEO"/>
    <s v="No"/>
    <s v="Global"/>
    <n v="2998"/>
    <n v="25"/>
    <s v="-"/>
    <s v="-"/>
    <n v="117"/>
    <n v="0"/>
    <n v="562"/>
    <n v="2"/>
    <s v="-"/>
    <s v="-"/>
    <n v="3677"/>
    <n v="27"/>
  </r>
  <r>
    <x v="322"/>
    <s v="Stephan Magura"/>
    <x v="192"/>
    <m/>
    <s v="Corporate"/>
    <s v="Human Resources (SAP HR and employee stories)"/>
    <s v="No"/>
    <s v="EMEA"/>
    <n v="1829"/>
    <n v="4"/>
    <s v="-"/>
    <s v="-"/>
    <s v="-"/>
    <s v="-"/>
    <s v="-"/>
    <s v="-"/>
    <s v="-"/>
    <s v="-"/>
    <n v="1829"/>
    <n v="4"/>
  </r>
  <r>
    <x v="323"/>
    <s v="Stephan Magura"/>
    <x v="193"/>
    <s v="Video"/>
    <s v="Innovation"/>
    <s v="Services Delivery &amp; Support (go-lives and deployments) "/>
    <s v="No"/>
    <s v="EMEA"/>
    <n v="1779"/>
    <n v="2"/>
    <s v="-"/>
    <s v="-"/>
    <s v="-"/>
    <s v="-"/>
    <s v="-"/>
    <s v="-"/>
    <s v="-"/>
    <s v="-"/>
    <n v="1779"/>
    <n v="2"/>
  </r>
  <r>
    <x v="324"/>
    <s v="Paul Taylor"/>
    <x v="193"/>
    <s v="Video"/>
    <s v="Innovation"/>
    <s v="GCO – Platform Solutions, Business Network (Concur, Ariba, Fieldglass)"/>
    <s v="No"/>
    <s v="Global"/>
    <n v="2047"/>
    <n v="0"/>
    <s v="-"/>
    <s v="-"/>
    <s v="-"/>
    <s v="-"/>
    <n v="1393"/>
    <n v="0"/>
    <s v="-"/>
    <s v="-"/>
    <n v="3440"/>
    <n v="0"/>
  </r>
  <r>
    <x v="325"/>
    <s v="Paul Baur, Alexander Januschke, Natalie Hauck"/>
    <x v="194"/>
    <s v="Video"/>
    <s v="Corporate, Sports"/>
    <s v="Human Resources (SAP HR and employee stories)"/>
    <s v="No"/>
    <s v="EMEA"/>
    <n v="8691"/>
    <n v="18"/>
    <s v="-"/>
    <s v="-"/>
    <s v="-"/>
    <s v="-"/>
    <n v="226"/>
    <n v="0"/>
    <s v="-"/>
    <s v="-"/>
    <n v="8917"/>
    <n v="18"/>
  </r>
  <r>
    <x v="326"/>
    <s v="Michael Zipf"/>
    <x v="194"/>
    <m/>
    <s v="Corporate"/>
    <s v="Corporate"/>
    <s v="No"/>
    <s v="Global"/>
    <n v="525"/>
    <n v="4"/>
    <s v="-"/>
    <s v="-"/>
    <s v="-"/>
    <s v="-"/>
    <s v="-"/>
    <s v="-"/>
    <s v="-"/>
    <s v="-"/>
    <n v="525"/>
    <n v="4"/>
  </r>
  <r>
    <x v="327"/>
    <s v="SAP News"/>
    <x v="195"/>
    <m/>
    <s v="Corporate, Innovation"/>
    <s v="Office of the CEO, Corporate, GCO – Industry Cloud "/>
    <s v="No"/>
    <s v="Global"/>
    <n v="1310"/>
    <n v="2"/>
    <s v="-"/>
    <s v="-"/>
    <s v="-"/>
    <s v="-"/>
    <s v="-"/>
    <s v="-"/>
    <s v="-"/>
    <s v="-"/>
    <n v="1310"/>
    <n v="2"/>
  </r>
  <r>
    <x v="328"/>
    <s v="Michael Nuesslein "/>
    <x v="196"/>
    <s v="Video"/>
    <s v="Sports"/>
    <s v="GCO – Industry Cloud , GCO – Platform Solutions"/>
    <s v="Yes"/>
    <s v="EMEA"/>
    <n v="2336"/>
    <n v="5"/>
    <s v="-"/>
    <s v="-"/>
    <m/>
    <m/>
    <s v="-"/>
    <s v="-"/>
    <s v="-"/>
    <s v="-"/>
    <n v="2336"/>
    <n v="5"/>
  </r>
  <r>
    <x v="329"/>
    <s v="Corinna Machmeier "/>
    <x v="197"/>
    <s v="Video"/>
    <s v="Youth, Innovation"/>
    <s v="Corporate, P&amp;I (Research &amp; Development)"/>
    <s v="No"/>
    <s v="NA"/>
    <n v="473"/>
    <n v="0"/>
    <s v="-"/>
    <s v="-"/>
    <m/>
    <m/>
    <s v="-"/>
    <s v="-"/>
    <s v="-"/>
    <s v="-"/>
    <n v="473"/>
    <n v="0"/>
  </r>
  <r>
    <x v="330"/>
    <s v="Judith Magyar "/>
    <x v="197"/>
    <s v="Video"/>
    <s v="Corporate"/>
    <s v="GCO – Industry Cloud , GCO – Platform Solutions, P&amp;I (Research &amp; Development)"/>
    <s v="No"/>
    <s v="EMEA, NA"/>
    <n v="186"/>
    <n v="0"/>
    <s v="-"/>
    <s v="-"/>
    <m/>
    <m/>
    <s v="-"/>
    <s v="-"/>
    <s v="-"/>
    <s v="-"/>
    <n v="186"/>
    <n v="0"/>
  </r>
  <r>
    <x v="196"/>
    <s v="Miriam Siebeking"/>
    <x v="198"/>
    <m/>
    <s v="Corporate"/>
    <s v="Corporate, Human Resources (SAP HR and employee stories)"/>
    <s v="No"/>
    <s v="Global"/>
    <n v="2914"/>
    <n v="10"/>
    <s v="-"/>
    <s v="-"/>
    <m/>
    <m/>
    <s v="-"/>
    <s v="-"/>
    <s v="-"/>
    <s v="-"/>
    <n v="2914"/>
    <n v="10"/>
  </r>
  <r>
    <x v="331"/>
    <s v="Michael Zipf"/>
    <x v="198"/>
    <m/>
    <s v="Corporate, Innovation"/>
    <s v="GCO – Other, GCO – Industry Cloud "/>
    <s v="No"/>
    <s v="Global"/>
    <n v="176"/>
    <n v="0"/>
    <s v="-"/>
    <s v="-"/>
    <m/>
    <m/>
    <s v="-"/>
    <s v="-"/>
    <n v="83805"/>
    <n v="7"/>
    <n v="176"/>
    <n v="0"/>
  </r>
  <r>
    <x v="332"/>
    <s v="Jon Leiberman"/>
    <x v="199"/>
    <m/>
    <s v="Innovation, Corporate"/>
    <s v="GCO – Industry Cloud "/>
    <s v="No"/>
    <s v="Global"/>
    <n v="83"/>
    <n v="0"/>
    <s v="-"/>
    <s v="-"/>
    <m/>
    <m/>
    <s v="-"/>
    <s v="-"/>
    <n v="80370"/>
    <n v="4"/>
    <n v="83"/>
    <n v="0"/>
  </r>
  <r>
    <x v="333"/>
    <s v="Steve Lucas, Jon Leiberman "/>
    <x v="200"/>
    <s v="Video"/>
    <s v="Innovation"/>
    <s v="GCO – Industry Cloud "/>
    <s v="No"/>
    <s v="Global"/>
    <n v="2117"/>
    <n v="9"/>
    <s v="-"/>
    <s v="-"/>
    <m/>
    <m/>
    <s v="-"/>
    <s v="-"/>
    <s v="-"/>
    <s v="-"/>
    <n v="2117"/>
    <n v="9"/>
  </r>
  <r>
    <x v="334"/>
    <s v="Michael Zipf"/>
    <x v="200"/>
    <s v="Video"/>
    <s v="Corporate, Innovation"/>
    <s v="Corporate, GCO – Industry Cloud "/>
    <s v="No"/>
    <s v="Global"/>
    <n v="244"/>
    <n v="0"/>
    <s v="-"/>
    <s v="-"/>
    <m/>
    <m/>
    <s v="-"/>
    <s v="-"/>
    <n v="83125"/>
    <n v="6"/>
    <n v="244"/>
    <n v="0"/>
  </r>
  <r>
    <x v="335"/>
    <s v="Robin Meyerhoff "/>
    <x v="201"/>
    <s v="Video"/>
    <s v="Innovation, Sports"/>
    <s v="GCO – Industry Cloud , GCO – Platform Solutions"/>
    <s v="Yes"/>
    <s v="Global"/>
    <n v="1892"/>
    <n v="1"/>
    <s v="-"/>
    <s v="-"/>
    <m/>
    <m/>
    <s v="-"/>
    <s v="-"/>
    <s v="-"/>
    <s v="-"/>
    <n v="1892"/>
    <n v="1"/>
  </r>
  <r>
    <x v="336"/>
    <s v="Stephan Magura, Thomas Leonhardi "/>
    <x v="201"/>
    <s v="Video"/>
    <s v="Innovation"/>
    <s v="GCO – Industry Cloud "/>
    <s v="Yes"/>
    <s v="Global"/>
    <n v="1794"/>
    <n v="1"/>
    <s v="-"/>
    <s v="-"/>
    <m/>
    <m/>
    <s v="-"/>
    <s v="-"/>
    <s v="-"/>
    <s v="-"/>
    <n v="1794"/>
    <n v="1"/>
  </r>
  <r>
    <x v="337"/>
    <s v="Michael Zipf"/>
    <x v="202"/>
    <s v="Video"/>
    <s v="Innovation"/>
    <s v="GCO – Industry Cloud , P&amp;I (Research &amp; Development)"/>
    <s v="No"/>
    <s v="NA"/>
    <n v="326"/>
    <n v="1"/>
    <s v="-"/>
    <s v="-"/>
    <m/>
    <m/>
    <s v="-"/>
    <s v="-"/>
    <n v="82457"/>
    <n v="6"/>
    <n v="326"/>
    <n v="1"/>
  </r>
  <r>
    <x v="338"/>
    <s v="Paul Taylor"/>
    <x v="203"/>
    <s v="Video"/>
    <s v="Healthcare, Innovation"/>
    <s v="GCO – Platform Solutions, GCO – Industry Cloud "/>
    <s v="Yes"/>
    <s v="Global"/>
    <n v="1016"/>
    <n v="1"/>
    <s v="-"/>
    <s v="-"/>
    <m/>
    <m/>
    <s v="-"/>
    <s v="-"/>
    <s v="-"/>
    <s v="-"/>
    <n v="1016"/>
    <n v="1"/>
  </r>
  <r>
    <x v="339"/>
    <s v="Paul Baur, Natalie Hauck, Alexander Januschke "/>
    <x v="204"/>
    <s v="Video"/>
    <s v="Innovation, Sports"/>
    <s v="GCO – Platform Solutions"/>
    <s v="No"/>
    <s v="EMEA"/>
    <n v="1636"/>
    <n v="13"/>
    <s v="-"/>
    <s v="-"/>
    <m/>
    <m/>
    <n v="209"/>
    <n v="0"/>
    <n v="80955"/>
    <n v="2"/>
    <n v="1845"/>
    <n v="13"/>
  </r>
  <r>
    <x v="340"/>
    <s v="Megan Meany"/>
    <x v="205"/>
    <m/>
    <s v="Innovation"/>
    <s v="GCO – Industry Cloud "/>
    <s v="Yes"/>
    <s v="NA"/>
    <n v="41"/>
    <n v="0"/>
    <s v="-"/>
    <s v="-"/>
    <m/>
    <m/>
    <s v="-"/>
    <s v="-"/>
    <n v="81447"/>
    <n v="9"/>
    <n v="41"/>
    <n v="0"/>
  </r>
  <r>
    <x v="341"/>
    <s v="Jon Leiberman"/>
    <x v="206"/>
    <m/>
    <s v="Innovation"/>
    <s v="GCO – Industry Cloud "/>
    <s v="Yes"/>
    <s v="NA"/>
    <n v="36"/>
    <n v="0"/>
    <s v="-"/>
    <s v="-"/>
    <m/>
    <m/>
    <s v="-"/>
    <s v="-"/>
    <n v="14016"/>
    <n v="0"/>
    <n v="36"/>
    <n v="0"/>
  </r>
  <r>
    <x v="342"/>
    <s v="Robin Meyerhoff"/>
    <x v="207"/>
    <s v="Infographic"/>
    <s v="Corporate"/>
    <s v="GCO – Regions, Human Resources (SAP HR and employee stories), Office of the CEO, GCO – Industry Cloud "/>
    <s v="No"/>
    <s v="APJ"/>
    <n v="3542"/>
    <n v="16"/>
    <s v="-"/>
    <s v="-"/>
    <m/>
    <m/>
    <n v="1684"/>
    <n v="0"/>
    <s v="-"/>
    <s v="-"/>
    <n v="5226"/>
    <n v="16"/>
  </r>
  <r>
    <x v="343"/>
    <s v="Renata Pompeu Pividal, Robin Meyerhoff"/>
    <x v="207"/>
    <s v="Video"/>
    <s v="Innovation, Youth"/>
    <s v="Human Resources (SAP HR and employee stories), GCO – Platform Solutions, Office of the CEO, GCO – Regions"/>
    <s v="Yes"/>
    <s v="LATAM"/>
    <n v="1095"/>
    <n v="10"/>
    <n v="2424"/>
    <n v="0"/>
    <m/>
    <m/>
    <n v="529"/>
    <n v="0"/>
    <n v="81853"/>
    <n v="6"/>
    <n v="4048"/>
    <n v="10"/>
  </r>
  <r>
    <x v="344"/>
    <s v="Stephan Magura"/>
    <x v="208"/>
    <s v="Video"/>
    <s v="Corporate"/>
    <s v="GCO – Industry Cloud , Services Delivery &amp; Support (go-lives and deployments) "/>
    <s v="No"/>
    <s v="Global"/>
    <n v="1629"/>
    <n v="4"/>
    <s v="-"/>
    <s v="-"/>
    <s v="TBC"/>
    <s v="TBC"/>
    <s v="-"/>
    <s v="-"/>
    <n v="84108"/>
    <n v="2"/>
    <n v="1629"/>
    <n v="4"/>
  </r>
  <r>
    <x v="345"/>
    <s v="Robin Meyerhoff"/>
    <x v="209"/>
    <m/>
    <s v="Corporate, Youth, Innovation"/>
    <s v="Human Resources (SAP HR and employee stories), GCO – Regions"/>
    <s v="No"/>
    <s v="EMEA"/>
    <n v="1532"/>
    <n v="7"/>
    <s v="-"/>
    <s v="-"/>
    <m/>
    <m/>
    <n v="556"/>
    <n v="0"/>
    <s v="-"/>
    <s v="-"/>
    <n v="2088"/>
    <n v="7"/>
  </r>
  <r>
    <x v="346"/>
    <s v="Andreas Schmitz"/>
    <x v="210"/>
    <m/>
    <s v="Innovation"/>
    <s v="GCO – Industry Cloud "/>
    <s v="Yes"/>
    <s v="Global"/>
    <s v="-"/>
    <s v="-"/>
    <s v="-"/>
    <s v="-"/>
    <s v="TBC"/>
    <s v="TBC"/>
    <s v="-"/>
    <s v="-"/>
    <n v="83197"/>
    <n v="3"/>
    <n v="0"/>
    <n v="0"/>
  </r>
  <r>
    <x v="347"/>
    <s v="Andreas Schmitz"/>
    <x v="211"/>
    <m/>
    <s v="Innovation, Corporate"/>
    <s v="GCO – Industry Cloud , GCO – Platform Solutions"/>
    <s v="Yes"/>
    <s v="EMEA"/>
    <s v="-"/>
    <s v="-"/>
    <s v="-"/>
    <s v="-"/>
    <s v="TBC"/>
    <s v="TBC"/>
    <s v="-"/>
    <s v="-"/>
    <n v="81655"/>
    <n v="11"/>
    <n v="0"/>
    <n v="0"/>
  </r>
  <r>
    <x v="348"/>
    <s v="Paul Baur"/>
    <x v="212"/>
    <m/>
    <s v="Corporate"/>
    <s v="Human Resources (SAP HR and employee stories)"/>
    <s v="No"/>
    <s v="APJ"/>
    <n v="1381"/>
    <n v="13"/>
    <s v="-"/>
    <s v="-"/>
    <m/>
    <m/>
    <s v="-"/>
    <s v="-"/>
    <s v="-"/>
    <s v="-"/>
    <n v="1381"/>
    <n v="13"/>
  </r>
  <r>
    <x v="349"/>
    <s v="Judith Magyar "/>
    <x v="212"/>
    <s v="Video"/>
    <s v="Innovation"/>
    <s v="GCO – Services Sales"/>
    <s v="Yes"/>
    <s v="LATAM"/>
    <n v="1682"/>
    <n v="11"/>
    <s v="-"/>
    <s v="-"/>
    <m/>
    <m/>
    <s v="-"/>
    <s v="-"/>
    <s v="-"/>
    <s v="-"/>
    <n v="1682"/>
    <n v="11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count="508">
  <r>
    <m/>
    <m/>
    <x v="0"/>
    <m/>
    <m/>
    <m/>
    <x v="0"/>
    <x v="0"/>
  </r>
  <r>
    <s v="A New Twist To the News"/>
    <s v="Michael Zipf"/>
    <x v="1"/>
    <m/>
    <s v="Corporate"/>
    <s v="Corporate"/>
    <x v="1"/>
    <x v="1"/>
  </r>
  <r>
    <s v="“The Driving Force is Data”"/>
    <s v="Paul Baur"/>
    <x v="1"/>
    <s v="Video"/>
    <s v="Sports"/>
    <s v="P&amp;I (Research &amp; Development)"/>
    <x v="2"/>
    <x v="1"/>
  </r>
  <r>
    <s v="The Disruptors: Doing the Smart Thing"/>
    <s v="Judith Magyar"/>
    <x v="1"/>
    <s v="Video"/>
    <s v="Innovation"/>
    <s v="GCO – Platform Solutions"/>
    <x v="2"/>
    <x v="1"/>
  </r>
  <r>
    <s v="IBM is Practicing What SAP Teaches"/>
    <s v="Sarah Kellman"/>
    <x v="2"/>
    <m/>
    <s v="Innovation"/>
    <s v="GPO (Partner, Ecosystem, Channels)"/>
    <x v="1"/>
    <x v="1"/>
  </r>
  <r>
    <s v="Mobility Compliance Reloaded"/>
    <s v="Phillip Klewitz"/>
    <x v="3"/>
    <m/>
    <s v="Innovation"/>
    <s v="GCO – Platform Solutions"/>
    <x v="1"/>
    <x v="1"/>
  </r>
  <r>
    <s v="Overcoming the Trust Deficit"/>
    <s v="Paul Taylor"/>
    <x v="4"/>
    <m/>
    <s v="Innovation"/>
    <s v="Corporate"/>
    <x v="1"/>
    <x v="1"/>
  </r>
  <r>
    <s v="Global Managing Board Adds Two Members"/>
    <s v="SAP News"/>
    <x v="5"/>
    <m/>
    <s v="Corporate"/>
    <s v="Corporate"/>
    <x v="1"/>
    <x v="1"/>
  </r>
  <r>
    <s v="Photo Contest: Bending the Rules"/>
    <s v="Miriam Siebeking"/>
    <x v="5"/>
    <m/>
    <s v="Corporate"/>
    <s v="Corporate"/>
    <x v="1"/>
    <x v="1"/>
  </r>
  <r>
    <s v="The Results Are Out"/>
    <s v="Torsten Falk"/>
    <x v="6"/>
    <s v="Video, Infographic"/>
    <s v="Corporate"/>
    <s v="Human Resources (SAP HR and employee stories)"/>
    <x v="1"/>
    <x v="1"/>
  </r>
  <r>
    <s v="SAP Achieves 2014 Outlook as Cloud Surges"/>
    <s v="Paul Baur"/>
    <x v="6"/>
    <m/>
    <s v="Innovation"/>
    <s v="Office of the CEO"/>
    <x v="1"/>
    <x v="1"/>
  </r>
  <r>
    <s v="Top 5: Empowering Women at Work"/>
    <s v="Sarah Harvey"/>
    <x v="7"/>
    <m/>
    <s v="Corporate"/>
    <s v="Human Resources (SAP HR and employee stories)"/>
    <x v="1"/>
    <x v="1"/>
  </r>
  <r>
    <s v="Customer Connection Helps Optimize Products"/>
    <s v="Cueneyt Cam"/>
    <x v="7"/>
    <m/>
    <s v="Corporate"/>
    <s v="Corporate"/>
    <x v="1"/>
    <x v="1"/>
  </r>
  <r>
    <s v="Security Is in Your Hands"/>
    <s v="Agnes Biesiekierska"/>
    <x v="8"/>
    <m/>
    <s v="Corporate"/>
    <s v="Corporate"/>
    <x v="1"/>
    <x v="1"/>
  </r>
  <r>
    <s v="Phase One of SAP.com Goes Live"/>
    <s v="Richard Nikolic"/>
    <x v="9"/>
    <m/>
    <s v="Corporate"/>
    <s v="Corporate"/>
    <x v="1"/>
    <x v="1"/>
  </r>
  <r>
    <s v="New Regional Appointments in EMEA and MEE"/>
    <s v="Paul Baur"/>
    <x v="9"/>
    <m/>
    <s v="Corporate"/>
    <s v="Corporate"/>
    <x v="1"/>
    <x v="2"/>
  </r>
  <r>
    <s v="Is Unpredictability the New Norm?"/>
    <s v="Paul Taylor"/>
    <x v="10"/>
    <s v="Infographic"/>
    <s v="Innovation"/>
    <s v="Business Network (Concur, Ariba, Fieldglass)"/>
    <x v="1"/>
    <x v="1"/>
  </r>
  <r>
    <s v="Regaining the Upper Hand with S4HANA"/>
    <s v="Stephan Magura"/>
    <x v="10"/>
    <m/>
    <s v="Innovation"/>
    <s v="Office of the CEO"/>
    <x v="1"/>
    <x v="1"/>
  </r>
  <r>
    <s v="2015: Full Throttle for Cloud Growth"/>
    <s v="Paul Baur"/>
    <x v="11"/>
    <s v="Video"/>
    <s v="Innovation"/>
    <s v="Office of the CEO"/>
    <x v="1"/>
    <x v="1"/>
  </r>
  <r>
    <s v="Capturing the Essence of SAP"/>
    <s v="Torsten Falk"/>
    <x v="11"/>
    <s v="Video"/>
    <s v="Corporate"/>
    <s v="Office of the CEO"/>
    <x v="1"/>
    <x v="1"/>
  </r>
  <r>
    <s v="The Disruptors: Harley to Minas Gerais"/>
    <s v="Judith Magyar"/>
    <x v="12"/>
    <s v="Video"/>
    <s v="Innovation"/>
    <s v="GCO – Platform Solutions"/>
    <x v="2"/>
    <x v="1"/>
  </r>
  <r>
    <s v="Career Path: From Manager to Expert"/>
    <s v="Torsten Falk"/>
    <x v="13"/>
    <m/>
    <s v="Corporate"/>
    <s v="Human Resources (SAP HR and employee stories)"/>
    <x v="1"/>
    <x v="1"/>
  </r>
  <r>
    <s v="Are You a Sports Ignoramus?"/>
    <s v="Paul Baur"/>
    <x v="13"/>
    <s v="Video"/>
    <s v="Sports"/>
    <s v="Corporate"/>
    <x v="1"/>
    <x v="1"/>
  </r>
  <r>
    <s v="SAP at World Economic Forum (Day 1)"/>
    <s v="Jennifer Alejandro"/>
    <x v="13"/>
    <s v="Video"/>
    <s v="Innovation"/>
    <s v="Office of the CEO"/>
    <x v="1"/>
    <x v="1"/>
  </r>
  <r>
    <s v="Will Berlin Out-Innovate Silicon Valley?"/>
    <s v="Susan Galer"/>
    <x v="14"/>
    <m/>
    <s v="Innovation"/>
    <s v="P&amp;I (Research &amp; Development)"/>
    <x v="2"/>
    <x v="2"/>
  </r>
  <r>
    <s v="Hidden Champion: The Crisis Manager"/>
    <s v="Stephan Magura"/>
    <x v="15"/>
    <m/>
    <s v="Corporate"/>
    <s v="Human Resources (SAP HR and employee stories)"/>
    <x v="1"/>
    <x v="1"/>
  </r>
  <r>
    <s v="Forklift Meets Cloud"/>
    <s v="Michael Zipf"/>
    <x v="15"/>
    <m/>
    <s v="Innovation"/>
    <s v="GCO – Platform Solutions"/>
    <x v="1"/>
    <x v="1"/>
  </r>
  <r>
    <s v="A Business Leader in Marketing"/>
    <s v="John Pelle"/>
    <x v="16"/>
    <s v="Video"/>
    <s v="Innovation"/>
    <s v="Office of the CEO"/>
    <x v="1"/>
    <x v="1"/>
  </r>
  <r>
    <s v="Top Five Things to Know: Cristina Palmaka"/>
    <s v="Robin Meyerhoff"/>
    <x v="16"/>
    <m/>
    <s v="Corporate"/>
    <s v="GCO – Regions"/>
    <x v="1"/>
    <x v="3"/>
  </r>
  <r>
    <s v="Decoding the Human Body"/>
    <s v="Michael Zipf"/>
    <x v="17"/>
    <s v="Video"/>
    <s v="Healthcare"/>
    <s v="GCO – Platform Solutions"/>
    <x v="1"/>
    <x v="1"/>
  </r>
  <r>
    <s v="Watch for These Top Trends in 2015"/>
    <s v="Paul Baur"/>
    <x v="17"/>
    <m/>
    <s v="Innovation"/>
    <s v="Corporate"/>
    <x v="2"/>
    <x v="1"/>
  </r>
  <r>
    <s v="Bill in MENA: Exciting New Prospects"/>
    <s v="Courtney Robinson"/>
    <x v="18"/>
    <s v="Video"/>
    <s v="Youth"/>
    <s v="Office of the CEO"/>
    <x v="2"/>
    <x v="2"/>
  </r>
  <r>
    <s v="The Business Re-Imaginer"/>
    <s v="Robin Meyerhoff"/>
    <x v="19"/>
    <m/>
    <s v="Innovation"/>
    <s v="GCO – Industry Cloud "/>
    <x v="1"/>
    <x v="1"/>
  </r>
  <r>
    <s v="Connecting the Autism Community"/>
    <s v="Suan Jee Janice Ng"/>
    <x v="20"/>
    <m/>
    <s v="Corporate"/>
    <s v="GCO – HR (SuccessFactors)"/>
    <x v="1"/>
    <x v="1"/>
  </r>
  <r>
    <s v="The Complexity Antidote"/>
    <s v="Paul Taylor"/>
    <x v="21"/>
    <m/>
    <s v="Innovation"/>
    <s v="GCO – Industry Cloud "/>
    <x v="1"/>
    <x v="1"/>
  </r>
  <r>
    <s v="Cirque du Soleil - Free to be Creative"/>
    <s v="Paul Taylor"/>
    <x v="21"/>
    <m/>
    <s v="Innovation"/>
    <s v="GCO – HR (SuccessFactors)"/>
    <x v="2"/>
    <x v="1"/>
  </r>
  <r>
    <s v="The Disruptors: Eldorado for Shoppers"/>
    <s v="Judith Magyar"/>
    <x v="21"/>
    <m/>
    <s v="Innovation"/>
    <s v="GCO – Platform Solutions"/>
    <x v="2"/>
    <x v="1"/>
  </r>
  <r>
    <s v="Digitized Health Care Saves Lives"/>
    <s v="Robin Meyerhoff"/>
    <x v="21"/>
    <m/>
    <s v="Healthcare"/>
    <s v="GCO – Platform Solutions"/>
    <x v="1"/>
    <x v="1"/>
  </r>
  <r>
    <s v="Four Times to the Moon and Back"/>
    <s v="Christine Susanne Mueller"/>
    <x v="22"/>
    <m/>
    <s v="Innovation"/>
    <s v="Human Resources (SAP HR and employee stories)"/>
    <x v="1"/>
    <x v="1"/>
  </r>
  <r>
    <s v="SAP Turbo-Charges Education"/>
    <s v="Susan Galer"/>
    <x v="22"/>
    <m/>
    <s v="Youth"/>
    <s v="GCO – Other"/>
    <x v="1"/>
    <x v="1"/>
  </r>
  <r>
    <s v="Photo Contest: Bending the Rules"/>
    <s v="Miriam Siebeking"/>
    <x v="23"/>
    <m/>
    <s v="Corporate"/>
    <s v="Corporate"/>
    <x v="1"/>
    <x v="1"/>
  </r>
  <r>
    <s v="The Disruptors: Tech Dress at Work"/>
    <s v="Judith Magyar"/>
    <x v="24"/>
    <m/>
    <s v="Innovation"/>
    <s v="GCO – Platform Solutions"/>
    <x v="2"/>
    <x v="1"/>
  </r>
  <r>
    <s v="Building Bridges: Sound of Collaboration"/>
    <s v="Building Bridges"/>
    <x v="25"/>
    <m/>
    <s v="Corporate"/>
    <s v="Corporate"/>
    <x v="1"/>
    <x v="1"/>
  </r>
  <r>
    <s v="Ideas with Impact"/>
    <s v="Corinna Machmeier"/>
    <x v="25"/>
    <m/>
    <s v="Youth"/>
    <s v="Human Resources (SAP HR and employee stories)"/>
    <x v="1"/>
    <x v="1"/>
  </r>
  <r>
    <s v="Photo Contest: 2014 Winners Announced"/>
    <s v="Miriam Siebeking"/>
    <x v="26"/>
    <m/>
    <s v="Corporate"/>
    <s v="Corporate"/>
    <x v="1"/>
    <x v="1"/>
  </r>
  <r>
    <s v="“How We Run” Takes Off"/>
    <s v="Miriam Siebeking"/>
    <x v="26"/>
    <m/>
    <s v="Corporate"/>
    <s v="Human Resources (SAP HR and employee stories)"/>
    <x v="1"/>
    <x v="1"/>
  </r>
  <r>
    <s v="Get Your Cricket World Cup Updates"/>
    <s v="Michael Zipf"/>
    <x v="27"/>
    <m/>
    <s v="Sports"/>
    <s v="GCO – Platform Solutions"/>
    <x v="2"/>
    <x v="1"/>
  </r>
  <r>
    <s v="The Difference Between Life and Death"/>
    <s v="Susan Galer"/>
    <x v="27"/>
    <m/>
    <s v="Healthcare"/>
    <s v="GCO – Industry Cloud "/>
    <x v="1"/>
    <x v="1"/>
  </r>
  <r>
    <s v="Need to Know: SAP Corporate Framework"/>
    <s v="Tibor Hornyak"/>
    <x v="27"/>
    <m/>
    <s v="Innovation"/>
    <s v="Office of the CEO"/>
    <x v="1"/>
    <x v="1"/>
  </r>
  <r>
    <s v="The Disruptors: Plant Bottles, not Plastic"/>
    <s v="Judith Magyar"/>
    <x v="28"/>
    <m/>
    <s v="Innovation"/>
    <s v="GCO – Platform Solutions"/>
    <x v="2"/>
    <x v="1"/>
  </r>
  <r>
    <s v="Sending the Right Message"/>
    <s v="Jerry Janda"/>
    <x v="28"/>
    <s v="Infographic"/>
    <s v="Innovation"/>
    <s v="GCO – Industry Cloud "/>
    <x v="1"/>
    <x v="1"/>
  </r>
  <r>
    <s v="Big S/4HANA Wins in Latin America"/>
    <s v="Nicola Leske"/>
    <x v="29"/>
    <m/>
    <s v="Innovation"/>
    <s v="GCO – Industry Cloud "/>
    <x v="2"/>
    <x v="3"/>
  </r>
  <r>
    <s v="Powering the Energy Revolution"/>
    <s v="Bettina Wunderle"/>
    <x v="29"/>
    <m/>
    <s v="Innovation"/>
    <s v="Office of the CEO"/>
    <x v="1"/>
    <x v="1"/>
  </r>
  <r>
    <s v="“I Was Born This Way”"/>
    <s v="Kesja Cichowski"/>
    <x v="30"/>
    <m/>
    <s v="Corporate"/>
    <s v="Human Resources (SAP HR and employee stories)"/>
    <x v="1"/>
    <x v="1"/>
  </r>
  <r>
    <s v="SAP Labs India Hosts IoT Day"/>
    <s v="Sonakishi Nandy"/>
    <x v="30"/>
    <m/>
    <s v="Innovation"/>
    <s v="P&amp;I (Research &amp; Development)"/>
    <x v="1"/>
    <x v="2"/>
  </r>
  <r>
    <s v="SAP and NHL Team up for Hockey Fans"/>
    <s v="Lena Walther"/>
    <x v="31"/>
    <s v="Video"/>
    <s v="Sports"/>
    <s v="GCO – Industry Cloud "/>
    <x v="2"/>
    <x v="1"/>
  </r>
  <r>
    <s v="Getting Ahead of the Curve in Safety"/>
    <s v="Michael Zipf"/>
    <x v="32"/>
    <m/>
    <s v="Innovation"/>
    <s v="GCO – Regions"/>
    <x v="1"/>
    <x v="1"/>
  </r>
  <r>
    <s v="Sleeping Beauties"/>
    <s v="Stephan Magura"/>
    <x v="33"/>
    <m/>
    <s v="Innovation"/>
    <s v="Corporate"/>
    <x v="1"/>
    <x v="2"/>
  </r>
  <r>
    <s v="The Disruptors: People, Planet, Profit"/>
    <s v="Judith Magyar"/>
    <x v="34"/>
    <s v="Infographic"/>
    <s v="Innovation"/>
    <s v="GCO – Industry Cloud "/>
    <x v="1"/>
    <x v="1"/>
  </r>
  <r>
    <s v="Healthcare gets the IT Treatment"/>
    <s v="Paul Taylor"/>
    <x v="34"/>
    <s v="Infographic"/>
    <s v="Healthcare"/>
    <s v="GCO – Platform Solutions"/>
    <x v="1"/>
    <x v="1"/>
  </r>
  <r>
    <s v="Hate Your Job?"/>
    <s v="Amira Polack"/>
    <x v="35"/>
    <s v="Infographic"/>
    <s v="Corporate"/>
    <s v="Human Resources (SAP HR and employee stories)"/>
    <x v="1"/>
    <x v="1"/>
  </r>
  <r>
    <s v="Out of This World"/>
    <s v="Paul Baur"/>
    <x v="36"/>
    <s v="Video"/>
    <s v="Corporate"/>
    <s v="Human Resources (SAP HR and employee stories)"/>
    <x v="1"/>
    <x v="1"/>
  </r>
  <r>
    <s v="Career Coaching (1/3)"/>
    <s v="Torsten Falk"/>
    <x v="36"/>
    <m/>
    <s v="Corporate"/>
    <s v="Human Resources (SAP HR and employee stories)"/>
    <x v="1"/>
    <x v="1"/>
  </r>
  <r>
    <s v="A New Perspective on IoT"/>
    <s v="Christine Kubach"/>
    <x v="37"/>
    <m/>
    <s v="Innovation"/>
    <s v="P&amp;I (Research &amp; Development)"/>
    <x v="1"/>
    <x v="1"/>
  </r>
  <r>
    <s v="Telcos Tap into the Connected Woman"/>
    <s v="Jacqueline Prause"/>
    <x v="37"/>
    <m/>
    <s v="Corporate"/>
    <s v="GCO – Platform Solutions"/>
    <x v="1"/>
    <x v="2"/>
  </r>
  <r>
    <s v="MWC- Mobile Industry’s Reality Test"/>
    <s v="Paul Taylor"/>
    <x v="37"/>
    <s v="Video"/>
    <s v="Innovation"/>
    <s v="GCO – Platform Solutions"/>
    <x v="1"/>
    <x v="2"/>
  </r>
  <r>
    <s v="SAP Inspiration Pavilion Opens in Beijing"/>
    <s v="Jakob Braun"/>
    <x v="37"/>
    <m/>
    <s v="Innovation"/>
    <s v="GCO – Regions"/>
    <x v="1"/>
    <x v="4"/>
  </r>
  <r>
    <s v="The Edge of Innovation"/>
    <s v="Jacqueline Prause"/>
    <x v="38"/>
    <m/>
    <s v="Innovation"/>
    <s v="GCO – Platform Solutions"/>
    <x v="1"/>
    <x v="2"/>
  </r>
  <r>
    <s v="Career Coaching (2/3)"/>
    <s v="Torsten Falk"/>
    <x v="39"/>
    <m/>
    <s v="Corporate"/>
    <s v="Human Resources (SAP HR and employee stories)"/>
    <x v="1"/>
    <x v="1"/>
  </r>
  <r>
    <s v="Unleash the Startup in You"/>
    <s v="Marcus Krug"/>
    <x v="39"/>
    <s v="Video"/>
    <s v="Youth"/>
    <s v="P&amp;I (Research &amp; Development)"/>
    <x v="1"/>
    <x v="1"/>
  </r>
  <r>
    <s v="The Disruptors: Barcelona For You!"/>
    <s v="Judith Magyar"/>
    <x v="39"/>
    <m/>
    <s v="Innovation"/>
    <s v="GCO – Platform Solutions"/>
    <x v="2"/>
    <x v="2"/>
  </r>
  <r>
    <s v="Culture Wall Up and Running"/>
    <s v="Anne Hardy"/>
    <x v="40"/>
    <m/>
    <s v="Corporate"/>
    <s v="Human Resources (SAP HR and employee stories)"/>
    <x v="1"/>
    <x v="1"/>
  </r>
  <r>
    <s v="Career Coaching (3/3)"/>
    <s v="Torsten Falk"/>
    <x v="41"/>
    <m/>
    <s v="Corporate"/>
    <s v="Human Resources (SAP HR and employee stories)"/>
    <x v="1"/>
    <x v="1"/>
  </r>
  <r>
    <s v="Walldorf and Silicon Valley in Tech Fever"/>
    <s v="Teara Kuhn"/>
    <x v="41"/>
    <s v="Video"/>
    <s v="Innovation"/>
    <s v="P&amp;I (Research &amp; Development)"/>
    <x v="1"/>
    <x v="1"/>
  </r>
  <r>
    <s v="Women’s Day: Make It Happen!"/>
    <s v="Nadia Boyes"/>
    <x v="42"/>
    <s v="Video"/>
    <s v="Corporate"/>
    <s v="Human Resources (SAP HR and employee stories)"/>
    <x v="1"/>
    <x v="1"/>
  </r>
  <r>
    <s v="Next Generation of SAP MaxAttention"/>
    <s v="Ursula Kreuch"/>
    <x v="42"/>
    <s v="Video"/>
    <s v="Innovation"/>
    <s v="GCO – Services Sales"/>
    <x v="1"/>
    <x v="1"/>
  </r>
  <r>
    <s v="The Disruptors: Getting Personal With Big Data"/>
    <s v="Judith Magyar"/>
    <x v="43"/>
    <s v="Infographic"/>
    <s v="Innovation"/>
    <s v="GCO – Platform Solutions"/>
    <x v="1"/>
    <x v="1"/>
  </r>
  <r>
    <s v="A Showcase for Real-Time Retail"/>
    <s v="Susan Jee Janice Ng"/>
    <x v="43"/>
    <s v="Video"/>
    <s v="Innovation"/>
    <s v="GCO – Industry Cloud "/>
    <x v="1"/>
    <x v="5"/>
  </r>
  <r>
    <s v="Creating A Strong Culture"/>
    <s v="Susan Orenstein"/>
    <x v="44"/>
    <m/>
    <s v="Corporate"/>
    <s v="Human Resources (SAP HR and employee stories)"/>
    <x v="1"/>
    <x v="1"/>
  </r>
  <r>
    <s v="Jenny Dearborn: Powerful Leader in IT"/>
    <s v="Andrea Diederichs"/>
    <x v="45"/>
    <m/>
    <s v="Corporate"/>
    <s v="Human Resources (SAP HR and employee stories)"/>
    <x v="1"/>
    <x v="1"/>
  </r>
  <r>
    <s v="How Jaime Found His Dream Job"/>
    <s v="Susan Galer"/>
    <x v="45"/>
    <s v="Video"/>
    <s v="Youth"/>
    <s v="Human Resources (SAP HR and employee stories)"/>
    <x v="1"/>
    <x v="1"/>
  </r>
  <r>
    <s v="Introducing the New SAP Store"/>
    <s v="Anna Burkhadt"/>
    <x v="46"/>
    <m/>
    <s v="Innovation"/>
    <s v="GCO – Customer Engagement &amp; Commerce (CRM &amp; hybris) "/>
    <x v="1"/>
    <x v="1"/>
  </r>
  <r>
    <s v="HanaHaus Opens in Palo Alto"/>
    <s v="Susan Orenstein"/>
    <x v="47"/>
    <s v="Slideshow"/>
    <s v="Corporate"/>
    <s v="Corporate"/>
    <x v="1"/>
    <x v="6"/>
  </r>
  <r>
    <s v="Never Lose Your Sense of Curiosity"/>
    <s v="Torsten Falk"/>
    <x v="47"/>
    <m/>
    <s v="Corporate"/>
    <s v="GCO – Services Sales"/>
    <x v="1"/>
    <x v="1"/>
  </r>
  <r>
    <s v="Hidden Champion: The Global Citizen"/>
    <s v="Stephan Magura"/>
    <x v="48"/>
    <m/>
    <s v="Corporate"/>
    <s v="Human Resources (SAP HR and employee stories)"/>
    <x v="1"/>
    <x v="2"/>
  </r>
  <r>
    <s v="The Disruptors: These Schutz are Made for Walking"/>
    <s v="Judith Magyar"/>
    <x v="48"/>
    <m/>
    <s v="Innovation"/>
    <s v="Business Network (Concur, Ariba, Fieldglass)"/>
    <x v="2"/>
    <x v="3"/>
  </r>
  <r>
    <s v="Photo Contest: Diversity &amp; Inclusion"/>
    <s v="Miriam Siebeking"/>
    <x v="49"/>
    <m/>
    <s v="Corporate"/>
    <s v="Corporate"/>
    <x v="1"/>
    <x v="1"/>
  </r>
  <r>
    <s v="Strong Commitment Increases Profit"/>
    <s v="Diana Pauly"/>
    <x v="50"/>
    <s v="Infographic"/>
    <s v="Corporate"/>
    <s v="Human Resources (SAP HR and employee stories)"/>
    <x v="1"/>
    <x v="1"/>
  </r>
  <r>
    <s v="CeBIT 2015: High-Touch SAP"/>
    <s v="Kesja Cichowski"/>
    <x v="50"/>
    <m/>
    <s v="Innovation"/>
    <s v="Corporate"/>
    <x v="1"/>
    <x v="1"/>
  </r>
  <r>
    <s v="Cricket Fans Bowled Over by SAP"/>
    <s v="Emily Scorer"/>
    <x v="51"/>
    <m/>
    <s v="Sports"/>
    <s v="GCO – Platform Solutions"/>
    <x v="2"/>
    <x v="1"/>
  </r>
  <r>
    <s v="Apple Pay and the Payment Platform Revolution"/>
    <s v="Debra Curtis-Magley"/>
    <x v="51"/>
    <m/>
    <s v="Innovation"/>
    <s v="Business Network (Concur, Ariba, Fieldglass)"/>
    <x v="1"/>
    <x v="1"/>
  </r>
  <r>
    <s v="Hands On with High Tech"/>
    <s v="Tim Clark"/>
    <x v="52"/>
    <s v="Video"/>
    <s v="Innovation"/>
    <s v="GCO – Other"/>
    <x v="1"/>
    <x v="6"/>
  </r>
  <r>
    <s v="InnoJam: Smart(Cit)ies Have the Answer"/>
    <s v="Kesja Cichowski"/>
    <x v="52"/>
    <s v="Video, Slideshow"/>
    <s v="Youth"/>
    <s v="Corporate"/>
    <x v="1"/>
    <x v="2"/>
  </r>
  <r>
    <s v="How Fit Are You Really?"/>
    <s v="Emily Scorer"/>
    <x v="53"/>
    <m/>
    <s v="Healthcare"/>
    <s v="Human Resources (SAP HR and employee stories)"/>
    <x v="1"/>
    <x v="1"/>
  </r>
  <r>
    <s v="The Disruptors: Bikers Against Disease"/>
    <s v="Judith Magyar"/>
    <x v="54"/>
    <m/>
    <s v="Innovation"/>
    <s v="GCO – Platform Solutions"/>
    <x v="2"/>
    <x v="3"/>
  </r>
  <r>
    <s v="Welcome to the Talent Journey!"/>
    <s v="Jenny Dearborn"/>
    <x v="54"/>
    <s v="Video, Infographic"/>
    <s v="Corporate"/>
    <s v="Human Resources (SAP HR and employee stories)"/>
    <x v="1"/>
    <x v="1"/>
  </r>
  <r>
    <s v="Solving the Cancer Puzzle with SAP HANA"/>
    <s v="Michael Zipf"/>
    <x v="55"/>
    <s v="Video"/>
    <s v="Healthcare"/>
    <s v="GCO – Platform Solutions"/>
    <x v="2"/>
    <x v="2"/>
  </r>
  <r>
    <s v="SAP Mourns Klaus Tschira"/>
    <s v="Michael Zipf"/>
    <x v="56"/>
    <s v="Slideshow"/>
    <s v="Corporate"/>
    <s v="Corporate"/>
    <x v="1"/>
    <x v="1"/>
  </r>
  <r>
    <s v="No Innovation Without Learning"/>
    <s v="Chistiane Kubach"/>
    <x v="56"/>
    <s v="Video"/>
    <s v="Innovation"/>
    <s v="GCO – Regions"/>
    <x v="1"/>
    <x v="4"/>
  </r>
  <r>
    <s v="Thinking Faster with SAP HANA In Your Head — Literally"/>
    <s v="Paul Baur"/>
    <x v="56"/>
    <m/>
    <s v="Healthcare"/>
    <s v="GCO – Platform Solutions"/>
    <x v="2"/>
    <x v="1"/>
  </r>
  <r>
    <s v="How Does the Cloud Benefit HR?"/>
    <s v="Susan Galer"/>
    <x v="56"/>
    <s v="Video"/>
    <s v="Corporate"/>
    <s v="GCO – HR (SuccessFactors)"/>
    <x v="1"/>
    <x v="1"/>
  </r>
  <r>
    <s v="Six Tips for Better Clicks"/>
    <s v="Michael Zipf"/>
    <x v="56"/>
    <m/>
    <s v="Corporate"/>
    <s v="Corporate"/>
    <x v="1"/>
    <x v="1"/>
  </r>
  <r>
    <s v="Just Ask Dr. B. Data"/>
    <s v="Christine Donato"/>
    <x v="57"/>
    <m/>
    <s v="Healthcare"/>
    <s v="GCO – Platform Solutions"/>
    <x v="2"/>
    <x v="1"/>
  </r>
  <r>
    <s v="Accelerating Cloud Growth – The Lowdown"/>
    <s v="Anita Riegel"/>
    <x v="58"/>
    <m/>
    <s v="Innovation"/>
    <s v="GCO – Industry Cloud "/>
    <x v="1"/>
    <x v="2"/>
  </r>
  <r>
    <s v="Brazil Inc – Nailing Complexity"/>
    <s v="Paul Taylor"/>
    <x v="59"/>
    <m/>
    <s v="Innovation"/>
    <s v="GCO – Regions"/>
    <x v="1"/>
    <x v="3"/>
  </r>
  <r>
    <s v="Photo Contest: Diversity &amp; Inclusion"/>
    <s v="Miriam Siebeking"/>
    <x v="59"/>
    <m/>
    <s v="Corporate"/>
    <s v="Corporate"/>
    <x v="1"/>
    <x v="1"/>
  </r>
  <r>
    <s v="The Disruptors: Eco Easter Eggs"/>
    <s v="Judith Magyar"/>
    <x v="60"/>
    <m/>
    <s v="Innovation"/>
    <s v="GCO – Platform Solutions"/>
    <x v="2"/>
    <x v="1"/>
  </r>
  <r>
    <s v="Dare to be Scared"/>
    <s v="Diana Vega"/>
    <x v="61"/>
    <m/>
    <s v="Corporate"/>
    <s v="Human Resources (SAP HR and employee stories)"/>
    <x v="1"/>
    <x v="1"/>
  </r>
  <r>
    <s v="Brazil Inc, Part 2: Investing Smartly"/>
    <s v="Judith Magyar"/>
    <x v="61"/>
    <s v="Infographic"/>
    <s v="Innovation"/>
    <s v="GCO – Regions"/>
    <x v="2"/>
    <x v="3"/>
  </r>
  <r>
    <s v="Top Five Things to Know: Paula Jacomo"/>
    <s v="Robin Meyerhoff"/>
    <x v="62"/>
    <m/>
    <s v="Corporate"/>
    <s v="Human Resources (SAP HR and employee stories)"/>
    <x v="1"/>
    <x v="3"/>
  </r>
  <r>
    <s v="Mission Control, we Fly to Mars"/>
    <s v="Stephan Magura"/>
    <x v="62"/>
    <m/>
    <s v="Innovation"/>
    <s v="Services Delivery &amp; Support (go-lives and deployments) "/>
    <x v="1"/>
    <x v="1"/>
  </r>
  <r>
    <s v="IT &amp; Healthcare Illustrated"/>
    <s v="Jacqueline Prause"/>
    <x v="62"/>
    <m/>
    <s v="Healthcare"/>
    <s v="GCO – Industry Cloud "/>
    <x v="1"/>
    <x v="1"/>
  </r>
  <r>
    <s v="The Future of Talent Management"/>
    <s v="Susan Galer"/>
    <x v="63"/>
    <m/>
    <s v="Youth"/>
    <s v="Human Resources (SAP HR and employee stories)"/>
    <x v="1"/>
    <x v="1"/>
  </r>
  <r>
    <s v="SAP Forum in Moscow Takes Off"/>
    <s v="Sarah Kellman"/>
    <x v="64"/>
    <m/>
    <s v="Innovation"/>
    <s v="GCO – Regions"/>
    <x v="1"/>
    <x v="2"/>
  </r>
  <r>
    <s v="The Disruptors: No End to the Innovation Race"/>
    <s v="Judith Magyar"/>
    <x v="64"/>
    <m/>
    <s v="Innovation"/>
    <s v="GCO – Platform Solutions"/>
    <x v="2"/>
    <x v="2"/>
  </r>
  <r>
    <s v="Who Are You Calling a Nerd? SAP Employees Hit the Road"/>
    <s v="Stephanie Rieder"/>
    <x v="64"/>
    <s v="Video"/>
    <s v="Youth"/>
    <s v="Human Resources (SAP HR and employee stories)"/>
    <x v="1"/>
    <x v="2"/>
  </r>
  <r>
    <s v="A Python on My Way to School"/>
    <s v="Andrea Diederichs"/>
    <x v="65"/>
    <s v="Slideshow"/>
    <s v="Innovation"/>
    <s v="Human Resources (SAP HR and employee stories)"/>
    <x v="1"/>
    <x v="2"/>
  </r>
  <r>
    <s v="Double Win for Manufacturing"/>
    <s v="Teara Kuhn"/>
    <x v="65"/>
    <m/>
    <s v="Corporate"/>
    <s v="GCO – Industry Cloud "/>
    <x v="1"/>
    <x v="1"/>
  </r>
  <r>
    <s v="Bill and François Hollande Talk Technology"/>
    <s v="Frederic Masse"/>
    <x v="65"/>
    <m/>
    <s v="Innovation"/>
    <s v="Office of the CEO"/>
    <x v="2"/>
    <x v="2"/>
  </r>
  <r>
    <s v="S/4HANA: “The Big New Thing”"/>
    <s v="Michael Zipf"/>
    <x v="66"/>
    <s v="Video"/>
    <s v="Innovation"/>
    <s v="GCO – Platform Solutions"/>
    <x v="1"/>
    <x v="1"/>
  </r>
  <r>
    <s v="From Refugee to Tech Exec"/>
    <s v="Denise Broady"/>
    <x v="67"/>
    <m/>
    <s v="Corporate"/>
    <s v="Human Resources (SAP HR and employee stories)"/>
    <x v="1"/>
    <x v="5"/>
  </r>
  <r>
    <s v="A Matter of Integrity"/>
    <s v="Perry Manross"/>
    <x v="67"/>
    <m/>
    <s v="Corporate"/>
    <s v="Business Network (Concur, Ariba, Fieldglass)"/>
    <x v="1"/>
    <x v="1"/>
  </r>
  <r>
    <s v="Social Sabbatical: Not a One Way Street"/>
    <s v="Emily Scorer"/>
    <x v="67"/>
    <s v="Video, Slideshow"/>
    <s v="Youth"/>
    <s v="Human Resources (SAP HR and employee stories)"/>
    <x v="1"/>
    <x v="5"/>
  </r>
  <r>
    <s v="Q1: Exceptional Cloud Growth"/>
    <s v="Paul Baur"/>
    <x v="68"/>
    <s v="Video"/>
    <s v="Corporate"/>
    <s v="Corporate"/>
    <x v="1"/>
    <x v="1"/>
  </r>
  <r>
    <s v="New Behaviors at SAP"/>
    <s v="Torsten Falk"/>
    <x v="69"/>
    <s v="Video, Infographic, Slideshow"/>
    <s v="Corporate"/>
    <s v="Human Resources (SAP HR and employee stories)"/>
    <x v="1"/>
    <x v="1"/>
  </r>
  <r>
    <s v="Master of Arts"/>
    <s v="Emily Scorer"/>
    <x v="69"/>
    <m/>
    <s v="Corporate"/>
    <s v="Corporate"/>
    <x v="1"/>
    <x v="2"/>
  </r>
  <r>
    <s v="“A Very Substantial Cloud Business”"/>
    <s v="Paul Baur"/>
    <x v="69"/>
    <s v="Video"/>
    <s v="Corporate"/>
    <s v="Corporate"/>
    <x v="1"/>
    <x v="1"/>
  </r>
  <r>
    <s v="The Disruptors: Shirt Delivery by Drone?"/>
    <s v="Judith Magyar"/>
    <x v="69"/>
    <s v="Video"/>
    <s v="Innovation"/>
    <s v="Business Network (Concur, Ariba, Fieldglass)"/>
    <x v="2"/>
    <x v="1"/>
  </r>
  <r>
    <s v="Robots for Babies"/>
    <s v="Emily Scorer"/>
    <x v="70"/>
    <s v="Video"/>
    <s v="Innovation"/>
    <s v="Human Resources (SAP HR and employee stories)"/>
    <x v="1"/>
    <x v="1"/>
  </r>
  <r>
    <s v="Dietmar Hopp Celebrates his 75th Birthday"/>
    <s v="Marcus Winkler"/>
    <x v="71"/>
    <s v="Slideshow, Video"/>
    <s v="Corporate"/>
    <s v="Corporate"/>
    <x v="1"/>
    <x v="1"/>
  </r>
  <r>
    <s v="IT Powers the Energy Sector"/>
    <s v="Michael Zipf"/>
    <x v="71"/>
    <s v="Video"/>
    <s v="Innovation"/>
    <s v="GCO – Industry Cloud "/>
    <x v="1"/>
    <x v="1"/>
  </r>
  <r>
    <s v="SAP Founders’ Award Reloaded"/>
    <s v="Paul Baur"/>
    <x v="72"/>
    <s v="Video"/>
    <s v="Innovation"/>
    <s v="Corporate"/>
    <x v="1"/>
    <x v="1"/>
  </r>
  <r>
    <s v="From Drones to Selfie Sticks"/>
    <s v="Judith Magyar"/>
    <x v="72"/>
    <s v="Video"/>
    <s v="Innovation"/>
    <s v="GCO – Industry Cloud "/>
    <x v="1"/>
    <x v="2"/>
  </r>
  <r>
    <s v="Nepal Earthquake: SAP Supports Red Cross"/>
    <s v="Alicia Lenze"/>
    <x v="73"/>
    <m/>
    <s v="Corporate"/>
    <s v="Office of the CEO"/>
    <x v="1"/>
    <x v="1"/>
  </r>
  <r>
    <s v="Kenya: Going Far Together"/>
    <s v="Judith Magyar"/>
    <x v="73"/>
    <m/>
    <s v="Youth"/>
    <s v="GCO – Regions"/>
    <x v="2"/>
    <x v="2"/>
  </r>
  <r>
    <s v="Intrapreneurship: Where Are We Now?"/>
    <s v="Catherine Girardin"/>
    <x v="73"/>
    <m/>
    <s v="Innovation"/>
    <s v="GCO – Other"/>
    <x v="1"/>
    <x v="1"/>
  </r>
  <r>
    <s v="SAP Sports One at the Starting Line"/>
    <s v="Michael Zipf"/>
    <x v="74"/>
    <s v="Video"/>
    <s v="Sports"/>
    <s v="GCO – Platform Solutions"/>
    <x v="2"/>
    <x v="1"/>
  </r>
  <r>
    <s v="The Disruptors: Five Cents for a Clean Toilet"/>
    <s v="Judith Magyar"/>
    <x v="74"/>
    <s v="Infographic"/>
    <s v="Innovation"/>
    <s v="Corporate"/>
    <x v="1"/>
    <x v="2"/>
  </r>
  <r>
    <s v="The In-Memory Revolution"/>
    <s v="Paul Baur"/>
    <x v="75"/>
    <m/>
    <s v="Corporate"/>
    <s v="Corporate"/>
    <x v="1"/>
    <x v="1"/>
  </r>
  <r>
    <s v="Lockdown in Chicago"/>
    <s v="Molli Jordan"/>
    <x v="75"/>
    <s v="Video"/>
    <s v="Youth"/>
    <s v="GCO – Platform Solutions"/>
    <x v="2"/>
    <x v="1"/>
  </r>
  <r>
    <s v="Creativity and the Art of Completion"/>
    <s v="Paul Taylor"/>
    <x v="75"/>
    <m/>
    <s v="Innovation"/>
    <s v="Corporate"/>
    <x v="1"/>
    <x v="1"/>
  </r>
  <r>
    <s v="SME Coaching For Free"/>
    <s v="Jacqueline Prause"/>
    <x v="75"/>
    <m/>
    <s v="Corporate"/>
    <s v="Corporate"/>
    <x v="1"/>
    <x v="1"/>
  </r>
  <r>
    <s v="Greater Mobile Productivity Now"/>
    <s v="Charlotte Otter"/>
    <x v="76"/>
    <m/>
    <s v="Innovation"/>
    <s v="Corporate"/>
    <x v="1"/>
    <x v="1"/>
  </r>
  <r>
    <s v="B/E Aerospace is Flying High"/>
    <s v="Susan Galer"/>
    <x v="76"/>
    <m/>
    <s v="Innovation"/>
    <s v="GCO – HR (SuccessFactors)"/>
    <x v="2"/>
    <x v="1"/>
  </r>
  <r>
    <s v="Key Accelerator for SAP´s Growth Aspirations"/>
    <s v="Paul Taylor"/>
    <x v="76"/>
    <m/>
    <s v="Innovation"/>
    <s v="GCO – Customer Engagement &amp; Commerce (CRM &amp; hybris) "/>
    <x v="1"/>
    <x v="1"/>
  </r>
  <r>
    <s v="A Question of Quality"/>
    <s v="Stephan Magura "/>
    <x v="77"/>
    <m/>
    <s v="Innovation"/>
    <s v="GCO – Industry Cloud "/>
    <x v="2"/>
    <x v="2"/>
  </r>
  <r>
    <s v="Hot and Cloudy, Chance of Meatballs"/>
    <s v="Paul Taylor"/>
    <x v="77"/>
    <s v="Infographic"/>
    <s v="Innovation"/>
    <s v="GCO – Industry Cloud "/>
    <x v="1"/>
    <x v="1"/>
  </r>
  <r>
    <s v="“The Consumer Rules”"/>
    <s v="Derek Klobucher"/>
    <x v="78"/>
    <m/>
    <s v="Innovation"/>
    <s v="Office of the CEO"/>
    <x v="1"/>
    <x v="1"/>
  </r>
  <r>
    <s v="The Digital Economy in the Spotlight"/>
    <s v="Michael Zipf"/>
    <x v="78"/>
    <m/>
    <s v="Innovation"/>
    <s v="Office of the CEO"/>
    <x v="1"/>
    <x v="1"/>
  </r>
  <r>
    <s v="Women’s Leadership Summit 2015"/>
    <s v="Emily Scorer"/>
    <x v="79"/>
    <m/>
    <s v="Corporate"/>
    <s v="Human Resources (SAP HR and employee stories)"/>
    <x v="1"/>
    <x v="1"/>
  </r>
  <r>
    <s v="Spotting the Centaur at SAPPHIRE NOW"/>
    <s v="Paul Taylor"/>
    <x v="79"/>
    <m/>
    <s v="Innovation"/>
    <s v="Corporate"/>
    <x v="1"/>
    <x v="1"/>
  </r>
  <r>
    <s v="From Selling Products to Selling Outcomes"/>
    <s v="Susan Galer"/>
    <x v="79"/>
    <m/>
    <s v="Innovation"/>
    <s v="GCO – Platform Solutions"/>
    <x v="2"/>
    <x v="1"/>
  </r>
  <r>
    <s v="Executive Board Meetings of the Future"/>
    <s v="Michael Zipf"/>
    <x v="80"/>
    <m/>
    <s v="Innovation"/>
    <s v="GCO – Platform Solutions"/>
    <x v="2"/>
    <x v="1"/>
  </r>
  <r>
    <s v="Smart Business Networks"/>
    <s v="Paul Taylor"/>
    <x v="80"/>
    <s v="Video"/>
    <s v="Innovation"/>
    <s v="Business Network (Concur, Ariba, Fieldglass)"/>
    <x v="1"/>
    <x v="1"/>
  </r>
  <r>
    <s v="Transform Information Into Action"/>
    <s v="Judith Magyar"/>
    <x v="80"/>
    <s v="Infographic, Video"/>
    <s v="Innovation"/>
    <s v="GCO – Platform Solutions"/>
    <x v="1"/>
    <x v="1"/>
  </r>
  <r>
    <s v="Photo Contest “On the Move”"/>
    <s v="Miriam Siebeking"/>
    <x v="81"/>
    <m/>
    <s v="Corporate"/>
    <s v="Corporate"/>
    <x v="1"/>
    <x v="1"/>
  </r>
  <r>
    <s v="Get Designing"/>
    <s v="Torsten Falk"/>
    <x v="82"/>
    <s v="Slideshow, Infographic"/>
    <s v="Corporate"/>
    <s v="Human Resources (SAP HR and employee stories)"/>
    <x v="1"/>
    <x v="1"/>
  </r>
  <r>
    <s v="Molecular Health: A Technology Trailblazer"/>
    <s v="Andreas Schmitz"/>
    <x v="83"/>
    <m/>
    <s v="Healthcare"/>
    <s v="GCO – Platform Solutions"/>
    <x v="1"/>
    <x v="1"/>
  </r>
  <r>
    <s v="Remote Access Made Simple"/>
    <s v="Richard Campbell"/>
    <x v="84"/>
    <m/>
    <s v="Corporate"/>
    <s v="Corporate"/>
    <x v="1"/>
    <x v="1"/>
  </r>
  <r>
    <s v="AMG Moves into the Fast Lane"/>
    <s v="Cornelia Weiss-Justen"/>
    <x v="85"/>
    <m/>
    <s v="Innovation"/>
    <s v="P&amp;I (Research &amp; Development)"/>
    <x v="2"/>
    <x v="1"/>
  </r>
  <r>
    <s v="Gender Quota for Supervisory Board"/>
    <s v="Andrea Diederichs"/>
    <x v="86"/>
    <m/>
    <s v="Corporate"/>
    <s v="Human Resources (SAP HR and employee stories)"/>
    <x v="1"/>
    <x v="1"/>
  </r>
  <r>
    <s v="Early Achievers"/>
    <s v="Mark Cheever"/>
    <x v="87"/>
    <m/>
    <s v="Youth"/>
    <s v="Human Resources (SAP HR and employee stories)"/>
    <x v="1"/>
    <x v="1"/>
  </r>
  <r>
    <s v="Adding Energy to Red Bull"/>
    <s v="Paul Baur"/>
    <x v="87"/>
    <s v="Video"/>
    <s v="Innovation"/>
    <s v="GCO – Customer Engagement &amp; Commerce (CRM &amp; hybris) "/>
    <x v="2"/>
    <x v="1"/>
  </r>
  <r>
    <s v="Investing in Future Tech Talent"/>
    <s v="Kate Morgan"/>
    <x v="88"/>
    <m/>
    <s v="Youth"/>
    <s v="Corporate"/>
    <x v="1"/>
    <x v="1"/>
  </r>
  <r>
    <s v="The Disruptors: Bring On BI"/>
    <s v="Judith Magyar"/>
    <x v="88"/>
    <m/>
    <s v="Innovation"/>
    <s v="GPO (Partner, Ecosystem, Channels)"/>
    <x v="1"/>
    <x v="1"/>
  </r>
  <r>
    <s v="Digital Transformation at Bayer"/>
    <s v="Andreas Schmitz"/>
    <x v="89"/>
    <m/>
    <s v="Healthcare"/>
    <s v="GCO – Platform Solutions"/>
    <x v="1"/>
    <x v="1"/>
  </r>
  <r>
    <s v="The Secret to Product Success"/>
    <s v="Tobias Essig"/>
    <x v="90"/>
    <s v="Infographic"/>
    <s v="Innovation"/>
    <s v="P&amp;I (Research &amp; Development)"/>
    <x v="1"/>
    <x v="1"/>
  </r>
  <r>
    <s v="Career Success Center Kicks Off"/>
    <s v="Torsten Falk"/>
    <x v="91"/>
    <s v="Video"/>
    <s v="Corporate"/>
    <s v="Human Resources (SAP HR and employee stories)"/>
    <x v="1"/>
    <x v="1"/>
  </r>
  <r>
    <s v="The Disruptors: Unique Solutions"/>
    <s v="Judith Magyar"/>
    <x v="91"/>
    <s v="Video"/>
    <s v="Innovation"/>
    <s v="GPO (Partner, Ecosystem, Channels)"/>
    <x v="2"/>
    <x v="3"/>
  </r>
  <r>
    <s v="Nostalgic-Art Tests In-Memory Platform"/>
    <s v="Andreas Schmitz"/>
    <x v="91"/>
    <m/>
    <s v="Innovation"/>
    <s v="P&amp;I (Research &amp; Development)"/>
    <x v="2"/>
    <x v="1"/>
  </r>
  <r>
    <s v="Marketplace for Connected Car Services"/>
    <s v="Arunima Kumar"/>
    <x v="92"/>
    <s v="Video"/>
    <s v="Corporate"/>
    <s v="Corporate"/>
    <x v="1"/>
    <x v="1"/>
  </r>
  <r>
    <s v="SAP Supports Non-Discrimination Act"/>
    <s v="Torsten Falk"/>
    <x v="93"/>
    <m/>
    <s v="Corporate"/>
    <s v="Human Resources (SAP HR and employee stories)"/>
    <x v="1"/>
    <x v="1"/>
  </r>
  <r>
    <s v="Analyzing the Game"/>
    <s v="Paul Baur"/>
    <x v="93"/>
    <m/>
    <s v="Sports"/>
    <s v="GCO – Platform Solutions"/>
    <x v="2"/>
    <x v="1"/>
  </r>
  <r>
    <s v="Becoming Simply Irresistible"/>
    <s v="Amira Polack"/>
    <x v="93"/>
    <m/>
    <s v="Youth"/>
    <s v="Corporate"/>
    <x v="1"/>
    <x v="1"/>
  </r>
  <r>
    <s v="Atos Doubles Its Revenue with SAP"/>
    <s v="Susan Galer"/>
    <x v="94"/>
    <m/>
    <s v="Innovation"/>
    <s v="GPO (Partner, Ecosystem, Channels)"/>
    <x v="2"/>
    <x v="1"/>
  </r>
  <r>
    <s v="Powering up East Africa"/>
    <s v="Judith Magyar"/>
    <x v="95"/>
    <s v="Video"/>
    <s v="Innovation"/>
    <s v="GCO – Regions"/>
    <x v="1"/>
    <x v="2"/>
  </r>
  <r>
    <s v="Surge in SAP Brand Value"/>
    <s v="Paul Taylor"/>
    <x v="95"/>
    <s v="Infographic"/>
    <s v="Corporate"/>
    <s v="Office of the CEO"/>
    <x v="1"/>
    <x v="1"/>
  </r>
  <r>
    <s v="COPE Gives Franz Confidence"/>
    <s v="Stephan Magura"/>
    <x v="96"/>
    <s v="Video"/>
    <s v="Healthcare"/>
    <s v="Human Resources (SAP HR and employee stories)"/>
    <x v="1"/>
    <x v="1"/>
  </r>
  <r>
    <s v="Growth and Jobs Through Digitalization"/>
    <s v="Paul Baur"/>
    <x v="96"/>
    <m/>
    <s v="Innovation"/>
    <s v="Office of the CEO"/>
    <x v="2"/>
    <x v="2"/>
  </r>
  <r>
    <s v="HANA Spatial: Where Are They Now?"/>
    <s v="Paul Baur"/>
    <x v="96"/>
    <m/>
    <s v="Innovation"/>
    <s v="P&amp;I (Research &amp; Development)"/>
    <x v="1"/>
    <x v="1"/>
  </r>
  <r>
    <s v="Photo Contest: On the Move"/>
    <s v="Miriam Siebeking"/>
    <x v="97"/>
    <m/>
    <s v="Corporate"/>
    <s v="Corporate"/>
    <x v="1"/>
    <x v="1"/>
  </r>
  <r>
    <s v="Ready for Five Generations in Your Workplace?"/>
    <s v="Mike Ettling"/>
    <x v="98"/>
    <m/>
    <s v="Corporate"/>
    <s v="Human Resources (SAP HR and employee stories)"/>
    <x v="1"/>
    <x v="1"/>
  </r>
  <r>
    <s v="ZERO Downtime: Mission Accomplished"/>
    <s v="Andrea Diederichs"/>
    <x v="99"/>
    <s v="Video"/>
    <s v="Innovation"/>
    <s v="Services Delivery &amp; Support (go-lives and deployments) "/>
    <x v="1"/>
    <x v="1"/>
  </r>
  <r>
    <s v="Salesforce.com: Poster Child for Cloud 1.0"/>
    <s v="Paul Taylor"/>
    <x v="99"/>
    <m/>
    <s v="Innovation"/>
    <s v="GCO – Customer Engagement &amp; Commerce (CRM &amp; hybris) "/>
    <x v="1"/>
    <x v="1"/>
  </r>
  <r>
    <s v="Seven SAP Channel Execs Honored"/>
    <s v="Cindy McKendry"/>
    <x v="99"/>
    <m/>
    <s v="Corporate"/>
    <s v="GPO (Partner, Ecosystem, Channels)"/>
    <x v="1"/>
    <x v="1"/>
  </r>
  <r>
    <s v="The Disruptors: Klitschko’s City Knockout"/>
    <s v="Judith Magyar"/>
    <x v="100"/>
    <m/>
    <s v="Innovation"/>
    <s v="GCO – Platform Solutions"/>
    <x v="2"/>
    <x v="1"/>
  </r>
  <r>
    <s v="Now Showing in Airports Near You"/>
    <s v="Angela Dunn"/>
    <x v="100"/>
    <m/>
    <s v="Innovation"/>
    <s v="GCO – Platform Solutions"/>
    <x v="1"/>
    <x v="1"/>
  </r>
  <r>
    <s v="“Everything Is Possible at SAP”"/>
    <s v="Stephan Magura"/>
    <x v="101"/>
    <m/>
    <s v="Corporate"/>
    <s v="GCO – Other"/>
    <x v="1"/>
    <x v="2"/>
  </r>
  <r>
    <s v="Vote Now!"/>
    <s v="Torsten Falk"/>
    <x v="101"/>
    <s v="Slideshow"/>
    <s v="Corporate"/>
    <s v="Human Resources (SAP HR and employee stories)"/>
    <x v="1"/>
    <x v="1"/>
  </r>
  <r>
    <s v="Designing with the Elderly"/>
    <s v="Emily Scorer"/>
    <x v="102"/>
    <s v="Infographic"/>
    <s v="Innovation"/>
    <s v="P&amp;I (Research &amp; Development)"/>
    <x v="1"/>
    <x v="1"/>
  </r>
  <r>
    <s v="Breakthroughs? Take A Break"/>
    <s v="Vivek Bapat"/>
    <x v="102"/>
    <m/>
    <s v="Innovation"/>
    <s v="Corporate"/>
    <x v="1"/>
    <x v="1"/>
  </r>
  <r>
    <s v="Why Ikram Can’t Find a Job"/>
    <s v="Robin Meyerhoff"/>
    <x v="103"/>
    <s v="Video"/>
    <s v="Youth"/>
    <s v="Human Resources (SAP HR and employee stories)"/>
    <x v="1"/>
    <x v="2"/>
  </r>
  <r>
    <s v="Building dreams"/>
    <s v="Stephan Magura"/>
    <x v="103"/>
    <s v="Slideshow"/>
    <s v="Youth"/>
    <s v="Corporate"/>
    <x v="1"/>
    <x v="2"/>
  </r>
  <r>
    <s v="Innovation Spotting at the Paris Air Show"/>
    <s v="Thomas Pohl"/>
    <x v="104"/>
    <s v="Video"/>
    <s v="Innovation"/>
    <s v="GCO – Platform Solutions"/>
    <x v="1"/>
    <x v="2"/>
  </r>
  <r>
    <s v="Where in the World Do we Run Simple?"/>
    <s v="Angela Dunn"/>
    <x v="104"/>
    <m/>
    <s v="Corporate"/>
    <s v="Office of the CEO"/>
    <x v="1"/>
    <x v="1"/>
  </r>
  <r>
    <s v="Removing the Boardroom Blindfolds"/>
    <s v="Paul Taylor"/>
    <x v="105"/>
    <s v="Video"/>
    <s v="Innovation"/>
    <s v="GCO – Platform Solutions"/>
    <x v="1"/>
    <x v="1"/>
  </r>
  <r>
    <s v="Trash After the Big Bash"/>
    <s v="Judith Magyar"/>
    <x v="106"/>
    <m/>
    <s v="Corporate"/>
    <s v="Corporate"/>
    <x v="1"/>
    <x v="1"/>
  </r>
  <r>
    <s v="Dynamic Online Learning"/>
    <s v="Susan Galer"/>
    <x v="107"/>
    <m/>
    <s v="Corporate"/>
    <s v="GCO – Industry Cloud "/>
    <x v="1"/>
    <x v="1"/>
  </r>
  <r>
    <s v="And the Winner Is…"/>
    <s v="Emily Scorer"/>
    <x v="108"/>
    <s v="Video"/>
    <s v="Corporate"/>
    <s v="Human Resources (SAP HR and employee stories)"/>
    <x v="1"/>
    <x v="1"/>
  </r>
  <r>
    <s v="Shravan Finds His Place"/>
    <s v="Michael Zipf"/>
    <x v="108"/>
    <s v="Video"/>
    <s v="Corporate"/>
    <s v="Human Resources (SAP HR and employee stories)"/>
    <x v="1"/>
    <x v="2"/>
  </r>
  <r>
    <s v="The Disruptors: Become a Smart Port"/>
    <s v="Judith Magyar"/>
    <x v="108"/>
    <s v="Video"/>
    <s v="Innovation"/>
    <s v="GCO – Industry Cloud , GCO – Platform Solutions"/>
    <x v="2"/>
    <x v="2"/>
  </r>
  <r>
    <s v="Overcoming Every Hurdle"/>
    <s v="Angela Klose"/>
    <x v="109"/>
    <s v="Video"/>
    <s v="Sports"/>
    <s v="GCO – Platform Solutions"/>
    <x v="1"/>
    <x v="1"/>
  </r>
  <r>
    <s v="Simpler, Faster, Unified, Efficient"/>
    <s v="Jane Gray"/>
    <x v="109"/>
    <m/>
    <s v="Innovation"/>
    <s v="GCO – Platform Solutions"/>
    <x v="2"/>
    <x v="1"/>
  </r>
  <r>
    <s v="Crafty Tunes with Music 4.0"/>
    <s v="Kesja Cichowski"/>
    <x v="110"/>
    <s v="Video"/>
    <s v="Corporate"/>
    <s v="Human Resources (SAP HR and employee stories)"/>
    <x v="1"/>
    <x v="1"/>
  </r>
  <r>
    <s v="Ford and SAP Put Design in High Gear"/>
    <s v="Robin Meyerhoff"/>
    <x v="110"/>
    <s v="Slideshow, Video"/>
    <s v="Innovation"/>
    <s v="P&amp;I (Research &amp; Development)"/>
    <x v="2"/>
    <x v="1"/>
  </r>
  <r>
    <s v="Restoring Growth Across Latin America"/>
    <s v="Renata Pompeu Pividal"/>
    <x v="110"/>
    <m/>
    <s v="Corporate"/>
    <s v="GCO – Regions"/>
    <x v="1"/>
    <x v="3"/>
  </r>
  <r>
    <s v="Software Coding in Lagos"/>
    <s v="Gillian Lindsell"/>
    <x v="111"/>
    <m/>
    <s v="Youth"/>
    <s v="Corporate"/>
    <x v="1"/>
    <x v="2"/>
  </r>
  <r>
    <s v="SAP Waves the Rainbow Flag"/>
    <s v="Robin Meyerhoff"/>
    <x v="112"/>
    <s v="Video"/>
    <s v="Corporate"/>
    <s v="Human Resources (SAP HR and employee stories)"/>
    <x v="1"/>
    <x v="6"/>
  </r>
  <r>
    <s v="Cultivating Our Curiosity"/>
    <s v="Torsten Falk"/>
    <x v="113"/>
    <m/>
    <s v="Corporate"/>
    <s v="Human Resources (SAP HR and employee stories)"/>
    <x v="1"/>
    <x v="1"/>
  </r>
  <r>
    <s v="They Came, Pitched, and Conquered"/>
    <s v="Catherine Girardin"/>
    <x v="113"/>
    <s v="Video"/>
    <s v="Innovation"/>
    <s v="P&amp;I (Research &amp; Development)"/>
    <x v="1"/>
    <x v="2"/>
  </r>
  <r>
    <s v="Fresh Face Joins the Supervisory Board"/>
    <s v="Andrea Diederichs"/>
    <x v="114"/>
    <m/>
    <s v="Corporate"/>
    <s v="Office of the CEO"/>
    <x v="1"/>
    <x v="1"/>
  </r>
  <r>
    <s v="Top Honors for TwoGo by SAP"/>
    <s v="Bettina Wunderle"/>
    <x v="114"/>
    <m/>
    <s v="Innovation"/>
    <s v="P&amp;I (Research &amp; Development)"/>
    <x v="1"/>
    <x v="1"/>
  </r>
  <r>
    <s v="Fashion Gets a Tech Makeover"/>
    <s v="Emily Scorer"/>
    <x v="114"/>
    <s v="Video"/>
    <s v="Youth"/>
    <s v="P&amp;I (Research &amp; Development)"/>
    <x v="1"/>
    <x v="2"/>
  </r>
  <r>
    <s v="Ariba: All Fired Up"/>
    <s v="Stephan Magura"/>
    <x v="115"/>
    <s v="Video"/>
    <s v="Innovation"/>
    <s v="Business Network (Concur, Ariba, Fieldglass)"/>
    <x v="1"/>
    <x v="1"/>
  </r>
  <r>
    <s v="Taking Football into the Cloud"/>
    <s v="Emily Scorer"/>
    <x v="116"/>
    <s v="Video"/>
    <s v="Sports"/>
    <s v="GCO – Industry Cloud , GCO – Platform Solutions"/>
    <x v="2"/>
    <x v="1"/>
  </r>
  <r>
    <s v="Greek Debt Crisis"/>
    <s v="Michael Zipf"/>
    <x v="117"/>
    <m/>
    <s v="Corporate"/>
    <s v="Human Resources (SAP HR and employee stories)"/>
    <x v="1"/>
    <x v="2"/>
  </r>
  <r>
    <s v="Living the New Behaviors"/>
    <s v="Emily Scorer"/>
    <x v="117"/>
    <s v="Video"/>
    <s v="Corporate"/>
    <s v="Human Resources (SAP HR and employee stories)"/>
    <x v="1"/>
    <x v="1"/>
  </r>
  <r>
    <s v="Founders’ Award: Where Are We Now?"/>
    <s v="Cecile Yasmin Schreyer"/>
    <x v="117"/>
    <m/>
    <s v="Corporate"/>
    <s v="Human Resources (SAP HR and employee stories)"/>
    <x v="1"/>
    <x v="1"/>
  </r>
  <r>
    <s v="Quentin Clark Appointed to SAP Board"/>
    <s v="Paul Baur"/>
    <x v="118"/>
    <s v="Video"/>
    <s v="Innovation"/>
    <s v="P&amp;I (Research &amp; Development)"/>
    <x v="1"/>
    <x v="1"/>
  </r>
  <r>
    <s v="Never Too Early for STEM"/>
    <s v="Susan Galer"/>
    <x v="118"/>
    <m/>
    <s v="Youth"/>
    <s v="Corporate"/>
    <x v="1"/>
    <x v="2"/>
  </r>
  <r>
    <s v="Photo Contest: Street Photography"/>
    <s v="Miriam Siebeking"/>
    <x v="118"/>
    <m/>
    <s v="Corporate"/>
    <s v="Human Resources (SAP HR and employee stories)"/>
    <x v="1"/>
    <x v="1"/>
  </r>
  <r>
    <s v="Go West, Young Man"/>
    <s v="Robin Meyerhoff"/>
    <x v="119"/>
    <s v="Video"/>
    <s v="Corporate"/>
    <s v="GCO – Regions, Human Resources (SAP HR and employee stories)"/>
    <x v="1"/>
    <x v="6"/>
  </r>
  <r>
    <s v="Diversity and the Digital Economy"/>
    <s v="Stacy Eidson Comes"/>
    <x v="119"/>
    <m/>
    <s v="Innovation"/>
    <s v="GCO – Other"/>
    <x v="1"/>
    <x v="1"/>
  </r>
  <r>
    <s v="Coaching, Leading, Managing"/>
    <s v="Susan Orenstein"/>
    <x v="120"/>
    <m/>
    <s v="Corporate"/>
    <s v="Human Resources (SAP HR and employee stories)"/>
    <x v="1"/>
    <x v="6"/>
  </r>
  <r>
    <s v="Innovative Israel"/>
    <s v="Paul Baur"/>
    <x v="120"/>
    <s v="Video, Infographic"/>
    <s v="Innovation"/>
    <s v="P&amp;I (Research &amp; Development)"/>
    <x v="1"/>
    <x v="2"/>
  </r>
  <r>
    <s v="Let’s Get Physical"/>
    <s v="Emily Scorer"/>
    <x v="121"/>
    <m/>
    <s v="Healthcare"/>
    <s v="Human Resources (SAP HR and employee stories)"/>
    <x v="1"/>
    <x v="2"/>
  </r>
  <r>
    <s v="The Adventures of Super Simple"/>
    <s v="Emily Scorer"/>
    <x v="122"/>
    <s v="Video"/>
    <s v="Innovation"/>
    <s v="Corporate"/>
    <x v="1"/>
    <x v="3"/>
  </r>
  <r>
    <s v="Define Your Career"/>
    <s v="Caroline Kohout"/>
    <x v="123"/>
    <m/>
    <s v="Corporate"/>
    <s v="Human Resources (SAP HR and employee stories)"/>
    <x v="1"/>
    <x v="6"/>
  </r>
  <r>
    <s v="Gamification: Party Pirate Style"/>
    <s v="Miriam Siebeking"/>
    <x v="123"/>
    <m/>
    <s v="Innovation"/>
    <s v="P&amp;I (Research &amp; Development)"/>
    <x v="1"/>
    <x v="2"/>
  </r>
  <r>
    <s v="Lync Succeeds SAP Connect for Meetings"/>
    <s v="Aidan Hyland"/>
    <x v="124"/>
    <s v="Video, Infographic"/>
    <s v="Innovation"/>
    <s v="Corporate"/>
    <x v="1"/>
    <x v="1"/>
  </r>
  <r>
    <s v="Mitigate Slavery in the Supply Chain"/>
    <s v="Stephan Magura"/>
    <x v="124"/>
    <s v="Video, Infographic"/>
    <s v="Healthcare"/>
    <s v="Business Network (Concur, Ariba, Fieldglass)"/>
    <x v="2"/>
    <x v="2"/>
  </r>
  <r>
    <s v="The Making of “In the Clouds with SAP”"/>
    <s v="Jackie Montesinos Suarez"/>
    <x v="125"/>
    <s v="Video"/>
    <s v="Innovation"/>
    <s v="GCO – Other"/>
    <x v="2"/>
    <x v="7"/>
  </r>
  <r>
    <s v="SAP Grows in the Cloud and Network"/>
    <s v="Paul Baur"/>
    <x v="125"/>
    <s v="Video"/>
    <s v="Innovation"/>
    <s v="Corporate"/>
    <x v="1"/>
    <x v="1"/>
  </r>
  <r>
    <s v="Making Security Run Simple"/>
    <s v="Tanja Schaetz-Kruft"/>
    <x v="125"/>
    <m/>
    <s v="Innovation"/>
    <s v="GCO – Other"/>
    <x v="1"/>
    <x v="1"/>
  </r>
  <r>
    <s v="Good Job, Keep Rolling, Stop Flying"/>
    <s v="Paul Baur"/>
    <x v="126"/>
    <s v="Video"/>
    <s v="Corporate"/>
    <s v="Corporate"/>
    <x v="1"/>
    <x v="1"/>
  </r>
  <r>
    <s v="The Disruptors: Why Fieldglass is One"/>
    <s v="Judith Magyar"/>
    <x v="126"/>
    <m/>
    <s v="Innovation"/>
    <s v="Business Network (Concur, Ariba, Fieldglass)"/>
    <x v="1"/>
    <x v="1"/>
  </r>
  <r>
    <s v="Taylor Made, Disaster on the Hudson"/>
    <s v="Paul Taylor"/>
    <x v="127"/>
    <s v="Infographic"/>
    <s v="Corporate"/>
    <s v="Corporate"/>
    <x v="1"/>
    <x v="6"/>
  </r>
  <r>
    <s v="Israel and Germany: Trust Breeds Innovation"/>
    <s v="Paul Baur"/>
    <x v="127"/>
    <s v="Video"/>
    <s v="Innovation"/>
    <s v="P&amp;I (Research &amp; Development)"/>
    <x v="1"/>
    <x v="2"/>
  </r>
  <r>
    <s v="Adapt or Die"/>
    <s v="Judith Magyar"/>
    <x v="128"/>
    <m/>
    <s v="Corporate"/>
    <s v="Office of the CEO"/>
    <x v="1"/>
    <x v="1"/>
  </r>
  <r>
    <s v="From Poaching to Farming"/>
    <s v="Michael Zipf"/>
    <x v="128"/>
    <s v="Infographic"/>
    <s v="Innovation"/>
    <s v="GCO – Regions"/>
    <x v="2"/>
    <x v="2"/>
  </r>
  <r>
    <s v="Customer Survey: Please, Keep it Simple"/>
    <s v="Heidi Ferguson-Mueller"/>
    <x v="129"/>
    <s v="Infographic"/>
    <s v="Corporate"/>
    <s v="GCO – Other"/>
    <x v="1"/>
    <x v="1"/>
  </r>
  <r>
    <s v="Coding and Corner Kicks"/>
    <s v="Corinna Machmeier"/>
    <x v="129"/>
    <s v="Video"/>
    <s v="Sports, Youth"/>
    <s v="P&amp;I (Research &amp; Development)"/>
    <x v="1"/>
    <x v="2"/>
  </r>
  <r>
    <s v="Unified Ticketing: One Support for Everyone"/>
    <s v="Stephan Kamps"/>
    <x v="130"/>
    <m/>
    <s v="Innovation"/>
    <s v="Corporate"/>
    <x v="1"/>
    <x v="1"/>
  </r>
  <r>
    <s v="Spotlight on Women Leaders at SAP"/>
    <s v="Susan Galer"/>
    <x v="130"/>
    <m/>
    <s v="Corporate"/>
    <s v="Human Resources (SAP HR and employee stories)"/>
    <x v="1"/>
    <x v="2"/>
  </r>
  <r>
    <s v="Talking Trash at Lunch"/>
    <s v="Sarah Kellman"/>
    <x v="131"/>
    <s v="Infographic"/>
    <s v="Innovation"/>
    <s v="GCO – Industry Cloud , GCO – Regions"/>
    <x v="2"/>
    <x v="2"/>
  </r>
  <r>
    <s v="The Digital Economy Manifesto"/>
    <s v="Jeff Woods"/>
    <x v="132"/>
    <m/>
    <s v="Innovation"/>
    <s v="Corporate"/>
    <x v="1"/>
    <x v="1"/>
  </r>
  <r>
    <s v="Structure + Freedom = Innovation"/>
    <s v="Stephan Magura"/>
    <x v="132"/>
    <s v="Video"/>
    <s v="Innovation, Youth"/>
    <s v="Corporate"/>
    <x v="2"/>
    <x v="2"/>
  </r>
  <r>
    <s v="SAP on Wheels"/>
    <s v="Jackie Montesinos Suarez"/>
    <x v="133"/>
    <s v="Video"/>
    <s v="Innovation"/>
    <s v="GCO – Regions, GCO – Platform Solutions"/>
    <x v="1"/>
    <x v="2"/>
  </r>
  <r>
    <s v="Educational Equity Fueled by Tech"/>
    <s v="Jhon Ward"/>
    <x v="133"/>
    <s v="Infographic"/>
    <s v="Youth"/>
    <s v="Corporate"/>
    <x v="1"/>
    <x v="1"/>
  </r>
  <r>
    <s v="Recipe for a Sports App"/>
    <s v="Michael Zipf"/>
    <x v="134"/>
    <s v="Video"/>
    <s v="Sports"/>
    <s v="Human Resources (SAP HR and employee stories)"/>
    <x v="1"/>
    <x v="2"/>
  </r>
  <r>
    <s v="The Valley Revs Up Social Start Ups"/>
    <s v="Robin Meyerhoff"/>
    <x v="135"/>
    <s v="Video"/>
    <s v="Innovation"/>
    <s v="P&amp;I (Research &amp; Development)"/>
    <x v="1"/>
    <x v="6"/>
  </r>
  <r>
    <s v="A Dynamic Duo"/>
    <s v="Stephan Magura"/>
    <x v="136"/>
    <s v="Video"/>
    <s v="Innovation"/>
    <s v="GPO (Partner, Ecosystem, Channels)"/>
    <x v="2"/>
    <x v="2"/>
  </r>
  <r>
    <s v="…Sails to Sales Success"/>
    <s v="Robin Meyerhoff"/>
    <x v="137"/>
    <m/>
    <s v="Corporate"/>
    <s v="GCO – Regions"/>
    <x v="1"/>
    <x v="2"/>
  </r>
  <r>
    <s v="Kids Discover The Digital Economy"/>
    <s v="Gillian Lindsell"/>
    <x v="137"/>
    <m/>
    <s v="Youth"/>
    <s v="GCO – Regions"/>
    <x v="1"/>
    <x v="2"/>
  </r>
  <r>
    <s v="Putting the Swing Back in Walldorf"/>
    <s v="Cornelia Weiss-Justen"/>
    <x v="138"/>
    <s v="Video"/>
    <s v="Sports"/>
    <s v="Corporate"/>
    <x v="1"/>
    <x v="2"/>
  </r>
  <r>
    <s v="Wipe Your Lenses and Hit the Streets!"/>
    <s v="Miriam Siebeking"/>
    <x v="139"/>
    <m/>
    <s v="Corporate"/>
    <s v="Human Resources (SAP HR and employee stories)"/>
    <x v="1"/>
    <x v="1"/>
  </r>
  <r>
    <s v="Two Sides of the Same Coin"/>
    <s v="Charlotte Otter"/>
    <x v="140"/>
    <s v="Video"/>
    <s v="Innovation"/>
    <s v="Corporate"/>
    <x v="1"/>
    <x v="1"/>
  </r>
  <r>
    <s v="Ending Supply Chain Slavery"/>
    <s v="Debra Curtis-Magley"/>
    <x v="141"/>
    <s v="Video"/>
    <s v="Innovation"/>
    <s v="Business Network (Concur, Ariba, Fieldglass)"/>
    <x v="1"/>
    <x v="2"/>
  </r>
  <r>
    <s v="A Matter Of Support"/>
    <s v="Stephan Magura"/>
    <x v="142"/>
    <s v="Video"/>
    <s v="Innovation"/>
    <s v="GCO – Services Sales, GCO – Customer Engagement &amp; Commerce (CRM &amp; hybris) "/>
    <x v="1"/>
    <x v="1"/>
  </r>
  <r>
    <s v="The Crippling Cost of Sports Injuries"/>
    <s v="Judith Magyar"/>
    <x v="143"/>
    <s v="Infographic"/>
    <s v="Sports"/>
    <s v="P&amp;I (Research &amp; Development), GCO – Industry Cloud "/>
    <x v="1"/>
    <x v="1"/>
  </r>
  <r>
    <s v="Innovation in a Lump of Iron"/>
    <s v="Nadine Huelsen"/>
    <x v="144"/>
    <m/>
    <s v="Innovation"/>
    <s v="Corporate"/>
    <x v="1"/>
    <x v="5"/>
  </r>
  <r>
    <s v="The Pitfalls of Brand Journalism"/>
    <s v="Tim Clark"/>
    <x v="145"/>
    <m/>
    <s v="Corporate"/>
    <s v="Corporate"/>
    <x v="1"/>
    <x v="6"/>
  </r>
  <r>
    <s v="Parlez-Vous Business in Africa?"/>
    <s v="Robin Meyerhoff"/>
    <x v="146"/>
    <s v="Video"/>
    <s v="Innovation"/>
    <s v="GCO – Regions"/>
    <x v="2"/>
    <x v="2"/>
  </r>
  <r>
    <s v="Wake Up and Smell the Crayons"/>
    <s v="Susan Galer"/>
    <x v="147"/>
    <m/>
    <s v="Innovation"/>
    <s v="GCO – HR (SuccessFactors)"/>
    <x v="1"/>
    <x v="1"/>
  </r>
  <r>
    <s v="Tapping IoT’s Potential"/>
    <s v="Baerbel Schultz"/>
    <x v="148"/>
    <m/>
    <s v="Innovation"/>
    <s v="P&amp;I (Research &amp; Development)"/>
    <x v="1"/>
    <x v="2"/>
  </r>
  <r>
    <s v="Making Sailing Simpler"/>
    <s v="Jhon Ward"/>
    <x v="149"/>
    <s v="Video"/>
    <s v="Sports"/>
    <s v="GCO – Industry Cloud , GCO – Platform Solutions"/>
    <x v="2"/>
    <x v="2"/>
  </r>
  <r>
    <s v="Spotlight on Women Leaders at SAP"/>
    <s v="Susan Galer"/>
    <x v="150"/>
    <m/>
    <s v="Innovation"/>
    <s v="Human Resources (SAP HR and employee stories)"/>
    <x v="1"/>
    <x v="2"/>
  </r>
  <r>
    <s v="Don’t be a Dodo"/>
    <s v="Paul Taylor"/>
    <x v="150"/>
    <s v="Infographic"/>
    <s v="Innovation"/>
    <s v="Office of the CEO"/>
    <x v="1"/>
    <x v="1"/>
  </r>
  <r>
    <s v="The Neglected Morality of IoT"/>
    <s v="Derek Klobucher"/>
    <x v="151"/>
    <m/>
    <s v="Innovation"/>
    <s v="Corporate"/>
    <x v="1"/>
    <x v="1"/>
  </r>
  <r>
    <s v="Digitization with Extra Horsepower"/>
    <s v="Lynda Seger"/>
    <x v="152"/>
    <m/>
    <s v="Sports"/>
    <s v="GCO – Industry Cloud "/>
    <x v="2"/>
    <x v="2"/>
  </r>
  <r>
    <s v="Platforms Are Hot Again. Digitize Now!"/>
    <s v="Judith Magyar"/>
    <x v="153"/>
    <s v="Infographic, Video"/>
    <s v="Innovation"/>
    <s v="GCO – Platform Solutions, GCO – Customer Engagement &amp; Commerce (CRM &amp; hybris) "/>
    <x v="1"/>
    <x v="1"/>
  </r>
  <r>
    <s v="Easier Partnering, Bigger Opportunities"/>
    <s v="Jacqueline Prause"/>
    <x v="154"/>
    <s v="Video"/>
    <s v="Corporate"/>
    <s v="GPO (Partner, Ecosystem, Channels)"/>
    <x v="1"/>
    <x v="1"/>
  </r>
  <r>
    <s v="Cat Videos Are Overrated"/>
    <s v="Paul Baur"/>
    <x v="155"/>
    <s v="Video"/>
    <s v="Corporate"/>
    <s v="Corporate"/>
    <x v="1"/>
    <x v="1"/>
  </r>
  <r>
    <s v="SAP S/4HANA Branding Update"/>
    <s v="Judith Magyar"/>
    <x v="155"/>
    <s v="Infographic"/>
    <s v="Innovation"/>
    <s v="GCO – Other"/>
    <x v="1"/>
    <x v="1"/>
  </r>
  <r>
    <s v="Refugee Crisis – How You Can Help"/>
    <s v="Michael Zipf"/>
    <x v="156"/>
    <m/>
    <s v="Corporate"/>
    <s v="Corporate"/>
    <x v="1"/>
    <x v="2"/>
  </r>
  <r>
    <s v="Power in Employees’ Pockets"/>
    <s v="Paul Baur"/>
    <x v="157"/>
    <s v="Video"/>
    <s v="Healthcare"/>
    <s v="P&amp;I (Research &amp; Development)"/>
    <x v="1"/>
    <x v="1"/>
  </r>
  <r>
    <s v="The Disruptors: Data Doctors Trust"/>
    <s v="Judith Magyar"/>
    <x v="158"/>
    <s v="Video"/>
    <s v="Healthcare"/>
    <s v="GCO – Industry Cloud , GCO – Platform Solutions"/>
    <x v="2"/>
    <x v="1"/>
  </r>
  <r>
    <s v="Black and White"/>
    <s v="Miriam Siebeking"/>
    <x v="159"/>
    <m/>
    <s v="Corporate"/>
    <s v="Human Resources (SAP HR and employee stories)"/>
    <x v="1"/>
    <x v="1"/>
  </r>
  <r>
    <s v="Customers Are in the Driver’s Seat Now"/>
    <s v="Paul Taylor"/>
    <x v="160"/>
    <m/>
    <s v="Innovation"/>
    <s v="GCO – Customer Engagement &amp; Commerce (CRM &amp; hybris) "/>
    <x v="1"/>
    <x v="1"/>
  </r>
  <r>
    <s v="Be a Hero. No Cape Required."/>
    <s v="Andrea Diederichs"/>
    <x v="160"/>
    <s v="Infographic"/>
    <s v="Corporate"/>
    <s v="Corporate"/>
    <x v="1"/>
    <x v="1"/>
  </r>
  <r>
    <s v="“I Feel Stronger Than Ever”"/>
    <s v="Paul Baur"/>
    <x v="161"/>
    <m/>
    <s v="Corporate"/>
    <s v="Office of the CEO"/>
    <x v="1"/>
    <x v="1"/>
  </r>
  <r>
    <s v="We’re Not in Kansas Anymore"/>
    <s v="Paul Taylor"/>
    <x v="161"/>
    <s v="Infographic"/>
    <s v="Innovation"/>
    <s v="GCO – Customer Engagement &amp; Commerce (CRM &amp; hybris) "/>
    <x v="1"/>
    <x v="1"/>
  </r>
  <r>
    <s v="SAP Responds to the Refugee Crisis"/>
    <s v="Torsten Falk"/>
    <x v="162"/>
    <m/>
    <s v="Corporate"/>
    <s v="Corporate"/>
    <x v="1"/>
    <x v="1"/>
  </r>
  <r>
    <s v="Team U.S. Wins the Solheim Cup"/>
    <s v="Cornelia Weiss-Justen"/>
    <x v="163"/>
    <s v="Video"/>
    <s v="Sports"/>
    <s v="GCO – Platform Solutions, GCO – Industry Cloud "/>
    <x v="2"/>
    <x v="1"/>
  </r>
  <r>
    <s v="SAP’s Fast and Furious Facts"/>
    <s v="Kesja Cichowski"/>
    <x v="164"/>
    <m/>
    <s v="Corporate"/>
    <s v="Corporate"/>
    <x v="2"/>
    <x v="1"/>
  </r>
  <r>
    <s v="When Smart Cities Fight Mother Nature"/>
    <s v="Judith Magyar"/>
    <x v="165"/>
    <s v="Video"/>
    <s v="Innovation"/>
    <s v="GCO – Industry Cloud , GCO – Platform Solutions, GCO – Regions"/>
    <x v="2"/>
    <x v="3"/>
  </r>
  <r>
    <s v="Hackers Meet Their Match in SAP"/>
    <s v="Andreas Schmitz"/>
    <x v="165"/>
    <m/>
    <s v="Innovation"/>
    <s v="GCO – Other"/>
    <x v="1"/>
    <x v="1"/>
  </r>
  <r>
    <s v="Driving IT Innovation (Literally)"/>
    <s v="Michael Zipf"/>
    <x v="165"/>
    <s v="Video"/>
    <s v="Innovation"/>
    <s v="P&amp;I (Research &amp; Development), GCO – Industry Cloud "/>
    <x v="1"/>
    <x v="1"/>
  </r>
  <r>
    <s v="Let's Get Real"/>
    <s v="Paul Taylor"/>
    <x v="166"/>
    <m/>
    <s v="Innovation"/>
    <s v="GCO – Platform Solutions"/>
    <x v="1"/>
    <x v="1"/>
  </r>
  <r>
    <s v="How to Design Digital Transformation"/>
    <s v="Sam Yen"/>
    <x v="167"/>
    <m/>
    <s v="Innovation"/>
    <s v="P&amp;I (Research &amp; Development)"/>
    <x v="1"/>
    <x v="1"/>
  </r>
  <r>
    <s v="SAP Strategy, Live and In Color"/>
    <s v="Sarah Kellman"/>
    <x v="168"/>
    <s v="Infographic, Video"/>
    <s v="Corporate"/>
    <s v="Corporate"/>
    <x v="1"/>
    <x v="1"/>
  </r>
  <r>
    <s v="Wearable at Work – The SAP and Google Challenge"/>
    <s v="Thorsten Leiduck"/>
    <x v="168"/>
    <m/>
    <s v="Innovation"/>
    <s v="P&amp;I (Research &amp; Development)"/>
    <x v="1"/>
    <x v="2"/>
  </r>
  <r>
    <s v="Ready, Set, Code! STEM’s Africa Road Show"/>
    <s v="Robin Meyerhoff"/>
    <x v="169"/>
    <m/>
    <s v="Youth"/>
    <s v="Human Resources (SAP HR and employee stories)"/>
    <x v="1"/>
    <x v="2"/>
  </r>
  <r>
    <s v="Michael Kleinemeier Joins Executive Board"/>
    <s v="Judith Magyar"/>
    <x v="170"/>
    <s v="Video"/>
    <s v="Corporate"/>
    <s v="Corporate"/>
    <x v="1"/>
    <x v="1"/>
  </r>
  <r>
    <s v="And the Winner is…"/>
    <s v="Miriam Siebeking"/>
    <x v="171"/>
    <m/>
    <s v="Corporate"/>
    <s v="Corporate"/>
    <x v="1"/>
    <x v="1"/>
  </r>
  <r>
    <s v="One4: You Can Help the Refugee Crisis NOW"/>
    <s v="Robin Meyerhoff"/>
    <x v="172"/>
    <s v="Video"/>
    <s v="Healthcare"/>
    <s v="Human Resources (SAP HR and employee stories)"/>
    <x v="1"/>
    <x v="2"/>
  </r>
  <r>
    <s v="Customer Hops Onto SAP HANA Express"/>
    <s v="Judith Magyar"/>
    <x v="172"/>
    <s v="Video"/>
    <s v="Innovation"/>
    <s v="P&amp;I (Research &amp; Development), GCO – Industry Cloud "/>
    <x v="1"/>
    <x v="1"/>
  </r>
  <r>
    <s v="SAP Expands HCM Suite with Multiposting"/>
    <s v="Paul Baur"/>
    <x v="172"/>
    <m/>
    <s v="Corporate, Innovation"/>
    <s v="GCO – HR (SuccessFactors), P&amp;I (Research &amp; Development)"/>
    <x v="1"/>
    <x v="1"/>
  </r>
  <r>
    <s v="Q3: Record Results in the Cloud"/>
    <s v="Paul Baur"/>
    <x v="173"/>
    <m/>
    <s v="Corporate"/>
    <s v="GCO – Platform Solutions, GCO – Industry Cloud , Office of the CEO"/>
    <x v="1"/>
    <x v="1"/>
  </r>
  <r>
    <s v="The Play-by-Play on SAP Sports One"/>
    <s v="Andreas Schmitz"/>
    <x v="173"/>
    <m/>
    <s v="Sports"/>
    <s v="GCO – Industry Cloud "/>
    <x v="2"/>
    <x v="1"/>
  </r>
  <r>
    <s v="#One4: The Power of One Idea"/>
    <s v="Michael Zipf"/>
    <x v="174"/>
    <s v="Video"/>
    <s v="Corporate"/>
    <s v="Human Resources (SAP HR and employee stories)"/>
    <x v="1"/>
    <x v="1"/>
  </r>
  <r>
    <s v="Innovation Deals a Blow Against Cancer"/>
    <s v="Stephan Magura"/>
    <x v="174"/>
    <s v="Video"/>
    <s v="Healthcare, Innovation"/>
    <s v="P&amp;I (Research &amp; Development), GCO – Industry Cloud , Human Resources (SAP HR and employee stories)"/>
    <x v="1"/>
    <x v="1"/>
  </r>
  <r>
    <s v="Coding the Future: Fresh Perspectives"/>
    <s v="Corinna Machmeier"/>
    <x v="174"/>
    <s v="Video"/>
    <s v="Youth"/>
    <s v="Human Resources (SAP HR and employee stories)"/>
    <x v="1"/>
    <x v="1"/>
  </r>
  <r>
    <s v="SAP HANA Support Packs a Punch"/>
    <s v="Andreas Schmitz"/>
    <x v="175"/>
    <s v="Video, Infographic"/>
    <s v="Innovation"/>
    <s v="GCO – Industry Cloud "/>
    <x v="1"/>
    <x v="1"/>
  </r>
  <r>
    <s v="The Spirit of Solidarity"/>
    <s v="Stephan Magura"/>
    <x v="176"/>
    <m/>
    <s v="Corporate"/>
    <s v="Human Resources (SAP HR and employee stories)"/>
    <x v="1"/>
    <x v="6"/>
  </r>
  <r>
    <s v="Record Q3 Results Are Confirmed"/>
    <s v="Paul Baur"/>
    <x v="177"/>
    <s v="Video"/>
    <s v="Corporate"/>
    <s v="GCO – Industry Cloud "/>
    <x v="1"/>
    <x v="1"/>
  </r>
  <r>
    <s v="And the Winner Is…."/>
    <s v="Paul Taylor"/>
    <x v="178"/>
    <s v="Video"/>
    <s v="Innovation"/>
    <s v="Business Network (Concur, Ariba, Fieldglass), Office of the CEO, P&amp;I (Research &amp; Development)"/>
    <x v="1"/>
    <x v="1"/>
  </r>
  <r>
    <s v="“No Room for Complacency”"/>
    <s v="Paul Baur"/>
    <x v="178"/>
    <s v="Video"/>
    <s v="Corporate"/>
    <s v="Office of the CEO"/>
    <x v="1"/>
    <x v="1"/>
  </r>
  <r>
    <s v="SAP S/4HANA Goes Way off the Charts"/>
    <s v="Judith Magyar, Carolyn Coad"/>
    <x v="178"/>
    <m/>
    <s v="Corporate"/>
    <s v="GCO – Platform Solutions"/>
    <x v="2"/>
    <x v="1"/>
  </r>
  <r>
    <s v="The Disruptors – Where robots do the dirty work"/>
    <s v="Judith Magyar"/>
    <x v="179"/>
    <m/>
    <s v="Innovation"/>
    <s v="GCO – Industry Cloud "/>
    <x v="2"/>
    <x v="3"/>
  </r>
  <r>
    <s v="The Quality Execution Principle"/>
    <s v="Stephan Magura"/>
    <x v="180"/>
    <m/>
    <s v="Innovation"/>
    <s v="GCO – Industry Cloud , GCO – Services Sales"/>
    <x v="2"/>
    <x v="2"/>
  </r>
  <r>
    <s v="From Leadership to Legacy"/>
    <s v="Judith Magyar"/>
    <x v="181"/>
    <m/>
    <s v="Youth, Innovation"/>
    <s v="Office of the CEO"/>
    <x v="1"/>
    <x v="1"/>
  </r>
  <r>
    <s v="Innovation, Entrepreneurialism, Courage: From AribaPay to Suseo Rail"/>
    <s v="Paul Baur"/>
    <x v="182"/>
    <m/>
    <s v="Corporate"/>
    <s v="Corporate"/>
    <x v="1"/>
    <x v="1"/>
  </r>
  <r>
    <s v="A Sporting Showcase for Technology"/>
    <s v="Judith Magyar"/>
    <x v="183"/>
    <s v="Video"/>
    <s v="Sports"/>
    <s v="GCO – Platform Solutions"/>
    <x v="1"/>
    <x v="6"/>
  </r>
  <r>
    <s v="What’s Got Turkey Talking?"/>
    <s v="Stephan Magura"/>
    <x v="183"/>
    <m/>
    <s v="Innovation"/>
    <s v="Services Delivery &amp; Support (go-lives and deployments) "/>
    <x v="2"/>
    <x v="2"/>
  </r>
  <r>
    <s v="Living Simple"/>
    <s v="Miriam Siebeking"/>
    <x v="184"/>
    <s v="Video"/>
    <s v="Corporate"/>
    <s v="Corporate"/>
    <x v="1"/>
    <x v="1"/>
  </r>
  <r>
    <s v="Computers and the Tyranny of the Present"/>
    <s v="Robin Meyerhoff"/>
    <x v="185"/>
    <s v="Video"/>
    <s v="Innovation"/>
    <s v="Business Network (Concur, Ariba, Fieldglass), P&amp;I (Research &amp; Development), GCO – Industry Cloud "/>
    <x v="1"/>
    <x v="1"/>
  </r>
  <r>
    <s v="Oil and Safety Mix Well in Azerbaijan"/>
    <s v="Judith Magyar"/>
    <x v="185"/>
    <m/>
    <s v="Innovation"/>
    <s v="GCO – Industry Cloud "/>
    <x v="2"/>
    <x v="2"/>
  </r>
  <r>
    <s v="SAP on the Hill: 1 Minute Mini Series"/>
    <s v="Jackie Montesinos Suarez"/>
    <x v="186"/>
    <s v="Video"/>
    <s v="Innovation, Sports"/>
    <s v="GCO – Other"/>
    <x v="1"/>
    <x v="6"/>
  </r>
  <r>
    <s v="Data Dilemma"/>
    <s v="Paul Taylor"/>
    <x v="187"/>
    <s v="Video"/>
    <s v="Innovation"/>
    <s v="GCO – Platform Solutions"/>
    <x v="1"/>
    <x v="8"/>
  </r>
  <r>
    <s v="Heralding the Future"/>
    <s v="Judith Magyar"/>
    <x v="187"/>
    <m/>
    <s v="Innovation"/>
    <s v="GCO – Industry Cloud , GCO – Platform Solutions"/>
    <x v="1"/>
    <x v="2"/>
  </r>
  <r>
    <s v="Vive la France"/>
    <s v="Paul Taylor"/>
    <x v="188"/>
    <m/>
    <s v="Corporate"/>
    <s v="Human Resources (SAP HR and employee stories), Corporate"/>
    <x v="1"/>
    <x v="2"/>
  </r>
  <r>
    <s v="SAP Employees Break Volunteering Record"/>
    <s v="Patricia Crazzolara, Kesja Cichowski"/>
    <x v="189"/>
    <s v="Video"/>
    <s v="Corporate"/>
    <s v="Human Resources (SAP HR and employee stories)"/>
    <x v="1"/>
    <x v="2"/>
  </r>
  <r>
    <s v="What Moved You Most in 2015?"/>
    <s v="Stephan Magura"/>
    <x v="190"/>
    <m/>
    <s v="Corporate"/>
    <s v="Human Resources (SAP HR and employee stories)"/>
    <x v="1"/>
    <x v="1"/>
  </r>
  <r>
    <s v="SAP’s Light Bulb Moment"/>
    <s v="Corinna Machmeier"/>
    <x v="191"/>
    <s v="Video"/>
    <s v="Corporate, Youth"/>
    <s v="Human Resources (SAP HR and employee stories)"/>
    <x v="1"/>
    <x v="2"/>
  </r>
  <r>
    <s v="SAP Aces Corporate Equality Index for LGBT Inclusion"/>
    <s v="Robin Meyerhoff"/>
    <x v="192"/>
    <s v="Infographic"/>
    <s v="Corporate"/>
    <s v="Human Resources (SAP HR and employee stories), Corporate, Office of the CEO"/>
    <x v="1"/>
    <x v="1"/>
  </r>
  <r>
    <s v="Funding a Worthy Cause"/>
    <s v="Stephan Magura"/>
    <x v="192"/>
    <m/>
    <s v="Corporate"/>
    <s v="Human Resources (SAP HR and employee stories)"/>
    <x v="1"/>
    <x v="2"/>
  </r>
  <r>
    <s v="Dare to Be More Human"/>
    <s v="Stephan Magura"/>
    <x v="193"/>
    <s v="Video"/>
    <s v="Innovation"/>
    <s v="Services Delivery &amp; Support (go-lives and deployments) "/>
    <x v="1"/>
    <x v="2"/>
  </r>
  <r>
    <s v="Delivering on a Promise"/>
    <s v="Paul Taylor"/>
    <x v="193"/>
    <s v="Video"/>
    <s v="Innovation"/>
    <s v="GCO – Platform Solutions, Business Network (Concur, Ariba, Fieldglass)"/>
    <x v="1"/>
    <x v="1"/>
  </r>
  <r>
    <s v="“I Love to Score Goals”"/>
    <s v="Paul Baur, Alexander Januschke, Natalie Hauck"/>
    <x v="194"/>
    <s v="Video"/>
    <s v="Corporate, Sports"/>
    <s v="Human Resources (SAP HR and employee stories)"/>
    <x v="1"/>
    <x v="2"/>
  </r>
  <r>
    <s v="Time is Running Out"/>
    <s v="Michael Zipf"/>
    <x v="194"/>
    <m/>
    <s v="Corporate"/>
    <s v="Corporate"/>
    <x v="1"/>
    <x v="1"/>
  </r>
  <r>
    <s v="“We Can Help Mitigate the Risks”"/>
    <s v="SAP News"/>
    <x v="195"/>
    <m/>
    <s v="Corporate, Innovation"/>
    <s v="Office of the CEO, Corporate, GCO – Industry Cloud "/>
    <x v="1"/>
    <x v="1"/>
  </r>
  <r>
    <s v="The Connected Stadium @ FC Bayern Munich"/>
    <s v="Michael Nuesslein "/>
    <x v="196"/>
    <s v="Video"/>
    <s v="Sports"/>
    <s v="GCO – Industry Cloud , GCO – Platform Solutions"/>
    <x v="2"/>
    <x v="2"/>
  </r>
  <r>
    <s v="Totems of Technology"/>
    <s v="Corinna Machmeier "/>
    <x v="197"/>
    <s v="Video"/>
    <s v="Youth, Innovation"/>
    <s v="Corporate, P&amp;I (Research &amp; Development)"/>
    <x v="1"/>
    <x v="6"/>
  </r>
  <r>
    <s v="How Cities Are Turning Down the Heat"/>
    <s v="Judith Magyar "/>
    <x v="197"/>
    <s v="Video"/>
    <s v="Corporate"/>
    <s v="GCO – Industry Cloud , GCO – Platform Solutions, P&amp;I (Research &amp; Development)"/>
    <x v="1"/>
    <x v="8"/>
  </r>
  <r>
    <s v="And the Winner is…"/>
    <s v="Miriam Siebeking"/>
    <x v="198"/>
    <m/>
    <s v="Corporate"/>
    <s v="Corporate, Human Resources (SAP HR and employee stories)"/>
    <x v="1"/>
    <x v="1"/>
  </r>
  <r>
    <s v="Enter the Green Cloud"/>
    <s v="Michael Zipf"/>
    <x v="198"/>
    <m/>
    <s v="Corporate, Innovation"/>
    <s v="GCO – Other, GCO – Industry Cloud "/>
    <x v="1"/>
    <x v="1"/>
  </r>
  <r>
    <s v="Steve Lucas Talks SAP HANA"/>
    <s v="Jon Leiberman"/>
    <x v="199"/>
    <m/>
    <s v="Innovation, Corporate"/>
    <s v="GCO – Industry Cloud "/>
    <x v="1"/>
    <x v="1"/>
  </r>
  <r>
    <s v="Steve Lucas – SAP HANA DELIVERS!"/>
    <s v="Steve Lucas, Jon Leiberman "/>
    <x v="200"/>
    <s v="Video"/>
    <s v="Innovation"/>
    <s v="GCO – Industry Cloud "/>
    <x v="1"/>
    <x v="1"/>
  </r>
  <r>
    <s v="Putting Trees Back Where They Belong"/>
    <s v="Michael Zipf"/>
    <x v="200"/>
    <s v="Video"/>
    <s v="Corporate, Innovation"/>
    <s v="Corporate, GCO – Industry Cloud "/>
    <x v="1"/>
    <x v="1"/>
  </r>
  <r>
    <s v="SAP HANA, Now More Than Ever"/>
    <s v="Robin Meyerhoff "/>
    <x v="201"/>
    <s v="Video"/>
    <s v="Innovation, Sports"/>
    <s v="GCO – Industry Cloud , GCO – Platform Solutions"/>
    <x v="2"/>
    <x v="1"/>
  </r>
  <r>
    <s v="The Platform for Everyone"/>
    <s v="Stephan Magura, Thomas Leonhardi "/>
    <x v="201"/>
    <s v="Video"/>
    <s v="Innovation"/>
    <s v="GCO – Industry Cloud "/>
    <x v="2"/>
    <x v="1"/>
  </r>
  <r>
    <s v="Parking Made Painless"/>
    <s v="Michael Zipf"/>
    <x v="202"/>
    <s v="Video"/>
    <s v="Innovation"/>
    <s v="GCO – Industry Cloud , P&amp;I (Research &amp; Development)"/>
    <x v="1"/>
    <x v="6"/>
  </r>
  <r>
    <s v="SAP HANA Healthcare – Dawn of New Era"/>
    <s v="Paul Taylor"/>
    <x v="203"/>
    <s v="Video"/>
    <s v="Healthcare, Innovation"/>
    <s v="GCO – Platform Solutions, GCO – Industry Cloud "/>
    <x v="2"/>
    <x v="1"/>
  </r>
  <r>
    <s v="The Digital Rescuer"/>
    <s v="Paul Baur, Natalie Hauck, Alexander Januschke "/>
    <x v="204"/>
    <s v="Video"/>
    <s v="Innovation, Sports"/>
    <s v="GCO – Platform Solutions"/>
    <x v="1"/>
    <x v="2"/>
  </r>
  <r>
    <s v="Difference Makers!"/>
    <s v="Megan Meany"/>
    <x v="205"/>
    <m/>
    <s v="Innovation"/>
    <s v="GCO – Industry Cloud "/>
    <x v="2"/>
    <x v="6"/>
  </r>
  <r>
    <s v="Crescent Garden Runs Simple!"/>
    <s v="Jon Leiberman"/>
    <x v="206"/>
    <m/>
    <s v="Innovation"/>
    <s v="GCO – Industry Cloud "/>
    <x v="2"/>
    <x v="6"/>
  </r>
  <r>
    <s v="Digital India on the Rise"/>
    <s v="Robin Meyerhoff"/>
    <x v="207"/>
    <s v="Infographic"/>
    <s v="Corporate"/>
    <s v="GCO – Regions, Human Resources (SAP HR and employee stories), Office of the CEO, GCO – Industry Cloud "/>
    <x v="1"/>
    <x v="5"/>
  </r>
  <r>
    <s v="How Brazil’s River People Can Save the Amazon"/>
    <s v="Renata Pompeu Pividal, Robin Meyerhoff"/>
    <x v="207"/>
    <s v="Video"/>
    <s v="Innovation, Youth"/>
    <s v="Human Resources (SAP HR and employee stories), GCO – Platform Solutions, Office of the CEO, GCO – Regions"/>
    <x v="2"/>
    <x v="3"/>
  </r>
  <r>
    <s v="Advise and Consult"/>
    <s v="Stephan Magura"/>
    <x v="208"/>
    <s v="Video"/>
    <s v="Corporate"/>
    <s v="GCO – Industry Cloud , Services Delivery &amp; Support (go-lives and deployments) "/>
    <x v="1"/>
    <x v="1"/>
  </r>
  <r>
    <s v="Social Business Takes Root in Eastern Europe"/>
    <s v="Robin Meyerhoff"/>
    <x v="209"/>
    <m/>
    <s v="Corporate, Youth, Innovation"/>
    <s v="Human Resources (SAP HR and employee stories), GCO – Regions"/>
    <x v="1"/>
    <x v="2"/>
  </r>
  <r>
    <s v="Siemens Industry: Three Pillars Bolster the First “Big Thing”"/>
    <s v="Andreas Schmitz"/>
    <x v="210"/>
    <m/>
    <s v="Innovation"/>
    <s v="GCO – Industry Cloud "/>
    <x v="2"/>
    <x v="1"/>
  </r>
  <r>
    <s v="11 Real World Examples of Digital Transformation "/>
    <s v="Andreas Schmitz"/>
    <x v="211"/>
    <m/>
    <s v="Innovation, Corporate"/>
    <s v="GCO – Industry Cloud , GCO – Platform Solutions"/>
    <x v="2"/>
    <x v="2"/>
  </r>
  <r>
    <s v="Employees Support Relief Efforts in Chennai"/>
    <s v="Paul Baur"/>
    <x v="212"/>
    <m/>
    <s v="Corporate"/>
    <s v="Human Resources (SAP HR and employee stories)"/>
    <x v="1"/>
    <x v="5"/>
  </r>
  <r>
    <s v="Laughing All the Way to the Bank"/>
    <s v="Judith Magyar "/>
    <x v="212"/>
    <s v="Video"/>
    <s v="Innovation"/>
    <s v="GCO – Services Sales"/>
    <x v="2"/>
    <x v="3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</pivotCacheRecords>
</file>

<file path=xl/pivotCache/pivotCacheRecords9.xml><?xml version="1.0" encoding="utf-8"?>
<pivotCacheRecords xmlns="http://schemas.openxmlformats.org/spreadsheetml/2006/main" xmlns:r="http://schemas.openxmlformats.org/officeDocument/2006/relationships" count="376">
  <r>
    <m/>
    <m/>
    <m/>
    <m/>
    <m/>
    <m/>
    <x v="0"/>
    <m/>
    <m/>
    <m/>
    <m/>
    <m/>
    <m/>
    <m/>
    <m/>
    <m/>
    <m/>
    <m/>
    <m/>
    <m/>
  </r>
  <r>
    <s v="A New Twist To the News"/>
    <s v="Michael Zipf"/>
    <d v="2015-01-01T00:00:00"/>
    <m/>
    <s v="Corporate"/>
    <s v="Corporate"/>
    <x v="1"/>
    <s v="Global"/>
    <n v="1967"/>
    <n v="14"/>
    <m/>
    <m/>
    <m/>
    <m/>
    <m/>
    <m/>
    <m/>
    <m/>
    <n v="1967"/>
    <n v="14"/>
  </r>
  <r>
    <s v="“The Driving Force is Data”"/>
    <s v="Paul Baur"/>
    <d v="2015-01-01T00:00:00"/>
    <s v="Video"/>
    <s v="Sports"/>
    <s v="P&amp;I (Research &amp; Development)"/>
    <x v="2"/>
    <s v="Global"/>
    <n v="2170"/>
    <n v="0"/>
    <m/>
    <m/>
    <m/>
    <m/>
    <m/>
    <m/>
    <m/>
    <m/>
    <n v="2170"/>
    <n v="0"/>
  </r>
  <r>
    <s v="The Disruptors: Doing the Smart Thing"/>
    <s v="Judith Magyar"/>
    <d v="2015-01-01T00:00:00"/>
    <s v="Video"/>
    <s v="Innovation"/>
    <s v="GCO – Platform Solutions"/>
    <x v="2"/>
    <s v="Global"/>
    <n v="1799"/>
    <n v="0"/>
    <m/>
    <m/>
    <n v="144"/>
    <n v="0"/>
    <m/>
    <m/>
    <m/>
    <m/>
    <n v="1943"/>
    <n v="0"/>
  </r>
  <r>
    <s v="IBM is Practicing What SAP Teaches"/>
    <s v="Sarah Kellman"/>
    <d v="2015-01-02T00:00:00"/>
    <m/>
    <s v="Innovation"/>
    <s v="GPO (Partner, Ecosystem, Channels)"/>
    <x v="1"/>
    <s v="Global"/>
    <n v="3075"/>
    <n v="15"/>
    <m/>
    <m/>
    <m/>
    <m/>
    <m/>
    <m/>
    <m/>
    <m/>
    <n v="3075"/>
    <n v="15"/>
  </r>
  <r>
    <s v="Mobility Compliance Reloaded"/>
    <s v="Phillip Klewitz"/>
    <d v="2015-01-05T00:00:00"/>
    <m/>
    <s v="Innovation"/>
    <s v="GCO – Platform Solutions"/>
    <x v="1"/>
    <s v="Global"/>
    <n v="2753"/>
    <n v="3"/>
    <m/>
    <m/>
    <m/>
    <m/>
    <m/>
    <m/>
    <m/>
    <m/>
    <n v="2753"/>
    <n v="3"/>
  </r>
  <r>
    <s v="Overcoming the Trust Deficit"/>
    <s v="Paul Taylor"/>
    <d v="2015-01-06T00:00:00"/>
    <m/>
    <s v="Innovation"/>
    <s v="Corporate"/>
    <x v="1"/>
    <s v="Global"/>
    <n v="1287"/>
    <n v="8"/>
    <n v="569"/>
    <n v="0"/>
    <n v="125"/>
    <n v="0"/>
    <m/>
    <m/>
    <m/>
    <m/>
    <n v="1981"/>
    <n v="8"/>
  </r>
  <r>
    <s v="Global Managing Board Adds Two Members"/>
    <s v="SAP News"/>
    <d v="2015-01-09T00:00:00"/>
    <m/>
    <s v="Corporate"/>
    <s v="Corporate"/>
    <x v="1"/>
    <s v="Global"/>
    <n v="3163"/>
    <n v="6"/>
    <m/>
    <m/>
    <m/>
    <m/>
    <m/>
    <m/>
    <m/>
    <m/>
    <n v="3163"/>
    <n v="6"/>
  </r>
  <r>
    <s v="Photo Contest: Bending the Rules"/>
    <s v="Miriam Siebeking"/>
    <d v="2015-01-09T00:00:00"/>
    <m/>
    <s v="Corporate"/>
    <s v="Corporate"/>
    <x v="1"/>
    <s v="Global"/>
    <n v="1482"/>
    <n v="1"/>
    <m/>
    <m/>
    <m/>
    <m/>
    <m/>
    <m/>
    <m/>
    <m/>
    <n v="1482"/>
    <n v="1"/>
  </r>
  <r>
    <s v="The Results Are Out"/>
    <s v="Torsten Falk"/>
    <d v="2015-01-12T00:00:00"/>
    <s v="Video, Infographic"/>
    <s v="Corporate"/>
    <s v="Human Resources (SAP HR and employee stories)"/>
    <x v="1"/>
    <s v="Global"/>
    <n v="8394"/>
    <n v="20"/>
    <m/>
    <m/>
    <m/>
    <m/>
    <m/>
    <m/>
    <m/>
    <m/>
    <n v="8394"/>
    <n v="20"/>
  </r>
  <r>
    <s v="SAP Achieves 2014 Outlook as Cloud Surges"/>
    <s v="Paul Baur"/>
    <d v="2015-01-12T00:00:00"/>
    <m/>
    <s v="Innovation"/>
    <s v="Office of the CEO"/>
    <x v="1"/>
    <s v="Global"/>
    <n v="5792"/>
    <n v="4"/>
    <m/>
    <m/>
    <m/>
    <m/>
    <m/>
    <m/>
    <m/>
    <m/>
    <n v="5792"/>
    <n v="4"/>
  </r>
  <r>
    <s v="Top 5: Empowering Women at Work"/>
    <s v="Sarah Harvey"/>
    <d v="2015-01-15T00:00:00"/>
    <m/>
    <s v="Corporate"/>
    <s v="Human Resources (SAP HR and employee stories)"/>
    <x v="1"/>
    <s v="Global"/>
    <n v="2194"/>
    <n v="11"/>
    <m/>
    <m/>
    <m/>
    <m/>
    <m/>
    <m/>
    <m/>
    <m/>
    <n v="2194"/>
    <n v="11"/>
  </r>
  <r>
    <s v="Customer Connection Helps Optimize Products"/>
    <s v="Cueneyt Cam"/>
    <d v="2015-01-15T00:00:00"/>
    <m/>
    <s v="Corporate"/>
    <s v="Corporate"/>
    <x v="1"/>
    <s v="Global"/>
    <n v="1049"/>
    <n v="2"/>
    <m/>
    <m/>
    <m/>
    <m/>
    <m/>
    <m/>
    <m/>
    <m/>
    <n v="1049"/>
    <n v="2"/>
  </r>
  <r>
    <s v="Security Is in Your Hands"/>
    <s v="Agnes Biesiekierska"/>
    <d v="2015-01-16T00:00:00"/>
    <m/>
    <s v="Corporate"/>
    <s v="Corporate"/>
    <x v="1"/>
    <s v="Global"/>
    <n v="2838"/>
    <n v="8"/>
    <m/>
    <m/>
    <m/>
    <m/>
    <m/>
    <m/>
    <m/>
    <m/>
    <n v="2838"/>
    <n v="8"/>
  </r>
  <r>
    <s v="Phase One of SAP.com Goes Live"/>
    <s v="Richard Nikolic"/>
    <d v="2015-01-19T00:00:00"/>
    <m/>
    <s v="Corporate"/>
    <s v="Corporate"/>
    <x v="1"/>
    <s v="Global"/>
    <n v="3779"/>
    <n v="44"/>
    <m/>
    <m/>
    <m/>
    <m/>
    <m/>
    <m/>
    <m/>
    <m/>
    <n v="3779"/>
    <n v="44"/>
  </r>
  <r>
    <s v="New Regional Appointments in EMEA and MEE"/>
    <s v="Paul Baur"/>
    <d v="2015-01-19T00:00:00"/>
    <m/>
    <s v="Corporate"/>
    <s v="Corporate"/>
    <x v="1"/>
    <s v="EMEA"/>
    <n v="3042"/>
    <n v="0"/>
    <m/>
    <m/>
    <m/>
    <m/>
    <m/>
    <m/>
    <m/>
    <m/>
    <n v="3042"/>
    <n v="0"/>
  </r>
  <r>
    <s v="Is Unpredictability the New Norm?"/>
    <s v="Paul Taylor"/>
    <d v="2015-01-20T00:00:00"/>
    <s v="Infographic"/>
    <s v="Innovation"/>
    <s v="Business Network (Concur, Ariba, Fieldglass)"/>
    <x v="1"/>
    <s v="Global"/>
    <n v="1461"/>
    <n v="2"/>
    <m/>
    <m/>
    <n v="76"/>
    <n v="0"/>
    <n v="1145"/>
    <n v="0"/>
    <m/>
    <m/>
    <n v="2682"/>
    <n v="2"/>
  </r>
  <r>
    <s v="Regaining the Upper Hand with S4HANA"/>
    <s v="Stephan Magura"/>
    <d v="2015-01-20T00:00:00"/>
    <m/>
    <s v="Innovation"/>
    <s v="Office of the CEO"/>
    <x v="1"/>
    <s v="Global"/>
    <n v="3493"/>
    <n v="0"/>
    <m/>
    <m/>
    <m/>
    <m/>
    <m/>
    <m/>
    <m/>
    <m/>
    <n v="3493"/>
    <n v="0"/>
  </r>
  <r>
    <s v="2015: Full Throttle for Cloud Growth"/>
    <s v="Paul Baur"/>
    <d v="2015-01-21T00:00:00"/>
    <s v="Video"/>
    <s v="Innovation"/>
    <s v="Office of the CEO"/>
    <x v="1"/>
    <s v="Global"/>
    <n v="6504"/>
    <n v="10"/>
    <m/>
    <m/>
    <m/>
    <m/>
    <m/>
    <m/>
    <m/>
    <m/>
    <n v="6504"/>
    <n v="10"/>
  </r>
  <r>
    <s v="Capturing the Essence of SAP"/>
    <s v="Torsten Falk"/>
    <d v="2015-01-21T00:00:00"/>
    <s v="Video"/>
    <s v="Corporate"/>
    <s v="Office of the CEO"/>
    <x v="1"/>
    <s v="Global"/>
    <n v="2759"/>
    <n v="0"/>
    <m/>
    <m/>
    <m/>
    <m/>
    <m/>
    <m/>
    <m/>
    <m/>
    <n v="2759"/>
    <n v="0"/>
  </r>
  <r>
    <s v="The Disruptors: Harley to Minas Gerais"/>
    <s v="Judith Magyar"/>
    <d v="2015-01-22T00:00:00"/>
    <s v="Video"/>
    <s v="Innovation"/>
    <s v="GCO – Platform Solutions"/>
    <x v="2"/>
    <s v="Global"/>
    <n v="2160"/>
    <n v="8"/>
    <m/>
    <m/>
    <n v="139"/>
    <n v="0"/>
    <m/>
    <m/>
    <m/>
    <m/>
    <n v="2299"/>
    <n v="8"/>
  </r>
  <r>
    <s v="Career Path: From Manager to Expert"/>
    <s v="Torsten Falk"/>
    <d v="2015-01-23T00:00:00"/>
    <m/>
    <s v="Corporate"/>
    <s v="Human Resources (SAP HR and employee stories)"/>
    <x v="1"/>
    <s v="Global"/>
    <n v="5938"/>
    <n v="37"/>
    <m/>
    <m/>
    <m/>
    <m/>
    <m/>
    <m/>
    <m/>
    <m/>
    <n v="5938"/>
    <n v="37"/>
  </r>
  <r>
    <s v="Are You a Sports Ignoramus?"/>
    <s v="Paul Baur"/>
    <d v="2015-01-23T00:00:00"/>
    <s v="Video"/>
    <s v="Sports"/>
    <s v="Corporate"/>
    <x v="1"/>
    <s v="Global"/>
    <n v="1661"/>
    <n v="11"/>
    <m/>
    <m/>
    <m/>
    <m/>
    <m/>
    <m/>
    <m/>
    <m/>
    <n v="1661"/>
    <n v="11"/>
  </r>
  <r>
    <s v="SAP at World Economic Forum (Day 1)"/>
    <s v="Jennifer Alejandro"/>
    <d v="2015-01-23T00:00:00"/>
    <s v="Video"/>
    <s v="Innovation"/>
    <s v="Office of the CEO"/>
    <x v="1"/>
    <s v="Global"/>
    <n v="1515"/>
    <n v="4"/>
    <m/>
    <m/>
    <m/>
    <m/>
    <m/>
    <m/>
    <m/>
    <m/>
    <n v="1515"/>
    <n v="4"/>
  </r>
  <r>
    <s v="Will Berlin Out-Innovate Silicon Valley?"/>
    <s v="Susan Galer"/>
    <d v="2015-01-26T00:00:00"/>
    <m/>
    <s v="Innovation"/>
    <s v="P&amp;I (Research &amp; Development)"/>
    <x v="2"/>
    <s v="EMEA"/>
    <n v="2578"/>
    <n v="7"/>
    <n v="3475"/>
    <n v="0"/>
    <m/>
    <m/>
    <m/>
    <m/>
    <m/>
    <m/>
    <n v="6053"/>
    <n v="7"/>
  </r>
  <r>
    <s v="Hidden Champion: The Crisis Manager"/>
    <s v="Stephan Magura"/>
    <d v="2015-01-27T00:00:00"/>
    <m/>
    <s v="Corporate"/>
    <s v="Human Resources (SAP HR and employee stories)"/>
    <x v="1"/>
    <s v="Global"/>
    <n v="2346"/>
    <n v="9"/>
    <m/>
    <m/>
    <m/>
    <m/>
    <m/>
    <m/>
    <m/>
    <m/>
    <n v="2346"/>
    <n v="9"/>
  </r>
  <r>
    <s v="Forklift Meets Cloud"/>
    <s v="Michael Zipf"/>
    <d v="2015-01-27T00:00:00"/>
    <m/>
    <s v="Innovation"/>
    <s v="GCO – Platform Solutions"/>
    <x v="1"/>
    <s v="Global"/>
    <n v="2176"/>
    <n v="6"/>
    <m/>
    <m/>
    <m/>
    <m/>
    <m/>
    <m/>
    <m/>
    <m/>
    <n v="2176"/>
    <n v="6"/>
  </r>
  <r>
    <s v="A Business Leader in Marketing"/>
    <s v="John Pelle"/>
    <d v="2015-01-28T00:00:00"/>
    <s v="Video"/>
    <s v="Innovation"/>
    <s v="Office of the CEO"/>
    <x v="1"/>
    <s v="Global"/>
    <n v="2810"/>
    <n v="17"/>
    <m/>
    <m/>
    <m/>
    <m/>
    <m/>
    <m/>
    <m/>
    <m/>
    <n v="2810"/>
    <n v="17"/>
  </r>
  <r>
    <s v="Top Five Things to Know: Cristina Palmaka"/>
    <s v="Robin Meyerhoff"/>
    <d v="2015-01-28T00:00:00"/>
    <m/>
    <s v="Corporate"/>
    <s v="GCO – Regions"/>
    <x v="1"/>
    <s v="LATAM"/>
    <n v="1618"/>
    <n v="13"/>
    <m/>
    <m/>
    <m/>
    <m/>
    <m/>
    <m/>
    <m/>
    <m/>
    <n v="1618"/>
    <n v="13"/>
  </r>
  <r>
    <s v="Decoding the Human Body"/>
    <s v="Michael Zipf"/>
    <d v="2015-01-29T00:00:00"/>
    <s v="Video"/>
    <s v="Healthcare"/>
    <s v="GCO – Platform Solutions"/>
    <x v="1"/>
    <s v="Global"/>
    <n v="1791"/>
    <n v="7"/>
    <m/>
    <m/>
    <n v="171"/>
    <n v="0"/>
    <m/>
    <m/>
    <m/>
    <m/>
    <n v="1962"/>
    <n v="7"/>
  </r>
  <r>
    <s v="Watch for These Top Trends in 2015"/>
    <s v="Paul Baur"/>
    <d v="2015-01-29T00:00:00"/>
    <m/>
    <s v="Innovation"/>
    <s v="Corporate"/>
    <x v="2"/>
    <s v="Global"/>
    <n v="2524"/>
    <n v="0"/>
    <m/>
    <m/>
    <m/>
    <m/>
    <m/>
    <m/>
    <m/>
    <m/>
    <n v="2524"/>
    <n v="0"/>
  </r>
  <r>
    <s v="Bill in MENA: Exciting New Prospects"/>
    <s v="Courtney Robinson"/>
    <d v="2015-01-30T00:00:00"/>
    <s v="Video"/>
    <s v="Youth"/>
    <s v="Office of the CEO"/>
    <x v="2"/>
    <s v="EMEA"/>
    <n v="4077"/>
    <n v="7"/>
    <m/>
    <m/>
    <m/>
    <m/>
    <m/>
    <m/>
    <m/>
    <m/>
    <n v="4077"/>
    <n v="7"/>
  </r>
  <r>
    <s v="The Business Re-Imaginer"/>
    <s v="Robin Meyerhoff"/>
    <d v="2015-02-01T00:00:00"/>
    <m/>
    <s v="Innovation"/>
    <s v="GCO – Industry Cloud "/>
    <x v="1"/>
    <s v="Global"/>
    <n v="1613"/>
    <n v="2"/>
    <m/>
    <m/>
    <m/>
    <m/>
    <m/>
    <m/>
    <m/>
    <m/>
    <n v="1613"/>
    <n v="2"/>
  </r>
  <r>
    <s v="Connecting the Autism Community"/>
    <s v="Suan Jee Janice Ng"/>
    <d v="2015-02-02T00:00:00"/>
    <m/>
    <s v="Corporate"/>
    <s v="GCO – HR (SuccessFactors)"/>
    <x v="1"/>
    <s v="Global"/>
    <n v="729"/>
    <n v="0"/>
    <m/>
    <m/>
    <m/>
    <m/>
    <m/>
    <m/>
    <m/>
    <m/>
    <n v="729"/>
    <n v="0"/>
  </r>
  <r>
    <s v="The Complexity Antidote"/>
    <s v="Paul Taylor"/>
    <d v="2015-02-03T00:00:00"/>
    <m/>
    <s v="Innovation"/>
    <s v="GCO – Industry Cloud "/>
    <x v="1"/>
    <s v="Global"/>
    <n v="7120"/>
    <n v="13"/>
    <m/>
    <m/>
    <n v="1507"/>
    <n v="0"/>
    <n v="613"/>
    <n v="0"/>
    <m/>
    <m/>
    <n v="9240"/>
    <n v="13"/>
  </r>
  <r>
    <s v="Digitized Health Care Saves Lives"/>
    <s v="Robin Meyerhoff"/>
    <d v="2015-02-03T00:00:00"/>
    <m/>
    <s v="Healthcare"/>
    <s v="GCO – Platform Solutions"/>
    <x v="1"/>
    <s v="Global"/>
    <n v="906"/>
    <n v="0"/>
    <m/>
    <m/>
    <n v="178"/>
    <n v="0"/>
    <n v="2276"/>
    <n v="0"/>
    <m/>
    <m/>
    <n v="3360"/>
    <n v="0"/>
  </r>
  <r>
    <s v="Cirque du Soleil - Free to be Creative"/>
    <s v="Paul Taylor"/>
    <d v="2015-02-03T00:00:00"/>
    <m/>
    <s v="Innovation"/>
    <s v="GCO – HR (SuccessFactors)"/>
    <x v="2"/>
    <s v="Global"/>
    <n v="1850"/>
    <n v="8"/>
    <m/>
    <m/>
    <n v="600"/>
    <n v="0"/>
    <n v="862"/>
    <n v="0"/>
    <m/>
    <m/>
    <n v="3312"/>
    <n v="8"/>
  </r>
  <r>
    <s v="The Disruptors: Eldorado for Shoppers"/>
    <s v="Judith Magyar"/>
    <d v="2015-02-03T00:00:00"/>
    <m/>
    <s v="Innovation"/>
    <s v="GCO – Platform Solutions"/>
    <x v="2"/>
    <s v="Global"/>
    <n v="1516"/>
    <n v="4"/>
    <m/>
    <m/>
    <m/>
    <m/>
    <m/>
    <m/>
    <m/>
    <m/>
    <n v="1516"/>
    <n v="4"/>
  </r>
  <r>
    <s v="Four Times to the Moon and Back"/>
    <s v="Christine Susanne Mueller"/>
    <d v="2015-02-05T00:00:00"/>
    <m/>
    <s v="Innovation"/>
    <s v="Human Resources (SAP HR and employee stories)"/>
    <x v="1"/>
    <s v="Global"/>
    <n v="2094"/>
    <n v="23"/>
    <m/>
    <m/>
    <m/>
    <m/>
    <m/>
    <m/>
    <m/>
    <m/>
    <n v="2094"/>
    <n v="23"/>
  </r>
  <r>
    <s v="SAP Turbo-Charges Education"/>
    <s v="Susan Galer"/>
    <d v="2015-02-05T00:00:00"/>
    <m/>
    <s v="Youth"/>
    <s v="GCO – Other"/>
    <x v="1"/>
    <s v="Global"/>
    <n v="1946"/>
    <n v="3"/>
    <m/>
    <m/>
    <m/>
    <m/>
    <m/>
    <m/>
    <m/>
    <m/>
    <n v="1946"/>
    <n v="3"/>
  </r>
  <r>
    <s v="Photo Contest: Bending the Rules"/>
    <s v="Miriam Siebeking"/>
    <d v="2015-02-06T00:00:00"/>
    <m/>
    <s v="Corporate"/>
    <s v="Corporate"/>
    <x v="1"/>
    <s v="Global"/>
    <n v="2104"/>
    <n v="0"/>
    <m/>
    <m/>
    <m/>
    <m/>
    <m/>
    <m/>
    <m/>
    <m/>
    <n v="2104"/>
    <n v="0"/>
  </r>
  <r>
    <s v="The Disruptors: Tech Dress at Work"/>
    <s v="Judith Magyar"/>
    <d v="2015-02-11T00:00:00"/>
    <m/>
    <s v="Innovation"/>
    <s v="GCO – Platform Solutions"/>
    <x v="2"/>
    <s v="Global"/>
    <n v="2485"/>
    <n v="5"/>
    <m/>
    <m/>
    <n v="249"/>
    <n v="0"/>
    <n v="850"/>
    <n v="0"/>
    <m/>
    <m/>
    <n v="3584"/>
    <n v="5"/>
  </r>
  <r>
    <s v="Building Bridges: Sound of Collaboration"/>
    <s v="Building Bridges"/>
    <d v="2015-02-12T00:00:00"/>
    <m/>
    <s v="Corporate"/>
    <s v="Corporate"/>
    <x v="1"/>
    <s v="Global"/>
    <n v="1567"/>
    <n v="12"/>
    <m/>
    <m/>
    <m/>
    <m/>
    <m/>
    <m/>
    <m/>
    <m/>
    <n v="1567"/>
    <n v="12"/>
  </r>
  <r>
    <s v="Ideas with Impact"/>
    <s v="Corinna Machmeier"/>
    <d v="2015-02-12T00:00:00"/>
    <m/>
    <s v="Youth"/>
    <s v="Human Resources (SAP HR and employee stories)"/>
    <x v="1"/>
    <s v="Global"/>
    <n v="858"/>
    <n v="1"/>
    <m/>
    <m/>
    <m/>
    <m/>
    <m/>
    <m/>
    <m/>
    <m/>
    <n v="858"/>
    <n v="1"/>
  </r>
  <r>
    <s v="Photo Contest: 2014 Winners Announced"/>
    <s v="Miriam Siebeking"/>
    <d v="2015-02-13T00:00:00"/>
    <m/>
    <s v="Corporate"/>
    <s v="Corporate"/>
    <x v="1"/>
    <s v="Global"/>
    <n v="1726"/>
    <n v="5"/>
    <m/>
    <m/>
    <m/>
    <m/>
    <m/>
    <m/>
    <m/>
    <m/>
    <n v="1726"/>
    <n v="5"/>
  </r>
  <r>
    <s v="“How We Run” Takes Off"/>
    <s v="Miriam Siebeking"/>
    <d v="2015-02-13T00:00:00"/>
    <m/>
    <s v="Corporate"/>
    <s v="Human Resources (SAP HR and employee stories)"/>
    <x v="1"/>
    <s v="Global"/>
    <n v="958"/>
    <n v="0"/>
    <m/>
    <m/>
    <m/>
    <m/>
    <m/>
    <m/>
    <m/>
    <m/>
    <n v="958"/>
    <n v="0"/>
  </r>
  <r>
    <s v="The Difference Between Life and Death"/>
    <s v="Susan Galer"/>
    <d v="2015-02-16T00:00:00"/>
    <m/>
    <s v="Healthcare"/>
    <s v="GCO – Industry Cloud "/>
    <x v="1"/>
    <s v="Global"/>
    <n v="619"/>
    <n v="4"/>
    <n v="1014"/>
    <n v="0"/>
    <m/>
    <m/>
    <m/>
    <m/>
    <m/>
    <m/>
    <n v="1633"/>
    <n v="4"/>
  </r>
  <r>
    <s v="Need to Know: SAP Corporate Framework"/>
    <s v="Tibor Hornyak"/>
    <d v="2015-02-16T00:00:00"/>
    <m/>
    <s v="Innovation"/>
    <s v="Office of the CEO"/>
    <x v="1"/>
    <s v="Global"/>
    <n v="1720"/>
    <n v="3"/>
    <m/>
    <m/>
    <m/>
    <m/>
    <m/>
    <m/>
    <m/>
    <m/>
    <n v="1720"/>
    <n v="3"/>
  </r>
  <r>
    <s v="Get Your Cricket World Cup Updates"/>
    <s v="Michael Zipf"/>
    <d v="2015-02-16T00:00:00"/>
    <m/>
    <s v="Sports"/>
    <s v="GCO – Platform Solutions"/>
    <x v="2"/>
    <s v="Global"/>
    <n v="2021"/>
    <n v="16"/>
    <m/>
    <m/>
    <m/>
    <m/>
    <m/>
    <m/>
    <m/>
    <m/>
    <n v="2021"/>
    <n v="16"/>
  </r>
  <r>
    <s v="Sending the Right Message"/>
    <s v="Jerry Janda"/>
    <d v="2015-02-17T00:00:00"/>
    <s v="Infographic"/>
    <s v="Innovation"/>
    <s v="GCO – Industry Cloud "/>
    <x v="1"/>
    <s v="Global"/>
    <n v="1037"/>
    <n v="2"/>
    <m/>
    <m/>
    <m/>
    <m/>
    <m/>
    <m/>
    <m/>
    <m/>
    <n v="1037"/>
    <n v="2"/>
  </r>
  <r>
    <s v="The Disruptors: Plant Bottles, not Plastic"/>
    <s v="Judith Magyar"/>
    <d v="2015-02-17T00:00:00"/>
    <m/>
    <s v="Innovation"/>
    <s v="GCO – Platform Solutions"/>
    <x v="2"/>
    <s v="Global"/>
    <n v="1503"/>
    <n v="6"/>
    <m/>
    <m/>
    <n v="776"/>
    <n v="0"/>
    <m/>
    <m/>
    <m/>
    <m/>
    <n v="2279"/>
    <n v="6"/>
  </r>
  <r>
    <s v="Powering the Energy Revolution"/>
    <s v="Bettina Wunderle"/>
    <d v="2015-02-18T00:00:00"/>
    <m/>
    <s v="Innovation"/>
    <s v="Office of the CEO"/>
    <x v="1"/>
    <s v="Global"/>
    <n v="975"/>
    <n v="9"/>
    <m/>
    <m/>
    <m/>
    <m/>
    <m/>
    <m/>
    <m/>
    <m/>
    <n v="975"/>
    <n v="9"/>
  </r>
  <r>
    <s v="Big S/4HANA Wins in Latin America"/>
    <s v="Nicola Leske"/>
    <d v="2015-02-18T00:00:00"/>
    <m/>
    <s v="Innovation"/>
    <s v="GCO – Industry Cloud "/>
    <x v="2"/>
    <s v="LATAM"/>
    <n v="2269"/>
    <n v="14"/>
    <m/>
    <m/>
    <m/>
    <m/>
    <m/>
    <m/>
    <m/>
    <m/>
    <n v="2269"/>
    <n v="14"/>
  </r>
  <r>
    <s v="“I Was Born This Way”"/>
    <s v="Kesja Cichowski"/>
    <d v="2015-02-20T00:00:00"/>
    <m/>
    <s v="Corporate"/>
    <s v="Human Resources (SAP HR and employee stories)"/>
    <x v="1"/>
    <s v="Global"/>
    <n v="2311"/>
    <n v="57"/>
    <m/>
    <m/>
    <m/>
    <m/>
    <m/>
    <m/>
    <m/>
    <m/>
    <n v="2311"/>
    <n v="57"/>
  </r>
  <r>
    <s v="SAP Labs India Hosts IoT Day"/>
    <s v="Sonakishi Nandy"/>
    <d v="2015-02-20T00:00:00"/>
    <m/>
    <s v="Innovation"/>
    <s v="P&amp;I (Research &amp; Development)"/>
    <x v="1"/>
    <s v="EMEA"/>
    <n v="2616"/>
    <n v="11"/>
    <m/>
    <m/>
    <m/>
    <m/>
    <m/>
    <m/>
    <m/>
    <m/>
    <n v="2616"/>
    <n v="11"/>
  </r>
  <r>
    <s v="SAP and NHL Team up for Hockey Fans"/>
    <s v="Lena Walther"/>
    <d v="2015-02-21T00:00:00"/>
    <s v="Video"/>
    <s v="Sports"/>
    <s v="GCO – Industry Cloud "/>
    <x v="2"/>
    <s v="Global"/>
    <n v="1400"/>
    <n v="11"/>
    <m/>
    <m/>
    <m/>
    <m/>
    <m/>
    <m/>
    <m/>
    <m/>
    <n v="1400"/>
    <n v="11"/>
  </r>
  <r>
    <s v="Getting Ahead of the Curve in Safety"/>
    <s v="Michael Zipf"/>
    <d v="2015-02-23T00:00:00"/>
    <m/>
    <s v="Innovation"/>
    <s v="GCO – Regions"/>
    <x v="1"/>
    <s v="Global"/>
    <n v="718"/>
    <n v="1"/>
    <m/>
    <m/>
    <m/>
    <m/>
    <m/>
    <m/>
    <m/>
    <m/>
    <n v="718"/>
    <n v="1"/>
  </r>
  <r>
    <s v="Sleeping Beauties"/>
    <s v="Stephan Magura"/>
    <d v="2015-02-24T00:00:00"/>
    <m/>
    <s v="Innovation"/>
    <s v="Corporate"/>
    <x v="1"/>
    <s v="EMEA"/>
    <n v="1999"/>
    <n v="8"/>
    <m/>
    <m/>
    <m/>
    <m/>
    <m/>
    <m/>
    <m/>
    <m/>
    <n v="1999"/>
    <n v="8"/>
  </r>
  <r>
    <s v="The Disruptors: People, Planet, Profit"/>
    <s v="Judith Magyar"/>
    <d v="2015-02-25T00:00:00"/>
    <s v="Infographic"/>
    <s v="Innovation"/>
    <s v="GCO – Industry Cloud "/>
    <x v="1"/>
    <s v="Global"/>
    <n v="1004"/>
    <n v="5"/>
    <m/>
    <m/>
    <n v="196"/>
    <n v="0"/>
    <n v="393"/>
    <n v="0"/>
    <m/>
    <m/>
    <n v="1593"/>
    <n v="5"/>
  </r>
  <r>
    <s v="Healthcare gets the IT Treatment"/>
    <s v="Paul Taylor"/>
    <d v="2015-02-25T00:00:00"/>
    <s v="Infographic"/>
    <s v="Healthcare"/>
    <s v="GCO – Platform Solutions"/>
    <x v="1"/>
    <s v="Global"/>
    <n v="792"/>
    <n v="4"/>
    <m/>
    <m/>
    <n v="195"/>
    <n v="0"/>
    <n v="492"/>
    <n v="0"/>
    <m/>
    <m/>
    <n v="1479"/>
    <n v="4"/>
  </r>
  <r>
    <s v="Hate Your Job?"/>
    <s v="Amira Polack"/>
    <d v="2015-02-26T00:00:00"/>
    <s v="Infographic"/>
    <s v="Corporate"/>
    <s v="Human Resources (SAP HR and employee stories)"/>
    <x v="1"/>
    <s v="Global"/>
    <n v="3171"/>
    <n v="8"/>
    <m/>
    <m/>
    <m/>
    <m/>
    <m/>
    <m/>
    <m/>
    <m/>
    <n v="3171"/>
    <n v="8"/>
  </r>
  <r>
    <s v="Out of This World"/>
    <s v="Paul Baur"/>
    <d v="2015-02-27T00:00:00"/>
    <s v="Video"/>
    <s v="Corporate"/>
    <s v="Human Resources (SAP HR and employee stories)"/>
    <x v="1"/>
    <s v="Global"/>
    <n v="2236"/>
    <n v="43"/>
    <m/>
    <m/>
    <m/>
    <m/>
    <m/>
    <m/>
    <m/>
    <m/>
    <n v="2236"/>
    <n v="43"/>
  </r>
  <r>
    <s v="Career Coaching (1/3)"/>
    <s v="Torsten Falk"/>
    <d v="2015-02-27T00:00:00"/>
    <m/>
    <s v="Corporate"/>
    <s v="Human Resources (SAP HR and employee stories)"/>
    <x v="1"/>
    <s v="Global"/>
    <n v="2277"/>
    <n v="14"/>
    <m/>
    <m/>
    <m/>
    <m/>
    <m/>
    <m/>
    <m/>
    <m/>
    <n v="2277"/>
    <n v="14"/>
  </r>
  <r>
    <s v="A New Perspective on IoT"/>
    <s v="Christine Kubach"/>
    <d v="2015-03-02T00:00:00"/>
    <m/>
    <s v="Innovation"/>
    <s v="P&amp;I (Research &amp; Development)"/>
    <x v="1"/>
    <s v="Global"/>
    <n v="2891"/>
    <n v="18"/>
    <m/>
    <m/>
    <m/>
    <m/>
    <m/>
    <m/>
    <m/>
    <m/>
    <n v="2891"/>
    <n v="18"/>
  </r>
  <r>
    <s v="Telcos Tap into the Connected Woman"/>
    <s v="Jacqueline Prause"/>
    <d v="2015-03-02T00:00:00"/>
    <m/>
    <s v="Corporate"/>
    <s v="GCO – Platform Solutions"/>
    <x v="1"/>
    <s v="EMEA"/>
    <n v="813"/>
    <n v="5"/>
    <m/>
    <m/>
    <m/>
    <m/>
    <m/>
    <m/>
    <m/>
    <m/>
    <n v="813"/>
    <n v="5"/>
  </r>
  <r>
    <s v="MWC- Mobile Industry’s Reality Test"/>
    <s v="Paul Taylor"/>
    <d v="2015-03-02T00:00:00"/>
    <s v="Video"/>
    <s v="Innovation"/>
    <s v="GCO – Platform Solutions"/>
    <x v="1"/>
    <s v="EMEA"/>
    <n v="273"/>
    <n v="0"/>
    <n v="5602"/>
    <n v="0"/>
    <n v="75"/>
    <n v="0"/>
    <n v="355"/>
    <n v="0"/>
    <m/>
    <m/>
    <n v="6305"/>
    <n v="0"/>
  </r>
  <r>
    <s v="SAP Inspiration Pavilion Opens in Beijing"/>
    <s v="Jakob Braun"/>
    <d v="2015-03-02T00:00:00"/>
    <m/>
    <s v="Innovation"/>
    <s v="GCO – Regions"/>
    <x v="1"/>
    <s v="China"/>
    <n v="661"/>
    <n v="0"/>
    <m/>
    <m/>
    <m/>
    <m/>
    <m/>
    <m/>
    <m/>
    <m/>
    <n v="661"/>
    <n v="0"/>
  </r>
  <r>
    <s v="The Edge of Innovation"/>
    <s v="Jacqueline Prause"/>
    <d v="2015-03-03T00:00:00"/>
    <m/>
    <s v="Innovation"/>
    <s v="GCO – Platform Solutions"/>
    <x v="1"/>
    <s v="EMEA"/>
    <n v="819"/>
    <n v="0"/>
    <m/>
    <m/>
    <m/>
    <m/>
    <m/>
    <m/>
    <m/>
    <m/>
    <n v="819"/>
    <n v="0"/>
  </r>
  <r>
    <s v="Career Coaching (2/3)"/>
    <s v="Torsten Falk"/>
    <d v="2015-03-04T00:00:00"/>
    <m/>
    <s v="Corporate"/>
    <s v="Human Resources (SAP HR and employee stories)"/>
    <x v="1"/>
    <s v="Global"/>
    <n v="2283"/>
    <n v="16"/>
    <m/>
    <m/>
    <m/>
    <m/>
    <m/>
    <m/>
    <m/>
    <m/>
    <n v="2283"/>
    <n v="16"/>
  </r>
  <r>
    <s v="Unleash the Startup in You"/>
    <s v="Marcus Krug"/>
    <d v="2015-03-04T00:00:00"/>
    <s v="Video"/>
    <s v="Youth"/>
    <s v="P&amp;I (Research &amp; Development)"/>
    <x v="1"/>
    <s v="Global"/>
    <n v="2554"/>
    <n v="7"/>
    <m/>
    <m/>
    <m/>
    <m/>
    <m/>
    <m/>
    <m/>
    <m/>
    <n v="2554"/>
    <n v="7"/>
  </r>
  <r>
    <s v="The Disruptors: Barcelona For You!"/>
    <s v="Judith Magyar"/>
    <d v="2015-03-04T00:00:00"/>
    <m/>
    <s v="Innovation"/>
    <s v="GCO – Platform Solutions"/>
    <x v="2"/>
    <s v="EMEA"/>
    <n v="1032"/>
    <n v="3"/>
    <m/>
    <m/>
    <n v="305"/>
    <n v="0"/>
    <m/>
    <m/>
    <m/>
    <m/>
    <n v="1337"/>
    <n v="3"/>
  </r>
  <r>
    <s v="Culture Wall Up and Running"/>
    <s v="Anne Hardy"/>
    <d v="2015-03-05T00:00:00"/>
    <m/>
    <s v="Corporate"/>
    <s v="Human Resources (SAP HR and employee stories)"/>
    <x v="1"/>
    <s v="Global"/>
    <n v="1569"/>
    <n v="6"/>
    <m/>
    <m/>
    <m/>
    <m/>
    <m/>
    <m/>
    <m/>
    <m/>
    <n v="1569"/>
    <n v="6"/>
  </r>
  <r>
    <s v="Career Coaching (3/3)"/>
    <s v="Torsten Falk"/>
    <d v="2015-03-06T00:00:00"/>
    <m/>
    <s v="Corporate"/>
    <s v="Human Resources (SAP HR and employee stories)"/>
    <x v="1"/>
    <s v="Global"/>
    <n v="2869"/>
    <n v="8"/>
    <m/>
    <m/>
    <m/>
    <m/>
    <m/>
    <m/>
    <m/>
    <m/>
    <n v="2869"/>
    <n v="8"/>
  </r>
  <r>
    <s v="Walldorf and Silicon Valley in Tech Fever"/>
    <s v="Teara Kuhn"/>
    <d v="2015-03-06T00:00:00"/>
    <s v="Video"/>
    <s v="Innovation"/>
    <s v="P&amp;I (Research &amp; Development)"/>
    <x v="1"/>
    <s v="Global"/>
    <n v="2316"/>
    <n v="3"/>
    <m/>
    <m/>
    <m/>
    <m/>
    <m/>
    <m/>
    <m/>
    <m/>
    <n v="2316"/>
    <n v="3"/>
  </r>
  <r>
    <s v="Women’s Day: Make It Happen!"/>
    <s v="Nadia Boyes"/>
    <d v="2015-03-10T00:00:00"/>
    <s v="Video"/>
    <s v="Corporate"/>
    <s v="Human Resources (SAP HR and employee stories)"/>
    <x v="1"/>
    <s v="Global"/>
    <n v="1186"/>
    <n v="6"/>
    <m/>
    <m/>
    <m/>
    <m/>
    <m/>
    <m/>
    <m/>
    <m/>
    <n v="1186"/>
    <n v="6"/>
  </r>
  <r>
    <s v="Next Generation of SAP MaxAttention"/>
    <s v="Ursula Kreuch"/>
    <d v="2015-03-10T00:00:00"/>
    <s v="Video"/>
    <s v="Innovation"/>
    <s v="GCO – Services Sales"/>
    <x v="1"/>
    <s v="Global"/>
    <n v="3610"/>
    <n v="2"/>
    <m/>
    <m/>
    <m/>
    <m/>
    <m/>
    <m/>
    <m/>
    <m/>
    <n v="3610"/>
    <n v="2"/>
  </r>
  <r>
    <s v="The Disruptors: Getting Personal With Big Data"/>
    <s v="Judith Magyar"/>
    <d v="2015-03-11T00:00:00"/>
    <s v="Infographic"/>
    <s v="Innovation"/>
    <s v="GCO – Platform Solutions"/>
    <x v="1"/>
    <s v="Global"/>
    <n v="1362"/>
    <n v="4"/>
    <m/>
    <m/>
    <n v="251"/>
    <n v="0"/>
    <m/>
    <m/>
    <m/>
    <m/>
    <n v="1613"/>
    <n v="4"/>
  </r>
  <r>
    <s v="A Showcase for Real-Time Retail"/>
    <s v="Susan Jee Janice Ng"/>
    <d v="2015-03-11T00:00:00"/>
    <s v="Video"/>
    <s v="Innovation"/>
    <s v="GCO – Industry Cloud "/>
    <x v="1"/>
    <s v="APJ"/>
    <n v="1071"/>
    <n v="3"/>
    <m/>
    <m/>
    <m/>
    <m/>
    <m/>
    <m/>
    <m/>
    <m/>
    <n v="1071"/>
    <n v="3"/>
  </r>
  <r>
    <s v="Creating A Strong Culture"/>
    <s v="Susan Orenstein"/>
    <d v="2015-03-12T00:00:00"/>
    <m/>
    <s v="Corporate"/>
    <s v="Human Resources (SAP HR and employee stories)"/>
    <x v="1"/>
    <s v="Global"/>
    <n v="1629"/>
    <n v="47"/>
    <m/>
    <m/>
    <m/>
    <m/>
    <m/>
    <m/>
    <m/>
    <m/>
    <n v="1629"/>
    <n v="47"/>
  </r>
  <r>
    <s v="Jenny Dearborn: Powerful Leader in IT"/>
    <s v="Andrea Diederichs"/>
    <d v="2015-03-13T00:00:00"/>
    <m/>
    <s v="Corporate"/>
    <s v="Human Resources (SAP HR and employee stories)"/>
    <x v="1"/>
    <s v="Global"/>
    <n v="3907"/>
    <n v="49"/>
    <m/>
    <m/>
    <n v="407"/>
    <n v="0"/>
    <m/>
    <m/>
    <m/>
    <m/>
    <n v="4314"/>
    <n v="49"/>
  </r>
  <r>
    <s v="How Jaime Found His Dream Job"/>
    <s v="Susan Galer"/>
    <d v="2015-03-13T00:00:00"/>
    <s v="Video"/>
    <s v="Youth"/>
    <s v="Human Resources (SAP HR and employee stories)"/>
    <x v="1"/>
    <s v="Global"/>
    <n v="1855"/>
    <n v="4"/>
    <m/>
    <m/>
    <m/>
    <m/>
    <m/>
    <m/>
    <m/>
    <m/>
    <n v="1855"/>
    <n v="4"/>
  </r>
  <r>
    <s v="Introducing the New SAP Store"/>
    <s v="Anna Burkhadt"/>
    <d v="2015-03-16T00:00:00"/>
    <m/>
    <s v="Innovation"/>
    <s v="GCO – Customer Engagement &amp; Commerce (CRM &amp; hybris) "/>
    <x v="1"/>
    <s v="Global"/>
    <n v="2322"/>
    <n v="6"/>
    <m/>
    <m/>
    <m/>
    <m/>
    <m/>
    <m/>
    <m/>
    <m/>
    <n v="2322"/>
    <n v="6"/>
  </r>
  <r>
    <s v="HanaHaus Opens in Palo Alto"/>
    <s v="Susan Orenstein"/>
    <d v="2015-03-17T00:00:00"/>
    <s v="Slideshow"/>
    <s v="Corporate"/>
    <s v="Corporate"/>
    <x v="1"/>
    <s v="NA"/>
    <n v="7908"/>
    <n v="37"/>
    <m/>
    <m/>
    <m/>
    <m/>
    <m/>
    <m/>
    <m/>
    <m/>
    <n v="7908"/>
    <n v="37"/>
  </r>
  <r>
    <s v="Never Lose Your Sense of Curiosity"/>
    <s v="Torsten Falk"/>
    <d v="2015-03-17T00:00:00"/>
    <m/>
    <s v="Corporate"/>
    <s v="GCO – Services Sales"/>
    <x v="1"/>
    <s v="Global"/>
    <n v="1144"/>
    <n v="4"/>
    <m/>
    <m/>
    <m/>
    <m/>
    <m/>
    <m/>
    <m/>
    <m/>
    <n v="1144"/>
    <n v="4"/>
  </r>
  <r>
    <s v="Hidden Champion: The Global Citizen"/>
    <s v="Stephan Magura"/>
    <d v="2015-03-18T00:00:00"/>
    <m/>
    <s v="Corporate"/>
    <s v="Human Resources (SAP HR and employee stories)"/>
    <x v="1"/>
    <s v="EMEA"/>
    <n v="1132"/>
    <n v="6"/>
    <m/>
    <m/>
    <m/>
    <m/>
    <m/>
    <m/>
    <m/>
    <m/>
    <n v="1132"/>
    <n v="6"/>
  </r>
  <r>
    <s v="The Disruptors: These Schutz are Made for Walking"/>
    <s v="Judith Magyar"/>
    <d v="2015-03-18T00:00:00"/>
    <m/>
    <s v="Innovation"/>
    <s v="Business Network (Concur, Ariba, Fieldglass)"/>
    <x v="2"/>
    <s v="LATAM"/>
    <n v="1041"/>
    <n v="2"/>
    <m/>
    <m/>
    <n v="661"/>
    <n v="0"/>
    <m/>
    <m/>
    <m/>
    <m/>
    <n v="1702"/>
    <n v="2"/>
  </r>
  <r>
    <s v="Photo Contest: Diversity &amp; Inclusion"/>
    <s v="Miriam Siebeking"/>
    <d v="2015-03-19T00:00:00"/>
    <m/>
    <s v="Corporate"/>
    <s v="Corporate"/>
    <x v="1"/>
    <s v="Global"/>
    <n v="2080"/>
    <n v="3"/>
    <m/>
    <m/>
    <m/>
    <m/>
    <m/>
    <m/>
    <m/>
    <m/>
    <n v="2080"/>
    <n v="3"/>
  </r>
  <r>
    <s v="Strong Commitment Increases Profit"/>
    <s v="Diana Pauly"/>
    <d v="2015-03-20T00:00:00"/>
    <s v="Infographic"/>
    <s v="Corporate"/>
    <s v="Human Resources (SAP HR and employee stories)"/>
    <x v="1"/>
    <s v="Global"/>
    <n v="2252"/>
    <n v="4"/>
    <m/>
    <m/>
    <m/>
    <m/>
    <m/>
    <m/>
    <m/>
    <m/>
    <n v="2252"/>
    <n v="4"/>
  </r>
  <r>
    <s v="CeBIT 2015: High-Touch SAP"/>
    <s v="Kesja Cichowski"/>
    <d v="2015-03-20T00:00:00"/>
    <m/>
    <s v="Innovation"/>
    <s v="Corporate"/>
    <x v="1"/>
    <s v="Global"/>
    <n v="714"/>
    <n v="0"/>
    <m/>
    <m/>
    <m/>
    <m/>
    <m/>
    <m/>
    <m/>
    <m/>
    <n v="714"/>
    <n v="0"/>
  </r>
  <r>
    <s v="Apple Pay and the Payment Platform Revolution"/>
    <s v="Debra Curtis-Magley"/>
    <d v="2015-03-23T00:00:00"/>
    <m/>
    <s v="Innovation"/>
    <s v="Business Network (Concur, Ariba, Fieldglass)"/>
    <x v="1"/>
    <s v="Global"/>
    <n v="1277"/>
    <n v="2"/>
    <m/>
    <m/>
    <m/>
    <m/>
    <m/>
    <m/>
    <m/>
    <m/>
    <n v="1277"/>
    <n v="2"/>
  </r>
  <r>
    <s v="Cricket Fans Bowled Over by SAP"/>
    <s v="Emily Scorer"/>
    <d v="2015-03-23T00:00:00"/>
    <m/>
    <s v="Sports"/>
    <s v="GCO – Platform Solutions"/>
    <x v="2"/>
    <s v="Global"/>
    <n v="1377"/>
    <n v="12"/>
    <m/>
    <m/>
    <n v="1000"/>
    <n v="0"/>
    <m/>
    <m/>
    <m/>
    <m/>
    <n v="2377"/>
    <n v="12"/>
  </r>
  <r>
    <s v="Hands On with High Tech"/>
    <s v="Tim Clark"/>
    <d v="2015-03-24T00:00:00"/>
    <s v="Video"/>
    <s v="Innovation"/>
    <s v="GCO – Other"/>
    <x v="1"/>
    <s v="NA"/>
    <n v="635"/>
    <n v="2"/>
    <n v="2384"/>
    <n v="0"/>
    <m/>
    <m/>
    <m/>
    <m/>
    <m/>
    <m/>
    <n v="3019"/>
    <n v="2"/>
  </r>
  <r>
    <s v="InnoJam: Smart(Cit)ies Have the Answer"/>
    <s v="Kesja Cichowski"/>
    <d v="2015-03-24T00:00:00"/>
    <s v="Video, Slideshow"/>
    <s v="Youth"/>
    <s v="Corporate"/>
    <x v="1"/>
    <s v="EMEA"/>
    <n v="704"/>
    <n v="0"/>
    <m/>
    <m/>
    <m/>
    <m/>
    <m/>
    <m/>
    <m/>
    <m/>
    <n v="704"/>
    <n v="0"/>
  </r>
  <r>
    <s v="How Fit Are You Really?"/>
    <s v="Emily Scorer"/>
    <d v="2015-03-25T00:00:00"/>
    <m/>
    <s v="Healthcare"/>
    <s v="Human Resources (SAP HR and employee stories)"/>
    <x v="1"/>
    <s v="Global"/>
    <n v="3701"/>
    <n v="53"/>
    <m/>
    <m/>
    <m/>
    <m/>
    <m/>
    <m/>
    <m/>
    <m/>
    <n v="3701"/>
    <n v="53"/>
  </r>
  <r>
    <s v="Welcome to the Talent Journey!"/>
    <s v="Jenny Dearborn"/>
    <d v="2015-03-26T00:00:00"/>
    <s v="Video, Infographic"/>
    <s v="Corporate"/>
    <s v="Human Resources (SAP HR and employee stories)"/>
    <x v="1"/>
    <s v="Global"/>
    <n v="1353"/>
    <n v="4"/>
    <m/>
    <m/>
    <m/>
    <m/>
    <m/>
    <m/>
    <m/>
    <m/>
    <n v="1353"/>
    <n v="4"/>
  </r>
  <r>
    <s v="The Disruptors: Bikers Against Disease"/>
    <s v="Judith Magyar"/>
    <d v="2015-03-26T00:00:00"/>
    <m/>
    <s v="Innovation"/>
    <s v="GCO – Platform Solutions"/>
    <x v="2"/>
    <s v="LATAM"/>
    <n v="1342"/>
    <n v="6"/>
    <m/>
    <m/>
    <n v="172"/>
    <n v="0"/>
    <m/>
    <m/>
    <m/>
    <m/>
    <n v="1514"/>
    <n v="6"/>
  </r>
  <r>
    <s v="Solving the Cancer Puzzle with SAP HANA"/>
    <s v="Michael Zipf"/>
    <d v="2015-03-30T00:00:00"/>
    <s v="Video"/>
    <s v="Healthcare"/>
    <s v="GCO – Platform Solutions"/>
    <x v="2"/>
    <s v="EMEA"/>
    <n v="1009"/>
    <n v="3"/>
    <m/>
    <m/>
    <m/>
    <m/>
    <m/>
    <m/>
    <m/>
    <m/>
    <n v="1009"/>
    <n v="3"/>
  </r>
  <r>
    <s v="SAP Mourns Klaus Tschira"/>
    <s v="Michael Zipf"/>
    <d v="2015-03-31T00:00:00"/>
    <s v="Slideshow"/>
    <s v="Corporate"/>
    <s v="Corporate"/>
    <x v="1"/>
    <s v="Global"/>
    <n v="12284"/>
    <n v="103"/>
    <m/>
    <m/>
    <m/>
    <m/>
    <m/>
    <m/>
    <m/>
    <m/>
    <n v="12284"/>
    <n v="103"/>
  </r>
  <r>
    <s v="No Innovation Without Learning"/>
    <s v="Chistiane Kubach"/>
    <d v="2015-03-31T00:00:00"/>
    <s v="Video"/>
    <s v="Innovation"/>
    <s v="GCO – Regions"/>
    <x v="1"/>
    <s v="China"/>
    <n v="863"/>
    <n v="24"/>
    <m/>
    <m/>
    <m/>
    <m/>
    <m/>
    <m/>
    <m/>
    <m/>
    <n v="863"/>
    <n v="24"/>
  </r>
  <r>
    <s v="How Does the Cloud Benefit HR?"/>
    <s v="Susan Galer"/>
    <d v="2015-03-31T00:00:00"/>
    <s v="Video"/>
    <s v="Corporate"/>
    <s v="GCO – HR (SuccessFactors)"/>
    <x v="1"/>
    <s v="Global"/>
    <n v="722"/>
    <n v="0"/>
    <n v="2156"/>
    <n v="1"/>
    <m/>
    <m/>
    <m/>
    <m/>
    <m/>
    <m/>
    <n v="2878"/>
    <n v="1"/>
  </r>
  <r>
    <s v="Six Tips for Better Clicks"/>
    <s v="Michael Zipf"/>
    <d v="2015-03-31T00:00:00"/>
    <m/>
    <s v="Corporate"/>
    <s v="Corporate"/>
    <x v="1"/>
    <s v="Global"/>
    <n v="829"/>
    <n v="1"/>
    <m/>
    <m/>
    <m/>
    <m/>
    <m/>
    <m/>
    <m/>
    <m/>
    <n v="829"/>
    <n v="1"/>
  </r>
  <r>
    <s v="Thinking Faster with SAP HANA In Your Head — Literally"/>
    <s v="Paul Baur"/>
    <d v="2015-03-31T00:00:00"/>
    <m/>
    <s v="Healthcare"/>
    <s v="GCO – Platform Solutions"/>
    <x v="2"/>
    <s v="Global"/>
    <n v="1785"/>
    <n v="12"/>
    <m/>
    <m/>
    <m/>
    <m/>
    <n v="1597"/>
    <n v="7"/>
    <m/>
    <m/>
    <n v="3382"/>
    <n v="19"/>
  </r>
  <r>
    <s v="Just Ask Dr. B. Data"/>
    <s v="Christine Donato"/>
    <d v="2015-04-01T00:00:00"/>
    <m/>
    <s v="Healthcare"/>
    <s v="GCO – Platform Solutions"/>
    <x v="2"/>
    <s v="Global"/>
    <n v="541"/>
    <n v="0"/>
    <m/>
    <m/>
    <m/>
    <m/>
    <m/>
    <m/>
    <m/>
    <m/>
    <n v="541"/>
    <n v="0"/>
  </r>
  <r>
    <s v="Accelerating Cloud Growth – The Lowdown"/>
    <s v="Anita Riegel"/>
    <d v="2015-04-02T00:00:00"/>
    <m/>
    <s v="Innovation"/>
    <s v="GCO – Industry Cloud "/>
    <x v="1"/>
    <s v="EMEA"/>
    <n v="768"/>
    <n v="0"/>
    <m/>
    <m/>
    <m/>
    <m/>
    <m/>
    <m/>
    <m/>
    <m/>
    <n v="768"/>
    <n v="0"/>
  </r>
  <r>
    <s v="Brazil Inc – Nailing Complexity"/>
    <s v="Paul Taylor"/>
    <d v="2015-04-07T00:00:00"/>
    <m/>
    <s v="Innovation"/>
    <s v="GCO – Regions"/>
    <x v="1"/>
    <s v="LATAM"/>
    <n v="873"/>
    <n v="6"/>
    <n v="7606"/>
    <n v="0"/>
    <n v="171"/>
    <n v="0"/>
    <n v="713"/>
    <n v="2"/>
    <m/>
    <m/>
    <n v="9363"/>
    <n v="8"/>
  </r>
  <r>
    <s v="Photo Contest: Diversity &amp; Inclusion"/>
    <s v="Miriam Siebeking"/>
    <d v="2015-04-07T00:00:00"/>
    <m/>
    <s v="Corporate"/>
    <s v="Corporate"/>
    <x v="1"/>
    <s v="Global"/>
    <n v="1120"/>
    <n v="0"/>
    <m/>
    <m/>
    <m/>
    <m/>
    <m/>
    <m/>
    <m/>
    <m/>
    <n v="1120"/>
    <n v="0"/>
  </r>
  <r>
    <s v="The Disruptors: Eco Easter Eggs"/>
    <s v="Judith Magyar"/>
    <d v="2015-04-08T00:00:00"/>
    <m/>
    <s v="Innovation"/>
    <s v="GCO – Platform Solutions"/>
    <x v="2"/>
    <s v="Global"/>
    <n v="769"/>
    <n v="0"/>
    <m/>
    <m/>
    <m/>
    <m/>
    <m/>
    <m/>
    <m/>
    <m/>
    <n v="769"/>
    <n v="0"/>
  </r>
  <r>
    <s v="Dare to be Scared"/>
    <s v="Diana Vega"/>
    <d v="2015-04-09T00:00:00"/>
    <m/>
    <s v="Corporate"/>
    <s v="Human Resources (SAP HR and employee stories)"/>
    <x v="1"/>
    <s v="Global"/>
    <n v="1606"/>
    <n v="23"/>
    <m/>
    <m/>
    <m/>
    <m/>
    <m/>
    <m/>
    <m/>
    <m/>
    <n v="1606"/>
    <n v="23"/>
  </r>
  <r>
    <s v="Brazil Inc, Part 2: Investing Smartly"/>
    <s v="Judith Magyar"/>
    <d v="2015-04-09T00:00:00"/>
    <s v="Infographic"/>
    <s v="Innovation"/>
    <s v="GCO – Regions"/>
    <x v="2"/>
    <s v="LATAM"/>
    <n v="506"/>
    <n v="0"/>
    <m/>
    <m/>
    <m/>
    <m/>
    <m/>
    <m/>
    <m/>
    <m/>
    <n v="506"/>
    <n v="0"/>
  </r>
  <r>
    <s v="Top Five Things to Know: Paula Jacomo"/>
    <s v="Robin Meyerhoff"/>
    <d v="2015-04-13T00:00:00"/>
    <m/>
    <s v="Corporate"/>
    <s v="Human Resources (SAP HR and employee stories)"/>
    <x v="1"/>
    <s v="LATAM"/>
    <n v="977"/>
    <n v="8"/>
    <m/>
    <m/>
    <m/>
    <m/>
    <m/>
    <m/>
    <m/>
    <m/>
    <n v="977"/>
    <n v="8"/>
  </r>
  <r>
    <s v="Mission Control, we Fly to Mars"/>
    <s v="Stephan Magura"/>
    <d v="2015-04-13T00:00:00"/>
    <m/>
    <s v="Innovation"/>
    <s v="Services Delivery &amp; Support (go-lives and deployments) "/>
    <x v="1"/>
    <s v="Global"/>
    <n v="1651"/>
    <n v="2"/>
    <m/>
    <m/>
    <n v="89"/>
    <n v="0"/>
    <m/>
    <m/>
    <m/>
    <m/>
    <n v="1740"/>
    <n v="2"/>
  </r>
  <r>
    <s v="IT &amp; Healthcare Illustrated"/>
    <s v="Jacqueline Prause"/>
    <d v="2015-04-13T00:00:00"/>
    <m/>
    <s v="Healthcare"/>
    <s v="GCO – Industry Cloud "/>
    <x v="1"/>
    <s v="Global"/>
    <n v="503"/>
    <n v="0"/>
    <m/>
    <m/>
    <m/>
    <m/>
    <m/>
    <m/>
    <m/>
    <m/>
    <n v="503"/>
    <n v="0"/>
  </r>
  <r>
    <s v="The Future of Talent Management"/>
    <s v="Susan Galer"/>
    <d v="2015-04-14T00:00:00"/>
    <m/>
    <s v="Youth"/>
    <s v="Human Resources (SAP HR and employee stories)"/>
    <x v="1"/>
    <s v="Global"/>
    <n v="745"/>
    <n v="1"/>
    <n v="3216"/>
    <n v="0"/>
    <m/>
    <m/>
    <m/>
    <m/>
    <m/>
    <m/>
    <n v="3961"/>
    <n v="1"/>
  </r>
  <r>
    <s v="SAP Forum in Moscow Takes Off"/>
    <s v="Sarah Kellman"/>
    <d v="2015-04-15T00:00:00"/>
    <m/>
    <s v="Innovation"/>
    <s v="GCO – Regions"/>
    <x v="1"/>
    <s v="EMEA"/>
    <n v="752"/>
    <n v="6"/>
    <m/>
    <m/>
    <n v="69"/>
    <n v="0"/>
    <n v="96"/>
    <n v="0"/>
    <m/>
    <m/>
    <n v="917"/>
    <n v="6"/>
  </r>
  <r>
    <s v="Who Are You Calling a Nerd? SAP Employees Hit the Road"/>
    <s v="Stephanie Rieder"/>
    <d v="2015-04-15T00:00:00"/>
    <s v="Video"/>
    <s v="Youth"/>
    <s v="Human Resources (SAP HR and employee stories)"/>
    <x v="1"/>
    <s v="EMEA"/>
    <n v="1835"/>
    <n v="4"/>
    <m/>
    <m/>
    <m/>
    <m/>
    <m/>
    <m/>
    <m/>
    <m/>
    <n v="1835"/>
    <n v="4"/>
  </r>
  <r>
    <s v="The Disruptors: No End to the Innovation Race"/>
    <s v="Judith Magyar"/>
    <d v="2015-04-15T00:00:00"/>
    <m/>
    <s v="Innovation"/>
    <s v="GCO – Platform Solutions"/>
    <x v="2"/>
    <s v="EMEA"/>
    <n v="756"/>
    <n v="5"/>
    <m/>
    <m/>
    <n v="199"/>
    <n v="0"/>
    <m/>
    <m/>
    <m/>
    <m/>
    <n v="955"/>
    <n v="5"/>
  </r>
  <r>
    <s v="A Python on My Way to School"/>
    <s v="Andrea Diederichs"/>
    <d v="2015-04-16T00:00:00"/>
    <s v="Slideshow"/>
    <s v="Innovation"/>
    <s v="Human Resources (SAP HR and employee stories)"/>
    <x v="1"/>
    <s v="EMEA"/>
    <n v="1709"/>
    <n v="33"/>
    <m/>
    <m/>
    <m/>
    <m/>
    <n v="594"/>
    <n v="0"/>
    <m/>
    <m/>
    <n v="2303"/>
    <n v="33"/>
  </r>
  <r>
    <s v="Double Win for Manufacturing"/>
    <s v="Teara Kuhn"/>
    <d v="2015-04-16T00:00:00"/>
    <m/>
    <s v="Corporate"/>
    <s v="GCO – Industry Cloud "/>
    <x v="1"/>
    <s v="Global"/>
    <n v="1407"/>
    <n v="29"/>
    <m/>
    <m/>
    <m/>
    <m/>
    <m/>
    <m/>
    <m/>
    <m/>
    <n v="1407"/>
    <n v="29"/>
  </r>
  <r>
    <s v="Bill and François Hollande Talk Technology"/>
    <s v="Frederic Masse"/>
    <d v="2015-04-16T00:00:00"/>
    <m/>
    <s v="Innovation"/>
    <s v="Office of the CEO"/>
    <x v="2"/>
    <s v="EMEA"/>
    <n v="2435"/>
    <n v="6"/>
    <m/>
    <m/>
    <m/>
    <m/>
    <m/>
    <m/>
    <m/>
    <m/>
    <n v="2435"/>
    <n v="6"/>
  </r>
  <r>
    <s v="S/4HANA: “The Big New Thing”"/>
    <s v="Michael Zipf"/>
    <d v="2015-04-17T00:00:00"/>
    <s v="Video"/>
    <s v="Innovation"/>
    <s v="GCO – Platform Solutions"/>
    <x v="1"/>
    <s v="Global"/>
    <n v="2475"/>
    <n v="1"/>
    <m/>
    <m/>
    <n v="2058"/>
    <n v="0"/>
    <m/>
    <m/>
    <m/>
    <m/>
    <n v="4533"/>
    <n v="1"/>
  </r>
  <r>
    <s v="From Refugee to Tech Exec"/>
    <s v="Denise Broady"/>
    <d v="2015-04-20T00:00:00"/>
    <m/>
    <s v="Corporate"/>
    <s v="Human Resources (SAP HR and employee stories)"/>
    <x v="1"/>
    <s v="APJ"/>
    <n v="2061"/>
    <n v="35"/>
    <m/>
    <m/>
    <m/>
    <m/>
    <m/>
    <m/>
    <m/>
    <m/>
    <n v="2061"/>
    <n v="35"/>
  </r>
  <r>
    <s v="A Matter of Integrity"/>
    <s v="Perry Manross"/>
    <d v="2015-04-20T00:00:00"/>
    <m/>
    <s v="Corporate"/>
    <s v="Business Network (Concur, Ariba, Fieldglass)"/>
    <x v="1"/>
    <s v="Global"/>
    <n v="1832"/>
    <n v="8"/>
    <m/>
    <m/>
    <m/>
    <m/>
    <m/>
    <m/>
    <m/>
    <m/>
    <n v="1832"/>
    <n v="8"/>
  </r>
  <r>
    <s v="Social Sabbatical: Not a One Way Street"/>
    <s v="Emily Scorer"/>
    <d v="2015-04-20T00:00:00"/>
    <s v="Video, Slideshow"/>
    <s v="Youth"/>
    <s v="Human Resources (SAP HR and employee stories)"/>
    <x v="1"/>
    <s v="APJ"/>
    <n v="2737"/>
    <n v="4"/>
    <m/>
    <m/>
    <n v="517"/>
    <n v="0"/>
    <m/>
    <m/>
    <m/>
    <m/>
    <n v="3254"/>
    <n v="4"/>
  </r>
  <r>
    <s v="Q1: Exceptional Cloud Growth"/>
    <s v="Paul Baur"/>
    <d v="2015-04-21T00:00:00"/>
    <s v="Video"/>
    <s v="Corporate"/>
    <s v="Corporate"/>
    <x v="1"/>
    <s v="Global"/>
    <n v="6989"/>
    <n v="7"/>
    <m/>
    <m/>
    <m/>
    <m/>
    <m/>
    <m/>
    <m/>
    <m/>
    <n v="6989"/>
    <n v="7"/>
  </r>
  <r>
    <s v="New Behaviors at SAP"/>
    <s v="Torsten Falk"/>
    <d v="2015-04-22T00:00:00"/>
    <s v="Video, Infographic, Slideshow"/>
    <s v="Corporate"/>
    <s v="Human Resources (SAP HR and employee stories)"/>
    <x v="1"/>
    <s v="Global"/>
    <n v="3178"/>
    <n v="20"/>
    <m/>
    <m/>
    <m/>
    <m/>
    <m/>
    <m/>
    <m/>
    <m/>
    <n v="3178"/>
    <n v="20"/>
  </r>
  <r>
    <s v="Master of Arts"/>
    <s v="Emily Scorer"/>
    <d v="2015-04-22T00:00:00"/>
    <m/>
    <s v="Corporate"/>
    <s v="Corporate"/>
    <x v="1"/>
    <s v="EMEA"/>
    <n v="823"/>
    <n v="12"/>
    <m/>
    <m/>
    <n v="80"/>
    <n v="0"/>
    <m/>
    <m/>
    <m/>
    <m/>
    <n v="903"/>
    <n v="12"/>
  </r>
  <r>
    <s v="“A Very Substantial Cloud Business”"/>
    <s v="Paul Baur"/>
    <d v="2015-04-22T00:00:00"/>
    <s v="Video"/>
    <s v="Corporate"/>
    <s v="Corporate"/>
    <x v="1"/>
    <s v="Global"/>
    <n v="3952"/>
    <n v="3"/>
    <m/>
    <m/>
    <m/>
    <m/>
    <m/>
    <m/>
    <m/>
    <m/>
    <n v="3952"/>
    <n v="3"/>
  </r>
  <r>
    <s v="The Disruptors: Shirt Delivery by Drone?"/>
    <s v="Judith Magyar"/>
    <d v="2015-04-22T00:00:00"/>
    <s v="Video"/>
    <s v="Innovation"/>
    <s v="Business Network (Concur, Ariba, Fieldglass)"/>
    <x v="2"/>
    <s v="Global"/>
    <n v="965"/>
    <n v="0"/>
    <m/>
    <m/>
    <n v="159"/>
    <n v="0"/>
    <n v="261"/>
    <n v="0"/>
    <m/>
    <m/>
    <n v="1385"/>
    <n v="0"/>
  </r>
  <r>
    <s v="Robots for Babies"/>
    <s v="Emily Scorer"/>
    <d v="2015-04-23T00:00:00"/>
    <s v="Video"/>
    <s v="Innovation"/>
    <s v="Human Resources (SAP HR and employee stories)"/>
    <x v="1"/>
    <s v="Global"/>
    <n v="955"/>
    <n v="7"/>
    <m/>
    <m/>
    <m/>
    <m/>
    <m/>
    <m/>
    <m/>
    <m/>
    <n v="955"/>
    <n v="7"/>
  </r>
  <r>
    <s v="Dietmar Hopp Celebrates his 75th Birthday"/>
    <s v="Marcus Winkler"/>
    <d v="2015-04-24T00:00:00"/>
    <s v="Slideshow, Video"/>
    <s v="Corporate"/>
    <s v="Corporate"/>
    <x v="1"/>
    <s v="Global"/>
    <n v="4268"/>
    <n v="24"/>
    <m/>
    <m/>
    <m/>
    <m/>
    <m/>
    <m/>
    <m/>
    <m/>
    <n v="4268"/>
    <n v="24"/>
  </r>
  <r>
    <s v="IT Powers the Energy Sector"/>
    <s v="Michael Zipf"/>
    <d v="2015-04-24T00:00:00"/>
    <s v="Video"/>
    <s v="Innovation"/>
    <s v="GCO – Industry Cloud "/>
    <x v="1"/>
    <s v="Global"/>
    <n v="1021"/>
    <n v="0"/>
    <m/>
    <m/>
    <n v="65"/>
    <n v="0"/>
    <m/>
    <m/>
    <m/>
    <m/>
    <n v="1086"/>
    <n v="0"/>
  </r>
  <r>
    <s v="SAP Founders’ Award Reloaded"/>
    <s v="Paul Baur"/>
    <d v="2015-04-27T00:00:00"/>
    <s v="Video"/>
    <s v="Innovation"/>
    <s v="Corporate"/>
    <x v="1"/>
    <s v="Global"/>
    <n v="1183"/>
    <n v="4"/>
    <m/>
    <m/>
    <m/>
    <m/>
    <m/>
    <m/>
    <m/>
    <m/>
    <n v="1183"/>
    <n v="4"/>
  </r>
  <r>
    <s v="From Drones to Selfie Sticks"/>
    <s v="Judith Magyar"/>
    <d v="2015-04-27T00:00:00"/>
    <s v="Video"/>
    <s v="Innovation"/>
    <s v="GCO – Industry Cloud "/>
    <x v="1"/>
    <s v="EMEA"/>
    <n v="951"/>
    <n v="1"/>
    <m/>
    <m/>
    <m/>
    <m/>
    <m/>
    <m/>
    <m/>
    <m/>
    <n v="951"/>
    <n v="1"/>
  </r>
  <r>
    <s v="Nepal Earthquake: SAP Supports Red Cross"/>
    <s v="Alicia Lenze"/>
    <d v="2015-04-28T00:00:00"/>
    <m/>
    <s v="Corporate"/>
    <s v="Office of the CEO"/>
    <x v="1"/>
    <s v="Global"/>
    <n v="2429"/>
    <n v="61"/>
    <m/>
    <m/>
    <m/>
    <m/>
    <m/>
    <m/>
    <m/>
    <m/>
    <n v="2429"/>
    <n v="61"/>
  </r>
  <r>
    <s v="Intrapreneurship: Where Are We Now?"/>
    <s v="Catherine Girardin"/>
    <d v="2015-04-28T00:00:00"/>
    <m/>
    <s v="Innovation"/>
    <s v="GCO – Other"/>
    <x v="1"/>
    <s v="Global"/>
    <n v="1186"/>
    <n v="6"/>
    <m/>
    <m/>
    <m/>
    <m/>
    <m/>
    <m/>
    <m/>
    <m/>
    <n v="1186"/>
    <n v="6"/>
  </r>
  <r>
    <s v="Kenya: Going Far Together"/>
    <s v="Judith Magyar"/>
    <d v="2015-04-28T00:00:00"/>
    <m/>
    <s v="Youth"/>
    <s v="GCO – Regions"/>
    <x v="2"/>
    <s v="EMEA"/>
    <n v="555"/>
    <n v="9"/>
    <n v="5200"/>
    <n v="0"/>
    <n v="41"/>
    <n v="0"/>
    <n v="644"/>
    <n v="0"/>
    <m/>
    <m/>
    <n v="6440"/>
    <n v="9"/>
  </r>
  <r>
    <s v="The Disruptors: Five Cents for a Clean Toilet"/>
    <s v="Judith Magyar"/>
    <d v="2015-04-29T00:00:00"/>
    <s v="Infographic"/>
    <s v="Innovation"/>
    <s v="Corporate"/>
    <x v="1"/>
    <s v="EMEA"/>
    <n v="439"/>
    <n v="4"/>
    <m/>
    <m/>
    <n v="201"/>
    <n v="0"/>
    <m/>
    <m/>
    <m/>
    <m/>
    <n v="640"/>
    <n v="4"/>
  </r>
  <r>
    <s v="SAP Sports One at the Starting Line"/>
    <s v="Michael Zipf"/>
    <d v="2015-04-29T00:00:00"/>
    <s v="Video"/>
    <s v="Sports"/>
    <s v="GCO – Platform Solutions"/>
    <x v="2"/>
    <s v="Global"/>
    <n v="1362"/>
    <n v="5"/>
    <m/>
    <m/>
    <n v="265"/>
    <n v="0"/>
    <m/>
    <m/>
    <m/>
    <m/>
    <n v="1627"/>
    <n v="5"/>
  </r>
  <r>
    <s v="The In-Memory Revolution"/>
    <s v="Paul Baur"/>
    <d v="2015-04-30T00:00:00"/>
    <m/>
    <s v="Corporate"/>
    <s v="Corporate"/>
    <x v="1"/>
    <s v="Global"/>
    <n v="2559"/>
    <n v="7"/>
    <m/>
    <m/>
    <n v="881"/>
    <n v="0"/>
    <m/>
    <m/>
    <m/>
    <m/>
    <n v="3440"/>
    <n v="7"/>
  </r>
  <r>
    <s v="Creativity and the Art of Completion"/>
    <s v="Paul Taylor"/>
    <d v="2015-04-30T00:00:00"/>
    <m/>
    <s v="Innovation"/>
    <s v="Corporate"/>
    <x v="1"/>
    <s v="Global"/>
    <n v="439"/>
    <n v="5"/>
    <n v="4613"/>
    <n v="1"/>
    <m/>
    <m/>
    <n v="845"/>
    <n v="0"/>
    <m/>
    <m/>
    <n v="5897"/>
    <n v="6"/>
  </r>
  <r>
    <s v="SME Coaching For Free"/>
    <s v="Jacqueline Prause"/>
    <d v="2015-04-30T00:00:00"/>
    <m/>
    <s v="Corporate"/>
    <s v="Corporate"/>
    <x v="1"/>
    <s v="Global"/>
    <n v="736"/>
    <n v="1"/>
    <m/>
    <m/>
    <m/>
    <m/>
    <m/>
    <m/>
    <m/>
    <m/>
    <n v="736"/>
    <n v="1"/>
  </r>
  <r>
    <s v="Lockdown in Chicago"/>
    <s v="Molli Jordan"/>
    <d v="2015-04-30T00:00:00"/>
    <s v="Video"/>
    <s v="Youth"/>
    <s v="GCO – Platform Solutions"/>
    <x v="2"/>
    <s v="Global"/>
    <n v="1147"/>
    <n v="7"/>
    <m/>
    <m/>
    <m/>
    <m/>
    <m/>
    <m/>
    <m/>
    <m/>
    <n v="1147"/>
    <n v="7"/>
  </r>
  <r>
    <s v="Greater Mobile Productivity Now"/>
    <s v="Charlotte Otter"/>
    <d v="2015-05-01T00:00:00"/>
    <m/>
    <s v="Innovation"/>
    <s v="Corporate"/>
    <x v="1"/>
    <s v="Global"/>
    <n v="652"/>
    <n v="2"/>
    <m/>
    <m/>
    <m/>
    <m/>
    <m/>
    <m/>
    <m/>
    <m/>
    <n v="652"/>
    <n v="2"/>
  </r>
  <r>
    <s v="Key Accelerator for SAP´s Growth Aspirations"/>
    <s v="Paul Taylor"/>
    <d v="2015-05-01T00:00:00"/>
    <m/>
    <s v="Innovation"/>
    <s v="GCO – Customer Engagement &amp; Commerce (CRM &amp; hybris) "/>
    <x v="1"/>
    <s v="Global"/>
    <n v="756"/>
    <m/>
    <m/>
    <m/>
    <n v="111"/>
    <n v="0"/>
    <n v="374"/>
    <n v="0"/>
    <m/>
    <m/>
    <n v="1241"/>
    <n v="0"/>
  </r>
  <r>
    <s v="B/E Aerospace is Flying High"/>
    <s v="Susan Galer"/>
    <d v="2015-05-01T00:00:00"/>
    <m/>
    <s v="Innovation"/>
    <s v="GCO – HR (SuccessFactors)"/>
    <x v="2"/>
    <s v="Global"/>
    <n v="912"/>
    <n v="0"/>
    <n v="1105"/>
    <n v="0"/>
    <m/>
    <m/>
    <m/>
    <m/>
    <m/>
    <m/>
    <n v="2017"/>
    <n v="0"/>
  </r>
  <r>
    <s v="Hot and Cloudy, Chance of Meatballs"/>
    <s v="Paul Taylor"/>
    <d v="2015-05-04T00:00:00"/>
    <s v="Infographic"/>
    <s v="Innovation"/>
    <s v="GCO – Industry Cloud "/>
    <x v="1"/>
    <s v="Global"/>
    <n v="2694"/>
    <n v="3"/>
    <m/>
    <m/>
    <m/>
    <m/>
    <m/>
    <m/>
    <m/>
    <m/>
    <n v="2694"/>
    <n v="3"/>
  </r>
  <r>
    <s v="A Question of Quality"/>
    <s v="Stephan Magura "/>
    <d v="2015-05-04T00:00:00"/>
    <m/>
    <s v="Innovation"/>
    <s v="GCO – Industry Cloud "/>
    <x v="2"/>
    <s v="EMEA"/>
    <n v="749"/>
    <n v="8"/>
    <m/>
    <m/>
    <n v="262"/>
    <n v="0"/>
    <m/>
    <m/>
    <m/>
    <m/>
    <n v="1011"/>
    <n v="8"/>
  </r>
  <r>
    <s v="“The Consumer Rules”"/>
    <s v="Derek Klobucher"/>
    <d v="2015-05-06T00:00:00"/>
    <m/>
    <s v="Innovation"/>
    <s v="Office of the CEO"/>
    <x v="1"/>
    <s v="Global"/>
    <n v="3864"/>
    <n v="2"/>
    <n v="3254"/>
    <n v="2"/>
    <m/>
    <m/>
    <m/>
    <m/>
    <m/>
    <m/>
    <n v="7118"/>
    <n v="4"/>
  </r>
  <r>
    <s v="The Digital Economy in the Spotlight"/>
    <s v="Michael Zipf"/>
    <d v="2015-05-06T00:00:00"/>
    <m/>
    <s v="Innovation"/>
    <s v="Office of the CEO"/>
    <x v="1"/>
    <s v="Global"/>
    <n v="1097"/>
    <n v="1"/>
    <m/>
    <m/>
    <m/>
    <m/>
    <m/>
    <m/>
    <m/>
    <m/>
    <n v="1097"/>
    <n v="1"/>
  </r>
  <r>
    <s v="Women’s Leadership Summit 2015"/>
    <s v="Emily Scorer"/>
    <d v="2015-05-07T00:00:00"/>
    <m/>
    <s v="Corporate"/>
    <s v="Human Resources (SAP HR and employee stories)"/>
    <x v="1"/>
    <s v="Global"/>
    <n v="1525"/>
    <n v="9"/>
    <m/>
    <m/>
    <n v="123"/>
    <n v="0"/>
    <m/>
    <m/>
    <m/>
    <m/>
    <n v="1648"/>
    <n v="9"/>
  </r>
  <r>
    <s v="Spotting the Centaur at SAPPHIRE NOW"/>
    <s v="Paul Taylor"/>
    <d v="2015-05-07T00:00:00"/>
    <m/>
    <s v="Innovation"/>
    <s v="Corporate"/>
    <x v="1"/>
    <s v="Global"/>
    <n v="498"/>
    <n v="1"/>
    <n v="917"/>
    <n v="1"/>
    <n v="127"/>
    <n v="0"/>
    <n v="338"/>
    <n v="0"/>
    <m/>
    <m/>
    <n v="1880"/>
    <n v="2"/>
  </r>
  <r>
    <s v="From Selling Products to Selling Outcomes"/>
    <s v="Susan Galer"/>
    <d v="2015-05-07T00:00:00"/>
    <m/>
    <s v="Innovation"/>
    <s v="GCO – Platform Solutions"/>
    <x v="2"/>
    <s v="Global"/>
    <n v="2079"/>
    <n v="1"/>
    <m/>
    <m/>
    <m/>
    <m/>
    <m/>
    <m/>
    <m/>
    <m/>
    <n v="2079"/>
    <n v="1"/>
  </r>
  <r>
    <s v="Smart Business Networks"/>
    <s v="Paul Taylor"/>
    <d v="2015-05-08T00:00:00"/>
    <s v="Video"/>
    <s v="Innovation"/>
    <s v="Business Network (Concur, Ariba, Fieldglass)"/>
    <x v="1"/>
    <s v="Global"/>
    <n v="1548"/>
    <n v="3"/>
    <m/>
    <m/>
    <m/>
    <m/>
    <m/>
    <m/>
    <m/>
    <m/>
    <n v="1548"/>
    <n v="3"/>
  </r>
  <r>
    <s v="Transform Information Into Action"/>
    <s v="Judith Magyar"/>
    <d v="2015-05-08T00:00:00"/>
    <s v="Infographic, Video"/>
    <s v="Innovation"/>
    <s v="GCO – Platform Solutions"/>
    <x v="1"/>
    <s v="Global"/>
    <n v="2508"/>
    <n v="1"/>
    <m/>
    <m/>
    <m/>
    <m/>
    <n v="2174"/>
    <n v="0"/>
    <m/>
    <m/>
    <n v="4682"/>
    <n v="1"/>
  </r>
  <r>
    <s v="Executive Board Meetings of the Future"/>
    <s v="Michael Zipf"/>
    <d v="2015-05-08T00:00:00"/>
    <m/>
    <s v="Innovation"/>
    <s v="GCO – Platform Solutions"/>
    <x v="2"/>
    <s v="Global"/>
    <n v="1548"/>
    <n v="5"/>
    <m/>
    <m/>
    <m/>
    <m/>
    <m/>
    <m/>
    <m/>
    <m/>
    <n v="1548"/>
    <n v="5"/>
  </r>
  <r>
    <s v="Photo Contest “On the Move”"/>
    <s v="Miriam Siebeking"/>
    <d v="2015-05-10T00:00:00"/>
    <m/>
    <s v="Corporate"/>
    <s v="Corporate"/>
    <x v="1"/>
    <s v="Global"/>
    <n v="1872"/>
    <n v="1"/>
    <m/>
    <m/>
    <m/>
    <m/>
    <m/>
    <m/>
    <m/>
    <m/>
    <n v="1872"/>
    <n v="1"/>
  </r>
  <r>
    <s v="Get Designing"/>
    <s v="Torsten Falk"/>
    <d v="2015-05-13T00:00:00"/>
    <s v="Slideshow, Infographic"/>
    <s v="Corporate"/>
    <s v="Human Resources (SAP HR and employee stories)"/>
    <x v="1"/>
    <s v="Global"/>
    <n v="1886"/>
    <n v="0"/>
    <m/>
    <m/>
    <m/>
    <m/>
    <m/>
    <m/>
    <m/>
    <m/>
    <n v="1886"/>
    <n v="0"/>
  </r>
  <r>
    <s v="Molecular Health: A Technology Trailblazer"/>
    <s v="Andreas Schmitz"/>
    <d v="2015-05-14T00:00:00"/>
    <m/>
    <s v="Healthcare"/>
    <s v="GCO – Platform Solutions"/>
    <x v="1"/>
    <s v="Global"/>
    <n v="794"/>
    <n v="2"/>
    <m/>
    <m/>
    <m/>
    <m/>
    <m/>
    <m/>
    <m/>
    <m/>
    <n v="794"/>
    <n v="2"/>
  </r>
  <r>
    <s v="Remote Access Made Simple"/>
    <s v="Richard Campbell"/>
    <d v="2015-05-15T00:00:00"/>
    <m/>
    <s v="Corporate"/>
    <s v="Corporate"/>
    <x v="1"/>
    <s v="Global"/>
    <n v="3248"/>
    <n v="23"/>
    <m/>
    <m/>
    <m/>
    <m/>
    <m/>
    <m/>
    <m/>
    <m/>
    <n v="3248"/>
    <n v="23"/>
  </r>
  <r>
    <s v="AMG Moves into the Fast Lane"/>
    <s v="Cornelia Weiss-Justen"/>
    <d v="2015-05-18T00:00:00"/>
    <m/>
    <s v="Innovation"/>
    <s v="P&amp;I (Research &amp; Development)"/>
    <x v="2"/>
    <s v="Global"/>
    <n v="1659"/>
    <n v="6"/>
    <m/>
    <m/>
    <m/>
    <m/>
    <m/>
    <m/>
    <m/>
    <m/>
    <n v="1659"/>
    <n v="6"/>
  </r>
  <r>
    <s v="Gender Quota for Supervisory Board"/>
    <s v="Andrea Diederichs"/>
    <d v="2015-05-19T00:00:00"/>
    <m/>
    <s v="Corporate"/>
    <s v="Human Resources (SAP HR and employee stories)"/>
    <x v="1"/>
    <s v="Global"/>
    <n v="2570"/>
    <n v="32"/>
    <m/>
    <m/>
    <n v="128"/>
    <n v="0"/>
    <n v="446"/>
    <n v="0"/>
    <m/>
    <m/>
    <n v="3144"/>
    <n v="32"/>
  </r>
  <r>
    <s v="Early Achievers"/>
    <s v="Mark Cheever"/>
    <d v="2015-05-20T00:00:00"/>
    <m/>
    <s v="Youth"/>
    <s v="Human Resources (SAP HR and employee stories)"/>
    <x v="1"/>
    <s v="Global"/>
    <n v="1511"/>
    <n v="10"/>
    <m/>
    <m/>
    <m/>
    <m/>
    <m/>
    <m/>
    <m/>
    <m/>
    <n v="1511"/>
    <n v="10"/>
  </r>
  <r>
    <s v="Adding Energy to Red Bull"/>
    <s v="Paul Baur"/>
    <d v="2015-05-20T00:00:00"/>
    <s v="Video"/>
    <s v="Innovation"/>
    <s v="GCO – Customer Engagement &amp; Commerce (CRM &amp; hybris) "/>
    <x v="2"/>
    <s v="Global"/>
    <n v="1358"/>
    <n v="4"/>
    <m/>
    <m/>
    <m/>
    <m/>
    <m/>
    <m/>
    <m/>
    <m/>
    <n v="1358"/>
    <n v="4"/>
  </r>
  <r>
    <s v="Investing in Future Tech Talent"/>
    <s v="Kate Morgan"/>
    <d v="2015-05-22T00:00:00"/>
    <m/>
    <s v="Youth"/>
    <s v="Corporate"/>
    <x v="1"/>
    <s v="Global"/>
    <n v="420"/>
    <n v="2"/>
    <m/>
    <m/>
    <m/>
    <m/>
    <m/>
    <m/>
    <m/>
    <m/>
    <n v="420"/>
    <n v="2"/>
  </r>
  <r>
    <s v="The Disruptors: Bring On BI"/>
    <s v="Judith Magyar"/>
    <d v="2015-05-22T00:00:00"/>
    <m/>
    <s v="Innovation"/>
    <s v="GPO (Partner, Ecosystem, Channels)"/>
    <x v="1"/>
    <s v="Global"/>
    <n v="1506"/>
    <n v="1"/>
    <m/>
    <m/>
    <m/>
    <m/>
    <m/>
    <m/>
    <m/>
    <m/>
    <n v="1506"/>
    <n v="1"/>
  </r>
  <r>
    <s v="Digital Transformation at Bayer"/>
    <s v="Andreas Schmitz"/>
    <d v="2015-05-25T00:00:00"/>
    <m/>
    <s v="Healthcare"/>
    <s v="GCO – Platform Solutions"/>
    <x v="1"/>
    <s v="Global"/>
    <n v="719"/>
    <n v="0"/>
    <m/>
    <m/>
    <m/>
    <m/>
    <m/>
    <m/>
    <m/>
    <m/>
    <n v="719"/>
    <n v="0"/>
  </r>
  <r>
    <s v="The Secret to Product Success"/>
    <s v="Tobias Essig"/>
    <d v="2015-05-26T00:00:00"/>
    <s v="Infographic"/>
    <s v="Innovation"/>
    <s v="P&amp;I (Research &amp; Development)"/>
    <x v="1"/>
    <s v="Global"/>
    <n v="949"/>
    <n v="0"/>
    <m/>
    <m/>
    <m/>
    <m/>
    <m/>
    <m/>
    <m/>
    <m/>
    <n v="949"/>
    <n v="0"/>
  </r>
  <r>
    <s v="Career Success Center Kicks Off"/>
    <s v="Torsten Falk"/>
    <d v="2015-05-27T00:00:00"/>
    <s v="Video"/>
    <s v="Corporate"/>
    <s v="Human Resources (SAP HR and employee stories)"/>
    <x v="1"/>
    <s v="Global"/>
    <n v="838"/>
    <n v="9"/>
    <m/>
    <m/>
    <n v="75"/>
    <n v="0"/>
    <m/>
    <m/>
    <m/>
    <m/>
    <n v="913"/>
    <n v="9"/>
  </r>
  <r>
    <s v="The Disruptors: Unique Solutions"/>
    <s v="Judith Magyar"/>
    <d v="2015-05-27T00:00:00"/>
    <s v="Video"/>
    <s v="Innovation"/>
    <s v="GPO (Partner, Ecosystem, Channels)"/>
    <x v="2"/>
    <s v="LATAM"/>
    <n v="426"/>
    <n v="1"/>
    <m/>
    <m/>
    <m/>
    <m/>
    <m/>
    <m/>
    <m/>
    <m/>
    <n v="426"/>
    <n v="1"/>
  </r>
  <r>
    <s v="Nostalgic-Art Tests In-Memory Platform"/>
    <s v="Andreas Schmitz"/>
    <d v="2015-05-27T00:00:00"/>
    <m/>
    <s v="Innovation"/>
    <s v="P&amp;I (Research &amp; Development)"/>
    <x v="2"/>
    <s v="Global"/>
    <n v="1185"/>
    <n v="0"/>
    <m/>
    <m/>
    <m/>
    <m/>
    <m/>
    <m/>
    <m/>
    <m/>
    <n v="1185"/>
    <n v="0"/>
  </r>
  <r>
    <s v="Marketplace for Connected Car Services"/>
    <s v="Arunima Kumar"/>
    <d v="2015-05-28T00:00:00"/>
    <s v="Video"/>
    <s v="Corporate"/>
    <s v="Corporate"/>
    <x v="1"/>
    <s v="Global"/>
    <n v="820"/>
    <n v="3"/>
    <m/>
    <m/>
    <m/>
    <m/>
    <m/>
    <m/>
    <m/>
    <m/>
    <n v="820"/>
    <n v="3"/>
  </r>
  <r>
    <s v="SAP Supports Non-Discrimination Act"/>
    <s v="Torsten Falk"/>
    <d v="2015-05-29T00:00:00"/>
    <m/>
    <s v="Corporate"/>
    <s v="Human Resources (SAP HR and employee stories)"/>
    <x v="1"/>
    <s v="Global"/>
    <n v="1437"/>
    <n v="20"/>
    <m/>
    <m/>
    <m/>
    <m/>
    <m/>
    <m/>
    <m/>
    <m/>
    <n v="1437"/>
    <n v="20"/>
  </r>
  <r>
    <s v="Becoming Simply Irresistible"/>
    <s v="Amira Polack"/>
    <d v="2015-05-29T00:00:00"/>
    <m/>
    <s v="Youth"/>
    <s v="Corporate"/>
    <x v="1"/>
    <s v="Global"/>
    <n v="938"/>
    <n v="1"/>
    <m/>
    <m/>
    <m/>
    <m/>
    <m/>
    <m/>
    <m/>
    <m/>
    <n v="938"/>
    <n v="1"/>
  </r>
  <r>
    <s v="Analyzing the Game"/>
    <s v="Paul Baur"/>
    <d v="2015-05-29T00:00:00"/>
    <m/>
    <s v="Sports"/>
    <s v="GCO – Platform Solutions"/>
    <x v="2"/>
    <s v="Global"/>
    <n v="903"/>
    <n v="3"/>
    <m/>
    <m/>
    <m/>
    <m/>
    <m/>
    <m/>
    <m/>
    <m/>
    <n v="903"/>
    <n v="3"/>
  </r>
  <r>
    <s v="Atos Doubles Its Revenue with SAP"/>
    <s v="Susan Galer"/>
    <d v="2015-06-01T00:00:00"/>
    <m/>
    <s v="Innovation"/>
    <s v="GPO (Partner, Ecosystem, Channels)"/>
    <x v="2"/>
    <s v="Global"/>
    <n v="1308"/>
    <n v="3"/>
    <m/>
    <m/>
    <m/>
    <m/>
    <m/>
    <m/>
    <m/>
    <m/>
    <n v="1308"/>
    <n v="3"/>
  </r>
  <r>
    <s v="Powering up East Africa"/>
    <s v="Judith Magyar"/>
    <d v="2015-06-02T00:00:00"/>
    <s v="Video"/>
    <s v="Innovation"/>
    <s v="GCO – Regions"/>
    <x v="1"/>
    <s v="EMEA"/>
    <n v="693"/>
    <n v="6"/>
    <n v="704"/>
    <n v="0"/>
    <m/>
    <m/>
    <n v="575"/>
    <n v="0"/>
    <m/>
    <m/>
    <n v="1972"/>
    <n v="6"/>
  </r>
  <r>
    <s v="Surge in SAP Brand Value"/>
    <s v="Paul Taylor"/>
    <d v="2015-06-02T00:00:00"/>
    <s v="Infographic"/>
    <s v="Corporate"/>
    <s v="Office of the CEO"/>
    <x v="1"/>
    <s v="Global"/>
    <n v="1597"/>
    <n v="0"/>
    <m/>
    <m/>
    <m/>
    <m/>
    <m/>
    <m/>
    <m/>
    <m/>
    <n v="1597"/>
    <n v="0"/>
  </r>
  <r>
    <s v="COPE Gives Franz Confidence"/>
    <s v="Stephan Magura"/>
    <d v="2015-06-03T00:00:00"/>
    <s v="Video"/>
    <s v="Healthcare"/>
    <s v="Human Resources (SAP HR and employee stories)"/>
    <x v="1"/>
    <s v="Global"/>
    <n v="2196"/>
    <n v="28"/>
    <m/>
    <m/>
    <n v="62"/>
    <n v="0"/>
    <m/>
    <m/>
    <m/>
    <m/>
    <n v="2258"/>
    <n v="28"/>
  </r>
  <r>
    <s v="HANA Spatial: Where Are They Now?"/>
    <s v="Paul Baur"/>
    <d v="2015-06-03T00:00:00"/>
    <m/>
    <s v="Innovation"/>
    <s v="P&amp;I (Research &amp; Development)"/>
    <x v="1"/>
    <s v="Global"/>
    <n v="2400"/>
    <n v="0"/>
    <m/>
    <m/>
    <m/>
    <m/>
    <m/>
    <m/>
    <m/>
    <m/>
    <n v="2400"/>
    <n v="0"/>
  </r>
  <r>
    <s v="Growth and Jobs Through Digitalization"/>
    <s v="Paul Baur"/>
    <d v="2015-06-03T00:00:00"/>
    <m/>
    <s v="Innovation"/>
    <s v="Office of the CEO"/>
    <x v="2"/>
    <s v="EMEA"/>
    <n v="2703"/>
    <n v="7"/>
    <m/>
    <m/>
    <n v="57"/>
    <n v="0"/>
    <m/>
    <m/>
    <m/>
    <m/>
    <n v="2760"/>
    <n v="7"/>
  </r>
  <r>
    <s v="Photo Contest: On the Move"/>
    <s v="Miriam Siebeking"/>
    <d v="2015-06-04T00:00:00"/>
    <m/>
    <s v="Corporate"/>
    <s v="Corporate"/>
    <x v="1"/>
    <s v="Global"/>
    <n v="1685"/>
    <n v="4"/>
    <m/>
    <m/>
    <m/>
    <m/>
    <m/>
    <m/>
    <m/>
    <m/>
    <n v="1685"/>
    <n v="4"/>
  </r>
  <r>
    <s v="Ready for Five Generations in Your Workplace?"/>
    <s v="Mike Ettling"/>
    <d v="2015-06-08T00:00:00"/>
    <m/>
    <s v="Corporate"/>
    <s v="Human Resources (SAP HR and employee stories)"/>
    <x v="1"/>
    <s v="Global"/>
    <n v="876"/>
    <n v="9"/>
    <m/>
    <m/>
    <m/>
    <m/>
    <m/>
    <m/>
    <m/>
    <m/>
    <n v="876"/>
    <n v="9"/>
  </r>
  <r>
    <s v="ZERO Downtime: Mission Accomplished"/>
    <s v="Andrea Diederichs"/>
    <d v="2015-06-09T00:00:00"/>
    <s v="Video"/>
    <s v="Innovation"/>
    <s v="Services Delivery &amp; Support (go-lives and deployments) "/>
    <x v="1"/>
    <s v="Global"/>
    <n v="1603"/>
    <n v="25"/>
    <m/>
    <m/>
    <m/>
    <m/>
    <n v="645"/>
    <n v="0"/>
    <m/>
    <m/>
    <n v="2248"/>
    <n v="25"/>
  </r>
  <r>
    <s v="Salesforce.com: Poster Child for Cloud 1.0"/>
    <s v="Paul Taylor"/>
    <d v="2015-06-09T00:00:00"/>
    <m/>
    <s v="Innovation"/>
    <s v="GCO – Customer Engagement &amp; Commerce (CRM &amp; hybris) "/>
    <x v="1"/>
    <s v="Global"/>
    <n v="6427"/>
    <n v="19"/>
    <n v="1571"/>
    <n v="0"/>
    <m/>
    <m/>
    <n v="960"/>
    <n v="0"/>
    <m/>
    <m/>
    <n v="8958"/>
    <n v="19"/>
  </r>
  <r>
    <s v="Seven SAP Channel Execs Honored"/>
    <s v="Cindy McKendry"/>
    <d v="2015-06-09T00:00:00"/>
    <m/>
    <s v="Corporate"/>
    <s v="GPO (Partner, Ecosystem, Channels)"/>
    <x v="1"/>
    <s v="Global"/>
    <n v="1076"/>
    <n v="14"/>
    <m/>
    <m/>
    <m/>
    <m/>
    <m/>
    <m/>
    <m/>
    <m/>
    <n v="1076"/>
    <n v="14"/>
  </r>
  <r>
    <s v="Now Showing in Airports Near You"/>
    <s v="Angela Dunn"/>
    <d v="2015-06-10T00:00:00"/>
    <m/>
    <s v="Innovation"/>
    <s v="GCO – Platform Solutions"/>
    <x v="1"/>
    <s v="Global"/>
    <n v="1337"/>
    <n v="3"/>
    <m/>
    <m/>
    <m/>
    <m/>
    <m/>
    <m/>
    <m/>
    <m/>
    <n v="1337"/>
    <n v="3"/>
  </r>
  <r>
    <s v="The Disruptors: Klitschko’s City Knockout"/>
    <s v="Judith Magyar"/>
    <d v="2015-06-10T00:00:00"/>
    <m/>
    <s v="Innovation"/>
    <s v="GCO – Platform Solutions"/>
    <x v="2"/>
    <s v="Global"/>
    <n v="1656"/>
    <n v="14"/>
    <m/>
    <m/>
    <m/>
    <m/>
    <m/>
    <m/>
    <m/>
    <m/>
    <n v="1656"/>
    <n v="14"/>
  </r>
  <r>
    <s v="“Everything Is Possible at SAP”"/>
    <s v="Stephan Magura"/>
    <d v="2015-06-11T00:00:00"/>
    <m/>
    <s v="Corporate"/>
    <s v="GCO – Other"/>
    <x v="1"/>
    <s v="EMEA"/>
    <n v="1829"/>
    <n v="13"/>
    <m/>
    <m/>
    <m/>
    <m/>
    <m/>
    <m/>
    <m/>
    <m/>
    <n v="1829"/>
    <n v="13"/>
  </r>
  <r>
    <s v="Vote Now!"/>
    <s v="Torsten Falk"/>
    <d v="2015-06-11T00:00:00"/>
    <s v="Slideshow"/>
    <s v="Corporate"/>
    <s v="Human Resources (SAP HR and employee stories)"/>
    <x v="1"/>
    <s v="Global"/>
    <n v="1930"/>
    <n v="8"/>
    <m/>
    <m/>
    <m/>
    <m/>
    <m/>
    <m/>
    <m/>
    <m/>
    <n v="1930"/>
    <n v="8"/>
  </r>
  <r>
    <s v="Designing with the Elderly"/>
    <s v="Emily Scorer"/>
    <d v="2015-06-15T00:00:00"/>
    <s v="Infographic"/>
    <s v="Innovation"/>
    <s v="P&amp;I (Research &amp; Development)"/>
    <x v="1"/>
    <s v="Global"/>
    <n v="842"/>
    <n v="8"/>
    <m/>
    <m/>
    <m/>
    <m/>
    <m/>
    <m/>
    <m/>
    <m/>
    <n v="842"/>
    <n v="8"/>
  </r>
  <r>
    <s v="Breakthroughs? Take A Break"/>
    <s v="Vivek Bapat"/>
    <d v="2015-06-15T00:00:00"/>
    <m/>
    <s v="Innovation"/>
    <s v="Corporate"/>
    <x v="1"/>
    <s v="Global"/>
    <n v="387"/>
    <n v="6"/>
    <m/>
    <m/>
    <m/>
    <m/>
    <m/>
    <m/>
    <m/>
    <m/>
    <n v="387"/>
    <n v="6"/>
  </r>
  <r>
    <s v="Why Ikram Can’t Find a Job"/>
    <s v="Robin Meyerhoff"/>
    <d v="2015-06-16T00:00:00"/>
    <s v="Video"/>
    <s v="Youth"/>
    <s v="Human Resources (SAP HR and employee stories)"/>
    <x v="1"/>
    <s v="EMEA"/>
    <n v="1442"/>
    <n v="14"/>
    <m/>
    <m/>
    <m/>
    <m/>
    <n v="477"/>
    <n v="0"/>
    <m/>
    <m/>
    <n v="1919"/>
    <n v="14"/>
  </r>
  <r>
    <s v="Building dreams"/>
    <s v="Stephan Magura"/>
    <d v="2015-06-16T00:00:00"/>
    <s v="Slideshow"/>
    <s v="Youth"/>
    <s v="Corporate"/>
    <x v="1"/>
    <s v="EMEA"/>
    <n v="419"/>
    <n v="9"/>
    <m/>
    <m/>
    <m/>
    <m/>
    <m/>
    <m/>
    <m/>
    <m/>
    <n v="419"/>
    <n v="9"/>
  </r>
  <r>
    <s v="Innovation Spotting at the Paris Air Show"/>
    <s v="Thomas Pohl"/>
    <d v="2015-06-17T00:00:00"/>
    <s v="Video"/>
    <s v="Innovation"/>
    <s v="GCO – Platform Solutions"/>
    <x v="1"/>
    <s v="EMEA"/>
    <n v="1188"/>
    <n v="5"/>
    <m/>
    <m/>
    <m/>
    <m/>
    <m/>
    <m/>
    <m/>
    <m/>
    <n v="1188"/>
    <n v="5"/>
  </r>
  <r>
    <s v="Where in the World Do we Run Simple?"/>
    <s v="Angela Dunn"/>
    <d v="2015-06-17T00:00:00"/>
    <m/>
    <s v="Corporate"/>
    <s v="Office of the CEO"/>
    <x v="1"/>
    <s v="Global"/>
    <n v="847"/>
    <n v="0"/>
    <m/>
    <m/>
    <m/>
    <m/>
    <m/>
    <m/>
    <m/>
    <m/>
    <n v="847"/>
    <n v="0"/>
  </r>
  <r>
    <s v="Removing the Boardroom Blindfolds"/>
    <s v="Paul Taylor"/>
    <d v="2015-06-18T00:00:00"/>
    <s v="Video"/>
    <s v="Innovation"/>
    <s v="GCO – Platform Solutions"/>
    <x v="1"/>
    <s v="Global"/>
    <n v="1732"/>
    <n v="5"/>
    <m/>
    <m/>
    <m/>
    <m/>
    <m/>
    <m/>
    <m/>
    <m/>
    <n v="1732"/>
    <n v="5"/>
  </r>
  <r>
    <s v="Trash After the Big Bash"/>
    <s v="Judith Magyar"/>
    <d v="2015-06-22T00:00:00"/>
    <m/>
    <s v="Corporate"/>
    <s v="Corporate"/>
    <x v="1"/>
    <s v="Global"/>
    <n v="835"/>
    <n v="13"/>
    <m/>
    <m/>
    <m/>
    <m/>
    <m/>
    <m/>
    <m/>
    <m/>
    <n v="835"/>
    <n v="13"/>
  </r>
  <r>
    <s v="Dynamic Online Learning"/>
    <s v="Susan Galer"/>
    <d v="2015-06-23T00:00:00"/>
    <m/>
    <s v="Corporate"/>
    <s v="GCO – Industry Cloud "/>
    <x v="1"/>
    <s v="Global"/>
    <n v="678"/>
    <n v="4"/>
    <m/>
    <m/>
    <m/>
    <m/>
    <m/>
    <m/>
    <m/>
    <m/>
    <n v="678"/>
    <n v="4"/>
  </r>
  <r>
    <s v="And the Winner Is…"/>
    <s v="Emily Scorer"/>
    <d v="2015-06-24T00:00:00"/>
    <s v="Video"/>
    <s v="Corporate"/>
    <s v="Human Resources (SAP HR and employee stories)"/>
    <x v="1"/>
    <s v="Global"/>
    <n v="2043"/>
    <n v="22"/>
    <m/>
    <m/>
    <m/>
    <m/>
    <m/>
    <m/>
    <m/>
    <m/>
    <n v="2043"/>
    <n v="22"/>
  </r>
  <r>
    <s v="Shravan Finds His Place"/>
    <s v="Michael Zipf"/>
    <d v="2015-06-24T00:00:00"/>
    <s v="Video"/>
    <s v="Corporate"/>
    <s v="Human Resources (SAP HR and employee stories)"/>
    <x v="1"/>
    <s v="EMEA"/>
    <n v="1496"/>
    <n v="3"/>
    <m/>
    <m/>
    <m/>
    <m/>
    <m/>
    <m/>
    <m/>
    <m/>
    <n v="1496"/>
    <n v="3"/>
  </r>
  <r>
    <s v="The Disruptors: Become a Smart Port"/>
    <s v="Judith Magyar"/>
    <d v="2015-06-24T00:00:00"/>
    <s v="Video"/>
    <s v="Innovation"/>
    <s v="GCO – Industry Cloud , GCO – Platform Solutions"/>
    <x v="2"/>
    <s v="EMEA"/>
    <n v="411"/>
    <n v="1"/>
    <m/>
    <m/>
    <n v="133"/>
    <n v="0"/>
    <m/>
    <m/>
    <m/>
    <m/>
    <n v="544"/>
    <n v="1"/>
  </r>
  <r>
    <s v="Overcoming Every Hurdle"/>
    <s v="Angela Klose"/>
    <d v="2015-06-25T00:00:00"/>
    <s v="Video"/>
    <s v="Sports"/>
    <s v="GCO – Platform Solutions"/>
    <x v="1"/>
    <s v="Global"/>
    <n v="410"/>
    <n v="3"/>
    <m/>
    <m/>
    <m/>
    <m/>
    <m/>
    <m/>
    <m/>
    <m/>
    <n v="410"/>
    <n v="3"/>
  </r>
  <r>
    <s v="Simpler, Faster, Unified, Efficient"/>
    <s v="Jane Gray"/>
    <d v="2015-06-25T00:00:00"/>
    <m/>
    <s v="Innovation"/>
    <s v="GCO – Platform Solutions"/>
    <x v="2"/>
    <s v="Global"/>
    <n v="326"/>
    <n v="1"/>
    <m/>
    <m/>
    <m/>
    <m/>
    <m/>
    <m/>
    <m/>
    <m/>
    <n v="326"/>
    <n v="1"/>
  </r>
  <r>
    <s v="Crafty Tunes with Music 4.0"/>
    <s v="Kesja Cichowski"/>
    <d v="2015-06-26T00:00:00"/>
    <s v="Video"/>
    <s v="Corporate"/>
    <s v="Human Resources (SAP HR and employee stories)"/>
    <x v="1"/>
    <s v="Global"/>
    <n v="1450"/>
    <n v="23"/>
    <m/>
    <m/>
    <m/>
    <m/>
    <m/>
    <m/>
    <m/>
    <m/>
    <n v="1450"/>
    <n v="23"/>
  </r>
  <r>
    <s v="Restoring Growth Across Latin America"/>
    <s v="Renata Pompeu Pividal"/>
    <d v="2015-06-26T00:00:00"/>
    <m/>
    <s v="Corporate"/>
    <s v="GCO – Regions"/>
    <x v="1"/>
    <s v="LATAM"/>
    <n v="931"/>
    <n v="3"/>
    <m/>
    <m/>
    <m/>
    <m/>
    <m/>
    <m/>
    <m/>
    <m/>
    <n v="931"/>
    <n v="3"/>
  </r>
  <r>
    <s v="Ford and SAP Put Design in High Gear"/>
    <s v="Robin Meyerhoff"/>
    <d v="2015-06-26T00:00:00"/>
    <s v="Slideshow, Video"/>
    <s v="Innovation"/>
    <s v="P&amp;I (Research &amp; Development)"/>
    <x v="2"/>
    <s v="Global"/>
    <n v="1423"/>
    <n v="3"/>
    <m/>
    <m/>
    <m/>
    <m/>
    <n v="425"/>
    <n v="0"/>
    <m/>
    <m/>
    <n v="1848"/>
    <n v="3"/>
  </r>
  <r>
    <s v="Software Coding in Lagos"/>
    <s v="Gillian Lindsell"/>
    <d v="2015-06-29T00:00:00"/>
    <m/>
    <s v="Youth"/>
    <s v="Corporate"/>
    <x v="1"/>
    <s v="EMEA"/>
    <n v="395"/>
    <n v="4"/>
    <m/>
    <m/>
    <m/>
    <m/>
    <m/>
    <m/>
    <m/>
    <m/>
    <n v="395"/>
    <n v="4"/>
  </r>
  <r>
    <s v="SAP Waves the Rainbow Flag"/>
    <s v="Robin Meyerhoff"/>
    <d v="2015-07-01T00:00:00"/>
    <s v="Video"/>
    <s v="Corporate"/>
    <s v="Human Resources (SAP HR and employee stories)"/>
    <x v="1"/>
    <s v="NA"/>
    <n v="4318"/>
    <n v="97"/>
    <n v="7986"/>
    <n v="1"/>
    <n v="330"/>
    <n v="0"/>
    <n v="2278"/>
    <n v="6"/>
    <m/>
    <m/>
    <n v="14912"/>
    <n v="104"/>
  </r>
  <r>
    <s v="Cultivating Our Curiosity"/>
    <s v="Torsten Falk"/>
    <d v="2015-07-02T00:00:00"/>
    <m/>
    <s v="Corporate"/>
    <s v="Human Resources (SAP HR and employee stories)"/>
    <x v="1"/>
    <s v="Global"/>
    <n v="1327"/>
    <n v="18"/>
    <s v="-"/>
    <s v="-"/>
    <s v="-"/>
    <s v="-"/>
    <s v="-"/>
    <s v="-"/>
    <m/>
    <m/>
    <n v="1327"/>
    <n v="18"/>
  </r>
  <r>
    <s v="They Came, Pitched, and Conquered"/>
    <s v="Catherine Girardin"/>
    <d v="2015-07-02T00:00:00"/>
    <s v="Video"/>
    <s v="Innovation"/>
    <s v="P&amp;I (Research &amp; Development)"/>
    <x v="1"/>
    <s v="EMEA"/>
    <n v="837"/>
    <n v="2"/>
    <s v="-"/>
    <s v="-"/>
    <s v="-"/>
    <s v="-"/>
    <s v="-"/>
    <s v="-"/>
    <m/>
    <m/>
    <n v="837"/>
    <n v="2"/>
  </r>
  <r>
    <s v="Fresh Face Joins the Supervisory Board"/>
    <s v="Andrea Diederichs"/>
    <d v="2015-07-03T00:00:00"/>
    <m/>
    <s v="Corporate"/>
    <s v="Office of the CEO"/>
    <x v="1"/>
    <s v="Global"/>
    <n v="3279"/>
    <n v="11"/>
    <s v="-"/>
    <s v="-"/>
    <s v="-"/>
    <s v="-"/>
    <s v="-"/>
    <s v="-"/>
    <m/>
    <m/>
    <n v="3279"/>
    <n v="11"/>
  </r>
  <r>
    <s v="Top Honors for TwoGo by SAP"/>
    <s v="Bettina Wunderle"/>
    <d v="2015-07-03T00:00:00"/>
    <m/>
    <s v="Innovation"/>
    <s v="P&amp;I (Research &amp; Development)"/>
    <x v="1"/>
    <s v="Global"/>
    <n v="979"/>
    <n v="7"/>
    <s v="-"/>
    <s v="-"/>
    <n v="15"/>
    <n v="0"/>
    <s v="-"/>
    <s v="-"/>
    <m/>
    <m/>
    <n v="994"/>
    <n v="7"/>
  </r>
  <r>
    <s v="Fashion Gets a Tech Makeover"/>
    <s v="Emily Scorer"/>
    <d v="2015-07-03T00:00:00"/>
    <s v="Video"/>
    <s v="Youth"/>
    <s v="P&amp;I (Research &amp; Development)"/>
    <x v="1"/>
    <s v="EMEA"/>
    <n v="593"/>
    <n v="2"/>
    <s v="-"/>
    <s v="-"/>
    <s v="-"/>
    <s v="-"/>
    <s v="-"/>
    <s v="-"/>
    <m/>
    <m/>
    <n v="593"/>
    <n v="2"/>
  </r>
  <r>
    <s v="Ariba: All Fired Up"/>
    <s v="Stephan Magura"/>
    <d v="2015-07-06T00:00:00"/>
    <s v="Video"/>
    <s v="Innovation"/>
    <s v="Business Network (Concur, Ariba, Fieldglass)"/>
    <x v="1"/>
    <s v="Global"/>
    <n v="917"/>
    <n v="2"/>
    <s v="-"/>
    <s v="-"/>
    <n v="546"/>
    <n v="0"/>
    <s v="-"/>
    <s v="-"/>
    <m/>
    <m/>
    <n v="1463"/>
    <n v="2"/>
  </r>
  <r>
    <s v="Taking Football into the Cloud"/>
    <s v="Emily Scorer"/>
    <d v="2015-07-07T00:00:00"/>
    <s v="Video"/>
    <s v="Sports"/>
    <s v="GCO – Industry Cloud , GCO – Platform Solutions"/>
    <x v="2"/>
    <s v="Global"/>
    <n v="1752"/>
    <n v="9"/>
    <s v="-"/>
    <s v="-"/>
    <n v="122"/>
    <n v="0"/>
    <s v="-"/>
    <s v="-"/>
    <m/>
    <m/>
    <n v="1874"/>
    <n v="9"/>
  </r>
  <r>
    <s v="Greek Debt Crisis"/>
    <s v="Michael Zipf"/>
    <d v="2015-07-09T00:00:00"/>
    <m/>
    <s v="Corporate"/>
    <s v="Human Resources (SAP HR and employee stories)"/>
    <x v="1"/>
    <s v="EMEA"/>
    <n v="2892"/>
    <n v="12"/>
    <s v="-"/>
    <s v="-"/>
    <s v="-"/>
    <s v="-"/>
    <s v="-"/>
    <s v="-"/>
    <m/>
    <m/>
    <n v="2892"/>
    <n v="12"/>
  </r>
  <r>
    <s v="Living the New Behaviors"/>
    <s v="Emily Scorer"/>
    <d v="2015-07-09T00:00:00"/>
    <s v="Video"/>
    <s v="Corporate"/>
    <s v="Human Resources (SAP HR and employee stories)"/>
    <x v="1"/>
    <s v="Global"/>
    <n v="1588"/>
    <n v="10"/>
    <s v="-"/>
    <s v="-"/>
    <s v="-"/>
    <s v="-"/>
    <s v="-"/>
    <s v="-"/>
    <m/>
    <m/>
    <n v="1588"/>
    <n v="10"/>
  </r>
  <r>
    <s v="Founders’ Award: Where Are We Now?"/>
    <s v="Cecile Yasmin Schreyer"/>
    <d v="2015-07-09T00:00:00"/>
    <m/>
    <s v="Corporate"/>
    <s v="Human Resources (SAP HR and employee stories)"/>
    <x v="1"/>
    <s v="Global"/>
    <n v="765"/>
    <n v="7"/>
    <s v="-"/>
    <s v="-"/>
    <s v="-"/>
    <s v="-"/>
    <s v="-"/>
    <s v="-"/>
    <m/>
    <m/>
    <n v="765"/>
    <n v="7"/>
  </r>
  <r>
    <s v="Quentin Clark Appointed to SAP Board"/>
    <s v="Paul Baur"/>
    <d v="2015-07-10T00:00:00"/>
    <s v="Video"/>
    <s v="Innovation"/>
    <s v="P&amp;I (Research &amp; Development)"/>
    <x v="1"/>
    <s v="Global"/>
    <n v="2580"/>
    <n v="5"/>
    <s v="-"/>
    <s v="-"/>
    <n v="639"/>
    <n v="0"/>
    <s v="-"/>
    <s v="-"/>
    <m/>
    <m/>
    <n v="3219"/>
    <n v="5"/>
  </r>
  <r>
    <s v="Never Too Early for STEM"/>
    <s v="Susan Galer"/>
    <d v="2015-07-10T00:00:00"/>
    <m/>
    <s v="Youth"/>
    <s v="Corporate"/>
    <x v="1"/>
    <s v="EMEA"/>
    <n v="438"/>
    <n v="2"/>
    <s v="-"/>
    <s v="-"/>
    <n v="334"/>
    <n v="0"/>
    <s v="-"/>
    <s v="-"/>
    <m/>
    <m/>
    <n v="772"/>
    <n v="2"/>
  </r>
  <r>
    <s v="Photo Contest: Street Photography"/>
    <s v="Miriam Siebeking"/>
    <d v="2015-07-10T00:00:00"/>
    <m/>
    <s v="Corporate"/>
    <s v="Human Resources (SAP HR and employee stories)"/>
    <x v="1"/>
    <s v="Global"/>
    <n v="1240"/>
    <n v="0"/>
    <s v="-"/>
    <s v="-"/>
    <s v="-"/>
    <s v="-"/>
    <s v="-"/>
    <s v="-"/>
    <m/>
    <m/>
    <n v="1240"/>
    <n v="0"/>
  </r>
  <r>
    <s v="Go West, Young Man"/>
    <s v="Robin Meyerhoff"/>
    <d v="2015-07-13T00:00:00"/>
    <s v="Video"/>
    <s v="Corporate"/>
    <s v="GCO – Regions, Human Resources (SAP HR and employee stories)"/>
    <x v="1"/>
    <s v="NA"/>
    <n v="1622"/>
    <n v="17"/>
    <s v="-"/>
    <s v="-"/>
    <s v="-"/>
    <s v="-"/>
    <n v="649"/>
    <n v="0"/>
    <m/>
    <m/>
    <n v="2271"/>
    <n v="17"/>
  </r>
  <r>
    <s v="Diversity and the Digital Economy"/>
    <s v="Stacy Eidson Comes"/>
    <d v="2015-07-13T00:00:00"/>
    <m/>
    <s v="Innovation"/>
    <s v="GCO – Other"/>
    <x v="1"/>
    <s v="Global"/>
    <n v="887"/>
    <n v="10"/>
    <s v="-"/>
    <s v="-"/>
    <s v="-"/>
    <s v="-"/>
    <s v="-"/>
    <s v="-"/>
    <m/>
    <m/>
    <n v="887"/>
    <n v="10"/>
  </r>
  <r>
    <s v="Coaching, Leading, Managing"/>
    <s v="Susan Orenstein"/>
    <d v="2015-07-14T00:00:00"/>
    <m/>
    <s v="Corporate"/>
    <s v="Human Resources (SAP HR and employee stories)"/>
    <x v="1"/>
    <s v="NA"/>
    <n v="1279"/>
    <n v="17"/>
    <s v="-"/>
    <s v="-"/>
    <s v="-"/>
    <s v="-"/>
    <s v="-"/>
    <s v="-"/>
    <m/>
    <m/>
    <n v="1279"/>
    <n v="17"/>
  </r>
  <r>
    <s v="Innovative Israel"/>
    <s v="Paul Baur"/>
    <d v="2015-07-14T00:00:00"/>
    <s v="Video, Infographic"/>
    <s v="Innovation"/>
    <s v="P&amp;I (Research &amp; Development)"/>
    <x v="1"/>
    <s v="EMEA"/>
    <n v="1671"/>
    <n v="8"/>
    <s v="-"/>
    <s v="-"/>
    <n v="79"/>
    <n v="0"/>
    <n v="1395"/>
    <n v="0"/>
    <m/>
    <m/>
    <n v="3145"/>
    <n v="8"/>
  </r>
  <r>
    <s v="Let’s Get Physical"/>
    <s v="Emily Scorer"/>
    <d v="2015-07-15T00:00:00"/>
    <m/>
    <s v="Healthcare"/>
    <s v="Human Resources (SAP HR and employee stories)"/>
    <x v="1"/>
    <s v="EMEA"/>
    <n v="1309"/>
    <n v="9"/>
    <s v="-"/>
    <s v="-"/>
    <s v="-"/>
    <s v="-"/>
    <s v="-"/>
    <s v="-"/>
    <m/>
    <m/>
    <n v="1309"/>
    <n v="9"/>
  </r>
  <r>
    <s v="The Adventures of Super Simple"/>
    <s v="Emily Scorer"/>
    <d v="2015-07-16T00:00:00"/>
    <s v="Video"/>
    <s v="Innovation"/>
    <s v="Corporate"/>
    <x v="1"/>
    <s v="LATAM"/>
    <n v="2127"/>
    <n v="18"/>
    <s v="-"/>
    <s v="-"/>
    <s v="-"/>
    <s v="-"/>
    <s v="-"/>
    <s v="-"/>
    <m/>
    <m/>
    <n v="2127"/>
    <n v="18"/>
  </r>
  <r>
    <s v="Define Your Career"/>
    <s v="Caroline Kohout"/>
    <d v="2015-07-17T00:00:00"/>
    <m/>
    <s v="Corporate"/>
    <s v="Human Resources (SAP HR and employee stories)"/>
    <x v="1"/>
    <s v="NA"/>
    <n v="1503"/>
    <n v="28"/>
    <s v="-"/>
    <s v="-"/>
    <s v="-"/>
    <s v="-"/>
    <s v="-"/>
    <s v="-"/>
    <m/>
    <m/>
    <n v="1503"/>
    <n v="28"/>
  </r>
  <r>
    <s v="Gamification: Party Pirate Style"/>
    <s v="Miriam Siebeking"/>
    <d v="2015-07-17T00:00:00"/>
    <m/>
    <s v="Innovation"/>
    <s v="P&amp;I (Research &amp; Development)"/>
    <x v="1"/>
    <s v="EMEA"/>
    <n v="1171"/>
    <n v="1"/>
    <s v="-"/>
    <s v="-"/>
    <s v="-"/>
    <s v="-"/>
    <n v="45"/>
    <n v="0"/>
    <m/>
    <m/>
    <n v="1216"/>
    <n v="1"/>
  </r>
  <r>
    <s v="Lync Succeeds SAP Connect for Meetings"/>
    <s v="Aidan Hyland"/>
    <d v="2015-07-20T00:00:00"/>
    <s v="Video, Infographic"/>
    <s v="Innovation"/>
    <s v="Corporate"/>
    <x v="1"/>
    <s v="Global"/>
    <n v="5959"/>
    <n v="53"/>
    <s v="-"/>
    <s v="-"/>
    <s v="-"/>
    <s v="-"/>
    <s v="-"/>
    <s v="-"/>
    <m/>
    <m/>
    <n v="5959"/>
    <n v="53"/>
  </r>
  <r>
    <s v="Mitigate Slavery in the Supply Chain"/>
    <s v="Stephan Magura"/>
    <d v="2015-07-20T00:00:00"/>
    <s v="Video, Infographic"/>
    <s v="Healthcare"/>
    <s v="Business Network (Concur, Ariba, Fieldglass)"/>
    <x v="2"/>
    <s v="EMEA"/>
    <n v="1010"/>
    <n v="10"/>
    <s v="-"/>
    <s v="-"/>
    <n v="119"/>
    <n v="0"/>
    <n v="269"/>
    <n v="0"/>
    <m/>
    <m/>
    <n v="1398"/>
    <n v="10"/>
  </r>
  <r>
    <s v="SAP Grows in the Cloud and Network"/>
    <s v="Paul Baur"/>
    <d v="2015-07-21T00:00:00"/>
    <s v="Video"/>
    <s v="Innovation"/>
    <s v="Corporate"/>
    <x v="1"/>
    <s v="Global"/>
    <n v="4066"/>
    <n v="2"/>
    <s v="-"/>
    <s v="-"/>
    <n v="843"/>
    <n v="0"/>
    <s v="-"/>
    <s v="-"/>
    <m/>
    <m/>
    <n v="4909"/>
    <n v="2"/>
  </r>
  <r>
    <s v="Making Security Run Simple"/>
    <s v="Tanja Schaetz-Kruft"/>
    <d v="2015-07-21T00:00:00"/>
    <m/>
    <s v="Innovation"/>
    <s v="GCO – Other"/>
    <x v="1"/>
    <s v="Global"/>
    <n v="593"/>
    <n v="1"/>
    <s v="-"/>
    <s v="-"/>
    <s v="-"/>
    <s v="-"/>
    <s v="-"/>
    <s v="-"/>
    <m/>
    <m/>
    <n v="593"/>
    <n v="1"/>
  </r>
  <r>
    <s v="The Making of “In the Clouds with SAP”"/>
    <s v="Jackie Montesinos Suarez"/>
    <d v="2015-07-21T00:00:00"/>
    <s v="Video"/>
    <s v="Innovation"/>
    <s v="GCO – Other"/>
    <x v="2"/>
    <s v="NA, LATAM, EMEA"/>
    <n v="727"/>
    <n v="15"/>
    <s v="-"/>
    <s v="-"/>
    <s v="-"/>
    <s v="-"/>
    <n v="785"/>
    <n v="0"/>
    <m/>
    <m/>
    <n v="1512"/>
    <n v="15"/>
  </r>
  <r>
    <s v="Good Job, Keep Rolling, Stop Flying"/>
    <s v="Paul Baur"/>
    <d v="2015-07-22T00:00:00"/>
    <s v="Video"/>
    <s v="Corporate"/>
    <s v="Corporate"/>
    <x v="1"/>
    <s v="Global"/>
    <n v="4134"/>
    <n v="0"/>
    <s v="-"/>
    <s v="-"/>
    <s v="-"/>
    <s v="-"/>
    <s v="-"/>
    <s v="-"/>
    <m/>
    <m/>
    <n v="4134"/>
    <n v="0"/>
  </r>
  <r>
    <s v="The Disruptors: Why Fieldglass is One"/>
    <s v="Judith Magyar"/>
    <d v="2015-07-22T00:00:00"/>
    <m/>
    <s v="Innovation"/>
    <s v="Business Network (Concur, Ariba, Fieldglass)"/>
    <x v="1"/>
    <s v="Global"/>
    <n v="831"/>
    <n v="0"/>
    <s v="-"/>
    <s v="-"/>
    <n v="77"/>
    <n v="0"/>
    <n v="582"/>
    <n v="0"/>
    <m/>
    <m/>
    <n v="1490"/>
    <n v="0"/>
  </r>
  <r>
    <s v="Taylor Made, Disaster on the Hudson"/>
    <s v="Paul Taylor"/>
    <d v="2015-07-23T00:00:00"/>
    <s v="Infographic"/>
    <s v="Corporate"/>
    <s v="Corporate"/>
    <x v="1"/>
    <s v="NA"/>
    <n v="1089"/>
    <n v="7"/>
    <n v="734"/>
    <n v="0"/>
    <s v="-"/>
    <s v="-"/>
    <s v="-"/>
    <s v="-"/>
    <m/>
    <m/>
    <n v="1823"/>
    <n v="7"/>
  </r>
  <r>
    <s v="Israel and Germany: Trust Breeds Innovation"/>
    <s v="Paul Baur"/>
    <d v="2015-07-23T00:00:00"/>
    <s v="Video"/>
    <s v="Innovation"/>
    <s v="P&amp;I (Research &amp; Development)"/>
    <x v="1"/>
    <s v="EMEA"/>
    <n v="844"/>
    <n v="1"/>
    <s v="-"/>
    <s v="-"/>
    <s v="-"/>
    <s v="-"/>
    <n v="900"/>
    <n v="0"/>
    <m/>
    <m/>
    <n v="1744"/>
    <n v="1"/>
  </r>
  <r>
    <s v="Adapt or Die"/>
    <s v="Judith Magyar"/>
    <d v="2015-07-24T00:00:00"/>
    <m/>
    <s v="Corporate"/>
    <s v="Office of the CEO"/>
    <x v="1"/>
    <s v="Global"/>
    <n v="2267"/>
    <n v="8"/>
    <s v="-"/>
    <s v="-"/>
    <s v="-"/>
    <s v="-"/>
    <s v="-"/>
    <s v="-"/>
    <m/>
    <m/>
    <n v="2267"/>
    <n v="8"/>
  </r>
  <r>
    <s v="From Poaching to Farming"/>
    <s v="Michael Zipf"/>
    <d v="2015-07-24T00:00:00"/>
    <s v="Infographic"/>
    <s v="Innovation"/>
    <s v="GCO – Regions"/>
    <x v="2"/>
    <s v="EMEA"/>
    <n v="779"/>
    <n v="3"/>
    <s v="-"/>
    <s v="-"/>
    <n v="22"/>
    <n v="0"/>
    <s v="-"/>
    <s v="-"/>
    <m/>
    <m/>
    <n v="801"/>
    <n v="3"/>
  </r>
  <r>
    <s v="Customer Survey: Please, Keep it Simple"/>
    <s v="Heidi Ferguson-Mueller"/>
    <d v="2015-07-27T00:00:00"/>
    <s v="Infographic"/>
    <s v="Corporate"/>
    <s v="GCO – Other"/>
    <x v="1"/>
    <s v="Global"/>
    <n v="946"/>
    <n v="2"/>
    <s v="-"/>
    <s v="-"/>
    <s v="-"/>
    <s v="-"/>
    <s v="-"/>
    <s v="-"/>
    <m/>
    <m/>
    <n v="946"/>
    <n v="2"/>
  </r>
  <r>
    <s v="Coding and Corner Kicks"/>
    <s v="Corinna Machmeier"/>
    <d v="2015-07-27T00:00:00"/>
    <s v="Video"/>
    <s v="Sports, Youth"/>
    <s v="P&amp;I (Research &amp; Development)"/>
    <x v="1"/>
    <s v="EMEA"/>
    <n v="534"/>
    <n v="1"/>
    <s v="-"/>
    <s v="-"/>
    <s v="-"/>
    <s v="-"/>
    <n v="720"/>
    <n v="0"/>
    <m/>
    <m/>
    <n v="1254"/>
    <n v="1"/>
  </r>
  <r>
    <s v="Unified Ticketing: One Support for Everyone"/>
    <s v="Stephan Kamps"/>
    <d v="2015-07-28T00:00:00"/>
    <m/>
    <s v="Innovation"/>
    <s v="Corporate"/>
    <x v="1"/>
    <s v="Global"/>
    <n v="2879"/>
    <n v="11"/>
    <s v="-"/>
    <s v="-"/>
    <s v="-"/>
    <s v="-"/>
    <s v="-"/>
    <s v="-"/>
    <m/>
    <m/>
    <n v="2879"/>
    <n v="11"/>
  </r>
  <r>
    <s v="Spotlight on Women Leaders at SAP"/>
    <s v="Susan Galer"/>
    <d v="2015-07-28T00:00:00"/>
    <m/>
    <s v="Corporate"/>
    <s v="Human Resources (SAP HR and employee stories)"/>
    <x v="1"/>
    <s v="EMEA"/>
    <n v="1237"/>
    <n v="9"/>
    <s v="-"/>
    <s v="-"/>
    <n v="1061"/>
    <n v="0"/>
    <s v="-"/>
    <s v="-"/>
    <m/>
    <m/>
    <n v="2298"/>
    <n v="9"/>
  </r>
  <r>
    <s v="Talking Trash at Lunch"/>
    <s v="Sarah Kellman"/>
    <d v="2015-07-29T00:00:00"/>
    <s v="Infographic"/>
    <s v="Innovation"/>
    <s v="GCO – Industry Cloud , GCO – Regions"/>
    <x v="2"/>
    <s v="EMEA"/>
    <n v="1297"/>
    <n v="26"/>
    <s v="-"/>
    <s v="-"/>
    <s v="-"/>
    <s v="-"/>
    <s v="-"/>
    <s v="-"/>
    <m/>
    <m/>
    <n v="1297"/>
    <n v="26"/>
  </r>
  <r>
    <s v="The Digital Economy Manifesto"/>
    <s v="Jeff Woods"/>
    <d v="2015-07-30T00:00:00"/>
    <m/>
    <s v="Innovation"/>
    <s v="Corporate"/>
    <x v="1"/>
    <s v="Global"/>
    <n v="1002"/>
    <n v="5"/>
    <s v="-"/>
    <s v="-"/>
    <n v="96"/>
    <n v="0"/>
    <s v="-"/>
    <s v="-"/>
    <m/>
    <m/>
    <n v="1098"/>
    <n v="5"/>
  </r>
  <r>
    <s v="Structure + Freedom = Innovation"/>
    <s v="Stephan Magura"/>
    <d v="2015-07-30T00:00:00"/>
    <s v="Video"/>
    <s v="Innovation, Youth"/>
    <s v="Corporate"/>
    <x v="2"/>
    <s v="EMEA"/>
    <n v="712"/>
    <n v="3"/>
    <s v="-"/>
    <s v="-"/>
    <s v="-"/>
    <s v="-"/>
    <s v="-"/>
    <s v="-"/>
    <m/>
    <m/>
    <n v="712"/>
    <n v="3"/>
  </r>
  <r>
    <s v="SAP on Wheels"/>
    <s v="Jackie Montesinos Suarez"/>
    <d v="2015-07-31T00:00:00"/>
    <s v="Video"/>
    <s v="Innovation"/>
    <s v="GCO – Regions, GCO – Platform Solutions"/>
    <x v="1"/>
    <s v="EMEA"/>
    <n v="1225"/>
    <n v="12"/>
    <s v="-"/>
    <s v="-"/>
    <n v="164"/>
    <n v="0"/>
    <s v="-"/>
    <s v="-"/>
    <m/>
    <m/>
    <n v="1389"/>
    <n v="12"/>
  </r>
  <r>
    <s v="Educational Equity Fueled by Tech"/>
    <s v="Jhon Ward"/>
    <d v="2015-07-31T00:00:00"/>
    <s v="Infographic"/>
    <s v="Youth"/>
    <s v="Corporate"/>
    <x v="1"/>
    <s v="Global"/>
    <n v="512"/>
    <n v="1"/>
    <n v="4458"/>
    <n v="0"/>
    <n v="39"/>
    <n v="0"/>
    <s v="-"/>
    <s v="-"/>
    <m/>
    <m/>
    <n v="5009"/>
    <n v="1"/>
  </r>
  <r>
    <s v="Recipe for a Sports App"/>
    <s v="Michael Zipf"/>
    <d v="2015-08-03T00:00:00"/>
    <s v="Video"/>
    <s v="Sports"/>
    <s v="Human Resources (SAP HR and employee stories)"/>
    <x v="1"/>
    <s v="EMEA"/>
    <n v="1791"/>
    <n v="48"/>
    <s v="-"/>
    <s v="-"/>
    <n v="223"/>
    <n v="0"/>
    <s v="-"/>
    <s v="-"/>
    <n v="75788"/>
    <n v="0"/>
    <n v="2014"/>
    <n v="48"/>
  </r>
  <r>
    <s v="The Valley Revs Up Social Start Ups"/>
    <s v="Robin Meyerhoff"/>
    <d v="2015-08-04T00:00:00"/>
    <s v="Video"/>
    <s v="Innovation"/>
    <s v="P&amp;I (Research &amp; Development)"/>
    <x v="1"/>
    <s v="NA"/>
    <n v="786"/>
    <n v="4"/>
    <n v="1890"/>
    <n v="0"/>
    <n v="42"/>
    <n v="0"/>
    <n v="1037"/>
    <n v="0"/>
    <n v="105718"/>
    <n v="14"/>
    <n v="3755"/>
    <n v="4"/>
  </r>
  <r>
    <s v="A Dynamic Duo"/>
    <s v="Stephan Magura"/>
    <d v="2015-08-05T00:00:00"/>
    <s v="Video"/>
    <s v="Innovation"/>
    <s v="GPO (Partner, Ecosystem, Channels)"/>
    <x v="2"/>
    <s v="EMEA"/>
    <n v="1139"/>
    <n v="4"/>
    <s v="-"/>
    <s v="-"/>
    <n v="213"/>
    <n v="0"/>
    <s v="-"/>
    <s v="-"/>
    <m/>
    <m/>
    <n v="1352"/>
    <n v="4"/>
  </r>
  <r>
    <s v="…Sails to Sales Success"/>
    <s v="Robin Meyerhoff"/>
    <d v="2015-08-06T00:00:00"/>
    <m/>
    <s v="Corporate"/>
    <s v="GCO – Regions"/>
    <x v="1"/>
    <s v="EMEA"/>
    <n v="1307"/>
    <n v="13"/>
    <s v="-"/>
    <s v="-"/>
    <s v="-"/>
    <s v="-"/>
    <n v="839"/>
    <n v="0"/>
    <m/>
    <m/>
    <n v="2146"/>
    <n v="13"/>
  </r>
  <r>
    <s v="Kids Discover The Digital Economy"/>
    <s v="Gillian Lindsell"/>
    <d v="2015-08-06T00:00:00"/>
    <m/>
    <s v="Youth"/>
    <s v="GCO – Regions"/>
    <x v="1"/>
    <s v="EMEA"/>
    <n v="492"/>
    <n v="6"/>
    <s v="-"/>
    <s v="-"/>
    <n v="181"/>
    <n v="0"/>
    <s v="-"/>
    <s v="-"/>
    <m/>
    <m/>
    <n v="673"/>
    <n v="6"/>
  </r>
  <r>
    <s v="Putting the Swing Back in Walldorf"/>
    <s v="Cornelia Weiss-Justen"/>
    <d v="2015-08-07T00:00:00"/>
    <s v="Video"/>
    <s v="Sports"/>
    <s v="Corporate"/>
    <x v="1"/>
    <s v="EMEA"/>
    <n v="1599"/>
    <n v="7"/>
    <s v="-"/>
    <s v="-"/>
    <n v="39"/>
    <n v="0"/>
    <s v="-"/>
    <s v="-"/>
    <m/>
    <m/>
    <n v="1638"/>
    <n v="7"/>
  </r>
  <r>
    <s v="Wipe Your Lenses and Hit the Streets!"/>
    <s v="Miriam Siebeking"/>
    <d v="2015-08-10T00:00:00"/>
    <m/>
    <s v="Corporate"/>
    <s v="Human Resources (SAP HR and employee stories)"/>
    <x v="1"/>
    <s v="Global"/>
    <n v="1065"/>
    <n v="0"/>
    <s v="-"/>
    <s v="-"/>
    <s v="-"/>
    <s v="-"/>
    <s v="-"/>
    <s v="-"/>
    <m/>
    <m/>
    <n v="1065"/>
    <n v="0"/>
  </r>
  <r>
    <s v="Two Sides of the Same Coin"/>
    <s v="Charlotte Otter"/>
    <d v="2015-08-11T00:00:00"/>
    <s v="Video"/>
    <s v="Innovation"/>
    <s v="Corporate"/>
    <x v="1"/>
    <s v="Global"/>
    <n v="2480"/>
    <n v="3"/>
    <s v="-"/>
    <s v="-"/>
    <n v="94"/>
    <n v="0"/>
    <s v="-"/>
    <s v="-"/>
    <n v="76148"/>
    <n v="5"/>
    <n v="2574"/>
    <n v="3"/>
  </r>
  <r>
    <s v="Ending Supply Chain Slavery"/>
    <s v="Debra Curtis-Magley"/>
    <d v="2015-08-12T00:00:00"/>
    <s v="Video"/>
    <s v="Innovation"/>
    <s v="Business Network (Concur, Ariba, Fieldglass)"/>
    <x v="1"/>
    <s v="EMEA"/>
    <n v="1026"/>
    <n v="8"/>
    <s v="-"/>
    <s v="-"/>
    <n v="119"/>
    <n v="0"/>
    <n v="4188"/>
    <n v="0"/>
    <m/>
    <m/>
    <n v="5333"/>
    <n v="8"/>
  </r>
  <r>
    <s v="A Matter Of Support"/>
    <s v="Stephan Magura"/>
    <d v="2015-08-13T00:00:00"/>
    <s v="Video"/>
    <s v="Innovation"/>
    <s v="GCO – Services Sales, GCO – Customer Engagement &amp; Commerce (CRM &amp; hybris) "/>
    <x v="1"/>
    <s v="Global"/>
    <n v="1378"/>
    <n v="2"/>
    <s v="-"/>
    <s v="-"/>
    <s v="-"/>
    <s v="-"/>
    <s v="-"/>
    <s v="-"/>
    <m/>
    <m/>
    <n v="1378"/>
    <n v="2"/>
  </r>
  <r>
    <s v="The Crippling Cost of Sports Injuries"/>
    <s v="Judith Magyar"/>
    <d v="2015-08-17T00:00:00"/>
    <s v="Infographic"/>
    <s v="Sports"/>
    <s v="P&amp;I (Research &amp; Development), GCO – Industry Cloud "/>
    <x v="1"/>
    <s v="Global"/>
    <n v="1391"/>
    <n v="5"/>
    <n v="5602"/>
    <n v="0"/>
    <n v="262"/>
    <n v="0"/>
    <s v="-"/>
    <s v="-"/>
    <n v="96497"/>
    <n v="7"/>
    <n v="7255"/>
    <n v="5"/>
  </r>
  <r>
    <s v="Innovation in a Lump of Iron"/>
    <s v="Nadine Huelsen"/>
    <d v="2015-08-18T00:00:00"/>
    <m/>
    <s v="Innovation"/>
    <s v="Corporate"/>
    <x v="1"/>
    <s v="APJ"/>
    <n v="1630"/>
    <n v="26"/>
    <n v="12669"/>
    <n v="2"/>
    <n v="151"/>
    <n v="0"/>
    <n v="4177"/>
    <n v="12"/>
    <m/>
    <m/>
    <n v="18627"/>
    <n v="40"/>
  </r>
  <r>
    <s v="The Pitfalls of Brand Journalism"/>
    <s v="Tim Clark"/>
    <d v="2015-08-19T00:00:00"/>
    <m/>
    <s v="Corporate"/>
    <s v="Corporate"/>
    <x v="1"/>
    <s v="NA"/>
    <n v="806"/>
    <n v="8"/>
    <n v="268"/>
    <n v="0"/>
    <s v="-"/>
    <s v="-"/>
    <n v="990"/>
    <n v="0"/>
    <m/>
    <m/>
    <n v="2064"/>
    <n v="8"/>
  </r>
  <r>
    <s v="Parlez-Vous Business in Africa?"/>
    <s v="Robin Meyerhoff"/>
    <d v="2015-08-20T00:00:00"/>
    <s v="Video"/>
    <s v="Innovation"/>
    <s v="GCO – Regions"/>
    <x v="2"/>
    <s v="EMEA"/>
    <n v="979"/>
    <n v="6"/>
    <s v="-"/>
    <s v="-"/>
    <n v="117"/>
    <n v="0"/>
    <n v="1272"/>
    <n v="0"/>
    <n v="76512"/>
    <n v="3"/>
    <n v="2368"/>
    <n v="6"/>
  </r>
  <r>
    <s v="Wake Up and Smell the Crayons"/>
    <s v="Susan Galer"/>
    <d v="2015-08-21T00:00:00"/>
    <m/>
    <s v="Innovation"/>
    <s v="GCO – HR (SuccessFactors)"/>
    <x v="1"/>
    <s v="Global"/>
    <n v="1366"/>
    <n v="5"/>
    <n v="2114"/>
    <n v="0"/>
    <s v="-"/>
    <s v="-"/>
    <n v="735"/>
    <n v="1"/>
    <m/>
    <m/>
    <n v="4215"/>
    <n v="6"/>
  </r>
  <r>
    <s v="Tapping IoT’s Potential"/>
    <s v="Baerbel Schultz"/>
    <d v="2015-08-24T00:00:00"/>
    <m/>
    <s v="Innovation"/>
    <s v="P&amp;I (Research &amp; Development)"/>
    <x v="1"/>
    <s v="EMEA"/>
    <n v="932"/>
    <n v="2"/>
    <s v="-"/>
    <s v="-"/>
    <n v="236"/>
    <n v="0"/>
    <s v="-"/>
    <s v="-"/>
    <m/>
    <m/>
    <n v="1168"/>
    <n v="2"/>
  </r>
  <r>
    <s v="Making Sailing Simpler"/>
    <s v="Jhon Ward"/>
    <d v="2015-08-25T00:00:00"/>
    <s v="Video"/>
    <s v="Sports"/>
    <s v="GCO – Industry Cloud , GCO – Platform Solutions"/>
    <x v="2"/>
    <s v="EMEA"/>
    <n v="577"/>
    <n v="0"/>
    <s v="-"/>
    <s v="-"/>
    <n v="189"/>
    <n v="0"/>
    <s v="-"/>
    <s v="-"/>
    <m/>
    <m/>
    <n v="766"/>
    <n v="0"/>
  </r>
  <r>
    <s v="Spotlight on Women Leaders at SAP"/>
    <s v="Susan Galer"/>
    <d v="2015-08-26T00:00:00"/>
    <m/>
    <s v="Innovation"/>
    <s v="Human Resources (SAP HR and employee stories)"/>
    <x v="1"/>
    <s v="EMEA"/>
    <n v="5117"/>
    <n v="117"/>
    <s v="-"/>
    <s v="-"/>
    <n v="1883"/>
    <n v="0"/>
    <n v="841"/>
    <n v="0"/>
    <m/>
    <m/>
    <n v="7841"/>
    <n v="117"/>
  </r>
  <r>
    <s v="Don’t be a Dodo"/>
    <s v="Paul Taylor"/>
    <d v="2015-08-26T00:00:00"/>
    <s v="Infographic"/>
    <s v="Innovation"/>
    <s v="Office of the CEO"/>
    <x v="1"/>
    <s v="Global"/>
    <n v="2454"/>
    <n v="9"/>
    <n v="2830"/>
    <n v="0"/>
    <s v="-"/>
    <s v="-"/>
    <n v="740"/>
    <n v="0"/>
    <m/>
    <m/>
    <n v="6024"/>
    <n v="9"/>
  </r>
  <r>
    <s v="The Neglected Morality of IoT"/>
    <s v="Derek Klobucher"/>
    <d v="2015-08-28T00:00:00"/>
    <m/>
    <s v="Innovation"/>
    <s v="Corporate"/>
    <x v="1"/>
    <s v="Global"/>
    <n v="1663"/>
    <n v="20"/>
    <n v="1106"/>
    <n v="2"/>
    <n v="78"/>
    <n v="0"/>
    <s v="-"/>
    <s v="-"/>
    <m/>
    <m/>
    <n v="2847"/>
    <n v="22"/>
  </r>
  <r>
    <s v="Digitization with Extra Horsepower"/>
    <s v="Lynda Seger"/>
    <d v="2015-08-31T00:00:00"/>
    <m/>
    <s v="Sports"/>
    <s v="GCO – Industry Cloud "/>
    <x v="2"/>
    <s v="EMEA"/>
    <n v="801"/>
    <n v="3"/>
    <s v="-"/>
    <s v="-"/>
    <n v="69"/>
    <n v="0"/>
    <s v="-"/>
    <s v="-"/>
    <m/>
    <m/>
    <n v="870"/>
    <n v="3"/>
  </r>
  <r>
    <s v="Platforms Are Hot Again. Digitize Now!"/>
    <s v="Judith Magyar"/>
    <d v="2015-09-01T00:00:00"/>
    <s v="Infographic, Video"/>
    <s v="Innovation"/>
    <s v="GCO – Platform Solutions, GCO – Customer Engagement &amp; Commerce (CRM &amp; hybris) "/>
    <x v="1"/>
    <s v="Global"/>
    <n v="1884"/>
    <n v="5"/>
    <s v="-"/>
    <s v="-"/>
    <s v="-"/>
    <s v="-"/>
    <s v="-"/>
    <s v="-"/>
    <m/>
    <m/>
    <n v="1884"/>
    <n v="5"/>
  </r>
  <r>
    <s v="Easier Partnering, Bigger Opportunities"/>
    <s v="Jacqueline Prause"/>
    <d v="2015-09-03T00:00:00"/>
    <s v="Video"/>
    <s v="Corporate"/>
    <s v="GPO (Partner, Ecosystem, Channels)"/>
    <x v="1"/>
    <s v="Global"/>
    <n v="765"/>
    <n v="5"/>
    <s v="-"/>
    <s v="-"/>
    <n v="98"/>
    <n v="0"/>
    <s v="-"/>
    <s v="-"/>
    <m/>
    <m/>
    <n v="863"/>
    <n v="5"/>
  </r>
  <r>
    <s v="Cat Videos Are Overrated"/>
    <s v="Paul Baur"/>
    <d v="2015-09-08T00:00:00"/>
    <s v="Video"/>
    <s v="Corporate"/>
    <s v="Corporate"/>
    <x v="1"/>
    <s v="Global"/>
    <n v="2383"/>
    <n v="14"/>
    <s v="-"/>
    <s v="-"/>
    <s v="-"/>
    <s v="-"/>
    <s v="-"/>
    <s v="-"/>
    <m/>
    <m/>
    <n v="2383"/>
    <n v="14"/>
  </r>
  <r>
    <s v="SAP S/4HANA Branding Update"/>
    <s v="Judith Magyar"/>
    <d v="2015-09-08T00:00:00"/>
    <s v="Infographic"/>
    <s v="Innovation"/>
    <s v="GCO – Other"/>
    <x v="1"/>
    <s v="Global"/>
    <n v="3075"/>
    <n v="9"/>
    <s v="-"/>
    <s v="-"/>
    <s v="-"/>
    <s v="-"/>
    <s v="-"/>
    <s v="-"/>
    <m/>
    <m/>
    <n v="3075"/>
    <n v="9"/>
  </r>
  <r>
    <s v="Refugee Crisis – How You Can Help"/>
    <s v="Michael Zipf"/>
    <d v="2015-09-09T00:00:00"/>
    <m/>
    <s v="Corporate"/>
    <s v="Corporate"/>
    <x v="1"/>
    <s v="EMEA"/>
    <n v="6559"/>
    <n v="67"/>
    <s v="-"/>
    <s v="-"/>
    <s v="-"/>
    <s v="-"/>
    <s v="-"/>
    <s v="-"/>
    <m/>
    <m/>
    <n v="6559"/>
    <n v="67"/>
  </r>
  <r>
    <s v="Power in Employees’ Pockets"/>
    <s v="Paul Baur"/>
    <d v="2015-09-10T00:00:00"/>
    <s v="Video"/>
    <s v="Healthcare"/>
    <s v="P&amp;I (Research &amp; Development)"/>
    <x v="1"/>
    <s v="Global"/>
    <n v="1237"/>
    <n v="2"/>
    <s v="-"/>
    <s v="-"/>
    <n v="109"/>
    <n v="0"/>
    <n v="548"/>
    <n v="0"/>
    <m/>
    <m/>
    <n v="1894"/>
    <n v="2"/>
  </r>
  <r>
    <s v="The Disruptors: Data Doctors Trust"/>
    <s v="Judith Magyar"/>
    <d v="2015-09-11T00:00:00"/>
    <s v="Video"/>
    <s v="Healthcare"/>
    <s v="GCO – Industry Cloud , GCO – Platform Solutions"/>
    <x v="2"/>
    <s v="Global"/>
    <n v="1436"/>
    <n v="1"/>
    <s v="-"/>
    <s v="-"/>
    <n v="228"/>
    <n v="0"/>
    <n v="883"/>
    <n v="3"/>
    <m/>
    <m/>
    <n v="2547"/>
    <n v="4"/>
  </r>
  <r>
    <s v="Black and White"/>
    <s v="Miriam Siebeking"/>
    <d v="2015-09-14T00:00:00"/>
    <m/>
    <s v="Corporate"/>
    <s v="Human Resources (SAP HR and employee stories)"/>
    <x v="1"/>
    <s v="Global"/>
    <n v="1073"/>
    <n v="0"/>
    <s v="-"/>
    <s v="-"/>
    <s v="-"/>
    <s v="-"/>
    <s v="-"/>
    <s v="-"/>
    <m/>
    <m/>
    <n v="1073"/>
    <n v="0"/>
  </r>
  <r>
    <s v="Customers Are in the Driver’s Seat Now"/>
    <s v="Paul Taylor"/>
    <d v="2015-09-15T00:00:00"/>
    <m/>
    <s v="Innovation"/>
    <s v="GCO – Customer Engagement &amp; Commerce (CRM &amp; hybris) "/>
    <x v="1"/>
    <s v="Global"/>
    <n v="2143"/>
    <n v="3"/>
    <s v="-"/>
    <s v="-"/>
    <n v="484"/>
    <n v="0"/>
    <s v="-"/>
    <s v="-"/>
    <n v="78019"/>
    <n v="7"/>
    <n v="2627"/>
    <n v="3"/>
  </r>
  <r>
    <s v="Be a Hero. No Cape Required."/>
    <s v="Andrea Diederichs"/>
    <d v="2015-09-15T00:00:00"/>
    <s v="Infographic"/>
    <s v="Corporate"/>
    <s v="Corporate"/>
    <x v="1"/>
    <s v="Global"/>
    <n v="1514"/>
    <n v="1"/>
    <s v="-"/>
    <s v="-"/>
    <s v="-"/>
    <s v="-"/>
    <s v="-"/>
    <s v="-"/>
    <m/>
    <m/>
    <n v="1514"/>
    <n v="1"/>
  </r>
  <r>
    <s v="“I Feel Stronger Than Ever”"/>
    <s v="Paul Baur"/>
    <d v="2015-09-16T00:00:00"/>
    <m/>
    <s v="Corporate"/>
    <s v="Office of the CEO"/>
    <x v="1"/>
    <s v="Global"/>
    <n v="27449"/>
    <n v="359"/>
    <s v="-"/>
    <s v="-"/>
    <s v="-"/>
    <s v="-"/>
    <s v="-"/>
    <s v="-"/>
    <m/>
    <m/>
    <n v="27449"/>
    <n v="359"/>
  </r>
  <r>
    <s v="We’re Not in Kansas Anymore"/>
    <s v="Paul Taylor"/>
    <d v="2015-09-16T00:00:00"/>
    <s v="Infographic"/>
    <s v="Innovation"/>
    <s v="GCO – Customer Engagement &amp; Commerce (CRM &amp; hybris) "/>
    <x v="1"/>
    <s v="Global"/>
    <n v="2130"/>
    <n v="7"/>
    <n v="1772"/>
    <n v="0"/>
    <n v="149"/>
    <n v="0"/>
    <n v="7140"/>
    <n v="1"/>
    <n v="78209"/>
    <n v="10"/>
    <n v="11191"/>
    <n v="8"/>
  </r>
  <r>
    <s v="SAP Responds to the Refugee Crisis"/>
    <s v="Torsten Falk"/>
    <d v="2015-09-17T00:00:00"/>
    <m/>
    <s v="Corporate"/>
    <s v="Corporate"/>
    <x v="1"/>
    <s v="Global"/>
    <n v="2753"/>
    <n v="19"/>
    <s v="-"/>
    <s v="-"/>
    <s v="-"/>
    <s v="-"/>
    <s v="-"/>
    <s v="-"/>
    <m/>
    <m/>
    <n v="2753"/>
    <n v="19"/>
  </r>
  <r>
    <s v="Team U.S. Wins the Solheim Cup"/>
    <s v="Cornelia Weiss-Justen"/>
    <d v="2015-09-22T00:00:00"/>
    <s v="Video"/>
    <s v="Sports"/>
    <s v="GCO – Platform Solutions, GCO – Industry Cloud "/>
    <x v="2"/>
    <s v="Global"/>
    <n v="862"/>
    <n v="3"/>
    <s v="-"/>
    <s v="-"/>
    <n v="63"/>
    <n v="0"/>
    <s v="-"/>
    <s v="-"/>
    <m/>
    <m/>
    <n v="925"/>
    <n v="3"/>
  </r>
  <r>
    <s v="SAP’s Fast and Furious Facts"/>
    <s v="Kesja Cichowski"/>
    <d v="2015-09-23T00:00:00"/>
    <m/>
    <s v="Corporate"/>
    <s v="Corporate"/>
    <x v="2"/>
    <s v="Global"/>
    <n v="1215"/>
    <n v="4"/>
    <s v="-"/>
    <s v="-"/>
    <s v="-"/>
    <s v="-"/>
    <s v="-"/>
    <s v="-"/>
    <m/>
    <m/>
    <n v="1215"/>
    <n v="4"/>
  </r>
  <r>
    <s v="Hackers Meet Their Match in SAP"/>
    <s v="Andreas Schmitz"/>
    <d v="2015-09-25T00:00:00"/>
    <m/>
    <s v="Innovation"/>
    <s v="GCO – Other"/>
    <x v="1"/>
    <s v="Global"/>
    <n v="1671"/>
    <n v="6"/>
    <s v="-"/>
    <s v="-"/>
    <s v="-"/>
    <s v="-"/>
    <s v="-"/>
    <s v="-"/>
    <m/>
    <m/>
    <n v="1671"/>
    <n v="6"/>
  </r>
  <r>
    <s v="Driving IT Innovation (Literally)"/>
    <s v="Michael Zipf"/>
    <d v="2015-09-25T00:00:00"/>
    <s v="Video"/>
    <s v="Innovation"/>
    <s v="P&amp;I (Research &amp; Development), GCO – Industry Cloud "/>
    <x v="1"/>
    <s v="Global"/>
    <n v="530"/>
    <n v="0"/>
    <s v="-"/>
    <s v="-"/>
    <n v="187"/>
    <n v="0"/>
    <n v="807"/>
    <n v="0"/>
    <m/>
    <m/>
    <n v="1524"/>
    <n v="0"/>
  </r>
  <r>
    <s v="When Smart Cities Fight Mother Nature"/>
    <s v="Judith Magyar"/>
    <d v="2015-09-25T00:00:00"/>
    <s v="Video"/>
    <s v="Innovation"/>
    <s v="GCO – Industry Cloud , GCO – Platform Solutions, GCO – Regions"/>
    <x v="2"/>
    <s v="LATAM"/>
    <n v="1209"/>
    <n v="9"/>
    <n v="1151"/>
    <n v="0"/>
    <n v="195"/>
    <n v="0"/>
    <s v="-"/>
    <s v="-"/>
    <m/>
    <m/>
    <n v="2555"/>
    <n v="9"/>
  </r>
  <r>
    <s v="Let's Get Real"/>
    <s v="Paul Taylor"/>
    <d v="2015-09-28T00:00:00"/>
    <m/>
    <s v="Innovation"/>
    <s v="GCO – Platform Solutions"/>
    <x v="1"/>
    <s v="Global"/>
    <n v="1187"/>
    <n v="2"/>
    <n v="982"/>
    <n v="0"/>
    <n v="114"/>
    <n v="0"/>
    <n v="787"/>
    <n v="0"/>
    <m/>
    <m/>
    <n v="3070"/>
    <n v="2"/>
  </r>
  <r>
    <s v="How to Design Digital Transformation"/>
    <s v="Sam Yen"/>
    <d v="2015-09-29T00:00:00"/>
    <m/>
    <s v="Innovation"/>
    <s v="P&amp;I (Research &amp; Development)"/>
    <x v="1"/>
    <s v="Global"/>
    <n v="1761"/>
    <n v="5"/>
    <n v="4650"/>
    <n v="1"/>
    <n v="275"/>
    <n v="0"/>
    <s v="-"/>
    <s v="-"/>
    <m/>
    <m/>
    <n v="6686"/>
    <n v="6"/>
  </r>
  <r>
    <s v="SAP Strategy, Live and In Color"/>
    <s v="Sarah Kellman"/>
    <d v="2015-09-30T00:00:00"/>
    <s v="Infographic, Video"/>
    <s v="Corporate"/>
    <s v="Corporate"/>
    <x v="1"/>
    <s v="Global"/>
    <n v="2814"/>
    <n v="11"/>
    <s v="-"/>
    <s v="-"/>
    <s v="-"/>
    <s v="-"/>
    <s v="-"/>
    <s v="-"/>
    <m/>
    <m/>
    <n v="2814"/>
    <n v="11"/>
  </r>
  <r>
    <s v="Wearable at Work – The SAP and Google Challenge"/>
    <s v="Thorsten Leiduck"/>
    <d v="2015-09-30T00:00:00"/>
    <m/>
    <s v="Innovation"/>
    <s v="P&amp;I (Research &amp; Development)"/>
    <x v="1"/>
    <s v="EMEA"/>
    <n v="1310"/>
    <n v="1"/>
    <s v="-"/>
    <s v="-"/>
    <n v="2180"/>
    <n v="0"/>
    <s v="-"/>
    <s v="-"/>
    <m/>
    <m/>
    <n v="3490"/>
    <n v="1"/>
  </r>
  <r>
    <s v="Ready, Set, Code! STEM’s Africa Road Show"/>
    <s v="Robin Meyerhoff"/>
    <d v="2015-10-01T00:00:00"/>
    <m/>
    <s v="Youth"/>
    <s v="Human Resources (SAP HR and employee stories)"/>
    <x v="1"/>
    <s v="EMEA"/>
    <n v="934"/>
    <n v="12"/>
    <s v="-"/>
    <s v="-"/>
    <n v="99"/>
    <n v="0"/>
    <n v="747"/>
    <n v="0"/>
    <s v="-"/>
    <s v="-"/>
    <n v="1780"/>
    <n v="12"/>
  </r>
  <r>
    <s v="Michael Kleinemeier Joins Executive Board"/>
    <s v="Judith Magyar"/>
    <d v="2015-10-08T00:00:00"/>
    <s v="Video"/>
    <s v="Corporate"/>
    <s v="Corporate"/>
    <x v="1"/>
    <s v="Global"/>
    <n v="3141"/>
    <n v="5"/>
    <s v="-"/>
    <s v="-"/>
    <n v="596"/>
    <n v="0"/>
    <s v="-"/>
    <s v="-"/>
    <s v="-"/>
    <s v="-"/>
    <n v="3737"/>
    <n v="5"/>
  </r>
  <r>
    <s v="And the Winner is…"/>
    <s v="Miriam Siebeking"/>
    <d v="2015-10-09T00:00:00"/>
    <m/>
    <s v="Corporate"/>
    <s v="Corporate"/>
    <x v="1"/>
    <s v="Global"/>
    <n v="1018"/>
    <n v="0"/>
    <s v="-"/>
    <s v="-"/>
    <s v="-"/>
    <s v="-"/>
    <s v="-"/>
    <s v="-"/>
    <s v="-"/>
    <s v="-"/>
    <n v="1018"/>
    <n v="0"/>
  </r>
  <r>
    <s v="One4: You Can Help the Refugee Crisis NOW"/>
    <s v="Robin Meyerhoff"/>
    <d v="2015-10-12T00:00:00"/>
    <s v="Video"/>
    <s v="Healthcare"/>
    <s v="Human Resources (SAP HR and employee stories)"/>
    <x v="1"/>
    <s v="EMEA"/>
    <n v="6484"/>
    <n v="21"/>
    <s v="-"/>
    <s v="-"/>
    <n v="1823"/>
    <n v="0"/>
    <s v="-"/>
    <s v="-"/>
    <s v="-"/>
    <s v="-"/>
    <n v="8307"/>
    <n v="21"/>
  </r>
  <r>
    <s v="Customer Hops Onto SAP HANA Express"/>
    <s v="Judith Magyar"/>
    <d v="2015-10-12T00:00:00"/>
    <s v="Video"/>
    <s v="Innovation"/>
    <s v="P&amp;I (Research &amp; Development), GCO – Industry Cloud "/>
    <x v="1"/>
    <s v="Global"/>
    <n v="662"/>
    <n v="9"/>
    <s v="-"/>
    <s v="-"/>
    <s v="-"/>
    <s v="-"/>
    <s v="-"/>
    <s v="-"/>
    <s v="-"/>
    <s v="-"/>
    <n v="662"/>
    <n v="9"/>
  </r>
  <r>
    <s v="SAP Expands HCM Suite with Multiposting"/>
    <s v="Paul Baur"/>
    <d v="2015-10-12T00:00:00"/>
    <m/>
    <s v="Corporate, Innovation"/>
    <s v="GCO – HR (SuccessFactors), P&amp;I (Research &amp; Development)"/>
    <x v="1"/>
    <s v="Global"/>
    <n v="727"/>
    <n v="2"/>
    <s v="-"/>
    <s v="-"/>
    <s v="-"/>
    <s v="-"/>
    <s v="-"/>
    <s v="-"/>
    <s v="-"/>
    <s v="-"/>
    <n v="727"/>
    <n v="2"/>
  </r>
  <r>
    <s v="Q3: Record Results in the Cloud"/>
    <s v="Paul Baur"/>
    <d v="2015-10-13T00:00:00"/>
    <m/>
    <s v="Corporate"/>
    <s v="GCO – Platform Solutions, GCO – Industry Cloud , Office of the CEO"/>
    <x v="1"/>
    <s v="Global"/>
    <n v="4459"/>
    <n v="10"/>
    <s v="-"/>
    <s v="-"/>
    <n v="1975"/>
    <n v="0"/>
    <s v="-"/>
    <s v="-"/>
    <s v="-"/>
    <s v="-"/>
    <n v="6434"/>
    <n v="10"/>
  </r>
  <r>
    <s v="The Play-by-Play on SAP Sports One"/>
    <s v="Andreas Schmitz"/>
    <d v="2015-10-13T00:00:00"/>
    <m/>
    <s v="Sports"/>
    <s v="GCO – Industry Cloud "/>
    <x v="2"/>
    <s v="Global"/>
    <n v="349"/>
    <n v="0"/>
    <s v="-"/>
    <s v="-"/>
    <n v="877"/>
    <n v="0"/>
    <s v="-"/>
    <s v="-"/>
    <s v="-"/>
    <s v="-"/>
    <n v="1226"/>
    <n v="0"/>
  </r>
  <r>
    <s v="#One4: The Power of One Idea"/>
    <s v="Michael Zipf"/>
    <d v="2015-10-15T00:00:00"/>
    <s v="Video"/>
    <s v="Corporate"/>
    <s v="Human Resources (SAP HR and employee stories)"/>
    <x v="1"/>
    <s v="Global"/>
    <n v="1968"/>
    <n v="16"/>
    <n v="737"/>
    <n v="0"/>
    <s v="-"/>
    <s v="-"/>
    <s v="-"/>
    <s v="-"/>
    <s v="-"/>
    <s v="-"/>
    <n v="2705"/>
    <n v="16"/>
  </r>
  <r>
    <s v="Innovation Deals a Blow Against Cancer"/>
    <s v="Stephan Magura"/>
    <d v="2015-10-15T00:00:00"/>
    <s v="Video"/>
    <s v="Healthcare, Innovation"/>
    <s v="P&amp;I (Research &amp; Development), GCO – Industry Cloud , Human Resources (SAP HR and employee stories)"/>
    <x v="1"/>
    <s v="Global"/>
    <n v="404"/>
    <n v="1"/>
    <s v="-"/>
    <s v="-"/>
    <s v="-"/>
    <s v="-"/>
    <s v="-"/>
    <s v="-"/>
    <s v="-"/>
    <s v="-"/>
    <n v="404"/>
    <n v="1"/>
  </r>
  <r>
    <s v="Coding the Future: Fresh Perspectives"/>
    <s v="Corinna Machmeier"/>
    <d v="2015-10-15T00:00:00"/>
    <s v="Video"/>
    <s v="Youth"/>
    <s v="Human Resources (SAP HR and employee stories)"/>
    <x v="1"/>
    <s v="Global"/>
    <n v="9"/>
    <n v="0"/>
    <s v="-"/>
    <s v="-"/>
    <n v="165"/>
    <n v="0"/>
    <n v="424"/>
    <n v="0"/>
    <s v="-"/>
    <s v="-"/>
    <n v="598"/>
    <n v="0"/>
  </r>
  <r>
    <s v="SAP HANA Support Packs a Punch"/>
    <s v="Andreas Schmitz"/>
    <d v="2015-10-16T00:00:00"/>
    <s v="Video, Infographic"/>
    <s v="Innovation"/>
    <s v="GCO – Industry Cloud "/>
    <x v="1"/>
    <s v="Global"/>
    <n v="532"/>
    <n v="0"/>
    <s v="-"/>
    <s v="-"/>
    <n v="869"/>
    <n v="0"/>
    <s v="-"/>
    <s v="-"/>
    <s v="-"/>
    <s v="-"/>
    <n v="1401"/>
    <n v="0"/>
  </r>
  <r>
    <s v="The Spirit of Solidarity"/>
    <s v="Stephan Magura"/>
    <d v="2015-10-19T00:00:00"/>
    <m/>
    <s v="Corporate"/>
    <s v="Human Resources (SAP HR and employee stories)"/>
    <x v="1"/>
    <s v="NA"/>
    <n v="2783"/>
    <n v="43"/>
    <s v="-"/>
    <s v="-"/>
    <s v="-"/>
    <s v="-"/>
    <s v="-"/>
    <s v="-"/>
    <s v="-"/>
    <s v="-"/>
    <n v="2783"/>
    <n v="43"/>
  </r>
  <r>
    <s v="Record Q3 Results Are Confirmed"/>
    <s v="Paul Baur"/>
    <d v="2015-10-20T00:00:00"/>
    <s v="Video"/>
    <s v="Corporate"/>
    <s v="GCO – Industry Cloud "/>
    <x v="1"/>
    <s v="Global"/>
    <n v="4307"/>
    <n v="3"/>
    <s v="-"/>
    <s v="-"/>
    <s v="-"/>
    <s v="-"/>
    <s v="-"/>
    <s v="-"/>
    <s v="-"/>
    <s v="-"/>
    <n v="4307"/>
    <n v="3"/>
  </r>
  <r>
    <s v="And the Winner Is…."/>
    <s v="Paul Taylor"/>
    <d v="2015-10-21T00:00:00"/>
    <s v="Video"/>
    <s v="Innovation"/>
    <s v="Business Network (Concur, Ariba, Fieldglass), Office of the CEO, P&amp;I (Research &amp; Development)"/>
    <x v="1"/>
    <s v="Global"/>
    <n v="7129"/>
    <n v="51"/>
    <s v="-"/>
    <s v="-"/>
    <n v="301"/>
    <n v="0"/>
    <n v="982"/>
    <n v="0"/>
    <s v="-"/>
    <s v="-"/>
    <n v="8412"/>
    <n v="51"/>
  </r>
  <r>
    <s v="“No Room for Complacency”"/>
    <s v="Paul Baur"/>
    <d v="2015-10-21T00:00:00"/>
    <s v="Video"/>
    <s v="Corporate"/>
    <s v="Office of the CEO"/>
    <x v="1"/>
    <s v="Global"/>
    <n v="3323"/>
    <n v="8"/>
    <s v="-"/>
    <s v="-"/>
    <s v="-"/>
    <s v="-"/>
    <s v="-"/>
    <s v="-"/>
    <s v="-"/>
    <s v="-"/>
    <n v="3323"/>
    <n v="8"/>
  </r>
  <r>
    <s v="SAP S/4HANA Goes Way off the Charts"/>
    <s v="Judith Magyar, Carolyn Coad"/>
    <d v="2015-10-21T00:00:00"/>
    <m/>
    <s v="Corporate"/>
    <s v="GCO – Platform Solutions"/>
    <x v="2"/>
    <s v="Global"/>
    <n v="1045"/>
    <n v="0"/>
    <s v="-"/>
    <s v="-"/>
    <n v="725"/>
    <n v="0"/>
    <s v="-"/>
    <s v="-"/>
    <s v="-"/>
    <s v="-"/>
    <n v="1770"/>
    <n v="0"/>
  </r>
  <r>
    <s v="The Disruptors – Where robots do the dirty work"/>
    <s v="Judith Magyar"/>
    <d v="2015-10-22T00:00:00"/>
    <m/>
    <s v="Innovation"/>
    <s v="GCO – Industry Cloud "/>
    <x v="2"/>
    <s v="LATAM"/>
    <n v="846"/>
    <n v="1"/>
    <s v="-"/>
    <s v="-"/>
    <n v="98"/>
    <n v="0"/>
    <n v="407"/>
    <n v="0"/>
    <s v="-"/>
    <s v="-"/>
    <n v="1351"/>
    <n v="1"/>
  </r>
  <r>
    <s v="The Quality Execution Principle"/>
    <s v="Stephan Magura"/>
    <d v="2015-10-23T00:00:00"/>
    <m/>
    <s v="Innovation"/>
    <s v="GCO – Industry Cloud , GCO – Services Sales"/>
    <x v="2"/>
    <s v="EMEA"/>
    <n v="623"/>
    <n v="3"/>
    <s v="-"/>
    <s v="-"/>
    <n v="211"/>
    <n v="1"/>
    <s v="-"/>
    <s v="-"/>
    <s v="-"/>
    <s v="-"/>
    <n v="834"/>
    <n v="4"/>
  </r>
  <r>
    <s v="From Leadership to Legacy"/>
    <s v="Judith Magyar"/>
    <d v="2015-10-28T00:00:00"/>
    <m/>
    <s v="Youth, Innovation"/>
    <s v="Office of the CEO"/>
    <x v="1"/>
    <s v="Global"/>
    <n v="4093"/>
    <n v="3"/>
    <s v="-"/>
    <s v="-"/>
    <s v="-"/>
    <s v="-"/>
    <s v="-"/>
    <s v="-"/>
    <s v="-"/>
    <s v="-"/>
    <n v="4093"/>
    <n v="3"/>
  </r>
  <r>
    <s v="Innovation, Entrepreneurialism, Courage: From AribaPay to Suseo Rail"/>
    <s v="Paul Baur"/>
    <d v="2015-11-01T00:00:00"/>
    <m/>
    <s v="Corporate"/>
    <s v="Corporate"/>
    <x v="1"/>
    <s v="Global"/>
    <n v="350"/>
    <n v="0"/>
    <s v="-"/>
    <s v="-"/>
    <s v="-"/>
    <s v="-"/>
    <s v="-"/>
    <s v="-"/>
    <s v="-"/>
    <s v="-"/>
    <n v="350"/>
    <n v="0"/>
  </r>
  <r>
    <s v="A Sporting Showcase for Technology"/>
    <s v="Judith Magyar"/>
    <d v="2015-11-04T00:00:00"/>
    <s v="Video"/>
    <s v="Sports"/>
    <s v="GCO – Platform Solutions"/>
    <x v="1"/>
    <s v="NA"/>
    <n v="1189"/>
    <n v="1"/>
    <s v="-"/>
    <s v="-"/>
    <n v="227"/>
    <n v="0"/>
    <n v="780"/>
    <n v="0"/>
    <s v="-"/>
    <s v="-"/>
    <n v="2196"/>
    <n v="1"/>
  </r>
  <r>
    <s v="What’s Got Turkey Talking?"/>
    <s v="Stephan Magura"/>
    <d v="2015-11-04T00:00:00"/>
    <m/>
    <s v="Innovation"/>
    <s v="Services Delivery &amp; Support (go-lives and deployments) "/>
    <x v="2"/>
    <s v="EMEA"/>
    <n v="690"/>
    <n v="0"/>
    <s v="-"/>
    <s v="-"/>
    <s v="-"/>
    <s v="-"/>
    <s v="-"/>
    <s v="-"/>
    <s v="-"/>
    <s v="-"/>
    <n v="690"/>
    <n v="0"/>
  </r>
  <r>
    <s v="Living Simple"/>
    <s v="Miriam Siebeking"/>
    <d v="2015-11-06T00:00:00"/>
    <s v="Video"/>
    <s v="Corporate"/>
    <s v="Corporate"/>
    <x v="1"/>
    <s v="Global"/>
    <n v="1297"/>
    <n v="1"/>
    <s v="-"/>
    <s v="-"/>
    <s v="-"/>
    <s v="-"/>
    <s v="-"/>
    <s v="-"/>
    <s v="-"/>
    <s v="-"/>
    <n v="1297"/>
    <n v="1"/>
  </r>
  <r>
    <s v="Computers and the Tyranny of the Present"/>
    <s v="Robin Meyerhoff"/>
    <d v="2015-11-10T00:00:00"/>
    <s v="Video"/>
    <s v="Innovation"/>
    <s v="Business Network (Concur, Ariba, Fieldglass), P&amp;I (Research &amp; Development), GCO – Industry Cloud "/>
    <x v="1"/>
    <s v="Global"/>
    <n v="1046"/>
    <n v="0"/>
    <n v="673"/>
    <n v="0"/>
    <n v="84"/>
    <n v="0"/>
    <n v="356"/>
    <n v="2"/>
    <s v="-"/>
    <s v="-"/>
    <n v="2159"/>
    <n v="2"/>
  </r>
  <r>
    <s v="Oil and Safety Mix Well in Azerbaijan"/>
    <s v="Judith Magyar"/>
    <d v="2015-11-10T00:00:00"/>
    <m/>
    <s v="Innovation"/>
    <s v="GCO – Industry Cloud "/>
    <x v="2"/>
    <s v="EMEA"/>
    <n v="879"/>
    <n v="1"/>
    <s v="-"/>
    <s v="-"/>
    <n v="61"/>
    <n v="0"/>
    <n v="221"/>
    <n v="0"/>
    <s v="-"/>
    <s v="-"/>
    <n v="1161"/>
    <n v="1"/>
  </r>
  <r>
    <s v="SAP on the Hill: 1 Minute Mini Series"/>
    <s v="Jackie Montesinos Suarez"/>
    <d v="2015-11-11T00:00:00"/>
    <s v="Video"/>
    <s v="Innovation, Sports"/>
    <s v="GCO – Other"/>
    <x v="1"/>
    <s v="NA"/>
    <n v="848"/>
    <n v="3"/>
    <s v="-"/>
    <s v="-"/>
    <s v="-"/>
    <s v="-"/>
    <s v="-"/>
    <s v="-"/>
    <s v="-"/>
    <s v="-"/>
    <n v="848"/>
    <n v="3"/>
  </r>
  <r>
    <s v="Data Dilemma"/>
    <s v="Paul Taylor"/>
    <d v="2015-11-12T00:00:00"/>
    <s v="Video"/>
    <s v="Innovation"/>
    <s v="GCO – Platform Solutions"/>
    <x v="1"/>
    <s v="EMEA, NA"/>
    <n v="2835"/>
    <n v="10"/>
    <s v="-"/>
    <s v="-"/>
    <n v="76"/>
    <n v="0"/>
    <n v="313"/>
    <n v="0"/>
    <s v="-"/>
    <s v="-"/>
    <n v="3224"/>
    <n v="10"/>
  </r>
  <r>
    <s v="Heralding the Future"/>
    <s v="Judith Magyar"/>
    <d v="2015-11-12T00:00:00"/>
    <m/>
    <s v="Innovation"/>
    <s v="GCO – Industry Cloud , GCO – Platform Solutions"/>
    <x v="1"/>
    <s v="EMEA"/>
    <n v="2897"/>
    <n v="10"/>
    <s v="-"/>
    <s v="-"/>
    <n v="236"/>
    <n v="0"/>
    <s v="-"/>
    <s v="-"/>
    <s v="-"/>
    <s v="-"/>
    <n v="3133"/>
    <n v="10"/>
  </r>
  <r>
    <s v="Vive la France"/>
    <s v="Paul Taylor"/>
    <d v="2015-11-14T00:00:00"/>
    <m/>
    <s v="Corporate"/>
    <s v="Human Resources (SAP HR and employee stories), Corporate"/>
    <x v="1"/>
    <s v="EMEA"/>
    <n v="6411"/>
    <n v="58"/>
    <s v="-"/>
    <s v="-"/>
    <s v="-"/>
    <s v="-"/>
    <s v="-"/>
    <s v="-"/>
    <s v="-"/>
    <s v="-"/>
    <n v="6411"/>
    <n v="58"/>
  </r>
  <r>
    <s v="SAP Employees Break Volunteering Record"/>
    <s v="Patricia Crazzolara, Kesja Cichowski"/>
    <d v="2015-11-17T00:00:00"/>
    <s v="Video"/>
    <s v="Corporate"/>
    <s v="Human Resources (SAP HR and employee stories)"/>
    <x v="1"/>
    <s v="EMEA"/>
    <n v="1700"/>
    <n v="24"/>
    <s v="-"/>
    <s v="-"/>
    <n v="84"/>
    <n v="0"/>
    <s v="-"/>
    <s v="-"/>
    <s v="-"/>
    <s v="-"/>
    <n v="1784"/>
    <n v="24"/>
  </r>
  <r>
    <s v="What Moved You Most in 2015?"/>
    <s v="Stephan Magura"/>
    <d v="2015-11-20T00:00:00"/>
    <m/>
    <s v="Corporate"/>
    <s v="Human Resources (SAP HR and employee stories)"/>
    <x v="1"/>
    <s v="Global"/>
    <n v="1641"/>
    <n v="1"/>
    <s v="-"/>
    <s v="-"/>
    <s v="-"/>
    <s v="-"/>
    <s v="-"/>
    <s v="-"/>
    <s v="-"/>
    <s v="-"/>
    <n v="1641"/>
    <n v="1"/>
  </r>
  <r>
    <s v="SAP’s Light Bulb Moment"/>
    <s v="Corinna Machmeier"/>
    <d v="2015-11-23T00:00:00"/>
    <s v="Video"/>
    <s v="Corporate, Youth"/>
    <s v="Human Resources (SAP HR and employee stories)"/>
    <x v="1"/>
    <s v="EMEA"/>
    <n v="1349"/>
    <n v="4"/>
    <s v="-"/>
    <s v="-"/>
    <n v="178"/>
    <n v="0"/>
    <s v="-"/>
    <s v="-"/>
    <s v="-"/>
    <s v="-"/>
    <n v="1527"/>
    <n v="4"/>
  </r>
  <r>
    <s v="SAP Aces Corporate Equality Index for LGBT Inclusion"/>
    <s v="Robin Meyerhoff"/>
    <d v="2015-11-24T00:00:00"/>
    <s v="Infographic"/>
    <s v="Corporate"/>
    <s v="Human Resources (SAP HR and employee stories), Corporate, Office of the CEO"/>
    <x v="1"/>
    <s v="Global"/>
    <n v="2998"/>
    <n v="25"/>
    <s v="-"/>
    <s v="-"/>
    <n v="117"/>
    <n v="0"/>
    <n v="562"/>
    <n v="2"/>
    <s v="-"/>
    <s v="-"/>
    <n v="3677"/>
    <n v="27"/>
  </r>
  <r>
    <s v="Funding a Worthy Cause"/>
    <s v="Stephan Magura"/>
    <d v="2015-11-24T00:00:00"/>
    <m/>
    <s v="Corporate"/>
    <s v="Human Resources (SAP HR and employee stories)"/>
    <x v="1"/>
    <s v="EMEA"/>
    <n v="1829"/>
    <n v="4"/>
    <s v="-"/>
    <s v="-"/>
    <s v="-"/>
    <s v="-"/>
    <s v="-"/>
    <s v="-"/>
    <s v="-"/>
    <s v="-"/>
    <n v="1829"/>
    <n v="4"/>
  </r>
  <r>
    <s v="Dare to Be More Human"/>
    <s v="Stephan Magura"/>
    <d v="2015-11-25T00:00:00"/>
    <s v="Video"/>
    <s v="Innovation"/>
    <s v="Services Delivery &amp; Support (go-lives and deployments) "/>
    <x v="1"/>
    <s v="EMEA"/>
    <n v="1779"/>
    <n v="2"/>
    <s v="-"/>
    <s v="-"/>
    <s v="-"/>
    <s v="-"/>
    <s v="-"/>
    <s v="-"/>
    <s v="-"/>
    <s v="-"/>
    <n v="1779"/>
    <n v="2"/>
  </r>
  <r>
    <s v="Delivering on a Promise"/>
    <s v="Paul Taylor"/>
    <d v="2015-11-25T00:00:00"/>
    <s v="Video"/>
    <s v="Innovation"/>
    <s v="GCO – Platform Solutions, Business Network (Concur, Ariba, Fieldglass)"/>
    <x v="1"/>
    <s v="Global"/>
    <n v="2047"/>
    <n v="0"/>
    <s v="-"/>
    <s v="-"/>
    <s v="-"/>
    <s v="-"/>
    <n v="1393"/>
    <n v="0"/>
    <s v="-"/>
    <s v="-"/>
    <n v="3440"/>
    <n v="0"/>
  </r>
  <r>
    <s v="“I Love to Score Goals”"/>
    <s v="Paul Baur, Alexander Januschke, Natalie Hauck"/>
    <d v="2015-11-27T00:00:00"/>
    <s v="Video"/>
    <s v="Corporate, Sports"/>
    <s v="Human Resources (SAP HR and employee stories)"/>
    <x v="1"/>
    <s v="EMEA"/>
    <n v="8691"/>
    <n v="18"/>
    <s v="-"/>
    <s v="-"/>
    <s v="-"/>
    <s v="-"/>
    <n v="226"/>
    <n v="0"/>
    <s v="-"/>
    <s v="-"/>
    <n v="8917"/>
    <n v="18"/>
  </r>
  <r>
    <s v="Time is Running Out"/>
    <s v="Michael Zipf"/>
    <d v="2015-11-27T00:00:00"/>
    <m/>
    <s v="Corporate"/>
    <s v="Corporate"/>
    <x v="1"/>
    <s v="Global"/>
    <n v="525"/>
    <n v="4"/>
    <s v="-"/>
    <s v="-"/>
    <s v="-"/>
    <s v="-"/>
    <s v="-"/>
    <s v="-"/>
    <s v="-"/>
    <s v="-"/>
    <n v="525"/>
    <n v="4"/>
  </r>
  <r>
    <s v="“We Can Help Mitigate the Risks”"/>
    <s v="SAP News"/>
    <d v="2015-11-30T00:00:00"/>
    <m/>
    <s v="Corporate, Innovation"/>
    <s v="Office of the CEO, Corporate, GCO – Industry Cloud "/>
    <x v="1"/>
    <s v="Global"/>
    <n v="1310"/>
    <n v="2"/>
    <s v="-"/>
    <s v="-"/>
    <s v="-"/>
    <s v="-"/>
    <s v="-"/>
    <s v="-"/>
    <s v="-"/>
    <s v="-"/>
    <n v="1310"/>
    <n v="2"/>
  </r>
  <r>
    <s v="The Connected Stadium @ FC Bayern Munich"/>
    <s v="Michael Nuesslein "/>
    <d v="2015-12-02T00:00:00"/>
    <s v="Video"/>
    <s v="Sports"/>
    <s v="GCO – Industry Cloud , GCO – Platform Solutions"/>
    <x v="2"/>
    <s v="EMEA"/>
    <n v="2336"/>
    <n v="5"/>
    <s v="-"/>
    <s v="-"/>
    <m/>
    <m/>
    <s v="-"/>
    <s v="-"/>
    <s v="-"/>
    <s v="-"/>
    <n v="2336"/>
    <n v="5"/>
  </r>
  <r>
    <s v="Totems of Technology"/>
    <s v="Corinna Machmeier "/>
    <d v="2015-12-03T00:00:00"/>
    <s v="Video"/>
    <s v="Youth, Innovation"/>
    <s v="Corporate, P&amp;I (Research &amp; Development)"/>
    <x v="1"/>
    <s v="NA"/>
    <n v="473"/>
    <n v="0"/>
    <s v="-"/>
    <s v="-"/>
    <m/>
    <m/>
    <s v="-"/>
    <s v="-"/>
    <s v="-"/>
    <s v="-"/>
    <n v="473"/>
    <n v="0"/>
  </r>
  <r>
    <s v="How Cities Are Turning Down the Heat"/>
    <s v="Judith Magyar "/>
    <d v="2015-12-03T00:00:00"/>
    <s v="Video"/>
    <s v="Corporate"/>
    <s v="GCO – Industry Cloud , GCO – Platform Solutions, P&amp;I (Research &amp; Development)"/>
    <x v="1"/>
    <s v="EMEA, NA"/>
    <n v="186"/>
    <n v="0"/>
    <s v="-"/>
    <s v="-"/>
    <m/>
    <m/>
    <s v="-"/>
    <s v="-"/>
    <s v="-"/>
    <s v="-"/>
    <n v="186"/>
    <n v="0"/>
  </r>
  <r>
    <s v="And the Winner is…"/>
    <s v="Miriam Siebeking"/>
    <d v="2015-12-04T00:00:00"/>
    <m/>
    <s v="Corporate"/>
    <s v="Corporate, Human Resources (SAP HR and employee stories)"/>
    <x v="1"/>
    <s v="Global"/>
    <n v="2914"/>
    <n v="10"/>
    <s v="-"/>
    <s v="-"/>
    <m/>
    <m/>
    <s v="-"/>
    <s v="-"/>
    <s v="-"/>
    <s v="-"/>
    <n v="2914"/>
    <n v="10"/>
  </r>
  <r>
    <s v="Enter the Green Cloud"/>
    <s v="Michael Zipf"/>
    <d v="2015-12-04T00:00:00"/>
    <m/>
    <s v="Corporate, Innovation"/>
    <s v="GCO – Other, GCO – Industry Cloud "/>
    <x v="1"/>
    <s v="Global"/>
    <n v="176"/>
    <n v="0"/>
    <s v="-"/>
    <s v="-"/>
    <m/>
    <m/>
    <s v="-"/>
    <s v="-"/>
    <n v="83805"/>
    <n v="7"/>
    <n v="176"/>
    <n v="0"/>
  </r>
  <r>
    <s v="Steve Lucas Talks SAP HANA"/>
    <s v="Jon Leiberman"/>
    <d v="2015-12-05T00:00:00"/>
    <m/>
    <s v="Innovation, Corporate"/>
    <s v="GCO – Industry Cloud "/>
    <x v="1"/>
    <s v="Global"/>
    <n v="83"/>
    <n v="0"/>
    <s v="-"/>
    <s v="-"/>
    <m/>
    <m/>
    <s v="-"/>
    <s v="-"/>
    <n v="80370"/>
    <n v="4"/>
    <n v="83"/>
    <n v="0"/>
  </r>
  <r>
    <s v="Steve Lucas – SAP HANA DELIVERS!"/>
    <s v="Steve Lucas, Jon Leiberman "/>
    <d v="2015-12-07T00:00:00"/>
    <s v="Video"/>
    <s v="Innovation"/>
    <s v="GCO – Industry Cloud "/>
    <x v="1"/>
    <s v="Global"/>
    <n v="2117"/>
    <n v="9"/>
    <s v="-"/>
    <s v="-"/>
    <m/>
    <m/>
    <s v="-"/>
    <s v="-"/>
    <s v="-"/>
    <s v="-"/>
    <n v="2117"/>
    <n v="9"/>
  </r>
  <r>
    <s v="Putting Trees Back Where They Belong"/>
    <s v="Michael Zipf"/>
    <d v="2015-12-07T00:00:00"/>
    <s v="Video"/>
    <s v="Corporate, Innovation"/>
    <s v="Corporate, GCO – Industry Cloud "/>
    <x v="1"/>
    <s v="Global"/>
    <n v="244"/>
    <n v="0"/>
    <s v="-"/>
    <s v="-"/>
    <m/>
    <m/>
    <s v="-"/>
    <s v="-"/>
    <n v="83125"/>
    <n v="6"/>
    <n v="244"/>
    <n v="0"/>
  </r>
  <r>
    <s v="SAP HANA, Now More Than Ever"/>
    <s v="Robin Meyerhoff "/>
    <d v="2015-12-08T00:00:00"/>
    <s v="Video"/>
    <s v="Innovation, Sports"/>
    <s v="GCO – Industry Cloud , GCO – Platform Solutions"/>
    <x v="2"/>
    <s v="Global"/>
    <n v="1892"/>
    <n v="1"/>
    <s v="-"/>
    <s v="-"/>
    <m/>
    <m/>
    <s v="-"/>
    <s v="-"/>
    <s v="-"/>
    <s v="-"/>
    <n v="1892"/>
    <n v="1"/>
  </r>
  <r>
    <s v="The Platform for Everyone"/>
    <s v="Stephan Magura, Thomas Leonhardi "/>
    <d v="2015-12-08T00:00:00"/>
    <s v="Video"/>
    <s v="Innovation"/>
    <s v="GCO – Industry Cloud "/>
    <x v="2"/>
    <s v="Global"/>
    <n v="1794"/>
    <n v="1"/>
    <s v="-"/>
    <s v="-"/>
    <m/>
    <m/>
    <s v="-"/>
    <s v="-"/>
    <s v="-"/>
    <s v="-"/>
    <n v="1794"/>
    <n v="1"/>
  </r>
  <r>
    <s v="Parking Made Painless"/>
    <s v="Michael Zipf"/>
    <d v="2015-12-09T00:00:00"/>
    <s v="Video"/>
    <s v="Innovation"/>
    <s v="GCO – Industry Cloud , P&amp;I (Research &amp; Development)"/>
    <x v="1"/>
    <s v="NA"/>
    <n v="326"/>
    <n v="1"/>
    <s v="-"/>
    <s v="-"/>
    <m/>
    <m/>
    <s v="-"/>
    <s v="-"/>
    <n v="82457"/>
    <n v="6"/>
    <n v="326"/>
    <n v="1"/>
  </r>
  <r>
    <s v="SAP HANA Healthcare – Dawn of New Era"/>
    <s v="Paul Taylor"/>
    <d v="2015-12-10T00:00:00"/>
    <s v="Video"/>
    <s v="Healthcare, Innovation"/>
    <s v="GCO – Platform Solutions, GCO – Industry Cloud "/>
    <x v="2"/>
    <s v="Global"/>
    <n v="1016"/>
    <n v="1"/>
    <s v="-"/>
    <s v="-"/>
    <m/>
    <m/>
    <s v="-"/>
    <s v="-"/>
    <s v="-"/>
    <s v="-"/>
    <n v="1016"/>
    <n v="1"/>
  </r>
  <r>
    <s v="The Digital Rescuer"/>
    <s v="Paul Baur, Natalie Hauck, Alexander Januschke "/>
    <d v="2015-12-11T00:00:00"/>
    <s v="Video"/>
    <s v="Innovation, Sports"/>
    <s v="GCO – Platform Solutions"/>
    <x v="1"/>
    <s v="EMEA"/>
    <n v="1636"/>
    <n v="13"/>
    <s v="-"/>
    <s v="-"/>
    <m/>
    <m/>
    <n v="209"/>
    <n v="0"/>
    <n v="80955"/>
    <n v="2"/>
    <n v="1845"/>
    <n v="13"/>
  </r>
  <r>
    <s v="Difference Makers!"/>
    <s v="Megan Meany"/>
    <d v="2015-12-13T00:00:00"/>
    <m/>
    <s v="Innovation"/>
    <s v="GCO – Industry Cloud "/>
    <x v="2"/>
    <s v="NA"/>
    <n v="41"/>
    <n v="0"/>
    <s v="-"/>
    <s v="-"/>
    <m/>
    <m/>
    <s v="-"/>
    <s v="-"/>
    <n v="81447"/>
    <n v="9"/>
    <n v="41"/>
    <n v="0"/>
  </r>
  <r>
    <s v="Crescent Garden Runs Simple!"/>
    <s v="Jon Leiberman"/>
    <d v="2015-12-14T00:00:00"/>
    <m/>
    <s v="Innovation"/>
    <s v="GCO – Industry Cloud "/>
    <x v="2"/>
    <s v="NA"/>
    <n v="36"/>
    <n v="0"/>
    <s v="-"/>
    <s v="-"/>
    <m/>
    <m/>
    <s v="-"/>
    <s v="-"/>
    <n v="14016"/>
    <n v="0"/>
    <n v="36"/>
    <n v="0"/>
  </r>
  <r>
    <s v="Digital India on the Rise"/>
    <s v="Robin Meyerhoff"/>
    <d v="2015-12-15T00:00:00"/>
    <s v="Infographic"/>
    <s v="Corporate"/>
    <s v="GCO – Regions, Human Resources (SAP HR and employee stories), Office of the CEO, GCO – Industry Cloud "/>
    <x v="1"/>
    <s v="APJ"/>
    <n v="3542"/>
    <n v="16"/>
    <s v="-"/>
    <s v="-"/>
    <m/>
    <m/>
    <n v="1684"/>
    <n v="0"/>
    <s v="-"/>
    <s v="-"/>
    <n v="5226"/>
    <n v="16"/>
  </r>
  <r>
    <s v="How Brazil’s River People Can Save the Amazon"/>
    <s v="Renata Pompeu Pividal, Robin Meyerhoff"/>
    <d v="2015-12-15T00:00:00"/>
    <s v="Video"/>
    <s v="Innovation, Youth"/>
    <s v="Human Resources (SAP HR and employee stories), GCO – Platform Solutions, Office of the CEO, GCO – Regions"/>
    <x v="2"/>
    <s v="LATAM"/>
    <n v="1095"/>
    <n v="10"/>
    <n v="2424"/>
    <n v="0"/>
    <m/>
    <m/>
    <n v="529"/>
    <n v="0"/>
    <n v="81853"/>
    <n v="6"/>
    <n v="4048"/>
    <n v="10"/>
  </r>
  <r>
    <s v="Advise and Consult"/>
    <s v="Stephan Magura"/>
    <d v="2015-12-16T00:00:00"/>
    <s v="Video"/>
    <s v="Corporate"/>
    <s v="GCO – Industry Cloud , Services Delivery &amp; Support (go-lives and deployments) "/>
    <x v="1"/>
    <s v="Global"/>
    <n v="1629"/>
    <n v="4"/>
    <s v="-"/>
    <s v="-"/>
    <s v="TBC"/>
    <s v="TBC"/>
    <s v="-"/>
    <s v="-"/>
    <n v="84108"/>
    <n v="2"/>
    <n v="1629"/>
    <n v="4"/>
  </r>
  <r>
    <s v="Social Business Takes Root in Eastern Europe"/>
    <s v="Robin Meyerhoff"/>
    <d v="2015-12-17T00:00:00"/>
    <m/>
    <s v="Corporate, Youth, Innovation"/>
    <s v="Human Resources (SAP HR and employee stories), GCO – Regions"/>
    <x v="1"/>
    <s v="EMEA"/>
    <n v="1532"/>
    <n v="7"/>
    <s v="-"/>
    <s v="-"/>
    <m/>
    <m/>
    <n v="556"/>
    <n v="0"/>
    <s v="-"/>
    <s v="-"/>
    <n v="2088"/>
    <n v="7"/>
  </r>
  <r>
    <s v="Siemens Industry: Three Pillars Bolster the First “Big Thing”"/>
    <s v="Andreas Schmitz"/>
    <d v="2015-12-18T00:00:00"/>
    <m/>
    <s v="Innovation"/>
    <s v="GCO – Industry Cloud "/>
    <x v="2"/>
    <s v="Global"/>
    <s v="-"/>
    <s v="-"/>
    <s v="-"/>
    <s v="-"/>
    <s v="TBC"/>
    <s v="TBC"/>
    <s v="-"/>
    <s v="-"/>
    <n v="83197"/>
    <n v="3"/>
    <n v="0"/>
    <n v="0"/>
  </r>
  <r>
    <s v="11 Real World Examples of Digital Transformation "/>
    <s v="Andreas Schmitz"/>
    <d v="2015-12-21T00:00:00"/>
    <m/>
    <s v="Innovation, Corporate"/>
    <s v="GCO – Industry Cloud , GCO – Platform Solutions"/>
    <x v="2"/>
    <s v="EMEA"/>
    <s v="-"/>
    <s v="-"/>
    <s v="-"/>
    <s v="-"/>
    <s v="TBC"/>
    <s v="TBC"/>
    <s v="-"/>
    <s v="-"/>
    <n v="81655"/>
    <n v="11"/>
    <n v="0"/>
    <n v="0"/>
  </r>
  <r>
    <s v="Employees Support Relief Efforts in Chennai"/>
    <s v="Paul Baur"/>
    <d v="2015-12-23T00:00:00"/>
    <m/>
    <s v="Corporate"/>
    <s v="Human Resources (SAP HR and employee stories)"/>
    <x v="1"/>
    <s v="APJ"/>
    <n v="1381"/>
    <n v="13"/>
    <s v="-"/>
    <s v="-"/>
    <m/>
    <m/>
    <s v="-"/>
    <s v="-"/>
    <s v="-"/>
    <s v="-"/>
    <n v="1381"/>
    <n v="13"/>
  </r>
  <r>
    <s v="Laughing All the Way to the Bank"/>
    <s v="Judith Magyar "/>
    <d v="2015-12-23T00:00:00"/>
    <s v="Video"/>
    <s v="Innovation"/>
    <s v="GCO – Services Sales"/>
    <x v="2"/>
    <s v="LATAM"/>
    <n v="1682"/>
    <n v="11"/>
    <s v="-"/>
    <s v="-"/>
    <m/>
    <m/>
    <s v="-"/>
    <s v="-"/>
    <s v="-"/>
    <s v="-"/>
    <n v="1682"/>
    <n v="11"/>
  </r>
  <r>
    <m/>
    <m/>
    <m/>
    <m/>
    <m/>
    <m/>
    <x v="0"/>
    <m/>
    <m/>
    <m/>
    <m/>
    <m/>
    <m/>
    <m/>
    <m/>
    <m/>
    <m/>
    <m/>
    <n v="0"/>
    <n v="0"/>
  </r>
  <r>
    <m/>
    <m/>
    <m/>
    <m/>
    <m/>
    <m/>
    <x v="0"/>
    <m/>
    <m/>
    <m/>
    <m/>
    <m/>
    <m/>
    <m/>
    <m/>
    <m/>
    <m/>
    <m/>
    <n v="0"/>
    <n v="0"/>
  </r>
  <r>
    <m/>
    <m/>
    <m/>
    <m/>
    <m/>
    <m/>
    <x v="0"/>
    <m/>
    <m/>
    <m/>
    <m/>
    <m/>
    <m/>
    <m/>
    <m/>
    <m/>
    <m/>
    <m/>
    <n v="0"/>
    <n v="0"/>
  </r>
  <r>
    <m/>
    <m/>
    <m/>
    <m/>
    <m/>
    <m/>
    <x v="0"/>
    <m/>
    <m/>
    <m/>
    <m/>
    <m/>
    <m/>
    <m/>
    <m/>
    <m/>
    <m/>
    <m/>
    <n v="0"/>
    <n v="0"/>
  </r>
  <r>
    <m/>
    <m/>
    <m/>
    <m/>
    <m/>
    <m/>
    <x v="0"/>
    <m/>
    <m/>
    <m/>
    <m/>
    <m/>
    <m/>
    <m/>
    <m/>
    <m/>
    <m/>
    <m/>
    <n v="0"/>
    <n v="0"/>
  </r>
  <r>
    <m/>
    <m/>
    <m/>
    <m/>
    <m/>
    <m/>
    <x v="0"/>
    <m/>
    <m/>
    <m/>
    <m/>
    <m/>
    <m/>
    <m/>
    <m/>
    <m/>
    <m/>
    <m/>
    <n v="0"/>
    <n v="0"/>
  </r>
  <r>
    <m/>
    <m/>
    <m/>
    <m/>
    <m/>
    <m/>
    <x v="0"/>
    <m/>
    <m/>
    <m/>
    <m/>
    <m/>
    <m/>
    <m/>
    <m/>
    <m/>
    <m/>
    <m/>
    <n v="0"/>
    <n v="0"/>
  </r>
  <r>
    <m/>
    <m/>
    <m/>
    <m/>
    <m/>
    <m/>
    <x v="0"/>
    <m/>
    <m/>
    <m/>
    <m/>
    <m/>
    <m/>
    <m/>
    <m/>
    <m/>
    <m/>
    <m/>
    <n v="0"/>
    <n v="0"/>
  </r>
  <r>
    <m/>
    <m/>
    <m/>
    <m/>
    <m/>
    <m/>
    <x v="0"/>
    <m/>
    <m/>
    <m/>
    <m/>
    <m/>
    <m/>
    <m/>
    <m/>
    <m/>
    <m/>
    <m/>
    <n v="0"/>
    <n v="0"/>
  </r>
  <r>
    <m/>
    <m/>
    <m/>
    <m/>
    <m/>
    <m/>
    <x v="0"/>
    <m/>
    <m/>
    <m/>
    <m/>
    <m/>
    <m/>
    <m/>
    <m/>
    <m/>
    <m/>
    <m/>
    <n v="0"/>
    <n v="0"/>
  </r>
  <r>
    <m/>
    <m/>
    <m/>
    <m/>
    <m/>
    <m/>
    <x v="0"/>
    <m/>
    <m/>
    <m/>
    <m/>
    <m/>
    <m/>
    <m/>
    <m/>
    <m/>
    <m/>
    <m/>
    <n v="0"/>
    <n v="0"/>
  </r>
  <r>
    <m/>
    <m/>
    <m/>
    <m/>
    <m/>
    <m/>
    <x v="0"/>
    <m/>
    <m/>
    <m/>
    <m/>
    <m/>
    <m/>
    <m/>
    <m/>
    <m/>
    <m/>
    <m/>
    <n v="0"/>
    <n v="0"/>
  </r>
  <r>
    <m/>
    <m/>
    <m/>
    <m/>
    <m/>
    <m/>
    <x v="0"/>
    <m/>
    <m/>
    <m/>
    <m/>
    <m/>
    <m/>
    <m/>
    <m/>
    <m/>
    <m/>
    <m/>
    <n v="0"/>
    <n v="0"/>
  </r>
  <r>
    <m/>
    <m/>
    <m/>
    <m/>
    <m/>
    <m/>
    <x v="0"/>
    <m/>
    <m/>
    <m/>
    <m/>
    <m/>
    <m/>
    <m/>
    <m/>
    <m/>
    <m/>
    <m/>
    <n v="0"/>
    <n v="0"/>
  </r>
  <r>
    <m/>
    <m/>
    <m/>
    <m/>
    <m/>
    <m/>
    <x v="0"/>
    <m/>
    <m/>
    <m/>
    <m/>
    <m/>
    <m/>
    <m/>
    <m/>
    <m/>
    <m/>
    <m/>
    <n v="0"/>
    <n v="0"/>
  </r>
  <r>
    <m/>
    <m/>
    <m/>
    <m/>
    <m/>
    <m/>
    <x v="0"/>
    <m/>
    <m/>
    <m/>
    <m/>
    <m/>
    <m/>
    <m/>
    <m/>
    <m/>
    <m/>
    <m/>
    <n v="0"/>
    <n v="0"/>
  </r>
  <r>
    <m/>
    <m/>
    <m/>
    <m/>
    <m/>
    <m/>
    <x v="0"/>
    <m/>
    <m/>
    <m/>
    <m/>
    <m/>
    <m/>
    <m/>
    <m/>
    <m/>
    <m/>
    <m/>
    <n v="0"/>
    <n v="0"/>
  </r>
  <r>
    <m/>
    <m/>
    <m/>
    <m/>
    <m/>
    <m/>
    <x v="0"/>
    <m/>
    <m/>
    <m/>
    <m/>
    <m/>
    <m/>
    <m/>
    <m/>
    <m/>
    <m/>
    <m/>
    <n v="0"/>
    <n v="0"/>
  </r>
  <r>
    <m/>
    <m/>
    <m/>
    <m/>
    <m/>
    <m/>
    <x v="0"/>
    <m/>
    <m/>
    <m/>
    <m/>
    <m/>
    <m/>
    <m/>
    <m/>
    <m/>
    <m/>
    <m/>
    <n v="0"/>
    <n v="0"/>
  </r>
  <r>
    <m/>
    <m/>
    <m/>
    <m/>
    <m/>
    <m/>
    <x v="0"/>
    <m/>
    <m/>
    <m/>
    <m/>
    <m/>
    <m/>
    <m/>
    <m/>
    <m/>
    <m/>
    <m/>
    <n v="0"/>
    <n v="0"/>
  </r>
  <r>
    <m/>
    <m/>
    <m/>
    <m/>
    <m/>
    <m/>
    <x v="0"/>
    <m/>
    <m/>
    <m/>
    <m/>
    <m/>
    <m/>
    <m/>
    <m/>
    <m/>
    <m/>
    <m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pivotTable1.xml><?xml version="1.0" encoding="utf-8"?>
<pivotTableDefinition xmlns="http://schemas.openxmlformats.org/spreadsheetml/2006/main" name="PivotTable5" cacheId="8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B112" firstHeaderRow="1" firstDataRow="1" firstDataCol="1"/>
  <pivotFields count="2">
    <pivotField dataField="1" showAll="0"/>
    <pivotField axis="axisRow" showAll="0" sortType="descending">
      <items count="109">
        <item x="12"/>
        <item x="83"/>
        <item x="58"/>
        <item x="31"/>
        <item x="42"/>
        <item x="64"/>
        <item x="73"/>
        <item x="76"/>
        <item x="51"/>
        <item x="43"/>
        <item x="36"/>
        <item x="70"/>
        <item x="91"/>
        <item x="27"/>
        <item x="22"/>
        <item x="82"/>
        <item x="59"/>
        <item x="80"/>
        <item x="61"/>
        <item x="49"/>
        <item x="50"/>
        <item x="32"/>
        <item x="21"/>
        <item x="72"/>
        <item x="23"/>
        <item x="100"/>
        <item x="66"/>
        <item x="19"/>
        <item x="11"/>
        <item x="46"/>
        <item x="55"/>
        <item x="63"/>
        <item x="44"/>
        <item x="52"/>
        <item x="45"/>
        <item x="54"/>
        <item x="79"/>
        <item x="86"/>
        <item x="84"/>
        <item x="33"/>
        <item x="34"/>
        <item x="77"/>
        <item x="88"/>
        <item x="15"/>
        <item x="48"/>
        <item x="25"/>
        <item x="89"/>
        <item x="17"/>
        <item x="101"/>
        <item x="3"/>
        <item x="99"/>
        <item x="95"/>
        <item x="68"/>
        <item x="28"/>
        <item x="30"/>
        <item x="92"/>
        <item x="35"/>
        <item x="57"/>
        <item x="67"/>
        <item x="106"/>
        <item x="98"/>
        <item x="1"/>
        <item x="71"/>
        <item x="8"/>
        <item x="60"/>
        <item x="38"/>
        <item x="90"/>
        <item x="26"/>
        <item x="96"/>
        <item x="2"/>
        <item x="97"/>
        <item x="105"/>
        <item x="6"/>
        <item x="56"/>
        <item x="5"/>
        <item x="78"/>
        <item x="107"/>
        <item x="65"/>
        <item x="13"/>
        <item x="18"/>
        <item x="103"/>
        <item x="93"/>
        <item x="7"/>
        <item x="10"/>
        <item x="4"/>
        <item x="29"/>
        <item x="81"/>
        <item x="87"/>
        <item x="14"/>
        <item x="62"/>
        <item x="104"/>
        <item x="53"/>
        <item x="102"/>
        <item x="20"/>
        <item x="16"/>
        <item x="40"/>
        <item x="41"/>
        <item x="85"/>
        <item x="37"/>
        <item x="75"/>
        <item x="94"/>
        <item x="24"/>
        <item x="47"/>
        <item x="69"/>
        <item x="9"/>
        <item x="39"/>
        <item x="74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1"/>
  </rowFields>
  <rowItems count="109">
    <i>
      <x v="49"/>
    </i>
    <i>
      <x v="69"/>
    </i>
    <i>
      <x v="72"/>
    </i>
    <i>
      <x v="61"/>
    </i>
    <i>
      <x v="88"/>
    </i>
    <i>
      <x v="79"/>
    </i>
    <i>
      <x v="63"/>
    </i>
    <i>
      <x v="94"/>
    </i>
    <i>
      <x v="104"/>
    </i>
    <i>
      <x v="34"/>
    </i>
    <i>
      <x v="5"/>
    </i>
    <i>
      <x v="4"/>
    </i>
    <i>
      <x v="39"/>
    </i>
    <i>
      <x v="53"/>
    </i>
    <i>
      <x v="84"/>
    </i>
    <i>
      <x v="24"/>
    </i>
    <i>
      <x v="38"/>
    </i>
    <i>
      <x v="26"/>
    </i>
    <i>
      <x v="96"/>
    </i>
    <i>
      <x v="50"/>
    </i>
    <i>
      <x v="46"/>
    </i>
    <i>
      <x v="82"/>
    </i>
    <i>
      <x v="31"/>
    </i>
    <i>
      <x v="48"/>
    </i>
    <i>
      <x v="16"/>
    </i>
    <i>
      <x v="6"/>
    </i>
    <i>
      <x v="98"/>
    </i>
    <i>
      <x v="29"/>
    </i>
    <i>
      <x v="18"/>
    </i>
    <i>
      <x v="3"/>
    </i>
    <i>
      <x v="102"/>
    </i>
    <i>
      <x v="36"/>
    </i>
    <i>
      <x v="13"/>
    </i>
    <i>
      <x v="30"/>
    </i>
    <i>
      <x v="80"/>
    </i>
    <i>
      <x v="9"/>
    </i>
    <i>
      <x v="21"/>
    </i>
    <i>
      <x v="11"/>
    </i>
    <i>
      <x v="35"/>
    </i>
    <i>
      <x v="68"/>
    </i>
    <i>
      <x v="22"/>
    </i>
    <i>
      <x v="76"/>
    </i>
    <i>
      <x v="37"/>
    </i>
    <i>
      <x v="19"/>
    </i>
    <i>
      <x v="23"/>
    </i>
    <i>
      <x v="92"/>
    </i>
    <i>
      <x v="1"/>
    </i>
    <i>
      <x v="100"/>
    </i>
    <i>
      <x v="40"/>
    </i>
    <i>
      <x v="70"/>
    </i>
    <i>
      <x v="41"/>
    </i>
    <i>
      <x v="74"/>
    </i>
    <i>
      <x v="42"/>
    </i>
    <i>
      <x v="78"/>
    </i>
    <i>
      <x v="43"/>
    </i>
    <i>
      <x v="28"/>
    </i>
    <i>
      <x v="44"/>
    </i>
    <i>
      <x v="86"/>
    </i>
    <i>
      <x v="45"/>
    </i>
    <i>
      <x v="90"/>
    </i>
    <i>
      <x v="17"/>
    </i>
    <i>
      <x v="12"/>
    </i>
    <i>
      <x v="47"/>
    </i>
    <i>
      <x v="20"/>
    </i>
    <i>
      <x v="25"/>
    </i>
    <i>
      <x v="32"/>
    </i>
    <i>
      <x v="2"/>
    </i>
    <i>
      <x v="8"/>
    </i>
    <i>
      <x v="15"/>
    </i>
    <i>
      <x v="71"/>
    </i>
    <i>
      <x v="51"/>
    </i>
    <i>
      <x v="73"/>
    </i>
    <i>
      <x v="52"/>
    </i>
    <i>
      <x v="75"/>
    </i>
    <i>
      <x/>
    </i>
    <i>
      <x v="77"/>
    </i>
    <i>
      <x v="54"/>
    </i>
    <i>
      <x v="10"/>
    </i>
    <i>
      <x v="55"/>
    </i>
    <i>
      <x v="81"/>
    </i>
    <i>
      <x v="56"/>
    </i>
    <i>
      <x v="83"/>
    </i>
    <i>
      <x v="57"/>
    </i>
    <i>
      <x v="85"/>
    </i>
    <i>
      <x v="103"/>
    </i>
    <i>
      <x v="87"/>
    </i>
    <i>
      <x v="105"/>
    </i>
    <i>
      <x v="89"/>
    </i>
    <i>
      <x v="14"/>
    </i>
    <i>
      <x v="91"/>
    </i>
    <i>
      <x v="27"/>
    </i>
    <i>
      <x v="93"/>
    </i>
    <i>
      <x v="62"/>
    </i>
    <i>
      <x v="95"/>
    </i>
    <i>
      <x v="7"/>
    </i>
    <i>
      <x v="97"/>
    </i>
    <i>
      <x v="64"/>
    </i>
    <i>
      <x v="99"/>
    </i>
    <i>
      <x v="65"/>
    </i>
    <i>
      <x v="101"/>
    </i>
    <i>
      <x v="66"/>
    </i>
    <i>
      <x v="33"/>
    </i>
    <i>
      <x v="67"/>
    </i>
    <i>
      <x v="58"/>
    </i>
    <i>
      <x v="106"/>
    </i>
    <i>
      <x v="59"/>
    </i>
    <i>
      <x v="60"/>
    </i>
    <i>
      <x v="107"/>
    </i>
    <i t="grand">
      <x/>
    </i>
  </rowItems>
  <colItems count="1">
    <i/>
  </colItems>
  <dataFields count="1">
    <dataField name="Count of Title + Embedded Link  " fld="0" subtotal="count" baseField="0" baseItem="0"/>
  </dataFields>
  <formats count="2">
    <format dxfId="21">
      <pivotArea collapsedLevelsAreSubtotals="1" fieldPosition="0">
        <references count="1">
          <reference field="1" count="5">
            <x v="49"/>
            <x v="61"/>
            <x v="69"/>
            <x v="72"/>
            <x v="88"/>
          </reference>
        </references>
      </pivotArea>
    </format>
    <format dxfId="20">
      <pivotArea dataOnly="0" labelOnly="1" fieldPosition="0">
        <references count="1">
          <reference field="1" count="5">
            <x v="49"/>
            <x v="61"/>
            <x v="69"/>
            <x v="72"/>
            <x v="88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7" cacheId="7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B28" firstHeaderRow="1" firstDataRow="1" firstDataCol="1" rowPageCount="1" colPageCount="1"/>
  <pivotFields count="3">
    <pivotField dataField="1" showAll="0"/>
    <pivotField axis="axisRow" showAll="0" sortType="descending">
      <items count="109">
        <item x="12"/>
        <item x="83"/>
        <item x="58"/>
        <item x="31"/>
        <item x="42"/>
        <item x="64"/>
        <item x="73"/>
        <item x="76"/>
        <item x="51"/>
        <item x="43"/>
        <item x="36"/>
        <item x="70"/>
        <item x="91"/>
        <item x="27"/>
        <item x="22"/>
        <item x="82"/>
        <item x="59"/>
        <item x="80"/>
        <item x="61"/>
        <item x="49"/>
        <item x="50"/>
        <item x="32"/>
        <item x="21"/>
        <item x="72"/>
        <item x="23"/>
        <item x="100"/>
        <item x="66"/>
        <item x="19"/>
        <item x="11"/>
        <item x="46"/>
        <item x="55"/>
        <item x="63"/>
        <item x="44"/>
        <item x="52"/>
        <item x="45"/>
        <item x="54"/>
        <item x="79"/>
        <item x="86"/>
        <item x="84"/>
        <item x="33"/>
        <item x="34"/>
        <item x="77"/>
        <item x="88"/>
        <item x="15"/>
        <item x="48"/>
        <item x="25"/>
        <item x="89"/>
        <item x="17"/>
        <item x="101"/>
        <item x="3"/>
        <item x="99"/>
        <item x="95"/>
        <item x="68"/>
        <item x="28"/>
        <item x="30"/>
        <item x="92"/>
        <item x="35"/>
        <item x="57"/>
        <item x="67"/>
        <item x="106"/>
        <item x="98"/>
        <item x="1"/>
        <item x="71"/>
        <item x="8"/>
        <item x="60"/>
        <item x="38"/>
        <item x="90"/>
        <item x="26"/>
        <item x="96"/>
        <item x="2"/>
        <item x="97"/>
        <item x="105"/>
        <item x="6"/>
        <item x="56"/>
        <item x="5"/>
        <item x="78"/>
        <item x="107"/>
        <item x="65"/>
        <item x="13"/>
        <item x="18"/>
        <item x="103"/>
        <item x="93"/>
        <item x="7"/>
        <item x="10"/>
        <item x="4"/>
        <item x="29"/>
        <item x="81"/>
        <item x="87"/>
        <item x="14"/>
        <item x="62"/>
        <item x="104"/>
        <item x="53"/>
        <item x="102"/>
        <item x="20"/>
        <item x="16"/>
        <item x="40"/>
        <item x="41"/>
        <item x="85"/>
        <item x="37"/>
        <item x="75"/>
        <item x="94"/>
        <item x="24"/>
        <item x="47"/>
        <item x="69"/>
        <item x="9"/>
        <item x="39"/>
        <item x="74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multipleItemSelectionAllowed="1" showAll="0">
      <items count="214"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x="55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2"/>
        <item h="1" x="143"/>
        <item h="1" x="144"/>
        <item h="1" x="145"/>
        <item h="1" x="146"/>
        <item h="1" x="147"/>
        <item h="1" x="148"/>
        <item h="1" x="149"/>
        <item h="1" x="150"/>
        <item h="1" x="151"/>
        <item h="1" x="152"/>
        <item h="1" x="153"/>
        <item h="1" x="154"/>
        <item h="1" x="155"/>
        <item h="1" x="156"/>
        <item h="1" x="157"/>
        <item h="1" x="158"/>
        <item h="1" x="159"/>
        <item h="1" x="160"/>
        <item h="1" x="161"/>
        <item h="1" x="162"/>
        <item h="1" x="163"/>
        <item h="1" x="164"/>
        <item h="1" x="165"/>
        <item h="1" x="166"/>
        <item h="1" x="167"/>
        <item h="1"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h="1" x="0"/>
        <item t="default"/>
      </items>
    </pivotField>
  </pivotFields>
  <rowFields count="1">
    <field x="1"/>
  </rowFields>
  <rowItems count="25">
    <i>
      <x v="88"/>
    </i>
    <i>
      <x v="49"/>
    </i>
    <i>
      <x v="69"/>
    </i>
    <i>
      <x v="79"/>
    </i>
    <i>
      <x v="72"/>
    </i>
    <i>
      <x v="61"/>
    </i>
    <i>
      <x v="5"/>
    </i>
    <i>
      <x v="63"/>
    </i>
    <i>
      <x v="24"/>
    </i>
    <i>
      <x v="50"/>
    </i>
    <i>
      <x v="48"/>
    </i>
    <i>
      <x v="25"/>
    </i>
    <i>
      <x v="60"/>
    </i>
    <i>
      <x v="38"/>
    </i>
    <i>
      <x v="68"/>
    </i>
    <i>
      <x v="76"/>
    </i>
    <i>
      <x v="82"/>
    </i>
    <i>
      <x v="80"/>
    </i>
    <i>
      <x v="51"/>
    </i>
    <i>
      <x v="92"/>
    </i>
    <i>
      <x v="90"/>
    </i>
    <i>
      <x v="70"/>
    </i>
    <i>
      <x v="59"/>
    </i>
    <i>
      <x v="71"/>
    </i>
    <i t="grand">
      <x/>
    </i>
  </rowItems>
  <colItems count="1">
    <i/>
  </colItems>
  <pageFields count="1">
    <pageField fld="2" hier="-1"/>
  </pageFields>
  <dataFields count="1">
    <dataField name="Count of Title + Embedded Link  " fld="0" subtotal="count" baseField="0" baseItem="0"/>
  </dataFields>
  <formats count="2">
    <format dxfId="19">
      <pivotArea collapsedLevelsAreSubtotals="1" fieldPosition="0">
        <references count="1">
          <reference field="1" count="5">
            <x v="49"/>
            <x v="69"/>
            <x v="72"/>
            <x v="79"/>
            <x v="88"/>
          </reference>
        </references>
      </pivotArea>
    </format>
    <format dxfId="18">
      <pivotArea dataOnly="0" labelOnly="1" fieldPosition="0">
        <references count="1">
          <reference field="1" count="5">
            <x v="49"/>
            <x v="69"/>
            <x v="72"/>
            <x v="79"/>
            <x v="88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2" cacheId="9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A43" firstHeaderRow="1" firstDataRow="1" firstDataCol="1" rowPageCount="1" colPageCount="1"/>
  <pivotFields count="4">
    <pivotField axis="axisRow" showAll="0">
      <items count="351">
        <item sd="0" x="124"/>
        <item sd="0" x="185"/>
        <item sd="0" x="44"/>
        <item sd="0" x="277"/>
        <item sd="0" x="52"/>
        <item sd="0" x="145"/>
        <item sd="0" x="2"/>
        <item sd="0" x="250"/>
        <item sd="0" x="18"/>
        <item sd="0" x="27"/>
        <item sd="0" x="249"/>
        <item sd="0" x="119"/>
        <item sd="0" x="256"/>
        <item sd="0" x="62"/>
        <item sd="0" x="1"/>
        <item sd="0" x="114"/>
        <item sd="0" x="143"/>
        <item sd="0" x="76"/>
        <item sd="0" x="102"/>
        <item sd="0" x="236"/>
        <item sd="0" x="160"/>
        <item sd="0" x="157"/>
        <item sd="0" x="170"/>
        <item sd="0" x="196"/>
        <item sd="0" x="89"/>
        <item sd="0" x="22"/>
        <item sd="0" x="211"/>
        <item sd="0" x="172"/>
        <item sd="0" x="141"/>
        <item x="276"/>
        <item sd="0" x="171"/>
        <item sd="0" x="50"/>
        <item sd="0" x="116"/>
        <item sd="0" x="31"/>
        <item sd="0" x="274"/>
        <item sd="0" x="103"/>
        <item sd="0" x="106"/>
        <item sd="0" x="188"/>
        <item sd="0" x="41"/>
        <item sd="0" x="190"/>
        <item sd="0" x="19"/>
        <item sd="0" x="61"/>
        <item sd="0" x="67"/>
        <item sd="0" x="71"/>
        <item sd="0" x="21"/>
        <item sd="0" x="165"/>
        <item sd="0" x="269"/>
        <item sd="0" x="87"/>
        <item sd="0" x="35"/>
        <item sd="0" x="221"/>
        <item sd="0" x="239"/>
        <item sd="0" x="33"/>
        <item sd="0" x="175"/>
        <item sd="0" x="201"/>
        <item sd="0" x="77"/>
        <item sd="0" x="138"/>
        <item sd="0" x="88"/>
        <item sd="0" x="206"/>
        <item sd="0" x="70"/>
        <item sd="0" x="12"/>
        <item sd="0" x="238"/>
        <item sd="0" x="275"/>
        <item sd="0" x="105"/>
        <item sd="0" x="29"/>
        <item sd="0" x="225"/>
        <item sd="0" x="187"/>
        <item sd="0" x="127"/>
        <item sd="0" x="163"/>
        <item sd="0" x="266"/>
        <item sd="0" x="37"/>
        <item sd="0" x="220"/>
        <item sd="0" x="264"/>
        <item sd="0" x="115"/>
        <item sd="0" x="284"/>
        <item sd="0" x="195"/>
        <item sd="0" x="159"/>
        <item sd="0" x="268"/>
        <item sd="0" x="246"/>
        <item sd="0" x="255"/>
        <item sd="0" x="150"/>
        <item sd="0" x="210"/>
        <item sd="0" x="202"/>
        <item sd="0" x="26"/>
        <item sd="0" x="215"/>
        <item sd="0" x="38"/>
        <item sd="0" x="208"/>
        <item sd="0" x="130"/>
        <item sd="0" x="237"/>
        <item sd="0" x="118"/>
        <item sd="0" x="149"/>
        <item sd="0" x="226"/>
        <item sd="0" x="158"/>
        <item sd="0" x="154"/>
        <item sd="0" x="45"/>
        <item sd="0" x="55"/>
        <item sd="0" x="7"/>
        <item sd="0" x="219"/>
        <item sd="0" x="232"/>
        <item sd="0" x="140"/>
        <item sd="0" x="213"/>
        <item sd="0" x="176"/>
        <item sd="0" x="283"/>
        <item sd="0" x="177"/>
        <item sd="0" x="81"/>
        <item sd="0" x="90"/>
        <item sd="0" x="59"/>
        <item sd="0" x="58"/>
        <item sd="0" x="25"/>
        <item sd="0" x="83"/>
        <item sd="0" x="144"/>
        <item sd="0" x="99"/>
        <item sd="0" x="92"/>
        <item sd="0" x="79"/>
        <item sd="0" x="286"/>
        <item sd="0" x="4"/>
        <item sd="0" x="42"/>
        <item sd="0" x="91"/>
        <item sd="0" x="258"/>
        <item sd="0" x="191"/>
        <item sd="0" x="222"/>
        <item sd="0" x="133"/>
        <item sd="0" x="80"/>
        <item sd="0" x="161"/>
        <item sd="0" x="16"/>
        <item sd="0" x="235"/>
        <item sd="0" x="109"/>
        <item sd="0" x="128"/>
        <item sd="0" x="78"/>
        <item sd="0" x="101"/>
        <item sd="0" x="132"/>
        <item sd="0" x="142"/>
        <item sd="0" x="251"/>
        <item sd="0" x="223"/>
        <item sd="0" x="285"/>
        <item sd="0" x="214"/>
        <item sd="0" x="137"/>
        <item sd="0" x="227"/>
        <item sd="0" x="263"/>
        <item sd="0" x="231"/>
        <item sd="0" x="168"/>
        <item sd="0" x="123"/>
        <item sd="0" x="108"/>
        <item sd="0" x="228"/>
        <item sd="0" x="5"/>
        <item sd="0" x="155"/>
        <item sd="0" x="64"/>
        <item sd="0" x="47"/>
        <item sd="0" x="131"/>
        <item sd="0" x="82"/>
        <item sd="0" x="217"/>
        <item sd="0" x="122"/>
        <item sd="0" x="15"/>
        <item sd="0" x="74"/>
        <item sd="0" x="97"/>
        <item sd="0" x="167"/>
        <item sd="0" x="184"/>
        <item sd="0" x="60"/>
        <item sd="0" x="199"/>
        <item sd="0" x="6"/>
        <item sd="0" x="260"/>
        <item sd="0" x="14"/>
        <item sd="0" x="153"/>
        <item sd="0" x="43"/>
        <item sd="0" x="8"/>
        <item sd="0" x="85"/>
        <item sd="0" x="178"/>
        <item sd="0" x="218"/>
        <item sd="0" x="267"/>
        <item sd="0" x="272"/>
        <item sd="0" x="51"/>
        <item sd="0" x="173"/>
        <item sd="0" x="252"/>
        <item sd="0" x="121"/>
        <item sd="0" x="216"/>
        <item sd="0" x="179"/>
        <item sd="0" x="247"/>
        <item sd="0" x="271"/>
        <item sd="0" x="17"/>
        <item sd="0" x="156"/>
        <item sd="0" x="193"/>
        <item sd="0" x="203"/>
        <item sd="0" x="126"/>
        <item sd="0" x="117"/>
        <item sd="0" x="181"/>
        <item sd="0" x="10"/>
        <item sd="0" x="54"/>
        <item sd="0" x="23"/>
        <item sd="0" x="111"/>
        <item sd="0" x="129"/>
        <item sd="0" x="230"/>
        <item sd="0" x="65"/>
        <item sd="0" x="53"/>
        <item sd="0" x="96"/>
        <item sd="0" x="245"/>
        <item sd="0" x="279"/>
        <item sd="0" x="270"/>
        <item sd="0" x="134"/>
        <item sd="0" x="287"/>
        <item sd="0" x="169"/>
        <item sd="0" x="39"/>
        <item sd="0" x="205"/>
        <item sd="0" x="281"/>
        <item sd="0" x="13"/>
        <item sd="0" x="49"/>
        <item sd="0" x="182"/>
        <item sd="0" x="197"/>
        <item sd="0" x="200"/>
        <item sd="0" x="100"/>
        <item sd="0" x="56"/>
        <item sd="0" x="151"/>
        <item sd="0" x="139"/>
        <item sd="0" x="120"/>
        <item sd="0" x="204"/>
        <item sd="0" x="95"/>
        <item sd="0" x="241"/>
        <item sd="0" x="148"/>
        <item sd="0" x="86"/>
        <item sd="0" x="244"/>
        <item sd="0" x="174"/>
        <item sd="0" x="212"/>
        <item sd="0" x="242"/>
        <item sd="0" x="262"/>
        <item sd="0" x="234"/>
        <item sd="0" x="280"/>
        <item sd="0" x="63"/>
        <item sd="0" x="224"/>
        <item sd="0" x="32"/>
        <item sd="0" x="34"/>
        <item sd="0" x="257"/>
        <item sd="0" x="46"/>
        <item sd="0" x="146"/>
        <item sd="0" x="243"/>
        <item sd="0" x="69"/>
        <item sd="0" x="198"/>
        <item sd="0" x="93"/>
        <item sd="0" x="162"/>
        <item sd="0" x="273"/>
        <item sd="0" x="3"/>
        <item sd="0" x="104"/>
        <item sd="0" x="36"/>
        <item sd="0" x="135"/>
        <item sd="0" x="75"/>
        <item sd="0" x="20"/>
        <item sd="0" x="183"/>
        <item sd="0" x="112"/>
        <item x="57"/>
        <item sd="0" x="48"/>
        <item sd="0" x="125"/>
        <item sd="0" x="40"/>
        <item sd="0" x="84"/>
        <item sd="0" x="166"/>
        <item sd="0" x="233"/>
        <item sd="0" x="66"/>
        <item sd="0" x="110"/>
        <item sd="0" x="136"/>
        <item sd="0" x="229"/>
        <item sd="0" x="265"/>
        <item sd="0" x="259"/>
        <item x="9"/>
        <item sd="0" x="164"/>
        <item sd="0" x="248"/>
        <item sd="0" x="207"/>
        <item sd="0" x="98"/>
        <item sd="0" x="11"/>
        <item sd="0" x="28"/>
        <item sd="0" x="107"/>
        <item sd="0" x="209"/>
        <item sd="0" x="152"/>
        <item sd="0" x="194"/>
        <item sd="0" x="254"/>
        <item sd="0" x="240"/>
        <item sd="0" x="68"/>
        <item sd="0" x="186"/>
        <item sd="0" x="261"/>
        <item sd="0" x="72"/>
        <item sd="0" x="30"/>
        <item sd="0" x="278"/>
        <item sd="0" x="288"/>
        <item sd="0" x="94"/>
        <item sd="0" x="282"/>
        <item sd="0" x="192"/>
        <item sd="0" x="113"/>
        <item sd="0" x="189"/>
        <item sd="0" x="24"/>
        <item sd="0" x="253"/>
        <item sd="0" x="73"/>
        <item sd="0" x="147"/>
        <item sd="0" x="180"/>
        <item sd="0" x="0"/>
        <item x="289"/>
        <item x="290"/>
        <item x="291"/>
        <item x="292"/>
        <item x="293"/>
        <item x="294"/>
        <item x="295"/>
        <item x="296"/>
        <item x="297"/>
        <item x="298"/>
        <item sd="0"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sd="0"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sd="0" x="342"/>
        <item x="343"/>
        <item x="344"/>
        <item x="345"/>
        <item x="346"/>
        <item x="347"/>
        <item x="348"/>
        <item x="349"/>
        <item t="default" sd="0"/>
      </items>
    </pivotField>
    <pivotField showAll="0"/>
    <pivotField axis="axisPage" showAll="0">
      <items count="214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0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t="default"/>
      </items>
    </pivotField>
    <pivotField axis="axisRow" multipleItemSelectionAllowed="1" showAll="0" sortType="descending">
      <items count="11">
        <item x="0"/>
        <item x="5"/>
        <item x="6"/>
        <item x="2"/>
        <item x="1"/>
        <item x="7"/>
        <item x="9"/>
        <item x="4"/>
        <item x="8"/>
        <item x="3"/>
        <item t="default"/>
      </items>
    </pivotField>
  </pivotFields>
  <rowFields count="2">
    <field x="0"/>
    <field x="3"/>
  </rowFields>
  <rowItems count="40">
    <i>
      <x v="29"/>
    </i>
    <i r="1">
      <x v="9"/>
    </i>
    <i>
      <x v="36"/>
    </i>
    <i>
      <x v="60"/>
    </i>
    <i>
      <x v="65"/>
    </i>
    <i>
      <x v="71"/>
    </i>
    <i>
      <x v="77"/>
    </i>
    <i>
      <x v="87"/>
    </i>
    <i>
      <x v="92"/>
    </i>
    <i>
      <x v="105"/>
    </i>
    <i>
      <x v="106"/>
    </i>
    <i>
      <x v="109"/>
    </i>
    <i>
      <x v="119"/>
    </i>
    <i>
      <x v="123"/>
    </i>
    <i>
      <x v="136"/>
    </i>
    <i>
      <x v="142"/>
    </i>
    <i>
      <x v="150"/>
    </i>
    <i>
      <x v="167"/>
    </i>
    <i>
      <x v="195"/>
    </i>
    <i>
      <x v="197"/>
    </i>
    <i>
      <x v="203"/>
    </i>
    <i>
      <x v="216"/>
    </i>
    <i>
      <x v="218"/>
    </i>
    <i>
      <x v="220"/>
    </i>
    <i>
      <x v="222"/>
    </i>
    <i>
      <x v="228"/>
    </i>
    <i>
      <x v="240"/>
    </i>
    <i>
      <x v="241"/>
    </i>
    <i>
      <x v="245"/>
    </i>
    <i r="1">
      <x v="9"/>
    </i>
    <i>
      <x v="258"/>
    </i>
    <i r="1">
      <x v="3"/>
    </i>
    <i>
      <x v="259"/>
    </i>
    <i>
      <x v="267"/>
    </i>
    <i>
      <x v="276"/>
    </i>
    <i>
      <x v="278"/>
    </i>
    <i>
      <x v="299"/>
    </i>
    <i>
      <x v="322"/>
    </i>
    <i>
      <x v="342"/>
    </i>
    <i t="grand">
      <x/>
    </i>
  </rowItems>
  <colItems count="1">
    <i/>
  </colItems>
  <pageFields count="1">
    <pageField fld="2" hier="-1"/>
  </pageFields>
  <pivotTableStyleInfo name="PivotStyleLight16" showRowHeaders="1" showColHeaders="1" showRowStripes="0" showColStripes="0" showLastColumn="1"/>
  <filters count="1">
    <filter fld="3" type="captionContains" evalOrder="-1" id="1" stringValue1="Infographic">
      <autoFilter ref="A1">
        <filterColumn colId="0">
          <customFilters>
            <customFilter val="*Infographic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4" cacheId="1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A10" firstHeaderRow="1" firstDataRow="1" firstDataCol="1" rowPageCount="1" colPageCount="1"/>
  <pivotFields count="20">
    <pivotField axis="axisRow" showAll="0">
      <items count="351">
        <item sd="0" x="124"/>
        <item sd="0" x="185"/>
        <item sd="0" x="44"/>
        <item sd="0" x="277"/>
        <item sd="0" x="52"/>
        <item sd="0" x="145"/>
        <item sd="0" x="2"/>
        <item sd="0" x="250"/>
        <item sd="0" x="18"/>
        <item sd="0" x="27"/>
        <item sd="0" x="249"/>
        <item sd="0" x="119"/>
        <item sd="0" x="256"/>
        <item sd="0" x="62"/>
        <item sd="0" x="1"/>
        <item sd="0" x="114"/>
        <item sd="0" x="143"/>
        <item sd="0" x="76"/>
        <item sd="0" x="102"/>
        <item sd="0" x="236"/>
        <item sd="0" x="160"/>
        <item sd="0" x="157"/>
        <item sd="0" x="170"/>
        <item sd="0" x="196"/>
        <item sd="0" x="89"/>
        <item sd="0" x="22"/>
        <item sd="0" x="211"/>
        <item sd="0" x="172"/>
        <item sd="0" x="141"/>
        <item sd="0" x="276"/>
        <item sd="0" x="171"/>
        <item sd="0" x="50"/>
        <item sd="0" x="116"/>
        <item sd="0" x="31"/>
        <item sd="0" x="274"/>
        <item sd="0" x="103"/>
        <item sd="0" x="106"/>
        <item sd="0" x="188"/>
        <item sd="0" x="41"/>
        <item sd="0" x="190"/>
        <item sd="0" x="19"/>
        <item sd="0" x="61"/>
        <item sd="0" x="67"/>
        <item sd="0" x="71"/>
        <item sd="0" x="21"/>
        <item sd="0" x="165"/>
        <item sd="0" x="269"/>
        <item sd="0" x="87"/>
        <item sd="0" x="35"/>
        <item sd="0" x="221"/>
        <item sd="0" x="239"/>
        <item sd="0" x="33"/>
        <item sd="0" x="175"/>
        <item sd="0" x="201"/>
        <item sd="0" x="77"/>
        <item sd="0" x="138"/>
        <item sd="0" x="88"/>
        <item sd="0" x="206"/>
        <item sd="0" x="70"/>
        <item sd="0" x="12"/>
        <item sd="0" x="238"/>
        <item sd="0" x="275"/>
        <item sd="0" x="105"/>
        <item sd="0" x="29"/>
        <item sd="0" x="225"/>
        <item sd="0" x="187"/>
        <item sd="0" x="127"/>
        <item sd="0" x="163"/>
        <item sd="0" x="266"/>
        <item sd="0" x="37"/>
        <item sd="0" x="220"/>
        <item sd="0" x="264"/>
        <item sd="0" x="115"/>
        <item sd="0" x="284"/>
        <item sd="0" x="195"/>
        <item sd="0" x="159"/>
        <item sd="0" x="268"/>
        <item sd="0" x="246"/>
        <item sd="0" x="255"/>
        <item sd="0" x="150"/>
        <item sd="0" x="210"/>
        <item sd="0" x="202"/>
        <item sd="0" x="26"/>
        <item sd="0" x="215"/>
        <item sd="0" x="38"/>
        <item sd="0" x="208"/>
        <item sd="0" x="130"/>
        <item sd="0" x="237"/>
        <item sd="0" x="118"/>
        <item sd="0" x="149"/>
        <item sd="0" x="226"/>
        <item sd="0" x="158"/>
        <item sd="0" x="154"/>
        <item sd="0" x="45"/>
        <item sd="0" x="55"/>
        <item sd="0" x="7"/>
        <item sd="0" x="219"/>
        <item sd="0" x="232"/>
        <item sd="0" x="140"/>
        <item sd="0" x="213"/>
        <item sd="0" x="176"/>
        <item sd="0" x="283"/>
        <item sd="0" x="177"/>
        <item sd="0" x="81"/>
        <item sd="0" x="90"/>
        <item sd="0" x="59"/>
        <item sd="0" x="58"/>
        <item sd="0" x="25"/>
        <item sd="0" x="83"/>
        <item sd="0" x="144"/>
        <item sd="0" x="99"/>
        <item sd="0" x="92"/>
        <item sd="0" x="79"/>
        <item sd="0" x="286"/>
        <item sd="0" x="4"/>
        <item sd="0" x="42"/>
        <item sd="0" x="91"/>
        <item sd="0" x="258"/>
        <item sd="0" x="191"/>
        <item sd="0" x="222"/>
        <item sd="0" x="133"/>
        <item sd="0" x="80"/>
        <item sd="0" x="161"/>
        <item sd="0" x="16"/>
        <item sd="0" x="235"/>
        <item sd="0" x="109"/>
        <item sd="0" x="128"/>
        <item sd="0" x="78"/>
        <item sd="0" x="101"/>
        <item sd="0" x="132"/>
        <item sd="0" x="142"/>
        <item sd="0" x="251"/>
        <item sd="0" x="223"/>
        <item sd="0" x="285"/>
        <item sd="0" x="214"/>
        <item sd="0" x="137"/>
        <item sd="0" x="227"/>
        <item sd="0" x="263"/>
        <item sd="0" x="231"/>
        <item sd="0" x="168"/>
        <item sd="0" x="123"/>
        <item sd="0" x="108"/>
        <item sd="0" x="228"/>
        <item sd="0" x="5"/>
        <item sd="0" x="155"/>
        <item sd="0" x="64"/>
        <item sd="0" x="47"/>
        <item sd="0" x="131"/>
        <item sd="0" x="82"/>
        <item sd="0" x="217"/>
        <item sd="0" x="122"/>
        <item sd="0" x="15"/>
        <item sd="0" x="74"/>
        <item sd="0" x="97"/>
        <item sd="0" x="167"/>
        <item sd="0" x="184"/>
        <item sd="0" x="60"/>
        <item sd="0" x="199"/>
        <item sd="0" x="6"/>
        <item sd="0" x="260"/>
        <item sd="0" x="14"/>
        <item sd="0" x="153"/>
        <item sd="0" x="43"/>
        <item sd="0" x="8"/>
        <item sd="0" x="85"/>
        <item sd="0" x="178"/>
        <item sd="0" x="218"/>
        <item sd="0" x="267"/>
        <item sd="0" x="272"/>
        <item sd="0" x="51"/>
        <item sd="0" x="173"/>
        <item sd="0" x="252"/>
        <item sd="0" x="121"/>
        <item sd="0" x="216"/>
        <item sd="0" x="179"/>
        <item sd="0" x="247"/>
        <item sd="0" x="271"/>
        <item sd="0" x="17"/>
        <item sd="0" x="156"/>
        <item sd="0" x="193"/>
        <item sd="0" x="203"/>
        <item sd="0" x="126"/>
        <item sd="0" x="117"/>
        <item sd="0" x="181"/>
        <item sd="0" x="10"/>
        <item sd="0" x="54"/>
        <item sd="0" x="23"/>
        <item sd="0" x="111"/>
        <item sd="0" x="129"/>
        <item sd="0" x="230"/>
        <item sd="0" x="65"/>
        <item sd="0" x="53"/>
        <item sd="0" x="96"/>
        <item sd="0" x="245"/>
        <item sd="0" x="279"/>
        <item sd="0" x="270"/>
        <item sd="0" x="134"/>
        <item sd="0" x="287"/>
        <item sd="0" x="169"/>
        <item sd="0" x="39"/>
        <item sd="0" x="205"/>
        <item sd="0" x="281"/>
        <item sd="0" x="13"/>
        <item sd="0" x="49"/>
        <item sd="0" x="182"/>
        <item sd="0" x="197"/>
        <item sd="0" x="200"/>
        <item sd="0" x="100"/>
        <item sd="0" x="56"/>
        <item sd="0" x="151"/>
        <item sd="0" x="139"/>
        <item sd="0" x="120"/>
        <item sd="0" x="204"/>
        <item sd="0" x="95"/>
        <item sd="0" x="241"/>
        <item sd="0" x="148"/>
        <item sd="0" x="86"/>
        <item sd="0" x="244"/>
        <item sd="0" x="174"/>
        <item sd="0" x="212"/>
        <item sd="0" x="242"/>
        <item sd="0" x="262"/>
        <item sd="0" x="234"/>
        <item sd="0" x="280"/>
        <item sd="0" x="63"/>
        <item sd="0" x="224"/>
        <item sd="0" x="32"/>
        <item sd="0" x="34"/>
        <item sd="0" x="257"/>
        <item sd="0" x="46"/>
        <item sd="0" x="146"/>
        <item sd="0" x="243"/>
        <item sd="0" x="69"/>
        <item sd="0" x="198"/>
        <item sd="0" x="93"/>
        <item sd="0" x="162"/>
        <item sd="0" x="273"/>
        <item sd="0" x="3"/>
        <item sd="0" x="104"/>
        <item sd="0" x="36"/>
        <item sd="0" x="135"/>
        <item sd="0" x="75"/>
        <item sd="0" x="20"/>
        <item sd="0" x="183"/>
        <item sd="0" x="112"/>
        <item sd="0" x="57"/>
        <item sd="0" x="48"/>
        <item sd="0" x="125"/>
        <item sd="0" x="40"/>
        <item sd="0" x="84"/>
        <item sd="0" x="166"/>
        <item sd="0" x="233"/>
        <item sd="0" x="66"/>
        <item sd="0" x="110"/>
        <item sd="0" x="136"/>
        <item sd="0" x="229"/>
        <item sd="0" x="265"/>
        <item sd="0" x="259"/>
        <item sd="0" x="9"/>
        <item sd="0" x="164"/>
        <item sd="0" x="248"/>
        <item sd="0" x="207"/>
        <item sd="0" x="98"/>
        <item sd="0" x="11"/>
        <item sd="0" x="28"/>
        <item sd="0" x="107"/>
        <item sd="0" x="209"/>
        <item sd="0" x="152"/>
        <item sd="0" x="194"/>
        <item sd="0" x="254"/>
        <item sd="0" x="240"/>
        <item sd="0" x="68"/>
        <item sd="0" x="186"/>
        <item sd="0" x="261"/>
        <item sd="0" x="72"/>
        <item sd="0" x="30"/>
        <item sd="0" x="278"/>
        <item sd="0" x="288"/>
        <item sd="0" x="94"/>
        <item sd="0" x="282"/>
        <item sd="0" x="192"/>
        <item sd="0" x="113"/>
        <item sd="0" x="189"/>
        <item sd="0" x="24"/>
        <item sd="0" x="253"/>
        <item sd="0" x="73"/>
        <item sd="0" x="147"/>
        <item sd="0" x="180"/>
        <item sd="0" x="0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t="default" sd="0"/>
      </items>
    </pivotField>
    <pivotField showAll="0"/>
    <pivotField axis="axisPage" multipleItemSelectionAllowed="1" showAll="0">
      <items count="214"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x="55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2"/>
        <item h="1" x="143"/>
        <item h="1" x="144"/>
        <item h="1" x="145"/>
        <item h="1" x="146"/>
        <item h="1" x="147"/>
        <item h="1" x="148"/>
        <item h="1" x="149"/>
        <item h="1" x="150"/>
        <item h="1" x="151"/>
        <item h="1" x="152"/>
        <item h="1" x="153"/>
        <item h="1" x="154"/>
        <item h="1" x="155"/>
        <item h="1" x="156"/>
        <item h="1" x="157"/>
        <item h="1" x="158"/>
        <item h="1" x="159"/>
        <item h="1" x="160"/>
        <item h="1" x="161"/>
        <item h="1" x="162"/>
        <item h="1" x="163"/>
        <item h="1" x="164"/>
        <item h="1" x="165"/>
        <item h="1" x="166"/>
        <item h="1" x="167"/>
        <item h="1" x="168"/>
        <item h="1" x="0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t="default"/>
      </items>
    </pivotField>
    <pivotField axis="axisRow" showAll="0">
      <items count="11">
        <item x="3"/>
        <item x="8"/>
        <item x="4"/>
        <item x="9"/>
        <item x="7"/>
        <item x="1"/>
        <item x="2"/>
        <item x="6"/>
        <item x="5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2">
    <field x="0"/>
    <field x="3"/>
  </rowFields>
  <rowItems count="7">
    <i>
      <x v="299"/>
    </i>
    <i r="1">
      <x v="6"/>
    </i>
    <i>
      <x v="321"/>
    </i>
    <i r="1">
      <x/>
    </i>
    <i>
      <x v="342"/>
    </i>
    <i r="1">
      <x/>
    </i>
    <i t="grand">
      <x/>
    </i>
  </rowItems>
  <colItems count="1">
    <i/>
  </colItems>
  <pageFields count="1">
    <pageField fld="2" hier="-1"/>
  </pageFields>
  <pivotTableStyleInfo name="PivotStyleLight16" showRowHeaders="1" showColHeaders="1" showRowStripes="0" showColStripes="0" showLastColumn="1"/>
  <filters count="1">
    <filter fld="3" type="captionContains" evalOrder="-1" id="1" stringValue1="Infographic">
      <autoFilter ref="A1">
        <filterColumn colId="0">
          <customFilters>
            <customFilter val="*Infographic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3" cacheId="1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B354" firstHeaderRow="1" firstDataRow="1" firstDataCol="1"/>
  <pivotFields count="20">
    <pivotField axis="axisRow" showAll="0" sortType="descending">
      <items count="351">
        <item x="124"/>
        <item x="185"/>
        <item x="44"/>
        <item x="277"/>
        <item x="52"/>
        <item x="145"/>
        <item x="2"/>
        <item x="250"/>
        <item x="18"/>
        <item x="27"/>
        <item x="249"/>
        <item x="119"/>
        <item x="256"/>
        <item x="62"/>
        <item x="1"/>
        <item x="114"/>
        <item x="143"/>
        <item x="76"/>
        <item x="102"/>
        <item x="236"/>
        <item x="160"/>
        <item x="157"/>
        <item x="170"/>
        <item x="196"/>
        <item x="89"/>
        <item x="22"/>
        <item x="211"/>
        <item x="172"/>
        <item x="141"/>
        <item x="276"/>
        <item x="171"/>
        <item x="50"/>
        <item x="116"/>
        <item x="31"/>
        <item x="274"/>
        <item x="103"/>
        <item x="106"/>
        <item x="188"/>
        <item x="41"/>
        <item x="190"/>
        <item x="19"/>
        <item x="61"/>
        <item x="67"/>
        <item x="71"/>
        <item x="21"/>
        <item x="165"/>
        <item x="87"/>
        <item x="35"/>
        <item x="221"/>
        <item x="239"/>
        <item x="33"/>
        <item x="175"/>
        <item x="201"/>
        <item x="77"/>
        <item x="138"/>
        <item x="88"/>
        <item x="206"/>
        <item x="70"/>
        <item x="12"/>
        <item x="238"/>
        <item x="275"/>
        <item x="105"/>
        <item x="29"/>
        <item x="225"/>
        <item x="187"/>
        <item x="127"/>
        <item x="163"/>
        <item x="266"/>
        <item x="37"/>
        <item x="220"/>
        <item x="264"/>
        <item x="115"/>
        <item x="284"/>
        <item x="195"/>
        <item x="159"/>
        <item x="268"/>
        <item x="246"/>
        <item x="255"/>
        <item x="150"/>
        <item x="210"/>
        <item x="202"/>
        <item x="26"/>
        <item x="215"/>
        <item x="38"/>
        <item x="208"/>
        <item x="130"/>
        <item x="237"/>
        <item x="118"/>
        <item x="149"/>
        <item x="226"/>
        <item x="158"/>
        <item x="154"/>
        <item x="45"/>
        <item x="55"/>
        <item x="7"/>
        <item x="219"/>
        <item x="232"/>
        <item x="140"/>
        <item x="213"/>
        <item x="176"/>
        <item x="283"/>
        <item x="177"/>
        <item x="81"/>
        <item x="90"/>
        <item x="59"/>
        <item x="58"/>
        <item x="25"/>
        <item x="83"/>
        <item x="144"/>
        <item x="99"/>
        <item x="92"/>
        <item x="79"/>
        <item x="286"/>
        <item x="4"/>
        <item x="42"/>
        <item x="91"/>
        <item x="258"/>
        <item x="191"/>
        <item x="222"/>
        <item x="133"/>
        <item x="80"/>
        <item x="161"/>
        <item x="16"/>
        <item x="235"/>
        <item x="109"/>
        <item x="128"/>
        <item x="78"/>
        <item x="101"/>
        <item x="132"/>
        <item x="142"/>
        <item x="251"/>
        <item x="223"/>
        <item x="214"/>
        <item x="137"/>
        <item x="227"/>
        <item x="263"/>
        <item x="231"/>
        <item x="168"/>
        <item x="123"/>
        <item x="108"/>
        <item x="228"/>
        <item x="5"/>
        <item x="155"/>
        <item x="64"/>
        <item x="47"/>
        <item x="131"/>
        <item x="82"/>
        <item x="217"/>
        <item x="122"/>
        <item x="15"/>
        <item x="74"/>
        <item x="97"/>
        <item x="167"/>
        <item x="184"/>
        <item x="60"/>
        <item x="199"/>
        <item x="6"/>
        <item x="260"/>
        <item x="14"/>
        <item x="153"/>
        <item x="43"/>
        <item x="8"/>
        <item x="85"/>
        <item x="178"/>
        <item x="218"/>
        <item x="267"/>
        <item x="272"/>
        <item x="51"/>
        <item x="173"/>
        <item x="252"/>
        <item x="121"/>
        <item x="216"/>
        <item x="179"/>
        <item x="247"/>
        <item x="271"/>
        <item x="17"/>
        <item x="156"/>
        <item x="193"/>
        <item x="203"/>
        <item x="126"/>
        <item x="117"/>
        <item x="181"/>
        <item x="10"/>
        <item x="54"/>
        <item x="23"/>
        <item x="111"/>
        <item x="129"/>
        <item x="230"/>
        <item x="65"/>
        <item x="53"/>
        <item x="96"/>
        <item x="245"/>
        <item x="279"/>
        <item x="270"/>
        <item x="134"/>
        <item x="287"/>
        <item x="169"/>
        <item x="39"/>
        <item x="205"/>
        <item x="281"/>
        <item x="13"/>
        <item x="49"/>
        <item x="182"/>
        <item x="197"/>
        <item x="200"/>
        <item x="100"/>
        <item x="56"/>
        <item x="151"/>
        <item x="139"/>
        <item x="120"/>
        <item x="204"/>
        <item x="95"/>
        <item x="241"/>
        <item x="148"/>
        <item x="86"/>
        <item x="244"/>
        <item x="174"/>
        <item x="212"/>
        <item x="242"/>
        <item x="262"/>
        <item x="234"/>
        <item x="280"/>
        <item x="63"/>
        <item x="224"/>
        <item x="32"/>
        <item x="34"/>
        <item x="257"/>
        <item x="46"/>
        <item x="146"/>
        <item x="243"/>
        <item x="69"/>
        <item x="198"/>
        <item x="93"/>
        <item x="162"/>
        <item x="273"/>
        <item x="3"/>
        <item x="104"/>
        <item x="36"/>
        <item x="135"/>
        <item x="75"/>
        <item x="20"/>
        <item x="183"/>
        <item x="112"/>
        <item x="57"/>
        <item x="48"/>
        <item x="125"/>
        <item x="40"/>
        <item x="84"/>
        <item x="166"/>
        <item x="233"/>
        <item x="66"/>
        <item x="110"/>
        <item x="136"/>
        <item x="229"/>
        <item x="265"/>
        <item x="259"/>
        <item x="9"/>
        <item x="164"/>
        <item x="248"/>
        <item x="207"/>
        <item x="98"/>
        <item x="11"/>
        <item x="28"/>
        <item x="107"/>
        <item x="209"/>
        <item x="152"/>
        <item x="194"/>
        <item x="254"/>
        <item x="240"/>
        <item x="68"/>
        <item x="186"/>
        <item x="261"/>
        <item x="72"/>
        <item x="30"/>
        <item x="278"/>
        <item x="288"/>
        <item x="94"/>
        <item x="282"/>
        <item x="192"/>
        <item x="113"/>
        <item x="189"/>
        <item x="24"/>
        <item x="253"/>
        <item x="73"/>
        <item x="147"/>
        <item x="180"/>
        <item x="0"/>
        <item x="269"/>
        <item x="285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</pivotFields>
  <rowFields count="1">
    <field x="0"/>
  </rowFields>
  <rowItems count="351">
    <i>
      <x v="3"/>
    </i>
    <i>
      <x v="116"/>
    </i>
    <i>
      <x v="198"/>
    </i>
    <i>
      <x v="190"/>
    </i>
    <i>
      <x v="274"/>
    </i>
    <i>
      <x v="212"/>
    </i>
    <i>
      <x v="35"/>
    </i>
    <i>
      <x v="225"/>
    </i>
    <i>
      <x v="181"/>
    </i>
    <i>
      <x v="325"/>
    </i>
    <i>
      <x v="303"/>
    </i>
    <i>
      <x v="256"/>
    </i>
    <i>
      <x v="292"/>
    </i>
    <i>
      <x v="102"/>
    </i>
    <i>
      <x v="226"/>
    </i>
    <i>
      <x v="5"/>
    </i>
    <i>
      <x v="170"/>
    </i>
    <i>
      <x v="112"/>
    </i>
    <i>
      <x v="174"/>
    </i>
    <i>
      <x v="8"/>
    </i>
    <i>
      <x v="128"/>
    </i>
    <i>
      <x v="294"/>
    </i>
    <i>
      <x v="317"/>
    </i>
    <i>
      <x v="143"/>
    </i>
    <i>
      <x v="281"/>
    </i>
    <i>
      <x v="70"/>
    </i>
    <i>
      <x v="23"/>
    </i>
    <i>
      <x v="134"/>
    </i>
    <i>
      <x v="44"/>
    </i>
    <i>
      <x v="54"/>
    </i>
    <i>
      <x v="182"/>
    </i>
    <i>
      <x v="77"/>
    </i>
    <i>
      <x v="342"/>
    </i>
    <i>
      <x v="76"/>
    </i>
    <i>
      <x v="187"/>
    </i>
    <i>
      <x v="265"/>
    </i>
    <i>
      <x v="180"/>
    </i>
    <i>
      <x v="126"/>
    </i>
    <i>
      <x v="301"/>
    </i>
    <i>
      <x v="65"/>
    </i>
    <i>
      <x v="271"/>
    </i>
    <i>
      <x v="96"/>
    </i>
    <i>
      <x v="307"/>
    </i>
    <i>
      <x v="33"/>
    </i>
    <i>
      <x v="343"/>
    </i>
    <i>
      <x v="251"/>
    </i>
    <i>
      <x/>
    </i>
    <i>
      <x v="158"/>
    </i>
    <i>
      <x v="258"/>
    </i>
    <i>
      <x v="290"/>
    </i>
    <i>
      <x v="110"/>
    </i>
    <i>
      <x v="322"/>
    </i>
    <i>
      <x v="150"/>
    </i>
    <i>
      <x v="161"/>
    </i>
    <i>
      <x v="246"/>
    </i>
    <i>
      <x v="175"/>
    </i>
    <i>
      <x v="275"/>
    </i>
    <i>
      <x v="324"/>
    </i>
    <i>
      <x v="252"/>
    </i>
    <i>
      <x v="260"/>
    </i>
    <i>
      <x v="68"/>
    </i>
    <i>
      <x v="302"/>
    </i>
    <i>
      <x v="47"/>
    </i>
    <i>
      <x v="84"/>
    </i>
    <i>
      <x v="209"/>
    </i>
    <i>
      <x v="176"/>
    </i>
    <i>
      <x v="315"/>
    </i>
    <i>
      <x v="171"/>
    </i>
    <i>
      <x v="162"/>
    </i>
    <i>
      <x v="148"/>
    </i>
    <i>
      <x v="104"/>
    </i>
    <i>
      <x v="94"/>
    </i>
    <i>
      <x v="118"/>
    </i>
    <i>
      <x v="90"/>
    </i>
    <i>
      <x v="316"/>
    </i>
    <i>
      <x v="193"/>
    </i>
    <i>
      <x v="113"/>
    </i>
    <i>
      <x v="288"/>
    </i>
    <i>
      <x v="149"/>
    </i>
    <i>
      <x v="103"/>
    </i>
    <i>
      <x v="98"/>
    </i>
    <i>
      <x v="13"/>
    </i>
    <i>
      <x v="268"/>
    </i>
    <i>
      <x v="109"/>
    </i>
    <i>
      <x v="43"/>
    </i>
    <i>
      <x v="254"/>
    </i>
    <i>
      <x v="200"/>
    </i>
    <i>
      <x v="195"/>
    </i>
    <i>
      <x v="9"/>
    </i>
    <i>
      <x v="300"/>
    </i>
    <i>
      <x v="99"/>
    </i>
    <i>
      <x v="40"/>
    </i>
    <i>
      <x v="192"/>
    </i>
    <i>
      <x v="141"/>
    </i>
    <i>
      <x v="296"/>
    </i>
    <i>
      <x v="108"/>
    </i>
    <i>
      <x v="122"/>
    </i>
    <i>
      <x v="60"/>
    </i>
    <i>
      <x v="189"/>
    </i>
    <i>
      <x v="267"/>
    </i>
    <i>
      <x v="277"/>
    </i>
    <i>
      <x v="269"/>
    </i>
    <i>
      <x v="234"/>
    </i>
    <i>
      <x v="273"/>
    </i>
    <i>
      <x v="32"/>
    </i>
    <i>
      <x v="145"/>
    </i>
    <i>
      <x v="101"/>
    </i>
    <i>
      <x v="287"/>
    </i>
    <i>
      <x v="55"/>
    </i>
    <i>
      <x v="157"/>
    </i>
    <i>
      <x v="106"/>
    </i>
    <i>
      <x v="328"/>
    </i>
    <i>
      <x v="120"/>
    </i>
    <i>
      <x v="272"/>
    </i>
    <i>
      <x v="4"/>
    </i>
    <i>
      <x v="15"/>
    </i>
    <i>
      <x v="240"/>
    </i>
    <i>
      <x v="42"/>
    </i>
    <i>
      <x v="244"/>
    </i>
    <i>
      <x v="41"/>
    </i>
    <i>
      <x v="95"/>
    </i>
    <i>
      <x v="31"/>
    </i>
    <i>
      <x v="19"/>
    </i>
    <i>
      <x v="51"/>
    </i>
    <i>
      <x v="214"/>
    </i>
    <i>
      <x v="285"/>
    </i>
    <i>
      <x v="154"/>
    </i>
    <i>
      <x v="309"/>
    </i>
    <i>
      <x v="261"/>
    </i>
    <i>
      <x v="81"/>
    </i>
    <i>
      <x v="6"/>
    </i>
    <i>
      <x v="312"/>
    </i>
    <i>
      <x v="7"/>
    </i>
    <i>
      <x v="223"/>
    </i>
    <i>
      <x v="334"/>
    </i>
    <i>
      <x v="83"/>
    </i>
    <i>
      <x v="345"/>
    </i>
    <i>
      <x v="88"/>
    </i>
    <i>
      <x v="255"/>
    </i>
    <i>
      <x v="87"/>
    </i>
    <i>
      <x v="92"/>
    </i>
    <i>
      <x v="28"/>
    </i>
    <i>
      <x v="173"/>
    </i>
    <i>
      <x v="206"/>
    </i>
    <i>
      <x v="156"/>
    </i>
    <i>
      <x v="168"/>
    </i>
    <i>
      <x v="14"/>
    </i>
    <i>
      <x v="62"/>
    </i>
    <i>
      <x v="197"/>
    </i>
    <i>
      <x v="235"/>
    </i>
    <i>
      <x v="270"/>
    </i>
    <i>
      <x v="280"/>
    </i>
    <i>
      <x v="166"/>
    </i>
    <i>
      <x v="335"/>
    </i>
    <i>
      <x v="91"/>
    </i>
    <i>
      <x v="165"/>
    </i>
    <i>
      <x v="213"/>
    </i>
    <i>
      <x v="217"/>
    </i>
    <i>
      <x v="159"/>
    </i>
    <i>
      <x v="111"/>
    </i>
    <i>
      <x v="80"/>
    </i>
    <i>
      <x v="339"/>
    </i>
    <i>
      <x v="279"/>
    </i>
    <i>
      <x v="11"/>
    </i>
    <i>
      <x v="1"/>
    </i>
    <i>
      <x v="321"/>
    </i>
    <i>
      <x v="220"/>
    </i>
    <i>
      <x v="336"/>
    </i>
    <i>
      <x v="318"/>
    </i>
    <i>
      <x v="289"/>
    </i>
    <i>
      <x v="323"/>
    </i>
    <i>
      <x v="304"/>
    </i>
    <i>
      <x v="123"/>
    </i>
    <i>
      <x v="139"/>
    </i>
    <i>
      <x v="177"/>
    </i>
    <i>
      <x v="160"/>
    </i>
    <i>
      <x v="144"/>
    </i>
    <i>
      <x v="247"/>
    </i>
    <i>
      <x v="163"/>
    </i>
    <i>
      <x v="349"/>
    </i>
    <i>
      <x v="100"/>
    </i>
    <i>
      <x v="25"/>
    </i>
    <i>
      <x v="21"/>
    </i>
    <i>
      <x v="241"/>
    </i>
    <i>
      <x v="284"/>
    </i>
    <i>
      <x v="319"/>
    </i>
    <i>
      <x v="169"/>
    </i>
    <i>
      <x v="227"/>
    </i>
    <i>
      <x v="344"/>
    </i>
    <i>
      <x v="53"/>
    </i>
    <i>
      <x v="194"/>
    </i>
    <i>
      <x v="262"/>
    </i>
    <i>
      <x v="239"/>
    </i>
    <i>
      <x v="224"/>
    </i>
    <i>
      <x v="61"/>
    </i>
    <i>
      <x v="216"/>
    </i>
    <i>
      <x v="243"/>
    </i>
    <i>
      <x v="132"/>
    </i>
    <i>
      <x v="57"/>
    </i>
    <i>
      <x v="38"/>
    </i>
    <i>
      <x v="207"/>
    </i>
    <i>
      <x v="78"/>
    </i>
    <i>
      <x v="320"/>
    </i>
    <i>
      <x v="72"/>
    </i>
    <i>
      <x v="237"/>
    </i>
    <i>
      <x v="184"/>
    </i>
    <i>
      <x v="232"/>
    </i>
    <i>
      <x v="29"/>
    </i>
    <i>
      <x v="253"/>
    </i>
    <i>
      <x v="74"/>
    </i>
    <i>
      <x v="233"/>
    </i>
    <i>
      <x v="63"/>
    </i>
    <i>
      <x v="203"/>
    </i>
    <i>
      <x v="249"/>
    </i>
    <i>
      <x v="105"/>
    </i>
    <i>
      <x v="26"/>
    </i>
    <i>
      <x v="52"/>
    </i>
    <i>
      <x v="196"/>
    </i>
    <i>
      <x v="71"/>
    </i>
    <i>
      <x v="299"/>
    </i>
    <i>
      <x v="183"/>
    </i>
    <i>
      <x v="140"/>
    </i>
    <i>
      <x v="191"/>
    </i>
    <i>
      <x v="245"/>
    </i>
    <i>
      <x v="348"/>
    </i>
    <i>
      <x v="12"/>
    </i>
    <i>
      <x v="20"/>
    </i>
    <i>
      <x v="276"/>
    </i>
    <i>
      <x v="10"/>
    </i>
    <i>
      <x v="305"/>
    </i>
    <i>
      <x v="230"/>
    </i>
    <i>
      <x v="153"/>
    </i>
    <i>
      <x v="56"/>
    </i>
    <i>
      <x v="327"/>
    </i>
    <i>
      <x v="131"/>
    </i>
    <i>
      <x v="27"/>
    </i>
    <i>
      <x v="218"/>
    </i>
    <i>
      <x v="311"/>
    </i>
    <i>
      <x v="48"/>
    </i>
    <i>
      <x v="24"/>
    </i>
    <i>
      <x v="49"/>
    </i>
    <i>
      <x v="129"/>
    </i>
    <i>
      <x v="164"/>
    </i>
    <i>
      <x v="295"/>
    </i>
    <i>
      <x v="89"/>
    </i>
    <i>
      <x v="199"/>
    </i>
    <i>
      <x v="117"/>
    </i>
    <i>
      <x v="119"/>
    </i>
    <i>
      <x v="283"/>
    </i>
    <i>
      <x v="152"/>
    </i>
    <i>
      <x v="186"/>
    </i>
    <i>
      <x v="219"/>
    </i>
    <i>
      <x v="313"/>
    </i>
    <i>
      <x v="133"/>
    </i>
    <i>
      <x v="146"/>
    </i>
    <i>
      <x v="107"/>
    </i>
    <i>
      <x v="229"/>
    </i>
    <i>
      <x v="228"/>
    </i>
    <i>
      <x v="125"/>
    </i>
    <i>
      <x v="202"/>
    </i>
    <i>
      <x v="34"/>
    </i>
    <i>
      <x v="17"/>
    </i>
    <i>
      <x v="282"/>
    </i>
    <i>
      <x v="58"/>
    </i>
    <i>
      <x v="201"/>
    </i>
    <i>
      <x v="338"/>
    </i>
    <i>
      <x v="16"/>
    </i>
    <i>
      <x v="211"/>
    </i>
    <i>
      <x v="264"/>
    </i>
    <i>
      <x v="263"/>
    </i>
    <i>
      <x v="167"/>
    </i>
    <i>
      <x v="2"/>
    </i>
    <i>
      <x v="242"/>
    </i>
    <i>
      <x v="179"/>
    </i>
    <i>
      <x v="85"/>
    </i>
    <i>
      <x v="257"/>
    </i>
    <i>
      <x v="59"/>
    </i>
    <i>
      <x v="30"/>
    </i>
    <i>
      <x v="178"/>
    </i>
    <i>
      <x v="221"/>
    </i>
    <i>
      <x v="185"/>
    </i>
    <i>
      <x v="45"/>
    </i>
    <i>
      <x v="22"/>
    </i>
    <i>
      <x v="138"/>
    </i>
    <i>
      <x v="69"/>
    </i>
    <i>
      <x v="172"/>
    </i>
    <i>
      <x v="67"/>
    </i>
    <i>
      <x v="75"/>
    </i>
    <i>
      <x v="151"/>
    </i>
    <i>
      <x v="114"/>
    </i>
    <i>
      <x v="314"/>
    </i>
    <i>
      <x v="278"/>
    </i>
    <i>
      <x v="64"/>
    </i>
    <i>
      <x v="259"/>
    </i>
    <i>
      <x v="266"/>
    </i>
    <i>
      <x v="306"/>
    </i>
    <i>
      <x v="205"/>
    </i>
    <i>
      <x v="137"/>
    </i>
    <i>
      <x v="250"/>
    </i>
    <i>
      <x v="222"/>
    </i>
    <i>
      <x v="86"/>
    </i>
    <i>
      <x v="142"/>
    </i>
    <i>
      <x v="147"/>
    </i>
    <i>
      <x v="236"/>
    </i>
    <i>
      <x v="18"/>
    </i>
    <i>
      <x v="135"/>
    </i>
    <i>
      <x v="82"/>
    </i>
    <i>
      <x v="208"/>
    </i>
    <i>
      <x v="50"/>
    </i>
    <i>
      <x v="293"/>
    </i>
    <i>
      <x v="66"/>
    </i>
    <i>
      <x v="93"/>
    </i>
    <i>
      <x v="46"/>
    </i>
    <i>
      <x v="215"/>
    </i>
    <i>
      <x v="115"/>
    </i>
    <i>
      <x v="310"/>
    </i>
    <i>
      <x v="73"/>
    </i>
    <i>
      <x v="130"/>
    </i>
    <i>
      <x v="291"/>
    </i>
    <i>
      <x v="188"/>
    </i>
    <i>
      <x v="97"/>
    </i>
    <i>
      <x v="238"/>
    </i>
    <i>
      <x v="297"/>
    </i>
    <i>
      <x v="136"/>
    </i>
    <i>
      <x v="79"/>
    </i>
    <i>
      <x v="231"/>
    </i>
    <i>
      <x v="127"/>
    </i>
    <i>
      <x v="326"/>
    </i>
    <i>
      <x v="36"/>
    </i>
    <i>
      <x v="124"/>
    </i>
    <i>
      <x v="330"/>
    </i>
    <i>
      <x v="248"/>
    </i>
    <i>
      <x v="121"/>
    </i>
    <i>
      <x v="39"/>
    </i>
    <i>
      <x v="155"/>
    </i>
    <i>
      <x v="298"/>
    </i>
    <i>
      <x v="210"/>
    </i>
    <i>
      <x v="37"/>
    </i>
    <i>
      <x v="308"/>
    </i>
    <i>
      <x v="204"/>
    </i>
    <i>
      <x v="337"/>
    </i>
    <i>
      <x v="333"/>
    </i>
    <i>
      <x v="329"/>
    </i>
    <i>
      <x v="331"/>
    </i>
    <i>
      <x v="332"/>
    </i>
    <i>
      <x v="340"/>
    </i>
    <i>
      <x v="341"/>
    </i>
    <i>
      <x v="286"/>
    </i>
    <i>
      <x v="346"/>
    </i>
    <i>
      <x v="347"/>
    </i>
    <i t="grand">
      <x/>
    </i>
  </rowItems>
  <colItems count="1">
    <i/>
  </colItems>
  <dataFields count="1">
    <dataField name="Sum of Total of Views" fld="18" baseField="0" baseItem="3"/>
  </dataFields>
  <formats count="6">
    <format dxfId="17">
      <pivotArea collapsedLevelsAreSubtotals="1" fieldPosition="0">
        <references count="1">
          <reference field="0" count="5">
            <x v="3"/>
            <x v="35"/>
            <x v="181"/>
            <x v="190"/>
            <x v="225"/>
          </reference>
        </references>
      </pivotArea>
    </format>
    <format dxfId="16">
      <pivotArea dataOnly="0" labelOnly="1" fieldPosition="0">
        <references count="1">
          <reference field="0" count="5">
            <x v="3"/>
            <x v="35"/>
            <x v="181"/>
            <x v="190"/>
            <x v="225"/>
          </reference>
        </references>
      </pivotArea>
    </format>
    <format dxfId="15">
      <pivotArea collapsedLevelsAreSubtotals="1" fieldPosition="0">
        <references count="1">
          <reference field="0" count="5">
            <x v="3"/>
            <x v="116"/>
            <x v="190"/>
            <x v="198"/>
            <x v="274"/>
          </reference>
        </references>
      </pivotArea>
    </format>
    <format dxfId="14">
      <pivotArea dataOnly="0" labelOnly="1" fieldPosition="0">
        <references count="1">
          <reference field="0" count="5">
            <x v="3"/>
            <x v="116"/>
            <x v="190"/>
            <x v="198"/>
            <x v="274"/>
          </reference>
        </references>
      </pivotArea>
    </format>
    <format dxfId="13">
      <pivotArea collapsedLevelsAreSubtotals="1" fieldPosition="0">
        <references count="1">
          <reference field="0" count="6">
            <x v="35"/>
            <x v="102"/>
            <x v="181"/>
            <x v="212"/>
            <x v="225"/>
            <x v="256"/>
          </reference>
        </references>
      </pivotArea>
    </format>
    <format dxfId="12">
      <pivotArea dataOnly="0" labelOnly="1" fieldPosition="0">
        <references count="1">
          <reference field="0" count="6">
            <x v="35"/>
            <x v="102"/>
            <x v="181"/>
            <x v="212"/>
            <x v="225"/>
            <x v="25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B66" firstHeaderRow="1" firstDataRow="1" firstDataCol="1" rowPageCount="1" colPageCount="1"/>
  <pivotFields count="20">
    <pivotField axis="axisRow" showAll="0" sortType="descending">
      <items count="351">
        <item x="124"/>
        <item x="185"/>
        <item x="44"/>
        <item x="277"/>
        <item x="52"/>
        <item x="145"/>
        <item x="2"/>
        <item x="250"/>
        <item x="18"/>
        <item x="27"/>
        <item x="249"/>
        <item x="119"/>
        <item x="256"/>
        <item x="62"/>
        <item x="1"/>
        <item x="114"/>
        <item x="143"/>
        <item x="76"/>
        <item x="102"/>
        <item x="236"/>
        <item x="160"/>
        <item x="157"/>
        <item x="170"/>
        <item x="196"/>
        <item x="89"/>
        <item x="22"/>
        <item x="211"/>
        <item x="172"/>
        <item x="141"/>
        <item x="276"/>
        <item x="171"/>
        <item x="50"/>
        <item x="116"/>
        <item x="31"/>
        <item x="274"/>
        <item x="103"/>
        <item x="106"/>
        <item x="188"/>
        <item x="41"/>
        <item x="190"/>
        <item x="19"/>
        <item x="61"/>
        <item x="67"/>
        <item x="71"/>
        <item x="21"/>
        <item x="165"/>
        <item x="269"/>
        <item x="87"/>
        <item x="35"/>
        <item x="221"/>
        <item x="239"/>
        <item x="33"/>
        <item x="175"/>
        <item x="201"/>
        <item x="77"/>
        <item x="138"/>
        <item x="88"/>
        <item x="206"/>
        <item x="70"/>
        <item x="12"/>
        <item x="238"/>
        <item x="275"/>
        <item x="105"/>
        <item x="29"/>
        <item x="225"/>
        <item x="187"/>
        <item x="127"/>
        <item x="163"/>
        <item x="266"/>
        <item x="37"/>
        <item x="220"/>
        <item x="264"/>
        <item x="115"/>
        <item x="284"/>
        <item x="195"/>
        <item x="159"/>
        <item x="268"/>
        <item x="246"/>
        <item x="255"/>
        <item x="150"/>
        <item x="210"/>
        <item x="202"/>
        <item x="26"/>
        <item x="215"/>
        <item x="38"/>
        <item x="208"/>
        <item x="130"/>
        <item x="237"/>
        <item x="118"/>
        <item x="149"/>
        <item x="226"/>
        <item x="158"/>
        <item x="154"/>
        <item x="45"/>
        <item x="55"/>
        <item x="7"/>
        <item x="219"/>
        <item x="232"/>
        <item x="140"/>
        <item x="213"/>
        <item x="176"/>
        <item x="283"/>
        <item x="177"/>
        <item x="81"/>
        <item x="90"/>
        <item x="59"/>
        <item x="58"/>
        <item x="25"/>
        <item x="83"/>
        <item x="144"/>
        <item x="99"/>
        <item x="92"/>
        <item x="79"/>
        <item x="286"/>
        <item x="4"/>
        <item x="42"/>
        <item x="91"/>
        <item x="258"/>
        <item x="191"/>
        <item x="222"/>
        <item x="133"/>
        <item x="80"/>
        <item x="161"/>
        <item x="16"/>
        <item x="235"/>
        <item x="109"/>
        <item x="128"/>
        <item x="78"/>
        <item x="101"/>
        <item x="132"/>
        <item x="142"/>
        <item x="251"/>
        <item x="223"/>
        <item x="285"/>
        <item x="214"/>
        <item x="137"/>
        <item x="227"/>
        <item x="263"/>
        <item x="231"/>
        <item x="168"/>
        <item x="123"/>
        <item x="108"/>
        <item x="228"/>
        <item x="5"/>
        <item x="155"/>
        <item x="64"/>
        <item x="47"/>
        <item x="131"/>
        <item x="82"/>
        <item x="217"/>
        <item x="122"/>
        <item x="15"/>
        <item x="74"/>
        <item x="97"/>
        <item x="167"/>
        <item x="184"/>
        <item x="60"/>
        <item x="199"/>
        <item x="6"/>
        <item x="260"/>
        <item x="14"/>
        <item x="153"/>
        <item x="43"/>
        <item x="8"/>
        <item x="85"/>
        <item x="178"/>
        <item x="218"/>
        <item x="267"/>
        <item x="272"/>
        <item x="51"/>
        <item x="173"/>
        <item x="252"/>
        <item x="121"/>
        <item x="216"/>
        <item x="179"/>
        <item x="247"/>
        <item x="271"/>
        <item x="17"/>
        <item x="156"/>
        <item x="193"/>
        <item x="203"/>
        <item x="126"/>
        <item x="117"/>
        <item x="181"/>
        <item x="10"/>
        <item x="54"/>
        <item x="23"/>
        <item x="111"/>
        <item x="129"/>
        <item x="230"/>
        <item x="65"/>
        <item x="53"/>
        <item x="96"/>
        <item x="245"/>
        <item x="279"/>
        <item x="270"/>
        <item x="134"/>
        <item x="287"/>
        <item x="169"/>
        <item x="39"/>
        <item x="205"/>
        <item x="281"/>
        <item x="13"/>
        <item x="49"/>
        <item x="182"/>
        <item x="197"/>
        <item x="200"/>
        <item x="100"/>
        <item x="56"/>
        <item x="151"/>
        <item x="139"/>
        <item x="120"/>
        <item x="204"/>
        <item x="95"/>
        <item x="241"/>
        <item x="148"/>
        <item x="86"/>
        <item x="244"/>
        <item x="174"/>
        <item x="212"/>
        <item x="242"/>
        <item x="262"/>
        <item x="234"/>
        <item x="280"/>
        <item x="63"/>
        <item x="224"/>
        <item x="32"/>
        <item x="34"/>
        <item x="257"/>
        <item x="46"/>
        <item x="146"/>
        <item x="243"/>
        <item x="69"/>
        <item x="198"/>
        <item x="93"/>
        <item x="162"/>
        <item x="273"/>
        <item x="3"/>
        <item x="104"/>
        <item x="36"/>
        <item x="135"/>
        <item x="75"/>
        <item x="20"/>
        <item x="183"/>
        <item x="112"/>
        <item x="57"/>
        <item x="48"/>
        <item x="125"/>
        <item x="40"/>
        <item x="84"/>
        <item x="166"/>
        <item x="233"/>
        <item x="66"/>
        <item x="110"/>
        <item x="136"/>
        <item x="229"/>
        <item x="265"/>
        <item x="259"/>
        <item x="9"/>
        <item x="164"/>
        <item x="248"/>
        <item x="207"/>
        <item x="98"/>
        <item x="11"/>
        <item x="28"/>
        <item x="107"/>
        <item x="209"/>
        <item x="152"/>
        <item x="194"/>
        <item x="254"/>
        <item x="240"/>
        <item x="68"/>
        <item x="186"/>
        <item x="261"/>
        <item x="72"/>
        <item x="30"/>
        <item x="278"/>
        <item x="288"/>
        <item x="94"/>
        <item x="282"/>
        <item x="192"/>
        <item x="113"/>
        <item x="189"/>
        <item x="24"/>
        <item x="253"/>
        <item x="73"/>
        <item x="147"/>
        <item x="180"/>
        <item x="0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axis="axisPage" multipleItemSelectionAllowed="1" showAll="0">
      <items count="214"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x="55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2"/>
        <item h="1" x="143"/>
        <item h="1" x="144"/>
        <item h="1" x="145"/>
        <item h="1" x="146"/>
        <item h="1" x="147"/>
        <item h="1" x="148"/>
        <item h="1" x="149"/>
        <item h="1" x="150"/>
        <item h="1" x="151"/>
        <item h="1" x="152"/>
        <item h="1" x="153"/>
        <item h="1" x="154"/>
        <item h="1" x="155"/>
        <item h="1" x="156"/>
        <item h="1" x="157"/>
        <item h="1" x="158"/>
        <item h="1" x="159"/>
        <item h="1" x="160"/>
        <item h="1" x="161"/>
        <item h="1" x="162"/>
        <item h="1" x="163"/>
        <item h="1" x="164"/>
        <item h="1" x="165"/>
        <item h="1" x="166"/>
        <item h="1" x="167"/>
        <item h="1" x="168"/>
        <item h="1" x="0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</pivotFields>
  <rowFields count="1">
    <field x="0"/>
  </rowFields>
  <rowItems count="63">
    <i>
      <x v="325"/>
    </i>
    <i>
      <x v="303"/>
    </i>
    <i>
      <x v="292"/>
    </i>
    <i>
      <x v="294"/>
    </i>
    <i>
      <x v="317"/>
    </i>
    <i>
      <x v="342"/>
    </i>
    <i>
      <x v="301"/>
    </i>
    <i>
      <x v="307"/>
    </i>
    <i>
      <x v="343"/>
    </i>
    <i>
      <x v="23"/>
    </i>
    <i>
      <x v="290"/>
    </i>
    <i>
      <x v="322"/>
    </i>
    <i>
      <x v="324"/>
    </i>
    <i>
      <x v="302"/>
    </i>
    <i>
      <x v="315"/>
    </i>
    <i>
      <x v="316"/>
    </i>
    <i>
      <x v="300"/>
    </i>
    <i>
      <x v="296"/>
    </i>
    <i>
      <x v="328"/>
    </i>
    <i>
      <x v="309"/>
    </i>
    <i>
      <x v="312"/>
    </i>
    <i>
      <x v="334"/>
    </i>
    <i>
      <x v="345"/>
    </i>
    <i>
      <x v="335"/>
    </i>
    <i>
      <x v="339"/>
    </i>
    <i>
      <x v="321"/>
    </i>
    <i>
      <x v="336"/>
    </i>
    <i>
      <x v="318"/>
    </i>
    <i>
      <x v="289"/>
    </i>
    <i>
      <x v="323"/>
    </i>
    <i>
      <x v="304"/>
    </i>
    <i>
      <x v="349"/>
    </i>
    <i>
      <x v="319"/>
    </i>
    <i>
      <x v="344"/>
    </i>
    <i>
      <x v="320"/>
    </i>
    <i>
      <x v="299"/>
    </i>
    <i>
      <x v="348"/>
    </i>
    <i>
      <x v="305"/>
    </i>
    <i>
      <x v="327"/>
    </i>
    <i>
      <x v="311"/>
    </i>
    <i>
      <x v="295"/>
    </i>
    <i>
      <x v="313"/>
    </i>
    <i>
      <x v="338"/>
    </i>
    <i>
      <x v="314"/>
    </i>
    <i>
      <x v="306"/>
    </i>
    <i>
      <x v="293"/>
    </i>
    <i>
      <x v="310"/>
    </i>
    <i>
      <x v="291"/>
    </i>
    <i>
      <x v="297"/>
    </i>
    <i>
      <x v="326"/>
    </i>
    <i>
      <x v="330"/>
    </i>
    <i>
      <x v="298"/>
    </i>
    <i>
      <x v="308"/>
    </i>
    <i>
      <x v="337"/>
    </i>
    <i>
      <x v="333"/>
    </i>
    <i>
      <x v="329"/>
    </i>
    <i>
      <x v="331"/>
    </i>
    <i>
      <x v="332"/>
    </i>
    <i>
      <x v="340"/>
    </i>
    <i>
      <x v="341"/>
    </i>
    <i>
      <x v="346"/>
    </i>
    <i>
      <x v="347"/>
    </i>
    <i t="grand">
      <x/>
    </i>
  </rowItems>
  <colItems count="1">
    <i/>
  </colItems>
  <pageFields count="1">
    <pageField fld="2" hier="-1"/>
  </pageFields>
  <dataFields count="1">
    <dataField name="Sum of Total of Views" fld="18" baseField="0" baseItem="0"/>
  </dataFields>
  <formats count="4">
    <format dxfId="11">
      <pivotArea collapsedLevelsAreSubtotals="1" fieldPosition="0">
        <references count="1">
          <reference field="0" count="5">
            <x v="3"/>
            <x v="117"/>
            <x v="200"/>
            <x v="214"/>
            <x v="276"/>
          </reference>
        </references>
      </pivotArea>
    </format>
    <format dxfId="10">
      <pivotArea dataOnly="0" labelOnly="1" fieldPosition="0">
        <references count="1">
          <reference field="0" count="5">
            <x v="3"/>
            <x v="117"/>
            <x v="200"/>
            <x v="214"/>
            <x v="276"/>
          </reference>
        </references>
      </pivotArea>
    </format>
    <format dxfId="9">
      <pivotArea collapsedLevelsAreSubtotals="1" fieldPosition="0">
        <references count="1">
          <reference field="0" count="5">
            <x v="292"/>
            <x v="294"/>
            <x v="303"/>
            <x v="317"/>
            <x v="325"/>
          </reference>
        </references>
      </pivotArea>
    </format>
    <format dxfId="8">
      <pivotArea dataOnly="0" labelOnly="1" fieldPosition="0">
        <references count="1">
          <reference field="0" count="5">
            <x v="292"/>
            <x v="294"/>
            <x v="303"/>
            <x v="317"/>
            <x v="325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PivotTable1" cacheId="1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B354" firstHeaderRow="1" firstDataRow="1" firstDataCol="1"/>
  <pivotFields count="20">
    <pivotField axis="axisRow" showAll="0" sortType="descending">
      <items count="351">
        <item sd="0" x="0"/>
        <item sd="0" x="180"/>
        <item sd="0" x="147"/>
        <item sd="0" x="73"/>
        <item sd="0" x="253"/>
        <item sd="0" x="24"/>
        <item sd="0" x="189"/>
        <item sd="0" x="113"/>
        <item sd="0" x="192"/>
        <item sd="0" x="282"/>
        <item sd="0" x="94"/>
        <item sd="0" x="288"/>
        <item sd="0" x="278"/>
        <item sd="0" x="30"/>
        <item sd="0" x="72"/>
        <item sd="0" x="261"/>
        <item sd="0" x="186"/>
        <item sd="0" x="68"/>
        <item sd="0" x="240"/>
        <item sd="0" x="254"/>
        <item sd="0" x="194"/>
        <item sd="0" x="152"/>
        <item sd="0" x="209"/>
        <item sd="0" x="107"/>
        <item sd="0" x="28"/>
        <item sd="0" x="11"/>
        <item sd="0" x="98"/>
        <item sd="0" x="207"/>
        <item sd="0" x="248"/>
        <item sd="0" x="164"/>
        <item sd="0" x="9"/>
        <item sd="0" x="259"/>
        <item sd="0" x="265"/>
        <item sd="0" x="229"/>
        <item sd="0" x="136"/>
        <item sd="0" x="110"/>
        <item sd="0" x="66"/>
        <item sd="0" x="233"/>
        <item sd="0" x="166"/>
        <item sd="0" x="84"/>
        <item sd="0" x="40"/>
        <item sd="0" x="125"/>
        <item sd="0" x="48"/>
        <item sd="0" x="57"/>
        <item sd="0" x="112"/>
        <item sd="0" x="183"/>
        <item sd="0" x="20"/>
        <item sd="0" x="75"/>
        <item sd="0" x="135"/>
        <item sd="0" x="36"/>
        <item sd="0" x="104"/>
        <item sd="0" x="3"/>
        <item sd="0" x="273"/>
        <item sd="0" x="162"/>
        <item sd="0" x="93"/>
        <item sd="0" x="198"/>
        <item sd="0" x="69"/>
        <item sd="0" x="243"/>
        <item sd="0" x="146"/>
        <item sd="0" x="46"/>
        <item sd="0" x="257"/>
        <item sd="0" x="34"/>
        <item sd="0" x="32"/>
        <item sd="0" x="224"/>
        <item sd="0" x="63"/>
        <item sd="0" x="280"/>
        <item sd="0" x="234"/>
        <item sd="0" x="262"/>
        <item sd="0" x="242"/>
        <item sd="0" x="212"/>
        <item sd="0" x="174"/>
        <item sd="0" x="244"/>
        <item sd="0" x="86"/>
        <item sd="0" x="148"/>
        <item sd="0" x="241"/>
        <item sd="0" x="95"/>
        <item sd="0" x="204"/>
        <item sd="0" x="120"/>
        <item sd="0" x="139"/>
        <item sd="0" x="151"/>
        <item sd="0" x="56"/>
        <item sd="0" x="100"/>
        <item sd="0" x="200"/>
        <item sd="0" x="197"/>
        <item sd="0" x="182"/>
        <item sd="0" x="49"/>
        <item sd="0" x="13"/>
        <item sd="0" x="281"/>
        <item sd="0" x="205"/>
        <item sd="0" x="39"/>
        <item sd="0" x="169"/>
        <item sd="0" x="287"/>
        <item sd="0" x="134"/>
        <item sd="0" x="270"/>
        <item sd="0" x="279"/>
        <item sd="0" x="245"/>
        <item sd="0" x="96"/>
        <item sd="0" x="53"/>
        <item sd="0" x="65"/>
        <item sd="0" x="230"/>
        <item sd="0" x="129"/>
        <item sd="0" x="111"/>
        <item sd="0" x="23"/>
        <item sd="0" x="54"/>
        <item sd="0" x="10"/>
        <item sd="0" x="181"/>
        <item sd="0" x="117"/>
        <item sd="0" x="126"/>
        <item sd="0" x="203"/>
        <item sd="0" x="193"/>
        <item sd="0" x="156"/>
        <item sd="0" x="17"/>
        <item sd="0" x="271"/>
        <item sd="0" x="247"/>
        <item sd="0" x="179"/>
        <item sd="0" x="216"/>
        <item sd="0" x="121"/>
        <item sd="0" x="252"/>
        <item sd="0" x="173"/>
        <item sd="0" x="51"/>
        <item sd="0" x="272"/>
        <item sd="0" x="267"/>
        <item sd="0" x="218"/>
        <item sd="0" x="178"/>
        <item sd="0" x="85"/>
        <item sd="0" x="8"/>
        <item sd="0" x="43"/>
        <item sd="0" x="153"/>
        <item sd="0" x="14"/>
        <item sd="0" x="260"/>
        <item sd="0" x="6"/>
        <item sd="0" x="199"/>
        <item sd="0" x="60"/>
        <item sd="0" x="184"/>
        <item sd="0" x="167"/>
        <item sd="0" x="97"/>
        <item sd="0" x="74"/>
        <item sd="0" x="15"/>
        <item sd="0" x="122"/>
        <item sd="0" x="217"/>
        <item sd="0" x="82"/>
        <item sd="0" x="131"/>
        <item sd="0" x="47"/>
        <item sd="0" x="64"/>
        <item sd="0" x="155"/>
        <item sd="0" x="5"/>
        <item sd="0" x="228"/>
        <item sd="0" x="108"/>
        <item sd="0" x="123"/>
        <item sd="0" x="168"/>
        <item sd="0" x="231"/>
        <item sd="0" x="263"/>
        <item sd="0" x="227"/>
        <item sd="0" x="137"/>
        <item sd="0" x="214"/>
        <item sd="0" x="223"/>
        <item sd="0" x="251"/>
        <item sd="0" x="142"/>
        <item sd="0" x="132"/>
        <item sd="0" x="101"/>
        <item sd="0" x="78"/>
        <item sd="0" x="128"/>
        <item sd="0" x="109"/>
        <item sd="0" x="235"/>
        <item sd="0" x="16"/>
        <item sd="0" x="161"/>
        <item sd="0" x="80"/>
        <item sd="0" x="133"/>
        <item sd="0" x="222"/>
        <item sd="0" x="191"/>
        <item sd="0" x="258"/>
        <item sd="0" x="91"/>
        <item sd="0" x="42"/>
        <item sd="0" x="4"/>
        <item sd="0" x="286"/>
        <item sd="0" x="79"/>
        <item sd="0" x="92"/>
        <item sd="0" x="99"/>
        <item sd="0" x="144"/>
        <item sd="0" x="83"/>
        <item sd="0" x="25"/>
        <item sd="0" x="58"/>
        <item sd="0" x="59"/>
        <item sd="0" x="90"/>
        <item sd="0" x="81"/>
        <item sd="0" x="177"/>
        <item sd="0" x="283"/>
        <item sd="0" x="176"/>
        <item sd="0" x="213"/>
        <item sd="0" x="140"/>
        <item sd="0" x="232"/>
        <item sd="0" x="219"/>
        <item sd="0" x="7"/>
        <item sd="0" x="55"/>
        <item sd="0" x="45"/>
        <item sd="0" x="154"/>
        <item sd="0" x="158"/>
        <item sd="0" x="226"/>
        <item sd="0" x="149"/>
        <item sd="0" x="118"/>
        <item sd="0" x="237"/>
        <item sd="0" x="130"/>
        <item sd="0" x="208"/>
        <item sd="0" x="38"/>
        <item sd="0" x="215"/>
        <item sd="0" x="26"/>
        <item sd="0" x="202"/>
        <item sd="0" x="210"/>
        <item sd="0" x="150"/>
        <item sd="0" x="255"/>
        <item sd="0" x="246"/>
        <item sd="0" x="268"/>
        <item sd="0" x="159"/>
        <item sd="0" x="195"/>
        <item sd="0" x="284"/>
        <item sd="0" x="115"/>
        <item sd="0" x="264"/>
        <item sd="0" x="220"/>
        <item sd="0" x="37"/>
        <item sd="0" x="266"/>
        <item sd="0" x="163"/>
        <item sd="0" x="127"/>
        <item sd="0" x="187"/>
        <item sd="0" x="225"/>
        <item sd="0" x="29"/>
        <item sd="0" x="105"/>
        <item sd="0" x="275"/>
        <item sd="0" x="238"/>
        <item sd="0" x="12"/>
        <item sd="0" x="70"/>
        <item sd="0" x="206"/>
        <item sd="0" x="88"/>
        <item sd="0" x="138"/>
        <item sd="0" x="77"/>
        <item sd="0" x="201"/>
        <item sd="0" x="175"/>
        <item sd="0" x="33"/>
        <item sd="0" x="239"/>
        <item sd="0" x="221"/>
        <item sd="0" x="35"/>
        <item sd="0" x="87"/>
        <item sd="0" x="165"/>
        <item sd="0" x="21"/>
        <item sd="0" x="71"/>
        <item sd="0" x="67"/>
        <item sd="0" x="61"/>
        <item sd="0" x="19"/>
        <item sd="0" x="190"/>
        <item sd="0" x="41"/>
        <item sd="0" x="188"/>
        <item sd="0" x="106"/>
        <item sd="0" x="103"/>
        <item sd="0" x="274"/>
        <item sd="0" x="31"/>
        <item sd="0" x="116"/>
        <item sd="0" x="50"/>
        <item sd="0" x="171"/>
        <item sd="0" x="276"/>
        <item sd="0" x="141"/>
        <item sd="0" x="172"/>
        <item sd="0" x="211"/>
        <item sd="0" x="22"/>
        <item sd="0" x="89"/>
        <item sd="0" x="196"/>
        <item sd="0" x="170"/>
        <item sd="0" x="157"/>
        <item sd="0" x="160"/>
        <item sd="0" x="236"/>
        <item sd="0" x="102"/>
        <item sd="0" x="76"/>
        <item sd="0" x="143"/>
        <item sd="0" x="114"/>
        <item sd="0" x="1"/>
        <item sd="0" x="62"/>
        <item sd="0" x="256"/>
        <item sd="0" x="119"/>
        <item sd="0" x="249"/>
        <item sd="0" x="27"/>
        <item sd="0" x="18"/>
        <item sd="0" x="250"/>
        <item sd="0" x="2"/>
        <item sd="0" x="145"/>
        <item sd="0" x="52"/>
        <item sd="0" x="277"/>
        <item sd="0" x="44"/>
        <item sd="0" x="185"/>
        <item sd="0" x="124"/>
        <item sd="0" x="269"/>
        <item sd="0" x="285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t="default" sd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351">
    <i>
      <x v="283"/>
    </i>
    <i>
      <x v="74"/>
    </i>
    <i>
      <x v="88"/>
    </i>
    <i>
      <x v="96"/>
    </i>
    <i>
      <x v="112"/>
    </i>
    <i>
      <x v="141"/>
    </i>
    <i>
      <x v="317"/>
    </i>
    <i>
      <x v="282"/>
    </i>
    <i>
      <x v="176"/>
    </i>
    <i>
      <x v="152"/>
    </i>
    <i>
      <x v="302"/>
    </i>
    <i>
      <x v="160"/>
    </i>
    <i>
      <x v="113"/>
    </i>
    <i>
      <x v="233"/>
    </i>
    <i>
      <x v="128"/>
    </i>
    <i>
      <x v="300"/>
    </i>
    <i>
      <x v="132"/>
    </i>
    <i>
      <x v="170"/>
    </i>
    <i>
      <x v="242"/>
    </i>
    <i>
      <x v="184"/>
    </i>
    <i>
      <x v="199"/>
    </i>
    <i>
      <x v="271"/>
    </i>
    <i>
      <x v="196"/>
    </i>
    <i>
      <x v="215"/>
    </i>
    <i>
      <x v="235"/>
    </i>
    <i>
      <x v="223"/>
    </i>
    <i>
      <x v="321"/>
    </i>
    <i>
      <x v="68"/>
    </i>
    <i>
      <x v="1"/>
    </i>
    <i>
      <x v="221"/>
    </i>
    <i>
      <x v="135"/>
    </i>
    <i>
      <x v="318"/>
    </i>
    <i>
      <x v="110"/>
    </i>
    <i>
      <x v="203"/>
    </i>
    <i>
      <x v="225"/>
    </i>
    <i>
      <x v="234"/>
    </i>
    <i>
      <x v="32"/>
    </i>
    <i>
      <x v="263"/>
    </i>
    <i>
      <x v="291"/>
    </i>
    <i>
      <x v="90"/>
    </i>
    <i>
      <x v="138"/>
    </i>
    <i>
      <x v="30"/>
    </i>
    <i>
      <x v="94"/>
    </i>
    <i>
      <x v="26"/>
    </i>
    <i>
      <x v="105"/>
    </i>
    <i>
      <x v="230"/>
    </i>
    <i>
      <x v="273"/>
    </i>
    <i>
      <x v="325"/>
    </i>
    <i>
      <x v="63"/>
    </i>
    <i>
      <x v="277"/>
    </i>
    <i>
      <x v="238"/>
    </i>
    <i>
      <x v="191"/>
    </i>
    <i>
      <x v="296"/>
    </i>
    <i>
      <x v="342"/>
    </i>
    <i>
      <x v="194"/>
    </i>
    <i>
      <x v="244"/>
    </i>
    <i>
      <x v="173"/>
    </i>
    <i>
      <x v="33"/>
    </i>
    <i>
      <x v="45"/>
    </i>
    <i>
      <x v="84"/>
    </i>
    <i>
      <x v="287"/>
    </i>
    <i>
      <x v="255"/>
    </i>
    <i>
      <x v="6"/>
    </i>
    <i>
      <x v="272"/>
    </i>
    <i>
      <x v="245"/>
    </i>
    <i>
      <x v="349"/>
    </i>
    <i>
      <x v="285"/>
    </i>
    <i>
      <x v="279"/>
    </i>
    <i>
      <x v="20"/>
    </i>
    <i>
      <x v="61"/>
    </i>
    <i>
      <x v="24"/>
    </i>
    <i>
      <x v="339"/>
    </i>
    <i>
      <x v="95"/>
    </i>
    <i>
      <x v="289"/>
    </i>
    <i>
      <x v="188"/>
    </i>
    <i>
      <x v="148"/>
    </i>
    <i>
      <x v="248"/>
    </i>
    <i>
      <x v="231"/>
    </i>
    <i>
      <x v="25"/>
    </i>
    <i>
      <x v="202"/>
    </i>
    <i>
      <x v="348"/>
    </i>
    <i>
      <x v="18"/>
    </i>
    <i>
      <x v="97"/>
    </i>
    <i>
      <x v="91"/>
    </i>
    <i>
      <x v="103"/>
    </i>
    <i>
      <x v="261"/>
    </i>
    <i>
      <x v="146"/>
    </i>
    <i>
      <x v="315"/>
    </i>
    <i>
      <x v="294"/>
    </i>
    <i>
      <x v="212"/>
    </i>
    <i>
      <x v="316"/>
    </i>
    <i>
      <x v="278"/>
    </i>
    <i>
      <x v="154"/>
    </i>
    <i>
      <x v="217"/>
    </i>
    <i>
      <x v="343"/>
    </i>
    <i>
      <x v="216"/>
    </i>
    <i>
      <x v="333"/>
    </i>
    <i>
      <x v="247"/>
    </i>
    <i>
      <x v="93"/>
    </i>
    <i>
      <x v="180"/>
    </i>
    <i>
      <x v="293"/>
    </i>
    <i>
      <x v="69"/>
    </i>
    <i>
      <x v="114"/>
    </i>
    <i>
      <x v="2"/>
    </i>
    <i>
      <x v="158"/>
    </i>
    <i>
      <x v="119"/>
    </i>
    <i>
      <x v="155"/>
    </i>
    <i>
      <x v="241"/>
    </i>
    <i>
      <x v="9"/>
    </i>
    <i>
      <x v="31"/>
    </i>
    <i>
      <x v="251"/>
    </i>
    <i>
      <x v="239"/>
    </i>
    <i>
      <x v="46"/>
    </i>
    <i>
      <x v="130"/>
    </i>
    <i>
      <x v="270"/>
    </i>
    <i>
      <x v="86"/>
    </i>
    <i>
      <x v="243"/>
    </i>
    <i>
      <x v="222"/>
    </i>
    <i>
      <x v="209"/>
    </i>
    <i>
      <x v="16"/>
    </i>
    <i>
      <x v="23"/>
    </i>
    <i>
      <x v="80"/>
    </i>
    <i>
      <x v="12"/>
    </i>
    <i>
      <x v="168"/>
    </i>
    <i>
      <x v="303"/>
    </i>
    <i>
      <x v="267"/>
    </i>
    <i>
      <x v="275"/>
    </i>
    <i>
      <x v="182"/>
    </i>
    <i>
      <x v="153"/>
    </i>
    <i>
      <x v="253"/>
    </i>
    <i>
      <x v="116"/>
    </i>
    <i>
      <x v="224"/>
    </i>
    <i>
      <x v="345"/>
    </i>
    <i>
      <x v="22"/>
    </i>
    <i>
      <x v="34"/>
    </i>
    <i>
      <x v="5"/>
    </i>
    <i>
      <x v="204"/>
    </i>
    <i>
      <x v="187"/>
    </i>
    <i>
      <x v="117"/>
    </i>
    <i>
      <x v="17"/>
    </i>
    <i>
      <x v="66"/>
    </i>
    <i>
      <x v="107"/>
    </i>
    <i>
      <x v="156"/>
    </i>
    <i>
      <x v="101"/>
    </i>
    <i>
      <x v="186"/>
    </i>
    <i>
      <x v="15"/>
    </i>
    <i>
      <x v="254"/>
    </i>
    <i>
      <x v="118"/>
    </i>
    <i>
      <x v="42"/>
    </i>
    <i>
      <x v="129"/>
    </i>
    <i>
      <x v="249"/>
    </i>
    <i>
      <x v="192"/>
    </i>
    <i>
      <x v="232"/>
    </i>
    <i>
      <x v="166"/>
    </i>
    <i>
      <x v="205"/>
    </i>
    <i>
      <x v="3"/>
    </i>
    <i>
      <x v="54"/>
    </i>
    <i>
      <x v="167"/>
    </i>
    <i>
      <x v="265"/>
    </i>
    <i>
      <x v="229"/>
    </i>
    <i>
      <x v="179"/>
    </i>
    <i>
      <x v="174"/>
    </i>
    <i>
      <x v="64"/>
    </i>
    <i>
      <x v="126"/>
    </i>
    <i>
      <x v="115"/>
    </i>
    <i>
      <x v="169"/>
    </i>
    <i>
      <x v="60"/>
    </i>
    <i>
      <x v="92"/>
    </i>
    <i>
      <x v="328"/>
    </i>
    <i>
      <x v="208"/>
    </i>
    <i>
      <x v="121"/>
    </i>
    <i>
      <x v="40"/>
    </i>
    <i>
      <x v="57"/>
    </i>
    <i>
      <x v="211"/>
    </i>
    <i>
      <x v="290"/>
    </i>
    <i>
      <x v="43"/>
    </i>
    <i>
      <x v="44"/>
    </i>
    <i>
      <x v="109"/>
    </i>
    <i>
      <x v="276"/>
    </i>
    <i>
      <x v="320"/>
    </i>
    <i>
      <x v="77"/>
    </i>
    <i>
      <x v="102"/>
    </i>
    <i>
      <x v="175"/>
    </i>
    <i>
      <x v="104"/>
    </i>
    <i>
      <x v="281"/>
    </i>
    <i>
      <x v="47"/>
    </i>
    <i>
      <x v="100"/>
    </i>
    <i>
      <x v="87"/>
    </i>
    <i>
      <x v="326"/>
    </i>
    <i>
      <x v="344"/>
    </i>
    <i>
      <x v="59"/>
    </i>
    <i>
      <x v="49"/>
    </i>
    <i>
      <x v="213"/>
    </i>
    <i>
      <x v="7"/>
    </i>
    <i>
      <x v="140"/>
    </i>
    <i>
      <x v="10"/>
    </i>
    <i>
      <x v="28"/>
    </i>
    <i>
      <x v="72"/>
    </i>
    <i>
      <x v="306"/>
    </i>
    <i>
      <x v="123"/>
    </i>
    <i>
      <x v="322"/>
    </i>
    <i>
      <x v="76"/>
    </i>
    <i>
      <x v="181"/>
    </i>
    <i>
      <x v="266"/>
    </i>
    <i>
      <x v="48"/>
    </i>
    <i>
      <x v="52"/>
    </i>
    <i>
      <x v="206"/>
    </i>
    <i>
      <x v="264"/>
    </i>
    <i>
      <x v="149"/>
    </i>
    <i>
      <x v="178"/>
    </i>
    <i>
      <x v="269"/>
    </i>
    <i>
      <x v="131"/>
    </i>
    <i>
      <x v="307"/>
    </i>
    <i>
      <x v="108"/>
    </i>
    <i>
      <x v="259"/>
    </i>
    <i>
      <x v="133"/>
    </i>
    <i>
      <x v="19"/>
    </i>
    <i>
      <x v="89"/>
    </i>
    <i>
      <x v="301"/>
    </i>
    <i>
      <x v="14"/>
    </i>
    <i>
      <x v="75"/>
    </i>
    <i>
      <x v="200"/>
    </i>
    <i>
      <x v="314"/>
    </i>
    <i>
      <x v="286"/>
    </i>
    <i>
      <x v="65"/>
    </i>
    <i>
      <x v="219"/>
    </i>
    <i>
      <x v="226"/>
    </i>
    <i>
      <x v="71"/>
    </i>
    <i>
      <x v="83"/>
    </i>
    <i>
      <x v="142"/>
    </i>
    <i>
      <x v="56"/>
    </i>
    <i>
      <x v="145"/>
    </i>
    <i>
      <x v="79"/>
    </i>
    <i>
      <x v="124"/>
    </i>
    <i>
      <x v="144"/>
    </i>
    <i>
      <x v="324"/>
    </i>
    <i>
      <x v="312"/>
    </i>
    <i>
      <x v="120"/>
    </i>
    <i>
      <x v="62"/>
    </i>
    <i>
      <x v="164"/>
    </i>
    <i>
      <x v="99"/>
    </i>
    <i>
      <x v="165"/>
    </i>
    <i>
      <x v="227"/>
    </i>
    <i>
      <x v="260"/>
    </i>
    <i>
      <x v="327"/>
    </i>
    <i>
      <x v="262"/>
    </i>
    <i>
      <x v="292"/>
    </i>
    <i>
      <x v="39"/>
    </i>
    <i>
      <x v="147"/>
    </i>
    <i>
      <x v="207"/>
    </i>
    <i>
      <x v="73"/>
    </i>
    <i>
      <x v="274"/>
    </i>
    <i>
      <x v="189"/>
    </i>
    <i>
      <x v="136"/>
    </i>
    <i>
      <x v="228"/>
    </i>
    <i>
      <x v="27"/>
    </i>
    <i>
      <x v="67"/>
    </i>
    <i>
      <x v="139"/>
    </i>
    <i>
      <x v="85"/>
    </i>
    <i>
      <x v="288"/>
    </i>
    <i>
      <x v="183"/>
    </i>
    <i>
      <x v="338"/>
    </i>
    <i>
      <x v="78"/>
    </i>
    <i>
      <x v="150"/>
    </i>
    <i>
      <x v="257"/>
    </i>
    <i>
      <x v="11"/>
    </i>
    <i>
      <x v="201"/>
    </i>
    <i>
      <x v="163"/>
    </i>
    <i>
      <x v="35"/>
    </i>
    <i>
      <x v="319"/>
    </i>
    <i>
      <x v="198"/>
    </i>
    <i>
      <x v="210"/>
    </i>
    <i>
      <x v="125"/>
    </i>
    <i>
      <x v="336"/>
    </i>
    <i>
      <x v="81"/>
    </i>
    <i>
      <x v="256"/>
    </i>
    <i>
      <x v="55"/>
    </i>
    <i>
      <x v="313"/>
    </i>
    <i>
      <x v="38"/>
    </i>
    <i>
      <x v="197"/>
    </i>
    <i>
      <x v="298"/>
    </i>
    <i>
      <x v="58"/>
    </i>
    <i>
      <x v="127"/>
    </i>
    <i>
      <x v="53"/>
    </i>
    <i>
      <x v="177"/>
    </i>
    <i>
      <x v="172"/>
    </i>
    <i>
      <x v="305"/>
    </i>
    <i>
      <x v="335"/>
    </i>
    <i>
      <x v="82"/>
    </i>
    <i>
      <x v="337"/>
    </i>
    <i>
      <x v="237"/>
    </i>
    <i>
      <x v="106"/>
    </i>
    <i>
      <x v="309"/>
    </i>
    <i>
      <x v="21"/>
    </i>
    <i>
      <x v="311"/>
    </i>
    <i>
      <x v="193"/>
    </i>
    <i>
      <x v="240"/>
    </i>
    <i>
      <x v="70"/>
    </i>
    <i>
      <x v="50"/>
    </i>
    <i>
      <x v="297"/>
    </i>
    <i>
      <x v="323"/>
    </i>
    <i>
      <x v="51"/>
    </i>
    <i>
      <x v="331"/>
    </i>
    <i>
      <x v="299"/>
    </i>
    <i>
      <x v="143"/>
    </i>
    <i>
      <x v="185"/>
    </i>
    <i>
      <x v="347"/>
    </i>
    <i>
      <x v="220"/>
    </i>
    <i>
      <x v="214"/>
    </i>
    <i>
      <x v="162"/>
    </i>
    <i>
      <x v="329"/>
    </i>
    <i>
      <x v="36"/>
    </i>
    <i>
      <x v="250"/>
    </i>
    <i>
      <x v="304"/>
    </i>
    <i>
      <x v="161"/>
    </i>
    <i>
      <x v="171"/>
    </i>
    <i>
      <x v="341"/>
    </i>
    <i>
      <x v="236"/>
    </i>
    <i>
      <x v="159"/>
    </i>
    <i>
      <x v="258"/>
    </i>
    <i>
      <x v="218"/>
    </i>
    <i>
      <x v="308"/>
    </i>
    <i>
      <x v="37"/>
    </i>
    <i>
      <x/>
    </i>
    <i>
      <x v="190"/>
    </i>
    <i>
      <x v="310"/>
    </i>
    <i>
      <x v="4"/>
    </i>
    <i>
      <x v="134"/>
    </i>
    <i>
      <x v="330"/>
    </i>
    <i>
      <x v="41"/>
    </i>
    <i>
      <x v="332"/>
    </i>
    <i>
      <x v="246"/>
    </i>
    <i>
      <x v="334"/>
    </i>
    <i>
      <x v="13"/>
    </i>
    <i>
      <x v="252"/>
    </i>
    <i>
      <x v="8"/>
    </i>
    <i>
      <x v="268"/>
    </i>
    <i>
      <x v="280"/>
    </i>
    <i>
      <x v="340"/>
    </i>
    <i>
      <x v="151"/>
    </i>
    <i>
      <x v="157"/>
    </i>
    <i>
      <x v="111"/>
    </i>
    <i>
      <x v="122"/>
    </i>
    <i>
      <x v="137"/>
    </i>
    <i>
      <x v="346"/>
    </i>
    <i>
      <x v="195"/>
    </i>
    <i>
      <x v="295"/>
    </i>
    <i>
      <x v="29"/>
    </i>
    <i>
      <x v="284"/>
    </i>
    <i>
      <x v="98"/>
    </i>
    <i t="grand">
      <x/>
    </i>
  </rowItems>
  <colItems count="1">
    <i/>
  </colItems>
  <dataFields count="1">
    <dataField name="Max of Total of Comments" fld="19" subtotal="max" baseField="0" baseItem="88"/>
  </dataFields>
  <formats count="2">
    <format dxfId="7">
      <pivotArea collapsedLevelsAreSubtotals="1" fieldPosition="0">
        <references count="1">
          <reference field="0" count="5">
            <x v="74"/>
            <x v="88"/>
            <x v="96"/>
            <x v="112"/>
            <x v="283"/>
          </reference>
        </references>
      </pivotArea>
    </format>
    <format dxfId="6">
      <pivotArea dataOnly="0" labelOnly="1" fieldPosition="0">
        <references count="1">
          <reference field="0" count="5">
            <x v="74"/>
            <x v="88"/>
            <x v="96"/>
            <x v="112"/>
            <x v="28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.xml><?xml version="1.0" encoding="utf-8"?>
<pivotTableDefinition xmlns="http://schemas.openxmlformats.org/spreadsheetml/2006/main" name="PivotTable2" cacheId="1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B66" firstHeaderRow="1" firstDataRow="1" firstDataCol="1" rowPageCount="1" colPageCount="1"/>
  <pivotFields count="20">
    <pivotField axis="axisRow" showAll="0" sortType="descending">
      <items count="351">
        <item x="124"/>
        <item x="185"/>
        <item x="44"/>
        <item x="277"/>
        <item x="52"/>
        <item x="145"/>
        <item x="2"/>
        <item x="250"/>
        <item x="18"/>
        <item x="27"/>
        <item x="249"/>
        <item x="119"/>
        <item x="256"/>
        <item x="62"/>
        <item x="1"/>
        <item x="114"/>
        <item x="143"/>
        <item x="76"/>
        <item x="102"/>
        <item x="236"/>
        <item x="160"/>
        <item x="157"/>
        <item x="170"/>
        <item x="196"/>
        <item x="89"/>
        <item x="22"/>
        <item x="211"/>
        <item x="172"/>
        <item x="141"/>
        <item x="276"/>
        <item x="171"/>
        <item x="50"/>
        <item x="116"/>
        <item x="31"/>
        <item x="274"/>
        <item x="103"/>
        <item x="106"/>
        <item x="188"/>
        <item x="41"/>
        <item x="190"/>
        <item x="19"/>
        <item x="61"/>
        <item x="67"/>
        <item x="71"/>
        <item x="21"/>
        <item x="165"/>
        <item x="269"/>
        <item x="87"/>
        <item x="35"/>
        <item x="221"/>
        <item x="239"/>
        <item x="33"/>
        <item x="175"/>
        <item x="201"/>
        <item x="77"/>
        <item x="138"/>
        <item x="88"/>
        <item x="206"/>
        <item x="70"/>
        <item x="12"/>
        <item x="238"/>
        <item x="275"/>
        <item x="105"/>
        <item x="29"/>
        <item x="225"/>
        <item x="187"/>
        <item x="127"/>
        <item x="163"/>
        <item x="266"/>
        <item x="37"/>
        <item x="220"/>
        <item x="264"/>
        <item x="115"/>
        <item x="284"/>
        <item x="195"/>
        <item x="159"/>
        <item x="268"/>
        <item x="246"/>
        <item x="255"/>
        <item x="150"/>
        <item x="210"/>
        <item x="202"/>
        <item x="26"/>
        <item x="215"/>
        <item x="38"/>
        <item x="208"/>
        <item x="130"/>
        <item x="237"/>
        <item x="118"/>
        <item x="149"/>
        <item x="226"/>
        <item x="158"/>
        <item x="154"/>
        <item x="45"/>
        <item x="55"/>
        <item x="7"/>
        <item x="219"/>
        <item x="232"/>
        <item x="140"/>
        <item x="213"/>
        <item x="176"/>
        <item x="283"/>
        <item x="177"/>
        <item x="81"/>
        <item x="90"/>
        <item x="59"/>
        <item x="58"/>
        <item x="25"/>
        <item x="83"/>
        <item x="144"/>
        <item x="99"/>
        <item x="92"/>
        <item x="79"/>
        <item x="286"/>
        <item x="4"/>
        <item x="42"/>
        <item x="91"/>
        <item x="258"/>
        <item x="191"/>
        <item x="222"/>
        <item x="133"/>
        <item x="80"/>
        <item x="161"/>
        <item x="16"/>
        <item x="235"/>
        <item x="109"/>
        <item x="128"/>
        <item x="78"/>
        <item x="101"/>
        <item x="132"/>
        <item x="142"/>
        <item x="251"/>
        <item x="223"/>
        <item x="285"/>
        <item x="214"/>
        <item x="137"/>
        <item x="227"/>
        <item x="263"/>
        <item x="231"/>
        <item x="168"/>
        <item x="123"/>
        <item x="108"/>
        <item x="228"/>
        <item x="5"/>
        <item x="155"/>
        <item x="64"/>
        <item x="47"/>
        <item x="131"/>
        <item x="82"/>
        <item x="217"/>
        <item x="122"/>
        <item x="15"/>
        <item x="74"/>
        <item x="97"/>
        <item x="167"/>
        <item x="184"/>
        <item x="60"/>
        <item x="199"/>
        <item x="6"/>
        <item x="260"/>
        <item x="14"/>
        <item x="153"/>
        <item x="43"/>
        <item x="8"/>
        <item x="85"/>
        <item x="178"/>
        <item x="218"/>
        <item x="267"/>
        <item x="272"/>
        <item x="51"/>
        <item x="173"/>
        <item x="252"/>
        <item x="121"/>
        <item x="216"/>
        <item x="179"/>
        <item x="247"/>
        <item x="271"/>
        <item x="17"/>
        <item x="156"/>
        <item x="193"/>
        <item x="203"/>
        <item x="126"/>
        <item x="117"/>
        <item x="181"/>
        <item x="10"/>
        <item x="54"/>
        <item x="23"/>
        <item x="111"/>
        <item x="129"/>
        <item x="230"/>
        <item x="65"/>
        <item x="53"/>
        <item x="96"/>
        <item x="245"/>
        <item x="279"/>
        <item x="270"/>
        <item x="134"/>
        <item x="287"/>
        <item x="169"/>
        <item x="39"/>
        <item x="205"/>
        <item x="281"/>
        <item x="13"/>
        <item x="49"/>
        <item x="182"/>
        <item x="197"/>
        <item x="200"/>
        <item x="100"/>
        <item x="56"/>
        <item x="151"/>
        <item x="139"/>
        <item x="120"/>
        <item x="204"/>
        <item x="95"/>
        <item x="241"/>
        <item x="148"/>
        <item x="86"/>
        <item x="244"/>
        <item x="174"/>
        <item x="212"/>
        <item x="242"/>
        <item x="262"/>
        <item x="234"/>
        <item x="280"/>
        <item x="63"/>
        <item x="224"/>
        <item x="32"/>
        <item x="34"/>
        <item x="257"/>
        <item x="46"/>
        <item x="146"/>
        <item x="243"/>
        <item x="69"/>
        <item x="198"/>
        <item x="93"/>
        <item x="162"/>
        <item x="273"/>
        <item x="3"/>
        <item x="104"/>
        <item x="36"/>
        <item x="135"/>
        <item x="75"/>
        <item x="20"/>
        <item x="183"/>
        <item x="112"/>
        <item x="57"/>
        <item x="48"/>
        <item x="125"/>
        <item x="40"/>
        <item x="84"/>
        <item x="166"/>
        <item x="233"/>
        <item x="66"/>
        <item x="110"/>
        <item x="136"/>
        <item x="229"/>
        <item x="265"/>
        <item x="259"/>
        <item x="9"/>
        <item x="164"/>
        <item x="248"/>
        <item x="207"/>
        <item x="98"/>
        <item x="11"/>
        <item x="28"/>
        <item x="107"/>
        <item x="209"/>
        <item x="152"/>
        <item x="194"/>
        <item x="254"/>
        <item x="240"/>
        <item x="68"/>
        <item x="186"/>
        <item x="261"/>
        <item x="72"/>
        <item x="30"/>
        <item x="278"/>
        <item x="288"/>
        <item x="94"/>
        <item x="282"/>
        <item x="192"/>
        <item x="113"/>
        <item x="189"/>
        <item x="24"/>
        <item x="253"/>
        <item x="73"/>
        <item x="147"/>
        <item x="180"/>
        <item x="0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axis="axisPage" multipleItemSelectionAllowed="1" showAll="0">
      <items count="214"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x="55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2"/>
        <item h="1" x="143"/>
        <item h="1" x="144"/>
        <item h="1" x="145"/>
        <item h="1" x="146"/>
        <item h="1" x="147"/>
        <item h="1" x="148"/>
        <item h="1" x="149"/>
        <item h="1" x="150"/>
        <item h="1" x="151"/>
        <item h="1" x="152"/>
        <item h="1" x="153"/>
        <item h="1" x="154"/>
        <item h="1" x="155"/>
        <item h="1" x="156"/>
        <item h="1" x="157"/>
        <item h="1" x="158"/>
        <item h="1" x="159"/>
        <item h="1" x="160"/>
        <item h="1" x="161"/>
        <item h="1" x="162"/>
        <item h="1" x="163"/>
        <item h="1" x="164"/>
        <item h="1" x="165"/>
        <item h="1" x="166"/>
        <item h="1" x="167"/>
        <item h="1" x="168"/>
        <item h="1" x="0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63">
    <i>
      <x v="317"/>
    </i>
    <i>
      <x v="302"/>
    </i>
    <i>
      <x v="300"/>
    </i>
    <i>
      <x v="321"/>
    </i>
    <i>
      <x v="318"/>
    </i>
    <i>
      <x v="291"/>
    </i>
    <i>
      <x v="325"/>
    </i>
    <i>
      <x v="296"/>
    </i>
    <i>
      <x v="342"/>
    </i>
    <i>
      <x v="339"/>
    </i>
    <i>
      <x v="348"/>
    </i>
    <i>
      <x v="289"/>
    </i>
    <i>
      <x v="349"/>
    </i>
    <i>
      <x v="343"/>
    </i>
    <i>
      <x v="294"/>
    </i>
    <i>
      <x v="316"/>
    </i>
    <i>
      <x v="315"/>
    </i>
    <i>
      <x v="23"/>
    </i>
    <i>
      <x v="333"/>
    </i>
    <i>
      <x v="292"/>
    </i>
    <i>
      <x v="303"/>
    </i>
    <i>
      <x v="345"/>
    </i>
    <i>
      <x v="290"/>
    </i>
    <i>
      <x v="328"/>
    </i>
    <i>
      <x v="306"/>
    </i>
    <i>
      <x v="344"/>
    </i>
    <i>
      <x v="326"/>
    </i>
    <i>
      <x v="320"/>
    </i>
    <i>
      <x v="322"/>
    </i>
    <i>
      <x v="301"/>
    </i>
    <i>
      <x v="307"/>
    </i>
    <i>
      <x v="314"/>
    </i>
    <i>
      <x v="293"/>
    </i>
    <i>
      <x v="327"/>
    </i>
    <i>
      <x v="323"/>
    </i>
    <i>
      <x v="312"/>
    </i>
    <i>
      <x v="338"/>
    </i>
    <i>
      <x v="335"/>
    </i>
    <i>
      <x v="311"/>
    </i>
    <i>
      <x v="319"/>
    </i>
    <i>
      <x v="337"/>
    </i>
    <i>
      <x v="313"/>
    </i>
    <i>
      <x v="305"/>
    </i>
    <i>
      <x v="297"/>
    </i>
    <i>
      <x v="309"/>
    </i>
    <i>
      <x v="336"/>
    </i>
    <i>
      <x v="334"/>
    </i>
    <i>
      <x v="308"/>
    </i>
    <i>
      <x v="332"/>
    </i>
    <i>
      <x v="329"/>
    </i>
    <i>
      <x v="347"/>
    </i>
    <i>
      <x v="324"/>
    </i>
    <i>
      <x v="304"/>
    </i>
    <i>
      <x v="295"/>
    </i>
    <i>
      <x v="298"/>
    </i>
    <i>
      <x v="331"/>
    </i>
    <i>
      <x v="346"/>
    </i>
    <i>
      <x v="310"/>
    </i>
    <i>
      <x v="299"/>
    </i>
    <i>
      <x v="340"/>
    </i>
    <i>
      <x v="341"/>
    </i>
    <i>
      <x v="330"/>
    </i>
    <i t="grand">
      <x/>
    </i>
  </rowItems>
  <colItems count="1">
    <i/>
  </colItems>
  <pageFields count="1">
    <pageField fld="2" hier="-1"/>
  </pageFields>
  <dataFields count="1">
    <dataField name="Max of Total of Comments" fld="19" subtotal="max" baseField="0" baseItem="214"/>
  </dataFields>
  <formats count="6">
    <format dxfId="5">
      <pivotArea collapsedLevelsAreSubtotals="1" fieldPosition="0">
        <references count="1">
          <reference field="0" count="5">
            <x v="3"/>
            <x v="136"/>
            <x v="176"/>
            <x v="200"/>
            <x v="214"/>
          </reference>
        </references>
      </pivotArea>
    </format>
    <format dxfId="4">
      <pivotArea dataOnly="0" labelOnly="1" fieldPosition="0">
        <references count="1">
          <reference field="0" count="5">
            <x v="3"/>
            <x v="136"/>
            <x v="176"/>
            <x v="200"/>
            <x v="214"/>
          </reference>
        </references>
      </pivotArea>
    </format>
    <format dxfId="3">
      <pivotArea collapsedLevelsAreSubtotals="1" fieldPosition="0">
        <references count="1">
          <reference field="0" count="4">
            <x v="300"/>
            <x v="302"/>
            <x v="317"/>
            <x v="321"/>
          </reference>
        </references>
      </pivotArea>
    </format>
    <format dxfId="2">
      <pivotArea dataOnly="0" labelOnly="1" fieldPosition="0">
        <references count="1">
          <reference field="0" count="4">
            <x v="300"/>
            <x v="302"/>
            <x v="317"/>
            <x v="321"/>
          </reference>
        </references>
      </pivotArea>
    </format>
    <format dxfId="1">
      <pivotArea collapsedLevelsAreSubtotals="1" fieldPosition="0">
        <references count="1">
          <reference field="0" count="1">
            <x v="318"/>
          </reference>
        </references>
      </pivotArea>
    </format>
    <format dxfId="0">
      <pivotArea dataOnly="0" labelOnly="1" fieldPosition="0">
        <references count="1">
          <reference field="0" count="1">
            <x v="318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9.xml><?xml version="1.0" encoding="utf-8"?>
<pivotTableDefinition xmlns="http://schemas.openxmlformats.org/spreadsheetml/2006/main" name="PivotTable3" cacheId="14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B15" firstHeaderRow="1" firstDataRow="1" firstDataCol="1" rowPageCount="1" colPageCount="1"/>
  <pivotFields count="8">
    <pivotField showAll="0"/>
    <pivotField showAll="0"/>
    <pivotField axis="axisPage" multipleItemSelectionAllowed="1" showAll="0">
      <items count="214"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x="55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h="1" x="0"/>
        <item h="1" x="169"/>
        <item h="1" x="170"/>
        <item h="1" x="171"/>
        <item h="1" x="172"/>
        <item h="1" x="173"/>
        <item h="1" x="174"/>
        <item h="1" x="175"/>
        <item h="1" x="176"/>
        <item h="1" x="177"/>
        <item h="1" x="178"/>
        <item h="1" x="179"/>
        <item h="1" x="180"/>
        <item h="1" x="181"/>
        <item h="1" x="182"/>
        <item h="1" x="183"/>
        <item h="1" x="184"/>
        <item h="1" x="185"/>
        <item h="1" x="186"/>
        <item h="1" x="187"/>
        <item h="1" x="188"/>
        <item h="1" x="189"/>
        <item h="1" x="190"/>
        <item h="1" x="191"/>
        <item h="1" x="192"/>
        <item h="1" x="193"/>
        <item h="1" x="194"/>
        <item h="1" x="195"/>
        <item h="1" x="196"/>
        <item h="1" x="197"/>
        <item h="1" x="198"/>
        <item h="1" x="199"/>
        <item h="1" x="200"/>
        <item h="1" x="201"/>
        <item h="1" x="202"/>
        <item h="1" x="203"/>
        <item h="1" x="204"/>
        <item h="1" x="205"/>
        <item h="1" x="206"/>
        <item h="1" x="207"/>
        <item h="1" x="208"/>
        <item h="1" x="209"/>
        <item h="1" x="210"/>
        <item h="1" x="211"/>
        <item h="1" x="212"/>
        <item t="default"/>
      </items>
    </pivotField>
    <pivotField showAll="0"/>
    <pivotField showAll="0"/>
    <pivotField showAll="0"/>
    <pivotField axis="axisRow" dataField="1" showAll="0">
      <items count="4">
        <item x="1"/>
        <item x="2"/>
        <item x="0"/>
        <item t="default"/>
      </items>
    </pivotField>
    <pivotField axis="axisRow" showAll="0">
      <items count="10">
        <item x="5"/>
        <item x="4"/>
        <item x="2"/>
        <item x="8"/>
        <item x="1"/>
        <item x="3"/>
        <item x="6"/>
        <item x="7"/>
        <item x="0"/>
        <item t="default"/>
      </items>
    </pivotField>
  </pivotFields>
  <rowFields count="2">
    <field x="6"/>
    <field x="7"/>
  </rowFields>
  <rowItems count="12">
    <i>
      <x/>
    </i>
    <i r="1">
      <x/>
    </i>
    <i r="1">
      <x v="2"/>
    </i>
    <i r="1">
      <x v="4"/>
    </i>
    <i r="1">
      <x v="5"/>
    </i>
    <i r="1">
      <x v="6"/>
    </i>
    <i>
      <x v="1"/>
    </i>
    <i r="1">
      <x v="2"/>
    </i>
    <i r="1">
      <x v="4"/>
    </i>
    <i r="1">
      <x v="5"/>
    </i>
    <i r="1">
      <x v="7"/>
    </i>
    <i t="grand">
      <x/>
    </i>
  </rowItems>
  <colItems count="1">
    <i/>
  </colItems>
  <pageFields count="1">
    <pageField fld="2" hier="-1"/>
  </pageFields>
  <dataFields count="1">
    <dataField name="Count of Customer" fld="6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0.xml><?xml version="1.0" encoding="utf-8"?>
<pivotTableDefinition xmlns="http://schemas.openxmlformats.org/spreadsheetml/2006/main" name="PivotTable1" cacheId="15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B7" firstHeaderRow="1" firstDataRow="1" firstDataCol="1"/>
  <pivotFields count="20">
    <pivotField showAll="0"/>
    <pivotField showAll="0"/>
    <pivotField showAll="0"/>
    <pivotField showAll="0"/>
    <pivotField showAll="0"/>
    <pivotField showAll="0"/>
    <pivotField axis="axisRow" dataField="1" showAll="0">
      <items count="4">
        <item x="1"/>
        <item x="2"/>
        <item x="0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6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unt of Customer" fld="6" subtotal="count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blogs.wdf.sap.corp/sapnews_en/2015/02/the-disruptors-people-planet-profit/" TargetMode="External"/><Relationship Id="rId299" Type="http://schemas.openxmlformats.org/officeDocument/2006/relationships/hyperlink" Target="https://blogs.wdf.sap.corp/sapnews_en/2015/10/innovation-deals-a-blow-against-cancer/" TargetMode="External"/><Relationship Id="rId303" Type="http://schemas.openxmlformats.org/officeDocument/2006/relationships/hyperlink" Target="https://blogs.wdf.sap.corp/sapnews_en/2015/10/the-spirit-of-solidarity/" TargetMode="External"/><Relationship Id="rId21" Type="http://schemas.openxmlformats.org/officeDocument/2006/relationships/hyperlink" Target="https://blogs.wdf.sap.corp/sapnews_en/2015/05/executive-board-meetings-of-the-future/" TargetMode="External"/><Relationship Id="rId42" Type="http://schemas.openxmlformats.org/officeDocument/2006/relationships/hyperlink" Target="https://blogs.wdf.sap.corp/sapnews_en/2015/04/brazil-inc-part-2-investing-smartly/" TargetMode="External"/><Relationship Id="rId63" Type="http://schemas.openxmlformats.org/officeDocument/2006/relationships/hyperlink" Target="https://blogs.wdf.sap.corp/sapnews_en/2015/04/the-in-memory-revolution/" TargetMode="External"/><Relationship Id="rId84" Type="http://schemas.openxmlformats.org/officeDocument/2006/relationships/hyperlink" Target="https://blogs.wdf.sap.corp/sapnews_en/2015/03/apple-pay-and-the-payment-platform-revolution/" TargetMode="External"/><Relationship Id="rId138" Type="http://schemas.openxmlformats.org/officeDocument/2006/relationships/hyperlink" Target="https://blogs.wdf.sap.corp/sapnews_en/2015/02/the-complexity-antidote/" TargetMode="External"/><Relationship Id="rId159" Type="http://schemas.openxmlformats.org/officeDocument/2006/relationships/hyperlink" Target="https://blogs.wdf.sap.corp/sapnews_en/2015/01/phase-one-of-sap-com-goes-live/" TargetMode="External"/><Relationship Id="rId324" Type="http://schemas.openxmlformats.org/officeDocument/2006/relationships/hyperlink" Target="https://blogs.wdf.sap.corp/sapnews_en/2015/11/funding-a-worthy-cause/" TargetMode="External"/><Relationship Id="rId345" Type="http://schemas.openxmlformats.org/officeDocument/2006/relationships/hyperlink" Target="https://blogs.wdf.sap.corp/sapnews_en/2015/12/crescent-garden-runs-simple/" TargetMode="External"/><Relationship Id="rId170" Type="http://schemas.openxmlformats.org/officeDocument/2006/relationships/hyperlink" Target="https://blogs.wdf.sap.corp/sapnews_en/2015/01/is-unpredictability-the-new-norm/" TargetMode="External"/><Relationship Id="rId191" Type="http://schemas.openxmlformats.org/officeDocument/2006/relationships/hyperlink" Target="https://blogs.wdf.sap.corp/sapnews_en/2015/06/why-ikram-cant-find-a-job/" TargetMode="External"/><Relationship Id="rId205" Type="http://schemas.openxmlformats.org/officeDocument/2006/relationships/hyperlink" Target="https://blogs.wdf.sap.corp/sapnews_en/2015/06/software-coding-in-lagos/" TargetMode="External"/><Relationship Id="rId226" Type="http://schemas.openxmlformats.org/officeDocument/2006/relationships/hyperlink" Target="https://blogs.wdf.sap.corp/sapnews_en/2015/07/cultivating-our-curiosity/" TargetMode="External"/><Relationship Id="rId247" Type="http://schemas.openxmlformats.org/officeDocument/2006/relationships/hyperlink" Target="https://blogs.wdf.sap.corp/sapnews_en/2015/07/mitigate-slavery-in-the-supply-chain/" TargetMode="External"/><Relationship Id="rId107" Type="http://schemas.openxmlformats.org/officeDocument/2006/relationships/hyperlink" Target="https://blogs.wdf.sap.corp/sapnews_en/2015/03/mwc-mobile-industrys-reality-test/" TargetMode="External"/><Relationship Id="rId268" Type="http://schemas.openxmlformats.org/officeDocument/2006/relationships/hyperlink" Target="https://blogs.wdf.sap.corp/sapnews_en/2015/08/the-valley-revs-up-social-start-ups/" TargetMode="External"/><Relationship Id="rId289" Type="http://schemas.openxmlformats.org/officeDocument/2006/relationships/hyperlink" Target="https://blogs.wdf.sap.corp/sapnews_en/2015/08/wipe-your-lenses-and-hit-the-streets/" TargetMode="External"/><Relationship Id="rId11" Type="http://schemas.openxmlformats.org/officeDocument/2006/relationships/hyperlink" Target="https://blogs.wdf.sap.corp/sapnews_en/2015/05/investing-in-future-tech-talent/" TargetMode="External"/><Relationship Id="rId32" Type="http://schemas.openxmlformats.org/officeDocument/2006/relationships/hyperlink" Target="https://blogs.wdf.sap.corp/sapnews_en/2015/05/greater-mobile-productivity-now/" TargetMode="External"/><Relationship Id="rId53" Type="http://schemas.openxmlformats.org/officeDocument/2006/relationships/hyperlink" Target="https://blogs.wdf.sap.corp/sapnews_en/2015/04/sap-forum-in-moscow-takes-off/" TargetMode="External"/><Relationship Id="rId74" Type="http://schemas.openxmlformats.org/officeDocument/2006/relationships/hyperlink" Target="https://blogs.wdf.sap.corp/sapnews_en/2015/03/six-tips-for-better-clicks/" TargetMode="External"/><Relationship Id="rId128" Type="http://schemas.openxmlformats.org/officeDocument/2006/relationships/hyperlink" Target="https://blogs.wdf.sap.corp/sapnews_en/2015/02/get-your-cricket-world-cup-updates/" TargetMode="External"/><Relationship Id="rId149" Type="http://schemas.openxmlformats.org/officeDocument/2006/relationships/hyperlink" Target="https://blogs.wdf.sap.corp/sapnews_en/2015/01/hidden-champion-the-crisis-manager/" TargetMode="External"/><Relationship Id="rId314" Type="http://schemas.openxmlformats.org/officeDocument/2006/relationships/hyperlink" Target="https://blogs.wdf.sap.corp/sapnews_en/2015/11/living-simple/" TargetMode="External"/><Relationship Id="rId335" Type="http://schemas.openxmlformats.org/officeDocument/2006/relationships/hyperlink" Target="https://blogs.wdf.sap.corp/sapnews_en/2015/12/enter-the-green-cloud/" TargetMode="External"/><Relationship Id="rId5" Type="http://schemas.openxmlformats.org/officeDocument/2006/relationships/hyperlink" Target="https://blogs.wdf.sap.corp/sapnews_en/2015/05/analyzing-the-game/" TargetMode="External"/><Relationship Id="rId95" Type="http://schemas.openxmlformats.org/officeDocument/2006/relationships/hyperlink" Target="https://blogs.wdf.sap.corp/sapnews_en/2015/03/how-jaime-found-his-dream-job/" TargetMode="External"/><Relationship Id="rId160" Type="http://schemas.openxmlformats.org/officeDocument/2006/relationships/hyperlink" Target="https://blogs.wdf.sap.corp/sapnews_en/2015/01/new-regional-appointments-in-emea-and-mee/" TargetMode="External"/><Relationship Id="rId181" Type="http://schemas.openxmlformats.org/officeDocument/2006/relationships/hyperlink" Target="https://blogs.wdf.sap.corp/sapnews_en/2015/06/mission-zero-accomplished/" TargetMode="External"/><Relationship Id="rId216" Type="http://schemas.openxmlformats.org/officeDocument/2006/relationships/hyperlink" Target="https://blogs.wdf.sap.corp/sapnews_en/2015/09/customers-are-in-the-drivers-seat-now/" TargetMode="External"/><Relationship Id="rId237" Type="http://schemas.openxmlformats.org/officeDocument/2006/relationships/hyperlink" Target="https://blogs.wdf.sap.corp/sapnews_en/2015/07/quentin-clark-appointed-to-sap-board/" TargetMode="External"/><Relationship Id="rId258" Type="http://schemas.openxmlformats.org/officeDocument/2006/relationships/hyperlink" Target="https://blogs.wdf.sap.corp/sapnews_en/2015/07/coding-and-corner-kicks/" TargetMode="External"/><Relationship Id="rId279" Type="http://schemas.openxmlformats.org/officeDocument/2006/relationships/hyperlink" Target="https://blogs.wdf.sap.corp/sapnews_en/2015/08/the-pitfalls-of-brand-journalism/" TargetMode="External"/><Relationship Id="rId22" Type="http://schemas.openxmlformats.org/officeDocument/2006/relationships/hyperlink" Target="https://blogs.wdf.sap.corp/sapnews_en/2015/05/tranform-information-into-action/" TargetMode="External"/><Relationship Id="rId43" Type="http://schemas.openxmlformats.org/officeDocument/2006/relationships/hyperlink" Target="https://blogs.wdf.sap.corp/sapnews_en/2015/04/the-disruptors-where-are-your-easter-eggs-from/" TargetMode="External"/><Relationship Id="rId64" Type="http://schemas.openxmlformats.org/officeDocument/2006/relationships/hyperlink" Target="https://blogs.wdf.sap.corp/sapnews_en/2015/04/lockdown-in-chicago/" TargetMode="External"/><Relationship Id="rId118" Type="http://schemas.openxmlformats.org/officeDocument/2006/relationships/hyperlink" Target="https://blogs.wdf.sap.corp/sapnews_en/2015/02/getting-ahead-of-the-curve-in-safety/" TargetMode="External"/><Relationship Id="rId139" Type="http://schemas.openxmlformats.org/officeDocument/2006/relationships/hyperlink" Target="https://blogs.wdf.sap.corp/sapnews_en/2015/02/the-disruptors-an-eldorado-for-shoppers-and-e-tailers/" TargetMode="External"/><Relationship Id="rId290" Type="http://schemas.openxmlformats.org/officeDocument/2006/relationships/hyperlink" Target="https://blogs.wdf.sap.corp/sapnews_en/2015/09/cat-videos-are-overrated/" TargetMode="External"/><Relationship Id="rId304" Type="http://schemas.openxmlformats.org/officeDocument/2006/relationships/hyperlink" Target="https://blogs.wdf.sap.corp/sapnews_en/2015/10/record-q3-results-are-confirmed/" TargetMode="External"/><Relationship Id="rId325" Type="http://schemas.openxmlformats.org/officeDocument/2006/relationships/hyperlink" Target="https://blogs.wdf.sap.corp/sapnews_en/2015/11/sap-aces-corporate-equality-index-for-lgbt-inclusion/" TargetMode="External"/><Relationship Id="rId346" Type="http://schemas.openxmlformats.org/officeDocument/2006/relationships/hyperlink" Target="https://blogs.wdf.sap.corp/sapnews_en/2015/12/digital-india-on-the-rise/" TargetMode="External"/><Relationship Id="rId85" Type="http://schemas.openxmlformats.org/officeDocument/2006/relationships/hyperlink" Target="https://blogs.wdf.sap.corp/sapnews_en/2015/03/cricket-fans-bowled-over-by-sap/" TargetMode="External"/><Relationship Id="rId150" Type="http://schemas.openxmlformats.org/officeDocument/2006/relationships/hyperlink" Target="https://blogs.wdf.sap.corp/sapnews_en/2015/01/are-you-a-sports-ignoramus/" TargetMode="External"/><Relationship Id="rId171" Type="http://schemas.openxmlformats.org/officeDocument/2006/relationships/hyperlink" Target="https://blogs.wdf.sap.corp/sapnews_en/2015/01/regaining-the-upper-hand-with-s4hana/" TargetMode="External"/><Relationship Id="rId192" Type="http://schemas.openxmlformats.org/officeDocument/2006/relationships/hyperlink" Target="https://blogs.wdf.sap.corp/sapnews_en/2015/06/innovation-spotting-at-the-paris-air-show/" TargetMode="External"/><Relationship Id="rId206" Type="http://schemas.openxmlformats.org/officeDocument/2006/relationships/hyperlink" Target="https://blogs.wdf.sap.corp/sapnews_en/2015/01/the-results-are-out/" TargetMode="External"/><Relationship Id="rId227" Type="http://schemas.openxmlformats.org/officeDocument/2006/relationships/hyperlink" Target="https://blogs.wdf.sap.corp/sapnews_en/2015/07/they-came-pitched-and-conquered/" TargetMode="External"/><Relationship Id="rId248" Type="http://schemas.openxmlformats.org/officeDocument/2006/relationships/hyperlink" Target="https://blogs.wdf.sap.corp/sapnews_en/2015/07/lync-succeeds-sap-connect-for-meetings/" TargetMode="External"/><Relationship Id="rId269" Type="http://schemas.openxmlformats.org/officeDocument/2006/relationships/hyperlink" Target="https://blogs.wdf.sap.corp/sapnews_en/2015/08/kids-discover-the-digital-economy/" TargetMode="External"/><Relationship Id="rId12" Type="http://schemas.openxmlformats.org/officeDocument/2006/relationships/hyperlink" Target="https://blogs.wdf.sap.corp/sapnews_en/2015/05/be-aerospace-is-flying-high/" TargetMode="External"/><Relationship Id="rId33" Type="http://schemas.openxmlformats.org/officeDocument/2006/relationships/hyperlink" Target="https://blogs.wdf.sap.corp/sapnews_en/2015/04/just-ask-dr-b-data/" TargetMode="External"/><Relationship Id="rId108" Type="http://schemas.openxmlformats.org/officeDocument/2006/relationships/hyperlink" Target="https://blogs.wdf.sap.corp/sapnews_en/2015/03/the-edge-of-innovation/" TargetMode="External"/><Relationship Id="rId129" Type="http://schemas.openxmlformats.org/officeDocument/2006/relationships/hyperlink" Target="https://blogs.wdf.sap.corp/sapnews_en/2015/02/the-difference-between-life-and-death/" TargetMode="External"/><Relationship Id="rId280" Type="http://schemas.openxmlformats.org/officeDocument/2006/relationships/hyperlink" Target="https://blogs.wdf.sap.corp/sapnews_en/2015/08/wake-up-and-smell-the-crayons/" TargetMode="External"/><Relationship Id="rId315" Type="http://schemas.openxmlformats.org/officeDocument/2006/relationships/hyperlink" Target="https://blogs.wdf.sap.corp/sapnews_en/2015/11/oil-and-safety-mix-well-in-azerbaijan/" TargetMode="External"/><Relationship Id="rId336" Type="http://schemas.openxmlformats.org/officeDocument/2006/relationships/hyperlink" Target="https://blogs.wdf.sap.corp/sapnews_en/2015/12/steve-lucas-talks-sap-hana/" TargetMode="External"/><Relationship Id="rId54" Type="http://schemas.openxmlformats.org/officeDocument/2006/relationships/hyperlink" Target="https://blogs.wdf.sap.corp/sapnews_en/2015/04/from-drones-to-selfie-sticks/" TargetMode="External"/><Relationship Id="rId75" Type="http://schemas.openxmlformats.org/officeDocument/2006/relationships/hyperlink" Target="https://blogs.wdf.sap.corp/sapnews_en/2015/03/how-does-the-cloud-benefit-hr/" TargetMode="External"/><Relationship Id="rId96" Type="http://schemas.openxmlformats.org/officeDocument/2006/relationships/hyperlink" Target="https://blogs.wdf.sap.corp/sapnews_en/2015/03/creating-a-strong-culture/" TargetMode="External"/><Relationship Id="rId140" Type="http://schemas.openxmlformats.org/officeDocument/2006/relationships/hyperlink" Target="https://blogs.wdf.sap.corp/sapnews_en/2015/02/free-to-be-creative/" TargetMode="External"/><Relationship Id="rId161" Type="http://schemas.openxmlformats.org/officeDocument/2006/relationships/hyperlink" Target="https://blogs.wdf.sap.corp/sapnews_en/2015/01/security-is-in-your-hands/" TargetMode="External"/><Relationship Id="rId182" Type="http://schemas.openxmlformats.org/officeDocument/2006/relationships/hyperlink" Target="https://blogs.wdf.sap.corp/sapnews_en/2015/06/seven-sap-channel-execs-honored/" TargetMode="External"/><Relationship Id="rId217" Type="http://schemas.openxmlformats.org/officeDocument/2006/relationships/hyperlink" Target="https://blogs.wdf.sap.corp/sapnews_en/2015/09/black-and-white/" TargetMode="External"/><Relationship Id="rId6" Type="http://schemas.openxmlformats.org/officeDocument/2006/relationships/hyperlink" Target="https://blogs.wdf.sap.corp/sapnews_en/2015/05/becoming-simply-irresistible/" TargetMode="External"/><Relationship Id="rId238" Type="http://schemas.openxmlformats.org/officeDocument/2006/relationships/hyperlink" Target="https://blogs.wdf.sap.corp/sapnews_en/2015/07/photo-contest-street-photography/" TargetMode="External"/><Relationship Id="rId259" Type="http://schemas.openxmlformats.org/officeDocument/2006/relationships/hyperlink" Target="https://blogs.wdf.sap.corp/sapnews_en/2015/07/customer-survey-please-keep-it-simple/" TargetMode="External"/><Relationship Id="rId23" Type="http://schemas.openxmlformats.org/officeDocument/2006/relationships/hyperlink" Target="https://blogs.wdf.sap.corp/sapnews_en/2015/05/smart-business-networks/" TargetMode="External"/><Relationship Id="rId119" Type="http://schemas.openxmlformats.org/officeDocument/2006/relationships/hyperlink" Target="https://blogs.wdf.sap.corp/sapnews_en/2015/02/sap-and-nhl-team-up-for-hockey-fans/" TargetMode="External"/><Relationship Id="rId270" Type="http://schemas.openxmlformats.org/officeDocument/2006/relationships/hyperlink" Target="https://blogs.wdf.sap.corp/sapnews_en/2015/08/sails-to-sales-success/" TargetMode="External"/><Relationship Id="rId291" Type="http://schemas.openxmlformats.org/officeDocument/2006/relationships/hyperlink" Target="https://blogs.wdf.sap.corp/sapnews_en/2015/10/ready-set-code-stems-africa-road-show/" TargetMode="External"/><Relationship Id="rId305" Type="http://schemas.openxmlformats.org/officeDocument/2006/relationships/hyperlink" Target="https://blogs.wdf.sap.corp/sapnews_en/2015/10/no-room-for-complacency/" TargetMode="External"/><Relationship Id="rId326" Type="http://schemas.openxmlformats.org/officeDocument/2006/relationships/hyperlink" Target="https://blogs.wdf.sap.corp/sapnews_en/2015/11/dare-to-be-more-human/" TargetMode="External"/><Relationship Id="rId347" Type="http://schemas.openxmlformats.org/officeDocument/2006/relationships/hyperlink" Target="https://blogs.wdf.sap.corp/sapnews_en/2015/12/how-brazils-river-people-can-save-the-amazon/" TargetMode="External"/><Relationship Id="rId44" Type="http://schemas.openxmlformats.org/officeDocument/2006/relationships/hyperlink" Target="https://blogs.wdf.sap.corp/sapnews_en/2015/04/a-matter-of-integrity/" TargetMode="External"/><Relationship Id="rId65" Type="http://schemas.openxmlformats.org/officeDocument/2006/relationships/hyperlink" Target="https://blogs.wdf.sap.corp/sapnews_en/2015/04/sme-coaching-for-free/" TargetMode="External"/><Relationship Id="rId86" Type="http://schemas.openxmlformats.org/officeDocument/2006/relationships/hyperlink" Target="https://blogs.wdf.sap.corp/sapnews_en/2015/03/cebit-2015-high-touch-sap-2/" TargetMode="External"/><Relationship Id="rId130" Type="http://schemas.openxmlformats.org/officeDocument/2006/relationships/hyperlink" Target="https://blogs.wdf.sap.corp/sapnews_en/2015/02/photo-contest-2014-winners-announced/" TargetMode="External"/><Relationship Id="rId151" Type="http://schemas.openxmlformats.org/officeDocument/2006/relationships/hyperlink" Target="https://blogs.wdf.sap.corp/sapnews_en/2015/01/sap-at-the-world-economic-forum/" TargetMode="External"/><Relationship Id="rId172" Type="http://schemas.openxmlformats.org/officeDocument/2006/relationships/hyperlink" Target="https://blogs.wdf.sap.corp/sapnews_en/2015/01/capturing-the-essence-of-sap/" TargetMode="External"/><Relationship Id="rId193" Type="http://schemas.openxmlformats.org/officeDocument/2006/relationships/hyperlink" Target="https://blogs.wdf.sap.corp/sapnews_en/2015/06/where-in-the-world-do-we-run-simple/" TargetMode="External"/><Relationship Id="rId207" Type="http://schemas.openxmlformats.org/officeDocument/2006/relationships/hyperlink" Target="https://blogs.wdf.sap.corp/sapnews_en/2015/09/hackers-meet-their-match-in-sap/" TargetMode="External"/><Relationship Id="rId228" Type="http://schemas.openxmlformats.org/officeDocument/2006/relationships/hyperlink" Target="https://blogs.wdf.sap.corp/sapnews_en/2015/07/fashion-gets-a-tech-makeover/" TargetMode="External"/><Relationship Id="rId249" Type="http://schemas.openxmlformats.org/officeDocument/2006/relationships/hyperlink" Target="https://blogs.wdf.sap.corp/sapnews_en/2015/07/sap-grows-in-the-cloud-and-network/" TargetMode="External"/><Relationship Id="rId13" Type="http://schemas.openxmlformats.org/officeDocument/2006/relationships/hyperlink" Target="https://blogs.wdf.sap.corp/sapnews_en/2015/05/early-achievers/" TargetMode="External"/><Relationship Id="rId109" Type="http://schemas.openxmlformats.org/officeDocument/2006/relationships/hyperlink" Target="https://blogs.wdf.sap.corp/sapnews_en/2015/03/career-coaching-23/" TargetMode="External"/><Relationship Id="rId260" Type="http://schemas.openxmlformats.org/officeDocument/2006/relationships/hyperlink" Target="https://blogs.wdf.sap.corp/sapnews_en/2015/07/spotlight-on-women-leaders-at-sap/" TargetMode="External"/><Relationship Id="rId281" Type="http://schemas.openxmlformats.org/officeDocument/2006/relationships/hyperlink" Target="https://blogs.wdf.sap.corp/sapnews_en/2015/08/tapping-iots-potential/" TargetMode="External"/><Relationship Id="rId316" Type="http://schemas.openxmlformats.org/officeDocument/2006/relationships/hyperlink" Target="https://blogs.wdf.sap.corp/sapnews_en/2015/11/computers-and-the-tyranny-of-the-present/" TargetMode="External"/><Relationship Id="rId337" Type="http://schemas.openxmlformats.org/officeDocument/2006/relationships/hyperlink" Target="https://blogs.wdf.sap.corp/sapnews_en/2015/12/putting-trees-back-where-they-belong/" TargetMode="External"/><Relationship Id="rId34" Type="http://schemas.openxmlformats.org/officeDocument/2006/relationships/hyperlink" Target="https://blogs.wdf.sap.corp/sapnews_en/2015/04/accelerating-cloud-growth-the-lowdown/" TargetMode="External"/><Relationship Id="rId55" Type="http://schemas.openxmlformats.org/officeDocument/2006/relationships/hyperlink" Target="https://blogs.wdf.sap.corp/sapnews_en/2015/04/dietmar-hopp-celebrates-his-75th-birthday/" TargetMode="External"/><Relationship Id="rId76" Type="http://schemas.openxmlformats.org/officeDocument/2006/relationships/hyperlink" Target="https://blogs.wdf.sap.corp/sapnews_en/2015/03/sap-mourns-klaus-tschira/" TargetMode="External"/><Relationship Id="rId97" Type="http://schemas.openxmlformats.org/officeDocument/2006/relationships/hyperlink" Target="https://blogs.wdf.sap.corp/sapnews_en/2015/03/a-showcase-for-real-time-retail/" TargetMode="External"/><Relationship Id="rId120" Type="http://schemas.openxmlformats.org/officeDocument/2006/relationships/hyperlink" Target="https://blogs.wdf.sap.corp/sapnews_en/2015/02/sap-labs-india-hosts-iot-day/" TargetMode="External"/><Relationship Id="rId141" Type="http://schemas.openxmlformats.org/officeDocument/2006/relationships/hyperlink" Target="https://blogs.wdf.sap.corp/sapnews_en/2015/02/saving-lives-with-digitized-health-care/" TargetMode="External"/><Relationship Id="rId7" Type="http://schemas.openxmlformats.org/officeDocument/2006/relationships/hyperlink" Target="https://blogs.wdf.sap.corp/sapnews_en/2015/05/the-secret-to-product-success/" TargetMode="External"/><Relationship Id="rId162" Type="http://schemas.openxmlformats.org/officeDocument/2006/relationships/hyperlink" Target="https://blogs.wdf.sap.corp/sapnews_en/2015/01/top-5-empowering-women-at-work/" TargetMode="External"/><Relationship Id="rId183" Type="http://schemas.openxmlformats.org/officeDocument/2006/relationships/hyperlink" Target="https://blogs.wdf.sap.corp/sapnews_en/2015/06/salesforce-com-poster-child-for-cloud-1-0/" TargetMode="External"/><Relationship Id="rId218" Type="http://schemas.openxmlformats.org/officeDocument/2006/relationships/hyperlink" Target="https://blogs.wdf.sap.corp/sapnews_en/2015/09/the-disruptors-data-doctors-trust/" TargetMode="External"/><Relationship Id="rId239" Type="http://schemas.openxmlformats.org/officeDocument/2006/relationships/hyperlink" Target="https://blogs.wdf.sap.corp/sapnews_en/2015/07/diversity-and-the-digital-economy/" TargetMode="External"/><Relationship Id="rId250" Type="http://schemas.openxmlformats.org/officeDocument/2006/relationships/hyperlink" Target="https://blogs.wdf.sap.corp/sapnews_en/2015/07/making-security-run-simple/" TargetMode="External"/><Relationship Id="rId271" Type="http://schemas.openxmlformats.org/officeDocument/2006/relationships/hyperlink" Target="https://blogs.wdf.sap.corp/sapnews_en/2015/08/digitization-with-extra-horsepower/" TargetMode="External"/><Relationship Id="rId292" Type="http://schemas.openxmlformats.org/officeDocument/2006/relationships/hyperlink" Target="https://blogs.wdf.sap.corp/sapnews_en/2015/10/michael-kleinemeier-joins-sap-executive-board/" TargetMode="External"/><Relationship Id="rId306" Type="http://schemas.openxmlformats.org/officeDocument/2006/relationships/hyperlink" Target="https://blogs.wdf.sap.corp/sapnews_en/2015/10/sap-s4hana-goes-way-off-the-charts/" TargetMode="External"/><Relationship Id="rId24" Type="http://schemas.openxmlformats.org/officeDocument/2006/relationships/hyperlink" Target="https://blogs.wdf.sap.corp/sapnews_en/2015/05/from-selling-products-to-selling-outcomes/" TargetMode="External"/><Relationship Id="rId45" Type="http://schemas.openxmlformats.org/officeDocument/2006/relationships/hyperlink" Target="https://blogs.wdf.sap.corp/sapnews_en/2015/04/social-sabbatical-not-a-one-way-street/" TargetMode="External"/><Relationship Id="rId66" Type="http://schemas.openxmlformats.org/officeDocument/2006/relationships/hyperlink" Target="https://blogs.wdf.sap.corp/sapnews_en/2015/04/creativity-and-the-art-of-completion-2/" TargetMode="External"/><Relationship Id="rId87" Type="http://schemas.openxmlformats.org/officeDocument/2006/relationships/hyperlink" Target="https://blogs.wdf.sap.corp/sapnews_en/2015/03/strong-commitment-increases-profit/" TargetMode="External"/><Relationship Id="rId110" Type="http://schemas.openxmlformats.org/officeDocument/2006/relationships/hyperlink" Target="https://blogs.wdf.sap.corp/sapnews_en/2015/03/the-disruptors-barcelona-for-you/" TargetMode="External"/><Relationship Id="rId131" Type="http://schemas.openxmlformats.org/officeDocument/2006/relationships/hyperlink" Target="https://blogs.wdf.sap.corp/sapnews_en/2015/02/how-we-run-takes-off/" TargetMode="External"/><Relationship Id="rId327" Type="http://schemas.openxmlformats.org/officeDocument/2006/relationships/hyperlink" Target="https://blogs.wdf.sap.corp/sapnews_en/2015/11/delivering-on-a-promise/" TargetMode="External"/><Relationship Id="rId348" Type="http://schemas.openxmlformats.org/officeDocument/2006/relationships/hyperlink" Target="https://blogs.wdf.sap.corp/sapnews_en/2015/12/advise-and-consult/" TargetMode="External"/><Relationship Id="rId152" Type="http://schemas.openxmlformats.org/officeDocument/2006/relationships/hyperlink" Target="https://blogs.wdf.sap.corp/sapnews_en/2015/01/will-berlin-out-innovate-silicon-valley/" TargetMode="External"/><Relationship Id="rId173" Type="http://schemas.openxmlformats.org/officeDocument/2006/relationships/hyperlink" Target="https://blogs.wdf.sap.corp/sapnews_en/2015/06/powering-up-east-africa/" TargetMode="External"/><Relationship Id="rId194" Type="http://schemas.openxmlformats.org/officeDocument/2006/relationships/hyperlink" Target="https://blogs.wdf.sap.corp/sapnews_en/2015/06/removing-the-boardroom-blindfolds/" TargetMode="External"/><Relationship Id="rId208" Type="http://schemas.openxmlformats.org/officeDocument/2006/relationships/hyperlink" Target="https://blogs.wdf.sap.corp/sapnews_en/2015/09/driving-it-innovation-literally/" TargetMode="External"/><Relationship Id="rId229" Type="http://schemas.openxmlformats.org/officeDocument/2006/relationships/hyperlink" Target="https://blogs.wdf.sap.corp/sapnews_en/2015/07/a-fresh-face-joins-the-sap-supervisory-board/" TargetMode="External"/><Relationship Id="rId240" Type="http://schemas.openxmlformats.org/officeDocument/2006/relationships/hyperlink" Target="https://blogs.wdf.sap.corp/sapnews_en/2015/07/go-west-young-man/" TargetMode="External"/><Relationship Id="rId261" Type="http://schemas.openxmlformats.org/officeDocument/2006/relationships/hyperlink" Target="https://blogs.wdf.sap.corp/sapnews_en/2015/07/unified-ticketing-one-support-for-everyone/" TargetMode="External"/><Relationship Id="rId14" Type="http://schemas.openxmlformats.org/officeDocument/2006/relationships/hyperlink" Target="https://blogs.wdf.sap.corp/sapnews_en/2015/05/adding-energy-to-red-bull/" TargetMode="External"/><Relationship Id="rId35" Type="http://schemas.openxmlformats.org/officeDocument/2006/relationships/hyperlink" Target="https://blogs.wdf.sap.corp/sapnews_en/2015/04/brazil-inc-nailing-complexity/" TargetMode="External"/><Relationship Id="rId56" Type="http://schemas.openxmlformats.org/officeDocument/2006/relationships/hyperlink" Target="https://blogs.wdf.sap.corp/sapnews_en/2015/04/it-powers-the-energy-sector/" TargetMode="External"/><Relationship Id="rId77" Type="http://schemas.openxmlformats.org/officeDocument/2006/relationships/hyperlink" Target="https://blogs.wdf.sap.corp/sapnews_en/2015/03/no-innovation-without-learning/" TargetMode="External"/><Relationship Id="rId100" Type="http://schemas.openxmlformats.org/officeDocument/2006/relationships/hyperlink" Target="https://blogs.wdf.sap.corp/sapnews_en/2015/03/next-generation-of-sap-maxattention/" TargetMode="External"/><Relationship Id="rId282" Type="http://schemas.openxmlformats.org/officeDocument/2006/relationships/hyperlink" Target="https://blogs.wdf.sap.corp/sapnews_en/2015/08/making-sailing-simpler/" TargetMode="External"/><Relationship Id="rId317" Type="http://schemas.openxmlformats.org/officeDocument/2006/relationships/hyperlink" Target="https://blogs.wdf.sap.corp/sapnews_en/2015/11/sap-on-the-hill-1-minute-mini-series/" TargetMode="External"/><Relationship Id="rId338" Type="http://schemas.openxmlformats.org/officeDocument/2006/relationships/hyperlink" Target="https://blogs.wdf.sap.corp/sapnews_en/2015/12/steve-lucas-sap-hana-delivers/" TargetMode="External"/><Relationship Id="rId8" Type="http://schemas.openxmlformats.org/officeDocument/2006/relationships/hyperlink" Target="https://blogs.wdf.sap.corp/sapnews_en/2015/05/nostalgic-art-tests-in-memory-platform-2/" TargetMode="External"/><Relationship Id="rId98" Type="http://schemas.openxmlformats.org/officeDocument/2006/relationships/hyperlink" Target="https://blogs.wdf.sap.corp/sapnews_en/2015/03/the-disruptors-getting-personal-with-big-data/" TargetMode="External"/><Relationship Id="rId121" Type="http://schemas.openxmlformats.org/officeDocument/2006/relationships/hyperlink" Target="https://blogs.wdf.sap.corp/sapnews_en/2015/02/i-was-born-this-way-2/" TargetMode="External"/><Relationship Id="rId142" Type="http://schemas.openxmlformats.org/officeDocument/2006/relationships/hyperlink" Target="https://blogs.wdf.sap.corp/sapnews_en/2015/02/connecting-the-philippines-autism-community/" TargetMode="External"/><Relationship Id="rId163" Type="http://schemas.openxmlformats.org/officeDocument/2006/relationships/hyperlink" Target="https://blogs.wdf.sap.corp/sapnews_en/2015/01/customer-connection-helps-optimize-products/" TargetMode="External"/><Relationship Id="rId184" Type="http://schemas.openxmlformats.org/officeDocument/2006/relationships/hyperlink" Target="https://blogs.wdf.sap.corp/sapnews_en/2015/06/now-showing-in-airports-near-you/" TargetMode="External"/><Relationship Id="rId219" Type="http://schemas.openxmlformats.org/officeDocument/2006/relationships/hyperlink" Target="https://blogs.wdf.sap.corp/sapnews_en/2015/09/power-in-employees-pockets/" TargetMode="External"/><Relationship Id="rId230" Type="http://schemas.openxmlformats.org/officeDocument/2006/relationships/hyperlink" Target="https://blogs.wdf.sap.corp/sapnews_en/2015/07/top-honors-for-twogo-by-sap/" TargetMode="External"/><Relationship Id="rId251" Type="http://schemas.openxmlformats.org/officeDocument/2006/relationships/hyperlink" Target="https://blogs.wdf.sap.corp/sapnews_en/2015/07/the-making-of-in-the-clouds-with-sap/" TargetMode="External"/><Relationship Id="rId25" Type="http://schemas.openxmlformats.org/officeDocument/2006/relationships/hyperlink" Target="https://blogs.wdf.sap.corp/sapnews_en/2015/05/womens-leadership-summit-2015/" TargetMode="External"/><Relationship Id="rId46" Type="http://schemas.openxmlformats.org/officeDocument/2006/relationships/hyperlink" Target="https://blogs.wdf.sap.corp/sapnews_en/2015/04/from-refugee-to-tech-exec/" TargetMode="External"/><Relationship Id="rId67" Type="http://schemas.openxmlformats.org/officeDocument/2006/relationships/hyperlink" Target="https://blogs.wdf.sap.corp/sapnews_en/2015/04/one-for-all-sap-sports-one-at-the-starting-line/" TargetMode="External"/><Relationship Id="rId272" Type="http://schemas.openxmlformats.org/officeDocument/2006/relationships/hyperlink" Target="https://blogs.wdf.sap.corp/sapnews_en/2015/08/the-neglected-morality-of-iot/" TargetMode="External"/><Relationship Id="rId293" Type="http://schemas.openxmlformats.org/officeDocument/2006/relationships/hyperlink" Target="https://blogs.wdf.sap.corp/sapnews_en/2015/10/and-the-winner-is-3/" TargetMode="External"/><Relationship Id="rId307" Type="http://schemas.openxmlformats.org/officeDocument/2006/relationships/hyperlink" Target="https://blogs.wdf.sap.corp/sapnews_en/2015/10/and-the-winner-is-4/" TargetMode="External"/><Relationship Id="rId328" Type="http://schemas.openxmlformats.org/officeDocument/2006/relationships/hyperlink" Target="https://blogs.wdf.sap.corp/sapnews_en/2015/11/time-is-running-out/" TargetMode="External"/><Relationship Id="rId349" Type="http://schemas.openxmlformats.org/officeDocument/2006/relationships/hyperlink" Target="https://blogs.wdf.sap.corp/sapnews_en/2015/12/social-business-takes-root-in-eastern-europe/" TargetMode="External"/><Relationship Id="rId88" Type="http://schemas.openxmlformats.org/officeDocument/2006/relationships/hyperlink" Target="https://blogs.wdf.sap.corp/sapnews_en/2015/03/photo-contest-diversity-inclusion/" TargetMode="External"/><Relationship Id="rId111" Type="http://schemas.openxmlformats.org/officeDocument/2006/relationships/hyperlink" Target="https://blogs.wdf.sap.corp/sapnews_en/2015/03/unleash-the-startup-in-you/" TargetMode="External"/><Relationship Id="rId132" Type="http://schemas.openxmlformats.org/officeDocument/2006/relationships/hyperlink" Target="https://blogs.wdf.sap.corp/sapnews_en/2015/02/ideas-with-impact/" TargetMode="External"/><Relationship Id="rId153" Type="http://schemas.openxmlformats.org/officeDocument/2006/relationships/hyperlink" Target="https://blogs.wdf.sap.corp/sapnews_en/2015/01/forklift-meets-cloud/" TargetMode="External"/><Relationship Id="rId174" Type="http://schemas.openxmlformats.org/officeDocument/2006/relationships/hyperlink" Target="https://blogs.wdf.sap.corp/sapnews_en/2015/06/surge-in-sap-brand-value/" TargetMode="External"/><Relationship Id="rId195" Type="http://schemas.openxmlformats.org/officeDocument/2006/relationships/hyperlink" Target="https://blogs.wdf.sap.corp/sapnews_en/2015/06/trash-after-the-big-bash/" TargetMode="External"/><Relationship Id="rId209" Type="http://schemas.openxmlformats.org/officeDocument/2006/relationships/hyperlink" Target="https://blogs.wdf.sap.corp/sapnews_en/2015/09/when-smart-cities-fight-mother-nature/" TargetMode="External"/><Relationship Id="rId190" Type="http://schemas.openxmlformats.org/officeDocument/2006/relationships/hyperlink" Target="https://blogs.wdf.sap.corp/sapnews_en/2015/06/building-dreams/" TargetMode="External"/><Relationship Id="rId204" Type="http://schemas.openxmlformats.org/officeDocument/2006/relationships/hyperlink" Target="https://blogs.wdf.sap.corp/sapnews_en/2015/06/ford-and-sap-put-design-in-high-gear/" TargetMode="External"/><Relationship Id="rId220" Type="http://schemas.openxmlformats.org/officeDocument/2006/relationships/hyperlink" Target="https://blogs.wdf.sap.corp/sapnews_en/2015/09/refugee-crisis-how-you-can-help/" TargetMode="External"/><Relationship Id="rId225" Type="http://schemas.openxmlformats.org/officeDocument/2006/relationships/hyperlink" Target="https://blogs.wdf.sap.corp/sapnews_en/2015/07/sap-waves-the-rainbow-flag/" TargetMode="External"/><Relationship Id="rId241" Type="http://schemas.openxmlformats.org/officeDocument/2006/relationships/hyperlink" Target="https://blogs.wdf.sap.corp/sapnews_en/2015/07/innovative-israel/" TargetMode="External"/><Relationship Id="rId246" Type="http://schemas.openxmlformats.org/officeDocument/2006/relationships/hyperlink" Target="https://blogs.wdf.sap.corp/sapnews_en/2015/07/gamification-party-pirate-style/" TargetMode="External"/><Relationship Id="rId267" Type="http://schemas.openxmlformats.org/officeDocument/2006/relationships/hyperlink" Target="https://blogs.wdf.sap.corp/sapnews_en/2015/08/recipe-for-a-sports-app/" TargetMode="External"/><Relationship Id="rId288" Type="http://schemas.openxmlformats.org/officeDocument/2006/relationships/hyperlink" Target="https://blogs.wdf.sap.corp/sapnews_en/2015/09/lets-get-real/" TargetMode="External"/><Relationship Id="rId15" Type="http://schemas.openxmlformats.org/officeDocument/2006/relationships/hyperlink" Target="https://blogs.wdf.sap.corp/sapnews_en/2015/05/gender-quota-for-supervisory-board/" TargetMode="External"/><Relationship Id="rId36" Type="http://schemas.openxmlformats.org/officeDocument/2006/relationships/hyperlink" Target="https://blogs.wdf.sap.corp/sapnews_en/2015/04/photo-contest-diversity-inclusion-2/" TargetMode="External"/><Relationship Id="rId57" Type="http://schemas.openxmlformats.org/officeDocument/2006/relationships/hyperlink" Target="https://blogs.wdf.sap.corp/sapnews_en/2015/04/just-get-up-and-do-it/" TargetMode="External"/><Relationship Id="rId106" Type="http://schemas.openxmlformats.org/officeDocument/2006/relationships/hyperlink" Target="https://blogs.wdf.sap.corp/sapnews_en/2015/03/telcos-tap-into-the-connected-woman/" TargetMode="External"/><Relationship Id="rId127" Type="http://schemas.openxmlformats.org/officeDocument/2006/relationships/hyperlink" Target="https://blogs.wdf.sap.corp/sapnews_en/2015/02/need-to-know-sap-corporate-framework/" TargetMode="External"/><Relationship Id="rId262" Type="http://schemas.openxmlformats.org/officeDocument/2006/relationships/hyperlink" Target="https://blogs.wdf.sap.corp/sapnews_en/2015/07/talking-trash-at-lunch/" TargetMode="External"/><Relationship Id="rId283" Type="http://schemas.openxmlformats.org/officeDocument/2006/relationships/hyperlink" Target="https://blogs.wdf.sap.corp/sapnews_en/2015/08/spotlight-on-women-leaders-at-sap-2/" TargetMode="External"/><Relationship Id="rId313" Type="http://schemas.openxmlformats.org/officeDocument/2006/relationships/hyperlink" Target="https://blogs.wdf.sap.corp/sapnews_en/2015/11/whats-got-turkey-talking/" TargetMode="External"/><Relationship Id="rId318" Type="http://schemas.openxmlformats.org/officeDocument/2006/relationships/hyperlink" Target="https://blogs.wdf.sap.corp/sapnews_en/2015/11/data-dilemma/" TargetMode="External"/><Relationship Id="rId339" Type="http://schemas.openxmlformats.org/officeDocument/2006/relationships/hyperlink" Target="https://blogs.wdf.sap.corp/sapnews_en/2015/12/sap-hana-now-more-than-ever/" TargetMode="External"/><Relationship Id="rId10" Type="http://schemas.openxmlformats.org/officeDocument/2006/relationships/hyperlink" Target="https://blogs.wdf.sap.corp/sapnews_en/2015/05/the-disruptors-bring-on-bi/" TargetMode="External"/><Relationship Id="rId31" Type="http://schemas.openxmlformats.org/officeDocument/2006/relationships/hyperlink" Target="https://blogs.wdf.sap.corp/sapnews_en/2015/05/a-question-of-quality/" TargetMode="External"/><Relationship Id="rId52" Type="http://schemas.openxmlformats.org/officeDocument/2006/relationships/hyperlink" Target="https://blogs.wdf.sap.corp/sapnews_en/2015/04/the-disruptors-no-end-to-the-innovation-race/" TargetMode="External"/><Relationship Id="rId73" Type="http://schemas.openxmlformats.org/officeDocument/2006/relationships/hyperlink" Target="https://blogs.wdf.sap.corp/sapnews_en/2015/03/thinking-faster-with-sap-hana-in-your-head-literally/" TargetMode="External"/><Relationship Id="rId78" Type="http://schemas.openxmlformats.org/officeDocument/2006/relationships/hyperlink" Target="https://blogs.wdf.sap.corp/sapnews_en/2015/03/solving-the-cancer-puzzle-with-sap-hana/" TargetMode="External"/><Relationship Id="rId94" Type="http://schemas.openxmlformats.org/officeDocument/2006/relationships/hyperlink" Target="https://blogs.wdf.sap.corp/sapnews_en/2015/03/jenny-dearborn-powerful-leader-in-it/" TargetMode="External"/><Relationship Id="rId99" Type="http://schemas.openxmlformats.org/officeDocument/2006/relationships/hyperlink" Target="https://blogs.wdf.sap.corp/sapnews_en/2015/01/hidden-champion-the-engagement-specialist/" TargetMode="External"/><Relationship Id="rId101" Type="http://schemas.openxmlformats.org/officeDocument/2006/relationships/hyperlink" Target="https://blogs.wdf.sap.corp/sapnews_en/2015/03/career-coaching-33/" TargetMode="External"/><Relationship Id="rId122" Type="http://schemas.openxmlformats.org/officeDocument/2006/relationships/hyperlink" Target="https://blogs.wdf.sap.corp/sapnews_en/2015/02/the-business-re-imaginer/" TargetMode="External"/><Relationship Id="rId143" Type="http://schemas.openxmlformats.org/officeDocument/2006/relationships/hyperlink" Target="https://blogs.wdf.sap.corp/sapnews_en/2015/01/a-new-twist-for-the-news/" TargetMode="External"/><Relationship Id="rId148" Type="http://schemas.openxmlformats.org/officeDocument/2006/relationships/hyperlink" Target="https://blogs.wdf.sap.corp/sapnews_en/2015/01/top-five-things-to-know-cristina-palmaka/" TargetMode="External"/><Relationship Id="rId164" Type="http://schemas.openxmlformats.org/officeDocument/2006/relationships/hyperlink" Target="https://blogs.wdf.sap.corp/sapnews_en/2015/01/sap-achieves-2014-outlook-as-cloud-surges-2/" TargetMode="External"/><Relationship Id="rId169" Type="http://schemas.openxmlformats.org/officeDocument/2006/relationships/hyperlink" Target="https://blogs.wdf.sap.corp/sapnews_en/2015/01/photo-contest-bending-the-rules/" TargetMode="External"/><Relationship Id="rId185" Type="http://schemas.openxmlformats.org/officeDocument/2006/relationships/hyperlink" Target="https://blogs.wdf.sap.corp/sapnews_en/2015/06/the-disruptors-klitschkos-city-knockout/" TargetMode="External"/><Relationship Id="rId334" Type="http://schemas.openxmlformats.org/officeDocument/2006/relationships/hyperlink" Target="https://blogs.wdf.sap.corp/sapnews_en/2015/12/and-the-winner-is-5/" TargetMode="External"/><Relationship Id="rId350" Type="http://schemas.openxmlformats.org/officeDocument/2006/relationships/hyperlink" Target="https://blogs.wdf.sap.corp/sapnews_en/2015/12/laughing-all-the-way-to-the-bank/" TargetMode="External"/><Relationship Id="rId355" Type="http://schemas.openxmlformats.org/officeDocument/2006/relationships/comments" Target="../comments1.xml"/><Relationship Id="rId4" Type="http://schemas.openxmlformats.org/officeDocument/2006/relationships/hyperlink" Target="https://blogs.wdf.sap.corp/sapnews_en/2015/05/sap-supports-non-discrimination-act/" TargetMode="External"/><Relationship Id="rId9" Type="http://schemas.openxmlformats.org/officeDocument/2006/relationships/hyperlink" Target="https://blogs.wdf.sap.corp/sapnews_en/2015/05/digital-transformation-at-bayer/" TargetMode="External"/><Relationship Id="rId180" Type="http://schemas.openxmlformats.org/officeDocument/2006/relationships/hyperlink" Target="https://blogs.wdf.sap.corp/sapnews_en/2015/06/ready-for-five-generations-in-your-workplace/" TargetMode="External"/><Relationship Id="rId210" Type="http://schemas.openxmlformats.org/officeDocument/2006/relationships/hyperlink" Target="https://blogs.wdf.sap.corp/sapnews_en/2015/09/saps-fast-and-furious-facts/" TargetMode="External"/><Relationship Id="rId215" Type="http://schemas.openxmlformats.org/officeDocument/2006/relationships/hyperlink" Target="https://blogs.wdf.sap.corp/sapnews_en/2015/09/be-a-hero-no-cape-required/" TargetMode="External"/><Relationship Id="rId236" Type="http://schemas.openxmlformats.org/officeDocument/2006/relationships/hyperlink" Target="https://blogs.wdf.sap.corp/sapnews_en/2015/07/never-too-early-for-stem/" TargetMode="External"/><Relationship Id="rId257" Type="http://schemas.openxmlformats.org/officeDocument/2006/relationships/hyperlink" Target="https://blogs.wdf.sap.corp/sapnews_en/2015/07/adapt-or-die/" TargetMode="External"/><Relationship Id="rId278" Type="http://schemas.openxmlformats.org/officeDocument/2006/relationships/hyperlink" Target="https://blogs.wdf.sap.corp/sapnews_en/2015/08/innovation-in-a-lump-of-iron/" TargetMode="External"/><Relationship Id="rId26" Type="http://schemas.openxmlformats.org/officeDocument/2006/relationships/hyperlink" Target="https://blogs.wdf.sap.corp/sapnews_en/2015/05/spotting-the-centaur-at-sapphire-now/" TargetMode="External"/><Relationship Id="rId231" Type="http://schemas.openxmlformats.org/officeDocument/2006/relationships/hyperlink" Target="https://blogs.wdf.sap.corp/sapnews_en/2015/07/all-fired-up/" TargetMode="External"/><Relationship Id="rId252" Type="http://schemas.openxmlformats.org/officeDocument/2006/relationships/hyperlink" Target="https://blogs.wdf.sap.corp/sapnews_en/2015/07/the-disruptors-why-fieldglass-is-one/" TargetMode="External"/><Relationship Id="rId273" Type="http://schemas.openxmlformats.org/officeDocument/2006/relationships/hyperlink" Target="https://blogs.wdf.sap.corp/sapnews_en/2015/08/putting-the-swing-back-in-walldorf/" TargetMode="External"/><Relationship Id="rId294" Type="http://schemas.openxmlformats.org/officeDocument/2006/relationships/hyperlink" Target="https://blogs.wdf.sap.corp/sapnews_en/2015/10/customer-hops-onto-sap-hana-express/" TargetMode="External"/><Relationship Id="rId308" Type="http://schemas.openxmlformats.org/officeDocument/2006/relationships/hyperlink" Target="https://blogs.wdf.sap.corp/sapnews_en/2015/10/the-disruptors-where-robots-do-the-dirty-work/" TargetMode="External"/><Relationship Id="rId329" Type="http://schemas.openxmlformats.org/officeDocument/2006/relationships/hyperlink" Target="https://blogs.wdf.sap.corp/sapnews_en/2015/11/i-love-to-score-goals/" TargetMode="External"/><Relationship Id="rId47" Type="http://schemas.openxmlformats.org/officeDocument/2006/relationships/hyperlink" Target="https://blogs.wdf.sap.corp/sapnews_en/2015/04/s4hana-the-big-new-thing/" TargetMode="External"/><Relationship Id="rId68" Type="http://schemas.openxmlformats.org/officeDocument/2006/relationships/hyperlink" Target="https://blogs.wdf.sap.corp/sapnews_en/2015/04/the-disruptors-five-cents-for-a-clean-toilet/" TargetMode="External"/><Relationship Id="rId89" Type="http://schemas.openxmlformats.org/officeDocument/2006/relationships/hyperlink" Target="https://blogs.wdf.sap.corp/sapnews_en/2015/03/hidden-champion-the-global-citizen/" TargetMode="External"/><Relationship Id="rId112" Type="http://schemas.openxmlformats.org/officeDocument/2006/relationships/hyperlink" Target="https://blogs.wdf.sap.corp/sapnews_en/2015/02/out-of-this-world/" TargetMode="External"/><Relationship Id="rId133" Type="http://schemas.openxmlformats.org/officeDocument/2006/relationships/hyperlink" Target="https://blogs.wdf.sap.corp/sapnews_en/2015/02/building-bridges-the-sound-of-collaboration/" TargetMode="External"/><Relationship Id="rId154" Type="http://schemas.openxmlformats.org/officeDocument/2006/relationships/hyperlink" Target="https://blogs.wdf.sap.corp/sapnews_en/2015/01/the-disruptors-from-harley-to-minas-gerais-2/" TargetMode="External"/><Relationship Id="rId175" Type="http://schemas.openxmlformats.org/officeDocument/2006/relationships/hyperlink" Target="https://blogs.wdf.sap.corp/sapnews_en/2015/06/hana-spatial-where-are-they-now/" TargetMode="External"/><Relationship Id="rId340" Type="http://schemas.openxmlformats.org/officeDocument/2006/relationships/hyperlink" Target="https://blogs.wdf.sap.corp/sapnews_en/2015/12/the-soul-of-the-digital-revolution/" TargetMode="External"/><Relationship Id="rId196" Type="http://schemas.openxmlformats.org/officeDocument/2006/relationships/hyperlink" Target="https://blogs.wdf.sap.corp/sapnews_en/2015/06/dynamic-online-learning/" TargetMode="External"/><Relationship Id="rId200" Type="http://schemas.openxmlformats.org/officeDocument/2006/relationships/hyperlink" Target="https://blogs.wdf.sap.corp/sapnews_en/2015/06/overcoming-every-hurdle/" TargetMode="External"/><Relationship Id="rId16" Type="http://schemas.openxmlformats.org/officeDocument/2006/relationships/hyperlink" Target="https://blogs.wdf.sap.corp/sapnews_en/2015/05/amg-moves-into-the-fast-lane/" TargetMode="External"/><Relationship Id="rId221" Type="http://schemas.openxmlformats.org/officeDocument/2006/relationships/hyperlink" Target="https://blogs.wdf.sap.corp/sapnews_en/2015/09/sap-s4hana-branding-update/" TargetMode="External"/><Relationship Id="rId242" Type="http://schemas.openxmlformats.org/officeDocument/2006/relationships/hyperlink" Target="https://blogs.wdf.sap.corp/sapnews_en/2015/07/coaching-leading-managing/" TargetMode="External"/><Relationship Id="rId263" Type="http://schemas.openxmlformats.org/officeDocument/2006/relationships/hyperlink" Target="https://blogs.wdf.sap.corp/sapnews_en/2015/07/the-digital-economy-manifesto/" TargetMode="External"/><Relationship Id="rId284" Type="http://schemas.openxmlformats.org/officeDocument/2006/relationships/hyperlink" Target="https://blogs.wdf.sap.corp/sapnews_en/2015/08/learning-from-the-dodo/" TargetMode="External"/><Relationship Id="rId319" Type="http://schemas.openxmlformats.org/officeDocument/2006/relationships/hyperlink" Target="https://blogs.wdf.sap.corp/sapnews_en/2015/11/heralding-the-future/" TargetMode="External"/><Relationship Id="rId37" Type="http://schemas.openxmlformats.org/officeDocument/2006/relationships/hyperlink" Target="https://blogs.wdf.sap.corp/sapnews_en/2015/04/the-future-of-talent-management/" TargetMode="External"/><Relationship Id="rId58" Type="http://schemas.openxmlformats.org/officeDocument/2006/relationships/hyperlink" Target="https://blogs.wdf.sap.corp/sapnews_en/2015/04/the-disruptors-shirt-delivery-by-drone/" TargetMode="External"/><Relationship Id="rId79" Type="http://schemas.openxmlformats.org/officeDocument/2006/relationships/hyperlink" Target="https://blogs.wdf.sap.corp/sapnews_en/2015/03/the-disruptors-bikers-against-disease/" TargetMode="External"/><Relationship Id="rId102" Type="http://schemas.openxmlformats.org/officeDocument/2006/relationships/hyperlink" Target="https://blogs.wdf.sap.corp/sapnews_en/2015/03/walldorf-and-silicon-valley-in-tech-fever/" TargetMode="External"/><Relationship Id="rId123" Type="http://schemas.openxmlformats.org/officeDocument/2006/relationships/hyperlink" Target="https://blogs.wdf.sap.corp/sapnews_en/2015/02/big-brazilian-win-4-s4hana/" TargetMode="External"/><Relationship Id="rId144" Type="http://schemas.openxmlformats.org/officeDocument/2006/relationships/hyperlink" Target="https://blogs.wdf.sap.corp/sapnews_en/2015/01/bill-mcdermott-excited-about-prospects-in-mena/" TargetMode="External"/><Relationship Id="rId330" Type="http://schemas.openxmlformats.org/officeDocument/2006/relationships/hyperlink" Target="https://blogs.wdf.sap.corp/sapnews_en/2015/11/we-can-help-mitigate-the-risks/" TargetMode="External"/><Relationship Id="rId90" Type="http://schemas.openxmlformats.org/officeDocument/2006/relationships/hyperlink" Target="https://blogs.wdf.sap.corp/sapnews_en/2015/03/the-disruptors-these-schutz-are-made-for-walking/" TargetMode="External"/><Relationship Id="rId165" Type="http://schemas.openxmlformats.org/officeDocument/2006/relationships/hyperlink" Target="https://blogs.wdf.sap.corp/sapnews_en/2015/01/global-managing-board-adds-two-members/" TargetMode="External"/><Relationship Id="rId186" Type="http://schemas.openxmlformats.org/officeDocument/2006/relationships/hyperlink" Target="https://blogs.wdf.sap.corp/sapnews_en/2015/06/everything-is-possible-at-sap/" TargetMode="External"/><Relationship Id="rId351" Type="http://schemas.openxmlformats.org/officeDocument/2006/relationships/hyperlink" Target="https://blogs.wdf.sap.corp/sapnews_en/2015/12/employees-support-relief-efforts-in-chennai/" TargetMode="External"/><Relationship Id="rId211" Type="http://schemas.openxmlformats.org/officeDocument/2006/relationships/hyperlink" Target="https://blogs.wdf.sap.corp/sapnews_en/2015/09/team-u-s-wins-the-solheim-cup/" TargetMode="External"/><Relationship Id="rId232" Type="http://schemas.openxmlformats.org/officeDocument/2006/relationships/hyperlink" Target="https://blogs.wdf.sap.corp/sapnews_en/2015/07/taking-football-into-the-cloud/" TargetMode="External"/><Relationship Id="rId253" Type="http://schemas.openxmlformats.org/officeDocument/2006/relationships/hyperlink" Target="https://blogs.wdf.sap.corp/sapnews_en/2015/07/good-job-keep-rolling-stop-flying/" TargetMode="External"/><Relationship Id="rId274" Type="http://schemas.openxmlformats.org/officeDocument/2006/relationships/hyperlink" Target="https://blogs.wdf.sap.corp/sapnews_en/2015/08/two-sides-of-the-same-coin/" TargetMode="External"/><Relationship Id="rId295" Type="http://schemas.openxmlformats.org/officeDocument/2006/relationships/hyperlink" Target="https://blogs.wdf.sap.corp/sapnews_en/2015/10/one4-you-can-help-the-refugees-crisis-now/" TargetMode="External"/><Relationship Id="rId309" Type="http://schemas.openxmlformats.org/officeDocument/2006/relationships/hyperlink" Target="https://blogs.wdf.sap.corp/sapnews_en/2015/10/the-quality-execution-principle/" TargetMode="External"/><Relationship Id="rId27" Type="http://schemas.openxmlformats.org/officeDocument/2006/relationships/hyperlink" Target="https://blogs.wdf.sap.corp/sapnews_en/2015/05/key-accelerator-for-saps-growth-aspirations/" TargetMode="External"/><Relationship Id="rId48" Type="http://schemas.openxmlformats.org/officeDocument/2006/relationships/hyperlink" Target="https://blogs.wdf.sap.corp/sapnews_en/2015/04/double-win-for-manufacturing/" TargetMode="External"/><Relationship Id="rId69" Type="http://schemas.openxmlformats.org/officeDocument/2006/relationships/hyperlink" Target="https://blogs.wdf.sap.corp/sapnews_en/2015/04/news-from-africa-13/" TargetMode="External"/><Relationship Id="rId113" Type="http://schemas.openxmlformats.org/officeDocument/2006/relationships/hyperlink" Target="https://blogs.wdf.sap.corp/sapnews_en/2015/02/career-coaching-13/" TargetMode="External"/><Relationship Id="rId134" Type="http://schemas.openxmlformats.org/officeDocument/2006/relationships/hyperlink" Target="https://blogs.wdf.sap.corp/sapnews_en/2015/02/the-disruptors-tech-dress-for-the-workplace/" TargetMode="External"/><Relationship Id="rId320" Type="http://schemas.openxmlformats.org/officeDocument/2006/relationships/hyperlink" Target="https://blogs.wdf.sap.corp/sapnews_en/2015/11/vive-la-france/" TargetMode="External"/><Relationship Id="rId80" Type="http://schemas.openxmlformats.org/officeDocument/2006/relationships/hyperlink" Target="https://blogs.wdf.sap.corp/sapnews_en/2015/03/welcome-to-the-talent-journey/" TargetMode="External"/><Relationship Id="rId155" Type="http://schemas.openxmlformats.org/officeDocument/2006/relationships/hyperlink" Target="https://blogs.wdf.sap.corp/sapnews_en/2015/01/watch-for-these-top-trends-in-2015/" TargetMode="External"/><Relationship Id="rId176" Type="http://schemas.openxmlformats.org/officeDocument/2006/relationships/hyperlink" Target="https://blogs.wdf.sap.corp/sapnews_en/2015/06/growth-and-jobs-through-digitalization/" TargetMode="External"/><Relationship Id="rId197" Type="http://schemas.openxmlformats.org/officeDocument/2006/relationships/hyperlink" Target="https://blogs.wdf.sap.corp/sapnews_en/2015/06/and-the-winner-is-2/" TargetMode="External"/><Relationship Id="rId341" Type="http://schemas.openxmlformats.org/officeDocument/2006/relationships/hyperlink" Target="https://blogs.wdf.sap.corp/sapnews_en/2015/12/parking-made-painless/" TargetMode="External"/><Relationship Id="rId201" Type="http://schemas.openxmlformats.org/officeDocument/2006/relationships/hyperlink" Target="https://blogs.wdf.sap.corp/sapnews_en/2015/06/simpler-faster-unified-efficient/" TargetMode="External"/><Relationship Id="rId222" Type="http://schemas.openxmlformats.org/officeDocument/2006/relationships/hyperlink" Target="https://blogs.wdf.sap.corp/sapnews_en/2015/09/easier-partnering-bigger-opportunities/" TargetMode="External"/><Relationship Id="rId243" Type="http://schemas.openxmlformats.org/officeDocument/2006/relationships/hyperlink" Target="https://blogs.wdf.sap.corp/sapnews_en/2015/07/lets-get-physical/" TargetMode="External"/><Relationship Id="rId264" Type="http://schemas.openxmlformats.org/officeDocument/2006/relationships/hyperlink" Target="https://blogs.wdf.sap.corp/sapnews_en/2015/07/structure-freedom-innovation/" TargetMode="External"/><Relationship Id="rId285" Type="http://schemas.openxmlformats.org/officeDocument/2006/relationships/hyperlink" Target="https://blogs.wdf.sap.corp/sapnews_en/2015/09/how-to-design-digital-transformation/" TargetMode="External"/><Relationship Id="rId17" Type="http://schemas.openxmlformats.org/officeDocument/2006/relationships/hyperlink" Target="https://blogs.wdf.sap.corp/sapnews_en/2015/05/remote-access-made-simple/" TargetMode="External"/><Relationship Id="rId38" Type="http://schemas.openxmlformats.org/officeDocument/2006/relationships/hyperlink" Target="https://blogs.wdf.sap.corp/sapnews_en/2015/04/mission-control-we-fly-to-mars/" TargetMode="External"/><Relationship Id="rId59" Type="http://schemas.openxmlformats.org/officeDocument/2006/relationships/hyperlink" Target="https://blogs.wdf.sap.corp/sapnews_en/2015/04/master-of-arts/" TargetMode="External"/><Relationship Id="rId103" Type="http://schemas.openxmlformats.org/officeDocument/2006/relationships/hyperlink" Target="https://blogs.wdf.sap.corp/sapnews_en/2015/03/culture-wall-up-and-running/" TargetMode="External"/><Relationship Id="rId124" Type="http://schemas.openxmlformats.org/officeDocument/2006/relationships/hyperlink" Target="https://blogs.wdf.sap.corp/sapnews_en/2015/02/powering-the-energy-revolution-together/" TargetMode="External"/><Relationship Id="rId310" Type="http://schemas.openxmlformats.org/officeDocument/2006/relationships/hyperlink" Target="https://blogs.wdf.sap.corp/sapnews_en/2015/10/changing-the-world-and-changing-perceptions/" TargetMode="External"/><Relationship Id="rId70" Type="http://schemas.openxmlformats.org/officeDocument/2006/relationships/hyperlink" Target="https://blogs.wdf.sap.corp/sapnews_en/2015/04/intrapreneurship-where-are-we-now/" TargetMode="External"/><Relationship Id="rId91" Type="http://schemas.openxmlformats.org/officeDocument/2006/relationships/hyperlink" Target="https://blogs.wdf.sap.corp/sapnews_en/2015/03/hanahaus-opens-in-palo-alto/" TargetMode="External"/><Relationship Id="rId145" Type="http://schemas.openxmlformats.org/officeDocument/2006/relationships/hyperlink" Target="https://blogs.wdf.sap.corp/sapnews_en/2015/01/decoding-the-human-body/" TargetMode="External"/><Relationship Id="rId166" Type="http://schemas.openxmlformats.org/officeDocument/2006/relationships/hyperlink" Target="https://blogs.wdf.sap.corp/sapnews_en/2015/01/ibm-is-practicing-what-sap-teaches/" TargetMode="External"/><Relationship Id="rId187" Type="http://schemas.openxmlformats.org/officeDocument/2006/relationships/hyperlink" Target="https://blogs.wdf.sap.corp/sapnews_en/2015/06/vote-now/" TargetMode="External"/><Relationship Id="rId331" Type="http://schemas.openxmlformats.org/officeDocument/2006/relationships/hyperlink" Target="https://blogs.wdf.sap.corp/sapnews_en/2015/12/the-connected-stadium-fc-bayern-munich/" TargetMode="External"/><Relationship Id="rId352" Type="http://schemas.openxmlformats.org/officeDocument/2006/relationships/printerSettings" Target="../printerSettings/printerSettings1.bin"/><Relationship Id="rId1" Type="http://schemas.openxmlformats.org/officeDocument/2006/relationships/hyperlink" Target="https://blogs.wdf.sap.corp/sapnews_en/2015/05/the-disruptors-a-unique-way-to-do-business/" TargetMode="External"/><Relationship Id="rId212" Type="http://schemas.openxmlformats.org/officeDocument/2006/relationships/hyperlink" Target="https://blogs.wdf.sap.corp/sapnews_en/2015/09/sap-responds-to-the-refugee-crisis/" TargetMode="External"/><Relationship Id="rId233" Type="http://schemas.openxmlformats.org/officeDocument/2006/relationships/hyperlink" Target="https://blogs.wdf.sap.corp/sapnews_en/2015/07/greek-debt-crisis/" TargetMode="External"/><Relationship Id="rId254" Type="http://schemas.openxmlformats.org/officeDocument/2006/relationships/hyperlink" Target="https://blogs.wdf.sap.corp/sapnews_en/2015/07/taylor-made-disaster-on-the-hudson/" TargetMode="External"/><Relationship Id="rId28" Type="http://schemas.openxmlformats.org/officeDocument/2006/relationships/hyperlink" Target="https://blogs.wdf.sap.corp/sapnews_en/2015/05/the-consumer-rules/" TargetMode="External"/><Relationship Id="rId49" Type="http://schemas.openxmlformats.org/officeDocument/2006/relationships/hyperlink" Target="https://blogs.wdf.sap.corp/sapnews_en/2015/04/a-python-on-my-way-to-school/" TargetMode="External"/><Relationship Id="rId114" Type="http://schemas.openxmlformats.org/officeDocument/2006/relationships/hyperlink" Target="https://blogs.wdf.sap.corp/sapnews_en/2015/02/hate-your-job/" TargetMode="External"/><Relationship Id="rId275" Type="http://schemas.openxmlformats.org/officeDocument/2006/relationships/hyperlink" Target="https://blogs.wdf.sap.corp/sapnews_en/2015/08/ending-supply-chain-slavery/" TargetMode="External"/><Relationship Id="rId296" Type="http://schemas.openxmlformats.org/officeDocument/2006/relationships/hyperlink" Target="https://blogs.wdf.sap.corp/sapnews_en/2015/10/sap-expands-hcm-suite-with-multiposting/" TargetMode="External"/><Relationship Id="rId300" Type="http://schemas.openxmlformats.org/officeDocument/2006/relationships/hyperlink" Target="https://blogs.wdf.sap.corp/sapnews_en/2015/10/one4-the-power-of-one-employees-idea/" TargetMode="External"/><Relationship Id="rId60" Type="http://schemas.openxmlformats.org/officeDocument/2006/relationships/hyperlink" Target="https://blogs.wdf.sap.corp/sapnews_en/2015/04/a-very-substantial-cloud-business/" TargetMode="External"/><Relationship Id="rId81" Type="http://schemas.openxmlformats.org/officeDocument/2006/relationships/hyperlink" Target="https://blogs.wdf.sap.corp/sapnews_en/2015/03/how-fit-are-you-really/" TargetMode="External"/><Relationship Id="rId135" Type="http://schemas.openxmlformats.org/officeDocument/2006/relationships/hyperlink" Target="https://blogs.wdf.sap.corp/sapnews_en/2015/02/photo-contest-bending-the-rules-2/" TargetMode="External"/><Relationship Id="rId156" Type="http://schemas.openxmlformats.org/officeDocument/2006/relationships/hyperlink" Target="https://blogs.wdf.sap.corp/sapnews_en/2015/01/a-business-leader-in-marketing/" TargetMode="External"/><Relationship Id="rId177" Type="http://schemas.openxmlformats.org/officeDocument/2006/relationships/hyperlink" Target="https://blogs.wdf.sap.corp/sapnews_en/2015/06/cope-gives-franz-confidence-3/" TargetMode="External"/><Relationship Id="rId198" Type="http://schemas.openxmlformats.org/officeDocument/2006/relationships/hyperlink" Target="https://blogs.wdf.sap.corp/sapnews_en/2015/06/the-disruptors-become-a-smart-port/" TargetMode="External"/><Relationship Id="rId321" Type="http://schemas.openxmlformats.org/officeDocument/2006/relationships/hyperlink" Target="https://blogs.wdf.sap.corp/sapnews_en/2015/11/sap-employees-break-volunteering-record/" TargetMode="External"/><Relationship Id="rId342" Type="http://schemas.openxmlformats.org/officeDocument/2006/relationships/hyperlink" Target="https://blogs.wdf.sap.corp/sapnews_en/2015/12/sap-hana-healthcare-dawn-of-new-era/" TargetMode="External"/><Relationship Id="rId202" Type="http://schemas.openxmlformats.org/officeDocument/2006/relationships/hyperlink" Target="https://blogs.wdf.sap.corp/sapnews_en/2015/06/crafty-tunes-collaboration-creativity/" TargetMode="External"/><Relationship Id="rId223" Type="http://schemas.openxmlformats.org/officeDocument/2006/relationships/hyperlink" Target="https://blogs.wdf.sap.corp/sapnews_en/2015/09/platforms-are-hot-again-digitize-now/" TargetMode="External"/><Relationship Id="rId244" Type="http://schemas.openxmlformats.org/officeDocument/2006/relationships/hyperlink" Target="https://blogs.wdf.sap.corp/sapnews_en/2015/07/the-adventures-of-super-simple/" TargetMode="External"/><Relationship Id="rId18" Type="http://schemas.openxmlformats.org/officeDocument/2006/relationships/hyperlink" Target="https://blogs.wdf.sap.corp/sapnews_en/2015/05/molecular-health-a-technology-trailblazer/" TargetMode="External"/><Relationship Id="rId39" Type="http://schemas.openxmlformats.org/officeDocument/2006/relationships/hyperlink" Target="https://blogs.wdf.sap.corp/sapnews_en/2015/04/healthcare-check-up-digital-transformation/" TargetMode="External"/><Relationship Id="rId265" Type="http://schemas.openxmlformats.org/officeDocument/2006/relationships/hyperlink" Target="https://blogs.wdf.sap.corp/sapnews_en/2015/07/sap-on-wheels/" TargetMode="External"/><Relationship Id="rId286" Type="http://schemas.openxmlformats.org/officeDocument/2006/relationships/hyperlink" Target="https://blogs.wdf.sap.corp/sapnews_en/2015/09/winning-apps/" TargetMode="External"/><Relationship Id="rId50" Type="http://schemas.openxmlformats.org/officeDocument/2006/relationships/hyperlink" Target="https://blogs.wdf.sap.corp/sapnews_en/2015/04/bill-and-francois-hollande-talk-technology/" TargetMode="External"/><Relationship Id="rId104" Type="http://schemas.openxmlformats.org/officeDocument/2006/relationships/hyperlink" Target="https://blogs.wdf.sap.corp/sapnews_en/2015/03/sap-inspiration-pavilion-opens-in-beijing/" TargetMode="External"/><Relationship Id="rId125" Type="http://schemas.openxmlformats.org/officeDocument/2006/relationships/hyperlink" Target="https://blogs.wdf.sap.corp/sapnews_en/2015/02/sending-the-right-message/" TargetMode="External"/><Relationship Id="rId146" Type="http://schemas.openxmlformats.org/officeDocument/2006/relationships/hyperlink" Target="https://blogs.wdf.sap.corp/sapnews_en/2015/01/the-disruptors-hillarys-does-the-smart-thing/" TargetMode="External"/><Relationship Id="rId167" Type="http://schemas.openxmlformats.org/officeDocument/2006/relationships/hyperlink" Target="https://blogs.wdf.sap.corp/sapnews_en/2015/01/mobility-compliance-reloaded/" TargetMode="External"/><Relationship Id="rId188" Type="http://schemas.openxmlformats.org/officeDocument/2006/relationships/hyperlink" Target="https://blogs.wdf.sap.corp/sapnews_en/2015/06/designing-with-the-elderly/" TargetMode="External"/><Relationship Id="rId311" Type="http://schemas.openxmlformats.org/officeDocument/2006/relationships/hyperlink" Target="https://blogs.wdf.sap.corp/sapnews_en/2015/11/innovation-entrepreneurialism-courage-from-aribapay-to-suseo-rail/" TargetMode="External"/><Relationship Id="rId332" Type="http://schemas.openxmlformats.org/officeDocument/2006/relationships/hyperlink" Target="https://blogs.wdf.sap.corp/sapnews_en/2015/12/totems-of-technology/" TargetMode="External"/><Relationship Id="rId353" Type="http://schemas.openxmlformats.org/officeDocument/2006/relationships/drawing" Target="../drawings/drawing1.xml"/><Relationship Id="rId71" Type="http://schemas.openxmlformats.org/officeDocument/2006/relationships/hyperlink" Target="https://blogs.wdf.sap.corp/sapnews_en/2015/04/nepal-earthquake-sap-supports-red-cross/" TargetMode="External"/><Relationship Id="rId92" Type="http://schemas.openxmlformats.org/officeDocument/2006/relationships/hyperlink" Target="https://blogs.wdf.sap.corp/sapnews_en/2015/03/never-lose-your-sense-of-curiosity/" TargetMode="External"/><Relationship Id="rId213" Type="http://schemas.openxmlformats.org/officeDocument/2006/relationships/hyperlink" Target="https://blogs.wdf.sap.corp/sapnews_en/2015/09/i-feel-stronger-than-ever-2/" TargetMode="External"/><Relationship Id="rId234" Type="http://schemas.openxmlformats.org/officeDocument/2006/relationships/hyperlink" Target="https://blogs.wdf.sap.corp/sapnews_en/2015/07/founders-award-where-are-we-now/" TargetMode="External"/><Relationship Id="rId2" Type="http://schemas.openxmlformats.org/officeDocument/2006/relationships/hyperlink" Target="https://blogs.wdf.sap.corp/sapnews_en/2015/05/career-success-center-kicks-off/" TargetMode="External"/><Relationship Id="rId29" Type="http://schemas.openxmlformats.org/officeDocument/2006/relationships/hyperlink" Target="https://blogs.wdf.sap.corp/sapnews_en/2015/05/the-digital-economy-in-the-spotlight/" TargetMode="External"/><Relationship Id="rId255" Type="http://schemas.openxmlformats.org/officeDocument/2006/relationships/hyperlink" Target="https://blogs.wdf.sap.corp/sapnews_en/2015/07/israel-and-germany-trust-breeds-innovation/" TargetMode="External"/><Relationship Id="rId276" Type="http://schemas.openxmlformats.org/officeDocument/2006/relationships/hyperlink" Target="https://blogs.wdf.sap.corp/sapnews_en/2015/08/a-matter-of-support/" TargetMode="External"/><Relationship Id="rId297" Type="http://schemas.openxmlformats.org/officeDocument/2006/relationships/hyperlink" Target="https://blogs.wdf.sap.corp/sapnews_en/2015/10/the-play-by-play-on-sap-sports-one/" TargetMode="External"/><Relationship Id="rId40" Type="http://schemas.openxmlformats.org/officeDocument/2006/relationships/hyperlink" Target="https://blogs.wdf.sap.corp/sapnews_en/2015/04/top-five-things-to-know-paula-jacomo/" TargetMode="External"/><Relationship Id="rId115" Type="http://schemas.openxmlformats.org/officeDocument/2006/relationships/hyperlink" Target="https://blogs.wdf.sap.corp/sapnews_en/2015/02/top-story-sleeping-beauties/" TargetMode="External"/><Relationship Id="rId136" Type="http://schemas.openxmlformats.org/officeDocument/2006/relationships/hyperlink" Target="https://blogs.wdf.sap.corp/sapnews_en/2015/02/four-times-to-the-moon-and-back/" TargetMode="External"/><Relationship Id="rId157" Type="http://schemas.openxmlformats.org/officeDocument/2006/relationships/hyperlink" Target="https://blogs.wdf.sap.corp/sapnews_en/2015/01/career-path-from-manager-to-expert/" TargetMode="External"/><Relationship Id="rId178" Type="http://schemas.openxmlformats.org/officeDocument/2006/relationships/hyperlink" Target="https://blogs.wdf.sap.corp/sapnews_en/2015/06/atos-doubles-its-revenue-with-sap/" TargetMode="External"/><Relationship Id="rId301" Type="http://schemas.openxmlformats.org/officeDocument/2006/relationships/hyperlink" Target="https://blogs.wdf.sap.corp/sapnews_en/2015/10/coding-the-future-fresh-perspectives/" TargetMode="External"/><Relationship Id="rId322" Type="http://schemas.openxmlformats.org/officeDocument/2006/relationships/hyperlink" Target="https://blogs.wdf.sap.corp/sapnews_en/2015/11/what-moved-you-most-in-2015/" TargetMode="External"/><Relationship Id="rId343" Type="http://schemas.openxmlformats.org/officeDocument/2006/relationships/hyperlink" Target="https://blogs.wdf.sap.corp/sapnews_en/2015/12/the-digital-rescuer/" TargetMode="External"/><Relationship Id="rId61" Type="http://schemas.openxmlformats.org/officeDocument/2006/relationships/hyperlink" Target="https://blogs.wdf.sap.corp/sapnews_en/2015/04/new-behaviors-at-sap/" TargetMode="External"/><Relationship Id="rId82" Type="http://schemas.openxmlformats.org/officeDocument/2006/relationships/hyperlink" Target="https://blogs.wdf.sap.corp/sapnews_en/2015/03/smartcities-have-the-answer/" TargetMode="External"/><Relationship Id="rId199" Type="http://schemas.openxmlformats.org/officeDocument/2006/relationships/hyperlink" Target="https://blogs.wdf.sap.corp/sapnews_en/2015/06/shravan-finds-his-place/" TargetMode="External"/><Relationship Id="rId203" Type="http://schemas.openxmlformats.org/officeDocument/2006/relationships/hyperlink" Target="https://blogs.wdf.sap.corp/sapnews_en/2015/06/restoring-growth-across-latin-america/" TargetMode="External"/><Relationship Id="rId19" Type="http://schemas.openxmlformats.org/officeDocument/2006/relationships/hyperlink" Target="https://blogs.wdf.sap.corp/sapnews_en/2015/05/get-designing/" TargetMode="External"/><Relationship Id="rId224" Type="http://schemas.openxmlformats.org/officeDocument/2006/relationships/hyperlink" Target="https://blogs.wdf.sap.corp/sapnews_en/2015/08/parlez-vous-business-in-africa/" TargetMode="External"/><Relationship Id="rId245" Type="http://schemas.openxmlformats.org/officeDocument/2006/relationships/hyperlink" Target="https://blogs.wdf.sap.corp/sapnews_en/2015/07/define-your-career/" TargetMode="External"/><Relationship Id="rId266" Type="http://schemas.openxmlformats.org/officeDocument/2006/relationships/hyperlink" Target="https://blogs.wdf.sap.corp/sapnews_en/2015/07/educational-equity-fueled-by-tech/" TargetMode="External"/><Relationship Id="rId287" Type="http://schemas.openxmlformats.org/officeDocument/2006/relationships/hyperlink" Target="https://blogs.wdf.sap.corp/sapnews_en/2015/09/sap-strategy-live-and-in-color/" TargetMode="External"/><Relationship Id="rId30" Type="http://schemas.openxmlformats.org/officeDocument/2006/relationships/hyperlink" Target="https://blogs.wdf.sap.corp/sapnews_en/2015/05/hot-and-cloudy-chance-of-meatballs/" TargetMode="External"/><Relationship Id="rId105" Type="http://schemas.openxmlformats.org/officeDocument/2006/relationships/hyperlink" Target="https://blogs.wdf.sap.corp/sapnews_en/2015/03/a-new-perspective-on-iot/" TargetMode="External"/><Relationship Id="rId126" Type="http://schemas.openxmlformats.org/officeDocument/2006/relationships/hyperlink" Target="https://blogs.wdf.sap.corp/sapnews_en/2015/02/the-disruptors-plant-bottles-not-plastic/" TargetMode="External"/><Relationship Id="rId147" Type="http://schemas.openxmlformats.org/officeDocument/2006/relationships/hyperlink" Target="https://blogs.wdf.sap.corp/sapnews_en/2015/01/the-driving-force-is-data/" TargetMode="External"/><Relationship Id="rId168" Type="http://schemas.openxmlformats.org/officeDocument/2006/relationships/hyperlink" Target="https://blogs.wdf.sap.corp/sapnews_en/2015/01/overcoming-the-trust-deficit/" TargetMode="External"/><Relationship Id="rId312" Type="http://schemas.openxmlformats.org/officeDocument/2006/relationships/hyperlink" Target="https://blogs.wdf.sap.corp/sapnews_en/2015/11/a-sporting-showcase-for-technology/" TargetMode="External"/><Relationship Id="rId333" Type="http://schemas.openxmlformats.org/officeDocument/2006/relationships/hyperlink" Target="https://blogs.wdf.sap.corp/sapnews_en/2015/12/how-cities-are-turning-down-the-heat/" TargetMode="External"/><Relationship Id="rId354" Type="http://schemas.openxmlformats.org/officeDocument/2006/relationships/vmlDrawing" Target="../drawings/vmlDrawing1.vml"/><Relationship Id="rId51" Type="http://schemas.openxmlformats.org/officeDocument/2006/relationships/hyperlink" Target="https://blogs.wdf.sap.corp/sapnews_en/2015/04/who-are-you-calling-a-nerd-sap-employees-hit-the-road/" TargetMode="External"/><Relationship Id="rId72" Type="http://schemas.openxmlformats.org/officeDocument/2006/relationships/hyperlink" Target="https://blogs.wdf.sap.corp/sapnews_en/2015/04/sap-founders-award-reloaded/" TargetMode="External"/><Relationship Id="rId93" Type="http://schemas.openxmlformats.org/officeDocument/2006/relationships/hyperlink" Target="https://blogs.wdf.sap.corp/sapnews_en/2015/03/introducing-the-new-sap-store/" TargetMode="External"/><Relationship Id="rId189" Type="http://schemas.openxmlformats.org/officeDocument/2006/relationships/hyperlink" Target="https://blogs.wdf.sap.corp/sapnews_en/2015/06/breakthroughs-take-a-break/" TargetMode="External"/><Relationship Id="rId3" Type="http://schemas.openxmlformats.org/officeDocument/2006/relationships/hyperlink" Target="https://blogs.wdf.sap.corp/sapnews_en/2015/05/marketplace-for-connected-car-services/" TargetMode="External"/><Relationship Id="rId214" Type="http://schemas.openxmlformats.org/officeDocument/2006/relationships/hyperlink" Target="https://blogs.wdf.sap.corp/sapnews_en/2015/09/were-not-in-kansas-anymore/" TargetMode="External"/><Relationship Id="rId235" Type="http://schemas.openxmlformats.org/officeDocument/2006/relationships/hyperlink" Target="https://blogs.wdf.sap.corp/sapnews_en/2015/07/living-the-new-behaviors/" TargetMode="External"/><Relationship Id="rId256" Type="http://schemas.openxmlformats.org/officeDocument/2006/relationships/hyperlink" Target="https://blogs.wdf.sap.corp/sapnews_en/2015/07/from-poaching-to-farming/" TargetMode="External"/><Relationship Id="rId277" Type="http://schemas.openxmlformats.org/officeDocument/2006/relationships/hyperlink" Target="https://blogs.wdf.sap.corp/sapnews_en/2015/08/the-crippling-cost-of-sports-injuries/" TargetMode="External"/><Relationship Id="rId298" Type="http://schemas.openxmlformats.org/officeDocument/2006/relationships/hyperlink" Target="https://blogs.wdf.sap.corp/sapnews_en/2015/10/q3-record-results-in-the-cloud/" TargetMode="External"/><Relationship Id="rId116" Type="http://schemas.openxmlformats.org/officeDocument/2006/relationships/hyperlink" Target="https://blogs.wdf.sap.corp/sapnews_en/2015/02/healthcare-gets-the-it-treatment/" TargetMode="External"/><Relationship Id="rId137" Type="http://schemas.openxmlformats.org/officeDocument/2006/relationships/hyperlink" Target="https://blogs.wdf.sap.corp/sapnews_en/2015/02/sap-turbo-charges-customer-and-partner-education/" TargetMode="External"/><Relationship Id="rId158" Type="http://schemas.openxmlformats.org/officeDocument/2006/relationships/hyperlink" Target="https://blogs.wdf.sap.corp/sapnews_en/2015/01/2015-pedal-to-the-metal-for-cloud-growth/" TargetMode="External"/><Relationship Id="rId302" Type="http://schemas.openxmlformats.org/officeDocument/2006/relationships/hyperlink" Target="https://blogs.wdf.sap.corp/sapnews_en/2015/10/sap-hana-support-packs-a-punch/" TargetMode="External"/><Relationship Id="rId323" Type="http://schemas.openxmlformats.org/officeDocument/2006/relationships/hyperlink" Target="https://blogs.wdf.sap.corp/sapnews_en/2015/11/saps-light-bulb-moment/" TargetMode="External"/><Relationship Id="rId344" Type="http://schemas.openxmlformats.org/officeDocument/2006/relationships/hyperlink" Target="https://blogs.wdf.sap.corp/sapnews_en/2015/12/difference-makers/" TargetMode="External"/><Relationship Id="rId20" Type="http://schemas.openxmlformats.org/officeDocument/2006/relationships/hyperlink" Target="https://blogs.wdf.sap.corp/sapnews_en/2015/05/photo-contest-on-the-move/" TargetMode="External"/><Relationship Id="rId41" Type="http://schemas.openxmlformats.org/officeDocument/2006/relationships/hyperlink" Target="https://blogs.wdf.sap.corp/sapnews_en/2015/04/dare-to-be-scared/" TargetMode="External"/><Relationship Id="rId62" Type="http://schemas.openxmlformats.org/officeDocument/2006/relationships/hyperlink" Target="https://blogs.wdf.sap.corp/sapnews_en/2015/04/q1-exceptional-cloud-growth/" TargetMode="External"/><Relationship Id="rId83" Type="http://schemas.openxmlformats.org/officeDocument/2006/relationships/hyperlink" Target="https://blogs.wdf.sap.corp/sapnews_en/2015/03/hands-on-with-high-tech/" TargetMode="External"/><Relationship Id="rId179" Type="http://schemas.openxmlformats.org/officeDocument/2006/relationships/hyperlink" Target="https://blogs.wdf.sap.corp/sapnews_en/2015/06/photo-contest-on-the-move-2/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CM930"/>
  <sheetViews>
    <sheetView tabSelected="1" zoomScale="80" zoomScaleNormal="80" zoomScaleSheetLayoutView="120" zoomScalePageLayoutView="125" workbookViewId="0">
      <pane ySplit="7" topLeftCell="A8" activePane="bottomLeft" state="frozen"/>
      <selection activeCell="D5" sqref="D5"/>
      <selection pane="bottomLeft" activeCell="U8" sqref="A8:XFD8"/>
    </sheetView>
  </sheetViews>
  <sheetFormatPr baseColWidth="10" defaultColWidth="8.7109375" defaultRowHeight="15" x14ac:dyDescent="0.25"/>
  <cols>
    <col min="1" max="1" width="48.7109375" style="3" customWidth="1"/>
    <col min="2" max="2" width="19.140625" style="3" customWidth="1"/>
    <col min="3" max="3" width="12.85546875" style="1" customWidth="1"/>
    <col min="4" max="4" width="15.140625" style="3" customWidth="1"/>
    <col min="5" max="5" width="17.42578125" style="3" customWidth="1"/>
    <col min="6" max="6" width="51.7109375" style="3" customWidth="1"/>
    <col min="7" max="7" width="8.140625" style="3" customWidth="1"/>
    <col min="8" max="8" width="7.5703125" style="3" customWidth="1"/>
    <col min="9" max="9" width="16" style="3" customWidth="1"/>
    <col min="10" max="10" width="17.7109375" style="3" customWidth="1"/>
    <col min="11" max="11" width="13" style="3" customWidth="1"/>
    <col min="12" max="12" width="13.7109375" style="3" customWidth="1"/>
    <col min="13" max="13" width="15" style="3" customWidth="1"/>
    <col min="14" max="14" width="15.28515625" style="3" customWidth="1"/>
    <col min="15" max="15" width="17.7109375" style="3" customWidth="1"/>
    <col min="16" max="16" width="20" style="3" customWidth="1"/>
    <col min="17" max="17" width="25.42578125" style="3" customWidth="1"/>
    <col min="18" max="18" width="15.42578125" style="3" customWidth="1"/>
    <col min="19" max="19" width="11.42578125" style="3" customWidth="1"/>
    <col min="20" max="20" width="12.85546875" style="3" customWidth="1"/>
    <col min="21" max="91" width="8.7109375" style="6"/>
    <col min="92" max="16384" width="8.7109375" style="3"/>
  </cols>
  <sheetData>
    <row r="1" spans="1:91" s="6" customFormat="1" x14ac:dyDescent="0.25">
      <c r="A1" s="5"/>
      <c r="B1" s="5"/>
      <c r="C1" s="1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14"/>
      <c r="T1" s="14"/>
    </row>
    <row r="2" spans="1:91" s="6" customFormat="1" ht="33.75" x14ac:dyDescent="0.25">
      <c r="A2" s="5"/>
      <c r="B2" s="7" t="s">
        <v>0</v>
      </c>
      <c r="C2" s="1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14"/>
      <c r="T2" s="14"/>
    </row>
    <row r="3" spans="1:91" s="6" customFormat="1" ht="23.25" x14ac:dyDescent="0.25">
      <c r="A3" s="5"/>
      <c r="B3" s="8" t="s">
        <v>1</v>
      </c>
      <c r="C3" s="1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14"/>
      <c r="T3" s="14"/>
    </row>
    <row r="4" spans="1:91" s="6" customFormat="1" ht="15.75" thickBot="1" x14ac:dyDescent="0.3">
      <c r="A4" s="5"/>
      <c r="B4" s="5"/>
      <c r="C4" s="1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14"/>
      <c r="T4" s="14"/>
    </row>
    <row r="5" spans="1:91" s="6" customFormat="1" ht="19.5" thickBot="1" x14ac:dyDescent="0.3">
      <c r="A5" s="14"/>
      <c r="B5" s="14"/>
      <c r="C5" s="16"/>
      <c r="D5" s="14"/>
      <c r="E5" s="14"/>
      <c r="F5" s="14"/>
      <c r="G5" s="14"/>
      <c r="H5" s="14"/>
      <c r="I5" s="147" t="s">
        <v>42</v>
      </c>
      <c r="J5" s="148"/>
      <c r="K5" s="148"/>
      <c r="L5" s="148"/>
      <c r="M5" s="148"/>
      <c r="N5" s="148"/>
      <c r="O5" s="148"/>
      <c r="P5" s="148"/>
      <c r="Q5" s="148"/>
      <c r="R5" s="149"/>
      <c r="S5" s="145" t="s">
        <v>338</v>
      </c>
      <c r="T5" s="146"/>
    </row>
    <row r="6" spans="1:91" s="6" customFormat="1" ht="19.5" thickBot="1" x14ac:dyDescent="0.3">
      <c r="A6" s="14"/>
      <c r="B6" s="14"/>
      <c r="C6" s="16"/>
      <c r="D6" s="14"/>
      <c r="E6" s="14"/>
      <c r="F6" s="14"/>
      <c r="G6" s="14"/>
      <c r="H6" s="14"/>
      <c r="I6" s="150" t="s">
        <v>9</v>
      </c>
      <c r="J6" s="151"/>
      <c r="K6" s="152" t="s">
        <v>10</v>
      </c>
      <c r="L6" s="153"/>
      <c r="M6" s="153"/>
      <c r="N6" s="153"/>
      <c r="O6" s="153"/>
      <c r="P6" s="153"/>
      <c r="Q6" s="153"/>
      <c r="R6" s="154"/>
      <c r="S6" s="21"/>
      <c r="T6" s="22"/>
    </row>
    <row r="7" spans="1:91" s="6" customFormat="1" ht="30.75" customHeight="1" x14ac:dyDescent="0.25">
      <c r="A7" s="138" t="s">
        <v>5</v>
      </c>
      <c r="B7" s="143" t="s">
        <v>4</v>
      </c>
      <c r="C7" s="139" t="s">
        <v>3</v>
      </c>
      <c r="D7" s="139" t="s">
        <v>2</v>
      </c>
      <c r="E7" s="140" t="s">
        <v>6</v>
      </c>
      <c r="F7" s="142" t="s">
        <v>7</v>
      </c>
      <c r="G7" s="142" t="s">
        <v>367</v>
      </c>
      <c r="H7" s="141" t="s">
        <v>8</v>
      </c>
      <c r="I7" s="133" t="s">
        <v>330</v>
      </c>
      <c r="J7" s="133" t="s">
        <v>331</v>
      </c>
      <c r="K7" s="134" t="s">
        <v>332</v>
      </c>
      <c r="L7" s="134" t="s">
        <v>333</v>
      </c>
      <c r="M7" s="135" t="s">
        <v>334</v>
      </c>
      <c r="N7" s="135" t="s">
        <v>335</v>
      </c>
      <c r="O7" s="136" t="s">
        <v>336</v>
      </c>
      <c r="P7" s="136" t="s">
        <v>337</v>
      </c>
      <c r="Q7" s="137" t="s">
        <v>341</v>
      </c>
      <c r="R7" s="137" t="s">
        <v>342</v>
      </c>
      <c r="S7" s="131" t="s">
        <v>339</v>
      </c>
      <c r="T7" s="132" t="s">
        <v>340</v>
      </c>
    </row>
    <row r="8" spans="1:91" s="43" customFormat="1" ht="14.45" customHeight="1" x14ac:dyDescent="0.25">
      <c r="A8" s="78" t="s">
        <v>75</v>
      </c>
      <c r="B8" s="79" t="s">
        <v>228</v>
      </c>
      <c r="C8" s="80">
        <v>42005</v>
      </c>
      <c r="D8" s="63"/>
      <c r="E8" s="64" t="s">
        <v>361</v>
      </c>
      <c r="F8" s="64" t="s">
        <v>361</v>
      </c>
      <c r="G8" s="56" t="s">
        <v>366</v>
      </c>
      <c r="H8" s="56" t="s">
        <v>41</v>
      </c>
      <c r="I8" s="57">
        <v>1967</v>
      </c>
      <c r="J8" s="57">
        <v>14</v>
      </c>
      <c r="K8" s="57"/>
      <c r="L8" s="57"/>
      <c r="M8" s="57"/>
      <c r="N8" s="57"/>
      <c r="O8" s="57"/>
      <c r="P8" s="57"/>
      <c r="Q8" s="57"/>
      <c r="R8" s="57"/>
      <c r="S8" s="58">
        <f t="shared" ref="S8:S71" si="0">SUM(I8,K8,M8,O8)</f>
        <v>1967</v>
      </c>
      <c r="T8" s="58">
        <f t="shared" ref="T8:T71" si="1">SUM(J8,L8,N8,P8)</f>
        <v>14</v>
      </c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</row>
    <row r="9" spans="1:91" s="44" customFormat="1" x14ac:dyDescent="0.25">
      <c r="A9" s="78" t="s">
        <v>74</v>
      </c>
      <c r="B9" s="79" t="s">
        <v>223</v>
      </c>
      <c r="C9" s="80">
        <v>42005</v>
      </c>
      <c r="D9" s="63" t="s">
        <v>19</v>
      </c>
      <c r="E9" s="64" t="s">
        <v>25</v>
      </c>
      <c r="F9" s="64" t="s">
        <v>329</v>
      </c>
      <c r="G9" s="56" t="s">
        <v>365</v>
      </c>
      <c r="H9" s="56" t="s">
        <v>41</v>
      </c>
      <c r="I9" s="57">
        <v>2170</v>
      </c>
      <c r="J9" s="57">
        <v>0</v>
      </c>
      <c r="K9" s="57"/>
      <c r="L9" s="57"/>
      <c r="M9" s="57"/>
      <c r="N9" s="57"/>
      <c r="O9" s="57"/>
      <c r="P9" s="57"/>
      <c r="Q9" s="57"/>
      <c r="R9" s="57"/>
      <c r="S9" s="58">
        <f t="shared" si="0"/>
        <v>2170</v>
      </c>
      <c r="T9" s="58">
        <f t="shared" si="1"/>
        <v>0</v>
      </c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</row>
    <row r="10" spans="1:91" s="44" customFormat="1" x14ac:dyDescent="0.25">
      <c r="A10" s="81" t="s">
        <v>51</v>
      </c>
      <c r="B10" s="82" t="s">
        <v>218</v>
      </c>
      <c r="C10" s="80">
        <v>42005</v>
      </c>
      <c r="D10" s="63" t="s">
        <v>19</v>
      </c>
      <c r="E10" s="83" t="s">
        <v>24</v>
      </c>
      <c r="F10" s="83" t="s">
        <v>30</v>
      </c>
      <c r="G10" s="84" t="s">
        <v>365</v>
      </c>
      <c r="H10" s="84" t="s">
        <v>41</v>
      </c>
      <c r="I10" s="85">
        <v>1799</v>
      </c>
      <c r="J10" s="85">
        <v>0</v>
      </c>
      <c r="K10" s="57"/>
      <c r="L10" s="57"/>
      <c r="M10" s="57">
        <v>144</v>
      </c>
      <c r="N10" s="57">
        <v>0</v>
      </c>
      <c r="O10" s="57"/>
      <c r="P10" s="57"/>
      <c r="Q10" s="85"/>
      <c r="R10" s="85"/>
      <c r="S10" s="58">
        <f t="shared" si="0"/>
        <v>1943</v>
      </c>
      <c r="T10" s="58">
        <f t="shared" si="1"/>
        <v>0</v>
      </c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</row>
    <row r="11" spans="1:91" s="42" customFormat="1" x14ac:dyDescent="0.25">
      <c r="A11" s="81" t="s">
        <v>62</v>
      </c>
      <c r="B11" s="82" t="s">
        <v>246</v>
      </c>
      <c r="C11" s="80">
        <v>42006</v>
      </c>
      <c r="D11" s="86"/>
      <c r="E11" s="83" t="s">
        <v>24</v>
      </c>
      <c r="F11" s="83" t="s">
        <v>328</v>
      </c>
      <c r="G11" s="84" t="s">
        <v>366</v>
      </c>
      <c r="H11" s="84" t="s">
        <v>41</v>
      </c>
      <c r="I11" s="85">
        <v>3075</v>
      </c>
      <c r="J11" s="85">
        <v>15</v>
      </c>
      <c r="K11" s="57"/>
      <c r="L11" s="57"/>
      <c r="M11" s="57"/>
      <c r="N11" s="57"/>
      <c r="O11" s="57"/>
      <c r="P11" s="57"/>
      <c r="Q11" s="85"/>
      <c r="R11" s="85"/>
      <c r="S11" s="58">
        <f t="shared" si="0"/>
        <v>3075</v>
      </c>
      <c r="T11" s="58">
        <f t="shared" si="1"/>
        <v>15</v>
      </c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</row>
    <row r="12" spans="1:91" s="42" customFormat="1" x14ac:dyDescent="0.25">
      <c r="A12" s="81" t="s">
        <v>60</v>
      </c>
      <c r="B12" s="82" t="s">
        <v>282</v>
      </c>
      <c r="C12" s="80">
        <v>42009</v>
      </c>
      <c r="D12" s="86"/>
      <c r="E12" s="83" t="s">
        <v>24</v>
      </c>
      <c r="F12" s="83" t="s">
        <v>30</v>
      </c>
      <c r="G12" s="84" t="s">
        <v>366</v>
      </c>
      <c r="H12" s="84" t="s">
        <v>41</v>
      </c>
      <c r="I12" s="85">
        <v>2753</v>
      </c>
      <c r="J12" s="85">
        <v>3</v>
      </c>
      <c r="K12" s="57"/>
      <c r="L12" s="57"/>
      <c r="M12" s="57"/>
      <c r="N12" s="57"/>
      <c r="O12" s="57"/>
      <c r="P12" s="57"/>
      <c r="Q12" s="85"/>
      <c r="R12" s="85"/>
      <c r="S12" s="58">
        <f t="shared" si="0"/>
        <v>2753</v>
      </c>
      <c r="T12" s="58">
        <f t="shared" si="1"/>
        <v>3</v>
      </c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</row>
    <row r="13" spans="1:91" s="42" customFormat="1" x14ac:dyDescent="0.25">
      <c r="A13" s="81" t="s">
        <v>58</v>
      </c>
      <c r="B13" s="82" t="s">
        <v>229</v>
      </c>
      <c r="C13" s="80">
        <v>42010</v>
      </c>
      <c r="D13" s="86"/>
      <c r="E13" s="83" t="s">
        <v>24</v>
      </c>
      <c r="F13" s="64" t="s">
        <v>361</v>
      </c>
      <c r="G13" s="56" t="s">
        <v>366</v>
      </c>
      <c r="H13" s="84" t="s">
        <v>41</v>
      </c>
      <c r="I13" s="85">
        <v>1287</v>
      </c>
      <c r="J13" s="85">
        <v>8</v>
      </c>
      <c r="K13" s="57">
        <v>569</v>
      </c>
      <c r="L13" s="57">
        <v>0</v>
      </c>
      <c r="M13" s="57">
        <v>125</v>
      </c>
      <c r="N13" s="57">
        <v>0</v>
      </c>
      <c r="O13" s="57"/>
      <c r="P13" s="57"/>
      <c r="Q13" s="85"/>
      <c r="R13" s="85"/>
      <c r="S13" s="58">
        <f t="shared" si="0"/>
        <v>1981</v>
      </c>
      <c r="T13" s="58">
        <f t="shared" si="1"/>
        <v>8</v>
      </c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6"/>
      <c r="CB13" s="6"/>
      <c r="CC13" s="6"/>
      <c r="CD13" s="6"/>
      <c r="CE13" s="6"/>
      <c r="CF13" s="6"/>
      <c r="CG13" s="6"/>
      <c r="CH13" s="6"/>
      <c r="CI13" s="6"/>
      <c r="CJ13" s="6"/>
      <c r="CK13" s="6"/>
      <c r="CL13" s="6"/>
      <c r="CM13" s="6"/>
    </row>
    <row r="14" spans="1:91" s="42" customFormat="1" x14ac:dyDescent="0.25">
      <c r="A14" s="81" t="s">
        <v>64</v>
      </c>
      <c r="B14" s="82" t="s">
        <v>283</v>
      </c>
      <c r="C14" s="80">
        <v>42013</v>
      </c>
      <c r="D14" s="86"/>
      <c r="E14" s="64" t="s">
        <v>361</v>
      </c>
      <c r="F14" s="64" t="s">
        <v>361</v>
      </c>
      <c r="G14" s="56" t="s">
        <v>366</v>
      </c>
      <c r="H14" s="84" t="s">
        <v>41</v>
      </c>
      <c r="I14" s="85">
        <v>3163</v>
      </c>
      <c r="J14" s="85">
        <v>6</v>
      </c>
      <c r="K14" s="57"/>
      <c r="L14" s="57"/>
      <c r="M14" s="57"/>
      <c r="N14" s="57"/>
      <c r="O14" s="57"/>
      <c r="P14" s="57"/>
      <c r="Q14" s="85"/>
      <c r="R14" s="85"/>
      <c r="S14" s="58">
        <f t="shared" si="0"/>
        <v>3163</v>
      </c>
      <c r="T14" s="58">
        <f t="shared" si="1"/>
        <v>6</v>
      </c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  <c r="BH14" s="6"/>
      <c r="BI14" s="6"/>
      <c r="BJ14" s="6"/>
      <c r="BK14" s="6"/>
      <c r="BL14" s="6"/>
      <c r="BM14" s="6"/>
      <c r="BN14" s="6"/>
      <c r="BO14" s="6"/>
      <c r="BP14" s="6"/>
      <c r="BQ14" s="6"/>
      <c r="BR14" s="6"/>
      <c r="BS14" s="6"/>
      <c r="BT14" s="6"/>
      <c r="BU14" s="6"/>
      <c r="BV14" s="6"/>
      <c r="BW14" s="6"/>
      <c r="BX14" s="6"/>
      <c r="BY14" s="6"/>
      <c r="BZ14" s="6"/>
      <c r="CA14" s="6"/>
      <c r="CB14" s="6"/>
      <c r="CC14" s="6"/>
      <c r="CD14" s="6"/>
      <c r="CE14" s="6"/>
      <c r="CF14" s="6"/>
      <c r="CG14" s="6"/>
      <c r="CH14" s="6"/>
      <c r="CI14" s="6"/>
      <c r="CJ14" s="6"/>
      <c r="CK14" s="6"/>
      <c r="CL14" s="6"/>
      <c r="CM14" s="6"/>
    </row>
    <row r="15" spans="1:91" s="44" customFormat="1" ht="17.100000000000001" customHeight="1" x14ac:dyDescent="0.25">
      <c r="A15" s="81" t="s">
        <v>56</v>
      </c>
      <c r="B15" s="82" t="s">
        <v>227</v>
      </c>
      <c r="C15" s="80">
        <v>42013</v>
      </c>
      <c r="D15" s="86"/>
      <c r="E15" s="64" t="s">
        <v>361</v>
      </c>
      <c r="F15" s="64" t="s">
        <v>361</v>
      </c>
      <c r="G15" s="56" t="s">
        <v>366</v>
      </c>
      <c r="H15" s="84" t="s">
        <v>41</v>
      </c>
      <c r="I15" s="85">
        <v>1482</v>
      </c>
      <c r="J15" s="85">
        <v>1</v>
      </c>
      <c r="K15" s="57"/>
      <c r="L15" s="57"/>
      <c r="M15" s="57"/>
      <c r="N15" s="57"/>
      <c r="O15" s="57"/>
      <c r="P15" s="57"/>
      <c r="Q15" s="85"/>
      <c r="R15" s="85"/>
      <c r="S15" s="58">
        <f t="shared" si="0"/>
        <v>1482</v>
      </c>
      <c r="T15" s="58">
        <f t="shared" si="1"/>
        <v>1</v>
      </c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  <c r="BH15" s="6"/>
      <c r="BI15" s="6"/>
      <c r="BJ15" s="6"/>
      <c r="BK15" s="6"/>
      <c r="BL15" s="6"/>
      <c r="BM15" s="6"/>
      <c r="BN15" s="6"/>
      <c r="BO15" s="6"/>
      <c r="BP15" s="6"/>
      <c r="BQ15" s="6"/>
      <c r="BR15" s="6"/>
      <c r="BS15" s="6"/>
      <c r="BT15" s="6"/>
      <c r="BU15" s="6"/>
      <c r="BV15" s="6"/>
      <c r="BW15" s="6"/>
      <c r="BX15" s="6"/>
      <c r="BY15" s="6"/>
      <c r="BZ15" s="6"/>
      <c r="CA15" s="6"/>
      <c r="CB15" s="6"/>
      <c r="CC15" s="6"/>
      <c r="CD15" s="6"/>
      <c r="CE15" s="6"/>
      <c r="CF15" s="6"/>
      <c r="CG15" s="6"/>
      <c r="CH15" s="6"/>
      <c r="CI15" s="6"/>
      <c r="CJ15" s="6"/>
      <c r="CK15" s="6"/>
      <c r="CL15" s="6"/>
      <c r="CM15" s="6"/>
    </row>
    <row r="16" spans="1:91" s="44" customFormat="1" ht="30" x14ac:dyDescent="0.25">
      <c r="A16" s="81" t="s">
        <v>49</v>
      </c>
      <c r="B16" s="82" t="s">
        <v>215</v>
      </c>
      <c r="C16" s="80">
        <v>42016</v>
      </c>
      <c r="D16" s="86" t="s">
        <v>278</v>
      </c>
      <c r="E16" s="64" t="s">
        <v>361</v>
      </c>
      <c r="F16" s="83" t="s">
        <v>27</v>
      </c>
      <c r="G16" s="84" t="s">
        <v>366</v>
      </c>
      <c r="H16" s="84" t="s">
        <v>41</v>
      </c>
      <c r="I16" s="85">
        <v>8394</v>
      </c>
      <c r="J16" s="85">
        <v>20</v>
      </c>
      <c r="K16" s="57"/>
      <c r="L16" s="57"/>
      <c r="M16" s="57"/>
      <c r="N16" s="57"/>
      <c r="O16" s="57"/>
      <c r="P16" s="57"/>
      <c r="Q16" s="85"/>
      <c r="R16" s="85"/>
      <c r="S16" s="58">
        <f t="shared" si="0"/>
        <v>8394</v>
      </c>
      <c r="T16" s="58">
        <f t="shared" si="1"/>
        <v>20</v>
      </c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  <c r="BH16" s="6"/>
      <c r="BI16" s="6"/>
      <c r="BJ16" s="6"/>
      <c r="BK16" s="6"/>
      <c r="BL16" s="6"/>
      <c r="BM16" s="6"/>
      <c r="BN16" s="6"/>
      <c r="BO16" s="6"/>
      <c r="BP16" s="6"/>
      <c r="BQ16" s="6"/>
      <c r="BR16" s="6"/>
      <c r="BS16" s="6"/>
      <c r="BT16" s="6"/>
      <c r="BU16" s="6"/>
      <c r="BV16" s="6"/>
      <c r="BW16" s="6"/>
      <c r="BX16" s="6"/>
      <c r="BY16" s="6"/>
      <c r="BZ16" s="6"/>
      <c r="CA16" s="6"/>
      <c r="CB16" s="6"/>
      <c r="CC16" s="6"/>
      <c r="CD16" s="6"/>
      <c r="CE16" s="6"/>
      <c r="CF16" s="6"/>
      <c r="CG16" s="6"/>
      <c r="CH16" s="6"/>
      <c r="CI16" s="6"/>
      <c r="CJ16" s="6"/>
      <c r="CK16" s="6"/>
      <c r="CL16" s="6"/>
      <c r="CM16" s="6"/>
    </row>
    <row r="17" spans="1:91" s="44" customFormat="1" x14ac:dyDescent="0.25">
      <c r="A17" s="81" t="s">
        <v>54</v>
      </c>
      <c r="B17" s="82" t="s">
        <v>223</v>
      </c>
      <c r="C17" s="80">
        <v>42016</v>
      </c>
      <c r="D17" s="86"/>
      <c r="E17" s="83" t="s">
        <v>24</v>
      </c>
      <c r="F17" s="83" t="s">
        <v>28</v>
      </c>
      <c r="G17" s="84" t="s">
        <v>366</v>
      </c>
      <c r="H17" s="84" t="s">
        <v>41</v>
      </c>
      <c r="I17" s="85">
        <v>5792</v>
      </c>
      <c r="J17" s="85">
        <v>4</v>
      </c>
      <c r="K17" s="57"/>
      <c r="L17" s="57"/>
      <c r="M17" s="57"/>
      <c r="N17" s="57"/>
      <c r="O17" s="57"/>
      <c r="P17" s="57"/>
      <c r="Q17" s="85"/>
      <c r="R17" s="85"/>
      <c r="S17" s="58">
        <f t="shared" si="0"/>
        <v>5792</v>
      </c>
      <c r="T17" s="58">
        <f t="shared" si="1"/>
        <v>4</v>
      </c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  <c r="BN17" s="6"/>
      <c r="BO17" s="6"/>
      <c r="BP17" s="6"/>
      <c r="BQ17" s="6"/>
      <c r="BR17" s="6"/>
      <c r="BS17" s="6"/>
      <c r="BT17" s="6"/>
      <c r="BU17" s="6"/>
      <c r="BV17" s="6"/>
      <c r="BW17" s="6"/>
      <c r="BX17" s="6"/>
      <c r="BY17" s="6"/>
      <c r="BZ17" s="6"/>
      <c r="CA17" s="6"/>
      <c r="CB17" s="6"/>
      <c r="CC17" s="6"/>
      <c r="CD17" s="6"/>
      <c r="CE17" s="6"/>
      <c r="CF17" s="6"/>
      <c r="CG17" s="6"/>
      <c r="CH17" s="6"/>
      <c r="CI17" s="6"/>
      <c r="CJ17" s="6"/>
      <c r="CK17" s="6"/>
      <c r="CL17" s="6"/>
      <c r="CM17" s="6"/>
    </row>
    <row r="18" spans="1:91" s="42" customFormat="1" x14ac:dyDescent="0.25">
      <c r="A18" s="81" t="s">
        <v>48</v>
      </c>
      <c r="B18" s="82" t="s">
        <v>240</v>
      </c>
      <c r="C18" s="80">
        <v>42019</v>
      </c>
      <c r="D18" s="86"/>
      <c r="E18" s="64" t="s">
        <v>361</v>
      </c>
      <c r="F18" s="64" t="s">
        <v>27</v>
      </c>
      <c r="G18" s="56" t="s">
        <v>366</v>
      </c>
      <c r="H18" s="84" t="s">
        <v>41</v>
      </c>
      <c r="I18" s="85">
        <v>2194</v>
      </c>
      <c r="J18" s="85">
        <v>11</v>
      </c>
      <c r="K18" s="57"/>
      <c r="L18" s="57"/>
      <c r="M18" s="57"/>
      <c r="N18" s="57"/>
      <c r="O18" s="57"/>
      <c r="P18" s="57"/>
      <c r="Q18" s="85"/>
      <c r="R18" s="85"/>
      <c r="S18" s="58">
        <f t="shared" si="0"/>
        <v>2194</v>
      </c>
      <c r="T18" s="58">
        <f t="shared" si="1"/>
        <v>11</v>
      </c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</row>
    <row r="19" spans="1:91" s="44" customFormat="1" x14ac:dyDescent="0.25">
      <c r="A19" s="78" t="s">
        <v>67</v>
      </c>
      <c r="B19" s="79" t="s">
        <v>284</v>
      </c>
      <c r="C19" s="80">
        <v>42019</v>
      </c>
      <c r="D19" s="63"/>
      <c r="E19" s="64" t="s">
        <v>361</v>
      </c>
      <c r="F19" s="64" t="s">
        <v>361</v>
      </c>
      <c r="G19" s="56" t="s">
        <v>366</v>
      </c>
      <c r="H19" s="56" t="s">
        <v>41</v>
      </c>
      <c r="I19" s="57">
        <v>1049</v>
      </c>
      <c r="J19" s="57">
        <v>2</v>
      </c>
      <c r="K19" s="57"/>
      <c r="L19" s="57"/>
      <c r="M19" s="57"/>
      <c r="N19" s="57"/>
      <c r="O19" s="57"/>
      <c r="P19" s="57"/>
      <c r="Q19" s="57"/>
      <c r="R19" s="57"/>
      <c r="S19" s="58">
        <f t="shared" si="0"/>
        <v>1049</v>
      </c>
      <c r="T19" s="58">
        <f t="shared" si="1"/>
        <v>2</v>
      </c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  <c r="BH19" s="6"/>
      <c r="BI19" s="6"/>
      <c r="BJ19" s="6"/>
      <c r="BK19" s="6"/>
      <c r="BL19" s="6"/>
      <c r="BM19" s="6"/>
      <c r="BN19" s="6"/>
      <c r="BO19" s="6"/>
      <c r="BP19" s="6"/>
      <c r="BQ19" s="6"/>
      <c r="BR19" s="6"/>
      <c r="BS19" s="6"/>
      <c r="BT19" s="6"/>
      <c r="BU19" s="6"/>
      <c r="BV19" s="6"/>
      <c r="BW19" s="6"/>
      <c r="BX19" s="6"/>
      <c r="BY19" s="6"/>
      <c r="BZ19" s="6"/>
      <c r="CA19" s="6"/>
      <c r="CB19" s="6"/>
      <c r="CC19" s="6"/>
      <c r="CD19" s="6"/>
      <c r="CE19" s="6"/>
      <c r="CF19" s="6"/>
      <c r="CG19" s="6"/>
      <c r="CH19" s="6"/>
      <c r="CI19" s="6"/>
      <c r="CJ19" s="6"/>
      <c r="CK19" s="6"/>
      <c r="CL19" s="6"/>
      <c r="CM19" s="6"/>
    </row>
    <row r="20" spans="1:91" s="42" customFormat="1" x14ac:dyDescent="0.25">
      <c r="A20" s="81" t="s">
        <v>52</v>
      </c>
      <c r="B20" s="82" t="s">
        <v>279</v>
      </c>
      <c r="C20" s="80">
        <v>42020</v>
      </c>
      <c r="D20" s="86"/>
      <c r="E20" s="64" t="s">
        <v>361</v>
      </c>
      <c r="F20" s="64" t="s">
        <v>361</v>
      </c>
      <c r="G20" s="56" t="s">
        <v>366</v>
      </c>
      <c r="H20" s="84" t="s">
        <v>41</v>
      </c>
      <c r="I20" s="85">
        <v>2838</v>
      </c>
      <c r="J20" s="85">
        <v>8</v>
      </c>
      <c r="K20" s="57"/>
      <c r="L20" s="57"/>
      <c r="M20" s="57"/>
      <c r="N20" s="57"/>
      <c r="O20" s="57"/>
      <c r="P20" s="57"/>
      <c r="Q20" s="85"/>
      <c r="R20" s="85"/>
      <c r="S20" s="58">
        <f t="shared" si="0"/>
        <v>2838</v>
      </c>
      <c r="T20" s="58">
        <f t="shared" si="1"/>
        <v>8</v>
      </c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"/>
      <c r="BM20" s="6"/>
      <c r="BN20" s="6"/>
      <c r="BO20" s="6"/>
      <c r="BP20" s="6"/>
      <c r="BQ20" s="6"/>
      <c r="BR20" s="6"/>
      <c r="BS20" s="6"/>
      <c r="BT20" s="6"/>
      <c r="BU20" s="6"/>
      <c r="BV20" s="6"/>
      <c r="BW20" s="6"/>
      <c r="BX20" s="6"/>
      <c r="BY20" s="6"/>
      <c r="BZ20" s="6"/>
      <c r="CA20" s="6"/>
      <c r="CB20" s="6"/>
      <c r="CC20" s="6"/>
      <c r="CD20" s="6"/>
      <c r="CE20" s="6"/>
      <c r="CF20" s="6"/>
      <c r="CG20" s="6"/>
      <c r="CH20" s="6"/>
      <c r="CI20" s="6"/>
      <c r="CJ20" s="6"/>
      <c r="CK20" s="6"/>
      <c r="CL20" s="6"/>
      <c r="CM20" s="6"/>
    </row>
    <row r="21" spans="1:91" s="42" customFormat="1" x14ac:dyDescent="0.25">
      <c r="A21" s="81" t="s">
        <v>57</v>
      </c>
      <c r="B21" s="82" t="s">
        <v>281</v>
      </c>
      <c r="C21" s="80">
        <v>42023</v>
      </c>
      <c r="D21" s="86"/>
      <c r="E21" s="64" t="s">
        <v>361</v>
      </c>
      <c r="F21" s="64" t="s">
        <v>361</v>
      </c>
      <c r="G21" s="56" t="s">
        <v>366</v>
      </c>
      <c r="H21" s="84" t="s">
        <v>41</v>
      </c>
      <c r="I21" s="85">
        <v>3779</v>
      </c>
      <c r="J21" s="85">
        <v>44</v>
      </c>
      <c r="K21" s="57"/>
      <c r="L21" s="57"/>
      <c r="M21" s="57"/>
      <c r="N21" s="57"/>
      <c r="O21" s="57"/>
      <c r="P21" s="57"/>
      <c r="Q21" s="85"/>
      <c r="R21" s="85"/>
      <c r="S21" s="58">
        <f t="shared" si="0"/>
        <v>3779</v>
      </c>
      <c r="T21" s="58">
        <f t="shared" si="1"/>
        <v>44</v>
      </c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  <c r="BH21" s="6"/>
      <c r="BI21" s="6"/>
      <c r="BJ21" s="6"/>
      <c r="BK21" s="6"/>
      <c r="BL21" s="6"/>
      <c r="BM21" s="6"/>
      <c r="BN21" s="6"/>
      <c r="BO21" s="6"/>
      <c r="BP21" s="6"/>
      <c r="BQ21" s="6"/>
      <c r="BR21" s="6"/>
      <c r="BS21" s="6"/>
      <c r="BT21" s="6"/>
      <c r="BU21" s="6"/>
      <c r="BV21" s="6"/>
      <c r="BW21" s="6"/>
      <c r="BX21" s="6"/>
      <c r="BY21" s="6"/>
      <c r="BZ21" s="6"/>
      <c r="CA21" s="6"/>
      <c r="CB21" s="6"/>
      <c r="CC21" s="6"/>
      <c r="CD21" s="6"/>
      <c r="CE21" s="6"/>
      <c r="CF21" s="6"/>
      <c r="CG21" s="6"/>
      <c r="CH21" s="6"/>
      <c r="CI21" s="6"/>
      <c r="CJ21" s="6"/>
      <c r="CK21" s="6"/>
      <c r="CL21" s="6"/>
      <c r="CM21" s="6"/>
    </row>
    <row r="22" spans="1:91" s="42" customFormat="1" x14ac:dyDescent="0.25">
      <c r="A22" s="81" t="s">
        <v>59</v>
      </c>
      <c r="B22" s="82" t="s">
        <v>223</v>
      </c>
      <c r="C22" s="80">
        <v>42023</v>
      </c>
      <c r="D22" s="86"/>
      <c r="E22" s="64" t="s">
        <v>361</v>
      </c>
      <c r="F22" s="64" t="s">
        <v>361</v>
      </c>
      <c r="G22" s="56" t="s">
        <v>366</v>
      </c>
      <c r="H22" s="84" t="s">
        <v>40</v>
      </c>
      <c r="I22" s="85">
        <v>3042</v>
      </c>
      <c r="J22" s="85">
        <v>0</v>
      </c>
      <c r="K22" s="57"/>
      <c r="L22" s="57"/>
      <c r="M22" s="57"/>
      <c r="N22" s="57"/>
      <c r="O22" s="57"/>
      <c r="P22" s="57"/>
      <c r="Q22" s="85"/>
      <c r="R22" s="85"/>
      <c r="S22" s="58">
        <f t="shared" si="0"/>
        <v>3042</v>
      </c>
      <c r="T22" s="58">
        <f t="shared" si="1"/>
        <v>0</v>
      </c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6"/>
      <c r="BP22" s="6"/>
      <c r="BQ22" s="6"/>
      <c r="BR22" s="6"/>
      <c r="BS22" s="6"/>
      <c r="BT22" s="6"/>
      <c r="BU22" s="6"/>
      <c r="BV22" s="6"/>
      <c r="BW22" s="6"/>
      <c r="BX22" s="6"/>
      <c r="BY22" s="6"/>
      <c r="BZ22" s="6"/>
      <c r="CA22" s="6"/>
      <c r="CB22" s="6"/>
      <c r="CC22" s="6"/>
      <c r="CD22" s="6"/>
      <c r="CE22" s="6"/>
      <c r="CF22" s="6"/>
      <c r="CG22" s="6"/>
      <c r="CH22" s="6"/>
      <c r="CI22" s="6"/>
      <c r="CJ22" s="6"/>
      <c r="CK22" s="6"/>
      <c r="CL22" s="6"/>
      <c r="CM22" s="6"/>
    </row>
    <row r="23" spans="1:91" s="42" customFormat="1" x14ac:dyDescent="0.25">
      <c r="A23" s="81" t="s">
        <v>61</v>
      </c>
      <c r="B23" s="82" t="s">
        <v>229</v>
      </c>
      <c r="C23" s="80">
        <v>42024</v>
      </c>
      <c r="D23" s="86" t="s">
        <v>21</v>
      </c>
      <c r="E23" s="83" t="s">
        <v>24</v>
      </c>
      <c r="F23" s="83" t="s">
        <v>35</v>
      </c>
      <c r="G23" s="84" t="s">
        <v>366</v>
      </c>
      <c r="H23" s="84" t="s">
        <v>41</v>
      </c>
      <c r="I23" s="85">
        <v>1461</v>
      </c>
      <c r="J23" s="85">
        <v>2</v>
      </c>
      <c r="K23" s="57"/>
      <c r="L23" s="57"/>
      <c r="M23" s="57">
        <v>76</v>
      </c>
      <c r="N23" s="57">
        <v>0</v>
      </c>
      <c r="O23" s="57">
        <v>1145</v>
      </c>
      <c r="P23" s="57">
        <v>0</v>
      </c>
      <c r="Q23" s="85"/>
      <c r="R23" s="85"/>
      <c r="S23" s="58">
        <f t="shared" si="0"/>
        <v>2682</v>
      </c>
      <c r="T23" s="58">
        <f t="shared" si="1"/>
        <v>2</v>
      </c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6"/>
      <c r="BJ23" s="6"/>
      <c r="BK23" s="6"/>
      <c r="BL23" s="6"/>
      <c r="BM23" s="6"/>
      <c r="BN23" s="6"/>
      <c r="BO23" s="6"/>
      <c r="BP23" s="6"/>
      <c r="BQ23" s="6"/>
      <c r="BR23" s="6"/>
      <c r="BS23" s="6"/>
      <c r="BT23" s="6"/>
      <c r="BU23" s="6"/>
      <c r="BV23" s="6"/>
      <c r="BW23" s="6"/>
      <c r="BX23" s="6"/>
      <c r="BY23" s="6"/>
      <c r="BZ23" s="6"/>
      <c r="CA23" s="6"/>
      <c r="CB23" s="6"/>
      <c r="CC23" s="6"/>
      <c r="CD23" s="6"/>
      <c r="CE23" s="6"/>
      <c r="CF23" s="6"/>
      <c r="CG23" s="6"/>
      <c r="CH23" s="6"/>
      <c r="CI23" s="6"/>
      <c r="CJ23" s="6"/>
      <c r="CK23" s="6"/>
      <c r="CL23" s="6"/>
      <c r="CM23" s="6"/>
    </row>
    <row r="24" spans="1:91" s="42" customFormat="1" x14ac:dyDescent="0.25">
      <c r="A24" s="81" t="s">
        <v>55</v>
      </c>
      <c r="B24" s="82" t="s">
        <v>237</v>
      </c>
      <c r="C24" s="80">
        <v>42024</v>
      </c>
      <c r="D24" s="86"/>
      <c r="E24" s="83" t="s">
        <v>24</v>
      </c>
      <c r="F24" s="83" t="s">
        <v>28</v>
      </c>
      <c r="G24" s="84" t="s">
        <v>366</v>
      </c>
      <c r="H24" s="84" t="s">
        <v>41</v>
      </c>
      <c r="I24" s="85">
        <v>3493</v>
      </c>
      <c r="J24" s="85">
        <v>0</v>
      </c>
      <c r="K24" s="57"/>
      <c r="L24" s="57"/>
      <c r="M24" s="57"/>
      <c r="N24" s="57"/>
      <c r="O24" s="57"/>
      <c r="P24" s="57"/>
      <c r="Q24" s="85"/>
      <c r="R24" s="85"/>
      <c r="S24" s="58">
        <f t="shared" si="0"/>
        <v>3493</v>
      </c>
      <c r="T24" s="58">
        <f t="shared" si="1"/>
        <v>0</v>
      </c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6"/>
      <c r="BP24" s="6"/>
      <c r="BQ24" s="6"/>
      <c r="BR24" s="6"/>
      <c r="BS24" s="6"/>
      <c r="BT24" s="6"/>
      <c r="BU24" s="6"/>
      <c r="BV24" s="6"/>
      <c r="BW24" s="6"/>
      <c r="BX24" s="6"/>
      <c r="BY24" s="6"/>
      <c r="BZ24" s="6"/>
      <c r="CA24" s="6"/>
      <c r="CB24" s="6"/>
      <c r="CC24" s="6"/>
      <c r="CD24" s="6"/>
      <c r="CE24" s="6"/>
      <c r="CF24" s="6"/>
      <c r="CG24" s="6"/>
      <c r="CH24" s="6"/>
      <c r="CI24" s="6"/>
      <c r="CJ24" s="6"/>
      <c r="CK24" s="6"/>
      <c r="CL24" s="6"/>
      <c r="CM24" s="6"/>
    </row>
    <row r="25" spans="1:91" s="45" customFormat="1" x14ac:dyDescent="0.25">
      <c r="A25" s="78" t="s">
        <v>73</v>
      </c>
      <c r="B25" s="79" t="s">
        <v>223</v>
      </c>
      <c r="C25" s="80">
        <v>42025</v>
      </c>
      <c r="D25" s="63" t="s">
        <v>19</v>
      </c>
      <c r="E25" s="64" t="s">
        <v>24</v>
      </c>
      <c r="F25" s="64" t="s">
        <v>28</v>
      </c>
      <c r="G25" s="56" t="s">
        <v>366</v>
      </c>
      <c r="H25" s="56" t="s">
        <v>41</v>
      </c>
      <c r="I25" s="57">
        <v>6504</v>
      </c>
      <c r="J25" s="57">
        <v>10</v>
      </c>
      <c r="K25" s="57"/>
      <c r="L25" s="57"/>
      <c r="M25" s="57"/>
      <c r="N25" s="57"/>
      <c r="O25" s="57"/>
      <c r="P25" s="57"/>
      <c r="Q25" s="57"/>
      <c r="R25" s="57"/>
      <c r="S25" s="58">
        <f t="shared" si="0"/>
        <v>6504</v>
      </c>
      <c r="T25" s="58">
        <f t="shared" si="1"/>
        <v>10</v>
      </c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6"/>
      <c r="BL25" s="6"/>
      <c r="BM25" s="6"/>
      <c r="BN25" s="6"/>
      <c r="BO25" s="6"/>
      <c r="BP25" s="6"/>
      <c r="BQ25" s="6"/>
      <c r="BR25" s="6"/>
      <c r="BS25" s="6"/>
      <c r="BT25" s="6"/>
      <c r="BU25" s="6"/>
      <c r="BV25" s="6"/>
      <c r="BW25" s="6"/>
      <c r="BX25" s="6"/>
      <c r="BY25" s="6"/>
      <c r="BZ25" s="6"/>
      <c r="CA25" s="6"/>
      <c r="CB25" s="6"/>
      <c r="CC25" s="6"/>
      <c r="CD25" s="6"/>
      <c r="CE25" s="6"/>
      <c r="CF25" s="6"/>
      <c r="CG25" s="6"/>
      <c r="CH25" s="6"/>
      <c r="CI25" s="6"/>
      <c r="CJ25" s="6"/>
      <c r="CK25" s="6"/>
      <c r="CL25" s="6"/>
      <c r="CM25" s="6"/>
    </row>
    <row r="26" spans="1:91" s="42" customFormat="1" x14ac:dyDescent="0.25">
      <c r="A26" s="78" t="s">
        <v>69</v>
      </c>
      <c r="B26" s="79" t="s">
        <v>215</v>
      </c>
      <c r="C26" s="80">
        <v>42025</v>
      </c>
      <c r="D26" s="63" t="s">
        <v>19</v>
      </c>
      <c r="E26" s="64" t="s">
        <v>361</v>
      </c>
      <c r="F26" s="64" t="s">
        <v>28</v>
      </c>
      <c r="G26" s="56" t="s">
        <v>366</v>
      </c>
      <c r="H26" s="56" t="s">
        <v>41</v>
      </c>
      <c r="I26" s="57">
        <v>2759</v>
      </c>
      <c r="J26" s="57">
        <v>0</v>
      </c>
      <c r="K26" s="57"/>
      <c r="L26" s="57"/>
      <c r="M26" s="57"/>
      <c r="N26" s="57"/>
      <c r="O26" s="57"/>
      <c r="P26" s="57"/>
      <c r="Q26" s="57"/>
      <c r="R26" s="57"/>
      <c r="S26" s="58">
        <f t="shared" si="0"/>
        <v>2759</v>
      </c>
      <c r="T26" s="58">
        <f t="shared" si="1"/>
        <v>0</v>
      </c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  <c r="BH26" s="6"/>
      <c r="BI26" s="6"/>
      <c r="BJ26" s="6"/>
      <c r="BK26" s="6"/>
      <c r="BL26" s="6"/>
      <c r="BM26" s="6"/>
      <c r="BN26" s="6"/>
      <c r="BO26" s="6"/>
      <c r="BP26" s="6"/>
      <c r="BQ26" s="6"/>
      <c r="BR26" s="6"/>
      <c r="BS26" s="6"/>
      <c r="BT26" s="6"/>
      <c r="BU26" s="6"/>
      <c r="BV26" s="6"/>
      <c r="BW26" s="6"/>
      <c r="BX26" s="6"/>
      <c r="BY26" s="6"/>
      <c r="BZ26" s="6"/>
      <c r="CA26" s="6"/>
      <c r="CB26" s="6"/>
      <c r="CC26" s="6"/>
      <c r="CD26" s="6"/>
      <c r="CE26" s="6"/>
      <c r="CF26" s="6"/>
      <c r="CG26" s="6"/>
      <c r="CH26" s="6"/>
      <c r="CI26" s="6"/>
      <c r="CJ26" s="6"/>
      <c r="CK26" s="6"/>
      <c r="CL26" s="6"/>
      <c r="CM26" s="6"/>
    </row>
    <row r="27" spans="1:91" s="46" customFormat="1" x14ac:dyDescent="0.25">
      <c r="A27" s="81" t="s">
        <v>50</v>
      </c>
      <c r="B27" s="82" t="s">
        <v>218</v>
      </c>
      <c r="C27" s="80">
        <v>42026</v>
      </c>
      <c r="D27" s="86" t="s">
        <v>19</v>
      </c>
      <c r="E27" s="83" t="s">
        <v>24</v>
      </c>
      <c r="F27" s="83" t="s">
        <v>30</v>
      </c>
      <c r="G27" s="84" t="s">
        <v>365</v>
      </c>
      <c r="H27" s="84" t="s">
        <v>41</v>
      </c>
      <c r="I27" s="85">
        <v>2160</v>
      </c>
      <c r="J27" s="85">
        <v>8</v>
      </c>
      <c r="K27" s="57"/>
      <c r="L27" s="57"/>
      <c r="M27" s="57">
        <v>139</v>
      </c>
      <c r="N27" s="57">
        <v>0</v>
      </c>
      <c r="O27" s="57"/>
      <c r="P27" s="57"/>
      <c r="Q27" s="85"/>
      <c r="R27" s="85"/>
      <c r="S27" s="58">
        <f t="shared" si="0"/>
        <v>2299</v>
      </c>
      <c r="T27" s="58">
        <f t="shared" si="1"/>
        <v>8</v>
      </c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6"/>
      <c r="BT27" s="6"/>
      <c r="BU27" s="6"/>
      <c r="BV27" s="6"/>
      <c r="BW27" s="6"/>
      <c r="BX27" s="6"/>
      <c r="BY27" s="6"/>
      <c r="BZ27" s="6"/>
      <c r="CA27" s="6"/>
      <c r="CB27" s="6"/>
      <c r="CC27" s="6"/>
      <c r="CD27" s="6"/>
      <c r="CE27" s="6"/>
      <c r="CF27" s="6"/>
      <c r="CG27" s="6"/>
      <c r="CH27" s="6"/>
      <c r="CI27" s="6"/>
      <c r="CJ27" s="6"/>
      <c r="CK27" s="6"/>
      <c r="CL27" s="6"/>
      <c r="CM27" s="6"/>
    </row>
    <row r="28" spans="1:91" s="42" customFormat="1" x14ac:dyDescent="0.25">
      <c r="A28" s="78" t="s">
        <v>68</v>
      </c>
      <c r="B28" s="79" t="s">
        <v>215</v>
      </c>
      <c r="C28" s="80">
        <v>42027</v>
      </c>
      <c r="D28" s="63"/>
      <c r="E28" s="64" t="s">
        <v>361</v>
      </c>
      <c r="F28" s="64" t="s">
        <v>27</v>
      </c>
      <c r="G28" s="56" t="s">
        <v>366</v>
      </c>
      <c r="H28" s="56" t="s">
        <v>41</v>
      </c>
      <c r="I28" s="57">
        <v>5938</v>
      </c>
      <c r="J28" s="57">
        <v>37</v>
      </c>
      <c r="K28" s="57"/>
      <c r="L28" s="57"/>
      <c r="M28" s="57"/>
      <c r="N28" s="57"/>
      <c r="O28" s="57"/>
      <c r="P28" s="57"/>
      <c r="Q28" s="57"/>
      <c r="R28" s="57"/>
      <c r="S28" s="58">
        <f t="shared" si="0"/>
        <v>5938</v>
      </c>
      <c r="T28" s="58">
        <f t="shared" si="1"/>
        <v>37</v>
      </c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  <c r="BX28" s="6"/>
      <c r="BY28" s="6"/>
      <c r="BZ28" s="6"/>
      <c r="CA28" s="6"/>
      <c r="CB28" s="6"/>
      <c r="CC28" s="6"/>
      <c r="CD28" s="6"/>
      <c r="CE28" s="6"/>
      <c r="CF28" s="6"/>
      <c r="CG28" s="6"/>
      <c r="CH28" s="6"/>
      <c r="CI28" s="6"/>
      <c r="CJ28" s="6"/>
      <c r="CK28" s="6"/>
      <c r="CL28" s="6"/>
      <c r="CM28" s="6"/>
    </row>
    <row r="29" spans="1:91" s="42" customFormat="1" x14ac:dyDescent="0.25">
      <c r="A29" s="78" t="s">
        <v>71</v>
      </c>
      <c r="B29" s="79" t="s">
        <v>223</v>
      </c>
      <c r="C29" s="80">
        <v>42027</v>
      </c>
      <c r="D29" s="63" t="s">
        <v>19</v>
      </c>
      <c r="E29" s="64" t="s">
        <v>25</v>
      </c>
      <c r="F29" s="64" t="s">
        <v>361</v>
      </c>
      <c r="G29" s="56" t="s">
        <v>366</v>
      </c>
      <c r="H29" s="56" t="s">
        <v>41</v>
      </c>
      <c r="I29" s="57">
        <v>1661</v>
      </c>
      <c r="J29" s="57">
        <v>11</v>
      </c>
      <c r="K29" s="57"/>
      <c r="L29" s="57"/>
      <c r="M29" s="57"/>
      <c r="N29" s="57"/>
      <c r="O29" s="57"/>
      <c r="P29" s="57"/>
      <c r="Q29" s="57"/>
      <c r="R29" s="57"/>
      <c r="S29" s="58">
        <f t="shared" si="0"/>
        <v>1661</v>
      </c>
      <c r="T29" s="58">
        <f t="shared" si="1"/>
        <v>11</v>
      </c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  <c r="BX29" s="6"/>
      <c r="BY29" s="6"/>
      <c r="BZ29" s="6"/>
      <c r="CA29" s="6"/>
      <c r="CB29" s="6"/>
      <c r="CC29" s="6"/>
      <c r="CD29" s="6"/>
      <c r="CE29" s="6"/>
      <c r="CF29" s="6"/>
      <c r="CG29" s="6"/>
      <c r="CH29" s="6"/>
      <c r="CI29" s="6"/>
      <c r="CJ29" s="6"/>
      <c r="CK29" s="6"/>
      <c r="CL29" s="6"/>
      <c r="CM29" s="6"/>
    </row>
    <row r="30" spans="1:91" s="46" customFormat="1" x14ac:dyDescent="0.25">
      <c r="A30" s="81" t="s">
        <v>53</v>
      </c>
      <c r="B30" s="82" t="s">
        <v>280</v>
      </c>
      <c r="C30" s="80">
        <v>42027</v>
      </c>
      <c r="D30" s="86" t="s">
        <v>19</v>
      </c>
      <c r="E30" s="83" t="s">
        <v>24</v>
      </c>
      <c r="F30" s="83" t="s">
        <v>28</v>
      </c>
      <c r="G30" s="84" t="s">
        <v>366</v>
      </c>
      <c r="H30" s="84" t="s">
        <v>41</v>
      </c>
      <c r="I30" s="85">
        <v>1515</v>
      </c>
      <c r="J30" s="85">
        <v>4</v>
      </c>
      <c r="K30" s="57"/>
      <c r="L30" s="57"/>
      <c r="M30" s="57"/>
      <c r="N30" s="57"/>
      <c r="O30" s="57"/>
      <c r="P30" s="57"/>
      <c r="Q30" s="85"/>
      <c r="R30" s="85"/>
      <c r="S30" s="58">
        <f t="shared" si="0"/>
        <v>1515</v>
      </c>
      <c r="T30" s="58">
        <f t="shared" si="1"/>
        <v>4</v>
      </c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BW30" s="6"/>
      <c r="BX30" s="6"/>
      <c r="BY30" s="6"/>
      <c r="BZ30" s="6"/>
      <c r="CA30" s="6"/>
      <c r="CB30" s="6"/>
      <c r="CC30" s="6"/>
      <c r="CD30" s="6"/>
      <c r="CE30" s="6"/>
      <c r="CF30" s="6"/>
      <c r="CG30" s="6"/>
      <c r="CH30" s="6"/>
      <c r="CI30" s="6"/>
      <c r="CJ30" s="6"/>
      <c r="CK30" s="6"/>
      <c r="CL30" s="6"/>
      <c r="CM30" s="6"/>
    </row>
    <row r="31" spans="1:91" s="42" customFormat="1" x14ac:dyDescent="0.25">
      <c r="A31" s="78" t="s">
        <v>45</v>
      </c>
      <c r="B31" s="87" t="s">
        <v>221</v>
      </c>
      <c r="C31" s="80">
        <v>42030</v>
      </c>
      <c r="D31" s="63"/>
      <c r="E31" s="64" t="s">
        <v>24</v>
      </c>
      <c r="F31" s="64" t="s">
        <v>329</v>
      </c>
      <c r="G31" s="56" t="s">
        <v>365</v>
      </c>
      <c r="H31" s="56" t="s">
        <v>40</v>
      </c>
      <c r="I31" s="57">
        <v>2578</v>
      </c>
      <c r="J31" s="57">
        <v>7</v>
      </c>
      <c r="K31" s="57">
        <v>3475</v>
      </c>
      <c r="L31" s="57">
        <v>0</v>
      </c>
      <c r="M31" s="57"/>
      <c r="N31" s="57"/>
      <c r="O31" s="57"/>
      <c r="P31" s="57"/>
      <c r="Q31" s="57"/>
      <c r="R31" s="57"/>
      <c r="S31" s="58">
        <f t="shared" si="0"/>
        <v>6053</v>
      </c>
      <c r="T31" s="58">
        <f t="shared" si="1"/>
        <v>7</v>
      </c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X31" s="6"/>
      <c r="BY31" s="6"/>
      <c r="BZ31" s="6"/>
      <c r="CA31" s="6"/>
      <c r="CB31" s="6"/>
      <c r="CC31" s="6"/>
      <c r="CD31" s="6"/>
      <c r="CE31" s="6"/>
      <c r="CF31" s="6"/>
      <c r="CG31" s="6"/>
      <c r="CH31" s="6"/>
      <c r="CI31" s="6"/>
      <c r="CJ31" s="6"/>
      <c r="CK31" s="6"/>
      <c r="CL31" s="6"/>
      <c r="CM31" s="6"/>
    </row>
    <row r="32" spans="1:91" s="42" customFormat="1" x14ac:dyDescent="0.25">
      <c r="A32" s="81" t="s">
        <v>63</v>
      </c>
      <c r="B32" s="82" t="s">
        <v>237</v>
      </c>
      <c r="C32" s="80">
        <v>42031</v>
      </c>
      <c r="D32" s="86"/>
      <c r="E32" s="64" t="s">
        <v>361</v>
      </c>
      <c r="F32" s="83" t="s">
        <v>27</v>
      </c>
      <c r="G32" s="84" t="s">
        <v>366</v>
      </c>
      <c r="H32" s="84" t="s">
        <v>41</v>
      </c>
      <c r="I32" s="85">
        <v>2346</v>
      </c>
      <c r="J32" s="85">
        <v>9</v>
      </c>
      <c r="K32" s="57"/>
      <c r="L32" s="57"/>
      <c r="M32" s="57"/>
      <c r="N32" s="57"/>
      <c r="O32" s="57"/>
      <c r="P32" s="57"/>
      <c r="Q32" s="85"/>
      <c r="R32" s="85"/>
      <c r="S32" s="58">
        <f t="shared" si="0"/>
        <v>2346</v>
      </c>
      <c r="T32" s="58">
        <f t="shared" si="1"/>
        <v>9</v>
      </c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BW32" s="6"/>
      <c r="BX32" s="6"/>
      <c r="BY32" s="6"/>
      <c r="BZ32" s="6"/>
      <c r="CA32" s="6"/>
      <c r="CB32" s="6"/>
      <c r="CC32" s="6"/>
      <c r="CD32" s="6"/>
      <c r="CE32" s="6"/>
      <c r="CF32" s="6"/>
      <c r="CG32" s="6"/>
      <c r="CH32" s="6"/>
      <c r="CI32" s="6"/>
      <c r="CJ32" s="6"/>
      <c r="CK32" s="6"/>
      <c r="CL32" s="6"/>
      <c r="CM32" s="6"/>
    </row>
    <row r="33" spans="1:91" s="42" customFormat="1" x14ac:dyDescent="0.25">
      <c r="A33" s="81" t="s">
        <v>65</v>
      </c>
      <c r="B33" s="82" t="s">
        <v>228</v>
      </c>
      <c r="C33" s="80">
        <v>42031</v>
      </c>
      <c r="D33" s="86"/>
      <c r="E33" s="83" t="s">
        <v>24</v>
      </c>
      <c r="F33" s="83" t="s">
        <v>30</v>
      </c>
      <c r="G33" s="84" t="s">
        <v>366</v>
      </c>
      <c r="H33" s="84" t="s">
        <v>41</v>
      </c>
      <c r="I33" s="85">
        <v>2176</v>
      </c>
      <c r="J33" s="85">
        <v>6</v>
      </c>
      <c r="K33" s="57"/>
      <c r="L33" s="57"/>
      <c r="M33" s="57"/>
      <c r="N33" s="57"/>
      <c r="O33" s="57"/>
      <c r="P33" s="57"/>
      <c r="Q33" s="85"/>
      <c r="R33" s="85"/>
      <c r="S33" s="58">
        <f t="shared" si="0"/>
        <v>2176</v>
      </c>
      <c r="T33" s="58">
        <f t="shared" si="1"/>
        <v>6</v>
      </c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  <c r="BX33" s="6"/>
      <c r="BY33" s="6"/>
      <c r="BZ33" s="6"/>
      <c r="CA33" s="6"/>
      <c r="CB33" s="6"/>
      <c r="CC33" s="6"/>
      <c r="CD33" s="6"/>
      <c r="CE33" s="6"/>
      <c r="CF33" s="6"/>
      <c r="CG33" s="6"/>
      <c r="CH33" s="6"/>
      <c r="CI33" s="6"/>
      <c r="CJ33" s="6"/>
      <c r="CK33" s="6"/>
      <c r="CL33" s="6"/>
      <c r="CM33" s="6"/>
    </row>
    <row r="34" spans="1:91" s="42" customFormat="1" x14ac:dyDescent="0.25">
      <c r="A34" s="78" t="s">
        <v>72</v>
      </c>
      <c r="B34" s="79" t="s">
        <v>277</v>
      </c>
      <c r="C34" s="80">
        <v>42032</v>
      </c>
      <c r="D34" s="63" t="s">
        <v>19</v>
      </c>
      <c r="E34" s="64" t="s">
        <v>24</v>
      </c>
      <c r="F34" s="64" t="s">
        <v>28</v>
      </c>
      <c r="G34" s="56" t="s">
        <v>366</v>
      </c>
      <c r="H34" s="56" t="s">
        <v>41</v>
      </c>
      <c r="I34" s="57">
        <v>2810</v>
      </c>
      <c r="J34" s="57">
        <v>17</v>
      </c>
      <c r="K34" s="57"/>
      <c r="L34" s="57"/>
      <c r="M34" s="57"/>
      <c r="N34" s="57"/>
      <c r="O34" s="57"/>
      <c r="P34" s="57"/>
      <c r="Q34" s="57"/>
      <c r="R34" s="57"/>
      <c r="S34" s="58">
        <f t="shared" si="0"/>
        <v>2810</v>
      </c>
      <c r="T34" s="58">
        <f t="shared" si="1"/>
        <v>17</v>
      </c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6"/>
      <c r="BL34" s="6"/>
      <c r="BM34" s="6"/>
      <c r="BN34" s="6"/>
      <c r="BO34" s="6"/>
      <c r="BP34" s="6"/>
      <c r="BQ34" s="6"/>
      <c r="BR34" s="6"/>
      <c r="BS34" s="6"/>
      <c r="BT34" s="6"/>
      <c r="BU34" s="6"/>
      <c r="BV34" s="6"/>
      <c r="BW34" s="6"/>
      <c r="BX34" s="6"/>
      <c r="BY34" s="6"/>
      <c r="BZ34" s="6"/>
      <c r="CA34" s="6"/>
      <c r="CB34" s="6"/>
      <c r="CC34" s="6"/>
      <c r="CD34" s="6"/>
      <c r="CE34" s="6"/>
      <c r="CF34" s="6"/>
      <c r="CG34" s="6"/>
      <c r="CH34" s="6"/>
      <c r="CI34" s="6"/>
      <c r="CJ34" s="6"/>
      <c r="CK34" s="6"/>
      <c r="CL34" s="6"/>
      <c r="CM34" s="6"/>
    </row>
    <row r="35" spans="1:91" s="42" customFormat="1" x14ac:dyDescent="0.25">
      <c r="A35" s="88" t="s">
        <v>47</v>
      </c>
      <c r="B35" s="82" t="s">
        <v>239</v>
      </c>
      <c r="C35" s="80">
        <v>42032</v>
      </c>
      <c r="D35" s="86"/>
      <c r="E35" s="64" t="s">
        <v>361</v>
      </c>
      <c r="F35" s="83" t="s">
        <v>29</v>
      </c>
      <c r="G35" s="84" t="s">
        <v>366</v>
      </c>
      <c r="H35" s="84" t="s">
        <v>37</v>
      </c>
      <c r="I35" s="85">
        <v>1618</v>
      </c>
      <c r="J35" s="85">
        <v>13</v>
      </c>
      <c r="K35" s="57"/>
      <c r="L35" s="57"/>
      <c r="M35" s="57"/>
      <c r="N35" s="57"/>
      <c r="O35" s="57"/>
      <c r="P35" s="57"/>
      <c r="Q35" s="85"/>
      <c r="R35" s="85"/>
      <c r="S35" s="58">
        <f t="shared" si="0"/>
        <v>1618</v>
      </c>
      <c r="T35" s="58">
        <f t="shared" si="1"/>
        <v>13</v>
      </c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BW35" s="6"/>
      <c r="BX35" s="6"/>
      <c r="BY35" s="6"/>
      <c r="BZ35" s="6"/>
      <c r="CA35" s="6"/>
      <c r="CB35" s="6"/>
      <c r="CC35" s="6"/>
      <c r="CD35" s="6"/>
      <c r="CE35" s="6"/>
      <c r="CF35" s="6"/>
      <c r="CG35" s="6"/>
      <c r="CH35" s="6"/>
      <c r="CI35" s="6"/>
      <c r="CJ35" s="6"/>
      <c r="CK35" s="6"/>
      <c r="CL35" s="6"/>
      <c r="CM35" s="6"/>
    </row>
    <row r="36" spans="1:91" s="44" customFormat="1" x14ac:dyDescent="0.25">
      <c r="A36" s="81" t="s">
        <v>66</v>
      </c>
      <c r="B36" s="82" t="s">
        <v>228</v>
      </c>
      <c r="C36" s="80">
        <v>42033</v>
      </c>
      <c r="D36" s="86" t="s">
        <v>19</v>
      </c>
      <c r="E36" s="83" t="s">
        <v>23</v>
      </c>
      <c r="F36" s="83" t="s">
        <v>30</v>
      </c>
      <c r="G36" s="84" t="s">
        <v>366</v>
      </c>
      <c r="H36" s="84" t="s">
        <v>41</v>
      </c>
      <c r="I36" s="85">
        <v>1791</v>
      </c>
      <c r="J36" s="85">
        <v>7</v>
      </c>
      <c r="K36" s="57"/>
      <c r="L36" s="57"/>
      <c r="M36" s="57">
        <v>171</v>
      </c>
      <c r="N36" s="57">
        <v>0</v>
      </c>
      <c r="O36" s="57"/>
      <c r="P36" s="57"/>
      <c r="Q36" s="85"/>
      <c r="R36" s="85"/>
      <c r="S36" s="58">
        <f t="shared" si="0"/>
        <v>1962</v>
      </c>
      <c r="T36" s="58">
        <f t="shared" si="1"/>
        <v>7</v>
      </c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  <c r="BX36" s="6"/>
      <c r="BY36" s="6"/>
      <c r="BZ36" s="6"/>
      <c r="CA36" s="6"/>
      <c r="CB36" s="6"/>
      <c r="CC36" s="6"/>
      <c r="CD36" s="6"/>
      <c r="CE36" s="6"/>
      <c r="CF36" s="6"/>
      <c r="CG36" s="6"/>
      <c r="CH36" s="6"/>
      <c r="CI36" s="6"/>
      <c r="CJ36" s="6"/>
      <c r="CK36" s="6"/>
      <c r="CL36" s="6"/>
      <c r="CM36" s="6"/>
    </row>
    <row r="37" spans="1:91" s="44" customFormat="1" x14ac:dyDescent="0.25">
      <c r="A37" s="81" t="s">
        <v>46</v>
      </c>
      <c r="B37" s="82" t="s">
        <v>223</v>
      </c>
      <c r="C37" s="80">
        <v>42033</v>
      </c>
      <c r="D37" s="86"/>
      <c r="E37" s="83" t="s">
        <v>24</v>
      </c>
      <c r="F37" s="64" t="s">
        <v>361</v>
      </c>
      <c r="G37" s="56" t="s">
        <v>365</v>
      </c>
      <c r="H37" s="84" t="s">
        <v>41</v>
      </c>
      <c r="I37" s="85">
        <v>2524</v>
      </c>
      <c r="J37" s="85">
        <v>0</v>
      </c>
      <c r="K37" s="57"/>
      <c r="L37" s="57"/>
      <c r="M37" s="57"/>
      <c r="N37" s="57"/>
      <c r="O37" s="57"/>
      <c r="P37" s="57"/>
      <c r="Q37" s="85"/>
      <c r="R37" s="85"/>
      <c r="S37" s="58">
        <f t="shared" si="0"/>
        <v>2524</v>
      </c>
      <c r="T37" s="58">
        <f t="shared" si="1"/>
        <v>0</v>
      </c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BW37" s="6"/>
      <c r="BX37" s="6"/>
      <c r="BY37" s="6"/>
      <c r="BZ37" s="6"/>
      <c r="CA37" s="6"/>
      <c r="CB37" s="6"/>
      <c r="CC37" s="6"/>
      <c r="CD37" s="6"/>
      <c r="CE37" s="6"/>
      <c r="CF37" s="6"/>
      <c r="CG37" s="6"/>
      <c r="CH37" s="6"/>
      <c r="CI37" s="6"/>
      <c r="CJ37" s="6"/>
      <c r="CK37" s="6"/>
      <c r="CL37" s="6"/>
      <c r="CM37" s="6"/>
    </row>
    <row r="38" spans="1:91" s="42" customFormat="1" x14ac:dyDescent="0.25">
      <c r="A38" s="78" t="s">
        <v>70</v>
      </c>
      <c r="B38" s="79" t="s">
        <v>270</v>
      </c>
      <c r="C38" s="80">
        <v>42034</v>
      </c>
      <c r="D38" s="63" t="s">
        <v>19</v>
      </c>
      <c r="E38" s="64" t="s">
        <v>22</v>
      </c>
      <c r="F38" s="64" t="s">
        <v>28</v>
      </c>
      <c r="G38" s="56" t="s">
        <v>365</v>
      </c>
      <c r="H38" s="56" t="s">
        <v>40</v>
      </c>
      <c r="I38" s="57">
        <v>4077</v>
      </c>
      <c r="J38" s="57">
        <v>7</v>
      </c>
      <c r="K38" s="57"/>
      <c r="L38" s="57"/>
      <c r="M38" s="57"/>
      <c r="N38" s="57"/>
      <c r="O38" s="57"/>
      <c r="P38" s="57"/>
      <c r="Q38" s="57"/>
      <c r="R38" s="57"/>
      <c r="S38" s="58">
        <f t="shared" si="0"/>
        <v>4077</v>
      </c>
      <c r="T38" s="58">
        <f t="shared" si="1"/>
        <v>7</v>
      </c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BW38" s="6"/>
      <c r="BX38" s="6"/>
      <c r="BY38" s="6"/>
      <c r="BZ38" s="6"/>
      <c r="CA38" s="6"/>
      <c r="CB38" s="6"/>
      <c r="CC38" s="6"/>
      <c r="CD38" s="6"/>
      <c r="CE38" s="6"/>
      <c r="CF38" s="6"/>
      <c r="CG38" s="6"/>
      <c r="CH38" s="6"/>
      <c r="CI38" s="6"/>
      <c r="CJ38" s="6"/>
      <c r="CK38" s="6"/>
      <c r="CL38" s="6"/>
      <c r="CM38" s="6"/>
    </row>
    <row r="39" spans="1:91" s="42" customFormat="1" x14ac:dyDescent="0.25">
      <c r="A39" s="89" t="s">
        <v>84</v>
      </c>
      <c r="B39" s="79" t="s">
        <v>239</v>
      </c>
      <c r="C39" s="80">
        <v>42036</v>
      </c>
      <c r="D39" s="63"/>
      <c r="E39" s="64" t="s">
        <v>24</v>
      </c>
      <c r="F39" s="64" t="s">
        <v>31</v>
      </c>
      <c r="G39" s="56" t="s">
        <v>366</v>
      </c>
      <c r="H39" s="56" t="s">
        <v>41</v>
      </c>
      <c r="I39" s="57">
        <v>1613</v>
      </c>
      <c r="J39" s="57">
        <v>2</v>
      </c>
      <c r="K39" s="57"/>
      <c r="L39" s="57"/>
      <c r="M39" s="57"/>
      <c r="N39" s="57"/>
      <c r="O39" s="57"/>
      <c r="P39" s="57"/>
      <c r="Q39" s="57"/>
      <c r="R39" s="57"/>
      <c r="S39" s="58">
        <f t="shared" si="0"/>
        <v>1613</v>
      </c>
      <c r="T39" s="58">
        <f t="shared" si="1"/>
        <v>2</v>
      </c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BW39" s="6"/>
      <c r="BX39" s="6"/>
      <c r="BY39" s="6"/>
      <c r="BZ39" s="6"/>
      <c r="CA39" s="6"/>
      <c r="CB39" s="6"/>
      <c r="CC39" s="6"/>
      <c r="CD39" s="6"/>
      <c r="CE39" s="6"/>
      <c r="CF39" s="6"/>
      <c r="CG39" s="6"/>
      <c r="CH39" s="6"/>
      <c r="CI39" s="6"/>
      <c r="CJ39" s="6"/>
      <c r="CK39" s="6"/>
      <c r="CL39" s="6"/>
      <c r="CM39" s="6"/>
    </row>
    <row r="40" spans="1:91" s="42" customFormat="1" x14ac:dyDescent="0.25">
      <c r="A40" s="78" t="s">
        <v>102</v>
      </c>
      <c r="B40" s="79" t="s">
        <v>269</v>
      </c>
      <c r="C40" s="80">
        <v>42037</v>
      </c>
      <c r="D40" s="63"/>
      <c r="E40" s="64" t="s">
        <v>361</v>
      </c>
      <c r="F40" s="64" t="s">
        <v>32</v>
      </c>
      <c r="G40" s="56" t="s">
        <v>366</v>
      </c>
      <c r="H40" s="56" t="s">
        <v>41</v>
      </c>
      <c r="I40" s="57">
        <v>729</v>
      </c>
      <c r="J40" s="57">
        <v>0</v>
      </c>
      <c r="K40" s="57"/>
      <c r="L40" s="57"/>
      <c r="M40" s="57"/>
      <c r="N40" s="57"/>
      <c r="O40" s="57"/>
      <c r="P40" s="57"/>
      <c r="Q40" s="57"/>
      <c r="R40" s="57"/>
      <c r="S40" s="58">
        <f t="shared" si="0"/>
        <v>729</v>
      </c>
      <c r="T40" s="58">
        <f t="shared" si="1"/>
        <v>0</v>
      </c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6"/>
      <c r="BL40" s="6"/>
      <c r="BM40" s="6"/>
      <c r="BN40" s="6"/>
      <c r="BO40" s="6"/>
      <c r="BP40" s="6"/>
      <c r="BQ40" s="6"/>
      <c r="BR40" s="6"/>
      <c r="BS40" s="6"/>
      <c r="BT40" s="6"/>
      <c r="BU40" s="6"/>
      <c r="BV40" s="6"/>
      <c r="BW40" s="6"/>
      <c r="BX40" s="6"/>
      <c r="BY40" s="6"/>
      <c r="BZ40" s="6"/>
      <c r="CA40" s="6"/>
      <c r="CB40" s="6"/>
      <c r="CC40" s="6"/>
      <c r="CD40" s="6"/>
      <c r="CE40" s="6"/>
      <c r="CF40" s="6"/>
      <c r="CG40" s="6"/>
      <c r="CH40" s="6"/>
      <c r="CI40" s="6"/>
      <c r="CJ40" s="6"/>
      <c r="CK40" s="6"/>
      <c r="CL40" s="6"/>
      <c r="CM40" s="6"/>
    </row>
    <row r="41" spans="1:91" s="44" customFormat="1" x14ac:dyDescent="0.25">
      <c r="A41" s="78" t="s">
        <v>99</v>
      </c>
      <c r="B41" s="79" t="s">
        <v>229</v>
      </c>
      <c r="C41" s="80">
        <v>42038</v>
      </c>
      <c r="D41" s="63"/>
      <c r="E41" s="64" t="s">
        <v>24</v>
      </c>
      <c r="F41" s="64" t="s">
        <v>31</v>
      </c>
      <c r="G41" s="56" t="s">
        <v>366</v>
      </c>
      <c r="H41" s="56" t="s">
        <v>41</v>
      </c>
      <c r="I41" s="57">
        <v>7120</v>
      </c>
      <c r="J41" s="57">
        <v>13</v>
      </c>
      <c r="K41" s="57"/>
      <c r="L41" s="57"/>
      <c r="M41" s="57">
        <v>1507</v>
      </c>
      <c r="N41" s="57">
        <v>0</v>
      </c>
      <c r="O41" s="57">
        <v>613</v>
      </c>
      <c r="P41" s="57">
        <v>0</v>
      </c>
      <c r="Q41" s="57"/>
      <c r="R41" s="57"/>
      <c r="S41" s="58">
        <f t="shared" si="0"/>
        <v>9240</v>
      </c>
      <c r="T41" s="58">
        <f t="shared" si="1"/>
        <v>13</v>
      </c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BW41" s="6"/>
      <c r="BX41" s="6"/>
      <c r="BY41" s="6"/>
      <c r="BZ41" s="6"/>
      <c r="CA41" s="6"/>
      <c r="CB41" s="6"/>
      <c r="CC41" s="6"/>
      <c r="CD41" s="6"/>
      <c r="CE41" s="6"/>
      <c r="CF41" s="6"/>
      <c r="CG41" s="6"/>
      <c r="CH41" s="6"/>
      <c r="CI41" s="6"/>
      <c r="CJ41" s="6"/>
      <c r="CK41" s="6"/>
      <c r="CL41" s="6"/>
      <c r="CM41" s="6"/>
    </row>
    <row r="42" spans="1:91" s="42" customFormat="1" x14ac:dyDescent="0.25">
      <c r="A42" s="89" t="s">
        <v>101</v>
      </c>
      <c r="B42" s="79" t="s">
        <v>239</v>
      </c>
      <c r="C42" s="80">
        <v>42038</v>
      </c>
      <c r="D42" s="63"/>
      <c r="E42" s="64" t="s">
        <v>23</v>
      </c>
      <c r="F42" s="64" t="s">
        <v>30</v>
      </c>
      <c r="G42" s="56" t="s">
        <v>366</v>
      </c>
      <c r="H42" s="56" t="s">
        <v>41</v>
      </c>
      <c r="I42" s="57">
        <v>906</v>
      </c>
      <c r="J42" s="57">
        <v>0</v>
      </c>
      <c r="K42" s="57"/>
      <c r="L42" s="57"/>
      <c r="M42" s="57">
        <v>178</v>
      </c>
      <c r="N42" s="57">
        <v>0</v>
      </c>
      <c r="O42" s="57">
        <v>2276</v>
      </c>
      <c r="P42" s="57">
        <v>0</v>
      </c>
      <c r="Q42" s="57"/>
      <c r="R42" s="57"/>
      <c r="S42" s="58">
        <f t="shared" si="0"/>
        <v>3360</v>
      </c>
      <c r="T42" s="58">
        <f t="shared" si="1"/>
        <v>0</v>
      </c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BW42" s="6"/>
      <c r="BX42" s="6"/>
      <c r="BY42" s="6"/>
      <c r="BZ42" s="6"/>
      <c r="CA42" s="6"/>
      <c r="CB42" s="6"/>
      <c r="CC42" s="6"/>
      <c r="CD42" s="6"/>
      <c r="CE42" s="6"/>
      <c r="CF42" s="6"/>
      <c r="CG42" s="6"/>
      <c r="CH42" s="6"/>
      <c r="CI42" s="6"/>
      <c r="CJ42" s="6"/>
      <c r="CK42" s="6"/>
      <c r="CL42" s="6"/>
      <c r="CM42" s="6"/>
    </row>
    <row r="43" spans="1:91" s="42" customFormat="1" x14ac:dyDescent="0.25">
      <c r="A43" s="78" t="s">
        <v>276</v>
      </c>
      <c r="B43" s="79" t="s">
        <v>229</v>
      </c>
      <c r="C43" s="80">
        <v>42038</v>
      </c>
      <c r="D43" s="63"/>
      <c r="E43" s="64" t="s">
        <v>24</v>
      </c>
      <c r="F43" s="64" t="s">
        <v>32</v>
      </c>
      <c r="G43" s="56" t="s">
        <v>365</v>
      </c>
      <c r="H43" s="56" t="s">
        <v>41</v>
      </c>
      <c r="I43" s="57">
        <v>1850</v>
      </c>
      <c r="J43" s="57">
        <v>8</v>
      </c>
      <c r="K43" s="57"/>
      <c r="L43" s="57"/>
      <c r="M43" s="57">
        <v>600</v>
      </c>
      <c r="N43" s="57">
        <v>0</v>
      </c>
      <c r="O43" s="57">
        <v>862</v>
      </c>
      <c r="P43" s="57">
        <v>0</v>
      </c>
      <c r="Q43" s="57"/>
      <c r="R43" s="57"/>
      <c r="S43" s="58">
        <f t="shared" si="0"/>
        <v>3312</v>
      </c>
      <c r="T43" s="58">
        <f t="shared" si="1"/>
        <v>8</v>
      </c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BW43" s="6"/>
      <c r="BX43" s="6"/>
      <c r="BY43" s="6"/>
      <c r="BZ43" s="6"/>
      <c r="CA43" s="6"/>
      <c r="CB43" s="6"/>
      <c r="CC43" s="6"/>
      <c r="CD43" s="6"/>
      <c r="CE43" s="6"/>
      <c r="CF43" s="6"/>
      <c r="CG43" s="6"/>
      <c r="CH43" s="6"/>
      <c r="CI43" s="6"/>
      <c r="CJ43" s="6"/>
      <c r="CK43" s="6"/>
      <c r="CL43" s="6"/>
      <c r="CM43" s="6"/>
    </row>
    <row r="44" spans="1:91" s="42" customFormat="1" x14ac:dyDescent="0.25">
      <c r="A44" s="78" t="s">
        <v>100</v>
      </c>
      <c r="B44" s="79" t="s">
        <v>218</v>
      </c>
      <c r="C44" s="80">
        <v>42038</v>
      </c>
      <c r="D44" s="63"/>
      <c r="E44" s="64" t="s">
        <v>24</v>
      </c>
      <c r="F44" s="83" t="s">
        <v>30</v>
      </c>
      <c r="G44" s="84" t="s">
        <v>365</v>
      </c>
      <c r="H44" s="56" t="s">
        <v>41</v>
      </c>
      <c r="I44" s="57">
        <v>1516</v>
      </c>
      <c r="J44" s="57">
        <v>4</v>
      </c>
      <c r="K44" s="57"/>
      <c r="L44" s="57"/>
      <c r="M44" s="57"/>
      <c r="N44" s="57"/>
      <c r="O44" s="57"/>
      <c r="P44" s="57"/>
      <c r="Q44" s="57"/>
      <c r="R44" s="57"/>
      <c r="S44" s="58">
        <f t="shared" si="0"/>
        <v>1516</v>
      </c>
      <c r="T44" s="58">
        <f t="shared" si="1"/>
        <v>4</v>
      </c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BW44" s="6"/>
      <c r="BX44" s="6"/>
      <c r="BY44" s="6"/>
      <c r="BZ44" s="6"/>
      <c r="CA44" s="6"/>
      <c r="CB44" s="6"/>
      <c r="CC44" s="6"/>
      <c r="CD44" s="6"/>
      <c r="CE44" s="6"/>
      <c r="CF44" s="6"/>
      <c r="CG44" s="6"/>
      <c r="CH44" s="6"/>
      <c r="CI44" s="6"/>
      <c r="CJ44" s="6"/>
      <c r="CK44" s="6"/>
      <c r="CL44" s="6"/>
      <c r="CM44" s="6"/>
    </row>
    <row r="45" spans="1:91" s="42" customFormat="1" x14ac:dyDescent="0.25">
      <c r="A45" s="78" t="s">
        <v>97</v>
      </c>
      <c r="B45" s="79" t="s">
        <v>268</v>
      </c>
      <c r="C45" s="80">
        <v>42040</v>
      </c>
      <c r="D45" s="63"/>
      <c r="E45" s="64" t="s">
        <v>24</v>
      </c>
      <c r="F45" s="64" t="s">
        <v>27</v>
      </c>
      <c r="G45" s="56" t="s">
        <v>366</v>
      </c>
      <c r="H45" s="56" t="s">
        <v>41</v>
      </c>
      <c r="I45" s="57">
        <v>2094</v>
      </c>
      <c r="J45" s="57">
        <v>23</v>
      </c>
      <c r="K45" s="57"/>
      <c r="L45" s="57"/>
      <c r="M45" s="57"/>
      <c r="N45" s="57"/>
      <c r="O45" s="57"/>
      <c r="P45" s="57"/>
      <c r="Q45" s="57"/>
      <c r="R45" s="57"/>
      <c r="S45" s="58">
        <f t="shared" si="0"/>
        <v>2094</v>
      </c>
      <c r="T45" s="58">
        <f t="shared" si="1"/>
        <v>23</v>
      </c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BW45" s="6"/>
      <c r="BX45" s="6"/>
      <c r="BY45" s="6"/>
      <c r="BZ45" s="6"/>
      <c r="CA45" s="6"/>
      <c r="CB45" s="6"/>
      <c r="CC45" s="6"/>
      <c r="CD45" s="6"/>
      <c r="CE45" s="6"/>
      <c r="CF45" s="6"/>
      <c r="CG45" s="6"/>
      <c r="CH45" s="6"/>
      <c r="CI45" s="6"/>
      <c r="CJ45" s="6"/>
      <c r="CK45" s="6"/>
      <c r="CL45" s="6"/>
      <c r="CM45" s="6"/>
    </row>
    <row r="46" spans="1:91" s="42" customFormat="1" x14ac:dyDescent="0.25">
      <c r="A46" s="78" t="s">
        <v>98</v>
      </c>
      <c r="B46" s="79" t="s">
        <v>221</v>
      </c>
      <c r="C46" s="80">
        <v>42040</v>
      </c>
      <c r="D46" s="63"/>
      <c r="E46" s="64" t="s">
        <v>22</v>
      </c>
      <c r="F46" s="64" t="s">
        <v>34</v>
      </c>
      <c r="G46" s="56" t="s">
        <v>366</v>
      </c>
      <c r="H46" s="56" t="s">
        <v>41</v>
      </c>
      <c r="I46" s="57">
        <v>1946</v>
      </c>
      <c r="J46" s="57">
        <v>3</v>
      </c>
      <c r="K46" s="57"/>
      <c r="L46" s="57"/>
      <c r="M46" s="57"/>
      <c r="N46" s="57"/>
      <c r="O46" s="57"/>
      <c r="P46" s="57"/>
      <c r="Q46" s="57"/>
      <c r="R46" s="57"/>
      <c r="S46" s="58">
        <f t="shared" si="0"/>
        <v>1946</v>
      </c>
      <c r="T46" s="58">
        <f t="shared" si="1"/>
        <v>3</v>
      </c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  <c r="BC46" s="6"/>
      <c r="BD46" s="6"/>
      <c r="BE46" s="6"/>
      <c r="BF46" s="6"/>
      <c r="BG46" s="6"/>
      <c r="BH46" s="6"/>
      <c r="BI46" s="6"/>
      <c r="BJ46" s="6"/>
      <c r="BK46" s="6"/>
      <c r="BL46" s="6"/>
      <c r="BM46" s="6"/>
      <c r="BN46" s="6"/>
      <c r="BO46" s="6"/>
      <c r="BP46" s="6"/>
      <c r="BQ46" s="6"/>
      <c r="BR46" s="6"/>
      <c r="BS46" s="6"/>
      <c r="BT46" s="6"/>
      <c r="BU46" s="6"/>
      <c r="BV46" s="6"/>
      <c r="BW46" s="6"/>
      <c r="BX46" s="6"/>
      <c r="BY46" s="6"/>
      <c r="BZ46" s="6"/>
      <c r="CA46" s="6"/>
      <c r="CB46" s="6"/>
      <c r="CC46" s="6"/>
      <c r="CD46" s="6"/>
      <c r="CE46" s="6"/>
      <c r="CF46" s="6"/>
      <c r="CG46" s="6"/>
      <c r="CH46" s="6"/>
      <c r="CI46" s="6"/>
      <c r="CJ46" s="6"/>
      <c r="CK46" s="6"/>
      <c r="CL46" s="6"/>
      <c r="CM46" s="6"/>
    </row>
    <row r="47" spans="1:91" s="42" customFormat="1" x14ac:dyDescent="0.25">
      <c r="A47" s="78" t="s">
        <v>56</v>
      </c>
      <c r="B47" s="79" t="s">
        <v>227</v>
      </c>
      <c r="C47" s="80">
        <v>42041</v>
      </c>
      <c r="D47" s="63"/>
      <c r="E47" s="64" t="s">
        <v>361</v>
      </c>
      <c r="F47" s="64" t="s">
        <v>361</v>
      </c>
      <c r="G47" s="56" t="s">
        <v>366</v>
      </c>
      <c r="H47" s="56" t="s">
        <v>41</v>
      </c>
      <c r="I47" s="57">
        <v>2104</v>
      </c>
      <c r="J47" s="57">
        <v>0</v>
      </c>
      <c r="K47" s="57"/>
      <c r="L47" s="57"/>
      <c r="M47" s="57"/>
      <c r="N47" s="57"/>
      <c r="O47" s="57"/>
      <c r="P47" s="57"/>
      <c r="Q47" s="57"/>
      <c r="R47" s="57"/>
      <c r="S47" s="58">
        <f t="shared" si="0"/>
        <v>2104</v>
      </c>
      <c r="T47" s="58">
        <f t="shared" si="1"/>
        <v>0</v>
      </c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BW47" s="6"/>
      <c r="BX47" s="6"/>
      <c r="BY47" s="6"/>
      <c r="BZ47" s="6"/>
      <c r="CA47" s="6"/>
      <c r="CB47" s="6"/>
      <c r="CC47" s="6"/>
      <c r="CD47" s="6"/>
      <c r="CE47" s="6"/>
      <c r="CF47" s="6"/>
      <c r="CG47" s="6"/>
      <c r="CH47" s="6"/>
      <c r="CI47" s="6"/>
      <c r="CJ47" s="6"/>
      <c r="CK47" s="6"/>
      <c r="CL47" s="6"/>
      <c r="CM47" s="6"/>
    </row>
    <row r="48" spans="1:91" s="42" customFormat="1" x14ac:dyDescent="0.25">
      <c r="A48" s="78" t="s">
        <v>96</v>
      </c>
      <c r="B48" s="79" t="s">
        <v>218</v>
      </c>
      <c r="C48" s="80">
        <v>42046</v>
      </c>
      <c r="D48" s="63"/>
      <c r="E48" s="64" t="s">
        <v>24</v>
      </c>
      <c r="F48" s="83" t="s">
        <v>30</v>
      </c>
      <c r="G48" s="84" t="s">
        <v>365</v>
      </c>
      <c r="H48" s="56" t="s">
        <v>41</v>
      </c>
      <c r="I48" s="57">
        <v>2485</v>
      </c>
      <c r="J48" s="57">
        <v>5</v>
      </c>
      <c r="K48" s="57"/>
      <c r="L48" s="57"/>
      <c r="M48" s="57">
        <v>249</v>
      </c>
      <c r="N48" s="57">
        <v>0</v>
      </c>
      <c r="O48" s="57">
        <v>850</v>
      </c>
      <c r="P48" s="57">
        <v>0</v>
      </c>
      <c r="Q48" s="57"/>
      <c r="R48" s="57"/>
      <c r="S48" s="58">
        <f t="shared" si="0"/>
        <v>3584</v>
      </c>
      <c r="T48" s="58">
        <f t="shared" si="1"/>
        <v>5</v>
      </c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BW48" s="6"/>
      <c r="BX48" s="6"/>
      <c r="BY48" s="6"/>
      <c r="BZ48" s="6"/>
      <c r="CA48" s="6"/>
      <c r="CB48" s="6"/>
      <c r="CC48" s="6"/>
      <c r="CD48" s="6"/>
      <c r="CE48" s="6"/>
      <c r="CF48" s="6"/>
      <c r="CG48" s="6"/>
      <c r="CH48" s="6"/>
      <c r="CI48" s="6"/>
      <c r="CJ48" s="6"/>
      <c r="CK48" s="6"/>
      <c r="CL48" s="6"/>
      <c r="CM48" s="6"/>
    </row>
    <row r="49" spans="1:91" s="42" customFormat="1" x14ac:dyDescent="0.25">
      <c r="A49" s="78" t="s">
        <v>95</v>
      </c>
      <c r="B49" s="79" t="s">
        <v>351</v>
      </c>
      <c r="C49" s="80">
        <v>42047</v>
      </c>
      <c r="D49" s="63"/>
      <c r="E49" s="64" t="s">
        <v>361</v>
      </c>
      <c r="F49" s="64" t="s">
        <v>361</v>
      </c>
      <c r="G49" s="56" t="s">
        <v>366</v>
      </c>
      <c r="H49" s="56" t="s">
        <v>41</v>
      </c>
      <c r="I49" s="57">
        <v>1567</v>
      </c>
      <c r="J49" s="57">
        <v>12</v>
      </c>
      <c r="K49" s="57"/>
      <c r="L49" s="57"/>
      <c r="M49" s="57"/>
      <c r="N49" s="57"/>
      <c r="O49" s="57"/>
      <c r="P49" s="57"/>
      <c r="Q49" s="57"/>
      <c r="R49" s="57"/>
      <c r="S49" s="58">
        <f t="shared" si="0"/>
        <v>1567</v>
      </c>
      <c r="T49" s="58">
        <f t="shared" si="1"/>
        <v>12</v>
      </c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BW49" s="6"/>
      <c r="BX49" s="6"/>
      <c r="BY49" s="6"/>
      <c r="BZ49" s="6"/>
      <c r="CA49" s="6"/>
      <c r="CB49" s="6"/>
      <c r="CC49" s="6"/>
      <c r="CD49" s="6"/>
      <c r="CE49" s="6"/>
      <c r="CF49" s="6"/>
      <c r="CG49" s="6"/>
      <c r="CH49" s="6"/>
      <c r="CI49" s="6"/>
      <c r="CJ49" s="6"/>
      <c r="CK49" s="6"/>
      <c r="CL49" s="6"/>
      <c r="CM49" s="6"/>
    </row>
    <row r="50" spans="1:91" s="42" customFormat="1" x14ac:dyDescent="0.25">
      <c r="A50" s="78" t="s">
        <v>94</v>
      </c>
      <c r="B50" s="79" t="s">
        <v>266</v>
      </c>
      <c r="C50" s="80">
        <v>42047</v>
      </c>
      <c r="D50" s="63"/>
      <c r="E50" s="64" t="s">
        <v>22</v>
      </c>
      <c r="F50" s="64" t="s">
        <v>27</v>
      </c>
      <c r="G50" s="56" t="s">
        <v>366</v>
      </c>
      <c r="H50" s="56" t="s">
        <v>41</v>
      </c>
      <c r="I50" s="57">
        <v>858</v>
      </c>
      <c r="J50" s="57">
        <v>1</v>
      </c>
      <c r="K50" s="57"/>
      <c r="L50" s="57"/>
      <c r="M50" s="57"/>
      <c r="N50" s="57"/>
      <c r="O50" s="57"/>
      <c r="P50" s="57"/>
      <c r="Q50" s="57"/>
      <c r="R50" s="57"/>
      <c r="S50" s="58">
        <f t="shared" si="0"/>
        <v>858</v>
      </c>
      <c r="T50" s="58">
        <f t="shared" si="1"/>
        <v>1</v>
      </c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6"/>
      <c r="BV50" s="6"/>
      <c r="BW50" s="6"/>
      <c r="BX50" s="6"/>
      <c r="BY50" s="6"/>
      <c r="BZ50" s="6"/>
      <c r="CA50" s="6"/>
      <c r="CB50" s="6"/>
      <c r="CC50" s="6"/>
      <c r="CD50" s="6"/>
      <c r="CE50" s="6"/>
      <c r="CF50" s="6"/>
      <c r="CG50" s="6"/>
      <c r="CH50" s="6"/>
      <c r="CI50" s="6"/>
      <c r="CJ50" s="6"/>
      <c r="CK50" s="6"/>
      <c r="CL50" s="6"/>
      <c r="CM50" s="6"/>
    </row>
    <row r="51" spans="1:91" s="44" customFormat="1" x14ac:dyDescent="0.25">
      <c r="A51" s="78" t="s">
        <v>92</v>
      </c>
      <c r="B51" s="79" t="s">
        <v>227</v>
      </c>
      <c r="C51" s="80">
        <v>42048</v>
      </c>
      <c r="D51" s="63"/>
      <c r="E51" s="64" t="s">
        <v>361</v>
      </c>
      <c r="F51" s="64" t="s">
        <v>361</v>
      </c>
      <c r="G51" s="56" t="s">
        <v>366</v>
      </c>
      <c r="H51" s="56" t="s">
        <v>41</v>
      </c>
      <c r="I51" s="57">
        <v>1726</v>
      </c>
      <c r="J51" s="57">
        <v>5</v>
      </c>
      <c r="K51" s="57"/>
      <c r="L51" s="57"/>
      <c r="M51" s="57"/>
      <c r="N51" s="57"/>
      <c r="O51" s="57"/>
      <c r="P51" s="57"/>
      <c r="Q51" s="57"/>
      <c r="R51" s="57"/>
      <c r="S51" s="58">
        <f t="shared" si="0"/>
        <v>1726</v>
      </c>
      <c r="T51" s="58">
        <f t="shared" si="1"/>
        <v>5</v>
      </c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  <c r="BH51" s="6"/>
      <c r="BI51" s="6"/>
      <c r="BJ51" s="6"/>
      <c r="BK51" s="6"/>
      <c r="BL51" s="6"/>
      <c r="BM51" s="6"/>
      <c r="BN51" s="6"/>
      <c r="BO51" s="6"/>
      <c r="BP51" s="6"/>
      <c r="BQ51" s="6"/>
      <c r="BR51" s="6"/>
      <c r="BS51" s="6"/>
      <c r="BT51" s="6"/>
      <c r="BU51" s="6"/>
      <c r="BV51" s="6"/>
      <c r="BW51" s="6"/>
      <c r="BX51" s="6"/>
      <c r="BY51" s="6"/>
      <c r="BZ51" s="6"/>
      <c r="CA51" s="6"/>
      <c r="CB51" s="6"/>
      <c r="CC51" s="6"/>
      <c r="CD51" s="6"/>
      <c r="CE51" s="6"/>
      <c r="CF51" s="6"/>
      <c r="CG51" s="6"/>
      <c r="CH51" s="6"/>
      <c r="CI51" s="6"/>
      <c r="CJ51" s="6"/>
      <c r="CK51" s="6"/>
      <c r="CL51" s="6"/>
      <c r="CM51" s="6"/>
    </row>
    <row r="52" spans="1:91" s="42" customFormat="1" x14ac:dyDescent="0.25">
      <c r="A52" s="78" t="s">
        <v>93</v>
      </c>
      <c r="B52" s="79" t="s">
        <v>227</v>
      </c>
      <c r="C52" s="80">
        <v>42048</v>
      </c>
      <c r="D52" s="63"/>
      <c r="E52" s="64" t="s">
        <v>361</v>
      </c>
      <c r="F52" s="64" t="s">
        <v>27</v>
      </c>
      <c r="G52" s="56" t="s">
        <v>366</v>
      </c>
      <c r="H52" s="56" t="s">
        <v>41</v>
      </c>
      <c r="I52" s="57">
        <v>958</v>
      </c>
      <c r="J52" s="57">
        <v>0</v>
      </c>
      <c r="K52" s="57"/>
      <c r="L52" s="57"/>
      <c r="M52" s="57"/>
      <c r="N52" s="57"/>
      <c r="O52" s="57"/>
      <c r="P52" s="57"/>
      <c r="Q52" s="57"/>
      <c r="R52" s="57"/>
      <c r="S52" s="58">
        <f t="shared" si="0"/>
        <v>958</v>
      </c>
      <c r="T52" s="58">
        <f t="shared" si="1"/>
        <v>0</v>
      </c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  <c r="BH52" s="6"/>
      <c r="BI52" s="6"/>
      <c r="BJ52" s="6"/>
      <c r="BK52" s="6"/>
      <c r="BL52" s="6"/>
      <c r="BM52" s="6"/>
      <c r="BN52" s="6"/>
      <c r="BO52" s="6"/>
      <c r="BP52" s="6"/>
      <c r="BQ52" s="6"/>
      <c r="BR52" s="6"/>
      <c r="BS52" s="6"/>
      <c r="BT52" s="6"/>
      <c r="BU52" s="6"/>
      <c r="BV52" s="6"/>
      <c r="BW52" s="6"/>
      <c r="BX52" s="6"/>
      <c r="BY52" s="6"/>
      <c r="BZ52" s="6"/>
      <c r="CA52" s="6"/>
      <c r="CB52" s="6"/>
      <c r="CC52" s="6"/>
      <c r="CD52" s="6"/>
      <c r="CE52" s="6"/>
      <c r="CF52" s="6"/>
      <c r="CG52" s="6"/>
      <c r="CH52" s="6"/>
      <c r="CI52" s="6"/>
      <c r="CJ52" s="6"/>
      <c r="CK52" s="6"/>
      <c r="CL52" s="6"/>
      <c r="CM52" s="6"/>
    </row>
    <row r="53" spans="1:91" s="42" customFormat="1" x14ac:dyDescent="0.25">
      <c r="A53" s="78" t="s">
        <v>91</v>
      </c>
      <c r="B53" s="79" t="s">
        <v>221</v>
      </c>
      <c r="C53" s="80">
        <v>42051</v>
      </c>
      <c r="D53" s="63"/>
      <c r="E53" s="64" t="s">
        <v>23</v>
      </c>
      <c r="F53" s="64" t="s">
        <v>31</v>
      </c>
      <c r="G53" s="56" t="s">
        <v>366</v>
      </c>
      <c r="H53" s="56" t="s">
        <v>41</v>
      </c>
      <c r="I53" s="57">
        <v>619</v>
      </c>
      <c r="J53" s="57">
        <v>4</v>
      </c>
      <c r="K53" s="57">
        <v>1014</v>
      </c>
      <c r="L53" s="57">
        <v>0</v>
      </c>
      <c r="M53" s="57"/>
      <c r="N53" s="57"/>
      <c r="O53" s="57"/>
      <c r="P53" s="57"/>
      <c r="Q53" s="57"/>
      <c r="R53" s="57"/>
      <c r="S53" s="58">
        <f t="shared" si="0"/>
        <v>1633</v>
      </c>
      <c r="T53" s="58">
        <f t="shared" si="1"/>
        <v>4</v>
      </c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  <c r="BH53" s="6"/>
      <c r="BI53" s="6"/>
      <c r="BJ53" s="6"/>
      <c r="BK53" s="6"/>
      <c r="BL53" s="6"/>
      <c r="BM53" s="6"/>
      <c r="BN53" s="6"/>
      <c r="BO53" s="6"/>
      <c r="BP53" s="6"/>
      <c r="BQ53" s="6"/>
      <c r="BR53" s="6"/>
      <c r="BS53" s="6"/>
      <c r="BT53" s="6"/>
      <c r="BU53" s="6"/>
      <c r="BV53" s="6"/>
      <c r="BW53" s="6"/>
      <c r="BX53" s="6"/>
      <c r="BY53" s="6"/>
      <c r="BZ53" s="6"/>
      <c r="CA53" s="6"/>
      <c r="CB53" s="6"/>
      <c r="CC53" s="6"/>
      <c r="CD53" s="6"/>
      <c r="CE53" s="6"/>
      <c r="CF53" s="6"/>
      <c r="CG53" s="6"/>
      <c r="CH53" s="6"/>
      <c r="CI53" s="6"/>
      <c r="CJ53" s="6"/>
      <c r="CK53" s="6"/>
      <c r="CL53" s="6"/>
      <c r="CM53" s="6"/>
    </row>
    <row r="54" spans="1:91" s="42" customFormat="1" x14ac:dyDescent="0.25">
      <c r="A54" s="78" t="s">
        <v>89</v>
      </c>
      <c r="B54" s="79" t="s">
        <v>267</v>
      </c>
      <c r="C54" s="80">
        <v>42051</v>
      </c>
      <c r="D54" s="63"/>
      <c r="E54" s="64" t="s">
        <v>24</v>
      </c>
      <c r="F54" s="64" t="s">
        <v>28</v>
      </c>
      <c r="G54" s="56" t="s">
        <v>366</v>
      </c>
      <c r="H54" s="56" t="s">
        <v>41</v>
      </c>
      <c r="I54" s="57">
        <v>1720</v>
      </c>
      <c r="J54" s="57">
        <v>3</v>
      </c>
      <c r="K54" s="57"/>
      <c r="L54" s="57"/>
      <c r="M54" s="57"/>
      <c r="N54" s="57"/>
      <c r="O54" s="57"/>
      <c r="P54" s="57"/>
      <c r="Q54" s="57"/>
      <c r="R54" s="57"/>
      <c r="S54" s="58">
        <f t="shared" si="0"/>
        <v>1720</v>
      </c>
      <c r="T54" s="58">
        <f t="shared" si="1"/>
        <v>3</v>
      </c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  <c r="BH54" s="6"/>
      <c r="BI54" s="6"/>
      <c r="BJ54" s="6"/>
      <c r="BK54" s="6"/>
      <c r="BL54" s="6"/>
      <c r="BM54" s="6"/>
      <c r="BN54" s="6"/>
      <c r="BO54" s="6"/>
      <c r="BP54" s="6"/>
      <c r="BQ54" s="6"/>
      <c r="BR54" s="6"/>
      <c r="BS54" s="6"/>
      <c r="BT54" s="6"/>
      <c r="BU54" s="6"/>
      <c r="BV54" s="6"/>
      <c r="BW54" s="6"/>
      <c r="BX54" s="6"/>
      <c r="BY54" s="6"/>
      <c r="BZ54" s="6"/>
      <c r="CA54" s="6"/>
      <c r="CB54" s="6"/>
      <c r="CC54" s="6"/>
      <c r="CD54" s="6"/>
      <c r="CE54" s="6"/>
      <c r="CF54" s="6"/>
      <c r="CG54" s="6"/>
      <c r="CH54" s="6"/>
      <c r="CI54" s="6"/>
      <c r="CJ54" s="6"/>
      <c r="CK54" s="6"/>
      <c r="CL54" s="6"/>
      <c r="CM54" s="6"/>
    </row>
    <row r="55" spans="1:91" s="42" customFormat="1" x14ac:dyDescent="0.25">
      <c r="A55" s="78" t="s">
        <v>90</v>
      </c>
      <c r="B55" s="79" t="s">
        <v>228</v>
      </c>
      <c r="C55" s="80">
        <v>42051</v>
      </c>
      <c r="D55" s="63"/>
      <c r="E55" s="64" t="s">
        <v>25</v>
      </c>
      <c r="F55" s="64" t="s">
        <v>30</v>
      </c>
      <c r="G55" s="56" t="s">
        <v>365</v>
      </c>
      <c r="H55" s="56" t="s">
        <v>41</v>
      </c>
      <c r="I55" s="57">
        <v>2021</v>
      </c>
      <c r="J55" s="57">
        <v>16</v>
      </c>
      <c r="K55" s="57"/>
      <c r="L55" s="57"/>
      <c r="M55" s="57"/>
      <c r="N55" s="57"/>
      <c r="O55" s="57"/>
      <c r="P55" s="57"/>
      <c r="Q55" s="57"/>
      <c r="R55" s="57"/>
      <c r="S55" s="58">
        <f t="shared" si="0"/>
        <v>2021</v>
      </c>
      <c r="T55" s="58">
        <f t="shared" si="1"/>
        <v>16</v>
      </c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BV55" s="6"/>
      <c r="BW55" s="6"/>
      <c r="BX55" s="6"/>
      <c r="BY55" s="6"/>
      <c r="BZ55" s="6"/>
      <c r="CA55" s="6"/>
      <c r="CB55" s="6"/>
      <c r="CC55" s="6"/>
      <c r="CD55" s="6"/>
      <c r="CE55" s="6"/>
      <c r="CF55" s="6"/>
      <c r="CG55" s="6"/>
      <c r="CH55" s="6"/>
      <c r="CI55" s="6"/>
      <c r="CJ55" s="6"/>
      <c r="CK55" s="6"/>
      <c r="CL55" s="6"/>
      <c r="CM55" s="6"/>
    </row>
    <row r="56" spans="1:91" s="42" customFormat="1" x14ac:dyDescent="0.25">
      <c r="A56" s="78" t="s">
        <v>87</v>
      </c>
      <c r="B56" s="79" t="s">
        <v>265</v>
      </c>
      <c r="C56" s="80">
        <v>42052</v>
      </c>
      <c r="D56" s="63" t="s">
        <v>21</v>
      </c>
      <c r="E56" s="64" t="s">
        <v>24</v>
      </c>
      <c r="F56" s="64" t="s">
        <v>31</v>
      </c>
      <c r="G56" s="56" t="s">
        <v>366</v>
      </c>
      <c r="H56" s="56" t="s">
        <v>41</v>
      </c>
      <c r="I56" s="57">
        <v>1037</v>
      </c>
      <c r="J56" s="57">
        <v>2</v>
      </c>
      <c r="K56" s="57"/>
      <c r="L56" s="57"/>
      <c r="M56" s="57"/>
      <c r="N56" s="57"/>
      <c r="O56" s="57"/>
      <c r="P56" s="57"/>
      <c r="Q56" s="57"/>
      <c r="R56" s="57"/>
      <c r="S56" s="58">
        <f t="shared" si="0"/>
        <v>1037</v>
      </c>
      <c r="T56" s="58">
        <f t="shared" si="1"/>
        <v>2</v>
      </c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6"/>
      <c r="BG56" s="6"/>
      <c r="BH56" s="6"/>
      <c r="BI56" s="6"/>
      <c r="BJ56" s="6"/>
      <c r="BK56" s="6"/>
      <c r="BL56" s="6"/>
      <c r="BM56" s="6"/>
      <c r="BN56" s="6"/>
      <c r="BO56" s="6"/>
      <c r="BP56" s="6"/>
      <c r="BQ56" s="6"/>
      <c r="BR56" s="6"/>
      <c r="BS56" s="6"/>
      <c r="BT56" s="6"/>
      <c r="BU56" s="6"/>
      <c r="BV56" s="6"/>
      <c r="BW56" s="6"/>
      <c r="BX56" s="6"/>
      <c r="BY56" s="6"/>
      <c r="BZ56" s="6"/>
      <c r="CA56" s="6"/>
      <c r="CB56" s="6"/>
      <c r="CC56" s="6"/>
      <c r="CD56" s="6"/>
      <c r="CE56" s="6"/>
      <c r="CF56" s="6"/>
      <c r="CG56" s="6"/>
      <c r="CH56" s="6"/>
      <c r="CI56" s="6"/>
      <c r="CJ56" s="6"/>
      <c r="CK56" s="6"/>
      <c r="CL56" s="6"/>
      <c r="CM56" s="6"/>
    </row>
    <row r="57" spans="1:91" s="42" customFormat="1" x14ac:dyDescent="0.25">
      <c r="A57" s="78" t="s">
        <v>88</v>
      </c>
      <c r="B57" s="79" t="s">
        <v>218</v>
      </c>
      <c r="C57" s="80">
        <v>42052</v>
      </c>
      <c r="D57" s="63"/>
      <c r="E57" s="64" t="s">
        <v>24</v>
      </c>
      <c r="F57" s="83" t="s">
        <v>30</v>
      </c>
      <c r="G57" s="84" t="s">
        <v>365</v>
      </c>
      <c r="H57" s="56" t="s">
        <v>41</v>
      </c>
      <c r="I57" s="57">
        <v>1503</v>
      </c>
      <c r="J57" s="57">
        <v>6</v>
      </c>
      <c r="K57" s="57"/>
      <c r="L57" s="57"/>
      <c r="M57" s="57">
        <v>776</v>
      </c>
      <c r="N57" s="57">
        <v>0</v>
      </c>
      <c r="O57" s="57"/>
      <c r="P57" s="57"/>
      <c r="Q57" s="57"/>
      <c r="R57" s="57"/>
      <c r="S57" s="58">
        <f t="shared" si="0"/>
        <v>2279</v>
      </c>
      <c r="T57" s="58">
        <f t="shared" si="1"/>
        <v>6</v>
      </c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  <c r="BC57" s="6"/>
      <c r="BD57" s="6"/>
      <c r="BE57" s="6"/>
      <c r="BF57" s="6"/>
      <c r="BG57" s="6"/>
      <c r="BH57" s="6"/>
      <c r="BI57" s="6"/>
      <c r="BJ57" s="6"/>
      <c r="BK57" s="6"/>
      <c r="BL57" s="6"/>
      <c r="BM57" s="6"/>
      <c r="BN57" s="6"/>
      <c r="BO57" s="6"/>
      <c r="BP57" s="6"/>
      <c r="BQ57" s="6"/>
      <c r="BR57" s="6"/>
      <c r="BS57" s="6"/>
      <c r="BT57" s="6"/>
      <c r="BU57" s="6"/>
      <c r="BV57" s="6"/>
      <c r="BW57" s="6"/>
      <c r="BX57" s="6"/>
      <c r="BY57" s="6"/>
      <c r="BZ57" s="6"/>
      <c r="CA57" s="6"/>
      <c r="CB57" s="6"/>
      <c r="CC57" s="6"/>
      <c r="CD57" s="6"/>
      <c r="CE57" s="6"/>
      <c r="CF57" s="6"/>
      <c r="CG57" s="6"/>
      <c r="CH57" s="6"/>
      <c r="CI57" s="6"/>
      <c r="CJ57" s="6"/>
      <c r="CK57" s="6"/>
      <c r="CL57" s="6"/>
      <c r="CM57" s="6"/>
    </row>
    <row r="58" spans="1:91" s="42" customFormat="1" x14ac:dyDescent="0.25">
      <c r="A58" s="78" t="s">
        <v>86</v>
      </c>
      <c r="B58" s="79" t="s">
        <v>352</v>
      </c>
      <c r="C58" s="80">
        <v>42053</v>
      </c>
      <c r="D58" s="63"/>
      <c r="E58" s="64" t="s">
        <v>24</v>
      </c>
      <c r="F58" s="64" t="s">
        <v>28</v>
      </c>
      <c r="G58" s="56" t="s">
        <v>366</v>
      </c>
      <c r="H58" s="56" t="s">
        <v>41</v>
      </c>
      <c r="I58" s="57">
        <v>975</v>
      </c>
      <c r="J58" s="57">
        <v>9</v>
      </c>
      <c r="K58" s="57"/>
      <c r="L58" s="57"/>
      <c r="M58" s="57"/>
      <c r="N58" s="57"/>
      <c r="O58" s="57"/>
      <c r="P58" s="57"/>
      <c r="Q58" s="57"/>
      <c r="R58" s="57"/>
      <c r="S58" s="58">
        <f t="shared" si="0"/>
        <v>975</v>
      </c>
      <c r="T58" s="58">
        <f t="shared" si="1"/>
        <v>9</v>
      </c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  <c r="BC58" s="6"/>
      <c r="BD58" s="6"/>
      <c r="BE58" s="6"/>
      <c r="BF58" s="6"/>
      <c r="BG58" s="6"/>
      <c r="BH58" s="6"/>
      <c r="BI58" s="6"/>
      <c r="BJ58" s="6"/>
      <c r="BK58" s="6"/>
      <c r="BL58" s="6"/>
      <c r="BM58" s="6"/>
      <c r="BN58" s="6"/>
      <c r="BO58" s="6"/>
      <c r="BP58" s="6"/>
      <c r="BQ58" s="6"/>
      <c r="BR58" s="6"/>
      <c r="BS58" s="6"/>
      <c r="BT58" s="6"/>
      <c r="BU58" s="6"/>
      <c r="BV58" s="6"/>
      <c r="BW58" s="6"/>
      <c r="BX58" s="6"/>
      <c r="BY58" s="6"/>
      <c r="BZ58" s="6"/>
      <c r="CA58" s="6"/>
      <c r="CB58" s="6"/>
      <c r="CC58" s="6"/>
      <c r="CD58" s="6"/>
      <c r="CE58" s="6"/>
      <c r="CF58" s="6"/>
      <c r="CG58" s="6"/>
      <c r="CH58" s="6"/>
      <c r="CI58" s="6"/>
      <c r="CJ58" s="6"/>
      <c r="CK58" s="6"/>
      <c r="CL58" s="6"/>
      <c r="CM58" s="6"/>
    </row>
    <row r="59" spans="1:91" s="42" customFormat="1" x14ac:dyDescent="0.25">
      <c r="A59" s="78" t="s">
        <v>85</v>
      </c>
      <c r="B59" s="79" t="s">
        <v>264</v>
      </c>
      <c r="C59" s="80">
        <v>42053</v>
      </c>
      <c r="D59" s="63"/>
      <c r="E59" s="64" t="s">
        <v>24</v>
      </c>
      <c r="F59" s="64" t="s">
        <v>31</v>
      </c>
      <c r="G59" s="56" t="s">
        <v>365</v>
      </c>
      <c r="H59" s="56" t="s">
        <v>37</v>
      </c>
      <c r="I59" s="57">
        <v>2269</v>
      </c>
      <c r="J59" s="57">
        <v>14</v>
      </c>
      <c r="K59" s="57"/>
      <c r="L59" s="57"/>
      <c r="M59" s="57"/>
      <c r="N59" s="57"/>
      <c r="O59" s="57"/>
      <c r="P59" s="57"/>
      <c r="Q59" s="57"/>
      <c r="R59" s="57"/>
      <c r="S59" s="58">
        <f t="shared" si="0"/>
        <v>2269</v>
      </c>
      <c r="T59" s="58">
        <f t="shared" si="1"/>
        <v>14</v>
      </c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  <c r="BC59" s="6"/>
      <c r="BD59" s="6"/>
      <c r="BE59" s="6"/>
      <c r="BF59" s="6"/>
      <c r="BG59" s="6"/>
      <c r="BH59" s="6"/>
      <c r="BI59" s="6"/>
      <c r="BJ59" s="6"/>
      <c r="BK59" s="6"/>
      <c r="BL59" s="6"/>
      <c r="BM59" s="6"/>
      <c r="BN59" s="6"/>
      <c r="BO59" s="6"/>
      <c r="BP59" s="6"/>
      <c r="BQ59" s="6"/>
      <c r="BR59" s="6"/>
      <c r="BS59" s="6"/>
      <c r="BT59" s="6"/>
      <c r="BU59" s="6"/>
      <c r="BV59" s="6"/>
      <c r="BW59" s="6"/>
      <c r="BX59" s="6"/>
      <c r="BY59" s="6"/>
      <c r="BZ59" s="6"/>
      <c r="CA59" s="6"/>
      <c r="CB59" s="6"/>
      <c r="CC59" s="6"/>
      <c r="CD59" s="6"/>
      <c r="CE59" s="6"/>
      <c r="CF59" s="6"/>
      <c r="CG59" s="6"/>
      <c r="CH59" s="6"/>
      <c r="CI59" s="6"/>
      <c r="CJ59" s="6"/>
      <c r="CK59" s="6"/>
      <c r="CL59" s="6"/>
      <c r="CM59" s="6"/>
    </row>
    <row r="60" spans="1:91" s="44" customFormat="1" x14ac:dyDescent="0.25">
      <c r="A60" s="78" t="s">
        <v>83</v>
      </c>
      <c r="B60" s="79" t="s">
        <v>252</v>
      </c>
      <c r="C60" s="80">
        <v>42055</v>
      </c>
      <c r="D60" s="63"/>
      <c r="E60" s="64" t="s">
        <v>361</v>
      </c>
      <c r="F60" s="64" t="s">
        <v>27</v>
      </c>
      <c r="G60" s="56" t="s">
        <v>366</v>
      </c>
      <c r="H60" s="56" t="s">
        <v>41</v>
      </c>
      <c r="I60" s="57">
        <v>2311</v>
      </c>
      <c r="J60" s="57">
        <v>57</v>
      </c>
      <c r="K60" s="57"/>
      <c r="L60" s="57"/>
      <c r="M60" s="57"/>
      <c r="N60" s="57"/>
      <c r="O60" s="57"/>
      <c r="P60" s="57"/>
      <c r="Q60" s="57"/>
      <c r="R60" s="57"/>
      <c r="S60" s="58">
        <f t="shared" si="0"/>
        <v>2311</v>
      </c>
      <c r="T60" s="58">
        <f t="shared" si="1"/>
        <v>57</v>
      </c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  <c r="BC60" s="6"/>
      <c r="BD60" s="6"/>
      <c r="BE60" s="6"/>
      <c r="BF60" s="6"/>
      <c r="BG60" s="6"/>
      <c r="BH60" s="6"/>
      <c r="BI60" s="6"/>
      <c r="BJ60" s="6"/>
      <c r="BK60" s="6"/>
      <c r="BL60" s="6"/>
      <c r="BM60" s="6"/>
      <c r="BN60" s="6"/>
      <c r="BO60" s="6"/>
      <c r="BP60" s="6"/>
      <c r="BQ60" s="6"/>
      <c r="BR60" s="6"/>
      <c r="BS60" s="6"/>
      <c r="BT60" s="6"/>
      <c r="BU60" s="6"/>
      <c r="BV60" s="6"/>
      <c r="BW60" s="6"/>
      <c r="BX60" s="6"/>
      <c r="BY60" s="6"/>
      <c r="BZ60" s="6"/>
      <c r="CA60" s="6"/>
      <c r="CB60" s="6"/>
      <c r="CC60" s="6"/>
      <c r="CD60" s="6"/>
      <c r="CE60" s="6"/>
      <c r="CF60" s="6"/>
      <c r="CG60" s="6"/>
      <c r="CH60" s="6"/>
      <c r="CI60" s="6"/>
      <c r="CJ60" s="6"/>
      <c r="CK60" s="6"/>
      <c r="CL60" s="6"/>
      <c r="CM60" s="6"/>
    </row>
    <row r="61" spans="1:91" s="42" customFormat="1" x14ac:dyDescent="0.25">
      <c r="A61" s="78" t="s">
        <v>82</v>
      </c>
      <c r="B61" s="79" t="s">
        <v>263</v>
      </c>
      <c r="C61" s="80">
        <v>42055</v>
      </c>
      <c r="D61" s="63"/>
      <c r="E61" s="64" t="s">
        <v>24</v>
      </c>
      <c r="F61" s="83" t="s">
        <v>329</v>
      </c>
      <c r="G61" s="84" t="s">
        <v>366</v>
      </c>
      <c r="H61" s="56" t="s">
        <v>40</v>
      </c>
      <c r="I61" s="57">
        <v>2616</v>
      </c>
      <c r="J61" s="57">
        <v>11</v>
      </c>
      <c r="K61" s="57"/>
      <c r="L61" s="57"/>
      <c r="M61" s="57"/>
      <c r="N61" s="57"/>
      <c r="O61" s="57"/>
      <c r="P61" s="57"/>
      <c r="Q61" s="57"/>
      <c r="R61" s="57"/>
      <c r="S61" s="58">
        <f t="shared" si="0"/>
        <v>2616</v>
      </c>
      <c r="T61" s="58">
        <f t="shared" si="1"/>
        <v>11</v>
      </c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  <c r="BC61" s="6"/>
      <c r="BD61" s="6"/>
      <c r="BE61" s="6"/>
      <c r="BF61" s="6"/>
      <c r="BG61" s="6"/>
      <c r="BH61" s="6"/>
      <c r="BI61" s="6"/>
      <c r="BJ61" s="6"/>
      <c r="BK61" s="6"/>
      <c r="BL61" s="6"/>
      <c r="BM61" s="6"/>
      <c r="BN61" s="6"/>
      <c r="BO61" s="6"/>
      <c r="BP61" s="6"/>
      <c r="BQ61" s="6"/>
      <c r="BR61" s="6"/>
      <c r="BS61" s="6"/>
      <c r="BT61" s="6"/>
      <c r="BU61" s="6"/>
      <c r="BV61" s="6"/>
      <c r="BW61" s="6"/>
      <c r="BX61" s="6"/>
      <c r="BY61" s="6"/>
      <c r="BZ61" s="6"/>
      <c r="CA61" s="6"/>
      <c r="CB61" s="6"/>
      <c r="CC61" s="6"/>
      <c r="CD61" s="6"/>
      <c r="CE61" s="6"/>
      <c r="CF61" s="6"/>
      <c r="CG61" s="6"/>
      <c r="CH61" s="6"/>
      <c r="CI61" s="6"/>
      <c r="CJ61" s="6"/>
      <c r="CK61" s="6"/>
      <c r="CL61" s="6"/>
      <c r="CM61" s="6"/>
    </row>
    <row r="62" spans="1:91" s="42" customFormat="1" x14ac:dyDescent="0.25">
      <c r="A62" s="78" t="s">
        <v>81</v>
      </c>
      <c r="B62" s="79" t="s">
        <v>262</v>
      </c>
      <c r="C62" s="80">
        <v>42056</v>
      </c>
      <c r="D62" s="63" t="s">
        <v>19</v>
      </c>
      <c r="E62" s="64" t="s">
        <v>25</v>
      </c>
      <c r="F62" s="64" t="s">
        <v>31</v>
      </c>
      <c r="G62" s="56" t="s">
        <v>365</v>
      </c>
      <c r="H62" s="56" t="s">
        <v>41</v>
      </c>
      <c r="I62" s="57">
        <v>1400</v>
      </c>
      <c r="J62" s="57">
        <v>11</v>
      </c>
      <c r="K62" s="57"/>
      <c r="L62" s="57"/>
      <c r="M62" s="57"/>
      <c r="N62" s="57"/>
      <c r="O62" s="57"/>
      <c r="P62" s="57"/>
      <c r="Q62" s="57"/>
      <c r="R62" s="57"/>
      <c r="S62" s="58">
        <f t="shared" si="0"/>
        <v>1400</v>
      </c>
      <c r="T62" s="58">
        <f t="shared" si="1"/>
        <v>11</v>
      </c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  <c r="BC62" s="6"/>
      <c r="BD62" s="6"/>
      <c r="BE62" s="6"/>
      <c r="BF62" s="6"/>
      <c r="BG62" s="6"/>
      <c r="BH62" s="6"/>
      <c r="BI62" s="6"/>
      <c r="BJ62" s="6"/>
      <c r="BK62" s="6"/>
      <c r="BL62" s="6"/>
      <c r="BM62" s="6"/>
      <c r="BN62" s="6"/>
      <c r="BO62" s="6"/>
      <c r="BP62" s="6"/>
      <c r="BQ62" s="6"/>
      <c r="BR62" s="6"/>
      <c r="BS62" s="6"/>
      <c r="BT62" s="6"/>
      <c r="BU62" s="6"/>
      <c r="BV62" s="6"/>
      <c r="BW62" s="6"/>
      <c r="BX62" s="6"/>
      <c r="BY62" s="6"/>
      <c r="BZ62" s="6"/>
      <c r="CA62" s="6"/>
      <c r="CB62" s="6"/>
      <c r="CC62" s="6"/>
      <c r="CD62" s="6"/>
      <c r="CE62" s="6"/>
      <c r="CF62" s="6"/>
      <c r="CG62" s="6"/>
      <c r="CH62" s="6"/>
      <c r="CI62" s="6"/>
      <c r="CJ62" s="6"/>
      <c r="CK62" s="6"/>
      <c r="CL62" s="6"/>
      <c r="CM62" s="6"/>
    </row>
    <row r="63" spans="1:91" s="44" customFormat="1" x14ac:dyDescent="0.25">
      <c r="A63" s="78" t="s">
        <v>80</v>
      </c>
      <c r="B63" s="79" t="s">
        <v>228</v>
      </c>
      <c r="C63" s="80">
        <v>42058</v>
      </c>
      <c r="D63" s="63"/>
      <c r="E63" s="64" t="s">
        <v>24</v>
      </c>
      <c r="F63" s="64" t="s">
        <v>29</v>
      </c>
      <c r="G63" s="56" t="s">
        <v>366</v>
      </c>
      <c r="H63" s="56" t="s">
        <v>41</v>
      </c>
      <c r="I63" s="57">
        <v>718</v>
      </c>
      <c r="J63" s="57">
        <v>1</v>
      </c>
      <c r="K63" s="57"/>
      <c r="L63" s="57"/>
      <c r="M63" s="57"/>
      <c r="N63" s="57"/>
      <c r="O63" s="57"/>
      <c r="P63" s="57"/>
      <c r="Q63" s="57"/>
      <c r="R63" s="57"/>
      <c r="S63" s="58">
        <f t="shared" si="0"/>
        <v>718</v>
      </c>
      <c r="T63" s="58">
        <f t="shared" si="1"/>
        <v>1</v>
      </c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  <c r="BC63" s="6"/>
      <c r="BD63" s="6"/>
      <c r="BE63" s="6"/>
      <c r="BF63" s="6"/>
      <c r="BG63" s="6"/>
      <c r="BH63" s="6"/>
      <c r="BI63" s="6"/>
      <c r="BJ63" s="6"/>
      <c r="BK63" s="6"/>
      <c r="BL63" s="6"/>
      <c r="BM63" s="6"/>
      <c r="BN63" s="6"/>
      <c r="BO63" s="6"/>
      <c r="BP63" s="6"/>
      <c r="BQ63" s="6"/>
      <c r="BR63" s="6"/>
      <c r="BS63" s="6"/>
      <c r="BT63" s="6"/>
      <c r="BU63" s="6"/>
      <c r="BV63" s="6"/>
      <c r="BW63" s="6"/>
      <c r="BX63" s="6"/>
      <c r="BY63" s="6"/>
      <c r="BZ63" s="6"/>
      <c r="CA63" s="6"/>
      <c r="CB63" s="6"/>
      <c r="CC63" s="6"/>
      <c r="CD63" s="6"/>
      <c r="CE63" s="6"/>
      <c r="CF63" s="6"/>
      <c r="CG63" s="6"/>
      <c r="CH63" s="6"/>
      <c r="CI63" s="6"/>
      <c r="CJ63" s="6"/>
      <c r="CK63" s="6"/>
      <c r="CL63" s="6"/>
      <c r="CM63" s="6"/>
    </row>
    <row r="64" spans="1:91" s="42" customFormat="1" x14ac:dyDescent="0.25">
      <c r="A64" s="78" t="s">
        <v>79</v>
      </c>
      <c r="B64" s="79" t="s">
        <v>237</v>
      </c>
      <c r="C64" s="80">
        <v>42059</v>
      </c>
      <c r="D64" s="63"/>
      <c r="E64" s="64" t="s">
        <v>24</v>
      </c>
      <c r="F64" s="64" t="s">
        <v>361</v>
      </c>
      <c r="G64" s="56" t="s">
        <v>366</v>
      </c>
      <c r="H64" s="56" t="s">
        <v>40</v>
      </c>
      <c r="I64" s="90">
        <v>1999</v>
      </c>
      <c r="J64" s="57">
        <v>8</v>
      </c>
      <c r="K64" s="57"/>
      <c r="L64" s="57"/>
      <c r="M64" s="57"/>
      <c r="N64" s="57"/>
      <c r="O64" s="57"/>
      <c r="P64" s="57"/>
      <c r="Q64" s="57"/>
      <c r="R64" s="57"/>
      <c r="S64" s="58">
        <f t="shared" si="0"/>
        <v>1999</v>
      </c>
      <c r="T64" s="58">
        <f t="shared" si="1"/>
        <v>8</v>
      </c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BW64" s="6"/>
      <c r="BX64" s="6"/>
      <c r="BY64" s="6"/>
      <c r="BZ64" s="6"/>
      <c r="CA64" s="6"/>
      <c r="CB64" s="6"/>
      <c r="CC64" s="6"/>
      <c r="CD64" s="6"/>
      <c r="CE64" s="6"/>
      <c r="CF64" s="6"/>
      <c r="CG64" s="6"/>
      <c r="CH64" s="6"/>
      <c r="CI64" s="6"/>
      <c r="CJ64" s="6"/>
      <c r="CK64" s="6"/>
      <c r="CL64" s="6"/>
      <c r="CM64" s="6"/>
    </row>
    <row r="65" spans="1:91" s="42" customFormat="1" x14ac:dyDescent="0.25">
      <c r="A65" s="78" t="s">
        <v>78</v>
      </c>
      <c r="B65" s="79" t="s">
        <v>218</v>
      </c>
      <c r="C65" s="80">
        <v>42060</v>
      </c>
      <c r="D65" s="63" t="s">
        <v>21</v>
      </c>
      <c r="E65" s="64" t="s">
        <v>24</v>
      </c>
      <c r="F65" s="83" t="s">
        <v>31</v>
      </c>
      <c r="G65" s="84" t="s">
        <v>366</v>
      </c>
      <c r="H65" s="56" t="s">
        <v>41</v>
      </c>
      <c r="I65" s="57">
        <v>1004</v>
      </c>
      <c r="J65" s="57">
        <v>5</v>
      </c>
      <c r="K65" s="57"/>
      <c r="L65" s="57"/>
      <c r="M65" s="57">
        <v>196</v>
      </c>
      <c r="N65" s="57">
        <v>0</v>
      </c>
      <c r="O65" s="57">
        <v>393</v>
      </c>
      <c r="P65" s="57">
        <v>0</v>
      </c>
      <c r="Q65" s="57"/>
      <c r="R65" s="57"/>
      <c r="S65" s="58">
        <f t="shared" si="0"/>
        <v>1593</v>
      </c>
      <c r="T65" s="58">
        <f t="shared" si="1"/>
        <v>5</v>
      </c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BW65" s="6"/>
      <c r="BX65" s="6"/>
      <c r="BY65" s="6"/>
      <c r="BZ65" s="6"/>
      <c r="CA65" s="6"/>
      <c r="CB65" s="6"/>
      <c r="CC65" s="6"/>
      <c r="CD65" s="6"/>
      <c r="CE65" s="6"/>
      <c r="CF65" s="6"/>
      <c r="CG65" s="6"/>
      <c r="CH65" s="6"/>
      <c r="CI65" s="6"/>
      <c r="CJ65" s="6"/>
      <c r="CK65" s="6"/>
      <c r="CL65" s="6"/>
      <c r="CM65" s="6"/>
    </row>
    <row r="66" spans="1:91" s="42" customFormat="1" x14ac:dyDescent="0.25">
      <c r="A66" s="78" t="s">
        <v>77</v>
      </c>
      <c r="B66" s="79" t="s">
        <v>229</v>
      </c>
      <c r="C66" s="80">
        <v>42060</v>
      </c>
      <c r="D66" s="63" t="s">
        <v>21</v>
      </c>
      <c r="E66" s="64" t="s">
        <v>23</v>
      </c>
      <c r="F66" s="64" t="s">
        <v>30</v>
      </c>
      <c r="G66" s="56" t="s">
        <v>366</v>
      </c>
      <c r="H66" s="56" t="s">
        <v>41</v>
      </c>
      <c r="I66" s="57">
        <v>792</v>
      </c>
      <c r="J66" s="57">
        <v>4</v>
      </c>
      <c r="K66" s="57"/>
      <c r="L66" s="57"/>
      <c r="M66" s="57">
        <v>195</v>
      </c>
      <c r="N66" s="57">
        <v>0</v>
      </c>
      <c r="O66" s="57">
        <v>492</v>
      </c>
      <c r="P66" s="57">
        <v>0</v>
      </c>
      <c r="Q66" s="57"/>
      <c r="R66" s="57"/>
      <c r="S66" s="58">
        <f t="shared" si="0"/>
        <v>1479</v>
      </c>
      <c r="T66" s="58">
        <f t="shared" si="1"/>
        <v>4</v>
      </c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BW66" s="6"/>
      <c r="BX66" s="6"/>
      <c r="BY66" s="6"/>
      <c r="BZ66" s="6"/>
      <c r="CA66" s="6"/>
      <c r="CB66" s="6"/>
      <c r="CC66" s="6"/>
      <c r="CD66" s="6"/>
      <c r="CE66" s="6"/>
      <c r="CF66" s="6"/>
      <c r="CG66" s="6"/>
      <c r="CH66" s="6"/>
      <c r="CI66" s="6"/>
      <c r="CJ66" s="6"/>
      <c r="CK66" s="6"/>
      <c r="CL66" s="6"/>
      <c r="CM66" s="6"/>
    </row>
    <row r="67" spans="1:91" s="42" customFormat="1" x14ac:dyDescent="0.25">
      <c r="A67" s="78" t="s">
        <v>76</v>
      </c>
      <c r="B67" s="79" t="s">
        <v>217</v>
      </c>
      <c r="C67" s="80">
        <v>42061</v>
      </c>
      <c r="D67" s="63" t="s">
        <v>21</v>
      </c>
      <c r="E67" s="64" t="s">
        <v>361</v>
      </c>
      <c r="F67" s="64" t="s">
        <v>27</v>
      </c>
      <c r="G67" s="56" t="s">
        <v>366</v>
      </c>
      <c r="H67" s="56" t="s">
        <v>41</v>
      </c>
      <c r="I67" s="57">
        <v>3171</v>
      </c>
      <c r="J67" s="57">
        <v>8</v>
      </c>
      <c r="K67" s="57"/>
      <c r="L67" s="57"/>
      <c r="M67" s="57"/>
      <c r="N67" s="57"/>
      <c r="O67" s="57"/>
      <c r="P67" s="57"/>
      <c r="Q67" s="57"/>
      <c r="R67" s="57"/>
      <c r="S67" s="58">
        <f t="shared" si="0"/>
        <v>3171</v>
      </c>
      <c r="T67" s="58">
        <f t="shared" si="1"/>
        <v>8</v>
      </c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BW67" s="6"/>
      <c r="BX67" s="6"/>
      <c r="BY67" s="6"/>
      <c r="BZ67" s="6"/>
      <c r="CA67" s="6"/>
      <c r="CB67" s="6"/>
      <c r="CC67" s="6"/>
      <c r="CD67" s="6"/>
      <c r="CE67" s="6"/>
      <c r="CF67" s="6"/>
      <c r="CG67" s="6"/>
      <c r="CH67" s="6"/>
      <c r="CI67" s="6"/>
      <c r="CJ67" s="6"/>
      <c r="CK67" s="6"/>
      <c r="CL67" s="6"/>
      <c r="CM67" s="6"/>
    </row>
    <row r="68" spans="1:91" s="42" customFormat="1" x14ac:dyDescent="0.25">
      <c r="A68" s="78" t="s">
        <v>104</v>
      </c>
      <c r="B68" s="79" t="s">
        <v>223</v>
      </c>
      <c r="C68" s="80">
        <v>42062</v>
      </c>
      <c r="D68" s="63" t="s">
        <v>19</v>
      </c>
      <c r="E68" s="64" t="s">
        <v>361</v>
      </c>
      <c r="F68" s="64" t="s">
        <v>27</v>
      </c>
      <c r="G68" s="56" t="s">
        <v>366</v>
      </c>
      <c r="H68" s="56" t="s">
        <v>41</v>
      </c>
      <c r="I68" s="57">
        <v>2236</v>
      </c>
      <c r="J68" s="57">
        <v>43</v>
      </c>
      <c r="K68" s="57"/>
      <c r="L68" s="57"/>
      <c r="M68" s="57"/>
      <c r="N68" s="57"/>
      <c r="O68" s="57"/>
      <c r="P68" s="57"/>
      <c r="Q68" s="57"/>
      <c r="R68" s="57"/>
      <c r="S68" s="58">
        <f t="shared" si="0"/>
        <v>2236</v>
      </c>
      <c r="T68" s="58">
        <f t="shared" si="1"/>
        <v>43</v>
      </c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BW68" s="6"/>
      <c r="BX68" s="6"/>
      <c r="BY68" s="6"/>
      <c r="BZ68" s="6"/>
      <c r="CA68" s="6"/>
      <c r="CB68" s="6"/>
      <c r="CC68" s="6"/>
      <c r="CD68" s="6"/>
      <c r="CE68" s="6"/>
      <c r="CF68" s="6"/>
      <c r="CG68" s="6"/>
      <c r="CH68" s="6"/>
      <c r="CI68" s="6"/>
      <c r="CJ68" s="6"/>
      <c r="CK68" s="6"/>
      <c r="CL68" s="6"/>
      <c r="CM68" s="6"/>
    </row>
    <row r="69" spans="1:91" s="42" customFormat="1" x14ac:dyDescent="0.25">
      <c r="A69" s="78" t="s">
        <v>103</v>
      </c>
      <c r="B69" s="79" t="s">
        <v>215</v>
      </c>
      <c r="C69" s="80">
        <v>42062</v>
      </c>
      <c r="D69" s="63"/>
      <c r="E69" s="64" t="s">
        <v>361</v>
      </c>
      <c r="F69" s="64" t="s">
        <v>27</v>
      </c>
      <c r="G69" s="56" t="s">
        <v>366</v>
      </c>
      <c r="H69" s="56" t="s">
        <v>41</v>
      </c>
      <c r="I69" s="57">
        <v>2277</v>
      </c>
      <c r="J69" s="57">
        <v>14</v>
      </c>
      <c r="K69" s="57"/>
      <c r="L69" s="57"/>
      <c r="M69" s="57"/>
      <c r="N69" s="57"/>
      <c r="O69" s="57"/>
      <c r="P69" s="57"/>
      <c r="Q69" s="57"/>
      <c r="R69" s="57"/>
      <c r="S69" s="58">
        <f t="shared" si="0"/>
        <v>2277</v>
      </c>
      <c r="T69" s="58">
        <f t="shared" si="1"/>
        <v>14</v>
      </c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BW69" s="6"/>
      <c r="BX69" s="6"/>
      <c r="BY69" s="6"/>
      <c r="BZ69" s="6"/>
      <c r="CA69" s="6"/>
      <c r="CB69" s="6"/>
      <c r="CC69" s="6"/>
      <c r="CD69" s="6"/>
      <c r="CE69" s="6"/>
      <c r="CF69" s="6"/>
      <c r="CG69" s="6"/>
      <c r="CH69" s="6"/>
      <c r="CI69" s="6"/>
      <c r="CJ69" s="6"/>
      <c r="CK69" s="6"/>
      <c r="CL69" s="6"/>
      <c r="CM69" s="6"/>
    </row>
    <row r="70" spans="1:91" s="42" customFormat="1" x14ac:dyDescent="0.25">
      <c r="A70" s="78" t="s">
        <v>111</v>
      </c>
      <c r="B70" s="79" t="s">
        <v>353</v>
      </c>
      <c r="C70" s="80">
        <v>42065</v>
      </c>
      <c r="D70" s="63"/>
      <c r="E70" s="64" t="s">
        <v>24</v>
      </c>
      <c r="F70" s="64" t="s">
        <v>329</v>
      </c>
      <c r="G70" s="56" t="s">
        <v>366</v>
      </c>
      <c r="H70" s="56" t="s">
        <v>41</v>
      </c>
      <c r="I70" s="57">
        <v>2891</v>
      </c>
      <c r="J70" s="57">
        <v>18</v>
      </c>
      <c r="K70" s="57"/>
      <c r="L70" s="57"/>
      <c r="M70" s="57"/>
      <c r="N70" s="57"/>
      <c r="O70" s="57"/>
      <c r="P70" s="57"/>
      <c r="Q70" s="57"/>
      <c r="R70" s="57"/>
      <c r="S70" s="58">
        <f t="shared" si="0"/>
        <v>2891</v>
      </c>
      <c r="T70" s="58">
        <f t="shared" si="1"/>
        <v>18</v>
      </c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BW70" s="6"/>
      <c r="BX70" s="6"/>
      <c r="BY70" s="6"/>
      <c r="BZ70" s="6"/>
      <c r="CA70" s="6"/>
      <c r="CB70" s="6"/>
      <c r="CC70" s="6"/>
      <c r="CD70" s="6"/>
      <c r="CE70" s="6"/>
      <c r="CF70" s="6"/>
      <c r="CG70" s="6"/>
      <c r="CH70" s="6"/>
      <c r="CI70" s="6"/>
      <c r="CJ70" s="6"/>
      <c r="CK70" s="6"/>
      <c r="CL70" s="6"/>
      <c r="CM70" s="6"/>
    </row>
    <row r="71" spans="1:91" s="42" customFormat="1" x14ac:dyDescent="0.25">
      <c r="A71" s="78" t="s">
        <v>110</v>
      </c>
      <c r="B71" s="79" t="s">
        <v>238</v>
      </c>
      <c r="C71" s="80">
        <v>42065</v>
      </c>
      <c r="D71" s="63"/>
      <c r="E71" s="64" t="s">
        <v>361</v>
      </c>
      <c r="F71" s="64" t="s">
        <v>30</v>
      </c>
      <c r="G71" s="56" t="s">
        <v>366</v>
      </c>
      <c r="H71" s="56" t="s">
        <v>40</v>
      </c>
      <c r="I71" s="57">
        <v>813</v>
      </c>
      <c r="J71" s="57">
        <v>5</v>
      </c>
      <c r="K71" s="57"/>
      <c r="L71" s="57"/>
      <c r="M71" s="57"/>
      <c r="N71" s="57"/>
      <c r="O71" s="57"/>
      <c r="P71" s="57"/>
      <c r="Q71" s="57"/>
      <c r="R71" s="57"/>
      <c r="S71" s="58">
        <f t="shared" si="0"/>
        <v>813</v>
      </c>
      <c r="T71" s="58">
        <f t="shared" si="1"/>
        <v>5</v>
      </c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BW71" s="6"/>
      <c r="BX71" s="6"/>
      <c r="BY71" s="6"/>
      <c r="BZ71" s="6"/>
      <c r="CA71" s="6"/>
      <c r="CB71" s="6"/>
      <c r="CC71" s="6"/>
      <c r="CD71" s="6"/>
      <c r="CE71" s="6"/>
      <c r="CF71" s="6"/>
      <c r="CG71" s="6"/>
      <c r="CH71" s="6"/>
      <c r="CI71" s="6"/>
      <c r="CJ71" s="6"/>
      <c r="CK71" s="6"/>
      <c r="CL71" s="6"/>
      <c r="CM71" s="6"/>
    </row>
    <row r="72" spans="1:91" s="42" customFormat="1" x14ac:dyDescent="0.25">
      <c r="A72" s="78" t="s">
        <v>109</v>
      </c>
      <c r="B72" s="79" t="s">
        <v>229</v>
      </c>
      <c r="C72" s="80">
        <v>42065</v>
      </c>
      <c r="D72" s="63" t="s">
        <v>19</v>
      </c>
      <c r="E72" s="64" t="s">
        <v>24</v>
      </c>
      <c r="F72" s="64" t="s">
        <v>30</v>
      </c>
      <c r="G72" s="56" t="s">
        <v>366</v>
      </c>
      <c r="H72" s="56" t="s">
        <v>40</v>
      </c>
      <c r="I72" s="57">
        <v>273</v>
      </c>
      <c r="J72" s="57">
        <v>0</v>
      </c>
      <c r="K72" s="57">
        <v>5602</v>
      </c>
      <c r="L72" s="57">
        <v>0</v>
      </c>
      <c r="M72" s="57">
        <v>75</v>
      </c>
      <c r="N72" s="57">
        <v>0</v>
      </c>
      <c r="O72" s="57">
        <v>355</v>
      </c>
      <c r="P72" s="57">
        <v>0</v>
      </c>
      <c r="Q72" s="57"/>
      <c r="R72" s="57"/>
      <c r="S72" s="58">
        <f t="shared" ref="S72:S135" si="2">SUM(I72,K72,M72,O72)</f>
        <v>6305</v>
      </c>
      <c r="T72" s="58">
        <f t="shared" ref="T72:T135" si="3">SUM(J72,L72,N72,P72)</f>
        <v>0</v>
      </c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  <c r="BC72" s="6"/>
      <c r="BD72" s="6"/>
      <c r="BE72" s="6"/>
      <c r="BF72" s="6"/>
      <c r="BG72" s="6"/>
      <c r="BH72" s="6"/>
      <c r="BI72" s="6"/>
      <c r="BJ72" s="6"/>
      <c r="BK72" s="6"/>
      <c r="BL72" s="6"/>
      <c r="BM72" s="6"/>
      <c r="BN72" s="6"/>
      <c r="BO72" s="6"/>
      <c r="BP72" s="6"/>
      <c r="BQ72" s="6"/>
      <c r="BR72" s="6"/>
      <c r="BS72" s="6"/>
      <c r="BT72" s="6"/>
      <c r="BU72" s="6"/>
      <c r="BV72" s="6"/>
      <c r="BW72" s="6"/>
      <c r="BX72" s="6"/>
      <c r="BY72" s="6"/>
      <c r="BZ72" s="6"/>
      <c r="CA72" s="6"/>
      <c r="CB72" s="6"/>
      <c r="CC72" s="6"/>
      <c r="CD72" s="6"/>
      <c r="CE72" s="6"/>
      <c r="CF72" s="6"/>
      <c r="CG72" s="6"/>
      <c r="CH72" s="6"/>
      <c r="CI72" s="6"/>
      <c r="CJ72" s="6"/>
      <c r="CK72" s="6"/>
      <c r="CL72" s="6"/>
      <c r="CM72" s="6"/>
    </row>
    <row r="73" spans="1:91" s="42" customFormat="1" x14ac:dyDescent="0.25">
      <c r="A73" s="78" t="s">
        <v>112</v>
      </c>
      <c r="B73" s="79" t="s">
        <v>261</v>
      </c>
      <c r="C73" s="80">
        <v>42065</v>
      </c>
      <c r="D73" s="63"/>
      <c r="E73" s="64" t="s">
        <v>24</v>
      </c>
      <c r="F73" s="64" t="s">
        <v>29</v>
      </c>
      <c r="G73" s="56" t="s">
        <v>366</v>
      </c>
      <c r="H73" s="56" t="s">
        <v>39</v>
      </c>
      <c r="I73" s="57">
        <v>661</v>
      </c>
      <c r="J73" s="57">
        <v>0</v>
      </c>
      <c r="K73" s="57"/>
      <c r="L73" s="57"/>
      <c r="M73" s="57"/>
      <c r="N73" s="57"/>
      <c r="O73" s="57"/>
      <c r="P73" s="57"/>
      <c r="Q73" s="57"/>
      <c r="R73" s="57"/>
      <c r="S73" s="58">
        <f t="shared" si="2"/>
        <v>661</v>
      </c>
      <c r="T73" s="58">
        <f t="shared" si="3"/>
        <v>0</v>
      </c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  <c r="BC73" s="6"/>
      <c r="BD73" s="6"/>
      <c r="BE73" s="6"/>
      <c r="BF73" s="6"/>
      <c r="BG73" s="6"/>
      <c r="BH73" s="6"/>
      <c r="BI73" s="6"/>
      <c r="BJ73" s="6"/>
      <c r="BK73" s="6"/>
      <c r="BL73" s="6"/>
      <c r="BM73" s="6"/>
      <c r="BN73" s="6"/>
      <c r="BO73" s="6"/>
      <c r="BP73" s="6"/>
      <c r="BQ73" s="6"/>
      <c r="BR73" s="6"/>
      <c r="BS73" s="6"/>
      <c r="BT73" s="6"/>
      <c r="BU73" s="6"/>
      <c r="BV73" s="6"/>
      <c r="BW73" s="6"/>
      <c r="BX73" s="6"/>
      <c r="BY73" s="6"/>
      <c r="BZ73" s="6"/>
      <c r="CA73" s="6"/>
      <c r="CB73" s="6"/>
      <c r="CC73" s="6"/>
      <c r="CD73" s="6"/>
      <c r="CE73" s="6"/>
      <c r="CF73" s="6"/>
      <c r="CG73" s="6"/>
      <c r="CH73" s="6"/>
      <c r="CI73" s="6"/>
      <c r="CJ73" s="6"/>
      <c r="CK73" s="6"/>
      <c r="CL73" s="6"/>
      <c r="CM73" s="6"/>
    </row>
    <row r="74" spans="1:91" s="42" customFormat="1" x14ac:dyDescent="0.25">
      <c r="A74" s="78" t="s">
        <v>108</v>
      </c>
      <c r="B74" s="79" t="s">
        <v>238</v>
      </c>
      <c r="C74" s="80">
        <v>42066</v>
      </c>
      <c r="D74" s="63"/>
      <c r="E74" s="64" t="s">
        <v>24</v>
      </c>
      <c r="F74" s="64" t="s">
        <v>30</v>
      </c>
      <c r="G74" s="56" t="s">
        <v>366</v>
      </c>
      <c r="H74" s="56" t="s">
        <v>40</v>
      </c>
      <c r="I74" s="57">
        <v>819</v>
      </c>
      <c r="J74" s="57">
        <v>0</v>
      </c>
      <c r="K74" s="57"/>
      <c r="L74" s="57"/>
      <c r="M74" s="57"/>
      <c r="N74" s="57"/>
      <c r="O74" s="57"/>
      <c r="P74" s="57"/>
      <c r="Q74" s="57"/>
      <c r="R74" s="57"/>
      <c r="S74" s="58">
        <f t="shared" si="2"/>
        <v>819</v>
      </c>
      <c r="T74" s="58">
        <f t="shared" si="3"/>
        <v>0</v>
      </c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  <c r="BC74" s="6"/>
      <c r="BD74" s="6"/>
      <c r="BE74" s="6"/>
      <c r="BF74" s="6"/>
      <c r="BG74" s="6"/>
      <c r="BH74" s="6"/>
      <c r="BI74" s="6"/>
      <c r="BJ74" s="6"/>
      <c r="BK74" s="6"/>
      <c r="BL74" s="6"/>
      <c r="BM74" s="6"/>
      <c r="BN74" s="6"/>
      <c r="BO74" s="6"/>
      <c r="BP74" s="6"/>
      <c r="BQ74" s="6"/>
      <c r="BR74" s="6"/>
      <c r="BS74" s="6"/>
      <c r="BT74" s="6"/>
      <c r="BU74" s="6"/>
      <c r="BV74" s="6"/>
      <c r="BW74" s="6"/>
      <c r="BX74" s="6"/>
      <c r="BY74" s="6"/>
      <c r="BZ74" s="6"/>
      <c r="CA74" s="6"/>
      <c r="CB74" s="6"/>
      <c r="CC74" s="6"/>
      <c r="CD74" s="6"/>
      <c r="CE74" s="6"/>
      <c r="CF74" s="6"/>
      <c r="CG74" s="6"/>
      <c r="CH74" s="6"/>
      <c r="CI74" s="6"/>
      <c r="CJ74" s="6"/>
      <c r="CK74" s="6"/>
      <c r="CL74" s="6"/>
      <c r="CM74" s="6"/>
    </row>
    <row r="75" spans="1:91" s="42" customFormat="1" x14ac:dyDescent="0.25">
      <c r="A75" s="78" t="s">
        <v>107</v>
      </c>
      <c r="B75" s="79" t="s">
        <v>215</v>
      </c>
      <c r="C75" s="80">
        <v>42067</v>
      </c>
      <c r="D75" s="63"/>
      <c r="E75" s="64" t="s">
        <v>361</v>
      </c>
      <c r="F75" s="64" t="s">
        <v>27</v>
      </c>
      <c r="G75" s="56" t="s">
        <v>366</v>
      </c>
      <c r="H75" s="56" t="s">
        <v>41</v>
      </c>
      <c r="I75" s="57">
        <v>2283</v>
      </c>
      <c r="J75" s="57">
        <v>16</v>
      </c>
      <c r="K75" s="57"/>
      <c r="L75" s="57"/>
      <c r="M75" s="57"/>
      <c r="N75" s="57"/>
      <c r="O75" s="57"/>
      <c r="P75" s="57"/>
      <c r="Q75" s="57"/>
      <c r="R75" s="57"/>
      <c r="S75" s="58">
        <f t="shared" si="2"/>
        <v>2283</v>
      </c>
      <c r="T75" s="58">
        <f t="shared" si="3"/>
        <v>16</v>
      </c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  <c r="BC75" s="6"/>
      <c r="BD75" s="6"/>
      <c r="BE75" s="6"/>
      <c r="BF75" s="6"/>
      <c r="BG75" s="6"/>
      <c r="BH75" s="6"/>
      <c r="BI75" s="6"/>
      <c r="BJ75" s="6"/>
      <c r="BK75" s="6"/>
      <c r="BL75" s="6"/>
      <c r="BM75" s="6"/>
      <c r="BN75" s="6"/>
      <c r="BO75" s="6"/>
      <c r="BP75" s="6"/>
      <c r="BQ75" s="6"/>
      <c r="BR75" s="6"/>
      <c r="BS75" s="6"/>
      <c r="BT75" s="6"/>
      <c r="BU75" s="6"/>
      <c r="BV75" s="6"/>
      <c r="BW75" s="6"/>
      <c r="BX75" s="6"/>
      <c r="BY75" s="6"/>
      <c r="BZ75" s="6"/>
      <c r="CA75" s="6"/>
      <c r="CB75" s="6"/>
      <c r="CC75" s="6"/>
      <c r="CD75" s="6"/>
      <c r="CE75" s="6"/>
      <c r="CF75" s="6"/>
      <c r="CG75" s="6"/>
      <c r="CH75" s="6"/>
      <c r="CI75" s="6"/>
      <c r="CJ75" s="6"/>
      <c r="CK75" s="6"/>
      <c r="CL75" s="6"/>
      <c r="CM75" s="6"/>
    </row>
    <row r="76" spans="1:91" s="42" customFormat="1" x14ac:dyDescent="0.25">
      <c r="A76" s="78" t="s">
        <v>105</v>
      </c>
      <c r="B76" s="79" t="s">
        <v>260</v>
      </c>
      <c r="C76" s="80">
        <v>42067</v>
      </c>
      <c r="D76" s="63" t="s">
        <v>19</v>
      </c>
      <c r="E76" s="64" t="s">
        <v>22</v>
      </c>
      <c r="F76" s="64" t="s">
        <v>329</v>
      </c>
      <c r="G76" s="56" t="s">
        <v>366</v>
      </c>
      <c r="H76" s="56" t="s">
        <v>41</v>
      </c>
      <c r="I76" s="57">
        <v>2554</v>
      </c>
      <c r="J76" s="57">
        <v>7</v>
      </c>
      <c r="K76" s="57"/>
      <c r="L76" s="57"/>
      <c r="M76" s="57"/>
      <c r="N76" s="57"/>
      <c r="O76" s="57"/>
      <c r="P76" s="57"/>
      <c r="Q76" s="57"/>
      <c r="R76" s="57"/>
      <c r="S76" s="58">
        <f t="shared" si="2"/>
        <v>2554</v>
      </c>
      <c r="T76" s="58">
        <f t="shared" si="3"/>
        <v>7</v>
      </c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  <c r="BC76" s="6"/>
      <c r="BD76" s="6"/>
      <c r="BE76" s="6"/>
      <c r="BF76" s="6"/>
      <c r="BG76" s="6"/>
      <c r="BH76" s="6"/>
      <c r="BI76" s="6"/>
      <c r="BJ76" s="6"/>
      <c r="BK76" s="6"/>
      <c r="BL76" s="6"/>
      <c r="BM76" s="6"/>
      <c r="BN76" s="6"/>
      <c r="BO76" s="6"/>
      <c r="BP76" s="6"/>
      <c r="BQ76" s="6"/>
      <c r="BR76" s="6"/>
      <c r="BS76" s="6"/>
      <c r="BT76" s="6"/>
      <c r="BU76" s="6"/>
      <c r="BV76" s="6"/>
      <c r="BW76" s="6"/>
      <c r="BX76" s="6"/>
      <c r="BY76" s="6"/>
      <c r="BZ76" s="6"/>
      <c r="CA76" s="6"/>
      <c r="CB76" s="6"/>
      <c r="CC76" s="6"/>
      <c r="CD76" s="6"/>
      <c r="CE76" s="6"/>
      <c r="CF76" s="6"/>
      <c r="CG76" s="6"/>
      <c r="CH76" s="6"/>
      <c r="CI76" s="6"/>
      <c r="CJ76" s="6"/>
      <c r="CK76" s="6"/>
      <c r="CL76" s="6"/>
      <c r="CM76" s="6"/>
    </row>
    <row r="77" spans="1:91" s="42" customFormat="1" x14ac:dyDescent="0.25">
      <c r="A77" s="78" t="s">
        <v>106</v>
      </c>
      <c r="B77" s="79" t="s">
        <v>218</v>
      </c>
      <c r="C77" s="80">
        <v>42067</v>
      </c>
      <c r="D77" s="63"/>
      <c r="E77" s="64" t="s">
        <v>24</v>
      </c>
      <c r="F77" s="83" t="s">
        <v>30</v>
      </c>
      <c r="G77" s="84" t="s">
        <v>365</v>
      </c>
      <c r="H77" s="56" t="s">
        <v>40</v>
      </c>
      <c r="I77" s="57">
        <v>1032</v>
      </c>
      <c r="J77" s="57">
        <v>3</v>
      </c>
      <c r="K77" s="57"/>
      <c r="L77" s="57"/>
      <c r="M77" s="57">
        <v>305</v>
      </c>
      <c r="N77" s="57">
        <v>0</v>
      </c>
      <c r="O77" s="57"/>
      <c r="P77" s="57"/>
      <c r="Q77" s="57"/>
      <c r="R77" s="57"/>
      <c r="S77" s="58">
        <f t="shared" si="2"/>
        <v>1337</v>
      </c>
      <c r="T77" s="58">
        <f t="shared" si="3"/>
        <v>3</v>
      </c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  <c r="BC77" s="6"/>
      <c r="BD77" s="6"/>
      <c r="BE77" s="6"/>
      <c r="BF77" s="6"/>
      <c r="BG77" s="6"/>
      <c r="BH77" s="6"/>
      <c r="BI77" s="6"/>
      <c r="BJ77" s="6"/>
      <c r="BK77" s="6"/>
      <c r="BL77" s="6"/>
      <c r="BM77" s="6"/>
      <c r="BN77" s="6"/>
      <c r="BO77" s="6"/>
      <c r="BP77" s="6"/>
      <c r="BQ77" s="6"/>
      <c r="BR77" s="6"/>
      <c r="BS77" s="6"/>
      <c r="BT77" s="6"/>
      <c r="BU77" s="6"/>
      <c r="BV77" s="6"/>
      <c r="BW77" s="6"/>
      <c r="BX77" s="6"/>
      <c r="BY77" s="6"/>
      <c r="BZ77" s="6"/>
      <c r="CA77" s="6"/>
      <c r="CB77" s="6"/>
      <c r="CC77" s="6"/>
      <c r="CD77" s="6"/>
      <c r="CE77" s="6"/>
      <c r="CF77" s="6"/>
      <c r="CG77" s="6"/>
      <c r="CH77" s="6"/>
      <c r="CI77" s="6"/>
      <c r="CJ77" s="6"/>
      <c r="CK77" s="6"/>
      <c r="CL77" s="6"/>
      <c r="CM77" s="6"/>
    </row>
    <row r="78" spans="1:91" s="46" customFormat="1" x14ac:dyDescent="0.25">
      <c r="A78" s="78" t="s">
        <v>113</v>
      </c>
      <c r="B78" s="79" t="s">
        <v>354</v>
      </c>
      <c r="C78" s="80">
        <v>42068</v>
      </c>
      <c r="D78" s="63"/>
      <c r="E78" s="64" t="s">
        <v>361</v>
      </c>
      <c r="F78" s="64" t="s">
        <v>27</v>
      </c>
      <c r="G78" s="56" t="s">
        <v>366</v>
      </c>
      <c r="H78" s="56" t="s">
        <v>41</v>
      </c>
      <c r="I78" s="57">
        <v>1569</v>
      </c>
      <c r="J78" s="57">
        <v>6</v>
      </c>
      <c r="K78" s="57"/>
      <c r="L78" s="57"/>
      <c r="M78" s="57"/>
      <c r="N78" s="57"/>
      <c r="O78" s="57"/>
      <c r="P78" s="57"/>
      <c r="Q78" s="57"/>
      <c r="R78" s="57"/>
      <c r="S78" s="58">
        <f t="shared" si="2"/>
        <v>1569</v>
      </c>
      <c r="T78" s="58">
        <f t="shared" si="3"/>
        <v>6</v>
      </c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  <c r="BC78" s="6"/>
      <c r="BD78" s="6"/>
      <c r="BE78" s="6"/>
      <c r="BF78" s="6"/>
      <c r="BG78" s="6"/>
      <c r="BH78" s="6"/>
      <c r="BI78" s="6"/>
      <c r="BJ78" s="6"/>
      <c r="BK78" s="6"/>
      <c r="BL78" s="6"/>
      <c r="BM78" s="6"/>
      <c r="BN78" s="6"/>
      <c r="BO78" s="6"/>
      <c r="BP78" s="6"/>
      <c r="BQ78" s="6"/>
      <c r="BR78" s="6"/>
      <c r="BS78" s="6"/>
      <c r="BT78" s="6"/>
      <c r="BU78" s="6"/>
      <c r="BV78" s="6"/>
      <c r="BW78" s="6"/>
      <c r="BX78" s="6"/>
      <c r="BY78" s="6"/>
      <c r="BZ78" s="6"/>
      <c r="CA78" s="6"/>
      <c r="CB78" s="6"/>
      <c r="CC78" s="6"/>
      <c r="CD78" s="6"/>
      <c r="CE78" s="6"/>
      <c r="CF78" s="6"/>
      <c r="CG78" s="6"/>
      <c r="CH78" s="6"/>
      <c r="CI78" s="6"/>
      <c r="CJ78" s="6"/>
      <c r="CK78" s="6"/>
      <c r="CL78" s="6"/>
      <c r="CM78" s="6"/>
    </row>
    <row r="79" spans="1:91" s="42" customFormat="1" x14ac:dyDescent="0.25">
      <c r="A79" s="78" t="s">
        <v>115</v>
      </c>
      <c r="B79" s="79" t="s">
        <v>215</v>
      </c>
      <c r="C79" s="80">
        <v>42069</v>
      </c>
      <c r="D79" s="63"/>
      <c r="E79" s="64" t="s">
        <v>361</v>
      </c>
      <c r="F79" s="64" t="s">
        <v>27</v>
      </c>
      <c r="G79" s="56" t="s">
        <v>366</v>
      </c>
      <c r="H79" s="56" t="s">
        <v>41</v>
      </c>
      <c r="I79" s="57">
        <v>2869</v>
      </c>
      <c r="J79" s="57">
        <v>8</v>
      </c>
      <c r="K79" s="57"/>
      <c r="L79" s="57"/>
      <c r="M79" s="57"/>
      <c r="N79" s="57"/>
      <c r="O79" s="57"/>
      <c r="P79" s="57"/>
      <c r="Q79" s="57"/>
      <c r="R79" s="57"/>
      <c r="S79" s="58">
        <f t="shared" si="2"/>
        <v>2869</v>
      </c>
      <c r="T79" s="58">
        <f t="shared" si="3"/>
        <v>8</v>
      </c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  <c r="BC79" s="6"/>
      <c r="BD79" s="6"/>
      <c r="BE79" s="6"/>
      <c r="BF79" s="6"/>
      <c r="BG79" s="6"/>
      <c r="BH79" s="6"/>
      <c r="BI79" s="6"/>
      <c r="BJ79" s="6"/>
      <c r="BK79" s="6"/>
      <c r="BL79" s="6"/>
      <c r="BM79" s="6"/>
      <c r="BN79" s="6"/>
      <c r="BO79" s="6"/>
      <c r="BP79" s="6"/>
      <c r="BQ79" s="6"/>
      <c r="BR79" s="6"/>
      <c r="BS79" s="6"/>
      <c r="BT79" s="6"/>
      <c r="BU79" s="6"/>
      <c r="BV79" s="6"/>
      <c r="BW79" s="6"/>
      <c r="BX79" s="6"/>
      <c r="BY79" s="6"/>
      <c r="BZ79" s="6"/>
      <c r="CA79" s="6"/>
      <c r="CB79" s="6"/>
      <c r="CC79" s="6"/>
      <c r="CD79" s="6"/>
      <c r="CE79" s="6"/>
      <c r="CF79" s="6"/>
      <c r="CG79" s="6"/>
      <c r="CH79" s="6"/>
      <c r="CI79" s="6"/>
      <c r="CJ79" s="6"/>
      <c r="CK79" s="6"/>
      <c r="CL79" s="6"/>
      <c r="CM79" s="6"/>
    </row>
    <row r="80" spans="1:91" s="42" customFormat="1" x14ac:dyDescent="0.25">
      <c r="A80" s="78" t="s">
        <v>114</v>
      </c>
      <c r="B80" s="79" t="s">
        <v>243</v>
      </c>
      <c r="C80" s="80">
        <v>42069</v>
      </c>
      <c r="D80" s="63" t="s">
        <v>19</v>
      </c>
      <c r="E80" s="64" t="s">
        <v>24</v>
      </c>
      <c r="F80" s="83" t="s">
        <v>329</v>
      </c>
      <c r="G80" s="84" t="s">
        <v>366</v>
      </c>
      <c r="H80" s="56" t="s">
        <v>41</v>
      </c>
      <c r="I80" s="57">
        <v>2316</v>
      </c>
      <c r="J80" s="57">
        <v>3</v>
      </c>
      <c r="K80" s="57"/>
      <c r="L80" s="57"/>
      <c r="M80" s="57"/>
      <c r="N80" s="57"/>
      <c r="O80" s="57"/>
      <c r="P80" s="57"/>
      <c r="Q80" s="57"/>
      <c r="R80" s="57"/>
      <c r="S80" s="58">
        <f t="shared" si="2"/>
        <v>2316</v>
      </c>
      <c r="T80" s="58">
        <f t="shared" si="3"/>
        <v>3</v>
      </c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  <c r="BC80" s="6"/>
      <c r="BD80" s="6"/>
      <c r="BE80" s="6"/>
      <c r="BF80" s="6"/>
      <c r="BG80" s="6"/>
      <c r="BH80" s="6"/>
      <c r="BI80" s="6"/>
      <c r="BJ80" s="6"/>
      <c r="BK80" s="6"/>
      <c r="BL80" s="6"/>
      <c r="BM80" s="6"/>
      <c r="BN80" s="6"/>
      <c r="BO80" s="6"/>
      <c r="BP80" s="6"/>
      <c r="BQ80" s="6"/>
      <c r="BR80" s="6"/>
      <c r="BS80" s="6"/>
      <c r="BT80" s="6"/>
      <c r="BU80" s="6"/>
      <c r="BV80" s="6"/>
      <c r="BW80" s="6"/>
      <c r="BX80" s="6"/>
      <c r="BY80" s="6"/>
      <c r="BZ80" s="6"/>
      <c r="CA80" s="6"/>
      <c r="CB80" s="6"/>
      <c r="CC80" s="6"/>
      <c r="CD80" s="6"/>
      <c r="CE80" s="6"/>
      <c r="CF80" s="6"/>
      <c r="CG80" s="6"/>
      <c r="CH80" s="6"/>
      <c r="CI80" s="6"/>
      <c r="CJ80" s="6"/>
      <c r="CK80" s="6"/>
      <c r="CL80" s="6"/>
      <c r="CM80" s="6"/>
    </row>
    <row r="81" spans="1:91" s="42" customFormat="1" x14ac:dyDescent="0.25">
      <c r="A81" s="78" t="s">
        <v>117</v>
      </c>
      <c r="B81" s="79" t="s">
        <v>259</v>
      </c>
      <c r="C81" s="80">
        <v>42073</v>
      </c>
      <c r="D81" s="63" t="s">
        <v>19</v>
      </c>
      <c r="E81" s="64" t="s">
        <v>361</v>
      </c>
      <c r="F81" s="64" t="s">
        <v>27</v>
      </c>
      <c r="G81" s="56" t="s">
        <v>366</v>
      </c>
      <c r="H81" s="56" t="s">
        <v>41</v>
      </c>
      <c r="I81" s="57">
        <v>1186</v>
      </c>
      <c r="J81" s="57">
        <v>6</v>
      </c>
      <c r="K81" s="57"/>
      <c r="L81" s="57"/>
      <c r="M81" s="57"/>
      <c r="N81" s="57"/>
      <c r="O81" s="57"/>
      <c r="P81" s="57"/>
      <c r="Q81" s="57"/>
      <c r="R81" s="57"/>
      <c r="S81" s="58">
        <f t="shared" si="2"/>
        <v>1186</v>
      </c>
      <c r="T81" s="58">
        <f t="shared" si="3"/>
        <v>6</v>
      </c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  <c r="BC81" s="6"/>
      <c r="BD81" s="6"/>
      <c r="BE81" s="6"/>
      <c r="BF81" s="6"/>
      <c r="BG81" s="6"/>
      <c r="BH81" s="6"/>
      <c r="BI81" s="6"/>
      <c r="BJ81" s="6"/>
      <c r="BK81" s="6"/>
      <c r="BL81" s="6"/>
      <c r="BM81" s="6"/>
      <c r="BN81" s="6"/>
      <c r="BO81" s="6"/>
      <c r="BP81" s="6"/>
      <c r="BQ81" s="6"/>
      <c r="BR81" s="6"/>
      <c r="BS81" s="6"/>
      <c r="BT81" s="6"/>
      <c r="BU81" s="6"/>
      <c r="BV81" s="6"/>
      <c r="BW81" s="6"/>
      <c r="BX81" s="6"/>
      <c r="BY81" s="6"/>
      <c r="BZ81" s="6"/>
      <c r="CA81" s="6"/>
      <c r="CB81" s="6"/>
      <c r="CC81" s="6"/>
      <c r="CD81" s="6"/>
      <c r="CE81" s="6"/>
      <c r="CF81" s="6"/>
      <c r="CG81" s="6"/>
      <c r="CH81" s="6"/>
      <c r="CI81" s="6"/>
      <c r="CJ81" s="6"/>
      <c r="CK81" s="6"/>
      <c r="CL81" s="6"/>
      <c r="CM81" s="6"/>
    </row>
    <row r="82" spans="1:91" s="42" customFormat="1" x14ac:dyDescent="0.25">
      <c r="A82" s="78" t="s">
        <v>116</v>
      </c>
      <c r="B82" s="79" t="s">
        <v>355</v>
      </c>
      <c r="C82" s="80">
        <v>42073</v>
      </c>
      <c r="D82" s="63" t="s">
        <v>19</v>
      </c>
      <c r="E82" s="64" t="s">
        <v>24</v>
      </c>
      <c r="F82" s="64" t="s">
        <v>33</v>
      </c>
      <c r="G82" s="56" t="s">
        <v>366</v>
      </c>
      <c r="H82" s="56" t="s">
        <v>41</v>
      </c>
      <c r="I82" s="57">
        <v>3610</v>
      </c>
      <c r="J82" s="57">
        <v>2</v>
      </c>
      <c r="K82" s="57"/>
      <c r="L82" s="57"/>
      <c r="M82" s="57"/>
      <c r="N82" s="57"/>
      <c r="O82" s="57"/>
      <c r="P82" s="57"/>
      <c r="Q82" s="57"/>
      <c r="R82" s="57"/>
      <c r="S82" s="58">
        <f t="shared" si="2"/>
        <v>3610</v>
      </c>
      <c r="T82" s="58">
        <f t="shared" si="3"/>
        <v>2</v>
      </c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  <c r="BC82" s="6"/>
      <c r="BD82" s="6"/>
      <c r="BE82" s="6"/>
      <c r="BF82" s="6"/>
      <c r="BG82" s="6"/>
      <c r="BH82" s="6"/>
      <c r="BI82" s="6"/>
      <c r="BJ82" s="6"/>
      <c r="BK82" s="6"/>
      <c r="BL82" s="6"/>
      <c r="BM82" s="6"/>
      <c r="BN82" s="6"/>
      <c r="BO82" s="6"/>
      <c r="BP82" s="6"/>
      <c r="BQ82" s="6"/>
      <c r="BR82" s="6"/>
      <c r="BS82" s="6"/>
      <c r="BT82" s="6"/>
      <c r="BU82" s="6"/>
      <c r="BV82" s="6"/>
      <c r="BW82" s="6"/>
      <c r="BX82" s="6"/>
      <c r="BY82" s="6"/>
      <c r="BZ82" s="6"/>
      <c r="CA82" s="6"/>
      <c r="CB82" s="6"/>
      <c r="CC82" s="6"/>
      <c r="CD82" s="6"/>
      <c r="CE82" s="6"/>
      <c r="CF82" s="6"/>
      <c r="CG82" s="6"/>
      <c r="CH82" s="6"/>
      <c r="CI82" s="6"/>
      <c r="CJ82" s="6"/>
      <c r="CK82" s="6"/>
      <c r="CL82" s="6"/>
      <c r="CM82" s="6"/>
    </row>
    <row r="83" spans="1:91" s="42" customFormat="1" x14ac:dyDescent="0.25">
      <c r="A83" s="78" t="s">
        <v>118</v>
      </c>
      <c r="B83" s="79" t="s">
        <v>218</v>
      </c>
      <c r="C83" s="80">
        <v>42074</v>
      </c>
      <c r="D83" s="63" t="s">
        <v>21</v>
      </c>
      <c r="E83" s="64" t="s">
        <v>24</v>
      </c>
      <c r="F83" s="83" t="s">
        <v>30</v>
      </c>
      <c r="G83" s="84" t="s">
        <v>366</v>
      </c>
      <c r="H83" s="56" t="s">
        <v>41</v>
      </c>
      <c r="I83" s="57">
        <v>1362</v>
      </c>
      <c r="J83" s="57">
        <v>4</v>
      </c>
      <c r="K83" s="57"/>
      <c r="L83" s="57"/>
      <c r="M83" s="57">
        <v>251</v>
      </c>
      <c r="N83" s="57">
        <v>0</v>
      </c>
      <c r="O83" s="57"/>
      <c r="P83" s="57"/>
      <c r="Q83" s="57"/>
      <c r="R83" s="57"/>
      <c r="S83" s="58">
        <f t="shared" si="2"/>
        <v>1613</v>
      </c>
      <c r="T83" s="58">
        <f t="shared" si="3"/>
        <v>4</v>
      </c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  <c r="BC83" s="6"/>
      <c r="BD83" s="6"/>
      <c r="BE83" s="6"/>
      <c r="BF83" s="6"/>
      <c r="BG83" s="6"/>
      <c r="BH83" s="6"/>
      <c r="BI83" s="6"/>
      <c r="BJ83" s="6"/>
      <c r="BK83" s="6"/>
      <c r="BL83" s="6"/>
      <c r="BM83" s="6"/>
      <c r="BN83" s="6"/>
      <c r="BO83" s="6"/>
      <c r="BP83" s="6"/>
      <c r="BQ83" s="6"/>
      <c r="BR83" s="6"/>
      <c r="BS83" s="6"/>
      <c r="BT83" s="6"/>
      <c r="BU83" s="6"/>
      <c r="BV83" s="6"/>
      <c r="BW83" s="6"/>
      <c r="BX83" s="6"/>
      <c r="BY83" s="6"/>
      <c r="BZ83" s="6"/>
      <c r="CA83" s="6"/>
      <c r="CB83" s="6"/>
      <c r="CC83" s="6"/>
      <c r="CD83" s="6"/>
      <c r="CE83" s="6"/>
      <c r="CF83" s="6"/>
      <c r="CG83" s="6"/>
      <c r="CH83" s="6"/>
      <c r="CI83" s="6"/>
      <c r="CJ83" s="6"/>
      <c r="CK83" s="6"/>
      <c r="CL83" s="6"/>
      <c r="CM83" s="6"/>
    </row>
    <row r="84" spans="1:91" s="42" customFormat="1" x14ac:dyDescent="0.25">
      <c r="A84" s="78" t="s">
        <v>119</v>
      </c>
      <c r="B84" s="79" t="s">
        <v>258</v>
      </c>
      <c r="C84" s="80">
        <v>42074</v>
      </c>
      <c r="D84" s="63" t="s">
        <v>19</v>
      </c>
      <c r="E84" s="64" t="s">
        <v>24</v>
      </c>
      <c r="F84" s="64" t="s">
        <v>31</v>
      </c>
      <c r="G84" s="56" t="s">
        <v>366</v>
      </c>
      <c r="H84" s="56" t="s">
        <v>38</v>
      </c>
      <c r="I84" s="57">
        <v>1071</v>
      </c>
      <c r="J84" s="57">
        <v>3</v>
      </c>
      <c r="K84" s="57"/>
      <c r="L84" s="57"/>
      <c r="M84" s="57"/>
      <c r="N84" s="57"/>
      <c r="O84" s="57"/>
      <c r="P84" s="57"/>
      <c r="Q84" s="57"/>
      <c r="R84" s="57"/>
      <c r="S84" s="58">
        <f t="shared" si="2"/>
        <v>1071</v>
      </c>
      <c r="T84" s="58">
        <f t="shared" si="3"/>
        <v>3</v>
      </c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  <c r="BC84" s="6"/>
      <c r="BD84" s="6"/>
      <c r="BE84" s="6"/>
      <c r="BF84" s="6"/>
      <c r="BG84" s="6"/>
      <c r="BH84" s="6"/>
      <c r="BI84" s="6"/>
      <c r="BJ84" s="6"/>
      <c r="BK84" s="6"/>
      <c r="BL84" s="6"/>
      <c r="BM84" s="6"/>
      <c r="BN84" s="6"/>
      <c r="BO84" s="6"/>
      <c r="BP84" s="6"/>
      <c r="BQ84" s="6"/>
      <c r="BR84" s="6"/>
      <c r="BS84" s="6"/>
      <c r="BT84" s="6"/>
      <c r="BU84" s="6"/>
      <c r="BV84" s="6"/>
      <c r="BW84" s="6"/>
      <c r="BX84" s="6"/>
      <c r="BY84" s="6"/>
      <c r="BZ84" s="6"/>
      <c r="CA84" s="6"/>
      <c r="CB84" s="6"/>
      <c r="CC84" s="6"/>
      <c r="CD84" s="6"/>
      <c r="CE84" s="6"/>
      <c r="CF84" s="6"/>
      <c r="CG84" s="6"/>
      <c r="CH84" s="6"/>
      <c r="CI84" s="6"/>
      <c r="CJ84" s="6"/>
      <c r="CK84" s="6"/>
      <c r="CL84" s="6"/>
      <c r="CM84" s="6"/>
    </row>
    <row r="85" spans="1:91" s="42" customFormat="1" x14ac:dyDescent="0.25">
      <c r="A85" s="78" t="s">
        <v>120</v>
      </c>
      <c r="B85" s="79" t="s">
        <v>256</v>
      </c>
      <c r="C85" s="80">
        <v>42075</v>
      </c>
      <c r="D85" s="63"/>
      <c r="E85" s="64" t="s">
        <v>361</v>
      </c>
      <c r="F85" s="64" t="s">
        <v>27</v>
      </c>
      <c r="G85" s="56" t="s">
        <v>366</v>
      </c>
      <c r="H85" s="56" t="s">
        <v>41</v>
      </c>
      <c r="I85" s="57">
        <v>1629</v>
      </c>
      <c r="J85" s="57">
        <v>47</v>
      </c>
      <c r="K85" s="57"/>
      <c r="L85" s="57"/>
      <c r="M85" s="57"/>
      <c r="N85" s="57"/>
      <c r="O85" s="57"/>
      <c r="P85" s="57"/>
      <c r="Q85" s="57"/>
      <c r="R85" s="57"/>
      <c r="S85" s="58">
        <f t="shared" si="2"/>
        <v>1629</v>
      </c>
      <c r="T85" s="58">
        <f t="shared" si="3"/>
        <v>47</v>
      </c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  <c r="BC85" s="6"/>
      <c r="BD85" s="6"/>
      <c r="BE85" s="6"/>
      <c r="BF85" s="6"/>
      <c r="BG85" s="6"/>
      <c r="BH85" s="6"/>
      <c r="BI85" s="6"/>
      <c r="BJ85" s="6"/>
      <c r="BK85" s="6"/>
      <c r="BL85" s="6"/>
      <c r="BM85" s="6"/>
      <c r="BN85" s="6"/>
      <c r="BO85" s="6"/>
      <c r="BP85" s="6"/>
      <c r="BQ85" s="6"/>
      <c r="BR85" s="6"/>
      <c r="BS85" s="6"/>
      <c r="BT85" s="6"/>
      <c r="BU85" s="6"/>
      <c r="BV85" s="6"/>
      <c r="BW85" s="6"/>
      <c r="BX85" s="6"/>
      <c r="BY85" s="6"/>
      <c r="BZ85" s="6"/>
      <c r="CA85" s="6"/>
      <c r="CB85" s="6"/>
      <c r="CC85" s="6"/>
      <c r="CD85" s="6"/>
      <c r="CE85" s="6"/>
      <c r="CF85" s="6"/>
      <c r="CG85" s="6"/>
      <c r="CH85" s="6"/>
      <c r="CI85" s="6"/>
      <c r="CJ85" s="6"/>
      <c r="CK85" s="6"/>
      <c r="CL85" s="6"/>
      <c r="CM85" s="6"/>
    </row>
    <row r="86" spans="1:91" s="42" customFormat="1" x14ac:dyDescent="0.25">
      <c r="A86" s="78" t="s">
        <v>122</v>
      </c>
      <c r="B86" s="79" t="s">
        <v>224</v>
      </c>
      <c r="C86" s="80">
        <v>42076</v>
      </c>
      <c r="D86" s="63"/>
      <c r="E86" s="64" t="s">
        <v>361</v>
      </c>
      <c r="F86" s="64" t="s">
        <v>27</v>
      </c>
      <c r="G86" s="56" t="s">
        <v>366</v>
      </c>
      <c r="H86" s="56" t="s">
        <v>41</v>
      </c>
      <c r="I86" s="57">
        <v>3907</v>
      </c>
      <c r="J86" s="57">
        <v>49</v>
      </c>
      <c r="K86" s="57"/>
      <c r="L86" s="57"/>
      <c r="M86" s="57">
        <v>407</v>
      </c>
      <c r="N86" s="57">
        <v>0</v>
      </c>
      <c r="O86" s="57"/>
      <c r="P86" s="57"/>
      <c r="Q86" s="57"/>
      <c r="R86" s="57"/>
      <c r="S86" s="58">
        <f t="shared" si="2"/>
        <v>4314</v>
      </c>
      <c r="T86" s="58">
        <f t="shared" si="3"/>
        <v>49</v>
      </c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I86" s="6"/>
      <c r="BJ86" s="6"/>
      <c r="BK86" s="6"/>
      <c r="BL86" s="6"/>
      <c r="BM86" s="6"/>
      <c r="BN86" s="6"/>
      <c r="BO86" s="6"/>
      <c r="BP86" s="6"/>
      <c r="BQ86" s="6"/>
      <c r="BR86" s="6"/>
      <c r="BS86" s="6"/>
      <c r="BT86" s="6"/>
      <c r="BU86" s="6"/>
      <c r="BV86" s="6"/>
      <c r="BW86" s="6"/>
      <c r="BX86" s="6"/>
      <c r="BY86" s="6"/>
      <c r="BZ86" s="6"/>
      <c r="CA86" s="6"/>
      <c r="CB86" s="6"/>
      <c r="CC86" s="6"/>
      <c r="CD86" s="6"/>
      <c r="CE86" s="6"/>
      <c r="CF86" s="6"/>
      <c r="CG86" s="6"/>
      <c r="CH86" s="6"/>
      <c r="CI86" s="6"/>
      <c r="CJ86" s="6"/>
      <c r="CK86" s="6"/>
      <c r="CL86" s="6"/>
      <c r="CM86" s="6"/>
    </row>
    <row r="87" spans="1:91" s="42" customFormat="1" x14ac:dyDescent="0.25">
      <c r="A87" s="78" t="s">
        <v>121</v>
      </c>
      <c r="B87" s="79" t="s">
        <v>221</v>
      </c>
      <c r="C87" s="80">
        <v>42076</v>
      </c>
      <c r="D87" s="63" t="s">
        <v>19</v>
      </c>
      <c r="E87" s="64" t="s">
        <v>22</v>
      </c>
      <c r="F87" s="64" t="s">
        <v>27</v>
      </c>
      <c r="G87" s="56" t="s">
        <v>366</v>
      </c>
      <c r="H87" s="56" t="s">
        <v>41</v>
      </c>
      <c r="I87" s="57">
        <v>1855</v>
      </c>
      <c r="J87" s="57">
        <v>4</v>
      </c>
      <c r="K87" s="57"/>
      <c r="L87" s="57"/>
      <c r="M87" s="57"/>
      <c r="N87" s="57"/>
      <c r="O87" s="57"/>
      <c r="P87" s="57"/>
      <c r="Q87" s="57"/>
      <c r="R87" s="57"/>
      <c r="S87" s="58">
        <f t="shared" si="2"/>
        <v>1855</v>
      </c>
      <c r="T87" s="58">
        <f t="shared" si="3"/>
        <v>4</v>
      </c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I87" s="6"/>
      <c r="BJ87" s="6"/>
      <c r="BK87" s="6"/>
      <c r="BL87" s="6"/>
      <c r="BM87" s="6"/>
      <c r="BN87" s="6"/>
      <c r="BO87" s="6"/>
      <c r="BP87" s="6"/>
      <c r="BQ87" s="6"/>
      <c r="BR87" s="6"/>
      <c r="BS87" s="6"/>
      <c r="BT87" s="6"/>
      <c r="BU87" s="6"/>
      <c r="BV87" s="6"/>
      <c r="BW87" s="6"/>
      <c r="BX87" s="6"/>
      <c r="BY87" s="6"/>
      <c r="BZ87" s="6"/>
      <c r="CA87" s="6"/>
      <c r="CB87" s="6"/>
      <c r="CC87" s="6"/>
      <c r="CD87" s="6"/>
      <c r="CE87" s="6"/>
      <c r="CF87" s="6"/>
      <c r="CG87" s="6"/>
      <c r="CH87" s="6"/>
      <c r="CI87" s="6"/>
      <c r="CJ87" s="6"/>
      <c r="CK87" s="6"/>
      <c r="CL87" s="6"/>
      <c r="CM87" s="6"/>
    </row>
    <row r="88" spans="1:91" s="42" customFormat="1" ht="30" x14ac:dyDescent="0.25">
      <c r="A88" s="78" t="s">
        <v>123</v>
      </c>
      <c r="B88" s="79" t="s">
        <v>257</v>
      </c>
      <c r="C88" s="80">
        <v>42079</v>
      </c>
      <c r="D88" s="63"/>
      <c r="E88" s="64" t="s">
        <v>24</v>
      </c>
      <c r="F88" s="64" t="s">
        <v>327</v>
      </c>
      <c r="G88" s="56" t="s">
        <v>366</v>
      </c>
      <c r="H88" s="56" t="s">
        <v>41</v>
      </c>
      <c r="I88" s="57">
        <v>2322</v>
      </c>
      <c r="J88" s="57">
        <v>6</v>
      </c>
      <c r="K88" s="57"/>
      <c r="L88" s="57"/>
      <c r="M88" s="57"/>
      <c r="N88" s="57"/>
      <c r="O88" s="57"/>
      <c r="P88" s="57"/>
      <c r="Q88" s="57"/>
      <c r="R88" s="57"/>
      <c r="S88" s="58">
        <f t="shared" si="2"/>
        <v>2322</v>
      </c>
      <c r="T88" s="58">
        <f t="shared" si="3"/>
        <v>6</v>
      </c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  <c r="BI88" s="6"/>
      <c r="BJ88" s="6"/>
      <c r="BK88" s="6"/>
      <c r="BL88" s="6"/>
      <c r="BM88" s="6"/>
      <c r="BN88" s="6"/>
      <c r="BO88" s="6"/>
      <c r="BP88" s="6"/>
      <c r="BQ88" s="6"/>
      <c r="BR88" s="6"/>
      <c r="BS88" s="6"/>
      <c r="BT88" s="6"/>
      <c r="BU88" s="6"/>
      <c r="BV88" s="6"/>
      <c r="BW88" s="6"/>
      <c r="BX88" s="6"/>
      <c r="BY88" s="6"/>
      <c r="BZ88" s="6"/>
      <c r="CA88" s="6"/>
      <c r="CB88" s="6"/>
      <c r="CC88" s="6"/>
      <c r="CD88" s="6"/>
      <c r="CE88" s="6"/>
      <c r="CF88" s="6"/>
      <c r="CG88" s="6"/>
      <c r="CH88" s="6"/>
      <c r="CI88" s="6"/>
      <c r="CJ88" s="6"/>
      <c r="CK88" s="6"/>
      <c r="CL88" s="6"/>
      <c r="CM88" s="6"/>
    </row>
    <row r="89" spans="1:91" s="42" customFormat="1" x14ac:dyDescent="0.25">
      <c r="A89" s="78" t="s">
        <v>125</v>
      </c>
      <c r="B89" s="79" t="s">
        <v>256</v>
      </c>
      <c r="C89" s="80">
        <v>42080</v>
      </c>
      <c r="D89" s="63" t="s">
        <v>20</v>
      </c>
      <c r="E89" s="64" t="s">
        <v>361</v>
      </c>
      <c r="F89" s="64" t="s">
        <v>361</v>
      </c>
      <c r="G89" s="56" t="s">
        <v>366</v>
      </c>
      <c r="H89" s="56" t="s">
        <v>36</v>
      </c>
      <c r="I89" s="57">
        <v>7908</v>
      </c>
      <c r="J89" s="57">
        <v>37</v>
      </c>
      <c r="K89" s="57"/>
      <c r="L89" s="57"/>
      <c r="M89" s="57"/>
      <c r="N89" s="57"/>
      <c r="O89" s="57"/>
      <c r="P89" s="57"/>
      <c r="Q89" s="57"/>
      <c r="R89" s="57"/>
      <c r="S89" s="58">
        <f t="shared" si="2"/>
        <v>7908</v>
      </c>
      <c r="T89" s="58">
        <f t="shared" si="3"/>
        <v>37</v>
      </c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  <c r="BI89" s="6"/>
      <c r="BJ89" s="6"/>
      <c r="BK89" s="6"/>
      <c r="BL89" s="6"/>
      <c r="BM89" s="6"/>
      <c r="BN89" s="6"/>
      <c r="BO89" s="6"/>
      <c r="BP89" s="6"/>
      <c r="BQ89" s="6"/>
      <c r="BR89" s="6"/>
      <c r="BS89" s="6"/>
      <c r="BT89" s="6"/>
      <c r="BU89" s="6"/>
      <c r="BV89" s="6"/>
      <c r="BW89" s="6"/>
      <c r="BX89" s="6"/>
      <c r="BY89" s="6"/>
      <c r="BZ89" s="6"/>
      <c r="CA89" s="6"/>
      <c r="CB89" s="6"/>
      <c r="CC89" s="6"/>
      <c r="CD89" s="6"/>
      <c r="CE89" s="6"/>
      <c r="CF89" s="6"/>
      <c r="CG89" s="6"/>
      <c r="CH89" s="6"/>
      <c r="CI89" s="6"/>
      <c r="CJ89" s="6"/>
      <c r="CK89" s="6"/>
      <c r="CL89" s="6"/>
      <c r="CM89" s="6"/>
    </row>
    <row r="90" spans="1:91" s="42" customFormat="1" x14ac:dyDescent="0.25">
      <c r="A90" s="78" t="s">
        <v>124</v>
      </c>
      <c r="B90" s="79" t="s">
        <v>215</v>
      </c>
      <c r="C90" s="80">
        <v>42080</v>
      </c>
      <c r="D90" s="63"/>
      <c r="E90" s="64" t="s">
        <v>361</v>
      </c>
      <c r="F90" s="64" t="s">
        <v>33</v>
      </c>
      <c r="G90" s="56" t="s">
        <v>366</v>
      </c>
      <c r="H90" s="56" t="s">
        <v>41</v>
      </c>
      <c r="I90" s="57">
        <v>1144</v>
      </c>
      <c r="J90" s="57">
        <v>4</v>
      </c>
      <c r="K90" s="57"/>
      <c r="L90" s="57"/>
      <c r="M90" s="57"/>
      <c r="N90" s="57"/>
      <c r="O90" s="57"/>
      <c r="P90" s="57"/>
      <c r="Q90" s="57"/>
      <c r="R90" s="57"/>
      <c r="S90" s="58">
        <f t="shared" si="2"/>
        <v>1144</v>
      </c>
      <c r="T90" s="58">
        <f t="shared" si="3"/>
        <v>4</v>
      </c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  <c r="BI90" s="6"/>
      <c r="BJ90" s="6"/>
      <c r="BK90" s="6"/>
      <c r="BL90" s="6"/>
      <c r="BM90" s="6"/>
      <c r="BN90" s="6"/>
      <c r="BO90" s="6"/>
      <c r="BP90" s="6"/>
      <c r="BQ90" s="6"/>
      <c r="BR90" s="6"/>
      <c r="BS90" s="6"/>
      <c r="BT90" s="6"/>
      <c r="BU90" s="6"/>
      <c r="BV90" s="6"/>
      <c r="BW90" s="6"/>
      <c r="BX90" s="6"/>
      <c r="BY90" s="6"/>
      <c r="BZ90" s="6"/>
      <c r="CA90" s="6"/>
      <c r="CB90" s="6"/>
      <c r="CC90" s="6"/>
      <c r="CD90" s="6"/>
      <c r="CE90" s="6"/>
      <c r="CF90" s="6"/>
      <c r="CG90" s="6"/>
      <c r="CH90" s="6"/>
      <c r="CI90" s="6"/>
      <c r="CJ90" s="6"/>
      <c r="CK90" s="6"/>
      <c r="CL90" s="6"/>
      <c r="CM90" s="6"/>
    </row>
    <row r="91" spans="1:91" s="42" customFormat="1" x14ac:dyDescent="0.25">
      <c r="A91" s="78" t="s">
        <v>127</v>
      </c>
      <c r="B91" s="79" t="s">
        <v>237</v>
      </c>
      <c r="C91" s="80">
        <v>42081</v>
      </c>
      <c r="D91" s="63"/>
      <c r="E91" s="64" t="s">
        <v>361</v>
      </c>
      <c r="F91" s="64" t="s">
        <v>27</v>
      </c>
      <c r="G91" s="56" t="s">
        <v>366</v>
      </c>
      <c r="H91" s="56" t="s">
        <v>40</v>
      </c>
      <c r="I91" s="57">
        <v>1132</v>
      </c>
      <c r="J91" s="57">
        <v>6</v>
      </c>
      <c r="K91" s="57"/>
      <c r="L91" s="57"/>
      <c r="M91" s="57"/>
      <c r="N91" s="57"/>
      <c r="O91" s="57"/>
      <c r="P91" s="57"/>
      <c r="Q91" s="57"/>
      <c r="R91" s="57"/>
      <c r="S91" s="58">
        <f t="shared" si="2"/>
        <v>1132</v>
      </c>
      <c r="T91" s="58">
        <f t="shared" si="3"/>
        <v>6</v>
      </c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I91" s="6"/>
      <c r="BJ91" s="6"/>
      <c r="BK91" s="6"/>
      <c r="BL91" s="6"/>
      <c r="BM91" s="6"/>
      <c r="BN91" s="6"/>
      <c r="BO91" s="6"/>
      <c r="BP91" s="6"/>
      <c r="BQ91" s="6"/>
      <c r="BR91" s="6"/>
      <c r="BS91" s="6"/>
      <c r="BT91" s="6"/>
      <c r="BU91" s="6"/>
      <c r="BV91" s="6"/>
      <c r="BW91" s="6"/>
      <c r="BX91" s="6"/>
      <c r="BY91" s="6"/>
      <c r="BZ91" s="6"/>
      <c r="CA91" s="6"/>
      <c r="CB91" s="6"/>
      <c r="CC91" s="6"/>
      <c r="CD91" s="6"/>
      <c r="CE91" s="6"/>
      <c r="CF91" s="6"/>
      <c r="CG91" s="6"/>
      <c r="CH91" s="6"/>
      <c r="CI91" s="6"/>
      <c r="CJ91" s="6"/>
      <c r="CK91" s="6"/>
      <c r="CL91" s="6"/>
      <c r="CM91" s="6"/>
    </row>
    <row r="92" spans="1:91" s="42" customFormat="1" x14ac:dyDescent="0.25">
      <c r="A92" s="78" t="s">
        <v>126</v>
      </c>
      <c r="B92" s="79" t="s">
        <v>218</v>
      </c>
      <c r="C92" s="80">
        <v>42081</v>
      </c>
      <c r="D92" s="63"/>
      <c r="E92" s="64" t="s">
        <v>24</v>
      </c>
      <c r="F92" s="83" t="s">
        <v>35</v>
      </c>
      <c r="G92" s="84" t="s">
        <v>365</v>
      </c>
      <c r="H92" s="56" t="s">
        <v>37</v>
      </c>
      <c r="I92" s="57">
        <v>1041</v>
      </c>
      <c r="J92" s="57">
        <v>2</v>
      </c>
      <c r="K92" s="57"/>
      <c r="L92" s="57"/>
      <c r="M92" s="57">
        <v>661</v>
      </c>
      <c r="N92" s="57">
        <v>0</v>
      </c>
      <c r="O92" s="57"/>
      <c r="P92" s="57"/>
      <c r="Q92" s="57"/>
      <c r="R92" s="57"/>
      <c r="S92" s="58">
        <f t="shared" si="2"/>
        <v>1702</v>
      </c>
      <c r="T92" s="58">
        <f t="shared" si="3"/>
        <v>2</v>
      </c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I92" s="6"/>
      <c r="BJ92" s="6"/>
      <c r="BK92" s="6"/>
      <c r="BL92" s="6"/>
      <c r="BM92" s="6"/>
      <c r="BN92" s="6"/>
      <c r="BO92" s="6"/>
      <c r="BP92" s="6"/>
      <c r="BQ92" s="6"/>
      <c r="BR92" s="6"/>
      <c r="BS92" s="6"/>
      <c r="BT92" s="6"/>
      <c r="BU92" s="6"/>
      <c r="BV92" s="6"/>
      <c r="BW92" s="6"/>
      <c r="BX92" s="6"/>
      <c r="BY92" s="6"/>
      <c r="BZ92" s="6"/>
      <c r="CA92" s="6"/>
      <c r="CB92" s="6"/>
      <c r="CC92" s="6"/>
      <c r="CD92" s="6"/>
      <c r="CE92" s="6"/>
      <c r="CF92" s="6"/>
      <c r="CG92" s="6"/>
      <c r="CH92" s="6"/>
      <c r="CI92" s="6"/>
      <c r="CJ92" s="6"/>
      <c r="CK92" s="6"/>
      <c r="CL92" s="6"/>
      <c r="CM92" s="6"/>
    </row>
    <row r="93" spans="1:91" s="42" customFormat="1" x14ac:dyDescent="0.25">
      <c r="A93" s="78" t="s">
        <v>128</v>
      </c>
      <c r="B93" s="79" t="s">
        <v>227</v>
      </c>
      <c r="C93" s="80">
        <v>42082</v>
      </c>
      <c r="D93" s="63"/>
      <c r="E93" s="64" t="s">
        <v>361</v>
      </c>
      <c r="F93" s="64" t="s">
        <v>361</v>
      </c>
      <c r="G93" s="56" t="s">
        <v>366</v>
      </c>
      <c r="H93" s="56" t="s">
        <v>41</v>
      </c>
      <c r="I93" s="57">
        <v>2080</v>
      </c>
      <c r="J93" s="57">
        <v>3</v>
      </c>
      <c r="K93" s="57"/>
      <c r="L93" s="57"/>
      <c r="M93" s="57"/>
      <c r="N93" s="57"/>
      <c r="O93" s="57"/>
      <c r="P93" s="57"/>
      <c r="Q93" s="57"/>
      <c r="R93" s="57"/>
      <c r="S93" s="58">
        <f t="shared" si="2"/>
        <v>2080</v>
      </c>
      <c r="T93" s="58">
        <f t="shared" si="3"/>
        <v>3</v>
      </c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I93" s="6"/>
      <c r="BJ93" s="6"/>
      <c r="BK93" s="6"/>
      <c r="BL93" s="6"/>
      <c r="BM93" s="6"/>
      <c r="BN93" s="6"/>
      <c r="BO93" s="6"/>
      <c r="BP93" s="6"/>
      <c r="BQ93" s="6"/>
      <c r="BR93" s="6"/>
      <c r="BS93" s="6"/>
      <c r="BT93" s="6"/>
      <c r="BU93" s="6"/>
      <c r="BV93" s="6"/>
      <c r="BW93" s="6"/>
      <c r="BX93" s="6"/>
      <c r="BY93" s="6"/>
      <c r="BZ93" s="6"/>
      <c r="CA93" s="6"/>
      <c r="CB93" s="6"/>
      <c r="CC93" s="6"/>
      <c r="CD93" s="6"/>
      <c r="CE93" s="6"/>
      <c r="CF93" s="6"/>
      <c r="CG93" s="6"/>
      <c r="CH93" s="6"/>
      <c r="CI93" s="6"/>
      <c r="CJ93" s="6"/>
      <c r="CK93" s="6"/>
      <c r="CL93" s="6"/>
      <c r="CM93" s="6"/>
    </row>
    <row r="94" spans="1:91" s="42" customFormat="1" x14ac:dyDescent="0.25">
      <c r="A94" s="78" t="s">
        <v>129</v>
      </c>
      <c r="B94" s="79" t="s">
        <v>255</v>
      </c>
      <c r="C94" s="80">
        <v>42083</v>
      </c>
      <c r="D94" s="63" t="s">
        <v>21</v>
      </c>
      <c r="E94" s="64" t="s">
        <v>361</v>
      </c>
      <c r="F94" s="64" t="s">
        <v>27</v>
      </c>
      <c r="G94" s="56" t="s">
        <v>366</v>
      </c>
      <c r="H94" s="56" t="s">
        <v>41</v>
      </c>
      <c r="I94" s="57">
        <v>2252</v>
      </c>
      <c r="J94" s="57">
        <v>4</v>
      </c>
      <c r="K94" s="57"/>
      <c r="L94" s="57"/>
      <c r="M94" s="57"/>
      <c r="N94" s="57"/>
      <c r="O94" s="57"/>
      <c r="P94" s="57"/>
      <c r="Q94" s="57"/>
      <c r="R94" s="57"/>
      <c r="S94" s="58">
        <f t="shared" si="2"/>
        <v>2252</v>
      </c>
      <c r="T94" s="58">
        <f t="shared" si="3"/>
        <v>4</v>
      </c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  <c r="BH94" s="6"/>
      <c r="BI94" s="6"/>
      <c r="BJ94" s="6"/>
      <c r="BK94" s="6"/>
      <c r="BL94" s="6"/>
      <c r="BM94" s="6"/>
      <c r="BN94" s="6"/>
      <c r="BO94" s="6"/>
      <c r="BP94" s="6"/>
      <c r="BQ94" s="6"/>
      <c r="BR94" s="6"/>
      <c r="BS94" s="6"/>
      <c r="BT94" s="6"/>
      <c r="BU94" s="6"/>
      <c r="BV94" s="6"/>
      <c r="BW94" s="6"/>
      <c r="BX94" s="6"/>
      <c r="BY94" s="6"/>
      <c r="BZ94" s="6"/>
      <c r="CA94" s="6"/>
      <c r="CB94" s="6"/>
      <c r="CC94" s="6"/>
      <c r="CD94" s="6"/>
      <c r="CE94" s="6"/>
      <c r="CF94" s="6"/>
      <c r="CG94" s="6"/>
      <c r="CH94" s="6"/>
      <c r="CI94" s="6"/>
      <c r="CJ94" s="6"/>
      <c r="CK94" s="6"/>
      <c r="CL94" s="6"/>
      <c r="CM94" s="6"/>
    </row>
    <row r="95" spans="1:91" s="42" customFormat="1" x14ac:dyDescent="0.25">
      <c r="A95" s="78" t="s">
        <v>130</v>
      </c>
      <c r="B95" s="79" t="s">
        <v>252</v>
      </c>
      <c r="C95" s="80">
        <v>42083</v>
      </c>
      <c r="D95" s="63"/>
      <c r="E95" s="64" t="s">
        <v>24</v>
      </c>
      <c r="F95" s="64" t="s">
        <v>361</v>
      </c>
      <c r="G95" s="56" t="s">
        <v>366</v>
      </c>
      <c r="H95" s="56" t="s">
        <v>41</v>
      </c>
      <c r="I95" s="57">
        <v>714</v>
      </c>
      <c r="J95" s="57">
        <v>0</v>
      </c>
      <c r="K95" s="57"/>
      <c r="L95" s="57"/>
      <c r="M95" s="57"/>
      <c r="N95" s="57"/>
      <c r="O95" s="57"/>
      <c r="P95" s="57"/>
      <c r="Q95" s="57"/>
      <c r="R95" s="57"/>
      <c r="S95" s="58">
        <f t="shared" si="2"/>
        <v>714</v>
      </c>
      <c r="T95" s="58">
        <f t="shared" si="3"/>
        <v>0</v>
      </c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  <c r="BC95" s="6"/>
      <c r="BD95" s="6"/>
      <c r="BE95" s="6"/>
      <c r="BF95" s="6"/>
      <c r="BG95" s="6"/>
      <c r="BH95" s="6"/>
      <c r="BI95" s="6"/>
      <c r="BJ95" s="6"/>
      <c r="BK95" s="6"/>
      <c r="BL95" s="6"/>
      <c r="BM95" s="6"/>
      <c r="BN95" s="6"/>
      <c r="BO95" s="6"/>
      <c r="BP95" s="6"/>
      <c r="BQ95" s="6"/>
      <c r="BR95" s="6"/>
      <c r="BS95" s="6"/>
      <c r="BT95" s="6"/>
      <c r="BU95" s="6"/>
      <c r="BV95" s="6"/>
      <c r="BW95" s="6"/>
      <c r="BX95" s="6"/>
      <c r="BY95" s="6"/>
      <c r="BZ95" s="6"/>
      <c r="CA95" s="6"/>
      <c r="CB95" s="6"/>
      <c r="CC95" s="6"/>
      <c r="CD95" s="6"/>
      <c r="CE95" s="6"/>
      <c r="CF95" s="6"/>
      <c r="CG95" s="6"/>
      <c r="CH95" s="6"/>
      <c r="CI95" s="6"/>
      <c r="CJ95" s="6"/>
      <c r="CK95" s="6"/>
      <c r="CL95" s="6"/>
      <c r="CM95" s="6"/>
    </row>
    <row r="96" spans="1:91" s="42" customFormat="1" x14ac:dyDescent="0.25">
      <c r="A96" s="78" t="s">
        <v>132</v>
      </c>
      <c r="B96" s="79" t="s">
        <v>254</v>
      </c>
      <c r="C96" s="80">
        <v>42086</v>
      </c>
      <c r="D96" s="63"/>
      <c r="E96" s="64" t="s">
        <v>24</v>
      </c>
      <c r="F96" s="64" t="s">
        <v>35</v>
      </c>
      <c r="G96" s="56" t="s">
        <v>366</v>
      </c>
      <c r="H96" s="56" t="s">
        <v>41</v>
      </c>
      <c r="I96" s="57">
        <v>1277</v>
      </c>
      <c r="J96" s="57">
        <v>2</v>
      </c>
      <c r="K96" s="57"/>
      <c r="L96" s="57"/>
      <c r="M96" s="57"/>
      <c r="N96" s="57"/>
      <c r="O96" s="57"/>
      <c r="P96" s="57"/>
      <c r="Q96" s="57"/>
      <c r="R96" s="57"/>
      <c r="S96" s="58">
        <f t="shared" si="2"/>
        <v>1277</v>
      </c>
      <c r="T96" s="58">
        <f t="shared" si="3"/>
        <v>2</v>
      </c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  <c r="BC96" s="6"/>
      <c r="BD96" s="6"/>
      <c r="BE96" s="6"/>
      <c r="BF96" s="6"/>
      <c r="BG96" s="6"/>
      <c r="BH96" s="6"/>
      <c r="BI96" s="6"/>
      <c r="BJ96" s="6"/>
      <c r="BK96" s="6"/>
      <c r="BL96" s="6"/>
      <c r="BM96" s="6"/>
      <c r="BN96" s="6"/>
      <c r="BO96" s="6"/>
      <c r="BP96" s="6"/>
      <c r="BQ96" s="6"/>
      <c r="BR96" s="6"/>
      <c r="BS96" s="6"/>
      <c r="BT96" s="6"/>
      <c r="BU96" s="6"/>
      <c r="BV96" s="6"/>
      <c r="BW96" s="6"/>
      <c r="BX96" s="6"/>
      <c r="BY96" s="6"/>
      <c r="BZ96" s="6"/>
      <c r="CA96" s="6"/>
      <c r="CB96" s="6"/>
      <c r="CC96" s="6"/>
      <c r="CD96" s="6"/>
      <c r="CE96" s="6"/>
      <c r="CF96" s="6"/>
      <c r="CG96" s="6"/>
      <c r="CH96" s="6"/>
      <c r="CI96" s="6"/>
      <c r="CJ96" s="6"/>
      <c r="CK96" s="6"/>
      <c r="CL96" s="6"/>
      <c r="CM96" s="6"/>
    </row>
    <row r="97" spans="1:91" s="42" customFormat="1" x14ac:dyDescent="0.25">
      <c r="A97" s="78" t="s">
        <v>131</v>
      </c>
      <c r="B97" s="79" t="s">
        <v>230</v>
      </c>
      <c r="C97" s="80">
        <v>42086</v>
      </c>
      <c r="D97" s="63"/>
      <c r="E97" s="64" t="s">
        <v>25</v>
      </c>
      <c r="F97" s="64" t="s">
        <v>30</v>
      </c>
      <c r="G97" s="56" t="s">
        <v>365</v>
      </c>
      <c r="H97" s="56" t="s">
        <v>41</v>
      </c>
      <c r="I97" s="57">
        <v>1377</v>
      </c>
      <c r="J97" s="57">
        <v>12</v>
      </c>
      <c r="K97" s="57"/>
      <c r="L97" s="57"/>
      <c r="M97" s="57">
        <v>1000</v>
      </c>
      <c r="N97" s="57">
        <v>0</v>
      </c>
      <c r="O97" s="57"/>
      <c r="P97" s="57"/>
      <c r="Q97" s="57"/>
      <c r="R97" s="57"/>
      <c r="S97" s="58">
        <f t="shared" si="2"/>
        <v>2377</v>
      </c>
      <c r="T97" s="58">
        <f t="shared" si="3"/>
        <v>12</v>
      </c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  <c r="BC97" s="6"/>
      <c r="BD97" s="6"/>
      <c r="BE97" s="6"/>
      <c r="BF97" s="6"/>
      <c r="BG97" s="6"/>
      <c r="BH97" s="6"/>
      <c r="BI97" s="6"/>
      <c r="BJ97" s="6"/>
      <c r="BK97" s="6"/>
      <c r="BL97" s="6"/>
      <c r="BM97" s="6"/>
      <c r="BN97" s="6"/>
      <c r="BO97" s="6"/>
      <c r="BP97" s="6"/>
      <c r="BQ97" s="6"/>
      <c r="BR97" s="6"/>
      <c r="BS97" s="6"/>
      <c r="BT97" s="6"/>
      <c r="BU97" s="6"/>
      <c r="BV97" s="6"/>
      <c r="BW97" s="6"/>
      <c r="BX97" s="6"/>
      <c r="BY97" s="6"/>
      <c r="BZ97" s="6"/>
      <c r="CA97" s="6"/>
      <c r="CB97" s="6"/>
      <c r="CC97" s="6"/>
      <c r="CD97" s="6"/>
      <c r="CE97" s="6"/>
      <c r="CF97" s="6"/>
      <c r="CG97" s="6"/>
      <c r="CH97" s="6"/>
      <c r="CI97" s="6"/>
      <c r="CJ97" s="6"/>
      <c r="CK97" s="6"/>
      <c r="CL97" s="6"/>
      <c r="CM97" s="6"/>
    </row>
    <row r="98" spans="1:91" s="42" customFormat="1" x14ac:dyDescent="0.25">
      <c r="A98" s="78" t="s">
        <v>133</v>
      </c>
      <c r="B98" s="79" t="s">
        <v>253</v>
      </c>
      <c r="C98" s="80">
        <v>42087</v>
      </c>
      <c r="D98" s="63" t="s">
        <v>19</v>
      </c>
      <c r="E98" s="64" t="s">
        <v>24</v>
      </c>
      <c r="F98" s="64" t="s">
        <v>34</v>
      </c>
      <c r="G98" s="56" t="s">
        <v>366</v>
      </c>
      <c r="H98" s="56" t="s">
        <v>36</v>
      </c>
      <c r="I98" s="57">
        <v>635</v>
      </c>
      <c r="J98" s="57">
        <v>2</v>
      </c>
      <c r="K98" s="57">
        <v>2384</v>
      </c>
      <c r="L98" s="57">
        <v>0</v>
      </c>
      <c r="M98" s="57"/>
      <c r="N98" s="57"/>
      <c r="O98" s="57"/>
      <c r="P98" s="57"/>
      <c r="Q98" s="57"/>
      <c r="R98" s="57"/>
      <c r="S98" s="58">
        <f t="shared" si="2"/>
        <v>3019</v>
      </c>
      <c r="T98" s="58">
        <f t="shared" si="3"/>
        <v>2</v>
      </c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  <c r="BC98" s="6"/>
      <c r="BD98" s="6"/>
      <c r="BE98" s="6"/>
      <c r="BF98" s="6"/>
      <c r="BG98" s="6"/>
      <c r="BH98" s="6"/>
      <c r="BI98" s="6"/>
      <c r="BJ98" s="6"/>
      <c r="BK98" s="6"/>
      <c r="BL98" s="6"/>
      <c r="BM98" s="6"/>
      <c r="BN98" s="6"/>
      <c r="BO98" s="6"/>
      <c r="BP98" s="6"/>
      <c r="BQ98" s="6"/>
      <c r="BR98" s="6"/>
      <c r="BS98" s="6"/>
      <c r="BT98" s="6"/>
      <c r="BU98" s="6"/>
      <c r="BV98" s="6"/>
      <c r="BW98" s="6"/>
      <c r="BX98" s="6"/>
      <c r="BY98" s="6"/>
      <c r="BZ98" s="6"/>
      <c r="CA98" s="6"/>
      <c r="CB98" s="6"/>
      <c r="CC98" s="6"/>
      <c r="CD98" s="6"/>
      <c r="CE98" s="6"/>
      <c r="CF98" s="6"/>
      <c r="CG98" s="6"/>
      <c r="CH98" s="6"/>
      <c r="CI98" s="6"/>
      <c r="CJ98" s="6"/>
      <c r="CK98" s="6"/>
      <c r="CL98" s="6"/>
      <c r="CM98" s="6"/>
    </row>
    <row r="99" spans="1:91" s="42" customFormat="1" ht="30" x14ac:dyDescent="0.25">
      <c r="A99" s="78" t="s">
        <v>134</v>
      </c>
      <c r="B99" s="79" t="s">
        <v>252</v>
      </c>
      <c r="C99" s="80">
        <v>42087</v>
      </c>
      <c r="D99" s="63" t="s">
        <v>273</v>
      </c>
      <c r="E99" s="64" t="s">
        <v>22</v>
      </c>
      <c r="F99" s="64" t="s">
        <v>361</v>
      </c>
      <c r="G99" s="56" t="s">
        <v>366</v>
      </c>
      <c r="H99" s="56" t="s">
        <v>40</v>
      </c>
      <c r="I99" s="57">
        <v>704</v>
      </c>
      <c r="J99" s="57">
        <v>0</v>
      </c>
      <c r="K99" s="57"/>
      <c r="L99" s="57"/>
      <c r="M99" s="57"/>
      <c r="N99" s="57"/>
      <c r="O99" s="57"/>
      <c r="P99" s="57"/>
      <c r="Q99" s="57"/>
      <c r="R99" s="57"/>
      <c r="S99" s="58">
        <f t="shared" si="2"/>
        <v>704</v>
      </c>
      <c r="T99" s="58">
        <f t="shared" si="3"/>
        <v>0</v>
      </c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  <c r="BC99" s="6"/>
      <c r="BD99" s="6"/>
      <c r="BE99" s="6"/>
      <c r="BF99" s="6"/>
      <c r="BG99" s="6"/>
      <c r="BH99" s="6"/>
      <c r="BI99" s="6"/>
      <c r="BJ99" s="6"/>
      <c r="BK99" s="6"/>
      <c r="BL99" s="6"/>
      <c r="BM99" s="6"/>
      <c r="BN99" s="6"/>
      <c r="BO99" s="6"/>
      <c r="BP99" s="6"/>
      <c r="BQ99" s="6"/>
      <c r="BR99" s="6"/>
      <c r="BS99" s="6"/>
      <c r="BT99" s="6"/>
      <c r="BU99" s="6"/>
      <c r="BV99" s="6"/>
      <c r="BW99" s="6"/>
      <c r="BX99" s="6"/>
      <c r="BY99" s="6"/>
      <c r="BZ99" s="6"/>
      <c r="CA99" s="6"/>
      <c r="CB99" s="6"/>
      <c r="CC99" s="6"/>
      <c r="CD99" s="6"/>
      <c r="CE99" s="6"/>
      <c r="CF99" s="6"/>
      <c r="CG99" s="6"/>
      <c r="CH99" s="6"/>
      <c r="CI99" s="6"/>
      <c r="CJ99" s="6"/>
      <c r="CK99" s="6"/>
      <c r="CL99" s="6"/>
      <c r="CM99" s="6"/>
    </row>
    <row r="100" spans="1:91" s="42" customFormat="1" x14ac:dyDescent="0.25">
      <c r="A100" s="78" t="s">
        <v>135</v>
      </c>
      <c r="B100" s="79" t="s">
        <v>230</v>
      </c>
      <c r="C100" s="80">
        <v>42088</v>
      </c>
      <c r="D100" s="63"/>
      <c r="E100" s="64" t="s">
        <v>23</v>
      </c>
      <c r="F100" s="64" t="s">
        <v>27</v>
      </c>
      <c r="G100" s="56" t="s">
        <v>366</v>
      </c>
      <c r="H100" s="56" t="s">
        <v>41</v>
      </c>
      <c r="I100" s="57">
        <v>3701</v>
      </c>
      <c r="J100" s="57">
        <v>53</v>
      </c>
      <c r="K100" s="57"/>
      <c r="L100" s="57"/>
      <c r="M100" s="57"/>
      <c r="N100" s="57"/>
      <c r="O100" s="57"/>
      <c r="P100" s="57"/>
      <c r="Q100" s="57"/>
      <c r="R100" s="57"/>
      <c r="S100" s="58">
        <f t="shared" si="2"/>
        <v>3701</v>
      </c>
      <c r="T100" s="58">
        <f t="shared" si="3"/>
        <v>53</v>
      </c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  <c r="BC100" s="6"/>
      <c r="BD100" s="6"/>
      <c r="BE100" s="6"/>
      <c r="BF100" s="6"/>
      <c r="BG100" s="6"/>
      <c r="BH100" s="6"/>
      <c r="BI100" s="6"/>
      <c r="BJ100" s="6"/>
      <c r="BK100" s="6"/>
      <c r="BL100" s="6"/>
      <c r="BM100" s="6"/>
      <c r="BN100" s="6"/>
      <c r="BO100" s="6"/>
      <c r="BP100" s="6"/>
      <c r="BQ100" s="6"/>
      <c r="BR100" s="6"/>
      <c r="BS100" s="6"/>
      <c r="BT100" s="6"/>
      <c r="BU100" s="6"/>
      <c r="BV100" s="6"/>
      <c r="BW100" s="6"/>
      <c r="BX100" s="6"/>
      <c r="BY100" s="6"/>
      <c r="BZ100" s="6"/>
      <c r="CA100" s="6"/>
      <c r="CB100" s="6"/>
      <c r="CC100" s="6"/>
      <c r="CD100" s="6"/>
      <c r="CE100" s="6"/>
      <c r="CF100" s="6"/>
      <c r="CG100" s="6"/>
      <c r="CH100" s="6"/>
      <c r="CI100" s="6"/>
      <c r="CJ100" s="6"/>
      <c r="CK100" s="6"/>
      <c r="CL100" s="6"/>
      <c r="CM100" s="6"/>
    </row>
    <row r="101" spans="1:91" s="42" customFormat="1" ht="30" x14ac:dyDescent="0.25">
      <c r="A101" s="78" t="s">
        <v>136</v>
      </c>
      <c r="B101" s="79" t="s">
        <v>251</v>
      </c>
      <c r="C101" s="80">
        <v>42089</v>
      </c>
      <c r="D101" s="63" t="s">
        <v>278</v>
      </c>
      <c r="E101" s="64" t="s">
        <v>361</v>
      </c>
      <c r="F101" s="64" t="s">
        <v>27</v>
      </c>
      <c r="G101" s="56" t="s">
        <v>366</v>
      </c>
      <c r="H101" s="56" t="s">
        <v>41</v>
      </c>
      <c r="I101" s="57">
        <v>1353</v>
      </c>
      <c r="J101" s="57">
        <v>4</v>
      </c>
      <c r="K101" s="57"/>
      <c r="L101" s="57"/>
      <c r="M101" s="57"/>
      <c r="N101" s="57"/>
      <c r="O101" s="57"/>
      <c r="P101" s="57"/>
      <c r="Q101" s="57"/>
      <c r="R101" s="57"/>
      <c r="S101" s="58">
        <f t="shared" si="2"/>
        <v>1353</v>
      </c>
      <c r="T101" s="58">
        <f t="shared" si="3"/>
        <v>4</v>
      </c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  <c r="BC101" s="6"/>
      <c r="BD101" s="6"/>
      <c r="BE101" s="6"/>
      <c r="BF101" s="6"/>
      <c r="BG101" s="6"/>
      <c r="BH101" s="6"/>
      <c r="BI101" s="6"/>
      <c r="BJ101" s="6"/>
      <c r="BK101" s="6"/>
      <c r="BL101" s="6"/>
      <c r="BM101" s="6"/>
      <c r="BN101" s="6"/>
      <c r="BO101" s="6"/>
      <c r="BP101" s="6"/>
      <c r="BQ101" s="6"/>
      <c r="BR101" s="6"/>
      <c r="BS101" s="6"/>
      <c r="BT101" s="6"/>
      <c r="BU101" s="6"/>
      <c r="BV101" s="6"/>
      <c r="BW101" s="6"/>
      <c r="BX101" s="6"/>
      <c r="BY101" s="6"/>
      <c r="BZ101" s="6"/>
      <c r="CA101" s="6"/>
      <c r="CB101" s="6"/>
      <c r="CC101" s="6"/>
      <c r="CD101" s="6"/>
      <c r="CE101" s="6"/>
      <c r="CF101" s="6"/>
      <c r="CG101" s="6"/>
      <c r="CH101" s="6"/>
      <c r="CI101" s="6"/>
      <c r="CJ101" s="6"/>
      <c r="CK101" s="6"/>
      <c r="CL101" s="6"/>
      <c r="CM101" s="6"/>
    </row>
    <row r="102" spans="1:91" s="42" customFormat="1" x14ac:dyDescent="0.25">
      <c r="A102" s="78" t="s">
        <v>137</v>
      </c>
      <c r="B102" s="79" t="s">
        <v>218</v>
      </c>
      <c r="C102" s="80">
        <v>42089</v>
      </c>
      <c r="D102" s="63"/>
      <c r="E102" s="64" t="s">
        <v>24</v>
      </c>
      <c r="F102" s="83" t="s">
        <v>30</v>
      </c>
      <c r="G102" s="84" t="s">
        <v>365</v>
      </c>
      <c r="H102" s="56" t="s">
        <v>37</v>
      </c>
      <c r="I102" s="57">
        <v>1342</v>
      </c>
      <c r="J102" s="57">
        <v>6</v>
      </c>
      <c r="K102" s="57"/>
      <c r="L102" s="57"/>
      <c r="M102" s="57">
        <v>172</v>
      </c>
      <c r="N102" s="57">
        <v>0</v>
      </c>
      <c r="O102" s="57"/>
      <c r="P102" s="57"/>
      <c r="Q102" s="57"/>
      <c r="R102" s="57"/>
      <c r="S102" s="58">
        <f t="shared" si="2"/>
        <v>1514</v>
      </c>
      <c r="T102" s="58">
        <f t="shared" si="3"/>
        <v>6</v>
      </c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  <c r="BC102" s="6"/>
      <c r="BD102" s="6"/>
      <c r="BE102" s="6"/>
      <c r="BF102" s="6"/>
      <c r="BG102" s="6"/>
      <c r="BH102" s="6"/>
      <c r="BI102" s="6"/>
      <c r="BJ102" s="6"/>
      <c r="BK102" s="6"/>
      <c r="BL102" s="6"/>
      <c r="BM102" s="6"/>
      <c r="BN102" s="6"/>
      <c r="BO102" s="6"/>
      <c r="BP102" s="6"/>
      <c r="BQ102" s="6"/>
      <c r="BR102" s="6"/>
      <c r="BS102" s="6"/>
      <c r="BT102" s="6"/>
      <c r="BU102" s="6"/>
      <c r="BV102" s="6"/>
      <c r="BW102" s="6"/>
      <c r="BX102" s="6"/>
      <c r="BY102" s="6"/>
      <c r="BZ102" s="6"/>
      <c r="CA102" s="6"/>
      <c r="CB102" s="6"/>
      <c r="CC102" s="6"/>
      <c r="CD102" s="6"/>
      <c r="CE102" s="6"/>
      <c r="CF102" s="6"/>
      <c r="CG102" s="6"/>
      <c r="CH102" s="6"/>
      <c r="CI102" s="6"/>
      <c r="CJ102" s="6"/>
      <c r="CK102" s="6"/>
      <c r="CL102" s="6"/>
      <c r="CM102" s="6"/>
    </row>
    <row r="103" spans="1:91" s="42" customFormat="1" x14ac:dyDescent="0.25">
      <c r="A103" s="91" t="s">
        <v>138</v>
      </c>
      <c r="B103" s="79" t="s">
        <v>228</v>
      </c>
      <c r="C103" s="80">
        <v>42093</v>
      </c>
      <c r="D103" s="63" t="s">
        <v>19</v>
      </c>
      <c r="E103" s="64" t="s">
        <v>23</v>
      </c>
      <c r="F103" s="64" t="s">
        <v>30</v>
      </c>
      <c r="G103" s="56" t="s">
        <v>365</v>
      </c>
      <c r="H103" s="56" t="s">
        <v>40</v>
      </c>
      <c r="I103" s="57">
        <v>1009</v>
      </c>
      <c r="J103" s="57">
        <v>3</v>
      </c>
      <c r="K103" s="57"/>
      <c r="L103" s="57"/>
      <c r="M103" s="57"/>
      <c r="N103" s="57"/>
      <c r="O103" s="57"/>
      <c r="P103" s="57"/>
      <c r="Q103" s="57"/>
      <c r="R103" s="57"/>
      <c r="S103" s="58">
        <f t="shared" si="2"/>
        <v>1009</v>
      </c>
      <c r="T103" s="58">
        <f t="shared" si="3"/>
        <v>3</v>
      </c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  <c r="BC103" s="6"/>
      <c r="BD103" s="6"/>
      <c r="BE103" s="6"/>
      <c r="BF103" s="6"/>
      <c r="BG103" s="6"/>
      <c r="BH103" s="6"/>
      <c r="BI103" s="6"/>
      <c r="BJ103" s="6"/>
      <c r="BK103" s="6"/>
      <c r="BL103" s="6"/>
      <c r="BM103" s="6"/>
      <c r="BN103" s="6"/>
      <c r="BO103" s="6"/>
      <c r="BP103" s="6"/>
      <c r="BQ103" s="6"/>
      <c r="BR103" s="6"/>
      <c r="BS103" s="6"/>
      <c r="BT103" s="6"/>
      <c r="BU103" s="6"/>
      <c r="BV103" s="6"/>
      <c r="BW103" s="6"/>
      <c r="BX103" s="6"/>
      <c r="BY103" s="6"/>
      <c r="BZ103" s="6"/>
      <c r="CA103" s="6"/>
      <c r="CB103" s="6"/>
      <c r="CC103" s="6"/>
      <c r="CD103" s="6"/>
      <c r="CE103" s="6"/>
      <c r="CF103" s="6"/>
      <c r="CG103" s="6"/>
      <c r="CH103" s="6"/>
      <c r="CI103" s="6"/>
      <c r="CJ103" s="6"/>
      <c r="CK103" s="6"/>
      <c r="CL103" s="6"/>
      <c r="CM103" s="6"/>
    </row>
    <row r="104" spans="1:91" s="42" customFormat="1" x14ac:dyDescent="0.25">
      <c r="A104" s="91" t="s">
        <v>140</v>
      </c>
      <c r="B104" s="79" t="s">
        <v>228</v>
      </c>
      <c r="C104" s="80">
        <v>42094</v>
      </c>
      <c r="D104" s="63" t="s">
        <v>20</v>
      </c>
      <c r="E104" s="64" t="s">
        <v>361</v>
      </c>
      <c r="F104" s="64" t="s">
        <v>361</v>
      </c>
      <c r="G104" s="56" t="s">
        <v>366</v>
      </c>
      <c r="H104" s="56" t="s">
        <v>41</v>
      </c>
      <c r="I104" s="57">
        <v>12284</v>
      </c>
      <c r="J104" s="57">
        <v>103</v>
      </c>
      <c r="K104" s="57"/>
      <c r="L104" s="57"/>
      <c r="M104" s="57"/>
      <c r="N104" s="57"/>
      <c r="O104" s="57"/>
      <c r="P104" s="57"/>
      <c r="Q104" s="57"/>
      <c r="R104" s="57"/>
      <c r="S104" s="58">
        <f t="shared" si="2"/>
        <v>12284</v>
      </c>
      <c r="T104" s="58">
        <f t="shared" si="3"/>
        <v>103</v>
      </c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I104" s="6"/>
      <c r="BJ104" s="6"/>
      <c r="BK104" s="6"/>
      <c r="BL104" s="6"/>
      <c r="BM104" s="6"/>
      <c r="BN104" s="6"/>
      <c r="BO104" s="6"/>
      <c r="BP104" s="6"/>
      <c r="BQ104" s="6"/>
      <c r="BR104" s="6"/>
      <c r="BS104" s="6"/>
      <c r="BT104" s="6"/>
      <c r="BU104" s="6"/>
      <c r="BV104" s="6"/>
      <c r="BW104" s="6"/>
      <c r="BX104" s="6"/>
      <c r="BY104" s="6"/>
      <c r="BZ104" s="6"/>
      <c r="CA104" s="6"/>
      <c r="CB104" s="6"/>
      <c r="CC104" s="6"/>
      <c r="CD104" s="6"/>
      <c r="CE104" s="6"/>
      <c r="CF104" s="6"/>
      <c r="CG104" s="6"/>
      <c r="CH104" s="6"/>
      <c r="CI104" s="6"/>
      <c r="CJ104" s="6"/>
      <c r="CK104" s="6"/>
      <c r="CL104" s="6"/>
      <c r="CM104" s="6"/>
    </row>
    <row r="105" spans="1:91" s="42" customFormat="1" x14ac:dyDescent="0.25">
      <c r="A105" s="91" t="s">
        <v>139</v>
      </c>
      <c r="B105" s="79" t="s">
        <v>356</v>
      </c>
      <c r="C105" s="80">
        <v>42094</v>
      </c>
      <c r="D105" s="63" t="s">
        <v>19</v>
      </c>
      <c r="E105" s="64" t="s">
        <v>24</v>
      </c>
      <c r="F105" s="64" t="s">
        <v>29</v>
      </c>
      <c r="G105" s="56" t="s">
        <v>366</v>
      </c>
      <c r="H105" s="56" t="s">
        <v>39</v>
      </c>
      <c r="I105" s="57">
        <v>863</v>
      </c>
      <c r="J105" s="57">
        <v>24</v>
      </c>
      <c r="K105" s="57"/>
      <c r="L105" s="57"/>
      <c r="M105" s="57"/>
      <c r="N105" s="57"/>
      <c r="O105" s="57"/>
      <c r="P105" s="57"/>
      <c r="Q105" s="57"/>
      <c r="R105" s="57"/>
      <c r="S105" s="58">
        <f t="shared" si="2"/>
        <v>863</v>
      </c>
      <c r="T105" s="58">
        <f t="shared" si="3"/>
        <v>24</v>
      </c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  <c r="BH105" s="6"/>
      <c r="BI105" s="6"/>
      <c r="BJ105" s="6"/>
      <c r="BK105" s="6"/>
      <c r="BL105" s="6"/>
      <c r="BM105" s="6"/>
      <c r="BN105" s="6"/>
      <c r="BO105" s="6"/>
      <c r="BP105" s="6"/>
      <c r="BQ105" s="6"/>
      <c r="BR105" s="6"/>
      <c r="BS105" s="6"/>
      <c r="BT105" s="6"/>
      <c r="BU105" s="6"/>
      <c r="BV105" s="6"/>
      <c r="BW105" s="6"/>
      <c r="BX105" s="6"/>
      <c r="BY105" s="6"/>
      <c r="BZ105" s="6"/>
      <c r="CA105" s="6"/>
      <c r="CB105" s="6"/>
      <c r="CC105" s="6"/>
      <c r="CD105" s="6"/>
      <c r="CE105" s="6"/>
      <c r="CF105" s="6"/>
      <c r="CG105" s="6"/>
      <c r="CH105" s="6"/>
      <c r="CI105" s="6"/>
      <c r="CJ105" s="6"/>
      <c r="CK105" s="6"/>
      <c r="CL105" s="6"/>
      <c r="CM105" s="6"/>
    </row>
    <row r="106" spans="1:91" s="42" customFormat="1" x14ac:dyDescent="0.25">
      <c r="A106" s="91" t="s">
        <v>143</v>
      </c>
      <c r="B106" s="79" t="s">
        <v>221</v>
      </c>
      <c r="C106" s="80">
        <v>42094</v>
      </c>
      <c r="D106" s="63" t="s">
        <v>19</v>
      </c>
      <c r="E106" s="64" t="s">
        <v>361</v>
      </c>
      <c r="F106" s="64" t="s">
        <v>32</v>
      </c>
      <c r="G106" s="56" t="s">
        <v>366</v>
      </c>
      <c r="H106" s="56" t="s">
        <v>41</v>
      </c>
      <c r="I106" s="57">
        <v>722</v>
      </c>
      <c r="J106" s="57">
        <v>0</v>
      </c>
      <c r="K106" s="57">
        <v>2156</v>
      </c>
      <c r="L106" s="57">
        <v>1</v>
      </c>
      <c r="M106" s="57"/>
      <c r="N106" s="57"/>
      <c r="O106" s="57"/>
      <c r="P106" s="57"/>
      <c r="Q106" s="57"/>
      <c r="R106" s="57"/>
      <c r="S106" s="58">
        <f t="shared" si="2"/>
        <v>2878</v>
      </c>
      <c r="T106" s="58">
        <f t="shared" si="3"/>
        <v>1</v>
      </c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  <c r="BC106" s="6"/>
      <c r="BD106" s="6"/>
      <c r="BE106" s="6"/>
      <c r="BF106" s="6"/>
      <c r="BG106" s="6"/>
      <c r="BH106" s="6"/>
      <c r="BI106" s="6"/>
      <c r="BJ106" s="6"/>
      <c r="BK106" s="6"/>
      <c r="BL106" s="6"/>
      <c r="BM106" s="6"/>
      <c r="BN106" s="6"/>
      <c r="BO106" s="6"/>
      <c r="BP106" s="6"/>
      <c r="BQ106" s="6"/>
      <c r="BR106" s="6"/>
      <c r="BS106" s="6"/>
      <c r="BT106" s="6"/>
      <c r="BU106" s="6"/>
      <c r="BV106" s="6"/>
      <c r="BW106" s="6"/>
      <c r="BX106" s="6"/>
      <c r="BY106" s="6"/>
      <c r="BZ106" s="6"/>
      <c r="CA106" s="6"/>
      <c r="CB106" s="6"/>
      <c r="CC106" s="6"/>
      <c r="CD106" s="6"/>
      <c r="CE106" s="6"/>
      <c r="CF106" s="6"/>
      <c r="CG106" s="6"/>
      <c r="CH106" s="6"/>
      <c r="CI106" s="6"/>
      <c r="CJ106" s="6"/>
      <c r="CK106" s="6"/>
      <c r="CL106" s="6"/>
      <c r="CM106" s="6"/>
    </row>
    <row r="107" spans="1:91" s="44" customFormat="1" x14ac:dyDescent="0.25">
      <c r="A107" s="91" t="s">
        <v>142</v>
      </c>
      <c r="B107" s="79" t="s">
        <v>228</v>
      </c>
      <c r="C107" s="80">
        <v>42094</v>
      </c>
      <c r="D107" s="63"/>
      <c r="E107" s="64" t="s">
        <v>361</v>
      </c>
      <c r="F107" s="64" t="s">
        <v>361</v>
      </c>
      <c r="G107" s="56" t="s">
        <v>366</v>
      </c>
      <c r="H107" s="56" t="s">
        <v>41</v>
      </c>
      <c r="I107" s="57">
        <v>829</v>
      </c>
      <c r="J107" s="57">
        <v>1</v>
      </c>
      <c r="K107" s="57"/>
      <c r="L107" s="57"/>
      <c r="M107" s="57"/>
      <c r="N107" s="57"/>
      <c r="O107" s="57"/>
      <c r="P107" s="57"/>
      <c r="Q107" s="57"/>
      <c r="R107" s="57"/>
      <c r="S107" s="58">
        <f t="shared" si="2"/>
        <v>829</v>
      </c>
      <c r="T107" s="58">
        <f t="shared" si="3"/>
        <v>1</v>
      </c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  <c r="BC107" s="6"/>
      <c r="BD107" s="6"/>
      <c r="BE107" s="6"/>
      <c r="BF107" s="6"/>
      <c r="BG107" s="6"/>
      <c r="BH107" s="6"/>
      <c r="BI107" s="6"/>
      <c r="BJ107" s="6"/>
      <c r="BK107" s="6"/>
      <c r="BL107" s="6"/>
      <c r="BM107" s="6"/>
      <c r="BN107" s="6"/>
      <c r="BO107" s="6"/>
      <c r="BP107" s="6"/>
      <c r="BQ107" s="6"/>
      <c r="BR107" s="6"/>
      <c r="BS107" s="6"/>
      <c r="BT107" s="6"/>
      <c r="BU107" s="6"/>
      <c r="BV107" s="6"/>
      <c r="BW107" s="6"/>
      <c r="BX107" s="6"/>
      <c r="BY107" s="6"/>
      <c r="BZ107" s="6"/>
      <c r="CA107" s="6"/>
      <c r="CB107" s="6"/>
      <c r="CC107" s="6"/>
      <c r="CD107" s="6"/>
      <c r="CE107" s="6"/>
      <c r="CF107" s="6"/>
      <c r="CG107" s="6"/>
      <c r="CH107" s="6"/>
      <c r="CI107" s="6"/>
      <c r="CJ107" s="6"/>
      <c r="CK107" s="6"/>
      <c r="CL107" s="6"/>
      <c r="CM107" s="6"/>
    </row>
    <row r="108" spans="1:91" s="42" customFormat="1" ht="30" x14ac:dyDescent="0.25">
      <c r="A108" s="91" t="s">
        <v>141</v>
      </c>
      <c r="B108" s="79" t="s">
        <v>223</v>
      </c>
      <c r="C108" s="80">
        <v>42094</v>
      </c>
      <c r="D108" s="63"/>
      <c r="E108" s="64" t="s">
        <v>23</v>
      </c>
      <c r="F108" s="64" t="s">
        <v>30</v>
      </c>
      <c r="G108" s="56" t="s">
        <v>365</v>
      </c>
      <c r="H108" s="56" t="s">
        <v>41</v>
      </c>
      <c r="I108" s="57">
        <v>1785</v>
      </c>
      <c r="J108" s="57">
        <v>12</v>
      </c>
      <c r="K108" s="57"/>
      <c r="L108" s="57"/>
      <c r="M108" s="57"/>
      <c r="N108" s="57"/>
      <c r="O108" s="57">
        <v>1597</v>
      </c>
      <c r="P108" s="57">
        <v>7</v>
      </c>
      <c r="Q108" s="57"/>
      <c r="R108" s="57"/>
      <c r="S108" s="58">
        <f t="shared" si="2"/>
        <v>3382</v>
      </c>
      <c r="T108" s="58">
        <f t="shared" si="3"/>
        <v>19</v>
      </c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  <c r="BC108" s="6"/>
      <c r="BD108" s="6"/>
      <c r="BE108" s="6"/>
      <c r="BF108" s="6"/>
      <c r="BG108" s="6"/>
      <c r="BH108" s="6"/>
      <c r="BI108" s="6"/>
      <c r="BJ108" s="6"/>
      <c r="BK108" s="6"/>
      <c r="BL108" s="6"/>
      <c r="BM108" s="6"/>
      <c r="BN108" s="6"/>
      <c r="BO108" s="6"/>
      <c r="BP108" s="6"/>
      <c r="BQ108" s="6"/>
      <c r="BR108" s="6"/>
      <c r="BS108" s="6"/>
      <c r="BT108" s="6"/>
      <c r="BU108" s="6"/>
      <c r="BV108" s="6"/>
      <c r="BW108" s="6"/>
      <c r="BX108" s="6"/>
      <c r="BY108" s="6"/>
      <c r="BZ108" s="6"/>
      <c r="CA108" s="6"/>
      <c r="CB108" s="6"/>
      <c r="CC108" s="6"/>
      <c r="CD108" s="6"/>
      <c r="CE108" s="6"/>
      <c r="CF108" s="6"/>
      <c r="CG108" s="6"/>
      <c r="CH108" s="6"/>
      <c r="CI108" s="6"/>
      <c r="CJ108" s="6"/>
      <c r="CK108" s="6"/>
      <c r="CL108" s="6"/>
      <c r="CM108" s="6"/>
    </row>
    <row r="109" spans="1:91" s="42" customFormat="1" x14ac:dyDescent="0.25">
      <c r="A109" s="92" t="s">
        <v>205</v>
      </c>
      <c r="B109" s="87" t="s">
        <v>234</v>
      </c>
      <c r="C109" s="80">
        <v>42095</v>
      </c>
      <c r="D109" s="63"/>
      <c r="E109" s="64" t="s">
        <v>23</v>
      </c>
      <c r="F109" s="64" t="s">
        <v>30</v>
      </c>
      <c r="G109" s="56" t="s">
        <v>365</v>
      </c>
      <c r="H109" s="56" t="s">
        <v>41</v>
      </c>
      <c r="I109" s="57">
        <v>541</v>
      </c>
      <c r="J109" s="57">
        <v>0</v>
      </c>
      <c r="K109" s="57"/>
      <c r="L109" s="57"/>
      <c r="M109" s="57"/>
      <c r="N109" s="57"/>
      <c r="O109" s="57"/>
      <c r="P109" s="57"/>
      <c r="Q109" s="57"/>
      <c r="R109" s="57"/>
      <c r="S109" s="58">
        <f t="shared" si="2"/>
        <v>541</v>
      </c>
      <c r="T109" s="58">
        <f t="shared" si="3"/>
        <v>0</v>
      </c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  <c r="BC109" s="6"/>
      <c r="BD109" s="6"/>
      <c r="BE109" s="6"/>
      <c r="BF109" s="6"/>
      <c r="BG109" s="6"/>
      <c r="BH109" s="6"/>
      <c r="BI109" s="6"/>
      <c r="BJ109" s="6"/>
      <c r="BK109" s="6"/>
      <c r="BL109" s="6"/>
      <c r="BM109" s="6"/>
      <c r="BN109" s="6"/>
      <c r="BO109" s="6"/>
      <c r="BP109" s="6"/>
      <c r="BQ109" s="6"/>
      <c r="BR109" s="6"/>
      <c r="BS109" s="6"/>
      <c r="BT109" s="6"/>
      <c r="BU109" s="6"/>
      <c r="BV109" s="6"/>
      <c r="BW109" s="6"/>
      <c r="BX109" s="6"/>
      <c r="BY109" s="6"/>
      <c r="BZ109" s="6"/>
      <c r="CA109" s="6"/>
      <c r="CB109" s="6"/>
      <c r="CC109" s="6"/>
      <c r="CD109" s="6"/>
      <c r="CE109" s="6"/>
      <c r="CF109" s="6"/>
      <c r="CG109" s="6"/>
      <c r="CH109" s="6"/>
      <c r="CI109" s="6"/>
      <c r="CJ109" s="6"/>
      <c r="CK109" s="6"/>
      <c r="CL109" s="6"/>
      <c r="CM109" s="6"/>
    </row>
    <row r="110" spans="1:91" s="42" customFormat="1" x14ac:dyDescent="0.25">
      <c r="A110" s="92" t="s">
        <v>206</v>
      </c>
      <c r="B110" s="87" t="s">
        <v>235</v>
      </c>
      <c r="C110" s="80">
        <v>42096</v>
      </c>
      <c r="D110" s="63"/>
      <c r="E110" s="64" t="s">
        <v>24</v>
      </c>
      <c r="F110" s="64" t="s">
        <v>31</v>
      </c>
      <c r="G110" s="56" t="s">
        <v>366</v>
      </c>
      <c r="H110" s="56" t="s">
        <v>40</v>
      </c>
      <c r="I110" s="57">
        <v>768</v>
      </c>
      <c r="J110" s="57">
        <v>0</v>
      </c>
      <c r="K110" s="57"/>
      <c r="L110" s="57"/>
      <c r="M110" s="57"/>
      <c r="N110" s="57"/>
      <c r="O110" s="57"/>
      <c r="P110" s="57"/>
      <c r="Q110" s="57"/>
      <c r="R110" s="57"/>
      <c r="S110" s="58">
        <f t="shared" si="2"/>
        <v>768</v>
      </c>
      <c r="T110" s="58">
        <f t="shared" si="3"/>
        <v>0</v>
      </c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  <c r="BC110" s="6"/>
      <c r="BD110" s="6"/>
      <c r="BE110" s="6"/>
      <c r="BF110" s="6"/>
      <c r="BG110" s="6"/>
      <c r="BH110" s="6"/>
      <c r="BI110" s="6"/>
      <c r="BJ110" s="6"/>
      <c r="BK110" s="6"/>
      <c r="BL110" s="6"/>
      <c r="BM110" s="6"/>
      <c r="BN110" s="6"/>
      <c r="BO110" s="6"/>
      <c r="BP110" s="6"/>
      <c r="BQ110" s="6"/>
      <c r="BR110" s="6"/>
      <c r="BS110" s="6"/>
      <c r="BT110" s="6"/>
      <c r="BU110" s="6"/>
      <c r="BV110" s="6"/>
      <c r="BW110" s="6"/>
      <c r="BX110" s="6"/>
      <c r="BY110" s="6"/>
      <c r="BZ110" s="6"/>
      <c r="CA110" s="6"/>
      <c r="CB110" s="6"/>
      <c r="CC110" s="6"/>
      <c r="CD110" s="6"/>
      <c r="CE110" s="6"/>
      <c r="CF110" s="6"/>
      <c r="CG110" s="6"/>
      <c r="CH110" s="6"/>
      <c r="CI110" s="6"/>
      <c r="CJ110" s="6"/>
      <c r="CK110" s="6"/>
      <c r="CL110" s="6"/>
      <c r="CM110" s="6"/>
    </row>
    <row r="111" spans="1:91" s="44" customFormat="1" x14ac:dyDescent="0.25">
      <c r="A111" s="92" t="s">
        <v>204</v>
      </c>
      <c r="B111" s="87" t="s">
        <v>229</v>
      </c>
      <c r="C111" s="80">
        <v>42101</v>
      </c>
      <c r="D111" s="63"/>
      <c r="E111" s="64" t="s">
        <v>24</v>
      </c>
      <c r="F111" s="64" t="s">
        <v>29</v>
      </c>
      <c r="G111" s="56" t="s">
        <v>366</v>
      </c>
      <c r="H111" s="56" t="s">
        <v>37</v>
      </c>
      <c r="I111" s="57">
        <v>873</v>
      </c>
      <c r="J111" s="57">
        <v>6</v>
      </c>
      <c r="K111" s="57">
        <v>7606</v>
      </c>
      <c r="L111" s="57">
        <v>0</v>
      </c>
      <c r="M111" s="57">
        <v>171</v>
      </c>
      <c r="N111" s="57">
        <v>0</v>
      </c>
      <c r="O111" s="57">
        <v>713</v>
      </c>
      <c r="P111" s="57">
        <v>2</v>
      </c>
      <c r="Q111" s="57"/>
      <c r="R111" s="57"/>
      <c r="S111" s="58">
        <f t="shared" si="2"/>
        <v>9363</v>
      </c>
      <c r="T111" s="58">
        <f t="shared" si="3"/>
        <v>8</v>
      </c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  <c r="BC111" s="6"/>
      <c r="BD111" s="6"/>
      <c r="BE111" s="6"/>
      <c r="BF111" s="6"/>
      <c r="BG111" s="6"/>
      <c r="BH111" s="6"/>
      <c r="BI111" s="6"/>
      <c r="BJ111" s="6"/>
      <c r="BK111" s="6"/>
      <c r="BL111" s="6"/>
      <c r="BM111" s="6"/>
      <c r="BN111" s="6"/>
      <c r="BO111" s="6"/>
      <c r="BP111" s="6"/>
      <c r="BQ111" s="6"/>
      <c r="BR111" s="6"/>
      <c r="BS111" s="6"/>
      <c r="BT111" s="6"/>
      <c r="BU111" s="6"/>
      <c r="BV111" s="6"/>
      <c r="BW111" s="6"/>
      <c r="BX111" s="6"/>
      <c r="BY111" s="6"/>
      <c r="BZ111" s="6"/>
      <c r="CA111" s="6"/>
      <c r="CB111" s="6"/>
      <c r="CC111" s="6"/>
      <c r="CD111" s="6"/>
      <c r="CE111" s="6"/>
      <c r="CF111" s="6"/>
      <c r="CG111" s="6"/>
      <c r="CH111" s="6"/>
      <c r="CI111" s="6"/>
      <c r="CJ111" s="6"/>
      <c r="CK111" s="6"/>
      <c r="CL111" s="6"/>
      <c r="CM111" s="6"/>
    </row>
    <row r="112" spans="1:91" s="42" customFormat="1" x14ac:dyDescent="0.25">
      <c r="A112" s="92" t="s">
        <v>128</v>
      </c>
      <c r="B112" s="87" t="s">
        <v>227</v>
      </c>
      <c r="C112" s="80">
        <v>42101</v>
      </c>
      <c r="D112" s="63"/>
      <c r="E112" s="64" t="s">
        <v>361</v>
      </c>
      <c r="F112" s="64" t="s">
        <v>361</v>
      </c>
      <c r="G112" s="56" t="s">
        <v>366</v>
      </c>
      <c r="H112" s="56" t="s">
        <v>41</v>
      </c>
      <c r="I112" s="90">
        <v>1120</v>
      </c>
      <c r="J112" s="57">
        <v>0</v>
      </c>
      <c r="K112" s="57"/>
      <c r="L112" s="57"/>
      <c r="M112" s="57"/>
      <c r="N112" s="57"/>
      <c r="O112" s="57"/>
      <c r="P112" s="57"/>
      <c r="Q112" s="57"/>
      <c r="R112" s="57"/>
      <c r="S112" s="58">
        <f t="shared" si="2"/>
        <v>1120</v>
      </c>
      <c r="T112" s="58">
        <f t="shared" si="3"/>
        <v>0</v>
      </c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  <c r="BC112" s="6"/>
      <c r="BD112" s="6"/>
      <c r="BE112" s="6"/>
      <c r="BF112" s="6"/>
      <c r="BG112" s="6"/>
      <c r="BH112" s="6"/>
      <c r="BI112" s="6"/>
      <c r="BJ112" s="6"/>
      <c r="BK112" s="6"/>
      <c r="BL112" s="6"/>
      <c r="BM112" s="6"/>
      <c r="BN112" s="6"/>
      <c r="BO112" s="6"/>
      <c r="BP112" s="6"/>
      <c r="BQ112" s="6"/>
      <c r="BR112" s="6"/>
      <c r="BS112" s="6"/>
      <c r="BT112" s="6"/>
      <c r="BU112" s="6"/>
      <c r="BV112" s="6"/>
      <c r="BW112" s="6"/>
      <c r="BX112" s="6"/>
      <c r="BY112" s="6"/>
      <c r="BZ112" s="6"/>
      <c r="CA112" s="6"/>
      <c r="CB112" s="6"/>
      <c r="CC112" s="6"/>
      <c r="CD112" s="6"/>
      <c r="CE112" s="6"/>
      <c r="CF112" s="6"/>
      <c r="CG112" s="6"/>
      <c r="CH112" s="6"/>
      <c r="CI112" s="6"/>
      <c r="CJ112" s="6"/>
      <c r="CK112" s="6"/>
      <c r="CL112" s="6"/>
      <c r="CM112" s="6"/>
    </row>
    <row r="113" spans="1:91" s="42" customFormat="1" x14ac:dyDescent="0.25">
      <c r="A113" s="92" t="s">
        <v>197</v>
      </c>
      <c r="B113" s="87" t="s">
        <v>218</v>
      </c>
      <c r="C113" s="80">
        <v>42102</v>
      </c>
      <c r="D113" s="63"/>
      <c r="E113" s="64" t="s">
        <v>24</v>
      </c>
      <c r="F113" s="83" t="s">
        <v>30</v>
      </c>
      <c r="G113" s="84" t="s">
        <v>365</v>
      </c>
      <c r="H113" s="56" t="s">
        <v>41</v>
      </c>
      <c r="I113" s="57">
        <v>769</v>
      </c>
      <c r="J113" s="57">
        <v>0</v>
      </c>
      <c r="K113" s="57"/>
      <c r="L113" s="57"/>
      <c r="M113" s="57"/>
      <c r="N113" s="57"/>
      <c r="O113" s="57"/>
      <c r="P113" s="57"/>
      <c r="Q113" s="57"/>
      <c r="R113" s="57"/>
      <c r="S113" s="58">
        <f t="shared" si="2"/>
        <v>769</v>
      </c>
      <c r="T113" s="58">
        <f t="shared" si="3"/>
        <v>0</v>
      </c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  <c r="BC113" s="6"/>
      <c r="BD113" s="6"/>
      <c r="BE113" s="6"/>
      <c r="BF113" s="6"/>
      <c r="BG113" s="6"/>
      <c r="BH113" s="6"/>
      <c r="BI113" s="6"/>
      <c r="BJ113" s="6"/>
      <c r="BK113" s="6"/>
      <c r="BL113" s="6"/>
      <c r="BM113" s="6"/>
      <c r="BN113" s="6"/>
      <c r="BO113" s="6"/>
      <c r="BP113" s="6"/>
      <c r="BQ113" s="6"/>
      <c r="BR113" s="6"/>
      <c r="BS113" s="6"/>
      <c r="BT113" s="6"/>
      <c r="BU113" s="6"/>
      <c r="BV113" s="6"/>
      <c r="BW113" s="6"/>
      <c r="BX113" s="6"/>
      <c r="BY113" s="6"/>
      <c r="BZ113" s="6"/>
      <c r="CA113" s="6"/>
      <c r="CB113" s="6"/>
      <c r="CC113" s="6"/>
      <c r="CD113" s="6"/>
      <c r="CE113" s="6"/>
      <c r="CF113" s="6"/>
      <c r="CG113" s="6"/>
      <c r="CH113" s="6"/>
      <c r="CI113" s="6"/>
      <c r="CJ113" s="6"/>
      <c r="CK113" s="6"/>
      <c r="CL113" s="6"/>
      <c r="CM113" s="6"/>
    </row>
    <row r="114" spans="1:91" s="42" customFormat="1" x14ac:dyDescent="0.25">
      <c r="A114" s="92" t="s">
        <v>199</v>
      </c>
      <c r="B114" s="87" t="s">
        <v>236</v>
      </c>
      <c r="C114" s="80">
        <v>42103</v>
      </c>
      <c r="D114" s="63"/>
      <c r="E114" s="64" t="s">
        <v>361</v>
      </c>
      <c r="F114" s="64" t="s">
        <v>27</v>
      </c>
      <c r="G114" s="56" t="s">
        <v>366</v>
      </c>
      <c r="H114" s="56" t="s">
        <v>41</v>
      </c>
      <c r="I114" s="57">
        <v>1606</v>
      </c>
      <c r="J114" s="57">
        <v>23</v>
      </c>
      <c r="K114" s="57"/>
      <c r="L114" s="57"/>
      <c r="M114" s="57"/>
      <c r="N114" s="57"/>
      <c r="O114" s="57"/>
      <c r="P114" s="57"/>
      <c r="Q114" s="57"/>
      <c r="R114" s="57"/>
      <c r="S114" s="58">
        <f t="shared" si="2"/>
        <v>1606</v>
      </c>
      <c r="T114" s="58">
        <f t="shared" si="3"/>
        <v>23</v>
      </c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  <c r="BC114" s="6"/>
      <c r="BD114" s="6"/>
      <c r="BE114" s="6"/>
      <c r="BF114" s="6"/>
      <c r="BG114" s="6"/>
      <c r="BH114" s="6"/>
      <c r="BI114" s="6"/>
      <c r="BJ114" s="6"/>
      <c r="BK114" s="6"/>
      <c r="BL114" s="6"/>
      <c r="BM114" s="6"/>
      <c r="BN114" s="6"/>
      <c r="BO114" s="6"/>
      <c r="BP114" s="6"/>
      <c r="BQ114" s="6"/>
      <c r="BR114" s="6"/>
      <c r="BS114" s="6"/>
      <c r="BT114" s="6"/>
      <c r="BU114" s="6"/>
      <c r="BV114" s="6"/>
      <c r="BW114" s="6"/>
      <c r="BX114" s="6"/>
      <c r="BY114" s="6"/>
      <c r="BZ114" s="6"/>
      <c r="CA114" s="6"/>
      <c r="CB114" s="6"/>
      <c r="CC114" s="6"/>
      <c r="CD114" s="6"/>
      <c r="CE114" s="6"/>
      <c r="CF114" s="6"/>
      <c r="CG114" s="6"/>
      <c r="CH114" s="6"/>
      <c r="CI114" s="6"/>
      <c r="CJ114" s="6"/>
      <c r="CK114" s="6"/>
      <c r="CL114" s="6"/>
      <c r="CM114" s="6"/>
    </row>
    <row r="115" spans="1:91" s="42" customFormat="1" x14ac:dyDescent="0.25">
      <c r="A115" s="92" t="s">
        <v>198</v>
      </c>
      <c r="B115" s="87" t="s">
        <v>218</v>
      </c>
      <c r="C115" s="80">
        <v>42103</v>
      </c>
      <c r="D115" s="63" t="s">
        <v>21</v>
      </c>
      <c r="E115" s="64" t="s">
        <v>24</v>
      </c>
      <c r="F115" s="64" t="s">
        <v>29</v>
      </c>
      <c r="G115" s="56" t="s">
        <v>365</v>
      </c>
      <c r="H115" s="56" t="s">
        <v>37</v>
      </c>
      <c r="I115" s="57">
        <v>506</v>
      </c>
      <c r="J115" s="57">
        <v>0</v>
      </c>
      <c r="K115" s="57"/>
      <c r="L115" s="57"/>
      <c r="M115" s="57"/>
      <c r="N115" s="57"/>
      <c r="O115" s="57"/>
      <c r="P115" s="57"/>
      <c r="Q115" s="57"/>
      <c r="R115" s="57"/>
      <c r="S115" s="58">
        <f t="shared" si="2"/>
        <v>506</v>
      </c>
      <c r="T115" s="58">
        <f t="shared" si="3"/>
        <v>0</v>
      </c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  <c r="BC115" s="6"/>
      <c r="BD115" s="6"/>
      <c r="BE115" s="6"/>
      <c r="BF115" s="6"/>
      <c r="BG115" s="6"/>
      <c r="BH115" s="6"/>
      <c r="BI115" s="6"/>
      <c r="BJ115" s="6"/>
      <c r="BK115" s="6"/>
      <c r="BL115" s="6"/>
      <c r="BM115" s="6"/>
      <c r="BN115" s="6"/>
      <c r="BO115" s="6"/>
      <c r="BP115" s="6"/>
      <c r="BQ115" s="6"/>
      <c r="BR115" s="6"/>
      <c r="BS115" s="6"/>
      <c r="BT115" s="6"/>
      <c r="BU115" s="6"/>
      <c r="BV115" s="6"/>
      <c r="BW115" s="6"/>
      <c r="BX115" s="6"/>
      <c r="BY115" s="6"/>
      <c r="BZ115" s="6"/>
      <c r="CA115" s="6"/>
      <c r="CB115" s="6"/>
      <c r="CC115" s="6"/>
      <c r="CD115" s="6"/>
      <c r="CE115" s="6"/>
      <c r="CF115" s="6"/>
      <c r="CG115" s="6"/>
      <c r="CH115" s="6"/>
      <c r="CI115" s="6"/>
      <c r="CJ115" s="6"/>
      <c r="CK115" s="6"/>
      <c r="CL115" s="6"/>
      <c r="CM115" s="6"/>
    </row>
    <row r="116" spans="1:91" s="42" customFormat="1" x14ac:dyDescent="0.25">
      <c r="A116" s="93" t="s">
        <v>200</v>
      </c>
      <c r="B116" s="87" t="s">
        <v>239</v>
      </c>
      <c r="C116" s="80">
        <v>42107</v>
      </c>
      <c r="D116" s="63"/>
      <c r="E116" s="64" t="s">
        <v>361</v>
      </c>
      <c r="F116" s="64" t="s">
        <v>27</v>
      </c>
      <c r="G116" s="56" t="s">
        <v>366</v>
      </c>
      <c r="H116" s="56" t="s">
        <v>37</v>
      </c>
      <c r="I116" s="57">
        <v>977</v>
      </c>
      <c r="J116" s="57">
        <v>8</v>
      </c>
      <c r="K116" s="57"/>
      <c r="L116" s="57"/>
      <c r="M116" s="57"/>
      <c r="N116" s="57"/>
      <c r="O116" s="57"/>
      <c r="P116" s="57"/>
      <c r="Q116" s="57"/>
      <c r="R116" s="57"/>
      <c r="S116" s="58">
        <f t="shared" si="2"/>
        <v>977</v>
      </c>
      <c r="T116" s="58">
        <f t="shared" si="3"/>
        <v>8</v>
      </c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  <c r="BC116" s="6"/>
      <c r="BD116" s="6"/>
      <c r="BE116" s="6"/>
      <c r="BF116" s="6"/>
      <c r="BG116" s="6"/>
      <c r="BH116" s="6"/>
      <c r="BI116" s="6"/>
      <c r="BJ116" s="6"/>
      <c r="BK116" s="6"/>
      <c r="BL116" s="6"/>
      <c r="BM116" s="6"/>
      <c r="BN116" s="6"/>
      <c r="BO116" s="6"/>
      <c r="BP116" s="6"/>
      <c r="BQ116" s="6"/>
      <c r="BR116" s="6"/>
      <c r="BS116" s="6"/>
      <c r="BT116" s="6"/>
      <c r="BU116" s="6"/>
      <c r="BV116" s="6"/>
      <c r="BW116" s="6"/>
      <c r="BX116" s="6"/>
      <c r="BY116" s="6"/>
      <c r="BZ116" s="6"/>
      <c r="CA116" s="6"/>
      <c r="CB116" s="6"/>
      <c r="CC116" s="6"/>
      <c r="CD116" s="6"/>
      <c r="CE116" s="6"/>
      <c r="CF116" s="6"/>
      <c r="CG116" s="6"/>
      <c r="CH116" s="6"/>
      <c r="CI116" s="6"/>
      <c r="CJ116" s="6"/>
      <c r="CK116" s="6"/>
      <c r="CL116" s="6"/>
      <c r="CM116" s="6"/>
    </row>
    <row r="117" spans="1:91" s="42" customFormat="1" x14ac:dyDescent="0.25">
      <c r="A117" s="92" t="s">
        <v>202</v>
      </c>
      <c r="B117" s="87" t="s">
        <v>237</v>
      </c>
      <c r="C117" s="80">
        <v>42107</v>
      </c>
      <c r="D117" s="63"/>
      <c r="E117" s="64" t="s">
        <v>24</v>
      </c>
      <c r="F117" s="64" t="s">
        <v>26</v>
      </c>
      <c r="G117" s="56" t="s">
        <v>366</v>
      </c>
      <c r="H117" s="56" t="s">
        <v>41</v>
      </c>
      <c r="I117" s="57">
        <v>1651</v>
      </c>
      <c r="J117" s="57">
        <v>2</v>
      </c>
      <c r="K117" s="57"/>
      <c r="L117" s="57"/>
      <c r="M117" s="57">
        <v>89</v>
      </c>
      <c r="N117" s="57">
        <v>0</v>
      </c>
      <c r="O117" s="57"/>
      <c r="P117" s="57"/>
      <c r="Q117" s="57"/>
      <c r="R117" s="57"/>
      <c r="S117" s="58">
        <f t="shared" si="2"/>
        <v>1740</v>
      </c>
      <c r="T117" s="58">
        <f t="shared" si="3"/>
        <v>2</v>
      </c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  <c r="BC117" s="6"/>
      <c r="BD117" s="6"/>
      <c r="BE117" s="6"/>
      <c r="BF117" s="6"/>
      <c r="BG117" s="6"/>
      <c r="BH117" s="6"/>
      <c r="BI117" s="6"/>
      <c r="BJ117" s="6"/>
      <c r="BK117" s="6"/>
      <c r="BL117" s="6"/>
      <c r="BM117" s="6"/>
      <c r="BN117" s="6"/>
      <c r="BO117" s="6"/>
      <c r="BP117" s="6"/>
      <c r="BQ117" s="6"/>
      <c r="BR117" s="6"/>
      <c r="BS117" s="6"/>
      <c r="BT117" s="6"/>
      <c r="BU117" s="6"/>
      <c r="BV117" s="6"/>
      <c r="BW117" s="6"/>
      <c r="BX117" s="6"/>
      <c r="BY117" s="6"/>
      <c r="BZ117" s="6"/>
      <c r="CA117" s="6"/>
      <c r="CB117" s="6"/>
      <c r="CC117" s="6"/>
      <c r="CD117" s="6"/>
      <c r="CE117" s="6"/>
      <c r="CF117" s="6"/>
      <c r="CG117" s="6"/>
      <c r="CH117" s="6"/>
      <c r="CI117" s="6"/>
      <c r="CJ117" s="6"/>
      <c r="CK117" s="6"/>
      <c r="CL117" s="6"/>
      <c r="CM117" s="6"/>
    </row>
    <row r="118" spans="1:91" s="42" customFormat="1" x14ac:dyDescent="0.25">
      <c r="A118" s="92" t="s">
        <v>201</v>
      </c>
      <c r="B118" s="87" t="s">
        <v>238</v>
      </c>
      <c r="C118" s="80">
        <v>42107</v>
      </c>
      <c r="D118" s="63"/>
      <c r="E118" s="64" t="s">
        <v>23</v>
      </c>
      <c r="F118" s="64" t="s">
        <v>31</v>
      </c>
      <c r="G118" s="56" t="s">
        <v>366</v>
      </c>
      <c r="H118" s="56" t="s">
        <v>41</v>
      </c>
      <c r="I118" s="57">
        <v>503</v>
      </c>
      <c r="J118" s="57">
        <v>0</v>
      </c>
      <c r="K118" s="57"/>
      <c r="L118" s="57"/>
      <c r="M118" s="57"/>
      <c r="N118" s="57"/>
      <c r="O118" s="57"/>
      <c r="P118" s="57"/>
      <c r="Q118" s="57"/>
      <c r="R118" s="57"/>
      <c r="S118" s="58">
        <f t="shared" si="2"/>
        <v>503</v>
      </c>
      <c r="T118" s="58">
        <f t="shared" si="3"/>
        <v>0</v>
      </c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  <c r="BC118" s="6"/>
      <c r="BD118" s="6"/>
      <c r="BE118" s="6"/>
      <c r="BF118" s="6"/>
      <c r="BG118" s="6"/>
      <c r="BH118" s="6"/>
      <c r="BI118" s="6"/>
      <c r="BJ118" s="6"/>
      <c r="BK118" s="6"/>
      <c r="BL118" s="6"/>
      <c r="BM118" s="6"/>
      <c r="BN118" s="6"/>
      <c r="BO118" s="6"/>
      <c r="BP118" s="6"/>
      <c r="BQ118" s="6"/>
      <c r="BR118" s="6"/>
      <c r="BS118" s="6"/>
      <c r="BT118" s="6"/>
      <c r="BU118" s="6"/>
      <c r="BV118" s="6"/>
      <c r="BW118" s="6"/>
      <c r="BX118" s="6"/>
      <c r="BY118" s="6"/>
      <c r="BZ118" s="6"/>
      <c r="CA118" s="6"/>
      <c r="CB118" s="6"/>
      <c r="CC118" s="6"/>
      <c r="CD118" s="6"/>
      <c r="CE118" s="6"/>
      <c r="CF118" s="6"/>
      <c r="CG118" s="6"/>
      <c r="CH118" s="6"/>
      <c r="CI118" s="6"/>
      <c r="CJ118" s="6"/>
      <c r="CK118" s="6"/>
      <c r="CL118" s="6"/>
      <c r="CM118" s="6"/>
    </row>
    <row r="119" spans="1:91" s="42" customFormat="1" x14ac:dyDescent="0.25">
      <c r="A119" s="92" t="s">
        <v>203</v>
      </c>
      <c r="B119" s="87" t="s">
        <v>221</v>
      </c>
      <c r="C119" s="80">
        <v>42108</v>
      </c>
      <c r="D119" s="63"/>
      <c r="E119" s="64" t="s">
        <v>22</v>
      </c>
      <c r="F119" s="64" t="s">
        <v>27</v>
      </c>
      <c r="G119" s="56" t="s">
        <v>366</v>
      </c>
      <c r="H119" s="56" t="s">
        <v>41</v>
      </c>
      <c r="I119" s="57">
        <v>745</v>
      </c>
      <c r="J119" s="57">
        <v>1</v>
      </c>
      <c r="K119" s="57">
        <v>3216</v>
      </c>
      <c r="L119" s="57">
        <v>0</v>
      </c>
      <c r="M119" s="57"/>
      <c r="N119" s="57"/>
      <c r="O119" s="57"/>
      <c r="P119" s="57"/>
      <c r="Q119" s="57"/>
      <c r="R119" s="57"/>
      <c r="S119" s="58">
        <f t="shared" si="2"/>
        <v>3961</v>
      </c>
      <c r="T119" s="58">
        <f t="shared" si="3"/>
        <v>1</v>
      </c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  <c r="BC119" s="6"/>
      <c r="BD119" s="6"/>
      <c r="BE119" s="6"/>
      <c r="BF119" s="6"/>
      <c r="BG119" s="6"/>
      <c r="BH119" s="6"/>
      <c r="BI119" s="6"/>
      <c r="BJ119" s="6"/>
      <c r="BK119" s="6"/>
      <c r="BL119" s="6"/>
      <c r="BM119" s="6"/>
      <c r="BN119" s="6"/>
      <c r="BO119" s="6"/>
      <c r="BP119" s="6"/>
      <c r="BQ119" s="6"/>
      <c r="BR119" s="6"/>
      <c r="BS119" s="6"/>
      <c r="BT119" s="6"/>
      <c r="BU119" s="6"/>
      <c r="BV119" s="6"/>
      <c r="BW119" s="6"/>
      <c r="BX119" s="6"/>
      <c r="BY119" s="6"/>
      <c r="BZ119" s="6"/>
      <c r="CA119" s="6"/>
      <c r="CB119" s="6"/>
      <c r="CC119" s="6"/>
      <c r="CD119" s="6"/>
      <c r="CE119" s="6"/>
      <c r="CF119" s="6"/>
      <c r="CG119" s="6"/>
      <c r="CH119" s="6"/>
      <c r="CI119" s="6"/>
      <c r="CJ119" s="6"/>
      <c r="CK119" s="6"/>
      <c r="CL119" s="6"/>
      <c r="CM119" s="6"/>
    </row>
    <row r="120" spans="1:91" s="42" customFormat="1" x14ac:dyDescent="0.25">
      <c r="A120" s="92" t="s">
        <v>187</v>
      </c>
      <c r="B120" s="87" t="s">
        <v>246</v>
      </c>
      <c r="C120" s="80">
        <v>42109</v>
      </c>
      <c r="D120" s="63"/>
      <c r="E120" s="64" t="s">
        <v>24</v>
      </c>
      <c r="F120" s="64" t="s">
        <v>29</v>
      </c>
      <c r="G120" s="56" t="s">
        <v>366</v>
      </c>
      <c r="H120" s="56" t="s">
        <v>40</v>
      </c>
      <c r="I120" s="57">
        <v>752</v>
      </c>
      <c r="J120" s="57">
        <v>6</v>
      </c>
      <c r="K120" s="57"/>
      <c r="L120" s="57"/>
      <c r="M120" s="57">
        <v>69</v>
      </c>
      <c r="N120" s="57">
        <v>0</v>
      </c>
      <c r="O120" s="57">
        <v>96</v>
      </c>
      <c r="P120" s="57">
        <v>0</v>
      </c>
      <c r="Q120" s="57"/>
      <c r="R120" s="57"/>
      <c r="S120" s="58">
        <f t="shared" si="2"/>
        <v>917</v>
      </c>
      <c r="T120" s="58">
        <f t="shared" si="3"/>
        <v>6</v>
      </c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  <c r="BC120" s="6"/>
      <c r="BD120" s="6"/>
      <c r="BE120" s="6"/>
      <c r="BF120" s="6"/>
      <c r="BG120" s="6"/>
      <c r="BH120" s="6"/>
      <c r="BI120" s="6"/>
      <c r="BJ120" s="6"/>
      <c r="BK120" s="6"/>
      <c r="BL120" s="6"/>
      <c r="BM120" s="6"/>
      <c r="BN120" s="6"/>
      <c r="BO120" s="6"/>
      <c r="BP120" s="6"/>
      <c r="BQ120" s="6"/>
      <c r="BR120" s="6"/>
      <c r="BS120" s="6"/>
      <c r="BT120" s="6"/>
      <c r="BU120" s="6"/>
      <c r="BV120" s="6"/>
      <c r="BW120" s="6"/>
      <c r="BX120" s="6"/>
      <c r="BY120" s="6"/>
      <c r="BZ120" s="6"/>
      <c r="CA120" s="6"/>
      <c r="CB120" s="6"/>
      <c r="CC120" s="6"/>
      <c r="CD120" s="6"/>
      <c r="CE120" s="6"/>
      <c r="CF120" s="6"/>
      <c r="CG120" s="6"/>
      <c r="CH120" s="6"/>
      <c r="CI120" s="6"/>
      <c r="CJ120" s="6"/>
      <c r="CK120" s="6"/>
      <c r="CL120" s="6"/>
      <c r="CM120" s="6"/>
    </row>
    <row r="121" spans="1:91" s="42" customFormat="1" ht="30" x14ac:dyDescent="0.25">
      <c r="A121" s="92" t="s">
        <v>189</v>
      </c>
      <c r="B121" s="87" t="s">
        <v>245</v>
      </c>
      <c r="C121" s="80">
        <v>42109</v>
      </c>
      <c r="D121" s="63" t="s">
        <v>19</v>
      </c>
      <c r="E121" s="64" t="s">
        <v>22</v>
      </c>
      <c r="F121" s="64" t="s">
        <v>27</v>
      </c>
      <c r="G121" s="56" t="s">
        <v>366</v>
      </c>
      <c r="H121" s="56" t="s">
        <v>40</v>
      </c>
      <c r="I121" s="57">
        <v>1835</v>
      </c>
      <c r="J121" s="57">
        <v>4</v>
      </c>
      <c r="K121" s="57"/>
      <c r="L121" s="57"/>
      <c r="M121" s="57"/>
      <c r="N121" s="57"/>
      <c r="O121" s="57"/>
      <c r="P121" s="57"/>
      <c r="Q121" s="57"/>
      <c r="R121" s="57"/>
      <c r="S121" s="58">
        <f t="shared" si="2"/>
        <v>1835</v>
      </c>
      <c r="T121" s="58">
        <f t="shared" si="3"/>
        <v>4</v>
      </c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  <c r="BC121" s="6"/>
      <c r="BD121" s="6"/>
      <c r="BE121" s="6"/>
      <c r="BF121" s="6"/>
      <c r="BG121" s="6"/>
      <c r="BH121" s="6"/>
      <c r="BI121" s="6"/>
      <c r="BJ121" s="6"/>
      <c r="BK121" s="6"/>
      <c r="BL121" s="6"/>
      <c r="BM121" s="6"/>
      <c r="BN121" s="6"/>
      <c r="BO121" s="6"/>
      <c r="BP121" s="6"/>
      <c r="BQ121" s="6"/>
      <c r="BR121" s="6"/>
      <c r="BS121" s="6"/>
      <c r="BT121" s="6"/>
      <c r="BU121" s="6"/>
      <c r="BV121" s="6"/>
      <c r="BW121" s="6"/>
      <c r="BX121" s="6"/>
      <c r="BY121" s="6"/>
      <c r="BZ121" s="6"/>
      <c r="CA121" s="6"/>
      <c r="CB121" s="6"/>
      <c r="CC121" s="6"/>
      <c r="CD121" s="6"/>
      <c r="CE121" s="6"/>
      <c r="CF121" s="6"/>
      <c r="CG121" s="6"/>
      <c r="CH121" s="6"/>
      <c r="CI121" s="6"/>
      <c r="CJ121" s="6"/>
      <c r="CK121" s="6"/>
      <c r="CL121" s="6"/>
      <c r="CM121" s="6"/>
    </row>
    <row r="122" spans="1:91" s="42" customFormat="1" x14ac:dyDescent="0.25">
      <c r="A122" s="92" t="s">
        <v>188</v>
      </c>
      <c r="B122" s="87" t="s">
        <v>218</v>
      </c>
      <c r="C122" s="80">
        <v>42109</v>
      </c>
      <c r="D122" s="63"/>
      <c r="E122" s="64" t="s">
        <v>24</v>
      </c>
      <c r="F122" s="83" t="s">
        <v>30</v>
      </c>
      <c r="G122" s="84" t="s">
        <v>365</v>
      </c>
      <c r="H122" s="56" t="s">
        <v>40</v>
      </c>
      <c r="I122" s="57">
        <v>756</v>
      </c>
      <c r="J122" s="57">
        <v>5</v>
      </c>
      <c r="K122" s="57"/>
      <c r="L122" s="57"/>
      <c r="M122" s="57">
        <v>199</v>
      </c>
      <c r="N122" s="57">
        <v>0</v>
      </c>
      <c r="O122" s="57"/>
      <c r="P122" s="57"/>
      <c r="Q122" s="57"/>
      <c r="R122" s="57"/>
      <c r="S122" s="58">
        <f t="shared" si="2"/>
        <v>955</v>
      </c>
      <c r="T122" s="58">
        <f t="shared" si="3"/>
        <v>5</v>
      </c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  <c r="BC122" s="6"/>
      <c r="BD122" s="6"/>
      <c r="BE122" s="6"/>
      <c r="BF122" s="6"/>
      <c r="BG122" s="6"/>
      <c r="BH122" s="6"/>
      <c r="BI122" s="6"/>
      <c r="BJ122" s="6"/>
      <c r="BK122" s="6"/>
      <c r="BL122" s="6"/>
      <c r="BM122" s="6"/>
      <c r="BN122" s="6"/>
      <c r="BO122" s="6"/>
      <c r="BP122" s="6"/>
      <c r="BQ122" s="6"/>
      <c r="BR122" s="6"/>
      <c r="BS122" s="6"/>
      <c r="BT122" s="6"/>
      <c r="BU122" s="6"/>
      <c r="BV122" s="6"/>
      <c r="BW122" s="6"/>
      <c r="BX122" s="6"/>
      <c r="BY122" s="6"/>
      <c r="BZ122" s="6"/>
      <c r="CA122" s="6"/>
      <c r="CB122" s="6"/>
      <c r="CC122" s="6"/>
      <c r="CD122" s="6"/>
      <c r="CE122" s="6"/>
      <c r="CF122" s="6"/>
      <c r="CG122" s="6"/>
      <c r="CH122" s="6"/>
      <c r="CI122" s="6"/>
      <c r="CJ122" s="6"/>
      <c r="CK122" s="6"/>
      <c r="CL122" s="6"/>
      <c r="CM122" s="6"/>
    </row>
    <row r="123" spans="1:91" s="42" customFormat="1" x14ac:dyDescent="0.25">
      <c r="A123" s="92" t="s">
        <v>191</v>
      </c>
      <c r="B123" s="87" t="s">
        <v>224</v>
      </c>
      <c r="C123" s="80">
        <v>42110</v>
      </c>
      <c r="D123" s="63" t="s">
        <v>20</v>
      </c>
      <c r="E123" s="64" t="s">
        <v>24</v>
      </c>
      <c r="F123" s="64" t="s">
        <v>27</v>
      </c>
      <c r="G123" s="56" t="s">
        <v>366</v>
      </c>
      <c r="H123" s="56" t="s">
        <v>40</v>
      </c>
      <c r="I123" s="57">
        <v>1709</v>
      </c>
      <c r="J123" s="57">
        <v>33</v>
      </c>
      <c r="K123" s="57"/>
      <c r="L123" s="57"/>
      <c r="M123" s="57"/>
      <c r="N123" s="57"/>
      <c r="O123" s="57">
        <v>594</v>
      </c>
      <c r="P123" s="57">
        <v>0</v>
      </c>
      <c r="Q123" s="57"/>
      <c r="R123" s="57"/>
      <c r="S123" s="58">
        <f t="shared" si="2"/>
        <v>2303</v>
      </c>
      <c r="T123" s="58">
        <f t="shared" si="3"/>
        <v>33</v>
      </c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  <c r="BC123" s="6"/>
      <c r="BD123" s="6"/>
      <c r="BE123" s="6"/>
      <c r="BF123" s="6"/>
      <c r="BG123" s="6"/>
      <c r="BH123" s="6"/>
      <c r="BI123" s="6"/>
      <c r="BJ123" s="6"/>
      <c r="BK123" s="6"/>
      <c r="BL123" s="6"/>
      <c r="BM123" s="6"/>
      <c r="BN123" s="6"/>
      <c r="BO123" s="6"/>
      <c r="BP123" s="6"/>
      <c r="BQ123" s="6"/>
      <c r="BR123" s="6"/>
      <c r="BS123" s="6"/>
      <c r="BT123" s="6"/>
      <c r="BU123" s="6"/>
      <c r="BV123" s="6"/>
      <c r="BW123" s="6"/>
      <c r="BX123" s="6"/>
      <c r="BY123" s="6"/>
      <c r="BZ123" s="6"/>
      <c r="CA123" s="6"/>
      <c r="CB123" s="6"/>
      <c r="CC123" s="6"/>
      <c r="CD123" s="6"/>
      <c r="CE123" s="6"/>
      <c r="CF123" s="6"/>
      <c r="CG123" s="6"/>
      <c r="CH123" s="6"/>
      <c r="CI123" s="6"/>
      <c r="CJ123" s="6"/>
      <c r="CK123" s="6"/>
      <c r="CL123" s="6"/>
      <c r="CM123" s="6"/>
    </row>
    <row r="124" spans="1:91" s="42" customFormat="1" x14ac:dyDescent="0.25">
      <c r="A124" s="92" t="s">
        <v>192</v>
      </c>
      <c r="B124" s="87" t="s">
        <v>243</v>
      </c>
      <c r="C124" s="80">
        <v>42110</v>
      </c>
      <c r="D124" s="63"/>
      <c r="E124" s="64" t="s">
        <v>361</v>
      </c>
      <c r="F124" s="64" t="s">
        <v>31</v>
      </c>
      <c r="G124" s="56" t="s">
        <v>366</v>
      </c>
      <c r="H124" s="56" t="s">
        <v>41</v>
      </c>
      <c r="I124" s="57">
        <v>1407</v>
      </c>
      <c r="J124" s="57">
        <v>29</v>
      </c>
      <c r="K124" s="57"/>
      <c r="L124" s="57"/>
      <c r="M124" s="57"/>
      <c r="N124" s="57"/>
      <c r="O124" s="57"/>
      <c r="P124" s="57"/>
      <c r="Q124" s="57"/>
      <c r="R124" s="57"/>
      <c r="S124" s="58">
        <f t="shared" si="2"/>
        <v>1407</v>
      </c>
      <c r="T124" s="58">
        <f t="shared" si="3"/>
        <v>29</v>
      </c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  <c r="BC124" s="6"/>
      <c r="BD124" s="6"/>
      <c r="BE124" s="6"/>
      <c r="BF124" s="6"/>
      <c r="BG124" s="6"/>
      <c r="BH124" s="6"/>
      <c r="BI124" s="6"/>
      <c r="BJ124" s="6"/>
      <c r="BK124" s="6"/>
      <c r="BL124" s="6"/>
      <c r="BM124" s="6"/>
      <c r="BN124" s="6"/>
      <c r="BO124" s="6"/>
      <c r="BP124" s="6"/>
      <c r="BQ124" s="6"/>
      <c r="BR124" s="6"/>
      <c r="BS124" s="6"/>
      <c r="BT124" s="6"/>
      <c r="BU124" s="6"/>
      <c r="BV124" s="6"/>
      <c r="BW124" s="6"/>
      <c r="BX124" s="6"/>
      <c r="BY124" s="6"/>
      <c r="BZ124" s="6"/>
      <c r="CA124" s="6"/>
      <c r="CB124" s="6"/>
      <c r="CC124" s="6"/>
      <c r="CD124" s="6"/>
      <c r="CE124" s="6"/>
      <c r="CF124" s="6"/>
      <c r="CG124" s="6"/>
      <c r="CH124" s="6"/>
      <c r="CI124" s="6"/>
      <c r="CJ124" s="6"/>
      <c r="CK124" s="6"/>
      <c r="CL124" s="6"/>
      <c r="CM124" s="6"/>
    </row>
    <row r="125" spans="1:91" s="42" customFormat="1" x14ac:dyDescent="0.25">
      <c r="A125" s="92" t="s">
        <v>190</v>
      </c>
      <c r="B125" s="87" t="s">
        <v>244</v>
      </c>
      <c r="C125" s="80">
        <v>42110</v>
      </c>
      <c r="D125" s="63"/>
      <c r="E125" s="64" t="s">
        <v>24</v>
      </c>
      <c r="F125" s="64" t="s">
        <v>28</v>
      </c>
      <c r="G125" s="56" t="s">
        <v>365</v>
      </c>
      <c r="H125" s="56" t="s">
        <v>40</v>
      </c>
      <c r="I125" s="57">
        <v>2435</v>
      </c>
      <c r="J125" s="57">
        <v>6</v>
      </c>
      <c r="K125" s="57"/>
      <c r="L125" s="57"/>
      <c r="M125" s="57"/>
      <c r="N125" s="57"/>
      <c r="O125" s="57"/>
      <c r="P125" s="57"/>
      <c r="Q125" s="57"/>
      <c r="R125" s="57"/>
      <c r="S125" s="58">
        <f t="shared" si="2"/>
        <v>2435</v>
      </c>
      <c r="T125" s="58">
        <f t="shared" si="3"/>
        <v>6</v>
      </c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  <c r="BC125" s="6"/>
      <c r="BD125" s="6"/>
      <c r="BE125" s="6"/>
      <c r="BF125" s="6"/>
      <c r="BG125" s="6"/>
      <c r="BH125" s="6"/>
      <c r="BI125" s="6"/>
      <c r="BJ125" s="6"/>
      <c r="BK125" s="6"/>
      <c r="BL125" s="6"/>
      <c r="BM125" s="6"/>
      <c r="BN125" s="6"/>
      <c r="BO125" s="6"/>
      <c r="BP125" s="6"/>
      <c r="BQ125" s="6"/>
      <c r="BR125" s="6"/>
      <c r="BS125" s="6"/>
      <c r="BT125" s="6"/>
      <c r="BU125" s="6"/>
      <c r="BV125" s="6"/>
      <c r="BW125" s="6"/>
      <c r="BX125" s="6"/>
      <c r="BY125" s="6"/>
      <c r="BZ125" s="6"/>
      <c r="CA125" s="6"/>
      <c r="CB125" s="6"/>
      <c r="CC125" s="6"/>
      <c r="CD125" s="6"/>
      <c r="CE125" s="6"/>
      <c r="CF125" s="6"/>
      <c r="CG125" s="6"/>
      <c r="CH125" s="6"/>
      <c r="CI125" s="6"/>
      <c r="CJ125" s="6"/>
      <c r="CK125" s="6"/>
      <c r="CL125" s="6"/>
      <c r="CM125" s="6"/>
    </row>
    <row r="126" spans="1:91" s="42" customFormat="1" x14ac:dyDescent="0.25">
      <c r="A126" s="92" t="s">
        <v>193</v>
      </c>
      <c r="B126" s="87" t="s">
        <v>228</v>
      </c>
      <c r="C126" s="80">
        <v>42111</v>
      </c>
      <c r="D126" s="63" t="s">
        <v>19</v>
      </c>
      <c r="E126" s="64" t="s">
        <v>24</v>
      </c>
      <c r="F126" s="64" t="s">
        <v>30</v>
      </c>
      <c r="G126" s="56" t="s">
        <v>366</v>
      </c>
      <c r="H126" s="56" t="s">
        <v>41</v>
      </c>
      <c r="I126" s="57">
        <v>2475</v>
      </c>
      <c r="J126" s="57">
        <v>1</v>
      </c>
      <c r="K126" s="57"/>
      <c r="L126" s="57"/>
      <c r="M126" s="57">
        <v>2058</v>
      </c>
      <c r="N126" s="57">
        <v>0</v>
      </c>
      <c r="O126" s="57"/>
      <c r="P126" s="57"/>
      <c r="Q126" s="57"/>
      <c r="R126" s="57"/>
      <c r="S126" s="58">
        <f t="shared" si="2"/>
        <v>4533</v>
      </c>
      <c r="T126" s="58">
        <f t="shared" si="3"/>
        <v>1</v>
      </c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  <c r="BC126" s="6"/>
      <c r="BD126" s="6"/>
      <c r="BE126" s="6"/>
      <c r="BF126" s="6"/>
      <c r="BG126" s="6"/>
      <c r="BH126" s="6"/>
      <c r="BI126" s="6"/>
      <c r="BJ126" s="6"/>
      <c r="BK126" s="6"/>
      <c r="BL126" s="6"/>
      <c r="BM126" s="6"/>
      <c r="BN126" s="6"/>
      <c r="BO126" s="6"/>
      <c r="BP126" s="6"/>
      <c r="BQ126" s="6"/>
      <c r="BR126" s="6"/>
      <c r="BS126" s="6"/>
      <c r="BT126" s="6"/>
      <c r="BU126" s="6"/>
      <c r="BV126" s="6"/>
      <c r="BW126" s="6"/>
      <c r="BX126" s="6"/>
      <c r="BY126" s="6"/>
      <c r="BZ126" s="6"/>
      <c r="CA126" s="6"/>
      <c r="CB126" s="6"/>
      <c r="CC126" s="6"/>
      <c r="CD126" s="6"/>
      <c r="CE126" s="6"/>
      <c r="CF126" s="6"/>
      <c r="CG126" s="6"/>
      <c r="CH126" s="6"/>
      <c r="CI126" s="6"/>
      <c r="CJ126" s="6"/>
      <c r="CK126" s="6"/>
      <c r="CL126" s="6"/>
      <c r="CM126" s="6"/>
    </row>
    <row r="127" spans="1:91" s="42" customFormat="1" x14ac:dyDescent="0.25">
      <c r="A127" s="92" t="s">
        <v>194</v>
      </c>
      <c r="B127" s="87" t="s">
        <v>242</v>
      </c>
      <c r="C127" s="80">
        <v>42114</v>
      </c>
      <c r="D127" s="63"/>
      <c r="E127" s="64" t="s">
        <v>361</v>
      </c>
      <c r="F127" s="64" t="s">
        <v>27</v>
      </c>
      <c r="G127" s="56" t="s">
        <v>366</v>
      </c>
      <c r="H127" s="56" t="s">
        <v>38</v>
      </c>
      <c r="I127" s="57">
        <v>2061</v>
      </c>
      <c r="J127" s="57">
        <v>35</v>
      </c>
      <c r="K127" s="57"/>
      <c r="L127" s="57"/>
      <c r="M127" s="57"/>
      <c r="N127" s="57"/>
      <c r="O127" s="57"/>
      <c r="P127" s="57"/>
      <c r="Q127" s="57"/>
      <c r="R127" s="57"/>
      <c r="S127" s="58">
        <f t="shared" si="2"/>
        <v>2061</v>
      </c>
      <c r="T127" s="58">
        <f t="shared" si="3"/>
        <v>35</v>
      </c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  <c r="BC127" s="6"/>
      <c r="BD127" s="6"/>
      <c r="BE127" s="6"/>
      <c r="BF127" s="6"/>
      <c r="BG127" s="6"/>
      <c r="BH127" s="6"/>
      <c r="BI127" s="6"/>
      <c r="BJ127" s="6"/>
      <c r="BK127" s="6"/>
      <c r="BL127" s="6"/>
      <c r="BM127" s="6"/>
      <c r="BN127" s="6"/>
      <c r="BO127" s="6"/>
      <c r="BP127" s="6"/>
      <c r="BQ127" s="6"/>
      <c r="BR127" s="6"/>
      <c r="BS127" s="6"/>
      <c r="BT127" s="6"/>
      <c r="BU127" s="6"/>
      <c r="BV127" s="6"/>
      <c r="BW127" s="6"/>
      <c r="BX127" s="6"/>
      <c r="BY127" s="6"/>
      <c r="BZ127" s="6"/>
      <c r="CA127" s="6"/>
      <c r="CB127" s="6"/>
      <c r="CC127" s="6"/>
      <c r="CD127" s="6"/>
      <c r="CE127" s="6"/>
      <c r="CF127" s="6"/>
      <c r="CG127" s="6"/>
      <c r="CH127" s="6"/>
      <c r="CI127" s="6"/>
      <c r="CJ127" s="6"/>
      <c r="CK127" s="6"/>
      <c r="CL127" s="6"/>
      <c r="CM127" s="6"/>
    </row>
    <row r="128" spans="1:91" s="42" customFormat="1" x14ac:dyDescent="0.25">
      <c r="A128" s="92" t="s">
        <v>196</v>
      </c>
      <c r="B128" s="87" t="s">
        <v>241</v>
      </c>
      <c r="C128" s="80">
        <v>42114</v>
      </c>
      <c r="D128" s="63"/>
      <c r="E128" s="64" t="s">
        <v>361</v>
      </c>
      <c r="F128" s="64" t="s">
        <v>35</v>
      </c>
      <c r="G128" s="56" t="s">
        <v>366</v>
      </c>
      <c r="H128" s="56" t="s">
        <v>41</v>
      </c>
      <c r="I128" s="57">
        <v>1832</v>
      </c>
      <c r="J128" s="57">
        <v>8</v>
      </c>
      <c r="K128" s="57"/>
      <c r="L128" s="57"/>
      <c r="M128" s="57"/>
      <c r="N128" s="57"/>
      <c r="O128" s="57"/>
      <c r="P128" s="57"/>
      <c r="Q128" s="57"/>
      <c r="R128" s="57"/>
      <c r="S128" s="58">
        <f t="shared" si="2"/>
        <v>1832</v>
      </c>
      <c r="T128" s="58">
        <f t="shared" si="3"/>
        <v>8</v>
      </c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  <c r="BC128" s="6"/>
      <c r="BD128" s="6"/>
      <c r="BE128" s="6"/>
      <c r="BF128" s="6"/>
      <c r="BG128" s="6"/>
      <c r="BH128" s="6"/>
      <c r="BI128" s="6"/>
      <c r="BJ128" s="6"/>
      <c r="BK128" s="6"/>
      <c r="BL128" s="6"/>
      <c r="BM128" s="6"/>
      <c r="BN128" s="6"/>
      <c r="BO128" s="6"/>
      <c r="BP128" s="6"/>
      <c r="BQ128" s="6"/>
      <c r="BR128" s="6"/>
      <c r="BS128" s="6"/>
      <c r="BT128" s="6"/>
      <c r="BU128" s="6"/>
      <c r="BV128" s="6"/>
      <c r="BW128" s="6"/>
      <c r="BX128" s="6"/>
      <c r="BY128" s="6"/>
      <c r="BZ128" s="6"/>
      <c r="CA128" s="6"/>
      <c r="CB128" s="6"/>
      <c r="CC128" s="6"/>
      <c r="CD128" s="6"/>
      <c r="CE128" s="6"/>
      <c r="CF128" s="6"/>
      <c r="CG128" s="6"/>
      <c r="CH128" s="6"/>
      <c r="CI128" s="6"/>
      <c r="CJ128" s="6"/>
      <c r="CK128" s="6"/>
      <c r="CL128" s="6"/>
      <c r="CM128" s="6"/>
    </row>
    <row r="129" spans="1:91" s="42" customFormat="1" ht="30" x14ac:dyDescent="0.25">
      <c r="A129" s="92" t="s">
        <v>195</v>
      </c>
      <c r="B129" s="87" t="s">
        <v>230</v>
      </c>
      <c r="C129" s="80">
        <v>42114</v>
      </c>
      <c r="D129" s="63" t="s">
        <v>273</v>
      </c>
      <c r="E129" s="64" t="s">
        <v>22</v>
      </c>
      <c r="F129" s="64" t="s">
        <v>27</v>
      </c>
      <c r="G129" s="56" t="s">
        <v>366</v>
      </c>
      <c r="H129" s="56" t="s">
        <v>38</v>
      </c>
      <c r="I129" s="57">
        <v>2737</v>
      </c>
      <c r="J129" s="57">
        <v>4</v>
      </c>
      <c r="K129" s="57"/>
      <c r="L129" s="57"/>
      <c r="M129" s="57">
        <v>517</v>
      </c>
      <c r="N129" s="57">
        <v>0</v>
      </c>
      <c r="O129" s="57"/>
      <c r="P129" s="57"/>
      <c r="Q129" s="57"/>
      <c r="R129" s="57"/>
      <c r="S129" s="58">
        <f t="shared" si="2"/>
        <v>3254</v>
      </c>
      <c r="T129" s="58">
        <f t="shared" si="3"/>
        <v>4</v>
      </c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  <c r="BC129" s="6"/>
      <c r="BD129" s="6"/>
      <c r="BE129" s="6"/>
      <c r="BF129" s="6"/>
      <c r="BG129" s="6"/>
      <c r="BH129" s="6"/>
      <c r="BI129" s="6"/>
      <c r="BJ129" s="6"/>
      <c r="BK129" s="6"/>
      <c r="BL129" s="6"/>
      <c r="BM129" s="6"/>
      <c r="BN129" s="6"/>
      <c r="BO129" s="6"/>
      <c r="BP129" s="6"/>
      <c r="BQ129" s="6"/>
      <c r="BR129" s="6"/>
      <c r="BS129" s="6"/>
      <c r="BT129" s="6"/>
      <c r="BU129" s="6"/>
      <c r="BV129" s="6"/>
      <c r="BW129" s="6"/>
      <c r="BX129" s="6"/>
      <c r="BY129" s="6"/>
      <c r="BZ129" s="6"/>
      <c r="CA129" s="6"/>
      <c r="CB129" s="6"/>
      <c r="CC129" s="6"/>
      <c r="CD129" s="6"/>
      <c r="CE129" s="6"/>
      <c r="CF129" s="6"/>
      <c r="CG129" s="6"/>
      <c r="CH129" s="6"/>
      <c r="CI129" s="6"/>
      <c r="CJ129" s="6"/>
      <c r="CK129" s="6"/>
      <c r="CL129" s="6"/>
      <c r="CM129" s="6"/>
    </row>
    <row r="130" spans="1:91" s="42" customFormat="1" x14ac:dyDescent="0.25">
      <c r="A130" s="92" t="s">
        <v>178</v>
      </c>
      <c r="B130" s="87" t="s">
        <v>223</v>
      </c>
      <c r="C130" s="80">
        <v>42115</v>
      </c>
      <c r="D130" s="63" t="s">
        <v>19</v>
      </c>
      <c r="E130" s="64" t="s">
        <v>361</v>
      </c>
      <c r="F130" s="64" t="s">
        <v>361</v>
      </c>
      <c r="G130" s="56" t="s">
        <v>366</v>
      </c>
      <c r="H130" s="56" t="s">
        <v>41</v>
      </c>
      <c r="I130" s="57">
        <v>6989</v>
      </c>
      <c r="J130" s="57">
        <v>7</v>
      </c>
      <c r="K130" s="57"/>
      <c r="L130" s="57"/>
      <c r="M130" s="57"/>
      <c r="N130" s="57"/>
      <c r="O130" s="57"/>
      <c r="P130" s="57"/>
      <c r="Q130" s="57"/>
      <c r="R130" s="57"/>
      <c r="S130" s="58">
        <f t="shared" si="2"/>
        <v>6989</v>
      </c>
      <c r="T130" s="58">
        <f t="shared" si="3"/>
        <v>7</v>
      </c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  <c r="BC130" s="6"/>
      <c r="BD130" s="6"/>
      <c r="BE130" s="6"/>
      <c r="BF130" s="6"/>
      <c r="BG130" s="6"/>
      <c r="BH130" s="6"/>
      <c r="BI130" s="6"/>
      <c r="BJ130" s="6"/>
      <c r="BK130" s="6"/>
      <c r="BL130" s="6"/>
      <c r="BM130" s="6"/>
      <c r="BN130" s="6"/>
      <c r="BO130" s="6"/>
      <c r="BP130" s="6"/>
      <c r="BQ130" s="6"/>
      <c r="BR130" s="6"/>
      <c r="BS130" s="6"/>
      <c r="BT130" s="6"/>
      <c r="BU130" s="6"/>
      <c r="BV130" s="6"/>
      <c r="BW130" s="6"/>
      <c r="BX130" s="6"/>
      <c r="BY130" s="6"/>
      <c r="BZ130" s="6"/>
      <c r="CA130" s="6"/>
      <c r="CB130" s="6"/>
      <c r="CC130" s="6"/>
      <c r="CD130" s="6"/>
      <c r="CE130" s="6"/>
      <c r="CF130" s="6"/>
      <c r="CG130" s="6"/>
      <c r="CH130" s="6"/>
      <c r="CI130" s="6"/>
      <c r="CJ130" s="6"/>
      <c r="CK130" s="6"/>
      <c r="CL130" s="6"/>
      <c r="CM130" s="6"/>
    </row>
    <row r="131" spans="1:91" s="44" customFormat="1" ht="45" x14ac:dyDescent="0.25">
      <c r="A131" s="92" t="s">
        <v>179</v>
      </c>
      <c r="B131" s="87" t="s">
        <v>215</v>
      </c>
      <c r="C131" s="80">
        <v>42116</v>
      </c>
      <c r="D131" s="63" t="s">
        <v>275</v>
      </c>
      <c r="E131" s="64" t="s">
        <v>361</v>
      </c>
      <c r="F131" s="64" t="s">
        <v>27</v>
      </c>
      <c r="G131" s="56" t="s">
        <v>366</v>
      </c>
      <c r="H131" s="56" t="s">
        <v>41</v>
      </c>
      <c r="I131" s="57">
        <v>3178</v>
      </c>
      <c r="J131" s="57">
        <v>20</v>
      </c>
      <c r="K131" s="57"/>
      <c r="L131" s="57"/>
      <c r="M131" s="57"/>
      <c r="N131" s="57"/>
      <c r="O131" s="57"/>
      <c r="P131" s="57"/>
      <c r="Q131" s="57"/>
      <c r="R131" s="57"/>
      <c r="S131" s="58">
        <f t="shared" si="2"/>
        <v>3178</v>
      </c>
      <c r="T131" s="58">
        <f t="shared" si="3"/>
        <v>20</v>
      </c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  <c r="BC131" s="6"/>
      <c r="BD131" s="6"/>
      <c r="BE131" s="6"/>
      <c r="BF131" s="6"/>
      <c r="BG131" s="6"/>
      <c r="BH131" s="6"/>
      <c r="BI131" s="6"/>
      <c r="BJ131" s="6"/>
      <c r="BK131" s="6"/>
      <c r="BL131" s="6"/>
      <c r="BM131" s="6"/>
      <c r="BN131" s="6"/>
      <c r="BO131" s="6"/>
      <c r="BP131" s="6"/>
      <c r="BQ131" s="6"/>
      <c r="BR131" s="6"/>
      <c r="BS131" s="6"/>
      <c r="BT131" s="6"/>
      <c r="BU131" s="6"/>
      <c r="BV131" s="6"/>
      <c r="BW131" s="6"/>
      <c r="BX131" s="6"/>
      <c r="BY131" s="6"/>
      <c r="BZ131" s="6"/>
      <c r="CA131" s="6"/>
      <c r="CB131" s="6"/>
      <c r="CC131" s="6"/>
      <c r="CD131" s="6"/>
      <c r="CE131" s="6"/>
      <c r="CF131" s="6"/>
      <c r="CG131" s="6"/>
      <c r="CH131" s="6"/>
      <c r="CI131" s="6"/>
      <c r="CJ131" s="6"/>
      <c r="CK131" s="6"/>
      <c r="CL131" s="6"/>
      <c r="CM131" s="6"/>
    </row>
    <row r="132" spans="1:91" s="42" customFormat="1" x14ac:dyDescent="0.25">
      <c r="A132" s="92" t="s">
        <v>181</v>
      </c>
      <c r="B132" s="87" t="s">
        <v>230</v>
      </c>
      <c r="C132" s="80">
        <v>42116</v>
      </c>
      <c r="D132" s="63"/>
      <c r="E132" s="64" t="s">
        <v>361</v>
      </c>
      <c r="F132" s="64" t="s">
        <v>361</v>
      </c>
      <c r="G132" s="56" t="s">
        <v>366</v>
      </c>
      <c r="H132" s="56" t="s">
        <v>40</v>
      </c>
      <c r="I132" s="57">
        <v>823</v>
      </c>
      <c r="J132" s="57">
        <v>12</v>
      </c>
      <c r="K132" s="57"/>
      <c r="L132" s="57"/>
      <c r="M132" s="57">
        <v>80</v>
      </c>
      <c r="N132" s="57">
        <v>0</v>
      </c>
      <c r="O132" s="57"/>
      <c r="P132" s="57"/>
      <c r="Q132" s="57"/>
      <c r="R132" s="57"/>
      <c r="S132" s="58">
        <f t="shared" si="2"/>
        <v>903</v>
      </c>
      <c r="T132" s="58">
        <f t="shared" si="3"/>
        <v>12</v>
      </c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  <c r="BC132" s="6"/>
      <c r="BD132" s="6"/>
      <c r="BE132" s="6"/>
      <c r="BF132" s="6"/>
      <c r="BG132" s="6"/>
      <c r="BH132" s="6"/>
      <c r="BI132" s="6"/>
      <c r="BJ132" s="6"/>
      <c r="BK132" s="6"/>
      <c r="BL132" s="6"/>
      <c r="BM132" s="6"/>
      <c r="BN132" s="6"/>
      <c r="BO132" s="6"/>
      <c r="BP132" s="6"/>
      <c r="BQ132" s="6"/>
      <c r="BR132" s="6"/>
      <c r="BS132" s="6"/>
      <c r="BT132" s="6"/>
      <c r="BU132" s="6"/>
      <c r="BV132" s="6"/>
      <c r="BW132" s="6"/>
      <c r="BX132" s="6"/>
      <c r="BY132" s="6"/>
      <c r="BZ132" s="6"/>
      <c r="CA132" s="6"/>
      <c r="CB132" s="6"/>
      <c r="CC132" s="6"/>
      <c r="CD132" s="6"/>
      <c r="CE132" s="6"/>
      <c r="CF132" s="6"/>
      <c r="CG132" s="6"/>
      <c r="CH132" s="6"/>
      <c r="CI132" s="6"/>
      <c r="CJ132" s="6"/>
      <c r="CK132" s="6"/>
      <c r="CL132" s="6"/>
      <c r="CM132" s="6"/>
    </row>
    <row r="133" spans="1:91" s="42" customFormat="1" x14ac:dyDescent="0.25">
      <c r="A133" s="92" t="s">
        <v>180</v>
      </c>
      <c r="B133" s="87" t="s">
        <v>223</v>
      </c>
      <c r="C133" s="80">
        <v>42116</v>
      </c>
      <c r="D133" s="63" t="s">
        <v>19</v>
      </c>
      <c r="E133" s="64" t="s">
        <v>361</v>
      </c>
      <c r="F133" s="64" t="s">
        <v>361</v>
      </c>
      <c r="G133" s="56" t="s">
        <v>366</v>
      </c>
      <c r="H133" s="56" t="s">
        <v>41</v>
      </c>
      <c r="I133" s="57">
        <v>3952</v>
      </c>
      <c r="J133" s="57">
        <v>3</v>
      </c>
      <c r="K133" s="57"/>
      <c r="L133" s="57"/>
      <c r="M133" s="57"/>
      <c r="N133" s="57"/>
      <c r="O133" s="57"/>
      <c r="P133" s="57"/>
      <c r="Q133" s="57"/>
      <c r="R133" s="57"/>
      <c r="S133" s="58">
        <f t="shared" si="2"/>
        <v>3952</v>
      </c>
      <c r="T133" s="58">
        <f t="shared" si="3"/>
        <v>3</v>
      </c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  <c r="BC133" s="6"/>
      <c r="BD133" s="6"/>
      <c r="BE133" s="6"/>
      <c r="BF133" s="6"/>
      <c r="BG133" s="6"/>
      <c r="BH133" s="6"/>
      <c r="BI133" s="6"/>
      <c r="BJ133" s="6"/>
      <c r="BK133" s="6"/>
      <c r="BL133" s="6"/>
      <c r="BM133" s="6"/>
      <c r="BN133" s="6"/>
      <c r="BO133" s="6"/>
      <c r="BP133" s="6"/>
      <c r="BQ133" s="6"/>
      <c r="BR133" s="6"/>
      <c r="BS133" s="6"/>
      <c r="BT133" s="6"/>
      <c r="BU133" s="6"/>
      <c r="BV133" s="6"/>
      <c r="BW133" s="6"/>
      <c r="BX133" s="6"/>
      <c r="BY133" s="6"/>
      <c r="BZ133" s="6"/>
      <c r="CA133" s="6"/>
      <c r="CB133" s="6"/>
      <c r="CC133" s="6"/>
      <c r="CD133" s="6"/>
      <c r="CE133" s="6"/>
      <c r="CF133" s="6"/>
      <c r="CG133" s="6"/>
      <c r="CH133" s="6"/>
      <c r="CI133" s="6"/>
      <c r="CJ133" s="6"/>
      <c r="CK133" s="6"/>
      <c r="CL133" s="6"/>
      <c r="CM133" s="6"/>
    </row>
    <row r="134" spans="1:91" s="42" customFormat="1" x14ac:dyDescent="0.25">
      <c r="A134" s="92" t="s">
        <v>182</v>
      </c>
      <c r="B134" s="87" t="s">
        <v>218</v>
      </c>
      <c r="C134" s="80">
        <v>42116</v>
      </c>
      <c r="D134" s="63" t="s">
        <v>19</v>
      </c>
      <c r="E134" s="64" t="s">
        <v>24</v>
      </c>
      <c r="F134" s="83" t="s">
        <v>35</v>
      </c>
      <c r="G134" s="84" t="s">
        <v>365</v>
      </c>
      <c r="H134" s="56" t="s">
        <v>41</v>
      </c>
      <c r="I134" s="57">
        <v>965</v>
      </c>
      <c r="J134" s="57">
        <v>0</v>
      </c>
      <c r="K134" s="57"/>
      <c r="L134" s="57"/>
      <c r="M134" s="57">
        <v>159</v>
      </c>
      <c r="N134" s="57">
        <v>0</v>
      </c>
      <c r="O134" s="57">
        <v>261</v>
      </c>
      <c r="P134" s="57">
        <v>0</v>
      </c>
      <c r="Q134" s="57"/>
      <c r="R134" s="57"/>
      <c r="S134" s="58">
        <f t="shared" si="2"/>
        <v>1385</v>
      </c>
      <c r="T134" s="58">
        <f t="shared" si="3"/>
        <v>0</v>
      </c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  <c r="BC134" s="6"/>
      <c r="BD134" s="6"/>
      <c r="BE134" s="6"/>
      <c r="BF134" s="6"/>
      <c r="BG134" s="6"/>
      <c r="BH134" s="6"/>
      <c r="BI134" s="6"/>
      <c r="BJ134" s="6"/>
      <c r="BK134" s="6"/>
      <c r="BL134" s="6"/>
      <c r="BM134" s="6"/>
      <c r="BN134" s="6"/>
      <c r="BO134" s="6"/>
      <c r="BP134" s="6"/>
      <c r="BQ134" s="6"/>
      <c r="BR134" s="6"/>
      <c r="BS134" s="6"/>
      <c r="BT134" s="6"/>
      <c r="BU134" s="6"/>
      <c r="BV134" s="6"/>
      <c r="BW134" s="6"/>
      <c r="BX134" s="6"/>
      <c r="BY134" s="6"/>
      <c r="BZ134" s="6"/>
      <c r="CA134" s="6"/>
      <c r="CB134" s="6"/>
      <c r="CC134" s="6"/>
      <c r="CD134" s="6"/>
      <c r="CE134" s="6"/>
      <c r="CF134" s="6"/>
      <c r="CG134" s="6"/>
      <c r="CH134" s="6"/>
      <c r="CI134" s="6"/>
      <c r="CJ134" s="6"/>
      <c r="CK134" s="6"/>
      <c r="CL134" s="6"/>
      <c r="CM134" s="6"/>
    </row>
    <row r="135" spans="1:91" s="42" customFormat="1" x14ac:dyDescent="0.25">
      <c r="A135" s="92" t="s">
        <v>183</v>
      </c>
      <c r="B135" s="87" t="s">
        <v>230</v>
      </c>
      <c r="C135" s="80">
        <v>42117</v>
      </c>
      <c r="D135" s="63" t="s">
        <v>19</v>
      </c>
      <c r="E135" s="64" t="s">
        <v>24</v>
      </c>
      <c r="F135" s="64" t="s">
        <v>27</v>
      </c>
      <c r="G135" s="56" t="s">
        <v>366</v>
      </c>
      <c r="H135" s="56" t="s">
        <v>41</v>
      </c>
      <c r="I135" s="57">
        <v>955</v>
      </c>
      <c r="J135" s="57">
        <v>7</v>
      </c>
      <c r="K135" s="57"/>
      <c r="L135" s="57"/>
      <c r="M135" s="57"/>
      <c r="N135" s="57"/>
      <c r="O135" s="57"/>
      <c r="P135" s="57"/>
      <c r="Q135" s="57"/>
      <c r="R135" s="57"/>
      <c r="S135" s="58">
        <f t="shared" si="2"/>
        <v>955</v>
      </c>
      <c r="T135" s="58">
        <f t="shared" si="3"/>
        <v>7</v>
      </c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  <c r="BC135" s="6"/>
      <c r="BD135" s="6"/>
      <c r="BE135" s="6"/>
      <c r="BF135" s="6"/>
      <c r="BG135" s="6"/>
      <c r="BH135" s="6"/>
      <c r="BI135" s="6"/>
      <c r="BJ135" s="6"/>
      <c r="BK135" s="6"/>
      <c r="BL135" s="6"/>
      <c r="BM135" s="6"/>
      <c r="BN135" s="6"/>
      <c r="BO135" s="6"/>
      <c r="BP135" s="6"/>
      <c r="BQ135" s="6"/>
      <c r="BR135" s="6"/>
      <c r="BS135" s="6"/>
      <c r="BT135" s="6"/>
      <c r="BU135" s="6"/>
      <c r="BV135" s="6"/>
      <c r="BW135" s="6"/>
      <c r="BX135" s="6"/>
      <c r="BY135" s="6"/>
      <c r="BZ135" s="6"/>
      <c r="CA135" s="6"/>
      <c r="CB135" s="6"/>
      <c r="CC135" s="6"/>
      <c r="CD135" s="6"/>
      <c r="CE135" s="6"/>
      <c r="CF135" s="6"/>
      <c r="CG135" s="6"/>
      <c r="CH135" s="6"/>
      <c r="CI135" s="6"/>
      <c r="CJ135" s="6"/>
      <c r="CK135" s="6"/>
      <c r="CL135" s="6"/>
      <c r="CM135" s="6"/>
    </row>
    <row r="136" spans="1:91" s="42" customFormat="1" ht="30" x14ac:dyDescent="0.25">
      <c r="A136" s="92" t="s">
        <v>185</v>
      </c>
      <c r="B136" s="87" t="s">
        <v>247</v>
      </c>
      <c r="C136" s="80">
        <v>42118</v>
      </c>
      <c r="D136" s="63" t="s">
        <v>274</v>
      </c>
      <c r="E136" s="64" t="s">
        <v>361</v>
      </c>
      <c r="F136" s="64" t="s">
        <v>361</v>
      </c>
      <c r="G136" s="56" t="s">
        <v>366</v>
      </c>
      <c r="H136" s="56" t="s">
        <v>41</v>
      </c>
      <c r="I136" s="57">
        <v>4268</v>
      </c>
      <c r="J136" s="57">
        <v>24</v>
      </c>
      <c r="K136" s="57"/>
      <c r="L136" s="57"/>
      <c r="M136" s="57"/>
      <c r="N136" s="57"/>
      <c r="O136" s="57"/>
      <c r="P136" s="57"/>
      <c r="Q136" s="57"/>
      <c r="R136" s="57"/>
      <c r="S136" s="58">
        <f t="shared" ref="S136:S199" si="4">SUM(I136,K136,M136,O136)</f>
        <v>4268</v>
      </c>
      <c r="T136" s="58">
        <f t="shared" ref="T136:T199" si="5">SUM(J136,L136,N136,P136)</f>
        <v>24</v>
      </c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  <c r="BC136" s="6"/>
      <c r="BD136" s="6"/>
      <c r="BE136" s="6"/>
      <c r="BF136" s="6"/>
      <c r="BG136" s="6"/>
      <c r="BH136" s="6"/>
      <c r="BI136" s="6"/>
      <c r="BJ136" s="6"/>
      <c r="BK136" s="6"/>
      <c r="BL136" s="6"/>
      <c r="BM136" s="6"/>
      <c r="BN136" s="6"/>
      <c r="BO136" s="6"/>
      <c r="BP136" s="6"/>
      <c r="BQ136" s="6"/>
      <c r="BR136" s="6"/>
      <c r="BS136" s="6"/>
      <c r="BT136" s="6"/>
      <c r="BU136" s="6"/>
      <c r="BV136" s="6"/>
      <c r="BW136" s="6"/>
      <c r="BX136" s="6"/>
      <c r="BY136" s="6"/>
      <c r="BZ136" s="6"/>
      <c r="CA136" s="6"/>
      <c r="CB136" s="6"/>
      <c r="CC136" s="6"/>
      <c r="CD136" s="6"/>
      <c r="CE136" s="6"/>
      <c r="CF136" s="6"/>
      <c r="CG136" s="6"/>
      <c r="CH136" s="6"/>
      <c r="CI136" s="6"/>
      <c r="CJ136" s="6"/>
      <c r="CK136" s="6"/>
      <c r="CL136" s="6"/>
      <c r="CM136" s="6"/>
    </row>
    <row r="137" spans="1:91" s="42" customFormat="1" x14ac:dyDescent="0.25">
      <c r="A137" s="92" t="s">
        <v>184</v>
      </c>
      <c r="B137" s="87" t="s">
        <v>228</v>
      </c>
      <c r="C137" s="80">
        <v>42118</v>
      </c>
      <c r="D137" s="63" t="s">
        <v>19</v>
      </c>
      <c r="E137" s="64" t="s">
        <v>24</v>
      </c>
      <c r="F137" s="64" t="s">
        <v>31</v>
      </c>
      <c r="G137" s="56" t="s">
        <v>366</v>
      </c>
      <c r="H137" s="56" t="s">
        <v>41</v>
      </c>
      <c r="I137" s="57">
        <v>1021</v>
      </c>
      <c r="J137" s="57">
        <v>0</v>
      </c>
      <c r="K137" s="57"/>
      <c r="L137" s="57"/>
      <c r="M137" s="57">
        <v>65</v>
      </c>
      <c r="N137" s="57">
        <v>0</v>
      </c>
      <c r="O137" s="57"/>
      <c r="P137" s="57"/>
      <c r="Q137" s="57"/>
      <c r="R137" s="57"/>
      <c r="S137" s="58">
        <f t="shared" si="4"/>
        <v>1086</v>
      </c>
      <c r="T137" s="58">
        <f t="shared" si="5"/>
        <v>0</v>
      </c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  <c r="BC137" s="6"/>
      <c r="BD137" s="6"/>
      <c r="BE137" s="6"/>
      <c r="BF137" s="6"/>
      <c r="BG137" s="6"/>
      <c r="BH137" s="6"/>
      <c r="BI137" s="6"/>
      <c r="BJ137" s="6"/>
      <c r="BK137" s="6"/>
      <c r="BL137" s="6"/>
      <c r="BM137" s="6"/>
      <c r="BN137" s="6"/>
      <c r="BO137" s="6"/>
      <c r="BP137" s="6"/>
      <c r="BQ137" s="6"/>
      <c r="BR137" s="6"/>
      <c r="BS137" s="6"/>
      <c r="BT137" s="6"/>
      <c r="BU137" s="6"/>
      <c r="BV137" s="6"/>
      <c r="BW137" s="6"/>
      <c r="BX137" s="6"/>
      <c r="BY137" s="6"/>
      <c r="BZ137" s="6"/>
      <c r="CA137" s="6"/>
      <c r="CB137" s="6"/>
      <c r="CC137" s="6"/>
      <c r="CD137" s="6"/>
      <c r="CE137" s="6"/>
      <c r="CF137" s="6"/>
      <c r="CG137" s="6"/>
      <c r="CH137" s="6"/>
      <c r="CI137" s="6"/>
      <c r="CJ137" s="6"/>
      <c r="CK137" s="6"/>
      <c r="CL137" s="6"/>
      <c r="CM137" s="6"/>
    </row>
    <row r="138" spans="1:91" s="42" customFormat="1" x14ac:dyDescent="0.25">
      <c r="A138" s="94" t="s">
        <v>168</v>
      </c>
      <c r="B138" s="79" t="s">
        <v>223</v>
      </c>
      <c r="C138" s="80">
        <v>42121</v>
      </c>
      <c r="D138" s="63" t="s">
        <v>19</v>
      </c>
      <c r="E138" s="64" t="s">
        <v>24</v>
      </c>
      <c r="F138" s="64" t="s">
        <v>361</v>
      </c>
      <c r="G138" s="56" t="s">
        <v>366</v>
      </c>
      <c r="H138" s="56" t="s">
        <v>41</v>
      </c>
      <c r="I138" s="57">
        <v>1183</v>
      </c>
      <c r="J138" s="57">
        <v>4</v>
      </c>
      <c r="K138" s="57"/>
      <c r="L138" s="57"/>
      <c r="M138" s="57"/>
      <c r="N138" s="57"/>
      <c r="O138" s="57"/>
      <c r="P138" s="57"/>
      <c r="Q138" s="57"/>
      <c r="R138" s="57"/>
      <c r="S138" s="58">
        <f t="shared" si="4"/>
        <v>1183</v>
      </c>
      <c r="T138" s="58">
        <f t="shared" si="5"/>
        <v>4</v>
      </c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  <c r="BC138" s="6"/>
      <c r="BD138" s="6"/>
      <c r="BE138" s="6"/>
      <c r="BF138" s="6"/>
      <c r="BG138" s="6"/>
      <c r="BH138" s="6"/>
      <c r="BI138" s="6"/>
      <c r="BJ138" s="6"/>
      <c r="BK138" s="6"/>
      <c r="BL138" s="6"/>
      <c r="BM138" s="6"/>
      <c r="BN138" s="6"/>
      <c r="BO138" s="6"/>
      <c r="BP138" s="6"/>
      <c r="BQ138" s="6"/>
      <c r="BR138" s="6"/>
      <c r="BS138" s="6"/>
      <c r="BT138" s="6"/>
      <c r="BU138" s="6"/>
      <c r="BV138" s="6"/>
      <c r="BW138" s="6"/>
      <c r="BX138" s="6"/>
      <c r="BY138" s="6"/>
      <c r="BZ138" s="6"/>
      <c r="CA138" s="6"/>
      <c r="CB138" s="6"/>
      <c r="CC138" s="6"/>
      <c r="CD138" s="6"/>
      <c r="CE138" s="6"/>
      <c r="CF138" s="6"/>
      <c r="CG138" s="6"/>
      <c r="CH138" s="6"/>
      <c r="CI138" s="6"/>
      <c r="CJ138" s="6"/>
      <c r="CK138" s="6"/>
      <c r="CL138" s="6"/>
      <c r="CM138" s="6"/>
    </row>
    <row r="139" spans="1:91" s="42" customFormat="1" x14ac:dyDescent="0.25">
      <c r="A139" s="92" t="s">
        <v>186</v>
      </c>
      <c r="B139" s="87" t="s">
        <v>218</v>
      </c>
      <c r="C139" s="80">
        <v>42121</v>
      </c>
      <c r="D139" s="63" t="s">
        <v>19</v>
      </c>
      <c r="E139" s="64" t="s">
        <v>24</v>
      </c>
      <c r="F139" s="64" t="s">
        <v>31</v>
      </c>
      <c r="G139" s="56" t="s">
        <v>366</v>
      </c>
      <c r="H139" s="56" t="s">
        <v>40</v>
      </c>
      <c r="I139" s="57">
        <v>951</v>
      </c>
      <c r="J139" s="57">
        <v>1</v>
      </c>
      <c r="K139" s="57"/>
      <c r="L139" s="57"/>
      <c r="M139" s="57"/>
      <c r="N139" s="57"/>
      <c r="O139" s="57"/>
      <c r="P139" s="57"/>
      <c r="Q139" s="57"/>
      <c r="R139" s="57"/>
      <c r="S139" s="58">
        <f t="shared" si="4"/>
        <v>951</v>
      </c>
      <c r="T139" s="58">
        <f t="shared" si="5"/>
        <v>1</v>
      </c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  <c r="BC139" s="6"/>
      <c r="BD139" s="6"/>
      <c r="BE139" s="6"/>
      <c r="BF139" s="6"/>
      <c r="BG139" s="6"/>
      <c r="BH139" s="6"/>
      <c r="BI139" s="6"/>
      <c r="BJ139" s="6"/>
      <c r="BK139" s="6"/>
      <c r="BL139" s="6"/>
      <c r="BM139" s="6"/>
      <c r="BN139" s="6"/>
      <c r="BO139" s="6"/>
      <c r="BP139" s="6"/>
      <c r="BQ139" s="6"/>
      <c r="BR139" s="6"/>
      <c r="BS139" s="6"/>
      <c r="BT139" s="6"/>
      <c r="BU139" s="6"/>
      <c r="BV139" s="6"/>
      <c r="BW139" s="6"/>
      <c r="BX139" s="6"/>
      <c r="BY139" s="6"/>
      <c r="BZ139" s="6"/>
      <c r="CA139" s="6"/>
      <c r="CB139" s="6"/>
      <c r="CC139" s="6"/>
      <c r="CD139" s="6"/>
      <c r="CE139" s="6"/>
      <c r="CF139" s="6"/>
      <c r="CG139" s="6"/>
      <c r="CH139" s="6"/>
      <c r="CI139" s="6"/>
      <c r="CJ139" s="6"/>
      <c r="CK139" s="6"/>
      <c r="CL139" s="6"/>
      <c r="CM139" s="6"/>
    </row>
    <row r="140" spans="1:91" s="42" customFormat="1" x14ac:dyDescent="0.25">
      <c r="A140" s="92" t="s">
        <v>169</v>
      </c>
      <c r="B140" s="79" t="s">
        <v>250</v>
      </c>
      <c r="C140" s="80">
        <v>42122</v>
      </c>
      <c r="D140" s="63"/>
      <c r="E140" s="64" t="s">
        <v>361</v>
      </c>
      <c r="F140" s="64" t="s">
        <v>28</v>
      </c>
      <c r="G140" s="56" t="s">
        <v>366</v>
      </c>
      <c r="H140" s="56" t="s">
        <v>41</v>
      </c>
      <c r="I140" s="57">
        <v>2429</v>
      </c>
      <c r="J140" s="57">
        <v>61</v>
      </c>
      <c r="K140" s="57"/>
      <c r="L140" s="57"/>
      <c r="M140" s="57"/>
      <c r="N140" s="57"/>
      <c r="O140" s="57"/>
      <c r="P140" s="57"/>
      <c r="Q140" s="57"/>
      <c r="R140" s="57"/>
      <c r="S140" s="58">
        <f t="shared" si="4"/>
        <v>2429</v>
      </c>
      <c r="T140" s="58">
        <f t="shared" si="5"/>
        <v>61</v>
      </c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  <c r="BC140" s="6"/>
      <c r="BD140" s="6"/>
      <c r="BE140" s="6"/>
      <c r="BF140" s="6"/>
      <c r="BG140" s="6"/>
      <c r="BH140" s="6"/>
      <c r="BI140" s="6"/>
      <c r="BJ140" s="6"/>
      <c r="BK140" s="6"/>
      <c r="BL140" s="6"/>
      <c r="BM140" s="6"/>
      <c r="BN140" s="6"/>
      <c r="BO140" s="6"/>
      <c r="BP140" s="6"/>
      <c r="BQ140" s="6"/>
      <c r="BR140" s="6"/>
      <c r="BS140" s="6"/>
      <c r="BT140" s="6"/>
      <c r="BU140" s="6"/>
      <c r="BV140" s="6"/>
      <c r="BW140" s="6"/>
      <c r="BX140" s="6"/>
      <c r="BY140" s="6"/>
      <c r="BZ140" s="6"/>
      <c r="CA140" s="6"/>
      <c r="CB140" s="6"/>
      <c r="CC140" s="6"/>
      <c r="CD140" s="6"/>
      <c r="CE140" s="6"/>
      <c r="CF140" s="6"/>
      <c r="CG140" s="6"/>
      <c r="CH140" s="6"/>
      <c r="CI140" s="6"/>
      <c r="CJ140" s="6"/>
      <c r="CK140" s="6"/>
      <c r="CL140" s="6"/>
      <c r="CM140" s="6"/>
    </row>
    <row r="141" spans="1:91" s="42" customFormat="1" x14ac:dyDescent="0.25">
      <c r="A141" s="92" t="s">
        <v>170</v>
      </c>
      <c r="B141" s="87" t="s">
        <v>249</v>
      </c>
      <c r="C141" s="80">
        <v>42122</v>
      </c>
      <c r="D141" s="63"/>
      <c r="E141" s="64" t="s">
        <v>24</v>
      </c>
      <c r="F141" s="64" t="s">
        <v>34</v>
      </c>
      <c r="G141" s="56" t="s">
        <v>366</v>
      </c>
      <c r="H141" s="56" t="s">
        <v>41</v>
      </c>
      <c r="I141" s="57">
        <v>1186</v>
      </c>
      <c r="J141" s="57">
        <v>6</v>
      </c>
      <c r="K141" s="57"/>
      <c r="L141" s="57"/>
      <c r="M141" s="57"/>
      <c r="N141" s="57"/>
      <c r="O141" s="57"/>
      <c r="P141" s="57"/>
      <c r="Q141" s="57"/>
      <c r="R141" s="57"/>
      <c r="S141" s="58">
        <f t="shared" si="4"/>
        <v>1186</v>
      </c>
      <c r="T141" s="58">
        <f t="shared" si="5"/>
        <v>6</v>
      </c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  <c r="BC141" s="6"/>
      <c r="BD141" s="6"/>
      <c r="BE141" s="6"/>
      <c r="BF141" s="6"/>
      <c r="BG141" s="6"/>
      <c r="BH141" s="6"/>
      <c r="BI141" s="6"/>
      <c r="BJ141" s="6"/>
      <c r="BK141" s="6"/>
      <c r="BL141" s="6"/>
      <c r="BM141" s="6"/>
      <c r="BN141" s="6"/>
      <c r="BO141" s="6"/>
      <c r="BP141" s="6"/>
      <c r="BQ141" s="6"/>
      <c r="BR141" s="6"/>
      <c r="BS141" s="6"/>
      <c r="BT141" s="6"/>
      <c r="BU141" s="6"/>
      <c r="BV141" s="6"/>
      <c r="BW141" s="6"/>
      <c r="BX141" s="6"/>
      <c r="BY141" s="6"/>
      <c r="BZ141" s="6"/>
      <c r="CA141" s="6"/>
      <c r="CB141" s="6"/>
      <c r="CC141" s="6"/>
      <c r="CD141" s="6"/>
      <c r="CE141" s="6"/>
      <c r="CF141" s="6"/>
      <c r="CG141" s="6"/>
      <c r="CH141" s="6"/>
      <c r="CI141" s="6"/>
      <c r="CJ141" s="6"/>
      <c r="CK141" s="6"/>
      <c r="CL141" s="6"/>
      <c r="CM141" s="6"/>
    </row>
    <row r="142" spans="1:91" s="42" customFormat="1" x14ac:dyDescent="0.25">
      <c r="A142" s="92" t="s">
        <v>171</v>
      </c>
      <c r="B142" s="87" t="s">
        <v>218</v>
      </c>
      <c r="C142" s="80">
        <v>42122</v>
      </c>
      <c r="D142" s="63"/>
      <c r="E142" s="64" t="s">
        <v>22</v>
      </c>
      <c r="F142" s="64" t="s">
        <v>29</v>
      </c>
      <c r="G142" s="56" t="s">
        <v>365</v>
      </c>
      <c r="H142" s="56" t="s">
        <v>40</v>
      </c>
      <c r="I142" s="57">
        <v>555</v>
      </c>
      <c r="J142" s="57">
        <v>9</v>
      </c>
      <c r="K142" s="57">
        <v>5200</v>
      </c>
      <c r="L142" s="57">
        <v>0</v>
      </c>
      <c r="M142" s="57">
        <v>41</v>
      </c>
      <c r="N142" s="57">
        <v>0</v>
      </c>
      <c r="O142" s="57">
        <v>644</v>
      </c>
      <c r="P142" s="57">
        <v>0</v>
      </c>
      <c r="Q142" s="57"/>
      <c r="R142" s="57"/>
      <c r="S142" s="58">
        <f t="shared" si="4"/>
        <v>6440</v>
      </c>
      <c r="T142" s="58">
        <f t="shared" si="5"/>
        <v>9</v>
      </c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  <c r="BC142" s="6"/>
      <c r="BD142" s="6"/>
      <c r="BE142" s="6"/>
      <c r="BF142" s="6"/>
      <c r="BG142" s="6"/>
      <c r="BH142" s="6"/>
      <c r="BI142" s="6"/>
      <c r="BJ142" s="6"/>
      <c r="BK142" s="6"/>
      <c r="BL142" s="6"/>
      <c r="BM142" s="6"/>
      <c r="BN142" s="6"/>
      <c r="BO142" s="6"/>
      <c r="BP142" s="6"/>
      <c r="BQ142" s="6"/>
      <c r="BR142" s="6"/>
      <c r="BS142" s="6"/>
      <c r="BT142" s="6"/>
      <c r="BU142" s="6"/>
      <c r="BV142" s="6"/>
      <c r="BW142" s="6"/>
      <c r="BX142" s="6"/>
      <c r="BY142" s="6"/>
      <c r="BZ142" s="6"/>
      <c r="CA142" s="6"/>
      <c r="CB142" s="6"/>
      <c r="CC142" s="6"/>
      <c r="CD142" s="6"/>
      <c r="CE142" s="6"/>
      <c r="CF142" s="6"/>
      <c r="CG142" s="6"/>
      <c r="CH142" s="6"/>
      <c r="CI142" s="6"/>
      <c r="CJ142" s="6"/>
      <c r="CK142" s="6"/>
      <c r="CL142" s="6"/>
      <c r="CM142" s="6"/>
    </row>
    <row r="143" spans="1:91" s="42" customFormat="1" x14ac:dyDescent="0.25">
      <c r="A143" s="92" t="s">
        <v>172</v>
      </c>
      <c r="B143" s="87" t="s">
        <v>218</v>
      </c>
      <c r="C143" s="80">
        <v>42123</v>
      </c>
      <c r="D143" s="63" t="s">
        <v>21</v>
      </c>
      <c r="E143" s="64" t="s">
        <v>24</v>
      </c>
      <c r="F143" s="64" t="s">
        <v>361</v>
      </c>
      <c r="G143" s="56" t="s">
        <v>366</v>
      </c>
      <c r="H143" s="56" t="s">
        <v>40</v>
      </c>
      <c r="I143" s="57">
        <v>439</v>
      </c>
      <c r="J143" s="57">
        <v>4</v>
      </c>
      <c r="K143" s="57"/>
      <c r="L143" s="57"/>
      <c r="M143" s="57">
        <v>201</v>
      </c>
      <c r="N143" s="57">
        <v>0</v>
      </c>
      <c r="O143" s="57"/>
      <c r="P143" s="57"/>
      <c r="Q143" s="57"/>
      <c r="R143" s="57"/>
      <c r="S143" s="58">
        <f t="shared" si="4"/>
        <v>640</v>
      </c>
      <c r="T143" s="58">
        <f t="shared" si="5"/>
        <v>4</v>
      </c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  <c r="BC143" s="6"/>
      <c r="BD143" s="6"/>
      <c r="BE143" s="6"/>
      <c r="BF143" s="6"/>
      <c r="BG143" s="6"/>
      <c r="BH143" s="6"/>
      <c r="BI143" s="6"/>
      <c r="BJ143" s="6"/>
      <c r="BK143" s="6"/>
      <c r="BL143" s="6"/>
      <c r="BM143" s="6"/>
      <c r="BN143" s="6"/>
      <c r="BO143" s="6"/>
      <c r="BP143" s="6"/>
      <c r="BQ143" s="6"/>
      <c r="BR143" s="6"/>
      <c r="BS143" s="6"/>
      <c r="BT143" s="6"/>
      <c r="BU143" s="6"/>
      <c r="BV143" s="6"/>
      <c r="BW143" s="6"/>
      <c r="BX143" s="6"/>
      <c r="BY143" s="6"/>
      <c r="BZ143" s="6"/>
      <c r="CA143" s="6"/>
      <c r="CB143" s="6"/>
      <c r="CC143" s="6"/>
      <c r="CD143" s="6"/>
      <c r="CE143" s="6"/>
      <c r="CF143" s="6"/>
      <c r="CG143" s="6"/>
      <c r="CH143" s="6"/>
      <c r="CI143" s="6"/>
      <c r="CJ143" s="6"/>
      <c r="CK143" s="6"/>
      <c r="CL143" s="6"/>
      <c r="CM143" s="6"/>
    </row>
    <row r="144" spans="1:91" s="42" customFormat="1" x14ac:dyDescent="0.25">
      <c r="A144" s="92" t="s">
        <v>173</v>
      </c>
      <c r="B144" s="87" t="s">
        <v>228</v>
      </c>
      <c r="C144" s="80">
        <v>42123</v>
      </c>
      <c r="D144" s="63" t="s">
        <v>19</v>
      </c>
      <c r="E144" s="64" t="s">
        <v>25</v>
      </c>
      <c r="F144" s="64" t="s">
        <v>30</v>
      </c>
      <c r="G144" s="56" t="s">
        <v>365</v>
      </c>
      <c r="H144" s="56" t="s">
        <v>41</v>
      </c>
      <c r="I144" s="57">
        <v>1362</v>
      </c>
      <c r="J144" s="57">
        <v>5</v>
      </c>
      <c r="K144" s="57"/>
      <c r="L144" s="57"/>
      <c r="M144" s="57">
        <v>265</v>
      </c>
      <c r="N144" s="57">
        <v>0</v>
      </c>
      <c r="O144" s="57"/>
      <c r="P144" s="57"/>
      <c r="Q144" s="57"/>
      <c r="R144" s="57"/>
      <c r="S144" s="58">
        <f t="shared" si="4"/>
        <v>1627</v>
      </c>
      <c r="T144" s="58">
        <f t="shared" si="5"/>
        <v>5</v>
      </c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  <c r="BC144" s="6"/>
      <c r="BD144" s="6"/>
      <c r="BE144" s="6"/>
      <c r="BF144" s="6"/>
      <c r="BG144" s="6"/>
      <c r="BH144" s="6"/>
      <c r="BI144" s="6"/>
      <c r="BJ144" s="6"/>
      <c r="BK144" s="6"/>
      <c r="BL144" s="6"/>
      <c r="BM144" s="6"/>
      <c r="BN144" s="6"/>
      <c r="BO144" s="6"/>
      <c r="BP144" s="6"/>
      <c r="BQ144" s="6"/>
      <c r="BR144" s="6"/>
      <c r="BS144" s="6"/>
      <c r="BT144" s="6"/>
      <c r="BU144" s="6"/>
      <c r="BV144" s="6"/>
      <c r="BW144" s="6"/>
      <c r="BX144" s="6"/>
      <c r="BY144" s="6"/>
      <c r="BZ144" s="6"/>
      <c r="CA144" s="6"/>
      <c r="CB144" s="6"/>
      <c r="CC144" s="6"/>
      <c r="CD144" s="6"/>
      <c r="CE144" s="6"/>
      <c r="CF144" s="6"/>
      <c r="CG144" s="6"/>
      <c r="CH144" s="6"/>
      <c r="CI144" s="6"/>
      <c r="CJ144" s="6"/>
      <c r="CK144" s="6"/>
      <c r="CL144" s="6"/>
      <c r="CM144" s="6"/>
    </row>
    <row r="145" spans="1:91" s="42" customFormat="1" x14ac:dyDescent="0.25">
      <c r="A145" s="92" t="s">
        <v>177</v>
      </c>
      <c r="B145" s="87" t="s">
        <v>223</v>
      </c>
      <c r="C145" s="80">
        <v>42124</v>
      </c>
      <c r="D145" s="63"/>
      <c r="E145" s="64" t="s">
        <v>361</v>
      </c>
      <c r="F145" s="64" t="s">
        <v>361</v>
      </c>
      <c r="G145" s="56" t="s">
        <v>366</v>
      </c>
      <c r="H145" s="56" t="s">
        <v>41</v>
      </c>
      <c r="I145" s="57">
        <v>2559</v>
      </c>
      <c r="J145" s="57">
        <v>7</v>
      </c>
      <c r="K145" s="57"/>
      <c r="L145" s="57"/>
      <c r="M145" s="57">
        <v>881</v>
      </c>
      <c r="N145" s="57">
        <v>0</v>
      </c>
      <c r="O145" s="57"/>
      <c r="P145" s="57"/>
      <c r="Q145" s="57"/>
      <c r="R145" s="57"/>
      <c r="S145" s="58">
        <f t="shared" si="4"/>
        <v>3440</v>
      </c>
      <c r="T145" s="58">
        <f t="shared" si="5"/>
        <v>7</v>
      </c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  <c r="BC145" s="6"/>
      <c r="BD145" s="6"/>
      <c r="BE145" s="6"/>
      <c r="BF145" s="6"/>
      <c r="BG145" s="6"/>
      <c r="BH145" s="6"/>
      <c r="BI145" s="6"/>
      <c r="BJ145" s="6"/>
      <c r="BK145" s="6"/>
      <c r="BL145" s="6"/>
      <c r="BM145" s="6"/>
      <c r="BN145" s="6"/>
      <c r="BO145" s="6"/>
      <c r="BP145" s="6"/>
      <c r="BQ145" s="6"/>
      <c r="BR145" s="6"/>
      <c r="BS145" s="6"/>
      <c r="BT145" s="6"/>
      <c r="BU145" s="6"/>
      <c r="BV145" s="6"/>
      <c r="BW145" s="6"/>
      <c r="BX145" s="6"/>
      <c r="BY145" s="6"/>
      <c r="BZ145" s="6"/>
      <c r="CA145" s="6"/>
      <c r="CB145" s="6"/>
      <c r="CC145" s="6"/>
      <c r="CD145" s="6"/>
      <c r="CE145" s="6"/>
      <c r="CF145" s="6"/>
      <c r="CG145" s="6"/>
      <c r="CH145" s="6"/>
      <c r="CI145" s="6"/>
      <c r="CJ145" s="6"/>
      <c r="CK145" s="6"/>
      <c r="CL145" s="6"/>
      <c r="CM145" s="6"/>
    </row>
    <row r="146" spans="1:91" s="42" customFormat="1" x14ac:dyDescent="0.25">
      <c r="A146" s="81" t="s">
        <v>174</v>
      </c>
      <c r="B146" s="87" t="s">
        <v>229</v>
      </c>
      <c r="C146" s="80">
        <v>42124</v>
      </c>
      <c r="D146" s="63"/>
      <c r="E146" s="64" t="s">
        <v>24</v>
      </c>
      <c r="F146" s="64" t="s">
        <v>361</v>
      </c>
      <c r="G146" s="56" t="s">
        <v>366</v>
      </c>
      <c r="H146" s="56" t="s">
        <v>41</v>
      </c>
      <c r="I146" s="57">
        <v>439</v>
      </c>
      <c r="J146" s="57">
        <v>5</v>
      </c>
      <c r="K146" s="57">
        <v>4613</v>
      </c>
      <c r="L146" s="57">
        <v>1</v>
      </c>
      <c r="M146" s="57"/>
      <c r="N146" s="57"/>
      <c r="O146" s="57">
        <v>845</v>
      </c>
      <c r="P146" s="57">
        <v>0</v>
      </c>
      <c r="Q146" s="57"/>
      <c r="R146" s="57"/>
      <c r="S146" s="58">
        <f t="shared" si="4"/>
        <v>5897</v>
      </c>
      <c r="T146" s="58">
        <f t="shared" si="5"/>
        <v>6</v>
      </c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  <c r="BC146" s="6"/>
      <c r="BD146" s="6"/>
      <c r="BE146" s="6"/>
      <c r="BF146" s="6"/>
      <c r="BG146" s="6"/>
      <c r="BH146" s="6"/>
      <c r="BI146" s="6"/>
      <c r="BJ146" s="6"/>
      <c r="BK146" s="6"/>
      <c r="BL146" s="6"/>
      <c r="BM146" s="6"/>
      <c r="BN146" s="6"/>
      <c r="BO146" s="6"/>
      <c r="BP146" s="6"/>
      <c r="BQ146" s="6"/>
      <c r="BR146" s="6"/>
      <c r="BS146" s="6"/>
      <c r="BT146" s="6"/>
      <c r="BU146" s="6"/>
      <c r="BV146" s="6"/>
      <c r="BW146" s="6"/>
      <c r="BX146" s="6"/>
      <c r="BY146" s="6"/>
      <c r="BZ146" s="6"/>
      <c r="CA146" s="6"/>
      <c r="CB146" s="6"/>
      <c r="CC146" s="6"/>
      <c r="CD146" s="6"/>
      <c r="CE146" s="6"/>
      <c r="CF146" s="6"/>
      <c r="CG146" s="6"/>
      <c r="CH146" s="6"/>
      <c r="CI146" s="6"/>
      <c r="CJ146" s="6"/>
      <c r="CK146" s="6"/>
      <c r="CL146" s="6"/>
      <c r="CM146" s="6"/>
    </row>
    <row r="147" spans="1:91" s="42" customFormat="1" x14ac:dyDescent="0.25">
      <c r="A147" s="81" t="s">
        <v>175</v>
      </c>
      <c r="B147" s="87" t="s">
        <v>238</v>
      </c>
      <c r="C147" s="80">
        <v>42124</v>
      </c>
      <c r="D147" s="63"/>
      <c r="E147" s="64" t="s">
        <v>361</v>
      </c>
      <c r="F147" s="64" t="s">
        <v>361</v>
      </c>
      <c r="G147" s="56" t="s">
        <v>366</v>
      </c>
      <c r="H147" s="56" t="s">
        <v>41</v>
      </c>
      <c r="I147" s="57">
        <v>736</v>
      </c>
      <c r="J147" s="57">
        <v>1</v>
      </c>
      <c r="K147" s="57"/>
      <c r="L147" s="57"/>
      <c r="M147" s="57"/>
      <c r="N147" s="57"/>
      <c r="O147" s="57"/>
      <c r="P147" s="57"/>
      <c r="Q147" s="57"/>
      <c r="R147" s="57"/>
      <c r="S147" s="58">
        <f t="shared" si="4"/>
        <v>736</v>
      </c>
      <c r="T147" s="58">
        <f t="shared" si="5"/>
        <v>1</v>
      </c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  <c r="BC147" s="6"/>
      <c r="BD147" s="6"/>
      <c r="BE147" s="6"/>
      <c r="BF147" s="6"/>
      <c r="BG147" s="6"/>
      <c r="BH147" s="6"/>
      <c r="BI147" s="6"/>
      <c r="BJ147" s="6"/>
      <c r="BK147" s="6"/>
      <c r="BL147" s="6"/>
      <c r="BM147" s="6"/>
      <c r="BN147" s="6"/>
      <c r="BO147" s="6"/>
      <c r="BP147" s="6"/>
      <c r="BQ147" s="6"/>
      <c r="BR147" s="6"/>
      <c r="BS147" s="6"/>
      <c r="BT147" s="6"/>
      <c r="BU147" s="6"/>
      <c r="BV147" s="6"/>
      <c r="BW147" s="6"/>
      <c r="BX147" s="6"/>
      <c r="BY147" s="6"/>
      <c r="BZ147" s="6"/>
      <c r="CA147" s="6"/>
      <c r="CB147" s="6"/>
      <c r="CC147" s="6"/>
      <c r="CD147" s="6"/>
      <c r="CE147" s="6"/>
      <c r="CF147" s="6"/>
      <c r="CG147" s="6"/>
      <c r="CH147" s="6"/>
      <c r="CI147" s="6"/>
      <c r="CJ147" s="6"/>
      <c r="CK147" s="6"/>
      <c r="CL147" s="6"/>
      <c r="CM147" s="6"/>
    </row>
    <row r="148" spans="1:91" s="42" customFormat="1" x14ac:dyDescent="0.25">
      <c r="A148" s="81" t="s">
        <v>176</v>
      </c>
      <c r="B148" s="87" t="s">
        <v>248</v>
      </c>
      <c r="C148" s="80">
        <v>42124</v>
      </c>
      <c r="D148" s="63" t="s">
        <v>19</v>
      </c>
      <c r="E148" s="64" t="s">
        <v>22</v>
      </c>
      <c r="F148" s="64" t="s">
        <v>30</v>
      </c>
      <c r="G148" s="56" t="s">
        <v>365</v>
      </c>
      <c r="H148" s="56" t="s">
        <v>41</v>
      </c>
      <c r="I148" s="57">
        <v>1147</v>
      </c>
      <c r="J148" s="57">
        <v>7</v>
      </c>
      <c r="K148" s="57"/>
      <c r="L148" s="57"/>
      <c r="M148" s="57"/>
      <c r="N148" s="57"/>
      <c r="O148" s="57"/>
      <c r="P148" s="57"/>
      <c r="Q148" s="57"/>
      <c r="R148" s="57"/>
      <c r="S148" s="58">
        <f t="shared" si="4"/>
        <v>1147</v>
      </c>
      <c r="T148" s="58">
        <f t="shared" si="5"/>
        <v>7</v>
      </c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  <c r="BC148" s="6"/>
      <c r="BD148" s="6"/>
      <c r="BE148" s="6"/>
      <c r="BF148" s="6"/>
      <c r="BG148" s="6"/>
      <c r="BH148" s="6"/>
      <c r="BI148" s="6"/>
      <c r="BJ148" s="6"/>
      <c r="BK148" s="6"/>
      <c r="BL148" s="6"/>
      <c r="BM148" s="6"/>
      <c r="BN148" s="6"/>
      <c r="BO148" s="6"/>
      <c r="BP148" s="6"/>
      <c r="BQ148" s="6"/>
      <c r="BR148" s="6"/>
      <c r="BS148" s="6"/>
      <c r="BT148" s="6"/>
      <c r="BU148" s="6"/>
      <c r="BV148" s="6"/>
      <c r="BW148" s="6"/>
      <c r="BX148" s="6"/>
      <c r="BY148" s="6"/>
      <c r="BZ148" s="6"/>
      <c r="CA148" s="6"/>
      <c r="CB148" s="6"/>
      <c r="CC148" s="6"/>
      <c r="CD148" s="6"/>
      <c r="CE148" s="6"/>
      <c r="CF148" s="6"/>
      <c r="CG148" s="6"/>
      <c r="CH148" s="6"/>
      <c r="CI148" s="6"/>
      <c r="CJ148" s="6"/>
      <c r="CK148" s="6"/>
      <c r="CL148" s="6"/>
      <c r="CM148" s="6"/>
    </row>
    <row r="149" spans="1:91" s="42" customFormat="1" x14ac:dyDescent="0.25">
      <c r="A149" s="78" t="s">
        <v>144</v>
      </c>
      <c r="B149" s="87" t="s">
        <v>233</v>
      </c>
      <c r="C149" s="80">
        <v>42125</v>
      </c>
      <c r="D149" s="63"/>
      <c r="E149" s="64" t="s">
        <v>24</v>
      </c>
      <c r="F149" s="64" t="s">
        <v>361</v>
      </c>
      <c r="G149" s="56" t="s">
        <v>366</v>
      </c>
      <c r="H149" s="56" t="s">
        <v>41</v>
      </c>
      <c r="I149" s="57">
        <v>652</v>
      </c>
      <c r="J149" s="57">
        <v>2</v>
      </c>
      <c r="K149" s="57"/>
      <c r="L149" s="57"/>
      <c r="M149" s="57"/>
      <c r="N149" s="57"/>
      <c r="O149" s="57"/>
      <c r="P149" s="57"/>
      <c r="Q149" s="57"/>
      <c r="R149" s="57"/>
      <c r="S149" s="58">
        <f t="shared" si="4"/>
        <v>652</v>
      </c>
      <c r="T149" s="58">
        <f t="shared" si="5"/>
        <v>2</v>
      </c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  <c r="BC149" s="6"/>
      <c r="BD149" s="6"/>
      <c r="BE149" s="6"/>
      <c r="BF149" s="6"/>
      <c r="BG149" s="6"/>
      <c r="BH149" s="6"/>
      <c r="BI149" s="6"/>
      <c r="BJ149" s="6"/>
      <c r="BK149" s="6"/>
      <c r="BL149" s="6"/>
      <c r="BM149" s="6"/>
      <c r="BN149" s="6"/>
      <c r="BO149" s="6"/>
      <c r="BP149" s="6"/>
      <c r="BQ149" s="6"/>
      <c r="BR149" s="6"/>
      <c r="BS149" s="6"/>
      <c r="BT149" s="6"/>
      <c r="BU149" s="6"/>
      <c r="BV149" s="6"/>
      <c r="BW149" s="6"/>
      <c r="BX149" s="6"/>
      <c r="BY149" s="6"/>
      <c r="BZ149" s="6"/>
      <c r="CA149" s="6"/>
      <c r="CB149" s="6"/>
      <c r="CC149" s="6"/>
      <c r="CD149" s="6"/>
      <c r="CE149" s="6"/>
      <c r="CF149" s="6"/>
      <c r="CG149" s="6"/>
      <c r="CH149" s="6"/>
      <c r="CI149" s="6"/>
      <c r="CJ149" s="6"/>
      <c r="CK149" s="6"/>
      <c r="CL149" s="6"/>
      <c r="CM149" s="6"/>
    </row>
    <row r="150" spans="1:91" s="42" customFormat="1" ht="30" x14ac:dyDescent="0.25">
      <c r="A150" s="78" t="s">
        <v>149</v>
      </c>
      <c r="B150" s="87" t="s">
        <v>229</v>
      </c>
      <c r="C150" s="80">
        <v>42125</v>
      </c>
      <c r="D150" s="63"/>
      <c r="E150" s="64" t="s">
        <v>24</v>
      </c>
      <c r="F150" s="64" t="s">
        <v>327</v>
      </c>
      <c r="G150" s="56" t="s">
        <v>366</v>
      </c>
      <c r="H150" s="56" t="s">
        <v>41</v>
      </c>
      <c r="I150" s="57">
        <v>756</v>
      </c>
      <c r="J150" s="57"/>
      <c r="K150" s="57"/>
      <c r="L150" s="57"/>
      <c r="M150" s="57">
        <v>111</v>
      </c>
      <c r="N150" s="57">
        <v>0</v>
      </c>
      <c r="O150" s="57">
        <v>374</v>
      </c>
      <c r="P150" s="57">
        <v>0</v>
      </c>
      <c r="Q150" s="57"/>
      <c r="R150" s="57"/>
      <c r="S150" s="58">
        <f t="shared" si="4"/>
        <v>1241</v>
      </c>
      <c r="T150" s="58">
        <f t="shared" si="5"/>
        <v>0</v>
      </c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  <c r="BC150" s="6"/>
      <c r="BD150" s="6"/>
      <c r="BE150" s="6"/>
      <c r="BF150" s="6"/>
      <c r="BG150" s="6"/>
      <c r="BH150" s="6"/>
      <c r="BI150" s="6"/>
      <c r="BJ150" s="6"/>
      <c r="BK150" s="6"/>
      <c r="BL150" s="6"/>
      <c r="BM150" s="6"/>
      <c r="BN150" s="6"/>
      <c r="BO150" s="6"/>
      <c r="BP150" s="6"/>
      <c r="BQ150" s="6"/>
      <c r="BR150" s="6"/>
      <c r="BS150" s="6"/>
      <c r="BT150" s="6"/>
      <c r="BU150" s="6"/>
      <c r="BV150" s="6"/>
      <c r="BW150" s="6"/>
      <c r="BX150" s="6"/>
      <c r="BY150" s="6"/>
      <c r="BZ150" s="6"/>
      <c r="CA150" s="6"/>
      <c r="CB150" s="6"/>
      <c r="CC150" s="6"/>
      <c r="CD150" s="6"/>
      <c r="CE150" s="6"/>
      <c r="CF150" s="6"/>
      <c r="CG150" s="6"/>
      <c r="CH150" s="6"/>
      <c r="CI150" s="6"/>
      <c r="CJ150" s="6"/>
      <c r="CK150" s="6"/>
      <c r="CL150" s="6"/>
      <c r="CM150" s="6"/>
    </row>
    <row r="151" spans="1:91" s="42" customFormat="1" x14ac:dyDescent="0.25">
      <c r="A151" s="78" t="s">
        <v>164</v>
      </c>
      <c r="B151" s="79" t="s">
        <v>221</v>
      </c>
      <c r="C151" s="80">
        <v>42125</v>
      </c>
      <c r="D151" s="63"/>
      <c r="E151" s="64" t="s">
        <v>24</v>
      </c>
      <c r="F151" s="64" t="s">
        <v>32</v>
      </c>
      <c r="G151" s="56" t="s">
        <v>365</v>
      </c>
      <c r="H151" s="56" t="s">
        <v>41</v>
      </c>
      <c r="I151" s="57">
        <v>912</v>
      </c>
      <c r="J151" s="57">
        <v>0</v>
      </c>
      <c r="K151" s="57">
        <v>1105</v>
      </c>
      <c r="L151" s="57">
        <v>0</v>
      </c>
      <c r="M151" s="57"/>
      <c r="N151" s="57"/>
      <c r="O151" s="57"/>
      <c r="P151" s="57"/>
      <c r="Q151" s="57"/>
      <c r="R151" s="57"/>
      <c r="S151" s="58">
        <f t="shared" si="4"/>
        <v>2017</v>
      </c>
      <c r="T151" s="58">
        <f t="shared" si="5"/>
        <v>0</v>
      </c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  <c r="BC151" s="6"/>
      <c r="BD151" s="6"/>
      <c r="BE151" s="6"/>
      <c r="BF151" s="6"/>
      <c r="BG151" s="6"/>
      <c r="BH151" s="6"/>
      <c r="BI151" s="6"/>
      <c r="BJ151" s="6"/>
      <c r="BK151" s="6"/>
      <c r="BL151" s="6"/>
      <c r="BM151" s="6"/>
      <c r="BN151" s="6"/>
      <c r="BO151" s="6"/>
      <c r="BP151" s="6"/>
      <c r="BQ151" s="6"/>
      <c r="BR151" s="6"/>
      <c r="BS151" s="6"/>
      <c r="BT151" s="6"/>
      <c r="BU151" s="6"/>
      <c r="BV151" s="6"/>
      <c r="BW151" s="6"/>
      <c r="BX151" s="6"/>
      <c r="BY151" s="6"/>
      <c r="BZ151" s="6"/>
      <c r="CA151" s="6"/>
      <c r="CB151" s="6"/>
      <c r="CC151" s="6"/>
      <c r="CD151" s="6"/>
      <c r="CE151" s="6"/>
      <c r="CF151" s="6"/>
      <c r="CG151" s="6"/>
      <c r="CH151" s="6"/>
      <c r="CI151" s="6"/>
      <c r="CJ151" s="6"/>
      <c r="CK151" s="6"/>
      <c r="CL151" s="6"/>
      <c r="CM151" s="6"/>
    </row>
    <row r="152" spans="1:91" s="42" customFormat="1" x14ac:dyDescent="0.25">
      <c r="A152" s="78" t="s">
        <v>146</v>
      </c>
      <c r="B152" s="87" t="s">
        <v>229</v>
      </c>
      <c r="C152" s="80">
        <v>42128</v>
      </c>
      <c r="D152" s="63" t="s">
        <v>21</v>
      </c>
      <c r="E152" s="64" t="s">
        <v>24</v>
      </c>
      <c r="F152" s="64" t="s">
        <v>31</v>
      </c>
      <c r="G152" s="56" t="s">
        <v>366</v>
      </c>
      <c r="H152" s="56" t="s">
        <v>41</v>
      </c>
      <c r="I152" s="57">
        <v>2694</v>
      </c>
      <c r="J152" s="57">
        <v>3</v>
      </c>
      <c r="K152" s="57"/>
      <c r="L152" s="57"/>
      <c r="M152" s="57"/>
      <c r="N152" s="57"/>
      <c r="O152" s="57"/>
      <c r="P152" s="57"/>
      <c r="Q152" s="57"/>
      <c r="R152" s="57"/>
      <c r="S152" s="58">
        <f t="shared" si="4"/>
        <v>2694</v>
      </c>
      <c r="T152" s="58">
        <f t="shared" si="5"/>
        <v>3</v>
      </c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  <c r="BC152" s="6"/>
      <c r="BD152" s="6"/>
      <c r="BE152" s="6"/>
      <c r="BF152" s="6"/>
      <c r="BG152" s="6"/>
      <c r="BH152" s="6"/>
      <c r="BI152" s="6"/>
      <c r="BJ152" s="6"/>
      <c r="BK152" s="6"/>
      <c r="BL152" s="6"/>
      <c r="BM152" s="6"/>
      <c r="BN152" s="6"/>
      <c r="BO152" s="6"/>
      <c r="BP152" s="6"/>
      <c r="BQ152" s="6"/>
      <c r="BR152" s="6"/>
      <c r="BS152" s="6"/>
      <c r="BT152" s="6"/>
      <c r="BU152" s="6"/>
      <c r="BV152" s="6"/>
      <c r="BW152" s="6"/>
      <c r="BX152" s="6"/>
      <c r="BY152" s="6"/>
      <c r="BZ152" s="6"/>
      <c r="CA152" s="6"/>
      <c r="CB152" s="6"/>
      <c r="CC152" s="6"/>
      <c r="CD152" s="6"/>
      <c r="CE152" s="6"/>
      <c r="CF152" s="6"/>
      <c r="CG152" s="6"/>
      <c r="CH152" s="6"/>
      <c r="CI152" s="6"/>
      <c r="CJ152" s="6"/>
      <c r="CK152" s="6"/>
      <c r="CL152" s="6"/>
      <c r="CM152" s="6"/>
    </row>
    <row r="153" spans="1:91" s="42" customFormat="1" x14ac:dyDescent="0.25">
      <c r="A153" s="78" t="s">
        <v>145</v>
      </c>
      <c r="B153" s="87" t="s">
        <v>232</v>
      </c>
      <c r="C153" s="80">
        <v>42128</v>
      </c>
      <c r="D153" s="63"/>
      <c r="E153" s="64" t="s">
        <v>24</v>
      </c>
      <c r="F153" s="64" t="s">
        <v>31</v>
      </c>
      <c r="G153" s="56" t="s">
        <v>365</v>
      </c>
      <c r="H153" s="56" t="s">
        <v>40</v>
      </c>
      <c r="I153" s="57">
        <v>749</v>
      </c>
      <c r="J153" s="57">
        <v>8</v>
      </c>
      <c r="K153" s="57"/>
      <c r="L153" s="57"/>
      <c r="M153" s="57">
        <v>262</v>
      </c>
      <c r="N153" s="57">
        <v>0</v>
      </c>
      <c r="O153" s="57"/>
      <c r="P153" s="57"/>
      <c r="Q153" s="57"/>
      <c r="R153" s="57"/>
      <c r="S153" s="58">
        <f t="shared" si="4"/>
        <v>1011</v>
      </c>
      <c r="T153" s="58">
        <f t="shared" si="5"/>
        <v>8</v>
      </c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  <c r="BC153" s="6"/>
      <c r="BD153" s="6"/>
      <c r="BE153" s="6"/>
      <c r="BF153" s="6"/>
      <c r="BG153" s="6"/>
      <c r="BH153" s="6"/>
      <c r="BI153" s="6"/>
      <c r="BJ153" s="6"/>
      <c r="BK153" s="6"/>
      <c r="BL153" s="6"/>
      <c r="BM153" s="6"/>
      <c r="BN153" s="6"/>
      <c r="BO153" s="6"/>
      <c r="BP153" s="6"/>
      <c r="BQ153" s="6"/>
      <c r="BR153" s="6"/>
      <c r="BS153" s="6"/>
      <c r="BT153" s="6"/>
      <c r="BU153" s="6"/>
      <c r="BV153" s="6"/>
      <c r="BW153" s="6"/>
      <c r="BX153" s="6"/>
      <c r="BY153" s="6"/>
      <c r="BZ153" s="6"/>
      <c r="CA153" s="6"/>
      <c r="CB153" s="6"/>
      <c r="CC153" s="6"/>
      <c r="CD153" s="6"/>
      <c r="CE153" s="6"/>
      <c r="CF153" s="6"/>
      <c r="CG153" s="6"/>
      <c r="CH153" s="6"/>
      <c r="CI153" s="6"/>
      <c r="CJ153" s="6"/>
      <c r="CK153" s="6"/>
      <c r="CL153" s="6"/>
      <c r="CM153" s="6"/>
    </row>
    <row r="154" spans="1:91" s="42" customFormat="1" x14ac:dyDescent="0.25">
      <c r="A154" s="78" t="s">
        <v>148</v>
      </c>
      <c r="B154" s="87" t="s">
        <v>231</v>
      </c>
      <c r="C154" s="80">
        <v>42130</v>
      </c>
      <c r="D154" s="63"/>
      <c r="E154" s="64" t="s">
        <v>24</v>
      </c>
      <c r="F154" s="64" t="s">
        <v>28</v>
      </c>
      <c r="G154" s="56" t="s">
        <v>366</v>
      </c>
      <c r="H154" s="56" t="s">
        <v>41</v>
      </c>
      <c r="I154" s="57">
        <v>3864</v>
      </c>
      <c r="J154" s="57">
        <v>2</v>
      </c>
      <c r="K154" s="57">
        <v>3254</v>
      </c>
      <c r="L154" s="57">
        <v>2</v>
      </c>
      <c r="M154" s="57"/>
      <c r="N154" s="57"/>
      <c r="O154" s="57"/>
      <c r="P154" s="57"/>
      <c r="Q154" s="57"/>
      <c r="R154" s="57"/>
      <c r="S154" s="58">
        <f t="shared" si="4"/>
        <v>7118</v>
      </c>
      <c r="T154" s="58">
        <f t="shared" si="5"/>
        <v>4</v>
      </c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  <c r="BC154" s="6"/>
      <c r="BD154" s="6"/>
      <c r="BE154" s="6"/>
      <c r="BF154" s="6"/>
      <c r="BG154" s="6"/>
      <c r="BH154" s="6"/>
      <c r="BI154" s="6"/>
      <c r="BJ154" s="6"/>
      <c r="BK154" s="6"/>
      <c r="BL154" s="6"/>
      <c r="BM154" s="6"/>
      <c r="BN154" s="6"/>
      <c r="BO154" s="6"/>
      <c r="BP154" s="6"/>
      <c r="BQ154" s="6"/>
      <c r="BR154" s="6"/>
      <c r="BS154" s="6"/>
      <c r="BT154" s="6"/>
      <c r="BU154" s="6"/>
      <c r="BV154" s="6"/>
      <c r="BW154" s="6"/>
      <c r="BX154" s="6"/>
      <c r="BY154" s="6"/>
      <c r="BZ154" s="6"/>
      <c r="CA154" s="6"/>
      <c r="CB154" s="6"/>
      <c r="CC154" s="6"/>
      <c r="CD154" s="6"/>
      <c r="CE154" s="6"/>
      <c r="CF154" s="6"/>
      <c r="CG154" s="6"/>
      <c r="CH154" s="6"/>
      <c r="CI154" s="6"/>
      <c r="CJ154" s="6"/>
      <c r="CK154" s="6"/>
      <c r="CL154" s="6"/>
      <c r="CM154" s="6"/>
    </row>
    <row r="155" spans="1:91" s="42" customFormat="1" x14ac:dyDescent="0.25">
      <c r="A155" s="78" t="s">
        <v>147</v>
      </c>
      <c r="B155" s="87" t="s">
        <v>228</v>
      </c>
      <c r="C155" s="80">
        <v>42130</v>
      </c>
      <c r="D155" s="63"/>
      <c r="E155" s="64" t="s">
        <v>24</v>
      </c>
      <c r="F155" s="64" t="s">
        <v>28</v>
      </c>
      <c r="G155" s="56" t="s">
        <v>366</v>
      </c>
      <c r="H155" s="56" t="s">
        <v>41</v>
      </c>
      <c r="I155" s="57">
        <v>1097</v>
      </c>
      <c r="J155" s="57">
        <v>1</v>
      </c>
      <c r="K155" s="57"/>
      <c r="L155" s="57"/>
      <c r="M155" s="57"/>
      <c r="N155" s="57"/>
      <c r="O155" s="57"/>
      <c r="P155" s="57"/>
      <c r="Q155" s="57"/>
      <c r="R155" s="57"/>
      <c r="S155" s="58">
        <f t="shared" si="4"/>
        <v>1097</v>
      </c>
      <c r="T155" s="58">
        <f t="shared" si="5"/>
        <v>1</v>
      </c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  <c r="BC155" s="6"/>
      <c r="BD155" s="6"/>
      <c r="BE155" s="6"/>
      <c r="BF155" s="6"/>
      <c r="BG155" s="6"/>
      <c r="BH155" s="6"/>
      <c r="BI155" s="6"/>
      <c r="BJ155" s="6"/>
      <c r="BK155" s="6"/>
      <c r="BL155" s="6"/>
      <c r="BM155" s="6"/>
      <c r="BN155" s="6"/>
      <c r="BO155" s="6"/>
      <c r="BP155" s="6"/>
      <c r="BQ155" s="6"/>
      <c r="BR155" s="6"/>
      <c r="BS155" s="6"/>
      <c r="BT155" s="6"/>
      <c r="BU155" s="6"/>
      <c r="BV155" s="6"/>
      <c r="BW155" s="6"/>
      <c r="BX155" s="6"/>
      <c r="BY155" s="6"/>
      <c r="BZ155" s="6"/>
      <c r="CA155" s="6"/>
      <c r="CB155" s="6"/>
      <c r="CC155" s="6"/>
      <c r="CD155" s="6"/>
      <c r="CE155" s="6"/>
      <c r="CF155" s="6"/>
      <c r="CG155" s="6"/>
      <c r="CH155" s="6"/>
      <c r="CI155" s="6"/>
      <c r="CJ155" s="6"/>
      <c r="CK155" s="6"/>
      <c r="CL155" s="6"/>
      <c r="CM155" s="6"/>
    </row>
    <row r="156" spans="1:91" s="42" customFormat="1" x14ac:dyDescent="0.25">
      <c r="A156" s="78" t="s">
        <v>151</v>
      </c>
      <c r="B156" s="79" t="s">
        <v>230</v>
      </c>
      <c r="C156" s="80">
        <v>42131</v>
      </c>
      <c r="D156" s="63"/>
      <c r="E156" s="64" t="s">
        <v>361</v>
      </c>
      <c r="F156" s="64" t="s">
        <v>27</v>
      </c>
      <c r="G156" s="56" t="s">
        <v>366</v>
      </c>
      <c r="H156" s="56" t="s">
        <v>41</v>
      </c>
      <c r="I156" s="57">
        <v>1525</v>
      </c>
      <c r="J156" s="57">
        <v>9</v>
      </c>
      <c r="K156" s="57"/>
      <c r="L156" s="57"/>
      <c r="M156" s="57">
        <v>123</v>
      </c>
      <c r="N156" s="57">
        <v>0</v>
      </c>
      <c r="O156" s="57"/>
      <c r="P156" s="57"/>
      <c r="Q156" s="57"/>
      <c r="R156" s="57"/>
      <c r="S156" s="58">
        <f t="shared" si="4"/>
        <v>1648</v>
      </c>
      <c r="T156" s="58">
        <f t="shared" si="5"/>
        <v>9</v>
      </c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  <c r="BC156" s="6"/>
      <c r="BD156" s="6"/>
      <c r="BE156" s="6"/>
      <c r="BF156" s="6"/>
      <c r="BG156" s="6"/>
      <c r="BH156" s="6"/>
      <c r="BI156" s="6"/>
      <c r="BJ156" s="6"/>
      <c r="BK156" s="6"/>
      <c r="BL156" s="6"/>
      <c r="BM156" s="6"/>
      <c r="BN156" s="6"/>
      <c r="BO156" s="6"/>
      <c r="BP156" s="6"/>
      <c r="BQ156" s="6"/>
      <c r="BR156" s="6"/>
      <c r="BS156" s="6"/>
      <c r="BT156" s="6"/>
      <c r="BU156" s="6"/>
      <c r="BV156" s="6"/>
      <c r="BW156" s="6"/>
      <c r="BX156" s="6"/>
      <c r="BY156" s="6"/>
      <c r="BZ156" s="6"/>
      <c r="CA156" s="6"/>
      <c r="CB156" s="6"/>
      <c r="CC156" s="6"/>
      <c r="CD156" s="6"/>
      <c r="CE156" s="6"/>
      <c r="CF156" s="6"/>
      <c r="CG156" s="6"/>
      <c r="CH156" s="6"/>
      <c r="CI156" s="6"/>
      <c r="CJ156" s="6"/>
      <c r="CK156" s="6"/>
      <c r="CL156" s="6"/>
      <c r="CM156" s="6"/>
    </row>
    <row r="157" spans="1:91" s="42" customFormat="1" x14ac:dyDescent="0.25">
      <c r="A157" s="78" t="s">
        <v>150</v>
      </c>
      <c r="B157" s="79" t="s">
        <v>229</v>
      </c>
      <c r="C157" s="80">
        <v>42131</v>
      </c>
      <c r="D157" s="63"/>
      <c r="E157" s="64" t="s">
        <v>24</v>
      </c>
      <c r="F157" s="64" t="s">
        <v>361</v>
      </c>
      <c r="G157" s="56" t="s">
        <v>366</v>
      </c>
      <c r="H157" s="56" t="s">
        <v>41</v>
      </c>
      <c r="I157" s="57">
        <v>498</v>
      </c>
      <c r="J157" s="57">
        <v>1</v>
      </c>
      <c r="K157" s="57">
        <v>917</v>
      </c>
      <c r="L157" s="57">
        <v>1</v>
      </c>
      <c r="M157" s="57">
        <v>127</v>
      </c>
      <c r="N157" s="57">
        <v>0</v>
      </c>
      <c r="O157" s="57">
        <v>338</v>
      </c>
      <c r="P157" s="57">
        <v>0</v>
      </c>
      <c r="Q157" s="57"/>
      <c r="R157" s="57"/>
      <c r="S157" s="58">
        <f t="shared" si="4"/>
        <v>1880</v>
      </c>
      <c r="T157" s="58">
        <f t="shared" si="5"/>
        <v>2</v>
      </c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  <c r="BC157" s="6"/>
      <c r="BD157" s="6"/>
      <c r="BE157" s="6"/>
      <c r="BF157" s="6"/>
      <c r="BG157" s="6"/>
      <c r="BH157" s="6"/>
      <c r="BI157" s="6"/>
      <c r="BJ157" s="6"/>
      <c r="BK157" s="6"/>
      <c r="BL157" s="6"/>
      <c r="BM157" s="6"/>
      <c r="BN157" s="6"/>
      <c r="BO157" s="6"/>
      <c r="BP157" s="6"/>
      <c r="BQ157" s="6"/>
      <c r="BR157" s="6"/>
      <c r="BS157" s="6"/>
      <c r="BT157" s="6"/>
      <c r="BU157" s="6"/>
      <c r="BV157" s="6"/>
      <c r="BW157" s="6"/>
      <c r="BX157" s="6"/>
      <c r="BY157" s="6"/>
      <c r="BZ157" s="6"/>
      <c r="CA157" s="6"/>
      <c r="CB157" s="6"/>
      <c r="CC157" s="6"/>
      <c r="CD157" s="6"/>
      <c r="CE157" s="6"/>
      <c r="CF157" s="6"/>
      <c r="CG157" s="6"/>
      <c r="CH157" s="6"/>
      <c r="CI157" s="6"/>
      <c r="CJ157" s="6"/>
      <c r="CK157" s="6"/>
      <c r="CL157" s="6"/>
      <c r="CM157" s="6"/>
    </row>
    <row r="158" spans="1:91" s="42" customFormat="1" x14ac:dyDescent="0.25">
      <c r="A158" s="78" t="s">
        <v>152</v>
      </c>
      <c r="B158" s="79" t="s">
        <v>221</v>
      </c>
      <c r="C158" s="80">
        <v>42131</v>
      </c>
      <c r="D158" s="63"/>
      <c r="E158" s="64" t="s">
        <v>24</v>
      </c>
      <c r="F158" s="64" t="s">
        <v>30</v>
      </c>
      <c r="G158" s="56" t="s">
        <v>365</v>
      </c>
      <c r="H158" s="56" t="s">
        <v>41</v>
      </c>
      <c r="I158" s="57">
        <v>2079</v>
      </c>
      <c r="J158" s="57">
        <v>1</v>
      </c>
      <c r="K158" s="57"/>
      <c r="L158" s="57"/>
      <c r="M158" s="57"/>
      <c r="N158" s="57"/>
      <c r="O158" s="57"/>
      <c r="P158" s="57"/>
      <c r="Q158" s="57"/>
      <c r="R158" s="57"/>
      <c r="S158" s="58">
        <f t="shared" si="4"/>
        <v>2079</v>
      </c>
      <c r="T158" s="58">
        <f t="shared" si="5"/>
        <v>1</v>
      </c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  <c r="BC158" s="6"/>
      <c r="BD158" s="6"/>
      <c r="BE158" s="6"/>
      <c r="BF158" s="6"/>
      <c r="BG158" s="6"/>
      <c r="BH158" s="6"/>
      <c r="BI158" s="6"/>
      <c r="BJ158" s="6"/>
      <c r="BK158" s="6"/>
      <c r="BL158" s="6"/>
      <c r="BM158" s="6"/>
      <c r="BN158" s="6"/>
      <c r="BO158" s="6"/>
      <c r="BP158" s="6"/>
      <c r="BQ158" s="6"/>
      <c r="BR158" s="6"/>
      <c r="BS158" s="6"/>
      <c r="BT158" s="6"/>
      <c r="BU158" s="6"/>
      <c r="BV158" s="6"/>
      <c r="BW158" s="6"/>
      <c r="BX158" s="6"/>
      <c r="BY158" s="6"/>
      <c r="BZ158" s="6"/>
      <c r="CA158" s="6"/>
      <c r="CB158" s="6"/>
      <c r="CC158" s="6"/>
      <c r="CD158" s="6"/>
      <c r="CE158" s="6"/>
      <c r="CF158" s="6"/>
      <c r="CG158" s="6"/>
      <c r="CH158" s="6"/>
      <c r="CI158" s="6"/>
      <c r="CJ158" s="6"/>
      <c r="CK158" s="6"/>
      <c r="CL158" s="6"/>
      <c r="CM158" s="6"/>
    </row>
    <row r="159" spans="1:91" s="42" customFormat="1" x14ac:dyDescent="0.25">
      <c r="A159" s="78" t="s">
        <v>153</v>
      </c>
      <c r="B159" s="79" t="s">
        <v>229</v>
      </c>
      <c r="C159" s="80">
        <v>42132</v>
      </c>
      <c r="D159" s="63" t="s">
        <v>19</v>
      </c>
      <c r="E159" s="64" t="s">
        <v>24</v>
      </c>
      <c r="F159" s="64" t="s">
        <v>35</v>
      </c>
      <c r="G159" s="56" t="s">
        <v>366</v>
      </c>
      <c r="H159" s="56" t="s">
        <v>41</v>
      </c>
      <c r="I159" s="57">
        <v>1548</v>
      </c>
      <c r="J159" s="57">
        <v>3</v>
      </c>
      <c r="K159" s="57"/>
      <c r="L159" s="57"/>
      <c r="M159" s="57"/>
      <c r="N159" s="57"/>
      <c r="O159" s="57"/>
      <c r="P159" s="57"/>
      <c r="Q159" s="57"/>
      <c r="R159" s="57"/>
      <c r="S159" s="58">
        <f t="shared" si="4"/>
        <v>1548</v>
      </c>
      <c r="T159" s="58">
        <f t="shared" si="5"/>
        <v>3</v>
      </c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  <c r="BC159" s="6"/>
      <c r="BD159" s="6"/>
      <c r="BE159" s="6"/>
      <c r="BF159" s="6"/>
      <c r="BG159" s="6"/>
      <c r="BH159" s="6"/>
      <c r="BI159" s="6"/>
      <c r="BJ159" s="6"/>
      <c r="BK159" s="6"/>
      <c r="BL159" s="6"/>
      <c r="BM159" s="6"/>
      <c r="BN159" s="6"/>
      <c r="BO159" s="6"/>
      <c r="BP159" s="6"/>
      <c r="BQ159" s="6"/>
      <c r="BR159" s="6"/>
      <c r="BS159" s="6"/>
      <c r="BT159" s="6"/>
      <c r="BU159" s="6"/>
      <c r="BV159" s="6"/>
      <c r="BW159" s="6"/>
      <c r="BX159" s="6"/>
      <c r="BY159" s="6"/>
      <c r="BZ159" s="6"/>
      <c r="CA159" s="6"/>
      <c r="CB159" s="6"/>
      <c r="CC159" s="6"/>
      <c r="CD159" s="6"/>
      <c r="CE159" s="6"/>
      <c r="CF159" s="6"/>
      <c r="CG159" s="6"/>
      <c r="CH159" s="6"/>
      <c r="CI159" s="6"/>
      <c r="CJ159" s="6"/>
      <c r="CK159" s="6"/>
      <c r="CL159" s="6"/>
      <c r="CM159" s="6"/>
    </row>
    <row r="160" spans="1:91" s="42" customFormat="1" ht="30" x14ac:dyDescent="0.25">
      <c r="A160" s="78" t="s">
        <v>154</v>
      </c>
      <c r="B160" s="79" t="s">
        <v>218</v>
      </c>
      <c r="C160" s="80">
        <v>42132</v>
      </c>
      <c r="D160" s="63" t="s">
        <v>272</v>
      </c>
      <c r="E160" s="64" t="s">
        <v>24</v>
      </c>
      <c r="F160" s="64" t="s">
        <v>30</v>
      </c>
      <c r="G160" s="56" t="s">
        <v>366</v>
      </c>
      <c r="H160" s="56" t="s">
        <v>41</v>
      </c>
      <c r="I160" s="57">
        <v>2508</v>
      </c>
      <c r="J160" s="57">
        <v>1</v>
      </c>
      <c r="K160" s="57"/>
      <c r="L160" s="57"/>
      <c r="M160" s="57"/>
      <c r="N160" s="57"/>
      <c r="O160" s="57">
        <v>2174</v>
      </c>
      <c r="P160" s="57">
        <v>0</v>
      </c>
      <c r="Q160" s="57"/>
      <c r="R160" s="57"/>
      <c r="S160" s="58">
        <f t="shared" si="4"/>
        <v>4682</v>
      </c>
      <c r="T160" s="58">
        <f t="shared" si="5"/>
        <v>1</v>
      </c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  <c r="BC160" s="6"/>
      <c r="BD160" s="6"/>
      <c r="BE160" s="6"/>
      <c r="BF160" s="6"/>
      <c r="BG160" s="6"/>
      <c r="BH160" s="6"/>
      <c r="BI160" s="6"/>
      <c r="BJ160" s="6"/>
      <c r="BK160" s="6"/>
      <c r="BL160" s="6"/>
      <c r="BM160" s="6"/>
      <c r="BN160" s="6"/>
      <c r="BO160" s="6"/>
      <c r="BP160" s="6"/>
      <c r="BQ160" s="6"/>
      <c r="BR160" s="6"/>
      <c r="BS160" s="6"/>
      <c r="BT160" s="6"/>
      <c r="BU160" s="6"/>
      <c r="BV160" s="6"/>
      <c r="BW160" s="6"/>
      <c r="BX160" s="6"/>
      <c r="BY160" s="6"/>
      <c r="BZ160" s="6"/>
      <c r="CA160" s="6"/>
      <c r="CB160" s="6"/>
      <c r="CC160" s="6"/>
      <c r="CD160" s="6"/>
      <c r="CE160" s="6"/>
      <c r="CF160" s="6"/>
      <c r="CG160" s="6"/>
      <c r="CH160" s="6"/>
      <c r="CI160" s="6"/>
      <c r="CJ160" s="6"/>
      <c r="CK160" s="6"/>
      <c r="CL160" s="6"/>
      <c r="CM160" s="6"/>
    </row>
    <row r="161" spans="1:91" s="44" customFormat="1" x14ac:dyDescent="0.25">
      <c r="A161" s="78" t="s">
        <v>155</v>
      </c>
      <c r="B161" s="79" t="s">
        <v>228</v>
      </c>
      <c r="C161" s="80">
        <v>42132</v>
      </c>
      <c r="D161" s="63"/>
      <c r="E161" s="64" t="s">
        <v>24</v>
      </c>
      <c r="F161" s="64" t="s">
        <v>30</v>
      </c>
      <c r="G161" s="56" t="s">
        <v>365</v>
      </c>
      <c r="H161" s="56" t="s">
        <v>41</v>
      </c>
      <c r="I161" s="57">
        <v>1548</v>
      </c>
      <c r="J161" s="57">
        <v>5</v>
      </c>
      <c r="K161" s="57"/>
      <c r="L161" s="57"/>
      <c r="M161" s="57"/>
      <c r="N161" s="57"/>
      <c r="O161" s="57"/>
      <c r="P161" s="57"/>
      <c r="Q161" s="57"/>
      <c r="R161" s="57"/>
      <c r="S161" s="58">
        <f t="shared" si="4"/>
        <v>1548</v>
      </c>
      <c r="T161" s="58">
        <f t="shared" si="5"/>
        <v>5</v>
      </c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  <c r="BC161" s="6"/>
      <c r="BD161" s="6"/>
      <c r="BE161" s="6"/>
      <c r="BF161" s="6"/>
      <c r="BG161" s="6"/>
      <c r="BH161" s="6"/>
      <c r="BI161" s="6"/>
      <c r="BJ161" s="6"/>
      <c r="BK161" s="6"/>
      <c r="BL161" s="6"/>
      <c r="BM161" s="6"/>
      <c r="BN161" s="6"/>
      <c r="BO161" s="6"/>
      <c r="BP161" s="6"/>
      <c r="BQ161" s="6"/>
      <c r="BR161" s="6"/>
      <c r="BS161" s="6"/>
      <c r="BT161" s="6"/>
      <c r="BU161" s="6"/>
      <c r="BV161" s="6"/>
      <c r="BW161" s="6"/>
      <c r="BX161" s="6"/>
      <c r="BY161" s="6"/>
      <c r="BZ161" s="6"/>
      <c r="CA161" s="6"/>
      <c r="CB161" s="6"/>
      <c r="CC161" s="6"/>
      <c r="CD161" s="6"/>
      <c r="CE161" s="6"/>
      <c r="CF161" s="6"/>
      <c r="CG161" s="6"/>
      <c r="CH161" s="6"/>
      <c r="CI161" s="6"/>
      <c r="CJ161" s="6"/>
      <c r="CK161" s="6"/>
      <c r="CL161" s="6"/>
      <c r="CM161" s="6"/>
    </row>
    <row r="162" spans="1:91" s="42" customFormat="1" x14ac:dyDescent="0.25">
      <c r="A162" s="78" t="s">
        <v>156</v>
      </c>
      <c r="B162" s="79" t="s">
        <v>227</v>
      </c>
      <c r="C162" s="80">
        <v>42134</v>
      </c>
      <c r="D162" s="63"/>
      <c r="E162" s="64" t="s">
        <v>361</v>
      </c>
      <c r="F162" s="64" t="s">
        <v>361</v>
      </c>
      <c r="G162" s="56" t="s">
        <v>366</v>
      </c>
      <c r="H162" s="56" t="s">
        <v>41</v>
      </c>
      <c r="I162" s="57">
        <v>1872</v>
      </c>
      <c r="J162" s="57">
        <v>1</v>
      </c>
      <c r="K162" s="57"/>
      <c r="L162" s="57"/>
      <c r="M162" s="57"/>
      <c r="N162" s="57"/>
      <c r="O162" s="57"/>
      <c r="P162" s="57"/>
      <c r="Q162" s="57"/>
      <c r="R162" s="57"/>
      <c r="S162" s="58">
        <f t="shared" si="4"/>
        <v>1872</v>
      </c>
      <c r="T162" s="58">
        <f t="shared" si="5"/>
        <v>1</v>
      </c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  <c r="BC162" s="6"/>
      <c r="BD162" s="6"/>
      <c r="BE162" s="6"/>
      <c r="BF162" s="6"/>
      <c r="BG162" s="6"/>
      <c r="BH162" s="6"/>
      <c r="BI162" s="6"/>
      <c r="BJ162" s="6"/>
      <c r="BK162" s="6"/>
      <c r="BL162" s="6"/>
      <c r="BM162" s="6"/>
      <c r="BN162" s="6"/>
      <c r="BO162" s="6"/>
      <c r="BP162" s="6"/>
      <c r="BQ162" s="6"/>
      <c r="BR162" s="6"/>
      <c r="BS162" s="6"/>
      <c r="BT162" s="6"/>
      <c r="BU162" s="6"/>
      <c r="BV162" s="6"/>
      <c r="BW162" s="6"/>
      <c r="BX162" s="6"/>
      <c r="BY162" s="6"/>
      <c r="BZ162" s="6"/>
      <c r="CA162" s="6"/>
      <c r="CB162" s="6"/>
      <c r="CC162" s="6"/>
      <c r="CD162" s="6"/>
      <c r="CE162" s="6"/>
      <c r="CF162" s="6"/>
      <c r="CG162" s="6"/>
      <c r="CH162" s="6"/>
      <c r="CI162" s="6"/>
      <c r="CJ162" s="6"/>
      <c r="CK162" s="6"/>
      <c r="CL162" s="6"/>
      <c r="CM162" s="6"/>
    </row>
    <row r="163" spans="1:91" s="42" customFormat="1" ht="30" x14ac:dyDescent="0.25">
      <c r="A163" s="78" t="s">
        <v>157</v>
      </c>
      <c r="B163" s="79" t="s">
        <v>215</v>
      </c>
      <c r="C163" s="80">
        <v>42137</v>
      </c>
      <c r="D163" s="63" t="s">
        <v>271</v>
      </c>
      <c r="E163" s="64" t="s">
        <v>361</v>
      </c>
      <c r="F163" s="64" t="s">
        <v>27</v>
      </c>
      <c r="G163" s="56" t="s">
        <v>366</v>
      </c>
      <c r="H163" s="56" t="s">
        <v>41</v>
      </c>
      <c r="I163" s="57">
        <v>1886</v>
      </c>
      <c r="J163" s="57">
        <v>0</v>
      </c>
      <c r="K163" s="57"/>
      <c r="L163" s="57"/>
      <c r="M163" s="57"/>
      <c r="N163" s="57"/>
      <c r="O163" s="57"/>
      <c r="P163" s="57"/>
      <c r="Q163" s="57"/>
      <c r="R163" s="57"/>
      <c r="S163" s="58">
        <f t="shared" si="4"/>
        <v>1886</v>
      </c>
      <c r="T163" s="58">
        <f t="shared" si="5"/>
        <v>0</v>
      </c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  <c r="BC163" s="6"/>
      <c r="BD163" s="6"/>
      <c r="BE163" s="6"/>
      <c r="BF163" s="6"/>
      <c r="BG163" s="6"/>
      <c r="BH163" s="6"/>
      <c r="BI163" s="6"/>
      <c r="BJ163" s="6"/>
      <c r="BK163" s="6"/>
      <c r="BL163" s="6"/>
      <c r="BM163" s="6"/>
      <c r="BN163" s="6"/>
      <c r="BO163" s="6"/>
      <c r="BP163" s="6"/>
      <c r="BQ163" s="6"/>
      <c r="BR163" s="6"/>
      <c r="BS163" s="6"/>
      <c r="BT163" s="6"/>
      <c r="BU163" s="6"/>
      <c r="BV163" s="6"/>
      <c r="BW163" s="6"/>
      <c r="BX163" s="6"/>
      <c r="BY163" s="6"/>
      <c r="BZ163" s="6"/>
      <c r="CA163" s="6"/>
      <c r="CB163" s="6"/>
      <c r="CC163" s="6"/>
      <c r="CD163" s="6"/>
      <c r="CE163" s="6"/>
      <c r="CF163" s="6"/>
      <c r="CG163" s="6"/>
      <c r="CH163" s="6"/>
      <c r="CI163" s="6"/>
      <c r="CJ163" s="6"/>
      <c r="CK163" s="6"/>
      <c r="CL163" s="6"/>
      <c r="CM163" s="6"/>
    </row>
    <row r="164" spans="1:91" s="42" customFormat="1" x14ac:dyDescent="0.25">
      <c r="A164" s="78" t="s">
        <v>158</v>
      </c>
      <c r="B164" s="79" t="s">
        <v>219</v>
      </c>
      <c r="C164" s="80">
        <v>42138</v>
      </c>
      <c r="D164" s="63"/>
      <c r="E164" s="64" t="s">
        <v>23</v>
      </c>
      <c r="F164" s="64" t="s">
        <v>30</v>
      </c>
      <c r="G164" s="56" t="s">
        <v>366</v>
      </c>
      <c r="H164" s="56" t="s">
        <v>41</v>
      </c>
      <c r="I164" s="57">
        <v>794</v>
      </c>
      <c r="J164" s="57">
        <v>2</v>
      </c>
      <c r="K164" s="57"/>
      <c r="L164" s="57"/>
      <c r="M164" s="57"/>
      <c r="N164" s="57"/>
      <c r="O164" s="57"/>
      <c r="P164" s="57"/>
      <c r="Q164" s="57"/>
      <c r="R164" s="57"/>
      <c r="S164" s="58">
        <f t="shared" si="4"/>
        <v>794</v>
      </c>
      <c r="T164" s="58">
        <f t="shared" si="5"/>
        <v>2</v>
      </c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  <c r="BC164" s="6"/>
      <c r="BD164" s="6"/>
      <c r="BE164" s="6"/>
      <c r="BF164" s="6"/>
      <c r="BG164" s="6"/>
      <c r="BH164" s="6"/>
      <c r="BI164" s="6"/>
      <c r="BJ164" s="6"/>
      <c r="BK164" s="6"/>
      <c r="BL164" s="6"/>
      <c r="BM164" s="6"/>
      <c r="BN164" s="6"/>
      <c r="BO164" s="6"/>
      <c r="BP164" s="6"/>
      <c r="BQ164" s="6"/>
      <c r="BR164" s="6"/>
      <c r="BS164" s="6"/>
      <c r="BT164" s="6"/>
      <c r="BU164" s="6"/>
      <c r="BV164" s="6"/>
      <c r="BW164" s="6"/>
      <c r="BX164" s="6"/>
      <c r="BY164" s="6"/>
      <c r="BZ164" s="6"/>
      <c r="CA164" s="6"/>
      <c r="CB164" s="6"/>
      <c r="CC164" s="6"/>
      <c r="CD164" s="6"/>
      <c r="CE164" s="6"/>
      <c r="CF164" s="6"/>
      <c r="CG164" s="6"/>
      <c r="CH164" s="6"/>
      <c r="CI164" s="6"/>
      <c r="CJ164" s="6"/>
      <c r="CK164" s="6"/>
      <c r="CL164" s="6"/>
      <c r="CM164" s="6"/>
    </row>
    <row r="165" spans="1:91" s="42" customFormat="1" x14ac:dyDescent="0.25">
      <c r="A165" s="78" t="s">
        <v>159</v>
      </c>
      <c r="B165" s="79" t="s">
        <v>226</v>
      </c>
      <c r="C165" s="80">
        <v>42139</v>
      </c>
      <c r="D165" s="63"/>
      <c r="E165" s="64" t="s">
        <v>361</v>
      </c>
      <c r="F165" s="64" t="s">
        <v>361</v>
      </c>
      <c r="G165" s="56" t="s">
        <v>366</v>
      </c>
      <c r="H165" s="56" t="s">
        <v>41</v>
      </c>
      <c r="I165" s="57">
        <v>3248</v>
      </c>
      <c r="J165" s="57">
        <v>23</v>
      </c>
      <c r="K165" s="57"/>
      <c r="L165" s="57"/>
      <c r="M165" s="57"/>
      <c r="N165" s="57"/>
      <c r="O165" s="57"/>
      <c r="P165" s="57"/>
      <c r="Q165" s="57"/>
      <c r="R165" s="57"/>
      <c r="S165" s="58">
        <f t="shared" si="4"/>
        <v>3248</v>
      </c>
      <c r="T165" s="58">
        <f t="shared" si="5"/>
        <v>23</v>
      </c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  <c r="BC165" s="6"/>
      <c r="BD165" s="6"/>
      <c r="BE165" s="6"/>
      <c r="BF165" s="6"/>
      <c r="BG165" s="6"/>
      <c r="BH165" s="6"/>
      <c r="BI165" s="6"/>
      <c r="BJ165" s="6"/>
      <c r="BK165" s="6"/>
      <c r="BL165" s="6"/>
      <c r="BM165" s="6"/>
      <c r="BN165" s="6"/>
      <c r="BO165" s="6"/>
      <c r="BP165" s="6"/>
      <c r="BQ165" s="6"/>
      <c r="BR165" s="6"/>
      <c r="BS165" s="6"/>
      <c r="BT165" s="6"/>
      <c r="BU165" s="6"/>
      <c r="BV165" s="6"/>
      <c r="BW165" s="6"/>
      <c r="BX165" s="6"/>
      <c r="BY165" s="6"/>
      <c r="BZ165" s="6"/>
      <c r="CA165" s="6"/>
      <c r="CB165" s="6"/>
      <c r="CC165" s="6"/>
      <c r="CD165" s="6"/>
      <c r="CE165" s="6"/>
      <c r="CF165" s="6"/>
      <c r="CG165" s="6"/>
      <c r="CH165" s="6"/>
      <c r="CI165" s="6"/>
      <c r="CJ165" s="6"/>
      <c r="CK165" s="6"/>
      <c r="CL165" s="6"/>
      <c r="CM165" s="6"/>
    </row>
    <row r="166" spans="1:91" s="42" customFormat="1" x14ac:dyDescent="0.25">
      <c r="A166" s="78" t="s">
        <v>160</v>
      </c>
      <c r="B166" s="79" t="s">
        <v>225</v>
      </c>
      <c r="C166" s="80">
        <v>42142</v>
      </c>
      <c r="D166" s="63"/>
      <c r="E166" s="64" t="s">
        <v>24</v>
      </c>
      <c r="F166" s="64" t="s">
        <v>329</v>
      </c>
      <c r="G166" s="56" t="s">
        <v>365</v>
      </c>
      <c r="H166" s="56" t="s">
        <v>41</v>
      </c>
      <c r="I166" s="57">
        <v>1659</v>
      </c>
      <c r="J166" s="57">
        <v>6</v>
      </c>
      <c r="K166" s="57"/>
      <c r="L166" s="57"/>
      <c r="M166" s="57"/>
      <c r="N166" s="57"/>
      <c r="O166" s="57"/>
      <c r="P166" s="57"/>
      <c r="Q166" s="57"/>
      <c r="R166" s="57"/>
      <c r="S166" s="58">
        <f t="shared" si="4"/>
        <v>1659</v>
      </c>
      <c r="T166" s="58">
        <f t="shared" si="5"/>
        <v>6</v>
      </c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  <c r="BC166" s="6"/>
      <c r="BD166" s="6"/>
      <c r="BE166" s="6"/>
      <c r="BF166" s="6"/>
      <c r="BG166" s="6"/>
      <c r="BH166" s="6"/>
      <c r="BI166" s="6"/>
      <c r="BJ166" s="6"/>
      <c r="BK166" s="6"/>
      <c r="BL166" s="6"/>
      <c r="BM166" s="6"/>
      <c r="BN166" s="6"/>
      <c r="BO166" s="6"/>
      <c r="BP166" s="6"/>
      <c r="BQ166" s="6"/>
      <c r="BR166" s="6"/>
      <c r="BS166" s="6"/>
      <c r="BT166" s="6"/>
      <c r="BU166" s="6"/>
      <c r="BV166" s="6"/>
      <c r="BW166" s="6"/>
      <c r="BX166" s="6"/>
      <c r="BY166" s="6"/>
      <c r="BZ166" s="6"/>
      <c r="CA166" s="6"/>
      <c r="CB166" s="6"/>
      <c r="CC166" s="6"/>
      <c r="CD166" s="6"/>
      <c r="CE166" s="6"/>
      <c r="CF166" s="6"/>
      <c r="CG166" s="6"/>
      <c r="CH166" s="6"/>
      <c r="CI166" s="6"/>
      <c r="CJ166" s="6"/>
      <c r="CK166" s="6"/>
      <c r="CL166" s="6"/>
      <c r="CM166" s="6"/>
    </row>
    <row r="167" spans="1:91" s="42" customFormat="1" x14ac:dyDescent="0.25">
      <c r="A167" s="78" t="s">
        <v>161</v>
      </c>
      <c r="B167" s="79" t="s">
        <v>224</v>
      </c>
      <c r="C167" s="80">
        <v>42143</v>
      </c>
      <c r="D167" s="63"/>
      <c r="E167" s="64" t="s">
        <v>361</v>
      </c>
      <c r="F167" s="64" t="s">
        <v>27</v>
      </c>
      <c r="G167" s="56" t="s">
        <v>366</v>
      </c>
      <c r="H167" s="56" t="s">
        <v>41</v>
      </c>
      <c r="I167" s="57">
        <v>2570</v>
      </c>
      <c r="J167" s="57">
        <v>32</v>
      </c>
      <c r="K167" s="57"/>
      <c r="L167" s="57"/>
      <c r="M167" s="57">
        <v>128</v>
      </c>
      <c r="N167" s="57">
        <v>0</v>
      </c>
      <c r="O167" s="57">
        <v>446</v>
      </c>
      <c r="P167" s="57">
        <v>0</v>
      </c>
      <c r="Q167" s="57"/>
      <c r="R167" s="57"/>
      <c r="S167" s="58">
        <f t="shared" si="4"/>
        <v>3144</v>
      </c>
      <c r="T167" s="58">
        <f t="shared" si="5"/>
        <v>32</v>
      </c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  <c r="BC167" s="6"/>
      <c r="BD167" s="6"/>
      <c r="BE167" s="6"/>
      <c r="BF167" s="6"/>
      <c r="BG167" s="6"/>
      <c r="BH167" s="6"/>
      <c r="BI167" s="6"/>
      <c r="BJ167" s="6"/>
      <c r="BK167" s="6"/>
      <c r="BL167" s="6"/>
      <c r="BM167" s="6"/>
      <c r="BN167" s="6"/>
      <c r="BO167" s="6"/>
      <c r="BP167" s="6"/>
      <c r="BQ167" s="6"/>
      <c r="BR167" s="6"/>
      <c r="BS167" s="6"/>
      <c r="BT167" s="6"/>
      <c r="BU167" s="6"/>
      <c r="BV167" s="6"/>
      <c r="BW167" s="6"/>
      <c r="BX167" s="6"/>
      <c r="BY167" s="6"/>
      <c r="BZ167" s="6"/>
      <c r="CA167" s="6"/>
      <c r="CB167" s="6"/>
      <c r="CC167" s="6"/>
      <c r="CD167" s="6"/>
      <c r="CE167" s="6"/>
      <c r="CF167" s="6"/>
      <c r="CG167" s="6"/>
      <c r="CH167" s="6"/>
      <c r="CI167" s="6"/>
      <c r="CJ167" s="6"/>
      <c r="CK167" s="6"/>
      <c r="CL167" s="6"/>
      <c r="CM167" s="6"/>
    </row>
    <row r="168" spans="1:91" s="42" customFormat="1" x14ac:dyDescent="0.25">
      <c r="A168" s="78" t="s">
        <v>163</v>
      </c>
      <c r="B168" s="79" t="s">
        <v>222</v>
      </c>
      <c r="C168" s="80">
        <v>42144</v>
      </c>
      <c r="D168" s="63"/>
      <c r="E168" s="64" t="s">
        <v>22</v>
      </c>
      <c r="F168" s="64" t="s">
        <v>27</v>
      </c>
      <c r="G168" s="56" t="s">
        <v>366</v>
      </c>
      <c r="H168" s="56" t="s">
        <v>41</v>
      </c>
      <c r="I168" s="57">
        <v>1511</v>
      </c>
      <c r="J168" s="57">
        <v>10</v>
      </c>
      <c r="K168" s="57"/>
      <c r="L168" s="57"/>
      <c r="M168" s="57"/>
      <c r="N168" s="57"/>
      <c r="O168" s="57"/>
      <c r="P168" s="57"/>
      <c r="Q168" s="57"/>
      <c r="R168" s="57"/>
      <c r="S168" s="58">
        <f t="shared" si="4"/>
        <v>1511</v>
      </c>
      <c r="T168" s="58">
        <f t="shared" si="5"/>
        <v>10</v>
      </c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  <c r="BC168" s="6"/>
      <c r="BD168" s="6"/>
      <c r="BE168" s="6"/>
      <c r="BF168" s="6"/>
      <c r="BG168" s="6"/>
      <c r="BH168" s="6"/>
      <c r="BI168" s="6"/>
      <c r="BJ168" s="6"/>
      <c r="BK168" s="6"/>
      <c r="BL168" s="6"/>
      <c r="BM168" s="6"/>
      <c r="BN168" s="6"/>
      <c r="BO168" s="6"/>
      <c r="BP168" s="6"/>
      <c r="BQ168" s="6"/>
      <c r="BR168" s="6"/>
      <c r="BS168" s="6"/>
      <c r="BT168" s="6"/>
      <c r="BU168" s="6"/>
      <c r="BV168" s="6"/>
      <c r="BW168" s="6"/>
      <c r="BX168" s="6"/>
      <c r="BY168" s="6"/>
      <c r="BZ168" s="6"/>
      <c r="CA168" s="6"/>
      <c r="CB168" s="6"/>
      <c r="CC168" s="6"/>
      <c r="CD168" s="6"/>
      <c r="CE168" s="6"/>
      <c r="CF168" s="6"/>
      <c r="CG168" s="6"/>
      <c r="CH168" s="6"/>
      <c r="CI168" s="6"/>
      <c r="CJ168" s="6"/>
      <c r="CK168" s="6"/>
      <c r="CL168" s="6"/>
      <c r="CM168" s="6"/>
    </row>
    <row r="169" spans="1:91" s="42" customFormat="1" ht="30" x14ac:dyDescent="0.25">
      <c r="A169" s="78" t="s">
        <v>162</v>
      </c>
      <c r="B169" s="79" t="s">
        <v>223</v>
      </c>
      <c r="C169" s="80">
        <v>42144</v>
      </c>
      <c r="D169" s="63" t="s">
        <v>19</v>
      </c>
      <c r="E169" s="64" t="s">
        <v>24</v>
      </c>
      <c r="F169" s="64" t="s">
        <v>327</v>
      </c>
      <c r="G169" s="56" t="s">
        <v>365</v>
      </c>
      <c r="H169" s="56" t="s">
        <v>41</v>
      </c>
      <c r="I169" s="57">
        <v>1358</v>
      </c>
      <c r="J169" s="57">
        <v>4</v>
      </c>
      <c r="K169" s="57"/>
      <c r="L169" s="57"/>
      <c r="M169" s="57"/>
      <c r="N169" s="57"/>
      <c r="O169" s="57"/>
      <c r="P169" s="57"/>
      <c r="Q169" s="57"/>
      <c r="R169" s="57"/>
      <c r="S169" s="58">
        <f t="shared" si="4"/>
        <v>1358</v>
      </c>
      <c r="T169" s="58">
        <f t="shared" si="5"/>
        <v>4</v>
      </c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  <c r="BC169" s="6"/>
      <c r="BD169" s="6"/>
      <c r="BE169" s="6"/>
      <c r="BF169" s="6"/>
      <c r="BG169" s="6"/>
      <c r="BH169" s="6"/>
      <c r="BI169" s="6"/>
      <c r="BJ169" s="6"/>
      <c r="BK169" s="6"/>
      <c r="BL169" s="6"/>
      <c r="BM169" s="6"/>
      <c r="BN169" s="6"/>
      <c r="BO169" s="6"/>
      <c r="BP169" s="6"/>
      <c r="BQ169" s="6"/>
      <c r="BR169" s="6"/>
      <c r="BS169" s="6"/>
      <c r="BT169" s="6"/>
      <c r="BU169" s="6"/>
      <c r="BV169" s="6"/>
      <c r="BW169" s="6"/>
      <c r="BX169" s="6"/>
      <c r="BY169" s="6"/>
      <c r="BZ169" s="6"/>
      <c r="CA169" s="6"/>
      <c r="CB169" s="6"/>
      <c r="CC169" s="6"/>
      <c r="CD169" s="6"/>
      <c r="CE169" s="6"/>
      <c r="CF169" s="6"/>
      <c r="CG169" s="6"/>
      <c r="CH169" s="6"/>
      <c r="CI169" s="6"/>
      <c r="CJ169" s="6"/>
      <c r="CK169" s="6"/>
      <c r="CL169" s="6"/>
      <c r="CM169" s="6"/>
    </row>
    <row r="170" spans="1:91" s="42" customFormat="1" x14ac:dyDescent="0.25">
      <c r="A170" s="78" t="s">
        <v>165</v>
      </c>
      <c r="B170" s="79" t="s">
        <v>357</v>
      </c>
      <c r="C170" s="80">
        <v>42146</v>
      </c>
      <c r="D170" s="63"/>
      <c r="E170" s="64" t="s">
        <v>22</v>
      </c>
      <c r="F170" s="64" t="s">
        <v>361</v>
      </c>
      <c r="G170" s="56" t="s">
        <v>366</v>
      </c>
      <c r="H170" s="56" t="s">
        <v>41</v>
      </c>
      <c r="I170" s="57">
        <v>420</v>
      </c>
      <c r="J170" s="57">
        <v>2</v>
      </c>
      <c r="K170" s="57"/>
      <c r="L170" s="57"/>
      <c r="M170" s="57"/>
      <c r="N170" s="57"/>
      <c r="O170" s="57"/>
      <c r="P170" s="57"/>
      <c r="Q170" s="57"/>
      <c r="R170" s="57"/>
      <c r="S170" s="58">
        <f t="shared" si="4"/>
        <v>420</v>
      </c>
      <c r="T170" s="58">
        <f t="shared" si="5"/>
        <v>2</v>
      </c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  <c r="BC170" s="6"/>
      <c r="BD170" s="6"/>
      <c r="BE170" s="6"/>
      <c r="BF170" s="6"/>
      <c r="BG170" s="6"/>
      <c r="BH170" s="6"/>
      <c r="BI170" s="6"/>
      <c r="BJ170" s="6"/>
      <c r="BK170" s="6"/>
      <c r="BL170" s="6"/>
      <c r="BM170" s="6"/>
      <c r="BN170" s="6"/>
      <c r="BO170" s="6"/>
      <c r="BP170" s="6"/>
      <c r="BQ170" s="6"/>
      <c r="BR170" s="6"/>
      <c r="BS170" s="6"/>
      <c r="BT170" s="6"/>
      <c r="BU170" s="6"/>
      <c r="BV170" s="6"/>
      <c r="BW170" s="6"/>
      <c r="BX170" s="6"/>
      <c r="BY170" s="6"/>
      <c r="BZ170" s="6"/>
      <c r="CA170" s="6"/>
      <c r="CB170" s="6"/>
      <c r="CC170" s="6"/>
      <c r="CD170" s="6"/>
      <c r="CE170" s="6"/>
      <c r="CF170" s="6"/>
      <c r="CG170" s="6"/>
      <c r="CH170" s="6"/>
      <c r="CI170" s="6"/>
      <c r="CJ170" s="6"/>
      <c r="CK170" s="6"/>
      <c r="CL170" s="6"/>
      <c r="CM170" s="6"/>
    </row>
    <row r="171" spans="1:91" s="42" customFormat="1" x14ac:dyDescent="0.25">
      <c r="A171" s="78" t="s">
        <v>166</v>
      </c>
      <c r="B171" s="79" t="s">
        <v>218</v>
      </c>
      <c r="C171" s="80">
        <v>42146</v>
      </c>
      <c r="D171" s="63"/>
      <c r="E171" s="64" t="s">
        <v>24</v>
      </c>
      <c r="F171" s="83" t="s">
        <v>328</v>
      </c>
      <c r="G171" s="84" t="s">
        <v>366</v>
      </c>
      <c r="H171" s="56" t="s">
        <v>41</v>
      </c>
      <c r="I171" s="57">
        <v>1506</v>
      </c>
      <c r="J171" s="57">
        <v>1</v>
      </c>
      <c r="K171" s="57"/>
      <c r="L171" s="57"/>
      <c r="M171" s="57"/>
      <c r="N171" s="57"/>
      <c r="O171" s="57"/>
      <c r="P171" s="57"/>
      <c r="Q171" s="57"/>
      <c r="R171" s="57"/>
      <c r="S171" s="58">
        <f t="shared" si="4"/>
        <v>1506</v>
      </c>
      <c r="T171" s="58">
        <f t="shared" si="5"/>
        <v>1</v>
      </c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  <c r="BC171" s="6"/>
      <c r="BD171" s="6"/>
      <c r="BE171" s="6"/>
      <c r="BF171" s="6"/>
      <c r="BG171" s="6"/>
      <c r="BH171" s="6"/>
      <c r="BI171" s="6"/>
      <c r="BJ171" s="6"/>
      <c r="BK171" s="6"/>
      <c r="BL171" s="6"/>
      <c r="BM171" s="6"/>
      <c r="BN171" s="6"/>
      <c r="BO171" s="6"/>
      <c r="BP171" s="6"/>
      <c r="BQ171" s="6"/>
      <c r="BR171" s="6"/>
      <c r="BS171" s="6"/>
      <c r="BT171" s="6"/>
      <c r="BU171" s="6"/>
      <c r="BV171" s="6"/>
      <c r="BW171" s="6"/>
      <c r="BX171" s="6"/>
      <c r="BY171" s="6"/>
      <c r="BZ171" s="6"/>
      <c r="CA171" s="6"/>
      <c r="CB171" s="6"/>
      <c r="CC171" s="6"/>
      <c r="CD171" s="6"/>
      <c r="CE171" s="6"/>
      <c r="CF171" s="6"/>
      <c r="CG171" s="6"/>
      <c r="CH171" s="6"/>
      <c r="CI171" s="6"/>
      <c r="CJ171" s="6"/>
      <c r="CK171" s="6"/>
      <c r="CL171" s="6"/>
      <c r="CM171" s="6"/>
    </row>
    <row r="172" spans="1:91" s="42" customFormat="1" x14ac:dyDescent="0.25">
      <c r="A172" s="78" t="s">
        <v>167</v>
      </c>
      <c r="B172" s="79" t="s">
        <v>219</v>
      </c>
      <c r="C172" s="80">
        <v>42149</v>
      </c>
      <c r="D172" s="63"/>
      <c r="E172" s="64" t="s">
        <v>23</v>
      </c>
      <c r="F172" s="64" t="s">
        <v>30</v>
      </c>
      <c r="G172" s="56" t="s">
        <v>366</v>
      </c>
      <c r="H172" s="56" t="s">
        <v>41</v>
      </c>
      <c r="I172" s="57">
        <v>719</v>
      </c>
      <c r="J172" s="57">
        <v>0</v>
      </c>
      <c r="K172" s="57"/>
      <c r="L172" s="57"/>
      <c r="M172" s="57"/>
      <c r="N172" s="57"/>
      <c r="O172" s="57"/>
      <c r="P172" s="57"/>
      <c r="Q172" s="57"/>
      <c r="R172" s="57"/>
      <c r="S172" s="58">
        <f t="shared" si="4"/>
        <v>719</v>
      </c>
      <c r="T172" s="58">
        <f t="shared" si="5"/>
        <v>0</v>
      </c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  <c r="BC172" s="6"/>
      <c r="BD172" s="6"/>
      <c r="BE172" s="6"/>
      <c r="BF172" s="6"/>
      <c r="BG172" s="6"/>
      <c r="BH172" s="6"/>
      <c r="BI172" s="6"/>
      <c r="BJ172" s="6"/>
      <c r="BK172" s="6"/>
      <c r="BL172" s="6"/>
      <c r="BM172" s="6"/>
      <c r="BN172" s="6"/>
      <c r="BO172" s="6"/>
      <c r="BP172" s="6"/>
      <c r="BQ172" s="6"/>
      <c r="BR172" s="6"/>
      <c r="BS172" s="6"/>
      <c r="BT172" s="6"/>
      <c r="BU172" s="6"/>
      <c r="BV172" s="6"/>
      <c r="BW172" s="6"/>
      <c r="BX172" s="6"/>
      <c r="BY172" s="6"/>
      <c r="BZ172" s="6"/>
      <c r="CA172" s="6"/>
      <c r="CB172" s="6"/>
      <c r="CC172" s="6"/>
      <c r="CD172" s="6"/>
      <c r="CE172" s="6"/>
      <c r="CF172" s="6"/>
      <c r="CG172" s="6"/>
      <c r="CH172" s="6"/>
      <c r="CI172" s="6"/>
      <c r="CJ172" s="6"/>
      <c r="CK172" s="6"/>
      <c r="CL172" s="6"/>
      <c r="CM172" s="6"/>
    </row>
    <row r="173" spans="1:91" s="42" customFormat="1" x14ac:dyDescent="0.25">
      <c r="A173" s="91" t="s">
        <v>207</v>
      </c>
      <c r="B173" s="79" t="s">
        <v>220</v>
      </c>
      <c r="C173" s="80">
        <v>42150</v>
      </c>
      <c r="D173" s="63" t="s">
        <v>21</v>
      </c>
      <c r="E173" s="64" t="s">
        <v>24</v>
      </c>
      <c r="F173" s="64" t="s">
        <v>329</v>
      </c>
      <c r="G173" s="56" t="s">
        <v>366</v>
      </c>
      <c r="H173" s="56" t="s">
        <v>41</v>
      </c>
      <c r="I173" s="57">
        <v>949</v>
      </c>
      <c r="J173" s="57">
        <v>0</v>
      </c>
      <c r="K173" s="57"/>
      <c r="L173" s="57"/>
      <c r="M173" s="57"/>
      <c r="N173" s="57"/>
      <c r="O173" s="57"/>
      <c r="P173" s="57"/>
      <c r="Q173" s="57"/>
      <c r="R173" s="57"/>
      <c r="S173" s="58">
        <f t="shared" si="4"/>
        <v>949</v>
      </c>
      <c r="T173" s="58">
        <f t="shared" si="5"/>
        <v>0</v>
      </c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  <c r="BC173" s="6"/>
      <c r="BD173" s="6"/>
      <c r="BE173" s="6"/>
      <c r="BF173" s="6"/>
      <c r="BG173" s="6"/>
      <c r="BH173" s="6"/>
      <c r="BI173" s="6"/>
      <c r="BJ173" s="6"/>
      <c r="BK173" s="6"/>
      <c r="BL173" s="6"/>
      <c r="BM173" s="6"/>
      <c r="BN173" s="6"/>
      <c r="BO173" s="6"/>
      <c r="BP173" s="6"/>
      <c r="BQ173" s="6"/>
      <c r="BR173" s="6"/>
      <c r="BS173" s="6"/>
      <c r="BT173" s="6"/>
      <c r="BU173" s="6"/>
      <c r="BV173" s="6"/>
      <c r="BW173" s="6"/>
      <c r="BX173" s="6"/>
      <c r="BY173" s="6"/>
      <c r="BZ173" s="6"/>
      <c r="CA173" s="6"/>
      <c r="CB173" s="6"/>
      <c r="CC173" s="6"/>
      <c r="CD173" s="6"/>
      <c r="CE173" s="6"/>
      <c r="CF173" s="6"/>
      <c r="CG173" s="6"/>
      <c r="CH173" s="6"/>
      <c r="CI173" s="6"/>
      <c r="CJ173" s="6"/>
      <c r="CK173" s="6"/>
      <c r="CL173" s="6"/>
      <c r="CM173" s="6"/>
    </row>
    <row r="174" spans="1:91" s="42" customFormat="1" x14ac:dyDescent="0.25">
      <c r="A174" s="92" t="s">
        <v>210</v>
      </c>
      <c r="B174" s="79" t="s">
        <v>215</v>
      </c>
      <c r="C174" s="80">
        <v>42151</v>
      </c>
      <c r="D174" s="63" t="s">
        <v>19</v>
      </c>
      <c r="E174" s="64" t="s">
        <v>361</v>
      </c>
      <c r="F174" s="64" t="s">
        <v>27</v>
      </c>
      <c r="G174" s="56" t="s">
        <v>366</v>
      </c>
      <c r="H174" s="56" t="s">
        <v>41</v>
      </c>
      <c r="I174" s="57">
        <v>838</v>
      </c>
      <c r="J174" s="57">
        <v>9</v>
      </c>
      <c r="K174" s="57"/>
      <c r="L174" s="57"/>
      <c r="M174" s="57">
        <v>75</v>
      </c>
      <c r="N174" s="57">
        <v>0</v>
      </c>
      <c r="O174" s="57"/>
      <c r="P174" s="57"/>
      <c r="Q174" s="57"/>
      <c r="R174" s="57"/>
      <c r="S174" s="58">
        <f t="shared" si="4"/>
        <v>913</v>
      </c>
      <c r="T174" s="58">
        <f t="shared" si="5"/>
        <v>9</v>
      </c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  <c r="BC174" s="6"/>
      <c r="BD174" s="6"/>
      <c r="BE174" s="6"/>
      <c r="BF174" s="6"/>
      <c r="BG174" s="6"/>
      <c r="BH174" s="6"/>
      <c r="BI174" s="6"/>
      <c r="BJ174" s="6"/>
      <c r="BK174" s="6"/>
      <c r="BL174" s="6"/>
      <c r="BM174" s="6"/>
      <c r="BN174" s="6"/>
      <c r="BO174" s="6"/>
      <c r="BP174" s="6"/>
      <c r="BQ174" s="6"/>
      <c r="BR174" s="6"/>
      <c r="BS174" s="6"/>
      <c r="BT174" s="6"/>
      <c r="BU174" s="6"/>
      <c r="BV174" s="6"/>
      <c r="BW174" s="6"/>
      <c r="BX174" s="6"/>
      <c r="BY174" s="6"/>
      <c r="BZ174" s="6"/>
      <c r="CA174" s="6"/>
      <c r="CB174" s="6"/>
      <c r="CC174" s="6"/>
      <c r="CD174" s="6"/>
      <c r="CE174" s="6"/>
      <c r="CF174" s="6"/>
      <c r="CG174" s="6"/>
      <c r="CH174" s="6"/>
      <c r="CI174" s="6"/>
      <c r="CJ174" s="6"/>
      <c r="CK174" s="6"/>
      <c r="CL174" s="6"/>
      <c r="CM174" s="6"/>
    </row>
    <row r="175" spans="1:91" s="42" customFormat="1" x14ac:dyDescent="0.25">
      <c r="A175" s="92" t="s">
        <v>209</v>
      </c>
      <c r="B175" s="95" t="s">
        <v>218</v>
      </c>
      <c r="C175" s="80">
        <v>42151</v>
      </c>
      <c r="D175" s="63" t="s">
        <v>19</v>
      </c>
      <c r="E175" s="64" t="s">
        <v>24</v>
      </c>
      <c r="F175" s="83" t="s">
        <v>328</v>
      </c>
      <c r="G175" s="84" t="s">
        <v>365</v>
      </c>
      <c r="H175" s="56" t="s">
        <v>37</v>
      </c>
      <c r="I175" s="57">
        <v>426</v>
      </c>
      <c r="J175" s="57">
        <v>1</v>
      </c>
      <c r="K175" s="57"/>
      <c r="L175" s="57"/>
      <c r="M175" s="57"/>
      <c r="N175" s="57"/>
      <c r="O175" s="57"/>
      <c r="P175" s="57"/>
      <c r="Q175" s="57"/>
      <c r="R175" s="57"/>
      <c r="S175" s="58">
        <f t="shared" si="4"/>
        <v>426</v>
      </c>
      <c r="T175" s="58">
        <f t="shared" si="5"/>
        <v>1</v>
      </c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  <c r="BC175" s="6"/>
      <c r="BD175" s="6"/>
      <c r="BE175" s="6"/>
      <c r="BF175" s="6"/>
      <c r="BG175" s="6"/>
      <c r="BH175" s="6"/>
      <c r="BI175" s="6"/>
      <c r="BJ175" s="6"/>
      <c r="BK175" s="6"/>
      <c r="BL175" s="6"/>
      <c r="BM175" s="6"/>
      <c r="BN175" s="6"/>
      <c r="BO175" s="6"/>
      <c r="BP175" s="6"/>
      <c r="BQ175" s="6"/>
      <c r="BR175" s="6"/>
      <c r="BS175" s="6"/>
      <c r="BT175" s="6"/>
      <c r="BU175" s="6"/>
      <c r="BV175" s="6"/>
      <c r="BW175" s="6"/>
      <c r="BX175" s="6"/>
      <c r="BY175" s="6"/>
      <c r="BZ175" s="6"/>
      <c r="CA175" s="6"/>
      <c r="CB175" s="6"/>
      <c r="CC175" s="6"/>
      <c r="CD175" s="6"/>
      <c r="CE175" s="6"/>
      <c r="CF175" s="6"/>
      <c r="CG175" s="6"/>
      <c r="CH175" s="6"/>
      <c r="CI175" s="6"/>
      <c r="CJ175" s="6"/>
      <c r="CK175" s="6"/>
      <c r="CL175" s="6"/>
      <c r="CM175" s="6"/>
    </row>
    <row r="176" spans="1:91" s="42" customFormat="1" x14ac:dyDescent="0.25">
      <c r="A176" s="91" t="s">
        <v>208</v>
      </c>
      <c r="B176" s="79" t="s">
        <v>219</v>
      </c>
      <c r="C176" s="80">
        <v>42151</v>
      </c>
      <c r="D176" s="63"/>
      <c r="E176" s="64" t="s">
        <v>24</v>
      </c>
      <c r="F176" s="64" t="s">
        <v>329</v>
      </c>
      <c r="G176" s="56" t="s">
        <v>365</v>
      </c>
      <c r="H176" s="56" t="s">
        <v>41</v>
      </c>
      <c r="I176" s="57">
        <v>1185</v>
      </c>
      <c r="J176" s="57">
        <v>0</v>
      </c>
      <c r="K176" s="57"/>
      <c r="L176" s="57"/>
      <c r="M176" s="57"/>
      <c r="N176" s="57"/>
      <c r="O176" s="57"/>
      <c r="P176" s="57"/>
      <c r="Q176" s="57"/>
      <c r="R176" s="57"/>
      <c r="S176" s="58">
        <f t="shared" si="4"/>
        <v>1185</v>
      </c>
      <c r="T176" s="58">
        <f t="shared" si="5"/>
        <v>0</v>
      </c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  <c r="BC176" s="6"/>
      <c r="BD176" s="6"/>
      <c r="BE176" s="6"/>
      <c r="BF176" s="6"/>
      <c r="BG176" s="6"/>
      <c r="BH176" s="6"/>
      <c r="BI176" s="6"/>
      <c r="BJ176" s="6"/>
      <c r="BK176" s="6"/>
      <c r="BL176" s="6"/>
      <c r="BM176" s="6"/>
      <c r="BN176" s="6"/>
      <c r="BO176" s="6"/>
      <c r="BP176" s="6"/>
      <c r="BQ176" s="6"/>
      <c r="BR176" s="6"/>
      <c r="BS176" s="6"/>
      <c r="BT176" s="6"/>
      <c r="BU176" s="6"/>
      <c r="BV176" s="6"/>
      <c r="BW176" s="6"/>
      <c r="BX176" s="6"/>
      <c r="BY176" s="6"/>
      <c r="BZ176" s="6"/>
      <c r="CA176" s="6"/>
      <c r="CB176" s="6"/>
      <c r="CC176" s="6"/>
      <c r="CD176" s="6"/>
      <c r="CE176" s="6"/>
      <c r="CF176" s="6"/>
      <c r="CG176" s="6"/>
      <c r="CH176" s="6"/>
      <c r="CI176" s="6"/>
      <c r="CJ176" s="6"/>
      <c r="CK176" s="6"/>
      <c r="CL176" s="6"/>
      <c r="CM176" s="6"/>
    </row>
    <row r="177" spans="1:91" s="42" customFormat="1" x14ac:dyDescent="0.25">
      <c r="A177" s="92" t="s">
        <v>211</v>
      </c>
      <c r="B177" s="82" t="s">
        <v>216</v>
      </c>
      <c r="C177" s="80">
        <v>42152</v>
      </c>
      <c r="D177" s="63" t="s">
        <v>19</v>
      </c>
      <c r="E177" s="64" t="s">
        <v>361</v>
      </c>
      <c r="F177" s="64" t="s">
        <v>361</v>
      </c>
      <c r="G177" s="56" t="s">
        <v>366</v>
      </c>
      <c r="H177" s="56" t="s">
        <v>41</v>
      </c>
      <c r="I177" s="57">
        <v>820</v>
      </c>
      <c r="J177" s="57">
        <v>3</v>
      </c>
      <c r="K177" s="57"/>
      <c r="L177" s="57"/>
      <c r="M177" s="57"/>
      <c r="N177" s="57"/>
      <c r="O177" s="57"/>
      <c r="P177" s="57"/>
      <c r="Q177" s="57"/>
      <c r="R177" s="57"/>
      <c r="S177" s="58">
        <f t="shared" si="4"/>
        <v>820</v>
      </c>
      <c r="T177" s="58">
        <f t="shared" si="5"/>
        <v>3</v>
      </c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  <c r="BC177" s="6"/>
      <c r="BD177" s="6"/>
      <c r="BE177" s="6"/>
      <c r="BF177" s="6"/>
      <c r="BG177" s="6"/>
      <c r="BH177" s="6"/>
      <c r="BI177" s="6"/>
      <c r="BJ177" s="6"/>
      <c r="BK177" s="6"/>
      <c r="BL177" s="6"/>
      <c r="BM177" s="6"/>
      <c r="BN177" s="6"/>
      <c r="BO177" s="6"/>
      <c r="BP177" s="6"/>
      <c r="BQ177" s="6"/>
      <c r="BR177" s="6"/>
      <c r="BS177" s="6"/>
      <c r="BT177" s="6"/>
      <c r="BU177" s="6"/>
      <c r="BV177" s="6"/>
      <c r="BW177" s="6"/>
      <c r="BX177" s="6"/>
      <c r="BY177" s="6"/>
      <c r="BZ177" s="6"/>
      <c r="CA177" s="6"/>
      <c r="CB177" s="6"/>
      <c r="CC177" s="6"/>
      <c r="CD177" s="6"/>
      <c r="CE177" s="6"/>
      <c r="CF177" s="6"/>
      <c r="CG177" s="6"/>
      <c r="CH177" s="6"/>
      <c r="CI177" s="6"/>
      <c r="CJ177" s="6"/>
      <c r="CK177" s="6"/>
      <c r="CL177" s="6"/>
      <c r="CM177" s="6"/>
    </row>
    <row r="178" spans="1:91" s="42" customFormat="1" x14ac:dyDescent="0.25">
      <c r="A178" s="92" t="s">
        <v>212</v>
      </c>
      <c r="B178" s="79" t="s">
        <v>215</v>
      </c>
      <c r="C178" s="80">
        <v>42153</v>
      </c>
      <c r="D178" s="63"/>
      <c r="E178" s="64" t="s">
        <v>361</v>
      </c>
      <c r="F178" s="64" t="s">
        <v>27</v>
      </c>
      <c r="G178" s="56" t="s">
        <v>366</v>
      </c>
      <c r="H178" s="56" t="s">
        <v>41</v>
      </c>
      <c r="I178" s="57">
        <v>1437</v>
      </c>
      <c r="J178" s="57">
        <v>20</v>
      </c>
      <c r="K178" s="57"/>
      <c r="L178" s="57"/>
      <c r="M178" s="57"/>
      <c r="N178" s="57"/>
      <c r="O178" s="57"/>
      <c r="P178" s="57"/>
      <c r="Q178" s="57"/>
      <c r="R178" s="57"/>
      <c r="S178" s="58">
        <f t="shared" si="4"/>
        <v>1437</v>
      </c>
      <c r="T178" s="58">
        <f t="shared" si="5"/>
        <v>20</v>
      </c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  <c r="BC178" s="6"/>
      <c r="BD178" s="6"/>
      <c r="BE178" s="6"/>
      <c r="BF178" s="6"/>
      <c r="BG178" s="6"/>
      <c r="BH178" s="6"/>
      <c r="BI178" s="6"/>
      <c r="BJ178" s="6"/>
      <c r="BK178" s="6"/>
      <c r="BL178" s="6"/>
      <c r="BM178" s="6"/>
      <c r="BN178" s="6"/>
      <c r="BO178" s="6"/>
      <c r="BP178" s="6"/>
      <c r="BQ178" s="6"/>
      <c r="BR178" s="6"/>
      <c r="BS178" s="6"/>
      <c r="BT178" s="6"/>
      <c r="BU178" s="6"/>
      <c r="BV178" s="6"/>
      <c r="BW178" s="6"/>
      <c r="BX178" s="6"/>
      <c r="BY178" s="6"/>
      <c r="BZ178" s="6"/>
      <c r="CA178" s="6"/>
      <c r="CB178" s="6"/>
      <c r="CC178" s="6"/>
      <c r="CD178" s="6"/>
      <c r="CE178" s="6"/>
      <c r="CF178" s="6"/>
      <c r="CG178" s="6"/>
      <c r="CH178" s="6"/>
      <c r="CI178" s="6"/>
      <c r="CJ178" s="6"/>
      <c r="CK178" s="6"/>
      <c r="CL178" s="6"/>
      <c r="CM178" s="6"/>
    </row>
    <row r="179" spans="1:91" s="42" customFormat="1" x14ac:dyDescent="0.25">
      <c r="A179" s="92" t="s">
        <v>214</v>
      </c>
      <c r="B179" s="79" t="s">
        <v>217</v>
      </c>
      <c r="C179" s="80">
        <v>42153</v>
      </c>
      <c r="D179" s="63"/>
      <c r="E179" s="64" t="s">
        <v>22</v>
      </c>
      <c r="F179" s="64" t="s">
        <v>361</v>
      </c>
      <c r="G179" s="56" t="s">
        <v>366</v>
      </c>
      <c r="H179" s="56" t="s">
        <v>41</v>
      </c>
      <c r="I179" s="57">
        <v>938</v>
      </c>
      <c r="J179" s="57">
        <v>1</v>
      </c>
      <c r="K179" s="57"/>
      <c r="L179" s="57"/>
      <c r="M179" s="57"/>
      <c r="N179" s="57"/>
      <c r="O179" s="57"/>
      <c r="P179" s="57"/>
      <c r="Q179" s="57"/>
      <c r="R179" s="57"/>
      <c r="S179" s="58">
        <f t="shared" si="4"/>
        <v>938</v>
      </c>
      <c r="T179" s="58">
        <f t="shared" si="5"/>
        <v>1</v>
      </c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  <c r="BC179" s="6"/>
      <c r="BD179" s="6"/>
      <c r="BE179" s="6"/>
      <c r="BF179" s="6"/>
      <c r="BG179" s="6"/>
      <c r="BH179" s="6"/>
      <c r="BI179" s="6"/>
      <c r="BJ179" s="6"/>
      <c r="BK179" s="6"/>
      <c r="BL179" s="6"/>
      <c r="BM179" s="6"/>
      <c r="BN179" s="6"/>
      <c r="BO179" s="6"/>
      <c r="BP179" s="6"/>
      <c r="BQ179" s="6"/>
      <c r="BR179" s="6"/>
      <c r="BS179" s="6"/>
      <c r="BT179" s="6"/>
      <c r="BU179" s="6"/>
      <c r="BV179" s="6"/>
      <c r="BW179" s="6"/>
      <c r="BX179" s="6"/>
      <c r="BY179" s="6"/>
      <c r="BZ179" s="6"/>
      <c r="CA179" s="6"/>
      <c r="CB179" s="6"/>
      <c r="CC179" s="6"/>
      <c r="CD179" s="6"/>
      <c r="CE179" s="6"/>
      <c r="CF179" s="6"/>
      <c r="CG179" s="6"/>
      <c r="CH179" s="6"/>
      <c r="CI179" s="6"/>
      <c r="CJ179" s="6"/>
      <c r="CK179" s="6"/>
      <c r="CL179" s="6"/>
      <c r="CM179" s="6"/>
    </row>
    <row r="180" spans="1:91" s="42" customFormat="1" x14ac:dyDescent="0.25">
      <c r="A180" s="92" t="s">
        <v>213</v>
      </c>
      <c r="B180" s="79" t="s">
        <v>223</v>
      </c>
      <c r="C180" s="80">
        <v>42153</v>
      </c>
      <c r="D180" s="63"/>
      <c r="E180" s="64" t="s">
        <v>25</v>
      </c>
      <c r="F180" s="64" t="s">
        <v>30</v>
      </c>
      <c r="G180" s="56" t="s">
        <v>365</v>
      </c>
      <c r="H180" s="56" t="s">
        <v>41</v>
      </c>
      <c r="I180" s="57">
        <v>903</v>
      </c>
      <c r="J180" s="57">
        <v>3</v>
      </c>
      <c r="K180" s="57"/>
      <c r="L180" s="57"/>
      <c r="M180" s="57"/>
      <c r="N180" s="57"/>
      <c r="O180" s="57"/>
      <c r="P180" s="57"/>
      <c r="Q180" s="57"/>
      <c r="R180" s="57"/>
      <c r="S180" s="58">
        <f t="shared" si="4"/>
        <v>903</v>
      </c>
      <c r="T180" s="58">
        <f t="shared" si="5"/>
        <v>3</v>
      </c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  <c r="BC180" s="6"/>
      <c r="BD180" s="6"/>
      <c r="BE180" s="6"/>
      <c r="BF180" s="6"/>
      <c r="BG180" s="6"/>
      <c r="BH180" s="6"/>
      <c r="BI180" s="6"/>
      <c r="BJ180" s="6"/>
      <c r="BK180" s="6"/>
      <c r="BL180" s="6"/>
      <c r="BM180" s="6"/>
      <c r="BN180" s="6"/>
      <c r="BO180" s="6"/>
      <c r="BP180" s="6"/>
      <c r="BQ180" s="6"/>
      <c r="BR180" s="6"/>
      <c r="BS180" s="6"/>
      <c r="BT180" s="6"/>
      <c r="BU180" s="6"/>
      <c r="BV180" s="6"/>
      <c r="BW180" s="6"/>
      <c r="BX180" s="6"/>
      <c r="BY180" s="6"/>
      <c r="BZ180" s="6"/>
      <c r="CA180" s="6"/>
      <c r="CB180" s="6"/>
      <c r="CC180" s="6"/>
      <c r="CD180" s="6"/>
      <c r="CE180" s="6"/>
      <c r="CF180" s="6"/>
      <c r="CG180" s="6"/>
      <c r="CH180" s="6"/>
      <c r="CI180" s="6"/>
      <c r="CJ180" s="6"/>
      <c r="CK180" s="6"/>
      <c r="CL180" s="6"/>
      <c r="CM180" s="6"/>
    </row>
    <row r="181" spans="1:91" s="42" customFormat="1" x14ac:dyDescent="0.25">
      <c r="A181" s="94" t="s">
        <v>290</v>
      </c>
      <c r="B181" s="79" t="s">
        <v>221</v>
      </c>
      <c r="C181" s="80">
        <v>42156</v>
      </c>
      <c r="D181" s="63"/>
      <c r="E181" s="64" t="s">
        <v>24</v>
      </c>
      <c r="F181" s="64" t="s">
        <v>328</v>
      </c>
      <c r="G181" s="56" t="s">
        <v>365</v>
      </c>
      <c r="H181" s="56" t="s">
        <v>41</v>
      </c>
      <c r="I181" s="57">
        <v>1308</v>
      </c>
      <c r="J181" s="57">
        <v>3</v>
      </c>
      <c r="K181" s="57"/>
      <c r="L181" s="57"/>
      <c r="M181" s="57"/>
      <c r="N181" s="57"/>
      <c r="O181" s="57"/>
      <c r="P181" s="57"/>
      <c r="Q181" s="57"/>
      <c r="R181" s="57"/>
      <c r="S181" s="58">
        <f t="shared" si="4"/>
        <v>1308</v>
      </c>
      <c r="T181" s="58">
        <f t="shared" si="5"/>
        <v>3</v>
      </c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  <c r="BC181" s="6"/>
      <c r="BD181" s="6"/>
      <c r="BE181" s="6"/>
      <c r="BF181" s="6"/>
      <c r="BG181" s="6"/>
      <c r="BH181" s="6"/>
      <c r="BI181" s="6"/>
      <c r="BJ181" s="6"/>
      <c r="BK181" s="6"/>
      <c r="BL181" s="6"/>
      <c r="BM181" s="6"/>
      <c r="BN181" s="6"/>
      <c r="BO181" s="6"/>
      <c r="BP181" s="6"/>
      <c r="BQ181" s="6"/>
      <c r="BR181" s="6"/>
      <c r="BS181" s="6"/>
      <c r="BT181" s="6"/>
      <c r="BU181" s="6"/>
      <c r="BV181" s="6"/>
      <c r="BW181" s="6"/>
      <c r="BX181" s="6"/>
      <c r="BY181" s="6"/>
      <c r="BZ181" s="6"/>
      <c r="CA181" s="6"/>
      <c r="CB181" s="6"/>
      <c r="CC181" s="6"/>
      <c r="CD181" s="6"/>
      <c r="CE181" s="6"/>
      <c r="CF181" s="6"/>
      <c r="CG181" s="6"/>
      <c r="CH181" s="6"/>
      <c r="CI181" s="6"/>
      <c r="CJ181" s="6"/>
      <c r="CK181" s="6"/>
      <c r="CL181" s="6"/>
      <c r="CM181" s="6"/>
    </row>
    <row r="182" spans="1:91" s="42" customFormat="1" x14ac:dyDescent="0.25">
      <c r="A182" s="94" t="s">
        <v>286</v>
      </c>
      <c r="B182" s="79" t="s">
        <v>218</v>
      </c>
      <c r="C182" s="80">
        <v>42157</v>
      </c>
      <c r="D182" s="63" t="s">
        <v>19</v>
      </c>
      <c r="E182" s="64" t="s">
        <v>24</v>
      </c>
      <c r="F182" s="64" t="s">
        <v>29</v>
      </c>
      <c r="G182" s="56" t="s">
        <v>366</v>
      </c>
      <c r="H182" s="56" t="s">
        <v>40</v>
      </c>
      <c r="I182" s="57">
        <v>693</v>
      </c>
      <c r="J182" s="57">
        <v>6</v>
      </c>
      <c r="K182" s="57">
        <v>704</v>
      </c>
      <c r="L182" s="57">
        <v>0</v>
      </c>
      <c r="M182" s="57"/>
      <c r="N182" s="57"/>
      <c r="O182" s="57">
        <v>575</v>
      </c>
      <c r="P182" s="57">
        <v>0</v>
      </c>
      <c r="Q182" s="57"/>
      <c r="R182" s="57"/>
      <c r="S182" s="58">
        <f t="shared" si="4"/>
        <v>1972</v>
      </c>
      <c r="T182" s="58">
        <f t="shared" si="5"/>
        <v>6</v>
      </c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  <c r="BC182" s="6"/>
      <c r="BD182" s="6"/>
      <c r="BE182" s="6"/>
      <c r="BF182" s="6"/>
      <c r="BG182" s="6"/>
      <c r="BH182" s="6"/>
      <c r="BI182" s="6"/>
      <c r="BJ182" s="6"/>
      <c r="BK182" s="6"/>
      <c r="BL182" s="6"/>
      <c r="BM182" s="6"/>
      <c r="BN182" s="6"/>
      <c r="BO182" s="6"/>
      <c r="BP182" s="6"/>
      <c r="BQ182" s="6"/>
      <c r="BR182" s="6"/>
      <c r="BS182" s="6"/>
      <c r="BT182" s="6"/>
      <c r="BU182" s="6"/>
      <c r="BV182" s="6"/>
      <c r="BW182" s="6"/>
      <c r="BX182" s="6"/>
      <c r="BY182" s="6"/>
      <c r="BZ182" s="6"/>
      <c r="CA182" s="6"/>
      <c r="CB182" s="6"/>
      <c r="CC182" s="6"/>
      <c r="CD182" s="6"/>
      <c r="CE182" s="6"/>
      <c r="CF182" s="6"/>
      <c r="CG182" s="6"/>
      <c r="CH182" s="6"/>
      <c r="CI182" s="6"/>
      <c r="CJ182" s="6"/>
      <c r="CK182" s="6"/>
      <c r="CL182" s="6"/>
      <c r="CM182" s="6"/>
    </row>
    <row r="183" spans="1:91" s="46" customFormat="1" x14ac:dyDescent="0.25">
      <c r="A183" s="94" t="s">
        <v>287</v>
      </c>
      <c r="B183" s="79" t="s">
        <v>229</v>
      </c>
      <c r="C183" s="80">
        <v>42157</v>
      </c>
      <c r="D183" s="63" t="s">
        <v>21</v>
      </c>
      <c r="E183" s="64" t="s">
        <v>361</v>
      </c>
      <c r="F183" s="64" t="s">
        <v>28</v>
      </c>
      <c r="G183" s="56" t="s">
        <v>366</v>
      </c>
      <c r="H183" s="56" t="s">
        <v>41</v>
      </c>
      <c r="I183" s="57">
        <v>1597</v>
      </c>
      <c r="J183" s="57">
        <v>0</v>
      </c>
      <c r="K183" s="57"/>
      <c r="L183" s="57"/>
      <c r="M183" s="57"/>
      <c r="N183" s="57"/>
      <c r="O183" s="57"/>
      <c r="P183" s="57"/>
      <c r="Q183" s="57"/>
      <c r="R183" s="57"/>
      <c r="S183" s="58">
        <f t="shared" si="4"/>
        <v>1597</v>
      </c>
      <c r="T183" s="58">
        <f t="shared" si="5"/>
        <v>0</v>
      </c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  <c r="BC183" s="6"/>
      <c r="BD183" s="6"/>
      <c r="BE183" s="6"/>
      <c r="BF183" s="6"/>
      <c r="BG183" s="6"/>
      <c r="BH183" s="6"/>
      <c r="BI183" s="6"/>
      <c r="BJ183" s="6"/>
      <c r="BK183" s="6"/>
      <c r="BL183" s="6"/>
      <c r="BM183" s="6"/>
      <c r="BN183" s="6"/>
      <c r="BO183" s="6"/>
      <c r="BP183" s="6"/>
      <c r="BQ183" s="6"/>
      <c r="BR183" s="6"/>
      <c r="BS183" s="6"/>
      <c r="BT183" s="6"/>
      <c r="BU183" s="6"/>
      <c r="BV183" s="6"/>
      <c r="BW183" s="6"/>
      <c r="BX183" s="6"/>
      <c r="BY183" s="6"/>
      <c r="BZ183" s="6"/>
      <c r="CA183" s="6"/>
      <c r="CB183" s="6"/>
      <c r="CC183" s="6"/>
      <c r="CD183" s="6"/>
      <c r="CE183" s="6"/>
      <c r="CF183" s="6"/>
      <c r="CG183" s="6"/>
      <c r="CH183" s="6"/>
      <c r="CI183" s="6"/>
      <c r="CJ183" s="6"/>
      <c r="CK183" s="6"/>
      <c r="CL183" s="6"/>
      <c r="CM183" s="6"/>
    </row>
    <row r="184" spans="1:91" s="42" customFormat="1" x14ac:dyDescent="0.25">
      <c r="A184" s="94" t="s">
        <v>285</v>
      </c>
      <c r="B184" s="79" t="s">
        <v>237</v>
      </c>
      <c r="C184" s="80">
        <v>42158</v>
      </c>
      <c r="D184" s="63" t="s">
        <v>19</v>
      </c>
      <c r="E184" s="64" t="s">
        <v>23</v>
      </c>
      <c r="F184" s="64" t="s">
        <v>27</v>
      </c>
      <c r="G184" s="56" t="s">
        <v>366</v>
      </c>
      <c r="H184" s="56" t="s">
        <v>41</v>
      </c>
      <c r="I184" s="57">
        <v>2196</v>
      </c>
      <c r="J184" s="57">
        <v>28</v>
      </c>
      <c r="K184" s="57"/>
      <c r="L184" s="57"/>
      <c r="M184" s="57">
        <v>62</v>
      </c>
      <c r="N184" s="57">
        <v>0</v>
      </c>
      <c r="O184" s="57"/>
      <c r="P184" s="57"/>
      <c r="Q184" s="57"/>
      <c r="R184" s="57"/>
      <c r="S184" s="58">
        <f t="shared" si="4"/>
        <v>2258</v>
      </c>
      <c r="T184" s="58">
        <f t="shared" si="5"/>
        <v>28</v>
      </c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  <c r="BC184" s="6"/>
      <c r="BD184" s="6"/>
      <c r="BE184" s="6"/>
      <c r="BF184" s="6"/>
      <c r="BG184" s="6"/>
      <c r="BH184" s="6"/>
      <c r="BI184" s="6"/>
      <c r="BJ184" s="6"/>
      <c r="BK184" s="6"/>
      <c r="BL184" s="6"/>
      <c r="BM184" s="6"/>
      <c r="BN184" s="6"/>
      <c r="BO184" s="6"/>
      <c r="BP184" s="6"/>
      <c r="BQ184" s="6"/>
      <c r="BR184" s="6"/>
      <c r="BS184" s="6"/>
      <c r="BT184" s="6"/>
      <c r="BU184" s="6"/>
      <c r="BV184" s="6"/>
      <c r="BW184" s="6"/>
      <c r="BX184" s="6"/>
      <c r="BY184" s="6"/>
      <c r="BZ184" s="6"/>
      <c r="CA184" s="6"/>
      <c r="CB184" s="6"/>
      <c r="CC184" s="6"/>
      <c r="CD184" s="6"/>
      <c r="CE184" s="6"/>
      <c r="CF184" s="6"/>
      <c r="CG184" s="6"/>
      <c r="CH184" s="6"/>
      <c r="CI184" s="6"/>
      <c r="CJ184" s="6"/>
      <c r="CK184" s="6"/>
      <c r="CL184" s="6"/>
      <c r="CM184" s="6"/>
    </row>
    <row r="185" spans="1:91" s="42" customFormat="1" x14ac:dyDescent="0.25">
      <c r="A185" s="94" t="s">
        <v>288</v>
      </c>
      <c r="B185" s="79" t="s">
        <v>223</v>
      </c>
      <c r="C185" s="80">
        <v>42158</v>
      </c>
      <c r="D185" s="63"/>
      <c r="E185" s="64" t="s">
        <v>24</v>
      </c>
      <c r="F185" s="64" t="s">
        <v>329</v>
      </c>
      <c r="G185" s="56" t="s">
        <v>366</v>
      </c>
      <c r="H185" s="56" t="s">
        <v>41</v>
      </c>
      <c r="I185" s="57">
        <v>2400</v>
      </c>
      <c r="J185" s="57">
        <v>0</v>
      </c>
      <c r="K185" s="57"/>
      <c r="L185" s="57"/>
      <c r="M185" s="57"/>
      <c r="N185" s="57"/>
      <c r="O185" s="57"/>
      <c r="P185" s="57"/>
      <c r="Q185" s="57"/>
      <c r="R185" s="57"/>
      <c r="S185" s="58">
        <f t="shared" si="4"/>
        <v>2400</v>
      </c>
      <c r="T185" s="58">
        <f t="shared" si="5"/>
        <v>0</v>
      </c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  <c r="BC185" s="6"/>
      <c r="BD185" s="6"/>
      <c r="BE185" s="6"/>
      <c r="BF185" s="6"/>
      <c r="BG185" s="6"/>
      <c r="BH185" s="6"/>
      <c r="BI185" s="6"/>
      <c r="BJ185" s="6"/>
      <c r="BK185" s="6"/>
      <c r="BL185" s="6"/>
      <c r="BM185" s="6"/>
      <c r="BN185" s="6"/>
      <c r="BO185" s="6"/>
      <c r="BP185" s="6"/>
      <c r="BQ185" s="6"/>
      <c r="BR185" s="6"/>
      <c r="BS185" s="6"/>
      <c r="BT185" s="6"/>
      <c r="BU185" s="6"/>
      <c r="BV185" s="6"/>
      <c r="BW185" s="6"/>
      <c r="BX185" s="6"/>
      <c r="BY185" s="6"/>
      <c r="BZ185" s="6"/>
      <c r="CA185" s="6"/>
      <c r="CB185" s="6"/>
      <c r="CC185" s="6"/>
      <c r="CD185" s="6"/>
      <c r="CE185" s="6"/>
      <c r="CF185" s="6"/>
      <c r="CG185" s="6"/>
      <c r="CH185" s="6"/>
      <c r="CI185" s="6"/>
      <c r="CJ185" s="6"/>
      <c r="CK185" s="6"/>
      <c r="CL185" s="6"/>
      <c r="CM185" s="6"/>
    </row>
    <row r="186" spans="1:91" s="42" customFormat="1" x14ac:dyDescent="0.25">
      <c r="A186" s="94" t="s">
        <v>289</v>
      </c>
      <c r="B186" s="79" t="s">
        <v>223</v>
      </c>
      <c r="C186" s="80">
        <v>42158</v>
      </c>
      <c r="D186" s="63"/>
      <c r="E186" s="64" t="s">
        <v>24</v>
      </c>
      <c r="F186" s="64" t="s">
        <v>28</v>
      </c>
      <c r="G186" s="56" t="s">
        <v>365</v>
      </c>
      <c r="H186" s="56" t="s">
        <v>40</v>
      </c>
      <c r="I186" s="57">
        <v>2703</v>
      </c>
      <c r="J186" s="57">
        <v>7</v>
      </c>
      <c r="K186" s="57"/>
      <c r="L186" s="57"/>
      <c r="M186" s="57">
        <v>57</v>
      </c>
      <c r="N186" s="57">
        <v>0</v>
      </c>
      <c r="O186" s="57"/>
      <c r="P186" s="57"/>
      <c r="Q186" s="57"/>
      <c r="R186" s="57"/>
      <c r="S186" s="58">
        <f t="shared" si="4"/>
        <v>2760</v>
      </c>
      <c r="T186" s="58">
        <f t="shared" si="5"/>
        <v>7</v>
      </c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  <c r="BC186" s="6"/>
      <c r="BD186" s="6"/>
      <c r="BE186" s="6"/>
      <c r="BF186" s="6"/>
      <c r="BG186" s="6"/>
      <c r="BH186" s="6"/>
      <c r="BI186" s="6"/>
      <c r="BJ186" s="6"/>
      <c r="BK186" s="6"/>
      <c r="BL186" s="6"/>
      <c r="BM186" s="6"/>
      <c r="BN186" s="6"/>
      <c r="BO186" s="6"/>
      <c r="BP186" s="6"/>
      <c r="BQ186" s="6"/>
      <c r="BR186" s="6"/>
      <c r="BS186" s="6"/>
      <c r="BT186" s="6"/>
      <c r="BU186" s="6"/>
      <c r="BV186" s="6"/>
      <c r="BW186" s="6"/>
      <c r="BX186" s="6"/>
      <c r="BY186" s="6"/>
      <c r="BZ186" s="6"/>
      <c r="CA186" s="6"/>
      <c r="CB186" s="6"/>
      <c r="CC186" s="6"/>
      <c r="CD186" s="6"/>
      <c r="CE186" s="6"/>
      <c r="CF186" s="6"/>
      <c r="CG186" s="6"/>
      <c r="CH186" s="6"/>
      <c r="CI186" s="6"/>
      <c r="CJ186" s="6"/>
      <c r="CK186" s="6"/>
      <c r="CL186" s="6"/>
      <c r="CM186" s="6"/>
    </row>
    <row r="187" spans="1:91" s="42" customFormat="1" x14ac:dyDescent="0.25">
      <c r="A187" s="94" t="s">
        <v>291</v>
      </c>
      <c r="B187" s="79" t="s">
        <v>227</v>
      </c>
      <c r="C187" s="80">
        <v>42159</v>
      </c>
      <c r="D187" s="63"/>
      <c r="E187" s="64" t="s">
        <v>361</v>
      </c>
      <c r="F187" s="64" t="s">
        <v>361</v>
      </c>
      <c r="G187" s="56" t="s">
        <v>366</v>
      </c>
      <c r="H187" s="56" t="s">
        <v>41</v>
      </c>
      <c r="I187" s="57">
        <v>1685</v>
      </c>
      <c r="J187" s="57">
        <v>4</v>
      </c>
      <c r="K187" s="57"/>
      <c r="L187" s="57"/>
      <c r="M187" s="57"/>
      <c r="N187" s="57"/>
      <c r="O187" s="57"/>
      <c r="P187" s="57"/>
      <c r="Q187" s="57"/>
      <c r="R187" s="57"/>
      <c r="S187" s="58">
        <f t="shared" si="4"/>
        <v>1685</v>
      </c>
      <c r="T187" s="58">
        <f t="shared" si="5"/>
        <v>4</v>
      </c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  <c r="BC187" s="6"/>
      <c r="BD187" s="6"/>
      <c r="BE187" s="6"/>
      <c r="BF187" s="6"/>
      <c r="BG187" s="6"/>
      <c r="BH187" s="6"/>
      <c r="BI187" s="6"/>
      <c r="BJ187" s="6"/>
      <c r="BK187" s="6"/>
      <c r="BL187" s="6"/>
      <c r="BM187" s="6"/>
      <c r="BN187" s="6"/>
      <c r="BO187" s="6"/>
      <c r="BP187" s="6"/>
      <c r="BQ187" s="6"/>
      <c r="BR187" s="6"/>
      <c r="BS187" s="6"/>
      <c r="BT187" s="6"/>
      <c r="BU187" s="6"/>
      <c r="BV187" s="6"/>
      <c r="BW187" s="6"/>
      <c r="BX187" s="6"/>
      <c r="BY187" s="6"/>
      <c r="BZ187" s="6"/>
      <c r="CA187" s="6"/>
      <c r="CB187" s="6"/>
      <c r="CC187" s="6"/>
      <c r="CD187" s="6"/>
      <c r="CE187" s="6"/>
      <c r="CF187" s="6"/>
      <c r="CG187" s="6"/>
      <c r="CH187" s="6"/>
      <c r="CI187" s="6"/>
      <c r="CJ187" s="6"/>
      <c r="CK187" s="6"/>
      <c r="CL187" s="6"/>
      <c r="CM187" s="6"/>
    </row>
    <row r="188" spans="1:91" s="42" customFormat="1" x14ac:dyDescent="0.25">
      <c r="A188" s="94" t="s">
        <v>292</v>
      </c>
      <c r="B188" s="79" t="s">
        <v>326</v>
      </c>
      <c r="C188" s="80">
        <v>42163</v>
      </c>
      <c r="D188" s="63"/>
      <c r="E188" s="64" t="s">
        <v>361</v>
      </c>
      <c r="F188" s="64" t="s">
        <v>27</v>
      </c>
      <c r="G188" s="56" t="s">
        <v>366</v>
      </c>
      <c r="H188" s="56" t="s">
        <v>41</v>
      </c>
      <c r="I188" s="57">
        <v>876</v>
      </c>
      <c r="J188" s="57">
        <v>9</v>
      </c>
      <c r="K188" s="57"/>
      <c r="L188" s="57"/>
      <c r="M188" s="57"/>
      <c r="N188" s="57"/>
      <c r="O188" s="57"/>
      <c r="P188" s="57"/>
      <c r="Q188" s="57"/>
      <c r="R188" s="57"/>
      <c r="S188" s="58">
        <f t="shared" si="4"/>
        <v>876</v>
      </c>
      <c r="T188" s="58">
        <f t="shared" si="5"/>
        <v>9</v>
      </c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  <c r="BC188" s="6"/>
      <c r="BD188" s="6"/>
      <c r="BE188" s="6"/>
      <c r="BF188" s="6"/>
      <c r="BG188" s="6"/>
      <c r="BH188" s="6"/>
      <c r="BI188" s="6"/>
      <c r="BJ188" s="6"/>
      <c r="BK188" s="6"/>
      <c r="BL188" s="6"/>
      <c r="BM188" s="6"/>
      <c r="BN188" s="6"/>
      <c r="BO188" s="6"/>
      <c r="BP188" s="6"/>
      <c r="BQ188" s="6"/>
      <c r="BR188" s="6"/>
      <c r="BS188" s="6"/>
      <c r="BT188" s="6"/>
      <c r="BU188" s="6"/>
      <c r="BV188" s="6"/>
      <c r="BW188" s="6"/>
      <c r="BX188" s="6"/>
      <c r="BY188" s="6"/>
      <c r="BZ188" s="6"/>
      <c r="CA188" s="6"/>
      <c r="CB188" s="6"/>
      <c r="CC188" s="6"/>
      <c r="CD188" s="6"/>
      <c r="CE188" s="6"/>
      <c r="CF188" s="6"/>
      <c r="CG188" s="6"/>
      <c r="CH188" s="6"/>
      <c r="CI188" s="6"/>
      <c r="CJ188" s="6"/>
      <c r="CK188" s="6"/>
      <c r="CL188" s="6"/>
      <c r="CM188" s="6"/>
    </row>
    <row r="189" spans="1:91" s="42" customFormat="1" x14ac:dyDescent="0.25">
      <c r="A189" s="94" t="s">
        <v>293</v>
      </c>
      <c r="B189" s="79" t="s">
        <v>224</v>
      </c>
      <c r="C189" s="80">
        <v>42164</v>
      </c>
      <c r="D189" s="63" t="s">
        <v>19</v>
      </c>
      <c r="E189" s="64" t="s">
        <v>24</v>
      </c>
      <c r="F189" s="64" t="s">
        <v>26</v>
      </c>
      <c r="G189" s="56" t="s">
        <v>366</v>
      </c>
      <c r="H189" s="56" t="s">
        <v>41</v>
      </c>
      <c r="I189" s="57">
        <v>1603</v>
      </c>
      <c r="J189" s="57">
        <v>25</v>
      </c>
      <c r="K189" s="57"/>
      <c r="L189" s="57"/>
      <c r="M189" s="57"/>
      <c r="N189" s="57"/>
      <c r="O189" s="57">
        <v>645</v>
      </c>
      <c r="P189" s="57">
        <v>0</v>
      </c>
      <c r="Q189" s="57"/>
      <c r="R189" s="57"/>
      <c r="S189" s="58">
        <f t="shared" si="4"/>
        <v>2248</v>
      </c>
      <c r="T189" s="58">
        <f t="shared" si="5"/>
        <v>25</v>
      </c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  <c r="BC189" s="6"/>
      <c r="BD189" s="6"/>
      <c r="BE189" s="6"/>
      <c r="BF189" s="6"/>
      <c r="BG189" s="6"/>
      <c r="BH189" s="6"/>
      <c r="BI189" s="6"/>
      <c r="BJ189" s="6"/>
      <c r="BK189" s="6"/>
      <c r="BL189" s="6"/>
      <c r="BM189" s="6"/>
      <c r="BN189" s="6"/>
      <c r="BO189" s="6"/>
      <c r="BP189" s="6"/>
      <c r="BQ189" s="6"/>
      <c r="BR189" s="6"/>
      <c r="BS189" s="6"/>
      <c r="BT189" s="6"/>
      <c r="BU189" s="6"/>
      <c r="BV189" s="6"/>
      <c r="BW189" s="6"/>
      <c r="BX189" s="6"/>
      <c r="BY189" s="6"/>
      <c r="BZ189" s="6"/>
      <c r="CA189" s="6"/>
      <c r="CB189" s="6"/>
      <c r="CC189" s="6"/>
      <c r="CD189" s="6"/>
      <c r="CE189" s="6"/>
      <c r="CF189" s="6"/>
      <c r="CG189" s="6"/>
      <c r="CH189" s="6"/>
      <c r="CI189" s="6"/>
      <c r="CJ189" s="6"/>
      <c r="CK189" s="6"/>
      <c r="CL189" s="6"/>
      <c r="CM189" s="6"/>
    </row>
    <row r="190" spans="1:91" s="42" customFormat="1" ht="30" x14ac:dyDescent="0.25">
      <c r="A190" s="94" t="s">
        <v>295</v>
      </c>
      <c r="B190" s="79" t="s">
        <v>229</v>
      </c>
      <c r="C190" s="80">
        <v>42164</v>
      </c>
      <c r="D190" s="63"/>
      <c r="E190" s="64" t="s">
        <v>24</v>
      </c>
      <c r="F190" s="64" t="s">
        <v>327</v>
      </c>
      <c r="G190" s="56" t="s">
        <v>366</v>
      </c>
      <c r="H190" s="56" t="s">
        <v>41</v>
      </c>
      <c r="I190" s="90">
        <v>6427</v>
      </c>
      <c r="J190" s="57">
        <v>19</v>
      </c>
      <c r="K190" s="57">
        <v>1571</v>
      </c>
      <c r="L190" s="57">
        <v>0</v>
      </c>
      <c r="M190" s="57"/>
      <c r="N190" s="57"/>
      <c r="O190" s="57">
        <v>960</v>
      </c>
      <c r="P190" s="57">
        <v>0</v>
      </c>
      <c r="Q190" s="57"/>
      <c r="R190" s="57"/>
      <c r="S190" s="58">
        <f t="shared" si="4"/>
        <v>8958</v>
      </c>
      <c r="T190" s="58">
        <f t="shared" si="5"/>
        <v>19</v>
      </c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  <c r="BC190" s="6"/>
      <c r="BD190" s="6"/>
      <c r="BE190" s="6"/>
      <c r="BF190" s="6"/>
      <c r="BG190" s="6"/>
      <c r="BH190" s="6"/>
      <c r="BI190" s="6"/>
      <c r="BJ190" s="6"/>
      <c r="BK190" s="6"/>
      <c r="BL190" s="6"/>
      <c r="BM190" s="6"/>
      <c r="BN190" s="6"/>
      <c r="BO190" s="6"/>
      <c r="BP190" s="6"/>
      <c r="BQ190" s="6"/>
      <c r="BR190" s="6"/>
      <c r="BS190" s="6"/>
      <c r="BT190" s="6"/>
      <c r="BU190" s="6"/>
      <c r="BV190" s="6"/>
      <c r="BW190" s="6"/>
      <c r="BX190" s="6"/>
      <c r="BY190" s="6"/>
      <c r="BZ190" s="6"/>
      <c r="CA190" s="6"/>
      <c r="CB190" s="6"/>
      <c r="CC190" s="6"/>
      <c r="CD190" s="6"/>
      <c r="CE190" s="6"/>
      <c r="CF190" s="6"/>
      <c r="CG190" s="6"/>
      <c r="CH190" s="6"/>
      <c r="CI190" s="6"/>
      <c r="CJ190" s="6"/>
      <c r="CK190" s="6"/>
      <c r="CL190" s="6"/>
      <c r="CM190" s="6"/>
    </row>
    <row r="191" spans="1:91" s="42" customFormat="1" x14ac:dyDescent="0.25">
      <c r="A191" s="94" t="s">
        <v>294</v>
      </c>
      <c r="B191" s="79" t="s">
        <v>325</v>
      </c>
      <c r="C191" s="80">
        <v>42164</v>
      </c>
      <c r="D191" s="63"/>
      <c r="E191" s="64" t="s">
        <v>361</v>
      </c>
      <c r="F191" s="64" t="s">
        <v>328</v>
      </c>
      <c r="G191" s="56" t="s">
        <v>366</v>
      </c>
      <c r="H191" s="56" t="s">
        <v>41</v>
      </c>
      <c r="I191" s="57">
        <v>1076</v>
      </c>
      <c r="J191" s="57">
        <v>14</v>
      </c>
      <c r="K191" s="57"/>
      <c r="L191" s="57"/>
      <c r="M191" s="57"/>
      <c r="N191" s="57"/>
      <c r="O191" s="57"/>
      <c r="P191" s="57"/>
      <c r="Q191" s="57"/>
      <c r="R191" s="57"/>
      <c r="S191" s="58">
        <f t="shared" si="4"/>
        <v>1076</v>
      </c>
      <c r="T191" s="58">
        <f t="shared" si="5"/>
        <v>14</v>
      </c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  <c r="BC191" s="6"/>
      <c r="BD191" s="6"/>
      <c r="BE191" s="6"/>
      <c r="BF191" s="6"/>
      <c r="BG191" s="6"/>
      <c r="BH191" s="6"/>
      <c r="BI191" s="6"/>
      <c r="BJ191" s="6"/>
      <c r="BK191" s="6"/>
      <c r="BL191" s="6"/>
      <c r="BM191" s="6"/>
      <c r="BN191" s="6"/>
      <c r="BO191" s="6"/>
      <c r="BP191" s="6"/>
      <c r="BQ191" s="6"/>
      <c r="BR191" s="6"/>
      <c r="BS191" s="6"/>
      <c r="BT191" s="6"/>
      <c r="BU191" s="6"/>
      <c r="BV191" s="6"/>
      <c r="BW191" s="6"/>
      <c r="BX191" s="6"/>
      <c r="BY191" s="6"/>
      <c r="BZ191" s="6"/>
      <c r="CA191" s="6"/>
      <c r="CB191" s="6"/>
      <c r="CC191" s="6"/>
      <c r="CD191" s="6"/>
      <c r="CE191" s="6"/>
      <c r="CF191" s="6"/>
      <c r="CG191" s="6"/>
      <c r="CH191" s="6"/>
      <c r="CI191" s="6"/>
      <c r="CJ191" s="6"/>
      <c r="CK191" s="6"/>
      <c r="CL191" s="6"/>
      <c r="CM191" s="6"/>
    </row>
    <row r="192" spans="1:91" s="42" customFormat="1" x14ac:dyDescent="0.25">
      <c r="A192" s="94" t="s">
        <v>296</v>
      </c>
      <c r="B192" s="79" t="s">
        <v>322</v>
      </c>
      <c r="C192" s="80">
        <v>42165</v>
      </c>
      <c r="D192" s="63"/>
      <c r="E192" s="64" t="s">
        <v>24</v>
      </c>
      <c r="F192" s="64" t="s">
        <v>30</v>
      </c>
      <c r="G192" s="56" t="s">
        <v>366</v>
      </c>
      <c r="H192" s="56" t="s">
        <v>41</v>
      </c>
      <c r="I192" s="57">
        <v>1337</v>
      </c>
      <c r="J192" s="57">
        <v>3</v>
      </c>
      <c r="K192" s="57"/>
      <c r="L192" s="57"/>
      <c r="M192" s="57"/>
      <c r="N192" s="57"/>
      <c r="O192" s="57"/>
      <c r="P192" s="57"/>
      <c r="Q192" s="57"/>
      <c r="R192" s="57"/>
      <c r="S192" s="58">
        <f t="shared" si="4"/>
        <v>1337</v>
      </c>
      <c r="T192" s="58">
        <f t="shared" si="5"/>
        <v>3</v>
      </c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  <c r="BC192" s="6"/>
      <c r="BD192" s="6"/>
      <c r="BE192" s="6"/>
      <c r="BF192" s="6"/>
      <c r="BG192" s="6"/>
      <c r="BH192" s="6"/>
      <c r="BI192" s="6"/>
      <c r="BJ192" s="6"/>
      <c r="BK192" s="6"/>
      <c r="BL192" s="6"/>
      <c r="BM192" s="6"/>
      <c r="BN192" s="6"/>
      <c r="BO192" s="6"/>
      <c r="BP192" s="6"/>
      <c r="BQ192" s="6"/>
      <c r="BR192" s="6"/>
      <c r="BS192" s="6"/>
      <c r="BT192" s="6"/>
      <c r="BU192" s="6"/>
      <c r="BV192" s="6"/>
      <c r="BW192" s="6"/>
      <c r="BX192" s="6"/>
      <c r="BY192" s="6"/>
      <c r="BZ192" s="6"/>
      <c r="CA192" s="6"/>
      <c r="CB192" s="6"/>
      <c r="CC192" s="6"/>
      <c r="CD192" s="6"/>
      <c r="CE192" s="6"/>
      <c r="CF192" s="6"/>
      <c r="CG192" s="6"/>
      <c r="CH192" s="6"/>
      <c r="CI192" s="6"/>
      <c r="CJ192" s="6"/>
      <c r="CK192" s="6"/>
      <c r="CL192" s="6"/>
      <c r="CM192" s="6"/>
    </row>
    <row r="193" spans="1:91" s="42" customFormat="1" x14ac:dyDescent="0.25">
      <c r="A193" s="94" t="s">
        <v>297</v>
      </c>
      <c r="B193" s="79" t="s">
        <v>218</v>
      </c>
      <c r="C193" s="80">
        <v>42165</v>
      </c>
      <c r="D193" s="63"/>
      <c r="E193" s="64" t="s">
        <v>24</v>
      </c>
      <c r="F193" s="83" t="s">
        <v>30</v>
      </c>
      <c r="G193" s="84" t="s">
        <v>365</v>
      </c>
      <c r="H193" s="56" t="s">
        <v>41</v>
      </c>
      <c r="I193" s="57">
        <v>1656</v>
      </c>
      <c r="J193" s="57">
        <v>14</v>
      </c>
      <c r="K193" s="57"/>
      <c r="L193" s="57"/>
      <c r="M193" s="57"/>
      <c r="N193" s="57"/>
      <c r="O193" s="57"/>
      <c r="P193" s="57"/>
      <c r="Q193" s="57"/>
      <c r="R193" s="57"/>
      <c r="S193" s="58">
        <f t="shared" si="4"/>
        <v>1656</v>
      </c>
      <c r="T193" s="58">
        <f t="shared" si="5"/>
        <v>14</v>
      </c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  <c r="BC193" s="6"/>
      <c r="BD193" s="6"/>
      <c r="BE193" s="6"/>
      <c r="BF193" s="6"/>
      <c r="BG193" s="6"/>
      <c r="BH193" s="6"/>
      <c r="BI193" s="6"/>
      <c r="BJ193" s="6"/>
      <c r="BK193" s="6"/>
      <c r="BL193" s="6"/>
      <c r="BM193" s="6"/>
      <c r="BN193" s="6"/>
      <c r="BO193" s="6"/>
      <c r="BP193" s="6"/>
      <c r="BQ193" s="6"/>
      <c r="BR193" s="6"/>
      <c r="BS193" s="6"/>
      <c r="BT193" s="6"/>
      <c r="BU193" s="6"/>
      <c r="BV193" s="6"/>
      <c r="BW193" s="6"/>
      <c r="BX193" s="6"/>
      <c r="BY193" s="6"/>
      <c r="BZ193" s="6"/>
      <c r="CA193" s="6"/>
      <c r="CB193" s="6"/>
      <c r="CC193" s="6"/>
      <c r="CD193" s="6"/>
      <c r="CE193" s="6"/>
      <c r="CF193" s="6"/>
      <c r="CG193" s="6"/>
      <c r="CH193" s="6"/>
      <c r="CI193" s="6"/>
      <c r="CJ193" s="6"/>
      <c r="CK193" s="6"/>
      <c r="CL193" s="6"/>
      <c r="CM193" s="6"/>
    </row>
    <row r="194" spans="1:91" s="44" customFormat="1" x14ac:dyDescent="0.25">
      <c r="A194" s="94" t="s">
        <v>298</v>
      </c>
      <c r="B194" s="79" t="s">
        <v>237</v>
      </c>
      <c r="C194" s="80">
        <v>42166</v>
      </c>
      <c r="D194" s="63"/>
      <c r="E194" s="64" t="s">
        <v>361</v>
      </c>
      <c r="F194" s="64" t="s">
        <v>34</v>
      </c>
      <c r="G194" s="56" t="s">
        <v>366</v>
      </c>
      <c r="H194" s="56" t="s">
        <v>40</v>
      </c>
      <c r="I194" s="57">
        <v>1829</v>
      </c>
      <c r="J194" s="57">
        <v>13</v>
      </c>
      <c r="K194" s="57"/>
      <c r="L194" s="57"/>
      <c r="M194" s="57"/>
      <c r="N194" s="57"/>
      <c r="O194" s="57"/>
      <c r="P194" s="57"/>
      <c r="Q194" s="57"/>
      <c r="R194" s="57"/>
      <c r="S194" s="58">
        <f t="shared" si="4"/>
        <v>1829</v>
      </c>
      <c r="T194" s="58">
        <f t="shared" si="5"/>
        <v>13</v>
      </c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  <c r="BC194" s="6"/>
      <c r="BD194" s="6"/>
      <c r="BE194" s="6"/>
      <c r="BF194" s="6"/>
      <c r="BG194" s="6"/>
      <c r="BH194" s="6"/>
      <c r="BI194" s="6"/>
      <c r="BJ194" s="6"/>
      <c r="BK194" s="6"/>
      <c r="BL194" s="6"/>
      <c r="BM194" s="6"/>
      <c r="BN194" s="6"/>
      <c r="BO194" s="6"/>
      <c r="BP194" s="6"/>
      <c r="BQ194" s="6"/>
      <c r="BR194" s="6"/>
      <c r="BS194" s="6"/>
      <c r="BT194" s="6"/>
      <c r="BU194" s="6"/>
      <c r="BV194" s="6"/>
      <c r="BW194" s="6"/>
      <c r="BX194" s="6"/>
      <c r="BY194" s="6"/>
      <c r="BZ194" s="6"/>
      <c r="CA194" s="6"/>
      <c r="CB194" s="6"/>
      <c r="CC194" s="6"/>
      <c r="CD194" s="6"/>
      <c r="CE194" s="6"/>
      <c r="CF194" s="6"/>
      <c r="CG194" s="6"/>
      <c r="CH194" s="6"/>
      <c r="CI194" s="6"/>
      <c r="CJ194" s="6"/>
      <c r="CK194" s="6"/>
      <c r="CL194" s="6"/>
      <c r="CM194" s="6"/>
    </row>
    <row r="195" spans="1:91" s="44" customFormat="1" x14ac:dyDescent="0.25">
      <c r="A195" s="94" t="s">
        <v>299</v>
      </c>
      <c r="B195" s="79" t="s">
        <v>215</v>
      </c>
      <c r="C195" s="80">
        <v>42166</v>
      </c>
      <c r="D195" s="63" t="s">
        <v>20</v>
      </c>
      <c r="E195" s="64" t="s">
        <v>361</v>
      </c>
      <c r="F195" s="64" t="s">
        <v>27</v>
      </c>
      <c r="G195" s="56" t="s">
        <v>366</v>
      </c>
      <c r="H195" s="56" t="s">
        <v>41</v>
      </c>
      <c r="I195" s="57">
        <v>1930</v>
      </c>
      <c r="J195" s="57">
        <v>8</v>
      </c>
      <c r="K195" s="57"/>
      <c r="L195" s="57"/>
      <c r="M195" s="57"/>
      <c r="N195" s="57"/>
      <c r="O195" s="57"/>
      <c r="P195" s="57"/>
      <c r="Q195" s="57"/>
      <c r="R195" s="57"/>
      <c r="S195" s="58">
        <f t="shared" si="4"/>
        <v>1930</v>
      </c>
      <c r="T195" s="58">
        <f t="shared" si="5"/>
        <v>8</v>
      </c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  <c r="BC195" s="6"/>
      <c r="BD195" s="6"/>
      <c r="BE195" s="6"/>
      <c r="BF195" s="6"/>
      <c r="BG195" s="6"/>
      <c r="BH195" s="6"/>
      <c r="BI195" s="6"/>
      <c r="BJ195" s="6"/>
      <c r="BK195" s="6"/>
      <c r="BL195" s="6"/>
      <c r="BM195" s="6"/>
      <c r="BN195" s="6"/>
      <c r="BO195" s="6"/>
      <c r="BP195" s="6"/>
      <c r="BQ195" s="6"/>
      <c r="BR195" s="6"/>
      <c r="BS195" s="6"/>
      <c r="BT195" s="6"/>
      <c r="BU195" s="6"/>
      <c r="BV195" s="6"/>
      <c r="BW195" s="6"/>
      <c r="BX195" s="6"/>
      <c r="BY195" s="6"/>
      <c r="BZ195" s="6"/>
      <c r="CA195" s="6"/>
      <c r="CB195" s="6"/>
      <c r="CC195" s="6"/>
      <c r="CD195" s="6"/>
      <c r="CE195" s="6"/>
      <c r="CF195" s="6"/>
      <c r="CG195" s="6"/>
      <c r="CH195" s="6"/>
      <c r="CI195" s="6"/>
      <c r="CJ195" s="6"/>
      <c r="CK195" s="6"/>
      <c r="CL195" s="6"/>
      <c r="CM195" s="6"/>
    </row>
    <row r="196" spans="1:91" s="42" customFormat="1" x14ac:dyDescent="0.25">
      <c r="A196" s="94" t="s">
        <v>300</v>
      </c>
      <c r="B196" s="79" t="s">
        <v>230</v>
      </c>
      <c r="C196" s="80">
        <v>42170</v>
      </c>
      <c r="D196" s="63" t="s">
        <v>21</v>
      </c>
      <c r="E196" s="64" t="s">
        <v>24</v>
      </c>
      <c r="F196" s="64" t="s">
        <v>329</v>
      </c>
      <c r="G196" s="56" t="s">
        <v>366</v>
      </c>
      <c r="H196" s="56" t="s">
        <v>41</v>
      </c>
      <c r="I196" s="57">
        <v>842</v>
      </c>
      <c r="J196" s="57">
        <v>8</v>
      </c>
      <c r="K196" s="57"/>
      <c r="L196" s="57"/>
      <c r="M196" s="57"/>
      <c r="N196" s="57"/>
      <c r="O196" s="57"/>
      <c r="P196" s="57"/>
      <c r="Q196" s="57"/>
      <c r="R196" s="57"/>
      <c r="S196" s="58">
        <f t="shared" si="4"/>
        <v>842</v>
      </c>
      <c r="T196" s="58">
        <f t="shared" si="5"/>
        <v>8</v>
      </c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  <c r="BC196" s="6"/>
      <c r="BD196" s="6"/>
      <c r="BE196" s="6"/>
      <c r="BF196" s="6"/>
      <c r="BG196" s="6"/>
      <c r="BH196" s="6"/>
      <c r="BI196" s="6"/>
      <c r="BJ196" s="6"/>
      <c r="BK196" s="6"/>
      <c r="BL196" s="6"/>
      <c r="BM196" s="6"/>
      <c r="BN196" s="6"/>
      <c r="BO196" s="6"/>
      <c r="BP196" s="6"/>
      <c r="BQ196" s="6"/>
      <c r="BR196" s="6"/>
      <c r="BS196" s="6"/>
      <c r="BT196" s="6"/>
      <c r="BU196" s="6"/>
      <c r="BV196" s="6"/>
      <c r="BW196" s="6"/>
      <c r="BX196" s="6"/>
      <c r="BY196" s="6"/>
      <c r="BZ196" s="6"/>
      <c r="CA196" s="6"/>
      <c r="CB196" s="6"/>
      <c r="CC196" s="6"/>
      <c r="CD196" s="6"/>
      <c r="CE196" s="6"/>
      <c r="CF196" s="6"/>
      <c r="CG196" s="6"/>
      <c r="CH196" s="6"/>
      <c r="CI196" s="6"/>
      <c r="CJ196" s="6"/>
      <c r="CK196" s="6"/>
      <c r="CL196" s="6"/>
      <c r="CM196" s="6"/>
    </row>
    <row r="197" spans="1:91" s="42" customFormat="1" x14ac:dyDescent="0.25">
      <c r="A197" s="94" t="s">
        <v>301</v>
      </c>
      <c r="B197" s="79" t="s">
        <v>324</v>
      </c>
      <c r="C197" s="80">
        <v>42170</v>
      </c>
      <c r="D197" s="63"/>
      <c r="E197" s="64" t="s">
        <v>24</v>
      </c>
      <c r="F197" s="64" t="s">
        <v>361</v>
      </c>
      <c r="G197" s="56" t="s">
        <v>366</v>
      </c>
      <c r="H197" s="56" t="s">
        <v>41</v>
      </c>
      <c r="I197" s="57">
        <v>387</v>
      </c>
      <c r="J197" s="57">
        <v>6</v>
      </c>
      <c r="K197" s="57"/>
      <c r="L197" s="57"/>
      <c r="M197" s="57"/>
      <c r="N197" s="57"/>
      <c r="O197" s="57"/>
      <c r="P197" s="57"/>
      <c r="Q197" s="57"/>
      <c r="R197" s="57"/>
      <c r="S197" s="58">
        <f t="shared" si="4"/>
        <v>387</v>
      </c>
      <c r="T197" s="58">
        <f t="shared" si="5"/>
        <v>6</v>
      </c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  <c r="BC197" s="6"/>
      <c r="BD197" s="6"/>
      <c r="BE197" s="6"/>
      <c r="BF197" s="6"/>
      <c r="BG197" s="6"/>
      <c r="BH197" s="6"/>
      <c r="BI197" s="6"/>
      <c r="BJ197" s="6"/>
      <c r="BK197" s="6"/>
      <c r="BL197" s="6"/>
      <c r="BM197" s="6"/>
      <c r="BN197" s="6"/>
      <c r="BO197" s="6"/>
      <c r="BP197" s="6"/>
      <c r="BQ197" s="6"/>
      <c r="BR197" s="6"/>
      <c r="BS197" s="6"/>
      <c r="BT197" s="6"/>
      <c r="BU197" s="6"/>
      <c r="BV197" s="6"/>
      <c r="BW197" s="6"/>
      <c r="BX197" s="6"/>
      <c r="BY197" s="6"/>
      <c r="BZ197" s="6"/>
      <c r="CA197" s="6"/>
      <c r="CB197" s="6"/>
      <c r="CC197" s="6"/>
      <c r="CD197" s="6"/>
      <c r="CE197" s="6"/>
      <c r="CF197" s="6"/>
      <c r="CG197" s="6"/>
      <c r="CH197" s="6"/>
      <c r="CI197" s="6"/>
      <c r="CJ197" s="6"/>
      <c r="CK197" s="6"/>
      <c r="CL197" s="6"/>
      <c r="CM197" s="6"/>
    </row>
    <row r="198" spans="1:91" s="42" customFormat="1" x14ac:dyDescent="0.25">
      <c r="A198" s="96" t="s">
        <v>303</v>
      </c>
      <c r="B198" s="79" t="s">
        <v>239</v>
      </c>
      <c r="C198" s="80">
        <v>42171</v>
      </c>
      <c r="D198" s="63" t="s">
        <v>19</v>
      </c>
      <c r="E198" s="64" t="s">
        <v>22</v>
      </c>
      <c r="F198" s="64" t="s">
        <v>27</v>
      </c>
      <c r="G198" s="56" t="s">
        <v>366</v>
      </c>
      <c r="H198" s="56" t="s">
        <v>40</v>
      </c>
      <c r="I198" s="57">
        <v>1442</v>
      </c>
      <c r="J198" s="57">
        <v>14</v>
      </c>
      <c r="K198" s="57"/>
      <c r="L198" s="57"/>
      <c r="M198" s="57"/>
      <c r="N198" s="57"/>
      <c r="O198" s="57">
        <v>477</v>
      </c>
      <c r="P198" s="57">
        <v>0</v>
      </c>
      <c r="Q198" s="57"/>
      <c r="R198" s="57"/>
      <c r="S198" s="58">
        <f t="shared" si="4"/>
        <v>1919</v>
      </c>
      <c r="T198" s="58">
        <f t="shared" si="5"/>
        <v>14</v>
      </c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  <c r="BC198" s="6"/>
      <c r="BD198" s="6"/>
      <c r="BE198" s="6"/>
      <c r="BF198" s="6"/>
      <c r="BG198" s="6"/>
      <c r="BH198" s="6"/>
      <c r="BI198" s="6"/>
      <c r="BJ198" s="6"/>
      <c r="BK198" s="6"/>
      <c r="BL198" s="6"/>
      <c r="BM198" s="6"/>
      <c r="BN198" s="6"/>
      <c r="BO198" s="6"/>
      <c r="BP198" s="6"/>
      <c r="BQ198" s="6"/>
      <c r="BR198" s="6"/>
      <c r="BS198" s="6"/>
      <c r="BT198" s="6"/>
      <c r="BU198" s="6"/>
      <c r="BV198" s="6"/>
      <c r="BW198" s="6"/>
      <c r="BX198" s="6"/>
      <c r="BY198" s="6"/>
      <c r="BZ198" s="6"/>
      <c r="CA198" s="6"/>
      <c r="CB198" s="6"/>
      <c r="CC198" s="6"/>
      <c r="CD198" s="6"/>
      <c r="CE198" s="6"/>
      <c r="CF198" s="6"/>
      <c r="CG198" s="6"/>
      <c r="CH198" s="6"/>
      <c r="CI198" s="6"/>
      <c r="CJ198" s="6"/>
      <c r="CK198" s="6"/>
      <c r="CL198" s="6"/>
      <c r="CM198" s="6"/>
    </row>
    <row r="199" spans="1:91" s="46" customFormat="1" x14ac:dyDescent="0.25">
      <c r="A199" s="94" t="s">
        <v>302</v>
      </c>
      <c r="B199" s="79" t="s">
        <v>237</v>
      </c>
      <c r="C199" s="80">
        <v>42171</v>
      </c>
      <c r="D199" s="63" t="s">
        <v>20</v>
      </c>
      <c r="E199" s="64" t="s">
        <v>22</v>
      </c>
      <c r="F199" s="64" t="s">
        <v>361</v>
      </c>
      <c r="G199" s="56" t="s">
        <v>366</v>
      </c>
      <c r="H199" s="56" t="s">
        <v>40</v>
      </c>
      <c r="I199" s="57">
        <v>419</v>
      </c>
      <c r="J199" s="57">
        <v>9</v>
      </c>
      <c r="K199" s="57"/>
      <c r="L199" s="57"/>
      <c r="M199" s="57"/>
      <c r="N199" s="57"/>
      <c r="O199" s="57"/>
      <c r="P199" s="57"/>
      <c r="Q199" s="57"/>
      <c r="R199" s="57"/>
      <c r="S199" s="58">
        <f t="shared" si="4"/>
        <v>419</v>
      </c>
      <c r="T199" s="58">
        <f t="shared" si="5"/>
        <v>9</v>
      </c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  <c r="BC199" s="6"/>
      <c r="BD199" s="6"/>
      <c r="BE199" s="6"/>
      <c r="BF199" s="6"/>
      <c r="BG199" s="6"/>
      <c r="BH199" s="6"/>
      <c r="BI199" s="6"/>
      <c r="BJ199" s="6"/>
      <c r="BK199" s="6"/>
      <c r="BL199" s="6"/>
      <c r="BM199" s="6"/>
      <c r="BN199" s="6"/>
      <c r="BO199" s="6"/>
      <c r="BP199" s="6"/>
      <c r="BQ199" s="6"/>
      <c r="BR199" s="6"/>
      <c r="BS199" s="6"/>
      <c r="BT199" s="6"/>
      <c r="BU199" s="6"/>
      <c r="BV199" s="6"/>
      <c r="BW199" s="6"/>
      <c r="BX199" s="6"/>
      <c r="BY199" s="6"/>
      <c r="BZ199" s="6"/>
      <c r="CA199" s="6"/>
      <c r="CB199" s="6"/>
      <c r="CC199" s="6"/>
      <c r="CD199" s="6"/>
      <c r="CE199" s="6"/>
      <c r="CF199" s="6"/>
      <c r="CG199" s="6"/>
      <c r="CH199" s="6"/>
      <c r="CI199" s="6"/>
      <c r="CJ199" s="6"/>
      <c r="CK199" s="6"/>
      <c r="CL199" s="6"/>
      <c r="CM199" s="6"/>
    </row>
    <row r="200" spans="1:91" s="42" customFormat="1" x14ac:dyDescent="0.25">
      <c r="A200" s="94" t="s">
        <v>304</v>
      </c>
      <c r="B200" s="79" t="s">
        <v>323</v>
      </c>
      <c r="C200" s="80">
        <v>42172</v>
      </c>
      <c r="D200" s="63" t="s">
        <v>19</v>
      </c>
      <c r="E200" s="64" t="s">
        <v>24</v>
      </c>
      <c r="F200" s="64" t="s">
        <v>30</v>
      </c>
      <c r="G200" s="56" t="s">
        <v>366</v>
      </c>
      <c r="H200" s="56" t="s">
        <v>40</v>
      </c>
      <c r="I200" s="57">
        <v>1188</v>
      </c>
      <c r="J200" s="57">
        <v>5</v>
      </c>
      <c r="K200" s="57"/>
      <c r="L200" s="57"/>
      <c r="M200" s="57"/>
      <c r="N200" s="57"/>
      <c r="O200" s="57"/>
      <c r="P200" s="57"/>
      <c r="Q200" s="57"/>
      <c r="R200" s="57"/>
      <c r="S200" s="58">
        <f t="shared" ref="S200:S263" si="6">SUM(I200,K200,M200,O200)</f>
        <v>1188</v>
      </c>
      <c r="T200" s="58">
        <f t="shared" ref="T200:T263" si="7">SUM(J200,L200,N200,P200)</f>
        <v>5</v>
      </c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  <c r="BC200" s="6"/>
      <c r="BD200" s="6"/>
      <c r="BE200" s="6"/>
      <c r="BF200" s="6"/>
      <c r="BG200" s="6"/>
      <c r="BH200" s="6"/>
      <c r="BI200" s="6"/>
      <c r="BJ200" s="6"/>
      <c r="BK200" s="6"/>
      <c r="BL200" s="6"/>
      <c r="BM200" s="6"/>
      <c r="BN200" s="6"/>
      <c r="BO200" s="6"/>
      <c r="BP200" s="6"/>
      <c r="BQ200" s="6"/>
      <c r="BR200" s="6"/>
      <c r="BS200" s="6"/>
      <c r="BT200" s="6"/>
      <c r="BU200" s="6"/>
      <c r="BV200" s="6"/>
      <c r="BW200" s="6"/>
      <c r="BX200" s="6"/>
      <c r="BY200" s="6"/>
      <c r="BZ200" s="6"/>
      <c r="CA200" s="6"/>
      <c r="CB200" s="6"/>
      <c r="CC200" s="6"/>
      <c r="CD200" s="6"/>
      <c r="CE200" s="6"/>
      <c r="CF200" s="6"/>
      <c r="CG200" s="6"/>
      <c r="CH200" s="6"/>
      <c r="CI200" s="6"/>
      <c r="CJ200" s="6"/>
      <c r="CK200" s="6"/>
      <c r="CL200" s="6"/>
      <c r="CM200" s="6"/>
    </row>
    <row r="201" spans="1:91" s="42" customFormat="1" x14ac:dyDescent="0.25">
      <c r="A201" s="94" t="s">
        <v>305</v>
      </c>
      <c r="B201" s="79" t="s">
        <v>322</v>
      </c>
      <c r="C201" s="80">
        <v>42172</v>
      </c>
      <c r="D201" s="63"/>
      <c r="E201" s="64" t="s">
        <v>361</v>
      </c>
      <c r="F201" s="64" t="s">
        <v>28</v>
      </c>
      <c r="G201" s="56" t="s">
        <v>366</v>
      </c>
      <c r="H201" s="56" t="s">
        <v>41</v>
      </c>
      <c r="I201" s="57">
        <v>847</v>
      </c>
      <c r="J201" s="57">
        <v>0</v>
      </c>
      <c r="K201" s="57"/>
      <c r="L201" s="57"/>
      <c r="M201" s="57"/>
      <c r="N201" s="57"/>
      <c r="O201" s="57"/>
      <c r="P201" s="57"/>
      <c r="Q201" s="57"/>
      <c r="R201" s="57"/>
      <c r="S201" s="58">
        <f t="shared" si="6"/>
        <v>847</v>
      </c>
      <c r="T201" s="58">
        <f t="shared" si="7"/>
        <v>0</v>
      </c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  <c r="BC201" s="6"/>
      <c r="BD201" s="6"/>
      <c r="BE201" s="6"/>
      <c r="BF201" s="6"/>
      <c r="BG201" s="6"/>
      <c r="BH201" s="6"/>
      <c r="BI201" s="6"/>
      <c r="BJ201" s="6"/>
      <c r="BK201" s="6"/>
      <c r="BL201" s="6"/>
      <c r="BM201" s="6"/>
      <c r="BN201" s="6"/>
      <c r="BO201" s="6"/>
      <c r="BP201" s="6"/>
      <c r="BQ201" s="6"/>
      <c r="BR201" s="6"/>
      <c r="BS201" s="6"/>
      <c r="BT201" s="6"/>
      <c r="BU201" s="6"/>
      <c r="BV201" s="6"/>
      <c r="BW201" s="6"/>
      <c r="BX201" s="6"/>
      <c r="BY201" s="6"/>
      <c r="BZ201" s="6"/>
      <c r="CA201" s="6"/>
      <c r="CB201" s="6"/>
      <c r="CC201" s="6"/>
      <c r="CD201" s="6"/>
      <c r="CE201" s="6"/>
      <c r="CF201" s="6"/>
      <c r="CG201" s="6"/>
      <c r="CH201" s="6"/>
      <c r="CI201" s="6"/>
      <c r="CJ201" s="6"/>
      <c r="CK201" s="6"/>
      <c r="CL201" s="6"/>
      <c r="CM201" s="6"/>
    </row>
    <row r="202" spans="1:91" s="42" customFormat="1" x14ac:dyDescent="0.25">
      <c r="A202" s="94" t="s">
        <v>306</v>
      </c>
      <c r="B202" s="79" t="s">
        <v>229</v>
      </c>
      <c r="C202" s="80">
        <v>42173</v>
      </c>
      <c r="D202" s="63" t="s">
        <v>19</v>
      </c>
      <c r="E202" s="64" t="s">
        <v>24</v>
      </c>
      <c r="F202" s="64" t="s">
        <v>30</v>
      </c>
      <c r="G202" s="56" t="s">
        <v>366</v>
      </c>
      <c r="H202" s="56" t="s">
        <v>41</v>
      </c>
      <c r="I202" s="57">
        <v>1732</v>
      </c>
      <c r="J202" s="57">
        <v>5</v>
      </c>
      <c r="K202" s="57"/>
      <c r="L202" s="57"/>
      <c r="M202" s="57"/>
      <c r="N202" s="57"/>
      <c r="O202" s="57"/>
      <c r="P202" s="57"/>
      <c r="Q202" s="57"/>
      <c r="R202" s="57"/>
      <c r="S202" s="58">
        <f t="shared" si="6"/>
        <v>1732</v>
      </c>
      <c r="T202" s="58">
        <f t="shared" si="7"/>
        <v>5</v>
      </c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  <c r="BC202" s="6"/>
      <c r="BD202" s="6"/>
      <c r="BE202" s="6"/>
      <c r="BF202" s="6"/>
      <c r="BG202" s="6"/>
      <c r="BH202" s="6"/>
      <c r="BI202" s="6"/>
      <c r="BJ202" s="6"/>
      <c r="BK202" s="6"/>
      <c r="BL202" s="6"/>
      <c r="BM202" s="6"/>
      <c r="BN202" s="6"/>
      <c r="BO202" s="6"/>
      <c r="BP202" s="6"/>
      <c r="BQ202" s="6"/>
      <c r="BR202" s="6"/>
      <c r="BS202" s="6"/>
      <c r="BT202" s="6"/>
      <c r="BU202" s="6"/>
      <c r="BV202" s="6"/>
      <c r="BW202" s="6"/>
      <c r="BX202" s="6"/>
      <c r="BY202" s="6"/>
      <c r="BZ202" s="6"/>
      <c r="CA202" s="6"/>
      <c r="CB202" s="6"/>
      <c r="CC202" s="6"/>
      <c r="CD202" s="6"/>
      <c r="CE202" s="6"/>
      <c r="CF202" s="6"/>
      <c r="CG202" s="6"/>
      <c r="CH202" s="6"/>
      <c r="CI202" s="6"/>
      <c r="CJ202" s="6"/>
      <c r="CK202" s="6"/>
      <c r="CL202" s="6"/>
      <c r="CM202" s="6"/>
    </row>
    <row r="203" spans="1:91" s="42" customFormat="1" x14ac:dyDescent="0.25">
      <c r="A203" s="94" t="s">
        <v>307</v>
      </c>
      <c r="B203" s="79" t="s">
        <v>218</v>
      </c>
      <c r="C203" s="80">
        <v>42177</v>
      </c>
      <c r="D203" s="63"/>
      <c r="E203" s="64" t="s">
        <v>361</v>
      </c>
      <c r="F203" s="64" t="s">
        <v>361</v>
      </c>
      <c r="G203" s="56" t="s">
        <v>366</v>
      </c>
      <c r="H203" s="56" t="s">
        <v>41</v>
      </c>
      <c r="I203" s="57">
        <v>835</v>
      </c>
      <c r="J203" s="57">
        <v>13</v>
      </c>
      <c r="K203" s="57"/>
      <c r="L203" s="57"/>
      <c r="M203" s="57"/>
      <c r="N203" s="57"/>
      <c r="O203" s="57"/>
      <c r="P203" s="57"/>
      <c r="Q203" s="57"/>
      <c r="R203" s="57"/>
      <c r="S203" s="58">
        <f t="shared" si="6"/>
        <v>835</v>
      </c>
      <c r="T203" s="58">
        <f t="shared" si="7"/>
        <v>13</v>
      </c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  <c r="BC203" s="6"/>
      <c r="BD203" s="6"/>
      <c r="BE203" s="6"/>
      <c r="BF203" s="6"/>
      <c r="BG203" s="6"/>
      <c r="BH203" s="6"/>
      <c r="BI203" s="6"/>
      <c r="BJ203" s="6"/>
      <c r="BK203" s="6"/>
      <c r="BL203" s="6"/>
      <c r="BM203" s="6"/>
      <c r="BN203" s="6"/>
      <c r="BO203" s="6"/>
      <c r="BP203" s="6"/>
      <c r="BQ203" s="6"/>
      <c r="BR203" s="6"/>
      <c r="BS203" s="6"/>
      <c r="BT203" s="6"/>
      <c r="BU203" s="6"/>
      <c r="BV203" s="6"/>
      <c r="BW203" s="6"/>
      <c r="BX203" s="6"/>
      <c r="BY203" s="6"/>
      <c r="BZ203" s="6"/>
      <c r="CA203" s="6"/>
      <c r="CB203" s="6"/>
      <c r="CC203" s="6"/>
      <c r="CD203" s="6"/>
      <c r="CE203" s="6"/>
      <c r="CF203" s="6"/>
      <c r="CG203" s="6"/>
      <c r="CH203" s="6"/>
      <c r="CI203" s="6"/>
      <c r="CJ203" s="6"/>
      <c r="CK203" s="6"/>
      <c r="CL203" s="6"/>
      <c r="CM203" s="6"/>
    </row>
    <row r="204" spans="1:91" s="42" customFormat="1" x14ac:dyDescent="0.25">
      <c r="A204" s="94" t="s">
        <v>308</v>
      </c>
      <c r="B204" s="79" t="s">
        <v>221</v>
      </c>
      <c r="C204" s="80">
        <v>42178</v>
      </c>
      <c r="D204" s="63"/>
      <c r="E204" s="64" t="s">
        <v>361</v>
      </c>
      <c r="F204" s="64" t="s">
        <v>31</v>
      </c>
      <c r="G204" s="56" t="s">
        <v>366</v>
      </c>
      <c r="H204" s="56" t="s">
        <v>41</v>
      </c>
      <c r="I204" s="57">
        <v>678</v>
      </c>
      <c r="J204" s="57">
        <v>4</v>
      </c>
      <c r="K204" s="57"/>
      <c r="L204" s="57"/>
      <c r="M204" s="57"/>
      <c r="N204" s="57"/>
      <c r="O204" s="57"/>
      <c r="P204" s="57"/>
      <c r="Q204" s="57"/>
      <c r="R204" s="57"/>
      <c r="S204" s="58">
        <f t="shared" si="6"/>
        <v>678</v>
      </c>
      <c r="T204" s="58">
        <f t="shared" si="7"/>
        <v>4</v>
      </c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  <c r="BC204" s="6"/>
      <c r="BD204" s="6"/>
      <c r="BE204" s="6"/>
      <c r="BF204" s="6"/>
      <c r="BG204" s="6"/>
      <c r="BH204" s="6"/>
      <c r="BI204" s="6"/>
      <c r="BJ204" s="6"/>
      <c r="BK204" s="6"/>
      <c r="BL204" s="6"/>
      <c r="BM204" s="6"/>
      <c r="BN204" s="6"/>
      <c r="BO204" s="6"/>
      <c r="BP204" s="6"/>
      <c r="BQ204" s="6"/>
      <c r="BR204" s="6"/>
      <c r="BS204" s="6"/>
      <c r="BT204" s="6"/>
      <c r="BU204" s="6"/>
      <c r="BV204" s="6"/>
      <c r="BW204" s="6"/>
      <c r="BX204" s="6"/>
      <c r="BY204" s="6"/>
      <c r="BZ204" s="6"/>
      <c r="CA204" s="6"/>
      <c r="CB204" s="6"/>
      <c r="CC204" s="6"/>
      <c r="CD204" s="6"/>
      <c r="CE204" s="6"/>
      <c r="CF204" s="6"/>
      <c r="CG204" s="6"/>
      <c r="CH204" s="6"/>
      <c r="CI204" s="6"/>
      <c r="CJ204" s="6"/>
      <c r="CK204" s="6"/>
      <c r="CL204" s="6"/>
      <c r="CM204" s="6"/>
    </row>
    <row r="205" spans="1:91" s="42" customFormat="1" x14ac:dyDescent="0.25">
      <c r="A205" s="94" t="s">
        <v>309</v>
      </c>
      <c r="B205" s="79" t="s">
        <v>230</v>
      </c>
      <c r="C205" s="80">
        <v>42179</v>
      </c>
      <c r="D205" s="63" t="s">
        <v>19</v>
      </c>
      <c r="E205" s="64" t="s">
        <v>361</v>
      </c>
      <c r="F205" s="64" t="s">
        <v>27</v>
      </c>
      <c r="G205" s="56" t="s">
        <v>366</v>
      </c>
      <c r="H205" s="56" t="s">
        <v>41</v>
      </c>
      <c r="I205" s="57">
        <v>2043</v>
      </c>
      <c r="J205" s="57">
        <v>22</v>
      </c>
      <c r="K205" s="57"/>
      <c r="L205" s="57"/>
      <c r="M205" s="57"/>
      <c r="N205" s="57"/>
      <c r="O205" s="57"/>
      <c r="P205" s="57"/>
      <c r="Q205" s="57"/>
      <c r="R205" s="57"/>
      <c r="S205" s="58">
        <f t="shared" si="6"/>
        <v>2043</v>
      </c>
      <c r="T205" s="58">
        <f t="shared" si="7"/>
        <v>22</v>
      </c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  <c r="BC205" s="6"/>
      <c r="BD205" s="6"/>
      <c r="BE205" s="6"/>
      <c r="BF205" s="6"/>
      <c r="BG205" s="6"/>
      <c r="BH205" s="6"/>
      <c r="BI205" s="6"/>
      <c r="BJ205" s="6"/>
      <c r="BK205" s="6"/>
      <c r="BL205" s="6"/>
      <c r="BM205" s="6"/>
      <c r="BN205" s="6"/>
      <c r="BO205" s="6"/>
      <c r="BP205" s="6"/>
      <c r="BQ205" s="6"/>
      <c r="BR205" s="6"/>
      <c r="BS205" s="6"/>
      <c r="BT205" s="6"/>
      <c r="BU205" s="6"/>
      <c r="BV205" s="6"/>
      <c r="BW205" s="6"/>
      <c r="BX205" s="6"/>
      <c r="BY205" s="6"/>
      <c r="BZ205" s="6"/>
      <c r="CA205" s="6"/>
      <c r="CB205" s="6"/>
      <c r="CC205" s="6"/>
      <c r="CD205" s="6"/>
      <c r="CE205" s="6"/>
      <c r="CF205" s="6"/>
      <c r="CG205" s="6"/>
      <c r="CH205" s="6"/>
      <c r="CI205" s="6"/>
      <c r="CJ205" s="6"/>
      <c r="CK205" s="6"/>
      <c r="CL205" s="6"/>
      <c r="CM205" s="6"/>
    </row>
    <row r="206" spans="1:91" s="42" customFormat="1" x14ac:dyDescent="0.25">
      <c r="A206" s="94" t="s">
        <v>311</v>
      </c>
      <c r="B206" s="79" t="s">
        <v>228</v>
      </c>
      <c r="C206" s="80">
        <v>42179</v>
      </c>
      <c r="D206" s="63" t="s">
        <v>19</v>
      </c>
      <c r="E206" s="64" t="s">
        <v>361</v>
      </c>
      <c r="F206" s="64" t="s">
        <v>27</v>
      </c>
      <c r="G206" s="56" t="s">
        <v>366</v>
      </c>
      <c r="H206" s="56" t="s">
        <v>40</v>
      </c>
      <c r="I206" s="57">
        <v>1496</v>
      </c>
      <c r="J206" s="57">
        <v>3</v>
      </c>
      <c r="K206" s="57"/>
      <c r="L206" s="57"/>
      <c r="M206" s="57"/>
      <c r="N206" s="57"/>
      <c r="O206" s="57"/>
      <c r="P206" s="57"/>
      <c r="Q206" s="57"/>
      <c r="R206" s="57"/>
      <c r="S206" s="58">
        <f t="shared" si="6"/>
        <v>1496</v>
      </c>
      <c r="T206" s="58">
        <f t="shared" si="7"/>
        <v>3</v>
      </c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  <c r="BC206" s="6"/>
      <c r="BD206" s="6"/>
      <c r="BE206" s="6"/>
      <c r="BF206" s="6"/>
      <c r="BG206" s="6"/>
      <c r="BH206" s="6"/>
      <c r="BI206" s="6"/>
      <c r="BJ206" s="6"/>
      <c r="BK206" s="6"/>
      <c r="BL206" s="6"/>
      <c r="BM206" s="6"/>
      <c r="BN206" s="6"/>
      <c r="BO206" s="6"/>
      <c r="BP206" s="6"/>
      <c r="BQ206" s="6"/>
      <c r="BR206" s="6"/>
      <c r="BS206" s="6"/>
      <c r="BT206" s="6"/>
      <c r="BU206" s="6"/>
      <c r="BV206" s="6"/>
      <c r="BW206" s="6"/>
      <c r="BX206" s="6"/>
      <c r="BY206" s="6"/>
      <c r="BZ206" s="6"/>
      <c r="CA206" s="6"/>
      <c r="CB206" s="6"/>
      <c r="CC206" s="6"/>
      <c r="CD206" s="6"/>
      <c r="CE206" s="6"/>
      <c r="CF206" s="6"/>
      <c r="CG206" s="6"/>
      <c r="CH206" s="6"/>
      <c r="CI206" s="6"/>
      <c r="CJ206" s="6"/>
      <c r="CK206" s="6"/>
      <c r="CL206" s="6"/>
      <c r="CM206" s="6"/>
    </row>
    <row r="207" spans="1:91" s="46" customFormat="1" x14ac:dyDescent="0.25">
      <c r="A207" s="94" t="s">
        <v>310</v>
      </c>
      <c r="B207" s="79" t="s">
        <v>218</v>
      </c>
      <c r="C207" s="80">
        <v>42179</v>
      </c>
      <c r="D207" s="63" t="s">
        <v>19</v>
      </c>
      <c r="E207" s="64" t="s">
        <v>24</v>
      </c>
      <c r="F207" s="83" t="s">
        <v>381</v>
      </c>
      <c r="G207" s="84" t="s">
        <v>365</v>
      </c>
      <c r="H207" s="56" t="s">
        <v>40</v>
      </c>
      <c r="I207" s="57">
        <v>411</v>
      </c>
      <c r="J207" s="57">
        <v>1</v>
      </c>
      <c r="K207" s="57"/>
      <c r="L207" s="57"/>
      <c r="M207" s="57">
        <v>133</v>
      </c>
      <c r="N207" s="57">
        <v>0</v>
      </c>
      <c r="O207" s="57"/>
      <c r="P207" s="57"/>
      <c r="Q207" s="57"/>
      <c r="R207" s="57"/>
      <c r="S207" s="58">
        <f t="shared" si="6"/>
        <v>544</v>
      </c>
      <c r="T207" s="58">
        <f t="shared" si="7"/>
        <v>1</v>
      </c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  <c r="BC207" s="6"/>
      <c r="BD207" s="6"/>
      <c r="BE207" s="6"/>
      <c r="BF207" s="6"/>
      <c r="BG207" s="6"/>
      <c r="BH207" s="6"/>
      <c r="BI207" s="6"/>
      <c r="BJ207" s="6"/>
      <c r="BK207" s="6"/>
      <c r="BL207" s="6"/>
      <c r="BM207" s="6"/>
      <c r="BN207" s="6"/>
      <c r="BO207" s="6"/>
      <c r="BP207" s="6"/>
      <c r="BQ207" s="6"/>
      <c r="BR207" s="6"/>
      <c r="BS207" s="6"/>
      <c r="BT207" s="6"/>
      <c r="BU207" s="6"/>
      <c r="BV207" s="6"/>
      <c r="BW207" s="6"/>
      <c r="BX207" s="6"/>
      <c r="BY207" s="6"/>
      <c r="BZ207" s="6"/>
      <c r="CA207" s="6"/>
      <c r="CB207" s="6"/>
      <c r="CC207" s="6"/>
      <c r="CD207" s="6"/>
      <c r="CE207" s="6"/>
      <c r="CF207" s="6"/>
      <c r="CG207" s="6"/>
      <c r="CH207" s="6"/>
      <c r="CI207" s="6"/>
      <c r="CJ207" s="6"/>
      <c r="CK207" s="6"/>
      <c r="CL207" s="6"/>
      <c r="CM207" s="6"/>
    </row>
    <row r="208" spans="1:91" s="42" customFormat="1" x14ac:dyDescent="0.25">
      <c r="A208" s="94" t="s">
        <v>312</v>
      </c>
      <c r="B208" s="79" t="s">
        <v>321</v>
      </c>
      <c r="C208" s="80">
        <v>42180</v>
      </c>
      <c r="D208" s="63" t="s">
        <v>19</v>
      </c>
      <c r="E208" s="64" t="s">
        <v>25</v>
      </c>
      <c r="F208" s="64" t="s">
        <v>30</v>
      </c>
      <c r="G208" s="56" t="s">
        <v>366</v>
      </c>
      <c r="H208" s="56" t="s">
        <v>41</v>
      </c>
      <c r="I208" s="57">
        <v>410</v>
      </c>
      <c r="J208" s="57">
        <v>3</v>
      </c>
      <c r="K208" s="57"/>
      <c r="L208" s="57"/>
      <c r="M208" s="57"/>
      <c r="N208" s="57"/>
      <c r="O208" s="57"/>
      <c r="P208" s="57"/>
      <c r="Q208" s="57"/>
      <c r="R208" s="57"/>
      <c r="S208" s="58">
        <f t="shared" si="6"/>
        <v>410</v>
      </c>
      <c r="T208" s="58">
        <f t="shared" si="7"/>
        <v>3</v>
      </c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  <c r="BC208" s="6"/>
      <c r="BD208" s="6"/>
      <c r="BE208" s="6"/>
      <c r="BF208" s="6"/>
      <c r="BG208" s="6"/>
      <c r="BH208" s="6"/>
      <c r="BI208" s="6"/>
      <c r="BJ208" s="6"/>
      <c r="BK208" s="6"/>
      <c r="BL208" s="6"/>
      <c r="BM208" s="6"/>
      <c r="BN208" s="6"/>
      <c r="BO208" s="6"/>
      <c r="BP208" s="6"/>
      <c r="BQ208" s="6"/>
      <c r="BR208" s="6"/>
      <c r="BS208" s="6"/>
      <c r="BT208" s="6"/>
      <c r="BU208" s="6"/>
      <c r="BV208" s="6"/>
      <c r="BW208" s="6"/>
      <c r="BX208" s="6"/>
      <c r="BY208" s="6"/>
      <c r="BZ208" s="6"/>
      <c r="CA208" s="6"/>
      <c r="CB208" s="6"/>
      <c r="CC208" s="6"/>
      <c r="CD208" s="6"/>
      <c r="CE208" s="6"/>
      <c r="CF208" s="6"/>
      <c r="CG208" s="6"/>
      <c r="CH208" s="6"/>
      <c r="CI208" s="6"/>
      <c r="CJ208" s="6"/>
      <c r="CK208" s="6"/>
      <c r="CL208" s="6"/>
      <c r="CM208" s="6"/>
    </row>
    <row r="209" spans="1:91" s="42" customFormat="1" x14ac:dyDescent="0.25">
      <c r="A209" s="94" t="s">
        <v>313</v>
      </c>
      <c r="B209" s="79" t="s">
        <v>320</v>
      </c>
      <c r="C209" s="80">
        <v>42180</v>
      </c>
      <c r="D209" s="63"/>
      <c r="E209" s="64" t="s">
        <v>24</v>
      </c>
      <c r="F209" s="64" t="s">
        <v>30</v>
      </c>
      <c r="G209" s="56" t="s">
        <v>365</v>
      </c>
      <c r="H209" s="56" t="s">
        <v>41</v>
      </c>
      <c r="I209" s="57">
        <v>326</v>
      </c>
      <c r="J209" s="57">
        <v>1</v>
      </c>
      <c r="K209" s="57"/>
      <c r="L209" s="57"/>
      <c r="M209" s="57"/>
      <c r="N209" s="57"/>
      <c r="O209" s="57"/>
      <c r="P209" s="57"/>
      <c r="Q209" s="57"/>
      <c r="R209" s="57"/>
      <c r="S209" s="58">
        <f t="shared" si="6"/>
        <v>326</v>
      </c>
      <c r="T209" s="58">
        <f t="shared" si="7"/>
        <v>1</v>
      </c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  <c r="BC209" s="6"/>
      <c r="BD209" s="6"/>
      <c r="BE209" s="6"/>
      <c r="BF209" s="6"/>
      <c r="BG209" s="6"/>
      <c r="BH209" s="6"/>
      <c r="BI209" s="6"/>
      <c r="BJ209" s="6"/>
      <c r="BK209" s="6"/>
      <c r="BL209" s="6"/>
      <c r="BM209" s="6"/>
      <c r="BN209" s="6"/>
      <c r="BO209" s="6"/>
      <c r="BP209" s="6"/>
      <c r="BQ209" s="6"/>
      <c r="BR209" s="6"/>
      <c r="BS209" s="6"/>
      <c r="BT209" s="6"/>
      <c r="BU209" s="6"/>
      <c r="BV209" s="6"/>
      <c r="BW209" s="6"/>
      <c r="BX209" s="6"/>
      <c r="BY209" s="6"/>
      <c r="BZ209" s="6"/>
      <c r="CA209" s="6"/>
      <c r="CB209" s="6"/>
      <c r="CC209" s="6"/>
      <c r="CD209" s="6"/>
      <c r="CE209" s="6"/>
      <c r="CF209" s="6"/>
      <c r="CG209" s="6"/>
      <c r="CH209" s="6"/>
      <c r="CI209" s="6"/>
      <c r="CJ209" s="6"/>
      <c r="CK209" s="6"/>
      <c r="CL209" s="6"/>
      <c r="CM209" s="6"/>
    </row>
    <row r="210" spans="1:91" s="42" customFormat="1" x14ac:dyDescent="0.25">
      <c r="A210" s="94" t="s">
        <v>314</v>
      </c>
      <c r="B210" s="79" t="s">
        <v>252</v>
      </c>
      <c r="C210" s="80">
        <v>42181</v>
      </c>
      <c r="D210" s="63" t="s">
        <v>19</v>
      </c>
      <c r="E210" s="64" t="s">
        <v>361</v>
      </c>
      <c r="F210" s="64" t="s">
        <v>27</v>
      </c>
      <c r="G210" s="56" t="s">
        <v>366</v>
      </c>
      <c r="H210" s="56" t="s">
        <v>41</v>
      </c>
      <c r="I210" s="57">
        <v>1450</v>
      </c>
      <c r="J210" s="57">
        <v>23</v>
      </c>
      <c r="K210" s="57"/>
      <c r="L210" s="57"/>
      <c r="M210" s="57"/>
      <c r="N210" s="57"/>
      <c r="O210" s="57"/>
      <c r="P210" s="57"/>
      <c r="Q210" s="57"/>
      <c r="R210" s="57"/>
      <c r="S210" s="58">
        <f t="shared" si="6"/>
        <v>1450</v>
      </c>
      <c r="T210" s="58">
        <f t="shared" si="7"/>
        <v>23</v>
      </c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  <c r="BC210" s="6"/>
      <c r="BD210" s="6"/>
      <c r="BE210" s="6"/>
      <c r="BF210" s="6"/>
      <c r="BG210" s="6"/>
      <c r="BH210" s="6"/>
      <c r="BI210" s="6"/>
      <c r="BJ210" s="6"/>
      <c r="BK210" s="6"/>
      <c r="BL210" s="6"/>
      <c r="BM210" s="6"/>
      <c r="BN210" s="6"/>
      <c r="BO210" s="6"/>
      <c r="BP210" s="6"/>
      <c r="BQ210" s="6"/>
      <c r="BR210" s="6"/>
      <c r="BS210" s="6"/>
      <c r="BT210" s="6"/>
      <c r="BU210" s="6"/>
      <c r="BV210" s="6"/>
      <c r="BW210" s="6"/>
      <c r="BX210" s="6"/>
      <c r="BY210" s="6"/>
      <c r="BZ210" s="6"/>
      <c r="CA210" s="6"/>
      <c r="CB210" s="6"/>
      <c r="CC210" s="6"/>
      <c r="CD210" s="6"/>
      <c r="CE210" s="6"/>
      <c r="CF210" s="6"/>
      <c r="CG210" s="6"/>
      <c r="CH210" s="6"/>
      <c r="CI210" s="6"/>
      <c r="CJ210" s="6"/>
      <c r="CK210" s="6"/>
      <c r="CL210" s="6"/>
      <c r="CM210" s="6"/>
    </row>
    <row r="211" spans="1:91" s="42" customFormat="1" x14ac:dyDescent="0.25">
      <c r="A211" s="94" t="s">
        <v>315</v>
      </c>
      <c r="B211" s="79" t="s">
        <v>319</v>
      </c>
      <c r="C211" s="80">
        <v>42181</v>
      </c>
      <c r="D211" s="63"/>
      <c r="E211" s="64" t="s">
        <v>361</v>
      </c>
      <c r="F211" s="64" t="s">
        <v>29</v>
      </c>
      <c r="G211" s="56" t="s">
        <v>366</v>
      </c>
      <c r="H211" s="56" t="s">
        <v>37</v>
      </c>
      <c r="I211" s="57">
        <v>931</v>
      </c>
      <c r="J211" s="57">
        <v>3</v>
      </c>
      <c r="K211" s="57"/>
      <c r="L211" s="57"/>
      <c r="M211" s="57"/>
      <c r="N211" s="57"/>
      <c r="O211" s="57"/>
      <c r="P211" s="57"/>
      <c r="Q211" s="57"/>
      <c r="R211" s="57"/>
      <c r="S211" s="58">
        <f t="shared" si="6"/>
        <v>931</v>
      </c>
      <c r="T211" s="58">
        <f t="shared" si="7"/>
        <v>3</v>
      </c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  <c r="BC211" s="6"/>
      <c r="BD211" s="6"/>
      <c r="BE211" s="6"/>
      <c r="BF211" s="6"/>
      <c r="BG211" s="6"/>
      <c r="BH211" s="6"/>
      <c r="BI211" s="6"/>
      <c r="BJ211" s="6"/>
      <c r="BK211" s="6"/>
      <c r="BL211" s="6"/>
      <c r="BM211" s="6"/>
      <c r="BN211" s="6"/>
      <c r="BO211" s="6"/>
      <c r="BP211" s="6"/>
      <c r="BQ211" s="6"/>
      <c r="BR211" s="6"/>
      <c r="BS211" s="6"/>
      <c r="BT211" s="6"/>
      <c r="BU211" s="6"/>
      <c r="BV211" s="6"/>
      <c r="BW211" s="6"/>
      <c r="BX211" s="6"/>
      <c r="BY211" s="6"/>
      <c r="BZ211" s="6"/>
      <c r="CA211" s="6"/>
      <c r="CB211" s="6"/>
      <c r="CC211" s="6"/>
      <c r="CD211" s="6"/>
      <c r="CE211" s="6"/>
      <c r="CF211" s="6"/>
      <c r="CG211" s="6"/>
      <c r="CH211" s="6"/>
      <c r="CI211" s="6"/>
      <c r="CJ211" s="6"/>
      <c r="CK211" s="6"/>
      <c r="CL211" s="6"/>
      <c r="CM211" s="6"/>
    </row>
    <row r="212" spans="1:91" s="42" customFormat="1" ht="30" x14ac:dyDescent="0.25">
      <c r="A212" s="96" t="s">
        <v>316</v>
      </c>
      <c r="B212" s="79" t="s">
        <v>239</v>
      </c>
      <c r="C212" s="80">
        <v>42181</v>
      </c>
      <c r="D212" s="63" t="s">
        <v>274</v>
      </c>
      <c r="E212" s="64" t="s">
        <v>24</v>
      </c>
      <c r="F212" s="64" t="s">
        <v>329</v>
      </c>
      <c r="G212" s="56" t="s">
        <v>365</v>
      </c>
      <c r="H212" s="56" t="s">
        <v>41</v>
      </c>
      <c r="I212" s="57">
        <v>1423</v>
      </c>
      <c r="J212" s="57">
        <v>3</v>
      </c>
      <c r="K212" s="57"/>
      <c r="L212" s="57"/>
      <c r="M212" s="57"/>
      <c r="N212" s="57"/>
      <c r="O212" s="57">
        <v>425</v>
      </c>
      <c r="P212" s="57">
        <v>0</v>
      </c>
      <c r="Q212" s="57"/>
      <c r="R212" s="57"/>
      <c r="S212" s="58">
        <f t="shared" si="6"/>
        <v>1848</v>
      </c>
      <c r="T212" s="58">
        <f t="shared" si="7"/>
        <v>3</v>
      </c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  <c r="BC212" s="6"/>
      <c r="BD212" s="6"/>
      <c r="BE212" s="6"/>
      <c r="BF212" s="6"/>
      <c r="BG212" s="6"/>
      <c r="BH212" s="6"/>
      <c r="BI212" s="6"/>
      <c r="BJ212" s="6"/>
      <c r="BK212" s="6"/>
      <c r="BL212" s="6"/>
      <c r="BM212" s="6"/>
      <c r="BN212" s="6"/>
      <c r="BO212" s="6"/>
      <c r="BP212" s="6"/>
      <c r="BQ212" s="6"/>
      <c r="BR212" s="6"/>
      <c r="BS212" s="6"/>
      <c r="BT212" s="6"/>
      <c r="BU212" s="6"/>
      <c r="BV212" s="6"/>
      <c r="BW212" s="6"/>
      <c r="BX212" s="6"/>
      <c r="BY212" s="6"/>
      <c r="BZ212" s="6"/>
      <c r="CA212" s="6"/>
      <c r="CB212" s="6"/>
      <c r="CC212" s="6"/>
      <c r="CD212" s="6"/>
      <c r="CE212" s="6"/>
      <c r="CF212" s="6"/>
      <c r="CG212" s="6"/>
      <c r="CH212" s="6"/>
      <c r="CI212" s="6"/>
      <c r="CJ212" s="6"/>
      <c r="CK212" s="6"/>
      <c r="CL212" s="6"/>
      <c r="CM212" s="6"/>
    </row>
    <row r="213" spans="1:91" s="42" customFormat="1" x14ac:dyDescent="0.25">
      <c r="A213" s="94" t="s">
        <v>317</v>
      </c>
      <c r="B213" s="79" t="s">
        <v>318</v>
      </c>
      <c r="C213" s="80">
        <v>42184</v>
      </c>
      <c r="D213" s="63"/>
      <c r="E213" s="64" t="s">
        <v>22</v>
      </c>
      <c r="F213" s="64" t="s">
        <v>361</v>
      </c>
      <c r="G213" s="56" t="s">
        <v>366</v>
      </c>
      <c r="H213" s="56" t="s">
        <v>40</v>
      </c>
      <c r="I213" s="57">
        <v>395</v>
      </c>
      <c r="J213" s="57">
        <v>4</v>
      </c>
      <c r="K213" s="57"/>
      <c r="L213" s="57"/>
      <c r="M213" s="57"/>
      <c r="N213" s="57"/>
      <c r="O213" s="57"/>
      <c r="P213" s="57"/>
      <c r="Q213" s="57"/>
      <c r="R213" s="57"/>
      <c r="S213" s="58">
        <f t="shared" si="6"/>
        <v>395</v>
      </c>
      <c r="T213" s="58">
        <f t="shared" si="7"/>
        <v>4</v>
      </c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  <c r="BC213" s="6"/>
      <c r="BD213" s="6"/>
      <c r="BE213" s="6"/>
      <c r="BF213" s="6"/>
      <c r="BG213" s="6"/>
      <c r="BH213" s="6"/>
      <c r="BI213" s="6"/>
      <c r="BJ213" s="6"/>
      <c r="BK213" s="6"/>
      <c r="BL213" s="6"/>
      <c r="BM213" s="6"/>
      <c r="BN213" s="6"/>
      <c r="BO213" s="6"/>
      <c r="BP213" s="6"/>
      <c r="BQ213" s="6"/>
      <c r="BR213" s="6"/>
      <c r="BS213" s="6"/>
      <c r="BT213" s="6"/>
      <c r="BU213" s="6"/>
      <c r="BV213" s="6"/>
      <c r="BW213" s="6"/>
      <c r="BX213" s="6"/>
      <c r="BY213" s="6"/>
      <c r="BZ213" s="6"/>
      <c r="CA213" s="6"/>
      <c r="CB213" s="6"/>
      <c r="CC213" s="6"/>
      <c r="CD213" s="6"/>
      <c r="CE213" s="6"/>
      <c r="CF213" s="6"/>
      <c r="CG213" s="6"/>
      <c r="CH213" s="6"/>
      <c r="CI213" s="6"/>
      <c r="CJ213" s="6"/>
      <c r="CK213" s="6"/>
      <c r="CL213" s="6"/>
      <c r="CM213" s="6"/>
    </row>
    <row r="214" spans="1:91" x14ac:dyDescent="0.25">
      <c r="A214" s="47" t="s">
        <v>389</v>
      </c>
      <c r="B214" s="12" t="s">
        <v>239</v>
      </c>
      <c r="C214" s="17">
        <v>42186</v>
      </c>
      <c r="D214" s="10" t="s">
        <v>19</v>
      </c>
      <c r="E214" s="11" t="s">
        <v>361</v>
      </c>
      <c r="F214" s="11" t="s">
        <v>27</v>
      </c>
      <c r="G214" s="13" t="s">
        <v>366</v>
      </c>
      <c r="H214" s="13" t="s">
        <v>36</v>
      </c>
      <c r="I214" s="60">
        <v>4318</v>
      </c>
      <c r="J214" s="60">
        <v>97</v>
      </c>
      <c r="K214" s="65">
        <v>7986</v>
      </c>
      <c r="L214" s="65">
        <v>1</v>
      </c>
      <c r="M214" s="65">
        <v>330</v>
      </c>
      <c r="N214" s="65">
        <v>0</v>
      </c>
      <c r="O214" s="65">
        <v>2278</v>
      </c>
      <c r="P214" s="65">
        <v>6</v>
      </c>
      <c r="Q214" s="4"/>
      <c r="R214" s="4"/>
      <c r="S214" s="23">
        <f t="shared" si="6"/>
        <v>14912</v>
      </c>
      <c r="T214" s="23">
        <f t="shared" si="7"/>
        <v>104</v>
      </c>
    </row>
    <row r="215" spans="1:91" s="42" customFormat="1" x14ac:dyDescent="0.25">
      <c r="A215" s="47" t="s">
        <v>390</v>
      </c>
      <c r="B215" s="12" t="s">
        <v>215</v>
      </c>
      <c r="C215" s="17">
        <v>42187</v>
      </c>
      <c r="D215" s="10"/>
      <c r="E215" s="11" t="s">
        <v>361</v>
      </c>
      <c r="F215" s="11" t="s">
        <v>27</v>
      </c>
      <c r="G215" s="13" t="s">
        <v>366</v>
      </c>
      <c r="H215" s="13" t="s">
        <v>41</v>
      </c>
      <c r="I215" s="65">
        <v>1327</v>
      </c>
      <c r="J215" s="65">
        <v>18</v>
      </c>
      <c r="K215" s="65" t="s">
        <v>486</v>
      </c>
      <c r="L215" s="65" t="s">
        <v>486</v>
      </c>
      <c r="M215" s="65" t="s">
        <v>486</v>
      </c>
      <c r="N215" s="65" t="s">
        <v>486</v>
      </c>
      <c r="O215" s="65" t="s">
        <v>486</v>
      </c>
      <c r="P215" s="65" t="s">
        <v>486</v>
      </c>
      <c r="Q215" s="4"/>
      <c r="R215" s="4"/>
      <c r="S215" s="23">
        <f t="shared" si="6"/>
        <v>1327</v>
      </c>
      <c r="T215" s="23">
        <f t="shared" si="7"/>
        <v>18</v>
      </c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  <c r="BC215" s="6"/>
      <c r="BD215" s="6"/>
      <c r="BE215" s="6"/>
      <c r="BF215" s="6"/>
      <c r="BG215" s="6"/>
      <c r="BH215" s="6"/>
      <c r="BI215" s="6"/>
      <c r="BJ215" s="6"/>
      <c r="BK215" s="6"/>
      <c r="BL215" s="6"/>
      <c r="BM215" s="6"/>
      <c r="BN215" s="6"/>
      <c r="BO215" s="6"/>
      <c r="BP215" s="6"/>
      <c r="BQ215" s="6"/>
      <c r="BR215" s="6"/>
      <c r="BS215" s="6"/>
      <c r="BT215" s="6"/>
      <c r="BU215" s="6"/>
      <c r="BV215" s="6"/>
      <c r="BW215" s="6"/>
      <c r="BX215" s="6"/>
      <c r="BY215" s="6"/>
      <c r="BZ215" s="6"/>
      <c r="CA215" s="6"/>
      <c r="CB215" s="6"/>
      <c r="CC215" s="6"/>
      <c r="CD215" s="6"/>
      <c r="CE215" s="6"/>
      <c r="CF215" s="6"/>
      <c r="CG215" s="6"/>
      <c r="CH215" s="6"/>
      <c r="CI215" s="6"/>
      <c r="CJ215" s="6"/>
      <c r="CK215" s="6"/>
      <c r="CL215" s="6"/>
      <c r="CM215" s="6"/>
    </row>
    <row r="216" spans="1:91" x14ac:dyDescent="0.25">
      <c r="A216" s="61" t="s">
        <v>391</v>
      </c>
      <c r="B216" s="55" t="s">
        <v>249</v>
      </c>
      <c r="C216" s="62">
        <v>42187</v>
      </c>
      <c r="D216" s="63" t="s">
        <v>19</v>
      </c>
      <c r="E216" s="64" t="s">
        <v>24</v>
      </c>
      <c r="F216" s="64" t="s">
        <v>329</v>
      </c>
      <c r="G216" s="56" t="s">
        <v>366</v>
      </c>
      <c r="H216" s="56" t="s">
        <v>40</v>
      </c>
      <c r="I216" s="65">
        <v>837</v>
      </c>
      <c r="J216" s="65">
        <v>2</v>
      </c>
      <c r="K216" s="65" t="s">
        <v>486</v>
      </c>
      <c r="L216" s="65" t="s">
        <v>486</v>
      </c>
      <c r="M216" s="65" t="s">
        <v>486</v>
      </c>
      <c r="N216" s="65" t="s">
        <v>486</v>
      </c>
      <c r="O216" s="65" t="s">
        <v>486</v>
      </c>
      <c r="P216" s="65" t="s">
        <v>486</v>
      </c>
      <c r="Q216" s="57"/>
      <c r="R216" s="57"/>
      <c r="S216" s="58">
        <f t="shared" si="6"/>
        <v>837</v>
      </c>
      <c r="T216" s="58">
        <f t="shared" si="7"/>
        <v>2</v>
      </c>
    </row>
    <row r="217" spans="1:91" x14ac:dyDescent="0.25">
      <c r="A217" s="61" t="s">
        <v>393</v>
      </c>
      <c r="B217" s="55" t="s">
        <v>224</v>
      </c>
      <c r="C217" s="62">
        <v>42188</v>
      </c>
      <c r="D217" s="63"/>
      <c r="E217" s="64" t="s">
        <v>361</v>
      </c>
      <c r="F217" s="64" t="s">
        <v>28</v>
      </c>
      <c r="G217" s="56" t="s">
        <v>366</v>
      </c>
      <c r="H217" s="56" t="s">
        <v>41</v>
      </c>
      <c r="I217" s="65">
        <v>3279</v>
      </c>
      <c r="J217" s="65">
        <v>11</v>
      </c>
      <c r="K217" s="65" t="s">
        <v>486</v>
      </c>
      <c r="L217" s="65" t="s">
        <v>486</v>
      </c>
      <c r="M217" s="65" t="s">
        <v>486</v>
      </c>
      <c r="N217" s="65" t="s">
        <v>486</v>
      </c>
      <c r="O217" s="65" t="s">
        <v>486</v>
      </c>
      <c r="P217" s="65" t="s">
        <v>486</v>
      </c>
      <c r="Q217" s="57"/>
      <c r="R217" s="57"/>
      <c r="S217" s="58">
        <f t="shared" si="6"/>
        <v>3279</v>
      </c>
      <c r="T217" s="58">
        <f t="shared" si="7"/>
        <v>11</v>
      </c>
    </row>
    <row r="218" spans="1:91" s="42" customFormat="1" x14ac:dyDescent="0.25">
      <c r="A218" s="61" t="s">
        <v>394</v>
      </c>
      <c r="B218" s="55" t="s">
        <v>352</v>
      </c>
      <c r="C218" s="62">
        <v>42188</v>
      </c>
      <c r="D218" s="63"/>
      <c r="E218" s="64" t="s">
        <v>24</v>
      </c>
      <c r="F218" s="64" t="s">
        <v>329</v>
      </c>
      <c r="G218" s="56" t="s">
        <v>366</v>
      </c>
      <c r="H218" s="56" t="s">
        <v>41</v>
      </c>
      <c r="I218" s="65">
        <v>979</v>
      </c>
      <c r="J218" s="65">
        <v>7</v>
      </c>
      <c r="K218" s="65" t="s">
        <v>486</v>
      </c>
      <c r="L218" s="65" t="s">
        <v>486</v>
      </c>
      <c r="M218" s="65">
        <v>15</v>
      </c>
      <c r="N218" s="65">
        <v>0</v>
      </c>
      <c r="O218" s="65" t="s">
        <v>486</v>
      </c>
      <c r="P218" s="65" t="s">
        <v>486</v>
      </c>
      <c r="Q218" s="57"/>
      <c r="R218" s="57"/>
      <c r="S218" s="58">
        <f t="shared" si="6"/>
        <v>994</v>
      </c>
      <c r="T218" s="58">
        <f t="shared" si="7"/>
        <v>7</v>
      </c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  <c r="BC218" s="6"/>
      <c r="BD218" s="6"/>
      <c r="BE218" s="6"/>
      <c r="BF218" s="6"/>
      <c r="BG218" s="6"/>
      <c r="BH218" s="6"/>
      <c r="BI218" s="6"/>
      <c r="BJ218" s="6"/>
      <c r="BK218" s="6"/>
      <c r="BL218" s="6"/>
      <c r="BM218" s="6"/>
      <c r="BN218" s="6"/>
      <c r="BO218" s="6"/>
      <c r="BP218" s="6"/>
      <c r="BQ218" s="6"/>
      <c r="BR218" s="6"/>
      <c r="BS218" s="6"/>
      <c r="BT218" s="6"/>
      <c r="BU218" s="6"/>
      <c r="BV218" s="6"/>
      <c r="BW218" s="6"/>
      <c r="BX218" s="6"/>
      <c r="BY218" s="6"/>
      <c r="BZ218" s="6"/>
      <c r="CA218" s="6"/>
      <c r="CB218" s="6"/>
      <c r="CC218" s="6"/>
      <c r="CD218" s="6"/>
      <c r="CE218" s="6"/>
      <c r="CF218" s="6"/>
      <c r="CG218" s="6"/>
      <c r="CH218" s="6"/>
      <c r="CI218" s="6"/>
      <c r="CJ218" s="6"/>
      <c r="CK218" s="6"/>
      <c r="CL218" s="6"/>
      <c r="CM218" s="6"/>
    </row>
    <row r="219" spans="1:91" s="42" customFormat="1" x14ac:dyDescent="0.25">
      <c r="A219" s="61" t="s">
        <v>392</v>
      </c>
      <c r="B219" s="55" t="s">
        <v>230</v>
      </c>
      <c r="C219" s="62">
        <v>42188</v>
      </c>
      <c r="D219" s="63" t="s">
        <v>19</v>
      </c>
      <c r="E219" s="64" t="s">
        <v>22</v>
      </c>
      <c r="F219" s="64" t="s">
        <v>329</v>
      </c>
      <c r="G219" s="56" t="s">
        <v>366</v>
      </c>
      <c r="H219" s="56" t="s">
        <v>40</v>
      </c>
      <c r="I219" s="65">
        <v>593</v>
      </c>
      <c r="J219" s="65">
        <v>2</v>
      </c>
      <c r="K219" s="65" t="s">
        <v>486</v>
      </c>
      <c r="L219" s="65" t="s">
        <v>486</v>
      </c>
      <c r="M219" s="65" t="s">
        <v>486</v>
      </c>
      <c r="N219" s="65" t="s">
        <v>486</v>
      </c>
      <c r="O219" s="65" t="s">
        <v>486</v>
      </c>
      <c r="P219" s="65" t="s">
        <v>486</v>
      </c>
      <c r="Q219" s="57"/>
      <c r="R219" s="57"/>
      <c r="S219" s="58">
        <f t="shared" si="6"/>
        <v>593</v>
      </c>
      <c r="T219" s="58">
        <f t="shared" si="7"/>
        <v>2</v>
      </c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  <c r="BC219" s="6"/>
      <c r="BD219" s="6"/>
      <c r="BE219" s="6"/>
      <c r="BF219" s="6"/>
      <c r="BG219" s="6"/>
      <c r="BH219" s="6"/>
      <c r="BI219" s="6"/>
      <c r="BJ219" s="6"/>
      <c r="BK219" s="6"/>
      <c r="BL219" s="6"/>
      <c r="BM219" s="6"/>
      <c r="BN219" s="6"/>
      <c r="BO219" s="6"/>
      <c r="BP219" s="6"/>
      <c r="BQ219" s="6"/>
      <c r="BR219" s="6"/>
      <c r="BS219" s="6"/>
      <c r="BT219" s="6"/>
      <c r="BU219" s="6"/>
      <c r="BV219" s="6"/>
      <c r="BW219" s="6"/>
      <c r="BX219" s="6"/>
      <c r="BY219" s="6"/>
      <c r="BZ219" s="6"/>
      <c r="CA219" s="6"/>
      <c r="CB219" s="6"/>
      <c r="CC219" s="6"/>
      <c r="CD219" s="6"/>
      <c r="CE219" s="6"/>
      <c r="CF219" s="6"/>
      <c r="CG219" s="6"/>
      <c r="CH219" s="6"/>
      <c r="CI219" s="6"/>
      <c r="CJ219" s="6"/>
      <c r="CK219" s="6"/>
      <c r="CL219" s="6"/>
      <c r="CM219" s="6"/>
    </row>
    <row r="220" spans="1:91" x14ac:dyDescent="0.25">
      <c r="A220" s="61" t="s">
        <v>395</v>
      </c>
      <c r="B220" s="55" t="s">
        <v>237</v>
      </c>
      <c r="C220" s="62">
        <v>42191</v>
      </c>
      <c r="D220" s="63" t="s">
        <v>19</v>
      </c>
      <c r="E220" s="64" t="s">
        <v>24</v>
      </c>
      <c r="F220" s="64" t="s">
        <v>35</v>
      </c>
      <c r="G220" s="56" t="s">
        <v>366</v>
      </c>
      <c r="H220" s="56" t="s">
        <v>41</v>
      </c>
      <c r="I220" s="65">
        <v>917</v>
      </c>
      <c r="J220" s="65">
        <v>2</v>
      </c>
      <c r="K220" s="65" t="s">
        <v>486</v>
      </c>
      <c r="L220" s="65" t="s">
        <v>486</v>
      </c>
      <c r="M220" s="65">
        <v>546</v>
      </c>
      <c r="N220" s="65">
        <v>0</v>
      </c>
      <c r="O220" s="65" t="s">
        <v>486</v>
      </c>
      <c r="P220" s="65" t="s">
        <v>486</v>
      </c>
      <c r="Q220" s="57"/>
      <c r="R220" s="57"/>
      <c r="S220" s="58">
        <f t="shared" si="6"/>
        <v>1463</v>
      </c>
      <c r="T220" s="58">
        <f t="shared" si="7"/>
        <v>2</v>
      </c>
    </row>
    <row r="221" spans="1:91" s="59" customFormat="1" ht="15" customHeight="1" x14ac:dyDescent="0.25">
      <c r="A221" s="61" t="s">
        <v>396</v>
      </c>
      <c r="B221" s="55" t="s">
        <v>230</v>
      </c>
      <c r="C221" s="62">
        <v>42192</v>
      </c>
      <c r="D221" s="63" t="s">
        <v>19</v>
      </c>
      <c r="E221" s="64" t="s">
        <v>25</v>
      </c>
      <c r="F221" s="64" t="s">
        <v>381</v>
      </c>
      <c r="G221" s="56" t="s">
        <v>365</v>
      </c>
      <c r="H221" s="56" t="s">
        <v>41</v>
      </c>
      <c r="I221" s="65">
        <v>1752</v>
      </c>
      <c r="J221" s="65">
        <v>9</v>
      </c>
      <c r="K221" s="65" t="s">
        <v>486</v>
      </c>
      <c r="L221" s="65" t="s">
        <v>486</v>
      </c>
      <c r="M221" s="65">
        <v>122</v>
      </c>
      <c r="N221" s="65">
        <v>0</v>
      </c>
      <c r="O221" s="65" t="s">
        <v>486</v>
      </c>
      <c r="P221" s="65" t="s">
        <v>486</v>
      </c>
      <c r="Q221" s="57"/>
      <c r="R221" s="57"/>
      <c r="S221" s="58">
        <f t="shared" si="6"/>
        <v>1874</v>
      </c>
      <c r="T221" s="58">
        <f t="shared" si="7"/>
        <v>9</v>
      </c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  <c r="BC221" s="6"/>
      <c r="BD221" s="6"/>
      <c r="BE221" s="6"/>
      <c r="BF221" s="6"/>
      <c r="BG221" s="6"/>
      <c r="BH221" s="6"/>
      <c r="BI221" s="6"/>
      <c r="BJ221" s="6"/>
      <c r="BK221" s="6"/>
      <c r="BL221" s="6"/>
      <c r="BM221" s="6"/>
      <c r="BN221" s="6"/>
      <c r="BO221" s="6"/>
      <c r="BP221" s="6"/>
      <c r="BQ221" s="6"/>
      <c r="BR221" s="6"/>
      <c r="BS221" s="6"/>
      <c r="BT221" s="6"/>
      <c r="BU221" s="6"/>
      <c r="BV221" s="6"/>
      <c r="BW221" s="6"/>
      <c r="BX221" s="6"/>
      <c r="BY221" s="6"/>
      <c r="BZ221" s="6"/>
      <c r="CA221" s="6"/>
      <c r="CB221" s="6"/>
      <c r="CC221" s="6"/>
      <c r="CD221" s="6"/>
      <c r="CE221" s="6"/>
      <c r="CF221" s="6"/>
      <c r="CG221" s="6"/>
      <c r="CH221" s="6"/>
      <c r="CI221" s="6"/>
      <c r="CJ221" s="6"/>
      <c r="CK221" s="6"/>
      <c r="CL221" s="6"/>
      <c r="CM221" s="6"/>
    </row>
    <row r="222" spans="1:91" s="59" customFormat="1" x14ac:dyDescent="0.25">
      <c r="A222" s="61" t="s">
        <v>397</v>
      </c>
      <c r="B222" s="55" t="s">
        <v>228</v>
      </c>
      <c r="C222" s="62">
        <v>42194</v>
      </c>
      <c r="D222" s="63"/>
      <c r="E222" s="64" t="s">
        <v>361</v>
      </c>
      <c r="F222" s="64" t="s">
        <v>27</v>
      </c>
      <c r="G222" s="56" t="s">
        <v>366</v>
      </c>
      <c r="H222" s="56" t="s">
        <v>40</v>
      </c>
      <c r="I222" s="65">
        <v>2892</v>
      </c>
      <c r="J222" s="65">
        <v>12</v>
      </c>
      <c r="K222" s="65" t="s">
        <v>486</v>
      </c>
      <c r="L222" s="65" t="s">
        <v>486</v>
      </c>
      <c r="M222" s="65" t="s">
        <v>486</v>
      </c>
      <c r="N222" s="65" t="s">
        <v>486</v>
      </c>
      <c r="O222" s="65" t="s">
        <v>486</v>
      </c>
      <c r="P222" s="65" t="s">
        <v>486</v>
      </c>
      <c r="Q222" s="57"/>
      <c r="R222" s="57"/>
      <c r="S222" s="58">
        <f t="shared" si="6"/>
        <v>2892</v>
      </c>
      <c r="T222" s="58">
        <f t="shared" si="7"/>
        <v>12</v>
      </c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  <c r="BC222" s="6"/>
      <c r="BD222" s="6"/>
      <c r="BE222" s="6"/>
      <c r="BF222" s="6"/>
      <c r="BG222" s="6"/>
      <c r="BH222" s="6"/>
      <c r="BI222" s="6"/>
      <c r="BJ222" s="6"/>
      <c r="BK222" s="6"/>
      <c r="BL222" s="6"/>
      <c r="BM222" s="6"/>
      <c r="BN222" s="6"/>
      <c r="BO222" s="6"/>
      <c r="BP222" s="6"/>
      <c r="BQ222" s="6"/>
      <c r="BR222" s="6"/>
      <c r="BS222" s="6"/>
      <c r="BT222" s="6"/>
      <c r="BU222" s="6"/>
      <c r="BV222" s="6"/>
      <c r="BW222" s="6"/>
      <c r="BX222" s="6"/>
      <c r="BY222" s="6"/>
      <c r="BZ222" s="6"/>
      <c r="CA222" s="6"/>
      <c r="CB222" s="6"/>
      <c r="CC222" s="6"/>
      <c r="CD222" s="6"/>
      <c r="CE222" s="6"/>
      <c r="CF222" s="6"/>
      <c r="CG222" s="6"/>
      <c r="CH222" s="6"/>
      <c r="CI222" s="6"/>
      <c r="CJ222" s="6"/>
      <c r="CK222" s="6"/>
      <c r="CL222" s="6"/>
      <c r="CM222" s="6"/>
    </row>
    <row r="223" spans="1:91" x14ac:dyDescent="0.25">
      <c r="A223" s="61" t="s">
        <v>400</v>
      </c>
      <c r="B223" s="55" t="s">
        <v>230</v>
      </c>
      <c r="C223" s="62">
        <v>42194</v>
      </c>
      <c r="D223" s="63" t="s">
        <v>19</v>
      </c>
      <c r="E223" s="64" t="s">
        <v>361</v>
      </c>
      <c r="F223" s="64" t="s">
        <v>27</v>
      </c>
      <c r="G223" s="56" t="s">
        <v>366</v>
      </c>
      <c r="H223" s="56" t="s">
        <v>41</v>
      </c>
      <c r="I223" s="65">
        <v>1588</v>
      </c>
      <c r="J223" s="65">
        <v>10</v>
      </c>
      <c r="K223" s="65" t="s">
        <v>486</v>
      </c>
      <c r="L223" s="65" t="s">
        <v>486</v>
      </c>
      <c r="M223" s="65" t="s">
        <v>486</v>
      </c>
      <c r="N223" s="65" t="s">
        <v>486</v>
      </c>
      <c r="O223" s="65" t="s">
        <v>486</v>
      </c>
      <c r="P223" s="65" t="s">
        <v>486</v>
      </c>
      <c r="Q223" s="57"/>
      <c r="R223" s="57"/>
      <c r="S223" s="58">
        <f t="shared" si="6"/>
        <v>1588</v>
      </c>
      <c r="T223" s="58">
        <f t="shared" si="7"/>
        <v>10</v>
      </c>
    </row>
    <row r="224" spans="1:91" x14ac:dyDescent="0.25">
      <c r="A224" s="47" t="s">
        <v>398</v>
      </c>
      <c r="B224" s="12" t="s">
        <v>399</v>
      </c>
      <c r="C224" s="17">
        <v>42194</v>
      </c>
      <c r="D224" s="10"/>
      <c r="E224" s="11" t="s">
        <v>361</v>
      </c>
      <c r="F224" s="11" t="s">
        <v>27</v>
      </c>
      <c r="G224" s="13" t="s">
        <v>366</v>
      </c>
      <c r="H224" s="13" t="s">
        <v>41</v>
      </c>
      <c r="I224" s="65">
        <v>765</v>
      </c>
      <c r="J224" s="65">
        <v>7</v>
      </c>
      <c r="K224" s="65" t="s">
        <v>486</v>
      </c>
      <c r="L224" s="65" t="s">
        <v>486</v>
      </c>
      <c r="M224" s="65" t="s">
        <v>486</v>
      </c>
      <c r="N224" s="65" t="s">
        <v>486</v>
      </c>
      <c r="O224" s="65" t="s">
        <v>486</v>
      </c>
      <c r="P224" s="65" t="s">
        <v>486</v>
      </c>
      <c r="Q224" s="4"/>
      <c r="R224" s="4"/>
      <c r="S224" s="23">
        <f t="shared" si="6"/>
        <v>765</v>
      </c>
      <c r="T224" s="23">
        <f t="shared" si="7"/>
        <v>7</v>
      </c>
    </row>
    <row r="225" spans="1:91" s="42" customFormat="1" x14ac:dyDescent="0.25">
      <c r="A225" s="61" t="s">
        <v>403</v>
      </c>
      <c r="B225" s="55" t="s">
        <v>223</v>
      </c>
      <c r="C225" s="62">
        <v>42195</v>
      </c>
      <c r="D225" s="63" t="s">
        <v>19</v>
      </c>
      <c r="E225" s="64" t="s">
        <v>24</v>
      </c>
      <c r="F225" s="64" t="s">
        <v>329</v>
      </c>
      <c r="G225" s="56" t="s">
        <v>366</v>
      </c>
      <c r="H225" s="56" t="s">
        <v>41</v>
      </c>
      <c r="I225" s="65">
        <v>2580</v>
      </c>
      <c r="J225" s="65">
        <v>5</v>
      </c>
      <c r="K225" s="65" t="s">
        <v>486</v>
      </c>
      <c r="L225" s="65" t="s">
        <v>486</v>
      </c>
      <c r="M225" s="65">
        <v>639</v>
      </c>
      <c r="N225" s="65">
        <v>0</v>
      </c>
      <c r="O225" s="65" t="s">
        <v>486</v>
      </c>
      <c r="P225" s="65" t="s">
        <v>486</v>
      </c>
      <c r="Q225" s="57"/>
      <c r="R225" s="57"/>
      <c r="S225" s="58">
        <f t="shared" si="6"/>
        <v>3219</v>
      </c>
      <c r="T225" s="58">
        <f t="shared" si="7"/>
        <v>5</v>
      </c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  <c r="BC225" s="6"/>
      <c r="BD225" s="6"/>
      <c r="BE225" s="6"/>
      <c r="BF225" s="6"/>
      <c r="BG225" s="6"/>
      <c r="BH225" s="6"/>
      <c r="BI225" s="6"/>
      <c r="BJ225" s="6"/>
      <c r="BK225" s="6"/>
      <c r="BL225" s="6"/>
      <c r="BM225" s="6"/>
      <c r="BN225" s="6"/>
      <c r="BO225" s="6"/>
      <c r="BP225" s="6"/>
      <c r="BQ225" s="6"/>
      <c r="BR225" s="6"/>
      <c r="BS225" s="6"/>
      <c r="BT225" s="6"/>
      <c r="BU225" s="6"/>
      <c r="BV225" s="6"/>
      <c r="BW225" s="6"/>
      <c r="BX225" s="6"/>
      <c r="BY225" s="6"/>
      <c r="BZ225" s="6"/>
      <c r="CA225" s="6"/>
      <c r="CB225" s="6"/>
      <c r="CC225" s="6"/>
      <c r="CD225" s="6"/>
      <c r="CE225" s="6"/>
      <c r="CF225" s="6"/>
      <c r="CG225" s="6"/>
      <c r="CH225" s="6"/>
      <c r="CI225" s="6"/>
      <c r="CJ225" s="6"/>
      <c r="CK225" s="6"/>
      <c r="CL225" s="6"/>
      <c r="CM225" s="6"/>
    </row>
    <row r="226" spans="1:91" s="42" customFormat="1" ht="0.75" customHeight="1" x14ac:dyDescent="0.25">
      <c r="A226" s="61" t="s">
        <v>401</v>
      </c>
      <c r="B226" s="55" t="s">
        <v>221</v>
      </c>
      <c r="C226" s="62">
        <v>42195</v>
      </c>
      <c r="D226" s="63"/>
      <c r="E226" s="64" t="s">
        <v>22</v>
      </c>
      <c r="F226" s="64" t="s">
        <v>361</v>
      </c>
      <c r="G226" s="56" t="s">
        <v>366</v>
      </c>
      <c r="H226" s="56" t="s">
        <v>40</v>
      </c>
      <c r="I226" s="65">
        <v>438</v>
      </c>
      <c r="J226" s="65">
        <v>2</v>
      </c>
      <c r="K226" s="65" t="s">
        <v>486</v>
      </c>
      <c r="L226" s="65" t="s">
        <v>486</v>
      </c>
      <c r="M226" s="65">
        <v>334</v>
      </c>
      <c r="N226" s="65">
        <v>0</v>
      </c>
      <c r="O226" s="65" t="s">
        <v>486</v>
      </c>
      <c r="P226" s="65" t="s">
        <v>486</v>
      </c>
      <c r="Q226" s="57"/>
      <c r="R226" s="57"/>
      <c r="S226" s="58">
        <f t="shared" si="6"/>
        <v>772</v>
      </c>
      <c r="T226" s="58">
        <f t="shared" si="7"/>
        <v>2</v>
      </c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  <c r="BC226" s="6"/>
      <c r="BD226" s="6"/>
      <c r="BE226" s="6"/>
      <c r="BF226" s="6"/>
      <c r="BG226" s="6"/>
      <c r="BH226" s="6"/>
      <c r="BI226" s="6"/>
      <c r="BJ226" s="6"/>
      <c r="BK226" s="6"/>
      <c r="BL226" s="6"/>
      <c r="BM226" s="6"/>
      <c r="BN226" s="6"/>
      <c r="BO226" s="6"/>
      <c r="BP226" s="6"/>
      <c r="BQ226" s="6"/>
      <c r="BR226" s="6"/>
      <c r="BS226" s="6"/>
      <c r="BT226" s="6"/>
      <c r="BU226" s="6"/>
      <c r="BV226" s="6"/>
      <c r="BW226" s="6"/>
      <c r="BX226" s="6"/>
      <c r="BY226" s="6"/>
      <c r="BZ226" s="6"/>
      <c r="CA226" s="6"/>
      <c r="CB226" s="6"/>
      <c r="CC226" s="6"/>
      <c r="CD226" s="6"/>
      <c r="CE226" s="6"/>
      <c r="CF226" s="6"/>
      <c r="CG226" s="6"/>
      <c r="CH226" s="6"/>
      <c r="CI226" s="6"/>
      <c r="CJ226" s="6"/>
      <c r="CK226" s="6"/>
      <c r="CL226" s="6"/>
      <c r="CM226" s="6"/>
    </row>
    <row r="227" spans="1:91" s="59" customFormat="1" x14ac:dyDescent="0.25">
      <c r="A227" s="61" t="s">
        <v>404</v>
      </c>
      <c r="B227" s="55" t="s">
        <v>227</v>
      </c>
      <c r="C227" s="62">
        <v>42195</v>
      </c>
      <c r="D227" s="63"/>
      <c r="E227" s="64" t="s">
        <v>361</v>
      </c>
      <c r="F227" s="64" t="s">
        <v>27</v>
      </c>
      <c r="G227" s="56" t="s">
        <v>366</v>
      </c>
      <c r="H227" s="56" t="s">
        <v>41</v>
      </c>
      <c r="I227" s="65">
        <v>1240</v>
      </c>
      <c r="J227" s="65">
        <v>0</v>
      </c>
      <c r="K227" s="65" t="s">
        <v>486</v>
      </c>
      <c r="L227" s="65" t="s">
        <v>486</v>
      </c>
      <c r="M227" s="65" t="s">
        <v>486</v>
      </c>
      <c r="N227" s="65" t="s">
        <v>486</v>
      </c>
      <c r="O227" s="65" t="s">
        <v>486</v>
      </c>
      <c r="P227" s="65" t="s">
        <v>486</v>
      </c>
      <c r="Q227" s="57"/>
      <c r="R227" s="57"/>
      <c r="S227" s="58">
        <f t="shared" si="6"/>
        <v>1240</v>
      </c>
      <c r="T227" s="58">
        <f t="shared" si="7"/>
        <v>0</v>
      </c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  <c r="BC227" s="6"/>
      <c r="BD227" s="6"/>
      <c r="BE227" s="6"/>
      <c r="BF227" s="6"/>
      <c r="BG227" s="6"/>
      <c r="BH227" s="6"/>
      <c r="BI227" s="6"/>
      <c r="BJ227" s="6"/>
      <c r="BK227" s="6"/>
      <c r="BL227" s="6"/>
      <c r="BM227" s="6"/>
      <c r="BN227" s="6"/>
      <c r="BO227" s="6"/>
      <c r="BP227" s="6"/>
      <c r="BQ227" s="6"/>
      <c r="BR227" s="6"/>
      <c r="BS227" s="6"/>
      <c r="BT227" s="6"/>
      <c r="BU227" s="6"/>
      <c r="BV227" s="6"/>
      <c r="BW227" s="6"/>
      <c r="BX227" s="6"/>
      <c r="BY227" s="6"/>
      <c r="BZ227" s="6"/>
      <c r="CA227" s="6"/>
      <c r="CB227" s="6"/>
      <c r="CC227" s="6"/>
      <c r="CD227" s="6"/>
      <c r="CE227" s="6"/>
      <c r="CF227" s="6"/>
      <c r="CG227" s="6"/>
      <c r="CH227" s="6"/>
      <c r="CI227" s="6"/>
      <c r="CJ227" s="6"/>
      <c r="CK227" s="6"/>
      <c r="CL227" s="6"/>
      <c r="CM227" s="6"/>
    </row>
    <row r="228" spans="1:91" s="59" customFormat="1" ht="30" x14ac:dyDescent="0.25">
      <c r="A228" s="61" t="s">
        <v>407</v>
      </c>
      <c r="B228" s="55" t="s">
        <v>239</v>
      </c>
      <c r="C228" s="62">
        <v>42198</v>
      </c>
      <c r="D228" s="63" t="s">
        <v>19</v>
      </c>
      <c r="E228" s="64" t="s">
        <v>361</v>
      </c>
      <c r="F228" s="64" t="s">
        <v>408</v>
      </c>
      <c r="G228" s="56" t="s">
        <v>366</v>
      </c>
      <c r="H228" s="56" t="s">
        <v>36</v>
      </c>
      <c r="I228" s="65">
        <v>1622</v>
      </c>
      <c r="J228" s="65">
        <v>17</v>
      </c>
      <c r="K228" s="65" t="s">
        <v>486</v>
      </c>
      <c r="L228" s="65" t="s">
        <v>486</v>
      </c>
      <c r="M228" s="65" t="s">
        <v>486</v>
      </c>
      <c r="N228" s="65" t="s">
        <v>486</v>
      </c>
      <c r="O228" s="65">
        <v>649</v>
      </c>
      <c r="P228" s="65">
        <v>0</v>
      </c>
      <c r="Q228" s="57"/>
      <c r="R228" s="57"/>
      <c r="S228" s="58">
        <f t="shared" si="6"/>
        <v>2271</v>
      </c>
      <c r="T228" s="58">
        <f t="shared" si="7"/>
        <v>17</v>
      </c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  <c r="BC228" s="6"/>
      <c r="BD228" s="6"/>
      <c r="BE228" s="6"/>
      <c r="BF228" s="6"/>
      <c r="BG228" s="6"/>
      <c r="BH228" s="6"/>
      <c r="BI228" s="6"/>
      <c r="BJ228" s="6"/>
      <c r="BK228" s="6"/>
      <c r="BL228" s="6"/>
      <c r="BM228" s="6"/>
      <c r="BN228" s="6"/>
      <c r="BO228" s="6"/>
      <c r="BP228" s="6"/>
      <c r="BQ228" s="6"/>
      <c r="BR228" s="6"/>
      <c r="BS228" s="6"/>
      <c r="BT228" s="6"/>
      <c r="BU228" s="6"/>
      <c r="BV228" s="6"/>
      <c r="BW228" s="6"/>
      <c r="BX228" s="6"/>
      <c r="BY228" s="6"/>
      <c r="BZ228" s="6"/>
      <c r="CA228" s="6"/>
      <c r="CB228" s="6"/>
      <c r="CC228" s="6"/>
      <c r="CD228" s="6"/>
      <c r="CE228" s="6"/>
      <c r="CF228" s="6"/>
      <c r="CG228" s="6"/>
      <c r="CH228" s="6"/>
      <c r="CI228" s="6"/>
      <c r="CJ228" s="6"/>
      <c r="CK228" s="6"/>
      <c r="CL228" s="6"/>
      <c r="CM228" s="6"/>
    </row>
    <row r="229" spans="1:91" x14ac:dyDescent="0.25">
      <c r="A229" s="47" t="s">
        <v>405</v>
      </c>
      <c r="B229" s="12" t="s">
        <v>406</v>
      </c>
      <c r="C229" s="17">
        <v>42198</v>
      </c>
      <c r="D229" s="10"/>
      <c r="E229" s="11" t="s">
        <v>24</v>
      </c>
      <c r="F229" s="11" t="s">
        <v>34</v>
      </c>
      <c r="G229" s="13" t="s">
        <v>366</v>
      </c>
      <c r="H229" s="13" t="s">
        <v>41</v>
      </c>
      <c r="I229" s="65">
        <v>887</v>
      </c>
      <c r="J229" s="65">
        <v>10</v>
      </c>
      <c r="K229" s="65" t="s">
        <v>486</v>
      </c>
      <c r="L229" s="65" t="s">
        <v>486</v>
      </c>
      <c r="M229" s="65" t="s">
        <v>486</v>
      </c>
      <c r="N229" s="65" t="s">
        <v>486</v>
      </c>
      <c r="O229" s="65" t="s">
        <v>486</v>
      </c>
      <c r="P229" s="65" t="s">
        <v>486</v>
      </c>
      <c r="Q229" s="4"/>
      <c r="R229" s="4"/>
      <c r="S229" s="23">
        <f t="shared" si="6"/>
        <v>887</v>
      </c>
      <c r="T229" s="23">
        <f t="shared" si="7"/>
        <v>10</v>
      </c>
    </row>
    <row r="230" spans="1:91" s="42" customFormat="1" x14ac:dyDescent="0.25">
      <c r="A230" s="47" t="s">
        <v>410</v>
      </c>
      <c r="B230" s="12" t="s">
        <v>256</v>
      </c>
      <c r="C230" s="17">
        <v>42199</v>
      </c>
      <c r="D230" s="10"/>
      <c r="E230" s="11" t="s">
        <v>361</v>
      </c>
      <c r="F230" s="11" t="s">
        <v>27</v>
      </c>
      <c r="G230" s="13" t="s">
        <v>366</v>
      </c>
      <c r="H230" s="13" t="s">
        <v>36</v>
      </c>
      <c r="I230" s="65">
        <v>1279</v>
      </c>
      <c r="J230" s="65">
        <v>17</v>
      </c>
      <c r="K230" s="65" t="s">
        <v>486</v>
      </c>
      <c r="L230" s="65" t="s">
        <v>486</v>
      </c>
      <c r="M230" s="65" t="s">
        <v>486</v>
      </c>
      <c r="N230" s="65" t="s">
        <v>486</v>
      </c>
      <c r="O230" s="75" t="s">
        <v>486</v>
      </c>
      <c r="P230" s="75" t="s">
        <v>486</v>
      </c>
      <c r="Q230" s="4"/>
      <c r="R230" s="4"/>
      <c r="S230" s="23">
        <f t="shared" si="6"/>
        <v>1279</v>
      </c>
      <c r="T230" s="23">
        <f t="shared" si="7"/>
        <v>17</v>
      </c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  <c r="BC230" s="6"/>
      <c r="BD230" s="6"/>
      <c r="BE230" s="6"/>
      <c r="BF230" s="6"/>
      <c r="BG230" s="6"/>
      <c r="BH230" s="6"/>
      <c r="BI230" s="6"/>
      <c r="BJ230" s="6"/>
      <c r="BK230" s="6"/>
      <c r="BL230" s="6"/>
      <c r="BM230" s="6"/>
      <c r="BN230" s="6"/>
      <c r="BO230" s="6"/>
      <c r="BP230" s="6"/>
      <c r="BQ230" s="6"/>
      <c r="BR230" s="6"/>
      <c r="BS230" s="6"/>
      <c r="BT230" s="6"/>
      <c r="BU230" s="6"/>
      <c r="BV230" s="6"/>
      <c r="BW230" s="6"/>
      <c r="BX230" s="6"/>
      <c r="BY230" s="6"/>
      <c r="BZ230" s="6"/>
      <c r="CA230" s="6"/>
      <c r="CB230" s="6"/>
      <c r="CC230" s="6"/>
      <c r="CD230" s="6"/>
      <c r="CE230" s="6"/>
      <c r="CF230" s="6"/>
      <c r="CG230" s="6"/>
      <c r="CH230" s="6"/>
      <c r="CI230" s="6"/>
      <c r="CJ230" s="6"/>
      <c r="CK230" s="6"/>
      <c r="CL230" s="6"/>
      <c r="CM230" s="6"/>
    </row>
    <row r="231" spans="1:91" ht="30" x14ac:dyDescent="0.25">
      <c r="A231" s="109" t="s">
        <v>409</v>
      </c>
      <c r="B231" s="55" t="s">
        <v>223</v>
      </c>
      <c r="C231" s="62">
        <v>42199</v>
      </c>
      <c r="D231" s="63" t="s">
        <v>278</v>
      </c>
      <c r="E231" s="64" t="s">
        <v>24</v>
      </c>
      <c r="F231" s="64" t="s">
        <v>329</v>
      </c>
      <c r="G231" s="56" t="s">
        <v>366</v>
      </c>
      <c r="H231" s="56" t="s">
        <v>40</v>
      </c>
      <c r="I231" s="65">
        <v>1671</v>
      </c>
      <c r="J231" s="65">
        <v>8</v>
      </c>
      <c r="K231" s="65" t="s">
        <v>486</v>
      </c>
      <c r="L231" s="65" t="s">
        <v>486</v>
      </c>
      <c r="M231" s="65">
        <v>79</v>
      </c>
      <c r="N231" s="65">
        <v>0</v>
      </c>
      <c r="O231" s="65">
        <v>1395</v>
      </c>
      <c r="P231" s="65">
        <v>0</v>
      </c>
      <c r="Q231" s="57"/>
      <c r="R231" s="57"/>
      <c r="S231" s="58">
        <f t="shared" si="6"/>
        <v>3145</v>
      </c>
      <c r="T231" s="58">
        <f t="shared" si="7"/>
        <v>8</v>
      </c>
    </row>
    <row r="232" spans="1:91" s="59" customFormat="1" x14ac:dyDescent="0.25">
      <c r="A232" s="61" t="s">
        <v>411</v>
      </c>
      <c r="B232" s="55" t="s">
        <v>230</v>
      </c>
      <c r="C232" s="62">
        <v>42200</v>
      </c>
      <c r="D232" s="63"/>
      <c r="E232" s="64" t="s">
        <v>23</v>
      </c>
      <c r="F232" s="64" t="s">
        <v>27</v>
      </c>
      <c r="G232" s="56" t="s">
        <v>366</v>
      </c>
      <c r="H232" s="56" t="s">
        <v>40</v>
      </c>
      <c r="I232" s="65">
        <v>1309</v>
      </c>
      <c r="J232" s="65">
        <v>9</v>
      </c>
      <c r="K232" s="65" t="s">
        <v>486</v>
      </c>
      <c r="L232" s="65" t="s">
        <v>486</v>
      </c>
      <c r="M232" s="65" t="s">
        <v>486</v>
      </c>
      <c r="N232" s="65" t="s">
        <v>486</v>
      </c>
      <c r="O232" s="65" t="s">
        <v>486</v>
      </c>
      <c r="P232" s="65" t="s">
        <v>486</v>
      </c>
      <c r="Q232" s="57"/>
      <c r="R232" s="57"/>
      <c r="S232" s="58">
        <f t="shared" si="6"/>
        <v>1309</v>
      </c>
      <c r="T232" s="58">
        <f t="shared" si="7"/>
        <v>9</v>
      </c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  <c r="BC232" s="6"/>
      <c r="BD232" s="6"/>
      <c r="BE232" s="6"/>
      <c r="BF232" s="6"/>
      <c r="BG232" s="6"/>
      <c r="BH232" s="6"/>
      <c r="BI232" s="6"/>
      <c r="BJ232" s="6"/>
      <c r="BK232" s="6"/>
      <c r="BL232" s="6"/>
      <c r="BM232" s="6"/>
      <c r="BN232" s="6"/>
      <c r="BO232" s="6"/>
      <c r="BP232" s="6"/>
      <c r="BQ232" s="6"/>
      <c r="BR232" s="6"/>
      <c r="BS232" s="6"/>
      <c r="BT232" s="6"/>
      <c r="BU232" s="6"/>
      <c r="BV232" s="6"/>
      <c r="BW232" s="6"/>
      <c r="BX232" s="6"/>
      <c r="BY232" s="6"/>
      <c r="BZ232" s="6"/>
      <c r="CA232" s="6"/>
      <c r="CB232" s="6"/>
      <c r="CC232" s="6"/>
      <c r="CD232" s="6"/>
      <c r="CE232" s="6"/>
      <c r="CF232" s="6"/>
      <c r="CG232" s="6"/>
      <c r="CH232" s="6"/>
      <c r="CI232" s="6"/>
      <c r="CJ232" s="6"/>
      <c r="CK232" s="6"/>
      <c r="CL232" s="6"/>
      <c r="CM232" s="6"/>
    </row>
    <row r="233" spans="1:91" s="59" customFormat="1" x14ac:dyDescent="0.25">
      <c r="A233" s="61" t="s">
        <v>412</v>
      </c>
      <c r="B233" s="55" t="s">
        <v>230</v>
      </c>
      <c r="C233" s="62">
        <v>42201</v>
      </c>
      <c r="D233" s="63" t="s">
        <v>19</v>
      </c>
      <c r="E233" s="64" t="s">
        <v>24</v>
      </c>
      <c r="F233" s="64" t="s">
        <v>361</v>
      </c>
      <c r="G233" s="56" t="s">
        <v>366</v>
      </c>
      <c r="H233" s="56" t="s">
        <v>37</v>
      </c>
      <c r="I233" s="65">
        <v>2127</v>
      </c>
      <c r="J233" s="65">
        <v>18</v>
      </c>
      <c r="K233" s="65" t="s">
        <v>486</v>
      </c>
      <c r="L233" s="65" t="s">
        <v>486</v>
      </c>
      <c r="M233" s="65" t="s">
        <v>486</v>
      </c>
      <c r="N233" s="65" t="s">
        <v>486</v>
      </c>
      <c r="O233" s="65" t="s">
        <v>486</v>
      </c>
      <c r="P233" s="65" t="s">
        <v>486</v>
      </c>
      <c r="Q233" s="57"/>
      <c r="R233" s="57"/>
      <c r="S233" s="58">
        <f t="shared" si="6"/>
        <v>2127</v>
      </c>
      <c r="T233" s="58">
        <f t="shared" si="7"/>
        <v>18</v>
      </c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  <c r="BC233" s="6"/>
      <c r="BD233" s="6"/>
      <c r="BE233" s="6"/>
      <c r="BF233" s="6"/>
      <c r="BG233" s="6"/>
      <c r="BH233" s="6"/>
      <c r="BI233" s="6"/>
      <c r="BJ233" s="6"/>
      <c r="BK233" s="6"/>
      <c r="BL233" s="6"/>
      <c r="BM233" s="6"/>
      <c r="BN233" s="6"/>
      <c r="BO233" s="6"/>
      <c r="BP233" s="6"/>
      <c r="BQ233" s="6"/>
      <c r="BR233" s="6"/>
      <c r="BS233" s="6"/>
      <c r="BT233" s="6"/>
      <c r="BU233" s="6"/>
      <c r="BV233" s="6"/>
      <c r="BW233" s="6"/>
      <c r="BX233" s="6"/>
      <c r="BY233" s="6"/>
      <c r="BZ233" s="6"/>
      <c r="CA233" s="6"/>
      <c r="CB233" s="6"/>
      <c r="CC233" s="6"/>
      <c r="CD233" s="6"/>
      <c r="CE233" s="6"/>
      <c r="CF233" s="6"/>
      <c r="CG233" s="6"/>
      <c r="CH233" s="6"/>
      <c r="CI233" s="6"/>
      <c r="CJ233" s="6"/>
      <c r="CK233" s="6"/>
      <c r="CL233" s="6"/>
      <c r="CM233" s="6"/>
    </row>
    <row r="234" spans="1:91" x14ac:dyDescent="0.25">
      <c r="A234" s="47" t="s">
        <v>413</v>
      </c>
      <c r="B234" s="12" t="s">
        <v>414</v>
      </c>
      <c r="C234" s="17">
        <v>42202</v>
      </c>
      <c r="D234" s="10"/>
      <c r="E234" s="11" t="s">
        <v>361</v>
      </c>
      <c r="F234" s="11" t="s">
        <v>27</v>
      </c>
      <c r="G234" s="13" t="s">
        <v>366</v>
      </c>
      <c r="H234" s="13" t="s">
        <v>36</v>
      </c>
      <c r="I234" s="65">
        <v>1503</v>
      </c>
      <c r="J234" s="65">
        <v>28</v>
      </c>
      <c r="K234" s="65" t="s">
        <v>486</v>
      </c>
      <c r="L234" s="65" t="s">
        <v>486</v>
      </c>
      <c r="M234" s="65" t="s">
        <v>486</v>
      </c>
      <c r="N234" s="65" t="s">
        <v>486</v>
      </c>
      <c r="O234" s="65" t="s">
        <v>486</v>
      </c>
      <c r="P234" s="65" t="s">
        <v>486</v>
      </c>
      <c r="Q234" s="4"/>
      <c r="R234" s="4"/>
      <c r="S234" s="23">
        <f t="shared" si="6"/>
        <v>1503</v>
      </c>
      <c r="T234" s="23">
        <f t="shared" si="7"/>
        <v>28</v>
      </c>
    </row>
    <row r="235" spans="1:91" s="59" customFormat="1" x14ac:dyDescent="0.25">
      <c r="A235" s="61" t="s">
        <v>415</v>
      </c>
      <c r="B235" s="55" t="s">
        <v>227</v>
      </c>
      <c r="C235" s="62">
        <v>42202</v>
      </c>
      <c r="D235" s="63"/>
      <c r="E235" s="64" t="s">
        <v>24</v>
      </c>
      <c r="F235" s="64" t="s">
        <v>329</v>
      </c>
      <c r="G235" s="56" t="s">
        <v>366</v>
      </c>
      <c r="H235" s="56" t="s">
        <v>40</v>
      </c>
      <c r="I235" s="65">
        <v>1171</v>
      </c>
      <c r="J235" s="65">
        <v>1</v>
      </c>
      <c r="K235" s="65" t="s">
        <v>486</v>
      </c>
      <c r="L235" s="65" t="s">
        <v>486</v>
      </c>
      <c r="M235" s="65" t="s">
        <v>486</v>
      </c>
      <c r="N235" s="65" t="s">
        <v>486</v>
      </c>
      <c r="O235" s="65">
        <v>45</v>
      </c>
      <c r="P235" s="65">
        <v>0</v>
      </c>
      <c r="Q235" s="57"/>
      <c r="R235" s="57"/>
      <c r="S235" s="58">
        <f t="shared" si="6"/>
        <v>1216</v>
      </c>
      <c r="T235" s="58">
        <f t="shared" si="7"/>
        <v>1</v>
      </c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  <c r="BC235" s="6"/>
      <c r="BD235" s="6"/>
      <c r="BE235" s="6"/>
      <c r="BF235" s="6"/>
      <c r="BG235" s="6"/>
      <c r="BH235" s="6"/>
      <c r="BI235" s="6"/>
      <c r="BJ235" s="6"/>
      <c r="BK235" s="6"/>
      <c r="BL235" s="6"/>
      <c r="BM235" s="6"/>
      <c r="BN235" s="6"/>
      <c r="BO235" s="6"/>
      <c r="BP235" s="6"/>
      <c r="BQ235" s="6"/>
      <c r="BR235" s="6"/>
      <c r="BS235" s="6"/>
      <c r="BT235" s="6"/>
      <c r="BU235" s="6"/>
      <c r="BV235" s="6"/>
      <c r="BW235" s="6"/>
      <c r="BX235" s="6"/>
      <c r="BY235" s="6"/>
      <c r="BZ235" s="6"/>
      <c r="CA235" s="6"/>
      <c r="CB235" s="6"/>
      <c r="CC235" s="6"/>
      <c r="CD235" s="6"/>
      <c r="CE235" s="6"/>
      <c r="CF235" s="6"/>
      <c r="CG235" s="6"/>
      <c r="CH235" s="6"/>
      <c r="CI235" s="6"/>
      <c r="CJ235" s="6"/>
      <c r="CK235" s="6"/>
      <c r="CL235" s="6"/>
      <c r="CM235" s="6"/>
    </row>
    <row r="236" spans="1:91" ht="30" x14ac:dyDescent="0.25">
      <c r="A236" s="47" t="s">
        <v>417</v>
      </c>
      <c r="B236" s="12" t="s">
        <v>418</v>
      </c>
      <c r="C236" s="17">
        <v>42205</v>
      </c>
      <c r="D236" s="10" t="s">
        <v>278</v>
      </c>
      <c r="E236" s="11" t="s">
        <v>24</v>
      </c>
      <c r="F236" s="11" t="s">
        <v>361</v>
      </c>
      <c r="G236" s="13" t="s">
        <v>366</v>
      </c>
      <c r="H236" s="13" t="s">
        <v>41</v>
      </c>
      <c r="I236" s="65">
        <v>5959</v>
      </c>
      <c r="J236" s="65">
        <v>53</v>
      </c>
      <c r="K236" s="65" t="s">
        <v>486</v>
      </c>
      <c r="L236" s="65" t="s">
        <v>486</v>
      </c>
      <c r="M236" s="65" t="s">
        <v>486</v>
      </c>
      <c r="N236" s="65" t="s">
        <v>486</v>
      </c>
      <c r="O236" s="65" t="s">
        <v>486</v>
      </c>
      <c r="P236" s="65" t="s">
        <v>486</v>
      </c>
      <c r="Q236" s="4"/>
      <c r="R236" s="4"/>
      <c r="S236" s="23">
        <f t="shared" si="6"/>
        <v>5959</v>
      </c>
      <c r="T236" s="23">
        <f t="shared" si="7"/>
        <v>53</v>
      </c>
    </row>
    <row r="237" spans="1:91" ht="30" x14ac:dyDescent="0.25">
      <c r="A237" s="61" t="s">
        <v>416</v>
      </c>
      <c r="B237" s="55" t="s">
        <v>237</v>
      </c>
      <c r="C237" s="62">
        <v>42205</v>
      </c>
      <c r="D237" s="63" t="s">
        <v>278</v>
      </c>
      <c r="E237" s="64" t="s">
        <v>23</v>
      </c>
      <c r="F237" s="64" t="s">
        <v>35</v>
      </c>
      <c r="G237" s="56" t="s">
        <v>365</v>
      </c>
      <c r="H237" s="56" t="s">
        <v>40</v>
      </c>
      <c r="I237" s="65">
        <v>1010</v>
      </c>
      <c r="J237" s="65">
        <v>10</v>
      </c>
      <c r="K237" s="65" t="s">
        <v>486</v>
      </c>
      <c r="L237" s="65" t="s">
        <v>486</v>
      </c>
      <c r="M237" s="65">
        <v>119</v>
      </c>
      <c r="N237" s="65">
        <v>0</v>
      </c>
      <c r="O237" s="65">
        <v>269</v>
      </c>
      <c r="P237" s="65">
        <v>0</v>
      </c>
      <c r="Q237" s="57"/>
      <c r="R237" s="57"/>
      <c r="S237" s="58">
        <f t="shared" si="6"/>
        <v>1398</v>
      </c>
      <c r="T237" s="58">
        <f t="shared" si="7"/>
        <v>10</v>
      </c>
    </row>
    <row r="238" spans="1:91" s="59" customFormat="1" x14ac:dyDescent="0.25">
      <c r="A238" s="61" t="s">
        <v>419</v>
      </c>
      <c r="B238" s="55" t="s">
        <v>223</v>
      </c>
      <c r="C238" s="62">
        <v>42206</v>
      </c>
      <c r="D238" s="63" t="s">
        <v>19</v>
      </c>
      <c r="E238" s="64" t="s">
        <v>24</v>
      </c>
      <c r="F238" s="64" t="s">
        <v>361</v>
      </c>
      <c r="G238" s="56" t="s">
        <v>366</v>
      </c>
      <c r="H238" s="56" t="s">
        <v>41</v>
      </c>
      <c r="I238" s="65">
        <v>4066</v>
      </c>
      <c r="J238" s="65">
        <v>2</v>
      </c>
      <c r="K238" s="65" t="s">
        <v>486</v>
      </c>
      <c r="L238" s="65" t="s">
        <v>486</v>
      </c>
      <c r="M238" s="65">
        <v>843</v>
      </c>
      <c r="N238" s="65">
        <v>0</v>
      </c>
      <c r="O238" s="65" t="s">
        <v>486</v>
      </c>
      <c r="P238" s="65" t="s">
        <v>486</v>
      </c>
      <c r="Q238" s="57"/>
      <c r="R238" s="57"/>
      <c r="S238" s="58">
        <f t="shared" si="6"/>
        <v>4909</v>
      </c>
      <c r="T238" s="58">
        <f t="shared" si="7"/>
        <v>2</v>
      </c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  <c r="BC238" s="6"/>
      <c r="BD238" s="6"/>
      <c r="BE238" s="6"/>
      <c r="BF238" s="6"/>
      <c r="BG238" s="6"/>
      <c r="BH238" s="6"/>
      <c r="BI238" s="6"/>
      <c r="BJ238" s="6"/>
      <c r="BK238" s="6"/>
      <c r="BL238" s="6"/>
      <c r="BM238" s="6"/>
      <c r="BN238" s="6"/>
      <c r="BO238" s="6"/>
      <c r="BP238" s="6"/>
      <c r="BQ238" s="6"/>
      <c r="BR238" s="6"/>
      <c r="BS238" s="6"/>
      <c r="BT238" s="6"/>
      <c r="BU238" s="6"/>
      <c r="BV238" s="6"/>
      <c r="BW238" s="6"/>
      <c r="BX238" s="6"/>
      <c r="BY238" s="6"/>
      <c r="BZ238" s="6"/>
      <c r="CA238" s="6"/>
      <c r="CB238" s="6"/>
      <c r="CC238" s="6"/>
      <c r="CD238" s="6"/>
      <c r="CE238" s="6"/>
      <c r="CF238" s="6"/>
      <c r="CG238" s="6"/>
      <c r="CH238" s="6"/>
      <c r="CI238" s="6"/>
      <c r="CJ238" s="6"/>
      <c r="CK238" s="6"/>
      <c r="CL238" s="6"/>
      <c r="CM238" s="6"/>
    </row>
    <row r="239" spans="1:91" s="42" customFormat="1" x14ac:dyDescent="0.25">
      <c r="A239" s="61" t="s">
        <v>420</v>
      </c>
      <c r="B239" s="55" t="s">
        <v>421</v>
      </c>
      <c r="C239" s="62">
        <v>42206</v>
      </c>
      <c r="D239" s="63"/>
      <c r="E239" s="64" t="s">
        <v>24</v>
      </c>
      <c r="F239" s="64" t="s">
        <v>34</v>
      </c>
      <c r="G239" s="56" t="s">
        <v>366</v>
      </c>
      <c r="H239" s="56" t="s">
        <v>41</v>
      </c>
      <c r="I239" s="65">
        <v>593</v>
      </c>
      <c r="J239" s="65">
        <v>1</v>
      </c>
      <c r="K239" s="65" t="s">
        <v>486</v>
      </c>
      <c r="L239" s="65" t="s">
        <v>486</v>
      </c>
      <c r="M239" s="65" t="s">
        <v>486</v>
      </c>
      <c r="N239" s="65" t="s">
        <v>486</v>
      </c>
      <c r="O239" s="65" t="s">
        <v>486</v>
      </c>
      <c r="P239" s="65" t="s">
        <v>486</v>
      </c>
      <c r="Q239" s="57"/>
      <c r="R239" s="57"/>
      <c r="S239" s="58">
        <f t="shared" si="6"/>
        <v>593</v>
      </c>
      <c r="T239" s="58">
        <f t="shared" si="7"/>
        <v>1</v>
      </c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  <c r="BC239" s="6"/>
      <c r="BD239" s="6"/>
      <c r="BE239" s="6"/>
      <c r="BF239" s="6"/>
      <c r="BG239" s="6"/>
      <c r="BH239" s="6"/>
      <c r="BI239" s="6"/>
      <c r="BJ239" s="6"/>
      <c r="BK239" s="6"/>
      <c r="BL239" s="6"/>
      <c r="BM239" s="6"/>
      <c r="BN239" s="6"/>
      <c r="BO239" s="6"/>
      <c r="BP239" s="6"/>
      <c r="BQ239" s="6"/>
      <c r="BR239" s="6"/>
      <c r="BS239" s="6"/>
      <c r="BT239" s="6"/>
      <c r="BU239" s="6"/>
      <c r="BV239" s="6"/>
      <c r="BW239" s="6"/>
      <c r="BX239" s="6"/>
      <c r="BY239" s="6"/>
      <c r="BZ239" s="6"/>
      <c r="CA239" s="6"/>
      <c r="CB239" s="6"/>
      <c r="CC239" s="6"/>
      <c r="CD239" s="6"/>
      <c r="CE239" s="6"/>
      <c r="CF239" s="6"/>
      <c r="CG239" s="6"/>
      <c r="CH239" s="6"/>
      <c r="CI239" s="6"/>
      <c r="CJ239" s="6"/>
      <c r="CK239" s="6"/>
      <c r="CL239" s="6"/>
      <c r="CM239" s="6"/>
    </row>
    <row r="240" spans="1:91" s="42" customFormat="1" ht="45" x14ac:dyDescent="0.25">
      <c r="A240" s="61" t="s">
        <v>422</v>
      </c>
      <c r="B240" s="55" t="s">
        <v>423</v>
      </c>
      <c r="C240" s="62">
        <v>42206</v>
      </c>
      <c r="D240" s="63" t="s">
        <v>19</v>
      </c>
      <c r="E240" s="64" t="s">
        <v>24</v>
      </c>
      <c r="F240" s="64" t="s">
        <v>34</v>
      </c>
      <c r="G240" s="56" t="s">
        <v>365</v>
      </c>
      <c r="H240" s="56" t="s">
        <v>482</v>
      </c>
      <c r="I240" s="65">
        <v>727</v>
      </c>
      <c r="J240" s="65">
        <v>15</v>
      </c>
      <c r="K240" s="65" t="s">
        <v>486</v>
      </c>
      <c r="L240" s="65" t="s">
        <v>486</v>
      </c>
      <c r="M240" s="65" t="s">
        <v>486</v>
      </c>
      <c r="N240" s="65" t="s">
        <v>486</v>
      </c>
      <c r="O240" s="65">
        <v>785</v>
      </c>
      <c r="P240" s="65">
        <v>0</v>
      </c>
      <c r="Q240" s="57"/>
      <c r="R240" s="57"/>
      <c r="S240" s="58">
        <f t="shared" si="6"/>
        <v>1512</v>
      </c>
      <c r="T240" s="58">
        <f t="shared" si="7"/>
        <v>15</v>
      </c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  <c r="BC240" s="6"/>
      <c r="BD240" s="6"/>
      <c r="BE240" s="6"/>
      <c r="BF240" s="6"/>
      <c r="BG240" s="6"/>
      <c r="BH240" s="6"/>
      <c r="BI240" s="6"/>
      <c r="BJ240" s="6"/>
      <c r="BK240" s="6"/>
      <c r="BL240" s="6"/>
      <c r="BM240" s="6"/>
      <c r="BN240" s="6"/>
      <c r="BO240" s="6"/>
      <c r="BP240" s="6"/>
      <c r="BQ240" s="6"/>
      <c r="BR240" s="6"/>
      <c r="BS240" s="6"/>
      <c r="BT240" s="6"/>
      <c r="BU240" s="6"/>
      <c r="BV240" s="6"/>
      <c r="BW240" s="6"/>
      <c r="BX240" s="6"/>
      <c r="BY240" s="6"/>
      <c r="BZ240" s="6"/>
      <c r="CA240" s="6"/>
      <c r="CB240" s="6"/>
      <c r="CC240" s="6"/>
      <c r="CD240" s="6"/>
      <c r="CE240" s="6"/>
      <c r="CF240" s="6"/>
      <c r="CG240" s="6"/>
      <c r="CH240" s="6"/>
      <c r="CI240" s="6"/>
      <c r="CJ240" s="6"/>
      <c r="CK240" s="6"/>
      <c r="CL240" s="6"/>
      <c r="CM240" s="6"/>
    </row>
    <row r="241" spans="1:91" s="42" customFormat="1" x14ac:dyDescent="0.25">
      <c r="A241" s="61" t="s">
        <v>425</v>
      </c>
      <c r="B241" s="55" t="s">
        <v>223</v>
      </c>
      <c r="C241" s="62">
        <v>42207</v>
      </c>
      <c r="D241" s="63" t="s">
        <v>19</v>
      </c>
      <c r="E241" s="64" t="s">
        <v>361</v>
      </c>
      <c r="F241" s="64" t="s">
        <v>361</v>
      </c>
      <c r="G241" s="56" t="s">
        <v>366</v>
      </c>
      <c r="H241" s="56" t="s">
        <v>41</v>
      </c>
      <c r="I241" s="65">
        <v>4134</v>
      </c>
      <c r="J241" s="65">
        <v>0</v>
      </c>
      <c r="K241" s="65" t="s">
        <v>486</v>
      </c>
      <c r="L241" s="65" t="s">
        <v>486</v>
      </c>
      <c r="M241" s="65" t="s">
        <v>486</v>
      </c>
      <c r="N241" s="65" t="s">
        <v>486</v>
      </c>
      <c r="O241" s="65" t="s">
        <v>486</v>
      </c>
      <c r="P241" s="65" t="s">
        <v>486</v>
      </c>
      <c r="Q241" s="57"/>
      <c r="R241" s="57"/>
      <c r="S241" s="58">
        <f t="shared" si="6"/>
        <v>4134</v>
      </c>
      <c r="T241" s="58">
        <f t="shared" si="7"/>
        <v>0</v>
      </c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  <c r="BC241" s="6"/>
      <c r="BD241" s="6"/>
      <c r="BE241" s="6"/>
      <c r="BF241" s="6"/>
      <c r="BG241" s="6"/>
      <c r="BH241" s="6"/>
      <c r="BI241" s="6"/>
      <c r="BJ241" s="6"/>
      <c r="BK241" s="6"/>
      <c r="BL241" s="6"/>
      <c r="BM241" s="6"/>
      <c r="BN241" s="6"/>
      <c r="BO241" s="6"/>
      <c r="BP241" s="6"/>
      <c r="BQ241" s="6"/>
      <c r="BR241" s="6"/>
      <c r="BS241" s="6"/>
      <c r="BT241" s="6"/>
      <c r="BU241" s="6"/>
      <c r="BV241" s="6"/>
      <c r="BW241" s="6"/>
      <c r="BX241" s="6"/>
      <c r="BY241" s="6"/>
      <c r="BZ241" s="6"/>
      <c r="CA241" s="6"/>
      <c r="CB241" s="6"/>
      <c r="CC241" s="6"/>
      <c r="CD241" s="6"/>
      <c r="CE241" s="6"/>
      <c r="CF241" s="6"/>
      <c r="CG241" s="6"/>
      <c r="CH241" s="6"/>
      <c r="CI241" s="6"/>
      <c r="CJ241" s="6"/>
      <c r="CK241" s="6"/>
      <c r="CL241" s="6"/>
      <c r="CM241" s="6"/>
    </row>
    <row r="242" spans="1:91" s="42" customFormat="1" x14ac:dyDescent="0.25">
      <c r="A242" s="61" t="s">
        <v>424</v>
      </c>
      <c r="B242" s="55" t="s">
        <v>218</v>
      </c>
      <c r="C242" s="62">
        <v>42207</v>
      </c>
      <c r="D242" s="63"/>
      <c r="E242" s="64" t="s">
        <v>24</v>
      </c>
      <c r="F242" s="64" t="s">
        <v>35</v>
      </c>
      <c r="G242" s="56" t="s">
        <v>366</v>
      </c>
      <c r="H242" s="56" t="s">
        <v>41</v>
      </c>
      <c r="I242" s="65">
        <v>831</v>
      </c>
      <c r="J242" s="65">
        <v>0</v>
      </c>
      <c r="K242" s="65" t="s">
        <v>486</v>
      </c>
      <c r="L242" s="65" t="s">
        <v>486</v>
      </c>
      <c r="M242" s="65">
        <v>77</v>
      </c>
      <c r="N242" s="65">
        <v>0</v>
      </c>
      <c r="O242" s="65">
        <v>582</v>
      </c>
      <c r="P242" s="65">
        <v>0</v>
      </c>
      <c r="Q242" s="57"/>
      <c r="R242" s="57"/>
      <c r="S242" s="58">
        <f t="shared" si="6"/>
        <v>1490</v>
      </c>
      <c r="T242" s="58">
        <f t="shared" si="7"/>
        <v>0</v>
      </c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  <c r="BC242" s="6"/>
      <c r="BD242" s="6"/>
      <c r="BE242" s="6"/>
      <c r="BF242" s="6"/>
      <c r="BG242" s="6"/>
      <c r="BH242" s="6"/>
      <c r="BI242" s="6"/>
      <c r="BJ242" s="6"/>
      <c r="BK242" s="6"/>
      <c r="BL242" s="6"/>
      <c r="BM242" s="6"/>
      <c r="BN242" s="6"/>
      <c r="BO242" s="6"/>
      <c r="BP242" s="6"/>
      <c r="BQ242" s="6"/>
      <c r="BR242" s="6"/>
      <c r="BS242" s="6"/>
      <c r="BT242" s="6"/>
      <c r="BU242" s="6"/>
      <c r="BV242" s="6"/>
      <c r="BW242" s="6"/>
      <c r="BX242" s="6"/>
      <c r="BY242" s="6"/>
      <c r="BZ242" s="6"/>
      <c r="CA242" s="6"/>
      <c r="CB242" s="6"/>
      <c r="CC242" s="6"/>
      <c r="CD242" s="6"/>
      <c r="CE242" s="6"/>
      <c r="CF242" s="6"/>
      <c r="CG242" s="6"/>
      <c r="CH242" s="6"/>
      <c r="CI242" s="6"/>
      <c r="CJ242" s="6"/>
      <c r="CK242" s="6"/>
      <c r="CL242" s="6"/>
      <c r="CM242" s="6"/>
    </row>
    <row r="243" spans="1:91" s="42" customFormat="1" x14ac:dyDescent="0.25">
      <c r="A243" s="61" t="s">
        <v>426</v>
      </c>
      <c r="B243" s="55" t="s">
        <v>229</v>
      </c>
      <c r="C243" s="62">
        <v>42208</v>
      </c>
      <c r="D243" s="63" t="s">
        <v>21</v>
      </c>
      <c r="E243" s="64" t="s">
        <v>361</v>
      </c>
      <c r="F243" s="64" t="s">
        <v>361</v>
      </c>
      <c r="G243" s="56" t="s">
        <v>366</v>
      </c>
      <c r="H243" s="56" t="s">
        <v>36</v>
      </c>
      <c r="I243" s="65">
        <v>1089</v>
      </c>
      <c r="J243" s="65">
        <v>7</v>
      </c>
      <c r="K243" s="65">
        <v>734</v>
      </c>
      <c r="L243" s="65">
        <v>0</v>
      </c>
      <c r="M243" s="65" t="s">
        <v>486</v>
      </c>
      <c r="N243" s="65" t="s">
        <v>486</v>
      </c>
      <c r="O243" s="65" t="s">
        <v>486</v>
      </c>
      <c r="P243" s="65" t="s">
        <v>486</v>
      </c>
      <c r="Q243" s="57"/>
      <c r="R243" s="57"/>
      <c r="S243" s="58">
        <f t="shared" si="6"/>
        <v>1823</v>
      </c>
      <c r="T243" s="58">
        <f t="shared" si="7"/>
        <v>7</v>
      </c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  <c r="BC243" s="6"/>
      <c r="BD243" s="6"/>
      <c r="BE243" s="6"/>
      <c r="BF243" s="6"/>
      <c r="BG243" s="6"/>
      <c r="BH243" s="6"/>
      <c r="BI243" s="6"/>
      <c r="BJ243" s="6"/>
      <c r="BK243" s="6"/>
      <c r="BL243" s="6"/>
      <c r="BM243" s="6"/>
      <c r="BN243" s="6"/>
      <c r="BO243" s="6"/>
      <c r="BP243" s="6"/>
      <c r="BQ243" s="6"/>
      <c r="BR243" s="6"/>
      <c r="BS243" s="6"/>
      <c r="BT243" s="6"/>
      <c r="BU243" s="6"/>
      <c r="BV243" s="6"/>
      <c r="BW243" s="6"/>
      <c r="BX243" s="6"/>
      <c r="BY243" s="6"/>
      <c r="BZ243" s="6"/>
      <c r="CA243" s="6"/>
      <c r="CB243" s="6"/>
      <c r="CC243" s="6"/>
      <c r="CD243" s="6"/>
      <c r="CE243" s="6"/>
      <c r="CF243" s="6"/>
      <c r="CG243" s="6"/>
      <c r="CH243" s="6"/>
      <c r="CI243" s="6"/>
      <c r="CJ243" s="6"/>
      <c r="CK243" s="6"/>
      <c r="CL243" s="6"/>
      <c r="CM243" s="6"/>
    </row>
    <row r="244" spans="1:91" s="42" customFormat="1" x14ac:dyDescent="0.25">
      <c r="A244" s="61" t="s">
        <v>427</v>
      </c>
      <c r="B244" s="55" t="s">
        <v>223</v>
      </c>
      <c r="C244" s="62">
        <v>42208</v>
      </c>
      <c r="D244" s="63" t="s">
        <v>19</v>
      </c>
      <c r="E244" s="64" t="s">
        <v>24</v>
      </c>
      <c r="F244" s="64" t="s">
        <v>329</v>
      </c>
      <c r="G244" s="56" t="s">
        <v>366</v>
      </c>
      <c r="H244" s="56" t="s">
        <v>40</v>
      </c>
      <c r="I244" s="65">
        <v>844</v>
      </c>
      <c r="J244" s="65">
        <v>1</v>
      </c>
      <c r="K244" s="65" t="s">
        <v>486</v>
      </c>
      <c r="L244" s="65" t="s">
        <v>486</v>
      </c>
      <c r="M244" s="65" t="s">
        <v>486</v>
      </c>
      <c r="N244" s="65" t="s">
        <v>486</v>
      </c>
      <c r="O244" s="65">
        <v>900</v>
      </c>
      <c r="P244" s="65">
        <v>0</v>
      </c>
      <c r="Q244" s="57"/>
      <c r="R244" s="57"/>
      <c r="S244" s="58">
        <f t="shared" si="6"/>
        <v>1744</v>
      </c>
      <c r="T244" s="58">
        <f t="shared" si="7"/>
        <v>1</v>
      </c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  <c r="BC244" s="6"/>
      <c r="BD244" s="6"/>
      <c r="BE244" s="6"/>
      <c r="BF244" s="6"/>
      <c r="BG244" s="6"/>
      <c r="BH244" s="6"/>
      <c r="BI244" s="6"/>
      <c r="BJ244" s="6"/>
      <c r="BK244" s="6"/>
      <c r="BL244" s="6"/>
      <c r="BM244" s="6"/>
      <c r="BN244" s="6"/>
      <c r="BO244" s="6"/>
      <c r="BP244" s="6"/>
      <c r="BQ244" s="6"/>
      <c r="BR244" s="6"/>
      <c r="BS244" s="6"/>
      <c r="BT244" s="6"/>
      <c r="BU244" s="6"/>
      <c r="BV244" s="6"/>
      <c r="BW244" s="6"/>
      <c r="BX244" s="6"/>
      <c r="BY244" s="6"/>
      <c r="BZ244" s="6"/>
      <c r="CA244" s="6"/>
      <c r="CB244" s="6"/>
      <c r="CC244" s="6"/>
      <c r="CD244" s="6"/>
      <c r="CE244" s="6"/>
      <c r="CF244" s="6"/>
      <c r="CG244" s="6"/>
      <c r="CH244" s="6"/>
      <c r="CI244" s="6"/>
      <c r="CJ244" s="6"/>
      <c r="CK244" s="6"/>
      <c r="CL244" s="6"/>
      <c r="CM244" s="6"/>
    </row>
    <row r="245" spans="1:91" s="59" customFormat="1" x14ac:dyDescent="0.25">
      <c r="A245" s="61" t="s">
        <v>429</v>
      </c>
      <c r="B245" s="55" t="s">
        <v>218</v>
      </c>
      <c r="C245" s="62">
        <v>42209</v>
      </c>
      <c r="D245" s="63"/>
      <c r="E245" s="64" t="s">
        <v>361</v>
      </c>
      <c r="F245" s="64" t="s">
        <v>28</v>
      </c>
      <c r="G245" s="56" t="s">
        <v>366</v>
      </c>
      <c r="H245" s="56" t="s">
        <v>41</v>
      </c>
      <c r="I245" s="65">
        <v>2267</v>
      </c>
      <c r="J245" s="65">
        <v>8</v>
      </c>
      <c r="K245" s="65" t="s">
        <v>486</v>
      </c>
      <c r="L245" s="65" t="s">
        <v>486</v>
      </c>
      <c r="M245" s="65" t="s">
        <v>486</v>
      </c>
      <c r="N245" s="65" t="s">
        <v>486</v>
      </c>
      <c r="O245" s="65" t="s">
        <v>486</v>
      </c>
      <c r="P245" s="65" t="s">
        <v>486</v>
      </c>
      <c r="Q245" s="57"/>
      <c r="R245" s="57"/>
      <c r="S245" s="58">
        <f t="shared" si="6"/>
        <v>2267</v>
      </c>
      <c r="T245" s="58">
        <f t="shared" si="7"/>
        <v>8</v>
      </c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  <c r="BC245" s="6"/>
      <c r="BD245" s="6"/>
      <c r="BE245" s="6"/>
      <c r="BF245" s="6"/>
      <c r="BG245" s="6"/>
      <c r="BH245" s="6"/>
      <c r="BI245" s="6"/>
      <c r="BJ245" s="6"/>
      <c r="BK245" s="6"/>
      <c r="BL245" s="6"/>
      <c r="BM245" s="6"/>
      <c r="BN245" s="6"/>
      <c r="BO245" s="6"/>
      <c r="BP245" s="6"/>
      <c r="BQ245" s="6"/>
      <c r="BR245" s="6"/>
      <c r="BS245" s="6"/>
      <c r="BT245" s="6"/>
      <c r="BU245" s="6"/>
      <c r="BV245" s="6"/>
      <c r="BW245" s="6"/>
      <c r="BX245" s="6"/>
      <c r="BY245" s="6"/>
      <c r="BZ245" s="6"/>
      <c r="CA245" s="6"/>
      <c r="CB245" s="6"/>
      <c r="CC245" s="6"/>
      <c r="CD245" s="6"/>
      <c r="CE245" s="6"/>
      <c r="CF245" s="6"/>
      <c r="CG245" s="6"/>
      <c r="CH245" s="6"/>
      <c r="CI245" s="6"/>
      <c r="CJ245" s="6"/>
      <c r="CK245" s="6"/>
      <c r="CL245" s="6"/>
      <c r="CM245" s="6"/>
    </row>
    <row r="246" spans="1:91" s="59" customFormat="1" x14ac:dyDescent="0.25">
      <c r="A246" s="61" t="s">
        <v>428</v>
      </c>
      <c r="B246" s="55" t="s">
        <v>228</v>
      </c>
      <c r="C246" s="62">
        <v>42209</v>
      </c>
      <c r="D246" s="63" t="s">
        <v>21</v>
      </c>
      <c r="E246" s="64" t="s">
        <v>24</v>
      </c>
      <c r="F246" s="64" t="s">
        <v>29</v>
      </c>
      <c r="G246" s="56" t="s">
        <v>365</v>
      </c>
      <c r="H246" s="56" t="s">
        <v>40</v>
      </c>
      <c r="I246" s="65">
        <v>779</v>
      </c>
      <c r="J246" s="65">
        <v>3</v>
      </c>
      <c r="K246" s="65" t="s">
        <v>486</v>
      </c>
      <c r="L246" s="65" t="s">
        <v>486</v>
      </c>
      <c r="M246" s="65">
        <v>22</v>
      </c>
      <c r="N246" s="65">
        <v>0</v>
      </c>
      <c r="O246" s="65" t="s">
        <v>486</v>
      </c>
      <c r="P246" s="65" t="s">
        <v>486</v>
      </c>
      <c r="Q246" s="57"/>
      <c r="R246" s="57"/>
      <c r="S246" s="58">
        <f t="shared" si="6"/>
        <v>801</v>
      </c>
      <c r="T246" s="58">
        <f t="shared" si="7"/>
        <v>3</v>
      </c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  <c r="BC246" s="6"/>
      <c r="BD246" s="6"/>
      <c r="BE246" s="6"/>
      <c r="BF246" s="6"/>
      <c r="BG246" s="6"/>
      <c r="BH246" s="6"/>
      <c r="BI246" s="6"/>
      <c r="BJ246" s="6"/>
      <c r="BK246" s="6"/>
      <c r="BL246" s="6"/>
      <c r="BM246" s="6"/>
      <c r="BN246" s="6"/>
      <c r="BO246" s="6"/>
      <c r="BP246" s="6"/>
      <c r="BQ246" s="6"/>
      <c r="BR246" s="6"/>
      <c r="BS246" s="6"/>
      <c r="BT246" s="6"/>
      <c r="BU246" s="6"/>
      <c r="BV246" s="6"/>
      <c r="BW246" s="6"/>
      <c r="BX246" s="6"/>
      <c r="BY246" s="6"/>
      <c r="BZ246" s="6"/>
      <c r="CA246" s="6"/>
      <c r="CB246" s="6"/>
      <c r="CC246" s="6"/>
      <c r="CD246" s="6"/>
      <c r="CE246" s="6"/>
      <c r="CF246" s="6"/>
      <c r="CG246" s="6"/>
      <c r="CH246" s="6"/>
      <c r="CI246" s="6"/>
      <c r="CJ246" s="6"/>
      <c r="CK246" s="6"/>
      <c r="CL246" s="6"/>
      <c r="CM246" s="6"/>
    </row>
    <row r="247" spans="1:91" s="42" customFormat="1" x14ac:dyDescent="0.25">
      <c r="A247" s="61" t="s">
        <v>432</v>
      </c>
      <c r="B247" s="55" t="s">
        <v>433</v>
      </c>
      <c r="C247" s="62">
        <v>42212</v>
      </c>
      <c r="D247" s="63" t="s">
        <v>21</v>
      </c>
      <c r="E247" s="64" t="s">
        <v>361</v>
      </c>
      <c r="F247" s="64" t="s">
        <v>34</v>
      </c>
      <c r="G247" s="56" t="s">
        <v>366</v>
      </c>
      <c r="H247" s="56" t="s">
        <v>41</v>
      </c>
      <c r="I247" s="65">
        <v>946</v>
      </c>
      <c r="J247" s="65">
        <v>2</v>
      </c>
      <c r="K247" s="65" t="s">
        <v>486</v>
      </c>
      <c r="L247" s="65" t="s">
        <v>486</v>
      </c>
      <c r="M247" s="65" t="s">
        <v>486</v>
      </c>
      <c r="N247" s="65" t="s">
        <v>486</v>
      </c>
      <c r="O247" s="65" t="s">
        <v>486</v>
      </c>
      <c r="P247" s="65" t="s">
        <v>486</v>
      </c>
      <c r="Q247" s="57"/>
      <c r="R247" s="57"/>
      <c r="S247" s="58">
        <f t="shared" si="6"/>
        <v>946</v>
      </c>
      <c r="T247" s="58">
        <f t="shared" si="7"/>
        <v>2</v>
      </c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  <c r="BC247" s="6"/>
      <c r="BD247" s="6"/>
      <c r="BE247" s="6"/>
      <c r="BF247" s="6"/>
      <c r="BG247" s="6"/>
      <c r="BH247" s="6"/>
      <c r="BI247" s="6"/>
      <c r="BJ247" s="6"/>
      <c r="BK247" s="6"/>
      <c r="BL247" s="6"/>
      <c r="BM247" s="6"/>
      <c r="BN247" s="6"/>
      <c r="BO247" s="6"/>
      <c r="BP247" s="6"/>
      <c r="BQ247" s="6"/>
      <c r="BR247" s="6"/>
      <c r="BS247" s="6"/>
      <c r="BT247" s="6"/>
      <c r="BU247" s="6"/>
      <c r="BV247" s="6"/>
      <c r="BW247" s="6"/>
      <c r="BX247" s="6"/>
      <c r="BY247" s="6"/>
      <c r="BZ247" s="6"/>
      <c r="CA247" s="6"/>
      <c r="CB247" s="6"/>
      <c r="CC247" s="6"/>
      <c r="CD247" s="6"/>
      <c r="CE247" s="6"/>
      <c r="CF247" s="6"/>
      <c r="CG247" s="6"/>
      <c r="CH247" s="6"/>
      <c r="CI247" s="6"/>
      <c r="CJ247" s="6"/>
      <c r="CK247" s="6"/>
      <c r="CL247" s="6"/>
      <c r="CM247" s="6"/>
    </row>
    <row r="248" spans="1:91" s="42" customFormat="1" x14ac:dyDescent="0.25">
      <c r="A248" s="61" t="s">
        <v>430</v>
      </c>
      <c r="B248" s="55" t="s">
        <v>266</v>
      </c>
      <c r="C248" s="62">
        <v>42212</v>
      </c>
      <c r="D248" s="63" t="s">
        <v>19</v>
      </c>
      <c r="E248" s="64" t="s">
        <v>431</v>
      </c>
      <c r="F248" s="64" t="s">
        <v>329</v>
      </c>
      <c r="G248" s="56" t="s">
        <v>366</v>
      </c>
      <c r="H248" s="56" t="s">
        <v>40</v>
      </c>
      <c r="I248" s="65">
        <v>534</v>
      </c>
      <c r="J248" s="65">
        <v>1</v>
      </c>
      <c r="K248" s="65" t="s">
        <v>486</v>
      </c>
      <c r="L248" s="65" t="s">
        <v>486</v>
      </c>
      <c r="M248" s="65" t="s">
        <v>486</v>
      </c>
      <c r="N248" s="65" t="s">
        <v>486</v>
      </c>
      <c r="O248" s="65">
        <v>720</v>
      </c>
      <c r="P248" s="65">
        <v>0</v>
      </c>
      <c r="Q248" s="57"/>
      <c r="R248" s="57"/>
      <c r="S248" s="58">
        <f t="shared" si="6"/>
        <v>1254</v>
      </c>
      <c r="T248" s="58">
        <f t="shared" si="7"/>
        <v>1</v>
      </c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  <c r="BC248" s="6"/>
      <c r="BD248" s="6"/>
      <c r="BE248" s="6"/>
      <c r="BF248" s="6"/>
      <c r="BG248" s="6"/>
      <c r="BH248" s="6"/>
      <c r="BI248" s="6"/>
      <c r="BJ248" s="6"/>
      <c r="BK248" s="6"/>
      <c r="BL248" s="6"/>
      <c r="BM248" s="6"/>
      <c r="BN248" s="6"/>
      <c r="BO248" s="6"/>
      <c r="BP248" s="6"/>
      <c r="BQ248" s="6"/>
      <c r="BR248" s="6"/>
      <c r="BS248" s="6"/>
      <c r="BT248" s="6"/>
      <c r="BU248" s="6"/>
      <c r="BV248" s="6"/>
      <c r="BW248" s="6"/>
      <c r="BX248" s="6"/>
      <c r="BY248" s="6"/>
      <c r="BZ248" s="6"/>
      <c r="CA248" s="6"/>
      <c r="CB248" s="6"/>
      <c r="CC248" s="6"/>
      <c r="CD248" s="6"/>
      <c r="CE248" s="6"/>
      <c r="CF248" s="6"/>
      <c r="CG248" s="6"/>
      <c r="CH248" s="6"/>
      <c r="CI248" s="6"/>
      <c r="CJ248" s="6"/>
      <c r="CK248" s="6"/>
      <c r="CL248" s="6"/>
      <c r="CM248" s="6"/>
    </row>
    <row r="249" spans="1:91" s="59" customFormat="1" x14ac:dyDescent="0.25">
      <c r="A249" s="47" t="s">
        <v>435</v>
      </c>
      <c r="B249" s="12" t="s">
        <v>436</v>
      </c>
      <c r="C249" s="17">
        <v>42213</v>
      </c>
      <c r="D249" s="10"/>
      <c r="E249" s="11" t="s">
        <v>24</v>
      </c>
      <c r="F249" s="11" t="s">
        <v>361</v>
      </c>
      <c r="G249" s="13" t="s">
        <v>366</v>
      </c>
      <c r="H249" s="13" t="s">
        <v>41</v>
      </c>
      <c r="I249" s="65">
        <v>2879</v>
      </c>
      <c r="J249" s="65">
        <v>11</v>
      </c>
      <c r="K249" s="65" t="s">
        <v>486</v>
      </c>
      <c r="L249" s="65" t="s">
        <v>486</v>
      </c>
      <c r="M249" s="65" t="s">
        <v>486</v>
      </c>
      <c r="N249" s="65" t="s">
        <v>486</v>
      </c>
      <c r="O249" s="65" t="s">
        <v>486</v>
      </c>
      <c r="P249" s="65" t="s">
        <v>486</v>
      </c>
      <c r="Q249" s="4"/>
      <c r="R249" s="4"/>
      <c r="S249" s="23">
        <f t="shared" si="6"/>
        <v>2879</v>
      </c>
      <c r="T249" s="23">
        <f t="shared" si="7"/>
        <v>11</v>
      </c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  <c r="BC249" s="6"/>
      <c r="BD249" s="6"/>
      <c r="BE249" s="6"/>
      <c r="BF249" s="6"/>
      <c r="BG249" s="6"/>
      <c r="BH249" s="6"/>
      <c r="BI249" s="6"/>
      <c r="BJ249" s="6"/>
      <c r="BK249" s="6"/>
      <c r="BL249" s="6"/>
      <c r="BM249" s="6"/>
      <c r="BN249" s="6"/>
      <c r="BO249" s="6"/>
      <c r="BP249" s="6"/>
      <c r="BQ249" s="6"/>
      <c r="BR249" s="6"/>
      <c r="BS249" s="6"/>
      <c r="BT249" s="6"/>
      <c r="BU249" s="6"/>
      <c r="BV249" s="6"/>
      <c r="BW249" s="6"/>
      <c r="BX249" s="6"/>
      <c r="BY249" s="6"/>
      <c r="BZ249" s="6"/>
      <c r="CA249" s="6"/>
      <c r="CB249" s="6"/>
      <c r="CC249" s="6"/>
      <c r="CD249" s="6"/>
      <c r="CE249" s="6"/>
      <c r="CF249" s="6"/>
      <c r="CG249" s="6"/>
      <c r="CH249" s="6"/>
      <c r="CI249" s="6"/>
      <c r="CJ249" s="6"/>
      <c r="CK249" s="6"/>
      <c r="CL249" s="6"/>
      <c r="CM249" s="6"/>
    </row>
    <row r="250" spans="1:91" x14ac:dyDescent="0.25">
      <c r="A250" s="47" t="s">
        <v>434</v>
      </c>
      <c r="B250" s="12" t="s">
        <v>221</v>
      </c>
      <c r="C250" s="17">
        <v>42213</v>
      </c>
      <c r="D250" s="10"/>
      <c r="E250" s="11" t="s">
        <v>361</v>
      </c>
      <c r="F250" s="11" t="s">
        <v>27</v>
      </c>
      <c r="G250" s="13" t="s">
        <v>366</v>
      </c>
      <c r="H250" s="13" t="s">
        <v>40</v>
      </c>
      <c r="I250" s="65">
        <v>1237</v>
      </c>
      <c r="J250" s="65">
        <v>9</v>
      </c>
      <c r="K250" s="65" t="s">
        <v>486</v>
      </c>
      <c r="L250" s="65" t="s">
        <v>486</v>
      </c>
      <c r="M250" s="65">
        <v>1061</v>
      </c>
      <c r="N250" s="65">
        <v>0</v>
      </c>
      <c r="O250" s="65" t="s">
        <v>486</v>
      </c>
      <c r="P250" s="65" t="s">
        <v>486</v>
      </c>
      <c r="Q250" s="4"/>
      <c r="R250" s="4"/>
      <c r="S250" s="23">
        <f t="shared" si="6"/>
        <v>2298</v>
      </c>
      <c r="T250" s="23">
        <f t="shared" si="7"/>
        <v>9</v>
      </c>
    </row>
    <row r="251" spans="1:91" s="42" customFormat="1" x14ac:dyDescent="0.25">
      <c r="A251" s="61" t="s">
        <v>437</v>
      </c>
      <c r="B251" s="55" t="s">
        <v>246</v>
      </c>
      <c r="C251" s="62">
        <v>42214</v>
      </c>
      <c r="D251" s="63" t="s">
        <v>21</v>
      </c>
      <c r="E251" s="64" t="s">
        <v>24</v>
      </c>
      <c r="F251" s="64" t="s">
        <v>438</v>
      </c>
      <c r="G251" s="56" t="s">
        <v>365</v>
      </c>
      <c r="H251" s="56" t="s">
        <v>40</v>
      </c>
      <c r="I251" s="65">
        <v>1297</v>
      </c>
      <c r="J251" s="65">
        <v>26</v>
      </c>
      <c r="K251" s="65" t="s">
        <v>486</v>
      </c>
      <c r="L251" s="65" t="s">
        <v>486</v>
      </c>
      <c r="M251" s="65" t="s">
        <v>486</v>
      </c>
      <c r="N251" s="65" t="s">
        <v>486</v>
      </c>
      <c r="O251" s="65" t="s">
        <v>486</v>
      </c>
      <c r="P251" s="65" t="s">
        <v>486</v>
      </c>
      <c r="Q251" s="57"/>
      <c r="R251" s="57"/>
      <c r="S251" s="58">
        <f t="shared" si="6"/>
        <v>1297</v>
      </c>
      <c r="T251" s="58">
        <f t="shared" si="7"/>
        <v>26</v>
      </c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  <c r="BC251" s="6"/>
      <c r="BD251" s="6"/>
      <c r="BE251" s="6"/>
      <c r="BF251" s="6"/>
      <c r="BG251" s="6"/>
      <c r="BH251" s="6"/>
      <c r="BI251" s="6"/>
      <c r="BJ251" s="6"/>
      <c r="BK251" s="6"/>
      <c r="BL251" s="6"/>
      <c r="BM251" s="6"/>
      <c r="BN251" s="6"/>
      <c r="BO251" s="6"/>
      <c r="BP251" s="6"/>
      <c r="BQ251" s="6"/>
      <c r="BR251" s="6"/>
      <c r="BS251" s="6"/>
      <c r="BT251" s="6"/>
      <c r="BU251" s="6"/>
      <c r="BV251" s="6"/>
      <c r="BW251" s="6"/>
      <c r="BX251" s="6"/>
      <c r="BY251" s="6"/>
      <c r="BZ251" s="6"/>
      <c r="CA251" s="6"/>
      <c r="CB251" s="6"/>
      <c r="CC251" s="6"/>
      <c r="CD251" s="6"/>
      <c r="CE251" s="6"/>
      <c r="CF251" s="6"/>
      <c r="CG251" s="6"/>
      <c r="CH251" s="6"/>
      <c r="CI251" s="6"/>
      <c r="CJ251" s="6"/>
      <c r="CK251" s="6"/>
      <c r="CL251" s="6"/>
      <c r="CM251" s="6"/>
    </row>
    <row r="252" spans="1:91" x14ac:dyDescent="0.25">
      <c r="A252" s="47" t="s">
        <v>439</v>
      </c>
      <c r="B252" s="12" t="s">
        <v>440</v>
      </c>
      <c r="C252" s="17">
        <v>42215</v>
      </c>
      <c r="D252" s="10"/>
      <c r="E252" s="11" t="s">
        <v>24</v>
      </c>
      <c r="F252" s="11" t="s">
        <v>361</v>
      </c>
      <c r="G252" s="13" t="s">
        <v>366</v>
      </c>
      <c r="H252" s="13" t="s">
        <v>41</v>
      </c>
      <c r="I252" s="65">
        <v>1002</v>
      </c>
      <c r="J252" s="65">
        <v>5</v>
      </c>
      <c r="K252" s="65" t="s">
        <v>486</v>
      </c>
      <c r="L252" s="65" t="s">
        <v>486</v>
      </c>
      <c r="M252" s="65">
        <v>96</v>
      </c>
      <c r="N252" s="65">
        <v>0</v>
      </c>
      <c r="O252" s="65" t="s">
        <v>486</v>
      </c>
      <c r="P252" s="65" t="s">
        <v>486</v>
      </c>
      <c r="Q252" s="4"/>
      <c r="R252" s="4"/>
      <c r="S252" s="23">
        <f t="shared" si="6"/>
        <v>1098</v>
      </c>
      <c r="T252" s="23">
        <f t="shared" si="7"/>
        <v>5</v>
      </c>
    </row>
    <row r="253" spans="1:91" s="59" customFormat="1" x14ac:dyDescent="0.25">
      <c r="A253" s="61" t="s">
        <v>441</v>
      </c>
      <c r="B253" s="55" t="s">
        <v>237</v>
      </c>
      <c r="C253" s="62">
        <v>42215</v>
      </c>
      <c r="D253" s="63" t="s">
        <v>19</v>
      </c>
      <c r="E253" s="64" t="s">
        <v>402</v>
      </c>
      <c r="F253" s="64" t="s">
        <v>361</v>
      </c>
      <c r="G253" s="56" t="s">
        <v>365</v>
      </c>
      <c r="H253" s="56" t="s">
        <v>40</v>
      </c>
      <c r="I253" s="65">
        <v>712</v>
      </c>
      <c r="J253" s="65">
        <v>3</v>
      </c>
      <c r="K253" s="65" t="s">
        <v>486</v>
      </c>
      <c r="L253" s="65" t="s">
        <v>486</v>
      </c>
      <c r="M253" s="65" t="s">
        <v>486</v>
      </c>
      <c r="N253" s="65" t="s">
        <v>486</v>
      </c>
      <c r="O253" s="65" t="s">
        <v>486</v>
      </c>
      <c r="P253" s="65" t="s">
        <v>486</v>
      </c>
      <c r="Q253" s="57"/>
      <c r="R253" s="57"/>
      <c r="S253" s="58">
        <f t="shared" si="6"/>
        <v>712</v>
      </c>
      <c r="T253" s="58">
        <f t="shared" si="7"/>
        <v>3</v>
      </c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  <c r="BC253" s="6"/>
      <c r="BD253" s="6"/>
      <c r="BE253" s="6"/>
      <c r="BF253" s="6"/>
      <c r="BG253" s="6"/>
      <c r="BH253" s="6"/>
      <c r="BI253" s="6"/>
      <c r="BJ253" s="6"/>
      <c r="BK253" s="6"/>
      <c r="BL253" s="6"/>
      <c r="BM253" s="6"/>
      <c r="BN253" s="6"/>
      <c r="BO253" s="6"/>
      <c r="BP253" s="6"/>
      <c r="BQ253" s="6"/>
      <c r="BR253" s="6"/>
      <c r="BS253" s="6"/>
      <c r="BT253" s="6"/>
      <c r="BU253" s="6"/>
      <c r="BV253" s="6"/>
      <c r="BW253" s="6"/>
      <c r="BX253" s="6"/>
      <c r="BY253" s="6"/>
      <c r="BZ253" s="6"/>
      <c r="CA253" s="6"/>
      <c r="CB253" s="6"/>
      <c r="CC253" s="6"/>
      <c r="CD253" s="6"/>
      <c r="CE253" s="6"/>
      <c r="CF253" s="6"/>
      <c r="CG253" s="6"/>
      <c r="CH253" s="6"/>
      <c r="CI253" s="6"/>
      <c r="CJ253" s="6"/>
      <c r="CK253" s="6"/>
      <c r="CL253" s="6"/>
      <c r="CM253" s="6"/>
    </row>
    <row r="254" spans="1:91" s="59" customFormat="1" x14ac:dyDescent="0.25">
      <c r="A254" s="61" t="s">
        <v>442</v>
      </c>
      <c r="B254" s="55" t="s">
        <v>423</v>
      </c>
      <c r="C254" s="62">
        <v>42216</v>
      </c>
      <c r="D254" s="63" t="s">
        <v>19</v>
      </c>
      <c r="E254" s="64" t="s">
        <v>24</v>
      </c>
      <c r="F254" s="64" t="s">
        <v>483</v>
      </c>
      <c r="G254" s="56" t="s">
        <v>366</v>
      </c>
      <c r="H254" s="56" t="s">
        <v>40</v>
      </c>
      <c r="I254" s="65">
        <v>1225</v>
      </c>
      <c r="J254" s="65">
        <v>12</v>
      </c>
      <c r="K254" s="65" t="s">
        <v>486</v>
      </c>
      <c r="L254" s="65" t="s">
        <v>486</v>
      </c>
      <c r="M254" s="65">
        <v>164</v>
      </c>
      <c r="N254" s="65">
        <v>0</v>
      </c>
      <c r="O254" s="65" t="s">
        <v>486</v>
      </c>
      <c r="P254" s="65" t="s">
        <v>486</v>
      </c>
      <c r="Q254" s="57"/>
      <c r="R254" s="57"/>
      <c r="S254" s="58">
        <f t="shared" si="6"/>
        <v>1389</v>
      </c>
      <c r="T254" s="58">
        <f t="shared" si="7"/>
        <v>12</v>
      </c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  <c r="BC254" s="6"/>
      <c r="BD254" s="6"/>
      <c r="BE254" s="6"/>
      <c r="BF254" s="6"/>
      <c r="BG254" s="6"/>
      <c r="BH254" s="6"/>
      <c r="BI254" s="6"/>
      <c r="BJ254" s="6"/>
      <c r="BK254" s="6"/>
      <c r="BL254" s="6"/>
      <c r="BM254" s="6"/>
      <c r="BN254" s="6"/>
      <c r="BO254" s="6"/>
      <c r="BP254" s="6"/>
      <c r="BQ254" s="6"/>
      <c r="BR254" s="6"/>
      <c r="BS254" s="6"/>
      <c r="BT254" s="6"/>
      <c r="BU254" s="6"/>
      <c r="BV254" s="6"/>
      <c r="BW254" s="6"/>
      <c r="BX254" s="6"/>
      <c r="BY254" s="6"/>
      <c r="BZ254" s="6"/>
      <c r="CA254" s="6"/>
      <c r="CB254" s="6"/>
      <c r="CC254" s="6"/>
      <c r="CD254" s="6"/>
      <c r="CE254" s="6"/>
      <c r="CF254" s="6"/>
      <c r="CG254" s="6"/>
      <c r="CH254" s="6"/>
      <c r="CI254" s="6"/>
      <c r="CJ254" s="6"/>
      <c r="CK254" s="6"/>
      <c r="CL254" s="6"/>
      <c r="CM254" s="6"/>
    </row>
    <row r="255" spans="1:91" s="59" customFormat="1" x14ac:dyDescent="0.25">
      <c r="A255" s="61" t="s">
        <v>443</v>
      </c>
      <c r="B255" s="55" t="s">
        <v>444</v>
      </c>
      <c r="C255" s="62">
        <v>42216</v>
      </c>
      <c r="D255" s="63" t="s">
        <v>21</v>
      </c>
      <c r="E255" s="64" t="s">
        <v>22</v>
      </c>
      <c r="F255" s="64" t="s">
        <v>361</v>
      </c>
      <c r="G255" s="56" t="s">
        <v>366</v>
      </c>
      <c r="H255" s="56" t="s">
        <v>41</v>
      </c>
      <c r="I255" s="65">
        <v>512</v>
      </c>
      <c r="J255" s="65">
        <v>1</v>
      </c>
      <c r="K255" s="65">
        <v>4458</v>
      </c>
      <c r="L255" s="65">
        <v>0</v>
      </c>
      <c r="M255" s="65">
        <v>39</v>
      </c>
      <c r="N255" s="65">
        <v>0</v>
      </c>
      <c r="O255" s="65" t="s">
        <v>486</v>
      </c>
      <c r="P255" s="65" t="s">
        <v>486</v>
      </c>
      <c r="Q255" s="57"/>
      <c r="R255" s="57"/>
      <c r="S255" s="58">
        <f t="shared" si="6"/>
        <v>5009</v>
      </c>
      <c r="T255" s="58">
        <f t="shared" si="7"/>
        <v>1</v>
      </c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  <c r="BC255" s="6"/>
      <c r="BD255" s="6"/>
      <c r="BE255" s="6"/>
      <c r="BF255" s="6"/>
      <c r="BG255" s="6"/>
      <c r="BH255" s="6"/>
      <c r="BI255" s="6"/>
      <c r="BJ255" s="6"/>
      <c r="BK255" s="6"/>
      <c r="BL255" s="6"/>
      <c r="BM255" s="6"/>
      <c r="BN255" s="6"/>
      <c r="BO255" s="6"/>
      <c r="BP255" s="6"/>
      <c r="BQ255" s="6"/>
      <c r="BR255" s="6"/>
      <c r="BS255" s="6"/>
      <c r="BT255" s="6"/>
      <c r="BU255" s="6"/>
      <c r="BV255" s="6"/>
      <c r="BW255" s="6"/>
      <c r="BX255" s="6"/>
      <c r="BY255" s="6"/>
      <c r="BZ255" s="6"/>
      <c r="CA255" s="6"/>
      <c r="CB255" s="6"/>
      <c r="CC255" s="6"/>
      <c r="CD255" s="6"/>
      <c r="CE255" s="6"/>
      <c r="CF255" s="6"/>
      <c r="CG255" s="6"/>
      <c r="CH255" s="6"/>
      <c r="CI255" s="6"/>
      <c r="CJ255" s="6"/>
      <c r="CK255" s="6"/>
      <c r="CL255" s="6"/>
      <c r="CM255" s="6"/>
    </row>
    <row r="256" spans="1:91" s="66" customFormat="1" x14ac:dyDescent="0.25">
      <c r="A256" s="72" t="s">
        <v>445</v>
      </c>
      <c r="B256" s="67" t="s">
        <v>228</v>
      </c>
      <c r="C256" s="68">
        <v>42219</v>
      </c>
      <c r="D256" s="69" t="s">
        <v>19</v>
      </c>
      <c r="E256" s="69" t="s">
        <v>25</v>
      </c>
      <c r="F256" s="69" t="s">
        <v>27</v>
      </c>
      <c r="G256" s="70" t="s">
        <v>366</v>
      </c>
      <c r="H256" s="70" t="s">
        <v>40</v>
      </c>
      <c r="I256" s="60">
        <v>1791</v>
      </c>
      <c r="J256" s="60">
        <v>48</v>
      </c>
      <c r="K256" s="65" t="s">
        <v>486</v>
      </c>
      <c r="L256" s="65" t="s">
        <v>486</v>
      </c>
      <c r="M256" s="60">
        <v>223</v>
      </c>
      <c r="N256" s="60">
        <v>0</v>
      </c>
      <c r="O256" s="65" t="s">
        <v>486</v>
      </c>
      <c r="P256" s="65" t="s">
        <v>486</v>
      </c>
      <c r="Q256" s="60">
        <v>75788</v>
      </c>
      <c r="R256" s="60">
        <v>0</v>
      </c>
      <c r="S256" s="71">
        <f t="shared" si="6"/>
        <v>2014</v>
      </c>
      <c r="T256" s="71">
        <f t="shared" si="7"/>
        <v>48</v>
      </c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  <c r="BC256" s="6"/>
      <c r="BD256" s="6"/>
      <c r="BE256" s="6"/>
      <c r="BF256" s="6"/>
      <c r="BG256" s="6"/>
      <c r="BH256" s="6"/>
      <c r="BI256" s="6"/>
      <c r="BJ256" s="6"/>
      <c r="BK256" s="6"/>
      <c r="BL256" s="6"/>
      <c r="BM256" s="6"/>
      <c r="BN256" s="6"/>
      <c r="BO256" s="6"/>
      <c r="BP256" s="6"/>
      <c r="BQ256" s="6"/>
      <c r="BR256" s="6"/>
      <c r="BS256" s="6"/>
      <c r="BT256" s="6"/>
      <c r="BU256" s="6"/>
      <c r="BV256" s="6"/>
      <c r="BW256" s="6"/>
      <c r="BX256" s="6"/>
      <c r="BY256" s="6"/>
      <c r="BZ256" s="6"/>
      <c r="CA256" s="6"/>
      <c r="CB256" s="6"/>
      <c r="CC256" s="6"/>
      <c r="CD256" s="6"/>
      <c r="CE256" s="6"/>
      <c r="CF256" s="6"/>
      <c r="CG256" s="6"/>
      <c r="CH256" s="6"/>
      <c r="CI256" s="6"/>
      <c r="CJ256" s="6"/>
      <c r="CK256" s="6"/>
      <c r="CL256" s="6"/>
      <c r="CM256" s="6"/>
    </row>
    <row r="257" spans="1:91" s="59" customFormat="1" x14ac:dyDescent="0.25">
      <c r="A257" s="47" t="s">
        <v>446</v>
      </c>
      <c r="B257" s="12" t="s">
        <v>239</v>
      </c>
      <c r="C257" s="17">
        <v>42220</v>
      </c>
      <c r="D257" s="10" t="s">
        <v>19</v>
      </c>
      <c r="E257" s="11" t="s">
        <v>24</v>
      </c>
      <c r="F257" s="11" t="s">
        <v>329</v>
      </c>
      <c r="G257" s="13" t="s">
        <v>366</v>
      </c>
      <c r="H257" s="13" t="s">
        <v>36</v>
      </c>
      <c r="I257" s="65">
        <v>786</v>
      </c>
      <c r="J257" s="65">
        <v>4</v>
      </c>
      <c r="K257" s="65">
        <v>1890</v>
      </c>
      <c r="L257" s="65">
        <v>0</v>
      </c>
      <c r="M257" s="65">
        <v>42</v>
      </c>
      <c r="N257" s="65">
        <v>0</v>
      </c>
      <c r="O257" s="65">
        <v>1037</v>
      </c>
      <c r="P257" s="65">
        <v>0</v>
      </c>
      <c r="Q257" s="65">
        <v>105718</v>
      </c>
      <c r="R257" s="65">
        <v>14</v>
      </c>
      <c r="S257" s="23">
        <f t="shared" si="6"/>
        <v>3755</v>
      </c>
      <c r="T257" s="23">
        <f t="shared" si="7"/>
        <v>4</v>
      </c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  <c r="BC257" s="6"/>
      <c r="BD257" s="6"/>
      <c r="BE257" s="6"/>
      <c r="BF257" s="6"/>
      <c r="BG257" s="6"/>
      <c r="BH257" s="6"/>
      <c r="BI257" s="6"/>
      <c r="BJ257" s="6"/>
      <c r="BK257" s="6"/>
      <c r="BL257" s="6"/>
      <c r="BM257" s="6"/>
      <c r="BN257" s="6"/>
      <c r="BO257" s="6"/>
      <c r="BP257" s="6"/>
      <c r="BQ257" s="6"/>
      <c r="BR257" s="6"/>
      <c r="BS257" s="6"/>
      <c r="BT257" s="6"/>
      <c r="BU257" s="6"/>
      <c r="BV257" s="6"/>
      <c r="BW257" s="6"/>
      <c r="BX257" s="6"/>
      <c r="BY257" s="6"/>
      <c r="BZ257" s="6"/>
      <c r="CA257" s="6"/>
      <c r="CB257" s="6"/>
      <c r="CC257" s="6"/>
      <c r="CD257" s="6"/>
      <c r="CE257" s="6"/>
      <c r="CF257" s="6"/>
      <c r="CG257" s="6"/>
      <c r="CH257" s="6"/>
      <c r="CI257" s="6"/>
      <c r="CJ257" s="6"/>
      <c r="CK257" s="6"/>
      <c r="CL257" s="6"/>
      <c r="CM257" s="6"/>
    </row>
    <row r="258" spans="1:91" x14ac:dyDescent="0.25">
      <c r="A258" s="47" t="s">
        <v>447</v>
      </c>
      <c r="B258" s="12" t="s">
        <v>237</v>
      </c>
      <c r="C258" s="17">
        <v>42221</v>
      </c>
      <c r="D258" s="10" t="s">
        <v>19</v>
      </c>
      <c r="E258" s="11" t="s">
        <v>24</v>
      </c>
      <c r="F258" s="11" t="s">
        <v>328</v>
      </c>
      <c r="G258" s="13" t="s">
        <v>365</v>
      </c>
      <c r="H258" s="13" t="s">
        <v>40</v>
      </c>
      <c r="I258" s="65">
        <v>1139</v>
      </c>
      <c r="J258" s="65">
        <v>4</v>
      </c>
      <c r="K258" s="65" t="s">
        <v>486</v>
      </c>
      <c r="L258" s="65" t="s">
        <v>486</v>
      </c>
      <c r="M258" s="65">
        <v>213</v>
      </c>
      <c r="N258" s="65">
        <v>0</v>
      </c>
      <c r="O258" s="65" t="s">
        <v>486</v>
      </c>
      <c r="P258" s="65" t="s">
        <v>486</v>
      </c>
      <c r="Q258" s="4"/>
      <c r="R258" s="4"/>
      <c r="S258" s="23">
        <f t="shared" si="6"/>
        <v>1352</v>
      </c>
      <c r="T258" s="23">
        <f t="shared" si="7"/>
        <v>4</v>
      </c>
    </row>
    <row r="259" spans="1:91" s="42" customFormat="1" x14ac:dyDescent="0.25">
      <c r="A259" s="47" t="s">
        <v>449</v>
      </c>
      <c r="B259" s="12" t="s">
        <v>239</v>
      </c>
      <c r="C259" s="17">
        <v>42222</v>
      </c>
      <c r="D259" s="10"/>
      <c r="E259" s="11" t="s">
        <v>361</v>
      </c>
      <c r="F259" s="11" t="s">
        <v>29</v>
      </c>
      <c r="G259" s="13" t="s">
        <v>366</v>
      </c>
      <c r="H259" s="13" t="s">
        <v>40</v>
      </c>
      <c r="I259" s="65">
        <v>1307</v>
      </c>
      <c r="J259" s="65">
        <v>13</v>
      </c>
      <c r="K259" s="65" t="s">
        <v>486</v>
      </c>
      <c r="L259" s="65" t="s">
        <v>486</v>
      </c>
      <c r="M259" s="65" t="s">
        <v>486</v>
      </c>
      <c r="N259" s="65" t="s">
        <v>486</v>
      </c>
      <c r="O259" s="65">
        <v>839</v>
      </c>
      <c r="P259" s="65">
        <v>0</v>
      </c>
      <c r="Q259" s="4"/>
      <c r="R259" s="4"/>
      <c r="S259" s="23">
        <f t="shared" si="6"/>
        <v>2146</v>
      </c>
      <c r="T259" s="23">
        <f t="shared" si="7"/>
        <v>13</v>
      </c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  <c r="BC259" s="6"/>
      <c r="BD259" s="6"/>
      <c r="BE259" s="6"/>
      <c r="BF259" s="6"/>
      <c r="BG259" s="6"/>
      <c r="BH259" s="6"/>
      <c r="BI259" s="6"/>
      <c r="BJ259" s="6"/>
      <c r="BK259" s="6"/>
      <c r="BL259" s="6"/>
      <c r="BM259" s="6"/>
      <c r="BN259" s="6"/>
      <c r="BO259" s="6"/>
      <c r="BP259" s="6"/>
      <c r="BQ259" s="6"/>
      <c r="BR259" s="6"/>
      <c r="BS259" s="6"/>
      <c r="BT259" s="6"/>
      <c r="BU259" s="6"/>
      <c r="BV259" s="6"/>
      <c r="BW259" s="6"/>
      <c r="BX259" s="6"/>
      <c r="BY259" s="6"/>
      <c r="BZ259" s="6"/>
      <c r="CA259" s="6"/>
      <c r="CB259" s="6"/>
      <c r="CC259" s="6"/>
      <c r="CD259" s="6"/>
      <c r="CE259" s="6"/>
      <c r="CF259" s="6"/>
      <c r="CG259" s="6"/>
      <c r="CH259" s="6"/>
      <c r="CI259" s="6"/>
      <c r="CJ259" s="6"/>
      <c r="CK259" s="6"/>
      <c r="CL259" s="6"/>
      <c r="CM259" s="6"/>
    </row>
    <row r="260" spans="1:91" s="59" customFormat="1" x14ac:dyDescent="0.25">
      <c r="A260" s="61" t="s">
        <v>448</v>
      </c>
      <c r="B260" s="55" t="s">
        <v>318</v>
      </c>
      <c r="C260" s="62">
        <v>42222</v>
      </c>
      <c r="D260" s="63"/>
      <c r="E260" s="64" t="s">
        <v>22</v>
      </c>
      <c r="F260" s="64" t="s">
        <v>29</v>
      </c>
      <c r="G260" s="56" t="s">
        <v>366</v>
      </c>
      <c r="H260" s="56" t="s">
        <v>40</v>
      </c>
      <c r="I260" s="60">
        <v>492</v>
      </c>
      <c r="J260" s="60">
        <v>6</v>
      </c>
      <c r="K260" s="65" t="s">
        <v>486</v>
      </c>
      <c r="L260" s="65" t="s">
        <v>486</v>
      </c>
      <c r="M260" s="65">
        <v>181</v>
      </c>
      <c r="N260" s="65">
        <v>0</v>
      </c>
      <c r="O260" s="65" t="s">
        <v>486</v>
      </c>
      <c r="P260" s="65" t="s">
        <v>486</v>
      </c>
      <c r="Q260" s="57"/>
      <c r="R260" s="57"/>
      <c r="S260" s="58">
        <f t="shared" si="6"/>
        <v>673</v>
      </c>
      <c r="T260" s="58">
        <f t="shared" si="7"/>
        <v>6</v>
      </c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  <c r="BC260" s="6"/>
      <c r="BD260" s="6"/>
      <c r="BE260" s="6"/>
      <c r="BF260" s="6"/>
      <c r="BG260" s="6"/>
      <c r="BH260" s="6"/>
      <c r="BI260" s="6"/>
      <c r="BJ260" s="6"/>
      <c r="BK260" s="6"/>
      <c r="BL260" s="6"/>
      <c r="BM260" s="6"/>
      <c r="BN260" s="6"/>
      <c r="BO260" s="6"/>
      <c r="BP260" s="6"/>
      <c r="BQ260" s="6"/>
      <c r="BR260" s="6"/>
      <c r="BS260" s="6"/>
      <c r="BT260" s="6"/>
      <c r="BU260" s="6"/>
      <c r="BV260" s="6"/>
      <c r="BW260" s="6"/>
      <c r="BX260" s="6"/>
      <c r="BY260" s="6"/>
      <c r="BZ260" s="6"/>
      <c r="CA260" s="6"/>
      <c r="CB260" s="6"/>
      <c r="CC260" s="6"/>
      <c r="CD260" s="6"/>
      <c r="CE260" s="6"/>
      <c r="CF260" s="6"/>
      <c r="CG260" s="6"/>
      <c r="CH260" s="6"/>
      <c r="CI260" s="6"/>
      <c r="CJ260" s="6"/>
      <c r="CK260" s="6"/>
      <c r="CL260" s="6"/>
      <c r="CM260" s="6"/>
    </row>
    <row r="261" spans="1:91" s="59" customFormat="1" x14ac:dyDescent="0.25">
      <c r="A261" s="47" t="s">
        <v>453</v>
      </c>
      <c r="B261" s="12" t="s">
        <v>225</v>
      </c>
      <c r="C261" s="17">
        <v>42223</v>
      </c>
      <c r="D261" s="10" t="s">
        <v>19</v>
      </c>
      <c r="E261" s="11" t="s">
        <v>25</v>
      </c>
      <c r="F261" s="11" t="s">
        <v>361</v>
      </c>
      <c r="G261" s="13" t="s">
        <v>366</v>
      </c>
      <c r="H261" s="13" t="s">
        <v>40</v>
      </c>
      <c r="I261" s="65">
        <v>1599</v>
      </c>
      <c r="J261" s="65">
        <v>7</v>
      </c>
      <c r="K261" s="65" t="s">
        <v>486</v>
      </c>
      <c r="L261" s="65" t="s">
        <v>486</v>
      </c>
      <c r="M261" s="65">
        <v>39</v>
      </c>
      <c r="N261" s="65">
        <v>0</v>
      </c>
      <c r="O261" s="65" t="s">
        <v>486</v>
      </c>
      <c r="P261" s="65" t="s">
        <v>486</v>
      </c>
      <c r="Q261" s="4"/>
      <c r="R261" s="4"/>
      <c r="S261" s="23">
        <f t="shared" si="6"/>
        <v>1638</v>
      </c>
      <c r="T261" s="23">
        <f t="shared" si="7"/>
        <v>7</v>
      </c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  <c r="BC261" s="6"/>
      <c r="BD261" s="6"/>
      <c r="BE261" s="6"/>
      <c r="BF261" s="6"/>
      <c r="BG261" s="6"/>
      <c r="BH261" s="6"/>
      <c r="BI261" s="6"/>
      <c r="BJ261" s="6"/>
      <c r="BK261" s="6"/>
      <c r="BL261" s="6"/>
      <c r="BM261" s="6"/>
      <c r="BN261" s="6"/>
      <c r="BO261" s="6"/>
      <c r="BP261" s="6"/>
      <c r="BQ261" s="6"/>
      <c r="BR261" s="6"/>
      <c r="BS261" s="6"/>
      <c r="BT261" s="6"/>
      <c r="BU261" s="6"/>
      <c r="BV261" s="6"/>
      <c r="BW261" s="6"/>
      <c r="BX261" s="6"/>
      <c r="BY261" s="6"/>
      <c r="BZ261" s="6"/>
      <c r="CA261" s="6"/>
      <c r="CB261" s="6"/>
      <c r="CC261" s="6"/>
      <c r="CD261" s="6"/>
      <c r="CE261" s="6"/>
      <c r="CF261" s="6"/>
      <c r="CG261" s="6"/>
      <c r="CH261" s="6"/>
      <c r="CI261" s="6"/>
      <c r="CJ261" s="6"/>
      <c r="CK261" s="6"/>
      <c r="CL261" s="6"/>
      <c r="CM261" s="6"/>
    </row>
    <row r="262" spans="1:91" x14ac:dyDescent="0.25">
      <c r="A262" s="47" t="s">
        <v>454</v>
      </c>
      <c r="B262" s="12" t="s">
        <v>227</v>
      </c>
      <c r="C262" s="17">
        <v>42226</v>
      </c>
      <c r="D262" s="10"/>
      <c r="E262" s="11" t="s">
        <v>361</v>
      </c>
      <c r="F262" s="11" t="s">
        <v>27</v>
      </c>
      <c r="G262" s="13" t="s">
        <v>366</v>
      </c>
      <c r="H262" s="13" t="s">
        <v>41</v>
      </c>
      <c r="I262" s="65">
        <v>1065</v>
      </c>
      <c r="J262" s="65">
        <v>0</v>
      </c>
      <c r="K262" s="65" t="s">
        <v>486</v>
      </c>
      <c r="L262" s="65" t="s">
        <v>486</v>
      </c>
      <c r="M262" s="65" t="s">
        <v>486</v>
      </c>
      <c r="N262" s="65" t="s">
        <v>486</v>
      </c>
      <c r="O262" s="65" t="s">
        <v>486</v>
      </c>
      <c r="P262" s="65" t="s">
        <v>486</v>
      </c>
      <c r="Q262" s="4"/>
      <c r="R262" s="4"/>
      <c r="S262" s="23">
        <f t="shared" si="6"/>
        <v>1065</v>
      </c>
      <c r="T262" s="23">
        <f t="shared" si="7"/>
        <v>0</v>
      </c>
    </row>
    <row r="263" spans="1:91" s="59" customFormat="1" x14ac:dyDescent="0.25">
      <c r="A263" s="61" t="s">
        <v>455</v>
      </c>
      <c r="B263" s="55" t="s">
        <v>233</v>
      </c>
      <c r="C263" s="62">
        <v>42227</v>
      </c>
      <c r="D263" s="63" t="s">
        <v>19</v>
      </c>
      <c r="E263" s="64" t="s">
        <v>24</v>
      </c>
      <c r="F263" s="64" t="s">
        <v>361</v>
      </c>
      <c r="G263" s="56" t="s">
        <v>366</v>
      </c>
      <c r="H263" s="56" t="s">
        <v>41</v>
      </c>
      <c r="I263" s="65">
        <v>2480</v>
      </c>
      <c r="J263" s="65">
        <v>3</v>
      </c>
      <c r="K263" s="65" t="s">
        <v>486</v>
      </c>
      <c r="L263" s="65" t="s">
        <v>486</v>
      </c>
      <c r="M263" s="65">
        <v>94</v>
      </c>
      <c r="N263" s="65">
        <v>0</v>
      </c>
      <c r="O263" s="65" t="s">
        <v>486</v>
      </c>
      <c r="P263" s="65" t="s">
        <v>486</v>
      </c>
      <c r="Q263" s="65">
        <v>76148</v>
      </c>
      <c r="R263" s="65">
        <v>5</v>
      </c>
      <c r="S263" s="58">
        <f t="shared" si="6"/>
        <v>2574</v>
      </c>
      <c r="T263" s="58">
        <f t="shared" si="7"/>
        <v>3</v>
      </c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  <c r="BC263" s="6"/>
      <c r="BD263" s="6"/>
      <c r="BE263" s="6"/>
      <c r="BF263" s="6"/>
      <c r="BG263" s="6"/>
      <c r="BH263" s="6"/>
      <c r="BI263" s="6"/>
      <c r="BJ263" s="6"/>
      <c r="BK263" s="6"/>
      <c r="BL263" s="6"/>
      <c r="BM263" s="6"/>
      <c r="BN263" s="6"/>
      <c r="BO263" s="6"/>
      <c r="BP263" s="6"/>
      <c r="BQ263" s="6"/>
      <c r="BR263" s="6"/>
      <c r="BS263" s="6"/>
      <c r="BT263" s="6"/>
      <c r="BU263" s="6"/>
      <c r="BV263" s="6"/>
      <c r="BW263" s="6"/>
      <c r="BX263" s="6"/>
      <c r="BY263" s="6"/>
      <c r="BZ263" s="6"/>
      <c r="CA263" s="6"/>
      <c r="CB263" s="6"/>
      <c r="CC263" s="6"/>
      <c r="CD263" s="6"/>
      <c r="CE263" s="6"/>
      <c r="CF263" s="6"/>
      <c r="CG263" s="6"/>
      <c r="CH263" s="6"/>
      <c r="CI263" s="6"/>
      <c r="CJ263" s="6"/>
      <c r="CK263" s="6"/>
      <c r="CL263" s="6"/>
      <c r="CM263" s="6"/>
    </row>
    <row r="264" spans="1:91" s="59" customFormat="1" x14ac:dyDescent="0.25">
      <c r="A264" s="61" t="s">
        <v>456</v>
      </c>
      <c r="B264" s="55" t="s">
        <v>254</v>
      </c>
      <c r="C264" s="62">
        <v>42228</v>
      </c>
      <c r="D264" s="63" t="s">
        <v>19</v>
      </c>
      <c r="E264" s="64" t="s">
        <v>24</v>
      </c>
      <c r="F264" s="64" t="s">
        <v>35</v>
      </c>
      <c r="G264" s="56" t="s">
        <v>366</v>
      </c>
      <c r="H264" s="56" t="s">
        <v>40</v>
      </c>
      <c r="I264" s="65">
        <v>1026</v>
      </c>
      <c r="J264" s="65">
        <v>8</v>
      </c>
      <c r="K264" s="65" t="s">
        <v>486</v>
      </c>
      <c r="L264" s="65" t="s">
        <v>486</v>
      </c>
      <c r="M264" s="65">
        <v>119</v>
      </c>
      <c r="N264" s="65">
        <v>0</v>
      </c>
      <c r="O264" s="65">
        <v>4188</v>
      </c>
      <c r="P264" s="65">
        <v>0</v>
      </c>
      <c r="Q264" s="57"/>
      <c r="R264" s="57"/>
      <c r="S264" s="58">
        <f t="shared" ref="S264:S327" si="8">SUM(I264,K264,M264,O264)</f>
        <v>5333</v>
      </c>
      <c r="T264" s="58">
        <f t="shared" ref="T264:T327" si="9">SUM(J264,L264,N264,P264)</f>
        <v>8</v>
      </c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  <c r="BC264" s="6"/>
      <c r="BD264" s="6"/>
      <c r="BE264" s="6"/>
      <c r="BF264" s="6"/>
      <c r="BG264" s="6"/>
      <c r="BH264" s="6"/>
      <c r="BI264" s="6"/>
      <c r="BJ264" s="6"/>
      <c r="BK264" s="6"/>
      <c r="BL264" s="6"/>
      <c r="BM264" s="6"/>
      <c r="BN264" s="6"/>
      <c r="BO264" s="6"/>
      <c r="BP264" s="6"/>
      <c r="BQ264" s="6"/>
      <c r="BR264" s="6"/>
      <c r="BS264" s="6"/>
      <c r="BT264" s="6"/>
      <c r="BU264" s="6"/>
      <c r="BV264" s="6"/>
      <c r="BW264" s="6"/>
      <c r="BX264" s="6"/>
      <c r="BY264" s="6"/>
      <c r="BZ264" s="6"/>
      <c r="CA264" s="6"/>
      <c r="CB264" s="6"/>
      <c r="CC264" s="6"/>
      <c r="CD264" s="6"/>
      <c r="CE264" s="6"/>
      <c r="CF264" s="6"/>
      <c r="CG264" s="6"/>
      <c r="CH264" s="6"/>
      <c r="CI264" s="6"/>
      <c r="CJ264" s="6"/>
      <c r="CK264" s="6"/>
      <c r="CL264" s="6"/>
      <c r="CM264" s="6"/>
    </row>
    <row r="265" spans="1:91" s="59" customFormat="1" ht="30" x14ac:dyDescent="0.25">
      <c r="A265" s="61" t="s">
        <v>457</v>
      </c>
      <c r="B265" s="55" t="s">
        <v>237</v>
      </c>
      <c r="C265" s="62">
        <v>42229</v>
      </c>
      <c r="D265" s="63" t="s">
        <v>19</v>
      </c>
      <c r="E265" s="64" t="s">
        <v>24</v>
      </c>
      <c r="F265" s="64" t="s">
        <v>458</v>
      </c>
      <c r="G265" s="56" t="s">
        <v>366</v>
      </c>
      <c r="H265" s="56" t="s">
        <v>41</v>
      </c>
      <c r="I265" s="65">
        <v>1378</v>
      </c>
      <c r="J265" s="65">
        <v>2</v>
      </c>
      <c r="K265" s="65" t="s">
        <v>486</v>
      </c>
      <c r="L265" s="65" t="s">
        <v>486</v>
      </c>
      <c r="M265" s="65" t="s">
        <v>486</v>
      </c>
      <c r="N265" s="65" t="s">
        <v>486</v>
      </c>
      <c r="O265" s="65" t="s">
        <v>486</v>
      </c>
      <c r="P265" s="65" t="s">
        <v>486</v>
      </c>
      <c r="Q265" s="57"/>
      <c r="R265" s="57"/>
      <c r="S265" s="58">
        <f t="shared" si="8"/>
        <v>1378</v>
      </c>
      <c r="T265" s="58">
        <f t="shared" si="9"/>
        <v>2</v>
      </c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  <c r="BC265" s="6"/>
      <c r="BD265" s="6"/>
      <c r="BE265" s="6"/>
      <c r="BF265" s="6"/>
      <c r="BG265" s="6"/>
      <c r="BH265" s="6"/>
      <c r="BI265" s="6"/>
      <c r="BJ265" s="6"/>
      <c r="BK265" s="6"/>
      <c r="BL265" s="6"/>
      <c r="BM265" s="6"/>
      <c r="BN265" s="6"/>
      <c r="BO265" s="6"/>
      <c r="BP265" s="6"/>
      <c r="BQ265" s="6"/>
      <c r="BR265" s="6"/>
      <c r="BS265" s="6"/>
      <c r="BT265" s="6"/>
      <c r="BU265" s="6"/>
      <c r="BV265" s="6"/>
      <c r="BW265" s="6"/>
      <c r="BX265" s="6"/>
      <c r="BY265" s="6"/>
      <c r="BZ265" s="6"/>
      <c r="CA265" s="6"/>
      <c r="CB265" s="6"/>
      <c r="CC265" s="6"/>
      <c r="CD265" s="6"/>
      <c r="CE265" s="6"/>
      <c r="CF265" s="6"/>
      <c r="CG265" s="6"/>
      <c r="CH265" s="6"/>
      <c r="CI265" s="6"/>
      <c r="CJ265" s="6"/>
      <c r="CK265" s="6"/>
      <c r="CL265" s="6"/>
      <c r="CM265" s="6"/>
    </row>
    <row r="266" spans="1:91" s="59" customFormat="1" x14ac:dyDescent="0.25">
      <c r="A266" s="61" t="s">
        <v>459</v>
      </c>
      <c r="B266" s="55" t="s">
        <v>218</v>
      </c>
      <c r="C266" s="62">
        <v>42233</v>
      </c>
      <c r="D266" s="63" t="s">
        <v>21</v>
      </c>
      <c r="E266" s="64" t="s">
        <v>25</v>
      </c>
      <c r="F266" s="64" t="s">
        <v>370</v>
      </c>
      <c r="G266" s="56" t="s">
        <v>366</v>
      </c>
      <c r="H266" s="56" t="s">
        <v>41</v>
      </c>
      <c r="I266" s="65">
        <v>1391</v>
      </c>
      <c r="J266" s="65">
        <v>5</v>
      </c>
      <c r="K266" s="65">
        <v>5602</v>
      </c>
      <c r="L266" s="65">
        <v>0</v>
      </c>
      <c r="M266" s="65">
        <v>262</v>
      </c>
      <c r="N266" s="65">
        <v>0</v>
      </c>
      <c r="O266" s="65" t="s">
        <v>486</v>
      </c>
      <c r="P266" s="65" t="s">
        <v>486</v>
      </c>
      <c r="Q266" s="65">
        <v>96497</v>
      </c>
      <c r="R266" s="65">
        <v>7</v>
      </c>
      <c r="S266" s="58">
        <f t="shared" si="8"/>
        <v>7255</v>
      </c>
      <c r="T266" s="58">
        <f t="shared" si="9"/>
        <v>5</v>
      </c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  <c r="BC266" s="6"/>
      <c r="BD266" s="6"/>
      <c r="BE266" s="6"/>
      <c r="BF266" s="6"/>
      <c r="BG266" s="6"/>
      <c r="BH266" s="6"/>
      <c r="BI266" s="6"/>
      <c r="BJ266" s="6"/>
      <c r="BK266" s="6"/>
      <c r="BL266" s="6"/>
      <c r="BM266" s="6"/>
      <c r="BN266" s="6"/>
      <c r="BO266" s="6"/>
      <c r="BP266" s="6"/>
      <c r="BQ266" s="6"/>
      <c r="BR266" s="6"/>
      <c r="BS266" s="6"/>
      <c r="BT266" s="6"/>
      <c r="BU266" s="6"/>
      <c r="BV266" s="6"/>
      <c r="BW266" s="6"/>
      <c r="BX266" s="6"/>
      <c r="BY266" s="6"/>
      <c r="BZ266" s="6"/>
      <c r="CA266" s="6"/>
      <c r="CB266" s="6"/>
      <c r="CC266" s="6"/>
      <c r="CD266" s="6"/>
      <c r="CE266" s="6"/>
      <c r="CF266" s="6"/>
      <c r="CG266" s="6"/>
      <c r="CH266" s="6"/>
      <c r="CI266" s="6"/>
      <c r="CJ266" s="6"/>
      <c r="CK266" s="6"/>
      <c r="CL266" s="6"/>
      <c r="CM266" s="6"/>
    </row>
    <row r="267" spans="1:91" s="59" customFormat="1" x14ac:dyDescent="0.25">
      <c r="A267" s="61" t="s">
        <v>460</v>
      </c>
      <c r="B267" s="55" t="s">
        <v>461</v>
      </c>
      <c r="C267" s="62">
        <v>42234</v>
      </c>
      <c r="D267" s="63"/>
      <c r="E267" s="64" t="s">
        <v>24</v>
      </c>
      <c r="F267" s="64" t="s">
        <v>361</v>
      </c>
      <c r="G267" s="56" t="s">
        <v>366</v>
      </c>
      <c r="H267" s="56" t="s">
        <v>38</v>
      </c>
      <c r="I267" s="65">
        <v>1630</v>
      </c>
      <c r="J267" s="65">
        <v>26</v>
      </c>
      <c r="K267" s="65">
        <v>12669</v>
      </c>
      <c r="L267" s="65">
        <v>2</v>
      </c>
      <c r="M267" s="65">
        <v>151</v>
      </c>
      <c r="N267" s="65">
        <v>0</v>
      </c>
      <c r="O267" s="65">
        <v>4177</v>
      </c>
      <c r="P267" s="65">
        <v>12</v>
      </c>
      <c r="Q267" s="57"/>
      <c r="R267" s="57"/>
      <c r="S267" s="58">
        <f t="shared" si="8"/>
        <v>18627</v>
      </c>
      <c r="T267" s="58">
        <f t="shared" si="9"/>
        <v>40</v>
      </c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  <c r="BC267" s="6"/>
      <c r="BD267" s="6"/>
      <c r="BE267" s="6"/>
      <c r="BF267" s="6"/>
      <c r="BG267" s="6"/>
      <c r="BH267" s="6"/>
      <c r="BI267" s="6"/>
      <c r="BJ267" s="6"/>
      <c r="BK267" s="6"/>
      <c r="BL267" s="6"/>
      <c r="BM267" s="6"/>
      <c r="BN267" s="6"/>
      <c r="BO267" s="6"/>
      <c r="BP267" s="6"/>
      <c r="BQ267" s="6"/>
      <c r="BR267" s="6"/>
      <c r="BS267" s="6"/>
      <c r="BT267" s="6"/>
      <c r="BU267" s="6"/>
      <c r="BV267" s="6"/>
      <c r="BW267" s="6"/>
      <c r="BX267" s="6"/>
      <c r="BY267" s="6"/>
      <c r="BZ267" s="6"/>
      <c r="CA267" s="6"/>
      <c r="CB267" s="6"/>
      <c r="CC267" s="6"/>
      <c r="CD267" s="6"/>
      <c r="CE267" s="6"/>
      <c r="CF267" s="6"/>
      <c r="CG267" s="6"/>
      <c r="CH267" s="6"/>
      <c r="CI267" s="6"/>
      <c r="CJ267" s="6"/>
      <c r="CK267" s="6"/>
      <c r="CL267" s="6"/>
      <c r="CM267" s="6"/>
    </row>
    <row r="268" spans="1:91" s="59" customFormat="1" x14ac:dyDescent="0.25">
      <c r="A268" s="61" t="s">
        <v>462</v>
      </c>
      <c r="B268" s="55" t="s">
        <v>253</v>
      </c>
      <c r="C268" s="62">
        <v>42235</v>
      </c>
      <c r="D268" s="63"/>
      <c r="E268" s="64" t="s">
        <v>361</v>
      </c>
      <c r="F268" s="64" t="s">
        <v>361</v>
      </c>
      <c r="G268" s="56" t="s">
        <v>366</v>
      </c>
      <c r="H268" s="56" t="s">
        <v>36</v>
      </c>
      <c r="I268" s="65">
        <v>806</v>
      </c>
      <c r="J268" s="65">
        <v>8</v>
      </c>
      <c r="K268" s="65">
        <v>268</v>
      </c>
      <c r="L268" s="65">
        <v>0</v>
      </c>
      <c r="M268" s="65" t="s">
        <v>486</v>
      </c>
      <c r="N268" s="65" t="s">
        <v>486</v>
      </c>
      <c r="O268" s="65">
        <v>990</v>
      </c>
      <c r="P268" s="65">
        <v>0</v>
      </c>
      <c r="Q268" s="57"/>
      <c r="R268" s="57"/>
      <c r="S268" s="58">
        <f t="shared" si="8"/>
        <v>2064</v>
      </c>
      <c r="T268" s="58">
        <f t="shared" si="9"/>
        <v>8</v>
      </c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  <c r="BC268" s="6"/>
      <c r="BD268" s="6"/>
      <c r="BE268" s="6"/>
      <c r="BF268" s="6"/>
      <c r="BG268" s="6"/>
      <c r="BH268" s="6"/>
      <c r="BI268" s="6"/>
      <c r="BJ268" s="6"/>
      <c r="BK268" s="6"/>
      <c r="BL268" s="6"/>
      <c r="BM268" s="6"/>
      <c r="BN268" s="6"/>
      <c r="BO268" s="6"/>
      <c r="BP268" s="6"/>
      <c r="BQ268" s="6"/>
      <c r="BR268" s="6"/>
      <c r="BS268" s="6"/>
      <c r="BT268" s="6"/>
      <c r="BU268" s="6"/>
      <c r="BV268" s="6"/>
      <c r="BW268" s="6"/>
      <c r="BX268" s="6"/>
      <c r="BY268" s="6"/>
      <c r="BZ268" s="6"/>
      <c r="CA268" s="6"/>
      <c r="CB268" s="6"/>
      <c r="CC268" s="6"/>
      <c r="CD268" s="6"/>
      <c r="CE268" s="6"/>
      <c r="CF268" s="6"/>
      <c r="CG268" s="6"/>
      <c r="CH268" s="6"/>
      <c r="CI268" s="6"/>
      <c r="CJ268" s="6"/>
      <c r="CK268" s="6"/>
      <c r="CL268" s="6"/>
      <c r="CM268" s="6"/>
    </row>
    <row r="269" spans="1:91" s="59" customFormat="1" x14ac:dyDescent="0.25">
      <c r="A269" s="54" t="s">
        <v>388</v>
      </c>
      <c r="B269" s="55" t="s">
        <v>239</v>
      </c>
      <c r="C269" s="17">
        <v>42236</v>
      </c>
      <c r="D269" s="10" t="s">
        <v>19</v>
      </c>
      <c r="E269" s="11" t="s">
        <v>24</v>
      </c>
      <c r="F269" s="11" t="s">
        <v>29</v>
      </c>
      <c r="G269" s="13" t="s">
        <v>365</v>
      </c>
      <c r="H269" s="56" t="s">
        <v>40</v>
      </c>
      <c r="I269" s="65">
        <v>979</v>
      </c>
      <c r="J269" s="65">
        <v>6</v>
      </c>
      <c r="K269" s="65" t="s">
        <v>486</v>
      </c>
      <c r="L269" s="65" t="s">
        <v>486</v>
      </c>
      <c r="M269" s="65">
        <v>117</v>
      </c>
      <c r="N269" s="65">
        <v>0</v>
      </c>
      <c r="O269" s="65">
        <v>1272</v>
      </c>
      <c r="P269" s="65">
        <v>0</v>
      </c>
      <c r="Q269" s="65">
        <v>76512</v>
      </c>
      <c r="R269" s="65">
        <v>3</v>
      </c>
      <c r="S269" s="58">
        <f t="shared" si="8"/>
        <v>2368</v>
      </c>
      <c r="T269" s="58">
        <f t="shared" si="9"/>
        <v>6</v>
      </c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  <c r="BC269" s="6"/>
      <c r="BD269" s="6"/>
      <c r="BE269" s="6"/>
      <c r="BF269" s="6"/>
      <c r="BG269" s="6"/>
      <c r="BH269" s="6"/>
      <c r="BI269" s="6"/>
      <c r="BJ269" s="6"/>
      <c r="BK269" s="6"/>
      <c r="BL269" s="6"/>
      <c r="BM269" s="6"/>
      <c r="BN269" s="6"/>
      <c r="BO269" s="6"/>
      <c r="BP269" s="6"/>
      <c r="BQ269" s="6"/>
      <c r="BR269" s="6"/>
      <c r="BS269" s="6"/>
      <c r="BT269" s="6"/>
      <c r="BU269" s="6"/>
      <c r="BV269" s="6"/>
      <c r="BW269" s="6"/>
      <c r="BX269" s="6"/>
      <c r="BY269" s="6"/>
      <c r="BZ269" s="6"/>
      <c r="CA269" s="6"/>
      <c r="CB269" s="6"/>
      <c r="CC269" s="6"/>
      <c r="CD269" s="6"/>
      <c r="CE269" s="6"/>
      <c r="CF269" s="6"/>
      <c r="CG269" s="6"/>
      <c r="CH269" s="6"/>
      <c r="CI269" s="6"/>
      <c r="CJ269" s="6"/>
      <c r="CK269" s="6"/>
      <c r="CL269" s="6"/>
      <c r="CM269" s="6"/>
    </row>
    <row r="270" spans="1:91" s="59" customFormat="1" x14ac:dyDescent="0.25">
      <c r="A270" s="61" t="s">
        <v>463</v>
      </c>
      <c r="B270" s="55" t="s">
        <v>221</v>
      </c>
      <c r="C270" s="62">
        <v>42237</v>
      </c>
      <c r="D270" s="63"/>
      <c r="E270" s="64" t="s">
        <v>24</v>
      </c>
      <c r="F270" s="64" t="s">
        <v>32</v>
      </c>
      <c r="G270" s="56" t="s">
        <v>366</v>
      </c>
      <c r="H270" s="56" t="s">
        <v>41</v>
      </c>
      <c r="I270" s="65">
        <v>1366</v>
      </c>
      <c r="J270" s="65">
        <v>5</v>
      </c>
      <c r="K270" s="65">
        <v>2114</v>
      </c>
      <c r="L270" s="65">
        <v>0</v>
      </c>
      <c r="M270" s="65" t="s">
        <v>486</v>
      </c>
      <c r="N270" s="65" t="s">
        <v>486</v>
      </c>
      <c r="O270" s="65">
        <v>735</v>
      </c>
      <c r="P270" s="65">
        <v>1</v>
      </c>
      <c r="Q270" s="57"/>
      <c r="R270" s="57"/>
      <c r="S270" s="58">
        <f t="shared" si="8"/>
        <v>4215</v>
      </c>
      <c r="T270" s="58">
        <f t="shared" si="9"/>
        <v>6</v>
      </c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  <c r="BC270" s="6"/>
      <c r="BD270" s="6"/>
      <c r="BE270" s="6"/>
      <c r="BF270" s="6"/>
      <c r="BG270" s="6"/>
      <c r="BH270" s="6"/>
      <c r="BI270" s="6"/>
      <c r="BJ270" s="6"/>
      <c r="BK270" s="6"/>
      <c r="BL270" s="6"/>
      <c r="BM270" s="6"/>
      <c r="BN270" s="6"/>
      <c r="BO270" s="6"/>
      <c r="BP270" s="6"/>
      <c r="BQ270" s="6"/>
      <c r="BR270" s="6"/>
      <c r="BS270" s="6"/>
      <c r="BT270" s="6"/>
      <c r="BU270" s="6"/>
      <c r="BV270" s="6"/>
      <c r="BW270" s="6"/>
      <c r="BX270" s="6"/>
      <c r="BY270" s="6"/>
      <c r="BZ270" s="6"/>
      <c r="CA270" s="6"/>
      <c r="CB270" s="6"/>
      <c r="CC270" s="6"/>
      <c r="CD270" s="6"/>
      <c r="CE270" s="6"/>
      <c r="CF270" s="6"/>
      <c r="CG270" s="6"/>
      <c r="CH270" s="6"/>
      <c r="CI270" s="6"/>
      <c r="CJ270" s="6"/>
      <c r="CK270" s="6"/>
      <c r="CL270" s="6"/>
      <c r="CM270" s="6"/>
    </row>
    <row r="271" spans="1:91" s="59" customFormat="1" x14ac:dyDescent="0.25">
      <c r="A271" s="61" t="s">
        <v>464</v>
      </c>
      <c r="B271" s="55" t="s">
        <v>465</v>
      </c>
      <c r="C271" s="62">
        <v>42240</v>
      </c>
      <c r="D271" s="63"/>
      <c r="E271" s="64" t="s">
        <v>24</v>
      </c>
      <c r="F271" s="64" t="s">
        <v>329</v>
      </c>
      <c r="G271" s="56" t="s">
        <v>366</v>
      </c>
      <c r="H271" s="56" t="s">
        <v>40</v>
      </c>
      <c r="I271" s="65">
        <v>932</v>
      </c>
      <c r="J271" s="65">
        <v>2</v>
      </c>
      <c r="K271" s="65" t="s">
        <v>486</v>
      </c>
      <c r="L271" s="65" t="s">
        <v>486</v>
      </c>
      <c r="M271" s="65">
        <v>236</v>
      </c>
      <c r="N271" s="65">
        <v>0</v>
      </c>
      <c r="O271" s="65" t="s">
        <v>486</v>
      </c>
      <c r="P271" s="65" t="s">
        <v>486</v>
      </c>
      <c r="Q271" s="57"/>
      <c r="R271" s="57"/>
      <c r="S271" s="58">
        <f t="shared" si="8"/>
        <v>1168</v>
      </c>
      <c r="T271" s="58">
        <f t="shared" si="9"/>
        <v>2</v>
      </c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  <c r="BC271" s="6"/>
      <c r="BD271" s="6"/>
      <c r="BE271" s="6"/>
      <c r="BF271" s="6"/>
      <c r="BG271" s="6"/>
      <c r="BH271" s="6"/>
      <c r="BI271" s="6"/>
      <c r="BJ271" s="6"/>
      <c r="BK271" s="6"/>
      <c r="BL271" s="6"/>
      <c r="BM271" s="6"/>
      <c r="BN271" s="6"/>
      <c r="BO271" s="6"/>
      <c r="BP271" s="6"/>
      <c r="BQ271" s="6"/>
      <c r="BR271" s="6"/>
      <c r="BS271" s="6"/>
      <c r="BT271" s="6"/>
      <c r="BU271" s="6"/>
      <c r="BV271" s="6"/>
      <c r="BW271" s="6"/>
      <c r="BX271" s="6"/>
      <c r="BY271" s="6"/>
      <c r="BZ271" s="6"/>
      <c r="CA271" s="6"/>
      <c r="CB271" s="6"/>
      <c r="CC271" s="6"/>
      <c r="CD271" s="6"/>
      <c r="CE271" s="6"/>
      <c r="CF271" s="6"/>
      <c r="CG271" s="6"/>
      <c r="CH271" s="6"/>
      <c r="CI271" s="6"/>
      <c r="CJ271" s="6"/>
      <c r="CK271" s="6"/>
      <c r="CL271" s="6"/>
      <c r="CM271" s="6"/>
    </row>
    <row r="272" spans="1:91" s="59" customFormat="1" x14ac:dyDescent="0.25">
      <c r="A272" s="61" t="s">
        <v>466</v>
      </c>
      <c r="B272" s="55" t="s">
        <v>444</v>
      </c>
      <c r="C272" s="62">
        <v>42241</v>
      </c>
      <c r="D272" s="63" t="s">
        <v>19</v>
      </c>
      <c r="E272" s="64" t="s">
        <v>25</v>
      </c>
      <c r="F272" s="64" t="s">
        <v>381</v>
      </c>
      <c r="G272" s="56" t="s">
        <v>365</v>
      </c>
      <c r="H272" s="56" t="s">
        <v>40</v>
      </c>
      <c r="I272" s="65">
        <v>577</v>
      </c>
      <c r="J272" s="65">
        <v>0</v>
      </c>
      <c r="K272" s="65" t="s">
        <v>486</v>
      </c>
      <c r="L272" s="65" t="s">
        <v>486</v>
      </c>
      <c r="M272" s="65">
        <v>189</v>
      </c>
      <c r="N272" s="65">
        <v>0</v>
      </c>
      <c r="O272" s="65" t="s">
        <v>486</v>
      </c>
      <c r="P272" s="65" t="s">
        <v>486</v>
      </c>
      <c r="Q272" s="57"/>
      <c r="R272" s="57"/>
      <c r="S272" s="58">
        <f t="shared" si="8"/>
        <v>766</v>
      </c>
      <c r="T272" s="58">
        <f t="shared" si="9"/>
        <v>0</v>
      </c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  <c r="BC272" s="6"/>
      <c r="BD272" s="6"/>
      <c r="BE272" s="6"/>
      <c r="BF272" s="6"/>
      <c r="BG272" s="6"/>
      <c r="BH272" s="6"/>
      <c r="BI272" s="6"/>
      <c r="BJ272" s="6"/>
      <c r="BK272" s="6"/>
      <c r="BL272" s="6"/>
      <c r="BM272" s="6"/>
      <c r="BN272" s="6"/>
      <c r="BO272" s="6"/>
      <c r="BP272" s="6"/>
      <c r="BQ272" s="6"/>
      <c r="BR272" s="6"/>
      <c r="BS272" s="6"/>
      <c r="BT272" s="6"/>
      <c r="BU272" s="6"/>
      <c r="BV272" s="6"/>
      <c r="BW272" s="6"/>
      <c r="BX272" s="6"/>
      <c r="BY272" s="6"/>
      <c r="BZ272" s="6"/>
      <c r="CA272" s="6"/>
      <c r="CB272" s="6"/>
      <c r="CC272" s="6"/>
      <c r="CD272" s="6"/>
      <c r="CE272" s="6"/>
      <c r="CF272" s="6"/>
      <c r="CG272" s="6"/>
      <c r="CH272" s="6"/>
      <c r="CI272" s="6"/>
      <c r="CJ272" s="6"/>
      <c r="CK272" s="6"/>
      <c r="CL272" s="6"/>
      <c r="CM272" s="6"/>
    </row>
    <row r="273" spans="1:91" s="59" customFormat="1" x14ac:dyDescent="0.25">
      <c r="A273" s="47" t="s">
        <v>434</v>
      </c>
      <c r="B273" s="12" t="s">
        <v>221</v>
      </c>
      <c r="C273" s="17">
        <v>42242</v>
      </c>
      <c r="D273" s="10"/>
      <c r="E273" s="11" t="s">
        <v>24</v>
      </c>
      <c r="F273" s="11" t="s">
        <v>27</v>
      </c>
      <c r="G273" s="13" t="s">
        <v>366</v>
      </c>
      <c r="H273" s="13" t="s">
        <v>40</v>
      </c>
      <c r="I273" s="65">
        <v>5117</v>
      </c>
      <c r="J273" s="65">
        <v>117</v>
      </c>
      <c r="K273" s="65" t="s">
        <v>486</v>
      </c>
      <c r="L273" s="65" t="s">
        <v>486</v>
      </c>
      <c r="M273" s="65">
        <v>1883</v>
      </c>
      <c r="N273" s="65">
        <v>0</v>
      </c>
      <c r="O273" s="65">
        <v>841</v>
      </c>
      <c r="P273" s="65">
        <v>0</v>
      </c>
      <c r="Q273" s="4"/>
      <c r="R273" s="4"/>
      <c r="S273" s="23">
        <f t="shared" si="8"/>
        <v>7841</v>
      </c>
      <c r="T273" s="23">
        <f t="shared" si="9"/>
        <v>117</v>
      </c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  <c r="BC273" s="6"/>
      <c r="BD273" s="6"/>
      <c r="BE273" s="6"/>
      <c r="BF273" s="6"/>
      <c r="BG273" s="6"/>
      <c r="BH273" s="6"/>
      <c r="BI273" s="6"/>
      <c r="BJ273" s="6"/>
      <c r="BK273" s="6"/>
      <c r="BL273" s="6"/>
      <c r="BM273" s="6"/>
      <c r="BN273" s="6"/>
      <c r="BO273" s="6"/>
      <c r="BP273" s="6"/>
      <c r="BQ273" s="6"/>
      <c r="BR273" s="6"/>
      <c r="BS273" s="6"/>
      <c r="BT273" s="6"/>
      <c r="BU273" s="6"/>
      <c r="BV273" s="6"/>
      <c r="BW273" s="6"/>
      <c r="BX273" s="6"/>
      <c r="BY273" s="6"/>
      <c r="BZ273" s="6"/>
      <c r="CA273" s="6"/>
      <c r="CB273" s="6"/>
      <c r="CC273" s="6"/>
      <c r="CD273" s="6"/>
      <c r="CE273" s="6"/>
      <c r="CF273" s="6"/>
      <c r="CG273" s="6"/>
      <c r="CH273" s="6"/>
      <c r="CI273" s="6"/>
      <c r="CJ273" s="6"/>
      <c r="CK273" s="6"/>
      <c r="CL273" s="6"/>
      <c r="CM273" s="6"/>
    </row>
    <row r="274" spans="1:91" x14ac:dyDescent="0.25">
      <c r="A274" s="61" t="s">
        <v>467</v>
      </c>
      <c r="B274" s="55" t="s">
        <v>229</v>
      </c>
      <c r="C274" s="62">
        <v>42242</v>
      </c>
      <c r="D274" s="63" t="s">
        <v>21</v>
      </c>
      <c r="E274" s="64" t="s">
        <v>24</v>
      </c>
      <c r="F274" s="64" t="s">
        <v>28</v>
      </c>
      <c r="G274" s="56" t="s">
        <v>366</v>
      </c>
      <c r="H274" s="56" t="s">
        <v>41</v>
      </c>
      <c r="I274" s="65">
        <v>2454</v>
      </c>
      <c r="J274" s="65">
        <v>9</v>
      </c>
      <c r="K274" s="65">
        <v>2830</v>
      </c>
      <c r="L274" s="65">
        <v>0</v>
      </c>
      <c r="M274" s="65" t="s">
        <v>486</v>
      </c>
      <c r="N274" s="65" t="s">
        <v>486</v>
      </c>
      <c r="O274" s="65">
        <v>740</v>
      </c>
      <c r="P274" s="65">
        <v>0</v>
      </c>
      <c r="Q274" s="57"/>
      <c r="R274" s="57"/>
      <c r="S274" s="58">
        <f t="shared" si="8"/>
        <v>6024</v>
      </c>
      <c r="T274" s="58">
        <f t="shared" si="9"/>
        <v>9</v>
      </c>
    </row>
    <row r="275" spans="1:91" x14ac:dyDescent="0.25">
      <c r="A275" s="47" t="s">
        <v>452</v>
      </c>
      <c r="B275" s="12" t="s">
        <v>231</v>
      </c>
      <c r="C275" s="17">
        <v>42244</v>
      </c>
      <c r="D275" s="10"/>
      <c r="E275" s="11" t="s">
        <v>24</v>
      </c>
      <c r="F275" s="11" t="s">
        <v>361</v>
      </c>
      <c r="G275" s="13" t="s">
        <v>366</v>
      </c>
      <c r="H275" s="13" t="s">
        <v>41</v>
      </c>
      <c r="I275" s="65">
        <v>1663</v>
      </c>
      <c r="J275" s="65">
        <v>20</v>
      </c>
      <c r="K275" s="65">
        <v>1106</v>
      </c>
      <c r="L275" s="65">
        <v>2</v>
      </c>
      <c r="M275" s="65">
        <v>78</v>
      </c>
      <c r="N275" s="65">
        <v>0</v>
      </c>
      <c r="O275" s="65" t="s">
        <v>486</v>
      </c>
      <c r="P275" s="65" t="s">
        <v>486</v>
      </c>
      <c r="Q275" s="4"/>
      <c r="R275" s="4"/>
      <c r="S275" s="23">
        <f t="shared" si="8"/>
        <v>2847</v>
      </c>
      <c r="T275" s="23">
        <f t="shared" si="9"/>
        <v>22</v>
      </c>
    </row>
    <row r="276" spans="1:91" x14ac:dyDescent="0.25">
      <c r="A276" s="47" t="s">
        <v>450</v>
      </c>
      <c r="B276" s="12" t="s">
        <v>451</v>
      </c>
      <c r="C276" s="17">
        <v>42247</v>
      </c>
      <c r="D276" s="10"/>
      <c r="E276" s="11" t="s">
        <v>25</v>
      </c>
      <c r="F276" s="11" t="s">
        <v>31</v>
      </c>
      <c r="G276" s="13" t="s">
        <v>365</v>
      </c>
      <c r="H276" s="13" t="s">
        <v>40</v>
      </c>
      <c r="I276" s="65">
        <v>801</v>
      </c>
      <c r="J276" s="65">
        <v>3</v>
      </c>
      <c r="K276" s="65" t="s">
        <v>486</v>
      </c>
      <c r="L276" s="65" t="s">
        <v>486</v>
      </c>
      <c r="M276" s="65">
        <v>69</v>
      </c>
      <c r="N276" s="65">
        <v>0</v>
      </c>
      <c r="O276" s="65" t="s">
        <v>486</v>
      </c>
      <c r="P276" s="65" t="s">
        <v>486</v>
      </c>
      <c r="Q276" s="4"/>
      <c r="R276" s="4"/>
      <c r="S276" s="23">
        <f t="shared" si="8"/>
        <v>870</v>
      </c>
      <c r="T276" s="23">
        <f t="shared" si="9"/>
        <v>3</v>
      </c>
    </row>
    <row r="277" spans="1:91" s="59" customFormat="1" ht="30" x14ac:dyDescent="0.25">
      <c r="A277" s="47" t="s">
        <v>387</v>
      </c>
      <c r="B277" s="12" t="s">
        <v>218</v>
      </c>
      <c r="C277" s="17">
        <v>42248</v>
      </c>
      <c r="D277" s="10" t="s">
        <v>272</v>
      </c>
      <c r="E277" s="11" t="s">
        <v>24</v>
      </c>
      <c r="F277" s="11" t="s">
        <v>484</v>
      </c>
      <c r="G277" s="13" t="s">
        <v>366</v>
      </c>
      <c r="H277" s="13" t="s">
        <v>41</v>
      </c>
      <c r="I277" s="65">
        <v>1884</v>
      </c>
      <c r="J277" s="65">
        <v>5</v>
      </c>
      <c r="K277" s="65" t="s">
        <v>486</v>
      </c>
      <c r="L277" s="65" t="s">
        <v>486</v>
      </c>
      <c r="M277" s="65" t="s">
        <v>486</v>
      </c>
      <c r="N277" s="65" t="s">
        <v>486</v>
      </c>
      <c r="O277" s="65" t="s">
        <v>486</v>
      </c>
      <c r="P277" s="65" t="s">
        <v>486</v>
      </c>
      <c r="Q277" s="4"/>
      <c r="R277" s="4"/>
      <c r="S277" s="23">
        <f t="shared" si="8"/>
        <v>1884</v>
      </c>
      <c r="T277" s="23">
        <f t="shared" si="9"/>
        <v>5</v>
      </c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  <c r="BC277" s="6"/>
      <c r="BD277" s="6"/>
      <c r="BE277" s="6"/>
      <c r="BF277" s="6"/>
      <c r="BG277" s="6"/>
      <c r="BH277" s="6"/>
      <c r="BI277" s="6"/>
      <c r="BJ277" s="6"/>
      <c r="BK277" s="6"/>
      <c r="BL277" s="6"/>
      <c r="BM277" s="6"/>
      <c r="BN277" s="6"/>
      <c r="BO277" s="6"/>
      <c r="BP277" s="6"/>
      <c r="BQ277" s="6"/>
      <c r="BR277" s="6"/>
      <c r="BS277" s="6"/>
      <c r="BT277" s="6"/>
      <c r="BU277" s="6"/>
      <c r="BV277" s="6"/>
      <c r="BW277" s="6"/>
      <c r="BX277" s="6"/>
      <c r="BY277" s="6"/>
      <c r="BZ277" s="6"/>
      <c r="CA277" s="6"/>
      <c r="CB277" s="6"/>
      <c r="CC277" s="6"/>
      <c r="CD277" s="6"/>
      <c r="CE277" s="6"/>
      <c r="CF277" s="6"/>
      <c r="CG277" s="6"/>
      <c r="CH277" s="6"/>
      <c r="CI277" s="6"/>
      <c r="CJ277" s="6"/>
      <c r="CK277" s="6"/>
      <c r="CL277" s="6"/>
      <c r="CM277" s="6"/>
    </row>
    <row r="278" spans="1:91" s="59" customFormat="1" x14ac:dyDescent="0.25">
      <c r="A278" s="74" t="s">
        <v>386</v>
      </c>
      <c r="B278" s="55" t="s">
        <v>238</v>
      </c>
      <c r="C278" s="62">
        <v>42250</v>
      </c>
      <c r="D278" s="63" t="s">
        <v>19</v>
      </c>
      <c r="E278" s="64" t="s">
        <v>361</v>
      </c>
      <c r="F278" s="64" t="s">
        <v>328</v>
      </c>
      <c r="G278" s="56" t="s">
        <v>366</v>
      </c>
      <c r="H278" s="56" t="s">
        <v>41</v>
      </c>
      <c r="I278" s="65">
        <v>765</v>
      </c>
      <c r="J278" s="65">
        <v>5</v>
      </c>
      <c r="K278" s="65" t="s">
        <v>486</v>
      </c>
      <c r="L278" s="65" t="s">
        <v>486</v>
      </c>
      <c r="M278" s="65">
        <v>98</v>
      </c>
      <c r="N278" s="65">
        <v>0</v>
      </c>
      <c r="O278" s="65" t="s">
        <v>486</v>
      </c>
      <c r="P278" s="65" t="s">
        <v>486</v>
      </c>
      <c r="Q278" s="57"/>
      <c r="R278" s="57"/>
      <c r="S278" s="58">
        <f t="shared" si="8"/>
        <v>863</v>
      </c>
      <c r="T278" s="58">
        <f t="shared" si="9"/>
        <v>5</v>
      </c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  <c r="BC278" s="6"/>
      <c r="BD278" s="6"/>
      <c r="BE278" s="6"/>
      <c r="BF278" s="6"/>
      <c r="BG278" s="6"/>
      <c r="BH278" s="6"/>
      <c r="BI278" s="6"/>
      <c r="BJ278" s="6"/>
      <c r="BK278" s="6"/>
      <c r="BL278" s="6"/>
      <c r="BM278" s="6"/>
      <c r="BN278" s="6"/>
      <c r="BO278" s="6"/>
      <c r="BP278" s="6"/>
      <c r="BQ278" s="6"/>
      <c r="BR278" s="6"/>
      <c r="BS278" s="6"/>
      <c r="BT278" s="6"/>
      <c r="BU278" s="6"/>
      <c r="BV278" s="6"/>
      <c r="BW278" s="6"/>
      <c r="BX278" s="6"/>
      <c r="BY278" s="6"/>
      <c r="BZ278" s="6"/>
      <c r="CA278" s="6"/>
      <c r="CB278" s="6"/>
      <c r="CC278" s="6"/>
      <c r="CD278" s="6"/>
      <c r="CE278" s="6"/>
      <c r="CF278" s="6"/>
      <c r="CG278" s="6"/>
      <c r="CH278" s="6"/>
      <c r="CI278" s="6"/>
      <c r="CJ278" s="6"/>
      <c r="CK278" s="6"/>
      <c r="CL278" s="6"/>
      <c r="CM278" s="6"/>
    </row>
    <row r="279" spans="1:91" s="59" customFormat="1" x14ac:dyDescent="0.25">
      <c r="A279" s="47" t="s">
        <v>487</v>
      </c>
      <c r="B279" s="12" t="s">
        <v>223</v>
      </c>
      <c r="C279" s="17">
        <v>42255</v>
      </c>
      <c r="D279" s="10" t="s">
        <v>19</v>
      </c>
      <c r="E279" s="11" t="s">
        <v>361</v>
      </c>
      <c r="F279" s="11" t="s">
        <v>361</v>
      </c>
      <c r="G279" s="13" t="s">
        <v>366</v>
      </c>
      <c r="H279" s="13" t="s">
        <v>41</v>
      </c>
      <c r="I279" s="65">
        <v>2383</v>
      </c>
      <c r="J279" s="65">
        <v>14</v>
      </c>
      <c r="K279" s="65" t="s">
        <v>486</v>
      </c>
      <c r="L279" s="65" t="s">
        <v>486</v>
      </c>
      <c r="M279" s="65" t="s">
        <v>486</v>
      </c>
      <c r="N279" s="65" t="s">
        <v>486</v>
      </c>
      <c r="O279" s="65" t="s">
        <v>486</v>
      </c>
      <c r="P279" s="65" t="s">
        <v>486</v>
      </c>
      <c r="Q279" s="4"/>
      <c r="R279" s="4"/>
      <c r="S279" s="23">
        <f t="shared" si="8"/>
        <v>2383</v>
      </c>
      <c r="T279" s="23">
        <f t="shared" si="9"/>
        <v>14</v>
      </c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  <c r="BC279" s="6"/>
      <c r="BD279" s="6"/>
      <c r="BE279" s="6"/>
      <c r="BF279" s="6"/>
      <c r="BG279" s="6"/>
      <c r="BH279" s="6"/>
      <c r="BI279" s="6"/>
      <c r="BJ279" s="6"/>
      <c r="BK279" s="6"/>
      <c r="BL279" s="6"/>
      <c r="BM279" s="6"/>
      <c r="BN279" s="6"/>
      <c r="BO279" s="6"/>
      <c r="BP279" s="6"/>
      <c r="BQ279" s="6"/>
      <c r="BR279" s="6"/>
      <c r="BS279" s="6"/>
      <c r="BT279" s="6"/>
      <c r="BU279" s="6"/>
      <c r="BV279" s="6"/>
      <c r="BW279" s="6"/>
      <c r="BX279" s="6"/>
      <c r="BY279" s="6"/>
      <c r="BZ279" s="6"/>
      <c r="CA279" s="6"/>
      <c r="CB279" s="6"/>
      <c r="CC279" s="6"/>
      <c r="CD279" s="6"/>
      <c r="CE279" s="6"/>
      <c r="CF279" s="6"/>
      <c r="CG279" s="6"/>
      <c r="CH279" s="6"/>
      <c r="CI279" s="6"/>
      <c r="CJ279" s="6"/>
      <c r="CK279" s="6"/>
      <c r="CL279" s="6"/>
      <c r="CM279" s="6"/>
    </row>
    <row r="280" spans="1:91" s="59" customFormat="1" x14ac:dyDescent="0.25">
      <c r="A280" s="61" t="s">
        <v>385</v>
      </c>
      <c r="B280" s="55" t="s">
        <v>218</v>
      </c>
      <c r="C280" s="62">
        <v>42255</v>
      </c>
      <c r="D280" s="63" t="s">
        <v>21</v>
      </c>
      <c r="E280" s="64" t="s">
        <v>24</v>
      </c>
      <c r="F280" s="64" t="s">
        <v>34</v>
      </c>
      <c r="G280" s="56" t="s">
        <v>366</v>
      </c>
      <c r="H280" s="56" t="s">
        <v>41</v>
      </c>
      <c r="I280" s="65">
        <v>3075</v>
      </c>
      <c r="J280" s="65">
        <v>9</v>
      </c>
      <c r="K280" s="65" t="s">
        <v>486</v>
      </c>
      <c r="L280" s="65" t="s">
        <v>486</v>
      </c>
      <c r="M280" s="65" t="s">
        <v>486</v>
      </c>
      <c r="N280" s="65" t="s">
        <v>486</v>
      </c>
      <c r="O280" s="65" t="s">
        <v>486</v>
      </c>
      <c r="P280" s="65" t="s">
        <v>486</v>
      </c>
      <c r="Q280" s="57"/>
      <c r="R280" s="57"/>
      <c r="S280" s="58">
        <f t="shared" si="8"/>
        <v>3075</v>
      </c>
      <c r="T280" s="58">
        <f t="shared" si="9"/>
        <v>9</v>
      </c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  <c r="BC280" s="6"/>
      <c r="BD280" s="6"/>
      <c r="BE280" s="6"/>
      <c r="BF280" s="6"/>
      <c r="BG280" s="6"/>
      <c r="BH280" s="6"/>
      <c r="BI280" s="6"/>
      <c r="BJ280" s="6"/>
      <c r="BK280" s="6"/>
      <c r="BL280" s="6"/>
      <c r="BM280" s="6"/>
      <c r="BN280" s="6"/>
      <c r="BO280" s="6"/>
      <c r="BP280" s="6"/>
      <c r="BQ280" s="6"/>
      <c r="BR280" s="6"/>
      <c r="BS280" s="6"/>
      <c r="BT280" s="6"/>
      <c r="BU280" s="6"/>
      <c r="BV280" s="6"/>
      <c r="BW280" s="6"/>
      <c r="BX280" s="6"/>
      <c r="BY280" s="6"/>
      <c r="BZ280" s="6"/>
      <c r="CA280" s="6"/>
      <c r="CB280" s="6"/>
      <c r="CC280" s="6"/>
      <c r="CD280" s="6"/>
      <c r="CE280" s="6"/>
      <c r="CF280" s="6"/>
      <c r="CG280" s="6"/>
      <c r="CH280" s="6"/>
      <c r="CI280" s="6"/>
      <c r="CJ280" s="6"/>
      <c r="CK280" s="6"/>
      <c r="CL280" s="6"/>
      <c r="CM280" s="6"/>
    </row>
    <row r="281" spans="1:91" s="59" customFormat="1" x14ac:dyDescent="0.25">
      <c r="A281" s="61" t="s">
        <v>384</v>
      </c>
      <c r="B281" s="55" t="s">
        <v>228</v>
      </c>
      <c r="C281" s="62">
        <v>42256</v>
      </c>
      <c r="D281" s="63"/>
      <c r="E281" s="64" t="s">
        <v>361</v>
      </c>
      <c r="F281" s="64" t="s">
        <v>361</v>
      </c>
      <c r="G281" s="56" t="s">
        <v>366</v>
      </c>
      <c r="H281" s="56" t="s">
        <v>40</v>
      </c>
      <c r="I281" s="65">
        <v>6559</v>
      </c>
      <c r="J281" s="65">
        <v>67</v>
      </c>
      <c r="K281" s="65" t="s">
        <v>486</v>
      </c>
      <c r="L281" s="65" t="s">
        <v>486</v>
      </c>
      <c r="M281" s="65" t="s">
        <v>486</v>
      </c>
      <c r="N281" s="65" t="s">
        <v>486</v>
      </c>
      <c r="O281" s="65" t="s">
        <v>486</v>
      </c>
      <c r="P281" s="65" t="s">
        <v>486</v>
      </c>
      <c r="Q281" s="57"/>
      <c r="R281" s="57"/>
      <c r="S281" s="58">
        <f t="shared" si="8"/>
        <v>6559</v>
      </c>
      <c r="T281" s="58">
        <f t="shared" si="9"/>
        <v>67</v>
      </c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  <c r="BC281" s="6"/>
      <c r="BD281" s="6"/>
      <c r="BE281" s="6"/>
      <c r="BF281" s="6"/>
      <c r="BG281" s="6"/>
      <c r="BH281" s="6"/>
      <c r="BI281" s="6"/>
      <c r="BJ281" s="6"/>
      <c r="BK281" s="6"/>
      <c r="BL281" s="6"/>
      <c r="BM281" s="6"/>
      <c r="BN281" s="6"/>
      <c r="BO281" s="6"/>
      <c r="BP281" s="6"/>
      <c r="BQ281" s="6"/>
      <c r="BR281" s="6"/>
      <c r="BS281" s="6"/>
      <c r="BT281" s="6"/>
      <c r="BU281" s="6"/>
      <c r="BV281" s="6"/>
      <c r="BW281" s="6"/>
      <c r="BX281" s="6"/>
      <c r="BY281" s="6"/>
      <c r="BZ281" s="6"/>
      <c r="CA281" s="6"/>
      <c r="CB281" s="6"/>
      <c r="CC281" s="6"/>
      <c r="CD281" s="6"/>
      <c r="CE281" s="6"/>
      <c r="CF281" s="6"/>
      <c r="CG281" s="6"/>
      <c r="CH281" s="6"/>
      <c r="CI281" s="6"/>
      <c r="CJ281" s="6"/>
      <c r="CK281" s="6"/>
      <c r="CL281" s="6"/>
      <c r="CM281" s="6"/>
    </row>
    <row r="282" spans="1:91" s="59" customFormat="1" x14ac:dyDescent="0.25">
      <c r="A282" s="61" t="s">
        <v>382</v>
      </c>
      <c r="B282" s="55" t="s">
        <v>223</v>
      </c>
      <c r="C282" s="62">
        <v>42257</v>
      </c>
      <c r="D282" s="63" t="s">
        <v>19</v>
      </c>
      <c r="E282" s="64" t="s">
        <v>23</v>
      </c>
      <c r="F282" s="64" t="s">
        <v>329</v>
      </c>
      <c r="G282" s="56" t="s">
        <v>366</v>
      </c>
      <c r="H282" s="56" t="s">
        <v>41</v>
      </c>
      <c r="I282" s="65">
        <v>1237</v>
      </c>
      <c r="J282" s="65">
        <v>2</v>
      </c>
      <c r="K282" s="65" t="s">
        <v>486</v>
      </c>
      <c r="L282" s="65" t="s">
        <v>486</v>
      </c>
      <c r="M282" s="65">
        <v>109</v>
      </c>
      <c r="N282" s="65">
        <v>0</v>
      </c>
      <c r="O282" s="65">
        <v>548</v>
      </c>
      <c r="P282" s="65">
        <v>0</v>
      </c>
      <c r="Q282" s="57"/>
      <c r="R282" s="57"/>
      <c r="S282" s="58">
        <f t="shared" si="8"/>
        <v>1894</v>
      </c>
      <c r="T282" s="58">
        <f t="shared" si="9"/>
        <v>2</v>
      </c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  <c r="BC282" s="6"/>
      <c r="BD282" s="6"/>
      <c r="BE282" s="6"/>
      <c r="BF282" s="6"/>
      <c r="BG282" s="6"/>
      <c r="BH282" s="6"/>
      <c r="BI282" s="6"/>
      <c r="BJ282" s="6"/>
      <c r="BK282" s="6"/>
      <c r="BL282" s="6"/>
      <c r="BM282" s="6"/>
      <c r="BN282" s="6"/>
      <c r="BO282" s="6"/>
      <c r="BP282" s="6"/>
      <c r="BQ282" s="6"/>
      <c r="BR282" s="6"/>
      <c r="BS282" s="6"/>
      <c r="BT282" s="6"/>
      <c r="BU282" s="6"/>
      <c r="BV282" s="6"/>
      <c r="BW282" s="6"/>
      <c r="BX282" s="6"/>
      <c r="BY282" s="6"/>
      <c r="BZ282" s="6"/>
      <c r="CA282" s="6"/>
      <c r="CB282" s="6"/>
      <c r="CC282" s="6"/>
      <c r="CD282" s="6"/>
      <c r="CE282" s="6"/>
      <c r="CF282" s="6"/>
      <c r="CG282" s="6"/>
      <c r="CH282" s="6"/>
      <c r="CI282" s="6"/>
      <c r="CJ282" s="6"/>
      <c r="CK282" s="6"/>
      <c r="CL282" s="6"/>
      <c r="CM282" s="6"/>
    </row>
    <row r="283" spans="1:91" x14ac:dyDescent="0.25">
      <c r="A283" s="61" t="s">
        <v>380</v>
      </c>
      <c r="B283" s="55" t="s">
        <v>218</v>
      </c>
      <c r="C283" s="62">
        <v>42258</v>
      </c>
      <c r="D283" s="63" t="s">
        <v>19</v>
      </c>
      <c r="E283" s="64" t="s">
        <v>23</v>
      </c>
      <c r="F283" s="64" t="s">
        <v>381</v>
      </c>
      <c r="G283" s="56" t="s">
        <v>365</v>
      </c>
      <c r="H283" s="56" t="s">
        <v>41</v>
      </c>
      <c r="I283" s="65">
        <v>1436</v>
      </c>
      <c r="J283" s="65">
        <v>1</v>
      </c>
      <c r="K283" s="65" t="s">
        <v>486</v>
      </c>
      <c r="L283" s="65" t="s">
        <v>486</v>
      </c>
      <c r="M283" s="65">
        <v>228</v>
      </c>
      <c r="N283" s="65">
        <v>0</v>
      </c>
      <c r="O283" s="65">
        <v>883</v>
      </c>
      <c r="P283" s="65">
        <v>3</v>
      </c>
      <c r="Q283" s="57"/>
      <c r="R283" s="57"/>
      <c r="S283" s="58">
        <f t="shared" si="8"/>
        <v>2547</v>
      </c>
      <c r="T283" s="58">
        <f t="shared" si="9"/>
        <v>4</v>
      </c>
    </row>
    <row r="284" spans="1:91" s="59" customFormat="1" x14ac:dyDescent="0.25">
      <c r="A284" s="61" t="s">
        <v>379</v>
      </c>
      <c r="B284" s="55" t="s">
        <v>227</v>
      </c>
      <c r="C284" s="62">
        <v>42261</v>
      </c>
      <c r="D284" s="63"/>
      <c r="E284" s="64" t="s">
        <v>361</v>
      </c>
      <c r="F284" s="64" t="s">
        <v>27</v>
      </c>
      <c r="G284" s="56" t="s">
        <v>366</v>
      </c>
      <c r="H284" s="56" t="s">
        <v>41</v>
      </c>
      <c r="I284" s="65">
        <v>1073</v>
      </c>
      <c r="J284" s="65">
        <v>0</v>
      </c>
      <c r="K284" s="65" t="s">
        <v>486</v>
      </c>
      <c r="L284" s="65" t="s">
        <v>486</v>
      </c>
      <c r="M284" s="65" t="s">
        <v>486</v>
      </c>
      <c r="N284" s="65" t="s">
        <v>486</v>
      </c>
      <c r="O284" s="65" t="s">
        <v>486</v>
      </c>
      <c r="P284" s="65" t="s">
        <v>486</v>
      </c>
      <c r="Q284" s="57"/>
      <c r="R284" s="57"/>
      <c r="S284" s="58">
        <f t="shared" si="8"/>
        <v>1073</v>
      </c>
      <c r="T284" s="58">
        <f t="shared" si="9"/>
        <v>0</v>
      </c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  <c r="BC284" s="6"/>
      <c r="BD284" s="6"/>
      <c r="BE284" s="6"/>
      <c r="BF284" s="6"/>
      <c r="BG284" s="6"/>
      <c r="BH284" s="6"/>
      <c r="BI284" s="6"/>
      <c r="BJ284" s="6"/>
      <c r="BK284" s="6"/>
      <c r="BL284" s="6"/>
      <c r="BM284" s="6"/>
      <c r="BN284" s="6"/>
      <c r="BO284" s="6"/>
      <c r="BP284" s="6"/>
      <c r="BQ284" s="6"/>
      <c r="BR284" s="6"/>
      <c r="BS284" s="6"/>
      <c r="BT284" s="6"/>
      <c r="BU284" s="6"/>
      <c r="BV284" s="6"/>
      <c r="BW284" s="6"/>
      <c r="BX284" s="6"/>
      <c r="BY284" s="6"/>
      <c r="BZ284" s="6"/>
      <c r="CA284" s="6"/>
      <c r="CB284" s="6"/>
      <c r="CC284" s="6"/>
      <c r="CD284" s="6"/>
      <c r="CE284" s="6"/>
      <c r="CF284" s="6"/>
      <c r="CG284" s="6"/>
      <c r="CH284" s="6"/>
      <c r="CI284" s="6"/>
      <c r="CJ284" s="6"/>
      <c r="CK284" s="6"/>
      <c r="CL284" s="6"/>
      <c r="CM284" s="6"/>
    </row>
    <row r="285" spans="1:91" s="59" customFormat="1" ht="30" x14ac:dyDescent="0.25">
      <c r="A285" s="47" t="s">
        <v>378</v>
      </c>
      <c r="B285" s="12" t="s">
        <v>229</v>
      </c>
      <c r="C285" s="17">
        <v>42262</v>
      </c>
      <c r="D285" s="10"/>
      <c r="E285" s="11" t="s">
        <v>24</v>
      </c>
      <c r="F285" s="11" t="s">
        <v>327</v>
      </c>
      <c r="G285" s="13" t="s">
        <v>366</v>
      </c>
      <c r="H285" s="13" t="s">
        <v>41</v>
      </c>
      <c r="I285" s="65">
        <v>2143</v>
      </c>
      <c r="J285" s="65">
        <v>3</v>
      </c>
      <c r="K285" s="65" t="s">
        <v>486</v>
      </c>
      <c r="L285" s="65" t="s">
        <v>486</v>
      </c>
      <c r="M285" s="65">
        <v>484</v>
      </c>
      <c r="N285" s="65">
        <v>0</v>
      </c>
      <c r="O285" s="65" t="s">
        <v>486</v>
      </c>
      <c r="P285" s="65" t="s">
        <v>486</v>
      </c>
      <c r="Q285" s="65">
        <v>78019</v>
      </c>
      <c r="R285" s="65">
        <v>7</v>
      </c>
      <c r="S285" s="23">
        <f t="shared" si="8"/>
        <v>2627</v>
      </c>
      <c r="T285" s="23">
        <f t="shared" si="9"/>
        <v>3</v>
      </c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  <c r="BC285" s="6"/>
      <c r="BD285" s="6"/>
      <c r="BE285" s="6"/>
      <c r="BF285" s="6"/>
      <c r="BG285" s="6"/>
      <c r="BH285" s="6"/>
      <c r="BI285" s="6"/>
      <c r="BJ285" s="6"/>
      <c r="BK285" s="6"/>
      <c r="BL285" s="6"/>
      <c r="BM285" s="6"/>
      <c r="BN285" s="6"/>
      <c r="BO285" s="6"/>
      <c r="BP285" s="6"/>
      <c r="BQ285" s="6"/>
      <c r="BR285" s="6"/>
      <c r="BS285" s="6"/>
      <c r="BT285" s="6"/>
      <c r="BU285" s="6"/>
      <c r="BV285" s="6"/>
      <c r="BW285" s="6"/>
      <c r="BX285" s="6"/>
      <c r="BY285" s="6"/>
      <c r="BZ285" s="6"/>
      <c r="CA285" s="6"/>
      <c r="CB285" s="6"/>
      <c r="CC285" s="6"/>
      <c r="CD285" s="6"/>
      <c r="CE285" s="6"/>
      <c r="CF285" s="6"/>
      <c r="CG285" s="6"/>
      <c r="CH285" s="6"/>
      <c r="CI285" s="6"/>
      <c r="CJ285" s="6"/>
      <c r="CK285" s="6"/>
      <c r="CL285" s="6"/>
      <c r="CM285" s="6"/>
    </row>
    <row r="286" spans="1:91" x14ac:dyDescent="0.25">
      <c r="A286" s="47" t="s">
        <v>377</v>
      </c>
      <c r="B286" s="12" t="s">
        <v>224</v>
      </c>
      <c r="C286" s="17">
        <v>42262</v>
      </c>
      <c r="D286" s="10" t="s">
        <v>21</v>
      </c>
      <c r="E286" s="11" t="s">
        <v>361</v>
      </c>
      <c r="F286" s="11" t="s">
        <v>361</v>
      </c>
      <c r="G286" s="13" t="s">
        <v>366</v>
      </c>
      <c r="H286" s="13" t="s">
        <v>41</v>
      </c>
      <c r="I286" s="65">
        <v>1514</v>
      </c>
      <c r="J286" s="65">
        <v>1</v>
      </c>
      <c r="K286" s="65" t="s">
        <v>486</v>
      </c>
      <c r="L286" s="65" t="s">
        <v>486</v>
      </c>
      <c r="M286" s="65" t="s">
        <v>486</v>
      </c>
      <c r="N286" s="65" t="s">
        <v>486</v>
      </c>
      <c r="O286" s="65" t="s">
        <v>486</v>
      </c>
      <c r="P286" s="65" t="s">
        <v>486</v>
      </c>
      <c r="Q286" s="4"/>
      <c r="R286" s="4"/>
      <c r="S286" s="23">
        <f t="shared" si="8"/>
        <v>1514</v>
      </c>
      <c r="T286" s="23">
        <f t="shared" si="9"/>
        <v>1</v>
      </c>
    </row>
    <row r="287" spans="1:91" s="59" customFormat="1" x14ac:dyDescent="0.25">
      <c r="A287" s="47" t="s">
        <v>375</v>
      </c>
      <c r="B287" s="12" t="s">
        <v>223</v>
      </c>
      <c r="C287" s="17">
        <v>42263</v>
      </c>
      <c r="D287" s="10"/>
      <c r="E287" s="11" t="s">
        <v>361</v>
      </c>
      <c r="F287" s="11" t="s">
        <v>28</v>
      </c>
      <c r="G287" s="13" t="s">
        <v>366</v>
      </c>
      <c r="H287" s="13" t="s">
        <v>41</v>
      </c>
      <c r="I287" s="65">
        <v>27449</v>
      </c>
      <c r="J287" s="65">
        <v>359</v>
      </c>
      <c r="K287" s="65" t="s">
        <v>486</v>
      </c>
      <c r="L287" s="65" t="s">
        <v>486</v>
      </c>
      <c r="M287" s="65" t="s">
        <v>486</v>
      </c>
      <c r="N287" s="65" t="s">
        <v>486</v>
      </c>
      <c r="O287" s="65" t="s">
        <v>486</v>
      </c>
      <c r="P287" s="65" t="s">
        <v>486</v>
      </c>
      <c r="Q287" s="4"/>
      <c r="R287" s="4"/>
      <c r="S287" s="23">
        <f t="shared" si="8"/>
        <v>27449</v>
      </c>
      <c r="T287" s="23">
        <f t="shared" si="9"/>
        <v>359</v>
      </c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  <c r="BC287" s="6"/>
      <c r="BD287" s="6"/>
      <c r="BE287" s="6"/>
      <c r="BF287" s="6"/>
      <c r="BG287" s="6"/>
      <c r="BH287" s="6"/>
      <c r="BI287" s="6"/>
      <c r="BJ287" s="6"/>
      <c r="BK287" s="6"/>
      <c r="BL287" s="6"/>
      <c r="BM287" s="6"/>
      <c r="BN287" s="6"/>
      <c r="BO287" s="6"/>
      <c r="BP287" s="6"/>
      <c r="BQ287" s="6"/>
      <c r="BR287" s="6"/>
      <c r="BS287" s="6"/>
      <c r="BT287" s="6"/>
      <c r="BU287" s="6"/>
      <c r="BV287" s="6"/>
      <c r="BW287" s="6"/>
      <c r="BX287" s="6"/>
      <c r="BY287" s="6"/>
      <c r="BZ287" s="6"/>
      <c r="CA287" s="6"/>
      <c r="CB287" s="6"/>
      <c r="CC287" s="6"/>
      <c r="CD287" s="6"/>
      <c r="CE287" s="6"/>
      <c r="CF287" s="6"/>
      <c r="CG287" s="6"/>
      <c r="CH287" s="6"/>
      <c r="CI287" s="6"/>
      <c r="CJ287" s="6"/>
      <c r="CK287" s="6"/>
      <c r="CL287" s="6"/>
      <c r="CM287" s="6"/>
    </row>
    <row r="288" spans="1:91" ht="30" x14ac:dyDescent="0.25">
      <c r="A288" s="47" t="s">
        <v>376</v>
      </c>
      <c r="B288" s="12" t="s">
        <v>229</v>
      </c>
      <c r="C288" s="17">
        <v>42263</v>
      </c>
      <c r="D288" s="10" t="s">
        <v>21</v>
      </c>
      <c r="E288" s="11" t="s">
        <v>24</v>
      </c>
      <c r="F288" s="11" t="s">
        <v>327</v>
      </c>
      <c r="G288" s="13" t="s">
        <v>366</v>
      </c>
      <c r="H288" s="13" t="s">
        <v>41</v>
      </c>
      <c r="I288" s="65">
        <v>2130</v>
      </c>
      <c r="J288" s="65">
        <v>7</v>
      </c>
      <c r="K288" s="65">
        <v>1772</v>
      </c>
      <c r="L288" s="65">
        <v>0</v>
      </c>
      <c r="M288" s="65">
        <v>149</v>
      </c>
      <c r="N288" s="65">
        <v>0</v>
      </c>
      <c r="O288" s="65">
        <v>7140</v>
      </c>
      <c r="P288" s="65">
        <v>1</v>
      </c>
      <c r="Q288" s="65">
        <v>78209</v>
      </c>
      <c r="R288" s="65">
        <v>10</v>
      </c>
      <c r="S288" s="23">
        <f t="shared" si="8"/>
        <v>11191</v>
      </c>
      <c r="T288" s="23">
        <f t="shared" si="9"/>
        <v>8</v>
      </c>
    </row>
    <row r="289" spans="1:91" x14ac:dyDescent="0.25">
      <c r="A289" s="47" t="s">
        <v>374</v>
      </c>
      <c r="B289" s="12" t="s">
        <v>215</v>
      </c>
      <c r="C289" s="17">
        <v>42264</v>
      </c>
      <c r="D289" s="10"/>
      <c r="E289" s="11" t="s">
        <v>361</v>
      </c>
      <c r="F289" s="11" t="s">
        <v>361</v>
      </c>
      <c r="G289" s="13" t="s">
        <v>366</v>
      </c>
      <c r="H289" s="13" t="s">
        <v>41</v>
      </c>
      <c r="I289" s="65">
        <v>2753</v>
      </c>
      <c r="J289" s="65">
        <v>19</v>
      </c>
      <c r="K289" s="65" t="s">
        <v>486</v>
      </c>
      <c r="L289" s="65" t="s">
        <v>486</v>
      </c>
      <c r="M289" s="65" t="s">
        <v>486</v>
      </c>
      <c r="N289" s="65" t="s">
        <v>486</v>
      </c>
      <c r="O289" s="65" t="s">
        <v>486</v>
      </c>
      <c r="P289" s="65" t="s">
        <v>486</v>
      </c>
      <c r="Q289" s="4"/>
      <c r="R289" s="4"/>
      <c r="S289" s="23">
        <f t="shared" si="8"/>
        <v>2753</v>
      </c>
      <c r="T289" s="23">
        <f t="shared" si="9"/>
        <v>19</v>
      </c>
    </row>
    <row r="290" spans="1:91" s="59" customFormat="1" x14ac:dyDescent="0.25">
      <c r="A290" s="47" t="s">
        <v>373</v>
      </c>
      <c r="B290" s="12" t="s">
        <v>225</v>
      </c>
      <c r="C290" s="17">
        <v>42269</v>
      </c>
      <c r="D290" s="10" t="s">
        <v>19</v>
      </c>
      <c r="E290" s="11" t="s">
        <v>25</v>
      </c>
      <c r="F290" s="11" t="s">
        <v>383</v>
      </c>
      <c r="G290" s="13" t="s">
        <v>365</v>
      </c>
      <c r="H290" s="13" t="s">
        <v>41</v>
      </c>
      <c r="I290" s="65">
        <v>862</v>
      </c>
      <c r="J290" s="65">
        <v>3</v>
      </c>
      <c r="K290" s="65" t="s">
        <v>486</v>
      </c>
      <c r="L290" s="65" t="s">
        <v>486</v>
      </c>
      <c r="M290" s="65">
        <v>63</v>
      </c>
      <c r="N290" s="65">
        <v>0</v>
      </c>
      <c r="O290" s="65" t="s">
        <v>486</v>
      </c>
      <c r="P290" s="65" t="s">
        <v>486</v>
      </c>
      <c r="Q290" s="4"/>
      <c r="R290" s="4"/>
      <c r="S290" s="23">
        <f t="shared" si="8"/>
        <v>925</v>
      </c>
      <c r="T290" s="23">
        <f t="shared" si="9"/>
        <v>3</v>
      </c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  <c r="BC290" s="6"/>
      <c r="BD290" s="6"/>
      <c r="BE290" s="6"/>
      <c r="BF290" s="6"/>
      <c r="BG290" s="6"/>
      <c r="BH290" s="6"/>
      <c r="BI290" s="6"/>
      <c r="BJ290" s="6"/>
      <c r="BK290" s="6"/>
      <c r="BL290" s="6"/>
      <c r="BM290" s="6"/>
      <c r="BN290" s="6"/>
      <c r="BO290" s="6"/>
      <c r="BP290" s="6"/>
      <c r="BQ290" s="6"/>
      <c r="BR290" s="6"/>
      <c r="BS290" s="6"/>
      <c r="BT290" s="6"/>
      <c r="BU290" s="6"/>
      <c r="BV290" s="6"/>
      <c r="BW290" s="6"/>
      <c r="BX290" s="6"/>
      <c r="BY290" s="6"/>
      <c r="BZ290" s="6"/>
      <c r="CA290" s="6"/>
      <c r="CB290" s="6"/>
      <c r="CC290" s="6"/>
      <c r="CD290" s="6"/>
      <c r="CE290" s="6"/>
      <c r="CF290" s="6"/>
      <c r="CG290" s="6"/>
      <c r="CH290" s="6"/>
      <c r="CI290" s="6"/>
      <c r="CJ290" s="6"/>
      <c r="CK290" s="6"/>
      <c r="CL290" s="6"/>
      <c r="CM290" s="6"/>
    </row>
    <row r="291" spans="1:91" s="59" customFormat="1" x14ac:dyDescent="0.25">
      <c r="A291" s="47" t="s">
        <v>372</v>
      </c>
      <c r="B291" s="12" t="s">
        <v>252</v>
      </c>
      <c r="C291" s="17">
        <v>42270</v>
      </c>
      <c r="D291" s="10"/>
      <c r="E291" s="11" t="s">
        <v>361</v>
      </c>
      <c r="F291" s="11" t="s">
        <v>361</v>
      </c>
      <c r="G291" s="13" t="s">
        <v>365</v>
      </c>
      <c r="H291" s="13" t="s">
        <v>41</v>
      </c>
      <c r="I291" s="65">
        <v>1215</v>
      </c>
      <c r="J291" s="65">
        <v>4</v>
      </c>
      <c r="K291" s="65" t="s">
        <v>486</v>
      </c>
      <c r="L291" s="65" t="s">
        <v>486</v>
      </c>
      <c r="M291" s="65" t="s">
        <v>486</v>
      </c>
      <c r="N291" s="65" t="s">
        <v>486</v>
      </c>
      <c r="O291" s="65" t="s">
        <v>486</v>
      </c>
      <c r="P291" s="65" t="s">
        <v>486</v>
      </c>
      <c r="Q291" s="4"/>
      <c r="R291" s="4"/>
      <c r="S291" s="23">
        <f t="shared" si="8"/>
        <v>1215</v>
      </c>
      <c r="T291" s="23">
        <f t="shared" si="9"/>
        <v>4</v>
      </c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  <c r="BC291" s="6"/>
      <c r="BD291" s="6"/>
      <c r="BE291" s="6"/>
      <c r="BF291" s="6"/>
      <c r="BG291" s="6"/>
      <c r="BH291" s="6"/>
      <c r="BI291" s="6"/>
      <c r="BJ291" s="6"/>
      <c r="BK291" s="6"/>
      <c r="BL291" s="6"/>
      <c r="BM291" s="6"/>
      <c r="BN291" s="6"/>
      <c r="BO291" s="6"/>
      <c r="BP291" s="6"/>
      <c r="BQ291" s="6"/>
      <c r="BR291" s="6"/>
      <c r="BS291" s="6"/>
      <c r="BT291" s="6"/>
      <c r="BU291" s="6"/>
      <c r="BV291" s="6"/>
      <c r="BW291" s="6"/>
      <c r="BX291" s="6"/>
      <c r="BY291" s="6"/>
      <c r="BZ291" s="6"/>
      <c r="CA291" s="6"/>
      <c r="CB291" s="6"/>
      <c r="CC291" s="6"/>
      <c r="CD291" s="6"/>
      <c r="CE291" s="6"/>
      <c r="CF291" s="6"/>
      <c r="CG291" s="6"/>
      <c r="CH291" s="6"/>
      <c r="CI291" s="6"/>
      <c r="CJ291" s="6"/>
      <c r="CK291" s="6"/>
      <c r="CL291" s="6"/>
      <c r="CM291" s="6"/>
    </row>
    <row r="292" spans="1:91" x14ac:dyDescent="0.25">
      <c r="A292" s="61" t="s">
        <v>368</v>
      </c>
      <c r="B292" s="55" t="s">
        <v>219</v>
      </c>
      <c r="C292" s="62">
        <v>42272</v>
      </c>
      <c r="D292" s="63"/>
      <c r="E292" s="64" t="s">
        <v>24</v>
      </c>
      <c r="F292" s="64" t="s">
        <v>34</v>
      </c>
      <c r="G292" s="56" t="s">
        <v>366</v>
      </c>
      <c r="H292" s="56" t="s">
        <v>41</v>
      </c>
      <c r="I292" s="65">
        <v>1671</v>
      </c>
      <c r="J292" s="65">
        <v>6</v>
      </c>
      <c r="K292" s="65" t="s">
        <v>486</v>
      </c>
      <c r="L292" s="65" t="s">
        <v>486</v>
      </c>
      <c r="M292" s="65" t="s">
        <v>486</v>
      </c>
      <c r="N292" s="65" t="s">
        <v>486</v>
      </c>
      <c r="O292" s="65" t="s">
        <v>486</v>
      </c>
      <c r="P292" s="65" t="s">
        <v>486</v>
      </c>
      <c r="Q292" s="57"/>
      <c r="R292" s="57"/>
      <c r="S292" s="58">
        <f t="shared" si="8"/>
        <v>1671</v>
      </c>
      <c r="T292" s="58">
        <f t="shared" si="9"/>
        <v>6</v>
      </c>
    </row>
    <row r="293" spans="1:91" s="59" customFormat="1" x14ac:dyDescent="0.25">
      <c r="A293" s="61" t="s">
        <v>369</v>
      </c>
      <c r="B293" s="55" t="s">
        <v>228</v>
      </c>
      <c r="C293" s="62">
        <v>42272</v>
      </c>
      <c r="D293" s="63" t="s">
        <v>19</v>
      </c>
      <c r="E293" s="64" t="s">
        <v>24</v>
      </c>
      <c r="F293" s="64" t="s">
        <v>370</v>
      </c>
      <c r="G293" s="56" t="s">
        <v>366</v>
      </c>
      <c r="H293" s="56" t="s">
        <v>41</v>
      </c>
      <c r="I293" s="65">
        <v>530</v>
      </c>
      <c r="J293" s="65">
        <v>0</v>
      </c>
      <c r="K293" s="65" t="s">
        <v>486</v>
      </c>
      <c r="L293" s="65" t="s">
        <v>486</v>
      </c>
      <c r="M293" s="65">
        <v>187</v>
      </c>
      <c r="N293" s="65">
        <v>0</v>
      </c>
      <c r="O293" s="65">
        <v>807</v>
      </c>
      <c r="P293" s="65">
        <v>0</v>
      </c>
      <c r="Q293" s="57"/>
      <c r="R293" s="57"/>
      <c r="S293" s="58">
        <f t="shared" si="8"/>
        <v>1524</v>
      </c>
      <c r="T293" s="58">
        <f t="shared" si="9"/>
        <v>0</v>
      </c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  <c r="BC293" s="6"/>
      <c r="BD293" s="6"/>
      <c r="BE293" s="6"/>
      <c r="BF293" s="6"/>
      <c r="BG293" s="6"/>
      <c r="BH293" s="6"/>
      <c r="BI293" s="6"/>
      <c r="BJ293" s="6"/>
      <c r="BK293" s="6"/>
      <c r="BL293" s="6"/>
      <c r="BM293" s="6"/>
      <c r="BN293" s="6"/>
      <c r="BO293" s="6"/>
      <c r="BP293" s="6"/>
      <c r="BQ293" s="6"/>
      <c r="BR293" s="6"/>
      <c r="BS293" s="6"/>
      <c r="BT293" s="6"/>
      <c r="BU293" s="6"/>
      <c r="BV293" s="6"/>
      <c r="BW293" s="6"/>
      <c r="BX293" s="6"/>
      <c r="BY293" s="6"/>
      <c r="BZ293" s="6"/>
      <c r="CA293" s="6"/>
      <c r="CB293" s="6"/>
      <c r="CC293" s="6"/>
      <c r="CD293" s="6"/>
      <c r="CE293" s="6"/>
      <c r="CF293" s="6"/>
      <c r="CG293" s="6"/>
      <c r="CH293" s="6"/>
      <c r="CI293" s="6"/>
      <c r="CJ293" s="6"/>
      <c r="CK293" s="6"/>
      <c r="CL293" s="6"/>
      <c r="CM293" s="6"/>
    </row>
    <row r="294" spans="1:91" s="59" customFormat="1" ht="30" x14ac:dyDescent="0.25">
      <c r="A294" s="61" t="s">
        <v>371</v>
      </c>
      <c r="B294" s="55" t="s">
        <v>218</v>
      </c>
      <c r="C294" s="62">
        <v>42272</v>
      </c>
      <c r="D294" s="63" t="s">
        <v>19</v>
      </c>
      <c r="E294" s="64" t="s">
        <v>24</v>
      </c>
      <c r="F294" s="64" t="s">
        <v>485</v>
      </c>
      <c r="G294" s="56" t="s">
        <v>365</v>
      </c>
      <c r="H294" s="56" t="s">
        <v>37</v>
      </c>
      <c r="I294" s="65">
        <v>1209</v>
      </c>
      <c r="J294" s="65">
        <v>9</v>
      </c>
      <c r="K294" s="65">
        <v>1151</v>
      </c>
      <c r="L294" s="65">
        <v>0</v>
      </c>
      <c r="M294" s="65">
        <v>195</v>
      </c>
      <c r="N294" s="65">
        <v>0</v>
      </c>
      <c r="O294" s="65" t="s">
        <v>486</v>
      </c>
      <c r="P294" s="65" t="s">
        <v>486</v>
      </c>
      <c r="Q294" s="57"/>
      <c r="R294" s="57"/>
      <c r="S294" s="58">
        <f t="shared" si="8"/>
        <v>2555</v>
      </c>
      <c r="T294" s="58">
        <f t="shared" si="9"/>
        <v>9</v>
      </c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  <c r="BC294" s="6"/>
      <c r="BD294" s="6"/>
      <c r="BE294" s="6"/>
      <c r="BF294" s="6"/>
      <c r="BG294" s="6"/>
      <c r="BH294" s="6"/>
      <c r="BI294" s="6"/>
      <c r="BJ294" s="6"/>
      <c r="BK294" s="6"/>
      <c r="BL294" s="6"/>
      <c r="BM294" s="6"/>
      <c r="BN294" s="6"/>
      <c r="BO294" s="6"/>
      <c r="BP294" s="6"/>
      <c r="BQ294" s="6"/>
      <c r="BR294" s="6"/>
      <c r="BS294" s="6"/>
      <c r="BT294" s="6"/>
      <c r="BU294" s="6"/>
      <c r="BV294" s="6"/>
      <c r="BW294" s="6"/>
      <c r="BX294" s="6"/>
      <c r="BY294" s="6"/>
      <c r="BZ294" s="6"/>
      <c r="CA294" s="6"/>
      <c r="CB294" s="6"/>
      <c r="CC294" s="6"/>
      <c r="CD294" s="6"/>
      <c r="CE294" s="6"/>
      <c r="CF294" s="6"/>
      <c r="CG294" s="6"/>
      <c r="CH294" s="6"/>
      <c r="CI294" s="6"/>
      <c r="CJ294" s="6"/>
      <c r="CK294" s="6"/>
      <c r="CL294" s="6"/>
      <c r="CM294" s="6"/>
    </row>
    <row r="295" spans="1:91" s="59" customFormat="1" x14ac:dyDescent="0.25">
      <c r="A295" s="77" t="s">
        <v>488</v>
      </c>
      <c r="B295" s="55" t="s">
        <v>229</v>
      </c>
      <c r="C295" s="62">
        <v>42275</v>
      </c>
      <c r="D295" s="63"/>
      <c r="E295" s="64" t="s">
        <v>24</v>
      </c>
      <c r="F295" s="64" t="s">
        <v>30</v>
      </c>
      <c r="G295" s="56" t="s">
        <v>366</v>
      </c>
      <c r="H295" s="56" t="s">
        <v>41</v>
      </c>
      <c r="I295" s="65">
        <v>1187</v>
      </c>
      <c r="J295" s="65">
        <v>2</v>
      </c>
      <c r="K295" s="65">
        <v>982</v>
      </c>
      <c r="L295" s="65">
        <v>0</v>
      </c>
      <c r="M295" s="65">
        <v>114</v>
      </c>
      <c r="N295" s="65">
        <v>0</v>
      </c>
      <c r="O295" s="65">
        <v>787</v>
      </c>
      <c r="P295" s="65">
        <v>0</v>
      </c>
      <c r="Q295" s="57"/>
      <c r="R295" s="57"/>
      <c r="S295" s="58">
        <f t="shared" si="8"/>
        <v>3070</v>
      </c>
      <c r="T295" s="58">
        <f t="shared" si="9"/>
        <v>2</v>
      </c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  <c r="BC295" s="6"/>
      <c r="BD295" s="6"/>
      <c r="BE295" s="6"/>
      <c r="BF295" s="6"/>
      <c r="BG295" s="6"/>
      <c r="BH295" s="6"/>
      <c r="BI295" s="6"/>
      <c r="BJ295" s="6"/>
      <c r="BK295" s="6"/>
      <c r="BL295" s="6"/>
      <c r="BM295" s="6"/>
      <c r="BN295" s="6"/>
      <c r="BO295" s="6"/>
      <c r="BP295" s="6"/>
      <c r="BQ295" s="6"/>
      <c r="BR295" s="6"/>
      <c r="BS295" s="6"/>
      <c r="BT295" s="6"/>
      <c r="BU295" s="6"/>
      <c r="BV295" s="6"/>
      <c r="BW295" s="6"/>
      <c r="BX295" s="6"/>
      <c r="BY295" s="6"/>
      <c r="BZ295" s="6"/>
      <c r="CA295" s="6"/>
      <c r="CB295" s="6"/>
      <c r="CC295" s="6"/>
      <c r="CD295" s="6"/>
      <c r="CE295" s="6"/>
      <c r="CF295" s="6"/>
      <c r="CG295" s="6"/>
      <c r="CH295" s="6"/>
      <c r="CI295" s="6"/>
      <c r="CJ295" s="6"/>
      <c r="CK295" s="6"/>
      <c r="CL295" s="6"/>
      <c r="CM295" s="6"/>
    </row>
    <row r="296" spans="1:91" s="59" customFormat="1" x14ac:dyDescent="0.25">
      <c r="A296" s="73" t="s">
        <v>468</v>
      </c>
      <c r="B296" s="55" t="s">
        <v>469</v>
      </c>
      <c r="C296" s="62">
        <v>42276</v>
      </c>
      <c r="D296" s="63"/>
      <c r="E296" s="64" t="s">
        <v>24</v>
      </c>
      <c r="F296" s="64" t="s">
        <v>329</v>
      </c>
      <c r="G296" s="56" t="s">
        <v>366</v>
      </c>
      <c r="H296" s="56" t="s">
        <v>41</v>
      </c>
      <c r="I296" s="65">
        <v>1761</v>
      </c>
      <c r="J296" s="65">
        <v>5</v>
      </c>
      <c r="K296" s="65">
        <v>4650</v>
      </c>
      <c r="L296" s="65">
        <v>1</v>
      </c>
      <c r="M296" s="65">
        <v>275</v>
      </c>
      <c r="N296" s="65">
        <v>0</v>
      </c>
      <c r="O296" s="65" t="s">
        <v>486</v>
      </c>
      <c r="P296" s="65" t="s">
        <v>486</v>
      </c>
      <c r="Q296" s="57"/>
      <c r="R296" s="57"/>
      <c r="S296" s="58">
        <f t="shared" si="8"/>
        <v>6686</v>
      </c>
      <c r="T296" s="58">
        <f t="shared" si="9"/>
        <v>6</v>
      </c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  <c r="BC296" s="6"/>
      <c r="BD296" s="6"/>
      <c r="BE296" s="6"/>
      <c r="BF296" s="6"/>
      <c r="BG296" s="6"/>
      <c r="BH296" s="6"/>
      <c r="BI296" s="6"/>
      <c r="BJ296" s="6"/>
      <c r="BK296" s="6"/>
      <c r="BL296" s="6"/>
      <c r="BM296" s="6"/>
      <c r="BN296" s="6"/>
      <c r="BO296" s="6"/>
      <c r="BP296" s="6"/>
      <c r="BQ296" s="6"/>
      <c r="BR296" s="6"/>
      <c r="BS296" s="6"/>
      <c r="BT296" s="6"/>
      <c r="BU296" s="6"/>
      <c r="BV296" s="6"/>
      <c r="BW296" s="6"/>
      <c r="BX296" s="6"/>
      <c r="BY296" s="6"/>
      <c r="BZ296" s="6"/>
      <c r="CA296" s="6"/>
      <c r="CB296" s="6"/>
      <c r="CC296" s="6"/>
      <c r="CD296" s="6"/>
      <c r="CE296" s="6"/>
      <c r="CF296" s="6"/>
      <c r="CG296" s="6"/>
      <c r="CH296" s="6"/>
      <c r="CI296" s="6"/>
      <c r="CJ296" s="6"/>
      <c r="CK296" s="6"/>
      <c r="CL296" s="6"/>
      <c r="CM296" s="6"/>
    </row>
    <row r="297" spans="1:91" s="59" customFormat="1" ht="30" x14ac:dyDescent="0.25">
      <c r="A297" s="73" t="s">
        <v>472</v>
      </c>
      <c r="B297" s="55" t="s">
        <v>246</v>
      </c>
      <c r="C297" s="62">
        <v>42277</v>
      </c>
      <c r="D297" s="63" t="s">
        <v>272</v>
      </c>
      <c r="E297" s="64" t="s">
        <v>361</v>
      </c>
      <c r="F297" s="64" t="s">
        <v>361</v>
      </c>
      <c r="G297" s="56" t="s">
        <v>366</v>
      </c>
      <c r="H297" s="56" t="s">
        <v>41</v>
      </c>
      <c r="I297" s="65">
        <v>2814</v>
      </c>
      <c r="J297" s="65">
        <v>11</v>
      </c>
      <c r="K297" s="65" t="s">
        <v>486</v>
      </c>
      <c r="L297" s="65" t="s">
        <v>486</v>
      </c>
      <c r="M297" s="65" t="s">
        <v>486</v>
      </c>
      <c r="N297" s="65" t="s">
        <v>486</v>
      </c>
      <c r="O297" s="65" t="s">
        <v>486</v>
      </c>
      <c r="P297" s="65" t="s">
        <v>486</v>
      </c>
      <c r="Q297" s="57"/>
      <c r="R297" s="57"/>
      <c r="S297" s="58">
        <f t="shared" si="8"/>
        <v>2814</v>
      </c>
      <c r="T297" s="58">
        <f t="shared" si="9"/>
        <v>11</v>
      </c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  <c r="BC297" s="6"/>
      <c r="BD297" s="6"/>
      <c r="BE297" s="6"/>
      <c r="BF297" s="6"/>
      <c r="BG297" s="6"/>
      <c r="BH297" s="6"/>
      <c r="BI297" s="6"/>
      <c r="BJ297" s="6"/>
      <c r="BK297" s="6"/>
      <c r="BL297" s="6"/>
      <c r="BM297" s="6"/>
      <c r="BN297" s="6"/>
      <c r="BO297" s="6"/>
      <c r="BP297" s="6"/>
      <c r="BQ297" s="6"/>
      <c r="BR297" s="6"/>
      <c r="BS297" s="6"/>
      <c r="BT297" s="6"/>
      <c r="BU297" s="6"/>
      <c r="BV297" s="6"/>
      <c r="BW297" s="6"/>
      <c r="BX297" s="6"/>
      <c r="BY297" s="6"/>
      <c r="BZ297" s="6"/>
      <c r="CA297" s="6"/>
      <c r="CB297" s="6"/>
      <c r="CC297" s="6"/>
      <c r="CD297" s="6"/>
      <c r="CE297" s="6"/>
      <c r="CF297" s="6"/>
      <c r="CG297" s="6"/>
      <c r="CH297" s="6"/>
      <c r="CI297" s="6"/>
      <c r="CJ297" s="6"/>
      <c r="CK297" s="6"/>
      <c r="CL297" s="6"/>
      <c r="CM297" s="6"/>
    </row>
    <row r="298" spans="1:91" x14ac:dyDescent="0.25">
      <c r="A298" s="76" t="s">
        <v>470</v>
      </c>
      <c r="B298" s="55" t="s">
        <v>471</v>
      </c>
      <c r="C298" s="62">
        <v>42277</v>
      </c>
      <c r="D298" s="63"/>
      <c r="E298" s="64" t="s">
        <v>24</v>
      </c>
      <c r="F298" s="64" t="s">
        <v>329</v>
      </c>
      <c r="G298" s="56" t="s">
        <v>366</v>
      </c>
      <c r="H298" s="56" t="s">
        <v>40</v>
      </c>
      <c r="I298" s="65">
        <v>1310</v>
      </c>
      <c r="J298" s="65">
        <v>1</v>
      </c>
      <c r="K298" s="65" t="s">
        <v>486</v>
      </c>
      <c r="L298" s="65" t="s">
        <v>486</v>
      </c>
      <c r="M298" s="65">
        <v>2180</v>
      </c>
      <c r="N298" s="65">
        <v>0</v>
      </c>
      <c r="O298" s="65" t="s">
        <v>486</v>
      </c>
      <c r="P298" s="65" t="s">
        <v>486</v>
      </c>
      <c r="Q298" s="57"/>
      <c r="R298" s="57"/>
      <c r="S298" s="58">
        <f t="shared" si="8"/>
        <v>3490</v>
      </c>
      <c r="T298" s="58">
        <f t="shared" si="9"/>
        <v>1</v>
      </c>
    </row>
    <row r="299" spans="1:91" x14ac:dyDescent="0.25">
      <c r="A299" s="47" t="s">
        <v>503</v>
      </c>
      <c r="B299" s="12" t="s">
        <v>239</v>
      </c>
      <c r="C299" s="17">
        <v>42278</v>
      </c>
      <c r="D299" s="10" t="s">
        <v>20</v>
      </c>
      <c r="E299" s="11" t="s">
        <v>22</v>
      </c>
      <c r="F299" s="11" t="s">
        <v>361</v>
      </c>
      <c r="G299" s="13" t="s">
        <v>366</v>
      </c>
      <c r="H299" s="13" t="s">
        <v>40</v>
      </c>
      <c r="I299" s="65">
        <v>934</v>
      </c>
      <c r="J299" s="65">
        <v>12</v>
      </c>
      <c r="K299" s="65" t="s">
        <v>486</v>
      </c>
      <c r="L299" s="65" t="s">
        <v>486</v>
      </c>
      <c r="M299" s="65">
        <v>99</v>
      </c>
      <c r="N299" s="65">
        <v>0</v>
      </c>
      <c r="O299" s="65">
        <v>747</v>
      </c>
      <c r="P299" s="65">
        <v>0</v>
      </c>
      <c r="Q299" s="65" t="s">
        <v>486</v>
      </c>
      <c r="R299" s="65" t="s">
        <v>486</v>
      </c>
      <c r="S299" s="23">
        <f t="shared" si="8"/>
        <v>1780</v>
      </c>
      <c r="T299" s="23">
        <f t="shared" si="9"/>
        <v>12</v>
      </c>
    </row>
    <row r="300" spans="1:91" x14ac:dyDescent="0.25">
      <c r="A300" s="47" t="s">
        <v>504</v>
      </c>
      <c r="B300" s="12" t="s">
        <v>218</v>
      </c>
      <c r="C300" s="17">
        <v>42285</v>
      </c>
      <c r="D300" s="10" t="s">
        <v>19</v>
      </c>
      <c r="E300" s="11" t="s">
        <v>361</v>
      </c>
      <c r="F300" s="11" t="s">
        <v>361</v>
      </c>
      <c r="G300" s="13" t="s">
        <v>366</v>
      </c>
      <c r="H300" s="13" t="s">
        <v>41</v>
      </c>
      <c r="I300" s="65">
        <v>3141</v>
      </c>
      <c r="J300" s="65">
        <v>5</v>
      </c>
      <c r="K300" s="65" t="s">
        <v>486</v>
      </c>
      <c r="L300" s="65" t="s">
        <v>486</v>
      </c>
      <c r="M300" s="65">
        <v>596</v>
      </c>
      <c r="N300" s="65">
        <v>0</v>
      </c>
      <c r="O300" s="65" t="s">
        <v>486</v>
      </c>
      <c r="P300" s="65" t="s">
        <v>486</v>
      </c>
      <c r="Q300" s="65" t="s">
        <v>486</v>
      </c>
      <c r="R300" s="65" t="s">
        <v>486</v>
      </c>
      <c r="S300" s="23">
        <f t="shared" si="8"/>
        <v>3737</v>
      </c>
      <c r="T300" s="23">
        <f t="shared" si="9"/>
        <v>5</v>
      </c>
    </row>
    <row r="301" spans="1:91" x14ac:dyDescent="0.25">
      <c r="A301" s="47" t="s">
        <v>505</v>
      </c>
      <c r="B301" s="12" t="s">
        <v>227</v>
      </c>
      <c r="C301" s="17">
        <v>42286</v>
      </c>
      <c r="D301" s="10"/>
      <c r="E301" s="11" t="s">
        <v>361</v>
      </c>
      <c r="F301" s="11" t="s">
        <v>361</v>
      </c>
      <c r="G301" s="13" t="s">
        <v>366</v>
      </c>
      <c r="H301" s="13" t="s">
        <v>41</v>
      </c>
      <c r="I301" s="65">
        <v>1018</v>
      </c>
      <c r="J301" s="65">
        <v>0</v>
      </c>
      <c r="K301" s="65" t="s">
        <v>486</v>
      </c>
      <c r="L301" s="65" t="s">
        <v>486</v>
      </c>
      <c r="M301" s="65" t="s">
        <v>486</v>
      </c>
      <c r="N301" s="65" t="s">
        <v>486</v>
      </c>
      <c r="O301" s="65" t="s">
        <v>486</v>
      </c>
      <c r="P301" s="65" t="s">
        <v>486</v>
      </c>
      <c r="Q301" s="65" t="s">
        <v>486</v>
      </c>
      <c r="R301" s="65" t="s">
        <v>486</v>
      </c>
      <c r="S301" s="23">
        <f t="shared" si="8"/>
        <v>1018</v>
      </c>
      <c r="T301" s="23">
        <f t="shared" si="9"/>
        <v>0</v>
      </c>
    </row>
    <row r="302" spans="1:91" x14ac:dyDescent="0.25">
      <c r="A302" s="47" t="s">
        <v>507</v>
      </c>
      <c r="B302" s="12" t="s">
        <v>239</v>
      </c>
      <c r="C302" s="17">
        <v>42289</v>
      </c>
      <c r="D302" s="10" t="s">
        <v>19</v>
      </c>
      <c r="E302" s="11" t="s">
        <v>23</v>
      </c>
      <c r="F302" s="11" t="s">
        <v>27</v>
      </c>
      <c r="G302" s="13" t="s">
        <v>366</v>
      </c>
      <c r="H302" s="13" t="s">
        <v>40</v>
      </c>
      <c r="I302" s="65">
        <v>6484</v>
      </c>
      <c r="J302" s="65">
        <v>21</v>
      </c>
      <c r="K302" s="65" t="s">
        <v>486</v>
      </c>
      <c r="L302" s="65" t="s">
        <v>486</v>
      </c>
      <c r="M302" s="65">
        <v>1823</v>
      </c>
      <c r="N302" s="65">
        <v>0</v>
      </c>
      <c r="O302" s="65" t="s">
        <v>486</v>
      </c>
      <c r="P302" s="65" t="s">
        <v>486</v>
      </c>
      <c r="Q302" s="65" t="s">
        <v>486</v>
      </c>
      <c r="R302" s="65" t="s">
        <v>486</v>
      </c>
      <c r="S302" s="23">
        <f t="shared" si="8"/>
        <v>8307</v>
      </c>
      <c r="T302" s="23">
        <f t="shared" si="9"/>
        <v>21</v>
      </c>
    </row>
    <row r="303" spans="1:91" x14ac:dyDescent="0.25">
      <c r="A303" s="47" t="s">
        <v>506</v>
      </c>
      <c r="B303" s="12" t="s">
        <v>218</v>
      </c>
      <c r="C303" s="17">
        <v>42289</v>
      </c>
      <c r="D303" s="10" t="s">
        <v>19</v>
      </c>
      <c r="E303" s="11" t="s">
        <v>24</v>
      </c>
      <c r="F303" s="11" t="s">
        <v>370</v>
      </c>
      <c r="G303" s="13" t="s">
        <v>365</v>
      </c>
      <c r="H303" s="13" t="s">
        <v>41</v>
      </c>
      <c r="I303" s="65">
        <v>662</v>
      </c>
      <c r="J303" s="65">
        <v>9</v>
      </c>
      <c r="K303" s="65" t="s">
        <v>486</v>
      </c>
      <c r="L303" s="65" t="s">
        <v>486</v>
      </c>
      <c r="M303" s="65" t="s">
        <v>486</v>
      </c>
      <c r="N303" s="65" t="s">
        <v>486</v>
      </c>
      <c r="O303" s="65" t="s">
        <v>486</v>
      </c>
      <c r="P303" s="65" t="s">
        <v>486</v>
      </c>
      <c r="Q303" s="65" t="s">
        <v>486</v>
      </c>
      <c r="R303" s="65" t="s">
        <v>486</v>
      </c>
      <c r="S303" s="23">
        <f t="shared" si="8"/>
        <v>662</v>
      </c>
      <c r="T303" s="23">
        <f t="shared" si="9"/>
        <v>9</v>
      </c>
    </row>
    <row r="304" spans="1:91" ht="30" x14ac:dyDescent="0.25">
      <c r="A304" s="47" t="s">
        <v>508</v>
      </c>
      <c r="B304" s="12" t="s">
        <v>223</v>
      </c>
      <c r="C304" s="17">
        <v>42289</v>
      </c>
      <c r="D304" s="10"/>
      <c r="E304" s="11" t="s">
        <v>510</v>
      </c>
      <c r="F304" s="11" t="s">
        <v>509</v>
      </c>
      <c r="G304" s="13" t="s">
        <v>366</v>
      </c>
      <c r="H304" s="13" t="s">
        <v>41</v>
      </c>
      <c r="I304" s="65">
        <v>727</v>
      </c>
      <c r="J304" s="65">
        <v>2</v>
      </c>
      <c r="K304" s="65" t="s">
        <v>486</v>
      </c>
      <c r="L304" s="65" t="s">
        <v>486</v>
      </c>
      <c r="M304" s="65" t="s">
        <v>486</v>
      </c>
      <c r="N304" s="65" t="s">
        <v>486</v>
      </c>
      <c r="O304" s="65" t="s">
        <v>486</v>
      </c>
      <c r="P304" s="65" t="s">
        <v>486</v>
      </c>
      <c r="Q304" s="65" t="s">
        <v>486</v>
      </c>
      <c r="R304" s="65" t="s">
        <v>486</v>
      </c>
      <c r="S304" s="23">
        <f t="shared" si="8"/>
        <v>727</v>
      </c>
      <c r="T304" s="23">
        <f t="shared" si="9"/>
        <v>2</v>
      </c>
    </row>
    <row r="305" spans="1:20" ht="30" x14ac:dyDescent="0.25">
      <c r="A305" s="47" t="s">
        <v>512</v>
      </c>
      <c r="B305" s="12" t="s">
        <v>223</v>
      </c>
      <c r="C305" s="17">
        <v>42290</v>
      </c>
      <c r="D305" s="10"/>
      <c r="E305" s="11" t="s">
        <v>361</v>
      </c>
      <c r="F305" s="11" t="s">
        <v>513</v>
      </c>
      <c r="G305" s="13" t="s">
        <v>366</v>
      </c>
      <c r="H305" s="13" t="s">
        <v>41</v>
      </c>
      <c r="I305" s="65">
        <v>4459</v>
      </c>
      <c r="J305" s="65">
        <v>10</v>
      </c>
      <c r="K305" s="65" t="s">
        <v>486</v>
      </c>
      <c r="L305" s="65" t="s">
        <v>486</v>
      </c>
      <c r="M305" s="65">
        <v>1975</v>
      </c>
      <c r="N305" s="65">
        <v>0</v>
      </c>
      <c r="O305" s="65" t="s">
        <v>486</v>
      </c>
      <c r="P305" s="65" t="s">
        <v>486</v>
      </c>
      <c r="Q305" s="65" t="s">
        <v>486</v>
      </c>
      <c r="R305" s="65" t="s">
        <v>486</v>
      </c>
      <c r="S305" s="23">
        <f t="shared" si="8"/>
        <v>6434</v>
      </c>
      <c r="T305" s="23">
        <f t="shared" si="9"/>
        <v>10</v>
      </c>
    </row>
    <row r="306" spans="1:20" x14ac:dyDescent="0.25">
      <c r="A306" s="47" t="s">
        <v>511</v>
      </c>
      <c r="B306" s="12" t="s">
        <v>219</v>
      </c>
      <c r="C306" s="17">
        <v>42290</v>
      </c>
      <c r="D306" s="10"/>
      <c r="E306" s="11" t="s">
        <v>25</v>
      </c>
      <c r="F306" s="11" t="s">
        <v>31</v>
      </c>
      <c r="G306" s="13" t="s">
        <v>365</v>
      </c>
      <c r="H306" s="13" t="s">
        <v>41</v>
      </c>
      <c r="I306" s="65">
        <v>349</v>
      </c>
      <c r="J306" s="65">
        <v>0</v>
      </c>
      <c r="K306" s="65" t="s">
        <v>486</v>
      </c>
      <c r="L306" s="65" t="s">
        <v>486</v>
      </c>
      <c r="M306" s="65">
        <v>877</v>
      </c>
      <c r="N306" s="65">
        <v>0</v>
      </c>
      <c r="O306" s="65" t="s">
        <v>486</v>
      </c>
      <c r="P306" s="65" t="s">
        <v>486</v>
      </c>
      <c r="Q306" s="65" t="s">
        <v>486</v>
      </c>
      <c r="R306" s="65" t="s">
        <v>486</v>
      </c>
      <c r="S306" s="23">
        <f t="shared" si="8"/>
        <v>1226</v>
      </c>
      <c r="T306" s="23">
        <f t="shared" si="9"/>
        <v>0</v>
      </c>
    </row>
    <row r="307" spans="1:20" x14ac:dyDescent="0.25">
      <c r="A307" s="47" t="s">
        <v>517</v>
      </c>
      <c r="B307" s="12" t="s">
        <v>228</v>
      </c>
      <c r="C307" s="17">
        <v>42292</v>
      </c>
      <c r="D307" s="10" t="s">
        <v>19</v>
      </c>
      <c r="E307" s="11" t="s">
        <v>361</v>
      </c>
      <c r="F307" s="11" t="s">
        <v>27</v>
      </c>
      <c r="G307" s="13" t="s">
        <v>366</v>
      </c>
      <c r="H307" s="13" t="s">
        <v>41</v>
      </c>
      <c r="I307" s="65">
        <v>1968</v>
      </c>
      <c r="J307" s="65">
        <v>16</v>
      </c>
      <c r="K307" s="65">
        <v>737</v>
      </c>
      <c r="L307" s="65">
        <v>0</v>
      </c>
      <c r="M307" s="65" t="s">
        <v>486</v>
      </c>
      <c r="N307" s="65" t="s">
        <v>486</v>
      </c>
      <c r="O307" s="65" t="s">
        <v>486</v>
      </c>
      <c r="P307" s="65" t="s">
        <v>486</v>
      </c>
      <c r="Q307" s="65" t="s">
        <v>486</v>
      </c>
      <c r="R307" s="65" t="s">
        <v>486</v>
      </c>
      <c r="S307" s="23">
        <f t="shared" si="8"/>
        <v>2705</v>
      </c>
      <c r="T307" s="23">
        <f t="shared" si="9"/>
        <v>16</v>
      </c>
    </row>
    <row r="308" spans="1:20" ht="30" x14ac:dyDescent="0.25">
      <c r="A308" s="47" t="s">
        <v>514</v>
      </c>
      <c r="B308" s="12" t="s">
        <v>237</v>
      </c>
      <c r="C308" s="17">
        <v>42292</v>
      </c>
      <c r="D308" s="10" t="s">
        <v>19</v>
      </c>
      <c r="E308" s="11" t="s">
        <v>515</v>
      </c>
      <c r="F308" s="11" t="s">
        <v>516</v>
      </c>
      <c r="G308" s="13" t="s">
        <v>366</v>
      </c>
      <c r="H308" s="13" t="s">
        <v>41</v>
      </c>
      <c r="I308" s="65">
        <v>404</v>
      </c>
      <c r="J308" s="65">
        <v>1</v>
      </c>
      <c r="K308" s="65" t="s">
        <v>486</v>
      </c>
      <c r="L308" s="65" t="s">
        <v>486</v>
      </c>
      <c r="M308" s="65" t="s">
        <v>486</v>
      </c>
      <c r="N308" s="65" t="s">
        <v>486</v>
      </c>
      <c r="O308" s="65" t="s">
        <v>486</v>
      </c>
      <c r="P308" s="65" t="s">
        <v>486</v>
      </c>
      <c r="Q308" s="65" t="s">
        <v>486</v>
      </c>
      <c r="R308" s="65" t="s">
        <v>486</v>
      </c>
      <c r="S308" s="23">
        <f t="shared" si="8"/>
        <v>404</v>
      </c>
      <c r="T308" s="23">
        <f t="shared" si="9"/>
        <v>1</v>
      </c>
    </row>
    <row r="309" spans="1:20" x14ac:dyDescent="0.25">
      <c r="A309" s="47" t="s">
        <v>518</v>
      </c>
      <c r="B309" s="12" t="s">
        <v>266</v>
      </c>
      <c r="C309" s="17">
        <v>42292</v>
      </c>
      <c r="D309" s="10" t="s">
        <v>19</v>
      </c>
      <c r="E309" s="11" t="s">
        <v>22</v>
      </c>
      <c r="F309" s="11" t="s">
        <v>27</v>
      </c>
      <c r="G309" s="13" t="s">
        <v>366</v>
      </c>
      <c r="H309" s="13" t="s">
        <v>41</v>
      </c>
      <c r="I309" s="65">
        <v>9</v>
      </c>
      <c r="J309" s="65">
        <v>0</v>
      </c>
      <c r="K309" s="65" t="s">
        <v>486</v>
      </c>
      <c r="L309" s="65" t="s">
        <v>486</v>
      </c>
      <c r="M309" s="65">
        <v>165</v>
      </c>
      <c r="N309" s="65">
        <v>0</v>
      </c>
      <c r="O309" s="65">
        <v>424</v>
      </c>
      <c r="P309" s="65">
        <v>0</v>
      </c>
      <c r="Q309" s="65" t="s">
        <v>486</v>
      </c>
      <c r="R309" s="65" t="s">
        <v>486</v>
      </c>
      <c r="S309" s="23">
        <f t="shared" si="8"/>
        <v>598</v>
      </c>
      <c r="T309" s="23">
        <f t="shared" si="9"/>
        <v>0</v>
      </c>
    </row>
    <row r="310" spans="1:20" ht="30" x14ac:dyDescent="0.25">
      <c r="A310" s="47" t="s">
        <v>519</v>
      </c>
      <c r="B310" s="12" t="s">
        <v>219</v>
      </c>
      <c r="C310" s="17">
        <v>42293</v>
      </c>
      <c r="D310" s="10" t="s">
        <v>278</v>
      </c>
      <c r="E310" s="11" t="s">
        <v>24</v>
      </c>
      <c r="F310" s="11" t="s">
        <v>26</v>
      </c>
      <c r="G310" s="13" t="s">
        <v>366</v>
      </c>
      <c r="H310" s="13" t="s">
        <v>41</v>
      </c>
      <c r="I310" s="65">
        <v>532</v>
      </c>
      <c r="J310" s="65">
        <v>0</v>
      </c>
      <c r="K310" s="65" t="s">
        <v>486</v>
      </c>
      <c r="L310" s="65" t="s">
        <v>486</v>
      </c>
      <c r="M310" s="65">
        <v>869</v>
      </c>
      <c r="N310" s="65">
        <v>0</v>
      </c>
      <c r="O310" s="65" t="s">
        <v>486</v>
      </c>
      <c r="P310" s="65" t="s">
        <v>486</v>
      </c>
      <c r="Q310" s="65" t="s">
        <v>486</v>
      </c>
      <c r="R310" s="65" t="s">
        <v>486</v>
      </c>
      <c r="S310" s="23">
        <f t="shared" si="8"/>
        <v>1401</v>
      </c>
      <c r="T310" s="23">
        <f t="shared" si="9"/>
        <v>0</v>
      </c>
    </row>
    <row r="311" spans="1:20" x14ac:dyDescent="0.25">
      <c r="A311" s="47" t="s">
        <v>520</v>
      </c>
      <c r="B311" s="12" t="s">
        <v>237</v>
      </c>
      <c r="C311" s="17">
        <v>42296</v>
      </c>
      <c r="D311" s="10"/>
      <c r="E311" s="11" t="s">
        <v>361</v>
      </c>
      <c r="F311" s="11" t="s">
        <v>27</v>
      </c>
      <c r="G311" s="13" t="s">
        <v>366</v>
      </c>
      <c r="H311" s="13" t="s">
        <v>36</v>
      </c>
      <c r="I311" s="65">
        <v>2783</v>
      </c>
      <c r="J311" s="65">
        <v>43</v>
      </c>
      <c r="K311" s="65" t="s">
        <v>486</v>
      </c>
      <c r="L311" s="65" t="s">
        <v>486</v>
      </c>
      <c r="M311" s="65" t="s">
        <v>486</v>
      </c>
      <c r="N311" s="65" t="s">
        <v>486</v>
      </c>
      <c r="O311" s="65" t="s">
        <v>486</v>
      </c>
      <c r="P311" s="65" t="s">
        <v>486</v>
      </c>
      <c r="Q311" s="65" t="s">
        <v>486</v>
      </c>
      <c r="R311" s="65" t="s">
        <v>486</v>
      </c>
      <c r="S311" s="23">
        <f t="shared" si="8"/>
        <v>2783</v>
      </c>
      <c r="T311" s="23">
        <f t="shared" si="9"/>
        <v>43</v>
      </c>
    </row>
    <row r="312" spans="1:20" x14ac:dyDescent="0.25">
      <c r="A312" s="47" t="s">
        <v>521</v>
      </c>
      <c r="B312" s="12" t="s">
        <v>223</v>
      </c>
      <c r="C312" s="17">
        <v>42297</v>
      </c>
      <c r="D312" s="10" t="s">
        <v>19</v>
      </c>
      <c r="E312" s="11" t="s">
        <v>361</v>
      </c>
      <c r="F312" s="11" t="s">
        <v>28</v>
      </c>
      <c r="G312" s="13" t="s">
        <v>366</v>
      </c>
      <c r="H312" s="13" t="s">
        <v>41</v>
      </c>
      <c r="I312" s="65">
        <v>4307</v>
      </c>
      <c r="J312" s="65">
        <v>3</v>
      </c>
      <c r="K312" s="65" t="s">
        <v>486</v>
      </c>
      <c r="L312" s="65" t="s">
        <v>486</v>
      </c>
      <c r="M312" s="65" t="s">
        <v>486</v>
      </c>
      <c r="N312" s="65" t="s">
        <v>486</v>
      </c>
      <c r="O312" s="65" t="s">
        <v>486</v>
      </c>
      <c r="P312" s="65" t="s">
        <v>486</v>
      </c>
      <c r="Q312" s="65" t="s">
        <v>486</v>
      </c>
      <c r="R312" s="65" t="s">
        <v>486</v>
      </c>
      <c r="S312" s="23">
        <f t="shared" si="8"/>
        <v>4307</v>
      </c>
      <c r="T312" s="23">
        <f t="shared" si="9"/>
        <v>3</v>
      </c>
    </row>
    <row r="313" spans="1:20" x14ac:dyDescent="0.25">
      <c r="A313" s="47" t="s">
        <v>525</v>
      </c>
      <c r="B313" s="12" t="s">
        <v>229</v>
      </c>
      <c r="C313" s="17">
        <v>42298</v>
      </c>
      <c r="D313" s="10" t="s">
        <v>19</v>
      </c>
      <c r="E313" s="11" t="s">
        <v>361</v>
      </c>
      <c r="F313" s="11" t="s">
        <v>361</v>
      </c>
      <c r="G313" s="13" t="s">
        <v>366</v>
      </c>
      <c r="H313" s="13" t="s">
        <v>41</v>
      </c>
      <c r="I313" s="65">
        <v>7129</v>
      </c>
      <c r="J313" s="65">
        <v>51</v>
      </c>
      <c r="K313" s="65" t="s">
        <v>486</v>
      </c>
      <c r="L313" s="65" t="s">
        <v>486</v>
      </c>
      <c r="M313" s="65">
        <v>301</v>
      </c>
      <c r="N313" s="65">
        <v>0</v>
      </c>
      <c r="O313" s="65">
        <v>982</v>
      </c>
      <c r="P313" s="65">
        <v>0</v>
      </c>
      <c r="Q313" s="65" t="s">
        <v>486</v>
      </c>
      <c r="R313" s="65" t="s">
        <v>486</v>
      </c>
      <c r="S313" s="23">
        <f t="shared" si="8"/>
        <v>8412</v>
      </c>
      <c r="T313" s="23">
        <f t="shared" si="9"/>
        <v>51</v>
      </c>
    </row>
    <row r="314" spans="1:20" x14ac:dyDescent="0.25">
      <c r="A314" s="47" t="s">
        <v>522</v>
      </c>
      <c r="B314" s="12" t="s">
        <v>223</v>
      </c>
      <c r="C314" s="17">
        <v>42298</v>
      </c>
      <c r="D314" s="10" t="s">
        <v>19</v>
      </c>
      <c r="E314" s="11" t="s">
        <v>361</v>
      </c>
      <c r="F314" s="11" t="s">
        <v>28</v>
      </c>
      <c r="G314" s="13" t="s">
        <v>366</v>
      </c>
      <c r="H314" s="13" t="s">
        <v>41</v>
      </c>
      <c r="I314" s="65">
        <v>3323</v>
      </c>
      <c r="J314" s="65">
        <v>8</v>
      </c>
      <c r="K314" s="65" t="s">
        <v>486</v>
      </c>
      <c r="L314" s="65" t="s">
        <v>486</v>
      </c>
      <c r="M314" s="65" t="s">
        <v>486</v>
      </c>
      <c r="N314" s="65" t="s">
        <v>486</v>
      </c>
      <c r="O314" s="65" t="s">
        <v>486</v>
      </c>
      <c r="P314" s="65" t="s">
        <v>486</v>
      </c>
      <c r="Q314" s="65" t="s">
        <v>486</v>
      </c>
      <c r="R314" s="65" t="s">
        <v>486</v>
      </c>
      <c r="S314" s="23">
        <f t="shared" si="8"/>
        <v>3323</v>
      </c>
      <c r="T314" s="23">
        <f t="shared" si="9"/>
        <v>8</v>
      </c>
    </row>
    <row r="315" spans="1:20" x14ac:dyDescent="0.25">
      <c r="A315" s="47" t="s">
        <v>523</v>
      </c>
      <c r="B315" s="12" t="s">
        <v>524</v>
      </c>
      <c r="C315" s="17">
        <v>42298</v>
      </c>
      <c r="D315" s="10"/>
      <c r="E315" s="11" t="s">
        <v>361</v>
      </c>
      <c r="F315" s="11" t="s">
        <v>30</v>
      </c>
      <c r="G315" s="13" t="s">
        <v>365</v>
      </c>
      <c r="H315" s="13" t="s">
        <v>41</v>
      </c>
      <c r="I315" s="65">
        <v>1045</v>
      </c>
      <c r="J315" s="65">
        <v>0</v>
      </c>
      <c r="K315" s="65" t="s">
        <v>486</v>
      </c>
      <c r="L315" s="65" t="s">
        <v>486</v>
      </c>
      <c r="M315" s="65">
        <f>206+519</f>
        <v>725</v>
      </c>
      <c r="N315" s="65">
        <v>0</v>
      </c>
      <c r="O315" s="65" t="s">
        <v>486</v>
      </c>
      <c r="P315" s="65" t="s">
        <v>486</v>
      </c>
      <c r="Q315" s="65" t="s">
        <v>486</v>
      </c>
      <c r="R315" s="65" t="s">
        <v>486</v>
      </c>
      <c r="S315" s="23">
        <f t="shared" si="8"/>
        <v>1770</v>
      </c>
      <c r="T315" s="23">
        <f t="shared" si="9"/>
        <v>0</v>
      </c>
    </row>
    <row r="316" spans="1:20" x14ac:dyDescent="0.25">
      <c r="A316" s="47" t="s">
        <v>526</v>
      </c>
      <c r="B316" s="12" t="s">
        <v>218</v>
      </c>
      <c r="C316" s="17">
        <v>42299</v>
      </c>
      <c r="D316" s="10"/>
      <c r="E316" s="11" t="s">
        <v>24</v>
      </c>
      <c r="F316" s="11" t="s">
        <v>31</v>
      </c>
      <c r="G316" s="13" t="s">
        <v>365</v>
      </c>
      <c r="H316" s="13" t="s">
        <v>37</v>
      </c>
      <c r="I316" s="65">
        <v>846</v>
      </c>
      <c r="J316" s="65">
        <v>1</v>
      </c>
      <c r="K316" s="65" t="s">
        <v>486</v>
      </c>
      <c r="L316" s="65" t="s">
        <v>486</v>
      </c>
      <c r="M316" s="65">
        <v>98</v>
      </c>
      <c r="N316" s="65">
        <v>0</v>
      </c>
      <c r="O316" s="65">
        <v>407</v>
      </c>
      <c r="P316" s="65">
        <v>0</v>
      </c>
      <c r="Q316" s="65" t="s">
        <v>486</v>
      </c>
      <c r="R316" s="65" t="s">
        <v>486</v>
      </c>
      <c r="S316" s="23">
        <f t="shared" si="8"/>
        <v>1351</v>
      </c>
      <c r="T316" s="23">
        <f t="shared" si="9"/>
        <v>1</v>
      </c>
    </row>
    <row r="317" spans="1:20" x14ac:dyDescent="0.25">
      <c r="A317" s="47" t="s">
        <v>527</v>
      </c>
      <c r="B317" s="12" t="s">
        <v>237</v>
      </c>
      <c r="C317" s="17">
        <v>42300</v>
      </c>
      <c r="D317" s="10"/>
      <c r="E317" s="11" t="s">
        <v>24</v>
      </c>
      <c r="F317" s="11" t="s">
        <v>554</v>
      </c>
      <c r="G317" s="13" t="s">
        <v>365</v>
      </c>
      <c r="H317" s="13" t="s">
        <v>40</v>
      </c>
      <c r="I317" s="65">
        <v>623</v>
      </c>
      <c r="J317" s="65">
        <v>3</v>
      </c>
      <c r="K317" s="65" t="s">
        <v>486</v>
      </c>
      <c r="L317" s="65" t="s">
        <v>486</v>
      </c>
      <c r="M317" s="65">
        <f>60+151</f>
        <v>211</v>
      </c>
      <c r="N317" s="65">
        <v>1</v>
      </c>
      <c r="O317" s="65" t="s">
        <v>486</v>
      </c>
      <c r="P317" s="65" t="s">
        <v>486</v>
      </c>
      <c r="Q317" s="65" t="s">
        <v>486</v>
      </c>
      <c r="R317" s="65" t="s">
        <v>486</v>
      </c>
      <c r="S317" s="23">
        <f t="shared" si="8"/>
        <v>834</v>
      </c>
      <c r="T317" s="23">
        <f t="shared" si="9"/>
        <v>4</v>
      </c>
    </row>
    <row r="318" spans="1:20" x14ac:dyDescent="0.25">
      <c r="A318" s="47" t="s">
        <v>528</v>
      </c>
      <c r="B318" s="12" t="s">
        <v>218</v>
      </c>
      <c r="C318" s="17">
        <v>42305</v>
      </c>
      <c r="D318" s="10"/>
      <c r="E318" s="11" t="s">
        <v>555</v>
      </c>
      <c r="F318" s="11" t="s">
        <v>28</v>
      </c>
      <c r="G318" s="13" t="s">
        <v>366</v>
      </c>
      <c r="H318" s="13" t="s">
        <v>41</v>
      </c>
      <c r="I318" s="65">
        <v>4093</v>
      </c>
      <c r="J318" s="65">
        <v>3</v>
      </c>
      <c r="K318" s="65" t="s">
        <v>486</v>
      </c>
      <c r="L318" s="65" t="s">
        <v>486</v>
      </c>
      <c r="M318" s="65" t="s">
        <v>486</v>
      </c>
      <c r="N318" s="65" t="s">
        <v>486</v>
      </c>
      <c r="O318" s="65" t="s">
        <v>486</v>
      </c>
      <c r="P318" s="65" t="s">
        <v>486</v>
      </c>
      <c r="Q318" s="65" t="s">
        <v>486</v>
      </c>
      <c r="R318" s="65" t="s">
        <v>486</v>
      </c>
      <c r="S318" s="23">
        <f t="shared" si="8"/>
        <v>4093</v>
      </c>
      <c r="T318" s="23">
        <f t="shared" si="9"/>
        <v>3</v>
      </c>
    </row>
    <row r="319" spans="1:20" x14ac:dyDescent="0.25">
      <c r="A319" s="111" t="s">
        <v>529</v>
      </c>
      <c r="B319" s="12" t="s">
        <v>223</v>
      </c>
      <c r="C319" s="17">
        <v>42309</v>
      </c>
      <c r="D319" s="10"/>
      <c r="E319" s="11" t="s">
        <v>361</v>
      </c>
      <c r="F319" s="11" t="s">
        <v>361</v>
      </c>
      <c r="G319" s="13" t="s">
        <v>366</v>
      </c>
      <c r="H319" s="13" t="s">
        <v>41</v>
      </c>
      <c r="I319" s="65">
        <v>350</v>
      </c>
      <c r="J319" s="65">
        <v>0</v>
      </c>
      <c r="K319" s="65" t="s">
        <v>486</v>
      </c>
      <c r="L319" s="65" t="s">
        <v>486</v>
      </c>
      <c r="M319" s="65" t="s">
        <v>486</v>
      </c>
      <c r="N319" s="65" t="s">
        <v>486</v>
      </c>
      <c r="O319" s="65" t="s">
        <v>486</v>
      </c>
      <c r="P319" s="65" t="s">
        <v>486</v>
      </c>
      <c r="Q319" s="65" t="s">
        <v>486</v>
      </c>
      <c r="R319" s="65" t="s">
        <v>486</v>
      </c>
      <c r="S319" s="23">
        <f t="shared" si="8"/>
        <v>350</v>
      </c>
      <c r="T319" s="23">
        <f t="shared" si="9"/>
        <v>0</v>
      </c>
    </row>
    <row r="320" spans="1:20" x14ac:dyDescent="0.25">
      <c r="A320" s="114" t="s">
        <v>530</v>
      </c>
      <c r="B320" s="12" t="s">
        <v>218</v>
      </c>
      <c r="C320" s="17">
        <v>42312</v>
      </c>
      <c r="D320" s="10" t="s">
        <v>19</v>
      </c>
      <c r="E320" s="11" t="s">
        <v>25</v>
      </c>
      <c r="F320" s="11" t="s">
        <v>30</v>
      </c>
      <c r="G320" s="13" t="s">
        <v>366</v>
      </c>
      <c r="H320" s="13" t="s">
        <v>36</v>
      </c>
      <c r="I320" s="65">
        <v>1189</v>
      </c>
      <c r="J320" s="65">
        <v>1</v>
      </c>
      <c r="K320" s="65" t="s">
        <v>486</v>
      </c>
      <c r="L320" s="65" t="s">
        <v>486</v>
      </c>
      <c r="M320" s="65">
        <v>227</v>
      </c>
      <c r="N320" s="65">
        <v>0</v>
      </c>
      <c r="O320" s="65">
        <v>780</v>
      </c>
      <c r="P320" s="65">
        <v>0</v>
      </c>
      <c r="Q320" s="65" t="s">
        <v>486</v>
      </c>
      <c r="R320" s="65" t="s">
        <v>486</v>
      </c>
      <c r="S320" s="23">
        <f t="shared" si="8"/>
        <v>2196</v>
      </c>
      <c r="T320" s="23">
        <f t="shared" si="9"/>
        <v>1</v>
      </c>
    </row>
    <row r="321" spans="1:20" x14ac:dyDescent="0.25">
      <c r="A321" s="114" t="s">
        <v>531</v>
      </c>
      <c r="B321" s="12" t="s">
        <v>237</v>
      </c>
      <c r="C321" s="17">
        <v>42312</v>
      </c>
      <c r="D321" s="10"/>
      <c r="E321" s="11" t="s">
        <v>24</v>
      </c>
      <c r="F321" s="11" t="s">
        <v>26</v>
      </c>
      <c r="G321" s="13" t="s">
        <v>365</v>
      </c>
      <c r="H321" s="13" t="s">
        <v>40</v>
      </c>
      <c r="I321" s="65">
        <v>690</v>
      </c>
      <c r="J321" s="65">
        <v>0</v>
      </c>
      <c r="K321" s="65" t="s">
        <v>486</v>
      </c>
      <c r="L321" s="65" t="s">
        <v>486</v>
      </c>
      <c r="M321" s="65" t="s">
        <v>486</v>
      </c>
      <c r="N321" s="65" t="s">
        <v>486</v>
      </c>
      <c r="O321" s="65" t="s">
        <v>486</v>
      </c>
      <c r="P321" s="65" t="s">
        <v>486</v>
      </c>
      <c r="Q321" s="65" t="s">
        <v>486</v>
      </c>
      <c r="R321" s="65" t="s">
        <v>486</v>
      </c>
      <c r="S321" s="23">
        <f t="shared" si="8"/>
        <v>690</v>
      </c>
      <c r="T321" s="23">
        <f t="shared" si="9"/>
        <v>0</v>
      </c>
    </row>
    <row r="322" spans="1:20" x14ac:dyDescent="0.25">
      <c r="A322" s="114" t="s">
        <v>532</v>
      </c>
      <c r="B322" s="12" t="s">
        <v>227</v>
      </c>
      <c r="C322" s="17">
        <v>42314</v>
      </c>
      <c r="D322" s="10" t="s">
        <v>19</v>
      </c>
      <c r="E322" s="11" t="s">
        <v>361</v>
      </c>
      <c r="F322" s="11" t="s">
        <v>361</v>
      </c>
      <c r="G322" s="13" t="s">
        <v>366</v>
      </c>
      <c r="H322" s="13" t="s">
        <v>41</v>
      </c>
      <c r="I322" s="65">
        <v>1297</v>
      </c>
      <c r="J322" s="65">
        <v>1</v>
      </c>
      <c r="K322" s="65" t="s">
        <v>486</v>
      </c>
      <c r="L322" s="65" t="s">
        <v>486</v>
      </c>
      <c r="M322" s="65" t="s">
        <v>486</v>
      </c>
      <c r="N322" s="65" t="s">
        <v>486</v>
      </c>
      <c r="O322" s="65" t="s">
        <v>486</v>
      </c>
      <c r="P322" s="65" t="s">
        <v>486</v>
      </c>
      <c r="Q322" s="65" t="s">
        <v>486</v>
      </c>
      <c r="R322" s="65" t="s">
        <v>486</v>
      </c>
      <c r="S322" s="23">
        <f t="shared" si="8"/>
        <v>1297</v>
      </c>
      <c r="T322" s="23">
        <f t="shared" si="9"/>
        <v>1</v>
      </c>
    </row>
    <row r="323" spans="1:20" ht="30" x14ac:dyDescent="0.25">
      <c r="A323" s="114" t="s">
        <v>534</v>
      </c>
      <c r="B323" s="12" t="s">
        <v>239</v>
      </c>
      <c r="C323" s="17">
        <v>42318</v>
      </c>
      <c r="D323" s="10" t="s">
        <v>19</v>
      </c>
      <c r="E323" s="11" t="s">
        <v>24</v>
      </c>
      <c r="F323" s="11" t="s">
        <v>586</v>
      </c>
      <c r="G323" s="13" t="s">
        <v>366</v>
      </c>
      <c r="H323" s="13" t="s">
        <v>41</v>
      </c>
      <c r="I323" s="65">
        <v>1046</v>
      </c>
      <c r="J323" s="65">
        <v>0</v>
      </c>
      <c r="K323" s="65">
        <v>673</v>
      </c>
      <c r="L323" s="65">
        <v>0</v>
      </c>
      <c r="M323" s="65">
        <v>84</v>
      </c>
      <c r="N323" s="65">
        <v>0</v>
      </c>
      <c r="O323" s="65">
        <v>356</v>
      </c>
      <c r="P323" s="65">
        <v>2</v>
      </c>
      <c r="Q323" s="65" t="s">
        <v>486</v>
      </c>
      <c r="R323" s="65" t="s">
        <v>486</v>
      </c>
      <c r="S323" s="23">
        <f t="shared" si="8"/>
        <v>2159</v>
      </c>
      <c r="T323" s="23">
        <f t="shared" si="9"/>
        <v>2</v>
      </c>
    </row>
    <row r="324" spans="1:20" x14ac:dyDescent="0.25">
      <c r="A324" s="114" t="s">
        <v>533</v>
      </c>
      <c r="B324" s="12" t="s">
        <v>218</v>
      </c>
      <c r="C324" s="17">
        <v>42318</v>
      </c>
      <c r="D324" s="10"/>
      <c r="E324" s="11" t="s">
        <v>24</v>
      </c>
      <c r="F324" s="11" t="s">
        <v>31</v>
      </c>
      <c r="G324" s="13" t="s">
        <v>365</v>
      </c>
      <c r="H324" s="13" t="s">
        <v>40</v>
      </c>
      <c r="I324" s="65">
        <v>879</v>
      </c>
      <c r="J324" s="65">
        <v>1</v>
      </c>
      <c r="K324" s="65" t="s">
        <v>486</v>
      </c>
      <c r="L324" s="65" t="s">
        <v>486</v>
      </c>
      <c r="M324" s="65">
        <v>61</v>
      </c>
      <c r="N324" s="65">
        <v>0</v>
      </c>
      <c r="O324" s="65">
        <v>221</v>
      </c>
      <c r="P324" s="65">
        <v>0</v>
      </c>
      <c r="Q324" s="65" t="s">
        <v>486</v>
      </c>
      <c r="R324" s="65" t="s">
        <v>486</v>
      </c>
      <c r="S324" s="23">
        <f t="shared" si="8"/>
        <v>1161</v>
      </c>
      <c r="T324" s="23">
        <f t="shared" si="9"/>
        <v>1</v>
      </c>
    </row>
    <row r="325" spans="1:20" ht="33" customHeight="1" x14ac:dyDescent="0.25">
      <c r="A325" s="114" t="s">
        <v>535</v>
      </c>
      <c r="B325" s="12" t="s">
        <v>423</v>
      </c>
      <c r="C325" s="17">
        <v>42319</v>
      </c>
      <c r="D325" s="10" t="s">
        <v>19</v>
      </c>
      <c r="E325" s="11" t="s">
        <v>587</v>
      </c>
      <c r="F325" s="11" t="s">
        <v>34</v>
      </c>
      <c r="G325" s="13" t="s">
        <v>366</v>
      </c>
      <c r="H325" s="13" t="s">
        <v>36</v>
      </c>
      <c r="I325" s="65">
        <v>848</v>
      </c>
      <c r="J325" s="65">
        <v>3</v>
      </c>
      <c r="K325" s="65" t="s">
        <v>486</v>
      </c>
      <c r="L325" s="65" t="s">
        <v>486</v>
      </c>
      <c r="M325" s="65" t="s">
        <v>486</v>
      </c>
      <c r="N325" s="65" t="s">
        <v>486</v>
      </c>
      <c r="O325" s="65" t="s">
        <v>486</v>
      </c>
      <c r="P325" s="65" t="s">
        <v>486</v>
      </c>
      <c r="Q325" s="65" t="s">
        <v>486</v>
      </c>
      <c r="R325" s="65" t="s">
        <v>486</v>
      </c>
      <c r="S325" s="23">
        <f t="shared" si="8"/>
        <v>848</v>
      </c>
      <c r="T325" s="23">
        <f t="shared" si="9"/>
        <v>3</v>
      </c>
    </row>
    <row r="326" spans="1:20" ht="30" x14ac:dyDescent="0.25">
      <c r="A326" s="114" t="s">
        <v>536</v>
      </c>
      <c r="B326" s="12" t="s">
        <v>229</v>
      </c>
      <c r="C326" s="17">
        <v>42320</v>
      </c>
      <c r="D326" s="10" t="s">
        <v>19</v>
      </c>
      <c r="E326" s="11" t="s">
        <v>24</v>
      </c>
      <c r="F326" s="11" t="s">
        <v>361</v>
      </c>
      <c r="G326" s="13" t="s">
        <v>366</v>
      </c>
      <c r="H326" s="13" t="s">
        <v>588</v>
      </c>
      <c r="I326" s="65">
        <v>2835</v>
      </c>
      <c r="J326" s="65">
        <v>10</v>
      </c>
      <c r="K326" s="65" t="s">
        <v>486</v>
      </c>
      <c r="L326" s="65" t="s">
        <v>486</v>
      </c>
      <c r="M326" s="65">
        <v>76</v>
      </c>
      <c r="N326" s="65">
        <v>0</v>
      </c>
      <c r="O326" s="65">
        <v>313</v>
      </c>
      <c r="P326" s="65">
        <v>0</v>
      </c>
      <c r="Q326" s="65" t="s">
        <v>486</v>
      </c>
      <c r="R326" s="65" t="s">
        <v>486</v>
      </c>
      <c r="S326" s="23">
        <f t="shared" si="8"/>
        <v>3224</v>
      </c>
      <c r="T326" s="23">
        <f t="shared" si="9"/>
        <v>10</v>
      </c>
    </row>
    <row r="327" spans="1:20" ht="30" x14ac:dyDescent="0.25">
      <c r="A327" s="114" t="s">
        <v>537</v>
      </c>
      <c r="B327" s="12" t="s">
        <v>218</v>
      </c>
      <c r="C327" s="17">
        <v>42320</v>
      </c>
      <c r="D327" s="10"/>
      <c r="E327" s="11" t="s">
        <v>24</v>
      </c>
      <c r="F327" s="11" t="s">
        <v>605</v>
      </c>
      <c r="G327" s="13" t="s">
        <v>366</v>
      </c>
      <c r="H327" s="13" t="s">
        <v>40</v>
      </c>
      <c r="I327" s="65">
        <v>2897</v>
      </c>
      <c r="J327" s="65">
        <v>10</v>
      </c>
      <c r="K327" s="65" t="s">
        <v>486</v>
      </c>
      <c r="L327" s="65" t="s">
        <v>486</v>
      </c>
      <c r="M327" s="65">
        <v>236</v>
      </c>
      <c r="N327" s="65">
        <v>0</v>
      </c>
      <c r="O327" s="65" t="s">
        <v>486</v>
      </c>
      <c r="P327" s="65" t="s">
        <v>486</v>
      </c>
      <c r="Q327" s="65" t="s">
        <v>486</v>
      </c>
      <c r="R327" s="65" t="s">
        <v>486</v>
      </c>
      <c r="S327" s="23">
        <f t="shared" si="8"/>
        <v>3133</v>
      </c>
      <c r="T327" s="23">
        <f t="shared" si="9"/>
        <v>10</v>
      </c>
    </row>
    <row r="328" spans="1:20" ht="30" x14ac:dyDescent="0.25">
      <c r="A328" s="114" t="s">
        <v>538</v>
      </c>
      <c r="B328" s="12" t="s">
        <v>229</v>
      </c>
      <c r="C328" s="17">
        <v>42322</v>
      </c>
      <c r="D328" s="10"/>
      <c r="E328" s="11" t="s">
        <v>361</v>
      </c>
      <c r="F328" s="11" t="s">
        <v>589</v>
      </c>
      <c r="G328" s="13" t="s">
        <v>366</v>
      </c>
      <c r="H328" s="13" t="s">
        <v>40</v>
      </c>
      <c r="I328" s="65">
        <v>6411</v>
      </c>
      <c r="J328" s="65">
        <v>58</v>
      </c>
      <c r="K328" s="65" t="s">
        <v>486</v>
      </c>
      <c r="L328" s="65" t="s">
        <v>486</v>
      </c>
      <c r="M328" s="65" t="s">
        <v>486</v>
      </c>
      <c r="N328" s="65" t="s">
        <v>486</v>
      </c>
      <c r="O328" s="65" t="s">
        <v>486</v>
      </c>
      <c r="P328" s="65" t="s">
        <v>486</v>
      </c>
      <c r="Q328" s="65" t="s">
        <v>486</v>
      </c>
      <c r="R328" s="65" t="s">
        <v>486</v>
      </c>
      <c r="S328" s="23">
        <f t="shared" ref="S328:S389" si="10">SUM(I328,K328,M328,O328)</f>
        <v>6411</v>
      </c>
      <c r="T328" s="23">
        <f t="shared" ref="T328:T389" si="11">SUM(J328,L328,N328,P328)</f>
        <v>58</v>
      </c>
    </row>
    <row r="329" spans="1:20" x14ac:dyDescent="0.25">
      <c r="A329" s="114" t="s">
        <v>539</v>
      </c>
      <c r="B329" s="12" t="s">
        <v>540</v>
      </c>
      <c r="C329" s="17">
        <v>42325</v>
      </c>
      <c r="D329" s="10" t="s">
        <v>19</v>
      </c>
      <c r="E329" s="11" t="s">
        <v>361</v>
      </c>
      <c r="F329" s="11" t="s">
        <v>27</v>
      </c>
      <c r="G329" s="13" t="s">
        <v>366</v>
      </c>
      <c r="H329" s="13" t="s">
        <v>40</v>
      </c>
      <c r="I329" s="65">
        <v>1700</v>
      </c>
      <c r="J329" s="65">
        <v>24</v>
      </c>
      <c r="K329" s="65" t="s">
        <v>486</v>
      </c>
      <c r="L329" s="65" t="s">
        <v>486</v>
      </c>
      <c r="M329" s="65">
        <v>84</v>
      </c>
      <c r="N329" s="65">
        <v>0</v>
      </c>
      <c r="O329" s="65" t="s">
        <v>486</v>
      </c>
      <c r="P329" s="65" t="s">
        <v>486</v>
      </c>
      <c r="Q329" s="65" t="s">
        <v>486</v>
      </c>
      <c r="R329" s="65" t="s">
        <v>486</v>
      </c>
      <c r="S329" s="23">
        <f t="shared" si="10"/>
        <v>1784</v>
      </c>
      <c r="T329" s="23">
        <f t="shared" si="11"/>
        <v>24</v>
      </c>
    </row>
    <row r="330" spans="1:20" x14ac:dyDescent="0.25">
      <c r="A330" s="114" t="s">
        <v>541</v>
      </c>
      <c r="B330" s="12" t="s">
        <v>237</v>
      </c>
      <c r="C330" s="17">
        <v>42328</v>
      </c>
      <c r="D330" s="10"/>
      <c r="E330" s="11" t="s">
        <v>361</v>
      </c>
      <c r="F330" s="11" t="s">
        <v>27</v>
      </c>
      <c r="G330" s="13" t="s">
        <v>366</v>
      </c>
      <c r="H330" s="13" t="s">
        <v>41</v>
      </c>
      <c r="I330" s="65">
        <v>1641</v>
      </c>
      <c r="J330" s="65">
        <v>1</v>
      </c>
      <c r="K330" s="65" t="s">
        <v>486</v>
      </c>
      <c r="L330" s="65" t="s">
        <v>486</v>
      </c>
      <c r="M330" s="65" t="s">
        <v>486</v>
      </c>
      <c r="N330" s="65" t="s">
        <v>486</v>
      </c>
      <c r="O330" s="65" t="s">
        <v>486</v>
      </c>
      <c r="P330" s="65" t="s">
        <v>486</v>
      </c>
      <c r="Q330" s="65" t="s">
        <v>486</v>
      </c>
      <c r="R330" s="65" t="s">
        <v>486</v>
      </c>
      <c r="S330" s="23">
        <f t="shared" si="10"/>
        <v>1641</v>
      </c>
      <c r="T330" s="23">
        <f t="shared" si="11"/>
        <v>1</v>
      </c>
    </row>
    <row r="331" spans="1:20" x14ac:dyDescent="0.25">
      <c r="A331" s="114" t="s">
        <v>542</v>
      </c>
      <c r="B331" s="12" t="s">
        <v>266</v>
      </c>
      <c r="C331" s="17">
        <v>42331</v>
      </c>
      <c r="D331" s="10" t="s">
        <v>19</v>
      </c>
      <c r="E331" s="11" t="s">
        <v>590</v>
      </c>
      <c r="F331" s="11" t="s">
        <v>27</v>
      </c>
      <c r="G331" s="13" t="s">
        <v>366</v>
      </c>
      <c r="H331" s="13" t="s">
        <v>40</v>
      </c>
      <c r="I331" s="65">
        <v>1349</v>
      </c>
      <c r="J331" s="65">
        <v>4</v>
      </c>
      <c r="K331" s="65" t="s">
        <v>486</v>
      </c>
      <c r="L331" s="65" t="s">
        <v>486</v>
      </c>
      <c r="M331" s="65">
        <v>178</v>
      </c>
      <c r="N331" s="65">
        <v>0</v>
      </c>
      <c r="O331" s="65" t="s">
        <v>486</v>
      </c>
      <c r="P331" s="65" t="s">
        <v>486</v>
      </c>
      <c r="Q331" s="65" t="s">
        <v>486</v>
      </c>
      <c r="R331" s="65" t="s">
        <v>486</v>
      </c>
      <c r="S331" s="23">
        <f t="shared" si="10"/>
        <v>1527</v>
      </c>
      <c r="T331" s="23">
        <f t="shared" si="11"/>
        <v>4</v>
      </c>
    </row>
    <row r="332" spans="1:20" ht="30" x14ac:dyDescent="0.25">
      <c r="A332" s="111" t="s">
        <v>544</v>
      </c>
      <c r="B332" s="12" t="s">
        <v>239</v>
      </c>
      <c r="C332" s="17">
        <v>42332</v>
      </c>
      <c r="D332" s="10" t="s">
        <v>21</v>
      </c>
      <c r="E332" s="11" t="s">
        <v>361</v>
      </c>
      <c r="F332" s="11" t="s">
        <v>591</v>
      </c>
      <c r="G332" s="13" t="s">
        <v>366</v>
      </c>
      <c r="H332" s="13" t="s">
        <v>41</v>
      </c>
      <c r="I332" s="65">
        <v>2998</v>
      </c>
      <c r="J332" s="65">
        <v>25</v>
      </c>
      <c r="K332" s="65" t="s">
        <v>486</v>
      </c>
      <c r="L332" s="65" t="s">
        <v>486</v>
      </c>
      <c r="M332" s="65">
        <v>117</v>
      </c>
      <c r="N332" s="65">
        <v>0</v>
      </c>
      <c r="O332" s="65">
        <v>562</v>
      </c>
      <c r="P332" s="65">
        <v>2</v>
      </c>
      <c r="Q332" s="65" t="s">
        <v>486</v>
      </c>
      <c r="R332" s="65" t="s">
        <v>486</v>
      </c>
      <c r="S332" s="23">
        <f t="shared" si="10"/>
        <v>3677</v>
      </c>
      <c r="T332" s="23">
        <f t="shared" si="11"/>
        <v>27</v>
      </c>
    </row>
    <row r="333" spans="1:20" x14ac:dyDescent="0.25">
      <c r="A333" s="114" t="s">
        <v>543</v>
      </c>
      <c r="B333" s="12" t="s">
        <v>237</v>
      </c>
      <c r="C333" s="17">
        <v>42332</v>
      </c>
      <c r="D333" s="10"/>
      <c r="E333" s="11" t="s">
        <v>361</v>
      </c>
      <c r="F333" s="11" t="s">
        <v>27</v>
      </c>
      <c r="G333" s="13" t="s">
        <v>366</v>
      </c>
      <c r="H333" s="13" t="s">
        <v>40</v>
      </c>
      <c r="I333" s="65">
        <v>1829</v>
      </c>
      <c r="J333" s="65">
        <v>4</v>
      </c>
      <c r="K333" s="65" t="s">
        <v>486</v>
      </c>
      <c r="L333" s="65" t="s">
        <v>486</v>
      </c>
      <c r="M333" s="65" t="s">
        <v>486</v>
      </c>
      <c r="N333" s="65" t="s">
        <v>486</v>
      </c>
      <c r="O333" s="65" t="s">
        <v>486</v>
      </c>
      <c r="P333" s="65" t="s">
        <v>486</v>
      </c>
      <c r="Q333" s="65" t="s">
        <v>486</v>
      </c>
      <c r="R333" s="65" t="s">
        <v>486</v>
      </c>
      <c r="S333" s="23">
        <f t="shared" si="10"/>
        <v>1829</v>
      </c>
      <c r="T333" s="23">
        <f t="shared" si="11"/>
        <v>4</v>
      </c>
    </row>
    <row r="334" spans="1:20" x14ac:dyDescent="0.25">
      <c r="A334" s="114" t="s">
        <v>545</v>
      </c>
      <c r="B334" s="12" t="s">
        <v>237</v>
      </c>
      <c r="C334" s="17">
        <v>42333</v>
      </c>
      <c r="D334" s="10" t="s">
        <v>19</v>
      </c>
      <c r="E334" s="11" t="s">
        <v>24</v>
      </c>
      <c r="F334" s="11" t="s">
        <v>26</v>
      </c>
      <c r="G334" s="13" t="s">
        <v>366</v>
      </c>
      <c r="H334" s="13" t="s">
        <v>40</v>
      </c>
      <c r="I334" s="65">
        <v>1779</v>
      </c>
      <c r="J334" s="65">
        <v>2</v>
      </c>
      <c r="K334" s="65" t="s">
        <v>486</v>
      </c>
      <c r="L334" s="65" t="s">
        <v>486</v>
      </c>
      <c r="M334" s="65" t="s">
        <v>486</v>
      </c>
      <c r="N334" s="65" t="s">
        <v>486</v>
      </c>
      <c r="O334" s="65" t="s">
        <v>486</v>
      </c>
      <c r="P334" s="65" t="s">
        <v>486</v>
      </c>
      <c r="Q334" s="65" t="s">
        <v>486</v>
      </c>
      <c r="R334" s="65" t="s">
        <v>486</v>
      </c>
      <c r="S334" s="23">
        <f t="shared" si="10"/>
        <v>1779</v>
      </c>
      <c r="T334" s="23">
        <f t="shared" si="11"/>
        <v>2</v>
      </c>
    </row>
    <row r="335" spans="1:20" ht="30" x14ac:dyDescent="0.25">
      <c r="A335" s="114" t="s">
        <v>546</v>
      </c>
      <c r="B335" s="12" t="s">
        <v>229</v>
      </c>
      <c r="C335" s="17">
        <v>42333</v>
      </c>
      <c r="D335" s="10" t="s">
        <v>19</v>
      </c>
      <c r="E335" s="11" t="s">
        <v>24</v>
      </c>
      <c r="F335" s="11" t="s">
        <v>592</v>
      </c>
      <c r="G335" s="13" t="s">
        <v>366</v>
      </c>
      <c r="H335" s="13" t="s">
        <v>41</v>
      </c>
      <c r="I335" s="65">
        <v>2047</v>
      </c>
      <c r="J335" s="65">
        <v>0</v>
      </c>
      <c r="K335" s="65" t="s">
        <v>486</v>
      </c>
      <c r="L335" s="65" t="s">
        <v>486</v>
      </c>
      <c r="M335" s="65" t="s">
        <v>486</v>
      </c>
      <c r="N335" s="65" t="s">
        <v>486</v>
      </c>
      <c r="O335" s="65">
        <v>1393</v>
      </c>
      <c r="P335" s="65">
        <v>0</v>
      </c>
      <c r="Q335" s="65" t="s">
        <v>486</v>
      </c>
      <c r="R335" s="65" t="s">
        <v>486</v>
      </c>
      <c r="S335" s="23">
        <f t="shared" si="10"/>
        <v>3440</v>
      </c>
      <c r="T335" s="23">
        <f t="shared" si="11"/>
        <v>0</v>
      </c>
    </row>
    <row r="336" spans="1:20" x14ac:dyDescent="0.25">
      <c r="A336" s="114" t="s">
        <v>552</v>
      </c>
      <c r="B336" s="113" t="s">
        <v>551</v>
      </c>
      <c r="C336" s="17">
        <v>42335</v>
      </c>
      <c r="D336" s="10" t="s">
        <v>19</v>
      </c>
      <c r="E336" s="11" t="s">
        <v>593</v>
      </c>
      <c r="F336" s="11" t="s">
        <v>27</v>
      </c>
      <c r="G336" s="13" t="s">
        <v>366</v>
      </c>
      <c r="H336" s="13" t="s">
        <v>40</v>
      </c>
      <c r="I336" s="65">
        <v>8691</v>
      </c>
      <c r="J336" s="65">
        <v>18</v>
      </c>
      <c r="K336" s="65" t="s">
        <v>486</v>
      </c>
      <c r="L336" s="65" t="s">
        <v>486</v>
      </c>
      <c r="M336" s="65" t="s">
        <v>486</v>
      </c>
      <c r="N336" s="65" t="s">
        <v>486</v>
      </c>
      <c r="O336" s="65">
        <v>226</v>
      </c>
      <c r="P336" s="65">
        <v>0</v>
      </c>
      <c r="Q336" s="65" t="s">
        <v>486</v>
      </c>
      <c r="R336" s="65" t="s">
        <v>486</v>
      </c>
      <c r="S336" s="23">
        <f t="shared" si="10"/>
        <v>8917</v>
      </c>
      <c r="T336" s="23">
        <f t="shared" si="11"/>
        <v>18</v>
      </c>
    </row>
    <row r="337" spans="1:20" x14ac:dyDescent="0.25">
      <c r="A337" s="114" t="s">
        <v>550</v>
      </c>
      <c r="B337" s="12" t="s">
        <v>228</v>
      </c>
      <c r="C337" s="17">
        <v>42335</v>
      </c>
      <c r="D337" s="10"/>
      <c r="E337" s="11" t="s">
        <v>361</v>
      </c>
      <c r="F337" s="11" t="s">
        <v>361</v>
      </c>
      <c r="G337" s="13" t="s">
        <v>366</v>
      </c>
      <c r="H337" s="13" t="s">
        <v>41</v>
      </c>
      <c r="I337" s="65">
        <v>525</v>
      </c>
      <c r="J337" s="65">
        <v>4</v>
      </c>
      <c r="K337" s="65" t="s">
        <v>486</v>
      </c>
      <c r="L337" s="65" t="s">
        <v>486</v>
      </c>
      <c r="M337" s="65" t="s">
        <v>486</v>
      </c>
      <c r="N337" s="65" t="s">
        <v>486</v>
      </c>
      <c r="O337" s="65" t="s">
        <v>486</v>
      </c>
      <c r="P337" s="65" t="s">
        <v>486</v>
      </c>
      <c r="Q337" s="65" t="s">
        <v>486</v>
      </c>
      <c r="R337" s="65" t="s">
        <v>486</v>
      </c>
      <c r="S337" s="23">
        <f t="shared" si="10"/>
        <v>525</v>
      </c>
      <c r="T337" s="23">
        <f t="shared" si="11"/>
        <v>4</v>
      </c>
    </row>
    <row r="338" spans="1:20" ht="30" x14ac:dyDescent="0.25">
      <c r="A338" s="114" t="s">
        <v>553</v>
      </c>
      <c r="B338" s="29" t="s">
        <v>283</v>
      </c>
      <c r="C338" s="17">
        <v>42338</v>
      </c>
      <c r="D338" s="10"/>
      <c r="E338" s="11" t="s">
        <v>510</v>
      </c>
      <c r="F338" s="11" t="s">
        <v>361</v>
      </c>
      <c r="G338" s="13" t="s">
        <v>366</v>
      </c>
      <c r="H338" s="13" t="s">
        <v>41</v>
      </c>
      <c r="I338" s="65">
        <v>1310</v>
      </c>
      <c r="J338" s="65">
        <v>2</v>
      </c>
      <c r="K338" s="65" t="s">
        <v>486</v>
      </c>
      <c r="L338" s="65" t="s">
        <v>486</v>
      </c>
      <c r="M338" s="65" t="s">
        <v>486</v>
      </c>
      <c r="N338" s="65" t="s">
        <v>486</v>
      </c>
      <c r="O338" s="65" t="s">
        <v>486</v>
      </c>
      <c r="P338" s="65" t="s">
        <v>486</v>
      </c>
      <c r="Q338" s="65" t="s">
        <v>486</v>
      </c>
      <c r="R338" s="65" t="s">
        <v>486</v>
      </c>
      <c r="S338" s="23">
        <f t="shared" si="10"/>
        <v>1310</v>
      </c>
      <c r="T338" s="23">
        <f t="shared" si="11"/>
        <v>2</v>
      </c>
    </row>
    <row r="339" spans="1:20" x14ac:dyDescent="0.25">
      <c r="A339" s="112" t="s">
        <v>556</v>
      </c>
      <c r="B339" s="12" t="s">
        <v>557</v>
      </c>
      <c r="C339" s="17">
        <v>42340</v>
      </c>
      <c r="D339" s="10" t="s">
        <v>19</v>
      </c>
      <c r="E339" s="11" t="s">
        <v>25</v>
      </c>
      <c r="F339" s="11" t="s">
        <v>381</v>
      </c>
      <c r="G339" s="13" t="s">
        <v>365</v>
      </c>
      <c r="H339" s="13" t="s">
        <v>40</v>
      </c>
      <c r="I339" s="65">
        <v>2336</v>
      </c>
      <c r="J339" s="65">
        <v>5</v>
      </c>
      <c r="K339" s="65" t="s">
        <v>486</v>
      </c>
      <c r="L339" s="65" t="s">
        <v>486</v>
      </c>
      <c r="M339" s="65">
        <v>732</v>
      </c>
      <c r="N339" s="65">
        <v>0</v>
      </c>
      <c r="O339" s="65" t="s">
        <v>486</v>
      </c>
      <c r="P339" s="65" t="s">
        <v>486</v>
      </c>
      <c r="Q339" s="65" t="s">
        <v>486</v>
      </c>
      <c r="R339" s="65" t="s">
        <v>486</v>
      </c>
      <c r="S339" s="23">
        <f t="shared" si="10"/>
        <v>3068</v>
      </c>
      <c r="T339" s="23">
        <f t="shared" si="11"/>
        <v>5</v>
      </c>
    </row>
    <row r="340" spans="1:20" x14ac:dyDescent="0.25">
      <c r="A340" s="119" t="s">
        <v>558</v>
      </c>
      <c r="B340" s="12" t="s">
        <v>559</v>
      </c>
      <c r="C340" s="17">
        <v>42341</v>
      </c>
      <c r="D340" s="10" t="s">
        <v>19</v>
      </c>
      <c r="E340" s="11" t="s">
        <v>555</v>
      </c>
      <c r="F340" s="11" t="s">
        <v>329</v>
      </c>
      <c r="G340" s="13" t="s">
        <v>366</v>
      </c>
      <c r="H340" s="13" t="s">
        <v>36</v>
      </c>
      <c r="I340" s="65">
        <v>473</v>
      </c>
      <c r="J340" s="65">
        <v>0</v>
      </c>
      <c r="K340" s="65" t="s">
        <v>486</v>
      </c>
      <c r="L340" s="65" t="s">
        <v>486</v>
      </c>
      <c r="M340" s="65" t="s">
        <v>486</v>
      </c>
      <c r="N340" s="65" t="s">
        <v>486</v>
      </c>
      <c r="O340" s="65" t="s">
        <v>486</v>
      </c>
      <c r="P340" s="65" t="s">
        <v>486</v>
      </c>
      <c r="Q340" s="65" t="s">
        <v>486</v>
      </c>
      <c r="R340" s="65" t="s">
        <v>486</v>
      </c>
      <c r="S340" s="23">
        <f t="shared" si="10"/>
        <v>473</v>
      </c>
      <c r="T340" s="23">
        <f t="shared" si="11"/>
        <v>0</v>
      </c>
    </row>
    <row r="341" spans="1:20" ht="30" x14ac:dyDescent="0.25">
      <c r="A341" s="115" t="s">
        <v>548</v>
      </c>
      <c r="B341" s="12" t="s">
        <v>560</v>
      </c>
      <c r="C341" s="17">
        <v>42341</v>
      </c>
      <c r="D341" s="10" t="s">
        <v>19</v>
      </c>
      <c r="E341" s="11" t="s">
        <v>361</v>
      </c>
      <c r="F341" s="11" t="s">
        <v>31</v>
      </c>
      <c r="G341" s="13" t="s">
        <v>365</v>
      </c>
      <c r="H341" s="13" t="s">
        <v>588</v>
      </c>
      <c r="I341" s="65">
        <v>186</v>
      </c>
      <c r="J341" s="65">
        <v>0</v>
      </c>
      <c r="K341" s="65" t="s">
        <v>486</v>
      </c>
      <c r="L341" s="65" t="s">
        <v>486</v>
      </c>
      <c r="M341" s="65" t="s">
        <v>486</v>
      </c>
      <c r="N341" s="65" t="s">
        <v>486</v>
      </c>
      <c r="O341" s="65" t="s">
        <v>486</v>
      </c>
      <c r="P341" s="65" t="s">
        <v>486</v>
      </c>
      <c r="Q341" s="65" t="s">
        <v>486</v>
      </c>
      <c r="R341" s="65" t="s">
        <v>486</v>
      </c>
      <c r="S341" s="23">
        <f t="shared" si="10"/>
        <v>186</v>
      </c>
      <c r="T341" s="23">
        <f t="shared" si="11"/>
        <v>0</v>
      </c>
    </row>
    <row r="342" spans="1:20" ht="30" x14ac:dyDescent="0.25">
      <c r="A342" s="115" t="s">
        <v>505</v>
      </c>
      <c r="B342" s="12" t="s">
        <v>227</v>
      </c>
      <c r="C342" s="17">
        <v>42342</v>
      </c>
      <c r="D342" s="10"/>
      <c r="E342" s="11" t="s">
        <v>361</v>
      </c>
      <c r="F342" s="11" t="s">
        <v>594</v>
      </c>
      <c r="G342" s="13" t="s">
        <v>366</v>
      </c>
      <c r="H342" s="13" t="s">
        <v>41</v>
      </c>
      <c r="I342" s="65">
        <v>2914</v>
      </c>
      <c r="J342" s="65">
        <v>10</v>
      </c>
      <c r="K342" s="65" t="s">
        <v>486</v>
      </c>
      <c r="L342" s="65" t="s">
        <v>486</v>
      </c>
      <c r="M342" s="65" t="s">
        <v>486</v>
      </c>
      <c r="N342" s="65" t="s">
        <v>486</v>
      </c>
      <c r="O342" s="65" t="s">
        <v>486</v>
      </c>
      <c r="P342" s="65" t="s">
        <v>486</v>
      </c>
      <c r="Q342" s="65" t="s">
        <v>486</v>
      </c>
      <c r="R342" s="65" t="s">
        <v>486</v>
      </c>
      <c r="S342" s="23">
        <f t="shared" si="10"/>
        <v>2914</v>
      </c>
      <c r="T342" s="23">
        <f t="shared" si="11"/>
        <v>10</v>
      </c>
    </row>
    <row r="343" spans="1:20" ht="30" x14ac:dyDescent="0.25">
      <c r="A343" s="115" t="s">
        <v>547</v>
      </c>
      <c r="B343" s="12" t="s">
        <v>228</v>
      </c>
      <c r="C343" s="17">
        <v>42342</v>
      </c>
      <c r="D343" s="10"/>
      <c r="E343" s="11" t="s">
        <v>510</v>
      </c>
      <c r="F343" s="11" t="s">
        <v>361</v>
      </c>
      <c r="G343" s="13" t="s">
        <v>366</v>
      </c>
      <c r="H343" s="13" t="s">
        <v>41</v>
      </c>
      <c r="I343" s="65">
        <v>176</v>
      </c>
      <c r="J343" s="65">
        <v>0</v>
      </c>
      <c r="K343" s="65" t="s">
        <v>486</v>
      </c>
      <c r="L343" s="65" t="s">
        <v>486</v>
      </c>
      <c r="M343" s="65">
        <v>77</v>
      </c>
      <c r="N343" s="65">
        <v>0</v>
      </c>
      <c r="O343" s="65" t="s">
        <v>486</v>
      </c>
      <c r="P343" s="65" t="s">
        <v>486</v>
      </c>
      <c r="Q343" s="65">
        <v>83805</v>
      </c>
      <c r="R343" s="65">
        <v>7</v>
      </c>
      <c r="S343" s="23">
        <f t="shared" si="10"/>
        <v>253</v>
      </c>
      <c r="T343" s="23">
        <f t="shared" si="11"/>
        <v>0</v>
      </c>
    </row>
    <row r="344" spans="1:20" ht="30" x14ac:dyDescent="0.25">
      <c r="A344" s="115" t="s">
        <v>561</v>
      </c>
      <c r="B344" s="12" t="s">
        <v>562</v>
      </c>
      <c r="C344" s="17">
        <v>42343</v>
      </c>
      <c r="D344" s="10"/>
      <c r="E344" s="11" t="s">
        <v>595</v>
      </c>
      <c r="F344" s="11" t="s">
        <v>30</v>
      </c>
      <c r="G344" s="13" t="s">
        <v>366</v>
      </c>
      <c r="H344" s="13" t="s">
        <v>41</v>
      </c>
      <c r="I344" s="65">
        <v>83</v>
      </c>
      <c r="J344" s="65">
        <v>0</v>
      </c>
      <c r="K344" s="65" t="s">
        <v>486</v>
      </c>
      <c r="L344" s="65" t="s">
        <v>486</v>
      </c>
      <c r="M344" s="65" t="s">
        <v>486</v>
      </c>
      <c r="N344" s="65" t="s">
        <v>486</v>
      </c>
      <c r="O344" s="65" t="s">
        <v>486</v>
      </c>
      <c r="P344" s="65" t="s">
        <v>486</v>
      </c>
      <c r="Q344" s="65">
        <v>80370</v>
      </c>
      <c r="R344" s="65">
        <v>4</v>
      </c>
      <c r="S344" s="23">
        <f t="shared" si="10"/>
        <v>83</v>
      </c>
      <c r="T344" s="23">
        <f t="shared" si="11"/>
        <v>0</v>
      </c>
    </row>
    <row r="345" spans="1:20" x14ac:dyDescent="0.25">
      <c r="A345" s="115" t="s">
        <v>563</v>
      </c>
      <c r="B345" s="12" t="s">
        <v>564</v>
      </c>
      <c r="C345" s="17">
        <v>42345</v>
      </c>
      <c r="D345" s="10" t="s">
        <v>19</v>
      </c>
      <c r="E345" s="11" t="s">
        <v>24</v>
      </c>
      <c r="F345" s="11" t="s">
        <v>30</v>
      </c>
      <c r="G345" s="13" t="s">
        <v>366</v>
      </c>
      <c r="H345" s="13" t="s">
        <v>41</v>
      </c>
      <c r="I345" s="65">
        <v>2117</v>
      </c>
      <c r="J345" s="65">
        <v>9</v>
      </c>
      <c r="K345" s="65" t="s">
        <v>486</v>
      </c>
      <c r="L345" s="65" t="s">
        <v>486</v>
      </c>
      <c r="M345" s="65" t="s">
        <v>486</v>
      </c>
      <c r="N345" s="65" t="s">
        <v>486</v>
      </c>
      <c r="O345" s="65" t="s">
        <v>486</v>
      </c>
      <c r="P345" s="65" t="s">
        <v>486</v>
      </c>
      <c r="Q345" s="65" t="s">
        <v>486</v>
      </c>
      <c r="R345" s="65" t="s">
        <v>486</v>
      </c>
      <c r="S345" s="23">
        <f t="shared" si="10"/>
        <v>2117</v>
      </c>
      <c r="T345" s="23">
        <f t="shared" si="11"/>
        <v>9</v>
      </c>
    </row>
    <row r="346" spans="1:20" ht="30" x14ac:dyDescent="0.25">
      <c r="A346" s="115" t="s">
        <v>549</v>
      </c>
      <c r="B346" s="12" t="s">
        <v>228</v>
      </c>
      <c r="C346" s="17">
        <v>42345</v>
      </c>
      <c r="D346" s="10" t="s">
        <v>19</v>
      </c>
      <c r="E346" s="11" t="s">
        <v>510</v>
      </c>
      <c r="F346" s="11" t="s">
        <v>596</v>
      </c>
      <c r="G346" s="13" t="s">
        <v>365</v>
      </c>
      <c r="H346" s="13" t="s">
        <v>41</v>
      </c>
      <c r="I346" s="65">
        <v>244</v>
      </c>
      <c r="J346" s="65">
        <v>0</v>
      </c>
      <c r="K346" s="65" t="s">
        <v>486</v>
      </c>
      <c r="L346" s="65" t="s">
        <v>486</v>
      </c>
      <c r="M346" s="65">
        <v>46</v>
      </c>
      <c r="N346" s="65">
        <v>0</v>
      </c>
      <c r="O346" s="65" t="s">
        <v>486</v>
      </c>
      <c r="P346" s="65" t="s">
        <v>486</v>
      </c>
      <c r="Q346" s="65">
        <v>83125</v>
      </c>
      <c r="R346" s="65">
        <v>6</v>
      </c>
      <c r="S346" s="23">
        <f t="shared" si="10"/>
        <v>290</v>
      </c>
      <c r="T346" s="23">
        <f t="shared" si="11"/>
        <v>0</v>
      </c>
    </row>
    <row r="347" spans="1:20" x14ac:dyDescent="0.25">
      <c r="A347" s="115" t="s">
        <v>565</v>
      </c>
      <c r="B347" s="12" t="s">
        <v>566</v>
      </c>
      <c r="C347" s="17">
        <v>42346</v>
      </c>
      <c r="D347" s="10" t="s">
        <v>19</v>
      </c>
      <c r="E347" s="11" t="s">
        <v>587</v>
      </c>
      <c r="F347" s="11" t="s">
        <v>381</v>
      </c>
      <c r="G347" s="13" t="s">
        <v>365</v>
      </c>
      <c r="H347" s="13" t="s">
        <v>41</v>
      </c>
      <c r="I347" s="65">
        <v>1892</v>
      </c>
      <c r="J347" s="65">
        <v>1</v>
      </c>
      <c r="K347" s="65" t="s">
        <v>486</v>
      </c>
      <c r="L347" s="65" t="s">
        <v>486</v>
      </c>
      <c r="M347" s="65" t="s">
        <v>486</v>
      </c>
      <c r="N347" s="65" t="s">
        <v>486</v>
      </c>
      <c r="O347" s="65" t="s">
        <v>486</v>
      </c>
      <c r="P347" s="65" t="s">
        <v>486</v>
      </c>
      <c r="Q347" s="65" t="s">
        <v>486</v>
      </c>
      <c r="R347" s="65" t="s">
        <v>486</v>
      </c>
      <c r="S347" s="23">
        <f t="shared" si="10"/>
        <v>1892</v>
      </c>
      <c r="T347" s="23">
        <f t="shared" si="11"/>
        <v>1</v>
      </c>
    </row>
    <row r="348" spans="1:20" x14ac:dyDescent="0.25">
      <c r="A348" s="115" t="s">
        <v>567</v>
      </c>
      <c r="B348" s="12" t="s">
        <v>568</v>
      </c>
      <c r="C348" s="17">
        <v>42346</v>
      </c>
      <c r="D348" s="10" t="s">
        <v>19</v>
      </c>
      <c r="E348" s="11" t="s">
        <v>24</v>
      </c>
      <c r="F348" s="11" t="s">
        <v>329</v>
      </c>
      <c r="G348" s="13" t="s">
        <v>365</v>
      </c>
      <c r="H348" s="13" t="s">
        <v>41</v>
      </c>
      <c r="I348" s="65">
        <v>1794</v>
      </c>
      <c r="J348" s="65">
        <v>1</v>
      </c>
      <c r="K348" s="65" t="s">
        <v>486</v>
      </c>
      <c r="L348" s="65" t="s">
        <v>486</v>
      </c>
      <c r="M348" s="65" t="s">
        <v>486</v>
      </c>
      <c r="N348" s="65" t="s">
        <v>486</v>
      </c>
      <c r="O348" s="65" t="s">
        <v>486</v>
      </c>
      <c r="P348" s="65" t="s">
        <v>486</v>
      </c>
      <c r="Q348" s="65" t="s">
        <v>486</v>
      </c>
      <c r="R348" s="65" t="s">
        <v>486</v>
      </c>
      <c r="S348" s="23">
        <f t="shared" si="10"/>
        <v>1794</v>
      </c>
      <c r="T348" s="23">
        <f t="shared" si="11"/>
        <v>1</v>
      </c>
    </row>
    <row r="349" spans="1:20" x14ac:dyDescent="0.25">
      <c r="A349" s="120" t="s">
        <v>570</v>
      </c>
      <c r="B349" s="12" t="s">
        <v>228</v>
      </c>
      <c r="C349" s="17">
        <v>42347</v>
      </c>
      <c r="D349" s="10" t="s">
        <v>19</v>
      </c>
      <c r="E349" s="11" t="s">
        <v>24</v>
      </c>
      <c r="F349" s="11" t="s">
        <v>597</v>
      </c>
      <c r="G349" s="13" t="s">
        <v>365</v>
      </c>
      <c r="H349" s="13" t="s">
        <v>36</v>
      </c>
      <c r="I349" s="65">
        <v>326</v>
      </c>
      <c r="J349" s="65">
        <v>1</v>
      </c>
      <c r="K349" s="65" t="s">
        <v>486</v>
      </c>
      <c r="L349" s="65" t="s">
        <v>486</v>
      </c>
      <c r="M349" s="65" t="s">
        <v>486</v>
      </c>
      <c r="N349" s="65" t="s">
        <v>486</v>
      </c>
      <c r="O349" s="65" t="s">
        <v>486</v>
      </c>
      <c r="P349" s="65" t="s">
        <v>486</v>
      </c>
      <c r="Q349" s="65">
        <v>82457</v>
      </c>
      <c r="R349" s="65">
        <v>6</v>
      </c>
      <c r="S349" s="23">
        <f t="shared" si="10"/>
        <v>326</v>
      </c>
      <c r="T349" s="23">
        <f t="shared" si="11"/>
        <v>1</v>
      </c>
    </row>
    <row r="350" spans="1:20" ht="30" x14ac:dyDescent="0.25">
      <c r="A350" s="117" t="s">
        <v>571</v>
      </c>
      <c r="B350" s="29" t="s">
        <v>229</v>
      </c>
      <c r="C350" s="17">
        <v>42348</v>
      </c>
      <c r="D350" s="10" t="s">
        <v>19</v>
      </c>
      <c r="E350" s="11" t="s">
        <v>515</v>
      </c>
      <c r="F350" s="11" t="s">
        <v>383</v>
      </c>
      <c r="G350" s="13" t="s">
        <v>365</v>
      </c>
      <c r="H350" s="13" t="s">
        <v>41</v>
      </c>
      <c r="I350" s="65">
        <v>1016</v>
      </c>
      <c r="J350" s="65">
        <v>1</v>
      </c>
      <c r="K350" s="65" t="s">
        <v>486</v>
      </c>
      <c r="L350" s="65" t="s">
        <v>486</v>
      </c>
      <c r="M350" s="65" t="s">
        <v>486</v>
      </c>
      <c r="N350" s="65" t="s">
        <v>486</v>
      </c>
      <c r="O350" s="65" t="s">
        <v>486</v>
      </c>
      <c r="P350" s="65" t="s">
        <v>486</v>
      </c>
      <c r="Q350" s="65" t="s">
        <v>486</v>
      </c>
      <c r="R350" s="65" t="s">
        <v>486</v>
      </c>
      <c r="S350" s="23">
        <f t="shared" si="10"/>
        <v>1016</v>
      </c>
      <c r="T350" s="23">
        <f t="shared" si="11"/>
        <v>1</v>
      </c>
    </row>
    <row r="351" spans="1:20" x14ac:dyDescent="0.25">
      <c r="A351" s="115" t="s">
        <v>572</v>
      </c>
      <c r="B351" s="12" t="s">
        <v>573</v>
      </c>
      <c r="C351" s="17">
        <v>42349</v>
      </c>
      <c r="D351" s="10" t="s">
        <v>19</v>
      </c>
      <c r="E351" s="11" t="s">
        <v>587</v>
      </c>
      <c r="F351" s="11" t="s">
        <v>27</v>
      </c>
      <c r="G351" s="13" t="s">
        <v>366</v>
      </c>
      <c r="H351" s="13" t="s">
        <v>40</v>
      </c>
      <c r="I351" s="65">
        <v>1636</v>
      </c>
      <c r="J351" s="65">
        <v>13</v>
      </c>
      <c r="K351" s="65" t="s">
        <v>486</v>
      </c>
      <c r="L351" s="65" t="s">
        <v>486</v>
      </c>
      <c r="M351" s="65">
        <v>52</v>
      </c>
      <c r="N351" s="65">
        <v>0</v>
      </c>
      <c r="O351" s="65">
        <v>209</v>
      </c>
      <c r="P351" s="65">
        <v>0</v>
      </c>
      <c r="Q351" s="65">
        <v>80955</v>
      </c>
      <c r="R351" s="65">
        <v>2</v>
      </c>
      <c r="S351" s="23">
        <f t="shared" si="10"/>
        <v>1897</v>
      </c>
      <c r="T351" s="23">
        <f t="shared" si="11"/>
        <v>13</v>
      </c>
    </row>
    <row r="352" spans="1:20" x14ac:dyDescent="0.25">
      <c r="A352" s="115" t="s">
        <v>574</v>
      </c>
      <c r="B352" s="12" t="s">
        <v>569</v>
      </c>
      <c r="C352" s="118">
        <v>42351</v>
      </c>
      <c r="D352" s="10"/>
      <c r="E352" s="11" t="s">
        <v>24</v>
      </c>
      <c r="F352" s="11" t="s">
        <v>361</v>
      </c>
      <c r="G352" s="13" t="s">
        <v>365</v>
      </c>
      <c r="H352" s="13" t="s">
        <v>36</v>
      </c>
      <c r="I352" s="65">
        <v>41</v>
      </c>
      <c r="J352" s="65">
        <v>0</v>
      </c>
      <c r="K352" s="65" t="s">
        <v>486</v>
      </c>
      <c r="L352" s="65" t="s">
        <v>486</v>
      </c>
      <c r="M352" s="65" t="s">
        <v>486</v>
      </c>
      <c r="N352" s="65" t="s">
        <v>486</v>
      </c>
      <c r="O352" s="65" t="s">
        <v>486</v>
      </c>
      <c r="P352" s="65" t="s">
        <v>486</v>
      </c>
      <c r="Q352" s="65">
        <v>81447</v>
      </c>
      <c r="R352" s="65">
        <v>9</v>
      </c>
      <c r="S352" s="23">
        <f t="shared" si="10"/>
        <v>41</v>
      </c>
      <c r="T352" s="23">
        <f t="shared" si="11"/>
        <v>0</v>
      </c>
    </row>
    <row r="353" spans="1:20" x14ac:dyDescent="0.25">
      <c r="A353" s="115" t="s">
        <v>576</v>
      </c>
      <c r="B353" s="12" t="s">
        <v>562</v>
      </c>
      <c r="C353" s="30">
        <v>42352</v>
      </c>
      <c r="D353" s="10"/>
      <c r="E353" s="11" t="s">
        <v>24</v>
      </c>
      <c r="F353" s="11" t="s">
        <v>31</v>
      </c>
      <c r="G353" s="13" t="s">
        <v>365</v>
      </c>
      <c r="H353" s="13" t="s">
        <v>36</v>
      </c>
      <c r="I353" s="65">
        <v>36</v>
      </c>
      <c r="J353" s="65">
        <v>0</v>
      </c>
      <c r="K353" s="65" t="s">
        <v>486</v>
      </c>
      <c r="L353" s="65" t="s">
        <v>486</v>
      </c>
      <c r="M353" s="65" t="s">
        <v>486</v>
      </c>
      <c r="N353" s="65" t="s">
        <v>486</v>
      </c>
      <c r="O353" s="65" t="s">
        <v>486</v>
      </c>
      <c r="P353" s="65" t="s">
        <v>486</v>
      </c>
      <c r="Q353" s="65">
        <v>14016</v>
      </c>
      <c r="R353" s="65">
        <v>0</v>
      </c>
      <c r="S353" s="23">
        <f t="shared" si="10"/>
        <v>36</v>
      </c>
      <c r="T353" s="23">
        <f t="shared" si="11"/>
        <v>0</v>
      </c>
    </row>
    <row r="354" spans="1:20" ht="45" x14ac:dyDescent="0.25">
      <c r="A354" s="115" t="s">
        <v>577</v>
      </c>
      <c r="B354" s="12" t="s">
        <v>239</v>
      </c>
      <c r="C354" s="17">
        <v>42353</v>
      </c>
      <c r="D354" s="10" t="s">
        <v>21</v>
      </c>
      <c r="E354" s="11" t="s">
        <v>361</v>
      </c>
      <c r="F354" s="11" t="s">
        <v>598</v>
      </c>
      <c r="G354" s="13" t="s">
        <v>366</v>
      </c>
      <c r="H354" s="13" t="s">
        <v>38</v>
      </c>
      <c r="I354" s="65">
        <v>3542</v>
      </c>
      <c r="J354" s="65">
        <v>16</v>
      </c>
      <c r="K354" s="65" t="s">
        <v>486</v>
      </c>
      <c r="L354" s="65" t="s">
        <v>486</v>
      </c>
      <c r="M354" s="65">
        <v>285</v>
      </c>
      <c r="N354" s="65">
        <v>0</v>
      </c>
      <c r="O354" s="65">
        <v>1684</v>
      </c>
      <c r="P354" s="65">
        <v>0</v>
      </c>
      <c r="Q354" s="65" t="s">
        <v>486</v>
      </c>
      <c r="R354" s="65" t="s">
        <v>486</v>
      </c>
      <c r="S354" s="23">
        <f t="shared" si="10"/>
        <v>5511</v>
      </c>
      <c r="T354" s="23">
        <f t="shared" si="11"/>
        <v>16</v>
      </c>
    </row>
    <row r="355" spans="1:20" ht="30" x14ac:dyDescent="0.25">
      <c r="A355" s="115" t="s">
        <v>579</v>
      </c>
      <c r="B355" s="113" t="s">
        <v>578</v>
      </c>
      <c r="C355" s="17">
        <v>42353</v>
      </c>
      <c r="D355" s="10" t="s">
        <v>19</v>
      </c>
      <c r="E355" s="11" t="s">
        <v>402</v>
      </c>
      <c r="F355" s="11" t="s">
        <v>599</v>
      </c>
      <c r="G355" s="13" t="s">
        <v>365</v>
      </c>
      <c r="H355" s="13" t="s">
        <v>37</v>
      </c>
      <c r="I355" s="65">
        <v>1095</v>
      </c>
      <c r="J355" s="65">
        <v>10</v>
      </c>
      <c r="K355" s="65">
        <v>2424</v>
      </c>
      <c r="L355" s="65">
        <v>0</v>
      </c>
      <c r="M355" s="65">
        <v>81</v>
      </c>
      <c r="N355" s="65">
        <v>0</v>
      </c>
      <c r="O355" s="65">
        <v>529</v>
      </c>
      <c r="P355" s="65">
        <v>0</v>
      </c>
      <c r="Q355" s="65">
        <v>81853</v>
      </c>
      <c r="R355" s="65">
        <v>6</v>
      </c>
      <c r="S355" s="23">
        <f t="shared" si="10"/>
        <v>4129</v>
      </c>
      <c r="T355" s="23">
        <f t="shared" si="11"/>
        <v>10</v>
      </c>
    </row>
    <row r="356" spans="1:20" ht="30" x14ac:dyDescent="0.25">
      <c r="A356" s="115" t="s">
        <v>580</v>
      </c>
      <c r="B356" s="29" t="s">
        <v>237</v>
      </c>
      <c r="C356" s="17">
        <v>42354</v>
      </c>
      <c r="D356" s="10" t="s">
        <v>19</v>
      </c>
      <c r="E356" s="11" t="s">
        <v>361</v>
      </c>
      <c r="F356" s="11" t="s">
        <v>600</v>
      </c>
      <c r="G356" s="13" t="s">
        <v>366</v>
      </c>
      <c r="H356" s="13" t="s">
        <v>41</v>
      </c>
      <c r="I356" s="65">
        <v>1629</v>
      </c>
      <c r="J356" s="65">
        <v>4</v>
      </c>
      <c r="K356" s="65" t="s">
        <v>486</v>
      </c>
      <c r="L356" s="65" t="s">
        <v>486</v>
      </c>
      <c r="M356" s="65">
        <v>86</v>
      </c>
      <c r="N356" s="65">
        <v>0</v>
      </c>
      <c r="O356" s="65" t="s">
        <v>486</v>
      </c>
      <c r="P356" s="65" t="s">
        <v>486</v>
      </c>
      <c r="Q356" s="65">
        <v>84108</v>
      </c>
      <c r="R356" s="65">
        <v>2</v>
      </c>
      <c r="S356" s="23">
        <f t="shared" si="10"/>
        <v>1715</v>
      </c>
      <c r="T356" s="23">
        <f t="shared" si="11"/>
        <v>4</v>
      </c>
    </row>
    <row r="357" spans="1:20" ht="30" x14ac:dyDescent="0.25">
      <c r="A357" s="115" t="s">
        <v>581</v>
      </c>
      <c r="B357" s="12" t="s">
        <v>239</v>
      </c>
      <c r="C357" s="17">
        <v>42355</v>
      </c>
      <c r="D357" s="10"/>
      <c r="E357" s="11" t="s">
        <v>602</v>
      </c>
      <c r="F357" s="11" t="s">
        <v>601</v>
      </c>
      <c r="G357" s="13" t="s">
        <v>366</v>
      </c>
      <c r="H357" s="13" t="s">
        <v>40</v>
      </c>
      <c r="I357" s="65">
        <v>1532</v>
      </c>
      <c r="J357" s="65">
        <v>7</v>
      </c>
      <c r="K357" s="65" t="s">
        <v>486</v>
      </c>
      <c r="L357" s="65" t="s">
        <v>486</v>
      </c>
      <c r="M357" s="65" t="s">
        <v>486</v>
      </c>
      <c r="N357" s="65" t="s">
        <v>486</v>
      </c>
      <c r="O357" s="65">
        <v>556</v>
      </c>
      <c r="P357" s="65">
        <v>0</v>
      </c>
      <c r="Q357" s="65" t="s">
        <v>486</v>
      </c>
      <c r="R357" s="65" t="s">
        <v>486</v>
      </c>
      <c r="S357" s="23">
        <f t="shared" si="10"/>
        <v>2088</v>
      </c>
      <c r="T357" s="23">
        <f t="shared" si="11"/>
        <v>7</v>
      </c>
    </row>
    <row r="358" spans="1:20" x14ac:dyDescent="0.25">
      <c r="A358" s="115" t="s">
        <v>583</v>
      </c>
      <c r="B358" s="12" t="s">
        <v>223</v>
      </c>
      <c r="C358" s="17">
        <v>42361</v>
      </c>
      <c r="D358" s="10"/>
      <c r="E358" s="11" t="s">
        <v>361</v>
      </c>
      <c r="F358" s="11" t="s">
        <v>27</v>
      </c>
      <c r="G358" s="13" t="s">
        <v>366</v>
      </c>
      <c r="H358" s="13" t="s">
        <v>38</v>
      </c>
      <c r="I358" s="65">
        <v>1381</v>
      </c>
      <c r="J358" s="65">
        <v>13</v>
      </c>
      <c r="K358" s="65" t="s">
        <v>486</v>
      </c>
      <c r="L358" s="65" t="s">
        <v>486</v>
      </c>
      <c r="M358" s="65" t="s">
        <v>486</v>
      </c>
      <c r="N358" s="65" t="s">
        <v>486</v>
      </c>
      <c r="O358" s="65" t="s">
        <v>486</v>
      </c>
      <c r="P358" s="65" t="s">
        <v>486</v>
      </c>
      <c r="Q358" s="65" t="s">
        <v>486</v>
      </c>
      <c r="R358" s="65" t="s">
        <v>486</v>
      </c>
      <c r="S358" s="23">
        <f t="shared" si="10"/>
        <v>1381</v>
      </c>
      <c r="T358" s="23">
        <f t="shared" si="11"/>
        <v>13</v>
      </c>
    </row>
    <row r="359" spans="1:20" x14ac:dyDescent="0.25">
      <c r="A359" s="115" t="s">
        <v>582</v>
      </c>
      <c r="B359" s="12" t="s">
        <v>560</v>
      </c>
      <c r="C359" s="17">
        <v>42361</v>
      </c>
      <c r="D359" s="10" t="s">
        <v>19</v>
      </c>
      <c r="E359" s="11" t="s">
        <v>24</v>
      </c>
      <c r="F359" s="11" t="s">
        <v>29</v>
      </c>
      <c r="G359" s="13" t="s">
        <v>365</v>
      </c>
      <c r="H359" s="13" t="s">
        <v>37</v>
      </c>
      <c r="I359" s="65">
        <v>1682</v>
      </c>
      <c r="J359" s="65">
        <v>11</v>
      </c>
      <c r="K359" s="65" t="s">
        <v>486</v>
      </c>
      <c r="L359" s="65" t="s">
        <v>486</v>
      </c>
      <c r="M359" s="65" t="s">
        <v>486</v>
      </c>
      <c r="N359" s="65" t="s">
        <v>486</v>
      </c>
      <c r="O359" s="65" t="s">
        <v>486</v>
      </c>
      <c r="P359" s="65" t="s">
        <v>486</v>
      </c>
      <c r="Q359" s="65" t="s">
        <v>486</v>
      </c>
      <c r="R359" s="65" t="s">
        <v>486</v>
      </c>
      <c r="S359" s="23">
        <f t="shared" si="10"/>
        <v>1682</v>
      </c>
      <c r="T359" s="23">
        <f t="shared" si="11"/>
        <v>11</v>
      </c>
    </row>
    <row r="360" spans="1:20" x14ac:dyDescent="0.25">
      <c r="A360" s="11"/>
      <c r="B360" s="12"/>
      <c r="C360" s="17"/>
      <c r="D360" s="10"/>
      <c r="E360" s="11"/>
      <c r="F360" s="11"/>
      <c r="G360" s="13"/>
      <c r="H360" s="13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23">
        <f t="shared" si="10"/>
        <v>0</v>
      </c>
      <c r="T360" s="23">
        <f t="shared" si="11"/>
        <v>0</v>
      </c>
    </row>
    <row r="361" spans="1:20" x14ac:dyDescent="0.25">
      <c r="A361" s="11"/>
      <c r="B361" s="12"/>
      <c r="C361" s="17"/>
      <c r="D361" s="10"/>
      <c r="E361" s="11"/>
      <c r="F361" s="11"/>
      <c r="G361" s="13"/>
      <c r="H361" s="13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23">
        <f t="shared" si="10"/>
        <v>0</v>
      </c>
      <c r="T361" s="23">
        <f t="shared" si="11"/>
        <v>0</v>
      </c>
    </row>
    <row r="362" spans="1:20" x14ac:dyDescent="0.25">
      <c r="A362" s="11"/>
      <c r="B362" s="12"/>
      <c r="C362" s="17"/>
      <c r="D362" s="10"/>
      <c r="E362" s="11"/>
      <c r="F362" s="11"/>
      <c r="G362" s="13"/>
      <c r="H362" s="13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23">
        <f t="shared" si="10"/>
        <v>0</v>
      </c>
      <c r="T362" s="23">
        <f t="shared" si="11"/>
        <v>0</v>
      </c>
    </row>
    <row r="363" spans="1:20" x14ac:dyDescent="0.25">
      <c r="A363" s="11"/>
      <c r="B363" s="12"/>
      <c r="C363" s="17"/>
      <c r="D363" s="10"/>
      <c r="E363" s="11"/>
      <c r="F363" s="11"/>
      <c r="G363" s="13"/>
      <c r="H363" s="13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23">
        <f t="shared" si="10"/>
        <v>0</v>
      </c>
      <c r="T363" s="23">
        <f t="shared" si="11"/>
        <v>0</v>
      </c>
    </row>
    <row r="364" spans="1:20" x14ac:dyDescent="0.25">
      <c r="A364" s="11"/>
      <c r="B364" s="12"/>
      <c r="C364" s="17"/>
      <c r="D364" s="10"/>
      <c r="E364" s="11"/>
      <c r="F364" s="11"/>
      <c r="G364" s="13"/>
      <c r="H364" s="13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23">
        <f t="shared" si="10"/>
        <v>0</v>
      </c>
      <c r="T364" s="23">
        <f t="shared" si="11"/>
        <v>0</v>
      </c>
    </row>
    <row r="365" spans="1:20" x14ac:dyDescent="0.25">
      <c r="A365" s="11"/>
      <c r="B365" s="12"/>
      <c r="C365" s="17"/>
      <c r="D365" s="10"/>
      <c r="E365" s="11"/>
      <c r="F365" s="11"/>
      <c r="G365" s="13"/>
      <c r="H365" s="13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23">
        <f t="shared" si="10"/>
        <v>0</v>
      </c>
      <c r="T365" s="23">
        <f t="shared" si="11"/>
        <v>0</v>
      </c>
    </row>
    <row r="366" spans="1:20" x14ac:dyDescent="0.25">
      <c r="A366" s="11"/>
      <c r="B366" s="12"/>
      <c r="C366" s="17"/>
      <c r="D366" s="10"/>
      <c r="E366" s="11"/>
      <c r="F366" s="11"/>
      <c r="G366" s="13"/>
      <c r="H366" s="13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23">
        <f t="shared" si="10"/>
        <v>0</v>
      </c>
      <c r="T366" s="23">
        <f t="shared" si="11"/>
        <v>0</v>
      </c>
    </row>
    <row r="367" spans="1:20" x14ac:dyDescent="0.25">
      <c r="A367" s="11"/>
      <c r="B367" s="12"/>
      <c r="C367" s="17"/>
      <c r="D367" s="10"/>
      <c r="E367" s="11"/>
      <c r="F367" s="11"/>
      <c r="G367" s="13"/>
      <c r="H367" s="13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23">
        <f t="shared" si="10"/>
        <v>0</v>
      </c>
      <c r="T367" s="23">
        <f t="shared" si="11"/>
        <v>0</v>
      </c>
    </row>
    <row r="368" spans="1:20" x14ac:dyDescent="0.25">
      <c r="A368" s="11"/>
      <c r="B368" s="12"/>
      <c r="C368" s="17"/>
      <c r="D368" s="10"/>
      <c r="E368" s="11"/>
      <c r="F368" s="11"/>
      <c r="G368" s="13"/>
      <c r="H368" s="13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23">
        <f t="shared" si="10"/>
        <v>0</v>
      </c>
      <c r="T368" s="23">
        <f t="shared" si="11"/>
        <v>0</v>
      </c>
    </row>
    <row r="369" spans="1:20" x14ac:dyDescent="0.25">
      <c r="A369" s="11"/>
      <c r="B369" s="12"/>
      <c r="C369" s="17"/>
      <c r="D369" s="10"/>
      <c r="E369" s="11"/>
      <c r="F369" s="11"/>
      <c r="G369" s="13"/>
      <c r="H369" s="13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23">
        <f t="shared" si="10"/>
        <v>0</v>
      </c>
      <c r="T369" s="23">
        <f t="shared" si="11"/>
        <v>0</v>
      </c>
    </row>
    <row r="370" spans="1:20" x14ac:dyDescent="0.25">
      <c r="A370" s="11"/>
      <c r="B370" s="12"/>
      <c r="C370" s="17"/>
      <c r="D370" s="10"/>
      <c r="E370" s="11"/>
      <c r="F370" s="11"/>
      <c r="G370" s="13"/>
      <c r="H370" s="13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23">
        <f t="shared" si="10"/>
        <v>0</v>
      </c>
      <c r="T370" s="23">
        <f t="shared" si="11"/>
        <v>0</v>
      </c>
    </row>
    <row r="371" spans="1:20" x14ac:dyDescent="0.25">
      <c r="A371" s="11"/>
      <c r="B371" s="12"/>
      <c r="C371" s="17"/>
      <c r="D371" s="10"/>
      <c r="E371" s="11"/>
      <c r="F371" s="11"/>
      <c r="G371" s="13"/>
      <c r="H371" s="13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23">
        <f t="shared" si="10"/>
        <v>0</v>
      </c>
      <c r="T371" s="23">
        <f t="shared" si="11"/>
        <v>0</v>
      </c>
    </row>
    <row r="372" spans="1:20" x14ac:dyDescent="0.25">
      <c r="A372" s="11"/>
      <c r="B372" s="12"/>
      <c r="C372" s="17"/>
      <c r="D372" s="10"/>
      <c r="E372" s="11"/>
      <c r="F372" s="11"/>
      <c r="G372" s="13"/>
      <c r="H372" s="13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23">
        <f t="shared" si="10"/>
        <v>0</v>
      </c>
      <c r="T372" s="23">
        <f t="shared" si="11"/>
        <v>0</v>
      </c>
    </row>
    <row r="373" spans="1:20" x14ac:dyDescent="0.25">
      <c r="A373" s="11"/>
      <c r="B373" s="12"/>
      <c r="C373" s="17"/>
      <c r="D373" s="10"/>
      <c r="E373" s="11"/>
      <c r="F373" s="11"/>
      <c r="G373" s="13"/>
      <c r="H373" s="13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23">
        <f t="shared" si="10"/>
        <v>0</v>
      </c>
      <c r="T373" s="23">
        <f t="shared" si="11"/>
        <v>0</v>
      </c>
    </row>
    <row r="374" spans="1:20" x14ac:dyDescent="0.25">
      <c r="A374" s="11"/>
      <c r="B374" s="12"/>
      <c r="C374" s="17"/>
      <c r="D374" s="10"/>
      <c r="E374" s="11"/>
      <c r="F374" s="11"/>
      <c r="G374" s="13"/>
      <c r="H374" s="13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23">
        <f t="shared" si="10"/>
        <v>0</v>
      </c>
      <c r="T374" s="23">
        <f t="shared" si="11"/>
        <v>0</v>
      </c>
    </row>
    <row r="375" spans="1:20" x14ac:dyDescent="0.25">
      <c r="A375" s="11"/>
      <c r="B375" s="12"/>
      <c r="C375" s="17"/>
      <c r="D375" s="10"/>
      <c r="E375" s="11"/>
      <c r="F375" s="11"/>
      <c r="G375" s="13"/>
      <c r="H375" s="13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23">
        <f t="shared" si="10"/>
        <v>0</v>
      </c>
      <c r="T375" s="23">
        <f t="shared" si="11"/>
        <v>0</v>
      </c>
    </row>
    <row r="376" spans="1:20" x14ac:dyDescent="0.25">
      <c r="A376" s="11"/>
      <c r="B376" s="12"/>
      <c r="C376" s="17"/>
      <c r="D376" s="10"/>
      <c r="E376" s="11"/>
      <c r="F376" s="11"/>
      <c r="G376" s="13"/>
      <c r="H376" s="13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23">
        <f t="shared" si="10"/>
        <v>0</v>
      </c>
      <c r="T376" s="23">
        <f t="shared" si="11"/>
        <v>0</v>
      </c>
    </row>
    <row r="377" spans="1:20" x14ac:dyDescent="0.25">
      <c r="A377" s="11"/>
      <c r="B377" s="12"/>
      <c r="C377" s="17"/>
      <c r="D377" s="10"/>
      <c r="E377" s="11"/>
      <c r="F377" s="11"/>
      <c r="G377" s="13"/>
      <c r="H377" s="13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23">
        <f t="shared" si="10"/>
        <v>0</v>
      </c>
      <c r="T377" s="23">
        <f t="shared" si="11"/>
        <v>0</v>
      </c>
    </row>
    <row r="378" spans="1:20" x14ac:dyDescent="0.25">
      <c r="A378" s="11"/>
      <c r="B378" s="12"/>
      <c r="C378" s="17"/>
      <c r="D378" s="10"/>
      <c r="E378" s="11"/>
      <c r="F378" s="11"/>
      <c r="G378" s="13"/>
      <c r="H378" s="13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23">
        <f t="shared" si="10"/>
        <v>0</v>
      </c>
      <c r="T378" s="23">
        <f t="shared" si="11"/>
        <v>0</v>
      </c>
    </row>
    <row r="379" spans="1:20" x14ac:dyDescent="0.25">
      <c r="A379" s="11"/>
      <c r="B379" s="12"/>
      <c r="C379" s="17"/>
      <c r="D379" s="10"/>
      <c r="E379" s="11"/>
      <c r="F379" s="11"/>
      <c r="G379" s="13"/>
      <c r="H379" s="13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23">
        <f t="shared" si="10"/>
        <v>0</v>
      </c>
      <c r="T379" s="23">
        <f t="shared" si="11"/>
        <v>0</v>
      </c>
    </row>
    <row r="380" spans="1:20" x14ac:dyDescent="0.25">
      <c r="A380" s="11"/>
      <c r="B380" s="12"/>
      <c r="C380" s="17"/>
      <c r="D380" s="10"/>
      <c r="E380" s="11"/>
      <c r="F380" s="11"/>
      <c r="G380" s="13"/>
      <c r="H380" s="13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23">
        <f t="shared" si="10"/>
        <v>0</v>
      </c>
      <c r="T380" s="23">
        <f t="shared" si="11"/>
        <v>0</v>
      </c>
    </row>
    <row r="381" spans="1:20" x14ac:dyDescent="0.25">
      <c r="A381" s="11"/>
      <c r="B381" s="12"/>
      <c r="C381" s="17"/>
      <c r="D381" s="10"/>
      <c r="E381" s="11"/>
      <c r="F381" s="11"/>
      <c r="G381" s="13"/>
      <c r="H381" s="13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23">
        <f t="shared" si="10"/>
        <v>0</v>
      </c>
      <c r="T381" s="23">
        <f t="shared" si="11"/>
        <v>0</v>
      </c>
    </row>
    <row r="382" spans="1:20" x14ac:dyDescent="0.25">
      <c r="A382" s="11"/>
      <c r="B382" s="12"/>
      <c r="C382" s="17"/>
      <c r="D382" s="10"/>
      <c r="E382" s="11"/>
      <c r="F382" s="11"/>
      <c r="G382" s="13"/>
      <c r="H382" s="13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23">
        <f t="shared" si="10"/>
        <v>0</v>
      </c>
      <c r="T382" s="23">
        <f t="shared" si="11"/>
        <v>0</v>
      </c>
    </row>
    <row r="383" spans="1:20" x14ac:dyDescent="0.25">
      <c r="A383" s="11"/>
      <c r="B383" s="12"/>
      <c r="C383" s="17"/>
      <c r="D383" s="10"/>
      <c r="E383" s="11"/>
      <c r="F383" s="11"/>
      <c r="G383" s="13"/>
      <c r="H383" s="13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23">
        <f t="shared" si="10"/>
        <v>0</v>
      </c>
      <c r="T383" s="23">
        <f t="shared" si="11"/>
        <v>0</v>
      </c>
    </row>
    <row r="384" spans="1:20" x14ac:dyDescent="0.25">
      <c r="A384" s="11"/>
      <c r="B384" s="12"/>
      <c r="C384" s="17"/>
      <c r="D384" s="10"/>
      <c r="E384" s="11"/>
      <c r="F384" s="11"/>
      <c r="G384" s="13"/>
      <c r="H384" s="13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23">
        <f t="shared" si="10"/>
        <v>0</v>
      </c>
      <c r="T384" s="23">
        <f t="shared" si="11"/>
        <v>0</v>
      </c>
    </row>
    <row r="385" spans="1:20" x14ac:dyDescent="0.25">
      <c r="A385" s="11"/>
      <c r="B385" s="12"/>
      <c r="C385" s="17"/>
      <c r="D385" s="10"/>
      <c r="E385" s="11"/>
      <c r="F385" s="11"/>
      <c r="G385" s="13"/>
      <c r="H385" s="13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23">
        <f t="shared" si="10"/>
        <v>0</v>
      </c>
      <c r="T385" s="23">
        <f t="shared" si="11"/>
        <v>0</v>
      </c>
    </row>
    <row r="386" spans="1:20" x14ac:dyDescent="0.25">
      <c r="A386" s="11"/>
      <c r="B386" s="12"/>
      <c r="C386" s="17"/>
      <c r="D386" s="10"/>
      <c r="E386" s="11"/>
      <c r="F386" s="11"/>
      <c r="G386" s="13"/>
      <c r="H386" s="13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23">
        <f t="shared" si="10"/>
        <v>0</v>
      </c>
      <c r="T386" s="23">
        <f t="shared" si="11"/>
        <v>0</v>
      </c>
    </row>
    <row r="387" spans="1:20" x14ac:dyDescent="0.25">
      <c r="A387" s="11"/>
      <c r="B387" s="12"/>
      <c r="C387" s="17"/>
      <c r="D387" s="10"/>
      <c r="E387" s="11"/>
      <c r="F387" s="11"/>
      <c r="G387" s="13"/>
      <c r="H387" s="13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23">
        <f t="shared" si="10"/>
        <v>0</v>
      </c>
      <c r="T387" s="23">
        <f t="shared" si="11"/>
        <v>0</v>
      </c>
    </row>
    <row r="388" spans="1:20" x14ac:dyDescent="0.25">
      <c r="A388" s="11"/>
      <c r="B388" s="12"/>
      <c r="C388" s="17"/>
      <c r="D388" s="10"/>
      <c r="E388" s="11"/>
      <c r="F388" s="11"/>
      <c r="G388" s="13"/>
      <c r="H388" s="13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23">
        <f t="shared" si="10"/>
        <v>0</v>
      </c>
      <c r="T388" s="23">
        <f t="shared" si="11"/>
        <v>0</v>
      </c>
    </row>
    <row r="389" spans="1:20" x14ac:dyDescent="0.25">
      <c r="A389" s="11"/>
      <c r="B389" s="12"/>
      <c r="C389" s="17"/>
      <c r="D389" s="10"/>
      <c r="E389" s="11"/>
      <c r="F389" s="11"/>
      <c r="G389" s="13"/>
      <c r="H389" s="13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23">
        <f t="shared" si="10"/>
        <v>0</v>
      </c>
      <c r="T389" s="23">
        <f t="shared" si="11"/>
        <v>0</v>
      </c>
    </row>
    <row r="390" spans="1:20" x14ac:dyDescent="0.25">
      <c r="A390" s="11"/>
      <c r="B390" s="12"/>
      <c r="C390" s="17"/>
      <c r="D390" s="10"/>
      <c r="E390" s="11"/>
      <c r="F390" s="11"/>
      <c r="G390" s="13"/>
      <c r="H390" s="13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23">
        <f t="shared" ref="S390:S453" si="12">SUM(I390,K390,M390,O390)</f>
        <v>0</v>
      </c>
      <c r="T390" s="23">
        <f t="shared" ref="T390:T453" si="13">SUM(J390,L390,N390,P390)</f>
        <v>0</v>
      </c>
    </row>
    <row r="391" spans="1:20" x14ac:dyDescent="0.25">
      <c r="A391" s="11"/>
      <c r="B391" s="12"/>
      <c r="C391" s="17"/>
      <c r="D391" s="10"/>
      <c r="E391" s="11"/>
      <c r="F391" s="11"/>
      <c r="G391" s="13"/>
      <c r="H391" s="13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23">
        <f t="shared" si="12"/>
        <v>0</v>
      </c>
      <c r="T391" s="23">
        <f t="shared" si="13"/>
        <v>0</v>
      </c>
    </row>
    <row r="392" spans="1:20" x14ac:dyDescent="0.25">
      <c r="A392" s="11"/>
      <c r="B392" s="12"/>
      <c r="C392" s="17"/>
      <c r="D392" s="10"/>
      <c r="E392" s="11"/>
      <c r="F392" s="11"/>
      <c r="G392" s="13"/>
      <c r="H392" s="13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23">
        <f t="shared" si="12"/>
        <v>0</v>
      </c>
      <c r="T392" s="23">
        <f t="shared" si="13"/>
        <v>0</v>
      </c>
    </row>
    <row r="393" spans="1:20" x14ac:dyDescent="0.25">
      <c r="A393" s="11"/>
      <c r="B393" s="12"/>
      <c r="C393" s="17"/>
      <c r="D393" s="10"/>
      <c r="E393" s="11"/>
      <c r="F393" s="11"/>
      <c r="G393" s="13"/>
      <c r="H393" s="13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23">
        <f t="shared" si="12"/>
        <v>0</v>
      </c>
      <c r="T393" s="23">
        <f t="shared" si="13"/>
        <v>0</v>
      </c>
    </row>
    <row r="394" spans="1:20" x14ac:dyDescent="0.25">
      <c r="A394" s="11"/>
      <c r="B394" s="12"/>
      <c r="C394" s="17"/>
      <c r="D394" s="10"/>
      <c r="E394" s="11"/>
      <c r="F394" s="11"/>
      <c r="G394" s="13"/>
      <c r="H394" s="13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23">
        <f t="shared" si="12"/>
        <v>0</v>
      </c>
      <c r="T394" s="23">
        <f t="shared" si="13"/>
        <v>0</v>
      </c>
    </row>
    <row r="395" spans="1:20" x14ac:dyDescent="0.25">
      <c r="A395" s="11"/>
      <c r="B395" s="12"/>
      <c r="C395" s="17"/>
      <c r="D395" s="10"/>
      <c r="E395" s="11"/>
      <c r="F395" s="11"/>
      <c r="G395" s="13"/>
      <c r="H395" s="13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23">
        <f t="shared" si="12"/>
        <v>0</v>
      </c>
      <c r="T395" s="23">
        <f t="shared" si="13"/>
        <v>0</v>
      </c>
    </row>
    <row r="396" spans="1:20" x14ac:dyDescent="0.25">
      <c r="A396" s="11"/>
      <c r="B396" s="12"/>
      <c r="C396" s="17"/>
      <c r="D396" s="10"/>
      <c r="E396" s="11"/>
      <c r="F396" s="11"/>
      <c r="G396" s="13"/>
      <c r="H396" s="13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23">
        <f t="shared" si="12"/>
        <v>0</v>
      </c>
      <c r="T396" s="23">
        <f t="shared" si="13"/>
        <v>0</v>
      </c>
    </row>
    <row r="397" spans="1:20" x14ac:dyDescent="0.25">
      <c r="A397" s="11"/>
      <c r="B397" s="12"/>
      <c r="C397" s="17"/>
      <c r="D397" s="10"/>
      <c r="E397" s="11"/>
      <c r="F397" s="11"/>
      <c r="G397" s="13"/>
      <c r="H397" s="13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23">
        <f t="shared" si="12"/>
        <v>0</v>
      </c>
      <c r="T397" s="23">
        <f t="shared" si="13"/>
        <v>0</v>
      </c>
    </row>
    <row r="398" spans="1:20" x14ac:dyDescent="0.25">
      <c r="A398" s="11"/>
      <c r="B398" s="12"/>
      <c r="C398" s="17"/>
      <c r="D398" s="10"/>
      <c r="E398" s="11"/>
      <c r="F398" s="11"/>
      <c r="G398" s="13"/>
      <c r="H398" s="13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23">
        <f t="shared" si="12"/>
        <v>0</v>
      </c>
      <c r="T398" s="23">
        <f t="shared" si="13"/>
        <v>0</v>
      </c>
    </row>
    <row r="399" spans="1:20" x14ac:dyDescent="0.25">
      <c r="A399" s="11"/>
      <c r="B399" s="12"/>
      <c r="C399" s="17"/>
      <c r="D399" s="10"/>
      <c r="E399" s="11"/>
      <c r="F399" s="11"/>
      <c r="G399" s="13"/>
      <c r="H399" s="13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23">
        <f t="shared" si="12"/>
        <v>0</v>
      </c>
      <c r="T399" s="23">
        <f t="shared" si="13"/>
        <v>0</v>
      </c>
    </row>
    <row r="400" spans="1:20" x14ac:dyDescent="0.25">
      <c r="A400" s="11"/>
      <c r="B400" s="12"/>
      <c r="C400" s="17"/>
      <c r="D400" s="10"/>
      <c r="E400" s="11"/>
      <c r="F400" s="11"/>
      <c r="G400" s="13"/>
      <c r="H400" s="13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23">
        <f t="shared" si="12"/>
        <v>0</v>
      </c>
      <c r="T400" s="23">
        <f t="shared" si="13"/>
        <v>0</v>
      </c>
    </row>
    <row r="401" spans="1:20" x14ac:dyDescent="0.25">
      <c r="A401" s="11"/>
      <c r="B401" s="12"/>
      <c r="C401" s="17"/>
      <c r="D401" s="10"/>
      <c r="E401" s="11"/>
      <c r="F401" s="11"/>
      <c r="G401" s="13"/>
      <c r="H401" s="13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23">
        <f t="shared" si="12"/>
        <v>0</v>
      </c>
      <c r="T401" s="23">
        <f t="shared" si="13"/>
        <v>0</v>
      </c>
    </row>
    <row r="402" spans="1:20" x14ac:dyDescent="0.25">
      <c r="A402" s="11"/>
      <c r="B402" s="12"/>
      <c r="C402" s="17"/>
      <c r="D402" s="10"/>
      <c r="E402" s="11"/>
      <c r="F402" s="11"/>
      <c r="G402" s="13"/>
      <c r="H402" s="13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23">
        <f t="shared" si="12"/>
        <v>0</v>
      </c>
      <c r="T402" s="23">
        <f t="shared" si="13"/>
        <v>0</v>
      </c>
    </row>
    <row r="403" spans="1:20" x14ac:dyDescent="0.25">
      <c r="A403" s="11"/>
      <c r="B403" s="12"/>
      <c r="C403" s="17"/>
      <c r="D403" s="10"/>
      <c r="E403" s="11"/>
      <c r="F403" s="11"/>
      <c r="G403" s="13"/>
      <c r="H403" s="13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23">
        <f t="shared" si="12"/>
        <v>0</v>
      </c>
      <c r="T403" s="23">
        <f t="shared" si="13"/>
        <v>0</v>
      </c>
    </row>
    <row r="404" spans="1:20" x14ac:dyDescent="0.25">
      <c r="A404" s="11"/>
      <c r="B404" s="12"/>
      <c r="C404" s="17"/>
      <c r="D404" s="10"/>
      <c r="E404" s="11"/>
      <c r="F404" s="11"/>
      <c r="G404" s="13"/>
      <c r="H404" s="13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23">
        <f t="shared" si="12"/>
        <v>0</v>
      </c>
      <c r="T404" s="23">
        <f t="shared" si="13"/>
        <v>0</v>
      </c>
    </row>
    <row r="405" spans="1:20" x14ac:dyDescent="0.25">
      <c r="A405" s="11"/>
      <c r="B405" s="12"/>
      <c r="C405" s="17"/>
      <c r="D405" s="10"/>
      <c r="E405" s="11"/>
      <c r="F405" s="11"/>
      <c r="G405" s="13"/>
      <c r="H405" s="13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23">
        <f t="shared" si="12"/>
        <v>0</v>
      </c>
      <c r="T405" s="23">
        <f t="shared" si="13"/>
        <v>0</v>
      </c>
    </row>
    <row r="406" spans="1:20" x14ac:dyDescent="0.25">
      <c r="A406" s="11"/>
      <c r="B406" s="12"/>
      <c r="C406" s="17"/>
      <c r="D406" s="10"/>
      <c r="E406" s="11"/>
      <c r="F406" s="11"/>
      <c r="G406" s="13"/>
      <c r="H406" s="13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23">
        <f t="shared" si="12"/>
        <v>0</v>
      </c>
      <c r="T406" s="23">
        <f t="shared" si="13"/>
        <v>0</v>
      </c>
    </row>
    <row r="407" spans="1:20" x14ac:dyDescent="0.25">
      <c r="A407" s="11"/>
      <c r="B407" s="12"/>
      <c r="C407" s="17"/>
      <c r="D407" s="10"/>
      <c r="E407" s="11"/>
      <c r="F407" s="11"/>
      <c r="G407" s="13"/>
      <c r="H407" s="13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23">
        <f t="shared" si="12"/>
        <v>0</v>
      </c>
      <c r="T407" s="23">
        <f t="shared" si="13"/>
        <v>0</v>
      </c>
    </row>
    <row r="408" spans="1:20" x14ac:dyDescent="0.25">
      <c r="A408" s="11"/>
      <c r="B408" s="12"/>
      <c r="C408" s="17"/>
      <c r="D408" s="10"/>
      <c r="E408" s="11"/>
      <c r="F408" s="11"/>
      <c r="G408" s="13"/>
      <c r="H408" s="13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23">
        <f t="shared" si="12"/>
        <v>0</v>
      </c>
      <c r="T408" s="23">
        <f t="shared" si="13"/>
        <v>0</v>
      </c>
    </row>
    <row r="409" spans="1:20" x14ac:dyDescent="0.25">
      <c r="A409" s="11"/>
      <c r="B409" s="12"/>
      <c r="C409" s="17"/>
      <c r="D409" s="10"/>
      <c r="E409" s="11"/>
      <c r="F409" s="11"/>
      <c r="G409" s="13"/>
      <c r="H409" s="13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23">
        <f t="shared" si="12"/>
        <v>0</v>
      </c>
      <c r="T409" s="23">
        <f t="shared" si="13"/>
        <v>0</v>
      </c>
    </row>
    <row r="410" spans="1:20" x14ac:dyDescent="0.25">
      <c r="A410" s="11"/>
      <c r="B410" s="12"/>
      <c r="C410" s="17"/>
      <c r="D410" s="10"/>
      <c r="E410" s="11"/>
      <c r="F410" s="11"/>
      <c r="G410" s="13"/>
      <c r="H410" s="13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23">
        <f t="shared" si="12"/>
        <v>0</v>
      </c>
      <c r="T410" s="23">
        <f t="shared" si="13"/>
        <v>0</v>
      </c>
    </row>
    <row r="411" spans="1:20" x14ac:dyDescent="0.25">
      <c r="A411" s="11"/>
      <c r="B411" s="12"/>
      <c r="C411" s="17"/>
      <c r="D411" s="10"/>
      <c r="E411" s="11"/>
      <c r="F411" s="11"/>
      <c r="G411" s="13"/>
      <c r="H411" s="13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23">
        <f t="shared" si="12"/>
        <v>0</v>
      </c>
      <c r="T411" s="23">
        <f t="shared" si="13"/>
        <v>0</v>
      </c>
    </row>
    <row r="412" spans="1:20" x14ac:dyDescent="0.25">
      <c r="A412" s="11"/>
      <c r="B412" s="12"/>
      <c r="C412" s="17"/>
      <c r="D412" s="10"/>
      <c r="E412" s="11"/>
      <c r="F412" s="11"/>
      <c r="G412" s="13"/>
      <c r="H412" s="13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23">
        <f t="shared" si="12"/>
        <v>0</v>
      </c>
      <c r="T412" s="23">
        <f t="shared" si="13"/>
        <v>0</v>
      </c>
    </row>
    <row r="413" spans="1:20" x14ac:dyDescent="0.25">
      <c r="A413" s="11"/>
      <c r="B413" s="12"/>
      <c r="C413" s="17"/>
      <c r="D413" s="10"/>
      <c r="E413" s="11"/>
      <c r="F413" s="11"/>
      <c r="G413" s="13"/>
      <c r="H413" s="13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23">
        <f t="shared" si="12"/>
        <v>0</v>
      </c>
      <c r="T413" s="23">
        <f t="shared" si="13"/>
        <v>0</v>
      </c>
    </row>
    <row r="414" spans="1:20" x14ac:dyDescent="0.25">
      <c r="A414" s="11"/>
      <c r="B414" s="12"/>
      <c r="C414" s="17"/>
      <c r="D414" s="10"/>
      <c r="E414" s="11"/>
      <c r="F414" s="11"/>
      <c r="G414" s="13"/>
      <c r="H414" s="13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23">
        <f t="shared" si="12"/>
        <v>0</v>
      </c>
      <c r="T414" s="23">
        <f t="shared" si="13"/>
        <v>0</v>
      </c>
    </row>
    <row r="415" spans="1:20" x14ac:dyDescent="0.25">
      <c r="A415" s="11"/>
      <c r="B415" s="12"/>
      <c r="C415" s="17"/>
      <c r="D415" s="10"/>
      <c r="E415" s="11"/>
      <c r="F415" s="11"/>
      <c r="G415" s="13"/>
      <c r="H415" s="13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23">
        <f t="shared" si="12"/>
        <v>0</v>
      </c>
      <c r="T415" s="23">
        <f t="shared" si="13"/>
        <v>0</v>
      </c>
    </row>
    <row r="416" spans="1:20" x14ac:dyDescent="0.25">
      <c r="A416" s="11"/>
      <c r="B416" s="12"/>
      <c r="C416" s="17"/>
      <c r="D416" s="10"/>
      <c r="E416" s="11"/>
      <c r="F416" s="11"/>
      <c r="G416" s="13"/>
      <c r="H416" s="13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23">
        <f t="shared" si="12"/>
        <v>0</v>
      </c>
      <c r="T416" s="23">
        <f t="shared" si="13"/>
        <v>0</v>
      </c>
    </row>
    <row r="417" spans="1:20" x14ac:dyDescent="0.25">
      <c r="A417" s="11"/>
      <c r="B417" s="12"/>
      <c r="C417" s="17"/>
      <c r="D417" s="10"/>
      <c r="E417" s="11"/>
      <c r="F417" s="11"/>
      <c r="G417" s="13"/>
      <c r="H417" s="13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23">
        <f t="shared" si="12"/>
        <v>0</v>
      </c>
      <c r="T417" s="23">
        <f t="shared" si="13"/>
        <v>0</v>
      </c>
    </row>
    <row r="418" spans="1:20" x14ac:dyDescent="0.25">
      <c r="A418" s="11"/>
      <c r="B418" s="12"/>
      <c r="C418" s="17"/>
      <c r="D418" s="10"/>
      <c r="E418" s="11"/>
      <c r="F418" s="11"/>
      <c r="G418" s="13"/>
      <c r="H418" s="13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23">
        <f t="shared" si="12"/>
        <v>0</v>
      </c>
      <c r="T418" s="23">
        <f t="shared" si="13"/>
        <v>0</v>
      </c>
    </row>
    <row r="419" spans="1:20" x14ac:dyDescent="0.25">
      <c r="A419" s="11"/>
      <c r="B419" s="12"/>
      <c r="C419" s="17"/>
      <c r="D419" s="10"/>
      <c r="E419" s="11"/>
      <c r="F419" s="11"/>
      <c r="G419" s="13"/>
      <c r="H419" s="13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23">
        <f t="shared" si="12"/>
        <v>0</v>
      </c>
      <c r="T419" s="23">
        <f t="shared" si="13"/>
        <v>0</v>
      </c>
    </row>
    <row r="420" spans="1:20" x14ac:dyDescent="0.25">
      <c r="A420" s="11"/>
      <c r="B420" s="12"/>
      <c r="C420" s="17"/>
      <c r="D420" s="10"/>
      <c r="E420" s="11"/>
      <c r="F420" s="11"/>
      <c r="G420" s="13"/>
      <c r="H420" s="13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23">
        <f t="shared" si="12"/>
        <v>0</v>
      </c>
      <c r="T420" s="23">
        <f t="shared" si="13"/>
        <v>0</v>
      </c>
    </row>
    <row r="421" spans="1:20" x14ac:dyDescent="0.25">
      <c r="A421" s="11"/>
      <c r="B421" s="12"/>
      <c r="C421" s="17"/>
      <c r="D421" s="10"/>
      <c r="E421" s="11"/>
      <c r="F421" s="11"/>
      <c r="G421" s="13"/>
      <c r="H421" s="13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23">
        <f t="shared" si="12"/>
        <v>0</v>
      </c>
      <c r="T421" s="23">
        <f t="shared" si="13"/>
        <v>0</v>
      </c>
    </row>
    <row r="422" spans="1:20" x14ac:dyDescent="0.25">
      <c r="A422" s="11"/>
      <c r="B422" s="12"/>
      <c r="C422" s="17"/>
      <c r="D422" s="10"/>
      <c r="E422" s="11"/>
      <c r="F422" s="11"/>
      <c r="G422" s="13"/>
      <c r="H422" s="13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23">
        <f t="shared" si="12"/>
        <v>0</v>
      </c>
      <c r="T422" s="23">
        <f t="shared" si="13"/>
        <v>0</v>
      </c>
    </row>
    <row r="423" spans="1:20" x14ac:dyDescent="0.25">
      <c r="A423" s="11"/>
      <c r="B423" s="12"/>
      <c r="C423" s="17"/>
      <c r="D423" s="10"/>
      <c r="E423" s="11"/>
      <c r="F423" s="11"/>
      <c r="G423" s="13"/>
      <c r="H423" s="13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23">
        <f t="shared" si="12"/>
        <v>0</v>
      </c>
      <c r="T423" s="23">
        <f t="shared" si="13"/>
        <v>0</v>
      </c>
    </row>
    <row r="424" spans="1:20" x14ac:dyDescent="0.25">
      <c r="A424" s="11"/>
      <c r="B424" s="12"/>
      <c r="C424" s="17"/>
      <c r="D424" s="10"/>
      <c r="E424" s="11"/>
      <c r="F424" s="11"/>
      <c r="G424" s="13"/>
      <c r="H424" s="13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23">
        <f t="shared" si="12"/>
        <v>0</v>
      </c>
      <c r="T424" s="23">
        <f t="shared" si="13"/>
        <v>0</v>
      </c>
    </row>
    <row r="425" spans="1:20" x14ac:dyDescent="0.25">
      <c r="A425" s="11"/>
      <c r="B425" s="12"/>
      <c r="C425" s="17"/>
      <c r="D425" s="10"/>
      <c r="E425" s="11"/>
      <c r="F425" s="11"/>
      <c r="G425" s="13"/>
      <c r="H425" s="13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23">
        <f t="shared" si="12"/>
        <v>0</v>
      </c>
      <c r="T425" s="23">
        <f t="shared" si="13"/>
        <v>0</v>
      </c>
    </row>
    <row r="426" spans="1:20" x14ac:dyDescent="0.25">
      <c r="A426" s="11"/>
      <c r="B426" s="12"/>
      <c r="C426" s="17"/>
      <c r="D426" s="10"/>
      <c r="E426" s="11"/>
      <c r="F426" s="11"/>
      <c r="G426" s="13"/>
      <c r="H426" s="13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23">
        <f t="shared" si="12"/>
        <v>0</v>
      </c>
      <c r="T426" s="23">
        <f t="shared" si="13"/>
        <v>0</v>
      </c>
    </row>
    <row r="427" spans="1:20" x14ac:dyDescent="0.25">
      <c r="A427" s="11"/>
      <c r="B427" s="12"/>
      <c r="C427" s="17"/>
      <c r="D427" s="10"/>
      <c r="E427" s="11"/>
      <c r="F427" s="11"/>
      <c r="G427" s="13"/>
      <c r="H427" s="13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23">
        <f t="shared" si="12"/>
        <v>0</v>
      </c>
      <c r="T427" s="23">
        <f t="shared" si="13"/>
        <v>0</v>
      </c>
    </row>
    <row r="428" spans="1:20" x14ac:dyDescent="0.25">
      <c r="A428" s="11"/>
      <c r="B428" s="12"/>
      <c r="C428" s="17"/>
      <c r="D428" s="10"/>
      <c r="E428" s="11"/>
      <c r="F428" s="11"/>
      <c r="G428" s="13"/>
      <c r="H428" s="13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23">
        <f t="shared" si="12"/>
        <v>0</v>
      </c>
      <c r="T428" s="23">
        <f t="shared" si="13"/>
        <v>0</v>
      </c>
    </row>
    <row r="429" spans="1:20" x14ac:dyDescent="0.25">
      <c r="A429" s="11"/>
      <c r="B429" s="12"/>
      <c r="C429" s="17"/>
      <c r="D429" s="10"/>
      <c r="E429" s="11"/>
      <c r="F429" s="11"/>
      <c r="G429" s="13"/>
      <c r="H429" s="13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23">
        <f t="shared" si="12"/>
        <v>0</v>
      </c>
      <c r="T429" s="23">
        <f t="shared" si="13"/>
        <v>0</v>
      </c>
    </row>
    <row r="430" spans="1:20" x14ac:dyDescent="0.25">
      <c r="A430" s="11"/>
      <c r="B430" s="12"/>
      <c r="C430" s="17"/>
      <c r="D430" s="10"/>
      <c r="E430" s="11"/>
      <c r="F430" s="11"/>
      <c r="G430" s="13"/>
      <c r="H430" s="13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23">
        <f t="shared" si="12"/>
        <v>0</v>
      </c>
      <c r="T430" s="23">
        <f t="shared" si="13"/>
        <v>0</v>
      </c>
    </row>
    <row r="431" spans="1:20" x14ac:dyDescent="0.25">
      <c r="A431" s="11"/>
      <c r="B431" s="12"/>
      <c r="C431" s="17"/>
      <c r="D431" s="10"/>
      <c r="E431" s="11"/>
      <c r="F431" s="11"/>
      <c r="G431" s="13"/>
      <c r="H431" s="13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23">
        <f t="shared" si="12"/>
        <v>0</v>
      </c>
      <c r="T431" s="23">
        <f t="shared" si="13"/>
        <v>0</v>
      </c>
    </row>
    <row r="432" spans="1:20" x14ac:dyDescent="0.25">
      <c r="A432" s="11"/>
      <c r="B432" s="12"/>
      <c r="C432" s="17"/>
      <c r="D432" s="10"/>
      <c r="E432" s="11"/>
      <c r="F432" s="11"/>
      <c r="G432" s="13"/>
      <c r="H432" s="13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23">
        <f t="shared" si="12"/>
        <v>0</v>
      </c>
      <c r="T432" s="23">
        <f t="shared" si="13"/>
        <v>0</v>
      </c>
    </row>
    <row r="433" spans="1:20" x14ac:dyDescent="0.25">
      <c r="A433" s="11"/>
      <c r="B433" s="12"/>
      <c r="C433" s="17"/>
      <c r="D433" s="10"/>
      <c r="E433" s="11"/>
      <c r="F433" s="11"/>
      <c r="G433" s="13"/>
      <c r="H433" s="13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23">
        <f t="shared" si="12"/>
        <v>0</v>
      </c>
      <c r="T433" s="23">
        <f t="shared" si="13"/>
        <v>0</v>
      </c>
    </row>
    <row r="434" spans="1:20" x14ac:dyDescent="0.25">
      <c r="A434" s="11"/>
      <c r="B434" s="12"/>
      <c r="C434" s="17"/>
      <c r="D434" s="10"/>
      <c r="E434" s="11"/>
      <c r="F434" s="11"/>
      <c r="G434" s="13"/>
      <c r="H434" s="13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23">
        <f t="shared" si="12"/>
        <v>0</v>
      </c>
      <c r="T434" s="23">
        <f t="shared" si="13"/>
        <v>0</v>
      </c>
    </row>
    <row r="435" spans="1:20" x14ac:dyDescent="0.25">
      <c r="A435" s="11"/>
      <c r="B435" s="12"/>
      <c r="C435" s="17"/>
      <c r="D435" s="10"/>
      <c r="E435" s="11"/>
      <c r="F435" s="11"/>
      <c r="G435" s="13"/>
      <c r="H435" s="13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23">
        <f t="shared" si="12"/>
        <v>0</v>
      </c>
      <c r="T435" s="23">
        <f t="shared" si="13"/>
        <v>0</v>
      </c>
    </row>
    <row r="436" spans="1:20" x14ac:dyDescent="0.25">
      <c r="A436" s="11"/>
      <c r="B436" s="12"/>
      <c r="C436" s="17"/>
      <c r="D436" s="10"/>
      <c r="E436" s="11"/>
      <c r="F436" s="11"/>
      <c r="G436" s="13"/>
      <c r="H436" s="13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23">
        <f t="shared" si="12"/>
        <v>0</v>
      </c>
      <c r="T436" s="23">
        <f t="shared" si="13"/>
        <v>0</v>
      </c>
    </row>
    <row r="437" spans="1:20" x14ac:dyDescent="0.25">
      <c r="A437" s="11"/>
      <c r="B437" s="12"/>
      <c r="C437" s="17"/>
      <c r="D437" s="10"/>
      <c r="E437" s="11"/>
      <c r="F437" s="11"/>
      <c r="G437" s="13"/>
      <c r="H437" s="13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23">
        <f t="shared" si="12"/>
        <v>0</v>
      </c>
      <c r="T437" s="23">
        <f t="shared" si="13"/>
        <v>0</v>
      </c>
    </row>
    <row r="438" spans="1:20" x14ac:dyDescent="0.25">
      <c r="A438" s="11"/>
      <c r="B438" s="12"/>
      <c r="C438" s="17"/>
      <c r="D438" s="10"/>
      <c r="E438" s="11"/>
      <c r="F438" s="11"/>
      <c r="G438" s="13"/>
      <c r="H438" s="13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23">
        <f t="shared" si="12"/>
        <v>0</v>
      </c>
      <c r="T438" s="23">
        <f t="shared" si="13"/>
        <v>0</v>
      </c>
    </row>
    <row r="439" spans="1:20" x14ac:dyDescent="0.25">
      <c r="A439" s="11"/>
      <c r="B439" s="12"/>
      <c r="C439" s="17"/>
      <c r="D439" s="10"/>
      <c r="E439" s="11"/>
      <c r="F439" s="11"/>
      <c r="G439" s="13"/>
      <c r="H439" s="13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23">
        <f t="shared" si="12"/>
        <v>0</v>
      </c>
      <c r="T439" s="23">
        <f t="shared" si="13"/>
        <v>0</v>
      </c>
    </row>
    <row r="440" spans="1:20" x14ac:dyDescent="0.25">
      <c r="A440" s="11"/>
      <c r="B440" s="12"/>
      <c r="C440" s="17"/>
      <c r="D440" s="10"/>
      <c r="E440" s="11"/>
      <c r="F440" s="11"/>
      <c r="G440" s="13"/>
      <c r="H440" s="13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23">
        <f t="shared" si="12"/>
        <v>0</v>
      </c>
      <c r="T440" s="23">
        <f t="shared" si="13"/>
        <v>0</v>
      </c>
    </row>
    <row r="441" spans="1:20" x14ac:dyDescent="0.25">
      <c r="A441" s="11"/>
      <c r="B441" s="12"/>
      <c r="C441" s="17"/>
      <c r="D441" s="10"/>
      <c r="E441" s="11"/>
      <c r="F441" s="11"/>
      <c r="G441" s="13"/>
      <c r="H441" s="13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23">
        <f t="shared" si="12"/>
        <v>0</v>
      </c>
      <c r="T441" s="23">
        <f t="shared" si="13"/>
        <v>0</v>
      </c>
    </row>
    <row r="442" spans="1:20" x14ac:dyDescent="0.25">
      <c r="A442" s="11"/>
      <c r="B442" s="12"/>
      <c r="C442" s="17"/>
      <c r="D442" s="10"/>
      <c r="E442" s="11"/>
      <c r="F442" s="11"/>
      <c r="G442" s="13"/>
      <c r="H442" s="13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23">
        <f t="shared" si="12"/>
        <v>0</v>
      </c>
      <c r="T442" s="23">
        <f t="shared" si="13"/>
        <v>0</v>
      </c>
    </row>
    <row r="443" spans="1:20" x14ac:dyDescent="0.25">
      <c r="A443" s="11"/>
      <c r="B443" s="12"/>
      <c r="C443" s="17"/>
      <c r="D443" s="10"/>
      <c r="E443" s="11"/>
      <c r="F443" s="11"/>
      <c r="G443" s="13"/>
      <c r="H443" s="13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23">
        <f t="shared" si="12"/>
        <v>0</v>
      </c>
      <c r="T443" s="23">
        <f t="shared" si="13"/>
        <v>0</v>
      </c>
    </row>
    <row r="444" spans="1:20" x14ac:dyDescent="0.25">
      <c r="A444" s="11"/>
      <c r="B444" s="12"/>
      <c r="C444" s="17"/>
      <c r="D444" s="10"/>
      <c r="E444" s="11"/>
      <c r="F444" s="11"/>
      <c r="G444" s="13"/>
      <c r="H444" s="13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23">
        <f t="shared" si="12"/>
        <v>0</v>
      </c>
      <c r="T444" s="23">
        <f t="shared" si="13"/>
        <v>0</v>
      </c>
    </row>
    <row r="445" spans="1:20" x14ac:dyDescent="0.25">
      <c r="A445" s="11"/>
      <c r="B445" s="12"/>
      <c r="C445" s="17"/>
      <c r="D445" s="10"/>
      <c r="E445" s="11"/>
      <c r="F445" s="11"/>
      <c r="G445" s="13"/>
      <c r="H445" s="13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23">
        <f t="shared" si="12"/>
        <v>0</v>
      </c>
      <c r="T445" s="23">
        <f t="shared" si="13"/>
        <v>0</v>
      </c>
    </row>
    <row r="446" spans="1:20" x14ac:dyDescent="0.25">
      <c r="A446" s="11"/>
      <c r="B446" s="12"/>
      <c r="C446" s="17"/>
      <c r="D446" s="10"/>
      <c r="E446" s="11"/>
      <c r="F446" s="11"/>
      <c r="G446" s="13"/>
      <c r="H446" s="13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23">
        <f t="shared" si="12"/>
        <v>0</v>
      </c>
      <c r="T446" s="23">
        <f t="shared" si="13"/>
        <v>0</v>
      </c>
    </row>
    <row r="447" spans="1:20" x14ac:dyDescent="0.25">
      <c r="A447" s="11"/>
      <c r="B447" s="12"/>
      <c r="C447" s="17"/>
      <c r="D447" s="10"/>
      <c r="E447" s="11"/>
      <c r="F447" s="11"/>
      <c r="G447" s="13"/>
      <c r="H447" s="13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23">
        <f t="shared" si="12"/>
        <v>0</v>
      </c>
      <c r="T447" s="23">
        <f t="shared" si="13"/>
        <v>0</v>
      </c>
    </row>
    <row r="448" spans="1:20" x14ac:dyDescent="0.25">
      <c r="A448" s="11"/>
      <c r="B448" s="12"/>
      <c r="C448" s="17"/>
      <c r="D448" s="10"/>
      <c r="E448" s="11"/>
      <c r="F448" s="11"/>
      <c r="G448" s="13"/>
      <c r="H448" s="13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23">
        <f t="shared" si="12"/>
        <v>0</v>
      </c>
      <c r="T448" s="23">
        <f t="shared" si="13"/>
        <v>0</v>
      </c>
    </row>
    <row r="449" spans="1:20" x14ac:dyDescent="0.25">
      <c r="A449" s="11"/>
      <c r="B449" s="12"/>
      <c r="C449" s="17"/>
      <c r="D449" s="10"/>
      <c r="E449" s="11"/>
      <c r="F449" s="11"/>
      <c r="G449" s="13"/>
      <c r="H449" s="13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23">
        <f t="shared" si="12"/>
        <v>0</v>
      </c>
      <c r="T449" s="23">
        <f t="shared" si="13"/>
        <v>0</v>
      </c>
    </row>
    <row r="450" spans="1:20" x14ac:dyDescent="0.25">
      <c r="A450" s="11"/>
      <c r="B450" s="12"/>
      <c r="C450" s="17"/>
      <c r="D450" s="10"/>
      <c r="E450" s="11"/>
      <c r="F450" s="11"/>
      <c r="G450" s="13"/>
      <c r="H450" s="13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23">
        <f t="shared" si="12"/>
        <v>0</v>
      </c>
      <c r="T450" s="23">
        <f t="shared" si="13"/>
        <v>0</v>
      </c>
    </row>
    <row r="451" spans="1:20" x14ac:dyDescent="0.25">
      <c r="A451" s="11"/>
      <c r="B451" s="12"/>
      <c r="C451" s="17"/>
      <c r="D451" s="10"/>
      <c r="E451" s="11"/>
      <c r="F451" s="11"/>
      <c r="G451" s="13"/>
      <c r="H451" s="13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23">
        <f t="shared" si="12"/>
        <v>0</v>
      </c>
      <c r="T451" s="23">
        <f t="shared" si="13"/>
        <v>0</v>
      </c>
    </row>
    <row r="452" spans="1:20" x14ac:dyDescent="0.25">
      <c r="A452" s="11"/>
      <c r="B452" s="12"/>
      <c r="C452" s="17"/>
      <c r="D452" s="10"/>
      <c r="E452" s="11"/>
      <c r="F452" s="11"/>
      <c r="G452" s="13"/>
      <c r="H452" s="13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23">
        <f t="shared" si="12"/>
        <v>0</v>
      </c>
      <c r="T452" s="23">
        <f t="shared" si="13"/>
        <v>0</v>
      </c>
    </row>
    <row r="453" spans="1:20" x14ac:dyDescent="0.25">
      <c r="A453" s="11"/>
      <c r="B453" s="12"/>
      <c r="C453" s="17"/>
      <c r="D453" s="10"/>
      <c r="E453" s="11"/>
      <c r="F453" s="11"/>
      <c r="G453" s="13"/>
      <c r="H453" s="13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23">
        <f t="shared" si="12"/>
        <v>0</v>
      </c>
      <c r="T453" s="23">
        <f t="shared" si="13"/>
        <v>0</v>
      </c>
    </row>
    <row r="454" spans="1:20" x14ac:dyDescent="0.25">
      <c r="A454" s="11"/>
      <c r="B454" s="12"/>
      <c r="C454" s="17"/>
      <c r="D454" s="10"/>
      <c r="E454" s="11"/>
      <c r="F454" s="11"/>
      <c r="G454" s="13"/>
      <c r="H454" s="13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23">
        <f t="shared" ref="S454:S517" si="14">SUM(I454,K454,M454,O454)</f>
        <v>0</v>
      </c>
      <c r="T454" s="23">
        <f t="shared" ref="T454:T517" si="15">SUM(J454,L454,N454,P454)</f>
        <v>0</v>
      </c>
    </row>
    <row r="455" spans="1:20" x14ac:dyDescent="0.25">
      <c r="A455" s="11"/>
      <c r="B455" s="12"/>
      <c r="C455" s="17"/>
      <c r="D455" s="10"/>
      <c r="E455" s="11"/>
      <c r="F455" s="11"/>
      <c r="G455" s="13"/>
      <c r="H455" s="13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23">
        <f t="shared" si="14"/>
        <v>0</v>
      </c>
      <c r="T455" s="23">
        <f t="shared" si="15"/>
        <v>0</v>
      </c>
    </row>
    <row r="456" spans="1:20" x14ac:dyDescent="0.25">
      <c r="A456" s="11"/>
      <c r="B456" s="12"/>
      <c r="C456" s="17"/>
      <c r="D456" s="10"/>
      <c r="E456" s="11"/>
      <c r="F456" s="11"/>
      <c r="G456" s="13"/>
      <c r="H456" s="13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23">
        <f t="shared" si="14"/>
        <v>0</v>
      </c>
      <c r="T456" s="23">
        <f t="shared" si="15"/>
        <v>0</v>
      </c>
    </row>
    <row r="457" spans="1:20" x14ac:dyDescent="0.25">
      <c r="A457" s="11"/>
      <c r="B457" s="12"/>
      <c r="C457" s="17"/>
      <c r="D457" s="10"/>
      <c r="E457" s="11"/>
      <c r="F457" s="11"/>
      <c r="G457" s="13"/>
      <c r="H457" s="13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23">
        <f t="shared" si="14"/>
        <v>0</v>
      </c>
      <c r="T457" s="23">
        <f t="shared" si="15"/>
        <v>0</v>
      </c>
    </row>
    <row r="458" spans="1:20" x14ac:dyDescent="0.25">
      <c r="A458" s="11"/>
      <c r="B458" s="12"/>
      <c r="C458" s="17"/>
      <c r="D458" s="10"/>
      <c r="E458" s="11"/>
      <c r="F458" s="11"/>
      <c r="G458" s="13"/>
      <c r="H458" s="13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23">
        <f t="shared" si="14"/>
        <v>0</v>
      </c>
      <c r="T458" s="23">
        <f t="shared" si="15"/>
        <v>0</v>
      </c>
    </row>
    <row r="459" spans="1:20" x14ac:dyDescent="0.25">
      <c r="A459" s="11"/>
      <c r="B459" s="12"/>
      <c r="C459" s="17"/>
      <c r="D459" s="10"/>
      <c r="E459" s="11"/>
      <c r="F459" s="11"/>
      <c r="G459" s="13"/>
      <c r="H459" s="13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23">
        <f t="shared" si="14"/>
        <v>0</v>
      </c>
      <c r="T459" s="23">
        <f t="shared" si="15"/>
        <v>0</v>
      </c>
    </row>
    <row r="460" spans="1:20" x14ac:dyDescent="0.25">
      <c r="A460" s="11"/>
      <c r="B460" s="12"/>
      <c r="C460" s="17"/>
      <c r="D460" s="10"/>
      <c r="E460" s="11"/>
      <c r="F460" s="11"/>
      <c r="G460" s="13"/>
      <c r="H460" s="13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23">
        <f t="shared" si="14"/>
        <v>0</v>
      </c>
      <c r="T460" s="23">
        <f t="shared" si="15"/>
        <v>0</v>
      </c>
    </row>
    <row r="461" spans="1:20" x14ac:dyDescent="0.25">
      <c r="A461" s="11"/>
      <c r="B461" s="12"/>
      <c r="C461" s="17"/>
      <c r="D461" s="10"/>
      <c r="E461" s="11"/>
      <c r="F461" s="11"/>
      <c r="G461" s="13"/>
      <c r="H461" s="13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23">
        <f t="shared" si="14"/>
        <v>0</v>
      </c>
      <c r="T461" s="23">
        <f t="shared" si="15"/>
        <v>0</v>
      </c>
    </row>
    <row r="462" spans="1:20" x14ac:dyDescent="0.25">
      <c r="A462" s="11"/>
      <c r="B462" s="12"/>
      <c r="C462" s="17"/>
      <c r="D462" s="10"/>
      <c r="E462" s="11"/>
      <c r="F462" s="11"/>
      <c r="G462" s="13"/>
      <c r="H462" s="13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23">
        <f t="shared" si="14"/>
        <v>0</v>
      </c>
      <c r="T462" s="23">
        <f t="shared" si="15"/>
        <v>0</v>
      </c>
    </row>
    <row r="463" spans="1:20" x14ac:dyDescent="0.25">
      <c r="A463" s="11"/>
      <c r="B463" s="12"/>
      <c r="C463" s="17"/>
      <c r="D463" s="10"/>
      <c r="E463" s="11"/>
      <c r="F463" s="11"/>
      <c r="G463" s="13"/>
      <c r="H463" s="13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23">
        <f t="shared" si="14"/>
        <v>0</v>
      </c>
      <c r="T463" s="23">
        <f t="shared" si="15"/>
        <v>0</v>
      </c>
    </row>
    <row r="464" spans="1:20" x14ac:dyDescent="0.25">
      <c r="A464" s="11"/>
      <c r="B464" s="12"/>
      <c r="C464" s="17"/>
      <c r="D464" s="10"/>
      <c r="E464" s="11"/>
      <c r="F464" s="11"/>
      <c r="G464" s="13"/>
      <c r="H464" s="13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23">
        <f t="shared" si="14"/>
        <v>0</v>
      </c>
      <c r="T464" s="23">
        <f t="shared" si="15"/>
        <v>0</v>
      </c>
    </row>
    <row r="465" spans="1:20" x14ac:dyDescent="0.25">
      <c r="A465" s="11"/>
      <c r="B465" s="12"/>
      <c r="C465" s="17"/>
      <c r="D465" s="10"/>
      <c r="E465" s="11"/>
      <c r="F465" s="11"/>
      <c r="G465" s="13"/>
      <c r="H465" s="13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23">
        <f t="shared" si="14"/>
        <v>0</v>
      </c>
      <c r="T465" s="23">
        <f t="shared" si="15"/>
        <v>0</v>
      </c>
    </row>
    <row r="466" spans="1:20" x14ac:dyDescent="0.25">
      <c r="A466" s="11"/>
      <c r="B466" s="12"/>
      <c r="C466" s="17"/>
      <c r="D466" s="10"/>
      <c r="E466" s="11"/>
      <c r="F466" s="11"/>
      <c r="G466" s="13"/>
      <c r="H466" s="13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23">
        <f t="shared" si="14"/>
        <v>0</v>
      </c>
      <c r="T466" s="23">
        <f t="shared" si="15"/>
        <v>0</v>
      </c>
    </row>
    <row r="467" spans="1:20" x14ac:dyDescent="0.25">
      <c r="A467" s="11"/>
      <c r="B467" s="12"/>
      <c r="C467" s="17"/>
      <c r="D467" s="10"/>
      <c r="E467" s="11"/>
      <c r="F467" s="11"/>
      <c r="G467" s="13"/>
      <c r="H467" s="13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23">
        <f t="shared" si="14"/>
        <v>0</v>
      </c>
      <c r="T467" s="23">
        <f t="shared" si="15"/>
        <v>0</v>
      </c>
    </row>
    <row r="468" spans="1:20" x14ac:dyDescent="0.25">
      <c r="A468" s="11"/>
      <c r="B468" s="12"/>
      <c r="C468" s="17"/>
      <c r="D468" s="10"/>
      <c r="E468" s="11"/>
      <c r="F468" s="11"/>
      <c r="G468" s="13"/>
      <c r="H468" s="13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23">
        <f t="shared" si="14"/>
        <v>0</v>
      </c>
      <c r="T468" s="23">
        <f t="shared" si="15"/>
        <v>0</v>
      </c>
    </row>
    <row r="469" spans="1:20" x14ac:dyDescent="0.25">
      <c r="A469" s="11"/>
      <c r="B469" s="12"/>
      <c r="C469" s="17"/>
      <c r="D469" s="10"/>
      <c r="E469" s="11"/>
      <c r="F469" s="11"/>
      <c r="G469" s="13"/>
      <c r="H469" s="13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23">
        <f t="shared" si="14"/>
        <v>0</v>
      </c>
      <c r="T469" s="23">
        <f t="shared" si="15"/>
        <v>0</v>
      </c>
    </row>
    <row r="470" spans="1:20" x14ac:dyDescent="0.25">
      <c r="A470" s="11"/>
      <c r="B470" s="12"/>
      <c r="C470" s="17"/>
      <c r="D470" s="10"/>
      <c r="E470" s="11"/>
      <c r="F470" s="11"/>
      <c r="G470" s="13"/>
      <c r="H470" s="13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23">
        <f t="shared" si="14"/>
        <v>0</v>
      </c>
      <c r="T470" s="23">
        <f t="shared" si="15"/>
        <v>0</v>
      </c>
    </row>
    <row r="471" spans="1:20" x14ac:dyDescent="0.25">
      <c r="A471" s="11"/>
      <c r="B471" s="12"/>
      <c r="C471" s="17"/>
      <c r="D471" s="10"/>
      <c r="E471" s="11"/>
      <c r="F471" s="11"/>
      <c r="G471" s="13"/>
      <c r="H471" s="13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23">
        <f t="shared" si="14"/>
        <v>0</v>
      </c>
      <c r="T471" s="23">
        <f t="shared" si="15"/>
        <v>0</v>
      </c>
    </row>
    <row r="472" spans="1:20" x14ac:dyDescent="0.25">
      <c r="A472" s="11"/>
      <c r="B472" s="12"/>
      <c r="C472" s="17"/>
      <c r="D472" s="10"/>
      <c r="E472" s="11"/>
      <c r="F472" s="11"/>
      <c r="G472" s="13"/>
      <c r="H472" s="13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23">
        <f t="shared" si="14"/>
        <v>0</v>
      </c>
      <c r="T472" s="23">
        <f t="shared" si="15"/>
        <v>0</v>
      </c>
    </row>
    <row r="473" spans="1:20" x14ac:dyDescent="0.25">
      <c r="A473" s="11"/>
      <c r="B473" s="12"/>
      <c r="C473" s="17"/>
      <c r="D473" s="10"/>
      <c r="E473" s="11"/>
      <c r="F473" s="11"/>
      <c r="G473" s="13"/>
      <c r="H473" s="13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23">
        <f t="shared" si="14"/>
        <v>0</v>
      </c>
      <c r="T473" s="23">
        <f t="shared" si="15"/>
        <v>0</v>
      </c>
    </row>
    <row r="474" spans="1:20" x14ac:dyDescent="0.25">
      <c r="A474" s="11"/>
      <c r="B474" s="12"/>
      <c r="C474" s="17"/>
      <c r="D474" s="10"/>
      <c r="E474" s="11"/>
      <c r="F474" s="11"/>
      <c r="G474" s="13"/>
      <c r="H474" s="13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23">
        <f t="shared" si="14"/>
        <v>0</v>
      </c>
      <c r="T474" s="23">
        <f t="shared" si="15"/>
        <v>0</v>
      </c>
    </row>
    <row r="475" spans="1:20" x14ac:dyDescent="0.25">
      <c r="A475" s="11"/>
      <c r="B475" s="12"/>
      <c r="C475" s="17"/>
      <c r="D475" s="10"/>
      <c r="E475" s="11"/>
      <c r="F475" s="11"/>
      <c r="G475" s="13"/>
      <c r="H475" s="13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23">
        <f t="shared" si="14"/>
        <v>0</v>
      </c>
      <c r="T475" s="23">
        <f t="shared" si="15"/>
        <v>0</v>
      </c>
    </row>
    <row r="476" spans="1:20" x14ac:dyDescent="0.25">
      <c r="A476" s="11"/>
      <c r="B476" s="12"/>
      <c r="C476" s="17"/>
      <c r="D476" s="10"/>
      <c r="E476" s="11"/>
      <c r="F476" s="11"/>
      <c r="G476" s="13"/>
      <c r="H476" s="13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23">
        <f t="shared" si="14"/>
        <v>0</v>
      </c>
      <c r="T476" s="23">
        <f t="shared" si="15"/>
        <v>0</v>
      </c>
    </row>
    <row r="477" spans="1:20" x14ac:dyDescent="0.25">
      <c r="A477" s="11"/>
      <c r="B477" s="12"/>
      <c r="C477" s="17"/>
      <c r="D477" s="10"/>
      <c r="E477" s="11"/>
      <c r="F477" s="11"/>
      <c r="G477" s="13"/>
      <c r="H477" s="13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23">
        <f t="shared" si="14"/>
        <v>0</v>
      </c>
      <c r="T477" s="23">
        <f t="shared" si="15"/>
        <v>0</v>
      </c>
    </row>
    <row r="478" spans="1:20" x14ac:dyDescent="0.25">
      <c r="A478" s="11"/>
      <c r="B478" s="12"/>
      <c r="C478" s="17"/>
      <c r="D478" s="10"/>
      <c r="E478" s="11"/>
      <c r="F478" s="11"/>
      <c r="G478" s="13"/>
      <c r="H478" s="13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23">
        <f t="shared" si="14"/>
        <v>0</v>
      </c>
      <c r="T478" s="23">
        <f t="shared" si="15"/>
        <v>0</v>
      </c>
    </row>
    <row r="479" spans="1:20" x14ac:dyDescent="0.25">
      <c r="A479" s="11"/>
      <c r="B479" s="12"/>
      <c r="C479" s="17"/>
      <c r="D479" s="10"/>
      <c r="E479" s="11"/>
      <c r="F479" s="11"/>
      <c r="G479" s="13"/>
      <c r="H479" s="13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23">
        <f t="shared" si="14"/>
        <v>0</v>
      </c>
      <c r="T479" s="23">
        <f t="shared" si="15"/>
        <v>0</v>
      </c>
    </row>
    <row r="480" spans="1:20" x14ac:dyDescent="0.25">
      <c r="A480" s="11"/>
      <c r="B480" s="12"/>
      <c r="C480" s="17"/>
      <c r="D480" s="10"/>
      <c r="E480" s="11"/>
      <c r="F480" s="11"/>
      <c r="G480" s="13"/>
      <c r="H480" s="13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23">
        <f t="shared" si="14"/>
        <v>0</v>
      </c>
      <c r="T480" s="23">
        <f t="shared" si="15"/>
        <v>0</v>
      </c>
    </row>
    <row r="481" spans="1:20" x14ac:dyDescent="0.25">
      <c r="A481" s="11"/>
      <c r="B481" s="12"/>
      <c r="C481" s="17"/>
      <c r="D481" s="10"/>
      <c r="E481" s="11"/>
      <c r="F481" s="11"/>
      <c r="G481" s="13"/>
      <c r="H481" s="13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23">
        <f t="shared" si="14"/>
        <v>0</v>
      </c>
      <c r="T481" s="23">
        <f t="shared" si="15"/>
        <v>0</v>
      </c>
    </row>
    <row r="482" spans="1:20" x14ac:dyDescent="0.25">
      <c r="A482" s="11"/>
      <c r="B482" s="12"/>
      <c r="C482" s="17"/>
      <c r="D482" s="10"/>
      <c r="E482" s="11"/>
      <c r="F482" s="11"/>
      <c r="G482" s="13"/>
      <c r="H482" s="13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23">
        <f t="shared" si="14"/>
        <v>0</v>
      </c>
      <c r="T482" s="23">
        <f t="shared" si="15"/>
        <v>0</v>
      </c>
    </row>
    <row r="483" spans="1:20" x14ac:dyDescent="0.25">
      <c r="A483" s="11"/>
      <c r="B483" s="12"/>
      <c r="C483" s="17"/>
      <c r="D483" s="10"/>
      <c r="E483" s="11"/>
      <c r="F483" s="11"/>
      <c r="G483" s="13"/>
      <c r="H483" s="13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23">
        <f t="shared" si="14"/>
        <v>0</v>
      </c>
      <c r="T483" s="23">
        <f t="shared" si="15"/>
        <v>0</v>
      </c>
    </row>
    <row r="484" spans="1:20" x14ac:dyDescent="0.25">
      <c r="A484" s="11"/>
      <c r="B484" s="12"/>
      <c r="C484" s="17"/>
      <c r="D484" s="10"/>
      <c r="E484" s="11"/>
      <c r="F484" s="11"/>
      <c r="G484" s="13"/>
      <c r="H484" s="13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23">
        <f t="shared" si="14"/>
        <v>0</v>
      </c>
      <c r="T484" s="23">
        <f t="shared" si="15"/>
        <v>0</v>
      </c>
    </row>
    <row r="485" spans="1:20" x14ac:dyDescent="0.25">
      <c r="A485" s="11"/>
      <c r="B485" s="12"/>
      <c r="C485" s="17"/>
      <c r="D485" s="10"/>
      <c r="E485" s="11"/>
      <c r="F485" s="11"/>
      <c r="G485" s="13"/>
      <c r="H485" s="13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23">
        <f t="shared" si="14"/>
        <v>0</v>
      </c>
      <c r="T485" s="23">
        <f t="shared" si="15"/>
        <v>0</v>
      </c>
    </row>
    <row r="486" spans="1:20" x14ac:dyDescent="0.25">
      <c r="A486" s="11"/>
      <c r="B486" s="12"/>
      <c r="C486" s="17"/>
      <c r="D486" s="10"/>
      <c r="E486" s="11"/>
      <c r="F486" s="11"/>
      <c r="G486" s="13"/>
      <c r="H486" s="13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23">
        <f t="shared" si="14"/>
        <v>0</v>
      </c>
      <c r="T486" s="23">
        <f t="shared" si="15"/>
        <v>0</v>
      </c>
    </row>
    <row r="487" spans="1:20" x14ac:dyDescent="0.25">
      <c r="A487" s="11"/>
      <c r="B487" s="12"/>
      <c r="C487" s="17"/>
      <c r="D487" s="10"/>
      <c r="E487" s="11"/>
      <c r="F487" s="11"/>
      <c r="G487" s="13"/>
      <c r="H487" s="13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23">
        <f t="shared" si="14"/>
        <v>0</v>
      </c>
      <c r="T487" s="23">
        <f t="shared" si="15"/>
        <v>0</v>
      </c>
    </row>
    <row r="488" spans="1:20" x14ac:dyDescent="0.25">
      <c r="A488" s="11"/>
      <c r="B488" s="12"/>
      <c r="C488" s="17"/>
      <c r="D488" s="10"/>
      <c r="E488" s="11"/>
      <c r="F488" s="11"/>
      <c r="G488" s="13"/>
      <c r="H488" s="13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23">
        <f t="shared" si="14"/>
        <v>0</v>
      </c>
      <c r="T488" s="23">
        <f t="shared" si="15"/>
        <v>0</v>
      </c>
    </row>
    <row r="489" spans="1:20" x14ac:dyDescent="0.25">
      <c r="A489" s="11"/>
      <c r="B489" s="12"/>
      <c r="C489" s="17"/>
      <c r="D489" s="10"/>
      <c r="E489" s="11"/>
      <c r="F489" s="11"/>
      <c r="G489" s="13"/>
      <c r="H489" s="13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23">
        <f t="shared" si="14"/>
        <v>0</v>
      </c>
      <c r="T489" s="23">
        <f t="shared" si="15"/>
        <v>0</v>
      </c>
    </row>
    <row r="490" spans="1:20" x14ac:dyDescent="0.25">
      <c r="A490" s="11"/>
      <c r="B490" s="12"/>
      <c r="C490" s="17"/>
      <c r="D490" s="10"/>
      <c r="E490" s="11"/>
      <c r="F490" s="11"/>
      <c r="G490" s="13"/>
      <c r="H490" s="13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23">
        <f t="shared" si="14"/>
        <v>0</v>
      </c>
      <c r="T490" s="23">
        <f t="shared" si="15"/>
        <v>0</v>
      </c>
    </row>
    <row r="491" spans="1:20" x14ac:dyDescent="0.25">
      <c r="A491" s="11"/>
      <c r="B491" s="12"/>
      <c r="C491" s="17"/>
      <c r="D491" s="10"/>
      <c r="E491" s="11"/>
      <c r="F491" s="11"/>
      <c r="G491" s="13"/>
      <c r="H491" s="13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23">
        <f t="shared" si="14"/>
        <v>0</v>
      </c>
      <c r="T491" s="23">
        <f t="shared" si="15"/>
        <v>0</v>
      </c>
    </row>
    <row r="492" spans="1:20" x14ac:dyDescent="0.25">
      <c r="A492" s="11"/>
      <c r="B492" s="12"/>
      <c r="C492" s="17"/>
      <c r="D492" s="10"/>
      <c r="E492" s="11"/>
      <c r="F492" s="11"/>
      <c r="G492" s="13"/>
      <c r="H492" s="13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23">
        <f t="shared" si="14"/>
        <v>0</v>
      </c>
      <c r="T492" s="23">
        <f t="shared" si="15"/>
        <v>0</v>
      </c>
    </row>
    <row r="493" spans="1:20" x14ac:dyDescent="0.25">
      <c r="A493" s="11"/>
      <c r="B493" s="12"/>
      <c r="C493" s="17"/>
      <c r="D493" s="10"/>
      <c r="E493" s="11"/>
      <c r="F493" s="11"/>
      <c r="G493" s="13"/>
      <c r="H493" s="13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23">
        <f t="shared" si="14"/>
        <v>0</v>
      </c>
      <c r="T493" s="23">
        <f t="shared" si="15"/>
        <v>0</v>
      </c>
    </row>
    <row r="494" spans="1:20" x14ac:dyDescent="0.25">
      <c r="A494" s="11"/>
      <c r="B494" s="12"/>
      <c r="C494" s="17"/>
      <c r="D494" s="10"/>
      <c r="E494" s="11"/>
      <c r="F494" s="11"/>
      <c r="G494" s="13"/>
      <c r="H494" s="13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23">
        <f t="shared" si="14"/>
        <v>0</v>
      </c>
      <c r="T494" s="23">
        <f t="shared" si="15"/>
        <v>0</v>
      </c>
    </row>
    <row r="495" spans="1:20" x14ac:dyDescent="0.25">
      <c r="A495" s="11"/>
      <c r="B495" s="12"/>
      <c r="C495" s="17"/>
      <c r="D495" s="10"/>
      <c r="E495" s="11"/>
      <c r="F495" s="11"/>
      <c r="G495" s="13"/>
      <c r="H495" s="13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23">
        <f t="shared" si="14"/>
        <v>0</v>
      </c>
      <c r="T495" s="23">
        <f t="shared" si="15"/>
        <v>0</v>
      </c>
    </row>
    <row r="496" spans="1:20" x14ac:dyDescent="0.25">
      <c r="A496" s="11"/>
      <c r="B496" s="12"/>
      <c r="C496" s="17"/>
      <c r="D496" s="10"/>
      <c r="E496" s="11"/>
      <c r="F496" s="11"/>
      <c r="G496" s="13"/>
      <c r="H496" s="13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23">
        <f t="shared" si="14"/>
        <v>0</v>
      </c>
      <c r="T496" s="23">
        <f t="shared" si="15"/>
        <v>0</v>
      </c>
    </row>
    <row r="497" spans="1:20" x14ac:dyDescent="0.25">
      <c r="A497" s="11"/>
      <c r="B497" s="12"/>
      <c r="C497" s="17"/>
      <c r="D497" s="10"/>
      <c r="E497" s="11"/>
      <c r="F497" s="11"/>
      <c r="G497" s="13"/>
      <c r="H497" s="13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23">
        <f t="shared" si="14"/>
        <v>0</v>
      </c>
      <c r="T497" s="23">
        <f t="shared" si="15"/>
        <v>0</v>
      </c>
    </row>
    <row r="498" spans="1:20" x14ac:dyDescent="0.25">
      <c r="A498" s="11"/>
      <c r="B498" s="12"/>
      <c r="C498" s="17"/>
      <c r="D498" s="10"/>
      <c r="E498" s="11"/>
      <c r="F498" s="11"/>
      <c r="G498" s="13"/>
      <c r="H498" s="13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23">
        <f t="shared" si="14"/>
        <v>0</v>
      </c>
      <c r="T498" s="23">
        <f t="shared" si="15"/>
        <v>0</v>
      </c>
    </row>
    <row r="499" spans="1:20" x14ac:dyDescent="0.25">
      <c r="A499" s="11"/>
      <c r="B499" s="12"/>
      <c r="C499" s="17"/>
      <c r="D499" s="10"/>
      <c r="E499" s="11"/>
      <c r="F499" s="11"/>
      <c r="G499" s="13"/>
      <c r="H499" s="13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23">
        <f t="shared" si="14"/>
        <v>0</v>
      </c>
      <c r="T499" s="23">
        <f t="shared" si="15"/>
        <v>0</v>
      </c>
    </row>
    <row r="500" spans="1:20" x14ac:dyDescent="0.25">
      <c r="A500" s="11"/>
      <c r="B500" s="12"/>
      <c r="C500" s="17"/>
      <c r="D500" s="10"/>
      <c r="E500" s="11"/>
      <c r="F500" s="11"/>
      <c r="G500" s="13"/>
      <c r="H500" s="13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23">
        <f t="shared" si="14"/>
        <v>0</v>
      </c>
      <c r="T500" s="23">
        <f t="shared" si="15"/>
        <v>0</v>
      </c>
    </row>
    <row r="501" spans="1:20" x14ac:dyDescent="0.25">
      <c r="A501" s="11"/>
      <c r="B501" s="12"/>
      <c r="C501" s="17"/>
      <c r="D501" s="10"/>
      <c r="E501" s="11"/>
      <c r="F501" s="11"/>
      <c r="G501" s="13"/>
      <c r="H501" s="13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23">
        <f t="shared" si="14"/>
        <v>0</v>
      </c>
      <c r="T501" s="23">
        <f t="shared" si="15"/>
        <v>0</v>
      </c>
    </row>
    <row r="502" spans="1:20" x14ac:dyDescent="0.25">
      <c r="A502" s="11"/>
      <c r="B502" s="12"/>
      <c r="C502" s="17"/>
      <c r="D502" s="10"/>
      <c r="E502" s="11"/>
      <c r="F502" s="11"/>
      <c r="G502" s="13"/>
      <c r="H502" s="13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23">
        <f t="shared" si="14"/>
        <v>0</v>
      </c>
      <c r="T502" s="23">
        <f t="shared" si="15"/>
        <v>0</v>
      </c>
    </row>
    <row r="503" spans="1:20" x14ac:dyDescent="0.25">
      <c r="A503" s="11"/>
      <c r="B503" s="12"/>
      <c r="C503" s="17"/>
      <c r="D503" s="10"/>
      <c r="E503" s="11"/>
      <c r="F503" s="11"/>
      <c r="G503" s="13"/>
      <c r="H503" s="13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23">
        <f t="shared" si="14"/>
        <v>0</v>
      </c>
      <c r="T503" s="23">
        <f t="shared" si="15"/>
        <v>0</v>
      </c>
    </row>
    <row r="504" spans="1:20" x14ac:dyDescent="0.25">
      <c r="A504" s="11"/>
      <c r="B504" s="12"/>
      <c r="C504" s="17"/>
      <c r="D504" s="10"/>
      <c r="E504" s="11"/>
      <c r="F504" s="11"/>
      <c r="G504" s="13"/>
      <c r="H504" s="13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23">
        <f t="shared" si="14"/>
        <v>0</v>
      </c>
      <c r="T504" s="23">
        <f t="shared" si="15"/>
        <v>0</v>
      </c>
    </row>
    <row r="505" spans="1:20" x14ac:dyDescent="0.25">
      <c r="A505" s="11"/>
      <c r="B505" s="12"/>
      <c r="C505" s="17"/>
      <c r="D505" s="10"/>
      <c r="E505" s="11"/>
      <c r="F505" s="11"/>
      <c r="G505" s="13"/>
      <c r="H505" s="13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23">
        <f t="shared" si="14"/>
        <v>0</v>
      </c>
      <c r="T505" s="23">
        <f t="shared" si="15"/>
        <v>0</v>
      </c>
    </row>
    <row r="506" spans="1:20" x14ac:dyDescent="0.25">
      <c r="A506" s="11"/>
      <c r="B506" s="12"/>
      <c r="C506" s="17"/>
      <c r="D506" s="10"/>
      <c r="E506" s="11"/>
      <c r="F506" s="11"/>
      <c r="G506" s="13"/>
      <c r="H506" s="13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23">
        <f t="shared" si="14"/>
        <v>0</v>
      </c>
      <c r="T506" s="23">
        <f t="shared" si="15"/>
        <v>0</v>
      </c>
    </row>
    <row r="507" spans="1:20" x14ac:dyDescent="0.25">
      <c r="A507" s="11"/>
      <c r="B507" s="12"/>
      <c r="C507" s="17"/>
      <c r="D507" s="10"/>
      <c r="E507" s="11"/>
      <c r="F507" s="11"/>
      <c r="G507" s="13"/>
      <c r="H507" s="13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23">
        <f t="shared" si="14"/>
        <v>0</v>
      </c>
      <c r="T507" s="23">
        <f t="shared" si="15"/>
        <v>0</v>
      </c>
    </row>
    <row r="508" spans="1:20" x14ac:dyDescent="0.25">
      <c r="A508" s="11"/>
      <c r="B508" s="12"/>
      <c r="C508" s="17"/>
      <c r="D508" s="10"/>
      <c r="E508" s="11"/>
      <c r="F508" s="11"/>
      <c r="G508" s="13"/>
      <c r="H508" s="13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23">
        <f t="shared" si="14"/>
        <v>0</v>
      </c>
      <c r="T508" s="23">
        <f t="shared" si="15"/>
        <v>0</v>
      </c>
    </row>
    <row r="509" spans="1:20" x14ac:dyDescent="0.25">
      <c r="A509" s="11"/>
      <c r="B509" s="12"/>
      <c r="C509" s="17"/>
      <c r="D509" s="10"/>
      <c r="E509" s="11"/>
      <c r="F509" s="11"/>
      <c r="G509" s="13"/>
      <c r="H509" s="13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23">
        <f t="shared" si="14"/>
        <v>0</v>
      </c>
      <c r="T509" s="23">
        <f t="shared" si="15"/>
        <v>0</v>
      </c>
    </row>
    <row r="510" spans="1:20" x14ac:dyDescent="0.25">
      <c r="A510" s="11"/>
      <c r="B510" s="12"/>
      <c r="C510" s="17"/>
      <c r="D510" s="10"/>
      <c r="E510" s="11"/>
      <c r="F510" s="11"/>
      <c r="G510" s="13"/>
      <c r="H510" s="13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23">
        <f t="shared" si="14"/>
        <v>0</v>
      </c>
      <c r="T510" s="23">
        <f t="shared" si="15"/>
        <v>0</v>
      </c>
    </row>
    <row r="511" spans="1:20" x14ac:dyDescent="0.25">
      <c r="A511" s="11"/>
      <c r="B511" s="12"/>
      <c r="C511" s="17"/>
      <c r="D511" s="10"/>
      <c r="E511" s="11"/>
      <c r="F511" s="11"/>
      <c r="G511" s="13"/>
      <c r="H511" s="13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23">
        <f t="shared" si="14"/>
        <v>0</v>
      </c>
      <c r="T511" s="23">
        <f t="shared" si="15"/>
        <v>0</v>
      </c>
    </row>
    <row r="512" spans="1:20" x14ac:dyDescent="0.25">
      <c r="A512" s="11"/>
      <c r="B512" s="12"/>
      <c r="C512" s="17"/>
      <c r="D512" s="10"/>
      <c r="E512" s="11"/>
      <c r="F512" s="11"/>
      <c r="G512" s="13"/>
      <c r="H512" s="13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23">
        <f t="shared" si="14"/>
        <v>0</v>
      </c>
      <c r="T512" s="23">
        <f t="shared" si="15"/>
        <v>0</v>
      </c>
    </row>
    <row r="513" spans="1:20" x14ac:dyDescent="0.25">
      <c r="A513" s="11"/>
      <c r="B513" s="12"/>
      <c r="C513" s="17"/>
      <c r="D513" s="10"/>
      <c r="E513" s="11"/>
      <c r="F513" s="11"/>
      <c r="G513" s="13"/>
      <c r="H513" s="13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23">
        <f t="shared" si="14"/>
        <v>0</v>
      </c>
      <c r="T513" s="23">
        <f t="shared" si="15"/>
        <v>0</v>
      </c>
    </row>
    <row r="514" spans="1:20" x14ac:dyDescent="0.25">
      <c r="A514" s="11"/>
      <c r="B514" s="12"/>
      <c r="C514" s="17"/>
      <c r="D514" s="10"/>
      <c r="E514" s="11"/>
      <c r="F514" s="11"/>
      <c r="G514" s="13"/>
      <c r="H514" s="13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23">
        <f t="shared" si="14"/>
        <v>0</v>
      </c>
      <c r="T514" s="23">
        <f t="shared" si="15"/>
        <v>0</v>
      </c>
    </row>
    <row r="515" spans="1:20" x14ac:dyDescent="0.25">
      <c r="A515" s="11"/>
      <c r="B515" s="12"/>
      <c r="C515" s="17"/>
      <c r="D515" s="10"/>
      <c r="E515" s="11"/>
      <c r="F515" s="11"/>
      <c r="G515" s="13"/>
      <c r="H515" s="13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23">
        <f t="shared" si="14"/>
        <v>0</v>
      </c>
      <c r="T515" s="23">
        <f t="shared" si="15"/>
        <v>0</v>
      </c>
    </row>
    <row r="516" spans="1:20" x14ac:dyDescent="0.25">
      <c r="A516" s="11"/>
      <c r="B516" s="12"/>
      <c r="C516" s="17"/>
      <c r="D516" s="10"/>
      <c r="E516" s="11"/>
      <c r="F516" s="11"/>
      <c r="G516" s="13"/>
      <c r="H516" s="13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23">
        <f t="shared" si="14"/>
        <v>0</v>
      </c>
      <c r="T516" s="23">
        <f t="shared" si="15"/>
        <v>0</v>
      </c>
    </row>
    <row r="517" spans="1:20" x14ac:dyDescent="0.25">
      <c r="A517" s="11"/>
      <c r="B517" s="12"/>
      <c r="C517" s="17"/>
      <c r="D517" s="10"/>
      <c r="E517" s="11"/>
      <c r="F517" s="11"/>
      <c r="G517" s="13"/>
      <c r="H517" s="13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23">
        <f t="shared" si="14"/>
        <v>0</v>
      </c>
      <c r="T517" s="23">
        <f t="shared" si="15"/>
        <v>0</v>
      </c>
    </row>
    <row r="518" spans="1:20" x14ac:dyDescent="0.25">
      <c r="A518" s="11"/>
      <c r="B518" s="12"/>
      <c r="C518" s="17"/>
      <c r="D518" s="10"/>
      <c r="E518" s="11"/>
      <c r="F518" s="11"/>
      <c r="G518" s="13"/>
      <c r="H518" s="13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23">
        <f t="shared" ref="S518:S581" si="16">SUM(I518,K518,M518,O518)</f>
        <v>0</v>
      </c>
      <c r="T518" s="23">
        <f t="shared" ref="T518:T581" si="17">SUM(J518,L518,N518,P518)</f>
        <v>0</v>
      </c>
    </row>
    <row r="519" spans="1:20" x14ac:dyDescent="0.25">
      <c r="A519" s="11"/>
      <c r="B519" s="12"/>
      <c r="C519" s="17"/>
      <c r="D519" s="10"/>
      <c r="E519" s="11"/>
      <c r="F519" s="11"/>
      <c r="G519" s="13"/>
      <c r="H519" s="13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23">
        <f t="shared" si="16"/>
        <v>0</v>
      </c>
      <c r="T519" s="23">
        <f t="shared" si="17"/>
        <v>0</v>
      </c>
    </row>
    <row r="520" spans="1:20" x14ac:dyDescent="0.25">
      <c r="A520" s="11"/>
      <c r="B520" s="12"/>
      <c r="C520" s="17"/>
      <c r="D520" s="10"/>
      <c r="E520" s="11"/>
      <c r="F520" s="11"/>
      <c r="G520" s="13"/>
      <c r="H520" s="13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23">
        <f t="shared" si="16"/>
        <v>0</v>
      </c>
      <c r="T520" s="23">
        <f t="shared" si="17"/>
        <v>0</v>
      </c>
    </row>
    <row r="521" spans="1:20" x14ac:dyDescent="0.25">
      <c r="A521" s="11"/>
      <c r="B521" s="12"/>
      <c r="C521" s="17"/>
      <c r="D521" s="10"/>
      <c r="E521" s="11"/>
      <c r="F521" s="11"/>
      <c r="G521" s="13"/>
      <c r="H521" s="13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23">
        <f t="shared" si="16"/>
        <v>0</v>
      </c>
      <c r="T521" s="23">
        <f t="shared" si="17"/>
        <v>0</v>
      </c>
    </row>
    <row r="522" spans="1:20" x14ac:dyDescent="0.25">
      <c r="A522" s="11"/>
      <c r="B522" s="12"/>
      <c r="C522" s="17"/>
      <c r="D522" s="10"/>
      <c r="E522" s="11"/>
      <c r="F522" s="11"/>
      <c r="G522" s="13"/>
      <c r="H522" s="13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23">
        <f t="shared" si="16"/>
        <v>0</v>
      </c>
      <c r="T522" s="23">
        <f t="shared" si="17"/>
        <v>0</v>
      </c>
    </row>
    <row r="523" spans="1:20" x14ac:dyDescent="0.25">
      <c r="A523" s="11"/>
      <c r="B523" s="12"/>
      <c r="C523" s="17"/>
      <c r="D523" s="10"/>
      <c r="E523" s="11"/>
      <c r="F523" s="11"/>
      <c r="G523" s="13"/>
      <c r="H523" s="13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23">
        <f t="shared" si="16"/>
        <v>0</v>
      </c>
      <c r="T523" s="23">
        <f t="shared" si="17"/>
        <v>0</v>
      </c>
    </row>
    <row r="524" spans="1:20" x14ac:dyDescent="0.25">
      <c r="A524" s="11"/>
      <c r="B524" s="12"/>
      <c r="C524" s="17"/>
      <c r="D524" s="10"/>
      <c r="E524" s="11"/>
      <c r="F524" s="11"/>
      <c r="G524" s="13"/>
      <c r="H524" s="13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23">
        <f t="shared" si="16"/>
        <v>0</v>
      </c>
      <c r="T524" s="23">
        <f t="shared" si="17"/>
        <v>0</v>
      </c>
    </row>
    <row r="525" spans="1:20" x14ac:dyDescent="0.25">
      <c r="A525" s="11"/>
      <c r="B525" s="12"/>
      <c r="C525" s="17"/>
      <c r="D525" s="10"/>
      <c r="E525" s="11"/>
      <c r="F525" s="11"/>
      <c r="G525" s="13"/>
      <c r="H525" s="13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23">
        <f t="shared" si="16"/>
        <v>0</v>
      </c>
      <c r="T525" s="23">
        <f t="shared" si="17"/>
        <v>0</v>
      </c>
    </row>
    <row r="526" spans="1:20" x14ac:dyDescent="0.25">
      <c r="A526" s="11"/>
      <c r="B526" s="12"/>
      <c r="C526" s="17"/>
      <c r="D526" s="10"/>
      <c r="E526" s="11"/>
      <c r="F526" s="11"/>
      <c r="G526" s="13"/>
      <c r="H526" s="13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23">
        <f t="shared" si="16"/>
        <v>0</v>
      </c>
      <c r="T526" s="23">
        <f t="shared" si="17"/>
        <v>0</v>
      </c>
    </row>
    <row r="527" spans="1:20" x14ac:dyDescent="0.25">
      <c r="A527" s="11"/>
      <c r="B527" s="12"/>
      <c r="C527" s="17"/>
      <c r="D527" s="10"/>
      <c r="E527" s="11"/>
      <c r="F527" s="11"/>
      <c r="G527" s="13"/>
      <c r="H527" s="13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23">
        <f t="shared" si="16"/>
        <v>0</v>
      </c>
      <c r="T527" s="23">
        <f t="shared" si="17"/>
        <v>0</v>
      </c>
    </row>
    <row r="528" spans="1:20" x14ac:dyDescent="0.25">
      <c r="A528" s="11"/>
      <c r="B528" s="12"/>
      <c r="C528" s="17"/>
      <c r="D528" s="10"/>
      <c r="E528" s="11"/>
      <c r="F528" s="11"/>
      <c r="G528" s="13"/>
      <c r="H528" s="13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23">
        <f t="shared" si="16"/>
        <v>0</v>
      </c>
      <c r="T528" s="23">
        <f t="shared" si="17"/>
        <v>0</v>
      </c>
    </row>
    <row r="529" spans="1:20" x14ac:dyDescent="0.25">
      <c r="A529" s="11"/>
      <c r="B529" s="12"/>
      <c r="C529" s="17"/>
      <c r="D529" s="10"/>
      <c r="E529" s="11"/>
      <c r="F529" s="11"/>
      <c r="G529" s="13"/>
      <c r="H529" s="13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23">
        <f t="shared" si="16"/>
        <v>0</v>
      </c>
      <c r="T529" s="23">
        <f t="shared" si="17"/>
        <v>0</v>
      </c>
    </row>
    <row r="530" spans="1:20" x14ac:dyDescent="0.25">
      <c r="A530" s="11"/>
      <c r="B530" s="12"/>
      <c r="C530" s="17"/>
      <c r="D530" s="10"/>
      <c r="E530" s="11"/>
      <c r="F530" s="11"/>
      <c r="G530" s="13"/>
      <c r="H530" s="13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23">
        <f t="shared" si="16"/>
        <v>0</v>
      </c>
      <c r="T530" s="23">
        <f t="shared" si="17"/>
        <v>0</v>
      </c>
    </row>
    <row r="531" spans="1:20" x14ac:dyDescent="0.25">
      <c r="A531" s="11"/>
      <c r="B531" s="12"/>
      <c r="C531" s="17"/>
      <c r="D531" s="10"/>
      <c r="E531" s="11"/>
      <c r="F531" s="11"/>
      <c r="G531" s="13"/>
      <c r="H531" s="13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23">
        <f t="shared" si="16"/>
        <v>0</v>
      </c>
      <c r="T531" s="23">
        <f t="shared" si="17"/>
        <v>0</v>
      </c>
    </row>
    <row r="532" spans="1:20" x14ac:dyDescent="0.25">
      <c r="A532" s="11"/>
      <c r="B532" s="12"/>
      <c r="C532" s="17"/>
      <c r="D532" s="10"/>
      <c r="E532" s="11"/>
      <c r="F532" s="11"/>
      <c r="G532" s="13"/>
      <c r="H532" s="13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23">
        <f t="shared" si="16"/>
        <v>0</v>
      </c>
      <c r="T532" s="23">
        <f t="shared" si="17"/>
        <v>0</v>
      </c>
    </row>
    <row r="533" spans="1:20" x14ac:dyDescent="0.25">
      <c r="A533" s="11"/>
      <c r="B533" s="12"/>
      <c r="C533" s="17"/>
      <c r="D533" s="10"/>
      <c r="E533" s="11"/>
      <c r="F533" s="11"/>
      <c r="G533" s="13"/>
      <c r="H533" s="13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23">
        <f t="shared" si="16"/>
        <v>0</v>
      </c>
      <c r="T533" s="23">
        <f t="shared" si="17"/>
        <v>0</v>
      </c>
    </row>
    <row r="534" spans="1:20" x14ac:dyDescent="0.25">
      <c r="A534" s="11"/>
      <c r="B534" s="12"/>
      <c r="C534" s="17"/>
      <c r="D534" s="10"/>
      <c r="E534" s="11"/>
      <c r="F534" s="11"/>
      <c r="G534" s="13"/>
      <c r="H534" s="13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23">
        <f t="shared" si="16"/>
        <v>0</v>
      </c>
      <c r="T534" s="23">
        <f t="shared" si="17"/>
        <v>0</v>
      </c>
    </row>
    <row r="535" spans="1:20" x14ac:dyDescent="0.25">
      <c r="A535" s="11"/>
      <c r="B535" s="12"/>
      <c r="C535" s="17"/>
      <c r="D535" s="10"/>
      <c r="E535" s="11"/>
      <c r="F535" s="11"/>
      <c r="G535" s="13"/>
      <c r="H535" s="13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23">
        <f t="shared" si="16"/>
        <v>0</v>
      </c>
      <c r="T535" s="23">
        <f t="shared" si="17"/>
        <v>0</v>
      </c>
    </row>
    <row r="536" spans="1:20" x14ac:dyDescent="0.25">
      <c r="A536" s="11"/>
      <c r="B536" s="12"/>
      <c r="C536" s="17"/>
      <c r="D536" s="10"/>
      <c r="E536" s="11"/>
      <c r="F536" s="11"/>
      <c r="G536" s="13"/>
      <c r="H536" s="13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23">
        <f t="shared" si="16"/>
        <v>0</v>
      </c>
      <c r="T536" s="23">
        <f t="shared" si="17"/>
        <v>0</v>
      </c>
    </row>
    <row r="537" spans="1:20" x14ac:dyDescent="0.25">
      <c r="A537" s="11"/>
      <c r="B537" s="12"/>
      <c r="C537" s="17"/>
      <c r="D537" s="10"/>
      <c r="E537" s="11"/>
      <c r="F537" s="11"/>
      <c r="G537" s="13"/>
      <c r="H537" s="13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23">
        <f t="shared" si="16"/>
        <v>0</v>
      </c>
      <c r="T537" s="23">
        <f t="shared" si="17"/>
        <v>0</v>
      </c>
    </row>
    <row r="538" spans="1:20" x14ac:dyDescent="0.25">
      <c r="A538" s="11"/>
      <c r="B538" s="12"/>
      <c r="C538" s="17"/>
      <c r="D538" s="10"/>
      <c r="E538" s="11"/>
      <c r="F538" s="11"/>
      <c r="G538" s="13"/>
      <c r="H538" s="13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23">
        <f t="shared" si="16"/>
        <v>0</v>
      </c>
      <c r="T538" s="23">
        <f t="shared" si="17"/>
        <v>0</v>
      </c>
    </row>
    <row r="539" spans="1:20" x14ac:dyDescent="0.25">
      <c r="A539" s="11"/>
      <c r="B539" s="12"/>
      <c r="C539" s="17"/>
      <c r="D539" s="10"/>
      <c r="E539" s="11"/>
      <c r="F539" s="11"/>
      <c r="G539" s="13"/>
      <c r="H539" s="13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23">
        <f t="shared" si="16"/>
        <v>0</v>
      </c>
      <c r="T539" s="23">
        <f t="shared" si="17"/>
        <v>0</v>
      </c>
    </row>
    <row r="540" spans="1:20" x14ac:dyDescent="0.25">
      <c r="A540" s="11"/>
      <c r="B540" s="12"/>
      <c r="C540" s="17"/>
      <c r="D540" s="10"/>
      <c r="E540" s="11"/>
      <c r="F540" s="11"/>
      <c r="G540" s="13"/>
      <c r="H540" s="13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23">
        <f t="shared" si="16"/>
        <v>0</v>
      </c>
      <c r="T540" s="23">
        <f t="shared" si="17"/>
        <v>0</v>
      </c>
    </row>
    <row r="541" spans="1:20" x14ac:dyDescent="0.25">
      <c r="A541" s="11"/>
      <c r="B541" s="12"/>
      <c r="C541" s="17"/>
      <c r="D541" s="10"/>
      <c r="E541" s="11"/>
      <c r="F541" s="11"/>
      <c r="G541" s="13"/>
      <c r="H541" s="13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23">
        <f t="shared" si="16"/>
        <v>0</v>
      </c>
      <c r="T541" s="23">
        <f t="shared" si="17"/>
        <v>0</v>
      </c>
    </row>
    <row r="542" spans="1:20" x14ac:dyDescent="0.25">
      <c r="A542" s="11"/>
      <c r="B542" s="12"/>
      <c r="C542" s="17"/>
      <c r="D542" s="10"/>
      <c r="E542" s="11"/>
      <c r="F542" s="11"/>
      <c r="G542" s="13"/>
      <c r="H542" s="13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23">
        <f t="shared" si="16"/>
        <v>0</v>
      </c>
      <c r="T542" s="23">
        <f t="shared" si="17"/>
        <v>0</v>
      </c>
    </row>
    <row r="543" spans="1:20" x14ac:dyDescent="0.25">
      <c r="A543" s="11"/>
      <c r="B543" s="12"/>
      <c r="C543" s="17"/>
      <c r="D543" s="10"/>
      <c r="E543" s="11"/>
      <c r="F543" s="11"/>
      <c r="G543" s="13"/>
      <c r="H543" s="13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23">
        <f t="shared" si="16"/>
        <v>0</v>
      </c>
      <c r="T543" s="23">
        <f t="shared" si="17"/>
        <v>0</v>
      </c>
    </row>
    <row r="544" spans="1:20" x14ac:dyDescent="0.25">
      <c r="A544" s="11"/>
      <c r="B544" s="12"/>
      <c r="C544" s="17"/>
      <c r="D544" s="10"/>
      <c r="E544" s="11"/>
      <c r="F544" s="11"/>
      <c r="G544" s="13"/>
      <c r="H544" s="13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23">
        <f t="shared" si="16"/>
        <v>0</v>
      </c>
      <c r="T544" s="23">
        <f t="shared" si="17"/>
        <v>0</v>
      </c>
    </row>
    <row r="545" spans="1:20" x14ac:dyDescent="0.25">
      <c r="A545" s="11"/>
      <c r="B545" s="12"/>
      <c r="C545" s="17"/>
      <c r="D545" s="10"/>
      <c r="E545" s="11"/>
      <c r="F545" s="11"/>
      <c r="G545" s="13"/>
      <c r="H545" s="13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23">
        <f t="shared" si="16"/>
        <v>0</v>
      </c>
      <c r="T545" s="23">
        <f t="shared" si="17"/>
        <v>0</v>
      </c>
    </row>
    <row r="546" spans="1:20" x14ac:dyDescent="0.25">
      <c r="A546" s="11"/>
      <c r="B546" s="12"/>
      <c r="C546" s="17"/>
      <c r="D546" s="10"/>
      <c r="E546" s="11"/>
      <c r="F546" s="11"/>
      <c r="G546" s="13"/>
      <c r="H546" s="13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23">
        <f t="shared" si="16"/>
        <v>0</v>
      </c>
      <c r="T546" s="23">
        <f t="shared" si="17"/>
        <v>0</v>
      </c>
    </row>
    <row r="547" spans="1:20" x14ac:dyDescent="0.25">
      <c r="A547" s="11"/>
      <c r="B547" s="12"/>
      <c r="C547" s="17"/>
      <c r="D547" s="10"/>
      <c r="E547" s="11"/>
      <c r="F547" s="11"/>
      <c r="G547" s="13"/>
      <c r="H547" s="13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23">
        <f t="shared" si="16"/>
        <v>0</v>
      </c>
      <c r="T547" s="23">
        <f t="shared" si="17"/>
        <v>0</v>
      </c>
    </row>
    <row r="548" spans="1:20" x14ac:dyDescent="0.25">
      <c r="A548" s="11"/>
      <c r="B548" s="12"/>
      <c r="C548" s="17"/>
      <c r="D548" s="10"/>
      <c r="E548" s="11"/>
      <c r="F548" s="11"/>
      <c r="G548" s="13"/>
      <c r="H548" s="13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23">
        <f t="shared" si="16"/>
        <v>0</v>
      </c>
      <c r="T548" s="23">
        <f t="shared" si="17"/>
        <v>0</v>
      </c>
    </row>
    <row r="549" spans="1:20" x14ac:dyDescent="0.25">
      <c r="A549" s="11"/>
      <c r="B549" s="12"/>
      <c r="C549" s="17"/>
      <c r="D549" s="10"/>
      <c r="E549" s="11"/>
      <c r="F549" s="11"/>
      <c r="G549" s="13"/>
      <c r="H549" s="13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23">
        <f t="shared" si="16"/>
        <v>0</v>
      </c>
      <c r="T549" s="23">
        <f t="shared" si="17"/>
        <v>0</v>
      </c>
    </row>
    <row r="550" spans="1:20" x14ac:dyDescent="0.25">
      <c r="A550" s="11"/>
      <c r="B550" s="12"/>
      <c r="C550" s="17"/>
      <c r="D550" s="10"/>
      <c r="E550" s="11"/>
      <c r="F550" s="11"/>
      <c r="G550" s="13"/>
      <c r="H550" s="13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23">
        <f t="shared" si="16"/>
        <v>0</v>
      </c>
      <c r="T550" s="23">
        <f t="shared" si="17"/>
        <v>0</v>
      </c>
    </row>
    <row r="551" spans="1:20" x14ac:dyDescent="0.25">
      <c r="A551" s="11"/>
      <c r="B551" s="12"/>
      <c r="C551" s="17"/>
      <c r="D551" s="10"/>
      <c r="E551" s="11"/>
      <c r="F551" s="11"/>
      <c r="G551" s="13"/>
      <c r="H551" s="13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23">
        <f t="shared" si="16"/>
        <v>0</v>
      </c>
      <c r="T551" s="23">
        <f t="shared" si="17"/>
        <v>0</v>
      </c>
    </row>
    <row r="552" spans="1:20" x14ac:dyDescent="0.25">
      <c r="A552" s="11"/>
      <c r="B552" s="12"/>
      <c r="C552" s="17"/>
      <c r="D552" s="10"/>
      <c r="E552" s="11"/>
      <c r="F552" s="11"/>
      <c r="G552" s="13"/>
      <c r="H552" s="13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23">
        <f t="shared" si="16"/>
        <v>0</v>
      </c>
      <c r="T552" s="23">
        <f t="shared" si="17"/>
        <v>0</v>
      </c>
    </row>
    <row r="553" spans="1:20" x14ac:dyDescent="0.25">
      <c r="A553" s="11"/>
      <c r="B553" s="12"/>
      <c r="C553" s="17"/>
      <c r="D553" s="10"/>
      <c r="E553" s="11"/>
      <c r="F553" s="11"/>
      <c r="G553" s="13"/>
      <c r="H553" s="13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23">
        <f t="shared" si="16"/>
        <v>0</v>
      </c>
      <c r="T553" s="23">
        <f t="shared" si="17"/>
        <v>0</v>
      </c>
    </row>
    <row r="554" spans="1:20" x14ac:dyDescent="0.25">
      <c r="A554" s="11"/>
      <c r="B554" s="12"/>
      <c r="C554" s="17"/>
      <c r="D554" s="10"/>
      <c r="E554" s="11"/>
      <c r="F554" s="11"/>
      <c r="G554" s="13"/>
      <c r="H554" s="13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23">
        <f t="shared" si="16"/>
        <v>0</v>
      </c>
      <c r="T554" s="23">
        <f t="shared" si="17"/>
        <v>0</v>
      </c>
    </row>
    <row r="555" spans="1:20" x14ac:dyDescent="0.25">
      <c r="A555" s="11"/>
      <c r="B555" s="12"/>
      <c r="C555" s="17"/>
      <c r="D555" s="10"/>
      <c r="E555" s="11"/>
      <c r="F555" s="11"/>
      <c r="G555" s="13"/>
      <c r="H555" s="13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23">
        <f t="shared" si="16"/>
        <v>0</v>
      </c>
      <c r="T555" s="23">
        <f t="shared" si="17"/>
        <v>0</v>
      </c>
    </row>
    <row r="556" spans="1:20" x14ac:dyDescent="0.25">
      <c r="A556" s="11"/>
      <c r="B556" s="12"/>
      <c r="C556" s="17"/>
      <c r="D556" s="10"/>
      <c r="E556" s="11"/>
      <c r="F556" s="11"/>
      <c r="G556" s="13"/>
      <c r="H556" s="13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23">
        <f t="shared" si="16"/>
        <v>0</v>
      </c>
      <c r="T556" s="23">
        <f t="shared" si="17"/>
        <v>0</v>
      </c>
    </row>
    <row r="557" spans="1:20" x14ac:dyDescent="0.25">
      <c r="A557" s="11"/>
      <c r="B557" s="12"/>
      <c r="C557" s="17"/>
      <c r="D557" s="10"/>
      <c r="E557" s="11"/>
      <c r="F557" s="11"/>
      <c r="G557" s="13"/>
      <c r="H557" s="13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23">
        <f t="shared" si="16"/>
        <v>0</v>
      </c>
      <c r="T557" s="23">
        <f t="shared" si="17"/>
        <v>0</v>
      </c>
    </row>
    <row r="558" spans="1:20" x14ac:dyDescent="0.25">
      <c r="A558" s="11"/>
      <c r="B558" s="12"/>
      <c r="C558" s="17"/>
      <c r="D558" s="10"/>
      <c r="E558" s="11"/>
      <c r="F558" s="11"/>
      <c r="G558" s="13"/>
      <c r="H558" s="13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23">
        <f t="shared" si="16"/>
        <v>0</v>
      </c>
      <c r="T558" s="23">
        <f t="shared" si="17"/>
        <v>0</v>
      </c>
    </row>
    <row r="559" spans="1:20" x14ac:dyDescent="0.25">
      <c r="A559" s="11"/>
      <c r="B559" s="12"/>
      <c r="C559" s="17"/>
      <c r="D559" s="10"/>
      <c r="E559" s="11"/>
      <c r="F559" s="11"/>
      <c r="G559" s="13"/>
      <c r="H559" s="13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23">
        <f t="shared" si="16"/>
        <v>0</v>
      </c>
      <c r="T559" s="23">
        <f t="shared" si="17"/>
        <v>0</v>
      </c>
    </row>
    <row r="560" spans="1:20" x14ac:dyDescent="0.25">
      <c r="A560" s="11"/>
      <c r="B560" s="12"/>
      <c r="C560" s="17"/>
      <c r="D560" s="10"/>
      <c r="E560" s="11"/>
      <c r="F560" s="11"/>
      <c r="G560" s="13"/>
      <c r="H560" s="13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23">
        <f t="shared" si="16"/>
        <v>0</v>
      </c>
      <c r="T560" s="23">
        <f t="shared" si="17"/>
        <v>0</v>
      </c>
    </row>
    <row r="561" spans="1:20" x14ac:dyDescent="0.25">
      <c r="A561" s="11"/>
      <c r="B561" s="12"/>
      <c r="C561" s="17"/>
      <c r="D561" s="10"/>
      <c r="E561" s="11"/>
      <c r="F561" s="11"/>
      <c r="G561" s="13"/>
      <c r="H561" s="13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23">
        <f t="shared" si="16"/>
        <v>0</v>
      </c>
      <c r="T561" s="23">
        <f t="shared" si="17"/>
        <v>0</v>
      </c>
    </row>
    <row r="562" spans="1:20" x14ac:dyDescent="0.25">
      <c r="A562" s="11"/>
      <c r="B562" s="12"/>
      <c r="C562" s="17"/>
      <c r="D562" s="10"/>
      <c r="E562" s="11"/>
      <c r="F562" s="11"/>
      <c r="G562" s="13"/>
      <c r="H562" s="13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23">
        <f t="shared" si="16"/>
        <v>0</v>
      </c>
      <c r="T562" s="23">
        <f t="shared" si="17"/>
        <v>0</v>
      </c>
    </row>
    <row r="563" spans="1:20" x14ac:dyDescent="0.25">
      <c r="A563" s="11"/>
      <c r="B563" s="12"/>
      <c r="C563" s="17"/>
      <c r="D563" s="10"/>
      <c r="E563" s="11"/>
      <c r="F563" s="11"/>
      <c r="G563" s="13"/>
      <c r="H563" s="13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23">
        <f t="shared" si="16"/>
        <v>0</v>
      </c>
      <c r="T563" s="23">
        <f t="shared" si="17"/>
        <v>0</v>
      </c>
    </row>
    <row r="564" spans="1:20" x14ac:dyDescent="0.25">
      <c r="A564" s="11"/>
      <c r="B564" s="12"/>
      <c r="C564" s="17"/>
      <c r="D564" s="10"/>
      <c r="E564" s="11"/>
      <c r="F564" s="11"/>
      <c r="G564" s="13"/>
      <c r="H564" s="13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23">
        <f t="shared" si="16"/>
        <v>0</v>
      </c>
      <c r="T564" s="23">
        <f t="shared" si="17"/>
        <v>0</v>
      </c>
    </row>
    <row r="565" spans="1:20" x14ac:dyDescent="0.25">
      <c r="A565" s="11"/>
      <c r="B565" s="12"/>
      <c r="C565" s="17"/>
      <c r="D565" s="10"/>
      <c r="E565" s="11"/>
      <c r="F565" s="11"/>
      <c r="G565" s="13"/>
      <c r="H565" s="13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23">
        <f t="shared" si="16"/>
        <v>0</v>
      </c>
      <c r="T565" s="23">
        <f t="shared" si="17"/>
        <v>0</v>
      </c>
    </row>
    <row r="566" spans="1:20" x14ac:dyDescent="0.25">
      <c r="A566" s="11"/>
      <c r="B566" s="12"/>
      <c r="C566" s="17"/>
      <c r="D566" s="10"/>
      <c r="E566" s="11"/>
      <c r="F566" s="11"/>
      <c r="G566" s="13"/>
      <c r="H566" s="13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23">
        <f t="shared" si="16"/>
        <v>0</v>
      </c>
      <c r="T566" s="23">
        <f t="shared" si="17"/>
        <v>0</v>
      </c>
    </row>
    <row r="567" spans="1:20" x14ac:dyDescent="0.25">
      <c r="A567" s="11"/>
      <c r="B567" s="12"/>
      <c r="C567" s="17"/>
      <c r="D567" s="10"/>
      <c r="E567" s="11"/>
      <c r="F567" s="11"/>
      <c r="G567" s="13"/>
      <c r="H567" s="13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23">
        <f t="shared" si="16"/>
        <v>0</v>
      </c>
      <c r="T567" s="23">
        <f t="shared" si="17"/>
        <v>0</v>
      </c>
    </row>
    <row r="568" spans="1:20" x14ac:dyDescent="0.25">
      <c r="A568" s="11"/>
      <c r="B568" s="12"/>
      <c r="C568" s="17"/>
      <c r="D568" s="10"/>
      <c r="E568" s="11"/>
      <c r="F568" s="11"/>
      <c r="G568" s="13"/>
      <c r="H568" s="13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23">
        <f t="shared" si="16"/>
        <v>0</v>
      </c>
      <c r="T568" s="23">
        <f t="shared" si="17"/>
        <v>0</v>
      </c>
    </row>
    <row r="569" spans="1:20" x14ac:dyDescent="0.25">
      <c r="A569" s="11"/>
      <c r="B569" s="12"/>
      <c r="C569" s="17"/>
      <c r="D569" s="10"/>
      <c r="E569" s="11"/>
      <c r="F569" s="11"/>
      <c r="G569" s="13"/>
      <c r="H569" s="13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23">
        <f t="shared" si="16"/>
        <v>0</v>
      </c>
      <c r="T569" s="23">
        <f t="shared" si="17"/>
        <v>0</v>
      </c>
    </row>
    <row r="570" spans="1:20" x14ac:dyDescent="0.25">
      <c r="A570" s="11"/>
      <c r="B570" s="12"/>
      <c r="C570" s="17"/>
      <c r="D570" s="10"/>
      <c r="E570" s="11"/>
      <c r="F570" s="11"/>
      <c r="G570" s="13"/>
      <c r="H570" s="13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23">
        <f t="shared" si="16"/>
        <v>0</v>
      </c>
      <c r="T570" s="23">
        <f t="shared" si="17"/>
        <v>0</v>
      </c>
    </row>
    <row r="571" spans="1:20" x14ac:dyDescent="0.25">
      <c r="A571" s="11"/>
      <c r="B571" s="12"/>
      <c r="C571" s="17"/>
      <c r="D571" s="10"/>
      <c r="E571" s="11"/>
      <c r="F571" s="11"/>
      <c r="G571" s="13"/>
      <c r="H571" s="13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23">
        <f t="shared" si="16"/>
        <v>0</v>
      </c>
      <c r="T571" s="23">
        <f t="shared" si="17"/>
        <v>0</v>
      </c>
    </row>
    <row r="572" spans="1:20" x14ac:dyDescent="0.25">
      <c r="A572" s="11"/>
      <c r="B572" s="12"/>
      <c r="C572" s="17"/>
      <c r="D572" s="10"/>
      <c r="E572" s="11"/>
      <c r="F572" s="11"/>
      <c r="G572" s="13"/>
      <c r="H572" s="13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23">
        <f t="shared" si="16"/>
        <v>0</v>
      </c>
      <c r="T572" s="23">
        <f t="shared" si="17"/>
        <v>0</v>
      </c>
    </row>
    <row r="573" spans="1:20" x14ac:dyDescent="0.25">
      <c r="A573" s="11"/>
      <c r="B573" s="12"/>
      <c r="C573" s="17"/>
      <c r="D573" s="10"/>
      <c r="E573" s="11"/>
      <c r="F573" s="11"/>
      <c r="G573" s="13"/>
      <c r="H573" s="13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23">
        <f t="shared" si="16"/>
        <v>0</v>
      </c>
      <c r="T573" s="23">
        <f t="shared" si="17"/>
        <v>0</v>
      </c>
    </row>
    <row r="574" spans="1:20" x14ac:dyDescent="0.25">
      <c r="A574" s="11"/>
      <c r="B574" s="12"/>
      <c r="C574" s="17"/>
      <c r="D574" s="10"/>
      <c r="E574" s="11"/>
      <c r="F574" s="11"/>
      <c r="G574" s="13"/>
      <c r="H574" s="13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23">
        <f t="shared" si="16"/>
        <v>0</v>
      </c>
      <c r="T574" s="23">
        <f t="shared" si="17"/>
        <v>0</v>
      </c>
    </row>
    <row r="575" spans="1:20" x14ac:dyDescent="0.25">
      <c r="A575" s="11"/>
      <c r="B575" s="12"/>
      <c r="C575" s="17"/>
      <c r="D575" s="10"/>
      <c r="E575" s="11"/>
      <c r="F575" s="11"/>
      <c r="G575" s="13"/>
      <c r="H575" s="13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23">
        <f t="shared" si="16"/>
        <v>0</v>
      </c>
      <c r="T575" s="23">
        <f t="shared" si="17"/>
        <v>0</v>
      </c>
    </row>
    <row r="576" spans="1:20" x14ac:dyDescent="0.25">
      <c r="A576" s="11"/>
      <c r="B576" s="12"/>
      <c r="C576" s="17"/>
      <c r="D576" s="10"/>
      <c r="E576" s="11"/>
      <c r="F576" s="11"/>
      <c r="G576" s="13"/>
      <c r="H576" s="13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23">
        <f t="shared" si="16"/>
        <v>0</v>
      </c>
      <c r="T576" s="23">
        <f t="shared" si="17"/>
        <v>0</v>
      </c>
    </row>
    <row r="577" spans="1:20" x14ac:dyDescent="0.25">
      <c r="A577" s="11"/>
      <c r="B577" s="12"/>
      <c r="C577" s="17"/>
      <c r="D577" s="10"/>
      <c r="E577" s="11"/>
      <c r="F577" s="11"/>
      <c r="G577" s="13"/>
      <c r="H577" s="13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23">
        <f t="shared" si="16"/>
        <v>0</v>
      </c>
      <c r="T577" s="23">
        <f t="shared" si="17"/>
        <v>0</v>
      </c>
    </row>
    <row r="578" spans="1:20" x14ac:dyDescent="0.25">
      <c r="A578" s="11"/>
      <c r="B578" s="12"/>
      <c r="C578" s="17"/>
      <c r="D578" s="10"/>
      <c r="E578" s="11"/>
      <c r="F578" s="11"/>
      <c r="G578" s="13"/>
      <c r="H578" s="13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23">
        <f t="shared" si="16"/>
        <v>0</v>
      </c>
      <c r="T578" s="23">
        <f t="shared" si="17"/>
        <v>0</v>
      </c>
    </row>
    <row r="579" spans="1:20" x14ac:dyDescent="0.25">
      <c r="A579" s="11"/>
      <c r="B579" s="12"/>
      <c r="C579" s="17"/>
      <c r="D579" s="10"/>
      <c r="E579" s="11"/>
      <c r="F579" s="11"/>
      <c r="G579" s="13"/>
      <c r="H579" s="13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23">
        <f t="shared" si="16"/>
        <v>0</v>
      </c>
      <c r="T579" s="23">
        <f t="shared" si="17"/>
        <v>0</v>
      </c>
    </row>
    <row r="580" spans="1:20" x14ac:dyDescent="0.25">
      <c r="A580" s="11"/>
      <c r="B580" s="12"/>
      <c r="C580" s="17"/>
      <c r="D580" s="10"/>
      <c r="E580" s="11"/>
      <c r="F580" s="11"/>
      <c r="G580" s="13"/>
      <c r="H580" s="13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23">
        <f t="shared" si="16"/>
        <v>0</v>
      </c>
      <c r="T580" s="23">
        <f t="shared" si="17"/>
        <v>0</v>
      </c>
    </row>
    <row r="581" spans="1:20" x14ac:dyDescent="0.25">
      <c r="A581" s="11"/>
      <c r="B581" s="12"/>
      <c r="C581" s="17"/>
      <c r="D581" s="10"/>
      <c r="E581" s="11"/>
      <c r="F581" s="11"/>
      <c r="G581" s="13"/>
      <c r="H581" s="13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23">
        <f t="shared" si="16"/>
        <v>0</v>
      </c>
      <c r="T581" s="23">
        <f t="shared" si="17"/>
        <v>0</v>
      </c>
    </row>
    <row r="582" spans="1:20" x14ac:dyDescent="0.25">
      <c r="A582" s="11"/>
      <c r="B582" s="12"/>
      <c r="C582" s="17"/>
      <c r="D582" s="10"/>
      <c r="E582" s="11"/>
      <c r="F582" s="11"/>
      <c r="G582" s="13"/>
      <c r="H582" s="13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23">
        <f t="shared" ref="S582:S645" si="18">SUM(I582,K582,M582,O582)</f>
        <v>0</v>
      </c>
      <c r="T582" s="23">
        <f t="shared" ref="T582:T645" si="19">SUM(J582,L582,N582,P582)</f>
        <v>0</v>
      </c>
    </row>
    <row r="583" spans="1:20" x14ac:dyDescent="0.25">
      <c r="A583" s="11"/>
      <c r="B583" s="12"/>
      <c r="C583" s="17"/>
      <c r="D583" s="10"/>
      <c r="E583" s="11"/>
      <c r="F583" s="11"/>
      <c r="G583" s="13"/>
      <c r="H583" s="13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23">
        <f t="shared" si="18"/>
        <v>0</v>
      </c>
      <c r="T583" s="23">
        <f t="shared" si="19"/>
        <v>0</v>
      </c>
    </row>
    <row r="584" spans="1:20" x14ac:dyDescent="0.25">
      <c r="A584" s="11"/>
      <c r="B584" s="12"/>
      <c r="C584" s="17"/>
      <c r="D584" s="10"/>
      <c r="E584" s="11"/>
      <c r="F584" s="11"/>
      <c r="G584" s="13"/>
      <c r="H584" s="13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23">
        <f t="shared" si="18"/>
        <v>0</v>
      </c>
      <c r="T584" s="23">
        <f t="shared" si="19"/>
        <v>0</v>
      </c>
    </row>
    <row r="585" spans="1:20" x14ac:dyDescent="0.25">
      <c r="A585" s="11"/>
      <c r="B585" s="12"/>
      <c r="C585" s="17"/>
      <c r="D585" s="10"/>
      <c r="E585" s="11"/>
      <c r="F585" s="11"/>
      <c r="G585" s="13"/>
      <c r="H585" s="13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23">
        <f t="shared" si="18"/>
        <v>0</v>
      </c>
      <c r="T585" s="23">
        <f t="shared" si="19"/>
        <v>0</v>
      </c>
    </row>
    <row r="586" spans="1:20" x14ac:dyDescent="0.25">
      <c r="A586" s="11"/>
      <c r="B586" s="12"/>
      <c r="C586" s="17"/>
      <c r="D586" s="10"/>
      <c r="E586" s="11"/>
      <c r="F586" s="11"/>
      <c r="G586" s="13"/>
      <c r="H586" s="13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23">
        <f t="shared" si="18"/>
        <v>0</v>
      </c>
      <c r="T586" s="23">
        <f t="shared" si="19"/>
        <v>0</v>
      </c>
    </row>
    <row r="587" spans="1:20" x14ac:dyDescent="0.25">
      <c r="A587" s="11"/>
      <c r="B587" s="12"/>
      <c r="C587" s="17"/>
      <c r="D587" s="10"/>
      <c r="E587" s="11"/>
      <c r="F587" s="11"/>
      <c r="G587" s="13"/>
      <c r="H587" s="13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23">
        <f t="shared" si="18"/>
        <v>0</v>
      </c>
      <c r="T587" s="23">
        <f t="shared" si="19"/>
        <v>0</v>
      </c>
    </row>
    <row r="588" spans="1:20" x14ac:dyDescent="0.25">
      <c r="A588" s="11"/>
      <c r="B588" s="12"/>
      <c r="C588" s="17"/>
      <c r="D588" s="10"/>
      <c r="E588" s="11"/>
      <c r="F588" s="11"/>
      <c r="G588" s="13"/>
      <c r="H588" s="13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23">
        <f t="shared" si="18"/>
        <v>0</v>
      </c>
      <c r="T588" s="23">
        <f t="shared" si="19"/>
        <v>0</v>
      </c>
    </row>
    <row r="589" spans="1:20" x14ac:dyDescent="0.25">
      <c r="A589" s="11"/>
      <c r="B589" s="12"/>
      <c r="C589" s="17"/>
      <c r="D589" s="10"/>
      <c r="E589" s="11"/>
      <c r="F589" s="11"/>
      <c r="G589" s="13"/>
      <c r="H589" s="13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23">
        <f t="shared" si="18"/>
        <v>0</v>
      </c>
      <c r="T589" s="23">
        <f t="shared" si="19"/>
        <v>0</v>
      </c>
    </row>
    <row r="590" spans="1:20" x14ac:dyDescent="0.25">
      <c r="A590" s="11"/>
      <c r="B590" s="12"/>
      <c r="C590" s="17"/>
      <c r="D590" s="10"/>
      <c r="E590" s="11"/>
      <c r="F590" s="11"/>
      <c r="G590" s="13"/>
      <c r="H590" s="13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23">
        <f t="shared" si="18"/>
        <v>0</v>
      </c>
      <c r="T590" s="23">
        <f t="shared" si="19"/>
        <v>0</v>
      </c>
    </row>
    <row r="591" spans="1:20" x14ac:dyDescent="0.25">
      <c r="A591" s="11"/>
      <c r="B591" s="12"/>
      <c r="C591" s="17"/>
      <c r="D591" s="10"/>
      <c r="E591" s="11"/>
      <c r="F591" s="11"/>
      <c r="G591" s="13"/>
      <c r="H591" s="13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23">
        <f t="shared" si="18"/>
        <v>0</v>
      </c>
      <c r="T591" s="23">
        <f t="shared" si="19"/>
        <v>0</v>
      </c>
    </row>
    <row r="592" spans="1:20" x14ac:dyDescent="0.25">
      <c r="A592" s="11"/>
      <c r="B592" s="12"/>
      <c r="C592" s="17"/>
      <c r="D592" s="10"/>
      <c r="E592" s="11"/>
      <c r="F592" s="11"/>
      <c r="G592" s="13"/>
      <c r="H592" s="13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23">
        <f t="shared" si="18"/>
        <v>0</v>
      </c>
      <c r="T592" s="23">
        <f t="shared" si="19"/>
        <v>0</v>
      </c>
    </row>
    <row r="593" spans="1:20" x14ac:dyDescent="0.25">
      <c r="A593" s="11"/>
      <c r="B593" s="12"/>
      <c r="C593" s="17"/>
      <c r="D593" s="10"/>
      <c r="E593" s="11"/>
      <c r="F593" s="11"/>
      <c r="G593" s="13"/>
      <c r="H593" s="13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23">
        <f t="shared" si="18"/>
        <v>0</v>
      </c>
      <c r="T593" s="23">
        <f t="shared" si="19"/>
        <v>0</v>
      </c>
    </row>
    <row r="594" spans="1:20" x14ac:dyDescent="0.25">
      <c r="A594" s="11"/>
      <c r="B594" s="12"/>
      <c r="C594" s="17"/>
      <c r="D594" s="10"/>
      <c r="E594" s="11"/>
      <c r="F594" s="11"/>
      <c r="G594" s="13"/>
      <c r="H594" s="13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23">
        <f t="shared" si="18"/>
        <v>0</v>
      </c>
      <c r="T594" s="23">
        <f t="shared" si="19"/>
        <v>0</v>
      </c>
    </row>
    <row r="595" spans="1:20" x14ac:dyDescent="0.25">
      <c r="A595" s="11"/>
      <c r="B595" s="12"/>
      <c r="C595" s="17"/>
      <c r="D595" s="10"/>
      <c r="E595" s="11"/>
      <c r="F595" s="11"/>
      <c r="G595" s="13"/>
      <c r="H595" s="13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23">
        <f t="shared" si="18"/>
        <v>0</v>
      </c>
      <c r="T595" s="23">
        <f t="shared" si="19"/>
        <v>0</v>
      </c>
    </row>
    <row r="596" spans="1:20" x14ac:dyDescent="0.25">
      <c r="A596" s="11"/>
      <c r="B596" s="12"/>
      <c r="C596" s="17"/>
      <c r="D596" s="10"/>
      <c r="E596" s="11"/>
      <c r="F596" s="11"/>
      <c r="G596" s="13"/>
      <c r="H596" s="13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23">
        <f t="shared" si="18"/>
        <v>0</v>
      </c>
      <c r="T596" s="23">
        <f t="shared" si="19"/>
        <v>0</v>
      </c>
    </row>
    <row r="597" spans="1:20" x14ac:dyDescent="0.25">
      <c r="A597" s="11"/>
      <c r="B597" s="12"/>
      <c r="C597" s="17"/>
      <c r="D597" s="10"/>
      <c r="E597" s="11"/>
      <c r="F597" s="11"/>
      <c r="G597" s="13"/>
      <c r="H597" s="13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23">
        <f t="shared" si="18"/>
        <v>0</v>
      </c>
      <c r="T597" s="23">
        <f t="shared" si="19"/>
        <v>0</v>
      </c>
    </row>
    <row r="598" spans="1:20" x14ac:dyDescent="0.25">
      <c r="A598" s="11"/>
      <c r="B598" s="12"/>
      <c r="C598" s="17"/>
      <c r="D598" s="10"/>
      <c r="E598" s="11"/>
      <c r="F598" s="11"/>
      <c r="G598" s="13"/>
      <c r="H598" s="13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23">
        <f t="shared" si="18"/>
        <v>0</v>
      </c>
      <c r="T598" s="23">
        <f t="shared" si="19"/>
        <v>0</v>
      </c>
    </row>
    <row r="599" spans="1:20" x14ac:dyDescent="0.25">
      <c r="A599" s="11"/>
      <c r="B599" s="12"/>
      <c r="C599" s="17"/>
      <c r="D599" s="10"/>
      <c r="E599" s="11"/>
      <c r="F599" s="11"/>
      <c r="G599" s="13"/>
      <c r="H599" s="13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23">
        <f t="shared" si="18"/>
        <v>0</v>
      </c>
      <c r="T599" s="23">
        <f t="shared" si="19"/>
        <v>0</v>
      </c>
    </row>
    <row r="600" spans="1:20" x14ac:dyDescent="0.25">
      <c r="A600" s="11"/>
      <c r="B600" s="12"/>
      <c r="C600" s="17"/>
      <c r="D600" s="10"/>
      <c r="E600" s="11"/>
      <c r="F600" s="11"/>
      <c r="G600" s="13"/>
      <c r="H600" s="13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23">
        <f t="shared" si="18"/>
        <v>0</v>
      </c>
      <c r="T600" s="23">
        <f t="shared" si="19"/>
        <v>0</v>
      </c>
    </row>
    <row r="601" spans="1:20" x14ac:dyDescent="0.25">
      <c r="A601" s="11"/>
      <c r="B601" s="12"/>
      <c r="C601" s="17"/>
      <c r="D601" s="10"/>
      <c r="E601" s="11"/>
      <c r="F601" s="11"/>
      <c r="G601" s="13"/>
      <c r="H601" s="13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23">
        <f t="shared" si="18"/>
        <v>0</v>
      </c>
      <c r="T601" s="23">
        <f t="shared" si="19"/>
        <v>0</v>
      </c>
    </row>
    <row r="602" spans="1:20" x14ac:dyDescent="0.25">
      <c r="A602" s="11"/>
      <c r="B602" s="12"/>
      <c r="C602" s="17"/>
      <c r="D602" s="10"/>
      <c r="E602" s="11"/>
      <c r="F602" s="11"/>
      <c r="G602" s="13"/>
      <c r="H602" s="13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23">
        <f t="shared" si="18"/>
        <v>0</v>
      </c>
      <c r="T602" s="23">
        <f t="shared" si="19"/>
        <v>0</v>
      </c>
    </row>
    <row r="603" spans="1:20" x14ac:dyDescent="0.25">
      <c r="A603" s="11"/>
      <c r="B603" s="12"/>
      <c r="C603" s="17"/>
      <c r="D603" s="10"/>
      <c r="E603" s="11"/>
      <c r="F603" s="11"/>
      <c r="G603" s="13"/>
      <c r="H603" s="13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23">
        <f t="shared" si="18"/>
        <v>0</v>
      </c>
      <c r="T603" s="23">
        <f t="shared" si="19"/>
        <v>0</v>
      </c>
    </row>
    <row r="604" spans="1:20" x14ac:dyDescent="0.25">
      <c r="A604" s="11"/>
      <c r="B604" s="12"/>
      <c r="C604" s="17"/>
      <c r="D604" s="10"/>
      <c r="E604" s="11"/>
      <c r="F604" s="11"/>
      <c r="G604" s="13"/>
      <c r="H604" s="13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23">
        <f t="shared" si="18"/>
        <v>0</v>
      </c>
      <c r="T604" s="23">
        <f t="shared" si="19"/>
        <v>0</v>
      </c>
    </row>
    <row r="605" spans="1:20" x14ac:dyDescent="0.25">
      <c r="A605" s="11"/>
      <c r="B605" s="12"/>
      <c r="C605" s="17"/>
      <c r="D605" s="10"/>
      <c r="E605" s="11"/>
      <c r="F605" s="11"/>
      <c r="G605" s="13"/>
      <c r="H605" s="13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23">
        <f t="shared" si="18"/>
        <v>0</v>
      </c>
      <c r="T605" s="23">
        <f t="shared" si="19"/>
        <v>0</v>
      </c>
    </row>
    <row r="606" spans="1:20" x14ac:dyDescent="0.25">
      <c r="A606" s="11"/>
      <c r="B606" s="12"/>
      <c r="C606" s="17"/>
      <c r="D606" s="10"/>
      <c r="E606" s="11"/>
      <c r="F606" s="11"/>
      <c r="G606" s="13"/>
      <c r="H606" s="13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23">
        <f t="shared" si="18"/>
        <v>0</v>
      </c>
      <c r="T606" s="23">
        <f t="shared" si="19"/>
        <v>0</v>
      </c>
    </row>
    <row r="607" spans="1:20" x14ac:dyDescent="0.25">
      <c r="A607" s="11"/>
      <c r="B607" s="12"/>
      <c r="C607" s="17"/>
      <c r="D607" s="10"/>
      <c r="E607" s="11"/>
      <c r="F607" s="11"/>
      <c r="G607" s="13"/>
      <c r="H607" s="13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23">
        <f t="shared" si="18"/>
        <v>0</v>
      </c>
      <c r="T607" s="23">
        <f t="shared" si="19"/>
        <v>0</v>
      </c>
    </row>
    <row r="608" spans="1:20" x14ac:dyDescent="0.25">
      <c r="A608" s="11"/>
      <c r="B608" s="12"/>
      <c r="C608" s="17"/>
      <c r="D608" s="10"/>
      <c r="E608" s="11"/>
      <c r="F608" s="11"/>
      <c r="G608" s="13"/>
      <c r="H608" s="13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23">
        <f t="shared" si="18"/>
        <v>0</v>
      </c>
      <c r="T608" s="23">
        <f t="shared" si="19"/>
        <v>0</v>
      </c>
    </row>
    <row r="609" spans="1:20" x14ac:dyDescent="0.25">
      <c r="A609" s="11"/>
      <c r="B609" s="12"/>
      <c r="C609" s="17"/>
      <c r="D609" s="10"/>
      <c r="E609" s="11"/>
      <c r="F609" s="11"/>
      <c r="G609" s="13"/>
      <c r="H609" s="13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23">
        <f t="shared" si="18"/>
        <v>0</v>
      </c>
      <c r="T609" s="23">
        <f t="shared" si="19"/>
        <v>0</v>
      </c>
    </row>
    <row r="610" spans="1:20" x14ac:dyDescent="0.25">
      <c r="A610" s="11"/>
      <c r="B610" s="12"/>
      <c r="C610" s="17"/>
      <c r="D610" s="10"/>
      <c r="E610" s="11"/>
      <c r="F610" s="11"/>
      <c r="G610" s="13"/>
      <c r="H610" s="13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23">
        <f t="shared" si="18"/>
        <v>0</v>
      </c>
      <c r="T610" s="23">
        <f t="shared" si="19"/>
        <v>0</v>
      </c>
    </row>
    <row r="611" spans="1:20" x14ac:dyDescent="0.25">
      <c r="A611" s="11"/>
      <c r="B611" s="12"/>
      <c r="C611" s="17"/>
      <c r="D611" s="10"/>
      <c r="E611" s="11"/>
      <c r="F611" s="11"/>
      <c r="G611" s="13"/>
      <c r="H611" s="13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23">
        <f t="shared" si="18"/>
        <v>0</v>
      </c>
      <c r="T611" s="23">
        <f t="shared" si="19"/>
        <v>0</v>
      </c>
    </row>
    <row r="612" spans="1:20" x14ac:dyDescent="0.25">
      <c r="A612" s="11"/>
      <c r="B612" s="12"/>
      <c r="C612" s="17"/>
      <c r="D612" s="10"/>
      <c r="E612" s="11"/>
      <c r="F612" s="11"/>
      <c r="G612" s="13"/>
      <c r="H612" s="13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23">
        <f t="shared" si="18"/>
        <v>0</v>
      </c>
      <c r="T612" s="23">
        <f t="shared" si="19"/>
        <v>0</v>
      </c>
    </row>
    <row r="613" spans="1:20" x14ac:dyDescent="0.25">
      <c r="A613" s="11"/>
      <c r="B613" s="12"/>
      <c r="C613" s="17"/>
      <c r="D613" s="10"/>
      <c r="E613" s="11"/>
      <c r="F613" s="11"/>
      <c r="G613" s="13"/>
      <c r="H613" s="13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23">
        <f t="shared" si="18"/>
        <v>0</v>
      </c>
      <c r="T613" s="23">
        <f t="shared" si="19"/>
        <v>0</v>
      </c>
    </row>
    <row r="614" spans="1:20" x14ac:dyDescent="0.25">
      <c r="A614" s="11"/>
      <c r="B614" s="12"/>
      <c r="C614" s="17"/>
      <c r="D614" s="10"/>
      <c r="E614" s="11"/>
      <c r="F614" s="11"/>
      <c r="G614" s="13"/>
      <c r="H614" s="13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23">
        <f t="shared" si="18"/>
        <v>0</v>
      </c>
      <c r="T614" s="23">
        <f t="shared" si="19"/>
        <v>0</v>
      </c>
    </row>
    <row r="615" spans="1:20" x14ac:dyDescent="0.25">
      <c r="A615" s="11"/>
      <c r="B615" s="12"/>
      <c r="C615" s="17"/>
      <c r="D615" s="10"/>
      <c r="E615" s="11"/>
      <c r="F615" s="11"/>
      <c r="G615" s="13"/>
      <c r="H615" s="13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23">
        <f t="shared" si="18"/>
        <v>0</v>
      </c>
      <c r="T615" s="23">
        <f t="shared" si="19"/>
        <v>0</v>
      </c>
    </row>
    <row r="616" spans="1:20" x14ac:dyDescent="0.25">
      <c r="A616" s="11"/>
      <c r="B616" s="12"/>
      <c r="C616" s="17"/>
      <c r="D616" s="10"/>
      <c r="E616" s="11"/>
      <c r="F616" s="11"/>
      <c r="G616" s="13"/>
      <c r="H616" s="13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23">
        <f t="shared" si="18"/>
        <v>0</v>
      </c>
      <c r="T616" s="23">
        <f t="shared" si="19"/>
        <v>0</v>
      </c>
    </row>
    <row r="617" spans="1:20" x14ac:dyDescent="0.25">
      <c r="A617" s="11"/>
      <c r="B617" s="12"/>
      <c r="C617" s="17"/>
      <c r="D617" s="10"/>
      <c r="E617" s="11"/>
      <c r="F617" s="11"/>
      <c r="G617" s="13"/>
      <c r="H617" s="13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23">
        <f t="shared" si="18"/>
        <v>0</v>
      </c>
      <c r="T617" s="23">
        <f t="shared" si="19"/>
        <v>0</v>
      </c>
    </row>
    <row r="618" spans="1:20" x14ac:dyDescent="0.25">
      <c r="A618" s="11"/>
      <c r="B618" s="12"/>
      <c r="C618" s="17"/>
      <c r="D618" s="10"/>
      <c r="E618" s="11"/>
      <c r="F618" s="11"/>
      <c r="G618" s="13"/>
      <c r="H618" s="13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23">
        <f t="shared" si="18"/>
        <v>0</v>
      </c>
      <c r="T618" s="23">
        <f t="shared" si="19"/>
        <v>0</v>
      </c>
    </row>
    <row r="619" spans="1:20" x14ac:dyDescent="0.25">
      <c r="A619" s="11"/>
      <c r="B619" s="12"/>
      <c r="C619" s="17"/>
      <c r="D619" s="10"/>
      <c r="E619" s="11"/>
      <c r="F619" s="11"/>
      <c r="G619" s="13"/>
      <c r="H619" s="13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23">
        <f t="shared" si="18"/>
        <v>0</v>
      </c>
      <c r="T619" s="23">
        <f t="shared" si="19"/>
        <v>0</v>
      </c>
    </row>
    <row r="620" spans="1:20" x14ac:dyDescent="0.25">
      <c r="A620" s="11"/>
      <c r="B620" s="12"/>
      <c r="C620" s="17"/>
      <c r="D620" s="10"/>
      <c r="E620" s="11"/>
      <c r="F620" s="11"/>
      <c r="G620" s="13"/>
      <c r="H620" s="13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23">
        <f t="shared" si="18"/>
        <v>0</v>
      </c>
      <c r="T620" s="23">
        <f t="shared" si="19"/>
        <v>0</v>
      </c>
    </row>
    <row r="621" spans="1:20" x14ac:dyDescent="0.25">
      <c r="A621" s="11"/>
      <c r="B621" s="12"/>
      <c r="C621" s="17"/>
      <c r="D621" s="10"/>
      <c r="E621" s="11"/>
      <c r="F621" s="11"/>
      <c r="G621" s="13"/>
      <c r="H621" s="13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23">
        <f t="shared" si="18"/>
        <v>0</v>
      </c>
      <c r="T621" s="23">
        <f t="shared" si="19"/>
        <v>0</v>
      </c>
    </row>
    <row r="622" spans="1:20" x14ac:dyDescent="0.25">
      <c r="A622" s="11"/>
      <c r="B622" s="12"/>
      <c r="C622" s="17"/>
      <c r="D622" s="10"/>
      <c r="E622" s="11"/>
      <c r="F622" s="11"/>
      <c r="G622" s="13"/>
      <c r="H622" s="13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23">
        <f t="shared" si="18"/>
        <v>0</v>
      </c>
      <c r="T622" s="23">
        <f t="shared" si="19"/>
        <v>0</v>
      </c>
    </row>
    <row r="623" spans="1:20" x14ac:dyDescent="0.25">
      <c r="A623" s="11"/>
      <c r="B623" s="12"/>
      <c r="C623" s="17"/>
      <c r="D623" s="10"/>
      <c r="E623" s="11"/>
      <c r="F623" s="11"/>
      <c r="G623" s="13"/>
      <c r="H623" s="13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23">
        <f t="shared" si="18"/>
        <v>0</v>
      </c>
      <c r="T623" s="23">
        <f t="shared" si="19"/>
        <v>0</v>
      </c>
    </row>
    <row r="624" spans="1:20" x14ac:dyDescent="0.25">
      <c r="A624" s="11"/>
      <c r="B624" s="12"/>
      <c r="C624" s="17"/>
      <c r="D624" s="10"/>
      <c r="E624" s="11"/>
      <c r="F624" s="11"/>
      <c r="G624" s="13"/>
      <c r="H624" s="13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23">
        <f t="shared" si="18"/>
        <v>0</v>
      </c>
      <c r="T624" s="23">
        <f t="shared" si="19"/>
        <v>0</v>
      </c>
    </row>
    <row r="625" spans="1:20" x14ac:dyDescent="0.25">
      <c r="A625" s="11"/>
      <c r="B625" s="12"/>
      <c r="C625" s="17"/>
      <c r="D625" s="10"/>
      <c r="E625" s="11"/>
      <c r="F625" s="11"/>
      <c r="G625" s="13"/>
      <c r="H625" s="13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23">
        <f t="shared" si="18"/>
        <v>0</v>
      </c>
      <c r="T625" s="23">
        <f t="shared" si="19"/>
        <v>0</v>
      </c>
    </row>
    <row r="626" spans="1:20" x14ac:dyDescent="0.25">
      <c r="A626" s="11"/>
      <c r="B626" s="12"/>
      <c r="C626" s="17"/>
      <c r="D626" s="10"/>
      <c r="E626" s="11"/>
      <c r="F626" s="11"/>
      <c r="G626" s="13"/>
      <c r="H626" s="13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23">
        <f t="shared" si="18"/>
        <v>0</v>
      </c>
      <c r="T626" s="23">
        <f t="shared" si="19"/>
        <v>0</v>
      </c>
    </row>
    <row r="627" spans="1:20" x14ac:dyDescent="0.25">
      <c r="A627" s="11"/>
      <c r="B627" s="12"/>
      <c r="C627" s="17"/>
      <c r="D627" s="10"/>
      <c r="E627" s="11"/>
      <c r="F627" s="11"/>
      <c r="G627" s="13"/>
      <c r="H627" s="13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23">
        <f t="shared" si="18"/>
        <v>0</v>
      </c>
      <c r="T627" s="23">
        <f t="shared" si="19"/>
        <v>0</v>
      </c>
    </row>
    <row r="628" spans="1:20" x14ac:dyDescent="0.25">
      <c r="A628" s="11"/>
      <c r="B628" s="12"/>
      <c r="C628" s="17"/>
      <c r="D628" s="10"/>
      <c r="E628" s="11"/>
      <c r="F628" s="11"/>
      <c r="G628" s="13"/>
      <c r="H628" s="13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23">
        <f t="shared" si="18"/>
        <v>0</v>
      </c>
      <c r="T628" s="23">
        <f t="shared" si="19"/>
        <v>0</v>
      </c>
    </row>
    <row r="629" spans="1:20" x14ac:dyDescent="0.25">
      <c r="A629" s="11"/>
      <c r="B629" s="12"/>
      <c r="C629" s="17"/>
      <c r="D629" s="10"/>
      <c r="E629" s="11"/>
      <c r="F629" s="11"/>
      <c r="G629" s="13"/>
      <c r="H629" s="13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23">
        <f t="shared" si="18"/>
        <v>0</v>
      </c>
      <c r="T629" s="23">
        <f t="shared" si="19"/>
        <v>0</v>
      </c>
    </row>
    <row r="630" spans="1:20" x14ac:dyDescent="0.25">
      <c r="A630" s="11"/>
      <c r="B630" s="12"/>
      <c r="C630" s="17"/>
      <c r="D630" s="10"/>
      <c r="E630" s="11"/>
      <c r="F630" s="11"/>
      <c r="G630" s="13"/>
      <c r="H630" s="13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23">
        <f t="shared" si="18"/>
        <v>0</v>
      </c>
      <c r="T630" s="23">
        <f t="shared" si="19"/>
        <v>0</v>
      </c>
    </row>
    <row r="631" spans="1:20" x14ac:dyDescent="0.25">
      <c r="A631" s="11"/>
      <c r="B631" s="12"/>
      <c r="C631" s="17"/>
      <c r="D631" s="10"/>
      <c r="E631" s="11"/>
      <c r="F631" s="11"/>
      <c r="G631" s="13"/>
      <c r="H631" s="13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23">
        <f t="shared" si="18"/>
        <v>0</v>
      </c>
      <c r="T631" s="23">
        <f t="shared" si="19"/>
        <v>0</v>
      </c>
    </row>
    <row r="632" spans="1:20" x14ac:dyDescent="0.25">
      <c r="A632" s="11"/>
      <c r="B632" s="12"/>
      <c r="C632" s="17"/>
      <c r="D632" s="10"/>
      <c r="E632" s="11"/>
      <c r="F632" s="11"/>
      <c r="G632" s="13"/>
      <c r="H632" s="13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23">
        <f t="shared" si="18"/>
        <v>0</v>
      </c>
      <c r="T632" s="23">
        <f t="shared" si="19"/>
        <v>0</v>
      </c>
    </row>
    <row r="633" spans="1:20" x14ac:dyDescent="0.25">
      <c r="A633" s="11"/>
      <c r="B633" s="12"/>
      <c r="C633" s="17"/>
      <c r="D633" s="10"/>
      <c r="E633" s="11"/>
      <c r="F633" s="11"/>
      <c r="G633" s="13"/>
      <c r="H633" s="13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23">
        <f t="shared" si="18"/>
        <v>0</v>
      </c>
      <c r="T633" s="23">
        <f t="shared" si="19"/>
        <v>0</v>
      </c>
    </row>
    <row r="634" spans="1:20" x14ac:dyDescent="0.25">
      <c r="A634" s="11"/>
      <c r="B634" s="12"/>
      <c r="C634" s="17"/>
      <c r="D634" s="10"/>
      <c r="E634" s="11"/>
      <c r="F634" s="11"/>
      <c r="G634" s="13"/>
      <c r="H634" s="13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23">
        <f t="shared" si="18"/>
        <v>0</v>
      </c>
      <c r="T634" s="23">
        <f t="shared" si="19"/>
        <v>0</v>
      </c>
    </row>
    <row r="635" spans="1:20" x14ac:dyDescent="0.25">
      <c r="A635" s="11"/>
      <c r="B635" s="12"/>
      <c r="C635" s="17"/>
      <c r="D635" s="10"/>
      <c r="E635" s="11"/>
      <c r="F635" s="11"/>
      <c r="G635" s="13"/>
      <c r="H635" s="13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23">
        <f t="shared" si="18"/>
        <v>0</v>
      </c>
      <c r="T635" s="23">
        <f t="shared" si="19"/>
        <v>0</v>
      </c>
    </row>
    <row r="636" spans="1:20" x14ac:dyDescent="0.25">
      <c r="A636" s="11"/>
      <c r="B636" s="12"/>
      <c r="C636" s="17"/>
      <c r="D636" s="10"/>
      <c r="E636" s="11"/>
      <c r="F636" s="11"/>
      <c r="G636" s="13"/>
      <c r="H636" s="13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23">
        <f t="shared" si="18"/>
        <v>0</v>
      </c>
      <c r="T636" s="23">
        <f t="shared" si="19"/>
        <v>0</v>
      </c>
    </row>
    <row r="637" spans="1:20" x14ac:dyDescent="0.25">
      <c r="A637" s="11"/>
      <c r="B637" s="12"/>
      <c r="C637" s="17"/>
      <c r="D637" s="10"/>
      <c r="E637" s="11"/>
      <c r="F637" s="11"/>
      <c r="G637" s="13"/>
      <c r="H637" s="13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23">
        <f t="shared" si="18"/>
        <v>0</v>
      </c>
      <c r="T637" s="23">
        <f t="shared" si="19"/>
        <v>0</v>
      </c>
    </row>
    <row r="638" spans="1:20" x14ac:dyDescent="0.25">
      <c r="A638" s="11"/>
      <c r="B638" s="12"/>
      <c r="C638" s="17"/>
      <c r="D638" s="10"/>
      <c r="E638" s="11"/>
      <c r="F638" s="11"/>
      <c r="G638" s="13"/>
      <c r="H638" s="13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23">
        <f t="shared" si="18"/>
        <v>0</v>
      </c>
      <c r="T638" s="23">
        <f t="shared" si="19"/>
        <v>0</v>
      </c>
    </row>
    <row r="639" spans="1:20" x14ac:dyDescent="0.25">
      <c r="A639" s="11"/>
      <c r="B639" s="12"/>
      <c r="C639" s="17"/>
      <c r="D639" s="10"/>
      <c r="E639" s="11"/>
      <c r="F639" s="11"/>
      <c r="G639" s="13"/>
      <c r="H639" s="13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23">
        <f t="shared" si="18"/>
        <v>0</v>
      </c>
      <c r="T639" s="23">
        <f t="shared" si="19"/>
        <v>0</v>
      </c>
    </row>
    <row r="640" spans="1:20" x14ac:dyDescent="0.25">
      <c r="A640" s="11"/>
      <c r="B640" s="12"/>
      <c r="C640" s="17"/>
      <c r="D640" s="10"/>
      <c r="E640" s="11"/>
      <c r="F640" s="11"/>
      <c r="G640" s="13"/>
      <c r="H640" s="13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23">
        <f t="shared" si="18"/>
        <v>0</v>
      </c>
      <c r="T640" s="23">
        <f t="shared" si="19"/>
        <v>0</v>
      </c>
    </row>
    <row r="641" spans="1:20" x14ac:dyDescent="0.25">
      <c r="A641" s="11"/>
      <c r="B641" s="12"/>
      <c r="C641" s="17"/>
      <c r="D641" s="10"/>
      <c r="E641" s="11"/>
      <c r="F641" s="11"/>
      <c r="G641" s="13"/>
      <c r="H641" s="13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23">
        <f t="shared" si="18"/>
        <v>0</v>
      </c>
      <c r="T641" s="23">
        <f t="shared" si="19"/>
        <v>0</v>
      </c>
    </row>
    <row r="642" spans="1:20" x14ac:dyDescent="0.25">
      <c r="A642" s="11"/>
      <c r="B642" s="12"/>
      <c r="C642" s="17"/>
      <c r="D642" s="10"/>
      <c r="E642" s="11"/>
      <c r="F642" s="11"/>
      <c r="G642" s="13"/>
      <c r="H642" s="13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23">
        <f t="shared" si="18"/>
        <v>0</v>
      </c>
      <c r="T642" s="23">
        <f t="shared" si="19"/>
        <v>0</v>
      </c>
    </row>
    <row r="643" spans="1:20" x14ac:dyDescent="0.25">
      <c r="A643" s="11"/>
      <c r="B643" s="12"/>
      <c r="C643" s="17"/>
      <c r="D643" s="10"/>
      <c r="E643" s="11"/>
      <c r="F643" s="11"/>
      <c r="G643" s="13"/>
      <c r="H643" s="13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23">
        <f t="shared" si="18"/>
        <v>0</v>
      </c>
      <c r="T643" s="23">
        <f t="shared" si="19"/>
        <v>0</v>
      </c>
    </row>
    <row r="644" spans="1:20" x14ac:dyDescent="0.25">
      <c r="A644" s="11"/>
      <c r="B644" s="12"/>
      <c r="C644" s="17"/>
      <c r="D644" s="10"/>
      <c r="E644" s="11"/>
      <c r="F644" s="11"/>
      <c r="G644" s="13"/>
      <c r="H644" s="13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23">
        <f t="shared" si="18"/>
        <v>0</v>
      </c>
      <c r="T644" s="23">
        <f t="shared" si="19"/>
        <v>0</v>
      </c>
    </row>
    <row r="645" spans="1:20" x14ac:dyDescent="0.25">
      <c r="A645" s="11"/>
      <c r="B645" s="12"/>
      <c r="C645" s="17"/>
      <c r="D645" s="10"/>
      <c r="E645" s="11"/>
      <c r="F645" s="11"/>
      <c r="G645" s="13"/>
      <c r="H645" s="13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23">
        <f t="shared" si="18"/>
        <v>0</v>
      </c>
      <c r="T645" s="23">
        <f t="shared" si="19"/>
        <v>0</v>
      </c>
    </row>
    <row r="646" spans="1:20" x14ac:dyDescent="0.25">
      <c r="A646" s="11"/>
      <c r="B646" s="12"/>
      <c r="C646" s="17"/>
      <c r="D646" s="10"/>
      <c r="E646" s="11"/>
      <c r="F646" s="11"/>
      <c r="G646" s="13"/>
      <c r="H646" s="13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23">
        <f t="shared" ref="S646:S709" si="20">SUM(I646,K646,M646,O646)</f>
        <v>0</v>
      </c>
      <c r="T646" s="23">
        <f t="shared" ref="T646:T709" si="21">SUM(J646,L646,N646,P646)</f>
        <v>0</v>
      </c>
    </row>
    <row r="647" spans="1:20" x14ac:dyDescent="0.25">
      <c r="A647" s="11"/>
      <c r="B647" s="12"/>
      <c r="C647" s="17"/>
      <c r="D647" s="10"/>
      <c r="E647" s="11"/>
      <c r="F647" s="11"/>
      <c r="G647" s="13"/>
      <c r="H647" s="13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23">
        <f t="shared" si="20"/>
        <v>0</v>
      </c>
      <c r="T647" s="23">
        <f t="shared" si="21"/>
        <v>0</v>
      </c>
    </row>
    <row r="648" spans="1:20" x14ac:dyDescent="0.25">
      <c r="A648" s="11"/>
      <c r="B648" s="12"/>
      <c r="C648" s="17"/>
      <c r="D648" s="10"/>
      <c r="E648" s="11"/>
      <c r="F648" s="11"/>
      <c r="G648" s="13"/>
      <c r="H648" s="13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23">
        <f t="shared" si="20"/>
        <v>0</v>
      </c>
      <c r="T648" s="23">
        <f t="shared" si="21"/>
        <v>0</v>
      </c>
    </row>
    <row r="649" spans="1:20" x14ac:dyDescent="0.25">
      <c r="A649" s="11"/>
      <c r="B649" s="12"/>
      <c r="C649" s="17"/>
      <c r="D649" s="10"/>
      <c r="E649" s="11"/>
      <c r="F649" s="11"/>
      <c r="G649" s="13"/>
      <c r="H649" s="13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23">
        <f t="shared" si="20"/>
        <v>0</v>
      </c>
      <c r="T649" s="23">
        <f t="shared" si="21"/>
        <v>0</v>
      </c>
    </row>
    <row r="650" spans="1:20" x14ac:dyDescent="0.25">
      <c r="A650" s="11"/>
      <c r="B650" s="12"/>
      <c r="C650" s="17"/>
      <c r="D650" s="10"/>
      <c r="E650" s="11"/>
      <c r="F650" s="11"/>
      <c r="G650" s="13"/>
      <c r="H650" s="13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23">
        <f t="shared" si="20"/>
        <v>0</v>
      </c>
      <c r="T650" s="23">
        <f t="shared" si="21"/>
        <v>0</v>
      </c>
    </row>
    <row r="651" spans="1:20" x14ac:dyDescent="0.25">
      <c r="A651" s="11"/>
      <c r="B651" s="12"/>
      <c r="C651" s="17"/>
      <c r="D651" s="10"/>
      <c r="E651" s="11"/>
      <c r="F651" s="11"/>
      <c r="G651" s="13"/>
      <c r="H651" s="13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23">
        <f t="shared" si="20"/>
        <v>0</v>
      </c>
      <c r="T651" s="23">
        <f t="shared" si="21"/>
        <v>0</v>
      </c>
    </row>
    <row r="652" spans="1:20" x14ac:dyDescent="0.25">
      <c r="A652" s="11"/>
      <c r="B652" s="12"/>
      <c r="C652" s="17"/>
      <c r="D652" s="10"/>
      <c r="E652" s="11"/>
      <c r="F652" s="11"/>
      <c r="G652" s="13"/>
      <c r="H652" s="13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23">
        <f t="shared" si="20"/>
        <v>0</v>
      </c>
      <c r="T652" s="23">
        <f t="shared" si="21"/>
        <v>0</v>
      </c>
    </row>
    <row r="653" spans="1:20" x14ac:dyDescent="0.25">
      <c r="A653" s="11"/>
      <c r="B653" s="12"/>
      <c r="C653" s="17"/>
      <c r="D653" s="10"/>
      <c r="E653" s="11"/>
      <c r="F653" s="11"/>
      <c r="G653" s="13"/>
      <c r="H653" s="13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23">
        <f t="shared" si="20"/>
        <v>0</v>
      </c>
      <c r="T653" s="23">
        <f t="shared" si="21"/>
        <v>0</v>
      </c>
    </row>
    <row r="654" spans="1:20" x14ac:dyDescent="0.25">
      <c r="A654" s="11"/>
      <c r="B654" s="12"/>
      <c r="C654" s="17"/>
      <c r="D654" s="10"/>
      <c r="E654" s="11"/>
      <c r="F654" s="11"/>
      <c r="G654" s="13"/>
      <c r="H654" s="13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23">
        <f t="shared" si="20"/>
        <v>0</v>
      </c>
      <c r="T654" s="23">
        <f t="shared" si="21"/>
        <v>0</v>
      </c>
    </row>
    <row r="655" spans="1:20" x14ac:dyDescent="0.25">
      <c r="A655" s="11"/>
      <c r="B655" s="12"/>
      <c r="C655" s="17"/>
      <c r="D655" s="10"/>
      <c r="E655" s="11"/>
      <c r="F655" s="11"/>
      <c r="G655" s="13"/>
      <c r="H655" s="13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23">
        <f t="shared" si="20"/>
        <v>0</v>
      </c>
      <c r="T655" s="23">
        <f t="shared" si="21"/>
        <v>0</v>
      </c>
    </row>
    <row r="656" spans="1:20" x14ac:dyDescent="0.25">
      <c r="A656" s="11"/>
      <c r="B656" s="12"/>
      <c r="C656" s="17"/>
      <c r="D656" s="10"/>
      <c r="E656" s="11"/>
      <c r="F656" s="11"/>
      <c r="G656" s="13"/>
      <c r="H656" s="13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23">
        <f t="shared" si="20"/>
        <v>0</v>
      </c>
      <c r="T656" s="23">
        <f t="shared" si="21"/>
        <v>0</v>
      </c>
    </row>
    <row r="657" spans="1:20" x14ac:dyDescent="0.25">
      <c r="A657" s="11"/>
      <c r="B657" s="12"/>
      <c r="C657" s="17"/>
      <c r="D657" s="10"/>
      <c r="E657" s="11"/>
      <c r="F657" s="11"/>
      <c r="G657" s="13"/>
      <c r="H657" s="13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23">
        <f t="shared" si="20"/>
        <v>0</v>
      </c>
      <c r="T657" s="23">
        <f t="shared" si="21"/>
        <v>0</v>
      </c>
    </row>
    <row r="658" spans="1:20" x14ac:dyDescent="0.25">
      <c r="A658" s="11"/>
      <c r="B658" s="12"/>
      <c r="C658" s="17"/>
      <c r="D658" s="10"/>
      <c r="E658" s="11"/>
      <c r="F658" s="11"/>
      <c r="G658" s="13"/>
      <c r="H658" s="13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23">
        <f t="shared" si="20"/>
        <v>0</v>
      </c>
      <c r="T658" s="23">
        <f t="shared" si="21"/>
        <v>0</v>
      </c>
    </row>
    <row r="659" spans="1:20" x14ac:dyDescent="0.25">
      <c r="A659" s="11"/>
      <c r="B659" s="12"/>
      <c r="C659" s="17"/>
      <c r="D659" s="10"/>
      <c r="E659" s="11"/>
      <c r="F659" s="11"/>
      <c r="G659" s="13"/>
      <c r="H659" s="13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23">
        <f t="shared" si="20"/>
        <v>0</v>
      </c>
      <c r="T659" s="23">
        <f t="shared" si="21"/>
        <v>0</v>
      </c>
    </row>
    <row r="660" spans="1:20" x14ac:dyDescent="0.25">
      <c r="A660" s="11"/>
      <c r="B660" s="12"/>
      <c r="C660" s="17"/>
      <c r="D660" s="10"/>
      <c r="E660" s="11"/>
      <c r="F660" s="11"/>
      <c r="G660" s="13"/>
      <c r="H660" s="13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23">
        <f t="shared" si="20"/>
        <v>0</v>
      </c>
      <c r="T660" s="23">
        <f t="shared" si="21"/>
        <v>0</v>
      </c>
    </row>
    <row r="661" spans="1:20" x14ac:dyDescent="0.25">
      <c r="A661" s="11"/>
      <c r="B661" s="12"/>
      <c r="C661" s="17"/>
      <c r="D661" s="10"/>
      <c r="E661" s="11"/>
      <c r="F661" s="11"/>
      <c r="G661" s="13"/>
      <c r="H661" s="13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23">
        <f t="shared" si="20"/>
        <v>0</v>
      </c>
      <c r="T661" s="23">
        <f t="shared" si="21"/>
        <v>0</v>
      </c>
    </row>
    <row r="662" spans="1:20" x14ac:dyDescent="0.25">
      <c r="A662" s="11"/>
      <c r="B662" s="12"/>
      <c r="C662" s="17"/>
      <c r="D662" s="10"/>
      <c r="E662" s="11"/>
      <c r="F662" s="11"/>
      <c r="G662" s="13"/>
      <c r="H662" s="13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23">
        <f t="shared" si="20"/>
        <v>0</v>
      </c>
      <c r="T662" s="23">
        <f t="shared" si="21"/>
        <v>0</v>
      </c>
    </row>
    <row r="663" spans="1:20" x14ac:dyDescent="0.25">
      <c r="A663" s="11"/>
      <c r="B663" s="12"/>
      <c r="C663" s="17"/>
      <c r="D663" s="10"/>
      <c r="E663" s="11"/>
      <c r="F663" s="11"/>
      <c r="G663" s="13"/>
      <c r="H663" s="13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23">
        <f t="shared" si="20"/>
        <v>0</v>
      </c>
      <c r="T663" s="23">
        <f t="shared" si="21"/>
        <v>0</v>
      </c>
    </row>
    <row r="664" spans="1:20" x14ac:dyDescent="0.25">
      <c r="A664" s="11"/>
      <c r="B664" s="12"/>
      <c r="C664" s="17"/>
      <c r="D664" s="10"/>
      <c r="E664" s="11"/>
      <c r="F664" s="11"/>
      <c r="G664" s="13"/>
      <c r="H664" s="13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23">
        <f t="shared" si="20"/>
        <v>0</v>
      </c>
      <c r="T664" s="23">
        <f t="shared" si="21"/>
        <v>0</v>
      </c>
    </row>
    <row r="665" spans="1:20" x14ac:dyDescent="0.25">
      <c r="A665" s="11"/>
      <c r="B665" s="12"/>
      <c r="C665" s="17"/>
      <c r="D665" s="10"/>
      <c r="E665" s="11"/>
      <c r="F665" s="11"/>
      <c r="G665" s="13"/>
      <c r="H665" s="13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23">
        <f t="shared" si="20"/>
        <v>0</v>
      </c>
      <c r="T665" s="23">
        <f t="shared" si="21"/>
        <v>0</v>
      </c>
    </row>
    <row r="666" spans="1:20" x14ac:dyDescent="0.25">
      <c r="A666" s="11"/>
      <c r="B666" s="12"/>
      <c r="C666" s="17"/>
      <c r="D666" s="10"/>
      <c r="E666" s="11"/>
      <c r="F666" s="11"/>
      <c r="G666" s="13"/>
      <c r="H666" s="13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23">
        <f t="shared" si="20"/>
        <v>0</v>
      </c>
      <c r="T666" s="23">
        <f t="shared" si="21"/>
        <v>0</v>
      </c>
    </row>
    <row r="667" spans="1:20" x14ac:dyDescent="0.25">
      <c r="A667" s="11"/>
      <c r="B667" s="12"/>
      <c r="C667" s="17"/>
      <c r="D667" s="10"/>
      <c r="E667" s="11"/>
      <c r="F667" s="11"/>
      <c r="G667" s="13"/>
      <c r="H667" s="13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23">
        <f t="shared" si="20"/>
        <v>0</v>
      </c>
      <c r="T667" s="23">
        <f t="shared" si="21"/>
        <v>0</v>
      </c>
    </row>
    <row r="668" spans="1:20" x14ac:dyDescent="0.25">
      <c r="A668" s="11"/>
      <c r="B668" s="12"/>
      <c r="C668" s="17"/>
      <c r="D668" s="10"/>
      <c r="E668" s="11"/>
      <c r="F668" s="11"/>
      <c r="G668" s="13"/>
      <c r="H668" s="13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23">
        <f t="shared" si="20"/>
        <v>0</v>
      </c>
      <c r="T668" s="23">
        <f t="shared" si="21"/>
        <v>0</v>
      </c>
    </row>
    <row r="669" spans="1:20" x14ac:dyDescent="0.25">
      <c r="A669" s="11"/>
      <c r="B669" s="12"/>
      <c r="C669" s="17"/>
      <c r="D669" s="10"/>
      <c r="E669" s="11"/>
      <c r="F669" s="11"/>
      <c r="G669" s="13"/>
      <c r="H669" s="13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23">
        <f t="shared" si="20"/>
        <v>0</v>
      </c>
      <c r="T669" s="23">
        <f t="shared" si="21"/>
        <v>0</v>
      </c>
    </row>
    <row r="670" spans="1:20" x14ac:dyDescent="0.25">
      <c r="A670" s="11"/>
      <c r="B670" s="12"/>
      <c r="C670" s="17"/>
      <c r="D670" s="10"/>
      <c r="E670" s="11"/>
      <c r="F670" s="11"/>
      <c r="G670" s="13"/>
      <c r="H670" s="13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23">
        <f t="shared" si="20"/>
        <v>0</v>
      </c>
      <c r="T670" s="23">
        <f t="shared" si="21"/>
        <v>0</v>
      </c>
    </row>
    <row r="671" spans="1:20" x14ac:dyDescent="0.25">
      <c r="A671" s="11"/>
      <c r="B671" s="12"/>
      <c r="C671" s="17"/>
      <c r="D671" s="10"/>
      <c r="E671" s="11"/>
      <c r="F671" s="11"/>
      <c r="G671" s="13"/>
      <c r="H671" s="13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23">
        <f t="shared" si="20"/>
        <v>0</v>
      </c>
      <c r="T671" s="23">
        <f t="shared" si="21"/>
        <v>0</v>
      </c>
    </row>
    <row r="672" spans="1:20" x14ac:dyDescent="0.25">
      <c r="A672" s="11"/>
      <c r="B672" s="12"/>
      <c r="C672" s="17"/>
      <c r="D672" s="10"/>
      <c r="E672" s="11"/>
      <c r="F672" s="11"/>
      <c r="G672" s="13"/>
      <c r="H672" s="13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23">
        <f t="shared" si="20"/>
        <v>0</v>
      </c>
      <c r="T672" s="23">
        <f t="shared" si="21"/>
        <v>0</v>
      </c>
    </row>
    <row r="673" spans="1:20" x14ac:dyDescent="0.25">
      <c r="A673" s="11"/>
      <c r="B673" s="12"/>
      <c r="C673" s="17"/>
      <c r="D673" s="10"/>
      <c r="E673" s="11"/>
      <c r="F673" s="11"/>
      <c r="G673" s="13"/>
      <c r="H673" s="13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23">
        <f t="shared" si="20"/>
        <v>0</v>
      </c>
      <c r="T673" s="23">
        <f t="shared" si="21"/>
        <v>0</v>
      </c>
    </row>
    <row r="674" spans="1:20" x14ac:dyDescent="0.25">
      <c r="A674" s="11"/>
      <c r="B674" s="12"/>
      <c r="C674" s="17"/>
      <c r="D674" s="10"/>
      <c r="E674" s="11"/>
      <c r="F674" s="11"/>
      <c r="G674" s="13"/>
      <c r="H674" s="13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23">
        <f t="shared" si="20"/>
        <v>0</v>
      </c>
      <c r="T674" s="23">
        <f t="shared" si="21"/>
        <v>0</v>
      </c>
    </row>
    <row r="675" spans="1:20" x14ac:dyDescent="0.25">
      <c r="A675" s="11"/>
      <c r="B675" s="12"/>
      <c r="C675" s="17"/>
      <c r="D675" s="10"/>
      <c r="E675" s="11"/>
      <c r="F675" s="11"/>
      <c r="G675" s="13"/>
      <c r="H675" s="13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23">
        <f t="shared" si="20"/>
        <v>0</v>
      </c>
      <c r="T675" s="23">
        <f t="shared" si="21"/>
        <v>0</v>
      </c>
    </row>
    <row r="676" spans="1:20" x14ac:dyDescent="0.25">
      <c r="A676" s="11"/>
      <c r="B676" s="12"/>
      <c r="C676" s="17"/>
      <c r="D676" s="10"/>
      <c r="E676" s="11"/>
      <c r="F676" s="11"/>
      <c r="G676" s="13"/>
      <c r="H676" s="13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23">
        <f t="shared" si="20"/>
        <v>0</v>
      </c>
      <c r="T676" s="23">
        <f t="shared" si="21"/>
        <v>0</v>
      </c>
    </row>
    <row r="677" spans="1:20" x14ac:dyDescent="0.25">
      <c r="A677" s="11"/>
      <c r="B677" s="12"/>
      <c r="C677" s="17"/>
      <c r="D677" s="10"/>
      <c r="E677" s="11"/>
      <c r="F677" s="11"/>
      <c r="G677" s="13"/>
      <c r="H677" s="13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23">
        <f t="shared" si="20"/>
        <v>0</v>
      </c>
      <c r="T677" s="23">
        <f t="shared" si="21"/>
        <v>0</v>
      </c>
    </row>
    <row r="678" spans="1:20" x14ac:dyDescent="0.25">
      <c r="A678" s="11"/>
      <c r="B678" s="12"/>
      <c r="C678" s="17"/>
      <c r="D678" s="10"/>
      <c r="E678" s="11"/>
      <c r="F678" s="11"/>
      <c r="G678" s="13"/>
      <c r="H678" s="13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23">
        <f t="shared" si="20"/>
        <v>0</v>
      </c>
      <c r="T678" s="23">
        <f t="shared" si="21"/>
        <v>0</v>
      </c>
    </row>
    <row r="679" spans="1:20" x14ac:dyDescent="0.25">
      <c r="A679" s="11"/>
      <c r="B679" s="12"/>
      <c r="C679" s="17"/>
      <c r="D679" s="10"/>
      <c r="E679" s="11"/>
      <c r="F679" s="11"/>
      <c r="G679" s="13"/>
      <c r="H679" s="13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23">
        <f t="shared" si="20"/>
        <v>0</v>
      </c>
      <c r="T679" s="23">
        <f t="shared" si="21"/>
        <v>0</v>
      </c>
    </row>
    <row r="680" spans="1:20" x14ac:dyDescent="0.25">
      <c r="A680" s="11"/>
      <c r="B680" s="12"/>
      <c r="C680" s="17"/>
      <c r="D680" s="10"/>
      <c r="E680" s="11"/>
      <c r="F680" s="11"/>
      <c r="G680" s="13"/>
      <c r="H680" s="13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23">
        <f t="shared" si="20"/>
        <v>0</v>
      </c>
      <c r="T680" s="23">
        <f t="shared" si="21"/>
        <v>0</v>
      </c>
    </row>
    <row r="681" spans="1:20" x14ac:dyDescent="0.25">
      <c r="A681" s="11"/>
      <c r="B681" s="12"/>
      <c r="C681" s="17"/>
      <c r="D681" s="10"/>
      <c r="E681" s="11"/>
      <c r="F681" s="11"/>
      <c r="G681" s="13"/>
      <c r="H681" s="13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23">
        <f t="shared" si="20"/>
        <v>0</v>
      </c>
      <c r="T681" s="23">
        <f t="shared" si="21"/>
        <v>0</v>
      </c>
    </row>
    <row r="682" spans="1:20" x14ac:dyDescent="0.25">
      <c r="A682" s="11"/>
      <c r="B682" s="12"/>
      <c r="C682" s="17"/>
      <c r="D682" s="10"/>
      <c r="E682" s="11"/>
      <c r="F682" s="11"/>
      <c r="G682" s="13"/>
      <c r="H682" s="13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23">
        <f t="shared" si="20"/>
        <v>0</v>
      </c>
      <c r="T682" s="23">
        <f t="shared" si="21"/>
        <v>0</v>
      </c>
    </row>
    <row r="683" spans="1:20" x14ac:dyDescent="0.25">
      <c r="A683" s="11"/>
      <c r="B683" s="12"/>
      <c r="C683" s="17"/>
      <c r="D683" s="10"/>
      <c r="E683" s="11"/>
      <c r="F683" s="11"/>
      <c r="G683" s="13"/>
      <c r="H683" s="13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23">
        <f t="shared" si="20"/>
        <v>0</v>
      </c>
      <c r="T683" s="23">
        <f t="shared" si="21"/>
        <v>0</v>
      </c>
    </row>
    <row r="684" spans="1:20" x14ac:dyDescent="0.25">
      <c r="A684" s="11"/>
      <c r="B684" s="12"/>
      <c r="C684" s="17"/>
      <c r="D684" s="10"/>
      <c r="E684" s="11"/>
      <c r="F684" s="11"/>
      <c r="G684" s="13"/>
      <c r="H684" s="13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23">
        <f t="shared" si="20"/>
        <v>0</v>
      </c>
      <c r="T684" s="23">
        <f t="shared" si="21"/>
        <v>0</v>
      </c>
    </row>
    <row r="685" spans="1:20" x14ac:dyDescent="0.25">
      <c r="A685" s="11"/>
      <c r="B685" s="12"/>
      <c r="C685" s="17"/>
      <c r="D685" s="10"/>
      <c r="E685" s="11"/>
      <c r="F685" s="11"/>
      <c r="G685" s="13"/>
      <c r="H685" s="13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23">
        <f t="shared" si="20"/>
        <v>0</v>
      </c>
      <c r="T685" s="23">
        <f t="shared" si="21"/>
        <v>0</v>
      </c>
    </row>
    <row r="686" spans="1:20" x14ac:dyDescent="0.25">
      <c r="A686" s="11"/>
      <c r="B686" s="12"/>
      <c r="C686" s="17"/>
      <c r="D686" s="10"/>
      <c r="E686" s="11"/>
      <c r="F686" s="11"/>
      <c r="G686" s="13"/>
      <c r="H686" s="13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23">
        <f t="shared" si="20"/>
        <v>0</v>
      </c>
      <c r="T686" s="23">
        <f t="shared" si="21"/>
        <v>0</v>
      </c>
    </row>
    <row r="687" spans="1:20" x14ac:dyDescent="0.25">
      <c r="A687" s="11"/>
      <c r="B687" s="12"/>
      <c r="C687" s="17"/>
      <c r="D687" s="10"/>
      <c r="E687" s="11"/>
      <c r="F687" s="11"/>
      <c r="G687" s="13"/>
      <c r="H687" s="13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23">
        <f t="shared" si="20"/>
        <v>0</v>
      </c>
      <c r="T687" s="23">
        <f t="shared" si="21"/>
        <v>0</v>
      </c>
    </row>
    <row r="688" spans="1:20" x14ac:dyDescent="0.25">
      <c r="A688" s="11"/>
      <c r="B688" s="12"/>
      <c r="C688" s="17"/>
      <c r="D688" s="10"/>
      <c r="E688" s="11"/>
      <c r="F688" s="11"/>
      <c r="G688" s="13"/>
      <c r="H688" s="13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23">
        <f t="shared" si="20"/>
        <v>0</v>
      </c>
      <c r="T688" s="23">
        <f t="shared" si="21"/>
        <v>0</v>
      </c>
    </row>
    <row r="689" spans="1:20" x14ac:dyDescent="0.25">
      <c r="A689" s="11"/>
      <c r="B689" s="12"/>
      <c r="C689" s="17"/>
      <c r="D689" s="10"/>
      <c r="E689" s="11"/>
      <c r="F689" s="11"/>
      <c r="G689" s="13"/>
      <c r="H689" s="13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23">
        <f t="shared" si="20"/>
        <v>0</v>
      </c>
      <c r="T689" s="23">
        <f t="shared" si="21"/>
        <v>0</v>
      </c>
    </row>
    <row r="690" spans="1:20" x14ac:dyDescent="0.25">
      <c r="A690" s="11"/>
      <c r="B690" s="12"/>
      <c r="C690" s="17"/>
      <c r="D690" s="10"/>
      <c r="E690" s="11"/>
      <c r="F690" s="11"/>
      <c r="G690" s="13"/>
      <c r="H690" s="13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23">
        <f t="shared" si="20"/>
        <v>0</v>
      </c>
      <c r="T690" s="23">
        <f t="shared" si="21"/>
        <v>0</v>
      </c>
    </row>
    <row r="691" spans="1:20" x14ac:dyDescent="0.25">
      <c r="A691" s="11"/>
      <c r="B691" s="12"/>
      <c r="C691" s="17"/>
      <c r="D691" s="10"/>
      <c r="E691" s="11"/>
      <c r="F691" s="11"/>
      <c r="G691" s="13"/>
      <c r="H691" s="13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23">
        <f t="shared" si="20"/>
        <v>0</v>
      </c>
      <c r="T691" s="23">
        <f t="shared" si="21"/>
        <v>0</v>
      </c>
    </row>
    <row r="692" spans="1:20" x14ac:dyDescent="0.25">
      <c r="A692" s="11"/>
      <c r="B692" s="12"/>
      <c r="C692" s="17"/>
      <c r="D692" s="10"/>
      <c r="E692" s="11"/>
      <c r="F692" s="11"/>
      <c r="G692" s="13"/>
      <c r="H692" s="13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23">
        <f t="shared" si="20"/>
        <v>0</v>
      </c>
      <c r="T692" s="23">
        <f t="shared" si="21"/>
        <v>0</v>
      </c>
    </row>
    <row r="693" spans="1:20" x14ac:dyDescent="0.25">
      <c r="A693" s="11"/>
      <c r="B693" s="12"/>
      <c r="C693" s="17"/>
      <c r="D693" s="10"/>
      <c r="E693" s="11"/>
      <c r="F693" s="11"/>
      <c r="G693" s="13"/>
      <c r="H693" s="13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23">
        <f t="shared" si="20"/>
        <v>0</v>
      </c>
      <c r="T693" s="23">
        <f t="shared" si="21"/>
        <v>0</v>
      </c>
    </row>
    <row r="694" spans="1:20" x14ac:dyDescent="0.25">
      <c r="A694" s="11"/>
      <c r="B694" s="12"/>
      <c r="C694" s="17"/>
      <c r="D694" s="10"/>
      <c r="E694" s="11"/>
      <c r="F694" s="11"/>
      <c r="G694" s="13"/>
      <c r="H694" s="13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23">
        <f t="shared" si="20"/>
        <v>0</v>
      </c>
      <c r="T694" s="23">
        <f t="shared" si="21"/>
        <v>0</v>
      </c>
    </row>
    <row r="695" spans="1:20" x14ac:dyDescent="0.25">
      <c r="A695" s="11"/>
      <c r="B695" s="12"/>
      <c r="C695" s="17"/>
      <c r="D695" s="10"/>
      <c r="E695" s="11"/>
      <c r="F695" s="11"/>
      <c r="G695" s="13"/>
      <c r="H695" s="13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23">
        <f t="shared" si="20"/>
        <v>0</v>
      </c>
      <c r="T695" s="23">
        <f t="shared" si="21"/>
        <v>0</v>
      </c>
    </row>
    <row r="696" spans="1:20" x14ac:dyDescent="0.25">
      <c r="A696" s="11"/>
      <c r="B696" s="12"/>
      <c r="C696" s="17"/>
      <c r="D696" s="10"/>
      <c r="E696" s="11"/>
      <c r="F696" s="11"/>
      <c r="G696" s="13"/>
      <c r="H696" s="13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23">
        <f t="shared" si="20"/>
        <v>0</v>
      </c>
      <c r="T696" s="23">
        <f t="shared" si="21"/>
        <v>0</v>
      </c>
    </row>
    <row r="697" spans="1:20" x14ac:dyDescent="0.25">
      <c r="A697" s="11"/>
      <c r="B697" s="12"/>
      <c r="C697" s="17"/>
      <c r="D697" s="10"/>
      <c r="E697" s="11"/>
      <c r="F697" s="11"/>
      <c r="G697" s="13"/>
      <c r="H697" s="13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23">
        <f t="shared" si="20"/>
        <v>0</v>
      </c>
      <c r="T697" s="23">
        <f t="shared" si="21"/>
        <v>0</v>
      </c>
    </row>
    <row r="698" spans="1:20" x14ac:dyDescent="0.25">
      <c r="A698" s="11"/>
      <c r="B698" s="12"/>
      <c r="C698" s="17"/>
      <c r="D698" s="10"/>
      <c r="E698" s="11"/>
      <c r="F698" s="11"/>
      <c r="G698" s="13"/>
      <c r="H698" s="13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23">
        <f t="shared" si="20"/>
        <v>0</v>
      </c>
      <c r="T698" s="23">
        <f t="shared" si="21"/>
        <v>0</v>
      </c>
    </row>
    <row r="699" spans="1:20" x14ac:dyDescent="0.25">
      <c r="A699" s="11"/>
      <c r="B699" s="12"/>
      <c r="C699" s="17"/>
      <c r="D699" s="10"/>
      <c r="E699" s="11"/>
      <c r="F699" s="11"/>
      <c r="G699" s="13"/>
      <c r="H699" s="13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23">
        <f t="shared" si="20"/>
        <v>0</v>
      </c>
      <c r="T699" s="23">
        <f t="shared" si="21"/>
        <v>0</v>
      </c>
    </row>
    <row r="700" spans="1:20" x14ac:dyDescent="0.25">
      <c r="A700" s="11"/>
      <c r="B700" s="12"/>
      <c r="C700" s="17"/>
      <c r="D700" s="10"/>
      <c r="E700" s="11"/>
      <c r="F700" s="11"/>
      <c r="G700" s="13"/>
      <c r="H700" s="13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23">
        <f t="shared" si="20"/>
        <v>0</v>
      </c>
      <c r="T700" s="23">
        <f t="shared" si="21"/>
        <v>0</v>
      </c>
    </row>
    <row r="701" spans="1:20" x14ac:dyDescent="0.25">
      <c r="A701" s="11"/>
      <c r="B701" s="12"/>
      <c r="C701" s="17"/>
      <c r="D701" s="10"/>
      <c r="E701" s="11"/>
      <c r="F701" s="11"/>
      <c r="G701" s="13"/>
      <c r="H701" s="13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23">
        <f t="shared" si="20"/>
        <v>0</v>
      </c>
      <c r="T701" s="23">
        <f t="shared" si="21"/>
        <v>0</v>
      </c>
    </row>
    <row r="702" spans="1:20" x14ac:dyDescent="0.25">
      <c r="A702" s="11"/>
      <c r="B702" s="12"/>
      <c r="C702" s="17"/>
      <c r="D702" s="10"/>
      <c r="E702" s="11"/>
      <c r="F702" s="11"/>
      <c r="G702" s="13"/>
      <c r="H702" s="13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23">
        <f t="shared" si="20"/>
        <v>0</v>
      </c>
      <c r="T702" s="23">
        <f t="shared" si="21"/>
        <v>0</v>
      </c>
    </row>
    <row r="703" spans="1:20" x14ac:dyDescent="0.25">
      <c r="A703" s="11"/>
      <c r="B703" s="12"/>
      <c r="C703" s="17"/>
      <c r="D703" s="10"/>
      <c r="E703" s="11"/>
      <c r="F703" s="11"/>
      <c r="G703" s="13"/>
      <c r="H703" s="13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23">
        <f t="shared" si="20"/>
        <v>0</v>
      </c>
      <c r="T703" s="23">
        <f t="shared" si="21"/>
        <v>0</v>
      </c>
    </row>
    <row r="704" spans="1:20" x14ac:dyDescent="0.25">
      <c r="A704" s="11"/>
      <c r="B704" s="12"/>
      <c r="C704" s="17"/>
      <c r="D704" s="10"/>
      <c r="E704" s="11"/>
      <c r="F704" s="11"/>
      <c r="G704" s="13"/>
      <c r="H704" s="13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23">
        <f t="shared" si="20"/>
        <v>0</v>
      </c>
      <c r="T704" s="23">
        <f t="shared" si="21"/>
        <v>0</v>
      </c>
    </row>
    <row r="705" spans="1:20" x14ac:dyDescent="0.25">
      <c r="A705" s="11"/>
      <c r="B705" s="12"/>
      <c r="C705" s="17"/>
      <c r="D705" s="10"/>
      <c r="E705" s="11"/>
      <c r="F705" s="11"/>
      <c r="G705" s="13"/>
      <c r="H705" s="13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23">
        <f t="shared" si="20"/>
        <v>0</v>
      </c>
      <c r="T705" s="23">
        <f t="shared" si="21"/>
        <v>0</v>
      </c>
    </row>
    <row r="706" spans="1:20" x14ac:dyDescent="0.25">
      <c r="A706" s="11"/>
      <c r="B706" s="12"/>
      <c r="C706" s="17"/>
      <c r="D706" s="10"/>
      <c r="E706" s="11"/>
      <c r="F706" s="11"/>
      <c r="G706" s="13"/>
      <c r="H706" s="13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23">
        <f t="shared" si="20"/>
        <v>0</v>
      </c>
      <c r="T706" s="23">
        <f t="shared" si="21"/>
        <v>0</v>
      </c>
    </row>
    <row r="707" spans="1:20" x14ac:dyDescent="0.25">
      <c r="A707" s="11"/>
      <c r="B707" s="12"/>
      <c r="C707" s="17"/>
      <c r="D707" s="10"/>
      <c r="E707" s="11"/>
      <c r="F707" s="11"/>
      <c r="G707" s="13"/>
      <c r="H707" s="13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23">
        <f t="shared" si="20"/>
        <v>0</v>
      </c>
      <c r="T707" s="23">
        <f t="shared" si="21"/>
        <v>0</v>
      </c>
    </row>
    <row r="708" spans="1:20" x14ac:dyDescent="0.25">
      <c r="A708" s="11"/>
      <c r="B708" s="12"/>
      <c r="C708" s="17"/>
      <c r="D708" s="10"/>
      <c r="E708" s="11"/>
      <c r="F708" s="11"/>
      <c r="G708" s="13"/>
      <c r="H708" s="13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23">
        <f t="shared" si="20"/>
        <v>0</v>
      </c>
      <c r="T708" s="23">
        <f t="shared" si="21"/>
        <v>0</v>
      </c>
    </row>
    <row r="709" spans="1:20" x14ac:dyDescent="0.25">
      <c r="A709" s="11"/>
      <c r="B709" s="12"/>
      <c r="C709" s="17"/>
      <c r="D709" s="10"/>
      <c r="E709" s="11"/>
      <c r="F709" s="11"/>
      <c r="G709" s="13"/>
      <c r="H709" s="13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23">
        <f t="shared" si="20"/>
        <v>0</v>
      </c>
      <c r="T709" s="23">
        <f t="shared" si="21"/>
        <v>0</v>
      </c>
    </row>
    <row r="710" spans="1:20" x14ac:dyDescent="0.25">
      <c r="A710" s="11"/>
      <c r="B710" s="12"/>
      <c r="C710" s="17"/>
      <c r="D710" s="10"/>
      <c r="E710" s="11"/>
      <c r="F710" s="11"/>
      <c r="G710" s="13"/>
      <c r="H710" s="13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23">
        <f t="shared" ref="S710:S773" si="22">SUM(I710,K710,M710,O710)</f>
        <v>0</v>
      </c>
      <c r="T710" s="23">
        <f t="shared" ref="T710:T773" si="23">SUM(J710,L710,N710,P710)</f>
        <v>0</v>
      </c>
    </row>
    <row r="711" spans="1:20" x14ac:dyDescent="0.25">
      <c r="A711" s="11"/>
      <c r="B711" s="12"/>
      <c r="C711" s="17"/>
      <c r="D711" s="10"/>
      <c r="E711" s="11"/>
      <c r="F711" s="11"/>
      <c r="G711" s="13"/>
      <c r="H711" s="13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23">
        <f t="shared" si="22"/>
        <v>0</v>
      </c>
      <c r="T711" s="23">
        <f t="shared" si="23"/>
        <v>0</v>
      </c>
    </row>
    <row r="712" spans="1:20" x14ac:dyDescent="0.25">
      <c r="A712" s="11"/>
      <c r="B712" s="12"/>
      <c r="C712" s="17"/>
      <c r="D712" s="10"/>
      <c r="E712" s="11"/>
      <c r="F712" s="11"/>
      <c r="G712" s="13"/>
      <c r="H712" s="13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23">
        <f t="shared" si="22"/>
        <v>0</v>
      </c>
      <c r="T712" s="23">
        <f t="shared" si="23"/>
        <v>0</v>
      </c>
    </row>
    <row r="713" spans="1:20" x14ac:dyDescent="0.25">
      <c r="A713" s="11"/>
      <c r="B713" s="12"/>
      <c r="C713" s="17"/>
      <c r="D713" s="10"/>
      <c r="E713" s="11"/>
      <c r="F713" s="11"/>
      <c r="G713" s="13"/>
      <c r="H713" s="13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23">
        <f t="shared" si="22"/>
        <v>0</v>
      </c>
      <c r="T713" s="23">
        <f t="shared" si="23"/>
        <v>0</v>
      </c>
    </row>
    <row r="714" spans="1:20" x14ac:dyDescent="0.25">
      <c r="A714" s="11"/>
      <c r="B714" s="12"/>
      <c r="C714" s="17"/>
      <c r="D714" s="10"/>
      <c r="E714" s="11"/>
      <c r="F714" s="11"/>
      <c r="G714" s="13"/>
      <c r="H714" s="13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23">
        <f t="shared" si="22"/>
        <v>0</v>
      </c>
      <c r="T714" s="23">
        <f t="shared" si="23"/>
        <v>0</v>
      </c>
    </row>
    <row r="715" spans="1:20" x14ac:dyDescent="0.25">
      <c r="A715" s="11"/>
      <c r="B715" s="12"/>
      <c r="C715" s="17"/>
      <c r="D715" s="10"/>
      <c r="E715" s="11"/>
      <c r="F715" s="11"/>
      <c r="G715" s="13"/>
      <c r="H715" s="13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23">
        <f t="shared" si="22"/>
        <v>0</v>
      </c>
      <c r="T715" s="23">
        <f t="shared" si="23"/>
        <v>0</v>
      </c>
    </row>
    <row r="716" spans="1:20" x14ac:dyDescent="0.25">
      <c r="A716" s="11"/>
      <c r="B716" s="12"/>
      <c r="C716" s="17"/>
      <c r="D716" s="10"/>
      <c r="E716" s="11"/>
      <c r="F716" s="11"/>
      <c r="G716" s="13"/>
      <c r="H716" s="13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23">
        <f t="shared" si="22"/>
        <v>0</v>
      </c>
      <c r="T716" s="23">
        <f t="shared" si="23"/>
        <v>0</v>
      </c>
    </row>
    <row r="717" spans="1:20" x14ac:dyDescent="0.25">
      <c r="A717" s="11"/>
      <c r="B717" s="12"/>
      <c r="C717" s="17"/>
      <c r="D717" s="10"/>
      <c r="E717" s="11"/>
      <c r="F717" s="11"/>
      <c r="G717" s="13"/>
      <c r="H717" s="13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23">
        <f t="shared" si="22"/>
        <v>0</v>
      </c>
      <c r="T717" s="23">
        <f t="shared" si="23"/>
        <v>0</v>
      </c>
    </row>
    <row r="718" spans="1:20" x14ac:dyDescent="0.25">
      <c r="A718" s="11"/>
      <c r="B718" s="12"/>
      <c r="C718" s="17"/>
      <c r="D718" s="10"/>
      <c r="E718" s="11"/>
      <c r="F718" s="11"/>
      <c r="G718" s="13"/>
      <c r="H718" s="13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23">
        <f t="shared" si="22"/>
        <v>0</v>
      </c>
      <c r="T718" s="23">
        <f t="shared" si="23"/>
        <v>0</v>
      </c>
    </row>
    <row r="719" spans="1:20" x14ac:dyDescent="0.25">
      <c r="A719" s="11"/>
      <c r="B719" s="12"/>
      <c r="C719" s="17"/>
      <c r="D719" s="10"/>
      <c r="E719" s="11"/>
      <c r="F719" s="11"/>
      <c r="G719" s="13"/>
      <c r="H719" s="13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23">
        <f t="shared" si="22"/>
        <v>0</v>
      </c>
      <c r="T719" s="23">
        <f t="shared" si="23"/>
        <v>0</v>
      </c>
    </row>
    <row r="720" spans="1:20" x14ac:dyDescent="0.25">
      <c r="A720" s="11"/>
      <c r="B720" s="12"/>
      <c r="C720" s="17"/>
      <c r="D720" s="10"/>
      <c r="E720" s="11"/>
      <c r="F720" s="11"/>
      <c r="G720" s="13"/>
      <c r="H720" s="13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23">
        <f t="shared" si="22"/>
        <v>0</v>
      </c>
      <c r="T720" s="23">
        <f t="shared" si="23"/>
        <v>0</v>
      </c>
    </row>
    <row r="721" spans="1:20" x14ac:dyDescent="0.25">
      <c r="A721" s="11"/>
      <c r="B721" s="12"/>
      <c r="C721" s="17"/>
      <c r="D721" s="10"/>
      <c r="E721" s="11"/>
      <c r="F721" s="11"/>
      <c r="G721" s="13"/>
      <c r="H721" s="13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23">
        <f t="shared" si="22"/>
        <v>0</v>
      </c>
      <c r="T721" s="23">
        <f t="shared" si="23"/>
        <v>0</v>
      </c>
    </row>
    <row r="722" spans="1:20" x14ac:dyDescent="0.25">
      <c r="A722" s="11"/>
      <c r="B722" s="12"/>
      <c r="C722" s="17"/>
      <c r="D722" s="10"/>
      <c r="E722" s="11"/>
      <c r="F722" s="11"/>
      <c r="G722" s="13"/>
      <c r="H722" s="13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23">
        <f t="shared" si="22"/>
        <v>0</v>
      </c>
      <c r="T722" s="23">
        <f t="shared" si="23"/>
        <v>0</v>
      </c>
    </row>
    <row r="723" spans="1:20" x14ac:dyDescent="0.25">
      <c r="A723" s="11"/>
      <c r="B723" s="12"/>
      <c r="C723" s="17"/>
      <c r="D723" s="10"/>
      <c r="E723" s="11"/>
      <c r="F723" s="11"/>
      <c r="G723" s="13"/>
      <c r="H723" s="13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23">
        <f t="shared" si="22"/>
        <v>0</v>
      </c>
      <c r="T723" s="23">
        <f t="shared" si="23"/>
        <v>0</v>
      </c>
    </row>
    <row r="724" spans="1:20" x14ac:dyDescent="0.25">
      <c r="A724" s="11"/>
      <c r="B724" s="12"/>
      <c r="C724" s="17"/>
      <c r="D724" s="10"/>
      <c r="E724" s="11"/>
      <c r="F724" s="11"/>
      <c r="G724" s="13"/>
      <c r="H724" s="13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23">
        <f t="shared" si="22"/>
        <v>0</v>
      </c>
      <c r="T724" s="23">
        <f t="shared" si="23"/>
        <v>0</v>
      </c>
    </row>
    <row r="725" spans="1:20" x14ac:dyDescent="0.25">
      <c r="A725" s="11"/>
      <c r="B725" s="12"/>
      <c r="C725" s="17"/>
      <c r="D725" s="10"/>
      <c r="E725" s="11"/>
      <c r="F725" s="11"/>
      <c r="G725" s="13"/>
      <c r="H725" s="13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23">
        <f t="shared" si="22"/>
        <v>0</v>
      </c>
      <c r="T725" s="23">
        <f t="shared" si="23"/>
        <v>0</v>
      </c>
    </row>
    <row r="726" spans="1:20" x14ac:dyDescent="0.25">
      <c r="A726" s="11"/>
      <c r="B726" s="12"/>
      <c r="C726" s="17"/>
      <c r="D726" s="10"/>
      <c r="E726" s="11"/>
      <c r="F726" s="11"/>
      <c r="G726" s="13"/>
      <c r="H726" s="13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23">
        <f t="shared" si="22"/>
        <v>0</v>
      </c>
      <c r="T726" s="23">
        <f t="shared" si="23"/>
        <v>0</v>
      </c>
    </row>
    <row r="727" spans="1:20" x14ac:dyDescent="0.25">
      <c r="A727" s="11"/>
      <c r="B727" s="12"/>
      <c r="C727" s="17"/>
      <c r="D727" s="10"/>
      <c r="E727" s="11"/>
      <c r="F727" s="11"/>
      <c r="G727" s="13"/>
      <c r="H727" s="13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23">
        <f t="shared" si="22"/>
        <v>0</v>
      </c>
      <c r="T727" s="23">
        <f t="shared" si="23"/>
        <v>0</v>
      </c>
    </row>
    <row r="728" spans="1:20" x14ac:dyDescent="0.25">
      <c r="A728" s="11"/>
      <c r="B728" s="12"/>
      <c r="C728" s="17"/>
      <c r="D728" s="10"/>
      <c r="E728" s="11"/>
      <c r="F728" s="11"/>
      <c r="G728" s="13"/>
      <c r="H728" s="13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23">
        <f t="shared" si="22"/>
        <v>0</v>
      </c>
      <c r="T728" s="23">
        <f t="shared" si="23"/>
        <v>0</v>
      </c>
    </row>
    <row r="729" spans="1:20" x14ac:dyDescent="0.25">
      <c r="A729" s="11"/>
      <c r="B729" s="12"/>
      <c r="C729" s="17"/>
      <c r="D729" s="10"/>
      <c r="E729" s="11"/>
      <c r="F729" s="11"/>
      <c r="G729" s="13"/>
      <c r="H729" s="13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23">
        <f t="shared" si="22"/>
        <v>0</v>
      </c>
      <c r="T729" s="23">
        <f t="shared" si="23"/>
        <v>0</v>
      </c>
    </row>
    <row r="730" spans="1:20" x14ac:dyDescent="0.25">
      <c r="A730" s="11"/>
      <c r="B730" s="12"/>
      <c r="C730" s="17"/>
      <c r="D730" s="10"/>
      <c r="E730" s="11"/>
      <c r="F730" s="11"/>
      <c r="G730" s="13"/>
      <c r="H730" s="13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23">
        <f t="shared" si="22"/>
        <v>0</v>
      </c>
      <c r="T730" s="23">
        <f t="shared" si="23"/>
        <v>0</v>
      </c>
    </row>
    <row r="731" spans="1:20" x14ac:dyDescent="0.25">
      <c r="A731" s="11"/>
      <c r="B731" s="12"/>
      <c r="C731" s="17"/>
      <c r="D731" s="10"/>
      <c r="E731" s="11"/>
      <c r="F731" s="11"/>
      <c r="G731" s="13"/>
      <c r="H731" s="13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23">
        <f t="shared" si="22"/>
        <v>0</v>
      </c>
      <c r="T731" s="23">
        <f t="shared" si="23"/>
        <v>0</v>
      </c>
    </row>
    <row r="732" spans="1:20" x14ac:dyDescent="0.25">
      <c r="A732" s="11"/>
      <c r="B732" s="12"/>
      <c r="C732" s="17"/>
      <c r="D732" s="10"/>
      <c r="E732" s="11"/>
      <c r="F732" s="11"/>
      <c r="G732" s="13"/>
      <c r="H732" s="13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23">
        <f t="shared" si="22"/>
        <v>0</v>
      </c>
      <c r="T732" s="23">
        <f t="shared" si="23"/>
        <v>0</v>
      </c>
    </row>
    <row r="733" spans="1:20" x14ac:dyDescent="0.25">
      <c r="A733" s="11"/>
      <c r="B733" s="12"/>
      <c r="C733" s="17"/>
      <c r="D733" s="10"/>
      <c r="E733" s="11"/>
      <c r="F733" s="11"/>
      <c r="G733" s="13"/>
      <c r="H733" s="13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23">
        <f t="shared" si="22"/>
        <v>0</v>
      </c>
      <c r="T733" s="23">
        <f t="shared" si="23"/>
        <v>0</v>
      </c>
    </row>
    <row r="734" spans="1:20" x14ac:dyDescent="0.25">
      <c r="A734" s="11"/>
      <c r="B734" s="12"/>
      <c r="C734" s="17"/>
      <c r="D734" s="10"/>
      <c r="E734" s="11"/>
      <c r="F734" s="11"/>
      <c r="G734" s="13"/>
      <c r="H734" s="13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23">
        <f t="shared" si="22"/>
        <v>0</v>
      </c>
      <c r="T734" s="23">
        <f t="shared" si="23"/>
        <v>0</v>
      </c>
    </row>
    <row r="735" spans="1:20" x14ac:dyDescent="0.25">
      <c r="A735" s="11"/>
      <c r="B735" s="12"/>
      <c r="C735" s="17"/>
      <c r="D735" s="10"/>
      <c r="E735" s="11"/>
      <c r="F735" s="11"/>
      <c r="G735" s="13"/>
      <c r="H735" s="13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23">
        <f t="shared" si="22"/>
        <v>0</v>
      </c>
      <c r="T735" s="23">
        <f t="shared" si="23"/>
        <v>0</v>
      </c>
    </row>
    <row r="736" spans="1:20" x14ac:dyDescent="0.25">
      <c r="A736" s="11"/>
      <c r="B736" s="12"/>
      <c r="C736" s="17"/>
      <c r="D736" s="10"/>
      <c r="E736" s="11"/>
      <c r="F736" s="11"/>
      <c r="G736" s="13"/>
      <c r="H736" s="13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23">
        <f t="shared" si="22"/>
        <v>0</v>
      </c>
      <c r="T736" s="23">
        <f t="shared" si="23"/>
        <v>0</v>
      </c>
    </row>
    <row r="737" spans="1:20" x14ac:dyDescent="0.25">
      <c r="A737" s="11"/>
      <c r="B737" s="12"/>
      <c r="C737" s="17"/>
      <c r="D737" s="10"/>
      <c r="E737" s="11"/>
      <c r="F737" s="11"/>
      <c r="G737" s="13"/>
      <c r="H737" s="13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23">
        <f t="shared" si="22"/>
        <v>0</v>
      </c>
      <c r="T737" s="23">
        <f t="shared" si="23"/>
        <v>0</v>
      </c>
    </row>
    <row r="738" spans="1:20" x14ac:dyDescent="0.25">
      <c r="A738" s="11"/>
      <c r="B738" s="12"/>
      <c r="C738" s="17"/>
      <c r="D738" s="10"/>
      <c r="E738" s="11"/>
      <c r="F738" s="11"/>
      <c r="G738" s="13"/>
      <c r="H738" s="13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23">
        <f t="shared" si="22"/>
        <v>0</v>
      </c>
      <c r="T738" s="23">
        <f t="shared" si="23"/>
        <v>0</v>
      </c>
    </row>
    <row r="739" spans="1:20" x14ac:dyDescent="0.25">
      <c r="A739" s="11"/>
      <c r="B739" s="12"/>
      <c r="C739" s="17"/>
      <c r="D739" s="10"/>
      <c r="E739" s="11"/>
      <c r="F739" s="11"/>
      <c r="G739" s="13"/>
      <c r="H739" s="13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23">
        <f t="shared" si="22"/>
        <v>0</v>
      </c>
      <c r="T739" s="23">
        <f t="shared" si="23"/>
        <v>0</v>
      </c>
    </row>
    <row r="740" spans="1:20" x14ac:dyDescent="0.25">
      <c r="A740" s="11"/>
      <c r="B740" s="12"/>
      <c r="C740" s="17"/>
      <c r="D740" s="10"/>
      <c r="E740" s="11"/>
      <c r="F740" s="11"/>
      <c r="G740" s="13"/>
      <c r="H740" s="13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23">
        <f t="shared" si="22"/>
        <v>0</v>
      </c>
      <c r="T740" s="23">
        <f t="shared" si="23"/>
        <v>0</v>
      </c>
    </row>
    <row r="741" spans="1:20" x14ac:dyDescent="0.25">
      <c r="A741" s="11"/>
      <c r="B741" s="12"/>
      <c r="C741" s="17"/>
      <c r="D741" s="10"/>
      <c r="E741" s="11"/>
      <c r="F741" s="11"/>
      <c r="G741" s="13"/>
      <c r="H741" s="13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23">
        <f t="shared" si="22"/>
        <v>0</v>
      </c>
      <c r="T741" s="23">
        <f t="shared" si="23"/>
        <v>0</v>
      </c>
    </row>
    <row r="742" spans="1:20" x14ac:dyDescent="0.25">
      <c r="A742" s="11"/>
      <c r="B742" s="12"/>
      <c r="C742" s="17"/>
      <c r="D742" s="10"/>
      <c r="E742" s="11"/>
      <c r="F742" s="11"/>
      <c r="G742" s="13"/>
      <c r="H742" s="13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23">
        <f t="shared" si="22"/>
        <v>0</v>
      </c>
      <c r="T742" s="23">
        <f t="shared" si="23"/>
        <v>0</v>
      </c>
    </row>
    <row r="743" spans="1:20" x14ac:dyDescent="0.25">
      <c r="A743" s="11"/>
      <c r="B743" s="12"/>
      <c r="C743" s="17"/>
      <c r="D743" s="10"/>
      <c r="E743" s="11"/>
      <c r="F743" s="11"/>
      <c r="G743" s="13"/>
      <c r="H743" s="13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23">
        <f t="shared" si="22"/>
        <v>0</v>
      </c>
      <c r="T743" s="23">
        <f t="shared" si="23"/>
        <v>0</v>
      </c>
    </row>
    <row r="744" spans="1:20" x14ac:dyDescent="0.25">
      <c r="A744" s="11"/>
      <c r="B744" s="12"/>
      <c r="C744" s="17"/>
      <c r="D744" s="10"/>
      <c r="E744" s="11"/>
      <c r="F744" s="11"/>
      <c r="G744" s="13"/>
      <c r="H744" s="13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23">
        <f t="shared" si="22"/>
        <v>0</v>
      </c>
      <c r="T744" s="23">
        <f t="shared" si="23"/>
        <v>0</v>
      </c>
    </row>
    <row r="745" spans="1:20" x14ac:dyDescent="0.25">
      <c r="A745" s="11"/>
      <c r="B745" s="12"/>
      <c r="C745" s="17"/>
      <c r="D745" s="10"/>
      <c r="E745" s="11"/>
      <c r="F745" s="11"/>
      <c r="G745" s="13"/>
      <c r="H745" s="13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23">
        <f t="shared" si="22"/>
        <v>0</v>
      </c>
      <c r="T745" s="23">
        <f t="shared" si="23"/>
        <v>0</v>
      </c>
    </row>
    <row r="746" spans="1:20" x14ac:dyDescent="0.25">
      <c r="A746" s="11"/>
      <c r="B746" s="12"/>
      <c r="C746" s="17"/>
      <c r="D746" s="10"/>
      <c r="E746" s="11"/>
      <c r="F746" s="11"/>
      <c r="G746" s="13"/>
      <c r="H746" s="13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23">
        <f t="shared" si="22"/>
        <v>0</v>
      </c>
      <c r="T746" s="23">
        <f t="shared" si="23"/>
        <v>0</v>
      </c>
    </row>
    <row r="747" spans="1:20" x14ac:dyDescent="0.25">
      <c r="A747" s="11"/>
      <c r="B747" s="12"/>
      <c r="C747" s="17"/>
      <c r="D747" s="10"/>
      <c r="E747" s="11"/>
      <c r="F747" s="11"/>
      <c r="G747" s="13"/>
      <c r="H747" s="13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23">
        <f t="shared" si="22"/>
        <v>0</v>
      </c>
      <c r="T747" s="23">
        <f t="shared" si="23"/>
        <v>0</v>
      </c>
    </row>
    <row r="748" spans="1:20" x14ac:dyDescent="0.25">
      <c r="A748" s="11"/>
      <c r="B748" s="12"/>
      <c r="C748" s="17"/>
      <c r="D748" s="10"/>
      <c r="E748" s="11"/>
      <c r="F748" s="11"/>
      <c r="G748" s="13"/>
      <c r="H748" s="13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23">
        <f t="shared" si="22"/>
        <v>0</v>
      </c>
      <c r="T748" s="23">
        <f t="shared" si="23"/>
        <v>0</v>
      </c>
    </row>
    <row r="749" spans="1:20" x14ac:dyDescent="0.25">
      <c r="A749" s="11"/>
      <c r="B749" s="12"/>
      <c r="C749" s="17"/>
      <c r="D749" s="10"/>
      <c r="E749" s="11"/>
      <c r="F749" s="11"/>
      <c r="G749" s="13"/>
      <c r="H749" s="13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23">
        <f t="shared" si="22"/>
        <v>0</v>
      </c>
      <c r="T749" s="23">
        <f t="shared" si="23"/>
        <v>0</v>
      </c>
    </row>
    <row r="750" spans="1:20" x14ac:dyDescent="0.25">
      <c r="A750" s="11"/>
      <c r="B750" s="12"/>
      <c r="C750" s="17"/>
      <c r="D750" s="10"/>
      <c r="E750" s="11"/>
      <c r="F750" s="11"/>
      <c r="G750" s="13"/>
      <c r="H750" s="13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23">
        <f t="shared" si="22"/>
        <v>0</v>
      </c>
      <c r="T750" s="23">
        <f t="shared" si="23"/>
        <v>0</v>
      </c>
    </row>
    <row r="751" spans="1:20" x14ac:dyDescent="0.25">
      <c r="A751" s="11"/>
      <c r="B751" s="12"/>
      <c r="C751" s="17"/>
      <c r="D751" s="10"/>
      <c r="E751" s="11"/>
      <c r="F751" s="11"/>
      <c r="G751" s="13"/>
      <c r="H751" s="13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23">
        <f t="shared" si="22"/>
        <v>0</v>
      </c>
      <c r="T751" s="23">
        <f t="shared" si="23"/>
        <v>0</v>
      </c>
    </row>
    <row r="752" spans="1:20" x14ac:dyDescent="0.25">
      <c r="A752" s="11"/>
      <c r="B752" s="12"/>
      <c r="C752" s="17"/>
      <c r="D752" s="10"/>
      <c r="E752" s="11"/>
      <c r="F752" s="11"/>
      <c r="G752" s="13"/>
      <c r="H752" s="13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23">
        <f t="shared" si="22"/>
        <v>0</v>
      </c>
      <c r="T752" s="23">
        <f t="shared" si="23"/>
        <v>0</v>
      </c>
    </row>
    <row r="753" spans="1:20" x14ac:dyDescent="0.25">
      <c r="A753" s="11"/>
      <c r="B753" s="12"/>
      <c r="C753" s="17"/>
      <c r="D753" s="10"/>
      <c r="E753" s="11"/>
      <c r="F753" s="11"/>
      <c r="G753" s="13"/>
      <c r="H753" s="13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23">
        <f t="shared" si="22"/>
        <v>0</v>
      </c>
      <c r="T753" s="23">
        <f t="shared" si="23"/>
        <v>0</v>
      </c>
    </row>
    <row r="754" spans="1:20" x14ac:dyDescent="0.25">
      <c r="A754" s="11"/>
      <c r="B754" s="12"/>
      <c r="C754" s="17"/>
      <c r="D754" s="10"/>
      <c r="E754" s="11"/>
      <c r="F754" s="11"/>
      <c r="G754" s="13"/>
      <c r="H754" s="13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23">
        <f t="shared" si="22"/>
        <v>0</v>
      </c>
      <c r="T754" s="23">
        <f t="shared" si="23"/>
        <v>0</v>
      </c>
    </row>
    <row r="755" spans="1:20" x14ac:dyDescent="0.25">
      <c r="A755" s="11"/>
      <c r="B755" s="12"/>
      <c r="C755" s="17"/>
      <c r="D755" s="10"/>
      <c r="E755" s="11"/>
      <c r="F755" s="11"/>
      <c r="G755" s="13"/>
      <c r="H755" s="13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23">
        <f t="shared" si="22"/>
        <v>0</v>
      </c>
      <c r="T755" s="23">
        <f t="shared" si="23"/>
        <v>0</v>
      </c>
    </row>
    <row r="756" spans="1:20" x14ac:dyDescent="0.25">
      <c r="A756" s="11"/>
      <c r="B756" s="12"/>
      <c r="C756" s="17"/>
      <c r="D756" s="10"/>
      <c r="E756" s="11"/>
      <c r="F756" s="11"/>
      <c r="G756" s="13"/>
      <c r="H756" s="13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23">
        <f t="shared" si="22"/>
        <v>0</v>
      </c>
      <c r="T756" s="23">
        <f t="shared" si="23"/>
        <v>0</v>
      </c>
    </row>
    <row r="757" spans="1:20" x14ac:dyDescent="0.25">
      <c r="A757" s="11"/>
      <c r="B757" s="12"/>
      <c r="C757" s="17"/>
      <c r="D757" s="10"/>
      <c r="E757" s="11"/>
      <c r="F757" s="11"/>
      <c r="G757" s="13"/>
      <c r="H757" s="13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23">
        <f t="shared" si="22"/>
        <v>0</v>
      </c>
      <c r="T757" s="23">
        <f t="shared" si="23"/>
        <v>0</v>
      </c>
    </row>
    <row r="758" spans="1:20" x14ac:dyDescent="0.25">
      <c r="A758" s="11"/>
      <c r="B758" s="12"/>
      <c r="C758" s="17"/>
      <c r="D758" s="10"/>
      <c r="E758" s="11"/>
      <c r="F758" s="11"/>
      <c r="G758" s="13"/>
      <c r="H758" s="13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23">
        <f t="shared" si="22"/>
        <v>0</v>
      </c>
      <c r="T758" s="23">
        <f t="shared" si="23"/>
        <v>0</v>
      </c>
    </row>
    <row r="759" spans="1:20" x14ac:dyDescent="0.25">
      <c r="A759" s="11"/>
      <c r="B759" s="12"/>
      <c r="C759" s="17"/>
      <c r="D759" s="10"/>
      <c r="E759" s="11"/>
      <c r="F759" s="11"/>
      <c r="G759" s="13"/>
      <c r="H759" s="13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23">
        <f t="shared" si="22"/>
        <v>0</v>
      </c>
      <c r="T759" s="23">
        <f t="shared" si="23"/>
        <v>0</v>
      </c>
    </row>
    <row r="760" spans="1:20" x14ac:dyDescent="0.25">
      <c r="A760" s="11"/>
      <c r="B760" s="12"/>
      <c r="C760" s="17"/>
      <c r="D760" s="10"/>
      <c r="E760" s="11"/>
      <c r="F760" s="11"/>
      <c r="G760" s="13"/>
      <c r="H760" s="13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23">
        <f t="shared" si="22"/>
        <v>0</v>
      </c>
      <c r="T760" s="23">
        <f t="shared" si="23"/>
        <v>0</v>
      </c>
    </row>
    <row r="761" spans="1:20" x14ac:dyDescent="0.25">
      <c r="A761" s="11"/>
      <c r="B761" s="12"/>
      <c r="C761" s="17"/>
      <c r="D761" s="10"/>
      <c r="E761" s="11"/>
      <c r="F761" s="11"/>
      <c r="G761" s="13"/>
      <c r="H761" s="13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23">
        <f t="shared" si="22"/>
        <v>0</v>
      </c>
      <c r="T761" s="23">
        <f t="shared" si="23"/>
        <v>0</v>
      </c>
    </row>
    <row r="762" spans="1:20" x14ac:dyDescent="0.25">
      <c r="A762" s="11"/>
      <c r="B762" s="12"/>
      <c r="C762" s="17"/>
      <c r="D762" s="10"/>
      <c r="E762" s="11"/>
      <c r="F762" s="11"/>
      <c r="G762" s="13"/>
      <c r="H762" s="13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23">
        <f t="shared" si="22"/>
        <v>0</v>
      </c>
      <c r="T762" s="23">
        <f t="shared" si="23"/>
        <v>0</v>
      </c>
    </row>
    <row r="763" spans="1:20" x14ac:dyDescent="0.25">
      <c r="A763" s="11"/>
      <c r="B763" s="12"/>
      <c r="C763" s="17"/>
      <c r="D763" s="10"/>
      <c r="E763" s="11"/>
      <c r="F763" s="11"/>
      <c r="G763" s="13"/>
      <c r="H763" s="13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23">
        <f t="shared" si="22"/>
        <v>0</v>
      </c>
      <c r="T763" s="23">
        <f t="shared" si="23"/>
        <v>0</v>
      </c>
    </row>
    <row r="764" spans="1:20" x14ac:dyDescent="0.25">
      <c r="A764" s="11"/>
      <c r="B764" s="12"/>
      <c r="C764" s="17"/>
      <c r="D764" s="10"/>
      <c r="E764" s="11"/>
      <c r="F764" s="11"/>
      <c r="G764" s="13"/>
      <c r="H764" s="13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23">
        <f t="shared" si="22"/>
        <v>0</v>
      </c>
      <c r="T764" s="23">
        <f t="shared" si="23"/>
        <v>0</v>
      </c>
    </row>
    <row r="765" spans="1:20" x14ac:dyDescent="0.25">
      <c r="A765" s="11"/>
      <c r="B765" s="12"/>
      <c r="C765" s="17"/>
      <c r="D765" s="10"/>
      <c r="E765" s="11"/>
      <c r="F765" s="11"/>
      <c r="G765" s="13"/>
      <c r="H765" s="13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23">
        <f t="shared" si="22"/>
        <v>0</v>
      </c>
      <c r="T765" s="23">
        <f t="shared" si="23"/>
        <v>0</v>
      </c>
    </row>
    <row r="766" spans="1:20" x14ac:dyDescent="0.25">
      <c r="A766" s="11"/>
      <c r="B766" s="12"/>
      <c r="C766" s="17"/>
      <c r="D766" s="10"/>
      <c r="E766" s="11"/>
      <c r="F766" s="11"/>
      <c r="G766" s="13"/>
      <c r="H766" s="13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23">
        <f t="shared" si="22"/>
        <v>0</v>
      </c>
      <c r="T766" s="23">
        <f t="shared" si="23"/>
        <v>0</v>
      </c>
    </row>
    <row r="767" spans="1:20" x14ac:dyDescent="0.25">
      <c r="A767" s="11"/>
      <c r="B767" s="12"/>
      <c r="C767" s="17"/>
      <c r="D767" s="10"/>
      <c r="E767" s="11"/>
      <c r="F767" s="11"/>
      <c r="G767" s="13"/>
      <c r="H767" s="13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23">
        <f t="shared" si="22"/>
        <v>0</v>
      </c>
      <c r="T767" s="23">
        <f t="shared" si="23"/>
        <v>0</v>
      </c>
    </row>
    <row r="768" spans="1:20" x14ac:dyDescent="0.25">
      <c r="A768" s="11"/>
      <c r="B768" s="12"/>
      <c r="C768" s="17"/>
      <c r="D768" s="10"/>
      <c r="E768" s="11"/>
      <c r="F768" s="11"/>
      <c r="G768" s="13"/>
      <c r="H768" s="13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23">
        <f t="shared" si="22"/>
        <v>0</v>
      </c>
      <c r="T768" s="23">
        <f t="shared" si="23"/>
        <v>0</v>
      </c>
    </row>
    <row r="769" spans="1:20" x14ac:dyDescent="0.25">
      <c r="A769" s="11"/>
      <c r="B769" s="12"/>
      <c r="C769" s="17"/>
      <c r="D769" s="10"/>
      <c r="E769" s="11"/>
      <c r="F769" s="11"/>
      <c r="G769" s="13"/>
      <c r="H769" s="13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23">
        <f t="shared" si="22"/>
        <v>0</v>
      </c>
      <c r="T769" s="23">
        <f t="shared" si="23"/>
        <v>0</v>
      </c>
    </row>
    <row r="770" spans="1:20" x14ac:dyDescent="0.25">
      <c r="A770" s="11"/>
      <c r="B770" s="12"/>
      <c r="C770" s="17"/>
      <c r="D770" s="10"/>
      <c r="E770" s="11"/>
      <c r="F770" s="11"/>
      <c r="G770" s="13"/>
      <c r="H770" s="13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23">
        <f t="shared" si="22"/>
        <v>0</v>
      </c>
      <c r="T770" s="23">
        <f t="shared" si="23"/>
        <v>0</v>
      </c>
    </row>
    <row r="771" spans="1:20" x14ac:dyDescent="0.25">
      <c r="A771" s="11"/>
      <c r="B771" s="12"/>
      <c r="C771" s="17"/>
      <c r="D771" s="10"/>
      <c r="E771" s="11"/>
      <c r="F771" s="11"/>
      <c r="G771" s="13"/>
      <c r="H771" s="13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23">
        <f t="shared" si="22"/>
        <v>0</v>
      </c>
      <c r="T771" s="23">
        <f t="shared" si="23"/>
        <v>0</v>
      </c>
    </row>
    <row r="772" spans="1:20" x14ac:dyDescent="0.25">
      <c r="A772" s="11"/>
      <c r="B772" s="12"/>
      <c r="C772" s="17"/>
      <c r="D772" s="10"/>
      <c r="E772" s="11"/>
      <c r="F772" s="11"/>
      <c r="G772" s="13"/>
      <c r="H772" s="13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23">
        <f t="shared" si="22"/>
        <v>0</v>
      </c>
      <c r="T772" s="23">
        <f t="shared" si="23"/>
        <v>0</v>
      </c>
    </row>
    <row r="773" spans="1:20" x14ac:dyDescent="0.25">
      <c r="A773" s="11"/>
      <c r="B773" s="12"/>
      <c r="C773" s="17"/>
      <c r="D773" s="10"/>
      <c r="E773" s="11"/>
      <c r="F773" s="11"/>
      <c r="G773" s="13"/>
      <c r="H773" s="13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23">
        <f t="shared" si="22"/>
        <v>0</v>
      </c>
      <c r="T773" s="23">
        <f t="shared" si="23"/>
        <v>0</v>
      </c>
    </row>
    <row r="774" spans="1:20" x14ac:dyDescent="0.25">
      <c r="A774" s="11"/>
      <c r="B774" s="12"/>
      <c r="C774" s="17"/>
      <c r="D774" s="10"/>
      <c r="E774" s="11"/>
      <c r="F774" s="11"/>
      <c r="G774" s="13"/>
      <c r="H774" s="13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23">
        <f t="shared" ref="S774:S837" si="24">SUM(I774,K774,M774,O774)</f>
        <v>0</v>
      </c>
      <c r="T774" s="23">
        <f t="shared" ref="T774:T837" si="25">SUM(J774,L774,N774,P774)</f>
        <v>0</v>
      </c>
    </row>
    <row r="775" spans="1:20" x14ac:dyDescent="0.25">
      <c r="A775" s="11"/>
      <c r="B775" s="12"/>
      <c r="C775" s="17"/>
      <c r="D775" s="10"/>
      <c r="E775" s="11"/>
      <c r="F775" s="11"/>
      <c r="G775" s="13"/>
      <c r="H775" s="13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23">
        <f t="shared" si="24"/>
        <v>0</v>
      </c>
      <c r="T775" s="23">
        <f t="shared" si="25"/>
        <v>0</v>
      </c>
    </row>
    <row r="776" spans="1:20" x14ac:dyDescent="0.25">
      <c r="A776" s="11"/>
      <c r="B776" s="12"/>
      <c r="C776" s="17"/>
      <c r="D776" s="10"/>
      <c r="E776" s="11"/>
      <c r="F776" s="11"/>
      <c r="G776" s="13"/>
      <c r="H776" s="13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23">
        <f t="shared" si="24"/>
        <v>0</v>
      </c>
      <c r="T776" s="23">
        <f t="shared" si="25"/>
        <v>0</v>
      </c>
    </row>
    <row r="777" spans="1:20" x14ac:dyDescent="0.25">
      <c r="A777" s="11"/>
      <c r="B777" s="12"/>
      <c r="C777" s="17"/>
      <c r="D777" s="10"/>
      <c r="E777" s="11"/>
      <c r="F777" s="11"/>
      <c r="G777" s="13"/>
      <c r="H777" s="13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23">
        <f t="shared" si="24"/>
        <v>0</v>
      </c>
      <c r="T777" s="23">
        <f t="shared" si="25"/>
        <v>0</v>
      </c>
    </row>
    <row r="778" spans="1:20" x14ac:dyDescent="0.25">
      <c r="A778" s="11"/>
      <c r="B778" s="12"/>
      <c r="C778" s="17"/>
      <c r="D778" s="10"/>
      <c r="E778" s="11"/>
      <c r="F778" s="11"/>
      <c r="G778" s="13"/>
      <c r="H778" s="13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23">
        <f t="shared" si="24"/>
        <v>0</v>
      </c>
      <c r="T778" s="23">
        <f t="shared" si="25"/>
        <v>0</v>
      </c>
    </row>
    <row r="779" spans="1:20" x14ac:dyDescent="0.25">
      <c r="A779" s="11"/>
      <c r="B779" s="12"/>
      <c r="C779" s="17"/>
      <c r="D779" s="10"/>
      <c r="E779" s="11"/>
      <c r="F779" s="11"/>
      <c r="G779" s="13"/>
      <c r="H779" s="13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23">
        <f t="shared" si="24"/>
        <v>0</v>
      </c>
      <c r="T779" s="23">
        <f t="shared" si="25"/>
        <v>0</v>
      </c>
    </row>
    <row r="780" spans="1:20" x14ac:dyDescent="0.25">
      <c r="A780" s="11"/>
      <c r="B780" s="12"/>
      <c r="C780" s="17"/>
      <c r="D780" s="10"/>
      <c r="E780" s="11"/>
      <c r="F780" s="11"/>
      <c r="G780" s="13"/>
      <c r="H780" s="13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23">
        <f t="shared" si="24"/>
        <v>0</v>
      </c>
      <c r="T780" s="23">
        <f t="shared" si="25"/>
        <v>0</v>
      </c>
    </row>
    <row r="781" spans="1:20" x14ac:dyDescent="0.25">
      <c r="A781" s="11"/>
      <c r="B781" s="12"/>
      <c r="C781" s="17"/>
      <c r="D781" s="10"/>
      <c r="E781" s="11"/>
      <c r="F781" s="11"/>
      <c r="G781" s="13"/>
      <c r="H781" s="13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23">
        <f t="shared" si="24"/>
        <v>0</v>
      </c>
      <c r="T781" s="23">
        <f t="shared" si="25"/>
        <v>0</v>
      </c>
    </row>
    <row r="782" spans="1:20" x14ac:dyDescent="0.25">
      <c r="A782" s="11"/>
      <c r="B782" s="12"/>
      <c r="C782" s="17"/>
      <c r="D782" s="10"/>
      <c r="E782" s="11"/>
      <c r="F782" s="11"/>
      <c r="G782" s="13"/>
      <c r="H782" s="13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23">
        <f t="shared" si="24"/>
        <v>0</v>
      </c>
      <c r="T782" s="23">
        <f t="shared" si="25"/>
        <v>0</v>
      </c>
    </row>
    <row r="783" spans="1:20" x14ac:dyDescent="0.25">
      <c r="A783" s="11"/>
      <c r="B783" s="12"/>
      <c r="C783" s="17"/>
      <c r="D783" s="10"/>
      <c r="E783" s="11"/>
      <c r="F783" s="11"/>
      <c r="G783" s="13"/>
      <c r="H783" s="13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23">
        <f t="shared" si="24"/>
        <v>0</v>
      </c>
      <c r="T783" s="23">
        <f t="shared" si="25"/>
        <v>0</v>
      </c>
    </row>
    <row r="784" spans="1:20" x14ac:dyDescent="0.25">
      <c r="A784" s="11"/>
      <c r="B784" s="12"/>
      <c r="C784" s="17"/>
      <c r="D784" s="10"/>
      <c r="E784" s="11"/>
      <c r="F784" s="11"/>
      <c r="G784" s="13"/>
      <c r="H784" s="13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23">
        <f t="shared" si="24"/>
        <v>0</v>
      </c>
      <c r="T784" s="23">
        <f t="shared" si="25"/>
        <v>0</v>
      </c>
    </row>
    <row r="785" spans="1:20" x14ac:dyDescent="0.25">
      <c r="A785" s="11"/>
      <c r="B785" s="12"/>
      <c r="C785" s="17"/>
      <c r="D785" s="10"/>
      <c r="E785" s="11"/>
      <c r="F785" s="11"/>
      <c r="G785" s="13"/>
      <c r="H785" s="13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23">
        <f t="shared" si="24"/>
        <v>0</v>
      </c>
      <c r="T785" s="23">
        <f t="shared" si="25"/>
        <v>0</v>
      </c>
    </row>
    <row r="786" spans="1:20" x14ac:dyDescent="0.25">
      <c r="A786" s="11"/>
      <c r="B786" s="12"/>
      <c r="C786" s="17"/>
      <c r="D786" s="10"/>
      <c r="E786" s="11"/>
      <c r="F786" s="11"/>
      <c r="G786" s="13"/>
      <c r="H786" s="13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23">
        <f t="shared" si="24"/>
        <v>0</v>
      </c>
      <c r="T786" s="23">
        <f t="shared" si="25"/>
        <v>0</v>
      </c>
    </row>
    <row r="787" spans="1:20" x14ac:dyDescent="0.25">
      <c r="A787" s="11"/>
      <c r="B787" s="12"/>
      <c r="C787" s="17"/>
      <c r="D787" s="10"/>
      <c r="E787" s="11"/>
      <c r="F787" s="11"/>
      <c r="G787" s="13"/>
      <c r="H787" s="13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23">
        <f t="shared" si="24"/>
        <v>0</v>
      </c>
      <c r="T787" s="23">
        <f t="shared" si="25"/>
        <v>0</v>
      </c>
    </row>
    <row r="788" spans="1:20" x14ac:dyDescent="0.25">
      <c r="A788" s="11"/>
      <c r="B788" s="12"/>
      <c r="C788" s="17"/>
      <c r="D788" s="10"/>
      <c r="E788" s="11"/>
      <c r="F788" s="11"/>
      <c r="G788" s="13"/>
      <c r="H788" s="13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23">
        <f t="shared" si="24"/>
        <v>0</v>
      </c>
      <c r="T788" s="23">
        <f t="shared" si="25"/>
        <v>0</v>
      </c>
    </row>
    <row r="789" spans="1:20" x14ac:dyDescent="0.25">
      <c r="A789" s="11"/>
      <c r="B789" s="12"/>
      <c r="C789" s="17"/>
      <c r="D789" s="10"/>
      <c r="E789" s="11"/>
      <c r="F789" s="11"/>
      <c r="G789" s="13"/>
      <c r="H789" s="13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23">
        <f t="shared" si="24"/>
        <v>0</v>
      </c>
      <c r="T789" s="23">
        <f t="shared" si="25"/>
        <v>0</v>
      </c>
    </row>
    <row r="790" spans="1:20" x14ac:dyDescent="0.25">
      <c r="A790" s="11"/>
      <c r="B790" s="12"/>
      <c r="C790" s="17"/>
      <c r="D790" s="10"/>
      <c r="E790" s="11"/>
      <c r="F790" s="11"/>
      <c r="G790" s="13"/>
      <c r="H790" s="13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23">
        <f t="shared" si="24"/>
        <v>0</v>
      </c>
      <c r="T790" s="23">
        <f t="shared" si="25"/>
        <v>0</v>
      </c>
    </row>
    <row r="791" spans="1:20" x14ac:dyDescent="0.25">
      <c r="A791" s="11"/>
      <c r="B791" s="12"/>
      <c r="C791" s="17"/>
      <c r="D791" s="10"/>
      <c r="E791" s="11"/>
      <c r="F791" s="11"/>
      <c r="G791" s="13"/>
      <c r="H791" s="13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23">
        <f t="shared" si="24"/>
        <v>0</v>
      </c>
      <c r="T791" s="23">
        <f t="shared" si="25"/>
        <v>0</v>
      </c>
    </row>
    <row r="792" spans="1:20" x14ac:dyDescent="0.25">
      <c r="A792" s="11"/>
      <c r="B792" s="12"/>
      <c r="C792" s="17"/>
      <c r="D792" s="10"/>
      <c r="E792" s="11"/>
      <c r="F792" s="11"/>
      <c r="G792" s="13"/>
      <c r="H792" s="13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23">
        <f t="shared" si="24"/>
        <v>0</v>
      </c>
      <c r="T792" s="23">
        <f t="shared" si="25"/>
        <v>0</v>
      </c>
    </row>
    <row r="793" spans="1:20" x14ac:dyDescent="0.25">
      <c r="A793" s="11"/>
      <c r="B793" s="12"/>
      <c r="C793" s="17"/>
      <c r="D793" s="10"/>
      <c r="E793" s="11"/>
      <c r="F793" s="11"/>
      <c r="G793" s="13"/>
      <c r="H793" s="13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23">
        <f t="shared" si="24"/>
        <v>0</v>
      </c>
      <c r="T793" s="23">
        <f t="shared" si="25"/>
        <v>0</v>
      </c>
    </row>
    <row r="794" spans="1:20" x14ac:dyDescent="0.25">
      <c r="A794" s="11"/>
      <c r="B794" s="12"/>
      <c r="C794" s="17"/>
      <c r="D794" s="10"/>
      <c r="E794" s="11"/>
      <c r="F794" s="11"/>
      <c r="G794" s="13"/>
      <c r="H794" s="13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23">
        <f t="shared" si="24"/>
        <v>0</v>
      </c>
      <c r="T794" s="23">
        <f t="shared" si="25"/>
        <v>0</v>
      </c>
    </row>
    <row r="795" spans="1:20" x14ac:dyDescent="0.25">
      <c r="A795" s="11"/>
      <c r="B795" s="12"/>
      <c r="C795" s="17"/>
      <c r="D795" s="10"/>
      <c r="E795" s="11"/>
      <c r="F795" s="11"/>
      <c r="G795" s="13"/>
      <c r="H795" s="13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23">
        <f t="shared" si="24"/>
        <v>0</v>
      </c>
      <c r="T795" s="23">
        <f t="shared" si="25"/>
        <v>0</v>
      </c>
    </row>
    <row r="796" spans="1:20" x14ac:dyDescent="0.25">
      <c r="A796" s="11"/>
      <c r="B796" s="12"/>
      <c r="C796" s="17"/>
      <c r="D796" s="10"/>
      <c r="E796" s="11"/>
      <c r="F796" s="11"/>
      <c r="G796" s="13"/>
      <c r="H796" s="13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23">
        <f t="shared" si="24"/>
        <v>0</v>
      </c>
      <c r="T796" s="23">
        <f t="shared" si="25"/>
        <v>0</v>
      </c>
    </row>
    <row r="797" spans="1:20" x14ac:dyDescent="0.25">
      <c r="A797" s="11"/>
      <c r="B797" s="12"/>
      <c r="C797" s="17"/>
      <c r="D797" s="10"/>
      <c r="E797" s="11"/>
      <c r="F797" s="11"/>
      <c r="G797" s="13"/>
      <c r="H797" s="13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23">
        <f t="shared" si="24"/>
        <v>0</v>
      </c>
      <c r="T797" s="23">
        <f t="shared" si="25"/>
        <v>0</v>
      </c>
    </row>
    <row r="798" spans="1:20" x14ac:dyDescent="0.25">
      <c r="A798" s="11"/>
      <c r="B798" s="12"/>
      <c r="C798" s="17"/>
      <c r="D798" s="10"/>
      <c r="E798" s="11"/>
      <c r="F798" s="11"/>
      <c r="G798" s="13"/>
      <c r="H798" s="13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23">
        <f t="shared" si="24"/>
        <v>0</v>
      </c>
      <c r="T798" s="23">
        <f t="shared" si="25"/>
        <v>0</v>
      </c>
    </row>
    <row r="799" spans="1:20" x14ac:dyDescent="0.25">
      <c r="A799" s="11"/>
      <c r="B799" s="12"/>
      <c r="C799" s="17"/>
      <c r="D799" s="10"/>
      <c r="E799" s="11"/>
      <c r="F799" s="11"/>
      <c r="G799" s="13"/>
      <c r="H799" s="13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23">
        <f t="shared" si="24"/>
        <v>0</v>
      </c>
      <c r="T799" s="23">
        <f t="shared" si="25"/>
        <v>0</v>
      </c>
    </row>
    <row r="800" spans="1:20" x14ac:dyDescent="0.25">
      <c r="A800" s="11"/>
      <c r="B800" s="12"/>
      <c r="C800" s="17"/>
      <c r="D800" s="10"/>
      <c r="E800" s="11"/>
      <c r="F800" s="11"/>
      <c r="G800" s="13"/>
      <c r="H800" s="13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23">
        <f t="shared" si="24"/>
        <v>0</v>
      </c>
      <c r="T800" s="23">
        <f t="shared" si="25"/>
        <v>0</v>
      </c>
    </row>
    <row r="801" spans="1:20" x14ac:dyDescent="0.25">
      <c r="A801" s="11"/>
      <c r="B801" s="12"/>
      <c r="C801" s="17"/>
      <c r="D801" s="10"/>
      <c r="E801" s="11"/>
      <c r="F801" s="11"/>
      <c r="G801" s="13"/>
      <c r="H801" s="13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23">
        <f t="shared" si="24"/>
        <v>0</v>
      </c>
      <c r="T801" s="23">
        <f t="shared" si="25"/>
        <v>0</v>
      </c>
    </row>
    <row r="802" spans="1:20" x14ac:dyDescent="0.25">
      <c r="A802" s="11"/>
      <c r="B802" s="12"/>
      <c r="C802" s="17"/>
      <c r="D802" s="10"/>
      <c r="E802" s="11"/>
      <c r="F802" s="11"/>
      <c r="G802" s="13"/>
      <c r="H802" s="13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23">
        <f t="shared" si="24"/>
        <v>0</v>
      </c>
      <c r="T802" s="23">
        <f t="shared" si="25"/>
        <v>0</v>
      </c>
    </row>
    <row r="803" spans="1:20" x14ac:dyDescent="0.25">
      <c r="A803" s="11"/>
      <c r="B803" s="12"/>
      <c r="C803" s="17"/>
      <c r="D803" s="10"/>
      <c r="E803" s="11"/>
      <c r="F803" s="11"/>
      <c r="G803" s="13"/>
      <c r="H803" s="13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23">
        <f t="shared" si="24"/>
        <v>0</v>
      </c>
      <c r="T803" s="23">
        <f t="shared" si="25"/>
        <v>0</v>
      </c>
    </row>
    <row r="804" spans="1:20" x14ac:dyDescent="0.25">
      <c r="A804" s="11"/>
      <c r="B804" s="12"/>
      <c r="C804" s="17"/>
      <c r="D804" s="10"/>
      <c r="E804" s="11"/>
      <c r="F804" s="11"/>
      <c r="G804" s="13"/>
      <c r="H804" s="13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23">
        <f t="shared" si="24"/>
        <v>0</v>
      </c>
      <c r="T804" s="23">
        <f t="shared" si="25"/>
        <v>0</v>
      </c>
    </row>
    <row r="805" spans="1:20" x14ac:dyDescent="0.25">
      <c r="A805" s="11"/>
      <c r="B805" s="12"/>
      <c r="C805" s="17"/>
      <c r="D805" s="10"/>
      <c r="E805" s="11"/>
      <c r="F805" s="11"/>
      <c r="G805" s="13"/>
      <c r="H805" s="13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23">
        <f t="shared" si="24"/>
        <v>0</v>
      </c>
      <c r="T805" s="23">
        <f t="shared" si="25"/>
        <v>0</v>
      </c>
    </row>
    <row r="806" spans="1:20" x14ac:dyDescent="0.25">
      <c r="A806" s="11"/>
      <c r="B806" s="12"/>
      <c r="C806" s="17"/>
      <c r="D806" s="10"/>
      <c r="E806" s="11"/>
      <c r="F806" s="11"/>
      <c r="G806" s="13"/>
      <c r="H806" s="13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23">
        <f t="shared" si="24"/>
        <v>0</v>
      </c>
      <c r="T806" s="23">
        <f t="shared" si="25"/>
        <v>0</v>
      </c>
    </row>
    <row r="807" spans="1:20" x14ac:dyDescent="0.25">
      <c r="A807" s="11"/>
      <c r="B807" s="12"/>
      <c r="C807" s="17"/>
      <c r="D807" s="10"/>
      <c r="E807" s="11"/>
      <c r="F807" s="11"/>
      <c r="G807" s="13"/>
      <c r="H807" s="13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23">
        <f t="shared" si="24"/>
        <v>0</v>
      </c>
      <c r="T807" s="23">
        <f t="shared" si="25"/>
        <v>0</v>
      </c>
    </row>
    <row r="808" spans="1:20" x14ac:dyDescent="0.25">
      <c r="A808" s="11"/>
      <c r="B808" s="12"/>
      <c r="C808" s="17"/>
      <c r="D808" s="10"/>
      <c r="E808" s="11"/>
      <c r="F808" s="11"/>
      <c r="G808" s="13"/>
      <c r="H808" s="13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23">
        <f t="shared" si="24"/>
        <v>0</v>
      </c>
      <c r="T808" s="23">
        <f t="shared" si="25"/>
        <v>0</v>
      </c>
    </row>
    <row r="809" spans="1:20" x14ac:dyDescent="0.25">
      <c r="A809" s="11"/>
      <c r="B809" s="12"/>
      <c r="C809" s="17"/>
      <c r="D809" s="10"/>
      <c r="E809" s="11"/>
      <c r="F809" s="11"/>
      <c r="G809" s="13"/>
      <c r="H809" s="13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23">
        <f t="shared" si="24"/>
        <v>0</v>
      </c>
      <c r="T809" s="23">
        <f t="shared" si="25"/>
        <v>0</v>
      </c>
    </row>
    <row r="810" spans="1:20" x14ac:dyDescent="0.25">
      <c r="A810" s="11"/>
      <c r="B810" s="12"/>
      <c r="C810" s="17"/>
      <c r="D810" s="10"/>
      <c r="E810" s="11"/>
      <c r="F810" s="11"/>
      <c r="G810" s="13"/>
      <c r="H810" s="13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23">
        <f t="shared" si="24"/>
        <v>0</v>
      </c>
      <c r="T810" s="23">
        <f t="shared" si="25"/>
        <v>0</v>
      </c>
    </row>
    <row r="811" spans="1:20" x14ac:dyDescent="0.25">
      <c r="A811" s="11"/>
      <c r="B811" s="12"/>
      <c r="C811" s="17"/>
      <c r="D811" s="10"/>
      <c r="E811" s="11"/>
      <c r="F811" s="11"/>
      <c r="G811" s="13"/>
      <c r="H811" s="13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23">
        <f t="shared" si="24"/>
        <v>0</v>
      </c>
      <c r="T811" s="23">
        <f t="shared" si="25"/>
        <v>0</v>
      </c>
    </row>
    <row r="812" spans="1:20" x14ac:dyDescent="0.25">
      <c r="A812" s="11"/>
      <c r="B812" s="12"/>
      <c r="C812" s="17"/>
      <c r="D812" s="10"/>
      <c r="E812" s="11"/>
      <c r="F812" s="11"/>
      <c r="G812" s="13"/>
      <c r="H812" s="13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23">
        <f t="shared" si="24"/>
        <v>0</v>
      </c>
      <c r="T812" s="23">
        <f t="shared" si="25"/>
        <v>0</v>
      </c>
    </row>
    <row r="813" spans="1:20" x14ac:dyDescent="0.25">
      <c r="A813" s="11"/>
      <c r="B813" s="12"/>
      <c r="C813" s="17"/>
      <c r="D813" s="10"/>
      <c r="E813" s="11"/>
      <c r="F813" s="11"/>
      <c r="G813" s="13"/>
      <c r="H813" s="13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23">
        <f t="shared" si="24"/>
        <v>0</v>
      </c>
      <c r="T813" s="23">
        <f t="shared" si="25"/>
        <v>0</v>
      </c>
    </row>
    <row r="814" spans="1:20" x14ac:dyDescent="0.25">
      <c r="A814" s="11"/>
      <c r="B814" s="12"/>
      <c r="C814" s="17"/>
      <c r="D814" s="10"/>
      <c r="E814" s="11"/>
      <c r="F814" s="11"/>
      <c r="G814" s="13"/>
      <c r="H814" s="13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23">
        <f t="shared" si="24"/>
        <v>0</v>
      </c>
      <c r="T814" s="23">
        <f t="shared" si="25"/>
        <v>0</v>
      </c>
    </row>
    <row r="815" spans="1:20" x14ac:dyDescent="0.25">
      <c r="A815" s="11"/>
      <c r="B815" s="12"/>
      <c r="C815" s="17"/>
      <c r="D815" s="10"/>
      <c r="E815" s="11"/>
      <c r="F815" s="11"/>
      <c r="G815" s="13"/>
      <c r="H815" s="13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23">
        <f t="shared" si="24"/>
        <v>0</v>
      </c>
      <c r="T815" s="23">
        <f t="shared" si="25"/>
        <v>0</v>
      </c>
    </row>
    <row r="816" spans="1:20" x14ac:dyDescent="0.25">
      <c r="A816" s="11"/>
      <c r="B816" s="12"/>
      <c r="C816" s="17"/>
      <c r="D816" s="10"/>
      <c r="E816" s="11"/>
      <c r="F816" s="11"/>
      <c r="G816" s="13"/>
      <c r="H816" s="13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23">
        <f t="shared" si="24"/>
        <v>0</v>
      </c>
      <c r="T816" s="23">
        <f t="shared" si="25"/>
        <v>0</v>
      </c>
    </row>
    <row r="817" spans="1:20" x14ac:dyDescent="0.25">
      <c r="A817" s="11"/>
      <c r="B817" s="12"/>
      <c r="C817" s="17"/>
      <c r="D817" s="10"/>
      <c r="E817" s="11"/>
      <c r="F817" s="11"/>
      <c r="G817" s="13"/>
      <c r="H817" s="13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23">
        <f t="shared" si="24"/>
        <v>0</v>
      </c>
      <c r="T817" s="23">
        <f t="shared" si="25"/>
        <v>0</v>
      </c>
    </row>
    <row r="818" spans="1:20" x14ac:dyDescent="0.25">
      <c r="A818" s="11"/>
      <c r="B818" s="12"/>
      <c r="C818" s="17"/>
      <c r="D818" s="10"/>
      <c r="E818" s="11"/>
      <c r="F818" s="11"/>
      <c r="G818" s="13"/>
      <c r="H818" s="13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23">
        <f t="shared" si="24"/>
        <v>0</v>
      </c>
      <c r="T818" s="23">
        <f t="shared" si="25"/>
        <v>0</v>
      </c>
    </row>
    <row r="819" spans="1:20" x14ac:dyDescent="0.25">
      <c r="A819" s="11"/>
      <c r="B819" s="12"/>
      <c r="C819" s="17"/>
      <c r="D819" s="10"/>
      <c r="E819" s="11"/>
      <c r="F819" s="11"/>
      <c r="G819" s="13"/>
      <c r="H819" s="13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23">
        <f t="shared" si="24"/>
        <v>0</v>
      </c>
      <c r="T819" s="23">
        <f t="shared" si="25"/>
        <v>0</v>
      </c>
    </row>
    <row r="820" spans="1:20" x14ac:dyDescent="0.25">
      <c r="A820" s="11"/>
      <c r="B820" s="12"/>
      <c r="C820" s="17"/>
      <c r="D820" s="10"/>
      <c r="E820" s="11"/>
      <c r="F820" s="11"/>
      <c r="G820" s="13"/>
      <c r="H820" s="13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23">
        <f t="shared" si="24"/>
        <v>0</v>
      </c>
      <c r="T820" s="23">
        <f t="shared" si="25"/>
        <v>0</v>
      </c>
    </row>
    <row r="821" spans="1:20" x14ac:dyDescent="0.25">
      <c r="A821" s="11"/>
      <c r="B821" s="12"/>
      <c r="C821" s="17"/>
      <c r="D821" s="10"/>
      <c r="E821" s="11"/>
      <c r="F821" s="11"/>
      <c r="G821" s="13"/>
      <c r="H821" s="13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23">
        <f t="shared" si="24"/>
        <v>0</v>
      </c>
      <c r="T821" s="23">
        <f t="shared" si="25"/>
        <v>0</v>
      </c>
    </row>
    <row r="822" spans="1:20" x14ac:dyDescent="0.25">
      <c r="A822" s="11"/>
      <c r="B822" s="12"/>
      <c r="C822" s="17"/>
      <c r="D822" s="10"/>
      <c r="E822" s="11"/>
      <c r="F822" s="11"/>
      <c r="G822" s="13"/>
      <c r="H822" s="13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23">
        <f t="shared" si="24"/>
        <v>0</v>
      </c>
      <c r="T822" s="23">
        <f t="shared" si="25"/>
        <v>0</v>
      </c>
    </row>
    <row r="823" spans="1:20" x14ac:dyDescent="0.25">
      <c r="A823" s="11"/>
      <c r="B823" s="12"/>
      <c r="C823" s="17"/>
      <c r="D823" s="10"/>
      <c r="E823" s="11"/>
      <c r="F823" s="11"/>
      <c r="G823" s="13"/>
      <c r="H823" s="13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23">
        <f t="shared" si="24"/>
        <v>0</v>
      </c>
      <c r="T823" s="23">
        <f t="shared" si="25"/>
        <v>0</v>
      </c>
    </row>
    <row r="824" spans="1:20" x14ac:dyDescent="0.25">
      <c r="A824" s="11"/>
      <c r="B824" s="12"/>
      <c r="C824" s="17"/>
      <c r="D824" s="10"/>
      <c r="E824" s="11"/>
      <c r="F824" s="11"/>
      <c r="G824" s="13"/>
      <c r="H824" s="13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23">
        <f t="shared" si="24"/>
        <v>0</v>
      </c>
      <c r="T824" s="23">
        <f t="shared" si="25"/>
        <v>0</v>
      </c>
    </row>
    <row r="825" spans="1:20" x14ac:dyDescent="0.25">
      <c r="A825" s="11"/>
      <c r="B825" s="12"/>
      <c r="C825" s="17"/>
      <c r="D825" s="10"/>
      <c r="E825" s="11"/>
      <c r="F825" s="11"/>
      <c r="G825" s="13"/>
      <c r="H825" s="13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23">
        <f t="shared" si="24"/>
        <v>0</v>
      </c>
      <c r="T825" s="23">
        <f t="shared" si="25"/>
        <v>0</v>
      </c>
    </row>
    <row r="826" spans="1:20" x14ac:dyDescent="0.25">
      <c r="A826" s="11"/>
      <c r="B826" s="12"/>
      <c r="C826" s="17"/>
      <c r="D826" s="10"/>
      <c r="E826" s="11"/>
      <c r="F826" s="11"/>
      <c r="G826" s="13"/>
      <c r="H826" s="13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23">
        <f t="shared" si="24"/>
        <v>0</v>
      </c>
      <c r="T826" s="23">
        <f t="shared" si="25"/>
        <v>0</v>
      </c>
    </row>
    <row r="827" spans="1:20" x14ac:dyDescent="0.25">
      <c r="A827" s="11"/>
      <c r="B827" s="12"/>
      <c r="C827" s="17"/>
      <c r="D827" s="10"/>
      <c r="E827" s="11"/>
      <c r="F827" s="11"/>
      <c r="G827" s="13"/>
      <c r="H827" s="13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23">
        <f t="shared" si="24"/>
        <v>0</v>
      </c>
      <c r="T827" s="23">
        <f t="shared" si="25"/>
        <v>0</v>
      </c>
    </row>
    <row r="828" spans="1:20" x14ac:dyDescent="0.25">
      <c r="A828" s="11"/>
      <c r="B828" s="12"/>
      <c r="C828" s="17"/>
      <c r="D828" s="10"/>
      <c r="E828" s="11"/>
      <c r="F828" s="11"/>
      <c r="G828" s="13"/>
      <c r="H828" s="13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23">
        <f t="shared" si="24"/>
        <v>0</v>
      </c>
      <c r="T828" s="23">
        <f t="shared" si="25"/>
        <v>0</v>
      </c>
    </row>
    <row r="829" spans="1:20" x14ac:dyDescent="0.25">
      <c r="A829" s="11"/>
      <c r="B829" s="12"/>
      <c r="C829" s="17"/>
      <c r="D829" s="10"/>
      <c r="E829" s="11"/>
      <c r="F829" s="11"/>
      <c r="G829" s="13"/>
      <c r="H829" s="13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23">
        <f t="shared" si="24"/>
        <v>0</v>
      </c>
      <c r="T829" s="23">
        <f t="shared" si="25"/>
        <v>0</v>
      </c>
    </row>
    <row r="830" spans="1:20" x14ac:dyDescent="0.25">
      <c r="A830" s="11"/>
      <c r="B830" s="12"/>
      <c r="C830" s="17"/>
      <c r="D830" s="10"/>
      <c r="E830" s="11"/>
      <c r="F830" s="11"/>
      <c r="G830" s="13"/>
      <c r="H830" s="13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23">
        <f t="shared" si="24"/>
        <v>0</v>
      </c>
      <c r="T830" s="23">
        <f t="shared" si="25"/>
        <v>0</v>
      </c>
    </row>
    <row r="831" spans="1:20" x14ac:dyDescent="0.25">
      <c r="A831" s="11"/>
      <c r="B831" s="12"/>
      <c r="C831" s="17"/>
      <c r="D831" s="10"/>
      <c r="E831" s="11"/>
      <c r="F831" s="11"/>
      <c r="G831" s="13"/>
      <c r="H831" s="13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23">
        <f t="shared" si="24"/>
        <v>0</v>
      </c>
      <c r="T831" s="23">
        <f t="shared" si="25"/>
        <v>0</v>
      </c>
    </row>
    <row r="832" spans="1:20" x14ac:dyDescent="0.25">
      <c r="A832" s="11"/>
      <c r="B832" s="12"/>
      <c r="C832" s="17"/>
      <c r="D832" s="10"/>
      <c r="E832" s="11"/>
      <c r="F832" s="11"/>
      <c r="G832" s="13"/>
      <c r="H832" s="13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23">
        <f t="shared" si="24"/>
        <v>0</v>
      </c>
      <c r="T832" s="23">
        <f t="shared" si="25"/>
        <v>0</v>
      </c>
    </row>
    <row r="833" spans="1:20" x14ac:dyDescent="0.25">
      <c r="A833" s="11"/>
      <c r="B833" s="12"/>
      <c r="C833" s="17"/>
      <c r="D833" s="10"/>
      <c r="E833" s="11"/>
      <c r="F833" s="11"/>
      <c r="G833" s="13"/>
      <c r="H833" s="13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23">
        <f t="shared" si="24"/>
        <v>0</v>
      </c>
      <c r="T833" s="23">
        <f t="shared" si="25"/>
        <v>0</v>
      </c>
    </row>
    <row r="834" spans="1:20" x14ac:dyDescent="0.25">
      <c r="A834" s="11"/>
      <c r="B834" s="12"/>
      <c r="C834" s="17"/>
      <c r="D834" s="10"/>
      <c r="E834" s="11"/>
      <c r="F834" s="11"/>
      <c r="G834" s="13"/>
      <c r="H834" s="13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23">
        <f t="shared" si="24"/>
        <v>0</v>
      </c>
      <c r="T834" s="23">
        <f t="shared" si="25"/>
        <v>0</v>
      </c>
    </row>
    <row r="835" spans="1:20" x14ac:dyDescent="0.25">
      <c r="A835" s="11"/>
      <c r="B835" s="12"/>
      <c r="C835" s="17"/>
      <c r="D835" s="10"/>
      <c r="E835" s="11"/>
      <c r="F835" s="11"/>
      <c r="G835" s="13"/>
      <c r="H835" s="13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23">
        <f t="shared" si="24"/>
        <v>0</v>
      </c>
      <c r="T835" s="23">
        <f t="shared" si="25"/>
        <v>0</v>
      </c>
    </row>
    <row r="836" spans="1:20" x14ac:dyDescent="0.25">
      <c r="A836" s="11"/>
      <c r="B836" s="12"/>
      <c r="C836" s="17"/>
      <c r="D836" s="10"/>
      <c r="E836" s="11"/>
      <c r="F836" s="11"/>
      <c r="G836" s="13"/>
      <c r="H836" s="13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23">
        <f t="shared" si="24"/>
        <v>0</v>
      </c>
      <c r="T836" s="23">
        <f t="shared" si="25"/>
        <v>0</v>
      </c>
    </row>
    <row r="837" spans="1:20" x14ac:dyDescent="0.25">
      <c r="A837" s="11"/>
      <c r="B837" s="12"/>
      <c r="C837" s="17"/>
      <c r="D837" s="10"/>
      <c r="E837" s="11"/>
      <c r="F837" s="11"/>
      <c r="G837" s="13"/>
      <c r="H837" s="13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23">
        <f t="shared" si="24"/>
        <v>0</v>
      </c>
      <c r="T837" s="23">
        <f t="shared" si="25"/>
        <v>0</v>
      </c>
    </row>
    <row r="838" spans="1:20" x14ac:dyDescent="0.25">
      <c r="A838" s="11"/>
      <c r="B838" s="12"/>
      <c r="C838" s="17"/>
      <c r="D838" s="10"/>
      <c r="E838" s="11"/>
      <c r="F838" s="11"/>
      <c r="G838" s="13"/>
      <c r="H838" s="13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23">
        <f t="shared" ref="S838:S883" si="26">SUM(I838,K838,M838,O838)</f>
        <v>0</v>
      </c>
      <c r="T838" s="23">
        <f t="shared" ref="T838:T883" si="27">SUM(J838,L838,N838,P838)</f>
        <v>0</v>
      </c>
    </row>
    <row r="839" spans="1:20" x14ac:dyDescent="0.25">
      <c r="A839" s="11"/>
      <c r="B839" s="12"/>
      <c r="C839" s="17"/>
      <c r="D839" s="10"/>
      <c r="E839" s="11"/>
      <c r="F839" s="11"/>
      <c r="G839" s="13"/>
      <c r="H839" s="13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23">
        <f t="shared" si="26"/>
        <v>0</v>
      </c>
      <c r="T839" s="23">
        <f t="shared" si="27"/>
        <v>0</v>
      </c>
    </row>
    <row r="840" spans="1:20" x14ac:dyDescent="0.25">
      <c r="A840" s="11"/>
      <c r="B840" s="12"/>
      <c r="C840" s="17"/>
      <c r="D840" s="10"/>
      <c r="E840" s="11"/>
      <c r="F840" s="11"/>
      <c r="G840" s="13"/>
      <c r="H840" s="13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23">
        <f t="shared" si="26"/>
        <v>0</v>
      </c>
      <c r="T840" s="23">
        <f t="shared" si="27"/>
        <v>0</v>
      </c>
    </row>
    <row r="841" spans="1:20" x14ac:dyDescent="0.25">
      <c r="A841" s="11"/>
      <c r="B841" s="12"/>
      <c r="C841" s="17"/>
      <c r="D841" s="10"/>
      <c r="E841" s="11"/>
      <c r="F841" s="11"/>
      <c r="G841" s="13"/>
      <c r="H841" s="13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23">
        <f t="shared" si="26"/>
        <v>0</v>
      </c>
      <c r="T841" s="23">
        <f t="shared" si="27"/>
        <v>0</v>
      </c>
    </row>
    <row r="842" spans="1:20" x14ac:dyDescent="0.25">
      <c r="A842" s="11"/>
      <c r="B842" s="12"/>
      <c r="C842" s="17"/>
      <c r="D842" s="10"/>
      <c r="E842" s="11"/>
      <c r="F842" s="11"/>
      <c r="G842" s="13"/>
      <c r="H842" s="13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23">
        <f t="shared" si="26"/>
        <v>0</v>
      </c>
      <c r="T842" s="23">
        <f t="shared" si="27"/>
        <v>0</v>
      </c>
    </row>
    <row r="843" spans="1:20" x14ac:dyDescent="0.25">
      <c r="A843" s="11"/>
      <c r="B843" s="12"/>
      <c r="C843" s="17"/>
      <c r="D843" s="10"/>
      <c r="E843" s="11"/>
      <c r="F843" s="11"/>
      <c r="G843" s="13"/>
      <c r="H843" s="13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23">
        <f t="shared" si="26"/>
        <v>0</v>
      </c>
      <c r="T843" s="23">
        <f t="shared" si="27"/>
        <v>0</v>
      </c>
    </row>
    <row r="844" spans="1:20" x14ac:dyDescent="0.25">
      <c r="A844" s="11"/>
      <c r="B844" s="12"/>
      <c r="C844" s="17"/>
      <c r="D844" s="10"/>
      <c r="E844" s="11"/>
      <c r="F844" s="11"/>
      <c r="G844" s="13"/>
      <c r="H844" s="13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23">
        <f t="shared" si="26"/>
        <v>0</v>
      </c>
      <c r="T844" s="23">
        <f t="shared" si="27"/>
        <v>0</v>
      </c>
    </row>
    <row r="845" spans="1:20" x14ac:dyDescent="0.25">
      <c r="A845" s="11"/>
      <c r="B845" s="12"/>
      <c r="C845" s="17"/>
      <c r="D845" s="10"/>
      <c r="E845" s="11"/>
      <c r="F845" s="11"/>
      <c r="G845" s="13"/>
      <c r="H845" s="13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23">
        <f t="shared" si="26"/>
        <v>0</v>
      </c>
      <c r="T845" s="23">
        <f t="shared" si="27"/>
        <v>0</v>
      </c>
    </row>
    <row r="846" spans="1:20" x14ac:dyDescent="0.25">
      <c r="A846" s="11"/>
      <c r="B846" s="12"/>
      <c r="C846" s="17"/>
      <c r="D846" s="10"/>
      <c r="E846" s="11"/>
      <c r="F846" s="11"/>
      <c r="G846" s="13"/>
      <c r="H846" s="13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23">
        <f t="shared" si="26"/>
        <v>0</v>
      </c>
      <c r="T846" s="23">
        <f t="shared" si="27"/>
        <v>0</v>
      </c>
    </row>
    <row r="847" spans="1:20" x14ac:dyDescent="0.25">
      <c r="A847" s="11"/>
      <c r="B847" s="12"/>
      <c r="C847" s="17"/>
      <c r="D847" s="10"/>
      <c r="E847" s="11"/>
      <c r="F847" s="11"/>
      <c r="G847" s="13"/>
      <c r="H847" s="13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23">
        <f t="shared" si="26"/>
        <v>0</v>
      </c>
      <c r="T847" s="23">
        <f t="shared" si="27"/>
        <v>0</v>
      </c>
    </row>
    <row r="848" spans="1:20" x14ac:dyDescent="0.25">
      <c r="A848" s="11"/>
      <c r="B848" s="12"/>
      <c r="C848" s="17"/>
      <c r="D848" s="10"/>
      <c r="E848" s="11"/>
      <c r="F848" s="11"/>
      <c r="G848" s="13"/>
      <c r="H848" s="13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23">
        <f t="shared" si="26"/>
        <v>0</v>
      </c>
      <c r="T848" s="23">
        <f t="shared" si="27"/>
        <v>0</v>
      </c>
    </row>
    <row r="849" spans="1:20" x14ac:dyDescent="0.25">
      <c r="A849" s="11"/>
      <c r="B849" s="12"/>
      <c r="C849" s="17"/>
      <c r="D849" s="10"/>
      <c r="E849" s="11"/>
      <c r="F849" s="11"/>
      <c r="G849" s="13"/>
      <c r="H849" s="13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23">
        <f t="shared" si="26"/>
        <v>0</v>
      </c>
      <c r="T849" s="23">
        <f t="shared" si="27"/>
        <v>0</v>
      </c>
    </row>
    <row r="850" spans="1:20" x14ac:dyDescent="0.25">
      <c r="A850" s="11"/>
      <c r="B850" s="12"/>
      <c r="C850" s="17"/>
      <c r="D850" s="10"/>
      <c r="E850" s="11"/>
      <c r="F850" s="11"/>
      <c r="G850" s="13"/>
      <c r="H850" s="13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23">
        <f t="shared" si="26"/>
        <v>0</v>
      </c>
      <c r="T850" s="23">
        <f t="shared" si="27"/>
        <v>0</v>
      </c>
    </row>
    <row r="851" spans="1:20" x14ac:dyDescent="0.25">
      <c r="A851" s="11"/>
      <c r="B851" s="12"/>
      <c r="C851" s="17"/>
      <c r="D851" s="10"/>
      <c r="E851" s="11"/>
      <c r="F851" s="11"/>
      <c r="G851" s="13"/>
      <c r="H851" s="13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23">
        <f t="shared" si="26"/>
        <v>0</v>
      </c>
      <c r="T851" s="23">
        <f t="shared" si="27"/>
        <v>0</v>
      </c>
    </row>
    <row r="852" spans="1:20" x14ac:dyDescent="0.25">
      <c r="A852" s="11"/>
      <c r="B852" s="12"/>
      <c r="C852" s="17"/>
      <c r="D852" s="10"/>
      <c r="E852" s="11"/>
      <c r="F852" s="11"/>
      <c r="G852" s="13"/>
      <c r="H852" s="13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23">
        <f t="shared" si="26"/>
        <v>0</v>
      </c>
      <c r="T852" s="23">
        <f t="shared" si="27"/>
        <v>0</v>
      </c>
    </row>
    <row r="853" spans="1:20" x14ac:dyDescent="0.25">
      <c r="A853" s="11"/>
      <c r="B853" s="12"/>
      <c r="C853" s="17"/>
      <c r="D853" s="10"/>
      <c r="E853" s="11"/>
      <c r="F853" s="11"/>
      <c r="G853" s="13"/>
      <c r="H853" s="13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23">
        <f t="shared" si="26"/>
        <v>0</v>
      </c>
      <c r="T853" s="23">
        <f t="shared" si="27"/>
        <v>0</v>
      </c>
    </row>
    <row r="854" spans="1:20" x14ac:dyDescent="0.25">
      <c r="A854" s="11"/>
      <c r="B854" s="12"/>
      <c r="C854" s="17"/>
      <c r="D854" s="10"/>
      <c r="E854" s="11"/>
      <c r="F854" s="11"/>
      <c r="G854" s="13"/>
      <c r="H854" s="13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23">
        <f t="shared" si="26"/>
        <v>0</v>
      </c>
      <c r="T854" s="23">
        <f t="shared" si="27"/>
        <v>0</v>
      </c>
    </row>
    <row r="855" spans="1:20" x14ac:dyDescent="0.25">
      <c r="A855" s="11"/>
      <c r="B855" s="12"/>
      <c r="C855" s="17"/>
      <c r="D855" s="10"/>
      <c r="E855" s="11"/>
      <c r="F855" s="11"/>
      <c r="G855" s="13"/>
      <c r="H855" s="13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23">
        <f t="shared" si="26"/>
        <v>0</v>
      </c>
      <c r="T855" s="23">
        <f t="shared" si="27"/>
        <v>0</v>
      </c>
    </row>
    <row r="856" spans="1:20" x14ac:dyDescent="0.25">
      <c r="A856" s="11"/>
      <c r="B856" s="12"/>
      <c r="C856" s="17"/>
      <c r="D856" s="10"/>
      <c r="E856" s="11"/>
      <c r="F856" s="11"/>
      <c r="G856" s="13"/>
      <c r="H856" s="13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23">
        <f t="shared" si="26"/>
        <v>0</v>
      </c>
      <c r="T856" s="23">
        <f t="shared" si="27"/>
        <v>0</v>
      </c>
    </row>
    <row r="857" spans="1:20" x14ac:dyDescent="0.25">
      <c r="A857" s="11"/>
      <c r="B857" s="12"/>
      <c r="C857" s="17"/>
      <c r="D857" s="10"/>
      <c r="E857" s="11"/>
      <c r="F857" s="11"/>
      <c r="G857" s="13"/>
      <c r="H857" s="13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23">
        <f t="shared" si="26"/>
        <v>0</v>
      </c>
      <c r="T857" s="23">
        <f t="shared" si="27"/>
        <v>0</v>
      </c>
    </row>
    <row r="858" spans="1:20" x14ac:dyDescent="0.25">
      <c r="A858" s="11"/>
      <c r="B858" s="12"/>
      <c r="C858" s="17"/>
      <c r="D858" s="10"/>
      <c r="E858" s="11"/>
      <c r="F858" s="11"/>
      <c r="G858" s="13"/>
      <c r="H858" s="13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23">
        <f t="shared" si="26"/>
        <v>0</v>
      </c>
      <c r="T858" s="23">
        <f t="shared" si="27"/>
        <v>0</v>
      </c>
    </row>
    <row r="859" spans="1:20" x14ac:dyDescent="0.25">
      <c r="A859" s="11"/>
      <c r="B859" s="12"/>
      <c r="C859" s="17"/>
      <c r="D859" s="10"/>
      <c r="E859" s="11"/>
      <c r="F859" s="11"/>
      <c r="G859" s="13"/>
      <c r="H859" s="13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23">
        <f t="shared" si="26"/>
        <v>0</v>
      </c>
      <c r="T859" s="23">
        <f t="shared" si="27"/>
        <v>0</v>
      </c>
    </row>
    <row r="860" spans="1:20" x14ac:dyDescent="0.25">
      <c r="A860" s="11"/>
      <c r="B860" s="12"/>
      <c r="C860" s="17"/>
      <c r="D860" s="10"/>
      <c r="E860" s="11"/>
      <c r="F860" s="11"/>
      <c r="G860" s="13"/>
      <c r="H860" s="13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23">
        <f t="shared" si="26"/>
        <v>0</v>
      </c>
      <c r="T860" s="23">
        <f t="shared" si="27"/>
        <v>0</v>
      </c>
    </row>
    <row r="861" spans="1:20" x14ac:dyDescent="0.25">
      <c r="A861" s="11"/>
      <c r="B861" s="12"/>
      <c r="C861" s="17"/>
      <c r="D861" s="10"/>
      <c r="E861" s="11"/>
      <c r="F861" s="11"/>
      <c r="G861" s="13"/>
      <c r="H861" s="13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23">
        <f t="shared" si="26"/>
        <v>0</v>
      </c>
      <c r="T861" s="23">
        <f t="shared" si="27"/>
        <v>0</v>
      </c>
    </row>
    <row r="862" spans="1:20" x14ac:dyDescent="0.25">
      <c r="A862" s="11"/>
      <c r="B862" s="12"/>
      <c r="C862" s="17"/>
      <c r="D862" s="10"/>
      <c r="E862" s="11"/>
      <c r="F862" s="11"/>
      <c r="G862" s="13"/>
      <c r="H862" s="13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23">
        <f t="shared" si="26"/>
        <v>0</v>
      </c>
      <c r="T862" s="23">
        <f t="shared" si="27"/>
        <v>0</v>
      </c>
    </row>
    <row r="863" spans="1:20" x14ac:dyDescent="0.25">
      <c r="A863" s="11"/>
      <c r="B863" s="12"/>
      <c r="C863" s="17"/>
      <c r="D863" s="10"/>
      <c r="E863" s="11"/>
      <c r="F863" s="11"/>
      <c r="G863" s="13"/>
      <c r="H863" s="13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23">
        <f t="shared" si="26"/>
        <v>0</v>
      </c>
      <c r="T863" s="23">
        <f t="shared" si="27"/>
        <v>0</v>
      </c>
    </row>
    <row r="864" spans="1:20" x14ac:dyDescent="0.25">
      <c r="A864" s="11"/>
      <c r="B864" s="12"/>
      <c r="C864" s="17"/>
      <c r="D864" s="10"/>
      <c r="E864" s="11"/>
      <c r="F864" s="11"/>
      <c r="G864" s="13"/>
      <c r="H864" s="13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23">
        <f t="shared" si="26"/>
        <v>0</v>
      </c>
      <c r="T864" s="23">
        <f t="shared" si="27"/>
        <v>0</v>
      </c>
    </row>
    <row r="865" spans="1:20" x14ac:dyDescent="0.25">
      <c r="A865" s="11"/>
      <c r="B865" s="12"/>
      <c r="C865" s="17"/>
      <c r="D865" s="10"/>
      <c r="E865" s="11"/>
      <c r="F865" s="11"/>
      <c r="G865" s="13"/>
      <c r="H865" s="13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23">
        <f t="shared" si="26"/>
        <v>0</v>
      </c>
      <c r="T865" s="23">
        <f t="shared" si="27"/>
        <v>0</v>
      </c>
    </row>
    <row r="866" spans="1:20" x14ac:dyDescent="0.25">
      <c r="A866" s="11"/>
      <c r="B866" s="12"/>
      <c r="C866" s="17"/>
      <c r="D866" s="10"/>
      <c r="E866" s="11"/>
      <c r="F866" s="11"/>
      <c r="G866" s="13"/>
      <c r="H866" s="13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23">
        <f t="shared" si="26"/>
        <v>0</v>
      </c>
      <c r="T866" s="23">
        <f t="shared" si="27"/>
        <v>0</v>
      </c>
    </row>
    <row r="867" spans="1:20" x14ac:dyDescent="0.25">
      <c r="A867" s="11"/>
      <c r="B867" s="12"/>
      <c r="C867" s="17"/>
      <c r="D867" s="10"/>
      <c r="E867" s="11"/>
      <c r="F867" s="11"/>
      <c r="G867" s="13"/>
      <c r="H867" s="13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23">
        <f t="shared" si="26"/>
        <v>0</v>
      </c>
      <c r="T867" s="23">
        <f t="shared" si="27"/>
        <v>0</v>
      </c>
    </row>
    <row r="868" spans="1:20" x14ac:dyDescent="0.25">
      <c r="A868" s="11"/>
      <c r="B868" s="12"/>
      <c r="C868" s="17"/>
      <c r="D868" s="10"/>
      <c r="E868" s="11"/>
      <c r="F868" s="11"/>
      <c r="G868" s="13"/>
      <c r="H868" s="13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23">
        <f t="shared" si="26"/>
        <v>0</v>
      </c>
      <c r="T868" s="23">
        <f t="shared" si="27"/>
        <v>0</v>
      </c>
    </row>
    <row r="869" spans="1:20" x14ac:dyDescent="0.25">
      <c r="A869" s="11"/>
      <c r="B869" s="12"/>
      <c r="C869" s="17"/>
      <c r="D869" s="10"/>
      <c r="E869" s="11"/>
      <c r="F869" s="11"/>
      <c r="G869" s="13"/>
      <c r="H869" s="13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23">
        <f t="shared" si="26"/>
        <v>0</v>
      </c>
      <c r="T869" s="23">
        <f t="shared" si="27"/>
        <v>0</v>
      </c>
    </row>
    <row r="870" spans="1:20" x14ac:dyDescent="0.25">
      <c r="A870" s="11"/>
      <c r="B870" s="12"/>
      <c r="C870" s="17"/>
      <c r="D870" s="10"/>
      <c r="E870" s="11"/>
      <c r="F870" s="11"/>
      <c r="G870" s="13"/>
      <c r="H870" s="13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23">
        <f t="shared" si="26"/>
        <v>0</v>
      </c>
      <c r="T870" s="23">
        <f t="shared" si="27"/>
        <v>0</v>
      </c>
    </row>
    <row r="871" spans="1:20" x14ac:dyDescent="0.25">
      <c r="A871" s="11"/>
      <c r="B871" s="12"/>
      <c r="C871" s="17"/>
      <c r="D871" s="10"/>
      <c r="E871" s="11"/>
      <c r="F871" s="11"/>
      <c r="G871" s="13"/>
      <c r="H871" s="13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23">
        <f t="shared" si="26"/>
        <v>0</v>
      </c>
      <c r="T871" s="23">
        <f t="shared" si="27"/>
        <v>0</v>
      </c>
    </row>
    <row r="872" spans="1:20" x14ac:dyDescent="0.25">
      <c r="A872" s="11"/>
      <c r="B872" s="12"/>
      <c r="C872" s="17"/>
      <c r="D872" s="10"/>
      <c r="E872" s="11"/>
      <c r="F872" s="11"/>
      <c r="G872" s="13"/>
      <c r="H872" s="13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23">
        <f t="shared" si="26"/>
        <v>0</v>
      </c>
      <c r="T872" s="23">
        <f t="shared" si="27"/>
        <v>0</v>
      </c>
    </row>
    <row r="873" spans="1:20" x14ac:dyDescent="0.25">
      <c r="A873" s="11"/>
      <c r="B873" s="12"/>
      <c r="C873" s="17"/>
      <c r="D873" s="10"/>
      <c r="E873" s="11"/>
      <c r="F873" s="11"/>
      <c r="G873" s="13"/>
      <c r="H873" s="13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23">
        <f t="shared" si="26"/>
        <v>0</v>
      </c>
      <c r="T873" s="23">
        <f t="shared" si="27"/>
        <v>0</v>
      </c>
    </row>
    <row r="874" spans="1:20" x14ac:dyDescent="0.25">
      <c r="A874" s="11"/>
      <c r="B874" s="12"/>
      <c r="C874" s="17"/>
      <c r="D874" s="10"/>
      <c r="E874" s="11"/>
      <c r="F874" s="11"/>
      <c r="G874" s="13"/>
      <c r="H874" s="13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23">
        <f t="shared" si="26"/>
        <v>0</v>
      </c>
      <c r="T874" s="23">
        <f t="shared" si="27"/>
        <v>0</v>
      </c>
    </row>
    <row r="875" spans="1:20" x14ac:dyDescent="0.25">
      <c r="A875" s="11"/>
      <c r="B875" s="12"/>
      <c r="C875" s="17"/>
      <c r="D875" s="10"/>
      <c r="E875" s="11"/>
      <c r="F875" s="11"/>
      <c r="G875" s="13"/>
      <c r="H875" s="13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23">
        <f t="shared" si="26"/>
        <v>0</v>
      </c>
      <c r="T875" s="23">
        <f t="shared" si="27"/>
        <v>0</v>
      </c>
    </row>
    <row r="876" spans="1:20" x14ac:dyDescent="0.25">
      <c r="A876" s="11"/>
      <c r="B876" s="12"/>
      <c r="C876" s="17"/>
      <c r="D876" s="10"/>
      <c r="E876" s="11"/>
      <c r="F876" s="11"/>
      <c r="G876" s="13"/>
      <c r="H876" s="13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23">
        <f t="shared" si="26"/>
        <v>0</v>
      </c>
      <c r="T876" s="23">
        <f t="shared" si="27"/>
        <v>0</v>
      </c>
    </row>
    <row r="877" spans="1:20" x14ac:dyDescent="0.25">
      <c r="A877" s="11"/>
      <c r="B877" s="12"/>
      <c r="C877" s="17"/>
      <c r="D877" s="10"/>
      <c r="E877" s="11"/>
      <c r="F877" s="11"/>
      <c r="G877" s="13"/>
      <c r="H877" s="13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23">
        <f t="shared" si="26"/>
        <v>0</v>
      </c>
      <c r="T877" s="23">
        <f t="shared" si="27"/>
        <v>0</v>
      </c>
    </row>
    <row r="878" spans="1:20" x14ac:dyDescent="0.25">
      <c r="A878" s="11"/>
      <c r="B878" s="12"/>
      <c r="C878" s="17"/>
      <c r="D878" s="10"/>
      <c r="E878" s="11"/>
      <c r="F878" s="11"/>
      <c r="G878" s="13"/>
      <c r="H878" s="13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23">
        <f t="shared" si="26"/>
        <v>0</v>
      </c>
      <c r="T878" s="23">
        <f t="shared" si="27"/>
        <v>0</v>
      </c>
    </row>
    <row r="879" spans="1:20" x14ac:dyDescent="0.25">
      <c r="A879" s="11"/>
      <c r="B879" s="12"/>
      <c r="C879" s="17"/>
      <c r="D879" s="10"/>
      <c r="E879" s="11"/>
      <c r="F879" s="11"/>
      <c r="G879" s="13"/>
      <c r="H879" s="13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23">
        <f t="shared" si="26"/>
        <v>0</v>
      </c>
      <c r="T879" s="23">
        <f t="shared" si="27"/>
        <v>0</v>
      </c>
    </row>
    <row r="880" spans="1:20" x14ac:dyDescent="0.25">
      <c r="A880" s="11"/>
      <c r="B880" s="12"/>
      <c r="C880" s="17"/>
      <c r="D880" s="10"/>
      <c r="E880" s="11"/>
      <c r="F880" s="11"/>
      <c r="G880" s="13"/>
      <c r="H880" s="13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23">
        <f t="shared" si="26"/>
        <v>0</v>
      </c>
      <c r="T880" s="23">
        <f t="shared" si="27"/>
        <v>0</v>
      </c>
    </row>
    <row r="881" spans="1:20" x14ac:dyDescent="0.25">
      <c r="A881" s="11"/>
      <c r="B881" s="12"/>
      <c r="C881" s="17"/>
      <c r="D881" s="10"/>
      <c r="E881" s="11"/>
      <c r="F881" s="11"/>
      <c r="G881" s="13"/>
      <c r="H881" s="13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23">
        <f t="shared" si="26"/>
        <v>0</v>
      </c>
      <c r="T881" s="23">
        <f t="shared" si="27"/>
        <v>0</v>
      </c>
    </row>
    <row r="882" spans="1:20" x14ac:dyDescent="0.25">
      <c r="A882" s="11"/>
      <c r="B882" s="12"/>
      <c r="C882" s="17"/>
      <c r="D882" s="10"/>
      <c r="E882" s="11"/>
      <c r="F882" s="11"/>
      <c r="G882" s="13"/>
      <c r="H882" s="13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23">
        <f t="shared" si="26"/>
        <v>0</v>
      </c>
      <c r="T882" s="23">
        <f t="shared" si="27"/>
        <v>0</v>
      </c>
    </row>
    <row r="883" spans="1:20" x14ac:dyDescent="0.25">
      <c r="A883" s="11"/>
      <c r="B883" s="12"/>
      <c r="C883" s="17"/>
      <c r="D883" s="10"/>
      <c r="E883" s="11"/>
      <c r="F883" s="11"/>
      <c r="G883" s="13"/>
      <c r="H883" s="13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23">
        <f t="shared" si="26"/>
        <v>0</v>
      </c>
      <c r="T883" s="23">
        <f t="shared" si="27"/>
        <v>0</v>
      </c>
    </row>
    <row r="884" spans="1:20" x14ac:dyDescent="0.25">
      <c r="A884" s="11"/>
      <c r="B884" s="29"/>
      <c r="C884" s="30"/>
      <c r="D884" s="31"/>
      <c r="E884" s="32"/>
      <c r="F884" s="32"/>
      <c r="G884" s="32"/>
      <c r="H884" s="32"/>
      <c r="I884" s="29"/>
      <c r="J884" s="29"/>
      <c r="K884" s="29"/>
      <c r="L884" s="29"/>
      <c r="M884" s="29"/>
      <c r="N884" s="29"/>
      <c r="O884" s="29"/>
      <c r="P884" s="29"/>
      <c r="Q884" s="29"/>
      <c r="R884" s="29"/>
      <c r="S884" s="29"/>
      <c r="T884" s="29"/>
    </row>
    <row r="885" spans="1:20" x14ac:dyDescent="0.25">
      <c r="A885" s="28"/>
      <c r="B885" s="9"/>
      <c r="C885" s="18"/>
      <c r="D885" s="9"/>
      <c r="E885" s="9"/>
      <c r="F885" s="9"/>
      <c r="G885" s="9"/>
      <c r="H885" s="9"/>
      <c r="I885" s="9"/>
      <c r="J885" s="9"/>
      <c r="K885" s="9"/>
      <c r="L885" s="9"/>
      <c r="M885" s="9"/>
      <c r="N885" s="9"/>
      <c r="O885" s="9"/>
      <c r="P885" s="9"/>
      <c r="Q885" s="9"/>
      <c r="R885" s="9"/>
      <c r="S885" s="9"/>
      <c r="T885" s="9"/>
    </row>
    <row r="886" spans="1:20" x14ac:dyDescent="0.25">
      <c r="A886" s="28"/>
      <c r="B886" s="9"/>
      <c r="C886" s="18"/>
      <c r="D886" s="9"/>
      <c r="E886" s="9"/>
      <c r="F886" s="9"/>
      <c r="G886" s="9"/>
      <c r="H886" s="9"/>
      <c r="I886" s="9"/>
      <c r="J886" s="9"/>
      <c r="K886" s="9"/>
      <c r="L886" s="9"/>
      <c r="M886" s="9"/>
      <c r="N886" s="9"/>
      <c r="O886" s="9"/>
      <c r="P886" s="9"/>
      <c r="Q886" s="9"/>
      <c r="R886" s="9"/>
      <c r="S886" s="9"/>
      <c r="T886" s="9"/>
    </row>
    <row r="887" spans="1:20" x14ac:dyDescent="0.25">
      <c r="A887" s="11"/>
    </row>
    <row r="888" spans="1:20" x14ac:dyDescent="0.25">
      <c r="A888" s="11"/>
    </row>
    <row r="889" spans="1:20" x14ac:dyDescent="0.25">
      <c r="A889" s="11"/>
    </row>
    <row r="890" spans="1:20" x14ac:dyDescent="0.25">
      <c r="A890" s="11"/>
    </row>
    <row r="891" spans="1:20" x14ac:dyDescent="0.25">
      <c r="A891" s="11"/>
    </row>
    <row r="892" spans="1:20" x14ac:dyDescent="0.25">
      <c r="A892" s="11"/>
    </row>
    <row r="893" spans="1:20" x14ac:dyDescent="0.25">
      <c r="A893" s="11"/>
    </row>
    <row r="894" spans="1:20" x14ac:dyDescent="0.25">
      <c r="A894" s="11"/>
    </row>
    <row r="895" spans="1:20" x14ac:dyDescent="0.25">
      <c r="A895" s="11"/>
    </row>
    <row r="896" spans="1:20" x14ac:dyDescent="0.25">
      <c r="A896" s="11"/>
    </row>
    <row r="897" spans="1:1" x14ac:dyDescent="0.25">
      <c r="A897" s="11"/>
    </row>
    <row r="898" spans="1:1" x14ac:dyDescent="0.25">
      <c r="A898" s="11"/>
    </row>
    <row r="899" spans="1:1" x14ac:dyDescent="0.25">
      <c r="A899" s="11"/>
    </row>
    <row r="900" spans="1:1" x14ac:dyDescent="0.25">
      <c r="A900" s="11"/>
    </row>
    <row r="901" spans="1:1" x14ac:dyDescent="0.25">
      <c r="A901" s="11"/>
    </row>
    <row r="902" spans="1:1" x14ac:dyDescent="0.25">
      <c r="A902" s="11"/>
    </row>
    <row r="903" spans="1:1" x14ac:dyDescent="0.25">
      <c r="A903" s="11"/>
    </row>
    <row r="904" spans="1:1" x14ac:dyDescent="0.25">
      <c r="A904" s="11"/>
    </row>
    <row r="905" spans="1:1" x14ac:dyDescent="0.25">
      <c r="A905" s="11"/>
    </row>
    <row r="906" spans="1:1" x14ac:dyDescent="0.25">
      <c r="A906" s="11"/>
    </row>
    <row r="907" spans="1:1" x14ac:dyDescent="0.25">
      <c r="A907" s="11"/>
    </row>
    <row r="908" spans="1:1" x14ac:dyDescent="0.25">
      <c r="A908" s="11"/>
    </row>
    <row r="909" spans="1:1" x14ac:dyDescent="0.25">
      <c r="A909" s="11"/>
    </row>
    <row r="910" spans="1:1" x14ac:dyDescent="0.25">
      <c r="A910" s="11"/>
    </row>
    <row r="911" spans="1:1" x14ac:dyDescent="0.25">
      <c r="A911" s="11"/>
    </row>
    <row r="912" spans="1:1" x14ac:dyDescent="0.25">
      <c r="A912" s="11"/>
    </row>
    <row r="913" spans="1:1" x14ac:dyDescent="0.25">
      <c r="A913" s="11"/>
    </row>
    <row r="914" spans="1:1" x14ac:dyDescent="0.25">
      <c r="A914" s="11"/>
    </row>
    <row r="915" spans="1:1" x14ac:dyDescent="0.25">
      <c r="A915" s="11"/>
    </row>
    <row r="916" spans="1:1" x14ac:dyDescent="0.25">
      <c r="A916" s="11"/>
    </row>
    <row r="917" spans="1:1" x14ac:dyDescent="0.25">
      <c r="A917" s="11"/>
    </row>
    <row r="918" spans="1:1" x14ac:dyDescent="0.25">
      <c r="A918" s="11"/>
    </row>
    <row r="919" spans="1:1" x14ac:dyDescent="0.25">
      <c r="A919" s="11"/>
    </row>
    <row r="920" spans="1:1" x14ac:dyDescent="0.25">
      <c r="A920" s="11"/>
    </row>
    <row r="921" spans="1:1" x14ac:dyDescent="0.25">
      <c r="A921" s="11"/>
    </row>
    <row r="922" spans="1:1" x14ac:dyDescent="0.25">
      <c r="A922" s="11"/>
    </row>
    <row r="923" spans="1:1" x14ac:dyDescent="0.25">
      <c r="A923" s="11"/>
    </row>
    <row r="924" spans="1:1" x14ac:dyDescent="0.25">
      <c r="A924" s="11"/>
    </row>
    <row r="925" spans="1:1" x14ac:dyDescent="0.25">
      <c r="A925" s="11"/>
    </row>
    <row r="926" spans="1:1" x14ac:dyDescent="0.25">
      <c r="A926" s="11"/>
    </row>
    <row r="927" spans="1:1" x14ac:dyDescent="0.25">
      <c r="A927" s="11"/>
    </row>
    <row r="928" spans="1:1" x14ac:dyDescent="0.25">
      <c r="A928" s="11"/>
    </row>
    <row r="929" spans="1:1" x14ac:dyDescent="0.25">
      <c r="A929" s="9"/>
    </row>
    <row r="930" spans="1:1" x14ac:dyDescent="0.25">
      <c r="A930" s="9"/>
    </row>
  </sheetData>
  <autoFilter ref="A7:T883"/>
  <mergeCells count="4">
    <mergeCell ref="S5:T5"/>
    <mergeCell ref="I5:R5"/>
    <mergeCell ref="I6:J6"/>
    <mergeCell ref="K6:R6"/>
  </mergeCells>
  <hyperlinks>
    <hyperlink ref="A175" r:id="rId1" tooltip="Edit “The Disruptors: Unique Solutions”"/>
    <hyperlink ref="A174" r:id="rId2" tooltip="Edit “Career Success Center Kicks Off”"/>
    <hyperlink ref="A177" r:id="rId3" tooltip="Edit “Marketplace for Connected Car Services”"/>
    <hyperlink ref="A178" r:id="rId4" tooltip="Edit “SAP Supports Non-Discrimination Act”"/>
    <hyperlink ref="A180" r:id="rId5" tooltip="Edit “Analyzing the Game”"/>
    <hyperlink ref="A179" r:id="rId6" tooltip="Edit “Becoming Simply Irresistible”"/>
    <hyperlink ref="A173" r:id="rId7"/>
    <hyperlink ref="A176" r:id="rId8"/>
    <hyperlink ref="A172" r:id="rId9"/>
    <hyperlink ref="A171" r:id="rId10"/>
    <hyperlink ref="A170" r:id="rId11"/>
    <hyperlink ref="A151" r:id="rId12"/>
    <hyperlink ref="A168" r:id="rId13"/>
    <hyperlink ref="A169" r:id="rId14"/>
    <hyperlink ref="A167" r:id="rId15"/>
    <hyperlink ref="A166" r:id="rId16"/>
    <hyperlink ref="A165" r:id="rId17"/>
    <hyperlink ref="A164" r:id="rId18"/>
    <hyperlink ref="A163" r:id="rId19"/>
    <hyperlink ref="A162" r:id="rId20"/>
    <hyperlink ref="A161" r:id="rId21"/>
    <hyperlink ref="A160" r:id="rId22"/>
    <hyperlink ref="A159" r:id="rId23"/>
    <hyperlink ref="A158" r:id="rId24"/>
    <hyperlink ref="A156" r:id="rId25"/>
    <hyperlink ref="A157" r:id="rId26"/>
    <hyperlink ref="A150" r:id="rId27"/>
    <hyperlink ref="A154" r:id="rId28"/>
    <hyperlink ref="A155" r:id="rId29"/>
    <hyperlink ref="A152" r:id="rId30"/>
    <hyperlink ref="A153" r:id="rId31"/>
    <hyperlink ref="A149" r:id="rId32"/>
    <hyperlink ref="A109" r:id="rId33"/>
    <hyperlink ref="A110" r:id="rId34"/>
    <hyperlink ref="A111" r:id="rId35"/>
    <hyperlink ref="A112" r:id="rId36"/>
    <hyperlink ref="A119" r:id="rId37"/>
    <hyperlink ref="A117" r:id="rId38"/>
    <hyperlink ref="A118" r:id="rId39"/>
    <hyperlink ref="A116" r:id="rId40"/>
    <hyperlink ref="A114" r:id="rId41"/>
    <hyperlink ref="A115" r:id="rId42"/>
    <hyperlink ref="A113" r:id="rId43"/>
    <hyperlink ref="A128" r:id="rId44"/>
    <hyperlink ref="A129" r:id="rId45"/>
    <hyperlink ref="A127" r:id="rId46"/>
    <hyperlink ref="A126" r:id="rId47"/>
    <hyperlink ref="A124" r:id="rId48"/>
    <hyperlink ref="A123" r:id="rId49"/>
    <hyperlink ref="A125" r:id="rId50"/>
    <hyperlink ref="A121" r:id="rId51"/>
    <hyperlink ref="A122" r:id="rId52"/>
    <hyperlink ref="A120" r:id="rId53"/>
    <hyperlink ref="A139" r:id="rId54"/>
    <hyperlink ref="A136" r:id="rId55"/>
    <hyperlink ref="A137" r:id="rId56"/>
    <hyperlink ref="A135" r:id="rId57"/>
    <hyperlink ref="A134" r:id="rId58"/>
    <hyperlink ref="A132" r:id="rId59"/>
    <hyperlink ref="A133" r:id="rId60"/>
    <hyperlink ref="A131" r:id="rId61"/>
    <hyperlink ref="A130" r:id="rId62"/>
    <hyperlink ref="A145" r:id="rId63"/>
    <hyperlink ref="A148" r:id="rId64"/>
    <hyperlink ref="A147" r:id="rId65"/>
    <hyperlink ref="A146" r:id="rId66"/>
    <hyperlink ref="A144" r:id="rId67"/>
    <hyperlink ref="A143" r:id="rId68"/>
    <hyperlink ref="A142" r:id="rId69"/>
    <hyperlink ref="A141" r:id="rId70"/>
    <hyperlink ref="A140" r:id="rId71"/>
    <hyperlink ref="A138" r:id="rId72"/>
    <hyperlink ref="A108" r:id="rId73"/>
    <hyperlink ref="A107" r:id="rId74"/>
    <hyperlink ref="A106" r:id="rId75"/>
    <hyperlink ref="A104" r:id="rId76"/>
    <hyperlink ref="A105" r:id="rId77"/>
    <hyperlink ref="A103" r:id="rId78"/>
    <hyperlink ref="A102" r:id="rId79"/>
    <hyperlink ref="A101" r:id="rId80"/>
    <hyperlink ref="A100" r:id="rId81"/>
    <hyperlink ref="A99" r:id="rId82"/>
    <hyperlink ref="A98" r:id="rId83"/>
    <hyperlink ref="A96" r:id="rId84"/>
    <hyperlink ref="A97" r:id="rId85"/>
    <hyperlink ref="A95" r:id="rId86"/>
    <hyperlink ref="A94" r:id="rId87"/>
    <hyperlink ref="A93" r:id="rId88"/>
    <hyperlink ref="A91" r:id="rId89"/>
    <hyperlink ref="A92" r:id="rId90"/>
    <hyperlink ref="A89" r:id="rId91"/>
    <hyperlink ref="A90" r:id="rId92"/>
    <hyperlink ref="A88" r:id="rId93"/>
    <hyperlink ref="A86" r:id="rId94"/>
    <hyperlink ref="A87" r:id="rId95"/>
    <hyperlink ref="A85" r:id="rId96"/>
    <hyperlink ref="A84" r:id="rId97"/>
    <hyperlink ref="A83" r:id="rId98"/>
    <hyperlink ref="A81" r:id="rId99"/>
    <hyperlink ref="A82" r:id="rId100"/>
    <hyperlink ref="A79" r:id="rId101"/>
    <hyperlink ref="A80" r:id="rId102"/>
    <hyperlink ref="A78" r:id="rId103"/>
    <hyperlink ref="A73" r:id="rId104"/>
    <hyperlink ref="A70" r:id="rId105"/>
    <hyperlink ref="A71" r:id="rId106"/>
    <hyperlink ref="A72" r:id="rId107"/>
    <hyperlink ref="A74" r:id="rId108"/>
    <hyperlink ref="A75" r:id="rId109"/>
    <hyperlink ref="A77" r:id="rId110"/>
    <hyperlink ref="A76" r:id="rId111"/>
    <hyperlink ref="A68" r:id="rId112"/>
    <hyperlink ref="A69" r:id="rId113"/>
    <hyperlink ref="A67" r:id="rId114"/>
    <hyperlink ref="A64" r:id="rId115"/>
    <hyperlink ref="A66" r:id="rId116"/>
    <hyperlink ref="A65" r:id="rId117"/>
    <hyperlink ref="A63" r:id="rId118"/>
    <hyperlink ref="A62" r:id="rId119"/>
    <hyperlink ref="A61" r:id="rId120"/>
    <hyperlink ref="A60" r:id="rId121"/>
    <hyperlink ref="A39" r:id="rId122"/>
    <hyperlink ref="A59" r:id="rId123"/>
    <hyperlink ref="A58" r:id="rId124"/>
    <hyperlink ref="A56" r:id="rId125"/>
    <hyperlink ref="A57" r:id="rId126"/>
    <hyperlink ref="A54" r:id="rId127"/>
    <hyperlink ref="A55" r:id="rId128"/>
    <hyperlink ref="A53" r:id="rId129"/>
    <hyperlink ref="A51" r:id="rId130"/>
    <hyperlink ref="A52" r:id="rId131"/>
    <hyperlink ref="A50" r:id="rId132"/>
    <hyperlink ref="A49" r:id="rId133"/>
    <hyperlink ref="A48" r:id="rId134"/>
    <hyperlink ref="A47" r:id="rId135"/>
    <hyperlink ref="A45" r:id="rId136"/>
    <hyperlink ref="A46" r:id="rId137"/>
    <hyperlink ref="A41" r:id="rId138"/>
    <hyperlink ref="A44" r:id="rId139"/>
    <hyperlink ref="A43" r:id="rId140"/>
    <hyperlink ref="A42" r:id="rId141"/>
    <hyperlink ref="A40" r:id="rId142"/>
    <hyperlink ref="A8" r:id="rId143"/>
    <hyperlink ref="A38" r:id="rId144"/>
    <hyperlink ref="A36" r:id="rId145"/>
    <hyperlink ref="A10" r:id="rId146"/>
    <hyperlink ref="A9" r:id="rId147"/>
    <hyperlink ref="A35" r:id="rId148"/>
    <hyperlink ref="A32" r:id="rId149"/>
    <hyperlink ref="A29" r:id="rId150"/>
    <hyperlink ref="A30" r:id="rId151"/>
    <hyperlink ref="A31" r:id="rId152"/>
    <hyperlink ref="A33" r:id="rId153"/>
    <hyperlink ref="A27" r:id="rId154"/>
    <hyperlink ref="A37" r:id="rId155"/>
    <hyperlink ref="A34" r:id="rId156"/>
    <hyperlink ref="A28" r:id="rId157"/>
    <hyperlink ref="A25" r:id="rId158"/>
    <hyperlink ref="A21" r:id="rId159"/>
    <hyperlink ref="A22" r:id="rId160"/>
    <hyperlink ref="A20" r:id="rId161"/>
    <hyperlink ref="A18" r:id="rId162"/>
    <hyperlink ref="A19" r:id="rId163"/>
    <hyperlink ref="A17" r:id="rId164"/>
    <hyperlink ref="A14" r:id="rId165"/>
    <hyperlink ref="A11" r:id="rId166"/>
    <hyperlink ref="A12" r:id="rId167"/>
    <hyperlink ref="A13" r:id="rId168"/>
    <hyperlink ref="A15" r:id="rId169"/>
    <hyperlink ref="A23" r:id="rId170"/>
    <hyperlink ref="A24" r:id="rId171"/>
    <hyperlink ref="A26" r:id="rId172"/>
    <hyperlink ref="A182" r:id="rId173"/>
    <hyperlink ref="A183" r:id="rId174"/>
    <hyperlink ref="A185" r:id="rId175"/>
    <hyperlink ref="A186" r:id="rId176"/>
    <hyperlink ref="A184" r:id="rId177"/>
    <hyperlink ref="A181" r:id="rId178"/>
    <hyperlink ref="A187" r:id="rId179"/>
    <hyperlink ref="A188" r:id="rId180"/>
    <hyperlink ref="A189" r:id="rId181"/>
    <hyperlink ref="A191" r:id="rId182"/>
    <hyperlink ref="A190" r:id="rId183"/>
    <hyperlink ref="A192" r:id="rId184"/>
    <hyperlink ref="A193" r:id="rId185" display="https://blogs.wdf.sap.corp/sapnews_en/2015/06/the-disruptors-klitschkos-city-knockout/"/>
    <hyperlink ref="A194" r:id="rId186"/>
    <hyperlink ref="A195" r:id="rId187"/>
    <hyperlink ref="A196" r:id="rId188"/>
    <hyperlink ref="A197" r:id="rId189"/>
    <hyperlink ref="A199" r:id="rId190"/>
    <hyperlink ref="A198" r:id="rId191"/>
    <hyperlink ref="A200" r:id="rId192"/>
    <hyperlink ref="A201" r:id="rId193"/>
    <hyperlink ref="A202" r:id="rId194"/>
    <hyperlink ref="A203" r:id="rId195"/>
    <hyperlink ref="A204" r:id="rId196"/>
    <hyperlink ref="A205" r:id="rId197"/>
    <hyperlink ref="A207" r:id="rId198"/>
    <hyperlink ref="A206" r:id="rId199"/>
    <hyperlink ref="A208" r:id="rId200"/>
    <hyperlink ref="A209" r:id="rId201" display="https://blogs.wdf.sap.corp/sapnews_en/2015/06/simpler-faster-unified-efficient/"/>
    <hyperlink ref="A210" r:id="rId202"/>
    <hyperlink ref="A211" r:id="rId203"/>
    <hyperlink ref="A212" r:id="rId204"/>
    <hyperlink ref="A213" r:id="rId205"/>
    <hyperlink ref="A16" r:id="rId206"/>
    <hyperlink ref="A292" r:id="rId207" tooltip="Permanent Link: Hackers Meet Their Match in SAP" display="https://blogs.wdf.sap.corp/sapnews_en/2015/09/hackers-meet-their-match-in-sap/"/>
    <hyperlink ref="A293" r:id="rId208" tooltip="Permanent Link: Driving IT Innovation (Literally)" display="https://blogs.wdf.sap.corp/sapnews_en/2015/09/driving-it-innovation-literally/"/>
    <hyperlink ref="A294" r:id="rId209" tooltip="Permanent Link: When Smart Cities Fight Mother Nature" display="https://blogs.wdf.sap.corp/sapnews_en/2015/09/when-smart-cities-fight-mother-nature/"/>
    <hyperlink ref="A291" r:id="rId210" tooltip="Permanent Link: SAP’s Fast and Furious Facts" display="https://blogs.wdf.sap.corp/sapnews_en/2015/09/saps-fast-and-furious-facts/"/>
    <hyperlink ref="A290" r:id="rId211" tooltip="Permanent Link: Team U.S. Wins the Solheim Cup" display="https://blogs.wdf.sap.corp/sapnews_en/2015/09/team-u-s-wins-the-solheim-cup/"/>
    <hyperlink ref="A289" r:id="rId212" tooltip="Permanent Link: SAP Responds to the Refugee Crisis" display="https://blogs.wdf.sap.corp/sapnews_en/2015/09/sap-responds-to-the-refugee-crisis/"/>
    <hyperlink ref="A287" r:id="rId213" tooltip="Permanent Link: “I Feel Stronger Than Ever”" display="https://blogs.wdf.sap.corp/sapnews_en/2015/09/i-feel-stronger-than-ever-2/"/>
    <hyperlink ref="A288" r:id="rId214" tooltip="Permanent Link: We’re Not in Kansas Anymore" display="https://blogs.wdf.sap.corp/sapnews_en/2015/09/were-not-in-kansas-anymore/"/>
    <hyperlink ref="A286" r:id="rId215" tooltip="Permanent Link: Be a Hero. No Cape Required." display="https://blogs.wdf.sap.corp/sapnews_en/2015/09/be-a-hero-no-cape-required/"/>
    <hyperlink ref="A285" r:id="rId216" tooltip="Permanent Link: Customers Are in the Driver’s Seat Now" display="https://blogs.wdf.sap.corp/sapnews_en/2015/09/customers-are-in-the-drivers-seat-now/"/>
    <hyperlink ref="A284" r:id="rId217" tooltip="Permanent Link: Black and White" display="https://blogs.wdf.sap.corp/sapnews_en/2015/09/black-and-white/"/>
    <hyperlink ref="A283" r:id="rId218" tooltip="Permanent Link: The Disruptors:  Data Doctors Trust" display="https://blogs.wdf.sap.corp/sapnews_en/2015/09/the-disruptors-data-doctors-trust/"/>
    <hyperlink ref="A282" r:id="rId219" tooltip="Permanent Link: Power in Employees’ Pockets" display="https://blogs.wdf.sap.corp/sapnews_en/2015/09/power-in-employees-pockets/"/>
    <hyperlink ref="A281" r:id="rId220" tooltip="Permanent Link: Refugee Crisis – How You Can Help" display="https://blogs.wdf.sap.corp/sapnews_en/2015/09/refugee-crisis-how-you-can-help/"/>
    <hyperlink ref="A280" r:id="rId221" tooltip="Permanent Link: SAP S/4HANA Branding Update" display="https://blogs.wdf.sap.corp/sapnews_en/2015/09/sap-s4hana-branding-update/"/>
    <hyperlink ref="A278" r:id="rId222" tooltip="Permanent Link: Easier Partnering, Bigger Opportunities" display="https://blogs.wdf.sap.corp/sapnews_en/2015/09/easier-partnering-bigger-opportunities/"/>
    <hyperlink ref="A277" r:id="rId223" tooltip="Permanent Link: Platforms Are Hot Again. Digitize Now!" display="https://blogs.wdf.sap.corp/sapnews_en/2015/09/platforms-are-hot-again-digitize-now/"/>
    <hyperlink ref="A269" r:id="rId224"/>
    <hyperlink ref="A214" r:id="rId225" tooltip="Permanent Link: SAP Waves the Rainbow Flag" display="https://blogs.wdf.sap.corp/sapnews_en/2015/07/sap-waves-the-rainbow-flag/"/>
    <hyperlink ref="A215" r:id="rId226" tooltip="Permanent Link: Cultivating Our Curiosity" display="https://blogs.wdf.sap.corp/sapnews_en/2015/07/cultivating-our-curiosity/"/>
    <hyperlink ref="A216" r:id="rId227" tooltip="Permanent Link: They Came, Pitched, and Conquered" display="https://blogs.wdf.sap.corp/sapnews_en/2015/07/they-came-pitched-and-conquered/"/>
    <hyperlink ref="A219" r:id="rId228" tooltip="Permanent Link: Fashion Gets a Tech Makeover" display="https://blogs.wdf.sap.corp/sapnews_en/2015/07/fashion-gets-a-tech-makeover/"/>
    <hyperlink ref="A217" r:id="rId229" tooltip="Permanent Link: Fresh Face Joins the Supervisory Board" display="https://blogs.wdf.sap.corp/sapnews_en/2015/07/a-fresh-face-joins-the-sap-supervisory-board/"/>
    <hyperlink ref="A218" r:id="rId230" tooltip="Permanent Link: Top Honors for TwoGo by SAP" display="https://blogs.wdf.sap.corp/sapnews_en/2015/07/top-honors-for-twogo-by-sap/"/>
    <hyperlink ref="A220" r:id="rId231" tooltip="Permanent Link: Ariba: All Fired Up" display="https://blogs.wdf.sap.corp/sapnews_en/2015/07/all-fired-up/"/>
    <hyperlink ref="A221" r:id="rId232" tooltip="Permanent Link: Taking Football into the Cloud"/>
    <hyperlink ref="A222" r:id="rId233" tooltip="Permanent Link: Greek Debt Crisis" display="https://blogs.wdf.sap.corp/sapnews_en/2015/07/greek-debt-crisis/"/>
    <hyperlink ref="A224" r:id="rId234" tooltip="Permanent Link: Founders’ Award: Where Are We Now?" display="https://blogs.wdf.sap.corp/sapnews_en/2015/07/founders-award-where-are-we-now/"/>
    <hyperlink ref="A223" r:id="rId235" tooltip="Permanent Link: Living the New Behaviors" display="https://blogs.wdf.sap.corp/sapnews_en/2015/07/living-the-new-behaviors/"/>
    <hyperlink ref="A226" r:id="rId236" tooltip="Permanent Link: Never Too Early for STEM" display="https://blogs.wdf.sap.corp/sapnews_en/2015/07/never-too-early-for-stem/"/>
    <hyperlink ref="A225" r:id="rId237" tooltip="Permanent Link: Quentin Clark Appointed to SAP Board" display="https://blogs.wdf.sap.corp/sapnews_en/2015/07/quentin-clark-appointed-to-sap-board/"/>
    <hyperlink ref="A227" r:id="rId238" tooltip="Permanent Link: Photo Contest: Street Photography" display="https://blogs.wdf.sap.corp/sapnews_en/2015/07/photo-contest-street-photography/"/>
    <hyperlink ref="A229" r:id="rId239" tooltip="Permanent Link: Diversity and the Digital Economy" display="https://blogs.wdf.sap.corp/sapnews_en/2015/07/diversity-and-the-digital-economy/"/>
    <hyperlink ref="A228" r:id="rId240" tooltip="Permanent Link: Go West, Young Man" display="https://blogs.wdf.sap.corp/sapnews_en/2015/07/go-west-young-man/"/>
    <hyperlink ref="A231" r:id="rId241" tooltip="Permanent Link: Innovative Israel" display="https://blogs.wdf.sap.corp/sapnews_en/2015/07/innovative-israel/"/>
    <hyperlink ref="A230" r:id="rId242" tooltip="Permanent Link: Coaching, Leading, Managing" display="https://blogs.wdf.sap.corp/sapnews_en/2015/07/coaching-leading-managing/"/>
    <hyperlink ref="A232" r:id="rId243" tooltip="Permanent Link: Let’s Get Physical" display="https://blogs.wdf.sap.corp/sapnews_en/2015/07/lets-get-physical/"/>
    <hyperlink ref="A233" r:id="rId244" tooltip="Permanent Link: The Adventures of Super Simple" display="https://blogs.wdf.sap.corp/sapnews_en/2015/07/the-adventures-of-super-simple/"/>
    <hyperlink ref="A234" r:id="rId245" tooltip="Permanent Link: Define Your Career" display="https://blogs.wdf.sap.corp/sapnews_en/2015/07/define-your-career/"/>
    <hyperlink ref="A235" r:id="rId246" tooltip="Permanent Link: Gamification: Party Pirate Style" display="https://blogs.wdf.sap.corp/sapnews_en/2015/07/gamification-party-pirate-style/"/>
    <hyperlink ref="A237" r:id="rId247" tooltip="Permanent Link: Mitigate Slavery in the Supply Chain" display="https://blogs.wdf.sap.corp/sapnews_en/2015/07/mitigate-slavery-in-the-supply-chain/"/>
    <hyperlink ref="A236" r:id="rId248" tooltip="Permanent Link: Lync Succeeds SAP Connect for Meetings" display="https://blogs.wdf.sap.corp/sapnews_en/2015/07/lync-succeeds-sap-connect-for-meetings/"/>
    <hyperlink ref="A238" r:id="rId249" tooltip="Permanent Link: SAP Grows in the Cloud and Network" display="https://blogs.wdf.sap.corp/sapnews_en/2015/07/sap-grows-in-the-cloud-and-network/"/>
    <hyperlink ref="A239" r:id="rId250" tooltip="Permanent Link: Making Security Run Simple" display="https://blogs.wdf.sap.corp/sapnews_en/2015/07/making-security-run-simple/"/>
    <hyperlink ref="A240" r:id="rId251" tooltip="Permanent Link: The Making of “In the Clouds with SAP”" display="https://blogs.wdf.sap.corp/sapnews_en/2015/07/the-making-of-in-the-clouds-with-sap/"/>
    <hyperlink ref="A242" r:id="rId252" tooltip="Permanent Link: The Disruptors: Why Fieldglass is One" display="https://blogs.wdf.sap.corp/sapnews_en/2015/07/the-disruptors-why-fieldglass-is-one/"/>
    <hyperlink ref="A241" r:id="rId253" tooltip="Permanent Link: Good Job, Keep Rolling, Stop Flying" display="https://blogs.wdf.sap.corp/sapnews_en/2015/07/good-job-keep-rolling-stop-flying/"/>
    <hyperlink ref="A243" r:id="rId254" tooltip="Permanent Link: Taylor Made, Disaster on the Hudson" display="https://blogs.wdf.sap.corp/sapnews_en/2015/07/taylor-made-disaster-on-the-hudson/"/>
    <hyperlink ref="A244" r:id="rId255" tooltip="Permanent Link: Israel and Germany: Trust Breeds Innovation" display="https://blogs.wdf.sap.corp/sapnews_en/2015/07/israel-and-germany-trust-breeds-innovation/"/>
    <hyperlink ref="A246" r:id="rId256" tooltip="Permanent Link: From Poaching to Farming" display="https://blogs.wdf.sap.corp/sapnews_en/2015/07/from-poaching-to-farming/"/>
    <hyperlink ref="A245" r:id="rId257" tooltip="Permanent Link: Adapt or Die" display="https://blogs.wdf.sap.corp/sapnews_en/2015/07/adapt-or-die/"/>
    <hyperlink ref="A248" r:id="rId258" tooltip="Permanent Link: Coding and Corner Kicks" display="https://blogs.wdf.sap.corp/sapnews_en/2015/07/coding-and-corner-kicks/"/>
    <hyperlink ref="A247" r:id="rId259" tooltip="Permanent Link: Customer Survey: Please, Keep it Simple" display="https://blogs.wdf.sap.corp/sapnews_en/2015/07/customer-survey-please-keep-it-simple/"/>
    <hyperlink ref="A250" r:id="rId260" tooltip="Permanent Link: Spotlight on Women Leaders at SAP" display="https://blogs.wdf.sap.corp/sapnews_en/2015/07/spotlight-on-women-leaders-at-sap/"/>
    <hyperlink ref="A249" r:id="rId261" tooltip="Permanent Link: Unified Ticketing: One Support for Everyone" display="https://blogs.wdf.sap.corp/sapnews_en/2015/07/unified-ticketing-one-support-for-everyone/"/>
    <hyperlink ref="A251" r:id="rId262" tooltip="Permanent Link: Talking Trash at Lunch" display="https://blogs.wdf.sap.corp/sapnews_en/2015/07/talking-trash-at-lunch/"/>
    <hyperlink ref="A252" r:id="rId263" tooltip="Permanent Link: The Digital Economy Manifesto" display="https://blogs.wdf.sap.corp/sapnews_en/2015/07/the-digital-economy-manifesto/"/>
    <hyperlink ref="A253" r:id="rId264" tooltip="Permanent Link: Structure + Freedom = Innovation" display="https://blogs.wdf.sap.corp/sapnews_en/2015/07/structure-freedom-innovation/"/>
    <hyperlink ref="A254" r:id="rId265" tooltip="Permanent Link: SAP on Wheels" display="https://blogs.wdf.sap.corp/sapnews_en/2015/07/sap-on-wheels/"/>
    <hyperlink ref="A255" r:id="rId266" tooltip="Permanent Link: Educational Equity Fueled by Tech" display="https://blogs.wdf.sap.corp/sapnews_en/2015/07/educational-equity-fueled-by-tech/"/>
    <hyperlink ref="A256" r:id="rId267" tooltip="Permanent Link: Recipe for a Sports App" display="https://blogs.wdf.sap.corp/sapnews_en/2015/08/recipe-for-a-sports-app/"/>
    <hyperlink ref="A257" r:id="rId268" tooltip="Permanent Link: The Valley Revs Up Social Start Ups"/>
    <hyperlink ref="A260" r:id="rId269" tooltip="Permanent Link: Kids Discover The Digital Economy" display="https://blogs.wdf.sap.corp/sapnews_en/2015/08/kids-discover-the-digital-economy/"/>
    <hyperlink ref="A259" r:id="rId270" tooltip="Permanent Link: …Sails to Sales Success" display="https://blogs.wdf.sap.corp/sapnews_en/2015/08/sails-to-sales-success/"/>
    <hyperlink ref="A276" r:id="rId271" tooltip="Permanent Link: Digitization with Extra Horsepower" display="https://blogs.wdf.sap.corp/sapnews_en/2015/08/digitization-with-extra-horsepower/"/>
    <hyperlink ref="A275" r:id="rId272" tooltip="Permanent Link: The Neglected Morality of IoT" display="https://blogs.wdf.sap.corp/sapnews_en/2015/08/the-neglected-morality-of-iot/"/>
    <hyperlink ref="A261" r:id="rId273" tooltip="Permanent Link: Putting the Swing Back in Walldorf" display="https://blogs.wdf.sap.corp/sapnews_en/2015/08/putting-the-swing-back-in-walldorf/"/>
    <hyperlink ref="A263" r:id="rId274" tooltip="Permanent Link: Two Sides of the Same Coin" display="https://blogs.wdf.sap.corp/sapnews_en/2015/08/two-sides-of-the-same-coin/"/>
    <hyperlink ref="A264" r:id="rId275" tooltip="Permanent Link: Ending Supply Chain Slavery" display="https://blogs.wdf.sap.corp/sapnews_en/2015/08/ending-supply-chain-slavery/"/>
    <hyperlink ref="A265" r:id="rId276" tooltip="Permanent Link: A Matter Of Support" display="https://blogs.wdf.sap.corp/sapnews_en/2015/08/a-matter-of-support/"/>
    <hyperlink ref="A266" r:id="rId277" tooltip="Permanent Link: The Crippling Cost of Sports Injuries" display="https://blogs.wdf.sap.corp/sapnews_en/2015/08/the-crippling-cost-of-sports-injuries/"/>
    <hyperlink ref="A267" r:id="rId278" tooltip="Permanent Link: Innovation in a Lump of Iron" display="https://blogs.wdf.sap.corp/sapnews_en/2015/08/innovation-in-a-lump-of-iron/"/>
    <hyperlink ref="A268" r:id="rId279" tooltip="Permanent Link: The Pitfalls of Brand Journalism" display="https://blogs.wdf.sap.corp/sapnews_en/2015/08/the-pitfalls-of-brand-journalism/"/>
    <hyperlink ref="A270" r:id="rId280" tooltip="Permanent Link: Wake Up and Smell the Crayons" display="https://blogs.wdf.sap.corp/sapnews_en/2015/08/wake-up-and-smell-the-crayons/"/>
    <hyperlink ref="A271" r:id="rId281" tooltip="Permanent Link: Tapping IoT’s Potential" display="https://blogs.wdf.sap.corp/sapnews_en/2015/08/tapping-iots-potential/"/>
    <hyperlink ref="A272" r:id="rId282" tooltip="Permanent Link: Making Sailing Simpler" display="https://blogs.wdf.sap.corp/sapnews_en/2015/08/making-sailing-simpler/"/>
    <hyperlink ref="A273" r:id="rId283" tooltip="Permanent Link: Spotlight on Women Leaders at SAP" display="https://blogs.wdf.sap.corp/sapnews_en/2015/08/spotlight-on-women-leaders-at-sap-2/"/>
    <hyperlink ref="A274" r:id="rId284" tooltip="Permanent Link: Don’t be a Dodo" display="https://blogs.wdf.sap.corp/sapnews_en/2015/08/learning-from-the-dodo/"/>
    <hyperlink ref="A296" r:id="rId285" tooltip="Permanent Link: How to Design Digital Transformation" display="https://blogs.wdf.sap.corp/sapnews_en/2015/09/how-to-design-digital-transformation/"/>
    <hyperlink ref="A298" r:id="rId286" tooltip="Permanent Link: Wearable at Work – The SAP and Google Challenge" display="https://blogs.wdf.sap.corp/sapnews_en/2015/09/winning-apps/"/>
    <hyperlink ref="A297" r:id="rId287" tooltip="Permanent Link: SAP Strategy, Live and In Color" display="https://blogs.wdf.sap.corp/sapnews_en/2015/09/sap-strategy-live-and-in-color/"/>
    <hyperlink ref="A295" r:id="rId288" display="Let's Get Real About Real-Time Data"/>
    <hyperlink ref="A262" r:id="rId289"/>
    <hyperlink ref="A279" r:id="rId290" tooltip="Permanent Link: Cat Videos Are Overrated" display="https://blogs.wdf.sap.corp/sapnews_en/2015/09/cat-videos-are-overrated/"/>
    <hyperlink ref="A299" r:id="rId291" tooltip="Permanent Link: Ready, Set, Code! STEM’s Africa Road Show" display="https://blogs.wdf.sap.corp/sapnews_en/2015/10/ready-set-code-stems-africa-road-show/"/>
    <hyperlink ref="A300" r:id="rId292" tooltip="Permanent Link: Michael Kleinemeier Joins Executive Board" display="https://blogs.wdf.sap.corp/sapnews_en/2015/10/michael-kleinemeier-joins-sap-executive-board/"/>
    <hyperlink ref="A301" r:id="rId293" tooltip="Permanent Link: And the Winner is…" display="https://blogs.wdf.sap.corp/sapnews_en/2015/10/and-the-winner-is-3/"/>
    <hyperlink ref="A303" r:id="rId294" tooltip="Permanent Link: Customer Hops Onto SAP HANA Express" display="https://blogs.wdf.sap.corp/sapnews_en/2015/10/customer-hops-onto-sap-hana-express/"/>
    <hyperlink ref="A302" r:id="rId295" tooltip="Permanent Link: One4: You Can Help the Refugee Crisis NOW" display="https://blogs.wdf.sap.corp/sapnews_en/2015/10/one4-you-can-help-the-refugees-crisis-now/"/>
    <hyperlink ref="A304" r:id="rId296" tooltip="Permanent Link: SAP Expands HCM Suite with Multiposting" display="https://blogs.wdf.sap.corp/sapnews_en/2015/10/sap-expands-hcm-suite-with-multiposting/"/>
    <hyperlink ref="A306" r:id="rId297" tooltip="Permanent Link: The Play-by-Play on SAP Sports One" display="https://blogs.wdf.sap.corp/sapnews_en/2015/10/the-play-by-play-on-sap-sports-one/"/>
    <hyperlink ref="A305" r:id="rId298" tooltip="Permanent Link: Q3: Record Results in the Cloud" display="https://blogs.wdf.sap.corp/sapnews_en/2015/10/q3-record-results-in-the-cloud/"/>
    <hyperlink ref="A308" r:id="rId299" tooltip="Permanent Link: Innovation Deals a Blow Against Cancer" display="https://blogs.wdf.sap.corp/sapnews_en/2015/10/innovation-deals-a-blow-against-cancer/"/>
    <hyperlink ref="A307" r:id="rId300" tooltip="Permanent Link: #One4: The Power of One Idea" display="https://blogs.wdf.sap.corp/sapnews_en/2015/10/one4-the-power-of-one-employees-idea/"/>
    <hyperlink ref="A309" r:id="rId301" tooltip="Permanent Link: Coding the Future: Fresh Perspectives" display="https://blogs.wdf.sap.corp/sapnews_en/2015/10/coding-the-future-fresh-perspectives/"/>
    <hyperlink ref="A310" r:id="rId302" tooltip="Permanent Link: SAP HANA Support Packs a Punch" display="https://blogs.wdf.sap.corp/sapnews_en/2015/10/sap-hana-support-packs-a-punch/"/>
    <hyperlink ref="A311" r:id="rId303" tooltip="Permanent Link: The Spirit of Solidarity" display="https://blogs.wdf.sap.corp/sapnews_en/2015/10/the-spirit-of-solidarity/"/>
    <hyperlink ref="A312" r:id="rId304" tooltip="Permanent Link: Record Q3 Results Are Confirmed" display="https://blogs.wdf.sap.corp/sapnews_en/2015/10/record-q3-results-are-confirmed/"/>
    <hyperlink ref="A314" r:id="rId305" tooltip="Permanent Link: “No Room for Complacency”" display="https://blogs.wdf.sap.corp/sapnews_en/2015/10/no-room-for-complacency/"/>
    <hyperlink ref="A315" r:id="rId306" tooltip="Permanent Link: SAP S/4HANA Goes Way off the Charts" display="https://blogs.wdf.sap.corp/sapnews_en/2015/10/sap-s4hana-goes-way-off-the-charts/"/>
    <hyperlink ref="A313" r:id="rId307" tooltip="Permanent Link: And the Winner Is…." display="https://blogs.wdf.sap.corp/sapnews_en/2015/10/and-the-winner-is-4/"/>
    <hyperlink ref="A316" r:id="rId308" tooltip="Permanent Link: The Disruptors – Where robots do the dirty work" display="https://blogs.wdf.sap.corp/sapnews_en/2015/10/the-disruptors-where-robots-do-the-dirty-work/"/>
    <hyperlink ref="A317" r:id="rId309" tooltip="Permanent Link: The Quality Execution Principle" display="https://blogs.wdf.sap.corp/sapnews_en/2015/10/the-quality-execution-principle/"/>
    <hyperlink ref="A318" r:id="rId310" tooltip="Permanent Link: From Leadership to Legacy" display="https://blogs.wdf.sap.corp/sapnews_en/2015/10/changing-the-world-and-changing-perceptions/"/>
    <hyperlink ref="A319" r:id="rId311" display="https://blogs.wdf.sap.corp/sapnews_en/2015/11/innovation-entrepreneurialism-courage-from-aribapay-to-suseo-rail/"/>
    <hyperlink ref="A320" r:id="rId312" display="https://blogs.wdf.sap.corp/sapnews_en/2015/11/a-sporting-showcase-for-technology/"/>
    <hyperlink ref="A321" r:id="rId313" display="https://blogs.wdf.sap.corp/sapnews_en/2015/11/whats-got-turkey-talking/"/>
    <hyperlink ref="A322" r:id="rId314" display="https://blogs.wdf.sap.corp/sapnews_en/2015/11/living-simple/"/>
    <hyperlink ref="A324" r:id="rId315" display="https://blogs.wdf.sap.corp/sapnews_en/2015/11/oil-and-safety-mix-well-in-azerbaijan/"/>
    <hyperlink ref="A323" r:id="rId316" display="https://blogs.wdf.sap.corp/sapnews_en/2015/11/computers-and-the-tyranny-of-the-present/"/>
    <hyperlink ref="A325" r:id="rId317" display="https://blogs.wdf.sap.corp/sapnews_en/2015/11/sap-on-the-hill-1-minute-mini-series/"/>
    <hyperlink ref="A326" r:id="rId318" display="https://blogs.wdf.sap.corp/sapnews_en/2015/11/data-dilemma/"/>
    <hyperlink ref="A327" r:id="rId319" display="https://blogs.wdf.sap.corp/sapnews_en/2015/11/heralding-the-future/"/>
    <hyperlink ref="A328" r:id="rId320" display="https://blogs.wdf.sap.corp/sapnews_en/2015/11/vive-la-france/"/>
    <hyperlink ref="A329" r:id="rId321" display="https://blogs.wdf.sap.corp/sapnews_en/2015/11/sap-employees-break-volunteering-record/"/>
    <hyperlink ref="A330" r:id="rId322" display="https://blogs.wdf.sap.corp/sapnews_en/2015/11/what-moved-you-most-in-2015/"/>
    <hyperlink ref="A331" r:id="rId323" display="https://blogs.wdf.sap.corp/sapnews_en/2015/11/saps-light-bulb-moment/"/>
    <hyperlink ref="A333" r:id="rId324" display="https://blogs.wdf.sap.corp/sapnews_en/2015/11/funding-a-worthy-cause/"/>
    <hyperlink ref="A332" r:id="rId325" display="https://blogs.wdf.sap.corp/sapnews_en/2015/11/sap-aces-corporate-equality-index-for-lgbt-inclusion/"/>
    <hyperlink ref="A334" r:id="rId326" display="https://blogs.wdf.sap.corp/sapnews_en/2015/11/dare-to-be-more-human/"/>
    <hyperlink ref="A335" r:id="rId327" display="https://blogs.wdf.sap.corp/sapnews_en/2015/11/delivering-on-a-promise/"/>
    <hyperlink ref="A337" r:id="rId328" display="https://blogs.wdf.sap.corp/sapnews_en/2015/11/time-is-running-out/"/>
    <hyperlink ref="A336" r:id="rId329" display="https://blogs.wdf.sap.corp/sapnews_en/2015/11/i-love-to-score-goals/"/>
    <hyperlink ref="A338" r:id="rId330" display="https://blogs.wdf.sap.corp/sapnews_en/2015/11/we-can-help-mitigate-the-risks/"/>
    <hyperlink ref="A339" r:id="rId331"/>
    <hyperlink ref="A340" r:id="rId332"/>
    <hyperlink ref="A341" r:id="rId333"/>
    <hyperlink ref="A342" r:id="rId334"/>
    <hyperlink ref="A343" r:id="rId335"/>
    <hyperlink ref="A344" r:id="rId336"/>
    <hyperlink ref="A346" r:id="rId337"/>
    <hyperlink ref="A345" r:id="rId338"/>
    <hyperlink ref="A347" r:id="rId339"/>
    <hyperlink ref="A348" r:id="rId340"/>
    <hyperlink ref="A349" r:id="rId341"/>
    <hyperlink ref="A350" r:id="rId342"/>
    <hyperlink ref="A351" r:id="rId343"/>
    <hyperlink ref="A352" r:id="rId344"/>
    <hyperlink ref="A353" r:id="rId345"/>
    <hyperlink ref="A354" r:id="rId346"/>
    <hyperlink ref="A355" r:id="rId347"/>
    <hyperlink ref="A356" r:id="rId348"/>
    <hyperlink ref="A357" r:id="rId349"/>
    <hyperlink ref="A359" r:id="rId350"/>
    <hyperlink ref="A358" r:id="rId351"/>
  </hyperlinks>
  <pageMargins left="0.7" right="0.7" top="0.75" bottom="0.75" header="0.3" footer="0.3"/>
  <pageSetup orientation="portrait" r:id="rId352"/>
  <drawing r:id="rId353"/>
  <legacyDrawing r:id="rId354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'Dropdown Lists'!$B$6:$B$10</xm:f>
          </x14:formula1>
          <xm:sqref>E8:E884</xm:sqref>
        </x14:dataValidation>
        <x14:dataValidation type="list" allowBlank="1" showInputMessage="1" showErrorMessage="1">
          <x14:formula1>
            <xm:f>'Dropdown Lists'!$C$5:$C$18</xm:f>
          </x14:formula1>
          <xm:sqref>F8:F884</xm:sqref>
        </x14:dataValidation>
        <x14:dataValidation type="list" allowBlank="1" showInputMessage="1" showErrorMessage="1">
          <x14:formula1>
            <xm:f>'Dropdown Lists'!$E$5:$E$10</xm:f>
          </x14:formula1>
          <xm:sqref>H8:H884</xm:sqref>
        </x14:dataValidation>
        <x14:dataValidation type="list" allowBlank="1" showInputMessage="1" showErrorMessage="1">
          <x14:formula1>
            <xm:f>'Dropdown Lists'!$D$5:$D$6</xm:f>
          </x14:formula1>
          <xm:sqref>G8:G884</xm:sqref>
        </x14:dataValidation>
        <x14:dataValidation type="list" allowBlank="1" showInputMessage="1" showErrorMessage="1">
          <x14:formula1>
            <xm:f>'Dropdown Lists'!$A$6:$A$8</xm:f>
          </x14:formula1>
          <xm:sqref>D7:D884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rgb="FFFFC000"/>
  </sheetPr>
  <dimension ref="A1:I47"/>
  <sheetViews>
    <sheetView workbookViewId="0">
      <selection activeCell="D5" sqref="D5"/>
    </sheetView>
  </sheetViews>
  <sheetFormatPr baseColWidth="10" defaultColWidth="10.85546875" defaultRowHeight="15" x14ac:dyDescent="0.25"/>
  <cols>
    <col min="1" max="1" width="27.28515625" bestFit="1" customWidth="1"/>
    <col min="2" max="2" width="27" bestFit="1" customWidth="1"/>
    <col min="3" max="3" width="51.42578125" bestFit="1" customWidth="1"/>
    <col min="4" max="4" width="51.42578125" customWidth="1"/>
    <col min="5" max="5" width="11" customWidth="1"/>
  </cols>
  <sheetData>
    <row r="1" spans="1:9" ht="28.5" x14ac:dyDescent="0.45">
      <c r="A1" s="156" t="s">
        <v>43</v>
      </c>
      <c r="B1" s="156"/>
      <c r="C1" s="156"/>
      <c r="D1" s="156"/>
      <c r="E1" s="156"/>
    </row>
    <row r="2" spans="1:9" x14ac:dyDescent="0.25">
      <c r="A2" s="155" t="s">
        <v>2</v>
      </c>
      <c r="B2" s="155" t="s">
        <v>6</v>
      </c>
      <c r="C2" s="155" t="s">
        <v>7</v>
      </c>
      <c r="D2" s="155" t="s">
        <v>367</v>
      </c>
      <c r="E2" s="155" t="s">
        <v>8</v>
      </c>
    </row>
    <row r="3" spans="1:9" ht="15" customHeight="1" x14ac:dyDescent="0.25">
      <c r="A3" s="155"/>
      <c r="B3" s="155"/>
      <c r="C3" s="155"/>
      <c r="D3" s="155" t="s">
        <v>364</v>
      </c>
      <c r="E3" s="155"/>
    </row>
    <row r="4" spans="1:9" ht="15" customHeight="1" x14ac:dyDescent="0.25">
      <c r="A4" s="155"/>
      <c r="B4" s="155"/>
      <c r="C4" s="155"/>
      <c r="D4" s="155"/>
      <c r="E4" s="155"/>
    </row>
    <row r="5" spans="1:9" ht="15" customHeight="1" x14ac:dyDescent="0.25">
      <c r="A5" s="19"/>
      <c r="B5" s="19"/>
      <c r="C5" s="19" t="s">
        <v>328</v>
      </c>
      <c r="D5" s="19" t="s">
        <v>365</v>
      </c>
      <c r="E5" s="19" t="s">
        <v>41</v>
      </c>
    </row>
    <row r="6" spans="1:9" x14ac:dyDescent="0.25">
      <c r="A6" s="19" t="s">
        <v>21</v>
      </c>
      <c r="B6" s="19" t="s">
        <v>25</v>
      </c>
      <c r="C6" s="19" t="s">
        <v>28</v>
      </c>
      <c r="D6" s="19" t="s">
        <v>366</v>
      </c>
      <c r="E6" s="19" t="s">
        <v>36</v>
      </c>
    </row>
    <row r="7" spans="1:9" x14ac:dyDescent="0.25">
      <c r="A7" s="19" t="s">
        <v>19</v>
      </c>
      <c r="B7" s="19" t="s">
        <v>22</v>
      </c>
      <c r="C7" s="19" t="s">
        <v>26</v>
      </c>
      <c r="D7" s="19"/>
      <c r="E7" s="19" t="s">
        <v>37</v>
      </c>
    </row>
    <row r="8" spans="1:9" x14ac:dyDescent="0.25">
      <c r="A8" s="19" t="s">
        <v>20</v>
      </c>
      <c r="B8" s="19" t="s">
        <v>23</v>
      </c>
      <c r="C8" s="19" t="s">
        <v>27</v>
      </c>
      <c r="D8" s="19"/>
      <c r="E8" s="19" t="s">
        <v>38</v>
      </c>
    </row>
    <row r="9" spans="1:9" x14ac:dyDescent="0.25">
      <c r="A9" s="19"/>
      <c r="B9" s="19" t="s">
        <v>24</v>
      </c>
      <c r="C9" s="19" t="s">
        <v>329</v>
      </c>
      <c r="D9" s="19"/>
      <c r="E9" s="19" t="s">
        <v>39</v>
      </c>
      <c r="I9" s="2"/>
    </row>
    <row r="10" spans="1:9" x14ac:dyDescent="0.25">
      <c r="A10" s="19"/>
      <c r="B10" s="19" t="s">
        <v>361</v>
      </c>
      <c r="C10" s="19" t="s">
        <v>35</v>
      </c>
      <c r="D10" s="19"/>
      <c r="E10" s="19" t="s">
        <v>40</v>
      </c>
    </row>
    <row r="11" spans="1:9" x14ac:dyDescent="0.25">
      <c r="A11" s="19"/>
      <c r="B11" s="19"/>
      <c r="C11" s="19" t="s">
        <v>29</v>
      </c>
      <c r="D11" s="19"/>
      <c r="E11" s="19"/>
    </row>
    <row r="12" spans="1:9" x14ac:dyDescent="0.25">
      <c r="A12" s="19"/>
      <c r="B12" s="19"/>
      <c r="C12" s="19" t="s">
        <v>30</v>
      </c>
      <c r="D12" s="19"/>
      <c r="E12" s="19"/>
    </row>
    <row r="13" spans="1:9" x14ac:dyDescent="0.25">
      <c r="A13" s="19"/>
      <c r="B13" s="19"/>
      <c r="C13" s="19" t="s">
        <v>31</v>
      </c>
      <c r="D13" s="19"/>
      <c r="E13" s="19"/>
    </row>
    <row r="14" spans="1:9" x14ac:dyDescent="0.25">
      <c r="A14" s="19"/>
      <c r="B14" s="19"/>
      <c r="C14" s="19" t="s">
        <v>327</v>
      </c>
      <c r="D14" s="19"/>
      <c r="E14" s="19"/>
    </row>
    <row r="15" spans="1:9" x14ac:dyDescent="0.25">
      <c r="A15" s="19"/>
      <c r="B15" s="19"/>
      <c r="C15" s="19" t="s">
        <v>32</v>
      </c>
      <c r="D15" s="19"/>
      <c r="E15" s="19"/>
    </row>
    <row r="16" spans="1:9" x14ac:dyDescent="0.25">
      <c r="A16" s="19"/>
      <c r="B16" s="19"/>
      <c r="C16" s="19" t="s">
        <v>33</v>
      </c>
      <c r="D16" s="19"/>
      <c r="E16" s="19"/>
    </row>
    <row r="17" spans="1:5" x14ac:dyDescent="0.25">
      <c r="A17" s="19"/>
      <c r="B17" s="19"/>
      <c r="C17" s="19" t="s">
        <v>34</v>
      </c>
      <c r="D17" s="19"/>
      <c r="E17" s="19"/>
    </row>
    <row r="18" spans="1:5" x14ac:dyDescent="0.25">
      <c r="A18" s="19"/>
      <c r="B18" s="19"/>
      <c r="C18" s="19" t="s">
        <v>361</v>
      </c>
      <c r="D18" s="19"/>
      <c r="E18" s="19"/>
    </row>
    <row r="19" spans="1:5" x14ac:dyDescent="0.25">
      <c r="A19" s="19"/>
      <c r="B19" s="19"/>
      <c r="C19" s="19"/>
      <c r="D19" s="19"/>
      <c r="E19" s="19"/>
    </row>
    <row r="20" spans="1:5" x14ac:dyDescent="0.25">
      <c r="A20" s="20"/>
      <c r="B20" s="20"/>
      <c r="C20" s="20"/>
      <c r="D20" s="20"/>
      <c r="E20" s="20"/>
    </row>
    <row r="23" spans="1:5" ht="15" customHeight="1" x14ac:dyDescent="0.25"/>
    <row r="24" spans="1:5" ht="15" customHeight="1" x14ac:dyDescent="0.25"/>
    <row r="25" spans="1:5" ht="15" customHeight="1" x14ac:dyDescent="0.25"/>
    <row r="45" ht="15" customHeight="1" x14ac:dyDescent="0.25"/>
    <row r="46" ht="15" customHeight="1" x14ac:dyDescent="0.25"/>
    <row r="47" ht="15" customHeight="1" x14ac:dyDescent="0.25"/>
  </sheetData>
  <mergeCells count="6">
    <mergeCell ref="E2:E4"/>
    <mergeCell ref="C2:C4"/>
    <mergeCell ref="B2:B4"/>
    <mergeCell ref="A2:A4"/>
    <mergeCell ref="A1:E1"/>
    <mergeCell ref="D2:D4"/>
  </mergeCell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rgb="FFFFFF00"/>
  </sheetPr>
  <dimension ref="A1:R24"/>
  <sheetViews>
    <sheetView workbookViewId="0">
      <selection activeCell="B15" sqref="B15"/>
    </sheetView>
  </sheetViews>
  <sheetFormatPr baseColWidth="10" defaultColWidth="10.85546875" defaultRowHeight="15" x14ac:dyDescent="0.25"/>
  <cols>
    <col min="8" max="8" width="18.7109375" customWidth="1"/>
    <col min="9" max="9" width="13.7109375" customWidth="1"/>
    <col min="11" max="11" width="12" bestFit="1" customWidth="1"/>
    <col min="12" max="12" width="11.28515625" bestFit="1" customWidth="1"/>
  </cols>
  <sheetData>
    <row r="1" spans="1:18" ht="21" x14ac:dyDescent="0.35">
      <c r="A1" s="24"/>
      <c r="B1" s="158" t="s">
        <v>350</v>
      </c>
      <c r="C1" s="158"/>
      <c r="D1" s="158"/>
      <c r="E1" s="158"/>
      <c r="F1" s="158"/>
      <c r="G1" s="158"/>
      <c r="H1" s="158"/>
      <c r="I1" s="158"/>
      <c r="J1" s="158"/>
      <c r="K1" s="158"/>
      <c r="L1" s="24"/>
      <c r="M1" s="24"/>
    </row>
    <row r="2" spans="1:18" ht="31.5" customHeight="1" x14ac:dyDescent="0.25">
      <c r="A2" s="25"/>
      <c r="B2" s="159" t="s">
        <v>44</v>
      </c>
      <c r="C2" s="159"/>
      <c r="D2" s="160" t="s">
        <v>11</v>
      </c>
      <c r="E2" s="160"/>
      <c r="F2" s="160" t="s">
        <v>12</v>
      </c>
      <c r="G2" s="160"/>
      <c r="H2" s="160" t="s">
        <v>336</v>
      </c>
      <c r="I2" s="160"/>
      <c r="J2" s="160" t="s">
        <v>14</v>
      </c>
      <c r="K2" s="160"/>
      <c r="L2" s="157" t="s">
        <v>362</v>
      </c>
      <c r="M2" s="157" t="s">
        <v>363</v>
      </c>
    </row>
    <row r="3" spans="1:18" ht="23.25" x14ac:dyDescent="0.25">
      <c r="A3" s="25"/>
      <c r="B3" t="s">
        <v>16</v>
      </c>
      <c r="C3" t="s">
        <v>15</v>
      </c>
      <c r="D3" t="s">
        <v>16</v>
      </c>
      <c r="E3" t="s">
        <v>15</v>
      </c>
      <c r="F3" t="s">
        <v>16</v>
      </c>
      <c r="G3" t="s">
        <v>15</v>
      </c>
      <c r="H3" t="s">
        <v>16</v>
      </c>
      <c r="I3" t="s">
        <v>15</v>
      </c>
      <c r="J3" t="s">
        <v>17</v>
      </c>
      <c r="K3" t="s">
        <v>18</v>
      </c>
      <c r="L3" s="157"/>
      <c r="M3" s="157"/>
    </row>
    <row r="4" spans="1:18" x14ac:dyDescent="0.25">
      <c r="A4" t="s">
        <v>343</v>
      </c>
      <c r="B4" s="26">
        <f>SUM('Metrics - Articles'!I8:I38)</f>
        <v>90195</v>
      </c>
      <c r="C4" s="26">
        <f>SUM('Metrics - Articles'!J8:J38)</f>
        <v>274</v>
      </c>
      <c r="D4" s="26">
        <f>SUM('Metrics - Articles'!K8:K38)</f>
        <v>4044</v>
      </c>
      <c r="E4" s="26">
        <f>SUM('Metrics - Articles'!L8:L38)</f>
        <v>0</v>
      </c>
      <c r="F4" s="26">
        <f>SUM('Metrics - Articles'!M8:M38)</f>
        <v>655</v>
      </c>
      <c r="G4" s="26">
        <f>SUM('Metrics - Articles'!N8:N38)</f>
        <v>0</v>
      </c>
      <c r="H4" s="26">
        <f>SUM('Metrics - Articles'!O8:O38)</f>
        <v>1145</v>
      </c>
      <c r="I4" s="26">
        <f>SUM('Metrics - Articles'!P8:P38)</f>
        <v>0</v>
      </c>
      <c r="J4" s="26">
        <f>SUM('Metrics - Articles'!Q8:Q38)</f>
        <v>0</v>
      </c>
      <c r="K4" s="26">
        <f>SUM('Metrics - Articles'!R8:R38)</f>
        <v>0</v>
      </c>
      <c r="L4" s="26">
        <f>SUM(B4,D4,F4,H4)</f>
        <v>96039</v>
      </c>
      <c r="M4" s="26">
        <f>SUM(C4,E4,G4,I4)</f>
        <v>274</v>
      </c>
    </row>
    <row r="5" spans="1:18" x14ac:dyDescent="0.25">
      <c r="A5" t="s">
        <v>344</v>
      </c>
      <c r="B5" s="26">
        <f>SUM('Metrics - Articles'!I39:I69)</f>
        <v>56140</v>
      </c>
      <c r="C5" s="26">
        <f>SUM('Metrics - Articles'!J39:J69)</f>
        <v>292</v>
      </c>
      <c r="D5" s="26">
        <f>SUM('Metrics - Articles'!K39:K69)</f>
        <v>1014</v>
      </c>
      <c r="E5" s="26">
        <f>SUM('Metrics - Articles'!L39:L69)</f>
        <v>0</v>
      </c>
      <c r="F5" s="26">
        <f>SUM('Metrics - Articles'!M39:M69)</f>
        <v>3701</v>
      </c>
      <c r="G5" s="26">
        <f>SUM('Metrics - Articles'!N39:N69)</f>
        <v>0</v>
      </c>
      <c r="H5" s="26">
        <f>SUM('Metrics - Articles'!O39:O69)</f>
        <v>5486</v>
      </c>
      <c r="I5" s="26">
        <f>SUM('Metrics - Articles'!P39:P69)</f>
        <v>0</v>
      </c>
      <c r="J5" s="26">
        <f>SUM('Metrics - Articles'!Q39:Q69)</f>
        <v>0</v>
      </c>
      <c r="K5" s="26">
        <f>SUM('Metrics - Articles'!R39:R69)</f>
        <v>0</v>
      </c>
      <c r="L5" s="26">
        <f t="shared" ref="L5:L9" si="0">SUM(B5,D5,F5,H5)</f>
        <v>66341</v>
      </c>
      <c r="M5" s="26">
        <f t="shared" ref="M5:M9" si="1">SUM(C5,E5,G5,I5)</f>
        <v>292</v>
      </c>
    </row>
    <row r="6" spans="1:18" x14ac:dyDescent="0.25">
      <c r="A6" t="s">
        <v>345</v>
      </c>
      <c r="B6" s="26">
        <f>SUM('Metrics - Articles'!I70:I108)</f>
        <v>79174</v>
      </c>
      <c r="C6" s="26">
        <f>SUM('Metrics - Articles'!J70:J108)</f>
        <v>465</v>
      </c>
      <c r="D6" s="26">
        <f>SUM('Metrics - Articles'!K70:K108)</f>
        <v>10142</v>
      </c>
      <c r="E6" s="26">
        <f>SUM('Metrics - Articles'!L70:L108)</f>
        <v>1</v>
      </c>
      <c r="F6" s="26">
        <f>SUM('Metrics - Articles'!M70:M108)</f>
        <v>2871</v>
      </c>
      <c r="G6" s="26">
        <f>SUM('Metrics - Articles'!N70:N108)</f>
        <v>0</v>
      </c>
      <c r="H6" s="26">
        <f>SUM('Metrics - Articles'!O70:O108)</f>
        <v>1952</v>
      </c>
      <c r="I6" s="26">
        <f>SUM('Metrics - Articles'!P70:P108)</f>
        <v>7</v>
      </c>
      <c r="J6" s="26">
        <f>SUM('Metrics - Articles'!Q70:Q108)</f>
        <v>0</v>
      </c>
      <c r="K6" s="26">
        <f>SUM('Metrics - Articles'!R70:R108)</f>
        <v>0</v>
      </c>
      <c r="L6" s="26">
        <f t="shared" si="0"/>
        <v>94139</v>
      </c>
      <c r="M6" s="26">
        <f t="shared" si="1"/>
        <v>473</v>
      </c>
    </row>
    <row r="7" spans="1:18" x14ac:dyDescent="0.25">
      <c r="A7" t="s">
        <v>346</v>
      </c>
      <c r="B7" s="26">
        <f>SUM('Metrics - Articles'!I109:I148)</f>
        <v>63195</v>
      </c>
      <c r="C7" s="26">
        <f>SUM('Metrics - Articles'!J109:J148)</f>
        <v>354</v>
      </c>
      <c r="D7" s="26">
        <f>SUM('Metrics - Articles'!K109:K148)</f>
        <v>20635</v>
      </c>
      <c r="E7" s="26">
        <f>SUM('Metrics - Articles'!L109:L148)</f>
        <v>1</v>
      </c>
      <c r="F7" s="26">
        <f>SUM('Metrics - Articles'!M109:M148)</f>
        <v>4795</v>
      </c>
      <c r="G7" s="26">
        <f>SUM('Metrics - Articles'!N109:N148)</f>
        <v>0</v>
      </c>
      <c r="H7" s="26">
        <f>SUM('Metrics - Articles'!O109:O148)</f>
        <v>3153</v>
      </c>
      <c r="I7" s="26">
        <f>SUM('Metrics - Articles'!P109:P148)</f>
        <v>2</v>
      </c>
      <c r="J7" s="26">
        <f>SUM('Metrics - Articles'!Q109:Q148)</f>
        <v>0</v>
      </c>
      <c r="K7" s="26">
        <f>SUM('Metrics - Articles'!R109:R148)</f>
        <v>0</v>
      </c>
      <c r="L7" s="26">
        <f t="shared" si="0"/>
        <v>91778</v>
      </c>
      <c r="M7" s="26">
        <f t="shared" si="1"/>
        <v>357</v>
      </c>
    </row>
    <row r="8" spans="1:18" x14ac:dyDescent="0.25">
      <c r="A8" t="s">
        <v>347</v>
      </c>
      <c r="B8" s="26">
        <f>SUM('Metrics - Articles'!I149:I180)</f>
        <v>45469</v>
      </c>
      <c r="C8" s="26">
        <f>SUM('Metrics - Articles'!J149:J180)</f>
        <v>154</v>
      </c>
      <c r="D8" s="26">
        <f>SUM('Metrics - Articles'!K149:K180)</f>
        <v>5276</v>
      </c>
      <c r="E8" s="26">
        <f>SUM('Metrics - Articles'!L149:L180)</f>
        <v>3</v>
      </c>
      <c r="F8" s="26">
        <f>SUM('Metrics - Articles'!M149:M180)</f>
        <v>826</v>
      </c>
      <c r="G8" s="26">
        <f>SUM('Metrics - Articles'!N149:N180)</f>
        <v>0</v>
      </c>
      <c r="H8" s="26">
        <f>SUM('Metrics - Articles'!O149:O180)</f>
        <v>3332</v>
      </c>
      <c r="I8" s="26">
        <f>SUM('Metrics - Articles'!P149:P180)</f>
        <v>0</v>
      </c>
      <c r="J8" s="26">
        <f>SUM('Metrics - Articles'!Q149:Q180)</f>
        <v>0</v>
      </c>
      <c r="K8" s="26">
        <f>SUM('Metrics - Articles'!R149:R180)</f>
        <v>0</v>
      </c>
      <c r="L8" s="26">
        <f t="shared" si="0"/>
        <v>54903</v>
      </c>
      <c r="M8" s="26">
        <f t="shared" si="1"/>
        <v>157</v>
      </c>
    </row>
    <row r="9" spans="1:18" x14ac:dyDescent="0.25">
      <c r="A9" t="s">
        <v>348</v>
      </c>
      <c r="B9" s="26">
        <f>SUM('Metrics - Articles'!I181:I213)</f>
        <v>46571</v>
      </c>
      <c r="C9" s="26">
        <f>SUM('Metrics - Articles'!J181:J213)</f>
        <v>280</v>
      </c>
      <c r="D9" s="26">
        <f>SUM('Metrics - Articles'!K181:K213)</f>
        <v>2275</v>
      </c>
      <c r="E9" s="26">
        <f>SUM('Metrics - Articles'!L181:L213)</f>
        <v>0</v>
      </c>
      <c r="F9" s="26">
        <f>SUM('Metrics - Articles'!M181:M213)</f>
        <v>252</v>
      </c>
      <c r="G9" s="26">
        <f>SUM('Metrics - Articles'!N181:N213)</f>
        <v>0</v>
      </c>
      <c r="H9" s="26">
        <f>SUM('Metrics - Articles'!O181:O213)</f>
        <v>3082</v>
      </c>
      <c r="I9" s="26">
        <f>SUM('Metrics - Articles'!P181:P213)</f>
        <v>0</v>
      </c>
      <c r="J9" s="26">
        <f>SUM('Metrics - Articles'!Q181:Q213)</f>
        <v>0</v>
      </c>
      <c r="K9" s="26">
        <f>SUM('Metrics - Articles'!R181:R213)</f>
        <v>0</v>
      </c>
      <c r="L9" s="26">
        <f t="shared" si="0"/>
        <v>52180</v>
      </c>
      <c r="M9" s="26">
        <f t="shared" si="1"/>
        <v>280</v>
      </c>
    </row>
    <row r="10" spans="1:18" x14ac:dyDescent="0.25">
      <c r="A10" t="s">
        <v>473</v>
      </c>
      <c r="B10" s="26">
        <f>SUM('Metrics - Articles'!I214:I255)</f>
        <v>67717</v>
      </c>
      <c r="C10" s="26">
        <f>SUM('Metrics - Articles'!J214:J255)</f>
        <v>462</v>
      </c>
      <c r="D10" s="26">
        <f>SUM('Metrics - Articles'!K214:K255)</f>
        <v>13178</v>
      </c>
      <c r="E10" s="26">
        <f>SUM('Metrics - Articles'!L214:L255)</f>
        <v>1</v>
      </c>
      <c r="F10" s="26">
        <f>SUM('Metrics - Articles'!M214:M255)</f>
        <v>4486</v>
      </c>
      <c r="G10" s="26">
        <f>SUM('Metrics - Articles'!N214:N255)</f>
        <v>0</v>
      </c>
      <c r="H10" s="26">
        <f>SUM('Metrics - Articles'!O214:O255)</f>
        <v>7623</v>
      </c>
      <c r="I10" s="26">
        <f>SUM('Metrics - Articles'!P214:P255)</f>
        <v>6</v>
      </c>
      <c r="J10" s="26">
        <f>SUM('Metrics - Articles'!Q214:Q255)</f>
        <v>0</v>
      </c>
      <c r="K10" s="26">
        <f>SUM('Metrics - Articles'!R214:R255)</f>
        <v>0</v>
      </c>
      <c r="L10" s="26">
        <f t="shared" ref="L10:M15" si="2">SUM(B10,D10,F10,H10)</f>
        <v>93004</v>
      </c>
      <c r="M10" s="26">
        <f t="shared" si="2"/>
        <v>469</v>
      </c>
    </row>
    <row r="11" spans="1:18" x14ac:dyDescent="0.25">
      <c r="A11" t="s">
        <v>489</v>
      </c>
      <c r="B11" s="26">
        <f>SUM('Metrics - Articles'!I256:I276)</f>
        <v>30779</v>
      </c>
      <c r="C11" s="26">
        <f>SUM('Metrics - Articles'!J256:J276)</f>
        <v>296</v>
      </c>
      <c r="D11" s="26">
        <f>SUM('Metrics - Articles'!K256:K276)</f>
        <v>26479</v>
      </c>
      <c r="E11" s="26">
        <f>SUM('Metrics - Articles'!L256:L276)</f>
        <v>4</v>
      </c>
      <c r="F11" s="26">
        <f>SUM('Metrics - Articles'!M256:M276)</f>
        <v>3896</v>
      </c>
      <c r="G11" s="26">
        <f>SUM('Metrics - Articles'!N256:N276)</f>
        <v>0</v>
      </c>
      <c r="H11" s="26">
        <f>SUM('Metrics - Articles'!O256:O276)</f>
        <v>14819</v>
      </c>
      <c r="I11" s="26">
        <f>SUM('Metrics - Articles'!P256:P276)</f>
        <v>13</v>
      </c>
      <c r="J11" s="26">
        <f>SUM('Metrics - Articles'!Q256:Q276)</f>
        <v>430663</v>
      </c>
      <c r="K11" s="26">
        <f>SUM('Metrics - Articles'!R256:R276)</f>
        <v>29</v>
      </c>
      <c r="L11" s="26">
        <f t="shared" si="2"/>
        <v>75973</v>
      </c>
      <c r="M11" s="26">
        <f t="shared" si="2"/>
        <v>313</v>
      </c>
    </row>
    <row r="12" spans="1:18" x14ac:dyDescent="0.25">
      <c r="A12" t="s">
        <v>490</v>
      </c>
      <c r="B12" s="26">
        <f>SUM('Metrics - Articles'!I277:I298)</f>
        <v>66960</v>
      </c>
      <c r="C12" s="26">
        <f>SUM('Metrics - Articles'!J277:J298)</f>
        <v>533</v>
      </c>
      <c r="D12" s="26">
        <f>SUM('Metrics - Articles'!K277:K298)</f>
        <v>8555</v>
      </c>
      <c r="E12" s="26">
        <f>SUM('Metrics - Articles'!L277:L298)</f>
        <v>1</v>
      </c>
      <c r="F12" s="26">
        <f>SUM('Metrics - Articles'!M277:M298)</f>
        <v>4082</v>
      </c>
      <c r="G12" s="26">
        <f>SUM('Metrics - Articles'!N277:N298)</f>
        <v>0</v>
      </c>
      <c r="H12" s="26">
        <f>SUM('Metrics - Articles'!O277:O298)</f>
        <v>10165</v>
      </c>
      <c r="I12" s="26">
        <f>SUM('Metrics - Articles'!P277:P298)</f>
        <v>4</v>
      </c>
      <c r="J12" s="26">
        <f>SUM('Metrics - Articles'!Q277:Q298)</f>
        <v>156228</v>
      </c>
      <c r="K12" s="26">
        <f>SUM('Metrics - Articles'!R277:R298)</f>
        <v>17</v>
      </c>
      <c r="L12" s="26">
        <f t="shared" si="2"/>
        <v>89762</v>
      </c>
      <c r="M12" s="26">
        <f t="shared" si="2"/>
        <v>538</v>
      </c>
      <c r="R12" s="26"/>
    </row>
    <row r="13" spans="1:18" x14ac:dyDescent="0.25">
      <c r="A13" t="s">
        <v>491</v>
      </c>
      <c r="B13" s="26">
        <f>SUM('Metrics - Articles'!I299:I318)</f>
        <v>44836</v>
      </c>
      <c r="C13" s="26">
        <f>SUM('Metrics - Articles'!J299:J318)</f>
        <v>188</v>
      </c>
      <c r="D13" s="26">
        <f>SUM('Metrics - Articles'!K299:K318)</f>
        <v>737</v>
      </c>
      <c r="E13" s="26">
        <f>SUM('Metrics - Articles'!L299:L318)</f>
        <v>0</v>
      </c>
      <c r="F13" s="26">
        <f>SUM('Metrics - Articles'!M299:M318)</f>
        <v>7739</v>
      </c>
      <c r="G13" s="26">
        <f>SUM('Metrics - Articles'!N299:N318)</f>
        <v>1</v>
      </c>
      <c r="H13" s="26">
        <f>SUM('Metrics - Articles'!O299:O318)</f>
        <v>2560</v>
      </c>
      <c r="I13" s="26">
        <f>SUM('Metrics - Articles'!P299:P318)</f>
        <v>0</v>
      </c>
      <c r="J13" s="26">
        <f>SUM('Metrics - Articles'!Q299:Q318)</f>
        <v>0</v>
      </c>
      <c r="K13" s="26">
        <f>SUM('Metrics - Articles'!R299:R318)</f>
        <v>0</v>
      </c>
      <c r="L13" s="26">
        <f t="shared" si="2"/>
        <v>55872</v>
      </c>
      <c r="M13" s="26">
        <f t="shared" si="2"/>
        <v>189</v>
      </c>
      <c r="R13" s="26"/>
    </row>
    <row r="14" spans="1:18" x14ac:dyDescent="0.25">
      <c r="A14" t="s">
        <v>492</v>
      </c>
      <c r="B14" s="26">
        <f>SUM('Metrics - Articles'!I319:I338)</f>
        <v>42311</v>
      </c>
      <c r="C14" s="26">
        <f>SUM('Metrics - Articles'!J319:J338)</f>
        <v>168</v>
      </c>
      <c r="D14" s="26">
        <f>SUM('Metrics - Articles'!K319:K338)</f>
        <v>673</v>
      </c>
      <c r="E14" s="26">
        <f>SUM('Metrics - Articles'!L319:L338)</f>
        <v>0</v>
      </c>
      <c r="F14" s="26">
        <f>SUM('Metrics - Articles'!M319:M338)</f>
        <v>1063</v>
      </c>
      <c r="G14" s="26">
        <f>SUM('Metrics - Articles'!N319:N338)</f>
        <v>0</v>
      </c>
      <c r="H14" s="26">
        <f>SUM('Metrics - Articles'!O319:O338)</f>
        <v>3851</v>
      </c>
      <c r="I14" s="26">
        <f>SUM('Metrics - Articles'!P319:P338)</f>
        <v>4</v>
      </c>
      <c r="J14" s="26">
        <f>SUM('Metrics - Articles'!Q319:Q338)</f>
        <v>0</v>
      </c>
      <c r="K14" s="26">
        <f>SUM('Metrics - Articles'!R319:R338)</f>
        <v>0</v>
      </c>
      <c r="L14" s="26">
        <f t="shared" si="2"/>
        <v>47898</v>
      </c>
      <c r="M14" s="26">
        <f t="shared" si="2"/>
        <v>172</v>
      </c>
    </row>
    <row r="15" spans="1:18" x14ac:dyDescent="0.25">
      <c r="A15" t="s">
        <v>493</v>
      </c>
      <c r="B15" s="26">
        <f>SUM('Metrics - Articles'!I339:I359)</f>
        <v>26131</v>
      </c>
      <c r="C15" s="26">
        <f>SUM('Metrics - Articles'!J339:J359)</f>
        <v>102</v>
      </c>
      <c r="D15" s="26">
        <f>SUM('Metrics - Articles'!K339:K359)</f>
        <v>2424</v>
      </c>
      <c r="E15" s="26">
        <f>SUM('Metrics - Articles'!L339:L359)</f>
        <v>0</v>
      </c>
      <c r="F15" s="26">
        <f>SUM('Metrics - Articles'!M339:M359)</f>
        <v>1359</v>
      </c>
      <c r="G15" s="26">
        <f>SUM('Metrics - Articles'!N339:N359)</f>
        <v>0</v>
      </c>
      <c r="H15" s="26">
        <f>SUM('Metrics - Articles'!O339:O359)</f>
        <v>2978</v>
      </c>
      <c r="I15" s="26">
        <f>SUM('Metrics - Articles'!P339:P359)</f>
        <v>0</v>
      </c>
      <c r="J15" s="26">
        <f>SUM('Metrics - Articles'!Q339:Q359)</f>
        <v>672136</v>
      </c>
      <c r="K15" s="26">
        <f>SUM('Metrics - Articles'!R339:R359)</f>
        <v>42</v>
      </c>
      <c r="L15" s="26">
        <f t="shared" si="2"/>
        <v>32892</v>
      </c>
      <c r="M15" s="26">
        <f t="shared" si="2"/>
        <v>102</v>
      </c>
    </row>
    <row r="16" spans="1:18" x14ac:dyDescent="0.25">
      <c r="A16" s="27" t="s">
        <v>349</v>
      </c>
      <c r="B16" s="33">
        <f>SUM(B4:B15)</f>
        <v>659478</v>
      </c>
      <c r="C16" s="33">
        <f t="shared" ref="C16:M16" si="3">SUM(C4:C15)</f>
        <v>3568</v>
      </c>
      <c r="D16" s="33">
        <f t="shared" si="3"/>
        <v>95432</v>
      </c>
      <c r="E16" s="33">
        <f t="shared" si="3"/>
        <v>11</v>
      </c>
      <c r="F16" s="33">
        <f t="shared" si="3"/>
        <v>35725</v>
      </c>
      <c r="G16" s="33">
        <f t="shared" si="3"/>
        <v>1</v>
      </c>
      <c r="H16" s="33">
        <f t="shared" si="3"/>
        <v>60146</v>
      </c>
      <c r="I16" s="33">
        <f t="shared" si="3"/>
        <v>36</v>
      </c>
      <c r="J16" s="33">
        <f t="shared" si="3"/>
        <v>1259027</v>
      </c>
      <c r="K16" s="33">
        <f t="shared" si="3"/>
        <v>88</v>
      </c>
      <c r="L16" s="33">
        <f t="shared" si="3"/>
        <v>850781</v>
      </c>
      <c r="M16" s="33">
        <f t="shared" si="3"/>
        <v>3616</v>
      </c>
    </row>
    <row r="19" spans="1:13" ht="18.75" x14ac:dyDescent="0.3">
      <c r="A19" s="101" t="s">
        <v>496</v>
      </c>
      <c r="B19" s="102">
        <f>SUM(B4:B6)</f>
        <v>225509</v>
      </c>
      <c r="C19" s="102">
        <f t="shared" ref="C19:M19" si="4">SUM(C4:C6)</f>
        <v>1031</v>
      </c>
      <c r="D19" s="102">
        <f t="shared" si="4"/>
        <v>15200</v>
      </c>
      <c r="E19" s="102">
        <f t="shared" si="4"/>
        <v>1</v>
      </c>
      <c r="F19" s="102">
        <f t="shared" si="4"/>
        <v>7227</v>
      </c>
      <c r="G19" s="102">
        <f t="shared" si="4"/>
        <v>0</v>
      </c>
      <c r="H19" s="102">
        <f t="shared" si="4"/>
        <v>8583</v>
      </c>
      <c r="I19" s="102">
        <f t="shared" si="4"/>
        <v>7</v>
      </c>
      <c r="J19" s="102">
        <f t="shared" si="4"/>
        <v>0</v>
      </c>
      <c r="K19" s="102">
        <f t="shared" si="4"/>
        <v>0</v>
      </c>
      <c r="L19" s="102">
        <f t="shared" si="4"/>
        <v>256519</v>
      </c>
      <c r="M19" s="102">
        <f t="shared" si="4"/>
        <v>1039</v>
      </c>
    </row>
    <row r="20" spans="1:13" ht="18.75" x14ac:dyDescent="0.3">
      <c r="A20" s="101" t="s">
        <v>497</v>
      </c>
      <c r="B20" s="103">
        <f>SUM(B7:B9)</f>
        <v>155235</v>
      </c>
      <c r="C20" s="103">
        <f t="shared" ref="C20:M20" si="5">SUM(C7:C9)</f>
        <v>788</v>
      </c>
      <c r="D20" s="103">
        <f t="shared" si="5"/>
        <v>28186</v>
      </c>
      <c r="E20" s="103">
        <f t="shared" si="5"/>
        <v>4</v>
      </c>
      <c r="F20" s="103">
        <f t="shared" si="5"/>
        <v>5873</v>
      </c>
      <c r="G20" s="103">
        <f t="shared" si="5"/>
        <v>0</v>
      </c>
      <c r="H20" s="103">
        <f t="shared" si="5"/>
        <v>9567</v>
      </c>
      <c r="I20" s="103">
        <f t="shared" si="5"/>
        <v>2</v>
      </c>
      <c r="J20" s="103">
        <f t="shared" si="5"/>
        <v>0</v>
      </c>
      <c r="K20" s="103">
        <f t="shared" si="5"/>
        <v>0</v>
      </c>
      <c r="L20" s="103">
        <f t="shared" si="5"/>
        <v>198861</v>
      </c>
      <c r="M20" s="103">
        <f t="shared" si="5"/>
        <v>794</v>
      </c>
    </row>
    <row r="21" spans="1:13" ht="18.75" x14ac:dyDescent="0.3">
      <c r="A21" s="101" t="s">
        <v>498</v>
      </c>
      <c r="B21" s="104">
        <f>SUM(B10:B12)</f>
        <v>165456</v>
      </c>
      <c r="C21" s="104">
        <f t="shared" ref="C21:M21" si="6">SUM(C10:C12)</f>
        <v>1291</v>
      </c>
      <c r="D21" s="104">
        <f t="shared" si="6"/>
        <v>48212</v>
      </c>
      <c r="E21" s="104">
        <f t="shared" si="6"/>
        <v>6</v>
      </c>
      <c r="F21" s="104">
        <f t="shared" si="6"/>
        <v>12464</v>
      </c>
      <c r="G21" s="104">
        <f t="shared" si="6"/>
        <v>0</v>
      </c>
      <c r="H21" s="104">
        <f t="shared" si="6"/>
        <v>32607</v>
      </c>
      <c r="I21" s="104">
        <f t="shared" si="6"/>
        <v>23</v>
      </c>
      <c r="J21" s="104">
        <f t="shared" si="6"/>
        <v>586891</v>
      </c>
      <c r="K21" s="104">
        <f t="shared" si="6"/>
        <v>46</v>
      </c>
      <c r="L21" s="104">
        <f t="shared" si="6"/>
        <v>258739</v>
      </c>
      <c r="M21" s="104">
        <f t="shared" si="6"/>
        <v>1320</v>
      </c>
    </row>
    <row r="22" spans="1:13" ht="18.75" x14ac:dyDescent="0.3">
      <c r="A22" s="101" t="s">
        <v>575</v>
      </c>
      <c r="B22" s="116">
        <f>SUM(B13:B15)</f>
        <v>113278</v>
      </c>
      <c r="C22" s="116">
        <f t="shared" ref="C22:M22" si="7">SUM(C13:C15)</f>
        <v>458</v>
      </c>
      <c r="D22" s="116">
        <f t="shared" si="7"/>
        <v>3834</v>
      </c>
      <c r="E22" s="116">
        <f t="shared" si="7"/>
        <v>0</v>
      </c>
      <c r="F22" s="116">
        <f t="shared" si="7"/>
        <v>10161</v>
      </c>
      <c r="G22" s="116">
        <f t="shared" si="7"/>
        <v>1</v>
      </c>
      <c r="H22" s="116">
        <f t="shared" si="7"/>
        <v>9389</v>
      </c>
      <c r="I22" s="116">
        <f t="shared" si="7"/>
        <v>4</v>
      </c>
      <c r="J22" s="116">
        <f t="shared" si="7"/>
        <v>672136</v>
      </c>
      <c r="K22" s="116">
        <f t="shared" si="7"/>
        <v>42</v>
      </c>
      <c r="L22" s="116">
        <f t="shared" si="7"/>
        <v>136662</v>
      </c>
      <c r="M22" s="116">
        <f t="shared" si="7"/>
        <v>463</v>
      </c>
    </row>
    <row r="24" spans="1:13" x14ac:dyDescent="0.25">
      <c r="I24" s="26"/>
    </row>
  </sheetData>
  <mergeCells count="8">
    <mergeCell ref="L2:L3"/>
    <mergeCell ref="M2:M3"/>
    <mergeCell ref="B1:K1"/>
    <mergeCell ref="B2:C2"/>
    <mergeCell ref="D2:E2"/>
    <mergeCell ref="H2:I2"/>
    <mergeCell ref="J2:K2"/>
    <mergeCell ref="F2:G2"/>
  </mergeCells>
  <pageMargins left="0.7" right="0.7" top="0.75" bottom="0.75" header="0.3" footer="0.3"/>
  <pageSetup orientation="portrait" horizontalDpi="200" verticalDpi="200"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3:B112"/>
  <sheetViews>
    <sheetView workbookViewId="0">
      <selection activeCell="B8" sqref="B8"/>
    </sheetView>
  </sheetViews>
  <sheetFormatPr baseColWidth="10" defaultColWidth="9.140625" defaultRowHeight="15" x14ac:dyDescent="0.25"/>
  <cols>
    <col min="1" max="1" width="43.5703125" bestFit="1" customWidth="1"/>
    <col min="2" max="2" width="30" bestFit="1" customWidth="1"/>
  </cols>
  <sheetData>
    <row r="3" spans="1:2" x14ac:dyDescent="0.25">
      <c r="A3" s="34" t="s">
        <v>474</v>
      </c>
      <c r="B3" t="s">
        <v>477</v>
      </c>
    </row>
    <row r="4" spans="1:2" x14ac:dyDescent="0.25">
      <c r="A4" s="37" t="s">
        <v>218</v>
      </c>
      <c r="B4" s="38">
        <v>38</v>
      </c>
    </row>
    <row r="5" spans="1:2" x14ac:dyDescent="0.25">
      <c r="A5" s="37" t="s">
        <v>223</v>
      </c>
      <c r="B5" s="38">
        <v>30</v>
      </c>
    </row>
    <row r="6" spans="1:2" x14ac:dyDescent="0.25">
      <c r="A6" s="37" t="s">
        <v>229</v>
      </c>
      <c r="B6" s="38">
        <v>25</v>
      </c>
    </row>
    <row r="7" spans="1:2" x14ac:dyDescent="0.25">
      <c r="A7" s="37" t="s">
        <v>228</v>
      </c>
      <c r="B7" s="38">
        <v>24</v>
      </c>
    </row>
    <row r="8" spans="1:2" x14ac:dyDescent="0.25">
      <c r="A8" s="37" t="s">
        <v>237</v>
      </c>
      <c r="B8" s="38">
        <v>21</v>
      </c>
    </row>
    <row r="9" spans="1:2" x14ac:dyDescent="0.25">
      <c r="A9" s="35" t="s">
        <v>239</v>
      </c>
      <c r="B9" s="36">
        <v>17</v>
      </c>
    </row>
    <row r="10" spans="1:2" x14ac:dyDescent="0.25">
      <c r="A10" s="35" t="s">
        <v>227</v>
      </c>
      <c r="B10" s="36">
        <v>15</v>
      </c>
    </row>
    <row r="11" spans="1:2" x14ac:dyDescent="0.25">
      <c r="A11" s="35" t="s">
        <v>221</v>
      </c>
      <c r="B11" s="36">
        <v>14</v>
      </c>
    </row>
    <row r="12" spans="1:2" x14ac:dyDescent="0.25">
      <c r="A12" s="35" t="s">
        <v>215</v>
      </c>
      <c r="B12" s="36">
        <v>14</v>
      </c>
    </row>
    <row r="13" spans="1:2" x14ac:dyDescent="0.25">
      <c r="A13" s="35" t="s">
        <v>230</v>
      </c>
      <c r="B13" s="36">
        <v>13</v>
      </c>
    </row>
    <row r="14" spans="1:2" x14ac:dyDescent="0.25">
      <c r="A14" s="35" t="s">
        <v>219</v>
      </c>
      <c r="B14" s="36">
        <v>8</v>
      </c>
    </row>
    <row r="15" spans="1:2" x14ac:dyDescent="0.25">
      <c r="A15" s="35" t="s">
        <v>224</v>
      </c>
      <c r="B15" s="36">
        <v>6</v>
      </c>
    </row>
    <row r="16" spans="1:2" x14ac:dyDescent="0.25">
      <c r="A16" s="35" t="s">
        <v>238</v>
      </c>
      <c r="B16" s="36">
        <v>5</v>
      </c>
    </row>
    <row r="17" spans="1:2" x14ac:dyDescent="0.25">
      <c r="A17" s="35" t="s">
        <v>252</v>
      </c>
      <c r="B17" s="36">
        <v>5</v>
      </c>
    </row>
    <row r="18" spans="1:2" x14ac:dyDescent="0.25">
      <c r="A18" s="35" t="s">
        <v>246</v>
      </c>
      <c r="B18" s="36">
        <v>4</v>
      </c>
    </row>
    <row r="19" spans="1:2" x14ac:dyDescent="0.25">
      <c r="A19" s="35" t="s">
        <v>266</v>
      </c>
      <c r="B19" s="36">
        <v>4</v>
      </c>
    </row>
    <row r="20" spans="1:2" x14ac:dyDescent="0.25">
      <c r="A20" s="35" t="s">
        <v>423</v>
      </c>
      <c r="B20" s="36">
        <v>3</v>
      </c>
    </row>
    <row r="21" spans="1:2" x14ac:dyDescent="0.25">
      <c r="A21" s="35" t="s">
        <v>225</v>
      </c>
      <c r="B21" s="36">
        <v>3</v>
      </c>
    </row>
    <row r="22" spans="1:2" x14ac:dyDescent="0.25">
      <c r="A22" s="35" t="s">
        <v>256</v>
      </c>
      <c r="B22" s="36">
        <v>3</v>
      </c>
    </row>
    <row r="23" spans="1:2" x14ac:dyDescent="0.25">
      <c r="A23" s="35" t="s">
        <v>560</v>
      </c>
      <c r="B23" s="36">
        <v>2</v>
      </c>
    </row>
    <row r="24" spans="1:2" x14ac:dyDescent="0.25">
      <c r="A24" s="35" t="s">
        <v>444</v>
      </c>
      <c r="B24" s="36">
        <v>2</v>
      </c>
    </row>
    <row r="25" spans="1:2" x14ac:dyDescent="0.25">
      <c r="A25" s="35" t="s">
        <v>283</v>
      </c>
      <c r="B25" s="36">
        <v>2</v>
      </c>
    </row>
    <row r="26" spans="1:2" x14ac:dyDescent="0.25">
      <c r="A26" s="35" t="s">
        <v>231</v>
      </c>
      <c r="B26" s="36">
        <v>2</v>
      </c>
    </row>
    <row r="27" spans="1:2" x14ac:dyDescent="0.25">
      <c r="A27" s="35" t="s">
        <v>562</v>
      </c>
      <c r="B27" s="36">
        <v>2</v>
      </c>
    </row>
    <row r="28" spans="1:2" x14ac:dyDescent="0.25">
      <c r="A28" s="35" t="s">
        <v>249</v>
      </c>
      <c r="B28" s="36">
        <v>2</v>
      </c>
    </row>
    <row r="29" spans="1:2" x14ac:dyDescent="0.25">
      <c r="A29" s="35" t="s">
        <v>322</v>
      </c>
      <c r="B29" s="36">
        <v>2</v>
      </c>
    </row>
    <row r="30" spans="1:2" x14ac:dyDescent="0.25">
      <c r="A30" s="35" t="s">
        <v>243</v>
      </c>
      <c r="B30" s="36">
        <v>2</v>
      </c>
    </row>
    <row r="31" spans="1:2" x14ac:dyDescent="0.25">
      <c r="A31" s="35" t="s">
        <v>254</v>
      </c>
      <c r="B31" s="36">
        <v>2</v>
      </c>
    </row>
    <row r="32" spans="1:2" x14ac:dyDescent="0.25">
      <c r="A32" s="35" t="s">
        <v>233</v>
      </c>
      <c r="B32" s="36">
        <v>2</v>
      </c>
    </row>
    <row r="33" spans="1:2" x14ac:dyDescent="0.25">
      <c r="A33" s="35" t="s">
        <v>217</v>
      </c>
      <c r="B33" s="36">
        <v>2</v>
      </c>
    </row>
    <row r="34" spans="1:2" x14ac:dyDescent="0.25">
      <c r="A34" s="35" t="s">
        <v>253</v>
      </c>
      <c r="B34" s="36">
        <v>2</v>
      </c>
    </row>
    <row r="35" spans="1:2" x14ac:dyDescent="0.25">
      <c r="A35" s="35" t="s">
        <v>318</v>
      </c>
      <c r="B35" s="36">
        <v>2</v>
      </c>
    </row>
    <row r="36" spans="1:2" x14ac:dyDescent="0.25">
      <c r="A36" s="35" t="s">
        <v>352</v>
      </c>
      <c r="B36" s="36">
        <v>2</v>
      </c>
    </row>
    <row r="37" spans="1:2" x14ac:dyDescent="0.25">
      <c r="A37" s="35" t="s">
        <v>242</v>
      </c>
      <c r="B37" s="36">
        <v>1</v>
      </c>
    </row>
    <row r="38" spans="1:2" x14ac:dyDescent="0.25">
      <c r="A38" s="35" t="s">
        <v>566</v>
      </c>
      <c r="B38" s="36">
        <v>1</v>
      </c>
    </row>
    <row r="39" spans="1:2" x14ac:dyDescent="0.25">
      <c r="A39" s="35" t="s">
        <v>257</v>
      </c>
      <c r="B39" s="36">
        <v>1</v>
      </c>
    </row>
    <row r="40" spans="1:2" x14ac:dyDescent="0.25">
      <c r="A40" s="35" t="s">
        <v>353</v>
      </c>
      <c r="B40" s="36">
        <v>1</v>
      </c>
    </row>
    <row r="41" spans="1:2" x14ac:dyDescent="0.25">
      <c r="A41" s="35" t="s">
        <v>216</v>
      </c>
      <c r="B41" s="36">
        <v>1</v>
      </c>
    </row>
    <row r="42" spans="1:2" x14ac:dyDescent="0.25">
      <c r="A42" s="35" t="s">
        <v>244</v>
      </c>
      <c r="B42" s="36">
        <v>1</v>
      </c>
    </row>
    <row r="43" spans="1:2" x14ac:dyDescent="0.25">
      <c r="A43" s="35" t="s">
        <v>540</v>
      </c>
      <c r="B43" s="36">
        <v>1</v>
      </c>
    </row>
    <row r="44" spans="1:2" x14ac:dyDescent="0.25">
      <c r="A44" s="35" t="s">
        <v>268</v>
      </c>
      <c r="B44" s="36">
        <v>1</v>
      </c>
    </row>
    <row r="45" spans="1:2" x14ac:dyDescent="0.25">
      <c r="A45" s="35" t="s">
        <v>578</v>
      </c>
      <c r="B45" s="36">
        <v>1</v>
      </c>
    </row>
    <row r="46" spans="1:2" x14ac:dyDescent="0.25">
      <c r="A46" s="35" t="s">
        <v>433</v>
      </c>
      <c r="B46" s="36">
        <v>1</v>
      </c>
    </row>
    <row r="47" spans="1:2" x14ac:dyDescent="0.25">
      <c r="A47" s="35" t="s">
        <v>356</v>
      </c>
      <c r="B47" s="36">
        <v>1</v>
      </c>
    </row>
    <row r="48" spans="1:2" x14ac:dyDescent="0.25">
      <c r="A48" s="35" t="s">
        <v>325</v>
      </c>
      <c r="B48" s="36">
        <v>1</v>
      </c>
    </row>
    <row r="49" spans="1:2" x14ac:dyDescent="0.25">
      <c r="A49" s="35" t="s">
        <v>564</v>
      </c>
      <c r="B49" s="36">
        <v>1</v>
      </c>
    </row>
    <row r="50" spans="1:2" x14ac:dyDescent="0.25">
      <c r="A50" s="35" t="s">
        <v>418</v>
      </c>
      <c r="B50" s="36">
        <v>1</v>
      </c>
    </row>
    <row r="51" spans="1:2" x14ac:dyDescent="0.25">
      <c r="A51" s="35" t="s">
        <v>471</v>
      </c>
      <c r="B51" s="36">
        <v>1</v>
      </c>
    </row>
    <row r="52" spans="1:2" x14ac:dyDescent="0.25">
      <c r="A52" s="35" t="s">
        <v>261</v>
      </c>
      <c r="B52" s="36">
        <v>1</v>
      </c>
    </row>
    <row r="53" spans="1:2" x14ac:dyDescent="0.25">
      <c r="A53" s="35" t="s">
        <v>551</v>
      </c>
      <c r="B53" s="36">
        <v>1</v>
      </c>
    </row>
    <row r="54" spans="1:2" x14ac:dyDescent="0.25">
      <c r="A54" s="35" t="s">
        <v>320</v>
      </c>
      <c r="B54" s="36">
        <v>1</v>
      </c>
    </row>
    <row r="55" spans="1:2" x14ac:dyDescent="0.25">
      <c r="A55" s="35" t="s">
        <v>282</v>
      </c>
      <c r="B55" s="36">
        <v>1</v>
      </c>
    </row>
    <row r="56" spans="1:2" x14ac:dyDescent="0.25">
      <c r="A56" s="35" t="s">
        <v>440</v>
      </c>
      <c r="B56" s="36">
        <v>1</v>
      </c>
    </row>
    <row r="57" spans="1:2" x14ac:dyDescent="0.25">
      <c r="A57" s="35" t="s">
        <v>281</v>
      </c>
      <c r="B57" s="36">
        <v>1</v>
      </c>
    </row>
    <row r="58" spans="1:2" x14ac:dyDescent="0.25">
      <c r="A58" s="35" t="s">
        <v>280</v>
      </c>
      <c r="B58" s="36">
        <v>1</v>
      </c>
    </row>
    <row r="59" spans="1:2" x14ac:dyDescent="0.25">
      <c r="A59" s="35" t="s">
        <v>284</v>
      </c>
      <c r="B59" s="36">
        <v>1</v>
      </c>
    </row>
    <row r="60" spans="1:2" x14ac:dyDescent="0.25">
      <c r="A60" s="35" t="s">
        <v>251</v>
      </c>
      <c r="B60" s="36">
        <v>1</v>
      </c>
    </row>
    <row r="61" spans="1:2" x14ac:dyDescent="0.25">
      <c r="A61" s="35" t="s">
        <v>406</v>
      </c>
      <c r="B61" s="36">
        <v>1</v>
      </c>
    </row>
    <row r="62" spans="1:2" x14ac:dyDescent="0.25">
      <c r="A62" s="35" t="s">
        <v>265</v>
      </c>
      <c r="B62" s="36">
        <v>1</v>
      </c>
    </row>
    <row r="63" spans="1:2" x14ac:dyDescent="0.25">
      <c r="A63" s="35" t="s">
        <v>568</v>
      </c>
      <c r="B63" s="36">
        <v>1</v>
      </c>
    </row>
    <row r="64" spans="1:2" x14ac:dyDescent="0.25">
      <c r="A64" s="35" t="s">
        <v>399</v>
      </c>
      <c r="B64" s="36">
        <v>1</v>
      </c>
    </row>
    <row r="65" spans="1:2" x14ac:dyDescent="0.25">
      <c r="A65" s="35" t="s">
        <v>465</v>
      </c>
      <c r="B65" s="36">
        <v>1</v>
      </c>
    </row>
    <row r="66" spans="1:2" x14ac:dyDescent="0.25">
      <c r="A66" s="35" t="s">
        <v>277</v>
      </c>
      <c r="B66" s="36">
        <v>1</v>
      </c>
    </row>
    <row r="67" spans="1:2" x14ac:dyDescent="0.25">
      <c r="A67" s="35" t="s">
        <v>234</v>
      </c>
      <c r="B67" s="36">
        <v>1</v>
      </c>
    </row>
    <row r="68" spans="1:2" x14ac:dyDescent="0.25">
      <c r="A68" s="35" t="s">
        <v>559</v>
      </c>
      <c r="B68" s="36">
        <v>1</v>
      </c>
    </row>
    <row r="69" spans="1:2" x14ac:dyDescent="0.25">
      <c r="A69" s="35" t="s">
        <v>255</v>
      </c>
      <c r="B69" s="36">
        <v>1</v>
      </c>
    </row>
    <row r="70" spans="1:2" x14ac:dyDescent="0.25">
      <c r="A70" s="35" t="s">
        <v>250</v>
      </c>
      <c r="B70" s="36">
        <v>1</v>
      </c>
    </row>
    <row r="71" spans="1:2" x14ac:dyDescent="0.25">
      <c r="A71" s="35" t="s">
        <v>235</v>
      </c>
      <c r="B71" s="36">
        <v>1</v>
      </c>
    </row>
    <row r="72" spans="1:2" x14ac:dyDescent="0.25">
      <c r="A72" s="35" t="s">
        <v>414</v>
      </c>
      <c r="B72" s="36">
        <v>1</v>
      </c>
    </row>
    <row r="73" spans="1:2" x14ac:dyDescent="0.25">
      <c r="A73" s="35" t="s">
        <v>573</v>
      </c>
      <c r="B73" s="36">
        <v>1</v>
      </c>
    </row>
    <row r="74" spans="1:2" x14ac:dyDescent="0.25">
      <c r="A74" s="35" t="s">
        <v>524</v>
      </c>
      <c r="B74" s="36">
        <v>1</v>
      </c>
    </row>
    <row r="75" spans="1:2" x14ac:dyDescent="0.25">
      <c r="A75" s="35" t="s">
        <v>241</v>
      </c>
      <c r="B75" s="36">
        <v>1</v>
      </c>
    </row>
    <row r="76" spans="1:2" x14ac:dyDescent="0.25">
      <c r="A76" s="35" t="s">
        <v>357</v>
      </c>
      <c r="B76" s="36">
        <v>1</v>
      </c>
    </row>
    <row r="77" spans="1:2" x14ac:dyDescent="0.25">
      <c r="A77" s="35" t="s">
        <v>319</v>
      </c>
      <c r="B77" s="36">
        <v>1</v>
      </c>
    </row>
    <row r="78" spans="1:2" x14ac:dyDescent="0.25">
      <c r="A78" s="35" t="s">
        <v>279</v>
      </c>
      <c r="B78" s="36">
        <v>1</v>
      </c>
    </row>
    <row r="79" spans="1:2" x14ac:dyDescent="0.25">
      <c r="A79" s="35" t="s">
        <v>226</v>
      </c>
      <c r="B79" s="36">
        <v>1</v>
      </c>
    </row>
    <row r="80" spans="1:2" x14ac:dyDescent="0.25">
      <c r="A80" s="35" t="s">
        <v>262</v>
      </c>
      <c r="B80" s="36">
        <v>1</v>
      </c>
    </row>
    <row r="81" spans="1:2" x14ac:dyDescent="0.25">
      <c r="A81" s="35" t="s">
        <v>354</v>
      </c>
      <c r="B81" s="36">
        <v>1</v>
      </c>
    </row>
    <row r="82" spans="1:2" x14ac:dyDescent="0.25">
      <c r="A82" s="35" t="s">
        <v>451</v>
      </c>
      <c r="B82" s="36">
        <v>1</v>
      </c>
    </row>
    <row r="83" spans="1:2" x14ac:dyDescent="0.25">
      <c r="A83" s="35" t="s">
        <v>469</v>
      </c>
      <c r="B83" s="36">
        <v>1</v>
      </c>
    </row>
    <row r="84" spans="1:2" x14ac:dyDescent="0.25">
      <c r="A84" s="35" t="s">
        <v>260</v>
      </c>
      <c r="B84" s="36">
        <v>1</v>
      </c>
    </row>
    <row r="85" spans="1:2" x14ac:dyDescent="0.25">
      <c r="A85" s="35" t="s">
        <v>240</v>
      </c>
      <c r="B85" s="36">
        <v>1</v>
      </c>
    </row>
    <row r="86" spans="1:2" x14ac:dyDescent="0.25">
      <c r="A86" s="35" t="s">
        <v>247</v>
      </c>
      <c r="B86" s="36">
        <v>1</v>
      </c>
    </row>
    <row r="87" spans="1:2" x14ac:dyDescent="0.25">
      <c r="A87" s="35" t="s">
        <v>263</v>
      </c>
      <c r="B87" s="36">
        <v>1</v>
      </c>
    </row>
    <row r="88" spans="1:2" x14ac:dyDescent="0.25">
      <c r="A88" s="35" t="s">
        <v>220</v>
      </c>
      <c r="B88" s="36">
        <v>1</v>
      </c>
    </row>
    <row r="89" spans="1:2" x14ac:dyDescent="0.25">
      <c r="A89" s="35" t="s">
        <v>436</v>
      </c>
      <c r="B89" s="36">
        <v>1</v>
      </c>
    </row>
    <row r="90" spans="1:2" x14ac:dyDescent="0.25">
      <c r="A90" s="35" t="s">
        <v>355</v>
      </c>
      <c r="B90" s="36">
        <v>1</v>
      </c>
    </row>
    <row r="91" spans="1:2" x14ac:dyDescent="0.25">
      <c r="A91" s="35" t="s">
        <v>232</v>
      </c>
      <c r="B91" s="36">
        <v>1</v>
      </c>
    </row>
    <row r="92" spans="1:2" x14ac:dyDescent="0.25">
      <c r="A92" s="35" t="s">
        <v>351</v>
      </c>
      <c r="B92" s="36">
        <v>1</v>
      </c>
    </row>
    <row r="93" spans="1:2" x14ac:dyDescent="0.25">
      <c r="A93" s="35" t="s">
        <v>245</v>
      </c>
      <c r="B93" s="36">
        <v>1</v>
      </c>
    </row>
    <row r="94" spans="1:2" x14ac:dyDescent="0.25">
      <c r="A94" s="35" t="s">
        <v>270</v>
      </c>
      <c r="B94" s="36">
        <v>1</v>
      </c>
    </row>
    <row r="95" spans="1:2" x14ac:dyDescent="0.25">
      <c r="A95" s="35" t="s">
        <v>269</v>
      </c>
      <c r="B95" s="36">
        <v>1</v>
      </c>
    </row>
    <row r="96" spans="1:2" x14ac:dyDescent="0.25">
      <c r="A96" s="35" t="s">
        <v>326</v>
      </c>
      <c r="B96" s="36">
        <v>1</v>
      </c>
    </row>
    <row r="97" spans="1:2" x14ac:dyDescent="0.25">
      <c r="A97" s="35" t="s">
        <v>258</v>
      </c>
      <c r="B97" s="36">
        <v>1</v>
      </c>
    </row>
    <row r="98" spans="1:2" x14ac:dyDescent="0.25">
      <c r="A98" s="35" t="s">
        <v>321</v>
      </c>
      <c r="B98" s="36">
        <v>1</v>
      </c>
    </row>
    <row r="99" spans="1:2" x14ac:dyDescent="0.25">
      <c r="A99" s="35" t="s">
        <v>421</v>
      </c>
      <c r="B99" s="36">
        <v>1</v>
      </c>
    </row>
    <row r="100" spans="1:2" x14ac:dyDescent="0.25">
      <c r="A100" s="35" t="s">
        <v>248</v>
      </c>
      <c r="B100" s="36">
        <v>1</v>
      </c>
    </row>
    <row r="101" spans="1:2" x14ac:dyDescent="0.25">
      <c r="A101" s="35" t="s">
        <v>323</v>
      </c>
      <c r="B101" s="36">
        <v>1</v>
      </c>
    </row>
    <row r="102" spans="1:2" x14ac:dyDescent="0.25">
      <c r="A102" s="35" t="s">
        <v>259</v>
      </c>
      <c r="B102" s="36">
        <v>1</v>
      </c>
    </row>
    <row r="103" spans="1:2" x14ac:dyDescent="0.25">
      <c r="A103" s="35" t="s">
        <v>267</v>
      </c>
      <c r="B103" s="36">
        <v>1</v>
      </c>
    </row>
    <row r="104" spans="1:2" x14ac:dyDescent="0.25">
      <c r="A104" s="35" t="s">
        <v>461</v>
      </c>
      <c r="B104" s="36">
        <v>1</v>
      </c>
    </row>
    <row r="105" spans="1:2" x14ac:dyDescent="0.25">
      <c r="A105" s="35" t="s">
        <v>236</v>
      </c>
      <c r="B105" s="36">
        <v>1</v>
      </c>
    </row>
    <row r="106" spans="1:2" x14ac:dyDescent="0.25">
      <c r="A106" s="35" t="s">
        <v>264</v>
      </c>
      <c r="B106" s="36">
        <v>1</v>
      </c>
    </row>
    <row r="107" spans="1:2" x14ac:dyDescent="0.25">
      <c r="A107" s="35" t="s">
        <v>222</v>
      </c>
      <c r="B107" s="36">
        <v>1</v>
      </c>
    </row>
    <row r="108" spans="1:2" x14ac:dyDescent="0.25">
      <c r="A108" s="35" t="s">
        <v>324</v>
      </c>
      <c r="B108" s="36">
        <v>1</v>
      </c>
    </row>
    <row r="109" spans="1:2" x14ac:dyDescent="0.25">
      <c r="A109" s="35" t="s">
        <v>569</v>
      </c>
      <c r="B109" s="36">
        <v>1</v>
      </c>
    </row>
    <row r="110" spans="1:2" x14ac:dyDescent="0.25">
      <c r="A110" s="35" t="s">
        <v>557</v>
      </c>
      <c r="B110" s="36">
        <v>1</v>
      </c>
    </row>
    <row r="111" spans="1:2" x14ac:dyDescent="0.25">
      <c r="A111" s="35" t="s">
        <v>475</v>
      </c>
      <c r="B111" s="36"/>
    </row>
    <row r="112" spans="1:2" x14ac:dyDescent="0.25">
      <c r="A112" s="35" t="s">
        <v>476</v>
      </c>
      <c r="B112" s="36">
        <v>354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50"/>
  </sheetPr>
  <dimension ref="A1:B28"/>
  <sheetViews>
    <sheetView workbookViewId="0">
      <selection activeCell="G16" sqref="G16"/>
    </sheetView>
  </sheetViews>
  <sheetFormatPr baseColWidth="10" defaultColWidth="9.140625" defaultRowHeight="15" x14ac:dyDescent="0.25"/>
  <cols>
    <col min="1" max="1" width="43.5703125" bestFit="1" customWidth="1"/>
    <col min="2" max="2" width="30" bestFit="1" customWidth="1"/>
  </cols>
  <sheetData>
    <row r="1" spans="1:2" x14ac:dyDescent="0.25">
      <c r="A1" s="34" t="s">
        <v>3</v>
      </c>
      <c r="B1" t="s">
        <v>494</v>
      </c>
    </row>
    <row r="3" spans="1:2" x14ac:dyDescent="0.25">
      <c r="A3" s="34" t="s">
        <v>474</v>
      </c>
      <c r="B3" t="s">
        <v>477</v>
      </c>
    </row>
    <row r="4" spans="1:2" x14ac:dyDescent="0.25">
      <c r="A4" s="37" t="s">
        <v>237</v>
      </c>
      <c r="B4" s="38">
        <v>8</v>
      </c>
    </row>
    <row r="5" spans="1:2" x14ac:dyDescent="0.25">
      <c r="A5" s="37" t="s">
        <v>218</v>
      </c>
      <c r="B5" s="38">
        <v>7</v>
      </c>
    </row>
    <row r="6" spans="1:2" x14ac:dyDescent="0.25">
      <c r="A6" s="37" t="s">
        <v>223</v>
      </c>
      <c r="B6" s="38">
        <v>6</v>
      </c>
    </row>
    <row r="7" spans="1:2" x14ac:dyDescent="0.25">
      <c r="A7" s="37" t="s">
        <v>239</v>
      </c>
      <c r="B7" s="38">
        <v>6</v>
      </c>
    </row>
    <row r="8" spans="1:2" x14ac:dyDescent="0.25">
      <c r="A8" s="37" t="s">
        <v>229</v>
      </c>
      <c r="B8" s="38">
        <v>5</v>
      </c>
    </row>
    <row r="9" spans="1:2" x14ac:dyDescent="0.25">
      <c r="A9" s="35" t="s">
        <v>228</v>
      </c>
      <c r="B9" s="36">
        <v>5</v>
      </c>
    </row>
    <row r="10" spans="1:2" x14ac:dyDescent="0.25">
      <c r="A10" s="35" t="s">
        <v>219</v>
      </c>
      <c r="B10" s="36">
        <v>4</v>
      </c>
    </row>
    <row r="11" spans="1:2" x14ac:dyDescent="0.25">
      <c r="A11" s="35" t="s">
        <v>227</v>
      </c>
      <c r="B11" s="36">
        <v>3</v>
      </c>
    </row>
    <row r="12" spans="1:2" x14ac:dyDescent="0.25">
      <c r="A12" s="35" t="s">
        <v>266</v>
      </c>
      <c r="B12" s="36">
        <v>2</v>
      </c>
    </row>
    <row r="13" spans="1:2" x14ac:dyDescent="0.25">
      <c r="A13" s="35" t="s">
        <v>560</v>
      </c>
      <c r="B13" s="36">
        <v>2</v>
      </c>
    </row>
    <row r="14" spans="1:2" x14ac:dyDescent="0.25">
      <c r="A14" s="35" t="s">
        <v>562</v>
      </c>
      <c r="B14" s="36">
        <v>2</v>
      </c>
    </row>
    <row r="15" spans="1:2" x14ac:dyDescent="0.25">
      <c r="A15" s="35" t="s">
        <v>559</v>
      </c>
      <c r="B15" s="36">
        <v>1</v>
      </c>
    </row>
    <row r="16" spans="1:2" x14ac:dyDescent="0.25">
      <c r="A16" s="35" t="s">
        <v>557</v>
      </c>
      <c r="B16" s="36">
        <v>1</v>
      </c>
    </row>
    <row r="17" spans="1:2" x14ac:dyDescent="0.25">
      <c r="A17" s="35" t="s">
        <v>423</v>
      </c>
      <c r="B17" s="36">
        <v>1</v>
      </c>
    </row>
    <row r="18" spans="1:2" x14ac:dyDescent="0.25">
      <c r="A18" s="35" t="s">
        <v>540</v>
      </c>
      <c r="B18" s="36">
        <v>1</v>
      </c>
    </row>
    <row r="19" spans="1:2" x14ac:dyDescent="0.25">
      <c r="A19" s="35" t="s">
        <v>578</v>
      </c>
      <c r="B19" s="36">
        <v>1</v>
      </c>
    </row>
    <row r="20" spans="1:2" x14ac:dyDescent="0.25">
      <c r="A20" s="35" t="s">
        <v>283</v>
      </c>
      <c r="B20" s="36">
        <v>1</v>
      </c>
    </row>
    <row r="21" spans="1:2" x14ac:dyDescent="0.25">
      <c r="A21" s="35" t="s">
        <v>566</v>
      </c>
      <c r="B21" s="36">
        <v>1</v>
      </c>
    </row>
    <row r="22" spans="1:2" x14ac:dyDescent="0.25">
      <c r="A22" s="35" t="s">
        <v>524</v>
      </c>
      <c r="B22" s="36">
        <v>1</v>
      </c>
    </row>
    <row r="23" spans="1:2" x14ac:dyDescent="0.25">
      <c r="A23" s="35" t="s">
        <v>564</v>
      </c>
      <c r="B23" s="36">
        <v>1</v>
      </c>
    </row>
    <row r="24" spans="1:2" x14ac:dyDescent="0.25">
      <c r="A24" s="35" t="s">
        <v>568</v>
      </c>
      <c r="B24" s="36">
        <v>1</v>
      </c>
    </row>
    <row r="25" spans="1:2" x14ac:dyDescent="0.25">
      <c r="A25" s="35" t="s">
        <v>551</v>
      </c>
      <c r="B25" s="36">
        <v>1</v>
      </c>
    </row>
    <row r="26" spans="1:2" x14ac:dyDescent="0.25">
      <c r="A26" s="35" t="s">
        <v>569</v>
      </c>
      <c r="B26" s="36">
        <v>1</v>
      </c>
    </row>
    <row r="27" spans="1:2" x14ac:dyDescent="0.25">
      <c r="A27" s="35" t="s">
        <v>573</v>
      </c>
      <c r="B27" s="36">
        <v>1</v>
      </c>
    </row>
    <row r="28" spans="1:2" x14ac:dyDescent="0.25">
      <c r="A28" s="35" t="s">
        <v>476</v>
      </c>
      <c r="B28" s="36">
        <v>63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F0"/>
  </sheetPr>
  <dimension ref="A1:I9"/>
  <sheetViews>
    <sheetView workbookViewId="0">
      <selection activeCell="E12" sqref="E12"/>
    </sheetView>
  </sheetViews>
  <sheetFormatPr baseColWidth="10" defaultColWidth="9.140625" defaultRowHeight="15" x14ac:dyDescent="0.25"/>
  <cols>
    <col min="1" max="1" width="19.28515625" customWidth="1"/>
    <col min="2" max="2" width="17.85546875" customWidth="1"/>
    <col min="7" max="7" width="13.5703125" customWidth="1"/>
    <col min="8" max="8" width="9.7109375" customWidth="1"/>
  </cols>
  <sheetData>
    <row r="1" spans="1:9" ht="23.25" x14ac:dyDescent="0.35">
      <c r="A1" s="166" t="s">
        <v>360</v>
      </c>
      <c r="B1" s="166"/>
      <c r="C1" s="166"/>
      <c r="D1" s="166"/>
      <c r="E1" s="166"/>
      <c r="F1" s="166"/>
      <c r="G1" s="166"/>
      <c r="H1" s="166"/>
    </row>
    <row r="2" spans="1:9" ht="15.75" x14ac:dyDescent="0.25">
      <c r="A2" s="159" t="s">
        <v>44</v>
      </c>
      <c r="B2" s="159"/>
      <c r="C2" s="160" t="s">
        <v>11</v>
      </c>
      <c r="D2" s="160"/>
      <c r="E2" s="160" t="s">
        <v>12</v>
      </c>
      <c r="F2" s="160"/>
      <c r="G2" s="160" t="s">
        <v>13</v>
      </c>
      <c r="H2" s="160"/>
    </row>
    <row r="3" spans="1:9" x14ac:dyDescent="0.25">
      <c r="A3" s="164">
        <f>SUM('Metrics - Articles'!I8:I921)</f>
        <v>659478</v>
      </c>
      <c r="B3" s="165"/>
      <c r="C3" s="165">
        <f>SUM('Metrics - Articles'!K8:K921)</f>
        <v>95432</v>
      </c>
      <c r="D3" s="165"/>
      <c r="E3" s="165">
        <f>SUM('Metrics - Articles'!M8:M921)</f>
        <v>35725</v>
      </c>
      <c r="F3" s="165"/>
      <c r="G3" s="165">
        <f>SUM('Metrics - Articles'!O8:O921)</f>
        <v>60146</v>
      </c>
      <c r="H3" s="165"/>
    </row>
    <row r="4" spans="1:9" x14ac:dyDescent="0.25">
      <c r="A4" s="161">
        <f>A3/$B$7</f>
        <v>0.77514424981281904</v>
      </c>
      <c r="B4" s="161"/>
      <c r="C4" s="161">
        <f>C3/$B$7</f>
        <v>0.11216987685432561</v>
      </c>
      <c r="D4" s="161"/>
      <c r="E4" s="161">
        <f>E3/$B$7</f>
        <v>4.1990829602447634E-2</v>
      </c>
      <c r="F4" s="161"/>
      <c r="G4" s="161">
        <f>G3/$B$7</f>
        <v>7.0695043730407706E-2</v>
      </c>
      <c r="H4" s="161"/>
    </row>
    <row r="6" spans="1:9" ht="15.75" thickBot="1" x14ac:dyDescent="0.3"/>
    <row r="7" spans="1:9" ht="45" customHeight="1" thickBot="1" x14ac:dyDescent="0.35">
      <c r="A7" s="121" t="s">
        <v>358</v>
      </c>
      <c r="B7" s="122">
        <f>SUM('Metrics - Articles'!S8:S921)</f>
        <v>850781</v>
      </c>
      <c r="E7" s="41"/>
      <c r="I7" s="127"/>
    </row>
    <row r="8" spans="1:9" x14ac:dyDescent="0.25">
      <c r="A8" s="162" t="s">
        <v>359</v>
      </c>
      <c r="C8" s="26"/>
    </row>
    <row r="9" spans="1:9" ht="15.75" thickBot="1" x14ac:dyDescent="0.3">
      <c r="A9" s="163"/>
    </row>
  </sheetData>
  <mergeCells count="14">
    <mergeCell ref="A3:B3"/>
    <mergeCell ref="C3:D3"/>
    <mergeCell ref="E3:F3"/>
    <mergeCell ref="G3:H3"/>
    <mergeCell ref="A1:H1"/>
    <mergeCell ref="A2:B2"/>
    <mergeCell ref="C2:D2"/>
    <mergeCell ref="E2:F2"/>
    <mergeCell ref="G2:H2"/>
    <mergeCell ref="A4:B4"/>
    <mergeCell ref="C4:D4"/>
    <mergeCell ref="E4:F4"/>
    <mergeCell ref="G4:H4"/>
    <mergeCell ref="A8:A9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rgb="FF0070C0"/>
  </sheetPr>
  <dimension ref="A1:H9"/>
  <sheetViews>
    <sheetView workbookViewId="0">
      <selection activeCell="B7" sqref="B7"/>
    </sheetView>
  </sheetViews>
  <sheetFormatPr baseColWidth="10" defaultColWidth="10.85546875" defaultRowHeight="15" x14ac:dyDescent="0.25"/>
  <cols>
    <col min="1" max="1" width="31.42578125" bestFit="1" customWidth="1"/>
  </cols>
  <sheetData>
    <row r="1" spans="1:8" ht="23.25" x14ac:dyDescent="0.35">
      <c r="A1" s="166" t="s">
        <v>360</v>
      </c>
      <c r="B1" s="166"/>
      <c r="C1" s="166"/>
      <c r="D1" s="166"/>
      <c r="E1" s="166"/>
      <c r="F1" s="166"/>
      <c r="G1" s="166"/>
      <c r="H1" s="166"/>
    </row>
    <row r="2" spans="1:8" ht="15.75" x14ac:dyDescent="0.25">
      <c r="A2" s="159" t="s">
        <v>44</v>
      </c>
      <c r="B2" s="159"/>
      <c r="C2" s="160" t="s">
        <v>11</v>
      </c>
      <c r="D2" s="160"/>
      <c r="E2" s="160" t="s">
        <v>12</v>
      </c>
      <c r="F2" s="160"/>
      <c r="G2" s="160" t="s">
        <v>13</v>
      </c>
      <c r="H2" s="160"/>
    </row>
    <row r="3" spans="1:8" x14ac:dyDescent="0.25">
      <c r="A3" s="164">
        <f>SUM('Metrics - Articles'!I299:I359)</f>
        <v>113278</v>
      </c>
      <c r="B3" s="165"/>
      <c r="C3" s="165">
        <f>SUM('Metrics - Articles'!K299:K359)</f>
        <v>3834</v>
      </c>
      <c r="D3" s="165"/>
      <c r="E3" s="165">
        <f>SUM('Metrics - Articles'!M299:M359)</f>
        <v>10161</v>
      </c>
      <c r="F3" s="165"/>
      <c r="G3" s="165">
        <f>SUM('Metrics - Articles'!O299:O359)</f>
        <v>9389</v>
      </c>
      <c r="H3" s="165"/>
    </row>
    <row r="4" spans="1:8" x14ac:dyDescent="0.25">
      <c r="A4" s="167">
        <f>A3/$B$7</f>
        <v>0.82889171825379404</v>
      </c>
      <c r="B4" s="167"/>
      <c r="C4" s="167">
        <f>C3/$B$7</f>
        <v>2.8054616499099971E-2</v>
      </c>
      <c r="D4" s="167"/>
      <c r="E4" s="167">
        <f>E3/$B$7</f>
        <v>7.4351319313342407E-2</v>
      </c>
      <c r="F4" s="167"/>
      <c r="G4" s="167">
        <f>G3/$B$7</f>
        <v>6.8702345933763592E-2</v>
      </c>
      <c r="H4" s="167"/>
    </row>
    <row r="6" spans="1:8" ht="15.75" thickBot="1" x14ac:dyDescent="0.3"/>
    <row r="7" spans="1:8" ht="21.75" thickBot="1" x14ac:dyDescent="0.4">
      <c r="A7" s="39" t="s">
        <v>358</v>
      </c>
      <c r="B7" s="40">
        <f>SUM('Metrics - Articles'!S299:S359)</f>
        <v>136662</v>
      </c>
      <c r="E7" s="41"/>
    </row>
    <row r="8" spans="1:8" x14ac:dyDescent="0.25">
      <c r="A8" s="162" t="s">
        <v>359</v>
      </c>
      <c r="C8" s="26"/>
    </row>
    <row r="9" spans="1:8" ht="15.75" thickBot="1" x14ac:dyDescent="0.3">
      <c r="A9" s="163"/>
    </row>
  </sheetData>
  <mergeCells count="14">
    <mergeCell ref="A4:B4"/>
    <mergeCell ref="C4:D4"/>
    <mergeCell ref="E4:F4"/>
    <mergeCell ref="G4:H4"/>
    <mergeCell ref="A8:A9"/>
    <mergeCell ref="A3:B3"/>
    <mergeCell ref="C3:D3"/>
    <mergeCell ref="E3:F3"/>
    <mergeCell ref="G3:H3"/>
    <mergeCell ref="A1:H1"/>
    <mergeCell ref="A2:B2"/>
    <mergeCell ref="C2:D2"/>
    <mergeCell ref="E2:F2"/>
    <mergeCell ref="G2:H2"/>
  </mergeCell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C00000"/>
  </sheetPr>
  <dimension ref="A1:D43"/>
  <sheetViews>
    <sheetView workbookViewId="0">
      <selection activeCell="A5" sqref="A5"/>
    </sheetView>
  </sheetViews>
  <sheetFormatPr baseColWidth="10" defaultColWidth="9.140625" defaultRowHeight="15" x14ac:dyDescent="0.25"/>
  <cols>
    <col min="1" max="1" width="50.7109375" bestFit="1" customWidth="1"/>
    <col min="2" max="2" width="7.140625" bestFit="1" customWidth="1"/>
    <col min="3" max="3" width="16.5703125" bestFit="1" customWidth="1"/>
    <col min="4" max="4" width="28" bestFit="1" customWidth="1"/>
    <col min="5" max="5" width="17.5703125" bestFit="1" customWidth="1"/>
    <col min="6" max="6" width="6.28515625" customWidth="1"/>
    <col min="7" max="7" width="16.5703125" bestFit="1" customWidth="1"/>
    <col min="8" max="8" width="21.5703125" bestFit="1" customWidth="1"/>
    <col min="9" max="9" width="10.140625" bestFit="1" customWidth="1"/>
    <col min="10" max="10" width="17.5703125" bestFit="1" customWidth="1"/>
    <col min="11" max="11" width="11" bestFit="1" customWidth="1"/>
    <col min="12" max="12" width="11.28515625" bestFit="1" customWidth="1"/>
  </cols>
  <sheetData>
    <row r="1" spans="1:4" x14ac:dyDescent="0.25">
      <c r="A1" s="34" t="s">
        <v>3</v>
      </c>
      <c r="B1" t="s">
        <v>495</v>
      </c>
    </row>
    <row r="3" spans="1:4" ht="21" x14ac:dyDescent="0.35">
      <c r="A3" s="34" t="s">
        <v>474</v>
      </c>
      <c r="D3" s="97" t="s">
        <v>603</v>
      </c>
    </row>
    <row r="4" spans="1:4" x14ac:dyDescent="0.25">
      <c r="A4" s="35" t="s">
        <v>377</v>
      </c>
    </row>
    <row r="5" spans="1:4" x14ac:dyDescent="0.25">
      <c r="A5" s="126" t="s">
        <v>21</v>
      </c>
    </row>
    <row r="6" spans="1:4" x14ac:dyDescent="0.25">
      <c r="A6" s="35" t="s">
        <v>198</v>
      </c>
    </row>
    <row r="7" spans="1:4" x14ac:dyDescent="0.25">
      <c r="A7" s="35" t="s">
        <v>432</v>
      </c>
    </row>
    <row r="8" spans="1:4" x14ac:dyDescent="0.25">
      <c r="A8" s="35" t="s">
        <v>300</v>
      </c>
    </row>
    <row r="9" spans="1:4" x14ac:dyDescent="0.25">
      <c r="A9" s="35" t="s">
        <v>467</v>
      </c>
    </row>
    <row r="10" spans="1:4" x14ac:dyDescent="0.25">
      <c r="A10" s="35" t="s">
        <v>443</v>
      </c>
    </row>
    <row r="11" spans="1:4" x14ac:dyDescent="0.25">
      <c r="A11" s="35" t="s">
        <v>428</v>
      </c>
    </row>
    <row r="12" spans="1:4" x14ac:dyDescent="0.25">
      <c r="A12" s="35" t="s">
        <v>157</v>
      </c>
    </row>
    <row r="13" spans="1:4" x14ac:dyDescent="0.25">
      <c r="A13" s="35" t="s">
        <v>76</v>
      </c>
    </row>
    <row r="14" spans="1:4" x14ac:dyDescent="0.25">
      <c r="A14" s="35" t="s">
        <v>77</v>
      </c>
    </row>
    <row r="15" spans="1:4" x14ac:dyDescent="0.25">
      <c r="A15" s="35" t="s">
        <v>146</v>
      </c>
    </row>
    <row r="16" spans="1:4" x14ac:dyDescent="0.25">
      <c r="A16" s="35" t="s">
        <v>409</v>
      </c>
    </row>
    <row r="17" spans="1:1" x14ac:dyDescent="0.25">
      <c r="A17" s="35" t="s">
        <v>61</v>
      </c>
    </row>
    <row r="18" spans="1:1" x14ac:dyDescent="0.25">
      <c r="A18" s="35" t="s">
        <v>417</v>
      </c>
    </row>
    <row r="19" spans="1:1" x14ac:dyDescent="0.25">
      <c r="A19" s="35" t="s">
        <v>416</v>
      </c>
    </row>
    <row r="20" spans="1:1" x14ac:dyDescent="0.25">
      <c r="A20" s="35" t="s">
        <v>179</v>
      </c>
    </row>
    <row r="21" spans="1:1" x14ac:dyDescent="0.25">
      <c r="A21" s="35" t="s">
        <v>387</v>
      </c>
    </row>
    <row r="22" spans="1:1" x14ac:dyDescent="0.25">
      <c r="A22" s="35" t="s">
        <v>385</v>
      </c>
    </row>
    <row r="23" spans="1:1" x14ac:dyDescent="0.25">
      <c r="A23" s="35" t="s">
        <v>472</v>
      </c>
    </row>
    <row r="24" spans="1:1" x14ac:dyDescent="0.25">
      <c r="A24" s="35" t="s">
        <v>87</v>
      </c>
    </row>
    <row r="25" spans="1:1" x14ac:dyDescent="0.25">
      <c r="A25" s="35" t="s">
        <v>129</v>
      </c>
    </row>
    <row r="26" spans="1:1" x14ac:dyDescent="0.25">
      <c r="A26" s="35" t="s">
        <v>287</v>
      </c>
    </row>
    <row r="27" spans="1:1" x14ac:dyDescent="0.25">
      <c r="A27" s="35" t="s">
        <v>437</v>
      </c>
    </row>
    <row r="28" spans="1:1" x14ac:dyDescent="0.25">
      <c r="A28" s="35" t="s">
        <v>426</v>
      </c>
    </row>
    <row r="29" spans="1:1" x14ac:dyDescent="0.25">
      <c r="A29" s="35" t="s">
        <v>459</v>
      </c>
    </row>
    <row r="30" spans="1:1" x14ac:dyDescent="0.25">
      <c r="A30" s="35" t="s">
        <v>172</v>
      </c>
    </row>
    <row r="31" spans="1:1" x14ac:dyDescent="0.25">
      <c r="A31" s="35" t="s">
        <v>118</v>
      </c>
    </row>
    <row r="32" spans="1:1" x14ac:dyDescent="0.25">
      <c r="A32" s="35" t="s">
        <v>78</v>
      </c>
    </row>
    <row r="33" spans="1:1" x14ac:dyDescent="0.25">
      <c r="A33" s="126" t="s">
        <v>21</v>
      </c>
    </row>
    <row r="34" spans="1:1" x14ac:dyDescent="0.25">
      <c r="A34" s="35" t="s">
        <v>49</v>
      </c>
    </row>
    <row r="35" spans="1:1" x14ac:dyDescent="0.25">
      <c r="A35" s="126" t="s">
        <v>278</v>
      </c>
    </row>
    <row r="36" spans="1:1" x14ac:dyDescent="0.25">
      <c r="A36" s="35" t="s">
        <v>207</v>
      </c>
    </row>
    <row r="37" spans="1:1" x14ac:dyDescent="0.25">
      <c r="A37" s="35" t="s">
        <v>154</v>
      </c>
    </row>
    <row r="38" spans="1:1" x14ac:dyDescent="0.25">
      <c r="A38" s="35" t="s">
        <v>376</v>
      </c>
    </row>
    <row r="39" spans="1:1" x14ac:dyDescent="0.25">
      <c r="A39" s="35" t="s">
        <v>136</v>
      </c>
    </row>
    <row r="40" spans="1:1" x14ac:dyDescent="0.25">
      <c r="A40" s="35" t="s">
        <v>519</v>
      </c>
    </row>
    <row r="41" spans="1:1" x14ac:dyDescent="0.25">
      <c r="A41" s="35" t="s">
        <v>544</v>
      </c>
    </row>
    <row r="42" spans="1:1" x14ac:dyDescent="0.25">
      <c r="A42" s="35" t="s">
        <v>577</v>
      </c>
    </row>
    <row r="43" spans="1:1" x14ac:dyDescent="0.25">
      <c r="A43" s="35" t="s">
        <v>476</v>
      </c>
    </row>
  </sheetData>
  <pageMargins left="0.7" right="0.7" top="0.75" bottom="0.75" header="0.3" footer="0.3"/>
  <pageSetup orientation="portrait" horizontalDpi="200" verticalDpi="200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C000"/>
  </sheetPr>
  <dimension ref="A1:C10"/>
  <sheetViews>
    <sheetView workbookViewId="0">
      <selection activeCell="F39" sqref="F39"/>
    </sheetView>
  </sheetViews>
  <sheetFormatPr baseColWidth="10" defaultColWidth="9.140625" defaultRowHeight="15" x14ac:dyDescent="0.25"/>
  <cols>
    <col min="1" max="1" width="50.7109375" customWidth="1"/>
    <col min="2" max="2" width="17.85546875" customWidth="1"/>
    <col min="3" max="3" width="17.5703125" bestFit="1" customWidth="1"/>
    <col min="4" max="4" width="21.5703125" bestFit="1" customWidth="1"/>
    <col min="5" max="5" width="17.5703125" customWidth="1"/>
    <col min="6" max="6" width="28" bestFit="1" customWidth="1"/>
    <col min="7" max="7" width="11.28515625" bestFit="1" customWidth="1"/>
    <col min="8" max="8" width="17.5703125" bestFit="1" customWidth="1"/>
    <col min="9" max="9" width="28" bestFit="1" customWidth="1"/>
    <col min="10" max="10" width="16.5703125" bestFit="1" customWidth="1"/>
    <col min="11" max="11" width="7.28515625" bestFit="1" customWidth="1"/>
    <col min="12" max="12" width="11.28515625" bestFit="1" customWidth="1"/>
  </cols>
  <sheetData>
    <row r="1" spans="1:3" x14ac:dyDescent="0.25">
      <c r="A1" s="34" t="s">
        <v>3</v>
      </c>
      <c r="B1" t="s">
        <v>494</v>
      </c>
    </row>
    <row r="3" spans="1:3" ht="21" x14ac:dyDescent="0.35">
      <c r="A3" s="34" t="s">
        <v>474</v>
      </c>
      <c r="C3" s="97" t="s">
        <v>604</v>
      </c>
    </row>
    <row r="4" spans="1:3" x14ac:dyDescent="0.25">
      <c r="A4" s="35" t="s">
        <v>519</v>
      </c>
    </row>
    <row r="5" spans="1:3" x14ac:dyDescent="0.25">
      <c r="A5" s="126" t="s">
        <v>278</v>
      </c>
    </row>
    <row r="6" spans="1:3" x14ac:dyDescent="0.25">
      <c r="A6" s="35" t="s">
        <v>544</v>
      </c>
    </row>
    <row r="7" spans="1:3" x14ac:dyDescent="0.25">
      <c r="A7" s="126" t="s">
        <v>21</v>
      </c>
    </row>
    <row r="8" spans="1:3" x14ac:dyDescent="0.25">
      <c r="A8" s="35" t="s">
        <v>577</v>
      </c>
    </row>
    <row r="9" spans="1:3" x14ac:dyDescent="0.25">
      <c r="A9" s="126" t="s">
        <v>21</v>
      </c>
    </row>
    <row r="10" spans="1:3" x14ac:dyDescent="0.25">
      <c r="A10" s="35" t="s">
        <v>476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F0"/>
  </sheetPr>
  <dimension ref="A3:B354"/>
  <sheetViews>
    <sheetView workbookViewId="0">
      <selection activeCell="B4" sqref="B4"/>
    </sheetView>
  </sheetViews>
  <sheetFormatPr baseColWidth="10" defaultColWidth="9.140625" defaultRowHeight="15" x14ac:dyDescent="0.25"/>
  <cols>
    <col min="1" max="1" width="64.42578125" bestFit="1" customWidth="1"/>
    <col min="2" max="2" width="20.42578125" bestFit="1" customWidth="1"/>
  </cols>
  <sheetData>
    <row r="3" spans="1:2" x14ac:dyDescent="0.25">
      <c r="A3" s="34" t="s">
        <v>474</v>
      </c>
      <c r="B3" t="s">
        <v>478</v>
      </c>
    </row>
    <row r="4" spans="1:2" x14ac:dyDescent="0.25">
      <c r="A4" s="37" t="s">
        <v>375</v>
      </c>
      <c r="B4" s="38">
        <v>27449</v>
      </c>
    </row>
    <row r="5" spans="1:2" x14ac:dyDescent="0.25">
      <c r="A5" s="37" t="s">
        <v>460</v>
      </c>
      <c r="B5" s="38">
        <v>18627</v>
      </c>
    </row>
    <row r="6" spans="1:2" x14ac:dyDescent="0.25">
      <c r="A6" s="37" t="s">
        <v>389</v>
      </c>
      <c r="B6" s="38">
        <v>14912</v>
      </c>
    </row>
    <row r="7" spans="1:2" x14ac:dyDescent="0.25">
      <c r="A7" s="37" t="s">
        <v>140</v>
      </c>
      <c r="B7" s="38">
        <v>12284</v>
      </c>
    </row>
    <row r="8" spans="1:2" x14ac:dyDescent="0.25">
      <c r="A8" s="37" t="s">
        <v>376</v>
      </c>
      <c r="B8" s="38">
        <v>11191</v>
      </c>
    </row>
    <row r="9" spans="1:2" x14ac:dyDescent="0.25">
      <c r="A9" s="98" t="s">
        <v>434</v>
      </c>
      <c r="B9" s="99">
        <v>10139</v>
      </c>
    </row>
    <row r="10" spans="1:2" x14ac:dyDescent="0.25">
      <c r="A10" s="98" t="s">
        <v>204</v>
      </c>
      <c r="B10" s="99">
        <v>9363</v>
      </c>
    </row>
    <row r="11" spans="1:2" x14ac:dyDescent="0.25">
      <c r="A11" s="98" t="s">
        <v>99</v>
      </c>
      <c r="B11" s="99">
        <v>9240</v>
      </c>
    </row>
    <row r="12" spans="1:2" x14ac:dyDescent="0.25">
      <c r="A12" s="98" t="s">
        <v>295</v>
      </c>
      <c r="B12" s="99">
        <v>8958</v>
      </c>
    </row>
    <row r="13" spans="1:2" x14ac:dyDescent="0.25">
      <c r="A13" s="35" t="s">
        <v>552</v>
      </c>
      <c r="B13" s="36">
        <v>8917</v>
      </c>
    </row>
    <row r="14" spans="1:2" x14ac:dyDescent="0.25">
      <c r="A14" s="35" t="s">
        <v>525</v>
      </c>
      <c r="B14" s="36">
        <v>8412</v>
      </c>
    </row>
    <row r="15" spans="1:2" x14ac:dyDescent="0.25">
      <c r="A15" s="98" t="s">
        <v>49</v>
      </c>
      <c r="B15" s="99">
        <v>8394</v>
      </c>
    </row>
    <row r="16" spans="1:2" x14ac:dyDescent="0.25">
      <c r="A16" s="35" t="s">
        <v>507</v>
      </c>
      <c r="B16" s="36">
        <v>8307</v>
      </c>
    </row>
    <row r="17" spans="1:2" x14ac:dyDescent="0.25">
      <c r="A17" s="98" t="s">
        <v>125</v>
      </c>
      <c r="B17" s="99">
        <v>7908</v>
      </c>
    </row>
    <row r="18" spans="1:2" x14ac:dyDescent="0.25">
      <c r="A18" s="35" t="s">
        <v>459</v>
      </c>
      <c r="B18" s="36">
        <v>7255</v>
      </c>
    </row>
    <row r="19" spans="1:2" x14ac:dyDescent="0.25">
      <c r="A19" s="35" t="s">
        <v>148</v>
      </c>
      <c r="B19" s="36">
        <v>7118</v>
      </c>
    </row>
    <row r="20" spans="1:2" x14ac:dyDescent="0.25">
      <c r="A20" s="35" t="s">
        <v>178</v>
      </c>
      <c r="B20" s="36">
        <v>6989</v>
      </c>
    </row>
    <row r="21" spans="1:2" x14ac:dyDescent="0.25">
      <c r="A21" s="35" t="s">
        <v>468</v>
      </c>
      <c r="B21" s="36">
        <v>6686</v>
      </c>
    </row>
    <row r="22" spans="1:2" x14ac:dyDescent="0.25">
      <c r="A22" s="35" t="s">
        <v>384</v>
      </c>
      <c r="B22" s="36">
        <v>6559</v>
      </c>
    </row>
    <row r="23" spans="1:2" x14ac:dyDescent="0.25">
      <c r="A23" s="35" t="s">
        <v>73</v>
      </c>
      <c r="B23" s="36">
        <v>6504</v>
      </c>
    </row>
    <row r="24" spans="1:2" x14ac:dyDescent="0.25">
      <c r="A24" s="35" t="s">
        <v>171</v>
      </c>
      <c r="B24" s="36">
        <v>6440</v>
      </c>
    </row>
    <row r="25" spans="1:2" x14ac:dyDescent="0.25">
      <c r="A25" s="35" t="s">
        <v>512</v>
      </c>
      <c r="B25" s="36">
        <v>6434</v>
      </c>
    </row>
    <row r="26" spans="1:2" x14ac:dyDescent="0.25">
      <c r="A26" s="35" t="s">
        <v>538</v>
      </c>
      <c r="B26" s="36">
        <v>6411</v>
      </c>
    </row>
    <row r="27" spans="1:2" x14ac:dyDescent="0.25">
      <c r="A27" s="35" t="s">
        <v>109</v>
      </c>
      <c r="B27" s="36">
        <v>6305</v>
      </c>
    </row>
    <row r="28" spans="1:2" x14ac:dyDescent="0.25">
      <c r="A28" s="35" t="s">
        <v>45</v>
      </c>
      <c r="B28" s="36">
        <v>6053</v>
      </c>
    </row>
    <row r="29" spans="1:2" x14ac:dyDescent="0.25">
      <c r="A29" s="35" t="s">
        <v>467</v>
      </c>
      <c r="B29" s="36">
        <v>6024</v>
      </c>
    </row>
    <row r="30" spans="1:2" x14ac:dyDescent="0.25">
      <c r="A30" s="35" t="s">
        <v>309</v>
      </c>
      <c r="B30" s="36">
        <v>5975</v>
      </c>
    </row>
    <row r="31" spans="1:2" x14ac:dyDescent="0.25">
      <c r="A31" s="35" t="s">
        <v>417</v>
      </c>
      <c r="B31" s="36">
        <v>5959</v>
      </c>
    </row>
    <row r="32" spans="1:2" x14ac:dyDescent="0.25">
      <c r="A32" s="35" t="s">
        <v>68</v>
      </c>
      <c r="B32" s="36">
        <v>5938</v>
      </c>
    </row>
    <row r="33" spans="1:2" x14ac:dyDescent="0.25">
      <c r="A33" s="35" t="s">
        <v>174</v>
      </c>
      <c r="B33" s="36">
        <v>5897</v>
      </c>
    </row>
    <row r="34" spans="1:2" x14ac:dyDescent="0.25">
      <c r="A34" s="35" t="s">
        <v>54</v>
      </c>
      <c r="B34" s="36">
        <v>5792</v>
      </c>
    </row>
    <row r="35" spans="1:2" x14ac:dyDescent="0.25">
      <c r="A35" s="35" t="s">
        <v>456</v>
      </c>
      <c r="B35" s="36">
        <v>5333</v>
      </c>
    </row>
    <row r="36" spans="1:2" x14ac:dyDescent="0.25">
      <c r="A36" s="35" t="s">
        <v>577</v>
      </c>
      <c r="B36" s="36">
        <v>5226</v>
      </c>
    </row>
    <row r="37" spans="1:2" x14ac:dyDescent="0.25">
      <c r="A37" s="35" t="s">
        <v>443</v>
      </c>
      <c r="B37" s="36">
        <v>5009</v>
      </c>
    </row>
    <row r="38" spans="1:2" x14ac:dyDescent="0.25">
      <c r="A38" s="35" t="s">
        <v>419</v>
      </c>
      <c r="B38" s="36">
        <v>4909</v>
      </c>
    </row>
    <row r="39" spans="1:2" x14ac:dyDescent="0.25">
      <c r="A39" s="35" t="s">
        <v>154</v>
      </c>
      <c r="B39" s="36">
        <v>4682</v>
      </c>
    </row>
    <row r="40" spans="1:2" x14ac:dyDescent="0.25">
      <c r="A40" s="35" t="s">
        <v>193</v>
      </c>
      <c r="B40" s="36">
        <v>4533</v>
      </c>
    </row>
    <row r="41" spans="1:2" x14ac:dyDescent="0.25">
      <c r="A41" s="35" t="s">
        <v>122</v>
      </c>
      <c r="B41" s="36">
        <v>4314</v>
      </c>
    </row>
    <row r="42" spans="1:2" x14ac:dyDescent="0.25">
      <c r="A42" s="35" t="s">
        <v>521</v>
      </c>
      <c r="B42" s="36">
        <v>4307</v>
      </c>
    </row>
    <row r="43" spans="1:2" x14ac:dyDescent="0.25">
      <c r="A43" s="35" t="s">
        <v>185</v>
      </c>
      <c r="B43" s="36">
        <v>4268</v>
      </c>
    </row>
    <row r="44" spans="1:2" x14ac:dyDescent="0.25">
      <c r="A44" s="35" t="s">
        <v>463</v>
      </c>
      <c r="B44" s="36">
        <v>4215</v>
      </c>
    </row>
    <row r="45" spans="1:2" x14ac:dyDescent="0.25">
      <c r="A45" s="35" t="s">
        <v>425</v>
      </c>
      <c r="B45" s="36">
        <v>4134</v>
      </c>
    </row>
    <row r="46" spans="1:2" x14ac:dyDescent="0.25">
      <c r="A46" s="35" t="s">
        <v>528</v>
      </c>
      <c r="B46" s="36">
        <v>4093</v>
      </c>
    </row>
    <row r="47" spans="1:2" x14ac:dyDescent="0.25">
      <c r="A47" s="35" t="s">
        <v>70</v>
      </c>
      <c r="B47" s="36">
        <v>4077</v>
      </c>
    </row>
    <row r="48" spans="1:2" x14ac:dyDescent="0.25">
      <c r="A48" s="35" t="s">
        <v>579</v>
      </c>
      <c r="B48" s="36">
        <v>4048</v>
      </c>
    </row>
    <row r="49" spans="1:2" x14ac:dyDescent="0.25">
      <c r="A49" s="35" t="s">
        <v>203</v>
      </c>
      <c r="B49" s="36">
        <v>3961</v>
      </c>
    </row>
    <row r="50" spans="1:2" x14ac:dyDescent="0.25">
      <c r="A50" s="35" t="s">
        <v>180</v>
      </c>
      <c r="B50" s="36">
        <v>3952</v>
      </c>
    </row>
    <row r="51" spans="1:2" x14ac:dyDescent="0.25">
      <c r="A51" s="35" t="s">
        <v>57</v>
      </c>
      <c r="B51" s="36">
        <v>3779</v>
      </c>
    </row>
    <row r="52" spans="1:2" x14ac:dyDescent="0.25">
      <c r="A52" s="35" t="s">
        <v>446</v>
      </c>
      <c r="B52" s="36">
        <v>3755</v>
      </c>
    </row>
    <row r="53" spans="1:2" x14ac:dyDescent="0.25">
      <c r="A53" s="35" t="s">
        <v>504</v>
      </c>
      <c r="B53" s="36">
        <v>3737</v>
      </c>
    </row>
    <row r="54" spans="1:2" x14ac:dyDescent="0.25">
      <c r="A54" s="35" t="s">
        <v>135</v>
      </c>
      <c r="B54" s="36">
        <v>3701</v>
      </c>
    </row>
    <row r="55" spans="1:2" x14ac:dyDescent="0.25">
      <c r="A55" s="35" t="s">
        <v>544</v>
      </c>
      <c r="B55" s="36">
        <v>3677</v>
      </c>
    </row>
    <row r="56" spans="1:2" x14ac:dyDescent="0.25">
      <c r="A56" s="35" t="s">
        <v>116</v>
      </c>
      <c r="B56" s="36">
        <v>3610</v>
      </c>
    </row>
    <row r="57" spans="1:2" x14ac:dyDescent="0.25">
      <c r="A57" s="35" t="s">
        <v>56</v>
      </c>
      <c r="B57" s="36">
        <v>3586</v>
      </c>
    </row>
    <row r="58" spans="1:2" x14ac:dyDescent="0.25">
      <c r="A58" s="35" t="s">
        <v>96</v>
      </c>
      <c r="B58" s="36">
        <v>3584</v>
      </c>
    </row>
    <row r="59" spans="1:2" x14ac:dyDescent="0.25">
      <c r="A59" s="35" t="s">
        <v>55</v>
      </c>
      <c r="B59" s="36">
        <v>3493</v>
      </c>
    </row>
    <row r="60" spans="1:2" x14ac:dyDescent="0.25">
      <c r="A60" s="35" t="s">
        <v>470</v>
      </c>
      <c r="B60" s="36">
        <v>3490</v>
      </c>
    </row>
    <row r="61" spans="1:2" x14ac:dyDescent="0.25">
      <c r="A61" s="35" t="s">
        <v>546</v>
      </c>
      <c r="B61" s="36">
        <v>3440</v>
      </c>
    </row>
    <row r="62" spans="1:2" x14ac:dyDescent="0.25">
      <c r="A62" s="35" t="s">
        <v>177</v>
      </c>
      <c r="B62" s="36">
        <v>3440</v>
      </c>
    </row>
    <row r="63" spans="1:2" x14ac:dyDescent="0.25">
      <c r="A63" s="35" t="s">
        <v>141</v>
      </c>
      <c r="B63" s="36">
        <v>3382</v>
      </c>
    </row>
    <row r="64" spans="1:2" x14ac:dyDescent="0.25">
      <c r="A64" s="35" t="s">
        <v>101</v>
      </c>
      <c r="B64" s="36">
        <v>3360</v>
      </c>
    </row>
    <row r="65" spans="1:2" x14ac:dyDescent="0.25">
      <c r="A65" s="35" t="s">
        <v>522</v>
      </c>
      <c r="B65" s="36">
        <v>3323</v>
      </c>
    </row>
    <row r="66" spans="1:2" x14ac:dyDescent="0.25">
      <c r="A66" s="35" t="s">
        <v>276</v>
      </c>
      <c r="B66" s="36">
        <v>3312</v>
      </c>
    </row>
    <row r="67" spans="1:2" x14ac:dyDescent="0.25">
      <c r="A67" s="35" t="s">
        <v>393</v>
      </c>
      <c r="B67" s="36">
        <v>3279</v>
      </c>
    </row>
    <row r="68" spans="1:2" x14ac:dyDescent="0.25">
      <c r="A68" s="35" t="s">
        <v>195</v>
      </c>
      <c r="B68" s="36">
        <v>3254</v>
      </c>
    </row>
    <row r="69" spans="1:2" x14ac:dyDescent="0.25">
      <c r="A69" s="35" t="s">
        <v>159</v>
      </c>
      <c r="B69" s="36">
        <v>3248</v>
      </c>
    </row>
    <row r="70" spans="1:2" x14ac:dyDescent="0.25">
      <c r="A70" s="35" t="s">
        <v>536</v>
      </c>
      <c r="B70" s="36">
        <v>3224</v>
      </c>
    </row>
    <row r="71" spans="1:2" x14ac:dyDescent="0.25">
      <c r="A71" s="35" t="s">
        <v>403</v>
      </c>
      <c r="B71" s="36">
        <v>3219</v>
      </c>
    </row>
    <row r="72" spans="1:2" x14ac:dyDescent="0.25">
      <c r="A72" s="35" t="s">
        <v>128</v>
      </c>
      <c r="B72" s="36">
        <v>3200</v>
      </c>
    </row>
    <row r="73" spans="1:2" x14ac:dyDescent="0.25">
      <c r="A73" s="35" t="s">
        <v>179</v>
      </c>
      <c r="B73" s="36">
        <v>3178</v>
      </c>
    </row>
    <row r="74" spans="1:2" x14ac:dyDescent="0.25">
      <c r="A74" s="35" t="s">
        <v>76</v>
      </c>
      <c r="B74" s="36">
        <v>3171</v>
      </c>
    </row>
    <row r="75" spans="1:2" x14ac:dyDescent="0.25">
      <c r="A75" s="35" t="s">
        <v>64</v>
      </c>
      <c r="B75" s="36">
        <v>3163</v>
      </c>
    </row>
    <row r="76" spans="1:2" x14ac:dyDescent="0.25">
      <c r="A76" s="35" t="s">
        <v>409</v>
      </c>
      <c r="B76" s="36">
        <v>3145</v>
      </c>
    </row>
    <row r="77" spans="1:2" x14ac:dyDescent="0.25">
      <c r="A77" s="35" t="s">
        <v>161</v>
      </c>
      <c r="B77" s="36">
        <v>3144</v>
      </c>
    </row>
    <row r="78" spans="1:2" x14ac:dyDescent="0.25">
      <c r="A78" s="35" t="s">
        <v>537</v>
      </c>
      <c r="B78" s="36">
        <v>3133</v>
      </c>
    </row>
    <row r="79" spans="1:2" x14ac:dyDescent="0.25">
      <c r="A79" s="35" t="s">
        <v>385</v>
      </c>
      <c r="B79" s="36">
        <v>3075</v>
      </c>
    </row>
    <row r="80" spans="1:2" x14ac:dyDescent="0.25">
      <c r="A80" s="35" t="s">
        <v>62</v>
      </c>
      <c r="B80" s="36">
        <v>3075</v>
      </c>
    </row>
    <row r="81" spans="1:2" x14ac:dyDescent="0.25">
      <c r="A81" s="35" t="s">
        <v>488</v>
      </c>
      <c r="B81" s="36">
        <v>3070</v>
      </c>
    </row>
    <row r="82" spans="1:2" x14ac:dyDescent="0.25">
      <c r="A82" s="35" t="s">
        <v>59</v>
      </c>
      <c r="B82" s="36">
        <v>3042</v>
      </c>
    </row>
    <row r="83" spans="1:2" x14ac:dyDescent="0.25">
      <c r="A83" s="35" t="s">
        <v>133</v>
      </c>
      <c r="B83" s="36">
        <v>3019</v>
      </c>
    </row>
    <row r="84" spans="1:2" x14ac:dyDescent="0.25">
      <c r="A84" s="35" t="s">
        <v>397</v>
      </c>
      <c r="B84" s="36">
        <v>2892</v>
      </c>
    </row>
    <row r="85" spans="1:2" x14ac:dyDescent="0.25">
      <c r="A85" s="35" t="s">
        <v>111</v>
      </c>
      <c r="B85" s="36">
        <v>2891</v>
      </c>
    </row>
    <row r="86" spans="1:2" x14ac:dyDescent="0.25">
      <c r="A86" s="35" t="s">
        <v>435</v>
      </c>
      <c r="B86" s="36">
        <v>2879</v>
      </c>
    </row>
    <row r="87" spans="1:2" x14ac:dyDescent="0.25">
      <c r="A87" s="35" t="s">
        <v>143</v>
      </c>
      <c r="B87" s="36">
        <v>2878</v>
      </c>
    </row>
    <row r="88" spans="1:2" x14ac:dyDescent="0.25">
      <c r="A88" s="35" t="s">
        <v>115</v>
      </c>
      <c r="B88" s="36">
        <v>2869</v>
      </c>
    </row>
    <row r="89" spans="1:2" x14ac:dyDescent="0.25">
      <c r="A89" s="35" t="s">
        <v>452</v>
      </c>
      <c r="B89" s="36">
        <v>2847</v>
      </c>
    </row>
    <row r="90" spans="1:2" x14ac:dyDescent="0.25">
      <c r="A90" s="35" t="s">
        <v>52</v>
      </c>
      <c r="B90" s="36">
        <v>2838</v>
      </c>
    </row>
    <row r="91" spans="1:2" x14ac:dyDescent="0.25">
      <c r="A91" s="35" t="s">
        <v>472</v>
      </c>
      <c r="B91" s="36">
        <v>2814</v>
      </c>
    </row>
    <row r="92" spans="1:2" x14ac:dyDescent="0.25">
      <c r="A92" s="35" t="s">
        <v>72</v>
      </c>
      <c r="B92" s="36">
        <v>2810</v>
      </c>
    </row>
    <row r="93" spans="1:2" x14ac:dyDescent="0.25">
      <c r="A93" s="35" t="s">
        <v>520</v>
      </c>
      <c r="B93" s="36">
        <v>2783</v>
      </c>
    </row>
    <row r="94" spans="1:2" x14ac:dyDescent="0.25">
      <c r="A94" s="35" t="s">
        <v>289</v>
      </c>
      <c r="B94" s="36">
        <v>2760</v>
      </c>
    </row>
    <row r="95" spans="1:2" x14ac:dyDescent="0.25">
      <c r="A95" s="35" t="s">
        <v>69</v>
      </c>
      <c r="B95" s="36">
        <v>2759</v>
      </c>
    </row>
    <row r="96" spans="1:2" x14ac:dyDescent="0.25">
      <c r="A96" s="35" t="s">
        <v>374</v>
      </c>
      <c r="B96" s="36">
        <v>2753</v>
      </c>
    </row>
    <row r="97" spans="1:2" x14ac:dyDescent="0.25">
      <c r="A97" s="35" t="s">
        <v>60</v>
      </c>
      <c r="B97" s="36">
        <v>2753</v>
      </c>
    </row>
    <row r="98" spans="1:2" x14ac:dyDescent="0.25">
      <c r="A98" s="35" t="s">
        <v>517</v>
      </c>
      <c r="B98" s="36">
        <v>2705</v>
      </c>
    </row>
    <row r="99" spans="1:2" x14ac:dyDescent="0.25">
      <c r="A99" s="35" t="s">
        <v>146</v>
      </c>
      <c r="B99" s="36">
        <v>2694</v>
      </c>
    </row>
    <row r="100" spans="1:2" x14ac:dyDescent="0.25">
      <c r="A100" s="35" t="s">
        <v>61</v>
      </c>
      <c r="B100" s="36">
        <v>2682</v>
      </c>
    </row>
    <row r="101" spans="1:2" x14ac:dyDescent="0.25">
      <c r="A101" s="35" t="s">
        <v>378</v>
      </c>
      <c r="B101" s="36">
        <v>2627</v>
      </c>
    </row>
    <row r="102" spans="1:2" x14ac:dyDescent="0.25">
      <c r="A102" s="35" t="s">
        <v>82</v>
      </c>
      <c r="B102" s="36">
        <v>2616</v>
      </c>
    </row>
    <row r="103" spans="1:2" x14ac:dyDescent="0.25">
      <c r="A103" s="35" t="s">
        <v>455</v>
      </c>
      <c r="B103" s="36">
        <v>2574</v>
      </c>
    </row>
    <row r="104" spans="1:2" x14ac:dyDescent="0.25">
      <c r="A104" s="35" t="s">
        <v>371</v>
      </c>
      <c r="B104" s="36">
        <v>2555</v>
      </c>
    </row>
    <row r="105" spans="1:2" x14ac:dyDescent="0.25">
      <c r="A105" s="35" t="s">
        <v>105</v>
      </c>
      <c r="B105" s="36">
        <v>2554</v>
      </c>
    </row>
    <row r="106" spans="1:2" x14ac:dyDescent="0.25">
      <c r="A106" s="35" t="s">
        <v>380</v>
      </c>
      <c r="B106" s="36">
        <v>2547</v>
      </c>
    </row>
    <row r="107" spans="1:2" x14ac:dyDescent="0.25">
      <c r="A107" s="35" t="s">
        <v>46</v>
      </c>
      <c r="B107" s="36">
        <v>2524</v>
      </c>
    </row>
    <row r="108" spans="1:2" x14ac:dyDescent="0.25">
      <c r="A108" s="35" t="s">
        <v>190</v>
      </c>
      <c r="B108" s="36">
        <v>2435</v>
      </c>
    </row>
    <row r="109" spans="1:2" x14ac:dyDescent="0.25">
      <c r="A109" s="35" t="s">
        <v>169</v>
      </c>
      <c r="B109" s="36">
        <v>2429</v>
      </c>
    </row>
    <row r="110" spans="1:2" x14ac:dyDescent="0.25">
      <c r="A110" s="35" t="s">
        <v>288</v>
      </c>
      <c r="B110" s="36">
        <v>2400</v>
      </c>
    </row>
    <row r="111" spans="1:2" x14ac:dyDescent="0.25">
      <c r="A111" s="35" t="s">
        <v>487</v>
      </c>
      <c r="B111" s="36">
        <v>2383</v>
      </c>
    </row>
    <row r="112" spans="1:2" x14ac:dyDescent="0.25">
      <c r="A112" s="35" t="s">
        <v>131</v>
      </c>
      <c r="B112" s="36">
        <v>2377</v>
      </c>
    </row>
    <row r="113" spans="1:2" x14ac:dyDescent="0.25">
      <c r="A113" s="35" t="s">
        <v>388</v>
      </c>
      <c r="B113" s="36">
        <v>2368</v>
      </c>
    </row>
    <row r="114" spans="1:2" x14ac:dyDescent="0.25">
      <c r="A114" s="35" t="s">
        <v>63</v>
      </c>
      <c r="B114" s="36">
        <v>2346</v>
      </c>
    </row>
    <row r="115" spans="1:2" x14ac:dyDescent="0.25">
      <c r="A115" s="35" t="s">
        <v>556</v>
      </c>
      <c r="B115" s="36">
        <v>2336</v>
      </c>
    </row>
    <row r="116" spans="1:2" x14ac:dyDescent="0.25">
      <c r="A116" s="35" t="s">
        <v>123</v>
      </c>
      <c r="B116" s="36">
        <v>2322</v>
      </c>
    </row>
    <row r="117" spans="1:2" x14ac:dyDescent="0.25">
      <c r="A117" s="35" t="s">
        <v>114</v>
      </c>
      <c r="B117" s="36">
        <v>2316</v>
      </c>
    </row>
    <row r="118" spans="1:2" x14ac:dyDescent="0.25">
      <c r="A118" s="35" t="s">
        <v>83</v>
      </c>
      <c r="B118" s="36">
        <v>2311</v>
      </c>
    </row>
    <row r="119" spans="1:2" x14ac:dyDescent="0.25">
      <c r="A119" s="35" t="s">
        <v>191</v>
      </c>
      <c r="B119" s="36">
        <v>2303</v>
      </c>
    </row>
    <row r="120" spans="1:2" x14ac:dyDescent="0.25">
      <c r="A120" s="35" t="s">
        <v>50</v>
      </c>
      <c r="B120" s="36">
        <v>2299</v>
      </c>
    </row>
    <row r="121" spans="1:2" x14ac:dyDescent="0.25">
      <c r="A121" s="35" t="s">
        <v>107</v>
      </c>
      <c r="B121" s="36">
        <v>2283</v>
      </c>
    </row>
    <row r="122" spans="1:2" x14ac:dyDescent="0.25">
      <c r="A122" s="35" t="s">
        <v>88</v>
      </c>
      <c r="B122" s="36">
        <v>2279</v>
      </c>
    </row>
    <row r="123" spans="1:2" x14ac:dyDescent="0.25">
      <c r="A123" s="35" t="s">
        <v>103</v>
      </c>
      <c r="B123" s="36">
        <v>2277</v>
      </c>
    </row>
    <row r="124" spans="1:2" x14ac:dyDescent="0.25">
      <c r="A124" s="35" t="s">
        <v>407</v>
      </c>
      <c r="B124" s="36">
        <v>2271</v>
      </c>
    </row>
    <row r="125" spans="1:2" x14ac:dyDescent="0.25">
      <c r="A125" s="35" t="s">
        <v>85</v>
      </c>
      <c r="B125" s="36">
        <v>2269</v>
      </c>
    </row>
    <row r="126" spans="1:2" x14ac:dyDescent="0.25">
      <c r="A126" s="35" t="s">
        <v>429</v>
      </c>
      <c r="B126" s="36">
        <v>2267</v>
      </c>
    </row>
    <row r="127" spans="1:2" x14ac:dyDescent="0.25">
      <c r="A127" s="35" t="s">
        <v>285</v>
      </c>
      <c r="B127" s="36">
        <v>2258</v>
      </c>
    </row>
    <row r="128" spans="1:2" x14ac:dyDescent="0.25">
      <c r="A128" s="35" t="s">
        <v>129</v>
      </c>
      <c r="B128" s="36">
        <v>2252</v>
      </c>
    </row>
    <row r="129" spans="1:2" x14ac:dyDescent="0.25">
      <c r="A129" s="35" t="s">
        <v>293</v>
      </c>
      <c r="B129" s="36">
        <v>2248</v>
      </c>
    </row>
    <row r="130" spans="1:2" x14ac:dyDescent="0.25">
      <c r="A130" s="35" t="s">
        <v>104</v>
      </c>
      <c r="B130" s="36">
        <v>2236</v>
      </c>
    </row>
    <row r="131" spans="1:2" x14ac:dyDescent="0.25">
      <c r="A131" s="35" t="s">
        <v>530</v>
      </c>
      <c r="B131" s="36">
        <v>2196</v>
      </c>
    </row>
    <row r="132" spans="1:2" x14ac:dyDescent="0.25">
      <c r="A132" s="35" t="s">
        <v>48</v>
      </c>
      <c r="B132" s="36">
        <v>2194</v>
      </c>
    </row>
    <row r="133" spans="1:2" x14ac:dyDescent="0.25">
      <c r="A133" s="35" t="s">
        <v>65</v>
      </c>
      <c r="B133" s="36">
        <v>2176</v>
      </c>
    </row>
    <row r="134" spans="1:2" x14ac:dyDescent="0.25">
      <c r="A134" s="35" t="s">
        <v>74</v>
      </c>
      <c r="B134" s="36">
        <v>2170</v>
      </c>
    </row>
    <row r="135" spans="1:2" x14ac:dyDescent="0.25">
      <c r="A135" s="35" t="s">
        <v>534</v>
      </c>
      <c r="B135" s="36">
        <v>2159</v>
      </c>
    </row>
    <row r="136" spans="1:2" x14ac:dyDescent="0.25">
      <c r="A136" s="35" t="s">
        <v>449</v>
      </c>
      <c r="B136" s="36">
        <v>2146</v>
      </c>
    </row>
    <row r="137" spans="1:2" x14ac:dyDescent="0.25">
      <c r="A137" s="35" t="s">
        <v>412</v>
      </c>
      <c r="B137" s="36">
        <v>2127</v>
      </c>
    </row>
    <row r="138" spans="1:2" x14ac:dyDescent="0.25">
      <c r="A138" s="35" t="s">
        <v>563</v>
      </c>
      <c r="B138" s="36">
        <v>2117</v>
      </c>
    </row>
    <row r="139" spans="1:2" x14ac:dyDescent="0.25">
      <c r="A139" s="35" t="s">
        <v>97</v>
      </c>
      <c r="B139" s="36">
        <v>2094</v>
      </c>
    </row>
    <row r="140" spans="1:2" x14ac:dyDescent="0.25">
      <c r="A140" s="35" t="s">
        <v>581</v>
      </c>
      <c r="B140" s="36">
        <v>2088</v>
      </c>
    </row>
    <row r="141" spans="1:2" x14ac:dyDescent="0.25">
      <c r="A141" s="35" t="s">
        <v>152</v>
      </c>
      <c r="B141" s="36">
        <v>2079</v>
      </c>
    </row>
    <row r="142" spans="1:2" x14ac:dyDescent="0.25">
      <c r="A142" s="35" t="s">
        <v>462</v>
      </c>
      <c r="B142" s="36">
        <v>2064</v>
      </c>
    </row>
    <row r="143" spans="1:2" x14ac:dyDescent="0.25">
      <c r="A143" s="35" t="s">
        <v>194</v>
      </c>
      <c r="B143" s="36">
        <v>2061</v>
      </c>
    </row>
    <row r="144" spans="1:2" x14ac:dyDescent="0.25">
      <c r="A144" s="35" t="s">
        <v>90</v>
      </c>
      <c r="B144" s="36">
        <v>2021</v>
      </c>
    </row>
    <row r="145" spans="1:2" x14ac:dyDescent="0.25">
      <c r="A145" s="35" t="s">
        <v>164</v>
      </c>
      <c r="B145" s="36">
        <v>2017</v>
      </c>
    </row>
    <row r="146" spans="1:2" x14ac:dyDescent="0.25">
      <c r="A146" s="35" t="s">
        <v>445</v>
      </c>
      <c r="B146" s="36">
        <v>2014</v>
      </c>
    </row>
    <row r="147" spans="1:2" x14ac:dyDescent="0.25">
      <c r="A147" s="35" t="s">
        <v>79</v>
      </c>
      <c r="B147" s="36">
        <v>1999</v>
      </c>
    </row>
    <row r="148" spans="1:2" x14ac:dyDescent="0.25">
      <c r="A148" s="35" t="s">
        <v>58</v>
      </c>
      <c r="B148" s="36">
        <v>1981</v>
      </c>
    </row>
    <row r="149" spans="1:2" x14ac:dyDescent="0.25">
      <c r="A149" s="35" t="s">
        <v>286</v>
      </c>
      <c r="B149" s="36">
        <v>1972</v>
      </c>
    </row>
    <row r="150" spans="1:2" x14ac:dyDescent="0.25">
      <c r="A150" s="35" t="s">
        <v>75</v>
      </c>
      <c r="B150" s="36">
        <v>1967</v>
      </c>
    </row>
    <row r="151" spans="1:2" x14ac:dyDescent="0.25">
      <c r="A151" s="35" t="s">
        <v>66</v>
      </c>
      <c r="B151" s="36">
        <v>1962</v>
      </c>
    </row>
    <row r="152" spans="1:2" x14ac:dyDescent="0.25">
      <c r="A152" s="35" t="s">
        <v>98</v>
      </c>
      <c r="B152" s="36">
        <v>1946</v>
      </c>
    </row>
    <row r="153" spans="1:2" x14ac:dyDescent="0.25">
      <c r="A153" s="35" t="s">
        <v>51</v>
      </c>
      <c r="B153" s="36">
        <v>1943</v>
      </c>
    </row>
    <row r="154" spans="1:2" x14ac:dyDescent="0.25">
      <c r="A154" s="35" t="s">
        <v>299</v>
      </c>
      <c r="B154" s="36">
        <v>1930</v>
      </c>
    </row>
    <row r="155" spans="1:2" x14ac:dyDescent="0.25">
      <c r="A155" s="35" t="s">
        <v>303</v>
      </c>
      <c r="B155" s="36">
        <v>1919</v>
      </c>
    </row>
    <row r="156" spans="1:2" x14ac:dyDescent="0.25">
      <c r="A156" s="35" t="s">
        <v>382</v>
      </c>
      <c r="B156" s="36">
        <v>1894</v>
      </c>
    </row>
    <row r="157" spans="1:2" x14ac:dyDescent="0.25">
      <c r="A157" s="35" t="s">
        <v>565</v>
      </c>
      <c r="B157" s="36">
        <v>1892</v>
      </c>
    </row>
    <row r="158" spans="1:2" x14ac:dyDescent="0.25">
      <c r="A158" s="35" t="s">
        <v>157</v>
      </c>
      <c r="B158" s="36">
        <v>1886</v>
      </c>
    </row>
    <row r="159" spans="1:2" x14ac:dyDescent="0.25">
      <c r="A159" s="35" t="s">
        <v>387</v>
      </c>
      <c r="B159" s="36">
        <v>1884</v>
      </c>
    </row>
    <row r="160" spans="1:2" x14ac:dyDescent="0.25">
      <c r="A160" s="35" t="s">
        <v>150</v>
      </c>
      <c r="B160" s="36">
        <v>1880</v>
      </c>
    </row>
    <row r="161" spans="1:2" x14ac:dyDescent="0.25">
      <c r="A161" s="35" t="s">
        <v>396</v>
      </c>
      <c r="B161" s="36">
        <v>1874</v>
      </c>
    </row>
    <row r="162" spans="1:2" x14ac:dyDescent="0.25">
      <c r="A162" s="35" t="s">
        <v>156</v>
      </c>
      <c r="B162" s="36">
        <v>1872</v>
      </c>
    </row>
    <row r="163" spans="1:2" x14ac:dyDescent="0.25">
      <c r="A163" s="35" t="s">
        <v>121</v>
      </c>
      <c r="B163" s="36">
        <v>1855</v>
      </c>
    </row>
    <row r="164" spans="1:2" x14ac:dyDescent="0.25">
      <c r="A164" s="35" t="s">
        <v>316</v>
      </c>
      <c r="B164" s="36">
        <v>1848</v>
      </c>
    </row>
    <row r="165" spans="1:2" x14ac:dyDescent="0.25">
      <c r="A165" s="35" t="s">
        <v>572</v>
      </c>
      <c r="B165" s="36">
        <v>1845</v>
      </c>
    </row>
    <row r="166" spans="1:2" x14ac:dyDescent="0.25">
      <c r="A166" s="35" t="s">
        <v>189</v>
      </c>
      <c r="B166" s="36">
        <v>1835</v>
      </c>
    </row>
    <row r="167" spans="1:2" x14ac:dyDescent="0.25">
      <c r="A167" s="35" t="s">
        <v>196</v>
      </c>
      <c r="B167" s="36">
        <v>1832</v>
      </c>
    </row>
    <row r="168" spans="1:2" x14ac:dyDescent="0.25">
      <c r="A168" s="35" t="s">
        <v>298</v>
      </c>
      <c r="B168" s="36">
        <v>1829</v>
      </c>
    </row>
    <row r="169" spans="1:2" x14ac:dyDescent="0.25">
      <c r="A169" s="35" t="s">
        <v>543</v>
      </c>
      <c r="B169" s="36">
        <v>1829</v>
      </c>
    </row>
    <row r="170" spans="1:2" x14ac:dyDescent="0.25">
      <c r="A170" s="35" t="s">
        <v>426</v>
      </c>
      <c r="B170" s="36">
        <v>1823</v>
      </c>
    </row>
    <row r="171" spans="1:2" x14ac:dyDescent="0.25">
      <c r="A171" s="35" t="s">
        <v>567</v>
      </c>
      <c r="B171" s="36">
        <v>1794</v>
      </c>
    </row>
    <row r="172" spans="1:2" x14ac:dyDescent="0.25">
      <c r="A172" s="35" t="s">
        <v>539</v>
      </c>
      <c r="B172" s="36">
        <v>1784</v>
      </c>
    </row>
    <row r="173" spans="1:2" x14ac:dyDescent="0.25">
      <c r="A173" s="35" t="s">
        <v>503</v>
      </c>
      <c r="B173" s="36">
        <v>1780</v>
      </c>
    </row>
    <row r="174" spans="1:2" x14ac:dyDescent="0.25">
      <c r="A174" s="35" t="s">
        <v>545</v>
      </c>
      <c r="B174" s="36">
        <v>1779</v>
      </c>
    </row>
    <row r="175" spans="1:2" x14ac:dyDescent="0.25">
      <c r="A175" s="35" t="s">
        <v>523</v>
      </c>
      <c r="B175" s="36">
        <v>1770</v>
      </c>
    </row>
    <row r="176" spans="1:2" x14ac:dyDescent="0.25">
      <c r="A176" s="35" t="s">
        <v>427</v>
      </c>
      <c r="B176" s="36">
        <v>1744</v>
      </c>
    </row>
    <row r="177" spans="1:2" x14ac:dyDescent="0.25">
      <c r="A177" s="35" t="s">
        <v>202</v>
      </c>
      <c r="B177" s="36">
        <v>1740</v>
      </c>
    </row>
    <row r="178" spans="1:2" x14ac:dyDescent="0.25">
      <c r="A178" s="35" t="s">
        <v>306</v>
      </c>
      <c r="B178" s="36">
        <v>1732</v>
      </c>
    </row>
    <row r="179" spans="1:2" x14ac:dyDescent="0.25">
      <c r="A179" s="35" t="s">
        <v>92</v>
      </c>
      <c r="B179" s="36">
        <v>1726</v>
      </c>
    </row>
    <row r="180" spans="1:2" x14ac:dyDescent="0.25">
      <c r="A180" s="35" t="s">
        <v>89</v>
      </c>
      <c r="B180" s="36">
        <v>1720</v>
      </c>
    </row>
    <row r="181" spans="1:2" x14ac:dyDescent="0.25">
      <c r="A181" s="35" t="s">
        <v>126</v>
      </c>
      <c r="B181" s="36">
        <v>1702</v>
      </c>
    </row>
    <row r="182" spans="1:2" x14ac:dyDescent="0.25">
      <c r="A182" s="35" t="s">
        <v>291</v>
      </c>
      <c r="B182" s="36">
        <v>1685</v>
      </c>
    </row>
    <row r="183" spans="1:2" x14ac:dyDescent="0.25">
      <c r="A183" s="35" t="s">
        <v>582</v>
      </c>
      <c r="B183" s="36">
        <v>1682</v>
      </c>
    </row>
    <row r="184" spans="1:2" x14ac:dyDescent="0.25">
      <c r="A184" s="35" t="s">
        <v>368</v>
      </c>
      <c r="B184" s="36">
        <v>1671</v>
      </c>
    </row>
    <row r="185" spans="1:2" x14ac:dyDescent="0.25">
      <c r="A185" s="35" t="s">
        <v>71</v>
      </c>
      <c r="B185" s="36">
        <v>1661</v>
      </c>
    </row>
    <row r="186" spans="1:2" x14ac:dyDescent="0.25">
      <c r="A186" s="35" t="s">
        <v>160</v>
      </c>
      <c r="B186" s="36">
        <v>1659</v>
      </c>
    </row>
    <row r="187" spans="1:2" x14ac:dyDescent="0.25">
      <c r="A187" s="35" t="s">
        <v>297</v>
      </c>
      <c r="B187" s="36">
        <v>1656</v>
      </c>
    </row>
    <row r="188" spans="1:2" x14ac:dyDescent="0.25">
      <c r="A188" s="35" t="s">
        <v>151</v>
      </c>
      <c r="B188" s="36">
        <v>1648</v>
      </c>
    </row>
    <row r="189" spans="1:2" x14ac:dyDescent="0.25">
      <c r="A189" s="35" t="s">
        <v>541</v>
      </c>
      <c r="B189" s="36">
        <v>1641</v>
      </c>
    </row>
    <row r="190" spans="1:2" x14ac:dyDescent="0.25">
      <c r="A190" s="35" t="s">
        <v>453</v>
      </c>
      <c r="B190" s="36">
        <v>1638</v>
      </c>
    </row>
    <row r="191" spans="1:2" x14ac:dyDescent="0.25">
      <c r="A191" s="35" t="s">
        <v>91</v>
      </c>
      <c r="B191" s="36">
        <v>1633</v>
      </c>
    </row>
    <row r="192" spans="1:2" x14ac:dyDescent="0.25">
      <c r="A192" s="35" t="s">
        <v>580</v>
      </c>
      <c r="B192" s="36">
        <v>1629</v>
      </c>
    </row>
    <row r="193" spans="1:2" x14ac:dyDescent="0.25">
      <c r="A193" s="35" t="s">
        <v>120</v>
      </c>
      <c r="B193" s="36">
        <v>1629</v>
      </c>
    </row>
    <row r="194" spans="1:2" x14ac:dyDescent="0.25">
      <c r="A194" s="35" t="s">
        <v>173</v>
      </c>
      <c r="B194" s="36">
        <v>1627</v>
      </c>
    </row>
    <row r="195" spans="1:2" x14ac:dyDescent="0.25">
      <c r="A195" s="35" t="s">
        <v>47</v>
      </c>
      <c r="B195" s="36">
        <v>1618</v>
      </c>
    </row>
    <row r="196" spans="1:2" x14ac:dyDescent="0.25">
      <c r="A196" s="35" t="s">
        <v>118</v>
      </c>
      <c r="B196" s="36">
        <v>1613</v>
      </c>
    </row>
    <row r="197" spans="1:2" x14ac:dyDescent="0.25">
      <c r="A197" s="35" t="s">
        <v>84</v>
      </c>
      <c r="B197" s="36">
        <v>1613</v>
      </c>
    </row>
    <row r="198" spans="1:2" x14ac:dyDescent="0.25">
      <c r="A198" s="35" t="s">
        <v>199</v>
      </c>
      <c r="B198" s="36">
        <v>1606</v>
      </c>
    </row>
    <row r="199" spans="1:2" x14ac:dyDescent="0.25">
      <c r="A199" s="35" t="s">
        <v>287</v>
      </c>
      <c r="B199" s="36">
        <v>1597</v>
      </c>
    </row>
    <row r="200" spans="1:2" x14ac:dyDescent="0.25">
      <c r="A200" s="35" t="s">
        <v>78</v>
      </c>
      <c r="B200" s="36">
        <v>1593</v>
      </c>
    </row>
    <row r="201" spans="1:2" x14ac:dyDescent="0.25">
      <c r="A201" s="35" t="s">
        <v>400</v>
      </c>
      <c r="B201" s="36">
        <v>1588</v>
      </c>
    </row>
    <row r="202" spans="1:2" x14ac:dyDescent="0.25">
      <c r="A202" s="35" t="s">
        <v>113</v>
      </c>
      <c r="B202" s="36">
        <v>1569</v>
      </c>
    </row>
    <row r="203" spans="1:2" x14ac:dyDescent="0.25">
      <c r="A203" s="35" t="s">
        <v>95</v>
      </c>
      <c r="B203" s="36">
        <v>1567</v>
      </c>
    </row>
    <row r="204" spans="1:2" x14ac:dyDescent="0.25">
      <c r="A204" s="35" t="s">
        <v>153</v>
      </c>
      <c r="B204" s="36">
        <v>1548</v>
      </c>
    </row>
    <row r="205" spans="1:2" x14ac:dyDescent="0.25">
      <c r="A205" s="35" t="s">
        <v>155</v>
      </c>
      <c r="B205" s="36">
        <v>1548</v>
      </c>
    </row>
    <row r="206" spans="1:2" x14ac:dyDescent="0.25">
      <c r="A206" s="35" t="s">
        <v>542</v>
      </c>
      <c r="B206" s="36">
        <v>1527</v>
      </c>
    </row>
    <row r="207" spans="1:2" x14ac:dyDescent="0.25">
      <c r="A207" s="35" t="s">
        <v>369</v>
      </c>
      <c r="B207" s="36">
        <v>1524</v>
      </c>
    </row>
    <row r="208" spans="1:2" x14ac:dyDescent="0.25">
      <c r="A208" s="35" t="s">
        <v>100</v>
      </c>
      <c r="B208" s="36">
        <v>1516</v>
      </c>
    </row>
    <row r="209" spans="1:2" x14ac:dyDescent="0.25">
      <c r="A209" s="35" t="s">
        <v>53</v>
      </c>
      <c r="B209" s="36">
        <v>1515</v>
      </c>
    </row>
    <row r="210" spans="1:2" x14ac:dyDescent="0.25">
      <c r="A210" s="35" t="s">
        <v>137</v>
      </c>
      <c r="B210" s="36">
        <v>1514</v>
      </c>
    </row>
    <row r="211" spans="1:2" x14ac:dyDescent="0.25">
      <c r="A211" s="35" t="s">
        <v>377</v>
      </c>
      <c r="B211" s="36">
        <v>1514</v>
      </c>
    </row>
    <row r="212" spans="1:2" x14ac:dyDescent="0.25">
      <c r="A212" s="35" t="s">
        <v>422</v>
      </c>
      <c r="B212" s="36">
        <v>1512</v>
      </c>
    </row>
    <row r="213" spans="1:2" x14ac:dyDescent="0.25">
      <c r="A213" s="35" t="s">
        <v>163</v>
      </c>
      <c r="B213" s="36">
        <v>1511</v>
      </c>
    </row>
    <row r="214" spans="1:2" x14ac:dyDescent="0.25">
      <c r="A214" s="35" t="s">
        <v>166</v>
      </c>
      <c r="B214" s="36">
        <v>1506</v>
      </c>
    </row>
    <row r="215" spans="1:2" x14ac:dyDescent="0.25">
      <c r="A215" s="35" t="s">
        <v>413</v>
      </c>
      <c r="B215" s="36">
        <v>1503</v>
      </c>
    </row>
    <row r="216" spans="1:2" x14ac:dyDescent="0.25">
      <c r="A216" s="35" t="s">
        <v>311</v>
      </c>
      <c r="B216" s="36">
        <v>1496</v>
      </c>
    </row>
    <row r="217" spans="1:2" x14ac:dyDescent="0.25">
      <c r="A217" s="35" t="s">
        <v>424</v>
      </c>
      <c r="B217" s="36">
        <v>1490</v>
      </c>
    </row>
    <row r="218" spans="1:2" x14ac:dyDescent="0.25">
      <c r="A218" s="35" t="s">
        <v>77</v>
      </c>
      <c r="B218" s="36">
        <v>1479</v>
      </c>
    </row>
    <row r="219" spans="1:2" x14ac:dyDescent="0.25">
      <c r="A219" s="35" t="s">
        <v>395</v>
      </c>
      <c r="B219" s="36">
        <v>1463</v>
      </c>
    </row>
    <row r="220" spans="1:2" x14ac:dyDescent="0.25">
      <c r="A220" s="35" t="s">
        <v>314</v>
      </c>
      <c r="B220" s="36">
        <v>1450</v>
      </c>
    </row>
    <row r="221" spans="1:2" x14ac:dyDescent="0.25">
      <c r="A221" s="35" t="s">
        <v>212</v>
      </c>
      <c r="B221" s="36">
        <v>1437</v>
      </c>
    </row>
    <row r="222" spans="1:2" x14ac:dyDescent="0.25">
      <c r="A222" s="35" t="s">
        <v>192</v>
      </c>
      <c r="B222" s="36">
        <v>1407</v>
      </c>
    </row>
    <row r="223" spans="1:2" x14ac:dyDescent="0.25">
      <c r="A223" s="35" t="s">
        <v>519</v>
      </c>
      <c r="B223" s="36">
        <v>1401</v>
      </c>
    </row>
    <row r="224" spans="1:2" x14ac:dyDescent="0.25">
      <c r="A224" s="35" t="s">
        <v>81</v>
      </c>
      <c r="B224" s="36">
        <v>1400</v>
      </c>
    </row>
    <row r="225" spans="1:2" x14ac:dyDescent="0.25">
      <c r="A225" s="35" t="s">
        <v>416</v>
      </c>
      <c r="B225" s="36">
        <v>1398</v>
      </c>
    </row>
    <row r="226" spans="1:2" x14ac:dyDescent="0.25">
      <c r="A226" s="35" t="s">
        <v>442</v>
      </c>
      <c r="B226" s="36">
        <v>1389</v>
      </c>
    </row>
    <row r="227" spans="1:2" x14ac:dyDescent="0.25">
      <c r="A227" s="35" t="s">
        <v>182</v>
      </c>
      <c r="B227" s="36">
        <v>1385</v>
      </c>
    </row>
    <row r="228" spans="1:2" x14ac:dyDescent="0.25">
      <c r="A228" s="35" t="s">
        <v>583</v>
      </c>
      <c r="B228" s="36">
        <v>1381</v>
      </c>
    </row>
    <row r="229" spans="1:2" x14ac:dyDescent="0.25">
      <c r="A229" s="35" t="s">
        <v>457</v>
      </c>
      <c r="B229" s="36">
        <v>1378</v>
      </c>
    </row>
    <row r="230" spans="1:2" x14ac:dyDescent="0.25">
      <c r="A230" s="35" t="s">
        <v>162</v>
      </c>
      <c r="B230" s="36">
        <v>1358</v>
      </c>
    </row>
    <row r="231" spans="1:2" x14ac:dyDescent="0.25">
      <c r="A231" s="35" t="s">
        <v>136</v>
      </c>
      <c r="B231" s="36">
        <v>1353</v>
      </c>
    </row>
    <row r="232" spans="1:2" x14ac:dyDescent="0.25">
      <c r="A232" s="35" t="s">
        <v>447</v>
      </c>
      <c r="B232" s="36">
        <v>1352</v>
      </c>
    </row>
    <row r="233" spans="1:2" x14ac:dyDescent="0.25">
      <c r="A233" s="35" t="s">
        <v>526</v>
      </c>
      <c r="B233" s="36">
        <v>1351</v>
      </c>
    </row>
    <row r="234" spans="1:2" x14ac:dyDescent="0.25">
      <c r="A234" s="35" t="s">
        <v>106</v>
      </c>
      <c r="B234" s="36">
        <v>1337</v>
      </c>
    </row>
    <row r="235" spans="1:2" x14ac:dyDescent="0.25">
      <c r="A235" s="35" t="s">
        <v>296</v>
      </c>
      <c r="B235" s="36">
        <v>1337</v>
      </c>
    </row>
    <row r="236" spans="1:2" x14ac:dyDescent="0.25">
      <c r="A236" s="35" t="s">
        <v>390</v>
      </c>
      <c r="B236" s="36">
        <v>1327</v>
      </c>
    </row>
    <row r="237" spans="1:2" x14ac:dyDescent="0.25">
      <c r="A237" s="35" t="s">
        <v>553</v>
      </c>
      <c r="B237" s="36">
        <v>1310</v>
      </c>
    </row>
    <row r="238" spans="1:2" x14ac:dyDescent="0.25">
      <c r="A238" s="35" t="s">
        <v>411</v>
      </c>
      <c r="B238" s="36">
        <v>1309</v>
      </c>
    </row>
    <row r="239" spans="1:2" x14ac:dyDescent="0.25">
      <c r="A239" s="35" t="s">
        <v>290</v>
      </c>
      <c r="B239" s="36">
        <v>1308</v>
      </c>
    </row>
    <row r="240" spans="1:2" x14ac:dyDescent="0.25">
      <c r="A240" s="35" t="s">
        <v>437</v>
      </c>
      <c r="B240" s="36">
        <v>1297</v>
      </c>
    </row>
    <row r="241" spans="1:2" x14ac:dyDescent="0.25">
      <c r="A241" s="35" t="s">
        <v>532</v>
      </c>
      <c r="B241" s="36">
        <v>1297</v>
      </c>
    </row>
    <row r="242" spans="1:2" x14ac:dyDescent="0.25">
      <c r="A242" s="35" t="s">
        <v>410</v>
      </c>
      <c r="B242" s="36">
        <v>1279</v>
      </c>
    </row>
    <row r="243" spans="1:2" x14ac:dyDescent="0.25">
      <c r="A243" s="35" t="s">
        <v>132</v>
      </c>
      <c r="B243" s="36">
        <v>1277</v>
      </c>
    </row>
    <row r="244" spans="1:2" x14ac:dyDescent="0.25">
      <c r="A244" s="35" t="s">
        <v>430</v>
      </c>
      <c r="B244" s="36">
        <v>1254</v>
      </c>
    </row>
    <row r="245" spans="1:2" x14ac:dyDescent="0.25">
      <c r="A245" s="35" t="s">
        <v>149</v>
      </c>
      <c r="B245" s="36">
        <v>1241</v>
      </c>
    </row>
    <row r="246" spans="1:2" x14ac:dyDescent="0.25">
      <c r="A246" s="35" t="s">
        <v>404</v>
      </c>
      <c r="B246" s="36">
        <v>1240</v>
      </c>
    </row>
    <row r="247" spans="1:2" x14ac:dyDescent="0.25">
      <c r="A247" s="35" t="s">
        <v>511</v>
      </c>
      <c r="B247" s="36">
        <v>1226</v>
      </c>
    </row>
    <row r="248" spans="1:2" x14ac:dyDescent="0.25">
      <c r="A248" s="35" t="s">
        <v>415</v>
      </c>
      <c r="B248" s="36">
        <v>1216</v>
      </c>
    </row>
    <row r="249" spans="1:2" x14ac:dyDescent="0.25">
      <c r="A249" s="35" t="s">
        <v>372</v>
      </c>
      <c r="B249" s="36">
        <v>1215</v>
      </c>
    </row>
    <row r="250" spans="1:2" x14ac:dyDescent="0.25">
      <c r="A250" s="35" t="s">
        <v>304</v>
      </c>
      <c r="B250" s="36">
        <v>1188</v>
      </c>
    </row>
    <row r="251" spans="1:2" x14ac:dyDescent="0.25">
      <c r="A251" s="35" t="s">
        <v>170</v>
      </c>
      <c r="B251" s="36">
        <v>1186</v>
      </c>
    </row>
    <row r="252" spans="1:2" x14ac:dyDescent="0.25">
      <c r="A252" s="35" t="s">
        <v>117</v>
      </c>
      <c r="B252" s="36">
        <v>1186</v>
      </c>
    </row>
    <row r="253" spans="1:2" x14ac:dyDescent="0.25">
      <c r="A253" s="35" t="s">
        <v>208</v>
      </c>
      <c r="B253" s="36">
        <v>1185</v>
      </c>
    </row>
    <row r="254" spans="1:2" x14ac:dyDescent="0.25">
      <c r="A254" s="35" t="s">
        <v>168</v>
      </c>
      <c r="B254" s="36">
        <v>1183</v>
      </c>
    </row>
    <row r="255" spans="1:2" x14ac:dyDescent="0.25">
      <c r="A255" s="35" t="s">
        <v>464</v>
      </c>
      <c r="B255" s="36">
        <v>1168</v>
      </c>
    </row>
    <row r="256" spans="1:2" x14ac:dyDescent="0.25">
      <c r="A256" s="35" t="s">
        <v>533</v>
      </c>
      <c r="B256" s="36">
        <v>1161</v>
      </c>
    </row>
    <row r="257" spans="1:2" x14ac:dyDescent="0.25">
      <c r="A257" s="35" t="s">
        <v>176</v>
      </c>
      <c r="B257" s="36">
        <v>1147</v>
      </c>
    </row>
    <row r="258" spans="1:2" x14ac:dyDescent="0.25">
      <c r="A258" s="35" t="s">
        <v>124</v>
      </c>
      <c r="B258" s="36">
        <v>1144</v>
      </c>
    </row>
    <row r="259" spans="1:2" x14ac:dyDescent="0.25">
      <c r="A259" s="35" t="s">
        <v>127</v>
      </c>
      <c r="B259" s="36">
        <v>1132</v>
      </c>
    </row>
    <row r="260" spans="1:2" x14ac:dyDescent="0.25">
      <c r="A260" s="35" t="s">
        <v>439</v>
      </c>
      <c r="B260" s="36">
        <v>1098</v>
      </c>
    </row>
    <row r="261" spans="1:2" x14ac:dyDescent="0.25">
      <c r="A261" s="35" t="s">
        <v>147</v>
      </c>
      <c r="B261" s="36">
        <v>1097</v>
      </c>
    </row>
    <row r="262" spans="1:2" x14ac:dyDescent="0.25">
      <c r="A262" s="35" t="s">
        <v>184</v>
      </c>
      <c r="B262" s="36">
        <v>1086</v>
      </c>
    </row>
    <row r="263" spans="1:2" x14ac:dyDescent="0.25">
      <c r="A263" s="35" t="s">
        <v>294</v>
      </c>
      <c r="B263" s="36">
        <v>1076</v>
      </c>
    </row>
    <row r="264" spans="1:2" x14ac:dyDescent="0.25">
      <c r="A264" s="35" t="s">
        <v>379</v>
      </c>
      <c r="B264" s="36">
        <v>1073</v>
      </c>
    </row>
    <row r="265" spans="1:2" x14ac:dyDescent="0.25">
      <c r="A265" s="35" t="s">
        <v>119</v>
      </c>
      <c r="B265" s="36">
        <v>1071</v>
      </c>
    </row>
    <row r="266" spans="1:2" x14ac:dyDescent="0.25">
      <c r="A266" s="35" t="s">
        <v>454</v>
      </c>
      <c r="B266" s="36">
        <v>1065</v>
      </c>
    </row>
    <row r="267" spans="1:2" x14ac:dyDescent="0.25">
      <c r="A267" s="35" t="s">
        <v>67</v>
      </c>
      <c r="B267" s="36">
        <v>1049</v>
      </c>
    </row>
    <row r="268" spans="1:2" x14ac:dyDescent="0.25">
      <c r="A268" s="35" t="s">
        <v>87</v>
      </c>
      <c r="B268" s="36">
        <v>1037</v>
      </c>
    </row>
    <row r="269" spans="1:2" x14ac:dyDescent="0.25">
      <c r="A269" s="35" t="s">
        <v>571</v>
      </c>
      <c r="B269" s="36">
        <v>1016</v>
      </c>
    </row>
    <row r="270" spans="1:2" x14ac:dyDescent="0.25">
      <c r="A270" s="35" t="s">
        <v>145</v>
      </c>
      <c r="B270" s="36">
        <v>1011</v>
      </c>
    </row>
    <row r="271" spans="1:2" x14ac:dyDescent="0.25">
      <c r="A271" s="35" t="s">
        <v>138</v>
      </c>
      <c r="B271" s="36">
        <v>1009</v>
      </c>
    </row>
    <row r="272" spans="1:2" x14ac:dyDescent="0.25">
      <c r="A272" s="35" t="s">
        <v>394</v>
      </c>
      <c r="B272" s="36">
        <v>994</v>
      </c>
    </row>
    <row r="273" spans="1:2" x14ac:dyDescent="0.25">
      <c r="A273" s="35" t="s">
        <v>200</v>
      </c>
      <c r="B273" s="36">
        <v>977</v>
      </c>
    </row>
    <row r="274" spans="1:2" x14ac:dyDescent="0.25">
      <c r="A274" s="35" t="s">
        <v>86</v>
      </c>
      <c r="B274" s="36">
        <v>975</v>
      </c>
    </row>
    <row r="275" spans="1:2" x14ac:dyDescent="0.25">
      <c r="A275" s="35" t="s">
        <v>93</v>
      </c>
      <c r="B275" s="36">
        <v>958</v>
      </c>
    </row>
    <row r="276" spans="1:2" x14ac:dyDescent="0.25">
      <c r="A276" s="35" t="s">
        <v>188</v>
      </c>
      <c r="B276" s="36">
        <v>955</v>
      </c>
    </row>
    <row r="277" spans="1:2" x14ac:dyDescent="0.25">
      <c r="A277" s="35" t="s">
        <v>183</v>
      </c>
      <c r="B277" s="36">
        <v>955</v>
      </c>
    </row>
    <row r="278" spans="1:2" x14ac:dyDescent="0.25">
      <c r="A278" s="35" t="s">
        <v>186</v>
      </c>
      <c r="B278" s="36">
        <v>951</v>
      </c>
    </row>
    <row r="279" spans="1:2" x14ac:dyDescent="0.25">
      <c r="A279" s="35" t="s">
        <v>207</v>
      </c>
      <c r="B279" s="36">
        <v>949</v>
      </c>
    </row>
    <row r="280" spans="1:2" x14ac:dyDescent="0.25">
      <c r="A280" s="35" t="s">
        <v>432</v>
      </c>
      <c r="B280" s="36">
        <v>946</v>
      </c>
    </row>
    <row r="281" spans="1:2" x14ac:dyDescent="0.25">
      <c r="A281" s="35" t="s">
        <v>214</v>
      </c>
      <c r="B281" s="36">
        <v>938</v>
      </c>
    </row>
    <row r="282" spans="1:2" x14ac:dyDescent="0.25">
      <c r="A282" s="35" t="s">
        <v>315</v>
      </c>
      <c r="B282" s="36">
        <v>931</v>
      </c>
    </row>
    <row r="283" spans="1:2" x14ac:dyDescent="0.25">
      <c r="A283" s="35" t="s">
        <v>373</v>
      </c>
      <c r="B283" s="36">
        <v>925</v>
      </c>
    </row>
    <row r="284" spans="1:2" x14ac:dyDescent="0.25">
      <c r="A284" s="35" t="s">
        <v>187</v>
      </c>
      <c r="B284" s="36">
        <v>917</v>
      </c>
    </row>
    <row r="285" spans="1:2" x14ac:dyDescent="0.25">
      <c r="A285" s="35" t="s">
        <v>210</v>
      </c>
      <c r="B285" s="36">
        <v>913</v>
      </c>
    </row>
    <row r="286" spans="1:2" x14ac:dyDescent="0.25">
      <c r="A286" s="35" t="s">
        <v>213</v>
      </c>
      <c r="B286" s="36">
        <v>903</v>
      </c>
    </row>
    <row r="287" spans="1:2" x14ac:dyDescent="0.25">
      <c r="A287" s="35" t="s">
        <v>181</v>
      </c>
      <c r="B287" s="36">
        <v>903</v>
      </c>
    </row>
    <row r="288" spans="1:2" x14ac:dyDescent="0.25">
      <c r="A288" s="35" t="s">
        <v>405</v>
      </c>
      <c r="B288" s="36">
        <v>887</v>
      </c>
    </row>
    <row r="289" spans="1:2" x14ac:dyDescent="0.25">
      <c r="A289" s="35" t="s">
        <v>292</v>
      </c>
      <c r="B289" s="36">
        <v>876</v>
      </c>
    </row>
    <row r="290" spans="1:2" x14ac:dyDescent="0.25">
      <c r="A290" s="35" t="s">
        <v>450</v>
      </c>
      <c r="B290" s="36">
        <v>870</v>
      </c>
    </row>
    <row r="291" spans="1:2" x14ac:dyDescent="0.25">
      <c r="A291" s="35" t="s">
        <v>386</v>
      </c>
      <c r="B291" s="36">
        <v>863</v>
      </c>
    </row>
    <row r="292" spans="1:2" x14ac:dyDescent="0.25">
      <c r="A292" s="35" t="s">
        <v>139</v>
      </c>
      <c r="B292" s="36">
        <v>863</v>
      </c>
    </row>
    <row r="293" spans="1:2" x14ac:dyDescent="0.25">
      <c r="A293" s="35" t="s">
        <v>94</v>
      </c>
      <c r="B293" s="36">
        <v>858</v>
      </c>
    </row>
    <row r="294" spans="1:2" x14ac:dyDescent="0.25">
      <c r="A294" s="35" t="s">
        <v>535</v>
      </c>
      <c r="B294" s="36">
        <v>848</v>
      </c>
    </row>
    <row r="295" spans="1:2" x14ac:dyDescent="0.25">
      <c r="A295" s="35" t="s">
        <v>305</v>
      </c>
      <c r="B295" s="36">
        <v>847</v>
      </c>
    </row>
    <row r="296" spans="1:2" x14ac:dyDescent="0.25">
      <c r="A296" s="35" t="s">
        <v>300</v>
      </c>
      <c r="B296" s="36">
        <v>842</v>
      </c>
    </row>
    <row r="297" spans="1:2" x14ac:dyDescent="0.25">
      <c r="A297" s="35" t="s">
        <v>391</v>
      </c>
      <c r="B297" s="36">
        <v>837</v>
      </c>
    </row>
    <row r="298" spans="1:2" x14ac:dyDescent="0.25">
      <c r="A298" s="35" t="s">
        <v>307</v>
      </c>
      <c r="B298" s="36">
        <v>835</v>
      </c>
    </row>
    <row r="299" spans="1:2" x14ac:dyDescent="0.25">
      <c r="A299" s="35" t="s">
        <v>527</v>
      </c>
      <c r="B299" s="36">
        <v>834</v>
      </c>
    </row>
    <row r="300" spans="1:2" x14ac:dyDescent="0.25">
      <c r="A300" s="35" t="s">
        <v>142</v>
      </c>
      <c r="B300" s="36">
        <v>829</v>
      </c>
    </row>
    <row r="301" spans="1:2" x14ac:dyDescent="0.25">
      <c r="A301" s="35" t="s">
        <v>211</v>
      </c>
      <c r="B301" s="36">
        <v>820</v>
      </c>
    </row>
    <row r="302" spans="1:2" x14ac:dyDescent="0.25">
      <c r="A302" s="35" t="s">
        <v>108</v>
      </c>
      <c r="B302" s="36">
        <v>819</v>
      </c>
    </row>
    <row r="303" spans="1:2" x14ac:dyDescent="0.25">
      <c r="A303" s="35" t="s">
        <v>110</v>
      </c>
      <c r="B303" s="36">
        <v>813</v>
      </c>
    </row>
    <row r="304" spans="1:2" x14ac:dyDescent="0.25">
      <c r="A304" s="35" t="s">
        <v>428</v>
      </c>
      <c r="B304" s="36">
        <v>801</v>
      </c>
    </row>
    <row r="305" spans="1:2" x14ac:dyDescent="0.25">
      <c r="A305" s="35" t="s">
        <v>158</v>
      </c>
      <c r="B305" s="36">
        <v>794</v>
      </c>
    </row>
    <row r="306" spans="1:2" x14ac:dyDescent="0.25">
      <c r="A306" s="35" t="s">
        <v>401</v>
      </c>
      <c r="B306" s="36">
        <v>772</v>
      </c>
    </row>
    <row r="307" spans="1:2" x14ac:dyDescent="0.25">
      <c r="A307" s="35" t="s">
        <v>197</v>
      </c>
      <c r="B307" s="36">
        <v>769</v>
      </c>
    </row>
    <row r="308" spans="1:2" x14ac:dyDescent="0.25">
      <c r="A308" s="35" t="s">
        <v>206</v>
      </c>
      <c r="B308" s="36">
        <v>768</v>
      </c>
    </row>
    <row r="309" spans="1:2" x14ac:dyDescent="0.25">
      <c r="A309" s="35" t="s">
        <v>466</v>
      </c>
      <c r="B309" s="36">
        <v>766</v>
      </c>
    </row>
    <row r="310" spans="1:2" x14ac:dyDescent="0.25">
      <c r="A310" s="35" t="s">
        <v>398</v>
      </c>
      <c r="B310" s="36">
        <v>765</v>
      </c>
    </row>
    <row r="311" spans="1:2" x14ac:dyDescent="0.25">
      <c r="A311" s="35" t="s">
        <v>175</v>
      </c>
      <c r="B311" s="36">
        <v>736</v>
      </c>
    </row>
    <row r="312" spans="1:2" x14ac:dyDescent="0.25">
      <c r="A312" s="35" t="s">
        <v>102</v>
      </c>
      <c r="B312" s="36">
        <v>729</v>
      </c>
    </row>
    <row r="313" spans="1:2" x14ac:dyDescent="0.25">
      <c r="A313" s="35" t="s">
        <v>508</v>
      </c>
      <c r="B313" s="36">
        <v>727</v>
      </c>
    </row>
    <row r="314" spans="1:2" x14ac:dyDescent="0.25">
      <c r="A314" s="35" t="s">
        <v>167</v>
      </c>
      <c r="B314" s="36">
        <v>719</v>
      </c>
    </row>
    <row r="315" spans="1:2" x14ac:dyDescent="0.25">
      <c r="A315" s="35" t="s">
        <v>80</v>
      </c>
      <c r="B315" s="36">
        <v>718</v>
      </c>
    </row>
    <row r="316" spans="1:2" x14ac:dyDescent="0.25">
      <c r="A316" s="35" t="s">
        <v>130</v>
      </c>
      <c r="B316" s="36">
        <v>714</v>
      </c>
    </row>
    <row r="317" spans="1:2" x14ac:dyDescent="0.25">
      <c r="A317" s="35" t="s">
        <v>441</v>
      </c>
      <c r="B317" s="36">
        <v>712</v>
      </c>
    </row>
    <row r="318" spans="1:2" x14ac:dyDescent="0.25">
      <c r="A318" s="35" t="s">
        <v>134</v>
      </c>
      <c r="B318" s="36">
        <v>704</v>
      </c>
    </row>
    <row r="319" spans="1:2" x14ac:dyDescent="0.25">
      <c r="A319" s="35" t="s">
        <v>531</v>
      </c>
      <c r="B319" s="36">
        <v>690</v>
      </c>
    </row>
    <row r="320" spans="1:2" x14ac:dyDescent="0.25">
      <c r="A320" s="35" t="s">
        <v>308</v>
      </c>
      <c r="B320" s="36">
        <v>678</v>
      </c>
    </row>
    <row r="321" spans="1:2" x14ac:dyDescent="0.25">
      <c r="A321" s="35" t="s">
        <v>448</v>
      </c>
      <c r="B321" s="36">
        <v>673</v>
      </c>
    </row>
    <row r="322" spans="1:2" x14ac:dyDescent="0.25">
      <c r="A322" s="35" t="s">
        <v>506</v>
      </c>
      <c r="B322" s="36">
        <v>662</v>
      </c>
    </row>
    <row r="323" spans="1:2" x14ac:dyDescent="0.25">
      <c r="A323" s="35" t="s">
        <v>112</v>
      </c>
      <c r="B323" s="36">
        <v>661</v>
      </c>
    </row>
    <row r="324" spans="1:2" x14ac:dyDescent="0.25">
      <c r="A324" s="35" t="s">
        <v>144</v>
      </c>
      <c r="B324" s="36">
        <v>652</v>
      </c>
    </row>
    <row r="325" spans="1:2" x14ac:dyDescent="0.25">
      <c r="A325" s="35" t="s">
        <v>172</v>
      </c>
      <c r="B325" s="36">
        <v>640</v>
      </c>
    </row>
    <row r="326" spans="1:2" x14ac:dyDescent="0.25">
      <c r="A326" s="35" t="s">
        <v>518</v>
      </c>
      <c r="B326" s="36">
        <v>598</v>
      </c>
    </row>
    <row r="327" spans="1:2" x14ac:dyDescent="0.25">
      <c r="A327" s="35" t="s">
        <v>420</v>
      </c>
      <c r="B327" s="36">
        <v>593</v>
      </c>
    </row>
    <row r="328" spans="1:2" x14ac:dyDescent="0.25">
      <c r="A328" s="35" t="s">
        <v>392</v>
      </c>
      <c r="B328" s="36">
        <v>593</v>
      </c>
    </row>
    <row r="329" spans="1:2" x14ac:dyDescent="0.25">
      <c r="A329" s="35" t="s">
        <v>310</v>
      </c>
      <c r="B329" s="36">
        <v>544</v>
      </c>
    </row>
    <row r="330" spans="1:2" x14ac:dyDescent="0.25">
      <c r="A330" s="35" t="s">
        <v>205</v>
      </c>
      <c r="B330" s="36">
        <v>541</v>
      </c>
    </row>
    <row r="331" spans="1:2" x14ac:dyDescent="0.25">
      <c r="A331" s="35" t="s">
        <v>550</v>
      </c>
      <c r="B331" s="36">
        <v>525</v>
      </c>
    </row>
    <row r="332" spans="1:2" x14ac:dyDescent="0.25">
      <c r="A332" s="35" t="s">
        <v>198</v>
      </c>
      <c r="B332" s="36">
        <v>506</v>
      </c>
    </row>
    <row r="333" spans="1:2" x14ac:dyDescent="0.25">
      <c r="A333" s="35" t="s">
        <v>201</v>
      </c>
      <c r="B333" s="36">
        <v>503</v>
      </c>
    </row>
    <row r="334" spans="1:2" x14ac:dyDescent="0.25">
      <c r="A334" s="35" t="s">
        <v>558</v>
      </c>
      <c r="B334" s="36">
        <v>473</v>
      </c>
    </row>
    <row r="335" spans="1:2" x14ac:dyDescent="0.25">
      <c r="A335" s="35" t="s">
        <v>209</v>
      </c>
      <c r="B335" s="36">
        <v>426</v>
      </c>
    </row>
    <row r="336" spans="1:2" x14ac:dyDescent="0.25">
      <c r="A336" s="35" t="s">
        <v>165</v>
      </c>
      <c r="B336" s="36">
        <v>420</v>
      </c>
    </row>
    <row r="337" spans="1:2" x14ac:dyDescent="0.25">
      <c r="A337" s="35" t="s">
        <v>302</v>
      </c>
      <c r="B337" s="36">
        <v>419</v>
      </c>
    </row>
    <row r="338" spans="1:2" x14ac:dyDescent="0.25">
      <c r="A338" s="35" t="s">
        <v>312</v>
      </c>
      <c r="B338" s="36">
        <v>410</v>
      </c>
    </row>
    <row r="339" spans="1:2" x14ac:dyDescent="0.25">
      <c r="A339" s="35" t="s">
        <v>514</v>
      </c>
      <c r="B339" s="36">
        <v>404</v>
      </c>
    </row>
    <row r="340" spans="1:2" x14ac:dyDescent="0.25">
      <c r="A340" s="35" t="s">
        <v>317</v>
      </c>
      <c r="B340" s="36">
        <v>395</v>
      </c>
    </row>
    <row r="341" spans="1:2" x14ac:dyDescent="0.25">
      <c r="A341" s="35" t="s">
        <v>301</v>
      </c>
      <c r="B341" s="36">
        <v>387</v>
      </c>
    </row>
    <row r="342" spans="1:2" x14ac:dyDescent="0.25">
      <c r="A342" s="35" t="s">
        <v>529</v>
      </c>
      <c r="B342" s="36">
        <v>350</v>
      </c>
    </row>
    <row r="343" spans="1:2" x14ac:dyDescent="0.25">
      <c r="A343" s="35" t="s">
        <v>313</v>
      </c>
      <c r="B343" s="36">
        <v>326</v>
      </c>
    </row>
    <row r="344" spans="1:2" x14ac:dyDescent="0.25">
      <c r="A344" s="35" t="s">
        <v>570</v>
      </c>
      <c r="B344" s="36">
        <v>326</v>
      </c>
    </row>
    <row r="345" spans="1:2" x14ac:dyDescent="0.25">
      <c r="A345" s="35" t="s">
        <v>549</v>
      </c>
      <c r="B345" s="36">
        <v>244</v>
      </c>
    </row>
    <row r="346" spans="1:2" x14ac:dyDescent="0.25">
      <c r="A346" s="35" t="s">
        <v>548</v>
      </c>
      <c r="B346" s="36">
        <v>186</v>
      </c>
    </row>
    <row r="347" spans="1:2" x14ac:dyDescent="0.25">
      <c r="A347" s="35" t="s">
        <v>547</v>
      </c>
      <c r="B347" s="36">
        <v>176</v>
      </c>
    </row>
    <row r="348" spans="1:2" x14ac:dyDescent="0.25">
      <c r="A348" s="35" t="s">
        <v>561</v>
      </c>
      <c r="B348" s="36">
        <v>83</v>
      </c>
    </row>
    <row r="349" spans="1:2" x14ac:dyDescent="0.25">
      <c r="A349" s="35" t="s">
        <v>574</v>
      </c>
      <c r="B349" s="36">
        <v>41</v>
      </c>
    </row>
    <row r="350" spans="1:2" x14ac:dyDescent="0.25">
      <c r="A350" s="35" t="s">
        <v>576</v>
      </c>
      <c r="B350" s="36">
        <v>36</v>
      </c>
    </row>
    <row r="351" spans="1:2" x14ac:dyDescent="0.25">
      <c r="A351" s="35" t="s">
        <v>475</v>
      </c>
      <c r="B351" s="36">
        <v>0</v>
      </c>
    </row>
    <row r="352" spans="1:2" x14ac:dyDescent="0.25">
      <c r="A352" s="35" t="s">
        <v>584</v>
      </c>
      <c r="B352" s="36">
        <v>0</v>
      </c>
    </row>
    <row r="353" spans="1:2" x14ac:dyDescent="0.25">
      <c r="A353" s="35" t="s">
        <v>585</v>
      </c>
      <c r="B353" s="36">
        <v>0</v>
      </c>
    </row>
    <row r="354" spans="1:2" x14ac:dyDescent="0.25">
      <c r="A354" s="35" t="s">
        <v>476</v>
      </c>
      <c r="B354" s="36">
        <v>849422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70C0"/>
  </sheetPr>
  <dimension ref="A1:B66"/>
  <sheetViews>
    <sheetView workbookViewId="0">
      <selection activeCell="B8" sqref="B8"/>
    </sheetView>
  </sheetViews>
  <sheetFormatPr baseColWidth="10" defaultColWidth="9.140625" defaultRowHeight="15" x14ac:dyDescent="0.25"/>
  <cols>
    <col min="1" max="1" width="64.42578125" customWidth="1"/>
    <col min="2" max="2" width="20.42578125" bestFit="1" customWidth="1"/>
  </cols>
  <sheetData>
    <row r="1" spans="1:2" x14ac:dyDescent="0.25">
      <c r="A1" s="34" t="s">
        <v>3</v>
      </c>
      <c r="B1" t="s">
        <v>494</v>
      </c>
    </row>
    <row r="3" spans="1:2" x14ac:dyDescent="0.25">
      <c r="A3" s="34" t="s">
        <v>474</v>
      </c>
      <c r="B3" t="s">
        <v>478</v>
      </c>
    </row>
    <row r="4" spans="1:2" x14ac:dyDescent="0.25">
      <c r="A4" s="37" t="s">
        <v>552</v>
      </c>
      <c r="B4" s="38">
        <v>8917</v>
      </c>
    </row>
    <row r="5" spans="1:2" x14ac:dyDescent="0.25">
      <c r="A5" s="37" t="s">
        <v>525</v>
      </c>
      <c r="B5" s="38">
        <v>8412</v>
      </c>
    </row>
    <row r="6" spans="1:2" x14ac:dyDescent="0.25">
      <c r="A6" s="37" t="s">
        <v>507</v>
      </c>
      <c r="B6" s="38">
        <v>8307</v>
      </c>
    </row>
    <row r="7" spans="1:2" x14ac:dyDescent="0.25">
      <c r="A7" s="37" t="s">
        <v>512</v>
      </c>
      <c r="B7" s="38">
        <v>6434</v>
      </c>
    </row>
    <row r="8" spans="1:2" x14ac:dyDescent="0.25">
      <c r="A8" s="37" t="s">
        <v>538</v>
      </c>
      <c r="B8" s="38">
        <v>6411</v>
      </c>
    </row>
    <row r="9" spans="1:2" x14ac:dyDescent="0.25">
      <c r="A9" s="35" t="s">
        <v>577</v>
      </c>
      <c r="B9" s="36">
        <v>5226</v>
      </c>
    </row>
    <row r="10" spans="1:2" x14ac:dyDescent="0.25">
      <c r="A10" s="35" t="s">
        <v>521</v>
      </c>
      <c r="B10" s="36">
        <v>4307</v>
      </c>
    </row>
    <row r="11" spans="1:2" x14ac:dyDescent="0.25">
      <c r="A11" s="35" t="s">
        <v>528</v>
      </c>
      <c r="B11" s="36">
        <v>4093</v>
      </c>
    </row>
    <row r="12" spans="1:2" x14ac:dyDescent="0.25">
      <c r="A12" s="35" t="s">
        <v>579</v>
      </c>
      <c r="B12" s="36">
        <v>4048</v>
      </c>
    </row>
    <row r="13" spans="1:2" x14ac:dyDescent="0.25">
      <c r="A13" s="35" t="s">
        <v>309</v>
      </c>
      <c r="B13" s="36">
        <v>3932</v>
      </c>
    </row>
    <row r="14" spans="1:2" x14ac:dyDescent="0.25">
      <c r="A14" s="35" t="s">
        <v>504</v>
      </c>
      <c r="B14" s="36">
        <v>3737</v>
      </c>
    </row>
    <row r="15" spans="1:2" x14ac:dyDescent="0.25">
      <c r="A15" s="35" t="s">
        <v>544</v>
      </c>
      <c r="B15" s="36">
        <v>3677</v>
      </c>
    </row>
    <row r="16" spans="1:2" x14ac:dyDescent="0.25">
      <c r="A16" s="35" t="s">
        <v>546</v>
      </c>
      <c r="B16" s="36">
        <v>3440</v>
      </c>
    </row>
    <row r="17" spans="1:2" x14ac:dyDescent="0.25">
      <c r="A17" s="35" t="s">
        <v>522</v>
      </c>
      <c r="B17" s="36">
        <v>3323</v>
      </c>
    </row>
    <row r="18" spans="1:2" x14ac:dyDescent="0.25">
      <c r="A18" s="35" t="s">
        <v>536</v>
      </c>
      <c r="B18" s="36">
        <v>3224</v>
      </c>
    </row>
    <row r="19" spans="1:2" x14ac:dyDescent="0.25">
      <c r="A19" s="35" t="s">
        <v>537</v>
      </c>
      <c r="B19" s="36">
        <v>3133</v>
      </c>
    </row>
    <row r="20" spans="1:2" x14ac:dyDescent="0.25">
      <c r="A20" s="35" t="s">
        <v>520</v>
      </c>
      <c r="B20" s="36">
        <v>2783</v>
      </c>
    </row>
    <row r="21" spans="1:2" x14ac:dyDescent="0.25">
      <c r="A21" s="35" t="s">
        <v>517</v>
      </c>
      <c r="B21" s="36">
        <v>2705</v>
      </c>
    </row>
    <row r="22" spans="1:2" x14ac:dyDescent="0.25">
      <c r="A22" s="35" t="s">
        <v>556</v>
      </c>
      <c r="B22" s="36">
        <v>2336</v>
      </c>
    </row>
    <row r="23" spans="1:2" x14ac:dyDescent="0.25">
      <c r="A23" s="35" t="s">
        <v>530</v>
      </c>
      <c r="B23" s="36">
        <v>2196</v>
      </c>
    </row>
    <row r="24" spans="1:2" x14ac:dyDescent="0.25">
      <c r="A24" s="35" t="s">
        <v>534</v>
      </c>
      <c r="B24" s="36">
        <v>2159</v>
      </c>
    </row>
    <row r="25" spans="1:2" x14ac:dyDescent="0.25">
      <c r="A25" s="35" t="s">
        <v>563</v>
      </c>
      <c r="B25" s="36">
        <v>2117</v>
      </c>
    </row>
    <row r="26" spans="1:2" x14ac:dyDescent="0.25">
      <c r="A26" s="35" t="s">
        <v>581</v>
      </c>
      <c r="B26" s="36">
        <v>2088</v>
      </c>
    </row>
    <row r="27" spans="1:2" x14ac:dyDescent="0.25">
      <c r="A27" s="35" t="s">
        <v>565</v>
      </c>
      <c r="B27" s="36">
        <v>1892</v>
      </c>
    </row>
    <row r="28" spans="1:2" x14ac:dyDescent="0.25">
      <c r="A28" s="35" t="s">
        <v>572</v>
      </c>
      <c r="B28" s="36">
        <v>1845</v>
      </c>
    </row>
    <row r="29" spans="1:2" x14ac:dyDescent="0.25">
      <c r="A29" s="35" t="s">
        <v>543</v>
      </c>
      <c r="B29" s="36">
        <v>1829</v>
      </c>
    </row>
    <row r="30" spans="1:2" x14ac:dyDescent="0.25">
      <c r="A30" s="35" t="s">
        <v>567</v>
      </c>
      <c r="B30" s="36">
        <v>1794</v>
      </c>
    </row>
    <row r="31" spans="1:2" x14ac:dyDescent="0.25">
      <c r="A31" s="35" t="s">
        <v>539</v>
      </c>
      <c r="B31" s="36">
        <v>1784</v>
      </c>
    </row>
    <row r="32" spans="1:2" x14ac:dyDescent="0.25">
      <c r="A32" s="35" t="s">
        <v>503</v>
      </c>
      <c r="B32" s="36">
        <v>1780</v>
      </c>
    </row>
    <row r="33" spans="1:2" x14ac:dyDescent="0.25">
      <c r="A33" s="35" t="s">
        <v>545</v>
      </c>
      <c r="B33" s="36">
        <v>1779</v>
      </c>
    </row>
    <row r="34" spans="1:2" x14ac:dyDescent="0.25">
      <c r="A34" s="35" t="s">
        <v>523</v>
      </c>
      <c r="B34" s="36">
        <v>1770</v>
      </c>
    </row>
    <row r="35" spans="1:2" x14ac:dyDescent="0.25">
      <c r="A35" s="35" t="s">
        <v>582</v>
      </c>
      <c r="B35" s="36">
        <v>1682</v>
      </c>
    </row>
    <row r="36" spans="1:2" x14ac:dyDescent="0.25">
      <c r="A36" s="35" t="s">
        <v>541</v>
      </c>
      <c r="B36" s="36">
        <v>1641</v>
      </c>
    </row>
    <row r="37" spans="1:2" x14ac:dyDescent="0.25">
      <c r="A37" s="35" t="s">
        <v>580</v>
      </c>
      <c r="B37" s="36">
        <v>1629</v>
      </c>
    </row>
    <row r="38" spans="1:2" x14ac:dyDescent="0.25">
      <c r="A38" s="35" t="s">
        <v>542</v>
      </c>
      <c r="B38" s="36">
        <v>1527</v>
      </c>
    </row>
    <row r="39" spans="1:2" x14ac:dyDescent="0.25">
      <c r="A39" s="35" t="s">
        <v>519</v>
      </c>
      <c r="B39" s="36">
        <v>1401</v>
      </c>
    </row>
    <row r="40" spans="1:2" x14ac:dyDescent="0.25">
      <c r="A40" s="35" t="s">
        <v>583</v>
      </c>
      <c r="B40" s="36">
        <v>1381</v>
      </c>
    </row>
    <row r="41" spans="1:2" x14ac:dyDescent="0.25">
      <c r="A41" s="35" t="s">
        <v>526</v>
      </c>
      <c r="B41" s="36">
        <v>1351</v>
      </c>
    </row>
    <row r="42" spans="1:2" x14ac:dyDescent="0.25">
      <c r="A42" s="35" t="s">
        <v>553</v>
      </c>
      <c r="B42" s="36">
        <v>1310</v>
      </c>
    </row>
    <row r="43" spans="1:2" x14ac:dyDescent="0.25">
      <c r="A43" s="35" t="s">
        <v>532</v>
      </c>
      <c r="B43" s="36">
        <v>1297</v>
      </c>
    </row>
    <row r="44" spans="1:2" x14ac:dyDescent="0.25">
      <c r="A44" s="35" t="s">
        <v>511</v>
      </c>
      <c r="B44" s="36">
        <v>1226</v>
      </c>
    </row>
    <row r="45" spans="1:2" x14ac:dyDescent="0.25">
      <c r="A45" s="35" t="s">
        <v>533</v>
      </c>
      <c r="B45" s="36">
        <v>1161</v>
      </c>
    </row>
    <row r="46" spans="1:2" x14ac:dyDescent="0.25">
      <c r="A46" s="35" t="s">
        <v>571</v>
      </c>
      <c r="B46" s="36">
        <v>1016</v>
      </c>
    </row>
    <row r="47" spans="1:2" x14ac:dyDescent="0.25">
      <c r="A47" s="35" t="s">
        <v>535</v>
      </c>
      <c r="B47" s="36">
        <v>848</v>
      </c>
    </row>
    <row r="48" spans="1:2" x14ac:dyDescent="0.25">
      <c r="A48" s="35" t="s">
        <v>527</v>
      </c>
      <c r="B48" s="36">
        <v>834</v>
      </c>
    </row>
    <row r="49" spans="1:2" x14ac:dyDescent="0.25">
      <c r="A49" s="35" t="s">
        <v>508</v>
      </c>
      <c r="B49" s="36">
        <v>727</v>
      </c>
    </row>
    <row r="50" spans="1:2" x14ac:dyDescent="0.25">
      <c r="A50" s="35" t="s">
        <v>531</v>
      </c>
      <c r="B50" s="36">
        <v>690</v>
      </c>
    </row>
    <row r="51" spans="1:2" x14ac:dyDescent="0.25">
      <c r="A51" s="35" t="s">
        <v>506</v>
      </c>
      <c r="B51" s="36">
        <v>662</v>
      </c>
    </row>
    <row r="52" spans="1:2" x14ac:dyDescent="0.25">
      <c r="A52" s="35" t="s">
        <v>518</v>
      </c>
      <c r="B52" s="36">
        <v>598</v>
      </c>
    </row>
    <row r="53" spans="1:2" x14ac:dyDescent="0.25">
      <c r="A53" s="35" t="s">
        <v>550</v>
      </c>
      <c r="B53" s="36">
        <v>525</v>
      </c>
    </row>
    <row r="54" spans="1:2" x14ac:dyDescent="0.25">
      <c r="A54" s="35" t="s">
        <v>558</v>
      </c>
      <c r="B54" s="36">
        <v>473</v>
      </c>
    </row>
    <row r="55" spans="1:2" x14ac:dyDescent="0.25">
      <c r="A55" s="35" t="s">
        <v>514</v>
      </c>
      <c r="B55" s="36">
        <v>404</v>
      </c>
    </row>
    <row r="56" spans="1:2" x14ac:dyDescent="0.25">
      <c r="A56" s="35" t="s">
        <v>529</v>
      </c>
      <c r="B56" s="36">
        <v>350</v>
      </c>
    </row>
    <row r="57" spans="1:2" x14ac:dyDescent="0.25">
      <c r="A57" s="35" t="s">
        <v>570</v>
      </c>
      <c r="B57" s="36">
        <v>326</v>
      </c>
    </row>
    <row r="58" spans="1:2" x14ac:dyDescent="0.25">
      <c r="A58" s="35" t="s">
        <v>549</v>
      </c>
      <c r="B58" s="36">
        <v>244</v>
      </c>
    </row>
    <row r="59" spans="1:2" x14ac:dyDescent="0.25">
      <c r="A59" s="35" t="s">
        <v>548</v>
      </c>
      <c r="B59" s="36">
        <v>186</v>
      </c>
    </row>
    <row r="60" spans="1:2" x14ac:dyDescent="0.25">
      <c r="A60" s="35" t="s">
        <v>547</v>
      </c>
      <c r="B60" s="36">
        <v>176</v>
      </c>
    </row>
    <row r="61" spans="1:2" x14ac:dyDescent="0.25">
      <c r="A61" s="35" t="s">
        <v>561</v>
      </c>
      <c r="B61" s="36">
        <v>83</v>
      </c>
    </row>
    <row r="62" spans="1:2" x14ac:dyDescent="0.25">
      <c r="A62" s="35" t="s">
        <v>574</v>
      </c>
      <c r="B62" s="36">
        <v>41</v>
      </c>
    </row>
    <row r="63" spans="1:2" x14ac:dyDescent="0.25">
      <c r="A63" s="35" t="s">
        <v>576</v>
      </c>
      <c r="B63" s="36">
        <v>36</v>
      </c>
    </row>
    <row r="64" spans="1:2" x14ac:dyDescent="0.25">
      <c r="A64" s="35" t="s">
        <v>584</v>
      </c>
      <c r="B64" s="36">
        <v>0</v>
      </c>
    </row>
    <row r="65" spans="1:2" x14ac:dyDescent="0.25">
      <c r="A65" s="35" t="s">
        <v>585</v>
      </c>
      <c r="B65" s="36">
        <v>0</v>
      </c>
    </row>
    <row r="66" spans="1:2" x14ac:dyDescent="0.25">
      <c r="A66" s="35" t="s">
        <v>476</v>
      </c>
      <c r="B66" s="36">
        <v>135303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002060"/>
  </sheetPr>
  <dimension ref="B1:O1004"/>
  <sheetViews>
    <sheetView workbookViewId="0">
      <selection activeCell="H9" sqref="H9:H1004"/>
    </sheetView>
  </sheetViews>
  <sheetFormatPr baseColWidth="10" defaultColWidth="9.140625" defaultRowHeight="15" x14ac:dyDescent="0.25"/>
  <cols>
    <col min="2" max="2" width="12.28515625" customWidth="1"/>
    <col min="3" max="3" width="12.140625" customWidth="1"/>
    <col min="7" max="7" width="10.42578125" bestFit="1" customWidth="1"/>
    <col min="15" max="15" width="9.7109375" bestFit="1" customWidth="1"/>
  </cols>
  <sheetData>
    <row r="1" spans="2:15" ht="18.75" x14ac:dyDescent="0.3">
      <c r="M1" s="168" t="s">
        <v>500</v>
      </c>
      <c r="N1" s="100" t="s">
        <v>41</v>
      </c>
      <c r="O1" s="105">
        <f>C8/J8</f>
        <v>0.65921787709497204</v>
      </c>
    </row>
    <row r="2" spans="2:15" ht="18.75" x14ac:dyDescent="0.3">
      <c r="M2" s="168"/>
      <c r="N2" s="100" t="s">
        <v>40</v>
      </c>
      <c r="O2" s="105">
        <f>D8/J8</f>
        <v>0.21787709497206703</v>
      </c>
    </row>
    <row r="3" spans="2:15" ht="18.75" x14ac:dyDescent="0.3">
      <c r="M3" s="168"/>
      <c r="N3" s="100" t="s">
        <v>36</v>
      </c>
      <c r="O3" s="105">
        <f>E8/J8</f>
        <v>5.8659217877094973E-2</v>
      </c>
    </row>
    <row r="4" spans="2:15" ht="18.75" x14ac:dyDescent="0.3">
      <c r="M4" s="168"/>
      <c r="N4" s="100" t="s">
        <v>38</v>
      </c>
      <c r="O4" s="105">
        <f>F8/J8</f>
        <v>1.6759776536312849E-2</v>
      </c>
    </row>
    <row r="5" spans="2:15" ht="18.75" x14ac:dyDescent="0.3">
      <c r="M5" s="168"/>
      <c r="N5" s="100" t="s">
        <v>37</v>
      </c>
      <c r="O5" s="105">
        <f>G8/J8</f>
        <v>4.189944134078212E-2</v>
      </c>
    </row>
    <row r="6" spans="2:15" ht="19.5" thickBot="1" x14ac:dyDescent="0.35">
      <c r="M6" s="168"/>
      <c r="N6" s="100" t="s">
        <v>39</v>
      </c>
      <c r="O6" s="105">
        <f>H8/J8</f>
        <v>5.5865921787709499E-3</v>
      </c>
    </row>
    <row r="7" spans="2:15" ht="54" thickBot="1" x14ac:dyDescent="0.3">
      <c r="B7" s="49" t="s">
        <v>479</v>
      </c>
      <c r="C7" s="50" t="s">
        <v>41</v>
      </c>
      <c r="D7" s="50" t="s">
        <v>40</v>
      </c>
      <c r="E7" s="50" t="s">
        <v>36</v>
      </c>
      <c r="F7" s="50" t="s">
        <v>38</v>
      </c>
      <c r="G7" s="50" t="s">
        <v>37</v>
      </c>
      <c r="H7" s="50" t="s">
        <v>39</v>
      </c>
      <c r="J7" s="51" t="s">
        <v>480</v>
      </c>
    </row>
    <row r="8" spans="2:15" ht="35.25" customHeight="1" thickBot="1" x14ac:dyDescent="0.3">
      <c r="B8" s="49" t="s">
        <v>481</v>
      </c>
      <c r="C8" s="123">
        <f>SUM(C9:C1026)</f>
        <v>236</v>
      </c>
      <c r="D8" s="123">
        <f t="shared" ref="D8:F8" si="0">SUBTOTAL(9,D9:D1157)</f>
        <v>78</v>
      </c>
      <c r="E8" s="123">
        <f t="shared" si="0"/>
        <v>21</v>
      </c>
      <c r="F8" s="123">
        <f t="shared" si="0"/>
        <v>6</v>
      </c>
      <c r="G8" s="123">
        <f>SUBTOTAL(9,G9:G708)</f>
        <v>15</v>
      </c>
      <c r="H8" s="123">
        <f>SUBTOTAL(9,H13:H1161)</f>
        <v>2</v>
      </c>
      <c r="J8" s="124">
        <f>SUM(C8:I8)</f>
        <v>358</v>
      </c>
    </row>
    <row r="9" spans="2:15" x14ac:dyDescent="0.25">
      <c r="B9" s="48">
        <f>+'Metrics - Articles'!C8</f>
        <v>42005</v>
      </c>
      <c r="C9">
        <f>COUNTIF('Metrics - Articles'!H8,"*Global*")</f>
        <v>1</v>
      </c>
      <c r="D9">
        <f>COUNTIF('Metrics - Articles'!H8,"*EMEA*")</f>
        <v>0</v>
      </c>
      <c r="E9">
        <f>COUNTIF('Metrics - Articles'!H8,"*NA*")</f>
        <v>0</v>
      </c>
      <c r="F9">
        <f>COUNTIF('Metrics - Articles'!H8,"*APJ")</f>
        <v>0</v>
      </c>
      <c r="G9">
        <f>COUNTIF('Metrics - Articles'!H8,"*LATAM*")</f>
        <v>0</v>
      </c>
      <c r="H9">
        <f>COUNTIF('Metrics - Articles'!H8,"*China*")</f>
        <v>0</v>
      </c>
      <c r="J9" s="53">
        <f>SUM(C9:I9)</f>
        <v>1</v>
      </c>
    </row>
    <row r="10" spans="2:15" x14ac:dyDescent="0.25">
      <c r="B10" s="48">
        <f>+'Metrics - Articles'!C9</f>
        <v>42005</v>
      </c>
      <c r="C10">
        <f>COUNTIF('Metrics - Articles'!H9,"*Global*")</f>
        <v>1</v>
      </c>
      <c r="D10">
        <f>COUNTIF('Metrics - Articles'!H9,"*EMEA*")</f>
        <v>0</v>
      </c>
      <c r="E10">
        <f>COUNTIF('Metrics - Articles'!H9,"*NA*")</f>
        <v>0</v>
      </c>
      <c r="F10">
        <f>COUNTIF('Metrics - Articles'!H9,"*APJ")</f>
        <v>0</v>
      </c>
      <c r="G10">
        <f>COUNTIF('Metrics - Articles'!H9,"*LATAM*")</f>
        <v>0</v>
      </c>
      <c r="H10">
        <f>COUNTIF('Metrics - Articles'!H9,"*China*")</f>
        <v>0</v>
      </c>
      <c r="J10" s="53">
        <f t="shared" ref="J10:J73" si="1">SUM(C10:I10)</f>
        <v>1</v>
      </c>
    </row>
    <row r="11" spans="2:15" x14ac:dyDescent="0.25">
      <c r="B11" s="48">
        <f>+'Metrics - Articles'!C10</f>
        <v>42005</v>
      </c>
      <c r="C11">
        <f>COUNTIF('Metrics - Articles'!H10,"*Global*")</f>
        <v>1</v>
      </c>
      <c r="D11">
        <f>COUNTIF('Metrics - Articles'!H10,"*EMEA*")</f>
        <v>0</v>
      </c>
      <c r="E11">
        <f>COUNTIF('Metrics - Articles'!H10,"*NA*")</f>
        <v>0</v>
      </c>
      <c r="F11">
        <f>COUNTIF('Metrics - Articles'!H10,"*APJ")</f>
        <v>0</v>
      </c>
      <c r="G11">
        <f>COUNTIF('Metrics - Articles'!H10,"*LATAM*")</f>
        <v>0</v>
      </c>
      <c r="H11">
        <f>COUNTIF('Metrics - Articles'!H10,"*China*")</f>
        <v>0</v>
      </c>
      <c r="J11" s="53">
        <f t="shared" si="1"/>
        <v>1</v>
      </c>
    </row>
    <row r="12" spans="2:15" ht="15" customHeight="1" x14ac:dyDescent="0.25">
      <c r="B12" s="48">
        <f>+'Metrics - Articles'!C11</f>
        <v>42006</v>
      </c>
      <c r="C12">
        <f>COUNTIF('Metrics - Articles'!H11,"*Global*")</f>
        <v>1</v>
      </c>
      <c r="D12">
        <f>COUNTIF('Metrics - Articles'!H11,"*EMEA*")</f>
        <v>0</v>
      </c>
      <c r="E12">
        <f>COUNTIF('Metrics - Articles'!H11,"*NA*")</f>
        <v>0</v>
      </c>
      <c r="F12">
        <f>COUNTIF('Metrics - Articles'!H11,"*APJ")</f>
        <v>0</v>
      </c>
      <c r="G12">
        <f>COUNTIF('Metrics - Articles'!H11,"*LATAM*")</f>
        <v>0</v>
      </c>
      <c r="H12">
        <f>COUNTIF('Metrics - Articles'!H11,"*China*")</f>
        <v>0</v>
      </c>
      <c r="J12" s="53">
        <f t="shared" si="1"/>
        <v>1</v>
      </c>
    </row>
    <row r="13" spans="2:15" x14ac:dyDescent="0.25">
      <c r="B13" s="48">
        <f>+'Metrics - Articles'!C12</f>
        <v>42009</v>
      </c>
      <c r="C13">
        <f>COUNTIF('Metrics - Articles'!H12,"*Global*")</f>
        <v>1</v>
      </c>
      <c r="D13">
        <f>COUNTIF('Metrics - Articles'!H12,"*EMEA*")</f>
        <v>0</v>
      </c>
      <c r="E13">
        <f>COUNTIF('Metrics - Articles'!H12,"*NA*")</f>
        <v>0</v>
      </c>
      <c r="F13">
        <f>COUNTIF('Metrics - Articles'!H12,"*APJ")</f>
        <v>0</v>
      </c>
      <c r="G13">
        <f>COUNTIF('Metrics - Articles'!H12,"*LATAM*")</f>
        <v>0</v>
      </c>
      <c r="H13">
        <f>COUNTIF('Metrics - Articles'!H12,"*China*")</f>
        <v>0</v>
      </c>
      <c r="J13" s="53">
        <f t="shared" si="1"/>
        <v>1</v>
      </c>
    </row>
    <row r="14" spans="2:15" x14ac:dyDescent="0.25">
      <c r="B14" s="48">
        <f>+'Metrics - Articles'!C13</f>
        <v>42010</v>
      </c>
      <c r="C14">
        <f>COUNTIF('Metrics - Articles'!H13,"*Global*")</f>
        <v>1</v>
      </c>
      <c r="D14">
        <f>COUNTIF('Metrics - Articles'!H13,"*EMEA*")</f>
        <v>0</v>
      </c>
      <c r="E14">
        <f>COUNTIF('Metrics - Articles'!H13,"*NA*")</f>
        <v>0</v>
      </c>
      <c r="F14">
        <f>COUNTIF('Metrics - Articles'!H13,"*APJ")</f>
        <v>0</v>
      </c>
      <c r="G14">
        <f>COUNTIF('Metrics - Articles'!H13,"*LATAM*")</f>
        <v>0</v>
      </c>
      <c r="H14">
        <f>COUNTIF('Metrics - Articles'!H13,"*China*")</f>
        <v>0</v>
      </c>
      <c r="J14" s="53">
        <f t="shared" si="1"/>
        <v>1</v>
      </c>
    </row>
    <row r="15" spans="2:15" x14ac:dyDescent="0.25">
      <c r="B15" s="48">
        <f>+'Metrics - Articles'!C14</f>
        <v>42013</v>
      </c>
      <c r="C15">
        <f>COUNTIF('Metrics - Articles'!H14,"*Global*")</f>
        <v>1</v>
      </c>
      <c r="D15">
        <f>COUNTIF('Metrics - Articles'!H14,"*EMEA*")</f>
        <v>0</v>
      </c>
      <c r="E15">
        <f>COUNTIF('Metrics - Articles'!H14,"*NA*")</f>
        <v>0</v>
      </c>
      <c r="F15">
        <f>COUNTIF('Metrics - Articles'!H14,"*APJ")</f>
        <v>0</v>
      </c>
      <c r="G15">
        <f>COUNTIF('Metrics - Articles'!H14,"*LATAM*")</f>
        <v>0</v>
      </c>
      <c r="H15">
        <f>COUNTIF('Metrics - Articles'!H14,"*China*")</f>
        <v>0</v>
      </c>
      <c r="J15" s="53">
        <f t="shared" si="1"/>
        <v>1</v>
      </c>
    </row>
    <row r="16" spans="2:15" x14ac:dyDescent="0.25">
      <c r="B16" s="48">
        <f>+'Metrics - Articles'!C15</f>
        <v>42013</v>
      </c>
      <c r="C16">
        <f>COUNTIF('Metrics - Articles'!H15,"*Global*")</f>
        <v>1</v>
      </c>
      <c r="D16">
        <f>COUNTIF('Metrics - Articles'!H15,"*EMEA*")</f>
        <v>0</v>
      </c>
      <c r="E16">
        <f>COUNTIF('Metrics - Articles'!H15,"*NA*")</f>
        <v>0</v>
      </c>
      <c r="F16">
        <f>COUNTIF('Metrics - Articles'!H15,"*APJ")</f>
        <v>0</v>
      </c>
      <c r="G16">
        <f>COUNTIF('Metrics - Articles'!H15,"*LATAM*")</f>
        <v>0</v>
      </c>
      <c r="H16">
        <f>COUNTIF('Metrics - Articles'!H15,"*China*")</f>
        <v>0</v>
      </c>
      <c r="J16" s="53">
        <f t="shared" si="1"/>
        <v>1</v>
      </c>
    </row>
    <row r="17" spans="2:10" x14ac:dyDescent="0.25">
      <c r="B17" s="48">
        <f>+'Metrics - Articles'!C16</f>
        <v>42016</v>
      </c>
      <c r="C17">
        <f>COUNTIF('Metrics - Articles'!H16,"*Global*")</f>
        <v>1</v>
      </c>
      <c r="D17">
        <f>COUNTIF('Metrics - Articles'!H16,"*EMEA*")</f>
        <v>0</v>
      </c>
      <c r="E17">
        <f>COUNTIF('Metrics - Articles'!H16,"*NA*")</f>
        <v>0</v>
      </c>
      <c r="F17">
        <f>COUNTIF('Metrics - Articles'!H16,"*APJ")</f>
        <v>0</v>
      </c>
      <c r="G17">
        <f>COUNTIF('Metrics - Articles'!H16,"*LATAM*")</f>
        <v>0</v>
      </c>
      <c r="H17">
        <f>COUNTIF('Metrics - Articles'!H16,"*China*")</f>
        <v>0</v>
      </c>
      <c r="J17" s="53">
        <f t="shared" si="1"/>
        <v>1</v>
      </c>
    </row>
    <row r="18" spans="2:10" x14ac:dyDescent="0.25">
      <c r="B18" s="48">
        <f>+'Metrics - Articles'!C17</f>
        <v>42016</v>
      </c>
      <c r="C18">
        <f>COUNTIF('Metrics - Articles'!H17,"*Global*")</f>
        <v>1</v>
      </c>
      <c r="D18">
        <f>COUNTIF('Metrics - Articles'!H17,"*EMEA*")</f>
        <v>0</v>
      </c>
      <c r="E18">
        <f>COUNTIF('Metrics - Articles'!H17,"*NA*")</f>
        <v>0</v>
      </c>
      <c r="F18">
        <f>COUNTIF('Metrics - Articles'!H17,"*APJ")</f>
        <v>0</v>
      </c>
      <c r="G18">
        <f>COUNTIF('Metrics - Articles'!H17,"*LATAM*")</f>
        <v>0</v>
      </c>
      <c r="H18">
        <f>COUNTIF('Metrics - Articles'!H17,"*China*")</f>
        <v>0</v>
      </c>
      <c r="J18" s="53">
        <f t="shared" si="1"/>
        <v>1</v>
      </c>
    </row>
    <row r="19" spans="2:10" x14ac:dyDescent="0.25">
      <c r="B19" s="48">
        <f>+'Metrics - Articles'!C18</f>
        <v>42019</v>
      </c>
      <c r="C19">
        <f>COUNTIF('Metrics - Articles'!H18,"*Global*")</f>
        <v>1</v>
      </c>
      <c r="D19">
        <f>COUNTIF('Metrics - Articles'!H18,"*EMEA*")</f>
        <v>0</v>
      </c>
      <c r="E19">
        <f>COUNTIF('Metrics - Articles'!H18,"*NA*")</f>
        <v>0</v>
      </c>
      <c r="F19">
        <f>COUNTIF('Metrics - Articles'!H18,"*APJ")</f>
        <v>0</v>
      </c>
      <c r="G19">
        <f>COUNTIF('Metrics - Articles'!H18,"*LATAM*")</f>
        <v>0</v>
      </c>
      <c r="H19">
        <f>COUNTIF('Metrics - Articles'!H18,"*China*")</f>
        <v>0</v>
      </c>
      <c r="J19" s="53">
        <f t="shared" si="1"/>
        <v>1</v>
      </c>
    </row>
    <row r="20" spans="2:10" x14ac:dyDescent="0.25">
      <c r="B20" s="48">
        <f>+'Metrics - Articles'!C19</f>
        <v>42019</v>
      </c>
      <c r="C20">
        <f>COUNTIF('Metrics - Articles'!H19,"*Global*")</f>
        <v>1</v>
      </c>
      <c r="D20">
        <f>COUNTIF('Metrics - Articles'!H19,"*EMEA*")</f>
        <v>0</v>
      </c>
      <c r="E20">
        <f>COUNTIF('Metrics - Articles'!H19,"*NA*")</f>
        <v>0</v>
      </c>
      <c r="F20">
        <f>COUNTIF('Metrics - Articles'!H19,"*APJ")</f>
        <v>0</v>
      </c>
      <c r="G20">
        <f>COUNTIF('Metrics - Articles'!H19,"*LATAM*")</f>
        <v>0</v>
      </c>
      <c r="H20">
        <f>COUNTIF('Metrics - Articles'!H19,"*China*")</f>
        <v>0</v>
      </c>
      <c r="J20" s="53">
        <f t="shared" si="1"/>
        <v>1</v>
      </c>
    </row>
    <row r="21" spans="2:10" x14ac:dyDescent="0.25">
      <c r="B21" s="48">
        <f>+'Metrics - Articles'!C20</f>
        <v>42020</v>
      </c>
      <c r="C21">
        <f>COUNTIF('Metrics - Articles'!H20,"*Global*")</f>
        <v>1</v>
      </c>
      <c r="D21">
        <f>COUNTIF('Metrics - Articles'!H20,"*EMEA*")</f>
        <v>0</v>
      </c>
      <c r="E21">
        <f>COUNTIF('Metrics - Articles'!H20,"*NA*")</f>
        <v>0</v>
      </c>
      <c r="F21">
        <f>COUNTIF('Metrics - Articles'!H20,"*APJ")</f>
        <v>0</v>
      </c>
      <c r="G21">
        <f>COUNTIF('Metrics - Articles'!H20,"*LATAM*")</f>
        <v>0</v>
      </c>
      <c r="H21">
        <f>COUNTIF('Metrics - Articles'!H20,"*China*")</f>
        <v>0</v>
      </c>
      <c r="J21" s="53">
        <f t="shared" si="1"/>
        <v>1</v>
      </c>
    </row>
    <row r="22" spans="2:10" x14ac:dyDescent="0.25">
      <c r="B22" s="48">
        <f>+'Metrics - Articles'!C21</f>
        <v>42023</v>
      </c>
      <c r="C22">
        <f>COUNTIF('Metrics - Articles'!H21,"*Global*")</f>
        <v>1</v>
      </c>
      <c r="D22">
        <f>COUNTIF('Metrics - Articles'!H21,"*EMEA*")</f>
        <v>0</v>
      </c>
      <c r="E22">
        <f>COUNTIF('Metrics - Articles'!H21,"*NA*")</f>
        <v>0</v>
      </c>
      <c r="F22">
        <f>COUNTIF('Metrics - Articles'!H21,"*APJ")</f>
        <v>0</v>
      </c>
      <c r="G22">
        <f>COUNTIF('Metrics - Articles'!H21,"*LATAM*")</f>
        <v>0</v>
      </c>
      <c r="H22">
        <f>COUNTIF('Metrics - Articles'!H21,"*China*")</f>
        <v>0</v>
      </c>
      <c r="J22" s="53">
        <f t="shared" si="1"/>
        <v>1</v>
      </c>
    </row>
    <row r="23" spans="2:10" x14ac:dyDescent="0.25">
      <c r="B23" s="48">
        <f>+'Metrics - Articles'!C22</f>
        <v>42023</v>
      </c>
      <c r="C23">
        <f>COUNTIF('Metrics - Articles'!H22,"*Global*")</f>
        <v>0</v>
      </c>
      <c r="D23">
        <f>COUNTIF('Metrics - Articles'!H22,"*EMEA*")</f>
        <v>1</v>
      </c>
      <c r="E23">
        <f>COUNTIF('Metrics - Articles'!H22,"*NA*")</f>
        <v>0</v>
      </c>
      <c r="F23">
        <f>COUNTIF('Metrics - Articles'!H22,"*APJ")</f>
        <v>0</v>
      </c>
      <c r="G23">
        <f>COUNTIF('Metrics - Articles'!H22,"*LATAM*")</f>
        <v>0</v>
      </c>
      <c r="H23">
        <f>COUNTIF('Metrics - Articles'!H22,"*China*")</f>
        <v>0</v>
      </c>
      <c r="J23" s="53">
        <f t="shared" si="1"/>
        <v>1</v>
      </c>
    </row>
    <row r="24" spans="2:10" x14ac:dyDescent="0.25">
      <c r="B24" s="48">
        <f>+'Metrics - Articles'!C23</f>
        <v>42024</v>
      </c>
      <c r="C24">
        <f>COUNTIF('Metrics - Articles'!H23,"*Global*")</f>
        <v>1</v>
      </c>
      <c r="D24">
        <f>COUNTIF('Metrics - Articles'!H23,"*EMEA*")</f>
        <v>0</v>
      </c>
      <c r="E24">
        <f>COUNTIF('Metrics - Articles'!H23,"*NA*")</f>
        <v>0</v>
      </c>
      <c r="F24">
        <f>COUNTIF('Metrics - Articles'!H23,"*APJ")</f>
        <v>0</v>
      </c>
      <c r="G24">
        <f>COUNTIF('Metrics - Articles'!H23,"*LATAM*")</f>
        <v>0</v>
      </c>
      <c r="H24">
        <f>COUNTIF('Metrics - Articles'!H23,"*China*")</f>
        <v>0</v>
      </c>
      <c r="J24" s="53">
        <f t="shared" si="1"/>
        <v>1</v>
      </c>
    </row>
    <row r="25" spans="2:10" x14ac:dyDescent="0.25">
      <c r="B25" s="48">
        <f>+'Metrics - Articles'!C24</f>
        <v>42024</v>
      </c>
      <c r="C25">
        <f>COUNTIF('Metrics - Articles'!H24,"*Global*")</f>
        <v>1</v>
      </c>
      <c r="D25">
        <f>COUNTIF('Metrics - Articles'!H24,"*EMEA*")</f>
        <v>0</v>
      </c>
      <c r="E25">
        <f>COUNTIF('Metrics - Articles'!H24,"*NA*")</f>
        <v>0</v>
      </c>
      <c r="F25">
        <f>COUNTIF('Metrics - Articles'!H24,"*APJ")</f>
        <v>0</v>
      </c>
      <c r="G25">
        <f>COUNTIF('Metrics - Articles'!H24,"*LATAM*")</f>
        <v>0</v>
      </c>
      <c r="H25">
        <f>COUNTIF('Metrics - Articles'!H24,"*China*")</f>
        <v>0</v>
      </c>
      <c r="J25" s="53">
        <f t="shared" si="1"/>
        <v>1</v>
      </c>
    </row>
    <row r="26" spans="2:10" x14ac:dyDescent="0.25">
      <c r="B26" s="48">
        <f>+'Metrics - Articles'!C25</f>
        <v>42025</v>
      </c>
      <c r="C26">
        <f>COUNTIF('Metrics - Articles'!H25,"*Global*")</f>
        <v>1</v>
      </c>
      <c r="D26">
        <f>COUNTIF('Metrics - Articles'!H25,"*EMEA*")</f>
        <v>0</v>
      </c>
      <c r="E26">
        <f>COUNTIF('Metrics - Articles'!H25,"*NA*")</f>
        <v>0</v>
      </c>
      <c r="F26">
        <f>COUNTIF('Metrics - Articles'!H25,"*APJ")</f>
        <v>0</v>
      </c>
      <c r="G26">
        <f>COUNTIF('Metrics - Articles'!H25,"*LATAM*")</f>
        <v>0</v>
      </c>
      <c r="H26">
        <f>COUNTIF('Metrics - Articles'!H25,"*China*")</f>
        <v>0</v>
      </c>
      <c r="J26" s="53">
        <f t="shared" si="1"/>
        <v>1</v>
      </c>
    </row>
    <row r="27" spans="2:10" x14ac:dyDescent="0.25">
      <c r="B27" s="48">
        <f>+'Metrics - Articles'!C26</f>
        <v>42025</v>
      </c>
      <c r="C27">
        <f>COUNTIF('Metrics - Articles'!H26,"*Global*")</f>
        <v>1</v>
      </c>
      <c r="D27">
        <f>COUNTIF('Metrics - Articles'!H26,"*EMEA*")</f>
        <v>0</v>
      </c>
      <c r="E27">
        <f>COUNTIF('Metrics - Articles'!H26,"*NA*")</f>
        <v>0</v>
      </c>
      <c r="F27">
        <f>COUNTIF('Metrics - Articles'!H26,"*APJ")</f>
        <v>0</v>
      </c>
      <c r="G27">
        <f>COUNTIF('Metrics - Articles'!H26,"*LATAM*")</f>
        <v>0</v>
      </c>
      <c r="H27">
        <f>COUNTIF('Metrics - Articles'!H26,"*China*")</f>
        <v>0</v>
      </c>
      <c r="J27" s="53">
        <f t="shared" si="1"/>
        <v>1</v>
      </c>
    </row>
    <row r="28" spans="2:10" x14ac:dyDescent="0.25">
      <c r="B28" s="48">
        <f>+'Metrics - Articles'!C27</f>
        <v>42026</v>
      </c>
      <c r="C28">
        <f>COUNTIF('Metrics - Articles'!H27,"*Global*")</f>
        <v>1</v>
      </c>
      <c r="D28">
        <f>COUNTIF('Metrics - Articles'!H27,"*EMEA*")</f>
        <v>0</v>
      </c>
      <c r="E28">
        <f>COUNTIF('Metrics - Articles'!H27,"*NA*")</f>
        <v>0</v>
      </c>
      <c r="F28">
        <f>COUNTIF('Metrics - Articles'!H27,"*APJ")</f>
        <v>0</v>
      </c>
      <c r="G28">
        <f>COUNTIF('Metrics - Articles'!H27,"*LATAM*")</f>
        <v>0</v>
      </c>
      <c r="H28">
        <f>COUNTIF('Metrics - Articles'!H27,"*China*")</f>
        <v>0</v>
      </c>
      <c r="J28" s="53">
        <f t="shared" si="1"/>
        <v>1</v>
      </c>
    </row>
    <row r="29" spans="2:10" x14ac:dyDescent="0.25">
      <c r="B29" s="48">
        <f>+'Metrics - Articles'!C28</f>
        <v>42027</v>
      </c>
      <c r="C29">
        <f>COUNTIF('Metrics - Articles'!H28,"*Global*")</f>
        <v>1</v>
      </c>
      <c r="D29">
        <f>COUNTIF('Metrics - Articles'!H28,"*EMEA*")</f>
        <v>0</v>
      </c>
      <c r="E29">
        <f>COUNTIF('Metrics - Articles'!H28,"*NA*")</f>
        <v>0</v>
      </c>
      <c r="F29">
        <f>COUNTIF('Metrics - Articles'!H28,"*APJ")</f>
        <v>0</v>
      </c>
      <c r="G29">
        <f>COUNTIF('Metrics - Articles'!H28,"*LATAM*")</f>
        <v>0</v>
      </c>
      <c r="H29">
        <f>COUNTIF('Metrics - Articles'!H28,"*China*")</f>
        <v>0</v>
      </c>
      <c r="J29" s="53">
        <f t="shared" si="1"/>
        <v>1</v>
      </c>
    </row>
    <row r="30" spans="2:10" x14ac:dyDescent="0.25">
      <c r="B30" s="48">
        <f>+'Metrics - Articles'!C29</f>
        <v>42027</v>
      </c>
      <c r="C30">
        <f>COUNTIF('Metrics - Articles'!H29,"*Global*")</f>
        <v>1</v>
      </c>
      <c r="D30">
        <f>COUNTIF('Metrics - Articles'!H29,"*EMEA*")</f>
        <v>0</v>
      </c>
      <c r="E30">
        <f>COUNTIF('Metrics - Articles'!H29,"*NA*")</f>
        <v>0</v>
      </c>
      <c r="F30">
        <f>COUNTIF('Metrics - Articles'!H29,"*APJ")</f>
        <v>0</v>
      </c>
      <c r="G30">
        <f>COUNTIF('Metrics - Articles'!H29,"*LATAM*")</f>
        <v>0</v>
      </c>
      <c r="H30">
        <f>COUNTIF('Metrics - Articles'!H29,"*China*")</f>
        <v>0</v>
      </c>
      <c r="J30" s="53">
        <f t="shared" si="1"/>
        <v>1</v>
      </c>
    </row>
    <row r="31" spans="2:10" x14ac:dyDescent="0.25">
      <c r="B31" s="48">
        <f>+'Metrics - Articles'!C30</f>
        <v>42027</v>
      </c>
      <c r="C31">
        <f>COUNTIF('Metrics - Articles'!H30,"*Global*")</f>
        <v>1</v>
      </c>
      <c r="D31">
        <f>COUNTIF('Metrics - Articles'!H30,"*EMEA*")</f>
        <v>0</v>
      </c>
      <c r="E31">
        <f>COUNTIF('Metrics - Articles'!H30,"*NA*")</f>
        <v>0</v>
      </c>
      <c r="F31">
        <f>COUNTIF('Metrics - Articles'!H30,"*APJ")</f>
        <v>0</v>
      </c>
      <c r="G31">
        <f>COUNTIF('Metrics - Articles'!H30,"*LATAM*")</f>
        <v>0</v>
      </c>
      <c r="H31">
        <f>COUNTIF('Metrics - Articles'!H30,"*China*")</f>
        <v>0</v>
      </c>
      <c r="J31" s="53">
        <f t="shared" si="1"/>
        <v>1</v>
      </c>
    </row>
    <row r="32" spans="2:10" x14ac:dyDescent="0.25">
      <c r="B32" s="48">
        <f>+'Metrics - Articles'!C31</f>
        <v>42030</v>
      </c>
      <c r="C32">
        <f>COUNTIF('Metrics - Articles'!H31,"*Global*")</f>
        <v>0</v>
      </c>
      <c r="D32">
        <f>COUNTIF('Metrics - Articles'!H31,"*EMEA*")</f>
        <v>1</v>
      </c>
      <c r="E32">
        <f>COUNTIF('Metrics - Articles'!H31,"*NA*")</f>
        <v>0</v>
      </c>
      <c r="F32">
        <f>COUNTIF('Metrics - Articles'!H31,"*APJ")</f>
        <v>0</v>
      </c>
      <c r="G32">
        <f>COUNTIF('Metrics - Articles'!H31,"*LATAM*")</f>
        <v>0</v>
      </c>
      <c r="H32">
        <f>COUNTIF('Metrics - Articles'!H31,"*China*")</f>
        <v>0</v>
      </c>
      <c r="J32" s="53">
        <f t="shared" si="1"/>
        <v>1</v>
      </c>
    </row>
    <row r="33" spans="2:10" x14ac:dyDescent="0.25">
      <c r="B33" s="48">
        <f>+'Metrics - Articles'!C32</f>
        <v>42031</v>
      </c>
      <c r="C33">
        <f>COUNTIF('Metrics - Articles'!H32,"*Global*")</f>
        <v>1</v>
      </c>
      <c r="D33">
        <f>COUNTIF('Metrics - Articles'!H32,"*EMEA*")</f>
        <v>0</v>
      </c>
      <c r="E33">
        <f>COUNTIF('Metrics - Articles'!H32,"*NA*")</f>
        <v>0</v>
      </c>
      <c r="F33">
        <f>COUNTIF('Metrics - Articles'!H32,"*APJ")</f>
        <v>0</v>
      </c>
      <c r="G33">
        <f>COUNTIF('Metrics - Articles'!H32,"*LATAM*")</f>
        <v>0</v>
      </c>
      <c r="H33">
        <f>COUNTIF('Metrics - Articles'!H32,"*China*")</f>
        <v>0</v>
      </c>
      <c r="J33" s="53">
        <f t="shared" si="1"/>
        <v>1</v>
      </c>
    </row>
    <row r="34" spans="2:10" x14ac:dyDescent="0.25">
      <c r="B34" s="48">
        <f>+'Metrics - Articles'!C33</f>
        <v>42031</v>
      </c>
      <c r="C34">
        <f>COUNTIF('Metrics - Articles'!H33,"*Global*")</f>
        <v>1</v>
      </c>
      <c r="D34">
        <f>COUNTIF('Metrics - Articles'!H33,"*EMEA*")</f>
        <v>0</v>
      </c>
      <c r="E34">
        <f>COUNTIF('Metrics - Articles'!H33,"*NA*")</f>
        <v>0</v>
      </c>
      <c r="F34">
        <f>COUNTIF('Metrics - Articles'!H33,"*APJ")</f>
        <v>0</v>
      </c>
      <c r="G34">
        <f>COUNTIF('Metrics - Articles'!H33,"*LATAM*")</f>
        <v>0</v>
      </c>
      <c r="H34">
        <f>COUNTIF('Metrics - Articles'!H33,"*China*")</f>
        <v>0</v>
      </c>
      <c r="J34" s="53">
        <f t="shared" si="1"/>
        <v>1</v>
      </c>
    </row>
    <row r="35" spans="2:10" x14ac:dyDescent="0.25">
      <c r="B35" s="48">
        <f>+'Metrics - Articles'!C34</f>
        <v>42032</v>
      </c>
      <c r="C35">
        <f>COUNTIF('Metrics - Articles'!H34,"*Global*")</f>
        <v>1</v>
      </c>
      <c r="D35">
        <f>COUNTIF('Metrics - Articles'!H34,"*EMEA*")</f>
        <v>0</v>
      </c>
      <c r="E35">
        <f>COUNTIF('Metrics - Articles'!H34,"*NA*")</f>
        <v>0</v>
      </c>
      <c r="F35">
        <f>COUNTIF('Metrics - Articles'!H34,"*APJ")</f>
        <v>0</v>
      </c>
      <c r="G35">
        <f>COUNTIF('Metrics - Articles'!H34,"*LATAM*")</f>
        <v>0</v>
      </c>
      <c r="H35">
        <f>COUNTIF('Metrics - Articles'!H34,"*China*")</f>
        <v>0</v>
      </c>
      <c r="J35" s="53">
        <f t="shared" si="1"/>
        <v>1</v>
      </c>
    </row>
    <row r="36" spans="2:10" x14ac:dyDescent="0.25">
      <c r="B36" s="48">
        <f>+'Metrics - Articles'!C35</f>
        <v>42032</v>
      </c>
      <c r="C36">
        <f>COUNTIF('Metrics - Articles'!H35,"*Global*")</f>
        <v>0</v>
      </c>
      <c r="D36">
        <f>COUNTIF('Metrics - Articles'!H35,"*EMEA*")</f>
        <v>0</v>
      </c>
      <c r="E36">
        <f>COUNTIF('Metrics - Articles'!H35,"*NA*")</f>
        <v>0</v>
      </c>
      <c r="F36">
        <f>COUNTIF('Metrics - Articles'!H35,"*APJ")</f>
        <v>0</v>
      </c>
      <c r="G36">
        <f>COUNTIF('Metrics - Articles'!H35,"*LATAM*")</f>
        <v>1</v>
      </c>
      <c r="H36">
        <f>COUNTIF('Metrics - Articles'!H35,"*China*")</f>
        <v>0</v>
      </c>
      <c r="J36" s="53">
        <f t="shared" si="1"/>
        <v>1</v>
      </c>
    </row>
    <row r="37" spans="2:10" x14ac:dyDescent="0.25">
      <c r="B37" s="48">
        <f>+'Metrics - Articles'!C36</f>
        <v>42033</v>
      </c>
      <c r="C37">
        <f>COUNTIF('Metrics - Articles'!H36,"*Global*")</f>
        <v>1</v>
      </c>
      <c r="D37">
        <f>COUNTIF('Metrics - Articles'!H36,"*EMEA*")</f>
        <v>0</v>
      </c>
      <c r="E37">
        <f>COUNTIF('Metrics - Articles'!H36,"*NA*")</f>
        <v>0</v>
      </c>
      <c r="F37">
        <f>COUNTIF('Metrics - Articles'!H36,"*APJ")</f>
        <v>0</v>
      </c>
      <c r="G37">
        <f>COUNTIF('Metrics - Articles'!H36,"*LATAM*")</f>
        <v>0</v>
      </c>
      <c r="H37">
        <f>COUNTIF('Metrics - Articles'!H36,"*China*")</f>
        <v>0</v>
      </c>
      <c r="J37" s="53">
        <f t="shared" si="1"/>
        <v>1</v>
      </c>
    </row>
    <row r="38" spans="2:10" x14ac:dyDescent="0.25">
      <c r="B38" s="48">
        <f>+'Metrics - Articles'!C37</f>
        <v>42033</v>
      </c>
      <c r="C38">
        <f>COUNTIF('Metrics - Articles'!H37,"*Global*")</f>
        <v>1</v>
      </c>
      <c r="D38">
        <f>COUNTIF('Metrics - Articles'!H37,"*EMEA*")</f>
        <v>0</v>
      </c>
      <c r="E38">
        <f>COUNTIF('Metrics - Articles'!H37,"*NA*")</f>
        <v>0</v>
      </c>
      <c r="F38">
        <f>COUNTIF('Metrics - Articles'!H37,"*APJ")</f>
        <v>0</v>
      </c>
      <c r="G38">
        <f>COUNTIF('Metrics - Articles'!H37,"*LATAM*")</f>
        <v>0</v>
      </c>
      <c r="H38">
        <f>COUNTIF('Metrics - Articles'!H37,"*China*")</f>
        <v>0</v>
      </c>
      <c r="J38" s="53">
        <f t="shared" si="1"/>
        <v>1</v>
      </c>
    </row>
    <row r="39" spans="2:10" x14ac:dyDescent="0.25">
      <c r="B39" s="48">
        <f>+'Metrics - Articles'!C38</f>
        <v>42034</v>
      </c>
      <c r="C39">
        <f>COUNTIF('Metrics - Articles'!H38,"*Global*")</f>
        <v>0</v>
      </c>
      <c r="D39">
        <f>COUNTIF('Metrics - Articles'!H38,"*EMEA*")</f>
        <v>1</v>
      </c>
      <c r="E39">
        <f>COUNTIF('Metrics - Articles'!H38,"*NA*")</f>
        <v>0</v>
      </c>
      <c r="F39">
        <f>COUNTIF('Metrics - Articles'!H38,"*APJ")</f>
        <v>0</v>
      </c>
      <c r="G39">
        <f>COUNTIF('Metrics - Articles'!H38,"*LATAM*")</f>
        <v>0</v>
      </c>
      <c r="H39">
        <f>COUNTIF('Metrics - Articles'!H38,"*China*")</f>
        <v>0</v>
      </c>
      <c r="J39" s="53">
        <f t="shared" si="1"/>
        <v>1</v>
      </c>
    </row>
    <row r="40" spans="2:10" x14ac:dyDescent="0.25">
      <c r="B40" s="48">
        <f>+'Metrics - Articles'!C39</f>
        <v>42036</v>
      </c>
      <c r="C40">
        <f>COUNTIF('Metrics - Articles'!H39,"*Global*")</f>
        <v>1</v>
      </c>
      <c r="D40">
        <f>COUNTIF('Metrics - Articles'!H39,"*EMEA*")</f>
        <v>0</v>
      </c>
      <c r="E40">
        <f>COUNTIF('Metrics - Articles'!H39,"*NA*")</f>
        <v>0</v>
      </c>
      <c r="F40">
        <f>COUNTIF('Metrics - Articles'!H39,"*APJ")</f>
        <v>0</v>
      </c>
      <c r="G40">
        <f>COUNTIF('Metrics - Articles'!H39,"*LATAM*")</f>
        <v>0</v>
      </c>
      <c r="H40">
        <f>COUNTIF('Metrics - Articles'!H39,"*China*")</f>
        <v>0</v>
      </c>
      <c r="J40" s="53">
        <f t="shared" si="1"/>
        <v>1</v>
      </c>
    </row>
    <row r="41" spans="2:10" x14ac:dyDescent="0.25">
      <c r="B41" s="48">
        <f>+'Metrics - Articles'!C40</f>
        <v>42037</v>
      </c>
      <c r="C41">
        <f>COUNTIF('Metrics - Articles'!H40,"*Global*")</f>
        <v>1</v>
      </c>
      <c r="D41">
        <f>COUNTIF('Metrics - Articles'!H40,"*EMEA*")</f>
        <v>0</v>
      </c>
      <c r="E41">
        <f>COUNTIF('Metrics - Articles'!H40,"*NA*")</f>
        <v>0</v>
      </c>
      <c r="F41">
        <f>COUNTIF('Metrics - Articles'!H40,"*APJ")</f>
        <v>0</v>
      </c>
      <c r="G41">
        <f>COUNTIF('Metrics - Articles'!H40,"*LATAM*")</f>
        <v>0</v>
      </c>
      <c r="H41">
        <f>COUNTIF('Metrics - Articles'!H40,"*China*")</f>
        <v>0</v>
      </c>
      <c r="J41" s="53">
        <f t="shared" si="1"/>
        <v>1</v>
      </c>
    </row>
    <row r="42" spans="2:10" x14ac:dyDescent="0.25">
      <c r="B42" s="48">
        <f>+'Metrics - Articles'!C41</f>
        <v>42038</v>
      </c>
      <c r="C42">
        <f>COUNTIF('Metrics - Articles'!H41,"*Global*")</f>
        <v>1</v>
      </c>
      <c r="D42">
        <f>COUNTIF('Metrics - Articles'!H41,"*EMEA*")</f>
        <v>0</v>
      </c>
      <c r="E42">
        <f>COUNTIF('Metrics - Articles'!H41,"*NA*")</f>
        <v>0</v>
      </c>
      <c r="F42">
        <f>COUNTIF('Metrics - Articles'!H41,"*APJ")</f>
        <v>0</v>
      </c>
      <c r="G42">
        <f>COUNTIF('Metrics - Articles'!H41,"*LATAM*")</f>
        <v>0</v>
      </c>
      <c r="H42">
        <f>COUNTIF('Metrics - Articles'!H41,"*China*")</f>
        <v>0</v>
      </c>
      <c r="J42" s="53">
        <f t="shared" si="1"/>
        <v>1</v>
      </c>
    </row>
    <row r="43" spans="2:10" x14ac:dyDescent="0.25">
      <c r="B43" s="48">
        <f>+'Metrics - Articles'!C42</f>
        <v>42038</v>
      </c>
      <c r="C43">
        <f>COUNTIF('Metrics - Articles'!H42,"*Global*")</f>
        <v>1</v>
      </c>
      <c r="D43">
        <f>COUNTIF('Metrics - Articles'!H42,"*EMEA*")</f>
        <v>0</v>
      </c>
      <c r="E43">
        <f>COUNTIF('Metrics - Articles'!H42,"*NA*")</f>
        <v>0</v>
      </c>
      <c r="F43">
        <f>COUNTIF('Metrics - Articles'!H42,"*APJ")</f>
        <v>0</v>
      </c>
      <c r="G43">
        <f>COUNTIF('Metrics - Articles'!H42,"*LATAM*")</f>
        <v>0</v>
      </c>
      <c r="H43">
        <f>COUNTIF('Metrics - Articles'!H42,"*China*")</f>
        <v>0</v>
      </c>
      <c r="J43" s="53">
        <f t="shared" si="1"/>
        <v>1</v>
      </c>
    </row>
    <row r="44" spans="2:10" x14ac:dyDescent="0.25">
      <c r="B44" s="48">
        <f>+'Metrics - Articles'!C43</f>
        <v>42038</v>
      </c>
      <c r="C44">
        <f>COUNTIF('Metrics - Articles'!H43,"*Global*")</f>
        <v>1</v>
      </c>
      <c r="D44">
        <f>COUNTIF('Metrics - Articles'!H43,"*EMEA*")</f>
        <v>0</v>
      </c>
      <c r="E44">
        <f>COUNTIF('Metrics - Articles'!H43,"*NA*")</f>
        <v>0</v>
      </c>
      <c r="F44">
        <f>COUNTIF('Metrics - Articles'!H43,"*APJ")</f>
        <v>0</v>
      </c>
      <c r="G44">
        <f>COUNTIF('Metrics - Articles'!H43,"*LATAM*")</f>
        <v>0</v>
      </c>
      <c r="H44">
        <f>COUNTIF('Metrics - Articles'!H43,"*China*")</f>
        <v>0</v>
      </c>
      <c r="J44" s="53">
        <f t="shared" si="1"/>
        <v>1</v>
      </c>
    </row>
    <row r="45" spans="2:10" x14ac:dyDescent="0.25">
      <c r="B45" s="48">
        <f>+'Metrics - Articles'!C44</f>
        <v>42038</v>
      </c>
      <c r="C45">
        <f>COUNTIF('Metrics - Articles'!H44,"*Global*")</f>
        <v>1</v>
      </c>
      <c r="D45">
        <f>COUNTIF('Metrics - Articles'!H44,"*EMEA*")</f>
        <v>0</v>
      </c>
      <c r="E45">
        <f>COUNTIF('Metrics - Articles'!H44,"*NA*")</f>
        <v>0</v>
      </c>
      <c r="F45">
        <f>COUNTIF('Metrics - Articles'!H44,"*APJ")</f>
        <v>0</v>
      </c>
      <c r="G45">
        <f>COUNTIF('Metrics - Articles'!H44,"*LATAM*")</f>
        <v>0</v>
      </c>
      <c r="H45">
        <f>COUNTIF('Metrics - Articles'!H44,"*China*")</f>
        <v>0</v>
      </c>
      <c r="J45" s="53">
        <f t="shared" si="1"/>
        <v>1</v>
      </c>
    </row>
    <row r="46" spans="2:10" x14ac:dyDescent="0.25">
      <c r="B46" s="48">
        <f>+'Metrics - Articles'!C45</f>
        <v>42040</v>
      </c>
      <c r="C46">
        <f>COUNTIF('Metrics - Articles'!H45,"*Global*")</f>
        <v>1</v>
      </c>
      <c r="D46">
        <f>COUNTIF('Metrics - Articles'!H45,"*EMEA*")</f>
        <v>0</v>
      </c>
      <c r="E46">
        <f>COUNTIF('Metrics - Articles'!H45,"*NA*")</f>
        <v>0</v>
      </c>
      <c r="F46">
        <f>COUNTIF('Metrics - Articles'!H45,"*APJ")</f>
        <v>0</v>
      </c>
      <c r="G46">
        <f>COUNTIF('Metrics - Articles'!H45,"*LATAM*")</f>
        <v>0</v>
      </c>
      <c r="H46">
        <f>COUNTIF('Metrics - Articles'!H45,"*China*")</f>
        <v>0</v>
      </c>
      <c r="J46" s="53">
        <f t="shared" si="1"/>
        <v>1</v>
      </c>
    </row>
    <row r="47" spans="2:10" x14ac:dyDescent="0.25">
      <c r="B47" s="48">
        <f>+'Metrics - Articles'!C46</f>
        <v>42040</v>
      </c>
      <c r="C47">
        <f>COUNTIF('Metrics - Articles'!H46,"*Global*")</f>
        <v>1</v>
      </c>
      <c r="D47">
        <f>COUNTIF('Metrics - Articles'!H46,"*EMEA*")</f>
        <v>0</v>
      </c>
      <c r="E47">
        <f>COUNTIF('Metrics - Articles'!H46,"*NA*")</f>
        <v>0</v>
      </c>
      <c r="F47">
        <f>COUNTIF('Metrics - Articles'!H46,"*APJ")</f>
        <v>0</v>
      </c>
      <c r="G47">
        <f>COUNTIF('Metrics - Articles'!H46,"*LATAM*")</f>
        <v>0</v>
      </c>
      <c r="H47">
        <f>COUNTIF('Metrics - Articles'!H46,"*China*")</f>
        <v>0</v>
      </c>
      <c r="J47" s="53">
        <f t="shared" si="1"/>
        <v>1</v>
      </c>
    </row>
    <row r="48" spans="2:10" x14ac:dyDescent="0.25">
      <c r="B48" s="48">
        <f>+'Metrics - Articles'!C47</f>
        <v>42041</v>
      </c>
      <c r="C48">
        <f>COUNTIF('Metrics - Articles'!H47,"*Global*")</f>
        <v>1</v>
      </c>
      <c r="D48">
        <f>COUNTIF('Metrics - Articles'!H47,"*EMEA*")</f>
        <v>0</v>
      </c>
      <c r="E48">
        <f>COUNTIF('Metrics - Articles'!H47,"*NA*")</f>
        <v>0</v>
      </c>
      <c r="F48">
        <f>COUNTIF('Metrics - Articles'!H47,"*APJ")</f>
        <v>0</v>
      </c>
      <c r="G48">
        <f>COUNTIF('Metrics - Articles'!H47,"*LATAM*")</f>
        <v>0</v>
      </c>
      <c r="H48">
        <f>COUNTIF('Metrics - Articles'!H47,"*China*")</f>
        <v>0</v>
      </c>
      <c r="J48" s="53">
        <f t="shared" si="1"/>
        <v>1</v>
      </c>
    </row>
    <row r="49" spans="2:10" x14ac:dyDescent="0.25">
      <c r="B49" s="48">
        <f>+'Metrics - Articles'!C48</f>
        <v>42046</v>
      </c>
      <c r="C49">
        <f>COUNTIF('Metrics - Articles'!H48,"*Global*")</f>
        <v>1</v>
      </c>
      <c r="D49">
        <f>COUNTIF('Metrics - Articles'!H48,"*EMEA*")</f>
        <v>0</v>
      </c>
      <c r="E49">
        <f>COUNTIF('Metrics - Articles'!H48,"*NA*")</f>
        <v>0</v>
      </c>
      <c r="F49">
        <f>COUNTIF('Metrics - Articles'!H48,"*APJ")</f>
        <v>0</v>
      </c>
      <c r="G49">
        <f>COUNTIF('Metrics - Articles'!H48,"*LATAM*")</f>
        <v>0</v>
      </c>
      <c r="H49">
        <f>COUNTIF('Metrics - Articles'!H48,"*China*")</f>
        <v>0</v>
      </c>
      <c r="J49" s="53">
        <f t="shared" si="1"/>
        <v>1</v>
      </c>
    </row>
    <row r="50" spans="2:10" x14ac:dyDescent="0.25">
      <c r="B50" s="48">
        <f>+'Metrics - Articles'!C49</f>
        <v>42047</v>
      </c>
      <c r="C50">
        <f>COUNTIF('Metrics - Articles'!H49,"*Global*")</f>
        <v>1</v>
      </c>
      <c r="D50">
        <f>COUNTIF('Metrics - Articles'!H49,"*EMEA*")</f>
        <v>0</v>
      </c>
      <c r="E50">
        <f>COUNTIF('Metrics - Articles'!H49,"*NA*")</f>
        <v>0</v>
      </c>
      <c r="F50">
        <f>COUNTIF('Metrics - Articles'!H49,"*APJ")</f>
        <v>0</v>
      </c>
      <c r="G50">
        <f>COUNTIF('Metrics - Articles'!H49,"*LATAM*")</f>
        <v>0</v>
      </c>
      <c r="H50">
        <f>COUNTIF('Metrics - Articles'!H49,"*China*")</f>
        <v>0</v>
      </c>
      <c r="J50" s="53">
        <f t="shared" si="1"/>
        <v>1</v>
      </c>
    </row>
    <row r="51" spans="2:10" x14ac:dyDescent="0.25">
      <c r="B51" s="48">
        <f>+'Metrics - Articles'!C50</f>
        <v>42047</v>
      </c>
      <c r="C51">
        <f>COUNTIF('Metrics - Articles'!H50,"*Global*")</f>
        <v>1</v>
      </c>
      <c r="D51">
        <f>COUNTIF('Metrics - Articles'!H50,"*EMEA*")</f>
        <v>0</v>
      </c>
      <c r="E51">
        <f>COUNTIF('Metrics - Articles'!H50,"*NA*")</f>
        <v>0</v>
      </c>
      <c r="F51">
        <f>COUNTIF('Metrics - Articles'!H50,"*APJ")</f>
        <v>0</v>
      </c>
      <c r="G51">
        <f>COUNTIF('Metrics - Articles'!H50,"*LATAM*")</f>
        <v>0</v>
      </c>
      <c r="H51">
        <f>COUNTIF('Metrics - Articles'!H50,"*China*")</f>
        <v>0</v>
      </c>
      <c r="J51" s="53">
        <f t="shared" si="1"/>
        <v>1</v>
      </c>
    </row>
    <row r="52" spans="2:10" x14ac:dyDescent="0.25">
      <c r="B52" s="48">
        <f>+'Metrics - Articles'!C51</f>
        <v>42048</v>
      </c>
      <c r="C52">
        <f>COUNTIF('Metrics - Articles'!H51,"*Global*")</f>
        <v>1</v>
      </c>
      <c r="D52">
        <f>COUNTIF('Metrics - Articles'!H51,"*EMEA*")</f>
        <v>0</v>
      </c>
      <c r="E52">
        <f>COUNTIF('Metrics - Articles'!H51,"*NA*")</f>
        <v>0</v>
      </c>
      <c r="F52">
        <f>COUNTIF('Metrics - Articles'!H51,"*APJ")</f>
        <v>0</v>
      </c>
      <c r="G52">
        <f>COUNTIF('Metrics - Articles'!H51,"*LATAM*")</f>
        <v>0</v>
      </c>
      <c r="H52">
        <f>COUNTIF('Metrics - Articles'!H51,"*China*")</f>
        <v>0</v>
      </c>
      <c r="J52" s="53">
        <f t="shared" si="1"/>
        <v>1</v>
      </c>
    </row>
    <row r="53" spans="2:10" x14ac:dyDescent="0.25">
      <c r="B53" s="48">
        <f>+'Metrics - Articles'!C52</f>
        <v>42048</v>
      </c>
      <c r="C53">
        <f>COUNTIF('Metrics - Articles'!H52,"*Global*")</f>
        <v>1</v>
      </c>
      <c r="D53">
        <f>COUNTIF('Metrics - Articles'!H52,"*EMEA*")</f>
        <v>0</v>
      </c>
      <c r="E53">
        <f>COUNTIF('Metrics - Articles'!H52,"*NA*")</f>
        <v>0</v>
      </c>
      <c r="F53">
        <f>COUNTIF('Metrics - Articles'!H52,"*APJ")</f>
        <v>0</v>
      </c>
      <c r="G53">
        <f>COUNTIF('Metrics - Articles'!H52,"*LATAM*")</f>
        <v>0</v>
      </c>
      <c r="H53">
        <f>COUNTIF('Metrics - Articles'!H52,"*China*")</f>
        <v>0</v>
      </c>
      <c r="J53" s="53">
        <f t="shared" si="1"/>
        <v>1</v>
      </c>
    </row>
    <row r="54" spans="2:10" x14ac:dyDescent="0.25">
      <c r="B54" s="48">
        <f>+'Metrics - Articles'!C53</f>
        <v>42051</v>
      </c>
      <c r="C54">
        <f>COUNTIF('Metrics - Articles'!H53,"*Global*")</f>
        <v>1</v>
      </c>
      <c r="D54">
        <f>COUNTIF('Metrics - Articles'!H53,"*EMEA*")</f>
        <v>0</v>
      </c>
      <c r="E54">
        <f>COUNTIF('Metrics - Articles'!H53,"*NA*")</f>
        <v>0</v>
      </c>
      <c r="F54">
        <f>COUNTIF('Metrics - Articles'!H53,"*APJ")</f>
        <v>0</v>
      </c>
      <c r="G54">
        <f>COUNTIF('Metrics - Articles'!H53,"*LATAM*")</f>
        <v>0</v>
      </c>
      <c r="H54">
        <f>COUNTIF('Metrics - Articles'!H53,"*China*")</f>
        <v>0</v>
      </c>
      <c r="J54" s="53">
        <f t="shared" si="1"/>
        <v>1</v>
      </c>
    </row>
    <row r="55" spans="2:10" x14ac:dyDescent="0.25">
      <c r="B55" s="48">
        <f>+'Metrics - Articles'!C54</f>
        <v>42051</v>
      </c>
      <c r="C55">
        <f>COUNTIF('Metrics - Articles'!H54,"*Global*")</f>
        <v>1</v>
      </c>
      <c r="D55">
        <f>COUNTIF('Metrics - Articles'!H54,"*EMEA*")</f>
        <v>0</v>
      </c>
      <c r="E55">
        <f>COUNTIF('Metrics - Articles'!H54,"*NA*")</f>
        <v>0</v>
      </c>
      <c r="F55">
        <f>COUNTIF('Metrics - Articles'!H54,"*APJ")</f>
        <v>0</v>
      </c>
      <c r="G55">
        <f>COUNTIF('Metrics - Articles'!H54,"*LATAM*")</f>
        <v>0</v>
      </c>
      <c r="H55">
        <f>COUNTIF('Metrics - Articles'!H54,"*China*")</f>
        <v>0</v>
      </c>
      <c r="J55" s="53">
        <f t="shared" si="1"/>
        <v>1</v>
      </c>
    </row>
    <row r="56" spans="2:10" x14ac:dyDescent="0.25">
      <c r="B56" s="48">
        <f>+'Metrics - Articles'!C55</f>
        <v>42051</v>
      </c>
      <c r="C56">
        <f>COUNTIF('Metrics - Articles'!H55,"*Global*")</f>
        <v>1</v>
      </c>
      <c r="D56">
        <f>COUNTIF('Metrics - Articles'!H55,"*EMEA*")</f>
        <v>0</v>
      </c>
      <c r="E56">
        <f>COUNTIF('Metrics - Articles'!H55,"*NA*")</f>
        <v>0</v>
      </c>
      <c r="F56">
        <f>COUNTIF('Metrics - Articles'!H55,"*APJ")</f>
        <v>0</v>
      </c>
      <c r="G56">
        <f>COUNTIF('Metrics - Articles'!H55,"*LATAM*")</f>
        <v>0</v>
      </c>
      <c r="H56">
        <f>COUNTIF('Metrics - Articles'!H55,"*China*")</f>
        <v>0</v>
      </c>
      <c r="J56" s="53">
        <f t="shared" si="1"/>
        <v>1</v>
      </c>
    </row>
    <row r="57" spans="2:10" x14ac:dyDescent="0.25">
      <c r="B57" s="48">
        <f>+'Metrics - Articles'!C56</f>
        <v>42052</v>
      </c>
      <c r="C57">
        <f>COUNTIF('Metrics - Articles'!H56,"*Global*")</f>
        <v>1</v>
      </c>
      <c r="D57">
        <f>COUNTIF('Metrics - Articles'!H56,"*EMEA*")</f>
        <v>0</v>
      </c>
      <c r="E57">
        <f>COUNTIF('Metrics - Articles'!H56,"*NA*")</f>
        <v>0</v>
      </c>
      <c r="F57">
        <f>COUNTIF('Metrics - Articles'!H56,"*APJ")</f>
        <v>0</v>
      </c>
      <c r="G57">
        <f>COUNTIF('Metrics - Articles'!H56,"*LATAM*")</f>
        <v>0</v>
      </c>
      <c r="H57">
        <f>COUNTIF('Metrics - Articles'!H56,"*China*")</f>
        <v>0</v>
      </c>
      <c r="J57" s="53">
        <f t="shared" si="1"/>
        <v>1</v>
      </c>
    </row>
    <row r="58" spans="2:10" x14ac:dyDescent="0.25">
      <c r="B58" s="48">
        <f>+'Metrics - Articles'!C57</f>
        <v>42052</v>
      </c>
      <c r="C58">
        <f>COUNTIF('Metrics - Articles'!H57,"*Global*")</f>
        <v>1</v>
      </c>
      <c r="D58">
        <f>COUNTIF('Metrics - Articles'!H57,"*EMEA*")</f>
        <v>0</v>
      </c>
      <c r="E58">
        <f>COUNTIF('Metrics - Articles'!H57,"*NA*")</f>
        <v>0</v>
      </c>
      <c r="F58">
        <f>COUNTIF('Metrics - Articles'!H57,"*APJ")</f>
        <v>0</v>
      </c>
      <c r="G58">
        <f>COUNTIF('Metrics - Articles'!H57,"*LATAM*")</f>
        <v>0</v>
      </c>
      <c r="H58">
        <f>COUNTIF('Metrics - Articles'!H57,"*China*")</f>
        <v>0</v>
      </c>
      <c r="J58" s="53">
        <f t="shared" si="1"/>
        <v>1</v>
      </c>
    </row>
    <row r="59" spans="2:10" x14ac:dyDescent="0.25">
      <c r="B59" s="48">
        <f>+'Metrics - Articles'!C58</f>
        <v>42053</v>
      </c>
      <c r="C59">
        <f>COUNTIF('Metrics - Articles'!H58,"*Global*")</f>
        <v>1</v>
      </c>
      <c r="D59">
        <f>COUNTIF('Metrics - Articles'!H58,"*EMEA*")</f>
        <v>0</v>
      </c>
      <c r="E59">
        <f>COUNTIF('Metrics - Articles'!H58,"*NA*")</f>
        <v>0</v>
      </c>
      <c r="F59">
        <f>COUNTIF('Metrics - Articles'!H58,"*APJ")</f>
        <v>0</v>
      </c>
      <c r="G59">
        <f>COUNTIF('Metrics - Articles'!H58,"*LATAM*")</f>
        <v>0</v>
      </c>
      <c r="H59">
        <f>COUNTIF('Metrics - Articles'!H58,"*China*")</f>
        <v>0</v>
      </c>
      <c r="J59" s="53">
        <f t="shared" si="1"/>
        <v>1</v>
      </c>
    </row>
    <row r="60" spans="2:10" x14ac:dyDescent="0.25">
      <c r="B60" s="48">
        <f>+'Metrics - Articles'!C59</f>
        <v>42053</v>
      </c>
      <c r="C60">
        <f>COUNTIF('Metrics - Articles'!H59,"*Global*")</f>
        <v>0</v>
      </c>
      <c r="D60">
        <f>COUNTIF('Metrics - Articles'!H59,"*EMEA*")</f>
        <v>0</v>
      </c>
      <c r="E60">
        <f>COUNTIF('Metrics - Articles'!H59,"*NA*")</f>
        <v>0</v>
      </c>
      <c r="F60">
        <f>COUNTIF('Metrics - Articles'!H59,"*APJ")</f>
        <v>0</v>
      </c>
      <c r="G60">
        <f>COUNTIF('Metrics - Articles'!H59,"*LATAM*")</f>
        <v>1</v>
      </c>
      <c r="H60">
        <f>COUNTIF('Metrics - Articles'!H59,"*China*")</f>
        <v>0</v>
      </c>
      <c r="J60" s="53">
        <f t="shared" si="1"/>
        <v>1</v>
      </c>
    </row>
    <row r="61" spans="2:10" x14ac:dyDescent="0.25">
      <c r="B61" s="48">
        <f>+'Metrics - Articles'!C60</f>
        <v>42055</v>
      </c>
      <c r="C61">
        <f>COUNTIF('Metrics - Articles'!H60,"*Global*")</f>
        <v>1</v>
      </c>
      <c r="D61">
        <f>COUNTIF('Metrics - Articles'!H60,"*EMEA*")</f>
        <v>0</v>
      </c>
      <c r="E61">
        <f>COUNTIF('Metrics - Articles'!H60,"*NA*")</f>
        <v>0</v>
      </c>
      <c r="F61">
        <f>COUNTIF('Metrics - Articles'!H60,"*APJ")</f>
        <v>0</v>
      </c>
      <c r="G61">
        <f>COUNTIF('Metrics - Articles'!H60,"*LATAM*")</f>
        <v>0</v>
      </c>
      <c r="H61">
        <f>COUNTIF('Metrics - Articles'!H60,"*China*")</f>
        <v>0</v>
      </c>
      <c r="J61" s="53">
        <f t="shared" si="1"/>
        <v>1</v>
      </c>
    </row>
    <row r="62" spans="2:10" x14ac:dyDescent="0.25">
      <c r="B62" s="48">
        <f>+'Metrics - Articles'!C61</f>
        <v>42055</v>
      </c>
      <c r="C62">
        <f>COUNTIF('Metrics - Articles'!H61,"*Global*")</f>
        <v>0</v>
      </c>
      <c r="D62">
        <f>COUNTIF('Metrics - Articles'!H61,"*EMEA*")</f>
        <v>1</v>
      </c>
      <c r="E62">
        <f>COUNTIF('Metrics - Articles'!H61,"*NA*")</f>
        <v>0</v>
      </c>
      <c r="F62">
        <f>COUNTIF('Metrics - Articles'!H61,"*APJ")</f>
        <v>0</v>
      </c>
      <c r="G62">
        <f>COUNTIF('Metrics - Articles'!H61,"*LATAM*")</f>
        <v>0</v>
      </c>
      <c r="H62">
        <f>COUNTIF('Metrics - Articles'!H61,"*China*")</f>
        <v>0</v>
      </c>
      <c r="J62" s="53">
        <f t="shared" si="1"/>
        <v>1</v>
      </c>
    </row>
    <row r="63" spans="2:10" x14ac:dyDescent="0.25">
      <c r="B63" s="48">
        <f>+'Metrics - Articles'!C62</f>
        <v>42056</v>
      </c>
      <c r="C63">
        <f>COUNTIF('Metrics - Articles'!H62,"*Global*")</f>
        <v>1</v>
      </c>
      <c r="D63">
        <f>COUNTIF('Metrics - Articles'!H62,"*EMEA*")</f>
        <v>0</v>
      </c>
      <c r="E63">
        <f>COUNTIF('Metrics - Articles'!H62,"*NA*")</f>
        <v>0</v>
      </c>
      <c r="F63">
        <f>COUNTIF('Metrics - Articles'!H62,"*APJ")</f>
        <v>0</v>
      </c>
      <c r="G63">
        <f>COUNTIF('Metrics - Articles'!H62,"*LATAM*")</f>
        <v>0</v>
      </c>
      <c r="H63">
        <f>COUNTIF('Metrics - Articles'!H62,"*China*")</f>
        <v>0</v>
      </c>
      <c r="J63" s="53">
        <f t="shared" si="1"/>
        <v>1</v>
      </c>
    </row>
    <row r="64" spans="2:10" x14ac:dyDescent="0.25">
      <c r="B64" s="48">
        <f>+'Metrics - Articles'!C63</f>
        <v>42058</v>
      </c>
      <c r="C64">
        <f>COUNTIF('Metrics - Articles'!H63,"*Global*")</f>
        <v>1</v>
      </c>
      <c r="D64">
        <f>COUNTIF('Metrics - Articles'!H63,"*EMEA*")</f>
        <v>0</v>
      </c>
      <c r="E64">
        <f>COUNTIF('Metrics - Articles'!H63,"*NA*")</f>
        <v>0</v>
      </c>
      <c r="F64">
        <f>COUNTIF('Metrics - Articles'!H63,"*APJ")</f>
        <v>0</v>
      </c>
      <c r="G64">
        <f>COUNTIF('Metrics - Articles'!H63,"*LATAM*")</f>
        <v>0</v>
      </c>
      <c r="H64">
        <f>COUNTIF('Metrics - Articles'!H63,"*China*")</f>
        <v>0</v>
      </c>
      <c r="J64" s="53">
        <f t="shared" si="1"/>
        <v>1</v>
      </c>
    </row>
    <row r="65" spans="2:10" x14ac:dyDescent="0.25">
      <c r="B65" s="48">
        <f>+'Metrics - Articles'!C64</f>
        <v>42059</v>
      </c>
      <c r="C65">
        <f>COUNTIF('Metrics - Articles'!H64,"*Global*")</f>
        <v>0</v>
      </c>
      <c r="D65">
        <f>COUNTIF('Metrics - Articles'!H64,"*EMEA*")</f>
        <v>1</v>
      </c>
      <c r="E65">
        <f>COUNTIF('Metrics - Articles'!H64,"*NA*")</f>
        <v>0</v>
      </c>
      <c r="F65">
        <f>COUNTIF('Metrics - Articles'!H64,"*APJ")</f>
        <v>0</v>
      </c>
      <c r="G65">
        <f>COUNTIF('Metrics - Articles'!H64,"*LATAM*")</f>
        <v>0</v>
      </c>
      <c r="H65">
        <f>COUNTIF('Metrics - Articles'!H64,"*China*")</f>
        <v>0</v>
      </c>
      <c r="J65" s="53">
        <f t="shared" si="1"/>
        <v>1</v>
      </c>
    </row>
    <row r="66" spans="2:10" x14ac:dyDescent="0.25">
      <c r="B66" s="48">
        <f>+'Metrics - Articles'!C65</f>
        <v>42060</v>
      </c>
      <c r="C66">
        <f>COUNTIF('Metrics - Articles'!H65,"*Global*")</f>
        <v>1</v>
      </c>
      <c r="D66">
        <f>COUNTIF('Metrics - Articles'!H65,"*EMEA*")</f>
        <v>0</v>
      </c>
      <c r="E66">
        <f>COUNTIF('Metrics - Articles'!H65,"*NA*")</f>
        <v>0</v>
      </c>
      <c r="F66">
        <f>COUNTIF('Metrics - Articles'!H65,"*APJ")</f>
        <v>0</v>
      </c>
      <c r="G66">
        <f>COUNTIF('Metrics - Articles'!H65,"*LATAM*")</f>
        <v>0</v>
      </c>
      <c r="H66">
        <f>COUNTIF('Metrics - Articles'!H65,"*China*")</f>
        <v>0</v>
      </c>
      <c r="J66" s="53">
        <f t="shared" si="1"/>
        <v>1</v>
      </c>
    </row>
    <row r="67" spans="2:10" x14ac:dyDescent="0.25">
      <c r="B67" s="48">
        <f>+'Metrics - Articles'!C66</f>
        <v>42060</v>
      </c>
      <c r="C67">
        <f>COUNTIF('Metrics - Articles'!H66,"*Global*")</f>
        <v>1</v>
      </c>
      <c r="D67">
        <f>COUNTIF('Metrics - Articles'!H66,"*EMEA*")</f>
        <v>0</v>
      </c>
      <c r="E67">
        <f>COUNTIF('Metrics - Articles'!H66,"*NA*")</f>
        <v>0</v>
      </c>
      <c r="F67">
        <f>COUNTIF('Metrics - Articles'!H66,"*APJ")</f>
        <v>0</v>
      </c>
      <c r="G67">
        <f>COUNTIF('Metrics - Articles'!H66,"*LATAM*")</f>
        <v>0</v>
      </c>
      <c r="H67">
        <f>COUNTIF('Metrics - Articles'!H66,"*China*")</f>
        <v>0</v>
      </c>
      <c r="J67" s="53">
        <f t="shared" si="1"/>
        <v>1</v>
      </c>
    </row>
    <row r="68" spans="2:10" x14ac:dyDescent="0.25">
      <c r="B68" s="48">
        <f>+'Metrics - Articles'!C67</f>
        <v>42061</v>
      </c>
      <c r="C68">
        <f>COUNTIF('Metrics - Articles'!H67,"*Global*")</f>
        <v>1</v>
      </c>
      <c r="D68">
        <f>COUNTIF('Metrics - Articles'!H67,"*EMEA*")</f>
        <v>0</v>
      </c>
      <c r="E68">
        <f>COUNTIF('Metrics - Articles'!H67,"*NA*")</f>
        <v>0</v>
      </c>
      <c r="F68">
        <f>COUNTIF('Metrics - Articles'!H67,"*APJ")</f>
        <v>0</v>
      </c>
      <c r="G68">
        <f>COUNTIF('Metrics - Articles'!H67,"*LATAM*")</f>
        <v>0</v>
      </c>
      <c r="H68">
        <f>COUNTIF('Metrics - Articles'!H67,"*China*")</f>
        <v>0</v>
      </c>
      <c r="J68" s="53">
        <f t="shared" si="1"/>
        <v>1</v>
      </c>
    </row>
    <row r="69" spans="2:10" x14ac:dyDescent="0.25">
      <c r="B69" s="48">
        <f>+'Metrics - Articles'!C68</f>
        <v>42062</v>
      </c>
      <c r="C69">
        <f>COUNTIF('Metrics - Articles'!H68,"*Global*")</f>
        <v>1</v>
      </c>
      <c r="D69">
        <f>COUNTIF('Metrics - Articles'!H68,"*EMEA*")</f>
        <v>0</v>
      </c>
      <c r="E69">
        <f>COUNTIF('Metrics - Articles'!H68,"*NA*")</f>
        <v>0</v>
      </c>
      <c r="F69">
        <f>COUNTIF('Metrics - Articles'!H68,"*APJ")</f>
        <v>0</v>
      </c>
      <c r="G69">
        <f>COUNTIF('Metrics - Articles'!H68,"*LATAM*")</f>
        <v>0</v>
      </c>
      <c r="H69">
        <f>COUNTIF('Metrics - Articles'!H68,"*China*")</f>
        <v>0</v>
      </c>
      <c r="J69" s="53">
        <f t="shared" si="1"/>
        <v>1</v>
      </c>
    </row>
    <row r="70" spans="2:10" x14ac:dyDescent="0.25">
      <c r="B70" s="48">
        <f>+'Metrics - Articles'!C69</f>
        <v>42062</v>
      </c>
      <c r="C70">
        <f>COUNTIF('Metrics - Articles'!H69,"*Global*")</f>
        <v>1</v>
      </c>
      <c r="D70">
        <f>COUNTIF('Metrics - Articles'!H69,"*EMEA*")</f>
        <v>0</v>
      </c>
      <c r="E70">
        <f>COUNTIF('Metrics - Articles'!H69,"*NA*")</f>
        <v>0</v>
      </c>
      <c r="F70">
        <f>COUNTIF('Metrics - Articles'!H69,"*APJ")</f>
        <v>0</v>
      </c>
      <c r="G70">
        <f>COUNTIF('Metrics - Articles'!H69,"*LATAM*")</f>
        <v>0</v>
      </c>
      <c r="H70">
        <f>COUNTIF('Metrics - Articles'!H69,"*China*")</f>
        <v>0</v>
      </c>
      <c r="J70" s="53">
        <f t="shared" si="1"/>
        <v>1</v>
      </c>
    </row>
    <row r="71" spans="2:10" x14ac:dyDescent="0.25">
      <c r="B71" s="48">
        <f>+'Metrics - Articles'!C70</f>
        <v>42065</v>
      </c>
      <c r="C71">
        <f>COUNTIF('Metrics - Articles'!H70,"*Global*")</f>
        <v>1</v>
      </c>
      <c r="D71">
        <f>COUNTIF('Metrics - Articles'!H70,"*EMEA*")</f>
        <v>0</v>
      </c>
      <c r="E71">
        <f>COUNTIF('Metrics - Articles'!H70,"*NA*")</f>
        <v>0</v>
      </c>
      <c r="F71">
        <f>COUNTIF('Metrics - Articles'!H70,"*APJ")</f>
        <v>0</v>
      </c>
      <c r="G71">
        <f>COUNTIF('Metrics - Articles'!H70,"*LATAM*")</f>
        <v>0</v>
      </c>
      <c r="H71">
        <f>COUNTIF('Metrics - Articles'!H70,"*China*")</f>
        <v>0</v>
      </c>
      <c r="J71" s="53">
        <f t="shared" si="1"/>
        <v>1</v>
      </c>
    </row>
    <row r="72" spans="2:10" x14ac:dyDescent="0.25">
      <c r="B72" s="48">
        <f>+'Metrics - Articles'!C71</f>
        <v>42065</v>
      </c>
      <c r="C72">
        <f>COUNTIF('Metrics - Articles'!H71,"*Global*")</f>
        <v>0</v>
      </c>
      <c r="D72">
        <f>COUNTIF('Metrics - Articles'!H71,"*EMEA*")</f>
        <v>1</v>
      </c>
      <c r="E72">
        <f>COUNTIF('Metrics - Articles'!H71,"*NA*")</f>
        <v>0</v>
      </c>
      <c r="F72">
        <f>COUNTIF('Metrics - Articles'!H71,"*APJ")</f>
        <v>0</v>
      </c>
      <c r="G72">
        <f>COUNTIF('Metrics - Articles'!H71,"*LATAM*")</f>
        <v>0</v>
      </c>
      <c r="H72">
        <f>COUNTIF('Metrics - Articles'!H71,"*China*")</f>
        <v>0</v>
      </c>
      <c r="J72" s="53">
        <f t="shared" si="1"/>
        <v>1</v>
      </c>
    </row>
    <row r="73" spans="2:10" x14ac:dyDescent="0.25">
      <c r="B73" s="48">
        <f>+'Metrics - Articles'!C72</f>
        <v>42065</v>
      </c>
      <c r="C73">
        <f>COUNTIF('Metrics - Articles'!H72,"*Global*")</f>
        <v>0</v>
      </c>
      <c r="D73">
        <f>COUNTIF('Metrics - Articles'!H72,"*EMEA*")</f>
        <v>1</v>
      </c>
      <c r="E73">
        <f>COUNTIF('Metrics - Articles'!H72,"*NA*")</f>
        <v>0</v>
      </c>
      <c r="F73">
        <f>COUNTIF('Metrics - Articles'!H72,"*APJ")</f>
        <v>0</v>
      </c>
      <c r="G73">
        <f>COUNTIF('Metrics - Articles'!H72,"*LATAM*")</f>
        <v>0</v>
      </c>
      <c r="H73">
        <f>COUNTIF('Metrics - Articles'!H72,"*China*")</f>
        <v>0</v>
      </c>
      <c r="J73" s="53">
        <f t="shared" si="1"/>
        <v>1</v>
      </c>
    </row>
    <row r="74" spans="2:10" x14ac:dyDescent="0.25">
      <c r="B74" s="48">
        <f>+'Metrics - Articles'!C73</f>
        <v>42065</v>
      </c>
      <c r="C74">
        <f>COUNTIF('Metrics - Articles'!H73,"*Global*")</f>
        <v>0</v>
      </c>
      <c r="D74">
        <f>COUNTIF('Metrics - Articles'!H73,"*EMEA*")</f>
        <v>0</v>
      </c>
      <c r="E74">
        <f>COUNTIF('Metrics - Articles'!H73,"*NA*")</f>
        <v>1</v>
      </c>
      <c r="F74">
        <f>COUNTIF('Metrics - Articles'!H73,"*APJ")</f>
        <v>0</v>
      </c>
      <c r="G74">
        <f>COUNTIF('Metrics - Articles'!H73,"*LATAM*")</f>
        <v>0</v>
      </c>
      <c r="H74">
        <f>COUNTIF('Metrics - Articles'!H73,"*China*")</f>
        <v>1</v>
      </c>
      <c r="J74" s="53">
        <f t="shared" ref="J74:J137" si="2">SUM(C74:I74)</f>
        <v>2</v>
      </c>
    </row>
    <row r="75" spans="2:10" x14ac:dyDescent="0.25">
      <c r="B75" s="48">
        <f>+'Metrics - Articles'!C74</f>
        <v>42066</v>
      </c>
      <c r="C75">
        <f>COUNTIF('Metrics - Articles'!H74,"*Global*")</f>
        <v>0</v>
      </c>
      <c r="D75">
        <f>COUNTIF('Metrics - Articles'!H74,"*EMEA*")</f>
        <v>1</v>
      </c>
      <c r="E75">
        <f>COUNTIF('Metrics - Articles'!H74,"*NA*")</f>
        <v>0</v>
      </c>
      <c r="F75">
        <f>COUNTIF('Metrics - Articles'!H74,"*APJ")</f>
        <v>0</v>
      </c>
      <c r="G75">
        <f>COUNTIF('Metrics - Articles'!H74,"*LATAM*")</f>
        <v>0</v>
      </c>
      <c r="H75">
        <f>COUNTIF('Metrics - Articles'!H74,"*China*")</f>
        <v>0</v>
      </c>
      <c r="J75" s="53">
        <f t="shared" si="2"/>
        <v>1</v>
      </c>
    </row>
    <row r="76" spans="2:10" x14ac:dyDescent="0.25">
      <c r="B76" s="48">
        <f>+'Metrics - Articles'!C75</f>
        <v>42067</v>
      </c>
      <c r="C76">
        <f>COUNTIF('Metrics - Articles'!H75,"*Global*")</f>
        <v>1</v>
      </c>
      <c r="D76">
        <f>COUNTIF('Metrics - Articles'!H75,"*EMEA*")</f>
        <v>0</v>
      </c>
      <c r="E76">
        <f>COUNTIF('Metrics - Articles'!H75,"*NA*")</f>
        <v>0</v>
      </c>
      <c r="F76">
        <f>COUNTIF('Metrics - Articles'!H75,"*APJ")</f>
        <v>0</v>
      </c>
      <c r="G76">
        <f>COUNTIF('Metrics - Articles'!H75,"*LATAM*")</f>
        <v>0</v>
      </c>
      <c r="H76">
        <f>COUNTIF('Metrics - Articles'!H75,"*China*")</f>
        <v>0</v>
      </c>
      <c r="J76" s="53">
        <f t="shared" si="2"/>
        <v>1</v>
      </c>
    </row>
    <row r="77" spans="2:10" x14ac:dyDescent="0.25">
      <c r="B77" s="48">
        <f>+'Metrics - Articles'!C76</f>
        <v>42067</v>
      </c>
      <c r="C77">
        <f>COUNTIF('Metrics - Articles'!H76,"*Global*")</f>
        <v>1</v>
      </c>
      <c r="D77">
        <f>COUNTIF('Metrics - Articles'!H76,"*EMEA*")</f>
        <v>0</v>
      </c>
      <c r="E77">
        <f>COUNTIF('Metrics - Articles'!H76,"*NA*")</f>
        <v>0</v>
      </c>
      <c r="F77">
        <f>COUNTIF('Metrics - Articles'!H76,"*APJ")</f>
        <v>0</v>
      </c>
      <c r="G77">
        <f>COUNTIF('Metrics - Articles'!H76,"*LATAM*")</f>
        <v>0</v>
      </c>
      <c r="H77">
        <f>COUNTIF('Metrics - Articles'!H76,"*China*")</f>
        <v>0</v>
      </c>
      <c r="J77" s="53">
        <f t="shared" si="2"/>
        <v>1</v>
      </c>
    </row>
    <row r="78" spans="2:10" x14ac:dyDescent="0.25">
      <c r="B78" s="48">
        <f>+'Metrics - Articles'!C77</f>
        <v>42067</v>
      </c>
      <c r="C78">
        <f>COUNTIF('Metrics - Articles'!H77,"*Global*")</f>
        <v>0</v>
      </c>
      <c r="D78">
        <f>COUNTIF('Metrics - Articles'!H77,"*EMEA*")</f>
        <v>1</v>
      </c>
      <c r="E78">
        <f>COUNTIF('Metrics - Articles'!H77,"*NA*")</f>
        <v>0</v>
      </c>
      <c r="F78">
        <f>COUNTIF('Metrics - Articles'!H77,"*APJ")</f>
        <v>0</v>
      </c>
      <c r="G78">
        <f>COUNTIF('Metrics - Articles'!H77,"*LATAM*")</f>
        <v>0</v>
      </c>
      <c r="H78">
        <f>COUNTIF('Metrics - Articles'!H77,"*China*")</f>
        <v>0</v>
      </c>
      <c r="J78" s="53">
        <f t="shared" si="2"/>
        <v>1</v>
      </c>
    </row>
    <row r="79" spans="2:10" x14ac:dyDescent="0.25">
      <c r="B79" s="48">
        <f>+'Metrics - Articles'!C78</f>
        <v>42068</v>
      </c>
      <c r="C79">
        <f>COUNTIF('Metrics - Articles'!H78,"*Global*")</f>
        <v>1</v>
      </c>
      <c r="D79">
        <f>COUNTIF('Metrics - Articles'!H78,"*EMEA*")</f>
        <v>0</v>
      </c>
      <c r="E79">
        <f>COUNTIF('Metrics - Articles'!H78,"*NA*")</f>
        <v>0</v>
      </c>
      <c r="F79">
        <f>COUNTIF('Metrics - Articles'!H78,"*APJ")</f>
        <v>0</v>
      </c>
      <c r="G79">
        <f>COUNTIF('Metrics - Articles'!H78,"*LATAM*")</f>
        <v>0</v>
      </c>
      <c r="H79">
        <f>COUNTIF('Metrics - Articles'!H78,"*China*")</f>
        <v>0</v>
      </c>
      <c r="J79" s="53">
        <f t="shared" si="2"/>
        <v>1</v>
      </c>
    </row>
    <row r="80" spans="2:10" x14ac:dyDescent="0.25">
      <c r="B80" s="48">
        <f>+'Metrics - Articles'!C79</f>
        <v>42069</v>
      </c>
      <c r="C80">
        <f>COUNTIF('Metrics - Articles'!H79,"*Global*")</f>
        <v>1</v>
      </c>
      <c r="D80">
        <f>COUNTIF('Metrics - Articles'!H79,"*EMEA*")</f>
        <v>0</v>
      </c>
      <c r="E80">
        <f>COUNTIF('Metrics - Articles'!H79,"*NA*")</f>
        <v>0</v>
      </c>
      <c r="F80">
        <f>COUNTIF('Metrics - Articles'!H79,"*APJ")</f>
        <v>0</v>
      </c>
      <c r="G80">
        <f>COUNTIF('Metrics - Articles'!H79,"*LATAM*")</f>
        <v>0</v>
      </c>
      <c r="H80">
        <f>COUNTIF('Metrics - Articles'!H79,"*China*")</f>
        <v>0</v>
      </c>
      <c r="J80" s="53">
        <f t="shared" si="2"/>
        <v>1</v>
      </c>
    </row>
    <row r="81" spans="2:10" x14ac:dyDescent="0.25">
      <c r="B81" s="48">
        <f>+'Metrics - Articles'!C80</f>
        <v>42069</v>
      </c>
      <c r="C81">
        <f>COUNTIF('Metrics - Articles'!H80,"*Global*")</f>
        <v>1</v>
      </c>
      <c r="D81">
        <f>COUNTIF('Metrics - Articles'!H80,"*EMEA*")</f>
        <v>0</v>
      </c>
      <c r="E81">
        <f>COUNTIF('Metrics - Articles'!H80,"*NA*")</f>
        <v>0</v>
      </c>
      <c r="F81">
        <f>COUNTIF('Metrics - Articles'!H80,"*APJ")</f>
        <v>0</v>
      </c>
      <c r="G81">
        <f>COUNTIF('Metrics - Articles'!H80,"*LATAM*")</f>
        <v>0</v>
      </c>
      <c r="H81">
        <f>COUNTIF('Metrics - Articles'!H80,"*China*")</f>
        <v>0</v>
      </c>
      <c r="J81" s="53">
        <f t="shared" si="2"/>
        <v>1</v>
      </c>
    </row>
    <row r="82" spans="2:10" x14ac:dyDescent="0.25">
      <c r="B82" s="48">
        <f>+'Metrics - Articles'!C81</f>
        <v>42073</v>
      </c>
      <c r="C82">
        <f>COUNTIF('Metrics - Articles'!H81,"*Global*")</f>
        <v>1</v>
      </c>
      <c r="D82">
        <f>COUNTIF('Metrics - Articles'!H81,"*EMEA*")</f>
        <v>0</v>
      </c>
      <c r="E82">
        <f>COUNTIF('Metrics - Articles'!H81,"*NA*")</f>
        <v>0</v>
      </c>
      <c r="F82">
        <f>COUNTIF('Metrics - Articles'!H81,"*APJ")</f>
        <v>0</v>
      </c>
      <c r="G82">
        <f>COUNTIF('Metrics - Articles'!H81,"*LATAM*")</f>
        <v>0</v>
      </c>
      <c r="H82">
        <f>COUNTIF('Metrics - Articles'!H81,"*China*")</f>
        <v>0</v>
      </c>
      <c r="J82" s="53">
        <f t="shared" si="2"/>
        <v>1</v>
      </c>
    </row>
    <row r="83" spans="2:10" x14ac:dyDescent="0.25">
      <c r="B83" s="48">
        <f>+'Metrics - Articles'!C82</f>
        <v>42073</v>
      </c>
      <c r="C83">
        <f>COUNTIF('Metrics - Articles'!H82,"*Global*")</f>
        <v>1</v>
      </c>
      <c r="D83">
        <f>COUNTIF('Metrics - Articles'!H82,"*EMEA*")</f>
        <v>0</v>
      </c>
      <c r="E83">
        <f>COUNTIF('Metrics - Articles'!H82,"*NA*")</f>
        <v>0</v>
      </c>
      <c r="F83">
        <f>COUNTIF('Metrics - Articles'!H82,"*APJ")</f>
        <v>0</v>
      </c>
      <c r="G83">
        <f>COUNTIF('Metrics - Articles'!H82,"*LATAM*")</f>
        <v>0</v>
      </c>
      <c r="H83">
        <f>COUNTIF('Metrics - Articles'!H82,"*China*")</f>
        <v>0</v>
      </c>
      <c r="J83" s="53">
        <f t="shared" si="2"/>
        <v>1</v>
      </c>
    </row>
    <row r="84" spans="2:10" x14ac:dyDescent="0.25">
      <c r="B84" s="48">
        <f>+'Metrics - Articles'!C83</f>
        <v>42074</v>
      </c>
      <c r="C84">
        <f>COUNTIF('Metrics - Articles'!H83,"*Global*")</f>
        <v>1</v>
      </c>
      <c r="D84">
        <f>COUNTIF('Metrics - Articles'!H83,"*EMEA*")</f>
        <v>0</v>
      </c>
      <c r="E84">
        <f>COUNTIF('Metrics - Articles'!H83,"*NA*")</f>
        <v>0</v>
      </c>
      <c r="F84">
        <f>COUNTIF('Metrics - Articles'!H83,"*APJ")</f>
        <v>0</v>
      </c>
      <c r="G84">
        <f>COUNTIF('Metrics - Articles'!H83,"*LATAM*")</f>
        <v>0</v>
      </c>
      <c r="H84">
        <f>COUNTIF('Metrics - Articles'!H83,"*China*")</f>
        <v>0</v>
      </c>
      <c r="J84" s="53">
        <f t="shared" si="2"/>
        <v>1</v>
      </c>
    </row>
    <row r="85" spans="2:10" x14ac:dyDescent="0.25">
      <c r="B85" s="48">
        <f>+'Metrics - Articles'!C84</f>
        <v>42074</v>
      </c>
      <c r="C85">
        <f>COUNTIF('Metrics - Articles'!H84,"*Global*")</f>
        <v>0</v>
      </c>
      <c r="D85">
        <f>COUNTIF('Metrics - Articles'!H84,"*EMEA*")</f>
        <v>0</v>
      </c>
      <c r="E85">
        <f>COUNTIF('Metrics - Articles'!H84,"*NA*")</f>
        <v>0</v>
      </c>
      <c r="F85">
        <f>COUNTIF('Metrics - Articles'!H84,"*APJ")</f>
        <v>1</v>
      </c>
      <c r="G85">
        <f>COUNTIF('Metrics - Articles'!H84,"*LATAM*")</f>
        <v>0</v>
      </c>
      <c r="H85">
        <f>COUNTIF('Metrics - Articles'!H84,"*China*")</f>
        <v>0</v>
      </c>
      <c r="J85" s="53">
        <f t="shared" si="2"/>
        <v>1</v>
      </c>
    </row>
    <row r="86" spans="2:10" x14ac:dyDescent="0.25">
      <c r="B86" s="48">
        <f>+'Metrics - Articles'!C85</f>
        <v>42075</v>
      </c>
      <c r="C86">
        <f>COUNTIF('Metrics - Articles'!H85,"*Global*")</f>
        <v>1</v>
      </c>
      <c r="D86">
        <f>COUNTIF('Metrics - Articles'!H85,"*EMEA*")</f>
        <v>0</v>
      </c>
      <c r="E86">
        <f>COUNTIF('Metrics - Articles'!H85,"*NA*")</f>
        <v>0</v>
      </c>
      <c r="F86">
        <f>COUNTIF('Metrics - Articles'!H85,"*APJ")</f>
        <v>0</v>
      </c>
      <c r="G86">
        <f>COUNTIF('Metrics - Articles'!H85,"*LATAM*")</f>
        <v>0</v>
      </c>
      <c r="H86">
        <f>COUNTIF('Metrics - Articles'!H85,"*China*")</f>
        <v>0</v>
      </c>
      <c r="J86" s="53">
        <f t="shared" si="2"/>
        <v>1</v>
      </c>
    </row>
    <row r="87" spans="2:10" x14ac:dyDescent="0.25">
      <c r="B87" s="48">
        <f>+'Metrics - Articles'!C86</f>
        <v>42076</v>
      </c>
      <c r="C87">
        <f>COUNTIF('Metrics - Articles'!H86,"*Global*")</f>
        <v>1</v>
      </c>
      <c r="D87">
        <f>COUNTIF('Metrics - Articles'!H86,"*EMEA*")</f>
        <v>0</v>
      </c>
      <c r="E87">
        <f>COUNTIF('Metrics - Articles'!H86,"*NA*")</f>
        <v>0</v>
      </c>
      <c r="F87">
        <f>COUNTIF('Metrics - Articles'!H86,"*APJ")</f>
        <v>0</v>
      </c>
      <c r="G87">
        <f>COUNTIF('Metrics - Articles'!H86,"*LATAM*")</f>
        <v>0</v>
      </c>
      <c r="H87">
        <f>COUNTIF('Metrics - Articles'!H86,"*China*")</f>
        <v>0</v>
      </c>
      <c r="J87" s="53">
        <f t="shared" si="2"/>
        <v>1</v>
      </c>
    </row>
    <row r="88" spans="2:10" x14ac:dyDescent="0.25">
      <c r="B88" s="48">
        <f>+'Metrics - Articles'!C87</f>
        <v>42076</v>
      </c>
      <c r="C88">
        <f>COUNTIF('Metrics - Articles'!H87,"*Global*")</f>
        <v>1</v>
      </c>
      <c r="D88">
        <f>COUNTIF('Metrics - Articles'!H87,"*EMEA*")</f>
        <v>0</v>
      </c>
      <c r="E88">
        <f>COUNTIF('Metrics - Articles'!H87,"*NA*")</f>
        <v>0</v>
      </c>
      <c r="F88">
        <f>COUNTIF('Metrics - Articles'!H87,"*APJ")</f>
        <v>0</v>
      </c>
      <c r="G88">
        <f>COUNTIF('Metrics - Articles'!H87,"*LATAM*")</f>
        <v>0</v>
      </c>
      <c r="H88">
        <f>COUNTIF('Metrics - Articles'!H87,"*China*")</f>
        <v>0</v>
      </c>
      <c r="J88" s="53">
        <f t="shared" si="2"/>
        <v>1</v>
      </c>
    </row>
    <row r="89" spans="2:10" x14ac:dyDescent="0.25">
      <c r="B89" s="48">
        <f>+'Metrics - Articles'!C88</f>
        <v>42079</v>
      </c>
      <c r="C89">
        <f>COUNTIF('Metrics - Articles'!H88,"*Global*")</f>
        <v>1</v>
      </c>
      <c r="D89">
        <f>COUNTIF('Metrics - Articles'!H88,"*EMEA*")</f>
        <v>0</v>
      </c>
      <c r="E89">
        <f>COUNTIF('Metrics - Articles'!H88,"*NA*")</f>
        <v>0</v>
      </c>
      <c r="F89">
        <f>COUNTIF('Metrics - Articles'!H88,"*APJ")</f>
        <v>0</v>
      </c>
      <c r="G89">
        <f>COUNTIF('Metrics - Articles'!H88,"*LATAM*")</f>
        <v>0</v>
      </c>
      <c r="H89">
        <f>COUNTIF('Metrics - Articles'!H88,"*China*")</f>
        <v>0</v>
      </c>
      <c r="J89" s="53">
        <f t="shared" si="2"/>
        <v>1</v>
      </c>
    </row>
    <row r="90" spans="2:10" x14ac:dyDescent="0.25">
      <c r="B90" s="48">
        <f>+'Metrics - Articles'!C89</f>
        <v>42080</v>
      </c>
      <c r="C90">
        <f>COUNTIF('Metrics - Articles'!H89,"*Global*")</f>
        <v>0</v>
      </c>
      <c r="D90">
        <f>COUNTIF('Metrics - Articles'!H89,"*EMEA*")</f>
        <v>0</v>
      </c>
      <c r="E90">
        <f>COUNTIF('Metrics - Articles'!H89,"*NA*")</f>
        <v>1</v>
      </c>
      <c r="F90">
        <f>COUNTIF('Metrics - Articles'!H89,"*APJ")</f>
        <v>0</v>
      </c>
      <c r="G90">
        <f>COUNTIF('Metrics - Articles'!H89,"*LATAM*")</f>
        <v>0</v>
      </c>
      <c r="H90">
        <f>COUNTIF('Metrics - Articles'!H89,"*China*")</f>
        <v>0</v>
      </c>
      <c r="J90" s="53">
        <f t="shared" si="2"/>
        <v>1</v>
      </c>
    </row>
    <row r="91" spans="2:10" x14ac:dyDescent="0.25">
      <c r="B91" s="48">
        <f>+'Metrics - Articles'!C90</f>
        <v>42080</v>
      </c>
      <c r="C91">
        <f>COUNTIF('Metrics - Articles'!H90,"*Global*")</f>
        <v>1</v>
      </c>
      <c r="D91">
        <f>COUNTIF('Metrics - Articles'!H90,"*EMEA*")</f>
        <v>0</v>
      </c>
      <c r="E91">
        <f>COUNTIF('Metrics - Articles'!H90,"*NA*")</f>
        <v>0</v>
      </c>
      <c r="F91">
        <f>COUNTIF('Metrics - Articles'!H90,"*APJ")</f>
        <v>0</v>
      </c>
      <c r="G91">
        <f>COUNTIF('Metrics - Articles'!H90,"*LATAM*")</f>
        <v>0</v>
      </c>
      <c r="H91">
        <f>COUNTIF('Metrics - Articles'!H90,"*China*")</f>
        <v>0</v>
      </c>
      <c r="J91" s="53">
        <f t="shared" si="2"/>
        <v>1</v>
      </c>
    </row>
    <row r="92" spans="2:10" x14ac:dyDescent="0.25">
      <c r="B92" s="48">
        <f>+'Metrics - Articles'!C91</f>
        <v>42081</v>
      </c>
      <c r="C92">
        <f>COUNTIF('Metrics - Articles'!H91,"*Global*")</f>
        <v>0</v>
      </c>
      <c r="D92">
        <f>COUNTIF('Metrics - Articles'!H91,"*EMEA*")</f>
        <v>1</v>
      </c>
      <c r="E92">
        <f>COUNTIF('Metrics - Articles'!H91,"*NA*")</f>
        <v>0</v>
      </c>
      <c r="F92">
        <f>COUNTIF('Metrics - Articles'!H91,"*APJ")</f>
        <v>0</v>
      </c>
      <c r="G92">
        <f>COUNTIF('Metrics - Articles'!H91,"*LATAM*")</f>
        <v>0</v>
      </c>
      <c r="H92">
        <f>COUNTIF('Metrics - Articles'!H91,"*China*")</f>
        <v>0</v>
      </c>
      <c r="J92" s="53">
        <f t="shared" si="2"/>
        <v>1</v>
      </c>
    </row>
    <row r="93" spans="2:10" x14ac:dyDescent="0.25">
      <c r="B93" s="48">
        <f>+'Metrics - Articles'!C92</f>
        <v>42081</v>
      </c>
      <c r="C93">
        <f>COUNTIF('Metrics - Articles'!H92,"*Global*")</f>
        <v>0</v>
      </c>
      <c r="D93">
        <f>COUNTIF('Metrics - Articles'!H92,"*EMEA*")</f>
        <v>0</v>
      </c>
      <c r="E93">
        <f>COUNTIF('Metrics - Articles'!H92,"*NA*")</f>
        <v>0</v>
      </c>
      <c r="F93">
        <f>COUNTIF('Metrics - Articles'!H92,"*APJ")</f>
        <v>0</v>
      </c>
      <c r="G93">
        <f>COUNTIF('Metrics - Articles'!H92,"*LATAM*")</f>
        <v>1</v>
      </c>
      <c r="H93">
        <f>COUNTIF('Metrics - Articles'!H92,"*China*")</f>
        <v>0</v>
      </c>
      <c r="J93" s="53">
        <f t="shared" si="2"/>
        <v>1</v>
      </c>
    </row>
    <row r="94" spans="2:10" x14ac:dyDescent="0.25">
      <c r="B94" s="48">
        <f>+'Metrics - Articles'!C93</f>
        <v>42082</v>
      </c>
      <c r="C94">
        <f>COUNTIF('Metrics - Articles'!H93,"*Global*")</f>
        <v>1</v>
      </c>
      <c r="D94">
        <f>COUNTIF('Metrics - Articles'!H93,"*EMEA*")</f>
        <v>0</v>
      </c>
      <c r="E94">
        <f>COUNTIF('Metrics - Articles'!H93,"*NA*")</f>
        <v>0</v>
      </c>
      <c r="F94">
        <f>COUNTIF('Metrics - Articles'!H93,"*APJ")</f>
        <v>0</v>
      </c>
      <c r="G94">
        <f>COUNTIF('Metrics - Articles'!H93,"*LATAM*")</f>
        <v>0</v>
      </c>
      <c r="H94">
        <f>COUNTIF('Metrics - Articles'!H93,"*China*")</f>
        <v>0</v>
      </c>
      <c r="J94" s="53">
        <f t="shared" si="2"/>
        <v>1</v>
      </c>
    </row>
    <row r="95" spans="2:10" x14ac:dyDescent="0.25">
      <c r="B95" s="48">
        <f>+'Metrics - Articles'!C94</f>
        <v>42083</v>
      </c>
      <c r="C95">
        <f>COUNTIF('Metrics - Articles'!H94,"*Global*")</f>
        <v>1</v>
      </c>
      <c r="D95">
        <f>COUNTIF('Metrics - Articles'!H94,"*EMEA*")</f>
        <v>0</v>
      </c>
      <c r="E95">
        <f>COUNTIF('Metrics - Articles'!H94,"*NA*")</f>
        <v>0</v>
      </c>
      <c r="F95">
        <f>COUNTIF('Metrics - Articles'!H94,"*APJ")</f>
        <v>0</v>
      </c>
      <c r="G95">
        <f>COUNTIF('Metrics - Articles'!H94,"*LATAM*")</f>
        <v>0</v>
      </c>
      <c r="H95">
        <f>COUNTIF('Metrics - Articles'!H94,"*China*")</f>
        <v>0</v>
      </c>
      <c r="J95" s="53">
        <f t="shared" si="2"/>
        <v>1</v>
      </c>
    </row>
    <row r="96" spans="2:10" x14ac:dyDescent="0.25">
      <c r="B96" s="48">
        <f>+'Metrics - Articles'!C95</f>
        <v>42083</v>
      </c>
      <c r="C96">
        <f>COUNTIF('Metrics - Articles'!H95,"*Global*")</f>
        <v>1</v>
      </c>
      <c r="D96">
        <f>COUNTIF('Metrics - Articles'!H95,"*EMEA*")</f>
        <v>0</v>
      </c>
      <c r="E96">
        <f>COUNTIF('Metrics - Articles'!H95,"*NA*")</f>
        <v>0</v>
      </c>
      <c r="F96">
        <f>COUNTIF('Metrics - Articles'!H95,"*APJ")</f>
        <v>0</v>
      </c>
      <c r="G96">
        <f>COUNTIF('Metrics - Articles'!H95,"*LATAM*")</f>
        <v>0</v>
      </c>
      <c r="H96">
        <f>COUNTIF('Metrics - Articles'!H95,"*China*")</f>
        <v>0</v>
      </c>
      <c r="J96" s="53">
        <f t="shared" si="2"/>
        <v>1</v>
      </c>
    </row>
    <row r="97" spans="2:10" x14ac:dyDescent="0.25">
      <c r="B97" s="48">
        <f>+'Metrics - Articles'!C96</f>
        <v>42086</v>
      </c>
      <c r="C97">
        <f>COUNTIF('Metrics - Articles'!H96,"*Global*")</f>
        <v>1</v>
      </c>
      <c r="D97">
        <f>COUNTIF('Metrics - Articles'!H96,"*EMEA*")</f>
        <v>0</v>
      </c>
      <c r="E97">
        <f>COUNTIF('Metrics - Articles'!H96,"*NA*")</f>
        <v>0</v>
      </c>
      <c r="F97">
        <f>COUNTIF('Metrics - Articles'!H96,"*APJ")</f>
        <v>0</v>
      </c>
      <c r="G97">
        <f>COUNTIF('Metrics - Articles'!H96,"*LATAM*")</f>
        <v>0</v>
      </c>
      <c r="H97">
        <f>COUNTIF('Metrics - Articles'!H96,"*China*")</f>
        <v>0</v>
      </c>
      <c r="J97" s="53">
        <f t="shared" si="2"/>
        <v>1</v>
      </c>
    </row>
    <row r="98" spans="2:10" x14ac:dyDescent="0.25">
      <c r="B98" s="48">
        <f>+'Metrics - Articles'!C97</f>
        <v>42086</v>
      </c>
      <c r="C98">
        <f>COUNTIF('Metrics - Articles'!H97,"*Global*")</f>
        <v>1</v>
      </c>
      <c r="D98">
        <f>COUNTIF('Metrics - Articles'!H97,"*EMEA*")</f>
        <v>0</v>
      </c>
      <c r="E98">
        <f>COUNTIF('Metrics - Articles'!H97,"*NA*")</f>
        <v>0</v>
      </c>
      <c r="F98">
        <f>COUNTIF('Metrics - Articles'!H97,"*APJ")</f>
        <v>0</v>
      </c>
      <c r="G98">
        <f>COUNTIF('Metrics - Articles'!H97,"*LATAM*")</f>
        <v>0</v>
      </c>
      <c r="H98">
        <f>COUNTIF('Metrics - Articles'!H97,"*China*")</f>
        <v>0</v>
      </c>
      <c r="J98" s="53">
        <f t="shared" si="2"/>
        <v>1</v>
      </c>
    </row>
    <row r="99" spans="2:10" x14ac:dyDescent="0.25">
      <c r="B99" s="48">
        <f>+'Metrics - Articles'!C98</f>
        <v>42087</v>
      </c>
      <c r="C99">
        <f>COUNTIF('Metrics - Articles'!H98,"*Global*")</f>
        <v>0</v>
      </c>
      <c r="D99">
        <f>COUNTIF('Metrics - Articles'!H98,"*EMEA*")</f>
        <v>0</v>
      </c>
      <c r="E99">
        <f>COUNTIF('Metrics - Articles'!H98,"*NA*")</f>
        <v>1</v>
      </c>
      <c r="F99">
        <f>COUNTIF('Metrics - Articles'!H98,"*APJ")</f>
        <v>0</v>
      </c>
      <c r="G99">
        <f>COUNTIF('Metrics - Articles'!H98,"*LATAM*")</f>
        <v>0</v>
      </c>
      <c r="H99">
        <f>COUNTIF('Metrics - Articles'!H98,"*China*")</f>
        <v>0</v>
      </c>
      <c r="J99" s="53">
        <f t="shared" si="2"/>
        <v>1</v>
      </c>
    </row>
    <row r="100" spans="2:10" x14ac:dyDescent="0.25">
      <c r="B100" s="48">
        <f>+'Metrics - Articles'!C99</f>
        <v>42087</v>
      </c>
      <c r="C100">
        <f>COUNTIF('Metrics - Articles'!H99,"*Global*")</f>
        <v>0</v>
      </c>
      <c r="D100">
        <f>COUNTIF('Metrics - Articles'!H99,"*EMEA*")</f>
        <v>1</v>
      </c>
      <c r="E100">
        <f>COUNTIF('Metrics - Articles'!H99,"*NA*")</f>
        <v>0</v>
      </c>
      <c r="F100">
        <f>COUNTIF('Metrics - Articles'!H99,"*APJ")</f>
        <v>0</v>
      </c>
      <c r="G100">
        <f>COUNTIF('Metrics - Articles'!H99,"*LATAM*")</f>
        <v>0</v>
      </c>
      <c r="H100">
        <f>COUNTIF('Metrics - Articles'!H99,"*China*")</f>
        <v>0</v>
      </c>
      <c r="J100" s="53">
        <f t="shared" si="2"/>
        <v>1</v>
      </c>
    </row>
    <row r="101" spans="2:10" x14ac:dyDescent="0.25">
      <c r="B101" s="48">
        <f>+'Metrics - Articles'!C100</f>
        <v>42088</v>
      </c>
      <c r="C101">
        <f>COUNTIF('Metrics - Articles'!H100,"*Global*")</f>
        <v>1</v>
      </c>
      <c r="D101">
        <f>COUNTIF('Metrics - Articles'!H100,"*EMEA*")</f>
        <v>0</v>
      </c>
      <c r="E101">
        <f>COUNTIF('Metrics - Articles'!H100,"*NA*")</f>
        <v>0</v>
      </c>
      <c r="F101">
        <f>COUNTIF('Metrics - Articles'!H100,"*APJ")</f>
        <v>0</v>
      </c>
      <c r="G101">
        <f>COUNTIF('Metrics - Articles'!H100,"*LATAM*")</f>
        <v>0</v>
      </c>
      <c r="H101">
        <f>COUNTIF('Metrics - Articles'!H100,"*China*")</f>
        <v>0</v>
      </c>
      <c r="J101" s="53">
        <f t="shared" si="2"/>
        <v>1</v>
      </c>
    </row>
    <row r="102" spans="2:10" x14ac:dyDescent="0.25">
      <c r="B102" s="48">
        <f>+'Metrics - Articles'!C101</f>
        <v>42089</v>
      </c>
      <c r="C102">
        <f>COUNTIF('Metrics - Articles'!H101,"*Global*")</f>
        <v>1</v>
      </c>
      <c r="D102">
        <f>COUNTIF('Metrics - Articles'!H101,"*EMEA*")</f>
        <v>0</v>
      </c>
      <c r="E102">
        <f>COUNTIF('Metrics - Articles'!H101,"*NA*")</f>
        <v>0</v>
      </c>
      <c r="F102">
        <f>COUNTIF('Metrics - Articles'!H101,"*APJ")</f>
        <v>0</v>
      </c>
      <c r="G102">
        <f>COUNTIF('Metrics - Articles'!H101,"*LATAM*")</f>
        <v>0</v>
      </c>
      <c r="H102">
        <f>COUNTIF('Metrics - Articles'!H101,"*China*")</f>
        <v>0</v>
      </c>
      <c r="J102" s="53">
        <f t="shared" si="2"/>
        <v>1</v>
      </c>
    </row>
    <row r="103" spans="2:10" x14ac:dyDescent="0.25">
      <c r="B103" s="48">
        <f>+'Metrics - Articles'!C102</f>
        <v>42089</v>
      </c>
      <c r="C103">
        <f>COUNTIF('Metrics - Articles'!H102,"*Global*")</f>
        <v>0</v>
      </c>
      <c r="D103">
        <f>COUNTIF('Metrics - Articles'!H102,"*EMEA*")</f>
        <v>0</v>
      </c>
      <c r="E103">
        <f>COUNTIF('Metrics - Articles'!H102,"*NA*")</f>
        <v>0</v>
      </c>
      <c r="F103">
        <f>COUNTIF('Metrics - Articles'!H102,"*APJ")</f>
        <v>0</v>
      </c>
      <c r="G103">
        <f>COUNTIF('Metrics - Articles'!H102,"*LATAM*")</f>
        <v>1</v>
      </c>
      <c r="H103">
        <f>COUNTIF('Metrics - Articles'!H102,"*China*")</f>
        <v>0</v>
      </c>
      <c r="J103" s="53">
        <f t="shared" si="2"/>
        <v>1</v>
      </c>
    </row>
    <row r="104" spans="2:10" x14ac:dyDescent="0.25">
      <c r="B104" s="48">
        <f>+'Metrics - Articles'!C103</f>
        <v>42093</v>
      </c>
      <c r="C104">
        <f>COUNTIF('Metrics - Articles'!H103,"*Global*")</f>
        <v>0</v>
      </c>
      <c r="D104">
        <f>COUNTIF('Metrics - Articles'!H103,"*EMEA*")</f>
        <v>1</v>
      </c>
      <c r="E104">
        <f>COUNTIF('Metrics - Articles'!H103,"*NA*")</f>
        <v>0</v>
      </c>
      <c r="F104">
        <f>COUNTIF('Metrics - Articles'!H103,"*APJ")</f>
        <v>0</v>
      </c>
      <c r="G104">
        <f>COUNTIF('Metrics - Articles'!H103,"*LATAM*")</f>
        <v>0</v>
      </c>
      <c r="H104">
        <f>COUNTIF('Metrics - Articles'!H103,"*China*")</f>
        <v>0</v>
      </c>
      <c r="J104" s="53">
        <f t="shared" si="2"/>
        <v>1</v>
      </c>
    </row>
    <row r="105" spans="2:10" x14ac:dyDescent="0.25">
      <c r="B105" s="48">
        <f>+'Metrics - Articles'!C104</f>
        <v>42094</v>
      </c>
      <c r="C105">
        <f>COUNTIF('Metrics - Articles'!H104,"*Global*")</f>
        <v>1</v>
      </c>
      <c r="D105">
        <f>COUNTIF('Metrics - Articles'!H104,"*EMEA*")</f>
        <v>0</v>
      </c>
      <c r="E105">
        <f>COUNTIF('Metrics - Articles'!H104,"*NA*")</f>
        <v>0</v>
      </c>
      <c r="F105">
        <f>COUNTIF('Metrics - Articles'!H104,"*APJ")</f>
        <v>0</v>
      </c>
      <c r="G105">
        <f>COUNTIF('Metrics - Articles'!H104,"*LATAM*")</f>
        <v>0</v>
      </c>
      <c r="H105">
        <f>COUNTIF('Metrics - Articles'!H104,"*China*")</f>
        <v>0</v>
      </c>
      <c r="J105" s="53">
        <f t="shared" si="2"/>
        <v>1</v>
      </c>
    </row>
    <row r="106" spans="2:10" x14ac:dyDescent="0.25">
      <c r="B106" s="48">
        <f>+'Metrics - Articles'!C105</f>
        <v>42094</v>
      </c>
      <c r="C106">
        <f>COUNTIF('Metrics - Articles'!H105,"*Global*")</f>
        <v>0</v>
      </c>
      <c r="D106">
        <f>COUNTIF('Metrics - Articles'!H105,"*EMEA*")</f>
        <v>0</v>
      </c>
      <c r="E106">
        <f>COUNTIF('Metrics - Articles'!H105,"*NA*")</f>
        <v>1</v>
      </c>
      <c r="F106">
        <f>COUNTIF('Metrics - Articles'!H105,"*APJ")</f>
        <v>0</v>
      </c>
      <c r="G106">
        <f>COUNTIF('Metrics - Articles'!H105,"*LATAM*")</f>
        <v>0</v>
      </c>
      <c r="H106">
        <f>COUNTIF('Metrics - Articles'!H105,"*China*")</f>
        <v>1</v>
      </c>
      <c r="J106" s="53">
        <f t="shared" si="2"/>
        <v>2</v>
      </c>
    </row>
    <row r="107" spans="2:10" x14ac:dyDescent="0.25">
      <c r="B107" s="48">
        <f>+'Metrics - Articles'!C106</f>
        <v>42094</v>
      </c>
      <c r="C107">
        <f>COUNTIF('Metrics - Articles'!H106,"*Global*")</f>
        <v>1</v>
      </c>
      <c r="D107">
        <f>COUNTIF('Metrics - Articles'!H106,"*EMEA*")</f>
        <v>0</v>
      </c>
      <c r="E107">
        <f>COUNTIF('Metrics - Articles'!H106,"*NA*")</f>
        <v>0</v>
      </c>
      <c r="F107">
        <f>COUNTIF('Metrics - Articles'!H106,"*APJ")</f>
        <v>0</v>
      </c>
      <c r="G107">
        <f>COUNTIF('Metrics - Articles'!H106,"*LATAM*")</f>
        <v>0</v>
      </c>
      <c r="H107">
        <f>COUNTIF('Metrics - Articles'!H106,"*China*")</f>
        <v>0</v>
      </c>
      <c r="J107" s="53">
        <f t="shared" si="2"/>
        <v>1</v>
      </c>
    </row>
    <row r="108" spans="2:10" x14ac:dyDescent="0.25">
      <c r="B108" s="48">
        <f>+'Metrics - Articles'!C107</f>
        <v>42094</v>
      </c>
      <c r="C108">
        <f>COUNTIF('Metrics - Articles'!H107,"*Global*")</f>
        <v>1</v>
      </c>
      <c r="D108">
        <f>COUNTIF('Metrics - Articles'!H107,"*EMEA*")</f>
        <v>0</v>
      </c>
      <c r="E108">
        <f>COUNTIF('Metrics - Articles'!H107,"*NA*")</f>
        <v>0</v>
      </c>
      <c r="F108">
        <f>COUNTIF('Metrics - Articles'!H107,"*APJ")</f>
        <v>0</v>
      </c>
      <c r="G108">
        <f>COUNTIF('Metrics - Articles'!H107,"*LATAM*")</f>
        <v>0</v>
      </c>
      <c r="H108">
        <f>COUNTIF('Metrics - Articles'!H107,"*China*")</f>
        <v>0</v>
      </c>
      <c r="J108" s="53">
        <f t="shared" si="2"/>
        <v>1</v>
      </c>
    </row>
    <row r="109" spans="2:10" x14ac:dyDescent="0.25">
      <c r="B109" s="48">
        <f>+'Metrics - Articles'!C108</f>
        <v>42094</v>
      </c>
      <c r="C109">
        <f>COUNTIF('Metrics - Articles'!H108,"*Global*")</f>
        <v>1</v>
      </c>
      <c r="D109">
        <f>COUNTIF('Metrics - Articles'!H108,"*EMEA*")</f>
        <v>0</v>
      </c>
      <c r="E109">
        <f>COUNTIF('Metrics - Articles'!H108,"*NA*")</f>
        <v>0</v>
      </c>
      <c r="F109">
        <f>COUNTIF('Metrics - Articles'!H108,"*APJ")</f>
        <v>0</v>
      </c>
      <c r="G109">
        <f>COUNTIF('Metrics - Articles'!H108,"*LATAM*")</f>
        <v>0</v>
      </c>
      <c r="H109">
        <f>COUNTIF('Metrics - Articles'!H108,"*China*")</f>
        <v>0</v>
      </c>
      <c r="J109" s="53">
        <f t="shared" si="2"/>
        <v>1</v>
      </c>
    </row>
    <row r="110" spans="2:10" x14ac:dyDescent="0.25">
      <c r="B110" s="48">
        <f>+'Metrics - Articles'!C109</f>
        <v>42095</v>
      </c>
      <c r="C110">
        <f>COUNTIF('Metrics - Articles'!H109,"*Global*")</f>
        <v>1</v>
      </c>
      <c r="D110">
        <f>COUNTIF('Metrics - Articles'!H109,"*EMEA*")</f>
        <v>0</v>
      </c>
      <c r="E110">
        <f>COUNTIF('Metrics - Articles'!H109,"*NA*")</f>
        <v>0</v>
      </c>
      <c r="F110">
        <f>COUNTIF('Metrics - Articles'!H109,"*APJ")</f>
        <v>0</v>
      </c>
      <c r="G110">
        <f>COUNTIF('Metrics - Articles'!H109,"*LATAM*")</f>
        <v>0</v>
      </c>
      <c r="H110">
        <f>COUNTIF('Metrics - Articles'!H109,"*China*")</f>
        <v>0</v>
      </c>
      <c r="J110" s="53">
        <f t="shared" si="2"/>
        <v>1</v>
      </c>
    </row>
    <row r="111" spans="2:10" x14ac:dyDescent="0.25">
      <c r="B111" s="48">
        <f>+'Metrics - Articles'!C110</f>
        <v>42096</v>
      </c>
      <c r="C111">
        <f>COUNTIF('Metrics - Articles'!H110,"*Global*")</f>
        <v>0</v>
      </c>
      <c r="D111">
        <f>COUNTIF('Metrics - Articles'!H110,"*EMEA*")</f>
        <v>1</v>
      </c>
      <c r="E111">
        <f>COUNTIF('Metrics - Articles'!H110,"*NA*")</f>
        <v>0</v>
      </c>
      <c r="F111">
        <f>COUNTIF('Metrics - Articles'!H110,"*APJ")</f>
        <v>0</v>
      </c>
      <c r="G111">
        <f>COUNTIF('Metrics - Articles'!H110,"*LATAM*")</f>
        <v>0</v>
      </c>
      <c r="H111">
        <f>COUNTIF('Metrics - Articles'!H110,"*China*")</f>
        <v>0</v>
      </c>
      <c r="J111" s="53">
        <f t="shared" si="2"/>
        <v>1</v>
      </c>
    </row>
    <row r="112" spans="2:10" x14ac:dyDescent="0.25">
      <c r="B112" s="48">
        <f>+'Metrics - Articles'!C111</f>
        <v>42101</v>
      </c>
      <c r="C112">
        <f>COUNTIF('Metrics - Articles'!H111,"*Global*")</f>
        <v>0</v>
      </c>
      <c r="D112">
        <f>COUNTIF('Metrics - Articles'!H111,"*EMEA*")</f>
        <v>0</v>
      </c>
      <c r="E112">
        <f>COUNTIF('Metrics - Articles'!H111,"*NA*")</f>
        <v>0</v>
      </c>
      <c r="F112">
        <f>COUNTIF('Metrics - Articles'!H111,"*APJ")</f>
        <v>0</v>
      </c>
      <c r="G112">
        <f>COUNTIF('Metrics - Articles'!H111,"*LATAM*")</f>
        <v>1</v>
      </c>
      <c r="H112">
        <f>COUNTIF('Metrics - Articles'!H111,"*China*")</f>
        <v>0</v>
      </c>
      <c r="J112" s="53">
        <f t="shared" si="2"/>
        <v>1</v>
      </c>
    </row>
    <row r="113" spans="2:10" x14ac:dyDescent="0.25">
      <c r="B113" s="48">
        <f>+'Metrics - Articles'!C112</f>
        <v>42101</v>
      </c>
      <c r="C113">
        <f>COUNTIF('Metrics - Articles'!H112,"*Global*")</f>
        <v>1</v>
      </c>
      <c r="D113">
        <f>COUNTIF('Metrics - Articles'!H112,"*EMEA*")</f>
        <v>0</v>
      </c>
      <c r="E113">
        <f>COUNTIF('Metrics - Articles'!H112,"*NA*")</f>
        <v>0</v>
      </c>
      <c r="F113">
        <f>COUNTIF('Metrics - Articles'!H112,"*APJ")</f>
        <v>0</v>
      </c>
      <c r="G113">
        <f>COUNTIF('Metrics - Articles'!H112,"*LATAM*")</f>
        <v>0</v>
      </c>
      <c r="H113">
        <f>COUNTIF('Metrics - Articles'!H112,"*China*")</f>
        <v>0</v>
      </c>
      <c r="J113" s="53">
        <f t="shared" si="2"/>
        <v>1</v>
      </c>
    </row>
    <row r="114" spans="2:10" x14ac:dyDescent="0.25">
      <c r="B114" s="48">
        <f>+'Metrics - Articles'!C113</f>
        <v>42102</v>
      </c>
      <c r="C114">
        <f>COUNTIF('Metrics - Articles'!H113,"*Global*")</f>
        <v>1</v>
      </c>
      <c r="D114">
        <f>COUNTIF('Metrics - Articles'!H113,"*EMEA*")</f>
        <v>0</v>
      </c>
      <c r="E114">
        <f>COUNTIF('Metrics - Articles'!H113,"*NA*")</f>
        <v>0</v>
      </c>
      <c r="F114">
        <f>COUNTIF('Metrics - Articles'!H113,"*APJ")</f>
        <v>0</v>
      </c>
      <c r="G114">
        <f>COUNTIF('Metrics - Articles'!H113,"*LATAM*")</f>
        <v>0</v>
      </c>
      <c r="H114">
        <f>COUNTIF('Metrics - Articles'!H113,"*China*")</f>
        <v>0</v>
      </c>
      <c r="J114" s="53">
        <f t="shared" si="2"/>
        <v>1</v>
      </c>
    </row>
    <row r="115" spans="2:10" x14ac:dyDescent="0.25">
      <c r="B115" s="48">
        <f>+'Metrics - Articles'!C114</f>
        <v>42103</v>
      </c>
      <c r="C115">
        <f>COUNTIF('Metrics - Articles'!H114,"*Global*")</f>
        <v>1</v>
      </c>
      <c r="D115">
        <f>COUNTIF('Metrics - Articles'!H114,"*EMEA*")</f>
        <v>0</v>
      </c>
      <c r="E115">
        <f>COUNTIF('Metrics - Articles'!H114,"*NA*")</f>
        <v>0</v>
      </c>
      <c r="F115">
        <f>COUNTIF('Metrics - Articles'!H114,"*APJ")</f>
        <v>0</v>
      </c>
      <c r="G115">
        <f>COUNTIF('Metrics - Articles'!H114,"*LATAM*")</f>
        <v>0</v>
      </c>
      <c r="H115">
        <f>COUNTIF('Metrics - Articles'!H114,"*China*")</f>
        <v>0</v>
      </c>
      <c r="J115" s="53">
        <f t="shared" si="2"/>
        <v>1</v>
      </c>
    </row>
    <row r="116" spans="2:10" x14ac:dyDescent="0.25">
      <c r="B116" s="48">
        <f>+'Metrics - Articles'!C115</f>
        <v>42103</v>
      </c>
      <c r="C116">
        <f>COUNTIF('Metrics - Articles'!H115,"*Global*")</f>
        <v>0</v>
      </c>
      <c r="D116">
        <f>COUNTIF('Metrics - Articles'!H115,"*EMEA*")</f>
        <v>0</v>
      </c>
      <c r="E116">
        <f>COUNTIF('Metrics - Articles'!H115,"*NA*")</f>
        <v>0</v>
      </c>
      <c r="F116">
        <f>COUNTIF('Metrics - Articles'!H115,"*APJ")</f>
        <v>0</v>
      </c>
      <c r="G116">
        <f>COUNTIF('Metrics - Articles'!H115,"*LATAM*")</f>
        <v>1</v>
      </c>
      <c r="H116">
        <f>COUNTIF('Metrics - Articles'!H115,"*China*")</f>
        <v>0</v>
      </c>
      <c r="J116" s="53">
        <f t="shared" si="2"/>
        <v>1</v>
      </c>
    </row>
    <row r="117" spans="2:10" x14ac:dyDescent="0.25">
      <c r="B117" s="48">
        <f>+'Metrics - Articles'!C116</f>
        <v>42107</v>
      </c>
      <c r="C117">
        <f>COUNTIF('Metrics - Articles'!H116,"*Global*")</f>
        <v>0</v>
      </c>
      <c r="D117">
        <f>COUNTIF('Metrics - Articles'!H116,"*EMEA*")</f>
        <v>0</v>
      </c>
      <c r="E117">
        <f>COUNTIF('Metrics - Articles'!H116,"*NA*")</f>
        <v>0</v>
      </c>
      <c r="F117">
        <f>COUNTIF('Metrics - Articles'!H116,"*APJ")</f>
        <v>0</v>
      </c>
      <c r="G117">
        <f>COUNTIF('Metrics - Articles'!H116,"*LATAM*")</f>
        <v>1</v>
      </c>
      <c r="H117">
        <f>COUNTIF('Metrics - Articles'!H116,"*China*")</f>
        <v>0</v>
      </c>
      <c r="J117" s="53">
        <f t="shared" si="2"/>
        <v>1</v>
      </c>
    </row>
    <row r="118" spans="2:10" x14ac:dyDescent="0.25">
      <c r="B118" s="48">
        <f>+'Metrics - Articles'!C117</f>
        <v>42107</v>
      </c>
      <c r="C118">
        <f>COUNTIF('Metrics - Articles'!H117,"*Global*")</f>
        <v>1</v>
      </c>
      <c r="D118">
        <f>COUNTIF('Metrics - Articles'!H117,"*EMEA*")</f>
        <v>0</v>
      </c>
      <c r="E118">
        <f>COUNTIF('Metrics - Articles'!H117,"*NA*")</f>
        <v>0</v>
      </c>
      <c r="F118">
        <f>COUNTIF('Metrics - Articles'!H117,"*APJ")</f>
        <v>0</v>
      </c>
      <c r="G118">
        <f>COUNTIF('Metrics - Articles'!H117,"*LATAM*")</f>
        <v>0</v>
      </c>
      <c r="H118">
        <f>COUNTIF('Metrics - Articles'!H117,"*China*")</f>
        <v>0</v>
      </c>
      <c r="J118" s="53">
        <f t="shared" si="2"/>
        <v>1</v>
      </c>
    </row>
    <row r="119" spans="2:10" x14ac:dyDescent="0.25">
      <c r="B119" s="48">
        <f>+'Metrics - Articles'!C118</f>
        <v>42107</v>
      </c>
      <c r="C119">
        <f>COUNTIF('Metrics - Articles'!H118,"*Global*")</f>
        <v>1</v>
      </c>
      <c r="D119">
        <f>COUNTIF('Metrics - Articles'!H118,"*EMEA*")</f>
        <v>0</v>
      </c>
      <c r="E119">
        <f>COUNTIF('Metrics - Articles'!H118,"*NA*")</f>
        <v>0</v>
      </c>
      <c r="F119">
        <f>COUNTIF('Metrics - Articles'!H118,"*APJ")</f>
        <v>0</v>
      </c>
      <c r="G119">
        <f>COUNTIF('Metrics - Articles'!H118,"*LATAM*")</f>
        <v>0</v>
      </c>
      <c r="H119">
        <f>COUNTIF('Metrics - Articles'!H118,"*China*")</f>
        <v>0</v>
      </c>
      <c r="J119" s="53">
        <f t="shared" si="2"/>
        <v>1</v>
      </c>
    </row>
    <row r="120" spans="2:10" x14ac:dyDescent="0.25">
      <c r="B120" s="48">
        <f>+'Metrics - Articles'!C119</f>
        <v>42108</v>
      </c>
      <c r="C120">
        <f>COUNTIF('Metrics - Articles'!H119,"*Global*")</f>
        <v>1</v>
      </c>
      <c r="D120">
        <f>COUNTIF('Metrics - Articles'!H119,"*EMEA*")</f>
        <v>0</v>
      </c>
      <c r="E120">
        <f>COUNTIF('Metrics - Articles'!H119,"*NA*")</f>
        <v>0</v>
      </c>
      <c r="F120">
        <f>COUNTIF('Metrics - Articles'!H119,"*APJ")</f>
        <v>0</v>
      </c>
      <c r="G120">
        <f>COUNTIF('Metrics - Articles'!H119,"*LATAM*")</f>
        <v>0</v>
      </c>
      <c r="H120">
        <f>COUNTIF('Metrics - Articles'!H119,"*China*")</f>
        <v>0</v>
      </c>
      <c r="J120" s="53">
        <f t="shared" si="2"/>
        <v>1</v>
      </c>
    </row>
    <row r="121" spans="2:10" x14ac:dyDescent="0.25">
      <c r="B121" s="48">
        <f>+'Metrics - Articles'!C120</f>
        <v>42109</v>
      </c>
      <c r="C121">
        <f>COUNTIF('Metrics - Articles'!H120,"*Global*")</f>
        <v>0</v>
      </c>
      <c r="D121">
        <f>COUNTIF('Metrics - Articles'!H120,"*EMEA*")</f>
        <v>1</v>
      </c>
      <c r="E121">
        <f>COUNTIF('Metrics - Articles'!H120,"*NA*")</f>
        <v>0</v>
      </c>
      <c r="F121">
        <f>COUNTIF('Metrics - Articles'!H120,"*APJ")</f>
        <v>0</v>
      </c>
      <c r="G121">
        <f>COUNTIF('Metrics - Articles'!H120,"*LATAM*")</f>
        <v>0</v>
      </c>
      <c r="H121">
        <f>COUNTIF('Metrics - Articles'!H120,"*China*")</f>
        <v>0</v>
      </c>
      <c r="J121" s="53">
        <f t="shared" si="2"/>
        <v>1</v>
      </c>
    </row>
    <row r="122" spans="2:10" x14ac:dyDescent="0.25">
      <c r="B122" s="48">
        <f>+'Metrics - Articles'!C121</f>
        <v>42109</v>
      </c>
      <c r="C122">
        <f>COUNTIF('Metrics - Articles'!H121,"*Global*")</f>
        <v>0</v>
      </c>
      <c r="D122">
        <f>COUNTIF('Metrics - Articles'!H121,"*EMEA*")</f>
        <v>1</v>
      </c>
      <c r="E122">
        <f>COUNTIF('Metrics - Articles'!H121,"*NA*")</f>
        <v>0</v>
      </c>
      <c r="F122">
        <f>COUNTIF('Metrics - Articles'!H121,"*APJ")</f>
        <v>0</v>
      </c>
      <c r="G122">
        <f>COUNTIF('Metrics - Articles'!H121,"*LATAM*")</f>
        <v>0</v>
      </c>
      <c r="H122">
        <f>COUNTIF('Metrics - Articles'!H121,"*China*")</f>
        <v>0</v>
      </c>
      <c r="J122" s="53">
        <f t="shared" si="2"/>
        <v>1</v>
      </c>
    </row>
    <row r="123" spans="2:10" x14ac:dyDescent="0.25">
      <c r="B123" s="48">
        <f>+'Metrics - Articles'!C122</f>
        <v>42109</v>
      </c>
      <c r="C123">
        <f>COUNTIF('Metrics - Articles'!H122,"*Global*")</f>
        <v>0</v>
      </c>
      <c r="D123">
        <f>COUNTIF('Metrics - Articles'!H122,"*EMEA*")</f>
        <v>1</v>
      </c>
      <c r="E123">
        <f>COUNTIF('Metrics - Articles'!H122,"*NA*")</f>
        <v>0</v>
      </c>
      <c r="F123">
        <f>COUNTIF('Metrics - Articles'!H122,"*APJ")</f>
        <v>0</v>
      </c>
      <c r="G123">
        <f>COUNTIF('Metrics - Articles'!H122,"*LATAM*")</f>
        <v>0</v>
      </c>
      <c r="H123">
        <f>COUNTIF('Metrics - Articles'!H122,"*China*")</f>
        <v>0</v>
      </c>
      <c r="J123" s="53">
        <f t="shared" si="2"/>
        <v>1</v>
      </c>
    </row>
    <row r="124" spans="2:10" x14ac:dyDescent="0.25">
      <c r="B124" s="48">
        <f>+'Metrics - Articles'!C123</f>
        <v>42110</v>
      </c>
      <c r="C124">
        <f>COUNTIF('Metrics - Articles'!H123,"*Global*")</f>
        <v>0</v>
      </c>
      <c r="D124">
        <f>COUNTIF('Metrics - Articles'!H123,"*EMEA*")</f>
        <v>1</v>
      </c>
      <c r="E124">
        <f>COUNTIF('Metrics - Articles'!H123,"*NA*")</f>
        <v>0</v>
      </c>
      <c r="F124">
        <f>COUNTIF('Metrics - Articles'!H123,"*APJ")</f>
        <v>0</v>
      </c>
      <c r="G124">
        <f>COUNTIF('Metrics - Articles'!H123,"*LATAM*")</f>
        <v>0</v>
      </c>
      <c r="H124">
        <f>COUNTIF('Metrics - Articles'!H123,"*China*")</f>
        <v>0</v>
      </c>
      <c r="J124" s="53">
        <f t="shared" si="2"/>
        <v>1</v>
      </c>
    </row>
    <row r="125" spans="2:10" x14ac:dyDescent="0.25">
      <c r="B125" s="48">
        <f>+'Metrics - Articles'!C124</f>
        <v>42110</v>
      </c>
      <c r="C125">
        <f>COUNTIF('Metrics - Articles'!H124,"*Global*")</f>
        <v>1</v>
      </c>
      <c r="D125">
        <f>COUNTIF('Metrics - Articles'!H124,"*EMEA*")</f>
        <v>0</v>
      </c>
      <c r="E125">
        <f>COUNTIF('Metrics - Articles'!H124,"*NA*")</f>
        <v>0</v>
      </c>
      <c r="F125">
        <f>COUNTIF('Metrics - Articles'!H124,"*APJ")</f>
        <v>0</v>
      </c>
      <c r="G125">
        <f>COUNTIF('Metrics - Articles'!H124,"*LATAM*")</f>
        <v>0</v>
      </c>
      <c r="H125">
        <f>COUNTIF('Metrics - Articles'!H124,"*China*")</f>
        <v>0</v>
      </c>
      <c r="J125" s="53">
        <f t="shared" si="2"/>
        <v>1</v>
      </c>
    </row>
    <row r="126" spans="2:10" x14ac:dyDescent="0.25">
      <c r="B126" s="48">
        <f>+'Metrics - Articles'!C125</f>
        <v>42110</v>
      </c>
      <c r="C126">
        <f>COUNTIF('Metrics - Articles'!H125,"*Global*")</f>
        <v>0</v>
      </c>
      <c r="D126">
        <f>COUNTIF('Metrics - Articles'!H125,"*EMEA*")</f>
        <v>1</v>
      </c>
      <c r="E126">
        <f>COUNTIF('Metrics - Articles'!H125,"*NA*")</f>
        <v>0</v>
      </c>
      <c r="F126">
        <f>COUNTIF('Metrics - Articles'!H125,"*APJ")</f>
        <v>0</v>
      </c>
      <c r="G126">
        <f>COUNTIF('Metrics - Articles'!H125,"*LATAM*")</f>
        <v>0</v>
      </c>
      <c r="H126">
        <f>COUNTIF('Metrics - Articles'!H125,"*China*")</f>
        <v>0</v>
      </c>
      <c r="J126" s="53">
        <f t="shared" si="2"/>
        <v>1</v>
      </c>
    </row>
    <row r="127" spans="2:10" x14ac:dyDescent="0.25">
      <c r="B127" s="48">
        <f>+'Metrics - Articles'!C126</f>
        <v>42111</v>
      </c>
      <c r="C127">
        <f>COUNTIF('Metrics - Articles'!H126,"*Global*")</f>
        <v>1</v>
      </c>
      <c r="D127">
        <f>COUNTIF('Metrics - Articles'!H126,"*EMEA*")</f>
        <v>0</v>
      </c>
      <c r="E127">
        <f>COUNTIF('Metrics - Articles'!H126,"*NA*")</f>
        <v>0</v>
      </c>
      <c r="F127">
        <f>COUNTIF('Metrics - Articles'!H126,"*APJ")</f>
        <v>0</v>
      </c>
      <c r="G127">
        <f>COUNTIF('Metrics - Articles'!H126,"*LATAM*")</f>
        <v>0</v>
      </c>
      <c r="H127">
        <f>COUNTIF('Metrics - Articles'!H126,"*China*")</f>
        <v>0</v>
      </c>
      <c r="J127" s="53">
        <f t="shared" si="2"/>
        <v>1</v>
      </c>
    </row>
    <row r="128" spans="2:10" x14ac:dyDescent="0.25">
      <c r="B128" s="48">
        <f>+'Metrics - Articles'!C127</f>
        <v>42114</v>
      </c>
      <c r="C128">
        <f>COUNTIF('Metrics - Articles'!H127,"*Global*")</f>
        <v>0</v>
      </c>
      <c r="D128">
        <f>COUNTIF('Metrics - Articles'!H127,"*EMEA*")</f>
        <v>0</v>
      </c>
      <c r="E128">
        <f>COUNTIF('Metrics - Articles'!H127,"*NA*")</f>
        <v>0</v>
      </c>
      <c r="F128">
        <f>COUNTIF('Metrics - Articles'!H127,"*APJ")</f>
        <v>1</v>
      </c>
      <c r="G128">
        <f>COUNTIF('Metrics - Articles'!H127,"*LATAM*")</f>
        <v>0</v>
      </c>
      <c r="H128">
        <f>COUNTIF('Metrics - Articles'!H127,"*China*")</f>
        <v>0</v>
      </c>
      <c r="J128" s="53">
        <f t="shared" si="2"/>
        <v>1</v>
      </c>
    </row>
    <row r="129" spans="2:10" x14ac:dyDescent="0.25">
      <c r="B129" s="48">
        <f>+'Metrics - Articles'!C128</f>
        <v>42114</v>
      </c>
      <c r="C129">
        <f>COUNTIF('Metrics - Articles'!H128,"*Global*")</f>
        <v>1</v>
      </c>
      <c r="D129">
        <f>COUNTIF('Metrics - Articles'!H128,"*EMEA*")</f>
        <v>0</v>
      </c>
      <c r="E129">
        <f>COUNTIF('Metrics - Articles'!H128,"*NA*")</f>
        <v>0</v>
      </c>
      <c r="F129">
        <f>COUNTIF('Metrics - Articles'!H128,"*APJ")</f>
        <v>0</v>
      </c>
      <c r="G129">
        <f>COUNTIF('Metrics - Articles'!H128,"*LATAM*")</f>
        <v>0</v>
      </c>
      <c r="H129">
        <f>COUNTIF('Metrics - Articles'!H128,"*China*")</f>
        <v>0</v>
      </c>
      <c r="J129" s="53">
        <f t="shared" si="2"/>
        <v>1</v>
      </c>
    </row>
    <row r="130" spans="2:10" x14ac:dyDescent="0.25">
      <c r="B130" s="48">
        <f>+'Metrics - Articles'!C129</f>
        <v>42114</v>
      </c>
      <c r="C130">
        <f>COUNTIF('Metrics - Articles'!H129,"*Global*")</f>
        <v>0</v>
      </c>
      <c r="D130">
        <f>COUNTIF('Metrics - Articles'!H129,"*EMEA*")</f>
        <v>0</v>
      </c>
      <c r="E130">
        <f>COUNTIF('Metrics - Articles'!H129,"*NA*")</f>
        <v>0</v>
      </c>
      <c r="F130">
        <f>COUNTIF('Metrics - Articles'!H129,"*APJ")</f>
        <v>1</v>
      </c>
      <c r="G130">
        <f>COUNTIF('Metrics - Articles'!H129,"*LATAM*")</f>
        <v>0</v>
      </c>
      <c r="H130">
        <f>COUNTIF('Metrics - Articles'!H129,"*China*")</f>
        <v>0</v>
      </c>
      <c r="J130" s="53">
        <f t="shared" si="2"/>
        <v>1</v>
      </c>
    </row>
    <row r="131" spans="2:10" x14ac:dyDescent="0.25">
      <c r="B131" s="48">
        <f>+'Metrics - Articles'!C130</f>
        <v>42115</v>
      </c>
      <c r="C131">
        <f>COUNTIF('Metrics - Articles'!H130,"*Global*")</f>
        <v>1</v>
      </c>
      <c r="D131">
        <f>COUNTIF('Metrics - Articles'!H130,"*EMEA*")</f>
        <v>0</v>
      </c>
      <c r="E131">
        <f>COUNTIF('Metrics - Articles'!H130,"*NA*")</f>
        <v>0</v>
      </c>
      <c r="F131">
        <f>COUNTIF('Metrics - Articles'!H130,"*APJ")</f>
        <v>0</v>
      </c>
      <c r="G131">
        <f>COUNTIF('Metrics - Articles'!H130,"*LATAM*")</f>
        <v>0</v>
      </c>
      <c r="H131">
        <f>COUNTIF('Metrics - Articles'!H130,"*China*")</f>
        <v>0</v>
      </c>
      <c r="J131" s="53">
        <f t="shared" si="2"/>
        <v>1</v>
      </c>
    </row>
    <row r="132" spans="2:10" x14ac:dyDescent="0.25">
      <c r="B132" s="48">
        <f>+'Metrics - Articles'!C131</f>
        <v>42116</v>
      </c>
      <c r="C132">
        <f>COUNTIF('Metrics - Articles'!H131,"*Global*")</f>
        <v>1</v>
      </c>
      <c r="D132">
        <f>COUNTIF('Metrics - Articles'!H131,"*EMEA*")</f>
        <v>0</v>
      </c>
      <c r="E132">
        <f>COUNTIF('Metrics - Articles'!H131,"*NA*")</f>
        <v>0</v>
      </c>
      <c r="F132">
        <f>COUNTIF('Metrics - Articles'!H131,"*APJ")</f>
        <v>0</v>
      </c>
      <c r="G132">
        <f>COUNTIF('Metrics - Articles'!H131,"*LATAM*")</f>
        <v>0</v>
      </c>
      <c r="H132">
        <f>COUNTIF('Metrics - Articles'!H131,"*China*")</f>
        <v>0</v>
      </c>
      <c r="J132" s="53">
        <f t="shared" si="2"/>
        <v>1</v>
      </c>
    </row>
    <row r="133" spans="2:10" x14ac:dyDescent="0.25">
      <c r="B133" s="48">
        <f>+'Metrics - Articles'!C132</f>
        <v>42116</v>
      </c>
      <c r="C133">
        <f>COUNTIF('Metrics - Articles'!H132,"*Global*")</f>
        <v>0</v>
      </c>
      <c r="D133">
        <f>COUNTIF('Metrics - Articles'!H132,"*EMEA*")</f>
        <v>1</v>
      </c>
      <c r="E133">
        <f>COUNTIF('Metrics - Articles'!H132,"*NA*")</f>
        <v>0</v>
      </c>
      <c r="F133">
        <f>COUNTIF('Metrics - Articles'!H132,"*APJ")</f>
        <v>0</v>
      </c>
      <c r="G133">
        <f>COUNTIF('Metrics - Articles'!H132,"*LATAM*")</f>
        <v>0</v>
      </c>
      <c r="H133">
        <f>COUNTIF('Metrics - Articles'!H132,"*China*")</f>
        <v>0</v>
      </c>
      <c r="J133" s="53">
        <f t="shared" si="2"/>
        <v>1</v>
      </c>
    </row>
    <row r="134" spans="2:10" x14ac:dyDescent="0.25">
      <c r="B134" s="48">
        <f>+'Metrics - Articles'!C133</f>
        <v>42116</v>
      </c>
      <c r="C134">
        <f>COUNTIF('Metrics - Articles'!H133,"*Global*")</f>
        <v>1</v>
      </c>
      <c r="D134">
        <f>COUNTIF('Metrics - Articles'!H133,"*EMEA*")</f>
        <v>0</v>
      </c>
      <c r="E134">
        <f>COUNTIF('Metrics - Articles'!H133,"*NA*")</f>
        <v>0</v>
      </c>
      <c r="F134">
        <f>COUNTIF('Metrics - Articles'!H133,"*APJ")</f>
        <v>0</v>
      </c>
      <c r="G134">
        <f>COUNTIF('Metrics - Articles'!H133,"*LATAM*")</f>
        <v>0</v>
      </c>
      <c r="H134">
        <f>COUNTIF('Metrics - Articles'!H133,"*China*")</f>
        <v>0</v>
      </c>
      <c r="J134" s="53">
        <f t="shared" si="2"/>
        <v>1</v>
      </c>
    </row>
    <row r="135" spans="2:10" x14ac:dyDescent="0.25">
      <c r="B135" s="48">
        <f>+'Metrics - Articles'!C134</f>
        <v>42116</v>
      </c>
      <c r="C135">
        <f>COUNTIF('Metrics - Articles'!H134,"*Global*")</f>
        <v>1</v>
      </c>
      <c r="D135">
        <f>COUNTIF('Metrics - Articles'!H134,"*EMEA*")</f>
        <v>0</v>
      </c>
      <c r="E135">
        <f>COUNTIF('Metrics - Articles'!H134,"*NA*")</f>
        <v>0</v>
      </c>
      <c r="F135">
        <f>COUNTIF('Metrics - Articles'!H134,"*APJ")</f>
        <v>0</v>
      </c>
      <c r="G135">
        <f>COUNTIF('Metrics - Articles'!H134,"*LATAM*")</f>
        <v>0</v>
      </c>
      <c r="H135">
        <f>COUNTIF('Metrics - Articles'!H134,"*China*")</f>
        <v>0</v>
      </c>
      <c r="J135" s="53">
        <f t="shared" si="2"/>
        <v>1</v>
      </c>
    </row>
    <row r="136" spans="2:10" x14ac:dyDescent="0.25">
      <c r="B136" s="48">
        <f>+'Metrics - Articles'!C135</f>
        <v>42117</v>
      </c>
      <c r="C136">
        <f>COUNTIF('Metrics - Articles'!H135,"*Global*")</f>
        <v>1</v>
      </c>
      <c r="D136">
        <f>COUNTIF('Metrics - Articles'!H135,"*EMEA*")</f>
        <v>0</v>
      </c>
      <c r="E136">
        <f>COUNTIF('Metrics - Articles'!H135,"*NA*")</f>
        <v>0</v>
      </c>
      <c r="F136">
        <f>COUNTIF('Metrics - Articles'!H135,"*APJ")</f>
        <v>0</v>
      </c>
      <c r="G136">
        <f>COUNTIF('Metrics - Articles'!H135,"*LATAM*")</f>
        <v>0</v>
      </c>
      <c r="H136">
        <f>COUNTIF('Metrics - Articles'!H135,"*China*")</f>
        <v>0</v>
      </c>
      <c r="J136" s="53">
        <f t="shared" si="2"/>
        <v>1</v>
      </c>
    </row>
    <row r="137" spans="2:10" x14ac:dyDescent="0.25">
      <c r="B137" s="48">
        <f>+'Metrics - Articles'!C136</f>
        <v>42118</v>
      </c>
      <c r="C137">
        <f>COUNTIF('Metrics - Articles'!H136,"*Global*")</f>
        <v>1</v>
      </c>
      <c r="D137">
        <f>COUNTIF('Metrics - Articles'!H136,"*EMEA*")</f>
        <v>0</v>
      </c>
      <c r="E137">
        <f>COUNTIF('Metrics - Articles'!H136,"*NA*")</f>
        <v>0</v>
      </c>
      <c r="F137">
        <f>COUNTIF('Metrics - Articles'!H136,"*APJ")</f>
        <v>0</v>
      </c>
      <c r="G137">
        <f>COUNTIF('Metrics - Articles'!H136,"*LATAM*")</f>
        <v>0</v>
      </c>
      <c r="H137">
        <f>COUNTIF('Metrics - Articles'!H136,"*China*")</f>
        <v>0</v>
      </c>
      <c r="J137" s="53">
        <f t="shared" si="2"/>
        <v>1</v>
      </c>
    </row>
    <row r="138" spans="2:10" x14ac:dyDescent="0.25">
      <c r="B138" s="48">
        <f>+'Metrics - Articles'!C137</f>
        <v>42118</v>
      </c>
      <c r="C138">
        <f>COUNTIF('Metrics - Articles'!H137,"*Global*")</f>
        <v>1</v>
      </c>
      <c r="D138">
        <f>COUNTIF('Metrics - Articles'!H137,"*EMEA*")</f>
        <v>0</v>
      </c>
      <c r="E138">
        <f>COUNTIF('Metrics - Articles'!H137,"*NA*")</f>
        <v>0</v>
      </c>
      <c r="F138">
        <f>COUNTIF('Metrics - Articles'!H137,"*APJ")</f>
        <v>0</v>
      </c>
      <c r="G138">
        <f>COUNTIF('Metrics - Articles'!H137,"*LATAM*")</f>
        <v>0</v>
      </c>
      <c r="H138">
        <f>COUNTIF('Metrics - Articles'!H137,"*China*")</f>
        <v>0</v>
      </c>
      <c r="J138" s="53">
        <f t="shared" ref="J138:J201" si="3">SUM(C138:I138)</f>
        <v>1</v>
      </c>
    </row>
    <row r="139" spans="2:10" x14ac:dyDescent="0.25">
      <c r="B139" s="48">
        <f>+'Metrics - Articles'!C138</f>
        <v>42121</v>
      </c>
      <c r="C139">
        <f>COUNTIF('Metrics - Articles'!H138,"*Global*")</f>
        <v>1</v>
      </c>
      <c r="D139">
        <f>COUNTIF('Metrics - Articles'!H138,"*EMEA*")</f>
        <v>0</v>
      </c>
      <c r="E139">
        <f>COUNTIF('Metrics - Articles'!H138,"*NA*")</f>
        <v>0</v>
      </c>
      <c r="F139">
        <f>COUNTIF('Metrics - Articles'!H138,"*APJ")</f>
        <v>0</v>
      </c>
      <c r="G139">
        <f>COUNTIF('Metrics - Articles'!H138,"*LATAM*")</f>
        <v>0</v>
      </c>
      <c r="H139">
        <f>COUNTIF('Metrics - Articles'!H138,"*China*")</f>
        <v>0</v>
      </c>
      <c r="J139" s="53">
        <f t="shared" si="3"/>
        <v>1</v>
      </c>
    </row>
    <row r="140" spans="2:10" x14ac:dyDescent="0.25">
      <c r="B140" s="48">
        <f>+'Metrics - Articles'!C139</f>
        <v>42121</v>
      </c>
      <c r="C140">
        <f>COUNTIF('Metrics - Articles'!H139,"*Global*")</f>
        <v>0</v>
      </c>
      <c r="D140">
        <f>COUNTIF('Metrics - Articles'!H139,"*EMEA*")</f>
        <v>1</v>
      </c>
      <c r="E140">
        <f>COUNTIF('Metrics - Articles'!H139,"*NA*")</f>
        <v>0</v>
      </c>
      <c r="F140">
        <f>COUNTIF('Metrics - Articles'!H139,"*APJ")</f>
        <v>0</v>
      </c>
      <c r="G140">
        <f>COUNTIF('Metrics - Articles'!H139,"*LATAM*")</f>
        <v>0</v>
      </c>
      <c r="H140">
        <f>COUNTIF('Metrics - Articles'!H139,"*China*")</f>
        <v>0</v>
      </c>
      <c r="J140" s="53">
        <f t="shared" si="3"/>
        <v>1</v>
      </c>
    </row>
    <row r="141" spans="2:10" x14ac:dyDescent="0.25">
      <c r="B141" s="48">
        <f>+'Metrics - Articles'!C140</f>
        <v>42122</v>
      </c>
      <c r="C141">
        <f>COUNTIF('Metrics - Articles'!H140,"*Global*")</f>
        <v>1</v>
      </c>
      <c r="D141">
        <f>COUNTIF('Metrics - Articles'!H140,"*EMEA*")</f>
        <v>0</v>
      </c>
      <c r="E141">
        <f>COUNTIF('Metrics - Articles'!H140,"*NA*")</f>
        <v>0</v>
      </c>
      <c r="F141">
        <f>COUNTIF('Metrics - Articles'!H140,"*APJ")</f>
        <v>0</v>
      </c>
      <c r="G141">
        <f>COUNTIF('Metrics - Articles'!H140,"*LATAM*")</f>
        <v>0</v>
      </c>
      <c r="H141">
        <f>COUNTIF('Metrics - Articles'!H140,"*China*")</f>
        <v>0</v>
      </c>
      <c r="J141" s="53">
        <f t="shared" si="3"/>
        <v>1</v>
      </c>
    </row>
    <row r="142" spans="2:10" x14ac:dyDescent="0.25">
      <c r="B142" s="48">
        <f>+'Metrics - Articles'!C141</f>
        <v>42122</v>
      </c>
      <c r="C142">
        <f>COUNTIF('Metrics - Articles'!H141,"*Global*")</f>
        <v>1</v>
      </c>
      <c r="D142">
        <f>COUNTIF('Metrics - Articles'!H141,"*EMEA*")</f>
        <v>0</v>
      </c>
      <c r="E142">
        <f>COUNTIF('Metrics - Articles'!H141,"*NA*")</f>
        <v>0</v>
      </c>
      <c r="F142">
        <f>COUNTIF('Metrics - Articles'!H141,"*APJ")</f>
        <v>0</v>
      </c>
      <c r="G142">
        <f>COUNTIF('Metrics - Articles'!H141,"*LATAM*")</f>
        <v>0</v>
      </c>
      <c r="H142">
        <f>COUNTIF('Metrics - Articles'!H141,"*China*")</f>
        <v>0</v>
      </c>
      <c r="J142" s="53">
        <f t="shared" si="3"/>
        <v>1</v>
      </c>
    </row>
    <row r="143" spans="2:10" x14ac:dyDescent="0.25">
      <c r="B143" s="48">
        <f>+'Metrics - Articles'!C142</f>
        <v>42122</v>
      </c>
      <c r="C143">
        <f>COUNTIF('Metrics - Articles'!H142,"*Global*")</f>
        <v>0</v>
      </c>
      <c r="D143">
        <f>COUNTIF('Metrics - Articles'!H142,"*EMEA*")</f>
        <v>1</v>
      </c>
      <c r="E143">
        <f>COUNTIF('Metrics - Articles'!H142,"*NA*")</f>
        <v>0</v>
      </c>
      <c r="F143">
        <f>COUNTIF('Metrics - Articles'!H142,"*APJ")</f>
        <v>0</v>
      </c>
      <c r="G143">
        <f>COUNTIF('Metrics - Articles'!H142,"*LATAM*")</f>
        <v>0</v>
      </c>
      <c r="H143">
        <f>COUNTIF('Metrics - Articles'!H142,"*China*")</f>
        <v>0</v>
      </c>
      <c r="J143" s="53">
        <f t="shared" si="3"/>
        <v>1</v>
      </c>
    </row>
    <row r="144" spans="2:10" x14ac:dyDescent="0.25">
      <c r="B144" s="48">
        <f>+'Metrics - Articles'!C143</f>
        <v>42123</v>
      </c>
      <c r="C144">
        <f>COUNTIF('Metrics - Articles'!H143,"*Global*")</f>
        <v>0</v>
      </c>
      <c r="D144">
        <f>COUNTIF('Metrics - Articles'!H143,"*EMEA*")</f>
        <v>1</v>
      </c>
      <c r="E144">
        <f>COUNTIF('Metrics - Articles'!H143,"*NA*")</f>
        <v>0</v>
      </c>
      <c r="F144">
        <f>COUNTIF('Metrics - Articles'!H143,"*APJ")</f>
        <v>0</v>
      </c>
      <c r="G144">
        <f>COUNTIF('Metrics - Articles'!H143,"*LATAM*")</f>
        <v>0</v>
      </c>
      <c r="H144">
        <f>COUNTIF('Metrics - Articles'!H143,"*China*")</f>
        <v>0</v>
      </c>
      <c r="J144" s="53">
        <f t="shared" si="3"/>
        <v>1</v>
      </c>
    </row>
    <row r="145" spans="2:10" x14ac:dyDescent="0.25">
      <c r="B145" s="48">
        <f>+'Metrics - Articles'!C144</f>
        <v>42123</v>
      </c>
      <c r="C145">
        <f>COUNTIF('Metrics - Articles'!H144,"*Global*")</f>
        <v>1</v>
      </c>
      <c r="D145">
        <f>COUNTIF('Metrics - Articles'!H144,"*EMEA*")</f>
        <v>0</v>
      </c>
      <c r="E145">
        <f>COUNTIF('Metrics - Articles'!H144,"*NA*")</f>
        <v>0</v>
      </c>
      <c r="F145">
        <f>COUNTIF('Metrics - Articles'!H144,"*APJ")</f>
        <v>0</v>
      </c>
      <c r="G145">
        <f>COUNTIF('Metrics - Articles'!H144,"*LATAM*")</f>
        <v>0</v>
      </c>
      <c r="H145">
        <f>COUNTIF('Metrics - Articles'!H144,"*China*")</f>
        <v>0</v>
      </c>
      <c r="J145" s="53">
        <f t="shared" si="3"/>
        <v>1</v>
      </c>
    </row>
    <row r="146" spans="2:10" x14ac:dyDescent="0.25">
      <c r="B146" s="48">
        <f>+'Metrics - Articles'!C145</f>
        <v>42124</v>
      </c>
      <c r="C146">
        <f>COUNTIF('Metrics - Articles'!H145,"*Global*")</f>
        <v>1</v>
      </c>
      <c r="D146">
        <f>COUNTIF('Metrics - Articles'!H145,"*EMEA*")</f>
        <v>0</v>
      </c>
      <c r="E146">
        <f>COUNTIF('Metrics - Articles'!H145,"*NA*")</f>
        <v>0</v>
      </c>
      <c r="F146">
        <f>COUNTIF('Metrics - Articles'!H145,"*APJ")</f>
        <v>0</v>
      </c>
      <c r="G146">
        <f>COUNTIF('Metrics - Articles'!H145,"*LATAM*")</f>
        <v>0</v>
      </c>
      <c r="H146">
        <f>COUNTIF('Metrics - Articles'!H145,"*China*")</f>
        <v>0</v>
      </c>
      <c r="J146" s="53">
        <f t="shared" si="3"/>
        <v>1</v>
      </c>
    </row>
    <row r="147" spans="2:10" x14ac:dyDescent="0.25">
      <c r="B147" s="48">
        <f>+'Metrics - Articles'!C146</f>
        <v>42124</v>
      </c>
      <c r="C147">
        <f>COUNTIF('Metrics - Articles'!H146,"*Global*")</f>
        <v>1</v>
      </c>
      <c r="D147">
        <f>COUNTIF('Metrics - Articles'!H146,"*EMEA*")</f>
        <v>0</v>
      </c>
      <c r="E147">
        <f>COUNTIF('Metrics - Articles'!H146,"*NA*")</f>
        <v>0</v>
      </c>
      <c r="F147">
        <f>COUNTIF('Metrics - Articles'!H146,"*APJ")</f>
        <v>0</v>
      </c>
      <c r="G147">
        <f>COUNTIF('Metrics - Articles'!H146,"*LATAM*")</f>
        <v>0</v>
      </c>
      <c r="H147">
        <f>COUNTIF('Metrics - Articles'!H146,"*China*")</f>
        <v>0</v>
      </c>
      <c r="J147" s="53">
        <f t="shared" si="3"/>
        <v>1</v>
      </c>
    </row>
    <row r="148" spans="2:10" x14ac:dyDescent="0.25">
      <c r="B148" s="48">
        <f>+'Metrics - Articles'!C147</f>
        <v>42124</v>
      </c>
      <c r="C148">
        <f>COUNTIF('Metrics - Articles'!H147,"*Global*")</f>
        <v>1</v>
      </c>
      <c r="D148">
        <f>COUNTIF('Metrics - Articles'!H147,"*EMEA*")</f>
        <v>0</v>
      </c>
      <c r="E148">
        <f>COUNTIF('Metrics - Articles'!H147,"*NA*")</f>
        <v>0</v>
      </c>
      <c r="F148">
        <f>COUNTIF('Metrics - Articles'!H147,"*APJ")</f>
        <v>0</v>
      </c>
      <c r="G148">
        <f>COUNTIF('Metrics - Articles'!H147,"*LATAM*")</f>
        <v>0</v>
      </c>
      <c r="H148">
        <f>COUNTIF('Metrics - Articles'!H147,"*China*")</f>
        <v>0</v>
      </c>
      <c r="J148" s="53">
        <f t="shared" si="3"/>
        <v>1</v>
      </c>
    </row>
    <row r="149" spans="2:10" x14ac:dyDescent="0.25">
      <c r="B149" s="48">
        <f>+'Metrics - Articles'!C148</f>
        <v>42124</v>
      </c>
      <c r="C149">
        <f>COUNTIF('Metrics - Articles'!H148,"*Global*")</f>
        <v>1</v>
      </c>
      <c r="D149">
        <f>COUNTIF('Metrics - Articles'!H148,"*EMEA*")</f>
        <v>0</v>
      </c>
      <c r="E149">
        <f>COUNTIF('Metrics - Articles'!H148,"*NA*")</f>
        <v>0</v>
      </c>
      <c r="F149">
        <f>COUNTIF('Metrics - Articles'!H148,"*APJ")</f>
        <v>0</v>
      </c>
      <c r="G149">
        <f>COUNTIF('Metrics - Articles'!H148,"*LATAM*")</f>
        <v>0</v>
      </c>
      <c r="H149">
        <f>COUNTIF('Metrics - Articles'!H148,"*China*")</f>
        <v>0</v>
      </c>
      <c r="J149" s="53">
        <f t="shared" si="3"/>
        <v>1</v>
      </c>
    </row>
    <row r="150" spans="2:10" x14ac:dyDescent="0.25">
      <c r="B150" s="48">
        <f>+'Metrics - Articles'!C149</f>
        <v>42125</v>
      </c>
      <c r="C150">
        <f>COUNTIF('Metrics - Articles'!H149,"*Global*")</f>
        <v>1</v>
      </c>
      <c r="D150">
        <f>COUNTIF('Metrics - Articles'!H149,"*EMEA*")</f>
        <v>0</v>
      </c>
      <c r="E150">
        <f>COUNTIF('Metrics - Articles'!H149,"*NA*")</f>
        <v>0</v>
      </c>
      <c r="F150">
        <f>COUNTIF('Metrics - Articles'!H149,"*APJ")</f>
        <v>0</v>
      </c>
      <c r="G150">
        <f>COUNTIF('Metrics - Articles'!H149,"*LATAM*")</f>
        <v>0</v>
      </c>
      <c r="H150">
        <f>COUNTIF('Metrics - Articles'!H149,"*China*")</f>
        <v>0</v>
      </c>
      <c r="J150" s="53">
        <f t="shared" si="3"/>
        <v>1</v>
      </c>
    </row>
    <row r="151" spans="2:10" x14ac:dyDescent="0.25">
      <c r="B151" s="48">
        <f>+'Metrics - Articles'!C150</f>
        <v>42125</v>
      </c>
      <c r="C151">
        <f>COUNTIF('Metrics - Articles'!H150,"*Global*")</f>
        <v>1</v>
      </c>
      <c r="D151">
        <f>COUNTIF('Metrics - Articles'!H150,"*EMEA*")</f>
        <v>0</v>
      </c>
      <c r="E151">
        <f>COUNTIF('Metrics - Articles'!H150,"*NA*")</f>
        <v>0</v>
      </c>
      <c r="F151">
        <f>COUNTIF('Metrics - Articles'!H150,"*APJ")</f>
        <v>0</v>
      </c>
      <c r="G151">
        <f>COUNTIF('Metrics - Articles'!H150,"*LATAM*")</f>
        <v>0</v>
      </c>
      <c r="H151">
        <f>COUNTIF('Metrics - Articles'!H150,"*China*")</f>
        <v>0</v>
      </c>
      <c r="J151" s="53">
        <f t="shared" si="3"/>
        <v>1</v>
      </c>
    </row>
    <row r="152" spans="2:10" x14ac:dyDescent="0.25">
      <c r="B152" s="48">
        <f>+'Metrics - Articles'!C151</f>
        <v>42125</v>
      </c>
      <c r="C152">
        <f>COUNTIF('Metrics - Articles'!H151,"*Global*")</f>
        <v>1</v>
      </c>
      <c r="D152">
        <f>COUNTIF('Metrics - Articles'!H151,"*EMEA*")</f>
        <v>0</v>
      </c>
      <c r="E152">
        <f>COUNTIF('Metrics - Articles'!H151,"*NA*")</f>
        <v>0</v>
      </c>
      <c r="F152">
        <f>COUNTIF('Metrics - Articles'!H151,"*APJ")</f>
        <v>0</v>
      </c>
      <c r="G152">
        <f>COUNTIF('Metrics - Articles'!H151,"*LATAM*")</f>
        <v>0</v>
      </c>
      <c r="H152">
        <f>COUNTIF('Metrics - Articles'!H151,"*China*")</f>
        <v>0</v>
      </c>
      <c r="J152" s="53">
        <f t="shared" si="3"/>
        <v>1</v>
      </c>
    </row>
    <row r="153" spans="2:10" x14ac:dyDescent="0.25">
      <c r="B153" s="48">
        <f>+'Metrics - Articles'!C152</f>
        <v>42128</v>
      </c>
      <c r="C153">
        <f>COUNTIF('Metrics - Articles'!H152,"*Global*")</f>
        <v>1</v>
      </c>
      <c r="D153">
        <f>COUNTIF('Metrics - Articles'!H152,"*EMEA*")</f>
        <v>0</v>
      </c>
      <c r="E153">
        <f>COUNTIF('Metrics - Articles'!H152,"*NA*")</f>
        <v>0</v>
      </c>
      <c r="F153">
        <f>COUNTIF('Metrics - Articles'!H152,"*APJ")</f>
        <v>0</v>
      </c>
      <c r="G153">
        <f>COUNTIF('Metrics - Articles'!H152,"*LATAM*")</f>
        <v>0</v>
      </c>
      <c r="H153">
        <f>COUNTIF('Metrics - Articles'!H152,"*China*")</f>
        <v>0</v>
      </c>
      <c r="J153" s="53">
        <f t="shared" si="3"/>
        <v>1</v>
      </c>
    </row>
    <row r="154" spans="2:10" x14ac:dyDescent="0.25">
      <c r="B154" s="48">
        <f>+'Metrics - Articles'!C153</f>
        <v>42128</v>
      </c>
      <c r="C154">
        <f>COUNTIF('Metrics - Articles'!H153,"*Global*")</f>
        <v>0</v>
      </c>
      <c r="D154">
        <f>COUNTIF('Metrics - Articles'!H153,"*EMEA*")</f>
        <v>1</v>
      </c>
      <c r="E154">
        <f>COUNTIF('Metrics - Articles'!H153,"*NA*")</f>
        <v>0</v>
      </c>
      <c r="F154">
        <f>COUNTIF('Metrics - Articles'!H153,"*APJ")</f>
        <v>0</v>
      </c>
      <c r="G154">
        <f>COUNTIF('Metrics - Articles'!H153,"*LATAM*")</f>
        <v>0</v>
      </c>
      <c r="H154">
        <f>COUNTIF('Metrics - Articles'!H153,"*China*")</f>
        <v>0</v>
      </c>
      <c r="J154" s="53">
        <f t="shared" si="3"/>
        <v>1</v>
      </c>
    </row>
    <row r="155" spans="2:10" x14ac:dyDescent="0.25">
      <c r="B155" s="48">
        <f>+'Metrics - Articles'!C154</f>
        <v>42130</v>
      </c>
      <c r="C155">
        <f>COUNTIF('Metrics - Articles'!H154,"*Global*")</f>
        <v>1</v>
      </c>
      <c r="D155">
        <f>COUNTIF('Metrics - Articles'!H154,"*EMEA*")</f>
        <v>0</v>
      </c>
      <c r="E155">
        <f>COUNTIF('Metrics - Articles'!H154,"*NA*")</f>
        <v>0</v>
      </c>
      <c r="F155">
        <f>COUNTIF('Metrics - Articles'!H154,"*APJ")</f>
        <v>0</v>
      </c>
      <c r="G155">
        <f>COUNTIF('Metrics - Articles'!H154,"*LATAM*")</f>
        <v>0</v>
      </c>
      <c r="H155">
        <f>COUNTIF('Metrics - Articles'!H154,"*China*")</f>
        <v>0</v>
      </c>
      <c r="J155" s="53">
        <f t="shared" si="3"/>
        <v>1</v>
      </c>
    </row>
    <row r="156" spans="2:10" x14ac:dyDescent="0.25">
      <c r="B156" s="48">
        <f>+'Metrics - Articles'!C155</f>
        <v>42130</v>
      </c>
      <c r="C156">
        <f>COUNTIF('Metrics - Articles'!H155,"*Global*")</f>
        <v>1</v>
      </c>
      <c r="D156">
        <f>COUNTIF('Metrics - Articles'!H155,"*EMEA*")</f>
        <v>0</v>
      </c>
      <c r="E156">
        <f>COUNTIF('Metrics - Articles'!H155,"*NA*")</f>
        <v>0</v>
      </c>
      <c r="F156">
        <f>COUNTIF('Metrics - Articles'!H155,"*APJ")</f>
        <v>0</v>
      </c>
      <c r="G156">
        <f>COUNTIF('Metrics - Articles'!H155,"*LATAM*")</f>
        <v>0</v>
      </c>
      <c r="H156">
        <f>COUNTIF('Metrics - Articles'!H155,"*China*")</f>
        <v>0</v>
      </c>
      <c r="J156" s="53">
        <f t="shared" si="3"/>
        <v>1</v>
      </c>
    </row>
    <row r="157" spans="2:10" x14ac:dyDescent="0.25">
      <c r="B157" s="48">
        <f>+'Metrics - Articles'!C156</f>
        <v>42131</v>
      </c>
      <c r="C157">
        <f>COUNTIF('Metrics - Articles'!H156,"*Global*")</f>
        <v>1</v>
      </c>
      <c r="D157">
        <f>COUNTIF('Metrics - Articles'!H156,"*EMEA*")</f>
        <v>0</v>
      </c>
      <c r="E157">
        <f>COUNTIF('Metrics - Articles'!H156,"*NA*")</f>
        <v>0</v>
      </c>
      <c r="F157">
        <f>COUNTIF('Metrics - Articles'!H156,"*APJ")</f>
        <v>0</v>
      </c>
      <c r="G157">
        <f>COUNTIF('Metrics - Articles'!H156,"*LATAM*")</f>
        <v>0</v>
      </c>
      <c r="H157">
        <f>COUNTIF('Metrics - Articles'!H156,"*China*")</f>
        <v>0</v>
      </c>
      <c r="J157" s="53">
        <f t="shared" si="3"/>
        <v>1</v>
      </c>
    </row>
    <row r="158" spans="2:10" x14ac:dyDescent="0.25">
      <c r="B158" s="48">
        <f>+'Metrics - Articles'!C157</f>
        <v>42131</v>
      </c>
      <c r="C158">
        <f>COUNTIF('Metrics - Articles'!H157,"*Global*")</f>
        <v>1</v>
      </c>
      <c r="D158">
        <f>COUNTIF('Metrics - Articles'!H157,"*EMEA*")</f>
        <v>0</v>
      </c>
      <c r="E158">
        <f>COUNTIF('Metrics - Articles'!H157,"*NA*")</f>
        <v>0</v>
      </c>
      <c r="F158">
        <f>COUNTIF('Metrics - Articles'!H157,"*APJ")</f>
        <v>0</v>
      </c>
      <c r="G158">
        <f>COUNTIF('Metrics - Articles'!H157,"*LATAM*")</f>
        <v>0</v>
      </c>
      <c r="H158">
        <f>COUNTIF('Metrics - Articles'!H157,"*China*")</f>
        <v>0</v>
      </c>
      <c r="J158" s="53">
        <f t="shared" si="3"/>
        <v>1</v>
      </c>
    </row>
    <row r="159" spans="2:10" x14ac:dyDescent="0.25">
      <c r="B159" s="48">
        <f>+'Metrics - Articles'!C158</f>
        <v>42131</v>
      </c>
      <c r="C159">
        <f>COUNTIF('Metrics - Articles'!H158,"*Global*")</f>
        <v>1</v>
      </c>
      <c r="D159">
        <f>COUNTIF('Metrics - Articles'!H158,"*EMEA*")</f>
        <v>0</v>
      </c>
      <c r="E159">
        <f>COUNTIF('Metrics - Articles'!H158,"*NA*")</f>
        <v>0</v>
      </c>
      <c r="F159">
        <f>COUNTIF('Metrics - Articles'!H158,"*APJ")</f>
        <v>0</v>
      </c>
      <c r="G159">
        <f>COUNTIF('Metrics - Articles'!H158,"*LATAM*")</f>
        <v>0</v>
      </c>
      <c r="H159">
        <f>COUNTIF('Metrics - Articles'!H158,"*China*")</f>
        <v>0</v>
      </c>
      <c r="J159" s="53">
        <f t="shared" si="3"/>
        <v>1</v>
      </c>
    </row>
    <row r="160" spans="2:10" x14ac:dyDescent="0.25">
      <c r="B160" s="48">
        <f>+'Metrics - Articles'!C159</f>
        <v>42132</v>
      </c>
      <c r="C160">
        <f>COUNTIF('Metrics - Articles'!H159,"*Global*")</f>
        <v>1</v>
      </c>
      <c r="D160">
        <f>COUNTIF('Metrics - Articles'!H159,"*EMEA*")</f>
        <v>0</v>
      </c>
      <c r="E160">
        <f>COUNTIF('Metrics - Articles'!H159,"*NA*")</f>
        <v>0</v>
      </c>
      <c r="F160">
        <f>COUNTIF('Metrics - Articles'!H159,"*APJ")</f>
        <v>0</v>
      </c>
      <c r="G160">
        <f>COUNTIF('Metrics - Articles'!H159,"*LATAM*")</f>
        <v>0</v>
      </c>
      <c r="H160">
        <f>COUNTIF('Metrics - Articles'!H159,"*China*")</f>
        <v>0</v>
      </c>
      <c r="J160" s="53">
        <f t="shared" si="3"/>
        <v>1</v>
      </c>
    </row>
    <row r="161" spans="2:10" x14ac:dyDescent="0.25">
      <c r="B161" s="48">
        <f>+'Metrics - Articles'!C160</f>
        <v>42132</v>
      </c>
      <c r="C161">
        <f>COUNTIF('Metrics - Articles'!H160,"*Global*")</f>
        <v>1</v>
      </c>
      <c r="D161">
        <f>COUNTIF('Metrics - Articles'!H160,"*EMEA*")</f>
        <v>0</v>
      </c>
      <c r="E161">
        <f>COUNTIF('Metrics - Articles'!H160,"*NA*")</f>
        <v>0</v>
      </c>
      <c r="F161">
        <f>COUNTIF('Metrics - Articles'!H160,"*APJ")</f>
        <v>0</v>
      </c>
      <c r="G161">
        <f>COUNTIF('Metrics - Articles'!H160,"*LATAM*")</f>
        <v>0</v>
      </c>
      <c r="H161">
        <f>COUNTIF('Metrics - Articles'!H160,"*China*")</f>
        <v>0</v>
      </c>
      <c r="J161" s="53">
        <f t="shared" si="3"/>
        <v>1</v>
      </c>
    </row>
    <row r="162" spans="2:10" x14ac:dyDescent="0.25">
      <c r="B162" s="48">
        <f>+'Metrics - Articles'!C161</f>
        <v>42132</v>
      </c>
      <c r="C162">
        <f>COUNTIF('Metrics - Articles'!H161,"*Global*")</f>
        <v>1</v>
      </c>
      <c r="D162">
        <f>COUNTIF('Metrics - Articles'!H161,"*EMEA*")</f>
        <v>0</v>
      </c>
      <c r="E162">
        <f>COUNTIF('Metrics - Articles'!H161,"*NA*")</f>
        <v>0</v>
      </c>
      <c r="F162">
        <f>COUNTIF('Metrics - Articles'!H161,"*APJ")</f>
        <v>0</v>
      </c>
      <c r="G162">
        <f>COUNTIF('Metrics - Articles'!H161,"*LATAM*")</f>
        <v>0</v>
      </c>
      <c r="H162">
        <f>COUNTIF('Metrics - Articles'!H161,"*China*")</f>
        <v>0</v>
      </c>
      <c r="J162" s="53">
        <f t="shared" si="3"/>
        <v>1</v>
      </c>
    </row>
    <row r="163" spans="2:10" x14ac:dyDescent="0.25">
      <c r="B163" s="48">
        <f>+'Metrics - Articles'!C162</f>
        <v>42134</v>
      </c>
      <c r="C163">
        <f>COUNTIF('Metrics - Articles'!H162,"*Global*")</f>
        <v>1</v>
      </c>
      <c r="D163">
        <f>COUNTIF('Metrics - Articles'!H162,"*EMEA*")</f>
        <v>0</v>
      </c>
      <c r="E163">
        <f>COUNTIF('Metrics - Articles'!H162,"*NA*")</f>
        <v>0</v>
      </c>
      <c r="F163">
        <f>COUNTIF('Metrics - Articles'!H162,"*APJ")</f>
        <v>0</v>
      </c>
      <c r="G163">
        <f>COUNTIF('Metrics - Articles'!H162,"*LATAM*")</f>
        <v>0</v>
      </c>
      <c r="H163">
        <f>COUNTIF('Metrics - Articles'!H162,"*China*")</f>
        <v>0</v>
      </c>
      <c r="J163" s="53">
        <f t="shared" si="3"/>
        <v>1</v>
      </c>
    </row>
    <row r="164" spans="2:10" x14ac:dyDescent="0.25">
      <c r="B164" s="48">
        <f>+'Metrics - Articles'!C163</f>
        <v>42137</v>
      </c>
      <c r="C164">
        <f>COUNTIF('Metrics - Articles'!H163,"*Global*")</f>
        <v>1</v>
      </c>
      <c r="D164">
        <f>COUNTIF('Metrics - Articles'!H163,"*EMEA*")</f>
        <v>0</v>
      </c>
      <c r="E164">
        <f>COUNTIF('Metrics - Articles'!H163,"*NA*")</f>
        <v>0</v>
      </c>
      <c r="F164">
        <f>COUNTIF('Metrics - Articles'!H163,"*APJ")</f>
        <v>0</v>
      </c>
      <c r="G164">
        <f>COUNTIF('Metrics - Articles'!H163,"*LATAM*")</f>
        <v>0</v>
      </c>
      <c r="H164">
        <f>COUNTIF('Metrics - Articles'!H163,"*China*")</f>
        <v>0</v>
      </c>
      <c r="J164" s="53">
        <f t="shared" si="3"/>
        <v>1</v>
      </c>
    </row>
    <row r="165" spans="2:10" x14ac:dyDescent="0.25">
      <c r="B165" s="48">
        <f>+'Metrics - Articles'!C164</f>
        <v>42138</v>
      </c>
      <c r="C165">
        <f>COUNTIF('Metrics - Articles'!H164,"*Global*")</f>
        <v>1</v>
      </c>
      <c r="D165">
        <f>COUNTIF('Metrics - Articles'!H164,"*EMEA*")</f>
        <v>0</v>
      </c>
      <c r="E165">
        <f>COUNTIF('Metrics - Articles'!H164,"*NA*")</f>
        <v>0</v>
      </c>
      <c r="F165">
        <f>COUNTIF('Metrics - Articles'!H164,"*APJ")</f>
        <v>0</v>
      </c>
      <c r="G165">
        <f>COUNTIF('Metrics - Articles'!H164,"*LATAM*")</f>
        <v>0</v>
      </c>
      <c r="H165">
        <f>COUNTIF('Metrics - Articles'!H164,"*China*")</f>
        <v>0</v>
      </c>
      <c r="J165" s="53">
        <f t="shared" si="3"/>
        <v>1</v>
      </c>
    </row>
    <row r="166" spans="2:10" x14ac:dyDescent="0.25">
      <c r="B166" s="48">
        <f>+'Metrics - Articles'!C165</f>
        <v>42139</v>
      </c>
      <c r="C166">
        <f>COUNTIF('Metrics - Articles'!H165,"*Global*")</f>
        <v>1</v>
      </c>
      <c r="D166">
        <f>COUNTIF('Metrics - Articles'!H165,"*EMEA*")</f>
        <v>0</v>
      </c>
      <c r="E166">
        <f>COUNTIF('Metrics - Articles'!H165,"*NA*")</f>
        <v>0</v>
      </c>
      <c r="F166">
        <f>COUNTIF('Metrics - Articles'!H165,"*APJ")</f>
        <v>0</v>
      </c>
      <c r="G166">
        <f>COUNTIF('Metrics - Articles'!H165,"*LATAM*")</f>
        <v>0</v>
      </c>
      <c r="H166">
        <f>COUNTIF('Metrics - Articles'!H165,"*China*")</f>
        <v>0</v>
      </c>
      <c r="J166" s="53">
        <f t="shared" si="3"/>
        <v>1</v>
      </c>
    </row>
    <row r="167" spans="2:10" x14ac:dyDescent="0.25">
      <c r="B167" s="48">
        <f>+'Metrics - Articles'!C166</f>
        <v>42142</v>
      </c>
      <c r="C167">
        <f>COUNTIF('Metrics - Articles'!H166,"*Global*")</f>
        <v>1</v>
      </c>
      <c r="D167">
        <f>COUNTIF('Metrics - Articles'!H166,"*EMEA*")</f>
        <v>0</v>
      </c>
      <c r="E167">
        <f>COUNTIF('Metrics - Articles'!H166,"*NA*")</f>
        <v>0</v>
      </c>
      <c r="F167">
        <f>COUNTIF('Metrics - Articles'!H166,"*APJ")</f>
        <v>0</v>
      </c>
      <c r="G167">
        <f>COUNTIF('Metrics - Articles'!H166,"*LATAM*")</f>
        <v>0</v>
      </c>
      <c r="H167">
        <f>COUNTIF('Metrics - Articles'!H166,"*China*")</f>
        <v>0</v>
      </c>
      <c r="J167" s="53">
        <f t="shared" si="3"/>
        <v>1</v>
      </c>
    </row>
    <row r="168" spans="2:10" x14ac:dyDescent="0.25">
      <c r="B168" s="48">
        <f>+'Metrics - Articles'!C167</f>
        <v>42143</v>
      </c>
      <c r="C168">
        <f>COUNTIF('Metrics - Articles'!H167,"*Global*")</f>
        <v>1</v>
      </c>
      <c r="D168">
        <f>COUNTIF('Metrics - Articles'!H167,"*EMEA*")</f>
        <v>0</v>
      </c>
      <c r="E168">
        <f>COUNTIF('Metrics - Articles'!H167,"*NA*")</f>
        <v>0</v>
      </c>
      <c r="F168">
        <f>COUNTIF('Metrics - Articles'!H167,"*APJ")</f>
        <v>0</v>
      </c>
      <c r="G168">
        <f>COUNTIF('Metrics - Articles'!H167,"*LATAM*")</f>
        <v>0</v>
      </c>
      <c r="H168">
        <f>COUNTIF('Metrics - Articles'!H167,"*China*")</f>
        <v>0</v>
      </c>
      <c r="J168" s="53">
        <f t="shared" si="3"/>
        <v>1</v>
      </c>
    </row>
    <row r="169" spans="2:10" x14ac:dyDescent="0.25">
      <c r="B169" s="48">
        <f>+'Metrics - Articles'!C168</f>
        <v>42144</v>
      </c>
      <c r="C169">
        <f>COUNTIF('Metrics - Articles'!H168,"*Global*")</f>
        <v>1</v>
      </c>
      <c r="D169">
        <f>COUNTIF('Metrics - Articles'!H168,"*EMEA*")</f>
        <v>0</v>
      </c>
      <c r="E169">
        <f>COUNTIF('Metrics - Articles'!H168,"*NA*")</f>
        <v>0</v>
      </c>
      <c r="F169">
        <f>COUNTIF('Metrics - Articles'!H168,"*APJ")</f>
        <v>0</v>
      </c>
      <c r="G169">
        <f>COUNTIF('Metrics - Articles'!H168,"*LATAM*")</f>
        <v>0</v>
      </c>
      <c r="H169">
        <f>COUNTIF('Metrics - Articles'!H168,"*China*")</f>
        <v>0</v>
      </c>
      <c r="J169" s="53">
        <f t="shared" si="3"/>
        <v>1</v>
      </c>
    </row>
    <row r="170" spans="2:10" x14ac:dyDescent="0.25">
      <c r="B170" s="48">
        <f>+'Metrics - Articles'!C169</f>
        <v>42144</v>
      </c>
      <c r="C170">
        <f>COUNTIF('Metrics - Articles'!H169,"*Global*")</f>
        <v>1</v>
      </c>
      <c r="D170">
        <f>COUNTIF('Metrics - Articles'!H169,"*EMEA*")</f>
        <v>0</v>
      </c>
      <c r="E170">
        <f>COUNTIF('Metrics - Articles'!H169,"*NA*")</f>
        <v>0</v>
      </c>
      <c r="F170">
        <f>COUNTIF('Metrics - Articles'!H169,"*APJ")</f>
        <v>0</v>
      </c>
      <c r="G170">
        <f>COUNTIF('Metrics - Articles'!H169,"*LATAM*")</f>
        <v>0</v>
      </c>
      <c r="H170">
        <f>COUNTIF('Metrics - Articles'!H169,"*China*")</f>
        <v>0</v>
      </c>
      <c r="J170" s="53">
        <f t="shared" si="3"/>
        <v>1</v>
      </c>
    </row>
    <row r="171" spans="2:10" x14ac:dyDescent="0.25">
      <c r="B171" s="48">
        <f>+'Metrics - Articles'!C170</f>
        <v>42146</v>
      </c>
      <c r="C171">
        <f>COUNTIF('Metrics - Articles'!H170,"*Global*")</f>
        <v>1</v>
      </c>
      <c r="D171">
        <f>COUNTIF('Metrics - Articles'!H170,"*EMEA*")</f>
        <v>0</v>
      </c>
      <c r="E171">
        <f>COUNTIF('Metrics - Articles'!H170,"*NA*")</f>
        <v>0</v>
      </c>
      <c r="F171">
        <f>COUNTIF('Metrics - Articles'!H170,"*APJ")</f>
        <v>0</v>
      </c>
      <c r="G171">
        <f>COUNTIF('Metrics - Articles'!H170,"*LATAM*")</f>
        <v>0</v>
      </c>
      <c r="H171">
        <f>COUNTIF('Metrics - Articles'!H170,"*China*")</f>
        <v>0</v>
      </c>
      <c r="J171" s="53">
        <f t="shared" si="3"/>
        <v>1</v>
      </c>
    </row>
    <row r="172" spans="2:10" x14ac:dyDescent="0.25">
      <c r="B172" s="48">
        <f>+'Metrics - Articles'!C171</f>
        <v>42146</v>
      </c>
      <c r="C172">
        <f>COUNTIF('Metrics - Articles'!H171,"*Global*")</f>
        <v>1</v>
      </c>
      <c r="D172">
        <f>COUNTIF('Metrics - Articles'!H171,"*EMEA*")</f>
        <v>0</v>
      </c>
      <c r="E172">
        <f>COUNTIF('Metrics - Articles'!H171,"*NA*")</f>
        <v>0</v>
      </c>
      <c r="F172">
        <f>COUNTIF('Metrics - Articles'!H171,"*APJ")</f>
        <v>0</v>
      </c>
      <c r="G172">
        <f>COUNTIF('Metrics - Articles'!H171,"*LATAM*")</f>
        <v>0</v>
      </c>
      <c r="H172">
        <f>COUNTIF('Metrics - Articles'!H171,"*China*")</f>
        <v>0</v>
      </c>
      <c r="J172" s="53">
        <f t="shared" si="3"/>
        <v>1</v>
      </c>
    </row>
    <row r="173" spans="2:10" x14ac:dyDescent="0.25">
      <c r="B173" s="48">
        <f>+'Metrics - Articles'!C172</f>
        <v>42149</v>
      </c>
      <c r="C173">
        <f>COUNTIF('Metrics - Articles'!H172,"*Global*")</f>
        <v>1</v>
      </c>
      <c r="D173">
        <f>COUNTIF('Metrics - Articles'!H172,"*EMEA*")</f>
        <v>0</v>
      </c>
      <c r="E173">
        <f>COUNTIF('Metrics - Articles'!H172,"*NA*")</f>
        <v>0</v>
      </c>
      <c r="F173">
        <f>COUNTIF('Metrics - Articles'!H172,"*APJ")</f>
        <v>0</v>
      </c>
      <c r="G173">
        <f>COUNTIF('Metrics - Articles'!H172,"*LATAM*")</f>
        <v>0</v>
      </c>
      <c r="H173">
        <f>COUNTIF('Metrics - Articles'!H172,"*China*")</f>
        <v>0</v>
      </c>
      <c r="J173" s="53">
        <f t="shared" si="3"/>
        <v>1</v>
      </c>
    </row>
    <row r="174" spans="2:10" x14ac:dyDescent="0.25">
      <c r="B174" s="48">
        <f>+'Metrics - Articles'!C173</f>
        <v>42150</v>
      </c>
      <c r="C174">
        <f>COUNTIF('Metrics - Articles'!H173,"*Global*")</f>
        <v>1</v>
      </c>
      <c r="D174">
        <f>COUNTIF('Metrics - Articles'!H173,"*EMEA*")</f>
        <v>0</v>
      </c>
      <c r="E174">
        <f>COUNTIF('Metrics - Articles'!H173,"*NA*")</f>
        <v>0</v>
      </c>
      <c r="F174">
        <f>COUNTIF('Metrics - Articles'!H173,"*APJ")</f>
        <v>0</v>
      </c>
      <c r="G174">
        <f>COUNTIF('Metrics - Articles'!H173,"*LATAM*")</f>
        <v>0</v>
      </c>
      <c r="H174">
        <f>COUNTIF('Metrics - Articles'!H173,"*China*")</f>
        <v>0</v>
      </c>
      <c r="J174" s="53">
        <f t="shared" si="3"/>
        <v>1</v>
      </c>
    </row>
    <row r="175" spans="2:10" x14ac:dyDescent="0.25">
      <c r="B175" s="48">
        <f>+'Metrics - Articles'!C174</f>
        <v>42151</v>
      </c>
      <c r="C175">
        <f>COUNTIF('Metrics - Articles'!H174,"*Global*")</f>
        <v>1</v>
      </c>
      <c r="D175">
        <f>COUNTIF('Metrics - Articles'!H174,"*EMEA*")</f>
        <v>0</v>
      </c>
      <c r="E175">
        <f>COUNTIF('Metrics - Articles'!H174,"*NA*")</f>
        <v>0</v>
      </c>
      <c r="F175">
        <f>COUNTIF('Metrics - Articles'!H174,"*APJ")</f>
        <v>0</v>
      </c>
      <c r="G175">
        <f>COUNTIF('Metrics - Articles'!H174,"*LATAM*")</f>
        <v>0</v>
      </c>
      <c r="H175">
        <f>COUNTIF('Metrics - Articles'!H174,"*China*")</f>
        <v>0</v>
      </c>
      <c r="J175" s="53">
        <f t="shared" si="3"/>
        <v>1</v>
      </c>
    </row>
    <row r="176" spans="2:10" x14ac:dyDescent="0.25">
      <c r="B176" s="48">
        <f>+'Metrics - Articles'!C175</f>
        <v>42151</v>
      </c>
      <c r="C176">
        <f>COUNTIF('Metrics - Articles'!H175,"*Global*")</f>
        <v>0</v>
      </c>
      <c r="D176">
        <f>COUNTIF('Metrics - Articles'!H175,"*EMEA*")</f>
        <v>0</v>
      </c>
      <c r="E176">
        <f>COUNTIF('Metrics - Articles'!H175,"*NA*")</f>
        <v>0</v>
      </c>
      <c r="F176">
        <f>COUNTIF('Metrics - Articles'!H175,"*APJ")</f>
        <v>0</v>
      </c>
      <c r="G176">
        <f>COUNTIF('Metrics - Articles'!H175,"*LATAM*")</f>
        <v>1</v>
      </c>
      <c r="H176">
        <f>COUNTIF('Metrics - Articles'!H175,"*China*")</f>
        <v>0</v>
      </c>
      <c r="J176" s="53">
        <f t="shared" si="3"/>
        <v>1</v>
      </c>
    </row>
    <row r="177" spans="2:10" x14ac:dyDescent="0.25">
      <c r="B177" s="48">
        <f>+'Metrics - Articles'!C176</f>
        <v>42151</v>
      </c>
      <c r="C177">
        <f>COUNTIF('Metrics - Articles'!H176,"*Global*")</f>
        <v>1</v>
      </c>
      <c r="D177">
        <f>COUNTIF('Metrics - Articles'!H176,"*EMEA*")</f>
        <v>0</v>
      </c>
      <c r="E177">
        <f>COUNTIF('Metrics - Articles'!H176,"*NA*")</f>
        <v>0</v>
      </c>
      <c r="F177">
        <f>COUNTIF('Metrics - Articles'!H176,"*APJ")</f>
        <v>0</v>
      </c>
      <c r="G177">
        <f>COUNTIF('Metrics - Articles'!H176,"*LATAM*")</f>
        <v>0</v>
      </c>
      <c r="H177">
        <f>COUNTIF('Metrics - Articles'!H176,"*China*")</f>
        <v>0</v>
      </c>
      <c r="J177" s="53">
        <f t="shared" si="3"/>
        <v>1</v>
      </c>
    </row>
    <row r="178" spans="2:10" x14ac:dyDescent="0.25">
      <c r="B178" s="48">
        <f>+'Metrics - Articles'!C177</f>
        <v>42152</v>
      </c>
      <c r="C178">
        <f>COUNTIF('Metrics - Articles'!H177,"*Global*")</f>
        <v>1</v>
      </c>
      <c r="D178">
        <f>COUNTIF('Metrics - Articles'!H177,"*EMEA*")</f>
        <v>0</v>
      </c>
      <c r="E178">
        <f>COUNTIF('Metrics - Articles'!H177,"*NA*")</f>
        <v>0</v>
      </c>
      <c r="F178">
        <f>COUNTIF('Metrics - Articles'!H177,"*APJ")</f>
        <v>0</v>
      </c>
      <c r="G178">
        <f>COUNTIF('Metrics - Articles'!H177,"*LATAM*")</f>
        <v>0</v>
      </c>
      <c r="H178">
        <f>COUNTIF('Metrics - Articles'!H177,"*China*")</f>
        <v>0</v>
      </c>
      <c r="J178" s="53">
        <f t="shared" si="3"/>
        <v>1</v>
      </c>
    </row>
    <row r="179" spans="2:10" x14ac:dyDescent="0.25">
      <c r="B179" s="48">
        <f>+'Metrics - Articles'!C178</f>
        <v>42153</v>
      </c>
      <c r="C179">
        <f>COUNTIF('Metrics - Articles'!H178,"*Global*")</f>
        <v>1</v>
      </c>
      <c r="D179">
        <f>COUNTIF('Metrics - Articles'!H178,"*EMEA*")</f>
        <v>0</v>
      </c>
      <c r="E179">
        <f>COUNTIF('Metrics - Articles'!H178,"*NA*")</f>
        <v>0</v>
      </c>
      <c r="F179">
        <f>COUNTIF('Metrics - Articles'!H178,"*APJ")</f>
        <v>0</v>
      </c>
      <c r="G179">
        <f>COUNTIF('Metrics - Articles'!H178,"*LATAM*")</f>
        <v>0</v>
      </c>
      <c r="H179">
        <f>COUNTIF('Metrics - Articles'!H178,"*China*")</f>
        <v>0</v>
      </c>
      <c r="J179" s="53">
        <f t="shared" si="3"/>
        <v>1</v>
      </c>
    </row>
    <row r="180" spans="2:10" x14ac:dyDescent="0.25">
      <c r="B180" s="48">
        <f>+'Metrics - Articles'!C179</f>
        <v>42153</v>
      </c>
      <c r="C180">
        <f>COUNTIF('Metrics - Articles'!H179,"*Global*")</f>
        <v>1</v>
      </c>
      <c r="D180">
        <f>COUNTIF('Metrics - Articles'!H179,"*EMEA*")</f>
        <v>0</v>
      </c>
      <c r="E180">
        <f>COUNTIF('Metrics - Articles'!H179,"*NA*")</f>
        <v>0</v>
      </c>
      <c r="F180">
        <f>COUNTIF('Metrics - Articles'!H179,"*APJ")</f>
        <v>0</v>
      </c>
      <c r="G180">
        <f>COUNTIF('Metrics - Articles'!H179,"*LATAM*")</f>
        <v>0</v>
      </c>
      <c r="H180">
        <f>COUNTIF('Metrics - Articles'!H179,"*China*")</f>
        <v>0</v>
      </c>
      <c r="J180" s="53">
        <f t="shared" si="3"/>
        <v>1</v>
      </c>
    </row>
    <row r="181" spans="2:10" x14ac:dyDescent="0.25">
      <c r="B181" s="48">
        <f>+'Metrics - Articles'!C180</f>
        <v>42153</v>
      </c>
      <c r="C181">
        <f>COUNTIF('Metrics - Articles'!H180,"*Global*")</f>
        <v>1</v>
      </c>
      <c r="D181">
        <f>COUNTIF('Metrics - Articles'!H180,"*EMEA*")</f>
        <v>0</v>
      </c>
      <c r="E181">
        <f>COUNTIF('Metrics - Articles'!H180,"*NA*")</f>
        <v>0</v>
      </c>
      <c r="F181">
        <f>COUNTIF('Metrics - Articles'!H180,"*APJ")</f>
        <v>0</v>
      </c>
      <c r="G181">
        <f>COUNTIF('Metrics - Articles'!H180,"*LATAM*")</f>
        <v>0</v>
      </c>
      <c r="H181">
        <f>COUNTIF('Metrics - Articles'!H180,"*China*")</f>
        <v>0</v>
      </c>
      <c r="J181" s="53">
        <f t="shared" si="3"/>
        <v>1</v>
      </c>
    </row>
    <row r="182" spans="2:10" x14ac:dyDescent="0.25">
      <c r="B182" s="48">
        <f>+'Metrics - Articles'!C181</f>
        <v>42156</v>
      </c>
      <c r="C182">
        <f>COUNTIF('Metrics - Articles'!H181,"*Global*")</f>
        <v>1</v>
      </c>
      <c r="D182">
        <f>COUNTIF('Metrics - Articles'!H181,"*EMEA*")</f>
        <v>0</v>
      </c>
      <c r="E182">
        <f>COUNTIF('Metrics - Articles'!H181,"*NA*")</f>
        <v>0</v>
      </c>
      <c r="F182">
        <f>COUNTIF('Metrics - Articles'!H181,"*APJ")</f>
        <v>0</v>
      </c>
      <c r="G182">
        <f>COUNTIF('Metrics - Articles'!H181,"*LATAM*")</f>
        <v>0</v>
      </c>
      <c r="H182">
        <f>COUNTIF('Metrics - Articles'!H181,"*China*")</f>
        <v>0</v>
      </c>
      <c r="J182" s="53">
        <f t="shared" si="3"/>
        <v>1</v>
      </c>
    </row>
    <row r="183" spans="2:10" x14ac:dyDescent="0.25">
      <c r="B183" s="48">
        <f>+'Metrics - Articles'!C182</f>
        <v>42157</v>
      </c>
      <c r="C183">
        <f>COUNTIF('Metrics - Articles'!H182,"*Global*")</f>
        <v>0</v>
      </c>
      <c r="D183">
        <f>COUNTIF('Metrics - Articles'!H182,"*EMEA*")</f>
        <v>1</v>
      </c>
      <c r="E183">
        <f>COUNTIF('Metrics - Articles'!H182,"*NA*")</f>
        <v>0</v>
      </c>
      <c r="F183">
        <f>COUNTIF('Metrics - Articles'!H182,"*APJ")</f>
        <v>0</v>
      </c>
      <c r="G183">
        <f>COUNTIF('Metrics - Articles'!H182,"*LATAM*")</f>
        <v>0</v>
      </c>
      <c r="H183">
        <f>COUNTIF('Metrics - Articles'!H182,"*China*")</f>
        <v>0</v>
      </c>
      <c r="J183" s="53">
        <f t="shared" si="3"/>
        <v>1</v>
      </c>
    </row>
    <row r="184" spans="2:10" x14ac:dyDescent="0.25">
      <c r="B184" s="48">
        <f>+'Metrics - Articles'!C183</f>
        <v>42157</v>
      </c>
      <c r="C184">
        <f>COUNTIF('Metrics - Articles'!H183,"*Global*")</f>
        <v>1</v>
      </c>
      <c r="D184">
        <f>COUNTIF('Metrics - Articles'!H183,"*EMEA*")</f>
        <v>0</v>
      </c>
      <c r="E184">
        <f>COUNTIF('Metrics - Articles'!H183,"*NA*")</f>
        <v>0</v>
      </c>
      <c r="F184">
        <f>COUNTIF('Metrics - Articles'!H183,"*APJ")</f>
        <v>0</v>
      </c>
      <c r="G184">
        <f>COUNTIF('Metrics - Articles'!H183,"*LATAM*")</f>
        <v>0</v>
      </c>
      <c r="H184">
        <f>COUNTIF('Metrics - Articles'!H183,"*China*")</f>
        <v>0</v>
      </c>
      <c r="J184" s="53">
        <f t="shared" si="3"/>
        <v>1</v>
      </c>
    </row>
    <row r="185" spans="2:10" x14ac:dyDescent="0.25">
      <c r="B185" s="48">
        <f>+'Metrics - Articles'!C184</f>
        <v>42158</v>
      </c>
      <c r="C185">
        <f>COUNTIF('Metrics - Articles'!H184,"*Global*")</f>
        <v>1</v>
      </c>
      <c r="D185">
        <f>COUNTIF('Metrics - Articles'!H184,"*EMEA*")</f>
        <v>0</v>
      </c>
      <c r="E185">
        <f>COUNTIF('Metrics - Articles'!H184,"*NA*")</f>
        <v>0</v>
      </c>
      <c r="F185">
        <f>COUNTIF('Metrics - Articles'!H184,"*APJ")</f>
        <v>0</v>
      </c>
      <c r="G185">
        <f>COUNTIF('Metrics - Articles'!H184,"*LATAM*")</f>
        <v>0</v>
      </c>
      <c r="H185">
        <f>COUNTIF('Metrics - Articles'!H184,"*China*")</f>
        <v>0</v>
      </c>
      <c r="J185" s="53">
        <f t="shared" si="3"/>
        <v>1</v>
      </c>
    </row>
    <row r="186" spans="2:10" x14ac:dyDescent="0.25">
      <c r="B186" s="48">
        <f>+'Metrics - Articles'!C185</f>
        <v>42158</v>
      </c>
      <c r="C186">
        <f>COUNTIF('Metrics - Articles'!H185,"*Global*")</f>
        <v>1</v>
      </c>
      <c r="D186">
        <f>COUNTIF('Metrics - Articles'!H185,"*EMEA*")</f>
        <v>0</v>
      </c>
      <c r="E186">
        <f>COUNTIF('Metrics - Articles'!H185,"*NA*")</f>
        <v>0</v>
      </c>
      <c r="F186">
        <f>COUNTIF('Metrics - Articles'!H185,"*APJ")</f>
        <v>0</v>
      </c>
      <c r="G186">
        <f>COUNTIF('Metrics - Articles'!H185,"*LATAM*")</f>
        <v>0</v>
      </c>
      <c r="H186">
        <f>COUNTIF('Metrics - Articles'!H185,"*China*")</f>
        <v>0</v>
      </c>
      <c r="J186" s="53">
        <f t="shared" si="3"/>
        <v>1</v>
      </c>
    </row>
    <row r="187" spans="2:10" x14ac:dyDescent="0.25">
      <c r="B187" s="48">
        <f>+'Metrics - Articles'!C186</f>
        <v>42158</v>
      </c>
      <c r="C187">
        <f>COUNTIF('Metrics - Articles'!H186,"*Global*")</f>
        <v>0</v>
      </c>
      <c r="D187">
        <f>COUNTIF('Metrics - Articles'!H186,"*EMEA*")</f>
        <v>1</v>
      </c>
      <c r="E187">
        <f>COUNTIF('Metrics - Articles'!H186,"*NA*")</f>
        <v>0</v>
      </c>
      <c r="F187">
        <f>COUNTIF('Metrics - Articles'!H186,"*APJ")</f>
        <v>0</v>
      </c>
      <c r="G187">
        <f>COUNTIF('Metrics - Articles'!H186,"*LATAM*")</f>
        <v>0</v>
      </c>
      <c r="H187">
        <f>COUNTIF('Metrics - Articles'!H186,"*China*")</f>
        <v>0</v>
      </c>
      <c r="J187" s="53">
        <f t="shared" si="3"/>
        <v>1</v>
      </c>
    </row>
    <row r="188" spans="2:10" x14ac:dyDescent="0.25">
      <c r="B188" s="48">
        <f>+'Metrics - Articles'!C187</f>
        <v>42159</v>
      </c>
      <c r="C188">
        <f>COUNTIF('Metrics - Articles'!H187,"*Global*")</f>
        <v>1</v>
      </c>
      <c r="D188">
        <f>COUNTIF('Metrics - Articles'!H187,"*EMEA*")</f>
        <v>0</v>
      </c>
      <c r="E188">
        <f>COUNTIF('Metrics - Articles'!H187,"*NA*")</f>
        <v>0</v>
      </c>
      <c r="F188">
        <f>COUNTIF('Metrics - Articles'!H187,"*APJ")</f>
        <v>0</v>
      </c>
      <c r="G188">
        <f>COUNTIF('Metrics - Articles'!H187,"*LATAM*")</f>
        <v>0</v>
      </c>
      <c r="H188">
        <f>COUNTIF('Metrics - Articles'!H187,"*China*")</f>
        <v>0</v>
      </c>
      <c r="J188" s="53">
        <f t="shared" si="3"/>
        <v>1</v>
      </c>
    </row>
    <row r="189" spans="2:10" x14ac:dyDescent="0.25">
      <c r="B189" s="48">
        <f>+'Metrics - Articles'!C188</f>
        <v>42163</v>
      </c>
      <c r="C189">
        <f>COUNTIF('Metrics - Articles'!H188,"*Global*")</f>
        <v>1</v>
      </c>
      <c r="D189">
        <f>COUNTIF('Metrics - Articles'!H188,"*EMEA*")</f>
        <v>0</v>
      </c>
      <c r="E189">
        <f>COUNTIF('Metrics - Articles'!H188,"*NA*")</f>
        <v>0</v>
      </c>
      <c r="F189">
        <f>COUNTIF('Metrics - Articles'!H188,"*APJ")</f>
        <v>0</v>
      </c>
      <c r="G189">
        <f>COUNTIF('Metrics - Articles'!H188,"*LATAM*")</f>
        <v>0</v>
      </c>
      <c r="H189">
        <f>COUNTIF('Metrics - Articles'!H188,"*China*")</f>
        <v>0</v>
      </c>
      <c r="J189" s="53">
        <f t="shared" si="3"/>
        <v>1</v>
      </c>
    </row>
    <row r="190" spans="2:10" x14ac:dyDescent="0.25">
      <c r="B190" s="48">
        <f>+'Metrics - Articles'!C189</f>
        <v>42164</v>
      </c>
      <c r="C190">
        <f>COUNTIF('Metrics - Articles'!H189,"*Global*")</f>
        <v>1</v>
      </c>
      <c r="D190">
        <f>COUNTIF('Metrics - Articles'!H189,"*EMEA*")</f>
        <v>0</v>
      </c>
      <c r="E190">
        <f>COUNTIF('Metrics - Articles'!H189,"*NA*")</f>
        <v>0</v>
      </c>
      <c r="F190">
        <f>COUNTIF('Metrics - Articles'!H189,"*APJ")</f>
        <v>0</v>
      </c>
      <c r="G190">
        <f>COUNTIF('Metrics - Articles'!H189,"*LATAM*")</f>
        <v>0</v>
      </c>
      <c r="H190">
        <f>COUNTIF('Metrics - Articles'!H189,"*China*")</f>
        <v>0</v>
      </c>
      <c r="J190" s="53">
        <f t="shared" si="3"/>
        <v>1</v>
      </c>
    </row>
    <row r="191" spans="2:10" x14ac:dyDescent="0.25">
      <c r="B191" s="48">
        <f>+'Metrics - Articles'!C190</f>
        <v>42164</v>
      </c>
      <c r="C191">
        <f>COUNTIF('Metrics - Articles'!H190,"*Global*")</f>
        <v>1</v>
      </c>
      <c r="D191">
        <f>COUNTIF('Metrics - Articles'!H190,"*EMEA*")</f>
        <v>0</v>
      </c>
      <c r="E191">
        <f>COUNTIF('Metrics - Articles'!H190,"*NA*")</f>
        <v>0</v>
      </c>
      <c r="F191">
        <f>COUNTIF('Metrics - Articles'!H190,"*APJ")</f>
        <v>0</v>
      </c>
      <c r="G191">
        <f>COUNTIF('Metrics - Articles'!H190,"*LATAM*")</f>
        <v>0</v>
      </c>
      <c r="H191">
        <f>COUNTIF('Metrics - Articles'!H190,"*China*")</f>
        <v>0</v>
      </c>
      <c r="J191" s="53">
        <f t="shared" si="3"/>
        <v>1</v>
      </c>
    </row>
    <row r="192" spans="2:10" x14ac:dyDescent="0.25">
      <c r="B192" s="48">
        <f>+'Metrics - Articles'!C191</f>
        <v>42164</v>
      </c>
      <c r="C192">
        <f>COUNTIF('Metrics - Articles'!H191,"*Global*")</f>
        <v>1</v>
      </c>
      <c r="D192">
        <f>COUNTIF('Metrics - Articles'!H191,"*EMEA*")</f>
        <v>0</v>
      </c>
      <c r="E192">
        <f>COUNTIF('Metrics - Articles'!H191,"*NA*")</f>
        <v>0</v>
      </c>
      <c r="F192">
        <f>COUNTIF('Metrics - Articles'!H191,"*APJ")</f>
        <v>0</v>
      </c>
      <c r="G192">
        <f>COUNTIF('Metrics - Articles'!H191,"*LATAM*")</f>
        <v>0</v>
      </c>
      <c r="H192">
        <f>COUNTIF('Metrics - Articles'!H191,"*China*")</f>
        <v>0</v>
      </c>
      <c r="J192" s="53">
        <f t="shared" si="3"/>
        <v>1</v>
      </c>
    </row>
    <row r="193" spans="2:10" x14ac:dyDescent="0.25">
      <c r="B193" s="48">
        <f>+'Metrics - Articles'!C192</f>
        <v>42165</v>
      </c>
      <c r="C193">
        <f>COUNTIF('Metrics - Articles'!H192,"*Global*")</f>
        <v>1</v>
      </c>
      <c r="D193">
        <f>COUNTIF('Metrics - Articles'!H192,"*EMEA*")</f>
        <v>0</v>
      </c>
      <c r="E193">
        <f>COUNTIF('Metrics - Articles'!H192,"*NA*")</f>
        <v>0</v>
      </c>
      <c r="F193">
        <f>COUNTIF('Metrics - Articles'!H192,"*APJ")</f>
        <v>0</v>
      </c>
      <c r="G193">
        <f>COUNTIF('Metrics - Articles'!H192,"*LATAM*")</f>
        <v>0</v>
      </c>
      <c r="H193">
        <f>COUNTIF('Metrics - Articles'!H192,"*China*")</f>
        <v>0</v>
      </c>
      <c r="J193" s="53">
        <f t="shared" si="3"/>
        <v>1</v>
      </c>
    </row>
    <row r="194" spans="2:10" x14ac:dyDescent="0.25">
      <c r="B194" s="48">
        <f>+'Metrics - Articles'!C193</f>
        <v>42165</v>
      </c>
      <c r="C194">
        <f>COUNTIF('Metrics - Articles'!H193,"*Global*")</f>
        <v>1</v>
      </c>
      <c r="D194">
        <f>COUNTIF('Metrics - Articles'!H193,"*EMEA*")</f>
        <v>0</v>
      </c>
      <c r="E194">
        <f>COUNTIF('Metrics - Articles'!H193,"*NA*")</f>
        <v>0</v>
      </c>
      <c r="F194">
        <f>COUNTIF('Metrics - Articles'!H193,"*APJ")</f>
        <v>0</v>
      </c>
      <c r="G194">
        <f>COUNTIF('Metrics - Articles'!H193,"*LATAM*")</f>
        <v>0</v>
      </c>
      <c r="H194">
        <f>COUNTIF('Metrics - Articles'!H193,"*China*")</f>
        <v>0</v>
      </c>
      <c r="J194" s="53">
        <f t="shared" si="3"/>
        <v>1</v>
      </c>
    </row>
    <row r="195" spans="2:10" x14ac:dyDescent="0.25">
      <c r="B195" s="48">
        <f>+'Metrics - Articles'!C194</f>
        <v>42166</v>
      </c>
      <c r="C195">
        <f>COUNTIF('Metrics - Articles'!H194,"*Global*")</f>
        <v>0</v>
      </c>
      <c r="D195">
        <f>COUNTIF('Metrics - Articles'!H194,"*EMEA*")</f>
        <v>1</v>
      </c>
      <c r="E195">
        <f>COUNTIF('Metrics - Articles'!H194,"*NA*")</f>
        <v>0</v>
      </c>
      <c r="F195">
        <f>COUNTIF('Metrics - Articles'!H194,"*APJ")</f>
        <v>0</v>
      </c>
      <c r="G195">
        <f>COUNTIF('Metrics - Articles'!H194,"*LATAM*")</f>
        <v>0</v>
      </c>
      <c r="H195">
        <f>COUNTIF('Metrics - Articles'!H194,"*China*")</f>
        <v>0</v>
      </c>
      <c r="J195" s="53">
        <f t="shared" si="3"/>
        <v>1</v>
      </c>
    </row>
    <row r="196" spans="2:10" x14ac:dyDescent="0.25">
      <c r="B196" s="48">
        <f>+'Metrics - Articles'!C195</f>
        <v>42166</v>
      </c>
      <c r="C196">
        <f>COUNTIF('Metrics - Articles'!H195,"*Global*")</f>
        <v>1</v>
      </c>
      <c r="D196">
        <f>COUNTIF('Metrics - Articles'!H195,"*EMEA*")</f>
        <v>0</v>
      </c>
      <c r="E196">
        <f>COUNTIF('Metrics - Articles'!H195,"*NA*")</f>
        <v>0</v>
      </c>
      <c r="F196">
        <f>COUNTIF('Metrics - Articles'!H195,"*APJ")</f>
        <v>0</v>
      </c>
      <c r="G196">
        <f>COUNTIF('Metrics - Articles'!H195,"*LATAM*")</f>
        <v>0</v>
      </c>
      <c r="H196">
        <f>COUNTIF('Metrics - Articles'!H195,"*China*")</f>
        <v>0</v>
      </c>
      <c r="J196" s="53">
        <f t="shared" si="3"/>
        <v>1</v>
      </c>
    </row>
    <row r="197" spans="2:10" x14ac:dyDescent="0.25">
      <c r="B197" s="48">
        <f>+'Metrics - Articles'!C196</f>
        <v>42170</v>
      </c>
      <c r="C197">
        <f>COUNTIF('Metrics - Articles'!H196,"*Global*")</f>
        <v>1</v>
      </c>
      <c r="D197">
        <f>COUNTIF('Metrics - Articles'!H196,"*EMEA*")</f>
        <v>0</v>
      </c>
      <c r="E197">
        <f>COUNTIF('Metrics - Articles'!H196,"*NA*")</f>
        <v>0</v>
      </c>
      <c r="F197">
        <f>COUNTIF('Metrics - Articles'!H196,"*APJ")</f>
        <v>0</v>
      </c>
      <c r="G197">
        <f>COUNTIF('Metrics - Articles'!H196,"*LATAM*")</f>
        <v>0</v>
      </c>
      <c r="H197">
        <f>COUNTIF('Metrics - Articles'!H196,"*China*")</f>
        <v>0</v>
      </c>
      <c r="J197" s="53">
        <f t="shared" si="3"/>
        <v>1</v>
      </c>
    </row>
    <row r="198" spans="2:10" x14ac:dyDescent="0.25">
      <c r="B198" s="48">
        <f>+'Metrics - Articles'!C197</f>
        <v>42170</v>
      </c>
      <c r="C198">
        <f>COUNTIF('Metrics - Articles'!H197,"*Global*")</f>
        <v>1</v>
      </c>
      <c r="D198">
        <f>COUNTIF('Metrics - Articles'!H197,"*EMEA*")</f>
        <v>0</v>
      </c>
      <c r="E198">
        <f>COUNTIF('Metrics - Articles'!H197,"*NA*")</f>
        <v>0</v>
      </c>
      <c r="F198">
        <f>COUNTIF('Metrics - Articles'!H197,"*APJ")</f>
        <v>0</v>
      </c>
      <c r="G198">
        <f>COUNTIF('Metrics - Articles'!H197,"*LATAM*")</f>
        <v>0</v>
      </c>
      <c r="H198">
        <f>COUNTIF('Metrics - Articles'!H197,"*China*")</f>
        <v>0</v>
      </c>
      <c r="J198" s="53">
        <f t="shared" si="3"/>
        <v>1</v>
      </c>
    </row>
    <row r="199" spans="2:10" x14ac:dyDescent="0.25">
      <c r="B199" s="48">
        <f>+'Metrics - Articles'!C198</f>
        <v>42171</v>
      </c>
      <c r="C199">
        <f>COUNTIF('Metrics - Articles'!H198,"*Global*")</f>
        <v>0</v>
      </c>
      <c r="D199">
        <f>COUNTIF('Metrics - Articles'!H198,"*EMEA*")</f>
        <v>1</v>
      </c>
      <c r="E199">
        <f>COUNTIF('Metrics - Articles'!H198,"*NA*")</f>
        <v>0</v>
      </c>
      <c r="F199">
        <f>COUNTIF('Metrics - Articles'!H198,"*APJ")</f>
        <v>0</v>
      </c>
      <c r="G199">
        <f>COUNTIF('Metrics - Articles'!H198,"*LATAM*")</f>
        <v>0</v>
      </c>
      <c r="H199">
        <f>COUNTIF('Metrics - Articles'!H198,"*China*")</f>
        <v>0</v>
      </c>
      <c r="J199" s="53">
        <f t="shared" si="3"/>
        <v>1</v>
      </c>
    </row>
    <row r="200" spans="2:10" x14ac:dyDescent="0.25">
      <c r="B200" s="48">
        <f>+'Metrics - Articles'!C199</f>
        <v>42171</v>
      </c>
      <c r="C200">
        <f>COUNTIF('Metrics - Articles'!H199,"*Global*")</f>
        <v>0</v>
      </c>
      <c r="D200">
        <f>COUNTIF('Metrics - Articles'!H199,"*EMEA*")</f>
        <v>1</v>
      </c>
      <c r="E200">
        <f>COUNTIF('Metrics - Articles'!H199,"*NA*")</f>
        <v>0</v>
      </c>
      <c r="F200">
        <f>COUNTIF('Metrics - Articles'!H199,"*APJ")</f>
        <v>0</v>
      </c>
      <c r="G200">
        <f>COUNTIF('Metrics - Articles'!H199,"*LATAM*")</f>
        <v>0</v>
      </c>
      <c r="H200">
        <f>COUNTIF('Metrics - Articles'!H199,"*China*")</f>
        <v>0</v>
      </c>
      <c r="J200" s="53">
        <f t="shared" si="3"/>
        <v>1</v>
      </c>
    </row>
    <row r="201" spans="2:10" x14ac:dyDescent="0.25">
      <c r="B201" s="48">
        <f>+'Metrics - Articles'!C200</f>
        <v>42172</v>
      </c>
      <c r="C201">
        <f>COUNTIF('Metrics - Articles'!H200,"*Global*")</f>
        <v>0</v>
      </c>
      <c r="D201">
        <f>COUNTIF('Metrics - Articles'!H200,"*EMEA*")</f>
        <v>1</v>
      </c>
      <c r="E201">
        <f>COUNTIF('Metrics - Articles'!H200,"*NA*")</f>
        <v>0</v>
      </c>
      <c r="F201">
        <f>COUNTIF('Metrics - Articles'!H200,"*APJ")</f>
        <v>0</v>
      </c>
      <c r="G201">
        <f>COUNTIF('Metrics - Articles'!H200,"*LATAM*")</f>
        <v>0</v>
      </c>
      <c r="H201">
        <f>COUNTIF('Metrics - Articles'!H200,"*China*")</f>
        <v>0</v>
      </c>
      <c r="J201" s="53">
        <f t="shared" si="3"/>
        <v>1</v>
      </c>
    </row>
    <row r="202" spans="2:10" x14ac:dyDescent="0.25">
      <c r="B202" s="48">
        <f>+'Metrics - Articles'!C201</f>
        <v>42172</v>
      </c>
      <c r="C202">
        <f>COUNTIF('Metrics - Articles'!H201,"*Global*")</f>
        <v>1</v>
      </c>
      <c r="D202">
        <f>COUNTIF('Metrics - Articles'!H201,"*EMEA*")</f>
        <v>0</v>
      </c>
      <c r="E202">
        <f>COUNTIF('Metrics - Articles'!H201,"*NA*")</f>
        <v>0</v>
      </c>
      <c r="F202">
        <f>COUNTIF('Metrics - Articles'!H201,"*APJ")</f>
        <v>0</v>
      </c>
      <c r="G202">
        <f>COUNTIF('Metrics - Articles'!H201,"*LATAM*")</f>
        <v>0</v>
      </c>
      <c r="H202">
        <f>COUNTIF('Metrics - Articles'!H201,"*China*")</f>
        <v>0</v>
      </c>
      <c r="J202" s="53">
        <f t="shared" ref="J202:J265" si="4">SUM(C202:I202)</f>
        <v>1</v>
      </c>
    </row>
    <row r="203" spans="2:10" x14ac:dyDescent="0.25">
      <c r="B203" s="48">
        <f>+'Metrics - Articles'!C202</f>
        <v>42173</v>
      </c>
      <c r="C203">
        <f>COUNTIF('Metrics - Articles'!H202,"*Global*")</f>
        <v>1</v>
      </c>
      <c r="D203">
        <f>COUNTIF('Metrics - Articles'!H202,"*EMEA*")</f>
        <v>0</v>
      </c>
      <c r="E203">
        <f>COUNTIF('Metrics - Articles'!H202,"*NA*")</f>
        <v>0</v>
      </c>
      <c r="F203">
        <f>COUNTIF('Metrics - Articles'!H202,"*APJ")</f>
        <v>0</v>
      </c>
      <c r="G203">
        <f>COUNTIF('Metrics - Articles'!H202,"*LATAM*")</f>
        <v>0</v>
      </c>
      <c r="H203">
        <f>COUNTIF('Metrics - Articles'!H202,"*China*")</f>
        <v>0</v>
      </c>
      <c r="J203" s="53">
        <f t="shared" si="4"/>
        <v>1</v>
      </c>
    </row>
    <row r="204" spans="2:10" x14ac:dyDescent="0.25">
      <c r="B204" s="48">
        <f>+'Metrics - Articles'!C203</f>
        <v>42177</v>
      </c>
      <c r="C204">
        <f>COUNTIF('Metrics - Articles'!H203,"*Global*")</f>
        <v>1</v>
      </c>
      <c r="D204">
        <f>COUNTIF('Metrics - Articles'!H203,"*EMEA*")</f>
        <v>0</v>
      </c>
      <c r="E204">
        <f>COUNTIF('Metrics - Articles'!H203,"*NA*")</f>
        <v>0</v>
      </c>
      <c r="F204">
        <f>COUNTIF('Metrics - Articles'!H203,"*APJ")</f>
        <v>0</v>
      </c>
      <c r="G204">
        <f>COUNTIF('Metrics - Articles'!H203,"*LATAM*")</f>
        <v>0</v>
      </c>
      <c r="H204">
        <f>COUNTIF('Metrics - Articles'!H203,"*China*")</f>
        <v>0</v>
      </c>
      <c r="J204" s="53">
        <f t="shared" si="4"/>
        <v>1</v>
      </c>
    </row>
    <row r="205" spans="2:10" x14ac:dyDescent="0.25">
      <c r="B205" s="48">
        <f>+'Metrics - Articles'!C204</f>
        <v>42178</v>
      </c>
      <c r="C205">
        <f>COUNTIF('Metrics - Articles'!H204,"*Global*")</f>
        <v>1</v>
      </c>
      <c r="D205">
        <f>COUNTIF('Metrics - Articles'!H204,"*EMEA*")</f>
        <v>0</v>
      </c>
      <c r="E205">
        <f>COUNTIF('Metrics - Articles'!H204,"*NA*")</f>
        <v>0</v>
      </c>
      <c r="F205">
        <f>COUNTIF('Metrics - Articles'!H204,"*APJ")</f>
        <v>0</v>
      </c>
      <c r="G205">
        <f>COUNTIF('Metrics - Articles'!H204,"*LATAM*")</f>
        <v>0</v>
      </c>
      <c r="H205">
        <f>COUNTIF('Metrics - Articles'!H204,"*China*")</f>
        <v>0</v>
      </c>
      <c r="J205" s="53">
        <f t="shared" si="4"/>
        <v>1</v>
      </c>
    </row>
    <row r="206" spans="2:10" x14ac:dyDescent="0.25">
      <c r="B206" s="48">
        <f>+'Metrics - Articles'!C205</f>
        <v>42179</v>
      </c>
      <c r="C206">
        <f>COUNTIF('Metrics - Articles'!H205,"*Global*")</f>
        <v>1</v>
      </c>
      <c r="D206">
        <f>COUNTIF('Metrics - Articles'!H205,"*EMEA*")</f>
        <v>0</v>
      </c>
      <c r="E206">
        <f>COUNTIF('Metrics - Articles'!H205,"*NA*")</f>
        <v>0</v>
      </c>
      <c r="F206">
        <f>COUNTIF('Metrics - Articles'!H205,"*APJ")</f>
        <v>0</v>
      </c>
      <c r="G206">
        <f>COUNTIF('Metrics - Articles'!H205,"*LATAM*")</f>
        <v>0</v>
      </c>
      <c r="H206">
        <f>COUNTIF('Metrics - Articles'!H205,"*China*")</f>
        <v>0</v>
      </c>
      <c r="J206" s="53">
        <f t="shared" si="4"/>
        <v>1</v>
      </c>
    </row>
    <row r="207" spans="2:10" x14ac:dyDescent="0.25">
      <c r="B207" s="48">
        <f>+'Metrics - Articles'!C206</f>
        <v>42179</v>
      </c>
      <c r="C207">
        <f>COUNTIF('Metrics - Articles'!H206,"*Global*")</f>
        <v>0</v>
      </c>
      <c r="D207">
        <f>COUNTIF('Metrics - Articles'!H206,"*EMEA*")</f>
        <v>1</v>
      </c>
      <c r="E207">
        <f>COUNTIF('Metrics - Articles'!H206,"*NA*")</f>
        <v>0</v>
      </c>
      <c r="F207">
        <f>COUNTIF('Metrics - Articles'!H206,"*APJ")</f>
        <v>0</v>
      </c>
      <c r="G207">
        <f>COUNTIF('Metrics - Articles'!H206,"*LATAM*")</f>
        <v>0</v>
      </c>
      <c r="H207">
        <f>COUNTIF('Metrics - Articles'!H206,"*China*")</f>
        <v>0</v>
      </c>
      <c r="J207" s="53">
        <f t="shared" si="4"/>
        <v>1</v>
      </c>
    </row>
    <row r="208" spans="2:10" x14ac:dyDescent="0.25">
      <c r="B208" s="48">
        <f>+'Metrics - Articles'!C207</f>
        <v>42179</v>
      </c>
      <c r="C208">
        <f>COUNTIF('Metrics - Articles'!H207,"*Global*")</f>
        <v>0</v>
      </c>
      <c r="D208">
        <f>COUNTIF('Metrics - Articles'!H207,"*EMEA*")</f>
        <v>1</v>
      </c>
      <c r="E208">
        <f>COUNTIF('Metrics - Articles'!H207,"*NA*")</f>
        <v>0</v>
      </c>
      <c r="F208">
        <f>COUNTIF('Metrics - Articles'!H207,"*APJ")</f>
        <v>0</v>
      </c>
      <c r="G208">
        <f>COUNTIF('Metrics - Articles'!H207,"*LATAM*")</f>
        <v>0</v>
      </c>
      <c r="H208">
        <f>COUNTIF('Metrics - Articles'!H207,"*China*")</f>
        <v>0</v>
      </c>
      <c r="J208" s="53">
        <f t="shared" si="4"/>
        <v>1</v>
      </c>
    </row>
    <row r="209" spans="2:10" x14ac:dyDescent="0.25">
      <c r="B209" s="48">
        <f>+'Metrics - Articles'!C208</f>
        <v>42180</v>
      </c>
      <c r="C209">
        <f>COUNTIF('Metrics - Articles'!H208,"*Global*")</f>
        <v>1</v>
      </c>
      <c r="D209">
        <f>COUNTIF('Metrics - Articles'!H208,"*EMEA*")</f>
        <v>0</v>
      </c>
      <c r="E209">
        <f>COUNTIF('Metrics - Articles'!H208,"*NA*")</f>
        <v>0</v>
      </c>
      <c r="F209">
        <f>COUNTIF('Metrics - Articles'!H208,"*APJ")</f>
        <v>0</v>
      </c>
      <c r="G209">
        <f>COUNTIF('Metrics - Articles'!H208,"*LATAM*")</f>
        <v>0</v>
      </c>
      <c r="H209">
        <f>COUNTIF('Metrics - Articles'!H208,"*China*")</f>
        <v>0</v>
      </c>
      <c r="J209" s="53">
        <f t="shared" si="4"/>
        <v>1</v>
      </c>
    </row>
    <row r="210" spans="2:10" x14ac:dyDescent="0.25">
      <c r="B210" s="48">
        <f>+'Metrics - Articles'!C209</f>
        <v>42180</v>
      </c>
      <c r="C210">
        <f>COUNTIF('Metrics - Articles'!H209,"*Global*")</f>
        <v>1</v>
      </c>
      <c r="D210">
        <f>COUNTIF('Metrics - Articles'!H209,"*EMEA*")</f>
        <v>0</v>
      </c>
      <c r="E210">
        <f>COUNTIF('Metrics - Articles'!H209,"*NA*")</f>
        <v>0</v>
      </c>
      <c r="F210">
        <f>COUNTIF('Metrics - Articles'!H209,"*APJ")</f>
        <v>0</v>
      </c>
      <c r="G210">
        <f>COUNTIF('Metrics - Articles'!H209,"*LATAM*")</f>
        <v>0</v>
      </c>
      <c r="H210">
        <f>COUNTIF('Metrics - Articles'!H209,"*China*")</f>
        <v>0</v>
      </c>
      <c r="J210" s="53">
        <f t="shared" si="4"/>
        <v>1</v>
      </c>
    </row>
    <row r="211" spans="2:10" x14ac:dyDescent="0.25">
      <c r="B211" s="48">
        <f>+'Metrics - Articles'!C210</f>
        <v>42181</v>
      </c>
      <c r="C211">
        <f>COUNTIF('Metrics - Articles'!H210,"*Global*")</f>
        <v>1</v>
      </c>
      <c r="D211">
        <f>COUNTIF('Metrics - Articles'!H210,"*EMEA*")</f>
        <v>0</v>
      </c>
      <c r="E211">
        <f>COUNTIF('Metrics - Articles'!H210,"*NA*")</f>
        <v>0</v>
      </c>
      <c r="F211">
        <f>COUNTIF('Metrics - Articles'!H210,"*APJ")</f>
        <v>0</v>
      </c>
      <c r="G211">
        <f>COUNTIF('Metrics - Articles'!H210,"*LATAM*")</f>
        <v>0</v>
      </c>
      <c r="H211">
        <f>COUNTIF('Metrics - Articles'!H210,"*China*")</f>
        <v>0</v>
      </c>
      <c r="J211" s="53">
        <f t="shared" si="4"/>
        <v>1</v>
      </c>
    </row>
    <row r="212" spans="2:10" x14ac:dyDescent="0.25">
      <c r="B212" s="48">
        <f>+'Metrics - Articles'!C211</f>
        <v>42181</v>
      </c>
      <c r="C212">
        <f>COUNTIF('Metrics - Articles'!H211,"*Global*")</f>
        <v>0</v>
      </c>
      <c r="D212">
        <f>COUNTIF('Metrics - Articles'!H211,"*EMEA*")</f>
        <v>0</v>
      </c>
      <c r="E212">
        <f>COUNTIF('Metrics - Articles'!H211,"*NA*")</f>
        <v>0</v>
      </c>
      <c r="F212">
        <f>COUNTIF('Metrics - Articles'!H211,"*APJ")</f>
        <v>0</v>
      </c>
      <c r="G212">
        <f>COUNTIF('Metrics - Articles'!H211,"*LATAM*")</f>
        <v>1</v>
      </c>
      <c r="H212">
        <f>COUNTIF('Metrics - Articles'!H211,"*China*")</f>
        <v>0</v>
      </c>
      <c r="J212" s="53">
        <f t="shared" si="4"/>
        <v>1</v>
      </c>
    </row>
    <row r="213" spans="2:10" x14ac:dyDescent="0.25">
      <c r="B213" s="48">
        <f>+'Metrics - Articles'!C212</f>
        <v>42181</v>
      </c>
      <c r="C213">
        <f>COUNTIF('Metrics - Articles'!H212,"*Global*")</f>
        <v>1</v>
      </c>
      <c r="D213">
        <f>COUNTIF('Metrics - Articles'!H212,"*EMEA*")</f>
        <v>0</v>
      </c>
      <c r="E213">
        <f>COUNTIF('Metrics - Articles'!H212,"*NA*")</f>
        <v>0</v>
      </c>
      <c r="F213">
        <f>COUNTIF('Metrics - Articles'!H212,"*APJ")</f>
        <v>0</v>
      </c>
      <c r="G213">
        <f>COUNTIF('Metrics - Articles'!H212,"*LATAM*")</f>
        <v>0</v>
      </c>
      <c r="H213">
        <f>COUNTIF('Metrics - Articles'!H212,"*China*")</f>
        <v>0</v>
      </c>
      <c r="J213" s="53">
        <f t="shared" si="4"/>
        <v>1</v>
      </c>
    </row>
    <row r="214" spans="2:10" x14ac:dyDescent="0.25">
      <c r="B214" s="48">
        <f>+'Metrics - Articles'!C213</f>
        <v>42184</v>
      </c>
      <c r="C214">
        <f>COUNTIF('Metrics - Articles'!H213,"*Global*")</f>
        <v>0</v>
      </c>
      <c r="D214">
        <f>COUNTIF('Metrics - Articles'!H213,"*EMEA*")</f>
        <v>1</v>
      </c>
      <c r="E214">
        <f>COUNTIF('Metrics - Articles'!H213,"*NA*")</f>
        <v>0</v>
      </c>
      <c r="F214">
        <f>COUNTIF('Metrics - Articles'!H213,"*APJ")</f>
        <v>0</v>
      </c>
      <c r="G214">
        <f>COUNTIF('Metrics - Articles'!H213,"*LATAM*")</f>
        <v>0</v>
      </c>
      <c r="H214">
        <f>COUNTIF('Metrics - Articles'!H213,"*China*")</f>
        <v>0</v>
      </c>
      <c r="J214" s="53">
        <f t="shared" si="4"/>
        <v>1</v>
      </c>
    </row>
    <row r="215" spans="2:10" x14ac:dyDescent="0.25">
      <c r="B215" s="48">
        <f>+'Metrics - Articles'!C214</f>
        <v>42186</v>
      </c>
      <c r="C215">
        <f>COUNTIF('Metrics - Articles'!H214,"*Global*")</f>
        <v>0</v>
      </c>
      <c r="D215">
        <f>COUNTIF('Metrics - Articles'!H214,"*EMEA*")</f>
        <v>0</v>
      </c>
      <c r="E215">
        <f>COUNTIF('Metrics - Articles'!H214,"*NA*")</f>
        <v>1</v>
      </c>
      <c r="F215">
        <f>COUNTIF('Metrics - Articles'!H214,"*APJ")</f>
        <v>0</v>
      </c>
      <c r="G215">
        <f>COUNTIF('Metrics - Articles'!H214,"*LATAM*")</f>
        <v>0</v>
      </c>
      <c r="H215">
        <f>COUNTIF('Metrics - Articles'!H214,"*China*")</f>
        <v>0</v>
      </c>
      <c r="J215" s="53">
        <f t="shared" si="4"/>
        <v>1</v>
      </c>
    </row>
    <row r="216" spans="2:10" x14ac:dyDescent="0.25">
      <c r="B216" s="48">
        <f>+'Metrics - Articles'!C215</f>
        <v>42187</v>
      </c>
      <c r="C216">
        <f>COUNTIF('Metrics - Articles'!H215,"*Global*")</f>
        <v>1</v>
      </c>
      <c r="D216">
        <f>COUNTIF('Metrics - Articles'!H215,"*EMEA*")</f>
        <v>0</v>
      </c>
      <c r="E216">
        <f>COUNTIF('Metrics - Articles'!H215,"*NA*")</f>
        <v>0</v>
      </c>
      <c r="F216">
        <f>COUNTIF('Metrics - Articles'!H215,"*APJ")</f>
        <v>0</v>
      </c>
      <c r="G216">
        <f>COUNTIF('Metrics - Articles'!H215,"*LATAM*")</f>
        <v>0</v>
      </c>
      <c r="H216">
        <f>COUNTIF('Metrics - Articles'!H215,"*China*")</f>
        <v>0</v>
      </c>
      <c r="J216" s="53">
        <f t="shared" si="4"/>
        <v>1</v>
      </c>
    </row>
    <row r="217" spans="2:10" x14ac:dyDescent="0.25">
      <c r="B217" s="48">
        <f>+'Metrics - Articles'!C216</f>
        <v>42187</v>
      </c>
      <c r="C217">
        <f>COUNTIF('Metrics - Articles'!H216,"*Global*")</f>
        <v>0</v>
      </c>
      <c r="D217">
        <f>COUNTIF('Metrics - Articles'!H216,"*EMEA*")</f>
        <v>1</v>
      </c>
      <c r="E217">
        <f>COUNTIF('Metrics - Articles'!H216,"*NA*")</f>
        <v>0</v>
      </c>
      <c r="F217">
        <f>COUNTIF('Metrics - Articles'!H216,"*APJ")</f>
        <v>0</v>
      </c>
      <c r="G217">
        <f>COUNTIF('Metrics - Articles'!H216,"*LATAM*")</f>
        <v>0</v>
      </c>
      <c r="H217">
        <f>COUNTIF('Metrics - Articles'!H216,"*China*")</f>
        <v>0</v>
      </c>
      <c r="J217" s="53">
        <f t="shared" si="4"/>
        <v>1</v>
      </c>
    </row>
    <row r="218" spans="2:10" x14ac:dyDescent="0.25">
      <c r="B218" s="48">
        <f>+'Metrics - Articles'!C217</f>
        <v>42188</v>
      </c>
      <c r="C218">
        <f>COUNTIF('Metrics - Articles'!H217,"*Global*")</f>
        <v>1</v>
      </c>
      <c r="D218">
        <f>COUNTIF('Metrics - Articles'!H217,"*EMEA*")</f>
        <v>0</v>
      </c>
      <c r="E218">
        <f>COUNTIF('Metrics - Articles'!H217,"*NA*")</f>
        <v>0</v>
      </c>
      <c r="F218">
        <f>COUNTIF('Metrics - Articles'!H217,"*APJ")</f>
        <v>0</v>
      </c>
      <c r="G218">
        <f>COUNTIF('Metrics - Articles'!H217,"*LATAM*")</f>
        <v>0</v>
      </c>
      <c r="H218">
        <f>COUNTIF('Metrics - Articles'!H217,"*China*")</f>
        <v>0</v>
      </c>
      <c r="J218" s="53">
        <f t="shared" si="4"/>
        <v>1</v>
      </c>
    </row>
    <row r="219" spans="2:10" x14ac:dyDescent="0.25">
      <c r="B219" s="48">
        <f>+'Metrics - Articles'!C218</f>
        <v>42188</v>
      </c>
      <c r="C219">
        <f>COUNTIF('Metrics - Articles'!H218,"*Global*")</f>
        <v>1</v>
      </c>
      <c r="D219">
        <f>COUNTIF('Metrics - Articles'!H218,"*EMEA*")</f>
        <v>0</v>
      </c>
      <c r="E219">
        <f>COUNTIF('Metrics - Articles'!H218,"*NA*")</f>
        <v>0</v>
      </c>
      <c r="F219">
        <f>COUNTIF('Metrics - Articles'!H218,"*APJ")</f>
        <v>0</v>
      </c>
      <c r="G219">
        <f>COUNTIF('Metrics - Articles'!H218,"*LATAM*")</f>
        <v>0</v>
      </c>
      <c r="H219">
        <f>COUNTIF('Metrics - Articles'!H218,"*China*")</f>
        <v>0</v>
      </c>
      <c r="J219" s="53">
        <f t="shared" si="4"/>
        <v>1</v>
      </c>
    </row>
    <row r="220" spans="2:10" x14ac:dyDescent="0.25">
      <c r="B220" s="48">
        <f>+'Metrics - Articles'!C219</f>
        <v>42188</v>
      </c>
      <c r="C220">
        <f>COUNTIF('Metrics - Articles'!H219,"*Global*")</f>
        <v>0</v>
      </c>
      <c r="D220">
        <f>COUNTIF('Metrics - Articles'!H219,"*EMEA*")</f>
        <v>1</v>
      </c>
      <c r="E220">
        <f>COUNTIF('Metrics - Articles'!H219,"*NA*")</f>
        <v>0</v>
      </c>
      <c r="F220">
        <f>COUNTIF('Metrics - Articles'!H219,"*APJ")</f>
        <v>0</v>
      </c>
      <c r="G220">
        <f>COUNTIF('Metrics - Articles'!H219,"*LATAM*")</f>
        <v>0</v>
      </c>
      <c r="H220">
        <f>COUNTIF('Metrics - Articles'!H219,"*China*")</f>
        <v>0</v>
      </c>
      <c r="J220" s="53">
        <f t="shared" si="4"/>
        <v>1</v>
      </c>
    </row>
    <row r="221" spans="2:10" x14ac:dyDescent="0.25">
      <c r="B221" s="48">
        <f>+'Metrics - Articles'!C220</f>
        <v>42191</v>
      </c>
      <c r="C221">
        <f>COUNTIF('Metrics - Articles'!H220,"*Global*")</f>
        <v>1</v>
      </c>
      <c r="D221">
        <f>COUNTIF('Metrics - Articles'!H220,"*EMEA*")</f>
        <v>0</v>
      </c>
      <c r="E221">
        <f>COUNTIF('Metrics - Articles'!H220,"*NA*")</f>
        <v>0</v>
      </c>
      <c r="F221">
        <f>COUNTIF('Metrics - Articles'!H220,"*APJ")</f>
        <v>0</v>
      </c>
      <c r="G221">
        <f>COUNTIF('Metrics - Articles'!H220,"*LATAM*")</f>
        <v>0</v>
      </c>
      <c r="H221">
        <f>COUNTIF('Metrics - Articles'!H220,"*China*")</f>
        <v>0</v>
      </c>
      <c r="J221" s="53">
        <f t="shared" si="4"/>
        <v>1</v>
      </c>
    </row>
    <row r="222" spans="2:10" x14ac:dyDescent="0.25">
      <c r="B222" s="48">
        <f>+'Metrics - Articles'!C221</f>
        <v>42192</v>
      </c>
      <c r="C222">
        <f>COUNTIF('Metrics - Articles'!H221,"*Global*")</f>
        <v>1</v>
      </c>
      <c r="D222">
        <f>COUNTIF('Metrics - Articles'!H221,"*EMEA*")</f>
        <v>0</v>
      </c>
      <c r="E222">
        <f>COUNTIF('Metrics - Articles'!H221,"*NA*")</f>
        <v>0</v>
      </c>
      <c r="F222">
        <f>COUNTIF('Metrics - Articles'!H221,"*APJ")</f>
        <v>0</v>
      </c>
      <c r="G222">
        <f>COUNTIF('Metrics - Articles'!H221,"*LATAM*")</f>
        <v>0</v>
      </c>
      <c r="H222">
        <f>COUNTIF('Metrics - Articles'!H221,"*China*")</f>
        <v>0</v>
      </c>
      <c r="J222" s="53">
        <f t="shared" si="4"/>
        <v>1</v>
      </c>
    </row>
    <row r="223" spans="2:10" x14ac:dyDescent="0.25">
      <c r="B223" s="48">
        <f>+'Metrics - Articles'!C222</f>
        <v>42194</v>
      </c>
      <c r="C223">
        <f>COUNTIF('Metrics - Articles'!H222,"*Global*")</f>
        <v>0</v>
      </c>
      <c r="D223">
        <f>COUNTIF('Metrics - Articles'!H222,"*EMEA*")</f>
        <v>1</v>
      </c>
      <c r="E223">
        <f>COUNTIF('Metrics - Articles'!H222,"*NA*")</f>
        <v>0</v>
      </c>
      <c r="F223">
        <f>COUNTIF('Metrics - Articles'!H222,"*APJ")</f>
        <v>0</v>
      </c>
      <c r="G223">
        <f>COUNTIF('Metrics - Articles'!H222,"*LATAM*")</f>
        <v>0</v>
      </c>
      <c r="H223">
        <f>COUNTIF('Metrics - Articles'!H222,"*China*")</f>
        <v>0</v>
      </c>
      <c r="J223" s="53">
        <f t="shared" si="4"/>
        <v>1</v>
      </c>
    </row>
    <row r="224" spans="2:10" x14ac:dyDescent="0.25">
      <c r="B224" s="48">
        <f>+'Metrics - Articles'!C223</f>
        <v>42194</v>
      </c>
      <c r="C224">
        <f>COUNTIF('Metrics - Articles'!H223,"*Global*")</f>
        <v>1</v>
      </c>
      <c r="D224">
        <f>COUNTIF('Metrics - Articles'!H223,"*EMEA*")</f>
        <v>0</v>
      </c>
      <c r="E224">
        <f>COUNTIF('Metrics - Articles'!H223,"*NA*")</f>
        <v>0</v>
      </c>
      <c r="F224">
        <f>COUNTIF('Metrics - Articles'!H223,"*APJ")</f>
        <v>0</v>
      </c>
      <c r="G224">
        <f>COUNTIF('Metrics - Articles'!H223,"*LATAM*")</f>
        <v>0</v>
      </c>
      <c r="H224">
        <f>COUNTIF('Metrics - Articles'!H223,"*China*")</f>
        <v>0</v>
      </c>
      <c r="J224" s="53">
        <f t="shared" si="4"/>
        <v>1</v>
      </c>
    </row>
    <row r="225" spans="2:10" x14ac:dyDescent="0.25">
      <c r="B225" s="48">
        <f>+'Metrics - Articles'!C224</f>
        <v>42194</v>
      </c>
      <c r="C225">
        <f>COUNTIF('Metrics - Articles'!H224,"*Global*")</f>
        <v>1</v>
      </c>
      <c r="D225">
        <f>COUNTIF('Metrics - Articles'!H224,"*EMEA*")</f>
        <v>0</v>
      </c>
      <c r="E225">
        <f>COUNTIF('Metrics - Articles'!H224,"*NA*")</f>
        <v>0</v>
      </c>
      <c r="F225">
        <f>COUNTIF('Metrics - Articles'!H224,"*APJ")</f>
        <v>0</v>
      </c>
      <c r="G225">
        <f>COUNTIF('Metrics - Articles'!H224,"*LATAM*")</f>
        <v>0</v>
      </c>
      <c r="H225">
        <f>COUNTIF('Metrics - Articles'!H224,"*China*")</f>
        <v>0</v>
      </c>
      <c r="J225" s="53">
        <f t="shared" si="4"/>
        <v>1</v>
      </c>
    </row>
    <row r="226" spans="2:10" x14ac:dyDescent="0.25">
      <c r="B226" s="48">
        <f>+'Metrics - Articles'!C225</f>
        <v>42195</v>
      </c>
      <c r="C226">
        <f>COUNTIF('Metrics - Articles'!H225,"*Global*")</f>
        <v>1</v>
      </c>
      <c r="D226">
        <f>COUNTIF('Metrics - Articles'!H225,"*EMEA*")</f>
        <v>0</v>
      </c>
      <c r="E226">
        <f>COUNTIF('Metrics - Articles'!H225,"*NA*")</f>
        <v>0</v>
      </c>
      <c r="F226">
        <f>COUNTIF('Metrics - Articles'!H225,"*APJ")</f>
        <v>0</v>
      </c>
      <c r="G226">
        <f>COUNTIF('Metrics - Articles'!H225,"*LATAM*")</f>
        <v>0</v>
      </c>
      <c r="H226">
        <f>COUNTIF('Metrics - Articles'!H225,"*China*")</f>
        <v>0</v>
      </c>
      <c r="J226" s="53">
        <f t="shared" si="4"/>
        <v>1</v>
      </c>
    </row>
    <row r="227" spans="2:10" x14ac:dyDescent="0.25">
      <c r="B227" s="48">
        <f>+'Metrics - Articles'!C226</f>
        <v>42195</v>
      </c>
      <c r="C227">
        <f>COUNTIF('Metrics - Articles'!H226,"*Global*")</f>
        <v>0</v>
      </c>
      <c r="D227">
        <f>COUNTIF('Metrics - Articles'!H226,"*EMEA*")</f>
        <v>1</v>
      </c>
      <c r="E227">
        <f>COUNTIF('Metrics - Articles'!H226,"*NA*")</f>
        <v>0</v>
      </c>
      <c r="F227">
        <f>COUNTIF('Metrics - Articles'!H226,"*APJ")</f>
        <v>0</v>
      </c>
      <c r="G227">
        <f>COUNTIF('Metrics - Articles'!H226,"*LATAM*")</f>
        <v>0</v>
      </c>
      <c r="H227">
        <f>COUNTIF('Metrics - Articles'!H226,"*China*")</f>
        <v>0</v>
      </c>
      <c r="J227" s="53">
        <f t="shared" si="4"/>
        <v>1</v>
      </c>
    </row>
    <row r="228" spans="2:10" x14ac:dyDescent="0.25">
      <c r="B228" s="48">
        <f>+'Metrics - Articles'!C227</f>
        <v>42195</v>
      </c>
      <c r="C228">
        <f>COUNTIF('Metrics - Articles'!H227,"*Global*")</f>
        <v>1</v>
      </c>
      <c r="D228">
        <f>COUNTIF('Metrics - Articles'!H227,"*EMEA*")</f>
        <v>0</v>
      </c>
      <c r="E228">
        <f>COUNTIF('Metrics - Articles'!H227,"*NA*")</f>
        <v>0</v>
      </c>
      <c r="F228">
        <f>COUNTIF('Metrics - Articles'!H227,"*APJ")</f>
        <v>0</v>
      </c>
      <c r="G228">
        <f>COUNTIF('Metrics - Articles'!H227,"*LATAM*")</f>
        <v>0</v>
      </c>
      <c r="H228">
        <f>COUNTIF('Metrics - Articles'!H227,"*China*")</f>
        <v>0</v>
      </c>
      <c r="J228" s="53">
        <f t="shared" si="4"/>
        <v>1</v>
      </c>
    </row>
    <row r="229" spans="2:10" x14ac:dyDescent="0.25">
      <c r="B229" s="48">
        <f>+'Metrics - Articles'!C228</f>
        <v>42198</v>
      </c>
      <c r="C229">
        <f>COUNTIF('Metrics - Articles'!H228,"*Global*")</f>
        <v>0</v>
      </c>
      <c r="D229">
        <f>COUNTIF('Metrics - Articles'!H228,"*EMEA*")</f>
        <v>0</v>
      </c>
      <c r="E229">
        <f>COUNTIF('Metrics - Articles'!H228,"*NA*")</f>
        <v>1</v>
      </c>
      <c r="F229">
        <f>COUNTIF('Metrics - Articles'!H228,"*APJ")</f>
        <v>0</v>
      </c>
      <c r="G229">
        <f>COUNTIF('Metrics - Articles'!H228,"*LATAM*")</f>
        <v>0</v>
      </c>
      <c r="H229">
        <f>COUNTIF('Metrics - Articles'!H228,"*China*")</f>
        <v>0</v>
      </c>
      <c r="J229" s="53">
        <f t="shared" si="4"/>
        <v>1</v>
      </c>
    </row>
    <row r="230" spans="2:10" x14ac:dyDescent="0.25">
      <c r="B230" s="48">
        <f>+'Metrics - Articles'!C229</f>
        <v>42198</v>
      </c>
      <c r="C230">
        <f>COUNTIF('Metrics - Articles'!H229,"*Global*")</f>
        <v>1</v>
      </c>
      <c r="D230">
        <f>COUNTIF('Metrics - Articles'!H229,"*EMEA*")</f>
        <v>0</v>
      </c>
      <c r="E230">
        <f>COUNTIF('Metrics - Articles'!H229,"*NA*")</f>
        <v>0</v>
      </c>
      <c r="F230">
        <f>COUNTIF('Metrics - Articles'!H229,"*APJ")</f>
        <v>0</v>
      </c>
      <c r="G230">
        <f>COUNTIF('Metrics - Articles'!H229,"*LATAM*")</f>
        <v>0</v>
      </c>
      <c r="H230">
        <f>COUNTIF('Metrics - Articles'!H229,"*China*")</f>
        <v>0</v>
      </c>
      <c r="J230" s="53">
        <f t="shared" si="4"/>
        <v>1</v>
      </c>
    </row>
    <row r="231" spans="2:10" x14ac:dyDescent="0.25">
      <c r="B231" s="48">
        <f>+'Metrics - Articles'!C230</f>
        <v>42199</v>
      </c>
      <c r="C231">
        <f>COUNTIF('Metrics - Articles'!H230,"*Global*")</f>
        <v>0</v>
      </c>
      <c r="D231">
        <f>COUNTIF('Metrics - Articles'!H230,"*EMEA*")</f>
        <v>0</v>
      </c>
      <c r="E231">
        <f>COUNTIF('Metrics - Articles'!H230,"*NA*")</f>
        <v>1</v>
      </c>
      <c r="F231">
        <f>COUNTIF('Metrics - Articles'!H230,"*APJ")</f>
        <v>0</v>
      </c>
      <c r="G231">
        <f>COUNTIF('Metrics - Articles'!H230,"*LATAM*")</f>
        <v>0</v>
      </c>
      <c r="H231">
        <f>COUNTIF('Metrics - Articles'!H230,"*China*")</f>
        <v>0</v>
      </c>
      <c r="J231" s="53">
        <f t="shared" si="4"/>
        <v>1</v>
      </c>
    </row>
    <row r="232" spans="2:10" x14ac:dyDescent="0.25">
      <c r="B232" s="48">
        <f>+'Metrics - Articles'!C231</f>
        <v>42199</v>
      </c>
      <c r="C232">
        <f>COUNTIF('Metrics - Articles'!H231,"*Global*")</f>
        <v>0</v>
      </c>
      <c r="D232">
        <f>COUNTIF('Metrics - Articles'!H231,"*EMEA*")</f>
        <v>1</v>
      </c>
      <c r="E232">
        <f>COUNTIF('Metrics - Articles'!H231,"*NA*")</f>
        <v>0</v>
      </c>
      <c r="F232">
        <f>COUNTIF('Metrics - Articles'!H231,"*APJ")</f>
        <v>0</v>
      </c>
      <c r="G232">
        <f>COUNTIF('Metrics - Articles'!H231,"*LATAM*")</f>
        <v>0</v>
      </c>
      <c r="H232">
        <f>COUNTIF('Metrics - Articles'!H231,"*China*")</f>
        <v>0</v>
      </c>
      <c r="J232" s="53">
        <f t="shared" si="4"/>
        <v>1</v>
      </c>
    </row>
    <row r="233" spans="2:10" x14ac:dyDescent="0.25">
      <c r="B233" s="48">
        <f>+'Metrics - Articles'!C232</f>
        <v>42200</v>
      </c>
      <c r="C233">
        <f>COUNTIF('Metrics - Articles'!H232,"*Global*")</f>
        <v>0</v>
      </c>
      <c r="D233">
        <f>COUNTIF('Metrics - Articles'!H232,"*EMEA*")</f>
        <v>1</v>
      </c>
      <c r="E233">
        <f>COUNTIF('Metrics - Articles'!H232,"*NA*")</f>
        <v>0</v>
      </c>
      <c r="F233">
        <f>COUNTIF('Metrics - Articles'!H232,"*APJ")</f>
        <v>0</v>
      </c>
      <c r="G233">
        <f>COUNTIF('Metrics - Articles'!H232,"*LATAM*")</f>
        <v>0</v>
      </c>
      <c r="H233">
        <f>COUNTIF('Metrics - Articles'!H232,"*China*")</f>
        <v>0</v>
      </c>
      <c r="J233" s="53">
        <f t="shared" si="4"/>
        <v>1</v>
      </c>
    </row>
    <row r="234" spans="2:10" x14ac:dyDescent="0.25">
      <c r="B234" s="48">
        <f>+'Metrics - Articles'!C233</f>
        <v>42201</v>
      </c>
      <c r="C234">
        <f>COUNTIF('Metrics - Articles'!H233,"*Global*")</f>
        <v>0</v>
      </c>
      <c r="D234">
        <f>COUNTIF('Metrics - Articles'!H233,"*EMEA*")</f>
        <v>0</v>
      </c>
      <c r="E234">
        <f>COUNTIF('Metrics - Articles'!H233,"*NA*")</f>
        <v>0</v>
      </c>
      <c r="F234">
        <f>COUNTIF('Metrics - Articles'!H233,"*APJ")</f>
        <v>0</v>
      </c>
      <c r="G234">
        <f>COUNTIF('Metrics - Articles'!H233,"*LATAM*")</f>
        <v>1</v>
      </c>
      <c r="H234">
        <f>COUNTIF('Metrics - Articles'!H233,"*China*")</f>
        <v>0</v>
      </c>
      <c r="J234" s="53">
        <f t="shared" si="4"/>
        <v>1</v>
      </c>
    </row>
    <row r="235" spans="2:10" x14ac:dyDescent="0.25">
      <c r="B235" s="48">
        <f>+'Metrics - Articles'!C234</f>
        <v>42202</v>
      </c>
      <c r="C235">
        <f>COUNTIF('Metrics - Articles'!H234,"*Global*")</f>
        <v>0</v>
      </c>
      <c r="D235">
        <f>COUNTIF('Metrics - Articles'!H234,"*EMEA*")</f>
        <v>0</v>
      </c>
      <c r="E235">
        <f>COUNTIF('Metrics - Articles'!H234,"*NA*")</f>
        <v>1</v>
      </c>
      <c r="F235">
        <f>COUNTIF('Metrics - Articles'!H234,"*APJ")</f>
        <v>0</v>
      </c>
      <c r="G235">
        <f>COUNTIF('Metrics - Articles'!H234,"*LATAM*")</f>
        <v>0</v>
      </c>
      <c r="H235">
        <f>COUNTIF('Metrics - Articles'!H234,"*China*")</f>
        <v>0</v>
      </c>
      <c r="J235" s="53">
        <f t="shared" si="4"/>
        <v>1</v>
      </c>
    </row>
    <row r="236" spans="2:10" x14ac:dyDescent="0.25">
      <c r="B236" s="48">
        <f>+'Metrics - Articles'!C235</f>
        <v>42202</v>
      </c>
      <c r="C236">
        <f>COUNTIF('Metrics - Articles'!H235,"*Global*")</f>
        <v>0</v>
      </c>
      <c r="D236">
        <f>COUNTIF('Metrics - Articles'!H235,"*EMEA*")</f>
        <v>1</v>
      </c>
      <c r="E236">
        <f>COUNTIF('Metrics - Articles'!H235,"*NA*")</f>
        <v>0</v>
      </c>
      <c r="F236">
        <f>COUNTIF('Metrics - Articles'!H235,"*APJ")</f>
        <v>0</v>
      </c>
      <c r="G236">
        <f>COUNTIF('Metrics - Articles'!H235,"*LATAM*")</f>
        <v>0</v>
      </c>
      <c r="H236">
        <f>COUNTIF('Metrics - Articles'!H235,"*China*")</f>
        <v>0</v>
      </c>
      <c r="J236" s="53">
        <f t="shared" si="4"/>
        <v>1</v>
      </c>
    </row>
    <row r="237" spans="2:10" x14ac:dyDescent="0.25">
      <c r="B237" s="48">
        <f>+'Metrics - Articles'!C236</f>
        <v>42205</v>
      </c>
      <c r="C237">
        <f>COUNTIF('Metrics - Articles'!H236,"*Global*")</f>
        <v>1</v>
      </c>
      <c r="D237">
        <f>COUNTIF('Metrics - Articles'!H236,"*EMEA*")</f>
        <v>0</v>
      </c>
      <c r="E237">
        <f>COUNTIF('Metrics - Articles'!H236,"*NA*")</f>
        <v>0</v>
      </c>
      <c r="F237">
        <f>COUNTIF('Metrics - Articles'!H236,"*APJ")</f>
        <v>0</v>
      </c>
      <c r="G237">
        <f>COUNTIF('Metrics - Articles'!H236,"*LATAM*")</f>
        <v>0</v>
      </c>
      <c r="H237">
        <f>COUNTIF('Metrics - Articles'!H236,"*China*")</f>
        <v>0</v>
      </c>
      <c r="J237" s="53">
        <f t="shared" si="4"/>
        <v>1</v>
      </c>
    </row>
    <row r="238" spans="2:10" x14ac:dyDescent="0.25">
      <c r="B238" s="48">
        <f>+'Metrics - Articles'!C237</f>
        <v>42205</v>
      </c>
      <c r="C238">
        <f>COUNTIF('Metrics - Articles'!H237,"*Global*")</f>
        <v>0</v>
      </c>
      <c r="D238">
        <f>COUNTIF('Metrics - Articles'!H237,"*EMEA*")</f>
        <v>1</v>
      </c>
      <c r="E238">
        <f>COUNTIF('Metrics - Articles'!H237,"*NA*")</f>
        <v>0</v>
      </c>
      <c r="F238">
        <f>COUNTIF('Metrics - Articles'!H237,"*APJ")</f>
        <v>0</v>
      </c>
      <c r="G238">
        <f>COUNTIF('Metrics - Articles'!H237,"*LATAM*")</f>
        <v>0</v>
      </c>
      <c r="H238">
        <f>COUNTIF('Metrics - Articles'!H237,"*China*")</f>
        <v>0</v>
      </c>
      <c r="J238" s="53">
        <f t="shared" si="4"/>
        <v>1</v>
      </c>
    </row>
    <row r="239" spans="2:10" x14ac:dyDescent="0.25">
      <c r="B239" s="48">
        <f>+'Metrics - Articles'!C238</f>
        <v>42206</v>
      </c>
      <c r="C239">
        <f>COUNTIF('Metrics - Articles'!H238,"*Global*")</f>
        <v>1</v>
      </c>
      <c r="D239">
        <f>COUNTIF('Metrics - Articles'!H238,"*EMEA*")</f>
        <v>0</v>
      </c>
      <c r="E239">
        <f>COUNTIF('Metrics - Articles'!H238,"*NA*")</f>
        <v>0</v>
      </c>
      <c r="F239">
        <f>COUNTIF('Metrics - Articles'!H238,"*APJ")</f>
        <v>0</v>
      </c>
      <c r="G239">
        <f>COUNTIF('Metrics - Articles'!H238,"*LATAM*")</f>
        <v>0</v>
      </c>
      <c r="H239">
        <f>COUNTIF('Metrics - Articles'!H238,"*China*")</f>
        <v>0</v>
      </c>
      <c r="J239" s="53">
        <f t="shared" si="4"/>
        <v>1</v>
      </c>
    </row>
    <row r="240" spans="2:10" x14ac:dyDescent="0.25">
      <c r="B240" s="48">
        <f>+'Metrics - Articles'!C239</f>
        <v>42206</v>
      </c>
      <c r="C240">
        <f>COUNTIF('Metrics - Articles'!H239,"*Global*")</f>
        <v>1</v>
      </c>
      <c r="D240">
        <f>COUNTIF('Metrics - Articles'!H239,"*EMEA*")</f>
        <v>0</v>
      </c>
      <c r="E240">
        <f>COUNTIF('Metrics - Articles'!H239,"*NA*")</f>
        <v>0</v>
      </c>
      <c r="F240">
        <f>COUNTIF('Metrics - Articles'!H239,"*APJ")</f>
        <v>0</v>
      </c>
      <c r="G240">
        <f>COUNTIF('Metrics - Articles'!H239,"*LATAM*")</f>
        <v>0</v>
      </c>
      <c r="H240">
        <f>COUNTIF('Metrics - Articles'!H239,"*China*")</f>
        <v>0</v>
      </c>
      <c r="J240" s="53">
        <f t="shared" si="4"/>
        <v>1</v>
      </c>
    </row>
    <row r="241" spans="2:10" x14ac:dyDescent="0.25">
      <c r="B241" s="48">
        <f>+'Metrics - Articles'!C240</f>
        <v>42206</v>
      </c>
      <c r="C241">
        <f>COUNTIF('Metrics - Articles'!H240,"*Global*")</f>
        <v>0</v>
      </c>
      <c r="D241">
        <f>COUNTIF('Metrics - Articles'!H240,"*EMEA*")</f>
        <v>1</v>
      </c>
      <c r="E241">
        <f>COUNTIF('Metrics - Articles'!H240,"*NA*")</f>
        <v>1</v>
      </c>
      <c r="F241">
        <f>COUNTIF('Metrics - Articles'!H240,"*APJ")</f>
        <v>0</v>
      </c>
      <c r="G241">
        <f>COUNTIF('Metrics - Articles'!H240,"*LATAM*")</f>
        <v>1</v>
      </c>
      <c r="H241">
        <f>COUNTIF('Metrics - Articles'!H240,"*China*")</f>
        <v>0</v>
      </c>
      <c r="J241" s="53">
        <f t="shared" si="4"/>
        <v>3</v>
      </c>
    </row>
    <row r="242" spans="2:10" x14ac:dyDescent="0.25">
      <c r="B242" s="48">
        <f>+'Metrics - Articles'!C241</f>
        <v>42207</v>
      </c>
      <c r="C242">
        <f>COUNTIF('Metrics - Articles'!H241,"*Global*")</f>
        <v>1</v>
      </c>
      <c r="D242">
        <f>COUNTIF('Metrics - Articles'!H241,"*EMEA*")</f>
        <v>0</v>
      </c>
      <c r="E242">
        <f>COUNTIF('Metrics - Articles'!H241,"*NA*")</f>
        <v>0</v>
      </c>
      <c r="F242">
        <f>COUNTIF('Metrics - Articles'!H241,"*APJ")</f>
        <v>0</v>
      </c>
      <c r="G242">
        <f>COUNTIF('Metrics - Articles'!H241,"*LATAM*")</f>
        <v>0</v>
      </c>
      <c r="H242">
        <f>COUNTIF('Metrics - Articles'!H241,"*China*")</f>
        <v>0</v>
      </c>
      <c r="J242" s="53">
        <f t="shared" si="4"/>
        <v>1</v>
      </c>
    </row>
    <row r="243" spans="2:10" x14ac:dyDescent="0.25">
      <c r="B243" s="48">
        <f>+'Metrics - Articles'!C242</f>
        <v>42207</v>
      </c>
      <c r="C243">
        <f>COUNTIF('Metrics - Articles'!H242,"*Global*")</f>
        <v>1</v>
      </c>
      <c r="D243">
        <f>COUNTIF('Metrics - Articles'!H242,"*EMEA*")</f>
        <v>0</v>
      </c>
      <c r="E243">
        <f>COUNTIF('Metrics - Articles'!H242,"*NA*")</f>
        <v>0</v>
      </c>
      <c r="F243">
        <f>COUNTIF('Metrics - Articles'!H242,"*APJ")</f>
        <v>0</v>
      </c>
      <c r="G243">
        <f>COUNTIF('Metrics - Articles'!H242,"*LATAM*")</f>
        <v>0</v>
      </c>
      <c r="H243">
        <f>COUNTIF('Metrics - Articles'!H242,"*China*")</f>
        <v>0</v>
      </c>
      <c r="J243" s="53">
        <f t="shared" si="4"/>
        <v>1</v>
      </c>
    </row>
    <row r="244" spans="2:10" x14ac:dyDescent="0.25">
      <c r="B244" s="48">
        <f>+'Metrics - Articles'!C243</f>
        <v>42208</v>
      </c>
      <c r="C244">
        <f>COUNTIF('Metrics - Articles'!H243,"*Global*")</f>
        <v>0</v>
      </c>
      <c r="D244">
        <f>COUNTIF('Metrics - Articles'!H243,"*EMEA*")</f>
        <v>0</v>
      </c>
      <c r="E244">
        <f>COUNTIF('Metrics - Articles'!H243,"*NA*")</f>
        <v>1</v>
      </c>
      <c r="F244">
        <f>COUNTIF('Metrics - Articles'!H243,"*APJ")</f>
        <v>0</v>
      </c>
      <c r="G244">
        <f>COUNTIF('Metrics - Articles'!H243,"*LATAM*")</f>
        <v>0</v>
      </c>
      <c r="H244">
        <f>COUNTIF('Metrics - Articles'!H243,"*China*")</f>
        <v>0</v>
      </c>
      <c r="J244" s="53">
        <f t="shared" si="4"/>
        <v>1</v>
      </c>
    </row>
    <row r="245" spans="2:10" x14ac:dyDescent="0.25">
      <c r="B245" s="48">
        <f>+'Metrics - Articles'!C244</f>
        <v>42208</v>
      </c>
      <c r="C245">
        <f>COUNTIF('Metrics - Articles'!H244,"*Global*")</f>
        <v>0</v>
      </c>
      <c r="D245">
        <f>COUNTIF('Metrics - Articles'!H244,"*EMEA*")</f>
        <v>1</v>
      </c>
      <c r="E245">
        <f>COUNTIF('Metrics - Articles'!H244,"*NA*")</f>
        <v>0</v>
      </c>
      <c r="F245">
        <f>COUNTIF('Metrics - Articles'!H244,"*APJ")</f>
        <v>0</v>
      </c>
      <c r="G245">
        <f>COUNTIF('Metrics - Articles'!H244,"*LATAM*")</f>
        <v>0</v>
      </c>
      <c r="H245">
        <f>COUNTIF('Metrics - Articles'!H244,"*China*")</f>
        <v>0</v>
      </c>
      <c r="J245" s="53">
        <f t="shared" si="4"/>
        <v>1</v>
      </c>
    </row>
    <row r="246" spans="2:10" x14ac:dyDescent="0.25">
      <c r="B246" s="48">
        <f>+'Metrics - Articles'!C245</f>
        <v>42209</v>
      </c>
      <c r="C246">
        <f>COUNTIF('Metrics - Articles'!H245,"*Global*")</f>
        <v>1</v>
      </c>
      <c r="D246">
        <f>COUNTIF('Metrics - Articles'!H245,"*EMEA*")</f>
        <v>0</v>
      </c>
      <c r="E246">
        <f>COUNTIF('Metrics - Articles'!H245,"*NA*")</f>
        <v>0</v>
      </c>
      <c r="F246">
        <f>COUNTIF('Metrics - Articles'!H245,"*APJ")</f>
        <v>0</v>
      </c>
      <c r="G246">
        <f>COUNTIF('Metrics - Articles'!H245,"*LATAM*")</f>
        <v>0</v>
      </c>
      <c r="H246">
        <f>COUNTIF('Metrics - Articles'!H245,"*China*")</f>
        <v>0</v>
      </c>
      <c r="J246" s="53">
        <f t="shared" si="4"/>
        <v>1</v>
      </c>
    </row>
    <row r="247" spans="2:10" x14ac:dyDescent="0.25">
      <c r="B247" s="48">
        <f>+'Metrics - Articles'!C246</f>
        <v>42209</v>
      </c>
      <c r="C247">
        <f>COUNTIF('Metrics - Articles'!H246,"*Global*")</f>
        <v>0</v>
      </c>
      <c r="D247">
        <f>COUNTIF('Metrics - Articles'!H246,"*EMEA*")</f>
        <v>1</v>
      </c>
      <c r="E247">
        <f>COUNTIF('Metrics - Articles'!H246,"*NA*")</f>
        <v>0</v>
      </c>
      <c r="F247">
        <f>COUNTIF('Metrics - Articles'!H246,"*APJ")</f>
        <v>0</v>
      </c>
      <c r="G247">
        <f>COUNTIF('Metrics - Articles'!H246,"*LATAM*")</f>
        <v>0</v>
      </c>
      <c r="H247">
        <f>COUNTIF('Metrics - Articles'!H246,"*China*")</f>
        <v>0</v>
      </c>
      <c r="J247" s="53">
        <f t="shared" si="4"/>
        <v>1</v>
      </c>
    </row>
    <row r="248" spans="2:10" x14ac:dyDescent="0.25">
      <c r="B248" s="48">
        <f>+'Metrics - Articles'!C247</f>
        <v>42212</v>
      </c>
      <c r="C248">
        <f>COUNTIF('Metrics - Articles'!H247,"*Global*")</f>
        <v>1</v>
      </c>
      <c r="D248">
        <f>COUNTIF('Metrics - Articles'!H247,"*EMEA*")</f>
        <v>0</v>
      </c>
      <c r="E248">
        <f>COUNTIF('Metrics - Articles'!H247,"*NA*")</f>
        <v>0</v>
      </c>
      <c r="F248">
        <f>COUNTIF('Metrics - Articles'!H247,"*APJ")</f>
        <v>0</v>
      </c>
      <c r="G248">
        <f>COUNTIF('Metrics - Articles'!H247,"*LATAM*")</f>
        <v>0</v>
      </c>
      <c r="H248">
        <f>COUNTIF('Metrics - Articles'!H247,"*China*")</f>
        <v>0</v>
      </c>
      <c r="J248" s="53">
        <f t="shared" si="4"/>
        <v>1</v>
      </c>
    </row>
    <row r="249" spans="2:10" x14ac:dyDescent="0.25">
      <c r="B249" s="48">
        <f>+'Metrics - Articles'!C248</f>
        <v>42212</v>
      </c>
      <c r="C249">
        <f>COUNTIF('Metrics - Articles'!H248,"*Global*")</f>
        <v>0</v>
      </c>
      <c r="D249">
        <f>COUNTIF('Metrics - Articles'!H248,"*EMEA*")</f>
        <v>1</v>
      </c>
      <c r="E249">
        <f>COUNTIF('Metrics - Articles'!H248,"*NA*")</f>
        <v>0</v>
      </c>
      <c r="F249">
        <f>COUNTIF('Metrics - Articles'!H248,"*APJ")</f>
        <v>0</v>
      </c>
      <c r="G249">
        <f>COUNTIF('Metrics - Articles'!H248,"*LATAM*")</f>
        <v>0</v>
      </c>
      <c r="H249">
        <f>COUNTIF('Metrics - Articles'!H248,"*China*")</f>
        <v>0</v>
      </c>
      <c r="J249" s="53">
        <f t="shared" si="4"/>
        <v>1</v>
      </c>
    </row>
    <row r="250" spans="2:10" x14ac:dyDescent="0.25">
      <c r="B250" s="48">
        <f>+'Metrics - Articles'!C249</f>
        <v>42213</v>
      </c>
      <c r="C250">
        <f>COUNTIF('Metrics - Articles'!H249,"*Global*")</f>
        <v>1</v>
      </c>
      <c r="D250">
        <f>COUNTIF('Metrics - Articles'!H249,"*EMEA*")</f>
        <v>0</v>
      </c>
      <c r="E250">
        <f>COUNTIF('Metrics - Articles'!H249,"*NA*")</f>
        <v>0</v>
      </c>
      <c r="F250">
        <f>COUNTIF('Metrics - Articles'!H249,"*APJ")</f>
        <v>0</v>
      </c>
      <c r="G250">
        <f>COUNTIF('Metrics - Articles'!H249,"*LATAM*")</f>
        <v>0</v>
      </c>
      <c r="H250">
        <f>COUNTIF('Metrics - Articles'!H249,"*China*")</f>
        <v>0</v>
      </c>
      <c r="J250" s="53">
        <f t="shared" si="4"/>
        <v>1</v>
      </c>
    </row>
    <row r="251" spans="2:10" x14ac:dyDescent="0.25">
      <c r="B251" s="48">
        <f>+'Metrics - Articles'!C250</f>
        <v>42213</v>
      </c>
      <c r="C251">
        <f>COUNTIF('Metrics - Articles'!H250,"*Global*")</f>
        <v>0</v>
      </c>
      <c r="D251">
        <f>COUNTIF('Metrics - Articles'!H250,"*EMEA*")</f>
        <v>1</v>
      </c>
      <c r="E251">
        <f>COUNTIF('Metrics - Articles'!H250,"*NA*")</f>
        <v>0</v>
      </c>
      <c r="F251">
        <f>COUNTIF('Metrics - Articles'!H250,"*APJ")</f>
        <v>0</v>
      </c>
      <c r="G251">
        <f>COUNTIF('Metrics - Articles'!H250,"*LATAM*")</f>
        <v>0</v>
      </c>
      <c r="H251">
        <f>COUNTIF('Metrics - Articles'!H250,"*China*")</f>
        <v>0</v>
      </c>
      <c r="J251" s="53">
        <f t="shared" si="4"/>
        <v>1</v>
      </c>
    </row>
    <row r="252" spans="2:10" x14ac:dyDescent="0.25">
      <c r="B252" s="48">
        <f>+'Metrics - Articles'!C251</f>
        <v>42214</v>
      </c>
      <c r="C252">
        <f>COUNTIF('Metrics - Articles'!H251,"*Global*")</f>
        <v>0</v>
      </c>
      <c r="D252">
        <f>COUNTIF('Metrics - Articles'!H251,"*EMEA*")</f>
        <v>1</v>
      </c>
      <c r="E252">
        <f>COUNTIF('Metrics - Articles'!H251,"*NA*")</f>
        <v>0</v>
      </c>
      <c r="F252">
        <f>COUNTIF('Metrics - Articles'!H251,"*APJ")</f>
        <v>0</v>
      </c>
      <c r="G252">
        <f>COUNTIF('Metrics - Articles'!H251,"*LATAM*")</f>
        <v>0</v>
      </c>
      <c r="H252">
        <f>COUNTIF('Metrics - Articles'!H251,"*China*")</f>
        <v>0</v>
      </c>
      <c r="J252" s="53">
        <f t="shared" si="4"/>
        <v>1</v>
      </c>
    </row>
    <row r="253" spans="2:10" x14ac:dyDescent="0.25">
      <c r="B253" s="48">
        <f>+'Metrics - Articles'!C252</f>
        <v>42215</v>
      </c>
      <c r="C253">
        <f>COUNTIF('Metrics - Articles'!H252,"*Global*")</f>
        <v>1</v>
      </c>
      <c r="D253">
        <f>COUNTIF('Metrics - Articles'!H252,"*EMEA*")</f>
        <v>0</v>
      </c>
      <c r="E253">
        <f>COUNTIF('Metrics - Articles'!H252,"*NA*")</f>
        <v>0</v>
      </c>
      <c r="F253">
        <f>COUNTIF('Metrics - Articles'!H252,"*APJ")</f>
        <v>0</v>
      </c>
      <c r="G253">
        <f>COUNTIF('Metrics - Articles'!H252,"*LATAM*")</f>
        <v>0</v>
      </c>
      <c r="H253">
        <f>COUNTIF('Metrics - Articles'!H252,"*China*")</f>
        <v>0</v>
      </c>
      <c r="J253" s="53">
        <f t="shared" si="4"/>
        <v>1</v>
      </c>
    </row>
    <row r="254" spans="2:10" x14ac:dyDescent="0.25">
      <c r="B254" s="48">
        <f>+'Metrics - Articles'!C253</f>
        <v>42215</v>
      </c>
      <c r="C254">
        <f>COUNTIF('Metrics - Articles'!H253,"*Global*")</f>
        <v>0</v>
      </c>
      <c r="D254">
        <f>COUNTIF('Metrics - Articles'!H253,"*EMEA*")</f>
        <v>1</v>
      </c>
      <c r="E254">
        <f>COUNTIF('Metrics - Articles'!H253,"*NA*")</f>
        <v>0</v>
      </c>
      <c r="F254">
        <f>COUNTIF('Metrics - Articles'!H253,"*APJ")</f>
        <v>0</v>
      </c>
      <c r="G254">
        <f>COUNTIF('Metrics - Articles'!H253,"*LATAM*")</f>
        <v>0</v>
      </c>
      <c r="H254">
        <f>COUNTIF('Metrics - Articles'!H253,"*China*")</f>
        <v>0</v>
      </c>
      <c r="J254" s="53">
        <f t="shared" si="4"/>
        <v>1</v>
      </c>
    </row>
    <row r="255" spans="2:10" x14ac:dyDescent="0.25">
      <c r="B255" s="48">
        <f>+'Metrics - Articles'!C254</f>
        <v>42216</v>
      </c>
      <c r="C255">
        <f>COUNTIF('Metrics - Articles'!H254,"*Global*")</f>
        <v>0</v>
      </c>
      <c r="D255">
        <f>COUNTIF('Metrics - Articles'!H254,"*EMEA*")</f>
        <v>1</v>
      </c>
      <c r="E255">
        <f>COUNTIF('Metrics - Articles'!H254,"*NA*")</f>
        <v>0</v>
      </c>
      <c r="F255">
        <f>COUNTIF('Metrics - Articles'!H254,"*APJ")</f>
        <v>0</v>
      </c>
      <c r="G255">
        <f>COUNTIF('Metrics - Articles'!H254,"*LATAM*")</f>
        <v>0</v>
      </c>
      <c r="H255">
        <f>COUNTIF('Metrics - Articles'!H254,"*China*")</f>
        <v>0</v>
      </c>
      <c r="J255" s="53">
        <f t="shared" si="4"/>
        <v>1</v>
      </c>
    </row>
    <row r="256" spans="2:10" x14ac:dyDescent="0.25">
      <c r="B256" s="48">
        <f>+'Metrics - Articles'!C255</f>
        <v>42216</v>
      </c>
      <c r="C256">
        <f>COUNTIF('Metrics - Articles'!H255,"*Global*")</f>
        <v>1</v>
      </c>
      <c r="D256">
        <f>COUNTIF('Metrics - Articles'!H255,"*EMEA*")</f>
        <v>0</v>
      </c>
      <c r="E256">
        <f>COUNTIF('Metrics - Articles'!H255,"*NA*")</f>
        <v>0</v>
      </c>
      <c r="F256">
        <f>COUNTIF('Metrics - Articles'!H255,"*APJ")</f>
        <v>0</v>
      </c>
      <c r="G256">
        <f>COUNTIF('Metrics - Articles'!H255,"*LATAM*")</f>
        <v>0</v>
      </c>
      <c r="H256">
        <f>COUNTIF('Metrics - Articles'!H255,"*China*")</f>
        <v>0</v>
      </c>
      <c r="J256" s="53">
        <f t="shared" si="4"/>
        <v>1</v>
      </c>
    </row>
    <row r="257" spans="2:10" x14ac:dyDescent="0.25">
      <c r="B257" s="48">
        <f>+'Metrics - Articles'!C256</f>
        <v>42219</v>
      </c>
      <c r="C257">
        <f>COUNTIF('Metrics - Articles'!H256,"*Global*")</f>
        <v>0</v>
      </c>
      <c r="D257">
        <f>COUNTIF('Metrics - Articles'!H256,"*EMEA*")</f>
        <v>1</v>
      </c>
      <c r="E257">
        <f>COUNTIF('Metrics - Articles'!H256,"*NA*")</f>
        <v>0</v>
      </c>
      <c r="F257">
        <f>COUNTIF('Metrics - Articles'!H256,"*APJ")</f>
        <v>0</v>
      </c>
      <c r="G257">
        <f>COUNTIF('Metrics - Articles'!H256,"*LATAM*")</f>
        <v>0</v>
      </c>
      <c r="H257">
        <f>COUNTIF('Metrics - Articles'!H256,"*China*")</f>
        <v>0</v>
      </c>
      <c r="J257" s="53">
        <f t="shared" si="4"/>
        <v>1</v>
      </c>
    </row>
    <row r="258" spans="2:10" x14ac:dyDescent="0.25">
      <c r="B258" s="48">
        <f>+'Metrics - Articles'!C257</f>
        <v>42220</v>
      </c>
      <c r="C258">
        <f>COUNTIF('Metrics - Articles'!H257,"*Global*")</f>
        <v>0</v>
      </c>
      <c r="D258">
        <f>COUNTIF('Metrics - Articles'!H257,"*EMEA*")</f>
        <v>0</v>
      </c>
      <c r="E258">
        <f>COUNTIF('Metrics - Articles'!H257,"*NA*")</f>
        <v>1</v>
      </c>
      <c r="F258">
        <f>COUNTIF('Metrics - Articles'!H257,"*APJ")</f>
        <v>0</v>
      </c>
      <c r="G258">
        <f>COUNTIF('Metrics - Articles'!H257,"*LATAM*")</f>
        <v>0</v>
      </c>
      <c r="H258">
        <f>COUNTIF('Metrics - Articles'!H257,"*China*")</f>
        <v>0</v>
      </c>
      <c r="J258" s="53">
        <f t="shared" si="4"/>
        <v>1</v>
      </c>
    </row>
    <row r="259" spans="2:10" x14ac:dyDescent="0.25">
      <c r="B259" s="48">
        <f>+'Metrics - Articles'!C258</f>
        <v>42221</v>
      </c>
      <c r="C259">
        <f>COUNTIF('Metrics - Articles'!H258,"*Global*")</f>
        <v>0</v>
      </c>
      <c r="D259">
        <f>COUNTIF('Metrics - Articles'!H258,"*EMEA*")</f>
        <v>1</v>
      </c>
      <c r="E259">
        <f>COUNTIF('Metrics - Articles'!H258,"*NA*")</f>
        <v>0</v>
      </c>
      <c r="F259">
        <f>COUNTIF('Metrics - Articles'!H258,"*APJ")</f>
        <v>0</v>
      </c>
      <c r="G259">
        <f>COUNTIF('Metrics - Articles'!H258,"*LATAM*")</f>
        <v>0</v>
      </c>
      <c r="H259">
        <f>COUNTIF('Metrics - Articles'!H258,"*China*")</f>
        <v>0</v>
      </c>
      <c r="J259" s="53">
        <f t="shared" si="4"/>
        <v>1</v>
      </c>
    </row>
    <row r="260" spans="2:10" x14ac:dyDescent="0.25">
      <c r="B260" s="48">
        <f>+'Metrics - Articles'!C259</f>
        <v>42222</v>
      </c>
      <c r="C260">
        <f>COUNTIF('Metrics - Articles'!H259,"*Global*")</f>
        <v>0</v>
      </c>
      <c r="D260">
        <f>COUNTIF('Metrics - Articles'!H259,"*EMEA*")</f>
        <v>1</v>
      </c>
      <c r="E260">
        <f>COUNTIF('Metrics - Articles'!H259,"*NA*")</f>
        <v>0</v>
      </c>
      <c r="F260">
        <f>COUNTIF('Metrics - Articles'!H259,"*APJ")</f>
        <v>0</v>
      </c>
      <c r="G260">
        <f>COUNTIF('Metrics - Articles'!H259,"*LATAM*")</f>
        <v>0</v>
      </c>
      <c r="H260">
        <f>COUNTIF('Metrics - Articles'!H259,"*China*")</f>
        <v>0</v>
      </c>
      <c r="J260" s="53">
        <f t="shared" si="4"/>
        <v>1</v>
      </c>
    </row>
    <row r="261" spans="2:10" x14ac:dyDescent="0.25">
      <c r="B261" s="48">
        <f>+'Metrics - Articles'!C260</f>
        <v>42222</v>
      </c>
      <c r="C261">
        <f>COUNTIF('Metrics - Articles'!H260,"*Global*")</f>
        <v>0</v>
      </c>
      <c r="D261">
        <f>COUNTIF('Metrics - Articles'!H260,"*EMEA*")</f>
        <v>1</v>
      </c>
      <c r="E261">
        <f>COUNTIF('Metrics - Articles'!H260,"*NA*")</f>
        <v>0</v>
      </c>
      <c r="F261">
        <f>COUNTIF('Metrics - Articles'!H260,"*APJ")</f>
        <v>0</v>
      </c>
      <c r="G261">
        <f>COUNTIF('Metrics - Articles'!H260,"*LATAM*")</f>
        <v>0</v>
      </c>
      <c r="H261">
        <f>COUNTIF('Metrics - Articles'!H260,"*China*")</f>
        <v>0</v>
      </c>
      <c r="J261" s="53">
        <f t="shared" si="4"/>
        <v>1</v>
      </c>
    </row>
    <row r="262" spans="2:10" x14ac:dyDescent="0.25">
      <c r="B262" s="48">
        <f>+'Metrics - Articles'!C261</f>
        <v>42223</v>
      </c>
      <c r="C262">
        <f>COUNTIF('Metrics - Articles'!H261,"*Global*")</f>
        <v>0</v>
      </c>
      <c r="D262">
        <f>COUNTIF('Metrics - Articles'!H261,"*EMEA*")</f>
        <v>1</v>
      </c>
      <c r="E262">
        <f>COUNTIF('Metrics - Articles'!H261,"*NA*")</f>
        <v>0</v>
      </c>
      <c r="F262">
        <f>COUNTIF('Metrics - Articles'!H261,"*APJ")</f>
        <v>0</v>
      </c>
      <c r="G262">
        <f>COUNTIF('Metrics - Articles'!H261,"*LATAM*")</f>
        <v>0</v>
      </c>
      <c r="H262">
        <f>COUNTIF('Metrics - Articles'!H261,"*China*")</f>
        <v>0</v>
      </c>
      <c r="J262" s="53">
        <f t="shared" si="4"/>
        <v>1</v>
      </c>
    </row>
    <row r="263" spans="2:10" x14ac:dyDescent="0.25">
      <c r="B263" s="48">
        <f>+'Metrics - Articles'!C262</f>
        <v>42226</v>
      </c>
      <c r="C263">
        <f>COUNTIF('Metrics - Articles'!H262,"*Global*")</f>
        <v>1</v>
      </c>
      <c r="D263">
        <f>COUNTIF('Metrics - Articles'!H262,"*EMEA*")</f>
        <v>0</v>
      </c>
      <c r="E263">
        <f>COUNTIF('Metrics - Articles'!H262,"*NA*")</f>
        <v>0</v>
      </c>
      <c r="F263">
        <f>COUNTIF('Metrics - Articles'!H262,"*APJ")</f>
        <v>0</v>
      </c>
      <c r="G263">
        <f>COUNTIF('Metrics - Articles'!H262,"*LATAM*")</f>
        <v>0</v>
      </c>
      <c r="H263">
        <f>COUNTIF('Metrics - Articles'!H262,"*China*")</f>
        <v>0</v>
      </c>
      <c r="J263" s="53">
        <f t="shared" si="4"/>
        <v>1</v>
      </c>
    </row>
    <row r="264" spans="2:10" x14ac:dyDescent="0.25">
      <c r="B264" s="48">
        <f>+'Metrics - Articles'!C263</f>
        <v>42227</v>
      </c>
      <c r="C264">
        <f>COUNTIF('Metrics - Articles'!H263,"*Global*")</f>
        <v>1</v>
      </c>
      <c r="D264">
        <f>COUNTIF('Metrics - Articles'!H263,"*EMEA*")</f>
        <v>0</v>
      </c>
      <c r="E264">
        <f>COUNTIF('Metrics - Articles'!H263,"*NA*")</f>
        <v>0</v>
      </c>
      <c r="F264">
        <f>COUNTIF('Metrics - Articles'!H263,"*APJ")</f>
        <v>0</v>
      </c>
      <c r="G264">
        <f>COUNTIF('Metrics - Articles'!H263,"*LATAM*")</f>
        <v>0</v>
      </c>
      <c r="H264">
        <f>COUNTIF('Metrics - Articles'!H263,"*China*")</f>
        <v>0</v>
      </c>
      <c r="J264" s="53">
        <f t="shared" si="4"/>
        <v>1</v>
      </c>
    </row>
    <row r="265" spans="2:10" x14ac:dyDescent="0.25">
      <c r="B265" s="48">
        <f>+'Metrics - Articles'!C264</f>
        <v>42228</v>
      </c>
      <c r="C265">
        <f>COUNTIF('Metrics - Articles'!H264,"*Global*")</f>
        <v>0</v>
      </c>
      <c r="D265">
        <f>COUNTIF('Metrics - Articles'!H264,"*EMEA*")</f>
        <v>1</v>
      </c>
      <c r="E265">
        <f>COUNTIF('Metrics - Articles'!H264,"*NA*")</f>
        <v>0</v>
      </c>
      <c r="F265">
        <f>COUNTIF('Metrics - Articles'!H264,"*APJ")</f>
        <v>0</v>
      </c>
      <c r="G265">
        <f>COUNTIF('Metrics - Articles'!H264,"*LATAM*")</f>
        <v>0</v>
      </c>
      <c r="H265">
        <f>COUNTIF('Metrics - Articles'!H264,"*China*")</f>
        <v>0</v>
      </c>
      <c r="J265" s="53">
        <f t="shared" si="4"/>
        <v>1</v>
      </c>
    </row>
    <row r="266" spans="2:10" x14ac:dyDescent="0.25">
      <c r="B266" s="48">
        <f>+'Metrics - Articles'!C265</f>
        <v>42229</v>
      </c>
      <c r="C266">
        <f>COUNTIF('Metrics - Articles'!H265,"*Global*")</f>
        <v>1</v>
      </c>
      <c r="D266">
        <f>COUNTIF('Metrics - Articles'!H265,"*EMEA*")</f>
        <v>0</v>
      </c>
      <c r="E266">
        <f>COUNTIF('Metrics - Articles'!H265,"*NA*")</f>
        <v>0</v>
      </c>
      <c r="F266">
        <f>COUNTIF('Metrics - Articles'!H265,"*APJ")</f>
        <v>0</v>
      </c>
      <c r="G266">
        <f>COUNTIF('Metrics - Articles'!H265,"*LATAM*")</f>
        <v>0</v>
      </c>
      <c r="H266">
        <f>COUNTIF('Metrics - Articles'!H265,"*China*")</f>
        <v>0</v>
      </c>
      <c r="J266" s="53">
        <f t="shared" ref="J266:J329" si="5">SUM(C266:I266)</f>
        <v>1</v>
      </c>
    </row>
    <row r="267" spans="2:10" x14ac:dyDescent="0.25">
      <c r="B267" s="48">
        <f>+'Metrics - Articles'!C266</f>
        <v>42233</v>
      </c>
      <c r="C267">
        <f>COUNTIF('Metrics - Articles'!H266,"*Global*")</f>
        <v>1</v>
      </c>
      <c r="D267">
        <f>COUNTIF('Metrics - Articles'!H266,"*EMEA*")</f>
        <v>0</v>
      </c>
      <c r="E267">
        <f>COUNTIF('Metrics - Articles'!H266,"*NA*")</f>
        <v>0</v>
      </c>
      <c r="F267">
        <f>COUNTIF('Metrics - Articles'!H266,"*APJ")</f>
        <v>0</v>
      </c>
      <c r="G267">
        <f>COUNTIF('Metrics - Articles'!H266,"*LATAM*")</f>
        <v>0</v>
      </c>
      <c r="H267">
        <f>COUNTIF('Metrics - Articles'!H266,"*China*")</f>
        <v>0</v>
      </c>
      <c r="J267" s="53">
        <f t="shared" si="5"/>
        <v>1</v>
      </c>
    </row>
    <row r="268" spans="2:10" x14ac:dyDescent="0.25">
      <c r="B268" s="48">
        <f>+'Metrics - Articles'!C267</f>
        <v>42234</v>
      </c>
      <c r="C268">
        <f>COUNTIF('Metrics - Articles'!H267,"*Global*")</f>
        <v>0</v>
      </c>
      <c r="D268">
        <f>COUNTIF('Metrics - Articles'!H267,"*EMEA*")</f>
        <v>0</v>
      </c>
      <c r="E268">
        <f>COUNTIF('Metrics - Articles'!H267,"*NA*")</f>
        <v>0</v>
      </c>
      <c r="F268">
        <f>COUNTIF('Metrics - Articles'!H267,"*APJ")</f>
        <v>1</v>
      </c>
      <c r="G268">
        <f>COUNTIF('Metrics - Articles'!H267,"*LATAM*")</f>
        <v>0</v>
      </c>
      <c r="H268">
        <f>COUNTIF('Metrics - Articles'!H267,"*China*")</f>
        <v>0</v>
      </c>
      <c r="J268" s="53">
        <f t="shared" si="5"/>
        <v>1</v>
      </c>
    </row>
    <row r="269" spans="2:10" x14ac:dyDescent="0.25">
      <c r="B269" s="48">
        <f>+'Metrics - Articles'!C268</f>
        <v>42235</v>
      </c>
      <c r="C269">
        <f>COUNTIF('Metrics - Articles'!H268,"*Global*")</f>
        <v>0</v>
      </c>
      <c r="D269">
        <f>COUNTIF('Metrics - Articles'!H268,"*EMEA*")</f>
        <v>0</v>
      </c>
      <c r="E269">
        <f>COUNTIF('Metrics - Articles'!H268,"*NA*")</f>
        <v>1</v>
      </c>
      <c r="F269">
        <f>COUNTIF('Metrics - Articles'!H268,"*APJ")</f>
        <v>0</v>
      </c>
      <c r="G269">
        <f>COUNTIF('Metrics - Articles'!H268,"*LATAM*")</f>
        <v>0</v>
      </c>
      <c r="H269">
        <f>COUNTIF('Metrics - Articles'!H268,"*China*")</f>
        <v>0</v>
      </c>
      <c r="J269" s="53">
        <f t="shared" si="5"/>
        <v>1</v>
      </c>
    </row>
    <row r="270" spans="2:10" x14ac:dyDescent="0.25">
      <c r="B270" s="48">
        <f>+'Metrics - Articles'!C269</f>
        <v>42236</v>
      </c>
      <c r="C270">
        <f>COUNTIF('Metrics - Articles'!H269,"*Global*")</f>
        <v>0</v>
      </c>
      <c r="D270">
        <f>COUNTIF('Metrics - Articles'!H269,"*EMEA*")</f>
        <v>1</v>
      </c>
      <c r="E270">
        <f>COUNTIF('Metrics - Articles'!H269,"*NA*")</f>
        <v>0</v>
      </c>
      <c r="F270">
        <f>COUNTIF('Metrics - Articles'!H269,"*APJ")</f>
        <v>0</v>
      </c>
      <c r="G270">
        <f>COUNTIF('Metrics - Articles'!H269,"*LATAM*")</f>
        <v>0</v>
      </c>
      <c r="H270">
        <f>COUNTIF('Metrics - Articles'!H269,"*China*")</f>
        <v>0</v>
      </c>
      <c r="J270" s="53">
        <f t="shared" si="5"/>
        <v>1</v>
      </c>
    </row>
    <row r="271" spans="2:10" x14ac:dyDescent="0.25">
      <c r="B271" s="48">
        <f>+'Metrics - Articles'!C270</f>
        <v>42237</v>
      </c>
      <c r="C271">
        <f>COUNTIF('Metrics - Articles'!H270,"*Global*")</f>
        <v>1</v>
      </c>
      <c r="D271">
        <f>COUNTIF('Metrics - Articles'!H270,"*EMEA*")</f>
        <v>0</v>
      </c>
      <c r="E271">
        <f>COUNTIF('Metrics - Articles'!H270,"*NA*")</f>
        <v>0</v>
      </c>
      <c r="F271">
        <f>COUNTIF('Metrics - Articles'!H270,"*APJ")</f>
        <v>0</v>
      </c>
      <c r="G271">
        <f>COUNTIF('Metrics - Articles'!H270,"*LATAM*")</f>
        <v>0</v>
      </c>
      <c r="H271">
        <f>COUNTIF('Metrics - Articles'!H270,"*China*")</f>
        <v>0</v>
      </c>
      <c r="J271" s="53">
        <f t="shared" si="5"/>
        <v>1</v>
      </c>
    </row>
    <row r="272" spans="2:10" x14ac:dyDescent="0.25">
      <c r="B272" s="48">
        <f>+'Metrics - Articles'!C271</f>
        <v>42240</v>
      </c>
      <c r="C272">
        <f>COUNTIF('Metrics - Articles'!H271,"*Global*")</f>
        <v>0</v>
      </c>
      <c r="D272">
        <f>COUNTIF('Metrics - Articles'!H271,"*EMEA*")</f>
        <v>1</v>
      </c>
      <c r="E272">
        <f>COUNTIF('Metrics - Articles'!H271,"*NA*")</f>
        <v>0</v>
      </c>
      <c r="F272">
        <f>COUNTIF('Metrics - Articles'!H271,"*APJ")</f>
        <v>0</v>
      </c>
      <c r="G272">
        <f>COUNTIF('Metrics - Articles'!H271,"*LATAM*")</f>
        <v>0</v>
      </c>
      <c r="H272">
        <f>COUNTIF('Metrics - Articles'!H271,"*China*")</f>
        <v>0</v>
      </c>
      <c r="J272" s="53">
        <f t="shared" si="5"/>
        <v>1</v>
      </c>
    </row>
    <row r="273" spans="2:10" x14ac:dyDescent="0.25">
      <c r="B273" s="48">
        <f>+'Metrics - Articles'!C272</f>
        <v>42241</v>
      </c>
      <c r="C273">
        <f>COUNTIF('Metrics - Articles'!H272,"*Global*")</f>
        <v>0</v>
      </c>
      <c r="D273">
        <f>COUNTIF('Metrics - Articles'!H272,"*EMEA*")</f>
        <v>1</v>
      </c>
      <c r="E273">
        <f>COUNTIF('Metrics - Articles'!H272,"*NA*")</f>
        <v>0</v>
      </c>
      <c r="F273">
        <f>COUNTIF('Metrics - Articles'!H272,"*APJ")</f>
        <v>0</v>
      </c>
      <c r="G273">
        <f>COUNTIF('Metrics - Articles'!H272,"*LATAM*")</f>
        <v>0</v>
      </c>
      <c r="H273">
        <f>COUNTIF('Metrics - Articles'!H272,"*China*")</f>
        <v>0</v>
      </c>
      <c r="J273" s="53">
        <f t="shared" si="5"/>
        <v>1</v>
      </c>
    </row>
    <row r="274" spans="2:10" x14ac:dyDescent="0.25">
      <c r="B274" s="48">
        <f>+'Metrics - Articles'!C273</f>
        <v>42242</v>
      </c>
      <c r="C274">
        <f>COUNTIF('Metrics - Articles'!H273,"*Global*")</f>
        <v>0</v>
      </c>
      <c r="D274">
        <f>COUNTIF('Metrics - Articles'!H273,"*EMEA*")</f>
        <v>1</v>
      </c>
      <c r="E274">
        <f>COUNTIF('Metrics - Articles'!H273,"*NA*")</f>
        <v>0</v>
      </c>
      <c r="F274">
        <f>COUNTIF('Metrics - Articles'!H273,"*APJ")</f>
        <v>0</v>
      </c>
      <c r="G274">
        <f>COUNTIF('Metrics - Articles'!H273,"*LATAM*")</f>
        <v>0</v>
      </c>
      <c r="H274">
        <f>COUNTIF('Metrics - Articles'!H273,"*China*")</f>
        <v>0</v>
      </c>
      <c r="J274" s="53">
        <f t="shared" si="5"/>
        <v>1</v>
      </c>
    </row>
    <row r="275" spans="2:10" x14ac:dyDescent="0.25">
      <c r="B275" s="48">
        <f>+'Metrics - Articles'!C274</f>
        <v>42242</v>
      </c>
      <c r="C275">
        <f>COUNTIF('Metrics - Articles'!H274,"*Global*")</f>
        <v>1</v>
      </c>
      <c r="D275">
        <f>COUNTIF('Metrics - Articles'!H274,"*EMEA*")</f>
        <v>0</v>
      </c>
      <c r="E275">
        <f>COUNTIF('Metrics - Articles'!H274,"*NA*")</f>
        <v>0</v>
      </c>
      <c r="F275">
        <f>COUNTIF('Metrics - Articles'!H274,"*APJ")</f>
        <v>0</v>
      </c>
      <c r="G275">
        <f>COUNTIF('Metrics - Articles'!H274,"*LATAM*")</f>
        <v>0</v>
      </c>
      <c r="H275">
        <f>COUNTIF('Metrics - Articles'!H274,"*China*")</f>
        <v>0</v>
      </c>
      <c r="J275" s="53">
        <f t="shared" si="5"/>
        <v>1</v>
      </c>
    </row>
    <row r="276" spans="2:10" x14ac:dyDescent="0.25">
      <c r="B276" s="48">
        <f>+'Metrics - Articles'!C275</f>
        <v>42244</v>
      </c>
      <c r="C276">
        <f>COUNTIF('Metrics - Articles'!H275,"*Global*")</f>
        <v>1</v>
      </c>
      <c r="D276">
        <f>COUNTIF('Metrics - Articles'!H275,"*EMEA*")</f>
        <v>0</v>
      </c>
      <c r="E276">
        <f>COUNTIF('Metrics - Articles'!H275,"*NA*")</f>
        <v>0</v>
      </c>
      <c r="F276">
        <f>COUNTIF('Metrics - Articles'!H275,"*APJ")</f>
        <v>0</v>
      </c>
      <c r="G276">
        <f>COUNTIF('Metrics - Articles'!H275,"*LATAM*")</f>
        <v>0</v>
      </c>
      <c r="H276">
        <f>COUNTIF('Metrics - Articles'!H275,"*China*")</f>
        <v>0</v>
      </c>
      <c r="J276" s="53">
        <f t="shared" si="5"/>
        <v>1</v>
      </c>
    </row>
    <row r="277" spans="2:10" x14ac:dyDescent="0.25">
      <c r="B277" s="48">
        <f>+'Metrics - Articles'!C276</f>
        <v>42247</v>
      </c>
      <c r="C277">
        <f>COUNTIF('Metrics - Articles'!H276,"*Global*")</f>
        <v>0</v>
      </c>
      <c r="D277">
        <f>COUNTIF('Metrics - Articles'!H276,"*EMEA*")</f>
        <v>1</v>
      </c>
      <c r="E277">
        <f>COUNTIF('Metrics - Articles'!H276,"*NA*")</f>
        <v>0</v>
      </c>
      <c r="F277">
        <f>COUNTIF('Metrics - Articles'!H276,"*APJ")</f>
        <v>0</v>
      </c>
      <c r="G277">
        <f>COUNTIF('Metrics - Articles'!H276,"*LATAM*")</f>
        <v>0</v>
      </c>
      <c r="H277">
        <f>COUNTIF('Metrics - Articles'!H276,"*China*")</f>
        <v>0</v>
      </c>
      <c r="J277" s="53">
        <f t="shared" si="5"/>
        <v>1</v>
      </c>
    </row>
    <row r="278" spans="2:10" x14ac:dyDescent="0.25">
      <c r="B278" s="48">
        <f>+'Metrics - Articles'!C277</f>
        <v>42248</v>
      </c>
      <c r="C278">
        <f>COUNTIF('Metrics - Articles'!H277,"*Global*")</f>
        <v>1</v>
      </c>
      <c r="D278">
        <f>COUNTIF('Metrics - Articles'!H277,"*EMEA*")</f>
        <v>0</v>
      </c>
      <c r="E278">
        <f>COUNTIF('Metrics - Articles'!H277,"*NA*")</f>
        <v>0</v>
      </c>
      <c r="F278">
        <f>COUNTIF('Metrics - Articles'!H277,"*APJ")</f>
        <v>0</v>
      </c>
      <c r="G278">
        <f>COUNTIF('Metrics - Articles'!H277,"*LATAM*")</f>
        <v>0</v>
      </c>
      <c r="H278">
        <f>COUNTIF('Metrics - Articles'!H277,"*China*")</f>
        <v>0</v>
      </c>
      <c r="J278" s="53">
        <f t="shared" si="5"/>
        <v>1</v>
      </c>
    </row>
    <row r="279" spans="2:10" x14ac:dyDescent="0.25">
      <c r="B279" s="48">
        <f>+'Metrics - Articles'!C278</f>
        <v>42250</v>
      </c>
      <c r="C279">
        <f>COUNTIF('Metrics - Articles'!H278,"*Global*")</f>
        <v>1</v>
      </c>
      <c r="D279">
        <f>COUNTIF('Metrics - Articles'!H278,"*EMEA*")</f>
        <v>0</v>
      </c>
      <c r="E279">
        <f>COUNTIF('Metrics - Articles'!H278,"*NA*")</f>
        <v>0</v>
      </c>
      <c r="F279">
        <f>COUNTIF('Metrics - Articles'!H278,"*APJ")</f>
        <v>0</v>
      </c>
      <c r="G279">
        <f>COUNTIF('Metrics - Articles'!H278,"*LATAM*")</f>
        <v>0</v>
      </c>
      <c r="H279">
        <f>COUNTIF('Metrics - Articles'!H278,"*China*")</f>
        <v>0</v>
      </c>
      <c r="J279" s="53">
        <f t="shared" si="5"/>
        <v>1</v>
      </c>
    </row>
    <row r="280" spans="2:10" x14ac:dyDescent="0.25">
      <c r="B280" s="48">
        <f>+'Metrics - Articles'!C279</f>
        <v>42255</v>
      </c>
      <c r="C280">
        <f>COUNTIF('Metrics - Articles'!H279,"*Global*")</f>
        <v>1</v>
      </c>
      <c r="D280">
        <f>COUNTIF('Metrics - Articles'!H279,"*EMEA*")</f>
        <v>0</v>
      </c>
      <c r="E280">
        <f>COUNTIF('Metrics - Articles'!H279,"*NA*")</f>
        <v>0</v>
      </c>
      <c r="F280">
        <f>COUNTIF('Metrics - Articles'!H279,"*APJ")</f>
        <v>0</v>
      </c>
      <c r="G280">
        <f>COUNTIF('Metrics - Articles'!H279,"*LATAM*")</f>
        <v>0</v>
      </c>
      <c r="H280">
        <f>COUNTIF('Metrics - Articles'!H279,"*China*")</f>
        <v>0</v>
      </c>
      <c r="J280" s="53">
        <f t="shared" si="5"/>
        <v>1</v>
      </c>
    </row>
    <row r="281" spans="2:10" x14ac:dyDescent="0.25">
      <c r="B281" s="48">
        <f>+'Metrics - Articles'!C280</f>
        <v>42255</v>
      </c>
      <c r="C281">
        <f>COUNTIF('Metrics - Articles'!H280,"*Global*")</f>
        <v>1</v>
      </c>
      <c r="D281">
        <f>COUNTIF('Metrics - Articles'!H280,"*EMEA*")</f>
        <v>0</v>
      </c>
      <c r="E281">
        <f>COUNTIF('Metrics - Articles'!H280,"*NA*")</f>
        <v>0</v>
      </c>
      <c r="F281">
        <f>COUNTIF('Metrics - Articles'!H280,"*APJ")</f>
        <v>0</v>
      </c>
      <c r="G281">
        <f>COUNTIF('Metrics - Articles'!H280,"*LATAM*")</f>
        <v>0</v>
      </c>
      <c r="H281">
        <f>COUNTIF('Metrics - Articles'!H280,"*China*")</f>
        <v>0</v>
      </c>
      <c r="J281" s="53">
        <f t="shared" si="5"/>
        <v>1</v>
      </c>
    </row>
    <row r="282" spans="2:10" x14ac:dyDescent="0.25">
      <c r="B282" s="48">
        <f>+'Metrics - Articles'!C281</f>
        <v>42256</v>
      </c>
      <c r="C282">
        <f>COUNTIF('Metrics - Articles'!H281,"*Global*")</f>
        <v>0</v>
      </c>
      <c r="D282">
        <f>COUNTIF('Metrics - Articles'!H281,"*EMEA*")</f>
        <v>1</v>
      </c>
      <c r="E282">
        <f>COUNTIF('Metrics - Articles'!H281,"*NA*")</f>
        <v>0</v>
      </c>
      <c r="F282">
        <f>COUNTIF('Metrics - Articles'!H281,"*APJ")</f>
        <v>0</v>
      </c>
      <c r="G282">
        <f>COUNTIF('Metrics - Articles'!H281,"*LATAM*")</f>
        <v>0</v>
      </c>
      <c r="H282">
        <f>COUNTIF('Metrics - Articles'!H281,"*China*")</f>
        <v>0</v>
      </c>
      <c r="J282" s="53">
        <f t="shared" si="5"/>
        <v>1</v>
      </c>
    </row>
    <row r="283" spans="2:10" x14ac:dyDescent="0.25">
      <c r="B283" s="48">
        <f>+'Metrics - Articles'!C282</f>
        <v>42257</v>
      </c>
      <c r="C283">
        <f>COUNTIF('Metrics - Articles'!H282,"*Global*")</f>
        <v>1</v>
      </c>
      <c r="D283">
        <f>COUNTIF('Metrics - Articles'!H282,"*EMEA*")</f>
        <v>0</v>
      </c>
      <c r="E283">
        <f>COUNTIF('Metrics - Articles'!H282,"*NA*")</f>
        <v>0</v>
      </c>
      <c r="F283">
        <f>COUNTIF('Metrics - Articles'!H282,"*APJ")</f>
        <v>0</v>
      </c>
      <c r="G283">
        <f>COUNTIF('Metrics - Articles'!H282,"*LATAM*")</f>
        <v>0</v>
      </c>
      <c r="H283">
        <f>COUNTIF('Metrics - Articles'!H282,"*China*")</f>
        <v>0</v>
      </c>
      <c r="J283" s="53">
        <f t="shared" si="5"/>
        <v>1</v>
      </c>
    </row>
    <row r="284" spans="2:10" x14ac:dyDescent="0.25">
      <c r="B284" s="48">
        <f>+'Metrics - Articles'!C283</f>
        <v>42258</v>
      </c>
      <c r="C284">
        <f>COUNTIF('Metrics - Articles'!H283,"*Global*")</f>
        <v>1</v>
      </c>
      <c r="D284">
        <f>COUNTIF('Metrics - Articles'!H283,"*EMEA*")</f>
        <v>0</v>
      </c>
      <c r="E284">
        <f>COUNTIF('Metrics - Articles'!H283,"*NA*")</f>
        <v>0</v>
      </c>
      <c r="F284">
        <f>COUNTIF('Metrics - Articles'!H283,"*APJ")</f>
        <v>0</v>
      </c>
      <c r="G284">
        <f>COUNTIF('Metrics - Articles'!H283,"*LATAM*")</f>
        <v>0</v>
      </c>
      <c r="H284">
        <f>COUNTIF('Metrics - Articles'!H283,"*China*")</f>
        <v>0</v>
      </c>
      <c r="J284" s="53">
        <f t="shared" si="5"/>
        <v>1</v>
      </c>
    </row>
    <row r="285" spans="2:10" x14ac:dyDescent="0.25">
      <c r="B285" s="48">
        <f>+'Metrics - Articles'!C284</f>
        <v>42261</v>
      </c>
      <c r="C285">
        <f>COUNTIF('Metrics - Articles'!H284,"*Global*")</f>
        <v>1</v>
      </c>
      <c r="D285">
        <f>COUNTIF('Metrics - Articles'!H284,"*EMEA*")</f>
        <v>0</v>
      </c>
      <c r="E285">
        <f>COUNTIF('Metrics - Articles'!H284,"*NA*")</f>
        <v>0</v>
      </c>
      <c r="F285">
        <f>COUNTIF('Metrics - Articles'!H284,"*APJ")</f>
        <v>0</v>
      </c>
      <c r="G285">
        <f>COUNTIF('Metrics - Articles'!H284,"*LATAM*")</f>
        <v>0</v>
      </c>
      <c r="H285">
        <f>COUNTIF('Metrics - Articles'!H284,"*China*")</f>
        <v>0</v>
      </c>
      <c r="J285" s="53">
        <f t="shared" si="5"/>
        <v>1</v>
      </c>
    </row>
    <row r="286" spans="2:10" x14ac:dyDescent="0.25">
      <c r="B286" s="48">
        <f>+'Metrics - Articles'!C285</f>
        <v>42262</v>
      </c>
      <c r="C286">
        <f>COUNTIF('Metrics - Articles'!H285,"*Global*")</f>
        <v>1</v>
      </c>
      <c r="D286">
        <f>COUNTIF('Metrics - Articles'!H285,"*EMEA*")</f>
        <v>0</v>
      </c>
      <c r="E286">
        <f>COUNTIF('Metrics - Articles'!H285,"*NA*")</f>
        <v>0</v>
      </c>
      <c r="F286">
        <f>COUNTIF('Metrics - Articles'!H285,"*APJ")</f>
        <v>0</v>
      </c>
      <c r="G286">
        <f>COUNTIF('Metrics - Articles'!H285,"*LATAM*")</f>
        <v>0</v>
      </c>
      <c r="H286">
        <f>COUNTIF('Metrics - Articles'!H285,"*China*")</f>
        <v>0</v>
      </c>
      <c r="J286" s="53">
        <f t="shared" si="5"/>
        <v>1</v>
      </c>
    </row>
    <row r="287" spans="2:10" x14ac:dyDescent="0.25">
      <c r="B287" s="48">
        <f>+'Metrics - Articles'!C286</f>
        <v>42262</v>
      </c>
      <c r="C287">
        <f>COUNTIF('Metrics - Articles'!H286,"*Global*")</f>
        <v>1</v>
      </c>
      <c r="D287">
        <f>COUNTIF('Metrics - Articles'!H286,"*EMEA*")</f>
        <v>0</v>
      </c>
      <c r="E287">
        <f>COUNTIF('Metrics - Articles'!H286,"*NA*")</f>
        <v>0</v>
      </c>
      <c r="F287">
        <f>COUNTIF('Metrics - Articles'!H286,"*APJ")</f>
        <v>0</v>
      </c>
      <c r="G287">
        <f>COUNTIF('Metrics - Articles'!H286,"*LATAM*")</f>
        <v>0</v>
      </c>
      <c r="H287">
        <f>COUNTIF('Metrics - Articles'!H286,"*China*")</f>
        <v>0</v>
      </c>
      <c r="J287" s="53">
        <f t="shared" si="5"/>
        <v>1</v>
      </c>
    </row>
    <row r="288" spans="2:10" x14ac:dyDescent="0.25">
      <c r="B288" s="48">
        <f>+'Metrics - Articles'!C287</f>
        <v>42263</v>
      </c>
      <c r="C288">
        <f>COUNTIF('Metrics - Articles'!H287,"*Global*")</f>
        <v>1</v>
      </c>
      <c r="D288">
        <f>COUNTIF('Metrics - Articles'!H287,"*EMEA*")</f>
        <v>0</v>
      </c>
      <c r="E288">
        <f>COUNTIF('Metrics - Articles'!H287,"*NA*")</f>
        <v>0</v>
      </c>
      <c r="F288">
        <f>COUNTIF('Metrics - Articles'!H287,"*APJ")</f>
        <v>0</v>
      </c>
      <c r="G288">
        <f>COUNTIF('Metrics - Articles'!H287,"*LATAM*")</f>
        <v>0</v>
      </c>
      <c r="H288">
        <f>COUNTIF('Metrics - Articles'!H287,"*China*")</f>
        <v>0</v>
      </c>
      <c r="J288" s="53">
        <f t="shared" si="5"/>
        <v>1</v>
      </c>
    </row>
    <row r="289" spans="2:10" x14ac:dyDescent="0.25">
      <c r="B289" s="48">
        <f>+'Metrics - Articles'!C288</f>
        <v>42263</v>
      </c>
      <c r="C289">
        <f>COUNTIF('Metrics - Articles'!H288,"*Global*")</f>
        <v>1</v>
      </c>
      <c r="D289">
        <f>COUNTIF('Metrics - Articles'!H288,"*EMEA*")</f>
        <v>0</v>
      </c>
      <c r="E289">
        <f>COUNTIF('Metrics - Articles'!H288,"*NA*")</f>
        <v>0</v>
      </c>
      <c r="F289">
        <f>COUNTIF('Metrics - Articles'!H288,"*APJ")</f>
        <v>0</v>
      </c>
      <c r="G289">
        <f>COUNTIF('Metrics - Articles'!H288,"*LATAM*")</f>
        <v>0</v>
      </c>
      <c r="H289">
        <f>COUNTIF('Metrics - Articles'!H288,"*China*")</f>
        <v>0</v>
      </c>
      <c r="J289" s="53">
        <f t="shared" si="5"/>
        <v>1</v>
      </c>
    </row>
    <row r="290" spans="2:10" x14ac:dyDescent="0.25">
      <c r="B290" s="48">
        <f>+'Metrics - Articles'!C289</f>
        <v>42264</v>
      </c>
      <c r="C290">
        <f>COUNTIF('Metrics - Articles'!H289,"*Global*")</f>
        <v>1</v>
      </c>
      <c r="D290">
        <f>COUNTIF('Metrics - Articles'!H289,"*EMEA*")</f>
        <v>0</v>
      </c>
      <c r="E290">
        <f>COUNTIF('Metrics - Articles'!H289,"*NA*")</f>
        <v>0</v>
      </c>
      <c r="F290">
        <f>COUNTIF('Metrics - Articles'!H289,"*APJ")</f>
        <v>0</v>
      </c>
      <c r="G290">
        <f>COUNTIF('Metrics - Articles'!H289,"*LATAM*")</f>
        <v>0</v>
      </c>
      <c r="H290">
        <f>COUNTIF('Metrics - Articles'!H289,"*China*")</f>
        <v>0</v>
      </c>
      <c r="J290" s="53">
        <f t="shared" si="5"/>
        <v>1</v>
      </c>
    </row>
    <row r="291" spans="2:10" x14ac:dyDescent="0.25">
      <c r="B291" s="48">
        <f>+'Metrics - Articles'!C290</f>
        <v>42269</v>
      </c>
      <c r="C291">
        <f>COUNTIF('Metrics - Articles'!H290,"*Global*")</f>
        <v>1</v>
      </c>
      <c r="D291">
        <f>COUNTIF('Metrics - Articles'!H290,"*EMEA*")</f>
        <v>0</v>
      </c>
      <c r="E291">
        <f>COUNTIF('Metrics - Articles'!H290,"*NA*")</f>
        <v>0</v>
      </c>
      <c r="F291">
        <f>COUNTIF('Metrics - Articles'!H290,"*APJ")</f>
        <v>0</v>
      </c>
      <c r="G291">
        <f>COUNTIF('Metrics - Articles'!H290,"*LATAM*")</f>
        <v>0</v>
      </c>
      <c r="H291">
        <f>COUNTIF('Metrics - Articles'!H290,"*China*")</f>
        <v>0</v>
      </c>
      <c r="J291" s="53">
        <f t="shared" si="5"/>
        <v>1</v>
      </c>
    </row>
    <row r="292" spans="2:10" x14ac:dyDescent="0.25">
      <c r="B292" s="48">
        <f>+'Metrics - Articles'!C291</f>
        <v>42270</v>
      </c>
      <c r="C292">
        <f>COUNTIF('Metrics - Articles'!H291,"*Global*")</f>
        <v>1</v>
      </c>
      <c r="D292">
        <f>COUNTIF('Metrics - Articles'!H291,"*EMEA*")</f>
        <v>0</v>
      </c>
      <c r="E292">
        <f>COUNTIF('Metrics - Articles'!H291,"*NA*")</f>
        <v>0</v>
      </c>
      <c r="F292">
        <f>COUNTIF('Metrics - Articles'!H291,"*APJ")</f>
        <v>0</v>
      </c>
      <c r="G292">
        <f>COUNTIF('Metrics - Articles'!H291,"*LATAM*")</f>
        <v>0</v>
      </c>
      <c r="H292">
        <f>COUNTIF('Metrics - Articles'!H291,"*China*")</f>
        <v>0</v>
      </c>
      <c r="J292" s="53">
        <f t="shared" si="5"/>
        <v>1</v>
      </c>
    </row>
    <row r="293" spans="2:10" x14ac:dyDescent="0.25">
      <c r="B293" s="48">
        <f>+'Metrics - Articles'!C292</f>
        <v>42272</v>
      </c>
      <c r="C293">
        <f>COUNTIF('Metrics - Articles'!H292,"*Global*")</f>
        <v>1</v>
      </c>
      <c r="D293">
        <f>COUNTIF('Metrics - Articles'!H292,"*EMEA*")</f>
        <v>0</v>
      </c>
      <c r="E293">
        <f>COUNTIF('Metrics - Articles'!H292,"*NA*")</f>
        <v>0</v>
      </c>
      <c r="F293">
        <f>COUNTIF('Metrics - Articles'!H292,"*APJ")</f>
        <v>0</v>
      </c>
      <c r="G293">
        <f>COUNTIF('Metrics - Articles'!H292,"*LATAM*")</f>
        <v>0</v>
      </c>
      <c r="H293">
        <f>COUNTIF('Metrics - Articles'!H292,"*China*")</f>
        <v>0</v>
      </c>
      <c r="J293" s="53">
        <f t="shared" si="5"/>
        <v>1</v>
      </c>
    </row>
    <row r="294" spans="2:10" x14ac:dyDescent="0.25">
      <c r="B294" s="48">
        <f>+'Metrics - Articles'!C293</f>
        <v>42272</v>
      </c>
      <c r="C294">
        <f>COUNTIF('Metrics - Articles'!H293,"*Global*")</f>
        <v>1</v>
      </c>
      <c r="D294">
        <f>COUNTIF('Metrics - Articles'!H293,"*EMEA*")</f>
        <v>0</v>
      </c>
      <c r="E294">
        <f>COUNTIF('Metrics - Articles'!H293,"*NA*")</f>
        <v>0</v>
      </c>
      <c r="F294">
        <f>COUNTIF('Metrics - Articles'!H293,"*APJ")</f>
        <v>0</v>
      </c>
      <c r="G294">
        <f>COUNTIF('Metrics - Articles'!H293,"*LATAM*")</f>
        <v>0</v>
      </c>
      <c r="H294">
        <f>COUNTIF('Metrics - Articles'!H293,"*China*")</f>
        <v>0</v>
      </c>
      <c r="J294" s="53">
        <f t="shared" si="5"/>
        <v>1</v>
      </c>
    </row>
    <row r="295" spans="2:10" x14ac:dyDescent="0.25">
      <c r="B295" s="48">
        <f>+'Metrics - Articles'!C294</f>
        <v>42272</v>
      </c>
      <c r="C295">
        <f>COUNTIF('Metrics - Articles'!H294,"*Global*")</f>
        <v>0</v>
      </c>
      <c r="D295">
        <f>COUNTIF('Metrics - Articles'!H294,"*EMEA*")</f>
        <v>0</v>
      </c>
      <c r="E295">
        <f>COUNTIF('Metrics - Articles'!H294,"*NA*")</f>
        <v>0</v>
      </c>
      <c r="F295">
        <f>COUNTIF('Metrics - Articles'!H294,"*APJ")</f>
        <v>0</v>
      </c>
      <c r="G295">
        <f>COUNTIF('Metrics - Articles'!H294,"*LATAM*")</f>
        <v>1</v>
      </c>
      <c r="H295">
        <f>COUNTIF('Metrics - Articles'!H294,"*China*")</f>
        <v>0</v>
      </c>
      <c r="J295" s="53">
        <f t="shared" si="5"/>
        <v>1</v>
      </c>
    </row>
    <row r="296" spans="2:10" x14ac:dyDescent="0.25">
      <c r="B296" s="48">
        <f>+'Metrics - Articles'!C295</f>
        <v>42275</v>
      </c>
      <c r="C296">
        <f>COUNTIF('Metrics - Articles'!H295,"*Global*")</f>
        <v>1</v>
      </c>
      <c r="D296">
        <f>COUNTIF('Metrics - Articles'!H295,"*EMEA*")</f>
        <v>0</v>
      </c>
      <c r="E296">
        <f>COUNTIF('Metrics - Articles'!H295,"*NA*")</f>
        <v>0</v>
      </c>
      <c r="F296">
        <f>COUNTIF('Metrics - Articles'!H295,"*APJ")</f>
        <v>0</v>
      </c>
      <c r="G296">
        <f>COUNTIF('Metrics - Articles'!H295,"*LATAM*")</f>
        <v>0</v>
      </c>
      <c r="H296">
        <f>COUNTIF('Metrics - Articles'!H295,"*China*")</f>
        <v>0</v>
      </c>
      <c r="J296" s="53">
        <f t="shared" si="5"/>
        <v>1</v>
      </c>
    </row>
    <row r="297" spans="2:10" x14ac:dyDescent="0.25">
      <c r="B297" s="48">
        <f>+'Metrics - Articles'!C296</f>
        <v>42276</v>
      </c>
      <c r="C297">
        <f>COUNTIF('Metrics - Articles'!H296,"*Global*")</f>
        <v>1</v>
      </c>
      <c r="D297">
        <f>COUNTIF('Metrics - Articles'!H296,"*EMEA*")</f>
        <v>0</v>
      </c>
      <c r="E297">
        <f>COUNTIF('Metrics - Articles'!H296,"*NA*")</f>
        <v>0</v>
      </c>
      <c r="F297">
        <f>COUNTIF('Metrics - Articles'!H296,"*APJ")</f>
        <v>0</v>
      </c>
      <c r="G297">
        <f>COUNTIF('Metrics - Articles'!H296,"*LATAM*")</f>
        <v>0</v>
      </c>
      <c r="H297">
        <f>COUNTIF('Metrics - Articles'!H296,"*China*")</f>
        <v>0</v>
      </c>
      <c r="J297" s="53">
        <f t="shared" si="5"/>
        <v>1</v>
      </c>
    </row>
    <row r="298" spans="2:10" x14ac:dyDescent="0.25">
      <c r="B298" s="48">
        <f>+'Metrics - Articles'!C297</f>
        <v>42277</v>
      </c>
      <c r="C298">
        <f>COUNTIF('Metrics - Articles'!H297,"*Global*")</f>
        <v>1</v>
      </c>
      <c r="D298">
        <f>COUNTIF('Metrics - Articles'!H297,"*EMEA*")</f>
        <v>0</v>
      </c>
      <c r="E298">
        <f>COUNTIF('Metrics - Articles'!H297,"*NA*")</f>
        <v>0</v>
      </c>
      <c r="F298">
        <f>COUNTIF('Metrics - Articles'!H297,"*APJ")</f>
        <v>0</v>
      </c>
      <c r="G298">
        <f>COUNTIF('Metrics - Articles'!H297,"*LATAM*")</f>
        <v>0</v>
      </c>
      <c r="H298">
        <f>COUNTIF('Metrics - Articles'!H297,"*China*")</f>
        <v>0</v>
      </c>
      <c r="J298" s="53">
        <f t="shared" si="5"/>
        <v>1</v>
      </c>
    </row>
    <row r="299" spans="2:10" x14ac:dyDescent="0.25">
      <c r="B299" s="48">
        <f>+'Metrics - Articles'!C298</f>
        <v>42277</v>
      </c>
      <c r="C299">
        <f>COUNTIF('Metrics - Articles'!H298,"*Global*")</f>
        <v>0</v>
      </c>
      <c r="D299">
        <f>COUNTIF('Metrics - Articles'!H298,"*EMEA*")</f>
        <v>1</v>
      </c>
      <c r="E299">
        <f>COUNTIF('Metrics - Articles'!H298,"*NA*")</f>
        <v>0</v>
      </c>
      <c r="F299">
        <f>COUNTIF('Metrics - Articles'!H298,"*APJ")</f>
        <v>0</v>
      </c>
      <c r="G299">
        <f>COUNTIF('Metrics - Articles'!H298,"*LATAM*")</f>
        <v>0</v>
      </c>
      <c r="H299">
        <f>COUNTIF('Metrics - Articles'!H298,"*China*")</f>
        <v>0</v>
      </c>
      <c r="J299" s="53">
        <f t="shared" si="5"/>
        <v>1</v>
      </c>
    </row>
    <row r="300" spans="2:10" x14ac:dyDescent="0.25">
      <c r="B300" s="48">
        <f>+'Metrics - Articles'!C299</f>
        <v>42278</v>
      </c>
      <c r="C300">
        <f>COUNTIF('Metrics - Articles'!H299,"*Global*")</f>
        <v>0</v>
      </c>
      <c r="D300">
        <f>COUNTIF('Metrics - Articles'!H299,"*EMEA*")</f>
        <v>1</v>
      </c>
      <c r="E300">
        <f>COUNTIF('Metrics - Articles'!H299,"*NA*")</f>
        <v>0</v>
      </c>
      <c r="F300">
        <f>COUNTIF('Metrics - Articles'!H299,"*APJ")</f>
        <v>0</v>
      </c>
      <c r="G300">
        <f>COUNTIF('Metrics - Articles'!H299,"*LATAM*")</f>
        <v>0</v>
      </c>
      <c r="H300">
        <f>COUNTIF('Metrics - Articles'!H299,"*China*")</f>
        <v>0</v>
      </c>
      <c r="J300" s="53">
        <f t="shared" si="5"/>
        <v>1</v>
      </c>
    </row>
    <row r="301" spans="2:10" x14ac:dyDescent="0.25">
      <c r="B301" s="48">
        <f>+'Metrics - Articles'!C300</f>
        <v>42285</v>
      </c>
      <c r="C301">
        <f>COUNTIF('Metrics - Articles'!H300,"*Global*")</f>
        <v>1</v>
      </c>
      <c r="D301">
        <f>COUNTIF('Metrics - Articles'!H300,"*EMEA*")</f>
        <v>0</v>
      </c>
      <c r="E301">
        <f>COUNTIF('Metrics - Articles'!H300,"*NA*")</f>
        <v>0</v>
      </c>
      <c r="F301">
        <f>COUNTIF('Metrics - Articles'!H300,"*APJ")</f>
        <v>0</v>
      </c>
      <c r="G301">
        <f>COUNTIF('Metrics - Articles'!H300,"*LATAM*")</f>
        <v>0</v>
      </c>
      <c r="H301">
        <f>COUNTIF('Metrics - Articles'!H300,"*China*")</f>
        <v>0</v>
      </c>
      <c r="J301" s="53">
        <f t="shared" si="5"/>
        <v>1</v>
      </c>
    </row>
    <row r="302" spans="2:10" x14ac:dyDescent="0.25">
      <c r="B302" s="48">
        <f>+'Metrics - Articles'!C301</f>
        <v>42286</v>
      </c>
      <c r="C302">
        <f>COUNTIF('Metrics - Articles'!H301,"*Global*")</f>
        <v>1</v>
      </c>
      <c r="D302">
        <f>COUNTIF('Metrics - Articles'!H301,"*EMEA*")</f>
        <v>0</v>
      </c>
      <c r="E302">
        <f>COUNTIF('Metrics - Articles'!H301,"*NA*")</f>
        <v>0</v>
      </c>
      <c r="F302">
        <f>COUNTIF('Metrics - Articles'!H301,"*APJ")</f>
        <v>0</v>
      </c>
      <c r="G302">
        <f>COUNTIF('Metrics - Articles'!H301,"*LATAM*")</f>
        <v>0</v>
      </c>
      <c r="H302">
        <f>COUNTIF('Metrics - Articles'!H301,"*China*")</f>
        <v>0</v>
      </c>
      <c r="J302" s="53">
        <f t="shared" si="5"/>
        <v>1</v>
      </c>
    </row>
    <row r="303" spans="2:10" x14ac:dyDescent="0.25">
      <c r="B303" s="48">
        <f>+'Metrics - Articles'!C302</f>
        <v>42289</v>
      </c>
      <c r="C303">
        <f>COUNTIF('Metrics - Articles'!H302,"*Global*")</f>
        <v>0</v>
      </c>
      <c r="D303">
        <f>COUNTIF('Metrics - Articles'!H302,"*EMEA*")</f>
        <v>1</v>
      </c>
      <c r="E303">
        <f>COUNTIF('Metrics - Articles'!H302,"*NA*")</f>
        <v>0</v>
      </c>
      <c r="F303">
        <f>COUNTIF('Metrics - Articles'!H302,"*APJ")</f>
        <v>0</v>
      </c>
      <c r="G303">
        <f>COUNTIF('Metrics - Articles'!H302,"*LATAM*")</f>
        <v>0</v>
      </c>
      <c r="H303">
        <f>COUNTIF('Metrics - Articles'!H302,"*China*")</f>
        <v>0</v>
      </c>
      <c r="J303" s="53">
        <f t="shared" si="5"/>
        <v>1</v>
      </c>
    </row>
    <row r="304" spans="2:10" x14ac:dyDescent="0.25">
      <c r="B304" s="48">
        <f>+'Metrics - Articles'!C303</f>
        <v>42289</v>
      </c>
      <c r="C304">
        <f>COUNTIF('Metrics - Articles'!H303,"*Global*")</f>
        <v>1</v>
      </c>
      <c r="D304">
        <f>COUNTIF('Metrics - Articles'!H303,"*EMEA*")</f>
        <v>0</v>
      </c>
      <c r="E304">
        <f>COUNTIF('Metrics - Articles'!H303,"*NA*")</f>
        <v>0</v>
      </c>
      <c r="F304">
        <f>COUNTIF('Metrics - Articles'!H303,"*APJ")</f>
        <v>0</v>
      </c>
      <c r="G304">
        <f>COUNTIF('Metrics - Articles'!H303,"*LATAM*")</f>
        <v>0</v>
      </c>
      <c r="H304">
        <f>COUNTIF('Metrics - Articles'!H303,"*China*")</f>
        <v>0</v>
      </c>
      <c r="J304" s="53">
        <f t="shared" si="5"/>
        <v>1</v>
      </c>
    </row>
    <row r="305" spans="2:10" x14ac:dyDescent="0.25">
      <c r="B305" s="48">
        <f>+'Metrics - Articles'!C304</f>
        <v>42289</v>
      </c>
      <c r="C305">
        <f>COUNTIF('Metrics - Articles'!H304,"*Global*")</f>
        <v>1</v>
      </c>
      <c r="D305">
        <f>COUNTIF('Metrics - Articles'!H304,"*EMEA*")</f>
        <v>0</v>
      </c>
      <c r="E305">
        <f>COUNTIF('Metrics - Articles'!H304,"*NA*")</f>
        <v>0</v>
      </c>
      <c r="F305">
        <f>COUNTIF('Metrics - Articles'!H304,"*APJ")</f>
        <v>0</v>
      </c>
      <c r="G305">
        <f>COUNTIF('Metrics - Articles'!H304,"*LATAM*")</f>
        <v>0</v>
      </c>
      <c r="H305">
        <f>COUNTIF('Metrics - Articles'!H304,"*China*")</f>
        <v>0</v>
      </c>
      <c r="J305" s="53">
        <f t="shared" si="5"/>
        <v>1</v>
      </c>
    </row>
    <row r="306" spans="2:10" x14ac:dyDescent="0.25">
      <c r="B306" s="48">
        <f>+'Metrics - Articles'!C305</f>
        <v>42290</v>
      </c>
      <c r="C306">
        <f>COUNTIF('Metrics - Articles'!H305,"*Global*")</f>
        <v>1</v>
      </c>
      <c r="D306">
        <f>COUNTIF('Metrics - Articles'!H305,"*EMEA*")</f>
        <v>0</v>
      </c>
      <c r="E306">
        <f>COUNTIF('Metrics - Articles'!H305,"*NA*")</f>
        <v>0</v>
      </c>
      <c r="F306">
        <f>COUNTIF('Metrics - Articles'!H305,"*APJ")</f>
        <v>0</v>
      </c>
      <c r="G306">
        <f>COUNTIF('Metrics - Articles'!H305,"*LATAM*")</f>
        <v>0</v>
      </c>
      <c r="H306">
        <f>COUNTIF('Metrics - Articles'!H305,"*China*")</f>
        <v>0</v>
      </c>
      <c r="J306" s="53">
        <f t="shared" si="5"/>
        <v>1</v>
      </c>
    </row>
    <row r="307" spans="2:10" x14ac:dyDescent="0.25">
      <c r="B307" s="48">
        <f>+'Metrics - Articles'!C306</f>
        <v>42290</v>
      </c>
      <c r="C307">
        <f>COUNTIF('Metrics - Articles'!H306,"*Global*")</f>
        <v>1</v>
      </c>
      <c r="D307">
        <f>COUNTIF('Metrics - Articles'!H306,"*EMEA*")</f>
        <v>0</v>
      </c>
      <c r="E307">
        <f>COUNTIF('Metrics - Articles'!H306,"*NA*")</f>
        <v>0</v>
      </c>
      <c r="F307">
        <f>COUNTIF('Metrics - Articles'!H306,"*APJ")</f>
        <v>0</v>
      </c>
      <c r="G307">
        <f>COUNTIF('Metrics - Articles'!H306,"*LATAM*")</f>
        <v>0</v>
      </c>
      <c r="H307">
        <f>COUNTIF('Metrics - Articles'!H306,"*China*")</f>
        <v>0</v>
      </c>
      <c r="J307" s="53">
        <f t="shared" si="5"/>
        <v>1</v>
      </c>
    </row>
    <row r="308" spans="2:10" x14ac:dyDescent="0.25">
      <c r="B308" s="48">
        <f>+'Metrics - Articles'!C307</f>
        <v>42292</v>
      </c>
      <c r="C308">
        <f>COUNTIF('Metrics - Articles'!H307,"*Global*")</f>
        <v>1</v>
      </c>
      <c r="D308">
        <f>COUNTIF('Metrics - Articles'!H307,"*EMEA*")</f>
        <v>0</v>
      </c>
      <c r="E308">
        <f>COUNTIF('Metrics - Articles'!H307,"*NA*")</f>
        <v>0</v>
      </c>
      <c r="F308">
        <f>COUNTIF('Metrics - Articles'!H307,"*APJ")</f>
        <v>0</v>
      </c>
      <c r="G308">
        <f>COUNTIF('Metrics - Articles'!H307,"*LATAM*")</f>
        <v>0</v>
      </c>
      <c r="H308">
        <f>COUNTIF('Metrics - Articles'!H307,"*China*")</f>
        <v>0</v>
      </c>
      <c r="J308" s="53">
        <f t="shared" si="5"/>
        <v>1</v>
      </c>
    </row>
    <row r="309" spans="2:10" x14ac:dyDescent="0.25">
      <c r="B309" s="48">
        <f>+'Metrics - Articles'!C308</f>
        <v>42292</v>
      </c>
      <c r="C309">
        <f>COUNTIF('Metrics - Articles'!H308,"*Global*")</f>
        <v>1</v>
      </c>
      <c r="D309">
        <f>COUNTIF('Metrics - Articles'!H308,"*EMEA*")</f>
        <v>0</v>
      </c>
      <c r="E309">
        <f>COUNTIF('Metrics - Articles'!H308,"*NA*")</f>
        <v>0</v>
      </c>
      <c r="F309">
        <f>COUNTIF('Metrics - Articles'!H308,"*APJ")</f>
        <v>0</v>
      </c>
      <c r="G309">
        <f>COUNTIF('Metrics - Articles'!H308,"*LATAM*")</f>
        <v>0</v>
      </c>
      <c r="H309">
        <f>COUNTIF('Metrics - Articles'!H308,"*China*")</f>
        <v>0</v>
      </c>
      <c r="J309" s="53">
        <f t="shared" si="5"/>
        <v>1</v>
      </c>
    </row>
    <row r="310" spans="2:10" x14ac:dyDescent="0.25">
      <c r="B310" s="48">
        <f>+'Metrics - Articles'!C309</f>
        <v>42292</v>
      </c>
      <c r="C310">
        <f>COUNTIF('Metrics - Articles'!H309,"*Global*")</f>
        <v>1</v>
      </c>
      <c r="D310">
        <f>COUNTIF('Metrics - Articles'!H309,"*EMEA*")</f>
        <v>0</v>
      </c>
      <c r="E310">
        <f>COUNTIF('Metrics - Articles'!H309,"*NA*")</f>
        <v>0</v>
      </c>
      <c r="F310">
        <f>COUNTIF('Metrics - Articles'!H309,"*APJ")</f>
        <v>0</v>
      </c>
      <c r="G310">
        <f>COUNTIF('Metrics - Articles'!H309,"*LATAM*")</f>
        <v>0</v>
      </c>
      <c r="H310">
        <f>COUNTIF('Metrics - Articles'!H309,"*China*")</f>
        <v>0</v>
      </c>
      <c r="J310" s="53">
        <f t="shared" si="5"/>
        <v>1</v>
      </c>
    </row>
    <row r="311" spans="2:10" x14ac:dyDescent="0.25">
      <c r="B311" s="48">
        <f>+'Metrics - Articles'!C310</f>
        <v>42293</v>
      </c>
      <c r="C311">
        <f>COUNTIF('Metrics - Articles'!H310,"*Global*")</f>
        <v>1</v>
      </c>
      <c r="D311">
        <f>COUNTIF('Metrics - Articles'!H310,"*EMEA*")</f>
        <v>0</v>
      </c>
      <c r="E311">
        <f>COUNTIF('Metrics - Articles'!H310,"*NA*")</f>
        <v>0</v>
      </c>
      <c r="F311">
        <f>COUNTIF('Metrics - Articles'!H310,"*APJ")</f>
        <v>0</v>
      </c>
      <c r="G311">
        <f>COUNTIF('Metrics - Articles'!H310,"*LATAM*")</f>
        <v>0</v>
      </c>
      <c r="H311">
        <f>COUNTIF('Metrics - Articles'!H310,"*China*")</f>
        <v>0</v>
      </c>
      <c r="J311" s="53">
        <f t="shared" si="5"/>
        <v>1</v>
      </c>
    </row>
    <row r="312" spans="2:10" x14ac:dyDescent="0.25">
      <c r="B312" s="48">
        <f>+'Metrics - Articles'!C311</f>
        <v>42296</v>
      </c>
      <c r="C312">
        <f>COUNTIF('Metrics - Articles'!H311,"*Global*")</f>
        <v>0</v>
      </c>
      <c r="D312">
        <f>COUNTIF('Metrics - Articles'!H311,"*EMEA*")</f>
        <v>0</v>
      </c>
      <c r="E312">
        <f>COUNTIF('Metrics - Articles'!H311,"*NA*")</f>
        <v>1</v>
      </c>
      <c r="F312">
        <f>COUNTIF('Metrics - Articles'!H311,"*APJ")</f>
        <v>0</v>
      </c>
      <c r="G312">
        <f>COUNTIF('Metrics - Articles'!H311,"*LATAM*")</f>
        <v>0</v>
      </c>
      <c r="H312">
        <f>COUNTIF('Metrics - Articles'!H311,"*China*")</f>
        <v>0</v>
      </c>
      <c r="J312" s="53">
        <f t="shared" si="5"/>
        <v>1</v>
      </c>
    </row>
    <row r="313" spans="2:10" x14ac:dyDescent="0.25">
      <c r="B313" s="48">
        <f>+'Metrics - Articles'!C312</f>
        <v>42297</v>
      </c>
      <c r="C313">
        <f>COUNTIF('Metrics - Articles'!H312,"*Global*")</f>
        <v>1</v>
      </c>
      <c r="D313">
        <f>COUNTIF('Metrics - Articles'!H312,"*EMEA*")</f>
        <v>0</v>
      </c>
      <c r="E313">
        <f>COUNTIF('Metrics - Articles'!H312,"*NA*")</f>
        <v>0</v>
      </c>
      <c r="F313">
        <f>COUNTIF('Metrics - Articles'!H312,"*APJ")</f>
        <v>0</v>
      </c>
      <c r="G313">
        <f>COUNTIF('Metrics - Articles'!H312,"*LATAM*")</f>
        <v>0</v>
      </c>
      <c r="H313">
        <f>COUNTIF('Metrics - Articles'!H312,"*China*")</f>
        <v>0</v>
      </c>
      <c r="J313" s="53">
        <f t="shared" si="5"/>
        <v>1</v>
      </c>
    </row>
    <row r="314" spans="2:10" x14ac:dyDescent="0.25">
      <c r="B314" s="48">
        <f>+'Metrics - Articles'!C313</f>
        <v>42298</v>
      </c>
      <c r="C314">
        <f>COUNTIF('Metrics - Articles'!H313,"*Global*")</f>
        <v>1</v>
      </c>
      <c r="D314">
        <f>COUNTIF('Metrics - Articles'!H313,"*EMEA*")</f>
        <v>0</v>
      </c>
      <c r="E314">
        <f>COUNTIF('Metrics - Articles'!H313,"*NA*")</f>
        <v>0</v>
      </c>
      <c r="F314">
        <f>COUNTIF('Metrics - Articles'!H313,"*APJ")</f>
        <v>0</v>
      </c>
      <c r="G314">
        <f>COUNTIF('Metrics - Articles'!H313,"*LATAM*")</f>
        <v>0</v>
      </c>
      <c r="H314">
        <f>COUNTIF('Metrics - Articles'!H313,"*China*")</f>
        <v>0</v>
      </c>
      <c r="J314" s="53">
        <f t="shared" si="5"/>
        <v>1</v>
      </c>
    </row>
    <row r="315" spans="2:10" x14ac:dyDescent="0.25">
      <c r="B315" s="48">
        <f>+'Metrics - Articles'!C314</f>
        <v>42298</v>
      </c>
      <c r="C315">
        <f>COUNTIF('Metrics - Articles'!H314,"*Global*")</f>
        <v>1</v>
      </c>
      <c r="D315">
        <f>COUNTIF('Metrics - Articles'!H314,"*EMEA*")</f>
        <v>0</v>
      </c>
      <c r="E315">
        <f>COUNTIF('Metrics - Articles'!H314,"*NA*")</f>
        <v>0</v>
      </c>
      <c r="F315">
        <f>COUNTIF('Metrics - Articles'!H314,"*APJ")</f>
        <v>0</v>
      </c>
      <c r="G315">
        <f>COUNTIF('Metrics - Articles'!H314,"*LATAM*")</f>
        <v>0</v>
      </c>
      <c r="H315">
        <f>COUNTIF('Metrics - Articles'!H314,"*China*")</f>
        <v>0</v>
      </c>
      <c r="J315" s="53">
        <f t="shared" si="5"/>
        <v>1</v>
      </c>
    </row>
    <row r="316" spans="2:10" x14ac:dyDescent="0.25">
      <c r="B316" s="48">
        <f>+'Metrics - Articles'!C315</f>
        <v>42298</v>
      </c>
      <c r="C316">
        <f>COUNTIF('Metrics - Articles'!H315,"*Global*")</f>
        <v>1</v>
      </c>
      <c r="D316">
        <f>COUNTIF('Metrics - Articles'!H315,"*EMEA*")</f>
        <v>0</v>
      </c>
      <c r="E316">
        <f>COUNTIF('Metrics - Articles'!H315,"*NA*")</f>
        <v>0</v>
      </c>
      <c r="F316">
        <f>COUNTIF('Metrics - Articles'!H315,"*APJ")</f>
        <v>0</v>
      </c>
      <c r="G316">
        <f>COUNTIF('Metrics - Articles'!H315,"*LATAM*")</f>
        <v>0</v>
      </c>
      <c r="H316">
        <f>COUNTIF('Metrics - Articles'!H315,"*China*")</f>
        <v>0</v>
      </c>
      <c r="J316" s="53">
        <f t="shared" si="5"/>
        <v>1</v>
      </c>
    </row>
    <row r="317" spans="2:10" x14ac:dyDescent="0.25">
      <c r="B317" s="48">
        <f>+'Metrics - Articles'!C316</f>
        <v>42299</v>
      </c>
      <c r="C317">
        <f>COUNTIF('Metrics - Articles'!H316,"*Global*")</f>
        <v>0</v>
      </c>
      <c r="D317">
        <f>COUNTIF('Metrics - Articles'!H316,"*EMEA*")</f>
        <v>0</v>
      </c>
      <c r="E317">
        <f>COUNTIF('Metrics - Articles'!H316,"*NA*")</f>
        <v>0</v>
      </c>
      <c r="F317">
        <f>COUNTIF('Metrics - Articles'!H316,"*APJ")</f>
        <v>0</v>
      </c>
      <c r="G317">
        <f>COUNTIF('Metrics - Articles'!H316,"*LATAM*")</f>
        <v>1</v>
      </c>
      <c r="H317">
        <f>COUNTIF('Metrics - Articles'!H316,"*China*")</f>
        <v>0</v>
      </c>
      <c r="J317" s="53">
        <f t="shared" si="5"/>
        <v>1</v>
      </c>
    </row>
    <row r="318" spans="2:10" x14ac:dyDescent="0.25">
      <c r="B318" s="48">
        <f>+'Metrics - Articles'!C317</f>
        <v>42300</v>
      </c>
      <c r="C318">
        <f>COUNTIF('Metrics - Articles'!H317,"*Global*")</f>
        <v>0</v>
      </c>
      <c r="D318">
        <f>COUNTIF('Metrics - Articles'!H317,"*EMEA*")</f>
        <v>1</v>
      </c>
      <c r="E318">
        <f>COUNTIF('Metrics - Articles'!H317,"*NA*")</f>
        <v>0</v>
      </c>
      <c r="F318">
        <f>COUNTIF('Metrics - Articles'!H317,"*APJ")</f>
        <v>0</v>
      </c>
      <c r="G318">
        <f>COUNTIF('Metrics - Articles'!H317,"*LATAM*")</f>
        <v>0</v>
      </c>
      <c r="H318">
        <f>COUNTIF('Metrics - Articles'!H317,"*China*")</f>
        <v>0</v>
      </c>
      <c r="J318" s="53">
        <f t="shared" si="5"/>
        <v>1</v>
      </c>
    </row>
    <row r="319" spans="2:10" x14ac:dyDescent="0.25">
      <c r="B319" s="48">
        <f>+'Metrics - Articles'!C318</f>
        <v>42305</v>
      </c>
      <c r="C319">
        <f>COUNTIF('Metrics - Articles'!H318,"*Global*")</f>
        <v>1</v>
      </c>
      <c r="D319">
        <f>COUNTIF('Metrics - Articles'!H318,"*EMEA*")</f>
        <v>0</v>
      </c>
      <c r="E319">
        <f>COUNTIF('Metrics - Articles'!H318,"*NA*")</f>
        <v>0</v>
      </c>
      <c r="F319">
        <f>COUNTIF('Metrics - Articles'!H318,"*APJ")</f>
        <v>0</v>
      </c>
      <c r="G319">
        <f>COUNTIF('Metrics - Articles'!H318,"*LATAM*")</f>
        <v>0</v>
      </c>
      <c r="H319">
        <f>COUNTIF('Metrics - Articles'!H318,"*China*")</f>
        <v>0</v>
      </c>
      <c r="J319" s="53">
        <f t="shared" si="5"/>
        <v>1</v>
      </c>
    </row>
    <row r="320" spans="2:10" x14ac:dyDescent="0.25">
      <c r="B320" s="48">
        <f>+'Metrics - Articles'!C319</f>
        <v>42309</v>
      </c>
      <c r="C320">
        <f>COUNTIF('Metrics - Articles'!H319,"*Global*")</f>
        <v>1</v>
      </c>
      <c r="D320">
        <f>COUNTIF('Metrics - Articles'!H319,"*EMEA*")</f>
        <v>0</v>
      </c>
      <c r="E320">
        <f>COUNTIF('Metrics - Articles'!H319,"*NA*")</f>
        <v>0</v>
      </c>
      <c r="F320">
        <f>COUNTIF('Metrics - Articles'!H319,"*APJ")</f>
        <v>0</v>
      </c>
      <c r="G320">
        <f>COUNTIF('Metrics - Articles'!H319,"*LATAM*")</f>
        <v>0</v>
      </c>
      <c r="H320">
        <f>COUNTIF('Metrics - Articles'!H319,"*China*")</f>
        <v>0</v>
      </c>
      <c r="J320" s="53">
        <f t="shared" si="5"/>
        <v>1</v>
      </c>
    </row>
    <row r="321" spans="2:10" x14ac:dyDescent="0.25">
      <c r="B321" s="48">
        <f>+'Metrics - Articles'!C320</f>
        <v>42312</v>
      </c>
      <c r="C321">
        <f>COUNTIF('Metrics - Articles'!H320,"*Global*")</f>
        <v>0</v>
      </c>
      <c r="D321">
        <f>COUNTIF('Metrics - Articles'!H320,"*EMEA*")</f>
        <v>0</v>
      </c>
      <c r="E321">
        <f>COUNTIF('Metrics - Articles'!H320,"*NA*")</f>
        <v>1</v>
      </c>
      <c r="F321">
        <f>COUNTIF('Metrics - Articles'!H320,"*APJ")</f>
        <v>0</v>
      </c>
      <c r="G321">
        <f>COUNTIF('Metrics - Articles'!H320,"*LATAM*")</f>
        <v>0</v>
      </c>
      <c r="H321">
        <f>COUNTIF('Metrics - Articles'!H320,"*China*")</f>
        <v>0</v>
      </c>
      <c r="J321" s="53">
        <f t="shared" si="5"/>
        <v>1</v>
      </c>
    </row>
    <row r="322" spans="2:10" x14ac:dyDescent="0.25">
      <c r="B322" s="48">
        <f>+'Metrics - Articles'!C321</f>
        <v>42312</v>
      </c>
      <c r="C322">
        <f>COUNTIF('Metrics - Articles'!H321,"*Global*")</f>
        <v>0</v>
      </c>
      <c r="D322">
        <f>COUNTIF('Metrics - Articles'!H321,"*EMEA*")</f>
        <v>1</v>
      </c>
      <c r="E322">
        <f>COUNTIF('Metrics - Articles'!H321,"*NA*")</f>
        <v>0</v>
      </c>
      <c r="F322">
        <f>COUNTIF('Metrics - Articles'!H321,"*APJ")</f>
        <v>0</v>
      </c>
      <c r="G322">
        <f>COUNTIF('Metrics - Articles'!H321,"*LATAM*")</f>
        <v>0</v>
      </c>
      <c r="H322">
        <f>COUNTIF('Metrics - Articles'!H321,"*China*")</f>
        <v>0</v>
      </c>
      <c r="J322" s="53">
        <f t="shared" si="5"/>
        <v>1</v>
      </c>
    </row>
    <row r="323" spans="2:10" x14ac:dyDescent="0.25">
      <c r="B323" s="48">
        <f>+'Metrics - Articles'!C322</f>
        <v>42314</v>
      </c>
      <c r="C323">
        <f>COUNTIF('Metrics - Articles'!H322,"*Global*")</f>
        <v>1</v>
      </c>
      <c r="D323">
        <f>COUNTIF('Metrics - Articles'!H322,"*EMEA*")</f>
        <v>0</v>
      </c>
      <c r="E323">
        <f>COUNTIF('Metrics - Articles'!H322,"*NA*")</f>
        <v>0</v>
      </c>
      <c r="F323">
        <f>COUNTIF('Metrics - Articles'!H322,"*APJ")</f>
        <v>0</v>
      </c>
      <c r="G323">
        <f>COUNTIF('Metrics - Articles'!H322,"*LATAM*")</f>
        <v>0</v>
      </c>
      <c r="H323">
        <f>COUNTIF('Metrics - Articles'!H322,"*China*")</f>
        <v>0</v>
      </c>
      <c r="J323" s="53">
        <f t="shared" si="5"/>
        <v>1</v>
      </c>
    </row>
    <row r="324" spans="2:10" x14ac:dyDescent="0.25">
      <c r="B324" s="48">
        <f>+'Metrics - Articles'!C323</f>
        <v>42318</v>
      </c>
      <c r="C324">
        <f>COUNTIF('Metrics - Articles'!H323,"*Global*")</f>
        <v>1</v>
      </c>
      <c r="D324">
        <f>COUNTIF('Metrics - Articles'!H323,"*EMEA*")</f>
        <v>0</v>
      </c>
      <c r="E324">
        <f>COUNTIF('Metrics - Articles'!H323,"*NA*")</f>
        <v>0</v>
      </c>
      <c r="F324">
        <f>COUNTIF('Metrics - Articles'!H323,"*APJ")</f>
        <v>0</v>
      </c>
      <c r="G324">
        <f>COUNTIF('Metrics - Articles'!H323,"*LATAM*")</f>
        <v>0</v>
      </c>
      <c r="H324">
        <f>COUNTIF('Metrics - Articles'!H323,"*China*")</f>
        <v>0</v>
      </c>
      <c r="J324" s="53">
        <f t="shared" si="5"/>
        <v>1</v>
      </c>
    </row>
    <row r="325" spans="2:10" x14ac:dyDescent="0.25">
      <c r="B325" s="48">
        <f>+'Metrics - Articles'!C324</f>
        <v>42318</v>
      </c>
      <c r="C325">
        <f>COUNTIF('Metrics - Articles'!H324,"*Global*")</f>
        <v>0</v>
      </c>
      <c r="D325">
        <f>COUNTIF('Metrics - Articles'!H324,"*EMEA*")</f>
        <v>1</v>
      </c>
      <c r="E325">
        <f>COUNTIF('Metrics - Articles'!H324,"*NA*")</f>
        <v>0</v>
      </c>
      <c r="F325">
        <f>COUNTIF('Metrics - Articles'!H324,"*APJ")</f>
        <v>0</v>
      </c>
      <c r="G325">
        <f>COUNTIF('Metrics - Articles'!H324,"*LATAM*")</f>
        <v>0</v>
      </c>
      <c r="H325">
        <f>COUNTIF('Metrics - Articles'!H324,"*China*")</f>
        <v>0</v>
      </c>
      <c r="J325" s="53">
        <f t="shared" si="5"/>
        <v>1</v>
      </c>
    </row>
    <row r="326" spans="2:10" x14ac:dyDescent="0.25">
      <c r="B326" s="48">
        <f>+'Metrics - Articles'!C325</f>
        <v>42319</v>
      </c>
      <c r="C326">
        <f>COUNTIF('Metrics - Articles'!H325,"*Global*")</f>
        <v>0</v>
      </c>
      <c r="D326">
        <f>COUNTIF('Metrics - Articles'!H325,"*EMEA*")</f>
        <v>0</v>
      </c>
      <c r="E326">
        <f>COUNTIF('Metrics - Articles'!H325,"*NA*")</f>
        <v>1</v>
      </c>
      <c r="F326">
        <f>COUNTIF('Metrics - Articles'!H325,"*APJ")</f>
        <v>0</v>
      </c>
      <c r="G326">
        <f>COUNTIF('Metrics - Articles'!H325,"*LATAM*")</f>
        <v>0</v>
      </c>
      <c r="H326">
        <f>COUNTIF('Metrics - Articles'!H325,"*China*")</f>
        <v>0</v>
      </c>
      <c r="J326" s="53">
        <f t="shared" si="5"/>
        <v>1</v>
      </c>
    </row>
    <row r="327" spans="2:10" x14ac:dyDescent="0.25">
      <c r="B327" s="48">
        <f>+'Metrics - Articles'!C326</f>
        <v>42320</v>
      </c>
      <c r="C327">
        <f>COUNTIF('Metrics - Articles'!H326,"*Global*")</f>
        <v>0</v>
      </c>
      <c r="D327">
        <f>COUNTIF('Metrics - Articles'!H326,"*EMEA*")</f>
        <v>1</v>
      </c>
      <c r="E327">
        <f>COUNTIF('Metrics - Articles'!H326,"*NA*")</f>
        <v>1</v>
      </c>
      <c r="F327">
        <f>COUNTIF('Metrics - Articles'!H326,"*APJ")</f>
        <v>0</v>
      </c>
      <c r="G327">
        <f>COUNTIF('Metrics - Articles'!H326,"*LATAM*")</f>
        <v>0</v>
      </c>
      <c r="H327">
        <f>COUNTIF('Metrics - Articles'!H326,"*China*")</f>
        <v>0</v>
      </c>
      <c r="J327" s="53">
        <f t="shared" si="5"/>
        <v>2</v>
      </c>
    </row>
    <row r="328" spans="2:10" x14ac:dyDescent="0.25">
      <c r="B328" s="48">
        <f>+'Metrics - Articles'!C327</f>
        <v>42320</v>
      </c>
      <c r="C328">
        <f>COUNTIF('Metrics - Articles'!H327,"*Global*")</f>
        <v>0</v>
      </c>
      <c r="D328">
        <f>COUNTIF('Metrics - Articles'!H327,"*EMEA*")</f>
        <v>1</v>
      </c>
      <c r="E328">
        <f>COUNTIF('Metrics - Articles'!H327,"*NA*")</f>
        <v>0</v>
      </c>
      <c r="F328">
        <f>COUNTIF('Metrics - Articles'!H327,"*APJ")</f>
        <v>0</v>
      </c>
      <c r="G328">
        <f>COUNTIF('Metrics - Articles'!H327,"*LATAM*")</f>
        <v>0</v>
      </c>
      <c r="H328">
        <f>COUNTIF('Metrics - Articles'!H327,"*China*")</f>
        <v>0</v>
      </c>
      <c r="J328" s="53">
        <f t="shared" si="5"/>
        <v>1</v>
      </c>
    </row>
    <row r="329" spans="2:10" x14ac:dyDescent="0.25">
      <c r="B329" s="48">
        <f>+'Metrics - Articles'!C328</f>
        <v>42322</v>
      </c>
      <c r="C329">
        <f>COUNTIF('Metrics - Articles'!H328,"*Global*")</f>
        <v>0</v>
      </c>
      <c r="D329">
        <f>COUNTIF('Metrics - Articles'!H328,"*EMEA*")</f>
        <v>1</v>
      </c>
      <c r="E329">
        <f>COUNTIF('Metrics - Articles'!H328,"*NA*")</f>
        <v>0</v>
      </c>
      <c r="F329">
        <f>COUNTIF('Metrics - Articles'!H328,"*APJ")</f>
        <v>0</v>
      </c>
      <c r="G329">
        <f>COUNTIF('Metrics - Articles'!H328,"*LATAM*")</f>
        <v>0</v>
      </c>
      <c r="H329">
        <f>COUNTIF('Metrics - Articles'!H328,"*China*")</f>
        <v>0</v>
      </c>
      <c r="J329" s="53">
        <f t="shared" si="5"/>
        <v>1</v>
      </c>
    </row>
    <row r="330" spans="2:10" x14ac:dyDescent="0.25">
      <c r="B330" s="48">
        <f>+'Metrics - Articles'!C329</f>
        <v>42325</v>
      </c>
      <c r="C330">
        <f>COUNTIF('Metrics - Articles'!H329,"*Global*")</f>
        <v>0</v>
      </c>
      <c r="D330">
        <f>COUNTIF('Metrics - Articles'!H329,"*EMEA*")</f>
        <v>1</v>
      </c>
      <c r="E330">
        <f>COUNTIF('Metrics - Articles'!H329,"*NA*")</f>
        <v>0</v>
      </c>
      <c r="F330">
        <f>COUNTIF('Metrics - Articles'!H329,"*APJ")</f>
        <v>0</v>
      </c>
      <c r="G330">
        <f>COUNTIF('Metrics - Articles'!H329,"*LATAM*")</f>
        <v>0</v>
      </c>
      <c r="H330">
        <f>COUNTIF('Metrics - Articles'!H329,"*China*")</f>
        <v>0</v>
      </c>
      <c r="J330" s="53">
        <f t="shared" ref="J330:J393" si="6">SUM(C330:I330)</f>
        <v>1</v>
      </c>
    </row>
    <row r="331" spans="2:10" x14ac:dyDescent="0.25">
      <c r="B331" s="48">
        <f>+'Metrics - Articles'!C330</f>
        <v>42328</v>
      </c>
      <c r="C331">
        <f>COUNTIF('Metrics - Articles'!H330,"*Global*")</f>
        <v>1</v>
      </c>
      <c r="D331">
        <f>COUNTIF('Metrics - Articles'!H330,"*EMEA*")</f>
        <v>0</v>
      </c>
      <c r="E331">
        <f>COUNTIF('Metrics - Articles'!H330,"*NA*")</f>
        <v>0</v>
      </c>
      <c r="F331">
        <f>COUNTIF('Metrics - Articles'!H330,"*APJ")</f>
        <v>0</v>
      </c>
      <c r="G331">
        <f>COUNTIF('Metrics - Articles'!H330,"*LATAM*")</f>
        <v>0</v>
      </c>
      <c r="H331">
        <f>COUNTIF('Metrics - Articles'!H330,"*China*")</f>
        <v>0</v>
      </c>
      <c r="J331" s="53">
        <f t="shared" si="6"/>
        <v>1</v>
      </c>
    </row>
    <row r="332" spans="2:10" x14ac:dyDescent="0.25">
      <c r="B332" s="48">
        <f>+'Metrics - Articles'!C331</f>
        <v>42331</v>
      </c>
      <c r="C332">
        <f>COUNTIF('Metrics - Articles'!H331,"*Global*")</f>
        <v>0</v>
      </c>
      <c r="D332">
        <f>COUNTIF('Metrics - Articles'!H331,"*EMEA*")</f>
        <v>1</v>
      </c>
      <c r="E332">
        <f>COUNTIF('Metrics - Articles'!H331,"*NA*")</f>
        <v>0</v>
      </c>
      <c r="F332">
        <f>COUNTIF('Metrics - Articles'!H331,"*APJ")</f>
        <v>0</v>
      </c>
      <c r="G332">
        <f>COUNTIF('Metrics - Articles'!H331,"*LATAM*")</f>
        <v>0</v>
      </c>
      <c r="H332">
        <f>COUNTIF('Metrics - Articles'!H331,"*China*")</f>
        <v>0</v>
      </c>
      <c r="J332" s="53">
        <f t="shared" si="6"/>
        <v>1</v>
      </c>
    </row>
    <row r="333" spans="2:10" x14ac:dyDescent="0.25">
      <c r="B333" s="48">
        <f>+'Metrics - Articles'!C332</f>
        <v>42332</v>
      </c>
      <c r="C333">
        <f>COUNTIF('Metrics - Articles'!H332,"*Global*")</f>
        <v>1</v>
      </c>
      <c r="D333">
        <f>COUNTIF('Metrics - Articles'!H332,"*EMEA*")</f>
        <v>0</v>
      </c>
      <c r="E333">
        <f>COUNTIF('Metrics - Articles'!H332,"*NA*")</f>
        <v>0</v>
      </c>
      <c r="F333">
        <f>COUNTIF('Metrics - Articles'!H332,"*APJ")</f>
        <v>0</v>
      </c>
      <c r="G333">
        <f>COUNTIF('Metrics - Articles'!H332,"*LATAM*")</f>
        <v>0</v>
      </c>
      <c r="H333">
        <f>COUNTIF('Metrics - Articles'!H332,"*China*")</f>
        <v>0</v>
      </c>
      <c r="J333" s="53">
        <f t="shared" si="6"/>
        <v>1</v>
      </c>
    </row>
    <row r="334" spans="2:10" x14ac:dyDescent="0.25">
      <c r="B334" s="48">
        <f>+'Metrics - Articles'!C333</f>
        <v>42332</v>
      </c>
      <c r="C334">
        <f>COUNTIF('Metrics - Articles'!H333,"*Global*")</f>
        <v>0</v>
      </c>
      <c r="D334">
        <f>COUNTIF('Metrics - Articles'!H333,"*EMEA*")</f>
        <v>1</v>
      </c>
      <c r="E334">
        <f>COUNTIF('Metrics - Articles'!H333,"*NA*")</f>
        <v>0</v>
      </c>
      <c r="F334">
        <f>COUNTIF('Metrics - Articles'!H333,"*APJ")</f>
        <v>0</v>
      </c>
      <c r="G334">
        <f>COUNTIF('Metrics - Articles'!H333,"*LATAM*")</f>
        <v>0</v>
      </c>
      <c r="H334">
        <f>COUNTIF('Metrics - Articles'!H333,"*China*")</f>
        <v>0</v>
      </c>
      <c r="J334" s="53">
        <f t="shared" si="6"/>
        <v>1</v>
      </c>
    </row>
    <row r="335" spans="2:10" x14ac:dyDescent="0.25">
      <c r="B335" s="48">
        <f>+'Metrics - Articles'!C334</f>
        <v>42333</v>
      </c>
      <c r="C335">
        <f>COUNTIF('Metrics - Articles'!H334,"*Global*")</f>
        <v>0</v>
      </c>
      <c r="D335">
        <f>COUNTIF('Metrics - Articles'!H334,"*EMEA*")</f>
        <v>1</v>
      </c>
      <c r="E335">
        <f>COUNTIF('Metrics - Articles'!H334,"*NA*")</f>
        <v>0</v>
      </c>
      <c r="F335">
        <f>COUNTIF('Metrics - Articles'!H334,"*APJ")</f>
        <v>0</v>
      </c>
      <c r="G335">
        <f>COUNTIF('Metrics - Articles'!H334,"*LATAM*")</f>
        <v>0</v>
      </c>
      <c r="H335">
        <f>COUNTIF('Metrics - Articles'!H334,"*China*")</f>
        <v>0</v>
      </c>
      <c r="J335" s="53">
        <f t="shared" si="6"/>
        <v>1</v>
      </c>
    </row>
    <row r="336" spans="2:10" x14ac:dyDescent="0.25">
      <c r="B336" s="48">
        <f>+'Metrics - Articles'!C335</f>
        <v>42333</v>
      </c>
      <c r="C336">
        <f>COUNTIF('Metrics - Articles'!H335,"*Global*")</f>
        <v>1</v>
      </c>
      <c r="D336">
        <f>COUNTIF('Metrics - Articles'!H335,"*EMEA*")</f>
        <v>0</v>
      </c>
      <c r="E336">
        <f>COUNTIF('Metrics - Articles'!H335,"*NA*")</f>
        <v>0</v>
      </c>
      <c r="F336">
        <f>COUNTIF('Metrics - Articles'!H335,"*APJ")</f>
        <v>0</v>
      </c>
      <c r="G336">
        <f>COUNTIF('Metrics - Articles'!H335,"*LATAM*")</f>
        <v>0</v>
      </c>
      <c r="H336">
        <f>COUNTIF('Metrics - Articles'!H335,"*China*")</f>
        <v>0</v>
      </c>
      <c r="J336" s="53">
        <f t="shared" si="6"/>
        <v>1</v>
      </c>
    </row>
    <row r="337" spans="2:10" x14ac:dyDescent="0.25">
      <c r="B337" s="48">
        <f>+'Metrics - Articles'!C336</f>
        <v>42335</v>
      </c>
      <c r="C337">
        <f>COUNTIF('Metrics - Articles'!H336,"*Global*")</f>
        <v>0</v>
      </c>
      <c r="D337">
        <f>COUNTIF('Metrics - Articles'!H336,"*EMEA*")</f>
        <v>1</v>
      </c>
      <c r="E337">
        <f>COUNTIF('Metrics - Articles'!H336,"*NA*")</f>
        <v>0</v>
      </c>
      <c r="F337">
        <f>COUNTIF('Metrics - Articles'!H336,"*APJ")</f>
        <v>0</v>
      </c>
      <c r="G337">
        <f>COUNTIF('Metrics - Articles'!H336,"*LATAM*")</f>
        <v>0</v>
      </c>
      <c r="H337">
        <f>COUNTIF('Metrics - Articles'!H336,"*China*")</f>
        <v>0</v>
      </c>
      <c r="J337" s="53">
        <f t="shared" si="6"/>
        <v>1</v>
      </c>
    </row>
    <row r="338" spans="2:10" x14ac:dyDescent="0.25">
      <c r="B338" s="48">
        <f>+'Metrics - Articles'!C337</f>
        <v>42335</v>
      </c>
      <c r="C338">
        <f>COUNTIF('Metrics - Articles'!H337,"*Global*")</f>
        <v>1</v>
      </c>
      <c r="D338">
        <f>COUNTIF('Metrics - Articles'!H337,"*EMEA*")</f>
        <v>0</v>
      </c>
      <c r="E338">
        <f>COUNTIF('Metrics - Articles'!H337,"*NA*")</f>
        <v>0</v>
      </c>
      <c r="F338">
        <f>COUNTIF('Metrics - Articles'!H337,"*APJ")</f>
        <v>0</v>
      </c>
      <c r="G338">
        <f>COUNTIF('Metrics - Articles'!H337,"*LATAM*")</f>
        <v>0</v>
      </c>
      <c r="H338">
        <f>COUNTIF('Metrics - Articles'!H337,"*China*")</f>
        <v>0</v>
      </c>
      <c r="J338" s="53">
        <f t="shared" si="6"/>
        <v>1</v>
      </c>
    </row>
    <row r="339" spans="2:10" x14ac:dyDescent="0.25">
      <c r="B339" s="48">
        <f>+'Metrics - Articles'!C338</f>
        <v>42338</v>
      </c>
      <c r="C339">
        <f>COUNTIF('Metrics - Articles'!H338,"*Global*")</f>
        <v>1</v>
      </c>
      <c r="D339">
        <f>COUNTIF('Metrics - Articles'!H338,"*EMEA*")</f>
        <v>0</v>
      </c>
      <c r="E339">
        <f>COUNTIF('Metrics - Articles'!H338,"*NA*")</f>
        <v>0</v>
      </c>
      <c r="F339">
        <f>COUNTIF('Metrics - Articles'!H338,"*APJ")</f>
        <v>0</v>
      </c>
      <c r="G339">
        <f>COUNTIF('Metrics - Articles'!H338,"*LATAM*")</f>
        <v>0</v>
      </c>
      <c r="H339">
        <f>COUNTIF('Metrics - Articles'!H338,"*China*")</f>
        <v>0</v>
      </c>
      <c r="J339" s="53">
        <f t="shared" si="6"/>
        <v>1</v>
      </c>
    </row>
    <row r="340" spans="2:10" x14ac:dyDescent="0.25">
      <c r="B340" s="48">
        <f>+'Metrics - Articles'!C339</f>
        <v>42340</v>
      </c>
      <c r="C340">
        <f>COUNTIF('Metrics - Articles'!H339,"*Global*")</f>
        <v>0</v>
      </c>
      <c r="D340">
        <f>COUNTIF('Metrics - Articles'!H339,"*EMEA*")</f>
        <v>1</v>
      </c>
      <c r="E340">
        <f>COUNTIF('Metrics - Articles'!H339,"*NA*")</f>
        <v>0</v>
      </c>
      <c r="F340">
        <f>COUNTIF('Metrics - Articles'!H339,"*APJ")</f>
        <v>0</v>
      </c>
      <c r="G340">
        <f>COUNTIF('Metrics - Articles'!H339,"*LATAM*")</f>
        <v>0</v>
      </c>
      <c r="H340">
        <f>COUNTIF('Metrics - Articles'!H339,"*China*")</f>
        <v>0</v>
      </c>
      <c r="J340" s="53">
        <f t="shared" si="6"/>
        <v>1</v>
      </c>
    </row>
    <row r="341" spans="2:10" x14ac:dyDescent="0.25">
      <c r="B341" s="48">
        <f>+'Metrics - Articles'!C340</f>
        <v>42341</v>
      </c>
      <c r="C341">
        <f>COUNTIF('Metrics - Articles'!H340,"*Global*")</f>
        <v>0</v>
      </c>
      <c r="D341">
        <f>COUNTIF('Metrics - Articles'!H340,"*EMEA*")</f>
        <v>0</v>
      </c>
      <c r="E341">
        <f>COUNTIF('Metrics - Articles'!H340,"*NA*")</f>
        <v>1</v>
      </c>
      <c r="F341">
        <f>COUNTIF('Metrics - Articles'!H340,"*APJ")</f>
        <v>0</v>
      </c>
      <c r="G341">
        <f>COUNTIF('Metrics - Articles'!H340,"*LATAM*")</f>
        <v>0</v>
      </c>
      <c r="H341">
        <f>COUNTIF('Metrics - Articles'!H340,"*China*")</f>
        <v>0</v>
      </c>
      <c r="J341" s="53">
        <f t="shared" si="6"/>
        <v>1</v>
      </c>
    </row>
    <row r="342" spans="2:10" x14ac:dyDescent="0.25">
      <c r="B342" s="48">
        <f>+'Metrics - Articles'!C341</f>
        <v>42341</v>
      </c>
      <c r="C342">
        <f>COUNTIF('Metrics - Articles'!H341,"*Global*")</f>
        <v>0</v>
      </c>
      <c r="D342">
        <f>COUNTIF('Metrics - Articles'!H341,"*EMEA*")</f>
        <v>1</v>
      </c>
      <c r="E342">
        <f>COUNTIF('Metrics - Articles'!H341,"*NA*")</f>
        <v>1</v>
      </c>
      <c r="F342">
        <f>COUNTIF('Metrics - Articles'!H341,"*APJ")</f>
        <v>0</v>
      </c>
      <c r="G342">
        <f>COUNTIF('Metrics - Articles'!H341,"*LATAM*")</f>
        <v>0</v>
      </c>
      <c r="H342">
        <f>COUNTIF('Metrics - Articles'!H341,"*China*")</f>
        <v>0</v>
      </c>
      <c r="J342" s="53">
        <f t="shared" si="6"/>
        <v>2</v>
      </c>
    </row>
    <row r="343" spans="2:10" x14ac:dyDescent="0.25">
      <c r="B343" s="48">
        <f>+'Metrics - Articles'!C342</f>
        <v>42342</v>
      </c>
      <c r="C343">
        <f>COUNTIF('Metrics - Articles'!H342,"*Global*")</f>
        <v>1</v>
      </c>
      <c r="D343">
        <f>COUNTIF('Metrics - Articles'!H342,"*EMEA*")</f>
        <v>0</v>
      </c>
      <c r="E343">
        <f>COUNTIF('Metrics - Articles'!H342,"*NA*")</f>
        <v>0</v>
      </c>
      <c r="F343">
        <f>COUNTIF('Metrics - Articles'!H342,"*APJ")</f>
        <v>0</v>
      </c>
      <c r="G343">
        <f>COUNTIF('Metrics - Articles'!H342,"*LATAM*")</f>
        <v>0</v>
      </c>
      <c r="H343">
        <f>COUNTIF('Metrics - Articles'!H342,"*China*")</f>
        <v>0</v>
      </c>
      <c r="J343" s="53">
        <f t="shared" si="6"/>
        <v>1</v>
      </c>
    </row>
    <row r="344" spans="2:10" x14ac:dyDescent="0.25">
      <c r="B344" s="48">
        <f>+'Metrics - Articles'!C343</f>
        <v>42342</v>
      </c>
      <c r="C344">
        <f>COUNTIF('Metrics - Articles'!H343,"*Global*")</f>
        <v>1</v>
      </c>
      <c r="D344">
        <f>COUNTIF('Metrics - Articles'!H343,"*EMEA*")</f>
        <v>0</v>
      </c>
      <c r="E344">
        <f>COUNTIF('Metrics - Articles'!H343,"*NA*")</f>
        <v>0</v>
      </c>
      <c r="F344">
        <f>COUNTIF('Metrics - Articles'!H343,"*APJ")</f>
        <v>0</v>
      </c>
      <c r="G344">
        <f>COUNTIF('Metrics - Articles'!H343,"*LATAM*")</f>
        <v>0</v>
      </c>
      <c r="H344">
        <f>COUNTIF('Metrics - Articles'!H343,"*China*")</f>
        <v>0</v>
      </c>
      <c r="J344" s="53">
        <f t="shared" si="6"/>
        <v>1</v>
      </c>
    </row>
    <row r="345" spans="2:10" x14ac:dyDescent="0.25">
      <c r="B345" s="48">
        <f>+'Metrics - Articles'!C344</f>
        <v>42343</v>
      </c>
      <c r="C345">
        <f>COUNTIF('Metrics - Articles'!H344,"*Global*")</f>
        <v>1</v>
      </c>
      <c r="D345">
        <f>COUNTIF('Metrics - Articles'!H344,"*EMEA*")</f>
        <v>0</v>
      </c>
      <c r="E345">
        <f>COUNTIF('Metrics - Articles'!H344,"*NA*")</f>
        <v>0</v>
      </c>
      <c r="F345">
        <f>COUNTIF('Metrics - Articles'!H344,"*APJ")</f>
        <v>0</v>
      </c>
      <c r="G345">
        <f>COUNTIF('Metrics - Articles'!H344,"*LATAM*")</f>
        <v>0</v>
      </c>
      <c r="H345">
        <f>COUNTIF('Metrics - Articles'!H344,"*China*")</f>
        <v>0</v>
      </c>
      <c r="J345" s="53">
        <f t="shared" si="6"/>
        <v>1</v>
      </c>
    </row>
    <row r="346" spans="2:10" x14ac:dyDescent="0.25">
      <c r="B346" s="48">
        <f>+'Metrics - Articles'!C345</f>
        <v>42345</v>
      </c>
      <c r="C346">
        <f>COUNTIF('Metrics - Articles'!H345,"*Global*")</f>
        <v>1</v>
      </c>
      <c r="D346">
        <f>COUNTIF('Metrics - Articles'!H345,"*EMEA*")</f>
        <v>0</v>
      </c>
      <c r="E346">
        <f>COUNTIF('Metrics - Articles'!H345,"*NA*")</f>
        <v>0</v>
      </c>
      <c r="F346">
        <f>COUNTIF('Metrics - Articles'!H345,"*APJ")</f>
        <v>0</v>
      </c>
      <c r="G346">
        <f>COUNTIF('Metrics - Articles'!H345,"*LATAM*")</f>
        <v>0</v>
      </c>
      <c r="H346">
        <f>COUNTIF('Metrics - Articles'!H345,"*China*")</f>
        <v>0</v>
      </c>
      <c r="J346" s="53">
        <f t="shared" si="6"/>
        <v>1</v>
      </c>
    </row>
    <row r="347" spans="2:10" x14ac:dyDescent="0.25">
      <c r="B347" s="48">
        <f>+'Metrics - Articles'!C346</f>
        <v>42345</v>
      </c>
      <c r="C347">
        <f>COUNTIF('Metrics - Articles'!H346,"*Global*")</f>
        <v>1</v>
      </c>
      <c r="D347">
        <f>COUNTIF('Metrics - Articles'!H346,"*EMEA*")</f>
        <v>0</v>
      </c>
      <c r="E347">
        <f>COUNTIF('Metrics - Articles'!H346,"*NA*")</f>
        <v>0</v>
      </c>
      <c r="F347">
        <f>COUNTIF('Metrics - Articles'!H346,"*APJ")</f>
        <v>0</v>
      </c>
      <c r="G347">
        <f>COUNTIF('Metrics - Articles'!H346,"*LATAM*")</f>
        <v>0</v>
      </c>
      <c r="H347">
        <f>COUNTIF('Metrics - Articles'!H346,"*China*")</f>
        <v>0</v>
      </c>
      <c r="J347" s="53">
        <f t="shared" si="6"/>
        <v>1</v>
      </c>
    </row>
    <row r="348" spans="2:10" x14ac:dyDescent="0.25">
      <c r="B348" s="48">
        <f>+'Metrics - Articles'!C347</f>
        <v>42346</v>
      </c>
      <c r="C348">
        <f>COUNTIF('Metrics - Articles'!H347,"*Global*")</f>
        <v>1</v>
      </c>
      <c r="D348">
        <f>COUNTIF('Metrics - Articles'!H347,"*EMEA*")</f>
        <v>0</v>
      </c>
      <c r="E348">
        <f>COUNTIF('Metrics - Articles'!H347,"*NA*")</f>
        <v>0</v>
      </c>
      <c r="F348">
        <f>COUNTIF('Metrics - Articles'!H347,"*APJ")</f>
        <v>0</v>
      </c>
      <c r="G348">
        <f>COUNTIF('Metrics - Articles'!H347,"*LATAM*")</f>
        <v>0</v>
      </c>
      <c r="H348">
        <f>COUNTIF('Metrics - Articles'!H347,"*China*")</f>
        <v>0</v>
      </c>
      <c r="J348" s="53">
        <f t="shared" si="6"/>
        <v>1</v>
      </c>
    </row>
    <row r="349" spans="2:10" x14ac:dyDescent="0.25">
      <c r="B349" s="48">
        <f>+'Metrics - Articles'!C348</f>
        <v>42346</v>
      </c>
      <c r="C349">
        <f>COUNTIF('Metrics - Articles'!H348,"*Global*")</f>
        <v>1</v>
      </c>
      <c r="D349">
        <f>COUNTIF('Metrics - Articles'!H348,"*EMEA*")</f>
        <v>0</v>
      </c>
      <c r="E349">
        <f>COUNTIF('Metrics - Articles'!H348,"*NA*")</f>
        <v>0</v>
      </c>
      <c r="F349">
        <f>COUNTIF('Metrics - Articles'!H348,"*APJ")</f>
        <v>0</v>
      </c>
      <c r="G349">
        <f>COUNTIF('Metrics - Articles'!H348,"*LATAM*")</f>
        <v>0</v>
      </c>
      <c r="H349">
        <f>COUNTIF('Metrics - Articles'!H348,"*China*")</f>
        <v>0</v>
      </c>
      <c r="J349" s="53">
        <f t="shared" si="6"/>
        <v>1</v>
      </c>
    </row>
    <row r="350" spans="2:10" x14ac:dyDescent="0.25">
      <c r="B350" s="48">
        <f>+'Metrics - Articles'!C349</f>
        <v>42347</v>
      </c>
      <c r="C350">
        <f>COUNTIF('Metrics - Articles'!H349,"*Global*")</f>
        <v>0</v>
      </c>
      <c r="D350">
        <f>COUNTIF('Metrics - Articles'!H349,"*EMEA*")</f>
        <v>0</v>
      </c>
      <c r="E350">
        <f>COUNTIF('Metrics - Articles'!H349,"*NA*")</f>
        <v>1</v>
      </c>
      <c r="F350">
        <f>COUNTIF('Metrics - Articles'!H349,"*APJ")</f>
        <v>0</v>
      </c>
      <c r="G350">
        <f>COUNTIF('Metrics - Articles'!H349,"*LATAM*")</f>
        <v>0</v>
      </c>
      <c r="H350">
        <f>COUNTIF('Metrics - Articles'!H349,"*China*")</f>
        <v>0</v>
      </c>
      <c r="J350" s="53">
        <f t="shared" si="6"/>
        <v>1</v>
      </c>
    </row>
    <row r="351" spans="2:10" x14ac:dyDescent="0.25">
      <c r="B351" s="48">
        <f>+'Metrics - Articles'!C350</f>
        <v>42348</v>
      </c>
      <c r="C351">
        <f>COUNTIF('Metrics - Articles'!H350,"*Global*")</f>
        <v>1</v>
      </c>
      <c r="D351">
        <f>COUNTIF('Metrics - Articles'!H350,"*EMEA*")</f>
        <v>0</v>
      </c>
      <c r="E351">
        <f>COUNTIF('Metrics - Articles'!H350,"*NA*")</f>
        <v>0</v>
      </c>
      <c r="F351">
        <f>COUNTIF('Metrics - Articles'!H350,"*APJ")</f>
        <v>0</v>
      </c>
      <c r="G351">
        <f>COUNTIF('Metrics - Articles'!H350,"*LATAM*")</f>
        <v>0</v>
      </c>
      <c r="H351">
        <f>COUNTIF('Metrics - Articles'!H350,"*China*")</f>
        <v>0</v>
      </c>
      <c r="J351" s="53">
        <f t="shared" si="6"/>
        <v>1</v>
      </c>
    </row>
    <row r="352" spans="2:10" x14ac:dyDescent="0.25">
      <c r="B352" s="48">
        <f>+'Metrics - Articles'!C351</f>
        <v>42349</v>
      </c>
      <c r="C352">
        <f>COUNTIF('Metrics - Articles'!H351,"*Global*")</f>
        <v>0</v>
      </c>
      <c r="D352">
        <f>COUNTIF('Metrics - Articles'!H351,"*EMEA*")</f>
        <v>1</v>
      </c>
      <c r="E352">
        <f>COUNTIF('Metrics - Articles'!H351,"*NA*")</f>
        <v>0</v>
      </c>
      <c r="F352">
        <f>COUNTIF('Metrics - Articles'!H351,"*APJ")</f>
        <v>0</v>
      </c>
      <c r="G352">
        <f>COUNTIF('Metrics - Articles'!H351,"*LATAM*")</f>
        <v>0</v>
      </c>
      <c r="H352">
        <f>COUNTIF('Metrics - Articles'!H351,"*China*")</f>
        <v>0</v>
      </c>
      <c r="J352" s="53">
        <f t="shared" si="6"/>
        <v>1</v>
      </c>
    </row>
    <row r="353" spans="2:10" x14ac:dyDescent="0.25">
      <c r="B353" s="48">
        <f>+'Metrics - Articles'!C352</f>
        <v>42351</v>
      </c>
      <c r="C353">
        <f>COUNTIF('Metrics - Articles'!H352,"*Global*")</f>
        <v>0</v>
      </c>
      <c r="D353">
        <f>COUNTIF('Metrics - Articles'!H352,"*EMEA*")</f>
        <v>0</v>
      </c>
      <c r="E353">
        <f>COUNTIF('Metrics - Articles'!H352,"*NA*")</f>
        <v>1</v>
      </c>
      <c r="F353">
        <f>COUNTIF('Metrics - Articles'!H352,"*APJ")</f>
        <v>0</v>
      </c>
      <c r="G353">
        <f>COUNTIF('Metrics - Articles'!H352,"*LATAM*")</f>
        <v>0</v>
      </c>
      <c r="H353">
        <f>COUNTIF('Metrics - Articles'!H352,"*China*")</f>
        <v>0</v>
      </c>
      <c r="J353" s="53">
        <f t="shared" si="6"/>
        <v>1</v>
      </c>
    </row>
    <row r="354" spans="2:10" x14ac:dyDescent="0.25">
      <c r="B354" s="48">
        <f>+'Metrics - Articles'!C353</f>
        <v>42352</v>
      </c>
      <c r="C354">
        <f>COUNTIF('Metrics - Articles'!H353,"*Global*")</f>
        <v>0</v>
      </c>
      <c r="D354">
        <f>COUNTIF('Metrics - Articles'!H353,"*EMEA*")</f>
        <v>0</v>
      </c>
      <c r="E354">
        <f>COUNTIF('Metrics - Articles'!H353,"*NA*")</f>
        <v>1</v>
      </c>
      <c r="F354">
        <f>COUNTIF('Metrics - Articles'!H353,"*APJ")</f>
        <v>0</v>
      </c>
      <c r="G354">
        <f>COUNTIF('Metrics - Articles'!H353,"*LATAM*")</f>
        <v>0</v>
      </c>
      <c r="H354">
        <f>COUNTIF('Metrics - Articles'!H353,"*China*")</f>
        <v>0</v>
      </c>
      <c r="J354" s="53">
        <f t="shared" si="6"/>
        <v>1</v>
      </c>
    </row>
    <row r="355" spans="2:10" x14ac:dyDescent="0.25">
      <c r="B355" s="48">
        <f>+'Metrics - Articles'!C354</f>
        <v>42353</v>
      </c>
      <c r="C355">
        <f>COUNTIF('Metrics - Articles'!H354,"*Global*")</f>
        <v>0</v>
      </c>
      <c r="D355">
        <f>COUNTIF('Metrics - Articles'!H354,"*EMEA*")</f>
        <v>0</v>
      </c>
      <c r="E355">
        <f>COUNTIF('Metrics - Articles'!H354,"*NA*")</f>
        <v>0</v>
      </c>
      <c r="F355">
        <f>COUNTIF('Metrics - Articles'!H354,"*APJ")</f>
        <v>1</v>
      </c>
      <c r="G355">
        <f>COUNTIF('Metrics - Articles'!H354,"*LATAM*")</f>
        <v>0</v>
      </c>
      <c r="H355">
        <f>COUNTIF('Metrics - Articles'!H354,"*China*")</f>
        <v>0</v>
      </c>
      <c r="J355" s="53">
        <f t="shared" si="6"/>
        <v>1</v>
      </c>
    </row>
    <row r="356" spans="2:10" x14ac:dyDescent="0.25">
      <c r="B356" s="48">
        <f>+'Metrics - Articles'!C355</f>
        <v>42353</v>
      </c>
      <c r="C356">
        <f>COUNTIF('Metrics - Articles'!H355,"*Global*")</f>
        <v>0</v>
      </c>
      <c r="D356">
        <f>COUNTIF('Metrics - Articles'!H355,"*EMEA*")</f>
        <v>0</v>
      </c>
      <c r="E356">
        <f>COUNTIF('Metrics - Articles'!H355,"*NA*")</f>
        <v>0</v>
      </c>
      <c r="F356">
        <f>COUNTIF('Metrics - Articles'!H355,"*APJ")</f>
        <v>0</v>
      </c>
      <c r="G356">
        <f>COUNTIF('Metrics - Articles'!H355,"*LATAM*")</f>
        <v>1</v>
      </c>
      <c r="H356">
        <f>COUNTIF('Metrics - Articles'!H355,"*China*")</f>
        <v>0</v>
      </c>
      <c r="J356" s="53">
        <f t="shared" si="6"/>
        <v>1</v>
      </c>
    </row>
    <row r="357" spans="2:10" x14ac:dyDescent="0.25">
      <c r="B357" s="48">
        <f>+'Metrics - Articles'!C356</f>
        <v>42354</v>
      </c>
      <c r="C357">
        <f>COUNTIF('Metrics - Articles'!H356,"*Global*")</f>
        <v>1</v>
      </c>
      <c r="D357">
        <f>COUNTIF('Metrics - Articles'!H356,"*EMEA*")</f>
        <v>0</v>
      </c>
      <c r="E357">
        <f>COUNTIF('Metrics - Articles'!H356,"*NA*")</f>
        <v>0</v>
      </c>
      <c r="F357">
        <f>COUNTIF('Metrics - Articles'!H356,"*APJ")</f>
        <v>0</v>
      </c>
      <c r="G357">
        <f>COUNTIF('Metrics - Articles'!H356,"*LATAM*")</f>
        <v>0</v>
      </c>
      <c r="H357">
        <f>COUNTIF('Metrics - Articles'!H356,"*China*")</f>
        <v>0</v>
      </c>
      <c r="J357" s="53">
        <f t="shared" si="6"/>
        <v>1</v>
      </c>
    </row>
    <row r="358" spans="2:10" x14ac:dyDescent="0.25">
      <c r="B358" s="48">
        <f>+'Metrics - Articles'!C357</f>
        <v>42355</v>
      </c>
      <c r="C358">
        <f>COUNTIF('Metrics - Articles'!H357,"*Global*")</f>
        <v>0</v>
      </c>
      <c r="D358">
        <f>COUNTIF('Metrics - Articles'!H357,"*EMEA*")</f>
        <v>1</v>
      </c>
      <c r="E358">
        <f>COUNTIF('Metrics - Articles'!H357,"*NA*")</f>
        <v>0</v>
      </c>
      <c r="F358">
        <f>COUNTIF('Metrics - Articles'!H357,"*APJ")</f>
        <v>0</v>
      </c>
      <c r="G358">
        <f>COUNTIF('Metrics - Articles'!H357,"*LATAM*")</f>
        <v>0</v>
      </c>
      <c r="H358">
        <f>COUNTIF('Metrics - Articles'!H357,"*China*")</f>
        <v>0</v>
      </c>
      <c r="J358" s="53">
        <f t="shared" si="6"/>
        <v>1</v>
      </c>
    </row>
    <row r="359" spans="2:10" x14ac:dyDescent="0.25">
      <c r="B359" s="48">
        <f>+'Metrics - Articles'!C358</f>
        <v>42361</v>
      </c>
      <c r="C359">
        <f>COUNTIF('Metrics - Articles'!H358,"*Global*")</f>
        <v>0</v>
      </c>
      <c r="D359">
        <f>COUNTIF('Metrics - Articles'!H358,"*EMEA*")</f>
        <v>0</v>
      </c>
      <c r="E359">
        <f>COUNTIF('Metrics - Articles'!H358,"*NA*")</f>
        <v>0</v>
      </c>
      <c r="F359">
        <f>COUNTIF('Metrics - Articles'!H358,"*APJ")</f>
        <v>1</v>
      </c>
      <c r="G359">
        <f>COUNTIF('Metrics - Articles'!H358,"*LATAM*")</f>
        <v>0</v>
      </c>
      <c r="H359">
        <f>COUNTIF('Metrics - Articles'!H358,"*China*")</f>
        <v>0</v>
      </c>
      <c r="J359" s="53">
        <f t="shared" si="6"/>
        <v>1</v>
      </c>
    </row>
    <row r="360" spans="2:10" x14ac:dyDescent="0.25">
      <c r="B360" s="48">
        <f>+'Metrics - Articles'!C359</f>
        <v>42361</v>
      </c>
      <c r="C360">
        <f>COUNTIF('Metrics - Articles'!H359,"*Global*")</f>
        <v>0</v>
      </c>
      <c r="D360">
        <f>COUNTIF('Metrics - Articles'!H359,"*EMEA*")</f>
        <v>0</v>
      </c>
      <c r="E360">
        <f>COUNTIF('Metrics - Articles'!H359,"*NA*")</f>
        <v>0</v>
      </c>
      <c r="F360">
        <f>COUNTIF('Metrics - Articles'!H359,"*APJ")</f>
        <v>0</v>
      </c>
      <c r="G360">
        <f>COUNTIF('Metrics - Articles'!H359,"*LATAM*")</f>
        <v>1</v>
      </c>
      <c r="H360">
        <f>COUNTIF('Metrics - Articles'!H359,"*China*")</f>
        <v>0</v>
      </c>
      <c r="J360" s="53">
        <f t="shared" si="6"/>
        <v>1</v>
      </c>
    </row>
    <row r="361" spans="2:10" x14ac:dyDescent="0.25">
      <c r="B361" s="48">
        <f>+'Metrics - Articles'!C360</f>
        <v>0</v>
      </c>
      <c r="C361">
        <f>COUNTIF('Metrics - Articles'!H360,"*Global*")</f>
        <v>0</v>
      </c>
      <c r="D361">
        <f>COUNTIF('Metrics - Articles'!H360,"*EMEA*")</f>
        <v>0</v>
      </c>
      <c r="E361">
        <f>COUNTIF('Metrics - Articles'!H360,"*NA*")</f>
        <v>0</v>
      </c>
      <c r="F361">
        <f>COUNTIF('Metrics - Articles'!H360,"*APJ")</f>
        <v>0</v>
      </c>
      <c r="G361">
        <f>COUNTIF('Metrics - Articles'!H360,"*LATAM*")</f>
        <v>0</v>
      </c>
      <c r="H361">
        <f>COUNTIF('Metrics - Articles'!H360,"*China*")</f>
        <v>0</v>
      </c>
      <c r="J361" s="53">
        <f t="shared" si="6"/>
        <v>0</v>
      </c>
    </row>
    <row r="362" spans="2:10" x14ac:dyDescent="0.25">
      <c r="B362" s="48">
        <f>+'Metrics - Articles'!C361</f>
        <v>0</v>
      </c>
      <c r="C362">
        <f>COUNTIF('Metrics - Articles'!H361,"*Global*")</f>
        <v>0</v>
      </c>
      <c r="D362">
        <f>COUNTIF('Metrics - Articles'!H361,"*EMEA*")</f>
        <v>0</v>
      </c>
      <c r="E362">
        <f>COUNTIF('Metrics - Articles'!H361,"*NA*")</f>
        <v>0</v>
      </c>
      <c r="F362">
        <f>COUNTIF('Metrics - Articles'!H361,"*APJ")</f>
        <v>0</v>
      </c>
      <c r="G362">
        <f>COUNTIF('Metrics - Articles'!H361,"*LATAM*")</f>
        <v>0</v>
      </c>
      <c r="H362">
        <f>COUNTIF('Metrics - Articles'!H361,"*China*")</f>
        <v>0</v>
      </c>
      <c r="J362" s="53">
        <f t="shared" si="6"/>
        <v>0</v>
      </c>
    </row>
    <row r="363" spans="2:10" x14ac:dyDescent="0.25">
      <c r="B363" s="48">
        <f>+'Metrics - Articles'!C362</f>
        <v>0</v>
      </c>
      <c r="C363">
        <f>COUNTIF('Metrics - Articles'!H362,"*Global*")</f>
        <v>0</v>
      </c>
      <c r="D363">
        <f>COUNTIF('Metrics - Articles'!H362,"*EMEA*")</f>
        <v>0</v>
      </c>
      <c r="E363">
        <f>COUNTIF('Metrics - Articles'!H362,"*NA*")</f>
        <v>0</v>
      </c>
      <c r="F363">
        <f>COUNTIF('Metrics - Articles'!H362,"*APJ")</f>
        <v>0</v>
      </c>
      <c r="G363">
        <f>COUNTIF('Metrics - Articles'!H362,"*LATAM*")</f>
        <v>0</v>
      </c>
      <c r="H363">
        <f>COUNTIF('Metrics - Articles'!H362,"*China*")</f>
        <v>0</v>
      </c>
      <c r="J363" s="53">
        <f t="shared" si="6"/>
        <v>0</v>
      </c>
    </row>
    <row r="364" spans="2:10" x14ac:dyDescent="0.25">
      <c r="B364" s="48">
        <f>+'Metrics - Articles'!C363</f>
        <v>0</v>
      </c>
      <c r="C364">
        <f>COUNTIF('Metrics - Articles'!H363,"*Global*")</f>
        <v>0</v>
      </c>
      <c r="D364">
        <f>COUNTIF('Metrics - Articles'!H363,"*EMEA*")</f>
        <v>0</v>
      </c>
      <c r="E364">
        <f>COUNTIF('Metrics - Articles'!H363,"*NA*")</f>
        <v>0</v>
      </c>
      <c r="F364">
        <f>COUNTIF('Metrics - Articles'!H363,"*APJ")</f>
        <v>0</v>
      </c>
      <c r="G364">
        <f>COUNTIF('Metrics - Articles'!H363,"*LATAM*")</f>
        <v>0</v>
      </c>
      <c r="H364">
        <f>COUNTIF('Metrics - Articles'!H363,"*China*")</f>
        <v>0</v>
      </c>
      <c r="J364" s="53">
        <f t="shared" si="6"/>
        <v>0</v>
      </c>
    </row>
    <row r="365" spans="2:10" x14ac:dyDescent="0.25">
      <c r="B365" s="48">
        <f>+'Metrics - Articles'!C364</f>
        <v>0</v>
      </c>
      <c r="C365">
        <f>COUNTIF('Metrics - Articles'!H364,"*Global*")</f>
        <v>0</v>
      </c>
      <c r="D365">
        <f>COUNTIF('Metrics - Articles'!H364,"*EMEA*")</f>
        <v>0</v>
      </c>
      <c r="E365">
        <f>COUNTIF('Metrics - Articles'!H364,"*NA*")</f>
        <v>0</v>
      </c>
      <c r="F365">
        <f>COUNTIF('Metrics - Articles'!H364,"*APJ")</f>
        <v>0</v>
      </c>
      <c r="G365">
        <f>COUNTIF('Metrics - Articles'!H364,"*LATAM*")</f>
        <v>0</v>
      </c>
      <c r="H365">
        <f>COUNTIF('Metrics - Articles'!H364,"*China*")</f>
        <v>0</v>
      </c>
      <c r="J365" s="53">
        <f t="shared" si="6"/>
        <v>0</v>
      </c>
    </row>
    <row r="366" spans="2:10" x14ac:dyDescent="0.25">
      <c r="B366" s="48">
        <f>+'Metrics - Articles'!C365</f>
        <v>0</v>
      </c>
      <c r="C366">
        <f>COUNTIF('Metrics - Articles'!H365,"*Global*")</f>
        <v>0</v>
      </c>
      <c r="D366">
        <f>COUNTIF('Metrics - Articles'!H365,"*EMEA*")</f>
        <v>0</v>
      </c>
      <c r="E366">
        <f>COUNTIF('Metrics - Articles'!H365,"*NA*")</f>
        <v>0</v>
      </c>
      <c r="F366">
        <f>COUNTIF('Metrics - Articles'!H365,"*APJ")</f>
        <v>0</v>
      </c>
      <c r="G366">
        <f>COUNTIF('Metrics - Articles'!H365,"*LATAM*")</f>
        <v>0</v>
      </c>
      <c r="H366">
        <f>COUNTIF('Metrics - Articles'!H365,"*China*")</f>
        <v>0</v>
      </c>
      <c r="J366" s="53">
        <f t="shared" si="6"/>
        <v>0</v>
      </c>
    </row>
    <row r="367" spans="2:10" x14ac:dyDescent="0.25">
      <c r="B367" s="48">
        <f>+'Metrics - Articles'!C366</f>
        <v>0</v>
      </c>
      <c r="C367">
        <f>COUNTIF('Metrics - Articles'!H366,"*Global*")</f>
        <v>0</v>
      </c>
      <c r="D367">
        <f>COUNTIF('Metrics - Articles'!H366,"*EMEA*")</f>
        <v>0</v>
      </c>
      <c r="E367">
        <f>COUNTIF('Metrics - Articles'!H366,"*NA*")</f>
        <v>0</v>
      </c>
      <c r="F367">
        <f>COUNTIF('Metrics - Articles'!H366,"*APJ")</f>
        <v>0</v>
      </c>
      <c r="G367">
        <f>COUNTIF('Metrics - Articles'!H366,"*LATAM*")</f>
        <v>0</v>
      </c>
      <c r="H367">
        <f>COUNTIF('Metrics - Articles'!H366,"*China*")</f>
        <v>0</v>
      </c>
      <c r="J367" s="53">
        <f t="shared" si="6"/>
        <v>0</v>
      </c>
    </row>
    <row r="368" spans="2:10" x14ac:dyDescent="0.25">
      <c r="B368" s="48">
        <f>+'Metrics - Articles'!C367</f>
        <v>0</v>
      </c>
      <c r="C368">
        <f>COUNTIF('Metrics - Articles'!H367,"*Global*")</f>
        <v>0</v>
      </c>
      <c r="D368">
        <f>COUNTIF('Metrics - Articles'!H367,"*EMEA*")</f>
        <v>0</v>
      </c>
      <c r="E368">
        <f>COUNTIF('Metrics - Articles'!H367,"*NA*")</f>
        <v>0</v>
      </c>
      <c r="F368">
        <f>COUNTIF('Metrics - Articles'!H367,"*APJ")</f>
        <v>0</v>
      </c>
      <c r="G368">
        <f>COUNTIF('Metrics - Articles'!H367,"*LATAM*")</f>
        <v>0</v>
      </c>
      <c r="H368">
        <f>COUNTIF('Metrics - Articles'!H367,"*China*")</f>
        <v>0</v>
      </c>
      <c r="J368" s="53">
        <f t="shared" si="6"/>
        <v>0</v>
      </c>
    </row>
    <row r="369" spans="2:10" x14ac:dyDescent="0.25">
      <c r="B369" s="48">
        <f>+'Metrics - Articles'!C368</f>
        <v>0</v>
      </c>
      <c r="C369">
        <f>COUNTIF('Metrics - Articles'!H368,"*Global*")</f>
        <v>0</v>
      </c>
      <c r="D369">
        <f>COUNTIF('Metrics - Articles'!H368,"*EMEA*")</f>
        <v>0</v>
      </c>
      <c r="E369">
        <f>COUNTIF('Metrics - Articles'!H368,"*NA*")</f>
        <v>0</v>
      </c>
      <c r="F369">
        <f>COUNTIF('Metrics - Articles'!H368,"*APJ")</f>
        <v>0</v>
      </c>
      <c r="G369">
        <f>COUNTIF('Metrics - Articles'!H368,"*LATAM*")</f>
        <v>0</v>
      </c>
      <c r="H369">
        <f>COUNTIF('Metrics - Articles'!H368,"*China*")</f>
        <v>0</v>
      </c>
      <c r="J369" s="53">
        <f t="shared" si="6"/>
        <v>0</v>
      </c>
    </row>
    <row r="370" spans="2:10" x14ac:dyDescent="0.25">
      <c r="B370" s="48">
        <f>+'Metrics - Articles'!C369</f>
        <v>0</v>
      </c>
      <c r="C370">
        <f>COUNTIF('Metrics - Articles'!H369,"*Global*")</f>
        <v>0</v>
      </c>
      <c r="D370">
        <f>COUNTIF('Metrics - Articles'!H369,"*EMEA*")</f>
        <v>0</v>
      </c>
      <c r="E370">
        <f>COUNTIF('Metrics - Articles'!H369,"*NA*")</f>
        <v>0</v>
      </c>
      <c r="F370">
        <f>COUNTIF('Metrics - Articles'!H369,"*APJ")</f>
        <v>0</v>
      </c>
      <c r="G370">
        <f>COUNTIF('Metrics - Articles'!H369,"*LATAM*")</f>
        <v>0</v>
      </c>
      <c r="H370">
        <f>COUNTIF('Metrics - Articles'!H369,"*China*")</f>
        <v>0</v>
      </c>
      <c r="J370" s="53">
        <f t="shared" si="6"/>
        <v>0</v>
      </c>
    </row>
    <row r="371" spans="2:10" x14ac:dyDescent="0.25">
      <c r="B371" s="48">
        <f>+'Metrics - Articles'!C370</f>
        <v>0</v>
      </c>
      <c r="C371">
        <f>COUNTIF('Metrics - Articles'!H370,"*Global*")</f>
        <v>0</v>
      </c>
      <c r="D371">
        <f>COUNTIF('Metrics - Articles'!H370,"*EMEA*")</f>
        <v>0</v>
      </c>
      <c r="E371">
        <f>COUNTIF('Metrics - Articles'!H370,"*NA*")</f>
        <v>0</v>
      </c>
      <c r="F371">
        <f>COUNTIF('Metrics - Articles'!H370,"*APJ")</f>
        <v>0</v>
      </c>
      <c r="G371">
        <f>COUNTIF('Metrics - Articles'!H370,"*LATAM*")</f>
        <v>0</v>
      </c>
      <c r="H371">
        <f>COUNTIF('Metrics - Articles'!H370,"*China*")</f>
        <v>0</v>
      </c>
      <c r="J371" s="53">
        <f t="shared" si="6"/>
        <v>0</v>
      </c>
    </row>
    <row r="372" spans="2:10" x14ac:dyDescent="0.25">
      <c r="B372" s="48">
        <f>+'Metrics - Articles'!C371</f>
        <v>0</v>
      </c>
      <c r="C372">
        <f>COUNTIF('Metrics - Articles'!H371,"*Global*")</f>
        <v>0</v>
      </c>
      <c r="D372">
        <f>COUNTIF('Metrics - Articles'!H371,"*EMEA*")</f>
        <v>0</v>
      </c>
      <c r="E372">
        <f>COUNTIF('Metrics - Articles'!H371,"*NA*")</f>
        <v>0</v>
      </c>
      <c r="F372">
        <f>COUNTIF('Metrics - Articles'!H371,"*APJ")</f>
        <v>0</v>
      </c>
      <c r="G372">
        <f>COUNTIF('Metrics - Articles'!H371,"*LATAM*")</f>
        <v>0</v>
      </c>
      <c r="H372">
        <f>COUNTIF('Metrics - Articles'!H371,"*China*")</f>
        <v>0</v>
      </c>
      <c r="J372" s="53">
        <f t="shared" si="6"/>
        <v>0</v>
      </c>
    </row>
    <row r="373" spans="2:10" x14ac:dyDescent="0.25">
      <c r="B373" s="48">
        <f>+'Metrics - Articles'!C372</f>
        <v>0</v>
      </c>
      <c r="C373">
        <f>COUNTIF('Metrics - Articles'!H372,"*Global*")</f>
        <v>0</v>
      </c>
      <c r="D373">
        <f>COUNTIF('Metrics - Articles'!H372,"*EMEA*")</f>
        <v>0</v>
      </c>
      <c r="E373">
        <f>COUNTIF('Metrics - Articles'!H372,"*NA*")</f>
        <v>0</v>
      </c>
      <c r="F373">
        <f>COUNTIF('Metrics - Articles'!H372,"*APJ")</f>
        <v>0</v>
      </c>
      <c r="G373">
        <f>COUNTIF('Metrics - Articles'!H372,"*LATAM*")</f>
        <v>0</v>
      </c>
      <c r="H373">
        <f>COUNTIF('Metrics - Articles'!H372,"*China*")</f>
        <v>0</v>
      </c>
      <c r="J373" s="53">
        <f t="shared" si="6"/>
        <v>0</v>
      </c>
    </row>
    <row r="374" spans="2:10" x14ac:dyDescent="0.25">
      <c r="B374" s="48">
        <f>+'Metrics - Articles'!C373</f>
        <v>0</v>
      </c>
      <c r="C374">
        <f>COUNTIF('Metrics - Articles'!H373,"*Global*")</f>
        <v>0</v>
      </c>
      <c r="D374">
        <f>COUNTIF('Metrics - Articles'!H373,"*EMEA*")</f>
        <v>0</v>
      </c>
      <c r="E374">
        <f>COUNTIF('Metrics - Articles'!H373,"*NA*")</f>
        <v>0</v>
      </c>
      <c r="F374">
        <f>COUNTIF('Metrics - Articles'!H373,"*APJ")</f>
        <v>0</v>
      </c>
      <c r="G374">
        <f>COUNTIF('Metrics - Articles'!H373,"*LATAM*")</f>
        <v>0</v>
      </c>
      <c r="H374">
        <f>COUNTIF('Metrics - Articles'!H373,"*China*")</f>
        <v>0</v>
      </c>
      <c r="J374" s="53">
        <f t="shared" si="6"/>
        <v>0</v>
      </c>
    </row>
    <row r="375" spans="2:10" x14ac:dyDescent="0.25">
      <c r="B375" s="48">
        <f>+'Metrics - Articles'!C374</f>
        <v>0</v>
      </c>
      <c r="C375">
        <f>COUNTIF('Metrics - Articles'!H374,"*Global*")</f>
        <v>0</v>
      </c>
      <c r="D375">
        <f>COUNTIF('Metrics - Articles'!H374,"*EMEA*")</f>
        <v>0</v>
      </c>
      <c r="E375">
        <f>COUNTIF('Metrics - Articles'!H374,"*NA*")</f>
        <v>0</v>
      </c>
      <c r="F375">
        <f>COUNTIF('Metrics - Articles'!H374,"*APJ")</f>
        <v>0</v>
      </c>
      <c r="G375">
        <f>COUNTIF('Metrics - Articles'!H374,"*LATAM*")</f>
        <v>0</v>
      </c>
      <c r="H375">
        <f>COUNTIF('Metrics - Articles'!H374,"*China*")</f>
        <v>0</v>
      </c>
      <c r="J375" s="53">
        <f t="shared" si="6"/>
        <v>0</v>
      </c>
    </row>
    <row r="376" spans="2:10" x14ac:dyDescent="0.25">
      <c r="B376" s="48">
        <f>+'Metrics - Articles'!C375</f>
        <v>0</v>
      </c>
      <c r="C376">
        <f>COUNTIF('Metrics - Articles'!H375,"*Global*")</f>
        <v>0</v>
      </c>
      <c r="D376">
        <f>COUNTIF('Metrics - Articles'!H375,"*EMEA*")</f>
        <v>0</v>
      </c>
      <c r="E376">
        <f>COUNTIF('Metrics - Articles'!H375,"*NA*")</f>
        <v>0</v>
      </c>
      <c r="F376">
        <f>COUNTIF('Metrics - Articles'!H375,"*APJ")</f>
        <v>0</v>
      </c>
      <c r="G376">
        <f>COUNTIF('Metrics - Articles'!H375,"*LATAM*")</f>
        <v>0</v>
      </c>
      <c r="H376">
        <f>COUNTIF('Metrics - Articles'!H375,"*China*")</f>
        <v>0</v>
      </c>
      <c r="J376" s="53">
        <f t="shared" si="6"/>
        <v>0</v>
      </c>
    </row>
    <row r="377" spans="2:10" x14ac:dyDescent="0.25">
      <c r="B377" s="48">
        <f>+'Metrics - Articles'!C376</f>
        <v>0</v>
      </c>
      <c r="C377">
        <f>COUNTIF('Metrics - Articles'!H376,"*Global*")</f>
        <v>0</v>
      </c>
      <c r="D377">
        <f>COUNTIF('Metrics - Articles'!H376,"*EMEA*")</f>
        <v>0</v>
      </c>
      <c r="E377">
        <f>COUNTIF('Metrics - Articles'!H376,"*NA*")</f>
        <v>0</v>
      </c>
      <c r="F377">
        <f>COUNTIF('Metrics - Articles'!H376,"*APJ")</f>
        <v>0</v>
      </c>
      <c r="G377">
        <f>COUNTIF('Metrics - Articles'!H376,"*LATAM*")</f>
        <v>0</v>
      </c>
      <c r="H377">
        <f>COUNTIF('Metrics - Articles'!H376,"*China*")</f>
        <v>0</v>
      </c>
      <c r="J377" s="53">
        <f t="shared" si="6"/>
        <v>0</v>
      </c>
    </row>
    <row r="378" spans="2:10" x14ac:dyDescent="0.25">
      <c r="B378" s="48">
        <f>+'Metrics - Articles'!C377</f>
        <v>0</v>
      </c>
      <c r="C378">
        <f>COUNTIF('Metrics - Articles'!H377,"*Global*")</f>
        <v>0</v>
      </c>
      <c r="D378">
        <f>COUNTIF('Metrics - Articles'!H377,"*EMEA*")</f>
        <v>0</v>
      </c>
      <c r="E378">
        <f>COUNTIF('Metrics - Articles'!H377,"*NA*")</f>
        <v>0</v>
      </c>
      <c r="F378">
        <f>COUNTIF('Metrics - Articles'!H377,"*APJ")</f>
        <v>0</v>
      </c>
      <c r="G378">
        <f>COUNTIF('Metrics - Articles'!H377,"*LATAM*")</f>
        <v>0</v>
      </c>
      <c r="H378">
        <f>COUNTIF('Metrics - Articles'!H377,"*China*")</f>
        <v>0</v>
      </c>
      <c r="J378" s="53">
        <f t="shared" si="6"/>
        <v>0</v>
      </c>
    </row>
    <row r="379" spans="2:10" x14ac:dyDescent="0.25">
      <c r="B379" s="48">
        <f>+'Metrics - Articles'!C378</f>
        <v>0</v>
      </c>
      <c r="C379">
        <f>COUNTIF('Metrics - Articles'!H378,"*Global*")</f>
        <v>0</v>
      </c>
      <c r="D379">
        <f>COUNTIF('Metrics - Articles'!H378,"*EMEA*")</f>
        <v>0</v>
      </c>
      <c r="E379">
        <f>COUNTIF('Metrics - Articles'!H378,"*NA*")</f>
        <v>0</v>
      </c>
      <c r="F379">
        <f>COUNTIF('Metrics - Articles'!H378,"*APJ")</f>
        <v>0</v>
      </c>
      <c r="G379">
        <f>COUNTIF('Metrics - Articles'!H378,"*LATAM*")</f>
        <v>0</v>
      </c>
      <c r="H379">
        <f>COUNTIF('Metrics - Articles'!H378,"*China*")</f>
        <v>0</v>
      </c>
      <c r="J379" s="53">
        <f t="shared" si="6"/>
        <v>0</v>
      </c>
    </row>
    <row r="380" spans="2:10" x14ac:dyDescent="0.25">
      <c r="B380" s="48">
        <f>+'Metrics - Articles'!C379</f>
        <v>0</v>
      </c>
      <c r="C380">
        <f>COUNTIF('Metrics - Articles'!H379,"*Global*")</f>
        <v>0</v>
      </c>
      <c r="D380">
        <f>COUNTIF('Metrics - Articles'!H379,"*EMEA*")</f>
        <v>0</v>
      </c>
      <c r="E380">
        <f>COUNTIF('Metrics - Articles'!H379,"*NA*")</f>
        <v>0</v>
      </c>
      <c r="F380">
        <f>COUNTIF('Metrics - Articles'!H379,"*APJ")</f>
        <v>0</v>
      </c>
      <c r="G380">
        <f>COUNTIF('Metrics - Articles'!H379,"*LATAM*")</f>
        <v>0</v>
      </c>
      <c r="H380">
        <f>COUNTIF('Metrics - Articles'!H379,"*China*")</f>
        <v>0</v>
      </c>
      <c r="J380" s="53">
        <f t="shared" si="6"/>
        <v>0</v>
      </c>
    </row>
    <row r="381" spans="2:10" x14ac:dyDescent="0.25">
      <c r="B381" s="48">
        <f>+'Metrics - Articles'!C380</f>
        <v>0</v>
      </c>
      <c r="C381">
        <f>COUNTIF('Metrics - Articles'!H380,"*Global*")</f>
        <v>0</v>
      </c>
      <c r="D381">
        <f>COUNTIF('Metrics - Articles'!H380,"*EMEA*")</f>
        <v>0</v>
      </c>
      <c r="E381">
        <f>COUNTIF('Metrics - Articles'!H380,"*NA*")</f>
        <v>0</v>
      </c>
      <c r="F381">
        <f>COUNTIF('Metrics - Articles'!H380,"*APJ")</f>
        <v>0</v>
      </c>
      <c r="G381">
        <f>COUNTIF('Metrics - Articles'!H380,"*LATAM*")</f>
        <v>0</v>
      </c>
      <c r="H381">
        <f>COUNTIF('Metrics - Articles'!H380,"*China*")</f>
        <v>0</v>
      </c>
      <c r="J381" s="53">
        <f t="shared" si="6"/>
        <v>0</v>
      </c>
    </row>
    <row r="382" spans="2:10" x14ac:dyDescent="0.25">
      <c r="B382" s="48">
        <f>+'Metrics - Articles'!C381</f>
        <v>0</v>
      </c>
      <c r="C382">
        <f>COUNTIF('Metrics - Articles'!H381,"*Global*")</f>
        <v>0</v>
      </c>
      <c r="D382">
        <f>COUNTIF('Metrics - Articles'!H381,"*EMEA*")</f>
        <v>0</v>
      </c>
      <c r="E382">
        <f>COUNTIF('Metrics - Articles'!H381,"*NA*")</f>
        <v>0</v>
      </c>
      <c r="F382">
        <f>COUNTIF('Metrics - Articles'!H381,"*APJ")</f>
        <v>0</v>
      </c>
      <c r="G382">
        <f>COUNTIF('Metrics - Articles'!H381,"*LATAM*")</f>
        <v>0</v>
      </c>
      <c r="H382">
        <f>COUNTIF('Metrics - Articles'!H381,"*China*")</f>
        <v>0</v>
      </c>
      <c r="J382" s="53">
        <f t="shared" si="6"/>
        <v>0</v>
      </c>
    </row>
    <row r="383" spans="2:10" x14ac:dyDescent="0.25">
      <c r="B383" s="48">
        <f>+'Metrics - Articles'!C382</f>
        <v>0</v>
      </c>
      <c r="C383">
        <f>COUNTIF('Metrics - Articles'!H382,"*Global*")</f>
        <v>0</v>
      </c>
      <c r="D383">
        <f>COUNTIF('Metrics - Articles'!H382,"*EMEA*")</f>
        <v>0</v>
      </c>
      <c r="E383">
        <f>COUNTIF('Metrics - Articles'!H382,"*NA*")</f>
        <v>0</v>
      </c>
      <c r="F383">
        <f>COUNTIF('Metrics - Articles'!H382,"*APJ")</f>
        <v>0</v>
      </c>
      <c r="G383">
        <f>COUNTIF('Metrics - Articles'!H382,"*LATAM*")</f>
        <v>0</v>
      </c>
      <c r="H383">
        <f>COUNTIF('Metrics - Articles'!H382,"*China*")</f>
        <v>0</v>
      </c>
      <c r="J383" s="53">
        <f t="shared" si="6"/>
        <v>0</v>
      </c>
    </row>
    <row r="384" spans="2:10" x14ac:dyDescent="0.25">
      <c r="B384" s="48">
        <f>+'Metrics - Articles'!C383</f>
        <v>0</v>
      </c>
      <c r="C384">
        <f>COUNTIF('Metrics - Articles'!H383,"*Global*")</f>
        <v>0</v>
      </c>
      <c r="D384">
        <f>COUNTIF('Metrics - Articles'!H383,"*EMEA*")</f>
        <v>0</v>
      </c>
      <c r="E384">
        <f>COUNTIF('Metrics - Articles'!H383,"*NA*")</f>
        <v>0</v>
      </c>
      <c r="F384">
        <f>COUNTIF('Metrics - Articles'!H383,"*APJ")</f>
        <v>0</v>
      </c>
      <c r="G384">
        <f>COUNTIF('Metrics - Articles'!H383,"*LATAM*")</f>
        <v>0</v>
      </c>
      <c r="H384">
        <f>COUNTIF('Metrics - Articles'!H383,"*China*")</f>
        <v>0</v>
      </c>
      <c r="J384" s="53">
        <f t="shared" si="6"/>
        <v>0</v>
      </c>
    </row>
    <row r="385" spans="2:10" x14ac:dyDescent="0.25">
      <c r="B385" s="48">
        <f>+'Metrics - Articles'!C384</f>
        <v>0</v>
      </c>
      <c r="C385">
        <f>COUNTIF('Metrics - Articles'!H384,"*Global*")</f>
        <v>0</v>
      </c>
      <c r="D385">
        <f>COUNTIF('Metrics - Articles'!H384,"*EMEA*")</f>
        <v>0</v>
      </c>
      <c r="E385">
        <f>COUNTIF('Metrics - Articles'!H384,"*NA*")</f>
        <v>0</v>
      </c>
      <c r="F385">
        <f>COUNTIF('Metrics - Articles'!H384,"*APJ")</f>
        <v>0</v>
      </c>
      <c r="G385">
        <f>COUNTIF('Metrics - Articles'!H384,"*LATAM*")</f>
        <v>0</v>
      </c>
      <c r="H385">
        <f>COUNTIF('Metrics - Articles'!H384,"*China*")</f>
        <v>0</v>
      </c>
      <c r="J385" s="53">
        <f t="shared" si="6"/>
        <v>0</v>
      </c>
    </row>
    <row r="386" spans="2:10" x14ac:dyDescent="0.25">
      <c r="B386" s="48">
        <f>+'Metrics - Articles'!C385</f>
        <v>0</v>
      </c>
      <c r="C386">
        <f>COUNTIF('Metrics - Articles'!H385,"*Global*")</f>
        <v>0</v>
      </c>
      <c r="D386">
        <f>COUNTIF('Metrics - Articles'!H385,"*EMEA*")</f>
        <v>0</v>
      </c>
      <c r="E386">
        <f>COUNTIF('Metrics - Articles'!H385,"*NA*")</f>
        <v>0</v>
      </c>
      <c r="F386">
        <f>COUNTIF('Metrics - Articles'!H385,"*APJ")</f>
        <v>0</v>
      </c>
      <c r="G386">
        <f>COUNTIF('Metrics - Articles'!H385,"*LATAM*")</f>
        <v>0</v>
      </c>
      <c r="H386">
        <f>COUNTIF('Metrics - Articles'!H385,"*China*")</f>
        <v>0</v>
      </c>
      <c r="J386" s="53">
        <f t="shared" si="6"/>
        <v>0</v>
      </c>
    </row>
    <row r="387" spans="2:10" x14ac:dyDescent="0.25">
      <c r="B387" s="48">
        <f>+'Metrics - Articles'!C386</f>
        <v>0</v>
      </c>
      <c r="C387">
        <f>COUNTIF('Metrics - Articles'!H386,"*Global*")</f>
        <v>0</v>
      </c>
      <c r="D387">
        <f>COUNTIF('Metrics - Articles'!H386,"*EMEA*")</f>
        <v>0</v>
      </c>
      <c r="E387">
        <f>COUNTIF('Metrics - Articles'!H386,"*NA*")</f>
        <v>0</v>
      </c>
      <c r="F387">
        <f>COUNTIF('Metrics - Articles'!H386,"*APJ")</f>
        <v>0</v>
      </c>
      <c r="G387">
        <f>COUNTIF('Metrics - Articles'!H386,"*LATAM*")</f>
        <v>0</v>
      </c>
      <c r="H387">
        <f>COUNTIF('Metrics - Articles'!H386,"*China*")</f>
        <v>0</v>
      </c>
      <c r="J387" s="53">
        <f t="shared" si="6"/>
        <v>0</v>
      </c>
    </row>
    <row r="388" spans="2:10" x14ac:dyDescent="0.25">
      <c r="B388" s="48">
        <f>+'Metrics - Articles'!C387</f>
        <v>0</v>
      </c>
      <c r="C388">
        <f>COUNTIF('Metrics - Articles'!H387,"*Global*")</f>
        <v>0</v>
      </c>
      <c r="D388">
        <f>COUNTIF('Metrics - Articles'!H387,"*EMEA*")</f>
        <v>0</v>
      </c>
      <c r="E388">
        <f>COUNTIF('Metrics - Articles'!H387,"*NA*")</f>
        <v>0</v>
      </c>
      <c r="F388">
        <f>COUNTIF('Metrics - Articles'!H387,"*APJ")</f>
        <v>0</v>
      </c>
      <c r="G388">
        <f>COUNTIF('Metrics - Articles'!H387,"*LATAM*")</f>
        <v>0</v>
      </c>
      <c r="H388">
        <f>COUNTIF('Metrics - Articles'!H387,"*China*")</f>
        <v>0</v>
      </c>
      <c r="J388" s="53">
        <f t="shared" si="6"/>
        <v>0</v>
      </c>
    </row>
    <row r="389" spans="2:10" x14ac:dyDescent="0.25">
      <c r="B389" s="48">
        <f>+'Metrics - Articles'!C388</f>
        <v>0</v>
      </c>
      <c r="C389">
        <f>COUNTIF('Metrics - Articles'!H388,"*Global*")</f>
        <v>0</v>
      </c>
      <c r="D389">
        <f>COUNTIF('Metrics - Articles'!H388,"*EMEA*")</f>
        <v>0</v>
      </c>
      <c r="E389">
        <f>COUNTIF('Metrics - Articles'!H388,"*NA*")</f>
        <v>0</v>
      </c>
      <c r="F389">
        <f>COUNTIF('Metrics - Articles'!H388,"*APJ")</f>
        <v>0</v>
      </c>
      <c r="G389">
        <f>COUNTIF('Metrics - Articles'!H388,"*LATAM*")</f>
        <v>0</v>
      </c>
      <c r="H389">
        <f>COUNTIF('Metrics - Articles'!H388,"*China*")</f>
        <v>0</v>
      </c>
      <c r="J389" s="53">
        <f t="shared" si="6"/>
        <v>0</v>
      </c>
    </row>
    <row r="390" spans="2:10" x14ac:dyDescent="0.25">
      <c r="B390" s="48">
        <f>+'Metrics - Articles'!C389</f>
        <v>0</v>
      </c>
      <c r="C390">
        <f>COUNTIF('Metrics - Articles'!H389,"*Global*")</f>
        <v>0</v>
      </c>
      <c r="D390">
        <f>COUNTIF('Metrics - Articles'!H389,"*EMEA*")</f>
        <v>0</v>
      </c>
      <c r="E390">
        <f>COUNTIF('Metrics - Articles'!H389,"*NA*")</f>
        <v>0</v>
      </c>
      <c r="F390">
        <f>COUNTIF('Metrics - Articles'!H389,"*APJ")</f>
        <v>0</v>
      </c>
      <c r="G390">
        <f>COUNTIF('Metrics - Articles'!H389,"*LATAM*")</f>
        <v>0</v>
      </c>
      <c r="H390">
        <f>COUNTIF('Metrics - Articles'!H389,"*China*")</f>
        <v>0</v>
      </c>
      <c r="J390" s="53">
        <f t="shared" si="6"/>
        <v>0</v>
      </c>
    </row>
    <row r="391" spans="2:10" x14ac:dyDescent="0.25">
      <c r="B391" s="48">
        <f>+'Metrics - Articles'!C390</f>
        <v>0</v>
      </c>
      <c r="C391">
        <f>COUNTIF('Metrics - Articles'!H390,"*Global*")</f>
        <v>0</v>
      </c>
      <c r="D391">
        <f>COUNTIF('Metrics - Articles'!H390,"*EMEA*")</f>
        <v>0</v>
      </c>
      <c r="E391">
        <f>COUNTIF('Metrics - Articles'!H390,"*NA*")</f>
        <v>0</v>
      </c>
      <c r="F391">
        <f>COUNTIF('Metrics - Articles'!H390,"*APJ")</f>
        <v>0</v>
      </c>
      <c r="G391">
        <f>COUNTIF('Metrics - Articles'!H390,"*LATAM*")</f>
        <v>0</v>
      </c>
      <c r="H391">
        <f>COUNTIF('Metrics - Articles'!H390,"*China*")</f>
        <v>0</v>
      </c>
      <c r="J391" s="53">
        <f t="shared" si="6"/>
        <v>0</v>
      </c>
    </row>
    <row r="392" spans="2:10" x14ac:dyDescent="0.25">
      <c r="B392" s="48">
        <f>+'Metrics - Articles'!C391</f>
        <v>0</v>
      </c>
      <c r="C392">
        <f>COUNTIF('Metrics - Articles'!H391,"*Global*")</f>
        <v>0</v>
      </c>
      <c r="D392">
        <f>COUNTIF('Metrics - Articles'!H391,"*EMEA*")</f>
        <v>0</v>
      </c>
      <c r="E392">
        <f>COUNTIF('Metrics - Articles'!H391,"*NA*")</f>
        <v>0</v>
      </c>
      <c r="F392">
        <f>COUNTIF('Metrics - Articles'!H391,"*APJ")</f>
        <v>0</v>
      </c>
      <c r="G392">
        <f>COUNTIF('Metrics - Articles'!H391,"*LATAM*")</f>
        <v>0</v>
      </c>
      <c r="H392">
        <f>COUNTIF('Metrics - Articles'!H391,"*China*")</f>
        <v>0</v>
      </c>
      <c r="J392" s="53">
        <f t="shared" si="6"/>
        <v>0</v>
      </c>
    </row>
    <row r="393" spans="2:10" x14ac:dyDescent="0.25">
      <c r="B393" s="48">
        <f>+'Metrics - Articles'!C392</f>
        <v>0</v>
      </c>
      <c r="C393">
        <f>COUNTIF('Metrics - Articles'!H392,"*Global*")</f>
        <v>0</v>
      </c>
      <c r="D393">
        <f>COUNTIF('Metrics - Articles'!H392,"*EMEA*")</f>
        <v>0</v>
      </c>
      <c r="E393">
        <f>COUNTIF('Metrics - Articles'!H392,"*NA*")</f>
        <v>0</v>
      </c>
      <c r="F393">
        <f>COUNTIF('Metrics - Articles'!H392,"*APJ")</f>
        <v>0</v>
      </c>
      <c r="G393">
        <f>COUNTIF('Metrics - Articles'!H392,"*LATAM*")</f>
        <v>0</v>
      </c>
      <c r="H393">
        <f>COUNTIF('Metrics - Articles'!H392,"*China*")</f>
        <v>0</v>
      </c>
      <c r="J393" s="53">
        <f t="shared" si="6"/>
        <v>0</v>
      </c>
    </row>
    <row r="394" spans="2:10" x14ac:dyDescent="0.25">
      <c r="B394" s="48">
        <f>+'Metrics - Articles'!C393</f>
        <v>0</v>
      </c>
      <c r="C394">
        <f>COUNTIF('Metrics - Articles'!H393,"*Global*")</f>
        <v>0</v>
      </c>
      <c r="D394">
        <f>COUNTIF('Metrics - Articles'!H393,"*EMEA*")</f>
        <v>0</v>
      </c>
      <c r="E394">
        <f>COUNTIF('Metrics - Articles'!H393,"*NA*")</f>
        <v>0</v>
      </c>
      <c r="F394">
        <f>COUNTIF('Metrics - Articles'!H393,"*APJ")</f>
        <v>0</v>
      </c>
      <c r="G394">
        <f>COUNTIF('Metrics - Articles'!H393,"*LATAM*")</f>
        <v>0</v>
      </c>
      <c r="H394">
        <f>COUNTIF('Metrics - Articles'!H393,"*China*")</f>
        <v>0</v>
      </c>
      <c r="J394" s="53">
        <f t="shared" ref="J394:J457" si="7">SUM(C394:I394)</f>
        <v>0</v>
      </c>
    </row>
    <row r="395" spans="2:10" x14ac:dyDescent="0.25">
      <c r="B395" s="48">
        <f>+'Metrics - Articles'!C394</f>
        <v>0</v>
      </c>
      <c r="C395">
        <f>COUNTIF('Metrics - Articles'!H394,"*Global*")</f>
        <v>0</v>
      </c>
      <c r="D395">
        <f>COUNTIF('Metrics - Articles'!H394,"*EMEA*")</f>
        <v>0</v>
      </c>
      <c r="E395">
        <f>COUNTIF('Metrics - Articles'!H394,"*NA*")</f>
        <v>0</v>
      </c>
      <c r="F395">
        <f>COUNTIF('Metrics - Articles'!H394,"*APJ")</f>
        <v>0</v>
      </c>
      <c r="G395">
        <f>COUNTIF('Metrics - Articles'!H394,"*LATAM*")</f>
        <v>0</v>
      </c>
      <c r="H395">
        <f>COUNTIF('Metrics - Articles'!H394,"*China*")</f>
        <v>0</v>
      </c>
      <c r="J395" s="53">
        <f t="shared" si="7"/>
        <v>0</v>
      </c>
    </row>
    <row r="396" spans="2:10" x14ac:dyDescent="0.25">
      <c r="B396" s="48">
        <f>+'Metrics - Articles'!C395</f>
        <v>0</v>
      </c>
      <c r="C396">
        <f>COUNTIF('Metrics - Articles'!H395,"*Global*")</f>
        <v>0</v>
      </c>
      <c r="D396">
        <f>COUNTIF('Metrics - Articles'!H395,"*EMEA*")</f>
        <v>0</v>
      </c>
      <c r="E396">
        <f>COUNTIF('Metrics - Articles'!H395,"*NA*")</f>
        <v>0</v>
      </c>
      <c r="F396">
        <f>COUNTIF('Metrics - Articles'!H395,"*APJ")</f>
        <v>0</v>
      </c>
      <c r="G396">
        <f>COUNTIF('Metrics - Articles'!H395,"*LATAM*")</f>
        <v>0</v>
      </c>
      <c r="H396">
        <f>COUNTIF('Metrics - Articles'!H395,"*China*")</f>
        <v>0</v>
      </c>
      <c r="J396" s="53">
        <f t="shared" si="7"/>
        <v>0</v>
      </c>
    </row>
    <row r="397" spans="2:10" x14ac:dyDescent="0.25">
      <c r="B397" s="48">
        <f>+'Metrics - Articles'!C396</f>
        <v>0</v>
      </c>
      <c r="C397">
        <f>COUNTIF('Metrics - Articles'!H396,"*Global*")</f>
        <v>0</v>
      </c>
      <c r="D397">
        <f>COUNTIF('Metrics - Articles'!H396,"*EMEA*")</f>
        <v>0</v>
      </c>
      <c r="E397">
        <f>COUNTIF('Metrics - Articles'!H396,"*NA*")</f>
        <v>0</v>
      </c>
      <c r="F397">
        <f>COUNTIF('Metrics - Articles'!H396,"*APJ")</f>
        <v>0</v>
      </c>
      <c r="G397">
        <f>COUNTIF('Metrics - Articles'!H396,"*LATAM*")</f>
        <v>0</v>
      </c>
      <c r="H397">
        <f>COUNTIF('Metrics - Articles'!H396,"*China*")</f>
        <v>0</v>
      </c>
      <c r="J397" s="53">
        <f t="shared" si="7"/>
        <v>0</v>
      </c>
    </row>
    <row r="398" spans="2:10" x14ac:dyDescent="0.25">
      <c r="B398" s="48">
        <f>+'Metrics - Articles'!C397</f>
        <v>0</v>
      </c>
      <c r="C398">
        <f>COUNTIF('Metrics - Articles'!H397,"*Global*")</f>
        <v>0</v>
      </c>
      <c r="D398">
        <f>COUNTIF('Metrics - Articles'!H397,"*EMEA*")</f>
        <v>0</v>
      </c>
      <c r="E398">
        <f>COUNTIF('Metrics - Articles'!H397,"*NA*")</f>
        <v>0</v>
      </c>
      <c r="F398">
        <f>COUNTIF('Metrics - Articles'!H397,"*APJ")</f>
        <v>0</v>
      </c>
      <c r="G398">
        <f>COUNTIF('Metrics - Articles'!H397,"*LATAM*")</f>
        <v>0</v>
      </c>
      <c r="H398">
        <f>COUNTIF('Metrics - Articles'!H397,"*China*")</f>
        <v>0</v>
      </c>
      <c r="J398" s="53">
        <f t="shared" si="7"/>
        <v>0</v>
      </c>
    </row>
    <row r="399" spans="2:10" x14ac:dyDescent="0.25">
      <c r="B399" s="48">
        <f>+'Metrics - Articles'!C398</f>
        <v>0</v>
      </c>
      <c r="C399">
        <f>COUNTIF('Metrics - Articles'!H398,"*Global*")</f>
        <v>0</v>
      </c>
      <c r="D399">
        <f>COUNTIF('Metrics - Articles'!H398,"*EMEA*")</f>
        <v>0</v>
      </c>
      <c r="E399">
        <f>COUNTIF('Metrics - Articles'!H398,"*NA*")</f>
        <v>0</v>
      </c>
      <c r="F399">
        <f>COUNTIF('Metrics - Articles'!H398,"*APJ")</f>
        <v>0</v>
      </c>
      <c r="G399">
        <f>COUNTIF('Metrics - Articles'!H398,"*LATAM*")</f>
        <v>0</v>
      </c>
      <c r="H399">
        <f>COUNTIF('Metrics - Articles'!H398,"*China*")</f>
        <v>0</v>
      </c>
      <c r="J399" s="53">
        <f t="shared" si="7"/>
        <v>0</v>
      </c>
    </row>
    <row r="400" spans="2:10" x14ac:dyDescent="0.25">
      <c r="B400" s="48">
        <f>+'Metrics - Articles'!C399</f>
        <v>0</v>
      </c>
      <c r="C400">
        <f>COUNTIF('Metrics - Articles'!H399,"*Global*")</f>
        <v>0</v>
      </c>
      <c r="D400">
        <f>COUNTIF('Metrics - Articles'!H399,"*EMEA*")</f>
        <v>0</v>
      </c>
      <c r="E400">
        <f>COUNTIF('Metrics - Articles'!H399,"*NA*")</f>
        <v>0</v>
      </c>
      <c r="F400">
        <f>COUNTIF('Metrics - Articles'!H399,"*APJ")</f>
        <v>0</v>
      </c>
      <c r="G400">
        <f>COUNTIF('Metrics - Articles'!H399,"*LATAM*")</f>
        <v>0</v>
      </c>
      <c r="H400">
        <f>COUNTIF('Metrics - Articles'!H399,"*China*")</f>
        <v>0</v>
      </c>
      <c r="J400" s="53">
        <f t="shared" si="7"/>
        <v>0</v>
      </c>
    </row>
    <row r="401" spans="2:10" x14ac:dyDescent="0.25">
      <c r="B401" s="48">
        <f>+'Metrics - Articles'!C400</f>
        <v>0</v>
      </c>
      <c r="C401">
        <f>COUNTIF('Metrics - Articles'!H400,"*Global*")</f>
        <v>0</v>
      </c>
      <c r="D401">
        <f>COUNTIF('Metrics - Articles'!H400,"*EMEA*")</f>
        <v>0</v>
      </c>
      <c r="E401">
        <f>COUNTIF('Metrics - Articles'!H400,"*NA*")</f>
        <v>0</v>
      </c>
      <c r="F401">
        <f>COUNTIF('Metrics - Articles'!H400,"*APJ")</f>
        <v>0</v>
      </c>
      <c r="G401">
        <f>COUNTIF('Metrics - Articles'!H400,"*LATAM*")</f>
        <v>0</v>
      </c>
      <c r="H401">
        <f>COUNTIF('Metrics - Articles'!H400,"*China*")</f>
        <v>0</v>
      </c>
      <c r="J401" s="53">
        <f t="shared" si="7"/>
        <v>0</v>
      </c>
    </row>
    <row r="402" spans="2:10" x14ac:dyDescent="0.25">
      <c r="B402" s="48">
        <f>+'Metrics - Articles'!C401</f>
        <v>0</v>
      </c>
      <c r="C402">
        <f>COUNTIF('Metrics - Articles'!H401,"*Global*")</f>
        <v>0</v>
      </c>
      <c r="D402">
        <f>COUNTIF('Metrics - Articles'!H401,"*EMEA*")</f>
        <v>0</v>
      </c>
      <c r="E402">
        <f>COUNTIF('Metrics - Articles'!H401,"*NA*")</f>
        <v>0</v>
      </c>
      <c r="F402">
        <f>COUNTIF('Metrics - Articles'!H401,"*APJ")</f>
        <v>0</v>
      </c>
      <c r="G402">
        <f>COUNTIF('Metrics - Articles'!H401,"*LATAM*")</f>
        <v>0</v>
      </c>
      <c r="H402">
        <f>COUNTIF('Metrics - Articles'!H401,"*China*")</f>
        <v>0</v>
      </c>
      <c r="J402" s="53">
        <f t="shared" si="7"/>
        <v>0</v>
      </c>
    </row>
    <row r="403" spans="2:10" x14ac:dyDescent="0.25">
      <c r="B403" s="48">
        <f>+'Metrics - Articles'!C402</f>
        <v>0</v>
      </c>
      <c r="C403">
        <f>COUNTIF('Metrics - Articles'!H402,"*Global*")</f>
        <v>0</v>
      </c>
      <c r="D403">
        <f>COUNTIF('Metrics - Articles'!H402,"*EMEA*")</f>
        <v>0</v>
      </c>
      <c r="E403">
        <f>COUNTIF('Metrics - Articles'!H402,"*NA*")</f>
        <v>0</v>
      </c>
      <c r="F403">
        <f>COUNTIF('Metrics - Articles'!H402,"*APJ")</f>
        <v>0</v>
      </c>
      <c r="G403">
        <f>COUNTIF('Metrics - Articles'!H402,"*LATAM*")</f>
        <v>0</v>
      </c>
      <c r="H403">
        <f>COUNTIF('Metrics - Articles'!H402,"*China*")</f>
        <v>0</v>
      </c>
      <c r="J403" s="53">
        <f t="shared" si="7"/>
        <v>0</v>
      </c>
    </row>
    <row r="404" spans="2:10" x14ac:dyDescent="0.25">
      <c r="B404" s="48">
        <f>+'Metrics - Articles'!C403</f>
        <v>0</v>
      </c>
      <c r="C404">
        <f>COUNTIF('Metrics - Articles'!H403,"*Global*")</f>
        <v>0</v>
      </c>
      <c r="D404">
        <f>COUNTIF('Metrics - Articles'!H403,"*EMEA*")</f>
        <v>0</v>
      </c>
      <c r="E404">
        <f>COUNTIF('Metrics - Articles'!H403,"*NA*")</f>
        <v>0</v>
      </c>
      <c r="F404">
        <f>COUNTIF('Metrics - Articles'!H403,"*APJ")</f>
        <v>0</v>
      </c>
      <c r="G404">
        <f>COUNTIF('Metrics - Articles'!H403,"*LATAM*")</f>
        <v>0</v>
      </c>
      <c r="H404">
        <f>COUNTIF('Metrics - Articles'!H403,"*China*")</f>
        <v>0</v>
      </c>
      <c r="J404" s="53">
        <f t="shared" si="7"/>
        <v>0</v>
      </c>
    </row>
    <row r="405" spans="2:10" x14ac:dyDescent="0.25">
      <c r="B405" s="48">
        <f>+'Metrics - Articles'!C404</f>
        <v>0</v>
      </c>
      <c r="C405">
        <f>COUNTIF('Metrics - Articles'!H404,"*Global*")</f>
        <v>0</v>
      </c>
      <c r="D405">
        <f>COUNTIF('Metrics - Articles'!H404,"*EMEA*")</f>
        <v>0</v>
      </c>
      <c r="E405">
        <f>COUNTIF('Metrics - Articles'!H404,"*NA*")</f>
        <v>0</v>
      </c>
      <c r="F405">
        <f>COUNTIF('Metrics - Articles'!H404,"*APJ")</f>
        <v>0</v>
      </c>
      <c r="G405">
        <f>COUNTIF('Metrics - Articles'!H404,"*LATAM*")</f>
        <v>0</v>
      </c>
      <c r="H405">
        <f>COUNTIF('Metrics - Articles'!H404,"*China*")</f>
        <v>0</v>
      </c>
      <c r="J405" s="53">
        <f t="shared" si="7"/>
        <v>0</v>
      </c>
    </row>
    <row r="406" spans="2:10" x14ac:dyDescent="0.25">
      <c r="B406" s="48">
        <f>+'Metrics - Articles'!C405</f>
        <v>0</v>
      </c>
      <c r="C406">
        <f>COUNTIF('Metrics - Articles'!H405,"*Global*")</f>
        <v>0</v>
      </c>
      <c r="D406">
        <f>COUNTIF('Metrics - Articles'!H405,"*EMEA*")</f>
        <v>0</v>
      </c>
      <c r="E406">
        <f>COUNTIF('Metrics - Articles'!H405,"*NA*")</f>
        <v>0</v>
      </c>
      <c r="F406">
        <f>COUNTIF('Metrics - Articles'!H405,"*APJ")</f>
        <v>0</v>
      </c>
      <c r="G406">
        <f>COUNTIF('Metrics - Articles'!H405,"*LATAM*")</f>
        <v>0</v>
      </c>
      <c r="H406">
        <f>COUNTIF('Metrics - Articles'!H405,"*China*")</f>
        <v>0</v>
      </c>
      <c r="J406" s="53">
        <f t="shared" si="7"/>
        <v>0</v>
      </c>
    </row>
    <row r="407" spans="2:10" x14ac:dyDescent="0.25">
      <c r="B407" s="48">
        <f>+'Metrics - Articles'!C406</f>
        <v>0</v>
      </c>
      <c r="C407">
        <f>COUNTIF('Metrics - Articles'!H406,"*Global*")</f>
        <v>0</v>
      </c>
      <c r="D407">
        <f>COUNTIF('Metrics - Articles'!H406,"*EMEA*")</f>
        <v>0</v>
      </c>
      <c r="E407">
        <f>COUNTIF('Metrics - Articles'!H406,"*NA*")</f>
        <v>0</v>
      </c>
      <c r="F407">
        <f>COUNTIF('Metrics - Articles'!H406,"*APJ")</f>
        <v>0</v>
      </c>
      <c r="G407">
        <f>COUNTIF('Metrics - Articles'!H406,"*LATAM*")</f>
        <v>0</v>
      </c>
      <c r="H407">
        <f>COUNTIF('Metrics - Articles'!H406,"*China*")</f>
        <v>0</v>
      </c>
      <c r="J407" s="53">
        <f t="shared" si="7"/>
        <v>0</v>
      </c>
    </row>
    <row r="408" spans="2:10" x14ac:dyDescent="0.25">
      <c r="B408" s="48">
        <f>+'Metrics - Articles'!C407</f>
        <v>0</v>
      </c>
      <c r="C408">
        <f>COUNTIF('Metrics - Articles'!H407,"*Global*")</f>
        <v>0</v>
      </c>
      <c r="D408">
        <f>COUNTIF('Metrics - Articles'!H407,"*EMEA*")</f>
        <v>0</v>
      </c>
      <c r="E408">
        <f>COUNTIF('Metrics - Articles'!H407,"*NA*")</f>
        <v>0</v>
      </c>
      <c r="F408">
        <f>COUNTIF('Metrics - Articles'!H407,"*APJ")</f>
        <v>0</v>
      </c>
      <c r="G408">
        <f>COUNTIF('Metrics - Articles'!H407,"*LATAM*")</f>
        <v>0</v>
      </c>
      <c r="H408">
        <f>COUNTIF('Metrics - Articles'!H407,"*China*")</f>
        <v>0</v>
      </c>
      <c r="J408" s="53">
        <f t="shared" si="7"/>
        <v>0</v>
      </c>
    </row>
    <row r="409" spans="2:10" x14ac:dyDescent="0.25">
      <c r="B409" s="48">
        <f>+'Metrics - Articles'!C408</f>
        <v>0</v>
      </c>
      <c r="C409">
        <f>COUNTIF('Metrics - Articles'!H408,"*Global*")</f>
        <v>0</v>
      </c>
      <c r="D409">
        <f>COUNTIF('Metrics - Articles'!H408,"*EMEA*")</f>
        <v>0</v>
      </c>
      <c r="E409">
        <f>COUNTIF('Metrics - Articles'!H408,"*NA*")</f>
        <v>0</v>
      </c>
      <c r="F409">
        <f>COUNTIF('Metrics - Articles'!H408,"*APJ")</f>
        <v>0</v>
      </c>
      <c r="G409">
        <f>COUNTIF('Metrics - Articles'!H408,"*LATAM*")</f>
        <v>0</v>
      </c>
      <c r="H409">
        <f>COUNTIF('Metrics - Articles'!H408,"*China*")</f>
        <v>0</v>
      </c>
      <c r="J409" s="53">
        <f t="shared" si="7"/>
        <v>0</v>
      </c>
    </row>
    <row r="410" spans="2:10" x14ac:dyDescent="0.25">
      <c r="B410" s="48">
        <f>+'Metrics - Articles'!C409</f>
        <v>0</v>
      </c>
      <c r="C410">
        <f>COUNTIF('Metrics - Articles'!H409,"*Global*")</f>
        <v>0</v>
      </c>
      <c r="D410">
        <f>COUNTIF('Metrics - Articles'!H409,"*EMEA*")</f>
        <v>0</v>
      </c>
      <c r="E410">
        <f>COUNTIF('Metrics - Articles'!H409,"*NA*")</f>
        <v>0</v>
      </c>
      <c r="F410">
        <f>COUNTIF('Metrics - Articles'!H409,"*APJ")</f>
        <v>0</v>
      </c>
      <c r="G410">
        <f>COUNTIF('Metrics - Articles'!H409,"*LATAM*")</f>
        <v>0</v>
      </c>
      <c r="H410">
        <f>COUNTIF('Metrics - Articles'!H409,"*China*")</f>
        <v>0</v>
      </c>
      <c r="J410" s="53">
        <f t="shared" si="7"/>
        <v>0</v>
      </c>
    </row>
    <row r="411" spans="2:10" x14ac:dyDescent="0.25">
      <c r="B411" s="48">
        <f>+'Metrics - Articles'!C410</f>
        <v>0</v>
      </c>
      <c r="C411">
        <f>COUNTIF('Metrics - Articles'!H410,"*Global*")</f>
        <v>0</v>
      </c>
      <c r="D411">
        <f>COUNTIF('Metrics - Articles'!H410,"*EMEA*")</f>
        <v>0</v>
      </c>
      <c r="E411">
        <f>COUNTIF('Metrics - Articles'!H410,"*NA*")</f>
        <v>0</v>
      </c>
      <c r="F411">
        <f>COUNTIF('Metrics - Articles'!H410,"*APJ")</f>
        <v>0</v>
      </c>
      <c r="G411">
        <f>COUNTIF('Metrics - Articles'!H410,"*LATAM*")</f>
        <v>0</v>
      </c>
      <c r="H411">
        <f>COUNTIF('Metrics - Articles'!H410,"*China*")</f>
        <v>0</v>
      </c>
      <c r="J411" s="53">
        <f t="shared" si="7"/>
        <v>0</v>
      </c>
    </row>
    <row r="412" spans="2:10" x14ac:dyDescent="0.25">
      <c r="B412" s="48">
        <f>+'Metrics - Articles'!C411</f>
        <v>0</v>
      </c>
      <c r="C412">
        <f>COUNTIF('Metrics - Articles'!H411,"*Global*")</f>
        <v>0</v>
      </c>
      <c r="D412">
        <f>COUNTIF('Metrics - Articles'!H411,"*EMEA*")</f>
        <v>0</v>
      </c>
      <c r="E412">
        <f>COUNTIF('Metrics - Articles'!H411,"*NA*")</f>
        <v>0</v>
      </c>
      <c r="F412">
        <f>COUNTIF('Metrics - Articles'!H411,"*APJ")</f>
        <v>0</v>
      </c>
      <c r="G412">
        <f>COUNTIF('Metrics - Articles'!H411,"*LATAM*")</f>
        <v>0</v>
      </c>
      <c r="H412">
        <f>COUNTIF('Metrics - Articles'!H411,"*China*")</f>
        <v>0</v>
      </c>
      <c r="J412" s="53">
        <f t="shared" si="7"/>
        <v>0</v>
      </c>
    </row>
    <row r="413" spans="2:10" x14ac:dyDescent="0.25">
      <c r="B413" s="48">
        <f>+'Metrics - Articles'!C412</f>
        <v>0</v>
      </c>
      <c r="C413">
        <f>COUNTIF('Metrics - Articles'!H412,"*Global*")</f>
        <v>0</v>
      </c>
      <c r="D413">
        <f>COUNTIF('Metrics - Articles'!H412,"*EMEA*")</f>
        <v>0</v>
      </c>
      <c r="E413">
        <f>COUNTIF('Metrics - Articles'!H412,"*NA*")</f>
        <v>0</v>
      </c>
      <c r="F413">
        <f>COUNTIF('Metrics - Articles'!H412,"*APJ")</f>
        <v>0</v>
      </c>
      <c r="G413">
        <f>COUNTIF('Metrics - Articles'!H412,"*LATAM*")</f>
        <v>0</v>
      </c>
      <c r="H413">
        <f>COUNTIF('Metrics - Articles'!H412,"*China*")</f>
        <v>0</v>
      </c>
      <c r="J413" s="53">
        <f t="shared" si="7"/>
        <v>0</v>
      </c>
    </row>
    <row r="414" spans="2:10" x14ac:dyDescent="0.25">
      <c r="B414" s="48">
        <f>+'Metrics - Articles'!C413</f>
        <v>0</v>
      </c>
      <c r="C414">
        <f>COUNTIF('Metrics - Articles'!H413,"*Global*")</f>
        <v>0</v>
      </c>
      <c r="D414">
        <f>COUNTIF('Metrics - Articles'!H413,"*EMEA*")</f>
        <v>0</v>
      </c>
      <c r="E414">
        <f>COUNTIF('Metrics - Articles'!H413,"*NA*")</f>
        <v>0</v>
      </c>
      <c r="F414">
        <f>COUNTIF('Metrics - Articles'!H413,"*APJ")</f>
        <v>0</v>
      </c>
      <c r="G414">
        <f>COUNTIF('Metrics - Articles'!H413,"*LATAM*")</f>
        <v>0</v>
      </c>
      <c r="H414">
        <f>COUNTIF('Metrics - Articles'!H413,"*China*")</f>
        <v>0</v>
      </c>
      <c r="J414" s="53">
        <f t="shared" si="7"/>
        <v>0</v>
      </c>
    </row>
    <row r="415" spans="2:10" x14ac:dyDescent="0.25">
      <c r="B415" s="48">
        <f>+'Metrics - Articles'!C414</f>
        <v>0</v>
      </c>
      <c r="C415">
        <f>COUNTIF('Metrics - Articles'!H414,"*Global*")</f>
        <v>0</v>
      </c>
      <c r="D415">
        <f>COUNTIF('Metrics - Articles'!H414,"*EMEA*")</f>
        <v>0</v>
      </c>
      <c r="E415">
        <f>COUNTIF('Metrics - Articles'!H414,"*NA*")</f>
        <v>0</v>
      </c>
      <c r="F415">
        <f>COUNTIF('Metrics - Articles'!H414,"*APJ")</f>
        <v>0</v>
      </c>
      <c r="G415">
        <f>COUNTIF('Metrics - Articles'!H414,"*LATAM*")</f>
        <v>0</v>
      </c>
      <c r="H415">
        <f>COUNTIF('Metrics - Articles'!H414,"*China*")</f>
        <v>0</v>
      </c>
      <c r="J415" s="53">
        <f t="shared" si="7"/>
        <v>0</v>
      </c>
    </row>
    <row r="416" spans="2:10" x14ac:dyDescent="0.25">
      <c r="B416" s="48">
        <f>+'Metrics - Articles'!C415</f>
        <v>0</v>
      </c>
      <c r="C416">
        <f>COUNTIF('Metrics - Articles'!H415,"*Global*")</f>
        <v>0</v>
      </c>
      <c r="D416">
        <f>COUNTIF('Metrics - Articles'!H415,"*EMEA*")</f>
        <v>0</v>
      </c>
      <c r="E416">
        <f>COUNTIF('Metrics - Articles'!H415,"*NA*")</f>
        <v>0</v>
      </c>
      <c r="F416">
        <f>COUNTIF('Metrics - Articles'!H415,"*APJ")</f>
        <v>0</v>
      </c>
      <c r="G416">
        <f>COUNTIF('Metrics - Articles'!H415,"*LATAM*")</f>
        <v>0</v>
      </c>
      <c r="H416">
        <f>COUNTIF('Metrics - Articles'!H415,"*China*")</f>
        <v>0</v>
      </c>
      <c r="J416" s="53">
        <f t="shared" si="7"/>
        <v>0</v>
      </c>
    </row>
    <row r="417" spans="2:10" x14ac:dyDescent="0.25">
      <c r="B417" s="48">
        <f>+'Metrics - Articles'!C416</f>
        <v>0</v>
      </c>
      <c r="C417">
        <f>COUNTIF('Metrics - Articles'!H416,"*Global*")</f>
        <v>0</v>
      </c>
      <c r="D417">
        <f>COUNTIF('Metrics - Articles'!H416,"*EMEA*")</f>
        <v>0</v>
      </c>
      <c r="E417">
        <f>COUNTIF('Metrics - Articles'!H416,"*NA*")</f>
        <v>0</v>
      </c>
      <c r="F417">
        <f>COUNTIF('Metrics - Articles'!H416,"*APJ")</f>
        <v>0</v>
      </c>
      <c r="G417">
        <f>COUNTIF('Metrics - Articles'!H416,"*LATAM*")</f>
        <v>0</v>
      </c>
      <c r="H417">
        <f>COUNTIF('Metrics - Articles'!H416,"*China*")</f>
        <v>0</v>
      </c>
      <c r="J417" s="53">
        <f t="shared" si="7"/>
        <v>0</v>
      </c>
    </row>
    <row r="418" spans="2:10" x14ac:dyDescent="0.25">
      <c r="B418" s="48">
        <f>+'Metrics - Articles'!C417</f>
        <v>0</v>
      </c>
      <c r="C418">
        <f>COUNTIF('Metrics - Articles'!H417,"*Global*")</f>
        <v>0</v>
      </c>
      <c r="D418">
        <f>COUNTIF('Metrics - Articles'!H417,"*EMEA*")</f>
        <v>0</v>
      </c>
      <c r="E418">
        <f>COUNTIF('Metrics - Articles'!H417,"*NA*")</f>
        <v>0</v>
      </c>
      <c r="F418">
        <f>COUNTIF('Metrics - Articles'!H417,"*APJ")</f>
        <v>0</v>
      </c>
      <c r="G418">
        <f>COUNTIF('Metrics - Articles'!H417,"*LATAM*")</f>
        <v>0</v>
      </c>
      <c r="H418">
        <f>COUNTIF('Metrics - Articles'!H417,"*China*")</f>
        <v>0</v>
      </c>
      <c r="J418" s="53">
        <f t="shared" si="7"/>
        <v>0</v>
      </c>
    </row>
    <row r="419" spans="2:10" x14ac:dyDescent="0.25">
      <c r="B419" s="48">
        <f>+'Metrics - Articles'!C418</f>
        <v>0</v>
      </c>
      <c r="C419">
        <f>COUNTIF('Metrics - Articles'!H418,"*Global*")</f>
        <v>0</v>
      </c>
      <c r="D419">
        <f>COUNTIF('Metrics - Articles'!H418,"*EMEA*")</f>
        <v>0</v>
      </c>
      <c r="E419">
        <f>COUNTIF('Metrics - Articles'!H418,"*NA*")</f>
        <v>0</v>
      </c>
      <c r="F419">
        <f>COUNTIF('Metrics - Articles'!H418,"*APJ")</f>
        <v>0</v>
      </c>
      <c r="G419">
        <f>COUNTIF('Metrics - Articles'!H418,"*LATAM*")</f>
        <v>0</v>
      </c>
      <c r="H419">
        <f>COUNTIF('Metrics - Articles'!H418,"*China*")</f>
        <v>0</v>
      </c>
      <c r="J419" s="53">
        <f t="shared" si="7"/>
        <v>0</v>
      </c>
    </row>
    <row r="420" spans="2:10" x14ac:dyDescent="0.25">
      <c r="B420" s="48">
        <f>+'Metrics - Articles'!C419</f>
        <v>0</v>
      </c>
      <c r="C420">
        <f>COUNTIF('Metrics - Articles'!H419,"*Global*")</f>
        <v>0</v>
      </c>
      <c r="D420">
        <f>COUNTIF('Metrics - Articles'!H419,"*EMEA*")</f>
        <v>0</v>
      </c>
      <c r="E420">
        <f>COUNTIF('Metrics - Articles'!H419,"*NA*")</f>
        <v>0</v>
      </c>
      <c r="F420">
        <f>COUNTIF('Metrics - Articles'!H419,"*APJ")</f>
        <v>0</v>
      </c>
      <c r="G420">
        <f>COUNTIF('Metrics - Articles'!H419,"*LATAM*")</f>
        <v>0</v>
      </c>
      <c r="H420">
        <f>COUNTIF('Metrics - Articles'!H419,"*China*")</f>
        <v>0</v>
      </c>
      <c r="J420" s="53">
        <f t="shared" si="7"/>
        <v>0</v>
      </c>
    </row>
    <row r="421" spans="2:10" x14ac:dyDescent="0.25">
      <c r="B421" s="48">
        <f>+'Metrics - Articles'!C420</f>
        <v>0</v>
      </c>
      <c r="C421">
        <f>COUNTIF('Metrics - Articles'!H420,"*Global*")</f>
        <v>0</v>
      </c>
      <c r="D421">
        <f>COUNTIF('Metrics - Articles'!H420,"*EMEA*")</f>
        <v>0</v>
      </c>
      <c r="E421">
        <f>COUNTIF('Metrics - Articles'!H420,"*NA*")</f>
        <v>0</v>
      </c>
      <c r="F421">
        <f>COUNTIF('Metrics - Articles'!H420,"*APJ")</f>
        <v>0</v>
      </c>
      <c r="G421">
        <f>COUNTIF('Metrics - Articles'!H420,"*LATAM*")</f>
        <v>0</v>
      </c>
      <c r="H421">
        <f>COUNTIF('Metrics - Articles'!H420,"*China*")</f>
        <v>0</v>
      </c>
      <c r="J421" s="53">
        <f t="shared" si="7"/>
        <v>0</v>
      </c>
    </row>
    <row r="422" spans="2:10" x14ac:dyDescent="0.25">
      <c r="B422" s="48">
        <f>+'Metrics - Articles'!C421</f>
        <v>0</v>
      </c>
      <c r="C422">
        <f>COUNTIF('Metrics - Articles'!H421,"*Global*")</f>
        <v>0</v>
      </c>
      <c r="D422">
        <f>COUNTIF('Metrics - Articles'!H421,"*EMEA*")</f>
        <v>0</v>
      </c>
      <c r="E422">
        <f>COUNTIF('Metrics - Articles'!H421,"*NA*")</f>
        <v>0</v>
      </c>
      <c r="F422">
        <f>COUNTIF('Metrics - Articles'!H421,"*APJ")</f>
        <v>0</v>
      </c>
      <c r="G422">
        <f>COUNTIF('Metrics - Articles'!H421,"*LATAM*")</f>
        <v>0</v>
      </c>
      <c r="H422">
        <f>COUNTIF('Metrics - Articles'!H421,"*China*")</f>
        <v>0</v>
      </c>
      <c r="J422" s="53">
        <f t="shared" si="7"/>
        <v>0</v>
      </c>
    </row>
    <row r="423" spans="2:10" x14ac:dyDescent="0.25">
      <c r="B423" s="48">
        <f>+'Metrics - Articles'!C422</f>
        <v>0</v>
      </c>
      <c r="C423">
        <f>COUNTIF('Metrics - Articles'!H422,"*Global*")</f>
        <v>0</v>
      </c>
      <c r="D423">
        <f>COUNTIF('Metrics - Articles'!H422,"*EMEA*")</f>
        <v>0</v>
      </c>
      <c r="E423">
        <f>COUNTIF('Metrics - Articles'!H422,"*NA*")</f>
        <v>0</v>
      </c>
      <c r="F423">
        <f>COUNTIF('Metrics - Articles'!H422,"*APJ")</f>
        <v>0</v>
      </c>
      <c r="G423">
        <f>COUNTIF('Metrics - Articles'!H422,"*LATAM*")</f>
        <v>0</v>
      </c>
      <c r="H423">
        <f>COUNTIF('Metrics - Articles'!H422,"*China*")</f>
        <v>0</v>
      </c>
      <c r="J423" s="53">
        <f t="shared" si="7"/>
        <v>0</v>
      </c>
    </row>
    <row r="424" spans="2:10" x14ac:dyDescent="0.25">
      <c r="B424" s="48">
        <f>+'Metrics - Articles'!C423</f>
        <v>0</v>
      </c>
      <c r="C424">
        <f>COUNTIF('Metrics - Articles'!H423,"*Global*")</f>
        <v>0</v>
      </c>
      <c r="D424">
        <f>COUNTIF('Metrics - Articles'!H423,"*EMEA*")</f>
        <v>0</v>
      </c>
      <c r="E424">
        <f>COUNTIF('Metrics - Articles'!H423,"*NA*")</f>
        <v>0</v>
      </c>
      <c r="F424">
        <f>COUNTIF('Metrics - Articles'!H423,"*APJ")</f>
        <v>0</v>
      </c>
      <c r="G424">
        <f>COUNTIF('Metrics - Articles'!H423,"*LATAM*")</f>
        <v>0</v>
      </c>
      <c r="H424">
        <f>COUNTIF('Metrics - Articles'!H423,"*China*")</f>
        <v>0</v>
      </c>
      <c r="J424" s="53">
        <f t="shared" si="7"/>
        <v>0</v>
      </c>
    </row>
    <row r="425" spans="2:10" x14ac:dyDescent="0.25">
      <c r="B425" s="48">
        <f>+'Metrics - Articles'!C424</f>
        <v>0</v>
      </c>
      <c r="C425">
        <f>COUNTIF('Metrics - Articles'!H424,"*Global*")</f>
        <v>0</v>
      </c>
      <c r="D425">
        <f>COUNTIF('Metrics - Articles'!H424,"*EMEA*")</f>
        <v>0</v>
      </c>
      <c r="E425">
        <f>COUNTIF('Metrics - Articles'!H424,"*NA*")</f>
        <v>0</v>
      </c>
      <c r="F425">
        <f>COUNTIF('Metrics - Articles'!H424,"*APJ")</f>
        <v>0</v>
      </c>
      <c r="G425">
        <f>COUNTIF('Metrics - Articles'!H424,"*LATAM*")</f>
        <v>0</v>
      </c>
      <c r="H425">
        <f>COUNTIF('Metrics - Articles'!H424,"*China*")</f>
        <v>0</v>
      </c>
      <c r="J425" s="53">
        <f t="shared" si="7"/>
        <v>0</v>
      </c>
    </row>
    <row r="426" spans="2:10" x14ac:dyDescent="0.25">
      <c r="B426" s="48">
        <f>+'Metrics - Articles'!C425</f>
        <v>0</v>
      </c>
      <c r="C426">
        <f>COUNTIF('Metrics - Articles'!H425,"*Global*")</f>
        <v>0</v>
      </c>
      <c r="D426">
        <f>COUNTIF('Metrics - Articles'!H425,"*EMEA*")</f>
        <v>0</v>
      </c>
      <c r="E426">
        <f>COUNTIF('Metrics - Articles'!H425,"*NA*")</f>
        <v>0</v>
      </c>
      <c r="F426">
        <f>COUNTIF('Metrics - Articles'!H425,"*APJ")</f>
        <v>0</v>
      </c>
      <c r="G426">
        <f>COUNTIF('Metrics - Articles'!H425,"*LATAM*")</f>
        <v>0</v>
      </c>
      <c r="H426">
        <f>COUNTIF('Metrics - Articles'!H425,"*China*")</f>
        <v>0</v>
      </c>
      <c r="J426" s="53">
        <f t="shared" si="7"/>
        <v>0</v>
      </c>
    </row>
    <row r="427" spans="2:10" x14ac:dyDescent="0.25">
      <c r="B427" s="48">
        <f>+'Metrics - Articles'!C426</f>
        <v>0</v>
      </c>
      <c r="C427">
        <f>COUNTIF('Metrics - Articles'!H426,"*Global*")</f>
        <v>0</v>
      </c>
      <c r="D427">
        <f>COUNTIF('Metrics - Articles'!H426,"*EMEA*")</f>
        <v>0</v>
      </c>
      <c r="E427">
        <f>COUNTIF('Metrics - Articles'!H426,"*NA*")</f>
        <v>0</v>
      </c>
      <c r="F427">
        <f>COUNTIF('Metrics - Articles'!H426,"*APJ")</f>
        <v>0</v>
      </c>
      <c r="G427">
        <f>COUNTIF('Metrics - Articles'!H426,"*LATAM*")</f>
        <v>0</v>
      </c>
      <c r="H427">
        <f>COUNTIF('Metrics - Articles'!H426,"*China*")</f>
        <v>0</v>
      </c>
      <c r="J427" s="53">
        <f t="shared" si="7"/>
        <v>0</v>
      </c>
    </row>
    <row r="428" spans="2:10" x14ac:dyDescent="0.25">
      <c r="B428" s="48">
        <f>+'Metrics - Articles'!C427</f>
        <v>0</v>
      </c>
      <c r="C428">
        <f>COUNTIF('Metrics - Articles'!H427,"*Global*")</f>
        <v>0</v>
      </c>
      <c r="D428">
        <f>COUNTIF('Metrics - Articles'!H427,"*EMEA*")</f>
        <v>0</v>
      </c>
      <c r="E428">
        <f>COUNTIF('Metrics - Articles'!H427,"*NA*")</f>
        <v>0</v>
      </c>
      <c r="F428">
        <f>COUNTIF('Metrics - Articles'!H427,"*APJ")</f>
        <v>0</v>
      </c>
      <c r="G428">
        <f>COUNTIF('Metrics - Articles'!H427,"*LATAM*")</f>
        <v>0</v>
      </c>
      <c r="H428">
        <f>COUNTIF('Metrics - Articles'!H427,"*China*")</f>
        <v>0</v>
      </c>
      <c r="J428" s="53">
        <f t="shared" si="7"/>
        <v>0</v>
      </c>
    </row>
    <row r="429" spans="2:10" x14ac:dyDescent="0.25">
      <c r="B429" s="48">
        <f>+'Metrics - Articles'!C428</f>
        <v>0</v>
      </c>
      <c r="C429">
        <f>COUNTIF('Metrics - Articles'!H428,"*Global*")</f>
        <v>0</v>
      </c>
      <c r="D429">
        <f>COUNTIF('Metrics - Articles'!H428,"*EMEA*")</f>
        <v>0</v>
      </c>
      <c r="E429">
        <f>COUNTIF('Metrics - Articles'!H428,"*NA*")</f>
        <v>0</v>
      </c>
      <c r="F429">
        <f>COUNTIF('Metrics - Articles'!H428,"*APJ")</f>
        <v>0</v>
      </c>
      <c r="G429">
        <f>COUNTIF('Metrics - Articles'!H428,"*LATAM*")</f>
        <v>0</v>
      </c>
      <c r="H429">
        <f>COUNTIF('Metrics - Articles'!H428,"*China*")</f>
        <v>0</v>
      </c>
      <c r="J429" s="53">
        <f t="shared" si="7"/>
        <v>0</v>
      </c>
    </row>
    <row r="430" spans="2:10" x14ac:dyDescent="0.25">
      <c r="B430" s="48">
        <f>+'Metrics - Articles'!C429</f>
        <v>0</v>
      </c>
      <c r="C430">
        <f>COUNTIF('Metrics - Articles'!H429,"*Global*")</f>
        <v>0</v>
      </c>
      <c r="D430">
        <f>COUNTIF('Metrics - Articles'!H429,"*EMEA*")</f>
        <v>0</v>
      </c>
      <c r="E430">
        <f>COUNTIF('Metrics - Articles'!H429,"*NA*")</f>
        <v>0</v>
      </c>
      <c r="F430">
        <f>COUNTIF('Metrics - Articles'!H429,"*APJ")</f>
        <v>0</v>
      </c>
      <c r="G430">
        <f>COUNTIF('Metrics - Articles'!H429,"*LATAM*")</f>
        <v>0</v>
      </c>
      <c r="H430">
        <f>COUNTIF('Metrics - Articles'!H429,"*China*")</f>
        <v>0</v>
      </c>
      <c r="J430" s="53">
        <f t="shared" si="7"/>
        <v>0</v>
      </c>
    </row>
    <row r="431" spans="2:10" x14ac:dyDescent="0.25">
      <c r="B431" s="48">
        <f>+'Metrics - Articles'!C430</f>
        <v>0</v>
      </c>
      <c r="C431">
        <f>COUNTIF('Metrics - Articles'!H430,"*Global*")</f>
        <v>0</v>
      </c>
      <c r="D431">
        <f>COUNTIF('Metrics - Articles'!H430,"*EMEA*")</f>
        <v>0</v>
      </c>
      <c r="E431">
        <f>COUNTIF('Metrics - Articles'!H430,"*NA*")</f>
        <v>0</v>
      </c>
      <c r="F431">
        <f>COUNTIF('Metrics - Articles'!H430,"*APJ")</f>
        <v>0</v>
      </c>
      <c r="G431">
        <f>COUNTIF('Metrics - Articles'!H430,"*LATAM*")</f>
        <v>0</v>
      </c>
      <c r="H431">
        <f>COUNTIF('Metrics - Articles'!H430,"*China*")</f>
        <v>0</v>
      </c>
      <c r="J431" s="53">
        <f t="shared" si="7"/>
        <v>0</v>
      </c>
    </row>
    <row r="432" spans="2:10" x14ac:dyDescent="0.25">
      <c r="B432" s="48">
        <f>+'Metrics - Articles'!C431</f>
        <v>0</v>
      </c>
      <c r="C432">
        <f>COUNTIF('Metrics - Articles'!H431,"*Global*")</f>
        <v>0</v>
      </c>
      <c r="D432">
        <f>COUNTIF('Metrics - Articles'!H431,"*EMEA*")</f>
        <v>0</v>
      </c>
      <c r="E432">
        <f>COUNTIF('Metrics - Articles'!H431,"*NA*")</f>
        <v>0</v>
      </c>
      <c r="F432">
        <f>COUNTIF('Metrics - Articles'!H431,"*APJ")</f>
        <v>0</v>
      </c>
      <c r="G432">
        <f>COUNTIF('Metrics - Articles'!H431,"*LATAM*")</f>
        <v>0</v>
      </c>
      <c r="H432">
        <f>COUNTIF('Metrics - Articles'!H431,"*China*")</f>
        <v>0</v>
      </c>
      <c r="J432" s="53">
        <f t="shared" si="7"/>
        <v>0</v>
      </c>
    </row>
    <row r="433" spans="2:10" x14ac:dyDescent="0.25">
      <c r="B433" s="48">
        <f>+'Metrics - Articles'!C432</f>
        <v>0</v>
      </c>
      <c r="C433">
        <f>COUNTIF('Metrics - Articles'!H432,"*Global*")</f>
        <v>0</v>
      </c>
      <c r="D433">
        <f>COUNTIF('Metrics - Articles'!H432,"*EMEA*")</f>
        <v>0</v>
      </c>
      <c r="E433">
        <f>COUNTIF('Metrics - Articles'!H432,"*NA*")</f>
        <v>0</v>
      </c>
      <c r="F433">
        <f>COUNTIF('Metrics - Articles'!H432,"*APJ")</f>
        <v>0</v>
      </c>
      <c r="G433">
        <f>COUNTIF('Metrics - Articles'!H432,"*LATAM*")</f>
        <v>0</v>
      </c>
      <c r="H433">
        <f>COUNTIF('Metrics - Articles'!H432,"*China*")</f>
        <v>0</v>
      </c>
      <c r="J433" s="53">
        <f t="shared" si="7"/>
        <v>0</v>
      </c>
    </row>
    <row r="434" spans="2:10" x14ac:dyDescent="0.25">
      <c r="B434" s="48">
        <f>+'Metrics - Articles'!C433</f>
        <v>0</v>
      </c>
      <c r="C434">
        <f>COUNTIF('Metrics - Articles'!H433,"*Global*")</f>
        <v>0</v>
      </c>
      <c r="D434">
        <f>COUNTIF('Metrics - Articles'!H433,"*EMEA*")</f>
        <v>0</v>
      </c>
      <c r="E434">
        <f>COUNTIF('Metrics - Articles'!H433,"*NA*")</f>
        <v>0</v>
      </c>
      <c r="F434">
        <f>COUNTIF('Metrics - Articles'!H433,"*APJ")</f>
        <v>0</v>
      </c>
      <c r="G434">
        <f>COUNTIF('Metrics - Articles'!H433,"*LATAM*")</f>
        <v>0</v>
      </c>
      <c r="H434">
        <f>COUNTIF('Metrics - Articles'!H433,"*China*")</f>
        <v>0</v>
      </c>
      <c r="J434" s="53">
        <f t="shared" si="7"/>
        <v>0</v>
      </c>
    </row>
    <row r="435" spans="2:10" x14ac:dyDescent="0.25">
      <c r="B435" s="48">
        <f>+'Metrics - Articles'!C434</f>
        <v>0</v>
      </c>
      <c r="C435">
        <f>COUNTIF('Metrics - Articles'!H434,"*Global*")</f>
        <v>0</v>
      </c>
      <c r="D435">
        <f>COUNTIF('Metrics - Articles'!H434,"*EMEA*")</f>
        <v>0</v>
      </c>
      <c r="E435">
        <f>COUNTIF('Metrics - Articles'!H434,"*NA*")</f>
        <v>0</v>
      </c>
      <c r="F435">
        <f>COUNTIF('Metrics - Articles'!H434,"*APJ")</f>
        <v>0</v>
      </c>
      <c r="G435">
        <f>COUNTIF('Metrics - Articles'!H434,"*LATAM*")</f>
        <v>0</v>
      </c>
      <c r="H435">
        <f>COUNTIF('Metrics - Articles'!H434,"*China*")</f>
        <v>0</v>
      </c>
      <c r="J435" s="53">
        <f t="shared" si="7"/>
        <v>0</v>
      </c>
    </row>
    <row r="436" spans="2:10" x14ac:dyDescent="0.25">
      <c r="B436" s="48">
        <f>+'Metrics - Articles'!C435</f>
        <v>0</v>
      </c>
      <c r="C436">
        <f>COUNTIF('Metrics - Articles'!H435,"*Global*")</f>
        <v>0</v>
      </c>
      <c r="D436">
        <f>COUNTIF('Metrics - Articles'!H435,"*EMEA*")</f>
        <v>0</v>
      </c>
      <c r="E436">
        <f>COUNTIF('Metrics - Articles'!H435,"*NA*")</f>
        <v>0</v>
      </c>
      <c r="F436">
        <f>COUNTIF('Metrics - Articles'!H435,"*APJ")</f>
        <v>0</v>
      </c>
      <c r="G436">
        <f>COUNTIF('Metrics - Articles'!H435,"*LATAM*")</f>
        <v>0</v>
      </c>
      <c r="H436">
        <f>COUNTIF('Metrics - Articles'!H435,"*China*")</f>
        <v>0</v>
      </c>
      <c r="J436" s="53">
        <f t="shared" si="7"/>
        <v>0</v>
      </c>
    </row>
    <row r="437" spans="2:10" x14ac:dyDescent="0.25">
      <c r="B437" s="48">
        <f>+'Metrics - Articles'!C436</f>
        <v>0</v>
      </c>
      <c r="C437">
        <f>COUNTIF('Metrics - Articles'!H436,"*Global*")</f>
        <v>0</v>
      </c>
      <c r="D437">
        <f>COUNTIF('Metrics - Articles'!H436,"*EMEA*")</f>
        <v>0</v>
      </c>
      <c r="E437">
        <f>COUNTIF('Metrics - Articles'!H436,"*NA*")</f>
        <v>0</v>
      </c>
      <c r="F437">
        <f>COUNTIF('Metrics - Articles'!H436,"*APJ")</f>
        <v>0</v>
      </c>
      <c r="G437">
        <f>COUNTIF('Metrics - Articles'!H436,"*LATAM*")</f>
        <v>0</v>
      </c>
      <c r="H437">
        <f>COUNTIF('Metrics - Articles'!H436,"*China*")</f>
        <v>0</v>
      </c>
      <c r="J437" s="53">
        <f t="shared" si="7"/>
        <v>0</v>
      </c>
    </row>
    <row r="438" spans="2:10" x14ac:dyDescent="0.25">
      <c r="B438" s="48">
        <f>+'Metrics - Articles'!C437</f>
        <v>0</v>
      </c>
      <c r="C438">
        <f>COUNTIF('Metrics - Articles'!H437,"*Global*")</f>
        <v>0</v>
      </c>
      <c r="D438">
        <f>COUNTIF('Metrics - Articles'!H437,"*EMEA*")</f>
        <v>0</v>
      </c>
      <c r="E438">
        <f>COUNTIF('Metrics - Articles'!H437,"*NA*")</f>
        <v>0</v>
      </c>
      <c r="F438">
        <f>COUNTIF('Metrics - Articles'!H437,"*APJ")</f>
        <v>0</v>
      </c>
      <c r="G438">
        <f>COUNTIF('Metrics - Articles'!H437,"*LATAM*")</f>
        <v>0</v>
      </c>
      <c r="H438">
        <f>COUNTIF('Metrics - Articles'!H437,"*China*")</f>
        <v>0</v>
      </c>
      <c r="J438" s="53">
        <f t="shared" si="7"/>
        <v>0</v>
      </c>
    </row>
    <row r="439" spans="2:10" x14ac:dyDescent="0.25">
      <c r="B439" s="48">
        <f>+'Metrics - Articles'!C438</f>
        <v>0</v>
      </c>
      <c r="C439">
        <f>COUNTIF('Metrics - Articles'!H438,"*Global*")</f>
        <v>0</v>
      </c>
      <c r="D439">
        <f>COUNTIF('Metrics - Articles'!H438,"*EMEA*")</f>
        <v>0</v>
      </c>
      <c r="E439">
        <f>COUNTIF('Metrics - Articles'!H438,"*NA*")</f>
        <v>0</v>
      </c>
      <c r="F439">
        <f>COUNTIF('Metrics - Articles'!H438,"*APJ")</f>
        <v>0</v>
      </c>
      <c r="G439">
        <f>COUNTIF('Metrics - Articles'!H438,"*LATAM*")</f>
        <v>0</v>
      </c>
      <c r="H439">
        <f>COUNTIF('Metrics - Articles'!H438,"*China*")</f>
        <v>0</v>
      </c>
      <c r="J439" s="53">
        <f t="shared" si="7"/>
        <v>0</v>
      </c>
    </row>
    <row r="440" spans="2:10" x14ac:dyDescent="0.25">
      <c r="B440" s="48">
        <f>+'Metrics - Articles'!C439</f>
        <v>0</v>
      </c>
      <c r="C440">
        <f>COUNTIF('Metrics - Articles'!H439,"*Global*")</f>
        <v>0</v>
      </c>
      <c r="D440">
        <f>COUNTIF('Metrics - Articles'!H439,"*EMEA*")</f>
        <v>0</v>
      </c>
      <c r="E440">
        <f>COUNTIF('Metrics - Articles'!H439,"*NA*")</f>
        <v>0</v>
      </c>
      <c r="F440">
        <f>COUNTIF('Metrics - Articles'!H439,"*APJ")</f>
        <v>0</v>
      </c>
      <c r="G440">
        <f>COUNTIF('Metrics - Articles'!H439,"*LATAM*")</f>
        <v>0</v>
      </c>
      <c r="H440">
        <f>COUNTIF('Metrics - Articles'!H439,"*China*")</f>
        <v>0</v>
      </c>
      <c r="J440" s="53">
        <f t="shared" si="7"/>
        <v>0</v>
      </c>
    </row>
    <row r="441" spans="2:10" x14ac:dyDescent="0.25">
      <c r="B441" s="48">
        <f>+'Metrics - Articles'!C440</f>
        <v>0</v>
      </c>
      <c r="C441">
        <f>COUNTIF('Metrics - Articles'!H440,"*Global*")</f>
        <v>0</v>
      </c>
      <c r="D441">
        <f>COUNTIF('Metrics - Articles'!H440,"*EMEA*")</f>
        <v>0</v>
      </c>
      <c r="E441">
        <f>COUNTIF('Metrics - Articles'!H440,"*NA*")</f>
        <v>0</v>
      </c>
      <c r="F441">
        <f>COUNTIF('Metrics - Articles'!H440,"*APJ")</f>
        <v>0</v>
      </c>
      <c r="G441">
        <f>COUNTIF('Metrics - Articles'!H440,"*LATAM*")</f>
        <v>0</v>
      </c>
      <c r="H441">
        <f>COUNTIF('Metrics - Articles'!H440,"*China*")</f>
        <v>0</v>
      </c>
      <c r="J441" s="53">
        <f t="shared" si="7"/>
        <v>0</v>
      </c>
    </row>
    <row r="442" spans="2:10" x14ac:dyDescent="0.25">
      <c r="B442" s="48">
        <f>+'Metrics - Articles'!C441</f>
        <v>0</v>
      </c>
      <c r="C442">
        <f>COUNTIF('Metrics - Articles'!H441,"*Global*")</f>
        <v>0</v>
      </c>
      <c r="D442">
        <f>COUNTIF('Metrics - Articles'!H441,"*EMEA*")</f>
        <v>0</v>
      </c>
      <c r="E442">
        <f>COUNTIF('Metrics - Articles'!H441,"*NA*")</f>
        <v>0</v>
      </c>
      <c r="F442">
        <f>COUNTIF('Metrics - Articles'!H441,"*APJ")</f>
        <v>0</v>
      </c>
      <c r="G442">
        <f>COUNTIF('Metrics - Articles'!H441,"*LATAM*")</f>
        <v>0</v>
      </c>
      <c r="H442">
        <f>COUNTIF('Metrics - Articles'!H441,"*China*")</f>
        <v>0</v>
      </c>
      <c r="J442" s="53">
        <f t="shared" si="7"/>
        <v>0</v>
      </c>
    </row>
    <row r="443" spans="2:10" x14ac:dyDescent="0.25">
      <c r="B443" s="48">
        <f>+'Metrics - Articles'!C442</f>
        <v>0</v>
      </c>
      <c r="C443">
        <f>COUNTIF('Metrics - Articles'!H442,"*Global*")</f>
        <v>0</v>
      </c>
      <c r="D443">
        <f>COUNTIF('Metrics - Articles'!H442,"*EMEA*")</f>
        <v>0</v>
      </c>
      <c r="E443">
        <f>COUNTIF('Metrics - Articles'!H442,"*NA*")</f>
        <v>0</v>
      </c>
      <c r="F443">
        <f>COUNTIF('Metrics - Articles'!H442,"*APJ")</f>
        <v>0</v>
      </c>
      <c r="G443">
        <f>COUNTIF('Metrics - Articles'!H442,"*LATAM*")</f>
        <v>0</v>
      </c>
      <c r="H443">
        <f>COUNTIF('Metrics - Articles'!H442,"*China*")</f>
        <v>0</v>
      </c>
      <c r="J443" s="53">
        <f t="shared" si="7"/>
        <v>0</v>
      </c>
    </row>
    <row r="444" spans="2:10" x14ac:dyDescent="0.25">
      <c r="B444" s="48">
        <f>+'Metrics - Articles'!C443</f>
        <v>0</v>
      </c>
      <c r="C444">
        <f>COUNTIF('Metrics - Articles'!H443,"*Global*")</f>
        <v>0</v>
      </c>
      <c r="D444">
        <f>COUNTIF('Metrics - Articles'!H443,"*EMEA*")</f>
        <v>0</v>
      </c>
      <c r="E444">
        <f>COUNTIF('Metrics - Articles'!H443,"*NA*")</f>
        <v>0</v>
      </c>
      <c r="F444">
        <f>COUNTIF('Metrics - Articles'!H443,"*APJ")</f>
        <v>0</v>
      </c>
      <c r="G444">
        <f>COUNTIF('Metrics - Articles'!H443,"*LATAM*")</f>
        <v>0</v>
      </c>
      <c r="H444">
        <f>COUNTIF('Metrics - Articles'!H443,"*China*")</f>
        <v>0</v>
      </c>
      <c r="J444" s="53">
        <f t="shared" si="7"/>
        <v>0</v>
      </c>
    </row>
    <row r="445" spans="2:10" x14ac:dyDescent="0.25">
      <c r="B445" s="48">
        <f>+'Metrics - Articles'!C444</f>
        <v>0</v>
      </c>
      <c r="C445">
        <f>COUNTIF('Metrics - Articles'!H444,"*Global*")</f>
        <v>0</v>
      </c>
      <c r="D445">
        <f>COUNTIF('Metrics - Articles'!H444,"*EMEA*")</f>
        <v>0</v>
      </c>
      <c r="E445">
        <f>COUNTIF('Metrics - Articles'!H444,"*NA*")</f>
        <v>0</v>
      </c>
      <c r="F445">
        <f>COUNTIF('Metrics - Articles'!H444,"*APJ")</f>
        <v>0</v>
      </c>
      <c r="G445">
        <f>COUNTIF('Metrics - Articles'!H444,"*LATAM*")</f>
        <v>0</v>
      </c>
      <c r="H445">
        <f>COUNTIF('Metrics - Articles'!H444,"*China*")</f>
        <v>0</v>
      </c>
      <c r="J445" s="53">
        <f t="shared" si="7"/>
        <v>0</v>
      </c>
    </row>
    <row r="446" spans="2:10" x14ac:dyDescent="0.25">
      <c r="B446" s="48">
        <f>+'Metrics - Articles'!C445</f>
        <v>0</v>
      </c>
      <c r="C446">
        <f>COUNTIF('Metrics - Articles'!H445,"*Global*")</f>
        <v>0</v>
      </c>
      <c r="D446">
        <f>COUNTIF('Metrics - Articles'!H445,"*EMEA*")</f>
        <v>0</v>
      </c>
      <c r="E446">
        <f>COUNTIF('Metrics - Articles'!H445,"*NA*")</f>
        <v>0</v>
      </c>
      <c r="F446">
        <f>COUNTIF('Metrics - Articles'!H445,"*APJ")</f>
        <v>0</v>
      </c>
      <c r="G446">
        <f>COUNTIF('Metrics - Articles'!H445,"*LATAM*")</f>
        <v>0</v>
      </c>
      <c r="H446">
        <f>COUNTIF('Metrics - Articles'!H445,"*China*")</f>
        <v>0</v>
      </c>
      <c r="J446" s="53">
        <f t="shared" si="7"/>
        <v>0</v>
      </c>
    </row>
    <row r="447" spans="2:10" x14ac:dyDescent="0.25">
      <c r="B447" s="48">
        <f>+'Metrics - Articles'!C446</f>
        <v>0</v>
      </c>
      <c r="C447">
        <f>COUNTIF('Metrics - Articles'!H446,"*Global*")</f>
        <v>0</v>
      </c>
      <c r="D447">
        <f>COUNTIF('Metrics - Articles'!H446,"*EMEA*")</f>
        <v>0</v>
      </c>
      <c r="E447">
        <f>COUNTIF('Metrics - Articles'!H446,"*NA*")</f>
        <v>0</v>
      </c>
      <c r="F447">
        <f>COUNTIF('Metrics - Articles'!H446,"*APJ")</f>
        <v>0</v>
      </c>
      <c r="G447">
        <f>COUNTIF('Metrics - Articles'!H446,"*LATAM*")</f>
        <v>0</v>
      </c>
      <c r="H447">
        <f>COUNTIF('Metrics - Articles'!H446,"*China*")</f>
        <v>0</v>
      </c>
      <c r="J447" s="53">
        <f t="shared" si="7"/>
        <v>0</v>
      </c>
    </row>
    <row r="448" spans="2:10" x14ac:dyDescent="0.25">
      <c r="B448" s="48">
        <f>+'Metrics - Articles'!C447</f>
        <v>0</v>
      </c>
      <c r="C448">
        <f>COUNTIF('Metrics - Articles'!H447,"*Global*")</f>
        <v>0</v>
      </c>
      <c r="D448">
        <f>COUNTIF('Metrics - Articles'!H447,"*EMEA*")</f>
        <v>0</v>
      </c>
      <c r="E448">
        <f>COUNTIF('Metrics - Articles'!H447,"*NA*")</f>
        <v>0</v>
      </c>
      <c r="F448">
        <f>COUNTIF('Metrics - Articles'!H447,"*APJ")</f>
        <v>0</v>
      </c>
      <c r="G448">
        <f>COUNTIF('Metrics - Articles'!H447,"*LATAM*")</f>
        <v>0</v>
      </c>
      <c r="H448">
        <f>COUNTIF('Metrics - Articles'!H447,"*China*")</f>
        <v>0</v>
      </c>
      <c r="J448" s="53">
        <f t="shared" si="7"/>
        <v>0</v>
      </c>
    </row>
    <row r="449" spans="2:10" x14ac:dyDescent="0.25">
      <c r="B449" s="48">
        <f>+'Metrics - Articles'!C448</f>
        <v>0</v>
      </c>
      <c r="C449">
        <f>COUNTIF('Metrics - Articles'!H448,"*Global*")</f>
        <v>0</v>
      </c>
      <c r="D449">
        <f>COUNTIF('Metrics - Articles'!H448,"*EMEA*")</f>
        <v>0</v>
      </c>
      <c r="E449">
        <f>COUNTIF('Metrics - Articles'!H448,"*NA*")</f>
        <v>0</v>
      </c>
      <c r="F449">
        <f>COUNTIF('Metrics - Articles'!H448,"*APJ")</f>
        <v>0</v>
      </c>
      <c r="G449">
        <f>COUNTIF('Metrics - Articles'!H448,"*LATAM*")</f>
        <v>0</v>
      </c>
      <c r="H449">
        <f>COUNTIF('Metrics - Articles'!H448,"*China*")</f>
        <v>0</v>
      </c>
      <c r="J449" s="53">
        <f t="shared" si="7"/>
        <v>0</v>
      </c>
    </row>
    <row r="450" spans="2:10" x14ac:dyDescent="0.25">
      <c r="B450" s="48">
        <f>+'Metrics - Articles'!C449</f>
        <v>0</v>
      </c>
      <c r="C450">
        <f>COUNTIF('Metrics - Articles'!H449,"*Global*")</f>
        <v>0</v>
      </c>
      <c r="D450">
        <f>COUNTIF('Metrics - Articles'!H449,"*EMEA*")</f>
        <v>0</v>
      </c>
      <c r="E450">
        <f>COUNTIF('Metrics - Articles'!H449,"*NA*")</f>
        <v>0</v>
      </c>
      <c r="F450">
        <f>COUNTIF('Metrics - Articles'!H449,"*APJ")</f>
        <v>0</v>
      </c>
      <c r="G450">
        <f>COUNTIF('Metrics - Articles'!H449,"*LATAM*")</f>
        <v>0</v>
      </c>
      <c r="H450">
        <f>COUNTIF('Metrics - Articles'!H449,"*China*")</f>
        <v>0</v>
      </c>
      <c r="J450" s="53">
        <f t="shared" si="7"/>
        <v>0</v>
      </c>
    </row>
    <row r="451" spans="2:10" x14ac:dyDescent="0.25">
      <c r="B451" s="48">
        <f>+'Metrics - Articles'!C450</f>
        <v>0</v>
      </c>
      <c r="C451">
        <f>COUNTIF('Metrics - Articles'!H450,"*Global*")</f>
        <v>0</v>
      </c>
      <c r="D451">
        <f>COUNTIF('Metrics - Articles'!H450,"*EMEA*")</f>
        <v>0</v>
      </c>
      <c r="E451">
        <f>COUNTIF('Metrics - Articles'!H450,"*NA*")</f>
        <v>0</v>
      </c>
      <c r="F451">
        <f>COUNTIF('Metrics - Articles'!H450,"*APJ")</f>
        <v>0</v>
      </c>
      <c r="G451">
        <f>COUNTIF('Metrics - Articles'!H450,"*LATAM*")</f>
        <v>0</v>
      </c>
      <c r="H451">
        <f>COUNTIF('Metrics - Articles'!H450,"*China*")</f>
        <v>0</v>
      </c>
      <c r="J451" s="53">
        <f t="shared" si="7"/>
        <v>0</v>
      </c>
    </row>
    <row r="452" spans="2:10" x14ac:dyDescent="0.25">
      <c r="B452" s="48">
        <f>+'Metrics - Articles'!C451</f>
        <v>0</v>
      </c>
      <c r="C452">
        <f>COUNTIF('Metrics - Articles'!H451,"*Global*")</f>
        <v>0</v>
      </c>
      <c r="D452">
        <f>COUNTIF('Metrics - Articles'!H451,"*EMEA*")</f>
        <v>0</v>
      </c>
      <c r="E452">
        <f>COUNTIF('Metrics - Articles'!H451,"*NA*")</f>
        <v>0</v>
      </c>
      <c r="F452">
        <f>COUNTIF('Metrics - Articles'!H451,"*APJ")</f>
        <v>0</v>
      </c>
      <c r="G452">
        <f>COUNTIF('Metrics - Articles'!H451,"*LATAM*")</f>
        <v>0</v>
      </c>
      <c r="H452">
        <f>COUNTIF('Metrics - Articles'!H451,"*China*")</f>
        <v>0</v>
      </c>
      <c r="J452" s="53">
        <f t="shared" si="7"/>
        <v>0</v>
      </c>
    </row>
    <row r="453" spans="2:10" x14ac:dyDescent="0.25">
      <c r="B453" s="48">
        <f>+'Metrics - Articles'!C452</f>
        <v>0</v>
      </c>
      <c r="C453">
        <f>COUNTIF('Metrics - Articles'!H452,"*Global*")</f>
        <v>0</v>
      </c>
      <c r="D453">
        <f>COUNTIF('Metrics - Articles'!H452,"*EMEA*")</f>
        <v>0</v>
      </c>
      <c r="E453">
        <f>COUNTIF('Metrics - Articles'!H452,"*NA*")</f>
        <v>0</v>
      </c>
      <c r="F453">
        <f>COUNTIF('Metrics - Articles'!H452,"*APJ")</f>
        <v>0</v>
      </c>
      <c r="G453">
        <f>COUNTIF('Metrics - Articles'!H452,"*LATAM*")</f>
        <v>0</v>
      </c>
      <c r="H453">
        <f>COUNTIF('Metrics - Articles'!H452,"*China*")</f>
        <v>0</v>
      </c>
      <c r="J453" s="53">
        <f t="shared" si="7"/>
        <v>0</v>
      </c>
    </row>
    <row r="454" spans="2:10" x14ac:dyDescent="0.25">
      <c r="B454" s="48">
        <f>+'Metrics - Articles'!C453</f>
        <v>0</v>
      </c>
      <c r="C454">
        <f>COUNTIF('Metrics - Articles'!H453,"*Global*")</f>
        <v>0</v>
      </c>
      <c r="D454">
        <f>COUNTIF('Metrics - Articles'!H453,"*EMEA*")</f>
        <v>0</v>
      </c>
      <c r="E454">
        <f>COUNTIF('Metrics - Articles'!H453,"*NA*")</f>
        <v>0</v>
      </c>
      <c r="F454">
        <f>COUNTIF('Metrics - Articles'!H453,"*APJ")</f>
        <v>0</v>
      </c>
      <c r="G454">
        <f>COUNTIF('Metrics - Articles'!H453,"*LATAM*")</f>
        <v>0</v>
      </c>
      <c r="H454">
        <f>COUNTIF('Metrics - Articles'!H453,"*China*")</f>
        <v>0</v>
      </c>
      <c r="J454" s="53">
        <f t="shared" si="7"/>
        <v>0</v>
      </c>
    </row>
    <row r="455" spans="2:10" x14ac:dyDescent="0.25">
      <c r="B455" s="48">
        <f>+'Metrics - Articles'!C454</f>
        <v>0</v>
      </c>
      <c r="C455">
        <f>COUNTIF('Metrics - Articles'!H454,"*Global*")</f>
        <v>0</v>
      </c>
      <c r="D455">
        <f>COUNTIF('Metrics - Articles'!H454,"*EMEA*")</f>
        <v>0</v>
      </c>
      <c r="E455">
        <f>COUNTIF('Metrics - Articles'!H454,"*NA*")</f>
        <v>0</v>
      </c>
      <c r="F455">
        <f>COUNTIF('Metrics - Articles'!H454,"*APJ")</f>
        <v>0</v>
      </c>
      <c r="G455">
        <f>COUNTIF('Metrics - Articles'!H454,"*LATAM*")</f>
        <v>0</v>
      </c>
      <c r="H455">
        <f>COUNTIF('Metrics - Articles'!H454,"*China*")</f>
        <v>0</v>
      </c>
      <c r="J455" s="53">
        <f t="shared" si="7"/>
        <v>0</v>
      </c>
    </row>
    <row r="456" spans="2:10" x14ac:dyDescent="0.25">
      <c r="B456" s="48">
        <f>+'Metrics - Articles'!C455</f>
        <v>0</v>
      </c>
      <c r="C456">
        <f>COUNTIF('Metrics - Articles'!H455,"*Global*")</f>
        <v>0</v>
      </c>
      <c r="D456">
        <f>COUNTIF('Metrics - Articles'!H455,"*EMEA*")</f>
        <v>0</v>
      </c>
      <c r="E456">
        <f>COUNTIF('Metrics - Articles'!H455,"*NA*")</f>
        <v>0</v>
      </c>
      <c r="F456">
        <f>COUNTIF('Metrics - Articles'!H455,"*APJ")</f>
        <v>0</v>
      </c>
      <c r="G456">
        <f>COUNTIF('Metrics - Articles'!H455,"*LATAM*")</f>
        <v>0</v>
      </c>
      <c r="H456">
        <f>COUNTIF('Metrics - Articles'!H455,"*China*")</f>
        <v>0</v>
      </c>
      <c r="J456" s="53">
        <f t="shared" si="7"/>
        <v>0</v>
      </c>
    </row>
    <row r="457" spans="2:10" x14ac:dyDescent="0.25">
      <c r="B457" s="48">
        <f>+'Metrics - Articles'!C456</f>
        <v>0</v>
      </c>
      <c r="C457">
        <f>COUNTIF('Metrics - Articles'!H456,"*Global*")</f>
        <v>0</v>
      </c>
      <c r="D457">
        <f>COUNTIF('Metrics - Articles'!H456,"*EMEA*")</f>
        <v>0</v>
      </c>
      <c r="E457">
        <f>COUNTIF('Metrics - Articles'!H456,"*NA*")</f>
        <v>0</v>
      </c>
      <c r="F457">
        <f>COUNTIF('Metrics - Articles'!H456,"*APJ")</f>
        <v>0</v>
      </c>
      <c r="G457">
        <f>COUNTIF('Metrics - Articles'!H456,"*LATAM*")</f>
        <v>0</v>
      </c>
      <c r="H457">
        <f>COUNTIF('Metrics - Articles'!H456,"*China*")</f>
        <v>0</v>
      </c>
      <c r="J457" s="53">
        <f t="shared" si="7"/>
        <v>0</v>
      </c>
    </row>
    <row r="458" spans="2:10" x14ac:dyDescent="0.25">
      <c r="B458" s="48">
        <f>+'Metrics - Articles'!C457</f>
        <v>0</v>
      </c>
      <c r="C458">
        <f>COUNTIF('Metrics - Articles'!H457,"*Global*")</f>
        <v>0</v>
      </c>
      <c r="D458">
        <f>COUNTIF('Metrics - Articles'!H457,"*EMEA*")</f>
        <v>0</v>
      </c>
      <c r="E458">
        <f>COUNTIF('Metrics - Articles'!H457,"*NA*")</f>
        <v>0</v>
      </c>
      <c r="F458">
        <f>COUNTIF('Metrics - Articles'!H457,"*APJ")</f>
        <v>0</v>
      </c>
      <c r="G458">
        <f>COUNTIF('Metrics - Articles'!H457,"*LATAM*")</f>
        <v>0</v>
      </c>
      <c r="H458">
        <f>COUNTIF('Metrics - Articles'!H457,"*China*")</f>
        <v>0</v>
      </c>
      <c r="J458" s="53">
        <f t="shared" ref="J458:J521" si="8">SUM(C458:I458)</f>
        <v>0</v>
      </c>
    </row>
    <row r="459" spans="2:10" x14ac:dyDescent="0.25">
      <c r="B459" s="48">
        <f>+'Metrics - Articles'!C458</f>
        <v>0</v>
      </c>
      <c r="C459">
        <f>COUNTIF('Metrics - Articles'!H458,"*Global*")</f>
        <v>0</v>
      </c>
      <c r="D459">
        <f>COUNTIF('Metrics - Articles'!H458,"*EMEA*")</f>
        <v>0</v>
      </c>
      <c r="E459">
        <f>COUNTIF('Metrics - Articles'!H458,"*NA*")</f>
        <v>0</v>
      </c>
      <c r="F459">
        <f>COUNTIF('Metrics - Articles'!H458,"*APJ")</f>
        <v>0</v>
      </c>
      <c r="G459">
        <f>COUNTIF('Metrics - Articles'!H458,"*LATAM*")</f>
        <v>0</v>
      </c>
      <c r="H459">
        <f>COUNTIF('Metrics - Articles'!H458,"*China*")</f>
        <v>0</v>
      </c>
      <c r="J459" s="53">
        <f t="shared" si="8"/>
        <v>0</v>
      </c>
    </row>
    <row r="460" spans="2:10" x14ac:dyDescent="0.25">
      <c r="B460" s="48">
        <f>+'Metrics - Articles'!C459</f>
        <v>0</v>
      </c>
      <c r="C460">
        <f>COUNTIF('Metrics - Articles'!H459,"*Global*")</f>
        <v>0</v>
      </c>
      <c r="D460">
        <f>COUNTIF('Metrics - Articles'!H459,"*EMEA*")</f>
        <v>0</v>
      </c>
      <c r="E460">
        <f>COUNTIF('Metrics - Articles'!H459,"*NA*")</f>
        <v>0</v>
      </c>
      <c r="F460">
        <f>COUNTIF('Metrics - Articles'!H459,"*APJ")</f>
        <v>0</v>
      </c>
      <c r="G460">
        <f>COUNTIF('Metrics - Articles'!H459,"*LATAM*")</f>
        <v>0</v>
      </c>
      <c r="H460">
        <f>COUNTIF('Metrics - Articles'!H459,"*China*")</f>
        <v>0</v>
      </c>
      <c r="J460" s="53">
        <f t="shared" si="8"/>
        <v>0</v>
      </c>
    </row>
    <row r="461" spans="2:10" x14ac:dyDescent="0.25">
      <c r="B461" s="48">
        <f>+'Metrics - Articles'!C460</f>
        <v>0</v>
      </c>
      <c r="C461">
        <f>COUNTIF('Metrics - Articles'!H460,"*Global*")</f>
        <v>0</v>
      </c>
      <c r="D461">
        <f>COUNTIF('Metrics - Articles'!H460,"*EMEA*")</f>
        <v>0</v>
      </c>
      <c r="E461">
        <f>COUNTIF('Metrics - Articles'!H460,"*NA*")</f>
        <v>0</v>
      </c>
      <c r="F461">
        <f>COUNTIF('Metrics - Articles'!H460,"*APJ")</f>
        <v>0</v>
      </c>
      <c r="G461">
        <f>COUNTIF('Metrics - Articles'!H460,"*LATAM*")</f>
        <v>0</v>
      </c>
      <c r="H461">
        <f>COUNTIF('Metrics - Articles'!H460,"*China*")</f>
        <v>0</v>
      </c>
      <c r="J461" s="53">
        <f t="shared" si="8"/>
        <v>0</v>
      </c>
    </row>
    <row r="462" spans="2:10" x14ac:dyDescent="0.25">
      <c r="B462" s="48">
        <f>+'Metrics - Articles'!C461</f>
        <v>0</v>
      </c>
      <c r="C462">
        <f>COUNTIF('Metrics - Articles'!H461,"*Global*")</f>
        <v>0</v>
      </c>
      <c r="D462">
        <f>COUNTIF('Metrics - Articles'!H461,"*EMEA*")</f>
        <v>0</v>
      </c>
      <c r="E462">
        <f>COUNTIF('Metrics - Articles'!H461,"*NA*")</f>
        <v>0</v>
      </c>
      <c r="F462">
        <f>COUNTIF('Metrics - Articles'!H461,"*APJ")</f>
        <v>0</v>
      </c>
      <c r="G462">
        <f>COUNTIF('Metrics - Articles'!H461,"*LATAM*")</f>
        <v>0</v>
      </c>
      <c r="H462">
        <f>COUNTIF('Metrics - Articles'!H461,"*China*")</f>
        <v>0</v>
      </c>
      <c r="J462" s="53">
        <f t="shared" si="8"/>
        <v>0</v>
      </c>
    </row>
    <row r="463" spans="2:10" x14ac:dyDescent="0.25">
      <c r="B463" s="48">
        <f>+'Metrics - Articles'!C462</f>
        <v>0</v>
      </c>
      <c r="C463">
        <f>COUNTIF('Metrics - Articles'!H462,"*Global*")</f>
        <v>0</v>
      </c>
      <c r="D463">
        <f>COUNTIF('Metrics - Articles'!H462,"*EMEA*")</f>
        <v>0</v>
      </c>
      <c r="E463">
        <f>COUNTIF('Metrics - Articles'!H462,"*NA*")</f>
        <v>0</v>
      </c>
      <c r="F463">
        <f>COUNTIF('Metrics - Articles'!H462,"*APJ")</f>
        <v>0</v>
      </c>
      <c r="G463">
        <f>COUNTIF('Metrics - Articles'!H462,"*LATAM*")</f>
        <v>0</v>
      </c>
      <c r="H463">
        <f>COUNTIF('Metrics - Articles'!H462,"*China*")</f>
        <v>0</v>
      </c>
      <c r="J463" s="53">
        <f t="shared" si="8"/>
        <v>0</v>
      </c>
    </row>
    <row r="464" spans="2:10" x14ac:dyDescent="0.25">
      <c r="B464" s="48">
        <f>+'Metrics - Articles'!C463</f>
        <v>0</v>
      </c>
      <c r="C464">
        <f>COUNTIF('Metrics - Articles'!H463,"*Global*")</f>
        <v>0</v>
      </c>
      <c r="D464">
        <f>COUNTIF('Metrics - Articles'!H463,"*EMEA*")</f>
        <v>0</v>
      </c>
      <c r="E464">
        <f>COUNTIF('Metrics - Articles'!H463,"*NA*")</f>
        <v>0</v>
      </c>
      <c r="F464">
        <f>COUNTIF('Metrics - Articles'!H463,"*APJ")</f>
        <v>0</v>
      </c>
      <c r="G464">
        <f>COUNTIF('Metrics - Articles'!H463,"*LATAM*")</f>
        <v>0</v>
      </c>
      <c r="H464">
        <f>COUNTIF('Metrics - Articles'!H463,"*China*")</f>
        <v>0</v>
      </c>
      <c r="J464" s="53">
        <f t="shared" si="8"/>
        <v>0</v>
      </c>
    </row>
    <row r="465" spans="2:10" x14ac:dyDescent="0.25">
      <c r="B465" s="48">
        <f>+'Metrics - Articles'!C464</f>
        <v>0</v>
      </c>
      <c r="C465">
        <f>COUNTIF('Metrics - Articles'!H464,"*Global*")</f>
        <v>0</v>
      </c>
      <c r="D465">
        <f>COUNTIF('Metrics - Articles'!H464,"*EMEA*")</f>
        <v>0</v>
      </c>
      <c r="E465">
        <f>COUNTIF('Metrics - Articles'!H464,"*NA*")</f>
        <v>0</v>
      </c>
      <c r="F465">
        <f>COUNTIF('Metrics - Articles'!H464,"*APJ")</f>
        <v>0</v>
      </c>
      <c r="G465">
        <f>COUNTIF('Metrics - Articles'!H464,"*LATAM*")</f>
        <v>0</v>
      </c>
      <c r="H465">
        <f>COUNTIF('Metrics - Articles'!H464,"*China*")</f>
        <v>0</v>
      </c>
      <c r="J465" s="53">
        <f t="shared" si="8"/>
        <v>0</v>
      </c>
    </row>
    <row r="466" spans="2:10" x14ac:dyDescent="0.25">
      <c r="B466" s="48">
        <f>+'Metrics - Articles'!C465</f>
        <v>0</v>
      </c>
      <c r="C466">
        <f>COUNTIF('Metrics - Articles'!H465,"*Global*")</f>
        <v>0</v>
      </c>
      <c r="D466">
        <f>COUNTIF('Metrics - Articles'!H465,"*EMEA*")</f>
        <v>0</v>
      </c>
      <c r="E466">
        <f>COUNTIF('Metrics - Articles'!H465,"*NA*")</f>
        <v>0</v>
      </c>
      <c r="F466">
        <f>COUNTIF('Metrics - Articles'!H465,"*APJ")</f>
        <v>0</v>
      </c>
      <c r="G466">
        <f>COUNTIF('Metrics - Articles'!H465,"*LATAM*")</f>
        <v>0</v>
      </c>
      <c r="H466">
        <f>COUNTIF('Metrics - Articles'!H465,"*China*")</f>
        <v>0</v>
      </c>
      <c r="J466" s="53">
        <f t="shared" si="8"/>
        <v>0</v>
      </c>
    </row>
    <row r="467" spans="2:10" x14ac:dyDescent="0.25">
      <c r="B467" s="48">
        <f>+'Metrics - Articles'!C466</f>
        <v>0</v>
      </c>
      <c r="C467">
        <f>COUNTIF('Metrics - Articles'!H466,"*Global*")</f>
        <v>0</v>
      </c>
      <c r="D467">
        <f>COUNTIF('Metrics - Articles'!H466,"*EMEA*")</f>
        <v>0</v>
      </c>
      <c r="E467">
        <f>COUNTIF('Metrics - Articles'!H466,"*NA*")</f>
        <v>0</v>
      </c>
      <c r="F467">
        <f>COUNTIF('Metrics - Articles'!H466,"*APJ")</f>
        <v>0</v>
      </c>
      <c r="G467">
        <f>COUNTIF('Metrics - Articles'!H466,"*LATAM*")</f>
        <v>0</v>
      </c>
      <c r="H467">
        <f>COUNTIF('Metrics - Articles'!H466,"*China*")</f>
        <v>0</v>
      </c>
      <c r="J467" s="53">
        <f t="shared" si="8"/>
        <v>0</v>
      </c>
    </row>
    <row r="468" spans="2:10" x14ac:dyDescent="0.25">
      <c r="B468" s="48">
        <f>+'Metrics - Articles'!C467</f>
        <v>0</v>
      </c>
      <c r="C468">
        <f>COUNTIF('Metrics - Articles'!H467,"*Global*")</f>
        <v>0</v>
      </c>
      <c r="D468">
        <f>COUNTIF('Metrics - Articles'!H467,"*EMEA*")</f>
        <v>0</v>
      </c>
      <c r="E468">
        <f>COUNTIF('Metrics - Articles'!H467,"*NA*")</f>
        <v>0</v>
      </c>
      <c r="F468">
        <f>COUNTIF('Metrics - Articles'!H467,"*APJ")</f>
        <v>0</v>
      </c>
      <c r="G468">
        <f>COUNTIF('Metrics - Articles'!H467,"*LATAM*")</f>
        <v>0</v>
      </c>
      <c r="H468">
        <f>COUNTIF('Metrics - Articles'!H467,"*China*")</f>
        <v>0</v>
      </c>
      <c r="J468" s="53">
        <f t="shared" si="8"/>
        <v>0</v>
      </c>
    </row>
    <row r="469" spans="2:10" x14ac:dyDescent="0.25">
      <c r="B469" s="48">
        <f>+'Metrics - Articles'!C468</f>
        <v>0</v>
      </c>
      <c r="C469">
        <f>COUNTIF('Metrics - Articles'!H468,"*Global*")</f>
        <v>0</v>
      </c>
      <c r="D469">
        <f>COUNTIF('Metrics - Articles'!H468,"*EMEA*")</f>
        <v>0</v>
      </c>
      <c r="E469">
        <f>COUNTIF('Metrics - Articles'!H468,"*NA*")</f>
        <v>0</v>
      </c>
      <c r="F469">
        <f>COUNTIF('Metrics - Articles'!H468,"*APJ")</f>
        <v>0</v>
      </c>
      <c r="G469">
        <f>COUNTIF('Metrics - Articles'!H468,"*LATAM*")</f>
        <v>0</v>
      </c>
      <c r="H469">
        <f>COUNTIF('Metrics - Articles'!H468,"*China*")</f>
        <v>0</v>
      </c>
      <c r="J469" s="53">
        <f t="shared" si="8"/>
        <v>0</v>
      </c>
    </row>
    <row r="470" spans="2:10" x14ac:dyDescent="0.25">
      <c r="B470" s="48">
        <f>+'Metrics - Articles'!C469</f>
        <v>0</v>
      </c>
      <c r="C470">
        <f>COUNTIF('Metrics - Articles'!H469,"*Global*")</f>
        <v>0</v>
      </c>
      <c r="D470">
        <f>COUNTIF('Metrics - Articles'!H469,"*EMEA*")</f>
        <v>0</v>
      </c>
      <c r="E470">
        <f>COUNTIF('Metrics - Articles'!H469,"*NA*")</f>
        <v>0</v>
      </c>
      <c r="F470">
        <f>COUNTIF('Metrics - Articles'!H469,"*APJ")</f>
        <v>0</v>
      </c>
      <c r="G470">
        <f>COUNTIF('Metrics - Articles'!H469,"*LATAM*")</f>
        <v>0</v>
      </c>
      <c r="H470">
        <f>COUNTIF('Metrics - Articles'!H469,"*China*")</f>
        <v>0</v>
      </c>
      <c r="J470" s="53">
        <f t="shared" si="8"/>
        <v>0</v>
      </c>
    </row>
    <row r="471" spans="2:10" x14ac:dyDescent="0.25">
      <c r="B471" s="48">
        <f>+'Metrics - Articles'!C470</f>
        <v>0</v>
      </c>
      <c r="C471">
        <f>COUNTIF('Metrics - Articles'!H470,"*Global*")</f>
        <v>0</v>
      </c>
      <c r="D471">
        <f>COUNTIF('Metrics - Articles'!H470,"*EMEA*")</f>
        <v>0</v>
      </c>
      <c r="E471">
        <f>COUNTIF('Metrics - Articles'!H470,"*NA*")</f>
        <v>0</v>
      </c>
      <c r="F471">
        <f>COUNTIF('Metrics - Articles'!H470,"*APJ")</f>
        <v>0</v>
      </c>
      <c r="G471">
        <f>COUNTIF('Metrics - Articles'!H470,"*LATAM*")</f>
        <v>0</v>
      </c>
      <c r="H471">
        <f>COUNTIF('Metrics - Articles'!H470,"*China*")</f>
        <v>0</v>
      </c>
      <c r="J471" s="53">
        <f t="shared" si="8"/>
        <v>0</v>
      </c>
    </row>
    <row r="472" spans="2:10" x14ac:dyDescent="0.25">
      <c r="B472" s="48">
        <f>+'Metrics - Articles'!C471</f>
        <v>0</v>
      </c>
      <c r="C472">
        <f>COUNTIF('Metrics - Articles'!H471,"*Global*")</f>
        <v>0</v>
      </c>
      <c r="D472">
        <f>COUNTIF('Metrics - Articles'!H471,"*EMEA*")</f>
        <v>0</v>
      </c>
      <c r="E472">
        <f>COUNTIF('Metrics - Articles'!H471,"*NA*")</f>
        <v>0</v>
      </c>
      <c r="F472">
        <f>COUNTIF('Metrics - Articles'!H471,"*APJ")</f>
        <v>0</v>
      </c>
      <c r="G472">
        <f>COUNTIF('Metrics - Articles'!H471,"*LATAM*")</f>
        <v>0</v>
      </c>
      <c r="H472">
        <f>COUNTIF('Metrics - Articles'!H471,"*China*")</f>
        <v>0</v>
      </c>
      <c r="J472" s="53">
        <f t="shared" si="8"/>
        <v>0</v>
      </c>
    </row>
    <row r="473" spans="2:10" x14ac:dyDescent="0.25">
      <c r="B473" s="48">
        <f>+'Metrics - Articles'!C472</f>
        <v>0</v>
      </c>
      <c r="C473">
        <f>COUNTIF('Metrics - Articles'!H472,"*Global*")</f>
        <v>0</v>
      </c>
      <c r="D473">
        <f>COUNTIF('Metrics - Articles'!H472,"*EMEA*")</f>
        <v>0</v>
      </c>
      <c r="E473">
        <f>COUNTIF('Metrics - Articles'!H472,"*NA*")</f>
        <v>0</v>
      </c>
      <c r="F473">
        <f>COUNTIF('Metrics - Articles'!H472,"*APJ")</f>
        <v>0</v>
      </c>
      <c r="G473">
        <f>COUNTIF('Metrics - Articles'!H472,"*LATAM*")</f>
        <v>0</v>
      </c>
      <c r="H473">
        <f>COUNTIF('Metrics - Articles'!H472,"*China*")</f>
        <v>0</v>
      </c>
      <c r="J473" s="53">
        <f t="shared" si="8"/>
        <v>0</v>
      </c>
    </row>
    <row r="474" spans="2:10" x14ac:dyDescent="0.25">
      <c r="B474" s="48">
        <f>+'Metrics - Articles'!C473</f>
        <v>0</v>
      </c>
      <c r="C474">
        <f>COUNTIF('Metrics - Articles'!H473,"*Global*")</f>
        <v>0</v>
      </c>
      <c r="D474">
        <f>COUNTIF('Metrics - Articles'!H473,"*EMEA*")</f>
        <v>0</v>
      </c>
      <c r="E474">
        <f>COUNTIF('Metrics - Articles'!H473,"*NA*")</f>
        <v>0</v>
      </c>
      <c r="F474">
        <f>COUNTIF('Metrics - Articles'!H473,"*APJ")</f>
        <v>0</v>
      </c>
      <c r="G474">
        <f>COUNTIF('Metrics - Articles'!H473,"*LATAM*")</f>
        <v>0</v>
      </c>
      <c r="H474">
        <f>COUNTIF('Metrics - Articles'!H473,"*China*")</f>
        <v>0</v>
      </c>
      <c r="J474" s="53">
        <f t="shared" si="8"/>
        <v>0</v>
      </c>
    </row>
    <row r="475" spans="2:10" x14ac:dyDescent="0.25">
      <c r="B475" s="48">
        <f>+'Metrics - Articles'!C474</f>
        <v>0</v>
      </c>
      <c r="C475">
        <f>COUNTIF('Metrics - Articles'!H474,"*Global*")</f>
        <v>0</v>
      </c>
      <c r="D475">
        <f>COUNTIF('Metrics - Articles'!H474,"*EMEA*")</f>
        <v>0</v>
      </c>
      <c r="E475">
        <f>COUNTIF('Metrics - Articles'!H474,"*NA*")</f>
        <v>0</v>
      </c>
      <c r="F475">
        <f>COUNTIF('Metrics - Articles'!H474,"*APJ")</f>
        <v>0</v>
      </c>
      <c r="G475">
        <f>COUNTIF('Metrics - Articles'!H474,"*LATAM*")</f>
        <v>0</v>
      </c>
      <c r="H475">
        <f>COUNTIF('Metrics - Articles'!H474,"*China*")</f>
        <v>0</v>
      </c>
      <c r="J475" s="53">
        <f t="shared" si="8"/>
        <v>0</v>
      </c>
    </row>
    <row r="476" spans="2:10" x14ac:dyDescent="0.25">
      <c r="B476" s="48">
        <f>+'Metrics - Articles'!C475</f>
        <v>0</v>
      </c>
      <c r="C476">
        <f>COUNTIF('Metrics - Articles'!H475,"*Global*")</f>
        <v>0</v>
      </c>
      <c r="D476">
        <f>COUNTIF('Metrics - Articles'!H475,"*EMEA*")</f>
        <v>0</v>
      </c>
      <c r="E476">
        <f>COUNTIF('Metrics - Articles'!H475,"*NA*")</f>
        <v>0</v>
      </c>
      <c r="F476">
        <f>COUNTIF('Metrics - Articles'!H475,"*APJ")</f>
        <v>0</v>
      </c>
      <c r="G476">
        <f>COUNTIF('Metrics - Articles'!H475,"*LATAM*")</f>
        <v>0</v>
      </c>
      <c r="H476">
        <f>COUNTIF('Metrics - Articles'!H475,"*China*")</f>
        <v>0</v>
      </c>
      <c r="J476" s="53">
        <f t="shared" si="8"/>
        <v>0</v>
      </c>
    </row>
    <row r="477" spans="2:10" x14ac:dyDescent="0.25">
      <c r="B477" s="48">
        <f>+'Metrics - Articles'!C476</f>
        <v>0</v>
      </c>
      <c r="C477">
        <f>COUNTIF('Metrics - Articles'!H476,"*Global*")</f>
        <v>0</v>
      </c>
      <c r="D477">
        <f>COUNTIF('Metrics - Articles'!H476,"*EMEA*")</f>
        <v>0</v>
      </c>
      <c r="E477">
        <f>COUNTIF('Metrics - Articles'!H476,"*NA*")</f>
        <v>0</v>
      </c>
      <c r="F477">
        <f>COUNTIF('Metrics - Articles'!H476,"*APJ")</f>
        <v>0</v>
      </c>
      <c r="G477">
        <f>COUNTIF('Metrics - Articles'!H476,"*LATAM*")</f>
        <v>0</v>
      </c>
      <c r="H477">
        <f>COUNTIF('Metrics - Articles'!H476,"*China*")</f>
        <v>0</v>
      </c>
      <c r="J477" s="53">
        <f t="shared" si="8"/>
        <v>0</v>
      </c>
    </row>
    <row r="478" spans="2:10" x14ac:dyDescent="0.25">
      <c r="B478" s="48">
        <f>+'Metrics - Articles'!C477</f>
        <v>0</v>
      </c>
      <c r="C478">
        <f>COUNTIF('Metrics - Articles'!H477,"*Global*")</f>
        <v>0</v>
      </c>
      <c r="D478">
        <f>COUNTIF('Metrics - Articles'!H477,"*EMEA*")</f>
        <v>0</v>
      </c>
      <c r="E478">
        <f>COUNTIF('Metrics - Articles'!H477,"*NA*")</f>
        <v>0</v>
      </c>
      <c r="F478">
        <f>COUNTIF('Metrics - Articles'!H477,"*APJ")</f>
        <v>0</v>
      </c>
      <c r="G478">
        <f>COUNTIF('Metrics - Articles'!H477,"*LATAM*")</f>
        <v>0</v>
      </c>
      <c r="H478">
        <f>COUNTIF('Metrics - Articles'!H477,"*China*")</f>
        <v>0</v>
      </c>
      <c r="J478" s="53">
        <f t="shared" si="8"/>
        <v>0</v>
      </c>
    </row>
    <row r="479" spans="2:10" x14ac:dyDescent="0.25">
      <c r="B479" s="48">
        <f>+'Metrics - Articles'!C478</f>
        <v>0</v>
      </c>
      <c r="C479">
        <f>COUNTIF('Metrics - Articles'!H478,"*Global*")</f>
        <v>0</v>
      </c>
      <c r="D479">
        <f>COUNTIF('Metrics - Articles'!H478,"*EMEA*")</f>
        <v>0</v>
      </c>
      <c r="E479">
        <f>COUNTIF('Metrics - Articles'!H478,"*NA*")</f>
        <v>0</v>
      </c>
      <c r="F479">
        <f>COUNTIF('Metrics - Articles'!H478,"*APJ")</f>
        <v>0</v>
      </c>
      <c r="G479">
        <f>COUNTIF('Metrics - Articles'!H478,"*LATAM*")</f>
        <v>0</v>
      </c>
      <c r="H479">
        <f>COUNTIF('Metrics - Articles'!H478,"*China*")</f>
        <v>0</v>
      </c>
      <c r="J479" s="53">
        <f t="shared" si="8"/>
        <v>0</v>
      </c>
    </row>
    <row r="480" spans="2:10" x14ac:dyDescent="0.25">
      <c r="B480" s="48">
        <f>+'Metrics - Articles'!C479</f>
        <v>0</v>
      </c>
      <c r="C480">
        <f>COUNTIF('Metrics - Articles'!H479,"*Global*")</f>
        <v>0</v>
      </c>
      <c r="D480">
        <f>COUNTIF('Metrics - Articles'!H479,"*EMEA*")</f>
        <v>0</v>
      </c>
      <c r="E480">
        <f>COUNTIF('Metrics - Articles'!H479,"*NA*")</f>
        <v>0</v>
      </c>
      <c r="F480">
        <f>COUNTIF('Metrics - Articles'!H479,"*APJ")</f>
        <v>0</v>
      </c>
      <c r="G480">
        <f>COUNTIF('Metrics - Articles'!H479,"*LATAM*")</f>
        <v>0</v>
      </c>
      <c r="H480">
        <f>COUNTIF('Metrics - Articles'!H479,"*China*")</f>
        <v>0</v>
      </c>
      <c r="J480" s="53">
        <f t="shared" si="8"/>
        <v>0</v>
      </c>
    </row>
    <row r="481" spans="2:10" x14ac:dyDescent="0.25">
      <c r="B481" s="48">
        <f>+'Metrics - Articles'!C480</f>
        <v>0</v>
      </c>
      <c r="C481">
        <f>COUNTIF('Metrics - Articles'!H480,"*Global*")</f>
        <v>0</v>
      </c>
      <c r="D481">
        <f>COUNTIF('Metrics - Articles'!H480,"*EMEA*")</f>
        <v>0</v>
      </c>
      <c r="E481">
        <f>COUNTIF('Metrics - Articles'!H480,"*NA*")</f>
        <v>0</v>
      </c>
      <c r="F481">
        <f>COUNTIF('Metrics - Articles'!H480,"*APJ")</f>
        <v>0</v>
      </c>
      <c r="G481">
        <f>COUNTIF('Metrics - Articles'!H480,"*LATAM*")</f>
        <v>0</v>
      </c>
      <c r="H481">
        <f>COUNTIF('Metrics - Articles'!H480,"*China*")</f>
        <v>0</v>
      </c>
      <c r="J481" s="53">
        <f t="shared" si="8"/>
        <v>0</v>
      </c>
    </row>
    <row r="482" spans="2:10" x14ac:dyDescent="0.25">
      <c r="B482" s="48">
        <f>+'Metrics - Articles'!C481</f>
        <v>0</v>
      </c>
      <c r="C482">
        <f>COUNTIF('Metrics - Articles'!H481,"*Global*")</f>
        <v>0</v>
      </c>
      <c r="D482">
        <f>COUNTIF('Metrics - Articles'!H481,"*EMEA*")</f>
        <v>0</v>
      </c>
      <c r="E482">
        <f>COUNTIF('Metrics - Articles'!H481,"*NA*")</f>
        <v>0</v>
      </c>
      <c r="F482">
        <f>COUNTIF('Metrics - Articles'!H481,"*APJ")</f>
        <v>0</v>
      </c>
      <c r="G482">
        <f>COUNTIF('Metrics - Articles'!H481,"*LATAM*")</f>
        <v>0</v>
      </c>
      <c r="H482">
        <f>COUNTIF('Metrics - Articles'!H481,"*China*")</f>
        <v>0</v>
      </c>
      <c r="J482" s="53">
        <f t="shared" si="8"/>
        <v>0</v>
      </c>
    </row>
    <row r="483" spans="2:10" x14ac:dyDescent="0.25">
      <c r="B483" s="48">
        <f>+'Metrics - Articles'!C482</f>
        <v>0</v>
      </c>
      <c r="C483">
        <f>COUNTIF('Metrics - Articles'!H482,"*Global*")</f>
        <v>0</v>
      </c>
      <c r="D483">
        <f>COUNTIF('Metrics - Articles'!H482,"*EMEA*")</f>
        <v>0</v>
      </c>
      <c r="E483">
        <f>COUNTIF('Metrics - Articles'!H482,"*NA*")</f>
        <v>0</v>
      </c>
      <c r="F483">
        <f>COUNTIF('Metrics - Articles'!H482,"*APJ")</f>
        <v>0</v>
      </c>
      <c r="G483">
        <f>COUNTIF('Metrics - Articles'!H482,"*LATAM*")</f>
        <v>0</v>
      </c>
      <c r="H483">
        <f>COUNTIF('Metrics - Articles'!H482,"*China*")</f>
        <v>0</v>
      </c>
      <c r="J483" s="53">
        <f t="shared" si="8"/>
        <v>0</v>
      </c>
    </row>
    <row r="484" spans="2:10" x14ac:dyDescent="0.25">
      <c r="B484" s="48">
        <f>+'Metrics - Articles'!C483</f>
        <v>0</v>
      </c>
      <c r="C484">
        <f>COUNTIF('Metrics - Articles'!H483,"*Global*")</f>
        <v>0</v>
      </c>
      <c r="D484">
        <f>COUNTIF('Metrics - Articles'!H483,"*EMEA*")</f>
        <v>0</v>
      </c>
      <c r="E484">
        <f>COUNTIF('Metrics - Articles'!H483,"*NA*")</f>
        <v>0</v>
      </c>
      <c r="F484">
        <f>COUNTIF('Metrics - Articles'!H483,"*APJ")</f>
        <v>0</v>
      </c>
      <c r="G484">
        <f>COUNTIF('Metrics - Articles'!H483,"*LATAM*")</f>
        <v>0</v>
      </c>
      <c r="H484">
        <f>COUNTIF('Metrics - Articles'!H483,"*China*")</f>
        <v>0</v>
      </c>
      <c r="J484" s="53">
        <f t="shared" si="8"/>
        <v>0</v>
      </c>
    </row>
    <row r="485" spans="2:10" x14ac:dyDescent="0.25">
      <c r="B485" s="48">
        <f>+'Metrics - Articles'!C484</f>
        <v>0</v>
      </c>
      <c r="C485">
        <f>COUNTIF('Metrics - Articles'!H484,"*Global*")</f>
        <v>0</v>
      </c>
      <c r="D485">
        <f>COUNTIF('Metrics - Articles'!H484,"*EMEA*")</f>
        <v>0</v>
      </c>
      <c r="E485">
        <f>COUNTIF('Metrics - Articles'!H484,"*NA*")</f>
        <v>0</v>
      </c>
      <c r="F485">
        <f>COUNTIF('Metrics - Articles'!H484,"*APJ")</f>
        <v>0</v>
      </c>
      <c r="G485">
        <f>COUNTIF('Metrics - Articles'!H484,"*LATAM*")</f>
        <v>0</v>
      </c>
      <c r="H485">
        <f>COUNTIF('Metrics - Articles'!H484,"*China*")</f>
        <v>0</v>
      </c>
      <c r="J485" s="53">
        <f t="shared" si="8"/>
        <v>0</v>
      </c>
    </row>
    <row r="486" spans="2:10" x14ac:dyDescent="0.25">
      <c r="B486" s="48">
        <f>+'Metrics - Articles'!C485</f>
        <v>0</v>
      </c>
      <c r="C486">
        <f>COUNTIF('Metrics - Articles'!H485,"*Global*")</f>
        <v>0</v>
      </c>
      <c r="D486">
        <f>COUNTIF('Metrics - Articles'!H485,"*EMEA*")</f>
        <v>0</v>
      </c>
      <c r="E486">
        <f>COUNTIF('Metrics - Articles'!H485,"*NA*")</f>
        <v>0</v>
      </c>
      <c r="F486">
        <f>COUNTIF('Metrics - Articles'!H485,"*APJ")</f>
        <v>0</v>
      </c>
      <c r="G486">
        <f>COUNTIF('Metrics - Articles'!H485,"*LATAM*")</f>
        <v>0</v>
      </c>
      <c r="H486">
        <f>COUNTIF('Metrics - Articles'!H485,"*China*")</f>
        <v>0</v>
      </c>
      <c r="J486" s="53">
        <f t="shared" si="8"/>
        <v>0</v>
      </c>
    </row>
    <row r="487" spans="2:10" x14ac:dyDescent="0.25">
      <c r="B487" s="48">
        <f>+'Metrics - Articles'!C486</f>
        <v>0</v>
      </c>
      <c r="C487">
        <f>COUNTIF('Metrics - Articles'!H486,"*Global*")</f>
        <v>0</v>
      </c>
      <c r="D487">
        <f>COUNTIF('Metrics - Articles'!H486,"*EMEA*")</f>
        <v>0</v>
      </c>
      <c r="E487">
        <f>COUNTIF('Metrics - Articles'!H486,"*NA*")</f>
        <v>0</v>
      </c>
      <c r="F487">
        <f>COUNTIF('Metrics - Articles'!H486,"*APJ")</f>
        <v>0</v>
      </c>
      <c r="G487">
        <f>COUNTIF('Metrics - Articles'!H486,"*LATAM*")</f>
        <v>0</v>
      </c>
      <c r="H487">
        <f>COUNTIF('Metrics - Articles'!H486,"*China*")</f>
        <v>0</v>
      </c>
      <c r="J487" s="53">
        <f t="shared" si="8"/>
        <v>0</v>
      </c>
    </row>
    <row r="488" spans="2:10" x14ac:dyDescent="0.25">
      <c r="B488" s="48">
        <f>+'Metrics - Articles'!C487</f>
        <v>0</v>
      </c>
      <c r="C488">
        <f>COUNTIF('Metrics - Articles'!H487,"*Global*")</f>
        <v>0</v>
      </c>
      <c r="D488">
        <f>COUNTIF('Metrics - Articles'!H487,"*EMEA*")</f>
        <v>0</v>
      </c>
      <c r="E488">
        <f>COUNTIF('Metrics - Articles'!H487,"*NA*")</f>
        <v>0</v>
      </c>
      <c r="F488">
        <f>COUNTIF('Metrics - Articles'!H487,"*APJ")</f>
        <v>0</v>
      </c>
      <c r="G488">
        <f>COUNTIF('Metrics - Articles'!H487,"*LATAM*")</f>
        <v>0</v>
      </c>
      <c r="H488">
        <f>COUNTIF('Metrics - Articles'!H487,"*China*")</f>
        <v>0</v>
      </c>
      <c r="J488" s="53">
        <f t="shared" si="8"/>
        <v>0</v>
      </c>
    </row>
    <row r="489" spans="2:10" x14ac:dyDescent="0.25">
      <c r="B489" s="48">
        <f>+'Metrics - Articles'!C488</f>
        <v>0</v>
      </c>
      <c r="C489">
        <f>COUNTIF('Metrics - Articles'!H488,"*Global*")</f>
        <v>0</v>
      </c>
      <c r="D489">
        <f>COUNTIF('Metrics - Articles'!H488,"*EMEA*")</f>
        <v>0</v>
      </c>
      <c r="E489">
        <f>COUNTIF('Metrics - Articles'!H488,"*NA*")</f>
        <v>0</v>
      </c>
      <c r="F489">
        <f>COUNTIF('Metrics - Articles'!H488,"*APJ")</f>
        <v>0</v>
      </c>
      <c r="G489">
        <f>COUNTIF('Metrics - Articles'!H488,"*LATAM*")</f>
        <v>0</v>
      </c>
      <c r="H489">
        <f>COUNTIF('Metrics - Articles'!H488,"*China*")</f>
        <v>0</v>
      </c>
      <c r="J489" s="53">
        <f t="shared" si="8"/>
        <v>0</v>
      </c>
    </row>
    <row r="490" spans="2:10" x14ac:dyDescent="0.25">
      <c r="B490" s="48">
        <f>+'Metrics - Articles'!C489</f>
        <v>0</v>
      </c>
      <c r="C490">
        <f>COUNTIF('Metrics - Articles'!H489,"*Global*")</f>
        <v>0</v>
      </c>
      <c r="D490">
        <f>COUNTIF('Metrics - Articles'!H489,"*EMEA*")</f>
        <v>0</v>
      </c>
      <c r="E490">
        <f>COUNTIF('Metrics - Articles'!H489,"*NA*")</f>
        <v>0</v>
      </c>
      <c r="F490">
        <f>COUNTIF('Metrics - Articles'!H489,"*APJ")</f>
        <v>0</v>
      </c>
      <c r="G490">
        <f>COUNTIF('Metrics - Articles'!H489,"*LATAM*")</f>
        <v>0</v>
      </c>
      <c r="H490">
        <f>COUNTIF('Metrics - Articles'!H489,"*China*")</f>
        <v>0</v>
      </c>
      <c r="J490" s="53">
        <f t="shared" si="8"/>
        <v>0</v>
      </c>
    </row>
    <row r="491" spans="2:10" x14ac:dyDescent="0.25">
      <c r="B491" s="48">
        <f>+'Metrics - Articles'!C490</f>
        <v>0</v>
      </c>
      <c r="C491">
        <f>COUNTIF('Metrics - Articles'!H490,"*Global*")</f>
        <v>0</v>
      </c>
      <c r="D491">
        <f>COUNTIF('Metrics - Articles'!H490,"*EMEA*")</f>
        <v>0</v>
      </c>
      <c r="E491">
        <f>COUNTIF('Metrics - Articles'!H490,"*NA*")</f>
        <v>0</v>
      </c>
      <c r="F491">
        <f>COUNTIF('Metrics - Articles'!H490,"*APJ")</f>
        <v>0</v>
      </c>
      <c r="G491">
        <f>COUNTIF('Metrics - Articles'!H490,"*LATAM*")</f>
        <v>0</v>
      </c>
      <c r="H491">
        <f>COUNTIF('Metrics - Articles'!H490,"*China*")</f>
        <v>0</v>
      </c>
      <c r="J491" s="53">
        <f t="shared" si="8"/>
        <v>0</v>
      </c>
    </row>
    <row r="492" spans="2:10" x14ac:dyDescent="0.25">
      <c r="B492" s="48">
        <f>+'Metrics - Articles'!C491</f>
        <v>0</v>
      </c>
      <c r="C492">
        <f>COUNTIF('Metrics - Articles'!H491,"*Global*")</f>
        <v>0</v>
      </c>
      <c r="D492">
        <f>COUNTIF('Metrics - Articles'!H491,"*EMEA*")</f>
        <v>0</v>
      </c>
      <c r="E492">
        <f>COUNTIF('Metrics - Articles'!H491,"*NA*")</f>
        <v>0</v>
      </c>
      <c r="F492">
        <f>COUNTIF('Metrics - Articles'!H491,"*APJ")</f>
        <v>0</v>
      </c>
      <c r="G492">
        <f>COUNTIF('Metrics - Articles'!H491,"*LATAM*")</f>
        <v>0</v>
      </c>
      <c r="H492">
        <f>COUNTIF('Metrics - Articles'!H491,"*China*")</f>
        <v>0</v>
      </c>
      <c r="J492" s="53">
        <f t="shared" si="8"/>
        <v>0</v>
      </c>
    </row>
    <row r="493" spans="2:10" x14ac:dyDescent="0.25">
      <c r="B493" s="48">
        <f>+'Metrics - Articles'!C492</f>
        <v>0</v>
      </c>
      <c r="C493">
        <f>COUNTIF('Metrics - Articles'!H492,"*Global*")</f>
        <v>0</v>
      </c>
      <c r="D493">
        <f>COUNTIF('Metrics - Articles'!H492,"*EMEA*")</f>
        <v>0</v>
      </c>
      <c r="E493">
        <f>COUNTIF('Metrics - Articles'!H492,"*NA*")</f>
        <v>0</v>
      </c>
      <c r="F493">
        <f>COUNTIF('Metrics - Articles'!H492,"*APJ")</f>
        <v>0</v>
      </c>
      <c r="G493">
        <f>COUNTIF('Metrics - Articles'!H492,"*LATAM*")</f>
        <v>0</v>
      </c>
      <c r="H493">
        <f>COUNTIF('Metrics - Articles'!H492,"*China*")</f>
        <v>0</v>
      </c>
      <c r="J493" s="53">
        <f t="shared" si="8"/>
        <v>0</v>
      </c>
    </row>
    <row r="494" spans="2:10" x14ac:dyDescent="0.25">
      <c r="B494" s="48">
        <f>+'Metrics - Articles'!C493</f>
        <v>0</v>
      </c>
      <c r="C494">
        <f>COUNTIF('Metrics - Articles'!H493,"*Global*")</f>
        <v>0</v>
      </c>
      <c r="D494">
        <f>COUNTIF('Metrics - Articles'!H493,"*EMEA*")</f>
        <v>0</v>
      </c>
      <c r="E494">
        <f>COUNTIF('Metrics - Articles'!H493,"*NA*")</f>
        <v>0</v>
      </c>
      <c r="F494">
        <f>COUNTIF('Metrics - Articles'!H493,"*APJ")</f>
        <v>0</v>
      </c>
      <c r="G494">
        <f>COUNTIF('Metrics - Articles'!H493,"*LATAM*")</f>
        <v>0</v>
      </c>
      <c r="H494">
        <f>COUNTIF('Metrics - Articles'!H493,"*China*")</f>
        <v>0</v>
      </c>
      <c r="J494" s="53">
        <f t="shared" si="8"/>
        <v>0</v>
      </c>
    </row>
    <row r="495" spans="2:10" x14ac:dyDescent="0.25">
      <c r="B495" s="48">
        <f>+'Metrics - Articles'!C494</f>
        <v>0</v>
      </c>
      <c r="C495">
        <f>COUNTIF('Metrics - Articles'!H494,"*Global*")</f>
        <v>0</v>
      </c>
      <c r="D495">
        <f>COUNTIF('Metrics - Articles'!H494,"*EMEA*")</f>
        <v>0</v>
      </c>
      <c r="E495">
        <f>COUNTIF('Metrics - Articles'!H494,"*NA*")</f>
        <v>0</v>
      </c>
      <c r="F495">
        <f>COUNTIF('Metrics - Articles'!H494,"*APJ")</f>
        <v>0</v>
      </c>
      <c r="G495">
        <f>COUNTIF('Metrics - Articles'!H494,"*LATAM*")</f>
        <v>0</v>
      </c>
      <c r="H495">
        <f>COUNTIF('Metrics - Articles'!H494,"*China*")</f>
        <v>0</v>
      </c>
      <c r="J495" s="53">
        <f t="shared" si="8"/>
        <v>0</v>
      </c>
    </row>
    <row r="496" spans="2:10" x14ac:dyDescent="0.25">
      <c r="B496" s="48">
        <f>+'Metrics - Articles'!C495</f>
        <v>0</v>
      </c>
      <c r="C496">
        <f>COUNTIF('Metrics - Articles'!H495,"*Global*")</f>
        <v>0</v>
      </c>
      <c r="D496">
        <f>COUNTIF('Metrics - Articles'!H495,"*EMEA*")</f>
        <v>0</v>
      </c>
      <c r="E496">
        <f>COUNTIF('Metrics - Articles'!H495,"*NA*")</f>
        <v>0</v>
      </c>
      <c r="F496">
        <f>COUNTIF('Metrics - Articles'!H495,"*APJ")</f>
        <v>0</v>
      </c>
      <c r="G496">
        <f>COUNTIF('Metrics - Articles'!H495,"*LATAM*")</f>
        <v>0</v>
      </c>
      <c r="H496">
        <f>COUNTIF('Metrics - Articles'!H495,"*China*")</f>
        <v>0</v>
      </c>
      <c r="J496" s="53">
        <f t="shared" si="8"/>
        <v>0</v>
      </c>
    </row>
    <row r="497" spans="2:10" x14ac:dyDescent="0.25">
      <c r="B497" s="48">
        <f>+'Metrics - Articles'!C496</f>
        <v>0</v>
      </c>
      <c r="C497">
        <f>COUNTIF('Metrics - Articles'!H496,"*Global*")</f>
        <v>0</v>
      </c>
      <c r="D497">
        <f>COUNTIF('Metrics - Articles'!H496,"*EMEA*")</f>
        <v>0</v>
      </c>
      <c r="E497">
        <f>COUNTIF('Metrics - Articles'!H496,"*NA*")</f>
        <v>0</v>
      </c>
      <c r="F497">
        <f>COUNTIF('Metrics - Articles'!H496,"*APJ")</f>
        <v>0</v>
      </c>
      <c r="G497">
        <f>COUNTIF('Metrics - Articles'!H496,"*LATAM*")</f>
        <v>0</v>
      </c>
      <c r="H497">
        <f>COUNTIF('Metrics - Articles'!H496,"*China*")</f>
        <v>0</v>
      </c>
      <c r="J497" s="53">
        <f t="shared" si="8"/>
        <v>0</v>
      </c>
    </row>
    <row r="498" spans="2:10" x14ac:dyDescent="0.25">
      <c r="B498" s="48">
        <f>+'Metrics - Articles'!C497</f>
        <v>0</v>
      </c>
      <c r="C498">
        <f>COUNTIF('Metrics - Articles'!H497,"*Global*")</f>
        <v>0</v>
      </c>
      <c r="D498">
        <f>COUNTIF('Metrics - Articles'!H497,"*EMEA*")</f>
        <v>0</v>
      </c>
      <c r="E498">
        <f>COUNTIF('Metrics - Articles'!H497,"*NA*")</f>
        <v>0</v>
      </c>
      <c r="F498">
        <f>COUNTIF('Metrics - Articles'!H497,"*APJ")</f>
        <v>0</v>
      </c>
      <c r="G498">
        <f>COUNTIF('Metrics - Articles'!H497,"*LATAM*")</f>
        <v>0</v>
      </c>
      <c r="H498">
        <f>COUNTIF('Metrics - Articles'!H497,"*China*")</f>
        <v>0</v>
      </c>
      <c r="J498" s="53">
        <f t="shared" si="8"/>
        <v>0</v>
      </c>
    </row>
    <row r="499" spans="2:10" x14ac:dyDescent="0.25">
      <c r="B499" s="48">
        <f>+'Metrics - Articles'!C498</f>
        <v>0</v>
      </c>
      <c r="C499">
        <f>COUNTIF('Metrics - Articles'!H498,"*Global*")</f>
        <v>0</v>
      </c>
      <c r="D499">
        <f>COUNTIF('Metrics - Articles'!H498,"*EMEA*")</f>
        <v>0</v>
      </c>
      <c r="E499">
        <f>COUNTIF('Metrics - Articles'!H498,"*NA*")</f>
        <v>0</v>
      </c>
      <c r="F499">
        <f>COUNTIF('Metrics - Articles'!H498,"*APJ")</f>
        <v>0</v>
      </c>
      <c r="G499">
        <f>COUNTIF('Metrics - Articles'!H498,"*LATAM*")</f>
        <v>0</v>
      </c>
      <c r="H499">
        <f>COUNTIF('Metrics - Articles'!H498,"*China*")</f>
        <v>0</v>
      </c>
      <c r="J499" s="53">
        <f t="shared" si="8"/>
        <v>0</v>
      </c>
    </row>
    <row r="500" spans="2:10" x14ac:dyDescent="0.25">
      <c r="B500" s="48">
        <f>+'Metrics - Articles'!C499</f>
        <v>0</v>
      </c>
      <c r="C500">
        <f>COUNTIF('Metrics - Articles'!H499,"*Global*")</f>
        <v>0</v>
      </c>
      <c r="D500">
        <f>COUNTIF('Metrics - Articles'!H499,"*EMEA*")</f>
        <v>0</v>
      </c>
      <c r="E500">
        <f>COUNTIF('Metrics - Articles'!H499,"*NA*")</f>
        <v>0</v>
      </c>
      <c r="F500">
        <f>COUNTIF('Metrics - Articles'!H499,"*APJ")</f>
        <v>0</v>
      </c>
      <c r="G500">
        <f>COUNTIF('Metrics - Articles'!H499,"*LATAM*")</f>
        <v>0</v>
      </c>
      <c r="H500">
        <f>COUNTIF('Metrics - Articles'!H499,"*China*")</f>
        <v>0</v>
      </c>
      <c r="J500" s="53">
        <f t="shared" si="8"/>
        <v>0</v>
      </c>
    </row>
    <row r="501" spans="2:10" x14ac:dyDescent="0.25">
      <c r="B501" s="48">
        <f>+'Metrics - Articles'!C500</f>
        <v>0</v>
      </c>
      <c r="C501">
        <f>COUNTIF('Metrics - Articles'!H500,"*Global*")</f>
        <v>0</v>
      </c>
      <c r="D501">
        <f>COUNTIF('Metrics - Articles'!H500,"*EMEA*")</f>
        <v>0</v>
      </c>
      <c r="E501">
        <f>COUNTIF('Metrics - Articles'!H500,"*NA*")</f>
        <v>0</v>
      </c>
      <c r="F501">
        <f>COUNTIF('Metrics - Articles'!H500,"*APJ")</f>
        <v>0</v>
      </c>
      <c r="G501">
        <f>COUNTIF('Metrics - Articles'!H500,"*LATAM*")</f>
        <v>0</v>
      </c>
      <c r="H501">
        <f>COUNTIF('Metrics - Articles'!H500,"*China*")</f>
        <v>0</v>
      </c>
      <c r="J501" s="53">
        <f t="shared" si="8"/>
        <v>0</v>
      </c>
    </row>
    <row r="502" spans="2:10" x14ac:dyDescent="0.25">
      <c r="B502" s="48">
        <f>+'Metrics - Articles'!C501</f>
        <v>0</v>
      </c>
      <c r="C502">
        <f>COUNTIF('Metrics - Articles'!H501,"*Global*")</f>
        <v>0</v>
      </c>
      <c r="D502">
        <f>COUNTIF('Metrics - Articles'!H501,"*EMEA*")</f>
        <v>0</v>
      </c>
      <c r="E502">
        <f>COUNTIF('Metrics - Articles'!H501,"*NA*")</f>
        <v>0</v>
      </c>
      <c r="F502">
        <f>COUNTIF('Metrics - Articles'!H501,"*APJ")</f>
        <v>0</v>
      </c>
      <c r="G502">
        <f>COUNTIF('Metrics - Articles'!H501,"*LATAM*")</f>
        <v>0</v>
      </c>
      <c r="H502">
        <f>COUNTIF('Metrics - Articles'!H501,"*China*")</f>
        <v>0</v>
      </c>
      <c r="J502" s="53">
        <f t="shared" si="8"/>
        <v>0</v>
      </c>
    </row>
    <row r="503" spans="2:10" x14ac:dyDescent="0.25">
      <c r="B503" s="48">
        <f>+'Metrics - Articles'!C502</f>
        <v>0</v>
      </c>
      <c r="C503">
        <f>COUNTIF('Metrics - Articles'!H502,"*Global*")</f>
        <v>0</v>
      </c>
      <c r="D503">
        <f>COUNTIF('Metrics - Articles'!H502,"*EMEA*")</f>
        <v>0</v>
      </c>
      <c r="E503">
        <f>COUNTIF('Metrics - Articles'!H502,"*NA*")</f>
        <v>0</v>
      </c>
      <c r="F503">
        <f>COUNTIF('Metrics - Articles'!H502,"*APJ")</f>
        <v>0</v>
      </c>
      <c r="G503">
        <f>COUNTIF('Metrics - Articles'!H502,"*LATAM*")</f>
        <v>0</v>
      </c>
      <c r="H503">
        <f>COUNTIF('Metrics - Articles'!H502,"*China*")</f>
        <v>0</v>
      </c>
      <c r="J503" s="53">
        <f t="shared" si="8"/>
        <v>0</v>
      </c>
    </row>
    <row r="504" spans="2:10" x14ac:dyDescent="0.25">
      <c r="B504" s="48">
        <f>+'Metrics - Articles'!C503</f>
        <v>0</v>
      </c>
      <c r="C504">
        <f>COUNTIF('Metrics - Articles'!H503,"*Global*")</f>
        <v>0</v>
      </c>
      <c r="D504">
        <f>COUNTIF('Metrics - Articles'!H503,"*EMEA*")</f>
        <v>0</v>
      </c>
      <c r="E504">
        <f>COUNTIF('Metrics - Articles'!H503,"*NA*")</f>
        <v>0</v>
      </c>
      <c r="F504">
        <f>COUNTIF('Metrics - Articles'!H503,"*APJ")</f>
        <v>0</v>
      </c>
      <c r="G504">
        <f>COUNTIF('Metrics - Articles'!H503,"*LATAM*")</f>
        <v>0</v>
      </c>
      <c r="H504">
        <f>COUNTIF('Metrics - Articles'!H503,"*China*")</f>
        <v>0</v>
      </c>
      <c r="J504" s="53">
        <f t="shared" si="8"/>
        <v>0</v>
      </c>
    </row>
    <row r="505" spans="2:10" x14ac:dyDescent="0.25">
      <c r="B505" s="48">
        <f>+'Metrics - Articles'!C504</f>
        <v>0</v>
      </c>
      <c r="C505">
        <f>COUNTIF('Metrics - Articles'!H504,"*Global*")</f>
        <v>0</v>
      </c>
      <c r="D505">
        <f>COUNTIF('Metrics - Articles'!H504,"*EMEA*")</f>
        <v>0</v>
      </c>
      <c r="E505">
        <f>COUNTIF('Metrics - Articles'!H504,"*NA*")</f>
        <v>0</v>
      </c>
      <c r="F505">
        <f>COUNTIF('Metrics - Articles'!H504,"*APJ")</f>
        <v>0</v>
      </c>
      <c r="G505">
        <f>COUNTIF('Metrics - Articles'!H504,"*LATAM*")</f>
        <v>0</v>
      </c>
      <c r="H505">
        <f>COUNTIF('Metrics - Articles'!H504,"*China*")</f>
        <v>0</v>
      </c>
      <c r="J505" s="53">
        <f t="shared" si="8"/>
        <v>0</v>
      </c>
    </row>
    <row r="506" spans="2:10" x14ac:dyDescent="0.25">
      <c r="B506" s="48">
        <f>+'Metrics - Articles'!C505</f>
        <v>0</v>
      </c>
      <c r="C506">
        <f>COUNTIF('Metrics - Articles'!H505,"*Global*")</f>
        <v>0</v>
      </c>
      <c r="D506">
        <f>COUNTIF('Metrics - Articles'!H505,"*EMEA*")</f>
        <v>0</v>
      </c>
      <c r="E506">
        <f>COUNTIF('Metrics - Articles'!H505,"*NA*")</f>
        <v>0</v>
      </c>
      <c r="F506">
        <f>COUNTIF('Metrics - Articles'!H505,"*APJ")</f>
        <v>0</v>
      </c>
      <c r="G506">
        <f>COUNTIF('Metrics - Articles'!H505,"*LATAM*")</f>
        <v>0</v>
      </c>
      <c r="H506">
        <f>COUNTIF('Metrics - Articles'!H505,"*China*")</f>
        <v>0</v>
      </c>
      <c r="J506" s="53">
        <f t="shared" si="8"/>
        <v>0</v>
      </c>
    </row>
    <row r="507" spans="2:10" x14ac:dyDescent="0.25">
      <c r="B507" s="48">
        <f>+'Metrics - Articles'!C506</f>
        <v>0</v>
      </c>
      <c r="C507">
        <f>COUNTIF('Metrics - Articles'!H506,"*Global*")</f>
        <v>0</v>
      </c>
      <c r="D507">
        <f>COUNTIF('Metrics - Articles'!H506,"*EMEA*")</f>
        <v>0</v>
      </c>
      <c r="E507">
        <f>COUNTIF('Metrics - Articles'!H506,"*NA*")</f>
        <v>0</v>
      </c>
      <c r="F507">
        <f>COUNTIF('Metrics - Articles'!H506,"*APJ")</f>
        <v>0</v>
      </c>
      <c r="G507">
        <f>COUNTIF('Metrics - Articles'!H506,"*LATAM*")</f>
        <v>0</v>
      </c>
      <c r="H507">
        <f>COUNTIF('Metrics - Articles'!H506,"*China*")</f>
        <v>0</v>
      </c>
      <c r="J507" s="53">
        <f t="shared" si="8"/>
        <v>0</v>
      </c>
    </row>
    <row r="508" spans="2:10" x14ac:dyDescent="0.25">
      <c r="B508" s="48">
        <f>+'Metrics - Articles'!C507</f>
        <v>0</v>
      </c>
      <c r="C508">
        <f>COUNTIF('Metrics - Articles'!H507,"*Global*")</f>
        <v>0</v>
      </c>
      <c r="D508">
        <f>COUNTIF('Metrics - Articles'!H507,"*EMEA*")</f>
        <v>0</v>
      </c>
      <c r="E508">
        <f>COUNTIF('Metrics - Articles'!H507,"*NA*")</f>
        <v>0</v>
      </c>
      <c r="F508">
        <f>COUNTIF('Metrics - Articles'!H507,"*APJ")</f>
        <v>0</v>
      </c>
      <c r="G508">
        <f>COUNTIF('Metrics - Articles'!H507,"*LATAM*")</f>
        <v>0</v>
      </c>
      <c r="H508">
        <f>COUNTIF('Metrics - Articles'!H507,"*China*")</f>
        <v>0</v>
      </c>
      <c r="J508" s="53">
        <f t="shared" si="8"/>
        <v>0</v>
      </c>
    </row>
    <row r="509" spans="2:10" x14ac:dyDescent="0.25">
      <c r="B509" s="48">
        <f>+'Metrics - Articles'!C508</f>
        <v>0</v>
      </c>
      <c r="C509">
        <f>COUNTIF('Metrics - Articles'!H508,"*Global*")</f>
        <v>0</v>
      </c>
      <c r="D509">
        <f>COUNTIF('Metrics - Articles'!H508,"*EMEA*")</f>
        <v>0</v>
      </c>
      <c r="E509">
        <f>COUNTIF('Metrics - Articles'!H508,"*NA*")</f>
        <v>0</v>
      </c>
      <c r="F509">
        <f>COUNTIF('Metrics - Articles'!H508,"*APJ")</f>
        <v>0</v>
      </c>
      <c r="G509">
        <f>COUNTIF('Metrics - Articles'!H508,"*LATAM*")</f>
        <v>0</v>
      </c>
      <c r="H509">
        <f>COUNTIF('Metrics - Articles'!H508,"*China*")</f>
        <v>0</v>
      </c>
      <c r="J509" s="53">
        <f t="shared" si="8"/>
        <v>0</v>
      </c>
    </row>
    <row r="510" spans="2:10" x14ac:dyDescent="0.25">
      <c r="B510" s="48">
        <f>+'Metrics - Articles'!C509</f>
        <v>0</v>
      </c>
      <c r="C510">
        <f>COUNTIF('Metrics - Articles'!H509,"*Global*")</f>
        <v>0</v>
      </c>
      <c r="D510">
        <f>COUNTIF('Metrics - Articles'!H509,"*EMEA*")</f>
        <v>0</v>
      </c>
      <c r="E510">
        <f>COUNTIF('Metrics - Articles'!H509,"*NA*")</f>
        <v>0</v>
      </c>
      <c r="F510">
        <f>COUNTIF('Metrics - Articles'!H509,"*APJ")</f>
        <v>0</v>
      </c>
      <c r="G510">
        <f>COUNTIF('Metrics - Articles'!H509,"*LATAM*")</f>
        <v>0</v>
      </c>
      <c r="H510">
        <f>COUNTIF('Metrics - Articles'!H509,"*China*")</f>
        <v>0</v>
      </c>
      <c r="J510" s="53">
        <f t="shared" si="8"/>
        <v>0</v>
      </c>
    </row>
    <row r="511" spans="2:10" x14ac:dyDescent="0.25">
      <c r="B511" s="48">
        <f>+'Metrics - Articles'!C510</f>
        <v>0</v>
      </c>
      <c r="C511">
        <f>COUNTIF('Metrics - Articles'!H510,"*Global*")</f>
        <v>0</v>
      </c>
      <c r="D511">
        <f>COUNTIF('Metrics - Articles'!H510,"*EMEA*")</f>
        <v>0</v>
      </c>
      <c r="E511">
        <f>COUNTIF('Metrics - Articles'!H510,"*NA*")</f>
        <v>0</v>
      </c>
      <c r="F511">
        <f>COUNTIF('Metrics - Articles'!H510,"*APJ")</f>
        <v>0</v>
      </c>
      <c r="G511">
        <f>COUNTIF('Metrics - Articles'!H510,"*LATAM*")</f>
        <v>0</v>
      </c>
      <c r="H511">
        <f>COUNTIF('Metrics - Articles'!H510,"*China*")</f>
        <v>0</v>
      </c>
      <c r="J511" s="53">
        <f t="shared" si="8"/>
        <v>0</v>
      </c>
    </row>
    <row r="512" spans="2:10" x14ac:dyDescent="0.25">
      <c r="B512" s="48">
        <f>+'Metrics - Articles'!C511</f>
        <v>0</v>
      </c>
      <c r="C512">
        <f>COUNTIF('Metrics - Articles'!H511,"*Global*")</f>
        <v>0</v>
      </c>
      <c r="D512">
        <f>COUNTIF('Metrics - Articles'!H511,"*EMEA*")</f>
        <v>0</v>
      </c>
      <c r="E512">
        <f>COUNTIF('Metrics - Articles'!H511,"*NA*")</f>
        <v>0</v>
      </c>
      <c r="F512">
        <f>COUNTIF('Metrics - Articles'!H511,"*APJ")</f>
        <v>0</v>
      </c>
      <c r="G512">
        <f>COUNTIF('Metrics - Articles'!H511,"*LATAM*")</f>
        <v>0</v>
      </c>
      <c r="H512">
        <f>COUNTIF('Metrics - Articles'!H511,"*China*")</f>
        <v>0</v>
      </c>
      <c r="J512" s="53">
        <f t="shared" si="8"/>
        <v>0</v>
      </c>
    </row>
    <row r="513" spans="2:10" x14ac:dyDescent="0.25">
      <c r="B513" s="48">
        <f>+'Metrics - Articles'!C512</f>
        <v>0</v>
      </c>
      <c r="C513">
        <f>COUNTIF('Metrics - Articles'!H512,"*Global*")</f>
        <v>0</v>
      </c>
      <c r="D513">
        <f>COUNTIF('Metrics - Articles'!H512,"*EMEA*")</f>
        <v>0</v>
      </c>
      <c r="E513">
        <f>COUNTIF('Metrics - Articles'!H512,"*NA*")</f>
        <v>0</v>
      </c>
      <c r="F513">
        <f>COUNTIF('Metrics - Articles'!H512,"*APJ")</f>
        <v>0</v>
      </c>
      <c r="G513">
        <f>COUNTIF('Metrics - Articles'!H512,"*LATAM*")</f>
        <v>0</v>
      </c>
      <c r="H513">
        <f>COUNTIF('Metrics - Articles'!H512,"*China*")</f>
        <v>0</v>
      </c>
      <c r="J513" s="53">
        <f t="shared" si="8"/>
        <v>0</v>
      </c>
    </row>
    <row r="514" spans="2:10" x14ac:dyDescent="0.25">
      <c r="B514" s="48">
        <f>+'Metrics - Articles'!C513</f>
        <v>0</v>
      </c>
      <c r="C514">
        <f>COUNTIF('Metrics - Articles'!H513,"*Global*")</f>
        <v>0</v>
      </c>
      <c r="D514">
        <f>COUNTIF('Metrics - Articles'!H513,"*EMEA*")</f>
        <v>0</v>
      </c>
      <c r="E514">
        <f>COUNTIF('Metrics - Articles'!H513,"*NA*")</f>
        <v>0</v>
      </c>
      <c r="F514">
        <f>COUNTIF('Metrics - Articles'!H513,"*APJ")</f>
        <v>0</v>
      </c>
      <c r="G514">
        <f>COUNTIF('Metrics - Articles'!H513,"*LATAM*")</f>
        <v>0</v>
      </c>
      <c r="H514">
        <f>COUNTIF('Metrics - Articles'!H513,"*China*")</f>
        <v>0</v>
      </c>
      <c r="J514" s="53">
        <f t="shared" si="8"/>
        <v>0</v>
      </c>
    </row>
    <row r="515" spans="2:10" x14ac:dyDescent="0.25">
      <c r="B515" s="48">
        <f>+'Metrics - Articles'!C514</f>
        <v>0</v>
      </c>
      <c r="C515">
        <f>COUNTIF('Metrics - Articles'!H514,"*Global*")</f>
        <v>0</v>
      </c>
      <c r="D515">
        <f>COUNTIF('Metrics - Articles'!H514,"*EMEA*")</f>
        <v>0</v>
      </c>
      <c r="E515">
        <f>COUNTIF('Metrics - Articles'!H514,"*NA*")</f>
        <v>0</v>
      </c>
      <c r="F515">
        <f>COUNTIF('Metrics - Articles'!H514,"*APJ")</f>
        <v>0</v>
      </c>
      <c r="G515">
        <f>COUNTIF('Metrics - Articles'!H514,"*LATAM*")</f>
        <v>0</v>
      </c>
      <c r="H515">
        <f>COUNTIF('Metrics - Articles'!H514,"*China*")</f>
        <v>0</v>
      </c>
      <c r="J515" s="53">
        <f t="shared" si="8"/>
        <v>0</v>
      </c>
    </row>
    <row r="516" spans="2:10" x14ac:dyDescent="0.25">
      <c r="B516" s="48">
        <f>+'Metrics - Articles'!C515</f>
        <v>0</v>
      </c>
      <c r="C516">
        <f>COUNTIF('Metrics - Articles'!H515,"*Global*")</f>
        <v>0</v>
      </c>
      <c r="D516">
        <f>COUNTIF('Metrics - Articles'!H515,"*EMEA*")</f>
        <v>0</v>
      </c>
      <c r="E516">
        <f>COUNTIF('Metrics - Articles'!H515,"*NA*")</f>
        <v>0</v>
      </c>
      <c r="F516">
        <f>COUNTIF('Metrics - Articles'!H515,"*APJ")</f>
        <v>0</v>
      </c>
      <c r="G516">
        <f>COUNTIF('Metrics - Articles'!H515,"*LATAM*")</f>
        <v>0</v>
      </c>
      <c r="H516">
        <f>COUNTIF('Metrics - Articles'!H515,"*China*")</f>
        <v>0</v>
      </c>
      <c r="J516" s="53">
        <f t="shared" si="8"/>
        <v>0</v>
      </c>
    </row>
    <row r="517" spans="2:10" x14ac:dyDescent="0.25">
      <c r="B517" s="48">
        <f>+'Metrics - Articles'!C516</f>
        <v>0</v>
      </c>
      <c r="C517">
        <f>COUNTIF('Metrics - Articles'!H516,"*Global*")</f>
        <v>0</v>
      </c>
      <c r="D517">
        <f>COUNTIF('Metrics - Articles'!H516,"*EMEA*")</f>
        <v>0</v>
      </c>
      <c r="E517">
        <f>COUNTIF('Metrics - Articles'!H516,"*NA*")</f>
        <v>0</v>
      </c>
      <c r="F517">
        <f>COUNTIF('Metrics - Articles'!H516,"*APJ")</f>
        <v>0</v>
      </c>
      <c r="G517">
        <f>COUNTIF('Metrics - Articles'!H516,"*LATAM*")</f>
        <v>0</v>
      </c>
      <c r="H517">
        <f>COUNTIF('Metrics - Articles'!H516,"*China*")</f>
        <v>0</v>
      </c>
      <c r="J517" s="53">
        <f t="shared" si="8"/>
        <v>0</v>
      </c>
    </row>
    <row r="518" spans="2:10" x14ac:dyDescent="0.25">
      <c r="B518" s="48">
        <f>+'Metrics - Articles'!C517</f>
        <v>0</v>
      </c>
      <c r="C518">
        <f>COUNTIF('Metrics - Articles'!H517,"*Global*")</f>
        <v>0</v>
      </c>
      <c r="D518">
        <f>COUNTIF('Metrics - Articles'!H517,"*EMEA*")</f>
        <v>0</v>
      </c>
      <c r="E518">
        <f>COUNTIF('Metrics - Articles'!H517,"*NA*")</f>
        <v>0</v>
      </c>
      <c r="F518">
        <f>COUNTIF('Metrics - Articles'!H517,"*APJ")</f>
        <v>0</v>
      </c>
      <c r="G518">
        <f>COUNTIF('Metrics - Articles'!H517,"*LATAM*")</f>
        <v>0</v>
      </c>
      <c r="H518">
        <f>COUNTIF('Metrics - Articles'!H517,"*China*")</f>
        <v>0</v>
      </c>
      <c r="J518" s="53">
        <f t="shared" si="8"/>
        <v>0</v>
      </c>
    </row>
    <row r="519" spans="2:10" x14ac:dyDescent="0.25">
      <c r="B519" s="48">
        <f>+'Metrics - Articles'!C518</f>
        <v>0</v>
      </c>
      <c r="C519">
        <f>COUNTIF('Metrics - Articles'!H518,"*Global*")</f>
        <v>0</v>
      </c>
      <c r="D519">
        <f>COUNTIF('Metrics - Articles'!H518,"*EMEA*")</f>
        <v>0</v>
      </c>
      <c r="E519">
        <f>COUNTIF('Metrics - Articles'!H518,"*NA*")</f>
        <v>0</v>
      </c>
      <c r="F519">
        <f>COUNTIF('Metrics - Articles'!H518,"*APJ")</f>
        <v>0</v>
      </c>
      <c r="G519">
        <f>COUNTIF('Metrics - Articles'!H518,"*LATAM*")</f>
        <v>0</v>
      </c>
      <c r="H519">
        <f>COUNTIF('Metrics - Articles'!H518,"*China*")</f>
        <v>0</v>
      </c>
      <c r="J519" s="53">
        <f t="shared" si="8"/>
        <v>0</v>
      </c>
    </row>
    <row r="520" spans="2:10" x14ac:dyDescent="0.25">
      <c r="B520" s="48">
        <f>+'Metrics - Articles'!C519</f>
        <v>0</v>
      </c>
      <c r="C520">
        <f>COUNTIF('Metrics - Articles'!H519,"*Global*")</f>
        <v>0</v>
      </c>
      <c r="D520">
        <f>COUNTIF('Metrics - Articles'!H519,"*EMEA*")</f>
        <v>0</v>
      </c>
      <c r="E520">
        <f>COUNTIF('Metrics - Articles'!H519,"*NA*")</f>
        <v>0</v>
      </c>
      <c r="F520">
        <f>COUNTIF('Metrics - Articles'!H519,"*APJ")</f>
        <v>0</v>
      </c>
      <c r="G520">
        <f>COUNTIF('Metrics - Articles'!H519,"*LATAM*")</f>
        <v>0</v>
      </c>
      <c r="H520">
        <f>COUNTIF('Metrics - Articles'!H519,"*China*")</f>
        <v>0</v>
      </c>
      <c r="J520" s="53">
        <f t="shared" si="8"/>
        <v>0</v>
      </c>
    </row>
    <row r="521" spans="2:10" x14ac:dyDescent="0.25">
      <c r="B521" s="48">
        <f>+'Metrics - Articles'!C520</f>
        <v>0</v>
      </c>
      <c r="C521">
        <f>COUNTIF('Metrics - Articles'!H520,"*Global*")</f>
        <v>0</v>
      </c>
      <c r="D521">
        <f>COUNTIF('Metrics - Articles'!H520,"*EMEA*")</f>
        <v>0</v>
      </c>
      <c r="E521">
        <f>COUNTIF('Metrics - Articles'!H520,"*NA*")</f>
        <v>0</v>
      </c>
      <c r="F521">
        <f>COUNTIF('Metrics - Articles'!H520,"*APJ")</f>
        <v>0</v>
      </c>
      <c r="G521">
        <f>COUNTIF('Metrics - Articles'!H520,"*LATAM*")</f>
        <v>0</v>
      </c>
      <c r="H521">
        <f>COUNTIF('Metrics - Articles'!H520,"*China*")</f>
        <v>0</v>
      </c>
      <c r="J521" s="53">
        <f t="shared" si="8"/>
        <v>0</v>
      </c>
    </row>
    <row r="522" spans="2:10" x14ac:dyDescent="0.25">
      <c r="B522" s="48">
        <f>+'Metrics - Articles'!C521</f>
        <v>0</v>
      </c>
      <c r="C522">
        <f>COUNTIF('Metrics - Articles'!H521,"*Global*")</f>
        <v>0</v>
      </c>
      <c r="D522">
        <f>COUNTIF('Metrics - Articles'!H521,"*EMEA*")</f>
        <v>0</v>
      </c>
      <c r="E522">
        <f>COUNTIF('Metrics - Articles'!H521,"*NA*")</f>
        <v>0</v>
      </c>
      <c r="F522">
        <f>COUNTIF('Metrics - Articles'!H521,"*APJ")</f>
        <v>0</v>
      </c>
      <c r="G522">
        <f>COUNTIF('Metrics - Articles'!H521,"*LATAM*")</f>
        <v>0</v>
      </c>
      <c r="H522">
        <f>COUNTIF('Metrics - Articles'!H521,"*China*")</f>
        <v>0</v>
      </c>
      <c r="J522" s="53">
        <f t="shared" ref="J522:J585" si="9">SUM(C522:I522)</f>
        <v>0</v>
      </c>
    </row>
    <row r="523" spans="2:10" x14ac:dyDescent="0.25">
      <c r="B523" s="48">
        <f>+'Metrics - Articles'!C522</f>
        <v>0</v>
      </c>
      <c r="C523">
        <f>COUNTIF('Metrics - Articles'!H522,"*Global*")</f>
        <v>0</v>
      </c>
      <c r="D523">
        <f>COUNTIF('Metrics - Articles'!H522,"*EMEA*")</f>
        <v>0</v>
      </c>
      <c r="E523">
        <f>COUNTIF('Metrics - Articles'!H522,"*NA*")</f>
        <v>0</v>
      </c>
      <c r="F523">
        <f>COUNTIF('Metrics - Articles'!H522,"*APJ")</f>
        <v>0</v>
      </c>
      <c r="G523">
        <f>COUNTIF('Metrics - Articles'!H522,"*LATAM*")</f>
        <v>0</v>
      </c>
      <c r="H523">
        <f>COUNTIF('Metrics - Articles'!H522,"*China*")</f>
        <v>0</v>
      </c>
      <c r="J523" s="53">
        <f t="shared" si="9"/>
        <v>0</v>
      </c>
    </row>
    <row r="524" spans="2:10" x14ac:dyDescent="0.25">
      <c r="B524" s="48">
        <f>+'Metrics - Articles'!C523</f>
        <v>0</v>
      </c>
      <c r="C524">
        <f>COUNTIF('Metrics - Articles'!H523,"*Global*")</f>
        <v>0</v>
      </c>
      <c r="D524">
        <f>COUNTIF('Metrics - Articles'!H523,"*EMEA*")</f>
        <v>0</v>
      </c>
      <c r="E524">
        <f>COUNTIF('Metrics - Articles'!H523,"*NA*")</f>
        <v>0</v>
      </c>
      <c r="F524">
        <f>COUNTIF('Metrics - Articles'!H523,"*APJ")</f>
        <v>0</v>
      </c>
      <c r="G524">
        <f>COUNTIF('Metrics - Articles'!H523,"*LATAM*")</f>
        <v>0</v>
      </c>
      <c r="H524">
        <f>COUNTIF('Metrics - Articles'!H523,"*China*")</f>
        <v>0</v>
      </c>
      <c r="J524" s="53">
        <f t="shared" si="9"/>
        <v>0</v>
      </c>
    </row>
    <row r="525" spans="2:10" x14ac:dyDescent="0.25">
      <c r="B525" s="48">
        <f>+'Metrics - Articles'!C524</f>
        <v>0</v>
      </c>
      <c r="C525">
        <f>COUNTIF('Metrics - Articles'!H524,"*Global*")</f>
        <v>0</v>
      </c>
      <c r="D525">
        <f>COUNTIF('Metrics - Articles'!H524,"*EMEA*")</f>
        <v>0</v>
      </c>
      <c r="E525">
        <f>COUNTIF('Metrics - Articles'!H524,"*NA*")</f>
        <v>0</v>
      </c>
      <c r="F525">
        <f>COUNTIF('Metrics - Articles'!H524,"*APJ")</f>
        <v>0</v>
      </c>
      <c r="G525">
        <f>COUNTIF('Metrics - Articles'!H524,"*LATAM*")</f>
        <v>0</v>
      </c>
      <c r="H525">
        <f>COUNTIF('Metrics - Articles'!H524,"*China*")</f>
        <v>0</v>
      </c>
      <c r="J525" s="53">
        <f t="shared" si="9"/>
        <v>0</v>
      </c>
    </row>
    <row r="526" spans="2:10" x14ac:dyDescent="0.25">
      <c r="B526" s="48">
        <f>+'Metrics - Articles'!C525</f>
        <v>0</v>
      </c>
      <c r="C526">
        <f>COUNTIF('Metrics - Articles'!H525,"*Global*")</f>
        <v>0</v>
      </c>
      <c r="D526">
        <f>COUNTIF('Metrics - Articles'!H525,"*EMEA*")</f>
        <v>0</v>
      </c>
      <c r="E526">
        <f>COUNTIF('Metrics - Articles'!H525,"*NA*")</f>
        <v>0</v>
      </c>
      <c r="F526">
        <f>COUNTIF('Metrics - Articles'!H525,"*APJ")</f>
        <v>0</v>
      </c>
      <c r="G526">
        <f>COUNTIF('Metrics - Articles'!H525,"*LATAM*")</f>
        <v>0</v>
      </c>
      <c r="H526">
        <f>COUNTIF('Metrics - Articles'!H525,"*China*")</f>
        <v>0</v>
      </c>
      <c r="J526" s="53">
        <f t="shared" si="9"/>
        <v>0</v>
      </c>
    </row>
    <row r="527" spans="2:10" x14ac:dyDescent="0.25">
      <c r="B527" s="48">
        <f>+'Metrics - Articles'!C526</f>
        <v>0</v>
      </c>
      <c r="C527">
        <f>COUNTIF('Metrics - Articles'!H526,"*Global*")</f>
        <v>0</v>
      </c>
      <c r="D527">
        <f>COUNTIF('Metrics - Articles'!H526,"*EMEA*")</f>
        <v>0</v>
      </c>
      <c r="E527">
        <f>COUNTIF('Metrics - Articles'!H526,"*NA*")</f>
        <v>0</v>
      </c>
      <c r="F527">
        <f>COUNTIF('Metrics - Articles'!H526,"*APJ")</f>
        <v>0</v>
      </c>
      <c r="G527">
        <f>COUNTIF('Metrics - Articles'!H526,"*LATAM*")</f>
        <v>0</v>
      </c>
      <c r="H527">
        <f>COUNTIF('Metrics - Articles'!H526,"*China*")</f>
        <v>0</v>
      </c>
      <c r="J527" s="53">
        <f t="shared" si="9"/>
        <v>0</v>
      </c>
    </row>
    <row r="528" spans="2:10" x14ac:dyDescent="0.25">
      <c r="B528" s="48">
        <f>+'Metrics - Articles'!C527</f>
        <v>0</v>
      </c>
      <c r="C528">
        <f>COUNTIF('Metrics - Articles'!H527,"*Global*")</f>
        <v>0</v>
      </c>
      <c r="D528">
        <f>COUNTIF('Metrics - Articles'!H527,"*EMEA*")</f>
        <v>0</v>
      </c>
      <c r="E528">
        <f>COUNTIF('Metrics - Articles'!H527,"*NA*")</f>
        <v>0</v>
      </c>
      <c r="F528">
        <f>COUNTIF('Metrics - Articles'!H527,"*APJ")</f>
        <v>0</v>
      </c>
      <c r="G528">
        <f>COUNTIF('Metrics - Articles'!H527,"*LATAM*")</f>
        <v>0</v>
      </c>
      <c r="H528">
        <f>COUNTIF('Metrics - Articles'!H527,"*China*")</f>
        <v>0</v>
      </c>
      <c r="J528" s="53">
        <f t="shared" si="9"/>
        <v>0</v>
      </c>
    </row>
    <row r="529" spans="2:10" x14ac:dyDescent="0.25">
      <c r="B529" s="48">
        <f>+'Metrics - Articles'!C528</f>
        <v>0</v>
      </c>
      <c r="C529">
        <f>COUNTIF('Metrics - Articles'!H528,"*Global*")</f>
        <v>0</v>
      </c>
      <c r="D529">
        <f>COUNTIF('Metrics - Articles'!H528,"*EMEA*")</f>
        <v>0</v>
      </c>
      <c r="E529">
        <f>COUNTIF('Metrics - Articles'!H528,"*NA*")</f>
        <v>0</v>
      </c>
      <c r="F529">
        <f>COUNTIF('Metrics - Articles'!H528,"*APJ")</f>
        <v>0</v>
      </c>
      <c r="G529">
        <f>COUNTIF('Metrics - Articles'!H528,"*LATAM*")</f>
        <v>0</v>
      </c>
      <c r="H529">
        <f>COUNTIF('Metrics - Articles'!H528,"*China*")</f>
        <v>0</v>
      </c>
      <c r="J529" s="53">
        <f t="shared" si="9"/>
        <v>0</v>
      </c>
    </row>
    <row r="530" spans="2:10" x14ac:dyDescent="0.25">
      <c r="B530" s="48">
        <f>+'Metrics - Articles'!C529</f>
        <v>0</v>
      </c>
      <c r="C530">
        <f>COUNTIF('Metrics - Articles'!H529,"*Global*")</f>
        <v>0</v>
      </c>
      <c r="D530">
        <f>COUNTIF('Metrics - Articles'!H529,"*EMEA*")</f>
        <v>0</v>
      </c>
      <c r="E530">
        <f>COUNTIF('Metrics - Articles'!H529,"*NA*")</f>
        <v>0</v>
      </c>
      <c r="F530">
        <f>COUNTIF('Metrics - Articles'!H529,"*APJ")</f>
        <v>0</v>
      </c>
      <c r="G530">
        <f>COUNTIF('Metrics - Articles'!H529,"*LATAM*")</f>
        <v>0</v>
      </c>
      <c r="H530">
        <f>COUNTIF('Metrics - Articles'!H529,"*China*")</f>
        <v>0</v>
      </c>
      <c r="J530" s="53">
        <f t="shared" si="9"/>
        <v>0</v>
      </c>
    </row>
    <row r="531" spans="2:10" x14ac:dyDescent="0.25">
      <c r="B531" s="48">
        <f>+'Metrics - Articles'!C530</f>
        <v>0</v>
      </c>
      <c r="C531">
        <f>COUNTIF('Metrics - Articles'!H530,"*Global*")</f>
        <v>0</v>
      </c>
      <c r="D531">
        <f>COUNTIF('Metrics - Articles'!H530,"*EMEA*")</f>
        <v>0</v>
      </c>
      <c r="E531">
        <f>COUNTIF('Metrics - Articles'!H530,"*NA*")</f>
        <v>0</v>
      </c>
      <c r="F531">
        <f>COUNTIF('Metrics - Articles'!H530,"*APJ")</f>
        <v>0</v>
      </c>
      <c r="G531">
        <f>COUNTIF('Metrics - Articles'!H530,"*LATAM*")</f>
        <v>0</v>
      </c>
      <c r="H531">
        <f>COUNTIF('Metrics - Articles'!H530,"*China*")</f>
        <v>0</v>
      </c>
      <c r="J531" s="53">
        <f t="shared" si="9"/>
        <v>0</v>
      </c>
    </row>
    <row r="532" spans="2:10" x14ac:dyDescent="0.25">
      <c r="B532" s="48">
        <f>+'Metrics - Articles'!C531</f>
        <v>0</v>
      </c>
      <c r="C532">
        <f>COUNTIF('Metrics - Articles'!H531,"*Global*")</f>
        <v>0</v>
      </c>
      <c r="D532">
        <f>COUNTIF('Metrics - Articles'!H531,"*EMEA*")</f>
        <v>0</v>
      </c>
      <c r="E532">
        <f>COUNTIF('Metrics - Articles'!H531,"*NA*")</f>
        <v>0</v>
      </c>
      <c r="F532">
        <f>COUNTIF('Metrics - Articles'!H531,"*APJ")</f>
        <v>0</v>
      </c>
      <c r="G532">
        <f>COUNTIF('Metrics - Articles'!H531,"*LATAM*")</f>
        <v>0</v>
      </c>
      <c r="H532">
        <f>COUNTIF('Metrics - Articles'!H531,"*China*")</f>
        <v>0</v>
      </c>
      <c r="J532" s="53">
        <f t="shared" si="9"/>
        <v>0</v>
      </c>
    </row>
    <row r="533" spans="2:10" x14ac:dyDescent="0.25">
      <c r="B533" s="48">
        <f>+'Metrics - Articles'!C532</f>
        <v>0</v>
      </c>
      <c r="C533">
        <f>COUNTIF('Metrics - Articles'!H532,"*Global*")</f>
        <v>0</v>
      </c>
      <c r="D533">
        <f>COUNTIF('Metrics - Articles'!H532,"*EMEA*")</f>
        <v>0</v>
      </c>
      <c r="E533">
        <f>COUNTIF('Metrics - Articles'!H532,"*NA*")</f>
        <v>0</v>
      </c>
      <c r="F533">
        <f>COUNTIF('Metrics - Articles'!H532,"*APJ")</f>
        <v>0</v>
      </c>
      <c r="G533">
        <f>COUNTIF('Metrics - Articles'!H532,"*LATAM*")</f>
        <v>0</v>
      </c>
      <c r="H533">
        <f>COUNTIF('Metrics - Articles'!H532,"*China*")</f>
        <v>0</v>
      </c>
      <c r="J533" s="53">
        <f t="shared" si="9"/>
        <v>0</v>
      </c>
    </row>
    <row r="534" spans="2:10" x14ac:dyDescent="0.25">
      <c r="B534" s="48">
        <f>+'Metrics - Articles'!C533</f>
        <v>0</v>
      </c>
      <c r="C534">
        <f>COUNTIF('Metrics - Articles'!H533,"*Global*")</f>
        <v>0</v>
      </c>
      <c r="D534">
        <f>COUNTIF('Metrics - Articles'!H533,"*EMEA*")</f>
        <v>0</v>
      </c>
      <c r="E534">
        <f>COUNTIF('Metrics - Articles'!H533,"*NA*")</f>
        <v>0</v>
      </c>
      <c r="F534">
        <f>COUNTIF('Metrics - Articles'!H533,"*APJ")</f>
        <v>0</v>
      </c>
      <c r="G534">
        <f>COUNTIF('Metrics - Articles'!H533,"*LATAM*")</f>
        <v>0</v>
      </c>
      <c r="H534">
        <f>COUNTIF('Metrics - Articles'!H533,"*China*")</f>
        <v>0</v>
      </c>
      <c r="J534" s="53">
        <f t="shared" si="9"/>
        <v>0</v>
      </c>
    </row>
    <row r="535" spans="2:10" x14ac:dyDescent="0.25">
      <c r="B535" s="48">
        <f>+'Metrics - Articles'!C534</f>
        <v>0</v>
      </c>
      <c r="C535">
        <f>COUNTIF('Metrics - Articles'!H534,"*Global*")</f>
        <v>0</v>
      </c>
      <c r="D535">
        <f>COUNTIF('Metrics - Articles'!H534,"*EMEA*")</f>
        <v>0</v>
      </c>
      <c r="E535">
        <f>COUNTIF('Metrics - Articles'!H534,"*NA*")</f>
        <v>0</v>
      </c>
      <c r="F535">
        <f>COUNTIF('Metrics - Articles'!H534,"*APJ")</f>
        <v>0</v>
      </c>
      <c r="G535">
        <f>COUNTIF('Metrics - Articles'!H534,"*LATAM*")</f>
        <v>0</v>
      </c>
      <c r="H535">
        <f>COUNTIF('Metrics - Articles'!H534,"*China*")</f>
        <v>0</v>
      </c>
      <c r="J535" s="53">
        <f t="shared" si="9"/>
        <v>0</v>
      </c>
    </row>
    <row r="536" spans="2:10" x14ac:dyDescent="0.25">
      <c r="B536" s="48">
        <f>+'Metrics - Articles'!C535</f>
        <v>0</v>
      </c>
      <c r="C536">
        <f>COUNTIF('Metrics - Articles'!H535,"*Global*")</f>
        <v>0</v>
      </c>
      <c r="D536">
        <f>COUNTIF('Metrics - Articles'!H535,"*EMEA*")</f>
        <v>0</v>
      </c>
      <c r="E536">
        <f>COUNTIF('Metrics - Articles'!H535,"*NA*")</f>
        <v>0</v>
      </c>
      <c r="F536">
        <f>COUNTIF('Metrics - Articles'!H535,"*APJ")</f>
        <v>0</v>
      </c>
      <c r="G536">
        <f>COUNTIF('Metrics - Articles'!H535,"*LATAM*")</f>
        <v>0</v>
      </c>
      <c r="H536">
        <f>COUNTIF('Metrics - Articles'!H535,"*China*")</f>
        <v>0</v>
      </c>
      <c r="J536" s="53">
        <f t="shared" si="9"/>
        <v>0</v>
      </c>
    </row>
    <row r="537" spans="2:10" x14ac:dyDescent="0.25">
      <c r="B537" s="48">
        <f>+'Metrics - Articles'!C536</f>
        <v>0</v>
      </c>
      <c r="C537">
        <f>COUNTIF('Metrics - Articles'!H536,"*Global*")</f>
        <v>0</v>
      </c>
      <c r="D537">
        <f>COUNTIF('Metrics - Articles'!H536,"*EMEA*")</f>
        <v>0</v>
      </c>
      <c r="E537">
        <f>COUNTIF('Metrics - Articles'!H536,"*NA*")</f>
        <v>0</v>
      </c>
      <c r="F537">
        <f>COUNTIF('Metrics - Articles'!H536,"*APJ")</f>
        <v>0</v>
      </c>
      <c r="G537">
        <f>COUNTIF('Metrics - Articles'!H536,"*LATAM*")</f>
        <v>0</v>
      </c>
      <c r="H537">
        <f>COUNTIF('Metrics - Articles'!H536,"*China*")</f>
        <v>0</v>
      </c>
      <c r="J537" s="53">
        <f t="shared" si="9"/>
        <v>0</v>
      </c>
    </row>
    <row r="538" spans="2:10" x14ac:dyDescent="0.25">
      <c r="B538" s="48">
        <f>+'Metrics - Articles'!C537</f>
        <v>0</v>
      </c>
      <c r="C538">
        <f>COUNTIF('Metrics - Articles'!H537,"*Global*")</f>
        <v>0</v>
      </c>
      <c r="D538">
        <f>COUNTIF('Metrics - Articles'!H537,"*EMEA*")</f>
        <v>0</v>
      </c>
      <c r="E538">
        <f>COUNTIF('Metrics - Articles'!H537,"*NA*")</f>
        <v>0</v>
      </c>
      <c r="F538">
        <f>COUNTIF('Metrics - Articles'!H537,"*APJ")</f>
        <v>0</v>
      </c>
      <c r="G538">
        <f>COUNTIF('Metrics - Articles'!H537,"*LATAM*")</f>
        <v>0</v>
      </c>
      <c r="H538">
        <f>COUNTIF('Metrics - Articles'!H537,"*China*")</f>
        <v>0</v>
      </c>
      <c r="J538" s="53">
        <f t="shared" si="9"/>
        <v>0</v>
      </c>
    </row>
    <row r="539" spans="2:10" x14ac:dyDescent="0.25">
      <c r="B539" s="48">
        <f>+'Metrics - Articles'!C538</f>
        <v>0</v>
      </c>
      <c r="C539">
        <f>COUNTIF('Metrics - Articles'!H538,"*Global*")</f>
        <v>0</v>
      </c>
      <c r="D539">
        <f>COUNTIF('Metrics - Articles'!H538,"*EMEA*")</f>
        <v>0</v>
      </c>
      <c r="E539">
        <f>COUNTIF('Metrics - Articles'!H538,"*NA*")</f>
        <v>0</v>
      </c>
      <c r="F539">
        <f>COUNTIF('Metrics - Articles'!H538,"*APJ")</f>
        <v>0</v>
      </c>
      <c r="G539">
        <f>COUNTIF('Metrics - Articles'!H538,"*LATAM*")</f>
        <v>0</v>
      </c>
      <c r="H539">
        <f>COUNTIF('Metrics - Articles'!H538,"*China*")</f>
        <v>0</v>
      </c>
      <c r="J539" s="53">
        <f t="shared" si="9"/>
        <v>0</v>
      </c>
    </row>
    <row r="540" spans="2:10" x14ac:dyDescent="0.25">
      <c r="B540" s="48">
        <f>+'Metrics - Articles'!C539</f>
        <v>0</v>
      </c>
      <c r="C540">
        <f>COUNTIF('Metrics - Articles'!H539,"*Global*")</f>
        <v>0</v>
      </c>
      <c r="D540">
        <f>COUNTIF('Metrics - Articles'!H539,"*EMEA*")</f>
        <v>0</v>
      </c>
      <c r="E540">
        <f>COUNTIF('Metrics - Articles'!H539,"*NA*")</f>
        <v>0</v>
      </c>
      <c r="F540">
        <f>COUNTIF('Metrics - Articles'!H539,"*APJ")</f>
        <v>0</v>
      </c>
      <c r="G540">
        <f>COUNTIF('Metrics - Articles'!H539,"*LATAM*")</f>
        <v>0</v>
      </c>
      <c r="H540">
        <f>COUNTIF('Metrics - Articles'!H539,"*China*")</f>
        <v>0</v>
      </c>
      <c r="J540" s="53">
        <f t="shared" si="9"/>
        <v>0</v>
      </c>
    </row>
    <row r="541" spans="2:10" x14ac:dyDescent="0.25">
      <c r="B541" s="48">
        <f>+'Metrics - Articles'!C540</f>
        <v>0</v>
      </c>
      <c r="C541">
        <f>COUNTIF('Metrics - Articles'!H540,"*Global*")</f>
        <v>0</v>
      </c>
      <c r="D541">
        <f>COUNTIF('Metrics - Articles'!H540,"*EMEA*")</f>
        <v>0</v>
      </c>
      <c r="E541">
        <f>COUNTIF('Metrics - Articles'!H540,"*NA*")</f>
        <v>0</v>
      </c>
      <c r="F541">
        <f>COUNTIF('Metrics - Articles'!H540,"*APJ")</f>
        <v>0</v>
      </c>
      <c r="G541">
        <f>COUNTIF('Metrics - Articles'!H540,"*LATAM*")</f>
        <v>0</v>
      </c>
      <c r="H541">
        <f>COUNTIF('Metrics - Articles'!H540,"*China*")</f>
        <v>0</v>
      </c>
      <c r="J541" s="53">
        <f t="shared" si="9"/>
        <v>0</v>
      </c>
    </row>
    <row r="542" spans="2:10" x14ac:dyDescent="0.25">
      <c r="B542" s="48">
        <f>+'Metrics - Articles'!C541</f>
        <v>0</v>
      </c>
      <c r="C542">
        <f>COUNTIF('Metrics - Articles'!H541,"*Global*")</f>
        <v>0</v>
      </c>
      <c r="D542">
        <f>COUNTIF('Metrics - Articles'!H541,"*EMEA*")</f>
        <v>0</v>
      </c>
      <c r="E542">
        <f>COUNTIF('Metrics - Articles'!H541,"*NA*")</f>
        <v>0</v>
      </c>
      <c r="F542">
        <f>COUNTIF('Metrics - Articles'!H541,"*APJ")</f>
        <v>0</v>
      </c>
      <c r="G542">
        <f>COUNTIF('Metrics - Articles'!H541,"*LATAM*")</f>
        <v>0</v>
      </c>
      <c r="H542">
        <f>COUNTIF('Metrics - Articles'!H541,"*China*")</f>
        <v>0</v>
      </c>
      <c r="J542" s="53">
        <f t="shared" si="9"/>
        <v>0</v>
      </c>
    </row>
    <row r="543" spans="2:10" x14ac:dyDescent="0.25">
      <c r="B543" s="48">
        <f>+'Metrics - Articles'!C542</f>
        <v>0</v>
      </c>
      <c r="C543">
        <f>COUNTIF('Metrics - Articles'!H542,"*Global*")</f>
        <v>0</v>
      </c>
      <c r="D543">
        <f>COUNTIF('Metrics - Articles'!H542,"*EMEA*")</f>
        <v>0</v>
      </c>
      <c r="E543">
        <f>COUNTIF('Metrics - Articles'!H542,"*NA*")</f>
        <v>0</v>
      </c>
      <c r="F543">
        <f>COUNTIF('Metrics - Articles'!H542,"*APJ")</f>
        <v>0</v>
      </c>
      <c r="G543">
        <f>COUNTIF('Metrics - Articles'!H542,"*LATAM*")</f>
        <v>0</v>
      </c>
      <c r="H543">
        <f>COUNTIF('Metrics - Articles'!H542,"*China*")</f>
        <v>0</v>
      </c>
      <c r="J543" s="53">
        <f t="shared" si="9"/>
        <v>0</v>
      </c>
    </row>
    <row r="544" spans="2:10" x14ac:dyDescent="0.25">
      <c r="B544" s="48">
        <f>+'Metrics - Articles'!C543</f>
        <v>0</v>
      </c>
      <c r="C544">
        <f>COUNTIF('Metrics - Articles'!H543,"*Global*")</f>
        <v>0</v>
      </c>
      <c r="D544">
        <f>COUNTIF('Metrics - Articles'!H543,"*EMEA*")</f>
        <v>0</v>
      </c>
      <c r="E544">
        <f>COUNTIF('Metrics - Articles'!H543,"*NA*")</f>
        <v>0</v>
      </c>
      <c r="F544">
        <f>COUNTIF('Metrics - Articles'!H543,"*APJ")</f>
        <v>0</v>
      </c>
      <c r="G544">
        <f>COUNTIF('Metrics - Articles'!H543,"*LATAM*")</f>
        <v>0</v>
      </c>
      <c r="H544">
        <f>COUNTIF('Metrics - Articles'!H543,"*China*")</f>
        <v>0</v>
      </c>
      <c r="J544" s="53">
        <f t="shared" si="9"/>
        <v>0</v>
      </c>
    </row>
    <row r="545" spans="2:10" x14ac:dyDescent="0.25">
      <c r="B545" s="48">
        <f>+'Metrics - Articles'!C544</f>
        <v>0</v>
      </c>
      <c r="C545">
        <f>COUNTIF('Metrics - Articles'!H544,"*Global*")</f>
        <v>0</v>
      </c>
      <c r="D545">
        <f>COUNTIF('Metrics - Articles'!H544,"*EMEA*")</f>
        <v>0</v>
      </c>
      <c r="E545">
        <f>COUNTIF('Metrics - Articles'!H544,"*NA*")</f>
        <v>0</v>
      </c>
      <c r="F545">
        <f>COUNTIF('Metrics - Articles'!H544,"*APJ")</f>
        <v>0</v>
      </c>
      <c r="G545">
        <f>COUNTIF('Metrics - Articles'!H544,"*LATAM*")</f>
        <v>0</v>
      </c>
      <c r="H545">
        <f>COUNTIF('Metrics - Articles'!H544,"*China*")</f>
        <v>0</v>
      </c>
      <c r="J545" s="53">
        <f t="shared" si="9"/>
        <v>0</v>
      </c>
    </row>
    <row r="546" spans="2:10" x14ac:dyDescent="0.25">
      <c r="B546" s="48">
        <f>+'Metrics - Articles'!C545</f>
        <v>0</v>
      </c>
      <c r="C546">
        <f>COUNTIF('Metrics - Articles'!H545,"*Global*")</f>
        <v>0</v>
      </c>
      <c r="D546">
        <f>COUNTIF('Metrics - Articles'!H545,"*EMEA*")</f>
        <v>0</v>
      </c>
      <c r="E546">
        <f>COUNTIF('Metrics - Articles'!H545,"*NA*")</f>
        <v>0</v>
      </c>
      <c r="F546">
        <f>COUNTIF('Metrics - Articles'!H545,"*APJ")</f>
        <v>0</v>
      </c>
      <c r="G546">
        <f>COUNTIF('Metrics - Articles'!H545,"*LATAM*")</f>
        <v>0</v>
      </c>
      <c r="H546">
        <f>COUNTIF('Metrics - Articles'!H545,"*China*")</f>
        <v>0</v>
      </c>
      <c r="J546" s="53">
        <f t="shared" si="9"/>
        <v>0</v>
      </c>
    </row>
    <row r="547" spans="2:10" x14ac:dyDescent="0.25">
      <c r="B547" s="48">
        <f>+'Metrics - Articles'!C546</f>
        <v>0</v>
      </c>
      <c r="C547">
        <f>COUNTIF('Metrics - Articles'!H546,"*Global*")</f>
        <v>0</v>
      </c>
      <c r="D547">
        <f>COUNTIF('Metrics - Articles'!H546,"*EMEA*")</f>
        <v>0</v>
      </c>
      <c r="E547">
        <f>COUNTIF('Metrics - Articles'!H546,"*NA*")</f>
        <v>0</v>
      </c>
      <c r="F547">
        <f>COUNTIF('Metrics - Articles'!H546,"*APJ")</f>
        <v>0</v>
      </c>
      <c r="G547">
        <f>COUNTIF('Metrics - Articles'!H546,"*LATAM*")</f>
        <v>0</v>
      </c>
      <c r="H547">
        <f>COUNTIF('Metrics - Articles'!H546,"*China*")</f>
        <v>0</v>
      </c>
      <c r="J547" s="53">
        <f t="shared" si="9"/>
        <v>0</v>
      </c>
    </row>
    <row r="548" spans="2:10" x14ac:dyDescent="0.25">
      <c r="B548" s="48">
        <f>+'Metrics - Articles'!C547</f>
        <v>0</v>
      </c>
      <c r="C548">
        <f>COUNTIF('Metrics - Articles'!H547,"*Global*")</f>
        <v>0</v>
      </c>
      <c r="D548">
        <f>COUNTIF('Metrics - Articles'!H547,"*EMEA*")</f>
        <v>0</v>
      </c>
      <c r="E548">
        <f>COUNTIF('Metrics - Articles'!H547,"*NA*")</f>
        <v>0</v>
      </c>
      <c r="F548">
        <f>COUNTIF('Metrics - Articles'!H547,"*APJ")</f>
        <v>0</v>
      </c>
      <c r="G548">
        <f>COUNTIF('Metrics - Articles'!H547,"*LATAM*")</f>
        <v>0</v>
      </c>
      <c r="H548">
        <f>COUNTIF('Metrics - Articles'!H547,"*China*")</f>
        <v>0</v>
      </c>
      <c r="J548" s="53">
        <f t="shared" si="9"/>
        <v>0</v>
      </c>
    </row>
    <row r="549" spans="2:10" x14ac:dyDescent="0.25">
      <c r="B549" s="48">
        <f>+'Metrics - Articles'!C548</f>
        <v>0</v>
      </c>
      <c r="C549">
        <f>COUNTIF('Metrics - Articles'!H548,"*Global*")</f>
        <v>0</v>
      </c>
      <c r="D549">
        <f>COUNTIF('Metrics - Articles'!H548,"*EMEA*")</f>
        <v>0</v>
      </c>
      <c r="E549">
        <f>COUNTIF('Metrics - Articles'!H548,"*NA*")</f>
        <v>0</v>
      </c>
      <c r="F549">
        <f>COUNTIF('Metrics - Articles'!H548,"*APJ")</f>
        <v>0</v>
      </c>
      <c r="G549">
        <f>COUNTIF('Metrics - Articles'!H548,"*LATAM*")</f>
        <v>0</v>
      </c>
      <c r="H549">
        <f>COUNTIF('Metrics - Articles'!H548,"*China*")</f>
        <v>0</v>
      </c>
      <c r="J549" s="53">
        <f t="shared" si="9"/>
        <v>0</v>
      </c>
    </row>
    <row r="550" spans="2:10" x14ac:dyDescent="0.25">
      <c r="B550" s="48">
        <f>+'Metrics - Articles'!C549</f>
        <v>0</v>
      </c>
      <c r="C550">
        <f>COUNTIF('Metrics - Articles'!H549,"*Global*")</f>
        <v>0</v>
      </c>
      <c r="D550">
        <f>COUNTIF('Metrics - Articles'!H549,"*EMEA*")</f>
        <v>0</v>
      </c>
      <c r="E550">
        <f>COUNTIF('Metrics - Articles'!H549,"*NA*")</f>
        <v>0</v>
      </c>
      <c r="F550">
        <f>COUNTIF('Metrics - Articles'!H549,"*APJ")</f>
        <v>0</v>
      </c>
      <c r="G550">
        <f>COUNTIF('Metrics - Articles'!H549,"*LATAM*")</f>
        <v>0</v>
      </c>
      <c r="H550">
        <f>COUNTIF('Metrics - Articles'!H549,"*China*")</f>
        <v>0</v>
      </c>
      <c r="J550" s="53">
        <f t="shared" si="9"/>
        <v>0</v>
      </c>
    </row>
    <row r="551" spans="2:10" x14ac:dyDescent="0.25">
      <c r="B551" s="48">
        <f>+'Metrics - Articles'!C550</f>
        <v>0</v>
      </c>
      <c r="C551">
        <f>COUNTIF('Metrics - Articles'!H550,"*Global*")</f>
        <v>0</v>
      </c>
      <c r="D551">
        <f>COUNTIF('Metrics - Articles'!H550,"*EMEA*")</f>
        <v>0</v>
      </c>
      <c r="E551">
        <f>COUNTIF('Metrics - Articles'!H550,"*NA*")</f>
        <v>0</v>
      </c>
      <c r="F551">
        <f>COUNTIF('Metrics - Articles'!H550,"*APJ")</f>
        <v>0</v>
      </c>
      <c r="G551">
        <f>COUNTIF('Metrics - Articles'!H550,"*LATAM*")</f>
        <v>0</v>
      </c>
      <c r="H551">
        <f>COUNTIF('Metrics - Articles'!H550,"*China*")</f>
        <v>0</v>
      </c>
      <c r="J551" s="53">
        <f t="shared" si="9"/>
        <v>0</v>
      </c>
    </row>
    <row r="552" spans="2:10" x14ac:dyDescent="0.25">
      <c r="B552" s="48">
        <f>+'Metrics - Articles'!C551</f>
        <v>0</v>
      </c>
      <c r="C552">
        <f>COUNTIF('Metrics - Articles'!H551,"*Global*")</f>
        <v>0</v>
      </c>
      <c r="D552">
        <f>COUNTIF('Metrics - Articles'!H551,"*EMEA*")</f>
        <v>0</v>
      </c>
      <c r="E552">
        <f>COUNTIF('Metrics - Articles'!H551,"*NA*")</f>
        <v>0</v>
      </c>
      <c r="F552">
        <f>COUNTIF('Metrics - Articles'!H551,"*APJ")</f>
        <v>0</v>
      </c>
      <c r="G552">
        <f>COUNTIF('Metrics - Articles'!H551,"*LATAM*")</f>
        <v>0</v>
      </c>
      <c r="H552">
        <f>COUNTIF('Metrics - Articles'!H551,"*China*")</f>
        <v>0</v>
      </c>
      <c r="J552" s="53">
        <f t="shared" si="9"/>
        <v>0</v>
      </c>
    </row>
    <row r="553" spans="2:10" x14ac:dyDescent="0.25">
      <c r="B553" s="48">
        <f>+'Metrics - Articles'!C552</f>
        <v>0</v>
      </c>
      <c r="C553">
        <f>COUNTIF('Metrics - Articles'!H552,"*Global*")</f>
        <v>0</v>
      </c>
      <c r="D553">
        <f>COUNTIF('Metrics - Articles'!H552,"*EMEA*")</f>
        <v>0</v>
      </c>
      <c r="E553">
        <f>COUNTIF('Metrics - Articles'!H552,"*NA*")</f>
        <v>0</v>
      </c>
      <c r="F553">
        <f>COUNTIF('Metrics - Articles'!H552,"*APJ")</f>
        <v>0</v>
      </c>
      <c r="G553">
        <f>COUNTIF('Metrics - Articles'!H552,"*LATAM*")</f>
        <v>0</v>
      </c>
      <c r="H553">
        <f>COUNTIF('Metrics - Articles'!H552,"*China*")</f>
        <v>0</v>
      </c>
      <c r="J553" s="53">
        <f t="shared" si="9"/>
        <v>0</v>
      </c>
    </row>
    <row r="554" spans="2:10" x14ac:dyDescent="0.25">
      <c r="B554" s="48">
        <f>+'Metrics - Articles'!C553</f>
        <v>0</v>
      </c>
      <c r="C554">
        <f>COUNTIF('Metrics - Articles'!H553,"*Global*")</f>
        <v>0</v>
      </c>
      <c r="D554">
        <f>COUNTIF('Metrics - Articles'!H553,"*EMEA*")</f>
        <v>0</v>
      </c>
      <c r="E554">
        <f>COUNTIF('Metrics - Articles'!H553,"*NA*")</f>
        <v>0</v>
      </c>
      <c r="F554">
        <f>COUNTIF('Metrics - Articles'!H553,"*APJ")</f>
        <v>0</v>
      </c>
      <c r="G554">
        <f>COUNTIF('Metrics - Articles'!H553,"*LATAM*")</f>
        <v>0</v>
      </c>
      <c r="H554">
        <f>COUNTIF('Metrics - Articles'!H553,"*China*")</f>
        <v>0</v>
      </c>
      <c r="J554" s="53">
        <f t="shared" si="9"/>
        <v>0</v>
      </c>
    </row>
    <row r="555" spans="2:10" x14ac:dyDescent="0.25">
      <c r="B555" s="48">
        <f>+'Metrics - Articles'!C554</f>
        <v>0</v>
      </c>
      <c r="C555">
        <f>COUNTIF('Metrics - Articles'!H554,"*Global*")</f>
        <v>0</v>
      </c>
      <c r="D555">
        <f>COUNTIF('Metrics - Articles'!H554,"*EMEA*")</f>
        <v>0</v>
      </c>
      <c r="E555">
        <f>COUNTIF('Metrics - Articles'!H554,"*NA*")</f>
        <v>0</v>
      </c>
      <c r="F555">
        <f>COUNTIF('Metrics - Articles'!H554,"*APJ")</f>
        <v>0</v>
      </c>
      <c r="G555">
        <f>COUNTIF('Metrics - Articles'!H554,"*LATAM*")</f>
        <v>0</v>
      </c>
      <c r="H555">
        <f>COUNTIF('Metrics - Articles'!H554,"*China*")</f>
        <v>0</v>
      </c>
      <c r="J555" s="53">
        <f t="shared" si="9"/>
        <v>0</v>
      </c>
    </row>
    <row r="556" spans="2:10" x14ac:dyDescent="0.25">
      <c r="B556" s="48">
        <f>+'Metrics - Articles'!C555</f>
        <v>0</v>
      </c>
      <c r="C556">
        <f>COUNTIF('Metrics - Articles'!H555,"*Global*")</f>
        <v>0</v>
      </c>
      <c r="D556">
        <f>COUNTIF('Metrics - Articles'!H555,"*EMEA*")</f>
        <v>0</v>
      </c>
      <c r="E556">
        <f>COUNTIF('Metrics - Articles'!H555,"*NA*")</f>
        <v>0</v>
      </c>
      <c r="F556">
        <f>COUNTIF('Metrics - Articles'!H555,"*APJ")</f>
        <v>0</v>
      </c>
      <c r="G556">
        <f>COUNTIF('Metrics - Articles'!H555,"*LATAM*")</f>
        <v>0</v>
      </c>
      <c r="H556">
        <f>COUNTIF('Metrics - Articles'!H555,"*China*")</f>
        <v>0</v>
      </c>
      <c r="J556" s="53">
        <f t="shared" si="9"/>
        <v>0</v>
      </c>
    </row>
    <row r="557" spans="2:10" x14ac:dyDescent="0.25">
      <c r="B557" s="48">
        <f>+'Metrics - Articles'!C556</f>
        <v>0</v>
      </c>
      <c r="C557">
        <f>COUNTIF('Metrics - Articles'!H556,"*Global*")</f>
        <v>0</v>
      </c>
      <c r="D557">
        <f>COUNTIF('Metrics - Articles'!H556,"*EMEA*")</f>
        <v>0</v>
      </c>
      <c r="E557">
        <f>COUNTIF('Metrics - Articles'!H556,"*NA*")</f>
        <v>0</v>
      </c>
      <c r="F557">
        <f>COUNTIF('Metrics - Articles'!H556,"*APJ")</f>
        <v>0</v>
      </c>
      <c r="G557">
        <f>COUNTIF('Metrics - Articles'!H556,"*LATAM*")</f>
        <v>0</v>
      </c>
      <c r="H557">
        <f>COUNTIF('Metrics - Articles'!H556,"*China*")</f>
        <v>0</v>
      </c>
      <c r="J557" s="53">
        <f t="shared" si="9"/>
        <v>0</v>
      </c>
    </row>
    <row r="558" spans="2:10" x14ac:dyDescent="0.25">
      <c r="B558" s="48">
        <f>+'Metrics - Articles'!C557</f>
        <v>0</v>
      </c>
      <c r="C558">
        <f>COUNTIF('Metrics - Articles'!H557,"*Global*")</f>
        <v>0</v>
      </c>
      <c r="D558">
        <f>COUNTIF('Metrics - Articles'!H557,"*EMEA*")</f>
        <v>0</v>
      </c>
      <c r="E558">
        <f>COUNTIF('Metrics - Articles'!H557,"*NA*")</f>
        <v>0</v>
      </c>
      <c r="F558">
        <f>COUNTIF('Metrics - Articles'!H557,"*APJ")</f>
        <v>0</v>
      </c>
      <c r="G558">
        <f>COUNTIF('Metrics - Articles'!H557,"*LATAM*")</f>
        <v>0</v>
      </c>
      <c r="H558">
        <f>COUNTIF('Metrics - Articles'!H557,"*China*")</f>
        <v>0</v>
      </c>
      <c r="J558" s="53">
        <f t="shared" si="9"/>
        <v>0</v>
      </c>
    </row>
    <row r="559" spans="2:10" x14ac:dyDescent="0.25">
      <c r="B559" s="48">
        <f>+'Metrics - Articles'!C558</f>
        <v>0</v>
      </c>
      <c r="C559">
        <f>COUNTIF('Metrics - Articles'!H558,"*Global*")</f>
        <v>0</v>
      </c>
      <c r="D559">
        <f>COUNTIF('Metrics - Articles'!H558,"*EMEA*")</f>
        <v>0</v>
      </c>
      <c r="E559">
        <f>COUNTIF('Metrics - Articles'!H558,"*NA*")</f>
        <v>0</v>
      </c>
      <c r="F559">
        <f>COUNTIF('Metrics - Articles'!H558,"*APJ")</f>
        <v>0</v>
      </c>
      <c r="G559">
        <f>COUNTIF('Metrics - Articles'!H558,"*LATAM*")</f>
        <v>0</v>
      </c>
      <c r="H559">
        <f>COUNTIF('Metrics - Articles'!H558,"*China*")</f>
        <v>0</v>
      </c>
      <c r="J559" s="53">
        <f t="shared" si="9"/>
        <v>0</v>
      </c>
    </row>
    <row r="560" spans="2:10" x14ac:dyDescent="0.25">
      <c r="B560" s="48">
        <f>+'Metrics - Articles'!C559</f>
        <v>0</v>
      </c>
      <c r="C560">
        <f>COUNTIF('Metrics - Articles'!H559,"*Global*")</f>
        <v>0</v>
      </c>
      <c r="D560">
        <f>COUNTIF('Metrics - Articles'!H559,"*EMEA*")</f>
        <v>0</v>
      </c>
      <c r="E560">
        <f>COUNTIF('Metrics - Articles'!H559,"*NA*")</f>
        <v>0</v>
      </c>
      <c r="F560">
        <f>COUNTIF('Metrics - Articles'!H559,"*APJ")</f>
        <v>0</v>
      </c>
      <c r="G560">
        <f>COUNTIF('Metrics - Articles'!H559,"*LATAM*")</f>
        <v>0</v>
      </c>
      <c r="H560">
        <f>COUNTIF('Metrics - Articles'!H559,"*China*")</f>
        <v>0</v>
      </c>
      <c r="J560" s="53">
        <f t="shared" si="9"/>
        <v>0</v>
      </c>
    </row>
    <row r="561" spans="2:10" x14ac:dyDescent="0.25">
      <c r="B561" s="48">
        <f>+'Metrics - Articles'!C560</f>
        <v>0</v>
      </c>
      <c r="C561">
        <f>COUNTIF('Metrics - Articles'!H560,"*Global*")</f>
        <v>0</v>
      </c>
      <c r="D561">
        <f>COUNTIF('Metrics - Articles'!H560,"*EMEA*")</f>
        <v>0</v>
      </c>
      <c r="E561">
        <f>COUNTIF('Metrics - Articles'!H560,"*NA*")</f>
        <v>0</v>
      </c>
      <c r="F561">
        <f>COUNTIF('Metrics - Articles'!H560,"*APJ")</f>
        <v>0</v>
      </c>
      <c r="G561">
        <f>COUNTIF('Metrics - Articles'!H560,"*LATAM*")</f>
        <v>0</v>
      </c>
      <c r="H561">
        <f>COUNTIF('Metrics - Articles'!H560,"*China*")</f>
        <v>0</v>
      </c>
      <c r="J561" s="53">
        <f t="shared" si="9"/>
        <v>0</v>
      </c>
    </row>
    <row r="562" spans="2:10" x14ac:dyDescent="0.25">
      <c r="B562" s="48">
        <f>+'Metrics - Articles'!C561</f>
        <v>0</v>
      </c>
      <c r="C562">
        <f>COUNTIF('Metrics - Articles'!H561,"*Global*")</f>
        <v>0</v>
      </c>
      <c r="D562">
        <f>COUNTIF('Metrics - Articles'!H561,"*EMEA*")</f>
        <v>0</v>
      </c>
      <c r="E562">
        <f>COUNTIF('Metrics - Articles'!H561,"*NA*")</f>
        <v>0</v>
      </c>
      <c r="F562">
        <f>COUNTIF('Metrics - Articles'!H561,"*APJ")</f>
        <v>0</v>
      </c>
      <c r="G562">
        <f>COUNTIF('Metrics - Articles'!H561,"*LATAM*")</f>
        <v>0</v>
      </c>
      <c r="H562">
        <f>COUNTIF('Metrics - Articles'!H561,"*China*")</f>
        <v>0</v>
      </c>
      <c r="J562" s="53">
        <f t="shared" si="9"/>
        <v>0</v>
      </c>
    </row>
    <row r="563" spans="2:10" x14ac:dyDescent="0.25">
      <c r="B563" s="48">
        <f>+'Metrics - Articles'!C562</f>
        <v>0</v>
      </c>
      <c r="C563">
        <f>COUNTIF('Metrics - Articles'!H562,"*Global*")</f>
        <v>0</v>
      </c>
      <c r="D563">
        <f>COUNTIF('Metrics - Articles'!H562,"*EMEA*")</f>
        <v>0</v>
      </c>
      <c r="E563">
        <f>COUNTIF('Metrics - Articles'!H562,"*NA*")</f>
        <v>0</v>
      </c>
      <c r="F563">
        <f>COUNTIF('Metrics - Articles'!H562,"*APJ")</f>
        <v>0</v>
      </c>
      <c r="G563">
        <f>COUNTIF('Metrics - Articles'!H562,"*LATAM*")</f>
        <v>0</v>
      </c>
      <c r="H563">
        <f>COUNTIF('Metrics - Articles'!H562,"*China*")</f>
        <v>0</v>
      </c>
      <c r="J563" s="53">
        <f t="shared" si="9"/>
        <v>0</v>
      </c>
    </row>
    <row r="564" spans="2:10" x14ac:dyDescent="0.25">
      <c r="B564" s="48">
        <f>+'Metrics - Articles'!C563</f>
        <v>0</v>
      </c>
      <c r="C564">
        <f>COUNTIF('Metrics - Articles'!H563,"*Global*")</f>
        <v>0</v>
      </c>
      <c r="D564">
        <f>COUNTIF('Metrics - Articles'!H563,"*EMEA*")</f>
        <v>0</v>
      </c>
      <c r="E564">
        <f>COUNTIF('Metrics - Articles'!H563,"*NA*")</f>
        <v>0</v>
      </c>
      <c r="F564">
        <f>COUNTIF('Metrics - Articles'!H563,"*APJ")</f>
        <v>0</v>
      </c>
      <c r="G564">
        <f>COUNTIF('Metrics - Articles'!H563,"*LATAM*")</f>
        <v>0</v>
      </c>
      <c r="H564">
        <f>COUNTIF('Metrics - Articles'!H563,"*China*")</f>
        <v>0</v>
      </c>
      <c r="J564" s="53">
        <f t="shared" si="9"/>
        <v>0</v>
      </c>
    </row>
    <row r="565" spans="2:10" x14ac:dyDescent="0.25">
      <c r="B565" s="48">
        <f>+'Metrics - Articles'!C564</f>
        <v>0</v>
      </c>
      <c r="C565">
        <f>COUNTIF('Metrics - Articles'!H564,"*Global*")</f>
        <v>0</v>
      </c>
      <c r="D565">
        <f>COUNTIF('Metrics - Articles'!H564,"*EMEA*")</f>
        <v>0</v>
      </c>
      <c r="E565">
        <f>COUNTIF('Metrics - Articles'!H564,"*NA*")</f>
        <v>0</v>
      </c>
      <c r="F565">
        <f>COUNTIF('Metrics - Articles'!H564,"*APJ")</f>
        <v>0</v>
      </c>
      <c r="G565">
        <f>COUNTIF('Metrics - Articles'!H564,"*LATAM*")</f>
        <v>0</v>
      </c>
      <c r="H565">
        <f>COUNTIF('Metrics - Articles'!H564,"*China*")</f>
        <v>0</v>
      </c>
      <c r="J565" s="53">
        <f t="shared" si="9"/>
        <v>0</v>
      </c>
    </row>
    <row r="566" spans="2:10" x14ac:dyDescent="0.25">
      <c r="B566" s="48">
        <f>+'Metrics - Articles'!C565</f>
        <v>0</v>
      </c>
      <c r="C566">
        <f>COUNTIF('Metrics - Articles'!H565,"*Global*")</f>
        <v>0</v>
      </c>
      <c r="D566">
        <f>COUNTIF('Metrics - Articles'!H565,"*EMEA*")</f>
        <v>0</v>
      </c>
      <c r="E566">
        <f>COUNTIF('Metrics - Articles'!H565,"*NA*")</f>
        <v>0</v>
      </c>
      <c r="F566">
        <f>COUNTIF('Metrics - Articles'!H565,"*APJ")</f>
        <v>0</v>
      </c>
      <c r="G566">
        <f>COUNTIF('Metrics - Articles'!H565,"*LATAM*")</f>
        <v>0</v>
      </c>
      <c r="H566">
        <f>COUNTIF('Metrics - Articles'!H565,"*China*")</f>
        <v>0</v>
      </c>
      <c r="J566" s="53">
        <f t="shared" si="9"/>
        <v>0</v>
      </c>
    </row>
    <row r="567" spans="2:10" x14ac:dyDescent="0.25">
      <c r="B567" s="48">
        <f>+'Metrics - Articles'!C566</f>
        <v>0</v>
      </c>
      <c r="C567">
        <f>COUNTIF('Metrics - Articles'!H566,"*Global*")</f>
        <v>0</v>
      </c>
      <c r="D567">
        <f>COUNTIF('Metrics - Articles'!H566,"*EMEA*")</f>
        <v>0</v>
      </c>
      <c r="E567">
        <f>COUNTIF('Metrics - Articles'!H566,"*NA*")</f>
        <v>0</v>
      </c>
      <c r="F567">
        <f>COUNTIF('Metrics - Articles'!H566,"*APJ")</f>
        <v>0</v>
      </c>
      <c r="G567">
        <f>COUNTIF('Metrics - Articles'!H566,"*LATAM*")</f>
        <v>0</v>
      </c>
      <c r="H567">
        <f>COUNTIF('Metrics - Articles'!H566,"*China*")</f>
        <v>0</v>
      </c>
      <c r="J567" s="53">
        <f t="shared" si="9"/>
        <v>0</v>
      </c>
    </row>
    <row r="568" spans="2:10" x14ac:dyDescent="0.25">
      <c r="B568" s="48">
        <f>+'Metrics - Articles'!C567</f>
        <v>0</v>
      </c>
      <c r="C568">
        <f>COUNTIF('Metrics - Articles'!H567,"*Global*")</f>
        <v>0</v>
      </c>
      <c r="D568">
        <f>COUNTIF('Metrics - Articles'!H567,"*EMEA*")</f>
        <v>0</v>
      </c>
      <c r="E568">
        <f>COUNTIF('Metrics - Articles'!H567,"*NA*")</f>
        <v>0</v>
      </c>
      <c r="F568">
        <f>COUNTIF('Metrics - Articles'!H567,"*APJ")</f>
        <v>0</v>
      </c>
      <c r="G568">
        <f>COUNTIF('Metrics - Articles'!H567,"*LATAM*")</f>
        <v>0</v>
      </c>
      <c r="H568">
        <f>COUNTIF('Metrics - Articles'!H567,"*China*")</f>
        <v>0</v>
      </c>
      <c r="J568" s="53">
        <f t="shared" si="9"/>
        <v>0</v>
      </c>
    </row>
    <row r="569" spans="2:10" x14ac:dyDescent="0.25">
      <c r="B569" s="48">
        <f>+'Metrics - Articles'!C568</f>
        <v>0</v>
      </c>
      <c r="C569">
        <f>COUNTIF('Metrics - Articles'!H568,"*Global*")</f>
        <v>0</v>
      </c>
      <c r="D569">
        <f>COUNTIF('Metrics - Articles'!H568,"*EMEA*")</f>
        <v>0</v>
      </c>
      <c r="E569">
        <f>COUNTIF('Metrics - Articles'!H568,"*NA*")</f>
        <v>0</v>
      </c>
      <c r="F569">
        <f>COUNTIF('Metrics - Articles'!H568,"*APJ")</f>
        <v>0</v>
      </c>
      <c r="G569">
        <f>COUNTIF('Metrics - Articles'!H568,"*LATAM*")</f>
        <v>0</v>
      </c>
      <c r="H569">
        <f>COUNTIF('Metrics - Articles'!H568,"*China*")</f>
        <v>0</v>
      </c>
      <c r="J569" s="53">
        <f t="shared" si="9"/>
        <v>0</v>
      </c>
    </row>
    <row r="570" spans="2:10" x14ac:dyDescent="0.25">
      <c r="B570" s="48">
        <f>+'Metrics - Articles'!C569</f>
        <v>0</v>
      </c>
      <c r="C570">
        <f>COUNTIF('Metrics - Articles'!H569,"*Global*")</f>
        <v>0</v>
      </c>
      <c r="D570">
        <f>COUNTIF('Metrics - Articles'!H569,"*EMEA*")</f>
        <v>0</v>
      </c>
      <c r="E570">
        <f>COUNTIF('Metrics - Articles'!H569,"*NA*")</f>
        <v>0</v>
      </c>
      <c r="F570">
        <f>COUNTIF('Metrics - Articles'!H569,"*APJ")</f>
        <v>0</v>
      </c>
      <c r="G570">
        <f>COUNTIF('Metrics - Articles'!H569,"*LATAM*")</f>
        <v>0</v>
      </c>
      <c r="H570">
        <f>COUNTIF('Metrics - Articles'!H569,"*China*")</f>
        <v>0</v>
      </c>
      <c r="J570" s="53">
        <f t="shared" si="9"/>
        <v>0</v>
      </c>
    </row>
    <row r="571" spans="2:10" x14ac:dyDescent="0.25">
      <c r="B571" s="48">
        <f>+'Metrics - Articles'!C570</f>
        <v>0</v>
      </c>
      <c r="C571">
        <f>COUNTIF('Metrics - Articles'!H570,"*Global*")</f>
        <v>0</v>
      </c>
      <c r="D571">
        <f>COUNTIF('Metrics - Articles'!H570,"*EMEA*")</f>
        <v>0</v>
      </c>
      <c r="E571">
        <f>COUNTIF('Metrics - Articles'!H570,"*NA*")</f>
        <v>0</v>
      </c>
      <c r="F571">
        <f>COUNTIF('Metrics - Articles'!H570,"*APJ")</f>
        <v>0</v>
      </c>
      <c r="G571">
        <f>COUNTIF('Metrics - Articles'!H570,"*LATAM*")</f>
        <v>0</v>
      </c>
      <c r="H571">
        <f>COUNTIF('Metrics - Articles'!H570,"*China*")</f>
        <v>0</v>
      </c>
      <c r="J571" s="53">
        <f t="shared" si="9"/>
        <v>0</v>
      </c>
    </row>
    <row r="572" spans="2:10" x14ac:dyDescent="0.25">
      <c r="B572" s="48">
        <f>+'Metrics - Articles'!C571</f>
        <v>0</v>
      </c>
      <c r="C572">
        <f>COUNTIF('Metrics - Articles'!H571,"*Global*")</f>
        <v>0</v>
      </c>
      <c r="D572">
        <f>COUNTIF('Metrics - Articles'!H571,"*EMEA*")</f>
        <v>0</v>
      </c>
      <c r="E572">
        <f>COUNTIF('Metrics - Articles'!H571,"*NA*")</f>
        <v>0</v>
      </c>
      <c r="F572">
        <f>COUNTIF('Metrics - Articles'!H571,"*APJ")</f>
        <v>0</v>
      </c>
      <c r="G572">
        <f>COUNTIF('Metrics - Articles'!H571,"*LATAM*")</f>
        <v>0</v>
      </c>
      <c r="H572">
        <f>COUNTIF('Metrics - Articles'!H571,"*China*")</f>
        <v>0</v>
      </c>
      <c r="J572" s="53">
        <f t="shared" si="9"/>
        <v>0</v>
      </c>
    </row>
    <row r="573" spans="2:10" x14ac:dyDescent="0.25">
      <c r="B573" s="48">
        <f>+'Metrics - Articles'!C572</f>
        <v>0</v>
      </c>
      <c r="C573">
        <f>COUNTIF('Metrics - Articles'!H572,"*Global*")</f>
        <v>0</v>
      </c>
      <c r="D573">
        <f>COUNTIF('Metrics - Articles'!H572,"*EMEA*")</f>
        <v>0</v>
      </c>
      <c r="E573">
        <f>COUNTIF('Metrics - Articles'!H572,"*NA*")</f>
        <v>0</v>
      </c>
      <c r="F573">
        <f>COUNTIF('Metrics - Articles'!H572,"*APJ")</f>
        <v>0</v>
      </c>
      <c r="G573">
        <f>COUNTIF('Metrics - Articles'!H572,"*LATAM*")</f>
        <v>0</v>
      </c>
      <c r="H573">
        <f>COUNTIF('Metrics - Articles'!H572,"*China*")</f>
        <v>0</v>
      </c>
      <c r="J573" s="53">
        <f t="shared" si="9"/>
        <v>0</v>
      </c>
    </row>
    <row r="574" spans="2:10" x14ac:dyDescent="0.25">
      <c r="B574" s="48">
        <f>+'Metrics - Articles'!C573</f>
        <v>0</v>
      </c>
      <c r="C574">
        <f>COUNTIF('Metrics - Articles'!H573,"*Global*")</f>
        <v>0</v>
      </c>
      <c r="D574">
        <f>COUNTIF('Metrics - Articles'!H573,"*EMEA*")</f>
        <v>0</v>
      </c>
      <c r="E574">
        <f>COUNTIF('Metrics - Articles'!H573,"*NA*")</f>
        <v>0</v>
      </c>
      <c r="F574">
        <f>COUNTIF('Metrics - Articles'!H573,"*APJ")</f>
        <v>0</v>
      </c>
      <c r="G574">
        <f>COUNTIF('Metrics - Articles'!H573,"*LATAM*")</f>
        <v>0</v>
      </c>
      <c r="H574">
        <f>COUNTIF('Metrics - Articles'!H573,"*China*")</f>
        <v>0</v>
      </c>
      <c r="J574" s="53">
        <f t="shared" si="9"/>
        <v>0</v>
      </c>
    </row>
    <row r="575" spans="2:10" x14ac:dyDescent="0.25">
      <c r="B575" s="48">
        <f>+'Metrics - Articles'!C574</f>
        <v>0</v>
      </c>
      <c r="C575">
        <f>COUNTIF('Metrics - Articles'!H574,"*Global*")</f>
        <v>0</v>
      </c>
      <c r="D575">
        <f>COUNTIF('Metrics - Articles'!H574,"*EMEA*")</f>
        <v>0</v>
      </c>
      <c r="E575">
        <f>COUNTIF('Metrics - Articles'!H574,"*NA*")</f>
        <v>0</v>
      </c>
      <c r="F575">
        <f>COUNTIF('Metrics - Articles'!H574,"*APJ")</f>
        <v>0</v>
      </c>
      <c r="G575">
        <f>COUNTIF('Metrics - Articles'!H574,"*LATAM*")</f>
        <v>0</v>
      </c>
      <c r="H575">
        <f>COUNTIF('Metrics - Articles'!H574,"*China*")</f>
        <v>0</v>
      </c>
      <c r="J575" s="53">
        <f t="shared" si="9"/>
        <v>0</v>
      </c>
    </row>
    <row r="576" spans="2:10" x14ac:dyDescent="0.25">
      <c r="B576" s="48">
        <f>+'Metrics - Articles'!C575</f>
        <v>0</v>
      </c>
      <c r="C576">
        <f>COUNTIF('Metrics - Articles'!H575,"*Global*")</f>
        <v>0</v>
      </c>
      <c r="D576">
        <f>COUNTIF('Metrics - Articles'!H575,"*EMEA*")</f>
        <v>0</v>
      </c>
      <c r="E576">
        <f>COUNTIF('Metrics - Articles'!H575,"*NA*")</f>
        <v>0</v>
      </c>
      <c r="F576">
        <f>COUNTIF('Metrics - Articles'!H575,"*APJ")</f>
        <v>0</v>
      </c>
      <c r="G576">
        <f>COUNTIF('Metrics - Articles'!H575,"*LATAM*")</f>
        <v>0</v>
      </c>
      <c r="H576">
        <f>COUNTIF('Metrics - Articles'!H575,"*China*")</f>
        <v>0</v>
      </c>
      <c r="J576" s="53">
        <f t="shared" si="9"/>
        <v>0</v>
      </c>
    </row>
    <row r="577" spans="2:10" x14ac:dyDescent="0.25">
      <c r="B577" s="48">
        <f>+'Metrics - Articles'!C576</f>
        <v>0</v>
      </c>
      <c r="C577">
        <f>COUNTIF('Metrics - Articles'!H576,"*Global*")</f>
        <v>0</v>
      </c>
      <c r="D577">
        <f>COUNTIF('Metrics - Articles'!H576,"*EMEA*")</f>
        <v>0</v>
      </c>
      <c r="E577">
        <f>COUNTIF('Metrics - Articles'!H576,"*NA*")</f>
        <v>0</v>
      </c>
      <c r="F577">
        <f>COUNTIF('Metrics - Articles'!H576,"*APJ")</f>
        <v>0</v>
      </c>
      <c r="G577">
        <f>COUNTIF('Metrics - Articles'!H576,"*LATAM*")</f>
        <v>0</v>
      </c>
      <c r="H577">
        <f>COUNTIF('Metrics - Articles'!H576,"*China*")</f>
        <v>0</v>
      </c>
      <c r="J577" s="53">
        <f t="shared" si="9"/>
        <v>0</v>
      </c>
    </row>
    <row r="578" spans="2:10" x14ac:dyDescent="0.25">
      <c r="B578" s="48">
        <f>+'Metrics - Articles'!C577</f>
        <v>0</v>
      </c>
      <c r="C578">
        <f>COUNTIF('Metrics - Articles'!H577,"*Global*")</f>
        <v>0</v>
      </c>
      <c r="D578">
        <f>COUNTIF('Metrics - Articles'!H577,"*EMEA*")</f>
        <v>0</v>
      </c>
      <c r="E578">
        <f>COUNTIF('Metrics - Articles'!H577,"*NA*")</f>
        <v>0</v>
      </c>
      <c r="F578">
        <f>COUNTIF('Metrics - Articles'!H577,"*APJ")</f>
        <v>0</v>
      </c>
      <c r="G578">
        <f>COUNTIF('Metrics - Articles'!H577,"*LATAM*")</f>
        <v>0</v>
      </c>
      <c r="H578">
        <f>COUNTIF('Metrics - Articles'!H577,"*China*")</f>
        <v>0</v>
      </c>
      <c r="J578" s="53">
        <f t="shared" si="9"/>
        <v>0</v>
      </c>
    </row>
    <row r="579" spans="2:10" x14ac:dyDescent="0.25">
      <c r="B579" s="48">
        <f>+'Metrics - Articles'!C578</f>
        <v>0</v>
      </c>
      <c r="C579">
        <f>COUNTIF('Metrics - Articles'!H578,"*Global*")</f>
        <v>0</v>
      </c>
      <c r="D579">
        <f>COUNTIF('Metrics - Articles'!H578,"*EMEA*")</f>
        <v>0</v>
      </c>
      <c r="E579">
        <f>COUNTIF('Metrics - Articles'!H578,"*NA*")</f>
        <v>0</v>
      </c>
      <c r="F579">
        <f>COUNTIF('Metrics - Articles'!H578,"*APJ")</f>
        <v>0</v>
      </c>
      <c r="G579">
        <f>COUNTIF('Metrics - Articles'!H578,"*LATAM*")</f>
        <v>0</v>
      </c>
      <c r="H579">
        <f>COUNTIF('Metrics - Articles'!H578,"*China*")</f>
        <v>0</v>
      </c>
      <c r="J579" s="53">
        <f t="shared" si="9"/>
        <v>0</v>
      </c>
    </row>
    <row r="580" spans="2:10" x14ac:dyDescent="0.25">
      <c r="B580" s="48">
        <f>+'Metrics - Articles'!C579</f>
        <v>0</v>
      </c>
      <c r="C580">
        <f>COUNTIF('Metrics - Articles'!H579,"*Global*")</f>
        <v>0</v>
      </c>
      <c r="D580">
        <f>COUNTIF('Metrics - Articles'!H579,"*EMEA*")</f>
        <v>0</v>
      </c>
      <c r="E580">
        <f>COUNTIF('Metrics - Articles'!H579,"*NA*")</f>
        <v>0</v>
      </c>
      <c r="F580">
        <f>COUNTIF('Metrics - Articles'!H579,"*APJ")</f>
        <v>0</v>
      </c>
      <c r="G580">
        <f>COUNTIF('Metrics - Articles'!H579,"*LATAM*")</f>
        <v>0</v>
      </c>
      <c r="H580">
        <f>COUNTIF('Metrics - Articles'!H579,"*China*")</f>
        <v>0</v>
      </c>
      <c r="J580" s="53">
        <f t="shared" si="9"/>
        <v>0</v>
      </c>
    </row>
    <row r="581" spans="2:10" x14ac:dyDescent="0.25">
      <c r="B581" s="48">
        <f>+'Metrics - Articles'!C580</f>
        <v>0</v>
      </c>
      <c r="C581">
        <f>COUNTIF('Metrics - Articles'!H580,"*Global*")</f>
        <v>0</v>
      </c>
      <c r="D581">
        <f>COUNTIF('Metrics - Articles'!H580,"*EMEA*")</f>
        <v>0</v>
      </c>
      <c r="E581">
        <f>COUNTIF('Metrics - Articles'!H580,"*NA*")</f>
        <v>0</v>
      </c>
      <c r="F581">
        <f>COUNTIF('Metrics - Articles'!H580,"*APJ")</f>
        <v>0</v>
      </c>
      <c r="G581">
        <f>COUNTIF('Metrics - Articles'!H580,"*LATAM*")</f>
        <v>0</v>
      </c>
      <c r="H581">
        <f>COUNTIF('Metrics - Articles'!H580,"*China*")</f>
        <v>0</v>
      </c>
      <c r="J581" s="53">
        <f t="shared" si="9"/>
        <v>0</v>
      </c>
    </row>
    <row r="582" spans="2:10" x14ac:dyDescent="0.25">
      <c r="B582" s="48">
        <f>+'Metrics - Articles'!C581</f>
        <v>0</v>
      </c>
      <c r="C582">
        <f>COUNTIF('Metrics - Articles'!H581,"*Global*")</f>
        <v>0</v>
      </c>
      <c r="D582">
        <f>COUNTIF('Metrics - Articles'!H581,"*EMEA*")</f>
        <v>0</v>
      </c>
      <c r="E582">
        <f>COUNTIF('Metrics - Articles'!H581,"*NA*")</f>
        <v>0</v>
      </c>
      <c r="F582">
        <f>COUNTIF('Metrics - Articles'!H581,"*APJ")</f>
        <v>0</v>
      </c>
      <c r="G582">
        <f>COUNTIF('Metrics - Articles'!H581,"*LATAM*")</f>
        <v>0</v>
      </c>
      <c r="H582">
        <f>COUNTIF('Metrics - Articles'!H581,"*China*")</f>
        <v>0</v>
      </c>
      <c r="J582" s="53">
        <f t="shared" si="9"/>
        <v>0</v>
      </c>
    </row>
    <row r="583" spans="2:10" x14ac:dyDescent="0.25">
      <c r="B583" s="48">
        <f>+'Metrics - Articles'!C582</f>
        <v>0</v>
      </c>
      <c r="C583">
        <f>COUNTIF('Metrics - Articles'!H582,"*Global*")</f>
        <v>0</v>
      </c>
      <c r="D583">
        <f>COUNTIF('Metrics - Articles'!H582,"*EMEA*")</f>
        <v>0</v>
      </c>
      <c r="E583">
        <f>COUNTIF('Metrics - Articles'!H582,"*NA*")</f>
        <v>0</v>
      </c>
      <c r="F583">
        <f>COUNTIF('Metrics - Articles'!H582,"*APJ")</f>
        <v>0</v>
      </c>
      <c r="G583">
        <f>COUNTIF('Metrics - Articles'!H582,"*LATAM*")</f>
        <v>0</v>
      </c>
      <c r="H583">
        <f>COUNTIF('Metrics - Articles'!H582,"*China*")</f>
        <v>0</v>
      </c>
      <c r="J583" s="53">
        <f t="shared" si="9"/>
        <v>0</v>
      </c>
    </row>
    <row r="584" spans="2:10" x14ac:dyDescent="0.25">
      <c r="B584" s="48">
        <f>+'Metrics - Articles'!C583</f>
        <v>0</v>
      </c>
      <c r="C584">
        <f>COUNTIF('Metrics - Articles'!H583,"*Global*")</f>
        <v>0</v>
      </c>
      <c r="D584">
        <f>COUNTIF('Metrics - Articles'!H583,"*EMEA*")</f>
        <v>0</v>
      </c>
      <c r="E584">
        <f>COUNTIF('Metrics - Articles'!H583,"*NA*")</f>
        <v>0</v>
      </c>
      <c r="F584">
        <f>COUNTIF('Metrics - Articles'!H583,"*APJ")</f>
        <v>0</v>
      </c>
      <c r="G584">
        <f>COUNTIF('Metrics - Articles'!H583,"*LATAM*")</f>
        <v>0</v>
      </c>
      <c r="H584">
        <f>COUNTIF('Metrics - Articles'!H583,"*China*")</f>
        <v>0</v>
      </c>
      <c r="J584" s="53">
        <f t="shared" si="9"/>
        <v>0</v>
      </c>
    </row>
    <row r="585" spans="2:10" x14ac:dyDescent="0.25">
      <c r="B585" s="48">
        <f>+'Metrics - Articles'!C584</f>
        <v>0</v>
      </c>
      <c r="C585">
        <f>COUNTIF('Metrics - Articles'!H584,"*Global*")</f>
        <v>0</v>
      </c>
      <c r="D585">
        <f>COUNTIF('Metrics - Articles'!H584,"*EMEA*")</f>
        <v>0</v>
      </c>
      <c r="E585">
        <f>COUNTIF('Metrics - Articles'!H584,"*NA*")</f>
        <v>0</v>
      </c>
      <c r="F585">
        <f>COUNTIF('Metrics - Articles'!H584,"*APJ")</f>
        <v>0</v>
      </c>
      <c r="G585">
        <f>COUNTIF('Metrics - Articles'!H584,"*LATAM*")</f>
        <v>0</v>
      </c>
      <c r="H585">
        <f>COUNTIF('Metrics - Articles'!H584,"*China*")</f>
        <v>0</v>
      </c>
      <c r="J585" s="53">
        <f t="shared" si="9"/>
        <v>0</v>
      </c>
    </row>
    <row r="586" spans="2:10" x14ac:dyDescent="0.25">
      <c r="B586" s="48">
        <f>+'Metrics - Articles'!C585</f>
        <v>0</v>
      </c>
      <c r="C586">
        <f>COUNTIF('Metrics - Articles'!H585,"*Global*")</f>
        <v>0</v>
      </c>
      <c r="D586">
        <f>COUNTIF('Metrics - Articles'!H585,"*EMEA*")</f>
        <v>0</v>
      </c>
      <c r="E586">
        <f>COUNTIF('Metrics - Articles'!H585,"*NA*")</f>
        <v>0</v>
      </c>
      <c r="F586">
        <f>COUNTIF('Metrics - Articles'!H585,"*APJ")</f>
        <v>0</v>
      </c>
      <c r="G586">
        <f>COUNTIF('Metrics - Articles'!H585,"*LATAM*")</f>
        <v>0</v>
      </c>
      <c r="H586">
        <f>COUNTIF('Metrics - Articles'!H585,"*China*")</f>
        <v>0</v>
      </c>
      <c r="J586" s="53">
        <f t="shared" ref="J586:J649" si="10">SUM(C586:I586)</f>
        <v>0</v>
      </c>
    </row>
    <row r="587" spans="2:10" x14ac:dyDescent="0.25">
      <c r="B587" s="48">
        <f>+'Metrics - Articles'!C586</f>
        <v>0</v>
      </c>
      <c r="C587">
        <f>COUNTIF('Metrics - Articles'!H586,"*Global*")</f>
        <v>0</v>
      </c>
      <c r="D587">
        <f>COUNTIF('Metrics - Articles'!H586,"*EMEA*")</f>
        <v>0</v>
      </c>
      <c r="E587">
        <f>COUNTIF('Metrics - Articles'!H586,"*NA*")</f>
        <v>0</v>
      </c>
      <c r="F587">
        <f>COUNTIF('Metrics - Articles'!H586,"*APJ")</f>
        <v>0</v>
      </c>
      <c r="G587">
        <f>COUNTIF('Metrics - Articles'!H586,"*LATAM*")</f>
        <v>0</v>
      </c>
      <c r="H587">
        <f>COUNTIF('Metrics - Articles'!H586,"*China*")</f>
        <v>0</v>
      </c>
      <c r="J587" s="53">
        <f t="shared" si="10"/>
        <v>0</v>
      </c>
    </row>
    <row r="588" spans="2:10" x14ac:dyDescent="0.25">
      <c r="B588" s="48">
        <f>+'Metrics - Articles'!C587</f>
        <v>0</v>
      </c>
      <c r="C588">
        <f>COUNTIF('Metrics - Articles'!H587,"*Global*")</f>
        <v>0</v>
      </c>
      <c r="D588">
        <f>COUNTIF('Metrics - Articles'!H587,"*EMEA*")</f>
        <v>0</v>
      </c>
      <c r="E588">
        <f>COUNTIF('Metrics - Articles'!H587,"*NA*")</f>
        <v>0</v>
      </c>
      <c r="F588">
        <f>COUNTIF('Metrics - Articles'!H587,"*APJ")</f>
        <v>0</v>
      </c>
      <c r="G588">
        <f>COUNTIF('Metrics - Articles'!H587,"*LATAM*")</f>
        <v>0</v>
      </c>
      <c r="H588">
        <f>COUNTIF('Metrics - Articles'!H587,"*China*")</f>
        <v>0</v>
      </c>
      <c r="J588" s="53">
        <f t="shared" si="10"/>
        <v>0</v>
      </c>
    </row>
    <row r="589" spans="2:10" x14ac:dyDescent="0.25">
      <c r="B589" s="48">
        <f>+'Metrics - Articles'!C588</f>
        <v>0</v>
      </c>
      <c r="C589">
        <f>COUNTIF('Metrics - Articles'!H588,"*Global*")</f>
        <v>0</v>
      </c>
      <c r="D589">
        <f>COUNTIF('Metrics - Articles'!H588,"*EMEA*")</f>
        <v>0</v>
      </c>
      <c r="E589">
        <f>COUNTIF('Metrics - Articles'!H588,"*NA*")</f>
        <v>0</v>
      </c>
      <c r="F589">
        <f>COUNTIF('Metrics - Articles'!H588,"*APJ")</f>
        <v>0</v>
      </c>
      <c r="G589">
        <f>COUNTIF('Metrics - Articles'!H588,"*LATAM*")</f>
        <v>0</v>
      </c>
      <c r="H589">
        <f>COUNTIF('Metrics - Articles'!H588,"*China*")</f>
        <v>0</v>
      </c>
      <c r="J589" s="53">
        <f t="shared" si="10"/>
        <v>0</v>
      </c>
    </row>
    <row r="590" spans="2:10" x14ac:dyDescent="0.25">
      <c r="B590" s="48">
        <f>+'Metrics - Articles'!C589</f>
        <v>0</v>
      </c>
      <c r="C590">
        <f>COUNTIF('Metrics - Articles'!H589,"*Global*")</f>
        <v>0</v>
      </c>
      <c r="D590">
        <f>COUNTIF('Metrics - Articles'!H589,"*EMEA*")</f>
        <v>0</v>
      </c>
      <c r="E590">
        <f>COUNTIF('Metrics - Articles'!H589,"*NA*")</f>
        <v>0</v>
      </c>
      <c r="F590">
        <f>COUNTIF('Metrics - Articles'!H589,"*APJ")</f>
        <v>0</v>
      </c>
      <c r="G590">
        <f>COUNTIF('Metrics - Articles'!H589,"*LATAM*")</f>
        <v>0</v>
      </c>
      <c r="H590">
        <f>COUNTIF('Metrics - Articles'!H589,"*China*")</f>
        <v>0</v>
      </c>
      <c r="J590" s="53">
        <f t="shared" si="10"/>
        <v>0</v>
      </c>
    </row>
    <row r="591" spans="2:10" x14ac:dyDescent="0.25">
      <c r="B591" s="48">
        <f>+'Metrics - Articles'!C590</f>
        <v>0</v>
      </c>
      <c r="C591">
        <f>COUNTIF('Metrics - Articles'!H590,"*Global*")</f>
        <v>0</v>
      </c>
      <c r="D591">
        <f>COUNTIF('Metrics - Articles'!H590,"*EMEA*")</f>
        <v>0</v>
      </c>
      <c r="E591">
        <f>COUNTIF('Metrics - Articles'!H590,"*NA*")</f>
        <v>0</v>
      </c>
      <c r="F591">
        <f>COUNTIF('Metrics - Articles'!H590,"*APJ")</f>
        <v>0</v>
      </c>
      <c r="G591">
        <f>COUNTIF('Metrics - Articles'!H590,"*LATAM*")</f>
        <v>0</v>
      </c>
      <c r="H591">
        <f>COUNTIF('Metrics - Articles'!H590,"*China*")</f>
        <v>0</v>
      </c>
      <c r="J591" s="53">
        <f t="shared" si="10"/>
        <v>0</v>
      </c>
    </row>
    <row r="592" spans="2:10" x14ac:dyDescent="0.25">
      <c r="B592" s="48">
        <f>+'Metrics - Articles'!C591</f>
        <v>0</v>
      </c>
      <c r="C592">
        <f>COUNTIF('Metrics - Articles'!H591,"*Global*")</f>
        <v>0</v>
      </c>
      <c r="D592">
        <f>COUNTIF('Metrics - Articles'!H591,"*EMEA*")</f>
        <v>0</v>
      </c>
      <c r="E592">
        <f>COUNTIF('Metrics - Articles'!H591,"*NA*")</f>
        <v>0</v>
      </c>
      <c r="F592">
        <f>COUNTIF('Metrics - Articles'!H591,"*APJ")</f>
        <v>0</v>
      </c>
      <c r="G592">
        <f>COUNTIF('Metrics - Articles'!H591,"*LATAM*")</f>
        <v>0</v>
      </c>
      <c r="H592">
        <f>COUNTIF('Metrics - Articles'!H591,"*China*")</f>
        <v>0</v>
      </c>
      <c r="J592" s="53">
        <f t="shared" si="10"/>
        <v>0</v>
      </c>
    </row>
    <row r="593" spans="2:10" x14ac:dyDescent="0.25">
      <c r="B593" s="48">
        <f>+'Metrics - Articles'!C592</f>
        <v>0</v>
      </c>
      <c r="C593">
        <f>COUNTIF('Metrics - Articles'!H592,"*Global*")</f>
        <v>0</v>
      </c>
      <c r="D593">
        <f>COUNTIF('Metrics - Articles'!H592,"*EMEA*")</f>
        <v>0</v>
      </c>
      <c r="E593">
        <f>COUNTIF('Metrics - Articles'!H592,"*NA*")</f>
        <v>0</v>
      </c>
      <c r="F593">
        <f>COUNTIF('Metrics - Articles'!H592,"*APJ")</f>
        <v>0</v>
      </c>
      <c r="G593">
        <f>COUNTIF('Metrics - Articles'!H592,"*LATAM*")</f>
        <v>0</v>
      </c>
      <c r="H593">
        <f>COUNTIF('Metrics - Articles'!H592,"*China*")</f>
        <v>0</v>
      </c>
      <c r="J593" s="53">
        <f t="shared" si="10"/>
        <v>0</v>
      </c>
    </row>
    <row r="594" spans="2:10" x14ac:dyDescent="0.25">
      <c r="B594" s="48">
        <f>+'Metrics - Articles'!C593</f>
        <v>0</v>
      </c>
      <c r="C594">
        <f>COUNTIF('Metrics - Articles'!H593,"*Global*")</f>
        <v>0</v>
      </c>
      <c r="D594">
        <f>COUNTIF('Metrics - Articles'!H593,"*EMEA*")</f>
        <v>0</v>
      </c>
      <c r="E594">
        <f>COUNTIF('Metrics - Articles'!H593,"*NA*")</f>
        <v>0</v>
      </c>
      <c r="F594">
        <f>COUNTIF('Metrics - Articles'!H593,"*APJ")</f>
        <v>0</v>
      </c>
      <c r="G594">
        <f>COUNTIF('Metrics - Articles'!H593,"*LATAM*")</f>
        <v>0</v>
      </c>
      <c r="H594">
        <f>COUNTIF('Metrics - Articles'!H593,"*China*")</f>
        <v>0</v>
      </c>
      <c r="J594" s="53">
        <f t="shared" si="10"/>
        <v>0</v>
      </c>
    </row>
    <row r="595" spans="2:10" x14ac:dyDescent="0.25">
      <c r="B595" s="48">
        <f>+'Metrics - Articles'!C594</f>
        <v>0</v>
      </c>
      <c r="C595">
        <f>COUNTIF('Metrics - Articles'!H594,"*Global*")</f>
        <v>0</v>
      </c>
      <c r="D595">
        <f>COUNTIF('Metrics - Articles'!H594,"*EMEA*")</f>
        <v>0</v>
      </c>
      <c r="E595">
        <f>COUNTIF('Metrics - Articles'!H594,"*NA*")</f>
        <v>0</v>
      </c>
      <c r="F595">
        <f>COUNTIF('Metrics - Articles'!H594,"*APJ")</f>
        <v>0</v>
      </c>
      <c r="G595">
        <f>COUNTIF('Metrics - Articles'!H594,"*LATAM*")</f>
        <v>0</v>
      </c>
      <c r="H595">
        <f>COUNTIF('Metrics - Articles'!H594,"*China*")</f>
        <v>0</v>
      </c>
      <c r="J595" s="53">
        <f t="shared" si="10"/>
        <v>0</v>
      </c>
    </row>
    <row r="596" spans="2:10" x14ac:dyDescent="0.25">
      <c r="B596" s="48">
        <f>+'Metrics - Articles'!C595</f>
        <v>0</v>
      </c>
      <c r="C596">
        <f>COUNTIF('Metrics - Articles'!H595,"*Global*")</f>
        <v>0</v>
      </c>
      <c r="D596">
        <f>COUNTIF('Metrics - Articles'!H595,"*EMEA*")</f>
        <v>0</v>
      </c>
      <c r="E596">
        <f>COUNTIF('Metrics - Articles'!H595,"*NA*")</f>
        <v>0</v>
      </c>
      <c r="F596">
        <f>COUNTIF('Metrics - Articles'!H595,"*APJ")</f>
        <v>0</v>
      </c>
      <c r="G596">
        <f>COUNTIF('Metrics - Articles'!H595,"*LATAM*")</f>
        <v>0</v>
      </c>
      <c r="H596">
        <f>COUNTIF('Metrics - Articles'!H595,"*China*")</f>
        <v>0</v>
      </c>
      <c r="J596" s="53">
        <f t="shared" si="10"/>
        <v>0</v>
      </c>
    </row>
    <row r="597" spans="2:10" x14ac:dyDescent="0.25">
      <c r="B597" s="48">
        <f>+'Metrics - Articles'!C596</f>
        <v>0</v>
      </c>
      <c r="C597">
        <f>COUNTIF('Metrics - Articles'!H596,"*Global*")</f>
        <v>0</v>
      </c>
      <c r="D597">
        <f>COUNTIF('Metrics - Articles'!H596,"*EMEA*")</f>
        <v>0</v>
      </c>
      <c r="E597">
        <f>COUNTIF('Metrics - Articles'!H596,"*NA*")</f>
        <v>0</v>
      </c>
      <c r="F597">
        <f>COUNTIF('Metrics - Articles'!H596,"*APJ")</f>
        <v>0</v>
      </c>
      <c r="G597">
        <f>COUNTIF('Metrics - Articles'!H596,"*LATAM*")</f>
        <v>0</v>
      </c>
      <c r="H597">
        <f>COUNTIF('Metrics - Articles'!H596,"*China*")</f>
        <v>0</v>
      </c>
      <c r="J597" s="53">
        <f t="shared" si="10"/>
        <v>0</v>
      </c>
    </row>
    <row r="598" spans="2:10" x14ac:dyDescent="0.25">
      <c r="B598" s="48">
        <f>+'Metrics - Articles'!C597</f>
        <v>0</v>
      </c>
      <c r="C598">
        <f>COUNTIF('Metrics - Articles'!H597,"*Global*")</f>
        <v>0</v>
      </c>
      <c r="D598">
        <f>COUNTIF('Metrics - Articles'!H597,"*EMEA*")</f>
        <v>0</v>
      </c>
      <c r="E598">
        <f>COUNTIF('Metrics - Articles'!H597,"*NA*")</f>
        <v>0</v>
      </c>
      <c r="F598">
        <f>COUNTIF('Metrics - Articles'!H597,"*APJ")</f>
        <v>0</v>
      </c>
      <c r="G598">
        <f>COUNTIF('Metrics - Articles'!H597,"*LATAM*")</f>
        <v>0</v>
      </c>
      <c r="H598">
        <f>COUNTIF('Metrics - Articles'!H597,"*China*")</f>
        <v>0</v>
      </c>
      <c r="J598" s="53">
        <f t="shared" si="10"/>
        <v>0</v>
      </c>
    </row>
    <row r="599" spans="2:10" x14ac:dyDescent="0.25">
      <c r="B599" s="48">
        <f>+'Metrics - Articles'!C598</f>
        <v>0</v>
      </c>
      <c r="C599">
        <f>COUNTIF('Metrics - Articles'!H598,"*Global*")</f>
        <v>0</v>
      </c>
      <c r="D599">
        <f>COUNTIF('Metrics - Articles'!H598,"*EMEA*")</f>
        <v>0</v>
      </c>
      <c r="E599">
        <f>COUNTIF('Metrics - Articles'!H598,"*NA*")</f>
        <v>0</v>
      </c>
      <c r="F599">
        <f>COUNTIF('Metrics - Articles'!H598,"*APJ")</f>
        <v>0</v>
      </c>
      <c r="G599">
        <f>COUNTIF('Metrics - Articles'!H598,"*LATAM*")</f>
        <v>0</v>
      </c>
      <c r="H599">
        <f>COUNTIF('Metrics - Articles'!H598,"*China*")</f>
        <v>0</v>
      </c>
      <c r="J599" s="53">
        <f t="shared" si="10"/>
        <v>0</v>
      </c>
    </row>
    <row r="600" spans="2:10" x14ac:dyDescent="0.25">
      <c r="B600" s="48">
        <f>+'Metrics - Articles'!C599</f>
        <v>0</v>
      </c>
      <c r="C600">
        <f>COUNTIF('Metrics - Articles'!H599,"*Global*")</f>
        <v>0</v>
      </c>
      <c r="D600">
        <f>COUNTIF('Metrics - Articles'!H599,"*EMEA*")</f>
        <v>0</v>
      </c>
      <c r="E600">
        <f>COUNTIF('Metrics - Articles'!H599,"*NA*")</f>
        <v>0</v>
      </c>
      <c r="F600">
        <f>COUNTIF('Metrics - Articles'!H599,"*APJ")</f>
        <v>0</v>
      </c>
      <c r="G600">
        <f>COUNTIF('Metrics - Articles'!H599,"*LATAM*")</f>
        <v>0</v>
      </c>
      <c r="H600">
        <f>COUNTIF('Metrics - Articles'!H599,"*China*")</f>
        <v>0</v>
      </c>
      <c r="J600" s="53">
        <f t="shared" si="10"/>
        <v>0</v>
      </c>
    </row>
    <row r="601" spans="2:10" x14ac:dyDescent="0.25">
      <c r="B601" s="48">
        <f>+'Metrics - Articles'!C600</f>
        <v>0</v>
      </c>
      <c r="C601">
        <f>COUNTIF('Metrics - Articles'!H600,"*Global*")</f>
        <v>0</v>
      </c>
      <c r="D601">
        <f>COUNTIF('Metrics - Articles'!H600,"*EMEA*")</f>
        <v>0</v>
      </c>
      <c r="E601">
        <f>COUNTIF('Metrics - Articles'!H600,"*NA*")</f>
        <v>0</v>
      </c>
      <c r="F601">
        <f>COUNTIF('Metrics - Articles'!H600,"*APJ")</f>
        <v>0</v>
      </c>
      <c r="G601">
        <f>COUNTIF('Metrics - Articles'!H600,"*LATAM*")</f>
        <v>0</v>
      </c>
      <c r="H601">
        <f>COUNTIF('Metrics - Articles'!H600,"*China*")</f>
        <v>0</v>
      </c>
      <c r="J601" s="53">
        <f t="shared" si="10"/>
        <v>0</v>
      </c>
    </row>
    <row r="602" spans="2:10" x14ac:dyDescent="0.25">
      <c r="B602" s="48">
        <f>+'Metrics - Articles'!C601</f>
        <v>0</v>
      </c>
      <c r="C602">
        <f>COUNTIF('Metrics - Articles'!H601,"*Global*")</f>
        <v>0</v>
      </c>
      <c r="D602">
        <f>COUNTIF('Metrics - Articles'!H601,"*EMEA*")</f>
        <v>0</v>
      </c>
      <c r="E602">
        <f>COUNTIF('Metrics - Articles'!H601,"*NA*")</f>
        <v>0</v>
      </c>
      <c r="F602">
        <f>COUNTIF('Metrics - Articles'!H601,"*APJ")</f>
        <v>0</v>
      </c>
      <c r="G602">
        <f>COUNTIF('Metrics - Articles'!H601,"*LATAM*")</f>
        <v>0</v>
      </c>
      <c r="H602">
        <f>COUNTIF('Metrics - Articles'!H601,"*China*")</f>
        <v>0</v>
      </c>
      <c r="J602" s="53">
        <f t="shared" si="10"/>
        <v>0</v>
      </c>
    </row>
    <row r="603" spans="2:10" x14ac:dyDescent="0.25">
      <c r="B603" s="48">
        <f>+'Metrics - Articles'!C602</f>
        <v>0</v>
      </c>
      <c r="C603">
        <f>COUNTIF('Metrics - Articles'!H602,"*Global*")</f>
        <v>0</v>
      </c>
      <c r="D603">
        <f>COUNTIF('Metrics - Articles'!H602,"*EMEA*")</f>
        <v>0</v>
      </c>
      <c r="E603">
        <f>COUNTIF('Metrics - Articles'!H602,"*NA*")</f>
        <v>0</v>
      </c>
      <c r="F603">
        <f>COUNTIF('Metrics - Articles'!H602,"*APJ")</f>
        <v>0</v>
      </c>
      <c r="G603">
        <f>COUNTIF('Metrics - Articles'!H602,"*LATAM*")</f>
        <v>0</v>
      </c>
      <c r="H603">
        <f>COUNTIF('Metrics - Articles'!H602,"*China*")</f>
        <v>0</v>
      </c>
      <c r="J603" s="53">
        <f t="shared" si="10"/>
        <v>0</v>
      </c>
    </row>
    <row r="604" spans="2:10" x14ac:dyDescent="0.25">
      <c r="B604" s="48">
        <f>+'Metrics - Articles'!C603</f>
        <v>0</v>
      </c>
      <c r="C604">
        <f>COUNTIF('Metrics - Articles'!H603,"*Global*")</f>
        <v>0</v>
      </c>
      <c r="D604">
        <f>COUNTIF('Metrics - Articles'!H603,"*EMEA*")</f>
        <v>0</v>
      </c>
      <c r="E604">
        <f>COUNTIF('Metrics - Articles'!H603,"*NA*")</f>
        <v>0</v>
      </c>
      <c r="F604">
        <f>COUNTIF('Metrics - Articles'!H603,"*APJ")</f>
        <v>0</v>
      </c>
      <c r="G604">
        <f>COUNTIF('Metrics - Articles'!H603,"*LATAM*")</f>
        <v>0</v>
      </c>
      <c r="H604">
        <f>COUNTIF('Metrics - Articles'!H603,"*China*")</f>
        <v>0</v>
      </c>
      <c r="J604" s="53">
        <f t="shared" si="10"/>
        <v>0</v>
      </c>
    </row>
    <row r="605" spans="2:10" x14ac:dyDescent="0.25">
      <c r="B605" s="48">
        <f>+'Metrics - Articles'!C604</f>
        <v>0</v>
      </c>
      <c r="C605">
        <f>COUNTIF('Metrics - Articles'!H604,"*Global*")</f>
        <v>0</v>
      </c>
      <c r="D605">
        <f>COUNTIF('Metrics - Articles'!H604,"*EMEA*")</f>
        <v>0</v>
      </c>
      <c r="E605">
        <f>COUNTIF('Metrics - Articles'!H604,"*NA*")</f>
        <v>0</v>
      </c>
      <c r="F605">
        <f>COUNTIF('Metrics - Articles'!H604,"*APJ")</f>
        <v>0</v>
      </c>
      <c r="G605">
        <f>COUNTIF('Metrics - Articles'!H604,"*LATAM*")</f>
        <v>0</v>
      </c>
      <c r="H605">
        <f>COUNTIF('Metrics - Articles'!H604,"*China*")</f>
        <v>0</v>
      </c>
      <c r="J605" s="53">
        <f t="shared" si="10"/>
        <v>0</v>
      </c>
    </row>
    <row r="606" spans="2:10" x14ac:dyDescent="0.25">
      <c r="B606" s="48">
        <f>+'Metrics - Articles'!C605</f>
        <v>0</v>
      </c>
      <c r="C606">
        <f>COUNTIF('Metrics - Articles'!H605,"*Global*")</f>
        <v>0</v>
      </c>
      <c r="D606">
        <f>COUNTIF('Metrics - Articles'!H605,"*EMEA*")</f>
        <v>0</v>
      </c>
      <c r="E606">
        <f>COUNTIF('Metrics - Articles'!H605,"*NA*")</f>
        <v>0</v>
      </c>
      <c r="F606">
        <f>COUNTIF('Metrics - Articles'!H605,"*APJ")</f>
        <v>0</v>
      </c>
      <c r="G606">
        <f>COUNTIF('Metrics - Articles'!H605,"*LATAM*")</f>
        <v>0</v>
      </c>
      <c r="H606">
        <f>COUNTIF('Metrics - Articles'!H605,"*China*")</f>
        <v>0</v>
      </c>
      <c r="J606" s="53">
        <f t="shared" si="10"/>
        <v>0</v>
      </c>
    </row>
    <row r="607" spans="2:10" x14ac:dyDescent="0.25">
      <c r="B607" s="48">
        <f>+'Metrics - Articles'!C606</f>
        <v>0</v>
      </c>
      <c r="C607">
        <f>COUNTIF('Metrics - Articles'!H606,"*Global*")</f>
        <v>0</v>
      </c>
      <c r="D607">
        <f>COUNTIF('Metrics - Articles'!H606,"*EMEA*")</f>
        <v>0</v>
      </c>
      <c r="E607">
        <f>COUNTIF('Metrics - Articles'!H606,"*NA*")</f>
        <v>0</v>
      </c>
      <c r="F607">
        <f>COUNTIF('Metrics - Articles'!H606,"*APJ")</f>
        <v>0</v>
      </c>
      <c r="G607">
        <f>COUNTIF('Metrics - Articles'!H606,"*LATAM*")</f>
        <v>0</v>
      </c>
      <c r="H607">
        <f>COUNTIF('Metrics - Articles'!H606,"*China*")</f>
        <v>0</v>
      </c>
      <c r="J607" s="53">
        <f t="shared" si="10"/>
        <v>0</v>
      </c>
    </row>
    <row r="608" spans="2:10" x14ac:dyDescent="0.25">
      <c r="B608" s="48">
        <f>+'Metrics - Articles'!C607</f>
        <v>0</v>
      </c>
      <c r="C608">
        <f>COUNTIF('Metrics - Articles'!H607,"*Global*")</f>
        <v>0</v>
      </c>
      <c r="D608">
        <f>COUNTIF('Metrics - Articles'!H607,"*EMEA*")</f>
        <v>0</v>
      </c>
      <c r="E608">
        <f>COUNTIF('Metrics - Articles'!H607,"*NA*")</f>
        <v>0</v>
      </c>
      <c r="F608">
        <f>COUNTIF('Metrics - Articles'!H607,"*APJ")</f>
        <v>0</v>
      </c>
      <c r="G608">
        <f>COUNTIF('Metrics - Articles'!H607,"*LATAM*")</f>
        <v>0</v>
      </c>
      <c r="H608">
        <f>COUNTIF('Metrics - Articles'!H607,"*China*")</f>
        <v>0</v>
      </c>
      <c r="J608" s="53">
        <f t="shared" si="10"/>
        <v>0</v>
      </c>
    </row>
    <row r="609" spans="2:10" x14ac:dyDescent="0.25">
      <c r="B609" s="48">
        <f>+'Metrics - Articles'!C608</f>
        <v>0</v>
      </c>
      <c r="C609">
        <f>COUNTIF('Metrics - Articles'!H608,"*Global*")</f>
        <v>0</v>
      </c>
      <c r="D609">
        <f>COUNTIF('Metrics - Articles'!H608,"*EMEA*")</f>
        <v>0</v>
      </c>
      <c r="E609">
        <f>COUNTIF('Metrics - Articles'!H608,"*NA*")</f>
        <v>0</v>
      </c>
      <c r="F609">
        <f>COUNTIF('Metrics - Articles'!H608,"*APJ")</f>
        <v>0</v>
      </c>
      <c r="G609">
        <f>COUNTIF('Metrics - Articles'!H608,"*LATAM*")</f>
        <v>0</v>
      </c>
      <c r="H609">
        <f>COUNTIF('Metrics - Articles'!H608,"*China*")</f>
        <v>0</v>
      </c>
      <c r="J609" s="53">
        <f t="shared" si="10"/>
        <v>0</v>
      </c>
    </row>
    <row r="610" spans="2:10" x14ac:dyDescent="0.25">
      <c r="B610" s="48">
        <f>+'Metrics - Articles'!C609</f>
        <v>0</v>
      </c>
      <c r="C610">
        <f>COUNTIF('Metrics - Articles'!H609,"*Global*")</f>
        <v>0</v>
      </c>
      <c r="D610">
        <f>COUNTIF('Metrics - Articles'!H609,"*EMEA*")</f>
        <v>0</v>
      </c>
      <c r="E610">
        <f>COUNTIF('Metrics - Articles'!H609,"*NA*")</f>
        <v>0</v>
      </c>
      <c r="F610">
        <f>COUNTIF('Metrics - Articles'!H609,"*APJ")</f>
        <v>0</v>
      </c>
      <c r="G610">
        <f>COUNTIF('Metrics - Articles'!H609,"*LATAM*")</f>
        <v>0</v>
      </c>
      <c r="H610">
        <f>COUNTIF('Metrics - Articles'!H609,"*China*")</f>
        <v>0</v>
      </c>
      <c r="J610" s="53">
        <f t="shared" si="10"/>
        <v>0</v>
      </c>
    </row>
    <row r="611" spans="2:10" x14ac:dyDescent="0.25">
      <c r="B611" s="48">
        <f>+'Metrics - Articles'!C610</f>
        <v>0</v>
      </c>
      <c r="C611">
        <f>COUNTIF('Metrics - Articles'!H610,"*Global*")</f>
        <v>0</v>
      </c>
      <c r="D611">
        <f>COUNTIF('Metrics - Articles'!H610,"*EMEA*")</f>
        <v>0</v>
      </c>
      <c r="E611">
        <f>COUNTIF('Metrics - Articles'!H610,"*NA*")</f>
        <v>0</v>
      </c>
      <c r="F611">
        <f>COUNTIF('Metrics - Articles'!H610,"*APJ")</f>
        <v>0</v>
      </c>
      <c r="G611">
        <f>COUNTIF('Metrics - Articles'!H610,"*LATAM*")</f>
        <v>0</v>
      </c>
      <c r="H611">
        <f>COUNTIF('Metrics - Articles'!H610,"*China*")</f>
        <v>0</v>
      </c>
      <c r="J611" s="53">
        <f t="shared" si="10"/>
        <v>0</v>
      </c>
    </row>
    <row r="612" spans="2:10" x14ac:dyDescent="0.25">
      <c r="B612" s="48">
        <f>+'Metrics - Articles'!C611</f>
        <v>0</v>
      </c>
      <c r="C612">
        <f>COUNTIF('Metrics - Articles'!H611,"*Global*")</f>
        <v>0</v>
      </c>
      <c r="D612">
        <f>COUNTIF('Metrics - Articles'!H611,"*EMEA*")</f>
        <v>0</v>
      </c>
      <c r="E612">
        <f>COUNTIF('Metrics - Articles'!H611,"*NA*")</f>
        <v>0</v>
      </c>
      <c r="F612">
        <f>COUNTIF('Metrics - Articles'!H611,"*APJ")</f>
        <v>0</v>
      </c>
      <c r="G612">
        <f>COUNTIF('Metrics - Articles'!H611,"*LATAM*")</f>
        <v>0</v>
      </c>
      <c r="H612">
        <f>COUNTIF('Metrics - Articles'!H611,"*China*")</f>
        <v>0</v>
      </c>
      <c r="J612" s="53">
        <f t="shared" si="10"/>
        <v>0</v>
      </c>
    </row>
    <row r="613" spans="2:10" x14ac:dyDescent="0.25">
      <c r="B613" s="48">
        <f>+'Metrics - Articles'!C612</f>
        <v>0</v>
      </c>
      <c r="C613">
        <f>COUNTIF('Metrics - Articles'!H612,"*Global*")</f>
        <v>0</v>
      </c>
      <c r="D613">
        <f>COUNTIF('Metrics - Articles'!H612,"*EMEA*")</f>
        <v>0</v>
      </c>
      <c r="E613">
        <f>COUNTIF('Metrics - Articles'!H612,"*NA*")</f>
        <v>0</v>
      </c>
      <c r="F613">
        <f>COUNTIF('Metrics - Articles'!H612,"*APJ")</f>
        <v>0</v>
      </c>
      <c r="G613">
        <f>COUNTIF('Metrics - Articles'!H612,"*LATAM*")</f>
        <v>0</v>
      </c>
      <c r="H613">
        <f>COUNTIF('Metrics - Articles'!H612,"*China*")</f>
        <v>0</v>
      </c>
      <c r="J613" s="53">
        <f t="shared" si="10"/>
        <v>0</v>
      </c>
    </row>
    <row r="614" spans="2:10" x14ac:dyDescent="0.25">
      <c r="B614" s="48">
        <f>+'Metrics - Articles'!C613</f>
        <v>0</v>
      </c>
      <c r="C614">
        <f>COUNTIF('Metrics - Articles'!H613,"*Global*")</f>
        <v>0</v>
      </c>
      <c r="D614">
        <f>COUNTIF('Metrics - Articles'!H613,"*EMEA*")</f>
        <v>0</v>
      </c>
      <c r="E614">
        <f>COUNTIF('Metrics - Articles'!H613,"*NA*")</f>
        <v>0</v>
      </c>
      <c r="F614">
        <f>COUNTIF('Metrics - Articles'!H613,"*APJ")</f>
        <v>0</v>
      </c>
      <c r="G614">
        <f>COUNTIF('Metrics - Articles'!H613,"*LATAM*")</f>
        <v>0</v>
      </c>
      <c r="H614">
        <f>COUNTIF('Metrics - Articles'!H613,"*China*")</f>
        <v>0</v>
      </c>
      <c r="J614" s="53">
        <f t="shared" si="10"/>
        <v>0</v>
      </c>
    </row>
    <row r="615" spans="2:10" x14ac:dyDescent="0.25">
      <c r="B615" s="48">
        <f>+'Metrics - Articles'!C614</f>
        <v>0</v>
      </c>
      <c r="C615">
        <f>COUNTIF('Metrics - Articles'!H614,"*Global*")</f>
        <v>0</v>
      </c>
      <c r="D615">
        <f>COUNTIF('Metrics - Articles'!H614,"*EMEA*")</f>
        <v>0</v>
      </c>
      <c r="E615">
        <f>COUNTIF('Metrics - Articles'!H614,"*NA*")</f>
        <v>0</v>
      </c>
      <c r="F615">
        <f>COUNTIF('Metrics - Articles'!H614,"*APJ")</f>
        <v>0</v>
      </c>
      <c r="G615">
        <f>COUNTIF('Metrics - Articles'!H614,"*LATAM*")</f>
        <v>0</v>
      </c>
      <c r="H615">
        <f>COUNTIF('Metrics - Articles'!H614,"*China*")</f>
        <v>0</v>
      </c>
      <c r="J615" s="53">
        <f t="shared" si="10"/>
        <v>0</v>
      </c>
    </row>
    <row r="616" spans="2:10" x14ac:dyDescent="0.25">
      <c r="B616" s="48">
        <f>+'Metrics - Articles'!C615</f>
        <v>0</v>
      </c>
      <c r="C616">
        <f>COUNTIF('Metrics - Articles'!H615,"*Global*")</f>
        <v>0</v>
      </c>
      <c r="D616">
        <f>COUNTIF('Metrics - Articles'!H615,"*EMEA*")</f>
        <v>0</v>
      </c>
      <c r="E616">
        <f>COUNTIF('Metrics - Articles'!H615,"*NA*")</f>
        <v>0</v>
      </c>
      <c r="F616">
        <f>COUNTIF('Metrics - Articles'!H615,"*APJ")</f>
        <v>0</v>
      </c>
      <c r="G616">
        <f>COUNTIF('Metrics - Articles'!H615,"*LATAM*")</f>
        <v>0</v>
      </c>
      <c r="H616">
        <f>COUNTIF('Metrics - Articles'!H615,"*China*")</f>
        <v>0</v>
      </c>
      <c r="J616" s="53">
        <f t="shared" si="10"/>
        <v>0</v>
      </c>
    </row>
    <row r="617" spans="2:10" x14ac:dyDescent="0.25">
      <c r="B617" s="48">
        <f>+'Metrics - Articles'!C616</f>
        <v>0</v>
      </c>
      <c r="C617">
        <f>COUNTIF('Metrics - Articles'!H616,"*Global*")</f>
        <v>0</v>
      </c>
      <c r="D617">
        <f>COUNTIF('Metrics - Articles'!H616,"*EMEA*")</f>
        <v>0</v>
      </c>
      <c r="E617">
        <f>COUNTIF('Metrics - Articles'!H616,"*NA*")</f>
        <v>0</v>
      </c>
      <c r="F617">
        <f>COUNTIF('Metrics - Articles'!H616,"*APJ")</f>
        <v>0</v>
      </c>
      <c r="G617">
        <f>COUNTIF('Metrics - Articles'!H616,"*LATAM*")</f>
        <v>0</v>
      </c>
      <c r="H617">
        <f>COUNTIF('Metrics - Articles'!H616,"*China*")</f>
        <v>0</v>
      </c>
      <c r="J617" s="53">
        <f t="shared" si="10"/>
        <v>0</v>
      </c>
    </row>
    <row r="618" spans="2:10" x14ac:dyDescent="0.25">
      <c r="B618" s="48">
        <f>+'Metrics - Articles'!C617</f>
        <v>0</v>
      </c>
      <c r="C618">
        <f>COUNTIF('Metrics - Articles'!H617,"*Global*")</f>
        <v>0</v>
      </c>
      <c r="D618">
        <f>COUNTIF('Metrics - Articles'!H617,"*EMEA*")</f>
        <v>0</v>
      </c>
      <c r="E618">
        <f>COUNTIF('Metrics - Articles'!H617,"*NA*")</f>
        <v>0</v>
      </c>
      <c r="F618">
        <f>COUNTIF('Metrics - Articles'!H617,"*APJ")</f>
        <v>0</v>
      </c>
      <c r="G618">
        <f>COUNTIF('Metrics - Articles'!H617,"*LATAM*")</f>
        <v>0</v>
      </c>
      <c r="H618">
        <f>COUNTIF('Metrics - Articles'!H617,"*China*")</f>
        <v>0</v>
      </c>
      <c r="J618" s="53">
        <f t="shared" si="10"/>
        <v>0</v>
      </c>
    </row>
    <row r="619" spans="2:10" x14ac:dyDescent="0.25">
      <c r="B619" s="48">
        <f>+'Metrics - Articles'!C618</f>
        <v>0</v>
      </c>
      <c r="C619">
        <f>COUNTIF('Metrics - Articles'!H618,"*Global*")</f>
        <v>0</v>
      </c>
      <c r="D619">
        <f>COUNTIF('Metrics - Articles'!H618,"*EMEA*")</f>
        <v>0</v>
      </c>
      <c r="E619">
        <f>COUNTIF('Metrics - Articles'!H618,"*NA*")</f>
        <v>0</v>
      </c>
      <c r="F619">
        <f>COUNTIF('Metrics - Articles'!H618,"*APJ")</f>
        <v>0</v>
      </c>
      <c r="G619">
        <f>COUNTIF('Metrics - Articles'!H618,"*LATAM*")</f>
        <v>0</v>
      </c>
      <c r="H619">
        <f>COUNTIF('Metrics - Articles'!H618,"*China*")</f>
        <v>0</v>
      </c>
      <c r="J619" s="53">
        <f t="shared" si="10"/>
        <v>0</v>
      </c>
    </row>
    <row r="620" spans="2:10" x14ac:dyDescent="0.25">
      <c r="B620" s="48">
        <f>+'Metrics - Articles'!C619</f>
        <v>0</v>
      </c>
      <c r="C620">
        <f>COUNTIF('Metrics - Articles'!H619,"*Global*")</f>
        <v>0</v>
      </c>
      <c r="D620">
        <f>COUNTIF('Metrics - Articles'!H619,"*EMEA*")</f>
        <v>0</v>
      </c>
      <c r="E620">
        <f>COUNTIF('Metrics - Articles'!H619,"*NA*")</f>
        <v>0</v>
      </c>
      <c r="F620">
        <f>COUNTIF('Metrics - Articles'!H619,"*APJ")</f>
        <v>0</v>
      </c>
      <c r="G620">
        <f>COUNTIF('Metrics - Articles'!H619,"*LATAM*")</f>
        <v>0</v>
      </c>
      <c r="H620">
        <f>COUNTIF('Metrics - Articles'!H619,"*China*")</f>
        <v>0</v>
      </c>
      <c r="J620" s="53">
        <f t="shared" si="10"/>
        <v>0</v>
      </c>
    </row>
    <row r="621" spans="2:10" x14ac:dyDescent="0.25">
      <c r="B621" s="48">
        <f>+'Metrics - Articles'!C620</f>
        <v>0</v>
      </c>
      <c r="C621">
        <f>COUNTIF('Metrics - Articles'!H620,"*Global*")</f>
        <v>0</v>
      </c>
      <c r="D621">
        <f>COUNTIF('Metrics - Articles'!H620,"*EMEA*")</f>
        <v>0</v>
      </c>
      <c r="E621">
        <f>COUNTIF('Metrics - Articles'!H620,"*NA*")</f>
        <v>0</v>
      </c>
      <c r="F621">
        <f>COUNTIF('Metrics - Articles'!H620,"*APJ")</f>
        <v>0</v>
      </c>
      <c r="G621">
        <f>COUNTIF('Metrics - Articles'!H620,"*LATAM*")</f>
        <v>0</v>
      </c>
      <c r="H621">
        <f>COUNTIF('Metrics - Articles'!H620,"*China*")</f>
        <v>0</v>
      </c>
      <c r="J621" s="53">
        <f t="shared" si="10"/>
        <v>0</v>
      </c>
    </row>
    <row r="622" spans="2:10" x14ac:dyDescent="0.25">
      <c r="B622" s="48">
        <f>+'Metrics - Articles'!C621</f>
        <v>0</v>
      </c>
      <c r="C622">
        <f>COUNTIF('Metrics - Articles'!H621,"*Global*")</f>
        <v>0</v>
      </c>
      <c r="D622">
        <f>COUNTIF('Metrics - Articles'!H621,"*EMEA*")</f>
        <v>0</v>
      </c>
      <c r="E622">
        <f>COUNTIF('Metrics - Articles'!H621,"*NA*")</f>
        <v>0</v>
      </c>
      <c r="F622">
        <f>COUNTIF('Metrics - Articles'!H621,"*APJ")</f>
        <v>0</v>
      </c>
      <c r="G622">
        <f>COUNTIF('Metrics - Articles'!H621,"*LATAM*")</f>
        <v>0</v>
      </c>
      <c r="H622">
        <f>COUNTIF('Metrics - Articles'!H621,"*China*")</f>
        <v>0</v>
      </c>
      <c r="J622" s="53">
        <f t="shared" si="10"/>
        <v>0</v>
      </c>
    </row>
    <row r="623" spans="2:10" x14ac:dyDescent="0.25">
      <c r="B623" s="48">
        <f>+'Metrics - Articles'!C622</f>
        <v>0</v>
      </c>
      <c r="C623">
        <f>COUNTIF('Metrics - Articles'!H622,"*Global*")</f>
        <v>0</v>
      </c>
      <c r="D623">
        <f>COUNTIF('Metrics - Articles'!H622,"*EMEA*")</f>
        <v>0</v>
      </c>
      <c r="E623">
        <f>COUNTIF('Metrics - Articles'!H622,"*NA*")</f>
        <v>0</v>
      </c>
      <c r="F623">
        <f>COUNTIF('Metrics - Articles'!H622,"*APJ")</f>
        <v>0</v>
      </c>
      <c r="G623">
        <f>COUNTIF('Metrics - Articles'!H622,"*LATAM*")</f>
        <v>0</v>
      </c>
      <c r="H623">
        <f>COUNTIF('Metrics - Articles'!H622,"*China*")</f>
        <v>0</v>
      </c>
      <c r="J623" s="53">
        <f t="shared" si="10"/>
        <v>0</v>
      </c>
    </row>
    <row r="624" spans="2:10" x14ac:dyDescent="0.25">
      <c r="B624" s="48">
        <f>+'Metrics - Articles'!C623</f>
        <v>0</v>
      </c>
      <c r="C624">
        <f>COUNTIF('Metrics - Articles'!H623,"*Global*")</f>
        <v>0</v>
      </c>
      <c r="D624">
        <f>COUNTIF('Metrics - Articles'!H623,"*EMEA*")</f>
        <v>0</v>
      </c>
      <c r="E624">
        <f>COUNTIF('Metrics - Articles'!H623,"*NA*")</f>
        <v>0</v>
      </c>
      <c r="F624">
        <f>COUNTIF('Metrics - Articles'!H623,"*APJ")</f>
        <v>0</v>
      </c>
      <c r="G624">
        <f>COUNTIF('Metrics - Articles'!H623,"*LATAM*")</f>
        <v>0</v>
      </c>
      <c r="H624">
        <f>COUNTIF('Metrics - Articles'!H623,"*China*")</f>
        <v>0</v>
      </c>
      <c r="J624" s="53">
        <f t="shared" si="10"/>
        <v>0</v>
      </c>
    </row>
    <row r="625" spans="2:10" x14ac:dyDescent="0.25">
      <c r="B625" s="48">
        <f>+'Metrics - Articles'!C624</f>
        <v>0</v>
      </c>
      <c r="C625">
        <f>COUNTIF('Metrics - Articles'!H624,"*Global*")</f>
        <v>0</v>
      </c>
      <c r="D625">
        <f>COUNTIF('Metrics - Articles'!H624,"*EMEA*")</f>
        <v>0</v>
      </c>
      <c r="E625">
        <f>COUNTIF('Metrics - Articles'!H624,"*NA*")</f>
        <v>0</v>
      </c>
      <c r="F625">
        <f>COUNTIF('Metrics - Articles'!H624,"*APJ")</f>
        <v>0</v>
      </c>
      <c r="G625">
        <f>COUNTIF('Metrics - Articles'!H624,"*LATAM*")</f>
        <v>0</v>
      </c>
      <c r="H625">
        <f>COUNTIF('Metrics - Articles'!H624,"*China*")</f>
        <v>0</v>
      </c>
      <c r="J625" s="53">
        <f t="shared" si="10"/>
        <v>0</v>
      </c>
    </row>
    <row r="626" spans="2:10" x14ac:dyDescent="0.25">
      <c r="B626" s="48">
        <f>+'Metrics - Articles'!C625</f>
        <v>0</v>
      </c>
      <c r="C626">
        <f>COUNTIF('Metrics - Articles'!H625,"*Global*")</f>
        <v>0</v>
      </c>
      <c r="D626">
        <f>COUNTIF('Metrics - Articles'!H625,"*EMEA*")</f>
        <v>0</v>
      </c>
      <c r="E626">
        <f>COUNTIF('Metrics - Articles'!H625,"*NA*")</f>
        <v>0</v>
      </c>
      <c r="F626">
        <f>COUNTIF('Metrics - Articles'!H625,"*APJ")</f>
        <v>0</v>
      </c>
      <c r="G626">
        <f>COUNTIF('Metrics - Articles'!H625,"*LATAM*")</f>
        <v>0</v>
      </c>
      <c r="H626">
        <f>COUNTIF('Metrics - Articles'!H625,"*China*")</f>
        <v>0</v>
      </c>
      <c r="J626" s="53">
        <f t="shared" si="10"/>
        <v>0</v>
      </c>
    </row>
    <row r="627" spans="2:10" x14ac:dyDescent="0.25">
      <c r="B627" s="48">
        <f>+'Metrics - Articles'!C626</f>
        <v>0</v>
      </c>
      <c r="C627">
        <f>COUNTIF('Metrics - Articles'!H626,"*Global*")</f>
        <v>0</v>
      </c>
      <c r="D627">
        <f>COUNTIF('Metrics - Articles'!H626,"*EMEA*")</f>
        <v>0</v>
      </c>
      <c r="E627">
        <f>COUNTIF('Metrics - Articles'!H626,"*NA*")</f>
        <v>0</v>
      </c>
      <c r="F627">
        <f>COUNTIF('Metrics - Articles'!H626,"*APJ")</f>
        <v>0</v>
      </c>
      <c r="G627">
        <f>COUNTIF('Metrics - Articles'!H626,"*LATAM*")</f>
        <v>0</v>
      </c>
      <c r="H627">
        <f>COUNTIF('Metrics - Articles'!H626,"*China*")</f>
        <v>0</v>
      </c>
      <c r="J627" s="53">
        <f t="shared" si="10"/>
        <v>0</v>
      </c>
    </row>
    <row r="628" spans="2:10" x14ac:dyDescent="0.25">
      <c r="B628" s="48">
        <f>+'Metrics - Articles'!C627</f>
        <v>0</v>
      </c>
      <c r="C628">
        <f>COUNTIF('Metrics - Articles'!H627,"*Global*")</f>
        <v>0</v>
      </c>
      <c r="D628">
        <f>COUNTIF('Metrics - Articles'!H627,"*EMEA*")</f>
        <v>0</v>
      </c>
      <c r="E628">
        <f>COUNTIF('Metrics - Articles'!H627,"*NA*")</f>
        <v>0</v>
      </c>
      <c r="F628">
        <f>COUNTIF('Metrics - Articles'!H627,"*APJ")</f>
        <v>0</v>
      </c>
      <c r="G628">
        <f>COUNTIF('Metrics - Articles'!H627,"*LATAM*")</f>
        <v>0</v>
      </c>
      <c r="H628">
        <f>COUNTIF('Metrics - Articles'!H627,"*China*")</f>
        <v>0</v>
      </c>
      <c r="J628" s="53">
        <f t="shared" si="10"/>
        <v>0</v>
      </c>
    </row>
    <row r="629" spans="2:10" x14ac:dyDescent="0.25">
      <c r="B629" s="48">
        <f>+'Metrics - Articles'!C628</f>
        <v>0</v>
      </c>
      <c r="C629">
        <f>COUNTIF('Metrics - Articles'!H628,"*Global*")</f>
        <v>0</v>
      </c>
      <c r="D629">
        <f>COUNTIF('Metrics - Articles'!H628,"*EMEA*")</f>
        <v>0</v>
      </c>
      <c r="E629">
        <f>COUNTIF('Metrics - Articles'!H628,"*NA*")</f>
        <v>0</v>
      </c>
      <c r="F629">
        <f>COUNTIF('Metrics - Articles'!H628,"*APJ")</f>
        <v>0</v>
      </c>
      <c r="G629">
        <f>COUNTIF('Metrics - Articles'!H628,"*LATAM*")</f>
        <v>0</v>
      </c>
      <c r="H629">
        <f>COUNTIF('Metrics - Articles'!H628,"*China*")</f>
        <v>0</v>
      </c>
      <c r="J629" s="53">
        <f t="shared" si="10"/>
        <v>0</v>
      </c>
    </row>
    <row r="630" spans="2:10" x14ac:dyDescent="0.25">
      <c r="B630" s="48">
        <f>+'Metrics - Articles'!C629</f>
        <v>0</v>
      </c>
      <c r="C630">
        <f>COUNTIF('Metrics - Articles'!H629,"*Global*")</f>
        <v>0</v>
      </c>
      <c r="D630">
        <f>COUNTIF('Metrics - Articles'!H629,"*EMEA*")</f>
        <v>0</v>
      </c>
      <c r="E630">
        <f>COUNTIF('Metrics - Articles'!H629,"*NA*")</f>
        <v>0</v>
      </c>
      <c r="F630">
        <f>COUNTIF('Metrics - Articles'!H629,"*APJ")</f>
        <v>0</v>
      </c>
      <c r="G630">
        <f>COUNTIF('Metrics - Articles'!H629,"*LATAM*")</f>
        <v>0</v>
      </c>
      <c r="H630">
        <f>COUNTIF('Metrics - Articles'!H629,"*China*")</f>
        <v>0</v>
      </c>
      <c r="J630" s="53">
        <f t="shared" si="10"/>
        <v>0</v>
      </c>
    </row>
    <row r="631" spans="2:10" x14ac:dyDescent="0.25">
      <c r="B631" s="48">
        <f>+'Metrics - Articles'!C630</f>
        <v>0</v>
      </c>
      <c r="C631">
        <f>COUNTIF('Metrics - Articles'!H630,"*Global*")</f>
        <v>0</v>
      </c>
      <c r="D631">
        <f>COUNTIF('Metrics - Articles'!H630,"*EMEA*")</f>
        <v>0</v>
      </c>
      <c r="E631">
        <f>COUNTIF('Metrics - Articles'!H630,"*NA*")</f>
        <v>0</v>
      </c>
      <c r="F631">
        <f>COUNTIF('Metrics - Articles'!H630,"*APJ")</f>
        <v>0</v>
      </c>
      <c r="G631">
        <f>COUNTIF('Metrics - Articles'!H630,"*LATAM*")</f>
        <v>0</v>
      </c>
      <c r="H631">
        <f>COUNTIF('Metrics - Articles'!H630,"*China*")</f>
        <v>0</v>
      </c>
      <c r="J631" s="53">
        <f t="shared" si="10"/>
        <v>0</v>
      </c>
    </row>
    <row r="632" spans="2:10" x14ac:dyDescent="0.25">
      <c r="B632" s="48">
        <f>+'Metrics - Articles'!C631</f>
        <v>0</v>
      </c>
      <c r="C632">
        <f>COUNTIF('Metrics - Articles'!H631,"*Global*")</f>
        <v>0</v>
      </c>
      <c r="D632">
        <f>COUNTIF('Metrics - Articles'!H631,"*EMEA*")</f>
        <v>0</v>
      </c>
      <c r="E632">
        <f>COUNTIF('Metrics - Articles'!H631,"*NA*")</f>
        <v>0</v>
      </c>
      <c r="F632">
        <f>COUNTIF('Metrics - Articles'!H631,"*APJ")</f>
        <v>0</v>
      </c>
      <c r="G632">
        <f>COUNTIF('Metrics - Articles'!H631,"*LATAM*")</f>
        <v>0</v>
      </c>
      <c r="H632">
        <f>COUNTIF('Metrics - Articles'!H631,"*China*")</f>
        <v>0</v>
      </c>
      <c r="J632" s="53">
        <f t="shared" si="10"/>
        <v>0</v>
      </c>
    </row>
    <row r="633" spans="2:10" x14ac:dyDescent="0.25">
      <c r="B633" s="48">
        <f>+'Metrics - Articles'!C632</f>
        <v>0</v>
      </c>
      <c r="C633">
        <f>COUNTIF('Metrics - Articles'!H632,"*Global*")</f>
        <v>0</v>
      </c>
      <c r="D633">
        <f>COUNTIF('Metrics - Articles'!H632,"*EMEA*")</f>
        <v>0</v>
      </c>
      <c r="E633">
        <f>COUNTIF('Metrics - Articles'!H632,"*NA*")</f>
        <v>0</v>
      </c>
      <c r="F633">
        <f>COUNTIF('Metrics - Articles'!H632,"*APJ")</f>
        <v>0</v>
      </c>
      <c r="G633">
        <f>COUNTIF('Metrics - Articles'!H632,"*LATAM*")</f>
        <v>0</v>
      </c>
      <c r="H633">
        <f>COUNTIF('Metrics - Articles'!H632,"*China*")</f>
        <v>0</v>
      </c>
      <c r="J633" s="53">
        <f t="shared" si="10"/>
        <v>0</v>
      </c>
    </row>
    <row r="634" spans="2:10" x14ac:dyDescent="0.25">
      <c r="B634" s="48">
        <f>+'Metrics - Articles'!C633</f>
        <v>0</v>
      </c>
      <c r="C634">
        <f>COUNTIF('Metrics - Articles'!H633,"*Global*")</f>
        <v>0</v>
      </c>
      <c r="D634">
        <f>COUNTIF('Metrics - Articles'!H633,"*EMEA*")</f>
        <v>0</v>
      </c>
      <c r="E634">
        <f>COUNTIF('Metrics - Articles'!H633,"*NA*")</f>
        <v>0</v>
      </c>
      <c r="F634">
        <f>COUNTIF('Metrics - Articles'!H633,"*APJ")</f>
        <v>0</v>
      </c>
      <c r="G634">
        <f>COUNTIF('Metrics - Articles'!H633,"*LATAM*")</f>
        <v>0</v>
      </c>
      <c r="H634">
        <f>COUNTIF('Metrics - Articles'!H633,"*China*")</f>
        <v>0</v>
      </c>
      <c r="J634" s="53">
        <f t="shared" si="10"/>
        <v>0</v>
      </c>
    </row>
    <row r="635" spans="2:10" x14ac:dyDescent="0.25">
      <c r="B635" s="48">
        <f>+'Metrics - Articles'!C634</f>
        <v>0</v>
      </c>
      <c r="C635">
        <f>COUNTIF('Metrics - Articles'!H634,"*Global*")</f>
        <v>0</v>
      </c>
      <c r="D635">
        <f>COUNTIF('Metrics - Articles'!H634,"*EMEA*")</f>
        <v>0</v>
      </c>
      <c r="E635">
        <f>COUNTIF('Metrics - Articles'!H634,"*NA*")</f>
        <v>0</v>
      </c>
      <c r="F635">
        <f>COUNTIF('Metrics - Articles'!H634,"*APJ")</f>
        <v>0</v>
      </c>
      <c r="G635">
        <f>COUNTIF('Metrics - Articles'!H634,"*LATAM*")</f>
        <v>0</v>
      </c>
      <c r="H635">
        <f>COUNTIF('Metrics - Articles'!H634,"*China*")</f>
        <v>0</v>
      </c>
      <c r="J635" s="53">
        <f t="shared" si="10"/>
        <v>0</v>
      </c>
    </row>
    <row r="636" spans="2:10" x14ac:dyDescent="0.25">
      <c r="B636" s="48">
        <f>+'Metrics - Articles'!C635</f>
        <v>0</v>
      </c>
      <c r="C636">
        <f>COUNTIF('Metrics - Articles'!H635,"*Global*")</f>
        <v>0</v>
      </c>
      <c r="D636">
        <f>COUNTIF('Metrics - Articles'!H635,"*EMEA*")</f>
        <v>0</v>
      </c>
      <c r="E636">
        <f>COUNTIF('Metrics - Articles'!H635,"*NA*")</f>
        <v>0</v>
      </c>
      <c r="F636">
        <f>COUNTIF('Metrics - Articles'!H635,"*APJ")</f>
        <v>0</v>
      </c>
      <c r="G636">
        <f>COUNTIF('Metrics - Articles'!H635,"*LATAM*")</f>
        <v>0</v>
      </c>
      <c r="H636">
        <f>COUNTIF('Metrics - Articles'!H635,"*China*")</f>
        <v>0</v>
      </c>
      <c r="J636" s="53">
        <f t="shared" si="10"/>
        <v>0</v>
      </c>
    </row>
    <row r="637" spans="2:10" x14ac:dyDescent="0.25">
      <c r="B637" s="48">
        <f>+'Metrics - Articles'!C636</f>
        <v>0</v>
      </c>
      <c r="C637">
        <f>COUNTIF('Metrics - Articles'!H636,"*Global*")</f>
        <v>0</v>
      </c>
      <c r="D637">
        <f>COUNTIF('Metrics - Articles'!H636,"*EMEA*")</f>
        <v>0</v>
      </c>
      <c r="E637">
        <f>COUNTIF('Metrics - Articles'!H636,"*NA*")</f>
        <v>0</v>
      </c>
      <c r="F637">
        <f>COUNTIF('Metrics - Articles'!H636,"*APJ")</f>
        <v>0</v>
      </c>
      <c r="G637">
        <f>COUNTIF('Metrics - Articles'!H636,"*LATAM*")</f>
        <v>0</v>
      </c>
      <c r="H637">
        <f>COUNTIF('Metrics - Articles'!H636,"*China*")</f>
        <v>0</v>
      </c>
      <c r="J637" s="53">
        <f t="shared" si="10"/>
        <v>0</v>
      </c>
    </row>
    <row r="638" spans="2:10" x14ac:dyDescent="0.25">
      <c r="B638" s="48">
        <f>+'Metrics - Articles'!C637</f>
        <v>0</v>
      </c>
      <c r="C638">
        <f>COUNTIF('Metrics - Articles'!H637,"*Global*")</f>
        <v>0</v>
      </c>
      <c r="D638">
        <f>COUNTIF('Metrics - Articles'!H637,"*EMEA*")</f>
        <v>0</v>
      </c>
      <c r="E638">
        <f>COUNTIF('Metrics - Articles'!H637,"*NA*")</f>
        <v>0</v>
      </c>
      <c r="F638">
        <f>COUNTIF('Metrics - Articles'!H637,"*APJ")</f>
        <v>0</v>
      </c>
      <c r="G638">
        <f>COUNTIF('Metrics - Articles'!H637,"*LATAM*")</f>
        <v>0</v>
      </c>
      <c r="H638">
        <f>COUNTIF('Metrics - Articles'!H637,"*China*")</f>
        <v>0</v>
      </c>
      <c r="J638" s="53">
        <f t="shared" si="10"/>
        <v>0</v>
      </c>
    </row>
    <row r="639" spans="2:10" x14ac:dyDescent="0.25">
      <c r="B639" s="48">
        <f>+'Metrics - Articles'!C638</f>
        <v>0</v>
      </c>
      <c r="C639">
        <f>COUNTIF('Metrics - Articles'!H638,"*Global*")</f>
        <v>0</v>
      </c>
      <c r="D639">
        <f>COUNTIF('Metrics - Articles'!H638,"*EMEA*")</f>
        <v>0</v>
      </c>
      <c r="E639">
        <f>COUNTIF('Metrics - Articles'!H638,"*NA*")</f>
        <v>0</v>
      </c>
      <c r="F639">
        <f>COUNTIF('Metrics - Articles'!H638,"*APJ")</f>
        <v>0</v>
      </c>
      <c r="G639">
        <f>COUNTIF('Metrics - Articles'!H638,"*LATAM*")</f>
        <v>0</v>
      </c>
      <c r="H639">
        <f>COUNTIF('Metrics - Articles'!H638,"*China*")</f>
        <v>0</v>
      </c>
      <c r="J639" s="53">
        <f t="shared" si="10"/>
        <v>0</v>
      </c>
    </row>
    <row r="640" spans="2:10" x14ac:dyDescent="0.25">
      <c r="B640" s="48">
        <f>+'Metrics - Articles'!C639</f>
        <v>0</v>
      </c>
      <c r="C640">
        <f>COUNTIF('Metrics - Articles'!H639,"*Global*")</f>
        <v>0</v>
      </c>
      <c r="D640">
        <f>COUNTIF('Metrics - Articles'!H639,"*EMEA*")</f>
        <v>0</v>
      </c>
      <c r="E640">
        <f>COUNTIF('Metrics - Articles'!H639,"*NA*")</f>
        <v>0</v>
      </c>
      <c r="F640">
        <f>COUNTIF('Metrics - Articles'!H639,"*APJ")</f>
        <v>0</v>
      </c>
      <c r="G640">
        <f>COUNTIF('Metrics - Articles'!H639,"*LATAM*")</f>
        <v>0</v>
      </c>
      <c r="H640">
        <f>COUNTIF('Metrics - Articles'!H639,"*China*")</f>
        <v>0</v>
      </c>
      <c r="J640" s="53">
        <f t="shared" si="10"/>
        <v>0</v>
      </c>
    </row>
    <row r="641" spans="2:10" x14ac:dyDescent="0.25">
      <c r="B641" s="48">
        <f>+'Metrics - Articles'!C640</f>
        <v>0</v>
      </c>
      <c r="C641">
        <f>COUNTIF('Metrics - Articles'!H640,"*Global*")</f>
        <v>0</v>
      </c>
      <c r="D641">
        <f>COUNTIF('Metrics - Articles'!H640,"*EMEA*")</f>
        <v>0</v>
      </c>
      <c r="E641">
        <f>COUNTIF('Metrics - Articles'!H640,"*NA*")</f>
        <v>0</v>
      </c>
      <c r="F641">
        <f>COUNTIF('Metrics - Articles'!H640,"*APJ")</f>
        <v>0</v>
      </c>
      <c r="G641">
        <f>COUNTIF('Metrics - Articles'!H640,"*LATAM*")</f>
        <v>0</v>
      </c>
      <c r="H641">
        <f>COUNTIF('Metrics - Articles'!H640,"*China*")</f>
        <v>0</v>
      </c>
      <c r="J641" s="53">
        <f t="shared" si="10"/>
        <v>0</v>
      </c>
    </row>
    <row r="642" spans="2:10" x14ac:dyDescent="0.25">
      <c r="B642" s="48">
        <f>+'Metrics - Articles'!C641</f>
        <v>0</v>
      </c>
      <c r="C642">
        <f>COUNTIF('Metrics - Articles'!H641,"*Global*")</f>
        <v>0</v>
      </c>
      <c r="D642">
        <f>COUNTIF('Metrics - Articles'!H641,"*EMEA*")</f>
        <v>0</v>
      </c>
      <c r="E642">
        <f>COUNTIF('Metrics - Articles'!H641,"*NA*")</f>
        <v>0</v>
      </c>
      <c r="F642">
        <f>COUNTIF('Metrics - Articles'!H641,"*APJ")</f>
        <v>0</v>
      </c>
      <c r="G642">
        <f>COUNTIF('Metrics - Articles'!H641,"*LATAM*")</f>
        <v>0</v>
      </c>
      <c r="H642">
        <f>COUNTIF('Metrics - Articles'!H641,"*China*")</f>
        <v>0</v>
      </c>
      <c r="J642" s="53">
        <f t="shared" si="10"/>
        <v>0</v>
      </c>
    </row>
    <row r="643" spans="2:10" x14ac:dyDescent="0.25">
      <c r="B643" s="48">
        <f>+'Metrics - Articles'!C642</f>
        <v>0</v>
      </c>
      <c r="C643">
        <f>COUNTIF('Metrics - Articles'!H642,"*Global*")</f>
        <v>0</v>
      </c>
      <c r="D643">
        <f>COUNTIF('Metrics - Articles'!H642,"*EMEA*")</f>
        <v>0</v>
      </c>
      <c r="E643">
        <f>COUNTIF('Metrics - Articles'!H642,"*NA*")</f>
        <v>0</v>
      </c>
      <c r="F643">
        <f>COUNTIF('Metrics - Articles'!H642,"*APJ")</f>
        <v>0</v>
      </c>
      <c r="G643">
        <f>COUNTIF('Metrics - Articles'!H642,"*LATAM*")</f>
        <v>0</v>
      </c>
      <c r="H643">
        <f>COUNTIF('Metrics - Articles'!H642,"*China*")</f>
        <v>0</v>
      </c>
      <c r="J643" s="53">
        <f t="shared" si="10"/>
        <v>0</v>
      </c>
    </row>
    <row r="644" spans="2:10" x14ac:dyDescent="0.25">
      <c r="B644" s="48">
        <f>+'Metrics - Articles'!C643</f>
        <v>0</v>
      </c>
      <c r="C644">
        <f>COUNTIF('Metrics - Articles'!H643,"*Global*")</f>
        <v>0</v>
      </c>
      <c r="D644">
        <f>COUNTIF('Metrics - Articles'!H643,"*EMEA*")</f>
        <v>0</v>
      </c>
      <c r="E644">
        <f>COUNTIF('Metrics - Articles'!H643,"*NA*")</f>
        <v>0</v>
      </c>
      <c r="F644">
        <f>COUNTIF('Metrics - Articles'!H643,"*APJ")</f>
        <v>0</v>
      </c>
      <c r="G644">
        <f>COUNTIF('Metrics - Articles'!H643,"*LATAM*")</f>
        <v>0</v>
      </c>
      <c r="H644">
        <f>COUNTIF('Metrics - Articles'!H643,"*China*")</f>
        <v>0</v>
      </c>
      <c r="J644" s="53">
        <f t="shared" si="10"/>
        <v>0</v>
      </c>
    </row>
    <row r="645" spans="2:10" x14ac:dyDescent="0.25">
      <c r="B645" s="48">
        <f>+'Metrics - Articles'!C644</f>
        <v>0</v>
      </c>
      <c r="C645">
        <f>COUNTIF('Metrics - Articles'!H644,"*Global*")</f>
        <v>0</v>
      </c>
      <c r="D645">
        <f>COUNTIF('Metrics - Articles'!H644,"*EMEA*")</f>
        <v>0</v>
      </c>
      <c r="E645">
        <f>COUNTIF('Metrics - Articles'!H644,"*NA*")</f>
        <v>0</v>
      </c>
      <c r="F645">
        <f>COUNTIF('Metrics - Articles'!H644,"*APJ")</f>
        <v>0</v>
      </c>
      <c r="G645">
        <f>COUNTIF('Metrics - Articles'!H644,"*LATAM*")</f>
        <v>0</v>
      </c>
      <c r="H645">
        <f>COUNTIF('Metrics - Articles'!H644,"*China*")</f>
        <v>0</v>
      </c>
      <c r="J645" s="53">
        <f t="shared" si="10"/>
        <v>0</v>
      </c>
    </row>
    <row r="646" spans="2:10" x14ac:dyDescent="0.25">
      <c r="B646" s="48">
        <f>+'Metrics - Articles'!C645</f>
        <v>0</v>
      </c>
      <c r="C646">
        <f>COUNTIF('Metrics - Articles'!H645,"*Global*")</f>
        <v>0</v>
      </c>
      <c r="D646">
        <f>COUNTIF('Metrics - Articles'!H645,"*EMEA*")</f>
        <v>0</v>
      </c>
      <c r="E646">
        <f>COUNTIF('Metrics - Articles'!H645,"*NA*")</f>
        <v>0</v>
      </c>
      <c r="F646">
        <f>COUNTIF('Metrics - Articles'!H645,"*APJ")</f>
        <v>0</v>
      </c>
      <c r="G646">
        <f>COUNTIF('Metrics - Articles'!H645,"*LATAM*")</f>
        <v>0</v>
      </c>
      <c r="H646">
        <f>COUNTIF('Metrics - Articles'!H645,"*China*")</f>
        <v>0</v>
      </c>
      <c r="J646" s="53">
        <f t="shared" si="10"/>
        <v>0</v>
      </c>
    </row>
    <row r="647" spans="2:10" x14ac:dyDescent="0.25">
      <c r="B647" s="48">
        <f>+'Metrics - Articles'!C646</f>
        <v>0</v>
      </c>
      <c r="C647">
        <f>COUNTIF('Metrics - Articles'!H646,"*Global*")</f>
        <v>0</v>
      </c>
      <c r="D647">
        <f>COUNTIF('Metrics - Articles'!H646,"*EMEA*")</f>
        <v>0</v>
      </c>
      <c r="E647">
        <f>COUNTIF('Metrics - Articles'!H646,"*NA*")</f>
        <v>0</v>
      </c>
      <c r="F647">
        <f>COUNTIF('Metrics - Articles'!H646,"*APJ")</f>
        <v>0</v>
      </c>
      <c r="G647">
        <f>COUNTIF('Metrics - Articles'!H646,"*LATAM*")</f>
        <v>0</v>
      </c>
      <c r="H647">
        <f>COUNTIF('Metrics - Articles'!H646,"*China*")</f>
        <v>0</v>
      </c>
      <c r="J647" s="53">
        <f t="shared" si="10"/>
        <v>0</v>
      </c>
    </row>
    <row r="648" spans="2:10" x14ac:dyDescent="0.25">
      <c r="B648" s="48">
        <f>+'Metrics - Articles'!C647</f>
        <v>0</v>
      </c>
      <c r="C648">
        <f>COUNTIF('Metrics - Articles'!H647,"*Global*")</f>
        <v>0</v>
      </c>
      <c r="D648">
        <f>COUNTIF('Metrics - Articles'!H647,"*EMEA*")</f>
        <v>0</v>
      </c>
      <c r="E648">
        <f>COUNTIF('Metrics - Articles'!H647,"*NA*")</f>
        <v>0</v>
      </c>
      <c r="F648">
        <f>COUNTIF('Metrics - Articles'!H647,"*APJ")</f>
        <v>0</v>
      </c>
      <c r="G648">
        <f>COUNTIF('Metrics - Articles'!H647,"*LATAM*")</f>
        <v>0</v>
      </c>
      <c r="H648">
        <f>COUNTIF('Metrics - Articles'!H647,"*China*")</f>
        <v>0</v>
      </c>
      <c r="J648" s="53">
        <f t="shared" si="10"/>
        <v>0</v>
      </c>
    </row>
    <row r="649" spans="2:10" x14ac:dyDescent="0.25">
      <c r="B649" s="48">
        <f>+'Metrics - Articles'!C648</f>
        <v>0</v>
      </c>
      <c r="C649">
        <f>COUNTIF('Metrics - Articles'!H648,"*Global*")</f>
        <v>0</v>
      </c>
      <c r="D649">
        <f>COUNTIF('Metrics - Articles'!H648,"*EMEA*")</f>
        <v>0</v>
      </c>
      <c r="E649">
        <f>COUNTIF('Metrics - Articles'!H648,"*NA*")</f>
        <v>0</v>
      </c>
      <c r="F649">
        <f>COUNTIF('Metrics - Articles'!H648,"*APJ")</f>
        <v>0</v>
      </c>
      <c r="G649">
        <f>COUNTIF('Metrics - Articles'!H648,"*LATAM*")</f>
        <v>0</v>
      </c>
      <c r="H649">
        <f>COUNTIF('Metrics - Articles'!H648,"*China*")</f>
        <v>0</v>
      </c>
      <c r="J649" s="53">
        <f t="shared" si="10"/>
        <v>0</v>
      </c>
    </row>
    <row r="650" spans="2:10" x14ac:dyDescent="0.25">
      <c r="B650" s="48">
        <f>+'Metrics - Articles'!C649</f>
        <v>0</v>
      </c>
      <c r="C650">
        <f>COUNTIF('Metrics - Articles'!H649,"*Global*")</f>
        <v>0</v>
      </c>
      <c r="D650">
        <f>COUNTIF('Metrics - Articles'!H649,"*EMEA*")</f>
        <v>0</v>
      </c>
      <c r="E650">
        <f>COUNTIF('Metrics - Articles'!H649,"*NA*")</f>
        <v>0</v>
      </c>
      <c r="F650">
        <f>COUNTIF('Metrics - Articles'!H649,"*APJ")</f>
        <v>0</v>
      </c>
      <c r="G650">
        <f>COUNTIF('Metrics - Articles'!H649,"*LATAM*")</f>
        <v>0</v>
      </c>
      <c r="H650">
        <f>COUNTIF('Metrics - Articles'!H649,"*China*")</f>
        <v>0</v>
      </c>
      <c r="J650" s="53">
        <f t="shared" ref="J650:J713" si="11">SUM(C650:I650)</f>
        <v>0</v>
      </c>
    </row>
    <row r="651" spans="2:10" x14ac:dyDescent="0.25">
      <c r="B651" s="48">
        <f>+'Metrics - Articles'!C650</f>
        <v>0</v>
      </c>
      <c r="C651">
        <f>COUNTIF('Metrics - Articles'!H650,"*Global*")</f>
        <v>0</v>
      </c>
      <c r="D651">
        <f>COUNTIF('Metrics - Articles'!H650,"*EMEA*")</f>
        <v>0</v>
      </c>
      <c r="E651">
        <f>COUNTIF('Metrics - Articles'!H650,"*NA*")</f>
        <v>0</v>
      </c>
      <c r="F651">
        <f>COUNTIF('Metrics - Articles'!H650,"*APJ")</f>
        <v>0</v>
      </c>
      <c r="G651">
        <f>COUNTIF('Metrics - Articles'!H650,"*LATAM*")</f>
        <v>0</v>
      </c>
      <c r="H651">
        <f>COUNTIF('Metrics - Articles'!H650,"*China*")</f>
        <v>0</v>
      </c>
      <c r="J651" s="53">
        <f t="shared" si="11"/>
        <v>0</v>
      </c>
    </row>
    <row r="652" spans="2:10" x14ac:dyDescent="0.25">
      <c r="B652" s="48">
        <f>+'Metrics - Articles'!C651</f>
        <v>0</v>
      </c>
      <c r="C652">
        <f>COUNTIF('Metrics - Articles'!H651,"*Global*")</f>
        <v>0</v>
      </c>
      <c r="D652">
        <f>COUNTIF('Metrics - Articles'!H651,"*EMEA*")</f>
        <v>0</v>
      </c>
      <c r="E652">
        <f>COUNTIF('Metrics - Articles'!H651,"*NA*")</f>
        <v>0</v>
      </c>
      <c r="F652">
        <f>COUNTIF('Metrics - Articles'!H651,"*APJ")</f>
        <v>0</v>
      </c>
      <c r="G652">
        <f>COUNTIF('Metrics - Articles'!H651,"*LATAM*")</f>
        <v>0</v>
      </c>
      <c r="H652">
        <f>COUNTIF('Metrics - Articles'!H651,"*China*")</f>
        <v>0</v>
      </c>
      <c r="J652" s="53">
        <f t="shared" si="11"/>
        <v>0</v>
      </c>
    </row>
    <row r="653" spans="2:10" x14ac:dyDescent="0.25">
      <c r="B653" s="48">
        <f>+'Metrics - Articles'!C652</f>
        <v>0</v>
      </c>
      <c r="C653">
        <f>COUNTIF('Metrics - Articles'!H652,"*Global*")</f>
        <v>0</v>
      </c>
      <c r="D653">
        <f>COUNTIF('Metrics - Articles'!H652,"*EMEA*")</f>
        <v>0</v>
      </c>
      <c r="E653">
        <f>COUNTIF('Metrics - Articles'!H652,"*NA*")</f>
        <v>0</v>
      </c>
      <c r="F653">
        <f>COUNTIF('Metrics - Articles'!H652,"*APJ")</f>
        <v>0</v>
      </c>
      <c r="G653">
        <f>COUNTIF('Metrics - Articles'!H652,"*LATAM*")</f>
        <v>0</v>
      </c>
      <c r="H653">
        <f>COUNTIF('Metrics - Articles'!H652,"*China*")</f>
        <v>0</v>
      </c>
      <c r="J653" s="53">
        <f t="shared" si="11"/>
        <v>0</v>
      </c>
    </row>
    <row r="654" spans="2:10" x14ac:dyDescent="0.25">
      <c r="B654" s="48">
        <f>+'Metrics - Articles'!C653</f>
        <v>0</v>
      </c>
      <c r="C654">
        <f>COUNTIF('Metrics - Articles'!H653,"*Global*")</f>
        <v>0</v>
      </c>
      <c r="D654">
        <f>COUNTIF('Metrics - Articles'!H653,"*EMEA*")</f>
        <v>0</v>
      </c>
      <c r="E654">
        <f>COUNTIF('Metrics - Articles'!H653,"*NA*")</f>
        <v>0</v>
      </c>
      <c r="F654">
        <f>COUNTIF('Metrics - Articles'!H653,"*APJ")</f>
        <v>0</v>
      </c>
      <c r="G654">
        <f>COUNTIF('Metrics - Articles'!H653,"*LATAM*")</f>
        <v>0</v>
      </c>
      <c r="H654">
        <f>COUNTIF('Metrics - Articles'!H653,"*China*")</f>
        <v>0</v>
      </c>
      <c r="J654" s="53">
        <f t="shared" si="11"/>
        <v>0</v>
      </c>
    </row>
    <row r="655" spans="2:10" x14ac:dyDescent="0.25">
      <c r="B655" s="48">
        <f>+'Metrics - Articles'!C654</f>
        <v>0</v>
      </c>
      <c r="C655">
        <f>COUNTIF('Metrics - Articles'!H654,"*Global*")</f>
        <v>0</v>
      </c>
      <c r="D655">
        <f>COUNTIF('Metrics - Articles'!H654,"*EMEA*")</f>
        <v>0</v>
      </c>
      <c r="E655">
        <f>COUNTIF('Metrics - Articles'!H654,"*NA*")</f>
        <v>0</v>
      </c>
      <c r="F655">
        <f>COUNTIF('Metrics - Articles'!H654,"*APJ")</f>
        <v>0</v>
      </c>
      <c r="G655">
        <f>COUNTIF('Metrics - Articles'!H654,"*LATAM*")</f>
        <v>0</v>
      </c>
      <c r="H655">
        <f>COUNTIF('Metrics - Articles'!H654,"*China*")</f>
        <v>0</v>
      </c>
      <c r="J655" s="53">
        <f t="shared" si="11"/>
        <v>0</v>
      </c>
    </row>
    <row r="656" spans="2:10" x14ac:dyDescent="0.25">
      <c r="B656" s="48">
        <f>+'Metrics - Articles'!C655</f>
        <v>0</v>
      </c>
      <c r="C656">
        <f>COUNTIF('Metrics - Articles'!H655,"*Global*")</f>
        <v>0</v>
      </c>
      <c r="D656">
        <f>COUNTIF('Metrics - Articles'!H655,"*EMEA*")</f>
        <v>0</v>
      </c>
      <c r="E656">
        <f>COUNTIF('Metrics - Articles'!H655,"*NA*")</f>
        <v>0</v>
      </c>
      <c r="F656">
        <f>COUNTIF('Metrics - Articles'!H655,"*APJ")</f>
        <v>0</v>
      </c>
      <c r="G656">
        <f>COUNTIF('Metrics - Articles'!H655,"*LATAM*")</f>
        <v>0</v>
      </c>
      <c r="H656">
        <f>COUNTIF('Metrics - Articles'!H655,"*China*")</f>
        <v>0</v>
      </c>
      <c r="J656" s="53">
        <f t="shared" si="11"/>
        <v>0</v>
      </c>
    </row>
    <row r="657" spans="2:10" x14ac:dyDescent="0.25">
      <c r="B657" s="48">
        <f>+'Metrics - Articles'!C656</f>
        <v>0</v>
      </c>
      <c r="C657">
        <f>COUNTIF('Metrics - Articles'!H656,"*Global*")</f>
        <v>0</v>
      </c>
      <c r="D657">
        <f>COUNTIF('Metrics - Articles'!H656,"*EMEA*")</f>
        <v>0</v>
      </c>
      <c r="E657">
        <f>COUNTIF('Metrics - Articles'!H656,"*NA*")</f>
        <v>0</v>
      </c>
      <c r="F657">
        <f>COUNTIF('Metrics - Articles'!H656,"*APJ")</f>
        <v>0</v>
      </c>
      <c r="G657">
        <f>COUNTIF('Metrics - Articles'!H656,"*LATAM*")</f>
        <v>0</v>
      </c>
      <c r="H657">
        <f>COUNTIF('Metrics - Articles'!H656,"*China*")</f>
        <v>0</v>
      </c>
      <c r="J657" s="53">
        <f t="shared" si="11"/>
        <v>0</v>
      </c>
    </row>
    <row r="658" spans="2:10" x14ac:dyDescent="0.25">
      <c r="B658" s="48">
        <f>+'Metrics - Articles'!C657</f>
        <v>0</v>
      </c>
      <c r="C658">
        <f>COUNTIF('Metrics - Articles'!H657,"*Global*")</f>
        <v>0</v>
      </c>
      <c r="D658">
        <f>COUNTIF('Metrics - Articles'!H657,"*EMEA*")</f>
        <v>0</v>
      </c>
      <c r="E658">
        <f>COUNTIF('Metrics - Articles'!H657,"*NA*")</f>
        <v>0</v>
      </c>
      <c r="F658">
        <f>COUNTIF('Metrics - Articles'!H657,"*APJ")</f>
        <v>0</v>
      </c>
      <c r="G658">
        <f>COUNTIF('Metrics - Articles'!H657,"*LATAM*")</f>
        <v>0</v>
      </c>
      <c r="H658">
        <f>COUNTIF('Metrics - Articles'!H657,"*China*")</f>
        <v>0</v>
      </c>
      <c r="J658" s="53">
        <f t="shared" si="11"/>
        <v>0</v>
      </c>
    </row>
    <row r="659" spans="2:10" x14ac:dyDescent="0.25">
      <c r="B659" s="48">
        <f>+'Metrics - Articles'!C658</f>
        <v>0</v>
      </c>
      <c r="C659">
        <f>COUNTIF('Metrics - Articles'!H658,"*Global*")</f>
        <v>0</v>
      </c>
      <c r="D659">
        <f>COUNTIF('Metrics - Articles'!H658,"*EMEA*")</f>
        <v>0</v>
      </c>
      <c r="E659">
        <f>COUNTIF('Metrics - Articles'!H658,"*NA*")</f>
        <v>0</v>
      </c>
      <c r="F659">
        <f>COUNTIF('Metrics - Articles'!H658,"*APJ")</f>
        <v>0</v>
      </c>
      <c r="G659">
        <f>COUNTIF('Metrics - Articles'!H658,"*LATAM*")</f>
        <v>0</v>
      </c>
      <c r="H659">
        <f>COUNTIF('Metrics - Articles'!H658,"*China*")</f>
        <v>0</v>
      </c>
      <c r="J659" s="53">
        <f t="shared" si="11"/>
        <v>0</v>
      </c>
    </row>
    <row r="660" spans="2:10" x14ac:dyDescent="0.25">
      <c r="B660" s="48">
        <f>+'Metrics - Articles'!C659</f>
        <v>0</v>
      </c>
      <c r="C660">
        <f>COUNTIF('Metrics - Articles'!H659,"*Global*")</f>
        <v>0</v>
      </c>
      <c r="D660">
        <f>COUNTIF('Metrics - Articles'!H659,"*EMEA*")</f>
        <v>0</v>
      </c>
      <c r="E660">
        <f>COUNTIF('Metrics - Articles'!H659,"*NA*")</f>
        <v>0</v>
      </c>
      <c r="F660">
        <f>COUNTIF('Metrics - Articles'!H659,"*APJ")</f>
        <v>0</v>
      </c>
      <c r="G660">
        <f>COUNTIF('Metrics - Articles'!H659,"*LATAM*")</f>
        <v>0</v>
      </c>
      <c r="H660">
        <f>COUNTIF('Metrics - Articles'!H659,"*China*")</f>
        <v>0</v>
      </c>
      <c r="J660" s="53">
        <f t="shared" si="11"/>
        <v>0</v>
      </c>
    </row>
    <row r="661" spans="2:10" x14ac:dyDescent="0.25">
      <c r="B661" s="48">
        <f>+'Metrics - Articles'!C660</f>
        <v>0</v>
      </c>
      <c r="C661">
        <f>COUNTIF('Metrics - Articles'!H660,"*Global*")</f>
        <v>0</v>
      </c>
      <c r="D661">
        <f>COUNTIF('Metrics - Articles'!H660,"*EMEA*")</f>
        <v>0</v>
      </c>
      <c r="E661">
        <f>COUNTIF('Metrics - Articles'!H660,"*NA*")</f>
        <v>0</v>
      </c>
      <c r="F661">
        <f>COUNTIF('Metrics - Articles'!H660,"*APJ")</f>
        <v>0</v>
      </c>
      <c r="G661">
        <f>COUNTIF('Metrics - Articles'!H660,"*LATAM*")</f>
        <v>0</v>
      </c>
      <c r="H661">
        <f>COUNTIF('Metrics - Articles'!H660,"*China*")</f>
        <v>0</v>
      </c>
      <c r="J661" s="53">
        <f t="shared" si="11"/>
        <v>0</v>
      </c>
    </row>
    <row r="662" spans="2:10" x14ac:dyDescent="0.25">
      <c r="B662" s="48">
        <f>+'Metrics - Articles'!C661</f>
        <v>0</v>
      </c>
      <c r="C662">
        <f>COUNTIF('Metrics - Articles'!H661,"*Global*")</f>
        <v>0</v>
      </c>
      <c r="D662">
        <f>COUNTIF('Metrics - Articles'!H661,"*EMEA*")</f>
        <v>0</v>
      </c>
      <c r="E662">
        <f>COUNTIF('Metrics - Articles'!H661,"*NA*")</f>
        <v>0</v>
      </c>
      <c r="F662">
        <f>COUNTIF('Metrics - Articles'!H661,"*APJ")</f>
        <v>0</v>
      </c>
      <c r="G662">
        <f>COUNTIF('Metrics - Articles'!H661,"*LATAM*")</f>
        <v>0</v>
      </c>
      <c r="H662">
        <f>COUNTIF('Metrics - Articles'!H661,"*China*")</f>
        <v>0</v>
      </c>
      <c r="J662" s="53">
        <f t="shared" si="11"/>
        <v>0</v>
      </c>
    </row>
    <row r="663" spans="2:10" x14ac:dyDescent="0.25">
      <c r="B663" s="48">
        <f>+'Metrics - Articles'!C662</f>
        <v>0</v>
      </c>
      <c r="C663">
        <f>COUNTIF('Metrics - Articles'!H662,"*Global*")</f>
        <v>0</v>
      </c>
      <c r="D663">
        <f>COUNTIF('Metrics - Articles'!H662,"*EMEA*")</f>
        <v>0</v>
      </c>
      <c r="E663">
        <f>COUNTIF('Metrics - Articles'!H662,"*NA*")</f>
        <v>0</v>
      </c>
      <c r="F663">
        <f>COUNTIF('Metrics - Articles'!H662,"*APJ")</f>
        <v>0</v>
      </c>
      <c r="G663">
        <f>COUNTIF('Metrics - Articles'!H662,"*LATAM*")</f>
        <v>0</v>
      </c>
      <c r="H663">
        <f>COUNTIF('Metrics - Articles'!H662,"*China*")</f>
        <v>0</v>
      </c>
      <c r="J663" s="53">
        <f t="shared" si="11"/>
        <v>0</v>
      </c>
    </row>
    <row r="664" spans="2:10" x14ac:dyDescent="0.25">
      <c r="B664" s="48">
        <f>+'Metrics - Articles'!C663</f>
        <v>0</v>
      </c>
      <c r="C664">
        <f>COUNTIF('Metrics - Articles'!H663,"*Global*")</f>
        <v>0</v>
      </c>
      <c r="D664">
        <f>COUNTIF('Metrics - Articles'!H663,"*EMEA*")</f>
        <v>0</v>
      </c>
      <c r="E664">
        <f>COUNTIF('Metrics - Articles'!H663,"*NA*")</f>
        <v>0</v>
      </c>
      <c r="F664">
        <f>COUNTIF('Metrics - Articles'!H663,"*APJ")</f>
        <v>0</v>
      </c>
      <c r="G664">
        <f>COUNTIF('Metrics - Articles'!H663,"*LATAM*")</f>
        <v>0</v>
      </c>
      <c r="H664">
        <f>COUNTIF('Metrics - Articles'!H663,"*China*")</f>
        <v>0</v>
      </c>
      <c r="J664" s="53">
        <f t="shared" si="11"/>
        <v>0</v>
      </c>
    </row>
    <row r="665" spans="2:10" x14ac:dyDescent="0.25">
      <c r="B665" s="48">
        <f>+'Metrics - Articles'!C664</f>
        <v>0</v>
      </c>
      <c r="C665">
        <f>COUNTIF('Metrics - Articles'!H664,"*Global*")</f>
        <v>0</v>
      </c>
      <c r="D665">
        <f>COUNTIF('Metrics - Articles'!H664,"*EMEA*")</f>
        <v>0</v>
      </c>
      <c r="E665">
        <f>COUNTIF('Metrics - Articles'!H664,"*NA*")</f>
        <v>0</v>
      </c>
      <c r="F665">
        <f>COUNTIF('Metrics - Articles'!H664,"*APJ")</f>
        <v>0</v>
      </c>
      <c r="G665">
        <f>COUNTIF('Metrics - Articles'!H664,"*LATAM*")</f>
        <v>0</v>
      </c>
      <c r="H665">
        <f>COUNTIF('Metrics - Articles'!H664,"*China*")</f>
        <v>0</v>
      </c>
      <c r="J665" s="53">
        <f t="shared" si="11"/>
        <v>0</v>
      </c>
    </row>
    <row r="666" spans="2:10" x14ac:dyDescent="0.25">
      <c r="B666" s="48">
        <f>+'Metrics - Articles'!C665</f>
        <v>0</v>
      </c>
      <c r="C666">
        <f>COUNTIF('Metrics - Articles'!H665,"*Global*")</f>
        <v>0</v>
      </c>
      <c r="D666">
        <f>COUNTIF('Metrics - Articles'!H665,"*EMEA*")</f>
        <v>0</v>
      </c>
      <c r="E666">
        <f>COUNTIF('Metrics - Articles'!H665,"*NA*")</f>
        <v>0</v>
      </c>
      <c r="F666">
        <f>COUNTIF('Metrics - Articles'!H665,"*APJ")</f>
        <v>0</v>
      </c>
      <c r="G666">
        <f>COUNTIF('Metrics - Articles'!H665,"*LATAM*")</f>
        <v>0</v>
      </c>
      <c r="H666">
        <f>COUNTIF('Metrics - Articles'!H665,"*China*")</f>
        <v>0</v>
      </c>
      <c r="J666" s="53">
        <f t="shared" si="11"/>
        <v>0</v>
      </c>
    </row>
    <row r="667" spans="2:10" x14ac:dyDescent="0.25">
      <c r="B667" s="48">
        <f>+'Metrics - Articles'!C666</f>
        <v>0</v>
      </c>
      <c r="C667">
        <f>COUNTIF('Metrics - Articles'!H666,"*Global*")</f>
        <v>0</v>
      </c>
      <c r="D667">
        <f>COUNTIF('Metrics - Articles'!H666,"*EMEA*")</f>
        <v>0</v>
      </c>
      <c r="E667">
        <f>COUNTIF('Metrics - Articles'!H666,"*NA*")</f>
        <v>0</v>
      </c>
      <c r="F667">
        <f>COUNTIF('Metrics - Articles'!H666,"*APJ")</f>
        <v>0</v>
      </c>
      <c r="G667">
        <f>COUNTIF('Metrics - Articles'!H666,"*LATAM*")</f>
        <v>0</v>
      </c>
      <c r="H667">
        <f>COUNTIF('Metrics - Articles'!H666,"*China*")</f>
        <v>0</v>
      </c>
      <c r="J667" s="53">
        <f t="shared" si="11"/>
        <v>0</v>
      </c>
    </row>
    <row r="668" spans="2:10" x14ac:dyDescent="0.25">
      <c r="B668" s="48">
        <f>+'Metrics - Articles'!C667</f>
        <v>0</v>
      </c>
      <c r="C668">
        <f>COUNTIF('Metrics - Articles'!H667,"*Global*")</f>
        <v>0</v>
      </c>
      <c r="D668">
        <f>COUNTIF('Metrics - Articles'!H667,"*EMEA*")</f>
        <v>0</v>
      </c>
      <c r="E668">
        <f>COUNTIF('Metrics - Articles'!H667,"*NA*")</f>
        <v>0</v>
      </c>
      <c r="F668">
        <f>COUNTIF('Metrics - Articles'!H667,"*APJ")</f>
        <v>0</v>
      </c>
      <c r="G668">
        <f>COUNTIF('Metrics - Articles'!H667,"*LATAM*")</f>
        <v>0</v>
      </c>
      <c r="H668">
        <f>COUNTIF('Metrics - Articles'!H667,"*China*")</f>
        <v>0</v>
      </c>
      <c r="J668" s="53">
        <f t="shared" si="11"/>
        <v>0</v>
      </c>
    </row>
    <row r="669" spans="2:10" x14ac:dyDescent="0.25">
      <c r="B669" s="48">
        <f>+'Metrics - Articles'!C668</f>
        <v>0</v>
      </c>
      <c r="C669">
        <f>COUNTIF('Metrics - Articles'!H668,"*Global*")</f>
        <v>0</v>
      </c>
      <c r="D669">
        <f>COUNTIF('Metrics - Articles'!H668,"*EMEA*")</f>
        <v>0</v>
      </c>
      <c r="E669">
        <f>COUNTIF('Metrics - Articles'!H668,"*NA*")</f>
        <v>0</v>
      </c>
      <c r="F669">
        <f>COUNTIF('Metrics - Articles'!H668,"*APJ")</f>
        <v>0</v>
      </c>
      <c r="G669">
        <f>COUNTIF('Metrics - Articles'!H668,"*LATAM*")</f>
        <v>0</v>
      </c>
      <c r="H669">
        <f>COUNTIF('Metrics - Articles'!H668,"*China*")</f>
        <v>0</v>
      </c>
      <c r="J669" s="53">
        <f t="shared" si="11"/>
        <v>0</v>
      </c>
    </row>
    <row r="670" spans="2:10" x14ac:dyDescent="0.25">
      <c r="B670" s="48">
        <f>+'Metrics - Articles'!C669</f>
        <v>0</v>
      </c>
      <c r="C670">
        <f>COUNTIF('Metrics - Articles'!H669,"*Global*")</f>
        <v>0</v>
      </c>
      <c r="D670">
        <f>COUNTIF('Metrics - Articles'!H669,"*EMEA*")</f>
        <v>0</v>
      </c>
      <c r="E670">
        <f>COUNTIF('Metrics - Articles'!H669,"*NA*")</f>
        <v>0</v>
      </c>
      <c r="F670">
        <f>COUNTIF('Metrics - Articles'!H669,"*APJ")</f>
        <v>0</v>
      </c>
      <c r="G670">
        <f>COUNTIF('Metrics - Articles'!H669,"*LATAM*")</f>
        <v>0</v>
      </c>
      <c r="H670">
        <f>COUNTIF('Metrics - Articles'!H669,"*China*")</f>
        <v>0</v>
      </c>
      <c r="J670" s="53">
        <f t="shared" si="11"/>
        <v>0</v>
      </c>
    </row>
    <row r="671" spans="2:10" x14ac:dyDescent="0.25">
      <c r="B671" s="48">
        <f>+'Metrics - Articles'!C670</f>
        <v>0</v>
      </c>
      <c r="C671">
        <f>COUNTIF('Metrics - Articles'!H670,"*Global*")</f>
        <v>0</v>
      </c>
      <c r="D671">
        <f>COUNTIF('Metrics - Articles'!H670,"*EMEA*")</f>
        <v>0</v>
      </c>
      <c r="E671">
        <f>COUNTIF('Metrics - Articles'!H670,"*NA*")</f>
        <v>0</v>
      </c>
      <c r="F671">
        <f>COUNTIF('Metrics - Articles'!H670,"*APJ")</f>
        <v>0</v>
      </c>
      <c r="G671">
        <f>COUNTIF('Metrics - Articles'!H670,"*LATAM*")</f>
        <v>0</v>
      </c>
      <c r="H671">
        <f>COUNTIF('Metrics - Articles'!H670,"*China*")</f>
        <v>0</v>
      </c>
      <c r="J671" s="53">
        <f t="shared" si="11"/>
        <v>0</v>
      </c>
    </row>
    <row r="672" spans="2:10" x14ac:dyDescent="0.25">
      <c r="B672" s="48">
        <f>+'Metrics - Articles'!C671</f>
        <v>0</v>
      </c>
      <c r="C672">
        <f>COUNTIF('Metrics - Articles'!H671,"*Global*")</f>
        <v>0</v>
      </c>
      <c r="D672">
        <f>COUNTIF('Metrics - Articles'!H671,"*EMEA*")</f>
        <v>0</v>
      </c>
      <c r="E672">
        <f>COUNTIF('Metrics - Articles'!H671,"*NA*")</f>
        <v>0</v>
      </c>
      <c r="F672">
        <f>COUNTIF('Metrics - Articles'!H671,"*APJ")</f>
        <v>0</v>
      </c>
      <c r="G672">
        <f>COUNTIF('Metrics - Articles'!H671,"*LATAM*")</f>
        <v>0</v>
      </c>
      <c r="H672">
        <f>COUNTIF('Metrics - Articles'!H671,"*China*")</f>
        <v>0</v>
      </c>
      <c r="J672" s="53">
        <f t="shared" si="11"/>
        <v>0</v>
      </c>
    </row>
    <row r="673" spans="2:10" x14ac:dyDescent="0.25">
      <c r="B673" s="48">
        <f>+'Metrics - Articles'!C672</f>
        <v>0</v>
      </c>
      <c r="C673">
        <f>COUNTIF('Metrics - Articles'!H672,"*Global*")</f>
        <v>0</v>
      </c>
      <c r="D673">
        <f>COUNTIF('Metrics - Articles'!H672,"*EMEA*")</f>
        <v>0</v>
      </c>
      <c r="E673">
        <f>COUNTIF('Metrics - Articles'!H672,"*NA*")</f>
        <v>0</v>
      </c>
      <c r="F673">
        <f>COUNTIF('Metrics - Articles'!H672,"*APJ")</f>
        <v>0</v>
      </c>
      <c r="G673">
        <f>COUNTIF('Metrics - Articles'!H672,"*LATAM*")</f>
        <v>0</v>
      </c>
      <c r="H673">
        <f>COUNTIF('Metrics - Articles'!H672,"*China*")</f>
        <v>0</v>
      </c>
      <c r="J673" s="53">
        <f t="shared" si="11"/>
        <v>0</v>
      </c>
    </row>
    <row r="674" spans="2:10" x14ac:dyDescent="0.25">
      <c r="B674" s="48">
        <f>+'Metrics - Articles'!C673</f>
        <v>0</v>
      </c>
      <c r="C674">
        <f>COUNTIF('Metrics - Articles'!H673,"*Global*")</f>
        <v>0</v>
      </c>
      <c r="D674">
        <f>COUNTIF('Metrics - Articles'!H673,"*EMEA*")</f>
        <v>0</v>
      </c>
      <c r="E674">
        <f>COUNTIF('Metrics - Articles'!H673,"*NA*")</f>
        <v>0</v>
      </c>
      <c r="F674">
        <f>COUNTIF('Metrics - Articles'!H673,"*APJ")</f>
        <v>0</v>
      </c>
      <c r="G674">
        <f>COUNTIF('Metrics - Articles'!H673,"*LATAM*")</f>
        <v>0</v>
      </c>
      <c r="H674">
        <f>COUNTIF('Metrics - Articles'!H673,"*China*")</f>
        <v>0</v>
      </c>
      <c r="J674" s="53">
        <f t="shared" si="11"/>
        <v>0</v>
      </c>
    </row>
    <row r="675" spans="2:10" x14ac:dyDescent="0.25">
      <c r="B675" s="48">
        <f>+'Metrics - Articles'!C674</f>
        <v>0</v>
      </c>
      <c r="C675">
        <f>COUNTIF('Metrics - Articles'!H674,"*Global*")</f>
        <v>0</v>
      </c>
      <c r="D675">
        <f>COUNTIF('Metrics - Articles'!H674,"*EMEA*")</f>
        <v>0</v>
      </c>
      <c r="E675">
        <f>COUNTIF('Metrics - Articles'!H674,"*NA*")</f>
        <v>0</v>
      </c>
      <c r="F675">
        <f>COUNTIF('Metrics - Articles'!H674,"*APJ")</f>
        <v>0</v>
      </c>
      <c r="G675">
        <f>COUNTIF('Metrics - Articles'!H674,"*LATAM*")</f>
        <v>0</v>
      </c>
      <c r="H675">
        <f>COUNTIF('Metrics - Articles'!H674,"*China*")</f>
        <v>0</v>
      </c>
      <c r="J675" s="53">
        <f t="shared" si="11"/>
        <v>0</v>
      </c>
    </row>
    <row r="676" spans="2:10" x14ac:dyDescent="0.25">
      <c r="B676" s="48">
        <f>+'Metrics - Articles'!C675</f>
        <v>0</v>
      </c>
      <c r="C676">
        <f>COUNTIF('Metrics - Articles'!H675,"*Global*")</f>
        <v>0</v>
      </c>
      <c r="D676">
        <f>COUNTIF('Metrics - Articles'!H675,"*EMEA*")</f>
        <v>0</v>
      </c>
      <c r="E676">
        <f>COUNTIF('Metrics - Articles'!H675,"*NA*")</f>
        <v>0</v>
      </c>
      <c r="F676">
        <f>COUNTIF('Metrics - Articles'!H675,"*APJ")</f>
        <v>0</v>
      </c>
      <c r="G676">
        <f>COUNTIF('Metrics - Articles'!H675,"*LATAM*")</f>
        <v>0</v>
      </c>
      <c r="H676">
        <f>COUNTIF('Metrics - Articles'!H675,"*China*")</f>
        <v>0</v>
      </c>
      <c r="J676" s="53">
        <f t="shared" si="11"/>
        <v>0</v>
      </c>
    </row>
    <row r="677" spans="2:10" x14ac:dyDescent="0.25">
      <c r="B677" s="48">
        <f>+'Metrics - Articles'!C676</f>
        <v>0</v>
      </c>
      <c r="C677">
        <f>COUNTIF('Metrics - Articles'!H676,"*Global*")</f>
        <v>0</v>
      </c>
      <c r="D677">
        <f>COUNTIF('Metrics - Articles'!H676,"*EMEA*")</f>
        <v>0</v>
      </c>
      <c r="E677">
        <f>COUNTIF('Metrics - Articles'!H676,"*NA*")</f>
        <v>0</v>
      </c>
      <c r="F677">
        <f>COUNTIF('Metrics - Articles'!H676,"*APJ")</f>
        <v>0</v>
      </c>
      <c r="G677">
        <f>COUNTIF('Metrics - Articles'!H676,"*LATAM*")</f>
        <v>0</v>
      </c>
      <c r="H677">
        <f>COUNTIF('Metrics - Articles'!H676,"*China*")</f>
        <v>0</v>
      </c>
      <c r="J677" s="53">
        <f t="shared" si="11"/>
        <v>0</v>
      </c>
    </row>
    <row r="678" spans="2:10" x14ac:dyDescent="0.25">
      <c r="B678" s="48">
        <f>+'Metrics - Articles'!C677</f>
        <v>0</v>
      </c>
      <c r="C678">
        <f>COUNTIF('Metrics - Articles'!H677,"*Global*")</f>
        <v>0</v>
      </c>
      <c r="D678">
        <f>COUNTIF('Metrics - Articles'!H677,"*EMEA*")</f>
        <v>0</v>
      </c>
      <c r="E678">
        <f>COUNTIF('Metrics - Articles'!H677,"*NA*")</f>
        <v>0</v>
      </c>
      <c r="F678">
        <f>COUNTIF('Metrics - Articles'!H677,"*APJ")</f>
        <v>0</v>
      </c>
      <c r="G678">
        <f>COUNTIF('Metrics - Articles'!H677,"*LATAM*")</f>
        <v>0</v>
      </c>
      <c r="H678">
        <f>COUNTIF('Metrics - Articles'!H677,"*China*")</f>
        <v>0</v>
      </c>
      <c r="J678" s="53">
        <f t="shared" si="11"/>
        <v>0</v>
      </c>
    </row>
    <row r="679" spans="2:10" x14ac:dyDescent="0.25">
      <c r="B679" s="48">
        <f>+'Metrics - Articles'!C678</f>
        <v>0</v>
      </c>
      <c r="C679">
        <f>COUNTIF('Metrics - Articles'!H678,"*Global*")</f>
        <v>0</v>
      </c>
      <c r="D679">
        <f>COUNTIF('Metrics - Articles'!H678,"*EMEA*")</f>
        <v>0</v>
      </c>
      <c r="E679">
        <f>COUNTIF('Metrics - Articles'!H678,"*NA*")</f>
        <v>0</v>
      </c>
      <c r="F679">
        <f>COUNTIF('Metrics - Articles'!H678,"*APJ")</f>
        <v>0</v>
      </c>
      <c r="G679">
        <f>COUNTIF('Metrics - Articles'!H678,"*LATAM*")</f>
        <v>0</v>
      </c>
      <c r="H679">
        <f>COUNTIF('Metrics - Articles'!H678,"*China*")</f>
        <v>0</v>
      </c>
      <c r="J679" s="53">
        <f t="shared" si="11"/>
        <v>0</v>
      </c>
    </row>
    <row r="680" spans="2:10" x14ac:dyDescent="0.25">
      <c r="B680" s="48">
        <f>+'Metrics - Articles'!C679</f>
        <v>0</v>
      </c>
      <c r="C680">
        <f>COUNTIF('Metrics - Articles'!H679,"*Global*")</f>
        <v>0</v>
      </c>
      <c r="D680">
        <f>COUNTIF('Metrics - Articles'!H679,"*EMEA*")</f>
        <v>0</v>
      </c>
      <c r="E680">
        <f>COUNTIF('Metrics - Articles'!H679,"*NA*")</f>
        <v>0</v>
      </c>
      <c r="F680">
        <f>COUNTIF('Metrics - Articles'!H679,"*APJ")</f>
        <v>0</v>
      </c>
      <c r="G680">
        <f>COUNTIF('Metrics - Articles'!H679,"*LATAM*")</f>
        <v>0</v>
      </c>
      <c r="H680">
        <f>COUNTIF('Metrics - Articles'!H679,"*China*")</f>
        <v>0</v>
      </c>
      <c r="J680" s="53">
        <f t="shared" si="11"/>
        <v>0</v>
      </c>
    </row>
    <row r="681" spans="2:10" x14ac:dyDescent="0.25">
      <c r="B681" s="48">
        <f>+'Metrics - Articles'!C680</f>
        <v>0</v>
      </c>
      <c r="C681">
        <f>COUNTIF('Metrics - Articles'!H680,"*Global*")</f>
        <v>0</v>
      </c>
      <c r="D681">
        <f>COUNTIF('Metrics - Articles'!H680,"*EMEA*")</f>
        <v>0</v>
      </c>
      <c r="E681">
        <f>COUNTIF('Metrics - Articles'!H680,"*NA*")</f>
        <v>0</v>
      </c>
      <c r="F681">
        <f>COUNTIF('Metrics - Articles'!H680,"*APJ")</f>
        <v>0</v>
      </c>
      <c r="G681">
        <f>COUNTIF('Metrics - Articles'!H680,"*LATAM*")</f>
        <v>0</v>
      </c>
      <c r="H681">
        <f>COUNTIF('Metrics - Articles'!H680,"*China*")</f>
        <v>0</v>
      </c>
      <c r="J681" s="53">
        <f t="shared" si="11"/>
        <v>0</v>
      </c>
    </row>
    <row r="682" spans="2:10" x14ac:dyDescent="0.25">
      <c r="B682" s="48">
        <f>+'Metrics - Articles'!C681</f>
        <v>0</v>
      </c>
      <c r="C682">
        <f>COUNTIF('Metrics - Articles'!H681,"*Global*")</f>
        <v>0</v>
      </c>
      <c r="D682">
        <f>COUNTIF('Metrics - Articles'!H681,"*EMEA*")</f>
        <v>0</v>
      </c>
      <c r="E682">
        <f>COUNTIF('Metrics - Articles'!H681,"*NA*")</f>
        <v>0</v>
      </c>
      <c r="F682">
        <f>COUNTIF('Metrics - Articles'!H681,"*APJ")</f>
        <v>0</v>
      </c>
      <c r="G682">
        <f>COUNTIF('Metrics - Articles'!H681,"*LATAM*")</f>
        <v>0</v>
      </c>
      <c r="H682">
        <f>COUNTIF('Metrics - Articles'!H681,"*China*")</f>
        <v>0</v>
      </c>
      <c r="J682" s="53">
        <f t="shared" si="11"/>
        <v>0</v>
      </c>
    </row>
    <row r="683" spans="2:10" x14ac:dyDescent="0.25">
      <c r="B683" s="48">
        <f>+'Metrics - Articles'!C682</f>
        <v>0</v>
      </c>
      <c r="C683">
        <f>COUNTIF('Metrics - Articles'!H682,"*Global*")</f>
        <v>0</v>
      </c>
      <c r="D683">
        <f>COUNTIF('Metrics - Articles'!H682,"*EMEA*")</f>
        <v>0</v>
      </c>
      <c r="E683">
        <f>COUNTIF('Metrics - Articles'!H682,"*NA*")</f>
        <v>0</v>
      </c>
      <c r="F683">
        <f>COUNTIF('Metrics - Articles'!H682,"*APJ")</f>
        <v>0</v>
      </c>
      <c r="G683">
        <f>COUNTIF('Metrics - Articles'!H682,"*LATAM*")</f>
        <v>0</v>
      </c>
      <c r="H683">
        <f>COUNTIF('Metrics - Articles'!H682,"*China*")</f>
        <v>0</v>
      </c>
      <c r="J683" s="53">
        <f t="shared" si="11"/>
        <v>0</v>
      </c>
    </row>
    <row r="684" spans="2:10" x14ac:dyDescent="0.25">
      <c r="B684" s="48">
        <f>+'Metrics - Articles'!C683</f>
        <v>0</v>
      </c>
      <c r="C684">
        <f>COUNTIF('Metrics - Articles'!H683,"*Global*")</f>
        <v>0</v>
      </c>
      <c r="D684">
        <f>COUNTIF('Metrics - Articles'!H683,"*EMEA*")</f>
        <v>0</v>
      </c>
      <c r="E684">
        <f>COUNTIF('Metrics - Articles'!H683,"*NA*")</f>
        <v>0</v>
      </c>
      <c r="F684">
        <f>COUNTIF('Metrics - Articles'!H683,"*APJ")</f>
        <v>0</v>
      </c>
      <c r="G684">
        <f>COUNTIF('Metrics - Articles'!H683,"*LATAM*")</f>
        <v>0</v>
      </c>
      <c r="H684">
        <f>COUNTIF('Metrics - Articles'!H683,"*China*")</f>
        <v>0</v>
      </c>
      <c r="J684" s="53">
        <f t="shared" si="11"/>
        <v>0</v>
      </c>
    </row>
    <row r="685" spans="2:10" x14ac:dyDescent="0.25">
      <c r="B685" s="48">
        <f>+'Metrics - Articles'!C684</f>
        <v>0</v>
      </c>
      <c r="C685">
        <f>COUNTIF('Metrics - Articles'!H684,"*Global*")</f>
        <v>0</v>
      </c>
      <c r="D685">
        <f>COUNTIF('Metrics - Articles'!H684,"*EMEA*")</f>
        <v>0</v>
      </c>
      <c r="E685">
        <f>COUNTIF('Metrics - Articles'!H684,"*NA*")</f>
        <v>0</v>
      </c>
      <c r="F685">
        <f>COUNTIF('Metrics - Articles'!H684,"*APJ")</f>
        <v>0</v>
      </c>
      <c r="G685">
        <f>COUNTIF('Metrics - Articles'!H684,"*LATAM*")</f>
        <v>0</v>
      </c>
      <c r="H685">
        <f>COUNTIF('Metrics - Articles'!H684,"*China*")</f>
        <v>0</v>
      </c>
      <c r="J685" s="53">
        <f t="shared" si="11"/>
        <v>0</v>
      </c>
    </row>
    <row r="686" spans="2:10" x14ac:dyDescent="0.25">
      <c r="B686" s="48">
        <f>+'Metrics - Articles'!C685</f>
        <v>0</v>
      </c>
      <c r="C686">
        <f>COUNTIF('Metrics - Articles'!H685,"*Global*")</f>
        <v>0</v>
      </c>
      <c r="D686">
        <f>COUNTIF('Metrics - Articles'!H685,"*EMEA*")</f>
        <v>0</v>
      </c>
      <c r="E686">
        <f>COUNTIF('Metrics - Articles'!H685,"*NA*")</f>
        <v>0</v>
      </c>
      <c r="F686">
        <f>COUNTIF('Metrics - Articles'!H685,"*APJ")</f>
        <v>0</v>
      </c>
      <c r="G686">
        <f>COUNTIF('Metrics - Articles'!H685,"*LATAM*")</f>
        <v>0</v>
      </c>
      <c r="H686">
        <f>COUNTIF('Metrics - Articles'!H685,"*China*")</f>
        <v>0</v>
      </c>
      <c r="J686" s="53">
        <f t="shared" si="11"/>
        <v>0</v>
      </c>
    </row>
    <row r="687" spans="2:10" x14ac:dyDescent="0.25">
      <c r="B687" s="48">
        <f>+'Metrics - Articles'!C686</f>
        <v>0</v>
      </c>
      <c r="C687">
        <f>COUNTIF('Metrics - Articles'!H686,"*Global*")</f>
        <v>0</v>
      </c>
      <c r="D687">
        <f>COUNTIF('Metrics - Articles'!H686,"*EMEA*")</f>
        <v>0</v>
      </c>
      <c r="E687">
        <f>COUNTIF('Metrics - Articles'!H686,"*NA*")</f>
        <v>0</v>
      </c>
      <c r="F687">
        <f>COUNTIF('Metrics - Articles'!H686,"*APJ")</f>
        <v>0</v>
      </c>
      <c r="G687">
        <f>COUNTIF('Metrics - Articles'!H686,"*LATAM*")</f>
        <v>0</v>
      </c>
      <c r="H687">
        <f>COUNTIF('Metrics - Articles'!H686,"*China*")</f>
        <v>0</v>
      </c>
      <c r="J687" s="53">
        <f t="shared" si="11"/>
        <v>0</v>
      </c>
    </row>
    <row r="688" spans="2:10" x14ac:dyDescent="0.25">
      <c r="B688" s="48">
        <f>+'Metrics - Articles'!C687</f>
        <v>0</v>
      </c>
      <c r="C688">
        <f>COUNTIF('Metrics - Articles'!H687,"*Global*")</f>
        <v>0</v>
      </c>
      <c r="D688">
        <f>COUNTIF('Metrics - Articles'!H687,"*EMEA*")</f>
        <v>0</v>
      </c>
      <c r="E688">
        <f>COUNTIF('Metrics - Articles'!H687,"*NA*")</f>
        <v>0</v>
      </c>
      <c r="F688">
        <f>COUNTIF('Metrics - Articles'!H687,"*APJ")</f>
        <v>0</v>
      </c>
      <c r="G688">
        <f>COUNTIF('Metrics - Articles'!H687,"*LATAM*")</f>
        <v>0</v>
      </c>
      <c r="H688">
        <f>COUNTIF('Metrics - Articles'!H687,"*China*")</f>
        <v>0</v>
      </c>
      <c r="J688" s="53">
        <f t="shared" si="11"/>
        <v>0</v>
      </c>
    </row>
    <row r="689" spans="2:10" x14ac:dyDescent="0.25">
      <c r="B689" s="48">
        <f>+'Metrics - Articles'!C688</f>
        <v>0</v>
      </c>
      <c r="C689">
        <f>COUNTIF('Metrics - Articles'!H688,"*Global*")</f>
        <v>0</v>
      </c>
      <c r="D689">
        <f>COUNTIF('Metrics - Articles'!H688,"*EMEA*")</f>
        <v>0</v>
      </c>
      <c r="E689">
        <f>COUNTIF('Metrics - Articles'!H688,"*NA*")</f>
        <v>0</v>
      </c>
      <c r="F689">
        <f>COUNTIF('Metrics - Articles'!H688,"*APJ")</f>
        <v>0</v>
      </c>
      <c r="G689">
        <f>COUNTIF('Metrics - Articles'!H688,"*LATAM*")</f>
        <v>0</v>
      </c>
      <c r="H689">
        <f>COUNTIF('Metrics - Articles'!H688,"*China*")</f>
        <v>0</v>
      </c>
      <c r="J689" s="53">
        <f t="shared" si="11"/>
        <v>0</v>
      </c>
    </row>
    <row r="690" spans="2:10" x14ac:dyDescent="0.25">
      <c r="B690" s="48">
        <f>+'Metrics - Articles'!C689</f>
        <v>0</v>
      </c>
      <c r="C690">
        <f>COUNTIF('Metrics - Articles'!H689,"*Global*")</f>
        <v>0</v>
      </c>
      <c r="D690">
        <f>COUNTIF('Metrics - Articles'!H689,"*EMEA*")</f>
        <v>0</v>
      </c>
      <c r="E690">
        <f>COUNTIF('Metrics - Articles'!H689,"*NA*")</f>
        <v>0</v>
      </c>
      <c r="F690">
        <f>COUNTIF('Metrics - Articles'!H689,"*APJ")</f>
        <v>0</v>
      </c>
      <c r="G690">
        <f>COUNTIF('Metrics - Articles'!H689,"*LATAM*")</f>
        <v>0</v>
      </c>
      <c r="H690">
        <f>COUNTIF('Metrics - Articles'!H689,"*China*")</f>
        <v>0</v>
      </c>
      <c r="J690" s="53">
        <f t="shared" si="11"/>
        <v>0</v>
      </c>
    </row>
    <row r="691" spans="2:10" x14ac:dyDescent="0.25">
      <c r="B691" s="48">
        <f>+'Metrics - Articles'!C690</f>
        <v>0</v>
      </c>
      <c r="C691">
        <f>COUNTIF('Metrics - Articles'!H690,"*Global*")</f>
        <v>0</v>
      </c>
      <c r="D691">
        <f>COUNTIF('Metrics - Articles'!H690,"*EMEA*")</f>
        <v>0</v>
      </c>
      <c r="E691">
        <f>COUNTIF('Metrics - Articles'!H690,"*NA*")</f>
        <v>0</v>
      </c>
      <c r="F691">
        <f>COUNTIF('Metrics - Articles'!H690,"*APJ")</f>
        <v>0</v>
      </c>
      <c r="G691">
        <f>COUNTIF('Metrics - Articles'!H690,"*LATAM*")</f>
        <v>0</v>
      </c>
      <c r="H691">
        <f>COUNTIF('Metrics - Articles'!H690,"*China*")</f>
        <v>0</v>
      </c>
      <c r="J691" s="53">
        <f t="shared" si="11"/>
        <v>0</v>
      </c>
    </row>
    <row r="692" spans="2:10" x14ac:dyDescent="0.25">
      <c r="B692" s="48">
        <f>+'Metrics - Articles'!C691</f>
        <v>0</v>
      </c>
      <c r="C692">
        <f>COUNTIF('Metrics - Articles'!H691,"*Global*")</f>
        <v>0</v>
      </c>
      <c r="D692">
        <f>COUNTIF('Metrics - Articles'!H691,"*EMEA*")</f>
        <v>0</v>
      </c>
      <c r="E692">
        <f>COUNTIF('Metrics - Articles'!H691,"*NA*")</f>
        <v>0</v>
      </c>
      <c r="F692">
        <f>COUNTIF('Metrics - Articles'!H691,"*APJ")</f>
        <v>0</v>
      </c>
      <c r="G692">
        <f>COUNTIF('Metrics - Articles'!H691,"*LATAM*")</f>
        <v>0</v>
      </c>
      <c r="H692">
        <f>COUNTIF('Metrics - Articles'!H691,"*China*")</f>
        <v>0</v>
      </c>
      <c r="J692" s="53">
        <f t="shared" si="11"/>
        <v>0</v>
      </c>
    </row>
    <row r="693" spans="2:10" x14ac:dyDescent="0.25">
      <c r="B693" s="48">
        <f>+'Metrics - Articles'!C692</f>
        <v>0</v>
      </c>
      <c r="C693">
        <f>COUNTIF('Metrics - Articles'!H692,"*Global*")</f>
        <v>0</v>
      </c>
      <c r="D693">
        <f>COUNTIF('Metrics - Articles'!H692,"*EMEA*")</f>
        <v>0</v>
      </c>
      <c r="E693">
        <f>COUNTIF('Metrics - Articles'!H692,"*NA*")</f>
        <v>0</v>
      </c>
      <c r="F693">
        <f>COUNTIF('Metrics - Articles'!H692,"*APJ")</f>
        <v>0</v>
      </c>
      <c r="G693">
        <f>COUNTIF('Metrics - Articles'!H692,"*LATAM*")</f>
        <v>0</v>
      </c>
      <c r="H693">
        <f>COUNTIF('Metrics - Articles'!H692,"*China*")</f>
        <v>0</v>
      </c>
      <c r="J693" s="53">
        <f t="shared" si="11"/>
        <v>0</v>
      </c>
    </row>
    <row r="694" spans="2:10" x14ac:dyDescent="0.25">
      <c r="B694" s="48">
        <f>+'Metrics - Articles'!C693</f>
        <v>0</v>
      </c>
      <c r="C694">
        <f>COUNTIF('Metrics - Articles'!H693,"*Global*")</f>
        <v>0</v>
      </c>
      <c r="D694">
        <f>COUNTIF('Metrics - Articles'!H693,"*EMEA*")</f>
        <v>0</v>
      </c>
      <c r="E694">
        <f>COUNTIF('Metrics - Articles'!H693,"*NA*")</f>
        <v>0</v>
      </c>
      <c r="F694">
        <f>COUNTIF('Metrics - Articles'!H693,"*APJ")</f>
        <v>0</v>
      </c>
      <c r="G694">
        <f>COUNTIF('Metrics - Articles'!H693,"*LATAM*")</f>
        <v>0</v>
      </c>
      <c r="H694">
        <f>COUNTIF('Metrics - Articles'!H693,"*China*")</f>
        <v>0</v>
      </c>
      <c r="J694" s="53">
        <f t="shared" si="11"/>
        <v>0</v>
      </c>
    </row>
    <row r="695" spans="2:10" x14ac:dyDescent="0.25">
      <c r="B695" s="48">
        <f>+'Metrics - Articles'!C694</f>
        <v>0</v>
      </c>
      <c r="C695">
        <f>COUNTIF('Metrics - Articles'!H694,"*Global*")</f>
        <v>0</v>
      </c>
      <c r="D695">
        <f>COUNTIF('Metrics - Articles'!H694,"*EMEA*")</f>
        <v>0</v>
      </c>
      <c r="E695">
        <f>COUNTIF('Metrics - Articles'!H694,"*NA*")</f>
        <v>0</v>
      </c>
      <c r="F695">
        <f>COUNTIF('Metrics - Articles'!H694,"*APJ")</f>
        <v>0</v>
      </c>
      <c r="G695">
        <f>COUNTIF('Metrics - Articles'!H694,"*LATAM*")</f>
        <v>0</v>
      </c>
      <c r="H695">
        <f>COUNTIF('Metrics - Articles'!H694,"*China*")</f>
        <v>0</v>
      </c>
      <c r="J695" s="53">
        <f t="shared" si="11"/>
        <v>0</v>
      </c>
    </row>
    <row r="696" spans="2:10" x14ac:dyDescent="0.25">
      <c r="B696" s="48">
        <f>+'Metrics - Articles'!C695</f>
        <v>0</v>
      </c>
      <c r="C696">
        <f>COUNTIF('Metrics - Articles'!H695,"*Global*")</f>
        <v>0</v>
      </c>
      <c r="D696">
        <f>COUNTIF('Metrics - Articles'!H695,"*EMEA*")</f>
        <v>0</v>
      </c>
      <c r="E696">
        <f>COUNTIF('Metrics - Articles'!H695,"*NA*")</f>
        <v>0</v>
      </c>
      <c r="F696">
        <f>COUNTIF('Metrics - Articles'!H695,"*APJ")</f>
        <v>0</v>
      </c>
      <c r="G696">
        <f>COUNTIF('Metrics - Articles'!H695,"*LATAM*")</f>
        <v>0</v>
      </c>
      <c r="H696">
        <f>COUNTIF('Metrics - Articles'!H695,"*China*")</f>
        <v>0</v>
      </c>
      <c r="J696" s="53">
        <f t="shared" si="11"/>
        <v>0</v>
      </c>
    </row>
    <row r="697" spans="2:10" x14ac:dyDescent="0.25">
      <c r="B697" s="48">
        <f>+'Metrics - Articles'!C696</f>
        <v>0</v>
      </c>
      <c r="C697">
        <f>COUNTIF('Metrics - Articles'!H696,"*Global*")</f>
        <v>0</v>
      </c>
      <c r="D697">
        <f>COUNTIF('Metrics - Articles'!H696,"*EMEA*")</f>
        <v>0</v>
      </c>
      <c r="E697">
        <f>COUNTIF('Metrics - Articles'!H696,"*NA*")</f>
        <v>0</v>
      </c>
      <c r="F697">
        <f>COUNTIF('Metrics - Articles'!H696,"*APJ")</f>
        <v>0</v>
      </c>
      <c r="G697">
        <f>COUNTIF('Metrics - Articles'!H696,"*LATAM*")</f>
        <v>0</v>
      </c>
      <c r="H697">
        <f>COUNTIF('Metrics - Articles'!H696,"*China*")</f>
        <v>0</v>
      </c>
      <c r="J697" s="53">
        <f t="shared" si="11"/>
        <v>0</v>
      </c>
    </row>
    <row r="698" spans="2:10" x14ac:dyDescent="0.25">
      <c r="B698" s="48">
        <f>+'Metrics - Articles'!C697</f>
        <v>0</v>
      </c>
      <c r="C698">
        <f>COUNTIF('Metrics - Articles'!H697,"*Global*")</f>
        <v>0</v>
      </c>
      <c r="D698">
        <f>COUNTIF('Metrics - Articles'!H697,"*EMEA*")</f>
        <v>0</v>
      </c>
      <c r="E698">
        <f>COUNTIF('Metrics - Articles'!H697,"*NA*")</f>
        <v>0</v>
      </c>
      <c r="F698">
        <f>COUNTIF('Metrics - Articles'!H697,"*APJ")</f>
        <v>0</v>
      </c>
      <c r="G698">
        <f>COUNTIF('Metrics - Articles'!H697,"*LATAM*")</f>
        <v>0</v>
      </c>
      <c r="H698">
        <f>COUNTIF('Metrics - Articles'!H697,"*China*")</f>
        <v>0</v>
      </c>
      <c r="J698" s="53">
        <f t="shared" si="11"/>
        <v>0</v>
      </c>
    </row>
    <row r="699" spans="2:10" x14ac:dyDescent="0.25">
      <c r="B699" s="48">
        <f>+'Metrics - Articles'!C698</f>
        <v>0</v>
      </c>
      <c r="C699">
        <f>COUNTIF('Metrics - Articles'!H698,"*Global*")</f>
        <v>0</v>
      </c>
      <c r="D699">
        <f>COUNTIF('Metrics - Articles'!H698,"*EMEA*")</f>
        <v>0</v>
      </c>
      <c r="E699">
        <f>COUNTIF('Metrics - Articles'!H698,"*NA*")</f>
        <v>0</v>
      </c>
      <c r="F699">
        <f>COUNTIF('Metrics - Articles'!H698,"*APJ")</f>
        <v>0</v>
      </c>
      <c r="G699">
        <f>COUNTIF('Metrics - Articles'!H698,"*LATAM*")</f>
        <v>0</v>
      </c>
      <c r="H699">
        <f>COUNTIF('Metrics - Articles'!H698,"*China*")</f>
        <v>0</v>
      </c>
      <c r="J699" s="53">
        <f t="shared" si="11"/>
        <v>0</v>
      </c>
    </row>
    <row r="700" spans="2:10" x14ac:dyDescent="0.25">
      <c r="B700" s="48">
        <f>+'Metrics - Articles'!C699</f>
        <v>0</v>
      </c>
      <c r="C700">
        <f>COUNTIF('Metrics - Articles'!H699,"*Global*")</f>
        <v>0</v>
      </c>
      <c r="D700">
        <f>COUNTIF('Metrics - Articles'!H699,"*EMEA*")</f>
        <v>0</v>
      </c>
      <c r="E700">
        <f>COUNTIF('Metrics - Articles'!H699,"*NA*")</f>
        <v>0</v>
      </c>
      <c r="F700">
        <f>COUNTIF('Metrics - Articles'!H699,"*APJ")</f>
        <v>0</v>
      </c>
      <c r="G700">
        <f>COUNTIF('Metrics - Articles'!H699,"*LATAM*")</f>
        <v>0</v>
      </c>
      <c r="H700">
        <f>COUNTIF('Metrics - Articles'!H699,"*China*")</f>
        <v>0</v>
      </c>
      <c r="J700" s="53">
        <f t="shared" si="11"/>
        <v>0</v>
      </c>
    </row>
    <row r="701" spans="2:10" x14ac:dyDescent="0.25">
      <c r="B701" s="48">
        <f>+'Metrics - Articles'!C700</f>
        <v>0</v>
      </c>
      <c r="C701">
        <f>COUNTIF('Metrics - Articles'!H700,"*Global*")</f>
        <v>0</v>
      </c>
      <c r="D701">
        <f>COUNTIF('Metrics - Articles'!H700,"*EMEA*")</f>
        <v>0</v>
      </c>
      <c r="E701">
        <f>COUNTIF('Metrics - Articles'!H700,"*NA*")</f>
        <v>0</v>
      </c>
      <c r="F701">
        <f>COUNTIF('Metrics - Articles'!H700,"*APJ")</f>
        <v>0</v>
      </c>
      <c r="G701">
        <f>COUNTIF('Metrics - Articles'!H700,"*LATAM*")</f>
        <v>0</v>
      </c>
      <c r="H701">
        <f>COUNTIF('Metrics - Articles'!H700,"*China*")</f>
        <v>0</v>
      </c>
      <c r="J701" s="53">
        <f t="shared" si="11"/>
        <v>0</v>
      </c>
    </row>
    <row r="702" spans="2:10" x14ac:dyDescent="0.25">
      <c r="B702" s="48">
        <f>+'Metrics - Articles'!C701</f>
        <v>0</v>
      </c>
      <c r="C702">
        <f>COUNTIF('Metrics - Articles'!H701,"*Global*")</f>
        <v>0</v>
      </c>
      <c r="D702">
        <f>COUNTIF('Metrics - Articles'!H701,"*EMEA*")</f>
        <v>0</v>
      </c>
      <c r="E702">
        <f>COUNTIF('Metrics - Articles'!H701,"*NA*")</f>
        <v>0</v>
      </c>
      <c r="F702">
        <f>COUNTIF('Metrics - Articles'!H701,"*APJ")</f>
        <v>0</v>
      </c>
      <c r="G702">
        <f>COUNTIF('Metrics - Articles'!H701,"*LATAM*")</f>
        <v>0</v>
      </c>
      <c r="H702">
        <f>COUNTIF('Metrics - Articles'!H701,"*China*")</f>
        <v>0</v>
      </c>
      <c r="J702" s="53">
        <f t="shared" si="11"/>
        <v>0</v>
      </c>
    </row>
    <row r="703" spans="2:10" x14ac:dyDescent="0.25">
      <c r="B703" s="48">
        <f>+'Metrics - Articles'!C702</f>
        <v>0</v>
      </c>
      <c r="C703">
        <f>COUNTIF('Metrics - Articles'!H702,"*Global*")</f>
        <v>0</v>
      </c>
      <c r="D703">
        <f>COUNTIF('Metrics - Articles'!H702,"*EMEA*")</f>
        <v>0</v>
      </c>
      <c r="E703">
        <f>COUNTIF('Metrics - Articles'!H702,"*NA*")</f>
        <v>0</v>
      </c>
      <c r="F703">
        <f>COUNTIF('Metrics - Articles'!H702,"*APJ")</f>
        <v>0</v>
      </c>
      <c r="G703">
        <f>COUNTIF('Metrics - Articles'!H702,"*LATAM*")</f>
        <v>0</v>
      </c>
      <c r="H703">
        <f>COUNTIF('Metrics - Articles'!H702,"*China*")</f>
        <v>0</v>
      </c>
      <c r="J703" s="53">
        <f t="shared" si="11"/>
        <v>0</v>
      </c>
    </row>
    <row r="704" spans="2:10" x14ac:dyDescent="0.25">
      <c r="B704" s="48">
        <f>+'Metrics - Articles'!C703</f>
        <v>0</v>
      </c>
      <c r="C704">
        <f>COUNTIF('Metrics - Articles'!H703,"*Global*")</f>
        <v>0</v>
      </c>
      <c r="D704">
        <f>COUNTIF('Metrics - Articles'!H703,"*EMEA*")</f>
        <v>0</v>
      </c>
      <c r="E704">
        <f>COUNTIF('Metrics - Articles'!H703,"*NA*")</f>
        <v>0</v>
      </c>
      <c r="F704">
        <f>COUNTIF('Metrics - Articles'!H703,"*APJ")</f>
        <v>0</v>
      </c>
      <c r="G704">
        <f>COUNTIF('Metrics - Articles'!H703,"*LATAM*")</f>
        <v>0</v>
      </c>
      <c r="H704">
        <f>COUNTIF('Metrics - Articles'!H703,"*China*")</f>
        <v>0</v>
      </c>
      <c r="J704" s="53">
        <f t="shared" si="11"/>
        <v>0</v>
      </c>
    </row>
    <row r="705" spans="2:10" x14ac:dyDescent="0.25">
      <c r="B705" s="48">
        <f>+'Metrics - Articles'!C704</f>
        <v>0</v>
      </c>
      <c r="C705">
        <f>COUNTIF('Metrics - Articles'!H704,"*Global*")</f>
        <v>0</v>
      </c>
      <c r="D705">
        <f>COUNTIF('Metrics - Articles'!H704,"*EMEA*")</f>
        <v>0</v>
      </c>
      <c r="E705">
        <f>COUNTIF('Metrics - Articles'!H704,"*NA*")</f>
        <v>0</v>
      </c>
      <c r="F705">
        <f>COUNTIF('Metrics - Articles'!H704,"*APJ")</f>
        <v>0</v>
      </c>
      <c r="G705">
        <f>COUNTIF('Metrics - Articles'!H704,"*LATAM*")</f>
        <v>0</v>
      </c>
      <c r="H705">
        <f>COUNTIF('Metrics - Articles'!H704,"*China*")</f>
        <v>0</v>
      </c>
      <c r="J705" s="53">
        <f t="shared" si="11"/>
        <v>0</v>
      </c>
    </row>
    <row r="706" spans="2:10" x14ac:dyDescent="0.25">
      <c r="B706" s="48">
        <f>+'Metrics - Articles'!C705</f>
        <v>0</v>
      </c>
      <c r="C706">
        <f>COUNTIF('Metrics - Articles'!H705,"*Global*")</f>
        <v>0</v>
      </c>
      <c r="D706">
        <f>COUNTIF('Metrics - Articles'!H705,"*EMEA*")</f>
        <v>0</v>
      </c>
      <c r="E706">
        <f>COUNTIF('Metrics - Articles'!H705,"*NA*")</f>
        <v>0</v>
      </c>
      <c r="F706">
        <f>COUNTIF('Metrics - Articles'!H705,"*APJ")</f>
        <v>0</v>
      </c>
      <c r="G706">
        <f>COUNTIF('Metrics - Articles'!H705,"*LATAM*")</f>
        <v>0</v>
      </c>
      <c r="H706">
        <f>COUNTIF('Metrics - Articles'!H705,"*China*")</f>
        <v>0</v>
      </c>
      <c r="J706" s="53">
        <f t="shared" si="11"/>
        <v>0</v>
      </c>
    </row>
    <row r="707" spans="2:10" x14ac:dyDescent="0.25">
      <c r="B707" s="48">
        <f>+'Metrics - Articles'!C706</f>
        <v>0</v>
      </c>
      <c r="C707">
        <f>COUNTIF('Metrics - Articles'!H706,"*Global*")</f>
        <v>0</v>
      </c>
      <c r="D707">
        <f>COUNTIF('Metrics - Articles'!H706,"*EMEA*")</f>
        <v>0</v>
      </c>
      <c r="E707">
        <f>COUNTIF('Metrics - Articles'!H706,"*NA*")</f>
        <v>0</v>
      </c>
      <c r="F707">
        <f>COUNTIF('Metrics - Articles'!H706,"*APJ")</f>
        <v>0</v>
      </c>
      <c r="G707">
        <f>COUNTIF('Metrics - Articles'!H706,"*LATAM*")</f>
        <v>0</v>
      </c>
      <c r="H707">
        <f>COUNTIF('Metrics - Articles'!H706,"*China*")</f>
        <v>0</v>
      </c>
      <c r="J707" s="53">
        <f t="shared" si="11"/>
        <v>0</v>
      </c>
    </row>
    <row r="708" spans="2:10" x14ac:dyDescent="0.25">
      <c r="B708" s="48">
        <f>+'Metrics - Articles'!C707</f>
        <v>0</v>
      </c>
      <c r="C708">
        <f>COUNTIF('Metrics - Articles'!H707,"*Global*")</f>
        <v>0</v>
      </c>
      <c r="D708">
        <f>COUNTIF('Metrics - Articles'!H707,"*EMEA*")</f>
        <v>0</v>
      </c>
      <c r="E708">
        <f>COUNTIF('Metrics - Articles'!H707,"*NA*")</f>
        <v>0</v>
      </c>
      <c r="F708">
        <f>COUNTIF('Metrics - Articles'!H707,"*APJ")</f>
        <v>0</v>
      </c>
      <c r="G708">
        <f>COUNTIF('Metrics - Articles'!H707,"*LATAM*")</f>
        <v>0</v>
      </c>
      <c r="H708">
        <f>COUNTIF('Metrics - Articles'!H707,"*China*")</f>
        <v>0</v>
      </c>
      <c r="J708" s="53">
        <f t="shared" si="11"/>
        <v>0</v>
      </c>
    </row>
    <row r="709" spans="2:10" x14ac:dyDescent="0.25">
      <c r="B709" s="48">
        <f>+'Metrics - Articles'!C708</f>
        <v>0</v>
      </c>
      <c r="C709">
        <f>COUNTIF('Metrics - Articles'!H708,"*Global*")</f>
        <v>0</v>
      </c>
      <c r="D709">
        <f>COUNTIF('Metrics - Articles'!H708,"*EMEA*")</f>
        <v>0</v>
      </c>
      <c r="E709">
        <f>COUNTIF('Metrics - Articles'!H708,"*NA*")</f>
        <v>0</v>
      </c>
      <c r="F709">
        <f>COUNTIF('Metrics - Articles'!H708,"*APJ")</f>
        <v>0</v>
      </c>
      <c r="G709">
        <f>COUNTIF('Metrics - Articles'!H708,"*LATAM*")</f>
        <v>0</v>
      </c>
      <c r="H709">
        <f>COUNTIF('Metrics - Articles'!H708,"*China*")</f>
        <v>0</v>
      </c>
      <c r="J709" s="53">
        <f t="shared" si="11"/>
        <v>0</v>
      </c>
    </row>
    <row r="710" spans="2:10" x14ac:dyDescent="0.25">
      <c r="B710" s="48">
        <f>+'Metrics - Articles'!C709</f>
        <v>0</v>
      </c>
      <c r="C710">
        <f>COUNTIF('Metrics - Articles'!H709,"*Global*")</f>
        <v>0</v>
      </c>
      <c r="D710">
        <f>COUNTIF('Metrics - Articles'!H709,"*EMEA*")</f>
        <v>0</v>
      </c>
      <c r="E710">
        <f>COUNTIF('Metrics - Articles'!H709,"*NA*")</f>
        <v>0</v>
      </c>
      <c r="F710">
        <f>COUNTIF('Metrics - Articles'!H709,"*APJ")</f>
        <v>0</v>
      </c>
      <c r="G710">
        <f>COUNTIF('Metrics - Articles'!H709,"*LATAM*")</f>
        <v>0</v>
      </c>
      <c r="H710">
        <f>COUNTIF('Metrics - Articles'!H709,"*China*")</f>
        <v>0</v>
      </c>
      <c r="J710" s="53">
        <f t="shared" si="11"/>
        <v>0</v>
      </c>
    </row>
    <row r="711" spans="2:10" x14ac:dyDescent="0.25">
      <c r="B711" s="48">
        <f>+'Metrics - Articles'!C710</f>
        <v>0</v>
      </c>
      <c r="C711">
        <f>COUNTIF('Metrics - Articles'!H710,"*Global*")</f>
        <v>0</v>
      </c>
      <c r="D711">
        <f>COUNTIF('Metrics - Articles'!H710,"*EMEA*")</f>
        <v>0</v>
      </c>
      <c r="E711">
        <f>COUNTIF('Metrics - Articles'!H710,"*NA*")</f>
        <v>0</v>
      </c>
      <c r="F711">
        <f>COUNTIF('Metrics - Articles'!H710,"*APJ")</f>
        <v>0</v>
      </c>
      <c r="G711">
        <f>COUNTIF('Metrics - Articles'!H710,"*LATAM*")</f>
        <v>0</v>
      </c>
      <c r="H711">
        <f>COUNTIF('Metrics - Articles'!H710,"*China*")</f>
        <v>0</v>
      </c>
      <c r="J711" s="53">
        <f t="shared" si="11"/>
        <v>0</v>
      </c>
    </row>
    <row r="712" spans="2:10" x14ac:dyDescent="0.25">
      <c r="B712" s="48">
        <f>+'Metrics - Articles'!C711</f>
        <v>0</v>
      </c>
      <c r="C712">
        <f>COUNTIF('Metrics - Articles'!H711,"*Global*")</f>
        <v>0</v>
      </c>
      <c r="D712">
        <f>COUNTIF('Metrics - Articles'!H711,"*EMEA*")</f>
        <v>0</v>
      </c>
      <c r="E712">
        <f>COUNTIF('Metrics - Articles'!H711,"*NA*")</f>
        <v>0</v>
      </c>
      <c r="F712">
        <f>COUNTIF('Metrics - Articles'!H711,"*APJ")</f>
        <v>0</v>
      </c>
      <c r="G712">
        <f>COUNTIF('Metrics - Articles'!H711,"*LATAM*")</f>
        <v>0</v>
      </c>
      <c r="H712">
        <f>COUNTIF('Metrics - Articles'!H711,"*China*")</f>
        <v>0</v>
      </c>
      <c r="J712" s="53">
        <f t="shared" si="11"/>
        <v>0</v>
      </c>
    </row>
    <row r="713" spans="2:10" x14ac:dyDescent="0.25">
      <c r="B713" s="48">
        <f>+'Metrics - Articles'!C712</f>
        <v>0</v>
      </c>
      <c r="C713">
        <f>COUNTIF('Metrics - Articles'!H712,"*Global*")</f>
        <v>0</v>
      </c>
      <c r="D713">
        <f>COUNTIF('Metrics - Articles'!H712,"*EMEA*")</f>
        <v>0</v>
      </c>
      <c r="E713">
        <f>COUNTIF('Metrics - Articles'!H712,"*NA*")</f>
        <v>0</v>
      </c>
      <c r="F713">
        <f>COUNTIF('Metrics - Articles'!H712,"*APJ")</f>
        <v>0</v>
      </c>
      <c r="G713">
        <f>COUNTIF('Metrics - Articles'!H712,"*LATAM*")</f>
        <v>0</v>
      </c>
      <c r="H713">
        <f>COUNTIF('Metrics - Articles'!H712,"*China*")</f>
        <v>0</v>
      </c>
      <c r="J713" s="53">
        <f t="shared" si="11"/>
        <v>0</v>
      </c>
    </row>
    <row r="714" spans="2:10" x14ac:dyDescent="0.25">
      <c r="B714" s="48">
        <f>+'Metrics - Articles'!C713</f>
        <v>0</v>
      </c>
      <c r="C714">
        <f>COUNTIF('Metrics - Articles'!H713,"*Global*")</f>
        <v>0</v>
      </c>
      <c r="D714">
        <f>COUNTIF('Metrics - Articles'!H713,"*EMEA*")</f>
        <v>0</v>
      </c>
      <c r="E714">
        <f>COUNTIF('Metrics - Articles'!H713,"*NA*")</f>
        <v>0</v>
      </c>
      <c r="F714">
        <f>COUNTIF('Metrics - Articles'!H713,"*APJ")</f>
        <v>0</v>
      </c>
      <c r="G714">
        <f>COUNTIF('Metrics - Articles'!H713,"*LATAM*")</f>
        <v>0</v>
      </c>
      <c r="H714">
        <f>COUNTIF('Metrics - Articles'!H713,"*China*")</f>
        <v>0</v>
      </c>
      <c r="J714" s="53">
        <f t="shared" ref="J714:J777" si="12">SUM(C714:I714)</f>
        <v>0</v>
      </c>
    </row>
    <row r="715" spans="2:10" x14ac:dyDescent="0.25">
      <c r="B715" s="48">
        <f>+'Metrics - Articles'!C714</f>
        <v>0</v>
      </c>
      <c r="C715">
        <f>COUNTIF('Metrics - Articles'!H714,"*Global*")</f>
        <v>0</v>
      </c>
      <c r="D715">
        <f>COUNTIF('Metrics - Articles'!H714,"*EMEA*")</f>
        <v>0</v>
      </c>
      <c r="E715">
        <f>COUNTIF('Metrics - Articles'!H714,"*NA*")</f>
        <v>0</v>
      </c>
      <c r="F715">
        <f>COUNTIF('Metrics - Articles'!H714,"*APJ")</f>
        <v>0</v>
      </c>
      <c r="G715">
        <f>COUNTIF('Metrics - Articles'!H714,"*LATAM*")</f>
        <v>0</v>
      </c>
      <c r="H715">
        <f>COUNTIF('Metrics - Articles'!H714,"*China*")</f>
        <v>0</v>
      </c>
      <c r="J715" s="53">
        <f t="shared" si="12"/>
        <v>0</v>
      </c>
    </row>
    <row r="716" spans="2:10" x14ac:dyDescent="0.25">
      <c r="B716" s="48">
        <f>+'Metrics - Articles'!C715</f>
        <v>0</v>
      </c>
      <c r="C716">
        <f>COUNTIF('Metrics - Articles'!H715,"*Global*")</f>
        <v>0</v>
      </c>
      <c r="D716">
        <f>COUNTIF('Metrics - Articles'!H715,"*EMEA*")</f>
        <v>0</v>
      </c>
      <c r="E716">
        <f>COUNTIF('Metrics - Articles'!H715,"*NA*")</f>
        <v>0</v>
      </c>
      <c r="F716">
        <f>COUNTIF('Metrics - Articles'!H715,"*APJ")</f>
        <v>0</v>
      </c>
      <c r="G716">
        <f>COUNTIF('Metrics - Articles'!H715,"*LATAM*")</f>
        <v>0</v>
      </c>
      <c r="H716">
        <f>COUNTIF('Metrics - Articles'!H715,"*China*")</f>
        <v>0</v>
      </c>
      <c r="J716" s="53">
        <f t="shared" si="12"/>
        <v>0</v>
      </c>
    </row>
    <row r="717" spans="2:10" x14ac:dyDescent="0.25">
      <c r="B717" s="48">
        <f>+'Metrics - Articles'!C716</f>
        <v>0</v>
      </c>
      <c r="C717">
        <f>COUNTIF('Metrics - Articles'!H716,"*Global*")</f>
        <v>0</v>
      </c>
      <c r="D717">
        <f>COUNTIF('Metrics - Articles'!H716,"*EMEA*")</f>
        <v>0</v>
      </c>
      <c r="E717">
        <f>COUNTIF('Metrics - Articles'!H716,"*NA*")</f>
        <v>0</v>
      </c>
      <c r="F717">
        <f>COUNTIF('Metrics - Articles'!H716,"*APJ")</f>
        <v>0</v>
      </c>
      <c r="G717">
        <f>COUNTIF('Metrics - Articles'!H716,"*LATAM*")</f>
        <v>0</v>
      </c>
      <c r="H717">
        <f>COUNTIF('Metrics - Articles'!H716,"*China*")</f>
        <v>0</v>
      </c>
      <c r="J717" s="53">
        <f t="shared" si="12"/>
        <v>0</v>
      </c>
    </row>
    <row r="718" spans="2:10" x14ac:dyDescent="0.25">
      <c r="B718" s="48">
        <f>+'Metrics - Articles'!C717</f>
        <v>0</v>
      </c>
      <c r="C718">
        <f>COUNTIF('Metrics - Articles'!H717,"*Global*")</f>
        <v>0</v>
      </c>
      <c r="D718">
        <f>COUNTIF('Metrics - Articles'!H717,"*EMEA*")</f>
        <v>0</v>
      </c>
      <c r="E718">
        <f>COUNTIF('Metrics - Articles'!H717,"*NA*")</f>
        <v>0</v>
      </c>
      <c r="F718">
        <f>COUNTIF('Metrics - Articles'!H717,"*APJ")</f>
        <v>0</v>
      </c>
      <c r="G718">
        <f>COUNTIF('Metrics - Articles'!H717,"*LATAM*")</f>
        <v>0</v>
      </c>
      <c r="H718">
        <f>COUNTIF('Metrics - Articles'!H717,"*China*")</f>
        <v>0</v>
      </c>
      <c r="J718" s="53">
        <f t="shared" si="12"/>
        <v>0</v>
      </c>
    </row>
    <row r="719" spans="2:10" x14ac:dyDescent="0.25">
      <c r="B719" s="48">
        <f>+'Metrics - Articles'!C718</f>
        <v>0</v>
      </c>
      <c r="C719">
        <f>COUNTIF('Metrics - Articles'!H718,"*Global*")</f>
        <v>0</v>
      </c>
      <c r="D719">
        <f>COUNTIF('Metrics - Articles'!H718,"*EMEA*")</f>
        <v>0</v>
      </c>
      <c r="E719">
        <f>COUNTIF('Metrics - Articles'!H718,"*NA*")</f>
        <v>0</v>
      </c>
      <c r="F719">
        <f>COUNTIF('Metrics - Articles'!H718,"*APJ")</f>
        <v>0</v>
      </c>
      <c r="G719">
        <f>COUNTIF('Metrics - Articles'!H718,"*LATAM*")</f>
        <v>0</v>
      </c>
      <c r="H719">
        <f>COUNTIF('Metrics - Articles'!H718,"*China*")</f>
        <v>0</v>
      </c>
      <c r="J719" s="53">
        <f t="shared" si="12"/>
        <v>0</v>
      </c>
    </row>
    <row r="720" spans="2:10" x14ac:dyDescent="0.25">
      <c r="B720" s="48">
        <f>+'Metrics - Articles'!C719</f>
        <v>0</v>
      </c>
      <c r="C720">
        <f>COUNTIF('Metrics - Articles'!H719,"*Global*")</f>
        <v>0</v>
      </c>
      <c r="D720">
        <f>COUNTIF('Metrics - Articles'!H719,"*EMEA*")</f>
        <v>0</v>
      </c>
      <c r="E720">
        <f>COUNTIF('Metrics - Articles'!H719,"*NA*")</f>
        <v>0</v>
      </c>
      <c r="F720">
        <f>COUNTIF('Metrics - Articles'!H719,"*APJ")</f>
        <v>0</v>
      </c>
      <c r="G720">
        <f>COUNTIF('Metrics - Articles'!H719,"*LATAM*")</f>
        <v>0</v>
      </c>
      <c r="H720">
        <f>COUNTIF('Metrics - Articles'!H719,"*China*")</f>
        <v>0</v>
      </c>
      <c r="J720" s="53">
        <f t="shared" si="12"/>
        <v>0</v>
      </c>
    </row>
    <row r="721" spans="2:10" x14ac:dyDescent="0.25">
      <c r="B721" s="48">
        <f>+'Metrics - Articles'!C720</f>
        <v>0</v>
      </c>
      <c r="C721">
        <f>COUNTIF('Metrics - Articles'!H720,"*Global*")</f>
        <v>0</v>
      </c>
      <c r="D721">
        <f>COUNTIF('Metrics - Articles'!H720,"*EMEA*")</f>
        <v>0</v>
      </c>
      <c r="E721">
        <f>COUNTIF('Metrics - Articles'!H720,"*NA*")</f>
        <v>0</v>
      </c>
      <c r="F721">
        <f>COUNTIF('Metrics - Articles'!H720,"*APJ")</f>
        <v>0</v>
      </c>
      <c r="G721">
        <f>COUNTIF('Metrics - Articles'!H720,"*LATAM*")</f>
        <v>0</v>
      </c>
      <c r="H721">
        <f>COUNTIF('Metrics - Articles'!H720,"*China*")</f>
        <v>0</v>
      </c>
      <c r="J721" s="53">
        <f t="shared" si="12"/>
        <v>0</v>
      </c>
    </row>
    <row r="722" spans="2:10" x14ac:dyDescent="0.25">
      <c r="B722" s="48">
        <f>+'Metrics - Articles'!C721</f>
        <v>0</v>
      </c>
      <c r="C722">
        <f>COUNTIF('Metrics - Articles'!H721,"*Global*")</f>
        <v>0</v>
      </c>
      <c r="D722">
        <f>COUNTIF('Metrics - Articles'!H721,"*EMEA*")</f>
        <v>0</v>
      </c>
      <c r="E722">
        <f>COUNTIF('Metrics - Articles'!H721,"*NA*")</f>
        <v>0</v>
      </c>
      <c r="F722">
        <f>COUNTIF('Metrics - Articles'!H721,"*APJ")</f>
        <v>0</v>
      </c>
      <c r="G722">
        <f>COUNTIF('Metrics - Articles'!H721,"*LATAM*")</f>
        <v>0</v>
      </c>
      <c r="H722">
        <f>COUNTIF('Metrics - Articles'!H721,"*China*")</f>
        <v>0</v>
      </c>
      <c r="J722" s="53">
        <f t="shared" si="12"/>
        <v>0</v>
      </c>
    </row>
    <row r="723" spans="2:10" x14ac:dyDescent="0.25">
      <c r="B723" s="48">
        <f>+'Metrics - Articles'!C722</f>
        <v>0</v>
      </c>
      <c r="C723">
        <f>COUNTIF('Metrics - Articles'!H722,"*Global*")</f>
        <v>0</v>
      </c>
      <c r="D723">
        <f>COUNTIF('Metrics - Articles'!H722,"*EMEA*")</f>
        <v>0</v>
      </c>
      <c r="E723">
        <f>COUNTIF('Metrics - Articles'!H722,"*NA*")</f>
        <v>0</v>
      </c>
      <c r="F723">
        <f>COUNTIF('Metrics - Articles'!H722,"*APJ")</f>
        <v>0</v>
      </c>
      <c r="G723">
        <f>COUNTIF('Metrics - Articles'!H722,"*LATAM*")</f>
        <v>0</v>
      </c>
      <c r="H723">
        <f>COUNTIF('Metrics - Articles'!H722,"*China*")</f>
        <v>0</v>
      </c>
      <c r="J723" s="53">
        <f t="shared" si="12"/>
        <v>0</v>
      </c>
    </row>
    <row r="724" spans="2:10" x14ac:dyDescent="0.25">
      <c r="B724" s="48">
        <f>+'Metrics - Articles'!C723</f>
        <v>0</v>
      </c>
      <c r="C724">
        <f>COUNTIF('Metrics - Articles'!H723,"*Global*")</f>
        <v>0</v>
      </c>
      <c r="D724">
        <f>COUNTIF('Metrics - Articles'!H723,"*EMEA*")</f>
        <v>0</v>
      </c>
      <c r="E724">
        <f>COUNTIF('Metrics - Articles'!H723,"*NA*")</f>
        <v>0</v>
      </c>
      <c r="F724">
        <f>COUNTIF('Metrics - Articles'!H723,"*APJ")</f>
        <v>0</v>
      </c>
      <c r="G724">
        <f>COUNTIF('Metrics - Articles'!H723,"*LATAM*")</f>
        <v>0</v>
      </c>
      <c r="H724">
        <f>COUNTIF('Metrics - Articles'!H723,"*China*")</f>
        <v>0</v>
      </c>
      <c r="J724" s="53">
        <f t="shared" si="12"/>
        <v>0</v>
      </c>
    </row>
    <row r="725" spans="2:10" x14ac:dyDescent="0.25">
      <c r="B725" s="48">
        <f>+'Metrics - Articles'!C724</f>
        <v>0</v>
      </c>
      <c r="C725">
        <f>COUNTIF('Metrics - Articles'!H724,"*Global*")</f>
        <v>0</v>
      </c>
      <c r="D725">
        <f>COUNTIF('Metrics - Articles'!H724,"*EMEA*")</f>
        <v>0</v>
      </c>
      <c r="E725">
        <f>COUNTIF('Metrics - Articles'!H724,"*NA*")</f>
        <v>0</v>
      </c>
      <c r="F725">
        <f>COUNTIF('Metrics - Articles'!H724,"*APJ")</f>
        <v>0</v>
      </c>
      <c r="G725">
        <f>COUNTIF('Metrics - Articles'!H724,"*LATAM*")</f>
        <v>0</v>
      </c>
      <c r="H725">
        <f>COUNTIF('Metrics - Articles'!H724,"*China*")</f>
        <v>0</v>
      </c>
      <c r="J725" s="53">
        <f t="shared" si="12"/>
        <v>0</v>
      </c>
    </row>
    <row r="726" spans="2:10" x14ac:dyDescent="0.25">
      <c r="B726" s="48">
        <f>+'Metrics - Articles'!C725</f>
        <v>0</v>
      </c>
      <c r="C726">
        <f>COUNTIF('Metrics - Articles'!H725,"*Global*")</f>
        <v>0</v>
      </c>
      <c r="D726">
        <f>COUNTIF('Metrics - Articles'!H725,"*EMEA*")</f>
        <v>0</v>
      </c>
      <c r="E726">
        <f>COUNTIF('Metrics - Articles'!H725,"*NA*")</f>
        <v>0</v>
      </c>
      <c r="F726">
        <f>COUNTIF('Metrics - Articles'!H725,"*APJ")</f>
        <v>0</v>
      </c>
      <c r="G726">
        <f>COUNTIF('Metrics - Articles'!H725,"*LATAM*")</f>
        <v>0</v>
      </c>
      <c r="H726">
        <f>COUNTIF('Metrics - Articles'!H725,"*China*")</f>
        <v>0</v>
      </c>
      <c r="J726" s="53">
        <f t="shared" si="12"/>
        <v>0</v>
      </c>
    </row>
    <row r="727" spans="2:10" x14ac:dyDescent="0.25">
      <c r="B727" s="48">
        <f>+'Metrics - Articles'!C726</f>
        <v>0</v>
      </c>
      <c r="C727">
        <f>COUNTIF('Metrics - Articles'!H726,"*Global*")</f>
        <v>0</v>
      </c>
      <c r="D727">
        <f>COUNTIF('Metrics - Articles'!H726,"*EMEA*")</f>
        <v>0</v>
      </c>
      <c r="E727">
        <f>COUNTIF('Metrics - Articles'!H726,"*NA*")</f>
        <v>0</v>
      </c>
      <c r="F727">
        <f>COUNTIF('Metrics - Articles'!H726,"*APJ")</f>
        <v>0</v>
      </c>
      <c r="G727">
        <f>COUNTIF('Metrics - Articles'!H726,"*LATAM*")</f>
        <v>0</v>
      </c>
      <c r="H727">
        <f>COUNTIF('Metrics - Articles'!H726,"*China*")</f>
        <v>0</v>
      </c>
      <c r="J727" s="53">
        <f t="shared" si="12"/>
        <v>0</v>
      </c>
    </row>
    <row r="728" spans="2:10" x14ac:dyDescent="0.25">
      <c r="B728" s="48">
        <f>+'Metrics - Articles'!C727</f>
        <v>0</v>
      </c>
      <c r="C728">
        <f>COUNTIF('Metrics - Articles'!H727,"*Global*")</f>
        <v>0</v>
      </c>
      <c r="D728">
        <f>COUNTIF('Metrics - Articles'!H727,"*EMEA*")</f>
        <v>0</v>
      </c>
      <c r="E728">
        <f>COUNTIF('Metrics - Articles'!H727,"*NA*")</f>
        <v>0</v>
      </c>
      <c r="F728">
        <f>COUNTIF('Metrics - Articles'!H727,"*APJ")</f>
        <v>0</v>
      </c>
      <c r="G728">
        <f>COUNTIF('Metrics - Articles'!H727,"*LATAM*")</f>
        <v>0</v>
      </c>
      <c r="H728">
        <f>COUNTIF('Metrics - Articles'!H727,"*China*")</f>
        <v>0</v>
      </c>
      <c r="J728" s="53">
        <f t="shared" si="12"/>
        <v>0</v>
      </c>
    </row>
    <row r="729" spans="2:10" x14ac:dyDescent="0.25">
      <c r="B729" s="48">
        <f>+'Metrics - Articles'!C728</f>
        <v>0</v>
      </c>
      <c r="C729">
        <f>COUNTIF('Metrics - Articles'!H728,"*Global*")</f>
        <v>0</v>
      </c>
      <c r="D729">
        <f>COUNTIF('Metrics - Articles'!H728,"*EMEA*")</f>
        <v>0</v>
      </c>
      <c r="E729">
        <f>COUNTIF('Metrics - Articles'!H728,"*NA*")</f>
        <v>0</v>
      </c>
      <c r="F729">
        <f>COUNTIF('Metrics - Articles'!H728,"*APJ")</f>
        <v>0</v>
      </c>
      <c r="G729">
        <f>COUNTIF('Metrics - Articles'!H728,"*LATAM*")</f>
        <v>0</v>
      </c>
      <c r="H729">
        <f>COUNTIF('Metrics - Articles'!H728,"*China*")</f>
        <v>0</v>
      </c>
      <c r="J729" s="53">
        <f t="shared" si="12"/>
        <v>0</v>
      </c>
    </row>
    <row r="730" spans="2:10" x14ac:dyDescent="0.25">
      <c r="B730" s="48">
        <f>+'Metrics - Articles'!C729</f>
        <v>0</v>
      </c>
      <c r="C730">
        <f>COUNTIF('Metrics - Articles'!H729,"*Global*")</f>
        <v>0</v>
      </c>
      <c r="D730">
        <f>COUNTIF('Metrics - Articles'!H729,"*EMEA*")</f>
        <v>0</v>
      </c>
      <c r="E730">
        <f>COUNTIF('Metrics - Articles'!H729,"*NA*")</f>
        <v>0</v>
      </c>
      <c r="F730">
        <f>COUNTIF('Metrics - Articles'!H729,"*APJ")</f>
        <v>0</v>
      </c>
      <c r="G730">
        <f>COUNTIF('Metrics - Articles'!H729,"*LATAM*")</f>
        <v>0</v>
      </c>
      <c r="H730">
        <f>COUNTIF('Metrics - Articles'!H729,"*China*")</f>
        <v>0</v>
      </c>
      <c r="J730" s="53">
        <f t="shared" si="12"/>
        <v>0</v>
      </c>
    </row>
    <row r="731" spans="2:10" x14ac:dyDescent="0.25">
      <c r="B731" s="48">
        <f>+'Metrics - Articles'!C730</f>
        <v>0</v>
      </c>
      <c r="C731">
        <f>COUNTIF('Metrics - Articles'!H730,"*Global*")</f>
        <v>0</v>
      </c>
      <c r="D731">
        <f>COUNTIF('Metrics - Articles'!H730,"*EMEA*")</f>
        <v>0</v>
      </c>
      <c r="E731">
        <f>COUNTIF('Metrics - Articles'!H730,"*NA*")</f>
        <v>0</v>
      </c>
      <c r="F731">
        <f>COUNTIF('Metrics - Articles'!H730,"*APJ")</f>
        <v>0</v>
      </c>
      <c r="G731">
        <f>COUNTIF('Metrics - Articles'!H730,"*LATAM*")</f>
        <v>0</v>
      </c>
      <c r="H731">
        <f>COUNTIF('Metrics - Articles'!H730,"*China*")</f>
        <v>0</v>
      </c>
      <c r="J731" s="53">
        <f t="shared" si="12"/>
        <v>0</v>
      </c>
    </row>
    <row r="732" spans="2:10" x14ac:dyDescent="0.25">
      <c r="B732" s="48">
        <f>+'Metrics - Articles'!C731</f>
        <v>0</v>
      </c>
      <c r="C732">
        <f>COUNTIF('Metrics - Articles'!H731,"*Global*")</f>
        <v>0</v>
      </c>
      <c r="D732">
        <f>COUNTIF('Metrics - Articles'!H731,"*EMEA*")</f>
        <v>0</v>
      </c>
      <c r="E732">
        <f>COUNTIF('Metrics - Articles'!H731,"*NA*")</f>
        <v>0</v>
      </c>
      <c r="F732">
        <f>COUNTIF('Metrics - Articles'!H731,"*APJ")</f>
        <v>0</v>
      </c>
      <c r="G732">
        <f>COUNTIF('Metrics - Articles'!H731,"*LATAM*")</f>
        <v>0</v>
      </c>
      <c r="H732">
        <f>COUNTIF('Metrics - Articles'!H731,"*China*")</f>
        <v>0</v>
      </c>
      <c r="J732" s="53">
        <f t="shared" si="12"/>
        <v>0</v>
      </c>
    </row>
    <row r="733" spans="2:10" x14ac:dyDescent="0.25">
      <c r="B733" s="48">
        <f>+'Metrics - Articles'!C732</f>
        <v>0</v>
      </c>
      <c r="C733">
        <f>COUNTIF('Metrics - Articles'!H732,"*Global*")</f>
        <v>0</v>
      </c>
      <c r="D733">
        <f>COUNTIF('Metrics - Articles'!H732,"*EMEA*")</f>
        <v>0</v>
      </c>
      <c r="E733">
        <f>COUNTIF('Metrics - Articles'!H732,"*NA*")</f>
        <v>0</v>
      </c>
      <c r="F733">
        <f>COUNTIF('Metrics - Articles'!H732,"*APJ")</f>
        <v>0</v>
      </c>
      <c r="G733">
        <f>COUNTIF('Metrics - Articles'!H732,"*LATAM*")</f>
        <v>0</v>
      </c>
      <c r="H733">
        <f>COUNTIF('Metrics - Articles'!H732,"*China*")</f>
        <v>0</v>
      </c>
      <c r="J733" s="53">
        <f t="shared" si="12"/>
        <v>0</v>
      </c>
    </row>
    <row r="734" spans="2:10" x14ac:dyDescent="0.25">
      <c r="B734" s="48">
        <f>+'Metrics - Articles'!C733</f>
        <v>0</v>
      </c>
      <c r="C734">
        <f>COUNTIF('Metrics - Articles'!H733,"*Global*")</f>
        <v>0</v>
      </c>
      <c r="D734">
        <f>COUNTIF('Metrics - Articles'!H733,"*EMEA*")</f>
        <v>0</v>
      </c>
      <c r="E734">
        <f>COUNTIF('Metrics - Articles'!H733,"*NA*")</f>
        <v>0</v>
      </c>
      <c r="F734">
        <f>COUNTIF('Metrics - Articles'!H733,"*APJ")</f>
        <v>0</v>
      </c>
      <c r="G734">
        <f>COUNTIF('Metrics - Articles'!H733,"*LATAM*")</f>
        <v>0</v>
      </c>
      <c r="H734">
        <f>COUNTIF('Metrics - Articles'!H733,"*China*")</f>
        <v>0</v>
      </c>
      <c r="J734" s="53">
        <f t="shared" si="12"/>
        <v>0</v>
      </c>
    </row>
    <row r="735" spans="2:10" x14ac:dyDescent="0.25">
      <c r="B735" s="48">
        <f>+'Metrics - Articles'!C734</f>
        <v>0</v>
      </c>
      <c r="C735">
        <f>COUNTIF('Metrics - Articles'!H734,"*Global*")</f>
        <v>0</v>
      </c>
      <c r="D735">
        <f>COUNTIF('Metrics - Articles'!H734,"*EMEA*")</f>
        <v>0</v>
      </c>
      <c r="E735">
        <f>COUNTIF('Metrics - Articles'!H734,"*NA*")</f>
        <v>0</v>
      </c>
      <c r="F735">
        <f>COUNTIF('Metrics - Articles'!H734,"*APJ")</f>
        <v>0</v>
      </c>
      <c r="G735">
        <f>COUNTIF('Metrics - Articles'!H734,"*LATAM*")</f>
        <v>0</v>
      </c>
      <c r="H735">
        <f>COUNTIF('Metrics - Articles'!H734,"*China*")</f>
        <v>0</v>
      </c>
      <c r="J735" s="53">
        <f t="shared" si="12"/>
        <v>0</v>
      </c>
    </row>
    <row r="736" spans="2:10" x14ac:dyDescent="0.25">
      <c r="B736" s="48">
        <f>+'Metrics - Articles'!C735</f>
        <v>0</v>
      </c>
      <c r="C736">
        <f>COUNTIF('Metrics - Articles'!H735,"*Global*")</f>
        <v>0</v>
      </c>
      <c r="D736">
        <f>COUNTIF('Metrics - Articles'!H735,"*EMEA*")</f>
        <v>0</v>
      </c>
      <c r="E736">
        <f>COUNTIF('Metrics - Articles'!H735,"*NA*")</f>
        <v>0</v>
      </c>
      <c r="F736">
        <f>COUNTIF('Metrics - Articles'!H735,"*APJ")</f>
        <v>0</v>
      </c>
      <c r="G736">
        <f>COUNTIF('Metrics - Articles'!H735,"*LATAM*")</f>
        <v>0</v>
      </c>
      <c r="H736">
        <f>COUNTIF('Metrics - Articles'!H735,"*China*")</f>
        <v>0</v>
      </c>
      <c r="J736" s="53">
        <f t="shared" si="12"/>
        <v>0</v>
      </c>
    </row>
    <row r="737" spans="2:10" x14ac:dyDescent="0.25">
      <c r="B737" s="48">
        <f>+'Metrics - Articles'!C736</f>
        <v>0</v>
      </c>
      <c r="C737">
        <f>COUNTIF('Metrics - Articles'!H736,"*Global*")</f>
        <v>0</v>
      </c>
      <c r="D737">
        <f>COUNTIF('Metrics - Articles'!H736,"*EMEA*")</f>
        <v>0</v>
      </c>
      <c r="E737">
        <f>COUNTIF('Metrics - Articles'!H736,"*NA*")</f>
        <v>0</v>
      </c>
      <c r="F737">
        <f>COUNTIF('Metrics - Articles'!H736,"*APJ")</f>
        <v>0</v>
      </c>
      <c r="G737">
        <f>COUNTIF('Metrics - Articles'!H736,"*LATAM*")</f>
        <v>0</v>
      </c>
      <c r="H737">
        <f>COUNTIF('Metrics - Articles'!H736,"*China*")</f>
        <v>0</v>
      </c>
      <c r="J737" s="53">
        <f t="shared" si="12"/>
        <v>0</v>
      </c>
    </row>
    <row r="738" spans="2:10" x14ac:dyDescent="0.25">
      <c r="B738" s="48">
        <f>+'Metrics - Articles'!C737</f>
        <v>0</v>
      </c>
      <c r="C738">
        <f>COUNTIF('Metrics - Articles'!H737,"*Global*")</f>
        <v>0</v>
      </c>
      <c r="D738">
        <f>COUNTIF('Metrics - Articles'!H737,"*EMEA*")</f>
        <v>0</v>
      </c>
      <c r="E738">
        <f>COUNTIF('Metrics - Articles'!H737,"*NA*")</f>
        <v>0</v>
      </c>
      <c r="F738">
        <f>COUNTIF('Metrics - Articles'!H737,"*APJ")</f>
        <v>0</v>
      </c>
      <c r="G738">
        <f>COUNTIF('Metrics - Articles'!H737,"*LATAM*")</f>
        <v>0</v>
      </c>
      <c r="H738">
        <f>COUNTIF('Metrics - Articles'!H737,"*China*")</f>
        <v>0</v>
      </c>
      <c r="J738" s="53">
        <f t="shared" si="12"/>
        <v>0</v>
      </c>
    </row>
    <row r="739" spans="2:10" x14ac:dyDescent="0.25">
      <c r="B739" s="48">
        <f>+'Metrics - Articles'!C738</f>
        <v>0</v>
      </c>
      <c r="C739">
        <f>COUNTIF('Metrics - Articles'!H738,"*Global*")</f>
        <v>0</v>
      </c>
      <c r="D739">
        <f>COUNTIF('Metrics - Articles'!H738,"*EMEA*")</f>
        <v>0</v>
      </c>
      <c r="E739">
        <f>COUNTIF('Metrics - Articles'!H738,"*NA*")</f>
        <v>0</v>
      </c>
      <c r="F739">
        <f>COUNTIF('Metrics - Articles'!H738,"*APJ")</f>
        <v>0</v>
      </c>
      <c r="G739">
        <f>COUNTIF('Metrics - Articles'!H738,"*LATAM*")</f>
        <v>0</v>
      </c>
      <c r="H739">
        <f>COUNTIF('Metrics - Articles'!H738,"*China*")</f>
        <v>0</v>
      </c>
      <c r="J739" s="53">
        <f t="shared" si="12"/>
        <v>0</v>
      </c>
    </row>
    <row r="740" spans="2:10" x14ac:dyDescent="0.25">
      <c r="B740" s="48">
        <f>+'Metrics - Articles'!C739</f>
        <v>0</v>
      </c>
      <c r="C740">
        <f>COUNTIF('Metrics - Articles'!H739,"*Global*")</f>
        <v>0</v>
      </c>
      <c r="D740">
        <f>COUNTIF('Metrics - Articles'!H739,"*EMEA*")</f>
        <v>0</v>
      </c>
      <c r="E740">
        <f>COUNTIF('Metrics - Articles'!H739,"*NA*")</f>
        <v>0</v>
      </c>
      <c r="F740">
        <f>COUNTIF('Metrics - Articles'!H739,"*APJ")</f>
        <v>0</v>
      </c>
      <c r="G740">
        <f>COUNTIF('Metrics - Articles'!H739,"*LATAM*")</f>
        <v>0</v>
      </c>
      <c r="H740">
        <f>COUNTIF('Metrics - Articles'!H739,"*China*")</f>
        <v>0</v>
      </c>
      <c r="J740" s="53">
        <f t="shared" si="12"/>
        <v>0</v>
      </c>
    </row>
    <row r="741" spans="2:10" x14ac:dyDescent="0.25">
      <c r="B741" s="48">
        <f>+'Metrics - Articles'!C740</f>
        <v>0</v>
      </c>
      <c r="C741">
        <f>COUNTIF('Metrics - Articles'!H740,"*Global*")</f>
        <v>0</v>
      </c>
      <c r="D741">
        <f>COUNTIF('Metrics - Articles'!H740,"*EMEA*")</f>
        <v>0</v>
      </c>
      <c r="E741">
        <f>COUNTIF('Metrics - Articles'!H740,"*NA*")</f>
        <v>0</v>
      </c>
      <c r="F741">
        <f>COUNTIF('Metrics - Articles'!H740,"*APJ")</f>
        <v>0</v>
      </c>
      <c r="G741">
        <f>COUNTIF('Metrics - Articles'!H740,"*LATAM*")</f>
        <v>0</v>
      </c>
      <c r="H741">
        <f>COUNTIF('Metrics - Articles'!H740,"*China*")</f>
        <v>0</v>
      </c>
      <c r="J741" s="53">
        <f t="shared" si="12"/>
        <v>0</v>
      </c>
    </row>
    <row r="742" spans="2:10" x14ac:dyDescent="0.25">
      <c r="B742" s="48">
        <f>+'Metrics - Articles'!C741</f>
        <v>0</v>
      </c>
      <c r="C742">
        <f>COUNTIF('Metrics - Articles'!H741,"*Global*")</f>
        <v>0</v>
      </c>
      <c r="D742">
        <f>COUNTIF('Metrics - Articles'!H741,"*EMEA*")</f>
        <v>0</v>
      </c>
      <c r="E742">
        <f>COUNTIF('Metrics - Articles'!H741,"*NA*")</f>
        <v>0</v>
      </c>
      <c r="F742">
        <f>COUNTIF('Metrics - Articles'!H741,"*APJ")</f>
        <v>0</v>
      </c>
      <c r="G742">
        <f>COUNTIF('Metrics - Articles'!H741,"*LATAM*")</f>
        <v>0</v>
      </c>
      <c r="H742">
        <f>COUNTIF('Metrics - Articles'!H741,"*China*")</f>
        <v>0</v>
      </c>
      <c r="J742" s="53">
        <f t="shared" si="12"/>
        <v>0</v>
      </c>
    </row>
    <row r="743" spans="2:10" x14ac:dyDescent="0.25">
      <c r="B743" s="48">
        <f>+'Metrics - Articles'!C742</f>
        <v>0</v>
      </c>
      <c r="C743">
        <f>COUNTIF('Metrics - Articles'!H742,"*Global*")</f>
        <v>0</v>
      </c>
      <c r="D743">
        <f>COUNTIF('Metrics - Articles'!H742,"*EMEA*")</f>
        <v>0</v>
      </c>
      <c r="E743">
        <f>COUNTIF('Metrics - Articles'!H742,"*NA*")</f>
        <v>0</v>
      </c>
      <c r="F743">
        <f>COUNTIF('Metrics - Articles'!H742,"*APJ")</f>
        <v>0</v>
      </c>
      <c r="G743">
        <f>COUNTIF('Metrics - Articles'!H742,"*LATAM*")</f>
        <v>0</v>
      </c>
      <c r="H743">
        <f>COUNTIF('Metrics - Articles'!H742,"*China*")</f>
        <v>0</v>
      </c>
      <c r="J743" s="53">
        <f t="shared" si="12"/>
        <v>0</v>
      </c>
    </row>
    <row r="744" spans="2:10" x14ac:dyDescent="0.25">
      <c r="B744" s="48">
        <f>+'Metrics - Articles'!C743</f>
        <v>0</v>
      </c>
      <c r="C744">
        <f>COUNTIF('Metrics - Articles'!H743,"*Global*")</f>
        <v>0</v>
      </c>
      <c r="D744">
        <f>COUNTIF('Metrics - Articles'!H743,"*EMEA*")</f>
        <v>0</v>
      </c>
      <c r="E744">
        <f>COUNTIF('Metrics - Articles'!H743,"*NA*")</f>
        <v>0</v>
      </c>
      <c r="F744">
        <f>COUNTIF('Metrics - Articles'!H743,"*APJ")</f>
        <v>0</v>
      </c>
      <c r="G744">
        <f>COUNTIF('Metrics - Articles'!H743,"*LATAM*")</f>
        <v>0</v>
      </c>
      <c r="H744">
        <f>COUNTIF('Metrics - Articles'!H743,"*China*")</f>
        <v>0</v>
      </c>
      <c r="J744" s="53">
        <f t="shared" si="12"/>
        <v>0</v>
      </c>
    </row>
    <row r="745" spans="2:10" x14ac:dyDescent="0.25">
      <c r="B745" s="48">
        <f>+'Metrics - Articles'!C744</f>
        <v>0</v>
      </c>
      <c r="C745">
        <f>COUNTIF('Metrics - Articles'!H744,"*Global*")</f>
        <v>0</v>
      </c>
      <c r="D745">
        <f>COUNTIF('Metrics - Articles'!H744,"*EMEA*")</f>
        <v>0</v>
      </c>
      <c r="E745">
        <f>COUNTIF('Metrics - Articles'!H744,"*NA*")</f>
        <v>0</v>
      </c>
      <c r="F745">
        <f>COUNTIF('Metrics - Articles'!H744,"*APJ")</f>
        <v>0</v>
      </c>
      <c r="G745">
        <f>COUNTIF('Metrics - Articles'!H744,"*LATAM*")</f>
        <v>0</v>
      </c>
      <c r="H745">
        <f>COUNTIF('Metrics - Articles'!H744,"*China*")</f>
        <v>0</v>
      </c>
      <c r="J745" s="53">
        <f t="shared" si="12"/>
        <v>0</v>
      </c>
    </row>
    <row r="746" spans="2:10" x14ac:dyDescent="0.25">
      <c r="B746" s="48">
        <f>+'Metrics - Articles'!C745</f>
        <v>0</v>
      </c>
      <c r="C746">
        <f>COUNTIF('Metrics - Articles'!H745,"*Global*")</f>
        <v>0</v>
      </c>
      <c r="D746">
        <f>COUNTIF('Metrics - Articles'!H745,"*EMEA*")</f>
        <v>0</v>
      </c>
      <c r="E746">
        <f>COUNTIF('Metrics - Articles'!H745,"*NA*")</f>
        <v>0</v>
      </c>
      <c r="F746">
        <f>COUNTIF('Metrics - Articles'!H745,"*APJ")</f>
        <v>0</v>
      </c>
      <c r="G746">
        <f>COUNTIF('Metrics - Articles'!H745,"*LATAM*")</f>
        <v>0</v>
      </c>
      <c r="H746">
        <f>COUNTIF('Metrics - Articles'!H745,"*China*")</f>
        <v>0</v>
      </c>
      <c r="J746" s="53">
        <f t="shared" si="12"/>
        <v>0</v>
      </c>
    </row>
    <row r="747" spans="2:10" x14ac:dyDescent="0.25">
      <c r="B747" s="48">
        <f>+'Metrics - Articles'!C746</f>
        <v>0</v>
      </c>
      <c r="C747">
        <f>COUNTIF('Metrics - Articles'!H746,"*Global*")</f>
        <v>0</v>
      </c>
      <c r="D747">
        <f>COUNTIF('Metrics - Articles'!H746,"*EMEA*")</f>
        <v>0</v>
      </c>
      <c r="E747">
        <f>COUNTIF('Metrics - Articles'!H746,"*NA*")</f>
        <v>0</v>
      </c>
      <c r="F747">
        <f>COUNTIF('Metrics - Articles'!H746,"*APJ")</f>
        <v>0</v>
      </c>
      <c r="G747">
        <f>COUNTIF('Metrics - Articles'!H746,"*LATAM*")</f>
        <v>0</v>
      </c>
      <c r="H747">
        <f>COUNTIF('Metrics - Articles'!H746,"*China*")</f>
        <v>0</v>
      </c>
      <c r="J747" s="53">
        <f t="shared" si="12"/>
        <v>0</v>
      </c>
    </row>
    <row r="748" spans="2:10" x14ac:dyDescent="0.25">
      <c r="B748" s="48">
        <f>+'Metrics - Articles'!C747</f>
        <v>0</v>
      </c>
      <c r="C748">
        <f>COUNTIF('Metrics - Articles'!H747,"*Global*")</f>
        <v>0</v>
      </c>
      <c r="D748">
        <f>COUNTIF('Metrics - Articles'!H747,"*EMEA*")</f>
        <v>0</v>
      </c>
      <c r="E748">
        <f>COUNTIF('Metrics - Articles'!H747,"*NA*")</f>
        <v>0</v>
      </c>
      <c r="F748">
        <f>COUNTIF('Metrics - Articles'!H747,"*APJ")</f>
        <v>0</v>
      </c>
      <c r="G748">
        <f>COUNTIF('Metrics - Articles'!H747,"*LATAM*")</f>
        <v>0</v>
      </c>
      <c r="H748">
        <f>COUNTIF('Metrics - Articles'!H747,"*China*")</f>
        <v>0</v>
      </c>
      <c r="J748" s="53">
        <f t="shared" si="12"/>
        <v>0</v>
      </c>
    </row>
    <row r="749" spans="2:10" x14ac:dyDescent="0.25">
      <c r="B749" s="48">
        <f>+'Metrics - Articles'!C748</f>
        <v>0</v>
      </c>
      <c r="C749">
        <f>COUNTIF('Metrics - Articles'!H748,"*Global*")</f>
        <v>0</v>
      </c>
      <c r="D749">
        <f>COUNTIF('Metrics - Articles'!H748,"*EMEA*")</f>
        <v>0</v>
      </c>
      <c r="E749">
        <f>COUNTIF('Metrics - Articles'!H748,"*NA*")</f>
        <v>0</v>
      </c>
      <c r="F749">
        <f>COUNTIF('Metrics - Articles'!H748,"*APJ")</f>
        <v>0</v>
      </c>
      <c r="G749">
        <f>COUNTIF('Metrics - Articles'!H748,"*LATAM*")</f>
        <v>0</v>
      </c>
      <c r="H749">
        <f>COUNTIF('Metrics - Articles'!H748,"*China*")</f>
        <v>0</v>
      </c>
      <c r="J749" s="53">
        <f t="shared" si="12"/>
        <v>0</v>
      </c>
    </row>
    <row r="750" spans="2:10" x14ac:dyDescent="0.25">
      <c r="B750" s="48">
        <f>+'Metrics - Articles'!C749</f>
        <v>0</v>
      </c>
      <c r="C750">
        <f>COUNTIF('Metrics - Articles'!H749,"*Global*")</f>
        <v>0</v>
      </c>
      <c r="D750">
        <f>COUNTIF('Metrics - Articles'!H749,"*EMEA*")</f>
        <v>0</v>
      </c>
      <c r="E750">
        <f>COUNTIF('Metrics - Articles'!H749,"*NA*")</f>
        <v>0</v>
      </c>
      <c r="F750">
        <f>COUNTIF('Metrics - Articles'!H749,"*APJ")</f>
        <v>0</v>
      </c>
      <c r="G750">
        <f>COUNTIF('Metrics - Articles'!H749,"*LATAM*")</f>
        <v>0</v>
      </c>
      <c r="H750">
        <f>COUNTIF('Metrics - Articles'!H749,"*China*")</f>
        <v>0</v>
      </c>
      <c r="J750" s="53">
        <f t="shared" si="12"/>
        <v>0</v>
      </c>
    </row>
    <row r="751" spans="2:10" x14ac:dyDescent="0.25">
      <c r="B751" s="48">
        <f>+'Metrics - Articles'!C750</f>
        <v>0</v>
      </c>
      <c r="C751">
        <f>COUNTIF('Metrics - Articles'!H750,"*Global*")</f>
        <v>0</v>
      </c>
      <c r="D751">
        <f>COUNTIF('Metrics - Articles'!H750,"*EMEA*")</f>
        <v>0</v>
      </c>
      <c r="E751">
        <f>COUNTIF('Metrics - Articles'!H750,"*NA*")</f>
        <v>0</v>
      </c>
      <c r="F751">
        <f>COUNTIF('Metrics - Articles'!H750,"*APJ")</f>
        <v>0</v>
      </c>
      <c r="G751">
        <f>COUNTIF('Metrics - Articles'!H750,"*LATAM*")</f>
        <v>0</v>
      </c>
      <c r="H751">
        <f>COUNTIF('Metrics - Articles'!H750,"*China*")</f>
        <v>0</v>
      </c>
      <c r="J751" s="53">
        <f t="shared" si="12"/>
        <v>0</v>
      </c>
    </row>
    <row r="752" spans="2:10" x14ac:dyDescent="0.25">
      <c r="B752" s="48">
        <f>+'Metrics - Articles'!C751</f>
        <v>0</v>
      </c>
      <c r="C752">
        <f>COUNTIF('Metrics - Articles'!H751,"*Global*")</f>
        <v>0</v>
      </c>
      <c r="D752">
        <f>COUNTIF('Metrics - Articles'!H751,"*EMEA*")</f>
        <v>0</v>
      </c>
      <c r="E752">
        <f>COUNTIF('Metrics - Articles'!H751,"*NA*")</f>
        <v>0</v>
      </c>
      <c r="F752">
        <f>COUNTIF('Metrics - Articles'!H751,"*APJ")</f>
        <v>0</v>
      </c>
      <c r="G752">
        <f>COUNTIF('Metrics - Articles'!H751,"*LATAM*")</f>
        <v>0</v>
      </c>
      <c r="H752">
        <f>COUNTIF('Metrics - Articles'!H751,"*China*")</f>
        <v>0</v>
      </c>
      <c r="J752" s="53">
        <f t="shared" si="12"/>
        <v>0</v>
      </c>
    </row>
    <row r="753" spans="2:10" x14ac:dyDescent="0.25">
      <c r="B753" s="48">
        <f>+'Metrics - Articles'!C752</f>
        <v>0</v>
      </c>
      <c r="C753">
        <f>COUNTIF('Metrics - Articles'!H752,"*Global*")</f>
        <v>0</v>
      </c>
      <c r="D753">
        <f>COUNTIF('Metrics - Articles'!H752,"*EMEA*")</f>
        <v>0</v>
      </c>
      <c r="E753">
        <f>COUNTIF('Metrics - Articles'!H752,"*NA*")</f>
        <v>0</v>
      </c>
      <c r="F753">
        <f>COUNTIF('Metrics - Articles'!H752,"*APJ")</f>
        <v>0</v>
      </c>
      <c r="G753">
        <f>COUNTIF('Metrics - Articles'!H752,"*LATAM*")</f>
        <v>0</v>
      </c>
      <c r="H753">
        <f>COUNTIF('Metrics - Articles'!H752,"*China*")</f>
        <v>0</v>
      </c>
      <c r="J753" s="53">
        <f t="shared" si="12"/>
        <v>0</v>
      </c>
    </row>
    <row r="754" spans="2:10" x14ac:dyDescent="0.25">
      <c r="B754" s="48">
        <f>+'Metrics - Articles'!C753</f>
        <v>0</v>
      </c>
      <c r="C754">
        <f>COUNTIF('Metrics - Articles'!H753,"*Global*")</f>
        <v>0</v>
      </c>
      <c r="D754">
        <f>COUNTIF('Metrics - Articles'!H753,"*EMEA*")</f>
        <v>0</v>
      </c>
      <c r="E754">
        <f>COUNTIF('Metrics - Articles'!H753,"*NA*")</f>
        <v>0</v>
      </c>
      <c r="F754">
        <f>COUNTIF('Metrics - Articles'!H753,"*APJ")</f>
        <v>0</v>
      </c>
      <c r="G754">
        <f>COUNTIF('Metrics - Articles'!H753,"*LATAM*")</f>
        <v>0</v>
      </c>
      <c r="H754">
        <f>COUNTIF('Metrics - Articles'!H753,"*China*")</f>
        <v>0</v>
      </c>
      <c r="J754" s="53">
        <f t="shared" si="12"/>
        <v>0</v>
      </c>
    </row>
    <row r="755" spans="2:10" x14ac:dyDescent="0.25">
      <c r="B755" s="48">
        <f>+'Metrics - Articles'!C754</f>
        <v>0</v>
      </c>
      <c r="C755">
        <f>COUNTIF('Metrics - Articles'!H754,"*Global*")</f>
        <v>0</v>
      </c>
      <c r="D755">
        <f>COUNTIF('Metrics - Articles'!H754,"*EMEA*")</f>
        <v>0</v>
      </c>
      <c r="E755">
        <f>COUNTIF('Metrics - Articles'!H754,"*NA*")</f>
        <v>0</v>
      </c>
      <c r="F755">
        <f>COUNTIF('Metrics - Articles'!H754,"*APJ")</f>
        <v>0</v>
      </c>
      <c r="G755">
        <f>COUNTIF('Metrics - Articles'!H754,"*LATAM*")</f>
        <v>0</v>
      </c>
      <c r="H755">
        <f>COUNTIF('Metrics - Articles'!H754,"*China*")</f>
        <v>0</v>
      </c>
      <c r="J755" s="53">
        <f t="shared" si="12"/>
        <v>0</v>
      </c>
    </row>
    <row r="756" spans="2:10" x14ac:dyDescent="0.25">
      <c r="B756" s="48">
        <f>+'Metrics - Articles'!C755</f>
        <v>0</v>
      </c>
      <c r="C756">
        <f>COUNTIF('Metrics - Articles'!H755,"*Global*")</f>
        <v>0</v>
      </c>
      <c r="D756">
        <f>COUNTIF('Metrics - Articles'!H755,"*EMEA*")</f>
        <v>0</v>
      </c>
      <c r="E756">
        <f>COUNTIF('Metrics - Articles'!H755,"*NA*")</f>
        <v>0</v>
      </c>
      <c r="F756">
        <f>COUNTIF('Metrics - Articles'!H755,"*APJ")</f>
        <v>0</v>
      </c>
      <c r="G756">
        <f>COUNTIF('Metrics - Articles'!H755,"*LATAM*")</f>
        <v>0</v>
      </c>
      <c r="H756">
        <f>COUNTIF('Metrics - Articles'!H755,"*China*")</f>
        <v>0</v>
      </c>
      <c r="J756" s="53">
        <f t="shared" si="12"/>
        <v>0</v>
      </c>
    </row>
    <row r="757" spans="2:10" x14ac:dyDescent="0.25">
      <c r="B757" s="48">
        <f>+'Metrics - Articles'!C756</f>
        <v>0</v>
      </c>
      <c r="C757">
        <f>COUNTIF('Metrics - Articles'!H756,"*Global*")</f>
        <v>0</v>
      </c>
      <c r="D757">
        <f>COUNTIF('Metrics - Articles'!H756,"*EMEA*")</f>
        <v>0</v>
      </c>
      <c r="E757">
        <f>COUNTIF('Metrics - Articles'!H756,"*NA*")</f>
        <v>0</v>
      </c>
      <c r="F757">
        <f>COUNTIF('Metrics - Articles'!H756,"*APJ")</f>
        <v>0</v>
      </c>
      <c r="G757">
        <f>COUNTIF('Metrics - Articles'!H756,"*LATAM*")</f>
        <v>0</v>
      </c>
      <c r="H757">
        <f>COUNTIF('Metrics - Articles'!H756,"*China*")</f>
        <v>0</v>
      </c>
      <c r="J757" s="53">
        <f t="shared" si="12"/>
        <v>0</v>
      </c>
    </row>
    <row r="758" spans="2:10" x14ac:dyDescent="0.25">
      <c r="B758" s="48">
        <f>+'Metrics - Articles'!C757</f>
        <v>0</v>
      </c>
      <c r="C758">
        <f>COUNTIF('Metrics - Articles'!H757,"*Global*")</f>
        <v>0</v>
      </c>
      <c r="D758">
        <f>COUNTIF('Metrics - Articles'!H757,"*EMEA*")</f>
        <v>0</v>
      </c>
      <c r="E758">
        <f>COUNTIF('Metrics - Articles'!H757,"*NA*")</f>
        <v>0</v>
      </c>
      <c r="F758">
        <f>COUNTIF('Metrics - Articles'!H757,"*APJ")</f>
        <v>0</v>
      </c>
      <c r="G758">
        <f>COUNTIF('Metrics - Articles'!H757,"*LATAM*")</f>
        <v>0</v>
      </c>
      <c r="H758">
        <f>COUNTIF('Metrics - Articles'!H757,"*China*")</f>
        <v>0</v>
      </c>
      <c r="J758" s="53">
        <f t="shared" si="12"/>
        <v>0</v>
      </c>
    </row>
    <row r="759" spans="2:10" x14ac:dyDescent="0.25">
      <c r="B759" s="48">
        <f>+'Metrics - Articles'!C758</f>
        <v>0</v>
      </c>
      <c r="C759">
        <f>COUNTIF('Metrics - Articles'!H758,"*Global*")</f>
        <v>0</v>
      </c>
      <c r="D759">
        <f>COUNTIF('Metrics - Articles'!H758,"*EMEA*")</f>
        <v>0</v>
      </c>
      <c r="E759">
        <f>COUNTIF('Metrics - Articles'!H758,"*NA*")</f>
        <v>0</v>
      </c>
      <c r="F759">
        <f>COUNTIF('Metrics - Articles'!H758,"*APJ")</f>
        <v>0</v>
      </c>
      <c r="G759">
        <f>COUNTIF('Metrics - Articles'!H758,"*LATAM*")</f>
        <v>0</v>
      </c>
      <c r="H759">
        <f>COUNTIF('Metrics - Articles'!H758,"*China*")</f>
        <v>0</v>
      </c>
      <c r="J759" s="53">
        <f t="shared" si="12"/>
        <v>0</v>
      </c>
    </row>
    <row r="760" spans="2:10" x14ac:dyDescent="0.25">
      <c r="B760" s="48">
        <f>+'Metrics - Articles'!C759</f>
        <v>0</v>
      </c>
      <c r="C760">
        <f>COUNTIF('Metrics - Articles'!H759,"*Global*")</f>
        <v>0</v>
      </c>
      <c r="D760">
        <f>COUNTIF('Metrics - Articles'!H759,"*EMEA*")</f>
        <v>0</v>
      </c>
      <c r="E760">
        <f>COUNTIF('Metrics - Articles'!H759,"*NA*")</f>
        <v>0</v>
      </c>
      <c r="F760">
        <f>COUNTIF('Metrics - Articles'!H759,"*APJ")</f>
        <v>0</v>
      </c>
      <c r="G760">
        <f>COUNTIF('Metrics - Articles'!H759,"*LATAM*")</f>
        <v>0</v>
      </c>
      <c r="H760">
        <f>COUNTIF('Metrics - Articles'!H759,"*China*")</f>
        <v>0</v>
      </c>
      <c r="J760" s="53">
        <f t="shared" si="12"/>
        <v>0</v>
      </c>
    </row>
    <row r="761" spans="2:10" x14ac:dyDescent="0.25">
      <c r="B761" s="48">
        <f>+'Metrics - Articles'!C760</f>
        <v>0</v>
      </c>
      <c r="C761">
        <f>COUNTIF('Metrics - Articles'!H760,"*Global*")</f>
        <v>0</v>
      </c>
      <c r="D761">
        <f>COUNTIF('Metrics - Articles'!H760,"*EMEA*")</f>
        <v>0</v>
      </c>
      <c r="E761">
        <f>COUNTIF('Metrics - Articles'!H760,"*NA*")</f>
        <v>0</v>
      </c>
      <c r="F761">
        <f>COUNTIF('Metrics - Articles'!H760,"*APJ")</f>
        <v>0</v>
      </c>
      <c r="G761">
        <f>COUNTIF('Metrics - Articles'!H760,"*LATAM*")</f>
        <v>0</v>
      </c>
      <c r="H761">
        <f>COUNTIF('Metrics - Articles'!H760,"*China*")</f>
        <v>0</v>
      </c>
      <c r="J761" s="53">
        <f t="shared" si="12"/>
        <v>0</v>
      </c>
    </row>
    <row r="762" spans="2:10" x14ac:dyDescent="0.25">
      <c r="B762" s="48">
        <f>+'Metrics - Articles'!C761</f>
        <v>0</v>
      </c>
      <c r="C762">
        <f>COUNTIF('Metrics - Articles'!H761,"*Global*")</f>
        <v>0</v>
      </c>
      <c r="D762">
        <f>COUNTIF('Metrics - Articles'!H761,"*EMEA*")</f>
        <v>0</v>
      </c>
      <c r="E762">
        <f>COUNTIF('Metrics - Articles'!H761,"*NA*")</f>
        <v>0</v>
      </c>
      <c r="F762">
        <f>COUNTIF('Metrics - Articles'!H761,"*APJ")</f>
        <v>0</v>
      </c>
      <c r="G762">
        <f>COUNTIF('Metrics - Articles'!H761,"*LATAM*")</f>
        <v>0</v>
      </c>
      <c r="H762">
        <f>COUNTIF('Metrics - Articles'!H761,"*China*")</f>
        <v>0</v>
      </c>
      <c r="J762" s="53">
        <f t="shared" si="12"/>
        <v>0</v>
      </c>
    </row>
    <row r="763" spans="2:10" x14ac:dyDescent="0.25">
      <c r="B763" s="48">
        <f>+'Metrics - Articles'!C762</f>
        <v>0</v>
      </c>
      <c r="C763">
        <f>COUNTIF('Metrics - Articles'!H762,"*Global*")</f>
        <v>0</v>
      </c>
      <c r="D763">
        <f>COUNTIF('Metrics - Articles'!H762,"*EMEA*")</f>
        <v>0</v>
      </c>
      <c r="E763">
        <f>COUNTIF('Metrics - Articles'!H762,"*NA*")</f>
        <v>0</v>
      </c>
      <c r="F763">
        <f>COUNTIF('Metrics - Articles'!H762,"*APJ")</f>
        <v>0</v>
      </c>
      <c r="G763">
        <f>COUNTIF('Metrics - Articles'!H762,"*LATAM*")</f>
        <v>0</v>
      </c>
      <c r="H763">
        <f>COUNTIF('Metrics - Articles'!H762,"*China*")</f>
        <v>0</v>
      </c>
      <c r="J763" s="53">
        <f t="shared" si="12"/>
        <v>0</v>
      </c>
    </row>
    <row r="764" spans="2:10" x14ac:dyDescent="0.25">
      <c r="B764" s="48">
        <f>+'Metrics - Articles'!C763</f>
        <v>0</v>
      </c>
      <c r="C764">
        <f>COUNTIF('Metrics - Articles'!H763,"*Global*")</f>
        <v>0</v>
      </c>
      <c r="D764">
        <f>COUNTIF('Metrics - Articles'!H763,"*EMEA*")</f>
        <v>0</v>
      </c>
      <c r="E764">
        <f>COUNTIF('Metrics - Articles'!H763,"*NA*")</f>
        <v>0</v>
      </c>
      <c r="F764">
        <f>COUNTIF('Metrics - Articles'!H763,"*APJ")</f>
        <v>0</v>
      </c>
      <c r="G764">
        <f>COUNTIF('Metrics - Articles'!H763,"*LATAM*")</f>
        <v>0</v>
      </c>
      <c r="H764">
        <f>COUNTIF('Metrics - Articles'!H763,"*China*")</f>
        <v>0</v>
      </c>
      <c r="J764" s="53">
        <f t="shared" si="12"/>
        <v>0</v>
      </c>
    </row>
    <row r="765" spans="2:10" x14ac:dyDescent="0.25">
      <c r="B765" s="48">
        <f>+'Metrics - Articles'!C764</f>
        <v>0</v>
      </c>
      <c r="C765">
        <f>COUNTIF('Metrics - Articles'!H764,"*Global*")</f>
        <v>0</v>
      </c>
      <c r="D765">
        <f>COUNTIF('Metrics - Articles'!H764,"*EMEA*")</f>
        <v>0</v>
      </c>
      <c r="E765">
        <f>COUNTIF('Metrics - Articles'!H764,"*NA*")</f>
        <v>0</v>
      </c>
      <c r="F765">
        <f>COUNTIF('Metrics - Articles'!H764,"*APJ")</f>
        <v>0</v>
      </c>
      <c r="G765">
        <f>COUNTIF('Metrics - Articles'!H764,"*LATAM*")</f>
        <v>0</v>
      </c>
      <c r="H765">
        <f>COUNTIF('Metrics - Articles'!H764,"*China*")</f>
        <v>0</v>
      </c>
      <c r="J765" s="53">
        <f t="shared" si="12"/>
        <v>0</v>
      </c>
    </row>
    <row r="766" spans="2:10" x14ac:dyDescent="0.25">
      <c r="B766" s="48">
        <f>+'Metrics - Articles'!C765</f>
        <v>0</v>
      </c>
      <c r="C766">
        <f>COUNTIF('Metrics - Articles'!H765,"*Global*")</f>
        <v>0</v>
      </c>
      <c r="D766">
        <f>COUNTIF('Metrics - Articles'!H765,"*EMEA*")</f>
        <v>0</v>
      </c>
      <c r="E766">
        <f>COUNTIF('Metrics - Articles'!H765,"*NA*")</f>
        <v>0</v>
      </c>
      <c r="F766">
        <f>COUNTIF('Metrics - Articles'!H765,"*APJ")</f>
        <v>0</v>
      </c>
      <c r="G766">
        <f>COUNTIF('Metrics - Articles'!H765,"*LATAM*")</f>
        <v>0</v>
      </c>
      <c r="H766">
        <f>COUNTIF('Metrics - Articles'!H765,"*China*")</f>
        <v>0</v>
      </c>
      <c r="J766" s="53">
        <f t="shared" si="12"/>
        <v>0</v>
      </c>
    </row>
    <row r="767" spans="2:10" x14ac:dyDescent="0.25">
      <c r="B767" s="48">
        <f>+'Metrics - Articles'!C766</f>
        <v>0</v>
      </c>
      <c r="C767">
        <f>COUNTIF('Metrics - Articles'!H766,"*Global*")</f>
        <v>0</v>
      </c>
      <c r="D767">
        <f>COUNTIF('Metrics - Articles'!H766,"*EMEA*")</f>
        <v>0</v>
      </c>
      <c r="E767">
        <f>COUNTIF('Metrics - Articles'!H766,"*NA*")</f>
        <v>0</v>
      </c>
      <c r="F767">
        <f>COUNTIF('Metrics - Articles'!H766,"*APJ")</f>
        <v>0</v>
      </c>
      <c r="G767">
        <f>COUNTIF('Metrics - Articles'!H766,"*LATAM*")</f>
        <v>0</v>
      </c>
      <c r="H767">
        <f>COUNTIF('Metrics - Articles'!H766,"*China*")</f>
        <v>0</v>
      </c>
      <c r="J767" s="53">
        <f t="shared" si="12"/>
        <v>0</v>
      </c>
    </row>
    <row r="768" spans="2:10" x14ac:dyDescent="0.25">
      <c r="B768" s="48">
        <f>+'Metrics - Articles'!C767</f>
        <v>0</v>
      </c>
      <c r="C768">
        <f>COUNTIF('Metrics - Articles'!H767,"*Global*")</f>
        <v>0</v>
      </c>
      <c r="D768">
        <f>COUNTIF('Metrics - Articles'!H767,"*EMEA*")</f>
        <v>0</v>
      </c>
      <c r="E768">
        <f>COUNTIF('Metrics - Articles'!H767,"*NA*")</f>
        <v>0</v>
      </c>
      <c r="F768">
        <f>COUNTIF('Metrics - Articles'!H767,"*APJ")</f>
        <v>0</v>
      </c>
      <c r="G768">
        <f>COUNTIF('Metrics - Articles'!H767,"*LATAM*")</f>
        <v>0</v>
      </c>
      <c r="H768">
        <f>COUNTIF('Metrics - Articles'!H767,"*China*")</f>
        <v>0</v>
      </c>
      <c r="J768" s="53">
        <f t="shared" si="12"/>
        <v>0</v>
      </c>
    </row>
    <row r="769" spans="2:10" x14ac:dyDescent="0.25">
      <c r="B769" s="48">
        <f>+'Metrics - Articles'!C768</f>
        <v>0</v>
      </c>
      <c r="C769">
        <f>COUNTIF('Metrics - Articles'!H768,"*Global*")</f>
        <v>0</v>
      </c>
      <c r="D769">
        <f>COUNTIF('Metrics - Articles'!H768,"*EMEA*")</f>
        <v>0</v>
      </c>
      <c r="E769">
        <f>COUNTIF('Metrics - Articles'!H768,"*NA*")</f>
        <v>0</v>
      </c>
      <c r="F769">
        <f>COUNTIF('Metrics - Articles'!H768,"*APJ")</f>
        <v>0</v>
      </c>
      <c r="G769">
        <f>COUNTIF('Metrics - Articles'!H768,"*LATAM*")</f>
        <v>0</v>
      </c>
      <c r="H769">
        <f>COUNTIF('Metrics - Articles'!H768,"*China*")</f>
        <v>0</v>
      </c>
      <c r="J769" s="53">
        <f t="shared" si="12"/>
        <v>0</v>
      </c>
    </row>
    <row r="770" spans="2:10" x14ac:dyDescent="0.25">
      <c r="B770" s="48">
        <f>+'Metrics - Articles'!C769</f>
        <v>0</v>
      </c>
      <c r="C770">
        <f>COUNTIF('Metrics - Articles'!H769,"*Global*")</f>
        <v>0</v>
      </c>
      <c r="D770">
        <f>COUNTIF('Metrics - Articles'!H769,"*EMEA*")</f>
        <v>0</v>
      </c>
      <c r="E770">
        <f>COUNTIF('Metrics - Articles'!H769,"*NA*")</f>
        <v>0</v>
      </c>
      <c r="F770">
        <f>COUNTIF('Metrics - Articles'!H769,"*APJ")</f>
        <v>0</v>
      </c>
      <c r="G770">
        <f>COUNTIF('Metrics - Articles'!H769,"*LATAM*")</f>
        <v>0</v>
      </c>
      <c r="H770">
        <f>COUNTIF('Metrics - Articles'!H769,"*China*")</f>
        <v>0</v>
      </c>
      <c r="J770" s="53">
        <f t="shared" si="12"/>
        <v>0</v>
      </c>
    </row>
    <row r="771" spans="2:10" x14ac:dyDescent="0.25">
      <c r="B771" s="48">
        <f>+'Metrics - Articles'!C770</f>
        <v>0</v>
      </c>
      <c r="C771">
        <f>COUNTIF('Metrics - Articles'!H770,"*Global*")</f>
        <v>0</v>
      </c>
      <c r="D771">
        <f>COUNTIF('Metrics - Articles'!H770,"*EMEA*")</f>
        <v>0</v>
      </c>
      <c r="E771">
        <f>COUNTIF('Metrics - Articles'!H770,"*NA*")</f>
        <v>0</v>
      </c>
      <c r="F771">
        <f>COUNTIF('Metrics - Articles'!H770,"*APJ")</f>
        <v>0</v>
      </c>
      <c r="G771">
        <f>COUNTIF('Metrics - Articles'!H770,"*LATAM*")</f>
        <v>0</v>
      </c>
      <c r="H771">
        <f>COUNTIF('Metrics - Articles'!H770,"*China*")</f>
        <v>0</v>
      </c>
      <c r="J771" s="53">
        <f t="shared" si="12"/>
        <v>0</v>
      </c>
    </row>
    <row r="772" spans="2:10" x14ac:dyDescent="0.25">
      <c r="B772" s="48">
        <f>+'Metrics - Articles'!C771</f>
        <v>0</v>
      </c>
      <c r="C772">
        <f>COUNTIF('Metrics - Articles'!H771,"*Global*")</f>
        <v>0</v>
      </c>
      <c r="D772">
        <f>COUNTIF('Metrics - Articles'!H771,"*EMEA*")</f>
        <v>0</v>
      </c>
      <c r="E772">
        <f>COUNTIF('Metrics - Articles'!H771,"*NA*")</f>
        <v>0</v>
      </c>
      <c r="F772">
        <f>COUNTIF('Metrics - Articles'!H771,"*APJ")</f>
        <v>0</v>
      </c>
      <c r="G772">
        <f>COUNTIF('Metrics - Articles'!H771,"*LATAM*")</f>
        <v>0</v>
      </c>
      <c r="H772">
        <f>COUNTIF('Metrics - Articles'!H771,"*China*")</f>
        <v>0</v>
      </c>
      <c r="J772" s="53">
        <f t="shared" si="12"/>
        <v>0</v>
      </c>
    </row>
    <row r="773" spans="2:10" x14ac:dyDescent="0.25">
      <c r="B773" s="48">
        <f>+'Metrics - Articles'!C772</f>
        <v>0</v>
      </c>
      <c r="C773">
        <f>COUNTIF('Metrics - Articles'!H772,"*Global*")</f>
        <v>0</v>
      </c>
      <c r="D773">
        <f>COUNTIF('Metrics - Articles'!H772,"*EMEA*")</f>
        <v>0</v>
      </c>
      <c r="E773">
        <f>COUNTIF('Metrics - Articles'!H772,"*NA*")</f>
        <v>0</v>
      </c>
      <c r="F773">
        <f>COUNTIF('Metrics - Articles'!H772,"*APJ")</f>
        <v>0</v>
      </c>
      <c r="G773">
        <f>COUNTIF('Metrics - Articles'!H772,"*LATAM*")</f>
        <v>0</v>
      </c>
      <c r="H773">
        <f>COUNTIF('Metrics - Articles'!H772,"*China*")</f>
        <v>0</v>
      </c>
      <c r="J773" s="53">
        <f t="shared" si="12"/>
        <v>0</v>
      </c>
    </row>
    <row r="774" spans="2:10" x14ac:dyDescent="0.25">
      <c r="B774" s="48">
        <f>+'Metrics - Articles'!C773</f>
        <v>0</v>
      </c>
      <c r="C774">
        <f>COUNTIF('Metrics - Articles'!H773,"*Global*")</f>
        <v>0</v>
      </c>
      <c r="D774">
        <f>COUNTIF('Metrics - Articles'!H773,"*EMEA*")</f>
        <v>0</v>
      </c>
      <c r="E774">
        <f>COUNTIF('Metrics - Articles'!H773,"*NA*")</f>
        <v>0</v>
      </c>
      <c r="F774">
        <f>COUNTIF('Metrics - Articles'!H773,"*APJ")</f>
        <v>0</v>
      </c>
      <c r="G774">
        <f>COUNTIF('Metrics - Articles'!H773,"*LATAM*")</f>
        <v>0</v>
      </c>
      <c r="H774">
        <f>COUNTIF('Metrics - Articles'!H773,"*China*")</f>
        <v>0</v>
      </c>
      <c r="J774" s="53">
        <f t="shared" si="12"/>
        <v>0</v>
      </c>
    </row>
    <row r="775" spans="2:10" x14ac:dyDescent="0.25">
      <c r="B775" s="48">
        <f>+'Metrics - Articles'!C774</f>
        <v>0</v>
      </c>
      <c r="C775">
        <f>COUNTIF('Metrics - Articles'!H774,"*Global*")</f>
        <v>0</v>
      </c>
      <c r="D775">
        <f>COUNTIF('Metrics - Articles'!H774,"*EMEA*")</f>
        <v>0</v>
      </c>
      <c r="E775">
        <f>COUNTIF('Metrics - Articles'!H774,"*NA*")</f>
        <v>0</v>
      </c>
      <c r="F775">
        <f>COUNTIF('Metrics - Articles'!H774,"*APJ")</f>
        <v>0</v>
      </c>
      <c r="G775">
        <f>COUNTIF('Metrics - Articles'!H774,"*LATAM*")</f>
        <v>0</v>
      </c>
      <c r="H775">
        <f>COUNTIF('Metrics - Articles'!H774,"*China*")</f>
        <v>0</v>
      </c>
      <c r="J775" s="53">
        <f t="shared" si="12"/>
        <v>0</v>
      </c>
    </row>
    <row r="776" spans="2:10" x14ac:dyDescent="0.25">
      <c r="B776" s="48">
        <f>+'Metrics - Articles'!C775</f>
        <v>0</v>
      </c>
      <c r="C776">
        <f>COUNTIF('Metrics - Articles'!H775,"*Global*")</f>
        <v>0</v>
      </c>
      <c r="D776">
        <f>COUNTIF('Metrics - Articles'!H775,"*EMEA*")</f>
        <v>0</v>
      </c>
      <c r="E776">
        <f>COUNTIF('Metrics - Articles'!H775,"*NA*")</f>
        <v>0</v>
      </c>
      <c r="F776">
        <f>COUNTIF('Metrics - Articles'!H775,"*APJ")</f>
        <v>0</v>
      </c>
      <c r="G776">
        <f>COUNTIF('Metrics - Articles'!H775,"*LATAM*")</f>
        <v>0</v>
      </c>
      <c r="H776">
        <f>COUNTIF('Metrics - Articles'!H775,"*China*")</f>
        <v>0</v>
      </c>
      <c r="J776" s="53">
        <f t="shared" si="12"/>
        <v>0</v>
      </c>
    </row>
    <row r="777" spans="2:10" x14ac:dyDescent="0.25">
      <c r="B777" s="48">
        <f>+'Metrics - Articles'!C776</f>
        <v>0</v>
      </c>
      <c r="C777">
        <f>COUNTIF('Metrics - Articles'!H776,"*Global*")</f>
        <v>0</v>
      </c>
      <c r="D777">
        <f>COUNTIF('Metrics - Articles'!H776,"*EMEA*")</f>
        <v>0</v>
      </c>
      <c r="E777">
        <f>COUNTIF('Metrics - Articles'!H776,"*NA*")</f>
        <v>0</v>
      </c>
      <c r="F777">
        <f>COUNTIF('Metrics - Articles'!H776,"*APJ")</f>
        <v>0</v>
      </c>
      <c r="G777">
        <f>COUNTIF('Metrics - Articles'!H776,"*LATAM*")</f>
        <v>0</v>
      </c>
      <c r="H777">
        <f>COUNTIF('Metrics - Articles'!H776,"*China*")</f>
        <v>0</v>
      </c>
      <c r="J777" s="53">
        <f t="shared" si="12"/>
        <v>0</v>
      </c>
    </row>
    <row r="778" spans="2:10" x14ac:dyDescent="0.25">
      <c r="B778" s="48">
        <f>+'Metrics - Articles'!C777</f>
        <v>0</v>
      </c>
      <c r="C778">
        <f>COUNTIF('Metrics - Articles'!H777,"*Global*")</f>
        <v>0</v>
      </c>
      <c r="D778">
        <f>COUNTIF('Metrics - Articles'!H777,"*EMEA*")</f>
        <v>0</v>
      </c>
      <c r="E778">
        <f>COUNTIF('Metrics - Articles'!H777,"*NA*")</f>
        <v>0</v>
      </c>
      <c r="F778">
        <f>COUNTIF('Metrics - Articles'!H777,"*APJ")</f>
        <v>0</v>
      </c>
      <c r="G778">
        <f>COUNTIF('Metrics - Articles'!H777,"*LATAM*")</f>
        <v>0</v>
      </c>
      <c r="H778">
        <f>COUNTIF('Metrics - Articles'!H777,"*China*")</f>
        <v>0</v>
      </c>
      <c r="J778" s="53">
        <f t="shared" ref="J778:J841" si="13">SUM(C778:I778)</f>
        <v>0</v>
      </c>
    </row>
    <row r="779" spans="2:10" x14ac:dyDescent="0.25">
      <c r="B779" s="48">
        <f>+'Metrics - Articles'!C778</f>
        <v>0</v>
      </c>
      <c r="C779">
        <f>COUNTIF('Metrics - Articles'!H778,"*Global*")</f>
        <v>0</v>
      </c>
      <c r="D779">
        <f>COUNTIF('Metrics - Articles'!H778,"*EMEA*")</f>
        <v>0</v>
      </c>
      <c r="E779">
        <f>COUNTIF('Metrics - Articles'!H778,"*NA*")</f>
        <v>0</v>
      </c>
      <c r="F779">
        <f>COUNTIF('Metrics - Articles'!H778,"*APJ")</f>
        <v>0</v>
      </c>
      <c r="G779">
        <f>COUNTIF('Metrics - Articles'!H778,"*LATAM*")</f>
        <v>0</v>
      </c>
      <c r="H779">
        <f>COUNTIF('Metrics - Articles'!H778,"*China*")</f>
        <v>0</v>
      </c>
      <c r="J779" s="53">
        <f t="shared" si="13"/>
        <v>0</v>
      </c>
    </row>
    <row r="780" spans="2:10" x14ac:dyDescent="0.25">
      <c r="B780" s="48">
        <f>+'Metrics - Articles'!C779</f>
        <v>0</v>
      </c>
      <c r="C780">
        <f>COUNTIF('Metrics - Articles'!H779,"*Global*")</f>
        <v>0</v>
      </c>
      <c r="D780">
        <f>COUNTIF('Metrics - Articles'!H779,"*EMEA*")</f>
        <v>0</v>
      </c>
      <c r="E780">
        <f>COUNTIF('Metrics - Articles'!H779,"*NA*")</f>
        <v>0</v>
      </c>
      <c r="F780">
        <f>COUNTIF('Metrics - Articles'!H779,"*APJ")</f>
        <v>0</v>
      </c>
      <c r="G780">
        <f>COUNTIF('Metrics - Articles'!H779,"*LATAM*")</f>
        <v>0</v>
      </c>
      <c r="H780">
        <f>COUNTIF('Metrics - Articles'!H779,"*China*")</f>
        <v>0</v>
      </c>
      <c r="J780" s="53">
        <f t="shared" si="13"/>
        <v>0</v>
      </c>
    </row>
    <row r="781" spans="2:10" x14ac:dyDescent="0.25">
      <c r="B781" s="48">
        <f>+'Metrics - Articles'!C780</f>
        <v>0</v>
      </c>
      <c r="C781">
        <f>COUNTIF('Metrics - Articles'!H780,"*Global*")</f>
        <v>0</v>
      </c>
      <c r="D781">
        <f>COUNTIF('Metrics - Articles'!H780,"*EMEA*")</f>
        <v>0</v>
      </c>
      <c r="E781">
        <f>COUNTIF('Metrics - Articles'!H780,"*NA*")</f>
        <v>0</v>
      </c>
      <c r="F781">
        <f>COUNTIF('Metrics - Articles'!H780,"*APJ")</f>
        <v>0</v>
      </c>
      <c r="G781">
        <f>COUNTIF('Metrics - Articles'!H780,"*LATAM*")</f>
        <v>0</v>
      </c>
      <c r="H781">
        <f>COUNTIF('Metrics - Articles'!H780,"*China*")</f>
        <v>0</v>
      </c>
      <c r="J781" s="53">
        <f t="shared" si="13"/>
        <v>0</v>
      </c>
    </row>
    <row r="782" spans="2:10" x14ac:dyDescent="0.25">
      <c r="B782" s="48">
        <f>+'Metrics - Articles'!C781</f>
        <v>0</v>
      </c>
      <c r="C782">
        <f>COUNTIF('Metrics - Articles'!H781,"*Global*")</f>
        <v>0</v>
      </c>
      <c r="D782">
        <f>COUNTIF('Metrics - Articles'!H781,"*EMEA*")</f>
        <v>0</v>
      </c>
      <c r="E782">
        <f>COUNTIF('Metrics - Articles'!H781,"*NA*")</f>
        <v>0</v>
      </c>
      <c r="F782">
        <f>COUNTIF('Metrics - Articles'!H781,"*APJ")</f>
        <v>0</v>
      </c>
      <c r="G782">
        <f>COUNTIF('Metrics - Articles'!H781,"*LATAM*")</f>
        <v>0</v>
      </c>
      <c r="H782">
        <f>COUNTIF('Metrics - Articles'!H781,"*China*")</f>
        <v>0</v>
      </c>
      <c r="J782" s="53">
        <f t="shared" si="13"/>
        <v>0</v>
      </c>
    </row>
    <row r="783" spans="2:10" x14ac:dyDescent="0.25">
      <c r="B783" s="48">
        <f>+'Metrics - Articles'!C782</f>
        <v>0</v>
      </c>
      <c r="C783">
        <f>COUNTIF('Metrics - Articles'!H782,"*Global*")</f>
        <v>0</v>
      </c>
      <c r="D783">
        <f>COUNTIF('Metrics - Articles'!H782,"*EMEA*")</f>
        <v>0</v>
      </c>
      <c r="E783">
        <f>COUNTIF('Metrics - Articles'!H782,"*NA*")</f>
        <v>0</v>
      </c>
      <c r="F783">
        <f>COUNTIF('Metrics - Articles'!H782,"*APJ")</f>
        <v>0</v>
      </c>
      <c r="G783">
        <f>COUNTIF('Metrics - Articles'!H782,"*LATAM*")</f>
        <v>0</v>
      </c>
      <c r="H783">
        <f>COUNTIF('Metrics - Articles'!H782,"*China*")</f>
        <v>0</v>
      </c>
      <c r="J783" s="53">
        <f t="shared" si="13"/>
        <v>0</v>
      </c>
    </row>
    <row r="784" spans="2:10" x14ac:dyDescent="0.25">
      <c r="B784" s="48">
        <f>+'Metrics - Articles'!C783</f>
        <v>0</v>
      </c>
      <c r="C784">
        <f>COUNTIF('Metrics - Articles'!H783,"*Global*")</f>
        <v>0</v>
      </c>
      <c r="D784">
        <f>COUNTIF('Metrics - Articles'!H783,"*EMEA*")</f>
        <v>0</v>
      </c>
      <c r="E784">
        <f>COUNTIF('Metrics - Articles'!H783,"*NA*")</f>
        <v>0</v>
      </c>
      <c r="F784">
        <f>COUNTIF('Metrics - Articles'!H783,"*APJ")</f>
        <v>0</v>
      </c>
      <c r="G784">
        <f>COUNTIF('Metrics - Articles'!H783,"*LATAM*")</f>
        <v>0</v>
      </c>
      <c r="H784">
        <f>COUNTIF('Metrics - Articles'!H783,"*China*")</f>
        <v>0</v>
      </c>
      <c r="J784" s="53">
        <f t="shared" si="13"/>
        <v>0</v>
      </c>
    </row>
    <row r="785" spans="2:10" x14ac:dyDescent="0.25">
      <c r="B785" s="48">
        <f>+'Metrics - Articles'!C784</f>
        <v>0</v>
      </c>
      <c r="C785">
        <f>COUNTIF('Metrics - Articles'!H784,"*Global*")</f>
        <v>0</v>
      </c>
      <c r="D785">
        <f>COUNTIF('Metrics - Articles'!H784,"*EMEA*")</f>
        <v>0</v>
      </c>
      <c r="E785">
        <f>COUNTIF('Metrics - Articles'!H784,"*NA*")</f>
        <v>0</v>
      </c>
      <c r="F785">
        <f>COUNTIF('Metrics - Articles'!H784,"*APJ")</f>
        <v>0</v>
      </c>
      <c r="G785">
        <f>COUNTIF('Metrics - Articles'!H784,"*LATAM*")</f>
        <v>0</v>
      </c>
      <c r="H785">
        <f>COUNTIF('Metrics - Articles'!H784,"*China*")</f>
        <v>0</v>
      </c>
      <c r="J785" s="53">
        <f t="shared" si="13"/>
        <v>0</v>
      </c>
    </row>
    <row r="786" spans="2:10" x14ac:dyDescent="0.25">
      <c r="B786" s="48">
        <f>+'Metrics - Articles'!C785</f>
        <v>0</v>
      </c>
      <c r="C786">
        <f>COUNTIF('Metrics - Articles'!H785,"*Global*")</f>
        <v>0</v>
      </c>
      <c r="D786">
        <f>COUNTIF('Metrics - Articles'!H785,"*EMEA*")</f>
        <v>0</v>
      </c>
      <c r="E786">
        <f>COUNTIF('Metrics - Articles'!H785,"*NA*")</f>
        <v>0</v>
      </c>
      <c r="F786">
        <f>COUNTIF('Metrics - Articles'!H785,"*APJ")</f>
        <v>0</v>
      </c>
      <c r="G786">
        <f>COUNTIF('Metrics - Articles'!H785,"*LATAM*")</f>
        <v>0</v>
      </c>
      <c r="H786">
        <f>COUNTIF('Metrics - Articles'!H785,"*China*")</f>
        <v>0</v>
      </c>
      <c r="J786" s="53">
        <f t="shared" si="13"/>
        <v>0</v>
      </c>
    </row>
    <row r="787" spans="2:10" x14ac:dyDescent="0.25">
      <c r="B787" s="48">
        <f>+'Metrics - Articles'!C786</f>
        <v>0</v>
      </c>
      <c r="C787">
        <f>COUNTIF('Metrics - Articles'!H786,"*Global*")</f>
        <v>0</v>
      </c>
      <c r="D787">
        <f>COUNTIF('Metrics - Articles'!H786,"*EMEA*")</f>
        <v>0</v>
      </c>
      <c r="E787">
        <f>COUNTIF('Metrics - Articles'!H786,"*NA*")</f>
        <v>0</v>
      </c>
      <c r="F787">
        <f>COUNTIF('Metrics - Articles'!H786,"*APJ")</f>
        <v>0</v>
      </c>
      <c r="G787">
        <f>COUNTIF('Metrics - Articles'!H786,"*LATAM*")</f>
        <v>0</v>
      </c>
      <c r="H787">
        <f>COUNTIF('Metrics - Articles'!H786,"*China*")</f>
        <v>0</v>
      </c>
      <c r="J787" s="53">
        <f t="shared" si="13"/>
        <v>0</v>
      </c>
    </row>
    <row r="788" spans="2:10" x14ac:dyDescent="0.25">
      <c r="B788" s="48">
        <f>+'Metrics - Articles'!C787</f>
        <v>0</v>
      </c>
      <c r="C788">
        <f>COUNTIF('Metrics - Articles'!H787,"*Global*")</f>
        <v>0</v>
      </c>
      <c r="D788">
        <f>COUNTIF('Metrics - Articles'!H787,"*EMEA*")</f>
        <v>0</v>
      </c>
      <c r="E788">
        <f>COUNTIF('Metrics - Articles'!H787,"*NA*")</f>
        <v>0</v>
      </c>
      <c r="F788">
        <f>COUNTIF('Metrics - Articles'!H787,"*APJ")</f>
        <v>0</v>
      </c>
      <c r="G788">
        <f>COUNTIF('Metrics - Articles'!H787,"*LATAM*")</f>
        <v>0</v>
      </c>
      <c r="H788">
        <f>COUNTIF('Metrics - Articles'!H787,"*China*")</f>
        <v>0</v>
      </c>
      <c r="J788" s="53">
        <f t="shared" si="13"/>
        <v>0</v>
      </c>
    </row>
    <row r="789" spans="2:10" x14ac:dyDescent="0.25">
      <c r="B789" s="48">
        <f>+'Metrics - Articles'!C788</f>
        <v>0</v>
      </c>
      <c r="C789">
        <f>COUNTIF('Metrics - Articles'!H788,"*Global*")</f>
        <v>0</v>
      </c>
      <c r="D789">
        <f>COUNTIF('Metrics - Articles'!H788,"*EMEA*")</f>
        <v>0</v>
      </c>
      <c r="E789">
        <f>COUNTIF('Metrics - Articles'!H788,"*NA*")</f>
        <v>0</v>
      </c>
      <c r="F789">
        <f>COUNTIF('Metrics - Articles'!H788,"*APJ")</f>
        <v>0</v>
      </c>
      <c r="G789">
        <f>COUNTIF('Metrics - Articles'!H788,"*LATAM*")</f>
        <v>0</v>
      </c>
      <c r="H789">
        <f>COUNTIF('Metrics - Articles'!H788,"*China*")</f>
        <v>0</v>
      </c>
      <c r="J789" s="53">
        <f t="shared" si="13"/>
        <v>0</v>
      </c>
    </row>
    <row r="790" spans="2:10" x14ac:dyDescent="0.25">
      <c r="B790" s="48">
        <f>+'Metrics - Articles'!C789</f>
        <v>0</v>
      </c>
      <c r="C790">
        <f>COUNTIF('Metrics - Articles'!H789,"*Global*")</f>
        <v>0</v>
      </c>
      <c r="D790">
        <f>COUNTIF('Metrics - Articles'!H789,"*EMEA*")</f>
        <v>0</v>
      </c>
      <c r="E790">
        <f>COUNTIF('Metrics - Articles'!H789,"*NA*")</f>
        <v>0</v>
      </c>
      <c r="F790">
        <f>COUNTIF('Metrics - Articles'!H789,"*APJ")</f>
        <v>0</v>
      </c>
      <c r="G790">
        <f>COUNTIF('Metrics - Articles'!H789,"*LATAM*")</f>
        <v>0</v>
      </c>
      <c r="H790">
        <f>COUNTIF('Metrics - Articles'!H789,"*China*")</f>
        <v>0</v>
      </c>
      <c r="J790" s="53">
        <f t="shared" si="13"/>
        <v>0</v>
      </c>
    </row>
    <row r="791" spans="2:10" x14ac:dyDescent="0.25">
      <c r="B791" s="48">
        <f>+'Metrics - Articles'!C790</f>
        <v>0</v>
      </c>
      <c r="C791">
        <f>COUNTIF('Metrics - Articles'!H790,"*Global*")</f>
        <v>0</v>
      </c>
      <c r="D791">
        <f>COUNTIF('Metrics - Articles'!H790,"*EMEA*")</f>
        <v>0</v>
      </c>
      <c r="E791">
        <f>COUNTIF('Metrics - Articles'!H790,"*NA*")</f>
        <v>0</v>
      </c>
      <c r="F791">
        <f>COUNTIF('Metrics - Articles'!H790,"*APJ")</f>
        <v>0</v>
      </c>
      <c r="G791">
        <f>COUNTIF('Metrics - Articles'!H790,"*LATAM*")</f>
        <v>0</v>
      </c>
      <c r="H791">
        <f>COUNTIF('Metrics - Articles'!H790,"*China*")</f>
        <v>0</v>
      </c>
      <c r="J791" s="53">
        <f t="shared" si="13"/>
        <v>0</v>
      </c>
    </row>
    <row r="792" spans="2:10" x14ac:dyDescent="0.25">
      <c r="B792" s="48">
        <f>+'Metrics - Articles'!C791</f>
        <v>0</v>
      </c>
      <c r="C792">
        <f>COUNTIF('Metrics - Articles'!H791,"*Global*")</f>
        <v>0</v>
      </c>
      <c r="D792">
        <f>COUNTIF('Metrics - Articles'!H791,"*EMEA*")</f>
        <v>0</v>
      </c>
      <c r="E792">
        <f>COUNTIF('Metrics - Articles'!H791,"*NA*")</f>
        <v>0</v>
      </c>
      <c r="F792">
        <f>COUNTIF('Metrics - Articles'!H791,"*APJ")</f>
        <v>0</v>
      </c>
      <c r="G792">
        <f>COUNTIF('Metrics - Articles'!H791,"*LATAM*")</f>
        <v>0</v>
      </c>
      <c r="H792">
        <f>COUNTIF('Metrics - Articles'!H791,"*China*")</f>
        <v>0</v>
      </c>
      <c r="J792" s="53">
        <f t="shared" si="13"/>
        <v>0</v>
      </c>
    </row>
    <row r="793" spans="2:10" x14ac:dyDescent="0.25">
      <c r="B793" s="48">
        <f>+'Metrics - Articles'!C792</f>
        <v>0</v>
      </c>
      <c r="C793">
        <f>COUNTIF('Metrics - Articles'!H792,"*Global*")</f>
        <v>0</v>
      </c>
      <c r="D793">
        <f>COUNTIF('Metrics - Articles'!H792,"*EMEA*")</f>
        <v>0</v>
      </c>
      <c r="E793">
        <f>COUNTIF('Metrics - Articles'!H792,"*NA*")</f>
        <v>0</v>
      </c>
      <c r="F793">
        <f>COUNTIF('Metrics - Articles'!H792,"*APJ")</f>
        <v>0</v>
      </c>
      <c r="G793">
        <f>COUNTIF('Metrics - Articles'!H792,"*LATAM*")</f>
        <v>0</v>
      </c>
      <c r="H793">
        <f>COUNTIF('Metrics - Articles'!H792,"*China*")</f>
        <v>0</v>
      </c>
      <c r="J793" s="53">
        <f t="shared" si="13"/>
        <v>0</v>
      </c>
    </row>
    <row r="794" spans="2:10" x14ac:dyDescent="0.25">
      <c r="B794" s="48">
        <f>+'Metrics - Articles'!C793</f>
        <v>0</v>
      </c>
      <c r="C794">
        <f>COUNTIF('Metrics - Articles'!H793,"*Global*")</f>
        <v>0</v>
      </c>
      <c r="D794">
        <f>COUNTIF('Metrics - Articles'!H793,"*EMEA*")</f>
        <v>0</v>
      </c>
      <c r="E794">
        <f>COUNTIF('Metrics - Articles'!H793,"*NA*")</f>
        <v>0</v>
      </c>
      <c r="F794">
        <f>COUNTIF('Metrics - Articles'!H793,"*APJ")</f>
        <v>0</v>
      </c>
      <c r="G794">
        <f>COUNTIF('Metrics - Articles'!H793,"*LATAM*")</f>
        <v>0</v>
      </c>
      <c r="H794">
        <f>COUNTIF('Metrics - Articles'!H793,"*China*")</f>
        <v>0</v>
      </c>
      <c r="J794" s="53">
        <f t="shared" si="13"/>
        <v>0</v>
      </c>
    </row>
    <row r="795" spans="2:10" x14ac:dyDescent="0.25">
      <c r="B795" s="48">
        <f>+'Metrics - Articles'!C794</f>
        <v>0</v>
      </c>
      <c r="C795">
        <f>COUNTIF('Metrics - Articles'!H794,"*Global*")</f>
        <v>0</v>
      </c>
      <c r="D795">
        <f>COUNTIF('Metrics - Articles'!H794,"*EMEA*")</f>
        <v>0</v>
      </c>
      <c r="E795">
        <f>COUNTIF('Metrics - Articles'!H794,"*NA*")</f>
        <v>0</v>
      </c>
      <c r="F795">
        <f>COUNTIF('Metrics - Articles'!H794,"*APJ")</f>
        <v>0</v>
      </c>
      <c r="G795">
        <f>COUNTIF('Metrics - Articles'!H794,"*LATAM*")</f>
        <v>0</v>
      </c>
      <c r="H795">
        <f>COUNTIF('Metrics - Articles'!H794,"*China*")</f>
        <v>0</v>
      </c>
      <c r="J795" s="53">
        <f t="shared" si="13"/>
        <v>0</v>
      </c>
    </row>
    <row r="796" spans="2:10" x14ac:dyDescent="0.25">
      <c r="B796" s="48">
        <f>+'Metrics - Articles'!C795</f>
        <v>0</v>
      </c>
      <c r="C796">
        <f>COUNTIF('Metrics - Articles'!H795,"*Global*")</f>
        <v>0</v>
      </c>
      <c r="D796">
        <f>COUNTIF('Metrics - Articles'!H795,"*EMEA*")</f>
        <v>0</v>
      </c>
      <c r="E796">
        <f>COUNTIF('Metrics - Articles'!H795,"*NA*")</f>
        <v>0</v>
      </c>
      <c r="F796">
        <f>COUNTIF('Metrics - Articles'!H795,"*APJ")</f>
        <v>0</v>
      </c>
      <c r="G796">
        <f>COUNTIF('Metrics - Articles'!H795,"*LATAM*")</f>
        <v>0</v>
      </c>
      <c r="H796">
        <f>COUNTIF('Metrics - Articles'!H795,"*China*")</f>
        <v>0</v>
      </c>
      <c r="J796" s="53">
        <f t="shared" si="13"/>
        <v>0</v>
      </c>
    </row>
    <row r="797" spans="2:10" x14ac:dyDescent="0.25">
      <c r="B797" s="48">
        <f>+'Metrics - Articles'!C796</f>
        <v>0</v>
      </c>
      <c r="C797">
        <f>COUNTIF('Metrics - Articles'!H796,"*Global*")</f>
        <v>0</v>
      </c>
      <c r="D797">
        <f>COUNTIF('Metrics - Articles'!H796,"*EMEA*")</f>
        <v>0</v>
      </c>
      <c r="E797">
        <f>COUNTIF('Metrics - Articles'!H796,"*NA*")</f>
        <v>0</v>
      </c>
      <c r="F797">
        <f>COUNTIF('Metrics - Articles'!H796,"*APJ")</f>
        <v>0</v>
      </c>
      <c r="G797">
        <f>COUNTIF('Metrics - Articles'!H796,"*LATAM*")</f>
        <v>0</v>
      </c>
      <c r="H797">
        <f>COUNTIF('Metrics - Articles'!H796,"*China*")</f>
        <v>0</v>
      </c>
      <c r="J797" s="53">
        <f t="shared" si="13"/>
        <v>0</v>
      </c>
    </row>
    <row r="798" spans="2:10" x14ac:dyDescent="0.25">
      <c r="B798" s="48">
        <f>+'Metrics - Articles'!C797</f>
        <v>0</v>
      </c>
      <c r="C798">
        <f>COUNTIF('Metrics - Articles'!H797,"*Global*")</f>
        <v>0</v>
      </c>
      <c r="D798">
        <f>COUNTIF('Metrics - Articles'!H797,"*EMEA*")</f>
        <v>0</v>
      </c>
      <c r="E798">
        <f>COUNTIF('Metrics - Articles'!H797,"*NA*")</f>
        <v>0</v>
      </c>
      <c r="F798">
        <f>COUNTIF('Metrics - Articles'!H797,"*APJ")</f>
        <v>0</v>
      </c>
      <c r="G798">
        <f>COUNTIF('Metrics - Articles'!H797,"*LATAM*")</f>
        <v>0</v>
      </c>
      <c r="H798">
        <f>COUNTIF('Metrics - Articles'!H797,"*China*")</f>
        <v>0</v>
      </c>
      <c r="J798" s="53">
        <f t="shared" si="13"/>
        <v>0</v>
      </c>
    </row>
    <row r="799" spans="2:10" x14ac:dyDescent="0.25">
      <c r="B799" s="48">
        <f>+'Metrics - Articles'!C798</f>
        <v>0</v>
      </c>
      <c r="C799">
        <f>COUNTIF('Metrics - Articles'!H798,"*Global*")</f>
        <v>0</v>
      </c>
      <c r="D799">
        <f>COUNTIF('Metrics - Articles'!H798,"*EMEA*")</f>
        <v>0</v>
      </c>
      <c r="E799">
        <f>COUNTIF('Metrics - Articles'!H798,"*NA*")</f>
        <v>0</v>
      </c>
      <c r="F799">
        <f>COUNTIF('Metrics - Articles'!H798,"*APJ")</f>
        <v>0</v>
      </c>
      <c r="G799">
        <f>COUNTIF('Metrics - Articles'!H798,"*LATAM*")</f>
        <v>0</v>
      </c>
      <c r="H799">
        <f>COUNTIF('Metrics - Articles'!H798,"*China*")</f>
        <v>0</v>
      </c>
      <c r="J799" s="53">
        <f t="shared" si="13"/>
        <v>0</v>
      </c>
    </row>
    <row r="800" spans="2:10" x14ac:dyDescent="0.25">
      <c r="B800" s="48">
        <f>+'Metrics - Articles'!C799</f>
        <v>0</v>
      </c>
      <c r="C800">
        <f>COUNTIF('Metrics - Articles'!H799,"*Global*")</f>
        <v>0</v>
      </c>
      <c r="D800">
        <f>COUNTIF('Metrics - Articles'!H799,"*EMEA*")</f>
        <v>0</v>
      </c>
      <c r="E800">
        <f>COUNTIF('Metrics - Articles'!H799,"*NA*")</f>
        <v>0</v>
      </c>
      <c r="F800">
        <f>COUNTIF('Metrics - Articles'!H799,"*APJ")</f>
        <v>0</v>
      </c>
      <c r="G800">
        <f>COUNTIF('Metrics - Articles'!H799,"*LATAM*")</f>
        <v>0</v>
      </c>
      <c r="H800">
        <f>COUNTIF('Metrics - Articles'!H799,"*China*")</f>
        <v>0</v>
      </c>
      <c r="J800" s="53">
        <f t="shared" si="13"/>
        <v>0</v>
      </c>
    </row>
    <row r="801" spans="2:10" x14ac:dyDescent="0.25">
      <c r="B801" s="48">
        <f>+'Metrics - Articles'!C800</f>
        <v>0</v>
      </c>
      <c r="C801">
        <f>COUNTIF('Metrics - Articles'!H800,"*Global*")</f>
        <v>0</v>
      </c>
      <c r="D801">
        <f>COUNTIF('Metrics - Articles'!H800,"*EMEA*")</f>
        <v>0</v>
      </c>
      <c r="E801">
        <f>COUNTIF('Metrics - Articles'!H800,"*NA*")</f>
        <v>0</v>
      </c>
      <c r="F801">
        <f>COUNTIF('Metrics - Articles'!H800,"*APJ")</f>
        <v>0</v>
      </c>
      <c r="G801">
        <f>COUNTIF('Metrics - Articles'!H800,"*LATAM*")</f>
        <v>0</v>
      </c>
      <c r="H801">
        <f>COUNTIF('Metrics - Articles'!H800,"*China*")</f>
        <v>0</v>
      </c>
      <c r="J801" s="53">
        <f t="shared" si="13"/>
        <v>0</v>
      </c>
    </row>
    <row r="802" spans="2:10" x14ac:dyDescent="0.25">
      <c r="B802" s="48">
        <f>+'Metrics - Articles'!C801</f>
        <v>0</v>
      </c>
      <c r="C802">
        <f>COUNTIF('Metrics - Articles'!H801,"*Global*")</f>
        <v>0</v>
      </c>
      <c r="D802">
        <f>COUNTIF('Metrics - Articles'!H801,"*EMEA*")</f>
        <v>0</v>
      </c>
      <c r="E802">
        <f>COUNTIF('Metrics - Articles'!H801,"*NA*")</f>
        <v>0</v>
      </c>
      <c r="F802">
        <f>COUNTIF('Metrics - Articles'!H801,"*APJ")</f>
        <v>0</v>
      </c>
      <c r="G802">
        <f>COUNTIF('Metrics - Articles'!H801,"*LATAM*")</f>
        <v>0</v>
      </c>
      <c r="H802">
        <f>COUNTIF('Metrics - Articles'!H801,"*China*")</f>
        <v>0</v>
      </c>
      <c r="J802" s="53">
        <f t="shared" si="13"/>
        <v>0</v>
      </c>
    </row>
    <row r="803" spans="2:10" x14ac:dyDescent="0.25">
      <c r="B803" s="48">
        <f>+'Metrics - Articles'!C802</f>
        <v>0</v>
      </c>
      <c r="C803">
        <f>COUNTIF('Metrics - Articles'!H802,"*Global*")</f>
        <v>0</v>
      </c>
      <c r="D803">
        <f>COUNTIF('Metrics - Articles'!H802,"*EMEA*")</f>
        <v>0</v>
      </c>
      <c r="E803">
        <f>COUNTIF('Metrics - Articles'!H802,"*NA*")</f>
        <v>0</v>
      </c>
      <c r="F803">
        <f>COUNTIF('Metrics - Articles'!H802,"*APJ")</f>
        <v>0</v>
      </c>
      <c r="G803">
        <f>COUNTIF('Metrics - Articles'!H802,"*LATAM*")</f>
        <v>0</v>
      </c>
      <c r="H803">
        <f>COUNTIF('Metrics - Articles'!H802,"*China*")</f>
        <v>0</v>
      </c>
      <c r="J803" s="53">
        <f t="shared" si="13"/>
        <v>0</v>
      </c>
    </row>
    <row r="804" spans="2:10" x14ac:dyDescent="0.25">
      <c r="B804" s="48">
        <f>+'Metrics - Articles'!C803</f>
        <v>0</v>
      </c>
      <c r="C804">
        <f>COUNTIF('Metrics - Articles'!H803,"*Global*")</f>
        <v>0</v>
      </c>
      <c r="D804">
        <f>COUNTIF('Metrics - Articles'!H803,"*EMEA*")</f>
        <v>0</v>
      </c>
      <c r="E804">
        <f>COUNTIF('Metrics - Articles'!H803,"*NA*")</f>
        <v>0</v>
      </c>
      <c r="F804">
        <f>COUNTIF('Metrics - Articles'!H803,"*APJ")</f>
        <v>0</v>
      </c>
      <c r="G804">
        <f>COUNTIF('Metrics - Articles'!H803,"*LATAM*")</f>
        <v>0</v>
      </c>
      <c r="H804">
        <f>COUNTIF('Metrics - Articles'!H803,"*China*")</f>
        <v>0</v>
      </c>
      <c r="J804" s="53">
        <f t="shared" si="13"/>
        <v>0</v>
      </c>
    </row>
    <row r="805" spans="2:10" x14ac:dyDescent="0.25">
      <c r="B805" s="48">
        <f>+'Metrics - Articles'!C804</f>
        <v>0</v>
      </c>
      <c r="C805">
        <f>COUNTIF('Metrics - Articles'!H804,"*Global*")</f>
        <v>0</v>
      </c>
      <c r="D805">
        <f>COUNTIF('Metrics - Articles'!H804,"*EMEA*")</f>
        <v>0</v>
      </c>
      <c r="E805">
        <f>COUNTIF('Metrics - Articles'!H804,"*NA*")</f>
        <v>0</v>
      </c>
      <c r="F805">
        <f>COUNTIF('Metrics - Articles'!H804,"*APJ")</f>
        <v>0</v>
      </c>
      <c r="G805">
        <f>COUNTIF('Metrics - Articles'!H804,"*LATAM*")</f>
        <v>0</v>
      </c>
      <c r="H805">
        <f>COUNTIF('Metrics - Articles'!H804,"*China*")</f>
        <v>0</v>
      </c>
      <c r="J805" s="53">
        <f t="shared" si="13"/>
        <v>0</v>
      </c>
    </row>
    <row r="806" spans="2:10" x14ac:dyDescent="0.25">
      <c r="B806" s="48">
        <f>+'Metrics - Articles'!C805</f>
        <v>0</v>
      </c>
      <c r="C806">
        <f>COUNTIF('Metrics - Articles'!H805,"*Global*")</f>
        <v>0</v>
      </c>
      <c r="D806">
        <f>COUNTIF('Metrics - Articles'!H805,"*EMEA*")</f>
        <v>0</v>
      </c>
      <c r="E806">
        <f>COUNTIF('Metrics - Articles'!H805,"*NA*")</f>
        <v>0</v>
      </c>
      <c r="F806">
        <f>COUNTIF('Metrics - Articles'!H805,"*APJ")</f>
        <v>0</v>
      </c>
      <c r="G806">
        <f>COUNTIF('Metrics - Articles'!H805,"*LATAM*")</f>
        <v>0</v>
      </c>
      <c r="H806">
        <f>COUNTIF('Metrics - Articles'!H805,"*China*")</f>
        <v>0</v>
      </c>
      <c r="J806" s="53">
        <f t="shared" si="13"/>
        <v>0</v>
      </c>
    </row>
    <row r="807" spans="2:10" x14ac:dyDescent="0.25">
      <c r="B807" s="48">
        <f>+'Metrics - Articles'!C806</f>
        <v>0</v>
      </c>
      <c r="C807">
        <f>COUNTIF('Metrics - Articles'!H806,"*Global*")</f>
        <v>0</v>
      </c>
      <c r="D807">
        <f>COUNTIF('Metrics - Articles'!H806,"*EMEA*")</f>
        <v>0</v>
      </c>
      <c r="E807">
        <f>COUNTIF('Metrics - Articles'!H806,"*NA*")</f>
        <v>0</v>
      </c>
      <c r="F807">
        <f>COUNTIF('Metrics - Articles'!H806,"*APJ")</f>
        <v>0</v>
      </c>
      <c r="G807">
        <f>COUNTIF('Metrics - Articles'!H806,"*LATAM*")</f>
        <v>0</v>
      </c>
      <c r="H807">
        <f>COUNTIF('Metrics - Articles'!H806,"*China*")</f>
        <v>0</v>
      </c>
      <c r="J807" s="53">
        <f t="shared" si="13"/>
        <v>0</v>
      </c>
    </row>
    <row r="808" spans="2:10" x14ac:dyDescent="0.25">
      <c r="B808" s="48">
        <f>+'Metrics - Articles'!C807</f>
        <v>0</v>
      </c>
      <c r="C808">
        <f>COUNTIF('Metrics - Articles'!H807,"*Global*")</f>
        <v>0</v>
      </c>
      <c r="D808">
        <f>COUNTIF('Metrics - Articles'!H807,"*EMEA*")</f>
        <v>0</v>
      </c>
      <c r="E808">
        <f>COUNTIF('Metrics - Articles'!H807,"*NA*")</f>
        <v>0</v>
      </c>
      <c r="F808">
        <f>COUNTIF('Metrics - Articles'!H807,"*APJ")</f>
        <v>0</v>
      </c>
      <c r="G808">
        <f>COUNTIF('Metrics - Articles'!H807,"*LATAM*")</f>
        <v>0</v>
      </c>
      <c r="H808">
        <f>COUNTIF('Metrics - Articles'!H807,"*China*")</f>
        <v>0</v>
      </c>
      <c r="J808" s="53">
        <f t="shared" si="13"/>
        <v>0</v>
      </c>
    </row>
    <row r="809" spans="2:10" x14ac:dyDescent="0.25">
      <c r="B809" s="48">
        <f>+'Metrics - Articles'!C808</f>
        <v>0</v>
      </c>
      <c r="C809">
        <f>COUNTIF('Metrics - Articles'!H808,"*Global*")</f>
        <v>0</v>
      </c>
      <c r="D809">
        <f>COUNTIF('Metrics - Articles'!H808,"*EMEA*")</f>
        <v>0</v>
      </c>
      <c r="E809">
        <f>COUNTIF('Metrics - Articles'!H808,"*NA*")</f>
        <v>0</v>
      </c>
      <c r="F809">
        <f>COUNTIF('Metrics - Articles'!H808,"*APJ")</f>
        <v>0</v>
      </c>
      <c r="G809">
        <f>COUNTIF('Metrics - Articles'!H808,"*LATAM*")</f>
        <v>0</v>
      </c>
      <c r="H809">
        <f>COUNTIF('Metrics - Articles'!H808,"*China*")</f>
        <v>0</v>
      </c>
      <c r="J809" s="53">
        <f t="shared" si="13"/>
        <v>0</v>
      </c>
    </row>
    <row r="810" spans="2:10" x14ac:dyDescent="0.25">
      <c r="B810" s="48">
        <f>+'Metrics - Articles'!C809</f>
        <v>0</v>
      </c>
      <c r="C810">
        <f>COUNTIF('Metrics - Articles'!H809,"*Global*")</f>
        <v>0</v>
      </c>
      <c r="D810">
        <f>COUNTIF('Metrics - Articles'!H809,"*EMEA*")</f>
        <v>0</v>
      </c>
      <c r="E810">
        <f>COUNTIF('Metrics - Articles'!H809,"*NA*")</f>
        <v>0</v>
      </c>
      <c r="F810">
        <f>COUNTIF('Metrics - Articles'!H809,"*APJ")</f>
        <v>0</v>
      </c>
      <c r="G810">
        <f>COUNTIF('Metrics - Articles'!H809,"*LATAM*")</f>
        <v>0</v>
      </c>
      <c r="H810">
        <f>COUNTIF('Metrics - Articles'!H809,"*China*")</f>
        <v>0</v>
      </c>
      <c r="J810" s="53">
        <f t="shared" si="13"/>
        <v>0</v>
      </c>
    </row>
    <row r="811" spans="2:10" x14ac:dyDescent="0.25">
      <c r="B811" s="48">
        <f>+'Metrics - Articles'!C810</f>
        <v>0</v>
      </c>
      <c r="C811">
        <f>COUNTIF('Metrics - Articles'!H810,"*Global*")</f>
        <v>0</v>
      </c>
      <c r="D811">
        <f>COUNTIF('Metrics - Articles'!H810,"*EMEA*")</f>
        <v>0</v>
      </c>
      <c r="E811">
        <f>COUNTIF('Metrics - Articles'!H810,"*NA*")</f>
        <v>0</v>
      </c>
      <c r="F811">
        <f>COUNTIF('Metrics - Articles'!H810,"*APJ")</f>
        <v>0</v>
      </c>
      <c r="G811">
        <f>COUNTIF('Metrics - Articles'!H810,"*LATAM*")</f>
        <v>0</v>
      </c>
      <c r="H811">
        <f>COUNTIF('Metrics - Articles'!H810,"*China*")</f>
        <v>0</v>
      </c>
      <c r="J811" s="53">
        <f t="shared" si="13"/>
        <v>0</v>
      </c>
    </row>
    <row r="812" spans="2:10" x14ac:dyDescent="0.25">
      <c r="B812" s="48">
        <f>+'Metrics - Articles'!C811</f>
        <v>0</v>
      </c>
      <c r="C812">
        <f>COUNTIF('Metrics - Articles'!H811,"*Global*")</f>
        <v>0</v>
      </c>
      <c r="D812">
        <f>COUNTIF('Metrics - Articles'!H811,"*EMEA*")</f>
        <v>0</v>
      </c>
      <c r="E812">
        <f>COUNTIF('Metrics - Articles'!H811,"*NA*")</f>
        <v>0</v>
      </c>
      <c r="F812">
        <f>COUNTIF('Metrics - Articles'!H811,"*APJ")</f>
        <v>0</v>
      </c>
      <c r="G812">
        <f>COUNTIF('Metrics - Articles'!H811,"*LATAM*")</f>
        <v>0</v>
      </c>
      <c r="H812">
        <f>COUNTIF('Metrics - Articles'!H811,"*China*")</f>
        <v>0</v>
      </c>
      <c r="J812" s="53">
        <f t="shared" si="13"/>
        <v>0</v>
      </c>
    </row>
    <row r="813" spans="2:10" x14ac:dyDescent="0.25">
      <c r="B813" s="48">
        <f>+'Metrics - Articles'!C812</f>
        <v>0</v>
      </c>
      <c r="C813">
        <f>COUNTIF('Metrics - Articles'!H812,"*Global*")</f>
        <v>0</v>
      </c>
      <c r="D813">
        <f>COUNTIF('Metrics - Articles'!H812,"*EMEA*")</f>
        <v>0</v>
      </c>
      <c r="E813">
        <f>COUNTIF('Metrics - Articles'!H812,"*NA*")</f>
        <v>0</v>
      </c>
      <c r="F813">
        <f>COUNTIF('Metrics - Articles'!H812,"*APJ")</f>
        <v>0</v>
      </c>
      <c r="G813">
        <f>COUNTIF('Metrics - Articles'!H812,"*LATAM*")</f>
        <v>0</v>
      </c>
      <c r="H813">
        <f>COUNTIF('Metrics - Articles'!H812,"*China*")</f>
        <v>0</v>
      </c>
      <c r="J813" s="53">
        <f t="shared" si="13"/>
        <v>0</v>
      </c>
    </row>
    <row r="814" spans="2:10" x14ac:dyDescent="0.25">
      <c r="B814" s="48">
        <f>+'Metrics - Articles'!C813</f>
        <v>0</v>
      </c>
      <c r="C814">
        <f>COUNTIF('Metrics - Articles'!H813,"*Global*")</f>
        <v>0</v>
      </c>
      <c r="D814">
        <f>COUNTIF('Metrics - Articles'!H813,"*EMEA*")</f>
        <v>0</v>
      </c>
      <c r="E814">
        <f>COUNTIF('Metrics - Articles'!H813,"*NA*")</f>
        <v>0</v>
      </c>
      <c r="F814">
        <f>COUNTIF('Metrics - Articles'!H813,"*APJ")</f>
        <v>0</v>
      </c>
      <c r="G814">
        <f>COUNTIF('Metrics - Articles'!H813,"*LATAM*")</f>
        <v>0</v>
      </c>
      <c r="H814">
        <f>COUNTIF('Metrics - Articles'!H813,"*China*")</f>
        <v>0</v>
      </c>
      <c r="J814" s="53">
        <f t="shared" si="13"/>
        <v>0</v>
      </c>
    </row>
    <row r="815" spans="2:10" x14ac:dyDescent="0.25">
      <c r="B815" s="48">
        <f>+'Metrics - Articles'!C814</f>
        <v>0</v>
      </c>
      <c r="C815">
        <f>COUNTIF('Metrics - Articles'!H814,"*Global*")</f>
        <v>0</v>
      </c>
      <c r="D815">
        <f>COUNTIF('Metrics - Articles'!H814,"*EMEA*")</f>
        <v>0</v>
      </c>
      <c r="E815">
        <f>COUNTIF('Metrics - Articles'!H814,"*NA*")</f>
        <v>0</v>
      </c>
      <c r="F815">
        <f>COUNTIF('Metrics - Articles'!H814,"*APJ")</f>
        <v>0</v>
      </c>
      <c r="G815">
        <f>COUNTIF('Metrics - Articles'!H814,"*LATAM*")</f>
        <v>0</v>
      </c>
      <c r="H815">
        <f>COUNTIF('Metrics - Articles'!H814,"*China*")</f>
        <v>0</v>
      </c>
      <c r="J815" s="53">
        <f t="shared" si="13"/>
        <v>0</v>
      </c>
    </row>
    <row r="816" spans="2:10" x14ac:dyDescent="0.25">
      <c r="B816" s="48">
        <f>+'Metrics - Articles'!C815</f>
        <v>0</v>
      </c>
      <c r="C816">
        <f>COUNTIF('Metrics - Articles'!H815,"*Global*")</f>
        <v>0</v>
      </c>
      <c r="D816">
        <f>COUNTIF('Metrics - Articles'!H815,"*EMEA*")</f>
        <v>0</v>
      </c>
      <c r="E816">
        <f>COUNTIF('Metrics - Articles'!H815,"*NA*")</f>
        <v>0</v>
      </c>
      <c r="F816">
        <f>COUNTIF('Metrics - Articles'!H815,"*APJ")</f>
        <v>0</v>
      </c>
      <c r="G816">
        <f>COUNTIF('Metrics - Articles'!H815,"*LATAM*")</f>
        <v>0</v>
      </c>
      <c r="H816">
        <f>COUNTIF('Metrics - Articles'!H815,"*China*")</f>
        <v>0</v>
      </c>
      <c r="J816" s="53">
        <f t="shared" si="13"/>
        <v>0</v>
      </c>
    </row>
    <row r="817" spans="2:10" x14ac:dyDescent="0.25">
      <c r="B817" s="48">
        <f>+'Metrics - Articles'!C816</f>
        <v>0</v>
      </c>
      <c r="C817">
        <f>COUNTIF('Metrics - Articles'!H816,"*Global*")</f>
        <v>0</v>
      </c>
      <c r="D817">
        <f>COUNTIF('Metrics - Articles'!H816,"*EMEA*")</f>
        <v>0</v>
      </c>
      <c r="E817">
        <f>COUNTIF('Metrics - Articles'!H816,"*NA*")</f>
        <v>0</v>
      </c>
      <c r="F817">
        <f>COUNTIF('Metrics - Articles'!H816,"*APJ")</f>
        <v>0</v>
      </c>
      <c r="G817">
        <f>COUNTIF('Metrics - Articles'!H816,"*LATAM*")</f>
        <v>0</v>
      </c>
      <c r="H817">
        <f>COUNTIF('Metrics - Articles'!H816,"*China*")</f>
        <v>0</v>
      </c>
      <c r="J817" s="53">
        <f t="shared" si="13"/>
        <v>0</v>
      </c>
    </row>
    <row r="818" spans="2:10" x14ac:dyDescent="0.25">
      <c r="B818" s="48">
        <f>+'Metrics - Articles'!C817</f>
        <v>0</v>
      </c>
      <c r="C818">
        <f>COUNTIF('Metrics - Articles'!H817,"*Global*")</f>
        <v>0</v>
      </c>
      <c r="D818">
        <f>COUNTIF('Metrics - Articles'!H817,"*EMEA*")</f>
        <v>0</v>
      </c>
      <c r="E818">
        <f>COUNTIF('Metrics - Articles'!H817,"*NA*")</f>
        <v>0</v>
      </c>
      <c r="F818">
        <f>COUNTIF('Metrics - Articles'!H817,"*APJ")</f>
        <v>0</v>
      </c>
      <c r="G818">
        <f>COUNTIF('Metrics - Articles'!H817,"*LATAM*")</f>
        <v>0</v>
      </c>
      <c r="H818">
        <f>COUNTIF('Metrics - Articles'!H817,"*China*")</f>
        <v>0</v>
      </c>
      <c r="J818" s="53">
        <f t="shared" si="13"/>
        <v>0</v>
      </c>
    </row>
    <row r="819" spans="2:10" x14ac:dyDescent="0.25">
      <c r="B819" s="48">
        <f>+'Metrics - Articles'!C818</f>
        <v>0</v>
      </c>
      <c r="C819">
        <f>COUNTIF('Metrics - Articles'!H818,"*Global*")</f>
        <v>0</v>
      </c>
      <c r="D819">
        <f>COUNTIF('Metrics - Articles'!H818,"*EMEA*")</f>
        <v>0</v>
      </c>
      <c r="E819">
        <f>COUNTIF('Metrics - Articles'!H818,"*NA*")</f>
        <v>0</v>
      </c>
      <c r="F819">
        <f>COUNTIF('Metrics - Articles'!H818,"*APJ")</f>
        <v>0</v>
      </c>
      <c r="G819">
        <f>COUNTIF('Metrics - Articles'!H818,"*LATAM*")</f>
        <v>0</v>
      </c>
      <c r="H819">
        <f>COUNTIF('Metrics - Articles'!H818,"*China*")</f>
        <v>0</v>
      </c>
      <c r="J819" s="53">
        <f t="shared" si="13"/>
        <v>0</v>
      </c>
    </row>
    <row r="820" spans="2:10" x14ac:dyDescent="0.25">
      <c r="B820" s="48">
        <f>+'Metrics - Articles'!C819</f>
        <v>0</v>
      </c>
      <c r="C820">
        <f>COUNTIF('Metrics - Articles'!H819,"*Global*")</f>
        <v>0</v>
      </c>
      <c r="D820">
        <f>COUNTIF('Metrics - Articles'!H819,"*EMEA*")</f>
        <v>0</v>
      </c>
      <c r="E820">
        <f>COUNTIF('Metrics - Articles'!H819,"*NA*")</f>
        <v>0</v>
      </c>
      <c r="F820">
        <f>COUNTIF('Metrics - Articles'!H819,"*APJ")</f>
        <v>0</v>
      </c>
      <c r="G820">
        <f>COUNTIF('Metrics - Articles'!H819,"*LATAM*")</f>
        <v>0</v>
      </c>
      <c r="H820">
        <f>COUNTIF('Metrics - Articles'!H819,"*China*")</f>
        <v>0</v>
      </c>
      <c r="J820" s="53">
        <f t="shared" si="13"/>
        <v>0</v>
      </c>
    </row>
    <row r="821" spans="2:10" x14ac:dyDescent="0.25">
      <c r="B821" s="48">
        <f>+'Metrics - Articles'!C820</f>
        <v>0</v>
      </c>
      <c r="C821">
        <f>COUNTIF('Metrics - Articles'!H820,"*Global*")</f>
        <v>0</v>
      </c>
      <c r="D821">
        <f>COUNTIF('Metrics - Articles'!H820,"*EMEA*")</f>
        <v>0</v>
      </c>
      <c r="E821">
        <f>COUNTIF('Metrics - Articles'!H820,"*NA*")</f>
        <v>0</v>
      </c>
      <c r="F821">
        <f>COUNTIF('Metrics - Articles'!H820,"*APJ")</f>
        <v>0</v>
      </c>
      <c r="G821">
        <f>COUNTIF('Metrics - Articles'!H820,"*LATAM*")</f>
        <v>0</v>
      </c>
      <c r="H821">
        <f>COUNTIF('Metrics - Articles'!H820,"*China*")</f>
        <v>0</v>
      </c>
      <c r="J821" s="53">
        <f t="shared" si="13"/>
        <v>0</v>
      </c>
    </row>
    <row r="822" spans="2:10" x14ac:dyDescent="0.25">
      <c r="B822" s="48">
        <f>+'Metrics - Articles'!C821</f>
        <v>0</v>
      </c>
      <c r="C822">
        <f>COUNTIF('Metrics - Articles'!H821,"*Global*")</f>
        <v>0</v>
      </c>
      <c r="D822">
        <f>COUNTIF('Metrics - Articles'!H821,"*EMEA*")</f>
        <v>0</v>
      </c>
      <c r="E822">
        <f>COUNTIF('Metrics - Articles'!H821,"*NA*")</f>
        <v>0</v>
      </c>
      <c r="F822">
        <f>COUNTIF('Metrics - Articles'!H821,"*APJ")</f>
        <v>0</v>
      </c>
      <c r="G822">
        <f>COUNTIF('Metrics - Articles'!H821,"*LATAM*")</f>
        <v>0</v>
      </c>
      <c r="H822">
        <f>COUNTIF('Metrics - Articles'!H821,"*China*")</f>
        <v>0</v>
      </c>
      <c r="J822" s="53">
        <f t="shared" si="13"/>
        <v>0</v>
      </c>
    </row>
    <row r="823" spans="2:10" x14ac:dyDescent="0.25">
      <c r="B823" s="48">
        <f>+'Metrics - Articles'!C822</f>
        <v>0</v>
      </c>
      <c r="C823">
        <f>COUNTIF('Metrics - Articles'!H822,"*Global*")</f>
        <v>0</v>
      </c>
      <c r="D823">
        <f>COUNTIF('Metrics - Articles'!H822,"*EMEA*")</f>
        <v>0</v>
      </c>
      <c r="E823">
        <f>COUNTIF('Metrics - Articles'!H822,"*NA*")</f>
        <v>0</v>
      </c>
      <c r="F823">
        <f>COUNTIF('Metrics - Articles'!H822,"*APJ")</f>
        <v>0</v>
      </c>
      <c r="G823">
        <f>COUNTIF('Metrics - Articles'!H822,"*LATAM*")</f>
        <v>0</v>
      </c>
      <c r="H823">
        <f>COUNTIF('Metrics - Articles'!H822,"*China*")</f>
        <v>0</v>
      </c>
      <c r="J823" s="53">
        <f t="shared" si="13"/>
        <v>0</v>
      </c>
    </row>
    <row r="824" spans="2:10" x14ac:dyDescent="0.25">
      <c r="B824" s="48">
        <f>+'Metrics - Articles'!C823</f>
        <v>0</v>
      </c>
      <c r="C824">
        <f>COUNTIF('Metrics - Articles'!H823,"*Global*")</f>
        <v>0</v>
      </c>
      <c r="D824">
        <f>COUNTIF('Metrics - Articles'!H823,"*EMEA*")</f>
        <v>0</v>
      </c>
      <c r="E824">
        <f>COUNTIF('Metrics - Articles'!H823,"*NA*")</f>
        <v>0</v>
      </c>
      <c r="F824">
        <f>COUNTIF('Metrics - Articles'!H823,"*APJ")</f>
        <v>0</v>
      </c>
      <c r="G824">
        <f>COUNTIF('Metrics - Articles'!H823,"*LATAM*")</f>
        <v>0</v>
      </c>
      <c r="H824">
        <f>COUNTIF('Metrics - Articles'!H823,"*China*")</f>
        <v>0</v>
      </c>
      <c r="J824" s="53">
        <f t="shared" si="13"/>
        <v>0</v>
      </c>
    </row>
    <row r="825" spans="2:10" x14ac:dyDescent="0.25">
      <c r="B825" s="48">
        <f>+'Metrics - Articles'!C824</f>
        <v>0</v>
      </c>
      <c r="C825">
        <f>COUNTIF('Metrics - Articles'!H824,"*Global*")</f>
        <v>0</v>
      </c>
      <c r="D825">
        <f>COUNTIF('Metrics - Articles'!H824,"*EMEA*")</f>
        <v>0</v>
      </c>
      <c r="E825">
        <f>COUNTIF('Metrics - Articles'!H824,"*NA*")</f>
        <v>0</v>
      </c>
      <c r="F825">
        <f>COUNTIF('Metrics - Articles'!H824,"*APJ")</f>
        <v>0</v>
      </c>
      <c r="G825">
        <f>COUNTIF('Metrics - Articles'!H824,"*LATAM*")</f>
        <v>0</v>
      </c>
      <c r="H825">
        <f>COUNTIF('Metrics - Articles'!H824,"*China*")</f>
        <v>0</v>
      </c>
      <c r="J825" s="53">
        <f t="shared" si="13"/>
        <v>0</v>
      </c>
    </row>
    <row r="826" spans="2:10" x14ac:dyDescent="0.25">
      <c r="B826" s="48">
        <f>+'Metrics - Articles'!C825</f>
        <v>0</v>
      </c>
      <c r="C826">
        <f>COUNTIF('Metrics - Articles'!H825,"*Global*")</f>
        <v>0</v>
      </c>
      <c r="D826">
        <f>COUNTIF('Metrics - Articles'!H825,"*EMEA*")</f>
        <v>0</v>
      </c>
      <c r="E826">
        <f>COUNTIF('Metrics - Articles'!H825,"*NA*")</f>
        <v>0</v>
      </c>
      <c r="F826">
        <f>COUNTIF('Metrics - Articles'!H825,"*APJ")</f>
        <v>0</v>
      </c>
      <c r="G826">
        <f>COUNTIF('Metrics - Articles'!H825,"*LATAM*")</f>
        <v>0</v>
      </c>
      <c r="H826">
        <f>COUNTIF('Metrics - Articles'!H825,"*China*")</f>
        <v>0</v>
      </c>
      <c r="J826" s="53">
        <f t="shared" si="13"/>
        <v>0</v>
      </c>
    </row>
    <row r="827" spans="2:10" x14ac:dyDescent="0.25">
      <c r="B827" s="48">
        <f>+'Metrics - Articles'!C826</f>
        <v>0</v>
      </c>
      <c r="C827">
        <f>COUNTIF('Metrics - Articles'!H826,"*Global*")</f>
        <v>0</v>
      </c>
      <c r="D827">
        <f>COUNTIF('Metrics - Articles'!H826,"*EMEA*")</f>
        <v>0</v>
      </c>
      <c r="E827">
        <f>COUNTIF('Metrics - Articles'!H826,"*NA*")</f>
        <v>0</v>
      </c>
      <c r="F827">
        <f>COUNTIF('Metrics - Articles'!H826,"*APJ")</f>
        <v>0</v>
      </c>
      <c r="G827">
        <f>COUNTIF('Metrics - Articles'!H826,"*LATAM*")</f>
        <v>0</v>
      </c>
      <c r="H827">
        <f>COUNTIF('Metrics - Articles'!H826,"*China*")</f>
        <v>0</v>
      </c>
      <c r="J827" s="53">
        <f t="shared" si="13"/>
        <v>0</v>
      </c>
    </row>
    <row r="828" spans="2:10" x14ac:dyDescent="0.25">
      <c r="B828" s="48">
        <f>+'Metrics - Articles'!C827</f>
        <v>0</v>
      </c>
      <c r="C828">
        <f>COUNTIF('Metrics - Articles'!H827,"*Global*")</f>
        <v>0</v>
      </c>
      <c r="D828">
        <f>COUNTIF('Metrics - Articles'!H827,"*EMEA*")</f>
        <v>0</v>
      </c>
      <c r="E828">
        <f>COUNTIF('Metrics - Articles'!H827,"*NA*")</f>
        <v>0</v>
      </c>
      <c r="F828">
        <f>COUNTIF('Metrics - Articles'!H827,"*APJ")</f>
        <v>0</v>
      </c>
      <c r="G828">
        <f>COUNTIF('Metrics - Articles'!H827,"*LATAM*")</f>
        <v>0</v>
      </c>
      <c r="H828">
        <f>COUNTIF('Metrics - Articles'!H827,"*China*")</f>
        <v>0</v>
      </c>
      <c r="J828" s="53">
        <f t="shared" si="13"/>
        <v>0</v>
      </c>
    </row>
    <row r="829" spans="2:10" x14ac:dyDescent="0.25">
      <c r="B829" s="48">
        <f>+'Metrics - Articles'!C828</f>
        <v>0</v>
      </c>
      <c r="C829">
        <f>COUNTIF('Metrics - Articles'!H828,"*Global*")</f>
        <v>0</v>
      </c>
      <c r="D829">
        <f>COUNTIF('Metrics - Articles'!H828,"*EMEA*")</f>
        <v>0</v>
      </c>
      <c r="E829">
        <f>COUNTIF('Metrics - Articles'!H828,"*NA*")</f>
        <v>0</v>
      </c>
      <c r="F829">
        <f>COUNTIF('Metrics - Articles'!H828,"*APJ")</f>
        <v>0</v>
      </c>
      <c r="G829">
        <f>COUNTIF('Metrics - Articles'!H828,"*LATAM*")</f>
        <v>0</v>
      </c>
      <c r="H829">
        <f>COUNTIF('Metrics - Articles'!H828,"*China*")</f>
        <v>0</v>
      </c>
      <c r="J829" s="53">
        <f t="shared" si="13"/>
        <v>0</v>
      </c>
    </row>
    <row r="830" spans="2:10" x14ac:dyDescent="0.25">
      <c r="B830" s="48">
        <f>+'Metrics - Articles'!C829</f>
        <v>0</v>
      </c>
      <c r="C830">
        <f>COUNTIF('Metrics - Articles'!H829,"*Global*")</f>
        <v>0</v>
      </c>
      <c r="D830">
        <f>COUNTIF('Metrics - Articles'!H829,"*EMEA*")</f>
        <v>0</v>
      </c>
      <c r="E830">
        <f>COUNTIF('Metrics - Articles'!H829,"*NA*")</f>
        <v>0</v>
      </c>
      <c r="F830">
        <f>COUNTIF('Metrics - Articles'!H829,"*APJ")</f>
        <v>0</v>
      </c>
      <c r="G830">
        <f>COUNTIF('Metrics - Articles'!H829,"*LATAM*")</f>
        <v>0</v>
      </c>
      <c r="H830">
        <f>COUNTIF('Metrics - Articles'!H829,"*China*")</f>
        <v>0</v>
      </c>
      <c r="J830" s="53">
        <f t="shared" si="13"/>
        <v>0</v>
      </c>
    </row>
    <row r="831" spans="2:10" x14ac:dyDescent="0.25">
      <c r="B831" s="48">
        <f>+'Metrics - Articles'!C830</f>
        <v>0</v>
      </c>
      <c r="C831">
        <f>COUNTIF('Metrics - Articles'!H830,"*Global*")</f>
        <v>0</v>
      </c>
      <c r="D831">
        <f>COUNTIF('Metrics - Articles'!H830,"*EMEA*")</f>
        <v>0</v>
      </c>
      <c r="E831">
        <f>COUNTIF('Metrics - Articles'!H830,"*NA*")</f>
        <v>0</v>
      </c>
      <c r="F831">
        <f>COUNTIF('Metrics - Articles'!H830,"*APJ")</f>
        <v>0</v>
      </c>
      <c r="G831">
        <f>COUNTIF('Metrics - Articles'!H830,"*LATAM*")</f>
        <v>0</v>
      </c>
      <c r="H831">
        <f>COUNTIF('Metrics - Articles'!H830,"*China*")</f>
        <v>0</v>
      </c>
      <c r="J831" s="53">
        <f t="shared" si="13"/>
        <v>0</v>
      </c>
    </row>
    <row r="832" spans="2:10" x14ac:dyDescent="0.25">
      <c r="B832" s="48">
        <f>+'Metrics - Articles'!C831</f>
        <v>0</v>
      </c>
      <c r="C832">
        <f>COUNTIF('Metrics - Articles'!H831,"*Global*")</f>
        <v>0</v>
      </c>
      <c r="D832">
        <f>COUNTIF('Metrics - Articles'!H831,"*EMEA*")</f>
        <v>0</v>
      </c>
      <c r="E832">
        <f>COUNTIF('Metrics - Articles'!H831,"*NA*")</f>
        <v>0</v>
      </c>
      <c r="F832">
        <f>COUNTIF('Metrics - Articles'!H831,"*APJ")</f>
        <v>0</v>
      </c>
      <c r="G832">
        <f>COUNTIF('Metrics - Articles'!H831,"*LATAM*")</f>
        <v>0</v>
      </c>
      <c r="H832">
        <f>COUNTIF('Metrics - Articles'!H831,"*China*")</f>
        <v>0</v>
      </c>
      <c r="J832" s="53">
        <f t="shared" si="13"/>
        <v>0</v>
      </c>
    </row>
    <row r="833" spans="2:10" x14ac:dyDescent="0.25">
      <c r="B833" s="48">
        <f>+'Metrics - Articles'!C832</f>
        <v>0</v>
      </c>
      <c r="C833">
        <f>COUNTIF('Metrics - Articles'!H832,"*Global*")</f>
        <v>0</v>
      </c>
      <c r="D833">
        <f>COUNTIF('Metrics - Articles'!H832,"*EMEA*")</f>
        <v>0</v>
      </c>
      <c r="E833">
        <f>COUNTIF('Metrics - Articles'!H832,"*NA*")</f>
        <v>0</v>
      </c>
      <c r="F833">
        <f>COUNTIF('Metrics - Articles'!H832,"*APJ")</f>
        <v>0</v>
      </c>
      <c r="G833">
        <f>COUNTIF('Metrics - Articles'!H832,"*LATAM*")</f>
        <v>0</v>
      </c>
      <c r="H833">
        <f>COUNTIF('Metrics - Articles'!H832,"*China*")</f>
        <v>0</v>
      </c>
      <c r="J833" s="53">
        <f t="shared" si="13"/>
        <v>0</v>
      </c>
    </row>
    <row r="834" spans="2:10" x14ac:dyDescent="0.25">
      <c r="B834" s="48">
        <f>+'Metrics - Articles'!C833</f>
        <v>0</v>
      </c>
      <c r="C834">
        <f>COUNTIF('Metrics - Articles'!H833,"*Global*")</f>
        <v>0</v>
      </c>
      <c r="D834">
        <f>COUNTIF('Metrics - Articles'!H833,"*EMEA*")</f>
        <v>0</v>
      </c>
      <c r="E834">
        <f>COUNTIF('Metrics - Articles'!H833,"*NA*")</f>
        <v>0</v>
      </c>
      <c r="F834">
        <f>COUNTIF('Metrics - Articles'!H833,"*APJ")</f>
        <v>0</v>
      </c>
      <c r="G834">
        <f>COUNTIF('Metrics - Articles'!H833,"*LATAM*")</f>
        <v>0</v>
      </c>
      <c r="H834">
        <f>COUNTIF('Metrics - Articles'!H833,"*China*")</f>
        <v>0</v>
      </c>
      <c r="J834" s="53">
        <f t="shared" si="13"/>
        <v>0</v>
      </c>
    </row>
    <row r="835" spans="2:10" x14ac:dyDescent="0.25">
      <c r="B835" s="48">
        <f>+'Metrics - Articles'!C834</f>
        <v>0</v>
      </c>
      <c r="C835">
        <f>COUNTIF('Metrics - Articles'!H834,"*Global*")</f>
        <v>0</v>
      </c>
      <c r="D835">
        <f>COUNTIF('Metrics - Articles'!H834,"*EMEA*")</f>
        <v>0</v>
      </c>
      <c r="E835">
        <f>COUNTIF('Metrics - Articles'!H834,"*NA*")</f>
        <v>0</v>
      </c>
      <c r="F835">
        <f>COUNTIF('Metrics - Articles'!H834,"*APJ")</f>
        <v>0</v>
      </c>
      <c r="G835">
        <f>COUNTIF('Metrics - Articles'!H834,"*LATAM*")</f>
        <v>0</v>
      </c>
      <c r="H835">
        <f>COUNTIF('Metrics - Articles'!H834,"*China*")</f>
        <v>0</v>
      </c>
      <c r="J835" s="53">
        <f t="shared" si="13"/>
        <v>0</v>
      </c>
    </row>
    <row r="836" spans="2:10" x14ac:dyDescent="0.25">
      <c r="B836" s="48">
        <f>+'Metrics - Articles'!C835</f>
        <v>0</v>
      </c>
      <c r="C836">
        <f>COUNTIF('Metrics - Articles'!H835,"*Global*")</f>
        <v>0</v>
      </c>
      <c r="D836">
        <f>COUNTIF('Metrics - Articles'!H835,"*EMEA*")</f>
        <v>0</v>
      </c>
      <c r="E836">
        <f>COUNTIF('Metrics - Articles'!H835,"*NA*")</f>
        <v>0</v>
      </c>
      <c r="F836">
        <f>COUNTIF('Metrics - Articles'!H835,"*APJ")</f>
        <v>0</v>
      </c>
      <c r="G836">
        <f>COUNTIF('Metrics - Articles'!H835,"*LATAM*")</f>
        <v>0</v>
      </c>
      <c r="H836">
        <f>COUNTIF('Metrics - Articles'!H835,"*China*")</f>
        <v>0</v>
      </c>
      <c r="J836" s="53">
        <f t="shared" si="13"/>
        <v>0</v>
      </c>
    </row>
    <row r="837" spans="2:10" x14ac:dyDescent="0.25">
      <c r="B837" s="48">
        <f>+'Metrics - Articles'!C836</f>
        <v>0</v>
      </c>
      <c r="C837">
        <f>COUNTIF('Metrics - Articles'!H836,"*Global*")</f>
        <v>0</v>
      </c>
      <c r="D837">
        <f>COUNTIF('Metrics - Articles'!H836,"*EMEA*")</f>
        <v>0</v>
      </c>
      <c r="E837">
        <f>COUNTIF('Metrics - Articles'!H836,"*NA*")</f>
        <v>0</v>
      </c>
      <c r="F837">
        <f>COUNTIF('Metrics - Articles'!H836,"*APJ")</f>
        <v>0</v>
      </c>
      <c r="G837">
        <f>COUNTIF('Metrics - Articles'!H836,"*LATAM*")</f>
        <v>0</v>
      </c>
      <c r="H837">
        <f>COUNTIF('Metrics - Articles'!H836,"*China*")</f>
        <v>0</v>
      </c>
      <c r="J837" s="53">
        <f t="shared" si="13"/>
        <v>0</v>
      </c>
    </row>
    <row r="838" spans="2:10" x14ac:dyDescent="0.25">
      <c r="B838" s="48">
        <f>+'Metrics - Articles'!C837</f>
        <v>0</v>
      </c>
      <c r="C838">
        <f>COUNTIF('Metrics - Articles'!H837,"*Global*")</f>
        <v>0</v>
      </c>
      <c r="D838">
        <f>COUNTIF('Metrics - Articles'!H837,"*EMEA*")</f>
        <v>0</v>
      </c>
      <c r="E838">
        <f>COUNTIF('Metrics - Articles'!H837,"*NA*")</f>
        <v>0</v>
      </c>
      <c r="F838">
        <f>COUNTIF('Metrics - Articles'!H837,"*APJ")</f>
        <v>0</v>
      </c>
      <c r="G838">
        <f>COUNTIF('Metrics - Articles'!H837,"*LATAM*")</f>
        <v>0</v>
      </c>
      <c r="H838">
        <f>COUNTIF('Metrics - Articles'!H837,"*China*")</f>
        <v>0</v>
      </c>
      <c r="J838" s="53">
        <f t="shared" si="13"/>
        <v>0</v>
      </c>
    </row>
    <row r="839" spans="2:10" x14ac:dyDescent="0.25">
      <c r="B839" s="48">
        <f>+'Metrics - Articles'!C838</f>
        <v>0</v>
      </c>
      <c r="C839">
        <f>COUNTIF('Metrics - Articles'!H838,"*Global*")</f>
        <v>0</v>
      </c>
      <c r="D839">
        <f>COUNTIF('Metrics - Articles'!H838,"*EMEA*")</f>
        <v>0</v>
      </c>
      <c r="E839">
        <f>COUNTIF('Metrics - Articles'!H838,"*NA*")</f>
        <v>0</v>
      </c>
      <c r="F839">
        <f>COUNTIF('Metrics - Articles'!H838,"*APJ")</f>
        <v>0</v>
      </c>
      <c r="G839">
        <f>COUNTIF('Metrics - Articles'!H838,"*LATAM*")</f>
        <v>0</v>
      </c>
      <c r="H839">
        <f>COUNTIF('Metrics - Articles'!H838,"*China*")</f>
        <v>0</v>
      </c>
      <c r="J839" s="53">
        <f t="shared" si="13"/>
        <v>0</v>
      </c>
    </row>
    <row r="840" spans="2:10" x14ac:dyDescent="0.25">
      <c r="B840" s="48">
        <f>+'Metrics - Articles'!C839</f>
        <v>0</v>
      </c>
      <c r="C840">
        <f>COUNTIF('Metrics - Articles'!H839,"*Global*")</f>
        <v>0</v>
      </c>
      <c r="D840">
        <f>COUNTIF('Metrics - Articles'!H839,"*EMEA*")</f>
        <v>0</v>
      </c>
      <c r="E840">
        <f>COUNTIF('Metrics - Articles'!H839,"*NA*")</f>
        <v>0</v>
      </c>
      <c r="F840">
        <f>COUNTIF('Metrics - Articles'!H839,"*APJ")</f>
        <v>0</v>
      </c>
      <c r="G840">
        <f>COUNTIF('Metrics - Articles'!H839,"*LATAM*")</f>
        <v>0</v>
      </c>
      <c r="H840">
        <f>COUNTIF('Metrics - Articles'!H839,"*China*")</f>
        <v>0</v>
      </c>
      <c r="J840" s="53">
        <f t="shared" si="13"/>
        <v>0</v>
      </c>
    </row>
    <row r="841" spans="2:10" x14ac:dyDescent="0.25">
      <c r="B841" s="48">
        <f>+'Metrics - Articles'!C840</f>
        <v>0</v>
      </c>
      <c r="C841">
        <f>COUNTIF('Metrics - Articles'!H840,"*Global*")</f>
        <v>0</v>
      </c>
      <c r="D841">
        <f>COUNTIF('Metrics - Articles'!H840,"*EMEA*")</f>
        <v>0</v>
      </c>
      <c r="E841">
        <f>COUNTIF('Metrics - Articles'!H840,"*NA*")</f>
        <v>0</v>
      </c>
      <c r="F841">
        <f>COUNTIF('Metrics - Articles'!H840,"*APJ")</f>
        <v>0</v>
      </c>
      <c r="G841">
        <f>COUNTIF('Metrics - Articles'!H840,"*LATAM*")</f>
        <v>0</v>
      </c>
      <c r="H841">
        <f>COUNTIF('Metrics - Articles'!H840,"*China*")</f>
        <v>0</v>
      </c>
      <c r="J841" s="53">
        <f t="shared" si="13"/>
        <v>0</v>
      </c>
    </row>
    <row r="842" spans="2:10" x14ac:dyDescent="0.25">
      <c r="B842" s="48">
        <f>+'Metrics - Articles'!C841</f>
        <v>0</v>
      </c>
      <c r="C842">
        <f>COUNTIF('Metrics - Articles'!H841,"*Global*")</f>
        <v>0</v>
      </c>
      <c r="D842">
        <f>COUNTIF('Metrics - Articles'!H841,"*EMEA*")</f>
        <v>0</v>
      </c>
      <c r="E842">
        <f>COUNTIF('Metrics - Articles'!H841,"*NA*")</f>
        <v>0</v>
      </c>
      <c r="F842">
        <f>COUNTIF('Metrics - Articles'!H841,"*APJ")</f>
        <v>0</v>
      </c>
      <c r="G842">
        <f>COUNTIF('Metrics - Articles'!H841,"*LATAM*")</f>
        <v>0</v>
      </c>
      <c r="H842">
        <f>COUNTIF('Metrics - Articles'!H841,"*China*")</f>
        <v>0</v>
      </c>
      <c r="J842" s="53">
        <f t="shared" ref="J842:J905" si="14">SUM(C842:I842)</f>
        <v>0</v>
      </c>
    </row>
    <row r="843" spans="2:10" x14ac:dyDescent="0.25">
      <c r="B843" s="48">
        <f>+'Metrics - Articles'!C842</f>
        <v>0</v>
      </c>
      <c r="C843">
        <f>COUNTIF('Metrics - Articles'!H842,"*Global*")</f>
        <v>0</v>
      </c>
      <c r="D843">
        <f>COUNTIF('Metrics - Articles'!H842,"*EMEA*")</f>
        <v>0</v>
      </c>
      <c r="E843">
        <f>COUNTIF('Metrics - Articles'!H842,"*NA*")</f>
        <v>0</v>
      </c>
      <c r="F843">
        <f>COUNTIF('Metrics - Articles'!H842,"*APJ")</f>
        <v>0</v>
      </c>
      <c r="G843">
        <f>COUNTIF('Metrics - Articles'!H842,"*LATAM*")</f>
        <v>0</v>
      </c>
      <c r="H843">
        <f>COUNTIF('Metrics - Articles'!H842,"*China*")</f>
        <v>0</v>
      </c>
      <c r="J843" s="53">
        <f t="shared" si="14"/>
        <v>0</v>
      </c>
    </row>
    <row r="844" spans="2:10" x14ac:dyDescent="0.25">
      <c r="B844" s="48">
        <f>+'Metrics - Articles'!C843</f>
        <v>0</v>
      </c>
      <c r="C844">
        <f>COUNTIF('Metrics - Articles'!H843,"*Global*")</f>
        <v>0</v>
      </c>
      <c r="D844">
        <f>COUNTIF('Metrics - Articles'!H843,"*EMEA*")</f>
        <v>0</v>
      </c>
      <c r="E844">
        <f>COUNTIF('Metrics - Articles'!H843,"*NA*")</f>
        <v>0</v>
      </c>
      <c r="F844">
        <f>COUNTIF('Metrics - Articles'!H843,"*APJ")</f>
        <v>0</v>
      </c>
      <c r="G844">
        <f>COUNTIF('Metrics - Articles'!H843,"*LATAM*")</f>
        <v>0</v>
      </c>
      <c r="H844">
        <f>COUNTIF('Metrics - Articles'!H843,"*China*")</f>
        <v>0</v>
      </c>
      <c r="J844" s="53">
        <f t="shared" si="14"/>
        <v>0</v>
      </c>
    </row>
    <row r="845" spans="2:10" x14ac:dyDescent="0.25">
      <c r="B845" s="48">
        <f>+'Metrics - Articles'!C844</f>
        <v>0</v>
      </c>
      <c r="C845">
        <f>COUNTIF('Metrics - Articles'!H844,"*Global*")</f>
        <v>0</v>
      </c>
      <c r="D845">
        <f>COUNTIF('Metrics - Articles'!H844,"*EMEA*")</f>
        <v>0</v>
      </c>
      <c r="E845">
        <f>COUNTIF('Metrics - Articles'!H844,"*NA*")</f>
        <v>0</v>
      </c>
      <c r="F845">
        <f>COUNTIF('Metrics - Articles'!H844,"*APJ")</f>
        <v>0</v>
      </c>
      <c r="G845">
        <f>COUNTIF('Metrics - Articles'!H844,"*LATAM*")</f>
        <v>0</v>
      </c>
      <c r="H845">
        <f>COUNTIF('Metrics - Articles'!H844,"*China*")</f>
        <v>0</v>
      </c>
      <c r="J845" s="53">
        <f t="shared" si="14"/>
        <v>0</v>
      </c>
    </row>
    <row r="846" spans="2:10" x14ac:dyDescent="0.25">
      <c r="B846" s="48">
        <f>+'Metrics - Articles'!C845</f>
        <v>0</v>
      </c>
      <c r="C846">
        <f>COUNTIF('Metrics - Articles'!H845,"*Global*")</f>
        <v>0</v>
      </c>
      <c r="D846">
        <f>COUNTIF('Metrics - Articles'!H845,"*EMEA*")</f>
        <v>0</v>
      </c>
      <c r="E846">
        <f>COUNTIF('Metrics - Articles'!H845,"*NA*")</f>
        <v>0</v>
      </c>
      <c r="F846">
        <f>COUNTIF('Metrics - Articles'!H845,"*APJ")</f>
        <v>0</v>
      </c>
      <c r="G846">
        <f>COUNTIF('Metrics - Articles'!H845,"*LATAM*")</f>
        <v>0</v>
      </c>
      <c r="H846">
        <f>COUNTIF('Metrics - Articles'!H845,"*China*")</f>
        <v>0</v>
      </c>
      <c r="J846" s="53">
        <f t="shared" si="14"/>
        <v>0</v>
      </c>
    </row>
    <row r="847" spans="2:10" x14ac:dyDescent="0.25">
      <c r="B847" s="48">
        <f>+'Metrics - Articles'!C846</f>
        <v>0</v>
      </c>
      <c r="C847">
        <f>COUNTIF('Metrics - Articles'!H846,"*Global*")</f>
        <v>0</v>
      </c>
      <c r="D847">
        <f>COUNTIF('Metrics - Articles'!H846,"*EMEA*")</f>
        <v>0</v>
      </c>
      <c r="E847">
        <f>COUNTIF('Metrics - Articles'!H846,"*NA*")</f>
        <v>0</v>
      </c>
      <c r="F847">
        <f>COUNTIF('Metrics - Articles'!H846,"*APJ")</f>
        <v>0</v>
      </c>
      <c r="G847">
        <f>COUNTIF('Metrics - Articles'!H846,"*LATAM*")</f>
        <v>0</v>
      </c>
      <c r="H847">
        <f>COUNTIF('Metrics - Articles'!H846,"*China*")</f>
        <v>0</v>
      </c>
      <c r="J847" s="53">
        <f t="shared" si="14"/>
        <v>0</v>
      </c>
    </row>
    <row r="848" spans="2:10" x14ac:dyDescent="0.25">
      <c r="B848" s="48">
        <f>+'Metrics - Articles'!C847</f>
        <v>0</v>
      </c>
      <c r="C848">
        <f>COUNTIF('Metrics - Articles'!H847,"*Global*")</f>
        <v>0</v>
      </c>
      <c r="D848">
        <f>COUNTIF('Metrics - Articles'!H847,"*EMEA*")</f>
        <v>0</v>
      </c>
      <c r="E848">
        <f>COUNTIF('Metrics - Articles'!H847,"*NA*")</f>
        <v>0</v>
      </c>
      <c r="F848">
        <f>COUNTIF('Metrics - Articles'!H847,"*APJ")</f>
        <v>0</v>
      </c>
      <c r="G848">
        <f>COUNTIF('Metrics - Articles'!H847,"*LATAM*")</f>
        <v>0</v>
      </c>
      <c r="H848">
        <f>COUNTIF('Metrics - Articles'!H847,"*China*")</f>
        <v>0</v>
      </c>
      <c r="J848" s="53">
        <f t="shared" si="14"/>
        <v>0</v>
      </c>
    </row>
    <row r="849" spans="2:10" x14ac:dyDescent="0.25">
      <c r="B849" s="48">
        <f>+'Metrics - Articles'!C848</f>
        <v>0</v>
      </c>
      <c r="C849">
        <f>COUNTIF('Metrics - Articles'!H848,"*Global*")</f>
        <v>0</v>
      </c>
      <c r="D849">
        <f>COUNTIF('Metrics - Articles'!H848,"*EMEA*")</f>
        <v>0</v>
      </c>
      <c r="E849">
        <f>COUNTIF('Metrics - Articles'!H848,"*NA*")</f>
        <v>0</v>
      </c>
      <c r="F849">
        <f>COUNTIF('Metrics - Articles'!H848,"*APJ")</f>
        <v>0</v>
      </c>
      <c r="G849">
        <f>COUNTIF('Metrics - Articles'!H848,"*LATAM*")</f>
        <v>0</v>
      </c>
      <c r="H849">
        <f>COUNTIF('Metrics - Articles'!H848,"*China*")</f>
        <v>0</v>
      </c>
      <c r="J849" s="53">
        <f t="shared" si="14"/>
        <v>0</v>
      </c>
    </row>
    <row r="850" spans="2:10" x14ac:dyDescent="0.25">
      <c r="B850" s="48">
        <f>+'Metrics - Articles'!C849</f>
        <v>0</v>
      </c>
      <c r="C850">
        <f>COUNTIF('Metrics - Articles'!H849,"*Global*")</f>
        <v>0</v>
      </c>
      <c r="D850">
        <f>COUNTIF('Metrics - Articles'!H849,"*EMEA*")</f>
        <v>0</v>
      </c>
      <c r="E850">
        <f>COUNTIF('Metrics - Articles'!H849,"*NA*")</f>
        <v>0</v>
      </c>
      <c r="F850">
        <f>COUNTIF('Metrics - Articles'!H849,"*APJ")</f>
        <v>0</v>
      </c>
      <c r="G850">
        <f>COUNTIF('Metrics - Articles'!H849,"*LATAM*")</f>
        <v>0</v>
      </c>
      <c r="H850">
        <f>COUNTIF('Metrics - Articles'!H849,"*China*")</f>
        <v>0</v>
      </c>
      <c r="J850" s="53">
        <f t="shared" si="14"/>
        <v>0</v>
      </c>
    </row>
    <row r="851" spans="2:10" x14ac:dyDescent="0.25">
      <c r="B851" s="48">
        <f>+'Metrics - Articles'!C850</f>
        <v>0</v>
      </c>
      <c r="C851">
        <f>COUNTIF('Metrics - Articles'!H850,"*Global*")</f>
        <v>0</v>
      </c>
      <c r="D851">
        <f>COUNTIF('Metrics - Articles'!H850,"*EMEA*")</f>
        <v>0</v>
      </c>
      <c r="E851">
        <f>COUNTIF('Metrics - Articles'!H850,"*NA*")</f>
        <v>0</v>
      </c>
      <c r="F851">
        <f>COUNTIF('Metrics - Articles'!H850,"*APJ")</f>
        <v>0</v>
      </c>
      <c r="G851">
        <f>COUNTIF('Metrics - Articles'!H850,"*LATAM*")</f>
        <v>0</v>
      </c>
      <c r="H851">
        <f>COUNTIF('Metrics - Articles'!H850,"*China*")</f>
        <v>0</v>
      </c>
      <c r="J851" s="53">
        <f t="shared" si="14"/>
        <v>0</v>
      </c>
    </row>
    <row r="852" spans="2:10" x14ac:dyDescent="0.25">
      <c r="B852" s="48">
        <f>+'Metrics - Articles'!C851</f>
        <v>0</v>
      </c>
      <c r="C852">
        <f>COUNTIF('Metrics - Articles'!H851,"*Global*")</f>
        <v>0</v>
      </c>
      <c r="D852">
        <f>COUNTIF('Metrics - Articles'!H851,"*EMEA*")</f>
        <v>0</v>
      </c>
      <c r="E852">
        <f>COUNTIF('Metrics - Articles'!H851,"*NA*")</f>
        <v>0</v>
      </c>
      <c r="F852">
        <f>COUNTIF('Metrics - Articles'!H851,"*APJ")</f>
        <v>0</v>
      </c>
      <c r="G852">
        <f>COUNTIF('Metrics - Articles'!H851,"*LATAM*")</f>
        <v>0</v>
      </c>
      <c r="H852">
        <f>COUNTIF('Metrics - Articles'!H851,"*China*")</f>
        <v>0</v>
      </c>
      <c r="J852" s="53">
        <f t="shared" si="14"/>
        <v>0</v>
      </c>
    </row>
    <row r="853" spans="2:10" x14ac:dyDescent="0.25">
      <c r="B853" s="48">
        <f>+'Metrics - Articles'!C852</f>
        <v>0</v>
      </c>
      <c r="C853">
        <f>COUNTIF('Metrics - Articles'!H852,"*Global*")</f>
        <v>0</v>
      </c>
      <c r="D853">
        <f>COUNTIF('Metrics - Articles'!H852,"*EMEA*")</f>
        <v>0</v>
      </c>
      <c r="E853">
        <f>COUNTIF('Metrics - Articles'!H852,"*NA*")</f>
        <v>0</v>
      </c>
      <c r="F853">
        <f>COUNTIF('Metrics - Articles'!H852,"*APJ")</f>
        <v>0</v>
      </c>
      <c r="G853">
        <f>COUNTIF('Metrics - Articles'!H852,"*LATAM*")</f>
        <v>0</v>
      </c>
      <c r="H853">
        <f>COUNTIF('Metrics - Articles'!H852,"*China*")</f>
        <v>0</v>
      </c>
      <c r="J853" s="53">
        <f t="shared" si="14"/>
        <v>0</v>
      </c>
    </row>
    <row r="854" spans="2:10" x14ac:dyDescent="0.25">
      <c r="B854" s="48">
        <f>+'Metrics - Articles'!C853</f>
        <v>0</v>
      </c>
      <c r="C854">
        <f>COUNTIF('Metrics - Articles'!H853,"*Global*")</f>
        <v>0</v>
      </c>
      <c r="D854">
        <f>COUNTIF('Metrics - Articles'!H853,"*EMEA*")</f>
        <v>0</v>
      </c>
      <c r="E854">
        <f>COUNTIF('Metrics - Articles'!H853,"*NA*")</f>
        <v>0</v>
      </c>
      <c r="F854">
        <f>COUNTIF('Metrics - Articles'!H853,"*APJ")</f>
        <v>0</v>
      </c>
      <c r="G854">
        <f>COUNTIF('Metrics - Articles'!H853,"*LATAM*")</f>
        <v>0</v>
      </c>
      <c r="H854">
        <f>COUNTIF('Metrics - Articles'!H853,"*China*")</f>
        <v>0</v>
      </c>
      <c r="J854" s="53">
        <f t="shared" si="14"/>
        <v>0</v>
      </c>
    </row>
    <row r="855" spans="2:10" x14ac:dyDescent="0.25">
      <c r="B855" s="48">
        <f>+'Metrics - Articles'!C854</f>
        <v>0</v>
      </c>
      <c r="C855">
        <f>COUNTIF('Metrics - Articles'!H854,"*Global*")</f>
        <v>0</v>
      </c>
      <c r="D855">
        <f>COUNTIF('Metrics - Articles'!H854,"*EMEA*")</f>
        <v>0</v>
      </c>
      <c r="E855">
        <f>COUNTIF('Metrics - Articles'!H854,"*NA*")</f>
        <v>0</v>
      </c>
      <c r="F855">
        <f>COUNTIF('Metrics - Articles'!H854,"*APJ")</f>
        <v>0</v>
      </c>
      <c r="G855">
        <f>COUNTIF('Metrics - Articles'!H854,"*LATAM*")</f>
        <v>0</v>
      </c>
      <c r="H855">
        <f>COUNTIF('Metrics - Articles'!H854,"*China*")</f>
        <v>0</v>
      </c>
      <c r="J855" s="53">
        <f t="shared" si="14"/>
        <v>0</v>
      </c>
    </row>
    <row r="856" spans="2:10" x14ac:dyDescent="0.25">
      <c r="B856" s="48">
        <f>+'Metrics - Articles'!C855</f>
        <v>0</v>
      </c>
      <c r="C856">
        <f>COUNTIF('Metrics - Articles'!H855,"*Global*")</f>
        <v>0</v>
      </c>
      <c r="D856">
        <f>COUNTIF('Metrics - Articles'!H855,"*EMEA*")</f>
        <v>0</v>
      </c>
      <c r="E856">
        <f>COUNTIF('Metrics - Articles'!H855,"*NA*")</f>
        <v>0</v>
      </c>
      <c r="F856">
        <f>COUNTIF('Metrics - Articles'!H855,"*APJ")</f>
        <v>0</v>
      </c>
      <c r="G856">
        <f>COUNTIF('Metrics - Articles'!H855,"*LATAM*")</f>
        <v>0</v>
      </c>
      <c r="H856">
        <f>COUNTIF('Metrics - Articles'!H855,"*China*")</f>
        <v>0</v>
      </c>
      <c r="J856" s="53">
        <f t="shared" si="14"/>
        <v>0</v>
      </c>
    </row>
    <row r="857" spans="2:10" x14ac:dyDescent="0.25">
      <c r="B857" s="48">
        <f>+'Metrics - Articles'!C856</f>
        <v>0</v>
      </c>
      <c r="C857">
        <f>COUNTIF('Metrics - Articles'!H856,"*Global*")</f>
        <v>0</v>
      </c>
      <c r="D857">
        <f>COUNTIF('Metrics - Articles'!H856,"*EMEA*")</f>
        <v>0</v>
      </c>
      <c r="E857">
        <f>COUNTIF('Metrics - Articles'!H856,"*NA*")</f>
        <v>0</v>
      </c>
      <c r="F857">
        <f>COUNTIF('Metrics - Articles'!H856,"*APJ")</f>
        <v>0</v>
      </c>
      <c r="G857">
        <f>COUNTIF('Metrics - Articles'!H856,"*LATAM*")</f>
        <v>0</v>
      </c>
      <c r="H857">
        <f>COUNTIF('Metrics - Articles'!H856,"*China*")</f>
        <v>0</v>
      </c>
      <c r="J857" s="53">
        <f t="shared" si="14"/>
        <v>0</v>
      </c>
    </row>
    <row r="858" spans="2:10" x14ac:dyDescent="0.25">
      <c r="B858" s="48">
        <f>+'Metrics - Articles'!C857</f>
        <v>0</v>
      </c>
      <c r="C858">
        <f>COUNTIF('Metrics - Articles'!H857,"*Global*")</f>
        <v>0</v>
      </c>
      <c r="D858">
        <f>COUNTIF('Metrics - Articles'!H857,"*EMEA*")</f>
        <v>0</v>
      </c>
      <c r="E858">
        <f>COUNTIF('Metrics - Articles'!H857,"*NA*")</f>
        <v>0</v>
      </c>
      <c r="F858">
        <f>COUNTIF('Metrics - Articles'!H857,"*APJ")</f>
        <v>0</v>
      </c>
      <c r="G858">
        <f>COUNTIF('Metrics - Articles'!H857,"*LATAM*")</f>
        <v>0</v>
      </c>
      <c r="H858">
        <f>COUNTIF('Metrics - Articles'!H857,"*China*")</f>
        <v>0</v>
      </c>
      <c r="J858" s="53">
        <f t="shared" si="14"/>
        <v>0</v>
      </c>
    </row>
    <row r="859" spans="2:10" x14ac:dyDescent="0.25">
      <c r="B859" s="48">
        <f>+'Metrics - Articles'!C858</f>
        <v>0</v>
      </c>
      <c r="C859">
        <f>COUNTIF('Metrics - Articles'!H858,"*Global*")</f>
        <v>0</v>
      </c>
      <c r="D859">
        <f>COUNTIF('Metrics - Articles'!H858,"*EMEA*")</f>
        <v>0</v>
      </c>
      <c r="E859">
        <f>COUNTIF('Metrics - Articles'!H858,"*NA*")</f>
        <v>0</v>
      </c>
      <c r="F859">
        <f>COUNTIF('Metrics - Articles'!H858,"*APJ")</f>
        <v>0</v>
      </c>
      <c r="G859">
        <f>COUNTIF('Metrics - Articles'!H858,"*LATAM*")</f>
        <v>0</v>
      </c>
      <c r="H859">
        <f>COUNTIF('Metrics - Articles'!H858,"*China*")</f>
        <v>0</v>
      </c>
      <c r="J859" s="53">
        <f t="shared" si="14"/>
        <v>0</v>
      </c>
    </row>
    <row r="860" spans="2:10" x14ac:dyDescent="0.25">
      <c r="B860" s="48">
        <f>+'Metrics - Articles'!C859</f>
        <v>0</v>
      </c>
      <c r="C860">
        <f>COUNTIF('Metrics - Articles'!H859,"*Global*")</f>
        <v>0</v>
      </c>
      <c r="D860">
        <f>COUNTIF('Metrics - Articles'!H859,"*EMEA*")</f>
        <v>0</v>
      </c>
      <c r="E860">
        <f>COUNTIF('Metrics - Articles'!H859,"*NA*")</f>
        <v>0</v>
      </c>
      <c r="F860">
        <f>COUNTIF('Metrics - Articles'!H859,"*APJ")</f>
        <v>0</v>
      </c>
      <c r="G860">
        <f>COUNTIF('Metrics - Articles'!H859,"*LATAM*")</f>
        <v>0</v>
      </c>
      <c r="H860">
        <f>COUNTIF('Metrics - Articles'!H859,"*China*")</f>
        <v>0</v>
      </c>
      <c r="J860" s="53">
        <f t="shared" si="14"/>
        <v>0</v>
      </c>
    </row>
    <row r="861" spans="2:10" x14ac:dyDescent="0.25">
      <c r="B861" s="48">
        <f>+'Metrics - Articles'!C860</f>
        <v>0</v>
      </c>
      <c r="C861">
        <f>COUNTIF('Metrics - Articles'!H860,"*Global*")</f>
        <v>0</v>
      </c>
      <c r="D861">
        <f>COUNTIF('Metrics - Articles'!H860,"*EMEA*")</f>
        <v>0</v>
      </c>
      <c r="E861">
        <f>COUNTIF('Metrics - Articles'!H860,"*NA*")</f>
        <v>0</v>
      </c>
      <c r="F861">
        <f>COUNTIF('Metrics - Articles'!H860,"*APJ")</f>
        <v>0</v>
      </c>
      <c r="G861">
        <f>COUNTIF('Metrics - Articles'!H860,"*LATAM*")</f>
        <v>0</v>
      </c>
      <c r="H861">
        <f>COUNTIF('Metrics - Articles'!H860,"*China*")</f>
        <v>0</v>
      </c>
      <c r="J861" s="53">
        <f t="shared" si="14"/>
        <v>0</v>
      </c>
    </row>
    <row r="862" spans="2:10" x14ac:dyDescent="0.25">
      <c r="B862" s="48">
        <f>+'Metrics - Articles'!C861</f>
        <v>0</v>
      </c>
      <c r="C862">
        <f>COUNTIF('Metrics - Articles'!H861,"*Global*")</f>
        <v>0</v>
      </c>
      <c r="D862">
        <f>COUNTIF('Metrics - Articles'!H861,"*EMEA*")</f>
        <v>0</v>
      </c>
      <c r="E862">
        <f>COUNTIF('Metrics - Articles'!H861,"*NA*")</f>
        <v>0</v>
      </c>
      <c r="F862">
        <f>COUNTIF('Metrics - Articles'!H861,"*APJ")</f>
        <v>0</v>
      </c>
      <c r="G862">
        <f>COUNTIF('Metrics - Articles'!H861,"*LATAM*")</f>
        <v>0</v>
      </c>
      <c r="H862">
        <f>COUNTIF('Metrics - Articles'!H861,"*China*")</f>
        <v>0</v>
      </c>
      <c r="J862" s="53">
        <f t="shared" si="14"/>
        <v>0</v>
      </c>
    </row>
    <row r="863" spans="2:10" x14ac:dyDescent="0.25">
      <c r="B863" s="48">
        <f>+'Metrics - Articles'!C862</f>
        <v>0</v>
      </c>
      <c r="C863">
        <f>COUNTIF('Metrics - Articles'!H862,"*Global*")</f>
        <v>0</v>
      </c>
      <c r="D863">
        <f>COUNTIF('Metrics - Articles'!H862,"*EMEA*")</f>
        <v>0</v>
      </c>
      <c r="E863">
        <f>COUNTIF('Metrics - Articles'!H862,"*NA*")</f>
        <v>0</v>
      </c>
      <c r="F863">
        <f>COUNTIF('Metrics - Articles'!H862,"*APJ")</f>
        <v>0</v>
      </c>
      <c r="G863">
        <f>COUNTIF('Metrics - Articles'!H862,"*LATAM*")</f>
        <v>0</v>
      </c>
      <c r="H863">
        <f>COUNTIF('Metrics - Articles'!H862,"*China*")</f>
        <v>0</v>
      </c>
      <c r="J863" s="53">
        <f t="shared" si="14"/>
        <v>0</v>
      </c>
    </row>
    <row r="864" spans="2:10" x14ac:dyDescent="0.25">
      <c r="B864" s="48">
        <f>+'Metrics - Articles'!C863</f>
        <v>0</v>
      </c>
      <c r="C864">
        <f>COUNTIF('Metrics - Articles'!H863,"*Global*")</f>
        <v>0</v>
      </c>
      <c r="D864">
        <f>COUNTIF('Metrics - Articles'!H863,"*EMEA*")</f>
        <v>0</v>
      </c>
      <c r="E864">
        <f>COUNTIF('Metrics - Articles'!H863,"*NA*")</f>
        <v>0</v>
      </c>
      <c r="F864">
        <f>COUNTIF('Metrics - Articles'!H863,"*APJ")</f>
        <v>0</v>
      </c>
      <c r="G864">
        <f>COUNTIF('Metrics - Articles'!H863,"*LATAM*")</f>
        <v>0</v>
      </c>
      <c r="H864">
        <f>COUNTIF('Metrics - Articles'!H863,"*China*")</f>
        <v>0</v>
      </c>
      <c r="J864" s="53">
        <f t="shared" si="14"/>
        <v>0</v>
      </c>
    </row>
    <row r="865" spans="2:10" x14ac:dyDescent="0.25">
      <c r="B865" s="48">
        <f>+'Metrics - Articles'!C864</f>
        <v>0</v>
      </c>
      <c r="C865">
        <f>COUNTIF('Metrics - Articles'!H864,"*Global*")</f>
        <v>0</v>
      </c>
      <c r="D865">
        <f>COUNTIF('Metrics - Articles'!H864,"*EMEA*")</f>
        <v>0</v>
      </c>
      <c r="E865">
        <f>COUNTIF('Metrics - Articles'!H864,"*NA*")</f>
        <v>0</v>
      </c>
      <c r="F865">
        <f>COUNTIF('Metrics - Articles'!H864,"*APJ")</f>
        <v>0</v>
      </c>
      <c r="G865">
        <f>COUNTIF('Metrics - Articles'!H864,"*LATAM*")</f>
        <v>0</v>
      </c>
      <c r="H865">
        <f>COUNTIF('Metrics - Articles'!H864,"*China*")</f>
        <v>0</v>
      </c>
      <c r="J865" s="53">
        <f t="shared" si="14"/>
        <v>0</v>
      </c>
    </row>
    <row r="866" spans="2:10" x14ac:dyDescent="0.25">
      <c r="B866" s="48">
        <f>+'Metrics - Articles'!C865</f>
        <v>0</v>
      </c>
      <c r="C866">
        <f>COUNTIF('Metrics - Articles'!H865,"*Global*")</f>
        <v>0</v>
      </c>
      <c r="D866">
        <f>COUNTIF('Metrics - Articles'!H865,"*EMEA*")</f>
        <v>0</v>
      </c>
      <c r="E866">
        <f>COUNTIF('Metrics - Articles'!H865,"*NA*")</f>
        <v>0</v>
      </c>
      <c r="F866">
        <f>COUNTIF('Metrics - Articles'!H865,"*APJ")</f>
        <v>0</v>
      </c>
      <c r="G866">
        <f>COUNTIF('Metrics - Articles'!H865,"*LATAM*")</f>
        <v>0</v>
      </c>
      <c r="H866">
        <f>COUNTIF('Metrics - Articles'!H865,"*China*")</f>
        <v>0</v>
      </c>
      <c r="J866" s="53">
        <f t="shared" si="14"/>
        <v>0</v>
      </c>
    </row>
    <row r="867" spans="2:10" x14ac:dyDescent="0.25">
      <c r="B867" s="48">
        <f>+'Metrics - Articles'!C866</f>
        <v>0</v>
      </c>
      <c r="C867">
        <f>COUNTIF('Metrics - Articles'!H866,"*Global*")</f>
        <v>0</v>
      </c>
      <c r="D867">
        <f>COUNTIF('Metrics - Articles'!H866,"*EMEA*")</f>
        <v>0</v>
      </c>
      <c r="E867">
        <f>COUNTIF('Metrics - Articles'!H866,"*NA*")</f>
        <v>0</v>
      </c>
      <c r="F867">
        <f>COUNTIF('Metrics - Articles'!H866,"*APJ")</f>
        <v>0</v>
      </c>
      <c r="G867">
        <f>COUNTIF('Metrics - Articles'!H866,"*LATAM*")</f>
        <v>0</v>
      </c>
      <c r="H867">
        <f>COUNTIF('Metrics - Articles'!H866,"*China*")</f>
        <v>0</v>
      </c>
      <c r="J867" s="53">
        <f t="shared" si="14"/>
        <v>0</v>
      </c>
    </row>
    <row r="868" spans="2:10" x14ac:dyDescent="0.25">
      <c r="B868" s="48">
        <f>+'Metrics - Articles'!C867</f>
        <v>0</v>
      </c>
      <c r="C868">
        <f>COUNTIF('Metrics - Articles'!H867,"*Global*")</f>
        <v>0</v>
      </c>
      <c r="D868">
        <f>COUNTIF('Metrics - Articles'!H867,"*EMEA*")</f>
        <v>0</v>
      </c>
      <c r="E868">
        <f>COUNTIF('Metrics - Articles'!H867,"*NA*")</f>
        <v>0</v>
      </c>
      <c r="F868">
        <f>COUNTIF('Metrics - Articles'!H867,"*APJ")</f>
        <v>0</v>
      </c>
      <c r="G868">
        <f>COUNTIF('Metrics - Articles'!H867,"*LATAM*")</f>
        <v>0</v>
      </c>
      <c r="H868">
        <f>COUNTIF('Metrics - Articles'!H867,"*China*")</f>
        <v>0</v>
      </c>
      <c r="J868" s="53">
        <f t="shared" si="14"/>
        <v>0</v>
      </c>
    </row>
    <row r="869" spans="2:10" x14ac:dyDescent="0.25">
      <c r="B869" s="48">
        <f>+'Metrics - Articles'!C868</f>
        <v>0</v>
      </c>
      <c r="C869">
        <f>COUNTIF('Metrics - Articles'!H868,"*Global*")</f>
        <v>0</v>
      </c>
      <c r="D869">
        <f>COUNTIF('Metrics - Articles'!H868,"*EMEA*")</f>
        <v>0</v>
      </c>
      <c r="E869">
        <f>COUNTIF('Metrics - Articles'!H868,"*NA*")</f>
        <v>0</v>
      </c>
      <c r="F869">
        <f>COUNTIF('Metrics - Articles'!H868,"*APJ")</f>
        <v>0</v>
      </c>
      <c r="G869">
        <f>COUNTIF('Metrics - Articles'!H868,"*LATAM*")</f>
        <v>0</v>
      </c>
      <c r="H869">
        <f>COUNTIF('Metrics - Articles'!H868,"*China*")</f>
        <v>0</v>
      </c>
      <c r="J869" s="53">
        <f t="shared" si="14"/>
        <v>0</v>
      </c>
    </row>
    <row r="870" spans="2:10" x14ac:dyDescent="0.25">
      <c r="B870" s="48">
        <f>+'Metrics - Articles'!C869</f>
        <v>0</v>
      </c>
      <c r="C870">
        <f>COUNTIF('Metrics - Articles'!H869,"*Global*")</f>
        <v>0</v>
      </c>
      <c r="D870">
        <f>COUNTIF('Metrics - Articles'!H869,"*EMEA*")</f>
        <v>0</v>
      </c>
      <c r="E870">
        <f>COUNTIF('Metrics - Articles'!H869,"*NA*")</f>
        <v>0</v>
      </c>
      <c r="F870">
        <f>COUNTIF('Metrics - Articles'!H869,"*APJ")</f>
        <v>0</v>
      </c>
      <c r="G870">
        <f>COUNTIF('Metrics - Articles'!H869,"*LATAM*")</f>
        <v>0</v>
      </c>
      <c r="H870">
        <f>COUNTIF('Metrics - Articles'!H869,"*China*")</f>
        <v>0</v>
      </c>
      <c r="J870" s="53">
        <f t="shared" si="14"/>
        <v>0</v>
      </c>
    </row>
    <row r="871" spans="2:10" x14ac:dyDescent="0.25">
      <c r="B871" s="48">
        <f>+'Metrics - Articles'!C870</f>
        <v>0</v>
      </c>
      <c r="C871">
        <f>COUNTIF('Metrics - Articles'!H870,"*Global*")</f>
        <v>0</v>
      </c>
      <c r="D871">
        <f>COUNTIF('Metrics - Articles'!H870,"*EMEA*")</f>
        <v>0</v>
      </c>
      <c r="E871">
        <f>COUNTIF('Metrics - Articles'!H870,"*NA*")</f>
        <v>0</v>
      </c>
      <c r="F871">
        <f>COUNTIF('Metrics - Articles'!H870,"*APJ")</f>
        <v>0</v>
      </c>
      <c r="G871">
        <f>COUNTIF('Metrics - Articles'!H870,"*LATAM*")</f>
        <v>0</v>
      </c>
      <c r="H871">
        <f>COUNTIF('Metrics - Articles'!H870,"*China*")</f>
        <v>0</v>
      </c>
      <c r="J871" s="53">
        <f t="shared" si="14"/>
        <v>0</v>
      </c>
    </row>
    <row r="872" spans="2:10" x14ac:dyDescent="0.25">
      <c r="B872" s="48">
        <f>+'Metrics - Articles'!C871</f>
        <v>0</v>
      </c>
      <c r="C872">
        <f>COUNTIF('Metrics - Articles'!H871,"*Global*")</f>
        <v>0</v>
      </c>
      <c r="D872">
        <f>COUNTIF('Metrics - Articles'!H871,"*EMEA*")</f>
        <v>0</v>
      </c>
      <c r="E872">
        <f>COUNTIF('Metrics - Articles'!H871,"*NA*")</f>
        <v>0</v>
      </c>
      <c r="F872">
        <f>COUNTIF('Metrics - Articles'!H871,"*APJ")</f>
        <v>0</v>
      </c>
      <c r="G872">
        <f>COUNTIF('Metrics - Articles'!H871,"*LATAM*")</f>
        <v>0</v>
      </c>
      <c r="H872">
        <f>COUNTIF('Metrics - Articles'!H871,"*China*")</f>
        <v>0</v>
      </c>
      <c r="J872" s="53">
        <f t="shared" si="14"/>
        <v>0</v>
      </c>
    </row>
    <row r="873" spans="2:10" x14ac:dyDescent="0.25">
      <c r="B873" s="48">
        <f>+'Metrics - Articles'!C872</f>
        <v>0</v>
      </c>
      <c r="C873">
        <f>COUNTIF('Metrics - Articles'!H872,"*Global*")</f>
        <v>0</v>
      </c>
      <c r="D873">
        <f>COUNTIF('Metrics - Articles'!H872,"*EMEA*")</f>
        <v>0</v>
      </c>
      <c r="E873">
        <f>COUNTIF('Metrics - Articles'!H872,"*NA*")</f>
        <v>0</v>
      </c>
      <c r="F873">
        <f>COUNTIF('Metrics - Articles'!H872,"*APJ")</f>
        <v>0</v>
      </c>
      <c r="G873">
        <f>COUNTIF('Metrics - Articles'!H872,"*LATAM*")</f>
        <v>0</v>
      </c>
      <c r="H873">
        <f>COUNTIF('Metrics - Articles'!H872,"*China*")</f>
        <v>0</v>
      </c>
      <c r="J873" s="53">
        <f t="shared" si="14"/>
        <v>0</v>
      </c>
    </row>
    <row r="874" spans="2:10" x14ac:dyDescent="0.25">
      <c r="B874" s="48">
        <f>+'Metrics - Articles'!C873</f>
        <v>0</v>
      </c>
      <c r="C874">
        <f>COUNTIF('Metrics - Articles'!H873,"*Global*")</f>
        <v>0</v>
      </c>
      <c r="D874">
        <f>COUNTIF('Metrics - Articles'!H873,"*EMEA*")</f>
        <v>0</v>
      </c>
      <c r="E874">
        <f>COUNTIF('Metrics - Articles'!H873,"*NA*")</f>
        <v>0</v>
      </c>
      <c r="F874">
        <f>COUNTIF('Metrics - Articles'!H873,"*APJ")</f>
        <v>0</v>
      </c>
      <c r="G874">
        <f>COUNTIF('Metrics - Articles'!H873,"*LATAM*")</f>
        <v>0</v>
      </c>
      <c r="H874">
        <f>COUNTIF('Metrics - Articles'!H873,"*China*")</f>
        <v>0</v>
      </c>
      <c r="J874" s="53">
        <f t="shared" si="14"/>
        <v>0</v>
      </c>
    </row>
    <row r="875" spans="2:10" x14ac:dyDescent="0.25">
      <c r="B875" s="48">
        <f>+'Metrics - Articles'!C874</f>
        <v>0</v>
      </c>
      <c r="C875">
        <f>COUNTIF('Metrics - Articles'!H874,"*Global*")</f>
        <v>0</v>
      </c>
      <c r="D875">
        <f>COUNTIF('Metrics - Articles'!H874,"*EMEA*")</f>
        <v>0</v>
      </c>
      <c r="E875">
        <f>COUNTIF('Metrics - Articles'!H874,"*NA*")</f>
        <v>0</v>
      </c>
      <c r="F875">
        <f>COUNTIF('Metrics - Articles'!H874,"*APJ")</f>
        <v>0</v>
      </c>
      <c r="G875">
        <f>COUNTIF('Metrics - Articles'!H874,"*LATAM*")</f>
        <v>0</v>
      </c>
      <c r="H875">
        <f>COUNTIF('Metrics - Articles'!H874,"*China*")</f>
        <v>0</v>
      </c>
      <c r="J875" s="53">
        <f t="shared" si="14"/>
        <v>0</v>
      </c>
    </row>
    <row r="876" spans="2:10" x14ac:dyDescent="0.25">
      <c r="B876" s="48">
        <f>+'Metrics - Articles'!C875</f>
        <v>0</v>
      </c>
      <c r="C876">
        <f>COUNTIF('Metrics - Articles'!H875,"*Global*")</f>
        <v>0</v>
      </c>
      <c r="D876">
        <f>COUNTIF('Metrics - Articles'!H875,"*EMEA*")</f>
        <v>0</v>
      </c>
      <c r="E876">
        <f>COUNTIF('Metrics - Articles'!H875,"*NA*")</f>
        <v>0</v>
      </c>
      <c r="F876">
        <f>COUNTIF('Metrics - Articles'!H875,"*APJ")</f>
        <v>0</v>
      </c>
      <c r="G876">
        <f>COUNTIF('Metrics - Articles'!H875,"*LATAM*")</f>
        <v>0</v>
      </c>
      <c r="H876">
        <f>COUNTIF('Metrics - Articles'!H875,"*China*")</f>
        <v>0</v>
      </c>
      <c r="J876" s="53">
        <f t="shared" si="14"/>
        <v>0</v>
      </c>
    </row>
    <row r="877" spans="2:10" x14ac:dyDescent="0.25">
      <c r="B877" s="48">
        <f>+'Metrics - Articles'!C876</f>
        <v>0</v>
      </c>
      <c r="C877">
        <f>COUNTIF('Metrics - Articles'!H876,"*Global*")</f>
        <v>0</v>
      </c>
      <c r="D877">
        <f>COUNTIF('Metrics - Articles'!H876,"*EMEA*")</f>
        <v>0</v>
      </c>
      <c r="E877">
        <f>COUNTIF('Metrics - Articles'!H876,"*NA*")</f>
        <v>0</v>
      </c>
      <c r="F877">
        <f>COUNTIF('Metrics - Articles'!H876,"*APJ")</f>
        <v>0</v>
      </c>
      <c r="G877">
        <f>COUNTIF('Metrics - Articles'!H876,"*LATAM*")</f>
        <v>0</v>
      </c>
      <c r="H877">
        <f>COUNTIF('Metrics - Articles'!H876,"*China*")</f>
        <v>0</v>
      </c>
      <c r="J877" s="53">
        <f t="shared" si="14"/>
        <v>0</v>
      </c>
    </row>
    <row r="878" spans="2:10" x14ac:dyDescent="0.25">
      <c r="B878" s="48">
        <f>+'Metrics - Articles'!C877</f>
        <v>0</v>
      </c>
      <c r="C878">
        <f>COUNTIF('Metrics - Articles'!H877,"*Global*")</f>
        <v>0</v>
      </c>
      <c r="D878">
        <f>COUNTIF('Metrics - Articles'!H877,"*EMEA*")</f>
        <v>0</v>
      </c>
      <c r="E878">
        <f>COUNTIF('Metrics - Articles'!H877,"*NA*")</f>
        <v>0</v>
      </c>
      <c r="F878">
        <f>COUNTIF('Metrics - Articles'!H877,"*APJ")</f>
        <v>0</v>
      </c>
      <c r="G878">
        <f>COUNTIF('Metrics - Articles'!H877,"*LATAM*")</f>
        <v>0</v>
      </c>
      <c r="H878">
        <f>COUNTIF('Metrics - Articles'!H877,"*China*")</f>
        <v>0</v>
      </c>
      <c r="J878" s="53">
        <f t="shared" si="14"/>
        <v>0</v>
      </c>
    </row>
    <row r="879" spans="2:10" x14ac:dyDescent="0.25">
      <c r="B879" s="48">
        <f>+'Metrics - Articles'!C878</f>
        <v>0</v>
      </c>
      <c r="C879">
        <f>COUNTIF('Metrics - Articles'!H878,"*Global*")</f>
        <v>0</v>
      </c>
      <c r="D879">
        <f>COUNTIF('Metrics - Articles'!H878,"*EMEA*")</f>
        <v>0</v>
      </c>
      <c r="E879">
        <f>COUNTIF('Metrics - Articles'!H878,"*NA*")</f>
        <v>0</v>
      </c>
      <c r="F879">
        <f>COUNTIF('Metrics - Articles'!H878,"*APJ")</f>
        <v>0</v>
      </c>
      <c r="G879">
        <f>COUNTIF('Metrics - Articles'!H878,"*LATAM*")</f>
        <v>0</v>
      </c>
      <c r="H879">
        <f>COUNTIF('Metrics - Articles'!H878,"*China*")</f>
        <v>0</v>
      </c>
      <c r="J879" s="53">
        <f t="shared" si="14"/>
        <v>0</v>
      </c>
    </row>
    <row r="880" spans="2:10" x14ac:dyDescent="0.25">
      <c r="B880" s="48">
        <f>+'Metrics - Articles'!C879</f>
        <v>0</v>
      </c>
      <c r="C880">
        <f>COUNTIF('Metrics - Articles'!H879,"*Global*")</f>
        <v>0</v>
      </c>
      <c r="D880">
        <f>COUNTIF('Metrics - Articles'!H879,"*EMEA*")</f>
        <v>0</v>
      </c>
      <c r="E880">
        <f>COUNTIF('Metrics - Articles'!H879,"*NA*")</f>
        <v>0</v>
      </c>
      <c r="F880">
        <f>COUNTIF('Metrics - Articles'!H879,"*APJ")</f>
        <v>0</v>
      </c>
      <c r="G880">
        <f>COUNTIF('Metrics - Articles'!H879,"*LATAM*")</f>
        <v>0</v>
      </c>
      <c r="H880">
        <f>COUNTIF('Metrics - Articles'!H879,"*China*")</f>
        <v>0</v>
      </c>
      <c r="J880" s="53">
        <f t="shared" si="14"/>
        <v>0</v>
      </c>
    </row>
    <row r="881" spans="2:10" x14ac:dyDescent="0.25">
      <c r="B881" s="48">
        <f>+'Metrics - Articles'!C880</f>
        <v>0</v>
      </c>
      <c r="C881">
        <f>COUNTIF('Metrics - Articles'!H880,"*Global*")</f>
        <v>0</v>
      </c>
      <c r="D881">
        <f>COUNTIF('Metrics - Articles'!H880,"*EMEA*")</f>
        <v>0</v>
      </c>
      <c r="E881">
        <f>COUNTIF('Metrics - Articles'!H880,"*NA*")</f>
        <v>0</v>
      </c>
      <c r="F881">
        <f>COUNTIF('Metrics - Articles'!H880,"*APJ")</f>
        <v>0</v>
      </c>
      <c r="G881">
        <f>COUNTIF('Metrics - Articles'!H880,"*LATAM*")</f>
        <v>0</v>
      </c>
      <c r="H881">
        <f>COUNTIF('Metrics - Articles'!H880,"*China*")</f>
        <v>0</v>
      </c>
      <c r="J881" s="53">
        <f t="shared" si="14"/>
        <v>0</v>
      </c>
    </row>
    <row r="882" spans="2:10" x14ac:dyDescent="0.25">
      <c r="B882" s="48">
        <f>+'Metrics - Articles'!C881</f>
        <v>0</v>
      </c>
      <c r="C882">
        <f>COUNTIF('Metrics - Articles'!H881,"*Global*")</f>
        <v>0</v>
      </c>
      <c r="D882">
        <f>COUNTIF('Metrics - Articles'!H881,"*EMEA*")</f>
        <v>0</v>
      </c>
      <c r="E882">
        <f>COUNTIF('Metrics - Articles'!H881,"*NA*")</f>
        <v>0</v>
      </c>
      <c r="F882">
        <f>COUNTIF('Metrics - Articles'!H881,"*APJ")</f>
        <v>0</v>
      </c>
      <c r="G882">
        <f>COUNTIF('Metrics - Articles'!H881,"*LATAM*")</f>
        <v>0</v>
      </c>
      <c r="H882">
        <f>COUNTIF('Metrics - Articles'!H881,"*China*")</f>
        <v>0</v>
      </c>
      <c r="J882" s="53">
        <f t="shared" si="14"/>
        <v>0</v>
      </c>
    </row>
    <row r="883" spans="2:10" x14ac:dyDescent="0.25">
      <c r="B883" s="48">
        <f>+'Metrics - Articles'!C882</f>
        <v>0</v>
      </c>
      <c r="C883">
        <f>COUNTIF('Metrics - Articles'!H882,"*Global*")</f>
        <v>0</v>
      </c>
      <c r="D883">
        <f>COUNTIF('Metrics - Articles'!H882,"*EMEA*")</f>
        <v>0</v>
      </c>
      <c r="E883">
        <f>COUNTIF('Metrics - Articles'!H882,"*NA*")</f>
        <v>0</v>
      </c>
      <c r="F883">
        <f>COUNTIF('Metrics - Articles'!H882,"*APJ")</f>
        <v>0</v>
      </c>
      <c r="G883">
        <f>COUNTIF('Metrics - Articles'!H882,"*LATAM*")</f>
        <v>0</v>
      </c>
      <c r="H883">
        <f>COUNTIF('Metrics - Articles'!H882,"*China*")</f>
        <v>0</v>
      </c>
      <c r="J883" s="53">
        <f t="shared" si="14"/>
        <v>0</v>
      </c>
    </row>
    <row r="884" spans="2:10" x14ac:dyDescent="0.25">
      <c r="B884" s="48">
        <f>+'Metrics - Articles'!C883</f>
        <v>0</v>
      </c>
      <c r="C884">
        <f>COUNTIF('Metrics - Articles'!H883,"*Global*")</f>
        <v>0</v>
      </c>
      <c r="D884">
        <f>COUNTIF('Metrics - Articles'!H883,"*EMEA*")</f>
        <v>0</v>
      </c>
      <c r="E884">
        <f>COUNTIF('Metrics - Articles'!H883,"*NA*")</f>
        <v>0</v>
      </c>
      <c r="F884">
        <f>COUNTIF('Metrics - Articles'!H883,"*APJ")</f>
        <v>0</v>
      </c>
      <c r="G884">
        <f>COUNTIF('Metrics - Articles'!H883,"*LATAM*")</f>
        <v>0</v>
      </c>
      <c r="H884">
        <f>COUNTIF('Metrics - Articles'!H883,"*China*")</f>
        <v>0</v>
      </c>
      <c r="J884" s="53">
        <f t="shared" si="14"/>
        <v>0</v>
      </c>
    </row>
    <row r="885" spans="2:10" x14ac:dyDescent="0.25">
      <c r="B885" s="48">
        <f>+'Metrics - Articles'!C884</f>
        <v>0</v>
      </c>
      <c r="C885">
        <f>COUNTIF('Metrics - Articles'!H884,"*Global*")</f>
        <v>0</v>
      </c>
      <c r="D885">
        <f>COUNTIF('Metrics - Articles'!H884,"*EMEA*")</f>
        <v>0</v>
      </c>
      <c r="E885">
        <f>COUNTIF('Metrics - Articles'!H884,"*NA*")</f>
        <v>0</v>
      </c>
      <c r="F885">
        <f>COUNTIF('Metrics - Articles'!H884,"*APJ")</f>
        <v>0</v>
      </c>
      <c r="G885">
        <f>COUNTIF('Metrics - Articles'!H884,"*LATAM*")</f>
        <v>0</v>
      </c>
      <c r="H885">
        <f>COUNTIF('Metrics - Articles'!H884,"*China*")</f>
        <v>0</v>
      </c>
      <c r="J885" s="53">
        <f t="shared" si="14"/>
        <v>0</v>
      </c>
    </row>
    <row r="886" spans="2:10" x14ac:dyDescent="0.25">
      <c r="B886" s="48">
        <f>+'Metrics - Articles'!C885</f>
        <v>0</v>
      </c>
      <c r="C886">
        <f>COUNTIF('Metrics - Articles'!H885,"*Global*")</f>
        <v>0</v>
      </c>
      <c r="D886">
        <f>COUNTIF('Metrics - Articles'!H885,"*EMEA*")</f>
        <v>0</v>
      </c>
      <c r="E886">
        <f>COUNTIF('Metrics - Articles'!H885,"*NA*")</f>
        <v>0</v>
      </c>
      <c r="F886">
        <f>COUNTIF('Metrics - Articles'!H885,"*APJ")</f>
        <v>0</v>
      </c>
      <c r="G886">
        <f>COUNTIF('Metrics - Articles'!H885,"*LATAM*")</f>
        <v>0</v>
      </c>
      <c r="H886">
        <f>COUNTIF('Metrics - Articles'!H885,"*China*")</f>
        <v>0</v>
      </c>
      <c r="J886" s="53">
        <f t="shared" si="14"/>
        <v>0</v>
      </c>
    </row>
    <row r="887" spans="2:10" x14ac:dyDescent="0.25">
      <c r="B887" s="48">
        <f>+'Metrics - Articles'!C886</f>
        <v>0</v>
      </c>
      <c r="C887">
        <f>COUNTIF('Metrics - Articles'!H886,"*Global*")</f>
        <v>0</v>
      </c>
      <c r="D887">
        <f>COUNTIF('Metrics - Articles'!H886,"*EMEA*")</f>
        <v>0</v>
      </c>
      <c r="E887">
        <f>COUNTIF('Metrics - Articles'!H886,"*NA*")</f>
        <v>0</v>
      </c>
      <c r="F887">
        <f>COUNTIF('Metrics - Articles'!H886,"*APJ")</f>
        <v>0</v>
      </c>
      <c r="G887">
        <f>COUNTIF('Metrics - Articles'!H886,"*LATAM*")</f>
        <v>0</v>
      </c>
      <c r="H887">
        <f>COUNTIF('Metrics - Articles'!H886,"*China*")</f>
        <v>0</v>
      </c>
      <c r="J887" s="53">
        <f t="shared" si="14"/>
        <v>0</v>
      </c>
    </row>
    <row r="888" spans="2:10" x14ac:dyDescent="0.25">
      <c r="B888" s="48">
        <f>+'Metrics - Articles'!C887</f>
        <v>0</v>
      </c>
      <c r="C888">
        <f>COUNTIF('Metrics - Articles'!H887,"*Global*")</f>
        <v>0</v>
      </c>
      <c r="D888">
        <f>COUNTIF('Metrics - Articles'!H887,"*EMEA*")</f>
        <v>0</v>
      </c>
      <c r="E888">
        <f>COUNTIF('Metrics - Articles'!H887,"*NA*")</f>
        <v>0</v>
      </c>
      <c r="F888">
        <f>COUNTIF('Metrics - Articles'!H887,"*APJ")</f>
        <v>0</v>
      </c>
      <c r="G888">
        <f>COUNTIF('Metrics - Articles'!H887,"*LATAM*")</f>
        <v>0</v>
      </c>
      <c r="H888">
        <f>COUNTIF('Metrics - Articles'!H887,"*China*")</f>
        <v>0</v>
      </c>
      <c r="J888" s="53">
        <f t="shared" si="14"/>
        <v>0</v>
      </c>
    </row>
    <row r="889" spans="2:10" x14ac:dyDescent="0.25">
      <c r="B889" s="48">
        <f>+'Metrics - Articles'!C888</f>
        <v>0</v>
      </c>
      <c r="C889">
        <f>COUNTIF('Metrics - Articles'!H888,"*Global*")</f>
        <v>0</v>
      </c>
      <c r="D889">
        <f>COUNTIF('Metrics - Articles'!H888,"*EMEA*")</f>
        <v>0</v>
      </c>
      <c r="E889">
        <f>COUNTIF('Metrics - Articles'!H888,"*NA*")</f>
        <v>0</v>
      </c>
      <c r="F889">
        <f>COUNTIF('Metrics - Articles'!H888,"*APJ")</f>
        <v>0</v>
      </c>
      <c r="G889">
        <f>COUNTIF('Metrics - Articles'!H888,"*LATAM*")</f>
        <v>0</v>
      </c>
      <c r="H889">
        <f>COUNTIF('Metrics - Articles'!H888,"*China*")</f>
        <v>0</v>
      </c>
      <c r="J889" s="53">
        <f t="shared" si="14"/>
        <v>0</v>
      </c>
    </row>
    <row r="890" spans="2:10" x14ac:dyDescent="0.25">
      <c r="B890" s="48">
        <f>+'Metrics - Articles'!C889</f>
        <v>0</v>
      </c>
      <c r="C890">
        <f>COUNTIF('Metrics - Articles'!H889,"*Global*")</f>
        <v>0</v>
      </c>
      <c r="D890">
        <f>COUNTIF('Metrics - Articles'!H889,"*EMEA*")</f>
        <v>0</v>
      </c>
      <c r="E890">
        <f>COUNTIF('Metrics - Articles'!H889,"*NA*")</f>
        <v>0</v>
      </c>
      <c r="F890">
        <f>COUNTIF('Metrics - Articles'!H889,"*APJ")</f>
        <v>0</v>
      </c>
      <c r="G890">
        <f>COUNTIF('Metrics - Articles'!H889,"*LATAM*")</f>
        <v>0</v>
      </c>
      <c r="H890">
        <f>COUNTIF('Metrics - Articles'!H889,"*China*")</f>
        <v>0</v>
      </c>
      <c r="J890" s="53">
        <f t="shared" si="14"/>
        <v>0</v>
      </c>
    </row>
    <row r="891" spans="2:10" x14ac:dyDescent="0.25">
      <c r="B891" s="48">
        <f>+'Metrics - Articles'!C890</f>
        <v>0</v>
      </c>
      <c r="C891">
        <f>COUNTIF('Metrics - Articles'!H890,"*Global*")</f>
        <v>0</v>
      </c>
      <c r="D891">
        <f>COUNTIF('Metrics - Articles'!H890,"*EMEA*")</f>
        <v>0</v>
      </c>
      <c r="E891">
        <f>COUNTIF('Metrics - Articles'!H890,"*NA*")</f>
        <v>0</v>
      </c>
      <c r="F891">
        <f>COUNTIF('Metrics - Articles'!H890,"*APJ")</f>
        <v>0</v>
      </c>
      <c r="G891">
        <f>COUNTIF('Metrics - Articles'!H890,"*LATAM*")</f>
        <v>0</v>
      </c>
      <c r="H891">
        <f>COUNTIF('Metrics - Articles'!H890,"*China*")</f>
        <v>0</v>
      </c>
      <c r="J891" s="53">
        <f t="shared" si="14"/>
        <v>0</v>
      </c>
    </row>
    <row r="892" spans="2:10" x14ac:dyDescent="0.25">
      <c r="B892" s="48">
        <f>+'Metrics - Articles'!C891</f>
        <v>0</v>
      </c>
      <c r="C892">
        <f>COUNTIF('Metrics - Articles'!H891,"*Global*")</f>
        <v>0</v>
      </c>
      <c r="D892">
        <f>COUNTIF('Metrics - Articles'!H891,"*EMEA*")</f>
        <v>0</v>
      </c>
      <c r="E892">
        <f>COUNTIF('Metrics - Articles'!H891,"*NA*")</f>
        <v>0</v>
      </c>
      <c r="F892">
        <f>COUNTIF('Metrics - Articles'!H891,"*APJ")</f>
        <v>0</v>
      </c>
      <c r="G892">
        <f>COUNTIF('Metrics - Articles'!H891,"*LATAM*")</f>
        <v>0</v>
      </c>
      <c r="H892">
        <f>COUNTIF('Metrics - Articles'!H891,"*China*")</f>
        <v>0</v>
      </c>
      <c r="J892" s="53">
        <f t="shared" si="14"/>
        <v>0</v>
      </c>
    </row>
    <row r="893" spans="2:10" x14ac:dyDescent="0.25">
      <c r="B893" s="48">
        <f>+'Metrics - Articles'!C892</f>
        <v>0</v>
      </c>
      <c r="C893">
        <f>COUNTIF('Metrics - Articles'!H892,"*Global*")</f>
        <v>0</v>
      </c>
      <c r="D893">
        <f>COUNTIF('Metrics - Articles'!H892,"*EMEA*")</f>
        <v>0</v>
      </c>
      <c r="E893">
        <f>COUNTIF('Metrics - Articles'!H892,"*NA*")</f>
        <v>0</v>
      </c>
      <c r="F893">
        <f>COUNTIF('Metrics - Articles'!H892,"*APJ")</f>
        <v>0</v>
      </c>
      <c r="G893">
        <f>COUNTIF('Metrics - Articles'!H892,"*LATAM*")</f>
        <v>0</v>
      </c>
      <c r="H893">
        <f>COUNTIF('Metrics - Articles'!H892,"*China*")</f>
        <v>0</v>
      </c>
      <c r="J893" s="53">
        <f t="shared" si="14"/>
        <v>0</v>
      </c>
    </row>
    <row r="894" spans="2:10" x14ac:dyDescent="0.25">
      <c r="B894" s="48">
        <f>+'Metrics - Articles'!C893</f>
        <v>0</v>
      </c>
      <c r="C894">
        <f>COUNTIF('Metrics - Articles'!H893,"*Global*")</f>
        <v>0</v>
      </c>
      <c r="D894">
        <f>COUNTIF('Metrics - Articles'!H893,"*EMEA*")</f>
        <v>0</v>
      </c>
      <c r="E894">
        <f>COUNTIF('Metrics - Articles'!H893,"*NA*")</f>
        <v>0</v>
      </c>
      <c r="F894">
        <f>COUNTIF('Metrics - Articles'!H893,"*APJ")</f>
        <v>0</v>
      </c>
      <c r="G894">
        <f>COUNTIF('Metrics - Articles'!H893,"*LATAM*")</f>
        <v>0</v>
      </c>
      <c r="H894">
        <f>COUNTIF('Metrics - Articles'!H893,"*China*")</f>
        <v>0</v>
      </c>
      <c r="J894" s="53">
        <f t="shared" si="14"/>
        <v>0</v>
      </c>
    </row>
    <row r="895" spans="2:10" x14ac:dyDescent="0.25">
      <c r="B895" s="48">
        <f>+'Metrics - Articles'!C894</f>
        <v>0</v>
      </c>
      <c r="C895">
        <f>COUNTIF('Metrics - Articles'!H894,"*Global*")</f>
        <v>0</v>
      </c>
      <c r="D895">
        <f>COUNTIF('Metrics - Articles'!H894,"*EMEA*")</f>
        <v>0</v>
      </c>
      <c r="E895">
        <f>COUNTIF('Metrics - Articles'!H894,"*NA*")</f>
        <v>0</v>
      </c>
      <c r="F895">
        <f>COUNTIF('Metrics - Articles'!H894,"*APJ")</f>
        <v>0</v>
      </c>
      <c r="G895">
        <f>COUNTIF('Metrics - Articles'!H894,"*LATAM*")</f>
        <v>0</v>
      </c>
      <c r="H895">
        <f>COUNTIF('Metrics - Articles'!H894,"*China*")</f>
        <v>0</v>
      </c>
      <c r="J895" s="53">
        <f t="shared" si="14"/>
        <v>0</v>
      </c>
    </row>
    <row r="896" spans="2:10" x14ac:dyDescent="0.25">
      <c r="B896" s="48">
        <f>+'Metrics - Articles'!C895</f>
        <v>0</v>
      </c>
      <c r="C896">
        <f>COUNTIF('Metrics - Articles'!H895,"*Global*")</f>
        <v>0</v>
      </c>
      <c r="D896">
        <f>COUNTIF('Metrics - Articles'!H895,"*EMEA*")</f>
        <v>0</v>
      </c>
      <c r="E896">
        <f>COUNTIF('Metrics - Articles'!H895,"*NA*")</f>
        <v>0</v>
      </c>
      <c r="F896">
        <f>COUNTIF('Metrics - Articles'!H895,"*APJ")</f>
        <v>0</v>
      </c>
      <c r="G896">
        <f>COUNTIF('Metrics - Articles'!H895,"*LATAM*")</f>
        <v>0</v>
      </c>
      <c r="H896">
        <f>COUNTIF('Metrics - Articles'!H895,"*China*")</f>
        <v>0</v>
      </c>
      <c r="J896" s="53">
        <f t="shared" si="14"/>
        <v>0</v>
      </c>
    </row>
    <row r="897" spans="2:10" x14ac:dyDescent="0.25">
      <c r="B897" s="48">
        <f>+'Metrics - Articles'!C896</f>
        <v>0</v>
      </c>
      <c r="C897">
        <f>COUNTIF('Metrics - Articles'!H896,"*Global*")</f>
        <v>0</v>
      </c>
      <c r="D897">
        <f>COUNTIF('Metrics - Articles'!H896,"*EMEA*")</f>
        <v>0</v>
      </c>
      <c r="E897">
        <f>COUNTIF('Metrics - Articles'!H896,"*NA*")</f>
        <v>0</v>
      </c>
      <c r="F897">
        <f>COUNTIF('Metrics - Articles'!H896,"*APJ")</f>
        <v>0</v>
      </c>
      <c r="G897">
        <f>COUNTIF('Metrics - Articles'!H896,"*LATAM*")</f>
        <v>0</v>
      </c>
      <c r="H897">
        <f>COUNTIF('Metrics - Articles'!H896,"*China*")</f>
        <v>0</v>
      </c>
      <c r="J897" s="53">
        <f t="shared" si="14"/>
        <v>0</v>
      </c>
    </row>
    <row r="898" spans="2:10" x14ac:dyDescent="0.25">
      <c r="B898" s="48">
        <f>+'Metrics - Articles'!C897</f>
        <v>0</v>
      </c>
      <c r="C898">
        <f>COUNTIF('Metrics - Articles'!H897,"*Global*")</f>
        <v>0</v>
      </c>
      <c r="D898">
        <f>COUNTIF('Metrics - Articles'!H897,"*EMEA*")</f>
        <v>0</v>
      </c>
      <c r="E898">
        <f>COUNTIF('Metrics - Articles'!H897,"*NA*")</f>
        <v>0</v>
      </c>
      <c r="F898">
        <f>COUNTIF('Metrics - Articles'!H897,"*APJ")</f>
        <v>0</v>
      </c>
      <c r="G898">
        <f>COUNTIF('Metrics - Articles'!H897,"*LATAM*")</f>
        <v>0</v>
      </c>
      <c r="H898">
        <f>COUNTIF('Metrics - Articles'!H897,"*China*")</f>
        <v>0</v>
      </c>
      <c r="J898" s="53">
        <f t="shared" si="14"/>
        <v>0</v>
      </c>
    </row>
    <row r="899" spans="2:10" x14ac:dyDescent="0.25">
      <c r="B899" s="48">
        <f>+'Metrics - Articles'!C898</f>
        <v>0</v>
      </c>
      <c r="C899">
        <f>COUNTIF('Metrics - Articles'!H898,"*Global*")</f>
        <v>0</v>
      </c>
      <c r="D899">
        <f>COUNTIF('Metrics - Articles'!H898,"*EMEA*")</f>
        <v>0</v>
      </c>
      <c r="E899">
        <f>COUNTIF('Metrics - Articles'!H898,"*NA*")</f>
        <v>0</v>
      </c>
      <c r="F899">
        <f>COUNTIF('Metrics - Articles'!H898,"*APJ")</f>
        <v>0</v>
      </c>
      <c r="G899">
        <f>COUNTIF('Metrics - Articles'!H898,"*LATAM*")</f>
        <v>0</v>
      </c>
      <c r="H899">
        <f>COUNTIF('Metrics - Articles'!H898,"*China*")</f>
        <v>0</v>
      </c>
      <c r="J899" s="53">
        <f t="shared" si="14"/>
        <v>0</v>
      </c>
    </row>
    <row r="900" spans="2:10" x14ac:dyDescent="0.25">
      <c r="B900" s="48">
        <f>+'Metrics - Articles'!C899</f>
        <v>0</v>
      </c>
      <c r="C900">
        <f>COUNTIF('Metrics - Articles'!H899,"*Global*")</f>
        <v>0</v>
      </c>
      <c r="D900">
        <f>COUNTIF('Metrics - Articles'!H899,"*EMEA*")</f>
        <v>0</v>
      </c>
      <c r="E900">
        <f>COUNTIF('Metrics - Articles'!H899,"*NA*")</f>
        <v>0</v>
      </c>
      <c r="F900">
        <f>COUNTIF('Metrics - Articles'!H899,"*APJ")</f>
        <v>0</v>
      </c>
      <c r="G900">
        <f>COUNTIF('Metrics - Articles'!H899,"*LATAM*")</f>
        <v>0</v>
      </c>
      <c r="H900">
        <f>COUNTIF('Metrics - Articles'!H899,"*China*")</f>
        <v>0</v>
      </c>
      <c r="J900" s="53">
        <f t="shared" si="14"/>
        <v>0</v>
      </c>
    </row>
    <row r="901" spans="2:10" x14ac:dyDescent="0.25">
      <c r="B901" s="48">
        <f>+'Metrics - Articles'!C900</f>
        <v>0</v>
      </c>
      <c r="C901">
        <f>COUNTIF('Metrics - Articles'!H900,"*Global*")</f>
        <v>0</v>
      </c>
      <c r="D901">
        <f>COUNTIF('Metrics - Articles'!H900,"*EMEA*")</f>
        <v>0</v>
      </c>
      <c r="E901">
        <f>COUNTIF('Metrics - Articles'!H900,"*NA*")</f>
        <v>0</v>
      </c>
      <c r="F901">
        <f>COUNTIF('Metrics - Articles'!H900,"*APJ")</f>
        <v>0</v>
      </c>
      <c r="G901">
        <f>COUNTIF('Metrics - Articles'!H900,"*LATAM*")</f>
        <v>0</v>
      </c>
      <c r="H901">
        <f>COUNTIF('Metrics - Articles'!H900,"*China*")</f>
        <v>0</v>
      </c>
      <c r="J901" s="53">
        <f t="shared" si="14"/>
        <v>0</v>
      </c>
    </row>
    <row r="902" spans="2:10" x14ac:dyDescent="0.25">
      <c r="B902" s="48">
        <f>+'Metrics - Articles'!C901</f>
        <v>0</v>
      </c>
      <c r="C902">
        <f>COUNTIF('Metrics - Articles'!H901,"*Global*")</f>
        <v>0</v>
      </c>
      <c r="D902">
        <f>COUNTIF('Metrics - Articles'!H901,"*EMEA*")</f>
        <v>0</v>
      </c>
      <c r="E902">
        <f>COUNTIF('Metrics - Articles'!H901,"*NA*")</f>
        <v>0</v>
      </c>
      <c r="F902">
        <f>COUNTIF('Metrics - Articles'!H901,"*APJ")</f>
        <v>0</v>
      </c>
      <c r="G902">
        <f>COUNTIF('Metrics - Articles'!H901,"*LATAM*")</f>
        <v>0</v>
      </c>
      <c r="H902">
        <f>COUNTIF('Metrics - Articles'!H901,"*China*")</f>
        <v>0</v>
      </c>
      <c r="J902" s="53">
        <f t="shared" si="14"/>
        <v>0</v>
      </c>
    </row>
    <row r="903" spans="2:10" x14ac:dyDescent="0.25">
      <c r="B903" s="48">
        <f>+'Metrics - Articles'!C902</f>
        <v>0</v>
      </c>
      <c r="C903">
        <f>COUNTIF('Metrics - Articles'!H902,"*Global*")</f>
        <v>0</v>
      </c>
      <c r="D903">
        <f>COUNTIF('Metrics - Articles'!H902,"*EMEA*")</f>
        <v>0</v>
      </c>
      <c r="E903">
        <f>COUNTIF('Metrics - Articles'!H902,"*NA*")</f>
        <v>0</v>
      </c>
      <c r="F903">
        <f>COUNTIF('Metrics - Articles'!H902,"*APJ")</f>
        <v>0</v>
      </c>
      <c r="G903">
        <f>COUNTIF('Metrics - Articles'!H902,"*LATAM*")</f>
        <v>0</v>
      </c>
      <c r="H903">
        <f>COUNTIF('Metrics - Articles'!H902,"*China*")</f>
        <v>0</v>
      </c>
      <c r="J903" s="53">
        <f t="shared" si="14"/>
        <v>0</v>
      </c>
    </row>
    <row r="904" spans="2:10" x14ac:dyDescent="0.25">
      <c r="B904" s="48">
        <f>+'Metrics - Articles'!C903</f>
        <v>0</v>
      </c>
      <c r="C904">
        <f>COUNTIF('Metrics - Articles'!H903,"*Global*")</f>
        <v>0</v>
      </c>
      <c r="D904">
        <f>COUNTIF('Metrics - Articles'!H903,"*EMEA*")</f>
        <v>0</v>
      </c>
      <c r="E904">
        <f>COUNTIF('Metrics - Articles'!H903,"*NA*")</f>
        <v>0</v>
      </c>
      <c r="F904">
        <f>COUNTIF('Metrics - Articles'!H903,"*APJ")</f>
        <v>0</v>
      </c>
      <c r="G904">
        <f>COUNTIF('Metrics - Articles'!H903,"*LATAM*")</f>
        <v>0</v>
      </c>
      <c r="H904">
        <f>COUNTIF('Metrics - Articles'!H903,"*China*")</f>
        <v>0</v>
      </c>
      <c r="J904" s="53">
        <f t="shared" si="14"/>
        <v>0</v>
      </c>
    </row>
    <row r="905" spans="2:10" x14ac:dyDescent="0.25">
      <c r="B905" s="48">
        <f>+'Metrics - Articles'!C904</f>
        <v>0</v>
      </c>
      <c r="C905">
        <f>COUNTIF('Metrics - Articles'!H904,"*Global*")</f>
        <v>0</v>
      </c>
      <c r="D905">
        <f>COUNTIF('Metrics - Articles'!H904,"*EMEA*")</f>
        <v>0</v>
      </c>
      <c r="E905">
        <f>COUNTIF('Metrics - Articles'!H904,"*NA*")</f>
        <v>0</v>
      </c>
      <c r="F905">
        <f>COUNTIF('Metrics - Articles'!H904,"*APJ")</f>
        <v>0</v>
      </c>
      <c r="G905">
        <f>COUNTIF('Metrics - Articles'!H904,"*LATAM*")</f>
        <v>0</v>
      </c>
      <c r="H905">
        <f>COUNTIF('Metrics - Articles'!H904,"*China*")</f>
        <v>0</v>
      </c>
      <c r="J905" s="53">
        <f t="shared" si="14"/>
        <v>0</v>
      </c>
    </row>
    <row r="906" spans="2:10" x14ac:dyDescent="0.25">
      <c r="B906" s="48">
        <f>+'Metrics - Articles'!C905</f>
        <v>0</v>
      </c>
      <c r="C906">
        <f>COUNTIF('Metrics - Articles'!H905,"*Global*")</f>
        <v>0</v>
      </c>
      <c r="D906">
        <f>COUNTIF('Metrics - Articles'!H905,"*EMEA*")</f>
        <v>0</v>
      </c>
      <c r="E906">
        <f>COUNTIF('Metrics - Articles'!H905,"*NA*")</f>
        <v>0</v>
      </c>
      <c r="F906">
        <f>COUNTIF('Metrics - Articles'!H905,"*APJ")</f>
        <v>0</v>
      </c>
      <c r="G906">
        <f>COUNTIF('Metrics - Articles'!H905,"*LATAM*")</f>
        <v>0</v>
      </c>
      <c r="H906">
        <f>COUNTIF('Metrics - Articles'!H905,"*China*")</f>
        <v>0</v>
      </c>
      <c r="J906" s="53">
        <f t="shared" ref="J906:J969" si="15">SUM(C906:I906)</f>
        <v>0</v>
      </c>
    </row>
    <row r="907" spans="2:10" x14ac:dyDescent="0.25">
      <c r="B907" s="48">
        <f>+'Metrics - Articles'!C906</f>
        <v>0</v>
      </c>
      <c r="C907">
        <f>COUNTIF('Metrics - Articles'!H906,"*Global*")</f>
        <v>0</v>
      </c>
      <c r="D907">
        <f>COUNTIF('Metrics - Articles'!H906,"*EMEA*")</f>
        <v>0</v>
      </c>
      <c r="E907">
        <f>COUNTIF('Metrics - Articles'!H906,"*NA*")</f>
        <v>0</v>
      </c>
      <c r="F907">
        <f>COUNTIF('Metrics - Articles'!H906,"*APJ")</f>
        <v>0</v>
      </c>
      <c r="G907">
        <f>COUNTIF('Metrics - Articles'!H906,"*LATAM*")</f>
        <v>0</v>
      </c>
      <c r="H907">
        <f>COUNTIF('Metrics - Articles'!H906,"*China*")</f>
        <v>0</v>
      </c>
      <c r="J907" s="53">
        <f t="shared" si="15"/>
        <v>0</v>
      </c>
    </row>
    <row r="908" spans="2:10" x14ac:dyDescent="0.25">
      <c r="B908" s="48">
        <f>+'Metrics - Articles'!C907</f>
        <v>0</v>
      </c>
      <c r="C908">
        <f>COUNTIF('Metrics - Articles'!H907,"*Global*")</f>
        <v>0</v>
      </c>
      <c r="D908">
        <f>COUNTIF('Metrics - Articles'!H907,"*EMEA*")</f>
        <v>0</v>
      </c>
      <c r="E908">
        <f>COUNTIF('Metrics - Articles'!H907,"*NA*")</f>
        <v>0</v>
      </c>
      <c r="F908">
        <f>COUNTIF('Metrics - Articles'!H907,"*APJ")</f>
        <v>0</v>
      </c>
      <c r="G908">
        <f>COUNTIF('Metrics - Articles'!H907,"*LATAM*")</f>
        <v>0</v>
      </c>
      <c r="H908">
        <f>COUNTIF('Metrics - Articles'!H907,"*China*")</f>
        <v>0</v>
      </c>
      <c r="J908" s="53">
        <f t="shared" si="15"/>
        <v>0</v>
      </c>
    </row>
    <row r="909" spans="2:10" x14ac:dyDescent="0.25">
      <c r="B909" s="48">
        <f>+'Metrics - Articles'!C908</f>
        <v>0</v>
      </c>
      <c r="C909">
        <f>COUNTIF('Metrics - Articles'!H908,"*Global*")</f>
        <v>0</v>
      </c>
      <c r="D909">
        <f>COUNTIF('Metrics - Articles'!H908,"*EMEA*")</f>
        <v>0</v>
      </c>
      <c r="E909">
        <f>COUNTIF('Metrics - Articles'!H908,"*NA*")</f>
        <v>0</v>
      </c>
      <c r="F909">
        <f>COUNTIF('Metrics - Articles'!H908,"*APJ")</f>
        <v>0</v>
      </c>
      <c r="G909">
        <f>COUNTIF('Metrics - Articles'!H908,"*LATAM*")</f>
        <v>0</v>
      </c>
      <c r="H909">
        <f>COUNTIF('Metrics - Articles'!H908,"*China*")</f>
        <v>0</v>
      </c>
      <c r="J909" s="53">
        <f t="shared" si="15"/>
        <v>0</v>
      </c>
    </row>
    <row r="910" spans="2:10" x14ac:dyDescent="0.25">
      <c r="B910" s="48">
        <f>+'Metrics - Articles'!C909</f>
        <v>0</v>
      </c>
      <c r="C910">
        <f>COUNTIF('Metrics - Articles'!H909,"*Global*")</f>
        <v>0</v>
      </c>
      <c r="D910">
        <f>COUNTIF('Metrics - Articles'!H909,"*EMEA*")</f>
        <v>0</v>
      </c>
      <c r="E910">
        <f>COUNTIF('Metrics - Articles'!H909,"*NA*")</f>
        <v>0</v>
      </c>
      <c r="F910">
        <f>COUNTIF('Metrics - Articles'!H909,"*APJ")</f>
        <v>0</v>
      </c>
      <c r="G910">
        <f>COUNTIF('Metrics - Articles'!H909,"*LATAM*")</f>
        <v>0</v>
      </c>
      <c r="H910">
        <f>COUNTIF('Metrics - Articles'!H909,"*China*")</f>
        <v>0</v>
      </c>
      <c r="J910" s="53">
        <f t="shared" si="15"/>
        <v>0</v>
      </c>
    </row>
    <row r="911" spans="2:10" x14ac:dyDescent="0.25">
      <c r="B911" s="48">
        <f>+'Metrics - Articles'!C910</f>
        <v>0</v>
      </c>
      <c r="C911">
        <f>COUNTIF('Metrics - Articles'!H910,"*Global*")</f>
        <v>0</v>
      </c>
      <c r="D911">
        <f>COUNTIF('Metrics - Articles'!H910,"*EMEA*")</f>
        <v>0</v>
      </c>
      <c r="E911">
        <f>COUNTIF('Metrics - Articles'!H910,"*NA*")</f>
        <v>0</v>
      </c>
      <c r="F911">
        <f>COUNTIF('Metrics - Articles'!H910,"*APJ")</f>
        <v>0</v>
      </c>
      <c r="G911">
        <f>COUNTIF('Metrics - Articles'!H910,"*LATAM*")</f>
        <v>0</v>
      </c>
      <c r="H911">
        <f>COUNTIF('Metrics - Articles'!H910,"*China*")</f>
        <v>0</v>
      </c>
      <c r="J911" s="53">
        <f t="shared" si="15"/>
        <v>0</v>
      </c>
    </row>
    <row r="912" spans="2:10" x14ac:dyDescent="0.25">
      <c r="B912" s="48">
        <f>+'Metrics - Articles'!C911</f>
        <v>0</v>
      </c>
      <c r="C912">
        <f>COUNTIF('Metrics - Articles'!H911,"*Global*")</f>
        <v>0</v>
      </c>
      <c r="D912">
        <f>COUNTIF('Metrics - Articles'!H911,"*EMEA*")</f>
        <v>0</v>
      </c>
      <c r="E912">
        <f>COUNTIF('Metrics - Articles'!H911,"*NA*")</f>
        <v>0</v>
      </c>
      <c r="F912">
        <f>COUNTIF('Metrics - Articles'!H911,"*APJ")</f>
        <v>0</v>
      </c>
      <c r="G912">
        <f>COUNTIF('Metrics - Articles'!H911,"*LATAM*")</f>
        <v>0</v>
      </c>
      <c r="H912">
        <f>COUNTIF('Metrics - Articles'!H911,"*China*")</f>
        <v>0</v>
      </c>
      <c r="J912" s="53">
        <f t="shared" si="15"/>
        <v>0</v>
      </c>
    </row>
    <row r="913" spans="2:10" x14ac:dyDescent="0.25">
      <c r="B913" s="48">
        <f>+'Metrics - Articles'!C912</f>
        <v>0</v>
      </c>
      <c r="C913">
        <f>COUNTIF('Metrics - Articles'!H912,"*Global*")</f>
        <v>0</v>
      </c>
      <c r="D913">
        <f>COUNTIF('Metrics - Articles'!H912,"*EMEA*")</f>
        <v>0</v>
      </c>
      <c r="E913">
        <f>COUNTIF('Metrics - Articles'!H912,"*NA*")</f>
        <v>0</v>
      </c>
      <c r="F913">
        <f>COUNTIF('Metrics - Articles'!H912,"*APJ")</f>
        <v>0</v>
      </c>
      <c r="G913">
        <f>COUNTIF('Metrics - Articles'!H912,"*LATAM*")</f>
        <v>0</v>
      </c>
      <c r="H913">
        <f>COUNTIF('Metrics - Articles'!H912,"*China*")</f>
        <v>0</v>
      </c>
      <c r="J913" s="53">
        <f t="shared" si="15"/>
        <v>0</v>
      </c>
    </row>
    <row r="914" spans="2:10" x14ac:dyDescent="0.25">
      <c r="B914" s="48">
        <f>+'Metrics - Articles'!C913</f>
        <v>0</v>
      </c>
      <c r="C914">
        <f>COUNTIF('Metrics - Articles'!H913,"*Global*")</f>
        <v>0</v>
      </c>
      <c r="D914">
        <f>COUNTIF('Metrics - Articles'!H913,"*EMEA*")</f>
        <v>0</v>
      </c>
      <c r="E914">
        <f>COUNTIF('Metrics - Articles'!H913,"*NA*")</f>
        <v>0</v>
      </c>
      <c r="F914">
        <f>COUNTIF('Metrics - Articles'!H913,"*APJ")</f>
        <v>0</v>
      </c>
      <c r="G914">
        <f>COUNTIF('Metrics - Articles'!H913,"*LATAM*")</f>
        <v>0</v>
      </c>
      <c r="H914">
        <f>COUNTIF('Metrics - Articles'!H913,"*China*")</f>
        <v>0</v>
      </c>
      <c r="J914" s="53">
        <f t="shared" si="15"/>
        <v>0</v>
      </c>
    </row>
    <row r="915" spans="2:10" x14ac:dyDescent="0.25">
      <c r="B915" s="48">
        <f>+'Metrics - Articles'!C914</f>
        <v>0</v>
      </c>
      <c r="C915">
        <f>COUNTIF('Metrics - Articles'!H914,"*Global*")</f>
        <v>0</v>
      </c>
      <c r="D915">
        <f>COUNTIF('Metrics - Articles'!H914,"*EMEA*")</f>
        <v>0</v>
      </c>
      <c r="E915">
        <f>COUNTIF('Metrics - Articles'!H914,"*NA*")</f>
        <v>0</v>
      </c>
      <c r="F915">
        <f>COUNTIF('Metrics - Articles'!H914,"*APJ")</f>
        <v>0</v>
      </c>
      <c r="G915">
        <f>COUNTIF('Metrics - Articles'!H914,"*LATAM*")</f>
        <v>0</v>
      </c>
      <c r="H915">
        <f>COUNTIF('Metrics - Articles'!H914,"*China*")</f>
        <v>0</v>
      </c>
      <c r="J915" s="53">
        <f t="shared" si="15"/>
        <v>0</v>
      </c>
    </row>
    <row r="916" spans="2:10" x14ac:dyDescent="0.25">
      <c r="B916" s="48">
        <f>+'Metrics - Articles'!C915</f>
        <v>0</v>
      </c>
      <c r="C916">
        <f>COUNTIF('Metrics - Articles'!H915,"*Global*")</f>
        <v>0</v>
      </c>
      <c r="D916">
        <f>COUNTIF('Metrics - Articles'!H915,"*EMEA*")</f>
        <v>0</v>
      </c>
      <c r="E916">
        <f>COUNTIF('Metrics - Articles'!H915,"*NA*")</f>
        <v>0</v>
      </c>
      <c r="F916">
        <f>COUNTIF('Metrics - Articles'!H915,"*APJ")</f>
        <v>0</v>
      </c>
      <c r="G916">
        <f>COUNTIF('Metrics - Articles'!H915,"*LATAM*")</f>
        <v>0</v>
      </c>
      <c r="H916">
        <f>COUNTIF('Metrics - Articles'!H915,"*China*")</f>
        <v>0</v>
      </c>
      <c r="J916" s="53">
        <f t="shared" si="15"/>
        <v>0</v>
      </c>
    </row>
    <row r="917" spans="2:10" x14ac:dyDescent="0.25">
      <c r="B917" s="48">
        <f>+'Metrics - Articles'!C916</f>
        <v>0</v>
      </c>
      <c r="C917">
        <f>COUNTIF('Metrics - Articles'!H916,"*Global*")</f>
        <v>0</v>
      </c>
      <c r="D917">
        <f>COUNTIF('Metrics - Articles'!H916,"*EMEA*")</f>
        <v>0</v>
      </c>
      <c r="E917">
        <f>COUNTIF('Metrics - Articles'!H916,"*NA*")</f>
        <v>0</v>
      </c>
      <c r="F917">
        <f>COUNTIF('Metrics - Articles'!H916,"*APJ")</f>
        <v>0</v>
      </c>
      <c r="G917">
        <f>COUNTIF('Metrics - Articles'!H916,"*LATAM*")</f>
        <v>0</v>
      </c>
      <c r="H917">
        <f>COUNTIF('Metrics - Articles'!H916,"*China*")</f>
        <v>0</v>
      </c>
      <c r="J917" s="53">
        <f t="shared" si="15"/>
        <v>0</v>
      </c>
    </row>
    <row r="918" spans="2:10" x14ac:dyDescent="0.25">
      <c r="B918" s="48">
        <f>+'Metrics - Articles'!C917</f>
        <v>0</v>
      </c>
      <c r="C918">
        <f>COUNTIF('Metrics - Articles'!H917,"*Global*")</f>
        <v>0</v>
      </c>
      <c r="D918">
        <f>COUNTIF('Metrics - Articles'!H917,"*EMEA*")</f>
        <v>0</v>
      </c>
      <c r="E918">
        <f>COUNTIF('Metrics - Articles'!H917,"*NA*")</f>
        <v>0</v>
      </c>
      <c r="F918">
        <f>COUNTIF('Metrics - Articles'!H917,"*APJ")</f>
        <v>0</v>
      </c>
      <c r="G918">
        <f>COUNTIF('Metrics - Articles'!H917,"*LATAM*")</f>
        <v>0</v>
      </c>
      <c r="H918">
        <f>COUNTIF('Metrics - Articles'!H917,"*China*")</f>
        <v>0</v>
      </c>
      <c r="J918" s="53">
        <f t="shared" si="15"/>
        <v>0</v>
      </c>
    </row>
    <row r="919" spans="2:10" x14ac:dyDescent="0.25">
      <c r="B919" s="48">
        <f>+'Metrics - Articles'!C918</f>
        <v>0</v>
      </c>
      <c r="C919">
        <f>COUNTIF('Metrics - Articles'!H918,"*Global*")</f>
        <v>0</v>
      </c>
      <c r="D919">
        <f>COUNTIF('Metrics - Articles'!H918,"*EMEA*")</f>
        <v>0</v>
      </c>
      <c r="E919">
        <f>COUNTIF('Metrics - Articles'!H918,"*NA*")</f>
        <v>0</v>
      </c>
      <c r="F919">
        <f>COUNTIF('Metrics - Articles'!H918,"*APJ")</f>
        <v>0</v>
      </c>
      <c r="G919">
        <f>COUNTIF('Metrics - Articles'!H918,"*LATAM*")</f>
        <v>0</v>
      </c>
      <c r="H919">
        <f>COUNTIF('Metrics - Articles'!H918,"*China*")</f>
        <v>0</v>
      </c>
      <c r="J919" s="53">
        <f t="shared" si="15"/>
        <v>0</v>
      </c>
    </row>
    <row r="920" spans="2:10" x14ac:dyDescent="0.25">
      <c r="B920" s="48">
        <f>+'Metrics - Articles'!C919</f>
        <v>0</v>
      </c>
      <c r="C920">
        <f>COUNTIF('Metrics - Articles'!H919,"*Global*")</f>
        <v>0</v>
      </c>
      <c r="D920">
        <f>COUNTIF('Metrics - Articles'!H919,"*EMEA*")</f>
        <v>0</v>
      </c>
      <c r="E920">
        <f>COUNTIF('Metrics - Articles'!H919,"*NA*")</f>
        <v>0</v>
      </c>
      <c r="F920">
        <f>COUNTIF('Metrics - Articles'!H919,"*APJ")</f>
        <v>0</v>
      </c>
      <c r="G920">
        <f>COUNTIF('Metrics - Articles'!H919,"*LATAM*")</f>
        <v>0</v>
      </c>
      <c r="H920">
        <f>COUNTIF('Metrics - Articles'!H919,"*China*")</f>
        <v>0</v>
      </c>
      <c r="J920" s="53">
        <f t="shared" si="15"/>
        <v>0</v>
      </c>
    </row>
    <row r="921" spans="2:10" x14ac:dyDescent="0.25">
      <c r="B921" s="48">
        <f>+'Metrics - Articles'!C920</f>
        <v>0</v>
      </c>
      <c r="C921">
        <f>COUNTIF('Metrics - Articles'!H920,"*Global*")</f>
        <v>0</v>
      </c>
      <c r="D921">
        <f>COUNTIF('Metrics - Articles'!H920,"*EMEA*")</f>
        <v>0</v>
      </c>
      <c r="E921">
        <f>COUNTIF('Metrics - Articles'!H920,"*NA*")</f>
        <v>0</v>
      </c>
      <c r="F921">
        <f>COUNTIF('Metrics - Articles'!H920,"*APJ")</f>
        <v>0</v>
      </c>
      <c r="G921">
        <f>COUNTIF('Metrics - Articles'!H920,"*LATAM*")</f>
        <v>0</v>
      </c>
      <c r="H921">
        <f>COUNTIF('Metrics - Articles'!H920,"*China*")</f>
        <v>0</v>
      </c>
      <c r="J921" s="53">
        <f t="shared" si="15"/>
        <v>0</v>
      </c>
    </row>
    <row r="922" spans="2:10" x14ac:dyDescent="0.25">
      <c r="B922" s="48">
        <f>+'Metrics - Articles'!C921</f>
        <v>0</v>
      </c>
      <c r="C922">
        <f>COUNTIF('Metrics - Articles'!H921,"*Global*")</f>
        <v>0</v>
      </c>
      <c r="D922">
        <f>COUNTIF('Metrics - Articles'!H921,"*EMEA*")</f>
        <v>0</v>
      </c>
      <c r="E922">
        <f>COUNTIF('Metrics - Articles'!H921,"*NA*")</f>
        <v>0</v>
      </c>
      <c r="F922">
        <f>COUNTIF('Metrics - Articles'!H921,"*APJ")</f>
        <v>0</v>
      </c>
      <c r="G922">
        <f>COUNTIF('Metrics - Articles'!H921,"*LATAM*")</f>
        <v>0</v>
      </c>
      <c r="H922">
        <f>COUNTIF('Metrics - Articles'!H921,"*China*")</f>
        <v>0</v>
      </c>
      <c r="J922" s="53">
        <f t="shared" si="15"/>
        <v>0</v>
      </c>
    </row>
    <row r="923" spans="2:10" x14ac:dyDescent="0.25">
      <c r="B923" s="48">
        <f>+'Metrics - Articles'!C922</f>
        <v>0</v>
      </c>
      <c r="C923">
        <f>COUNTIF('Metrics - Articles'!H922,"*Global*")</f>
        <v>0</v>
      </c>
      <c r="D923">
        <f>COUNTIF('Metrics - Articles'!H922,"*EMEA*")</f>
        <v>0</v>
      </c>
      <c r="E923">
        <f>COUNTIF('Metrics - Articles'!H922,"*NA*")</f>
        <v>0</v>
      </c>
      <c r="F923">
        <f>COUNTIF('Metrics - Articles'!H922,"*APJ")</f>
        <v>0</v>
      </c>
      <c r="G923">
        <f>COUNTIF('Metrics - Articles'!H922,"*LATAM*")</f>
        <v>0</v>
      </c>
      <c r="H923">
        <f>COUNTIF('Metrics - Articles'!H922,"*China*")</f>
        <v>0</v>
      </c>
      <c r="J923" s="53">
        <f t="shared" si="15"/>
        <v>0</v>
      </c>
    </row>
    <row r="924" spans="2:10" x14ac:dyDescent="0.25">
      <c r="B924" s="48">
        <f>+'Metrics - Articles'!C923</f>
        <v>0</v>
      </c>
      <c r="C924">
        <f>COUNTIF('Metrics - Articles'!H923,"*Global*")</f>
        <v>0</v>
      </c>
      <c r="D924">
        <f>COUNTIF('Metrics - Articles'!H923,"*EMEA*")</f>
        <v>0</v>
      </c>
      <c r="E924">
        <f>COUNTIF('Metrics - Articles'!H923,"*NA*")</f>
        <v>0</v>
      </c>
      <c r="F924">
        <f>COUNTIF('Metrics - Articles'!H923,"*APJ")</f>
        <v>0</v>
      </c>
      <c r="G924">
        <f>COUNTIF('Metrics - Articles'!H923,"*LATAM*")</f>
        <v>0</v>
      </c>
      <c r="H924">
        <f>COUNTIF('Metrics - Articles'!H923,"*China*")</f>
        <v>0</v>
      </c>
      <c r="J924" s="53">
        <f t="shared" si="15"/>
        <v>0</v>
      </c>
    </row>
    <row r="925" spans="2:10" x14ac:dyDescent="0.25">
      <c r="B925" s="48">
        <f>+'Metrics - Articles'!C924</f>
        <v>0</v>
      </c>
      <c r="C925">
        <f>COUNTIF('Metrics - Articles'!H924,"*Global*")</f>
        <v>0</v>
      </c>
      <c r="D925">
        <f>COUNTIF('Metrics - Articles'!H924,"*EMEA*")</f>
        <v>0</v>
      </c>
      <c r="E925">
        <f>COUNTIF('Metrics - Articles'!H924,"*NA*")</f>
        <v>0</v>
      </c>
      <c r="F925">
        <f>COUNTIF('Metrics - Articles'!H924,"*APJ")</f>
        <v>0</v>
      </c>
      <c r="G925">
        <f>COUNTIF('Metrics - Articles'!H924,"*LATAM*")</f>
        <v>0</v>
      </c>
      <c r="H925">
        <f>COUNTIF('Metrics - Articles'!H924,"*China*")</f>
        <v>0</v>
      </c>
      <c r="J925" s="53">
        <f t="shared" si="15"/>
        <v>0</v>
      </c>
    </row>
    <row r="926" spans="2:10" x14ac:dyDescent="0.25">
      <c r="B926" s="48">
        <f>+'Metrics - Articles'!C925</f>
        <v>0</v>
      </c>
      <c r="C926">
        <f>COUNTIF('Metrics - Articles'!H925,"*Global*")</f>
        <v>0</v>
      </c>
      <c r="D926">
        <f>COUNTIF('Metrics - Articles'!H925,"*EMEA*")</f>
        <v>0</v>
      </c>
      <c r="E926">
        <f>COUNTIF('Metrics - Articles'!H925,"*NA*")</f>
        <v>0</v>
      </c>
      <c r="F926">
        <f>COUNTIF('Metrics - Articles'!H925,"*APJ")</f>
        <v>0</v>
      </c>
      <c r="G926">
        <f>COUNTIF('Metrics - Articles'!H925,"*LATAM*")</f>
        <v>0</v>
      </c>
      <c r="H926">
        <f>COUNTIF('Metrics - Articles'!H925,"*China*")</f>
        <v>0</v>
      </c>
      <c r="J926" s="53">
        <f t="shared" si="15"/>
        <v>0</v>
      </c>
    </row>
    <row r="927" spans="2:10" x14ac:dyDescent="0.25">
      <c r="B927" s="48">
        <f>+'Metrics - Articles'!C926</f>
        <v>0</v>
      </c>
      <c r="C927">
        <f>COUNTIF('Metrics - Articles'!H926,"*Global*")</f>
        <v>0</v>
      </c>
      <c r="D927">
        <f>COUNTIF('Metrics - Articles'!H926,"*EMEA*")</f>
        <v>0</v>
      </c>
      <c r="E927">
        <f>COUNTIF('Metrics - Articles'!H926,"*NA*")</f>
        <v>0</v>
      </c>
      <c r="F927">
        <f>COUNTIF('Metrics - Articles'!H926,"*APJ")</f>
        <v>0</v>
      </c>
      <c r="G927">
        <f>COUNTIF('Metrics - Articles'!H926,"*LATAM*")</f>
        <v>0</v>
      </c>
      <c r="H927">
        <f>COUNTIF('Metrics - Articles'!H926,"*China*")</f>
        <v>0</v>
      </c>
      <c r="J927" s="53">
        <f t="shared" si="15"/>
        <v>0</v>
      </c>
    </row>
    <row r="928" spans="2:10" x14ac:dyDescent="0.25">
      <c r="B928" s="48">
        <f>+'Metrics - Articles'!C927</f>
        <v>0</v>
      </c>
      <c r="C928">
        <f>COUNTIF('Metrics - Articles'!H927,"*Global*")</f>
        <v>0</v>
      </c>
      <c r="D928">
        <f>COUNTIF('Metrics - Articles'!H927,"*EMEA*")</f>
        <v>0</v>
      </c>
      <c r="E928">
        <f>COUNTIF('Metrics - Articles'!H927,"*NA*")</f>
        <v>0</v>
      </c>
      <c r="F928">
        <f>COUNTIF('Metrics - Articles'!H927,"*APJ")</f>
        <v>0</v>
      </c>
      <c r="G928">
        <f>COUNTIF('Metrics - Articles'!H927,"*LATAM*")</f>
        <v>0</v>
      </c>
      <c r="H928">
        <f>COUNTIF('Metrics - Articles'!H927,"*China*")</f>
        <v>0</v>
      </c>
      <c r="J928" s="53">
        <f t="shared" si="15"/>
        <v>0</v>
      </c>
    </row>
    <row r="929" spans="2:10" x14ac:dyDescent="0.25">
      <c r="B929" s="48">
        <f>+'Metrics - Articles'!C928</f>
        <v>0</v>
      </c>
      <c r="C929">
        <f>COUNTIF('Metrics - Articles'!H928,"*Global*")</f>
        <v>0</v>
      </c>
      <c r="D929">
        <f>COUNTIF('Metrics - Articles'!H928,"*EMEA*")</f>
        <v>0</v>
      </c>
      <c r="E929">
        <f>COUNTIF('Metrics - Articles'!H928,"*NA*")</f>
        <v>0</v>
      </c>
      <c r="F929">
        <f>COUNTIF('Metrics - Articles'!H928,"*APJ")</f>
        <v>0</v>
      </c>
      <c r="G929">
        <f>COUNTIF('Metrics - Articles'!H928,"*LATAM*")</f>
        <v>0</v>
      </c>
      <c r="H929">
        <f>COUNTIF('Metrics - Articles'!H928,"*China*")</f>
        <v>0</v>
      </c>
      <c r="J929" s="53">
        <f t="shared" si="15"/>
        <v>0</v>
      </c>
    </row>
    <row r="930" spans="2:10" x14ac:dyDescent="0.25">
      <c r="B930" s="48">
        <f>+'Metrics - Articles'!C929</f>
        <v>0</v>
      </c>
      <c r="C930">
        <f>COUNTIF('Metrics - Articles'!H929,"*Global*")</f>
        <v>0</v>
      </c>
      <c r="D930">
        <f>COUNTIF('Metrics - Articles'!H929,"*EMEA*")</f>
        <v>0</v>
      </c>
      <c r="E930">
        <f>COUNTIF('Metrics - Articles'!H929,"*NA*")</f>
        <v>0</v>
      </c>
      <c r="F930">
        <f>COUNTIF('Metrics - Articles'!H929,"*APJ")</f>
        <v>0</v>
      </c>
      <c r="G930">
        <f>COUNTIF('Metrics - Articles'!H929,"*LATAM*")</f>
        <v>0</v>
      </c>
      <c r="H930">
        <f>COUNTIF('Metrics - Articles'!H929,"*China*")</f>
        <v>0</v>
      </c>
      <c r="J930" s="53">
        <f t="shared" si="15"/>
        <v>0</v>
      </c>
    </row>
    <row r="931" spans="2:10" x14ac:dyDescent="0.25">
      <c r="B931" s="48">
        <f>+'Metrics - Articles'!C930</f>
        <v>0</v>
      </c>
      <c r="C931">
        <f>COUNTIF('Metrics - Articles'!H930,"*Global*")</f>
        <v>0</v>
      </c>
      <c r="D931">
        <f>COUNTIF('Metrics - Articles'!H930,"*EMEA*")</f>
        <v>0</v>
      </c>
      <c r="E931">
        <f>COUNTIF('Metrics - Articles'!H930,"*NA*")</f>
        <v>0</v>
      </c>
      <c r="F931">
        <f>COUNTIF('Metrics - Articles'!H930,"*APJ")</f>
        <v>0</v>
      </c>
      <c r="G931">
        <f>COUNTIF('Metrics - Articles'!H930,"*LATAM*")</f>
        <v>0</v>
      </c>
      <c r="H931">
        <f>COUNTIF('Metrics - Articles'!H930,"*China*")</f>
        <v>0</v>
      </c>
      <c r="J931" s="53">
        <f t="shared" si="15"/>
        <v>0</v>
      </c>
    </row>
    <row r="932" spans="2:10" x14ac:dyDescent="0.25">
      <c r="B932" s="48">
        <f>+'Metrics - Articles'!C931</f>
        <v>0</v>
      </c>
      <c r="C932">
        <f>COUNTIF('Metrics - Articles'!H931,"*Global*")</f>
        <v>0</v>
      </c>
      <c r="D932">
        <f>COUNTIF('Metrics - Articles'!H931,"*EMEA*")</f>
        <v>0</v>
      </c>
      <c r="E932">
        <f>COUNTIF('Metrics - Articles'!H931,"*NA*")</f>
        <v>0</v>
      </c>
      <c r="F932">
        <f>COUNTIF('Metrics - Articles'!H931,"*APJ")</f>
        <v>0</v>
      </c>
      <c r="G932">
        <f>COUNTIF('Metrics - Articles'!H931,"*LATAM*")</f>
        <v>0</v>
      </c>
      <c r="H932">
        <f>COUNTIF('Metrics - Articles'!H931,"*China*")</f>
        <v>0</v>
      </c>
      <c r="J932" s="53">
        <f t="shared" si="15"/>
        <v>0</v>
      </c>
    </row>
    <row r="933" spans="2:10" x14ac:dyDescent="0.25">
      <c r="B933" s="48">
        <f>+'Metrics - Articles'!C932</f>
        <v>0</v>
      </c>
      <c r="C933">
        <f>COUNTIF('Metrics - Articles'!H932,"*Global*")</f>
        <v>0</v>
      </c>
      <c r="D933">
        <f>COUNTIF('Metrics - Articles'!H932,"*EMEA*")</f>
        <v>0</v>
      </c>
      <c r="E933">
        <f>COUNTIF('Metrics - Articles'!H932,"*NA*")</f>
        <v>0</v>
      </c>
      <c r="F933">
        <f>COUNTIF('Metrics - Articles'!H932,"*APJ")</f>
        <v>0</v>
      </c>
      <c r="G933">
        <f>COUNTIF('Metrics - Articles'!H932,"*LATAM*")</f>
        <v>0</v>
      </c>
      <c r="H933">
        <f>COUNTIF('Metrics - Articles'!H932,"*China*")</f>
        <v>0</v>
      </c>
      <c r="J933" s="53">
        <f t="shared" si="15"/>
        <v>0</v>
      </c>
    </row>
    <row r="934" spans="2:10" x14ac:dyDescent="0.25">
      <c r="B934" s="48">
        <f>+'Metrics - Articles'!C933</f>
        <v>0</v>
      </c>
      <c r="C934">
        <f>COUNTIF('Metrics - Articles'!H933,"*Global*")</f>
        <v>0</v>
      </c>
      <c r="D934">
        <f>COUNTIF('Metrics - Articles'!H933,"*EMEA*")</f>
        <v>0</v>
      </c>
      <c r="E934">
        <f>COUNTIF('Metrics - Articles'!H933,"*NA*")</f>
        <v>0</v>
      </c>
      <c r="F934">
        <f>COUNTIF('Metrics - Articles'!H933,"*APJ")</f>
        <v>0</v>
      </c>
      <c r="G934">
        <f>COUNTIF('Metrics - Articles'!H933,"*LATAM*")</f>
        <v>0</v>
      </c>
      <c r="H934">
        <f>COUNTIF('Metrics - Articles'!H933,"*China*")</f>
        <v>0</v>
      </c>
      <c r="J934" s="53">
        <f t="shared" si="15"/>
        <v>0</v>
      </c>
    </row>
    <row r="935" spans="2:10" x14ac:dyDescent="0.25">
      <c r="B935" s="48">
        <f>+'Metrics - Articles'!C934</f>
        <v>0</v>
      </c>
      <c r="C935">
        <f>COUNTIF('Metrics - Articles'!H934,"*Global*")</f>
        <v>0</v>
      </c>
      <c r="D935">
        <f>COUNTIF('Metrics - Articles'!H934,"*EMEA*")</f>
        <v>0</v>
      </c>
      <c r="E935">
        <f>COUNTIF('Metrics - Articles'!H934,"*NA*")</f>
        <v>0</v>
      </c>
      <c r="F935">
        <f>COUNTIF('Metrics - Articles'!H934,"*APJ")</f>
        <v>0</v>
      </c>
      <c r="G935">
        <f>COUNTIF('Metrics - Articles'!H934,"*LATAM*")</f>
        <v>0</v>
      </c>
      <c r="H935">
        <f>COUNTIF('Metrics - Articles'!H934,"*China*")</f>
        <v>0</v>
      </c>
      <c r="J935" s="53">
        <f t="shared" si="15"/>
        <v>0</v>
      </c>
    </row>
    <row r="936" spans="2:10" x14ac:dyDescent="0.25">
      <c r="B936" s="48">
        <f>+'Metrics - Articles'!C935</f>
        <v>0</v>
      </c>
      <c r="C936">
        <f>COUNTIF('Metrics - Articles'!H935,"*Global*")</f>
        <v>0</v>
      </c>
      <c r="D936">
        <f>COUNTIF('Metrics - Articles'!H935,"*EMEA*")</f>
        <v>0</v>
      </c>
      <c r="E936">
        <f>COUNTIF('Metrics - Articles'!H935,"*NA*")</f>
        <v>0</v>
      </c>
      <c r="F936">
        <f>COUNTIF('Metrics - Articles'!H935,"*APJ")</f>
        <v>0</v>
      </c>
      <c r="G936">
        <f>COUNTIF('Metrics - Articles'!H935,"*LATAM*")</f>
        <v>0</v>
      </c>
      <c r="H936">
        <f>COUNTIF('Metrics - Articles'!H935,"*China*")</f>
        <v>0</v>
      </c>
      <c r="J936" s="53">
        <f t="shared" si="15"/>
        <v>0</v>
      </c>
    </row>
    <row r="937" spans="2:10" x14ac:dyDescent="0.25">
      <c r="B937" s="48">
        <f>+'Metrics - Articles'!C936</f>
        <v>0</v>
      </c>
      <c r="C937">
        <f>COUNTIF('Metrics - Articles'!H936,"*Global*")</f>
        <v>0</v>
      </c>
      <c r="D937">
        <f>COUNTIF('Metrics - Articles'!H936,"*EMEA*")</f>
        <v>0</v>
      </c>
      <c r="E937">
        <f>COUNTIF('Metrics - Articles'!H936,"*NA*")</f>
        <v>0</v>
      </c>
      <c r="F937">
        <f>COUNTIF('Metrics - Articles'!H936,"*APJ")</f>
        <v>0</v>
      </c>
      <c r="G937">
        <f>COUNTIF('Metrics - Articles'!H936,"*LATAM*")</f>
        <v>0</v>
      </c>
      <c r="H937">
        <f>COUNTIF('Metrics - Articles'!H936,"*China*")</f>
        <v>0</v>
      </c>
      <c r="J937" s="53">
        <f t="shared" si="15"/>
        <v>0</v>
      </c>
    </row>
    <row r="938" spans="2:10" x14ac:dyDescent="0.25">
      <c r="B938" s="48">
        <f>+'Metrics - Articles'!C937</f>
        <v>0</v>
      </c>
      <c r="C938">
        <f>COUNTIF('Metrics - Articles'!H937,"*Global*")</f>
        <v>0</v>
      </c>
      <c r="D938">
        <f>COUNTIF('Metrics - Articles'!H937,"*EMEA*")</f>
        <v>0</v>
      </c>
      <c r="E938">
        <f>COUNTIF('Metrics - Articles'!H937,"*NA*")</f>
        <v>0</v>
      </c>
      <c r="F938">
        <f>COUNTIF('Metrics - Articles'!H937,"*APJ")</f>
        <v>0</v>
      </c>
      <c r="G938">
        <f>COUNTIF('Metrics - Articles'!H937,"*LATAM*")</f>
        <v>0</v>
      </c>
      <c r="H938">
        <f>COUNTIF('Metrics - Articles'!H937,"*China*")</f>
        <v>0</v>
      </c>
      <c r="J938" s="53">
        <f t="shared" si="15"/>
        <v>0</v>
      </c>
    </row>
    <row r="939" spans="2:10" x14ac:dyDescent="0.25">
      <c r="B939" s="48">
        <f>+'Metrics - Articles'!C938</f>
        <v>0</v>
      </c>
      <c r="C939">
        <f>COUNTIF('Metrics - Articles'!H938,"*Global*")</f>
        <v>0</v>
      </c>
      <c r="D939">
        <f>COUNTIF('Metrics - Articles'!H938,"*EMEA*")</f>
        <v>0</v>
      </c>
      <c r="E939">
        <f>COUNTIF('Metrics - Articles'!H938,"*NA*")</f>
        <v>0</v>
      </c>
      <c r="F939">
        <f>COUNTIF('Metrics - Articles'!H938,"*APJ")</f>
        <v>0</v>
      </c>
      <c r="G939">
        <f>COUNTIF('Metrics - Articles'!H938,"*LATAM*")</f>
        <v>0</v>
      </c>
      <c r="H939">
        <f>COUNTIF('Metrics - Articles'!H938,"*China*")</f>
        <v>0</v>
      </c>
      <c r="J939" s="53">
        <f t="shared" si="15"/>
        <v>0</v>
      </c>
    </row>
    <row r="940" spans="2:10" x14ac:dyDescent="0.25">
      <c r="B940" s="48">
        <f>+'Metrics - Articles'!C939</f>
        <v>0</v>
      </c>
      <c r="C940">
        <f>COUNTIF('Metrics - Articles'!H939,"*Global*")</f>
        <v>0</v>
      </c>
      <c r="D940">
        <f>COUNTIF('Metrics - Articles'!H939,"*EMEA*")</f>
        <v>0</v>
      </c>
      <c r="E940">
        <f>COUNTIF('Metrics - Articles'!H939,"*NA*")</f>
        <v>0</v>
      </c>
      <c r="F940">
        <f>COUNTIF('Metrics - Articles'!H939,"*APJ")</f>
        <v>0</v>
      </c>
      <c r="G940">
        <f>COUNTIF('Metrics - Articles'!H939,"*LATAM*")</f>
        <v>0</v>
      </c>
      <c r="H940">
        <f>COUNTIF('Metrics - Articles'!H939,"*China*")</f>
        <v>0</v>
      </c>
      <c r="J940" s="53">
        <f t="shared" si="15"/>
        <v>0</v>
      </c>
    </row>
    <row r="941" spans="2:10" x14ac:dyDescent="0.25">
      <c r="B941" s="48">
        <f>+'Metrics - Articles'!C940</f>
        <v>0</v>
      </c>
      <c r="C941">
        <f>COUNTIF('Metrics - Articles'!H940,"*Global*")</f>
        <v>0</v>
      </c>
      <c r="D941">
        <f>COUNTIF('Metrics - Articles'!H940,"*EMEA*")</f>
        <v>0</v>
      </c>
      <c r="E941">
        <f>COUNTIF('Metrics - Articles'!H940,"*NA*")</f>
        <v>0</v>
      </c>
      <c r="F941">
        <f>COUNTIF('Metrics - Articles'!H940,"*APJ")</f>
        <v>0</v>
      </c>
      <c r="G941">
        <f>COUNTIF('Metrics - Articles'!H940,"*LATAM*")</f>
        <v>0</v>
      </c>
      <c r="H941">
        <f>COUNTIF('Metrics - Articles'!H940,"*China*")</f>
        <v>0</v>
      </c>
      <c r="J941" s="53">
        <f t="shared" si="15"/>
        <v>0</v>
      </c>
    </row>
    <row r="942" spans="2:10" x14ac:dyDescent="0.25">
      <c r="B942" s="48">
        <f>+'Metrics - Articles'!C941</f>
        <v>0</v>
      </c>
      <c r="C942">
        <f>COUNTIF('Metrics - Articles'!H941,"*Global*")</f>
        <v>0</v>
      </c>
      <c r="D942">
        <f>COUNTIF('Metrics - Articles'!H941,"*EMEA*")</f>
        <v>0</v>
      </c>
      <c r="E942">
        <f>COUNTIF('Metrics - Articles'!H941,"*NA*")</f>
        <v>0</v>
      </c>
      <c r="F942">
        <f>COUNTIF('Metrics - Articles'!H941,"*APJ")</f>
        <v>0</v>
      </c>
      <c r="G942">
        <f>COUNTIF('Metrics - Articles'!H941,"*LATAM*")</f>
        <v>0</v>
      </c>
      <c r="H942">
        <f>COUNTIF('Metrics - Articles'!H941,"*China*")</f>
        <v>0</v>
      </c>
      <c r="J942" s="53">
        <f t="shared" si="15"/>
        <v>0</v>
      </c>
    </row>
    <row r="943" spans="2:10" x14ac:dyDescent="0.25">
      <c r="B943" s="48">
        <f>+'Metrics - Articles'!C942</f>
        <v>0</v>
      </c>
      <c r="C943">
        <f>COUNTIF('Metrics - Articles'!H942,"*Global*")</f>
        <v>0</v>
      </c>
      <c r="D943">
        <f>COUNTIF('Metrics - Articles'!H942,"*EMEA*")</f>
        <v>0</v>
      </c>
      <c r="E943">
        <f>COUNTIF('Metrics - Articles'!H942,"*NA*")</f>
        <v>0</v>
      </c>
      <c r="F943">
        <f>COUNTIF('Metrics - Articles'!H942,"*APJ")</f>
        <v>0</v>
      </c>
      <c r="G943">
        <f>COUNTIF('Metrics - Articles'!H942,"*LATAM*")</f>
        <v>0</v>
      </c>
      <c r="H943">
        <f>COUNTIF('Metrics - Articles'!H942,"*China*")</f>
        <v>0</v>
      </c>
      <c r="J943" s="53">
        <f t="shared" si="15"/>
        <v>0</v>
      </c>
    </row>
    <row r="944" spans="2:10" x14ac:dyDescent="0.25">
      <c r="B944" s="48">
        <f>+'Metrics - Articles'!C943</f>
        <v>0</v>
      </c>
      <c r="C944">
        <f>COUNTIF('Metrics - Articles'!H943,"*Global*")</f>
        <v>0</v>
      </c>
      <c r="D944">
        <f>COUNTIF('Metrics - Articles'!H943,"*EMEA*")</f>
        <v>0</v>
      </c>
      <c r="E944">
        <f>COUNTIF('Metrics - Articles'!H943,"*NA*")</f>
        <v>0</v>
      </c>
      <c r="F944">
        <f>COUNTIF('Metrics - Articles'!H943,"*APJ")</f>
        <v>0</v>
      </c>
      <c r="G944">
        <f>COUNTIF('Metrics - Articles'!H943,"*LATAM*")</f>
        <v>0</v>
      </c>
      <c r="H944">
        <f>COUNTIF('Metrics - Articles'!H943,"*China*")</f>
        <v>0</v>
      </c>
      <c r="J944" s="53">
        <f t="shared" si="15"/>
        <v>0</v>
      </c>
    </row>
    <row r="945" spans="2:10" x14ac:dyDescent="0.25">
      <c r="B945" s="48">
        <f>+'Metrics - Articles'!C944</f>
        <v>0</v>
      </c>
      <c r="C945">
        <f>COUNTIF('Metrics - Articles'!H944,"*Global*")</f>
        <v>0</v>
      </c>
      <c r="D945">
        <f>COUNTIF('Metrics - Articles'!H944,"*EMEA*")</f>
        <v>0</v>
      </c>
      <c r="E945">
        <f>COUNTIF('Metrics - Articles'!H944,"*NA*")</f>
        <v>0</v>
      </c>
      <c r="F945">
        <f>COUNTIF('Metrics - Articles'!H944,"*APJ")</f>
        <v>0</v>
      </c>
      <c r="G945">
        <f>COUNTIF('Metrics - Articles'!H944,"*LATAM*")</f>
        <v>0</v>
      </c>
      <c r="H945">
        <f>COUNTIF('Metrics - Articles'!H944,"*China*")</f>
        <v>0</v>
      </c>
      <c r="J945" s="53">
        <f t="shared" si="15"/>
        <v>0</v>
      </c>
    </row>
    <row r="946" spans="2:10" x14ac:dyDescent="0.25">
      <c r="B946" s="48">
        <f>+'Metrics - Articles'!C945</f>
        <v>0</v>
      </c>
      <c r="C946">
        <f>COUNTIF('Metrics - Articles'!H945,"*Global*")</f>
        <v>0</v>
      </c>
      <c r="D946">
        <f>COUNTIF('Metrics - Articles'!H945,"*EMEA*")</f>
        <v>0</v>
      </c>
      <c r="E946">
        <f>COUNTIF('Metrics - Articles'!H945,"*NA*")</f>
        <v>0</v>
      </c>
      <c r="F946">
        <f>COUNTIF('Metrics - Articles'!H945,"*APJ")</f>
        <v>0</v>
      </c>
      <c r="G946">
        <f>COUNTIF('Metrics - Articles'!H945,"*LATAM*")</f>
        <v>0</v>
      </c>
      <c r="H946">
        <f>COUNTIF('Metrics - Articles'!H945,"*China*")</f>
        <v>0</v>
      </c>
      <c r="J946" s="53">
        <f t="shared" si="15"/>
        <v>0</v>
      </c>
    </row>
    <row r="947" spans="2:10" x14ac:dyDescent="0.25">
      <c r="B947" s="48">
        <f>+'Metrics - Articles'!C946</f>
        <v>0</v>
      </c>
      <c r="C947">
        <f>COUNTIF('Metrics - Articles'!H946,"*Global*")</f>
        <v>0</v>
      </c>
      <c r="D947">
        <f>COUNTIF('Metrics - Articles'!H946,"*EMEA*")</f>
        <v>0</v>
      </c>
      <c r="E947">
        <f>COUNTIF('Metrics - Articles'!H946,"*NA*")</f>
        <v>0</v>
      </c>
      <c r="F947">
        <f>COUNTIF('Metrics - Articles'!H946,"*APJ")</f>
        <v>0</v>
      </c>
      <c r="G947">
        <f>COUNTIF('Metrics - Articles'!H946,"*LATAM*")</f>
        <v>0</v>
      </c>
      <c r="H947">
        <f>COUNTIF('Metrics - Articles'!H946,"*China*")</f>
        <v>0</v>
      </c>
      <c r="J947" s="53">
        <f t="shared" si="15"/>
        <v>0</v>
      </c>
    </row>
    <row r="948" spans="2:10" x14ac:dyDescent="0.25">
      <c r="B948" s="48">
        <f>+'Metrics - Articles'!C947</f>
        <v>0</v>
      </c>
      <c r="C948">
        <f>COUNTIF('Metrics - Articles'!H947,"*Global*")</f>
        <v>0</v>
      </c>
      <c r="D948">
        <f>COUNTIF('Metrics - Articles'!H947,"*EMEA*")</f>
        <v>0</v>
      </c>
      <c r="E948">
        <f>COUNTIF('Metrics - Articles'!H947,"*NA*")</f>
        <v>0</v>
      </c>
      <c r="F948">
        <f>COUNTIF('Metrics - Articles'!H947,"*APJ")</f>
        <v>0</v>
      </c>
      <c r="G948">
        <f>COUNTIF('Metrics - Articles'!H947,"*LATAM*")</f>
        <v>0</v>
      </c>
      <c r="H948">
        <f>COUNTIF('Metrics - Articles'!H947,"*China*")</f>
        <v>0</v>
      </c>
      <c r="J948" s="53">
        <f t="shared" si="15"/>
        <v>0</v>
      </c>
    </row>
    <row r="949" spans="2:10" x14ac:dyDescent="0.25">
      <c r="B949" s="48">
        <f>+'Metrics - Articles'!C948</f>
        <v>0</v>
      </c>
      <c r="C949">
        <f>COUNTIF('Metrics - Articles'!H948,"*Global*")</f>
        <v>0</v>
      </c>
      <c r="D949">
        <f>COUNTIF('Metrics - Articles'!H948,"*EMEA*")</f>
        <v>0</v>
      </c>
      <c r="E949">
        <f>COUNTIF('Metrics - Articles'!H948,"*NA*")</f>
        <v>0</v>
      </c>
      <c r="F949">
        <f>COUNTIF('Metrics - Articles'!H948,"*APJ")</f>
        <v>0</v>
      </c>
      <c r="G949">
        <f>COUNTIF('Metrics - Articles'!H948,"*LATAM*")</f>
        <v>0</v>
      </c>
      <c r="H949">
        <f>COUNTIF('Metrics - Articles'!H948,"*China*")</f>
        <v>0</v>
      </c>
      <c r="J949" s="53">
        <f t="shared" si="15"/>
        <v>0</v>
      </c>
    </row>
    <row r="950" spans="2:10" x14ac:dyDescent="0.25">
      <c r="B950" s="48">
        <f>+'Metrics - Articles'!C949</f>
        <v>0</v>
      </c>
      <c r="C950">
        <f>COUNTIF('Metrics - Articles'!H949,"*Global*")</f>
        <v>0</v>
      </c>
      <c r="D950">
        <f>COUNTIF('Metrics - Articles'!H949,"*EMEA*")</f>
        <v>0</v>
      </c>
      <c r="E950">
        <f>COUNTIF('Metrics - Articles'!H949,"*NA*")</f>
        <v>0</v>
      </c>
      <c r="F950">
        <f>COUNTIF('Metrics - Articles'!H949,"*APJ")</f>
        <v>0</v>
      </c>
      <c r="G950">
        <f>COUNTIF('Metrics - Articles'!H949,"*LATAM*")</f>
        <v>0</v>
      </c>
      <c r="H950">
        <f>COUNTIF('Metrics - Articles'!H949,"*China*")</f>
        <v>0</v>
      </c>
      <c r="J950" s="53">
        <f t="shared" si="15"/>
        <v>0</v>
      </c>
    </row>
    <row r="951" spans="2:10" x14ac:dyDescent="0.25">
      <c r="B951" s="48">
        <f>+'Metrics - Articles'!C950</f>
        <v>0</v>
      </c>
      <c r="C951">
        <f>COUNTIF('Metrics - Articles'!H950,"*Global*")</f>
        <v>0</v>
      </c>
      <c r="D951">
        <f>COUNTIF('Metrics - Articles'!H950,"*EMEA*")</f>
        <v>0</v>
      </c>
      <c r="E951">
        <f>COUNTIF('Metrics - Articles'!H950,"*NA*")</f>
        <v>0</v>
      </c>
      <c r="F951">
        <f>COUNTIF('Metrics - Articles'!H950,"*APJ")</f>
        <v>0</v>
      </c>
      <c r="G951">
        <f>COUNTIF('Metrics - Articles'!H950,"*LATAM*")</f>
        <v>0</v>
      </c>
      <c r="H951">
        <f>COUNTIF('Metrics - Articles'!H950,"*China*")</f>
        <v>0</v>
      </c>
      <c r="J951" s="53">
        <f t="shared" si="15"/>
        <v>0</v>
      </c>
    </row>
    <row r="952" spans="2:10" x14ac:dyDescent="0.25">
      <c r="B952" s="48">
        <f>+'Metrics - Articles'!C951</f>
        <v>0</v>
      </c>
      <c r="C952">
        <f>COUNTIF('Metrics - Articles'!H951,"*Global*")</f>
        <v>0</v>
      </c>
      <c r="D952">
        <f>COUNTIF('Metrics - Articles'!H951,"*EMEA*")</f>
        <v>0</v>
      </c>
      <c r="E952">
        <f>COUNTIF('Metrics - Articles'!H951,"*NA*")</f>
        <v>0</v>
      </c>
      <c r="F952">
        <f>COUNTIF('Metrics - Articles'!H951,"*APJ")</f>
        <v>0</v>
      </c>
      <c r="G952">
        <f>COUNTIF('Metrics - Articles'!H951,"*LATAM*")</f>
        <v>0</v>
      </c>
      <c r="H952">
        <f>COUNTIF('Metrics - Articles'!H951,"*China*")</f>
        <v>0</v>
      </c>
      <c r="J952" s="53">
        <f t="shared" si="15"/>
        <v>0</v>
      </c>
    </row>
    <row r="953" spans="2:10" x14ac:dyDescent="0.25">
      <c r="B953" s="48">
        <f>+'Metrics - Articles'!C952</f>
        <v>0</v>
      </c>
      <c r="C953">
        <f>COUNTIF('Metrics - Articles'!H952,"*Global*")</f>
        <v>0</v>
      </c>
      <c r="D953">
        <f>COUNTIF('Metrics - Articles'!H952,"*EMEA*")</f>
        <v>0</v>
      </c>
      <c r="E953">
        <f>COUNTIF('Metrics - Articles'!H952,"*NA*")</f>
        <v>0</v>
      </c>
      <c r="F953">
        <f>COUNTIF('Metrics - Articles'!H952,"*APJ")</f>
        <v>0</v>
      </c>
      <c r="G953">
        <f>COUNTIF('Metrics - Articles'!H952,"*LATAM*")</f>
        <v>0</v>
      </c>
      <c r="H953">
        <f>COUNTIF('Metrics - Articles'!H952,"*China*")</f>
        <v>0</v>
      </c>
      <c r="J953" s="53">
        <f t="shared" si="15"/>
        <v>0</v>
      </c>
    </row>
    <row r="954" spans="2:10" x14ac:dyDescent="0.25">
      <c r="B954" s="48">
        <f>+'Metrics - Articles'!C953</f>
        <v>0</v>
      </c>
      <c r="C954">
        <f>COUNTIF('Metrics - Articles'!H953,"*Global*")</f>
        <v>0</v>
      </c>
      <c r="D954">
        <f>COUNTIF('Metrics - Articles'!H953,"*EMEA*")</f>
        <v>0</v>
      </c>
      <c r="E954">
        <f>COUNTIF('Metrics - Articles'!H953,"*NA*")</f>
        <v>0</v>
      </c>
      <c r="F954">
        <f>COUNTIF('Metrics - Articles'!H953,"*APJ")</f>
        <v>0</v>
      </c>
      <c r="G954">
        <f>COUNTIF('Metrics - Articles'!H953,"*LATAM*")</f>
        <v>0</v>
      </c>
      <c r="H954">
        <f>COUNTIF('Metrics - Articles'!H953,"*China*")</f>
        <v>0</v>
      </c>
      <c r="J954" s="53">
        <f t="shared" si="15"/>
        <v>0</v>
      </c>
    </row>
    <row r="955" spans="2:10" x14ac:dyDescent="0.25">
      <c r="B955" s="48">
        <f>+'Metrics - Articles'!C954</f>
        <v>0</v>
      </c>
      <c r="C955">
        <f>COUNTIF('Metrics - Articles'!H954,"*Global*")</f>
        <v>0</v>
      </c>
      <c r="D955">
        <f>COUNTIF('Metrics - Articles'!H954,"*EMEA*")</f>
        <v>0</v>
      </c>
      <c r="E955">
        <f>COUNTIF('Metrics - Articles'!H954,"*NA*")</f>
        <v>0</v>
      </c>
      <c r="F955">
        <f>COUNTIF('Metrics - Articles'!H954,"*APJ")</f>
        <v>0</v>
      </c>
      <c r="G955">
        <f>COUNTIF('Metrics - Articles'!H954,"*LATAM*")</f>
        <v>0</v>
      </c>
      <c r="H955">
        <f>COUNTIF('Metrics - Articles'!H954,"*China*")</f>
        <v>0</v>
      </c>
      <c r="J955" s="53">
        <f t="shared" si="15"/>
        <v>0</v>
      </c>
    </row>
    <row r="956" spans="2:10" x14ac:dyDescent="0.25">
      <c r="B956" s="48">
        <f>+'Metrics - Articles'!C955</f>
        <v>0</v>
      </c>
      <c r="C956">
        <f>COUNTIF('Metrics - Articles'!H955,"*Global*")</f>
        <v>0</v>
      </c>
      <c r="D956">
        <f>COUNTIF('Metrics - Articles'!H955,"*EMEA*")</f>
        <v>0</v>
      </c>
      <c r="E956">
        <f>COUNTIF('Metrics - Articles'!H955,"*NA*")</f>
        <v>0</v>
      </c>
      <c r="F956">
        <f>COUNTIF('Metrics - Articles'!H955,"*APJ")</f>
        <v>0</v>
      </c>
      <c r="G956">
        <f>COUNTIF('Metrics - Articles'!H955,"*LATAM*")</f>
        <v>0</v>
      </c>
      <c r="H956">
        <f>COUNTIF('Metrics - Articles'!H955,"*China*")</f>
        <v>0</v>
      </c>
      <c r="J956" s="53">
        <f t="shared" si="15"/>
        <v>0</v>
      </c>
    </row>
    <row r="957" spans="2:10" x14ac:dyDescent="0.25">
      <c r="B957" s="48">
        <f>+'Metrics - Articles'!C956</f>
        <v>0</v>
      </c>
      <c r="C957">
        <f>COUNTIF('Metrics - Articles'!H956,"*Global*")</f>
        <v>0</v>
      </c>
      <c r="D957">
        <f>COUNTIF('Metrics - Articles'!H956,"*EMEA*")</f>
        <v>0</v>
      </c>
      <c r="E957">
        <f>COUNTIF('Metrics - Articles'!H956,"*NA*")</f>
        <v>0</v>
      </c>
      <c r="F957">
        <f>COUNTIF('Metrics - Articles'!H956,"*APJ")</f>
        <v>0</v>
      </c>
      <c r="G957">
        <f>COUNTIF('Metrics - Articles'!H956,"*LATAM*")</f>
        <v>0</v>
      </c>
      <c r="H957">
        <f>COUNTIF('Metrics - Articles'!H956,"*China*")</f>
        <v>0</v>
      </c>
      <c r="J957" s="53">
        <f t="shared" si="15"/>
        <v>0</v>
      </c>
    </row>
    <row r="958" spans="2:10" x14ac:dyDescent="0.25">
      <c r="B958" s="48">
        <f>+'Metrics - Articles'!C957</f>
        <v>0</v>
      </c>
      <c r="C958">
        <f>COUNTIF('Metrics - Articles'!H957,"*Global*")</f>
        <v>0</v>
      </c>
      <c r="D958">
        <f>COUNTIF('Metrics - Articles'!H957,"*EMEA*")</f>
        <v>0</v>
      </c>
      <c r="E958">
        <f>COUNTIF('Metrics - Articles'!H957,"*NA*")</f>
        <v>0</v>
      </c>
      <c r="F958">
        <f>COUNTIF('Metrics - Articles'!H957,"*APJ")</f>
        <v>0</v>
      </c>
      <c r="G958">
        <f>COUNTIF('Metrics - Articles'!H957,"*LATAM*")</f>
        <v>0</v>
      </c>
      <c r="H958">
        <f>COUNTIF('Metrics - Articles'!H957,"*China*")</f>
        <v>0</v>
      </c>
      <c r="J958" s="53">
        <f t="shared" si="15"/>
        <v>0</v>
      </c>
    </row>
    <row r="959" spans="2:10" x14ac:dyDescent="0.25">
      <c r="B959" s="48">
        <f>+'Metrics - Articles'!C958</f>
        <v>0</v>
      </c>
      <c r="C959">
        <f>COUNTIF('Metrics - Articles'!H958,"*Global*")</f>
        <v>0</v>
      </c>
      <c r="D959">
        <f>COUNTIF('Metrics - Articles'!H958,"*EMEA*")</f>
        <v>0</v>
      </c>
      <c r="E959">
        <f>COUNTIF('Metrics - Articles'!H958,"*NA*")</f>
        <v>0</v>
      </c>
      <c r="F959">
        <f>COUNTIF('Metrics - Articles'!H958,"*APJ")</f>
        <v>0</v>
      </c>
      <c r="G959">
        <f>COUNTIF('Metrics - Articles'!H958,"*LATAM*")</f>
        <v>0</v>
      </c>
      <c r="H959">
        <f>COUNTIF('Metrics - Articles'!H958,"*China*")</f>
        <v>0</v>
      </c>
      <c r="J959" s="53">
        <f t="shared" si="15"/>
        <v>0</v>
      </c>
    </row>
    <row r="960" spans="2:10" x14ac:dyDescent="0.25">
      <c r="B960" s="48">
        <f>+'Metrics - Articles'!C959</f>
        <v>0</v>
      </c>
      <c r="C960">
        <f>COUNTIF('Metrics - Articles'!H959,"*Global*")</f>
        <v>0</v>
      </c>
      <c r="D960">
        <f>COUNTIF('Metrics - Articles'!H959,"*EMEA*")</f>
        <v>0</v>
      </c>
      <c r="E960">
        <f>COUNTIF('Metrics - Articles'!H959,"*NA*")</f>
        <v>0</v>
      </c>
      <c r="F960">
        <f>COUNTIF('Metrics - Articles'!H959,"*APJ")</f>
        <v>0</v>
      </c>
      <c r="G960">
        <f>COUNTIF('Metrics - Articles'!H959,"*LATAM*")</f>
        <v>0</v>
      </c>
      <c r="H960">
        <f>COUNTIF('Metrics - Articles'!H959,"*China*")</f>
        <v>0</v>
      </c>
      <c r="J960" s="53">
        <f t="shared" si="15"/>
        <v>0</v>
      </c>
    </row>
    <row r="961" spans="2:10" x14ac:dyDescent="0.25">
      <c r="B961" s="48">
        <f>+'Metrics - Articles'!C960</f>
        <v>0</v>
      </c>
      <c r="C961">
        <f>COUNTIF('Metrics - Articles'!H960,"*Global*")</f>
        <v>0</v>
      </c>
      <c r="D961">
        <f>COUNTIF('Metrics - Articles'!H960,"*EMEA*")</f>
        <v>0</v>
      </c>
      <c r="E961">
        <f>COUNTIF('Metrics - Articles'!H960,"*NA*")</f>
        <v>0</v>
      </c>
      <c r="F961">
        <f>COUNTIF('Metrics - Articles'!H960,"*APJ")</f>
        <v>0</v>
      </c>
      <c r="G961">
        <f>COUNTIF('Metrics - Articles'!H960,"*LATAM*")</f>
        <v>0</v>
      </c>
      <c r="H961">
        <f>COUNTIF('Metrics - Articles'!H960,"*China*")</f>
        <v>0</v>
      </c>
      <c r="J961" s="53">
        <f t="shared" si="15"/>
        <v>0</v>
      </c>
    </row>
    <row r="962" spans="2:10" x14ac:dyDescent="0.25">
      <c r="B962" s="48">
        <f>+'Metrics - Articles'!C961</f>
        <v>0</v>
      </c>
      <c r="C962">
        <f>COUNTIF('Metrics - Articles'!H961,"*Global*")</f>
        <v>0</v>
      </c>
      <c r="D962">
        <f>COUNTIF('Metrics - Articles'!H961,"*EMEA*")</f>
        <v>0</v>
      </c>
      <c r="E962">
        <f>COUNTIF('Metrics - Articles'!H961,"*NA*")</f>
        <v>0</v>
      </c>
      <c r="F962">
        <f>COUNTIF('Metrics - Articles'!H961,"*APJ")</f>
        <v>0</v>
      </c>
      <c r="G962">
        <f>COUNTIF('Metrics - Articles'!H961,"*LATAM*")</f>
        <v>0</v>
      </c>
      <c r="H962">
        <f>COUNTIF('Metrics - Articles'!H961,"*China*")</f>
        <v>0</v>
      </c>
      <c r="J962" s="53">
        <f t="shared" si="15"/>
        <v>0</v>
      </c>
    </row>
    <row r="963" spans="2:10" x14ac:dyDescent="0.25">
      <c r="B963" s="48">
        <f>+'Metrics - Articles'!C962</f>
        <v>0</v>
      </c>
      <c r="C963">
        <f>COUNTIF('Metrics - Articles'!H962,"*Global*")</f>
        <v>0</v>
      </c>
      <c r="D963">
        <f>COUNTIF('Metrics - Articles'!H962,"*EMEA*")</f>
        <v>0</v>
      </c>
      <c r="E963">
        <f>COUNTIF('Metrics - Articles'!H962,"*NA*")</f>
        <v>0</v>
      </c>
      <c r="F963">
        <f>COUNTIF('Metrics - Articles'!H962,"*APJ")</f>
        <v>0</v>
      </c>
      <c r="G963">
        <f>COUNTIF('Metrics - Articles'!H962,"*LATAM*")</f>
        <v>0</v>
      </c>
      <c r="H963">
        <f>COUNTIF('Metrics - Articles'!H962,"*China*")</f>
        <v>0</v>
      </c>
      <c r="J963" s="53">
        <f t="shared" si="15"/>
        <v>0</v>
      </c>
    </row>
    <row r="964" spans="2:10" x14ac:dyDescent="0.25">
      <c r="B964" s="48">
        <f>+'Metrics - Articles'!C963</f>
        <v>0</v>
      </c>
      <c r="C964">
        <f>COUNTIF('Metrics - Articles'!H963,"*Global*")</f>
        <v>0</v>
      </c>
      <c r="D964">
        <f>COUNTIF('Metrics - Articles'!H963,"*EMEA*")</f>
        <v>0</v>
      </c>
      <c r="E964">
        <f>COUNTIF('Metrics - Articles'!H963,"*NA*")</f>
        <v>0</v>
      </c>
      <c r="F964">
        <f>COUNTIF('Metrics - Articles'!H963,"*APJ")</f>
        <v>0</v>
      </c>
      <c r="G964">
        <f>COUNTIF('Metrics - Articles'!H963,"*LATAM*")</f>
        <v>0</v>
      </c>
      <c r="H964">
        <f>COUNTIF('Metrics - Articles'!H963,"*China*")</f>
        <v>0</v>
      </c>
      <c r="J964" s="53">
        <f t="shared" si="15"/>
        <v>0</v>
      </c>
    </row>
    <row r="965" spans="2:10" x14ac:dyDescent="0.25">
      <c r="B965" s="48">
        <f>+'Metrics - Articles'!C964</f>
        <v>0</v>
      </c>
      <c r="C965">
        <f>COUNTIF('Metrics - Articles'!H964,"*Global*")</f>
        <v>0</v>
      </c>
      <c r="D965">
        <f>COUNTIF('Metrics - Articles'!H964,"*EMEA*")</f>
        <v>0</v>
      </c>
      <c r="E965">
        <f>COUNTIF('Metrics - Articles'!H964,"*NA*")</f>
        <v>0</v>
      </c>
      <c r="F965">
        <f>COUNTIF('Metrics - Articles'!H964,"*APJ")</f>
        <v>0</v>
      </c>
      <c r="G965">
        <f>COUNTIF('Metrics - Articles'!H964,"*LATAM*")</f>
        <v>0</v>
      </c>
      <c r="H965">
        <f>COUNTIF('Metrics - Articles'!H964,"*China*")</f>
        <v>0</v>
      </c>
      <c r="J965" s="53">
        <f t="shared" si="15"/>
        <v>0</v>
      </c>
    </row>
    <row r="966" spans="2:10" x14ac:dyDescent="0.25">
      <c r="B966" s="48">
        <f>+'Metrics - Articles'!C965</f>
        <v>0</v>
      </c>
      <c r="C966">
        <f>COUNTIF('Metrics - Articles'!H965,"*Global*")</f>
        <v>0</v>
      </c>
      <c r="D966">
        <f>COUNTIF('Metrics - Articles'!H965,"*EMEA*")</f>
        <v>0</v>
      </c>
      <c r="E966">
        <f>COUNTIF('Metrics - Articles'!H965,"*NA*")</f>
        <v>0</v>
      </c>
      <c r="F966">
        <f>COUNTIF('Metrics - Articles'!H965,"*APJ")</f>
        <v>0</v>
      </c>
      <c r="G966">
        <f>COUNTIF('Metrics - Articles'!H965,"*LATAM*")</f>
        <v>0</v>
      </c>
      <c r="H966">
        <f>COUNTIF('Metrics - Articles'!H965,"*China*")</f>
        <v>0</v>
      </c>
      <c r="J966" s="53">
        <f t="shared" si="15"/>
        <v>0</v>
      </c>
    </row>
    <row r="967" spans="2:10" x14ac:dyDescent="0.25">
      <c r="B967" s="48">
        <f>+'Metrics - Articles'!C966</f>
        <v>0</v>
      </c>
      <c r="C967">
        <f>COUNTIF('Metrics - Articles'!H966,"*Global*")</f>
        <v>0</v>
      </c>
      <c r="D967">
        <f>COUNTIF('Metrics - Articles'!H966,"*EMEA*")</f>
        <v>0</v>
      </c>
      <c r="E967">
        <f>COUNTIF('Metrics - Articles'!H966,"*NA*")</f>
        <v>0</v>
      </c>
      <c r="F967">
        <f>COUNTIF('Metrics - Articles'!H966,"*APJ")</f>
        <v>0</v>
      </c>
      <c r="G967">
        <f>COUNTIF('Metrics - Articles'!H966,"*LATAM*")</f>
        <v>0</v>
      </c>
      <c r="H967">
        <f>COUNTIF('Metrics - Articles'!H966,"*China*")</f>
        <v>0</v>
      </c>
      <c r="J967" s="53">
        <f t="shared" si="15"/>
        <v>0</v>
      </c>
    </row>
    <row r="968" spans="2:10" x14ac:dyDescent="0.25">
      <c r="B968" s="48">
        <f>+'Metrics - Articles'!C967</f>
        <v>0</v>
      </c>
      <c r="C968">
        <f>COUNTIF('Metrics - Articles'!H967,"*Global*")</f>
        <v>0</v>
      </c>
      <c r="D968">
        <f>COUNTIF('Metrics - Articles'!H967,"*EMEA*")</f>
        <v>0</v>
      </c>
      <c r="E968">
        <f>COUNTIF('Metrics - Articles'!H967,"*NA*")</f>
        <v>0</v>
      </c>
      <c r="F968">
        <f>COUNTIF('Metrics - Articles'!H967,"*APJ")</f>
        <v>0</v>
      </c>
      <c r="G968">
        <f>COUNTIF('Metrics - Articles'!H967,"*LATAM*")</f>
        <v>0</v>
      </c>
      <c r="H968">
        <f>COUNTIF('Metrics - Articles'!H967,"*China*")</f>
        <v>0</v>
      </c>
      <c r="J968" s="53">
        <f t="shared" si="15"/>
        <v>0</v>
      </c>
    </row>
    <row r="969" spans="2:10" x14ac:dyDescent="0.25">
      <c r="B969" s="48">
        <f>+'Metrics - Articles'!C968</f>
        <v>0</v>
      </c>
      <c r="C969">
        <f>COUNTIF('Metrics - Articles'!H968,"*Global*")</f>
        <v>0</v>
      </c>
      <c r="D969">
        <f>COUNTIF('Metrics - Articles'!H968,"*EMEA*")</f>
        <v>0</v>
      </c>
      <c r="E969">
        <f>COUNTIF('Metrics - Articles'!H968,"*NA*")</f>
        <v>0</v>
      </c>
      <c r="F969">
        <f>COUNTIF('Metrics - Articles'!H968,"*APJ")</f>
        <v>0</v>
      </c>
      <c r="G969">
        <f>COUNTIF('Metrics - Articles'!H968,"*LATAM*")</f>
        <v>0</v>
      </c>
      <c r="H969">
        <f>COUNTIF('Metrics - Articles'!H968,"*China*")</f>
        <v>0</v>
      </c>
      <c r="J969" s="53">
        <f t="shared" si="15"/>
        <v>0</v>
      </c>
    </row>
    <row r="970" spans="2:10" x14ac:dyDescent="0.25">
      <c r="B970" s="48">
        <f>+'Metrics - Articles'!C969</f>
        <v>0</v>
      </c>
      <c r="C970">
        <f>COUNTIF('Metrics - Articles'!H969,"*Global*")</f>
        <v>0</v>
      </c>
      <c r="D970">
        <f>COUNTIF('Metrics - Articles'!H969,"*EMEA*")</f>
        <v>0</v>
      </c>
      <c r="E970">
        <f>COUNTIF('Metrics - Articles'!H969,"*NA*")</f>
        <v>0</v>
      </c>
      <c r="F970">
        <f>COUNTIF('Metrics - Articles'!H969,"*APJ")</f>
        <v>0</v>
      </c>
      <c r="G970">
        <f>COUNTIF('Metrics - Articles'!H969,"*LATAM*")</f>
        <v>0</v>
      </c>
      <c r="H970">
        <f>COUNTIF('Metrics - Articles'!H969,"*China*")</f>
        <v>0</v>
      </c>
      <c r="J970" s="53">
        <f t="shared" ref="J970:J1004" si="16">SUM(C970:I970)</f>
        <v>0</v>
      </c>
    </row>
    <row r="971" spans="2:10" x14ac:dyDescent="0.25">
      <c r="B971" s="48">
        <f>+'Metrics - Articles'!C970</f>
        <v>0</v>
      </c>
      <c r="C971">
        <f>COUNTIF('Metrics - Articles'!H970,"*Global*")</f>
        <v>0</v>
      </c>
      <c r="D971">
        <f>COUNTIF('Metrics - Articles'!H970,"*EMEA*")</f>
        <v>0</v>
      </c>
      <c r="E971">
        <f>COUNTIF('Metrics - Articles'!H970,"*NA*")</f>
        <v>0</v>
      </c>
      <c r="F971">
        <f>COUNTIF('Metrics - Articles'!H970,"*APJ")</f>
        <v>0</v>
      </c>
      <c r="G971">
        <f>COUNTIF('Metrics - Articles'!H970,"*LATAM*")</f>
        <v>0</v>
      </c>
      <c r="H971">
        <f>COUNTIF('Metrics - Articles'!H970,"*China*")</f>
        <v>0</v>
      </c>
      <c r="J971" s="53">
        <f t="shared" si="16"/>
        <v>0</v>
      </c>
    </row>
    <row r="972" spans="2:10" x14ac:dyDescent="0.25">
      <c r="B972" s="48">
        <f>+'Metrics - Articles'!C971</f>
        <v>0</v>
      </c>
      <c r="C972">
        <f>COUNTIF('Metrics - Articles'!H971,"*Global*")</f>
        <v>0</v>
      </c>
      <c r="D972">
        <f>COUNTIF('Metrics - Articles'!H971,"*EMEA*")</f>
        <v>0</v>
      </c>
      <c r="E972">
        <f>COUNTIF('Metrics - Articles'!H971,"*NA*")</f>
        <v>0</v>
      </c>
      <c r="F972">
        <f>COUNTIF('Metrics - Articles'!H971,"*APJ")</f>
        <v>0</v>
      </c>
      <c r="G972">
        <f>COUNTIF('Metrics - Articles'!H971,"*LATAM*")</f>
        <v>0</v>
      </c>
      <c r="H972">
        <f>COUNTIF('Metrics - Articles'!H971,"*China*")</f>
        <v>0</v>
      </c>
      <c r="J972" s="53">
        <f t="shared" si="16"/>
        <v>0</v>
      </c>
    </row>
    <row r="973" spans="2:10" x14ac:dyDescent="0.25">
      <c r="B973" s="48">
        <f>+'Metrics - Articles'!C972</f>
        <v>0</v>
      </c>
      <c r="C973">
        <f>COUNTIF('Metrics - Articles'!H972,"*Global*")</f>
        <v>0</v>
      </c>
      <c r="D973">
        <f>COUNTIF('Metrics - Articles'!H972,"*EMEA*")</f>
        <v>0</v>
      </c>
      <c r="E973">
        <f>COUNTIF('Metrics - Articles'!H972,"*NA*")</f>
        <v>0</v>
      </c>
      <c r="F973">
        <f>COUNTIF('Metrics - Articles'!H972,"*APJ")</f>
        <v>0</v>
      </c>
      <c r="G973">
        <f>COUNTIF('Metrics - Articles'!H972,"*LATAM*")</f>
        <v>0</v>
      </c>
      <c r="H973">
        <f>COUNTIF('Metrics - Articles'!H972,"*China*")</f>
        <v>0</v>
      </c>
      <c r="J973" s="53">
        <f t="shared" si="16"/>
        <v>0</v>
      </c>
    </row>
    <row r="974" spans="2:10" x14ac:dyDescent="0.25">
      <c r="B974" s="48">
        <f>+'Metrics - Articles'!C973</f>
        <v>0</v>
      </c>
      <c r="C974">
        <f>COUNTIF('Metrics - Articles'!H973,"*Global*")</f>
        <v>0</v>
      </c>
      <c r="D974">
        <f>COUNTIF('Metrics - Articles'!H973,"*EMEA*")</f>
        <v>0</v>
      </c>
      <c r="E974">
        <f>COUNTIF('Metrics - Articles'!H973,"*NA*")</f>
        <v>0</v>
      </c>
      <c r="F974">
        <f>COUNTIF('Metrics - Articles'!H973,"*APJ")</f>
        <v>0</v>
      </c>
      <c r="G974">
        <f>COUNTIF('Metrics - Articles'!H973,"*LATAM*")</f>
        <v>0</v>
      </c>
      <c r="H974">
        <f>COUNTIF('Metrics - Articles'!H973,"*China*")</f>
        <v>0</v>
      </c>
      <c r="J974" s="53">
        <f t="shared" si="16"/>
        <v>0</v>
      </c>
    </row>
    <row r="975" spans="2:10" x14ac:dyDescent="0.25">
      <c r="B975" s="48">
        <f>+'Metrics - Articles'!C974</f>
        <v>0</v>
      </c>
      <c r="C975">
        <f>COUNTIF('Metrics - Articles'!H974,"*Global*")</f>
        <v>0</v>
      </c>
      <c r="D975">
        <f>COUNTIF('Metrics - Articles'!H974,"*EMEA*")</f>
        <v>0</v>
      </c>
      <c r="E975">
        <f>COUNTIF('Metrics - Articles'!H974,"*NA*")</f>
        <v>0</v>
      </c>
      <c r="F975">
        <f>COUNTIF('Metrics - Articles'!H974,"*APJ")</f>
        <v>0</v>
      </c>
      <c r="G975">
        <f>COUNTIF('Metrics - Articles'!H974,"*LATAM*")</f>
        <v>0</v>
      </c>
      <c r="H975">
        <f>COUNTIF('Metrics - Articles'!H974,"*China*")</f>
        <v>0</v>
      </c>
      <c r="J975" s="53">
        <f t="shared" si="16"/>
        <v>0</v>
      </c>
    </row>
    <row r="976" spans="2:10" x14ac:dyDescent="0.25">
      <c r="B976" s="48">
        <f>+'Metrics - Articles'!C975</f>
        <v>0</v>
      </c>
      <c r="C976">
        <f>COUNTIF('Metrics - Articles'!H975,"*Global*")</f>
        <v>0</v>
      </c>
      <c r="D976">
        <f>COUNTIF('Metrics - Articles'!H975,"*EMEA*")</f>
        <v>0</v>
      </c>
      <c r="E976">
        <f>COUNTIF('Metrics - Articles'!H975,"*NA*")</f>
        <v>0</v>
      </c>
      <c r="F976">
        <f>COUNTIF('Metrics - Articles'!H975,"*APJ")</f>
        <v>0</v>
      </c>
      <c r="G976">
        <f>COUNTIF('Metrics - Articles'!H975,"*LATAM*")</f>
        <v>0</v>
      </c>
      <c r="H976">
        <f>COUNTIF('Metrics - Articles'!H975,"*China*")</f>
        <v>0</v>
      </c>
      <c r="J976" s="53">
        <f t="shared" si="16"/>
        <v>0</v>
      </c>
    </row>
    <row r="977" spans="2:10" x14ac:dyDescent="0.25">
      <c r="B977" s="48">
        <f>+'Metrics - Articles'!C976</f>
        <v>0</v>
      </c>
      <c r="C977">
        <f>COUNTIF('Metrics - Articles'!H976,"*Global*")</f>
        <v>0</v>
      </c>
      <c r="D977">
        <f>COUNTIF('Metrics - Articles'!H976,"*EMEA*")</f>
        <v>0</v>
      </c>
      <c r="E977">
        <f>COUNTIF('Metrics - Articles'!H976,"*NA*")</f>
        <v>0</v>
      </c>
      <c r="F977">
        <f>COUNTIF('Metrics - Articles'!H976,"*APJ")</f>
        <v>0</v>
      </c>
      <c r="G977">
        <f>COUNTIF('Metrics - Articles'!H976,"*LATAM*")</f>
        <v>0</v>
      </c>
      <c r="H977">
        <f>COUNTIF('Metrics - Articles'!H976,"*China*")</f>
        <v>0</v>
      </c>
      <c r="J977" s="53">
        <f t="shared" si="16"/>
        <v>0</v>
      </c>
    </row>
    <row r="978" spans="2:10" x14ac:dyDescent="0.25">
      <c r="B978" s="48">
        <f>+'Metrics - Articles'!C977</f>
        <v>0</v>
      </c>
      <c r="C978">
        <f>COUNTIF('Metrics - Articles'!H977,"*Global*")</f>
        <v>0</v>
      </c>
      <c r="D978">
        <f>COUNTIF('Metrics - Articles'!H977,"*EMEA*")</f>
        <v>0</v>
      </c>
      <c r="E978">
        <f>COUNTIF('Metrics - Articles'!H977,"*NA*")</f>
        <v>0</v>
      </c>
      <c r="F978">
        <f>COUNTIF('Metrics - Articles'!H977,"*APJ")</f>
        <v>0</v>
      </c>
      <c r="G978">
        <f>COUNTIF('Metrics - Articles'!H977,"*LATAM*")</f>
        <v>0</v>
      </c>
      <c r="H978">
        <f>COUNTIF('Metrics - Articles'!H977,"*China*")</f>
        <v>0</v>
      </c>
      <c r="J978" s="53">
        <f t="shared" si="16"/>
        <v>0</v>
      </c>
    </row>
    <row r="979" spans="2:10" x14ac:dyDescent="0.25">
      <c r="B979" s="48">
        <f>+'Metrics - Articles'!C978</f>
        <v>0</v>
      </c>
      <c r="C979">
        <f>COUNTIF('Metrics - Articles'!H978,"*Global*")</f>
        <v>0</v>
      </c>
      <c r="D979">
        <f>COUNTIF('Metrics - Articles'!H978,"*EMEA*")</f>
        <v>0</v>
      </c>
      <c r="E979">
        <f>COUNTIF('Metrics - Articles'!H978,"*NA*")</f>
        <v>0</v>
      </c>
      <c r="F979">
        <f>COUNTIF('Metrics - Articles'!H978,"*APJ")</f>
        <v>0</v>
      </c>
      <c r="G979">
        <f>COUNTIF('Metrics - Articles'!H978,"*LATAM*")</f>
        <v>0</v>
      </c>
      <c r="H979">
        <f>COUNTIF('Metrics - Articles'!H978,"*China*")</f>
        <v>0</v>
      </c>
      <c r="J979" s="53">
        <f t="shared" si="16"/>
        <v>0</v>
      </c>
    </row>
    <row r="980" spans="2:10" x14ac:dyDescent="0.25">
      <c r="B980" s="48">
        <f>+'Metrics - Articles'!C979</f>
        <v>0</v>
      </c>
      <c r="C980">
        <f>COUNTIF('Metrics - Articles'!H979,"*Global*")</f>
        <v>0</v>
      </c>
      <c r="D980">
        <f>COUNTIF('Metrics - Articles'!H979,"*EMEA*")</f>
        <v>0</v>
      </c>
      <c r="E980">
        <f>COUNTIF('Metrics - Articles'!H979,"*NA*")</f>
        <v>0</v>
      </c>
      <c r="F980">
        <f>COUNTIF('Metrics - Articles'!H979,"*APJ")</f>
        <v>0</v>
      </c>
      <c r="G980">
        <f>COUNTIF('Metrics - Articles'!H979,"*LATAM*")</f>
        <v>0</v>
      </c>
      <c r="H980">
        <f>COUNTIF('Metrics - Articles'!H979,"*China*")</f>
        <v>0</v>
      </c>
      <c r="J980" s="53">
        <f t="shared" si="16"/>
        <v>0</v>
      </c>
    </row>
    <row r="981" spans="2:10" x14ac:dyDescent="0.25">
      <c r="B981" s="48">
        <f>+'Metrics - Articles'!C980</f>
        <v>0</v>
      </c>
      <c r="C981">
        <f>COUNTIF('Metrics - Articles'!H980,"*Global*")</f>
        <v>0</v>
      </c>
      <c r="D981">
        <f>COUNTIF('Metrics - Articles'!H980,"*EMEA*")</f>
        <v>0</v>
      </c>
      <c r="E981">
        <f>COUNTIF('Metrics - Articles'!H980,"*NA*")</f>
        <v>0</v>
      </c>
      <c r="F981">
        <f>COUNTIF('Metrics - Articles'!H980,"*APJ")</f>
        <v>0</v>
      </c>
      <c r="G981">
        <f>COUNTIF('Metrics - Articles'!H980,"*LATAM*")</f>
        <v>0</v>
      </c>
      <c r="H981">
        <f>COUNTIF('Metrics - Articles'!H980,"*China*")</f>
        <v>0</v>
      </c>
      <c r="J981" s="53">
        <f t="shared" si="16"/>
        <v>0</v>
      </c>
    </row>
    <row r="982" spans="2:10" x14ac:dyDescent="0.25">
      <c r="B982" s="48">
        <f>+'Metrics - Articles'!C981</f>
        <v>0</v>
      </c>
      <c r="C982">
        <f>COUNTIF('Metrics - Articles'!H981,"*Global*")</f>
        <v>0</v>
      </c>
      <c r="D982">
        <f>COUNTIF('Metrics - Articles'!H981,"*EMEA*")</f>
        <v>0</v>
      </c>
      <c r="E982">
        <f>COUNTIF('Metrics - Articles'!H981,"*NA*")</f>
        <v>0</v>
      </c>
      <c r="F982">
        <f>COUNTIF('Metrics - Articles'!H981,"*APJ")</f>
        <v>0</v>
      </c>
      <c r="G982">
        <f>COUNTIF('Metrics - Articles'!H981,"*LATAM*")</f>
        <v>0</v>
      </c>
      <c r="H982">
        <f>COUNTIF('Metrics - Articles'!H981,"*China*")</f>
        <v>0</v>
      </c>
      <c r="J982" s="53">
        <f t="shared" si="16"/>
        <v>0</v>
      </c>
    </row>
    <row r="983" spans="2:10" x14ac:dyDescent="0.25">
      <c r="B983" s="48">
        <f>+'Metrics - Articles'!C982</f>
        <v>0</v>
      </c>
      <c r="C983">
        <f>COUNTIF('Metrics - Articles'!H982,"*Global*")</f>
        <v>0</v>
      </c>
      <c r="D983">
        <f>COUNTIF('Metrics - Articles'!H982,"*EMEA*")</f>
        <v>0</v>
      </c>
      <c r="E983">
        <f>COUNTIF('Metrics - Articles'!H982,"*NA*")</f>
        <v>0</v>
      </c>
      <c r="F983">
        <f>COUNTIF('Metrics - Articles'!H982,"*APJ")</f>
        <v>0</v>
      </c>
      <c r="G983">
        <f>COUNTIF('Metrics - Articles'!H982,"*LATAM*")</f>
        <v>0</v>
      </c>
      <c r="H983">
        <f>COUNTIF('Metrics - Articles'!H982,"*China*")</f>
        <v>0</v>
      </c>
      <c r="J983" s="53">
        <f t="shared" si="16"/>
        <v>0</v>
      </c>
    </row>
    <row r="984" spans="2:10" x14ac:dyDescent="0.25">
      <c r="B984" s="48">
        <f>+'Metrics - Articles'!C983</f>
        <v>0</v>
      </c>
      <c r="C984">
        <f>COUNTIF('Metrics - Articles'!H983,"*Global*")</f>
        <v>0</v>
      </c>
      <c r="D984">
        <f>COUNTIF('Metrics - Articles'!H983,"*EMEA*")</f>
        <v>0</v>
      </c>
      <c r="E984">
        <f>COUNTIF('Metrics - Articles'!H983,"*NA*")</f>
        <v>0</v>
      </c>
      <c r="F984">
        <f>COUNTIF('Metrics - Articles'!H983,"*APJ")</f>
        <v>0</v>
      </c>
      <c r="G984">
        <f>COUNTIF('Metrics - Articles'!H983,"*LATAM*")</f>
        <v>0</v>
      </c>
      <c r="H984">
        <f>COUNTIF('Metrics - Articles'!H983,"*China*")</f>
        <v>0</v>
      </c>
      <c r="J984" s="53">
        <f t="shared" si="16"/>
        <v>0</v>
      </c>
    </row>
    <row r="985" spans="2:10" x14ac:dyDescent="0.25">
      <c r="B985" s="48">
        <f>+'Metrics - Articles'!C984</f>
        <v>0</v>
      </c>
      <c r="C985">
        <f>COUNTIF('Metrics - Articles'!H984,"*Global*")</f>
        <v>0</v>
      </c>
      <c r="D985">
        <f>COUNTIF('Metrics - Articles'!H984,"*EMEA*")</f>
        <v>0</v>
      </c>
      <c r="E985">
        <f>COUNTIF('Metrics - Articles'!H984,"*NA*")</f>
        <v>0</v>
      </c>
      <c r="F985">
        <f>COUNTIF('Metrics - Articles'!H984,"*APJ")</f>
        <v>0</v>
      </c>
      <c r="G985">
        <f>COUNTIF('Metrics - Articles'!H984,"*LATAM*")</f>
        <v>0</v>
      </c>
      <c r="H985">
        <f>COUNTIF('Metrics - Articles'!H984,"*China*")</f>
        <v>0</v>
      </c>
      <c r="J985" s="53">
        <f t="shared" si="16"/>
        <v>0</v>
      </c>
    </row>
    <row r="986" spans="2:10" x14ac:dyDescent="0.25">
      <c r="B986" s="48">
        <f>+'Metrics - Articles'!C985</f>
        <v>0</v>
      </c>
      <c r="C986">
        <f>COUNTIF('Metrics - Articles'!H985,"*Global*")</f>
        <v>0</v>
      </c>
      <c r="D986">
        <f>COUNTIF('Metrics - Articles'!H985,"*EMEA*")</f>
        <v>0</v>
      </c>
      <c r="E986">
        <f>COUNTIF('Metrics - Articles'!H985,"*NA*")</f>
        <v>0</v>
      </c>
      <c r="F986">
        <f>COUNTIF('Metrics - Articles'!H985,"*APJ")</f>
        <v>0</v>
      </c>
      <c r="G986">
        <f>COUNTIF('Metrics - Articles'!H985,"*LATAM*")</f>
        <v>0</v>
      </c>
      <c r="H986">
        <f>COUNTIF('Metrics - Articles'!H985,"*China*")</f>
        <v>0</v>
      </c>
      <c r="J986" s="53">
        <f t="shared" si="16"/>
        <v>0</v>
      </c>
    </row>
    <row r="987" spans="2:10" x14ac:dyDescent="0.25">
      <c r="B987" s="48">
        <f>+'Metrics - Articles'!C986</f>
        <v>0</v>
      </c>
      <c r="C987">
        <f>COUNTIF('Metrics - Articles'!H986,"*Global*")</f>
        <v>0</v>
      </c>
      <c r="D987">
        <f>COUNTIF('Metrics - Articles'!H986,"*EMEA*")</f>
        <v>0</v>
      </c>
      <c r="E987">
        <f>COUNTIF('Metrics - Articles'!H986,"*NA*")</f>
        <v>0</v>
      </c>
      <c r="F987">
        <f>COUNTIF('Metrics - Articles'!H986,"*APJ")</f>
        <v>0</v>
      </c>
      <c r="G987">
        <f>COUNTIF('Metrics - Articles'!H986,"*LATAM*")</f>
        <v>0</v>
      </c>
      <c r="H987">
        <f>COUNTIF('Metrics - Articles'!H986,"*China*")</f>
        <v>0</v>
      </c>
      <c r="J987" s="53">
        <f t="shared" si="16"/>
        <v>0</v>
      </c>
    </row>
    <row r="988" spans="2:10" x14ac:dyDescent="0.25">
      <c r="B988" s="48">
        <f>+'Metrics - Articles'!C987</f>
        <v>0</v>
      </c>
      <c r="C988">
        <f>COUNTIF('Metrics - Articles'!H987,"*Global*")</f>
        <v>0</v>
      </c>
      <c r="D988">
        <f>COUNTIF('Metrics - Articles'!H987,"*EMEA*")</f>
        <v>0</v>
      </c>
      <c r="E988">
        <f>COUNTIF('Metrics - Articles'!H987,"*NA*")</f>
        <v>0</v>
      </c>
      <c r="F988">
        <f>COUNTIF('Metrics - Articles'!H987,"*APJ")</f>
        <v>0</v>
      </c>
      <c r="G988">
        <f>COUNTIF('Metrics - Articles'!H987,"*LATAM*")</f>
        <v>0</v>
      </c>
      <c r="H988">
        <f>COUNTIF('Metrics - Articles'!H987,"*China*")</f>
        <v>0</v>
      </c>
      <c r="J988" s="53">
        <f t="shared" si="16"/>
        <v>0</v>
      </c>
    </row>
    <row r="989" spans="2:10" x14ac:dyDescent="0.25">
      <c r="B989" s="48">
        <f>+'Metrics - Articles'!C988</f>
        <v>0</v>
      </c>
      <c r="C989">
        <f>COUNTIF('Metrics - Articles'!H988,"*Global*")</f>
        <v>0</v>
      </c>
      <c r="D989">
        <f>COUNTIF('Metrics - Articles'!H988,"*EMEA*")</f>
        <v>0</v>
      </c>
      <c r="E989">
        <f>COUNTIF('Metrics - Articles'!H988,"*NA*")</f>
        <v>0</v>
      </c>
      <c r="F989">
        <f>COUNTIF('Metrics - Articles'!H988,"*APJ")</f>
        <v>0</v>
      </c>
      <c r="G989">
        <f>COUNTIF('Metrics - Articles'!H988,"*LATAM*")</f>
        <v>0</v>
      </c>
      <c r="H989">
        <f>COUNTIF('Metrics - Articles'!H988,"*China*")</f>
        <v>0</v>
      </c>
      <c r="J989" s="53">
        <f t="shared" si="16"/>
        <v>0</v>
      </c>
    </row>
    <row r="990" spans="2:10" x14ac:dyDescent="0.25">
      <c r="B990" s="48">
        <f>+'Metrics - Articles'!C989</f>
        <v>0</v>
      </c>
      <c r="C990">
        <f>COUNTIF('Metrics - Articles'!H989,"*Global*")</f>
        <v>0</v>
      </c>
      <c r="D990">
        <f>COUNTIF('Metrics - Articles'!H989,"*EMEA*")</f>
        <v>0</v>
      </c>
      <c r="E990">
        <f>COUNTIF('Metrics - Articles'!H989,"*NA*")</f>
        <v>0</v>
      </c>
      <c r="F990">
        <f>COUNTIF('Metrics - Articles'!H989,"*APJ")</f>
        <v>0</v>
      </c>
      <c r="G990">
        <f>COUNTIF('Metrics - Articles'!H989,"*LATAM*")</f>
        <v>0</v>
      </c>
      <c r="H990">
        <f>COUNTIF('Metrics - Articles'!H989,"*China*")</f>
        <v>0</v>
      </c>
      <c r="J990" s="53">
        <f t="shared" si="16"/>
        <v>0</v>
      </c>
    </row>
    <row r="991" spans="2:10" x14ac:dyDescent="0.25">
      <c r="B991" s="48">
        <f>+'Metrics - Articles'!C990</f>
        <v>0</v>
      </c>
      <c r="C991">
        <f>COUNTIF('Metrics - Articles'!H990,"*Global*")</f>
        <v>0</v>
      </c>
      <c r="D991">
        <f>COUNTIF('Metrics - Articles'!H990,"*EMEA*")</f>
        <v>0</v>
      </c>
      <c r="E991">
        <f>COUNTIF('Metrics - Articles'!H990,"*NA*")</f>
        <v>0</v>
      </c>
      <c r="F991">
        <f>COUNTIF('Metrics - Articles'!H990,"*APJ")</f>
        <v>0</v>
      </c>
      <c r="G991">
        <f>COUNTIF('Metrics - Articles'!H990,"*LATAM*")</f>
        <v>0</v>
      </c>
      <c r="H991">
        <f>COUNTIF('Metrics - Articles'!H990,"*China*")</f>
        <v>0</v>
      </c>
      <c r="J991" s="53">
        <f t="shared" si="16"/>
        <v>0</v>
      </c>
    </row>
    <row r="992" spans="2:10" x14ac:dyDescent="0.25">
      <c r="B992" s="48">
        <f>+'Metrics - Articles'!C991</f>
        <v>0</v>
      </c>
      <c r="C992">
        <f>COUNTIF('Metrics - Articles'!H991,"*Global*")</f>
        <v>0</v>
      </c>
      <c r="D992">
        <f>COUNTIF('Metrics - Articles'!H991,"*EMEA*")</f>
        <v>0</v>
      </c>
      <c r="E992">
        <f>COUNTIF('Metrics - Articles'!H991,"*NA*")</f>
        <v>0</v>
      </c>
      <c r="F992">
        <f>COUNTIF('Metrics - Articles'!H991,"*APJ")</f>
        <v>0</v>
      </c>
      <c r="G992">
        <f>COUNTIF('Metrics - Articles'!H991,"*LATAM*")</f>
        <v>0</v>
      </c>
      <c r="H992">
        <f>COUNTIF('Metrics - Articles'!H991,"*China*")</f>
        <v>0</v>
      </c>
      <c r="J992" s="53">
        <f t="shared" si="16"/>
        <v>0</v>
      </c>
    </row>
    <row r="993" spans="2:10" x14ac:dyDescent="0.25">
      <c r="B993" s="48">
        <f>+'Metrics - Articles'!C992</f>
        <v>0</v>
      </c>
      <c r="C993">
        <f>COUNTIF('Metrics - Articles'!H992,"*Global*")</f>
        <v>0</v>
      </c>
      <c r="D993">
        <f>COUNTIF('Metrics - Articles'!H992,"*EMEA*")</f>
        <v>0</v>
      </c>
      <c r="E993">
        <f>COUNTIF('Metrics - Articles'!H992,"*NA*")</f>
        <v>0</v>
      </c>
      <c r="F993">
        <f>COUNTIF('Metrics - Articles'!H992,"*APJ")</f>
        <v>0</v>
      </c>
      <c r="G993">
        <f>COUNTIF('Metrics - Articles'!H992,"*LATAM*")</f>
        <v>0</v>
      </c>
      <c r="H993">
        <f>COUNTIF('Metrics - Articles'!H992,"*China*")</f>
        <v>0</v>
      </c>
      <c r="J993" s="53">
        <f t="shared" si="16"/>
        <v>0</v>
      </c>
    </row>
    <row r="994" spans="2:10" x14ac:dyDescent="0.25">
      <c r="B994" s="48">
        <f>+'Metrics - Articles'!C993</f>
        <v>0</v>
      </c>
      <c r="C994">
        <f>COUNTIF('Metrics - Articles'!H993,"*Global*")</f>
        <v>0</v>
      </c>
      <c r="D994">
        <f>COUNTIF('Metrics - Articles'!H993,"*EMEA*")</f>
        <v>0</v>
      </c>
      <c r="E994">
        <f>COUNTIF('Metrics - Articles'!H993,"*NA*")</f>
        <v>0</v>
      </c>
      <c r="F994">
        <f>COUNTIF('Metrics - Articles'!H993,"*APJ")</f>
        <v>0</v>
      </c>
      <c r="G994">
        <f>COUNTIF('Metrics - Articles'!H993,"*LATAM*")</f>
        <v>0</v>
      </c>
      <c r="H994">
        <f>COUNTIF('Metrics - Articles'!H993,"*China*")</f>
        <v>0</v>
      </c>
      <c r="J994" s="53">
        <f t="shared" si="16"/>
        <v>0</v>
      </c>
    </row>
    <row r="995" spans="2:10" x14ac:dyDescent="0.25">
      <c r="B995" s="48">
        <f>+'Metrics - Articles'!C994</f>
        <v>0</v>
      </c>
      <c r="C995">
        <f>COUNTIF('Metrics - Articles'!H994,"*Global*")</f>
        <v>0</v>
      </c>
      <c r="D995">
        <f>COUNTIF('Metrics - Articles'!H994,"*EMEA*")</f>
        <v>0</v>
      </c>
      <c r="E995">
        <f>COUNTIF('Metrics - Articles'!H994,"*NA*")</f>
        <v>0</v>
      </c>
      <c r="F995">
        <f>COUNTIF('Metrics - Articles'!H994,"*APJ")</f>
        <v>0</v>
      </c>
      <c r="G995">
        <f>COUNTIF('Metrics - Articles'!H994,"*LATAM*")</f>
        <v>0</v>
      </c>
      <c r="H995">
        <f>COUNTIF('Metrics - Articles'!H994,"*China*")</f>
        <v>0</v>
      </c>
      <c r="J995" s="53">
        <f t="shared" si="16"/>
        <v>0</v>
      </c>
    </row>
    <row r="996" spans="2:10" x14ac:dyDescent="0.25">
      <c r="B996" s="48">
        <f>+'Metrics - Articles'!C995</f>
        <v>0</v>
      </c>
      <c r="C996">
        <f>COUNTIF('Metrics - Articles'!H995,"*Global*")</f>
        <v>0</v>
      </c>
      <c r="D996">
        <f>COUNTIF('Metrics - Articles'!H995,"*EMEA*")</f>
        <v>0</v>
      </c>
      <c r="E996">
        <f>COUNTIF('Metrics - Articles'!H995,"*NA*")</f>
        <v>0</v>
      </c>
      <c r="F996">
        <f>COUNTIF('Metrics - Articles'!H995,"*APJ")</f>
        <v>0</v>
      </c>
      <c r="G996">
        <f>COUNTIF('Metrics - Articles'!H995,"*LATAM*")</f>
        <v>0</v>
      </c>
      <c r="H996">
        <f>COUNTIF('Metrics - Articles'!H995,"*China*")</f>
        <v>0</v>
      </c>
      <c r="J996" s="53">
        <f t="shared" si="16"/>
        <v>0</v>
      </c>
    </row>
    <row r="997" spans="2:10" x14ac:dyDescent="0.25">
      <c r="B997" s="48">
        <f>+'Metrics - Articles'!C996</f>
        <v>0</v>
      </c>
      <c r="C997">
        <f>COUNTIF('Metrics - Articles'!H996,"*Global*")</f>
        <v>0</v>
      </c>
      <c r="D997">
        <f>COUNTIF('Metrics - Articles'!H996,"*EMEA*")</f>
        <v>0</v>
      </c>
      <c r="E997">
        <f>COUNTIF('Metrics - Articles'!H996,"*NA*")</f>
        <v>0</v>
      </c>
      <c r="F997">
        <f>COUNTIF('Metrics - Articles'!H996,"*APJ")</f>
        <v>0</v>
      </c>
      <c r="G997">
        <f>COUNTIF('Metrics - Articles'!H996,"*LATAM*")</f>
        <v>0</v>
      </c>
      <c r="H997">
        <f>COUNTIF('Metrics - Articles'!H996,"*China*")</f>
        <v>0</v>
      </c>
      <c r="J997" s="53">
        <f t="shared" si="16"/>
        <v>0</v>
      </c>
    </row>
    <row r="998" spans="2:10" x14ac:dyDescent="0.25">
      <c r="B998" s="48">
        <f>+'Metrics - Articles'!C997</f>
        <v>0</v>
      </c>
      <c r="C998">
        <f>COUNTIF('Metrics - Articles'!H997,"*Global*")</f>
        <v>0</v>
      </c>
      <c r="D998">
        <f>COUNTIF('Metrics - Articles'!H997,"*EMEA*")</f>
        <v>0</v>
      </c>
      <c r="E998">
        <f>COUNTIF('Metrics - Articles'!H997,"*NA*")</f>
        <v>0</v>
      </c>
      <c r="F998">
        <f>COUNTIF('Metrics - Articles'!H997,"*APJ")</f>
        <v>0</v>
      </c>
      <c r="G998">
        <f>COUNTIF('Metrics - Articles'!H997,"*LATAM*")</f>
        <v>0</v>
      </c>
      <c r="H998">
        <f>COUNTIF('Metrics - Articles'!H997,"*China*")</f>
        <v>0</v>
      </c>
      <c r="J998" s="53">
        <f t="shared" si="16"/>
        <v>0</v>
      </c>
    </row>
    <row r="999" spans="2:10" x14ac:dyDescent="0.25">
      <c r="B999" s="48">
        <f>+'Metrics - Articles'!C998</f>
        <v>0</v>
      </c>
      <c r="C999">
        <f>COUNTIF('Metrics - Articles'!H998,"*Global*")</f>
        <v>0</v>
      </c>
      <c r="D999">
        <f>COUNTIF('Metrics - Articles'!H998,"*EMEA*")</f>
        <v>0</v>
      </c>
      <c r="E999">
        <f>COUNTIF('Metrics - Articles'!H998,"*NA*")</f>
        <v>0</v>
      </c>
      <c r="F999">
        <f>COUNTIF('Metrics - Articles'!H998,"*APJ")</f>
        <v>0</v>
      </c>
      <c r="G999">
        <f>COUNTIF('Metrics - Articles'!H998,"*LATAM*")</f>
        <v>0</v>
      </c>
      <c r="H999">
        <f>COUNTIF('Metrics - Articles'!H998,"*China*")</f>
        <v>0</v>
      </c>
      <c r="J999" s="53">
        <f t="shared" si="16"/>
        <v>0</v>
      </c>
    </row>
    <row r="1000" spans="2:10" x14ac:dyDescent="0.25">
      <c r="B1000" s="48">
        <f>+'Metrics - Articles'!C999</f>
        <v>0</v>
      </c>
      <c r="C1000">
        <f>COUNTIF('Metrics - Articles'!H999,"*Global*")</f>
        <v>0</v>
      </c>
      <c r="D1000">
        <f>COUNTIF('Metrics - Articles'!H999,"*EMEA*")</f>
        <v>0</v>
      </c>
      <c r="E1000">
        <f>COUNTIF('Metrics - Articles'!H999,"*NA*")</f>
        <v>0</v>
      </c>
      <c r="F1000">
        <f>COUNTIF('Metrics - Articles'!H999,"*APJ")</f>
        <v>0</v>
      </c>
      <c r="G1000">
        <f>COUNTIF('Metrics - Articles'!H999,"*LATAM*")</f>
        <v>0</v>
      </c>
      <c r="H1000">
        <f>COUNTIF('Metrics - Articles'!H999,"*China*")</f>
        <v>0</v>
      </c>
      <c r="J1000" s="53">
        <f t="shared" si="16"/>
        <v>0</v>
      </c>
    </row>
    <row r="1001" spans="2:10" x14ac:dyDescent="0.25">
      <c r="B1001" s="48">
        <f>+'Metrics - Articles'!C1000</f>
        <v>0</v>
      </c>
      <c r="C1001">
        <f>COUNTIF('Metrics - Articles'!H1000,"*Global*")</f>
        <v>0</v>
      </c>
      <c r="D1001">
        <f>COUNTIF('Metrics - Articles'!H1000,"*EMEA*")</f>
        <v>0</v>
      </c>
      <c r="E1001">
        <f>COUNTIF('Metrics - Articles'!H1000,"*NA*")</f>
        <v>0</v>
      </c>
      <c r="F1001">
        <f>COUNTIF('Metrics - Articles'!H1000,"*APJ")</f>
        <v>0</v>
      </c>
      <c r="G1001">
        <f>COUNTIF('Metrics - Articles'!H1000,"*LATAM*")</f>
        <v>0</v>
      </c>
      <c r="H1001">
        <f>COUNTIF('Metrics - Articles'!H1000,"*China*")</f>
        <v>0</v>
      </c>
      <c r="J1001" s="53">
        <f t="shared" si="16"/>
        <v>0</v>
      </c>
    </row>
    <row r="1002" spans="2:10" x14ac:dyDescent="0.25">
      <c r="B1002" s="48">
        <f>+'Metrics - Articles'!C1001</f>
        <v>0</v>
      </c>
      <c r="C1002">
        <f>COUNTIF('Metrics - Articles'!H1001,"*Global*")</f>
        <v>0</v>
      </c>
      <c r="D1002">
        <f>COUNTIF('Metrics - Articles'!H1001,"*EMEA*")</f>
        <v>0</v>
      </c>
      <c r="E1002">
        <f>COUNTIF('Metrics - Articles'!H1001,"*NA*")</f>
        <v>0</v>
      </c>
      <c r="F1002">
        <f>COUNTIF('Metrics - Articles'!H1001,"*APJ")</f>
        <v>0</v>
      </c>
      <c r="G1002">
        <f>COUNTIF('Metrics - Articles'!H1001,"*LATAM*")</f>
        <v>0</v>
      </c>
      <c r="H1002">
        <f>COUNTIF('Metrics - Articles'!H1001,"*China*")</f>
        <v>0</v>
      </c>
      <c r="J1002" s="53">
        <f t="shared" si="16"/>
        <v>0</v>
      </c>
    </row>
    <row r="1003" spans="2:10" x14ac:dyDescent="0.25">
      <c r="B1003" s="48">
        <f>+'Metrics - Articles'!C1002</f>
        <v>0</v>
      </c>
      <c r="C1003">
        <f>COUNTIF('Metrics - Articles'!H1002,"*Global*")</f>
        <v>0</v>
      </c>
      <c r="D1003">
        <f>COUNTIF('Metrics - Articles'!H1002,"*EMEA*")</f>
        <v>0</v>
      </c>
      <c r="E1003">
        <f>COUNTIF('Metrics - Articles'!H1002,"*NA*")</f>
        <v>0</v>
      </c>
      <c r="F1003">
        <f>COUNTIF('Metrics - Articles'!H1002,"*APJ")</f>
        <v>0</v>
      </c>
      <c r="G1003">
        <f>COUNTIF('Metrics - Articles'!H1002,"*LATAM*")</f>
        <v>0</v>
      </c>
      <c r="H1003">
        <f>COUNTIF('Metrics - Articles'!H1002,"*China*")</f>
        <v>0</v>
      </c>
      <c r="J1003" s="53">
        <f t="shared" si="16"/>
        <v>0</v>
      </c>
    </row>
    <row r="1004" spans="2:10" x14ac:dyDescent="0.25">
      <c r="B1004" s="48">
        <f>+'Metrics - Articles'!C1003</f>
        <v>0</v>
      </c>
      <c r="C1004">
        <f>COUNTIF('Metrics - Articles'!H1003,"*Global*")</f>
        <v>0</v>
      </c>
      <c r="D1004">
        <f>COUNTIF('Metrics - Articles'!H1003,"*EMEA*")</f>
        <v>0</v>
      </c>
      <c r="E1004">
        <f>COUNTIF('Metrics - Articles'!H1003,"*NA*")</f>
        <v>0</v>
      </c>
      <c r="F1004">
        <f>COUNTIF('Metrics - Articles'!H1003,"*APJ")</f>
        <v>0</v>
      </c>
      <c r="G1004">
        <f>COUNTIF('Metrics - Articles'!H1003,"*LATAM*")</f>
        <v>0</v>
      </c>
      <c r="H1004">
        <f>COUNTIF('Metrics - Articles'!H1003,"*China*")</f>
        <v>0</v>
      </c>
      <c r="J1004" s="53">
        <f t="shared" si="16"/>
        <v>0</v>
      </c>
    </row>
  </sheetData>
  <autoFilter ref="B8:J8"/>
  <mergeCells count="1">
    <mergeCell ref="M1:M6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>
    <tabColor rgb="FF7030A0"/>
  </sheetPr>
  <dimension ref="B1:O1004"/>
  <sheetViews>
    <sheetView workbookViewId="0">
      <selection activeCell="H300" sqref="H300:H1004"/>
    </sheetView>
  </sheetViews>
  <sheetFormatPr baseColWidth="10" defaultColWidth="9.140625" defaultRowHeight="15" x14ac:dyDescent="0.25"/>
  <cols>
    <col min="2" max="2" width="13.5703125" customWidth="1"/>
    <col min="3" max="3" width="11.85546875" customWidth="1"/>
    <col min="15" max="15" width="9.7109375" bestFit="1" customWidth="1"/>
  </cols>
  <sheetData>
    <row r="1" spans="2:15" ht="18.75" x14ac:dyDescent="0.3">
      <c r="M1" s="168" t="s">
        <v>500</v>
      </c>
      <c r="N1" s="100" t="s">
        <v>41</v>
      </c>
      <c r="O1" s="105">
        <f>C8/J8</f>
        <v>0.88389513108614237</v>
      </c>
    </row>
    <row r="2" spans="2:15" ht="18.75" x14ac:dyDescent="0.3">
      <c r="M2" s="168"/>
      <c r="N2" s="100" t="s">
        <v>40</v>
      </c>
      <c r="O2" s="105">
        <f>D8/J8</f>
        <v>6.3670411985018729E-2</v>
      </c>
    </row>
    <row r="3" spans="2:15" ht="18.75" x14ac:dyDescent="0.3">
      <c r="M3" s="168"/>
      <c r="N3" s="100" t="s">
        <v>36</v>
      </c>
      <c r="O3" s="105">
        <f>E8/J8</f>
        <v>3.3707865168539325E-2</v>
      </c>
    </row>
    <row r="4" spans="2:15" ht="18.75" x14ac:dyDescent="0.3">
      <c r="M4" s="168"/>
      <c r="N4" s="100" t="s">
        <v>38</v>
      </c>
      <c r="O4" s="105">
        <f>F8/J8</f>
        <v>7.4906367041198503E-3</v>
      </c>
    </row>
    <row r="5" spans="2:15" ht="18.75" x14ac:dyDescent="0.3">
      <c r="M5" s="168"/>
      <c r="N5" s="100" t="s">
        <v>37</v>
      </c>
      <c r="O5" s="105">
        <f>G8/J8</f>
        <v>1.1235955056179775E-2</v>
      </c>
    </row>
    <row r="6" spans="2:15" ht="19.5" thickBot="1" x14ac:dyDescent="0.35">
      <c r="M6" s="168"/>
      <c r="N6" s="100" t="s">
        <v>39</v>
      </c>
      <c r="O6" s="105">
        <f>H8/J8</f>
        <v>0</v>
      </c>
    </row>
    <row r="7" spans="2:15" ht="54" thickBot="1" x14ac:dyDescent="0.3">
      <c r="B7" s="49" t="s">
        <v>479</v>
      </c>
      <c r="C7" s="50" t="s">
        <v>41</v>
      </c>
      <c r="D7" s="50" t="s">
        <v>40</v>
      </c>
      <c r="E7" s="50" t="s">
        <v>36</v>
      </c>
      <c r="F7" s="50" t="s">
        <v>38</v>
      </c>
      <c r="G7" s="50" t="s">
        <v>37</v>
      </c>
      <c r="H7" s="50" t="s">
        <v>39</v>
      </c>
      <c r="J7" s="51" t="s">
        <v>480</v>
      </c>
    </row>
    <row r="8" spans="2:15" ht="22.5" customHeight="1" thickBot="1" x14ac:dyDescent="0.3">
      <c r="B8" s="49" t="s">
        <v>481</v>
      </c>
      <c r="C8" s="123">
        <f>SUM(C9:C1026)</f>
        <v>236</v>
      </c>
      <c r="D8" s="123">
        <f t="shared" ref="D8:G8" si="0">SUBTOTAL(9,D9:D1157)</f>
        <v>17</v>
      </c>
      <c r="E8" s="123">
        <f t="shared" si="0"/>
        <v>9</v>
      </c>
      <c r="F8" s="123">
        <f t="shared" si="0"/>
        <v>2</v>
      </c>
      <c r="G8" s="123">
        <f t="shared" si="0"/>
        <v>3</v>
      </c>
      <c r="H8" s="123">
        <f>SUBTOTAL(9,H13:H1161)</f>
        <v>0</v>
      </c>
      <c r="J8" s="52">
        <f>SUM(C8:I8)</f>
        <v>267</v>
      </c>
    </row>
    <row r="9" spans="2:15" hidden="1" x14ac:dyDescent="0.25">
      <c r="B9" s="48">
        <f>+'Metrics - Articles'!C8</f>
        <v>42005</v>
      </c>
      <c r="C9">
        <f>COUNTIF('Metrics - Articles'!H8,"*Global*")</f>
        <v>1</v>
      </c>
      <c r="D9">
        <f>COUNTIF('Metrics - Articles'!H8,"*EMEA*")</f>
        <v>0</v>
      </c>
      <c r="E9">
        <f>COUNTIF('Metrics - Articles'!H8,"*NA*")</f>
        <v>0</v>
      </c>
      <c r="F9">
        <f>COUNTIF('Metrics - Articles'!H8,"*APJ")</f>
        <v>0</v>
      </c>
      <c r="G9">
        <f>COUNTIF('Metrics - Articles'!H8,"*LATAM*")</f>
        <v>0</v>
      </c>
      <c r="H9">
        <f>COUNTIF('Metrics - Articles'!H8,"*China*")</f>
        <v>0</v>
      </c>
      <c r="J9" s="53">
        <f>SUM(C9:I9)</f>
        <v>1</v>
      </c>
    </row>
    <row r="10" spans="2:15" hidden="1" x14ac:dyDescent="0.25">
      <c r="B10" s="48">
        <f>+'Metrics - Articles'!C9</f>
        <v>42005</v>
      </c>
      <c r="C10">
        <f>COUNTIF('Metrics - Articles'!H9,"*Global*")</f>
        <v>1</v>
      </c>
      <c r="D10">
        <f>COUNTIF('Metrics - Articles'!H9,"*EMEA*")</f>
        <v>0</v>
      </c>
      <c r="E10">
        <f>COUNTIF('Metrics - Articles'!H9,"*NA*")</f>
        <v>0</v>
      </c>
      <c r="F10">
        <f>COUNTIF('Metrics - Articles'!H9,"*APJ")</f>
        <v>0</v>
      </c>
      <c r="G10">
        <f>COUNTIF('Metrics - Articles'!H9,"*LATAM*")</f>
        <v>0</v>
      </c>
      <c r="H10">
        <f>COUNTIF('Metrics - Articles'!H9,"*China*")</f>
        <v>0</v>
      </c>
      <c r="J10" s="53">
        <f t="shared" ref="J10:J73" si="1">SUM(C10:I10)</f>
        <v>1</v>
      </c>
    </row>
    <row r="11" spans="2:15" hidden="1" x14ac:dyDescent="0.25">
      <c r="B11" s="48">
        <f>+'Metrics - Articles'!C10</f>
        <v>42005</v>
      </c>
      <c r="C11">
        <f>COUNTIF('Metrics - Articles'!H10,"*Global*")</f>
        <v>1</v>
      </c>
      <c r="D11">
        <f>COUNTIF('Metrics - Articles'!H10,"*EMEA*")</f>
        <v>0</v>
      </c>
      <c r="E11">
        <f>COUNTIF('Metrics - Articles'!H10,"*NA*")</f>
        <v>0</v>
      </c>
      <c r="F11">
        <f>COUNTIF('Metrics - Articles'!H10,"*APJ")</f>
        <v>0</v>
      </c>
      <c r="G11">
        <f>COUNTIF('Metrics - Articles'!H10,"*LATAM*")</f>
        <v>0</v>
      </c>
      <c r="H11">
        <f>COUNTIF('Metrics - Articles'!H10,"*China*")</f>
        <v>0</v>
      </c>
      <c r="J11" s="53">
        <f t="shared" si="1"/>
        <v>1</v>
      </c>
    </row>
    <row r="12" spans="2:15" ht="15" hidden="1" customHeight="1" x14ac:dyDescent="0.25">
      <c r="B12" s="48">
        <f>+'Metrics - Articles'!C11</f>
        <v>42006</v>
      </c>
      <c r="C12">
        <f>COUNTIF('Metrics - Articles'!H11,"*Global*")</f>
        <v>1</v>
      </c>
      <c r="D12">
        <f>COUNTIF('Metrics - Articles'!H11,"*EMEA*")</f>
        <v>0</v>
      </c>
      <c r="E12">
        <f>COUNTIF('Metrics - Articles'!H11,"*NA*")</f>
        <v>0</v>
      </c>
      <c r="F12">
        <f>COUNTIF('Metrics - Articles'!H11,"*APJ")</f>
        <v>0</v>
      </c>
      <c r="G12">
        <f>COUNTIF('Metrics - Articles'!H11,"*LATAM*")</f>
        <v>0</v>
      </c>
      <c r="H12">
        <f>COUNTIF('Metrics - Articles'!H11,"*China*")</f>
        <v>0</v>
      </c>
      <c r="J12" s="53">
        <f t="shared" si="1"/>
        <v>1</v>
      </c>
    </row>
    <row r="13" spans="2:15" hidden="1" x14ac:dyDescent="0.25">
      <c r="B13" s="48">
        <f>+'Metrics - Articles'!C12</f>
        <v>42009</v>
      </c>
      <c r="C13">
        <f>COUNTIF('Metrics - Articles'!H12,"*Global*")</f>
        <v>1</v>
      </c>
      <c r="D13">
        <f>COUNTIF('Metrics - Articles'!H12,"*EMEA*")</f>
        <v>0</v>
      </c>
      <c r="E13">
        <f>COUNTIF('Metrics - Articles'!H12,"*NA*")</f>
        <v>0</v>
      </c>
      <c r="F13">
        <f>COUNTIF('Metrics - Articles'!H12,"*APJ")</f>
        <v>0</v>
      </c>
      <c r="G13">
        <f>COUNTIF('Metrics - Articles'!H12,"*LATAM*")</f>
        <v>0</v>
      </c>
      <c r="H13">
        <f>COUNTIF('Metrics - Articles'!H12,"*China*")</f>
        <v>0</v>
      </c>
      <c r="J13" s="53">
        <f t="shared" si="1"/>
        <v>1</v>
      </c>
    </row>
    <row r="14" spans="2:15" hidden="1" x14ac:dyDescent="0.25">
      <c r="B14" s="48">
        <f>+'Metrics - Articles'!C13</f>
        <v>42010</v>
      </c>
      <c r="C14">
        <f>COUNTIF('Metrics - Articles'!H13,"*Global*")</f>
        <v>1</v>
      </c>
      <c r="D14">
        <f>COUNTIF('Metrics - Articles'!H13,"*EMEA*")</f>
        <v>0</v>
      </c>
      <c r="E14">
        <f>COUNTIF('Metrics - Articles'!H13,"*NA*")</f>
        <v>0</v>
      </c>
      <c r="F14">
        <f>COUNTIF('Metrics - Articles'!H13,"*APJ")</f>
        <v>0</v>
      </c>
      <c r="G14">
        <f>COUNTIF('Metrics - Articles'!H13,"*LATAM*")</f>
        <v>0</v>
      </c>
      <c r="H14">
        <f>COUNTIF('Metrics - Articles'!H13,"*China*")</f>
        <v>0</v>
      </c>
      <c r="J14" s="53">
        <f t="shared" si="1"/>
        <v>1</v>
      </c>
    </row>
    <row r="15" spans="2:15" hidden="1" x14ac:dyDescent="0.25">
      <c r="B15" s="48">
        <f>+'Metrics - Articles'!C14</f>
        <v>42013</v>
      </c>
      <c r="C15">
        <f>COUNTIF('Metrics - Articles'!H14,"*Global*")</f>
        <v>1</v>
      </c>
      <c r="D15">
        <f>COUNTIF('Metrics - Articles'!H14,"*EMEA*")</f>
        <v>0</v>
      </c>
      <c r="E15">
        <f>COUNTIF('Metrics - Articles'!H14,"*NA*")</f>
        <v>0</v>
      </c>
      <c r="F15">
        <f>COUNTIF('Metrics - Articles'!H14,"*APJ")</f>
        <v>0</v>
      </c>
      <c r="G15">
        <f>COUNTIF('Metrics - Articles'!H14,"*LATAM*")</f>
        <v>0</v>
      </c>
      <c r="H15">
        <f>COUNTIF('Metrics - Articles'!H14,"*China*")</f>
        <v>0</v>
      </c>
      <c r="J15" s="53">
        <f t="shared" si="1"/>
        <v>1</v>
      </c>
    </row>
    <row r="16" spans="2:15" hidden="1" x14ac:dyDescent="0.25">
      <c r="B16" s="48">
        <f>+'Metrics - Articles'!C15</f>
        <v>42013</v>
      </c>
      <c r="C16">
        <f>COUNTIF('Metrics - Articles'!H15,"*Global*")</f>
        <v>1</v>
      </c>
      <c r="D16">
        <f>COUNTIF('Metrics - Articles'!H15,"*EMEA*")</f>
        <v>0</v>
      </c>
      <c r="E16">
        <f>COUNTIF('Metrics - Articles'!H15,"*NA*")</f>
        <v>0</v>
      </c>
      <c r="F16">
        <f>COUNTIF('Metrics - Articles'!H15,"*APJ")</f>
        <v>0</v>
      </c>
      <c r="G16">
        <f>COUNTIF('Metrics - Articles'!H15,"*LATAM*")</f>
        <v>0</v>
      </c>
      <c r="H16">
        <f>COUNTIF('Metrics - Articles'!H15,"*China*")</f>
        <v>0</v>
      </c>
      <c r="J16" s="53">
        <f t="shared" si="1"/>
        <v>1</v>
      </c>
    </row>
    <row r="17" spans="2:10" hidden="1" x14ac:dyDescent="0.25">
      <c r="B17" s="48">
        <f>+'Metrics - Articles'!C16</f>
        <v>42016</v>
      </c>
      <c r="C17">
        <f>COUNTIF('Metrics - Articles'!H16,"*Global*")</f>
        <v>1</v>
      </c>
      <c r="D17">
        <f>COUNTIF('Metrics - Articles'!H16,"*EMEA*")</f>
        <v>0</v>
      </c>
      <c r="E17">
        <f>COUNTIF('Metrics - Articles'!H16,"*NA*")</f>
        <v>0</v>
      </c>
      <c r="F17">
        <f>COUNTIF('Metrics - Articles'!H16,"*APJ")</f>
        <v>0</v>
      </c>
      <c r="G17">
        <f>COUNTIF('Metrics - Articles'!H16,"*LATAM*")</f>
        <v>0</v>
      </c>
      <c r="H17">
        <f>COUNTIF('Metrics - Articles'!H16,"*China*")</f>
        <v>0</v>
      </c>
      <c r="J17" s="53">
        <f t="shared" si="1"/>
        <v>1</v>
      </c>
    </row>
    <row r="18" spans="2:10" hidden="1" x14ac:dyDescent="0.25">
      <c r="B18" s="48">
        <f>+'Metrics - Articles'!C17</f>
        <v>42016</v>
      </c>
      <c r="C18">
        <f>COUNTIF('Metrics - Articles'!H17,"*Global*")</f>
        <v>1</v>
      </c>
      <c r="D18">
        <f>COUNTIF('Metrics - Articles'!H17,"*EMEA*")</f>
        <v>0</v>
      </c>
      <c r="E18">
        <f>COUNTIF('Metrics - Articles'!H17,"*NA*")</f>
        <v>0</v>
      </c>
      <c r="F18">
        <f>COUNTIF('Metrics - Articles'!H17,"*APJ")</f>
        <v>0</v>
      </c>
      <c r="G18">
        <f>COUNTIF('Metrics - Articles'!H17,"*LATAM*")</f>
        <v>0</v>
      </c>
      <c r="H18">
        <f>COUNTIF('Metrics - Articles'!H17,"*China*")</f>
        <v>0</v>
      </c>
      <c r="J18" s="53">
        <f t="shared" si="1"/>
        <v>1</v>
      </c>
    </row>
    <row r="19" spans="2:10" hidden="1" x14ac:dyDescent="0.25">
      <c r="B19" s="48">
        <f>+'Metrics - Articles'!C18</f>
        <v>42019</v>
      </c>
      <c r="C19">
        <f>COUNTIF('Metrics - Articles'!H18,"*Global*")</f>
        <v>1</v>
      </c>
      <c r="D19">
        <f>COUNTIF('Metrics - Articles'!H18,"*EMEA*")</f>
        <v>0</v>
      </c>
      <c r="E19">
        <f>COUNTIF('Metrics - Articles'!H18,"*NA*")</f>
        <v>0</v>
      </c>
      <c r="F19">
        <f>COUNTIF('Metrics - Articles'!H18,"*APJ")</f>
        <v>0</v>
      </c>
      <c r="G19">
        <f>COUNTIF('Metrics - Articles'!H18,"*LATAM*")</f>
        <v>0</v>
      </c>
      <c r="H19">
        <f>COUNTIF('Metrics - Articles'!H18,"*China*")</f>
        <v>0</v>
      </c>
      <c r="J19" s="53">
        <f t="shared" si="1"/>
        <v>1</v>
      </c>
    </row>
    <row r="20" spans="2:10" hidden="1" x14ac:dyDescent="0.25">
      <c r="B20" s="48">
        <f>+'Metrics - Articles'!C19</f>
        <v>42019</v>
      </c>
      <c r="C20">
        <f>COUNTIF('Metrics - Articles'!H19,"*Global*")</f>
        <v>1</v>
      </c>
      <c r="D20">
        <f>COUNTIF('Metrics - Articles'!H19,"*EMEA*")</f>
        <v>0</v>
      </c>
      <c r="E20">
        <f>COUNTIF('Metrics - Articles'!H19,"*NA*")</f>
        <v>0</v>
      </c>
      <c r="F20">
        <f>COUNTIF('Metrics - Articles'!H19,"*APJ")</f>
        <v>0</v>
      </c>
      <c r="G20">
        <f>COUNTIF('Metrics - Articles'!H19,"*LATAM*")</f>
        <v>0</v>
      </c>
      <c r="H20">
        <f>COUNTIF('Metrics - Articles'!H19,"*China*")</f>
        <v>0</v>
      </c>
      <c r="J20" s="53">
        <f t="shared" si="1"/>
        <v>1</v>
      </c>
    </row>
    <row r="21" spans="2:10" hidden="1" x14ac:dyDescent="0.25">
      <c r="B21" s="48">
        <f>+'Metrics - Articles'!C20</f>
        <v>42020</v>
      </c>
      <c r="C21">
        <f>COUNTIF('Metrics - Articles'!H20,"*Global*")</f>
        <v>1</v>
      </c>
      <c r="D21">
        <f>COUNTIF('Metrics - Articles'!H20,"*EMEA*")</f>
        <v>0</v>
      </c>
      <c r="E21">
        <f>COUNTIF('Metrics - Articles'!H20,"*NA*")</f>
        <v>0</v>
      </c>
      <c r="F21">
        <f>COUNTIF('Metrics - Articles'!H20,"*APJ")</f>
        <v>0</v>
      </c>
      <c r="G21">
        <f>COUNTIF('Metrics - Articles'!H20,"*LATAM*")</f>
        <v>0</v>
      </c>
      <c r="H21">
        <f>COUNTIF('Metrics - Articles'!H20,"*China*")</f>
        <v>0</v>
      </c>
      <c r="J21" s="53">
        <f t="shared" si="1"/>
        <v>1</v>
      </c>
    </row>
    <row r="22" spans="2:10" hidden="1" x14ac:dyDescent="0.25">
      <c r="B22" s="48">
        <f>+'Metrics - Articles'!C21</f>
        <v>42023</v>
      </c>
      <c r="C22">
        <f>COUNTIF('Metrics - Articles'!H21,"*Global*")</f>
        <v>1</v>
      </c>
      <c r="D22">
        <f>COUNTIF('Metrics - Articles'!H21,"*EMEA*")</f>
        <v>0</v>
      </c>
      <c r="E22">
        <f>COUNTIF('Metrics - Articles'!H21,"*NA*")</f>
        <v>0</v>
      </c>
      <c r="F22">
        <f>COUNTIF('Metrics - Articles'!H21,"*APJ")</f>
        <v>0</v>
      </c>
      <c r="G22">
        <f>COUNTIF('Metrics - Articles'!H21,"*LATAM*")</f>
        <v>0</v>
      </c>
      <c r="H22">
        <f>COUNTIF('Metrics - Articles'!H21,"*China*")</f>
        <v>0</v>
      </c>
      <c r="J22" s="53">
        <f t="shared" si="1"/>
        <v>1</v>
      </c>
    </row>
    <row r="23" spans="2:10" hidden="1" x14ac:dyDescent="0.25">
      <c r="B23" s="48">
        <f>+'Metrics - Articles'!C22</f>
        <v>42023</v>
      </c>
      <c r="C23">
        <f>COUNTIF('Metrics - Articles'!H22,"*Global*")</f>
        <v>0</v>
      </c>
      <c r="D23">
        <f>COUNTIF('Metrics - Articles'!H22,"*EMEA*")</f>
        <v>1</v>
      </c>
      <c r="E23">
        <f>COUNTIF('Metrics - Articles'!H22,"*NA*")</f>
        <v>0</v>
      </c>
      <c r="F23">
        <f>COUNTIF('Metrics - Articles'!H22,"*APJ")</f>
        <v>0</v>
      </c>
      <c r="G23">
        <f>COUNTIF('Metrics - Articles'!H22,"*LATAM*")</f>
        <v>0</v>
      </c>
      <c r="H23">
        <f>COUNTIF('Metrics - Articles'!H22,"*China*")</f>
        <v>0</v>
      </c>
      <c r="J23" s="53">
        <f t="shared" si="1"/>
        <v>1</v>
      </c>
    </row>
    <row r="24" spans="2:10" hidden="1" x14ac:dyDescent="0.25">
      <c r="B24" s="48">
        <f>+'Metrics - Articles'!C23</f>
        <v>42024</v>
      </c>
      <c r="C24">
        <f>COUNTIF('Metrics - Articles'!H23,"*Global*")</f>
        <v>1</v>
      </c>
      <c r="D24">
        <f>COUNTIF('Metrics - Articles'!H23,"*EMEA*")</f>
        <v>0</v>
      </c>
      <c r="E24">
        <f>COUNTIF('Metrics - Articles'!H23,"*NA*")</f>
        <v>0</v>
      </c>
      <c r="F24">
        <f>COUNTIF('Metrics - Articles'!H23,"*APJ")</f>
        <v>0</v>
      </c>
      <c r="G24">
        <f>COUNTIF('Metrics - Articles'!H23,"*LATAM*")</f>
        <v>0</v>
      </c>
      <c r="H24">
        <f>COUNTIF('Metrics - Articles'!H23,"*China*")</f>
        <v>0</v>
      </c>
      <c r="J24" s="53">
        <f t="shared" si="1"/>
        <v>1</v>
      </c>
    </row>
    <row r="25" spans="2:10" hidden="1" x14ac:dyDescent="0.25">
      <c r="B25" s="48">
        <f>+'Metrics - Articles'!C24</f>
        <v>42024</v>
      </c>
      <c r="C25">
        <f>COUNTIF('Metrics - Articles'!H24,"*Global*")</f>
        <v>1</v>
      </c>
      <c r="D25">
        <f>COUNTIF('Metrics - Articles'!H24,"*EMEA*")</f>
        <v>0</v>
      </c>
      <c r="E25">
        <f>COUNTIF('Metrics - Articles'!H24,"*NA*")</f>
        <v>0</v>
      </c>
      <c r="F25">
        <f>COUNTIF('Metrics - Articles'!H24,"*APJ")</f>
        <v>0</v>
      </c>
      <c r="G25">
        <f>COUNTIF('Metrics - Articles'!H24,"*LATAM*")</f>
        <v>0</v>
      </c>
      <c r="H25">
        <f>COUNTIF('Metrics - Articles'!H24,"*China*")</f>
        <v>0</v>
      </c>
      <c r="J25" s="53">
        <f t="shared" si="1"/>
        <v>1</v>
      </c>
    </row>
    <row r="26" spans="2:10" hidden="1" x14ac:dyDescent="0.25">
      <c r="B26" s="48">
        <f>+'Metrics - Articles'!C25</f>
        <v>42025</v>
      </c>
      <c r="C26">
        <f>COUNTIF('Metrics - Articles'!H25,"*Global*")</f>
        <v>1</v>
      </c>
      <c r="D26">
        <f>COUNTIF('Metrics - Articles'!H25,"*EMEA*")</f>
        <v>0</v>
      </c>
      <c r="E26">
        <f>COUNTIF('Metrics - Articles'!H25,"*NA*")</f>
        <v>0</v>
      </c>
      <c r="F26">
        <f>COUNTIF('Metrics - Articles'!H25,"*APJ")</f>
        <v>0</v>
      </c>
      <c r="G26">
        <f>COUNTIF('Metrics - Articles'!H25,"*LATAM*")</f>
        <v>0</v>
      </c>
      <c r="H26">
        <f>COUNTIF('Metrics - Articles'!H25,"*China*")</f>
        <v>0</v>
      </c>
      <c r="J26" s="53">
        <f t="shared" si="1"/>
        <v>1</v>
      </c>
    </row>
    <row r="27" spans="2:10" hidden="1" x14ac:dyDescent="0.25">
      <c r="B27" s="48">
        <f>+'Metrics - Articles'!C26</f>
        <v>42025</v>
      </c>
      <c r="C27">
        <f>COUNTIF('Metrics - Articles'!H26,"*Global*")</f>
        <v>1</v>
      </c>
      <c r="D27">
        <f>COUNTIF('Metrics - Articles'!H26,"*EMEA*")</f>
        <v>0</v>
      </c>
      <c r="E27">
        <f>COUNTIF('Metrics - Articles'!H26,"*NA*")</f>
        <v>0</v>
      </c>
      <c r="F27">
        <f>COUNTIF('Metrics - Articles'!H26,"*APJ")</f>
        <v>0</v>
      </c>
      <c r="G27">
        <f>COUNTIF('Metrics - Articles'!H26,"*LATAM*")</f>
        <v>0</v>
      </c>
      <c r="H27">
        <f>COUNTIF('Metrics - Articles'!H26,"*China*")</f>
        <v>0</v>
      </c>
      <c r="J27" s="53">
        <f t="shared" si="1"/>
        <v>1</v>
      </c>
    </row>
    <row r="28" spans="2:10" hidden="1" x14ac:dyDescent="0.25">
      <c r="B28" s="48">
        <f>+'Metrics - Articles'!C27</f>
        <v>42026</v>
      </c>
      <c r="C28">
        <f>COUNTIF('Metrics - Articles'!H27,"*Global*")</f>
        <v>1</v>
      </c>
      <c r="D28">
        <f>COUNTIF('Metrics - Articles'!H27,"*EMEA*")</f>
        <v>0</v>
      </c>
      <c r="E28">
        <f>COUNTIF('Metrics - Articles'!H27,"*NA*")</f>
        <v>0</v>
      </c>
      <c r="F28">
        <f>COUNTIF('Metrics - Articles'!H27,"*APJ")</f>
        <v>0</v>
      </c>
      <c r="G28">
        <f>COUNTIF('Metrics - Articles'!H27,"*LATAM*")</f>
        <v>0</v>
      </c>
      <c r="H28">
        <f>COUNTIF('Metrics - Articles'!H27,"*China*")</f>
        <v>0</v>
      </c>
      <c r="J28" s="53">
        <f t="shared" si="1"/>
        <v>1</v>
      </c>
    </row>
    <row r="29" spans="2:10" hidden="1" x14ac:dyDescent="0.25">
      <c r="B29" s="48">
        <f>+'Metrics - Articles'!C28</f>
        <v>42027</v>
      </c>
      <c r="C29">
        <f>COUNTIF('Metrics - Articles'!H28,"*Global*")</f>
        <v>1</v>
      </c>
      <c r="D29">
        <f>COUNTIF('Metrics - Articles'!H28,"*EMEA*")</f>
        <v>0</v>
      </c>
      <c r="E29">
        <f>COUNTIF('Metrics - Articles'!H28,"*NA*")</f>
        <v>0</v>
      </c>
      <c r="F29">
        <f>COUNTIF('Metrics - Articles'!H28,"*APJ")</f>
        <v>0</v>
      </c>
      <c r="G29">
        <f>COUNTIF('Metrics - Articles'!H28,"*LATAM*")</f>
        <v>0</v>
      </c>
      <c r="H29">
        <f>COUNTIF('Metrics - Articles'!H28,"*China*")</f>
        <v>0</v>
      </c>
      <c r="J29" s="53">
        <f t="shared" si="1"/>
        <v>1</v>
      </c>
    </row>
    <row r="30" spans="2:10" hidden="1" x14ac:dyDescent="0.25">
      <c r="B30" s="48">
        <f>+'Metrics - Articles'!C29</f>
        <v>42027</v>
      </c>
      <c r="C30">
        <f>COUNTIF('Metrics - Articles'!H29,"*Global*")</f>
        <v>1</v>
      </c>
      <c r="D30">
        <f>COUNTIF('Metrics - Articles'!H29,"*EMEA*")</f>
        <v>0</v>
      </c>
      <c r="E30">
        <f>COUNTIF('Metrics - Articles'!H29,"*NA*")</f>
        <v>0</v>
      </c>
      <c r="F30">
        <f>COUNTIF('Metrics - Articles'!H29,"*APJ")</f>
        <v>0</v>
      </c>
      <c r="G30">
        <f>COUNTIF('Metrics - Articles'!H29,"*LATAM*")</f>
        <v>0</v>
      </c>
      <c r="H30">
        <f>COUNTIF('Metrics - Articles'!H29,"*China*")</f>
        <v>0</v>
      </c>
      <c r="J30" s="53">
        <f t="shared" si="1"/>
        <v>1</v>
      </c>
    </row>
    <row r="31" spans="2:10" hidden="1" x14ac:dyDescent="0.25">
      <c r="B31" s="48">
        <f>+'Metrics - Articles'!C30</f>
        <v>42027</v>
      </c>
      <c r="C31">
        <f>COUNTIF('Metrics - Articles'!H30,"*Global*")</f>
        <v>1</v>
      </c>
      <c r="D31">
        <f>COUNTIF('Metrics - Articles'!H30,"*EMEA*")</f>
        <v>0</v>
      </c>
      <c r="E31">
        <f>COUNTIF('Metrics - Articles'!H30,"*NA*")</f>
        <v>0</v>
      </c>
      <c r="F31">
        <f>COUNTIF('Metrics - Articles'!H30,"*APJ")</f>
        <v>0</v>
      </c>
      <c r="G31">
        <f>COUNTIF('Metrics - Articles'!H30,"*LATAM*")</f>
        <v>0</v>
      </c>
      <c r="H31">
        <f>COUNTIF('Metrics - Articles'!H30,"*China*")</f>
        <v>0</v>
      </c>
      <c r="J31" s="53">
        <f t="shared" si="1"/>
        <v>1</v>
      </c>
    </row>
    <row r="32" spans="2:10" hidden="1" x14ac:dyDescent="0.25">
      <c r="B32" s="48">
        <f>+'Metrics - Articles'!C31</f>
        <v>42030</v>
      </c>
      <c r="C32">
        <f>COUNTIF('Metrics - Articles'!H31,"*Global*")</f>
        <v>0</v>
      </c>
      <c r="D32">
        <f>COUNTIF('Metrics - Articles'!H31,"*EMEA*")</f>
        <v>1</v>
      </c>
      <c r="E32">
        <f>COUNTIF('Metrics - Articles'!H31,"*NA*")</f>
        <v>0</v>
      </c>
      <c r="F32">
        <f>COUNTIF('Metrics - Articles'!H31,"*APJ")</f>
        <v>0</v>
      </c>
      <c r="G32">
        <f>COUNTIF('Metrics - Articles'!H31,"*LATAM*")</f>
        <v>0</v>
      </c>
      <c r="H32">
        <f>COUNTIF('Metrics - Articles'!H31,"*China*")</f>
        <v>0</v>
      </c>
      <c r="J32" s="53">
        <f t="shared" si="1"/>
        <v>1</v>
      </c>
    </row>
    <row r="33" spans="2:10" hidden="1" x14ac:dyDescent="0.25">
      <c r="B33" s="48">
        <f>+'Metrics - Articles'!C32</f>
        <v>42031</v>
      </c>
      <c r="C33">
        <f>COUNTIF('Metrics - Articles'!H32,"*Global*")</f>
        <v>1</v>
      </c>
      <c r="D33">
        <f>COUNTIF('Metrics - Articles'!H32,"*EMEA*")</f>
        <v>0</v>
      </c>
      <c r="E33">
        <f>COUNTIF('Metrics - Articles'!H32,"*NA*")</f>
        <v>0</v>
      </c>
      <c r="F33">
        <f>COUNTIF('Metrics - Articles'!H32,"*APJ")</f>
        <v>0</v>
      </c>
      <c r="G33">
        <f>COUNTIF('Metrics - Articles'!H32,"*LATAM*")</f>
        <v>0</v>
      </c>
      <c r="H33">
        <f>COUNTIF('Metrics - Articles'!H32,"*China*")</f>
        <v>0</v>
      </c>
      <c r="J33" s="53">
        <f t="shared" si="1"/>
        <v>1</v>
      </c>
    </row>
    <row r="34" spans="2:10" hidden="1" x14ac:dyDescent="0.25">
      <c r="B34" s="48">
        <f>+'Metrics - Articles'!C33</f>
        <v>42031</v>
      </c>
      <c r="C34">
        <f>COUNTIF('Metrics - Articles'!H33,"*Global*")</f>
        <v>1</v>
      </c>
      <c r="D34">
        <f>COUNTIF('Metrics - Articles'!H33,"*EMEA*")</f>
        <v>0</v>
      </c>
      <c r="E34">
        <f>COUNTIF('Metrics - Articles'!H33,"*NA*")</f>
        <v>0</v>
      </c>
      <c r="F34">
        <f>COUNTIF('Metrics - Articles'!H33,"*APJ")</f>
        <v>0</v>
      </c>
      <c r="G34">
        <f>COUNTIF('Metrics - Articles'!H33,"*LATAM*")</f>
        <v>0</v>
      </c>
      <c r="H34">
        <f>COUNTIF('Metrics - Articles'!H33,"*China*")</f>
        <v>0</v>
      </c>
      <c r="J34" s="53">
        <f t="shared" si="1"/>
        <v>1</v>
      </c>
    </row>
    <row r="35" spans="2:10" hidden="1" x14ac:dyDescent="0.25">
      <c r="B35" s="48">
        <f>+'Metrics - Articles'!C34</f>
        <v>42032</v>
      </c>
      <c r="C35">
        <f>COUNTIF('Metrics - Articles'!H34,"*Global*")</f>
        <v>1</v>
      </c>
      <c r="D35">
        <f>COUNTIF('Metrics - Articles'!H34,"*EMEA*")</f>
        <v>0</v>
      </c>
      <c r="E35">
        <f>COUNTIF('Metrics - Articles'!H34,"*NA*")</f>
        <v>0</v>
      </c>
      <c r="F35">
        <f>COUNTIF('Metrics - Articles'!H34,"*APJ")</f>
        <v>0</v>
      </c>
      <c r="G35">
        <f>COUNTIF('Metrics - Articles'!H34,"*LATAM*")</f>
        <v>0</v>
      </c>
      <c r="H35">
        <f>COUNTIF('Metrics - Articles'!H34,"*China*")</f>
        <v>0</v>
      </c>
      <c r="J35" s="53">
        <f t="shared" si="1"/>
        <v>1</v>
      </c>
    </row>
    <row r="36" spans="2:10" hidden="1" x14ac:dyDescent="0.25">
      <c r="B36" s="48">
        <f>+'Metrics - Articles'!C35</f>
        <v>42032</v>
      </c>
      <c r="C36">
        <f>COUNTIF('Metrics - Articles'!H35,"*Global*")</f>
        <v>0</v>
      </c>
      <c r="D36">
        <f>COUNTIF('Metrics - Articles'!H35,"*EMEA*")</f>
        <v>0</v>
      </c>
      <c r="E36">
        <f>COUNTIF('Metrics - Articles'!H35,"*NA*")</f>
        <v>0</v>
      </c>
      <c r="F36">
        <f>COUNTIF('Metrics - Articles'!H35,"*APJ")</f>
        <v>0</v>
      </c>
      <c r="G36">
        <f>COUNTIF('Metrics - Articles'!H35,"*LATAM*")</f>
        <v>1</v>
      </c>
      <c r="H36">
        <f>COUNTIF('Metrics - Articles'!H35,"*China*")</f>
        <v>0</v>
      </c>
      <c r="J36" s="53">
        <f t="shared" si="1"/>
        <v>1</v>
      </c>
    </row>
    <row r="37" spans="2:10" hidden="1" x14ac:dyDescent="0.25">
      <c r="B37" s="48">
        <f>+'Metrics - Articles'!C36</f>
        <v>42033</v>
      </c>
      <c r="C37">
        <f>COUNTIF('Metrics - Articles'!H36,"*Global*")</f>
        <v>1</v>
      </c>
      <c r="D37">
        <f>COUNTIF('Metrics - Articles'!H36,"*EMEA*")</f>
        <v>0</v>
      </c>
      <c r="E37">
        <f>COUNTIF('Metrics - Articles'!H36,"*NA*")</f>
        <v>0</v>
      </c>
      <c r="F37">
        <f>COUNTIF('Metrics - Articles'!H36,"*APJ")</f>
        <v>0</v>
      </c>
      <c r="G37">
        <f>COUNTIF('Metrics - Articles'!H36,"*LATAM*")</f>
        <v>0</v>
      </c>
      <c r="H37">
        <f>COUNTIF('Metrics - Articles'!H36,"*China*")</f>
        <v>0</v>
      </c>
      <c r="J37" s="53">
        <f t="shared" si="1"/>
        <v>1</v>
      </c>
    </row>
    <row r="38" spans="2:10" hidden="1" x14ac:dyDescent="0.25">
      <c r="B38" s="48">
        <f>+'Metrics - Articles'!C37</f>
        <v>42033</v>
      </c>
      <c r="C38">
        <f>COUNTIF('Metrics - Articles'!H37,"*Global*")</f>
        <v>1</v>
      </c>
      <c r="D38">
        <f>COUNTIF('Metrics - Articles'!H37,"*EMEA*")</f>
        <v>0</v>
      </c>
      <c r="E38">
        <f>COUNTIF('Metrics - Articles'!H37,"*NA*")</f>
        <v>0</v>
      </c>
      <c r="F38">
        <f>COUNTIF('Metrics - Articles'!H37,"*APJ")</f>
        <v>0</v>
      </c>
      <c r="G38">
        <f>COUNTIF('Metrics - Articles'!H37,"*LATAM*")</f>
        <v>0</v>
      </c>
      <c r="H38">
        <f>COUNTIF('Metrics - Articles'!H37,"*China*")</f>
        <v>0</v>
      </c>
      <c r="J38" s="53">
        <f t="shared" si="1"/>
        <v>1</v>
      </c>
    </row>
    <row r="39" spans="2:10" hidden="1" x14ac:dyDescent="0.25">
      <c r="B39" s="48">
        <f>+'Metrics - Articles'!C38</f>
        <v>42034</v>
      </c>
      <c r="C39">
        <f>COUNTIF('Metrics - Articles'!H38,"*Global*")</f>
        <v>0</v>
      </c>
      <c r="D39">
        <f>COUNTIF('Metrics - Articles'!H38,"*EMEA*")</f>
        <v>1</v>
      </c>
      <c r="E39">
        <f>COUNTIF('Metrics - Articles'!H38,"*NA*")</f>
        <v>0</v>
      </c>
      <c r="F39">
        <f>COUNTIF('Metrics - Articles'!H38,"*APJ")</f>
        <v>0</v>
      </c>
      <c r="G39">
        <f>COUNTIF('Metrics - Articles'!H38,"*LATAM*")</f>
        <v>0</v>
      </c>
      <c r="H39">
        <f>COUNTIF('Metrics - Articles'!H38,"*China*")</f>
        <v>0</v>
      </c>
      <c r="J39" s="53">
        <f t="shared" si="1"/>
        <v>1</v>
      </c>
    </row>
    <row r="40" spans="2:10" hidden="1" x14ac:dyDescent="0.25">
      <c r="B40" s="48">
        <f>+'Metrics - Articles'!C39</f>
        <v>42036</v>
      </c>
      <c r="C40">
        <f>COUNTIF('Metrics - Articles'!H39,"*Global*")</f>
        <v>1</v>
      </c>
      <c r="D40">
        <f>COUNTIF('Metrics - Articles'!H39,"*EMEA*")</f>
        <v>0</v>
      </c>
      <c r="E40">
        <f>COUNTIF('Metrics - Articles'!H39,"*NA*")</f>
        <v>0</v>
      </c>
      <c r="F40">
        <f>COUNTIF('Metrics - Articles'!H39,"*APJ")</f>
        <v>0</v>
      </c>
      <c r="G40">
        <f>COUNTIF('Metrics - Articles'!H39,"*LATAM*")</f>
        <v>0</v>
      </c>
      <c r="H40">
        <f>COUNTIF('Metrics - Articles'!H39,"*China*")</f>
        <v>0</v>
      </c>
      <c r="J40" s="53">
        <f t="shared" si="1"/>
        <v>1</v>
      </c>
    </row>
    <row r="41" spans="2:10" hidden="1" x14ac:dyDescent="0.25">
      <c r="B41" s="48">
        <f>+'Metrics - Articles'!C40</f>
        <v>42037</v>
      </c>
      <c r="C41">
        <f>COUNTIF('Metrics - Articles'!H40,"*Global*")</f>
        <v>1</v>
      </c>
      <c r="D41">
        <f>COUNTIF('Metrics - Articles'!H40,"*EMEA*")</f>
        <v>0</v>
      </c>
      <c r="E41">
        <f>COUNTIF('Metrics - Articles'!H40,"*NA*")</f>
        <v>0</v>
      </c>
      <c r="F41">
        <f>COUNTIF('Metrics - Articles'!H40,"*APJ")</f>
        <v>0</v>
      </c>
      <c r="G41">
        <f>COUNTIF('Metrics - Articles'!H40,"*LATAM*")</f>
        <v>0</v>
      </c>
      <c r="H41">
        <f>COUNTIF('Metrics - Articles'!H40,"*China*")</f>
        <v>0</v>
      </c>
      <c r="J41" s="53">
        <f t="shared" si="1"/>
        <v>1</v>
      </c>
    </row>
    <row r="42" spans="2:10" hidden="1" x14ac:dyDescent="0.25">
      <c r="B42" s="48">
        <f>+'Metrics - Articles'!C41</f>
        <v>42038</v>
      </c>
      <c r="C42">
        <f>COUNTIF('Metrics - Articles'!H41,"*Global*")</f>
        <v>1</v>
      </c>
      <c r="D42">
        <f>COUNTIF('Metrics - Articles'!H41,"*EMEA*")</f>
        <v>0</v>
      </c>
      <c r="E42">
        <f>COUNTIF('Metrics - Articles'!H41,"*NA*")</f>
        <v>0</v>
      </c>
      <c r="F42">
        <f>COUNTIF('Metrics - Articles'!H41,"*APJ")</f>
        <v>0</v>
      </c>
      <c r="G42">
        <f>COUNTIF('Metrics - Articles'!H41,"*LATAM*")</f>
        <v>0</v>
      </c>
      <c r="H42">
        <f>COUNTIF('Metrics - Articles'!H41,"*China*")</f>
        <v>0</v>
      </c>
      <c r="J42" s="53">
        <f t="shared" si="1"/>
        <v>1</v>
      </c>
    </row>
    <row r="43" spans="2:10" hidden="1" x14ac:dyDescent="0.25">
      <c r="B43" s="48">
        <f>+'Metrics - Articles'!C42</f>
        <v>42038</v>
      </c>
      <c r="C43">
        <f>COUNTIF('Metrics - Articles'!H42,"*Global*")</f>
        <v>1</v>
      </c>
      <c r="D43">
        <f>COUNTIF('Metrics - Articles'!H42,"*EMEA*")</f>
        <v>0</v>
      </c>
      <c r="E43">
        <f>COUNTIF('Metrics - Articles'!H42,"*NA*")</f>
        <v>0</v>
      </c>
      <c r="F43">
        <f>COUNTIF('Metrics - Articles'!H42,"*APJ")</f>
        <v>0</v>
      </c>
      <c r="G43">
        <f>COUNTIF('Metrics - Articles'!H42,"*LATAM*")</f>
        <v>0</v>
      </c>
      <c r="H43">
        <f>COUNTIF('Metrics - Articles'!H42,"*China*")</f>
        <v>0</v>
      </c>
      <c r="J43" s="53">
        <f t="shared" si="1"/>
        <v>1</v>
      </c>
    </row>
    <row r="44" spans="2:10" hidden="1" x14ac:dyDescent="0.25">
      <c r="B44" s="48">
        <f>+'Metrics - Articles'!C43</f>
        <v>42038</v>
      </c>
      <c r="C44">
        <f>COUNTIF('Metrics - Articles'!H43,"*Global*")</f>
        <v>1</v>
      </c>
      <c r="D44">
        <f>COUNTIF('Metrics - Articles'!H43,"*EMEA*")</f>
        <v>0</v>
      </c>
      <c r="E44">
        <f>COUNTIF('Metrics - Articles'!H43,"*NA*")</f>
        <v>0</v>
      </c>
      <c r="F44">
        <f>COUNTIF('Metrics - Articles'!H43,"*APJ")</f>
        <v>0</v>
      </c>
      <c r="G44">
        <f>COUNTIF('Metrics - Articles'!H43,"*LATAM*")</f>
        <v>0</v>
      </c>
      <c r="H44">
        <f>COUNTIF('Metrics - Articles'!H43,"*China*")</f>
        <v>0</v>
      </c>
      <c r="J44" s="53">
        <f t="shared" si="1"/>
        <v>1</v>
      </c>
    </row>
    <row r="45" spans="2:10" hidden="1" x14ac:dyDescent="0.25">
      <c r="B45" s="48">
        <f>+'Metrics - Articles'!C44</f>
        <v>42038</v>
      </c>
      <c r="C45">
        <f>COUNTIF('Metrics - Articles'!H44,"*Global*")</f>
        <v>1</v>
      </c>
      <c r="D45">
        <f>COUNTIF('Metrics - Articles'!H44,"*EMEA*")</f>
        <v>0</v>
      </c>
      <c r="E45">
        <f>COUNTIF('Metrics - Articles'!H44,"*NA*")</f>
        <v>0</v>
      </c>
      <c r="F45">
        <f>COUNTIF('Metrics - Articles'!H44,"*APJ")</f>
        <v>0</v>
      </c>
      <c r="G45">
        <f>COUNTIF('Metrics - Articles'!H44,"*LATAM*")</f>
        <v>0</v>
      </c>
      <c r="H45">
        <f>COUNTIF('Metrics - Articles'!H44,"*China*")</f>
        <v>0</v>
      </c>
      <c r="J45" s="53">
        <f t="shared" si="1"/>
        <v>1</v>
      </c>
    </row>
    <row r="46" spans="2:10" hidden="1" x14ac:dyDescent="0.25">
      <c r="B46" s="48">
        <f>+'Metrics - Articles'!C45</f>
        <v>42040</v>
      </c>
      <c r="C46">
        <f>COUNTIF('Metrics - Articles'!H45,"*Global*")</f>
        <v>1</v>
      </c>
      <c r="D46">
        <f>COUNTIF('Metrics - Articles'!H45,"*EMEA*")</f>
        <v>0</v>
      </c>
      <c r="E46">
        <f>COUNTIF('Metrics - Articles'!H45,"*NA*")</f>
        <v>0</v>
      </c>
      <c r="F46">
        <f>COUNTIF('Metrics - Articles'!H45,"*APJ")</f>
        <v>0</v>
      </c>
      <c r="G46">
        <f>COUNTIF('Metrics - Articles'!H45,"*LATAM*")</f>
        <v>0</v>
      </c>
      <c r="H46">
        <f>COUNTIF('Metrics - Articles'!H45,"*China*")</f>
        <v>0</v>
      </c>
      <c r="J46" s="53">
        <f t="shared" si="1"/>
        <v>1</v>
      </c>
    </row>
    <row r="47" spans="2:10" hidden="1" x14ac:dyDescent="0.25">
      <c r="B47" s="48">
        <f>+'Metrics - Articles'!C46</f>
        <v>42040</v>
      </c>
      <c r="C47">
        <f>COUNTIF('Metrics - Articles'!H46,"*Global*")</f>
        <v>1</v>
      </c>
      <c r="D47">
        <f>COUNTIF('Metrics - Articles'!H46,"*EMEA*")</f>
        <v>0</v>
      </c>
      <c r="E47">
        <f>COUNTIF('Metrics - Articles'!H46,"*NA*")</f>
        <v>0</v>
      </c>
      <c r="F47">
        <f>COUNTIF('Metrics - Articles'!H46,"*APJ")</f>
        <v>0</v>
      </c>
      <c r="G47">
        <f>COUNTIF('Metrics - Articles'!H46,"*LATAM*")</f>
        <v>0</v>
      </c>
      <c r="H47">
        <f>COUNTIF('Metrics - Articles'!H46,"*China*")</f>
        <v>0</v>
      </c>
      <c r="J47" s="53">
        <f t="shared" si="1"/>
        <v>1</v>
      </c>
    </row>
    <row r="48" spans="2:10" hidden="1" x14ac:dyDescent="0.25">
      <c r="B48" s="48">
        <f>+'Metrics - Articles'!C47</f>
        <v>42041</v>
      </c>
      <c r="C48">
        <f>COUNTIF('Metrics - Articles'!H47,"*Global*")</f>
        <v>1</v>
      </c>
      <c r="D48">
        <f>COUNTIF('Metrics - Articles'!H47,"*EMEA*")</f>
        <v>0</v>
      </c>
      <c r="E48">
        <f>COUNTIF('Metrics - Articles'!H47,"*NA*")</f>
        <v>0</v>
      </c>
      <c r="F48">
        <f>COUNTIF('Metrics - Articles'!H47,"*APJ")</f>
        <v>0</v>
      </c>
      <c r="G48">
        <f>COUNTIF('Metrics - Articles'!H47,"*LATAM*")</f>
        <v>0</v>
      </c>
      <c r="H48">
        <f>COUNTIF('Metrics - Articles'!H47,"*China*")</f>
        <v>0</v>
      </c>
      <c r="J48" s="53">
        <f t="shared" si="1"/>
        <v>1</v>
      </c>
    </row>
    <row r="49" spans="2:10" hidden="1" x14ac:dyDescent="0.25">
      <c r="B49" s="48">
        <f>+'Metrics - Articles'!C48</f>
        <v>42046</v>
      </c>
      <c r="C49">
        <f>COUNTIF('Metrics - Articles'!H48,"*Global*")</f>
        <v>1</v>
      </c>
      <c r="D49">
        <f>COUNTIF('Metrics - Articles'!H48,"*EMEA*")</f>
        <v>0</v>
      </c>
      <c r="E49">
        <f>COUNTIF('Metrics - Articles'!H48,"*NA*")</f>
        <v>0</v>
      </c>
      <c r="F49">
        <f>COUNTIF('Metrics - Articles'!H48,"*APJ")</f>
        <v>0</v>
      </c>
      <c r="G49">
        <f>COUNTIF('Metrics - Articles'!H48,"*LATAM*")</f>
        <v>0</v>
      </c>
      <c r="H49">
        <f>COUNTIF('Metrics - Articles'!H48,"*China*")</f>
        <v>0</v>
      </c>
      <c r="J49" s="53">
        <f t="shared" si="1"/>
        <v>1</v>
      </c>
    </row>
    <row r="50" spans="2:10" hidden="1" x14ac:dyDescent="0.25">
      <c r="B50" s="48">
        <f>+'Metrics - Articles'!C49</f>
        <v>42047</v>
      </c>
      <c r="C50">
        <f>COUNTIF('Metrics - Articles'!H49,"*Global*")</f>
        <v>1</v>
      </c>
      <c r="D50">
        <f>COUNTIF('Metrics - Articles'!H49,"*EMEA*")</f>
        <v>0</v>
      </c>
      <c r="E50">
        <f>COUNTIF('Metrics - Articles'!H49,"*NA*")</f>
        <v>0</v>
      </c>
      <c r="F50">
        <f>COUNTIF('Metrics - Articles'!H49,"*APJ")</f>
        <v>0</v>
      </c>
      <c r="G50">
        <f>COUNTIF('Metrics - Articles'!H49,"*LATAM*")</f>
        <v>0</v>
      </c>
      <c r="H50">
        <f>COUNTIF('Metrics - Articles'!H49,"*China*")</f>
        <v>0</v>
      </c>
      <c r="J50" s="53">
        <f t="shared" si="1"/>
        <v>1</v>
      </c>
    </row>
    <row r="51" spans="2:10" hidden="1" x14ac:dyDescent="0.25">
      <c r="B51" s="48">
        <f>+'Metrics - Articles'!C50</f>
        <v>42047</v>
      </c>
      <c r="C51">
        <f>COUNTIF('Metrics - Articles'!H50,"*Global*")</f>
        <v>1</v>
      </c>
      <c r="D51">
        <f>COUNTIF('Metrics - Articles'!H50,"*EMEA*")</f>
        <v>0</v>
      </c>
      <c r="E51">
        <f>COUNTIF('Metrics - Articles'!H50,"*NA*")</f>
        <v>0</v>
      </c>
      <c r="F51">
        <f>COUNTIF('Metrics - Articles'!H50,"*APJ")</f>
        <v>0</v>
      </c>
      <c r="G51">
        <f>COUNTIF('Metrics - Articles'!H50,"*LATAM*")</f>
        <v>0</v>
      </c>
      <c r="H51">
        <f>COUNTIF('Metrics - Articles'!H50,"*China*")</f>
        <v>0</v>
      </c>
      <c r="J51" s="53">
        <f t="shared" si="1"/>
        <v>1</v>
      </c>
    </row>
    <row r="52" spans="2:10" hidden="1" x14ac:dyDescent="0.25">
      <c r="B52" s="48">
        <f>+'Metrics - Articles'!C51</f>
        <v>42048</v>
      </c>
      <c r="C52">
        <f>COUNTIF('Metrics - Articles'!H51,"*Global*")</f>
        <v>1</v>
      </c>
      <c r="D52">
        <f>COUNTIF('Metrics - Articles'!H51,"*EMEA*")</f>
        <v>0</v>
      </c>
      <c r="E52">
        <f>COUNTIF('Metrics - Articles'!H51,"*NA*")</f>
        <v>0</v>
      </c>
      <c r="F52">
        <f>COUNTIF('Metrics - Articles'!H51,"*APJ")</f>
        <v>0</v>
      </c>
      <c r="G52">
        <f>COUNTIF('Metrics - Articles'!H51,"*LATAM*")</f>
        <v>0</v>
      </c>
      <c r="H52">
        <f>COUNTIF('Metrics - Articles'!H51,"*China*")</f>
        <v>0</v>
      </c>
      <c r="J52" s="53">
        <f t="shared" si="1"/>
        <v>1</v>
      </c>
    </row>
    <row r="53" spans="2:10" hidden="1" x14ac:dyDescent="0.25">
      <c r="B53" s="48">
        <f>+'Metrics - Articles'!C52</f>
        <v>42048</v>
      </c>
      <c r="C53">
        <f>COUNTIF('Metrics - Articles'!H52,"*Global*")</f>
        <v>1</v>
      </c>
      <c r="D53">
        <f>COUNTIF('Metrics - Articles'!H52,"*EMEA*")</f>
        <v>0</v>
      </c>
      <c r="E53">
        <f>COUNTIF('Metrics - Articles'!H52,"*NA*")</f>
        <v>0</v>
      </c>
      <c r="F53">
        <f>COUNTIF('Metrics - Articles'!H52,"*APJ")</f>
        <v>0</v>
      </c>
      <c r="G53">
        <f>COUNTIF('Metrics - Articles'!H52,"*LATAM*")</f>
        <v>0</v>
      </c>
      <c r="H53">
        <f>COUNTIF('Metrics - Articles'!H52,"*China*")</f>
        <v>0</v>
      </c>
      <c r="J53" s="53">
        <f t="shared" si="1"/>
        <v>1</v>
      </c>
    </row>
    <row r="54" spans="2:10" hidden="1" x14ac:dyDescent="0.25">
      <c r="B54" s="48">
        <f>+'Metrics - Articles'!C53</f>
        <v>42051</v>
      </c>
      <c r="C54">
        <f>COUNTIF('Metrics - Articles'!H53,"*Global*")</f>
        <v>1</v>
      </c>
      <c r="D54">
        <f>COUNTIF('Metrics - Articles'!H53,"*EMEA*")</f>
        <v>0</v>
      </c>
      <c r="E54">
        <f>COUNTIF('Metrics - Articles'!H53,"*NA*")</f>
        <v>0</v>
      </c>
      <c r="F54">
        <f>COUNTIF('Metrics - Articles'!H53,"*APJ")</f>
        <v>0</v>
      </c>
      <c r="G54">
        <f>COUNTIF('Metrics - Articles'!H53,"*LATAM*")</f>
        <v>0</v>
      </c>
      <c r="H54">
        <f>COUNTIF('Metrics - Articles'!H53,"*China*")</f>
        <v>0</v>
      </c>
      <c r="J54" s="53">
        <f t="shared" si="1"/>
        <v>1</v>
      </c>
    </row>
    <row r="55" spans="2:10" hidden="1" x14ac:dyDescent="0.25">
      <c r="B55" s="48">
        <f>+'Metrics - Articles'!C54</f>
        <v>42051</v>
      </c>
      <c r="C55">
        <f>COUNTIF('Metrics - Articles'!H54,"*Global*")</f>
        <v>1</v>
      </c>
      <c r="D55">
        <f>COUNTIF('Metrics - Articles'!H54,"*EMEA*")</f>
        <v>0</v>
      </c>
      <c r="E55">
        <f>COUNTIF('Metrics - Articles'!H54,"*NA*")</f>
        <v>0</v>
      </c>
      <c r="F55">
        <f>COUNTIF('Metrics - Articles'!H54,"*APJ")</f>
        <v>0</v>
      </c>
      <c r="G55">
        <f>COUNTIF('Metrics - Articles'!H54,"*LATAM*")</f>
        <v>0</v>
      </c>
      <c r="H55">
        <f>COUNTIF('Metrics - Articles'!H54,"*China*")</f>
        <v>0</v>
      </c>
      <c r="J55" s="53">
        <f t="shared" si="1"/>
        <v>1</v>
      </c>
    </row>
    <row r="56" spans="2:10" hidden="1" x14ac:dyDescent="0.25">
      <c r="B56" s="48">
        <f>+'Metrics - Articles'!C55</f>
        <v>42051</v>
      </c>
      <c r="C56">
        <f>COUNTIF('Metrics - Articles'!H55,"*Global*")</f>
        <v>1</v>
      </c>
      <c r="D56">
        <f>COUNTIF('Metrics - Articles'!H55,"*EMEA*")</f>
        <v>0</v>
      </c>
      <c r="E56">
        <f>COUNTIF('Metrics - Articles'!H55,"*NA*")</f>
        <v>0</v>
      </c>
      <c r="F56">
        <f>COUNTIF('Metrics - Articles'!H55,"*APJ")</f>
        <v>0</v>
      </c>
      <c r="G56">
        <f>COUNTIF('Metrics - Articles'!H55,"*LATAM*")</f>
        <v>0</v>
      </c>
      <c r="H56">
        <f>COUNTIF('Metrics - Articles'!H55,"*China*")</f>
        <v>0</v>
      </c>
      <c r="J56" s="53">
        <f t="shared" si="1"/>
        <v>1</v>
      </c>
    </row>
    <row r="57" spans="2:10" hidden="1" x14ac:dyDescent="0.25">
      <c r="B57" s="48">
        <f>+'Metrics - Articles'!C56</f>
        <v>42052</v>
      </c>
      <c r="C57">
        <f>COUNTIF('Metrics - Articles'!H56,"*Global*")</f>
        <v>1</v>
      </c>
      <c r="D57">
        <f>COUNTIF('Metrics - Articles'!H56,"*EMEA*")</f>
        <v>0</v>
      </c>
      <c r="E57">
        <f>COUNTIF('Metrics - Articles'!H56,"*NA*")</f>
        <v>0</v>
      </c>
      <c r="F57">
        <f>COUNTIF('Metrics - Articles'!H56,"*APJ")</f>
        <v>0</v>
      </c>
      <c r="G57">
        <f>COUNTIF('Metrics - Articles'!H56,"*LATAM*")</f>
        <v>0</v>
      </c>
      <c r="H57">
        <f>COUNTIF('Metrics - Articles'!H56,"*China*")</f>
        <v>0</v>
      </c>
      <c r="J57" s="53">
        <f t="shared" si="1"/>
        <v>1</v>
      </c>
    </row>
    <row r="58" spans="2:10" hidden="1" x14ac:dyDescent="0.25">
      <c r="B58" s="48">
        <f>+'Metrics - Articles'!C57</f>
        <v>42052</v>
      </c>
      <c r="C58">
        <f>COUNTIF('Metrics - Articles'!H57,"*Global*")</f>
        <v>1</v>
      </c>
      <c r="D58">
        <f>COUNTIF('Metrics - Articles'!H57,"*EMEA*")</f>
        <v>0</v>
      </c>
      <c r="E58">
        <f>COUNTIF('Metrics - Articles'!H57,"*NA*")</f>
        <v>0</v>
      </c>
      <c r="F58">
        <f>COUNTIF('Metrics - Articles'!H57,"*APJ")</f>
        <v>0</v>
      </c>
      <c r="G58">
        <f>COUNTIF('Metrics - Articles'!H57,"*LATAM*")</f>
        <v>0</v>
      </c>
      <c r="H58">
        <f>COUNTIF('Metrics - Articles'!H57,"*China*")</f>
        <v>0</v>
      </c>
      <c r="J58" s="53">
        <f t="shared" si="1"/>
        <v>1</v>
      </c>
    </row>
    <row r="59" spans="2:10" hidden="1" x14ac:dyDescent="0.25">
      <c r="B59" s="48">
        <f>+'Metrics - Articles'!C58</f>
        <v>42053</v>
      </c>
      <c r="C59">
        <f>COUNTIF('Metrics - Articles'!H58,"*Global*")</f>
        <v>1</v>
      </c>
      <c r="D59">
        <f>COUNTIF('Metrics - Articles'!H58,"*EMEA*")</f>
        <v>0</v>
      </c>
      <c r="E59">
        <f>COUNTIF('Metrics - Articles'!H58,"*NA*")</f>
        <v>0</v>
      </c>
      <c r="F59">
        <f>COUNTIF('Metrics - Articles'!H58,"*APJ")</f>
        <v>0</v>
      </c>
      <c r="G59">
        <f>COUNTIF('Metrics - Articles'!H58,"*LATAM*")</f>
        <v>0</v>
      </c>
      <c r="H59">
        <f>COUNTIF('Metrics - Articles'!H58,"*China*")</f>
        <v>0</v>
      </c>
      <c r="J59" s="53">
        <f t="shared" si="1"/>
        <v>1</v>
      </c>
    </row>
    <row r="60" spans="2:10" hidden="1" x14ac:dyDescent="0.25">
      <c r="B60" s="48">
        <f>+'Metrics - Articles'!C59</f>
        <v>42053</v>
      </c>
      <c r="C60">
        <f>COUNTIF('Metrics - Articles'!H59,"*Global*")</f>
        <v>0</v>
      </c>
      <c r="D60">
        <f>COUNTIF('Metrics - Articles'!H59,"*EMEA*")</f>
        <v>0</v>
      </c>
      <c r="E60">
        <f>COUNTIF('Metrics - Articles'!H59,"*NA*")</f>
        <v>0</v>
      </c>
      <c r="F60">
        <f>COUNTIF('Metrics - Articles'!H59,"*APJ")</f>
        <v>0</v>
      </c>
      <c r="G60">
        <f>COUNTIF('Metrics - Articles'!H59,"*LATAM*")</f>
        <v>1</v>
      </c>
      <c r="H60">
        <f>COUNTIF('Metrics - Articles'!H59,"*China*")</f>
        <v>0</v>
      </c>
      <c r="J60" s="53">
        <f t="shared" si="1"/>
        <v>1</v>
      </c>
    </row>
    <row r="61" spans="2:10" hidden="1" x14ac:dyDescent="0.25">
      <c r="B61" s="48">
        <f>+'Metrics - Articles'!C60</f>
        <v>42055</v>
      </c>
      <c r="C61">
        <f>COUNTIF('Metrics - Articles'!H60,"*Global*")</f>
        <v>1</v>
      </c>
      <c r="D61">
        <f>COUNTIF('Metrics - Articles'!H60,"*EMEA*")</f>
        <v>0</v>
      </c>
      <c r="E61">
        <f>COUNTIF('Metrics - Articles'!H60,"*NA*")</f>
        <v>0</v>
      </c>
      <c r="F61">
        <f>COUNTIF('Metrics - Articles'!H60,"*APJ")</f>
        <v>0</v>
      </c>
      <c r="G61">
        <f>COUNTIF('Metrics - Articles'!H60,"*LATAM*")</f>
        <v>0</v>
      </c>
      <c r="H61">
        <f>COUNTIF('Metrics - Articles'!H60,"*China*")</f>
        <v>0</v>
      </c>
      <c r="J61" s="53">
        <f t="shared" si="1"/>
        <v>1</v>
      </c>
    </row>
    <row r="62" spans="2:10" hidden="1" x14ac:dyDescent="0.25">
      <c r="B62" s="48">
        <f>+'Metrics - Articles'!C61</f>
        <v>42055</v>
      </c>
      <c r="C62">
        <f>COUNTIF('Metrics - Articles'!H61,"*Global*")</f>
        <v>0</v>
      </c>
      <c r="D62">
        <f>COUNTIF('Metrics - Articles'!H61,"*EMEA*")</f>
        <v>1</v>
      </c>
      <c r="E62">
        <f>COUNTIF('Metrics - Articles'!H61,"*NA*")</f>
        <v>0</v>
      </c>
      <c r="F62">
        <f>COUNTIF('Metrics - Articles'!H61,"*APJ")</f>
        <v>0</v>
      </c>
      <c r="G62">
        <f>COUNTIF('Metrics - Articles'!H61,"*LATAM*")</f>
        <v>0</v>
      </c>
      <c r="H62">
        <f>COUNTIF('Metrics - Articles'!H61,"*China*")</f>
        <v>0</v>
      </c>
      <c r="J62" s="53">
        <f t="shared" si="1"/>
        <v>1</v>
      </c>
    </row>
    <row r="63" spans="2:10" hidden="1" x14ac:dyDescent="0.25">
      <c r="B63" s="48">
        <f>+'Metrics - Articles'!C62</f>
        <v>42056</v>
      </c>
      <c r="C63">
        <f>COUNTIF('Metrics - Articles'!H62,"*Global*")</f>
        <v>1</v>
      </c>
      <c r="D63">
        <f>COUNTIF('Metrics - Articles'!H62,"*EMEA*")</f>
        <v>0</v>
      </c>
      <c r="E63">
        <f>COUNTIF('Metrics - Articles'!H62,"*NA*")</f>
        <v>0</v>
      </c>
      <c r="F63">
        <f>COUNTIF('Metrics - Articles'!H62,"*APJ")</f>
        <v>0</v>
      </c>
      <c r="G63">
        <f>COUNTIF('Metrics - Articles'!H62,"*LATAM*")</f>
        <v>0</v>
      </c>
      <c r="H63">
        <f>COUNTIF('Metrics - Articles'!H62,"*China*")</f>
        <v>0</v>
      </c>
      <c r="J63" s="53">
        <f t="shared" si="1"/>
        <v>1</v>
      </c>
    </row>
    <row r="64" spans="2:10" hidden="1" x14ac:dyDescent="0.25">
      <c r="B64" s="48">
        <f>+'Metrics - Articles'!C63</f>
        <v>42058</v>
      </c>
      <c r="C64">
        <f>COUNTIF('Metrics - Articles'!H63,"*Global*")</f>
        <v>1</v>
      </c>
      <c r="D64">
        <f>COUNTIF('Metrics - Articles'!H63,"*EMEA*")</f>
        <v>0</v>
      </c>
      <c r="E64">
        <f>COUNTIF('Metrics - Articles'!H63,"*NA*")</f>
        <v>0</v>
      </c>
      <c r="F64">
        <f>COUNTIF('Metrics - Articles'!H63,"*APJ")</f>
        <v>0</v>
      </c>
      <c r="G64">
        <f>COUNTIF('Metrics - Articles'!H63,"*LATAM*")</f>
        <v>0</v>
      </c>
      <c r="H64">
        <f>COUNTIF('Metrics - Articles'!H63,"*China*")</f>
        <v>0</v>
      </c>
      <c r="J64" s="53">
        <f t="shared" si="1"/>
        <v>1</v>
      </c>
    </row>
    <row r="65" spans="2:10" hidden="1" x14ac:dyDescent="0.25">
      <c r="B65" s="48">
        <f>+'Metrics - Articles'!C64</f>
        <v>42059</v>
      </c>
      <c r="C65">
        <f>COUNTIF('Metrics - Articles'!H64,"*Global*")</f>
        <v>0</v>
      </c>
      <c r="D65">
        <f>COUNTIF('Metrics - Articles'!H64,"*EMEA*")</f>
        <v>1</v>
      </c>
      <c r="E65">
        <f>COUNTIF('Metrics - Articles'!H64,"*NA*")</f>
        <v>0</v>
      </c>
      <c r="F65">
        <f>COUNTIF('Metrics - Articles'!H64,"*APJ")</f>
        <v>0</v>
      </c>
      <c r="G65">
        <f>COUNTIF('Metrics - Articles'!H64,"*LATAM*")</f>
        <v>0</v>
      </c>
      <c r="H65">
        <f>COUNTIF('Metrics - Articles'!H64,"*China*")</f>
        <v>0</v>
      </c>
      <c r="J65" s="53">
        <f t="shared" si="1"/>
        <v>1</v>
      </c>
    </row>
    <row r="66" spans="2:10" hidden="1" x14ac:dyDescent="0.25">
      <c r="B66" s="48">
        <f>+'Metrics - Articles'!C65</f>
        <v>42060</v>
      </c>
      <c r="C66">
        <f>COUNTIF('Metrics - Articles'!H65,"*Global*")</f>
        <v>1</v>
      </c>
      <c r="D66">
        <f>COUNTIF('Metrics - Articles'!H65,"*EMEA*")</f>
        <v>0</v>
      </c>
      <c r="E66">
        <f>COUNTIF('Metrics - Articles'!H65,"*NA*")</f>
        <v>0</v>
      </c>
      <c r="F66">
        <f>COUNTIF('Metrics - Articles'!H65,"*APJ")</f>
        <v>0</v>
      </c>
      <c r="G66">
        <f>COUNTIF('Metrics - Articles'!H65,"*LATAM*")</f>
        <v>0</v>
      </c>
      <c r="H66">
        <f>COUNTIF('Metrics - Articles'!H65,"*China*")</f>
        <v>0</v>
      </c>
      <c r="J66" s="53">
        <f t="shared" si="1"/>
        <v>1</v>
      </c>
    </row>
    <row r="67" spans="2:10" hidden="1" x14ac:dyDescent="0.25">
      <c r="B67" s="48">
        <f>+'Metrics - Articles'!C66</f>
        <v>42060</v>
      </c>
      <c r="C67">
        <f>COUNTIF('Metrics - Articles'!H66,"*Global*")</f>
        <v>1</v>
      </c>
      <c r="D67">
        <f>COUNTIF('Metrics - Articles'!H66,"*EMEA*")</f>
        <v>0</v>
      </c>
      <c r="E67">
        <f>COUNTIF('Metrics - Articles'!H66,"*NA*")</f>
        <v>0</v>
      </c>
      <c r="F67">
        <f>COUNTIF('Metrics - Articles'!H66,"*APJ")</f>
        <v>0</v>
      </c>
      <c r="G67">
        <f>COUNTIF('Metrics - Articles'!H66,"*LATAM*")</f>
        <v>0</v>
      </c>
      <c r="H67">
        <f>COUNTIF('Metrics - Articles'!H66,"*China*")</f>
        <v>0</v>
      </c>
      <c r="J67" s="53">
        <f t="shared" si="1"/>
        <v>1</v>
      </c>
    </row>
    <row r="68" spans="2:10" hidden="1" x14ac:dyDescent="0.25">
      <c r="B68" s="48">
        <f>+'Metrics - Articles'!C67</f>
        <v>42061</v>
      </c>
      <c r="C68">
        <f>COUNTIF('Metrics - Articles'!H67,"*Global*")</f>
        <v>1</v>
      </c>
      <c r="D68">
        <f>COUNTIF('Metrics - Articles'!H67,"*EMEA*")</f>
        <v>0</v>
      </c>
      <c r="E68">
        <f>COUNTIF('Metrics - Articles'!H67,"*NA*")</f>
        <v>0</v>
      </c>
      <c r="F68">
        <f>COUNTIF('Metrics - Articles'!H67,"*APJ")</f>
        <v>0</v>
      </c>
      <c r="G68">
        <f>COUNTIF('Metrics - Articles'!H67,"*LATAM*")</f>
        <v>0</v>
      </c>
      <c r="H68">
        <f>COUNTIF('Metrics - Articles'!H67,"*China*")</f>
        <v>0</v>
      </c>
      <c r="J68" s="53">
        <f t="shared" si="1"/>
        <v>1</v>
      </c>
    </row>
    <row r="69" spans="2:10" hidden="1" x14ac:dyDescent="0.25">
      <c r="B69" s="48">
        <f>+'Metrics - Articles'!C68</f>
        <v>42062</v>
      </c>
      <c r="C69">
        <f>COUNTIF('Metrics - Articles'!H68,"*Global*")</f>
        <v>1</v>
      </c>
      <c r="D69">
        <f>COUNTIF('Metrics - Articles'!H68,"*EMEA*")</f>
        <v>0</v>
      </c>
      <c r="E69">
        <f>COUNTIF('Metrics - Articles'!H68,"*NA*")</f>
        <v>0</v>
      </c>
      <c r="F69">
        <f>COUNTIF('Metrics - Articles'!H68,"*APJ")</f>
        <v>0</v>
      </c>
      <c r="G69">
        <f>COUNTIF('Metrics - Articles'!H68,"*LATAM*")</f>
        <v>0</v>
      </c>
      <c r="H69">
        <f>COUNTIF('Metrics - Articles'!H68,"*China*")</f>
        <v>0</v>
      </c>
      <c r="J69" s="53">
        <f t="shared" si="1"/>
        <v>1</v>
      </c>
    </row>
    <row r="70" spans="2:10" hidden="1" x14ac:dyDescent="0.25">
      <c r="B70" s="48">
        <f>+'Metrics - Articles'!C69</f>
        <v>42062</v>
      </c>
      <c r="C70">
        <f>COUNTIF('Metrics - Articles'!H69,"*Global*")</f>
        <v>1</v>
      </c>
      <c r="D70">
        <f>COUNTIF('Metrics - Articles'!H69,"*EMEA*")</f>
        <v>0</v>
      </c>
      <c r="E70">
        <f>COUNTIF('Metrics - Articles'!H69,"*NA*")</f>
        <v>0</v>
      </c>
      <c r="F70">
        <f>COUNTIF('Metrics - Articles'!H69,"*APJ")</f>
        <v>0</v>
      </c>
      <c r="G70">
        <f>COUNTIF('Metrics - Articles'!H69,"*LATAM*")</f>
        <v>0</v>
      </c>
      <c r="H70">
        <f>COUNTIF('Metrics - Articles'!H69,"*China*")</f>
        <v>0</v>
      </c>
      <c r="J70" s="53">
        <f t="shared" si="1"/>
        <v>1</v>
      </c>
    </row>
    <row r="71" spans="2:10" hidden="1" x14ac:dyDescent="0.25">
      <c r="B71" s="48">
        <f>+'Metrics - Articles'!C70</f>
        <v>42065</v>
      </c>
      <c r="C71">
        <f>COUNTIF('Metrics - Articles'!H70,"*Global*")</f>
        <v>1</v>
      </c>
      <c r="D71">
        <f>COUNTIF('Metrics - Articles'!H70,"*EMEA*")</f>
        <v>0</v>
      </c>
      <c r="E71">
        <f>COUNTIF('Metrics - Articles'!H70,"*NA*")</f>
        <v>0</v>
      </c>
      <c r="F71">
        <f>COUNTIF('Metrics - Articles'!H70,"*APJ")</f>
        <v>0</v>
      </c>
      <c r="G71">
        <f>COUNTIF('Metrics - Articles'!H70,"*LATAM*")</f>
        <v>0</v>
      </c>
      <c r="H71">
        <f>COUNTIF('Metrics - Articles'!H70,"*China*")</f>
        <v>0</v>
      </c>
      <c r="J71" s="53">
        <f t="shared" si="1"/>
        <v>1</v>
      </c>
    </row>
    <row r="72" spans="2:10" hidden="1" x14ac:dyDescent="0.25">
      <c r="B72" s="48">
        <f>+'Metrics - Articles'!C71</f>
        <v>42065</v>
      </c>
      <c r="C72">
        <f>COUNTIF('Metrics - Articles'!H71,"*Global*")</f>
        <v>0</v>
      </c>
      <c r="D72">
        <f>COUNTIF('Metrics - Articles'!H71,"*EMEA*")</f>
        <v>1</v>
      </c>
      <c r="E72">
        <f>COUNTIF('Metrics - Articles'!H71,"*NA*")</f>
        <v>0</v>
      </c>
      <c r="F72">
        <f>COUNTIF('Metrics - Articles'!H71,"*APJ")</f>
        <v>0</v>
      </c>
      <c r="G72">
        <f>COUNTIF('Metrics - Articles'!H71,"*LATAM*")</f>
        <v>0</v>
      </c>
      <c r="H72">
        <f>COUNTIF('Metrics - Articles'!H71,"*China*")</f>
        <v>0</v>
      </c>
      <c r="J72" s="53">
        <f t="shared" si="1"/>
        <v>1</v>
      </c>
    </row>
    <row r="73" spans="2:10" hidden="1" x14ac:dyDescent="0.25">
      <c r="B73" s="48">
        <f>+'Metrics - Articles'!C72</f>
        <v>42065</v>
      </c>
      <c r="C73">
        <f>COUNTIF('Metrics - Articles'!H72,"*Global*")</f>
        <v>0</v>
      </c>
      <c r="D73">
        <f>COUNTIF('Metrics - Articles'!H72,"*EMEA*")</f>
        <v>1</v>
      </c>
      <c r="E73">
        <f>COUNTIF('Metrics - Articles'!H72,"*NA*")</f>
        <v>0</v>
      </c>
      <c r="F73">
        <f>COUNTIF('Metrics - Articles'!H72,"*APJ")</f>
        <v>0</v>
      </c>
      <c r="G73">
        <f>COUNTIF('Metrics - Articles'!H72,"*LATAM*")</f>
        <v>0</v>
      </c>
      <c r="H73">
        <f>COUNTIF('Metrics - Articles'!H72,"*China*")</f>
        <v>0</v>
      </c>
      <c r="J73" s="53">
        <f t="shared" si="1"/>
        <v>1</v>
      </c>
    </row>
    <row r="74" spans="2:10" hidden="1" x14ac:dyDescent="0.25">
      <c r="B74" s="48">
        <f>+'Metrics - Articles'!C73</f>
        <v>42065</v>
      </c>
      <c r="C74">
        <f>COUNTIF('Metrics - Articles'!H73,"*Global*")</f>
        <v>0</v>
      </c>
      <c r="D74">
        <f>COUNTIF('Metrics - Articles'!H73,"*EMEA*")</f>
        <v>0</v>
      </c>
      <c r="E74">
        <f>COUNTIF('Metrics - Articles'!H73,"*NA*")</f>
        <v>1</v>
      </c>
      <c r="F74">
        <f>COUNTIF('Metrics - Articles'!H73,"*APJ")</f>
        <v>0</v>
      </c>
      <c r="G74">
        <f>COUNTIF('Metrics - Articles'!H73,"*LATAM*")</f>
        <v>0</v>
      </c>
      <c r="H74">
        <f>COUNTIF('Metrics - Articles'!H73,"*China*")</f>
        <v>1</v>
      </c>
      <c r="J74" s="53">
        <f t="shared" ref="J74:J137" si="2">SUM(C74:I74)</f>
        <v>2</v>
      </c>
    </row>
    <row r="75" spans="2:10" hidden="1" x14ac:dyDescent="0.25">
      <c r="B75" s="48">
        <f>+'Metrics - Articles'!C74</f>
        <v>42066</v>
      </c>
      <c r="C75">
        <f>COUNTIF('Metrics - Articles'!H74,"*Global*")</f>
        <v>0</v>
      </c>
      <c r="D75">
        <f>COUNTIF('Metrics - Articles'!H74,"*EMEA*")</f>
        <v>1</v>
      </c>
      <c r="E75">
        <f>COUNTIF('Metrics - Articles'!H74,"*NA*")</f>
        <v>0</v>
      </c>
      <c r="F75">
        <f>COUNTIF('Metrics - Articles'!H74,"*APJ")</f>
        <v>0</v>
      </c>
      <c r="G75">
        <f>COUNTIF('Metrics - Articles'!H74,"*LATAM*")</f>
        <v>0</v>
      </c>
      <c r="H75">
        <f>COUNTIF('Metrics - Articles'!H74,"*China*")</f>
        <v>0</v>
      </c>
      <c r="J75" s="53">
        <f t="shared" si="2"/>
        <v>1</v>
      </c>
    </row>
    <row r="76" spans="2:10" hidden="1" x14ac:dyDescent="0.25">
      <c r="B76" s="48">
        <f>+'Metrics - Articles'!C75</f>
        <v>42067</v>
      </c>
      <c r="C76">
        <f>COUNTIF('Metrics - Articles'!H75,"*Global*")</f>
        <v>1</v>
      </c>
      <c r="D76">
        <f>COUNTIF('Metrics - Articles'!H75,"*EMEA*")</f>
        <v>0</v>
      </c>
      <c r="E76">
        <f>COUNTIF('Metrics - Articles'!H75,"*NA*")</f>
        <v>0</v>
      </c>
      <c r="F76">
        <f>COUNTIF('Metrics - Articles'!H75,"*APJ")</f>
        <v>0</v>
      </c>
      <c r="G76">
        <f>COUNTIF('Metrics - Articles'!H75,"*LATAM*")</f>
        <v>0</v>
      </c>
      <c r="H76">
        <f>COUNTIF('Metrics - Articles'!H75,"*China*")</f>
        <v>0</v>
      </c>
      <c r="J76" s="53">
        <f t="shared" si="2"/>
        <v>1</v>
      </c>
    </row>
    <row r="77" spans="2:10" hidden="1" x14ac:dyDescent="0.25">
      <c r="B77" s="48">
        <f>+'Metrics - Articles'!C76</f>
        <v>42067</v>
      </c>
      <c r="C77">
        <f>COUNTIF('Metrics - Articles'!H76,"*Global*")</f>
        <v>1</v>
      </c>
      <c r="D77">
        <f>COUNTIF('Metrics - Articles'!H76,"*EMEA*")</f>
        <v>0</v>
      </c>
      <c r="E77">
        <f>COUNTIF('Metrics - Articles'!H76,"*NA*")</f>
        <v>0</v>
      </c>
      <c r="F77">
        <f>COUNTIF('Metrics - Articles'!H76,"*APJ")</f>
        <v>0</v>
      </c>
      <c r="G77">
        <f>COUNTIF('Metrics - Articles'!H76,"*LATAM*")</f>
        <v>0</v>
      </c>
      <c r="H77">
        <f>COUNTIF('Metrics - Articles'!H76,"*China*")</f>
        <v>0</v>
      </c>
      <c r="J77" s="53">
        <f t="shared" si="2"/>
        <v>1</v>
      </c>
    </row>
    <row r="78" spans="2:10" hidden="1" x14ac:dyDescent="0.25">
      <c r="B78" s="48">
        <f>+'Metrics - Articles'!C77</f>
        <v>42067</v>
      </c>
      <c r="C78">
        <f>COUNTIF('Metrics - Articles'!H77,"*Global*")</f>
        <v>0</v>
      </c>
      <c r="D78">
        <f>COUNTIF('Metrics - Articles'!H77,"*EMEA*")</f>
        <v>1</v>
      </c>
      <c r="E78">
        <f>COUNTIF('Metrics - Articles'!H77,"*NA*")</f>
        <v>0</v>
      </c>
      <c r="F78">
        <f>COUNTIF('Metrics - Articles'!H77,"*APJ")</f>
        <v>0</v>
      </c>
      <c r="G78">
        <f>COUNTIF('Metrics - Articles'!H77,"*LATAM*")</f>
        <v>0</v>
      </c>
      <c r="H78">
        <f>COUNTIF('Metrics - Articles'!H77,"*China*")</f>
        <v>0</v>
      </c>
      <c r="J78" s="53">
        <f t="shared" si="2"/>
        <v>1</v>
      </c>
    </row>
    <row r="79" spans="2:10" hidden="1" x14ac:dyDescent="0.25">
      <c r="B79" s="48">
        <f>+'Metrics - Articles'!C78</f>
        <v>42068</v>
      </c>
      <c r="C79">
        <f>COUNTIF('Metrics - Articles'!H78,"*Global*")</f>
        <v>1</v>
      </c>
      <c r="D79">
        <f>COUNTIF('Metrics - Articles'!H78,"*EMEA*")</f>
        <v>0</v>
      </c>
      <c r="E79">
        <f>COUNTIF('Metrics - Articles'!H78,"*NA*")</f>
        <v>0</v>
      </c>
      <c r="F79">
        <f>COUNTIF('Metrics - Articles'!H78,"*APJ")</f>
        <v>0</v>
      </c>
      <c r="G79">
        <f>COUNTIF('Metrics - Articles'!H78,"*LATAM*")</f>
        <v>0</v>
      </c>
      <c r="H79">
        <f>COUNTIF('Metrics - Articles'!H78,"*China*")</f>
        <v>0</v>
      </c>
      <c r="J79" s="53">
        <f t="shared" si="2"/>
        <v>1</v>
      </c>
    </row>
    <row r="80" spans="2:10" hidden="1" x14ac:dyDescent="0.25">
      <c r="B80" s="48">
        <f>+'Metrics - Articles'!C79</f>
        <v>42069</v>
      </c>
      <c r="C80">
        <f>COUNTIF('Metrics - Articles'!H79,"*Global*")</f>
        <v>1</v>
      </c>
      <c r="D80">
        <f>COUNTIF('Metrics - Articles'!H79,"*EMEA*")</f>
        <v>0</v>
      </c>
      <c r="E80">
        <f>COUNTIF('Metrics - Articles'!H79,"*NA*")</f>
        <v>0</v>
      </c>
      <c r="F80">
        <f>COUNTIF('Metrics - Articles'!H79,"*APJ")</f>
        <v>0</v>
      </c>
      <c r="G80">
        <f>COUNTIF('Metrics - Articles'!H79,"*LATAM*")</f>
        <v>0</v>
      </c>
      <c r="H80">
        <f>COUNTIF('Metrics - Articles'!H79,"*China*")</f>
        <v>0</v>
      </c>
      <c r="J80" s="53">
        <f t="shared" si="2"/>
        <v>1</v>
      </c>
    </row>
    <row r="81" spans="2:10" hidden="1" x14ac:dyDescent="0.25">
      <c r="B81" s="48">
        <f>+'Metrics - Articles'!C80</f>
        <v>42069</v>
      </c>
      <c r="C81">
        <f>COUNTIF('Metrics - Articles'!H80,"*Global*")</f>
        <v>1</v>
      </c>
      <c r="D81">
        <f>COUNTIF('Metrics - Articles'!H80,"*EMEA*")</f>
        <v>0</v>
      </c>
      <c r="E81">
        <f>COUNTIF('Metrics - Articles'!H80,"*NA*")</f>
        <v>0</v>
      </c>
      <c r="F81">
        <f>COUNTIF('Metrics - Articles'!H80,"*APJ")</f>
        <v>0</v>
      </c>
      <c r="G81">
        <f>COUNTIF('Metrics - Articles'!H80,"*LATAM*")</f>
        <v>0</v>
      </c>
      <c r="H81">
        <f>COUNTIF('Metrics - Articles'!H80,"*China*")</f>
        <v>0</v>
      </c>
      <c r="J81" s="53">
        <f t="shared" si="2"/>
        <v>1</v>
      </c>
    </row>
    <row r="82" spans="2:10" hidden="1" x14ac:dyDescent="0.25">
      <c r="B82" s="48">
        <f>+'Metrics - Articles'!C81</f>
        <v>42073</v>
      </c>
      <c r="C82">
        <f>COUNTIF('Metrics - Articles'!H81,"*Global*")</f>
        <v>1</v>
      </c>
      <c r="D82">
        <f>COUNTIF('Metrics - Articles'!H81,"*EMEA*")</f>
        <v>0</v>
      </c>
      <c r="E82">
        <f>COUNTIF('Metrics - Articles'!H81,"*NA*")</f>
        <v>0</v>
      </c>
      <c r="F82">
        <f>COUNTIF('Metrics - Articles'!H81,"*APJ")</f>
        <v>0</v>
      </c>
      <c r="G82">
        <f>COUNTIF('Metrics - Articles'!H81,"*LATAM*")</f>
        <v>0</v>
      </c>
      <c r="H82">
        <f>COUNTIF('Metrics - Articles'!H81,"*China*")</f>
        <v>0</v>
      </c>
      <c r="J82" s="53">
        <f t="shared" si="2"/>
        <v>1</v>
      </c>
    </row>
    <row r="83" spans="2:10" hidden="1" x14ac:dyDescent="0.25">
      <c r="B83" s="48">
        <f>+'Metrics - Articles'!C82</f>
        <v>42073</v>
      </c>
      <c r="C83">
        <f>COUNTIF('Metrics - Articles'!H82,"*Global*")</f>
        <v>1</v>
      </c>
      <c r="D83">
        <f>COUNTIF('Metrics - Articles'!H82,"*EMEA*")</f>
        <v>0</v>
      </c>
      <c r="E83">
        <f>COUNTIF('Metrics - Articles'!H82,"*NA*")</f>
        <v>0</v>
      </c>
      <c r="F83">
        <f>COUNTIF('Metrics - Articles'!H82,"*APJ")</f>
        <v>0</v>
      </c>
      <c r="G83">
        <f>COUNTIF('Metrics - Articles'!H82,"*LATAM*")</f>
        <v>0</v>
      </c>
      <c r="H83">
        <f>COUNTIF('Metrics - Articles'!H82,"*China*")</f>
        <v>0</v>
      </c>
      <c r="J83" s="53">
        <f t="shared" si="2"/>
        <v>1</v>
      </c>
    </row>
    <row r="84" spans="2:10" hidden="1" x14ac:dyDescent="0.25">
      <c r="B84" s="48">
        <f>+'Metrics - Articles'!C83</f>
        <v>42074</v>
      </c>
      <c r="C84">
        <f>COUNTIF('Metrics - Articles'!H83,"*Global*")</f>
        <v>1</v>
      </c>
      <c r="D84">
        <f>COUNTIF('Metrics - Articles'!H83,"*EMEA*")</f>
        <v>0</v>
      </c>
      <c r="E84">
        <f>COUNTIF('Metrics - Articles'!H83,"*NA*")</f>
        <v>0</v>
      </c>
      <c r="F84">
        <f>COUNTIF('Metrics - Articles'!H83,"*APJ")</f>
        <v>0</v>
      </c>
      <c r="G84">
        <f>COUNTIF('Metrics - Articles'!H83,"*LATAM*")</f>
        <v>0</v>
      </c>
      <c r="H84">
        <f>COUNTIF('Metrics - Articles'!H83,"*China*")</f>
        <v>0</v>
      </c>
      <c r="J84" s="53">
        <f t="shared" si="2"/>
        <v>1</v>
      </c>
    </row>
    <row r="85" spans="2:10" hidden="1" x14ac:dyDescent="0.25">
      <c r="B85" s="48">
        <f>+'Metrics - Articles'!C84</f>
        <v>42074</v>
      </c>
      <c r="C85">
        <f>COUNTIF('Metrics - Articles'!H84,"*Global*")</f>
        <v>0</v>
      </c>
      <c r="D85">
        <f>COUNTIF('Metrics - Articles'!H84,"*EMEA*")</f>
        <v>0</v>
      </c>
      <c r="E85">
        <f>COUNTIF('Metrics - Articles'!H84,"*NA*")</f>
        <v>0</v>
      </c>
      <c r="F85">
        <f>COUNTIF('Metrics - Articles'!H84,"*APJ")</f>
        <v>1</v>
      </c>
      <c r="G85">
        <f>COUNTIF('Metrics - Articles'!H84,"*LATAM*")</f>
        <v>0</v>
      </c>
      <c r="H85">
        <f>COUNTIF('Metrics - Articles'!H84,"*China*")</f>
        <v>0</v>
      </c>
      <c r="J85" s="53">
        <f t="shared" si="2"/>
        <v>1</v>
      </c>
    </row>
    <row r="86" spans="2:10" hidden="1" x14ac:dyDescent="0.25">
      <c r="B86" s="48">
        <f>+'Metrics - Articles'!C85</f>
        <v>42075</v>
      </c>
      <c r="C86">
        <f>COUNTIF('Metrics - Articles'!H85,"*Global*")</f>
        <v>1</v>
      </c>
      <c r="D86">
        <f>COUNTIF('Metrics - Articles'!H85,"*EMEA*")</f>
        <v>0</v>
      </c>
      <c r="E86">
        <f>COUNTIF('Metrics - Articles'!H85,"*NA*")</f>
        <v>0</v>
      </c>
      <c r="F86">
        <f>COUNTIF('Metrics - Articles'!H85,"*APJ")</f>
        <v>0</v>
      </c>
      <c r="G86">
        <f>COUNTIF('Metrics - Articles'!H85,"*LATAM*")</f>
        <v>0</v>
      </c>
      <c r="H86">
        <f>COUNTIF('Metrics - Articles'!H85,"*China*")</f>
        <v>0</v>
      </c>
      <c r="J86" s="53">
        <f t="shared" si="2"/>
        <v>1</v>
      </c>
    </row>
    <row r="87" spans="2:10" hidden="1" x14ac:dyDescent="0.25">
      <c r="B87" s="48">
        <f>+'Metrics - Articles'!C86</f>
        <v>42076</v>
      </c>
      <c r="C87">
        <f>COUNTIF('Metrics - Articles'!H86,"*Global*")</f>
        <v>1</v>
      </c>
      <c r="D87">
        <f>COUNTIF('Metrics - Articles'!H86,"*EMEA*")</f>
        <v>0</v>
      </c>
      <c r="E87">
        <f>COUNTIF('Metrics - Articles'!H86,"*NA*")</f>
        <v>0</v>
      </c>
      <c r="F87">
        <f>COUNTIF('Metrics - Articles'!H86,"*APJ")</f>
        <v>0</v>
      </c>
      <c r="G87">
        <f>COUNTIF('Metrics - Articles'!H86,"*LATAM*")</f>
        <v>0</v>
      </c>
      <c r="H87">
        <f>COUNTIF('Metrics - Articles'!H86,"*China*")</f>
        <v>0</v>
      </c>
      <c r="J87" s="53">
        <f t="shared" si="2"/>
        <v>1</v>
      </c>
    </row>
    <row r="88" spans="2:10" hidden="1" x14ac:dyDescent="0.25">
      <c r="B88" s="48">
        <f>+'Metrics - Articles'!C87</f>
        <v>42076</v>
      </c>
      <c r="C88">
        <f>COUNTIF('Metrics - Articles'!H87,"*Global*")</f>
        <v>1</v>
      </c>
      <c r="D88">
        <f>COUNTIF('Metrics - Articles'!H87,"*EMEA*")</f>
        <v>0</v>
      </c>
      <c r="E88">
        <f>COUNTIF('Metrics - Articles'!H87,"*NA*")</f>
        <v>0</v>
      </c>
      <c r="F88">
        <f>COUNTIF('Metrics - Articles'!H87,"*APJ")</f>
        <v>0</v>
      </c>
      <c r="G88">
        <f>COUNTIF('Metrics - Articles'!H87,"*LATAM*")</f>
        <v>0</v>
      </c>
      <c r="H88">
        <f>COUNTIF('Metrics - Articles'!H87,"*China*")</f>
        <v>0</v>
      </c>
      <c r="J88" s="53">
        <f t="shared" si="2"/>
        <v>1</v>
      </c>
    </row>
    <row r="89" spans="2:10" hidden="1" x14ac:dyDescent="0.25">
      <c r="B89" s="48">
        <f>+'Metrics - Articles'!C88</f>
        <v>42079</v>
      </c>
      <c r="C89">
        <f>COUNTIF('Metrics - Articles'!H88,"*Global*")</f>
        <v>1</v>
      </c>
      <c r="D89">
        <f>COUNTIF('Metrics - Articles'!H88,"*EMEA*")</f>
        <v>0</v>
      </c>
      <c r="E89">
        <f>COUNTIF('Metrics - Articles'!H88,"*NA*")</f>
        <v>0</v>
      </c>
      <c r="F89">
        <f>COUNTIF('Metrics - Articles'!H88,"*APJ")</f>
        <v>0</v>
      </c>
      <c r="G89">
        <f>COUNTIF('Metrics - Articles'!H88,"*LATAM*")</f>
        <v>0</v>
      </c>
      <c r="H89">
        <f>COUNTIF('Metrics - Articles'!H88,"*China*")</f>
        <v>0</v>
      </c>
      <c r="J89" s="53">
        <f t="shared" si="2"/>
        <v>1</v>
      </c>
    </row>
    <row r="90" spans="2:10" hidden="1" x14ac:dyDescent="0.25">
      <c r="B90" s="48">
        <f>+'Metrics - Articles'!C89</f>
        <v>42080</v>
      </c>
      <c r="C90">
        <f>COUNTIF('Metrics - Articles'!H89,"*Global*")</f>
        <v>0</v>
      </c>
      <c r="D90">
        <f>COUNTIF('Metrics - Articles'!H89,"*EMEA*")</f>
        <v>0</v>
      </c>
      <c r="E90">
        <f>COUNTIF('Metrics - Articles'!H89,"*NA*")</f>
        <v>1</v>
      </c>
      <c r="F90">
        <f>COUNTIF('Metrics - Articles'!H89,"*APJ")</f>
        <v>0</v>
      </c>
      <c r="G90">
        <f>COUNTIF('Metrics - Articles'!H89,"*LATAM*")</f>
        <v>0</v>
      </c>
      <c r="H90">
        <f>COUNTIF('Metrics - Articles'!H89,"*China*")</f>
        <v>0</v>
      </c>
      <c r="J90" s="53">
        <f t="shared" si="2"/>
        <v>1</v>
      </c>
    </row>
    <row r="91" spans="2:10" hidden="1" x14ac:dyDescent="0.25">
      <c r="B91" s="48">
        <f>+'Metrics - Articles'!C90</f>
        <v>42080</v>
      </c>
      <c r="C91">
        <f>COUNTIF('Metrics - Articles'!H90,"*Global*")</f>
        <v>1</v>
      </c>
      <c r="D91">
        <f>COUNTIF('Metrics - Articles'!H90,"*EMEA*")</f>
        <v>0</v>
      </c>
      <c r="E91">
        <f>COUNTIF('Metrics - Articles'!H90,"*NA*")</f>
        <v>0</v>
      </c>
      <c r="F91">
        <f>COUNTIF('Metrics - Articles'!H90,"*APJ")</f>
        <v>0</v>
      </c>
      <c r="G91">
        <f>COUNTIF('Metrics - Articles'!H90,"*LATAM*")</f>
        <v>0</v>
      </c>
      <c r="H91">
        <f>COUNTIF('Metrics - Articles'!H90,"*China*")</f>
        <v>0</v>
      </c>
      <c r="J91" s="53">
        <f t="shared" si="2"/>
        <v>1</v>
      </c>
    </row>
    <row r="92" spans="2:10" hidden="1" x14ac:dyDescent="0.25">
      <c r="B92" s="48">
        <f>+'Metrics - Articles'!C91</f>
        <v>42081</v>
      </c>
      <c r="C92">
        <f>COUNTIF('Metrics - Articles'!H91,"*Global*")</f>
        <v>0</v>
      </c>
      <c r="D92">
        <f>COUNTIF('Metrics - Articles'!H91,"*EMEA*")</f>
        <v>1</v>
      </c>
      <c r="E92">
        <f>COUNTIF('Metrics - Articles'!H91,"*NA*")</f>
        <v>0</v>
      </c>
      <c r="F92">
        <f>COUNTIF('Metrics - Articles'!H91,"*APJ")</f>
        <v>0</v>
      </c>
      <c r="G92">
        <f>COUNTIF('Metrics - Articles'!H91,"*LATAM*")</f>
        <v>0</v>
      </c>
      <c r="H92">
        <f>COUNTIF('Metrics - Articles'!H91,"*China*")</f>
        <v>0</v>
      </c>
      <c r="J92" s="53">
        <f t="shared" si="2"/>
        <v>1</v>
      </c>
    </row>
    <row r="93" spans="2:10" hidden="1" x14ac:dyDescent="0.25">
      <c r="B93" s="48">
        <f>+'Metrics - Articles'!C92</f>
        <v>42081</v>
      </c>
      <c r="C93">
        <f>COUNTIF('Metrics - Articles'!H92,"*Global*")</f>
        <v>0</v>
      </c>
      <c r="D93">
        <f>COUNTIF('Metrics - Articles'!H92,"*EMEA*")</f>
        <v>0</v>
      </c>
      <c r="E93">
        <f>COUNTIF('Metrics - Articles'!H92,"*NA*")</f>
        <v>0</v>
      </c>
      <c r="F93">
        <f>COUNTIF('Metrics - Articles'!H92,"*APJ")</f>
        <v>0</v>
      </c>
      <c r="G93">
        <f>COUNTIF('Metrics - Articles'!H92,"*LATAM*")</f>
        <v>1</v>
      </c>
      <c r="H93">
        <f>COUNTIF('Metrics - Articles'!H92,"*China*")</f>
        <v>0</v>
      </c>
      <c r="J93" s="53">
        <f t="shared" si="2"/>
        <v>1</v>
      </c>
    </row>
    <row r="94" spans="2:10" hidden="1" x14ac:dyDescent="0.25">
      <c r="B94" s="48">
        <f>+'Metrics - Articles'!C93</f>
        <v>42082</v>
      </c>
      <c r="C94">
        <f>COUNTIF('Metrics - Articles'!H93,"*Global*")</f>
        <v>1</v>
      </c>
      <c r="D94">
        <f>COUNTIF('Metrics - Articles'!H93,"*EMEA*")</f>
        <v>0</v>
      </c>
      <c r="E94">
        <f>COUNTIF('Metrics - Articles'!H93,"*NA*")</f>
        <v>0</v>
      </c>
      <c r="F94">
        <f>COUNTIF('Metrics - Articles'!H93,"*APJ")</f>
        <v>0</v>
      </c>
      <c r="G94">
        <f>COUNTIF('Metrics - Articles'!H93,"*LATAM*")</f>
        <v>0</v>
      </c>
      <c r="H94">
        <f>COUNTIF('Metrics - Articles'!H93,"*China*")</f>
        <v>0</v>
      </c>
      <c r="J94" s="53">
        <f t="shared" si="2"/>
        <v>1</v>
      </c>
    </row>
    <row r="95" spans="2:10" hidden="1" x14ac:dyDescent="0.25">
      <c r="B95" s="48">
        <f>+'Metrics - Articles'!C94</f>
        <v>42083</v>
      </c>
      <c r="C95">
        <f>COUNTIF('Metrics - Articles'!H94,"*Global*")</f>
        <v>1</v>
      </c>
      <c r="D95">
        <f>COUNTIF('Metrics - Articles'!H94,"*EMEA*")</f>
        <v>0</v>
      </c>
      <c r="E95">
        <f>COUNTIF('Metrics - Articles'!H94,"*NA*")</f>
        <v>0</v>
      </c>
      <c r="F95">
        <f>COUNTIF('Metrics - Articles'!H94,"*APJ")</f>
        <v>0</v>
      </c>
      <c r="G95">
        <f>COUNTIF('Metrics - Articles'!H94,"*LATAM*")</f>
        <v>0</v>
      </c>
      <c r="H95">
        <f>COUNTIF('Metrics - Articles'!H94,"*China*")</f>
        <v>0</v>
      </c>
      <c r="J95" s="53">
        <f t="shared" si="2"/>
        <v>1</v>
      </c>
    </row>
    <row r="96" spans="2:10" hidden="1" x14ac:dyDescent="0.25">
      <c r="B96" s="48">
        <f>+'Metrics - Articles'!C95</f>
        <v>42083</v>
      </c>
      <c r="C96">
        <f>COUNTIF('Metrics - Articles'!H95,"*Global*")</f>
        <v>1</v>
      </c>
      <c r="D96">
        <f>COUNTIF('Metrics - Articles'!H95,"*EMEA*")</f>
        <v>0</v>
      </c>
      <c r="E96">
        <f>COUNTIF('Metrics - Articles'!H95,"*NA*")</f>
        <v>0</v>
      </c>
      <c r="F96">
        <f>COUNTIF('Metrics - Articles'!H95,"*APJ")</f>
        <v>0</v>
      </c>
      <c r="G96">
        <f>COUNTIF('Metrics - Articles'!H95,"*LATAM*")</f>
        <v>0</v>
      </c>
      <c r="H96">
        <f>COUNTIF('Metrics - Articles'!H95,"*China*")</f>
        <v>0</v>
      </c>
      <c r="J96" s="53">
        <f t="shared" si="2"/>
        <v>1</v>
      </c>
    </row>
    <row r="97" spans="2:10" hidden="1" x14ac:dyDescent="0.25">
      <c r="B97" s="48">
        <f>+'Metrics - Articles'!C96</f>
        <v>42086</v>
      </c>
      <c r="C97">
        <f>COUNTIF('Metrics - Articles'!H96,"*Global*")</f>
        <v>1</v>
      </c>
      <c r="D97">
        <f>COUNTIF('Metrics - Articles'!H96,"*EMEA*")</f>
        <v>0</v>
      </c>
      <c r="E97">
        <f>COUNTIF('Metrics - Articles'!H96,"*NA*")</f>
        <v>0</v>
      </c>
      <c r="F97">
        <f>COUNTIF('Metrics - Articles'!H96,"*APJ")</f>
        <v>0</v>
      </c>
      <c r="G97">
        <f>COUNTIF('Metrics - Articles'!H96,"*LATAM*")</f>
        <v>0</v>
      </c>
      <c r="H97">
        <f>COUNTIF('Metrics - Articles'!H96,"*China*")</f>
        <v>0</v>
      </c>
      <c r="J97" s="53">
        <f t="shared" si="2"/>
        <v>1</v>
      </c>
    </row>
    <row r="98" spans="2:10" hidden="1" x14ac:dyDescent="0.25">
      <c r="B98" s="48">
        <f>+'Metrics - Articles'!C97</f>
        <v>42086</v>
      </c>
      <c r="C98">
        <f>COUNTIF('Metrics - Articles'!H97,"*Global*")</f>
        <v>1</v>
      </c>
      <c r="D98">
        <f>COUNTIF('Metrics - Articles'!H97,"*EMEA*")</f>
        <v>0</v>
      </c>
      <c r="E98">
        <f>COUNTIF('Metrics - Articles'!H97,"*NA*")</f>
        <v>0</v>
      </c>
      <c r="F98">
        <f>COUNTIF('Metrics - Articles'!H97,"*APJ")</f>
        <v>0</v>
      </c>
      <c r="G98">
        <f>COUNTIF('Metrics - Articles'!H97,"*LATAM*")</f>
        <v>0</v>
      </c>
      <c r="H98">
        <f>COUNTIF('Metrics - Articles'!H97,"*China*")</f>
        <v>0</v>
      </c>
      <c r="J98" s="53">
        <f t="shared" si="2"/>
        <v>1</v>
      </c>
    </row>
    <row r="99" spans="2:10" hidden="1" x14ac:dyDescent="0.25">
      <c r="B99" s="48">
        <f>+'Metrics - Articles'!C98</f>
        <v>42087</v>
      </c>
      <c r="C99">
        <f>COUNTIF('Metrics - Articles'!H98,"*Global*")</f>
        <v>0</v>
      </c>
      <c r="D99">
        <f>COUNTIF('Metrics - Articles'!H98,"*EMEA*")</f>
        <v>0</v>
      </c>
      <c r="E99">
        <f>COUNTIF('Metrics - Articles'!H98,"*NA*")</f>
        <v>1</v>
      </c>
      <c r="F99">
        <f>COUNTIF('Metrics - Articles'!H98,"*APJ")</f>
        <v>0</v>
      </c>
      <c r="G99">
        <f>COUNTIF('Metrics - Articles'!H98,"*LATAM*")</f>
        <v>0</v>
      </c>
      <c r="H99">
        <f>COUNTIF('Metrics - Articles'!H98,"*China*")</f>
        <v>0</v>
      </c>
      <c r="J99" s="53">
        <f t="shared" si="2"/>
        <v>1</v>
      </c>
    </row>
    <row r="100" spans="2:10" hidden="1" x14ac:dyDescent="0.25">
      <c r="B100" s="48">
        <f>+'Metrics - Articles'!C99</f>
        <v>42087</v>
      </c>
      <c r="C100">
        <f>COUNTIF('Metrics - Articles'!H99,"*Global*")</f>
        <v>0</v>
      </c>
      <c r="D100">
        <f>COUNTIF('Metrics - Articles'!H99,"*EMEA*")</f>
        <v>1</v>
      </c>
      <c r="E100">
        <f>COUNTIF('Metrics - Articles'!H99,"*NA*")</f>
        <v>0</v>
      </c>
      <c r="F100">
        <f>COUNTIF('Metrics - Articles'!H99,"*APJ")</f>
        <v>0</v>
      </c>
      <c r="G100">
        <f>COUNTIF('Metrics - Articles'!H99,"*LATAM*")</f>
        <v>0</v>
      </c>
      <c r="H100">
        <f>COUNTIF('Metrics - Articles'!H99,"*China*")</f>
        <v>0</v>
      </c>
      <c r="J100" s="53">
        <f t="shared" si="2"/>
        <v>1</v>
      </c>
    </row>
    <row r="101" spans="2:10" hidden="1" x14ac:dyDescent="0.25">
      <c r="B101" s="48">
        <f>+'Metrics - Articles'!C100</f>
        <v>42088</v>
      </c>
      <c r="C101">
        <f>COUNTIF('Metrics - Articles'!H100,"*Global*")</f>
        <v>1</v>
      </c>
      <c r="D101">
        <f>COUNTIF('Metrics - Articles'!H100,"*EMEA*")</f>
        <v>0</v>
      </c>
      <c r="E101">
        <f>COUNTIF('Metrics - Articles'!H100,"*NA*")</f>
        <v>0</v>
      </c>
      <c r="F101">
        <f>COUNTIF('Metrics - Articles'!H100,"*APJ")</f>
        <v>0</v>
      </c>
      <c r="G101">
        <f>COUNTIF('Metrics - Articles'!H100,"*LATAM*")</f>
        <v>0</v>
      </c>
      <c r="H101">
        <f>COUNTIF('Metrics - Articles'!H100,"*China*")</f>
        <v>0</v>
      </c>
      <c r="J101" s="53">
        <f t="shared" si="2"/>
        <v>1</v>
      </c>
    </row>
    <row r="102" spans="2:10" hidden="1" x14ac:dyDescent="0.25">
      <c r="B102" s="48">
        <f>+'Metrics - Articles'!C101</f>
        <v>42089</v>
      </c>
      <c r="C102">
        <f>COUNTIF('Metrics - Articles'!H101,"*Global*")</f>
        <v>1</v>
      </c>
      <c r="D102">
        <f>COUNTIF('Metrics - Articles'!H101,"*EMEA*")</f>
        <v>0</v>
      </c>
      <c r="E102">
        <f>COUNTIF('Metrics - Articles'!H101,"*NA*")</f>
        <v>0</v>
      </c>
      <c r="F102">
        <f>COUNTIF('Metrics - Articles'!H101,"*APJ")</f>
        <v>0</v>
      </c>
      <c r="G102">
        <f>COUNTIF('Metrics - Articles'!H101,"*LATAM*")</f>
        <v>0</v>
      </c>
      <c r="H102">
        <f>COUNTIF('Metrics - Articles'!H101,"*China*")</f>
        <v>0</v>
      </c>
      <c r="J102" s="53">
        <f t="shared" si="2"/>
        <v>1</v>
      </c>
    </row>
    <row r="103" spans="2:10" hidden="1" x14ac:dyDescent="0.25">
      <c r="B103" s="48">
        <f>+'Metrics - Articles'!C102</f>
        <v>42089</v>
      </c>
      <c r="C103">
        <f>COUNTIF('Metrics - Articles'!H102,"*Global*")</f>
        <v>0</v>
      </c>
      <c r="D103">
        <f>COUNTIF('Metrics - Articles'!H102,"*EMEA*")</f>
        <v>0</v>
      </c>
      <c r="E103">
        <f>COUNTIF('Metrics - Articles'!H102,"*NA*")</f>
        <v>0</v>
      </c>
      <c r="F103">
        <f>COUNTIF('Metrics - Articles'!H102,"*APJ")</f>
        <v>0</v>
      </c>
      <c r="G103">
        <f>COUNTIF('Metrics - Articles'!H102,"*LATAM*")</f>
        <v>1</v>
      </c>
      <c r="H103">
        <f>COUNTIF('Metrics - Articles'!H102,"*China*")</f>
        <v>0</v>
      </c>
      <c r="J103" s="53">
        <f t="shared" si="2"/>
        <v>1</v>
      </c>
    </row>
    <row r="104" spans="2:10" hidden="1" x14ac:dyDescent="0.25">
      <c r="B104" s="48">
        <f>+'Metrics - Articles'!C103</f>
        <v>42093</v>
      </c>
      <c r="C104">
        <f>COUNTIF('Metrics - Articles'!H103,"*Global*")</f>
        <v>0</v>
      </c>
      <c r="D104">
        <f>COUNTIF('Metrics - Articles'!H103,"*EMEA*")</f>
        <v>1</v>
      </c>
      <c r="E104">
        <f>COUNTIF('Metrics - Articles'!H103,"*NA*")</f>
        <v>0</v>
      </c>
      <c r="F104">
        <f>COUNTIF('Metrics - Articles'!H103,"*APJ")</f>
        <v>0</v>
      </c>
      <c r="G104">
        <f>COUNTIF('Metrics - Articles'!H103,"*LATAM*")</f>
        <v>0</v>
      </c>
      <c r="H104">
        <f>COUNTIF('Metrics - Articles'!H103,"*China*")</f>
        <v>0</v>
      </c>
      <c r="J104" s="53">
        <f t="shared" si="2"/>
        <v>1</v>
      </c>
    </row>
    <row r="105" spans="2:10" hidden="1" x14ac:dyDescent="0.25">
      <c r="B105" s="48">
        <f>+'Metrics - Articles'!C104</f>
        <v>42094</v>
      </c>
      <c r="C105">
        <f>COUNTIF('Metrics - Articles'!H104,"*Global*")</f>
        <v>1</v>
      </c>
      <c r="D105">
        <f>COUNTIF('Metrics - Articles'!H104,"*EMEA*")</f>
        <v>0</v>
      </c>
      <c r="E105">
        <f>COUNTIF('Metrics - Articles'!H104,"*NA*")</f>
        <v>0</v>
      </c>
      <c r="F105">
        <f>COUNTIF('Metrics - Articles'!H104,"*APJ")</f>
        <v>0</v>
      </c>
      <c r="G105">
        <f>COUNTIF('Metrics - Articles'!H104,"*LATAM*")</f>
        <v>0</v>
      </c>
      <c r="H105">
        <f>COUNTIF('Metrics - Articles'!H104,"*China*")</f>
        <v>0</v>
      </c>
      <c r="J105" s="53">
        <f t="shared" si="2"/>
        <v>1</v>
      </c>
    </row>
    <row r="106" spans="2:10" hidden="1" x14ac:dyDescent="0.25">
      <c r="B106" s="48">
        <f>+'Metrics - Articles'!C105</f>
        <v>42094</v>
      </c>
      <c r="C106">
        <f>COUNTIF('Metrics - Articles'!H105,"*Global*")</f>
        <v>0</v>
      </c>
      <c r="D106">
        <f>COUNTIF('Metrics - Articles'!H105,"*EMEA*")</f>
        <v>0</v>
      </c>
      <c r="E106">
        <f>COUNTIF('Metrics - Articles'!H105,"*NA*")</f>
        <v>1</v>
      </c>
      <c r="F106">
        <f>COUNTIF('Metrics - Articles'!H105,"*APJ")</f>
        <v>0</v>
      </c>
      <c r="G106">
        <f>COUNTIF('Metrics - Articles'!H105,"*LATAM*")</f>
        <v>0</v>
      </c>
      <c r="H106">
        <f>COUNTIF('Metrics - Articles'!H105,"*China*")</f>
        <v>1</v>
      </c>
      <c r="J106" s="53">
        <f t="shared" si="2"/>
        <v>2</v>
      </c>
    </row>
    <row r="107" spans="2:10" hidden="1" x14ac:dyDescent="0.25">
      <c r="B107" s="48">
        <f>+'Metrics - Articles'!C106</f>
        <v>42094</v>
      </c>
      <c r="C107">
        <f>COUNTIF('Metrics - Articles'!H106,"*Global*")</f>
        <v>1</v>
      </c>
      <c r="D107">
        <f>COUNTIF('Metrics - Articles'!H106,"*EMEA*")</f>
        <v>0</v>
      </c>
      <c r="E107">
        <f>COUNTIF('Metrics - Articles'!H106,"*NA*")</f>
        <v>0</v>
      </c>
      <c r="F107">
        <f>COUNTIF('Metrics - Articles'!H106,"*APJ")</f>
        <v>0</v>
      </c>
      <c r="G107">
        <f>COUNTIF('Metrics - Articles'!H106,"*LATAM*")</f>
        <v>0</v>
      </c>
      <c r="H107">
        <f>COUNTIF('Metrics - Articles'!H106,"*China*")</f>
        <v>0</v>
      </c>
      <c r="J107" s="53">
        <f t="shared" si="2"/>
        <v>1</v>
      </c>
    </row>
    <row r="108" spans="2:10" hidden="1" x14ac:dyDescent="0.25">
      <c r="B108" s="48">
        <f>+'Metrics - Articles'!C107</f>
        <v>42094</v>
      </c>
      <c r="C108">
        <f>COUNTIF('Metrics - Articles'!H107,"*Global*")</f>
        <v>1</v>
      </c>
      <c r="D108">
        <f>COUNTIF('Metrics - Articles'!H107,"*EMEA*")</f>
        <v>0</v>
      </c>
      <c r="E108">
        <f>COUNTIF('Metrics - Articles'!H107,"*NA*")</f>
        <v>0</v>
      </c>
      <c r="F108">
        <f>COUNTIF('Metrics - Articles'!H107,"*APJ")</f>
        <v>0</v>
      </c>
      <c r="G108">
        <f>COUNTIF('Metrics - Articles'!H107,"*LATAM*")</f>
        <v>0</v>
      </c>
      <c r="H108">
        <f>COUNTIF('Metrics - Articles'!H107,"*China*")</f>
        <v>0</v>
      </c>
      <c r="J108" s="53">
        <f t="shared" si="2"/>
        <v>1</v>
      </c>
    </row>
    <row r="109" spans="2:10" hidden="1" x14ac:dyDescent="0.25">
      <c r="B109" s="48">
        <f>+'Metrics - Articles'!C108</f>
        <v>42094</v>
      </c>
      <c r="C109">
        <f>COUNTIF('Metrics - Articles'!H108,"*Global*")</f>
        <v>1</v>
      </c>
      <c r="D109">
        <f>COUNTIF('Metrics - Articles'!H108,"*EMEA*")</f>
        <v>0</v>
      </c>
      <c r="E109">
        <f>COUNTIF('Metrics - Articles'!H108,"*NA*")</f>
        <v>0</v>
      </c>
      <c r="F109">
        <f>COUNTIF('Metrics - Articles'!H108,"*APJ")</f>
        <v>0</v>
      </c>
      <c r="G109">
        <f>COUNTIF('Metrics - Articles'!H108,"*LATAM*")</f>
        <v>0</v>
      </c>
      <c r="H109">
        <f>COUNTIF('Metrics - Articles'!H108,"*China*")</f>
        <v>0</v>
      </c>
      <c r="J109" s="53">
        <f t="shared" si="2"/>
        <v>1</v>
      </c>
    </row>
    <row r="110" spans="2:10" hidden="1" x14ac:dyDescent="0.25">
      <c r="B110" s="48">
        <f>+'Metrics - Articles'!C109</f>
        <v>42095</v>
      </c>
      <c r="C110">
        <f>COUNTIF('Metrics - Articles'!H109,"*Global*")</f>
        <v>1</v>
      </c>
      <c r="D110">
        <f>COUNTIF('Metrics - Articles'!H109,"*EMEA*")</f>
        <v>0</v>
      </c>
      <c r="E110">
        <f>COUNTIF('Metrics - Articles'!H109,"*NA*")</f>
        <v>0</v>
      </c>
      <c r="F110">
        <f>COUNTIF('Metrics - Articles'!H109,"*APJ")</f>
        <v>0</v>
      </c>
      <c r="G110">
        <f>COUNTIF('Metrics - Articles'!H109,"*LATAM*")</f>
        <v>0</v>
      </c>
      <c r="H110">
        <f>COUNTIF('Metrics - Articles'!H109,"*China*")</f>
        <v>0</v>
      </c>
      <c r="J110" s="53">
        <f t="shared" si="2"/>
        <v>1</v>
      </c>
    </row>
    <row r="111" spans="2:10" hidden="1" x14ac:dyDescent="0.25">
      <c r="B111" s="48">
        <f>+'Metrics - Articles'!C110</f>
        <v>42096</v>
      </c>
      <c r="C111">
        <f>COUNTIF('Metrics - Articles'!H110,"*Global*")</f>
        <v>0</v>
      </c>
      <c r="D111">
        <f>COUNTIF('Metrics - Articles'!H110,"*EMEA*")</f>
        <v>1</v>
      </c>
      <c r="E111">
        <f>COUNTIF('Metrics - Articles'!H110,"*NA*")</f>
        <v>0</v>
      </c>
      <c r="F111">
        <f>COUNTIF('Metrics - Articles'!H110,"*APJ")</f>
        <v>0</v>
      </c>
      <c r="G111">
        <f>COUNTIF('Metrics - Articles'!H110,"*LATAM*")</f>
        <v>0</v>
      </c>
      <c r="H111">
        <f>COUNTIF('Metrics - Articles'!H110,"*China*")</f>
        <v>0</v>
      </c>
      <c r="J111" s="53">
        <f t="shared" si="2"/>
        <v>1</v>
      </c>
    </row>
    <row r="112" spans="2:10" hidden="1" x14ac:dyDescent="0.25">
      <c r="B112" s="48">
        <f>+'Metrics - Articles'!C111</f>
        <v>42101</v>
      </c>
      <c r="C112">
        <f>COUNTIF('Metrics - Articles'!H111,"*Global*")</f>
        <v>0</v>
      </c>
      <c r="D112">
        <f>COUNTIF('Metrics - Articles'!H111,"*EMEA*")</f>
        <v>0</v>
      </c>
      <c r="E112">
        <f>COUNTIF('Metrics - Articles'!H111,"*NA*")</f>
        <v>0</v>
      </c>
      <c r="F112">
        <f>COUNTIF('Metrics - Articles'!H111,"*APJ")</f>
        <v>0</v>
      </c>
      <c r="G112">
        <f>COUNTIF('Metrics - Articles'!H111,"*LATAM*")</f>
        <v>1</v>
      </c>
      <c r="H112">
        <f>COUNTIF('Metrics - Articles'!H111,"*China*")</f>
        <v>0</v>
      </c>
      <c r="J112" s="53">
        <f t="shared" si="2"/>
        <v>1</v>
      </c>
    </row>
    <row r="113" spans="2:10" hidden="1" x14ac:dyDescent="0.25">
      <c r="B113" s="48">
        <f>+'Metrics - Articles'!C112</f>
        <v>42101</v>
      </c>
      <c r="C113">
        <f>COUNTIF('Metrics - Articles'!H112,"*Global*")</f>
        <v>1</v>
      </c>
      <c r="D113">
        <f>COUNTIF('Metrics - Articles'!H112,"*EMEA*")</f>
        <v>0</v>
      </c>
      <c r="E113">
        <f>COUNTIF('Metrics - Articles'!H112,"*NA*")</f>
        <v>0</v>
      </c>
      <c r="F113">
        <f>COUNTIF('Metrics - Articles'!H112,"*APJ")</f>
        <v>0</v>
      </c>
      <c r="G113">
        <f>COUNTIF('Metrics - Articles'!H112,"*LATAM*")</f>
        <v>0</v>
      </c>
      <c r="H113">
        <f>COUNTIF('Metrics - Articles'!H112,"*China*")</f>
        <v>0</v>
      </c>
      <c r="J113" s="53">
        <f t="shared" si="2"/>
        <v>1</v>
      </c>
    </row>
    <row r="114" spans="2:10" hidden="1" x14ac:dyDescent="0.25">
      <c r="B114" s="48">
        <f>+'Metrics - Articles'!C113</f>
        <v>42102</v>
      </c>
      <c r="C114">
        <f>COUNTIF('Metrics - Articles'!H113,"*Global*")</f>
        <v>1</v>
      </c>
      <c r="D114">
        <f>COUNTIF('Metrics - Articles'!H113,"*EMEA*")</f>
        <v>0</v>
      </c>
      <c r="E114">
        <f>COUNTIF('Metrics - Articles'!H113,"*NA*")</f>
        <v>0</v>
      </c>
      <c r="F114">
        <f>COUNTIF('Metrics - Articles'!H113,"*APJ")</f>
        <v>0</v>
      </c>
      <c r="G114">
        <f>COUNTIF('Metrics - Articles'!H113,"*LATAM*")</f>
        <v>0</v>
      </c>
      <c r="H114">
        <f>COUNTIF('Metrics - Articles'!H113,"*China*")</f>
        <v>0</v>
      </c>
      <c r="J114" s="53">
        <f t="shared" si="2"/>
        <v>1</v>
      </c>
    </row>
    <row r="115" spans="2:10" hidden="1" x14ac:dyDescent="0.25">
      <c r="B115" s="48">
        <f>+'Metrics - Articles'!C114</f>
        <v>42103</v>
      </c>
      <c r="C115">
        <f>COUNTIF('Metrics - Articles'!H114,"*Global*")</f>
        <v>1</v>
      </c>
      <c r="D115">
        <f>COUNTIF('Metrics - Articles'!H114,"*EMEA*")</f>
        <v>0</v>
      </c>
      <c r="E115">
        <f>COUNTIF('Metrics - Articles'!H114,"*NA*")</f>
        <v>0</v>
      </c>
      <c r="F115">
        <f>COUNTIF('Metrics - Articles'!H114,"*APJ")</f>
        <v>0</v>
      </c>
      <c r="G115">
        <f>COUNTIF('Metrics - Articles'!H114,"*LATAM*")</f>
        <v>0</v>
      </c>
      <c r="H115">
        <f>COUNTIF('Metrics - Articles'!H114,"*China*")</f>
        <v>0</v>
      </c>
      <c r="J115" s="53">
        <f t="shared" si="2"/>
        <v>1</v>
      </c>
    </row>
    <row r="116" spans="2:10" hidden="1" x14ac:dyDescent="0.25">
      <c r="B116" s="48">
        <f>+'Metrics - Articles'!C115</f>
        <v>42103</v>
      </c>
      <c r="C116">
        <f>COUNTIF('Metrics - Articles'!H115,"*Global*")</f>
        <v>0</v>
      </c>
      <c r="D116">
        <f>COUNTIF('Metrics - Articles'!H115,"*EMEA*")</f>
        <v>0</v>
      </c>
      <c r="E116">
        <f>COUNTIF('Metrics - Articles'!H115,"*NA*")</f>
        <v>0</v>
      </c>
      <c r="F116">
        <f>COUNTIF('Metrics - Articles'!H115,"*APJ")</f>
        <v>0</v>
      </c>
      <c r="G116">
        <f>COUNTIF('Metrics - Articles'!H115,"*LATAM*")</f>
        <v>1</v>
      </c>
      <c r="H116">
        <f>COUNTIF('Metrics - Articles'!H115,"*China*")</f>
        <v>0</v>
      </c>
      <c r="J116" s="53">
        <f t="shared" si="2"/>
        <v>1</v>
      </c>
    </row>
    <row r="117" spans="2:10" hidden="1" x14ac:dyDescent="0.25">
      <c r="B117" s="48">
        <f>+'Metrics - Articles'!C116</f>
        <v>42107</v>
      </c>
      <c r="C117">
        <f>COUNTIF('Metrics - Articles'!H116,"*Global*")</f>
        <v>0</v>
      </c>
      <c r="D117">
        <f>COUNTIF('Metrics - Articles'!H116,"*EMEA*")</f>
        <v>0</v>
      </c>
      <c r="E117">
        <f>COUNTIF('Metrics - Articles'!H116,"*NA*")</f>
        <v>0</v>
      </c>
      <c r="F117">
        <f>COUNTIF('Metrics - Articles'!H116,"*APJ")</f>
        <v>0</v>
      </c>
      <c r="G117">
        <f>COUNTIF('Metrics - Articles'!H116,"*LATAM*")</f>
        <v>1</v>
      </c>
      <c r="H117">
        <f>COUNTIF('Metrics - Articles'!H116,"*China*")</f>
        <v>0</v>
      </c>
      <c r="J117" s="53">
        <f t="shared" si="2"/>
        <v>1</v>
      </c>
    </row>
    <row r="118" spans="2:10" hidden="1" x14ac:dyDescent="0.25">
      <c r="B118" s="48">
        <f>+'Metrics - Articles'!C117</f>
        <v>42107</v>
      </c>
      <c r="C118">
        <f>COUNTIF('Metrics - Articles'!H117,"*Global*")</f>
        <v>1</v>
      </c>
      <c r="D118">
        <f>COUNTIF('Metrics - Articles'!H117,"*EMEA*")</f>
        <v>0</v>
      </c>
      <c r="E118">
        <f>COUNTIF('Metrics - Articles'!H117,"*NA*")</f>
        <v>0</v>
      </c>
      <c r="F118">
        <f>COUNTIF('Metrics - Articles'!H117,"*APJ")</f>
        <v>0</v>
      </c>
      <c r="G118">
        <f>COUNTIF('Metrics - Articles'!H117,"*LATAM*")</f>
        <v>0</v>
      </c>
      <c r="H118">
        <f>COUNTIF('Metrics - Articles'!H117,"*China*")</f>
        <v>0</v>
      </c>
      <c r="J118" s="53">
        <f t="shared" si="2"/>
        <v>1</v>
      </c>
    </row>
    <row r="119" spans="2:10" hidden="1" x14ac:dyDescent="0.25">
      <c r="B119" s="48">
        <f>+'Metrics - Articles'!C118</f>
        <v>42107</v>
      </c>
      <c r="C119">
        <f>COUNTIF('Metrics - Articles'!H118,"*Global*")</f>
        <v>1</v>
      </c>
      <c r="D119">
        <f>COUNTIF('Metrics - Articles'!H118,"*EMEA*")</f>
        <v>0</v>
      </c>
      <c r="E119">
        <f>COUNTIF('Metrics - Articles'!H118,"*NA*")</f>
        <v>0</v>
      </c>
      <c r="F119">
        <f>COUNTIF('Metrics - Articles'!H118,"*APJ")</f>
        <v>0</v>
      </c>
      <c r="G119">
        <f>COUNTIF('Metrics - Articles'!H118,"*LATAM*")</f>
        <v>0</v>
      </c>
      <c r="H119">
        <f>COUNTIF('Metrics - Articles'!H118,"*China*")</f>
        <v>0</v>
      </c>
      <c r="J119" s="53">
        <f t="shared" si="2"/>
        <v>1</v>
      </c>
    </row>
    <row r="120" spans="2:10" hidden="1" x14ac:dyDescent="0.25">
      <c r="B120" s="48">
        <f>+'Metrics - Articles'!C119</f>
        <v>42108</v>
      </c>
      <c r="C120">
        <f>COUNTIF('Metrics - Articles'!H119,"*Global*")</f>
        <v>1</v>
      </c>
      <c r="D120">
        <f>COUNTIF('Metrics - Articles'!H119,"*EMEA*")</f>
        <v>0</v>
      </c>
      <c r="E120">
        <f>COUNTIF('Metrics - Articles'!H119,"*NA*")</f>
        <v>0</v>
      </c>
      <c r="F120">
        <f>COUNTIF('Metrics - Articles'!H119,"*APJ")</f>
        <v>0</v>
      </c>
      <c r="G120">
        <f>COUNTIF('Metrics - Articles'!H119,"*LATAM*")</f>
        <v>0</v>
      </c>
      <c r="H120">
        <f>COUNTIF('Metrics - Articles'!H119,"*China*")</f>
        <v>0</v>
      </c>
      <c r="J120" s="53">
        <f t="shared" si="2"/>
        <v>1</v>
      </c>
    </row>
    <row r="121" spans="2:10" hidden="1" x14ac:dyDescent="0.25">
      <c r="B121" s="48">
        <f>+'Metrics - Articles'!C120</f>
        <v>42109</v>
      </c>
      <c r="C121">
        <f>COUNTIF('Metrics - Articles'!H120,"*Global*")</f>
        <v>0</v>
      </c>
      <c r="D121">
        <f>COUNTIF('Metrics - Articles'!H120,"*EMEA*")</f>
        <v>1</v>
      </c>
      <c r="E121">
        <f>COUNTIF('Metrics - Articles'!H120,"*NA*")</f>
        <v>0</v>
      </c>
      <c r="F121">
        <f>COUNTIF('Metrics - Articles'!H120,"*APJ")</f>
        <v>0</v>
      </c>
      <c r="G121">
        <f>COUNTIF('Metrics - Articles'!H120,"*LATAM*")</f>
        <v>0</v>
      </c>
      <c r="H121">
        <f>COUNTIF('Metrics - Articles'!H120,"*China*")</f>
        <v>0</v>
      </c>
      <c r="J121" s="53">
        <f t="shared" si="2"/>
        <v>1</v>
      </c>
    </row>
    <row r="122" spans="2:10" hidden="1" x14ac:dyDescent="0.25">
      <c r="B122" s="48">
        <f>+'Metrics - Articles'!C121</f>
        <v>42109</v>
      </c>
      <c r="C122">
        <f>COUNTIF('Metrics - Articles'!H121,"*Global*")</f>
        <v>0</v>
      </c>
      <c r="D122">
        <f>COUNTIF('Metrics - Articles'!H121,"*EMEA*")</f>
        <v>1</v>
      </c>
      <c r="E122">
        <f>COUNTIF('Metrics - Articles'!H121,"*NA*")</f>
        <v>0</v>
      </c>
      <c r="F122">
        <f>COUNTIF('Metrics - Articles'!H121,"*APJ")</f>
        <v>0</v>
      </c>
      <c r="G122">
        <f>COUNTIF('Metrics - Articles'!H121,"*LATAM*")</f>
        <v>0</v>
      </c>
      <c r="H122">
        <f>COUNTIF('Metrics - Articles'!H121,"*China*")</f>
        <v>0</v>
      </c>
      <c r="J122" s="53">
        <f t="shared" si="2"/>
        <v>1</v>
      </c>
    </row>
    <row r="123" spans="2:10" hidden="1" x14ac:dyDescent="0.25">
      <c r="B123" s="48">
        <f>+'Metrics - Articles'!C122</f>
        <v>42109</v>
      </c>
      <c r="C123">
        <f>COUNTIF('Metrics - Articles'!H122,"*Global*")</f>
        <v>0</v>
      </c>
      <c r="D123">
        <f>COUNTIF('Metrics - Articles'!H122,"*EMEA*")</f>
        <v>1</v>
      </c>
      <c r="E123">
        <f>COUNTIF('Metrics - Articles'!H122,"*NA*")</f>
        <v>0</v>
      </c>
      <c r="F123">
        <f>COUNTIF('Metrics - Articles'!H122,"*APJ")</f>
        <v>0</v>
      </c>
      <c r="G123">
        <f>COUNTIF('Metrics - Articles'!H122,"*LATAM*")</f>
        <v>0</v>
      </c>
      <c r="H123">
        <f>COUNTIF('Metrics - Articles'!H122,"*China*")</f>
        <v>0</v>
      </c>
      <c r="J123" s="53">
        <f t="shared" si="2"/>
        <v>1</v>
      </c>
    </row>
    <row r="124" spans="2:10" hidden="1" x14ac:dyDescent="0.25">
      <c r="B124" s="48">
        <f>+'Metrics - Articles'!C123</f>
        <v>42110</v>
      </c>
      <c r="C124">
        <f>COUNTIF('Metrics - Articles'!H123,"*Global*")</f>
        <v>0</v>
      </c>
      <c r="D124">
        <f>COUNTIF('Metrics - Articles'!H123,"*EMEA*")</f>
        <v>1</v>
      </c>
      <c r="E124">
        <f>COUNTIF('Metrics - Articles'!H123,"*NA*")</f>
        <v>0</v>
      </c>
      <c r="F124">
        <f>COUNTIF('Metrics - Articles'!H123,"*APJ")</f>
        <v>0</v>
      </c>
      <c r="G124">
        <f>COUNTIF('Metrics - Articles'!H123,"*LATAM*")</f>
        <v>0</v>
      </c>
      <c r="H124">
        <f>COUNTIF('Metrics - Articles'!H123,"*China*")</f>
        <v>0</v>
      </c>
      <c r="J124" s="53">
        <f t="shared" si="2"/>
        <v>1</v>
      </c>
    </row>
    <row r="125" spans="2:10" hidden="1" x14ac:dyDescent="0.25">
      <c r="B125" s="48">
        <f>+'Metrics - Articles'!C124</f>
        <v>42110</v>
      </c>
      <c r="C125">
        <f>COUNTIF('Metrics - Articles'!H124,"*Global*")</f>
        <v>1</v>
      </c>
      <c r="D125">
        <f>COUNTIF('Metrics - Articles'!H124,"*EMEA*")</f>
        <v>0</v>
      </c>
      <c r="E125">
        <f>COUNTIF('Metrics - Articles'!H124,"*NA*")</f>
        <v>0</v>
      </c>
      <c r="F125">
        <f>COUNTIF('Metrics - Articles'!H124,"*APJ")</f>
        <v>0</v>
      </c>
      <c r="G125">
        <f>COUNTIF('Metrics - Articles'!H124,"*LATAM*")</f>
        <v>0</v>
      </c>
      <c r="H125">
        <f>COUNTIF('Metrics - Articles'!H124,"*China*")</f>
        <v>0</v>
      </c>
      <c r="J125" s="53">
        <f t="shared" si="2"/>
        <v>1</v>
      </c>
    </row>
    <row r="126" spans="2:10" hidden="1" x14ac:dyDescent="0.25">
      <c r="B126" s="48">
        <f>+'Metrics - Articles'!C125</f>
        <v>42110</v>
      </c>
      <c r="C126">
        <f>COUNTIF('Metrics - Articles'!H125,"*Global*")</f>
        <v>0</v>
      </c>
      <c r="D126">
        <f>COUNTIF('Metrics - Articles'!H125,"*EMEA*")</f>
        <v>1</v>
      </c>
      <c r="E126">
        <f>COUNTIF('Metrics - Articles'!H125,"*NA*")</f>
        <v>0</v>
      </c>
      <c r="F126">
        <f>COUNTIF('Metrics - Articles'!H125,"*APJ")</f>
        <v>0</v>
      </c>
      <c r="G126">
        <f>COUNTIF('Metrics - Articles'!H125,"*LATAM*")</f>
        <v>0</v>
      </c>
      <c r="H126">
        <f>COUNTIF('Metrics - Articles'!H125,"*China*")</f>
        <v>0</v>
      </c>
      <c r="J126" s="53">
        <f t="shared" si="2"/>
        <v>1</v>
      </c>
    </row>
    <row r="127" spans="2:10" hidden="1" x14ac:dyDescent="0.25">
      <c r="B127" s="48">
        <f>+'Metrics - Articles'!C126</f>
        <v>42111</v>
      </c>
      <c r="C127">
        <f>COUNTIF('Metrics - Articles'!H126,"*Global*")</f>
        <v>1</v>
      </c>
      <c r="D127">
        <f>COUNTIF('Metrics - Articles'!H126,"*EMEA*")</f>
        <v>0</v>
      </c>
      <c r="E127">
        <f>COUNTIF('Metrics - Articles'!H126,"*NA*")</f>
        <v>0</v>
      </c>
      <c r="F127">
        <f>COUNTIF('Metrics - Articles'!H126,"*APJ")</f>
        <v>0</v>
      </c>
      <c r="G127">
        <f>COUNTIF('Metrics - Articles'!H126,"*LATAM*")</f>
        <v>0</v>
      </c>
      <c r="H127">
        <f>COUNTIF('Metrics - Articles'!H126,"*China*")</f>
        <v>0</v>
      </c>
      <c r="J127" s="53">
        <f t="shared" si="2"/>
        <v>1</v>
      </c>
    </row>
    <row r="128" spans="2:10" hidden="1" x14ac:dyDescent="0.25">
      <c r="B128" s="48">
        <f>+'Metrics - Articles'!C127</f>
        <v>42114</v>
      </c>
      <c r="C128">
        <f>COUNTIF('Metrics - Articles'!H127,"*Global*")</f>
        <v>0</v>
      </c>
      <c r="D128">
        <f>COUNTIF('Metrics - Articles'!H127,"*EMEA*")</f>
        <v>0</v>
      </c>
      <c r="E128">
        <f>COUNTIF('Metrics - Articles'!H127,"*NA*")</f>
        <v>0</v>
      </c>
      <c r="F128">
        <f>COUNTIF('Metrics - Articles'!H127,"*APJ")</f>
        <v>1</v>
      </c>
      <c r="G128">
        <f>COUNTIF('Metrics - Articles'!H127,"*LATAM*")</f>
        <v>0</v>
      </c>
      <c r="H128">
        <f>COUNTIF('Metrics - Articles'!H127,"*China*")</f>
        <v>0</v>
      </c>
      <c r="J128" s="53">
        <f t="shared" si="2"/>
        <v>1</v>
      </c>
    </row>
    <row r="129" spans="2:10" hidden="1" x14ac:dyDescent="0.25">
      <c r="B129" s="48">
        <f>+'Metrics - Articles'!C128</f>
        <v>42114</v>
      </c>
      <c r="C129">
        <f>COUNTIF('Metrics - Articles'!H128,"*Global*")</f>
        <v>1</v>
      </c>
      <c r="D129">
        <f>COUNTIF('Metrics - Articles'!H128,"*EMEA*")</f>
        <v>0</v>
      </c>
      <c r="E129">
        <f>COUNTIF('Metrics - Articles'!H128,"*NA*")</f>
        <v>0</v>
      </c>
      <c r="F129">
        <f>COUNTIF('Metrics - Articles'!H128,"*APJ")</f>
        <v>0</v>
      </c>
      <c r="G129">
        <f>COUNTIF('Metrics - Articles'!H128,"*LATAM*")</f>
        <v>0</v>
      </c>
      <c r="H129">
        <f>COUNTIF('Metrics - Articles'!H128,"*China*")</f>
        <v>0</v>
      </c>
      <c r="J129" s="53">
        <f t="shared" si="2"/>
        <v>1</v>
      </c>
    </row>
    <row r="130" spans="2:10" hidden="1" x14ac:dyDescent="0.25">
      <c r="B130" s="48">
        <f>+'Metrics - Articles'!C129</f>
        <v>42114</v>
      </c>
      <c r="C130">
        <f>COUNTIF('Metrics - Articles'!H129,"*Global*")</f>
        <v>0</v>
      </c>
      <c r="D130">
        <f>COUNTIF('Metrics - Articles'!H129,"*EMEA*")</f>
        <v>0</v>
      </c>
      <c r="E130">
        <f>COUNTIF('Metrics - Articles'!H129,"*NA*")</f>
        <v>0</v>
      </c>
      <c r="F130">
        <f>COUNTIF('Metrics - Articles'!H129,"*APJ")</f>
        <v>1</v>
      </c>
      <c r="G130">
        <f>COUNTIF('Metrics - Articles'!H129,"*LATAM*")</f>
        <v>0</v>
      </c>
      <c r="H130">
        <f>COUNTIF('Metrics - Articles'!H129,"*China*")</f>
        <v>0</v>
      </c>
      <c r="J130" s="53">
        <f t="shared" si="2"/>
        <v>1</v>
      </c>
    </row>
    <row r="131" spans="2:10" hidden="1" x14ac:dyDescent="0.25">
      <c r="B131" s="48">
        <f>+'Metrics - Articles'!C130</f>
        <v>42115</v>
      </c>
      <c r="C131">
        <f>COUNTIF('Metrics - Articles'!H130,"*Global*")</f>
        <v>1</v>
      </c>
      <c r="D131">
        <f>COUNTIF('Metrics - Articles'!H130,"*EMEA*")</f>
        <v>0</v>
      </c>
      <c r="E131">
        <f>COUNTIF('Metrics - Articles'!H130,"*NA*")</f>
        <v>0</v>
      </c>
      <c r="F131">
        <f>COUNTIF('Metrics - Articles'!H130,"*APJ")</f>
        <v>0</v>
      </c>
      <c r="G131">
        <f>COUNTIF('Metrics - Articles'!H130,"*LATAM*")</f>
        <v>0</v>
      </c>
      <c r="H131">
        <f>COUNTIF('Metrics - Articles'!H130,"*China*")</f>
        <v>0</v>
      </c>
      <c r="J131" s="53">
        <f t="shared" si="2"/>
        <v>1</v>
      </c>
    </row>
    <row r="132" spans="2:10" hidden="1" x14ac:dyDescent="0.25">
      <c r="B132" s="48">
        <f>+'Metrics - Articles'!C131</f>
        <v>42116</v>
      </c>
      <c r="C132">
        <f>COUNTIF('Metrics - Articles'!H131,"*Global*")</f>
        <v>1</v>
      </c>
      <c r="D132">
        <f>COUNTIF('Metrics - Articles'!H131,"*EMEA*")</f>
        <v>0</v>
      </c>
      <c r="E132">
        <f>COUNTIF('Metrics - Articles'!H131,"*NA*")</f>
        <v>0</v>
      </c>
      <c r="F132">
        <f>COUNTIF('Metrics - Articles'!H131,"*APJ")</f>
        <v>0</v>
      </c>
      <c r="G132">
        <f>COUNTIF('Metrics - Articles'!H131,"*LATAM*")</f>
        <v>0</v>
      </c>
      <c r="H132">
        <f>COUNTIF('Metrics - Articles'!H131,"*China*")</f>
        <v>0</v>
      </c>
      <c r="J132" s="53">
        <f t="shared" si="2"/>
        <v>1</v>
      </c>
    </row>
    <row r="133" spans="2:10" hidden="1" x14ac:dyDescent="0.25">
      <c r="B133" s="48">
        <f>+'Metrics - Articles'!C132</f>
        <v>42116</v>
      </c>
      <c r="C133">
        <f>COUNTIF('Metrics - Articles'!H132,"*Global*")</f>
        <v>0</v>
      </c>
      <c r="D133">
        <f>COUNTIF('Metrics - Articles'!H132,"*EMEA*")</f>
        <v>1</v>
      </c>
      <c r="E133">
        <f>COUNTIF('Metrics - Articles'!H132,"*NA*")</f>
        <v>0</v>
      </c>
      <c r="F133">
        <f>COUNTIF('Metrics - Articles'!H132,"*APJ")</f>
        <v>0</v>
      </c>
      <c r="G133">
        <f>COUNTIF('Metrics - Articles'!H132,"*LATAM*")</f>
        <v>0</v>
      </c>
      <c r="H133">
        <f>COUNTIF('Metrics - Articles'!H132,"*China*")</f>
        <v>0</v>
      </c>
      <c r="J133" s="53">
        <f t="shared" si="2"/>
        <v>1</v>
      </c>
    </row>
    <row r="134" spans="2:10" hidden="1" x14ac:dyDescent="0.25">
      <c r="B134" s="48">
        <f>+'Metrics - Articles'!C133</f>
        <v>42116</v>
      </c>
      <c r="C134">
        <f>COUNTIF('Metrics - Articles'!H133,"*Global*")</f>
        <v>1</v>
      </c>
      <c r="D134">
        <f>COUNTIF('Metrics - Articles'!H133,"*EMEA*")</f>
        <v>0</v>
      </c>
      <c r="E134">
        <f>COUNTIF('Metrics - Articles'!H133,"*NA*")</f>
        <v>0</v>
      </c>
      <c r="F134">
        <f>COUNTIF('Metrics - Articles'!H133,"*APJ")</f>
        <v>0</v>
      </c>
      <c r="G134">
        <f>COUNTIF('Metrics - Articles'!H133,"*LATAM*")</f>
        <v>0</v>
      </c>
      <c r="H134">
        <f>COUNTIF('Metrics - Articles'!H133,"*China*")</f>
        <v>0</v>
      </c>
      <c r="J134" s="53">
        <f t="shared" si="2"/>
        <v>1</v>
      </c>
    </row>
    <row r="135" spans="2:10" hidden="1" x14ac:dyDescent="0.25">
      <c r="B135" s="48">
        <f>+'Metrics - Articles'!C134</f>
        <v>42116</v>
      </c>
      <c r="C135">
        <f>COUNTIF('Metrics - Articles'!H134,"*Global*")</f>
        <v>1</v>
      </c>
      <c r="D135">
        <f>COUNTIF('Metrics - Articles'!H134,"*EMEA*")</f>
        <v>0</v>
      </c>
      <c r="E135">
        <f>COUNTIF('Metrics - Articles'!H134,"*NA*")</f>
        <v>0</v>
      </c>
      <c r="F135">
        <f>COUNTIF('Metrics - Articles'!H134,"*APJ")</f>
        <v>0</v>
      </c>
      <c r="G135">
        <f>COUNTIF('Metrics - Articles'!H134,"*LATAM*")</f>
        <v>0</v>
      </c>
      <c r="H135">
        <f>COUNTIF('Metrics - Articles'!H134,"*China*")</f>
        <v>0</v>
      </c>
      <c r="J135" s="53">
        <f t="shared" si="2"/>
        <v>1</v>
      </c>
    </row>
    <row r="136" spans="2:10" hidden="1" x14ac:dyDescent="0.25">
      <c r="B136" s="48">
        <f>+'Metrics - Articles'!C135</f>
        <v>42117</v>
      </c>
      <c r="C136">
        <f>COUNTIF('Metrics - Articles'!H135,"*Global*")</f>
        <v>1</v>
      </c>
      <c r="D136">
        <f>COUNTIF('Metrics - Articles'!H135,"*EMEA*")</f>
        <v>0</v>
      </c>
      <c r="E136">
        <f>COUNTIF('Metrics - Articles'!H135,"*NA*")</f>
        <v>0</v>
      </c>
      <c r="F136">
        <f>COUNTIF('Metrics - Articles'!H135,"*APJ")</f>
        <v>0</v>
      </c>
      <c r="G136">
        <f>COUNTIF('Metrics - Articles'!H135,"*LATAM*")</f>
        <v>0</v>
      </c>
      <c r="H136">
        <f>COUNTIF('Metrics - Articles'!H135,"*China*")</f>
        <v>0</v>
      </c>
      <c r="J136" s="53">
        <f t="shared" si="2"/>
        <v>1</v>
      </c>
    </row>
    <row r="137" spans="2:10" hidden="1" x14ac:dyDescent="0.25">
      <c r="B137" s="48">
        <f>+'Metrics - Articles'!C136</f>
        <v>42118</v>
      </c>
      <c r="C137">
        <f>COUNTIF('Metrics - Articles'!H136,"*Global*")</f>
        <v>1</v>
      </c>
      <c r="D137">
        <f>COUNTIF('Metrics - Articles'!H136,"*EMEA*")</f>
        <v>0</v>
      </c>
      <c r="E137">
        <f>COUNTIF('Metrics - Articles'!H136,"*NA*")</f>
        <v>0</v>
      </c>
      <c r="F137">
        <f>COUNTIF('Metrics - Articles'!H136,"*APJ")</f>
        <v>0</v>
      </c>
      <c r="G137">
        <f>COUNTIF('Metrics - Articles'!H136,"*LATAM*")</f>
        <v>0</v>
      </c>
      <c r="H137">
        <f>COUNTIF('Metrics - Articles'!H136,"*China*")</f>
        <v>0</v>
      </c>
      <c r="J137" s="53">
        <f t="shared" si="2"/>
        <v>1</v>
      </c>
    </row>
    <row r="138" spans="2:10" hidden="1" x14ac:dyDescent="0.25">
      <c r="B138" s="48">
        <f>+'Metrics - Articles'!C137</f>
        <v>42118</v>
      </c>
      <c r="C138">
        <f>COUNTIF('Metrics - Articles'!H137,"*Global*")</f>
        <v>1</v>
      </c>
      <c r="D138">
        <f>COUNTIF('Metrics - Articles'!H137,"*EMEA*")</f>
        <v>0</v>
      </c>
      <c r="E138">
        <f>COUNTIF('Metrics - Articles'!H137,"*NA*")</f>
        <v>0</v>
      </c>
      <c r="F138">
        <f>COUNTIF('Metrics - Articles'!H137,"*APJ")</f>
        <v>0</v>
      </c>
      <c r="G138">
        <f>COUNTIF('Metrics - Articles'!H137,"*LATAM*")</f>
        <v>0</v>
      </c>
      <c r="H138">
        <f>COUNTIF('Metrics - Articles'!H137,"*China*")</f>
        <v>0</v>
      </c>
      <c r="J138" s="53">
        <f t="shared" ref="J138:J201" si="3">SUM(C138:I138)</f>
        <v>1</v>
      </c>
    </row>
    <row r="139" spans="2:10" hidden="1" x14ac:dyDescent="0.25">
      <c r="B139" s="48">
        <f>+'Metrics - Articles'!C138</f>
        <v>42121</v>
      </c>
      <c r="C139">
        <f>COUNTIF('Metrics - Articles'!H138,"*Global*")</f>
        <v>1</v>
      </c>
      <c r="D139">
        <f>COUNTIF('Metrics - Articles'!H138,"*EMEA*")</f>
        <v>0</v>
      </c>
      <c r="E139">
        <f>COUNTIF('Metrics - Articles'!H138,"*NA*")</f>
        <v>0</v>
      </c>
      <c r="F139">
        <f>COUNTIF('Metrics - Articles'!H138,"*APJ")</f>
        <v>0</v>
      </c>
      <c r="G139">
        <f>COUNTIF('Metrics - Articles'!H138,"*LATAM*")</f>
        <v>0</v>
      </c>
      <c r="H139">
        <f>COUNTIF('Metrics - Articles'!H138,"*China*")</f>
        <v>0</v>
      </c>
      <c r="J139" s="53">
        <f t="shared" si="3"/>
        <v>1</v>
      </c>
    </row>
    <row r="140" spans="2:10" hidden="1" x14ac:dyDescent="0.25">
      <c r="B140" s="48">
        <f>+'Metrics - Articles'!C139</f>
        <v>42121</v>
      </c>
      <c r="C140">
        <f>COUNTIF('Metrics - Articles'!H139,"*Global*")</f>
        <v>0</v>
      </c>
      <c r="D140">
        <f>COUNTIF('Metrics - Articles'!H139,"*EMEA*")</f>
        <v>1</v>
      </c>
      <c r="E140">
        <f>COUNTIF('Metrics - Articles'!H139,"*NA*")</f>
        <v>0</v>
      </c>
      <c r="F140">
        <f>COUNTIF('Metrics - Articles'!H139,"*APJ")</f>
        <v>0</v>
      </c>
      <c r="G140">
        <f>COUNTIF('Metrics - Articles'!H139,"*LATAM*")</f>
        <v>0</v>
      </c>
      <c r="H140">
        <f>COUNTIF('Metrics - Articles'!H139,"*China*")</f>
        <v>0</v>
      </c>
      <c r="J140" s="53">
        <f t="shared" si="3"/>
        <v>1</v>
      </c>
    </row>
    <row r="141" spans="2:10" hidden="1" x14ac:dyDescent="0.25">
      <c r="B141" s="48">
        <f>+'Metrics - Articles'!C140</f>
        <v>42122</v>
      </c>
      <c r="C141">
        <f>COUNTIF('Metrics - Articles'!H140,"*Global*")</f>
        <v>1</v>
      </c>
      <c r="D141">
        <f>COUNTIF('Metrics - Articles'!H140,"*EMEA*")</f>
        <v>0</v>
      </c>
      <c r="E141">
        <f>COUNTIF('Metrics - Articles'!H140,"*NA*")</f>
        <v>0</v>
      </c>
      <c r="F141">
        <f>COUNTIF('Metrics - Articles'!H140,"*APJ")</f>
        <v>0</v>
      </c>
      <c r="G141">
        <f>COUNTIF('Metrics - Articles'!H140,"*LATAM*")</f>
        <v>0</v>
      </c>
      <c r="H141">
        <f>COUNTIF('Metrics - Articles'!H140,"*China*")</f>
        <v>0</v>
      </c>
      <c r="J141" s="53">
        <f t="shared" si="3"/>
        <v>1</v>
      </c>
    </row>
    <row r="142" spans="2:10" hidden="1" x14ac:dyDescent="0.25">
      <c r="B142" s="48">
        <f>+'Metrics - Articles'!C141</f>
        <v>42122</v>
      </c>
      <c r="C142">
        <f>COUNTIF('Metrics - Articles'!H141,"*Global*")</f>
        <v>1</v>
      </c>
      <c r="D142">
        <f>COUNTIF('Metrics - Articles'!H141,"*EMEA*")</f>
        <v>0</v>
      </c>
      <c r="E142">
        <f>COUNTIF('Metrics - Articles'!H141,"*NA*")</f>
        <v>0</v>
      </c>
      <c r="F142">
        <f>COUNTIF('Metrics - Articles'!H141,"*APJ")</f>
        <v>0</v>
      </c>
      <c r="G142">
        <f>COUNTIF('Metrics - Articles'!H141,"*LATAM*")</f>
        <v>0</v>
      </c>
      <c r="H142">
        <f>COUNTIF('Metrics - Articles'!H141,"*China*")</f>
        <v>0</v>
      </c>
      <c r="J142" s="53">
        <f t="shared" si="3"/>
        <v>1</v>
      </c>
    </row>
    <row r="143" spans="2:10" hidden="1" x14ac:dyDescent="0.25">
      <c r="B143" s="48">
        <f>+'Metrics - Articles'!C142</f>
        <v>42122</v>
      </c>
      <c r="C143">
        <f>COUNTIF('Metrics - Articles'!H142,"*Global*")</f>
        <v>0</v>
      </c>
      <c r="D143">
        <f>COUNTIF('Metrics - Articles'!H142,"*EMEA*")</f>
        <v>1</v>
      </c>
      <c r="E143">
        <f>COUNTIF('Metrics - Articles'!H142,"*NA*")</f>
        <v>0</v>
      </c>
      <c r="F143">
        <f>COUNTIF('Metrics - Articles'!H142,"*APJ")</f>
        <v>0</v>
      </c>
      <c r="G143">
        <f>COUNTIF('Metrics - Articles'!H142,"*LATAM*")</f>
        <v>0</v>
      </c>
      <c r="H143">
        <f>COUNTIF('Metrics - Articles'!H142,"*China*")</f>
        <v>0</v>
      </c>
      <c r="J143" s="53">
        <f t="shared" si="3"/>
        <v>1</v>
      </c>
    </row>
    <row r="144" spans="2:10" hidden="1" x14ac:dyDescent="0.25">
      <c r="B144" s="48">
        <f>+'Metrics - Articles'!C143</f>
        <v>42123</v>
      </c>
      <c r="C144">
        <f>COUNTIF('Metrics - Articles'!H143,"*Global*")</f>
        <v>0</v>
      </c>
      <c r="D144">
        <f>COUNTIF('Metrics - Articles'!H143,"*EMEA*")</f>
        <v>1</v>
      </c>
      <c r="E144">
        <f>COUNTIF('Metrics - Articles'!H143,"*NA*")</f>
        <v>0</v>
      </c>
      <c r="F144">
        <f>COUNTIF('Metrics - Articles'!H143,"*APJ")</f>
        <v>0</v>
      </c>
      <c r="G144">
        <f>COUNTIF('Metrics - Articles'!H143,"*LATAM*")</f>
        <v>0</v>
      </c>
      <c r="H144">
        <f>COUNTIF('Metrics - Articles'!H143,"*China*")</f>
        <v>0</v>
      </c>
      <c r="J144" s="53">
        <f t="shared" si="3"/>
        <v>1</v>
      </c>
    </row>
    <row r="145" spans="2:10" hidden="1" x14ac:dyDescent="0.25">
      <c r="B145" s="48">
        <f>+'Metrics - Articles'!C144</f>
        <v>42123</v>
      </c>
      <c r="C145">
        <f>COUNTIF('Metrics - Articles'!H144,"*Global*")</f>
        <v>1</v>
      </c>
      <c r="D145">
        <f>COUNTIF('Metrics - Articles'!H144,"*EMEA*")</f>
        <v>0</v>
      </c>
      <c r="E145">
        <f>COUNTIF('Metrics - Articles'!H144,"*NA*")</f>
        <v>0</v>
      </c>
      <c r="F145">
        <f>COUNTIF('Metrics - Articles'!H144,"*APJ")</f>
        <v>0</v>
      </c>
      <c r="G145">
        <f>COUNTIF('Metrics - Articles'!H144,"*LATAM*")</f>
        <v>0</v>
      </c>
      <c r="H145">
        <f>COUNTIF('Metrics - Articles'!H144,"*China*")</f>
        <v>0</v>
      </c>
      <c r="J145" s="53">
        <f t="shared" si="3"/>
        <v>1</v>
      </c>
    </row>
    <row r="146" spans="2:10" hidden="1" x14ac:dyDescent="0.25">
      <c r="B146" s="48">
        <f>+'Metrics - Articles'!C145</f>
        <v>42124</v>
      </c>
      <c r="C146">
        <f>COUNTIF('Metrics - Articles'!H145,"*Global*")</f>
        <v>1</v>
      </c>
      <c r="D146">
        <f>COUNTIF('Metrics - Articles'!H145,"*EMEA*")</f>
        <v>0</v>
      </c>
      <c r="E146">
        <f>COUNTIF('Metrics - Articles'!H145,"*NA*")</f>
        <v>0</v>
      </c>
      <c r="F146">
        <f>COUNTIF('Metrics - Articles'!H145,"*APJ")</f>
        <v>0</v>
      </c>
      <c r="G146">
        <f>COUNTIF('Metrics - Articles'!H145,"*LATAM*")</f>
        <v>0</v>
      </c>
      <c r="H146">
        <f>COUNTIF('Metrics - Articles'!H145,"*China*")</f>
        <v>0</v>
      </c>
      <c r="J146" s="53">
        <f t="shared" si="3"/>
        <v>1</v>
      </c>
    </row>
    <row r="147" spans="2:10" hidden="1" x14ac:dyDescent="0.25">
      <c r="B147" s="48">
        <f>+'Metrics - Articles'!C146</f>
        <v>42124</v>
      </c>
      <c r="C147">
        <f>COUNTIF('Metrics - Articles'!H146,"*Global*")</f>
        <v>1</v>
      </c>
      <c r="D147">
        <f>COUNTIF('Metrics - Articles'!H146,"*EMEA*")</f>
        <v>0</v>
      </c>
      <c r="E147">
        <f>COUNTIF('Metrics - Articles'!H146,"*NA*")</f>
        <v>0</v>
      </c>
      <c r="F147">
        <f>COUNTIF('Metrics - Articles'!H146,"*APJ")</f>
        <v>0</v>
      </c>
      <c r="G147">
        <f>COUNTIF('Metrics - Articles'!H146,"*LATAM*")</f>
        <v>0</v>
      </c>
      <c r="H147">
        <f>COUNTIF('Metrics - Articles'!H146,"*China*")</f>
        <v>0</v>
      </c>
      <c r="J147" s="53">
        <f t="shared" si="3"/>
        <v>1</v>
      </c>
    </row>
    <row r="148" spans="2:10" hidden="1" x14ac:dyDescent="0.25">
      <c r="B148" s="48">
        <f>+'Metrics - Articles'!C147</f>
        <v>42124</v>
      </c>
      <c r="C148">
        <f>COUNTIF('Metrics - Articles'!H147,"*Global*")</f>
        <v>1</v>
      </c>
      <c r="D148">
        <f>COUNTIF('Metrics - Articles'!H147,"*EMEA*")</f>
        <v>0</v>
      </c>
      <c r="E148">
        <f>COUNTIF('Metrics - Articles'!H147,"*NA*")</f>
        <v>0</v>
      </c>
      <c r="F148">
        <f>COUNTIF('Metrics - Articles'!H147,"*APJ")</f>
        <v>0</v>
      </c>
      <c r="G148">
        <f>COUNTIF('Metrics - Articles'!H147,"*LATAM*")</f>
        <v>0</v>
      </c>
      <c r="H148">
        <f>COUNTIF('Metrics - Articles'!H147,"*China*")</f>
        <v>0</v>
      </c>
      <c r="J148" s="53">
        <f t="shared" si="3"/>
        <v>1</v>
      </c>
    </row>
    <row r="149" spans="2:10" hidden="1" x14ac:dyDescent="0.25">
      <c r="B149" s="48">
        <f>+'Metrics - Articles'!C148</f>
        <v>42124</v>
      </c>
      <c r="C149">
        <f>COUNTIF('Metrics - Articles'!H148,"*Global*")</f>
        <v>1</v>
      </c>
      <c r="D149">
        <f>COUNTIF('Metrics - Articles'!H148,"*EMEA*")</f>
        <v>0</v>
      </c>
      <c r="E149">
        <f>COUNTIF('Metrics - Articles'!H148,"*NA*")</f>
        <v>0</v>
      </c>
      <c r="F149">
        <f>COUNTIF('Metrics - Articles'!H148,"*APJ")</f>
        <v>0</v>
      </c>
      <c r="G149">
        <f>COUNTIF('Metrics - Articles'!H148,"*LATAM*")</f>
        <v>0</v>
      </c>
      <c r="H149">
        <f>COUNTIF('Metrics - Articles'!H148,"*China*")</f>
        <v>0</v>
      </c>
      <c r="J149" s="53">
        <f t="shared" si="3"/>
        <v>1</v>
      </c>
    </row>
    <row r="150" spans="2:10" hidden="1" x14ac:dyDescent="0.25">
      <c r="B150" s="48">
        <f>+'Metrics - Articles'!C149</f>
        <v>42125</v>
      </c>
      <c r="C150">
        <f>COUNTIF('Metrics - Articles'!H149,"*Global*")</f>
        <v>1</v>
      </c>
      <c r="D150">
        <f>COUNTIF('Metrics - Articles'!H149,"*EMEA*")</f>
        <v>0</v>
      </c>
      <c r="E150">
        <f>COUNTIF('Metrics - Articles'!H149,"*NA*")</f>
        <v>0</v>
      </c>
      <c r="F150">
        <f>COUNTIF('Metrics - Articles'!H149,"*APJ")</f>
        <v>0</v>
      </c>
      <c r="G150">
        <f>COUNTIF('Metrics - Articles'!H149,"*LATAM*")</f>
        <v>0</v>
      </c>
      <c r="H150">
        <f>COUNTIF('Metrics - Articles'!H149,"*China*")</f>
        <v>0</v>
      </c>
      <c r="J150" s="53">
        <f t="shared" si="3"/>
        <v>1</v>
      </c>
    </row>
    <row r="151" spans="2:10" hidden="1" x14ac:dyDescent="0.25">
      <c r="B151" s="48">
        <f>+'Metrics - Articles'!C150</f>
        <v>42125</v>
      </c>
      <c r="C151">
        <f>COUNTIF('Metrics - Articles'!H150,"*Global*")</f>
        <v>1</v>
      </c>
      <c r="D151">
        <f>COUNTIF('Metrics - Articles'!H150,"*EMEA*")</f>
        <v>0</v>
      </c>
      <c r="E151">
        <f>COUNTIF('Metrics - Articles'!H150,"*NA*")</f>
        <v>0</v>
      </c>
      <c r="F151">
        <f>COUNTIF('Metrics - Articles'!H150,"*APJ")</f>
        <v>0</v>
      </c>
      <c r="G151">
        <f>COUNTIF('Metrics - Articles'!H150,"*LATAM*")</f>
        <v>0</v>
      </c>
      <c r="H151">
        <f>COUNTIF('Metrics - Articles'!H150,"*China*")</f>
        <v>0</v>
      </c>
      <c r="J151" s="53">
        <f t="shared" si="3"/>
        <v>1</v>
      </c>
    </row>
    <row r="152" spans="2:10" hidden="1" x14ac:dyDescent="0.25">
      <c r="B152" s="48">
        <f>+'Metrics - Articles'!C151</f>
        <v>42125</v>
      </c>
      <c r="C152">
        <f>COUNTIF('Metrics - Articles'!H151,"*Global*")</f>
        <v>1</v>
      </c>
      <c r="D152">
        <f>COUNTIF('Metrics - Articles'!H151,"*EMEA*")</f>
        <v>0</v>
      </c>
      <c r="E152">
        <f>COUNTIF('Metrics - Articles'!H151,"*NA*")</f>
        <v>0</v>
      </c>
      <c r="F152">
        <f>COUNTIF('Metrics - Articles'!H151,"*APJ")</f>
        <v>0</v>
      </c>
      <c r="G152">
        <f>COUNTIF('Metrics - Articles'!H151,"*LATAM*")</f>
        <v>0</v>
      </c>
      <c r="H152">
        <f>COUNTIF('Metrics - Articles'!H151,"*China*")</f>
        <v>0</v>
      </c>
      <c r="J152" s="53">
        <f t="shared" si="3"/>
        <v>1</v>
      </c>
    </row>
    <row r="153" spans="2:10" hidden="1" x14ac:dyDescent="0.25">
      <c r="B153" s="48">
        <f>+'Metrics - Articles'!C152</f>
        <v>42128</v>
      </c>
      <c r="C153">
        <f>COUNTIF('Metrics - Articles'!H152,"*Global*")</f>
        <v>1</v>
      </c>
      <c r="D153">
        <f>COUNTIF('Metrics - Articles'!H152,"*EMEA*")</f>
        <v>0</v>
      </c>
      <c r="E153">
        <f>COUNTIF('Metrics - Articles'!H152,"*NA*")</f>
        <v>0</v>
      </c>
      <c r="F153">
        <f>COUNTIF('Metrics - Articles'!H152,"*APJ")</f>
        <v>0</v>
      </c>
      <c r="G153">
        <f>COUNTIF('Metrics - Articles'!H152,"*LATAM*")</f>
        <v>0</v>
      </c>
      <c r="H153">
        <f>COUNTIF('Metrics - Articles'!H152,"*China*")</f>
        <v>0</v>
      </c>
      <c r="J153" s="53">
        <f t="shared" si="3"/>
        <v>1</v>
      </c>
    </row>
    <row r="154" spans="2:10" hidden="1" x14ac:dyDescent="0.25">
      <c r="B154" s="48">
        <f>+'Metrics - Articles'!C153</f>
        <v>42128</v>
      </c>
      <c r="C154">
        <f>COUNTIF('Metrics - Articles'!H153,"*Global*")</f>
        <v>0</v>
      </c>
      <c r="D154">
        <f>COUNTIF('Metrics - Articles'!H153,"*EMEA*")</f>
        <v>1</v>
      </c>
      <c r="E154">
        <f>COUNTIF('Metrics - Articles'!H153,"*NA*")</f>
        <v>0</v>
      </c>
      <c r="F154">
        <f>COUNTIF('Metrics - Articles'!H153,"*APJ")</f>
        <v>0</v>
      </c>
      <c r="G154">
        <f>COUNTIF('Metrics - Articles'!H153,"*LATAM*")</f>
        <v>0</v>
      </c>
      <c r="H154">
        <f>COUNTIF('Metrics - Articles'!H153,"*China*")</f>
        <v>0</v>
      </c>
      <c r="J154" s="53">
        <f t="shared" si="3"/>
        <v>1</v>
      </c>
    </row>
    <row r="155" spans="2:10" hidden="1" x14ac:dyDescent="0.25">
      <c r="B155" s="48">
        <f>+'Metrics - Articles'!C154</f>
        <v>42130</v>
      </c>
      <c r="C155">
        <f>COUNTIF('Metrics - Articles'!H154,"*Global*")</f>
        <v>1</v>
      </c>
      <c r="D155">
        <f>COUNTIF('Metrics - Articles'!H154,"*EMEA*")</f>
        <v>0</v>
      </c>
      <c r="E155">
        <f>COUNTIF('Metrics - Articles'!H154,"*NA*")</f>
        <v>0</v>
      </c>
      <c r="F155">
        <f>COUNTIF('Metrics - Articles'!H154,"*APJ")</f>
        <v>0</v>
      </c>
      <c r="G155">
        <f>COUNTIF('Metrics - Articles'!H154,"*LATAM*")</f>
        <v>0</v>
      </c>
      <c r="H155">
        <f>COUNTIF('Metrics - Articles'!H154,"*China*")</f>
        <v>0</v>
      </c>
      <c r="J155" s="53">
        <f t="shared" si="3"/>
        <v>1</v>
      </c>
    </row>
    <row r="156" spans="2:10" hidden="1" x14ac:dyDescent="0.25">
      <c r="B156" s="48">
        <f>+'Metrics - Articles'!C155</f>
        <v>42130</v>
      </c>
      <c r="C156">
        <f>COUNTIF('Metrics - Articles'!H155,"*Global*")</f>
        <v>1</v>
      </c>
      <c r="D156">
        <f>COUNTIF('Metrics - Articles'!H155,"*EMEA*")</f>
        <v>0</v>
      </c>
      <c r="E156">
        <f>COUNTIF('Metrics - Articles'!H155,"*NA*")</f>
        <v>0</v>
      </c>
      <c r="F156">
        <f>COUNTIF('Metrics - Articles'!H155,"*APJ")</f>
        <v>0</v>
      </c>
      <c r="G156">
        <f>COUNTIF('Metrics - Articles'!H155,"*LATAM*")</f>
        <v>0</v>
      </c>
      <c r="H156">
        <f>COUNTIF('Metrics - Articles'!H155,"*China*")</f>
        <v>0</v>
      </c>
      <c r="J156" s="53">
        <f t="shared" si="3"/>
        <v>1</v>
      </c>
    </row>
    <row r="157" spans="2:10" hidden="1" x14ac:dyDescent="0.25">
      <c r="B157" s="48">
        <f>+'Metrics - Articles'!C156</f>
        <v>42131</v>
      </c>
      <c r="C157">
        <f>COUNTIF('Metrics - Articles'!H156,"*Global*")</f>
        <v>1</v>
      </c>
      <c r="D157">
        <f>COUNTIF('Metrics - Articles'!H156,"*EMEA*")</f>
        <v>0</v>
      </c>
      <c r="E157">
        <f>COUNTIF('Metrics - Articles'!H156,"*NA*")</f>
        <v>0</v>
      </c>
      <c r="F157">
        <f>COUNTIF('Metrics - Articles'!H156,"*APJ")</f>
        <v>0</v>
      </c>
      <c r="G157">
        <f>COUNTIF('Metrics - Articles'!H156,"*LATAM*")</f>
        <v>0</v>
      </c>
      <c r="H157">
        <f>COUNTIF('Metrics - Articles'!H156,"*China*")</f>
        <v>0</v>
      </c>
      <c r="J157" s="53">
        <f t="shared" si="3"/>
        <v>1</v>
      </c>
    </row>
    <row r="158" spans="2:10" hidden="1" x14ac:dyDescent="0.25">
      <c r="B158" s="48">
        <f>+'Metrics - Articles'!C157</f>
        <v>42131</v>
      </c>
      <c r="C158">
        <f>COUNTIF('Metrics - Articles'!H157,"*Global*")</f>
        <v>1</v>
      </c>
      <c r="D158">
        <f>COUNTIF('Metrics - Articles'!H157,"*EMEA*")</f>
        <v>0</v>
      </c>
      <c r="E158">
        <f>COUNTIF('Metrics - Articles'!H157,"*NA*")</f>
        <v>0</v>
      </c>
      <c r="F158">
        <f>COUNTIF('Metrics - Articles'!H157,"*APJ")</f>
        <v>0</v>
      </c>
      <c r="G158">
        <f>COUNTIF('Metrics - Articles'!H157,"*LATAM*")</f>
        <v>0</v>
      </c>
      <c r="H158">
        <f>COUNTIF('Metrics - Articles'!H157,"*China*")</f>
        <v>0</v>
      </c>
      <c r="J158" s="53">
        <f t="shared" si="3"/>
        <v>1</v>
      </c>
    </row>
    <row r="159" spans="2:10" hidden="1" x14ac:dyDescent="0.25">
      <c r="B159" s="48">
        <f>+'Metrics - Articles'!C158</f>
        <v>42131</v>
      </c>
      <c r="C159">
        <f>COUNTIF('Metrics - Articles'!H158,"*Global*")</f>
        <v>1</v>
      </c>
      <c r="D159">
        <f>COUNTIF('Metrics - Articles'!H158,"*EMEA*")</f>
        <v>0</v>
      </c>
      <c r="E159">
        <f>COUNTIF('Metrics - Articles'!H158,"*NA*")</f>
        <v>0</v>
      </c>
      <c r="F159">
        <f>COUNTIF('Metrics - Articles'!H158,"*APJ")</f>
        <v>0</v>
      </c>
      <c r="G159">
        <f>COUNTIF('Metrics - Articles'!H158,"*LATAM*")</f>
        <v>0</v>
      </c>
      <c r="H159">
        <f>COUNTIF('Metrics - Articles'!H158,"*China*")</f>
        <v>0</v>
      </c>
      <c r="J159" s="53">
        <f t="shared" si="3"/>
        <v>1</v>
      </c>
    </row>
    <row r="160" spans="2:10" hidden="1" x14ac:dyDescent="0.25">
      <c r="B160" s="48">
        <f>+'Metrics - Articles'!C159</f>
        <v>42132</v>
      </c>
      <c r="C160">
        <f>COUNTIF('Metrics - Articles'!H159,"*Global*")</f>
        <v>1</v>
      </c>
      <c r="D160">
        <f>COUNTIF('Metrics - Articles'!H159,"*EMEA*")</f>
        <v>0</v>
      </c>
      <c r="E160">
        <f>COUNTIF('Metrics - Articles'!H159,"*NA*")</f>
        <v>0</v>
      </c>
      <c r="F160">
        <f>COUNTIF('Metrics - Articles'!H159,"*APJ")</f>
        <v>0</v>
      </c>
      <c r="G160">
        <f>COUNTIF('Metrics - Articles'!H159,"*LATAM*")</f>
        <v>0</v>
      </c>
      <c r="H160">
        <f>COUNTIF('Metrics - Articles'!H159,"*China*")</f>
        <v>0</v>
      </c>
      <c r="J160" s="53">
        <f t="shared" si="3"/>
        <v>1</v>
      </c>
    </row>
    <row r="161" spans="2:10" hidden="1" x14ac:dyDescent="0.25">
      <c r="B161" s="48">
        <f>+'Metrics - Articles'!C160</f>
        <v>42132</v>
      </c>
      <c r="C161">
        <f>COUNTIF('Metrics - Articles'!H160,"*Global*")</f>
        <v>1</v>
      </c>
      <c r="D161">
        <f>COUNTIF('Metrics - Articles'!H160,"*EMEA*")</f>
        <v>0</v>
      </c>
      <c r="E161">
        <f>COUNTIF('Metrics - Articles'!H160,"*NA*")</f>
        <v>0</v>
      </c>
      <c r="F161">
        <f>COUNTIF('Metrics - Articles'!H160,"*APJ")</f>
        <v>0</v>
      </c>
      <c r="G161">
        <f>COUNTIF('Metrics - Articles'!H160,"*LATAM*")</f>
        <v>0</v>
      </c>
      <c r="H161">
        <f>COUNTIF('Metrics - Articles'!H160,"*China*")</f>
        <v>0</v>
      </c>
      <c r="J161" s="53">
        <f t="shared" si="3"/>
        <v>1</v>
      </c>
    </row>
    <row r="162" spans="2:10" hidden="1" x14ac:dyDescent="0.25">
      <c r="B162" s="48">
        <f>+'Metrics - Articles'!C161</f>
        <v>42132</v>
      </c>
      <c r="C162">
        <f>COUNTIF('Metrics - Articles'!H161,"*Global*")</f>
        <v>1</v>
      </c>
      <c r="D162">
        <f>COUNTIF('Metrics - Articles'!H161,"*EMEA*")</f>
        <v>0</v>
      </c>
      <c r="E162">
        <f>COUNTIF('Metrics - Articles'!H161,"*NA*")</f>
        <v>0</v>
      </c>
      <c r="F162">
        <f>COUNTIF('Metrics - Articles'!H161,"*APJ")</f>
        <v>0</v>
      </c>
      <c r="G162">
        <f>COUNTIF('Metrics - Articles'!H161,"*LATAM*")</f>
        <v>0</v>
      </c>
      <c r="H162">
        <f>COUNTIF('Metrics - Articles'!H161,"*China*")</f>
        <v>0</v>
      </c>
      <c r="J162" s="53">
        <f t="shared" si="3"/>
        <v>1</v>
      </c>
    </row>
    <row r="163" spans="2:10" hidden="1" x14ac:dyDescent="0.25">
      <c r="B163" s="48">
        <f>+'Metrics - Articles'!C162</f>
        <v>42134</v>
      </c>
      <c r="C163">
        <f>COUNTIF('Metrics - Articles'!H162,"*Global*")</f>
        <v>1</v>
      </c>
      <c r="D163">
        <f>COUNTIF('Metrics - Articles'!H162,"*EMEA*")</f>
        <v>0</v>
      </c>
      <c r="E163">
        <f>COUNTIF('Metrics - Articles'!H162,"*NA*")</f>
        <v>0</v>
      </c>
      <c r="F163">
        <f>COUNTIF('Metrics - Articles'!H162,"*APJ")</f>
        <v>0</v>
      </c>
      <c r="G163">
        <f>COUNTIF('Metrics - Articles'!H162,"*LATAM*")</f>
        <v>0</v>
      </c>
      <c r="H163">
        <f>COUNTIF('Metrics - Articles'!H162,"*China*")</f>
        <v>0</v>
      </c>
      <c r="J163" s="53">
        <f t="shared" si="3"/>
        <v>1</v>
      </c>
    </row>
    <row r="164" spans="2:10" hidden="1" x14ac:dyDescent="0.25">
      <c r="B164" s="48">
        <f>+'Metrics - Articles'!C163</f>
        <v>42137</v>
      </c>
      <c r="C164">
        <f>COUNTIF('Metrics - Articles'!H163,"*Global*")</f>
        <v>1</v>
      </c>
      <c r="D164">
        <f>COUNTIF('Metrics - Articles'!H163,"*EMEA*")</f>
        <v>0</v>
      </c>
      <c r="E164">
        <f>COUNTIF('Metrics - Articles'!H163,"*NA*")</f>
        <v>0</v>
      </c>
      <c r="F164">
        <f>COUNTIF('Metrics - Articles'!H163,"*APJ")</f>
        <v>0</v>
      </c>
      <c r="G164">
        <f>COUNTIF('Metrics - Articles'!H163,"*LATAM*")</f>
        <v>0</v>
      </c>
      <c r="H164">
        <f>COUNTIF('Metrics - Articles'!H163,"*China*")</f>
        <v>0</v>
      </c>
      <c r="J164" s="53">
        <f t="shared" si="3"/>
        <v>1</v>
      </c>
    </row>
    <row r="165" spans="2:10" hidden="1" x14ac:dyDescent="0.25">
      <c r="B165" s="48">
        <f>+'Metrics - Articles'!C164</f>
        <v>42138</v>
      </c>
      <c r="C165">
        <f>COUNTIF('Metrics - Articles'!H164,"*Global*")</f>
        <v>1</v>
      </c>
      <c r="D165">
        <f>COUNTIF('Metrics - Articles'!H164,"*EMEA*")</f>
        <v>0</v>
      </c>
      <c r="E165">
        <f>COUNTIF('Metrics - Articles'!H164,"*NA*")</f>
        <v>0</v>
      </c>
      <c r="F165">
        <f>COUNTIF('Metrics - Articles'!H164,"*APJ")</f>
        <v>0</v>
      </c>
      <c r="G165">
        <f>COUNTIF('Metrics - Articles'!H164,"*LATAM*")</f>
        <v>0</v>
      </c>
      <c r="H165">
        <f>COUNTIF('Metrics - Articles'!H164,"*China*")</f>
        <v>0</v>
      </c>
      <c r="J165" s="53">
        <f t="shared" si="3"/>
        <v>1</v>
      </c>
    </row>
    <row r="166" spans="2:10" hidden="1" x14ac:dyDescent="0.25">
      <c r="B166" s="48">
        <f>+'Metrics - Articles'!C165</f>
        <v>42139</v>
      </c>
      <c r="C166">
        <f>COUNTIF('Metrics - Articles'!H165,"*Global*")</f>
        <v>1</v>
      </c>
      <c r="D166">
        <f>COUNTIF('Metrics - Articles'!H165,"*EMEA*")</f>
        <v>0</v>
      </c>
      <c r="E166">
        <f>COUNTIF('Metrics - Articles'!H165,"*NA*")</f>
        <v>0</v>
      </c>
      <c r="F166">
        <f>COUNTIF('Metrics - Articles'!H165,"*APJ")</f>
        <v>0</v>
      </c>
      <c r="G166">
        <f>COUNTIF('Metrics - Articles'!H165,"*LATAM*")</f>
        <v>0</v>
      </c>
      <c r="H166">
        <f>COUNTIF('Metrics - Articles'!H165,"*China*")</f>
        <v>0</v>
      </c>
      <c r="J166" s="53">
        <f t="shared" si="3"/>
        <v>1</v>
      </c>
    </row>
    <row r="167" spans="2:10" hidden="1" x14ac:dyDescent="0.25">
      <c r="B167" s="48">
        <f>+'Metrics - Articles'!C166</f>
        <v>42142</v>
      </c>
      <c r="C167">
        <f>COUNTIF('Metrics - Articles'!H166,"*Global*")</f>
        <v>1</v>
      </c>
      <c r="D167">
        <f>COUNTIF('Metrics - Articles'!H166,"*EMEA*")</f>
        <v>0</v>
      </c>
      <c r="E167">
        <f>COUNTIF('Metrics - Articles'!H166,"*NA*")</f>
        <v>0</v>
      </c>
      <c r="F167">
        <f>COUNTIF('Metrics - Articles'!H166,"*APJ")</f>
        <v>0</v>
      </c>
      <c r="G167">
        <f>COUNTIF('Metrics - Articles'!H166,"*LATAM*")</f>
        <v>0</v>
      </c>
      <c r="H167">
        <f>COUNTIF('Metrics - Articles'!H166,"*China*")</f>
        <v>0</v>
      </c>
      <c r="J167" s="53">
        <f t="shared" si="3"/>
        <v>1</v>
      </c>
    </row>
    <row r="168" spans="2:10" hidden="1" x14ac:dyDescent="0.25">
      <c r="B168" s="48">
        <f>+'Metrics - Articles'!C167</f>
        <v>42143</v>
      </c>
      <c r="C168">
        <f>COUNTIF('Metrics - Articles'!H167,"*Global*")</f>
        <v>1</v>
      </c>
      <c r="D168">
        <f>COUNTIF('Metrics - Articles'!H167,"*EMEA*")</f>
        <v>0</v>
      </c>
      <c r="E168">
        <f>COUNTIF('Metrics - Articles'!H167,"*NA*")</f>
        <v>0</v>
      </c>
      <c r="F168">
        <f>COUNTIF('Metrics - Articles'!H167,"*APJ")</f>
        <v>0</v>
      </c>
      <c r="G168">
        <f>COUNTIF('Metrics - Articles'!H167,"*LATAM*")</f>
        <v>0</v>
      </c>
      <c r="H168">
        <f>COUNTIF('Metrics - Articles'!H167,"*China*")</f>
        <v>0</v>
      </c>
      <c r="J168" s="53">
        <f t="shared" si="3"/>
        <v>1</v>
      </c>
    </row>
    <row r="169" spans="2:10" hidden="1" x14ac:dyDescent="0.25">
      <c r="B169" s="48">
        <f>+'Metrics - Articles'!C168</f>
        <v>42144</v>
      </c>
      <c r="C169">
        <f>COUNTIF('Metrics - Articles'!H168,"*Global*")</f>
        <v>1</v>
      </c>
      <c r="D169">
        <f>COUNTIF('Metrics - Articles'!H168,"*EMEA*")</f>
        <v>0</v>
      </c>
      <c r="E169">
        <f>COUNTIF('Metrics - Articles'!H168,"*NA*")</f>
        <v>0</v>
      </c>
      <c r="F169">
        <f>COUNTIF('Metrics - Articles'!H168,"*APJ")</f>
        <v>0</v>
      </c>
      <c r="G169">
        <f>COUNTIF('Metrics - Articles'!H168,"*LATAM*")</f>
        <v>0</v>
      </c>
      <c r="H169">
        <f>COUNTIF('Metrics - Articles'!H168,"*China*")</f>
        <v>0</v>
      </c>
      <c r="J169" s="53">
        <f t="shared" si="3"/>
        <v>1</v>
      </c>
    </row>
    <row r="170" spans="2:10" hidden="1" x14ac:dyDescent="0.25">
      <c r="B170" s="48">
        <f>+'Metrics - Articles'!C169</f>
        <v>42144</v>
      </c>
      <c r="C170">
        <f>COUNTIF('Metrics - Articles'!H169,"*Global*")</f>
        <v>1</v>
      </c>
      <c r="D170">
        <f>COUNTIF('Metrics - Articles'!H169,"*EMEA*")</f>
        <v>0</v>
      </c>
      <c r="E170">
        <f>COUNTIF('Metrics - Articles'!H169,"*NA*")</f>
        <v>0</v>
      </c>
      <c r="F170">
        <f>COUNTIF('Metrics - Articles'!H169,"*APJ")</f>
        <v>0</v>
      </c>
      <c r="G170">
        <f>COUNTIF('Metrics - Articles'!H169,"*LATAM*")</f>
        <v>0</v>
      </c>
      <c r="H170">
        <f>COUNTIF('Metrics - Articles'!H169,"*China*")</f>
        <v>0</v>
      </c>
      <c r="J170" s="53">
        <f t="shared" si="3"/>
        <v>1</v>
      </c>
    </row>
    <row r="171" spans="2:10" hidden="1" x14ac:dyDescent="0.25">
      <c r="B171" s="48">
        <f>+'Metrics - Articles'!C170</f>
        <v>42146</v>
      </c>
      <c r="C171">
        <f>COUNTIF('Metrics - Articles'!H170,"*Global*")</f>
        <v>1</v>
      </c>
      <c r="D171">
        <f>COUNTIF('Metrics - Articles'!H170,"*EMEA*")</f>
        <v>0</v>
      </c>
      <c r="E171">
        <f>COUNTIF('Metrics - Articles'!H170,"*NA*")</f>
        <v>0</v>
      </c>
      <c r="F171">
        <f>COUNTIF('Metrics - Articles'!H170,"*APJ")</f>
        <v>0</v>
      </c>
      <c r="G171">
        <f>COUNTIF('Metrics - Articles'!H170,"*LATAM*")</f>
        <v>0</v>
      </c>
      <c r="H171">
        <f>COUNTIF('Metrics - Articles'!H170,"*China*")</f>
        <v>0</v>
      </c>
      <c r="J171" s="53">
        <f t="shared" si="3"/>
        <v>1</v>
      </c>
    </row>
    <row r="172" spans="2:10" hidden="1" x14ac:dyDescent="0.25">
      <c r="B172" s="48">
        <f>+'Metrics - Articles'!C171</f>
        <v>42146</v>
      </c>
      <c r="C172">
        <f>COUNTIF('Metrics - Articles'!H171,"*Global*")</f>
        <v>1</v>
      </c>
      <c r="D172">
        <f>COUNTIF('Metrics - Articles'!H171,"*EMEA*")</f>
        <v>0</v>
      </c>
      <c r="E172">
        <f>COUNTIF('Metrics - Articles'!H171,"*NA*")</f>
        <v>0</v>
      </c>
      <c r="F172">
        <f>COUNTIF('Metrics - Articles'!H171,"*APJ")</f>
        <v>0</v>
      </c>
      <c r="G172">
        <f>COUNTIF('Metrics - Articles'!H171,"*LATAM*")</f>
        <v>0</v>
      </c>
      <c r="H172">
        <f>COUNTIF('Metrics - Articles'!H171,"*China*")</f>
        <v>0</v>
      </c>
      <c r="J172" s="53">
        <f t="shared" si="3"/>
        <v>1</v>
      </c>
    </row>
    <row r="173" spans="2:10" hidden="1" x14ac:dyDescent="0.25">
      <c r="B173" s="48">
        <f>+'Metrics - Articles'!C172</f>
        <v>42149</v>
      </c>
      <c r="C173">
        <f>COUNTIF('Metrics - Articles'!H172,"*Global*")</f>
        <v>1</v>
      </c>
      <c r="D173">
        <f>COUNTIF('Metrics - Articles'!H172,"*EMEA*")</f>
        <v>0</v>
      </c>
      <c r="E173">
        <f>COUNTIF('Metrics - Articles'!H172,"*NA*")</f>
        <v>0</v>
      </c>
      <c r="F173">
        <f>COUNTIF('Metrics - Articles'!H172,"*APJ")</f>
        <v>0</v>
      </c>
      <c r="G173">
        <f>COUNTIF('Metrics - Articles'!H172,"*LATAM*")</f>
        <v>0</v>
      </c>
      <c r="H173">
        <f>COUNTIF('Metrics - Articles'!H172,"*China*")</f>
        <v>0</v>
      </c>
      <c r="J173" s="53">
        <f t="shared" si="3"/>
        <v>1</v>
      </c>
    </row>
    <row r="174" spans="2:10" hidden="1" x14ac:dyDescent="0.25">
      <c r="B174" s="48">
        <f>+'Metrics - Articles'!C173</f>
        <v>42150</v>
      </c>
      <c r="C174">
        <f>COUNTIF('Metrics - Articles'!H173,"*Global*")</f>
        <v>1</v>
      </c>
      <c r="D174">
        <f>COUNTIF('Metrics - Articles'!H173,"*EMEA*")</f>
        <v>0</v>
      </c>
      <c r="E174">
        <f>COUNTIF('Metrics - Articles'!H173,"*NA*")</f>
        <v>0</v>
      </c>
      <c r="F174">
        <f>COUNTIF('Metrics - Articles'!H173,"*APJ")</f>
        <v>0</v>
      </c>
      <c r="G174">
        <f>COUNTIF('Metrics - Articles'!H173,"*LATAM*")</f>
        <v>0</v>
      </c>
      <c r="H174">
        <f>COUNTIF('Metrics - Articles'!H173,"*China*")</f>
        <v>0</v>
      </c>
      <c r="J174" s="53">
        <f t="shared" si="3"/>
        <v>1</v>
      </c>
    </row>
    <row r="175" spans="2:10" hidden="1" x14ac:dyDescent="0.25">
      <c r="B175" s="48">
        <f>+'Metrics - Articles'!C174</f>
        <v>42151</v>
      </c>
      <c r="C175">
        <f>COUNTIF('Metrics - Articles'!H174,"*Global*")</f>
        <v>1</v>
      </c>
      <c r="D175">
        <f>COUNTIF('Metrics - Articles'!H174,"*EMEA*")</f>
        <v>0</v>
      </c>
      <c r="E175">
        <f>COUNTIF('Metrics - Articles'!H174,"*NA*")</f>
        <v>0</v>
      </c>
      <c r="F175">
        <f>COUNTIF('Metrics - Articles'!H174,"*APJ")</f>
        <v>0</v>
      </c>
      <c r="G175">
        <f>COUNTIF('Metrics - Articles'!H174,"*LATAM*")</f>
        <v>0</v>
      </c>
      <c r="H175">
        <f>COUNTIF('Metrics - Articles'!H174,"*China*")</f>
        <v>0</v>
      </c>
      <c r="J175" s="53">
        <f t="shared" si="3"/>
        <v>1</v>
      </c>
    </row>
    <row r="176" spans="2:10" hidden="1" x14ac:dyDescent="0.25">
      <c r="B176" s="48">
        <f>+'Metrics - Articles'!C175</f>
        <v>42151</v>
      </c>
      <c r="C176">
        <f>COUNTIF('Metrics - Articles'!H175,"*Global*")</f>
        <v>0</v>
      </c>
      <c r="D176">
        <f>COUNTIF('Metrics - Articles'!H175,"*EMEA*")</f>
        <v>0</v>
      </c>
      <c r="E176">
        <f>COUNTIF('Metrics - Articles'!H175,"*NA*")</f>
        <v>0</v>
      </c>
      <c r="F176">
        <f>COUNTIF('Metrics - Articles'!H175,"*APJ")</f>
        <v>0</v>
      </c>
      <c r="G176">
        <f>COUNTIF('Metrics - Articles'!H175,"*LATAM*")</f>
        <v>1</v>
      </c>
      <c r="H176">
        <f>COUNTIF('Metrics - Articles'!H175,"*China*")</f>
        <v>0</v>
      </c>
      <c r="J176" s="53">
        <f t="shared" si="3"/>
        <v>1</v>
      </c>
    </row>
    <row r="177" spans="2:10" hidden="1" x14ac:dyDescent="0.25">
      <c r="B177" s="48">
        <f>+'Metrics - Articles'!C176</f>
        <v>42151</v>
      </c>
      <c r="C177">
        <f>COUNTIF('Metrics - Articles'!H176,"*Global*")</f>
        <v>1</v>
      </c>
      <c r="D177">
        <f>COUNTIF('Metrics - Articles'!H176,"*EMEA*")</f>
        <v>0</v>
      </c>
      <c r="E177">
        <f>COUNTIF('Metrics - Articles'!H176,"*NA*")</f>
        <v>0</v>
      </c>
      <c r="F177">
        <f>COUNTIF('Metrics - Articles'!H176,"*APJ")</f>
        <v>0</v>
      </c>
      <c r="G177">
        <f>COUNTIF('Metrics - Articles'!H176,"*LATAM*")</f>
        <v>0</v>
      </c>
      <c r="H177">
        <f>COUNTIF('Metrics - Articles'!H176,"*China*")</f>
        <v>0</v>
      </c>
      <c r="J177" s="53">
        <f t="shared" si="3"/>
        <v>1</v>
      </c>
    </row>
    <row r="178" spans="2:10" hidden="1" x14ac:dyDescent="0.25">
      <c r="B178" s="48">
        <f>+'Metrics - Articles'!C177</f>
        <v>42152</v>
      </c>
      <c r="C178">
        <f>COUNTIF('Metrics - Articles'!H177,"*Global*")</f>
        <v>1</v>
      </c>
      <c r="D178">
        <f>COUNTIF('Metrics - Articles'!H177,"*EMEA*")</f>
        <v>0</v>
      </c>
      <c r="E178">
        <f>COUNTIF('Metrics - Articles'!H177,"*NA*")</f>
        <v>0</v>
      </c>
      <c r="F178">
        <f>COUNTIF('Metrics - Articles'!H177,"*APJ")</f>
        <v>0</v>
      </c>
      <c r="G178">
        <f>COUNTIF('Metrics - Articles'!H177,"*LATAM*")</f>
        <v>0</v>
      </c>
      <c r="H178">
        <f>COUNTIF('Metrics - Articles'!H177,"*China*")</f>
        <v>0</v>
      </c>
      <c r="J178" s="53">
        <f t="shared" si="3"/>
        <v>1</v>
      </c>
    </row>
    <row r="179" spans="2:10" hidden="1" x14ac:dyDescent="0.25">
      <c r="B179" s="48">
        <f>+'Metrics - Articles'!C178</f>
        <v>42153</v>
      </c>
      <c r="C179">
        <f>COUNTIF('Metrics - Articles'!H178,"*Global*")</f>
        <v>1</v>
      </c>
      <c r="D179">
        <f>COUNTIF('Metrics - Articles'!H178,"*EMEA*")</f>
        <v>0</v>
      </c>
      <c r="E179">
        <f>COUNTIF('Metrics - Articles'!H178,"*NA*")</f>
        <v>0</v>
      </c>
      <c r="F179">
        <f>COUNTIF('Metrics - Articles'!H178,"*APJ")</f>
        <v>0</v>
      </c>
      <c r="G179">
        <f>COUNTIF('Metrics - Articles'!H178,"*LATAM*")</f>
        <v>0</v>
      </c>
      <c r="H179">
        <f>COUNTIF('Metrics - Articles'!H178,"*China*")</f>
        <v>0</v>
      </c>
      <c r="J179" s="53">
        <f t="shared" si="3"/>
        <v>1</v>
      </c>
    </row>
    <row r="180" spans="2:10" hidden="1" x14ac:dyDescent="0.25">
      <c r="B180" s="48">
        <f>+'Metrics - Articles'!C179</f>
        <v>42153</v>
      </c>
      <c r="C180">
        <f>COUNTIF('Metrics - Articles'!H179,"*Global*")</f>
        <v>1</v>
      </c>
      <c r="D180">
        <f>COUNTIF('Metrics - Articles'!H179,"*EMEA*")</f>
        <v>0</v>
      </c>
      <c r="E180">
        <f>COUNTIF('Metrics - Articles'!H179,"*NA*")</f>
        <v>0</v>
      </c>
      <c r="F180">
        <f>COUNTIF('Metrics - Articles'!H179,"*APJ")</f>
        <v>0</v>
      </c>
      <c r="G180">
        <f>COUNTIF('Metrics - Articles'!H179,"*LATAM*")</f>
        <v>0</v>
      </c>
      <c r="H180">
        <f>COUNTIF('Metrics - Articles'!H179,"*China*")</f>
        <v>0</v>
      </c>
      <c r="J180" s="53">
        <f t="shared" si="3"/>
        <v>1</v>
      </c>
    </row>
    <row r="181" spans="2:10" hidden="1" x14ac:dyDescent="0.25">
      <c r="B181" s="48">
        <f>+'Metrics - Articles'!C180</f>
        <v>42153</v>
      </c>
      <c r="C181">
        <f>COUNTIF('Metrics - Articles'!H180,"*Global*")</f>
        <v>1</v>
      </c>
      <c r="D181">
        <f>COUNTIF('Metrics - Articles'!H180,"*EMEA*")</f>
        <v>0</v>
      </c>
      <c r="E181">
        <f>COUNTIF('Metrics - Articles'!H180,"*NA*")</f>
        <v>0</v>
      </c>
      <c r="F181">
        <f>COUNTIF('Metrics - Articles'!H180,"*APJ")</f>
        <v>0</v>
      </c>
      <c r="G181">
        <f>COUNTIF('Metrics - Articles'!H180,"*LATAM*")</f>
        <v>0</v>
      </c>
      <c r="H181">
        <f>COUNTIF('Metrics - Articles'!H180,"*China*")</f>
        <v>0</v>
      </c>
      <c r="J181" s="53">
        <f t="shared" si="3"/>
        <v>1</v>
      </c>
    </row>
    <row r="182" spans="2:10" hidden="1" x14ac:dyDescent="0.25">
      <c r="B182" s="48">
        <f>+'Metrics - Articles'!C181</f>
        <v>42156</v>
      </c>
      <c r="C182">
        <f>COUNTIF('Metrics - Articles'!H181,"*Global*")</f>
        <v>1</v>
      </c>
      <c r="D182">
        <f>COUNTIF('Metrics - Articles'!H181,"*EMEA*")</f>
        <v>0</v>
      </c>
      <c r="E182">
        <f>COUNTIF('Metrics - Articles'!H181,"*NA*")</f>
        <v>0</v>
      </c>
      <c r="F182">
        <f>COUNTIF('Metrics - Articles'!H181,"*APJ")</f>
        <v>0</v>
      </c>
      <c r="G182">
        <f>COUNTIF('Metrics - Articles'!H181,"*LATAM*")</f>
        <v>0</v>
      </c>
      <c r="H182">
        <f>COUNTIF('Metrics - Articles'!H181,"*China*")</f>
        <v>0</v>
      </c>
      <c r="J182" s="53">
        <f t="shared" si="3"/>
        <v>1</v>
      </c>
    </row>
    <row r="183" spans="2:10" hidden="1" x14ac:dyDescent="0.25">
      <c r="B183" s="48">
        <f>+'Metrics - Articles'!C182</f>
        <v>42157</v>
      </c>
      <c r="C183">
        <f>COUNTIF('Metrics - Articles'!H182,"*Global*")</f>
        <v>0</v>
      </c>
      <c r="D183">
        <f>COUNTIF('Metrics - Articles'!H182,"*EMEA*")</f>
        <v>1</v>
      </c>
      <c r="E183">
        <f>COUNTIF('Metrics - Articles'!H182,"*NA*")</f>
        <v>0</v>
      </c>
      <c r="F183">
        <f>COUNTIF('Metrics - Articles'!H182,"*APJ")</f>
        <v>0</v>
      </c>
      <c r="G183">
        <f>COUNTIF('Metrics - Articles'!H182,"*LATAM*")</f>
        <v>0</v>
      </c>
      <c r="H183">
        <f>COUNTIF('Metrics - Articles'!H182,"*China*")</f>
        <v>0</v>
      </c>
      <c r="J183" s="53">
        <f t="shared" si="3"/>
        <v>1</v>
      </c>
    </row>
    <row r="184" spans="2:10" hidden="1" x14ac:dyDescent="0.25">
      <c r="B184" s="48">
        <f>+'Metrics - Articles'!C183</f>
        <v>42157</v>
      </c>
      <c r="C184">
        <f>COUNTIF('Metrics - Articles'!H183,"*Global*")</f>
        <v>1</v>
      </c>
      <c r="D184">
        <f>COUNTIF('Metrics - Articles'!H183,"*EMEA*")</f>
        <v>0</v>
      </c>
      <c r="E184">
        <f>COUNTIF('Metrics - Articles'!H183,"*NA*")</f>
        <v>0</v>
      </c>
      <c r="F184">
        <f>COUNTIF('Metrics - Articles'!H183,"*APJ")</f>
        <v>0</v>
      </c>
      <c r="G184">
        <f>COUNTIF('Metrics - Articles'!H183,"*LATAM*")</f>
        <v>0</v>
      </c>
      <c r="H184">
        <f>COUNTIF('Metrics - Articles'!H183,"*China*")</f>
        <v>0</v>
      </c>
      <c r="J184" s="53">
        <f t="shared" si="3"/>
        <v>1</v>
      </c>
    </row>
    <row r="185" spans="2:10" hidden="1" x14ac:dyDescent="0.25">
      <c r="B185" s="48">
        <f>+'Metrics - Articles'!C184</f>
        <v>42158</v>
      </c>
      <c r="C185">
        <f>COUNTIF('Metrics - Articles'!H184,"*Global*")</f>
        <v>1</v>
      </c>
      <c r="D185">
        <f>COUNTIF('Metrics - Articles'!H184,"*EMEA*")</f>
        <v>0</v>
      </c>
      <c r="E185">
        <f>COUNTIF('Metrics - Articles'!H184,"*NA*")</f>
        <v>0</v>
      </c>
      <c r="F185">
        <f>COUNTIF('Metrics - Articles'!H184,"*APJ")</f>
        <v>0</v>
      </c>
      <c r="G185">
        <f>COUNTIF('Metrics - Articles'!H184,"*LATAM*")</f>
        <v>0</v>
      </c>
      <c r="H185">
        <f>COUNTIF('Metrics - Articles'!H184,"*China*")</f>
        <v>0</v>
      </c>
      <c r="J185" s="53">
        <f t="shared" si="3"/>
        <v>1</v>
      </c>
    </row>
    <row r="186" spans="2:10" hidden="1" x14ac:dyDescent="0.25">
      <c r="B186" s="48">
        <f>+'Metrics - Articles'!C185</f>
        <v>42158</v>
      </c>
      <c r="C186">
        <f>COUNTIF('Metrics - Articles'!H185,"*Global*")</f>
        <v>1</v>
      </c>
      <c r="D186">
        <f>COUNTIF('Metrics - Articles'!H185,"*EMEA*")</f>
        <v>0</v>
      </c>
      <c r="E186">
        <f>COUNTIF('Metrics - Articles'!H185,"*NA*")</f>
        <v>0</v>
      </c>
      <c r="F186">
        <f>COUNTIF('Metrics - Articles'!H185,"*APJ")</f>
        <v>0</v>
      </c>
      <c r="G186">
        <f>COUNTIF('Metrics - Articles'!H185,"*LATAM*")</f>
        <v>0</v>
      </c>
      <c r="H186">
        <f>COUNTIF('Metrics - Articles'!H185,"*China*")</f>
        <v>0</v>
      </c>
      <c r="J186" s="53">
        <f t="shared" si="3"/>
        <v>1</v>
      </c>
    </row>
    <row r="187" spans="2:10" hidden="1" x14ac:dyDescent="0.25">
      <c r="B187" s="48">
        <f>+'Metrics - Articles'!C186</f>
        <v>42158</v>
      </c>
      <c r="C187">
        <f>COUNTIF('Metrics - Articles'!H186,"*Global*")</f>
        <v>0</v>
      </c>
      <c r="D187">
        <f>COUNTIF('Metrics - Articles'!H186,"*EMEA*")</f>
        <v>1</v>
      </c>
      <c r="E187">
        <f>COUNTIF('Metrics - Articles'!H186,"*NA*")</f>
        <v>0</v>
      </c>
      <c r="F187">
        <f>COUNTIF('Metrics - Articles'!H186,"*APJ")</f>
        <v>0</v>
      </c>
      <c r="G187">
        <f>COUNTIF('Metrics - Articles'!H186,"*LATAM*")</f>
        <v>0</v>
      </c>
      <c r="H187">
        <f>COUNTIF('Metrics - Articles'!H186,"*China*")</f>
        <v>0</v>
      </c>
      <c r="J187" s="53">
        <f t="shared" si="3"/>
        <v>1</v>
      </c>
    </row>
    <row r="188" spans="2:10" hidden="1" x14ac:dyDescent="0.25">
      <c r="B188" s="48">
        <f>+'Metrics - Articles'!C187</f>
        <v>42159</v>
      </c>
      <c r="C188">
        <f>COUNTIF('Metrics - Articles'!H187,"*Global*")</f>
        <v>1</v>
      </c>
      <c r="D188">
        <f>COUNTIF('Metrics - Articles'!H187,"*EMEA*")</f>
        <v>0</v>
      </c>
      <c r="E188">
        <f>COUNTIF('Metrics - Articles'!H187,"*NA*")</f>
        <v>0</v>
      </c>
      <c r="F188">
        <f>COUNTIF('Metrics - Articles'!H187,"*APJ")</f>
        <v>0</v>
      </c>
      <c r="G188">
        <f>COUNTIF('Metrics - Articles'!H187,"*LATAM*")</f>
        <v>0</v>
      </c>
      <c r="H188">
        <f>COUNTIF('Metrics - Articles'!H187,"*China*")</f>
        <v>0</v>
      </c>
      <c r="J188" s="53">
        <f t="shared" si="3"/>
        <v>1</v>
      </c>
    </row>
    <row r="189" spans="2:10" hidden="1" x14ac:dyDescent="0.25">
      <c r="B189" s="48">
        <f>+'Metrics - Articles'!C188</f>
        <v>42163</v>
      </c>
      <c r="C189">
        <f>COUNTIF('Metrics - Articles'!H188,"*Global*")</f>
        <v>1</v>
      </c>
      <c r="D189">
        <f>COUNTIF('Metrics - Articles'!H188,"*EMEA*")</f>
        <v>0</v>
      </c>
      <c r="E189">
        <f>COUNTIF('Metrics - Articles'!H188,"*NA*")</f>
        <v>0</v>
      </c>
      <c r="F189">
        <f>COUNTIF('Metrics - Articles'!H188,"*APJ")</f>
        <v>0</v>
      </c>
      <c r="G189">
        <f>COUNTIF('Metrics - Articles'!H188,"*LATAM*")</f>
        <v>0</v>
      </c>
      <c r="H189">
        <f>COUNTIF('Metrics - Articles'!H188,"*China*")</f>
        <v>0</v>
      </c>
      <c r="J189" s="53">
        <f t="shared" si="3"/>
        <v>1</v>
      </c>
    </row>
    <row r="190" spans="2:10" hidden="1" x14ac:dyDescent="0.25">
      <c r="B190" s="48">
        <f>+'Metrics - Articles'!C189</f>
        <v>42164</v>
      </c>
      <c r="C190">
        <f>COUNTIF('Metrics - Articles'!H189,"*Global*")</f>
        <v>1</v>
      </c>
      <c r="D190">
        <f>COUNTIF('Metrics - Articles'!H189,"*EMEA*")</f>
        <v>0</v>
      </c>
      <c r="E190">
        <f>COUNTIF('Metrics - Articles'!H189,"*NA*")</f>
        <v>0</v>
      </c>
      <c r="F190">
        <f>COUNTIF('Metrics - Articles'!H189,"*APJ")</f>
        <v>0</v>
      </c>
      <c r="G190">
        <f>COUNTIF('Metrics - Articles'!H189,"*LATAM*")</f>
        <v>0</v>
      </c>
      <c r="H190">
        <f>COUNTIF('Metrics - Articles'!H189,"*China*")</f>
        <v>0</v>
      </c>
      <c r="J190" s="53">
        <f t="shared" si="3"/>
        <v>1</v>
      </c>
    </row>
    <row r="191" spans="2:10" hidden="1" x14ac:dyDescent="0.25">
      <c r="B191" s="48">
        <f>+'Metrics - Articles'!C190</f>
        <v>42164</v>
      </c>
      <c r="C191">
        <f>COUNTIF('Metrics - Articles'!H190,"*Global*")</f>
        <v>1</v>
      </c>
      <c r="D191">
        <f>COUNTIF('Metrics - Articles'!H190,"*EMEA*")</f>
        <v>0</v>
      </c>
      <c r="E191">
        <f>COUNTIF('Metrics - Articles'!H190,"*NA*")</f>
        <v>0</v>
      </c>
      <c r="F191">
        <f>COUNTIF('Metrics - Articles'!H190,"*APJ")</f>
        <v>0</v>
      </c>
      <c r="G191">
        <f>COUNTIF('Metrics - Articles'!H190,"*LATAM*")</f>
        <v>0</v>
      </c>
      <c r="H191">
        <f>COUNTIF('Metrics - Articles'!H190,"*China*")</f>
        <v>0</v>
      </c>
      <c r="J191" s="53">
        <f t="shared" si="3"/>
        <v>1</v>
      </c>
    </row>
    <row r="192" spans="2:10" hidden="1" x14ac:dyDescent="0.25">
      <c r="B192" s="48">
        <f>+'Metrics - Articles'!C191</f>
        <v>42164</v>
      </c>
      <c r="C192">
        <f>COUNTIF('Metrics - Articles'!H191,"*Global*")</f>
        <v>1</v>
      </c>
      <c r="D192">
        <f>COUNTIF('Metrics - Articles'!H191,"*EMEA*")</f>
        <v>0</v>
      </c>
      <c r="E192">
        <f>COUNTIF('Metrics - Articles'!H191,"*NA*")</f>
        <v>0</v>
      </c>
      <c r="F192">
        <f>COUNTIF('Metrics - Articles'!H191,"*APJ")</f>
        <v>0</v>
      </c>
      <c r="G192">
        <f>COUNTIF('Metrics - Articles'!H191,"*LATAM*")</f>
        <v>0</v>
      </c>
      <c r="H192">
        <f>COUNTIF('Metrics - Articles'!H191,"*China*")</f>
        <v>0</v>
      </c>
      <c r="J192" s="53">
        <f t="shared" si="3"/>
        <v>1</v>
      </c>
    </row>
    <row r="193" spans="2:10" hidden="1" x14ac:dyDescent="0.25">
      <c r="B193" s="48">
        <f>+'Metrics - Articles'!C192</f>
        <v>42165</v>
      </c>
      <c r="C193">
        <f>COUNTIF('Metrics - Articles'!H192,"*Global*")</f>
        <v>1</v>
      </c>
      <c r="D193">
        <f>COUNTIF('Metrics - Articles'!H192,"*EMEA*")</f>
        <v>0</v>
      </c>
      <c r="E193">
        <f>COUNTIF('Metrics - Articles'!H192,"*NA*")</f>
        <v>0</v>
      </c>
      <c r="F193">
        <f>COUNTIF('Metrics - Articles'!H192,"*APJ")</f>
        <v>0</v>
      </c>
      <c r="G193">
        <f>COUNTIF('Metrics - Articles'!H192,"*LATAM*")</f>
        <v>0</v>
      </c>
      <c r="H193">
        <f>COUNTIF('Metrics - Articles'!H192,"*China*")</f>
        <v>0</v>
      </c>
      <c r="J193" s="53">
        <f t="shared" si="3"/>
        <v>1</v>
      </c>
    </row>
    <row r="194" spans="2:10" hidden="1" x14ac:dyDescent="0.25">
      <c r="B194" s="48">
        <f>+'Metrics - Articles'!C193</f>
        <v>42165</v>
      </c>
      <c r="C194">
        <f>COUNTIF('Metrics - Articles'!H193,"*Global*")</f>
        <v>1</v>
      </c>
      <c r="D194">
        <f>COUNTIF('Metrics - Articles'!H193,"*EMEA*")</f>
        <v>0</v>
      </c>
      <c r="E194">
        <f>COUNTIF('Metrics - Articles'!H193,"*NA*")</f>
        <v>0</v>
      </c>
      <c r="F194">
        <f>COUNTIF('Metrics - Articles'!H193,"*APJ")</f>
        <v>0</v>
      </c>
      <c r="G194">
        <f>COUNTIF('Metrics - Articles'!H193,"*LATAM*")</f>
        <v>0</v>
      </c>
      <c r="H194">
        <f>COUNTIF('Metrics - Articles'!H193,"*China*")</f>
        <v>0</v>
      </c>
      <c r="J194" s="53">
        <f t="shared" si="3"/>
        <v>1</v>
      </c>
    </row>
    <row r="195" spans="2:10" hidden="1" x14ac:dyDescent="0.25">
      <c r="B195" s="48">
        <f>+'Metrics - Articles'!C194</f>
        <v>42166</v>
      </c>
      <c r="C195">
        <f>COUNTIF('Metrics - Articles'!H194,"*Global*")</f>
        <v>0</v>
      </c>
      <c r="D195">
        <f>COUNTIF('Metrics - Articles'!H194,"*EMEA*")</f>
        <v>1</v>
      </c>
      <c r="E195">
        <f>COUNTIF('Metrics - Articles'!H194,"*NA*")</f>
        <v>0</v>
      </c>
      <c r="F195">
        <f>COUNTIF('Metrics - Articles'!H194,"*APJ")</f>
        <v>0</v>
      </c>
      <c r="G195">
        <f>COUNTIF('Metrics - Articles'!H194,"*LATAM*")</f>
        <v>0</v>
      </c>
      <c r="H195">
        <f>COUNTIF('Metrics - Articles'!H194,"*China*")</f>
        <v>0</v>
      </c>
      <c r="J195" s="53">
        <f t="shared" si="3"/>
        <v>1</v>
      </c>
    </row>
    <row r="196" spans="2:10" hidden="1" x14ac:dyDescent="0.25">
      <c r="B196" s="48">
        <f>+'Metrics - Articles'!C195</f>
        <v>42166</v>
      </c>
      <c r="C196">
        <f>COUNTIF('Metrics - Articles'!H195,"*Global*")</f>
        <v>1</v>
      </c>
      <c r="D196">
        <f>COUNTIF('Metrics - Articles'!H195,"*EMEA*")</f>
        <v>0</v>
      </c>
      <c r="E196">
        <f>COUNTIF('Metrics - Articles'!H195,"*NA*")</f>
        <v>0</v>
      </c>
      <c r="F196">
        <f>COUNTIF('Metrics - Articles'!H195,"*APJ")</f>
        <v>0</v>
      </c>
      <c r="G196">
        <f>COUNTIF('Metrics - Articles'!H195,"*LATAM*")</f>
        <v>0</v>
      </c>
      <c r="H196">
        <f>COUNTIF('Metrics - Articles'!H195,"*China*")</f>
        <v>0</v>
      </c>
      <c r="J196" s="53">
        <f t="shared" si="3"/>
        <v>1</v>
      </c>
    </row>
    <row r="197" spans="2:10" hidden="1" x14ac:dyDescent="0.25">
      <c r="B197" s="48">
        <f>+'Metrics - Articles'!C196</f>
        <v>42170</v>
      </c>
      <c r="C197">
        <f>COUNTIF('Metrics - Articles'!H196,"*Global*")</f>
        <v>1</v>
      </c>
      <c r="D197">
        <f>COUNTIF('Metrics - Articles'!H196,"*EMEA*")</f>
        <v>0</v>
      </c>
      <c r="E197">
        <f>COUNTIF('Metrics - Articles'!H196,"*NA*")</f>
        <v>0</v>
      </c>
      <c r="F197">
        <f>COUNTIF('Metrics - Articles'!H196,"*APJ")</f>
        <v>0</v>
      </c>
      <c r="G197">
        <f>COUNTIF('Metrics - Articles'!H196,"*LATAM*")</f>
        <v>0</v>
      </c>
      <c r="H197">
        <f>COUNTIF('Metrics - Articles'!H196,"*China*")</f>
        <v>0</v>
      </c>
      <c r="J197" s="53">
        <f t="shared" si="3"/>
        <v>1</v>
      </c>
    </row>
    <row r="198" spans="2:10" hidden="1" x14ac:dyDescent="0.25">
      <c r="B198" s="48">
        <f>+'Metrics - Articles'!C197</f>
        <v>42170</v>
      </c>
      <c r="C198">
        <f>COUNTIF('Metrics - Articles'!H197,"*Global*")</f>
        <v>1</v>
      </c>
      <c r="D198">
        <f>COUNTIF('Metrics - Articles'!H197,"*EMEA*")</f>
        <v>0</v>
      </c>
      <c r="E198">
        <f>COUNTIF('Metrics - Articles'!H197,"*NA*")</f>
        <v>0</v>
      </c>
      <c r="F198">
        <f>COUNTIF('Metrics - Articles'!H197,"*APJ")</f>
        <v>0</v>
      </c>
      <c r="G198">
        <f>COUNTIF('Metrics - Articles'!H197,"*LATAM*")</f>
        <v>0</v>
      </c>
      <c r="H198">
        <f>COUNTIF('Metrics - Articles'!H197,"*China*")</f>
        <v>0</v>
      </c>
      <c r="J198" s="53">
        <f t="shared" si="3"/>
        <v>1</v>
      </c>
    </row>
    <row r="199" spans="2:10" hidden="1" x14ac:dyDescent="0.25">
      <c r="B199" s="48">
        <f>+'Metrics - Articles'!C198</f>
        <v>42171</v>
      </c>
      <c r="C199">
        <f>COUNTIF('Metrics - Articles'!H198,"*Global*")</f>
        <v>0</v>
      </c>
      <c r="D199">
        <f>COUNTIF('Metrics - Articles'!H198,"*EMEA*")</f>
        <v>1</v>
      </c>
      <c r="E199">
        <f>COUNTIF('Metrics - Articles'!H198,"*NA*")</f>
        <v>0</v>
      </c>
      <c r="F199">
        <f>COUNTIF('Metrics - Articles'!H198,"*APJ")</f>
        <v>0</v>
      </c>
      <c r="G199">
        <f>COUNTIF('Metrics - Articles'!H198,"*LATAM*")</f>
        <v>0</v>
      </c>
      <c r="H199">
        <f>COUNTIF('Metrics - Articles'!H198,"*China*")</f>
        <v>0</v>
      </c>
      <c r="J199" s="53">
        <f t="shared" si="3"/>
        <v>1</v>
      </c>
    </row>
    <row r="200" spans="2:10" hidden="1" x14ac:dyDescent="0.25">
      <c r="B200" s="48">
        <f>+'Metrics - Articles'!C199</f>
        <v>42171</v>
      </c>
      <c r="C200">
        <f>COUNTIF('Metrics - Articles'!H199,"*Global*")</f>
        <v>0</v>
      </c>
      <c r="D200">
        <f>COUNTIF('Metrics - Articles'!H199,"*EMEA*")</f>
        <v>1</v>
      </c>
      <c r="E200">
        <f>COUNTIF('Metrics - Articles'!H199,"*NA*")</f>
        <v>0</v>
      </c>
      <c r="F200">
        <f>COUNTIF('Metrics - Articles'!H199,"*APJ")</f>
        <v>0</v>
      </c>
      <c r="G200">
        <f>COUNTIF('Metrics - Articles'!H199,"*LATAM*")</f>
        <v>0</v>
      </c>
      <c r="H200">
        <f>COUNTIF('Metrics - Articles'!H199,"*China*")</f>
        <v>0</v>
      </c>
      <c r="J200" s="53">
        <f t="shared" si="3"/>
        <v>1</v>
      </c>
    </row>
    <row r="201" spans="2:10" hidden="1" x14ac:dyDescent="0.25">
      <c r="B201" s="48">
        <f>+'Metrics - Articles'!C200</f>
        <v>42172</v>
      </c>
      <c r="C201">
        <f>COUNTIF('Metrics - Articles'!H200,"*Global*")</f>
        <v>0</v>
      </c>
      <c r="D201">
        <f>COUNTIF('Metrics - Articles'!H200,"*EMEA*")</f>
        <v>1</v>
      </c>
      <c r="E201">
        <f>COUNTIF('Metrics - Articles'!H200,"*NA*")</f>
        <v>0</v>
      </c>
      <c r="F201">
        <f>COUNTIF('Metrics - Articles'!H200,"*APJ")</f>
        <v>0</v>
      </c>
      <c r="G201">
        <f>COUNTIF('Metrics - Articles'!H200,"*LATAM*")</f>
        <v>0</v>
      </c>
      <c r="H201">
        <f>COUNTIF('Metrics - Articles'!H200,"*China*")</f>
        <v>0</v>
      </c>
      <c r="J201" s="53">
        <f t="shared" si="3"/>
        <v>1</v>
      </c>
    </row>
    <row r="202" spans="2:10" hidden="1" x14ac:dyDescent="0.25">
      <c r="B202" s="48">
        <f>+'Metrics - Articles'!C201</f>
        <v>42172</v>
      </c>
      <c r="C202">
        <f>COUNTIF('Metrics - Articles'!H201,"*Global*")</f>
        <v>1</v>
      </c>
      <c r="D202">
        <f>COUNTIF('Metrics - Articles'!H201,"*EMEA*")</f>
        <v>0</v>
      </c>
      <c r="E202">
        <f>COUNTIF('Metrics - Articles'!H201,"*NA*")</f>
        <v>0</v>
      </c>
      <c r="F202">
        <f>COUNTIF('Metrics - Articles'!H201,"*APJ")</f>
        <v>0</v>
      </c>
      <c r="G202">
        <f>COUNTIF('Metrics - Articles'!H201,"*LATAM*")</f>
        <v>0</v>
      </c>
      <c r="H202">
        <f>COUNTIF('Metrics - Articles'!H201,"*China*")</f>
        <v>0</v>
      </c>
      <c r="J202" s="53">
        <f t="shared" ref="J202:J265" si="4">SUM(C202:I202)</f>
        <v>1</v>
      </c>
    </row>
    <row r="203" spans="2:10" hidden="1" x14ac:dyDescent="0.25">
      <c r="B203" s="48">
        <f>+'Metrics - Articles'!C202</f>
        <v>42173</v>
      </c>
      <c r="C203">
        <f>COUNTIF('Metrics - Articles'!H202,"*Global*")</f>
        <v>1</v>
      </c>
      <c r="D203">
        <f>COUNTIF('Metrics - Articles'!H202,"*EMEA*")</f>
        <v>0</v>
      </c>
      <c r="E203">
        <f>COUNTIF('Metrics - Articles'!H202,"*NA*")</f>
        <v>0</v>
      </c>
      <c r="F203">
        <f>COUNTIF('Metrics - Articles'!H202,"*APJ")</f>
        <v>0</v>
      </c>
      <c r="G203">
        <f>COUNTIF('Metrics - Articles'!H202,"*LATAM*")</f>
        <v>0</v>
      </c>
      <c r="H203">
        <f>COUNTIF('Metrics - Articles'!H202,"*China*")</f>
        <v>0</v>
      </c>
      <c r="J203" s="53">
        <f t="shared" si="4"/>
        <v>1</v>
      </c>
    </row>
    <row r="204" spans="2:10" hidden="1" x14ac:dyDescent="0.25">
      <c r="B204" s="48">
        <f>+'Metrics - Articles'!C203</f>
        <v>42177</v>
      </c>
      <c r="C204">
        <f>COUNTIF('Metrics - Articles'!H203,"*Global*")</f>
        <v>1</v>
      </c>
      <c r="D204">
        <f>COUNTIF('Metrics - Articles'!H203,"*EMEA*")</f>
        <v>0</v>
      </c>
      <c r="E204">
        <f>COUNTIF('Metrics - Articles'!H203,"*NA*")</f>
        <v>0</v>
      </c>
      <c r="F204">
        <f>COUNTIF('Metrics - Articles'!H203,"*APJ")</f>
        <v>0</v>
      </c>
      <c r="G204">
        <f>COUNTIF('Metrics - Articles'!H203,"*LATAM*")</f>
        <v>0</v>
      </c>
      <c r="H204">
        <f>COUNTIF('Metrics - Articles'!H203,"*China*")</f>
        <v>0</v>
      </c>
      <c r="J204" s="53">
        <f t="shared" si="4"/>
        <v>1</v>
      </c>
    </row>
    <row r="205" spans="2:10" hidden="1" x14ac:dyDescent="0.25">
      <c r="B205" s="48">
        <f>+'Metrics - Articles'!C204</f>
        <v>42178</v>
      </c>
      <c r="C205">
        <f>COUNTIF('Metrics - Articles'!H204,"*Global*")</f>
        <v>1</v>
      </c>
      <c r="D205">
        <f>COUNTIF('Metrics - Articles'!H204,"*EMEA*")</f>
        <v>0</v>
      </c>
      <c r="E205">
        <f>COUNTIF('Metrics - Articles'!H204,"*NA*")</f>
        <v>0</v>
      </c>
      <c r="F205">
        <f>COUNTIF('Metrics - Articles'!H204,"*APJ")</f>
        <v>0</v>
      </c>
      <c r="G205">
        <f>COUNTIF('Metrics - Articles'!H204,"*LATAM*")</f>
        <v>0</v>
      </c>
      <c r="H205">
        <f>COUNTIF('Metrics - Articles'!H204,"*China*")</f>
        <v>0</v>
      </c>
      <c r="J205" s="53">
        <f t="shared" si="4"/>
        <v>1</v>
      </c>
    </row>
    <row r="206" spans="2:10" hidden="1" x14ac:dyDescent="0.25">
      <c r="B206" s="48">
        <f>+'Metrics - Articles'!C205</f>
        <v>42179</v>
      </c>
      <c r="C206">
        <f>COUNTIF('Metrics - Articles'!H205,"*Global*")</f>
        <v>1</v>
      </c>
      <c r="D206">
        <f>COUNTIF('Metrics - Articles'!H205,"*EMEA*")</f>
        <v>0</v>
      </c>
      <c r="E206">
        <f>COUNTIF('Metrics - Articles'!H205,"*NA*")</f>
        <v>0</v>
      </c>
      <c r="F206">
        <f>COUNTIF('Metrics - Articles'!H205,"*APJ")</f>
        <v>0</v>
      </c>
      <c r="G206">
        <f>COUNTIF('Metrics - Articles'!H205,"*LATAM*")</f>
        <v>0</v>
      </c>
      <c r="H206">
        <f>COUNTIF('Metrics - Articles'!H205,"*China*")</f>
        <v>0</v>
      </c>
      <c r="J206" s="53">
        <f t="shared" si="4"/>
        <v>1</v>
      </c>
    </row>
    <row r="207" spans="2:10" hidden="1" x14ac:dyDescent="0.25">
      <c r="B207" s="48">
        <f>+'Metrics - Articles'!C206</f>
        <v>42179</v>
      </c>
      <c r="C207">
        <f>COUNTIF('Metrics - Articles'!H206,"*Global*")</f>
        <v>0</v>
      </c>
      <c r="D207">
        <f>COUNTIF('Metrics - Articles'!H206,"*EMEA*")</f>
        <v>1</v>
      </c>
      <c r="E207">
        <f>COUNTIF('Metrics - Articles'!H206,"*NA*")</f>
        <v>0</v>
      </c>
      <c r="F207">
        <f>COUNTIF('Metrics - Articles'!H206,"*APJ")</f>
        <v>0</v>
      </c>
      <c r="G207">
        <f>COUNTIF('Metrics - Articles'!H206,"*LATAM*")</f>
        <v>0</v>
      </c>
      <c r="H207">
        <f>COUNTIF('Metrics - Articles'!H206,"*China*")</f>
        <v>0</v>
      </c>
      <c r="J207" s="53">
        <f t="shared" si="4"/>
        <v>1</v>
      </c>
    </row>
    <row r="208" spans="2:10" hidden="1" x14ac:dyDescent="0.25">
      <c r="B208" s="48">
        <f>+'Metrics - Articles'!C207</f>
        <v>42179</v>
      </c>
      <c r="C208">
        <f>COUNTIF('Metrics - Articles'!H207,"*Global*")</f>
        <v>0</v>
      </c>
      <c r="D208">
        <f>COUNTIF('Metrics - Articles'!H207,"*EMEA*")</f>
        <v>1</v>
      </c>
      <c r="E208">
        <f>COUNTIF('Metrics - Articles'!H207,"*NA*")</f>
        <v>0</v>
      </c>
      <c r="F208">
        <f>COUNTIF('Metrics - Articles'!H207,"*APJ")</f>
        <v>0</v>
      </c>
      <c r="G208">
        <f>COUNTIF('Metrics - Articles'!H207,"*LATAM*")</f>
        <v>0</v>
      </c>
      <c r="H208">
        <f>COUNTIF('Metrics - Articles'!H207,"*China*")</f>
        <v>0</v>
      </c>
      <c r="J208" s="53">
        <f t="shared" si="4"/>
        <v>1</v>
      </c>
    </row>
    <row r="209" spans="2:10" hidden="1" x14ac:dyDescent="0.25">
      <c r="B209" s="48">
        <f>+'Metrics - Articles'!C208</f>
        <v>42180</v>
      </c>
      <c r="C209">
        <f>COUNTIF('Metrics - Articles'!H208,"*Global*")</f>
        <v>1</v>
      </c>
      <c r="D209">
        <f>COUNTIF('Metrics - Articles'!H208,"*EMEA*")</f>
        <v>0</v>
      </c>
      <c r="E209">
        <f>COUNTIF('Metrics - Articles'!H208,"*NA*")</f>
        <v>0</v>
      </c>
      <c r="F209">
        <f>COUNTIF('Metrics - Articles'!H208,"*APJ")</f>
        <v>0</v>
      </c>
      <c r="G209">
        <f>COUNTIF('Metrics - Articles'!H208,"*LATAM*")</f>
        <v>0</v>
      </c>
      <c r="H209">
        <f>COUNTIF('Metrics - Articles'!H208,"*China*")</f>
        <v>0</v>
      </c>
      <c r="J209" s="53">
        <f t="shared" si="4"/>
        <v>1</v>
      </c>
    </row>
    <row r="210" spans="2:10" hidden="1" x14ac:dyDescent="0.25">
      <c r="B210" s="48">
        <f>+'Metrics - Articles'!C209</f>
        <v>42180</v>
      </c>
      <c r="C210">
        <f>COUNTIF('Metrics - Articles'!H209,"*Global*")</f>
        <v>1</v>
      </c>
      <c r="D210">
        <f>COUNTIF('Metrics - Articles'!H209,"*EMEA*")</f>
        <v>0</v>
      </c>
      <c r="E210">
        <f>COUNTIF('Metrics - Articles'!H209,"*NA*")</f>
        <v>0</v>
      </c>
      <c r="F210">
        <f>COUNTIF('Metrics - Articles'!H209,"*APJ")</f>
        <v>0</v>
      </c>
      <c r="G210">
        <f>COUNTIF('Metrics - Articles'!H209,"*LATAM*")</f>
        <v>0</v>
      </c>
      <c r="H210">
        <f>COUNTIF('Metrics - Articles'!H209,"*China*")</f>
        <v>0</v>
      </c>
      <c r="J210" s="53">
        <f t="shared" si="4"/>
        <v>1</v>
      </c>
    </row>
    <row r="211" spans="2:10" hidden="1" x14ac:dyDescent="0.25">
      <c r="B211" s="48">
        <f>+'Metrics - Articles'!C210</f>
        <v>42181</v>
      </c>
      <c r="C211">
        <f>COUNTIF('Metrics - Articles'!H210,"*Global*")</f>
        <v>1</v>
      </c>
      <c r="D211">
        <f>COUNTIF('Metrics - Articles'!H210,"*EMEA*")</f>
        <v>0</v>
      </c>
      <c r="E211">
        <f>COUNTIF('Metrics - Articles'!H210,"*NA*")</f>
        <v>0</v>
      </c>
      <c r="F211">
        <f>COUNTIF('Metrics - Articles'!H210,"*APJ")</f>
        <v>0</v>
      </c>
      <c r="G211">
        <f>COUNTIF('Metrics - Articles'!H210,"*LATAM*")</f>
        <v>0</v>
      </c>
      <c r="H211">
        <f>COUNTIF('Metrics - Articles'!H210,"*China*")</f>
        <v>0</v>
      </c>
      <c r="J211" s="53">
        <f t="shared" si="4"/>
        <v>1</v>
      </c>
    </row>
    <row r="212" spans="2:10" hidden="1" x14ac:dyDescent="0.25">
      <c r="B212" s="48">
        <f>+'Metrics - Articles'!C211</f>
        <v>42181</v>
      </c>
      <c r="C212">
        <f>COUNTIF('Metrics - Articles'!H211,"*Global*")</f>
        <v>0</v>
      </c>
      <c r="D212">
        <f>COUNTIF('Metrics - Articles'!H211,"*EMEA*")</f>
        <v>0</v>
      </c>
      <c r="E212">
        <f>COUNTIF('Metrics - Articles'!H211,"*NA*")</f>
        <v>0</v>
      </c>
      <c r="F212">
        <f>COUNTIF('Metrics - Articles'!H211,"*APJ")</f>
        <v>0</v>
      </c>
      <c r="G212">
        <f>COUNTIF('Metrics - Articles'!H211,"*LATAM*")</f>
        <v>1</v>
      </c>
      <c r="H212">
        <f>COUNTIF('Metrics - Articles'!H211,"*China*")</f>
        <v>0</v>
      </c>
      <c r="J212" s="53">
        <f t="shared" si="4"/>
        <v>1</v>
      </c>
    </row>
    <row r="213" spans="2:10" hidden="1" x14ac:dyDescent="0.25">
      <c r="B213" s="48">
        <f>+'Metrics - Articles'!C212</f>
        <v>42181</v>
      </c>
      <c r="C213">
        <f>COUNTIF('Metrics - Articles'!H212,"*Global*")</f>
        <v>1</v>
      </c>
      <c r="D213">
        <f>COUNTIF('Metrics - Articles'!H212,"*EMEA*")</f>
        <v>0</v>
      </c>
      <c r="E213">
        <f>COUNTIF('Metrics - Articles'!H212,"*NA*")</f>
        <v>0</v>
      </c>
      <c r="F213">
        <f>COUNTIF('Metrics - Articles'!H212,"*APJ")</f>
        <v>0</v>
      </c>
      <c r="G213">
        <f>COUNTIF('Metrics - Articles'!H212,"*LATAM*")</f>
        <v>0</v>
      </c>
      <c r="H213">
        <f>COUNTIF('Metrics - Articles'!H212,"*China*")</f>
        <v>0</v>
      </c>
      <c r="J213" s="53">
        <f t="shared" si="4"/>
        <v>1</v>
      </c>
    </row>
    <row r="214" spans="2:10" hidden="1" x14ac:dyDescent="0.25">
      <c r="B214" s="48">
        <f>+'Metrics - Articles'!C213</f>
        <v>42184</v>
      </c>
      <c r="C214">
        <f>COUNTIF('Metrics - Articles'!H213,"*Global*")</f>
        <v>0</v>
      </c>
      <c r="D214">
        <f>COUNTIF('Metrics - Articles'!H213,"*EMEA*")</f>
        <v>1</v>
      </c>
      <c r="E214">
        <f>COUNTIF('Metrics - Articles'!H213,"*NA*")</f>
        <v>0</v>
      </c>
      <c r="F214">
        <f>COUNTIF('Metrics - Articles'!H213,"*APJ")</f>
        <v>0</v>
      </c>
      <c r="G214">
        <f>COUNTIF('Metrics - Articles'!H213,"*LATAM*")</f>
        <v>0</v>
      </c>
      <c r="H214">
        <f>COUNTIF('Metrics - Articles'!H213,"*China*")</f>
        <v>0</v>
      </c>
      <c r="J214" s="53">
        <f t="shared" si="4"/>
        <v>1</v>
      </c>
    </row>
    <row r="215" spans="2:10" hidden="1" x14ac:dyDescent="0.25">
      <c r="B215" s="48">
        <f>+'Metrics - Articles'!C214</f>
        <v>42186</v>
      </c>
      <c r="C215">
        <f>COUNTIF('Metrics - Articles'!H214,"*Global*")</f>
        <v>0</v>
      </c>
      <c r="D215">
        <f>COUNTIF('Metrics - Articles'!H214,"*EMEA*")</f>
        <v>0</v>
      </c>
      <c r="E215">
        <f>COUNTIF('Metrics - Articles'!H214,"*NA*")</f>
        <v>1</v>
      </c>
      <c r="F215">
        <f>COUNTIF('Metrics - Articles'!H214,"*APJ")</f>
        <v>0</v>
      </c>
      <c r="G215">
        <f>COUNTIF('Metrics - Articles'!H214,"*LATAM*")</f>
        <v>0</v>
      </c>
      <c r="H215">
        <f>COUNTIF('Metrics - Articles'!H214,"*China*")</f>
        <v>0</v>
      </c>
      <c r="J215" s="53">
        <f t="shared" si="4"/>
        <v>1</v>
      </c>
    </row>
    <row r="216" spans="2:10" hidden="1" x14ac:dyDescent="0.25">
      <c r="B216" s="48">
        <f>+'Metrics - Articles'!C215</f>
        <v>42187</v>
      </c>
      <c r="C216">
        <f>COUNTIF('Metrics - Articles'!H215,"*Global*")</f>
        <v>1</v>
      </c>
      <c r="D216">
        <f>COUNTIF('Metrics - Articles'!H215,"*EMEA*")</f>
        <v>0</v>
      </c>
      <c r="E216">
        <f>COUNTIF('Metrics - Articles'!H215,"*NA*")</f>
        <v>0</v>
      </c>
      <c r="F216">
        <f>COUNTIF('Metrics - Articles'!H215,"*APJ")</f>
        <v>0</v>
      </c>
      <c r="G216">
        <f>COUNTIF('Metrics - Articles'!H215,"*LATAM*")</f>
        <v>0</v>
      </c>
      <c r="H216">
        <f>COUNTIF('Metrics - Articles'!H215,"*China*")</f>
        <v>0</v>
      </c>
      <c r="J216" s="53">
        <f t="shared" si="4"/>
        <v>1</v>
      </c>
    </row>
    <row r="217" spans="2:10" hidden="1" x14ac:dyDescent="0.25">
      <c r="B217" s="48">
        <f>+'Metrics - Articles'!C216</f>
        <v>42187</v>
      </c>
      <c r="C217">
        <f>COUNTIF('Metrics - Articles'!H216,"*Global*")</f>
        <v>0</v>
      </c>
      <c r="D217">
        <f>COUNTIF('Metrics - Articles'!H216,"*EMEA*")</f>
        <v>1</v>
      </c>
      <c r="E217">
        <f>COUNTIF('Metrics - Articles'!H216,"*NA*")</f>
        <v>0</v>
      </c>
      <c r="F217">
        <f>COUNTIF('Metrics - Articles'!H216,"*APJ")</f>
        <v>0</v>
      </c>
      <c r="G217">
        <f>COUNTIF('Metrics - Articles'!H216,"*LATAM*")</f>
        <v>0</v>
      </c>
      <c r="H217">
        <f>COUNTIF('Metrics - Articles'!H216,"*China*")</f>
        <v>0</v>
      </c>
      <c r="J217" s="53">
        <f t="shared" si="4"/>
        <v>1</v>
      </c>
    </row>
    <row r="218" spans="2:10" hidden="1" x14ac:dyDescent="0.25">
      <c r="B218" s="48">
        <f>+'Metrics - Articles'!C217</f>
        <v>42188</v>
      </c>
      <c r="C218">
        <f>COUNTIF('Metrics - Articles'!H217,"*Global*")</f>
        <v>1</v>
      </c>
      <c r="D218">
        <f>COUNTIF('Metrics - Articles'!H217,"*EMEA*")</f>
        <v>0</v>
      </c>
      <c r="E218">
        <f>COUNTIF('Metrics - Articles'!H217,"*NA*")</f>
        <v>0</v>
      </c>
      <c r="F218">
        <f>COUNTIF('Metrics - Articles'!H217,"*APJ")</f>
        <v>0</v>
      </c>
      <c r="G218">
        <f>COUNTIF('Metrics - Articles'!H217,"*LATAM*")</f>
        <v>0</v>
      </c>
      <c r="H218">
        <f>COUNTIF('Metrics - Articles'!H217,"*China*")</f>
        <v>0</v>
      </c>
      <c r="J218" s="53">
        <f t="shared" si="4"/>
        <v>1</v>
      </c>
    </row>
    <row r="219" spans="2:10" hidden="1" x14ac:dyDescent="0.25">
      <c r="B219" s="48">
        <f>+'Metrics - Articles'!C218</f>
        <v>42188</v>
      </c>
      <c r="C219">
        <f>COUNTIF('Metrics - Articles'!H218,"*Global*")</f>
        <v>1</v>
      </c>
      <c r="D219">
        <f>COUNTIF('Metrics - Articles'!H218,"*EMEA*")</f>
        <v>0</v>
      </c>
      <c r="E219">
        <f>COUNTIF('Metrics - Articles'!H218,"*NA*")</f>
        <v>0</v>
      </c>
      <c r="F219">
        <f>COUNTIF('Metrics - Articles'!H218,"*APJ")</f>
        <v>0</v>
      </c>
      <c r="G219">
        <f>COUNTIF('Metrics - Articles'!H218,"*LATAM*")</f>
        <v>0</v>
      </c>
      <c r="H219">
        <f>COUNTIF('Metrics - Articles'!H218,"*China*")</f>
        <v>0</v>
      </c>
      <c r="J219" s="53">
        <f t="shared" si="4"/>
        <v>1</v>
      </c>
    </row>
    <row r="220" spans="2:10" hidden="1" x14ac:dyDescent="0.25">
      <c r="B220" s="48">
        <f>+'Metrics - Articles'!C219</f>
        <v>42188</v>
      </c>
      <c r="C220">
        <f>COUNTIF('Metrics - Articles'!H219,"*Global*")</f>
        <v>0</v>
      </c>
      <c r="D220">
        <f>COUNTIF('Metrics - Articles'!H219,"*EMEA*")</f>
        <v>1</v>
      </c>
      <c r="E220">
        <f>COUNTIF('Metrics - Articles'!H219,"*NA*")</f>
        <v>0</v>
      </c>
      <c r="F220">
        <f>COUNTIF('Metrics - Articles'!H219,"*APJ")</f>
        <v>0</v>
      </c>
      <c r="G220">
        <f>COUNTIF('Metrics - Articles'!H219,"*LATAM*")</f>
        <v>0</v>
      </c>
      <c r="H220">
        <f>COUNTIF('Metrics - Articles'!H219,"*China*")</f>
        <v>0</v>
      </c>
      <c r="J220" s="53">
        <f t="shared" si="4"/>
        <v>1</v>
      </c>
    </row>
    <row r="221" spans="2:10" hidden="1" x14ac:dyDescent="0.25">
      <c r="B221" s="48">
        <f>+'Metrics - Articles'!C220</f>
        <v>42191</v>
      </c>
      <c r="C221">
        <f>COUNTIF('Metrics - Articles'!H220,"*Global*")</f>
        <v>1</v>
      </c>
      <c r="D221">
        <f>COUNTIF('Metrics - Articles'!H220,"*EMEA*")</f>
        <v>0</v>
      </c>
      <c r="E221">
        <f>COUNTIF('Metrics - Articles'!H220,"*NA*")</f>
        <v>0</v>
      </c>
      <c r="F221">
        <f>COUNTIF('Metrics - Articles'!H220,"*APJ")</f>
        <v>0</v>
      </c>
      <c r="G221">
        <f>COUNTIF('Metrics - Articles'!H220,"*LATAM*")</f>
        <v>0</v>
      </c>
      <c r="H221">
        <f>COUNTIF('Metrics - Articles'!H220,"*China*")</f>
        <v>0</v>
      </c>
      <c r="J221" s="53">
        <f t="shared" si="4"/>
        <v>1</v>
      </c>
    </row>
    <row r="222" spans="2:10" hidden="1" x14ac:dyDescent="0.25">
      <c r="B222" s="48">
        <f>+'Metrics - Articles'!C221</f>
        <v>42192</v>
      </c>
      <c r="C222">
        <f>COUNTIF('Metrics - Articles'!H221,"*Global*")</f>
        <v>1</v>
      </c>
      <c r="D222">
        <f>COUNTIF('Metrics - Articles'!H221,"*EMEA*")</f>
        <v>0</v>
      </c>
      <c r="E222">
        <f>COUNTIF('Metrics - Articles'!H221,"*NA*")</f>
        <v>0</v>
      </c>
      <c r="F222">
        <f>COUNTIF('Metrics - Articles'!H221,"*APJ")</f>
        <v>0</v>
      </c>
      <c r="G222">
        <f>COUNTIF('Metrics - Articles'!H221,"*LATAM*")</f>
        <v>0</v>
      </c>
      <c r="H222">
        <f>COUNTIF('Metrics - Articles'!H221,"*China*")</f>
        <v>0</v>
      </c>
      <c r="J222" s="53">
        <f t="shared" si="4"/>
        <v>1</v>
      </c>
    </row>
    <row r="223" spans="2:10" hidden="1" x14ac:dyDescent="0.25">
      <c r="B223" s="48">
        <f>+'Metrics - Articles'!C222</f>
        <v>42194</v>
      </c>
      <c r="C223">
        <f>COUNTIF('Metrics - Articles'!H222,"*Global*")</f>
        <v>0</v>
      </c>
      <c r="D223">
        <f>COUNTIF('Metrics - Articles'!H222,"*EMEA*")</f>
        <v>1</v>
      </c>
      <c r="E223">
        <f>COUNTIF('Metrics - Articles'!H222,"*NA*")</f>
        <v>0</v>
      </c>
      <c r="F223">
        <f>COUNTIF('Metrics - Articles'!H222,"*APJ")</f>
        <v>0</v>
      </c>
      <c r="G223">
        <f>COUNTIF('Metrics - Articles'!H222,"*LATAM*")</f>
        <v>0</v>
      </c>
      <c r="H223">
        <f>COUNTIF('Metrics - Articles'!H222,"*China*")</f>
        <v>0</v>
      </c>
      <c r="J223" s="53">
        <f t="shared" si="4"/>
        <v>1</v>
      </c>
    </row>
    <row r="224" spans="2:10" hidden="1" x14ac:dyDescent="0.25">
      <c r="B224" s="48">
        <f>+'Metrics - Articles'!C223</f>
        <v>42194</v>
      </c>
      <c r="C224">
        <f>COUNTIF('Metrics - Articles'!H223,"*Global*")</f>
        <v>1</v>
      </c>
      <c r="D224">
        <f>COUNTIF('Metrics - Articles'!H223,"*EMEA*")</f>
        <v>0</v>
      </c>
      <c r="E224">
        <f>COUNTIF('Metrics - Articles'!H223,"*NA*")</f>
        <v>0</v>
      </c>
      <c r="F224">
        <f>COUNTIF('Metrics - Articles'!H223,"*APJ")</f>
        <v>0</v>
      </c>
      <c r="G224">
        <f>COUNTIF('Metrics - Articles'!H223,"*LATAM*")</f>
        <v>0</v>
      </c>
      <c r="H224">
        <f>COUNTIF('Metrics - Articles'!H223,"*China*")</f>
        <v>0</v>
      </c>
      <c r="J224" s="53">
        <f t="shared" si="4"/>
        <v>1</v>
      </c>
    </row>
    <row r="225" spans="2:10" hidden="1" x14ac:dyDescent="0.25">
      <c r="B225" s="48">
        <f>+'Metrics - Articles'!C224</f>
        <v>42194</v>
      </c>
      <c r="C225">
        <f>COUNTIF('Metrics - Articles'!H224,"*Global*")</f>
        <v>1</v>
      </c>
      <c r="D225">
        <f>COUNTIF('Metrics - Articles'!H224,"*EMEA*")</f>
        <v>0</v>
      </c>
      <c r="E225">
        <f>COUNTIF('Metrics - Articles'!H224,"*NA*")</f>
        <v>0</v>
      </c>
      <c r="F225">
        <f>COUNTIF('Metrics - Articles'!H224,"*APJ")</f>
        <v>0</v>
      </c>
      <c r="G225">
        <f>COUNTIF('Metrics - Articles'!H224,"*LATAM*")</f>
        <v>0</v>
      </c>
      <c r="H225">
        <f>COUNTIF('Metrics - Articles'!H224,"*China*")</f>
        <v>0</v>
      </c>
      <c r="J225" s="53">
        <f t="shared" si="4"/>
        <v>1</v>
      </c>
    </row>
    <row r="226" spans="2:10" hidden="1" x14ac:dyDescent="0.25">
      <c r="B226" s="48">
        <f>+'Metrics - Articles'!C225</f>
        <v>42195</v>
      </c>
      <c r="C226">
        <f>COUNTIF('Metrics - Articles'!H225,"*Global*")</f>
        <v>1</v>
      </c>
      <c r="D226">
        <f>COUNTIF('Metrics - Articles'!H225,"*EMEA*")</f>
        <v>0</v>
      </c>
      <c r="E226">
        <f>COUNTIF('Metrics - Articles'!H225,"*NA*")</f>
        <v>0</v>
      </c>
      <c r="F226">
        <f>COUNTIF('Metrics - Articles'!H225,"*APJ")</f>
        <v>0</v>
      </c>
      <c r="G226">
        <f>COUNTIF('Metrics - Articles'!H225,"*LATAM*")</f>
        <v>0</v>
      </c>
      <c r="H226">
        <f>COUNTIF('Metrics - Articles'!H225,"*China*")</f>
        <v>0</v>
      </c>
      <c r="J226" s="53">
        <f t="shared" si="4"/>
        <v>1</v>
      </c>
    </row>
    <row r="227" spans="2:10" hidden="1" x14ac:dyDescent="0.25">
      <c r="B227" s="48">
        <f>+'Metrics - Articles'!C226</f>
        <v>42195</v>
      </c>
      <c r="C227">
        <f>COUNTIF('Metrics - Articles'!H226,"*Global*")</f>
        <v>0</v>
      </c>
      <c r="D227">
        <f>COUNTIF('Metrics - Articles'!H226,"*EMEA*")</f>
        <v>1</v>
      </c>
      <c r="E227">
        <f>COUNTIF('Metrics - Articles'!H226,"*NA*")</f>
        <v>0</v>
      </c>
      <c r="F227">
        <f>COUNTIF('Metrics - Articles'!H226,"*APJ")</f>
        <v>0</v>
      </c>
      <c r="G227">
        <f>COUNTIF('Metrics - Articles'!H226,"*LATAM*")</f>
        <v>0</v>
      </c>
      <c r="H227">
        <f>COUNTIF('Metrics - Articles'!H226,"*China*")</f>
        <v>0</v>
      </c>
      <c r="J227" s="53">
        <f t="shared" si="4"/>
        <v>1</v>
      </c>
    </row>
    <row r="228" spans="2:10" hidden="1" x14ac:dyDescent="0.25">
      <c r="B228" s="48">
        <f>+'Metrics - Articles'!C227</f>
        <v>42195</v>
      </c>
      <c r="C228">
        <f>COUNTIF('Metrics - Articles'!H227,"*Global*")</f>
        <v>1</v>
      </c>
      <c r="D228">
        <f>COUNTIF('Metrics - Articles'!H227,"*EMEA*")</f>
        <v>0</v>
      </c>
      <c r="E228">
        <f>COUNTIF('Metrics - Articles'!H227,"*NA*")</f>
        <v>0</v>
      </c>
      <c r="F228">
        <f>COUNTIF('Metrics - Articles'!H227,"*APJ")</f>
        <v>0</v>
      </c>
      <c r="G228">
        <f>COUNTIF('Metrics - Articles'!H227,"*LATAM*")</f>
        <v>0</v>
      </c>
      <c r="H228">
        <f>COUNTIF('Metrics - Articles'!H227,"*China*")</f>
        <v>0</v>
      </c>
      <c r="J228" s="53">
        <f t="shared" si="4"/>
        <v>1</v>
      </c>
    </row>
    <row r="229" spans="2:10" hidden="1" x14ac:dyDescent="0.25">
      <c r="B229" s="48">
        <f>+'Metrics - Articles'!C228</f>
        <v>42198</v>
      </c>
      <c r="C229">
        <f>COUNTIF('Metrics - Articles'!H228,"*Global*")</f>
        <v>0</v>
      </c>
      <c r="D229">
        <f>COUNTIF('Metrics - Articles'!H228,"*EMEA*")</f>
        <v>0</v>
      </c>
      <c r="E229">
        <f>COUNTIF('Metrics - Articles'!H228,"*NA*")</f>
        <v>1</v>
      </c>
      <c r="F229">
        <f>COUNTIF('Metrics - Articles'!H228,"*APJ")</f>
        <v>0</v>
      </c>
      <c r="G229">
        <f>COUNTIF('Metrics - Articles'!H228,"*LATAM*")</f>
        <v>0</v>
      </c>
      <c r="H229">
        <f>COUNTIF('Metrics - Articles'!H228,"*China*")</f>
        <v>0</v>
      </c>
      <c r="J229" s="53">
        <f t="shared" si="4"/>
        <v>1</v>
      </c>
    </row>
    <row r="230" spans="2:10" hidden="1" x14ac:dyDescent="0.25">
      <c r="B230" s="48">
        <f>+'Metrics - Articles'!C229</f>
        <v>42198</v>
      </c>
      <c r="C230">
        <f>COUNTIF('Metrics - Articles'!H229,"*Global*")</f>
        <v>1</v>
      </c>
      <c r="D230">
        <f>COUNTIF('Metrics - Articles'!H229,"*EMEA*")</f>
        <v>0</v>
      </c>
      <c r="E230">
        <f>COUNTIF('Metrics - Articles'!H229,"*NA*")</f>
        <v>0</v>
      </c>
      <c r="F230">
        <f>COUNTIF('Metrics - Articles'!H229,"*APJ")</f>
        <v>0</v>
      </c>
      <c r="G230">
        <f>COUNTIF('Metrics - Articles'!H229,"*LATAM*")</f>
        <v>0</v>
      </c>
      <c r="H230">
        <f>COUNTIF('Metrics - Articles'!H229,"*China*")</f>
        <v>0</v>
      </c>
      <c r="J230" s="53">
        <f t="shared" si="4"/>
        <v>1</v>
      </c>
    </row>
    <row r="231" spans="2:10" hidden="1" x14ac:dyDescent="0.25">
      <c r="B231" s="48">
        <f>+'Metrics - Articles'!C230</f>
        <v>42199</v>
      </c>
      <c r="C231">
        <f>COUNTIF('Metrics - Articles'!H230,"*Global*")</f>
        <v>0</v>
      </c>
      <c r="D231">
        <f>COUNTIF('Metrics - Articles'!H230,"*EMEA*")</f>
        <v>0</v>
      </c>
      <c r="E231">
        <f>COUNTIF('Metrics - Articles'!H230,"*NA*")</f>
        <v>1</v>
      </c>
      <c r="F231">
        <f>COUNTIF('Metrics - Articles'!H230,"*APJ")</f>
        <v>0</v>
      </c>
      <c r="G231">
        <f>COUNTIF('Metrics - Articles'!H230,"*LATAM*")</f>
        <v>0</v>
      </c>
      <c r="H231">
        <f>COUNTIF('Metrics - Articles'!H230,"*China*")</f>
        <v>0</v>
      </c>
      <c r="J231" s="53">
        <f t="shared" si="4"/>
        <v>1</v>
      </c>
    </row>
    <row r="232" spans="2:10" hidden="1" x14ac:dyDescent="0.25">
      <c r="B232" s="48">
        <f>+'Metrics - Articles'!C231</f>
        <v>42199</v>
      </c>
      <c r="C232">
        <f>COUNTIF('Metrics - Articles'!H231,"*Global*")</f>
        <v>0</v>
      </c>
      <c r="D232">
        <f>COUNTIF('Metrics - Articles'!H231,"*EMEA*")</f>
        <v>1</v>
      </c>
      <c r="E232">
        <f>COUNTIF('Metrics - Articles'!H231,"*NA*")</f>
        <v>0</v>
      </c>
      <c r="F232">
        <f>COUNTIF('Metrics - Articles'!H231,"*APJ")</f>
        <v>0</v>
      </c>
      <c r="G232">
        <f>COUNTIF('Metrics - Articles'!H231,"*LATAM*")</f>
        <v>0</v>
      </c>
      <c r="H232">
        <f>COUNTIF('Metrics - Articles'!H231,"*China*")</f>
        <v>0</v>
      </c>
      <c r="J232" s="53">
        <f t="shared" si="4"/>
        <v>1</v>
      </c>
    </row>
    <row r="233" spans="2:10" hidden="1" x14ac:dyDescent="0.25">
      <c r="B233" s="48">
        <f>+'Metrics - Articles'!C232</f>
        <v>42200</v>
      </c>
      <c r="C233">
        <f>COUNTIF('Metrics - Articles'!H232,"*Global*")</f>
        <v>0</v>
      </c>
      <c r="D233">
        <f>COUNTIF('Metrics - Articles'!H232,"*EMEA*")</f>
        <v>1</v>
      </c>
      <c r="E233">
        <f>COUNTIF('Metrics - Articles'!H232,"*NA*")</f>
        <v>0</v>
      </c>
      <c r="F233">
        <f>COUNTIF('Metrics - Articles'!H232,"*APJ")</f>
        <v>0</v>
      </c>
      <c r="G233">
        <f>COUNTIF('Metrics - Articles'!H232,"*LATAM*")</f>
        <v>0</v>
      </c>
      <c r="H233">
        <f>COUNTIF('Metrics - Articles'!H232,"*China*")</f>
        <v>0</v>
      </c>
      <c r="J233" s="53">
        <f t="shared" si="4"/>
        <v>1</v>
      </c>
    </row>
    <row r="234" spans="2:10" hidden="1" x14ac:dyDescent="0.25">
      <c r="B234" s="48">
        <f>+'Metrics - Articles'!C233</f>
        <v>42201</v>
      </c>
      <c r="C234">
        <f>COUNTIF('Metrics - Articles'!H233,"*Global*")</f>
        <v>0</v>
      </c>
      <c r="D234">
        <f>COUNTIF('Metrics - Articles'!H233,"*EMEA*")</f>
        <v>0</v>
      </c>
      <c r="E234">
        <f>COUNTIF('Metrics - Articles'!H233,"*NA*")</f>
        <v>0</v>
      </c>
      <c r="F234">
        <f>COUNTIF('Metrics - Articles'!H233,"*APJ")</f>
        <v>0</v>
      </c>
      <c r="G234">
        <f>COUNTIF('Metrics - Articles'!H233,"*LATAM*")</f>
        <v>1</v>
      </c>
      <c r="H234">
        <f>COUNTIF('Metrics - Articles'!H233,"*China*")</f>
        <v>0</v>
      </c>
      <c r="J234" s="53">
        <f t="shared" si="4"/>
        <v>1</v>
      </c>
    </row>
    <row r="235" spans="2:10" hidden="1" x14ac:dyDescent="0.25">
      <c r="B235" s="48">
        <f>+'Metrics - Articles'!C234</f>
        <v>42202</v>
      </c>
      <c r="C235">
        <f>COUNTIF('Metrics - Articles'!H234,"*Global*")</f>
        <v>0</v>
      </c>
      <c r="D235">
        <f>COUNTIF('Metrics - Articles'!H234,"*EMEA*")</f>
        <v>0</v>
      </c>
      <c r="E235">
        <f>COUNTIF('Metrics - Articles'!H234,"*NA*")</f>
        <v>1</v>
      </c>
      <c r="F235">
        <f>COUNTIF('Metrics - Articles'!H234,"*APJ")</f>
        <v>0</v>
      </c>
      <c r="G235">
        <f>COUNTIF('Metrics - Articles'!H234,"*LATAM*")</f>
        <v>0</v>
      </c>
      <c r="H235">
        <f>COUNTIF('Metrics - Articles'!H234,"*China*")</f>
        <v>0</v>
      </c>
      <c r="J235" s="53">
        <f t="shared" si="4"/>
        <v>1</v>
      </c>
    </row>
    <row r="236" spans="2:10" hidden="1" x14ac:dyDescent="0.25">
      <c r="B236" s="48">
        <f>+'Metrics - Articles'!C235</f>
        <v>42202</v>
      </c>
      <c r="C236">
        <f>COUNTIF('Metrics - Articles'!H235,"*Global*")</f>
        <v>0</v>
      </c>
      <c r="D236">
        <f>COUNTIF('Metrics - Articles'!H235,"*EMEA*")</f>
        <v>1</v>
      </c>
      <c r="E236">
        <f>COUNTIF('Metrics - Articles'!H235,"*NA*")</f>
        <v>0</v>
      </c>
      <c r="F236">
        <f>COUNTIF('Metrics - Articles'!H235,"*APJ")</f>
        <v>0</v>
      </c>
      <c r="G236">
        <f>COUNTIF('Metrics - Articles'!H235,"*LATAM*")</f>
        <v>0</v>
      </c>
      <c r="H236">
        <f>COUNTIF('Metrics - Articles'!H235,"*China*")</f>
        <v>0</v>
      </c>
      <c r="J236" s="53">
        <f t="shared" si="4"/>
        <v>1</v>
      </c>
    </row>
    <row r="237" spans="2:10" hidden="1" x14ac:dyDescent="0.25">
      <c r="B237" s="48">
        <f>+'Metrics - Articles'!C236</f>
        <v>42205</v>
      </c>
      <c r="C237">
        <f>COUNTIF('Metrics - Articles'!H236,"*Global*")</f>
        <v>1</v>
      </c>
      <c r="D237">
        <f>COUNTIF('Metrics - Articles'!H236,"*EMEA*")</f>
        <v>0</v>
      </c>
      <c r="E237">
        <f>COUNTIF('Metrics - Articles'!H236,"*NA*")</f>
        <v>0</v>
      </c>
      <c r="F237">
        <f>COUNTIF('Metrics - Articles'!H236,"*APJ")</f>
        <v>0</v>
      </c>
      <c r="G237">
        <f>COUNTIF('Metrics - Articles'!H236,"*LATAM*")</f>
        <v>0</v>
      </c>
      <c r="H237">
        <f>COUNTIF('Metrics - Articles'!H236,"*China*")</f>
        <v>0</v>
      </c>
      <c r="J237" s="53">
        <f t="shared" si="4"/>
        <v>1</v>
      </c>
    </row>
    <row r="238" spans="2:10" hidden="1" x14ac:dyDescent="0.25">
      <c r="B238" s="48">
        <f>+'Metrics - Articles'!C237</f>
        <v>42205</v>
      </c>
      <c r="C238">
        <f>COUNTIF('Metrics - Articles'!H237,"*Global*")</f>
        <v>0</v>
      </c>
      <c r="D238">
        <f>COUNTIF('Metrics - Articles'!H237,"*EMEA*")</f>
        <v>1</v>
      </c>
      <c r="E238">
        <f>COUNTIF('Metrics - Articles'!H237,"*NA*")</f>
        <v>0</v>
      </c>
      <c r="F238">
        <f>COUNTIF('Metrics - Articles'!H237,"*APJ")</f>
        <v>0</v>
      </c>
      <c r="G238">
        <f>COUNTIF('Metrics - Articles'!H237,"*LATAM*")</f>
        <v>0</v>
      </c>
      <c r="H238">
        <f>COUNTIF('Metrics - Articles'!H237,"*China*")</f>
        <v>0</v>
      </c>
      <c r="J238" s="53">
        <f t="shared" si="4"/>
        <v>1</v>
      </c>
    </row>
    <row r="239" spans="2:10" hidden="1" x14ac:dyDescent="0.25">
      <c r="B239" s="48">
        <f>+'Metrics - Articles'!C238</f>
        <v>42206</v>
      </c>
      <c r="C239">
        <f>COUNTIF('Metrics - Articles'!H238,"*Global*")</f>
        <v>1</v>
      </c>
      <c r="D239">
        <f>COUNTIF('Metrics - Articles'!H238,"*EMEA*")</f>
        <v>0</v>
      </c>
      <c r="E239">
        <f>COUNTIF('Metrics - Articles'!H238,"*NA*")</f>
        <v>0</v>
      </c>
      <c r="F239">
        <f>COUNTIF('Metrics - Articles'!H238,"*APJ")</f>
        <v>0</v>
      </c>
      <c r="G239">
        <f>COUNTIF('Metrics - Articles'!H238,"*LATAM*")</f>
        <v>0</v>
      </c>
      <c r="H239">
        <f>COUNTIF('Metrics - Articles'!H238,"*China*")</f>
        <v>0</v>
      </c>
      <c r="J239" s="53">
        <f t="shared" si="4"/>
        <v>1</v>
      </c>
    </row>
    <row r="240" spans="2:10" hidden="1" x14ac:dyDescent="0.25">
      <c r="B240" s="48">
        <f>+'Metrics - Articles'!C239</f>
        <v>42206</v>
      </c>
      <c r="C240">
        <f>COUNTIF('Metrics - Articles'!H239,"*Global*")</f>
        <v>1</v>
      </c>
      <c r="D240">
        <f>COUNTIF('Metrics - Articles'!H239,"*EMEA*")</f>
        <v>0</v>
      </c>
      <c r="E240">
        <f>COUNTIF('Metrics - Articles'!H239,"*NA*")</f>
        <v>0</v>
      </c>
      <c r="F240">
        <f>COUNTIF('Metrics - Articles'!H239,"*APJ")</f>
        <v>0</v>
      </c>
      <c r="G240">
        <f>COUNTIF('Metrics - Articles'!H239,"*LATAM*")</f>
        <v>0</v>
      </c>
      <c r="H240">
        <f>COUNTIF('Metrics - Articles'!H239,"*China*")</f>
        <v>0</v>
      </c>
      <c r="J240" s="53">
        <f t="shared" si="4"/>
        <v>1</v>
      </c>
    </row>
    <row r="241" spans="2:10" hidden="1" x14ac:dyDescent="0.25">
      <c r="B241" s="48">
        <f>+'Metrics - Articles'!C240</f>
        <v>42206</v>
      </c>
      <c r="C241">
        <f>COUNTIF('Metrics - Articles'!H240,"*Global*")</f>
        <v>0</v>
      </c>
      <c r="D241">
        <f>COUNTIF('Metrics - Articles'!H240,"*EMEA*")</f>
        <v>1</v>
      </c>
      <c r="E241">
        <f>COUNTIF('Metrics - Articles'!H240,"*NA*")</f>
        <v>1</v>
      </c>
      <c r="F241">
        <f>COUNTIF('Metrics - Articles'!H240,"*APJ")</f>
        <v>0</v>
      </c>
      <c r="G241">
        <f>COUNTIF('Metrics - Articles'!H240,"*LATAM*")</f>
        <v>1</v>
      </c>
      <c r="H241">
        <f>COUNTIF('Metrics - Articles'!H240,"*China*")</f>
        <v>0</v>
      </c>
      <c r="J241" s="53">
        <f t="shared" si="4"/>
        <v>3</v>
      </c>
    </row>
    <row r="242" spans="2:10" hidden="1" x14ac:dyDescent="0.25">
      <c r="B242" s="48">
        <f>+'Metrics - Articles'!C241</f>
        <v>42207</v>
      </c>
      <c r="C242">
        <f>COUNTIF('Metrics - Articles'!H241,"*Global*")</f>
        <v>1</v>
      </c>
      <c r="D242">
        <f>COUNTIF('Metrics - Articles'!H241,"*EMEA*")</f>
        <v>0</v>
      </c>
      <c r="E242">
        <f>COUNTIF('Metrics - Articles'!H241,"*NA*")</f>
        <v>0</v>
      </c>
      <c r="F242">
        <f>COUNTIF('Metrics - Articles'!H241,"*APJ")</f>
        <v>0</v>
      </c>
      <c r="G242">
        <f>COUNTIF('Metrics - Articles'!H241,"*LATAM*")</f>
        <v>0</v>
      </c>
      <c r="H242">
        <f>COUNTIF('Metrics - Articles'!H241,"*China*")</f>
        <v>0</v>
      </c>
      <c r="J242" s="53">
        <f t="shared" si="4"/>
        <v>1</v>
      </c>
    </row>
    <row r="243" spans="2:10" hidden="1" x14ac:dyDescent="0.25">
      <c r="B243" s="48">
        <f>+'Metrics - Articles'!C242</f>
        <v>42207</v>
      </c>
      <c r="C243">
        <f>COUNTIF('Metrics - Articles'!H242,"*Global*")</f>
        <v>1</v>
      </c>
      <c r="D243">
        <f>COUNTIF('Metrics - Articles'!H242,"*EMEA*")</f>
        <v>0</v>
      </c>
      <c r="E243">
        <f>COUNTIF('Metrics - Articles'!H242,"*NA*")</f>
        <v>0</v>
      </c>
      <c r="F243">
        <f>COUNTIF('Metrics - Articles'!H242,"*APJ")</f>
        <v>0</v>
      </c>
      <c r="G243">
        <f>COUNTIF('Metrics - Articles'!H242,"*LATAM*")</f>
        <v>0</v>
      </c>
      <c r="H243">
        <f>COUNTIF('Metrics - Articles'!H242,"*China*")</f>
        <v>0</v>
      </c>
      <c r="J243" s="53">
        <f t="shared" si="4"/>
        <v>1</v>
      </c>
    </row>
    <row r="244" spans="2:10" hidden="1" x14ac:dyDescent="0.25">
      <c r="B244" s="48">
        <f>+'Metrics - Articles'!C243</f>
        <v>42208</v>
      </c>
      <c r="C244">
        <f>COUNTIF('Metrics - Articles'!H243,"*Global*")</f>
        <v>0</v>
      </c>
      <c r="D244">
        <f>COUNTIF('Metrics - Articles'!H243,"*EMEA*")</f>
        <v>0</v>
      </c>
      <c r="E244">
        <f>COUNTIF('Metrics - Articles'!H243,"*NA*")</f>
        <v>1</v>
      </c>
      <c r="F244">
        <f>COUNTIF('Metrics - Articles'!H243,"*APJ")</f>
        <v>0</v>
      </c>
      <c r="G244">
        <f>COUNTIF('Metrics - Articles'!H243,"*LATAM*")</f>
        <v>0</v>
      </c>
      <c r="H244">
        <f>COUNTIF('Metrics - Articles'!H243,"*China*")</f>
        <v>0</v>
      </c>
      <c r="J244" s="53">
        <f t="shared" si="4"/>
        <v>1</v>
      </c>
    </row>
    <row r="245" spans="2:10" hidden="1" x14ac:dyDescent="0.25">
      <c r="B245" s="48">
        <f>+'Metrics - Articles'!C244</f>
        <v>42208</v>
      </c>
      <c r="C245">
        <f>COUNTIF('Metrics - Articles'!H244,"*Global*")</f>
        <v>0</v>
      </c>
      <c r="D245">
        <f>COUNTIF('Metrics - Articles'!H244,"*EMEA*")</f>
        <v>1</v>
      </c>
      <c r="E245">
        <f>COUNTIF('Metrics - Articles'!H244,"*NA*")</f>
        <v>0</v>
      </c>
      <c r="F245">
        <f>COUNTIF('Metrics - Articles'!H244,"*APJ")</f>
        <v>0</v>
      </c>
      <c r="G245">
        <f>COUNTIF('Metrics - Articles'!H244,"*LATAM*")</f>
        <v>0</v>
      </c>
      <c r="H245">
        <f>COUNTIF('Metrics - Articles'!H244,"*China*")</f>
        <v>0</v>
      </c>
      <c r="J245" s="53">
        <f t="shared" si="4"/>
        <v>1</v>
      </c>
    </row>
    <row r="246" spans="2:10" hidden="1" x14ac:dyDescent="0.25">
      <c r="B246" s="48">
        <f>+'Metrics - Articles'!C245</f>
        <v>42209</v>
      </c>
      <c r="C246">
        <f>COUNTIF('Metrics - Articles'!H245,"*Global*")</f>
        <v>1</v>
      </c>
      <c r="D246">
        <f>COUNTIF('Metrics - Articles'!H245,"*EMEA*")</f>
        <v>0</v>
      </c>
      <c r="E246">
        <f>COUNTIF('Metrics - Articles'!H245,"*NA*")</f>
        <v>0</v>
      </c>
      <c r="F246">
        <f>COUNTIF('Metrics - Articles'!H245,"*APJ")</f>
        <v>0</v>
      </c>
      <c r="G246">
        <f>COUNTIF('Metrics - Articles'!H245,"*LATAM*")</f>
        <v>0</v>
      </c>
      <c r="H246">
        <f>COUNTIF('Metrics - Articles'!H245,"*China*")</f>
        <v>0</v>
      </c>
      <c r="J246" s="53">
        <f t="shared" si="4"/>
        <v>1</v>
      </c>
    </row>
    <row r="247" spans="2:10" hidden="1" x14ac:dyDescent="0.25">
      <c r="B247" s="48">
        <f>+'Metrics - Articles'!C246</f>
        <v>42209</v>
      </c>
      <c r="C247">
        <f>COUNTIF('Metrics - Articles'!H246,"*Global*")</f>
        <v>0</v>
      </c>
      <c r="D247">
        <f>COUNTIF('Metrics - Articles'!H246,"*EMEA*")</f>
        <v>1</v>
      </c>
      <c r="E247">
        <f>COUNTIF('Metrics - Articles'!H246,"*NA*")</f>
        <v>0</v>
      </c>
      <c r="F247">
        <f>COUNTIF('Metrics - Articles'!H246,"*APJ")</f>
        <v>0</v>
      </c>
      <c r="G247">
        <f>COUNTIF('Metrics - Articles'!H246,"*LATAM*")</f>
        <v>0</v>
      </c>
      <c r="H247">
        <f>COUNTIF('Metrics - Articles'!H246,"*China*")</f>
        <v>0</v>
      </c>
      <c r="J247" s="53">
        <f t="shared" si="4"/>
        <v>1</v>
      </c>
    </row>
    <row r="248" spans="2:10" hidden="1" x14ac:dyDescent="0.25">
      <c r="B248" s="48">
        <f>+'Metrics - Articles'!C247</f>
        <v>42212</v>
      </c>
      <c r="C248">
        <f>COUNTIF('Metrics - Articles'!H247,"*Global*")</f>
        <v>1</v>
      </c>
      <c r="D248">
        <f>COUNTIF('Metrics - Articles'!H247,"*EMEA*")</f>
        <v>0</v>
      </c>
      <c r="E248">
        <f>COUNTIF('Metrics - Articles'!H247,"*NA*")</f>
        <v>0</v>
      </c>
      <c r="F248">
        <f>COUNTIF('Metrics - Articles'!H247,"*APJ")</f>
        <v>0</v>
      </c>
      <c r="G248">
        <f>COUNTIF('Metrics - Articles'!H247,"*LATAM*")</f>
        <v>0</v>
      </c>
      <c r="H248">
        <f>COUNTIF('Metrics - Articles'!H247,"*China*")</f>
        <v>0</v>
      </c>
      <c r="J248" s="53">
        <f t="shared" si="4"/>
        <v>1</v>
      </c>
    </row>
    <row r="249" spans="2:10" hidden="1" x14ac:dyDescent="0.25">
      <c r="B249" s="48">
        <f>+'Metrics - Articles'!C248</f>
        <v>42212</v>
      </c>
      <c r="C249">
        <f>COUNTIF('Metrics - Articles'!H248,"*Global*")</f>
        <v>0</v>
      </c>
      <c r="D249">
        <f>COUNTIF('Metrics - Articles'!H248,"*EMEA*")</f>
        <v>1</v>
      </c>
      <c r="E249">
        <f>COUNTIF('Metrics - Articles'!H248,"*NA*")</f>
        <v>0</v>
      </c>
      <c r="F249">
        <f>COUNTIF('Metrics - Articles'!H248,"*APJ")</f>
        <v>0</v>
      </c>
      <c r="G249">
        <f>COUNTIF('Metrics - Articles'!H248,"*LATAM*")</f>
        <v>0</v>
      </c>
      <c r="H249">
        <f>COUNTIF('Metrics - Articles'!H248,"*China*")</f>
        <v>0</v>
      </c>
      <c r="J249" s="53">
        <f t="shared" si="4"/>
        <v>1</v>
      </c>
    </row>
    <row r="250" spans="2:10" hidden="1" x14ac:dyDescent="0.25">
      <c r="B250" s="48">
        <f>+'Metrics - Articles'!C249</f>
        <v>42213</v>
      </c>
      <c r="C250">
        <f>COUNTIF('Metrics - Articles'!H249,"*Global*")</f>
        <v>1</v>
      </c>
      <c r="D250">
        <f>COUNTIF('Metrics - Articles'!H249,"*EMEA*")</f>
        <v>0</v>
      </c>
      <c r="E250">
        <f>COUNTIF('Metrics - Articles'!H249,"*NA*")</f>
        <v>0</v>
      </c>
      <c r="F250">
        <f>COUNTIF('Metrics - Articles'!H249,"*APJ")</f>
        <v>0</v>
      </c>
      <c r="G250">
        <f>COUNTIF('Metrics - Articles'!H249,"*LATAM*")</f>
        <v>0</v>
      </c>
      <c r="H250">
        <f>COUNTIF('Metrics - Articles'!H249,"*China*")</f>
        <v>0</v>
      </c>
      <c r="J250" s="53">
        <f t="shared" si="4"/>
        <v>1</v>
      </c>
    </row>
    <row r="251" spans="2:10" hidden="1" x14ac:dyDescent="0.25">
      <c r="B251" s="48">
        <f>+'Metrics - Articles'!C250</f>
        <v>42213</v>
      </c>
      <c r="C251">
        <f>COUNTIF('Metrics - Articles'!H250,"*Global*")</f>
        <v>0</v>
      </c>
      <c r="D251">
        <f>COUNTIF('Metrics - Articles'!H250,"*EMEA*")</f>
        <v>1</v>
      </c>
      <c r="E251">
        <f>COUNTIF('Metrics - Articles'!H250,"*NA*")</f>
        <v>0</v>
      </c>
      <c r="F251">
        <f>COUNTIF('Metrics - Articles'!H250,"*APJ")</f>
        <v>0</v>
      </c>
      <c r="G251">
        <f>COUNTIF('Metrics - Articles'!H250,"*LATAM*")</f>
        <v>0</v>
      </c>
      <c r="H251">
        <f>COUNTIF('Metrics - Articles'!H250,"*China*")</f>
        <v>0</v>
      </c>
      <c r="J251" s="53">
        <f t="shared" si="4"/>
        <v>1</v>
      </c>
    </row>
    <row r="252" spans="2:10" hidden="1" x14ac:dyDescent="0.25">
      <c r="B252" s="48">
        <f>+'Metrics - Articles'!C251</f>
        <v>42214</v>
      </c>
      <c r="C252">
        <f>COUNTIF('Metrics - Articles'!H251,"*Global*")</f>
        <v>0</v>
      </c>
      <c r="D252">
        <f>COUNTIF('Metrics - Articles'!H251,"*EMEA*")</f>
        <v>1</v>
      </c>
      <c r="E252">
        <f>COUNTIF('Metrics - Articles'!H251,"*NA*")</f>
        <v>0</v>
      </c>
      <c r="F252">
        <f>COUNTIF('Metrics - Articles'!H251,"*APJ")</f>
        <v>0</v>
      </c>
      <c r="G252">
        <f>COUNTIF('Metrics - Articles'!H251,"*LATAM*")</f>
        <v>0</v>
      </c>
      <c r="H252">
        <f>COUNTIF('Metrics - Articles'!H251,"*China*")</f>
        <v>0</v>
      </c>
      <c r="J252" s="53">
        <f t="shared" si="4"/>
        <v>1</v>
      </c>
    </row>
    <row r="253" spans="2:10" hidden="1" x14ac:dyDescent="0.25">
      <c r="B253" s="48">
        <f>+'Metrics - Articles'!C252</f>
        <v>42215</v>
      </c>
      <c r="C253">
        <f>COUNTIF('Metrics - Articles'!H252,"*Global*")</f>
        <v>1</v>
      </c>
      <c r="D253">
        <f>COUNTIF('Metrics - Articles'!H252,"*EMEA*")</f>
        <v>0</v>
      </c>
      <c r="E253">
        <f>COUNTIF('Metrics - Articles'!H252,"*NA*")</f>
        <v>0</v>
      </c>
      <c r="F253">
        <f>COUNTIF('Metrics - Articles'!H252,"*APJ")</f>
        <v>0</v>
      </c>
      <c r="G253">
        <f>COUNTIF('Metrics - Articles'!H252,"*LATAM*")</f>
        <v>0</v>
      </c>
      <c r="H253">
        <f>COUNTIF('Metrics - Articles'!H252,"*China*")</f>
        <v>0</v>
      </c>
      <c r="J253" s="53">
        <f t="shared" si="4"/>
        <v>1</v>
      </c>
    </row>
    <row r="254" spans="2:10" hidden="1" x14ac:dyDescent="0.25">
      <c r="B254" s="48">
        <f>+'Metrics - Articles'!C253</f>
        <v>42215</v>
      </c>
      <c r="C254">
        <f>COUNTIF('Metrics - Articles'!H253,"*Global*")</f>
        <v>0</v>
      </c>
      <c r="D254">
        <f>COUNTIF('Metrics - Articles'!H253,"*EMEA*")</f>
        <v>1</v>
      </c>
      <c r="E254">
        <f>COUNTIF('Metrics - Articles'!H253,"*NA*")</f>
        <v>0</v>
      </c>
      <c r="F254">
        <f>COUNTIF('Metrics - Articles'!H253,"*APJ")</f>
        <v>0</v>
      </c>
      <c r="G254">
        <f>COUNTIF('Metrics - Articles'!H253,"*LATAM*")</f>
        <v>0</v>
      </c>
      <c r="H254">
        <f>COUNTIF('Metrics - Articles'!H253,"*China*")</f>
        <v>0</v>
      </c>
      <c r="J254" s="53">
        <f t="shared" si="4"/>
        <v>1</v>
      </c>
    </row>
    <row r="255" spans="2:10" hidden="1" x14ac:dyDescent="0.25">
      <c r="B255" s="48">
        <f>+'Metrics - Articles'!C254</f>
        <v>42216</v>
      </c>
      <c r="C255">
        <f>COUNTIF('Metrics - Articles'!H254,"*Global*")</f>
        <v>0</v>
      </c>
      <c r="D255">
        <f>COUNTIF('Metrics - Articles'!H254,"*EMEA*")</f>
        <v>1</v>
      </c>
      <c r="E255">
        <f>COUNTIF('Metrics - Articles'!H254,"*NA*")</f>
        <v>0</v>
      </c>
      <c r="F255">
        <f>COUNTIF('Metrics - Articles'!H254,"*APJ")</f>
        <v>0</v>
      </c>
      <c r="G255">
        <f>COUNTIF('Metrics - Articles'!H254,"*LATAM*")</f>
        <v>0</v>
      </c>
      <c r="H255">
        <f>COUNTIF('Metrics - Articles'!H254,"*China*")</f>
        <v>0</v>
      </c>
      <c r="J255" s="53">
        <f t="shared" si="4"/>
        <v>1</v>
      </c>
    </row>
    <row r="256" spans="2:10" hidden="1" x14ac:dyDescent="0.25">
      <c r="B256" s="48">
        <f>+'Metrics - Articles'!C255</f>
        <v>42216</v>
      </c>
      <c r="C256">
        <f>COUNTIF('Metrics - Articles'!H255,"*Global*")</f>
        <v>1</v>
      </c>
      <c r="D256">
        <f>COUNTIF('Metrics - Articles'!H255,"*EMEA*")</f>
        <v>0</v>
      </c>
      <c r="E256">
        <f>COUNTIF('Metrics - Articles'!H255,"*NA*")</f>
        <v>0</v>
      </c>
      <c r="F256">
        <f>COUNTIF('Metrics - Articles'!H255,"*APJ")</f>
        <v>0</v>
      </c>
      <c r="G256">
        <f>COUNTIF('Metrics - Articles'!H255,"*LATAM*")</f>
        <v>0</v>
      </c>
      <c r="H256">
        <f>COUNTIF('Metrics - Articles'!H255,"*China*")</f>
        <v>0</v>
      </c>
      <c r="J256" s="53">
        <f t="shared" si="4"/>
        <v>1</v>
      </c>
    </row>
    <row r="257" spans="2:10" hidden="1" x14ac:dyDescent="0.25">
      <c r="B257" s="48">
        <f>+'Metrics - Articles'!C256</f>
        <v>42219</v>
      </c>
      <c r="C257">
        <f>COUNTIF('Metrics - Articles'!H256,"*Global*")</f>
        <v>0</v>
      </c>
      <c r="D257">
        <f>COUNTIF('Metrics - Articles'!H256,"*EMEA*")</f>
        <v>1</v>
      </c>
      <c r="E257">
        <f>COUNTIF('Metrics - Articles'!H256,"*NA*")</f>
        <v>0</v>
      </c>
      <c r="F257">
        <f>COUNTIF('Metrics - Articles'!H256,"*APJ")</f>
        <v>0</v>
      </c>
      <c r="G257">
        <f>COUNTIF('Metrics - Articles'!H256,"*LATAM*")</f>
        <v>0</v>
      </c>
      <c r="H257">
        <f>COUNTIF('Metrics - Articles'!H256,"*China*")</f>
        <v>0</v>
      </c>
      <c r="J257" s="53">
        <f t="shared" si="4"/>
        <v>1</v>
      </c>
    </row>
    <row r="258" spans="2:10" hidden="1" x14ac:dyDescent="0.25">
      <c r="B258" s="48">
        <f>+'Metrics - Articles'!C257</f>
        <v>42220</v>
      </c>
      <c r="C258">
        <f>COUNTIF('Metrics - Articles'!H257,"*Global*")</f>
        <v>0</v>
      </c>
      <c r="D258">
        <f>COUNTIF('Metrics - Articles'!H257,"*EMEA*")</f>
        <v>0</v>
      </c>
      <c r="E258">
        <f>COUNTIF('Metrics - Articles'!H257,"*NA*")</f>
        <v>1</v>
      </c>
      <c r="F258">
        <f>COUNTIF('Metrics - Articles'!H257,"*APJ")</f>
        <v>0</v>
      </c>
      <c r="G258">
        <f>COUNTIF('Metrics - Articles'!H257,"*LATAM*")</f>
        <v>0</v>
      </c>
      <c r="H258">
        <f>COUNTIF('Metrics - Articles'!H257,"*China*")</f>
        <v>0</v>
      </c>
      <c r="J258" s="53">
        <f t="shared" si="4"/>
        <v>1</v>
      </c>
    </row>
    <row r="259" spans="2:10" hidden="1" x14ac:dyDescent="0.25">
      <c r="B259" s="48">
        <f>+'Metrics - Articles'!C258</f>
        <v>42221</v>
      </c>
      <c r="C259">
        <f>COUNTIF('Metrics - Articles'!H258,"*Global*")</f>
        <v>0</v>
      </c>
      <c r="D259">
        <f>COUNTIF('Metrics - Articles'!H258,"*EMEA*")</f>
        <v>1</v>
      </c>
      <c r="E259">
        <f>COUNTIF('Metrics - Articles'!H258,"*NA*")</f>
        <v>0</v>
      </c>
      <c r="F259">
        <f>COUNTIF('Metrics - Articles'!H258,"*APJ")</f>
        <v>0</v>
      </c>
      <c r="G259">
        <f>COUNTIF('Metrics - Articles'!H258,"*LATAM*")</f>
        <v>0</v>
      </c>
      <c r="H259">
        <f>COUNTIF('Metrics - Articles'!H258,"*China*")</f>
        <v>0</v>
      </c>
      <c r="J259" s="53">
        <f t="shared" si="4"/>
        <v>1</v>
      </c>
    </row>
    <row r="260" spans="2:10" hidden="1" x14ac:dyDescent="0.25">
      <c r="B260" s="48">
        <f>+'Metrics - Articles'!C259</f>
        <v>42222</v>
      </c>
      <c r="C260">
        <f>COUNTIF('Metrics - Articles'!H259,"*Global*")</f>
        <v>0</v>
      </c>
      <c r="D260">
        <f>COUNTIF('Metrics - Articles'!H259,"*EMEA*")</f>
        <v>1</v>
      </c>
      <c r="E260">
        <f>COUNTIF('Metrics - Articles'!H259,"*NA*")</f>
        <v>0</v>
      </c>
      <c r="F260">
        <f>COUNTIF('Metrics - Articles'!H259,"*APJ")</f>
        <v>0</v>
      </c>
      <c r="G260">
        <f>COUNTIF('Metrics - Articles'!H259,"*LATAM*")</f>
        <v>0</v>
      </c>
      <c r="H260">
        <f>COUNTIF('Metrics - Articles'!H259,"*China*")</f>
        <v>0</v>
      </c>
      <c r="J260" s="53">
        <f t="shared" si="4"/>
        <v>1</v>
      </c>
    </row>
    <row r="261" spans="2:10" hidden="1" x14ac:dyDescent="0.25">
      <c r="B261" s="48">
        <f>+'Metrics - Articles'!C260</f>
        <v>42222</v>
      </c>
      <c r="C261">
        <f>COUNTIF('Metrics - Articles'!H260,"*Global*")</f>
        <v>0</v>
      </c>
      <c r="D261">
        <f>COUNTIF('Metrics - Articles'!H260,"*EMEA*")</f>
        <v>1</v>
      </c>
      <c r="E261">
        <f>COUNTIF('Metrics - Articles'!H260,"*NA*")</f>
        <v>0</v>
      </c>
      <c r="F261">
        <f>COUNTIF('Metrics - Articles'!H260,"*APJ")</f>
        <v>0</v>
      </c>
      <c r="G261">
        <f>COUNTIF('Metrics - Articles'!H260,"*LATAM*")</f>
        <v>0</v>
      </c>
      <c r="H261">
        <f>COUNTIF('Metrics - Articles'!H260,"*China*")</f>
        <v>0</v>
      </c>
      <c r="J261" s="53">
        <f t="shared" si="4"/>
        <v>1</v>
      </c>
    </row>
    <row r="262" spans="2:10" hidden="1" x14ac:dyDescent="0.25">
      <c r="B262" s="48">
        <f>+'Metrics - Articles'!C261</f>
        <v>42223</v>
      </c>
      <c r="C262">
        <f>COUNTIF('Metrics - Articles'!H261,"*Global*")</f>
        <v>0</v>
      </c>
      <c r="D262">
        <f>COUNTIF('Metrics - Articles'!H261,"*EMEA*")</f>
        <v>1</v>
      </c>
      <c r="E262">
        <f>COUNTIF('Metrics - Articles'!H261,"*NA*")</f>
        <v>0</v>
      </c>
      <c r="F262">
        <f>COUNTIF('Metrics - Articles'!H261,"*APJ")</f>
        <v>0</v>
      </c>
      <c r="G262">
        <f>COUNTIF('Metrics - Articles'!H261,"*LATAM*")</f>
        <v>0</v>
      </c>
      <c r="H262">
        <f>COUNTIF('Metrics - Articles'!H261,"*China*")</f>
        <v>0</v>
      </c>
      <c r="J262" s="53">
        <f t="shared" si="4"/>
        <v>1</v>
      </c>
    </row>
    <row r="263" spans="2:10" hidden="1" x14ac:dyDescent="0.25">
      <c r="B263" s="48">
        <f>+'Metrics - Articles'!C262</f>
        <v>42226</v>
      </c>
      <c r="C263">
        <f>COUNTIF('Metrics - Articles'!H262,"*Global*")</f>
        <v>1</v>
      </c>
      <c r="D263">
        <f>COUNTIF('Metrics - Articles'!H262,"*EMEA*")</f>
        <v>0</v>
      </c>
      <c r="E263">
        <f>COUNTIF('Metrics - Articles'!H262,"*NA*")</f>
        <v>0</v>
      </c>
      <c r="F263">
        <f>COUNTIF('Metrics - Articles'!H262,"*APJ")</f>
        <v>0</v>
      </c>
      <c r="G263">
        <f>COUNTIF('Metrics - Articles'!H262,"*LATAM*")</f>
        <v>0</v>
      </c>
      <c r="H263">
        <f>COUNTIF('Metrics - Articles'!H262,"*China*")</f>
        <v>0</v>
      </c>
      <c r="J263" s="53">
        <f t="shared" si="4"/>
        <v>1</v>
      </c>
    </row>
    <row r="264" spans="2:10" hidden="1" x14ac:dyDescent="0.25">
      <c r="B264" s="48">
        <f>+'Metrics - Articles'!C263</f>
        <v>42227</v>
      </c>
      <c r="C264">
        <f>COUNTIF('Metrics - Articles'!H263,"*Global*")</f>
        <v>1</v>
      </c>
      <c r="D264">
        <f>COUNTIF('Metrics - Articles'!H263,"*EMEA*")</f>
        <v>0</v>
      </c>
      <c r="E264">
        <f>COUNTIF('Metrics - Articles'!H263,"*NA*")</f>
        <v>0</v>
      </c>
      <c r="F264">
        <f>COUNTIF('Metrics - Articles'!H263,"*APJ")</f>
        <v>0</v>
      </c>
      <c r="G264">
        <f>COUNTIF('Metrics - Articles'!H263,"*LATAM*")</f>
        <v>0</v>
      </c>
      <c r="H264">
        <f>COUNTIF('Metrics - Articles'!H263,"*China*")</f>
        <v>0</v>
      </c>
      <c r="J264" s="53">
        <f t="shared" si="4"/>
        <v>1</v>
      </c>
    </row>
    <row r="265" spans="2:10" hidden="1" x14ac:dyDescent="0.25">
      <c r="B265" s="48">
        <f>+'Metrics - Articles'!C264</f>
        <v>42228</v>
      </c>
      <c r="C265">
        <f>COUNTIF('Metrics - Articles'!H264,"*Global*")</f>
        <v>0</v>
      </c>
      <c r="D265">
        <f>COUNTIF('Metrics - Articles'!H264,"*EMEA*")</f>
        <v>1</v>
      </c>
      <c r="E265">
        <f>COUNTIF('Metrics - Articles'!H264,"*NA*")</f>
        <v>0</v>
      </c>
      <c r="F265">
        <f>COUNTIF('Metrics - Articles'!H264,"*APJ")</f>
        <v>0</v>
      </c>
      <c r="G265">
        <f>COUNTIF('Metrics - Articles'!H264,"*LATAM*")</f>
        <v>0</v>
      </c>
      <c r="H265">
        <f>COUNTIF('Metrics - Articles'!H264,"*China*")</f>
        <v>0</v>
      </c>
      <c r="J265" s="53">
        <f t="shared" si="4"/>
        <v>1</v>
      </c>
    </row>
    <row r="266" spans="2:10" hidden="1" x14ac:dyDescent="0.25">
      <c r="B266" s="48">
        <f>+'Metrics - Articles'!C265</f>
        <v>42229</v>
      </c>
      <c r="C266">
        <f>COUNTIF('Metrics - Articles'!H265,"*Global*")</f>
        <v>1</v>
      </c>
      <c r="D266">
        <f>COUNTIF('Metrics - Articles'!H265,"*EMEA*")</f>
        <v>0</v>
      </c>
      <c r="E266">
        <f>COUNTIF('Metrics - Articles'!H265,"*NA*")</f>
        <v>0</v>
      </c>
      <c r="F266">
        <f>COUNTIF('Metrics - Articles'!H265,"*APJ")</f>
        <v>0</v>
      </c>
      <c r="G266">
        <f>COUNTIF('Metrics - Articles'!H265,"*LATAM*")</f>
        <v>0</v>
      </c>
      <c r="H266">
        <f>COUNTIF('Metrics - Articles'!H265,"*China*")</f>
        <v>0</v>
      </c>
      <c r="J266" s="53">
        <f t="shared" ref="J266:J329" si="5">SUM(C266:I266)</f>
        <v>1</v>
      </c>
    </row>
    <row r="267" spans="2:10" hidden="1" x14ac:dyDescent="0.25">
      <c r="B267" s="48">
        <f>+'Metrics - Articles'!C266</f>
        <v>42233</v>
      </c>
      <c r="C267">
        <f>COUNTIF('Metrics - Articles'!H266,"*Global*")</f>
        <v>1</v>
      </c>
      <c r="D267">
        <f>COUNTIF('Metrics - Articles'!H266,"*EMEA*")</f>
        <v>0</v>
      </c>
      <c r="E267">
        <f>COUNTIF('Metrics - Articles'!H266,"*NA*")</f>
        <v>0</v>
      </c>
      <c r="F267">
        <f>COUNTIF('Metrics - Articles'!H266,"*APJ")</f>
        <v>0</v>
      </c>
      <c r="G267">
        <f>COUNTIF('Metrics - Articles'!H266,"*LATAM*")</f>
        <v>0</v>
      </c>
      <c r="H267">
        <f>COUNTIF('Metrics - Articles'!H266,"*China*")</f>
        <v>0</v>
      </c>
      <c r="J267" s="53">
        <f t="shared" si="5"/>
        <v>1</v>
      </c>
    </row>
    <row r="268" spans="2:10" hidden="1" x14ac:dyDescent="0.25">
      <c r="B268" s="48">
        <f>+'Metrics - Articles'!C267</f>
        <v>42234</v>
      </c>
      <c r="C268">
        <f>COUNTIF('Metrics - Articles'!H267,"*Global*")</f>
        <v>0</v>
      </c>
      <c r="D268">
        <f>COUNTIF('Metrics - Articles'!H267,"*EMEA*")</f>
        <v>0</v>
      </c>
      <c r="E268">
        <f>COUNTIF('Metrics - Articles'!H267,"*NA*")</f>
        <v>0</v>
      </c>
      <c r="F268">
        <f>COUNTIF('Metrics - Articles'!H267,"*APJ")</f>
        <v>1</v>
      </c>
      <c r="G268">
        <f>COUNTIF('Metrics - Articles'!H267,"*LATAM*")</f>
        <v>0</v>
      </c>
      <c r="H268">
        <f>COUNTIF('Metrics - Articles'!H267,"*China*")</f>
        <v>0</v>
      </c>
      <c r="J268" s="53">
        <f t="shared" si="5"/>
        <v>1</v>
      </c>
    </row>
    <row r="269" spans="2:10" hidden="1" x14ac:dyDescent="0.25">
      <c r="B269" s="48">
        <f>+'Metrics - Articles'!C268</f>
        <v>42235</v>
      </c>
      <c r="C269">
        <f>COUNTIF('Metrics - Articles'!H268,"*Global*")</f>
        <v>0</v>
      </c>
      <c r="D269">
        <f>COUNTIF('Metrics - Articles'!H268,"*EMEA*")</f>
        <v>0</v>
      </c>
      <c r="E269">
        <f>COUNTIF('Metrics - Articles'!H268,"*NA*")</f>
        <v>1</v>
      </c>
      <c r="F269">
        <f>COUNTIF('Metrics - Articles'!H268,"*APJ")</f>
        <v>0</v>
      </c>
      <c r="G269">
        <f>COUNTIF('Metrics - Articles'!H268,"*LATAM*")</f>
        <v>0</v>
      </c>
      <c r="H269">
        <f>COUNTIF('Metrics - Articles'!H268,"*China*")</f>
        <v>0</v>
      </c>
      <c r="J269" s="53">
        <f t="shared" si="5"/>
        <v>1</v>
      </c>
    </row>
    <row r="270" spans="2:10" hidden="1" x14ac:dyDescent="0.25">
      <c r="B270" s="48">
        <f>+'Metrics - Articles'!C269</f>
        <v>42236</v>
      </c>
      <c r="C270">
        <f>COUNTIF('Metrics - Articles'!H269,"*Global*")</f>
        <v>0</v>
      </c>
      <c r="D270">
        <f>COUNTIF('Metrics - Articles'!H269,"*EMEA*")</f>
        <v>1</v>
      </c>
      <c r="E270">
        <f>COUNTIF('Metrics - Articles'!H269,"*NA*")</f>
        <v>0</v>
      </c>
      <c r="F270">
        <f>COUNTIF('Metrics - Articles'!H269,"*APJ")</f>
        <v>0</v>
      </c>
      <c r="G270">
        <f>COUNTIF('Metrics - Articles'!H269,"*LATAM*")</f>
        <v>0</v>
      </c>
      <c r="H270">
        <f>COUNTIF('Metrics - Articles'!H269,"*China*")</f>
        <v>0</v>
      </c>
      <c r="J270" s="53">
        <f t="shared" si="5"/>
        <v>1</v>
      </c>
    </row>
    <row r="271" spans="2:10" hidden="1" x14ac:dyDescent="0.25">
      <c r="B271" s="48">
        <f>+'Metrics - Articles'!C270</f>
        <v>42237</v>
      </c>
      <c r="C271">
        <f>COUNTIF('Metrics - Articles'!H270,"*Global*")</f>
        <v>1</v>
      </c>
      <c r="D271">
        <f>COUNTIF('Metrics - Articles'!H270,"*EMEA*")</f>
        <v>0</v>
      </c>
      <c r="E271">
        <f>COUNTIF('Metrics - Articles'!H270,"*NA*")</f>
        <v>0</v>
      </c>
      <c r="F271">
        <f>COUNTIF('Metrics - Articles'!H270,"*APJ")</f>
        <v>0</v>
      </c>
      <c r="G271">
        <f>COUNTIF('Metrics - Articles'!H270,"*LATAM*")</f>
        <v>0</v>
      </c>
      <c r="H271">
        <f>COUNTIF('Metrics - Articles'!H270,"*China*")</f>
        <v>0</v>
      </c>
      <c r="J271" s="53">
        <f t="shared" si="5"/>
        <v>1</v>
      </c>
    </row>
    <row r="272" spans="2:10" hidden="1" x14ac:dyDescent="0.25">
      <c r="B272" s="48">
        <f>+'Metrics - Articles'!C271</f>
        <v>42240</v>
      </c>
      <c r="C272">
        <f>COUNTIF('Metrics - Articles'!H271,"*Global*")</f>
        <v>0</v>
      </c>
      <c r="D272">
        <f>COUNTIF('Metrics - Articles'!H271,"*EMEA*")</f>
        <v>1</v>
      </c>
      <c r="E272">
        <f>COUNTIF('Metrics - Articles'!H271,"*NA*")</f>
        <v>0</v>
      </c>
      <c r="F272">
        <f>COUNTIF('Metrics - Articles'!H271,"*APJ")</f>
        <v>0</v>
      </c>
      <c r="G272">
        <f>COUNTIF('Metrics - Articles'!H271,"*LATAM*")</f>
        <v>0</v>
      </c>
      <c r="H272">
        <f>COUNTIF('Metrics - Articles'!H271,"*China*")</f>
        <v>0</v>
      </c>
      <c r="J272" s="53">
        <f t="shared" si="5"/>
        <v>1</v>
      </c>
    </row>
    <row r="273" spans="2:10" hidden="1" x14ac:dyDescent="0.25">
      <c r="B273" s="48">
        <f>+'Metrics - Articles'!C272</f>
        <v>42241</v>
      </c>
      <c r="C273">
        <f>COUNTIF('Metrics - Articles'!H272,"*Global*")</f>
        <v>0</v>
      </c>
      <c r="D273">
        <f>COUNTIF('Metrics - Articles'!H272,"*EMEA*")</f>
        <v>1</v>
      </c>
      <c r="E273">
        <f>COUNTIF('Metrics - Articles'!H272,"*NA*")</f>
        <v>0</v>
      </c>
      <c r="F273">
        <f>COUNTIF('Metrics - Articles'!H272,"*APJ")</f>
        <v>0</v>
      </c>
      <c r="G273">
        <f>COUNTIF('Metrics - Articles'!H272,"*LATAM*")</f>
        <v>0</v>
      </c>
      <c r="H273">
        <f>COUNTIF('Metrics - Articles'!H272,"*China*")</f>
        <v>0</v>
      </c>
      <c r="J273" s="53">
        <f t="shared" si="5"/>
        <v>1</v>
      </c>
    </row>
    <row r="274" spans="2:10" hidden="1" x14ac:dyDescent="0.25">
      <c r="B274" s="48">
        <f>+'Metrics - Articles'!C273</f>
        <v>42242</v>
      </c>
      <c r="C274">
        <f>COUNTIF('Metrics - Articles'!H273,"*Global*")</f>
        <v>0</v>
      </c>
      <c r="D274">
        <f>COUNTIF('Metrics - Articles'!H273,"*EMEA*")</f>
        <v>1</v>
      </c>
      <c r="E274">
        <f>COUNTIF('Metrics - Articles'!H273,"*NA*")</f>
        <v>0</v>
      </c>
      <c r="F274">
        <f>COUNTIF('Metrics - Articles'!H273,"*APJ")</f>
        <v>0</v>
      </c>
      <c r="G274">
        <f>COUNTIF('Metrics - Articles'!H273,"*LATAM*")</f>
        <v>0</v>
      </c>
      <c r="H274">
        <f>COUNTIF('Metrics - Articles'!H273,"*China*")</f>
        <v>0</v>
      </c>
      <c r="J274" s="53">
        <f t="shared" si="5"/>
        <v>1</v>
      </c>
    </row>
    <row r="275" spans="2:10" hidden="1" x14ac:dyDescent="0.25">
      <c r="B275" s="48">
        <f>+'Metrics - Articles'!C274</f>
        <v>42242</v>
      </c>
      <c r="C275">
        <f>COUNTIF('Metrics - Articles'!H274,"*Global*")</f>
        <v>1</v>
      </c>
      <c r="D275">
        <f>COUNTIF('Metrics - Articles'!H274,"*EMEA*")</f>
        <v>0</v>
      </c>
      <c r="E275">
        <f>COUNTIF('Metrics - Articles'!H274,"*NA*")</f>
        <v>0</v>
      </c>
      <c r="F275">
        <f>COUNTIF('Metrics - Articles'!H274,"*APJ")</f>
        <v>0</v>
      </c>
      <c r="G275">
        <f>COUNTIF('Metrics - Articles'!H274,"*LATAM*")</f>
        <v>0</v>
      </c>
      <c r="H275">
        <f>COUNTIF('Metrics - Articles'!H274,"*China*")</f>
        <v>0</v>
      </c>
      <c r="J275" s="53">
        <f t="shared" si="5"/>
        <v>1</v>
      </c>
    </row>
    <row r="276" spans="2:10" hidden="1" x14ac:dyDescent="0.25">
      <c r="B276" s="48">
        <f>+'Metrics - Articles'!C275</f>
        <v>42244</v>
      </c>
      <c r="C276">
        <f>COUNTIF('Metrics - Articles'!H275,"*Global*")</f>
        <v>1</v>
      </c>
      <c r="D276">
        <f>COUNTIF('Metrics - Articles'!H275,"*EMEA*")</f>
        <v>0</v>
      </c>
      <c r="E276">
        <f>COUNTIF('Metrics - Articles'!H275,"*NA*")</f>
        <v>0</v>
      </c>
      <c r="F276">
        <f>COUNTIF('Metrics - Articles'!H275,"*APJ")</f>
        <v>0</v>
      </c>
      <c r="G276">
        <f>COUNTIF('Metrics - Articles'!H275,"*LATAM*")</f>
        <v>0</v>
      </c>
      <c r="H276">
        <f>COUNTIF('Metrics - Articles'!H275,"*China*")</f>
        <v>0</v>
      </c>
      <c r="J276" s="53">
        <f t="shared" si="5"/>
        <v>1</v>
      </c>
    </row>
    <row r="277" spans="2:10" hidden="1" x14ac:dyDescent="0.25">
      <c r="B277" s="48">
        <f>+'Metrics - Articles'!C276</f>
        <v>42247</v>
      </c>
      <c r="C277">
        <f>COUNTIF('Metrics - Articles'!H276,"*Global*")</f>
        <v>0</v>
      </c>
      <c r="D277">
        <f>COUNTIF('Metrics - Articles'!H276,"*EMEA*")</f>
        <v>1</v>
      </c>
      <c r="E277">
        <f>COUNTIF('Metrics - Articles'!H276,"*NA*")</f>
        <v>0</v>
      </c>
      <c r="F277">
        <f>COUNTIF('Metrics - Articles'!H276,"*APJ")</f>
        <v>0</v>
      </c>
      <c r="G277">
        <f>COUNTIF('Metrics - Articles'!H276,"*LATAM*")</f>
        <v>0</v>
      </c>
      <c r="H277">
        <f>COUNTIF('Metrics - Articles'!H276,"*China*")</f>
        <v>0</v>
      </c>
      <c r="J277" s="53">
        <f t="shared" si="5"/>
        <v>1</v>
      </c>
    </row>
    <row r="278" spans="2:10" hidden="1" x14ac:dyDescent="0.25">
      <c r="B278" s="48">
        <f>+'Metrics - Articles'!C277</f>
        <v>42248</v>
      </c>
      <c r="C278">
        <f>COUNTIF('Metrics - Articles'!H277,"*Global*")</f>
        <v>1</v>
      </c>
      <c r="D278">
        <f>COUNTIF('Metrics - Articles'!H277,"*EMEA*")</f>
        <v>0</v>
      </c>
      <c r="E278">
        <f>COUNTIF('Metrics - Articles'!H277,"*NA*")</f>
        <v>0</v>
      </c>
      <c r="F278">
        <f>COUNTIF('Metrics - Articles'!H277,"*APJ")</f>
        <v>0</v>
      </c>
      <c r="G278">
        <f>COUNTIF('Metrics - Articles'!H277,"*LATAM*")</f>
        <v>0</v>
      </c>
      <c r="H278">
        <f>COUNTIF('Metrics - Articles'!H277,"*China*")</f>
        <v>0</v>
      </c>
      <c r="J278" s="53">
        <f t="shared" si="5"/>
        <v>1</v>
      </c>
    </row>
    <row r="279" spans="2:10" hidden="1" x14ac:dyDescent="0.25">
      <c r="B279" s="48">
        <f>+'Metrics - Articles'!C278</f>
        <v>42250</v>
      </c>
      <c r="C279">
        <f>COUNTIF('Metrics - Articles'!H278,"*Global*")</f>
        <v>1</v>
      </c>
      <c r="D279">
        <f>COUNTIF('Metrics - Articles'!H278,"*EMEA*")</f>
        <v>0</v>
      </c>
      <c r="E279">
        <f>COUNTIF('Metrics - Articles'!H278,"*NA*")</f>
        <v>0</v>
      </c>
      <c r="F279">
        <f>COUNTIF('Metrics - Articles'!H278,"*APJ")</f>
        <v>0</v>
      </c>
      <c r="G279">
        <f>COUNTIF('Metrics - Articles'!H278,"*LATAM*")</f>
        <v>0</v>
      </c>
      <c r="H279">
        <f>COUNTIF('Metrics - Articles'!H278,"*China*")</f>
        <v>0</v>
      </c>
      <c r="J279" s="53">
        <f t="shared" si="5"/>
        <v>1</v>
      </c>
    </row>
    <row r="280" spans="2:10" hidden="1" x14ac:dyDescent="0.25">
      <c r="B280" s="48">
        <f>+'Metrics - Articles'!C279</f>
        <v>42255</v>
      </c>
      <c r="C280">
        <f>COUNTIF('Metrics - Articles'!H279,"*Global*")</f>
        <v>1</v>
      </c>
      <c r="D280">
        <f>COUNTIF('Metrics - Articles'!H279,"*EMEA*")</f>
        <v>0</v>
      </c>
      <c r="E280">
        <f>COUNTIF('Metrics - Articles'!H279,"*NA*")</f>
        <v>0</v>
      </c>
      <c r="F280">
        <f>COUNTIF('Metrics - Articles'!H279,"*APJ")</f>
        <v>0</v>
      </c>
      <c r="G280">
        <f>COUNTIF('Metrics - Articles'!H279,"*LATAM*")</f>
        <v>0</v>
      </c>
      <c r="H280">
        <f>COUNTIF('Metrics - Articles'!H279,"*China*")</f>
        <v>0</v>
      </c>
      <c r="J280" s="53">
        <f t="shared" si="5"/>
        <v>1</v>
      </c>
    </row>
    <row r="281" spans="2:10" hidden="1" x14ac:dyDescent="0.25">
      <c r="B281" s="48">
        <f>+'Metrics - Articles'!C280</f>
        <v>42255</v>
      </c>
      <c r="C281">
        <f>COUNTIF('Metrics - Articles'!H280,"*Global*")</f>
        <v>1</v>
      </c>
      <c r="D281">
        <f>COUNTIF('Metrics - Articles'!H280,"*EMEA*")</f>
        <v>0</v>
      </c>
      <c r="E281">
        <f>COUNTIF('Metrics - Articles'!H280,"*NA*")</f>
        <v>0</v>
      </c>
      <c r="F281">
        <f>COUNTIF('Metrics - Articles'!H280,"*APJ")</f>
        <v>0</v>
      </c>
      <c r="G281">
        <f>COUNTIF('Metrics - Articles'!H280,"*LATAM*")</f>
        <v>0</v>
      </c>
      <c r="H281">
        <f>COUNTIF('Metrics - Articles'!H280,"*China*")</f>
        <v>0</v>
      </c>
      <c r="J281" s="53">
        <f t="shared" si="5"/>
        <v>1</v>
      </c>
    </row>
    <row r="282" spans="2:10" hidden="1" x14ac:dyDescent="0.25">
      <c r="B282" s="48">
        <f>+'Metrics - Articles'!C281</f>
        <v>42256</v>
      </c>
      <c r="C282">
        <f>COUNTIF('Metrics - Articles'!H281,"*Global*")</f>
        <v>0</v>
      </c>
      <c r="D282">
        <f>COUNTIF('Metrics - Articles'!H281,"*EMEA*")</f>
        <v>1</v>
      </c>
      <c r="E282">
        <f>COUNTIF('Metrics - Articles'!H281,"*NA*")</f>
        <v>0</v>
      </c>
      <c r="F282">
        <f>COUNTIF('Metrics - Articles'!H281,"*APJ")</f>
        <v>0</v>
      </c>
      <c r="G282">
        <f>COUNTIF('Metrics - Articles'!H281,"*LATAM*")</f>
        <v>0</v>
      </c>
      <c r="H282">
        <f>COUNTIF('Metrics - Articles'!H281,"*China*")</f>
        <v>0</v>
      </c>
      <c r="J282" s="53">
        <f t="shared" si="5"/>
        <v>1</v>
      </c>
    </row>
    <row r="283" spans="2:10" hidden="1" x14ac:dyDescent="0.25">
      <c r="B283" s="48">
        <f>+'Metrics - Articles'!C282</f>
        <v>42257</v>
      </c>
      <c r="C283">
        <f>COUNTIF('Metrics - Articles'!H282,"*Global*")</f>
        <v>1</v>
      </c>
      <c r="D283">
        <f>COUNTIF('Metrics - Articles'!H282,"*EMEA*")</f>
        <v>0</v>
      </c>
      <c r="E283">
        <f>COUNTIF('Metrics - Articles'!H282,"*NA*")</f>
        <v>0</v>
      </c>
      <c r="F283">
        <f>COUNTIF('Metrics - Articles'!H282,"*APJ")</f>
        <v>0</v>
      </c>
      <c r="G283">
        <f>COUNTIF('Metrics - Articles'!H282,"*LATAM*")</f>
        <v>0</v>
      </c>
      <c r="H283">
        <f>COUNTIF('Metrics - Articles'!H282,"*China*")</f>
        <v>0</v>
      </c>
      <c r="J283" s="53">
        <f t="shared" si="5"/>
        <v>1</v>
      </c>
    </row>
    <row r="284" spans="2:10" hidden="1" x14ac:dyDescent="0.25">
      <c r="B284" s="48">
        <f>+'Metrics - Articles'!C283</f>
        <v>42258</v>
      </c>
      <c r="C284">
        <f>COUNTIF('Metrics - Articles'!H283,"*Global*")</f>
        <v>1</v>
      </c>
      <c r="D284">
        <f>COUNTIF('Metrics - Articles'!H283,"*EMEA*")</f>
        <v>0</v>
      </c>
      <c r="E284">
        <f>COUNTIF('Metrics - Articles'!H283,"*NA*")</f>
        <v>0</v>
      </c>
      <c r="F284">
        <f>COUNTIF('Metrics - Articles'!H283,"*APJ")</f>
        <v>0</v>
      </c>
      <c r="G284">
        <f>COUNTIF('Metrics - Articles'!H283,"*LATAM*")</f>
        <v>0</v>
      </c>
      <c r="H284">
        <f>COUNTIF('Metrics - Articles'!H283,"*China*")</f>
        <v>0</v>
      </c>
      <c r="J284" s="53">
        <f t="shared" si="5"/>
        <v>1</v>
      </c>
    </row>
    <row r="285" spans="2:10" hidden="1" x14ac:dyDescent="0.25">
      <c r="B285" s="48">
        <f>+'Metrics - Articles'!C284</f>
        <v>42261</v>
      </c>
      <c r="C285">
        <f>COUNTIF('Metrics - Articles'!H284,"*Global*")</f>
        <v>1</v>
      </c>
      <c r="D285">
        <f>COUNTIF('Metrics - Articles'!H284,"*EMEA*")</f>
        <v>0</v>
      </c>
      <c r="E285">
        <f>COUNTIF('Metrics - Articles'!H284,"*NA*")</f>
        <v>0</v>
      </c>
      <c r="F285">
        <f>COUNTIF('Metrics - Articles'!H284,"*APJ")</f>
        <v>0</v>
      </c>
      <c r="G285">
        <f>COUNTIF('Metrics - Articles'!H284,"*LATAM*")</f>
        <v>0</v>
      </c>
      <c r="H285">
        <f>COUNTIF('Metrics - Articles'!H284,"*China*")</f>
        <v>0</v>
      </c>
      <c r="J285" s="53">
        <f t="shared" si="5"/>
        <v>1</v>
      </c>
    </row>
    <row r="286" spans="2:10" hidden="1" x14ac:dyDescent="0.25">
      <c r="B286" s="48">
        <f>+'Metrics - Articles'!C285</f>
        <v>42262</v>
      </c>
      <c r="C286">
        <f>COUNTIF('Metrics - Articles'!H285,"*Global*")</f>
        <v>1</v>
      </c>
      <c r="D286">
        <f>COUNTIF('Metrics - Articles'!H285,"*EMEA*")</f>
        <v>0</v>
      </c>
      <c r="E286">
        <f>COUNTIF('Metrics - Articles'!H285,"*NA*")</f>
        <v>0</v>
      </c>
      <c r="F286">
        <f>COUNTIF('Metrics - Articles'!H285,"*APJ")</f>
        <v>0</v>
      </c>
      <c r="G286">
        <f>COUNTIF('Metrics - Articles'!H285,"*LATAM*")</f>
        <v>0</v>
      </c>
      <c r="H286">
        <f>COUNTIF('Metrics - Articles'!H285,"*China*")</f>
        <v>0</v>
      </c>
      <c r="J286" s="53">
        <f t="shared" si="5"/>
        <v>1</v>
      </c>
    </row>
    <row r="287" spans="2:10" hidden="1" x14ac:dyDescent="0.25">
      <c r="B287" s="48">
        <f>+'Metrics - Articles'!C286</f>
        <v>42262</v>
      </c>
      <c r="C287">
        <f>COUNTIF('Metrics - Articles'!H286,"*Global*")</f>
        <v>1</v>
      </c>
      <c r="D287">
        <f>COUNTIF('Metrics - Articles'!H286,"*EMEA*")</f>
        <v>0</v>
      </c>
      <c r="E287">
        <f>COUNTIF('Metrics - Articles'!H286,"*NA*")</f>
        <v>0</v>
      </c>
      <c r="F287">
        <f>COUNTIF('Metrics - Articles'!H286,"*APJ")</f>
        <v>0</v>
      </c>
      <c r="G287">
        <f>COUNTIF('Metrics - Articles'!H286,"*LATAM*")</f>
        <v>0</v>
      </c>
      <c r="H287">
        <f>COUNTIF('Metrics - Articles'!H286,"*China*")</f>
        <v>0</v>
      </c>
      <c r="J287" s="53">
        <f t="shared" si="5"/>
        <v>1</v>
      </c>
    </row>
    <row r="288" spans="2:10" hidden="1" x14ac:dyDescent="0.25">
      <c r="B288" s="48">
        <f>+'Metrics - Articles'!C287</f>
        <v>42263</v>
      </c>
      <c r="C288">
        <f>COUNTIF('Metrics - Articles'!H287,"*Global*")</f>
        <v>1</v>
      </c>
      <c r="D288">
        <f>COUNTIF('Metrics - Articles'!H287,"*EMEA*")</f>
        <v>0</v>
      </c>
      <c r="E288">
        <f>COUNTIF('Metrics - Articles'!H287,"*NA*")</f>
        <v>0</v>
      </c>
      <c r="F288">
        <f>COUNTIF('Metrics - Articles'!H287,"*APJ")</f>
        <v>0</v>
      </c>
      <c r="G288">
        <f>COUNTIF('Metrics - Articles'!H287,"*LATAM*")</f>
        <v>0</v>
      </c>
      <c r="H288">
        <f>COUNTIF('Metrics - Articles'!H287,"*China*")</f>
        <v>0</v>
      </c>
      <c r="J288" s="53">
        <f t="shared" si="5"/>
        <v>1</v>
      </c>
    </row>
    <row r="289" spans="2:10" hidden="1" x14ac:dyDescent="0.25">
      <c r="B289" s="48">
        <f>+'Metrics - Articles'!C288</f>
        <v>42263</v>
      </c>
      <c r="C289">
        <f>COUNTIF('Metrics - Articles'!H288,"*Global*")</f>
        <v>1</v>
      </c>
      <c r="D289">
        <f>COUNTIF('Metrics - Articles'!H288,"*EMEA*")</f>
        <v>0</v>
      </c>
      <c r="E289">
        <f>COUNTIF('Metrics - Articles'!H288,"*NA*")</f>
        <v>0</v>
      </c>
      <c r="F289">
        <f>COUNTIF('Metrics - Articles'!H288,"*APJ")</f>
        <v>0</v>
      </c>
      <c r="G289">
        <f>COUNTIF('Metrics - Articles'!H288,"*LATAM*")</f>
        <v>0</v>
      </c>
      <c r="H289">
        <f>COUNTIF('Metrics - Articles'!H288,"*China*")</f>
        <v>0</v>
      </c>
      <c r="J289" s="53">
        <f t="shared" si="5"/>
        <v>1</v>
      </c>
    </row>
    <row r="290" spans="2:10" hidden="1" x14ac:dyDescent="0.25">
      <c r="B290" s="48">
        <f>+'Metrics - Articles'!C289</f>
        <v>42264</v>
      </c>
      <c r="C290">
        <f>COUNTIF('Metrics - Articles'!H289,"*Global*")</f>
        <v>1</v>
      </c>
      <c r="D290">
        <f>COUNTIF('Metrics - Articles'!H289,"*EMEA*")</f>
        <v>0</v>
      </c>
      <c r="E290">
        <f>COUNTIF('Metrics - Articles'!H289,"*NA*")</f>
        <v>0</v>
      </c>
      <c r="F290">
        <f>COUNTIF('Metrics - Articles'!H289,"*APJ")</f>
        <v>0</v>
      </c>
      <c r="G290">
        <f>COUNTIF('Metrics - Articles'!H289,"*LATAM*")</f>
        <v>0</v>
      </c>
      <c r="H290">
        <f>COUNTIF('Metrics - Articles'!H289,"*China*")</f>
        <v>0</v>
      </c>
      <c r="J290" s="53">
        <f t="shared" si="5"/>
        <v>1</v>
      </c>
    </row>
    <row r="291" spans="2:10" hidden="1" x14ac:dyDescent="0.25">
      <c r="B291" s="48">
        <f>+'Metrics - Articles'!C290</f>
        <v>42269</v>
      </c>
      <c r="C291">
        <f>COUNTIF('Metrics - Articles'!H290,"*Global*")</f>
        <v>1</v>
      </c>
      <c r="D291">
        <f>COUNTIF('Metrics - Articles'!H290,"*EMEA*")</f>
        <v>0</v>
      </c>
      <c r="E291">
        <f>COUNTIF('Metrics - Articles'!H290,"*NA*")</f>
        <v>0</v>
      </c>
      <c r="F291">
        <f>COUNTIF('Metrics - Articles'!H290,"*APJ")</f>
        <v>0</v>
      </c>
      <c r="G291">
        <f>COUNTIF('Metrics - Articles'!H290,"*LATAM*")</f>
        <v>0</v>
      </c>
      <c r="H291">
        <f>COUNTIF('Metrics - Articles'!H290,"*China*")</f>
        <v>0</v>
      </c>
      <c r="J291" s="53">
        <f t="shared" si="5"/>
        <v>1</v>
      </c>
    </row>
    <row r="292" spans="2:10" hidden="1" x14ac:dyDescent="0.25">
      <c r="B292" s="48">
        <f>+'Metrics - Articles'!C291</f>
        <v>42270</v>
      </c>
      <c r="C292">
        <f>COUNTIF('Metrics - Articles'!H291,"*Global*")</f>
        <v>1</v>
      </c>
      <c r="D292">
        <f>COUNTIF('Metrics - Articles'!H291,"*EMEA*")</f>
        <v>0</v>
      </c>
      <c r="E292">
        <f>COUNTIF('Metrics - Articles'!H291,"*NA*")</f>
        <v>0</v>
      </c>
      <c r="F292">
        <f>COUNTIF('Metrics - Articles'!H291,"*APJ")</f>
        <v>0</v>
      </c>
      <c r="G292">
        <f>COUNTIF('Metrics - Articles'!H291,"*LATAM*")</f>
        <v>0</v>
      </c>
      <c r="H292">
        <f>COUNTIF('Metrics - Articles'!H291,"*China*")</f>
        <v>0</v>
      </c>
      <c r="J292" s="53">
        <f t="shared" si="5"/>
        <v>1</v>
      </c>
    </row>
    <row r="293" spans="2:10" hidden="1" x14ac:dyDescent="0.25">
      <c r="B293" s="48">
        <f>+'Metrics - Articles'!C292</f>
        <v>42272</v>
      </c>
      <c r="C293">
        <f>COUNTIF('Metrics - Articles'!H292,"*Global*")</f>
        <v>1</v>
      </c>
      <c r="D293">
        <f>COUNTIF('Metrics - Articles'!H292,"*EMEA*")</f>
        <v>0</v>
      </c>
      <c r="E293">
        <f>COUNTIF('Metrics - Articles'!H292,"*NA*")</f>
        <v>0</v>
      </c>
      <c r="F293">
        <f>COUNTIF('Metrics - Articles'!H292,"*APJ")</f>
        <v>0</v>
      </c>
      <c r="G293">
        <f>COUNTIF('Metrics - Articles'!H292,"*LATAM*")</f>
        <v>0</v>
      </c>
      <c r="H293">
        <f>COUNTIF('Metrics - Articles'!H292,"*China*")</f>
        <v>0</v>
      </c>
      <c r="J293" s="53">
        <f t="shared" si="5"/>
        <v>1</v>
      </c>
    </row>
    <row r="294" spans="2:10" hidden="1" x14ac:dyDescent="0.25">
      <c r="B294" s="48">
        <f>+'Metrics - Articles'!C293</f>
        <v>42272</v>
      </c>
      <c r="C294">
        <f>COUNTIF('Metrics - Articles'!H293,"*Global*")</f>
        <v>1</v>
      </c>
      <c r="D294">
        <f>COUNTIF('Metrics - Articles'!H293,"*EMEA*")</f>
        <v>0</v>
      </c>
      <c r="E294">
        <f>COUNTIF('Metrics - Articles'!H293,"*NA*")</f>
        <v>0</v>
      </c>
      <c r="F294">
        <f>COUNTIF('Metrics - Articles'!H293,"*APJ")</f>
        <v>0</v>
      </c>
      <c r="G294">
        <f>COUNTIF('Metrics - Articles'!H293,"*LATAM*")</f>
        <v>0</v>
      </c>
      <c r="H294">
        <f>COUNTIF('Metrics - Articles'!H293,"*China*")</f>
        <v>0</v>
      </c>
      <c r="J294" s="53">
        <f t="shared" si="5"/>
        <v>1</v>
      </c>
    </row>
    <row r="295" spans="2:10" hidden="1" x14ac:dyDescent="0.25">
      <c r="B295" s="48">
        <f>+'Metrics - Articles'!C294</f>
        <v>42272</v>
      </c>
      <c r="C295">
        <f>COUNTIF('Metrics - Articles'!H294,"*Global*")</f>
        <v>0</v>
      </c>
      <c r="D295">
        <f>COUNTIF('Metrics - Articles'!H294,"*EMEA*")</f>
        <v>0</v>
      </c>
      <c r="E295">
        <f>COUNTIF('Metrics - Articles'!H294,"*NA*")</f>
        <v>0</v>
      </c>
      <c r="F295">
        <f>COUNTIF('Metrics - Articles'!H294,"*APJ")</f>
        <v>0</v>
      </c>
      <c r="G295">
        <f>COUNTIF('Metrics - Articles'!H294,"*LATAM*")</f>
        <v>1</v>
      </c>
      <c r="H295">
        <f>COUNTIF('Metrics - Articles'!H294,"*China*")</f>
        <v>0</v>
      </c>
      <c r="J295" s="53">
        <f t="shared" si="5"/>
        <v>1</v>
      </c>
    </row>
    <row r="296" spans="2:10" hidden="1" x14ac:dyDescent="0.25">
      <c r="B296" s="48">
        <f>+'Metrics - Articles'!C295</f>
        <v>42275</v>
      </c>
      <c r="C296">
        <f>COUNTIF('Metrics - Articles'!H295,"*Global*")</f>
        <v>1</v>
      </c>
      <c r="D296">
        <f>COUNTIF('Metrics - Articles'!H295,"*EMEA*")</f>
        <v>0</v>
      </c>
      <c r="E296">
        <f>COUNTIF('Metrics - Articles'!H295,"*NA*")</f>
        <v>0</v>
      </c>
      <c r="F296">
        <f>COUNTIF('Metrics - Articles'!H295,"*APJ")</f>
        <v>0</v>
      </c>
      <c r="G296">
        <f>COUNTIF('Metrics - Articles'!H295,"*LATAM*")</f>
        <v>0</v>
      </c>
      <c r="H296">
        <f>COUNTIF('Metrics - Articles'!H295,"*China*")</f>
        <v>0</v>
      </c>
      <c r="J296" s="53">
        <f t="shared" si="5"/>
        <v>1</v>
      </c>
    </row>
    <row r="297" spans="2:10" hidden="1" x14ac:dyDescent="0.25">
      <c r="B297" s="48">
        <f>+'Metrics - Articles'!C296</f>
        <v>42276</v>
      </c>
      <c r="C297">
        <f>COUNTIF('Metrics - Articles'!H296,"*Global*")</f>
        <v>1</v>
      </c>
      <c r="D297">
        <f>COUNTIF('Metrics - Articles'!H296,"*EMEA*")</f>
        <v>0</v>
      </c>
      <c r="E297">
        <f>COUNTIF('Metrics - Articles'!H296,"*NA*")</f>
        <v>0</v>
      </c>
      <c r="F297">
        <f>COUNTIF('Metrics - Articles'!H296,"*APJ")</f>
        <v>0</v>
      </c>
      <c r="G297">
        <f>COUNTIF('Metrics - Articles'!H296,"*LATAM*")</f>
        <v>0</v>
      </c>
      <c r="H297">
        <f>COUNTIF('Metrics - Articles'!H296,"*China*")</f>
        <v>0</v>
      </c>
      <c r="J297" s="53">
        <f t="shared" si="5"/>
        <v>1</v>
      </c>
    </row>
    <row r="298" spans="2:10" hidden="1" x14ac:dyDescent="0.25">
      <c r="B298" s="48">
        <f>+'Metrics - Articles'!C297</f>
        <v>42277</v>
      </c>
      <c r="C298">
        <f>COUNTIF('Metrics - Articles'!H297,"*Global*")</f>
        <v>1</v>
      </c>
      <c r="D298">
        <f>COUNTIF('Metrics - Articles'!H297,"*EMEA*")</f>
        <v>0</v>
      </c>
      <c r="E298">
        <f>COUNTIF('Metrics - Articles'!H297,"*NA*")</f>
        <v>0</v>
      </c>
      <c r="F298">
        <f>COUNTIF('Metrics - Articles'!H297,"*APJ")</f>
        <v>0</v>
      </c>
      <c r="G298">
        <f>COUNTIF('Metrics - Articles'!H297,"*LATAM*")</f>
        <v>0</v>
      </c>
      <c r="H298">
        <f>COUNTIF('Metrics - Articles'!H297,"*China*")</f>
        <v>0</v>
      </c>
      <c r="J298" s="53">
        <f t="shared" si="5"/>
        <v>1</v>
      </c>
    </row>
    <row r="299" spans="2:10" hidden="1" x14ac:dyDescent="0.25">
      <c r="B299" s="48">
        <f>+'Metrics - Articles'!C298</f>
        <v>42277</v>
      </c>
      <c r="C299">
        <f>COUNTIF('Metrics - Articles'!H298,"*Global*")</f>
        <v>0</v>
      </c>
      <c r="D299">
        <f>COUNTIF('Metrics - Articles'!H298,"*EMEA*")</f>
        <v>1</v>
      </c>
      <c r="E299">
        <f>COUNTIF('Metrics - Articles'!H298,"*NA*")</f>
        <v>0</v>
      </c>
      <c r="F299">
        <f>COUNTIF('Metrics - Articles'!H298,"*APJ")</f>
        <v>0</v>
      </c>
      <c r="G299">
        <f>COUNTIF('Metrics - Articles'!H298,"*LATAM*")</f>
        <v>0</v>
      </c>
      <c r="H299">
        <f>COUNTIF('Metrics - Articles'!H298,"*China*")</f>
        <v>0</v>
      </c>
      <c r="J299" s="53">
        <f t="shared" si="5"/>
        <v>1</v>
      </c>
    </row>
    <row r="300" spans="2:10" x14ac:dyDescent="0.25">
      <c r="B300" s="48">
        <f>+'Metrics - Articles'!C299</f>
        <v>42278</v>
      </c>
      <c r="C300">
        <f>COUNTIF('Metrics - Articles'!H299,"*Global*")</f>
        <v>0</v>
      </c>
      <c r="D300">
        <f>COUNTIF('Metrics - Articles'!H299,"*EMEA*")</f>
        <v>1</v>
      </c>
      <c r="E300">
        <f>COUNTIF('Metrics - Articles'!H299,"*NA*")</f>
        <v>0</v>
      </c>
      <c r="F300">
        <f>COUNTIF('Metrics - Articles'!H299,"*APJ")</f>
        <v>0</v>
      </c>
      <c r="G300">
        <f>COUNTIF('Metrics - Articles'!H299,"*LATAM*")</f>
        <v>0</v>
      </c>
      <c r="H300">
        <f>COUNTIF('Metrics - Articles'!H299,"*China*")</f>
        <v>0</v>
      </c>
      <c r="J300" s="53">
        <f t="shared" si="5"/>
        <v>1</v>
      </c>
    </row>
    <row r="301" spans="2:10" x14ac:dyDescent="0.25">
      <c r="B301" s="48">
        <f>+'Metrics - Articles'!C300</f>
        <v>42285</v>
      </c>
      <c r="C301">
        <f>COUNTIF('Metrics - Articles'!H300,"*Global*")</f>
        <v>1</v>
      </c>
      <c r="D301">
        <f>COUNTIF('Metrics - Articles'!H300,"*EMEA*")</f>
        <v>0</v>
      </c>
      <c r="E301">
        <f>COUNTIF('Metrics - Articles'!H300,"*NA*")</f>
        <v>0</v>
      </c>
      <c r="F301">
        <f>COUNTIF('Metrics - Articles'!H300,"*APJ")</f>
        <v>0</v>
      </c>
      <c r="G301">
        <f>COUNTIF('Metrics - Articles'!H300,"*LATAM*")</f>
        <v>0</v>
      </c>
      <c r="H301">
        <f>COUNTIF('Metrics - Articles'!H300,"*China*")</f>
        <v>0</v>
      </c>
      <c r="J301" s="53">
        <f t="shared" si="5"/>
        <v>1</v>
      </c>
    </row>
    <row r="302" spans="2:10" x14ac:dyDescent="0.25">
      <c r="B302" s="48">
        <f>+'Metrics - Articles'!C301</f>
        <v>42286</v>
      </c>
      <c r="C302">
        <f>COUNTIF('Metrics - Articles'!H301,"*Global*")</f>
        <v>1</v>
      </c>
      <c r="D302">
        <f>COUNTIF('Metrics - Articles'!H301,"*EMEA*")</f>
        <v>0</v>
      </c>
      <c r="E302">
        <f>COUNTIF('Metrics - Articles'!H301,"*NA*")</f>
        <v>0</v>
      </c>
      <c r="F302">
        <f>COUNTIF('Metrics - Articles'!H301,"*APJ")</f>
        <v>0</v>
      </c>
      <c r="G302">
        <f>COUNTIF('Metrics - Articles'!H301,"*LATAM*")</f>
        <v>0</v>
      </c>
      <c r="H302">
        <f>COUNTIF('Metrics - Articles'!H301,"*China*")</f>
        <v>0</v>
      </c>
      <c r="J302" s="53">
        <f t="shared" si="5"/>
        <v>1</v>
      </c>
    </row>
    <row r="303" spans="2:10" x14ac:dyDescent="0.25">
      <c r="B303" s="48">
        <f>+'Metrics - Articles'!C302</f>
        <v>42289</v>
      </c>
      <c r="C303">
        <f>COUNTIF('Metrics - Articles'!H302,"*Global*")</f>
        <v>0</v>
      </c>
      <c r="D303">
        <f>COUNTIF('Metrics - Articles'!H302,"*EMEA*")</f>
        <v>1</v>
      </c>
      <c r="E303">
        <f>COUNTIF('Metrics - Articles'!H302,"*NA*")</f>
        <v>0</v>
      </c>
      <c r="F303">
        <f>COUNTIF('Metrics - Articles'!H302,"*APJ")</f>
        <v>0</v>
      </c>
      <c r="G303">
        <f>COUNTIF('Metrics - Articles'!H302,"*LATAM*")</f>
        <v>0</v>
      </c>
      <c r="H303">
        <f>COUNTIF('Metrics - Articles'!H302,"*China*")</f>
        <v>0</v>
      </c>
      <c r="J303" s="53">
        <f t="shared" si="5"/>
        <v>1</v>
      </c>
    </row>
    <row r="304" spans="2:10" x14ac:dyDescent="0.25">
      <c r="B304" s="48">
        <f>+'Metrics - Articles'!C303</f>
        <v>42289</v>
      </c>
      <c r="C304">
        <f>COUNTIF('Metrics - Articles'!H303,"*Global*")</f>
        <v>1</v>
      </c>
      <c r="D304">
        <f>COUNTIF('Metrics - Articles'!H303,"*EMEA*")</f>
        <v>0</v>
      </c>
      <c r="E304">
        <f>COUNTIF('Metrics - Articles'!H303,"*NA*")</f>
        <v>0</v>
      </c>
      <c r="F304">
        <f>COUNTIF('Metrics - Articles'!H303,"*APJ")</f>
        <v>0</v>
      </c>
      <c r="G304">
        <f>COUNTIF('Metrics - Articles'!H303,"*LATAM*")</f>
        <v>0</v>
      </c>
      <c r="H304">
        <f>COUNTIF('Metrics - Articles'!H303,"*China*")</f>
        <v>0</v>
      </c>
      <c r="J304" s="53">
        <f t="shared" si="5"/>
        <v>1</v>
      </c>
    </row>
    <row r="305" spans="2:10" x14ac:dyDescent="0.25">
      <c r="B305" s="48">
        <f>+'Metrics - Articles'!C304</f>
        <v>42289</v>
      </c>
      <c r="C305">
        <f>COUNTIF('Metrics - Articles'!H304,"*Global*")</f>
        <v>1</v>
      </c>
      <c r="D305">
        <f>COUNTIF('Metrics - Articles'!H304,"*EMEA*")</f>
        <v>0</v>
      </c>
      <c r="E305">
        <f>COUNTIF('Metrics - Articles'!H304,"*NA*")</f>
        <v>0</v>
      </c>
      <c r="F305">
        <f>COUNTIF('Metrics - Articles'!H304,"*APJ")</f>
        <v>0</v>
      </c>
      <c r="G305">
        <f>COUNTIF('Metrics - Articles'!H304,"*LATAM*")</f>
        <v>0</v>
      </c>
      <c r="H305">
        <f>COUNTIF('Metrics - Articles'!H304,"*China*")</f>
        <v>0</v>
      </c>
      <c r="J305" s="53">
        <f t="shared" si="5"/>
        <v>1</v>
      </c>
    </row>
    <row r="306" spans="2:10" x14ac:dyDescent="0.25">
      <c r="B306" s="48">
        <f>+'Metrics - Articles'!C305</f>
        <v>42290</v>
      </c>
      <c r="C306">
        <f>COUNTIF('Metrics - Articles'!H305,"*Global*")</f>
        <v>1</v>
      </c>
      <c r="D306">
        <f>COUNTIF('Metrics - Articles'!H305,"*EMEA*")</f>
        <v>0</v>
      </c>
      <c r="E306">
        <f>COUNTIF('Metrics - Articles'!H305,"*NA*")</f>
        <v>0</v>
      </c>
      <c r="F306">
        <f>COUNTIF('Metrics - Articles'!H305,"*APJ")</f>
        <v>0</v>
      </c>
      <c r="G306">
        <f>COUNTIF('Metrics - Articles'!H305,"*LATAM*")</f>
        <v>0</v>
      </c>
      <c r="H306">
        <f>COUNTIF('Metrics - Articles'!H305,"*China*")</f>
        <v>0</v>
      </c>
      <c r="J306" s="53">
        <f t="shared" si="5"/>
        <v>1</v>
      </c>
    </row>
    <row r="307" spans="2:10" x14ac:dyDescent="0.25">
      <c r="B307" s="48">
        <f>+'Metrics - Articles'!C306</f>
        <v>42290</v>
      </c>
      <c r="C307">
        <f>COUNTIF('Metrics - Articles'!H306,"*Global*")</f>
        <v>1</v>
      </c>
      <c r="D307">
        <f>COUNTIF('Metrics - Articles'!H306,"*EMEA*")</f>
        <v>0</v>
      </c>
      <c r="E307">
        <f>COUNTIF('Metrics - Articles'!H306,"*NA*")</f>
        <v>0</v>
      </c>
      <c r="F307">
        <f>COUNTIF('Metrics - Articles'!H306,"*APJ")</f>
        <v>0</v>
      </c>
      <c r="G307">
        <f>COUNTIF('Metrics - Articles'!H306,"*LATAM*")</f>
        <v>0</v>
      </c>
      <c r="H307">
        <f>COUNTIF('Metrics - Articles'!H306,"*China*")</f>
        <v>0</v>
      </c>
      <c r="J307" s="53">
        <f t="shared" si="5"/>
        <v>1</v>
      </c>
    </row>
    <row r="308" spans="2:10" x14ac:dyDescent="0.25">
      <c r="B308" s="48">
        <f>+'Metrics - Articles'!C307</f>
        <v>42292</v>
      </c>
      <c r="C308">
        <f>COUNTIF('Metrics - Articles'!H307,"*Global*")</f>
        <v>1</v>
      </c>
      <c r="D308">
        <f>COUNTIF('Metrics - Articles'!H307,"*EMEA*")</f>
        <v>0</v>
      </c>
      <c r="E308">
        <f>COUNTIF('Metrics - Articles'!H307,"*NA*")</f>
        <v>0</v>
      </c>
      <c r="F308">
        <f>COUNTIF('Metrics - Articles'!H307,"*APJ")</f>
        <v>0</v>
      </c>
      <c r="G308">
        <f>COUNTIF('Metrics - Articles'!H307,"*LATAM*")</f>
        <v>0</v>
      </c>
      <c r="H308">
        <f>COUNTIF('Metrics - Articles'!H307,"*China*")</f>
        <v>0</v>
      </c>
      <c r="J308" s="53">
        <f t="shared" si="5"/>
        <v>1</v>
      </c>
    </row>
    <row r="309" spans="2:10" x14ac:dyDescent="0.25">
      <c r="B309" s="48">
        <f>+'Metrics - Articles'!C308</f>
        <v>42292</v>
      </c>
      <c r="C309">
        <f>COUNTIF('Metrics - Articles'!H308,"*Global*")</f>
        <v>1</v>
      </c>
      <c r="D309">
        <f>COUNTIF('Metrics - Articles'!H308,"*EMEA*")</f>
        <v>0</v>
      </c>
      <c r="E309">
        <f>COUNTIF('Metrics - Articles'!H308,"*NA*")</f>
        <v>0</v>
      </c>
      <c r="F309">
        <f>COUNTIF('Metrics - Articles'!H308,"*APJ")</f>
        <v>0</v>
      </c>
      <c r="G309">
        <f>COUNTIF('Metrics - Articles'!H308,"*LATAM*")</f>
        <v>0</v>
      </c>
      <c r="H309">
        <f>COUNTIF('Metrics - Articles'!H308,"*China*")</f>
        <v>0</v>
      </c>
      <c r="J309" s="53">
        <f t="shared" si="5"/>
        <v>1</v>
      </c>
    </row>
    <row r="310" spans="2:10" x14ac:dyDescent="0.25">
      <c r="B310" s="48">
        <f>+'Metrics - Articles'!C309</f>
        <v>42292</v>
      </c>
      <c r="C310">
        <f>COUNTIF('Metrics - Articles'!H309,"*Global*")</f>
        <v>1</v>
      </c>
      <c r="D310">
        <f>COUNTIF('Metrics - Articles'!H309,"*EMEA*")</f>
        <v>0</v>
      </c>
      <c r="E310">
        <f>COUNTIF('Metrics - Articles'!H309,"*NA*")</f>
        <v>0</v>
      </c>
      <c r="F310">
        <f>COUNTIF('Metrics - Articles'!H309,"*APJ")</f>
        <v>0</v>
      </c>
      <c r="G310">
        <f>COUNTIF('Metrics - Articles'!H309,"*LATAM*")</f>
        <v>0</v>
      </c>
      <c r="H310">
        <f>COUNTIF('Metrics - Articles'!H309,"*China*")</f>
        <v>0</v>
      </c>
      <c r="J310" s="53">
        <f t="shared" si="5"/>
        <v>1</v>
      </c>
    </row>
    <row r="311" spans="2:10" x14ac:dyDescent="0.25">
      <c r="B311" s="48">
        <f>+'Metrics - Articles'!C310</f>
        <v>42293</v>
      </c>
      <c r="C311">
        <f>COUNTIF('Metrics - Articles'!H310,"*Global*")</f>
        <v>1</v>
      </c>
      <c r="D311">
        <f>COUNTIF('Metrics - Articles'!H310,"*EMEA*")</f>
        <v>0</v>
      </c>
      <c r="E311">
        <f>COUNTIF('Metrics - Articles'!H310,"*NA*")</f>
        <v>0</v>
      </c>
      <c r="F311">
        <f>COUNTIF('Metrics - Articles'!H310,"*APJ")</f>
        <v>0</v>
      </c>
      <c r="G311">
        <f>COUNTIF('Metrics - Articles'!H310,"*LATAM*")</f>
        <v>0</v>
      </c>
      <c r="H311">
        <f>COUNTIF('Metrics - Articles'!H310,"*China*")</f>
        <v>0</v>
      </c>
      <c r="J311" s="53">
        <f t="shared" si="5"/>
        <v>1</v>
      </c>
    </row>
    <row r="312" spans="2:10" x14ac:dyDescent="0.25">
      <c r="B312" s="48">
        <f>+'Metrics - Articles'!C311</f>
        <v>42296</v>
      </c>
      <c r="C312">
        <f>COUNTIF('Metrics - Articles'!H311,"*Global*")</f>
        <v>0</v>
      </c>
      <c r="D312">
        <f>COUNTIF('Metrics - Articles'!H311,"*EMEA*")</f>
        <v>0</v>
      </c>
      <c r="E312">
        <f>COUNTIF('Metrics - Articles'!H311,"*NA*")</f>
        <v>1</v>
      </c>
      <c r="F312">
        <f>COUNTIF('Metrics - Articles'!H311,"*APJ")</f>
        <v>0</v>
      </c>
      <c r="G312">
        <f>COUNTIF('Metrics - Articles'!H311,"*LATAM*")</f>
        <v>0</v>
      </c>
      <c r="H312">
        <f>COUNTIF('Metrics - Articles'!H311,"*China*")</f>
        <v>0</v>
      </c>
      <c r="J312" s="53">
        <f t="shared" si="5"/>
        <v>1</v>
      </c>
    </row>
    <row r="313" spans="2:10" x14ac:dyDescent="0.25">
      <c r="B313" s="48">
        <f>+'Metrics - Articles'!C312</f>
        <v>42297</v>
      </c>
      <c r="C313">
        <f>COUNTIF('Metrics - Articles'!H312,"*Global*")</f>
        <v>1</v>
      </c>
      <c r="D313">
        <f>COUNTIF('Metrics - Articles'!H312,"*EMEA*")</f>
        <v>0</v>
      </c>
      <c r="E313">
        <f>COUNTIF('Metrics - Articles'!H312,"*NA*")</f>
        <v>0</v>
      </c>
      <c r="F313">
        <f>COUNTIF('Metrics - Articles'!H312,"*APJ")</f>
        <v>0</v>
      </c>
      <c r="G313">
        <f>COUNTIF('Metrics - Articles'!H312,"*LATAM*")</f>
        <v>0</v>
      </c>
      <c r="H313">
        <f>COUNTIF('Metrics - Articles'!H312,"*China*")</f>
        <v>0</v>
      </c>
      <c r="J313" s="53">
        <f t="shared" si="5"/>
        <v>1</v>
      </c>
    </row>
    <row r="314" spans="2:10" x14ac:dyDescent="0.25">
      <c r="B314" s="48">
        <f>+'Metrics - Articles'!C313</f>
        <v>42298</v>
      </c>
      <c r="C314">
        <f>COUNTIF('Metrics - Articles'!H313,"*Global*")</f>
        <v>1</v>
      </c>
      <c r="D314">
        <f>COUNTIF('Metrics - Articles'!H313,"*EMEA*")</f>
        <v>0</v>
      </c>
      <c r="E314">
        <f>COUNTIF('Metrics - Articles'!H313,"*NA*")</f>
        <v>0</v>
      </c>
      <c r="F314">
        <f>COUNTIF('Metrics - Articles'!H313,"*APJ")</f>
        <v>0</v>
      </c>
      <c r="G314">
        <f>COUNTIF('Metrics - Articles'!H313,"*LATAM*")</f>
        <v>0</v>
      </c>
      <c r="H314">
        <f>COUNTIF('Metrics - Articles'!H313,"*China*")</f>
        <v>0</v>
      </c>
      <c r="J314" s="53">
        <f t="shared" si="5"/>
        <v>1</v>
      </c>
    </row>
    <row r="315" spans="2:10" x14ac:dyDescent="0.25">
      <c r="B315" s="48">
        <f>+'Metrics - Articles'!C314</f>
        <v>42298</v>
      </c>
      <c r="C315">
        <f>COUNTIF('Metrics - Articles'!H314,"*Global*")</f>
        <v>1</v>
      </c>
      <c r="D315">
        <f>COUNTIF('Metrics - Articles'!H314,"*EMEA*")</f>
        <v>0</v>
      </c>
      <c r="E315">
        <f>COUNTIF('Metrics - Articles'!H314,"*NA*")</f>
        <v>0</v>
      </c>
      <c r="F315">
        <f>COUNTIF('Metrics - Articles'!H314,"*APJ")</f>
        <v>0</v>
      </c>
      <c r="G315">
        <f>COUNTIF('Metrics - Articles'!H314,"*LATAM*")</f>
        <v>0</v>
      </c>
      <c r="H315">
        <f>COUNTIF('Metrics - Articles'!H314,"*China*")</f>
        <v>0</v>
      </c>
      <c r="J315" s="53">
        <f t="shared" si="5"/>
        <v>1</v>
      </c>
    </row>
    <row r="316" spans="2:10" x14ac:dyDescent="0.25">
      <c r="B316" s="48">
        <f>+'Metrics - Articles'!C315</f>
        <v>42298</v>
      </c>
      <c r="C316">
        <f>COUNTIF('Metrics - Articles'!H315,"*Global*")</f>
        <v>1</v>
      </c>
      <c r="D316">
        <f>COUNTIF('Metrics - Articles'!H315,"*EMEA*")</f>
        <v>0</v>
      </c>
      <c r="E316">
        <f>COUNTIF('Metrics - Articles'!H315,"*NA*")</f>
        <v>0</v>
      </c>
      <c r="F316">
        <f>COUNTIF('Metrics - Articles'!H315,"*APJ")</f>
        <v>0</v>
      </c>
      <c r="G316">
        <f>COUNTIF('Metrics - Articles'!H315,"*LATAM*")</f>
        <v>0</v>
      </c>
      <c r="H316">
        <f>COUNTIF('Metrics - Articles'!H315,"*China*")</f>
        <v>0</v>
      </c>
      <c r="J316" s="53">
        <f t="shared" si="5"/>
        <v>1</v>
      </c>
    </row>
    <row r="317" spans="2:10" x14ac:dyDescent="0.25">
      <c r="B317" s="48">
        <f>+'Metrics - Articles'!C316</f>
        <v>42299</v>
      </c>
      <c r="C317">
        <f>COUNTIF('Metrics - Articles'!H316,"*Global*")</f>
        <v>0</v>
      </c>
      <c r="D317">
        <f>COUNTIF('Metrics - Articles'!H316,"*EMEA*")</f>
        <v>0</v>
      </c>
      <c r="E317">
        <f>COUNTIF('Metrics - Articles'!H316,"*NA*")</f>
        <v>0</v>
      </c>
      <c r="F317">
        <f>COUNTIF('Metrics - Articles'!H316,"*APJ")</f>
        <v>0</v>
      </c>
      <c r="G317">
        <f>COUNTIF('Metrics - Articles'!H316,"*LATAM*")</f>
        <v>1</v>
      </c>
      <c r="H317">
        <f>COUNTIF('Metrics - Articles'!H316,"*China*")</f>
        <v>0</v>
      </c>
      <c r="J317" s="53">
        <f t="shared" si="5"/>
        <v>1</v>
      </c>
    </row>
    <row r="318" spans="2:10" x14ac:dyDescent="0.25">
      <c r="B318" s="48">
        <f>+'Metrics - Articles'!C317</f>
        <v>42300</v>
      </c>
      <c r="C318">
        <f>COUNTIF('Metrics - Articles'!H317,"*Global*")</f>
        <v>0</v>
      </c>
      <c r="D318">
        <f>COUNTIF('Metrics - Articles'!H317,"*EMEA*")</f>
        <v>1</v>
      </c>
      <c r="E318">
        <f>COUNTIF('Metrics - Articles'!H317,"*NA*")</f>
        <v>0</v>
      </c>
      <c r="F318">
        <f>COUNTIF('Metrics - Articles'!H317,"*APJ")</f>
        <v>0</v>
      </c>
      <c r="G318">
        <f>COUNTIF('Metrics - Articles'!H317,"*LATAM*")</f>
        <v>0</v>
      </c>
      <c r="H318">
        <f>COUNTIF('Metrics - Articles'!H317,"*China*")</f>
        <v>0</v>
      </c>
      <c r="J318" s="53">
        <f t="shared" si="5"/>
        <v>1</v>
      </c>
    </row>
    <row r="319" spans="2:10" x14ac:dyDescent="0.25">
      <c r="B319" s="48">
        <f>+'Metrics - Articles'!C318</f>
        <v>42305</v>
      </c>
      <c r="C319">
        <f>COUNTIF('Metrics - Articles'!H318,"*Global*")</f>
        <v>1</v>
      </c>
      <c r="D319">
        <f>COUNTIF('Metrics - Articles'!H318,"*EMEA*")</f>
        <v>0</v>
      </c>
      <c r="E319">
        <f>COUNTIF('Metrics - Articles'!H318,"*NA*")</f>
        <v>0</v>
      </c>
      <c r="F319">
        <f>COUNTIF('Metrics - Articles'!H318,"*APJ")</f>
        <v>0</v>
      </c>
      <c r="G319">
        <f>COUNTIF('Metrics - Articles'!H318,"*LATAM*")</f>
        <v>0</v>
      </c>
      <c r="H319">
        <f>COUNTIF('Metrics - Articles'!H318,"*China*")</f>
        <v>0</v>
      </c>
      <c r="J319" s="53">
        <f t="shared" si="5"/>
        <v>1</v>
      </c>
    </row>
    <row r="320" spans="2:10" x14ac:dyDescent="0.25">
      <c r="B320" s="48">
        <f>+'Metrics - Articles'!C319</f>
        <v>42309</v>
      </c>
      <c r="C320">
        <f>COUNTIF('Metrics - Articles'!H319,"*Global*")</f>
        <v>1</v>
      </c>
      <c r="D320">
        <f>COUNTIF('Metrics - Articles'!H319,"*EMEA*")</f>
        <v>0</v>
      </c>
      <c r="E320">
        <f>COUNTIF('Metrics - Articles'!H319,"*NA*")</f>
        <v>0</v>
      </c>
      <c r="F320">
        <f>COUNTIF('Metrics - Articles'!H319,"*APJ")</f>
        <v>0</v>
      </c>
      <c r="G320">
        <f>COUNTIF('Metrics - Articles'!H319,"*LATAM*")</f>
        <v>0</v>
      </c>
      <c r="H320">
        <f>COUNTIF('Metrics - Articles'!H319,"*China*")</f>
        <v>0</v>
      </c>
      <c r="J320" s="53">
        <f t="shared" si="5"/>
        <v>1</v>
      </c>
    </row>
    <row r="321" spans="2:10" x14ac:dyDescent="0.25">
      <c r="B321" s="48">
        <f>+'Metrics - Articles'!C320</f>
        <v>42312</v>
      </c>
      <c r="C321">
        <f>COUNTIF('Metrics - Articles'!H320,"*Global*")</f>
        <v>0</v>
      </c>
      <c r="D321">
        <f>COUNTIF('Metrics - Articles'!H320,"*EMEA*")</f>
        <v>0</v>
      </c>
      <c r="E321">
        <f>COUNTIF('Metrics - Articles'!H320,"*NA*")</f>
        <v>1</v>
      </c>
      <c r="F321">
        <f>COUNTIF('Metrics - Articles'!H320,"*APJ")</f>
        <v>0</v>
      </c>
      <c r="G321">
        <f>COUNTIF('Metrics - Articles'!H320,"*LATAM*")</f>
        <v>0</v>
      </c>
      <c r="H321">
        <f>COUNTIF('Metrics - Articles'!H320,"*China*")</f>
        <v>0</v>
      </c>
      <c r="J321" s="53">
        <f t="shared" si="5"/>
        <v>1</v>
      </c>
    </row>
    <row r="322" spans="2:10" x14ac:dyDescent="0.25">
      <c r="B322" s="48">
        <f>+'Metrics - Articles'!C321</f>
        <v>42312</v>
      </c>
      <c r="C322">
        <f>COUNTIF('Metrics - Articles'!H321,"*Global*")</f>
        <v>0</v>
      </c>
      <c r="D322">
        <f>COUNTIF('Metrics - Articles'!H321,"*EMEA*")</f>
        <v>1</v>
      </c>
      <c r="E322">
        <f>COUNTIF('Metrics - Articles'!H321,"*NA*")</f>
        <v>0</v>
      </c>
      <c r="F322">
        <f>COUNTIF('Metrics - Articles'!H321,"*APJ")</f>
        <v>0</v>
      </c>
      <c r="G322">
        <f>COUNTIF('Metrics - Articles'!H321,"*LATAM*")</f>
        <v>0</v>
      </c>
      <c r="H322">
        <f>COUNTIF('Metrics - Articles'!H321,"*China*")</f>
        <v>0</v>
      </c>
      <c r="J322" s="53">
        <f t="shared" si="5"/>
        <v>1</v>
      </c>
    </row>
    <row r="323" spans="2:10" x14ac:dyDescent="0.25">
      <c r="B323" s="48">
        <f>+'Metrics - Articles'!C322</f>
        <v>42314</v>
      </c>
      <c r="C323">
        <f>COUNTIF('Metrics - Articles'!H322,"*Global*")</f>
        <v>1</v>
      </c>
      <c r="D323">
        <f>COUNTIF('Metrics - Articles'!H322,"*EMEA*")</f>
        <v>0</v>
      </c>
      <c r="E323">
        <f>COUNTIF('Metrics - Articles'!H322,"*NA*")</f>
        <v>0</v>
      </c>
      <c r="F323">
        <f>COUNTIF('Metrics - Articles'!H322,"*APJ")</f>
        <v>0</v>
      </c>
      <c r="G323">
        <f>COUNTIF('Metrics - Articles'!H322,"*LATAM*")</f>
        <v>0</v>
      </c>
      <c r="H323">
        <f>COUNTIF('Metrics - Articles'!H322,"*China*")</f>
        <v>0</v>
      </c>
      <c r="J323" s="53">
        <f t="shared" si="5"/>
        <v>1</v>
      </c>
    </row>
    <row r="324" spans="2:10" x14ac:dyDescent="0.25">
      <c r="B324" s="48">
        <f>+'Metrics - Articles'!C323</f>
        <v>42318</v>
      </c>
      <c r="C324">
        <f>COUNTIF('Metrics - Articles'!H323,"*Global*")</f>
        <v>1</v>
      </c>
      <c r="D324">
        <f>COUNTIF('Metrics - Articles'!H323,"*EMEA*")</f>
        <v>0</v>
      </c>
      <c r="E324">
        <f>COUNTIF('Metrics - Articles'!H323,"*NA*")</f>
        <v>0</v>
      </c>
      <c r="F324">
        <f>COUNTIF('Metrics - Articles'!H323,"*APJ")</f>
        <v>0</v>
      </c>
      <c r="G324">
        <f>COUNTIF('Metrics - Articles'!H323,"*LATAM*")</f>
        <v>0</v>
      </c>
      <c r="H324">
        <f>COUNTIF('Metrics - Articles'!H323,"*China*")</f>
        <v>0</v>
      </c>
      <c r="J324" s="53">
        <f t="shared" si="5"/>
        <v>1</v>
      </c>
    </row>
    <row r="325" spans="2:10" x14ac:dyDescent="0.25">
      <c r="B325" s="48">
        <f>+'Metrics - Articles'!C324</f>
        <v>42318</v>
      </c>
      <c r="C325">
        <f>COUNTIF('Metrics - Articles'!H324,"*Global*")</f>
        <v>0</v>
      </c>
      <c r="D325">
        <f>COUNTIF('Metrics - Articles'!H324,"*EMEA*")</f>
        <v>1</v>
      </c>
      <c r="E325">
        <f>COUNTIF('Metrics - Articles'!H324,"*NA*")</f>
        <v>0</v>
      </c>
      <c r="F325">
        <f>COUNTIF('Metrics - Articles'!H324,"*APJ")</f>
        <v>0</v>
      </c>
      <c r="G325">
        <f>COUNTIF('Metrics - Articles'!H324,"*LATAM*")</f>
        <v>0</v>
      </c>
      <c r="H325">
        <f>COUNTIF('Metrics - Articles'!H324,"*China*")</f>
        <v>0</v>
      </c>
      <c r="J325" s="53">
        <f t="shared" si="5"/>
        <v>1</v>
      </c>
    </row>
    <row r="326" spans="2:10" x14ac:dyDescent="0.25">
      <c r="B326" s="48">
        <f>+'Metrics - Articles'!C325</f>
        <v>42319</v>
      </c>
      <c r="C326">
        <f>COUNTIF('Metrics - Articles'!H325,"*Global*")</f>
        <v>0</v>
      </c>
      <c r="D326">
        <f>COUNTIF('Metrics - Articles'!H325,"*EMEA*")</f>
        <v>0</v>
      </c>
      <c r="E326">
        <f>COUNTIF('Metrics - Articles'!H325,"*NA*")</f>
        <v>1</v>
      </c>
      <c r="F326">
        <f>COUNTIF('Metrics - Articles'!H325,"*APJ")</f>
        <v>0</v>
      </c>
      <c r="G326">
        <f>COUNTIF('Metrics - Articles'!H325,"*LATAM*")</f>
        <v>0</v>
      </c>
      <c r="H326">
        <f>COUNTIF('Metrics - Articles'!H325,"*China*")</f>
        <v>0</v>
      </c>
      <c r="J326" s="53">
        <f t="shared" si="5"/>
        <v>1</v>
      </c>
    </row>
    <row r="327" spans="2:10" x14ac:dyDescent="0.25">
      <c r="B327" s="48">
        <f>+'Metrics - Articles'!C326</f>
        <v>42320</v>
      </c>
      <c r="C327">
        <f>COUNTIF('Metrics - Articles'!H326,"*Global*")</f>
        <v>0</v>
      </c>
      <c r="D327">
        <f>COUNTIF('Metrics - Articles'!H326,"*EMEA*")</f>
        <v>1</v>
      </c>
      <c r="E327">
        <f>COUNTIF('Metrics - Articles'!H326,"*NA*")</f>
        <v>1</v>
      </c>
      <c r="F327">
        <f>COUNTIF('Metrics - Articles'!H326,"*APJ")</f>
        <v>0</v>
      </c>
      <c r="G327">
        <f>COUNTIF('Metrics - Articles'!H326,"*LATAM*")</f>
        <v>0</v>
      </c>
      <c r="H327">
        <f>COUNTIF('Metrics - Articles'!H326,"*China*")</f>
        <v>0</v>
      </c>
      <c r="J327" s="53">
        <f t="shared" si="5"/>
        <v>2</v>
      </c>
    </row>
    <row r="328" spans="2:10" x14ac:dyDescent="0.25">
      <c r="B328" s="48">
        <f>+'Metrics - Articles'!C327</f>
        <v>42320</v>
      </c>
      <c r="C328">
        <f>COUNTIF('Metrics - Articles'!H327,"*Global*")</f>
        <v>0</v>
      </c>
      <c r="D328">
        <f>COUNTIF('Metrics - Articles'!H327,"*EMEA*")</f>
        <v>1</v>
      </c>
      <c r="E328">
        <f>COUNTIF('Metrics - Articles'!H327,"*NA*")</f>
        <v>0</v>
      </c>
      <c r="F328">
        <f>COUNTIF('Metrics - Articles'!H327,"*APJ")</f>
        <v>0</v>
      </c>
      <c r="G328">
        <f>COUNTIF('Metrics - Articles'!H327,"*LATAM*")</f>
        <v>0</v>
      </c>
      <c r="H328">
        <f>COUNTIF('Metrics - Articles'!H327,"*China*")</f>
        <v>0</v>
      </c>
      <c r="J328" s="53">
        <f t="shared" si="5"/>
        <v>1</v>
      </c>
    </row>
    <row r="329" spans="2:10" x14ac:dyDescent="0.25">
      <c r="B329" s="48">
        <f>+'Metrics - Articles'!C328</f>
        <v>42322</v>
      </c>
      <c r="C329">
        <f>COUNTIF('Metrics - Articles'!H328,"*Global*")</f>
        <v>0</v>
      </c>
      <c r="D329">
        <f>COUNTIF('Metrics - Articles'!H328,"*EMEA*")</f>
        <v>1</v>
      </c>
      <c r="E329">
        <f>COUNTIF('Metrics - Articles'!H328,"*NA*")</f>
        <v>0</v>
      </c>
      <c r="F329">
        <f>COUNTIF('Metrics - Articles'!H328,"*APJ")</f>
        <v>0</v>
      </c>
      <c r="G329">
        <f>COUNTIF('Metrics - Articles'!H328,"*LATAM*")</f>
        <v>0</v>
      </c>
      <c r="H329">
        <f>COUNTIF('Metrics - Articles'!H328,"*China*")</f>
        <v>0</v>
      </c>
      <c r="J329" s="53">
        <f t="shared" si="5"/>
        <v>1</v>
      </c>
    </row>
    <row r="330" spans="2:10" x14ac:dyDescent="0.25">
      <c r="B330" s="48">
        <f>+'Metrics - Articles'!C329</f>
        <v>42325</v>
      </c>
      <c r="C330">
        <f>COUNTIF('Metrics - Articles'!H329,"*Global*")</f>
        <v>0</v>
      </c>
      <c r="D330">
        <f>COUNTIF('Metrics - Articles'!H329,"*EMEA*")</f>
        <v>1</v>
      </c>
      <c r="E330">
        <f>COUNTIF('Metrics - Articles'!H329,"*NA*")</f>
        <v>0</v>
      </c>
      <c r="F330">
        <f>COUNTIF('Metrics - Articles'!H329,"*APJ")</f>
        <v>0</v>
      </c>
      <c r="G330">
        <f>COUNTIF('Metrics - Articles'!H329,"*LATAM*")</f>
        <v>0</v>
      </c>
      <c r="H330">
        <f>COUNTIF('Metrics - Articles'!H329,"*China*")</f>
        <v>0</v>
      </c>
      <c r="J330" s="53">
        <f t="shared" ref="J330:J393" si="6">SUM(C330:I330)</f>
        <v>1</v>
      </c>
    </row>
    <row r="331" spans="2:10" x14ac:dyDescent="0.25">
      <c r="B331" s="48">
        <f>+'Metrics - Articles'!C330</f>
        <v>42328</v>
      </c>
      <c r="C331">
        <f>COUNTIF('Metrics - Articles'!H330,"*Global*")</f>
        <v>1</v>
      </c>
      <c r="D331">
        <f>COUNTIF('Metrics - Articles'!H330,"*EMEA*")</f>
        <v>0</v>
      </c>
      <c r="E331">
        <f>COUNTIF('Metrics - Articles'!H330,"*NA*")</f>
        <v>0</v>
      </c>
      <c r="F331">
        <f>COUNTIF('Metrics - Articles'!H330,"*APJ")</f>
        <v>0</v>
      </c>
      <c r="G331">
        <f>COUNTIF('Metrics - Articles'!H330,"*LATAM*")</f>
        <v>0</v>
      </c>
      <c r="H331">
        <f>COUNTIF('Metrics - Articles'!H330,"*China*")</f>
        <v>0</v>
      </c>
      <c r="J331" s="53">
        <f t="shared" si="6"/>
        <v>1</v>
      </c>
    </row>
    <row r="332" spans="2:10" x14ac:dyDescent="0.25">
      <c r="B332" s="48">
        <f>+'Metrics - Articles'!C331</f>
        <v>42331</v>
      </c>
      <c r="C332">
        <f>COUNTIF('Metrics - Articles'!H331,"*Global*")</f>
        <v>0</v>
      </c>
      <c r="D332">
        <f>COUNTIF('Metrics - Articles'!H331,"*EMEA*")</f>
        <v>1</v>
      </c>
      <c r="E332">
        <f>COUNTIF('Metrics - Articles'!H331,"*NA*")</f>
        <v>0</v>
      </c>
      <c r="F332">
        <f>COUNTIF('Metrics - Articles'!H331,"*APJ")</f>
        <v>0</v>
      </c>
      <c r="G332">
        <f>COUNTIF('Metrics - Articles'!H331,"*LATAM*")</f>
        <v>0</v>
      </c>
      <c r="H332">
        <f>COUNTIF('Metrics - Articles'!H331,"*China*")</f>
        <v>0</v>
      </c>
      <c r="J332" s="53">
        <f t="shared" si="6"/>
        <v>1</v>
      </c>
    </row>
    <row r="333" spans="2:10" x14ac:dyDescent="0.25">
      <c r="B333" s="48">
        <f>+'Metrics - Articles'!C332</f>
        <v>42332</v>
      </c>
      <c r="C333">
        <f>COUNTIF('Metrics - Articles'!H332,"*Global*")</f>
        <v>1</v>
      </c>
      <c r="D333">
        <f>COUNTIF('Metrics - Articles'!H332,"*EMEA*")</f>
        <v>0</v>
      </c>
      <c r="E333">
        <f>COUNTIF('Metrics - Articles'!H332,"*NA*")</f>
        <v>0</v>
      </c>
      <c r="F333">
        <f>COUNTIF('Metrics - Articles'!H332,"*APJ")</f>
        <v>0</v>
      </c>
      <c r="G333">
        <f>COUNTIF('Metrics - Articles'!H332,"*LATAM*")</f>
        <v>0</v>
      </c>
      <c r="H333">
        <f>COUNTIF('Metrics - Articles'!H332,"*China*")</f>
        <v>0</v>
      </c>
      <c r="J333" s="53">
        <f t="shared" si="6"/>
        <v>1</v>
      </c>
    </row>
    <row r="334" spans="2:10" x14ac:dyDescent="0.25">
      <c r="B334" s="48">
        <f>+'Metrics - Articles'!C333</f>
        <v>42332</v>
      </c>
      <c r="C334">
        <f>COUNTIF('Metrics - Articles'!H333,"*Global*")</f>
        <v>0</v>
      </c>
      <c r="D334">
        <f>COUNTIF('Metrics - Articles'!H333,"*EMEA*")</f>
        <v>1</v>
      </c>
      <c r="E334">
        <f>COUNTIF('Metrics - Articles'!H333,"*NA*")</f>
        <v>0</v>
      </c>
      <c r="F334">
        <f>COUNTIF('Metrics - Articles'!H333,"*APJ")</f>
        <v>0</v>
      </c>
      <c r="G334">
        <f>COUNTIF('Metrics - Articles'!H333,"*LATAM*")</f>
        <v>0</v>
      </c>
      <c r="H334">
        <f>COUNTIF('Metrics - Articles'!H333,"*China*")</f>
        <v>0</v>
      </c>
      <c r="J334" s="53">
        <f t="shared" si="6"/>
        <v>1</v>
      </c>
    </row>
    <row r="335" spans="2:10" x14ac:dyDescent="0.25">
      <c r="B335" s="48">
        <f>+'Metrics - Articles'!C334</f>
        <v>42333</v>
      </c>
      <c r="C335">
        <f>COUNTIF('Metrics - Articles'!H334,"*Global*")</f>
        <v>0</v>
      </c>
      <c r="D335">
        <f>COUNTIF('Metrics - Articles'!H334,"*EMEA*")</f>
        <v>1</v>
      </c>
      <c r="E335">
        <f>COUNTIF('Metrics - Articles'!H334,"*NA*")</f>
        <v>0</v>
      </c>
      <c r="F335">
        <f>COUNTIF('Metrics - Articles'!H334,"*APJ")</f>
        <v>0</v>
      </c>
      <c r="G335">
        <f>COUNTIF('Metrics - Articles'!H334,"*LATAM*")</f>
        <v>0</v>
      </c>
      <c r="H335">
        <f>COUNTIF('Metrics - Articles'!H334,"*China*")</f>
        <v>0</v>
      </c>
      <c r="J335" s="53">
        <f t="shared" si="6"/>
        <v>1</v>
      </c>
    </row>
    <row r="336" spans="2:10" x14ac:dyDescent="0.25">
      <c r="B336" s="48">
        <f>+'Metrics - Articles'!C335</f>
        <v>42333</v>
      </c>
      <c r="C336">
        <f>COUNTIF('Metrics - Articles'!H335,"*Global*")</f>
        <v>1</v>
      </c>
      <c r="D336">
        <f>COUNTIF('Metrics - Articles'!H335,"*EMEA*")</f>
        <v>0</v>
      </c>
      <c r="E336">
        <f>COUNTIF('Metrics - Articles'!H335,"*NA*")</f>
        <v>0</v>
      </c>
      <c r="F336">
        <f>COUNTIF('Metrics - Articles'!H335,"*APJ")</f>
        <v>0</v>
      </c>
      <c r="G336">
        <f>COUNTIF('Metrics - Articles'!H335,"*LATAM*")</f>
        <v>0</v>
      </c>
      <c r="H336">
        <f>COUNTIF('Metrics - Articles'!H335,"*China*")</f>
        <v>0</v>
      </c>
      <c r="J336" s="53">
        <f t="shared" si="6"/>
        <v>1</v>
      </c>
    </row>
    <row r="337" spans="2:10" x14ac:dyDescent="0.25">
      <c r="B337" s="48">
        <f>+'Metrics - Articles'!C336</f>
        <v>42335</v>
      </c>
      <c r="C337">
        <f>COUNTIF('Metrics - Articles'!H336,"*Global*")</f>
        <v>0</v>
      </c>
      <c r="D337">
        <f>COUNTIF('Metrics - Articles'!H336,"*EMEA*")</f>
        <v>1</v>
      </c>
      <c r="E337">
        <f>COUNTIF('Metrics - Articles'!H336,"*NA*")</f>
        <v>0</v>
      </c>
      <c r="F337">
        <f>COUNTIF('Metrics - Articles'!H336,"*APJ")</f>
        <v>0</v>
      </c>
      <c r="G337">
        <f>COUNTIF('Metrics - Articles'!H336,"*LATAM*")</f>
        <v>0</v>
      </c>
      <c r="H337">
        <f>COUNTIF('Metrics - Articles'!H336,"*China*")</f>
        <v>0</v>
      </c>
      <c r="J337" s="53">
        <f t="shared" si="6"/>
        <v>1</v>
      </c>
    </row>
    <row r="338" spans="2:10" x14ac:dyDescent="0.25">
      <c r="B338" s="48">
        <f>+'Metrics - Articles'!C337</f>
        <v>42335</v>
      </c>
      <c r="C338">
        <f>COUNTIF('Metrics - Articles'!H337,"*Global*")</f>
        <v>1</v>
      </c>
      <c r="D338">
        <f>COUNTIF('Metrics - Articles'!H337,"*EMEA*")</f>
        <v>0</v>
      </c>
      <c r="E338">
        <f>COUNTIF('Metrics - Articles'!H337,"*NA*")</f>
        <v>0</v>
      </c>
      <c r="F338">
        <f>COUNTIF('Metrics - Articles'!H337,"*APJ")</f>
        <v>0</v>
      </c>
      <c r="G338">
        <f>COUNTIF('Metrics - Articles'!H337,"*LATAM*")</f>
        <v>0</v>
      </c>
      <c r="H338">
        <f>COUNTIF('Metrics - Articles'!H337,"*China*")</f>
        <v>0</v>
      </c>
      <c r="J338" s="53">
        <f t="shared" si="6"/>
        <v>1</v>
      </c>
    </row>
    <row r="339" spans="2:10" x14ac:dyDescent="0.25">
      <c r="B339" s="48">
        <f>+'Metrics - Articles'!C338</f>
        <v>42338</v>
      </c>
      <c r="C339">
        <f>COUNTIF('Metrics - Articles'!H338,"*Global*")</f>
        <v>1</v>
      </c>
      <c r="D339">
        <f>COUNTIF('Metrics - Articles'!H338,"*EMEA*")</f>
        <v>0</v>
      </c>
      <c r="E339">
        <f>COUNTIF('Metrics - Articles'!H338,"*NA*")</f>
        <v>0</v>
      </c>
      <c r="F339">
        <f>COUNTIF('Metrics - Articles'!H338,"*APJ")</f>
        <v>0</v>
      </c>
      <c r="G339">
        <f>COUNTIF('Metrics - Articles'!H338,"*LATAM*")</f>
        <v>0</v>
      </c>
      <c r="H339">
        <f>COUNTIF('Metrics - Articles'!H338,"*China*")</f>
        <v>0</v>
      </c>
      <c r="J339" s="53">
        <f t="shared" si="6"/>
        <v>1</v>
      </c>
    </row>
    <row r="340" spans="2:10" x14ac:dyDescent="0.25">
      <c r="B340" s="48">
        <f>+'Metrics - Articles'!C339</f>
        <v>42340</v>
      </c>
      <c r="C340">
        <f>COUNTIF('Metrics - Articles'!H339,"*Global*")</f>
        <v>0</v>
      </c>
      <c r="D340">
        <f>COUNTIF('Metrics - Articles'!H339,"*EMEA*")</f>
        <v>1</v>
      </c>
      <c r="E340">
        <f>COUNTIF('Metrics - Articles'!H339,"*NA*")</f>
        <v>0</v>
      </c>
      <c r="F340">
        <f>COUNTIF('Metrics - Articles'!H339,"*APJ")</f>
        <v>0</v>
      </c>
      <c r="G340">
        <f>COUNTIF('Metrics - Articles'!H339,"*LATAM*")</f>
        <v>0</v>
      </c>
      <c r="H340">
        <f>COUNTIF('Metrics - Articles'!H339,"*China*")</f>
        <v>0</v>
      </c>
      <c r="J340" s="53">
        <f t="shared" si="6"/>
        <v>1</v>
      </c>
    </row>
    <row r="341" spans="2:10" x14ac:dyDescent="0.25">
      <c r="B341" s="48">
        <f>+'Metrics - Articles'!C340</f>
        <v>42341</v>
      </c>
      <c r="C341">
        <f>COUNTIF('Metrics - Articles'!H340,"*Global*")</f>
        <v>0</v>
      </c>
      <c r="D341">
        <f>COUNTIF('Metrics - Articles'!H340,"*EMEA*")</f>
        <v>0</v>
      </c>
      <c r="E341">
        <f>COUNTIF('Metrics - Articles'!H340,"*NA*")</f>
        <v>1</v>
      </c>
      <c r="F341">
        <f>COUNTIF('Metrics - Articles'!H340,"*APJ")</f>
        <v>0</v>
      </c>
      <c r="G341">
        <f>COUNTIF('Metrics - Articles'!H340,"*LATAM*")</f>
        <v>0</v>
      </c>
      <c r="H341">
        <f>COUNTIF('Metrics - Articles'!H340,"*China*")</f>
        <v>0</v>
      </c>
      <c r="J341" s="53">
        <f t="shared" si="6"/>
        <v>1</v>
      </c>
    </row>
    <row r="342" spans="2:10" x14ac:dyDescent="0.25">
      <c r="B342" s="48">
        <f>+'Metrics - Articles'!C341</f>
        <v>42341</v>
      </c>
      <c r="C342">
        <f>COUNTIF('Metrics - Articles'!H341,"*Global*")</f>
        <v>0</v>
      </c>
      <c r="D342">
        <f>COUNTIF('Metrics - Articles'!H341,"*EMEA*")</f>
        <v>1</v>
      </c>
      <c r="E342">
        <f>COUNTIF('Metrics - Articles'!H341,"*NA*")</f>
        <v>1</v>
      </c>
      <c r="F342">
        <f>COUNTIF('Metrics - Articles'!H341,"*APJ")</f>
        <v>0</v>
      </c>
      <c r="G342">
        <f>COUNTIF('Metrics - Articles'!H341,"*LATAM*")</f>
        <v>0</v>
      </c>
      <c r="H342">
        <f>COUNTIF('Metrics - Articles'!H341,"*China*")</f>
        <v>0</v>
      </c>
      <c r="J342" s="53">
        <f t="shared" si="6"/>
        <v>2</v>
      </c>
    </row>
    <row r="343" spans="2:10" x14ac:dyDescent="0.25">
      <c r="B343" s="48">
        <f>+'Metrics - Articles'!C342</f>
        <v>42342</v>
      </c>
      <c r="C343">
        <f>COUNTIF('Metrics - Articles'!H342,"*Global*")</f>
        <v>1</v>
      </c>
      <c r="D343">
        <f>COUNTIF('Metrics - Articles'!H342,"*EMEA*")</f>
        <v>0</v>
      </c>
      <c r="E343">
        <f>COUNTIF('Metrics - Articles'!H342,"*NA*")</f>
        <v>0</v>
      </c>
      <c r="F343">
        <f>COUNTIF('Metrics - Articles'!H342,"*APJ")</f>
        <v>0</v>
      </c>
      <c r="G343">
        <f>COUNTIF('Metrics - Articles'!H342,"*LATAM*")</f>
        <v>0</v>
      </c>
      <c r="H343">
        <f>COUNTIF('Metrics - Articles'!H342,"*China*")</f>
        <v>0</v>
      </c>
      <c r="J343" s="53">
        <f t="shared" si="6"/>
        <v>1</v>
      </c>
    </row>
    <row r="344" spans="2:10" x14ac:dyDescent="0.25">
      <c r="B344" s="48">
        <f>+'Metrics - Articles'!C343</f>
        <v>42342</v>
      </c>
      <c r="C344">
        <f>COUNTIF('Metrics - Articles'!H343,"*Global*")</f>
        <v>1</v>
      </c>
      <c r="D344">
        <f>COUNTIF('Metrics - Articles'!H343,"*EMEA*")</f>
        <v>0</v>
      </c>
      <c r="E344">
        <f>COUNTIF('Metrics - Articles'!H343,"*NA*")</f>
        <v>0</v>
      </c>
      <c r="F344">
        <f>COUNTIF('Metrics - Articles'!H343,"*APJ")</f>
        <v>0</v>
      </c>
      <c r="G344">
        <f>COUNTIF('Metrics - Articles'!H343,"*LATAM*")</f>
        <v>0</v>
      </c>
      <c r="H344">
        <f>COUNTIF('Metrics - Articles'!H343,"*China*")</f>
        <v>0</v>
      </c>
      <c r="J344" s="53">
        <f t="shared" si="6"/>
        <v>1</v>
      </c>
    </row>
    <row r="345" spans="2:10" x14ac:dyDescent="0.25">
      <c r="B345" s="48">
        <f>+'Metrics - Articles'!C344</f>
        <v>42343</v>
      </c>
      <c r="C345">
        <f>COUNTIF('Metrics - Articles'!H344,"*Global*")</f>
        <v>1</v>
      </c>
      <c r="D345">
        <f>COUNTIF('Metrics - Articles'!H344,"*EMEA*")</f>
        <v>0</v>
      </c>
      <c r="E345">
        <f>COUNTIF('Metrics - Articles'!H344,"*NA*")</f>
        <v>0</v>
      </c>
      <c r="F345">
        <f>COUNTIF('Metrics - Articles'!H344,"*APJ")</f>
        <v>0</v>
      </c>
      <c r="G345">
        <f>COUNTIF('Metrics - Articles'!H344,"*LATAM*")</f>
        <v>0</v>
      </c>
      <c r="H345">
        <f>COUNTIF('Metrics - Articles'!H344,"*China*")</f>
        <v>0</v>
      </c>
      <c r="J345" s="53">
        <f t="shared" si="6"/>
        <v>1</v>
      </c>
    </row>
    <row r="346" spans="2:10" x14ac:dyDescent="0.25">
      <c r="B346" s="48">
        <f>+'Metrics - Articles'!C345</f>
        <v>42345</v>
      </c>
      <c r="C346">
        <f>COUNTIF('Metrics - Articles'!H345,"*Global*")</f>
        <v>1</v>
      </c>
      <c r="D346">
        <f>COUNTIF('Metrics - Articles'!H345,"*EMEA*")</f>
        <v>0</v>
      </c>
      <c r="E346">
        <f>COUNTIF('Metrics - Articles'!H345,"*NA*")</f>
        <v>0</v>
      </c>
      <c r="F346">
        <f>COUNTIF('Metrics - Articles'!H345,"*APJ")</f>
        <v>0</v>
      </c>
      <c r="G346">
        <f>COUNTIF('Metrics - Articles'!H345,"*LATAM*")</f>
        <v>0</v>
      </c>
      <c r="H346">
        <f>COUNTIF('Metrics - Articles'!H345,"*China*")</f>
        <v>0</v>
      </c>
      <c r="J346" s="53">
        <f t="shared" si="6"/>
        <v>1</v>
      </c>
    </row>
    <row r="347" spans="2:10" x14ac:dyDescent="0.25">
      <c r="B347" s="48">
        <f>+'Metrics - Articles'!C346</f>
        <v>42345</v>
      </c>
      <c r="C347">
        <f>COUNTIF('Metrics - Articles'!H346,"*Global*")</f>
        <v>1</v>
      </c>
      <c r="D347">
        <f>COUNTIF('Metrics - Articles'!H346,"*EMEA*")</f>
        <v>0</v>
      </c>
      <c r="E347">
        <f>COUNTIF('Metrics - Articles'!H346,"*NA*")</f>
        <v>0</v>
      </c>
      <c r="F347">
        <f>COUNTIF('Metrics - Articles'!H346,"*APJ")</f>
        <v>0</v>
      </c>
      <c r="G347">
        <f>COUNTIF('Metrics - Articles'!H346,"*LATAM*")</f>
        <v>0</v>
      </c>
      <c r="H347">
        <f>COUNTIF('Metrics - Articles'!H346,"*China*")</f>
        <v>0</v>
      </c>
      <c r="J347" s="53">
        <f t="shared" si="6"/>
        <v>1</v>
      </c>
    </row>
    <row r="348" spans="2:10" x14ac:dyDescent="0.25">
      <c r="B348" s="48">
        <f>+'Metrics - Articles'!C347</f>
        <v>42346</v>
      </c>
      <c r="C348">
        <f>COUNTIF('Metrics - Articles'!H347,"*Global*")</f>
        <v>1</v>
      </c>
      <c r="D348">
        <f>COUNTIF('Metrics - Articles'!H347,"*EMEA*")</f>
        <v>0</v>
      </c>
      <c r="E348">
        <f>COUNTIF('Metrics - Articles'!H347,"*NA*")</f>
        <v>0</v>
      </c>
      <c r="F348">
        <f>COUNTIF('Metrics - Articles'!H347,"*APJ")</f>
        <v>0</v>
      </c>
      <c r="G348">
        <f>COUNTIF('Metrics - Articles'!H347,"*LATAM*")</f>
        <v>0</v>
      </c>
      <c r="H348">
        <f>COUNTIF('Metrics - Articles'!H347,"*China*")</f>
        <v>0</v>
      </c>
      <c r="J348" s="53">
        <f t="shared" si="6"/>
        <v>1</v>
      </c>
    </row>
    <row r="349" spans="2:10" x14ac:dyDescent="0.25">
      <c r="B349" s="48">
        <f>+'Metrics - Articles'!C348</f>
        <v>42346</v>
      </c>
      <c r="C349">
        <f>COUNTIF('Metrics - Articles'!H348,"*Global*")</f>
        <v>1</v>
      </c>
      <c r="D349">
        <f>COUNTIF('Metrics - Articles'!H348,"*EMEA*")</f>
        <v>0</v>
      </c>
      <c r="E349">
        <f>COUNTIF('Metrics - Articles'!H348,"*NA*")</f>
        <v>0</v>
      </c>
      <c r="F349">
        <f>COUNTIF('Metrics - Articles'!H348,"*APJ")</f>
        <v>0</v>
      </c>
      <c r="G349">
        <f>COUNTIF('Metrics - Articles'!H348,"*LATAM*")</f>
        <v>0</v>
      </c>
      <c r="H349">
        <f>COUNTIF('Metrics - Articles'!H348,"*China*")</f>
        <v>0</v>
      </c>
      <c r="J349" s="53">
        <f t="shared" si="6"/>
        <v>1</v>
      </c>
    </row>
    <row r="350" spans="2:10" x14ac:dyDescent="0.25">
      <c r="B350" s="48">
        <f>+'Metrics - Articles'!C349</f>
        <v>42347</v>
      </c>
      <c r="C350">
        <f>COUNTIF('Metrics - Articles'!H349,"*Global*")</f>
        <v>0</v>
      </c>
      <c r="D350">
        <f>COUNTIF('Metrics - Articles'!H349,"*EMEA*")</f>
        <v>0</v>
      </c>
      <c r="E350">
        <f>COUNTIF('Metrics - Articles'!H349,"*NA*")</f>
        <v>1</v>
      </c>
      <c r="F350">
        <f>COUNTIF('Metrics - Articles'!H349,"*APJ")</f>
        <v>0</v>
      </c>
      <c r="G350">
        <f>COUNTIF('Metrics - Articles'!H349,"*LATAM*")</f>
        <v>0</v>
      </c>
      <c r="H350">
        <f>COUNTIF('Metrics - Articles'!H349,"*China*")</f>
        <v>0</v>
      </c>
      <c r="J350" s="53">
        <f t="shared" si="6"/>
        <v>1</v>
      </c>
    </row>
    <row r="351" spans="2:10" x14ac:dyDescent="0.25">
      <c r="B351" s="48">
        <f>+'Metrics - Articles'!C350</f>
        <v>42348</v>
      </c>
      <c r="C351">
        <f>COUNTIF('Metrics - Articles'!H350,"*Global*")</f>
        <v>1</v>
      </c>
      <c r="D351">
        <f>COUNTIF('Metrics - Articles'!H350,"*EMEA*")</f>
        <v>0</v>
      </c>
      <c r="E351">
        <f>COUNTIF('Metrics - Articles'!H350,"*NA*")</f>
        <v>0</v>
      </c>
      <c r="F351">
        <f>COUNTIF('Metrics - Articles'!H350,"*APJ")</f>
        <v>0</v>
      </c>
      <c r="G351">
        <f>COUNTIF('Metrics - Articles'!H350,"*LATAM*")</f>
        <v>0</v>
      </c>
      <c r="H351">
        <f>COUNTIF('Metrics - Articles'!H350,"*China*")</f>
        <v>0</v>
      </c>
      <c r="J351" s="53">
        <f t="shared" si="6"/>
        <v>1</v>
      </c>
    </row>
    <row r="352" spans="2:10" x14ac:dyDescent="0.25">
      <c r="B352" s="48">
        <f>+'Metrics - Articles'!C351</f>
        <v>42349</v>
      </c>
      <c r="C352">
        <f>COUNTIF('Metrics - Articles'!H351,"*Global*")</f>
        <v>0</v>
      </c>
      <c r="D352">
        <f>COUNTIF('Metrics - Articles'!H351,"*EMEA*")</f>
        <v>1</v>
      </c>
      <c r="E352">
        <f>COUNTIF('Metrics - Articles'!H351,"*NA*")</f>
        <v>0</v>
      </c>
      <c r="F352">
        <f>COUNTIF('Metrics - Articles'!H351,"*APJ")</f>
        <v>0</v>
      </c>
      <c r="G352">
        <f>COUNTIF('Metrics - Articles'!H351,"*LATAM*")</f>
        <v>0</v>
      </c>
      <c r="H352">
        <f>COUNTIF('Metrics - Articles'!H351,"*China*")</f>
        <v>0</v>
      </c>
      <c r="J352" s="53">
        <f t="shared" si="6"/>
        <v>1</v>
      </c>
    </row>
    <row r="353" spans="2:10" x14ac:dyDescent="0.25">
      <c r="B353" s="48">
        <f>+'Metrics - Articles'!C352</f>
        <v>42351</v>
      </c>
      <c r="C353">
        <f>COUNTIF('Metrics - Articles'!H352,"*Global*")</f>
        <v>0</v>
      </c>
      <c r="D353">
        <f>COUNTIF('Metrics - Articles'!H352,"*EMEA*")</f>
        <v>0</v>
      </c>
      <c r="E353">
        <f>COUNTIF('Metrics - Articles'!H352,"*NA*")</f>
        <v>1</v>
      </c>
      <c r="F353">
        <f>COUNTIF('Metrics - Articles'!H352,"*APJ")</f>
        <v>0</v>
      </c>
      <c r="G353">
        <f>COUNTIF('Metrics - Articles'!H352,"*LATAM*")</f>
        <v>0</v>
      </c>
      <c r="H353">
        <f>COUNTIF('Metrics - Articles'!H352,"*China*")</f>
        <v>0</v>
      </c>
      <c r="J353" s="53">
        <f t="shared" si="6"/>
        <v>1</v>
      </c>
    </row>
    <row r="354" spans="2:10" x14ac:dyDescent="0.25">
      <c r="B354" s="48">
        <f>+'Metrics - Articles'!C353</f>
        <v>42352</v>
      </c>
      <c r="C354">
        <f>COUNTIF('Metrics - Articles'!H353,"*Global*")</f>
        <v>0</v>
      </c>
      <c r="D354">
        <f>COUNTIF('Metrics - Articles'!H353,"*EMEA*")</f>
        <v>0</v>
      </c>
      <c r="E354">
        <f>COUNTIF('Metrics - Articles'!H353,"*NA*")</f>
        <v>1</v>
      </c>
      <c r="F354">
        <f>COUNTIF('Metrics - Articles'!H353,"*APJ")</f>
        <v>0</v>
      </c>
      <c r="G354">
        <f>COUNTIF('Metrics - Articles'!H353,"*LATAM*")</f>
        <v>0</v>
      </c>
      <c r="H354">
        <f>COUNTIF('Metrics - Articles'!H353,"*China*")</f>
        <v>0</v>
      </c>
      <c r="J354" s="53">
        <f t="shared" si="6"/>
        <v>1</v>
      </c>
    </row>
    <row r="355" spans="2:10" x14ac:dyDescent="0.25">
      <c r="B355" s="48">
        <f>+'Metrics - Articles'!C354</f>
        <v>42353</v>
      </c>
      <c r="C355">
        <f>COUNTIF('Metrics - Articles'!H354,"*Global*")</f>
        <v>0</v>
      </c>
      <c r="D355">
        <f>COUNTIF('Metrics - Articles'!H354,"*EMEA*")</f>
        <v>0</v>
      </c>
      <c r="E355">
        <f>COUNTIF('Metrics - Articles'!H354,"*NA*")</f>
        <v>0</v>
      </c>
      <c r="F355">
        <f>COUNTIF('Metrics - Articles'!H354,"*APJ")</f>
        <v>1</v>
      </c>
      <c r="G355">
        <f>COUNTIF('Metrics - Articles'!H354,"*LATAM*")</f>
        <v>0</v>
      </c>
      <c r="H355">
        <f>COUNTIF('Metrics - Articles'!H354,"*China*")</f>
        <v>0</v>
      </c>
      <c r="J355" s="53">
        <f t="shared" si="6"/>
        <v>1</v>
      </c>
    </row>
    <row r="356" spans="2:10" x14ac:dyDescent="0.25">
      <c r="B356" s="48">
        <f>+'Metrics - Articles'!C355</f>
        <v>42353</v>
      </c>
      <c r="C356">
        <f>COUNTIF('Metrics - Articles'!H355,"*Global*")</f>
        <v>0</v>
      </c>
      <c r="D356">
        <f>COUNTIF('Metrics - Articles'!H355,"*EMEA*")</f>
        <v>0</v>
      </c>
      <c r="E356">
        <f>COUNTIF('Metrics - Articles'!H355,"*NA*")</f>
        <v>0</v>
      </c>
      <c r="F356">
        <f>COUNTIF('Metrics - Articles'!H355,"*APJ")</f>
        <v>0</v>
      </c>
      <c r="G356">
        <f>COUNTIF('Metrics - Articles'!H355,"*LATAM*")</f>
        <v>1</v>
      </c>
      <c r="H356">
        <f>COUNTIF('Metrics - Articles'!H355,"*China*")</f>
        <v>0</v>
      </c>
      <c r="J356" s="53">
        <f t="shared" si="6"/>
        <v>1</v>
      </c>
    </row>
    <row r="357" spans="2:10" x14ac:dyDescent="0.25">
      <c r="B357" s="48">
        <f>+'Metrics - Articles'!C356</f>
        <v>42354</v>
      </c>
      <c r="C357">
        <f>COUNTIF('Metrics - Articles'!H356,"*Global*")</f>
        <v>1</v>
      </c>
      <c r="D357">
        <f>COUNTIF('Metrics - Articles'!H356,"*EMEA*")</f>
        <v>0</v>
      </c>
      <c r="E357">
        <f>COUNTIF('Metrics - Articles'!H356,"*NA*")</f>
        <v>0</v>
      </c>
      <c r="F357">
        <f>COUNTIF('Metrics - Articles'!H356,"*APJ")</f>
        <v>0</v>
      </c>
      <c r="G357">
        <f>COUNTIF('Metrics - Articles'!H356,"*LATAM*")</f>
        <v>0</v>
      </c>
      <c r="H357">
        <f>COUNTIF('Metrics - Articles'!H356,"*China*")</f>
        <v>0</v>
      </c>
      <c r="J357" s="53">
        <f t="shared" si="6"/>
        <v>1</v>
      </c>
    </row>
    <row r="358" spans="2:10" x14ac:dyDescent="0.25">
      <c r="B358" s="48">
        <f>+'Metrics - Articles'!C357</f>
        <v>42355</v>
      </c>
      <c r="C358">
        <f>COUNTIF('Metrics - Articles'!H357,"*Global*")</f>
        <v>0</v>
      </c>
      <c r="D358">
        <f>COUNTIF('Metrics - Articles'!H357,"*EMEA*")</f>
        <v>1</v>
      </c>
      <c r="E358">
        <f>COUNTIF('Metrics - Articles'!H357,"*NA*")</f>
        <v>0</v>
      </c>
      <c r="F358">
        <f>COUNTIF('Metrics - Articles'!H357,"*APJ")</f>
        <v>0</v>
      </c>
      <c r="G358">
        <f>COUNTIF('Metrics - Articles'!H357,"*LATAM*")</f>
        <v>0</v>
      </c>
      <c r="H358">
        <f>COUNTIF('Metrics - Articles'!H357,"*China*")</f>
        <v>0</v>
      </c>
      <c r="J358" s="53">
        <f t="shared" si="6"/>
        <v>1</v>
      </c>
    </row>
    <row r="359" spans="2:10" x14ac:dyDescent="0.25">
      <c r="B359" s="48" t="e">
        <f>+'Metrics - Articles'!#REF!</f>
        <v>#REF!</v>
      </c>
      <c r="C359">
        <f>COUNTIF('Metrics - Articles'!H358,"*Global*")</f>
        <v>0</v>
      </c>
      <c r="D359">
        <f>COUNTIF('Metrics - Articles'!H358,"*EMEA*")</f>
        <v>0</v>
      </c>
      <c r="E359">
        <f>COUNTIF('Metrics - Articles'!H358,"*NA*")</f>
        <v>0</v>
      </c>
      <c r="F359">
        <f>COUNTIF('Metrics - Articles'!H358,"*APJ")</f>
        <v>1</v>
      </c>
      <c r="G359">
        <f>COUNTIF('Metrics - Articles'!H358,"*LATAM*")</f>
        <v>0</v>
      </c>
      <c r="H359">
        <f>COUNTIF('Metrics - Articles'!H358,"*China*")</f>
        <v>0</v>
      </c>
      <c r="J359" s="53">
        <f t="shared" si="6"/>
        <v>1</v>
      </c>
    </row>
    <row r="360" spans="2:10" x14ac:dyDescent="0.25">
      <c r="B360" s="48" t="e">
        <f>+'Metrics - Articles'!#REF!</f>
        <v>#REF!</v>
      </c>
      <c r="C360">
        <f>COUNTIF('Metrics - Articles'!H359,"*Global*")</f>
        <v>0</v>
      </c>
      <c r="D360">
        <f>COUNTIF('Metrics - Articles'!H359,"*EMEA*")</f>
        <v>0</v>
      </c>
      <c r="E360">
        <f>COUNTIF('Metrics - Articles'!H359,"*NA*")</f>
        <v>0</v>
      </c>
      <c r="F360">
        <f>COUNTIF('Metrics - Articles'!H359,"*APJ")</f>
        <v>0</v>
      </c>
      <c r="G360">
        <f>COUNTIF('Metrics - Articles'!H359,"*LATAM*")</f>
        <v>1</v>
      </c>
      <c r="H360">
        <f>COUNTIF('Metrics - Articles'!H359,"*China*")</f>
        <v>0</v>
      </c>
      <c r="J360" s="53">
        <f t="shared" si="6"/>
        <v>1</v>
      </c>
    </row>
    <row r="361" spans="2:10" x14ac:dyDescent="0.25">
      <c r="B361" s="48">
        <f>+'Metrics - Articles'!C358</f>
        <v>42361</v>
      </c>
      <c r="C361">
        <f>COUNTIF('Metrics - Articles'!H360,"*Global*")</f>
        <v>0</v>
      </c>
      <c r="D361">
        <f>COUNTIF('Metrics - Articles'!H360,"*EMEA*")</f>
        <v>0</v>
      </c>
      <c r="E361">
        <f>COUNTIF('Metrics - Articles'!H360,"*NA*")</f>
        <v>0</v>
      </c>
      <c r="F361">
        <f>COUNTIF('Metrics - Articles'!H360,"*APJ")</f>
        <v>0</v>
      </c>
      <c r="G361">
        <f>COUNTIF('Metrics - Articles'!H360,"*LATAM*")</f>
        <v>0</v>
      </c>
      <c r="H361">
        <f>COUNTIF('Metrics - Articles'!H360,"*China*")</f>
        <v>0</v>
      </c>
      <c r="J361" s="53">
        <f t="shared" si="6"/>
        <v>0</v>
      </c>
    </row>
    <row r="362" spans="2:10" x14ac:dyDescent="0.25">
      <c r="B362" s="48">
        <f>+'Metrics - Articles'!C359</f>
        <v>42361</v>
      </c>
      <c r="C362">
        <f>COUNTIF('Metrics - Articles'!H361,"*Global*")</f>
        <v>0</v>
      </c>
      <c r="D362">
        <f>COUNTIF('Metrics - Articles'!H361,"*EMEA*")</f>
        <v>0</v>
      </c>
      <c r="E362">
        <f>COUNTIF('Metrics - Articles'!H361,"*NA*")</f>
        <v>0</v>
      </c>
      <c r="F362">
        <f>COUNTIF('Metrics - Articles'!H361,"*APJ")</f>
        <v>0</v>
      </c>
      <c r="G362">
        <f>COUNTIF('Metrics - Articles'!H361,"*LATAM*")</f>
        <v>0</v>
      </c>
      <c r="H362">
        <f>COUNTIF('Metrics - Articles'!H361,"*China*")</f>
        <v>0</v>
      </c>
      <c r="J362" s="53">
        <f t="shared" si="6"/>
        <v>0</v>
      </c>
    </row>
    <row r="363" spans="2:10" hidden="1" x14ac:dyDescent="0.25">
      <c r="B363" s="48">
        <f>+'Metrics - Articles'!C360</f>
        <v>0</v>
      </c>
      <c r="C363">
        <f>COUNTIF('Metrics - Articles'!H360,"*Global*")</f>
        <v>0</v>
      </c>
      <c r="D363">
        <f>COUNTIF('Metrics - Articles'!H360,"*EMEA*")</f>
        <v>0</v>
      </c>
      <c r="E363">
        <f>COUNTIF('Metrics - Articles'!H360,"*NA*")</f>
        <v>0</v>
      </c>
      <c r="F363">
        <f>COUNTIF('Metrics - Articles'!H360,"*APJ")</f>
        <v>0</v>
      </c>
      <c r="G363">
        <f>COUNTIF('Metrics - Articles'!H360,"*LATAM*")</f>
        <v>0</v>
      </c>
      <c r="H363">
        <f>COUNTIF('Metrics - Articles'!H360,"*China*")</f>
        <v>0</v>
      </c>
      <c r="J363" s="53">
        <f t="shared" si="6"/>
        <v>0</v>
      </c>
    </row>
    <row r="364" spans="2:10" hidden="1" x14ac:dyDescent="0.25">
      <c r="B364" s="48">
        <f>+'Metrics - Articles'!C361</f>
        <v>0</v>
      </c>
      <c r="C364">
        <f>COUNTIF('Metrics - Articles'!H361,"*Global*")</f>
        <v>0</v>
      </c>
      <c r="D364">
        <f>COUNTIF('Metrics - Articles'!H361,"*EMEA*")</f>
        <v>0</v>
      </c>
      <c r="E364">
        <f>COUNTIF('Metrics - Articles'!H361,"*NA*")</f>
        <v>0</v>
      </c>
      <c r="F364">
        <f>COUNTIF('Metrics - Articles'!H361,"*APJ")</f>
        <v>0</v>
      </c>
      <c r="G364">
        <f>COUNTIF('Metrics - Articles'!H361,"*LATAM*")</f>
        <v>0</v>
      </c>
      <c r="H364">
        <f>COUNTIF('Metrics - Articles'!H361,"*China*")</f>
        <v>0</v>
      </c>
      <c r="J364" s="53">
        <f t="shared" si="6"/>
        <v>0</v>
      </c>
    </row>
    <row r="365" spans="2:10" hidden="1" x14ac:dyDescent="0.25">
      <c r="B365" s="48">
        <f>+'Metrics - Articles'!C362</f>
        <v>0</v>
      </c>
      <c r="C365">
        <f>COUNTIF('Metrics - Articles'!H362,"*Global*")</f>
        <v>0</v>
      </c>
      <c r="D365">
        <f>COUNTIF('Metrics - Articles'!H362,"*EMEA*")</f>
        <v>0</v>
      </c>
      <c r="E365">
        <f>COUNTIF('Metrics - Articles'!H362,"*NA*")</f>
        <v>0</v>
      </c>
      <c r="F365">
        <f>COUNTIF('Metrics - Articles'!H362,"*APJ")</f>
        <v>0</v>
      </c>
      <c r="G365">
        <f>COUNTIF('Metrics - Articles'!H362,"*LATAM*")</f>
        <v>0</v>
      </c>
      <c r="H365">
        <f>COUNTIF('Metrics - Articles'!H362,"*China*")</f>
        <v>0</v>
      </c>
      <c r="J365" s="53">
        <f t="shared" si="6"/>
        <v>0</v>
      </c>
    </row>
    <row r="366" spans="2:10" hidden="1" x14ac:dyDescent="0.25">
      <c r="B366" s="48">
        <f>+'Metrics - Articles'!C363</f>
        <v>0</v>
      </c>
      <c r="C366">
        <f>COUNTIF('Metrics - Articles'!H363,"*Global*")</f>
        <v>0</v>
      </c>
      <c r="D366">
        <f>COUNTIF('Metrics - Articles'!H363,"*EMEA*")</f>
        <v>0</v>
      </c>
      <c r="E366">
        <f>COUNTIF('Metrics - Articles'!H363,"*NA*")</f>
        <v>0</v>
      </c>
      <c r="F366">
        <f>COUNTIF('Metrics - Articles'!H363,"*APJ")</f>
        <v>0</v>
      </c>
      <c r="G366">
        <f>COUNTIF('Metrics - Articles'!H363,"*LATAM*")</f>
        <v>0</v>
      </c>
      <c r="H366">
        <f>COUNTIF('Metrics - Articles'!H363,"*China*")</f>
        <v>0</v>
      </c>
      <c r="J366" s="53">
        <f t="shared" si="6"/>
        <v>0</v>
      </c>
    </row>
    <row r="367" spans="2:10" hidden="1" x14ac:dyDescent="0.25">
      <c r="B367" s="48">
        <f>+'Metrics - Articles'!C364</f>
        <v>0</v>
      </c>
      <c r="C367">
        <f>COUNTIF('Metrics - Articles'!H364,"*Global*")</f>
        <v>0</v>
      </c>
      <c r="D367">
        <f>COUNTIF('Metrics - Articles'!H364,"*EMEA*")</f>
        <v>0</v>
      </c>
      <c r="E367">
        <f>COUNTIF('Metrics - Articles'!H364,"*NA*")</f>
        <v>0</v>
      </c>
      <c r="F367">
        <f>COUNTIF('Metrics - Articles'!H364,"*APJ")</f>
        <v>0</v>
      </c>
      <c r="G367">
        <f>COUNTIF('Metrics - Articles'!H364,"*LATAM*")</f>
        <v>0</v>
      </c>
      <c r="H367">
        <f>COUNTIF('Metrics - Articles'!H364,"*China*")</f>
        <v>0</v>
      </c>
      <c r="J367" s="53">
        <f t="shared" si="6"/>
        <v>0</v>
      </c>
    </row>
    <row r="368" spans="2:10" hidden="1" x14ac:dyDescent="0.25">
      <c r="B368" s="48">
        <f>+'Metrics - Articles'!C365</f>
        <v>0</v>
      </c>
      <c r="C368">
        <f>COUNTIF('Metrics - Articles'!H365,"*Global*")</f>
        <v>0</v>
      </c>
      <c r="D368">
        <f>COUNTIF('Metrics - Articles'!H365,"*EMEA*")</f>
        <v>0</v>
      </c>
      <c r="E368">
        <f>COUNTIF('Metrics - Articles'!H365,"*NA*")</f>
        <v>0</v>
      </c>
      <c r="F368">
        <f>COUNTIF('Metrics - Articles'!H365,"*APJ")</f>
        <v>0</v>
      </c>
      <c r="G368">
        <f>COUNTIF('Metrics - Articles'!H365,"*LATAM*")</f>
        <v>0</v>
      </c>
      <c r="H368">
        <f>COUNTIF('Metrics - Articles'!H365,"*China*")</f>
        <v>0</v>
      </c>
      <c r="J368" s="53">
        <f t="shared" si="6"/>
        <v>0</v>
      </c>
    </row>
    <row r="369" spans="2:10" hidden="1" x14ac:dyDescent="0.25">
      <c r="B369" s="48">
        <f>+'Metrics - Articles'!C366</f>
        <v>0</v>
      </c>
      <c r="C369">
        <f>COUNTIF('Metrics - Articles'!H366,"*Global*")</f>
        <v>0</v>
      </c>
      <c r="D369">
        <f>COUNTIF('Metrics - Articles'!H366,"*EMEA*")</f>
        <v>0</v>
      </c>
      <c r="E369">
        <f>COUNTIF('Metrics - Articles'!H366,"*NA*")</f>
        <v>0</v>
      </c>
      <c r="F369">
        <f>COUNTIF('Metrics - Articles'!H366,"*APJ")</f>
        <v>0</v>
      </c>
      <c r="G369">
        <f>COUNTIF('Metrics - Articles'!H366,"*LATAM*")</f>
        <v>0</v>
      </c>
      <c r="H369">
        <f>COUNTIF('Metrics - Articles'!H366,"*China*")</f>
        <v>0</v>
      </c>
      <c r="J369" s="53">
        <f t="shared" si="6"/>
        <v>0</v>
      </c>
    </row>
    <row r="370" spans="2:10" hidden="1" x14ac:dyDescent="0.25">
      <c r="B370" s="48">
        <f>+'Metrics - Articles'!C367</f>
        <v>0</v>
      </c>
      <c r="C370">
        <f>COUNTIF('Metrics - Articles'!H367,"*Global*")</f>
        <v>0</v>
      </c>
      <c r="D370">
        <f>COUNTIF('Metrics - Articles'!H367,"*EMEA*")</f>
        <v>0</v>
      </c>
      <c r="E370">
        <f>COUNTIF('Metrics - Articles'!H367,"*NA*")</f>
        <v>0</v>
      </c>
      <c r="F370">
        <f>COUNTIF('Metrics - Articles'!H367,"*APJ")</f>
        <v>0</v>
      </c>
      <c r="G370">
        <f>COUNTIF('Metrics - Articles'!H367,"*LATAM*")</f>
        <v>0</v>
      </c>
      <c r="H370">
        <f>COUNTIF('Metrics - Articles'!H367,"*China*")</f>
        <v>0</v>
      </c>
      <c r="J370" s="53">
        <f t="shared" si="6"/>
        <v>0</v>
      </c>
    </row>
    <row r="371" spans="2:10" hidden="1" x14ac:dyDescent="0.25">
      <c r="B371" s="48">
        <f>+'Metrics - Articles'!C368</f>
        <v>0</v>
      </c>
      <c r="C371">
        <f>COUNTIF('Metrics - Articles'!H368,"*Global*")</f>
        <v>0</v>
      </c>
      <c r="D371">
        <f>COUNTIF('Metrics - Articles'!H368,"*EMEA*")</f>
        <v>0</v>
      </c>
      <c r="E371">
        <f>COUNTIF('Metrics - Articles'!H368,"*NA*")</f>
        <v>0</v>
      </c>
      <c r="F371">
        <f>COUNTIF('Metrics - Articles'!H368,"*APJ")</f>
        <v>0</v>
      </c>
      <c r="G371">
        <f>COUNTIF('Metrics - Articles'!H368,"*LATAM*")</f>
        <v>0</v>
      </c>
      <c r="H371">
        <f>COUNTIF('Metrics - Articles'!H368,"*China*")</f>
        <v>0</v>
      </c>
      <c r="J371" s="53">
        <f t="shared" si="6"/>
        <v>0</v>
      </c>
    </row>
    <row r="372" spans="2:10" hidden="1" x14ac:dyDescent="0.25">
      <c r="B372" s="48">
        <f>+'Metrics - Articles'!C369</f>
        <v>0</v>
      </c>
      <c r="C372">
        <f>COUNTIF('Metrics - Articles'!H369,"*Global*")</f>
        <v>0</v>
      </c>
      <c r="D372">
        <f>COUNTIF('Metrics - Articles'!H369,"*EMEA*")</f>
        <v>0</v>
      </c>
      <c r="E372">
        <f>COUNTIF('Metrics - Articles'!H369,"*NA*")</f>
        <v>0</v>
      </c>
      <c r="F372">
        <f>COUNTIF('Metrics - Articles'!H369,"*APJ")</f>
        <v>0</v>
      </c>
      <c r="G372">
        <f>COUNTIF('Metrics - Articles'!H369,"*LATAM*")</f>
        <v>0</v>
      </c>
      <c r="H372">
        <f>COUNTIF('Metrics - Articles'!H369,"*China*")</f>
        <v>0</v>
      </c>
      <c r="J372" s="53">
        <f t="shared" si="6"/>
        <v>0</v>
      </c>
    </row>
    <row r="373" spans="2:10" hidden="1" x14ac:dyDescent="0.25">
      <c r="B373" s="48">
        <f>+'Metrics - Articles'!C370</f>
        <v>0</v>
      </c>
      <c r="C373">
        <f>COUNTIF('Metrics - Articles'!H370,"*Global*")</f>
        <v>0</v>
      </c>
      <c r="D373">
        <f>COUNTIF('Metrics - Articles'!H370,"*EMEA*")</f>
        <v>0</v>
      </c>
      <c r="E373">
        <f>COUNTIF('Metrics - Articles'!H370,"*NA*")</f>
        <v>0</v>
      </c>
      <c r="F373">
        <f>COUNTIF('Metrics - Articles'!H370,"*APJ")</f>
        <v>0</v>
      </c>
      <c r="G373">
        <f>COUNTIF('Metrics - Articles'!H370,"*LATAM*")</f>
        <v>0</v>
      </c>
      <c r="H373">
        <f>COUNTIF('Metrics - Articles'!H370,"*China*")</f>
        <v>0</v>
      </c>
      <c r="J373" s="53">
        <f t="shared" si="6"/>
        <v>0</v>
      </c>
    </row>
    <row r="374" spans="2:10" hidden="1" x14ac:dyDescent="0.25">
      <c r="B374" s="48">
        <f>+'Metrics - Articles'!C371</f>
        <v>0</v>
      </c>
      <c r="C374">
        <f>COUNTIF('Metrics - Articles'!H371,"*Global*")</f>
        <v>0</v>
      </c>
      <c r="D374">
        <f>COUNTIF('Metrics - Articles'!H371,"*EMEA*")</f>
        <v>0</v>
      </c>
      <c r="E374">
        <f>COUNTIF('Metrics - Articles'!H371,"*NA*")</f>
        <v>0</v>
      </c>
      <c r="F374">
        <f>COUNTIF('Metrics - Articles'!H371,"*APJ")</f>
        <v>0</v>
      </c>
      <c r="G374">
        <f>COUNTIF('Metrics - Articles'!H371,"*LATAM*")</f>
        <v>0</v>
      </c>
      <c r="H374">
        <f>COUNTIF('Metrics - Articles'!H371,"*China*")</f>
        <v>0</v>
      </c>
      <c r="J374" s="53">
        <f t="shared" si="6"/>
        <v>0</v>
      </c>
    </row>
    <row r="375" spans="2:10" hidden="1" x14ac:dyDescent="0.25">
      <c r="B375" s="48">
        <f>+'Metrics - Articles'!C372</f>
        <v>0</v>
      </c>
      <c r="C375">
        <f>COUNTIF('Metrics - Articles'!H372,"*Global*")</f>
        <v>0</v>
      </c>
      <c r="D375">
        <f>COUNTIF('Metrics - Articles'!H372,"*EMEA*")</f>
        <v>0</v>
      </c>
      <c r="E375">
        <f>COUNTIF('Metrics - Articles'!H372,"*NA*")</f>
        <v>0</v>
      </c>
      <c r="F375">
        <f>COUNTIF('Metrics - Articles'!H372,"*APJ")</f>
        <v>0</v>
      </c>
      <c r="G375">
        <f>COUNTIF('Metrics - Articles'!H372,"*LATAM*")</f>
        <v>0</v>
      </c>
      <c r="H375">
        <f>COUNTIF('Metrics - Articles'!H372,"*China*")</f>
        <v>0</v>
      </c>
      <c r="J375" s="53">
        <f t="shared" si="6"/>
        <v>0</v>
      </c>
    </row>
    <row r="376" spans="2:10" hidden="1" x14ac:dyDescent="0.25">
      <c r="B376" s="48">
        <f>+'Metrics - Articles'!C373</f>
        <v>0</v>
      </c>
      <c r="C376">
        <f>COUNTIF('Metrics - Articles'!H373,"*Global*")</f>
        <v>0</v>
      </c>
      <c r="D376">
        <f>COUNTIF('Metrics - Articles'!H373,"*EMEA*")</f>
        <v>0</v>
      </c>
      <c r="E376">
        <f>COUNTIF('Metrics - Articles'!H373,"*NA*")</f>
        <v>0</v>
      </c>
      <c r="F376">
        <f>COUNTIF('Metrics - Articles'!H373,"*APJ")</f>
        <v>0</v>
      </c>
      <c r="G376">
        <f>COUNTIF('Metrics - Articles'!H373,"*LATAM*")</f>
        <v>0</v>
      </c>
      <c r="H376">
        <f>COUNTIF('Metrics - Articles'!H373,"*China*")</f>
        <v>0</v>
      </c>
      <c r="J376" s="53">
        <f t="shared" si="6"/>
        <v>0</v>
      </c>
    </row>
    <row r="377" spans="2:10" hidden="1" x14ac:dyDescent="0.25">
      <c r="B377" s="48">
        <f>+'Metrics - Articles'!C374</f>
        <v>0</v>
      </c>
      <c r="C377">
        <f>COUNTIF('Metrics - Articles'!H374,"*Global*")</f>
        <v>0</v>
      </c>
      <c r="D377">
        <f>COUNTIF('Metrics - Articles'!H374,"*EMEA*")</f>
        <v>0</v>
      </c>
      <c r="E377">
        <f>COUNTIF('Metrics - Articles'!H374,"*NA*")</f>
        <v>0</v>
      </c>
      <c r="F377">
        <f>COUNTIF('Metrics - Articles'!H374,"*APJ")</f>
        <v>0</v>
      </c>
      <c r="G377">
        <f>COUNTIF('Metrics - Articles'!H374,"*LATAM*")</f>
        <v>0</v>
      </c>
      <c r="H377">
        <f>COUNTIF('Metrics - Articles'!H374,"*China*")</f>
        <v>0</v>
      </c>
      <c r="J377" s="53">
        <f t="shared" si="6"/>
        <v>0</v>
      </c>
    </row>
    <row r="378" spans="2:10" hidden="1" x14ac:dyDescent="0.25">
      <c r="B378" s="48">
        <f>+'Metrics - Articles'!C375</f>
        <v>0</v>
      </c>
      <c r="C378">
        <f>COUNTIF('Metrics - Articles'!H375,"*Global*")</f>
        <v>0</v>
      </c>
      <c r="D378">
        <f>COUNTIF('Metrics - Articles'!H375,"*EMEA*")</f>
        <v>0</v>
      </c>
      <c r="E378">
        <f>COUNTIF('Metrics - Articles'!H375,"*NA*")</f>
        <v>0</v>
      </c>
      <c r="F378">
        <f>COUNTIF('Metrics - Articles'!H375,"*APJ")</f>
        <v>0</v>
      </c>
      <c r="G378">
        <f>COUNTIF('Metrics - Articles'!H375,"*LATAM*")</f>
        <v>0</v>
      </c>
      <c r="H378">
        <f>COUNTIF('Metrics - Articles'!H375,"*China*")</f>
        <v>0</v>
      </c>
      <c r="J378" s="53">
        <f t="shared" si="6"/>
        <v>0</v>
      </c>
    </row>
    <row r="379" spans="2:10" hidden="1" x14ac:dyDescent="0.25">
      <c r="B379" s="48">
        <f>+'Metrics - Articles'!C376</f>
        <v>0</v>
      </c>
      <c r="C379">
        <f>COUNTIF('Metrics - Articles'!H376,"*Global*")</f>
        <v>0</v>
      </c>
      <c r="D379">
        <f>COUNTIF('Metrics - Articles'!H376,"*EMEA*")</f>
        <v>0</v>
      </c>
      <c r="E379">
        <f>COUNTIF('Metrics - Articles'!H376,"*NA*")</f>
        <v>0</v>
      </c>
      <c r="F379">
        <f>COUNTIF('Metrics - Articles'!H376,"*APJ")</f>
        <v>0</v>
      </c>
      <c r="G379">
        <f>COUNTIF('Metrics - Articles'!H376,"*LATAM*")</f>
        <v>0</v>
      </c>
      <c r="H379">
        <f>COUNTIF('Metrics - Articles'!H376,"*China*")</f>
        <v>0</v>
      </c>
      <c r="J379" s="53">
        <f t="shared" si="6"/>
        <v>0</v>
      </c>
    </row>
    <row r="380" spans="2:10" hidden="1" x14ac:dyDescent="0.25">
      <c r="B380" s="48">
        <f>+'Metrics - Articles'!C377</f>
        <v>0</v>
      </c>
      <c r="C380">
        <f>COUNTIF('Metrics - Articles'!H377,"*Global*")</f>
        <v>0</v>
      </c>
      <c r="D380">
        <f>COUNTIF('Metrics - Articles'!H377,"*EMEA*")</f>
        <v>0</v>
      </c>
      <c r="E380">
        <f>COUNTIF('Metrics - Articles'!H377,"*NA*")</f>
        <v>0</v>
      </c>
      <c r="F380">
        <f>COUNTIF('Metrics - Articles'!H377,"*APJ")</f>
        <v>0</v>
      </c>
      <c r="G380">
        <f>COUNTIF('Metrics - Articles'!H377,"*LATAM*")</f>
        <v>0</v>
      </c>
      <c r="H380">
        <f>COUNTIF('Metrics - Articles'!H377,"*China*")</f>
        <v>0</v>
      </c>
      <c r="J380" s="53">
        <f t="shared" si="6"/>
        <v>0</v>
      </c>
    </row>
    <row r="381" spans="2:10" hidden="1" x14ac:dyDescent="0.25">
      <c r="B381" s="48">
        <f>+'Metrics - Articles'!C378</f>
        <v>0</v>
      </c>
      <c r="C381">
        <f>COUNTIF('Metrics - Articles'!H378,"*Global*")</f>
        <v>0</v>
      </c>
      <c r="D381">
        <f>COUNTIF('Metrics - Articles'!H378,"*EMEA*")</f>
        <v>0</v>
      </c>
      <c r="E381">
        <f>COUNTIF('Metrics - Articles'!H378,"*NA*")</f>
        <v>0</v>
      </c>
      <c r="F381">
        <f>COUNTIF('Metrics - Articles'!H378,"*APJ")</f>
        <v>0</v>
      </c>
      <c r="G381">
        <f>COUNTIF('Metrics - Articles'!H378,"*LATAM*")</f>
        <v>0</v>
      </c>
      <c r="H381">
        <f>COUNTIF('Metrics - Articles'!H378,"*China*")</f>
        <v>0</v>
      </c>
      <c r="J381" s="53">
        <f t="shared" si="6"/>
        <v>0</v>
      </c>
    </row>
    <row r="382" spans="2:10" hidden="1" x14ac:dyDescent="0.25">
      <c r="B382" s="48">
        <f>+'Metrics - Articles'!C379</f>
        <v>0</v>
      </c>
      <c r="C382">
        <f>COUNTIF('Metrics - Articles'!H379,"*Global*")</f>
        <v>0</v>
      </c>
      <c r="D382">
        <f>COUNTIF('Metrics - Articles'!H379,"*EMEA*")</f>
        <v>0</v>
      </c>
      <c r="E382">
        <f>COUNTIF('Metrics - Articles'!H379,"*NA*")</f>
        <v>0</v>
      </c>
      <c r="F382">
        <f>COUNTIF('Metrics - Articles'!H379,"*APJ")</f>
        <v>0</v>
      </c>
      <c r="G382">
        <f>COUNTIF('Metrics - Articles'!H379,"*LATAM*")</f>
        <v>0</v>
      </c>
      <c r="H382">
        <f>COUNTIF('Metrics - Articles'!H379,"*China*")</f>
        <v>0</v>
      </c>
      <c r="J382" s="53">
        <f t="shared" si="6"/>
        <v>0</v>
      </c>
    </row>
    <row r="383" spans="2:10" hidden="1" x14ac:dyDescent="0.25">
      <c r="B383" s="48">
        <f>+'Metrics - Articles'!C380</f>
        <v>0</v>
      </c>
      <c r="C383">
        <f>COUNTIF('Metrics - Articles'!H380,"*Global*")</f>
        <v>0</v>
      </c>
      <c r="D383">
        <f>COUNTIF('Metrics - Articles'!H380,"*EMEA*")</f>
        <v>0</v>
      </c>
      <c r="E383">
        <f>COUNTIF('Metrics - Articles'!H380,"*NA*")</f>
        <v>0</v>
      </c>
      <c r="F383">
        <f>COUNTIF('Metrics - Articles'!H380,"*APJ")</f>
        <v>0</v>
      </c>
      <c r="G383">
        <f>COUNTIF('Metrics - Articles'!H380,"*LATAM*")</f>
        <v>0</v>
      </c>
      <c r="H383">
        <f>COUNTIF('Metrics - Articles'!H380,"*China*")</f>
        <v>0</v>
      </c>
      <c r="J383" s="53">
        <f t="shared" si="6"/>
        <v>0</v>
      </c>
    </row>
    <row r="384" spans="2:10" hidden="1" x14ac:dyDescent="0.25">
      <c r="B384" s="48">
        <f>+'Metrics - Articles'!C381</f>
        <v>0</v>
      </c>
      <c r="C384">
        <f>COUNTIF('Metrics - Articles'!H381,"*Global*")</f>
        <v>0</v>
      </c>
      <c r="D384">
        <f>COUNTIF('Metrics - Articles'!H381,"*EMEA*")</f>
        <v>0</v>
      </c>
      <c r="E384">
        <f>COUNTIF('Metrics - Articles'!H381,"*NA*")</f>
        <v>0</v>
      </c>
      <c r="F384">
        <f>COUNTIF('Metrics - Articles'!H381,"*APJ")</f>
        <v>0</v>
      </c>
      <c r="G384">
        <f>COUNTIF('Metrics - Articles'!H381,"*LATAM*")</f>
        <v>0</v>
      </c>
      <c r="H384">
        <f>COUNTIF('Metrics - Articles'!H381,"*China*")</f>
        <v>0</v>
      </c>
      <c r="J384" s="53">
        <f t="shared" si="6"/>
        <v>0</v>
      </c>
    </row>
    <row r="385" spans="2:10" hidden="1" x14ac:dyDescent="0.25">
      <c r="B385" s="48">
        <f>+'Metrics - Articles'!C382</f>
        <v>0</v>
      </c>
      <c r="C385">
        <f>COUNTIF('Metrics - Articles'!H382,"*Global*")</f>
        <v>0</v>
      </c>
      <c r="D385">
        <f>COUNTIF('Metrics - Articles'!H382,"*EMEA*")</f>
        <v>0</v>
      </c>
      <c r="E385">
        <f>COUNTIF('Metrics - Articles'!H382,"*NA*")</f>
        <v>0</v>
      </c>
      <c r="F385">
        <f>COUNTIF('Metrics - Articles'!H382,"*APJ")</f>
        <v>0</v>
      </c>
      <c r="G385">
        <f>COUNTIF('Metrics - Articles'!H382,"*LATAM*")</f>
        <v>0</v>
      </c>
      <c r="H385">
        <f>COUNTIF('Metrics - Articles'!H382,"*China*")</f>
        <v>0</v>
      </c>
      <c r="J385" s="53">
        <f t="shared" si="6"/>
        <v>0</v>
      </c>
    </row>
    <row r="386" spans="2:10" hidden="1" x14ac:dyDescent="0.25">
      <c r="B386" s="48">
        <f>+'Metrics - Articles'!C383</f>
        <v>0</v>
      </c>
      <c r="C386">
        <f>COUNTIF('Metrics - Articles'!H383,"*Global*")</f>
        <v>0</v>
      </c>
      <c r="D386">
        <f>COUNTIF('Metrics - Articles'!H383,"*EMEA*")</f>
        <v>0</v>
      </c>
      <c r="E386">
        <f>COUNTIF('Metrics - Articles'!H383,"*NA*")</f>
        <v>0</v>
      </c>
      <c r="F386">
        <f>COUNTIF('Metrics - Articles'!H383,"*APJ")</f>
        <v>0</v>
      </c>
      <c r="G386">
        <f>COUNTIF('Metrics - Articles'!H383,"*LATAM*")</f>
        <v>0</v>
      </c>
      <c r="H386">
        <f>COUNTIF('Metrics - Articles'!H383,"*China*")</f>
        <v>0</v>
      </c>
      <c r="J386" s="53">
        <f t="shared" si="6"/>
        <v>0</v>
      </c>
    </row>
    <row r="387" spans="2:10" hidden="1" x14ac:dyDescent="0.25">
      <c r="B387" s="48">
        <f>+'Metrics - Articles'!C384</f>
        <v>0</v>
      </c>
      <c r="C387">
        <f>COUNTIF('Metrics - Articles'!H384,"*Global*")</f>
        <v>0</v>
      </c>
      <c r="D387">
        <f>COUNTIF('Metrics - Articles'!H384,"*EMEA*")</f>
        <v>0</v>
      </c>
      <c r="E387">
        <f>COUNTIF('Metrics - Articles'!H384,"*NA*")</f>
        <v>0</v>
      </c>
      <c r="F387">
        <f>COUNTIF('Metrics - Articles'!H384,"*APJ")</f>
        <v>0</v>
      </c>
      <c r="G387">
        <f>COUNTIF('Metrics - Articles'!H384,"*LATAM*")</f>
        <v>0</v>
      </c>
      <c r="H387">
        <f>COUNTIF('Metrics - Articles'!H384,"*China*")</f>
        <v>0</v>
      </c>
      <c r="J387" s="53">
        <f t="shared" si="6"/>
        <v>0</v>
      </c>
    </row>
    <row r="388" spans="2:10" hidden="1" x14ac:dyDescent="0.25">
      <c r="B388" s="48">
        <f>+'Metrics - Articles'!C385</f>
        <v>0</v>
      </c>
      <c r="C388">
        <f>COUNTIF('Metrics - Articles'!H385,"*Global*")</f>
        <v>0</v>
      </c>
      <c r="D388">
        <f>COUNTIF('Metrics - Articles'!H385,"*EMEA*")</f>
        <v>0</v>
      </c>
      <c r="E388">
        <f>COUNTIF('Metrics - Articles'!H385,"*NA*")</f>
        <v>0</v>
      </c>
      <c r="F388">
        <f>COUNTIF('Metrics - Articles'!H385,"*APJ")</f>
        <v>0</v>
      </c>
      <c r="G388">
        <f>COUNTIF('Metrics - Articles'!H385,"*LATAM*")</f>
        <v>0</v>
      </c>
      <c r="H388">
        <f>COUNTIF('Metrics - Articles'!H385,"*China*")</f>
        <v>0</v>
      </c>
      <c r="J388" s="53">
        <f t="shared" si="6"/>
        <v>0</v>
      </c>
    </row>
    <row r="389" spans="2:10" hidden="1" x14ac:dyDescent="0.25">
      <c r="B389" s="48">
        <f>+'Metrics - Articles'!C386</f>
        <v>0</v>
      </c>
      <c r="C389">
        <f>COUNTIF('Metrics - Articles'!H386,"*Global*")</f>
        <v>0</v>
      </c>
      <c r="D389">
        <f>COUNTIF('Metrics - Articles'!H386,"*EMEA*")</f>
        <v>0</v>
      </c>
      <c r="E389">
        <f>COUNTIF('Metrics - Articles'!H386,"*NA*")</f>
        <v>0</v>
      </c>
      <c r="F389">
        <f>COUNTIF('Metrics - Articles'!H386,"*APJ")</f>
        <v>0</v>
      </c>
      <c r="G389">
        <f>COUNTIF('Metrics - Articles'!H386,"*LATAM*")</f>
        <v>0</v>
      </c>
      <c r="H389">
        <f>COUNTIF('Metrics - Articles'!H386,"*China*")</f>
        <v>0</v>
      </c>
      <c r="J389" s="53">
        <f t="shared" si="6"/>
        <v>0</v>
      </c>
    </row>
    <row r="390" spans="2:10" hidden="1" x14ac:dyDescent="0.25">
      <c r="B390" s="48">
        <f>+'Metrics - Articles'!C387</f>
        <v>0</v>
      </c>
      <c r="C390">
        <f>COUNTIF('Metrics - Articles'!H387,"*Global*")</f>
        <v>0</v>
      </c>
      <c r="D390">
        <f>COUNTIF('Metrics - Articles'!H387,"*EMEA*")</f>
        <v>0</v>
      </c>
      <c r="E390">
        <f>COUNTIF('Metrics - Articles'!H387,"*NA*")</f>
        <v>0</v>
      </c>
      <c r="F390">
        <f>COUNTIF('Metrics - Articles'!H387,"*APJ")</f>
        <v>0</v>
      </c>
      <c r="G390">
        <f>COUNTIF('Metrics - Articles'!H387,"*LATAM*")</f>
        <v>0</v>
      </c>
      <c r="H390">
        <f>COUNTIF('Metrics - Articles'!H387,"*China*")</f>
        <v>0</v>
      </c>
      <c r="J390" s="53">
        <f t="shared" si="6"/>
        <v>0</v>
      </c>
    </row>
    <row r="391" spans="2:10" hidden="1" x14ac:dyDescent="0.25">
      <c r="B391" s="48">
        <f>+'Metrics - Articles'!C388</f>
        <v>0</v>
      </c>
      <c r="C391">
        <f>COUNTIF('Metrics - Articles'!H388,"*Global*")</f>
        <v>0</v>
      </c>
      <c r="D391">
        <f>COUNTIF('Metrics - Articles'!H388,"*EMEA*")</f>
        <v>0</v>
      </c>
      <c r="E391">
        <f>COUNTIF('Metrics - Articles'!H388,"*NA*")</f>
        <v>0</v>
      </c>
      <c r="F391">
        <f>COUNTIF('Metrics - Articles'!H388,"*APJ")</f>
        <v>0</v>
      </c>
      <c r="G391">
        <f>COUNTIF('Metrics - Articles'!H388,"*LATAM*")</f>
        <v>0</v>
      </c>
      <c r="H391">
        <f>COUNTIF('Metrics - Articles'!H388,"*China*")</f>
        <v>0</v>
      </c>
      <c r="J391" s="53">
        <f t="shared" si="6"/>
        <v>0</v>
      </c>
    </row>
    <row r="392" spans="2:10" hidden="1" x14ac:dyDescent="0.25">
      <c r="B392" s="48">
        <f>+'Metrics - Articles'!C389</f>
        <v>0</v>
      </c>
      <c r="C392">
        <f>COUNTIF('Metrics - Articles'!H389,"*Global*")</f>
        <v>0</v>
      </c>
      <c r="D392">
        <f>COUNTIF('Metrics - Articles'!H389,"*EMEA*")</f>
        <v>0</v>
      </c>
      <c r="E392">
        <f>COUNTIF('Metrics - Articles'!H389,"*NA*")</f>
        <v>0</v>
      </c>
      <c r="F392">
        <f>COUNTIF('Metrics - Articles'!H389,"*APJ")</f>
        <v>0</v>
      </c>
      <c r="G392">
        <f>COUNTIF('Metrics - Articles'!H389,"*LATAM*")</f>
        <v>0</v>
      </c>
      <c r="H392">
        <f>COUNTIF('Metrics - Articles'!H389,"*China*")</f>
        <v>0</v>
      </c>
      <c r="J392" s="53">
        <f t="shared" si="6"/>
        <v>0</v>
      </c>
    </row>
    <row r="393" spans="2:10" hidden="1" x14ac:dyDescent="0.25">
      <c r="B393" s="48">
        <f>+'Metrics - Articles'!C390</f>
        <v>0</v>
      </c>
      <c r="C393">
        <f>COUNTIF('Metrics - Articles'!H390,"*Global*")</f>
        <v>0</v>
      </c>
      <c r="D393">
        <f>COUNTIF('Metrics - Articles'!H390,"*EMEA*")</f>
        <v>0</v>
      </c>
      <c r="E393">
        <f>COUNTIF('Metrics - Articles'!H390,"*NA*")</f>
        <v>0</v>
      </c>
      <c r="F393">
        <f>COUNTIF('Metrics - Articles'!H390,"*APJ")</f>
        <v>0</v>
      </c>
      <c r="G393">
        <f>COUNTIF('Metrics - Articles'!H390,"*LATAM*")</f>
        <v>0</v>
      </c>
      <c r="H393">
        <f>COUNTIF('Metrics - Articles'!H390,"*China*")</f>
        <v>0</v>
      </c>
      <c r="J393" s="53">
        <f t="shared" si="6"/>
        <v>0</v>
      </c>
    </row>
    <row r="394" spans="2:10" hidden="1" x14ac:dyDescent="0.25">
      <c r="B394" s="48">
        <f>+'Metrics - Articles'!C391</f>
        <v>0</v>
      </c>
      <c r="C394">
        <f>COUNTIF('Metrics - Articles'!H391,"*Global*")</f>
        <v>0</v>
      </c>
      <c r="D394">
        <f>COUNTIF('Metrics - Articles'!H391,"*EMEA*")</f>
        <v>0</v>
      </c>
      <c r="E394">
        <f>COUNTIF('Metrics - Articles'!H391,"*NA*")</f>
        <v>0</v>
      </c>
      <c r="F394">
        <f>COUNTIF('Metrics - Articles'!H391,"*APJ")</f>
        <v>0</v>
      </c>
      <c r="G394">
        <f>COUNTIF('Metrics - Articles'!H391,"*LATAM*")</f>
        <v>0</v>
      </c>
      <c r="H394">
        <f>COUNTIF('Metrics - Articles'!H391,"*China*")</f>
        <v>0</v>
      </c>
      <c r="J394" s="53">
        <f t="shared" ref="J394:J457" si="7">SUM(C394:I394)</f>
        <v>0</v>
      </c>
    </row>
    <row r="395" spans="2:10" hidden="1" x14ac:dyDescent="0.25">
      <c r="B395" s="48">
        <f>+'Metrics - Articles'!C392</f>
        <v>0</v>
      </c>
      <c r="C395">
        <f>COUNTIF('Metrics - Articles'!H392,"*Global*")</f>
        <v>0</v>
      </c>
      <c r="D395">
        <f>COUNTIF('Metrics - Articles'!H392,"*EMEA*")</f>
        <v>0</v>
      </c>
      <c r="E395">
        <f>COUNTIF('Metrics - Articles'!H392,"*NA*")</f>
        <v>0</v>
      </c>
      <c r="F395">
        <f>COUNTIF('Metrics - Articles'!H392,"*APJ")</f>
        <v>0</v>
      </c>
      <c r="G395">
        <f>COUNTIF('Metrics - Articles'!H392,"*LATAM*")</f>
        <v>0</v>
      </c>
      <c r="H395">
        <f>COUNTIF('Metrics - Articles'!H392,"*China*")</f>
        <v>0</v>
      </c>
      <c r="J395" s="53">
        <f t="shared" si="7"/>
        <v>0</v>
      </c>
    </row>
    <row r="396" spans="2:10" hidden="1" x14ac:dyDescent="0.25">
      <c r="B396" s="48">
        <f>+'Metrics - Articles'!C393</f>
        <v>0</v>
      </c>
      <c r="C396">
        <f>COUNTIF('Metrics - Articles'!H393,"*Global*")</f>
        <v>0</v>
      </c>
      <c r="D396">
        <f>COUNTIF('Metrics - Articles'!H393,"*EMEA*")</f>
        <v>0</v>
      </c>
      <c r="E396">
        <f>COUNTIF('Metrics - Articles'!H393,"*NA*")</f>
        <v>0</v>
      </c>
      <c r="F396">
        <f>COUNTIF('Metrics - Articles'!H393,"*APJ")</f>
        <v>0</v>
      </c>
      <c r="G396">
        <f>COUNTIF('Metrics - Articles'!H393,"*LATAM*")</f>
        <v>0</v>
      </c>
      <c r="H396">
        <f>COUNTIF('Metrics - Articles'!H393,"*China*")</f>
        <v>0</v>
      </c>
      <c r="J396" s="53">
        <f t="shared" si="7"/>
        <v>0</v>
      </c>
    </row>
    <row r="397" spans="2:10" hidden="1" x14ac:dyDescent="0.25">
      <c r="B397" s="48">
        <f>+'Metrics - Articles'!C394</f>
        <v>0</v>
      </c>
      <c r="C397">
        <f>COUNTIF('Metrics - Articles'!H394,"*Global*")</f>
        <v>0</v>
      </c>
      <c r="D397">
        <f>COUNTIF('Metrics - Articles'!H394,"*EMEA*")</f>
        <v>0</v>
      </c>
      <c r="E397">
        <f>COUNTIF('Metrics - Articles'!H394,"*NA*")</f>
        <v>0</v>
      </c>
      <c r="F397">
        <f>COUNTIF('Metrics - Articles'!H394,"*APJ")</f>
        <v>0</v>
      </c>
      <c r="G397">
        <f>COUNTIF('Metrics - Articles'!H394,"*LATAM*")</f>
        <v>0</v>
      </c>
      <c r="H397">
        <f>COUNTIF('Metrics - Articles'!H394,"*China*")</f>
        <v>0</v>
      </c>
      <c r="J397" s="53">
        <f t="shared" si="7"/>
        <v>0</v>
      </c>
    </row>
    <row r="398" spans="2:10" hidden="1" x14ac:dyDescent="0.25">
      <c r="B398" s="48">
        <f>+'Metrics - Articles'!C395</f>
        <v>0</v>
      </c>
      <c r="C398">
        <f>COUNTIF('Metrics - Articles'!H395,"*Global*")</f>
        <v>0</v>
      </c>
      <c r="D398">
        <f>COUNTIF('Metrics - Articles'!H395,"*EMEA*")</f>
        <v>0</v>
      </c>
      <c r="E398">
        <f>COUNTIF('Metrics - Articles'!H395,"*NA*")</f>
        <v>0</v>
      </c>
      <c r="F398">
        <f>COUNTIF('Metrics - Articles'!H395,"*APJ")</f>
        <v>0</v>
      </c>
      <c r="G398">
        <f>COUNTIF('Metrics - Articles'!H395,"*LATAM*")</f>
        <v>0</v>
      </c>
      <c r="H398">
        <f>COUNTIF('Metrics - Articles'!H395,"*China*")</f>
        <v>0</v>
      </c>
      <c r="J398" s="53">
        <f t="shared" si="7"/>
        <v>0</v>
      </c>
    </row>
    <row r="399" spans="2:10" hidden="1" x14ac:dyDescent="0.25">
      <c r="B399" s="48">
        <f>+'Metrics - Articles'!C396</f>
        <v>0</v>
      </c>
      <c r="C399">
        <f>COUNTIF('Metrics - Articles'!H396,"*Global*")</f>
        <v>0</v>
      </c>
      <c r="D399">
        <f>COUNTIF('Metrics - Articles'!H396,"*EMEA*")</f>
        <v>0</v>
      </c>
      <c r="E399">
        <f>COUNTIF('Metrics - Articles'!H396,"*NA*")</f>
        <v>0</v>
      </c>
      <c r="F399">
        <f>COUNTIF('Metrics - Articles'!H396,"*APJ")</f>
        <v>0</v>
      </c>
      <c r="G399">
        <f>COUNTIF('Metrics - Articles'!H396,"*LATAM*")</f>
        <v>0</v>
      </c>
      <c r="H399">
        <f>COUNTIF('Metrics - Articles'!H396,"*China*")</f>
        <v>0</v>
      </c>
      <c r="J399" s="53">
        <f t="shared" si="7"/>
        <v>0</v>
      </c>
    </row>
    <row r="400" spans="2:10" hidden="1" x14ac:dyDescent="0.25">
      <c r="B400" s="48">
        <f>+'Metrics - Articles'!C397</f>
        <v>0</v>
      </c>
      <c r="C400">
        <f>COUNTIF('Metrics - Articles'!H397,"*Global*")</f>
        <v>0</v>
      </c>
      <c r="D400">
        <f>COUNTIF('Metrics - Articles'!H397,"*EMEA*")</f>
        <v>0</v>
      </c>
      <c r="E400">
        <f>COUNTIF('Metrics - Articles'!H397,"*NA*")</f>
        <v>0</v>
      </c>
      <c r="F400">
        <f>COUNTIF('Metrics - Articles'!H397,"*APJ")</f>
        <v>0</v>
      </c>
      <c r="G400">
        <f>COUNTIF('Metrics - Articles'!H397,"*LATAM*")</f>
        <v>0</v>
      </c>
      <c r="H400">
        <f>COUNTIF('Metrics - Articles'!H397,"*China*")</f>
        <v>0</v>
      </c>
      <c r="J400" s="53">
        <f t="shared" si="7"/>
        <v>0</v>
      </c>
    </row>
    <row r="401" spans="2:10" hidden="1" x14ac:dyDescent="0.25">
      <c r="B401" s="48">
        <f>+'Metrics - Articles'!C398</f>
        <v>0</v>
      </c>
      <c r="C401">
        <f>COUNTIF('Metrics - Articles'!H398,"*Global*")</f>
        <v>0</v>
      </c>
      <c r="D401">
        <f>COUNTIF('Metrics - Articles'!H398,"*EMEA*")</f>
        <v>0</v>
      </c>
      <c r="E401">
        <f>COUNTIF('Metrics - Articles'!H398,"*NA*")</f>
        <v>0</v>
      </c>
      <c r="F401">
        <f>COUNTIF('Metrics - Articles'!H398,"*APJ")</f>
        <v>0</v>
      </c>
      <c r="G401">
        <f>COUNTIF('Metrics - Articles'!H398,"*LATAM*")</f>
        <v>0</v>
      </c>
      <c r="H401">
        <f>COUNTIF('Metrics - Articles'!H398,"*China*")</f>
        <v>0</v>
      </c>
      <c r="J401" s="53">
        <f t="shared" si="7"/>
        <v>0</v>
      </c>
    </row>
    <row r="402" spans="2:10" hidden="1" x14ac:dyDescent="0.25">
      <c r="B402" s="48">
        <f>+'Metrics - Articles'!C399</f>
        <v>0</v>
      </c>
      <c r="C402">
        <f>COUNTIF('Metrics - Articles'!H399,"*Global*")</f>
        <v>0</v>
      </c>
      <c r="D402">
        <f>COUNTIF('Metrics - Articles'!H399,"*EMEA*")</f>
        <v>0</v>
      </c>
      <c r="E402">
        <f>COUNTIF('Metrics - Articles'!H399,"*NA*")</f>
        <v>0</v>
      </c>
      <c r="F402">
        <f>COUNTIF('Metrics - Articles'!H399,"*APJ")</f>
        <v>0</v>
      </c>
      <c r="G402">
        <f>COUNTIF('Metrics - Articles'!H399,"*LATAM*")</f>
        <v>0</v>
      </c>
      <c r="H402">
        <f>COUNTIF('Metrics - Articles'!H399,"*China*")</f>
        <v>0</v>
      </c>
      <c r="J402" s="53">
        <f t="shared" si="7"/>
        <v>0</v>
      </c>
    </row>
    <row r="403" spans="2:10" hidden="1" x14ac:dyDescent="0.25">
      <c r="B403" s="48">
        <f>+'Metrics - Articles'!C400</f>
        <v>0</v>
      </c>
      <c r="C403">
        <f>COUNTIF('Metrics - Articles'!H400,"*Global*")</f>
        <v>0</v>
      </c>
      <c r="D403">
        <f>COUNTIF('Metrics - Articles'!H400,"*EMEA*")</f>
        <v>0</v>
      </c>
      <c r="E403">
        <f>COUNTIF('Metrics - Articles'!H400,"*NA*")</f>
        <v>0</v>
      </c>
      <c r="F403">
        <f>COUNTIF('Metrics - Articles'!H400,"*APJ")</f>
        <v>0</v>
      </c>
      <c r="G403">
        <f>COUNTIF('Metrics - Articles'!H400,"*LATAM*")</f>
        <v>0</v>
      </c>
      <c r="H403">
        <f>COUNTIF('Metrics - Articles'!H400,"*China*")</f>
        <v>0</v>
      </c>
      <c r="J403" s="53">
        <f t="shared" si="7"/>
        <v>0</v>
      </c>
    </row>
    <row r="404" spans="2:10" hidden="1" x14ac:dyDescent="0.25">
      <c r="B404" s="48">
        <f>+'Metrics - Articles'!C401</f>
        <v>0</v>
      </c>
      <c r="C404">
        <f>COUNTIF('Metrics - Articles'!H401,"*Global*")</f>
        <v>0</v>
      </c>
      <c r="D404">
        <f>COUNTIF('Metrics - Articles'!H401,"*EMEA*")</f>
        <v>0</v>
      </c>
      <c r="E404">
        <f>COUNTIF('Metrics - Articles'!H401,"*NA*")</f>
        <v>0</v>
      </c>
      <c r="F404">
        <f>COUNTIF('Metrics - Articles'!H401,"*APJ")</f>
        <v>0</v>
      </c>
      <c r="G404">
        <f>COUNTIF('Metrics - Articles'!H401,"*LATAM*")</f>
        <v>0</v>
      </c>
      <c r="H404">
        <f>COUNTIF('Metrics - Articles'!H401,"*China*")</f>
        <v>0</v>
      </c>
      <c r="J404" s="53">
        <f t="shared" si="7"/>
        <v>0</v>
      </c>
    </row>
    <row r="405" spans="2:10" hidden="1" x14ac:dyDescent="0.25">
      <c r="B405" s="48">
        <f>+'Metrics - Articles'!C402</f>
        <v>0</v>
      </c>
      <c r="C405">
        <f>COUNTIF('Metrics - Articles'!H402,"*Global*")</f>
        <v>0</v>
      </c>
      <c r="D405">
        <f>COUNTIF('Metrics - Articles'!H402,"*EMEA*")</f>
        <v>0</v>
      </c>
      <c r="E405">
        <f>COUNTIF('Metrics - Articles'!H402,"*NA*")</f>
        <v>0</v>
      </c>
      <c r="F405">
        <f>COUNTIF('Metrics - Articles'!H402,"*APJ")</f>
        <v>0</v>
      </c>
      <c r="G405">
        <f>COUNTIF('Metrics - Articles'!H402,"*LATAM*")</f>
        <v>0</v>
      </c>
      <c r="H405">
        <f>COUNTIF('Metrics - Articles'!H402,"*China*")</f>
        <v>0</v>
      </c>
      <c r="J405" s="53">
        <f t="shared" si="7"/>
        <v>0</v>
      </c>
    </row>
    <row r="406" spans="2:10" hidden="1" x14ac:dyDescent="0.25">
      <c r="B406" s="48">
        <f>+'Metrics - Articles'!C403</f>
        <v>0</v>
      </c>
      <c r="C406">
        <f>COUNTIF('Metrics - Articles'!H403,"*Global*")</f>
        <v>0</v>
      </c>
      <c r="D406">
        <f>COUNTIF('Metrics - Articles'!H403,"*EMEA*")</f>
        <v>0</v>
      </c>
      <c r="E406">
        <f>COUNTIF('Metrics - Articles'!H403,"*NA*")</f>
        <v>0</v>
      </c>
      <c r="F406">
        <f>COUNTIF('Metrics - Articles'!H403,"*APJ")</f>
        <v>0</v>
      </c>
      <c r="G406">
        <f>COUNTIF('Metrics - Articles'!H403,"*LATAM*")</f>
        <v>0</v>
      </c>
      <c r="H406">
        <f>COUNTIF('Metrics - Articles'!H403,"*China*")</f>
        <v>0</v>
      </c>
      <c r="J406" s="53">
        <f t="shared" si="7"/>
        <v>0</v>
      </c>
    </row>
    <row r="407" spans="2:10" hidden="1" x14ac:dyDescent="0.25">
      <c r="B407" s="48">
        <f>+'Metrics - Articles'!C404</f>
        <v>0</v>
      </c>
      <c r="C407">
        <f>COUNTIF('Metrics - Articles'!H404,"*Global*")</f>
        <v>0</v>
      </c>
      <c r="D407">
        <f>COUNTIF('Metrics - Articles'!H404,"*EMEA*")</f>
        <v>0</v>
      </c>
      <c r="E407">
        <f>COUNTIF('Metrics - Articles'!H404,"*NA*")</f>
        <v>0</v>
      </c>
      <c r="F407">
        <f>COUNTIF('Metrics - Articles'!H404,"*APJ")</f>
        <v>0</v>
      </c>
      <c r="G407">
        <f>COUNTIF('Metrics - Articles'!H404,"*LATAM*")</f>
        <v>0</v>
      </c>
      <c r="H407">
        <f>COUNTIF('Metrics - Articles'!H404,"*China*")</f>
        <v>0</v>
      </c>
      <c r="J407" s="53">
        <f t="shared" si="7"/>
        <v>0</v>
      </c>
    </row>
    <row r="408" spans="2:10" hidden="1" x14ac:dyDescent="0.25">
      <c r="B408" s="48">
        <f>+'Metrics - Articles'!C405</f>
        <v>0</v>
      </c>
      <c r="C408">
        <f>COUNTIF('Metrics - Articles'!H405,"*Global*")</f>
        <v>0</v>
      </c>
      <c r="D408">
        <f>COUNTIF('Metrics - Articles'!H405,"*EMEA*")</f>
        <v>0</v>
      </c>
      <c r="E408">
        <f>COUNTIF('Metrics - Articles'!H405,"*NA*")</f>
        <v>0</v>
      </c>
      <c r="F408">
        <f>COUNTIF('Metrics - Articles'!H405,"*APJ")</f>
        <v>0</v>
      </c>
      <c r="G408">
        <f>COUNTIF('Metrics - Articles'!H405,"*LATAM*")</f>
        <v>0</v>
      </c>
      <c r="H408">
        <f>COUNTIF('Metrics - Articles'!H405,"*China*")</f>
        <v>0</v>
      </c>
      <c r="J408" s="53">
        <f t="shared" si="7"/>
        <v>0</v>
      </c>
    </row>
    <row r="409" spans="2:10" hidden="1" x14ac:dyDescent="0.25">
      <c r="B409" s="48">
        <f>+'Metrics - Articles'!C406</f>
        <v>0</v>
      </c>
      <c r="C409">
        <f>COUNTIF('Metrics - Articles'!H406,"*Global*")</f>
        <v>0</v>
      </c>
      <c r="D409">
        <f>COUNTIF('Metrics - Articles'!H406,"*EMEA*")</f>
        <v>0</v>
      </c>
      <c r="E409">
        <f>COUNTIF('Metrics - Articles'!H406,"*NA*")</f>
        <v>0</v>
      </c>
      <c r="F409">
        <f>COUNTIF('Metrics - Articles'!H406,"*APJ")</f>
        <v>0</v>
      </c>
      <c r="G409">
        <f>COUNTIF('Metrics - Articles'!H406,"*LATAM*")</f>
        <v>0</v>
      </c>
      <c r="H409">
        <f>COUNTIF('Metrics - Articles'!H406,"*China*")</f>
        <v>0</v>
      </c>
      <c r="J409" s="53">
        <f t="shared" si="7"/>
        <v>0</v>
      </c>
    </row>
    <row r="410" spans="2:10" hidden="1" x14ac:dyDescent="0.25">
      <c r="B410" s="48">
        <f>+'Metrics - Articles'!C407</f>
        <v>0</v>
      </c>
      <c r="C410">
        <f>COUNTIF('Metrics - Articles'!H407,"*Global*")</f>
        <v>0</v>
      </c>
      <c r="D410">
        <f>COUNTIF('Metrics - Articles'!H407,"*EMEA*")</f>
        <v>0</v>
      </c>
      <c r="E410">
        <f>COUNTIF('Metrics - Articles'!H407,"*NA*")</f>
        <v>0</v>
      </c>
      <c r="F410">
        <f>COUNTIF('Metrics - Articles'!H407,"*APJ")</f>
        <v>0</v>
      </c>
      <c r="G410">
        <f>COUNTIF('Metrics - Articles'!H407,"*LATAM*")</f>
        <v>0</v>
      </c>
      <c r="H410">
        <f>COUNTIF('Metrics - Articles'!H407,"*China*")</f>
        <v>0</v>
      </c>
      <c r="J410" s="53">
        <f t="shared" si="7"/>
        <v>0</v>
      </c>
    </row>
    <row r="411" spans="2:10" hidden="1" x14ac:dyDescent="0.25">
      <c r="B411" s="48">
        <f>+'Metrics - Articles'!C408</f>
        <v>0</v>
      </c>
      <c r="C411">
        <f>COUNTIF('Metrics - Articles'!H408,"*Global*")</f>
        <v>0</v>
      </c>
      <c r="D411">
        <f>COUNTIF('Metrics - Articles'!H408,"*EMEA*")</f>
        <v>0</v>
      </c>
      <c r="E411">
        <f>COUNTIF('Metrics - Articles'!H408,"*NA*")</f>
        <v>0</v>
      </c>
      <c r="F411">
        <f>COUNTIF('Metrics - Articles'!H408,"*APJ")</f>
        <v>0</v>
      </c>
      <c r="G411">
        <f>COUNTIF('Metrics - Articles'!H408,"*LATAM*")</f>
        <v>0</v>
      </c>
      <c r="H411">
        <f>COUNTIF('Metrics - Articles'!H408,"*China*")</f>
        <v>0</v>
      </c>
      <c r="J411" s="53">
        <f t="shared" si="7"/>
        <v>0</v>
      </c>
    </row>
    <row r="412" spans="2:10" hidden="1" x14ac:dyDescent="0.25">
      <c r="B412" s="48">
        <f>+'Metrics - Articles'!C409</f>
        <v>0</v>
      </c>
      <c r="C412">
        <f>COUNTIF('Metrics - Articles'!H409,"*Global*")</f>
        <v>0</v>
      </c>
      <c r="D412">
        <f>COUNTIF('Metrics - Articles'!H409,"*EMEA*")</f>
        <v>0</v>
      </c>
      <c r="E412">
        <f>COUNTIF('Metrics - Articles'!H409,"*NA*")</f>
        <v>0</v>
      </c>
      <c r="F412">
        <f>COUNTIF('Metrics - Articles'!H409,"*APJ")</f>
        <v>0</v>
      </c>
      <c r="G412">
        <f>COUNTIF('Metrics - Articles'!H409,"*LATAM*")</f>
        <v>0</v>
      </c>
      <c r="H412">
        <f>COUNTIF('Metrics - Articles'!H409,"*China*")</f>
        <v>0</v>
      </c>
      <c r="J412" s="53">
        <f t="shared" si="7"/>
        <v>0</v>
      </c>
    </row>
    <row r="413" spans="2:10" hidden="1" x14ac:dyDescent="0.25">
      <c r="B413" s="48">
        <f>+'Metrics - Articles'!C410</f>
        <v>0</v>
      </c>
      <c r="C413">
        <f>COUNTIF('Metrics - Articles'!H410,"*Global*")</f>
        <v>0</v>
      </c>
      <c r="D413">
        <f>COUNTIF('Metrics - Articles'!H410,"*EMEA*")</f>
        <v>0</v>
      </c>
      <c r="E413">
        <f>COUNTIF('Metrics - Articles'!H410,"*NA*")</f>
        <v>0</v>
      </c>
      <c r="F413">
        <f>COUNTIF('Metrics - Articles'!H410,"*APJ")</f>
        <v>0</v>
      </c>
      <c r="G413">
        <f>COUNTIF('Metrics - Articles'!H410,"*LATAM*")</f>
        <v>0</v>
      </c>
      <c r="H413">
        <f>COUNTIF('Metrics - Articles'!H410,"*China*")</f>
        <v>0</v>
      </c>
      <c r="J413" s="53">
        <f t="shared" si="7"/>
        <v>0</v>
      </c>
    </row>
    <row r="414" spans="2:10" hidden="1" x14ac:dyDescent="0.25">
      <c r="B414" s="48">
        <f>+'Metrics - Articles'!C411</f>
        <v>0</v>
      </c>
      <c r="C414">
        <f>COUNTIF('Metrics - Articles'!H411,"*Global*")</f>
        <v>0</v>
      </c>
      <c r="D414">
        <f>COUNTIF('Metrics - Articles'!H411,"*EMEA*")</f>
        <v>0</v>
      </c>
      <c r="E414">
        <f>COUNTIF('Metrics - Articles'!H411,"*NA*")</f>
        <v>0</v>
      </c>
      <c r="F414">
        <f>COUNTIF('Metrics - Articles'!H411,"*APJ")</f>
        <v>0</v>
      </c>
      <c r="G414">
        <f>COUNTIF('Metrics - Articles'!H411,"*LATAM*")</f>
        <v>0</v>
      </c>
      <c r="H414">
        <f>COUNTIF('Metrics - Articles'!H411,"*China*")</f>
        <v>0</v>
      </c>
      <c r="J414" s="53">
        <f t="shared" si="7"/>
        <v>0</v>
      </c>
    </row>
    <row r="415" spans="2:10" hidden="1" x14ac:dyDescent="0.25">
      <c r="B415" s="48">
        <f>+'Metrics - Articles'!C412</f>
        <v>0</v>
      </c>
      <c r="C415">
        <f>COUNTIF('Metrics - Articles'!H412,"*Global*")</f>
        <v>0</v>
      </c>
      <c r="D415">
        <f>COUNTIF('Metrics - Articles'!H412,"*EMEA*")</f>
        <v>0</v>
      </c>
      <c r="E415">
        <f>COUNTIF('Metrics - Articles'!H412,"*NA*")</f>
        <v>0</v>
      </c>
      <c r="F415">
        <f>COUNTIF('Metrics - Articles'!H412,"*APJ")</f>
        <v>0</v>
      </c>
      <c r="G415">
        <f>COUNTIF('Metrics - Articles'!H412,"*LATAM*")</f>
        <v>0</v>
      </c>
      <c r="H415">
        <f>COUNTIF('Metrics - Articles'!H412,"*China*")</f>
        <v>0</v>
      </c>
      <c r="J415" s="53">
        <f t="shared" si="7"/>
        <v>0</v>
      </c>
    </row>
    <row r="416" spans="2:10" hidden="1" x14ac:dyDescent="0.25">
      <c r="B416" s="48">
        <f>+'Metrics - Articles'!C413</f>
        <v>0</v>
      </c>
      <c r="C416">
        <f>COUNTIF('Metrics - Articles'!H413,"*Global*")</f>
        <v>0</v>
      </c>
      <c r="D416">
        <f>COUNTIF('Metrics - Articles'!H413,"*EMEA*")</f>
        <v>0</v>
      </c>
      <c r="E416">
        <f>COUNTIF('Metrics - Articles'!H413,"*NA*")</f>
        <v>0</v>
      </c>
      <c r="F416">
        <f>COUNTIF('Metrics - Articles'!H413,"*APJ")</f>
        <v>0</v>
      </c>
      <c r="G416">
        <f>COUNTIF('Metrics - Articles'!H413,"*LATAM*")</f>
        <v>0</v>
      </c>
      <c r="H416">
        <f>COUNTIF('Metrics - Articles'!H413,"*China*")</f>
        <v>0</v>
      </c>
      <c r="J416" s="53">
        <f t="shared" si="7"/>
        <v>0</v>
      </c>
    </row>
    <row r="417" spans="2:10" hidden="1" x14ac:dyDescent="0.25">
      <c r="B417" s="48">
        <f>+'Metrics - Articles'!C414</f>
        <v>0</v>
      </c>
      <c r="C417">
        <f>COUNTIF('Metrics - Articles'!H414,"*Global*")</f>
        <v>0</v>
      </c>
      <c r="D417">
        <f>COUNTIF('Metrics - Articles'!H414,"*EMEA*")</f>
        <v>0</v>
      </c>
      <c r="E417">
        <f>COUNTIF('Metrics - Articles'!H414,"*NA*")</f>
        <v>0</v>
      </c>
      <c r="F417">
        <f>COUNTIF('Metrics - Articles'!H414,"*APJ")</f>
        <v>0</v>
      </c>
      <c r="G417">
        <f>COUNTIF('Metrics - Articles'!H414,"*LATAM*")</f>
        <v>0</v>
      </c>
      <c r="H417">
        <f>COUNTIF('Metrics - Articles'!H414,"*China*")</f>
        <v>0</v>
      </c>
      <c r="J417" s="53">
        <f t="shared" si="7"/>
        <v>0</v>
      </c>
    </row>
    <row r="418" spans="2:10" hidden="1" x14ac:dyDescent="0.25">
      <c r="B418" s="48">
        <f>+'Metrics - Articles'!C415</f>
        <v>0</v>
      </c>
      <c r="C418">
        <f>COUNTIF('Metrics - Articles'!H415,"*Global*")</f>
        <v>0</v>
      </c>
      <c r="D418">
        <f>COUNTIF('Metrics - Articles'!H415,"*EMEA*")</f>
        <v>0</v>
      </c>
      <c r="E418">
        <f>COUNTIF('Metrics - Articles'!H415,"*NA*")</f>
        <v>0</v>
      </c>
      <c r="F418">
        <f>COUNTIF('Metrics - Articles'!H415,"*APJ")</f>
        <v>0</v>
      </c>
      <c r="G418">
        <f>COUNTIF('Metrics - Articles'!H415,"*LATAM*")</f>
        <v>0</v>
      </c>
      <c r="H418">
        <f>COUNTIF('Metrics - Articles'!H415,"*China*")</f>
        <v>0</v>
      </c>
      <c r="J418" s="53">
        <f t="shared" si="7"/>
        <v>0</v>
      </c>
    </row>
    <row r="419" spans="2:10" hidden="1" x14ac:dyDescent="0.25">
      <c r="B419" s="48">
        <f>+'Metrics - Articles'!C416</f>
        <v>0</v>
      </c>
      <c r="C419">
        <f>COUNTIF('Metrics - Articles'!H416,"*Global*")</f>
        <v>0</v>
      </c>
      <c r="D419">
        <f>COUNTIF('Metrics - Articles'!H416,"*EMEA*")</f>
        <v>0</v>
      </c>
      <c r="E419">
        <f>COUNTIF('Metrics - Articles'!H416,"*NA*")</f>
        <v>0</v>
      </c>
      <c r="F419">
        <f>COUNTIF('Metrics - Articles'!H416,"*APJ")</f>
        <v>0</v>
      </c>
      <c r="G419">
        <f>COUNTIF('Metrics - Articles'!H416,"*LATAM*")</f>
        <v>0</v>
      </c>
      <c r="H419">
        <f>COUNTIF('Metrics - Articles'!H416,"*China*")</f>
        <v>0</v>
      </c>
      <c r="J419" s="53">
        <f t="shared" si="7"/>
        <v>0</v>
      </c>
    </row>
    <row r="420" spans="2:10" hidden="1" x14ac:dyDescent="0.25">
      <c r="B420" s="48">
        <f>+'Metrics - Articles'!C417</f>
        <v>0</v>
      </c>
      <c r="C420">
        <f>COUNTIF('Metrics - Articles'!H417,"*Global*")</f>
        <v>0</v>
      </c>
      <c r="D420">
        <f>COUNTIF('Metrics - Articles'!H417,"*EMEA*")</f>
        <v>0</v>
      </c>
      <c r="E420">
        <f>COUNTIF('Metrics - Articles'!H417,"*NA*")</f>
        <v>0</v>
      </c>
      <c r="F420">
        <f>COUNTIF('Metrics - Articles'!H417,"*APJ")</f>
        <v>0</v>
      </c>
      <c r="G420">
        <f>COUNTIF('Metrics - Articles'!H417,"*LATAM*")</f>
        <v>0</v>
      </c>
      <c r="H420">
        <f>COUNTIF('Metrics - Articles'!H417,"*China*")</f>
        <v>0</v>
      </c>
      <c r="J420" s="53">
        <f t="shared" si="7"/>
        <v>0</v>
      </c>
    </row>
    <row r="421" spans="2:10" hidden="1" x14ac:dyDescent="0.25">
      <c r="B421" s="48">
        <f>+'Metrics - Articles'!C418</f>
        <v>0</v>
      </c>
      <c r="C421">
        <f>COUNTIF('Metrics - Articles'!H418,"*Global*")</f>
        <v>0</v>
      </c>
      <c r="D421">
        <f>COUNTIF('Metrics - Articles'!H418,"*EMEA*")</f>
        <v>0</v>
      </c>
      <c r="E421">
        <f>COUNTIF('Metrics - Articles'!H418,"*NA*")</f>
        <v>0</v>
      </c>
      <c r="F421">
        <f>COUNTIF('Metrics - Articles'!H418,"*APJ")</f>
        <v>0</v>
      </c>
      <c r="G421">
        <f>COUNTIF('Metrics - Articles'!H418,"*LATAM*")</f>
        <v>0</v>
      </c>
      <c r="H421">
        <f>COUNTIF('Metrics - Articles'!H418,"*China*")</f>
        <v>0</v>
      </c>
      <c r="J421" s="53">
        <f t="shared" si="7"/>
        <v>0</v>
      </c>
    </row>
    <row r="422" spans="2:10" hidden="1" x14ac:dyDescent="0.25">
      <c r="B422" s="48">
        <f>+'Metrics - Articles'!C419</f>
        <v>0</v>
      </c>
      <c r="C422">
        <f>COUNTIF('Metrics - Articles'!H419,"*Global*")</f>
        <v>0</v>
      </c>
      <c r="D422">
        <f>COUNTIF('Metrics - Articles'!H419,"*EMEA*")</f>
        <v>0</v>
      </c>
      <c r="E422">
        <f>COUNTIF('Metrics - Articles'!H419,"*NA*")</f>
        <v>0</v>
      </c>
      <c r="F422">
        <f>COUNTIF('Metrics - Articles'!H419,"*APJ")</f>
        <v>0</v>
      </c>
      <c r="G422">
        <f>COUNTIF('Metrics - Articles'!H419,"*LATAM*")</f>
        <v>0</v>
      </c>
      <c r="H422">
        <f>COUNTIF('Metrics - Articles'!H419,"*China*")</f>
        <v>0</v>
      </c>
      <c r="J422" s="53">
        <f t="shared" si="7"/>
        <v>0</v>
      </c>
    </row>
    <row r="423" spans="2:10" hidden="1" x14ac:dyDescent="0.25">
      <c r="B423" s="48">
        <f>+'Metrics - Articles'!C420</f>
        <v>0</v>
      </c>
      <c r="C423">
        <f>COUNTIF('Metrics - Articles'!H420,"*Global*")</f>
        <v>0</v>
      </c>
      <c r="D423">
        <f>COUNTIF('Metrics - Articles'!H420,"*EMEA*")</f>
        <v>0</v>
      </c>
      <c r="E423">
        <f>COUNTIF('Metrics - Articles'!H420,"*NA*")</f>
        <v>0</v>
      </c>
      <c r="F423">
        <f>COUNTIF('Metrics - Articles'!H420,"*APJ")</f>
        <v>0</v>
      </c>
      <c r="G423">
        <f>COUNTIF('Metrics - Articles'!H420,"*LATAM*")</f>
        <v>0</v>
      </c>
      <c r="H423">
        <f>COUNTIF('Metrics - Articles'!H420,"*China*")</f>
        <v>0</v>
      </c>
      <c r="J423" s="53">
        <f t="shared" si="7"/>
        <v>0</v>
      </c>
    </row>
    <row r="424" spans="2:10" hidden="1" x14ac:dyDescent="0.25">
      <c r="B424" s="48">
        <f>+'Metrics - Articles'!C421</f>
        <v>0</v>
      </c>
      <c r="C424">
        <f>COUNTIF('Metrics - Articles'!H421,"*Global*")</f>
        <v>0</v>
      </c>
      <c r="D424">
        <f>COUNTIF('Metrics - Articles'!H421,"*EMEA*")</f>
        <v>0</v>
      </c>
      <c r="E424">
        <f>COUNTIF('Metrics - Articles'!H421,"*NA*")</f>
        <v>0</v>
      </c>
      <c r="F424">
        <f>COUNTIF('Metrics - Articles'!H421,"*APJ")</f>
        <v>0</v>
      </c>
      <c r="G424">
        <f>COUNTIF('Metrics - Articles'!H421,"*LATAM*")</f>
        <v>0</v>
      </c>
      <c r="H424">
        <f>COUNTIF('Metrics - Articles'!H421,"*China*")</f>
        <v>0</v>
      </c>
      <c r="J424" s="53">
        <f t="shared" si="7"/>
        <v>0</v>
      </c>
    </row>
    <row r="425" spans="2:10" hidden="1" x14ac:dyDescent="0.25">
      <c r="B425" s="48">
        <f>+'Metrics - Articles'!C422</f>
        <v>0</v>
      </c>
      <c r="C425">
        <f>COUNTIF('Metrics - Articles'!H422,"*Global*")</f>
        <v>0</v>
      </c>
      <c r="D425">
        <f>COUNTIF('Metrics - Articles'!H422,"*EMEA*")</f>
        <v>0</v>
      </c>
      <c r="E425">
        <f>COUNTIF('Metrics - Articles'!H422,"*NA*")</f>
        <v>0</v>
      </c>
      <c r="F425">
        <f>COUNTIF('Metrics - Articles'!H422,"*APJ")</f>
        <v>0</v>
      </c>
      <c r="G425">
        <f>COUNTIF('Metrics - Articles'!H422,"*LATAM*")</f>
        <v>0</v>
      </c>
      <c r="H425">
        <f>COUNTIF('Metrics - Articles'!H422,"*China*")</f>
        <v>0</v>
      </c>
      <c r="J425" s="53">
        <f t="shared" si="7"/>
        <v>0</v>
      </c>
    </row>
    <row r="426" spans="2:10" hidden="1" x14ac:dyDescent="0.25">
      <c r="B426" s="48">
        <f>+'Metrics - Articles'!C423</f>
        <v>0</v>
      </c>
      <c r="C426">
        <f>COUNTIF('Metrics - Articles'!H423,"*Global*")</f>
        <v>0</v>
      </c>
      <c r="D426">
        <f>COUNTIF('Metrics - Articles'!H423,"*EMEA*")</f>
        <v>0</v>
      </c>
      <c r="E426">
        <f>COUNTIF('Metrics - Articles'!H423,"*NA*")</f>
        <v>0</v>
      </c>
      <c r="F426">
        <f>COUNTIF('Metrics - Articles'!H423,"*APJ")</f>
        <v>0</v>
      </c>
      <c r="G426">
        <f>COUNTIF('Metrics - Articles'!H423,"*LATAM*")</f>
        <v>0</v>
      </c>
      <c r="H426">
        <f>COUNTIF('Metrics - Articles'!H423,"*China*")</f>
        <v>0</v>
      </c>
      <c r="J426" s="53">
        <f t="shared" si="7"/>
        <v>0</v>
      </c>
    </row>
    <row r="427" spans="2:10" hidden="1" x14ac:dyDescent="0.25">
      <c r="B427" s="48">
        <f>+'Metrics - Articles'!C424</f>
        <v>0</v>
      </c>
      <c r="C427">
        <f>COUNTIF('Metrics - Articles'!H424,"*Global*")</f>
        <v>0</v>
      </c>
      <c r="D427">
        <f>COUNTIF('Metrics - Articles'!H424,"*EMEA*")</f>
        <v>0</v>
      </c>
      <c r="E427">
        <f>COUNTIF('Metrics - Articles'!H424,"*NA*")</f>
        <v>0</v>
      </c>
      <c r="F427">
        <f>COUNTIF('Metrics - Articles'!H424,"*APJ")</f>
        <v>0</v>
      </c>
      <c r="G427">
        <f>COUNTIF('Metrics - Articles'!H424,"*LATAM*")</f>
        <v>0</v>
      </c>
      <c r="H427">
        <f>COUNTIF('Metrics - Articles'!H424,"*China*")</f>
        <v>0</v>
      </c>
      <c r="J427" s="53">
        <f t="shared" si="7"/>
        <v>0</v>
      </c>
    </row>
    <row r="428" spans="2:10" hidden="1" x14ac:dyDescent="0.25">
      <c r="B428" s="48">
        <f>+'Metrics - Articles'!C425</f>
        <v>0</v>
      </c>
      <c r="C428">
        <f>COUNTIF('Metrics - Articles'!H425,"*Global*")</f>
        <v>0</v>
      </c>
      <c r="D428">
        <f>COUNTIF('Metrics - Articles'!H425,"*EMEA*")</f>
        <v>0</v>
      </c>
      <c r="E428">
        <f>COUNTIF('Metrics - Articles'!H425,"*NA*")</f>
        <v>0</v>
      </c>
      <c r="F428">
        <f>COUNTIF('Metrics - Articles'!H425,"*APJ")</f>
        <v>0</v>
      </c>
      <c r="G428">
        <f>COUNTIF('Metrics - Articles'!H425,"*LATAM*")</f>
        <v>0</v>
      </c>
      <c r="H428">
        <f>COUNTIF('Metrics - Articles'!H425,"*China*")</f>
        <v>0</v>
      </c>
      <c r="J428" s="53">
        <f t="shared" si="7"/>
        <v>0</v>
      </c>
    </row>
    <row r="429" spans="2:10" hidden="1" x14ac:dyDescent="0.25">
      <c r="B429" s="48">
        <f>+'Metrics - Articles'!C426</f>
        <v>0</v>
      </c>
      <c r="C429">
        <f>COUNTIF('Metrics - Articles'!H426,"*Global*")</f>
        <v>0</v>
      </c>
      <c r="D429">
        <f>COUNTIF('Metrics - Articles'!H426,"*EMEA*")</f>
        <v>0</v>
      </c>
      <c r="E429">
        <f>COUNTIF('Metrics - Articles'!H426,"*NA*")</f>
        <v>0</v>
      </c>
      <c r="F429">
        <f>COUNTIF('Metrics - Articles'!H426,"*APJ")</f>
        <v>0</v>
      </c>
      <c r="G429">
        <f>COUNTIF('Metrics - Articles'!H426,"*LATAM*")</f>
        <v>0</v>
      </c>
      <c r="H429">
        <f>COUNTIF('Metrics - Articles'!H426,"*China*")</f>
        <v>0</v>
      </c>
      <c r="J429" s="53">
        <f t="shared" si="7"/>
        <v>0</v>
      </c>
    </row>
    <row r="430" spans="2:10" hidden="1" x14ac:dyDescent="0.25">
      <c r="B430" s="48">
        <f>+'Metrics - Articles'!C427</f>
        <v>0</v>
      </c>
      <c r="C430">
        <f>COUNTIF('Metrics - Articles'!H427,"*Global*")</f>
        <v>0</v>
      </c>
      <c r="D430">
        <f>COUNTIF('Metrics - Articles'!H427,"*EMEA*")</f>
        <v>0</v>
      </c>
      <c r="E430">
        <f>COUNTIF('Metrics - Articles'!H427,"*NA*")</f>
        <v>0</v>
      </c>
      <c r="F430">
        <f>COUNTIF('Metrics - Articles'!H427,"*APJ")</f>
        <v>0</v>
      </c>
      <c r="G430">
        <f>COUNTIF('Metrics - Articles'!H427,"*LATAM*")</f>
        <v>0</v>
      </c>
      <c r="H430">
        <f>COUNTIF('Metrics - Articles'!H427,"*China*")</f>
        <v>0</v>
      </c>
      <c r="J430" s="53">
        <f t="shared" si="7"/>
        <v>0</v>
      </c>
    </row>
    <row r="431" spans="2:10" hidden="1" x14ac:dyDescent="0.25">
      <c r="B431" s="48">
        <f>+'Metrics - Articles'!C428</f>
        <v>0</v>
      </c>
      <c r="C431">
        <f>COUNTIF('Metrics - Articles'!H428,"*Global*")</f>
        <v>0</v>
      </c>
      <c r="D431">
        <f>COUNTIF('Metrics - Articles'!H428,"*EMEA*")</f>
        <v>0</v>
      </c>
      <c r="E431">
        <f>COUNTIF('Metrics - Articles'!H428,"*NA*")</f>
        <v>0</v>
      </c>
      <c r="F431">
        <f>COUNTIF('Metrics - Articles'!H428,"*APJ")</f>
        <v>0</v>
      </c>
      <c r="G431">
        <f>COUNTIF('Metrics - Articles'!H428,"*LATAM*")</f>
        <v>0</v>
      </c>
      <c r="H431">
        <f>COUNTIF('Metrics - Articles'!H428,"*China*")</f>
        <v>0</v>
      </c>
      <c r="J431" s="53">
        <f t="shared" si="7"/>
        <v>0</v>
      </c>
    </row>
    <row r="432" spans="2:10" hidden="1" x14ac:dyDescent="0.25">
      <c r="B432" s="48">
        <f>+'Metrics - Articles'!C429</f>
        <v>0</v>
      </c>
      <c r="C432">
        <f>COUNTIF('Metrics - Articles'!H429,"*Global*")</f>
        <v>0</v>
      </c>
      <c r="D432">
        <f>COUNTIF('Metrics - Articles'!H429,"*EMEA*")</f>
        <v>0</v>
      </c>
      <c r="E432">
        <f>COUNTIF('Metrics - Articles'!H429,"*NA*")</f>
        <v>0</v>
      </c>
      <c r="F432">
        <f>COUNTIF('Metrics - Articles'!H429,"*APJ")</f>
        <v>0</v>
      </c>
      <c r="G432">
        <f>COUNTIF('Metrics - Articles'!H429,"*LATAM*")</f>
        <v>0</v>
      </c>
      <c r="H432">
        <f>COUNTIF('Metrics - Articles'!H429,"*China*")</f>
        <v>0</v>
      </c>
      <c r="J432" s="53">
        <f t="shared" si="7"/>
        <v>0</v>
      </c>
    </row>
    <row r="433" spans="2:10" hidden="1" x14ac:dyDescent="0.25">
      <c r="B433" s="48">
        <f>+'Metrics - Articles'!C430</f>
        <v>0</v>
      </c>
      <c r="C433">
        <f>COUNTIF('Metrics - Articles'!H430,"*Global*")</f>
        <v>0</v>
      </c>
      <c r="D433">
        <f>COUNTIF('Metrics - Articles'!H430,"*EMEA*")</f>
        <v>0</v>
      </c>
      <c r="E433">
        <f>COUNTIF('Metrics - Articles'!H430,"*NA*")</f>
        <v>0</v>
      </c>
      <c r="F433">
        <f>COUNTIF('Metrics - Articles'!H430,"*APJ")</f>
        <v>0</v>
      </c>
      <c r="G433">
        <f>COUNTIF('Metrics - Articles'!H430,"*LATAM*")</f>
        <v>0</v>
      </c>
      <c r="H433">
        <f>COUNTIF('Metrics - Articles'!H430,"*China*")</f>
        <v>0</v>
      </c>
      <c r="J433" s="53">
        <f t="shared" si="7"/>
        <v>0</v>
      </c>
    </row>
    <row r="434" spans="2:10" hidden="1" x14ac:dyDescent="0.25">
      <c r="B434" s="48">
        <f>+'Metrics - Articles'!C431</f>
        <v>0</v>
      </c>
      <c r="C434">
        <f>COUNTIF('Metrics - Articles'!H431,"*Global*")</f>
        <v>0</v>
      </c>
      <c r="D434">
        <f>COUNTIF('Metrics - Articles'!H431,"*EMEA*")</f>
        <v>0</v>
      </c>
      <c r="E434">
        <f>COUNTIF('Metrics - Articles'!H431,"*NA*")</f>
        <v>0</v>
      </c>
      <c r="F434">
        <f>COUNTIF('Metrics - Articles'!H431,"*APJ")</f>
        <v>0</v>
      </c>
      <c r="G434">
        <f>COUNTIF('Metrics - Articles'!H431,"*LATAM*")</f>
        <v>0</v>
      </c>
      <c r="H434">
        <f>COUNTIF('Metrics - Articles'!H431,"*China*")</f>
        <v>0</v>
      </c>
      <c r="J434" s="53">
        <f t="shared" si="7"/>
        <v>0</v>
      </c>
    </row>
    <row r="435" spans="2:10" hidden="1" x14ac:dyDescent="0.25">
      <c r="B435" s="48">
        <f>+'Metrics - Articles'!C432</f>
        <v>0</v>
      </c>
      <c r="C435">
        <f>COUNTIF('Metrics - Articles'!H432,"*Global*")</f>
        <v>0</v>
      </c>
      <c r="D435">
        <f>COUNTIF('Metrics - Articles'!H432,"*EMEA*")</f>
        <v>0</v>
      </c>
      <c r="E435">
        <f>COUNTIF('Metrics - Articles'!H432,"*NA*")</f>
        <v>0</v>
      </c>
      <c r="F435">
        <f>COUNTIF('Metrics - Articles'!H432,"*APJ")</f>
        <v>0</v>
      </c>
      <c r="G435">
        <f>COUNTIF('Metrics - Articles'!H432,"*LATAM*")</f>
        <v>0</v>
      </c>
      <c r="H435">
        <f>COUNTIF('Metrics - Articles'!H432,"*China*")</f>
        <v>0</v>
      </c>
      <c r="J435" s="53">
        <f t="shared" si="7"/>
        <v>0</v>
      </c>
    </row>
    <row r="436" spans="2:10" hidden="1" x14ac:dyDescent="0.25">
      <c r="B436" s="48">
        <f>+'Metrics - Articles'!C433</f>
        <v>0</v>
      </c>
      <c r="C436">
        <f>COUNTIF('Metrics - Articles'!H433,"*Global*")</f>
        <v>0</v>
      </c>
      <c r="D436">
        <f>COUNTIF('Metrics - Articles'!H433,"*EMEA*")</f>
        <v>0</v>
      </c>
      <c r="E436">
        <f>COUNTIF('Metrics - Articles'!H433,"*NA*")</f>
        <v>0</v>
      </c>
      <c r="F436">
        <f>COUNTIF('Metrics - Articles'!H433,"*APJ")</f>
        <v>0</v>
      </c>
      <c r="G436">
        <f>COUNTIF('Metrics - Articles'!H433,"*LATAM*")</f>
        <v>0</v>
      </c>
      <c r="H436">
        <f>COUNTIF('Metrics - Articles'!H433,"*China*")</f>
        <v>0</v>
      </c>
      <c r="J436" s="53">
        <f t="shared" si="7"/>
        <v>0</v>
      </c>
    </row>
    <row r="437" spans="2:10" hidden="1" x14ac:dyDescent="0.25">
      <c r="B437" s="48">
        <f>+'Metrics - Articles'!C434</f>
        <v>0</v>
      </c>
      <c r="C437">
        <f>COUNTIF('Metrics - Articles'!H434,"*Global*")</f>
        <v>0</v>
      </c>
      <c r="D437">
        <f>COUNTIF('Metrics - Articles'!H434,"*EMEA*")</f>
        <v>0</v>
      </c>
      <c r="E437">
        <f>COUNTIF('Metrics - Articles'!H434,"*NA*")</f>
        <v>0</v>
      </c>
      <c r="F437">
        <f>COUNTIF('Metrics - Articles'!H434,"*APJ")</f>
        <v>0</v>
      </c>
      <c r="G437">
        <f>COUNTIF('Metrics - Articles'!H434,"*LATAM*")</f>
        <v>0</v>
      </c>
      <c r="H437">
        <f>COUNTIF('Metrics - Articles'!H434,"*China*")</f>
        <v>0</v>
      </c>
      <c r="J437" s="53">
        <f t="shared" si="7"/>
        <v>0</v>
      </c>
    </row>
    <row r="438" spans="2:10" hidden="1" x14ac:dyDescent="0.25">
      <c r="B438" s="48">
        <f>+'Metrics - Articles'!C435</f>
        <v>0</v>
      </c>
      <c r="C438">
        <f>COUNTIF('Metrics - Articles'!H435,"*Global*")</f>
        <v>0</v>
      </c>
      <c r="D438">
        <f>COUNTIF('Metrics - Articles'!H435,"*EMEA*")</f>
        <v>0</v>
      </c>
      <c r="E438">
        <f>COUNTIF('Metrics - Articles'!H435,"*NA*")</f>
        <v>0</v>
      </c>
      <c r="F438">
        <f>COUNTIF('Metrics - Articles'!H435,"*APJ")</f>
        <v>0</v>
      </c>
      <c r="G438">
        <f>COUNTIF('Metrics - Articles'!H435,"*LATAM*")</f>
        <v>0</v>
      </c>
      <c r="H438">
        <f>COUNTIF('Metrics - Articles'!H435,"*China*")</f>
        <v>0</v>
      </c>
      <c r="J438" s="53">
        <f t="shared" si="7"/>
        <v>0</v>
      </c>
    </row>
    <row r="439" spans="2:10" hidden="1" x14ac:dyDescent="0.25">
      <c r="B439" s="48">
        <f>+'Metrics - Articles'!C436</f>
        <v>0</v>
      </c>
      <c r="C439">
        <f>COUNTIF('Metrics - Articles'!H436,"*Global*")</f>
        <v>0</v>
      </c>
      <c r="D439">
        <f>COUNTIF('Metrics - Articles'!H436,"*EMEA*")</f>
        <v>0</v>
      </c>
      <c r="E439">
        <f>COUNTIF('Metrics - Articles'!H436,"*NA*")</f>
        <v>0</v>
      </c>
      <c r="F439">
        <f>COUNTIF('Metrics - Articles'!H436,"*APJ")</f>
        <v>0</v>
      </c>
      <c r="G439">
        <f>COUNTIF('Metrics - Articles'!H436,"*LATAM*")</f>
        <v>0</v>
      </c>
      <c r="H439">
        <f>COUNTIF('Metrics - Articles'!H436,"*China*")</f>
        <v>0</v>
      </c>
      <c r="J439" s="53">
        <f t="shared" si="7"/>
        <v>0</v>
      </c>
    </row>
    <row r="440" spans="2:10" hidden="1" x14ac:dyDescent="0.25">
      <c r="B440" s="48">
        <f>+'Metrics - Articles'!C437</f>
        <v>0</v>
      </c>
      <c r="C440">
        <f>COUNTIF('Metrics - Articles'!H437,"*Global*")</f>
        <v>0</v>
      </c>
      <c r="D440">
        <f>COUNTIF('Metrics - Articles'!H437,"*EMEA*")</f>
        <v>0</v>
      </c>
      <c r="E440">
        <f>COUNTIF('Metrics - Articles'!H437,"*NA*")</f>
        <v>0</v>
      </c>
      <c r="F440">
        <f>COUNTIF('Metrics - Articles'!H437,"*APJ")</f>
        <v>0</v>
      </c>
      <c r="G440">
        <f>COUNTIF('Metrics - Articles'!H437,"*LATAM*")</f>
        <v>0</v>
      </c>
      <c r="H440">
        <f>COUNTIF('Metrics - Articles'!H437,"*China*")</f>
        <v>0</v>
      </c>
      <c r="J440" s="53">
        <f t="shared" si="7"/>
        <v>0</v>
      </c>
    </row>
    <row r="441" spans="2:10" hidden="1" x14ac:dyDescent="0.25">
      <c r="B441" s="48">
        <f>+'Metrics - Articles'!C438</f>
        <v>0</v>
      </c>
      <c r="C441">
        <f>COUNTIF('Metrics - Articles'!H438,"*Global*")</f>
        <v>0</v>
      </c>
      <c r="D441">
        <f>COUNTIF('Metrics - Articles'!H438,"*EMEA*")</f>
        <v>0</v>
      </c>
      <c r="E441">
        <f>COUNTIF('Metrics - Articles'!H438,"*NA*")</f>
        <v>0</v>
      </c>
      <c r="F441">
        <f>COUNTIF('Metrics - Articles'!H438,"*APJ")</f>
        <v>0</v>
      </c>
      <c r="G441">
        <f>COUNTIF('Metrics - Articles'!H438,"*LATAM*")</f>
        <v>0</v>
      </c>
      <c r="H441">
        <f>COUNTIF('Metrics - Articles'!H438,"*China*")</f>
        <v>0</v>
      </c>
      <c r="J441" s="53">
        <f t="shared" si="7"/>
        <v>0</v>
      </c>
    </row>
    <row r="442" spans="2:10" hidden="1" x14ac:dyDescent="0.25">
      <c r="B442" s="48">
        <f>+'Metrics - Articles'!C439</f>
        <v>0</v>
      </c>
      <c r="C442">
        <f>COUNTIF('Metrics - Articles'!H439,"*Global*")</f>
        <v>0</v>
      </c>
      <c r="D442">
        <f>COUNTIF('Metrics - Articles'!H439,"*EMEA*")</f>
        <v>0</v>
      </c>
      <c r="E442">
        <f>COUNTIF('Metrics - Articles'!H439,"*NA*")</f>
        <v>0</v>
      </c>
      <c r="F442">
        <f>COUNTIF('Metrics - Articles'!H439,"*APJ")</f>
        <v>0</v>
      </c>
      <c r="G442">
        <f>COUNTIF('Metrics - Articles'!H439,"*LATAM*")</f>
        <v>0</v>
      </c>
      <c r="H442">
        <f>COUNTIF('Metrics - Articles'!H439,"*China*")</f>
        <v>0</v>
      </c>
      <c r="J442" s="53">
        <f t="shared" si="7"/>
        <v>0</v>
      </c>
    </row>
    <row r="443" spans="2:10" hidden="1" x14ac:dyDescent="0.25">
      <c r="B443" s="48">
        <f>+'Metrics - Articles'!C440</f>
        <v>0</v>
      </c>
      <c r="C443">
        <f>COUNTIF('Metrics - Articles'!H440,"*Global*")</f>
        <v>0</v>
      </c>
      <c r="D443">
        <f>COUNTIF('Metrics - Articles'!H440,"*EMEA*")</f>
        <v>0</v>
      </c>
      <c r="E443">
        <f>COUNTIF('Metrics - Articles'!H440,"*NA*")</f>
        <v>0</v>
      </c>
      <c r="F443">
        <f>COUNTIF('Metrics - Articles'!H440,"*APJ")</f>
        <v>0</v>
      </c>
      <c r="G443">
        <f>COUNTIF('Metrics - Articles'!H440,"*LATAM*")</f>
        <v>0</v>
      </c>
      <c r="H443">
        <f>COUNTIF('Metrics - Articles'!H440,"*China*")</f>
        <v>0</v>
      </c>
      <c r="J443" s="53">
        <f t="shared" si="7"/>
        <v>0</v>
      </c>
    </row>
    <row r="444" spans="2:10" hidden="1" x14ac:dyDescent="0.25">
      <c r="B444" s="48">
        <f>+'Metrics - Articles'!C441</f>
        <v>0</v>
      </c>
      <c r="C444">
        <f>COUNTIF('Metrics - Articles'!H441,"*Global*")</f>
        <v>0</v>
      </c>
      <c r="D444">
        <f>COUNTIF('Metrics - Articles'!H441,"*EMEA*")</f>
        <v>0</v>
      </c>
      <c r="E444">
        <f>COUNTIF('Metrics - Articles'!H441,"*NA*")</f>
        <v>0</v>
      </c>
      <c r="F444">
        <f>COUNTIF('Metrics - Articles'!H441,"*APJ")</f>
        <v>0</v>
      </c>
      <c r="G444">
        <f>COUNTIF('Metrics - Articles'!H441,"*LATAM*")</f>
        <v>0</v>
      </c>
      <c r="H444">
        <f>COUNTIF('Metrics - Articles'!H441,"*China*")</f>
        <v>0</v>
      </c>
      <c r="J444" s="53">
        <f t="shared" si="7"/>
        <v>0</v>
      </c>
    </row>
    <row r="445" spans="2:10" hidden="1" x14ac:dyDescent="0.25">
      <c r="B445" s="48">
        <f>+'Metrics - Articles'!C442</f>
        <v>0</v>
      </c>
      <c r="C445">
        <f>COUNTIF('Metrics - Articles'!H442,"*Global*")</f>
        <v>0</v>
      </c>
      <c r="D445">
        <f>COUNTIF('Metrics - Articles'!H442,"*EMEA*")</f>
        <v>0</v>
      </c>
      <c r="E445">
        <f>COUNTIF('Metrics - Articles'!H442,"*NA*")</f>
        <v>0</v>
      </c>
      <c r="F445">
        <f>COUNTIF('Metrics - Articles'!H442,"*APJ")</f>
        <v>0</v>
      </c>
      <c r="G445">
        <f>COUNTIF('Metrics - Articles'!H442,"*LATAM*")</f>
        <v>0</v>
      </c>
      <c r="H445">
        <f>COUNTIF('Metrics - Articles'!H442,"*China*")</f>
        <v>0</v>
      </c>
      <c r="J445" s="53">
        <f t="shared" si="7"/>
        <v>0</v>
      </c>
    </row>
    <row r="446" spans="2:10" hidden="1" x14ac:dyDescent="0.25">
      <c r="B446" s="48">
        <f>+'Metrics - Articles'!C443</f>
        <v>0</v>
      </c>
      <c r="C446">
        <f>COUNTIF('Metrics - Articles'!H443,"*Global*")</f>
        <v>0</v>
      </c>
      <c r="D446">
        <f>COUNTIF('Metrics - Articles'!H443,"*EMEA*")</f>
        <v>0</v>
      </c>
      <c r="E446">
        <f>COUNTIF('Metrics - Articles'!H443,"*NA*")</f>
        <v>0</v>
      </c>
      <c r="F446">
        <f>COUNTIF('Metrics - Articles'!H443,"*APJ")</f>
        <v>0</v>
      </c>
      <c r="G446">
        <f>COUNTIF('Metrics - Articles'!H443,"*LATAM*")</f>
        <v>0</v>
      </c>
      <c r="H446">
        <f>COUNTIF('Metrics - Articles'!H443,"*China*")</f>
        <v>0</v>
      </c>
      <c r="J446" s="53">
        <f t="shared" si="7"/>
        <v>0</v>
      </c>
    </row>
    <row r="447" spans="2:10" hidden="1" x14ac:dyDescent="0.25">
      <c r="B447" s="48">
        <f>+'Metrics - Articles'!C444</f>
        <v>0</v>
      </c>
      <c r="C447">
        <f>COUNTIF('Metrics - Articles'!H444,"*Global*")</f>
        <v>0</v>
      </c>
      <c r="D447">
        <f>COUNTIF('Metrics - Articles'!H444,"*EMEA*")</f>
        <v>0</v>
      </c>
      <c r="E447">
        <f>COUNTIF('Metrics - Articles'!H444,"*NA*")</f>
        <v>0</v>
      </c>
      <c r="F447">
        <f>COUNTIF('Metrics - Articles'!H444,"*APJ")</f>
        <v>0</v>
      </c>
      <c r="G447">
        <f>COUNTIF('Metrics - Articles'!H444,"*LATAM*")</f>
        <v>0</v>
      </c>
      <c r="H447">
        <f>COUNTIF('Metrics - Articles'!H444,"*China*")</f>
        <v>0</v>
      </c>
      <c r="J447" s="53">
        <f t="shared" si="7"/>
        <v>0</v>
      </c>
    </row>
    <row r="448" spans="2:10" hidden="1" x14ac:dyDescent="0.25">
      <c r="B448" s="48">
        <f>+'Metrics - Articles'!C445</f>
        <v>0</v>
      </c>
      <c r="C448">
        <f>COUNTIF('Metrics - Articles'!H445,"*Global*")</f>
        <v>0</v>
      </c>
      <c r="D448">
        <f>COUNTIF('Metrics - Articles'!H445,"*EMEA*")</f>
        <v>0</v>
      </c>
      <c r="E448">
        <f>COUNTIF('Metrics - Articles'!H445,"*NA*")</f>
        <v>0</v>
      </c>
      <c r="F448">
        <f>COUNTIF('Metrics - Articles'!H445,"*APJ")</f>
        <v>0</v>
      </c>
      <c r="G448">
        <f>COUNTIF('Metrics - Articles'!H445,"*LATAM*")</f>
        <v>0</v>
      </c>
      <c r="H448">
        <f>COUNTIF('Metrics - Articles'!H445,"*China*")</f>
        <v>0</v>
      </c>
      <c r="J448" s="53">
        <f t="shared" si="7"/>
        <v>0</v>
      </c>
    </row>
    <row r="449" spans="2:10" hidden="1" x14ac:dyDescent="0.25">
      <c r="B449" s="48">
        <f>+'Metrics - Articles'!C446</f>
        <v>0</v>
      </c>
      <c r="C449">
        <f>COUNTIF('Metrics - Articles'!H446,"*Global*")</f>
        <v>0</v>
      </c>
      <c r="D449">
        <f>COUNTIF('Metrics - Articles'!H446,"*EMEA*")</f>
        <v>0</v>
      </c>
      <c r="E449">
        <f>COUNTIF('Metrics - Articles'!H446,"*NA*")</f>
        <v>0</v>
      </c>
      <c r="F449">
        <f>COUNTIF('Metrics - Articles'!H446,"*APJ")</f>
        <v>0</v>
      </c>
      <c r="G449">
        <f>COUNTIF('Metrics - Articles'!H446,"*LATAM*")</f>
        <v>0</v>
      </c>
      <c r="H449">
        <f>COUNTIF('Metrics - Articles'!H446,"*China*")</f>
        <v>0</v>
      </c>
      <c r="J449" s="53">
        <f t="shared" si="7"/>
        <v>0</v>
      </c>
    </row>
    <row r="450" spans="2:10" hidden="1" x14ac:dyDescent="0.25">
      <c r="B450" s="48">
        <f>+'Metrics - Articles'!C447</f>
        <v>0</v>
      </c>
      <c r="C450">
        <f>COUNTIF('Metrics - Articles'!H447,"*Global*")</f>
        <v>0</v>
      </c>
      <c r="D450">
        <f>COUNTIF('Metrics - Articles'!H447,"*EMEA*")</f>
        <v>0</v>
      </c>
      <c r="E450">
        <f>COUNTIF('Metrics - Articles'!H447,"*NA*")</f>
        <v>0</v>
      </c>
      <c r="F450">
        <f>COUNTIF('Metrics - Articles'!H447,"*APJ")</f>
        <v>0</v>
      </c>
      <c r="G450">
        <f>COUNTIF('Metrics - Articles'!H447,"*LATAM*")</f>
        <v>0</v>
      </c>
      <c r="H450">
        <f>COUNTIF('Metrics - Articles'!H447,"*China*")</f>
        <v>0</v>
      </c>
      <c r="J450" s="53">
        <f t="shared" si="7"/>
        <v>0</v>
      </c>
    </row>
    <row r="451" spans="2:10" hidden="1" x14ac:dyDescent="0.25">
      <c r="B451" s="48">
        <f>+'Metrics - Articles'!C448</f>
        <v>0</v>
      </c>
      <c r="C451">
        <f>COUNTIF('Metrics - Articles'!H448,"*Global*")</f>
        <v>0</v>
      </c>
      <c r="D451">
        <f>COUNTIF('Metrics - Articles'!H448,"*EMEA*")</f>
        <v>0</v>
      </c>
      <c r="E451">
        <f>COUNTIF('Metrics - Articles'!H448,"*NA*")</f>
        <v>0</v>
      </c>
      <c r="F451">
        <f>COUNTIF('Metrics - Articles'!H448,"*APJ")</f>
        <v>0</v>
      </c>
      <c r="G451">
        <f>COUNTIF('Metrics - Articles'!H448,"*LATAM*")</f>
        <v>0</v>
      </c>
      <c r="H451">
        <f>COUNTIF('Metrics - Articles'!H448,"*China*")</f>
        <v>0</v>
      </c>
      <c r="J451" s="53">
        <f t="shared" si="7"/>
        <v>0</v>
      </c>
    </row>
    <row r="452" spans="2:10" hidden="1" x14ac:dyDescent="0.25">
      <c r="B452" s="48">
        <f>+'Metrics - Articles'!C449</f>
        <v>0</v>
      </c>
      <c r="C452">
        <f>COUNTIF('Metrics - Articles'!H449,"*Global*")</f>
        <v>0</v>
      </c>
      <c r="D452">
        <f>COUNTIF('Metrics - Articles'!H449,"*EMEA*")</f>
        <v>0</v>
      </c>
      <c r="E452">
        <f>COUNTIF('Metrics - Articles'!H449,"*NA*")</f>
        <v>0</v>
      </c>
      <c r="F452">
        <f>COUNTIF('Metrics - Articles'!H449,"*APJ")</f>
        <v>0</v>
      </c>
      <c r="G452">
        <f>COUNTIF('Metrics - Articles'!H449,"*LATAM*")</f>
        <v>0</v>
      </c>
      <c r="H452">
        <f>COUNTIF('Metrics - Articles'!H449,"*China*")</f>
        <v>0</v>
      </c>
      <c r="J452" s="53">
        <f t="shared" si="7"/>
        <v>0</v>
      </c>
    </row>
    <row r="453" spans="2:10" hidden="1" x14ac:dyDescent="0.25">
      <c r="B453" s="48">
        <f>+'Metrics - Articles'!C450</f>
        <v>0</v>
      </c>
      <c r="C453">
        <f>COUNTIF('Metrics - Articles'!H450,"*Global*")</f>
        <v>0</v>
      </c>
      <c r="D453">
        <f>COUNTIF('Metrics - Articles'!H450,"*EMEA*")</f>
        <v>0</v>
      </c>
      <c r="E453">
        <f>COUNTIF('Metrics - Articles'!H450,"*NA*")</f>
        <v>0</v>
      </c>
      <c r="F453">
        <f>COUNTIF('Metrics - Articles'!H450,"*APJ")</f>
        <v>0</v>
      </c>
      <c r="G453">
        <f>COUNTIF('Metrics - Articles'!H450,"*LATAM*")</f>
        <v>0</v>
      </c>
      <c r="H453">
        <f>COUNTIF('Metrics - Articles'!H450,"*China*")</f>
        <v>0</v>
      </c>
      <c r="J453" s="53">
        <f t="shared" si="7"/>
        <v>0</v>
      </c>
    </row>
    <row r="454" spans="2:10" hidden="1" x14ac:dyDescent="0.25">
      <c r="B454" s="48">
        <f>+'Metrics - Articles'!C451</f>
        <v>0</v>
      </c>
      <c r="C454">
        <f>COUNTIF('Metrics - Articles'!H451,"*Global*")</f>
        <v>0</v>
      </c>
      <c r="D454">
        <f>COUNTIF('Metrics - Articles'!H451,"*EMEA*")</f>
        <v>0</v>
      </c>
      <c r="E454">
        <f>COUNTIF('Metrics - Articles'!H451,"*NA*")</f>
        <v>0</v>
      </c>
      <c r="F454">
        <f>COUNTIF('Metrics - Articles'!H451,"*APJ")</f>
        <v>0</v>
      </c>
      <c r="G454">
        <f>COUNTIF('Metrics - Articles'!H451,"*LATAM*")</f>
        <v>0</v>
      </c>
      <c r="H454">
        <f>COUNTIF('Metrics - Articles'!H451,"*China*")</f>
        <v>0</v>
      </c>
      <c r="J454" s="53">
        <f t="shared" si="7"/>
        <v>0</v>
      </c>
    </row>
    <row r="455" spans="2:10" hidden="1" x14ac:dyDescent="0.25">
      <c r="B455" s="48">
        <f>+'Metrics - Articles'!C452</f>
        <v>0</v>
      </c>
      <c r="C455">
        <f>COUNTIF('Metrics - Articles'!H452,"*Global*")</f>
        <v>0</v>
      </c>
      <c r="D455">
        <f>COUNTIF('Metrics - Articles'!H452,"*EMEA*")</f>
        <v>0</v>
      </c>
      <c r="E455">
        <f>COUNTIF('Metrics - Articles'!H452,"*NA*")</f>
        <v>0</v>
      </c>
      <c r="F455">
        <f>COUNTIF('Metrics - Articles'!H452,"*APJ")</f>
        <v>0</v>
      </c>
      <c r="G455">
        <f>COUNTIF('Metrics - Articles'!H452,"*LATAM*")</f>
        <v>0</v>
      </c>
      <c r="H455">
        <f>COUNTIF('Metrics - Articles'!H452,"*China*")</f>
        <v>0</v>
      </c>
      <c r="J455" s="53">
        <f t="shared" si="7"/>
        <v>0</v>
      </c>
    </row>
    <row r="456" spans="2:10" hidden="1" x14ac:dyDescent="0.25">
      <c r="B456" s="48">
        <f>+'Metrics - Articles'!C453</f>
        <v>0</v>
      </c>
      <c r="C456">
        <f>COUNTIF('Metrics - Articles'!H453,"*Global*")</f>
        <v>0</v>
      </c>
      <c r="D456">
        <f>COUNTIF('Metrics - Articles'!H453,"*EMEA*")</f>
        <v>0</v>
      </c>
      <c r="E456">
        <f>COUNTIF('Metrics - Articles'!H453,"*NA*")</f>
        <v>0</v>
      </c>
      <c r="F456">
        <f>COUNTIF('Metrics - Articles'!H453,"*APJ")</f>
        <v>0</v>
      </c>
      <c r="G456">
        <f>COUNTIF('Metrics - Articles'!H453,"*LATAM*")</f>
        <v>0</v>
      </c>
      <c r="H456">
        <f>COUNTIF('Metrics - Articles'!H453,"*China*")</f>
        <v>0</v>
      </c>
      <c r="J456" s="53">
        <f t="shared" si="7"/>
        <v>0</v>
      </c>
    </row>
    <row r="457" spans="2:10" hidden="1" x14ac:dyDescent="0.25">
      <c r="B457" s="48">
        <f>+'Metrics - Articles'!C454</f>
        <v>0</v>
      </c>
      <c r="C457">
        <f>COUNTIF('Metrics - Articles'!H454,"*Global*")</f>
        <v>0</v>
      </c>
      <c r="D457">
        <f>COUNTIF('Metrics - Articles'!H454,"*EMEA*")</f>
        <v>0</v>
      </c>
      <c r="E457">
        <f>COUNTIF('Metrics - Articles'!H454,"*NA*")</f>
        <v>0</v>
      </c>
      <c r="F457">
        <f>COUNTIF('Metrics - Articles'!H454,"*APJ")</f>
        <v>0</v>
      </c>
      <c r="G457">
        <f>COUNTIF('Metrics - Articles'!H454,"*LATAM*")</f>
        <v>0</v>
      </c>
      <c r="H457">
        <f>COUNTIF('Metrics - Articles'!H454,"*China*")</f>
        <v>0</v>
      </c>
      <c r="J457" s="53">
        <f t="shared" si="7"/>
        <v>0</v>
      </c>
    </row>
    <row r="458" spans="2:10" hidden="1" x14ac:dyDescent="0.25">
      <c r="B458" s="48">
        <f>+'Metrics - Articles'!C455</f>
        <v>0</v>
      </c>
      <c r="C458">
        <f>COUNTIF('Metrics - Articles'!H455,"*Global*")</f>
        <v>0</v>
      </c>
      <c r="D458">
        <f>COUNTIF('Metrics - Articles'!H455,"*EMEA*")</f>
        <v>0</v>
      </c>
      <c r="E458">
        <f>COUNTIF('Metrics - Articles'!H455,"*NA*")</f>
        <v>0</v>
      </c>
      <c r="F458">
        <f>COUNTIF('Metrics - Articles'!H455,"*APJ")</f>
        <v>0</v>
      </c>
      <c r="G458">
        <f>COUNTIF('Metrics - Articles'!H455,"*LATAM*")</f>
        <v>0</v>
      </c>
      <c r="H458">
        <f>COUNTIF('Metrics - Articles'!H455,"*China*")</f>
        <v>0</v>
      </c>
      <c r="J458" s="53">
        <f t="shared" ref="J458:J521" si="8">SUM(C458:I458)</f>
        <v>0</v>
      </c>
    </row>
    <row r="459" spans="2:10" hidden="1" x14ac:dyDescent="0.25">
      <c r="B459" s="48">
        <f>+'Metrics - Articles'!C456</f>
        <v>0</v>
      </c>
      <c r="C459">
        <f>COUNTIF('Metrics - Articles'!H456,"*Global*")</f>
        <v>0</v>
      </c>
      <c r="D459">
        <f>COUNTIF('Metrics - Articles'!H456,"*EMEA*")</f>
        <v>0</v>
      </c>
      <c r="E459">
        <f>COUNTIF('Metrics - Articles'!H456,"*NA*")</f>
        <v>0</v>
      </c>
      <c r="F459">
        <f>COUNTIF('Metrics - Articles'!H456,"*APJ")</f>
        <v>0</v>
      </c>
      <c r="G459">
        <f>COUNTIF('Metrics - Articles'!H456,"*LATAM*")</f>
        <v>0</v>
      </c>
      <c r="H459">
        <f>COUNTIF('Metrics - Articles'!H456,"*China*")</f>
        <v>0</v>
      </c>
      <c r="J459" s="53">
        <f t="shared" si="8"/>
        <v>0</v>
      </c>
    </row>
    <row r="460" spans="2:10" hidden="1" x14ac:dyDescent="0.25">
      <c r="B460" s="48">
        <f>+'Metrics - Articles'!C457</f>
        <v>0</v>
      </c>
      <c r="C460">
        <f>COUNTIF('Metrics - Articles'!H457,"*Global*")</f>
        <v>0</v>
      </c>
      <c r="D460">
        <f>COUNTIF('Metrics - Articles'!H457,"*EMEA*")</f>
        <v>0</v>
      </c>
      <c r="E460">
        <f>COUNTIF('Metrics - Articles'!H457,"*NA*")</f>
        <v>0</v>
      </c>
      <c r="F460">
        <f>COUNTIF('Metrics - Articles'!H457,"*APJ")</f>
        <v>0</v>
      </c>
      <c r="G460">
        <f>COUNTIF('Metrics - Articles'!H457,"*LATAM*")</f>
        <v>0</v>
      </c>
      <c r="H460">
        <f>COUNTIF('Metrics - Articles'!H457,"*China*")</f>
        <v>0</v>
      </c>
      <c r="J460" s="53">
        <f t="shared" si="8"/>
        <v>0</v>
      </c>
    </row>
    <row r="461" spans="2:10" hidden="1" x14ac:dyDescent="0.25">
      <c r="B461" s="48">
        <f>+'Metrics - Articles'!C458</f>
        <v>0</v>
      </c>
      <c r="C461">
        <f>COUNTIF('Metrics - Articles'!H458,"*Global*")</f>
        <v>0</v>
      </c>
      <c r="D461">
        <f>COUNTIF('Metrics - Articles'!H458,"*EMEA*")</f>
        <v>0</v>
      </c>
      <c r="E461">
        <f>COUNTIF('Metrics - Articles'!H458,"*NA*")</f>
        <v>0</v>
      </c>
      <c r="F461">
        <f>COUNTIF('Metrics - Articles'!H458,"*APJ")</f>
        <v>0</v>
      </c>
      <c r="G461">
        <f>COUNTIF('Metrics - Articles'!H458,"*LATAM*")</f>
        <v>0</v>
      </c>
      <c r="H461">
        <f>COUNTIF('Metrics - Articles'!H458,"*China*")</f>
        <v>0</v>
      </c>
      <c r="J461" s="53">
        <f t="shared" si="8"/>
        <v>0</v>
      </c>
    </row>
    <row r="462" spans="2:10" hidden="1" x14ac:dyDescent="0.25">
      <c r="B462" s="48">
        <f>+'Metrics - Articles'!C459</f>
        <v>0</v>
      </c>
      <c r="C462">
        <f>COUNTIF('Metrics - Articles'!H459,"*Global*")</f>
        <v>0</v>
      </c>
      <c r="D462">
        <f>COUNTIF('Metrics - Articles'!H459,"*EMEA*")</f>
        <v>0</v>
      </c>
      <c r="E462">
        <f>COUNTIF('Metrics - Articles'!H459,"*NA*")</f>
        <v>0</v>
      </c>
      <c r="F462">
        <f>COUNTIF('Metrics - Articles'!H459,"*APJ")</f>
        <v>0</v>
      </c>
      <c r="G462">
        <f>COUNTIF('Metrics - Articles'!H459,"*LATAM*")</f>
        <v>0</v>
      </c>
      <c r="H462">
        <f>COUNTIF('Metrics - Articles'!H459,"*China*")</f>
        <v>0</v>
      </c>
      <c r="J462" s="53">
        <f t="shared" si="8"/>
        <v>0</v>
      </c>
    </row>
    <row r="463" spans="2:10" hidden="1" x14ac:dyDescent="0.25">
      <c r="B463" s="48">
        <f>+'Metrics - Articles'!C460</f>
        <v>0</v>
      </c>
      <c r="C463">
        <f>COUNTIF('Metrics - Articles'!H460,"*Global*")</f>
        <v>0</v>
      </c>
      <c r="D463">
        <f>COUNTIF('Metrics - Articles'!H460,"*EMEA*")</f>
        <v>0</v>
      </c>
      <c r="E463">
        <f>COUNTIF('Metrics - Articles'!H460,"*NA*")</f>
        <v>0</v>
      </c>
      <c r="F463">
        <f>COUNTIF('Metrics - Articles'!H460,"*APJ")</f>
        <v>0</v>
      </c>
      <c r="G463">
        <f>COUNTIF('Metrics - Articles'!H460,"*LATAM*")</f>
        <v>0</v>
      </c>
      <c r="H463">
        <f>COUNTIF('Metrics - Articles'!H460,"*China*")</f>
        <v>0</v>
      </c>
      <c r="J463" s="53">
        <f t="shared" si="8"/>
        <v>0</v>
      </c>
    </row>
    <row r="464" spans="2:10" hidden="1" x14ac:dyDescent="0.25">
      <c r="B464" s="48">
        <f>+'Metrics - Articles'!C461</f>
        <v>0</v>
      </c>
      <c r="C464">
        <f>COUNTIF('Metrics - Articles'!H461,"*Global*")</f>
        <v>0</v>
      </c>
      <c r="D464">
        <f>COUNTIF('Metrics - Articles'!H461,"*EMEA*")</f>
        <v>0</v>
      </c>
      <c r="E464">
        <f>COUNTIF('Metrics - Articles'!H461,"*NA*")</f>
        <v>0</v>
      </c>
      <c r="F464">
        <f>COUNTIF('Metrics - Articles'!H461,"*APJ")</f>
        <v>0</v>
      </c>
      <c r="G464">
        <f>COUNTIF('Metrics - Articles'!H461,"*LATAM*")</f>
        <v>0</v>
      </c>
      <c r="H464">
        <f>COUNTIF('Metrics - Articles'!H461,"*China*")</f>
        <v>0</v>
      </c>
      <c r="J464" s="53">
        <f t="shared" si="8"/>
        <v>0</v>
      </c>
    </row>
    <row r="465" spans="2:10" hidden="1" x14ac:dyDescent="0.25">
      <c r="B465" s="48">
        <f>+'Metrics - Articles'!C462</f>
        <v>0</v>
      </c>
      <c r="C465">
        <f>COUNTIF('Metrics - Articles'!H462,"*Global*")</f>
        <v>0</v>
      </c>
      <c r="D465">
        <f>COUNTIF('Metrics - Articles'!H462,"*EMEA*")</f>
        <v>0</v>
      </c>
      <c r="E465">
        <f>COUNTIF('Metrics - Articles'!H462,"*NA*")</f>
        <v>0</v>
      </c>
      <c r="F465">
        <f>COUNTIF('Metrics - Articles'!H462,"*APJ")</f>
        <v>0</v>
      </c>
      <c r="G465">
        <f>COUNTIF('Metrics - Articles'!H462,"*LATAM*")</f>
        <v>0</v>
      </c>
      <c r="H465">
        <f>COUNTIF('Metrics - Articles'!H462,"*China*")</f>
        <v>0</v>
      </c>
      <c r="J465" s="53">
        <f t="shared" si="8"/>
        <v>0</v>
      </c>
    </row>
    <row r="466" spans="2:10" hidden="1" x14ac:dyDescent="0.25">
      <c r="B466" s="48">
        <f>+'Metrics - Articles'!C463</f>
        <v>0</v>
      </c>
      <c r="C466">
        <f>COUNTIF('Metrics - Articles'!H463,"*Global*")</f>
        <v>0</v>
      </c>
      <c r="D466">
        <f>COUNTIF('Metrics - Articles'!H463,"*EMEA*")</f>
        <v>0</v>
      </c>
      <c r="E466">
        <f>COUNTIF('Metrics - Articles'!H463,"*NA*")</f>
        <v>0</v>
      </c>
      <c r="F466">
        <f>COUNTIF('Metrics - Articles'!H463,"*APJ")</f>
        <v>0</v>
      </c>
      <c r="G466">
        <f>COUNTIF('Metrics - Articles'!H463,"*LATAM*")</f>
        <v>0</v>
      </c>
      <c r="H466">
        <f>COUNTIF('Metrics - Articles'!H463,"*China*")</f>
        <v>0</v>
      </c>
      <c r="J466" s="53">
        <f t="shared" si="8"/>
        <v>0</v>
      </c>
    </row>
    <row r="467" spans="2:10" hidden="1" x14ac:dyDescent="0.25">
      <c r="B467" s="48">
        <f>+'Metrics - Articles'!C464</f>
        <v>0</v>
      </c>
      <c r="C467">
        <f>COUNTIF('Metrics - Articles'!H464,"*Global*")</f>
        <v>0</v>
      </c>
      <c r="D467">
        <f>COUNTIF('Metrics - Articles'!H464,"*EMEA*")</f>
        <v>0</v>
      </c>
      <c r="E467">
        <f>COUNTIF('Metrics - Articles'!H464,"*NA*")</f>
        <v>0</v>
      </c>
      <c r="F467">
        <f>COUNTIF('Metrics - Articles'!H464,"*APJ")</f>
        <v>0</v>
      </c>
      <c r="G467">
        <f>COUNTIF('Metrics - Articles'!H464,"*LATAM*")</f>
        <v>0</v>
      </c>
      <c r="H467">
        <f>COUNTIF('Metrics - Articles'!H464,"*China*")</f>
        <v>0</v>
      </c>
      <c r="J467" s="53">
        <f t="shared" si="8"/>
        <v>0</v>
      </c>
    </row>
    <row r="468" spans="2:10" hidden="1" x14ac:dyDescent="0.25">
      <c r="B468" s="48">
        <f>+'Metrics - Articles'!C465</f>
        <v>0</v>
      </c>
      <c r="C468">
        <f>COUNTIF('Metrics - Articles'!H465,"*Global*")</f>
        <v>0</v>
      </c>
      <c r="D468">
        <f>COUNTIF('Metrics - Articles'!H465,"*EMEA*")</f>
        <v>0</v>
      </c>
      <c r="E468">
        <f>COUNTIF('Metrics - Articles'!H465,"*NA*")</f>
        <v>0</v>
      </c>
      <c r="F468">
        <f>COUNTIF('Metrics - Articles'!H465,"*APJ")</f>
        <v>0</v>
      </c>
      <c r="G468">
        <f>COUNTIF('Metrics - Articles'!H465,"*LATAM*")</f>
        <v>0</v>
      </c>
      <c r="H468">
        <f>COUNTIF('Metrics - Articles'!H465,"*China*")</f>
        <v>0</v>
      </c>
      <c r="J468" s="53">
        <f t="shared" si="8"/>
        <v>0</v>
      </c>
    </row>
    <row r="469" spans="2:10" hidden="1" x14ac:dyDescent="0.25">
      <c r="B469" s="48">
        <f>+'Metrics - Articles'!C466</f>
        <v>0</v>
      </c>
      <c r="C469">
        <f>COUNTIF('Metrics - Articles'!H466,"*Global*")</f>
        <v>0</v>
      </c>
      <c r="D469">
        <f>COUNTIF('Metrics - Articles'!H466,"*EMEA*")</f>
        <v>0</v>
      </c>
      <c r="E469">
        <f>COUNTIF('Metrics - Articles'!H466,"*NA*")</f>
        <v>0</v>
      </c>
      <c r="F469">
        <f>COUNTIF('Metrics - Articles'!H466,"*APJ")</f>
        <v>0</v>
      </c>
      <c r="G469">
        <f>COUNTIF('Metrics - Articles'!H466,"*LATAM*")</f>
        <v>0</v>
      </c>
      <c r="H469">
        <f>COUNTIF('Metrics - Articles'!H466,"*China*")</f>
        <v>0</v>
      </c>
      <c r="J469" s="53">
        <f t="shared" si="8"/>
        <v>0</v>
      </c>
    </row>
    <row r="470" spans="2:10" hidden="1" x14ac:dyDescent="0.25">
      <c r="B470" s="48">
        <f>+'Metrics - Articles'!C467</f>
        <v>0</v>
      </c>
      <c r="C470">
        <f>COUNTIF('Metrics - Articles'!H467,"*Global*")</f>
        <v>0</v>
      </c>
      <c r="D470">
        <f>COUNTIF('Metrics - Articles'!H467,"*EMEA*")</f>
        <v>0</v>
      </c>
      <c r="E470">
        <f>COUNTIF('Metrics - Articles'!H467,"*NA*")</f>
        <v>0</v>
      </c>
      <c r="F470">
        <f>COUNTIF('Metrics - Articles'!H467,"*APJ")</f>
        <v>0</v>
      </c>
      <c r="G470">
        <f>COUNTIF('Metrics - Articles'!H467,"*LATAM*")</f>
        <v>0</v>
      </c>
      <c r="H470">
        <f>COUNTIF('Metrics - Articles'!H467,"*China*")</f>
        <v>0</v>
      </c>
      <c r="J470" s="53">
        <f t="shared" si="8"/>
        <v>0</v>
      </c>
    </row>
    <row r="471" spans="2:10" hidden="1" x14ac:dyDescent="0.25">
      <c r="B471" s="48">
        <f>+'Metrics - Articles'!C468</f>
        <v>0</v>
      </c>
      <c r="C471">
        <f>COUNTIF('Metrics - Articles'!H468,"*Global*")</f>
        <v>0</v>
      </c>
      <c r="D471">
        <f>COUNTIF('Metrics - Articles'!H468,"*EMEA*")</f>
        <v>0</v>
      </c>
      <c r="E471">
        <f>COUNTIF('Metrics - Articles'!H468,"*NA*")</f>
        <v>0</v>
      </c>
      <c r="F471">
        <f>COUNTIF('Metrics - Articles'!H468,"*APJ")</f>
        <v>0</v>
      </c>
      <c r="G471">
        <f>COUNTIF('Metrics - Articles'!H468,"*LATAM*")</f>
        <v>0</v>
      </c>
      <c r="H471">
        <f>COUNTIF('Metrics - Articles'!H468,"*China*")</f>
        <v>0</v>
      </c>
      <c r="J471" s="53">
        <f t="shared" si="8"/>
        <v>0</v>
      </c>
    </row>
    <row r="472" spans="2:10" hidden="1" x14ac:dyDescent="0.25">
      <c r="B472" s="48">
        <f>+'Metrics - Articles'!C469</f>
        <v>0</v>
      </c>
      <c r="C472">
        <f>COUNTIF('Metrics - Articles'!H469,"*Global*")</f>
        <v>0</v>
      </c>
      <c r="D472">
        <f>COUNTIF('Metrics - Articles'!H469,"*EMEA*")</f>
        <v>0</v>
      </c>
      <c r="E472">
        <f>COUNTIF('Metrics - Articles'!H469,"*NA*")</f>
        <v>0</v>
      </c>
      <c r="F472">
        <f>COUNTIF('Metrics - Articles'!H469,"*APJ")</f>
        <v>0</v>
      </c>
      <c r="G472">
        <f>COUNTIF('Metrics - Articles'!H469,"*LATAM*")</f>
        <v>0</v>
      </c>
      <c r="H472">
        <f>COUNTIF('Metrics - Articles'!H469,"*China*")</f>
        <v>0</v>
      </c>
      <c r="J472" s="53">
        <f t="shared" si="8"/>
        <v>0</v>
      </c>
    </row>
    <row r="473" spans="2:10" hidden="1" x14ac:dyDescent="0.25">
      <c r="B473" s="48">
        <f>+'Metrics - Articles'!C470</f>
        <v>0</v>
      </c>
      <c r="C473">
        <f>COUNTIF('Metrics - Articles'!H470,"*Global*")</f>
        <v>0</v>
      </c>
      <c r="D473">
        <f>COUNTIF('Metrics - Articles'!H470,"*EMEA*")</f>
        <v>0</v>
      </c>
      <c r="E473">
        <f>COUNTIF('Metrics - Articles'!H470,"*NA*")</f>
        <v>0</v>
      </c>
      <c r="F473">
        <f>COUNTIF('Metrics - Articles'!H470,"*APJ")</f>
        <v>0</v>
      </c>
      <c r="G473">
        <f>COUNTIF('Metrics - Articles'!H470,"*LATAM*")</f>
        <v>0</v>
      </c>
      <c r="H473">
        <f>COUNTIF('Metrics - Articles'!H470,"*China*")</f>
        <v>0</v>
      </c>
      <c r="J473" s="53">
        <f t="shared" si="8"/>
        <v>0</v>
      </c>
    </row>
    <row r="474" spans="2:10" hidden="1" x14ac:dyDescent="0.25">
      <c r="B474" s="48">
        <f>+'Metrics - Articles'!C471</f>
        <v>0</v>
      </c>
      <c r="C474">
        <f>COUNTIF('Metrics - Articles'!H471,"*Global*")</f>
        <v>0</v>
      </c>
      <c r="D474">
        <f>COUNTIF('Metrics - Articles'!H471,"*EMEA*")</f>
        <v>0</v>
      </c>
      <c r="E474">
        <f>COUNTIF('Metrics - Articles'!H471,"*NA*")</f>
        <v>0</v>
      </c>
      <c r="F474">
        <f>COUNTIF('Metrics - Articles'!H471,"*APJ")</f>
        <v>0</v>
      </c>
      <c r="G474">
        <f>COUNTIF('Metrics - Articles'!H471,"*LATAM*")</f>
        <v>0</v>
      </c>
      <c r="H474">
        <f>COUNTIF('Metrics - Articles'!H471,"*China*")</f>
        <v>0</v>
      </c>
      <c r="J474" s="53">
        <f t="shared" si="8"/>
        <v>0</v>
      </c>
    </row>
    <row r="475" spans="2:10" hidden="1" x14ac:dyDescent="0.25">
      <c r="B475" s="48">
        <f>+'Metrics - Articles'!C472</f>
        <v>0</v>
      </c>
      <c r="C475">
        <f>COUNTIF('Metrics - Articles'!H472,"*Global*")</f>
        <v>0</v>
      </c>
      <c r="D475">
        <f>COUNTIF('Metrics - Articles'!H472,"*EMEA*")</f>
        <v>0</v>
      </c>
      <c r="E475">
        <f>COUNTIF('Metrics - Articles'!H472,"*NA*")</f>
        <v>0</v>
      </c>
      <c r="F475">
        <f>COUNTIF('Metrics - Articles'!H472,"*APJ")</f>
        <v>0</v>
      </c>
      <c r="G475">
        <f>COUNTIF('Metrics - Articles'!H472,"*LATAM*")</f>
        <v>0</v>
      </c>
      <c r="H475">
        <f>COUNTIF('Metrics - Articles'!H472,"*China*")</f>
        <v>0</v>
      </c>
      <c r="J475" s="53">
        <f t="shared" si="8"/>
        <v>0</v>
      </c>
    </row>
    <row r="476" spans="2:10" hidden="1" x14ac:dyDescent="0.25">
      <c r="B476" s="48">
        <f>+'Metrics - Articles'!C473</f>
        <v>0</v>
      </c>
      <c r="C476">
        <f>COUNTIF('Metrics - Articles'!H473,"*Global*")</f>
        <v>0</v>
      </c>
      <c r="D476">
        <f>COUNTIF('Metrics - Articles'!H473,"*EMEA*")</f>
        <v>0</v>
      </c>
      <c r="E476">
        <f>COUNTIF('Metrics - Articles'!H473,"*NA*")</f>
        <v>0</v>
      </c>
      <c r="F476">
        <f>COUNTIF('Metrics - Articles'!H473,"*APJ")</f>
        <v>0</v>
      </c>
      <c r="G476">
        <f>COUNTIF('Metrics - Articles'!H473,"*LATAM*")</f>
        <v>0</v>
      </c>
      <c r="H476">
        <f>COUNTIF('Metrics - Articles'!H473,"*China*")</f>
        <v>0</v>
      </c>
      <c r="J476" s="53">
        <f t="shared" si="8"/>
        <v>0</v>
      </c>
    </row>
    <row r="477" spans="2:10" hidden="1" x14ac:dyDescent="0.25">
      <c r="B477" s="48">
        <f>+'Metrics - Articles'!C474</f>
        <v>0</v>
      </c>
      <c r="C477">
        <f>COUNTIF('Metrics - Articles'!H474,"*Global*")</f>
        <v>0</v>
      </c>
      <c r="D477">
        <f>COUNTIF('Metrics - Articles'!H474,"*EMEA*")</f>
        <v>0</v>
      </c>
      <c r="E477">
        <f>COUNTIF('Metrics - Articles'!H474,"*NA*")</f>
        <v>0</v>
      </c>
      <c r="F477">
        <f>COUNTIF('Metrics - Articles'!H474,"*APJ")</f>
        <v>0</v>
      </c>
      <c r="G477">
        <f>COUNTIF('Metrics - Articles'!H474,"*LATAM*")</f>
        <v>0</v>
      </c>
      <c r="H477">
        <f>COUNTIF('Metrics - Articles'!H474,"*China*")</f>
        <v>0</v>
      </c>
      <c r="J477" s="53">
        <f t="shared" si="8"/>
        <v>0</v>
      </c>
    </row>
    <row r="478" spans="2:10" hidden="1" x14ac:dyDescent="0.25">
      <c r="B478" s="48">
        <f>+'Metrics - Articles'!C475</f>
        <v>0</v>
      </c>
      <c r="C478">
        <f>COUNTIF('Metrics - Articles'!H475,"*Global*")</f>
        <v>0</v>
      </c>
      <c r="D478">
        <f>COUNTIF('Metrics - Articles'!H475,"*EMEA*")</f>
        <v>0</v>
      </c>
      <c r="E478">
        <f>COUNTIF('Metrics - Articles'!H475,"*NA*")</f>
        <v>0</v>
      </c>
      <c r="F478">
        <f>COUNTIF('Metrics - Articles'!H475,"*APJ")</f>
        <v>0</v>
      </c>
      <c r="G478">
        <f>COUNTIF('Metrics - Articles'!H475,"*LATAM*")</f>
        <v>0</v>
      </c>
      <c r="H478">
        <f>COUNTIF('Metrics - Articles'!H475,"*China*")</f>
        <v>0</v>
      </c>
      <c r="J478" s="53">
        <f t="shared" si="8"/>
        <v>0</v>
      </c>
    </row>
    <row r="479" spans="2:10" hidden="1" x14ac:dyDescent="0.25">
      <c r="B479" s="48">
        <f>+'Metrics - Articles'!C476</f>
        <v>0</v>
      </c>
      <c r="C479">
        <f>COUNTIF('Metrics - Articles'!H476,"*Global*")</f>
        <v>0</v>
      </c>
      <c r="D479">
        <f>COUNTIF('Metrics - Articles'!H476,"*EMEA*")</f>
        <v>0</v>
      </c>
      <c r="E479">
        <f>COUNTIF('Metrics - Articles'!H476,"*NA*")</f>
        <v>0</v>
      </c>
      <c r="F479">
        <f>COUNTIF('Metrics - Articles'!H476,"*APJ")</f>
        <v>0</v>
      </c>
      <c r="G479">
        <f>COUNTIF('Metrics - Articles'!H476,"*LATAM*")</f>
        <v>0</v>
      </c>
      <c r="H479">
        <f>COUNTIF('Metrics - Articles'!H476,"*China*")</f>
        <v>0</v>
      </c>
      <c r="J479" s="53">
        <f t="shared" si="8"/>
        <v>0</v>
      </c>
    </row>
    <row r="480" spans="2:10" hidden="1" x14ac:dyDescent="0.25">
      <c r="B480" s="48">
        <f>+'Metrics - Articles'!C477</f>
        <v>0</v>
      </c>
      <c r="C480">
        <f>COUNTIF('Metrics - Articles'!H477,"*Global*")</f>
        <v>0</v>
      </c>
      <c r="D480">
        <f>COUNTIF('Metrics - Articles'!H477,"*EMEA*")</f>
        <v>0</v>
      </c>
      <c r="E480">
        <f>COUNTIF('Metrics - Articles'!H477,"*NA*")</f>
        <v>0</v>
      </c>
      <c r="F480">
        <f>COUNTIF('Metrics - Articles'!H477,"*APJ")</f>
        <v>0</v>
      </c>
      <c r="G480">
        <f>COUNTIF('Metrics - Articles'!H477,"*LATAM*")</f>
        <v>0</v>
      </c>
      <c r="H480">
        <f>COUNTIF('Metrics - Articles'!H477,"*China*")</f>
        <v>0</v>
      </c>
      <c r="J480" s="53">
        <f t="shared" si="8"/>
        <v>0</v>
      </c>
    </row>
    <row r="481" spans="2:10" hidden="1" x14ac:dyDescent="0.25">
      <c r="B481" s="48">
        <f>+'Metrics - Articles'!C478</f>
        <v>0</v>
      </c>
      <c r="C481">
        <f>COUNTIF('Metrics - Articles'!H478,"*Global*")</f>
        <v>0</v>
      </c>
      <c r="D481">
        <f>COUNTIF('Metrics - Articles'!H478,"*EMEA*")</f>
        <v>0</v>
      </c>
      <c r="E481">
        <f>COUNTIF('Metrics - Articles'!H478,"*NA*")</f>
        <v>0</v>
      </c>
      <c r="F481">
        <f>COUNTIF('Metrics - Articles'!H478,"*APJ")</f>
        <v>0</v>
      </c>
      <c r="G481">
        <f>COUNTIF('Metrics - Articles'!H478,"*LATAM*")</f>
        <v>0</v>
      </c>
      <c r="H481">
        <f>COUNTIF('Metrics - Articles'!H478,"*China*")</f>
        <v>0</v>
      </c>
      <c r="J481" s="53">
        <f t="shared" si="8"/>
        <v>0</v>
      </c>
    </row>
    <row r="482" spans="2:10" hidden="1" x14ac:dyDescent="0.25">
      <c r="B482" s="48">
        <f>+'Metrics - Articles'!C479</f>
        <v>0</v>
      </c>
      <c r="C482">
        <f>COUNTIF('Metrics - Articles'!H479,"*Global*")</f>
        <v>0</v>
      </c>
      <c r="D482">
        <f>COUNTIF('Metrics - Articles'!H479,"*EMEA*")</f>
        <v>0</v>
      </c>
      <c r="E482">
        <f>COUNTIF('Metrics - Articles'!H479,"*NA*")</f>
        <v>0</v>
      </c>
      <c r="F482">
        <f>COUNTIF('Metrics - Articles'!H479,"*APJ")</f>
        <v>0</v>
      </c>
      <c r="G482">
        <f>COUNTIF('Metrics - Articles'!H479,"*LATAM*")</f>
        <v>0</v>
      </c>
      <c r="H482">
        <f>COUNTIF('Metrics - Articles'!H479,"*China*")</f>
        <v>0</v>
      </c>
      <c r="J482" s="53">
        <f t="shared" si="8"/>
        <v>0</v>
      </c>
    </row>
    <row r="483" spans="2:10" hidden="1" x14ac:dyDescent="0.25">
      <c r="B483" s="48">
        <f>+'Metrics - Articles'!C480</f>
        <v>0</v>
      </c>
      <c r="C483">
        <f>COUNTIF('Metrics - Articles'!H480,"*Global*")</f>
        <v>0</v>
      </c>
      <c r="D483">
        <f>COUNTIF('Metrics - Articles'!H480,"*EMEA*")</f>
        <v>0</v>
      </c>
      <c r="E483">
        <f>COUNTIF('Metrics - Articles'!H480,"*NA*")</f>
        <v>0</v>
      </c>
      <c r="F483">
        <f>COUNTIF('Metrics - Articles'!H480,"*APJ")</f>
        <v>0</v>
      </c>
      <c r="G483">
        <f>COUNTIF('Metrics - Articles'!H480,"*LATAM*")</f>
        <v>0</v>
      </c>
      <c r="H483">
        <f>COUNTIF('Metrics - Articles'!H480,"*China*")</f>
        <v>0</v>
      </c>
      <c r="J483" s="53">
        <f t="shared" si="8"/>
        <v>0</v>
      </c>
    </row>
    <row r="484" spans="2:10" hidden="1" x14ac:dyDescent="0.25">
      <c r="B484" s="48">
        <f>+'Metrics - Articles'!C481</f>
        <v>0</v>
      </c>
      <c r="C484">
        <f>COUNTIF('Metrics - Articles'!H481,"*Global*")</f>
        <v>0</v>
      </c>
      <c r="D484">
        <f>COUNTIF('Metrics - Articles'!H481,"*EMEA*")</f>
        <v>0</v>
      </c>
      <c r="E484">
        <f>COUNTIF('Metrics - Articles'!H481,"*NA*")</f>
        <v>0</v>
      </c>
      <c r="F484">
        <f>COUNTIF('Metrics - Articles'!H481,"*APJ")</f>
        <v>0</v>
      </c>
      <c r="G484">
        <f>COUNTIF('Metrics - Articles'!H481,"*LATAM*")</f>
        <v>0</v>
      </c>
      <c r="H484">
        <f>COUNTIF('Metrics - Articles'!H481,"*China*")</f>
        <v>0</v>
      </c>
      <c r="J484" s="53">
        <f t="shared" si="8"/>
        <v>0</v>
      </c>
    </row>
    <row r="485" spans="2:10" hidden="1" x14ac:dyDescent="0.25">
      <c r="B485" s="48">
        <f>+'Metrics - Articles'!C482</f>
        <v>0</v>
      </c>
      <c r="C485">
        <f>COUNTIF('Metrics - Articles'!H482,"*Global*")</f>
        <v>0</v>
      </c>
      <c r="D485">
        <f>COUNTIF('Metrics - Articles'!H482,"*EMEA*")</f>
        <v>0</v>
      </c>
      <c r="E485">
        <f>COUNTIF('Metrics - Articles'!H482,"*NA*")</f>
        <v>0</v>
      </c>
      <c r="F485">
        <f>COUNTIF('Metrics - Articles'!H482,"*APJ")</f>
        <v>0</v>
      </c>
      <c r="G485">
        <f>COUNTIF('Metrics - Articles'!H482,"*LATAM*")</f>
        <v>0</v>
      </c>
      <c r="H485">
        <f>COUNTIF('Metrics - Articles'!H482,"*China*")</f>
        <v>0</v>
      </c>
      <c r="J485" s="53">
        <f t="shared" si="8"/>
        <v>0</v>
      </c>
    </row>
    <row r="486" spans="2:10" hidden="1" x14ac:dyDescent="0.25">
      <c r="B486" s="48">
        <f>+'Metrics - Articles'!C483</f>
        <v>0</v>
      </c>
      <c r="C486">
        <f>COUNTIF('Metrics - Articles'!H483,"*Global*")</f>
        <v>0</v>
      </c>
      <c r="D486">
        <f>COUNTIF('Metrics - Articles'!H483,"*EMEA*")</f>
        <v>0</v>
      </c>
      <c r="E486">
        <f>COUNTIF('Metrics - Articles'!H483,"*NA*")</f>
        <v>0</v>
      </c>
      <c r="F486">
        <f>COUNTIF('Metrics - Articles'!H483,"*APJ")</f>
        <v>0</v>
      </c>
      <c r="G486">
        <f>COUNTIF('Metrics - Articles'!H483,"*LATAM*")</f>
        <v>0</v>
      </c>
      <c r="H486">
        <f>COUNTIF('Metrics - Articles'!H483,"*China*")</f>
        <v>0</v>
      </c>
      <c r="J486" s="53">
        <f t="shared" si="8"/>
        <v>0</v>
      </c>
    </row>
    <row r="487" spans="2:10" hidden="1" x14ac:dyDescent="0.25">
      <c r="B487" s="48">
        <f>+'Metrics - Articles'!C484</f>
        <v>0</v>
      </c>
      <c r="C487">
        <f>COUNTIF('Metrics - Articles'!H484,"*Global*")</f>
        <v>0</v>
      </c>
      <c r="D487">
        <f>COUNTIF('Metrics - Articles'!H484,"*EMEA*")</f>
        <v>0</v>
      </c>
      <c r="E487">
        <f>COUNTIF('Metrics - Articles'!H484,"*NA*")</f>
        <v>0</v>
      </c>
      <c r="F487">
        <f>COUNTIF('Metrics - Articles'!H484,"*APJ")</f>
        <v>0</v>
      </c>
      <c r="G487">
        <f>COUNTIF('Metrics - Articles'!H484,"*LATAM*")</f>
        <v>0</v>
      </c>
      <c r="H487">
        <f>COUNTIF('Metrics - Articles'!H484,"*China*")</f>
        <v>0</v>
      </c>
      <c r="J487" s="53">
        <f t="shared" si="8"/>
        <v>0</v>
      </c>
    </row>
    <row r="488" spans="2:10" hidden="1" x14ac:dyDescent="0.25">
      <c r="B488" s="48">
        <f>+'Metrics - Articles'!C485</f>
        <v>0</v>
      </c>
      <c r="C488">
        <f>COUNTIF('Metrics - Articles'!H485,"*Global*")</f>
        <v>0</v>
      </c>
      <c r="D488">
        <f>COUNTIF('Metrics - Articles'!H485,"*EMEA*")</f>
        <v>0</v>
      </c>
      <c r="E488">
        <f>COUNTIF('Metrics - Articles'!H485,"*NA*")</f>
        <v>0</v>
      </c>
      <c r="F488">
        <f>COUNTIF('Metrics - Articles'!H485,"*APJ")</f>
        <v>0</v>
      </c>
      <c r="G488">
        <f>COUNTIF('Metrics - Articles'!H485,"*LATAM*")</f>
        <v>0</v>
      </c>
      <c r="H488">
        <f>COUNTIF('Metrics - Articles'!H485,"*China*")</f>
        <v>0</v>
      </c>
      <c r="J488" s="53">
        <f t="shared" si="8"/>
        <v>0</v>
      </c>
    </row>
    <row r="489" spans="2:10" hidden="1" x14ac:dyDescent="0.25">
      <c r="B489" s="48">
        <f>+'Metrics - Articles'!C486</f>
        <v>0</v>
      </c>
      <c r="C489">
        <f>COUNTIF('Metrics - Articles'!H486,"*Global*")</f>
        <v>0</v>
      </c>
      <c r="D489">
        <f>COUNTIF('Metrics - Articles'!H486,"*EMEA*")</f>
        <v>0</v>
      </c>
      <c r="E489">
        <f>COUNTIF('Metrics - Articles'!H486,"*NA*")</f>
        <v>0</v>
      </c>
      <c r="F489">
        <f>COUNTIF('Metrics - Articles'!H486,"*APJ")</f>
        <v>0</v>
      </c>
      <c r="G489">
        <f>COUNTIF('Metrics - Articles'!H486,"*LATAM*")</f>
        <v>0</v>
      </c>
      <c r="H489">
        <f>COUNTIF('Metrics - Articles'!H486,"*China*")</f>
        <v>0</v>
      </c>
      <c r="J489" s="53">
        <f t="shared" si="8"/>
        <v>0</v>
      </c>
    </row>
    <row r="490" spans="2:10" hidden="1" x14ac:dyDescent="0.25">
      <c r="B490" s="48">
        <f>+'Metrics - Articles'!C487</f>
        <v>0</v>
      </c>
      <c r="C490">
        <f>COUNTIF('Metrics - Articles'!H487,"*Global*")</f>
        <v>0</v>
      </c>
      <c r="D490">
        <f>COUNTIF('Metrics - Articles'!H487,"*EMEA*")</f>
        <v>0</v>
      </c>
      <c r="E490">
        <f>COUNTIF('Metrics - Articles'!H487,"*NA*")</f>
        <v>0</v>
      </c>
      <c r="F490">
        <f>COUNTIF('Metrics - Articles'!H487,"*APJ")</f>
        <v>0</v>
      </c>
      <c r="G490">
        <f>COUNTIF('Metrics - Articles'!H487,"*LATAM*")</f>
        <v>0</v>
      </c>
      <c r="H490">
        <f>COUNTIF('Metrics - Articles'!H487,"*China*")</f>
        <v>0</v>
      </c>
      <c r="J490" s="53">
        <f t="shared" si="8"/>
        <v>0</v>
      </c>
    </row>
    <row r="491" spans="2:10" hidden="1" x14ac:dyDescent="0.25">
      <c r="B491" s="48">
        <f>+'Metrics - Articles'!C488</f>
        <v>0</v>
      </c>
      <c r="C491">
        <f>COUNTIF('Metrics - Articles'!H488,"*Global*")</f>
        <v>0</v>
      </c>
      <c r="D491">
        <f>COUNTIF('Metrics - Articles'!H488,"*EMEA*")</f>
        <v>0</v>
      </c>
      <c r="E491">
        <f>COUNTIF('Metrics - Articles'!H488,"*NA*")</f>
        <v>0</v>
      </c>
      <c r="F491">
        <f>COUNTIF('Metrics - Articles'!H488,"*APJ")</f>
        <v>0</v>
      </c>
      <c r="G491">
        <f>COUNTIF('Metrics - Articles'!H488,"*LATAM*")</f>
        <v>0</v>
      </c>
      <c r="H491">
        <f>COUNTIF('Metrics - Articles'!H488,"*China*")</f>
        <v>0</v>
      </c>
      <c r="J491" s="53">
        <f t="shared" si="8"/>
        <v>0</v>
      </c>
    </row>
    <row r="492" spans="2:10" hidden="1" x14ac:dyDescent="0.25">
      <c r="B492" s="48">
        <f>+'Metrics - Articles'!C489</f>
        <v>0</v>
      </c>
      <c r="C492">
        <f>COUNTIF('Metrics - Articles'!H489,"*Global*")</f>
        <v>0</v>
      </c>
      <c r="D492">
        <f>COUNTIF('Metrics - Articles'!H489,"*EMEA*")</f>
        <v>0</v>
      </c>
      <c r="E492">
        <f>COUNTIF('Metrics - Articles'!H489,"*NA*")</f>
        <v>0</v>
      </c>
      <c r="F492">
        <f>COUNTIF('Metrics - Articles'!H489,"*APJ")</f>
        <v>0</v>
      </c>
      <c r="G492">
        <f>COUNTIF('Metrics - Articles'!H489,"*LATAM*")</f>
        <v>0</v>
      </c>
      <c r="H492">
        <f>COUNTIF('Metrics - Articles'!H489,"*China*")</f>
        <v>0</v>
      </c>
      <c r="J492" s="53">
        <f t="shared" si="8"/>
        <v>0</v>
      </c>
    </row>
    <row r="493" spans="2:10" hidden="1" x14ac:dyDescent="0.25">
      <c r="B493" s="48">
        <f>+'Metrics - Articles'!C490</f>
        <v>0</v>
      </c>
      <c r="C493">
        <f>COUNTIF('Metrics - Articles'!H490,"*Global*")</f>
        <v>0</v>
      </c>
      <c r="D493">
        <f>COUNTIF('Metrics - Articles'!H490,"*EMEA*")</f>
        <v>0</v>
      </c>
      <c r="E493">
        <f>COUNTIF('Metrics - Articles'!H490,"*NA*")</f>
        <v>0</v>
      </c>
      <c r="F493">
        <f>COUNTIF('Metrics - Articles'!H490,"*APJ")</f>
        <v>0</v>
      </c>
      <c r="G493">
        <f>COUNTIF('Metrics - Articles'!H490,"*LATAM*")</f>
        <v>0</v>
      </c>
      <c r="H493">
        <f>COUNTIF('Metrics - Articles'!H490,"*China*")</f>
        <v>0</v>
      </c>
      <c r="J493" s="53">
        <f t="shared" si="8"/>
        <v>0</v>
      </c>
    </row>
    <row r="494" spans="2:10" hidden="1" x14ac:dyDescent="0.25">
      <c r="B494" s="48">
        <f>+'Metrics - Articles'!C491</f>
        <v>0</v>
      </c>
      <c r="C494">
        <f>COUNTIF('Metrics - Articles'!H491,"*Global*")</f>
        <v>0</v>
      </c>
      <c r="D494">
        <f>COUNTIF('Metrics - Articles'!H491,"*EMEA*")</f>
        <v>0</v>
      </c>
      <c r="E494">
        <f>COUNTIF('Metrics - Articles'!H491,"*NA*")</f>
        <v>0</v>
      </c>
      <c r="F494">
        <f>COUNTIF('Metrics - Articles'!H491,"*APJ")</f>
        <v>0</v>
      </c>
      <c r="G494">
        <f>COUNTIF('Metrics - Articles'!H491,"*LATAM*")</f>
        <v>0</v>
      </c>
      <c r="H494">
        <f>COUNTIF('Metrics - Articles'!H491,"*China*")</f>
        <v>0</v>
      </c>
      <c r="J494" s="53">
        <f t="shared" si="8"/>
        <v>0</v>
      </c>
    </row>
    <row r="495" spans="2:10" hidden="1" x14ac:dyDescent="0.25">
      <c r="B495" s="48">
        <f>+'Metrics - Articles'!C492</f>
        <v>0</v>
      </c>
      <c r="C495">
        <f>COUNTIF('Metrics - Articles'!H492,"*Global*")</f>
        <v>0</v>
      </c>
      <c r="D495">
        <f>COUNTIF('Metrics - Articles'!H492,"*EMEA*")</f>
        <v>0</v>
      </c>
      <c r="E495">
        <f>COUNTIF('Metrics - Articles'!H492,"*NA*")</f>
        <v>0</v>
      </c>
      <c r="F495">
        <f>COUNTIF('Metrics - Articles'!H492,"*APJ")</f>
        <v>0</v>
      </c>
      <c r="G495">
        <f>COUNTIF('Metrics - Articles'!H492,"*LATAM*")</f>
        <v>0</v>
      </c>
      <c r="H495">
        <f>COUNTIF('Metrics - Articles'!H492,"*China*")</f>
        <v>0</v>
      </c>
      <c r="J495" s="53">
        <f t="shared" si="8"/>
        <v>0</v>
      </c>
    </row>
    <row r="496" spans="2:10" hidden="1" x14ac:dyDescent="0.25">
      <c r="B496" s="48">
        <f>+'Metrics - Articles'!C493</f>
        <v>0</v>
      </c>
      <c r="C496">
        <f>COUNTIF('Metrics - Articles'!H493,"*Global*")</f>
        <v>0</v>
      </c>
      <c r="D496">
        <f>COUNTIF('Metrics - Articles'!H493,"*EMEA*")</f>
        <v>0</v>
      </c>
      <c r="E496">
        <f>COUNTIF('Metrics - Articles'!H493,"*NA*")</f>
        <v>0</v>
      </c>
      <c r="F496">
        <f>COUNTIF('Metrics - Articles'!H493,"*APJ")</f>
        <v>0</v>
      </c>
      <c r="G496">
        <f>COUNTIF('Metrics - Articles'!H493,"*LATAM*")</f>
        <v>0</v>
      </c>
      <c r="H496">
        <f>COUNTIF('Metrics - Articles'!H493,"*China*")</f>
        <v>0</v>
      </c>
      <c r="J496" s="53">
        <f t="shared" si="8"/>
        <v>0</v>
      </c>
    </row>
    <row r="497" spans="2:10" hidden="1" x14ac:dyDescent="0.25">
      <c r="B497" s="48">
        <f>+'Metrics - Articles'!C494</f>
        <v>0</v>
      </c>
      <c r="C497">
        <f>COUNTIF('Metrics - Articles'!H494,"*Global*")</f>
        <v>0</v>
      </c>
      <c r="D497">
        <f>COUNTIF('Metrics - Articles'!H494,"*EMEA*")</f>
        <v>0</v>
      </c>
      <c r="E497">
        <f>COUNTIF('Metrics - Articles'!H494,"*NA*")</f>
        <v>0</v>
      </c>
      <c r="F497">
        <f>COUNTIF('Metrics - Articles'!H494,"*APJ")</f>
        <v>0</v>
      </c>
      <c r="G497">
        <f>COUNTIF('Metrics - Articles'!H494,"*LATAM*")</f>
        <v>0</v>
      </c>
      <c r="H497">
        <f>COUNTIF('Metrics - Articles'!H494,"*China*")</f>
        <v>0</v>
      </c>
      <c r="J497" s="53">
        <f t="shared" si="8"/>
        <v>0</v>
      </c>
    </row>
    <row r="498" spans="2:10" hidden="1" x14ac:dyDescent="0.25">
      <c r="B498" s="48">
        <f>+'Metrics - Articles'!C495</f>
        <v>0</v>
      </c>
      <c r="C498">
        <f>COUNTIF('Metrics - Articles'!H495,"*Global*")</f>
        <v>0</v>
      </c>
      <c r="D498">
        <f>COUNTIF('Metrics - Articles'!H495,"*EMEA*")</f>
        <v>0</v>
      </c>
      <c r="E498">
        <f>COUNTIF('Metrics - Articles'!H495,"*NA*")</f>
        <v>0</v>
      </c>
      <c r="F498">
        <f>COUNTIF('Metrics - Articles'!H495,"*APJ")</f>
        <v>0</v>
      </c>
      <c r="G498">
        <f>COUNTIF('Metrics - Articles'!H495,"*LATAM*")</f>
        <v>0</v>
      </c>
      <c r="H498">
        <f>COUNTIF('Metrics - Articles'!H495,"*China*")</f>
        <v>0</v>
      </c>
      <c r="J498" s="53">
        <f t="shared" si="8"/>
        <v>0</v>
      </c>
    </row>
    <row r="499" spans="2:10" hidden="1" x14ac:dyDescent="0.25">
      <c r="B499" s="48">
        <f>+'Metrics - Articles'!C496</f>
        <v>0</v>
      </c>
      <c r="C499">
        <f>COUNTIF('Metrics - Articles'!H496,"*Global*")</f>
        <v>0</v>
      </c>
      <c r="D499">
        <f>COUNTIF('Metrics - Articles'!H496,"*EMEA*")</f>
        <v>0</v>
      </c>
      <c r="E499">
        <f>COUNTIF('Metrics - Articles'!H496,"*NA*")</f>
        <v>0</v>
      </c>
      <c r="F499">
        <f>COUNTIF('Metrics - Articles'!H496,"*APJ")</f>
        <v>0</v>
      </c>
      <c r="G499">
        <f>COUNTIF('Metrics - Articles'!H496,"*LATAM*")</f>
        <v>0</v>
      </c>
      <c r="H499">
        <f>COUNTIF('Metrics - Articles'!H496,"*China*")</f>
        <v>0</v>
      </c>
      <c r="J499" s="53">
        <f t="shared" si="8"/>
        <v>0</v>
      </c>
    </row>
    <row r="500" spans="2:10" hidden="1" x14ac:dyDescent="0.25">
      <c r="B500" s="48">
        <f>+'Metrics - Articles'!C497</f>
        <v>0</v>
      </c>
      <c r="C500">
        <f>COUNTIF('Metrics - Articles'!H497,"*Global*")</f>
        <v>0</v>
      </c>
      <c r="D500">
        <f>COUNTIF('Metrics - Articles'!H497,"*EMEA*")</f>
        <v>0</v>
      </c>
      <c r="E500">
        <f>COUNTIF('Metrics - Articles'!H497,"*NA*")</f>
        <v>0</v>
      </c>
      <c r="F500">
        <f>COUNTIF('Metrics - Articles'!H497,"*APJ")</f>
        <v>0</v>
      </c>
      <c r="G500">
        <f>COUNTIF('Metrics - Articles'!H497,"*LATAM*")</f>
        <v>0</v>
      </c>
      <c r="H500">
        <f>COUNTIF('Metrics - Articles'!H497,"*China*")</f>
        <v>0</v>
      </c>
      <c r="J500" s="53">
        <f t="shared" si="8"/>
        <v>0</v>
      </c>
    </row>
    <row r="501" spans="2:10" hidden="1" x14ac:dyDescent="0.25">
      <c r="B501" s="48">
        <f>+'Metrics - Articles'!C498</f>
        <v>0</v>
      </c>
      <c r="C501">
        <f>COUNTIF('Metrics - Articles'!H498,"*Global*")</f>
        <v>0</v>
      </c>
      <c r="D501">
        <f>COUNTIF('Metrics - Articles'!H498,"*EMEA*")</f>
        <v>0</v>
      </c>
      <c r="E501">
        <f>COUNTIF('Metrics - Articles'!H498,"*NA*")</f>
        <v>0</v>
      </c>
      <c r="F501">
        <f>COUNTIF('Metrics - Articles'!H498,"*APJ")</f>
        <v>0</v>
      </c>
      <c r="G501">
        <f>COUNTIF('Metrics - Articles'!H498,"*LATAM*")</f>
        <v>0</v>
      </c>
      <c r="H501">
        <f>COUNTIF('Metrics - Articles'!H498,"*China*")</f>
        <v>0</v>
      </c>
      <c r="J501" s="53">
        <f t="shared" si="8"/>
        <v>0</v>
      </c>
    </row>
    <row r="502" spans="2:10" hidden="1" x14ac:dyDescent="0.25">
      <c r="B502" s="48">
        <f>+'Metrics - Articles'!C499</f>
        <v>0</v>
      </c>
      <c r="C502">
        <f>COUNTIF('Metrics - Articles'!H499,"*Global*")</f>
        <v>0</v>
      </c>
      <c r="D502">
        <f>COUNTIF('Metrics - Articles'!H499,"*EMEA*")</f>
        <v>0</v>
      </c>
      <c r="E502">
        <f>COUNTIF('Metrics - Articles'!H499,"*NA*")</f>
        <v>0</v>
      </c>
      <c r="F502">
        <f>COUNTIF('Metrics - Articles'!H499,"*APJ")</f>
        <v>0</v>
      </c>
      <c r="G502">
        <f>COUNTIF('Metrics - Articles'!H499,"*LATAM*")</f>
        <v>0</v>
      </c>
      <c r="H502">
        <f>COUNTIF('Metrics - Articles'!H499,"*China*")</f>
        <v>0</v>
      </c>
      <c r="J502" s="53">
        <f t="shared" si="8"/>
        <v>0</v>
      </c>
    </row>
    <row r="503" spans="2:10" hidden="1" x14ac:dyDescent="0.25">
      <c r="B503" s="48">
        <f>+'Metrics - Articles'!C500</f>
        <v>0</v>
      </c>
      <c r="C503">
        <f>COUNTIF('Metrics - Articles'!H500,"*Global*")</f>
        <v>0</v>
      </c>
      <c r="D503">
        <f>COUNTIF('Metrics - Articles'!H500,"*EMEA*")</f>
        <v>0</v>
      </c>
      <c r="E503">
        <f>COUNTIF('Metrics - Articles'!H500,"*NA*")</f>
        <v>0</v>
      </c>
      <c r="F503">
        <f>COUNTIF('Metrics - Articles'!H500,"*APJ")</f>
        <v>0</v>
      </c>
      <c r="G503">
        <f>COUNTIF('Metrics - Articles'!H500,"*LATAM*")</f>
        <v>0</v>
      </c>
      <c r="H503">
        <f>COUNTIF('Metrics - Articles'!H500,"*China*")</f>
        <v>0</v>
      </c>
      <c r="J503" s="53">
        <f t="shared" si="8"/>
        <v>0</v>
      </c>
    </row>
    <row r="504" spans="2:10" hidden="1" x14ac:dyDescent="0.25">
      <c r="B504" s="48">
        <f>+'Metrics - Articles'!C501</f>
        <v>0</v>
      </c>
      <c r="C504">
        <f>COUNTIF('Metrics - Articles'!H501,"*Global*")</f>
        <v>0</v>
      </c>
      <c r="D504">
        <f>COUNTIF('Metrics - Articles'!H501,"*EMEA*")</f>
        <v>0</v>
      </c>
      <c r="E504">
        <f>COUNTIF('Metrics - Articles'!H501,"*NA*")</f>
        <v>0</v>
      </c>
      <c r="F504">
        <f>COUNTIF('Metrics - Articles'!H501,"*APJ")</f>
        <v>0</v>
      </c>
      <c r="G504">
        <f>COUNTIF('Metrics - Articles'!H501,"*LATAM*")</f>
        <v>0</v>
      </c>
      <c r="H504">
        <f>COUNTIF('Metrics - Articles'!H501,"*China*")</f>
        <v>0</v>
      </c>
      <c r="J504" s="53">
        <f t="shared" si="8"/>
        <v>0</v>
      </c>
    </row>
    <row r="505" spans="2:10" hidden="1" x14ac:dyDescent="0.25">
      <c r="B505" s="48">
        <f>+'Metrics - Articles'!C502</f>
        <v>0</v>
      </c>
      <c r="C505">
        <f>COUNTIF('Metrics - Articles'!H502,"*Global*")</f>
        <v>0</v>
      </c>
      <c r="D505">
        <f>COUNTIF('Metrics - Articles'!H502,"*EMEA*")</f>
        <v>0</v>
      </c>
      <c r="E505">
        <f>COUNTIF('Metrics - Articles'!H502,"*NA*")</f>
        <v>0</v>
      </c>
      <c r="F505">
        <f>COUNTIF('Metrics - Articles'!H502,"*APJ")</f>
        <v>0</v>
      </c>
      <c r="G505">
        <f>COUNTIF('Metrics - Articles'!H502,"*LATAM*")</f>
        <v>0</v>
      </c>
      <c r="H505">
        <f>COUNTIF('Metrics - Articles'!H502,"*China*")</f>
        <v>0</v>
      </c>
      <c r="J505" s="53">
        <f t="shared" si="8"/>
        <v>0</v>
      </c>
    </row>
    <row r="506" spans="2:10" hidden="1" x14ac:dyDescent="0.25">
      <c r="B506" s="48">
        <f>+'Metrics - Articles'!C503</f>
        <v>0</v>
      </c>
      <c r="C506">
        <f>COUNTIF('Metrics - Articles'!H503,"*Global*")</f>
        <v>0</v>
      </c>
      <c r="D506">
        <f>COUNTIF('Metrics - Articles'!H503,"*EMEA*")</f>
        <v>0</v>
      </c>
      <c r="E506">
        <f>COUNTIF('Metrics - Articles'!H503,"*NA*")</f>
        <v>0</v>
      </c>
      <c r="F506">
        <f>COUNTIF('Metrics - Articles'!H503,"*APJ")</f>
        <v>0</v>
      </c>
      <c r="G506">
        <f>COUNTIF('Metrics - Articles'!H503,"*LATAM*")</f>
        <v>0</v>
      </c>
      <c r="H506">
        <f>COUNTIF('Metrics - Articles'!H503,"*China*")</f>
        <v>0</v>
      </c>
      <c r="J506" s="53">
        <f t="shared" si="8"/>
        <v>0</v>
      </c>
    </row>
    <row r="507" spans="2:10" hidden="1" x14ac:dyDescent="0.25">
      <c r="B507" s="48">
        <f>+'Metrics - Articles'!C504</f>
        <v>0</v>
      </c>
      <c r="C507">
        <f>COUNTIF('Metrics - Articles'!H504,"*Global*")</f>
        <v>0</v>
      </c>
      <c r="D507">
        <f>COUNTIF('Metrics - Articles'!H504,"*EMEA*")</f>
        <v>0</v>
      </c>
      <c r="E507">
        <f>COUNTIF('Metrics - Articles'!H504,"*NA*")</f>
        <v>0</v>
      </c>
      <c r="F507">
        <f>COUNTIF('Metrics - Articles'!H504,"*APJ")</f>
        <v>0</v>
      </c>
      <c r="G507">
        <f>COUNTIF('Metrics - Articles'!H504,"*LATAM*")</f>
        <v>0</v>
      </c>
      <c r="H507">
        <f>COUNTIF('Metrics - Articles'!H504,"*China*")</f>
        <v>0</v>
      </c>
      <c r="J507" s="53">
        <f t="shared" si="8"/>
        <v>0</v>
      </c>
    </row>
    <row r="508" spans="2:10" hidden="1" x14ac:dyDescent="0.25">
      <c r="B508" s="48">
        <f>+'Metrics - Articles'!C505</f>
        <v>0</v>
      </c>
      <c r="C508">
        <f>COUNTIF('Metrics - Articles'!H505,"*Global*")</f>
        <v>0</v>
      </c>
      <c r="D508">
        <f>COUNTIF('Metrics - Articles'!H505,"*EMEA*")</f>
        <v>0</v>
      </c>
      <c r="E508">
        <f>COUNTIF('Metrics - Articles'!H505,"*NA*")</f>
        <v>0</v>
      </c>
      <c r="F508">
        <f>COUNTIF('Metrics - Articles'!H505,"*APJ")</f>
        <v>0</v>
      </c>
      <c r="G508">
        <f>COUNTIF('Metrics - Articles'!H505,"*LATAM*")</f>
        <v>0</v>
      </c>
      <c r="H508">
        <f>COUNTIF('Metrics - Articles'!H505,"*China*")</f>
        <v>0</v>
      </c>
      <c r="J508" s="53">
        <f t="shared" si="8"/>
        <v>0</v>
      </c>
    </row>
    <row r="509" spans="2:10" hidden="1" x14ac:dyDescent="0.25">
      <c r="B509" s="48">
        <f>+'Metrics - Articles'!C506</f>
        <v>0</v>
      </c>
      <c r="C509">
        <f>COUNTIF('Metrics - Articles'!H506,"*Global*")</f>
        <v>0</v>
      </c>
      <c r="D509">
        <f>COUNTIF('Metrics - Articles'!H506,"*EMEA*")</f>
        <v>0</v>
      </c>
      <c r="E509">
        <f>COUNTIF('Metrics - Articles'!H506,"*NA*")</f>
        <v>0</v>
      </c>
      <c r="F509">
        <f>COUNTIF('Metrics - Articles'!H506,"*APJ")</f>
        <v>0</v>
      </c>
      <c r="G509">
        <f>COUNTIF('Metrics - Articles'!H506,"*LATAM*")</f>
        <v>0</v>
      </c>
      <c r="H509">
        <f>COUNTIF('Metrics - Articles'!H506,"*China*")</f>
        <v>0</v>
      </c>
      <c r="J509" s="53">
        <f t="shared" si="8"/>
        <v>0</v>
      </c>
    </row>
    <row r="510" spans="2:10" hidden="1" x14ac:dyDescent="0.25">
      <c r="B510" s="48">
        <f>+'Metrics - Articles'!C507</f>
        <v>0</v>
      </c>
      <c r="C510">
        <f>COUNTIF('Metrics - Articles'!H507,"*Global*")</f>
        <v>0</v>
      </c>
      <c r="D510">
        <f>COUNTIF('Metrics - Articles'!H507,"*EMEA*")</f>
        <v>0</v>
      </c>
      <c r="E510">
        <f>COUNTIF('Metrics - Articles'!H507,"*NA*")</f>
        <v>0</v>
      </c>
      <c r="F510">
        <f>COUNTIF('Metrics - Articles'!H507,"*APJ")</f>
        <v>0</v>
      </c>
      <c r="G510">
        <f>COUNTIF('Metrics - Articles'!H507,"*LATAM*")</f>
        <v>0</v>
      </c>
      <c r="H510">
        <f>COUNTIF('Metrics - Articles'!H507,"*China*")</f>
        <v>0</v>
      </c>
      <c r="J510" s="53">
        <f t="shared" si="8"/>
        <v>0</v>
      </c>
    </row>
    <row r="511" spans="2:10" hidden="1" x14ac:dyDescent="0.25">
      <c r="B511" s="48">
        <f>+'Metrics - Articles'!C508</f>
        <v>0</v>
      </c>
      <c r="C511">
        <f>COUNTIF('Metrics - Articles'!H508,"*Global*")</f>
        <v>0</v>
      </c>
      <c r="D511">
        <f>COUNTIF('Metrics - Articles'!H508,"*EMEA*")</f>
        <v>0</v>
      </c>
      <c r="E511">
        <f>COUNTIF('Metrics - Articles'!H508,"*NA*")</f>
        <v>0</v>
      </c>
      <c r="F511">
        <f>COUNTIF('Metrics - Articles'!H508,"*APJ")</f>
        <v>0</v>
      </c>
      <c r="G511">
        <f>COUNTIF('Metrics - Articles'!H508,"*LATAM*")</f>
        <v>0</v>
      </c>
      <c r="H511">
        <f>COUNTIF('Metrics - Articles'!H508,"*China*")</f>
        <v>0</v>
      </c>
      <c r="J511" s="53">
        <f t="shared" si="8"/>
        <v>0</v>
      </c>
    </row>
    <row r="512" spans="2:10" hidden="1" x14ac:dyDescent="0.25">
      <c r="B512" s="48">
        <f>+'Metrics - Articles'!C509</f>
        <v>0</v>
      </c>
      <c r="C512">
        <f>COUNTIF('Metrics - Articles'!H509,"*Global*")</f>
        <v>0</v>
      </c>
      <c r="D512">
        <f>COUNTIF('Metrics - Articles'!H509,"*EMEA*")</f>
        <v>0</v>
      </c>
      <c r="E512">
        <f>COUNTIF('Metrics - Articles'!H509,"*NA*")</f>
        <v>0</v>
      </c>
      <c r="F512">
        <f>COUNTIF('Metrics - Articles'!H509,"*APJ")</f>
        <v>0</v>
      </c>
      <c r="G512">
        <f>COUNTIF('Metrics - Articles'!H509,"*LATAM*")</f>
        <v>0</v>
      </c>
      <c r="H512">
        <f>COUNTIF('Metrics - Articles'!H509,"*China*")</f>
        <v>0</v>
      </c>
      <c r="J512" s="53">
        <f t="shared" si="8"/>
        <v>0</v>
      </c>
    </row>
    <row r="513" spans="2:10" hidden="1" x14ac:dyDescent="0.25">
      <c r="B513" s="48">
        <f>+'Metrics - Articles'!C510</f>
        <v>0</v>
      </c>
      <c r="C513">
        <f>COUNTIF('Metrics - Articles'!H510,"*Global*")</f>
        <v>0</v>
      </c>
      <c r="D513">
        <f>COUNTIF('Metrics - Articles'!H510,"*EMEA*")</f>
        <v>0</v>
      </c>
      <c r="E513">
        <f>COUNTIF('Metrics - Articles'!H510,"*NA*")</f>
        <v>0</v>
      </c>
      <c r="F513">
        <f>COUNTIF('Metrics - Articles'!H510,"*APJ")</f>
        <v>0</v>
      </c>
      <c r="G513">
        <f>COUNTIF('Metrics - Articles'!H510,"*LATAM*")</f>
        <v>0</v>
      </c>
      <c r="H513">
        <f>COUNTIF('Metrics - Articles'!H510,"*China*")</f>
        <v>0</v>
      </c>
      <c r="J513" s="53">
        <f t="shared" si="8"/>
        <v>0</v>
      </c>
    </row>
    <row r="514" spans="2:10" hidden="1" x14ac:dyDescent="0.25">
      <c r="B514" s="48">
        <f>+'Metrics - Articles'!C511</f>
        <v>0</v>
      </c>
      <c r="C514">
        <f>COUNTIF('Metrics - Articles'!H511,"*Global*")</f>
        <v>0</v>
      </c>
      <c r="D514">
        <f>COUNTIF('Metrics - Articles'!H511,"*EMEA*")</f>
        <v>0</v>
      </c>
      <c r="E514">
        <f>COUNTIF('Metrics - Articles'!H511,"*NA*")</f>
        <v>0</v>
      </c>
      <c r="F514">
        <f>COUNTIF('Metrics - Articles'!H511,"*APJ")</f>
        <v>0</v>
      </c>
      <c r="G514">
        <f>COUNTIF('Metrics - Articles'!H511,"*LATAM*")</f>
        <v>0</v>
      </c>
      <c r="H514">
        <f>COUNTIF('Metrics - Articles'!H511,"*China*")</f>
        <v>0</v>
      </c>
      <c r="J514" s="53">
        <f t="shared" si="8"/>
        <v>0</v>
      </c>
    </row>
    <row r="515" spans="2:10" hidden="1" x14ac:dyDescent="0.25">
      <c r="B515" s="48">
        <f>+'Metrics - Articles'!C512</f>
        <v>0</v>
      </c>
      <c r="C515">
        <f>COUNTIF('Metrics - Articles'!H512,"*Global*")</f>
        <v>0</v>
      </c>
      <c r="D515">
        <f>COUNTIF('Metrics - Articles'!H512,"*EMEA*")</f>
        <v>0</v>
      </c>
      <c r="E515">
        <f>COUNTIF('Metrics - Articles'!H512,"*NA*")</f>
        <v>0</v>
      </c>
      <c r="F515">
        <f>COUNTIF('Metrics - Articles'!H512,"*APJ")</f>
        <v>0</v>
      </c>
      <c r="G515">
        <f>COUNTIF('Metrics - Articles'!H512,"*LATAM*")</f>
        <v>0</v>
      </c>
      <c r="H515">
        <f>COUNTIF('Metrics - Articles'!H512,"*China*")</f>
        <v>0</v>
      </c>
      <c r="J515" s="53">
        <f t="shared" si="8"/>
        <v>0</v>
      </c>
    </row>
    <row r="516" spans="2:10" hidden="1" x14ac:dyDescent="0.25">
      <c r="B516" s="48">
        <f>+'Metrics - Articles'!C513</f>
        <v>0</v>
      </c>
      <c r="C516">
        <f>COUNTIF('Metrics - Articles'!H513,"*Global*")</f>
        <v>0</v>
      </c>
      <c r="D516">
        <f>COUNTIF('Metrics - Articles'!H513,"*EMEA*")</f>
        <v>0</v>
      </c>
      <c r="E516">
        <f>COUNTIF('Metrics - Articles'!H513,"*NA*")</f>
        <v>0</v>
      </c>
      <c r="F516">
        <f>COUNTIF('Metrics - Articles'!H513,"*APJ")</f>
        <v>0</v>
      </c>
      <c r="G516">
        <f>COUNTIF('Metrics - Articles'!H513,"*LATAM*")</f>
        <v>0</v>
      </c>
      <c r="H516">
        <f>COUNTIF('Metrics - Articles'!H513,"*China*")</f>
        <v>0</v>
      </c>
      <c r="J516" s="53">
        <f t="shared" si="8"/>
        <v>0</v>
      </c>
    </row>
    <row r="517" spans="2:10" hidden="1" x14ac:dyDescent="0.25">
      <c r="B517" s="48">
        <f>+'Metrics - Articles'!C514</f>
        <v>0</v>
      </c>
      <c r="C517">
        <f>COUNTIF('Metrics - Articles'!H514,"*Global*")</f>
        <v>0</v>
      </c>
      <c r="D517">
        <f>COUNTIF('Metrics - Articles'!H514,"*EMEA*")</f>
        <v>0</v>
      </c>
      <c r="E517">
        <f>COUNTIF('Metrics - Articles'!H514,"*NA*")</f>
        <v>0</v>
      </c>
      <c r="F517">
        <f>COUNTIF('Metrics - Articles'!H514,"*APJ")</f>
        <v>0</v>
      </c>
      <c r="G517">
        <f>COUNTIF('Metrics - Articles'!H514,"*LATAM*")</f>
        <v>0</v>
      </c>
      <c r="H517">
        <f>COUNTIF('Metrics - Articles'!H514,"*China*")</f>
        <v>0</v>
      </c>
      <c r="J517" s="53">
        <f t="shared" si="8"/>
        <v>0</v>
      </c>
    </row>
    <row r="518" spans="2:10" hidden="1" x14ac:dyDescent="0.25">
      <c r="B518" s="48">
        <f>+'Metrics - Articles'!C515</f>
        <v>0</v>
      </c>
      <c r="C518">
        <f>COUNTIF('Metrics - Articles'!H515,"*Global*")</f>
        <v>0</v>
      </c>
      <c r="D518">
        <f>COUNTIF('Metrics - Articles'!H515,"*EMEA*")</f>
        <v>0</v>
      </c>
      <c r="E518">
        <f>COUNTIF('Metrics - Articles'!H515,"*NA*")</f>
        <v>0</v>
      </c>
      <c r="F518">
        <f>COUNTIF('Metrics - Articles'!H515,"*APJ")</f>
        <v>0</v>
      </c>
      <c r="G518">
        <f>COUNTIF('Metrics - Articles'!H515,"*LATAM*")</f>
        <v>0</v>
      </c>
      <c r="H518">
        <f>COUNTIF('Metrics - Articles'!H515,"*China*")</f>
        <v>0</v>
      </c>
      <c r="J518" s="53">
        <f t="shared" si="8"/>
        <v>0</v>
      </c>
    </row>
    <row r="519" spans="2:10" hidden="1" x14ac:dyDescent="0.25">
      <c r="B519" s="48">
        <f>+'Metrics - Articles'!C516</f>
        <v>0</v>
      </c>
      <c r="C519">
        <f>COUNTIF('Metrics - Articles'!H516,"*Global*")</f>
        <v>0</v>
      </c>
      <c r="D519">
        <f>COUNTIF('Metrics - Articles'!H516,"*EMEA*")</f>
        <v>0</v>
      </c>
      <c r="E519">
        <f>COUNTIF('Metrics - Articles'!H516,"*NA*")</f>
        <v>0</v>
      </c>
      <c r="F519">
        <f>COUNTIF('Metrics - Articles'!H516,"*APJ")</f>
        <v>0</v>
      </c>
      <c r="G519">
        <f>COUNTIF('Metrics - Articles'!H516,"*LATAM*")</f>
        <v>0</v>
      </c>
      <c r="H519">
        <f>COUNTIF('Metrics - Articles'!H516,"*China*")</f>
        <v>0</v>
      </c>
      <c r="J519" s="53">
        <f t="shared" si="8"/>
        <v>0</v>
      </c>
    </row>
    <row r="520" spans="2:10" hidden="1" x14ac:dyDescent="0.25">
      <c r="B520" s="48">
        <f>+'Metrics - Articles'!C517</f>
        <v>0</v>
      </c>
      <c r="C520">
        <f>COUNTIF('Metrics - Articles'!H517,"*Global*")</f>
        <v>0</v>
      </c>
      <c r="D520">
        <f>COUNTIF('Metrics - Articles'!H517,"*EMEA*")</f>
        <v>0</v>
      </c>
      <c r="E520">
        <f>COUNTIF('Metrics - Articles'!H517,"*NA*")</f>
        <v>0</v>
      </c>
      <c r="F520">
        <f>COUNTIF('Metrics - Articles'!H517,"*APJ")</f>
        <v>0</v>
      </c>
      <c r="G520">
        <f>COUNTIF('Metrics - Articles'!H517,"*LATAM*")</f>
        <v>0</v>
      </c>
      <c r="H520">
        <f>COUNTIF('Metrics - Articles'!H517,"*China*")</f>
        <v>0</v>
      </c>
      <c r="J520" s="53">
        <f t="shared" si="8"/>
        <v>0</v>
      </c>
    </row>
    <row r="521" spans="2:10" hidden="1" x14ac:dyDescent="0.25">
      <c r="B521" s="48">
        <f>+'Metrics - Articles'!C518</f>
        <v>0</v>
      </c>
      <c r="C521">
        <f>COUNTIF('Metrics - Articles'!H518,"*Global*")</f>
        <v>0</v>
      </c>
      <c r="D521">
        <f>COUNTIF('Metrics - Articles'!H518,"*EMEA*")</f>
        <v>0</v>
      </c>
      <c r="E521">
        <f>COUNTIF('Metrics - Articles'!H518,"*NA*")</f>
        <v>0</v>
      </c>
      <c r="F521">
        <f>COUNTIF('Metrics - Articles'!H518,"*APJ")</f>
        <v>0</v>
      </c>
      <c r="G521">
        <f>COUNTIF('Metrics - Articles'!H518,"*LATAM*")</f>
        <v>0</v>
      </c>
      <c r="H521">
        <f>COUNTIF('Metrics - Articles'!H518,"*China*")</f>
        <v>0</v>
      </c>
      <c r="J521" s="53">
        <f t="shared" si="8"/>
        <v>0</v>
      </c>
    </row>
    <row r="522" spans="2:10" hidden="1" x14ac:dyDescent="0.25">
      <c r="B522" s="48">
        <f>+'Metrics - Articles'!C519</f>
        <v>0</v>
      </c>
      <c r="C522">
        <f>COUNTIF('Metrics - Articles'!H519,"*Global*")</f>
        <v>0</v>
      </c>
      <c r="D522">
        <f>COUNTIF('Metrics - Articles'!H519,"*EMEA*")</f>
        <v>0</v>
      </c>
      <c r="E522">
        <f>COUNTIF('Metrics - Articles'!H519,"*NA*")</f>
        <v>0</v>
      </c>
      <c r="F522">
        <f>COUNTIF('Metrics - Articles'!H519,"*APJ")</f>
        <v>0</v>
      </c>
      <c r="G522">
        <f>COUNTIF('Metrics - Articles'!H519,"*LATAM*")</f>
        <v>0</v>
      </c>
      <c r="H522">
        <f>COUNTIF('Metrics - Articles'!H519,"*China*")</f>
        <v>0</v>
      </c>
      <c r="J522" s="53">
        <f t="shared" ref="J522:J585" si="9">SUM(C522:I522)</f>
        <v>0</v>
      </c>
    </row>
    <row r="523" spans="2:10" hidden="1" x14ac:dyDescent="0.25">
      <c r="B523" s="48">
        <f>+'Metrics - Articles'!C520</f>
        <v>0</v>
      </c>
      <c r="C523">
        <f>COUNTIF('Metrics - Articles'!H520,"*Global*")</f>
        <v>0</v>
      </c>
      <c r="D523">
        <f>COUNTIF('Metrics - Articles'!H520,"*EMEA*")</f>
        <v>0</v>
      </c>
      <c r="E523">
        <f>COUNTIF('Metrics - Articles'!H520,"*NA*")</f>
        <v>0</v>
      </c>
      <c r="F523">
        <f>COUNTIF('Metrics - Articles'!H520,"*APJ")</f>
        <v>0</v>
      </c>
      <c r="G523">
        <f>COUNTIF('Metrics - Articles'!H520,"*LATAM*")</f>
        <v>0</v>
      </c>
      <c r="H523">
        <f>COUNTIF('Metrics - Articles'!H520,"*China*")</f>
        <v>0</v>
      </c>
      <c r="J523" s="53">
        <f t="shared" si="9"/>
        <v>0</v>
      </c>
    </row>
    <row r="524" spans="2:10" hidden="1" x14ac:dyDescent="0.25">
      <c r="B524" s="48">
        <f>+'Metrics - Articles'!C521</f>
        <v>0</v>
      </c>
      <c r="C524">
        <f>COUNTIF('Metrics - Articles'!H521,"*Global*")</f>
        <v>0</v>
      </c>
      <c r="D524">
        <f>COUNTIF('Metrics - Articles'!H521,"*EMEA*")</f>
        <v>0</v>
      </c>
      <c r="E524">
        <f>COUNTIF('Metrics - Articles'!H521,"*NA*")</f>
        <v>0</v>
      </c>
      <c r="F524">
        <f>COUNTIF('Metrics - Articles'!H521,"*APJ")</f>
        <v>0</v>
      </c>
      <c r="G524">
        <f>COUNTIF('Metrics - Articles'!H521,"*LATAM*")</f>
        <v>0</v>
      </c>
      <c r="H524">
        <f>COUNTIF('Metrics - Articles'!H521,"*China*")</f>
        <v>0</v>
      </c>
      <c r="J524" s="53">
        <f t="shared" si="9"/>
        <v>0</v>
      </c>
    </row>
    <row r="525" spans="2:10" hidden="1" x14ac:dyDescent="0.25">
      <c r="B525" s="48">
        <f>+'Metrics - Articles'!C522</f>
        <v>0</v>
      </c>
      <c r="C525">
        <f>COUNTIF('Metrics - Articles'!H522,"*Global*")</f>
        <v>0</v>
      </c>
      <c r="D525">
        <f>COUNTIF('Metrics - Articles'!H522,"*EMEA*")</f>
        <v>0</v>
      </c>
      <c r="E525">
        <f>COUNTIF('Metrics - Articles'!H522,"*NA*")</f>
        <v>0</v>
      </c>
      <c r="F525">
        <f>COUNTIF('Metrics - Articles'!H522,"*APJ")</f>
        <v>0</v>
      </c>
      <c r="G525">
        <f>COUNTIF('Metrics - Articles'!H522,"*LATAM*")</f>
        <v>0</v>
      </c>
      <c r="H525">
        <f>COUNTIF('Metrics - Articles'!H522,"*China*")</f>
        <v>0</v>
      </c>
      <c r="J525" s="53">
        <f t="shared" si="9"/>
        <v>0</v>
      </c>
    </row>
    <row r="526" spans="2:10" hidden="1" x14ac:dyDescent="0.25">
      <c r="B526" s="48">
        <f>+'Metrics - Articles'!C523</f>
        <v>0</v>
      </c>
      <c r="C526">
        <f>COUNTIF('Metrics - Articles'!H523,"*Global*")</f>
        <v>0</v>
      </c>
      <c r="D526">
        <f>COUNTIF('Metrics - Articles'!H523,"*EMEA*")</f>
        <v>0</v>
      </c>
      <c r="E526">
        <f>COUNTIF('Metrics - Articles'!H523,"*NA*")</f>
        <v>0</v>
      </c>
      <c r="F526">
        <f>COUNTIF('Metrics - Articles'!H523,"*APJ")</f>
        <v>0</v>
      </c>
      <c r="G526">
        <f>COUNTIF('Metrics - Articles'!H523,"*LATAM*")</f>
        <v>0</v>
      </c>
      <c r="H526">
        <f>COUNTIF('Metrics - Articles'!H523,"*China*")</f>
        <v>0</v>
      </c>
      <c r="J526" s="53">
        <f t="shared" si="9"/>
        <v>0</v>
      </c>
    </row>
    <row r="527" spans="2:10" hidden="1" x14ac:dyDescent="0.25">
      <c r="B527" s="48">
        <f>+'Metrics - Articles'!C524</f>
        <v>0</v>
      </c>
      <c r="C527">
        <f>COUNTIF('Metrics - Articles'!H524,"*Global*")</f>
        <v>0</v>
      </c>
      <c r="D527">
        <f>COUNTIF('Metrics - Articles'!H524,"*EMEA*")</f>
        <v>0</v>
      </c>
      <c r="E527">
        <f>COUNTIF('Metrics - Articles'!H524,"*NA*")</f>
        <v>0</v>
      </c>
      <c r="F527">
        <f>COUNTIF('Metrics - Articles'!H524,"*APJ")</f>
        <v>0</v>
      </c>
      <c r="G527">
        <f>COUNTIF('Metrics - Articles'!H524,"*LATAM*")</f>
        <v>0</v>
      </c>
      <c r="H527">
        <f>COUNTIF('Metrics - Articles'!H524,"*China*")</f>
        <v>0</v>
      </c>
      <c r="J527" s="53">
        <f t="shared" si="9"/>
        <v>0</v>
      </c>
    </row>
    <row r="528" spans="2:10" hidden="1" x14ac:dyDescent="0.25">
      <c r="B528" s="48">
        <f>+'Metrics - Articles'!C525</f>
        <v>0</v>
      </c>
      <c r="C528">
        <f>COUNTIF('Metrics - Articles'!H525,"*Global*")</f>
        <v>0</v>
      </c>
      <c r="D528">
        <f>COUNTIF('Metrics - Articles'!H525,"*EMEA*")</f>
        <v>0</v>
      </c>
      <c r="E528">
        <f>COUNTIF('Metrics - Articles'!H525,"*NA*")</f>
        <v>0</v>
      </c>
      <c r="F528">
        <f>COUNTIF('Metrics - Articles'!H525,"*APJ")</f>
        <v>0</v>
      </c>
      <c r="G528">
        <f>COUNTIF('Metrics - Articles'!H525,"*LATAM*")</f>
        <v>0</v>
      </c>
      <c r="H528">
        <f>COUNTIF('Metrics - Articles'!H525,"*China*")</f>
        <v>0</v>
      </c>
      <c r="J528" s="53">
        <f t="shared" si="9"/>
        <v>0</v>
      </c>
    </row>
    <row r="529" spans="2:10" hidden="1" x14ac:dyDescent="0.25">
      <c r="B529" s="48">
        <f>+'Metrics - Articles'!C526</f>
        <v>0</v>
      </c>
      <c r="C529">
        <f>COUNTIF('Metrics - Articles'!H526,"*Global*")</f>
        <v>0</v>
      </c>
      <c r="D529">
        <f>COUNTIF('Metrics - Articles'!H526,"*EMEA*")</f>
        <v>0</v>
      </c>
      <c r="E529">
        <f>COUNTIF('Metrics - Articles'!H526,"*NA*")</f>
        <v>0</v>
      </c>
      <c r="F529">
        <f>COUNTIF('Metrics - Articles'!H526,"*APJ")</f>
        <v>0</v>
      </c>
      <c r="G529">
        <f>COUNTIF('Metrics - Articles'!H526,"*LATAM*")</f>
        <v>0</v>
      </c>
      <c r="H529">
        <f>COUNTIF('Metrics - Articles'!H526,"*China*")</f>
        <v>0</v>
      </c>
      <c r="J529" s="53">
        <f t="shared" si="9"/>
        <v>0</v>
      </c>
    </row>
    <row r="530" spans="2:10" hidden="1" x14ac:dyDescent="0.25">
      <c r="B530" s="48">
        <f>+'Metrics - Articles'!C527</f>
        <v>0</v>
      </c>
      <c r="C530">
        <f>COUNTIF('Metrics - Articles'!H527,"*Global*")</f>
        <v>0</v>
      </c>
      <c r="D530">
        <f>COUNTIF('Metrics - Articles'!H527,"*EMEA*")</f>
        <v>0</v>
      </c>
      <c r="E530">
        <f>COUNTIF('Metrics - Articles'!H527,"*NA*")</f>
        <v>0</v>
      </c>
      <c r="F530">
        <f>COUNTIF('Metrics - Articles'!H527,"*APJ")</f>
        <v>0</v>
      </c>
      <c r="G530">
        <f>COUNTIF('Metrics - Articles'!H527,"*LATAM*")</f>
        <v>0</v>
      </c>
      <c r="H530">
        <f>COUNTIF('Metrics - Articles'!H527,"*China*")</f>
        <v>0</v>
      </c>
      <c r="J530" s="53">
        <f t="shared" si="9"/>
        <v>0</v>
      </c>
    </row>
    <row r="531" spans="2:10" hidden="1" x14ac:dyDescent="0.25">
      <c r="B531" s="48">
        <f>+'Metrics - Articles'!C528</f>
        <v>0</v>
      </c>
      <c r="C531">
        <f>COUNTIF('Metrics - Articles'!H528,"*Global*")</f>
        <v>0</v>
      </c>
      <c r="D531">
        <f>COUNTIF('Metrics - Articles'!H528,"*EMEA*")</f>
        <v>0</v>
      </c>
      <c r="E531">
        <f>COUNTIF('Metrics - Articles'!H528,"*NA*")</f>
        <v>0</v>
      </c>
      <c r="F531">
        <f>COUNTIF('Metrics - Articles'!H528,"*APJ")</f>
        <v>0</v>
      </c>
      <c r="G531">
        <f>COUNTIF('Metrics - Articles'!H528,"*LATAM*")</f>
        <v>0</v>
      </c>
      <c r="H531">
        <f>COUNTIF('Metrics - Articles'!H528,"*China*")</f>
        <v>0</v>
      </c>
      <c r="J531" s="53">
        <f t="shared" si="9"/>
        <v>0</v>
      </c>
    </row>
    <row r="532" spans="2:10" hidden="1" x14ac:dyDescent="0.25">
      <c r="B532" s="48">
        <f>+'Metrics - Articles'!C529</f>
        <v>0</v>
      </c>
      <c r="C532">
        <f>COUNTIF('Metrics - Articles'!H529,"*Global*")</f>
        <v>0</v>
      </c>
      <c r="D532">
        <f>COUNTIF('Metrics - Articles'!H529,"*EMEA*")</f>
        <v>0</v>
      </c>
      <c r="E532">
        <f>COUNTIF('Metrics - Articles'!H529,"*NA*")</f>
        <v>0</v>
      </c>
      <c r="F532">
        <f>COUNTIF('Metrics - Articles'!H529,"*APJ")</f>
        <v>0</v>
      </c>
      <c r="G532">
        <f>COUNTIF('Metrics - Articles'!H529,"*LATAM*")</f>
        <v>0</v>
      </c>
      <c r="H532">
        <f>COUNTIF('Metrics - Articles'!H529,"*China*")</f>
        <v>0</v>
      </c>
      <c r="J532" s="53">
        <f t="shared" si="9"/>
        <v>0</v>
      </c>
    </row>
    <row r="533" spans="2:10" hidden="1" x14ac:dyDescent="0.25">
      <c r="B533" s="48">
        <f>+'Metrics - Articles'!C530</f>
        <v>0</v>
      </c>
      <c r="C533">
        <f>COUNTIF('Metrics - Articles'!H530,"*Global*")</f>
        <v>0</v>
      </c>
      <c r="D533">
        <f>COUNTIF('Metrics - Articles'!H530,"*EMEA*")</f>
        <v>0</v>
      </c>
      <c r="E533">
        <f>COUNTIF('Metrics - Articles'!H530,"*NA*")</f>
        <v>0</v>
      </c>
      <c r="F533">
        <f>COUNTIF('Metrics - Articles'!H530,"*APJ")</f>
        <v>0</v>
      </c>
      <c r="G533">
        <f>COUNTIF('Metrics - Articles'!H530,"*LATAM*")</f>
        <v>0</v>
      </c>
      <c r="H533">
        <f>COUNTIF('Metrics - Articles'!H530,"*China*")</f>
        <v>0</v>
      </c>
      <c r="J533" s="53">
        <f t="shared" si="9"/>
        <v>0</v>
      </c>
    </row>
    <row r="534" spans="2:10" hidden="1" x14ac:dyDescent="0.25">
      <c r="B534" s="48">
        <f>+'Metrics - Articles'!C531</f>
        <v>0</v>
      </c>
      <c r="C534">
        <f>COUNTIF('Metrics - Articles'!H531,"*Global*")</f>
        <v>0</v>
      </c>
      <c r="D534">
        <f>COUNTIF('Metrics - Articles'!H531,"*EMEA*")</f>
        <v>0</v>
      </c>
      <c r="E534">
        <f>COUNTIF('Metrics - Articles'!H531,"*NA*")</f>
        <v>0</v>
      </c>
      <c r="F534">
        <f>COUNTIF('Metrics - Articles'!H531,"*APJ")</f>
        <v>0</v>
      </c>
      <c r="G534">
        <f>COUNTIF('Metrics - Articles'!H531,"*LATAM*")</f>
        <v>0</v>
      </c>
      <c r="H534">
        <f>COUNTIF('Metrics - Articles'!H531,"*China*")</f>
        <v>0</v>
      </c>
      <c r="J534" s="53">
        <f t="shared" si="9"/>
        <v>0</v>
      </c>
    </row>
    <row r="535" spans="2:10" hidden="1" x14ac:dyDescent="0.25">
      <c r="B535" s="48">
        <f>+'Metrics - Articles'!C532</f>
        <v>0</v>
      </c>
      <c r="C535">
        <f>COUNTIF('Metrics - Articles'!H532,"*Global*")</f>
        <v>0</v>
      </c>
      <c r="D535">
        <f>COUNTIF('Metrics - Articles'!H532,"*EMEA*")</f>
        <v>0</v>
      </c>
      <c r="E535">
        <f>COUNTIF('Metrics - Articles'!H532,"*NA*")</f>
        <v>0</v>
      </c>
      <c r="F535">
        <f>COUNTIF('Metrics - Articles'!H532,"*APJ")</f>
        <v>0</v>
      </c>
      <c r="G535">
        <f>COUNTIF('Metrics - Articles'!H532,"*LATAM*")</f>
        <v>0</v>
      </c>
      <c r="H535">
        <f>COUNTIF('Metrics - Articles'!H532,"*China*")</f>
        <v>0</v>
      </c>
      <c r="J535" s="53">
        <f t="shared" si="9"/>
        <v>0</v>
      </c>
    </row>
    <row r="536" spans="2:10" hidden="1" x14ac:dyDescent="0.25">
      <c r="B536" s="48">
        <f>+'Metrics - Articles'!C533</f>
        <v>0</v>
      </c>
      <c r="C536">
        <f>COUNTIF('Metrics - Articles'!H533,"*Global*")</f>
        <v>0</v>
      </c>
      <c r="D536">
        <f>COUNTIF('Metrics - Articles'!H533,"*EMEA*")</f>
        <v>0</v>
      </c>
      <c r="E536">
        <f>COUNTIF('Metrics - Articles'!H533,"*NA*")</f>
        <v>0</v>
      </c>
      <c r="F536">
        <f>COUNTIF('Metrics - Articles'!H533,"*APJ")</f>
        <v>0</v>
      </c>
      <c r="G536">
        <f>COUNTIF('Metrics - Articles'!H533,"*LATAM*")</f>
        <v>0</v>
      </c>
      <c r="H536">
        <f>COUNTIF('Metrics - Articles'!H533,"*China*")</f>
        <v>0</v>
      </c>
      <c r="J536" s="53">
        <f t="shared" si="9"/>
        <v>0</v>
      </c>
    </row>
    <row r="537" spans="2:10" hidden="1" x14ac:dyDescent="0.25">
      <c r="B537" s="48">
        <f>+'Metrics - Articles'!C534</f>
        <v>0</v>
      </c>
      <c r="C537">
        <f>COUNTIF('Metrics - Articles'!H534,"*Global*")</f>
        <v>0</v>
      </c>
      <c r="D537">
        <f>COUNTIF('Metrics - Articles'!H534,"*EMEA*")</f>
        <v>0</v>
      </c>
      <c r="E537">
        <f>COUNTIF('Metrics - Articles'!H534,"*NA*")</f>
        <v>0</v>
      </c>
      <c r="F537">
        <f>COUNTIF('Metrics - Articles'!H534,"*APJ")</f>
        <v>0</v>
      </c>
      <c r="G537">
        <f>COUNTIF('Metrics - Articles'!H534,"*LATAM*")</f>
        <v>0</v>
      </c>
      <c r="H537">
        <f>COUNTIF('Metrics - Articles'!H534,"*China*")</f>
        <v>0</v>
      </c>
      <c r="J537" s="53">
        <f t="shared" si="9"/>
        <v>0</v>
      </c>
    </row>
    <row r="538" spans="2:10" hidden="1" x14ac:dyDescent="0.25">
      <c r="B538" s="48">
        <f>+'Metrics - Articles'!C535</f>
        <v>0</v>
      </c>
      <c r="C538">
        <f>COUNTIF('Metrics - Articles'!H535,"*Global*")</f>
        <v>0</v>
      </c>
      <c r="D538">
        <f>COUNTIF('Metrics - Articles'!H535,"*EMEA*")</f>
        <v>0</v>
      </c>
      <c r="E538">
        <f>COUNTIF('Metrics - Articles'!H535,"*NA*")</f>
        <v>0</v>
      </c>
      <c r="F538">
        <f>COUNTIF('Metrics - Articles'!H535,"*APJ")</f>
        <v>0</v>
      </c>
      <c r="G538">
        <f>COUNTIF('Metrics - Articles'!H535,"*LATAM*")</f>
        <v>0</v>
      </c>
      <c r="H538">
        <f>COUNTIF('Metrics - Articles'!H535,"*China*")</f>
        <v>0</v>
      </c>
      <c r="J538" s="53">
        <f t="shared" si="9"/>
        <v>0</v>
      </c>
    </row>
    <row r="539" spans="2:10" hidden="1" x14ac:dyDescent="0.25">
      <c r="B539" s="48">
        <f>+'Metrics - Articles'!C536</f>
        <v>0</v>
      </c>
      <c r="C539">
        <f>COUNTIF('Metrics - Articles'!H536,"*Global*")</f>
        <v>0</v>
      </c>
      <c r="D539">
        <f>COUNTIF('Metrics - Articles'!H536,"*EMEA*")</f>
        <v>0</v>
      </c>
      <c r="E539">
        <f>COUNTIF('Metrics - Articles'!H536,"*NA*")</f>
        <v>0</v>
      </c>
      <c r="F539">
        <f>COUNTIF('Metrics - Articles'!H536,"*APJ")</f>
        <v>0</v>
      </c>
      <c r="G539">
        <f>COUNTIF('Metrics - Articles'!H536,"*LATAM*")</f>
        <v>0</v>
      </c>
      <c r="H539">
        <f>COUNTIF('Metrics - Articles'!H536,"*China*")</f>
        <v>0</v>
      </c>
      <c r="J539" s="53">
        <f t="shared" si="9"/>
        <v>0</v>
      </c>
    </row>
    <row r="540" spans="2:10" hidden="1" x14ac:dyDescent="0.25">
      <c r="B540" s="48">
        <f>+'Metrics - Articles'!C537</f>
        <v>0</v>
      </c>
      <c r="C540">
        <f>COUNTIF('Metrics - Articles'!H537,"*Global*")</f>
        <v>0</v>
      </c>
      <c r="D540">
        <f>COUNTIF('Metrics - Articles'!H537,"*EMEA*")</f>
        <v>0</v>
      </c>
      <c r="E540">
        <f>COUNTIF('Metrics - Articles'!H537,"*NA*")</f>
        <v>0</v>
      </c>
      <c r="F540">
        <f>COUNTIF('Metrics - Articles'!H537,"*APJ")</f>
        <v>0</v>
      </c>
      <c r="G540">
        <f>COUNTIF('Metrics - Articles'!H537,"*LATAM*")</f>
        <v>0</v>
      </c>
      <c r="H540">
        <f>COUNTIF('Metrics - Articles'!H537,"*China*")</f>
        <v>0</v>
      </c>
      <c r="J540" s="53">
        <f t="shared" si="9"/>
        <v>0</v>
      </c>
    </row>
    <row r="541" spans="2:10" hidden="1" x14ac:dyDescent="0.25">
      <c r="B541" s="48">
        <f>+'Metrics - Articles'!C538</f>
        <v>0</v>
      </c>
      <c r="C541">
        <f>COUNTIF('Metrics - Articles'!H538,"*Global*")</f>
        <v>0</v>
      </c>
      <c r="D541">
        <f>COUNTIF('Metrics - Articles'!H538,"*EMEA*")</f>
        <v>0</v>
      </c>
      <c r="E541">
        <f>COUNTIF('Metrics - Articles'!H538,"*NA*")</f>
        <v>0</v>
      </c>
      <c r="F541">
        <f>COUNTIF('Metrics - Articles'!H538,"*APJ")</f>
        <v>0</v>
      </c>
      <c r="G541">
        <f>COUNTIF('Metrics - Articles'!H538,"*LATAM*")</f>
        <v>0</v>
      </c>
      <c r="H541">
        <f>COUNTIF('Metrics - Articles'!H538,"*China*")</f>
        <v>0</v>
      </c>
      <c r="J541" s="53">
        <f t="shared" si="9"/>
        <v>0</v>
      </c>
    </row>
    <row r="542" spans="2:10" hidden="1" x14ac:dyDescent="0.25">
      <c r="B542" s="48">
        <f>+'Metrics - Articles'!C539</f>
        <v>0</v>
      </c>
      <c r="C542">
        <f>COUNTIF('Metrics - Articles'!H539,"*Global*")</f>
        <v>0</v>
      </c>
      <c r="D542">
        <f>COUNTIF('Metrics - Articles'!H539,"*EMEA*")</f>
        <v>0</v>
      </c>
      <c r="E542">
        <f>COUNTIF('Metrics - Articles'!H539,"*NA*")</f>
        <v>0</v>
      </c>
      <c r="F542">
        <f>COUNTIF('Metrics - Articles'!H539,"*APJ")</f>
        <v>0</v>
      </c>
      <c r="G542">
        <f>COUNTIF('Metrics - Articles'!H539,"*LATAM*")</f>
        <v>0</v>
      </c>
      <c r="H542">
        <f>COUNTIF('Metrics - Articles'!H539,"*China*")</f>
        <v>0</v>
      </c>
      <c r="J542" s="53">
        <f t="shared" si="9"/>
        <v>0</v>
      </c>
    </row>
    <row r="543" spans="2:10" hidden="1" x14ac:dyDescent="0.25">
      <c r="B543" s="48">
        <f>+'Metrics - Articles'!C540</f>
        <v>0</v>
      </c>
      <c r="C543">
        <f>COUNTIF('Metrics - Articles'!H540,"*Global*")</f>
        <v>0</v>
      </c>
      <c r="D543">
        <f>COUNTIF('Metrics - Articles'!H540,"*EMEA*")</f>
        <v>0</v>
      </c>
      <c r="E543">
        <f>COUNTIF('Metrics - Articles'!H540,"*NA*")</f>
        <v>0</v>
      </c>
      <c r="F543">
        <f>COUNTIF('Metrics - Articles'!H540,"*APJ")</f>
        <v>0</v>
      </c>
      <c r="G543">
        <f>COUNTIF('Metrics - Articles'!H540,"*LATAM*")</f>
        <v>0</v>
      </c>
      <c r="H543">
        <f>COUNTIF('Metrics - Articles'!H540,"*China*")</f>
        <v>0</v>
      </c>
      <c r="J543" s="53">
        <f t="shared" si="9"/>
        <v>0</v>
      </c>
    </row>
    <row r="544" spans="2:10" hidden="1" x14ac:dyDescent="0.25">
      <c r="B544" s="48">
        <f>+'Metrics - Articles'!C541</f>
        <v>0</v>
      </c>
      <c r="C544">
        <f>COUNTIF('Metrics - Articles'!H541,"*Global*")</f>
        <v>0</v>
      </c>
      <c r="D544">
        <f>COUNTIF('Metrics - Articles'!H541,"*EMEA*")</f>
        <v>0</v>
      </c>
      <c r="E544">
        <f>COUNTIF('Metrics - Articles'!H541,"*NA*")</f>
        <v>0</v>
      </c>
      <c r="F544">
        <f>COUNTIF('Metrics - Articles'!H541,"*APJ")</f>
        <v>0</v>
      </c>
      <c r="G544">
        <f>COUNTIF('Metrics - Articles'!H541,"*LATAM*")</f>
        <v>0</v>
      </c>
      <c r="H544">
        <f>COUNTIF('Metrics - Articles'!H541,"*China*")</f>
        <v>0</v>
      </c>
      <c r="J544" s="53">
        <f t="shared" si="9"/>
        <v>0</v>
      </c>
    </row>
    <row r="545" spans="2:10" hidden="1" x14ac:dyDescent="0.25">
      <c r="B545" s="48">
        <f>+'Metrics - Articles'!C542</f>
        <v>0</v>
      </c>
      <c r="C545">
        <f>COUNTIF('Metrics - Articles'!H542,"*Global*")</f>
        <v>0</v>
      </c>
      <c r="D545">
        <f>COUNTIF('Metrics - Articles'!H542,"*EMEA*")</f>
        <v>0</v>
      </c>
      <c r="E545">
        <f>COUNTIF('Metrics - Articles'!H542,"*NA*")</f>
        <v>0</v>
      </c>
      <c r="F545">
        <f>COUNTIF('Metrics - Articles'!H542,"*APJ")</f>
        <v>0</v>
      </c>
      <c r="G545">
        <f>COUNTIF('Metrics - Articles'!H542,"*LATAM*")</f>
        <v>0</v>
      </c>
      <c r="H545">
        <f>COUNTIF('Metrics - Articles'!H542,"*China*")</f>
        <v>0</v>
      </c>
      <c r="J545" s="53">
        <f t="shared" si="9"/>
        <v>0</v>
      </c>
    </row>
    <row r="546" spans="2:10" hidden="1" x14ac:dyDescent="0.25">
      <c r="B546" s="48">
        <f>+'Metrics - Articles'!C543</f>
        <v>0</v>
      </c>
      <c r="C546">
        <f>COUNTIF('Metrics - Articles'!H543,"*Global*")</f>
        <v>0</v>
      </c>
      <c r="D546">
        <f>COUNTIF('Metrics - Articles'!H543,"*EMEA*")</f>
        <v>0</v>
      </c>
      <c r="E546">
        <f>COUNTIF('Metrics - Articles'!H543,"*NA*")</f>
        <v>0</v>
      </c>
      <c r="F546">
        <f>COUNTIF('Metrics - Articles'!H543,"*APJ")</f>
        <v>0</v>
      </c>
      <c r="G546">
        <f>COUNTIF('Metrics - Articles'!H543,"*LATAM*")</f>
        <v>0</v>
      </c>
      <c r="H546">
        <f>COUNTIF('Metrics - Articles'!H543,"*China*")</f>
        <v>0</v>
      </c>
      <c r="J546" s="53">
        <f t="shared" si="9"/>
        <v>0</v>
      </c>
    </row>
    <row r="547" spans="2:10" hidden="1" x14ac:dyDescent="0.25">
      <c r="B547" s="48">
        <f>+'Metrics - Articles'!C544</f>
        <v>0</v>
      </c>
      <c r="C547">
        <f>COUNTIF('Metrics - Articles'!H544,"*Global*")</f>
        <v>0</v>
      </c>
      <c r="D547">
        <f>COUNTIF('Metrics - Articles'!H544,"*EMEA*")</f>
        <v>0</v>
      </c>
      <c r="E547">
        <f>COUNTIF('Metrics - Articles'!H544,"*NA*")</f>
        <v>0</v>
      </c>
      <c r="F547">
        <f>COUNTIF('Metrics - Articles'!H544,"*APJ")</f>
        <v>0</v>
      </c>
      <c r="G547">
        <f>COUNTIF('Metrics - Articles'!H544,"*LATAM*")</f>
        <v>0</v>
      </c>
      <c r="H547">
        <f>COUNTIF('Metrics - Articles'!H544,"*China*")</f>
        <v>0</v>
      </c>
      <c r="J547" s="53">
        <f t="shared" si="9"/>
        <v>0</v>
      </c>
    </row>
    <row r="548" spans="2:10" hidden="1" x14ac:dyDescent="0.25">
      <c r="B548" s="48">
        <f>+'Metrics - Articles'!C545</f>
        <v>0</v>
      </c>
      <c r="C548">
        <f>COUNTIF('Metrics - Articles'!H545,"*Global*")</f>
        <v>0</v>
      </c>
      <c r="D548">
        <f>COUNTIF('Metrics - Articles'!H545,"*EMEA*")</f>
        <v>0</v>
      </c>
      <c r="E548">
        <f>COUNTIF('Metrics - Articles'!H545,"*NA*")</f>
        <v>0</v>
      </c>
      <c r="F548">
        <f>COUNTIF('Metrics - Articles'!H545,"*APJ")</f>
        <v>0</v>
      </c>
      <c r="G548">
        <f>COUNTIF('Metrics - Articles'!H545,"*LATAM*")</f>
        <v>0</v>
      </c>
      <c r="H548">
        <f>COUNTIF('Metrics - Articles'!H545,"*China*")</f>
        <v>0</v>
      </c>
      <c r="J548" s="53">
        <f t="shared" si="9"/>
        <v>0</v>
      </c>
    </row>
    <row r="549" spans="2:10" hidden="1" x14ac:dyDescent="0.25">
      <c r="B549" s="48">
        <f>+'Metrics - Articles'!C546</f>
        <v>0</v>
      </c>
      <c r="C549">
        <f>COUNTIF('Metrics - Articles'!H546,"*Global*")</f>
        <v>0</v>
      </c>
      <c r="D549">
        <f>COUNTIF('Metrics - Articles'!H546,"*EMEA*")</f>
        <v>0</v>
      </c>
      <c r="E549">
        <f>COUNTIF('Metrics - Articles'!H546,"*NA*")</f>
        <v>0</v>
      </c>
      <c r="F549">
        <f>COUNTIF('Metrics - Articles'!H546,"*APJ")</f>
        <v>0</v>
      </c>
      <c r="G549">
        <f>COUNTIF('Metrics - Articles'!H546,"*LATAM*")</f>
        <v>0</v>
      </c>
      <c r="H549">
        <f>COUNTIF('Metrics - Articles'!H546,"*China*")</f>
        <v>0</v>
      </c>
      <c r="J549" s="53">
        <f t="shared" si="9"/>
        <v>0</v>
      </c>
    </row>
    <row r="550" spans="2:10" hidden="1" x14ac:dyDescent="0.25">
      <c r="B550" s="48">
        <f>+'Metrics - Articles'!C547</f>
        <v>0</v>
      </c>
      <c r="C550">
        <f>COUNTIF('Metrics - Articles'!H547,"*Global*")</f>
        <v>0</v>
      </c>
      <c r="D550">
        <f>COUNTIF('Metrics - Articles'!H547,"*EMEA*")</f>
        <v>0</v>
      </c>
      <c r="E550">
        <f>COUNTIF('Metrics - Articles'!H547,"*NA*")</f>
        <v>0</v>
      </c>
      <c r="F550">
        <f>COUNTIF('Metrics - Articles'!H547,"*APJ")</f>
        <v>0</v>
      </c>
      <c r="G550">
        <f>COUNTIF('Metrics - Articles'!H547,"*LATAM*")</f>
        <v>0</v>
      </c>
      <c r="H550">
        <f>COUNTIF('Metrics - Articles'!H547,"*China*")</f>
        <v>0</v>
      </c>
      <c r="J550" s="53">
        <f t="shared" si="9"/>
        <v>0</v>
      </c>
    </row>
    <row r="551" spans="2:10" hidden="1" x14ac:dyDescent="0.25">
      <c r="B551" s="48">
        <f>+'Metrics - Articles'!C548</f>
        <v>0</v>
      </c>
      <c r="C551">
        <f>COUNTIF('Metrics - Articles'!H548,"*Global*")</f>
        <v>0</v>
      </c>
      <c r="D551">
        <f>COUNTIF('Metrics - Articles'!H548,"*EMEA*")</f>
        <v>0</v>
      </c>
      <c r="E551">
        <f>COUNTIF('Metrics - Articles'!H548,"*NA*")</f>
        <v>0</v>
      </c>
      <c r="F551">
        <f>COUNTIF('Metrics - Articles'!H548,"*APJ")</f>
        <v>0</v>
      </c>
      <c r="G551">
        <f>COUNTIF('Metrics - Articles'!H548,"*LATAM*")</f>
        <v>0</v>
      </c>
      <c r="H551">
        <f>COUNTIF('Metrics - Articles'!H548,"*China*")</f>
        <v>0</v>
      </c>
      <c r="J551" s="53">
        <f t="shared" si="9"/>
        <v>0</v>
      </c>
    </row>
    <row r="552" spans="2:10" hidden="1" x14ac:dyDescent="0.25">
      <c r="B552" s="48">
        <f>+'Metrics - Articles'!C549</f>
        <v>0</v>
      </c>
      <c r="C552">
        <f>COUNTIF('Metrics - Articles'!H549,"*Global*")</f>
        <v>0</v>
      </c>
      <c r="D552">
        <f>COUNTIF('Metrics - Articles'!H549,"*EMEA*")</f>
        <v>0</v>
      </c>
      <c r="E552">
        <f>COUNTIF('Metrics - Articles'!H549,"*NA*")</f>
        <v>0</v>
      </c>
      <c r="F552">
        <f>COUNTIF('Metrics - Articles'!H549,"*APJ")</f>
        <v>0</v>
      </c>
      <c r="G552">
        <f>COUNTIF('Metrics - Articles'!H549,"*LATAM*")</f>
        <v>0</v>
      </c>
      <c r="H552">
        <f>COUNTIF('Metrics - Articles'!H549,"*China*")</f>
        <v>0</v>
      </c>
      <c r="J552" s="53">
        <f t="shared" si="9"/>
        <v>0</v>
      </c>
    </row>
    <row r="553" spans="2:10" hidden="1" x14ac:dyDescent="0.25">
      <c r="B553" s="48">
        <f>+'Metrics - Articles'!C550</f>
        <v>0</v>
      </c>
      <c r="C553">
        <f>COUNTIF('Metrics - Articles'!H550,"*Global*")</f>
        <v>0</v>
      </c>
      <c r="D553">
        <f>COUNTIF('Metrics - Articles'!H550,"*EMEA*")</f>
        <v>0</v>
      </c>
      <c r="E553">
        <f>COUNTIF('Metrics - Articles'!H550,"*NA*")</f>
        <v>0</v>
      </c>
      <c r="F553">
        <f>COUNTIF('Metrics - Articles'!H550,"*APJ")</f>
        <v>0</v>
      </c>
      <c r="G553">
        <f>COUNTIF('Metrics - Articles'!H550,"*LATAM*")</f>
        <v>0</v>
      </c>
      <c r="H553">
        <f>COUNTIF('Metrics - Articles'!H550,"*China*")</f>
        <v>0</v>
      </c>
      <c r="J553" s="53">
        <f t="shared" si="9"/>
        <v>0</v>
      </c>
    </row>
    <row r="554" spans="2:10" hidden="1" x14ac:dyDescent="0.25">
      <c r="B554" s="48">
        <f>+'Metrics - Articles'!C551</f>
        <v>0</v>
      </c>
      <c r="C554">
        <f>COUNTIF('Metrics - Articles'!H551,"*Global*")</f>
        <v>0</v>
      </c>
      <c r="D554">
        <f>COUNTIF('Metrics - Articles'!H551,"*EMEA*")</f>
        <v>0</v>
      </c>
      <c r="E554">
        <f>COUNTIF('Metrics - Articles'!H551,"*NA*")</f>
        <v>0</v>
      </c>
      <c r="F554">
        <f>COUNTIF('Metrics - Articles'!H551,"*APJ")</f>
        <v>0</v>
      </c>
      <c r="G554">
        <f>COUNTIF('Metrics - Articles'!H551,"*LATAM*")</f>
        <v>0</v>
      </c>
      <c r="H554">
        <f>COUNTIF('Metrics - Articles'!H551,"*China*")</f>
        <v>0</v>
      </c>
      <c r="J554" s="53">
        <f t="shared" si="9"/>
        <v>0</v>
      </c>
    </row>
    <row r="555" spans="2:10" hidden="1" x14ac:dyDescent="0.25">
      <c r="B555" s="48">
        <f>+'Metrics - Articles'!C552</f>
        <v>0</v>
      </c>
      <c r="C555">
        <f>COUNTIF('Metrics - Articles'!H552,"*Global*")</f>
        <v>0</v>
      </c>
      <c r="D555">
        <f>COUNTIF('Metrics - Articles'!H552,"*EMEA*")</f>
        <v>0</v>
      </c>
      <c r="E555">
        <f>COUNTIF('Metrics - Articles'!H552,"*NA*")</f>
        <v>0</v>
      </c>
      <c r="F555">
        <f>COUNTIF('Metrics - Articles'!H552,"*APJ")</f>
        <v>0</v>
      </c>
      <c r="G555">
        <f>COUNTIF('Metrics - Articles'!H552,"*LATAM*")</f>
        <v>0</v>
      </c>
      <c r="H555">
        <f>COUNTIF('Metrics - Articles'!H552,"*China*")</f>
        <v>0</v>
      </c>
      <c r="J555" s="53">
        <f t="shared" si="9"/>
        <v>0</v>
      </c>
    </row>
    <row r="556" spans="2:10" hidden="1" x14ac:dyDescent="0.25">
      <c r="B556" s="48">
        <f>+'Metrics - Articles'!C553</f>
        <v>0</v>
      </c>
      <c r="C556">
        <f>COUNTIF('Metrics - Articles'!H553,"*Global*")</f>
        <v>0</v>
      </c>
      <c r="D556">
        <f>COUNTIF('Metrics - Articles'!H553,"*EMEA*")</f>
        <v>0</v>
      </c>
      <c r="E556">
        <f>COUNTIF('Metrics - Articles'!H553,"*NA*")</f>
        <v>0</v>
      </c>
      <c r="F556">
        <f>COUNTIF('Metrics - Articles'!H553,"*APJ")</f>
        <v>0</v>
      </c>
      <c r="G556">
        <f>COUNTIF('Metrics - Articles'!H553,"*LATAM*")</f>
        <v>0</v>
      </c>
      <c r="H556">
        <f>COUNTIF('Metrics - Articles'!H553,"*China*")</f>
        <v>0</v>
      </c>
      <c r="J556" s="53">
        <f t="shared" si="9"/>
        <v>0</v>
      </c>
    </row>
    <row r="557" spans="2:10" hidden="1" x14ac:dyDescent="0.25">
      <c r="B557" s="48">
        <f>+'Metrics - Articles'!C554</f>
        <v>0</v>
      </c>
      <c r="C557">
        <f>COUNTIF('Metrics - Articles'!H554,"*Global*")</f>
        <v>0</v>
      </c>
      <c r="D557">
        <f>COUNTIF('Metrics - Articles'!H554,"*EMEA*")</f>
        <v>0</v>
      </c>
      <c r="E557">
        <f>COUNTIF('Metrics - Articles'!H554,"*NA*")</f>
        <v>0</v>
      </c>
      <c r="F557">
        <f>COUNTIF('Metrics - Articles'!H554,"*APJ")</f>
        <v>0</v>
      </c>
      <c r="G557">
        <f>COUNTIF('Metrics - Articles'!H554,"*LATAM*")</f>
        <v>0</v>
      </c>
      <c r="H557">
        <f>COUNTIF('Metrics - Articles'!H554,"*China*")</f>
        <v>0</v>
      </c>
      <c r="J557" s="53">
        <f t="shared" si="9"/>
        <v>0</v>
      </c>
    </row>
    <row r="558" spans="2:10" hidden="1" x14ac:dyDescent="0.25">
      <c r="B558" s="48">
        <f>+'Metrics - Articles'!C555</f>
        <v>0</v>
      </c>
      <c r="C558">
        <f>COUNTIF('Metrics - Articles'!H555,"*Global*")</f>
        <v>0</v>
      </c>
      <c r="D558">
        <f>COUNTIF('Metrics - Articles'!H555,"*EMEA*")</f>
        <v>0</v>
      </c>
      <c r="E558">
        <f>COUNTIF('Metrics - Articles'!H555,"*NA*")</f>
        <v>0</v>
      </c>
      <c r="F558">
        <f>COUNTIF('Metrics - Articles'!H555,"*APJ")</f>
        <v>0</v>
      </c>
      <c r="G558">
        <f>COUNTIF('Metrics - Articles'!H555,"*LATAM*")</f>
        <v>0</v>
      </c>
      <c r="H558">
        <f>COUNTIF('Metrics - Articles'!H555,"*China*")</f>
        <v>0</v>
      </c>
      <c r="J558" s="53">
        <f t="shared" si="9"/>
        <v>0</v>
      </c>
    </row>
    <row r="559" spans="2:10" hidden="1" x14ac:dyDescent="0.25">
      <c r="B559" s="48">
        <f>+'Metrics - Articles'!C556</f>
        <v>0</v>
      </c>
      <c r="C559">
        <f>COUNTIF('Metrics - Articles'!H556,"*Global*")</f>
        <v>0</v>
      </c>
      <c r="D559">
        <f>COUNTIF('Metrics - Articles'!H556,"*EMEA*")</f>
        <v>0</v>
      </c>
      <c r="E559">
        <f>COUNTIF('Metrics - Articles'!H556,"*NA*")</f>
        <v>0</v>
      </c>
      <c r="F559">
        <f>COUNTIF('Metrics - Articles'!H556,"*APJ")</f>
        <v>0</v>
      </c>
      <c r="G559">
        <f>COUNTIF('Metrics - Articles'!H556,"*LATAM*")</f>
        <v>0</v>
      </c>
      <c r="H559">
        <f>COUNTIF('Metrics - Articles'!H556,"*China*")</f>
        <v>0</v>
      </c>
      <c r="J559" s="53">
        <f t="shared" si="9"/>
        <v>0</v>
      </c>
    </row>
    <row r="560" spans="2:10" hidden="1" x14ac:dyDescent="0.25">
      <c r="B560" s="48">
        <f>+'Metrics - Articles'!C557</f>
        <v>0</v>
      </c>
      <c r="C560">
        <f>COUNTIF('Metrics - Articles'!H557,"*Global*")</f>
        <v>0</v>
      </c>
      <c r="D560">
        <f>COUNTIF('Metrics - Articles'!H557,"*EMEA*")</f>
        <v>0</v>
      </c>
      <c r="E560">
        <f>COUNTIF('Metrics - Articles'!H557,"*NA*")</f>
        <v>0</v>
      </c>
      <c r="F560">
        <f>COUNTIF('Metrics - Articles'!H557,"*APJ")</f>
        <v>0</v>
      </c>
      <c r="G560">
        <f>COUNTIF('Metrics - Articles'!H557,"*LATAM*")</f>
        <v>0</v>
      </c>
      <c r="H560">
        <f>COUNTIF('Metrics - Articles'!H557,"*China*")</f>
        <v>0</v>
      </c>
      <c r="J560" s="53">
        <f t="shared" si="9"/>
        <v>0</v>
      </c>
    </row>
    <row r="561" spans="2:10" hidden="1" x14ac:dyDescent="0.25">
      <c r="B561" s="48">
        <f>+'Metrics - Articles'!C558</f>
        <v>0</v>
      </c>
      <c r="C561">
        <f>COUNTIF('Metrics - Articles'!H558,"*Global*")</f>
        <v>0</v>
      </c>
      <c r="D561">
        <f>COUNTIF('Metrics - Articles'!H558,"*EMEA*")</f>
        <v>0</v>
      </c>
      <c r="E561">
        <f>COUNTIF('Metrics - Articles'!H558,"*NA*")</f>
        <v>0</v>
      </c>
      <c r="F561">
        <f>COUNTIF('Metrics - Articles'!H558,"*APJ")</f>
        <v>0</v>
      </c>
      <c r="G561">
        <f>COUNTIF('Metrics - Articles'!H558,"*LATAM*")</f>
        <v>0</v>
      </c>
      <c r="H561">
        <f>COUNTIF('Metrics - Articles'!H558,"*China*")</f>
        <v>0</v>
      </c>
      <c r="J561" s="53">
        <f t="shared" si="9"/>
        <v>0</v>
      </c>
    </row>
    <row r="562" spans="2:10" hidden="1" x14ac:dyDescent="0.25">
      <c r="B562" s="48">
        <f>+'Metrics - Articles'!C559</f>
        <v>0</v>
      </c>
      <c r="C562">
        <f>COUNTIF('Metrics - Articles'!H559,"*Global*")</f>
        <v>0</v>
      </c>
      <c r="D562">
        <f>COUNTIF('Metrics - Articles'!H559,"*EMEA*")</f>
        <v>0</v>
      </c>
      <c r="E562">
        <f>COUNTIF('Metrics - Articles'!H559,"*NA*")</f>
        <v>0</v>
      </c>
      <c r="F562">
        <f>COUNTIF('Metrics - Articles'!H559,"*APJ")</f>
        <v>0</v>
      </c>
      <c r="G562">
        <f>COUNTIF('Metrics - Articles'!H559,"*LATAM*")</f>
        <v>0</v>
      </c>
      <c r="H562">
        <f>COUNTIF('Metrics - Articles'!H559,"*China*")</f>
        <v>0</v>
      </c>
      <c r="J562" s="53">
        <f t="shared" si="9"/>
        <v>0</v>
      </c>
    </row>
    <row r="563" spans="2:10" hidden="1" x14ac:dyDescent="0.25">
      <c r="B563" s="48">
        <f>+'Metrics - Articles'!C560</f>
        <v>0</v>
      </c>
      <c r="C563">
        <f>COUNTIF('Metrics - Articles'!H560,"*Global*")</f>
        <v>0</v>
      </c>
      <c r="D563">
        <f>COUNTIF('Metrics - Articles'!H560,"*EMEA*")</f>
        <v>0</v>
      </c>
      <c r="E563">
        <f>COUNTIF('Metrics - Articles'!H560,"*NA*")</f>
        <v>0</v>
      </c>
      <c r="F563">
        <f>COUNTIF('Metrics - Articles'!H560,"*APJ")</f>
        <v>0</v>
      </c>
      <c r="G563">
        <f>COUNTIF('Metrics - Articles'!H560,"*LATAM*")</f>
        <v>0</v>
      </c>
      <c r="H563">
        <f>COUNTIF('Metrics - Articles'!H560,"*China*")</f>
        <v>0</v>
      </c>
      <c r="J563" s="53">
        <f t="shared" si="9"/>
        <v>0</v>
      </c>
    </row>
    <row r="564" spans="2:10" hidden="1" x14ac:dyDescent="0.25">
      <c r="B564" s="48">
        <f>+'Metrics - Articles'!C561</f>
        <v>0</v>
      </c>
      <c r="C564">
        <f>COUNTIF('Metrics - Articles'!H561,"*Global*")</f>
        <v>0</v>
      </c>
      <c r="D564">
        <f>COUNTIF('Metrics - Articles'!H561,"*EMEA*")</f>
        <v>0</v>
      </c>
      <c r="E564">
        <f>COUNTIF('Metrics - Articles'!H561,"*NA*")</f>
        <v>0</v>
      </c>
      <c r="F564">
        <f>COUNTIF('Metrics - Articles'!H561,"*APJ")</f>
        <v>0</v>
      </c>
      <c r="G564">
        <f>COUNTIF('Metrics - Articles'!H561,"*LATAM*")</f>
        <v>0</v>
      </c>
      <c r="H564">
        <f>COUNTIF('Metrics - Articles'!H561,"*China*")</f>
        <v>0</v>
      </c>
      <c r="J564" s="53">
        <f t="shared" si="9"/>
        <v>0</v>
      </c>
    </row>
    <row r="565" spans="2:10" hidden="1" x14ac:dyDescent="0.25">
      <c r="B565" s="48">
        <f>+'Metrics - Articles'!C562</f>
        <v>0</v>
      </c>
      <c r="C565">
        <f>COUNTIF('Metrics - Articles'!H562,"*Global*")</f>
        <v>0</v>
      </c>
      <c r="D565">
        <f>COUNTIF('Metrics - Articles'!H562,"*EMEA*")</f>
        <v>0</v>
      </c>
      <c r="E565">
        <f>COUNTIF('Metrics - Articles'!H562,"*NA*")</f>
        <v>0</v>
      </c>
      <c r="F565">
        <f>COUNTIF('Metrics - Articles'!H562,"*APJ")</f>
        <v>0</v>
      </c>
      <c r="G565">
        <f>COUNTIF('Metrics - Articles'!H562,"*LATAM*")</f>
        <v>0</v>
      </c>
      <c r="H565">
        <f>COUNTIF('Metrics - Articles'!H562,"*China*")</f>
        <v>0</v>
      </c>
      <c r="J565" s="53">
        <f t="shared" si="9"/>
        <v>0</v>
      </c>
    </row>
    <row r="566" spans="2:10" hidden="1" x14ac:dyDescent="0.25">
      <c r="B566" s="48">
        <f>+'Metrics - Articles'!C563</f>
        <v>0</v>
      </c>
      <c r="C566">
        <f>COUNTIF('Metrics - Articles'!H563,"*Global*")</f>
        <v>0</v>
      </c>
      <c r="D566">
        <f>COUNTIF('Metrics - Articles'!H563,"*EMEA*")</f>
        <v>0</v>
      </c>
      <c r="E566">
        <f>COUNTIF('Metrics - Articles'!H563,"*NA*")</f>
        <v>0</v>
      </c>
      <c r="F566">
        <f>COUNTIF('Metrics - Articles'!H563,"*APJ")</f>
        <v>0</v>
      </c>
      <c r="G566">
        <f>COUNTIF('Metrics - Articles'!H563,"*LATAM*")</f>
        <v>0</v>
      </c>
      <c r="H566">
        <f>COUNTIF('Metrics - Articles'!H563,"*China*")</f>
        <v>0</v>
      </c>
      <c r="J566" s="53">
        <f t="shared" si="9"/>
        <v>0</v>
      </c>
    </row>
    <row r="567" spans="2:10" hidden="1" x14ac:dyDescent="0.25">
      <c r="B567" s="48">
        <f>+'Metrics - Articles'!C564</f>
        <v>0</v>
      </c>
      <c r="C567">
        <f>COUNTIF('Metrics - Articles'!H564,"*Global*")</f>
        <v>0</v>
      </c>
      <c r="D567">
        <f>COUNTIF('Metrics - Articles'!H564,"*EMEA*")</f>
        <v>0</v>
      </c>
      <c r="E567">
        <f>COUNTIF('Metrics - Articles'!H564,"*NA*")</f>
        <v>0</v>
      </c>
      <c r="F567">
        <f>COUNTIF('Metrics - Articles'!H564,"*APJ")</f>
        <v>0</v>
      </c>
      <c r="G567">
        <f>COUNTIF('Metrics - Articles'!H564,"*LATAM*")</f>
        <v>0</v>
      </c>
      <c r="H567">
        <f>COUNTIF('Metrics - Articles'!H564,"*China*")</f>
        <v>0</v>
      </c>
      <c r="J567" s="53">
        <f t="shared" si="9"/>
        <v>0</v>
      </c>
    </row>
    <row r="568" spans="2:10" hidden="1" x14ac:dyDescent="0.25">
      <c r="B568" s="48">
        <f>+'Metrics - Articles'!C565</f>
        <v>0</v>
      </c>
      <c r="C568">
        <f>COUNTIF('Metrics - Articles'!H565,"*Global*")</f>
        <v>0</v>
      </c>
      <c r="D568">
        <f>COUNTIF('Metrics - Articles'!H565,"*EMEA*")</f>
        <v>0</v>
      </c>
      <c r="E568">
        <f>COUNTIF('Metrics - Articles'!H565,"*NA*")</f>
        <v>0</v>
      </c>
      <c r="F568">
        <f>COUNTIF('Metrics - Articles'!H565,"*APJ")</f>
        <v>0</v>
      </c>
      <c r="G568">
        <f>COUNTIF('Metrics - Articles'!H565,"*LATAM*")</f>
        <v>0</v>
      </c>
      <c r="H568">
        <f>COUNTIF('Metrics - Articles'!H565,"*China*")</f>
        <v>0</v>
      </c>
      <c r="J568" s="53">
        <f t="shared" si="9"/>
        <v>0</v>
      </c>
    </row>
    <row r="569" spans="2:10" hidden="1" x14ac:dyDescent="0.25">
      <c r="B569" s="48">
        <f>+'Metrics - Articles'!C566</f>
        <v>0</v>
      </c>
      <c r="C569">
        <f>COUNTIF('Metrics - Articles'!H566,"*Global*")</f>
        <v>0</v>
      </c>
      <c r="D569">
        <f>COUNTIF('Metrics - Articles'!H566,"*EMEA*")</f>
        <v>0</v>
      </c>
      <c r="E569">
        <f>COUNTIF('Metrics - Articles'!H566,"*NA*")</f>
        <v>0</v>
      </c>
      <c r="F569">
        <f>COUNTIF('Metrics - Articles'!H566,"*APJ")</f>
        <v>0</v>
      </c>
      <c r="G569">
        <f>COUNTIF('Metrics - Articles'!H566,"*LATAM*")</f>
        <v>0</v>
      </c>
      <c r="H569">
        <f>COUNTIF('Metrics - Articles'!H566,"*China*")</f>
        <v>0</v>
      </c>
      <c r="J569" s="53">
        <f t="shared" si="9"/>
        <v>0</v>
      </c>
    </row>
    <row r="570" spans="2:10" hidden="1" x14ac:dyDescent="0.25">
      <c r="B570" s="48">
        <f>+'Metrics - Articles'!C567</f>
        <v>0</v>
      </c>
      <c r="C570">
        <f>COUNTIF('Metrics - Articles'!H567,"*Global*")</f>
        <v>0</v>
      </c>
      <c r="D570">
        <f>COUNTIF('Metrics - Articles'!H567,"*EMEA*")</f>
        <v>0</v>
      </c>
      <c r="E570">
        <f>COUNTIF('Metrics - Articles'!H567,"*NA*")</f>
        <v>0</v>
      </c>
      <c r="F570">
        <f>COUNTIF('Metrics - Articles'!H567,"*APJ")</f>
        <v>0</v>
      </c>
      <c r="G570">
        <f>COUNTIF('Metrics - Articles'!H567,"*LATAM*")</f>
        <v>0</v>
      </c>
      <c r="H570">
        <f>COUNTIF('Metrics - Articles'!H567,"*China*")</f>
        <v>0</v>
      </c>
      <c r="J570" s="53">
        <f t="shared" si="9"/>
        <v>0</v>
      </c>
    </row>
    <row r="571" spans="2:10" hidden="1" x14ac:dyDescent="0.25">
      <c r="B571" s="48">
        <f>+'Metrics - Articles'!C568</f>
        <v>0</v>
      </c>
      <c r="C571">
        <f>COUNTIF('Metrics - Articles'!H568,"*Global*")</f>
        <v>0</v>
      </c>
      <c r="D571">
        <f>COUNTIF('Metrics - Articles'!H568,"*EMEA*")</f>
        <v>0</v>
      </c>
      <c r="E571">
        <f>COUNTIF('Metrics - Articles'!H568,"*NA*")</f>
        <v>0</v>
      </c>
      <c r="F571">
        <f>COUNTIF('Metrics - Articles'!H568,"*APJ")</f>
        <v>0</v>
      </c>
      <c r="G571">
        <f>COUNTIF('Metrics - Articles'!H568,"*LATAM*")</f>
        <v>0</v>
      </c>
      <c r="H571">
        <f>COUNTIF('Metrics - Articles'!H568,"*China*")</f>
        <v>0</v>
      </c>
      <c r="J571" s="53">
        <f t="shared" si="9"/>
        <v>0</v>
      </c>
    </row>
    <row r="572" spans="2:10" hidden="1" x14ac:dyDescent="0.25">
      <c r="B572" s="48">
        <f>+'Metrics - Articles'!C569</f>
        <v>0</v>
      </c>
      <c r="C572">
        <f>COUNTIF('Metrics - Articles'!H569,"*Global*")</f>
        <v>0</v>
      </c>
      <c r="D572">
        <f>COUNTIF('Metrics - Articles'!H569,"*EMEA*")</f>
        <v>0</v>
      </c>
      <c r="E572">
        <f>COUNTIF('Metrics - Articles'!H569,"*NA*")</f>
        <v>0</v>
      </c>
      <c r="F572">
        <f>COUNTIF('Metrics - Articles'!H569,"*APJ")</f>
        <v>0</v>
      </c>
      <c r="G572">
        <f>COUNTIF('Metrics - Articles'!H569,"*LATAM*")</f>
        <v>0</v>
      </c>
      <c r="H572">
        <f>COUNTIF('Metrics - Articles'!H569,"*China*")</f>
        <v>0</v>
      </c>
      <c r="J572" s="53">
        <f t="shared" si="9"/>
        <v>0</v>
      </c>
    </row>
    <row r="573" spans="2:10" hidden="1" x14ac:dyDescent="0.25">
      <c r="B573" s="48">
        <f>+'Metrics - Articles'!C570</f>
        <v>0</v>
      </c>
      <c r="C573">
        <f>COUNTIF('Metrics - Articles'!H570,"*Global*")</f>
        <v>0</v>
      </c>
      <c r="D573">
        <f>COUNTIF('Metrics - Articles'!H570,"*EMEA*")</f>
        <v>0</v>
      </c>
      <c r="E573">
        <f>COUNTIF('Metrics - Articles'!H570,"*NA*")</f>
        <v>0</v>
      </c>
      <c r="F573">
        <f>COUNTIF('Metrics - Articles'!H570,"*APJ")</f>
        <v>0</v>
      </c>
      <c r="G573">
        <f>COUNTIF('Metrics - Articles'!H570,"*LATAM*")</f>
        <v>0</v>
      </c>
      <c r="H573">
        <f>COUNTIF('Metrics - Articles'!H570,"*China*")</f>
        <v>0</v>
      </c>
      <c r="J573" s="53">
        <f t="shared" si="9"/>
        <v>0</v>
      </c>
    </row>
    <row r="574" spans="2:10" hidden="1" x14ac:dyDescent="0.25">
      <c r="B574" s="48">
        <f>+'Metrics - Articles'!C571</f>
        <v>0</v>
      </c>
      <c r="C574">
        <f>COUNTIF('Metrics - Articles'!H571,"*Global*")</f>
        <v>0</v>
      </c>
      <c r="D574">
        <f>COUNTIF('Metrics - Articles'!H571,"*EMEA*")</f>
        <v>0</v>
      </c>
      <c r="E574">
        <f>COUNTIF('Metrics - Articles'!H571,"*NA*")</f>
        <v>0</v>
      </c>
      <c r="F574">
        <f>COUNTIF('Metrics - Articles'!H571,"*APJ")</f>
        <v>0</v>
      </c>
      <c r="G574">
        <f>COUNTIF('Metrics - Articles'!H571,"*LATAM*")</f>
        <v>0</v>
      </c>
      <c r="H574">
        <f>COUNTIF('Metrics - Articles'!H571,"*China*")</f>
        <v>0</v>
      </c>
      <c r="J574" s="53">
        <f t="shared" si="9"/>
        <v>0</v>
      </c>
    </row>
    <row r="575" spans="2:10" hidden="1" x14ac:dyDescent="0.25">
      <c r="B575" s="48">
        <f>+'Metrics - Articles'!C572</f>
        <v>0</v>
      </c>
      <c r="C575">
        <f>COUNTIF('Metrics - Articles'!H572,"*Global*")</f>
        <v>0</v>
      </c>
      <c r="D575">
        <f>COUNTIF('Metrics - Articles'!H572,"*EMEA*")</f>
        <v>0</v>
      </c>
      <c r="E575">
        <f>COUNTIF('Metrics - Articles'!H572,"*NA*")</f>
        <v>0</v>
      </c>
      <c r="F575">
        <f>COUNTIF('Metrics - Articles'!H572,"*APJ")</f>
        <v>0</v>
      </c>
      <c r="G575">
        <f>COUNTIF('Metrics - Articles'!H572,"*LATAM*")</f>
        <v>0</v>
      </c>
      <c r="H575">
        <f>COUNTIF('Metrics - Articles'!H572,"*China*")</f>
        <v>0</v>
      </c>
      <c r="J575" s="53">
        <f t="shared" si="9"/>
        <v>0</v>
      </c>
    </row>
    <row r="576" spans="2:10" hidden="1" x14ac:dyDescent="0.25">
      <c r="B576" s="48">
        <f>+'Metrics - Articles'!C573</f>
        <v>0</v>
      </c>
      <c r="C576">
        <f>COUNTIF('Metrics - Articles'!H573,"*Global*")</f>
        <v>0</v>
      </c>
      <c r="D576">
        <f>COUNTIF('Metrics - Articles'!H573,"*EMEA*")</f>
        <v>0</v>
      </c>
      <c r="E576">
        <f>COUNTIF('Metrics - Articles'!H573,"*NA*")</f>
        <v>0</v>
      </c>
      <c r="F576">
        <f>COUNTIF('Metrics - Articles'!H573,"*APJ")</f>
        <v>0</v>
      </c>
      <c r="G576">
        <f>COUNTIF('Metrics - Articles'!H573,"*LATAM*")</f>
        <v>0</v>
      </c>
      <c r="H576">
        <f>COUNTIF('Metrics - Articles'!H573,"*China*")</f>
        <v>0</v>
      </c>
      <c r="J576" s="53">
        <f t="shared" si="9"/>
        <v>0</v>
      </c>
    </row>
    <row r="577" spans="2:10" hidden="1" x14ac:dyDescent="0.25">
      <c r="B577" s="48">
        <f>+'Metrics - Articles'!C574</f>
        <v>0</v>
      </c>
      <c r="C577">
        <f>COUNTIF('Metrics - Articles'!H574,"*Global*")</f>
        <v>0</v>
      </c>
      <c r="D577">
        <f>COUNTIF('Metrics - Articles'!H574,"*EMEA*")</f>
        <v>0</v>
      </c>
      <c r="E577">
        <f>COUNTIF('Metrics - Articles'!H574,"*NA*")</f>
        <v>0</v>
      </c>
      <c r="F577">
        <f>COUNTIF('Metrics - Articles'!H574,"*APJ")</f>
        <v>0</v>
      </c>
      <c r="G577">
        <f>COUNTIF('Metrics - Articles'!H574,"*LATAM*")</f>
        <v>0</v>
      </c>
      <c r="H577">
        <f>COUNTIF('Metrics - Articles'!H574,"*China*")</f>
        <v>0</v>
      </c>
      <c r="J577" s="53">
        <f t="shared" si="9"/>
        <v>0</v>
      </c>
    </row>
    <row r="578" spans="2:10" hidden="1" x14ac:dyDescent="0.25">
      <c r="B578" s="48">
        <f>+'Metrics - Articles'!C575</f>
        <v>0</v>
      </c>
      <c r="C578">
        <f>COUNTIF('Metrics - Articles'!H575,"*Global*")</f>
        <v>0</v>
      </c>
      <c r="D578">
        <f>COUNTIF('Metrics - Articles'!H575,"*EMEA*")</f>
        <v>0</v>
      </c>
      <c r="E578">
        <f>COUNTIF('Metrics - Articles'!H575,"*NA*")</f>
        <v>0</v>
      </c>
      <c r="F578">
        <f>COUNTIF('Metrics - Articles'!H575,"*APJ")</f>
        <v>0</v>
      </c>
      <c r="G578">
        <f>COUNTIF('Metrics - Articles'!H575,"*LATAM*")</f>
        <v>0</v>
      </c>
      <c r="H578">
        <f>COUNTIF('Metrics - Articles'!H575,"*China*")</f>
        <v>0</v>
      </c>
      <c r="J578" s="53">
        <f t="shared" si="9"/>
        <v>0</v>
      </c>
    </row>
    <row r="579" spans="2:10" hidden="1" x14ac:dyDescent="0.25">
      <c r="B579" s="48">
        <f>+'Metrics - Articles'!C576</f>
        <v>0</v>
      </c>
      <c r="C579">
        <f>COUNTIF('Metrics - Articles'!H576,"*Global*")</f>
        <v>0</v>
      </c>
      <c r="D579">
        <f>COUNTIF('Metrics - Articles'!H576,"*EMEA*")</f>
        <v>0</v>
      </c>
      <c r="E579">
        <f>COUNTIF('Metrics - Articles'!H576,"*NA*")</f>
        <v>0</v>
      </c>
      <c r="F579">
        <f>COUNTIF('Metrics - Articles'!H576,"*APJ")</f>
        <v>0</v>
      </c>
      <c r="G579">
        <f>COUNTIF('Metrics - Articles'!H576,"*LATAM*")</f>
        <v>0</v>
      </c>
      <c r="H579">
        <f>COUNTIF('Metrics - Articles'!H576,"*China*")</f>
        <v>0</v>
      </c>
      <c r="J579" s="53">
        <f t="shared" si="9"/>
        <v>0</v>
      </c>
    </row>
    <row r="580" spans="2:10" hidden="1" x14ac:dyDescent="0.25">
      <c r="B580" s="48">
        <f>+'Metrics - Articles'!C577</f>
        <v>0</v>
      </c>
      <c r="C580">
        <f>COUNTIF('Metrics - Articles'!H577,"*Global*")</f>
        <v>0</v>
      </c>
      <c r="D580">
        <f>COUNTIF('Metrics - Articles'!H577,"*EMEA*")</f>
        <v>0</v>
      </c>
      <c r="E580">
        <f>COUNTIF('Metrics - Articles'!H577,"*NA*")</f>
        <v>0</v>
      </c>
      <c r="F580">
        <f>COUNTIF('Metrics - Articles'!H577,"*APJ")</f>
        <v>0</v>
      </c>
      <c r="G580">
        <f>COUNTIF('Metrics - Articles'!H577,"*LATAM*")</f>
        <v>0</v>
      </c>
      <c r="H580">
        <f>COUNTIF('Metrics - Articles'!H577,"*China*")</f>
        <v>0</v>
      </c>
      <c r="J580" s="53">
        <f t="shared" si="9"/>
        <v>0</v>
      </c>
    </row>
    <row r="581" spans="2:10" hidden="1" x14ac:dyDescent="0.25">
      <c r="B581" s="48">
        <f>+'Metrics - Articles'!C578</f>
        <v>0</v>
      </c>
      <c r="C581">
        <f>COUNTIF('Metrics - Articles'!H578,"*Global*")</f>
        <v>0</v>
      </c>
      <c r="D581">
        <f>COUNTIF('Metrics - Articles'!H578,"*EMEA*")</f>
        <v>0</v>
      </c>
      <c r="E581">
        <f>COUNTIF('Metrics - Articles'!H578,"*NA*")</f>
        <v>0</v>
      </c>
      <c r="F581">
        <f>COUNTIF('Metrics - Articles'!H578,"*APJ")</f>
        <v>0</v>
      </c>
      <c r="G581">
        <f>COUNTIF('Metrics - Articles'!H578,"*LATAM*")</f>
        <v>0</v>
      </c>
      <c r="H581">
        <f>COUNTIF('Metrics - Articles'!H578,"*China*")</f>
        <v>0</v>
      </c>
      <c r="J581" s="53">
        <f t="shared" si="9"/>
        <v>0</v>
      </c>
    </row>
    <row r="582" spans="2:10" hidden="1" x14ac:dyDescent="0.25">
      <c r="B582" s="48">
        <f>+'Metrics - Articles'!C579</f>
        <v>0</v>
      </c>
      <c r="C582">
        <f>COUNTIF('Metrics - Articles'!H579,"*Global*")</f>
        <v>0</v>
      </c>
      <c r="D582">
        <f>COUNTIF('Metrics - Articles'!H579,"*EMEA*")</f>
        <v>0</v>
      </c>
      <c r="E582">
        <f>COUNTIF('Metrics - Articles'!H579,"*NA*")</f>
        <v>0</v>
      </c>
      <c r="F582">
        <f>COUNTIF('Metrics - Articles'!H579,"*APJ")</f>
        <v>0</v>
      </c>
      <c r="G582">
        <f>COUNTIF('Metrics - Articles'!H579,"*LATAM*")</f>
        <v>0</v>
      </c>
      <c r="H582">
        <f>COUNTIF('Metrics - Articles'!H579,"*China*")</f>
        <v>0</v>
      </c>
      <c r="J582" s="53">
        <f t="shared" si="9"/>
        <v>0</v>
      </c>
    </row>
    <row r="583" spans="2:10" hidden="1" x14ac:dyDescent="0.25">
      <c r="B583" s="48">
        <f>+'Metrics - Articles'!C580</f>
        <v>0</v>
      </c>
      <c r="C583">
        <f>COUNTIF('Metrics - Articles'!H580,"*Global*")</f>
        <v>0</v>
      </c>
      <c r="D583">
        <f>COUNTIF('Metrics - Articles'!H580,"*EMEA*")</f>
        <v>0</v>
      </c>
      <c r="E583">
        <f>COUNTIF('Metrics - Articles'!H580,"*NA*")</f>
        <v>0</v>
      </c>
      <c r="F583">
        <f>COUNTIF('Metrics - Articles'!H580,"*APJ")</f>
        <v>0</v>
      </c>
      <c r="G583">
        <f>COUNTIF('Metrics - Articles'!H580,"*LATAM*")</f>
        <v>0</v>
      </c>
      <c r="H583">
        <f>COUNTIF('Metrics - Articles'!H580,"*China*")</f>
        <v>0</v>
      </c>
      <c r="J583" s="53">
        <f t="shared" si="9"/>
        <v>0</v>
      </c>
    </row>
    <row r="584" spans="2:10" hidden="1" x14ac:dyDescent="0.25">
      <c r="B584" s="48">
        <f>+'Metrics - Articles'!C581</f>
        <v>0</v>
      </c>
      <c r="C584">
        <f>COUNTIF('Metrics - Articles'!H581,"*Global*")</f>
        <v>0</v>
      </c>
      <c r="D584">
        <f>COUNTIF('Metrics - Articles'!H581,"*EMEA*")</f>
        <v>0</v>
      </c>
      <c r="E584">
        <f>COUNTIF('Metrics - Articles'!H581,"*NA*")</f>
        <v>0</v>
      </c>
      <c r="F584">
        <f>COUNTIF('Metrics - Articles'!H581,"*APJ")</f>
        <v>0</v>
      </c>
      <c r="G584">
        <f>COUNTIF('Metrics - Articles'!H581,"*LATAM*")</f>
        <v>0</v>
      </c>
      <c r="H584">
        <f>COUNTIF('Metrics - Articles'!H581,"*China*")</f>
        <v>0</v>
      </c>
      <c r="J584" s="53">
        <f t="shared" si="9"/>
        <v>0</v>
      </c>
    </row>
    <row r="585" spans="2:10" hidden="1" x14ac:dyDescent="0.25">
      <c r="B585" s="48">
        <f>+'Metrics - Articles'!C582</f>
        <v>0</v>
      </c>
      <c r="C585">
        <f>COUNTIF('Metrics - Articles'!H582,"*Global*")</f>
        <v>0</v>
      </c>
      <c r="D585">
        <f>COUNTIF('Metrics - Articles'!H582,"*EMEA*")</f>
        <v>0</v>
      </c>
      <c r="E585">
        <f>COUNTIF('Metrics - Articles'!H582,"*NA*")</f>
        <v>0</v>
      </c>
      <c r="F585">
        <f>COUNTIF('Metrics - Articles'!H582,"*APJ")</f>
        <v>0</v>
      </c>
      <c r="G585">
        <f>COUNTIF('Metrics - Articles'!H582,"*LATAM*")</f>
        <v>0</v>
      </c>
      <c r="H585">
        <f>COUNTIF('Metrics - Articles'!H582,"*China*")</f>
        <v>0</v>
      </c>
      <c r="J585" s="53">
        <f t="shared" si="9"/>
        <v>0</v>
      </c>
    </row>
    <row r="586" spans="2:10" hidden="1" x14ac:dyDescent="0.25">
      <c r="B586" s="48">
        <f>+'Metrics - Articles'!C583</f>
        <v>0</v>
      </c>
      <c r="C586">
        <f>COUNTIF('Metrics - Articles'!H583,"*Global*")</f>
        <v>0</v>
      </c>
      <c r="D586">
        <f>COUNTIF('Metrics - Articles'!H583,"*EMEA*")</f>
        <v>0</v>
      </c>
      <c r="E586">
        <f>COUNTIF('Metrics - Articles'!H583,"*NA*")</f>
        <v>0</v>
      </c>
      <c r="F586">
        <f>COUNTIF('Metrics - Articles'!H583,"*APJ")</f>
        <v>0</v>
      </c>
      <c r="G586">
        <f>COUNTIF('Metrics - Articles'!H583,"*LATAM*")</f>
        <v>0</v>
      </c>
      <c r="H586">
        <f>COUNTIF('Metrics - Articles'!H583,"*China*")</f>
        <v>0</v>
      </c>
      <c r="J586" s="53">
        <f t="shared" ref="J586:J649" si="10">SUM(C586:I586)</f>
        <v>0</v>
      </c>
    </row>
    <row r="587" spans="2:10" hidden="1" x14ac:dyDescent="0.25">
      <c r="B587" s="48">
        <f>+'Metrics - Articles'!C584</f>
        <v>0</v>
      </c>
      <c r="C587">
        <f>COUNTIF('Metrics - Articles'!H584,"*Global*")</f>
        <v>0</v>
      </c>
      <c r="D587">
        <f>COUNTIF('Metrics - Articles'!H584,"*EMEA*")</f>
        <v>0</v>
      </c>
      <c r="E587">
        <f>COUNTIF('Metrics - Articles'!H584,"*NA*")</f>
        <v>0</v>
      </c>
      <c r="F587">
        <f>COUNTIF('Metrics - Articles'!H584,"*APJ")</f>
        <v>0</v>
      </c>
      <c r="G587">
        <f>COUNTIF('Metrics - Articles'!H584,"*LATAM*")</f>
        <v>0</v>
      </c>
      <c r="H587">
        <f>COUNTIF('Metrics - Articles'!H584,"*China*")</f>
        <v>0</v>
      </c>
      <c r="J587" s="53">
        <f t="shared" si="10"/>
        <v>0</v>
      </c>
    </row>
    <row r="588" spans="2:10" hidden="1" x14ac:dyDescent="0.25">
      <c r="B588" s="48">
        <f>+'Metrics - Articles'!C585</f>
        <v>0</v>
      </c>
      <c r="C588">
        <f>COUNTIF('Metrics - Articles'!H585,"*Global*")</f>
        <v>0</v>
      </c>
      <c r="D588">
        <f>COUNTIF('Metrics - Articles'!H585,"*EMEA*")</f>
        <v>0</v>
      </c>
      <c r="E588">
        <f>COUNTIF('Metrics - Articles'!H585,"*NA*")</f>
        <v>0</v>
      </c>
      <c r="F588">
        <f>COUNTIF('Metrics - Articles'!H585,"*APJ")</f>
        <v>0</v>
      </c>
      <c r="G588">
        <f>COUNTIF('Metrics - Articles'!H585,"*LATAM*")</f>
        <v>0</v>
      </c>
      <c r="H588">
        <f>COUNTIF('Metrics - Articles'!H585,"*China*")</f>
        <v>0</v>
      </c>
      <c r="J588" s="53">
        <f t="shared" si="10"/>
        <v>0</v>
      </c>
    </row>
    <row r="589" spans="2:10" hidden="1" x14ac:dyDescent="0.25">
      <c r="B589" s="48">
        <f>+'Metrics - Articles'!C586</f>
        <v>0</v>
      </c>
      <c r="C589">
        <f>COUNTIF('Metrics - Articles'!H586,"*Global*")</f>
        <v>0</v>
      </c>
      <c r="D589">
        <f>COUNTIF('Metrics - Articles'!H586,"*EMEA*")</f>
        <v>0</v>
      </c>
      <c r="E589">
        <f>COUNTIF('Metrics - Articles'!H586,"*NA*")</f>
        <v>0</v>
      </c>
      <c r="F589">
        <f>COUNTIF('Metrics - Articles'!H586,"*APJ")</f>
        <v>0</v>
      </c>
      <c r="G589">
        <f>COUNTIF('Metrics - Articles'!H586,"*LATAM*")</f>
        <v>0</v>
      </c>
      <c r="H589">
        <f>COUNTIF('Metrics - Articles'!H586,"*China*")</f>
        <v>0</v>
      </c>
      <c r="J589" s="53">
        <f t="shared" si="10"/>
        <v>0</v>
      </c>
    </row>
    <row r="590" spans="2:10" hidden="1" x14ac:dyDescent="0.25">
      <c r="B590" s="48">
        <f>+'Metrics - Articles'!C587</f>
        <v>0</v>
      </c>
      <c r="C590">
        <f>COUNTIF('Metrics - Articles'!H587,"*Global*")</f>
        <v>0</v>
      </c>
      <c r="D590">
        <f>COUNTIF('Metrics - Articles'!H587,"*EMEA*")</f>
        <v>0</v>
      </c>
      <c r="E590">
        <f>COUNTIF('Metrics - Articles'!H587,"*NA*")</f>
        <v>0</v>
      </c>
      <c r="F590">
        <f>COUNTIF('Metrics - Articles'!H587,"*APJ")</f>
        <v>0</v>
      </c>
      <c r="G590">
        <f>COUNTIF('Metrics - Articles'!H587,"*LATAM*")</f>
        <v>0</v>
      </c>
      <c r="H590">
        <f>COUNTIF('Metrics - Articles'!H587,"*China*")</f>
        <v>0</v>
      </c>
      <c r="J590" s="53">
        <f t="shared" si="10"/>
        <v>0</v>
      </c>
    </row>
    <row r="591" spans="2:10" hidden="1" x14ac:dyDescent="0.25">
      <c r="B591" s="48">
        <f>+'Metrics - Articles'!C588</f>
        <v>0</v>
      </c>
      <c r="C591">
        <f>COUNTIF('Metrics - Articles'!H588,"*Global*")</f>
        <v>0</v>
      </c>
      <c r="D591">
        <f>COUNTIF('Metrics - Articles'!H588,"*EMEA*")</f>
        <v>0</v>
      </c>
      <c r="E591">
        <f>COUNTIF('Metrics - Articles'!H588,"*NA*")</f>
        <v>0</v>
      </c>
      <c r="F591">
        <f>COUNTIF('Metrics - Articles'!H588,"*APJ")</f>
        <v>0</v>
      </c>
      <c r="G591">
        <f>COUNTIF('Metrics - Articles'!H588,"*LATAM*")</f>
        <v>0</v>
      </c>
      <c r="H591">
        <f>COUNTIF('Metrics - Articles'!H588,"*China*")</f>
        <v>0</v>
      </c>
      <c r="J591" s="53">
        <f t="shared" si="10"/>
        <v>0</v>
      </c>
    </row>
    <row r="592" spans="2:10" hidden="1" x14ac:dyDescent="0.25">
      <c r="B592" s="48">
        <f>+'Metrics - Articles'!C589</f>
        <v>0</v>
      </c>
      <c r="C592">
        <f>COUNTIF('Metrics - Articles'!H589,"*Global*")</f>
        <v>0</v>
      </c>
      <c r="D592">
        <f>COUNTIF('Metrics - Articles'!H589,"*EMEA*")</f>
        <v>0</v>
      </c>
      <c r="E592">
        <f>COUNTIF('Metrics - Articles'!H589,"*NA*")</f>
        <v>0</v>
      </c>
      <c r="F592">
        <f>COUNTIF('Metrics - Articles'!H589,"*APJ")</f>
        <v>0</v>
      </c>
      <c r="G592">
        <f>COUNTIF('Metrics - Articles'!H589,"*LATAM*")</f>
        <v>0</v>
      </c>
      <c r="H592">
        <f>COUNTIF('Metrics - Articles'!H589,"*China*")</f>
        <v>0</v>
      </c>
      <c r="J592" s="53">
        <f t="shared" si="10"/>
        <v>0</v>
      </c>
    </row>
    <row r="593" spans="2:10" hidden="1" x14ac:dyDescent="0.25">
      <c r="B593" s="48">
        <f>+'Metrics - Articles'!C590</f>
        <v>0</v>
      </c>
      <c r="C593">
        <f>COUNTIF('Metrics - Articles'!H590,"*Global*")</f>
        <v>0</v>
      </c>
      <c r="D593">
        <f>COUNTIF('Metrics - Articles'!H590,"*EMEA*")</f>
        <v>0</v>
      </c>
      <c r="E593">
        <f>COUNTIF('Metrics - Articles'!H590,"*NA*")</f>
        <v>0</v>
      </c>
      <c r="F593">
        <f>COUNTIF('Metrics - Articles'!H590,"*APJ")</f>
        <v>0</v>
      </c>
      <c r="G593">
        <f>COUNTIF('Metrics - Articles'!H590,"*LATAM*")</f>
        <v>0</v>
      </c>
      <c r="H593">
        <f>COUNTIF('Metrics - Articles'!H590,"*China*")</f>
        <v>0</v>
      </c>
      <c r="J593" s="53">
        <f t="shared" si="10"/>
        <v>0</v>
      </c>
    </row>
    <row r="594" spans="2:10" hidden="1" x14ac:dyDescent="0.25">
      <c r="B594" s="48">
        <f>+'Metrics - Articles'!C591</f>
        <v>0</v>
      </c>
      <c r="C594">
        <f>COUNTIF('Metrics - Articles'!H591,"*Global*")</f>
        <v>0</v>
      </c>
      <c r="D594">
        <f>COUNTIF('Metrics - Articles'!H591,"*EMEA*")</f>
        <v>0</v>
      </c>
      <c r="E594">
        <f>COUNTIF('Metrics - Articles'!H591,"*NA*")</f>
        <v>0</v>
      </c>
      <c r="F594">
        <f>COUNTIF('Metrics - Articles'!H591,"*APJ")</f>
        <v>0</v>
      </c>
      <c r="G594">
        <f>COUNTIF('Metrics - Articles'!H591,"*LATAM*")</f>
        <v>0</v>
      </c>
      <c r="H594">
        <f>COUNTIF('Metrics - Articles'!H591,"*China*")</f>
        <v>0</v>
      </c>
      <c r="J594" s="53">
        <f t="shared" si="10"/>
        <v>0</v>
      </c>
    </row>
    <row r="595" spans="2:10" hidden="1" x14ac:dyDescent="0.25">
      <c r="B595" s="48">
        <f>+'Metrics - Articles'!C592</f>
        <v>0</v>
      </c>
      <c r="C595">
        <f>COUNTIF('Metrics - Articles'!H592,"*Global*")</f>
        <v>0</v>
      </c>
      <c r="D595">
        <f>COUNTIF('Metrics - Articles'!H592,"*EMEA*")</f>
        <v>0</v>
      </c>
      <c r="E595">
        <f>COUNTIF('Metrics - Articles'!H592,"*NA*")</f>
        <v>0</v>
      </c>
      <c r="F595">
        <f>COUNTIF('Metrics - Articles'!H592,"*APJ")</f>
        <v>0</v>
      </c>
      <c r="G595">
        <f>COUNTIF('Metrics - Articles'!H592,"*LATAM*")</f>
        <v>0</v>
      </c>
      <c r="H595">
        <f>COUNTIF('Metrics - Articles'!H592,"*China*")</f>
        <v>0</v>
      </c>
      <c r="J595" s="53">
        <f t="shared" si="10"/>
        <v>0</v>
      </c>
    </row>
    <row r="596" spans="2:10" hidden="1" x14ac:dyDescent="0.25">
      <c r="B596" s="48">
        <f>+'Metrics - Articles'!C593</f>
        <v>0</v>
      </c>
      <c r="C596">
        <f>COUNTIF('Metrics - Articles'!H593,"*Global*")</f>
        <v>0</v>
      </c>
      <c r="D596">
        <f>COUNTIF('Metrics - Articles'!H593,"*EMEA*")</f>
        <v>0</v>
      </c>
      <c r="E596">
        <f>COUNTIF('Metrics - Articles'!H593,"*NA*")</f>
        <v>0</v>
      </c>
      <c r="F596">
        <f>COUNTIF('Metrics - Articles'!H593,"*APJ")</f>
        <v>0</v>
      </c>
      <c r="G596">
        <f>COUNTIF('Metrics - Articles'!H593,"*LATAM*")</f>
        <v>0</v>
      </c>
      <c r="H596">
        <f>COUNTIF('Metrics - Articles'!H593,"*China*")</f>
        <v>0</v>
      </c>
      <c r="J596" s="53">
        <f t="shared" si="10"/>
        <v>0</v>
      </c>
    </row>
    <row r="597" spans="2:10" hidden="1" x14ac:dyDescent="0.25">
      <c r="B597" s="48">
        <f>+'Metrics - Articles'!C594</f>
        <v>0</v>
      </c>
      <c r="C597">
        <f>COUNTIF('Metrics - Articles'!H594,"*Global*")</f>
        <v>0</v>
      </c>
      <c r="D597">
        <f>COUNTIF('Metrics - Articles'!H594,"*EMEA*")</f>
        <v>0</v>
      </c>
      <c r="E597">
        <f>COUNTIF('Metrics - Articles'!H594,"*NA*")</f>
        <v>0</v>
      </c>
      <c r="F597">
        <f>COUNTIF('Metrics - Articles'!H594,"*APJ")</f>
        <v>0</v>
      </c>
      <c r="G597">
        <f>COUNTIF('Metrics - Articles'!H594,"*LATAM*")</f>
        <v>0</v>
      </c>
      <c r="H597">
        <f>COUNTIF('Metrics - Articles'!H594,"*China*")</f>
        <v>0</v>
      </c>
      <c r="J597" s="53">
        <f t="shared" si="10"/>
        <v>0</v>
      </c>
    </row>
    <row r="598" spans="2:10" hidden="1" x14ac:dyDescent="0.25">
      <c r="B598" s="48">
        <f>+'Metrics - Articles'!C595</f>
        <v>0</v>
      </c>
      <c r="C598">
        <f>COUNTIF('Metrics - Articles'!H595,"*Global*")</f>
        <v>0</v>
      </c>
      <c r="D598">
        <f>COUNTIF('Metrics - Articles'!H595,"*EMEA*")</f>
        <v>0</v>
      </c>
      <c r="E598">
        <f>COUNTIF('Metrics - Articles'!H595,"*NA*")</f>
        <v>0</v>
      </c>
      <c r="F598">
        <f>COUNTIF('Metrics - Articles'!H595,"*APJ")</f>
        <v>0</v>
      </c>
      <c r="G598">
        <f>COUNTIF('Metrics - Articles'!H595,"*LATAM*")</f>
        <v>0</v>
      </c>
      <c r="H598">
        <f>COUNTIF('Metrics - Articles'!H595,"*China*")</f>
        <v>0</v>
      </c>
      <c r="J598" s="53">
        <f t="shared" si="10"/>
        <v>0</v>
      </c>
    </row>
    <row r="599" spans="2:10" hidden="1" x14ac:dyDescent="0.25">
      <c r="B599" s="48">
        <f>+'Metrics - Articles'!C596</f>
        <v>0</v>
      </c>
      <c r="C599">
        <f>COUNTIF('Metrics - Articles'!H596,"*Global*")</f>
        <v>0</v>
      </c>
      <c r="D599">
        <f>COUNTIF('Metrics - Articles'!H596,"*EMEA*")</f>
        <v>0</v>
      </c>
      <c r="E599">
        <f>COUNTIF('Metrics - Articles'!H596,"*NA*")</f>
        <v>0</v>
      </c>
      <c r="F599">
        <f>COUNTIF('Metrics - Articles'!H596,"*APJ")</f>
        <v>0</v>
      </c>
      <c r="G599">
        <f>COUNTIF('Metrics - Articles'!H596,"*LATAM*")</f>
        <v>0</v>
      </c>
      <c r="H599">
        <f>COUNTIF('Metrics - Articles'!H596,"*China*")</f>
        <v>0</v>
      </c>
      <c r="J599" s="53">
        <f t="shared" si="10"/>
        <v>0</v>
      </c>
    </row>
    <row r="600" spans="2:10" hidden="1" x14ac:dyDescent="0.25">
      <c r="B600" s="48">
        <f>+'Metrics - Articles'!C597</f>
        <v>0</v>
      </c>
      <c r="C600">
        <f>COUNTIF('Metrics - Articles'!H597,"*Global*")</f>
        <v>0</v>
      </c>
      <c r="D600">
        <f>COUNTIF('Metrics - Articles'!H597,"*EMEA*")</f>
        <v>0</v>
      </c>
      <c r="E600">
        <f>COUNTIF('Metrics - Articles'!H597,"*NA*")</f>
        <v>0</v>
      </c>
      <c r="F600">
        <f>COUNTIF('Metrics - Articles'!H597,"*APJ")</f>
        <v>0</v>
      </c>
      <c r="G600">
        <f>COUNTIF('Metrics - Articles'!H597,"*LATAM*")</f>
        <v>0</v>
      </c>
      <c r="H600">
        <f>COUNTIF('Metrics - Articles'!H597,"*China*")</f>
        <v>0</v>
      </c>
      <c r="J600" s="53">
        <f t="shared" si="10"/>
        <v>0</v>
      </c>
    </row>
    <row r="601" spans="2:10" hidden="1" x14ac:dyDescent="0.25">
      <c r="B601" s="48">
        <f>+'Metrics - Articles'!C598</f>
        <v>0</v>
      </c>
      <c r="C601">
        <f>COUNTIF('Metrics - Articles'!H598,"*Global*")</f>
        <v>0</v>
      </c>
      <c r="D601">
        <f>COUNTIF('Metrics - Articles'!H598,"*EMEA*")</f>
        <v>0</v>
      </c>
      <c r="E601">
        <f>COUNTIF('Metrics - Articles'!H598,"*NA*")</f>
        <v>0</v>
      </c>
      <c r="F601">
        <f>COUNTIF('Metrics - Articles'!H598,"*APJ")</f>
        <v>0</v>
      </c>
      <c r="G601">
        <f>COUNTIF('Metrics - Articles'!H598,"*LATAM*")</f>
        <v>0</v>
      </c>
      <c r="H601">
        <f>COUNTIF('Metrics - Articles'!H598,"*China*")</f>
        <v>0</v>
      </c>
      <c r="J601" s="53">
        <f t="shared" si="10"/>
        <v>0</v>
      </c>
    </row>
    <row r="602" spans="2:10" hidden="1" x14ac:dyDescent="0.25">
      <c r="B602" s="48">
        <f>+'Metrics - Articles'!C599</f>
        <v>0</v>
      </c>
      <c r="C602">
        <f>COUNTIF('Metrics - Articles'!H599,"*Global*")</f>
        <v>0</v>
      </c>
      <c r="D602">
        <f>COUNTIF('Metrics - Articles'!H599,"*EMEA*")</f>
        <v>0</v>
      </c>
      <c r="E602">
        <f>COUNTIF('Metrics - Articles'!H599,"*NA*")</f>
        <v>0</v>
      </c>
      <c r="F602">
        <f>COUNTIF('Metrics - Articles'!H599,"*APJ")</f>
        <v>0</v>
      </c>
      <c r="G602">
        <f>COUNTIF('Metrics - Articles'!H599,"*LATAM*")</f>
        <v>0</v>
      </c>
      <c r="H602">
        <f>COUNTIF('Metrics - Articles'!H599,"*China*")</f>
        <v>0</v>
      </c>
      <c r="J602" s="53">
        <f t="shared" si="10"/>
        <v>0</v>
      </c>
    </row>
    <row r="603" spans="2:10" hidden="1" x14ac:dyDescent="0.25">
      <c r="B603" s="48">
        <f>+'Metrics - Articles'!C600</f>
        <v>0</v>
      </c>
      <c r="C603">
        <f>COUNTIF('Metrics - Articles'!H600,"*Global*")</f>
        <v>0</v>
      </c>
      <c r="D603">
        <f>COUNTIF('Metrics - Articles'!H600,"*EMEA*")</f>
        <v>0</v>
      </c>
      <c r="E603">
        <f>COUNTIF('Metrics - Articles'!H600,"*NA*")</f>
        <v>0</v>
      </c>
      <c r="F603">
        <f>COUNTIF('Metrics - Articles'!H600,"*APJ")</f>
        <v>0</v>
      </c>
      <c r="G603">
        <f>COUNTIF('Metrics - Articles'!H600,"*LATAM*")</f>
        <v>0</v>
      </c>
      <c r="H603">
        <f>COUNTIF('Metrics - Articles'!H600,"*China*")</f>
        <v>0</v>
      </c>
      <c r="J603" s="53">
        <f t="shared" si="10"/>
        <v>0</v>
      </c>
    </row>
    <row r="604" spans="2:10" hidden="1" x14ac:dyDescent="0.25">
      <c r="B604" s="48">
        <f>+'Metrics - Articles'!C601</f>
        <v>0</v>
      </c>
      <c r="C604">
        <f>COUNTIF('Metrics - Articles'!H601,"*Global*")</f>
        <v>0</v>
      </c>
      <c r="D604">
        <f>COUNTIF('Metrics - Articles'!H601,"*EMEA*")</f>
        <v>0</v>
      </c>
      <c r="E604">
        <f>COUNTIF('Metrics - Articles'!H601,"*NA*")</f>
        <v>0</v>
      </c>
      <c r="F604">
        <f>COUNTIF('Metrics - Articles'!H601,"*APJ")</f>
        <v>0</v>
      </c>
      <c r="G604">
        <f>COUNTIF('Metrics - Articles'!H601,"*LATAM*")</f>
        <v>0</v>
      </c>
      <c r="H604">
        <f>COUNTIF('Metrics - Articles'!H601,"*China*")</f>
        <v>0</v>
      </c>
      <c r="J604" s="53">
        <f t="shared" si="10"/>
        <v>0</v>
      </c>
    </row>
    <row r="605" spans="2:10" hidden="1" x14ac:dyDescent="0.25">
      <c r="B605" s="48">
        <f>+'Metrics - Articles'!C602</f>
        <v>0</v>
      </c>
      <c r="C605">
        <f>COUNTIF('Metrics - Articles'!H602,"*Global*")</f>
        <v>0</v>
      </c>
      <c r="D605">
        <f>COUNTIF('Metrics - Articles'!H602,"*EMEA*")</f>
        <v>0</v>
      </c>
      <c r="E605">
        <f>COUNTIF('Metrics - Articles'!H602,"*NA*")</f>
        <v>0</v>
      </c>
      <c r="F605">
        <f>COUNTIF('Metrics - Articles'!H602,"*APJ")</f>
        <v>0</v>
      </c>
      <c r="G605">
        <f>COUNTIF('Metrics - Articles'!H602,"*LATAM*")</f>
        <v>0</v>
      </c>
      <c r="H605">
        <f>COUNTIF('Metrics - Articles'!H602,"*China*")</f>
        <v>0</v>
      </c>
      <c r="J605" s="53">
        <f t="shared" si="10"/>
        <v>0</v>
      </c>
    </row>
    <row r="606" spans="2:10" hidden="1" x14ac:dyDescent="0.25">
      <c r="B606" s="48">
        <f>+'Metrics - Articles'!C603</f>
        <v>0</v>
      </c>
      <c r="C606">
        <f>COUNTIF('Metrics - Articles'!H603,"*Global*")</f>
        <v>0</v>
      </c>
      <c r="D606">
        <f>COUNTIF('Metrics - Articles'!H603,"*EMEA*")</f>
        <v>0</v>
      </c>
      <c r="E606">
        <f>COUNTIF('Metrics - Articles'!H603,"*NA*")</f>
        <v>0</v>
      </c>
      <c r="F606">
        <f>COUNTIF('Metrics - Articles'!H603,"*APJ")</f>
        <v>0</v>
      </c>
      <c r="G606">
        <f>COUNTIF('Metrics - Articles'!H603,"*LATAM*")</f>
        <v>0</v>
      </c>
      <c r="H606">
        <f>COUNTIF('Metrics - Articles'!H603,"*China*")</f>
        <v>0</v>
      </c>
      <c r="J606" s="53">
        <f t="shared" si="10"/>
        <v>0</v>
      </c>
    </row>
    <row r="607" spans="2:10" hidden="1" x14ac:dyDescent="0.25">
      <c r="B607" s="48">
        <f>+'Metrics - Articles'!C604</f>
        <v>0</v>
      </c>
      <c r="C607">
        <f>COUNTIF('Metrics - Articles'!H604,"*Global*")</f>
        <v>0</v>
      </c>
      <c r="D607">
        <f>COUNTIF('Metrics - Articles'!H604,"*EMEA*")</f>
        <v>0</v>
      </c>
      <c r="E607">
        <f>COUNTIF('Metrics - Articles'!H604,"*NA*")</f>
        <v>0</v>
      </c>
      <c r="F607">
        <f>COUNTIF('Metrics - Articles'!H604,"*APJ")</f>
        <v>0</v>
      </c>
      <c r="G607">
        <f>COUNTIF('Metrics - Articles'!H604,"*LATAM*")</f>
        <v>0</v>
      </c>
      <c r="H607">
        <f>COUNTIF('Metrics - Articles'!H604,"*China*")</f>
        <v>0</v>
      </c>
      <c r="J607" s="53">
        <f t="shared" si="10"/>
        <v>0</v>
      </c>
    </row>
    <row r="608" spans="2:10" hidden="1" x14ac:dyDescent="0.25">
      <c r="B608" s="48">
        <f>+'Metrics - Articles'!C605</f>
        <v>0</v>
      </c>
      <c r="C608">
        <f>COUNTIF('Metrics - Articles'!H605,"*Global*")</f>
        <v>0</v>
      </c>
      <c r="D608">
        <f>COUNTIF('Metrics - Articles'!H605,"*EMEA*")</f>
        <v>0</v>
      </c>
      <c r="E608">
        <f>COUNTIF('Metrics - Articles'!H605,"*NA*")</f>
        <v>0</v>
      </c>
      <c r="F608">
        <f>COUNTIF('Metrics - Articles'!H605,"*APJ")</f>
        <v>0</v>
      </c>
      <c r="G608">
        <f>COUNTIF('Metrics - Articles'!H605,"*LATAM*")</f>
        <v>0</v>
      </c>
      <c r="H608">
        <f>COUNTIF('Metrics - Articles'!H605,"*China*")</f>
        <v>0</v>
      </c>
      <c r="J608" s="53">
        <f t="shared" si="10"/>
        <v>0</v>
      </c>
    </row>
    <row r="609" spans="2:10" hidden="1" x14ac:dyDescent="0.25">
      <c r="B609" s="48">
        <f>+'Metrics - Articles'!C606</f>
        <v>0</v>
      </c>
      <c r="C609">
        <f>COUNTIF('Metrics - Articles'!H606,"*Global*")</f>
        <v>0</v>
      </c>
      <c r="D609">
        <f>COUNTIF('Metrics - Articles'!H606,"*EMEA*")</f>
        <v>0</v>
      </c>
      <c r="E609">
        <f>COUNTIF('Metrics - Articles'!H606,"*NA*")</f>
        <v>0</v>
      </c>
      <c r="F609">
        <f>COUNTIF('Metrics - Articles'!H606,"*APJ")</f>
        <v>0</v>
      </c>
      <c r="G609">
        <f>COUNTIF('Metrics - Articles'!H606,"*LATAM*")</f>
        <v>0</v>
      </c>
      <c r="H609">
        <f>COUNTIF('Metrics - Articles'!H606,"*China*")</f>
        <v>0</v>
      </c>
      <c r="J609" s="53">
        <f t="shared" si="10"/>
        <v>0</v>
      </c>
    </row>
    <row r="610" spans="2:10" hidden="1" x14ac:dyDescent="0.25">
      <c r="B610" s="48">
        <f>+'Metrics - Articles'!C607</f>
        <v>0</v>
      </c>
      <c r="C610">
        <f>COUNTIF('Metrics - Articles'!H607,"*Global*")</f>
        <v>0</v>
      </c>
      <c r="D610">
        <f>COUNTIF('Metrics - Articles'!H607,"*EMEA*")</f>
        <v>0</v>
      </c>
      <c r="E610">
        <f>COUNTIF('Metrics - Articles'!H607,"*NA*")</f>
        <v>0</v>
      </c>
      <c r="F610">
        <f>COUNTIF('Metrics - Articles'!H607,"*APJ")</f>
        <v>0</v>
      </c>
      <c r="G610">
        <f>COUNTIF('Metrics - Articles'!H607,"*LATAM*")</f>
        <v>0</v>
      </c>
      <c r="H610">
        <f>COUNTIF('Metrics - Articles'!H607,"*China*")</f>
        <v>0</v>
      </c>
      <c r="J610" s="53">
        <f t="shared" si="10"/>
        <v>0</v>
      </c>
    </row>
    <row r="611" spans="2:10" hidden="1" x14ac:dyDescent="0.25">
      <c r="B611" s="48">
        <f>+'Metrics - Articles'!C608</f>
        <v>0</v>
      </c>
      <c r="C611">
        <f>COUNTIF('Metrics - Articles'!H608,"*Global*")</f>
        <v>0</v>
      </c>
      <c r="D611">
        <f>COUNTIF('Metrics - Articles'!H608,"*EMEA*")</f>
        <v>0</v>
      </c>
      <c r="E611">
        <f>COUNTIF('Metrics - Articles'!H608,"*NA*")</f>
        <v>0</v>
      </c>
      <c r="F611">
        <f>COUNTIF('Metrics - Articles'!H608,"*APJ")</f>
        <v>0</v>
      </c>
      <c r="G611">
        <f>COUNTIF('Metrics - Articles'!H608,"*LATAM*")</f>
        <v>0</v>
      </c>
      <c r="H611">
        <f>COUNTIF('Metrics - Articles'!H608,"*China*")</f>
        <v>0</v>
      </c>
      <c r="J611" s="53">
        <f t="shared" si="10"/>
        <v>0</v>
      </c>
    </row>
    <row r="612" spans="2:10" hidden="1" x14ac:dyDescent="0.25">
      <c r="B612" s="48">
        <f>+'Metrics - Articles'!C609</f>
        <v>0</v>
      </c>
      <c r="C612">
        <f>COUNTIF('Metrics - Articles'!H609,"*Global*")</f>
        <v>0</v>
      </c>
      <c r="D612">
        <f>COUNTIF('Metrics - Articles'!H609,"*EMEA*")</f>
        <v>0</v>
      </c>
      <c r="E612">
        <f>COUNTIF('Metrics - Articles'!H609,"*NA*")</f>
        <v>0</v>
      </c>
      <c r="F612">
        <f>COUNTIF('Metrics - Articles'!H609,"*APJ")</f>
        <v>0</v>
      </c>
      <c r="G612">
        <f>COUNTIF('Metrics - Articles'!H609,"*LATAM*")</f>
        <v>0</v>
      </c>
      <c r="H612">
        <f>COUNTIF('Metrics - Articles'!H609,"*China*")</f>
        <v>0</v>
      </c>
      <c r="J612" s="53">
        <f t="shared" si="10"/>
        <v>0</v>
      </c>
    </row>
    <row r="613" spans="2:10" hidden="1" x14ac:dyDescent="0.25">
      <c r="B613" s="48">
        <f>+'Metrics - Articles'!C610</f>
        <v>0</v>
      </c>
      <c r="C613">
        <f>COUNTIF('Metrics - Articles'!H610,"*Global*")</f>
        <v>0</v>
      </c>
      <c r="D613">
        <f>COUNTIF('Metrics - Articles'!H610,"*EMEA*")</f>
        <v>0</v>
      </c>
      <c r="E613">
        <f>COUNTIF('Metrics - Articles'!H610,"*NA*")</f>
        <v>0</v>
      </c>
      <c r="F613">
        <f>COUNTIF('Metrics - Articles'!H610,"*APJ")</f>
        <v>0</v>
      </c>
      <c r="G613">
        <f>COUNTIF('Metrics - Articles'!H610,"*LATAM*")</f>
        <v>0</v>
      </c>
      <c r="H613">
        <f>COUNTIF('Metrics - Articles'!H610,"*China*")</f>
        <v>0</v>
      </c>
      <c r="J613" s="53">
        <f t="shared" si="10"/>
        <v>0</v>
      </c>
    </row>
    <row r="614" spans="2:10" hidden="1" x14ac:dyDescent="0.25">
      <c r="B614" s="48">
        <f>+'Metrics - Articles'!C611</f>
        <v>0</v>
      </c>
      <c r="C614">
        <f>COUNTIF('Metrics - Articles'!H611,"*Global*")</f>
        <v>0</v>
      </c>
      <c r="D614">
        <f>COUNTIF('Metrics - Articles'!H611,"*EMEA*")</f>
        <v>0</v>
      </c>
      <c r="E614">
        <f>COUNTIF('Metrics - Articles'!H611,"*NA*")</f>
        <v>0</v>
      </c>
      <c r="F614">
        <f>COUNTIF('Metrics - Articles'!H611,"*APJ")</f>
        <v>0</v>
      </c>
      <c r="G614">
        <f>COUNTIF('Metrics - Articles'!H611,"*LATAM*")</f>
        <v>0</v>
      </c>
      <c r="H614">
        <f>COUNTIF('Metrics - Articles'!H611,"*China*")</f>
        <v>0</v>
      </c>
      <c r="J614" s="53">
        <f t="shared" si="10"/>
        <v>0</v>
      </c>
    </row>
    <row r="615" spans="2:10" hidden="1" x14ac:dyDescent="0.25">
      <c r="B615" s="48">
        <f>+'Metrics - Articles'!C612</f>
        <v>0</v>
      </c>
      <c r="C615">
        <f>COUNTIF('Metrics - Articles'!H612,"*Global*")</f>
        <v>0</v>
      </c>
      <c r="D615">
        <f>COUNTIF('Metrics - Articles'!H612,"*EMEA*")</f>
        <v>0</v>
      </c>
      <c r="E615">
        <f>COUNTIF('Metrics - Articles'!H612,"*NA*")</f>
        <v>0</v>
      </c>
      <c r="F615">
        <f>COUNTIF('Metrics - Articles'!H612,"*APJ")</f>
        <v>0</v>
      </c>
      <c r="G615">
        <f>COUNTIF('Metrics - Articles'!H612,"*LATAM*")</f>
        <v>0</v>
      </c>
      <c r="H615">
        <f>COUNTIF('Metrics - Articles'!H612,"*China*")</f>
        <v>0</v>
      </c>
      <c r="J615" s="53">
        <f t="shared" si="10"/>
        <v>0</v>
      </c>
    </row>
    <row r="616" spans="2:10" hidden="1" x14ac:dyDescent="0.25">
      <c r="B616" s="48">
        <f>+'Metrics - Articles'!C613</f>
        <v>0</v>
      </c>
      <c r="C616">
        <f>COUNTIF('Metrics - Articles'!H613,"*Global*")</f>
        <v>0</v>
      </c>
      <c r="D616">
        <f>COUNTIF('Metrics - Articles'!H613,"*EMEA*")</f>
        <v>0</v>
      </c>
      <c r="E616">
        <f>COUNTIF('Metrics - Articles'!H613,"*NA*")</f>
        <v>0</v>
      </c>
      <c r="F616">
        <f>COUNTIF('Metrics - Articles'!H613,"*APJ")</f>
        <v>0</v>
      </c>
      <c r="G616">
        <f>COUNTIF('Metrics - Articles'!H613,"*LATAM*")</f>
        <v>0</v>
      </c>
      <c r="H616">
        <f>COUNTIF('Metrics - Articles'!H613,"*China*")</f>
        <v>0</v>
      </c>
      <c r="J616" s="53">
        <f t="shared" si="10"/>
        <v>0</v>
      </c>
    </row>
    <row r="617" spans="2:10" hidden="1" x14ac:dyDescent="0.25">
      <c r="B617" s="48">
        <f>+'Metrics - Articles'!C614</f>
        <v>0</v>
      </c>
      <c r="C617">
        <f>COUNTIF('Metrics - Articles'!H614,"*Global*")</f>
        <v>0</v>
      </c>
      <c r="D617">
        <f>COUNTIF('Metrics - Articles'!H614,"*EMEA*")</f>
        <v>0</v>
      </c>
      <c r="E617">
        <f>COUNTIF('Metrics - Articles'!H614,"*NA*")</f>
        <v>0</v>
      </c>
      <c r="F617">
        <f>COUNTIF('Metrics - Articles'!H614,"*APJ")</f>
        <v>0</v>
      </c>
      <c r="G617">
        <f>COUNTIF('Metrics - Articles'!H614,"*LATAM*")</f>
        <v>0</v>
      </c>
      <c r="H617">
        <f>COUNTIF('Metrics - Articles'!H614,"*China*")</f>
        <v>0</v>
      </c>
      <c r="J617" s="53">
        <f t="shared" si="10"/>
        <v>0</v>
      </c>
    </row>
    <row r="618" spans="2:10" hidden="1" x14ac:dyDescent="0.25">
      <c r="B618" s="48">
        <f>+'Metrics - Articles'!C615</f>
        <v>0</v>
      </c>
      <c r="C618">
        <f>COUNTIF('Metrics - Articles'!H615,"*Global*")</f>
        <v>0</v>
      </c>
      <c r="D618">
        <f>COUNTIF('Metrics - Articles'!H615,"*EMEA*")</f>
        <v>0</v>
      </c>
      <c r="E618">
        <f>COUNTIF('Metrics - Articles'!H615,"*NA*")</f>
        <v>0</v>
      </c>
      <c r="F618">
        <f>COUNTIF('Metrics - Articles'!H615,"*APJ")</f>
        <v>0</v>
      </c>
      <c r="G618">
        <f>COUNTIF('Metrics - Articles'!H615,"*LATAM*")</f>
        <v>0</v>
      </c>
      <c r="H618">
        <f>COUNTIF('Metrics - Articles'!H615,"*China*")</f>
        <v>0</v>
      </c>
      <c r="J618" s="53">
        <f t="shared" si="10"/>
        <v>0</v>
      </c>
    </row>
    <row r="619" spans="2:10" hidden="1" x14ac:dyDescent="0.25">
      <c r="B619" s="48">
        <f>+'Metrics - Articles'!C616</f>
        <v>0</v>
      </c>
      <c r="C619">
        <f>COUNTIF('Metrics - Articles'!H616,"*Global*")</f>
        <v>0</v>
      </c>
      <c r="D619">
        <f>COUNTIF('Metrics - Articles'!H616,"*EMEA*")</f>
        <v>0</v>
      </c>
      <c r="E619">
        <f>COUNTIF('Metrics - Articles'!H616,"*NA*")</f>
        <v>0</v>
      </c>
      <c r="F619">
        <f>COUNTIF('Metrics - Articles'!H616,"*APJ")</f>
        <v>0</v>
      </c>
      <c r="G619">
        <f>COUNTIF('Metrics - Articles'!H616,"*LATAM*")</f>
        <v>0</v>
      </c>
      <c r="H619">
        <f>COUNTIF('Metrics - Articles'!H616,"*China*")</f>
        <v>0</v>
      </c>
      <c r="J619" s="53">
        <f t="shared" si="10"/>
        <v>0</v>
      </c>
    </row>
    <row r="620" spans="2:10" hidden="1" x14ac:dyDescent="0.25">
      <c r="B620" s="48">
        <f>+'Metrics - Articles'!C617</f>
        <v>0</v>
      </c>
      <c r="C620">
        <f>COUNTIF('Metrics - Articles'!H617,"*Global*")</f>
        <v>0</v>
      </c>
      <c r="D620">
        <f>COUNTIF('Metrics - Articles'!H617,"*EMEA*")</f>
        <v>0</v>
      </c>
      <c r="E620">
        <f>COUNTIF('Metrics - Articles'!H617,"*NA*")</f>
        <v>0</v>
      </c>
      <c r="F620">
        <f>COUNTIF('Metrics - Articles'!H617,"*APJ")</f>
        <v>0</v>
      </c>
      <c r="G620">
        <f>COUNTIF('Metrics - Articles'!H617,"*LATAM*")</f>
        <v>0</v>
      </c>
      <c r="H620">
        <f>COUNTIF('Metrics - Articles'!H617,"*China*")</f>
        <v>0</v>
      </c>
      <c r="J620" s="53">
        <f t="shared" si="10"/>
        <v>0</v>
      </c>
    </row>
    <row r="621" spans="2:10" hidden="1" x14ac:dyDescent="0.25">
      <c r="B621" s="48">
        <f>+'Metrics - Articles'!C618</f>
        <v>0</v>
      </c>
      <c r="C621">
        <f>COUNTIF('Metrics - Articles'!H618,"*Global*")</f>
        <v>0</v>
      </c>
      <c r="D621">
        <f>COUNTIF('Metrics - Articles'!H618,"*EMEA*")</f>
        <v>0</v>
      </c>
      <c r="E621">
        <f>COUNTIF('Metrics - Articles'!H618,"*NA*")</f>
        <v>0</v>
      </c>
      <c r="F621">
        <f>COUNTIF('Metrics - Articles'!H618,"*APJ")</f>
        <v>0</v>
      </c>
      <c r="G621">
        <f>COUNTIF('Metrics - Articles'!H618,"*LATAM*")</f>
        <v>0</v>
      </c>
      <c r="H621">
        <f>COUNTIF('Metrics - Articles'!H618,"*China*")</f>
        <v>0</v>
      </c>
      <c r="J621" s="53">
        <f t="shared" si="10"/>
        <v>0</v>
      </c>
    </row>
    <row r="622" spans="2:10" hidden="1" x14ac:dyDescent="0.25">
      <c r="B622" s="48">
        <f>+'Metrics - Articles'!C619</f>
        <v>0</v>
      </c>
      <c r="C622">
        <f>COUNTIF('Metrics - Articles'!H619,"*Global*")</f>
        <v>0</v>
      </c>
      <c r="D622">
        <f>COUNTIF('Metrics - Articles'!H619,"*EMEA*")</f>
        <v>0</v>
      </c>
      <c r="E622">
        <f>COUNTIF('Metrics - Articles'!H619,"*NA*")</f>
        <v>0</v>
      </c>
      <c r="F622">
        <f>COUNTIF('Metrics - Articles'!H619,"*APJ")</f>
        <v>0</v>
      </c>
      <c r="G622">
        <f>COUNTIF('Metrics - Articles'!H619,"*LATAM*")</f>
        <v>0</v>
      </c>
      <c r="H622">
        <f>COUNTIF('Metrics - Articles'!H619,"*China*")</f>
        <v>0</v>
      </c>
      <c r="J622" s="53">
        <f t="shared" si="10"/>
        <v>0</v>
      </c>
    </row>
    <row r="623" spans="2:10" hidden="1" x14ac:dyDescent="0.25">
      <c r="B623" s="48">
        <f>+'Metrics - Articles'!C620</f>
        <v>0</v>
      </c>
      <c r="C623">
        <f>COUNTIF('Metrics - Articles'!H620,"*Global*")</f>
        <v>0</v>
      </c>
      <c r="D623">
        <f>COUNTIF('Metrics - Articles'!H620,"*EMEA*")</f>
        <v>0</v>
      </c>
      <c r="E623">
        <f>COUNTIF('Metrics - Articles'!H620,"*NA*")</f>
        <v>0</v>
      </c>
      <c r="F623">
        <f>COUNTIF('Metrics - Articles'!H620,"*APJ")</f>
        <v>0</v>
      </c>
      <c r="G623">
        <f>COUNTIF('Metrics - Articles'!H620,"*LATAM*")</f>
        <v>0</v>
      </c>
      <c r="H623">
        <f>COUNTIF('Metrics - Articles'!H620,"*China*")</f>
        <v>0</v>
      </c>
      <c r="J623" s="53">
        <f t="shared" si="10"/>
        <v>0</v>
      </c>
    </row>
    <row r="624" spans="2:10" hidden="1" x14ac:dyDescent="0.25">
      <c r="B624" s="48">
        <f>+'Metrics - Articles'!C621</f>
        <v>0</v>
      </c>
      <c r="C624">
        <f>COUNTIF('Metrics - Articles'!H621,"*Global*")</f>
        <v>0</v>
      </c>
      <c r="D624">
        <f>COUNTIF('Metrics - Articles'!H621,"*EMEA*")</f>
        <v>0</v>
      </c>
      <c r="E624">
        <f>COUNTIF('Metrics - Articles'!H621,"*NA*")</f>
        <v>0</v>
      </c>
      <c r="F624">
        <f>COUNTIF('Metrics - Articles'!H621,"*APJ")</f>
        <v>0</v>
      </c>
      <c r="G624">
        <f>COUNTIF('Metrics - Articles'!H621,"*LATAM*")</f>
        <v>0</v>
      </c>
      <c r="H624">
        <f>COUNTIF('Metrics - Articles'!H621,"*China*")</f>
        <v>0</v>
      </c>
      <c r="J624" s="53">
        <f t="shared" si="10"/>
        <v>0</v>
      </c>
    </row>
    <row r="625" spans="2:10" hidden="1" x14ac:dyDescent="0.25">
      <c r="B625" s="48">
        <f>+'Metrics - Articles'!C622</f>
        <v>0</v>
      </c>
      <c r="C625">
        <f>COUNTIF('Metrics - Articles'!H622,"*Global*")</f>
        <v>0</v>
      </c>
      <c r="D625">
        <f>COUNTIF('Metrics - Articles'!H622,"*EMEA*")</f>
        <v>0</v>
      </c>
      <c r="E625">
        <f>COUNTIF('Metrics - Articles'!H622,"*NA*")</f>
        <v>0</v>
      </c>
      <c r="F625">
        <f>COUNTIF('Metrics - Articles'!H622,"*APJ")</f>
        <v>0</v>
      </c>
      <c r="G625">
        <f>COUNTIF('Metrics - Articles'!H622,"*LATAM*")</f>
        <v>0</v>
      </c>
      <c r="H625">
        <f>COUNTIF('Metrics - Articles'!H622,"*China*")</f>
        <v>0</v>
      </c>
      <c r="J625" s="53">
        <f t="shared" si="10"/>
        <v>0</v>
      </c>
    </row>
    <row r="626" spans="2:10" hidden="1" x14ac:dyDescent="0.25">
      <c r="B626" s="48">
        <f>+'Metrics - Articles'!C623</f>
        <v>0</v>
      </c>
      <c r="C626">
        <f>COUNTIF('Metrics - Articles'!H623,"*Global*")</f>
        <v>0</v>
      </c>
      <c r="D626">
        <f>COUNTIF('Metrics - Articles'!H623,"*EMEA*")</f>
        <v>0</v>
      </c>
      <c r="E626">
        <f>COUNTIF('Metrics - Articles'!H623,"*NA*")</f>
        <v>0</v>
      </c>
      <c r="F626">
        <f>COUNTIF('Metrics - Articles'!H623,"*APJ")</f>
        <v>0</v>
      </c>
      <c r="G626">
        <f>COUNTIF('Metrics - Articles'!H623,"*LATAM*")</f>
        <v>0</v>
      </c>
      <c r="H626">
        <f>COUNTIF('Metrics - Articles'!H623,"*China*")</f>
        <v>0</v>
      </c>
      <c r="J626" s="53">
        <f t="shared" si="10"/>
        <v>0</v>
      </c>
    </row>
    <row r="627" spans="2:10" hidden="1" x14ac:dyDescent="0.25">
      <c r="B627" s="48">
        <f>+'Metrics - Articles'!C624</f>
        <v>0</v>
      </c>
      <c r="C627">
        <f>COUNTIF('Metrics - Articles'!H624,"*Global*")</f>
        <v>0</v>
      </c>
      <c r="D627">
        <f>COUNTIF('Metrics - Articles'!H624,"*EMEA*")</f>
        <v>0</v>
      </c>
      <c r="E627">
        <f>COUNTIF('Metrics - Articles'!H624,"*NA*")</f>
        <v>0</v>
      </c>
      <c r="F627">
        <f>COUNTIF('Metrics - Articles'!H624,"*APJ")</f>
        <v>0</v>
      </c>
      <c r="G627">
        <f>COUNTIF('Metrics - Articles'!H624,"*LATAM*")</f>
        <v>0</v>
      </c>
      <c r="H627">
        <f>COUNTIF('Metrics - Articles'!H624,"*China*")</f>
        <v>0</v>
      </c>
      <c r="J627" s="53">
        <f t="shared" si="10"/>
        <v>0</v>
      </c>
    </row>
    <row r="628" spans="2:10" hidden="1" x14ac:dyDescent="0.25">
      <c r="B628" s="48">
        <f>+'Metrics - Articles'!C625</f>
        <v>0</v>
      </c>
      <c r="C628">
        <f>COUNTIF('Metrics - Articles'!H625,"*Global*")</f>
        <v>0</v>
      </c>
      <c r="D628">
        <f>COUNTIF('Metrics - Articles'!H625,"*EMEA*")</f>
        <v>0</v>
      </c>
      <c r="E628">
        <f>COUNTIF('Metrics - Articles'!H625,"*NA*")</f>
        <v>0</v>
      </c>
      <c r="F628">
        <f>COUNTIF('Metrics - Articles'!H625,"*APJ")</f>
        <v>0</v>
      </c>
      <c r="G628">
        <f>COUNTIF('Metrics - Articles'!H625,"*LATAM*")</f>
        <v>0</v>
      </c>
      <c r="H628">
        <f>COUNTIF('Metrics - Articles'!H625,"*China*")</f>
        <v>0</v>
      </c>
      <c r="J628" s="53">
        <f t="shared" si="10"/>
        <v>0</v>
      </c>
    </row>
    <row r="629" spans="2:10" hidden="1" x14ac:dyDescent="0.25">
      <c r="B629" s="48">
        <f>+'Metrics - Articles'!C626</f>
        <v>0</v>
      </c>
      <c r="C629">
        <f>COUNTIF('Metrics - Articles'!H626,"*Global*")</f>
        <v>0</v>
      </c>
      <c r="D629">
        <f>COUNTIF('Metrics - Articles'!H626,"*EMEA*")</f>
        <v>0</v>
      </c>
      <c r="E629">
        <f>COUNTIF('Metrics - Articles'!H626,"*NA*")</f>
        <v>0</v>
      </c>
      <c r="F629">
        <f>COUNTIF('Metrics - Articles'!H626,"*APJ")</f>
        <v>0</v>
      </c>
      <c r="G629">
        <f>COUNTIF('Metrics - Articles'!H626,"*LATAM*")</f>
        <v>0</v>
      </c>
      <c r="H629">
        <f>COUNTIF('Metrics - Articles'!H626,"*China*")</f>
        <v>0</v>
      </c>
      <c r="J629" s="53">
        <f t="shared" si="10"/>
        <v>0</v>
      </c>
    </row>
    <row r="630" spans="2:10" hidden="1" x14ac:dyDescent="0.25">
      <c r="B630" s="48">
        <f>+'Metrics - Articles'!C627</f>
        <v>0</v>
      </c>
      <c r="C630">
        <f>COUNTIF('Metrics - Articles'!H627,"*Global*")</f>
        <v>0</v>
      </c>
      <c r="D630">
        <f>COUNTIF('Metrics - Articles'!H627,"*EMEA*")</f>
        <v>0</v>
      </c>
      <c r="E630">
        <f>COUNTIF('Metrics - Articles'!H627,"*NA*")</f>
        <v>0</v>
      </c>
      <c r="F630">
        <f>COUNTIF('Metrics - Articles'!H627,"*APJ")</f>
        <v>0</v>
      </c>
      <c r="G630">
        <f>COUNTIF('Metrics - Articles'!H627,"*LATAM*")</f>
        <v>0</v>
      </c>
      <c r="H630">
        <f>COUNTIF('Metrics - Articles'!H627,"*China*")</f>
        <v>0</v>
      </c>
      <c r="J630" s="53">
        <f t="shared" si="10"/>
        <v>0</v>
      </c>
    </row>
    <row r="631" spans="2:10" hidden="1" x14ac:dyDescent="0.25">
      <c r="B631" s="48">
        <f>+'Metrics - Articles'!C628</f>
        <v>0</v>
      </c>
      <c r="C631">
        <f>COUNTIF('Metrics - Articles'!H628,"*Global*")</f>
        <v>0</v>
      </c>
      <c r="D631">
        <f>COUNTIF('Metrics - Articles'!H628,"*EMEA*")</f>
        <v>0</v>
      </c>
      <c r="E631">
        <f>COUNTIF('Metrics - Articles'!H628,"*NA*")</f>
        <v>0</v>
      </c>
      <c r="F631">
        <f>COUNTIF('Metrics - Articles'!H628,"*APJ")</f>
        <v>0</v>
      </c>
      <c r="G631">
        <f>COUNTIF('Metrics - Articles'!H628,"*LATAM*")</f>
        <v>0</v>
      </c>
      <c r="H631">
        <f>COUNTIF('Metrics - Articles'!H628,"*China*")</f>
        <v>0</v>
      </c>
      <c r="J631" s="53">
        <f t="shared" si="10"/>
        <v>0</v>
      </c>
    </row>
    <row r="632" spans="2:10" hidden="1" x14ac:dyDescent="0.25">
      <c r="B632" s="48">
        <f>+'Metrics - Articles'!C629</f>
        <v>0</v>
      </c>
      <c r="C632">
        <f>COUNTIF('Metrics - Articles'!H629,"*Global*")</f>
        <v>0</v>
      </c>
      <c r="D632">
        <f>COUNTIF('Metrics - Articles'!H629,"*EMEA*")</f>
        <v>0</v>
      </c>
      <c r="E632">
        <f>COUNTIF('Metrics - Articles'!H629,"*NA*")</f>
        <v>0</v>
      </c>
      <c r="F632">
        <f>COUNTIF('Metrics - Articles'!H629,"*APJ")</f>
        <v>0</v>
      </c>
      <c r="G632">
        <f>COUNTIF('Metrics - Articles'!H629,"*LATAM*")</f>
        <v>0</v>
      </c>
      <c r="H632">
        <f>COUNTIF('Metrics - Articles'!H629,"*China*")</f>
        <v>0</v>
      </c>
      <c r="J632" s="53">
        <f t="shared" si="10"/>
        <v>0</v>
      </c>
    </row>
    <row r="633" spans="2:10" hidden="1" x14ac:dyDescent="0.25">
      <c r="B633" s="48">
        <f>+'Metrics - Articles'!C630</f>
        <v>0</v>
      </c>
      <c r="C633">
        <f>COUNTIF('Metrics - Articles'!H630,"*Global*")</f>
        <v>0</v>
      </c>
      <c r="D633">
        <f>COUNTIF('Metrics - Articles'!H630,"*EMEA*")</f>
        <v>0</v>
      </c>
      <c r="E633">
        <f>COUNTIF('Metrics - Articles'!H630,"*NA*")</f>
        <v>0</v>
      </c>
      <c r="F633">
        <f>COUNTIF('Metrics - Articles'!H630,"*APJ")</f>
        <v>0</v>
      </c>
      <c r="G633">
        <f>COUNTIF('Metrics - Articles'!H630,"*LATAM*")</f>
        <v>0</v>
      </c>
      <c r="H633">
        <f>COUNTIF('Metrics - Articles'!H630,"*China*")</f>
        <v>0</v>
      </c>
      <c r="J633" s="53">
        <f t="shared" si="10"/>
        <v>0</v>
      </c>
    </row>
    <row r="634" spans="2:10" hidden="1" x14ac:dyDescent="0.25">
      <c r="B634" s="48">
        <f>+'Metrics - Articles'!C631</f>
        <v>0</v>
      </c>
      <c r="C634">
        <f>COUNTIF('Metrics - Articles'!H631,"*Global*")</f>
        <v>0</v>
      </c>
      <c r="D634">
        <f>COUNTIF('Metrics - Articles'!H631,"*EMEA*")</f>
        <v>0</v>
      </c>
      <c r="E634">
        <f>COUNTIF('Metrics - Articles'!H631,"*NA*")</f>
        <v>0</v>
      </c>
      <c r="F634">
        <f>COUNTIF('Metrics - Articles'!H631,"*APJ")</f>
        <v>0</v>
      </c>
      <c r="G634">
        <f>COUNTIF('Metrics - Articles'!H631,"*LATAM*")</f>
        <v>0</v>
      </c>
      <c r="H634">
        <f>COUNTIF('Metrics - Articles'!H631,"*China*")</f>
        <v>0</v>
      </c>
      <c r="J634" s="53">
        <f t="shared" si="10"/>
        <v>0</v>
      </c>
    </row>
    <row r="635" spans="2:10" hidden="1" x14ac:dyDescent="0.25">
      <c r="B635" s="48">
        <f>+'Metrics - Articles'!C632</f>
        <v>0</v>
      </c>
      <c r="C635">
        <f>COUNTIF('Metrics - Articles'!H632,"*Global*")</f>
        <v>0</v>
      </c>
      <c r="D635">
        <f>COUNTIF('Metrics - Articles'!H632,"*EMEA*")</f>
        <v>0</v>
      </c>
      <c r="E635">
        <f>COUNTIF('Metrics - Articles'!H632,"*NA*")</f>
        <v>0</v>
      </c>
      <c r="F635">
        <f>COUNTIF('Metrics - Articles'!H632,"*APJ")</f>
        <v>0</v>
      </c>
      <c r="G635">
        <f>COUNTIF('Metrics - Articles'!H632,"*LATAM*")</f>
        <v>0</v>
      </c>
      <c r="H635">
        <f>COUNTIF('Metrics - Articles'!H632,"*China*")</f>
        <v>0</v>
      </c>
      <c r="J635" s="53">
        <f t="shared" si="10"/>
        <v>0</v>
      </c>
    </row>
    <row r="636" spans="2:10" hidden="1" x14ac:dyDescent="0.25">
      <c r="B636" s="48">
        <f>+'Metrics - Articles'!C633</f>
        <v>0</v>
      </c>
      <c r="C636">
        <f>COUNTIF('Metrics - Articles'!H633,"*Global*")</f>
        <v>0</v>
      </c>
      <c r="D636">
        <f>COUNTIF('Metrics - Articles'!H633,"*EMEA*")</f>
        <v>0</v>
      </c>
      <c r="E636">
        <f>COUNTIF('Metrics - Articles'!H633,"*NA*")</f>
        <v>0</v>
      </c>
      <c r="F636">
        <f>COUNTIF('Metrics - Articles'!H633,"*APJ")</f>
        <v>0</v>
      </c>
      <c r="G636">
        <f>COUNTIF('Metrics - Articles'!H633,"*LATAM*")</f>
        <v>0</v>
      </c>
      <c r="H636">
        <f>COUNTIF('Metrics - Articles'!H633,"*China*")</f>
        <v>0</v>
      </c>
      <c r="J636" s="53">
        <f t="shared" si="10"/>
        <v>0</v>
      </c>
    </row>
    <row r="637" spans="2:10" hidden="1" x14ac:dyDescent="0.25">
      <c r="B637" s="48">
        <f>+'Metrics - Articles'!C634</f>
        <v>0</v>
      </c>
      <c r="C637">
        <f>COUNTIF('Metrics - Articles'!H634,"*Global*")</f>
        <v>0</v>
      </c>
      <c r="D637">
        <f>COUNTIF('Metrics - Articles'!H634,"*EMEA*")</f>
        <v>0</v>
      </c>
      <c r="E637">
        <f>COUNTIF('Metrics - Articles'!H634,"*NA*")</f>
        <v>0</v>
      </c>
      <c r="F637">
        <f>COUNTIF('Metrics - Articles'!H634,"*APJ")</f>
        <v>0</v>
      </c>
      <c r="G637">
        <f>COUNTIF('Metrics - Articles'!H634,"*LATAM*")</f>
        <v>0</v>
      </c>
      <c r="H637">
        <f>COUNTIF('Metrics - Articles'!H634,"*China*")</f>
        <v>0</v>
      </c>
      <c r="J637" s="53">
        <f t="shared" si="10"/>
        <v>0</v>
      </c>
    </row>
    <row r="638" spans="2:10" hidden="1" x14ac:dyDescent="0.25">
      <c r="B638" s="48">
        <f>+'Metrics - Articles'!C635</f>
        <v>0</v>
      </c>
      <c r="C638">
        <f>COUNTIF('Metrics - Articles'!H635,"*Global*")</f>
        <v>0</v>
      </c>
      <c r="D638">
        <f>COUNTIF('Metrics - Articles'!H635,"*EMEA*")</f>
        <v>0</v>
      </c>
      <c r="E638">
        <f>COUNTIF('Metrics - Articles'!H635,"*NA*")</f>
        <v>0</v>
      </c>
      <c r="F638">
        <f>COUNTIF('Metrics - Articles'!H635,"*APJ")</f>
        <v>0</v>
      </c>
      <c r="G638">
        <f>COUNTIF('Metrics - Articles'!H635,"*LATAM*")</f>
        <v>0</v>
      </c>
      <c r="H638">
        <f>COUNTIF('Metrics - Articles'!H635,"*China*")</f>
        <v>0</v>
      </c>
      <c r="J638" s="53">
        <f t="shared" si="10"/>
        <v>0</v>
      </c>
    </row>
    <row r="639" spans="2:10" hidden="1" x14ac:dyDescent="0.25">
      <c r="B639" s="48">
        <f>+'Metrics - Articles'!C636</f>
        <v>0</v>
      </c>
      <c r="C639">
        <f>COUNTIF('Metrics - Articles'!H636,"*Global*")</f>
        <v>0</v>
      </c>
      <c r="D639">
        <f>COUNTIF('Metrics - Articles'!H636,"*EMEA*")</f>
        <v>0</v>
      </c>
      <c r="E639">
        <f>COUNTIF('Metrics - Articles'!H636,"*NA*")</f>
        <v>0</v>
      </c>
      <c r="F639">
        <f>COUNTIF('Metrics - Articles'!H636,"*APJ")</f>
        <v>0</v>
      </c>
      <c r="G639">
        <f>COUNTIF('Metrics - Articles'!H636,"*LATAM*")</f>
        <v>0</v>
      </c>
      <c r="H639">
        <f>COUNTIF('Metrics - Articles'!H636,"*China*")</f>
        <v>0</v>
      </c>
      <c r="J639" s="53">
        <f t="shared" si="10"/>
        <v>0</v>
      </c>
    </row>
    <row r="640" spans="2:10" hidden="1" x14ac:dyDescent="0.25">
      <c r="B640" s="48">
        <f>+'Metrics - Articles'!C637</f>
        <v>0</v>
      </c>
      <c r="C640">
        <f>COUNTIF('Metrics - Articles'!H637,"*Global*")</f>
        <v>0</v>
      </c>
      <c r="D640">
        <f>COUNTIF('Metrics - Articles'!H637,"*EMEA*")</f>
        <v>0</v>
      </c>
      <c r="E640">
        <f>COUNTIF('Metrics - Articles'!H637,"*NA*")</f>
        <v>0</v>
      </c>
      <c r="F640">
        <f>COUNTIF('Metrics - Articles'!H637,"*APJ")</f>
        <v>0</v>
      </c>
      <c r="G640">
        <f>COUNTIF('Metrics - Articles'!H637,"*LATAM*")</f>
        <v>0</v>
      </c>
      <c r="H640">
        <f>COUNTIF('Metrics - Articles'!H637,"*China*")</f>
        <v>0</v>
      </c>
      <c r="J640" s="53">
        <f t="shared" si="10"/>
        <v>0</v>
      </c>
    </row>
    <row r="641" spans="2:10" hidden="1" x14ac:dyDescent="0.25">
      <c r="B641" s="48">
        <f>+'Metrics - Articles'!C638</f>
        <v>0</v>
      </c>
      <c r="C641">
        <f>COUNTIF('Metrics - Articles'!H638,"*Global*")</f>
        <v>0</v>
      </c>
      <c r="D641">
        <f>COUNTIF('Metrics - Articles'!H638,"*EMEA*")</f>
        <v>0</v>
      </c>
      <c r="E641">
        <f>COUNTIF('Metrics - Articles'!H638,"*NA*")</f>
        <v>0</v>
      </c>
      <c r="F641">
        <f>COUNTIF('Metrics - Articles'!H638,"*APJ")</f>
        <v>0</v>
      </c>
      <c r="G641">
        <f>COUNTIF('Metrics - Articles'!H638,"*LATAM*")</f>
        <v>0</v>
      </c>
      <c r="H641">
        <f>COUNTIF('Metrics - Articles'!H638,"*China*")</f>
        <v>0</v>
      </c>
      <c r="J641" s="53">
        <f t="shared" si="10"/>
        <v>0</v>
      </c>
    </row>
    <row r="642" spans="2:10" hidden="1" x14ac:dyDescent="0.25">
      <c r="B642" s="48">
        <f>+'Metrics - Articles'!C639</f>
        <v>0</v>
      </c>
      <c r="C642">
        <f>COUNTIF('Metrics - Articles'!H639,"*Global*")</f>
        <v>0</v>
      </c>
      <c r="D642">
        <f>COUNTIF('Metrics - Articles'!H639,"*EMEA*")</f>
        <v>0</v>
      </c>
      <c r="E642">
        <f>COUNTIF('Metrics - Articles'!H639,"*NA*")</f>
        <v>0</v>
      </c>
      <c r="F642">
        <f>COUNTIF('Metrics - Articles'!H639,"*APJ")</f>
        <v>0</v>
      </c>
      <c r="G642">
        <f>COUNTIF('Metrics - Articles'!H639,"*LATAM*")</f>
        <v>0</v>
      </c>
      <c r="H642">
        <f>COUNTIF('Metrics - Articles'!H639,"*China*")</f>
        <v>0</v>
      </c>
      <c r="J642" s="53">
        <f t="shared" si="10"/>
        <v>0</v>
      </c>
    </row>
    <row r="643" spans="2:10" hidden="1" x14ac:dyDescent="0.25">
      <c r="B643" s="48">
        <f>+'Metrics - Articles'!C640</f>
        <v>0</v>
      </c>
      <c r="C643">
        <f>COUNTIF('Metrics - Articles'!H640,"*Global*")</f>
        <v>0</v>
      </c>
      <c r="D643">
        <f>COUNTIF('Metrics - Articles'!H640,"*EMEA*")</f>
        <v>0</v>
      </c>
      <c r="E643">
        <f>COUNTIF('Metrics - Articles'!H640,"*NA*")</f>
        <v>0</v>
      </c>
      <c r="F643">
        <f>COUNTIF('Metrics - Articles'!H640,"*APJ")</f>
        <v>0</v>
      </c>
      <c r="G643">
        <f>COUNTIF('Metrics - Articles'!H640,"*LATAM*")</f>
        <v>0</v>
      </c>
      <c r="H643">
        <f>COUNTIF('Metrics - Articles'!H640,"*China*")</f>
        <v>0</v>
      </c>
      <c r="J643" s="53">
        <f t="shared" si="10"/>
        <v>0</v>
      </c>
    </row>
    <row r="644" spans="2:10" hidden="1" x14ac:dyDescent="0.25">
      <c r="B644" s="48">
        <f>+'Metrics - Articles'!C641</f>
        <v>0</v>
      </c>
      <c r="C644">
        <f>COUNTIF('Metrics - Articles'!H641,"*Global*")</f>
        <v>0</v>
      </c>
      <c r="D644">
        <f>COUNTIF('Metrics - Articles'!H641,"*EMEA*")</f>
        <v>0</v>
      </c>
      <c r="E644">
        <f>COUNTIF('Metrics - Articles'!H641,"*NA*")</f>
        <v>0</v>
      </c>
      <c r="F644">
        <f>COUNTIF('Metrics - Articles'!H641,"*APJ")</f>
        <v>0</v>
      </c>
      <c r="G644">
        <f>COUNTIF('Metrics - Articles'!H641,"*LATAM*")</f>
        <v>0</v>
      </c>
      <c r="H644">
        <f>COUNTIF('Metrics - Articles'!H641,"*China*")</f>
        <v>0</v>
      </c>
      <c r="J644" s="53">
        <f t="shared" si="10"/>
        <v>0</v>
      </c>
    </row>
    <row r="645" spans="2:10" hidden="1" x14ac:dyDescent="0.25">
      <c r="B645" s="48">
        <f>+'Metrics - Articles'!C642</f>
        <v>0</v>
      </c>
      <c r="C645">
        <f>COUNTIF('Metrics - Articles'!H642,"*Global*")</f>
        <v>0</v>
      </c>
      <c r="D645">
        <f>COUNTIF('Metrics - Articles'!H642,"*EMEA*")</f>
        <v>0</v>
      </c>
      <c r="E645">
        <f>COUNTIF('Metrics - Articles'!H642,"*NA*")</f>
        <v>0</v>
      </c>
      <c r="F645">
        <f>COUNTIF('Metrics - Articles'!H642,"*APJ")</f>
        <v>0</v>
      </c>
      <c r="G645">
        <f>COUNTIF('Metrics - Articles'!H642,"*LATAM*")</f>
        <v>0</v>
      </c>
      <c r="H645">
        <f>COUNTIF('Metrics - Articles'!H642,"*China*")</f>
        <v>0</v>
      </c>
      <c r="J645" s="53">
        <f t="shared" si="10"/>
        <v>0</v>
      </c>
    </row>
    <row r="646" spans="2:10" hidden="1" x14ac:dyDescent="0.25">
      <c r="B646" s="48">
        <f>+'Metrics - Articles'!C643</f>
        <v>0</v>
      </c>
      <c r="C646">
        <f>COUNTIF('Metrics - Articles'!H643,"*Global*")</f>
        <v>0</v>
      </c>
      <c r="D646">
        <f>COUNTIF('Metrics - Articles'!H643,"*EMEA*")</f>
        <v>0</v>
      </c>
      <c r="E646">
        <f>COUNTIF('Metrics - Articles'!H643,"*NA*")</f>
        <v>0</v>
      </c>
      <c r="F646">
        <f>COUNTIF('Metrics - Articles'!H643,"*APJ")</f>
        <v>0</v>
      </c>
      <c r="G646">
        <f>COUNTIF('Metrics - Articles'!H643,"*LATAM*")</f>
        <v>0</v>
      </c>
      <c r="H646">
        <f>COUNTIF('Metrics - Articles'!H643,"*China*")</f>
        <v>0</v>
      </c>
      <c r="J646" s="53">
        <f t="shared" si="10"/>
        <v>0</v>
      </c>
    </row>
    <row r="647" spans="2:10" hidden="1" x14ac:dyDescent="0.25">
      <c r="B647" s="48">
        <f>+'Metrics - Articles'!C644</f>
        <v>0</v>
      </c>
      <c r="C647">
        <f>COUNTIF('Metrics - Articles'!H644,"*Global*")</f>
        <v>0</v>
      </c>
      <c r="D647">
        <f>COUNTIF('Metrics - Articles'!H644,"*EMEA*")</f>
        <v>0</v>
      </c>
      <c r="E647">
        <f>COUNTIF('Metrics - Articles'!H644,"*NA*")</f>
        <v>0</v>
      </c>
      <c r="F647">
        <f>COUNTIF('Metrics - Articles'!H644,"*APJ")</f>
        <v>0</v>
      </c>
      <c r="G647">
        <f>COUNTIF('Metrics - Articles'!H644,"*LATAM*")</f>
        <v>0</v>
      </c>
      <c r="H647">
        <f>COUNTIF('Metrics - Articles'!H644,"*China*")</f>
        <v>0</v>
      </c>
      <c r="J647" s="53">
        <f t="shared" si="10"/>
        <v>0</v>
      </c>
    </row>
    <row r="648" spans="2:10" hidden="1" x14ac:dyDescent="0.25">
      <c r="B648" s="48">
        <f>+'Metrics - Articles'!C645</f>
        <v>0</v>
      </c>
      <c r="C648">
        <f>COUNTIF('Metrics - Articles'!H645,"*Global*")</f>
        <v>0</v>
      </c>
      <c r="D648">
        <f>COUNTIF('Metrics - Articles'!H645,"*EMEA*")</f>
        <v>0</v>
      </c>
      <c r="E648">
        <f>COUNTIF('Metrics - Articles'!H645,"*NA*")</f>
        <v>0</v>
      </c>
      <c r="F648">
        <f>COUNTIF('Metrics - Articles'!H645,"*APJ")</f>
        <v>0</v>
      </c>
      <c r="G648">
        <f>COUNTIF('Metrics - Articles'!H645,"*LATAM*")</f>
        <v>0</v>
      </c>
      <c r="H648">
        <f>COUNTIF('Metrics - Articles'!H645,"*China*")</f>
        <v>0</v>
      </c>
      <c r="J648" s="53">
        <f t="shared" si="10"/>
        <v>0</v>
      </c>
    </row>
    <row r="649" spans="2:10" hidden="1" x14ac:dyDescent="0.25">
      <c r="B649" s="48">
        <f>+'Metrics - Articles'!C646</f>
        <v>0</v>
      </c>
      <c r="C649">
        <f>COUNTIF('Metrics - Articles'!H646,"*Global*")</f>
        <v>0</v>
      </c>
      <c r="D649">
        <f>COUNTIF('Metrics - Articles'!H646,"*EMEA*")</f>
        <v>0</v>
      </c>
      <c r="E649">
        <f>COUNTIF('Metrics - Articles'!H646,"*NA*")</f>
        <v>0</v>
      </c>
      <c r="F649">
        <f>COUNTIF('Metrics - Articles'!H646,"*APJ")</f>
        <v>0</v>
      </c>
      <c r="G649">
        <f>COUNTIF('Metrics - Articles'!H646,"*LATAM*")</f>
        <v>0</v>
      </c>
      <c r="H649">
        <f>COUNTIF('Metrics - Articles'!H646,"*China*")</f>
        <v>0</v>
      </c>
      <c r="J649" s="53">
        <f t="shared" si="10"/>
        <v>0</v>
      </c>
    </row>
    <row r="650" spans="2:10" hidden="1" x14ac:dyDescent="0.25">
      <c r="B650" s="48">
        <f>+'Metrics - Articles'!C647</f>
        <v>0</v>
      </c>
      <c r="C650">
        <f>COUNTIF('Metrics - Articles'!H647,"*Global*")</f>
        <v>0</v>
      </c>
      <c r="D650">
        <f>COUNTIF('Metrics - Articles'!H647,"*EMEA*")</f>
        <v>0</v>
      </c>
      <c r="E650">
        <f>COUNTIF('Metrics - Articles'!H647,"*NA*")</f>
        <v>0</v>
      </c>
      <c r="F650">
        <f>COUNTIF('Metrics - Articles'!H647,"*APJ")</f>
        <v>0</v>
      </c>
      <c r="G650">
        <f>COUNTIF('Metrics - Articles'!H647,"*LATAM*")</f>
        <v>0</v>
      </c>
      <c r="H650">
        <f>COUNTIF('Metrics - Articles'!H647,"*China*")</f>
        <v>0</v>
      </c>
      <c r="J650" s="53">
        <f t="shared" ref="J650:J713" si="11">SUM(C650:I650)</f>
        <v>0</v>
      </c>
    </row>
    <row r="651" spans="2:10" hidden="1" x14ac:dyDescent="0.25">
      <c r="B651" s="48">
        <f>+'Metrics - Articles'!C648</f>
        <v>0</v>
      </c>
      <c r="C651">
        <f>COUNTIF('Metrics - Articles'!H648,"*Global*")</f>
        <v>0</v>
      </c>
      <c r="D651">
        <f>COUNTIF('Metrics - Articles'!H648,"*EMEA*")</f>
        <v>0</v>
      </c>
      <c r="E651">
        <f>COUNTIF('Metrics - Articles'!H648,"*NA*")</f>
        <v>0</v>
      </c>
      <c r="F651">
        <f>COUNTIF('Metrics - Articles'!H648,"*APJ")</f>
        <v>0</v>
      </c>
      <c r="G651">
        <f>COUNTIF('Metrics - Articles'!H648,"*LATAM*")</f>
        <v>0</v>
      </c>
      <c r="H651">
        <f>COUNTIF('Metrics - Articles'!H648,"*China*")</f>
        <v>0</v>
      </c>
      <c r="J651" s="53">
        <f t="shared" si="11"/>
        <v>0</v>
      </c>
    </row>
    <row r="652" spans="2:10" hidden="1" x14ac:dyDescent="0.25">
      <c r="B652" s="48">
        <f>+'Metrics - Articles'!C649</f>
        <v>0</v>
      </c>
      <c r="C652">
        <f>COUNTIF('Metrics - Articles'!H649,"*Global*")</f>
        <v>0</v>
      </c>
      <c r="D652">
        <f>COUNTIF('Metrics - Articles'!H649,"*EMEA*")</f>
        <v>0</v>
      </c>
      <c r="E652">
        <f>COUNTIF('Metrics - Articles'!H649,"*NA*")</f>
        <v>0</v>
      </c>
      <c r="F652">
        <f>COUNTIF('Metrics - Articles'!H649,"*APJ")</f>
        <v>0</v>
      </c>
      <c r="G652">
        <f>COUNTIF('Metrics - Articles'!H649,"*LATAM*")</f>
        <v>0</v>
      </c>
      <c r="H652">
        <f>COUNTIF('Metrics - Articles'!H649,"*China*")</f>
        <v>0</v>
      </c>
      <c r="J652" s="53">
        <f t="shared" si="11"/>
        <v>0</v>
      </c>
    </row>
    <row r="653" spans="2:10" hidden="1" x14ac:dyDescent="0.25">
      <c r="B653" s="48">
        <f>+'Metrics - Articles'!C650</f>
        <v>0</v>
      </c>
      <c r="C653">
        <f>COUNTIF('Metrics - Articles'!H650,"*Global*")</f>
        <v>0</v>
      </c>
      <c r="D653">
        <f>COUNTIF('Metrics - Articles'!H650,"*EMEA*")</f>
        <v>0</v>
      </c>
      <c r="E653">
        <f>COUNTIF('Metrics - Articles'!H650,"*NA*")</f>
        <v>0</v>
      </c>
      <c r="F653">
        <f>COUNTIF('Metrics - Articles'!H650,"*APJ")</f>
        <v>0</v>
      </c>
      <c r="G653">
        <f>COUNTIF('Metrics - Articles'!H650,"*LATAM*")</f>
        <v>0</v>
      </c>
      <c r="H653">
        <f>COUNTIF('Metrics - Articles'!H650,"*China*")</f>
        <v>0</v>
      </c>
      <c r="J653" s="53">
        <f t="shared" si="11"/>
        <v>0</v>
      </c>
    </row>
    <row r="654" spans="2:10" hidden="1" x14ac:dyDescent="0.25">
      <c r="B654" s="48">
        <f>+'Metrics - Articles'!C651</f>
        <v>0</v>
      </c>
      <c r="C654">
        <f>COUNTIF('Metrics - Articles'!H651,"*Global*")</f>
        <v>0</v>
      </c>
      <c r="D654">
        <f>COUNTIF('Metrics - Articles'!H651,"*EMEA*")</f>
        <v>0</v>
      </c>
      <c r="E654">
        <f>COUNTIF('Metrics - Articles'!H651,"*NA*")</f>
        <v>0</v>
      </c>
      <c r="F654">
        <f>COUNTIF('Metrics - Articles'!H651,"*APJ")</f>
        <v>0</v>
      </c>
      <c r="G654">
        <f>COUNTIF('Metrics - Articles'!H651,"*LATAM*")</f>
        <v>0</v>
      </c>
      <c r="H654">
        <f>COUNTIF('Metrics - Articles'!H651,"*China*")</f>
        <v>0</v>
      </c>
      <c r="J654" s="53">
        <f t="shared" si="11"/>
        <v>0</v>
      </c>
    </row>
    <row r="655" spans="2:10" hidden="1" x14ac:dyDescent="0.25">
      <c r="B655" s="48">
        <f>+'Metrics - Articles'!C652</f>
        <v>0</v>
      </c>
      <c r="C655">
        <f>COUNTIF('Metrics - Articles'!H652,"*Global*")</f>
        <v>0</v>
      </c>
      <c r="D655">
        <f>COUNTIF('Metrics - Articles'!H652,"*EMEA*")</f>
        <v>0</v>
      </c>
      <c r="E655">
        <f>COUNTIF('Metrics - Articles'!H652,"*NA*")</f>
        <v>0</v>
      </c>
      <c r="F655">
        <f>COUNTIF('Metrics - Articles'!H652,"*APJ")</f>
        <v>0</v>
      </c>
      <c r="G655">
        <f>COUNTIF('Metrics - Articles'!H652,"*LATAM*")</f>
        <v>0</v>
      </c>
      <c r="H655">
        <f>COUNTIF('Metrics - Articles'!H652,"*China*")</f>
        <v>0</v>
      </c>
      <c r="J655" s="53">
        <f t="shared" si="11"/>
        <v>0</v>
      </c>
    </row>
    <row r="656" spans="2:10" hidden="1" x14ac:dyDescent="0.25">
      <c r="B656" s="48">
        <f>+'Metrics - Articles'!C653</f>
        <v>0</v>
      </c>
      <c r="C656">
        <f>COUNTIF('Metrics - Articles'!H653,"*Global*")</f>
        <v>0</v>
      </c>
      <c r="D656">
        <f>COUNTIF('Metrics - Articles'!H653,"*EMEA*")</f>
        <v>0</v>
      </c>
      <c r="E656">
        <f>COUNTIF('Metrics - Articles'!H653,"*NA*")</f>
        <v>0</v>
      </c>
      <c r="F656">
        <f>COUNTIF('Metrics - Articles'!H653,"*APJ")</f>
        <v>0</v>
      </c>
      <c r="G656">
        <f>COUNTIF('Metrics - Articles'!H653,"*LATAM*")</f>
        <v>0</v>
      </c>
      <c r="H656">
        <f>COUNTIF('Metrics - Articles'!H653,"*China*")</f>
        <v>0</v>
      </c>
      <c r="J656" s="53">
        <f t="shared" si="11"/>
        <v>0</v>
      </c>
    </row>
    <row r="657" spans="2:10" hidden="1" x14ac:dyDescent="0.25">
      <c r="B657" s="48">
        <f>+'Metrics - Articles'!C654</f>
        <v>0</v>
      </c>
      <c r="C657">
        <f>COUNTIF('Metrics - Articles'!H654,"*Global*")</f>
        <v>0</v>
      </c>
      <c r="D657">
        <f>COUNTIF('Metrics - Articles'!H654,"*EMEA*")</f>
        <v>0</v>
      </c>
      <c r="E657">
        <f>COUNTIF('Metrics - Articles'!H654,"*NA*")</f>
        <v>0</v>
      </c>
      <c r="F657">
        <f>COUNTIF('Metrics - Articles'!H654,"*APJ")</f>
        <v>0</v>
      </c>
      <c r="G657">
        <f>COUNTIF('Metrics - Articles'!H654,"*LATAM*")</f>
        <v>0</v>
      </c>
      <c r="H657">
        <f>COUNTIF('Metrics - Articles'!H654,"*China*")</f>
        <v>0</v>
      </c>
      <c r="J657" s="53">
        <f t="shared" si="11"/>
        <v>0</v>
      </c>
    </row>
    <row r="658" spans="2:10" hidden="1" x14ac:dyDescent="0.25">
      <c r="B658" s="48">
        <f>+'Metrics - Articles'!C655</f>
        <v>0</v>
      </c>
      <c r="C658">
        <f>COUNTIF('Metrics - Articles'!H655,"*Global*")</f>
        <v>0</v>
      </c>
      <c r="D658">
        <f>COUNTIF('Metrics - Articles'!H655,"*EMEA*")</f>
        <v>0</v>
      </c>
      <c r="E658">
        <f>COUNTIF('Metrics - Articles'!H655,"*NA*")</f>
        <v>0</v>
      </c>
      <c r="F658">
        <f>COUNTIF('Metrics - Articles'!H655,"*APJ")</f>
        <v>0</v>
      </c>
      <c r="G658">
        <f>COUNTIF('Metrics - Articles'!H655,"*LATAM*")</f>
        <v>0</v>
      </c>
      <c r="H658">
        <f>COUNTIF('Metrics - Articles'!H655,"*China*")</f>
        <v>0</v>
      </c>
      <c r="J658" s="53">
        <f t="shared" si="11"/>
        <v>0</v>
      </c>
    </row>
    <row r="659" spans="2:10" hidden="1" x14ac:dyDescent="0.25">
      <c r="B659" s="48">
        <f>+'Metrics - Articles'!C656</f>
        <v>0</v>
      </c>
      <c r="C659">
        <f>COUNTIF('Metrics - Articles'!H656,"*Global*")</f>
        <v>0</v>
      </c>
      <c r="D659">
        <f>COUNTIF('Metrics - Articles'!H656,"*EMEA*")</f>
        <v>0</v>
      </c>
      <c r="E659">
        <f>COUNTIF('Metrics - Articles'!H656,"*NA*")</f>
        <v>0</v>
      </c>
      <c r="F659">
        <f>COUNTIF('Metrics - Articles'!H656,"*APJ")</f>
        <v>0</v>
      </c>
      <c r="G659">
        <f>COUNTIF('Metrics - Articles'!H656,"*LATAM*")</f>
        <v>0</v>
      </c>
      <c r="H659">
        <f>COUNTIF('Metrics - Articles'!H656,"*China*")</f>
        <v>0</v>
      </c>
      <c r="J659" s="53">
        <f t="shared" si="11"/>
        <v>0</v>
      </c>
    </row>
    <row r="660" spans="2:10" hidden="1" x14ac:dyDescent="0.25">
      <c r="B660" s="48">
        <f>+'Metrics - Articles'!C657</f>
        <v>0</v>
      </c>
      <c r="C660">
        <f>COUNTIF('Metrics - Articles'!H657,"*Global*")</f>
        <v>0</v>
      </c>
      <c r="D660">
        <f>COUNTIF('Metrics - Articles'!H657,"*EMEA*")</f>
        <v>0</v>
      </c>
      <c r="E660">
        <f>COUNTIF('Metrics - Articles'!H657,"*NA*")</f>
        <v>0</v>
      </c>
      <c r="F660">
        <f>COUNTIF('Metrics - Articles'!H657,"*APJ")</f>
        <v>0</v>
      </c>
      <c r="G660">
        <f>COUNTIF('Metrics - Articles'!H657,"*LATAM*")</f>
        <v>0</v>
      </c>
      <c r="H660">
        <f>COUNTIF('Metrics - Articles'!H657,"*China*")</f>
        <v>0</v>
      </c>
      <c r="J660" s="53">
        <f t="shared" si="11"/>
        <v>0</v>
      </c>
    </row>
    <row r="661" spans="2:10" hidden="1" x14ac:dyDescent="0.25">
      <c r="B661" s="48">
        <f>+'Metrics - Articles'!C658</f>
        <v>0</v>
      </c>
      <c r="C661">
        <f>COUNTIF('Metrics - Articles'!H658,"*Global*")</f>
        <v>0</v>
      </c>
      <c r="D661">
        <f>COUNTIF('Metrics - Articles'!H658,"*EMEA*")</f>
        <v>0</v>
      </c>
      <c r="E661">
        <f>COUNTIF('Metrics - Articles'!H658,"*NA*")</f>
        <v>0</v>
      </c>
      <c r="F661">
        <f>COUNTIF('Metrics - Articles'!H658,"*APJ")</f>
        <v>0</v>
      </c>
      <c r="G661">
        <f>COUNTIF('Metrics - Articles'!H658,"*LATAM*")</f>
        <v>0</v>
      </c>
      <c r="H661">
        <f>COUNTIF('Metrics - Articles'!H658,"*China*")</f>
        <v>0</v>
      </c>
      <c r="J661" s="53">
        <f t="shared" si="11"/>
        <v>0</v>
      </c>
    </row>
    <row r="662" spans="2:10" hidden="1" x14ac:dyDescent="0.25">
      <c r="B662" s="48">
        <f>+'Metrics - Articles'!C659</f>
        <v>0</v>
      </c>
      <c r="C662">
        <f>COUNTIF('Metrics - Articles'!H659,"*Global*")</f>
        <v>0</v>
      </c>
      <c r="D662">
        <f>COUNTIF('Metrics - Articles'!H659,"*EMEA*")</f>
        <v>0</v>
      </c>
      <c r="E662">
        <f>COUNTIF('Metrics - Articles'!H659,"*NA*")</f>
        <v>0</v>
      </c>
      <c r="F662">
        <f>COUNTIF('Metrics - Articles'!H659,"*APJ")</f>
        <v>0</v>
      </c>
      <c r="G662">
        <f>COUNTIF('Metrics - Articles'!H659,"*LATAM*")</f>
        <v>0</v>
      </c>
      <c r="H662">
        <f>COUNTIF('Metrics - Articles'!H659,"*China*")</f>
        <v>0</v>
      </c>
      <c r="J662" s="53">
        <f t="shared" si="11"/>
        <v>0</v>
      </c>
    </row>
    <row r="663" spans="2:10" hidden="1" x14ac:dyDescent="0.25">
      <c r="B663" s="48">
        <f>+'Metrics - Articles'!C660</f>
        <v>0</v>
      </c>
      <c r="C663">
        <f>COUNTIF('Metrics - Articles'!H660,"*Global*")</f>
        <v>0</v>
      </c>
      <c r="D663">
        <f>COUNTIF('Metrics - Articles'!H660,"*EMEA*")</f>
        <v>0</v>
      </c>
      <c r="E663">
        <f>COUNTIF('Metrics - Articles'!H660,"*NA*")</f>
        <v>0</v>
      </c>
      <c r="F663">
        <f>COUNTIF('Metrics - Articles'!H660,"*APJ")</f>
        <v>0</v>
      </c>
      <c r="G663">
        <f>COUNTIF('Metrics - Articles'!H660,"*LATAM*")</f>
        <v>0</v>
      </c>
      <c r="H663">
        <f>COUNTIF('Metrics - Articles'!H660,"*China*")</f>
        <v>0</v>
      </c>
      <c r="J663" s="53">
        <f t="shared" si="11"/>
        <v>0</v>
      </c>
    </row>
    <row r="664" spans="2:10" hidden="1" x14ac:dyDescent="0.25">
      <c r="B664" s="48">
        <f>+'Metrics - Articles'!C661</f>
        <v>0</v>
      </c>
      <c r="C664">
        <f>COUNTIF('Metrics - Articles'!H661,"*Global*")</f>
        <v>0</v>
      </c>
      <c r="D664">
        <f>COUNTIF('Metrics - Articles'!H661,"*EMEA*")</f>
        <v>0</v>
      </c>
      <c r="E664">
        <f>COUNTIF('Metrics - Articles'!H661,"*NA*")</f>
        <v>0</v>
      </c>
      <c r="F664">
        <f>COUNTIF('Metrics - Articles'!H661,"*APJ")</f>
        <v>0</v>
      </c>
      <c r="G664">
        <f>COUNTIF('Metrics - Articles'!H661,"*LATAM*")</f>
        <v>0</v>
      </c>
      <c r="H664">
        <f>COUNTIF('Metrics - Articles'!H661,"*China*")</f>
        <v>0</v>
      </c>
      <c r="J664" s="53">
        <f t="shared" si="11"/>
        <v>0</v>
      </c>
    </row>
    <row r="665" spans="2:10" hidden="1" x14ac:dyDescent="0.25">
      <c r="B665" s="48">
        <f>+'Metrics - Articles'!C662</f>
        <v>0</v>
      </c>
      <c r="C665">
        <f>COUNTIF('Metrics - Articles'!H662,"*Global*")</f>
        <v>0</v>
      </c>
      <c r="D665">
        <f>COUNTIF('Metrics - Articles'!H662,"*EMEA*")</f>
        <v>0</v>
      </c>
      <c r="E665">
        <f>COUNTIF('Metrics - Articles'!H662,"*NA*")</f>
        <v>0</v>
      </c>
      <c r="F665">
        <f>COUNTIF('Metrics - Articles'!H662,"*APJ")</f>
        <v>0</v>
      </c>
      <c r="G665">
        <f>COUNTIF('Metrics - Articles'!H662,"*LATAM*")</f>
        <v>0</v>
      </c>
      <c r="H665">
        <f>COUNTIF('Metrics - Articles'!H662,"*China*")</f>
        <v>0</v>
      </c>
      <c r="J665" s="53">
        <f t="shared" si="11"/>
        <v>0</v>
      </c>
    </row>
    <row r="666" spans="2:10" hidden="1" x14ac:dyDescent="0.25">
      <c r="B666" s="48">
        <f>+'Metrics - Articles'!C663</f>
        <v>0</v>
      </c>
      <c r="C666">
        <f>COUNTIF('Metrics - Articles'!H663,"*Global*")</f>
        <v>0</v>
      </c>
      <c r="D666">
        <f>COUNTIF('Metrics - Articles'!H663,"*EMEA*")</f>
        <v>0</v>
      </c>
      <c r="E666">
        <f>COUNTIF('Metrics - Articles'!H663,"*NA*")</f>
        <v>0</v>
      </c>
      <c r="F666">
        <f>COUNTIF('Metrics - Articles'!H663,"*APJ")</f>
        <v>0</v>
      </c>
      <c r="G666">
        <f>COUNTIF('Metrics - Articles'!H663,"*LATAM*")</f>
        <v>0</v>
      </c>
      <c r="H666">
        <f>COUNTIF('Metrics - Articles'!H663,"*China*")</f>
        <v>0</v>
      </c>
      <c r="J666" s="53">
        <f t="shared" si="11"/>
        <v>0</v>
      </c>
    </row>
    <row r="667" spans="2:10" hidden="1" x14ac:dyDescent="0.25">
      <c r="B667" s="48">
        <f>+'Metrics - Articles'!C664</f>
        <v>0</v>
      </c>
      <c r="C667">
        <f>COUNTIF('Metrics - Articles'!H664,"*Global*")</f>
        <v>0</v>
      </c>
      <c r="D667">
        <f>COUNTIF('Metrics - Articles'!H664,"*EMEA*")</f>
        <v>0</v>
      </c>
      <c r="E667">
        <f>COUNTIF('Metrics - Articles'!H664,"*NA*")</f>
        <v>0</v>
      </c>
      <c r="F667">
        <f>COUNTIF('Metrics - Articles'!H664,"*APJ")</f>
        <v>0</v>
      </c>
      <c r="G667">
        <f>COUNTIF('Metrics - Articles'!H664,"*LATAM*")</f>
        <v>0</v>
      </c>
      <c r="H667">
        <f>COUNTIF('Metrics - Articles'!H664,"*China*")</f>
        <v>0</v>
      </c>
      <c r="J667" s="53">
        <f t="shared" si="11"/>
        <v>0</v>
      </c>
    </row>
    <row r="668" spans="2:10" hidden="1" x14ac:dyDescent="0.25">
      <c r="B668" s="48">
        <f>+'Metrics - Articles'!C665</f>
        <v>0</v>
      </c>
      <c r="C668">
        <f>COUNTIF('Metrics - Articles'!H665,"*Global*")</f>
        <v>0</v>
      </c>
      <c r="D668">
        <f>COUNTIF('Metrics - Articles'!H665,"*EMEA*")</f>
        <v>0</v>
      </c>
      <c r="E668">
        <f>COUNTIF('Metrics - Articles'!H665,"*NA*")</f>
        <v>0</v>
      </c>
      <c r="F668">
        <f>COUNTIF('Metrics - Articles'!H665,"*APJ")</f>
        <v>0</v>
      </c>
      <c r="G668">
        <f>COUNTIF('Metrics - Articles'!H665,"*LATAM*")</f>
        <v>0</v>
      </c>
      <c r="H668">
        <f>COUNTIF('Metrics - Articles'!H665,"*China*")</f>
        <v>0</v>
      </c>
      <c r="J668" s="53">
        <f t="shared" si="11"/>
        <v>0</v>
      </c>
    </row>
    <row r="669" spans="2:10" hidden="1" x14ac:dyDescent="0.25">
      <c r="B669" s="48">
        <f>+'Metrics - Articles'!C666</f>
        <v>0</v>
      </c>
      <c r="C669">
        <f>COUNTIF('Metrics - Articles'!H666,"*Global*")</f>
        <v>0</v>
      </c>
      <c r="D669">
        <f>COUNTIF('Metrics - Articles'!H666,"*EMEA*")</f>
        <v>0</v>
      </c>
      <c r="E669">
        <f>COUNTIF('Metrics - Articles'!H666,"*NA*")</f>
        <v>0</v>
      </c>
      <c r="F669">
        <f>COUNTIF('Metrics - Articles'!H666,"*APJ")</f>
        <v>0</v>
      </c>
      <c r="G669">
        <f>COUNTIF('Metrics - Articles'!H666,"*LATAM*")</f>
        <v>0</v>
      </c>
      <c r="H669">
        <f>COUNTIF('Metrics - Articles'!H666,"*China*")</f>
        <v>0</v>
      </c>
      <c r="J669" s="53">
        <f t="shared" si="11"/>
        <v>0</v>
      </c>
    </row>
    <row r="670" spans="2:10" hidden="1" x14ac:dyDescent="0.25">
      <c r="B670" s="48">
        <f>+'Metrics - Articles'!C667</f>
        <v>0</v>
      </c>
      <c r="C670">
        <f>COUNTIF('Metrics - Articles'!H667,"*Global*")</f>
        <v>0</v>
      </c>
      <c r="D670">
        <f>COUNTIF('Metrics - Articles'!H667,"*EMEA*")</f>
        <v>0</v>
      </c>
      <c r="E670">
        <f>COUNTIF('Metrics - Articles'!H667,"*NA*")</f>
        <v>0</v>
      </c>
      <c r="F670">
        <f>COUNTIF('Metrics - Articles'!H667,"*APJ")</f>
        <v>0</v>
      </c>
      <c r="G670">
        <f>COUNTIF('Metrics - Articles'!H667,"*LATAM*")</f>
        <v>0</v>
      </c>
      <c r="H670">
        <f>COUNTIF('Metrics - Articles'!H667,"*China*")</f>
        <v>0</v>
      </c>
      <c r="J670" s="53">
        <f t="shared" si="11"/>
        <v>0</v>
      </c>
    </row>
    <row r="671" spans="2:10" hidden="1" x14ac:dyDescent="0.25">
      <c r="B671" s="48">
        <f>+'Metrics - Articles'!C668</f>
        <v>0</v>
      </c>
      <c r="C671">
        <f>COUNTIF('Metrics - Articles'!H668,"*Global*")</f>
        <v>0</v>
      </c>
      <c r="D671">
        <f>COUNTIF('Metrics - Articles'!H668,"*EMEA*")</f>
        <v>0</v>
      </c>
      <c r="E671">
        <f>COUNTIF('Metrics - Articles'!H668,"*NA*")</f>
        <v>0</v>
      </c>
      <c r="F671">
        <f>COUNTIF('Metrics - Articles'!H668,"*APJ")</f>
        <v>0</v>
      </c>
      <c r="G671">
        <f>COUNTIF('Metrics - Articles'!H668,"*LATAM*")</f>
        <v>0</v>
      </c>
      <c r="H671">
        <f>COUNTIF('Metrics - Articles'!H668,"*China*")</f>
        <v>0</v>
      </c>
      <c r="J671" s="53">
        <f t="shared" si="11"/>
        <v>0</v>
      </c>
    </row>
    <row r="672" spans="2:10" hidden="1" x14ac:dyDescent="0.25">
      <c r="B672" s="48">
        <f>+'Metrics - Articles'!C669</f>
        <v>0</v>
      </c>
      <c r="C672">
        <f>COUNTIF('Metrics - Articles'!H669,"*Global*")</f>
        <v>0</v>
      </c>
      <c r="D672">
        <f>COUNTIF('Metrics - Articles'!H669,"*EMEA*")</f>
        <v>0</v>
      </c>
      <c r="E672">
        <f>COUNTIF('Metrics - Articles'!H669,"*NA*")</f>
        <v>0</v>
      </c>
      <c r="F672">
        <f>COUNTIF('Metrics - Articles'!H669,"*APJ")</f>
        <v>0</v>
      </c>
      <c r="G672">
        <f>COUNTIF('Metrics - Articles'!H669,"*LATAM*")</f>
        <v>0</v>
      </c>
      <c r="H672">
        <f>COUNTIF('Metrics - Articles'!H669,"*China*")</f>
        <v>0</v>
      </c>
      <c r="J672" s="53">
        <f t="shared" si="11"/>
        <v>0</v>
      </c>
    </row>
    <row r="673" spans="2:10" hidden="1" x14ac:dyDescent="0.25">
      <c r="B673" s="48">
        <f>+'Metrics - Articles'!C670</f>
        <v>0</v>
      </c>
      <c r="C673">
        <f>COUNTIF('Metrics - Articles'!H670,"*Global*")</f>
        <v>0</v>
      </c>
      <c r="D673">
        <f>COUNTIF('Metrics - Articles'!H670,"*EMEA*")</f>
        <v>0</v>
      </c>
      <c r="E673">
        <f>COUNTIF('Metrics - Articles'!H670,"*NA*")</f>
        <v>0</v>
      </c>
      <c r="F673">
        <f>COUNTIF('Metrics - Articles'!H670,"*APJ")</f>
        <v>0</v>
      </c>
      <c r="G673">
        <f>COUNTIF('Metrics - Articles'!H670,"*LATAM*")</f>
        <v>0</v>
      </c>
      <c r="H673">
        <f>COUNTIF('Metrics - Articles'!H670,"*China*")</f>
        <v>0</v>
      </c>
      <c r="J673" s="53">
        <f t="shared" si="11"/>
        <v>0</v>
      </c>
    </row>
    <row r="674" spans="2:10" hidden="1" x14ac:dyDescent="0.25">
      <c r="B674" s="48">
        <f>+'Metrics - Articles'!C671</f>
        <v>0</v>
      </c>
      <c r="C674">
        <f>COUNTIF('Metrics - Articles'!H671,"*Global*")</f>
        <v>0</v>
      </c>
      <c r="D674">
        <f>COUNTIF('Metrics - Articles'!H671,"*EMEA*")</f>
        <v>0</v>
      </c>
      <c r="E674">
        <f>COUNTIF('Metrics - Articles'!H671,"*NA*")</f>
        <v>0</v>
      </c>
      <c r="F674">
        <f>COUNTIF('Metrics - Articles'!H671,"*APJ")</f>
        <v>0</v>
      </c>
      <c r="G674">
        <f>COUNTIF('Metrics - Articles'!H671,"*LATAM*")</f>
        <v>0</v>
      </c>
      <c r="H674">
        <f>COUNTIF('Metrics - Articles'!H671,"*China*")</f>
        <v>0</v>
      </c>
      <c r="J674" s="53">
        <f t="shared" si="11"/>
        <v>0</v>
      </c>
    </row>
    <row r="675" spans="2:10" hidden="1" x14ac:dyDescent="0.25">
      <c r="B675" s="48">
        <f>+'Metrics - Articles'!C672</f>
        <v>0</v>
      </c>
      <c r="C675">
        <f>COUNTIF('Metrics - Articles'!H672,"*Global*")</f>
        <v>0</v>
      </c>
      <c r="D675">
        <f>COUNTIF('Metrics - Articles'!H672,"*EMEA*")</f>
        <v>0</v>
      </c>
      <c r="E675">
        <f>COUNTIF('Metrics - Articles'!H672,"*NA*")</f>
        <v>0</v>
      </c>
      <c r="F675">
        <f>COUNTIF('Metrics - Articles'!H672,"*APJ")</f>
        <v>0</v>
      </c>
      <c r="G675">
        <f>COUNTIF('Metrics - Articles'!H672,"*LATAM*")</f>
        <v>0</v>
      </c>
      <c r="H675">
        <f>COUNTIF('Metrics - Articles'!H672,"*China*")</f>
        <v>0</v>
      </c>
      <c r="J675" s="53">
        <f t="shared" si="11"/>
        <v>0</v>
      </c>
    </row>
    <row r="676" spans="2:10" hidden="1" x14ac:dyDescent="0.25">
      <c r="B676" s="48">
        <f>+'Metrics - Articles'!C673</f>
        <v>0</v>
      </c>
      <c r="C676">
        <f>COUNTIF('Metrics - Articles'!H673,"*Global*")</f>
        <v>0</v>
      </c>
      <c r="D676">
        <f>COUNTIF('Metrics - Articles'!H673,"*EMEA*")</f>
        <v>0</v>
      </c>
      <c r="E676">
        <f>COUNTIF('Metrics - Articles'!H673,"*NA*")</f>
        <v>0</v>
      </c>
      <c r="F676">
        <f>COUNTIF('Metrics - Articles'!H673,"*APJ")</f>
        <v>0</v>
      </c>
      <c r="G676">
        <f>COUNTIF('Metrics - Articles'!H673,"*LATAM*")</f>
        <v>0</v>
      </c>
      <c r="H676">
        <f>COUNTIF('Metrics - Articles'!H673,"*China*")</f>
        <v>0</v>
      </c>
      <c r="J676" s="53">
        <f t="shared" si="11"/>
        <v>0</v>
      </c>
    </row>
    <row r="677" spans="2:10" hidden="1" x14ac:dyDescent="0.25">
      <c r="B677" s="48">
        <f>+'Metrics - Articles'!C674</f>
        <v>0</v>
      </c>
      <c r="C677">
        <f>COUNTIF('Metrics - Articles'!H674,"*Global*")</f>
        <v>0</v>
      </c>
      <c r="D677">
        <f>COUNTIF('Metrics - Articles'!H674,"*EMEA*")</f>
        <v>0</v>
      </c>
      <c r="E677">
        <f>COUNTIF('Metrics - Articles'!H674,"*NA*")</f>
        <v>0</v>
      </c>
      <c r="F677">
        <f>COUNTIF('Metrics - Articles'!H674,"*APJ")</f>
        <v>0</v>
      </c>
      <c r="G677">
        <f>COUNTIF('Metrics - Articles'!H674,"*LATAM*")</f>
        <v>0</v>
      </c>
      <c r="H677">
        <f>COUNTIF('Metrics - Articles'!H674,"*China*")</f>
        <v>0</v>
      </c>
      <c r="J677" s="53">
        <f t="shared" si="11"/>
        <v>0</v>
      </c>
    </row>
    <row r="678" spans="2:10" hidden="1" x14ac:dyDescent="0.25">
      <c r="B678" s="48">
        <f>+'Metrics - Articles'!C675</f>
        <v>0</v>
      </c>
      <c r="C678">
        <f>COUNTIF('Metrics - Articles'!H675,"*Global*")</f>
        <v>0</v>
      </c>
      <c r="D678">
        <f>COUNTIF('Metrics - Articles'!H675,"*EMEA*")</f>
        <v>0</v>
      </c>
      <c r="E678">
        <f>COUNTIF('Metrics - Articles'!H675,"*NA*")</f>
        <v>0</v>
      </c>
      <c r="F678">
        <f>COUNTIF('Metrics - Articles'!H675,"*APJ")</f>
        <v>0</v>
      </c>
      <c r="G678">
        <f>COUNTIF('Metrics - Articles'!H675,"*LATAM*")</f>
        <v>0</v>
      </c>
      <c r="H678">
        <f>COUNTIF('Metrics - Articles'!H675,"*China*")</f>
        <v>0</v>
      </c>
      <c r="J678" s="53">
        <f t="shared" si="11"/>
        <v>0</v>
      </c>
    </row>
    <row r="679" spans="2:10" hidden="1" x14ac:dyDescent="0.25">
      <c r="B679" s="48">
        <f>+'Metrics - Articles'!C676</f>
        <v>0</v>
      </c>
      <c r="C679">
        <f>COUNTIF('Metrics - Articles'!H676,"*Global*")</f>
        <v>0</v>
      </c>
      <c r="D679">
        <f>COUNTIF('Metrics - Articles'!H676,"*EMEA*")</f>
        <v>0</v>
      </c>
      <c r="E679">
        <f>COUNTIF('Metrics - Articles'!H676,"*NA*")</f>
        <v>0</v>
      </c>
      <c r="F679">
        <f>COUNTIF('Metrics - Articles'!H676,"*APJ")</f>
        <v>0</v>
      </c>
      <c r="G679">
        <f>COUNTIF('Metrics - Articles'!H676,"*LATAM*")</f>
        <v>0</v>
      </c>
      <c r="H679">
        <f>COUNTIF('Metrics - Articles'!H676,"*China*")</f>
        <v>0</v>
      </c>
      <c r="J679" s="53">
        <f t="shared" si="11"/>
        <v>0</v>
      </c>
    </row>
    <row r="680" spans="2:10" hidden="1" x14ac:dyDescent="0.25">
      <c r="B680" s="48">
        <f>+'Metrics - Articles'!C677</f>
        <v>0</v>
      </c>
      <c r="C680">
        <f>COUNTIF('Metrics - Articles'!H677,"*Global*")</f>
        <v>0</v>
      </c>
      <c r="D680">
        <f>COUNTIF('Metrics - Articles'!H677,"*EMEA*")</f>
        <v>0</v>
      </c>
      <c r="E680">
        <f>COUNTIF('Metrics - Articles'!H677,"*NA*")</f>
        <v>0</v>
      </c>
      <c r="F680">
        <f>COUNTIF('Metrics - Articles'!H677,"*APJ")</f>
        <v>0</v>
      </c>
      <c r="G680">
        <f>COUNTIF('Metrics - Articles'!H677,"*LATAM*")</f>
        <v>0</v>
      </c>
      <c r="H680">
        <f>COUNTIF('Metrics - Articles'!H677,"*China*")</f>
        <v>0</v>
      </c>
      <c r="J680" s="53">
        <f t="shared" si="11"/>
        <v>0</v>
      </c>
    </row>
    <row r="681" spans="2:10" hidden="1" x14ac:dyDescent="0.25">
      <c r="B681" s="48">
        <f>+'Metrics - Articles'!C678</f>
        <v>0</v>
      </c>
      <c r="C681">
        <f>COUNTIF('Metrics - Articles'!H678,"*Global*")</f>
        <v>0</v>
      </c>
      <c r="D681">
        <f>COUNTIF('Metrics - Articles'!H678,"*EMEA*")</f>
        <v>0</v>
      </c>
      <c r="E681">
        <f>COUNTIF('Metrics - Articles'!H678,"*NA*")</f>
        <v>0</v>
      </c>
      <c r="F681">
        <f>COUNTIF('Metrics - Articles'!H678,"*APJ")</f>
        <v>0</v>
      </c>
      <c r="G681">
        <f>COUNTIF('Metrics - Articles'!H678,"*LATAM*")</f>
        <v>0</v>
      </c>
      <c r="H681">
        <f>COUNTIF('Metrics - Articles'!H678,"*China*")</f>
        <v>0</v>
      </c>
      <c r="J681" s="53">
        <f t="shared" si="11"/>
        <v>0</v>
      </c>
    </row>
    <row r="682" spans="2:10" hidden="1" x14ac:dyDescent="0.25">
      <c r="B682" s="48">
        <f>+'Metrics - Articles'!C679</f>
        <v>0</v>
      </c>
      <c r="C682">
        <f>COUNTIF('Metrics - Articles'!H679,"*Global*")</f>
        <v>0</v>
      </c>
      <c r="D682">
        <f>COUNTIF('Metrics - Articles'!H679,"*EMEA*")</f>
        <v>0</v>
      </c>
      <c r="E682">
        <f>COUNTIF('Metrics - Articles'!H679,"*NA*")</f>
        <v>0</v>
      </c>
      <c r="F682">
        <f>COUNTIF('Metrics - Articles'!H679,"*APJ")</f>
        <v>0</v>
      </c>
      <c r="G682">
        <f>COUNTIF('Metrics - Articles'!H679,"*LATAM*")</f>
        <v>0</v>
      </c>
      <c r="H682">
        <f>COUNTIF('Metrics - Articles'!H679,"*China*")</f>
        <v>0</v>
      </c>
      <c r="J682" s="53">
        <f t="shared" si="11"/>
        <v>0</v>
      </c>
    </row>
    <row r="683" spans="2:10" hidden="1" x14ac:dyDescent="0.25">
      <c r="B683" s="48">
        <f>+'Metrics - Articles'!C680</f>
        <v>0</v>
      </c>
      <c r="C683">
        <f>COUNTIF('Metrics - Articles'!H680,"*Global*")</f>
        <v>0</v>
      </c>
      <c r="D683">
        <f>COUNTIF('Metrics - Articles'!H680,"*EMEA*")</f>
        <v>0</v>
      </c>
      <c r="E683">
        <f>COUNTIF('Metrics - Articles'!H680,"*NA*")</f>
        <v>0</v>
      </c>
      <c r="F683">
        <f>COUNTIF('Metrics - Articles'!H680,"*APJ")</f>
        <v>0</v>
      </c>
      <c r="G683">
        <f>COUNTIF('Metrics - Articles'!H680,"*LATAM*")</f>
        <v>0</v>
      </c>
      <c r="H683">
        <f>COUNTIF('Metrics - Articles'!H680,"*China*")</f>
        <v>0</v>
      </c>
      <c r="J683" s="53">
        <f t="shared" si="11"/>
        <v>0</v>
      </c>
    </row>
    <row r="684" spans="2:10" hidden="1" x14ac:dyDescent="0.25">
      <c r="B684" s="48">
        <f>+'Metrics - Articles'!C681</f>
        <v>0</v>
      </c>
      <c r="C684">
        <f>COUNTIF('Metrics - Articles'!H681,"*Global*")</f>
        <v>0</v>
      </c>
      <c r="D684">
        <f>COUNTIF('Metrics - Articles'!H681,"*EMEA*")</f>
        <v>0</v>
      </c>
      <c r="E684">
        <f>COUNTIF('Metrics - Articles'!H681,"*NA*")</f>
        <v>0</v>
      </c>
      <c r="F684">
        <f>COUNTIF('Metrics - Articles'!H681,"*APJ")</f>
        <v>0</v>
      </c>
      <c r="G684">
        <f>COUNTIF('Metrics - Articles'!H681,"*LATAM*")</f>
        <v>0</v>
      </c>
      <c r="H684">
        <f>COUNTIF('Metrics - Articles'!H681,"*China*")</f>
        <v>0</v>
      </c>
      <c r="J684" s="53">
        <f t="shared" si="11"/>
        <v>0</v>
      </c>
    </row>
    <row r="685" spans="2:10" hidden="1" x14ac:dyDescent="0.25">
      <c r="B685" s="48">
        <f>+'Metrics - Articles'!C682</f>
        <v>0</v>
      </c>
      <c r="C685">
        <f>COUNTIF('Metrics - Articles'!H682,"*Global*")</f>
        <v>0</v>
      </c>
      <c r="D685">
        <f>COUNTIF('Metrics - Articles'!H682,"*EMEA*")</f>
        <v>0</v>
      </c>
      <c r="E685">
        <f>COUNTIF('Metrics - Articles'!H682,"*NA*")</f>
        <v>0</v>
      </c>
      <c r="F685">
        <f>COUNTIF('Metrics - Articles'!H682,"*APJ")</f>
        <v>0</v>
      </c>
      <c r="G685">
        <f>COUNTIF('Metrics - Articles'!H682,"*LATAM*")</f>
        <v>0</v>
      </c>
      <c r="H685">
        <f>COUNTIF('Metrics - Articles'!H682,"*China*")</f>
        <v>0</v>
      </c>
      <c r="J685" s="53">
        <f t="shared" si="11"/>
        <v>0</v>
      </c>
    </row>
    <row r="686" spans="2:10" hidden="1" x14ac:dyDescent="0.25">
      <c r="B686" s="48">
        <f>+'Metrics - Articles'!C683</f>
        <v>0</v>
      </c>
      <c r="C686">
        <f>COUNTIF('Metrics - Articles'!H683,"*Global*")</f>
        <v>0</v>
      </c>
      <c r="D686">
        <f>COUNTIF('Metrics - Articles'!H683,"*EMEA*")</f>
        <v>0</v>
      </c>
      <c r="E686">
        <f>COUNTIF('Metrics - Articles'!H683,"*NA*")</f>
        <v>0</v>
      </c>
      <c r="F686">
        <f>COUNTIF('Metrics - Articles'!H683,"*APJ")</f>
        <v>0</v>
      </c>
      <c r="G686">
        <f>COUNTIF('Metrics - Articles'!H683,"*LATAM*")</f>
        <v>0</v>
      </c>
      <c r="H686">
        <f>COUNTIF('Metrics - Articles'!H683,"*China*")</f>
        <v>0</v>
      </c>
      <c r="J686" s="53">
        <f t="shared" si="11"/>
        <v>0</v>
      </c>
    </row>
    <row r="687" spans="2:10" hidden="1" x14ac:dyDescent="0.25">
      <c r="B687" s="48">
        <f>+'Metrics - Articles'!C684</f>
        <v>0</v>
      </c>
      <c r="C687">
        <f>COUNTIF('Metrics - Articles'!H684,"*Global*")</f>
        <v>0</v>
      </c>
      <c r="D687">
        <f>COUNTIF('Metrics - Articles'!H684,"*EMEA*")</f>
        <v>0</v>
      </c>
      <c r="E687">
        <f>COUNTIF('Metrics - Articles'!H684,"*NA*")</f>
        <v>0</v>
      </c>
      <c r="F687">
        <f>COUNTIF('Metrics - Articles'!H684,"*APJ")</f>
        <v>0</v>
      </c>
      <c r="G687">
        <f>COUNTIF('Metrics - Articles'!H684,"*LATAM*")</f>
        <v>0</v>
      </c>
      <c r="H687">
        <f>COUNTIF('Metrics - Articles'!H684,"*China*")</f>
        <v>0</v>
      </c>
      <c r="J687" s="53">
        <f t="shared" si="11"/>
        <v>0</v>
      </c>
    </row>
    <row r="688" spans="2:10" hidden="1" x14ac:dyDescent="0.25">
      <c r="B688" s="48">
        <f>+'Metrics - Articles'!C685</f>
        <v>0</v>
      </c>
      <c r="C688">
        <f>COUNTIF('Metrics - Articles'!H685,"*Global*")</f>
        <v>0</v>
      </c>
      <c r="D688">
        <f>COUNTIF('Metrics - Articles'!H685,"*EMEA*")</f>
        <v>0</v>
      </c>
      <c r="E688">
        <f>COUNTIF('Metrics - Articles'!H685,"*NA*")</f>
        <v>0</v>
      </c>
      <c r="F688">
        <f>COUNTIF('Metrics - Articles'!H685,"*APJ")</f>
        <v>0</v>
      </c>
      <c r="G688">
        <f>COUNTIF('Metrics - Articles'!H685,"*LATAM*")</f>
        <v>0</v>
      </c>
      <c r="H688">
        <f>COUNTIF('Metrics - Articles'!H685,"*China*")</f>
        <v>0</v>
      </c>
      <c r="J688" s="53">
        <f t="shared" si="11"/>
        <v>0</v>
      </c>
    </row>
    <row r="689" spans="2:10" hidden="1" x14ac:dyDescent="0.25">
      <c r="B689" s="48">
        <f>+'Metrics - Articles'!C686</f>
        <v>0</v>
      </c>
      <c r="C689">
        <f>COUNTIF('Metrics - Articles'!H686,"*Global*")</f>
        <v>0</v>
      </c>
      <c r="D689">
        <f>COUNTIF('Metrics - Articles'!H686,"*EMEA*")</f>
        <v>0</v>
      </c>
      <c r="E689">
        <f>COUNTIF('Metrics - Articles'!H686,"*NA*")</f>
        <v>0</v>
      </c>
      <c r="F689">
        <f>COUNTIF('Metrics - Articles'!H686,"*APJ")</f>
        <v>0</v>
      </c>
      <c r="G689">
        <f>COUNTIF('Metrics - Articles'!H686,"*LATAM*")</f>
        <v>0</v>
      </c>
      <c r="H689">
        <f>COUNTIF('Metrics - Articles'!H686,"*China*")</f>
        <v>0</v>
      </c>
      <c r="J689" s="53">
        <f t="shared" si="11"/>
        <v>0</v>
      </c>
    </row>
    <row r="690" spans="2:10" hidden="1" x14ac:dyDescent="0.25">
      <c r="B690" s="48">
        <f>+'Metrics - Articles'!C687</f>
        <v>0</v>
      </c>
      <c r="C690">
        <f>COUNTIF('Metrics - Articles'!H687,"*Global*")</f>
        <v>0</v>
      </c>
      <c r="D690">
        <f>COUNTIF('Metrics - Articles'!H687,"*EMEA*")</f>
        <v>0</v>
      </c>
      <c r="E690">
        <f>COUNTIF('Metrics - Articles'!H687,"*NA*")</f>
        <v>0</v>
      </c>
      <c r="F690">
        <f>COUNTIF('Metrics - Articles'!H687,"*APJ")</f>
        <v>0</v>
      </c>
      <c r="G690">
        <f>COUNTIF('Metrics - Articles'!H687,"*LATAM*")</f>
        <v>0</v>
      </c>
      <c r="H690">
        <f>COUNTIF('Metrics - Articles'!H687,"*China*")</f>
        <v>0</v>
      </c>
      <c r="J690" s="53">
        <f t="shared" si="11"/>
        <v>0</v>
      </c>
    </row>
    <row r="691" spans="2:10" hidden="1" x14ac:dyDescent="0.25">
      <c r="B691" s="48">
        <f>+'Metrics - Articles'!C688</f>
        <v>0</v>
      </c>
      <c r="C691">
        <f>COUNTIF('Metrics - Articles'!H688,"*Global*")</f>
        <v>0</v>
      </c>
      <c r="D691">
        <f>COUNTIF('Metrics - Articles'!H688,"*EMEA*")</f>
        <v>0</v>
      </c>
      <c r="E691">
        <f>COUNTIF('Metrics - Articles'!H688,"*NA*")</f>
        <v>0</v>
      </c>
      <c r="F691">
        <f>COUNTIF('Metrics - Articles'!H688,"*APJ")</f>
        <v>0</v>
      </c>
      <c r="G691">
        <f>COUNTIF('Metrics - Articles'!H688,"*LATAM*")</f>
        <v>0</v>
      </c>
      <c r="H691">
        <f>COUNTIF('Metrics - Articles'!H688,"*China*")</f>
        <v>0</v>
      </c>
      <c r="J691" s="53">
        <f t="shared" si="11"/>
        <v>0</v>
      </c>
    </row>
    <row r="692" spans="2:10" hidden="1" x14ac:dyDescent="0.25">
      <c r="B692" s="48">
        <f>+'Metrics - Articles'!C689</f>
        <v>0</v>
      </c>
      <c r="C692">
        <f>COUNTIF('Metrics - Articles'!H689,"*Global*")</f>
        <v>0</v>
      </c>
      <c r="D692">
        <f>COUNTIF('Metrics - Articles'!H689,"*EMEA*")</f>
        <v>0</v>
      </c>
      <c r="E692">
        <f>COUNTIF('Metrics - Articles'!H689,"*NA*")</f>
        <v>0</v>
      </c>
      <c r="F692">
        <f>COUNTIF('Metrics - Articles'!H689,"*APJ")</f>
        <v>0</v>
      </c>
      <c r="G692">
        <f>COUNTIF('Metrics - Articles'!H689,"*LATAM*")</f>
        <v>0</v>
      </c>
      <c r="H692">
        <f>COUNTIF('Metrics - Articles'!H689,"*China*")</f>
        <v>0</v>
      </c>
      <c r="J692" s="53">
        <f t="shared" si="11"/>
        <v>0</v>
      </c>
    </row>
    <row r="693" spans="2:10" hidden="1" x14ac:dyDescent="0.25">
      <c r="B693" s="48">
        <f>+'Metrics - Articles'!C690</f>
        <v>0</v>
      </c>
      <c r="C693">
        <f>COUNTIF('Metrics - Articles'!H690,"*Global*")</f>
        <v>0</v>
      </c>
      <c r="D693">
        <f>COUNTIF('Metrics - Articles'!H690,"*EMEA*")</f>
        <v>0</v>
      </c>
      <c r="E693">
        <f>COUNTIF('Metrics - Articles'!H690,"*NA*")</f>
        <v>0</v>
      </c>
      <c r="F693">
        <f>COUNTIF('Metrics - Articles'!H690,"*APJ")</f>
        <v>0</v>
      </c>
      <c r="G693">
        <f>COUNTIF('Metrics - Articles'!H690,"*LATAM*")</f>
        <v>0</v>
      </c>
      <c r="H693">
        <f>COUNTIF('Metrics - Articles'!H690,"*China*")</f>
        <v>0</v>
      </c>
      <c r="J693" s="53">
        <f t="shared" si="11"/>
        <v>0</v>
      </c>
    </row>
    <row r="694" spans="2:10" hidden="1" x14ac:dyDescent="0.25">
      <c r="B694" s="48">
        <f>+'Metrics - Articles'!C691</f>
        <v>0</v>
      </c>
      <c r="C694">
        <f>COUNTIF('Metrics - Articles'!H691,"*Global*")</f>
        <v>0</v>
      </c>
      <c r="D694">
        <f>COUNTIF('Metrics - Articles'!H691,"*EMEA*")</f>
        <v>0</v>
      </c>
      <c r="E694">
        <f>COUNTIF('Metrics - Articles'!H691,"*NA*")</f>
        <v>0</v>
      </c>
      <c r="F694">
        <f>COUNTIF('Metrics - Articles'!H691,"*APJ")</f>
        <v>0</v>
      </c>
      <c r="G694">
        <f>COUNTIF('Metrics - Articles'!H691,"*LATAM*")</f>
        <v>0</v>
      </c>
      <c r="H694">
        <f>COUNTIF('Metrics - Articles'!H691,"*China*")</f>
        <v>0</v>
      </c>
      <c r="J694" s="53">
        <f t="shared" si="11"/>
        <v>0</v>
      </c>
    </row>
    <row r="695" spans="2:10" hidden="1" x14ac:dyDescent="0.25">
      <c r="B695" s="48">
        <f>+'Metrics - Articles'!C692</f>
        <v>0</v>
      </c>
      <c r="C695">
        <f>COUNTIF('Metrics - Articles'!H692,"*Global*")</f>
        <v>0</v>
      </c>
      <c r="D695">
        <f>COUNTIF('Metrics - Articles'!H692,"*EMEA*")</f>
        <v>0</v>
      </c>
      <c r="E695">
        <f>COUNTIF('Metrics - Articles'!H692,"*NA*")</f>
        <v>0</v>
      </c>
      <c r="F695">
        <f>COUNTIF('Metrics - Articles'!H692,"*APJ")</f>
        <v>0</v>
      </c>
      <c r="G695">
        <f>COUNTIF('Metrics - Articles'!H692,"*LATAM*")</f>
        <v>0</v>
      </c>
      <c r="H695">
        <f>COUNTIF('Metrics - Articles'!H692,"*China*")</f>
        <v>0</v>
      </c>
      <c r="J695" s="53">
        <f t="shared" si="11"/>
        <v>0</v>
      </c>
    </row>
    <row r="696" spans="2:10" hidden="1" x14ac:dyDescent="0.25">
      <c r="B696" s="48">
        <f>+'Metrics - Articles'!C693</f>
        <v>0</v>
      </c>
      <c r="C696">
        <f>COUNTIF('Metrics - Articles'!H693,"*Global*")</f>
        <v>0</v>
      </c>
      <c r="D696">
        <f>COUNTIF('Metrics - Articles'!H693,"*EMEA*")</f>
        <v>0</v>
      </c>
      <c r="E696">
        <f>COUNTIF('Metrics - Articles'!H693,"*NA*")</f>
        <v>0</v>
      </c>
      <c r="F696">
        <f>COUNTIF('Metrics - Articles'!H693,"*APJ")</f>
        <v>0</v>
      </c>
      <c r="G696">
        <f>COUNTIF('Metrics - Articles'!H693,"*LATAM*")</f>
        <v>0</v>
      </c>
      <c r="H696">
        <f>COUNTIF('Metrics - Articles'!H693,"*China*")</f>
        <v>0</v>
      </c>
      <c r="J696" s="53">
        <f t="shared" si="11"/>
        <v>0</v>
      </c>
    </row>
    <row r="697" spans="2:10" hidden="1" x14ac:dyDescent="0.25">
      <c r="B697" s="48">
        <f>+'Metrics - Articles'!C694</f>
        <v>0</v>
      </c>
      <c r="C697">
        <f>COUNTIF('Metrics - Articles'!H694,"*Global*")</f>
        <v>0</v>
      </c>
      <c r="D697">
        <f>COUNTIF('Metrics - Articles'!H694,"*EMEA*")</f>
        <v>0</v>
      </c>
      <c r="E697">
        <f>COUNTIF('Metrics - Articles'!H694,"*NA*")</f>
        <v>0</v>
      </c>
      <c r="F697">
        <f>COUNTIF('Metrics - Articles'!H694,"*APJ")</f>
        <v>0</v>
      </c>
      <c r="G697">
        <f>COUNTIF('Metrics - Articles'!H694,"*LATAM*")</f>
        <v>0</v>
      </c>
      <c r="H697">
        <f>COUNTIF('Metrics - Articles'!H694,"*China*")</f>
        <v>0</v>
      </c>
      <c r="J697" s="53">
        <f t="shared" si="11"/>
        <v>0</v>
      </c>
    </row>
    <row r="698" spans="2:10" hidden="1" x14ac:dyDescent="0.25">
      <c r="B698" s="48">
        <f>+'Metrics - Articles'!C695</f>
        <v>0</v>
      </c>
      <c r="C698">
        <f>COUNTIF('Metrics - Articles'!H695,"*Global*")</f>
        <v>0</v>
      </c>
      <c r="D698">
        <f>COUNTIF('Metrics - Articles'!H695,"*EMEA*")</f>
        <v>0</v>
      </c>
      <c r="E698">
        <f>COUNTIF('Metrics - Articles'!H695,"*NA*")</f>
        <v>0</v>
      </c>
      <c r="F698">
        <f>COUNTIF('Metrics - Articles'!H695,"*APJ")</f>
        <v>0</v>
      </c>
      <c r="G698">
        <f>COUNTIF('Metrics - Articles'!H695,"*LATAM*")</f>
        <v>0</v>
      </c>
      <c r="H698">
        <f>COUNTIF('Metrics - Articles'!H695,"*China*")</f>
        <v>0</v>
      </c>
      <c r="J698" s="53">
        <f t="shared" si="11"/>
        <v>0</v>
      </c>
    </row>
    <row r="699" spans="2:10" hidden="1" x14ac:dyDescent="0.25">
      <c r="B699" s="48">
        <f>+'Metrics - Articles'!C696</f>
        <v>0</v>
      </c>
      <c r="C699">
        <f>COUNTIF('Metrics - Articles'!H696,"*Global*")</f>
        <v>0</v>
      </c>
      <c r="D699">
        <f>COUNTIF('Metrics - Articles'!H696,"*EMEA*")</f>
        <v>0</v>
      </c>
      <c r="E699">
        <f>COUNTIF('Metrics - Articles'!H696,"*NA*")</f>
        <v>0</v>
      </c>
      <c r="F699">
        <f>COUNTIF('Metrics - Articles'!H696,"*APJ")</f>
        <v>0</v>
      </c>
      <c r="G699">
        <f>COUNTIF('Metrics - Articles'!H696,"*LATAM*")</f>
        <v>0</v>
      </c>
      <c r="H699">
        <f>COUNTIF('Metrics - Articles'!H696,"*China*")</f>
        <v>0</v>
      </c>
      <c r="J699" s="53">
        <f t="shared" si="11"/>
        <v>0</v>
      </c>
    </row>
    <row r="700" spans="2:10" hidden="1" x14ac:dyDescent="0.25">
      <c r="B700" s="48">
        <f>+'Metrics - Articles'!C697</f>
        <v>0</v>
      </c>
      <c r="C700">
        <f>COUNTIF('Metrics - Articles'!H697,"*Global*")</f>
        <v>0</v>
      </c>
      <c r="D700">
        <f>COUNTIF('Metrics - Articles'!H697,"*EMEA*")</f>
        <v>0</v>
      </c>
      <c r="E700">
        <f>COUNTIF('Metrics - Articles'!H697,"*NA*")</f>
        <v>0</v>
      </c>
      <c r="F700">
        <f>COUNTIF('Metrics - Articles'!H697,"*APJ")</f>
        <v>0</v>
      </c>
      <c r="G700">
        <f>COUNTIF('Metrics - Articles'!H697,"*LATAM*")</f>
        <v>0</v>
      </c>
      <c r="H700">
        <f>COUNTIF('Metrics - Articles'!H697,"*China*")</f>
        <v>0</v>
      </c>
      <c r="J700" s="53">
        <f t="shared" si="11"/>
        <v>0</v>
      </c>
    </row>
    <row r="701" spans="2:10" hidden="1" x14ac:dyDescent="0.25">
      <c r="B701" s="48">
        <f>+'Metrics - Articles'!C698</f>
        <v>0</v>
      </c>
      <c r="C701">
        <f>COUNTIF('Metrics - Articles'!H698,"*Global*")</f>
        <v>0</v>
      </c>
      <c r="D701">
        <f>COUNTIF('Metrics - Articles'!H698,"*EMEA*")</f>
        <v>0</v>
      </c>
      <c r="E701">
        <f>COUNTIF('Metrics - Articles'!H698,"*NA*")</f>
        <v>0</v>
      </c>
      <c r="F701">
        <f>COUNTIF('Metrics - Articles'!H698,"*APJ")</f>
        <v>0</v>
      </c>
      <c r="G701">
        <f>COUNTIF('Metrics - Articles'!H698,"*LATAM*")</f>
        <v>0</v>
      </c>
      <c r="H701">
        <f>COUNTIF('Metrics - Articles'!H698,"*China*")</f>
        <v>0</v>
      </c>
      <c r="J701" s="53">
        <f t="shared" si="11"/>
        <v>0</v>
      </c>
    </row>
    <row r="702" spans="2:10" hidden="1" x14ac:dyDescent="0.25">
      <c r="B702" s="48">
        <f>+'Metrics - Articles'!C699</f>
        <v>0</v>
      </c>
      <c r="C702">
        <f>COUNTIF('Metrics - Articles'!H699,"*Global*")</f>
        <v>0</v>
      </c>
      <c r="D702">
        <f>COUNTIF('Metrics - Articles'!H699,"*EMEA*")</f>
        <v>0</v>
      </c>
      <c r="E702">
        <f>COUNTIF('Metrics - Articles'!H699,"*NA*")</f>
        <v>0</v>
      </c>
      <c r="F702">
        <f>COUNTIF('Metrics - Articles'!H699,"*APJ")</f>
        <v>0</v>
      </c>
      <c r="G702">
        <f>COUNTIF('Metrics - Articles'!H699,"*LATAM*")</f>
        <v>0</v>
      </c>
      <c r="H702">
        <f>COUNTIF('Metrics - Articles'!H699,"*China*")</f>
        <v>0</v>
      </c>
      <c r="J702" s="53">
        <f t="shared" si="11"/>
        <v>0</v>
      </c>
    </row>
    <row r="703" spans="2:10" hidden="1" x14ac:dyDescent="0.25">
      <c r="B703" s="48">
        <f>+'Metrics - Articles'!C700</f>
        <v>0</v>
      </c>
      <c r="C703">
        <f>COUNTIF('Metrics - Articles'!H700,"*Global*")</f>
        <v>0</v>
      </c>
      <c r="D703">
        <f>COUNTIF('Metrics - Articles'!H700,"*EMEA*")</f>
        <v>0</v>
      </c>
      <c r="E703">
        <f>COUNTIF('Metrics - Articles'!H700,"*NA*")</f>
        <v>0</v>
      </c>
      <c r="F703">
        <f>COUNTIF('Metrics - Articles'!H700,"*APJ")</f>
        <v>0</v>
      </c>
      <c r="G703">
        <f>COUNTIF('Metrics - Articles'!H700,"*LATAM*")</f>
        <v>0</v>
      </c>
      <c r="H703">
        <f>COUNTIF('Metrics - Articles'!H700,"*China*")</f>
        <v>0</v>
      </c>
      <c r="J703" s="53">
        <f t="shared" si="11"/>
        <v>0</v>
      </c>
    </row>
    <row r="704" spans="2:10" hidden="1" x14ac:dyDescent="0.25">
      <c r="B704" s="48">
        <f>+'Metrics - Articles'!C701</f>
        <v>0</v>
      </c>
      <c r="C704">
        <f>COUNTIF('Metrics - Articles'!H701,"*Global*")</f>
        <v>0</v>
      </c>
      <c r="D704">
        <f>COUNTIF('Metrics - Articles'!H701,"*EMEA*")</f>
        <v>0</v>
      </c>
      <c r="E704">
        <f>COUNTIF('Metrics - Articles'!H701,"*NA*")</f>
        <v>0</v>
      </c>
      <c r="F704">
        <f>COUNTIF('Metrics - Articles'!H701,"*APJ")</f>
        <v>0</v>
      </c>
      <c r="G704">
        <f>COUNTIF('Metrics - Articles'!H701,"*LATAM*")</f>
        <v>0</v>
      </c>
      <c r="H704">
        <f>COUNTIF('Metrics - Articles'!H701,"*China*")</f>
        <v>0</v>
      </c>
      <c r="J704" s="53">
        <f t="shared" si="11"/>
        <v>0</v>
      </c>
    </row>
    <row r="705" spans="2:10" hidden="1" x14ac:dyDescent="0.25">
      <c r="B705" s="48">
        <f>+'Metrics - Articles'!C702</f>
        <v>0</v>
      </c>
      <c r="C705">
        <f>COUNTIF('Metrics - Articles'!H702,"*Global*")</f>
        <v>0</v>
      </c>
      <c r="D705">
        <f>COUNTIF('Metrics - Articles'!H702,"*EMEA*")</f>
        <v>0</v>
      </c>
      <c r="E705">
        <f>COUNTIF('Metrics - Articles'!H702,"*NA*")</f>
        <v>0</v>
      </c>
      <c r="F705">
        <f>COUNTIF('Metrics - Articles'!H702,"*APJ")</f>
        <v>0</v>
      </c>
      <c r="G705">
        <f>COUNTIF('Metrics - Articles'!H702,"*LATAM*")</f>
        <v>0</v>
      </c>
      <c r="H705">
        <f>COUNTIF('Metrics - Articles'!H702,"*China*")</f>
        <v>0</v>
      </c>
      <c r="J705" s="53">
        <f t="shared" si="11"/>
        <v>0</v>
      </c>
    </row>
    <row r="706" spans="2:10" hidden="1" x14ac:dyDescent="0.25">
      <c r="B706" s="48">
        <f>+'Metrics - Articles'!C703</f>
        <v>0</v>
      </c>
      <c r="C706">
        <f>COUNTIF('Metrics - Articles'!H703,"*Global*")</f>
        <v>0</v>
      </c>
      <c r="D706">
        <f>COUNTIF('Metrics - Articles'!H703,"*EMEA*")</f>
        <v>0</v>
      </c>
      <c r="E706">
        <f>COUNTIF('Metrics - Articles'!H703,"*NA*")</f>
        <v>0</v>
      </c>
      <c r="F706">
        <f>COUNTIF('Metrics - Articles'!H703,"*APJ")</f>
        <v>0</v>
      </c>
      <c r="G706">
        <f>COUNTIF('Metrics - Articles'!H703,"*LATAM*")</f>
        <v>0</v>
      </c>
      <c r="H706">
        <f>COUNTIF('Metrics - Articles'!H703,"*China*")</f>
        <v>0</v>
      </c>
      <c r="J706" s="53">
        <f t="shared" si="11"/>
        <v>0</v>
      </c>
    </row>
    <row r="707" spans="2:10" hidden="1" x14ac:dyDescent="0.25">
      <c r="B707" s="48">
        <f>+'Metrics - Articles'!C704</f>
        <v>0</v>
      </c>
      <c r="C707">
        <f>COUNTIF('Metrics - Articles'!H704,"*Global*")</f>
        <v>0</v>
      </c>
      <c r="D707">
        <f>COUNTIF('Metrics - Articles'!H704,"*EMEA*")</f>
        <v>0</v>
      </c>
      <c r="E707">
        <f>COUNTIF('Metrics - Articles'!H704,"*NA*")</f>
        <v>0</v>
      </c>
      <c r="F707">
        <f>COUNTIF('Metrics - Articles'!H704,"*APJ")</f>
        <v>0</v>
      </c>
      <c r="G707">
        <f>COUNTIF('Metrics - Articles'!H704,"*LATAM*")</f>
        <v>0</v>
      </c>
      <c r="H707">
        <f>COUNTIF('Metrics - Articles'!H704,"*China*")</f>
        <v>0</v>
      </c>
      <c r="J707" s="53">
        <f t="shared" si="11"/>
        <v>0</v>
      </c>
    </row>
    <row r="708" spans="2:10" hidden="1" x14ac:dyDescent="0.25">
      <c r="B708" s="48">
        <f>+'Metrics - Articles'!C705</f>
        <v>0</v>
      </c>
      <c r="C708">
        <f>COUNTIF('Metrics - Articles'!H705,"*Global*")</f>
        <v>0</v>
      </c>
      <c r="D708">
        <f>COUNTIF('Metrics - Articles'!H705,"*EMEA*")</f>
        <v>0</v>
      </c>
      <c r="E708">
        <f>COUNTIF('Metrics - Articles'!H705,"*NA*")</f>
        <v>0</v>
      </c>
      <c r="F708">
        <f>COUNTIF('Metrics - Articles'!H705,"*APJ")</f>
        <v>0</v>
      </c>
      <c r="G708">
        <f>COUNTIF('Metrics - Articles'!H705,"*LATAM*")</f>
        <v>0</v>
      </c>
      <c r="H708">
        <f>COUNTIF('Metrics - Articles'!H705,"*China*")</f>
        <v>0</v>
      </c>
      <c r="J708" s="53">
        <f t="shared" si="11"/>
        <v>0</v>
      </c>
    </row>
    <row r="709" spans="2:10" hidden="1" x14ac:dyDescent="0.25">
      <c r="B709" s="48">
        <f>+'Metrics - Articles'!C706</f>
        <v>0</v>
      </c>
      <c r="C709">
        <f>COUNTIF('Metrics - Articles'!H706,"*Global*")</f>
        <v>0</v>
      </c>
      <c r="D709">
        <f>COUNTIF('Metrics - Articles'!H706,"*EMEA*")</f>
        <v>0</v>
      </c>
      <c r="E709">
        <f>COUNTIF('Metrics - Articles'!H706,"*NA*")</f>
        <v>0</v>
      </c>
      <c r="F709">
        <f>COUNTIF('Metrics - Articles'!H706,"*APJ")</f>
        <v>0</v>
      </c>
      <c r="G709">
        <f>COUNTIF('Metrics - Articles'!H706,"*LATAM*")</f>
        <v>0</v>
      </c>
      <c r="H709">
        <f>COUNTIF('Metrics - Articles'!H706,"*China*")</f>
        <v>0</v>
      </c>
      <c r="J709" s="53">
        <f t="shared" si="11"/>
        <v>0</v>
      </c>
    </row>
    <row r="710" spans="2:10" hidden="1" x14ac:dyDescent="0.25">
      <c r="B710" s="48">
        <f>+'Metrics - Articles'!C707</f>
        <v>0</v>
      </c>
      <c r="C710">
        <f>COUNTIF('Metrics - Articles'!H707,"*Global*")</f>
        <v>0</v>
      </c>
      <c r="D710">
        <f>COUNTIF('Metrics - Articles'!H707,"*EMEA*")</f>
        <v>0</v>
      </c>
      <c r="E710">
        <f>COUNTIF('Metrics - Articles'!H707,"*NA*")</f>
        <v>0</v>
      </c>
      <c r="F710">
        <f>COUNTIF('Metrics - Articles'!H707,"*APJ")</f>
        <v>0</v>
      </c>
      <c r="G710">
        <f>COUNTIF('Metrics - Articles'!H707,"*LATAM*")</f>
        <v>0</v>
      </c>
      <c r="H710">
        <f>COUNTIF('Metrics - Articles'!H707,"*China*")</f>
        <v>0</v>
      </c>
      <c r="J710" s="53">
        <f t="shared" si="11"/>
        <v>0</v>
      </c>
    </row>
    <row r="711" spans="2:10" hidden="1" x14ac:dyDescent="0.25">
      <c r="B711" s="48">
        <f>+'Metrics - Articles'!C708</f>
        <v>0</v>
      </c>
      <c r="C711">
        <f>COUNTIF('Metrics - Articles'!H708,"*Global*")</f>
        <v>0</v>
      </c>
      <c r="D711">
        <f>COUNTIF('Metrics - Articles'!H708,"*EMEA*")</f>
        <v>0</v>
      </c>
      <c r="E711">
        <f>COUNTIF('Metrics - Articles'!H708,"*NA*")</f>
        <v>0</v>
      </c>
      <c r="F711">
        <f>COUNTIF('Metrics - Articles'!H708,"*APJ")</f>
        <v>0</v>
      </c>
      <c r="G711">
        <f>COUNTIF('Metrics - Articles'!H708,"*LATAM*")</f>
        <v>0</v>
      </c>
      <c r="H711">
        <f>COUNTIF('Metrics - Articles'!H708,"*China*")</f>
        <v>0</v>
      </c>
      <c r="J711" s="53">
        <f t="shared" si="11"/>
        <v>0</v>
      </c>
    </row>
    <row r="712" spans="2:10" hidden="1" x14ac:dyDescent="0.25">
      <c r="B712" s="48">
        <f>+'Metrics - Articles'!C709</f>
        <v>0</v>
      </c>
      <c r="C712">
        <f>COUNTIF('Metrics - Articles'!H709,"*Global*")</f>
        <v>0</v>
      </c>
      <c r="D712">
        <f>COUNTIF('Metrics - Articles'!H709,"*EMEA*")</f>
        <v>0</v>
      </c>
      <c r="E712">
        <f>COUNTIF('Metrics - Articles'!H709,"*NA*")</f>
        <v>0</v>
      </c>
      <c r="F712">
        <f>COUNTIF('Metrics - Articles'!H709,"*APJ")</f>
        <v>0</v>
      </c>
      <c r="G712">
        <f>COUNTIF('Metrics - Articles'!H709,"*LATAM*")</f>
        <v>0</v>
      </c>
      <c r="H712">
        <f>COUNTIF('Metrics - Articles'!H709,"*China*")</f>
        <v>0</v>
      </c>
      <c r="J712" s="53">
        <f t="shared" si="11"/>
        <v>0</v>
      </c>
    </row>
    <row r="713" spans="2:10" hidden="1" x14ac:dyDescent="0.25">
      <c r="B713" s="48">
        <f>+'Metrics - Articles'!C710</f>
        <v>0</v>
      </c>
      <c r="C713">
        <f>COUNTIF('Metrics - Articles'!H710,"*Global*")</f>
        <v>0</v>
      </c>
      <c r="D713">
        <f>COUNTIF('Metrics - Articles'!H710,"*EMEA*")</f>
        <v>0</v>
      </c>
      <c r="E713">
        <f>COUNTIF('Metrics - Articles'!H710,"*NA*")</f>
        <v>0</v>
      </c>
      <c r="F713">
        <f>COUNTIF('Metrics - Articles'!H710,"*APJ")</f>
        <v>0</v>
      </c>
      <c r="G713">
        <f>COUNTIF('Metrics - Articles'!H710,"*LATAM*")</f>
        <v>0</v>
      </c>
      <c r="H713">
        <f>COUNTIF('Metrics - Articles'!H710,"*China*")</f>
        <v>0</v>
      </c>
      <c r="J713" s="53">
        <f t="shared" si="11"/>
        <v>0</v>
      </c>
    </row>
    <row r="714" spans="2:10" hidden="1" x14ac:dyDescent="0.25">
      <c r="B714" s="48">
        <f>+'Metrics - Articles'!C711</f>
        <v>0</v>
      </c>
      <c r="C714">
        <f>COUNTIF('Metrics - Articles'!H711,"*Global*")</f>
        <v>0</v>
      </c>
      <c r="D714">
        <f>COUNTIF('Metrics - Articles'!H711,"*EMEA*")</f>
        <v>0</v>
      </c>
      <c r="E714">
        <f>COUNTIF('Metrics - Articles'!H711,"*NA*")</f>
        <v>0</v>
      </c>
      <c r="F714">
        <f>COUNTIF('Metrics - Articles'!H711,"*APJ")</f>
        <v>0</v>
      </c>
      <c r="G714">
        <f>COUNTIF('Metrics - Articles'!H711,"*LATAM*")</f>
        <v>0</v>
      </c>
      <c r="H714">
        <f>COUNTIF('Metrics - Articles'!H711,"*China*")</f>
        <v>0</v>
      </c>
      <c r="J714" s="53">
        <f t="shared" ref="J714:J777" si="12">SUM(C714:I714)</f>
        <v>0</v>
      </c>
    </row>
    <row r="715" spans="2:10" hidden="1" x14ac:dyDescent="0.25">
      <c r="B715" s="48">
        <f>+'Metrics - Articles'!C712</f>
        <v>0</v>
      </c>
      <c r="C715">
        <f>COUNTIF('Metrics - Articles'!H712,"*Global*")</f>
        <v>0</v>
      </c>
      <c r="D715">
        <f>COUNTIF('Metrics - Articles'!H712,"*EMEA*")</f>
        <v>0</v>
      </c>
      <c r="E715">
        <f>COUNTIF('Metrics - Articles'!H712,"*NA*")</f>
        <v>0</v>
      </c>
      <c r="F715">
        <f>COUNTIF('Metrics - Articles'!H712,"*APJ")</f>
        <v>0</v>
      </c>
      <c r="G715">
        <f>COUNTIF('Metrics - Articles'!H712,"*LATAM*")</f>
        <v>0</v>
      </c>
      <c r="H715">
        <f>COUNTIF('Metrics - Articles'!H712,"*China*")</f>
        <v>0</v>
      </c>
      <c r="J715" s="53">
        <f t="shared" si="12"/>
        <v>0</v>
      </c>
    </row>
    <row r="716" spans="2:10" hidden="1" x14ac:dyDescent="0.25">
      <c r="B716" s="48">
        <f>+'Metrics - Articles'!C713</f>
        <v>0</v>
      </c>
      <c r="C716">
        <f>COUNTIF('Metrics - Articles'!H713,"*Global*")</f>
        <v>0</v>
      </c>
      <c r="D716">
        <f>COUNTIF('Metrics - Articles'!H713,"*EMEA*")</f>
        <v>0</v>
      </c>
      <c r="E716">
        <f>COUNTIF('Metrics - Articles'!H713,"*NA*")</f>
        <v>0</v>
      </c>
      <c r="F716">
        <f>COUNTIF('Metrics - Articles'!H713,"*APJ")</f>
        <v>0</v>
      </c>
      <c r="G716">
        <f>COUNTIF('Metrics - Articles'!H713,"*LATAM*")</f>
        <v>0</v>
      </c>
      <c r="H716">
        <f>COUNTIF('Metrics - Articles'!H713,"*China*")</f>
        <v>0</v>
      </c>
      <c r="J716" s="53">
        <f t="shared" si="12"/>
        <v>0</v>
      </c>
    </row>
    <row r="717" spans="2:10" hidden="1" x14ac:dyDescent="0.25">
      <c r="B717" s="48">
        <f>+'Metrics - Articles'!C714</f>
        <v>0</v>
      </c>
      <c r="C717">
        <f>COUNTIF('Metrics - Articles'!H714,"*Global*")</f>
        <v>0</v>
      </c>
      <c r="D717">
        <f>COUNTIF('Metrics - Articles'!H714,"*EMEA*")</f>
        <v>0</v>
      </c>
      <c r="E717">
        <f>COUNTIF('Metrics - Articles'!H714,"*NA*")</f>
        <v>0</v>
      </c>
      <c r="F717">
        <f>COUNTIF('Metrics - Articles'!H714,"*APJ")</f>
        <v>0</v>
      </c>
      <c r="G717">
        <f>COUNTIF('Metrics - Articles'!H714,"*LATAM*")</f>
        <v>0</v>
      </c>
      <c r="H717">
        <f>COUNTIF('Metrics - Articles'!H714,"*China*")</f>
        <v>0</v>
      </c>
      <c r="J717" s="53">
        <f t="shared" si="12"/>
        <v>0</v>
      </c>
    </row>
    <row r="718" spans="2:10" hidden="1" x14ac:dyDescent="0.25">
      <c r="B718" s="48">
        <f>+'Metrics - Articles'!C715</f>
        <v>0</v>
      </c>
      <c r="C718">
        <f>COUNTIF('Metrics - Articles'!H715,"*Global*")</f>
        <v>0</v>
      </c>
      <c r="D718">
        <f>COUNTIF('Metrics - Articles'!H715,"*EMEA*")</f>
        <v>0</v>
      </c>
      <c r="E718">
        <f>COUNTIF('Metrics - Articles'!H715,"*NA*")</f>
        <v>0</v>
      </c>
      <c r="F718">
        <f>COUNTIF('Metrics - Articles'!H715,"*APJ")</f>
        <v>0</v>
      </c>
      <c r="G718">
        <f>COUNTIF('Metrics - Articles'!H715,"*LATAM*")</f>
        <v>0</v>
      </c>
      <c r="H718">
        <f>COUNTIF('Metrics - Articles'!H715,"*China*")</f>
        <v>0</v>
      </c>
      <c r="J718" s="53">
        <f t="shared" si="12"/>
        <v>0</v>
      </c>
    </row>
    <row r="719" spans="2:10" hidden="1" x14ac:dyDescent="0.25">
      <c r="B719" s="48">
        <f>+'Metrics - Articles'!C716</f>
        <v>0</v>
      </c>
      <c r="C719">
        <f>COUNTIF('Metrics - Articles'!H716,"*Global*")</f>
        <v>0</v>
      </c>
      <c r="D719">
        <f>COUNTIF('Metrics - Articles'!H716,"*EMEA*")</f>
        <v>0</v>
      </c>
      <c r="E719">
        <f>COUNTIF('Metrics - Articles'!H716,"*NA*")</f>
        <v>0</v>
      </c>
      <c r="F719">
        <f>COUNTIF('Metrics - Articles'!H716,"*APJ")</f>
        <v>0</v>
      </c>
      <c r="G719">
        <f>COUNTIF('Metrics - Articles'!H716,"*LATAM*")</f>
        <v>0</v>
      </c>
      <c r="H719">
        <f>COUNTIF('Metrics - Articles'!H716,"*China*")</f>
        <v>0</v>
      </c>
      <c r="J719" s="53">
        <f t="shared" si="12"/>
        <v>0</v>
      </c>
    </row>
    <row r="720" spans="2:10" hidden="1" x14ac:dyDescent="0.25">
      <c r="B720" s="48">
        <f>+'Metrics - Articles'!C717</f>
        <v>0</v>
      </c>
      <c r="C720">
        <f>COUNTIF('Metrics - Articles'!H717,"*Global*")</f>
        <v>0</v>
      </c>
      <c r="D720">
        <f>COUNTIF('Metrics - Articles'!H717,"*EMEA*")</f>
        <v>0</v>
      </c>
      <c r="E720">
        <f>COUNTIF('Metrics - Articles'!H717,"*NA*")</f>
        <v>0</v>
      </c>
      <c r="F720">
        <f>COUNTIF('Metrics - Articles'!H717,"*APJ")</f>
        <v>0</v>
      </c>
      <c r="G720">
        <f>COUNTIF('Metrics - Articles'!H717,"*LATAM*")</f>
        <v>0</v>
      </c>
      <c r="H720">
        <f>COUNTIF('Metrics - Articles'!H717,"*China*")</f>
        <v>0</v>
      </c>
      <c r="J720" s="53">
        <f t="shared" si="12"/>
        <v>0</v>
      </c>
    </row>
    <row r="721" spans="2:10" hidden="1" x14ac:dyDescent="0.25">
      <c r="B721" s="48">
        <f>+'Metrics - Articles'!C718</f>
        <v>0</v>
      </c>
      <c r="C721">
        <f>COUNTIF('Metrics - Articles'!H718,"*Global*")</f>
        <v>0</v>
      </c>
      <c r="D721">
        <f>COUNTIF('Metrics - Articles'!H718,"*EMEA*")</f>
        <v>0</v>
      </c>
      <c r="E721">
        <f>COUNTIF('Metrics - Articles'!H718,"*NA*")</f>
        <v>0</v>
      </c>
      <c r="F721">
        <f>COUNTIF('Metrics - Articles'!H718,"*APJ")</f>
        <v>0</v>
      </c>
      <c r="G721">
        <f>COUNTIF('Metrics - Articles'!H718,"*LATAM*")</f>
        <v>0</v>
      </c>
      <c r="H721">
        <f>COUNTIF('Metrics - Articles'!H718,"*China*")</f>
        <v>0</v>
      </c>
      <c r="J721" s="53">
        <f t="shared" si="12"/>
        <v>0</v>
      </c>
    </row>
    <row r="722" spans="2:10" hidden="1" x14ac:dyDescent="0.25">
      <c r="B722" s="48">
        <f>+'Metrics - Articles'!C719</f>
        <v>0</v>
      </c>
      <c r="C722">
        <f>COUNTIF('Metrics - Articles'!H719,"*Global*")</f>
        <v>0</v>
      </c>
      <c r="D722">
        <f>COUNTIF('Metrics - Articles'!H719,"*EMEA*")</f>
        <v>0</v>
      </c>
      <c r="E722">
        <f>COUNTIF('Metrics - Articles'!H719,"*NA*")</f>
        <v>0</v>
      </c>
      <c r="F722">
        <f>COUNTIF('Metrics - Articles'!H719,"*APJ")</f>
        <v>0</v>
      </c>
      <c r="G722">
        <f>COUNTIF('Metrics - Articles'!H719,"*LATAM*")</f>
        <v>0</v>
      </c>
      <c r="H722">
        <f>COUNTIF('Metrics - Articles'!H719,"*China*")</f>
        <v>0</v>
      </c>
      <c r="J722" s="53">
        <f t="shared" si="12"/>
        <v>0</v>
      </c>
    </row>
    <row r="723" spans="2:10" hidden="1" x14ac:dyDescent="0.25">
      <c r="B723" s="48">
        <f>+'Metrics - Articles'!C720</f>
        <v>0</v>
      </c>
      <c r="C723">
        <f>COUNTIF('Metrics - Articles'!H720,"*Global*")</f>
        <v>0</v>
      </c>
      <c r="D723">
        <f>COUNTIF('Metrics - Articles'!H720,"*EMEA*")</f>
        <v>0</v>
      </c>
      <c r="E723">
        <f>COUNTIF('Metrics - Articles'!H720,"*NA*")</f>
        <v>0</v>
      </c>
      <c r="F723">
        <f>COUNTIF('Metrics - Articles'!H720,"*APJ")</f>
        <v>0</v>
      </c>
      <c r="G723">
        <f>COUNTIF('Metrics - Articles'!H720,"*LATAM*")</f>
        <v>0</v>
      </c>
      <c r="H723">
        <f>COUNTIF('Metrics - Articles'!H720,"*China*")</f>
        <v>0</v>
      </c>
      <c r="J723" s="53">
        <f t="shared" si="12"/>
        <v>0</v>
      </c>
    </row>
    <row r="724" spans="2:10" hidden="1" x14ac:dyDescent="0.25">
      <c r="B724" s="48">
        <f>+'Metrics - Articles'!C721</f>
        <v>0</v>
      </c>
      <c r="C724">
        <f>COUNTIF('Metrics - Articles'!H721,"*Global*")</f>
        <v>0</v>
      </c>
      <c r="D724">
        <f>COUNTIF('Metrics - Articles'!H721,"*EMEA*")</f>
        <v>0</v>
      </c>
      <c r="E724">
        <f>COUNTIF('Metrics - Articles'!H721,"*NA*")</f>
        <v>0</v>
      </c>
      <c r="F724">
        <f>COUNTIF('Metrics - Articles'!H721,"*APJ")</f>
        <v>0</v>
      </c>
      <c r="G724">
        <f>COUNTIF('Metrics - Articles'!H721,"*LATAM*")</f>
        <v>0</v>
      </c>
      <c r="H724">
        <f>COUNTIF('Metrics - Articles'!H721,"*China*")</f>
        <v>0</v>
      </c>
      <c r="J724" s="53">
        <f t="shared" si="12"/>
        <v>0</v>
      </c>
    </row>
    <row r="725" spans="2:10" hidden="1" x14ac:dyDescent="0.25">
      <c r="B725" s="48">
        <f>+'Metrics - Articles'!C722</f>
        <v>0</v>
      </c>
      <c r="C725">
        <f>COUNTIF('Metrics - Articles'!H722,"*Global*")</f>
        <v>0</v>
      </c>
      <c r="D725">
        <f>COUNTIF('Metrics - Articles'!H722,"*EMEA*")</f>
        <v>0</v>
      </c>
      <c r="E725">
        <f>COUNTIF('Metrics - Articles'!H722,"*NA*")</f>
        <v>0</v>
      </c>
      <c r="F725">
        <f>COUNTIF('Metrics - Articles'!H722,"*APJ")</f>
        <v>0</v>
      </c>
      <c r="G725">
        <f>COUNTIF('Metrics - Articles'!H722,"*LATAM*")</f>
        <v>0</v>
      </c>
      <c r="H725">
        <f>COUNTIF('Metrics - Articles'!H722,"*China*")</f>
        <v>0</v>
      </c>
      <c r="J725" s="53">
        <f t="shared" si="12"/>
        <v>0</v>
      </c>
    </row>
    <row r="726" spans="2:10" hidden="1" x14ac:dyDescent="0.25">
      <c r="B726" s="48">
        <f>+'Metrics - Articles'!C723</f>
        <v>0</v>
      </c>
      <c r="C726">
        <f>COUNTIF('Metrics - Articles'!H723,"*Global*")</f>
        <v>0</v>
      </c>
      <c r="D726">
        <f>COUNTIF('Metrics - Articles'!H723,"*EMEA*")</f>
        <v>0</v>
      </c>
      <c r="E726">
        <f>COUNTIF('Metrics - Articles'!H723,"*NA*")</f>
        <v>0</v>
      </c>
      <c r="F726">
        <f>COUNTIF('Metrics - Articles'!H723,"*APJ")</f>
        <v>0</v>
      </c>
      <c r="G726">
        <f>COUNTIF('Metrics - Articles'!H723,"*LATAM*")</f>
        <v>0</v>
      </c>
      <c r="H726">
        <f>COUNTIF('Metrics - Articles'!H723,"*China*")</f>
        <v>0</v>
      </c>
      <c r="J726" s="53">
        <f t="shared" si="12"/>
        <v>0</v>
      </c>
    </row>
    <row r="727" spans="2:10" hidden="1" x14ac:dyDescent="0.25">
      <c r="B727" s="48">
        <f>+'Metrics - Articles'!C724</f>
        <v>0</v>
      </c>
      <c r="C727">
        <f>COUNTIF('Metrics - Articles'!H724,"*Global*")</f>
        <v>0</v>
      </c>
      <c r="D727">
        <f>COUNTIF('Metrics - Articles'!H724,"*EMEA*")</f>
        <v>0</v>
      </c>
      <c r="E727">
        <f>COUNTIF('Metrics - Articles'!H724,"*NA*")</f>
        <v>0</v>
      </c>
      <c r="F727">
        <f>COUNTIF('Metrics - Articles'!H724,"*APJ")</f>
        <v>0</v>
      </c>
      <c r="G727">
        <f>COUNTIF('Metrics - Articles'!H724,"*LATAM*")</f>
        <v>0</v>
      </c>
      <c r="H727">
        <f>COUNTIF('Metrics - Articles'!H724,"*China*")</f>
        <v>0</v>
      </c>
      <c r="J727" s="53">
        <f t="shared" si="12"/>
        <v>0</v>
      </c>
    </row>
    <row r="728" spans="2:10" hidden="1" x14ac:dyDescent="0.25">
      <c r="B728" s="48">
        <f>+'Metrics - Articles'!C725</f>
        <v>0</v>
      </c>
      <c r="C728">
        <f>COUNTIF('Metrics - Articles'!H725,"*Global*")</f>
        <v>0</v>
      </c>
      <c r="D728">
        <f>COUNTIF('Metrics - Articles'!H725,"*EMEA*")</f>
        <v>0</v>
      </c>
      <c r="E728">
        <f>COUNTIF('Metrics - Articles'!H725,"*NA*")</f>
        <v>0</v>
      </c>
      <c r="F728">
        <f>COUNTIF('Metrics - Articles'!H725,"*APJ")</f>
        <v>0</v>
      </c>
      <c r="G728">
        <f>COUNTIF('Metrics - Articles'!H725,"*LATAM*")</f>
        <v>0</v>
      </c>
      <c r="H728">
        <f>COUNTIF('Metrics - Articles'!H725,"*China*")</f>
        <v>0</v>
      </c>
      <c r="J728" s="53">
        <f t="shared" si="12"/>
        <v>0</v>
      </c>
    </row>
    <row r="729" spans="2:10" hidden="1" x14ac:dyDescent="0.25">
      <c r="B729" s="48">
        <f>+'Metrics - Articles'!C726</f>
        <v>0</v>
      </c>
      <c r="C729">
        <f>COUNTIF('Metrics - Articles'!H726,"*Global*")</f>
        <v>0</v>
      </c>
      <c r="D729">
        <f>COUNTIF('Metrics - Articles'!H726,"*EMEA*")</f>
        <v>0</v>
      </c>
      <c r="E729">
        <f>COUNTIF('Metrics - Articles'!H726,"*NA*")</f>
        <v>0</v>
      </c>
      <c r="F729">
        <f>COUNTIF('Metrics - Articles'!H726,"*APJ")</f>
        <v>0</v>
      </c>
      <c r="G729">
        <f>COUNTIF('Metrics - Articles'!H726,"*LATAM*")</f>
        <v>0</v>
      </c>
      <c r="H729">
        <f>COUNTIF('Metrics - Articles'!H726,"*China*")</f>
        <v>0</v>
      </c>
      <c r="J729" s="53">
        <f t="shared" si="12"/>
        <v>0</v>
      </c>
    </row>
    <row r="730" spans="2:10" hidden="1" x14ac:dyDescent="0.25">
      <c r="B730" s="48">
        <f>+'Metrics - Articles'!C727</f>
        <v>0</v>
      </c>
      <c r="C730">
        <f>COUNTIF('Metrics - Articles'!H727,"*Global*")</f>
        <v>0</v>
      </c>
      <c r="D730">
        <f>COUNTIF('Metrics - Articles'!H727,"*EMEA*")</f>
        <v>0</v>
      </c>
      <c r="E730">
        <f>COUNTIF('Metrics - Articles'!H727,"*NA*")</f>
        <v>0</v>
      </c>
      <c r="F730">
        <f>COUNTIF('Metrics - Articles'!H727,"*APJ")</f>
        <v>0</v>
      </c>
      <c r="G730">
        <f>COUNTIF('Metrics - Articles'!H727,"*LATAM*")</f>
        <v>0</v>
      </c>
      <c r="H730">
        <f>COUNTIF('Metrics - Articles'!H727,"*China*")</f>
        <v>0</v>
      </c>
      <c r="J730" s="53">
        <f t="shared" si="12"/>
        <v>0</v>
      </c>
    </row>
    <row r="731" spans="2:10" hidden="1" x14ac:dyDescent="0.25">
      <c r="B731" s="48">
        <f>+'Metrics - Articles'!C728</f>
        <v>0</v>
      </c>
      <c r="C731">
        <f>COUNTIF('Metrics - Articles'!H728,"*Global*")</f>
        <v>0</v>
      </c>
      <c r="D731">
        <f>COUNTIF('Metrics - Articles'!H728,"*EMEA*")</f>
        <v>0</v>
      </c>
      <c r="E731">
        <f>COUNTIF('Metrics - Articles'!H728,"*NA*")</f>
        <v>0</v>
      </c>
      <c r="F731">
        <f>COUNTIF('Metrics - Articles'!H728,"*APJ")</f>
        <v>0</v>
      </c>
      <c r="G731">
        <f>COUNTIF('Metrics - Articles'!H728,"*LATAM*")</f>
        <v>0</v>
      </c>
      <c r="H731">
        <f>COUNTIF('Metrics - Articles'!H728,"*China*")</f>
        <v>0</v>
      </c>
      <c r="J731" s="53">
        <f t="shared" si="12"/>
        <v>0</v>
      </c>
    </row>
    <row r="732" spans="2:10" hidden="1" x14ac:dyDescent="0.25">
      <c r="B732" s="48">
        <f>+'Metrics - Articles'!C729</f>
        <v>0</v>
      </c>
      <c r="C732">
        <f>COUNTIF('Metrics - Articles'!H729,"*Global*")</f>
        <v>0</v>
      </c>
      <c r="D732">
        <f>COUNTIF('Metrics - Articles'!H729,"*EMEA*")</f>
        <v>0</v>
      </c>
      <c r="E732">
        <f>COUNTIF('Metrics - Articles'!H729,"*NA*")</f>
        <v>0</v>
      </c>
      <c r="F732">
        <f>COUNTIF('Metrics - Articles'!H729,"*APJ")</f>
        <v>0</v>
      </c>
      <c r="G732">
        <f>COUNTIF('Metrics - Articles'!H729,"*LATAM*")</f>
        <v>0</v>
      </c>
      <c r="H732">
        <f>COUNTIF('Metrics - Articles'!H729,"*China*")</f>
        <v>0</v>
      </c>
      <c r="J732" s="53">
        <f t="shared" si="12"/>
        <v>0</v>
      </c>
    </row>
    <row r="733" spans="2:10" hidden="1" x14ac:dyDescent="0.25">
      <c r="B733" s="48">
        <f>+'Metrics - Articles'!C730</f>
        <v>0</v>
      </c>
      <c r="C733">
        <f>COUNTIF('Metrics - Articles'!H730,"*Global*")</f>
        <v>0</v>
      </c>
      <c r="D733">
        <f>COUNTIF('Metrics - Articles'!H730,"*EMEA*")</f>
        <v>0</v>
      </c>
      <c r="E733">
        <f>COUNTIF('Metrics - Articles'!H730,"*NA*")</f>
        <v>0</v>
      </c>
      <c r="F733">
        <f>COUNTIF('Metrics - Articles'!H730,"*APJ")</f>
        <v>0</v>
      </c>
      <c r="G733">
        <f>COUNTIF('Metrics - Articles'!H730,"*LATAM*")</f>
        <v>0</v>
      </c>
      <c r="H733">
        <f>COUNTIF('Metrics - Articles'!H730,"*China*")</f>
        <v>0</v>
      </c>
      <c r="J733" s="53">
        <f t="shared" si="12"/>
        <v>0</v>
      </c>
    </row>
    <row r="734" spans="2:10" hidden="1" x14ac:dyDescent="0.25">
      <c r="B734" s="48">
        <f>+'Metrics - Articles'!C731</f>
        <v>0</v>
      </c>
      <c r="C734">
        <f>COUNTIF('Metrics - Articles'!H731,"*Global*")</f>
        <v>0</v>
      </c>
      <c r="D734">
        <f>COUNTIF('Metrics - Articles'!H731,"*EMEA*")</f>
        <v>0</v>
      </c>
      <c r="E734">
        <f>COUNTIF('Metrics - Articles'!H731,"*NA*")</f>
        <v>0</v>
      </c>
      <c r="F734">
        <f>COUNTIF('Metrics - Articles'!H731,"*APJ")</f>
        <v>0</v>
      </c>
      <c r="G734">
        <f>COUNTIF('Metrics - Articles'!H731,"*LATAM*")</f>
        <v>0</v>
      </c>
      <c r="H734">
        <f>COUNTIF('Metrics - Articles'!H731,"*China*")</f>
        <v>0</v>
      </c>
      <c r="J734" s="53">
        <f t="shared" si="12"/>
        <v>0</v>
      </c>
    </row>
    <row r="735" spans="2:10" hidden="1" x14ac:dyDescent="0.25">
      <c r="B735" s="48">
        <f>+'Metrics - Articles'!C732</f>
        <v>0</v>
      </c>
      <c r="C735">
        <f>COUNTIF('Metrics - Articles'!H732,"*Global*")</f>
        <v>0</v>
      </c>
      <c r="D735">
        <f>COUNTIF('Metrics - Articles'!H732,"*EMEA*")</f>
        <v>0</v>
      </c>
      <c r="E735">
        <f>COUNTIF('Metrics - Articles'!H732,"*NA*")</f>
        <v>0</v>
      </c>
      <c r="F735">
        <f>COUNTIF('Metrics - Articles'!H732,"*APJ")</f>
        <v>0</v>
      </c>
      <c r="G735">
        <f>COUNTIF('Metrics - Articles'!H732,"*LATAM*")</f>
        <v>0</v>
      </c>
      <c r="H735">
        <f>COUNTIF('Metrics - Articles'!H732,"*China*")</f>
        <v>0</v>
      </c>
      <c r="J735" s="53">
        <f t="shared" si="12"/>
        <v>0</v>
      </c>
    </row>
    <row r="736" spans="2:10" hidden="1" x14ac:dyDescent="0.25">
      <c r="B736" s="48">
        <f>+'Metrics - Articles'!C733</f>
        <v>0</v>
      </c>
      <c r="C736">
        <f>COUNTIF('Metrics - Articles'!H733,"*Global*")</f>
        <v>0</v>
      </c>
      <c r="D736">
        <f>COUNTIF('Metrics - Articles'!H733,"*EMEA*")</f>
        <v>0</v>
      </c>
      <c r="E736">
        <f>COUNTIF('Metrics - Articles'!H733,"*NA*")</f>
        <v>0</v>
      </c>
      <c r="F736">
        <f>COUNTIF('Metrics - Articles'!H733,"*APJ")</f>
        <v>0</v>
      </c>
      <c r="G736">
        <f>COUNTIF('Metrics - Articles'!H733,"*LATAM*")</f>
        <v>0</v>
      </c>
      <c r="H736">
        <f>COUNTIF('Metrics - Articles'!H733,"*China*")</f>
        <v>0</v>
      </c>
      <c r="J736" s="53">
        <f t="shared" si="12"/>
        <v>0</v>
      </c>
    </row>
    <row r="737" spans="2:10" hidden="1" x14ac:dyDescent="0.25">
      <c r="B737" s="48">
        <f>+'Metrics - Articles'!C734</f>
        <v>0</v>
      </c>
      <c r="C737">
        <f>COUNTIF('Metrics - Articles'!H734,"*Global*")</f>
        <v>0</v>
      </c>
      <c r="D737">
        <f>COUNTIF('Metrics - Articles'!H734,"*EMEA*")</f>
        <v>0</v>
      </c>
      <c r="E737">
        <f>COUNTIF('Metrics - Articles'!H734,"*NA*")</f>
        <v>0</v>
      </c>
      <c r="F737">
        <f>COUNTIF('Metrics - Articles'!H734,"*APJ")</f>
        <v>0</v>
      </c>
      <c r="G737">
        <f>COUNTIF('Metrics - Articles'!H734,"*LATAM*")</f>
        <v>0</v>
      </c>
      <c r="H737">
        <f>COUNTIF('Metrics - Articles'!H734,"*China*")</f>
        <v>0</v>
      </c>
      <c r="J737" s="53">
        <f t="shared" si="12"/>
        <v>0</v>
      </c>
    </row>
    <row r="738" spans="2:10" hidden="1" x14ac:dyDescent="0.25">
      <c r="B738" s="48">
        <f>+'Metrics - Articles'!C735</f>
        <v>0</v>
      </c>
      <c r="C738">
        <f>COUNTIF('Metrics - Articles'!H735,"*Global*")</f>
        <v>0</v>
      </c>
      <c r="D738">
        <f>COUNTIF('Metrics - Articles'!H735,"*EMEA*")</f>
        <v>0</v>
      </c>
      <c r="E738">
        <f>COUNTIF('Metrics - Articles'!H735,"*NA*")</f>
        <v>0</v>
      </c>
      <c r="F738">
        <f>COUNTIF('Metrics - Articles'!H735,"*APJ")</f>
        <v>0</v>
      </c>
      <c r="G738">
        <f>COUNTIF('Metrics - Articles'!H735,"*LATAM*")</f>
        <v>0</v>
      </c>
      <c r="H738">
        <f>COUNTIF('Metrics - Articles'!H735,"*China*")</f>
        <v>0</v>
      </c>
      <c r="J738" s="53">
        <f t="shared" si="12"/>
        <v>0</v>
      </c>
    </row>
    <row r="739" spans="2:10" hidden="1" x14ac:dyDescent="0.25">
      <c r="B739" s="48">
        <f>+'Metrics - Articles'!C736</f>
        <v>0</v>
      </c>
      <c r="C739">
        <f>COUNTIF('Metrics - Articles'!H736,"*Global*")</f>
        <v>0</v>
      </c>
      <c r="D739">
        <f>COUNTIF('Metrics - Articles'!H736,"*EMEA*")</f>
        <v>0</v>
      </c>
      <c r="E739">
        <f>COUNTIF('Metrics - Articles'!H736,"*NA*")</f>
        <v>0</v>
      </c>
      <c r="F739">
        <f>COUNTIF('Metrics - Articles'!H736,"*APJ")</f>
        <v>0</v>
      </c>
      <c r="G739">
        <f>COUNTIF('Metrics - Articles'!H736,"*LATAM*")</f>
        <v>0</v>
      </c>
      <c r="H739">
        <f>COUNTIF('Metrics - Articles'!H736,"*China*")</f>
        <v>0</v>
      </c>
      <c r="J739" s="53">
        <f t="shared" si="12"/>
        <v>0</v>
      </c>
    </row>
    <row r="740" spans="2:10" hidden="1" x14ac:dyDescent="0.25">
      <c r="B740" s="48">
        <f>+'Metrics - Articles'!C737</f>
        <v>0</v>
      </c>
      <c r="C740">
        <f>COUNTIF('Metrics - Articles'!H737,"*Global*")</f>
        <v>0</v>
      </c>
      <c r="D740">
        <f>COUNTIF('Metrics - Articles'!H737,"*EMEA*")</f>
        <v>0</v>
      </c>
      <c r="E740">
        <f>COUNTIF('Metrics - Articles'!H737,"*NA*")</f>
        <v>0</v>
      </c>
      <c r="F740">
        <f>COUNTIF('Metrics - Articles'!H737,"*APJ")</f>
        <v>0</v>
      </c>
      <c r="G740">
        <f>COUNTIF('Metrics - Articles'!H737,"*LATAM*")</f>
        <v>0</v>
      </c>
      <c r="H740">
        <f>COUNTIF('Metrics - Articles'!H737,"*China*")</f>
        <v>0</v>
      </c>
      <c r="J740" s="53">
        <f t="shared" si="12"/>
        <v>0</v>
      </c>
    </row>
    <row r="741" spans="2:10" hidden="1" x14ac:dyDescent="0.25">
      <c r="B741" s="48">
        <f>+'Metrics - Articles'!C738</f>
        <v>0</v>
      </c>
      <c r="C741">
        <f>COUNTIF('Metrics - Articles'!H738,"*Global*")</f>
        <v>0</v>
      </c>
      <c r="D741">
        <f>COUNTIF('Metrics - Articles'!H738,"*EMEA*")</f>
        <v>0</v>
      </c>
      <c r="E741">
        <f>COUNTIF('Metrics - Articles'!H738,"*NA*")</f>
        <v>0</v>
      </c>
      <c r="F741">
        <f>COUNTIF('Metrics - Articles'!H738,"*APJ")</f>
        <v>0</v>
      </c>
      <c r="G741">
        <f>COUNTIF('Metrics - Articles'!H738,"*LATAM*")</f>
        <v>0</v>
      </c>
      <c r="H741">
        <f>COUNTIF('Metrics - Articles'!H738,"*China*")</f>
        <v>0</v>
      </c>
      <c r="J741" s="53">
        <f t="shared" si="12"/>
        <v>0</v>
      </c>
    </row>
    <row r="742" spans="2:10" hidden="1" x14ac:dyDescent="0.25">
      <c r="B742" s="48">
        <f>+'Metrics - Articles'!C739</f>
        <v>0</v>
      </c>
      <c r="C742">
        <f>COUNTIF('Metrics - Articles'!H739,"*Global*")</f>
        <v>0</v>
      </c>
      <c r="D742">
        <f>COUNTIF('Metrics - Articles'!H739,"*EMEA*")</f>
        <v>0</v>
      </c>
      <c r="E742">
        <f>COUNTIF('Metrics - Articles'!H739,"*NA*")</f>
        <v>0</v>
      </c>
      <c r="F742">
        <f>COUNTIF('Metrics - Articles'!H739,"*APJ")</f>
        <v>0</v>
      </c>
      <c r="G742">
        <f>COUNTIF('Metrics - Articles'!H739,"*LATAM*")</f>
        <v>0</v>
      </c>
      <c r="H742">
        <f>COUNTIF('Metrics - Articles'!H739,"*China*")</f>
        <v>0</v>
      </c>
      <c r="J742" s="53">
        <f t="shared" si="12"/>
        <v>0</v>
      </c>
    </row>
    <row r="743" spans="2:10" hidden="1" x14ac:dyDescent="0.25">
      <c r="B743" s="48">
        <f>+'Metrics - Articles'!C740</f>
        <v>0</v>
      </c>
      <c r="C743">
        <f>COUNTIF('Metrics - Articles'!H740,"*Global*")</f>
        <v>0</v>
      </c>
      <c r="D743">
        <f>COUNTIF('Metrics - Articles'!H740,"*EMEA*")</f>
        <v>0</v>
      </c>
      <c r="E743">
        <f>COUNTIF('Metrics - Articles'!H740,"*NA*")</f>
        <v>0</v>
      </c>
      <c r="F743">
        <f>COUNTIF('Metrics - Articles'!H740,"*APJ")</f>
        <v>0</v>
      </c>
      <c r="G743">
        <f>COUNTIF('Metrics - Articles'!H740,"*LATAM*")</f>
        <v>0</v>
      </c>
      <c r="H743">
        <f>COUNTIF('Metrics - Articles'!H740,"*China*")</f>
        <v>0</v>
      </c>
      <c r="J743" s="53">
        <f t="shared" si="12"/>
        <v>0</v>
      </c>
    </row>
    <row r="744" spans="2:10" hidden="1" x14ac:dyDescent="0.25">
      <c r="B744" s="48">
        <f>+'Metrics - Articles'!C741</f>
        <v>0</v>
      </c>
      <c r="C744">
        <f>COUNTIF('Metrics - Articles'!H741,"*Global*")</f>
        <v>0</v>
      </c>
      <c r="D744">
        <f>COUNTIF('Metrics - Articles'!H741,"*EMEA*")</f>
        <v>0</v>
      </c>
      <c r="E744">
        <f>COUNTIF('Metrics - Articles'!H741,"*NA*")</f>
        <v>0</v>
      </c>
      <c r="F744">
        <f>COUNTIF('Metrics - Articles'!H741,"*APJ")</f>
        <v>0</v>
      </c>
      <c r="G744">
        <f>COUNTIF('Metrics - Articles'!H741,"*LATAM*")</f>
        <v>0</v>
      </c>
      <c r="H744">
        <f>COUNTIF('Metrics - Articles'!H741,"*China*")</f>
        <v>0</v>
      </c>
      <c r="J744" s="53">
        <f t="shared" si="12"/>
        <v>0</v>
      </c>
    </row>
    <row r="745" spans="2:10" hidden="1" x14ac:dyDescent="0.25">
      <c r="B745" s="48">
        <f>+'Metrics - Articles'!C742</f>
        <v>0</v>
      </c>
      <c r="C745">
        <f>COUNTIF('Metrics - Articles'!H742,"*Global*")</f>
        <v>0</v>
      </c>
      <c r="D745">
        <f>COUNTIF('Metrics - Articles'!H742,"*EMEA*")</f>
        <v>0</v>
      </c>
      <c r="E745">
        <f>COUNTIF('Metrics - Articles'!H742,"*NA*")</f>
        <v>0</v>
      </c>
      <c r="F745">
        <f>COUNTIF('Metrics - Articles'!H742,"*APJ")</f>
        <v>0</v>
      </c>
      <c r="G745">
        <f>COUNTIF('Metrics - Articles'!H742,"*LATAM*")</f>
        <v>0</v>
      </c>
      <c r="H745">
        <f>COUNTIF('Metrics - Articles'!H742,"*China*")</f>
        <v>0</v>
      </c>
      <c r="J745" s="53">
        <f t="shared" si="12"/>
        <v>0</v>
      </c>
    </row>
    <row r="746" spans="2:10" hidden="1" x14ac:dyDescent="0.25">
      <c r="B746" s="48">
        <f>+'Metrics - Articles'!C743</f>
        <v>0</v>
      </c>
      <c r="C746">
        <f>COUNTIF('Metrics - Articles'!H743,"*Global*")</f>
        <v>0</v>
      </c>
      <c r="D746">
        <f>COUNTIF('Metrics - Articles'!H743,"*EMEA*")</f>
        <v>0</v>
      </c>
      <c r="E746">
        <f>COUNTIF('Metrics - Articles'!H743,"*NA*")</f>
        <v>0</v>
      </c>
      <c r="F746">
        <f>COUNTIF('Metrics - Articles'!H743,"*APJ")</f>
        <v>0</v>
      </c>
      <c r="G746">
        <f>COUNTIF('Metrics - Articles'!H743,"*LATAM*")</f>
        <v>0</v>
      </c>
      <c r="H746">
        <f>COUNTIF('Metrics - Articles'!H743,"*China*")</f>
        <v>0</v>
      </c>
      <c r="J746" s="53">
        <f t="shared" si="12"/>
        <v>0</v>
      </c>
    </row>
    <row r="747" spans="2:10" hidden="1" x14ac:dyDescent="0.25">
      <c r="B747" s="48">
        <f>+'Metrics - Articles'!C744</f>
        <v>0</v>
      </c>
      <c r="C747">
        <f>COUNTIF('Metrics - Articles'!H744,"*Global*")</f>
        <v>0</v>
      </c>
      <c r="D747">
        <f>COUNTIF('Metrics - Articles'!H744,"*EMEA*")</f>
        <v>0</v>
      </c>
      <c r="E747">
        <f>COUNTIF('Metrics - Articles'!H744,"*NA*")</f>
        <v>0</v>
      </c>
      <c r="F747">
        <f>COUNTIF('Metrics - Articles'!H744,"*APJ")</f>
        <v>0</v>
      </c>
      <c r="G747">
        <f>COUNTIF('Metrics - Articles'!H744,"*LATAM*")</f>
        <v>0</v>
      </c>
      <c r="H747">
        <f>COUNTIF('Metrics - Articles'!H744,"*China*")</f>
        <v>0</v>
      </c>
      <c r="J747" s="53">
        <f t="shared" si="12"/>
        <v>0</v>
      </c>
    </row>
    <row r="748" spans="2:10" hidden="1" x14ac:dyDescent="0.25">
      <c r="B748" s="48">
        <f>+'Metrics - Articles'!C745</f>
        <v>0</v>
      </c>
      <c r="C748">
        <f>COUNTIF('Metrics - Articles'!H745,"*Global*")</f>
        <v>0</v>
      </c>
      <c r="D748">
        <f>COUNTIF('Metrics - Articles'!H745,"*EMEA*")</f>
        <v>0</v>
      </c>
      <c r="E748">
        <f>COUNTIF('Metrics - Articles'!H745,"*NA*")</f>
        <v>0</v>
      </c>
      <c r="F748">
        <f>COUNTIF('Metrics - Articles'!H745,"*APJ")</f>
        <v>0</v>
      </c>
      <c r="G748">
        <f>COUNTIF('Metrics - Articles'!H745,"*LATAM*")</f>
        <v>0</v>
      </c>
      <c r="H748">
        <f>COUNTIF('Metrics - Articles'!H745,"*China*")</f>
        <v>0</v>
      </c>
      <c r="J748" s="53">
        <f t="shared" si="12"/>
        <v>0</v>
      </c>
    </row>
    <row r="749" spans="2:10" hidden="1" x14ac:dyDescent="0.25">
      <c r="B749" s="48">
        <f>+'Metrics - Articles'!C746</f>
        <v>0</v>
      </c>
      <c r="C749">
        <f>COUNTIF('Metrics - Articles'!H746,"*Global*")</f>
        <v>0</v>
      </c>
      <c r="D749">
        <f>COUNTIF('Metrics - Articles'!H746,"*EMEA*")</f>
        <v>0</v>
      </c>
      <c r="E749">
        <f>COUNTIF('Metrics - Articles'!H746,"*NA*")</f>
        <v>0</v>
      </c>
      <c r="F749">
        <f>COUNTIF('Metrics - Articles'!H746,"*APJ")</f>
        <v>0</v>
      </c>
      <c r="G749">
        <f>COUNTIF('Metrics - Articles'!H746,"*LATAM*")</f>
        <v>0</v>
      </c>
      <c r="H749">
        <f>COUNTIF('Metrics - Articles'!H746,"*China*")</f>
        <v>0</v>
      </c>
      <c r="J749" s="53">
        <f t="shared" si="12"/>
        <v>0</v>
      </c>
    </row>
    <row r="750" spans="2:10" hidden="1" x14ac:dyDescent="0.25">
      <c r="B750" s="48">
        <f>+'Metrics - Articles'!C747</f>
        <v>0</v>
      </c>
      <c r="C750">
        <f>COUNTIF('Metrics - Articles'!H747,"*Global*")</f>
        <v>0</v>
      </c>
      <c r="D750">
        <f>COUNTIF('Metrics - Articles'!H747,"*EMEA*")</f>
        <v>0</v>
      </c>
      <c r="E750">
        <f>COUNTIF('Metrics - Articles'!H747,"*NA*")</f>
        <v>0</v>
      </c>
      <c r="F750">
        <f>COUNTIF('Metrics - Articles'!H747,"*APJ")</f>
        <v>0</v>
      </c>
      <c r="G750">
        <f>COUNTIF('Metrics - Articles'!H747,"*LATAM*")</f>
        <v>0</v>
      </c>
      <c r="H750">
        <f>COUNTIF('Metrics - Articles'!H747,"*China*")</f>
        <v>0</v>
      </c>
      <c r="J750" s="53">
        <f t="shared" si="12"/>
        <v>0</v>
      </c>
    </row>
    <row r="751" spans="2:10" hidden="1" x14ac:dyDescent="0.25">
      <c r="B751" s="48">
        <f>+'Metrics - Articles'!C748</f>
        <v>0</v>
      </c>
      <c r="C751">
        <f>COUNTIF('Metrics - Articles'!H748,"*Global*")</f>
        <v>0</v>
      </c>
      <c r="D751">
        <f>COUNTIF('Metrics - Articles'!H748,"*EMEA*")</f>
        <v>0</v>
      </c>
      <c r="E751">
        <f>COUNTIF('Metrics - Articles'!H748,"*NA*")</f>
        <v>0</v>
      </c>
      <c r="F751">
        <f>COUNTIF('Metrics - Articles'!H748,"*APJ")</f>
        <v>0</v>
      </c>
      <c r="G751">
        <f>COUNTIF('Metrics - Articles'!H748,"*LATAM*")</f>
        <v>0</v>
      </c>
      <c r="H751">
        <f>COUNTIF('Metrics - Articles'!H748,"*China*")</f>
        <v>0</v>
      </c>
      <c r="J751" s="53">
        <f t="shared" si="12"/>
        <v>0</v>
      </c>
    </row>
    <row r="752" spans="2:10" hidden="1" x14ac:dyDescent="0.25">
      <c r="B752" s="48">
        <f>+'Metrics - Articles'!C749</f>
        <v>0</v>
      </c>
      <c r="C752">
        <f>COUNTIF('Metrics - Articles'!H749,"*Global*")</f>
        <v>0</v>
      </c>
      <c r="D752">
        <f>COUNTIF('Metrics - Articles'!H749,"*EMEA*")</f>
        <v>0</v>
      </c>
      <c r="E752">
        <f>COUNTIF('Metrics - Articles'!H749,"*NA*")</f>
        <v>0</v>
      </c>
      <c r="F752">
        <f>COUNTIF('Metrics - Articles'!H749,"*APJ")</f>
        <v>0</v>
      </c>
      <c r="G752">
        <f>COUNTIF('Metrics - Articles'!H749,"*LATAM*")</f>
        <v>0</v>
      </c>
      <c r="H752">
        <f>COUNTIF('Metrics - Articles'!H749,"*China*")</f>
        <v>0</v>
      </c>
      <c r="J752" s="53">
        <f t="shared" si="12"/>
        <v>0</v>
      </c>
    </row>
    <row r="753" spans="2:10" hidden="1" x14ac:dyDescent="0.25">
      <c r="B753" s="48">
        <f>+'Metrics - Articles'!C750</f>
        <v>0</v>
      </c>
      <c r="C753">
        <f>COUNTIF('Metrics - Articles'!H750,"*Global*")</f>
        <v>0</v>
      </c>
      <c r="D753">
        <f>COUNTIF('Metrics - Articles'!H750,"*EMEA*")</f>
        <v>0</v>
      </c>
      <c r="E753">
        <f>COUNTIF('Metrics - Articles'!H750,"*NA*")</f>
        <v>0</v>
      </c>
      <c r="F753">
        <f>COUNTIF('Metrics - Articles'!H750,"*APJ")</f>
        <v>0</v>
      </c>
      <c r="G753">
        <f>COUNTIF('Metrics - Articles'!H750,"*LATAM*")</f>
        <v>0</v>
      </c>
      <c r="H753">
        <f>COUNTIF('Metrics - Articles'!H750,"*China*")</f>
        <v>0</v>
      </c>
      <c r="J753" s="53">
        <f t="shared" si="12"/>
        <v>0</v>
      </c>
    </row>
    <row r="754" spans="2:10" hidden="1" x14ac:dyDescent="0.25">
      <c r="B754" s="48">
        <f>+'Metrics - Articles'!C751</f>
        <v>0</v>
      </c>
      <c r="C754">
        <f>COUNTIF('Metrics - Articles'!H751,"*Global*")</f>
        <v>0</v>
      </c>
      <c r="D754">
        <f>COUNTIF('Metrics - Articles'!H751,"*EMEA*")</f>
        <v>0</v>
      </c>
      <c r="E754">
        <f>COUNTIF('Metrics - Articles'!H751,"*NA*")</f>
        <v>0</v>
      </c>
      <c r="F754">
        <f>COUNTIF('Metrics - Articles'!H751,"*APJ")</f>
        <v>0</v>
      </c>
      <c r="G754">
        <f>COUNTIF('Metrics - Articles'!H751,"*LATAM*")</f>
        <v>0</v>
      </c>
      <c r="H754">
        <f>COUNTIF('Metrics - Articles'!H751,"*China*")</f>
        <v>0</v>
      </c>
      <c r="J754" s="53">
        <f t="shared" si="12"/>
        <v>0</v>
      </c>
    </row>
    <row r="755" spans="2:10" hidden="1" x14ac:dyDescent="0.25">
      <c r="B755" s="48">
        <f>+'Metrics - Articles'!C752</f>
        <v>0</v>
      </c>
      <c r="C755">
        <f>COUNTIF('Metrics - Articles'!H752,"*Global*")</f>
        <v>0</v>
      </c>
      <c r="D755">
        <f>COUNTIF('Metrics - Articles'!H752,"*EMEA*")</f>
        <v>0</v>
      </c>
      <c r="E755">
        <f>COUNTIF('Metrics - Articles'!H752,"*NA*")</f>
        <v>0</v>
      </c>
      <c r="F755">
        <f>COUNTIF('Metrics - Articles'!H752,"*APJ")</f>
        <v>0</v>
      </c>
      <c r="G755">
        <f>COUNTIF('Metrics - Articles'!H752,"*LATAM*")</f>
        <v>0</v>
      </c>
      <c r="H755">
        <f>COUNTIF('Metrics - Articles'!H752,"*China*")</f>
        <v>0</v>
      </c>
      <c r="J755" s="53">
        <f t="shared" si="12"/>
        <v>0</v>
      </c>
    </row>
    <row r="756" spans="2:10" hidden="1" x14ac:dyDescent="0.25">
      <c r="B756" s="48">
        <f>+'Metrics - Articles'!C753</f>
        <v>0</v>
      </c>
      <c r="C756">
        <f>COUNTIF('Metrics - Articles'!H753,"*Global*")</f>
        <v>0</v>
      </c>
      <c r="D756">
        <f>COUNTIF('Metrics - Articles'!H753,"*EMEA*")</f>
        <v>0</v>
      </c>
      <c r="E756">
        <f>COUNTIF('Metrics - Articles'!H753,"*NA*")</f>
        <v>0</v>
      </c>
      <c r="F756">
        <f>COUNTIF('Metrics - Articles'!H753,"*APJ")</f>
        <v>0</v>
      </c>
      <c r="G756">
        <f>COUNTIF('Metrics - Articles'!H753,"*LATAM*")</f>
        <v>0</v>
      </c>
      <c r="H756">
        <f>COUNTIF('Metrics - Articles'!H753,"*China*")</f>
        <v>0</v>
      </c>
      <c r="J756" s="53">
        <f t="shared" si="12"/>
        <v>0</v>
      </c>
    </row>
    <row r="757" spans="2:10" hidden="1" x14ac:dyDescent="0.25">
      <c r="B757" s="48">
        <f>+'Metrics - Articles'!C754</f>
        <v>0</v>
      </c>
      <c r="C757">
        <f>COUNTIF('Metrics - Articles'!H754,"*Global*")</f>
        <v>0</v>
      </c>
      <c r="D757">
        <f>COUNTIF('Metrics - Articles'!H754,"*EMEA*")</f>
        <v>0</v>
      </c>
      <c r="E757">
        <f>COUNTIF('Metrics - Articles'!H754,"*NA*")</f>
        <v>0</v>
      </c>
      <c r="F757">
        <f>COUNTIF('Metrics - Articles'!H754,"*APJ")</f>
        <v>0</v>
      </c>
      <c r="G757">
        <f>COUNTIF('Metrics - Articles'!H754,"*LATAM*")</f>
        <v>0</v>
      </c>
      <c r="H757">
        <f>COUNTIF('Metrics - Articles'!H754,"*China*")</f>
        <v>0</v>
      </c>
      <c r="J757" s="53">
        <f t="shared" si="12"/>
        <v>0</v>
      </c>
    </row>
    <row r="758" spans="2:10" hidden="1" x14ac:dyDescent="0.25">
      <c r="B758" s="48">
        <f>+'Metrics - Articles'!C755</f>
        <v>0</v>
      </c>
      <c r="C758">
        <f>COUNTIF('Metrics - Articles'!H755,"*Global*")</f>
        <v>0</v>
      </c>
      <c r="D758">
        <f>COUNTIF('Metrics - Articles'!H755,"*EMEA*")</f>
        <v>0</v>
      </c>
      <c r="E758">
        <f>COUNTIF('Metrics - Articles'!H755,"*NA*")</f>
        <v>0</v>
      </c>
      <c r="F758">
        <f>COUNTIF('Metrics - Articles'!H755,"*APJ")</f>
        <v>0</v>
      </c>
      <c r="G758">
        <f>COUNTIF('Metrics - Articles'!H755,"*LATAM*")</f>
        <v>0</v>
      </c>
      <c r="H758">
        <f>COUNTIF('Metrics - Articles'!H755,"*China*")</f>
        <v>0</v>
      </c>
      <c r="J758" s="53">
        <f t="shared" si="12"/>
        <v>0</v>
      </c>
    </row>
    <row r="759" spans="2:10" hidden="1" x14ac:dyDescent="0.25">
      <c r="B759" s="48">
        <f>+'Metrics - Articles'!C756</f>
        <v>0</v>
      </c>
      <c r="C759">
        <f>COUNTIF('Metrics - Articles'!H756,"*Global*")</f>
        <v>0</v>
      </c>
      <c r="D759">
        <f>COUNTIF('Metrics - Articles'!H756,"*EMEA*")</f>
        <v>0</v>
      </c>
      <c r="E759">
        <f>COUNTIF('Metrics - Articles'!H756,"*NA*")</f>
        <v>0</v>
      </c>
      <c r="F759">
        <f>COUNTIF('Metrics - Articles'!H756,"*APJ")</f>
        <v>0</v>
      </c>
      <c r="G759">
        <f>COUNTIF('Metrics - Articles'!H756,"*LATAM*")</f>
        <v>0</v>
      </c>
      <c r="H759">
        <f>COUNTIF('Metrics - Articles'!H756,"*China*")</f>
        <v>0</v>
      </c>
      <c r="J759" s="53">
        <f t="shared" si="12"/>
        <v>0</v>
      </c>
    </row>
    <row r="760" spans="2:10" hidden="1" x14ac:dyDescent="0.25">
      <c r="B760" s="48">
        <f>+'Metrics - Articles'!C757</f>
        <v>0</v>
      </c>
      <c r="C760">
        <f>COUNTIF('Metrics - Articles'!H757,"*Global*")</f>
        <v>0</v>
      </c>
      <c r="D760">
        <f>COUNTIF('Metrics - Articles'!H757,"*EMEA*")</f>
        <v>0</v>
      </c>
      <c r="E760">
        <f>COUNTIF('Metrics - Articles'!H757,"*NA*")</f>
        <v>0</v>
      </c>
      <c r="F760">
        <f>COUNTIF('Metrics - Articles'!H757,"*APJ")</f>
        <v>0</v>
      </c>
      <c r="G760">
        <f>COUNTIF('Metrics - Articles'!H757,"*LATAM*")</f>
        <v>0</v>
      </c>
      <c r="H760">
        <f>COUNTIF('Metrics - Articles'!H757,"*China*")</f>
        <v>0</v>
      </c>
      <c r="J760" s="53">
        <f t="shared" si="12"/>
        <v>0</v>
      </c>
    </row>
    <row r="761" spans="2:10" hidden="1" x14ac:dyDescent="0.25">
      <c r="B761" s="48">
        <f>+'Metrics - Articles'!C758</f>
        <v>0</v>
      </c>
      <c r="C761">
        <f>COUNTIF('Metrics - Articles'!H758,"*Global*")</f>
        <v>0</v>
      </c>
      <c r="D761">
        <f>COUNTIF('Metrics - Articles'!H758,"*EMEA*")</f>
        <v>0</v>
      </c>
      <c r="E761">
        <f>COUNTIF('Metrics - Articles'!H758,"*NA*")</f>
        <v>0</v>
      </c>
      <c r="F761">
        <f>COUNTIF('Metrics - Articles'!H758,"*APJ")</f>
        <v>0</v>
      </c>
      <c r="G761">
        <f>COUNTIF('Metrics - Articles'!H758,"*LATAM*")</f>
        <v>0</v>
      </c>
      <c r="H761">
        <f>COUNTIF('Metrics - Articles'!H758,"*China*")</f>
        <v>0</v>
      </c>
      <c r="J761" s="53">
        <f t="shared" si="12"/>
        <v>0</v>
      </c>
    </row>
    <row r="762" spans="2:10" hidden="1" x14ac:dyDescent="0.25">
      <c r="B762" s="48">
        <f>+'Metrics - Articles'!C759</f>
        <v>0</v>
      </c>
      <c r="C762">
        <f>COUNTIF('Metrics - Articles'!H759,"*Global*")</f>
        <v>0</v>
      </c>
      <c r="D762">
        <f>COUNTIF('Metrics - Articles'!H759,"*EMEA*")</f>
        <v>0</v>
      </c>
      <c r="E762">
        <f>COUNTIF('Metrics - Articles'!H759,"*NA*")</f>
        <v>0</v>
      </c>
      <c r="F762">
        <f>COUNTIF('Metrics - Articles'!H759,"*APJ")</f>
        <v>0</v>
      </c>
      <c r="G762">
        <f>COUNTIF('Metrics - Articles'!H759,"*LATAM*")</f>
        <v>0</v>
      </c>
      <c r="H762">
        <f>COUNTIF('Metrics - Articles'!H759,"*China*")</f>
        <v>0</v>
      </c>
      <c r="J762" s="53">
        <f t="shared" si="12"/>
        <v>0</v>
      </c>
    </row>
    <row r="763" spans="2:10" hidden="1" x14ac:dyDescent="0.25">
      <c r="B763" s="48">
        <f>+'Metrics - Articles'!C760</f>
        <v>0</v>
      </c>
      <c r="C763">
        <f>COUNTIF('Metrics - Articles'!H760,"*Global*")</f>
        <v>0</v>
      </c>
      <c r="D763">
        <f>COUNTIF('Metrics - Articles'!H760,"*EMEA*")</f>
        <v>0</v>
      </c>
      <c r="E763">
        <f>COUNTIF('Metrics - Articles'!H760,"*NA*")</f>
        <v>0</v>
      </c>
      <c r="F763">
        <f>COUNTIF('Metrics - Articles'!H760,"*APJ")</f>
        <v>0</v>
      </c>
      <c r="G763">
        <f>COUNTIF('Metrics - Articles'!H760,"*LATAM*")</f>
        <v>0</v>
      </c>
      <c r="H763">
        <f>COUNTIF('Metrics - Articles'!H760,"*China*")</f>
        <v>0</v>
      </c>
      <c r="J763" s="53">
        <f t="shared" si="12"/>
        <v>0</v>
      </c>
    </row>
    <row r="764" spans="2:10" hidden="1" x14ac:dyDescent="0.25">
      <c r="B764" s="48">
        <f>+'Metrics - Articles'!C761</f>
        <v>0</v>
      </c>
      <c r="C764">
        <f>COUNTIF('Metrics - Articles'!H761,"*Global*")</f>
        <v>0</v>
      </c>
      <c r="D764">
        <f>COUNTIF('Metrics - Articles'!H761,"*EMEA*")</f>
        <v>0</v>
      </c>
      <c r="E764">
        <f>COUNTIF('Metrics - Articles'!H761,"*NA*")</f>
        <v>0</v>
      </c>
      <c r="F764">
        <f>COUNTIF('Metrics - Articles'!H761,"*APJ")</f>
        <v>0</v>
      </c>
      <c r="G764">
        <f>COUNTIF('Metrics - Articles'!H761,"*LATAM*")</f>
        <v>0</v>
      </c>
      <c r="H764">
        <f>COUNTIF('Metrics - Articles'!H761,"*China*")</f>
        <v>0</v>
      </c>
      <c r="J764" s="53">
        <f t="shared" si="12"/>
        <v>0</v>
      </c>
    </row>
    <row r="765" spans="2:10" hidden="1" x14ac:dyDescent="0.25">
      <c r="B765" s="48">
        <f>+'Metrics - Articles'!C762</f>
        <v>0</v>
      </c>
      <c r="C765">
        <f>COUNTIF('Metrics - Articles'!H762,"*Global*")</f>
        <v>0</v>
      </c>
      <c r="D765">
        <f>COUNTIF('Metrics - Articles'!H762,"*EMEA*")</f>
        <v>0</v>
      </c>
      <c r="E765">
        <f>COUNTIF('Metrics - Articles'!H762,"*NA*")</f>
        <v>0</v>
      </c>
      <c r="F765">
        <f>COUNTIF('Metrics - Articles'!H762,"*APJ")</f>
        <v>0</v>
      </c>
      <c r="G765">
        <f>COUNTIF('Metrics - Articles'!H762,"*LATAM*")</f>
        <v>0</v>
      </c>
      <c r="H765">
        <f>COUNTIF('Metrics - Articles'!H762,"*China*")</f>
        <v>0</v>
      </c>
      <c r="J765" s="53">
        <f t="shared" si="12"/>
        <v>0</v>
      </c>
    </row>
    <row r="766" spans="2:10" hidden="1" x14ac:dyDescent="0.25">
      <c r="B766" s="48">
        <f>+'Metrics - Articles'!C763</f>
        <v>0</v>
      </c>
      <c r="C766">
        <f>COUNTIF('Metrics - Articles'!H763,"*Global*")</f>
        <v>0</v>
      </c>
      <c r="D766">
        <f>COUNTIF('Metrics - Articles'!H763,"*EMEA*")</f>
        <v>0</v>
      </c>
      <c r="E766">
        <f>COUNTIF('Metrics - Articles'!H763,"*NA*")</f>
        <v>0</v>
      </c>
      <c r="F766">
        <f>COUNTIF('Metrics - Articles'!H763,"*APJ")</f>
        <v>0</v>
      </c>
      <c r="G766">
        <f>COUNTIF('Metrics - Articles'!H763,"*LATAM*")</f>
        <v>0</v>
      </c>
      <c r="H766">
        <f>COUNTIF('Metrics - Articles'!H763,"*China*")</f>
        <v>0</v>
      </c>
      <c r="J766" s="53">
        <f t="shared" si="12"/>
        <v>0</v>
      </c>
    </row>
    <row r="767" spans="2:10" hidden="1" x14ac:dyDescent="0.25">
      <c r="B767" s="48">
        <f>+'Metrics - Articles'!C764</f>
        <v>0</v>
      </c>
      <c r="C767">
        <f>COUNTIF('Metrics - Articles'!H764,"*Global*")</f>
        <v>0</v>
      </c>
      <c r="D767">
        <f>COUNTIF('Metrics - Articles'!H764,"*EMEA*")</f>
        <v>0</v>
      </c>
      <c r="E767">
        <f>COUNTIF('Metrics - Articles'!H764,"*NA*")</f>
        <v>0</v>
      </c>
      <c r="F767">
        <f>COUNTIF('Metrics - Articles'!H764,"*APJ")</f>
        <v>0</v>
      </c>
      <c r="G767">
        <f>COUNTIF('Metrics - Articles'!H764,"*LATAM*")</f>
        <v>0</v>
      </c>
      <c r="H767">
        <f>COUNTIF('Metrics - Articles'!H764,"*China*")</f>
        <v>0</v>
      </c>
      <c r="J767" s="53">
        <f t="shared" si="12"/>
        <v>0</v>
      </c>
    </row>
    <row r="768" spans="2:10" hidden="1" x14ac:dyDescent="0.25">
      <c r="B768" s="48">
        <f>+'Metrics - Articles'!C765</f>
        <v>0</v>
      </c>
      <c r="C768">
        <f>COUNTIF('Metrics - Articles'!H765,"*Global*")</f>
        <v>0</v>
      </c>
      <c r="D768">
        <f>COUNTIF('Metrics - Articles'!H765,"*EMEA*")</f>
        <v>0</v>
      </c>
      <c r="E768">
        <f>COUNTIF('Metrics - Articles'!H765,"*NA*")</f>
        <v>0</v>
      </c>
      <c r="F768">
        <f>COUNTIF('Metrics - Articles'!H765,"*APJ")</f>
        <v>0</v>
      </c>
      <c r="G768">
        <f>COUNTIF('Metrics - Articles'!H765,"*LATAM*")</f>
        <v>0</v>
      </c>
      <c r="H768">
        <f>COUNTIF('Metrics - Articles'!H765,"*China*")</f>
        <v>0</v>
      </c>
      <c r="J768" s="53">
        <f t="shared" si="12"/>
        <v>0</v>
      </c>
    </row>
    <row r="769" spans="2:10" hidden="1" x14ac:dyDescent="0.25">
      <c r="B769" s="48">
        <f>+'Metrics - Articles'!C766</f>
        <v>0</v>
      </c>
      <c r="C769">
        <f>COUNTIF('Metrics - Articles'!H766,"*Global*")</f>
        <v>0</v>
      </c>
      <c r="D769">
        <f>COUNTIF('Metrics - Articles'!H766,"*EMEA*")</f>
        <v>0</v>
      </c>
      <c r="E769">
        <f>COUNTIF('Metrics - Articles'!H766,"*NA*")</f>
        <v>0</v>
      </c>
      <c r="F769">
        <f>COUNTIF('Metrics - Articles'!H766,"*APJ")</f>
        <v>0</v>
      </c>
      <c r="G769">
        <f>COUNTIF('Metrics - Articles'!H766,"*LATAM*")</f>
        <v>0</v>
      </c>
      <c r="H769">
        <f>COUNTIF('Metrics - Articles'!H766,"*China*")</f>
        <v>0</v>
      </c>
      <c r="J769" s="53">
        <f t="shared" si="12"/>
        <v>0</v>
      </c>
    </row>
    <row r="770" spans="2:10" hidden="1" x14ac:dyDescent="0.25">
      <c r="B770" s="48">
        <f>+'Metrics - Articles'!C767</f>
        <v>0</v>
      </c>
      <c r="C770">
        <f>COUNTIF('Metrics - Articles'!H767,"*Global*")</f>
        <v>0</v>
      </c>
      <c r="D770">
        <f>COUNTIF('Metrics - Articles'!H767,"*EMEA*")</f>
        <v>0</v>
      </c>
      <c r="E770">
        <f>COUNTIF('Metrics - Articles'!H767,"*NA*")</f>
        <v>0</v>
      </c>
      <c r="F770">
        <f>COUNTIF('Metrics - Articles'!H767,"*APJ")</f>
        <v>0</v>
      </c>
      <c r="G770">
        <f>COUNTIF('Metrics - Articles'!H767,"*LATAM*")</f>
        <v>0</v>
      </c>
      <c r="H770">
        <f>COUNTIF('Metrics - Articles'!H767,"*China*")</f>
        <v>0</v>
      </c>
      <c r="J770" s="53">
        <f t="shared" si="12"/>
        <v>0</v>
      </c>
    </row>
    <row r="771" spans="2:10" hidden="1" x14ac:dyDescent="0.25">
      <c r="B771" s="48">
        <f>+'Metrics - Articles'!C768</f>
        <v>0</v>
      </c>
      <c r="C771">
        <f>COUNTIF('Metrics - Articles'!H768,"*Global*")</f>
        <v>0</v>
      </c>
      <c r="D771">
        <f>COUNTIF('Metrics - Articles'!H768,"*EMEA*")</f>
        <v>0</v>
      </c>
      <c r="E771">
        <f>COUNTIF('Metrics - Articles'!H768,"*NA*")</f>
        <v>0</v>
      </c>
      <c r="F771">
        <f>COUNTIF('Metrics - Articles'!H768,"*APJ")</f>
        <v>0</v>
      </c>
      <c r="G771">
        <f>COUNTIF('Metrics - Articles'!H768,"*LATAM*")</f>
        <v>0</v>
      </c>
      <c r="H771">
        <f>COUNTIF('Metrics - Articles'!H768,"*China*")</f>
        <v>0</v>
      </c>
      <c r="J771" s="53">
        <f t="shared" si="12"/>
        <v>0</v>
      </c>
    </row>
    <row r="772" spans="2:10" hidden="1" x14ac:dyDescent="0.25">
      <c r="B772" s="48">
        <f>+'Metrics - Articles'!C769</f>
        <v>0</v>
      </c>
      <c r="C772">
        <f>COUNTIF('Metrics - Articles'!H769,"*Global*")</f>
        <v>0</v>
      </c>
      <c r="D772">
        <f>COUNTIF('Metrics - Articles'!H769,"*EMEA*")</f>
        <v>0</v>
      </c>
      <c r="E772">
        <f>COUNTIF('Metrics - Articles'!H769,"*NA*")</f>
        <v>0</v>
      </c>
      <c r="F772">
        <f>COUNTIF('Metrics - Articles'!H769,"*APJ")</f>
        <v>0</v>
      </c>
      <c r="G772">
        <f>COUNTIF('Metrics - Articles'!H769,"*LATAM*")</f>
        <v>0</v>
      </c>
      <c r="H772">
        <f>COUNTIF('Metrics - Articles'!H769,"*China*")</f>
        <v>0</v>
      </c>
      <c r="J772" s="53">
        <f t="shared" si="12"/>
        <v>0</v>
      </c>
    </row>
    <row r="773" spans="2:10" hidden="1" x14ac:dyDescent="0.25">
      <c r="B773" s="48">
        <f>+'Metrics - Articles'!C770</f>
        <v>0</v>
      </c>
      <c r="C773">
        <f>COUNTIF('Metrics - Articles'!H770,"*Global*")</f>
        <v>0</v>
      </c>
      <c r="D773">
        <f>COUNTIF('Metrics - Articles'!H770,"*EMEA*")</f>
        <v>0</v>
      </c>
      <c r="E773">
        <f>COUNTIF('Metrics - Articles'!H770,"*NA*")</f>
        <v>0</v>
      </c>
      <c r="F773">
        <f>COUNTIF('Metrics - Articles'!H770,"*APJ")</f>
        <v>0</v>
      </c>
      <c r="G773">
        <f>COUNTIF('Metrics - Articles'!H770,"*LATAM*")</f>
        <v>0</v>
      </c>
      <c r="H773">
        <f>COUNTIF('Metrics - Articles'!H770,"*China*")</f>
        <v>0</v>
      </c>
      <c r="J773" s="53">
        <f t="shared" si="12"/>
        <v>0</v>
      </c>
    </row>
    <row r="774" spans="2:10" hidden="1" x14ac:dyDescent="0.25">
      <c r="B774" s="48">
        <f>+'Metrics - Articles'!C771</f>
        <v>0</v>
      </c>
      <c r="C774">
        <f>COUNTIF('Metrics - Articles'!H771,"*Global*")</f>
        <v>0</v>
      </c>
      <c r="D774">
        <f>COUNTIF('Metrics - Articles'!H771,"*EMEA*")</f>
        <v>0</v>
      </c>
      <c r="E774">
        <f>COUNTIF('Metrics - Articles'!H771,"*NA*")</f>
        <v>0</v>
      </c>
      <c r="F774">
        <f>COUNTIF('Metrics - Articles'!H771,"*APJ")</f>
        <v>0</v>
      </c>
      <c r="G774">
        <f>COUNTIF('Metrics - Articles'!H771,"*LATAM*")</f>
        <v>0</v>
      </c>
      <c r="H774">
        <f>COUNTIF('Metrics - Articles'!H771,"*China*")</f>
        <v>0</v>
      </c>
      <c r="J774" s="53">
        <f t="shared" si="12"/>
        <v>0</v>
      </c>
    </row>
    <row r="775" spans="2:10" hidden="1" x14ac:dyDescent="0.25">
      <c r="B775" s="48">
        <f>+'Metrics - Articles'!C772</f>
        <v>0</v>
      </c>
      <c r="C775">
        <f>COUNTIF('Metrics - Articles'!H772,"*Global*")</f>
        <v>0</v>
      </c>
      <c r="D775">
        <f>COUNTIF('Metrics - Articles'!H772,"*EMEA*")</f>
        <v>0</v>
      </c>
      <c r="E775">
        <f>COUNTIF('Metrics - Articles'!H772,"*NA*")</f>
        <v>0</v>
      </c>
      <c r="F775">
        <f>COUNTIF('Metrics - Articles'!H772,"*APJ")</f>
        <v>0</v>
      </c>
      <c r="G775">
        <f>COUNTIF('Metrics - Articles'!H772,"*LATAM*")</f>
        <v>0</v>
      </c>
      <c r="H775">
        <f>COUNTIF('Metrics - Articles'!H772,"*China*")</f>
        <v>0</v>
      </c>
      <c r="J775" s="53">
        <f t="shared" si="12"/>
        <v>0</v>
      </c>
    </row>
    <row r="776" spans="2:10" hidden="1" x14ac:dyDescent="0.25">
      <c r="B776" s="48">
        <f>+'Metrics - Articles'!C773</f>
        <v>0</v>
      </c>
      <c r="C776">
        <f>COUNTIF('Metrics - Articles'!H773,"*Global*")</f>
        <v>0</v>
      </c>
      <c r="D776">
        <f>COUNTIF('Metrics - Articles'!H773,"*EMEA*")</f>
        <v>0</v>
      </c>
      <c r="E776">
        <f>COUNTIF('Metrics - Articles'!H773,"*NA*")</f>
        <v>0</v>
      </c>
      <c r="F776">
        <f>COUNTIF('Metrics - Articles'!H773,"*APJ")</f>
        <v>0</v>
      </c>
      <c r="G776">
        <f>COUNTIF('Metrics - Articles'!H773,"*LATAM*")</f>
        <v>0</v>
      </c>
      <c r="H776">
        <f>COUNTIF('Metrics - Articles'!H773,"*China*")</f>
        <v>0</v>
      </c>
      <c r="J776" s="53">
        <f t="shared" si="12"/>
        <v>0</v>
      </c>
    </row>
    <row r="777" spans="2:10" hidden="1" x14ac:dyDescent="0.25">
      <c r="B777" s="48">
        <f>+'Metrics - Articles'!C774</f>
        <v>0</v>
      </c>
      <c r="C777">
        <f>COUNTIF('Metrics - Articles'!H774,"*Global*")</f>
        <v>0</v>
      </c>
      <c r="D777">
        <f>COUNTIF('Metrics - Articles'!H774,"*EMEA*")</f>
        <v>0</v>
      </c>
      <c r="E777">
        <f>COUNTIF('Metrics - Articles'!H774,"*NA*")</f>
        <v>0</v>
      </c>
      <c r="F777">
        <f>COUNTIF('Metrics - Articles'!H774,"*APJ")</f>
        <v>0</v>
      </c>
      <c r="G777">
        <f>COUNTIF('Metrics - Articles'!H774,"*LATAM*")</f>
        <v>0</v>
      </c>
      <c r="H777">
        <f>COUNTIF('Metrics - Articles'!H774,"*China*")</f>
        <v>0</v>
      </c>
      <c r="J777" s="53">
        <f t="shared" si="12"/>
        <v>0</v>
      </c>
    </row>
    <row r="778" spans="2:10" hidden="1" x14ac:dyDescent="0.25">
      <c r="B778" s="48">
        <f>+'Metrics - Articles'!C775</f>
        <v>0</v>
      </c>
      <c r="C778">
        <f>COUNTIF('Metrics - Articles'!H775,"*Global*")</f>
        <v>0</v>
      </c>
      <c r="D778">
        <f>COUNTIF('Metrics - Articles'!H775,"*EMEA*")</f>
        <v>0</v>
      </c>
      <c r="E778">
        <f>COUNTIF('Metrics - Articles'!H775,"*NA*")</f>
        <v>0</v>
      </c>
      <c r="F778">
        <f>COUNTIF('Metrics - Articles'!H775,"*APJ")</f>
        <v>0</v>
      </c>
      <c r="G778">
        <f>COUNTIF('Metrics - Articles'!H775,"*LATAM*")</f>
        <v>0</v>
      </c>
      <c r="H778">
        <f>COUNTIF('Metrics - Articles'!H775,"*China*")</f>
        <v>0</v>
      </c>
      <c r="J778" s="53">
        <f t="shared" ref="J778:J841" si="13">SUM(C778:I778)</f>
        <v>0</v>
      </c>
    </row>
    <row r="779" spans="2:10" hidden="1" x14ac:dyDescent="0.25">
      <c r="B779" s="48">
        <f>+'Metrics - Articles'!C776</f>
        <v>0</v>
      </c>
      <c r="C779">
        <f>COUNTIF('Metrics - Articles'!H776,"*Global*")</f>
        <v>0</v>
      </c>
      <c r="D779">
        <f>COUNTIF('Metrics - Articles'!H776,"*EMEA*")</f>
        <v>0</v>
      </c>
      <c r="E779">
        <f>COUNTIF('Metrics - Articles'!H776,"*NA*")</f>
        <v>0</v>
      </c>
      <c r="F779">
        <f>COUNTIF('Metrics - Articles'!H776,"*APJ")</f>
        <v>0</v>
      </c>
      <c r="G779">
        <f>COUNTIF('Metrics - Articles'!H776,"*LATAM*")</f>
        <v>0</v>
      </c>
      <c r="H779">
        <f>COUNTIF('Metrics - Articles'!H776,"*China*")</f>
        <v>0</v>
      </c>
      <c r="J779" s="53">
        <f t="shared" si="13"/>
        <v>0</v>
      </c>
    </row>
    <row r="780" spans="2:10" hidden="1" x14ac:dyDescent="0.25">
      <c r="B780" s="48">
        <f>+'Metrics - Articles'!C777</f>
        <v>0</v>
      </c>
      <c r="C780">
        <f>COUNTIF('Metrics - Articles'!H777,"*Global*")</f>
        <v>0</v>
      </c>
      <c r="D780">
        <f>COUNTIF('Metrics - Articles'!H777,"*EMEA*")</f>
        <v>0</v>
      </c>
      <c r="E780">
        <f>COUNTIF('Metrics - Articles'!H777,"*NA*")</f>
        <v>0</v>
      </c>
      <c r="F780">
        <f>COUNTIF('Metrics - Articles'!H777,"*APJ")</f>
        <v>0</v>
      </c>
      <c r="G780">
        <f>COUNTIF('Metrics - Articles'!H777,"*LATAM*")</f>
        <v>0</v>
      </c>
      <c r="H780">
        <f>COUNTIF('Metrics - Articles'!H777,"*China*")</f>
        <v>0</v>
      </c>
      <c r="J780" s="53">
        <f t="shared" si="13"/>
        <v>0</v>
      </c>
    </row>
    <row r="781" spans="2:10" hidden="1" x14ac:dyDescent="0.25">
      <c r="B781" s="48">
        <f>+'Metrics - Articles'!C778</f>
        <v>0</v>
      </c>
      <c r="C781">
        <f>COUNTIF('Metrics - Articles'!H778,"*Global*")</f>
        <v>0</v>
      </c>
      <c r="D781">
        <f>COUNTIF('Metrics - Articles'!H778,"*EMEA*")</f>
        <v>0</v>
      </c>
      <c r="E781">
        <f>COUNTIF('Metrics - Articles'!H778,"*NA*")</f>
        <v>0</v>
      </c>
      <c r="F781">
        <f>COUNTIF('Metrics - Articles'!H778,"*APJ")</f>
        <v>0</v>
      </c>
      <c r="G781">
        <f>COUNTIF('Metrics - Articles'!H778,"*LATAM*")</f>
        <v>0</v>
      </c>
      <c r="H781">
        <f>COUNTIF('Metrics - Articles'!H778,"*China*")</f>
        <v>0</v>
      </c>
      <c r="J781" s="53">
        <f t="shared" si="13"/>
        <v>0</v>
      </c>
    </row>
    <row r="782" spans="2:10" hidden="1" x14ac:dyDescent="0.25">
      <c r="B782" s="48">
        <f>+'Metrics - Articles'!C779</f>
        <v>0</v>
      </c>
      <c r="C782">
        <f>COUNTIF('Metrics - Articles'!H779,"*Global*")</f>
        <v>0</v>
      </c>
      <c r="D782">
        <f>COUNTIF('Metrics - Articles'!H779,"*EMEA*")</f>
        <v>0</v>
      </c>
      <c r="E782">
        <f>COUNTIF('Metrics - Articles'!H779,"*NA*")</f>
        <v>0</v>
      </c>
      <c r="F782">
        <f>COUNTIF('Metrics - Articles'!H779,"*APJ")</f>
        <v>0</v>
      </c>
      <c r="G782">
        <f>COUNTIF('Metrics - Articles'!H779,"*LATAM*")</f>
        <v>0</v>
      </c>
      <c r="H782">
        <f>COUNTIF('Metrics - Articles'!H779,"*China*")</f>
        <v>0</v>
      </c>
      <c r="J782" s="53">
        <f t="shared" si="13"/>
        <v>0</v>
      </c>
    </row>
    <row r="783" spans="2:10" hidden="1" x14ac:dyDescent="0.25">
      <c r="B783" s="48">
        <f>+'Metrics - Articles'!C780</f>
        <v>0</v>
      </c>
      <c r="C783">
        <f>COUNTIF('Metrics - Articles'!H780,"*Global*")</f>
        <v>0</v>
      </c>
      <c r="D783">
        <f>COUNTIF('Metrics - Articles'!H780,"*EMEA*")</f>
        <v>0</v>
      </c>
      <c r="E783">
        <f>COUNTIF('Metrics - Articles'!H780,"*NA*")</f>
        <v>0</v>
      </c>
      <c r="F783">
        <f>COUNTIF('Metrics - Articles'!H780,"*APJ")</f>
        <v>0</v>
      </c>
      <c r="G783">
        <f>COUNTIF('Metrics - Articles'!H780,"*LATAM*")</f>
        <v>0</v>
      </c>
      <c r="H783">
        <f>COUNTIF('Metrics - Articles'!H780,"*China*")</f>
        <v>0</v>
      </c>
      <c r="J783" s="53">
        <f t="shared" si="13"/>
        <v>0</v>
      </c>
    </row>
    <row r="784" spans="2:10" hidden="1" x14ac:dyDescent="0.25">
      <c r="B784" s="48">
        <f>+'Metrics - Articles'!C781</f>
        <v>0</v>
      </c>
      <c r="C784">
        <f>COUNTIF('Metrics - Articles'!H781,"*Global*")</f>
        <v>0</v>
      </c>
      <c r="D784">
        <f>COUNTIF('Metrics - Articles'!H781,"*EMEA*")</f>
        <v>0</v>
      </c>
      <c r="E784">
        <f>COUNTIF('Metrics - Articles'!H781,"*NA*")</f>
        <v>0</v>
      </c>
      <c r="F784">
        <f>COUNTIF('Metrics - Articles'!H781,"*APJ")</f>
        <v>0</v>
      </c>
      <c r="G784">
        <f>COUNTIF('Metrics - Articles'!H781,"*LATAM*")</f>
        <v>0</v>
      </c>
      <c r="H784">
        <f>COUNTIF('Metrics - Articles'!H781,"*China*")</f>
        <v>0</v>
      </c>
      <c r="J784" s="53">
        <f t="shared" si="13"/>
        <v>0</v>
      </c>
    </row>
    <row r="785" spans="2:10" hidden="1" x14ac:dyDescent="0.25">
      <c r="B785" s="48">
        <f>+'Metrics - Articles'!C782</f>
        <v>0</v>
      </c>
      <c r="C785">
        <f>COUNTIF('Metrics - Articles'!H782,"*Global*")</f>
        <v>0</v>
      </c>
      <c r="D785">
        <f>COUNTIF('Metrics - Articles'!H782,"*EMEA*")</f>
        <v>0</v>
      </c>
      <c r="E785">
        <f>COUNTIF('Metrics - Articles'!H782,"*NA*")</f>
        <v>0</v>
      </c>
      <c r="F785">
        <f>COUNTIF('Metrics - Articles'!H782,"*APJ")</f>
        <v>0</v>
      </c>
      <c r="G785">
        <f>COUNTIF('Metrics - Articles'!H782,"*LATAM*")</f>
        <v>0</v>
      </c>
      <c r="H785">
        <f>COUNTIF('Metrics - Articles'!H782,"*China*")</f>
        <v>0</v>
      </c>
      <c r="J785" s="53">
        <f t="shared" si="13"/>
        <v>0</v>
      </c>
    </row>
    <row r="786" spans="2:10" hidden="1" x14ac:dyDescent="0.25">
      <c r="B786" s="48">
        <f>+'Metrics - Articles'!C783</f>
        <v>0</v>
      </c>
      <c r="C786">
        <f>COUNTIF('Metrics - Articles'!H783,"*Global*")</f>
        <v>0</v>
      </c>
      <c r="D786">
        <f>COUNTIF('Metrics - Articles'!H783,"*EMEA*")</f>
        <v>0</v>
      </c>
      <c r="E786">
        <f>COUNTIF('Metrics - Articles'!H783,"*NA*")</f>
        <v>0</v>
      </c>
      <c r="F786">
        <f>COUNTIF('Metrics - Articles'!H783,"*APJ")</f>
        <v>0</v>
      </c>
      <c r="G786">
        <f>COUNTIF('Metrics - Articles'!H783,"*LATAM*")</f>
        <v>0</v>
      </c>
      <c r="H786">
        <f>COUNTIF('Metrics - Articles'!H783,"*China*")</f>
        <v>0</v>
      </c>
      <c r="J786" s="53">
        <f t="shared" si="13"/>
        <v>0</v>
      </c>
    </row>
    <row r="787" spans="2:10" hidden="1" x14ac:dyDescent="0.25">
      <c r="B787" s="48">
        <f>+'Metrics - Articles'!C784</f>
        <v>0</v>
      </c>
      <c r="C787">
        <f>COUNTIF('Metrics - Articles'!H784,"*Global*")</f>
        <v>0</v>
      </c>
      <c r="D787">
        <f>COUNTIF('Metrics - Articles'!H784,"*EMEA*")</f>
        <v>0</v>
      </c>
      <c r="E787">
        <f>COUNTIF('Metrics - Articles'!H784,"*NA*")</f>
        <v>0</v>
      </c>
      <c r="F787">
        <f>COUNTIF('Metrics - Articles'!H784,"*APJ")</f>
        <v>0</v>
      </c>
      <c r="G787">
        <f>COUNTIF('Metrics - Articles'!H784,"*LATAM*")</f>
        <v>0</v>
      </c>
      <c r="H787">
        <f>COUNTIF('Metrics - Articles'!H784,"*China*")</f>
        <v>0</v>
      </c>
      <c r="J787" s="53">
        <f t="shared" si="13"/>
        <v>0</v>
      </c>
    </row>
    <row r="788" spans="2:10" hidden="1" x14ac:dyDescent="0.25">
      <c r="B788" s="48">
        <f>+'Metrics - Articles'!C785</f>
        <v>0</v>
      </c>
      <c r="C788">
        <f>COUNTIF('Metrics - Articles'!H785,"*Global*")</f>
        <v>0</v>
      </c>
      <c r="D788">
        <f>COUNTIF('Metrics - Articles'!H785,"*EMEA*")</f>
        <v>0</v>
      </c>
      <c r="E788">
        <f>COUNTIF('Metrics - Articles'!H785,"*NA*")</f>
        <v>0</v>
      </c>
      <c r="F788">
        <f>COUNTIF('Metrics - Articles'!H785,"*APJ")</f>
        <v>0</v>
      </c>
      <c r="G788">
        <f>COUNTIF('Metrics - Articles'!H785,"*LATAM*")</f>
        <v>0</v>
      </c>
      <c r="H788">
        <f>COUNTIF('Metrics - Articles'!H785,"*China*")</f>
        <v>0</v>
      </c>
      <c r="J788" s="53">
        <f t="shared" si="13"/>
        <v>0</v>
      </c>
    </row>
    <row r="789" spans="2:10" hidden="1" x14ac:dyDescent="0.25">
      <c r="B789" s="48">
        <f>+'Metrics - Articles'!C786</f>
        <v>0</v>
      </c>
      <c r="C789">
        <f>COUNTIF('Metrics - Articles'!H786,"*Global*")</f>
        <v>0</v>
      </c>
      <c r="D789">
        <f>COUNTIF('Metrics - Articles'!H786,"*EMEA*")</f>
        <v>0</v>
      </c>
      <c r="E789">
        <f>COUNTIF('Metrics - Articles'!H786,"*NA*")</f>
        <v>0</v>
      </c>
      <c r="F789">
        <f>COUNTIF('Metrics - Articles'!H786,"*APJ")</f>
        <v>0</v>
      </c>
      <c r="G789">
        <f>COUNTIF('Metrics - Articles'!H786,"*LATAM*")</f>
        <v>0</v>
      </c>
      <c r="H789">
        <f>COUNTIF('Metrics - Articles'!H786,"*China*")</f>
        <v>0</v>
      </c>
      <c r="J789" s="53">
        <f t="shared" si="13"/>
        <v>0</v>
      </c>
    </row>
    <row r="790" spans="2:10" hidden="1" x14ac:dyDescent="0.25">
      <c r="B790" s="48">
        <f>+'Metrics - Articles'!C787</f>
        <v>0</v>
      </c>
      <c r="C790">
        <f>COUNTIF('Metrics - Articles'!H787,"*Global*")</f>
        <v>0</v>
      </c>
      <c r="D790">
        <f>COUNTIF('Metrics - Articles'!H787,"*EMEA*")</f>
        <v>0</v>
      </c>
      <c r="E790">
        <f>COUNTIF('Metrics - Articles'!H787,"*NA*")</f>
        <v>0</v>
      </c>
      <c r="F790">
        <f>COUNTIF('Metrics - Articles'!H787,"*APJ")</f>
        <v>0</v>
      </c>
      <c r="G790">
        <f>COUNTIF('Metrics - Articles'!H787,"*LATAM*")</f>
        <v>0</v>
      </c>
      <c r="H790">
        <f>COUNTIF('Metrics - Articles'!H787,"*China*")</f>
        <v>0</v>
      </c>
      <c r="J790" s="53">
        <f t="shared" si="13"/>
        <v>0</v>
      </c>
    </row>
    <row r="791" spans="2:10" hidden="1" x14ac:dyDescent="0.25">
      <c r="B791" s="48">
        <f>+'Metrics - Articles'!C788</f>
        <v>0</v>
      </c>
      <c r="C791">
        <f>COUNTIF('Metrics - Articles'!H788,"*Global*")</f>
        <v>0</v>
      </c>
      <c r="D791">
        <f>COUNTIF('Metrics - Articles'!H788,"*EMEA*")</f>
        <v>0</v>
      </c>
      <c r="E791">
        <f>COUNTIF('Metrics - Articles'!H788,"*NA*")</f>
        <v>0</v>
      </c>
      <c r="F791">
        <f>COUNTIF('Metrics - Articles'!H788,"*APJ")</f>
        <v>0</v>
      </c>
      <c r="G791">
        <f>COUNTIF('Metrics - Articles'!H788,"*LATAM*")</f>
        <v>0</v>
      </c>
      <c r="H791">
        <f>COUNTIF('Metrics - Articles'!H788,"*China*")</f>
        <v>0</v>
      </c>
      <c r="J791" s="53">
        <f t="shared" si="13"/>
        <v>0</v>
      </c>
    </row>
    <row r="792" spans="2:10" hidden="1" x14ac:dyDescent="0.25">
      <c r="B792" s="48">
        <f>+'Metrics - Articles'!C789</f>
        <v>0</v>
      </c>
      <c r="C792">
        <f>COUNTIF('Metrics - Articles'!H789,"*Global*")</f>
        <v>0</v>
      </c>
      <c r="D792">
        <f>COUNTIF('Metrics - Articles'!H789,"*EMEA*")</f>
        <v>0</v>
      </c>
      <c r="E792">
        <f>COUNTIF('Metrics - Articles'!H789,"*NA*")</f>
        <v>0</v>
      </c>
      <c r="F792">
        <f>COUNTIF('Metrics - Articles'!H789,"*APJ")</f>
        <v>0</v>
      </c>
      <c r="G792">
        <f>COUNTIF('Metrics - Articles'!H789,"*LATAM*")</f>
        <v>0</v>
      </c>
      <c r="H792">
        <f>COUNTIF('Metrics - Articles'!H789,"*China*")</f>
        <v>0</v>
      </c>
      <c r="J792" s="53">
        <f t="shared" si="13"/>
        <v>0</v>
      </c>
    </row>
    <row r="793" spans="2:10" hidden="1" x14ac:dyDescent="0.25">
      <c r="B793" s="48">
        <f>+'Metrics - Articles'!C790</f>
        <v>0</v>
      </c>
      <c r="C793">
        <f>COUNTIF('Metrics - Articles'!H790,"*Global*")</f>
        <v>0</v>
      </c>
      <c r="D793">
        <f>COUNTIF('Metrics - Articles'!H790,"*EMEA*")</f>
        <v>0</v>
      </c>
      <c r="E793">
        <f>COUNTIF('Metrics - Articles'!H790,"*NA*")</f>
        <v>0</v>
      </c>
      <c r="F793">
        <f>COUNTIF('Metrics - Articles'!H790,"*APJ")</f>
        <v>0</v>
      </c>
      <c r="G793">
        <f>COUNTIF('Metrics - Articles'!H790,"*LATAM*")</f>
        <v>0</v>
      </c>
      <c r="H793">
        <f>COUNTIF('Metrics - Articles'!H790,"*China*")</f>
        <v>0</v>
      </c>
      <c r="J793" s="53">
        <f t="shared" si="13"/>
        <v>0</v>
      </c>
    </row>
    <row r="794" spans="2:10" hidden="1" x14ac:dyDescent="0.25">
      <c r="B794" s="48">
        <f>+'Metrics - Articles'!C791</f>
        <v>0</v>
      </c>
      <c r="C794">
        <f>COUNTIF('Metrics - Articles'!H791,"*Global*")</f>
        <v>0</v>
      </c>
      <c r="D794">
        <f>COUNTIF('Metrics - Articles'!H791,"*EMEA*")</f>
        <v>0</v>
      </c>
      <c r="E794">
        <f>COUNTIF('Metrics - Articles'!H791,"*NA*")</f>
        <v>0</v>
      </c>
      <c r="F794">
        <f>COUNTIF('Metrics - Articles'!H791,"*APJ")</f>
        <v>0</v>
      </c>
      <c r="G794">
        <f>COUNTIF('Metrics - Articles'!H791,"*LATAM*")</f>
        <v>0</v>
      </c>
      <c r="H794">
        <f>COUNTIF('Metrics - Articles'!H791,"*China*")</f>
        <v>0</v>
      </c>
      <c r="J794" s="53">
        <f t="shared" si="13"/>
        <v>0</v>
      </c>
    </row>
    <row r="795" spans="2:10" hidden="1" x14ac:dyDescent="0.25">
      <c r="B795" s="48">
        <f>+'Metrics - Articles'!C792</f>
        <v>0</v>
      </c>
      <c r="C795">
        <f>COUNTIF('Metrics - Articles'!H792,"*Global*")</f>
        <v>0</v>
      </c>
      <c r="D795">
        <f>COUNTIF('Metrics - Articles'!H792,"*EMEA*")</f>
        <v>0</v>
      </c>
      <c r="E795">
        <f>COUNTIF('Metrics - Articles'!H792,"*NA*")</f>
        <v>0</v>
      </c>
      <c r="F795">
        <f>COUNTIF('Metrics - Articles'!H792,"*APJ")</f>
        <v>0</v>
      </c>
      <c r="G795">
        <f>COUNTIF('Metrics - Articles'!H792,"*LATAM*")</f>
        <v>0</v>
      </c>
      <c r="H795">
        <f>COUNTIF('Metrics - Articles'!H792,"*China*")</f>
        <v>0</v>
      </c>
      <c r="J795" s="53">
        <f t="shared" si="13"/>
        <v>0</v>
      </c>
    </row>
    <row r="796" spans="2:10" hidden="1" x14ac:dyDescent="0.25">
      <c r="B796" s="48">
        <f>+'Metrics - Articles'!C793</f>
        <v>0</v>
      </c>
      <c r="C796">
        <f>COUNTIF('Metrics - Articles'!H793,"*Global*")</f>
        <v>0</v>
      </c>
      <c r="D796">
        <f>COUNTIF('Metrics - Articles'!H793,"*EMEA*")</f>
        <v>0</v>
      </c>
      <c r="E796">
        <f>COUNTIF('Metrics - Articles'!H793,"*NA*")</f>
        <v>0</v>
      </c>
      <c r="F796">
        <f>COUNTIF('Metrics - Articles'!H793,"*APJ")</f>
        <v>0</v>
      </c>
      <c r="G796">
        <f>COUNTIF('Metrics - Articles'!H793,"*LATAM*")</f>
        <v>0</v>
      </c>
      <c r="H796">
        <f>COUNTIF('Metrics - Articles'!H793,"*China*")</f>
        <v>0</v>
      </c>
      <c r="J796" s="53">
        <f t="shared" si="13"/>
        <v>0</v>
      </c>
    </row>
    <row r="797" spans="2:10" hidden="1" x14ac:dyDescent="0.25">
      <c r="B797" s="48">
        <f>+'Metrics - Articles'!C794</f>
        <v>0</v>
      </c>
      <c r="C797">
        <f>COUNTIF('Metrics - Articles'!H794,"*Global*")</f>
        <v>0</v>
      </c>
      <c r="D797">
        <f>COUNTIF('Metrics - Articles'!H794,"*EMEA*")</f>
        <v>0</v>
      </c>
      <c r="E797">
        <f>COUNTIF('Metrics - Articles'!H794,"*NA*")</f>
        <v>0</v>
      </c>
      <c r="F797">
        <f>COUNTIF('Metrics - Articles'!H794,"*APJ")</f>
        <v>0</v>
      </c>
      <c r="G797">
        <f>COUNTIF('Metrics - Articles'!H794,"*LATAM*")</f>
        <v>0</v>
      </c>
      <c r="H797">
        <f>COUNTIF('Metrics - Articles'!H794,"*China*")</f>
        <v>0</v>
      </c>
      <c r="J797" s="53">
        <f t="shared" si="13"/>
        <v>0</v>
      </c>
    </row>
    <row r="798" spans="2:10" hidden="1" x14ac:dyDescent="0.25">
      <c r="B798" s="48">
        <f>+'Metrics - Articles'!C795</f>
        <v>0</v>
      </c>
      <c r="C798">
        <f>COUNTIF('Metrics - Articles'!H795,"*Global*")</f>
        <v>0</v>
      </c>
      <c r="D798">
        <f>COUNTIF('Metrics - Articles'!H795,"*EMEA*")</f>
        <v>0</v>
      </c>
      <c r="E798">
        <f>COUNTIF('Metrics - Articles'!H795,"*NA*")</f>
        <v>0</v>
      </c>
      <c r="F798">
        <f>COUNTIF('Metrics - Articles'!H795,"*APJ")</f>
        <v>0</v>
      </c>
      <c r="G798">
        <f>COUNTIF('Metrics - Articles'!H795,"*LATAM*")</f>
        <v>0</v>
      </c>
      <c r="H798">
        <f>COUNTIF('Metrics - Articles'!H795,"*China*")</f>
        <v>0</v>
      </c>
      <c r="J798" s="53">
        <f t="shared" si="13"/>
        <v>0</v>
      </c>
    </row>
    <row r="799" spans="2:10" hidden="1" x14ac:dyDescent="0.25">
      <c r="B799" s="48">
        <f>+'Metrics - Articles'!C796</f>
        <v>0</v>
      </c>
      <c r="C799">
        <f>COUNTIF('Metrics - Articles'!H796,"*Global*")</f>
        <v>0</v>
      </c>
      <c r="D799">
        <f>COUNTIF('Metrics - Articles'!H796,"*EMEA*")</f>
        <v>0</v>
      </c>
      <c r="E799">
        <f>COUNTIF('Metrics - Articles'!H796,"*NA*")</f>
        <v>0</v>
      </c>
      <c r="F799">
        <f>COUNTIF('Metrics - Articles'!H796,"*APJ")</f>
        <v>0</v>
      </c>
      <c r="G799">
        <f>COUNTIF('Metrics - Articles'!H796,"*LATAM*")</f>
        <v>0</v>
      </c>
      <c r="H799">
        <f>COUNTIF('Metrics - Articles'!H796,"*China*")</f>
        <v>0</v>
      </c>
      <c r="J799" s="53">
        <f t="shared" si="13"/>
        <v>0</v>
      </c>
    </row>
    <row r="800" spans="2:10" hidden="1" x14ac:dyDescent="0.25">
      <c r="B800" s="48">
        <f>+'Metrics - Articles'!C797</f>
        <v>0</v>
      </c>
      <c r="C800">
        <f>COUNTIF('Metrics - Articles'!H797,"*Global*")</f>
        <v>0</v>
      </c>
      <c r="D800">
        <f>COUNTIF('Metrics - Articles'!H797,"*EMEA*")</f>
        <v>0</v>
      </c>
      <c r="E800">
        <f>COUNTIF('Metrics - Articles'!H797,"*NA*")</f>
        <v>0</v>
      </c>
      <c r="F800">
        <f>COUNTIF('Metrics - Articles'!H797,"*APJ")</f>
        <v>0</v>
      </c>
      <c r="G800">
        <f>COUNTIF('Metrics - Articles'!H797,"*LATAM*")</f>
        <v>0</v>
      </c>
      <c r="H800">
        <f>COUNTIF('Metrics - Articles'!H797,"*China*")</f>
        <v>0</v>
      </c>
      <c r="J800" s="53">
        <f t="shared" si="13"/>
        <v>0</v>
      </c>
    </row>
    <row r="801" spans="2:10" hidden="1" x14ac:dyDescent="0.25">
      <c r="B801" s="48">
        <f>+'Metrics - Articles'!C798</f>
        <v>0</v>
      </c>
      <c r="C801">
        <f>COUNTIF('Metrics - Articles'!H798,"*Global*")</f>
        <v>0</v>
      </c>
      <c r="D801">
        <f>COUNTIF('Metrics - Articles'!H798,"*EMEA*")</f>
        <v>0</v>
      </c>
      <c r="E801">
        <f>COUNTIF('Metrics - Articles'!H798,"*NA*")</f>
        <v>0</v>
      </c>
      <c r="F801">
        <f>COUNTIF('Metrics - Articles'!H798,"*APJ")</f>
        <v>0</v>
      </c>
      <c r="G801">
        <f>COUNTIF('Metrics - Articles'!H798,"*LATAM*")</f>
        <v>0</v>
      </c>
      <c r="H801">
        <f>COUNTIF('Metrics - Articles'!H798,"*China*")</f>
        <v>0</v>
      </c>
      <c r="J801" s="53">
        <f t="shared" si="13"/>
        <v>0</v>
      </c>
    </row>
    <row r="802" spans="2:10" hidden="1" x14ac:dyDescent="0.25">
      <c r="B802" s="48">
        <f>+'Metrics - Articles'!C799</f>
        <v>0</v>
      </c>
      <c r="C802">
        <f>COUNTIF('Metrics - Articles'!H799,"*Global*")</f>
        <v>0</v>
      </c>
      <c r="D802">
        <f>COUNTIF('Metrics - Articles'!H799,"*EMEA*")</f>
        <v>0</v>
      </c>
      <c r="E802">
        <f>COUNTIF('Metrics - Articles'!H799,"*NA*")</f>
        <v>0</v>
      </c>
      <c r="F802">
        <f>COUNTIF('Metrics - Articles'!H799,"*APJ")</f>
        <v>0</v>
      </c>
      <c r="G802">
        <f>COUNTIF('Metrics - Articles'!H799,"*LATAM*")</f>
        <v>0</v>
      </c>
      <c r="H802">
        <f>COUNTIF('Metrics - Articles'!H799,"*China*")</f>
        <v>0</v>
      </c>
      <c r="J802" s="53">
        <f t="shared" si="13"/>
        <v>0</v>
      </c>
    </row>
    <row r="803" spans="2:10" hidden="1" x14ac:dyDescent="0.25">
      <c r="B803" s="48">
        <f>+'Metrics - Articles'!C800</f>
        <v>0</v>
      </c>
      <c r="C803">
        <f>COUNTIF('Metrics - Articles'!H800,"*Global*")</f>
        <v>0</v>
      </c>
      <c r="D803">
        <f>COUNTIF('Metrics - Articles'!H800,"*EMEA*")</f>
        <v>0</v>
      </c>
      <c r="E803">
        <f>COUNTIF('Metrics - Articles'!H800,"*NA*")</f>
        <v>0</v>
      </c>
      <c r="F803">
        <f>COUNTIF('Metrics - Articles'!H800,"*APJ")</f>
        <v>0</v>
      </c>
      <c r="G803">
        <f>COUNTIF('Metrics - Articles'!H800,"*LATAM*")</f>
        <v>0</v>
      </c>
      <c r="H803">
        <f>COUNTIF('Metrics - Articles'!H800,"*China*")</f>
        <v>0</v>
      </c>
      <c r="J803" s="53">
        <f t="shared" si="13"/>
        <v>0</v>
      </c>
    </row>
    <row r="804" spans="2:10" hidden="1" x14ac:dyDescent="0.25">
      <c r="B804" s="48">
        <f>+'Metrics - Articles'!C801</f>
        <v>0</v>
      </c>
      <c r="C804">
        <f>COUNTIF('Metrics - Articles'!H801,"*Global*")</f>
        <v>0</v>
      </c>
      <c r="D804">
        <f>COUNTIF('Metrics - Articles'!H801,"*EMEA*")</f>
        <v>0</v>
      </c>
      <c r="E804">
        <f>COUNTIF('Metrics - Articles'!H801,"*NA*")</f>
        <v>0</v>
      </c>
      <c r="F804">
        <f>COUNTIF('Metrics - Articles'!H801,"*APJ")</f>
        <v>0</v>
      </c>
      <c r="G804">
        <f>COUNTIF('Metrics - Articles'!H801,"*LATAM*")</f>
        <v>0</v>
      </c>
      <c r="H804">
        <f>COUNTIF('Metrics - Articles'!H801,"*China*")</f>
        <v>0</v>
      </c>
      <c r="J804" s="53">
        <f t="shared" si="13"/>
        <v>0</v>
      </c>
    </row>
    <row r="805" spans="2:10" hidden="1" x14ac:dyDescent="0.25">
      <c r="B805" s="48">
        <f>+'Metrics - Articles'!C802</f>
        <v>0</v>
      </c>
      <c r="C805">
        <f>COUNTIF('Metrics - Articles'!H802,"*Global*")</f>
        <v>0</v>
      </c>
      <c r="D805">
        <f>COUNTIF('Metrics - Articles'!H802,"*EMEA*")</f>
        <v>0</v>
      </c>
      <c r="E805">
        <f>COUNTIF('Metrics - Articles'!H802,"*NA*")</f>
        <v>0</v>
      </c>
      <c r="F805">
        <f>COUNTIF('Metrics - Articles'!H802,"*APJ")</f>
        <v>0</v>
      </c>
      <c r="G805">
        <f>COUNTIF('Metrics - Articles'!H802,"*LATAM*")</f>
        <v>0</v>
      </c>
      <c r="H805">
        <f>COUNTIF('Metrics - Articles'!H802,"*China*")</f>
        <v>0</v>
      </c>
      <c r="J805" s="53">
        <f t="shared" si="13"/>
        <v>0</v>
      </c>
    </row>
    <row r="806" spans="2:10" hidden="1" x14ac:dyDescent="0.25">
      <c r="B806" s="48">
        <f>+'Metrics - Articles'!C803</f>
        <v>0</v>
      </c>
      <c r="C806">
        <f>COUNTIF('Metrics - Articles'!H803,"*Global*")</f>
        <v>0</v>
      </c>
      <c r="D806">
        <f>COUNTIF('Metrics - Articles'!H803,"*EMEA*")</f>
        <v>0</v>
      </c>
      <c r="E806">
        <f>COUNTIF('Metrics - Articles'!H803,"*NA*")</f>
        <v>0</v>
      </c>
      <c r="F806">
        <f>COUNTIF('Metrics - Articles'!H803,"*APJ")</f>
        <v>0</v>
      </c>
      <c r="G806">
        <f>COUNTIF('Metrics - Articles'!H803,"*LATAM*")</f>
        <v>0</v>
      </c>
      <c r="H806">
        <f>COUNTIF('Metrics - Articles'!H803,"*China*")</f>
        <v>0</v>
      </c>
      <c r="J806" s="53">
        <f t="shared" si="13"/>
        <v>0</v>
      </c>
    </row>
    <row r="807" spans="2:10" hidden="1" x14ac:dyDescent="0.25">
      <c r="B807" s="48">
        <f>+'Metrics - Articles'!C804</f>
        <v>0</v>
      </c>
      <c r="C807">
        <f>COUNTIF('Metrics - Articles'!H804,"*Global*")</f>
        <v>0</v>
      </c>
      <c r="D807">
        <f>COUNTIF('Metrics - Articles'!H804,"*EMEA*")</f>
        <v>0</v>
      </c>
      <c r="E807">
        <f>COUNTIF('Metrics - Articles'!H804,"*NA*")</f>
        <v>0</v>
      </c>
      <c r="F807">
        <f>COUNTIF('Metrics - Articles'!H804,"*APJ")</f>
        <v>0</v>
      </c>
      <c r="G807">
        <f>COUNTIF('Metrics - Articles'!H804,"*LATAM*")</f>
        <v>0</v>
      </c>
      <c r="H807">
        <f>COUNTIF('Metrics - Articles'!H804,"*China*")</f>
        <v>0</v>
      </c>
      <c r="J807" s="53">
        <f t="shared" si="13"/>
        <v>0</v>
      </c>
    </row>
    <row r="808" spans="2:10" hidden="1" x14ac:dyDescent="0.25">
      <c r="B808" s="48">
        <f>+'Metrics - Articles'!C805</f>
        <v>0</v>
      </c>
      <c r="C808">
        <f>COUNTIF('Metrics - Articles'!H805,"*Global*")</f>
        <v>0</v>
      </c>
      <c r="D808">
        <f>COUNTIF('Metrics - Articles'!H805,"*EMEA*")</f>
        <v>0</v>
      </c>
      <c r="E808">
        <f>COUNTIF('Metrics - Articles'!H805,"*NA*")</f>
        <v>0</v>
      </c>
      <c r="F808">
        <f>COUNTIF('Metrics - Articles'!H805,"*APJ")</f>
        <v>0</v>
      </c>
      <c r="G808">
        <f>COUNTIF('Metrics - Articles'!H805,"*LATAM*")</f>
        <v>0</v>
      </c>
      <c r="H808">
        <f>COUNTIF('Metrics - Articles'!H805,"*China*")</f>
        <v>0</v>
      </c>
      <c r="J808" s="53">
        <f t="shared" si="13"/>
        <v>0</v>
      </c>
    </row>
    <row r="809" spans="2:10" hidden="1" x14ac:dyDescent="0.25">
      <c r="B809" s="48">
        <f>+'Metrics - Articles'!C806</f>
        <v>0</v>
      </c>
      <c r="C809">
        <f>COUNTIF('Metrics - Articles'!H806,"*Global*")</f>
        <v>0</v>
      </c>
      <c r="D809">
        <f>COUNTIF('Metrics - Articles'!H806,"*EMEA*")</f>
        <v>0</v>
      </c>
      <c r="E809">
        <f>COUNTIF('Metrics - Articles'!H806,"*NA*")</f>
        <v>0</v>
      </c>
      <c r="F809">
        <f>COUNTIF('Metrics - Articles'!H806,"*APJ")</f>
        <v>0</v>
      </c>
      <c r="G809">
        <f>COUNTIF('Metrics - Articles'!H806,"*LATAM*")</f>
        <v>0</v>
      </c>
      <c r="H809">
        <f>COUNTIF('Metrics - Articles'!H806,"*China*")</f>
        <v>0</v>
      </c>
      <c r="J809" s="53">
        <f t="shared" si="13"/>
        <v>0</v>
      </c>
    </row>
    <row r="810" spans="2:10" hidden="1" x14ac:dyDescent="0.25">
      <c r="B810" s="48">
        <f>+'Metrics - Articles'!C807</f>
        <v>0</v>
      </c>
      <c r="C810">
        <f>COUNTIF('Metrics - Articles'!H807,"*Global*")</f>
        <v>0</v>
      </c>
      <c r="D810">
        <f>COUNTIF('Metrics - Articles'!H807,"*EMEA*")</f>
        <v>0</v>
      </c>
      <c r="E810">
        <f>COUNTIF('Metrics - Articles'!H807,"*NA*")</f>
        <v>0</v>
      </c>
      <c r="F810">
        <f>COUNTIF('Metrics - Articles'!H807,"*APJ")</f>
        <v>0</v>
      </c>
      <c r="G810">
        <f>COUNTIF('Metrics - Articles'!H807,"*LATAM*")</f>
        <v>0</v>
      </c>
      <c r="H810">
        <f>COUNTIF('Metrics - Articles'!H807,"*China*")</f>
        <v>0</v>
      </c>
      <c r="J810" s="53">
        <f t="shared" si="13"/>
        <v>0</v>
      </c>
    </row>
    <row r="811" spans="2:10" hidden="1" x14ac:dyDescent="0.25">
      <c r="B811" s="48">
        <f>+'Metrics - Articles'!C808</f>
        <v>0</v>
      </c>
      <c r="C811">
        <f>COUNTIF('Metrics - Articles'!H808,"*Global*")</f>
        <v>0</v>
      </c>
      <c r="D811">
        <f>COUNTIF('Metrics - Articles'!H808,"*EMEA*")</f>
        <v>0</v>
      </c>
      <c r="E811">
        <f>COUNTIF('Metrics - Articles'!H808,"*NA*")</f>
        <v>0</v>
      </c>
      <c r="F811">
        <f>COUNTIF('Metrics - Articles'!H808,"*APJ")</f>
        <v>0</v>
      </c>
      <c r="G811">
        <f>COUNTIF('Metrics - Articles'!H808,"*LATAM*")</f>
        <v>0</v>
      </c>
      <c r="H811">
        <f>COUNTIF('Metrics - Articles'!H808,"*China*")</f>
        <v>0</v>
      </c>
      <c r="J811" s="53">
        <f t="shared" si="13"/>
        <v>0</v>
      </c>
    </row>
    <row r="812" spans="2:10" hidden="1" x14ac:dyDescent="0.25">
      <c r="B812" s="48">
        <f>+'Metrics - Articles'!C809</f>
        <v>0</v>
      </c>
      <c r="C812">
        <f>COUNTIF('Metrics - Articles'!H809,"*Global*")</f>
        <v>0</v>
      </c>
      <c r="D812">
        <f>COUNTIF('Metrics - Articles'!H809,"*EMEA*")</f>
        <v>0</v>
      </c>
      <c r="E812">
        <f>COUNTIF('Metrics - Articles'!H809,"*NA*")</f>
        <v>0</v>
      </c>
      <c r="F812">
        <f>COUNTIF('Metrics - Articles'!H809,"*APJ")</f>
        <v>0</v>
      </c>
      <c r="G812">
        <f>COUNTIF('Metrics - Articles'!H809,"*LATAM*")</f>
        <v>0</v>
      </c>
      <c r="H812">
        <f>COUNTIF('Metrics - Articles'!H809,"*China*")</f>
        <v>0</v>
      </c>
      <c r="J812" s="53">
        <f t="shared" si="13"/>
        <v>0</v>
      </c>
    </row>
    <row r="813" spans="2:10" hidden="1" x14ac:dyDescent="0.25">
      <c r="B813" s="48">
        <f>+'Metrics - Articles'!C810</f>
        <v>0</v>
      </c>
      <c r="C813">
        <f>COUNTIF('Metrics - Articles'!H810,"*Global*")</f>
        <v>0</v>
      </c>
      <c r="D813">
        <f>COUNTIF('Metrics - Articles'!H810,"*EMEA*")</f>
        <v>0</v>
      </c>
      <c r="E813">
        <f>COUNTIF('Metrics - Articles'!H810,"*NA*")</f>
        <v>0</v>
      </c>
      <c r="F813">
        <f>COUNTIF('Metrics - Articles'!H810,"*APJ")</f>
        <v>0</v>
      </c>
      <c r="G813">
        <f>COUNTIF('Metrics - Articles'!H810,"*LATAM*")</f>
        <v>0</v>
      </c>
      <c r="H813">
        <f>COUNTIF('Metrics - Articles'!H810,"*China*")</f>
        <v>0</v>
      </c>
      <c r="J813" s="53">
        <f t="shared" si="13"/>
        <v>0</v>
      </c>
    </row>
    <row r="814" spans="2:10" hidden="1" x14ac:dyDescent="0.25">
      <c r="B814" s="48">
        <f>+'Metrics - Articles'!C811</f>
        <v>0</v>
      </c>
      <c r="C814">
        <f>COUNTIF('Metrics - Articles'!H811,"*Global*")</f>
        <v>0</v>
      </c>
      <c r="D814">
        <f>COUNTIF('Metrics - Articles'!H811,"*EMEA*")</f>
        <v>0</v>
      </c>
      <c r="E814">
        <f>COUNTIF('Metrics - Articles'!H811,"*NA*")</f>
        <v>0</v>
      </c>
      <c r="F814">
        <f>COUNTIF('Metrics - Articles'!H811,"*APJ")</f>
        <v>0</v>
      </c>
      <c r="G814">
        <f>COUNTIF('Metrics - Articles'!H811,"*LATAM*")</f>
        <v>0</v>
      </c>
      <c r="H814">
        <f>COUNTIF('Metrics - Articles'!H811,"*China*")</f>
        <v>0</v>
      </c>
      <c r="J814" s="53">
        <f t="shared" si="13"/>
        <v>0</v>
      </c>
    </row>
    <row r="815" spans="2:10" hidden="1" x14ac:dyDescent="0.25">
      <c r="B815" s="48">
        <f>+'Metrics - Articles'!C812</f>
        <v>0</v>
      </c>
      <c r="C815">
        <f>COUNTIF('Metrics - Articles'!H812,"*Global*")</f>
        <v>0</v>
      </c>
      <c r="D815">
        <f>COUNTIF('Metrics - Articles'!H812,"*EMEA*")</f>
        <v>0</v>
      </c>
      <c r="E815">
        <f>COUNTIF('Metrics - Articles'!H812,"*NA*")</f>
        <v>0</v>
      </c>
      <c r="F815">
        <f>COUNTIF('Metrics - Articles'!H812,"*APJ")</f>
        <v>0</v>
      </c>
      <c r="G815">
        <f>COUNTIF('Metrics - Articles'!H812,"*LATAM*")</f>
        <v>0</v>
      </c>
      <c r="H815">
        <f>COUNTIF('Metrics - Articles'!H812,"*China*")</f>
        <v>0</v>
      </c>
      <c r="J815" s="53">
        <f t="shared" si="13"/>
        <v>0</v>
      </c>
    </row>
    <row r="816" spans="2:10" hidden="1" x14ac:dyDescent="0.25">
      <c r="B816" s="48">
        <f>+'Metrics - Articles'!C813</f>
        <v>0</v>
      </c>
      <c r="C816">
        <f>COUNTIF('Metrics - Articles'!H813,"*Global*")</f>
        <v>0</v>
      </c>
      <c r="D816">
        <f>COUNTIF('Metrics - Articles'!H813,"*EMEA*")</f>
        <v>0</v>
      </c>
      <c r="E816">
        <f>COUNTIF('Metrics - Articles'!H813,"*NA*")</f>
        <v>0</v>
      </c>
      <c r="F816">
        <f>COUNTIF('Metrics - Articles'!H813,"*APJ")</f>
        <v>0</v>
      </c>
      <c r="G816">
        <f>COUNTIF('Metrics - Articles'!H813,"*LATAM*")</f>
        <v>0</v>
      </c>
      <c r="H816">
        <f>COUNTIF('Metrics - Articles'!H813,"*China*")</f>
        <v>0</v>
      </c>
      <c r="J816" s="53">
        <f t="shared" si="13"/>
        <v>0</v>
      </c>
    </row>
    <row r="817" spans="2:10" hidden="1" x14ac:dyDescent="0.25">
      <c r="B817" s="48">
        <f>+'Metrics - Articles'!C814</f>
        <v>0</v>
      </c>
      <c r="C817">
        <f>COUNTIF('Metrics - Articles'!H814,"*Global*")</f>
        <v>0</v>
      </c>
      <c r="D817">
        <f>COUNTIF('Metrics - Articles'!H814,"*EMEA*")</f>
        <v>0</v>
      </c>
      <c r="E817">
        <f>COUNTIF('Metrics - Articles'!H814,"*NA*")</f>
        <v>0</v>
      </c>
      <c r="F817">
        <f>COUNTIF('Metrics - Articles'!H814,"*APJ")</f>
        <v>0</v>
      </c>
      <c r="G817">
        <f>COUNTIF('Metrics - Articles'!H814,"*LATAM*")</f>
        <v>0</v>
      </c>
      <c r="H817">
        <f>COUNTIF('Metrics - Articles'!H814,"*China*")</f>
        <v>0</v>
      </c>
      <c r="J817" s="53">
        <f t="shared" si="13"/>
        <v>0</v>
      </c>
    </row>
    <row r="818" spans="2:10" hidden="1" x14ac:dyDescent="0.25">
      <c r="B818" s="48">
        <f>+'Metrics - Articles'!C815</f>
        <v>0</v>
      </c>
      <c r="C818">
        <f>COUNTIF('Metrics - Articles'!H815,"*Global*")</f>
        <v>0</v>
      </c>
      <c r="D818">
        <f>COUNTIF('Metrics - Articles'!H815,"*EMEA*")</f>
        <v>0</v>
      </c>
      <c r="E818">
        <f>COUNTIF('Metrics - Articles'!H815,"*NA*")</f>
        <v>0</v>
      </c>
      <c r="F818">
        <f>COUNTIF('Metrics - Articles'!H815,"*APJ")</f>
        <v>0</v>
      </c>
      <c r="G818">
        <f>COUNTIF('Metrics - Articles'!H815,"*LATAM*")</f>
        <v>0</v>
      </c>
      <c r="H818">
        <f>COUNTIF('Metrics - Articles'!H815,"*China*")</f>
        <v>0</v>
      </c>
      <c r="J818" s="53">
        <f t="shared" si="13"/>
        <v>0</v>
      </c>
    </row>
    <row r="819" spans="2:10" hidden="1" x14ac:dyDescent="0.25">
      <c r="B819" s="48">
        <f>+'Metrics - Articles'!C816</f>
        <v>0</v>
      </c>
      <c r="C819">
        <f>COUNTIF('Metrics - Articles'!H816,"*Global*")</f>
        <v>0</v>
      </c>
      <c r="D819">
        <f>COUNTIF('Metrics - Articles'!H816,"*EMEA*")</f>
        <v>0</v>
      </c>
      <c r="E819">
        <f>COUNTIF('Metrics - Articles'!H816,"*NA*")</f>
        <v>0</v>
      </c>
      <c r="F819">
        <f>COUNTIF('Metrics - Articles'!H816,"*APJ")</f>
        <v>0</v>
      </c>
      <c r="G819">
        <f>COUNTIF('Metrics - Articles'!H816,"*LATAM*")</f>
        <v>0</v>
      </c>
      <c r="H819">
        <f>COUNTIF('Metrics - Articles'!H816,"*China*")</f>
        <v>0</v>
      </c>
      <c r="J819" s="53">
        <f t="shared" si="13"/>
        <v>0</v>
      </c>
    </row>
    <row r="820" spans="2:10" hidden="1" x14ac:dyDescent="0.25">
      <c r="B820" s="48">
        <f>+'Metrics - Articles'!C817</f>
        <v>0</v>
      </c>
      <c r="C820">
        <f>COUNTIF('Metrics - Articles'!H817,"*Global*")</f>
        <v>0</v>
      </c>
      <c r="D820">
        <f>COUNTIF('Metrics - Articles'!H817,"*EMEA*")</f>
        <v>0</v>
      </c>
      <c r="E820">
        <f>COUNTIF('Metrics - Articles'!H817,"*NA*")</f>
        <v>0</v>
      </c>
      <c r="F820">
        <f>COUNTIF('Metrics - Articles'!H817,"*APJ")</f>
        <v>0</v>
      </c>
      <c r="G820">
        <f>COUNTIF('Metrics - Articles'!H817,"*LATAM*")</f>
        <v>0</v>
      </c>
      <c r="H820">
        <f>COUNTIF('Metrics - Articles'!H817,"*China*")</f>
        <v>0</v>
      </c>
      <c r="J820" s="53">
        <f t="shared" si="13"/>
        <v>0</v>
      </c>
    </row>
    <row r="821" spans="2:10" hidden="1" x14ac:dyDescent="0.25">
      <c r="B821" s="48">
        <f>+'Metrics - Articles'!C818</f>
        <v>0</v>
      </c>
      <c r="C821">
        <f>COUNTIF('Metrics - Articles'!H818,"*Global*")</f>
        <v>0</v>
      </c>
      <c r="D821">
        <f>COUNTIF('Metrics - Articles'!H818,"*EMEA*")</f>
        <v>0</v>
      </c>
      <c r="E821">
        <f>COUNTIF('Metrics - Articles'!H818,"*NA*")</f>
        <v>0</v>
      </c>
      <c r="F821">
        <f>COUNTIF('Metrics - Articles'!H818,"*APJ")</f>
        <v>0</v>
      </c>
      <c r="G821">
        <f>COUNTIF('Metrics - Articles'!H818,"*LATAM*")</f>
        <v>0</v>
      </c>
      <c r="H821">
        <f>COUNTIF('Metrics - Articles'!H818,"*China*")</f>
        <v>0</v>
      </c>
      <c r="J821" s="53">
        <f t="shared" si="13"/>
        <v>0</v>
      </c>
    </row>
    <row r="822" spans="2:10" hidden="1" x14ac:dyDescent="0.25">
      <c r="B822" s="48">
        <f>+'Metrics - Articles'!C819</f>
        <v>0</v>
      </c>
      <c r="C822">
        <f>COUNTIF('Metrics - Articles'!H819,"*Global*")</f>
        <v>0</v>
      </c>
      <c r="D822">
        <f>COUNTIF('Metrics - Articles'!H819,"*EMEA*")</f>
        <v>0</v>
      </c>
      <c r="E822">
        <f>COUNTIF('Metrics - Articles'!H819,"*NA*")</f>
        <v>0</v>
      </c>
      <c r="F822">
        <f>COUNTIF('Metrics - Articles'!H819,"*APJ")</f>
        <v>0</v>
      </c>
      <c r="G822">
        <f>COUNTIF('Metrics - Articles'!H819,"*LATAM*")</f>
        <v>0</v>
      </c>
      <c r="H822">
        <f>COUNTIF('Metrics - Articles'!H819,"*China*")</f>
        <v>0</v>
      </c>
      <c r="J822" s="53">
        <f t="shared" si="13"/>
        <v>0</v>
      </c>
    </row>
    <row r="823" spans="2:10" hidden="1" x14ac:dyDescent="0.25">
      <c r="B823" s="48">
        <f>+'Metrics - Articles'!C820</f>
        <v>0</v>
      </c>
      <c r="C823">
        <f>COUNTIF('Metrics - Articles'!H820,"*Global*")</f>
        <v>0</v>
      </c>
      <c r="D823">
        <f>COUNTIF('Metrics - Articles'!H820,"*EMEA*")</f>
        <v>0</v>
      </c>
      <c r="E823">
        <f>COUNTIF('Metrics - Articles'!H820,"*NA*")</f>
        <v>0</v>
      </c>
      <c r="F823">
        <f>COUNTIF('Metrics - Articles'!H820,"*APJ")</f>
        <v>0</v>
      </c>
      <c r="G823">
        <f>COUNTIF('Metrics - Articles'!H820,"*LATAM*")</f>
        <v>0</v>
      </c>
      <c r="H823">
        <f>COUNTIF('Metrics - Articles'!H820,"*China*")</f>
        <v>0</v>
      </c>
      <c r="J823" s="53">
        <f t="shared" si="13"/>
        <v>0</v>
      </c>
    </row>
    <row r="824" spans="2:10" hidden="1" x14ac:dyDescent="0.25">
      <c r="B824" s="48">
        <f>+'Metrics - Articles'!C821</f>
        <v>0</v>
      </c>
      <c r="C824">
        <f>COUNTIF('Metrics - Articles'!H821,"*Global*")</f>
        <v>0</v>
      </c>
      <c r="D824">
        <f>COUNTIF('Metrics - Articles'!H821,"*EMEA*")</f>
        <v>0</v>
      </c>
      <c r="E824">
        <f>COUNTIF('Metrics - Articles'!H821,"*NA*")</f>
        <v>0</v>
      </c>
      <c r="F824">
        <f>COUNTIF('Metrics - Articles'!H821,"*APJ")</f>
        <v>0</v>
      </c>
      <c r="G824">
        <f>COUNTIF('Metrics - Articles'!H821,"*LATAM*")</f>
        <v>0</v>
      </c>
      <c r="H824">
        <f>COUNTIF('Metrics - Articles'!H821,"*China*")</f>
        <v>0</v>
      </c>
      <c r="J824" s="53">
        <f t="shared" si="13"/>
        <v>0</v>
      </c>
    </row>
    <row r="825" spans="2:10" hidden="1" x14ac:dyDescent="0.25">
      <c r="B825" s="48">
        <f>+'Metrics - Articles'!C822</f>
        <v>0</v>
      </c>
      <c r="C825">
        <f>COUNTIF('Metrics - Articles'!H822,"*Global*")</f>
        <v>0</v>
      </c>
      <c r="D825">
        <f>COUNTIF('Metrics - Articles'!H822,"*EMEA*")</f>
        <v>0</v>
      </c>
      <c r="E825">
        <f>COUNTIF('Metrics - Articles'!H822,"*NA*")</f>
        <v>0</v>
      </c>
      <c r="F825">
        <f>COUNTIF('Metrics - Articles'!H822,"*APJ")</f>
        <v>0</v>
      </c>
      <c r="G825">
        <f>COUNTIF('Metrics - Articles'!H822,"*LATAM*")</f>
        <v>0</v>
      </c>
      <c r="H825">
        <f>COUNTIF('Metrics - Articles'!H822,"*China*")</f>
        <v>0</v>
      </c>
      <c r="J825" s="53">
        <f t="shared" si="13"/>
        <v>0</v>
      </c>
    </row>
    <row r="826" spans="2:10" hidden="1" x14ac:dyDescent="0.25">
      <c r="B826" s="48">
        <f>+'Metrics - Articles'!C823</f>
        <v>0</v>
      </c>
      <c r="C826">
        <f>COUNTIF('Metrics - Articles'!H823,"*Global*")</f>
        <v>0</v>
      </c>
      <c r="D826">
        <f>COUNTIF('Metrics - Articles'!H823,"*EMEA*")</f>
        <v>0</v>
      </c>
      <c r="E826">
        <f>COUNTIF('Metrics - Articles'!H823,"*NA*")</f>
        <v>0</v>
      </c>
      <c r="F826">
        <f>COUNTIF('Metrics - Articles'!H823,"*APJ")</f>
        <v>0</v>
      </c>
      <c r="G826">
        <f>COUNTIF('Metrics - Articles'!H823,"*LATAM*")</f>
        <v>0</v>
      </c>
      <c r="H826">
        <f>COUNTIF('Metrics - Articles'!H823,"*China*")</f>
        <v>0</v>
      </c>
      <c r="J826" s="53">
        <f t="shared" si="13"/>
        <v>0</v>
      </c>
    </row>
    <row r="827" spans="2:10" hidden="1" x14ac:dyDescent="0.25">
      <c r="B827" s="48">
        <f>+'Metrics - Articles'!C824</f>
        <v>0</v>
      </c>
      <c r="C827">
        <f>COUNTIF('Metrics - Articles'!H824,"*Global*")</f>
        <v>0</v>
      </c>
      <c r="D827">
        <f>COUNTIF('Metrics - Articles'!H824,"*EMEA*")</f>
        <v>0</v>
      </c>
      <c r="E827">
        <f>COUNTIF('Metrics - Articles'!H824,"*NA*")</f>
        <v>0</v>
      </c>
      <c r="F827">
        <f>COUNTIF('Metrics - Articles'!H824,"*APJ")</f>
        <v>0</v>
      </c>
      <c r="G827">
        <f>COUNTIF('Metrics - Articles'!H824,"*LATAM*")</f>
        <v>0</v>
      </c>
      <c r="H827">
        <f>COUNTIF('Metrics - Articles'!H824,"*China*")</f>
        <v>0</v>
      </c>
      <c r="J827" s="53">
        <f t="shared" si="13"/>
        <v>0</v>
      </c>
    </row>
    <row r="828" spans="2:10" hidden="1" x14ac:dyDescent="0.25">
      <c r="B828" s="48">
        <f>+'Metrics - Articles'!C825</f>
        <v>0</v>
      </c>
      <c r="C828">
        <f>COUNTIF('Metrics - Articles'!H825,"*Global*")</f>
        <v>0</v>
      </c>
      <c r="D828">
        <f>COUNTIF('Metrics - Articles'!H825,"*EMEA*")</f>
        <v>0</v>
      </c>
      <c r="E828">
        <f>COUNTIF('Metrics - Articles'!H825,"*NA*")</f>
        <v>0</v>
      </c>
      <c r="F828">
        <f>COUNTIF('Metrics - Articles'!H825,"*APJ")</f>
        <v>0</v>
      </c>
      <c r="G828">
        <f>COUNTIF('Metrics - Articles'!H825,"*LATAM*")</f>
        <v>0</v>
      </c>
      <c r="H828">
        <f>COUNTIF('Metrics - Articles'!H825,"*China*")</f>
        <v>0</v>
      </c>
      <c r="J828" s="53">
        <f t="shared" si="13"/>
        <v>0</v>
      </c>
    </row>
    <row r="829" spans="2:10" hidden="1" x14ac:dyDescent="0.25">
      <c r="B829" s="48">
        <f>+'Metrics - Articles'!C826</f>
        <v>0</v>
      </c>
      <c r="C829">
        <f>COUNTIF('Metrics - Articles'!H826,"*Global*")</f>
        <v>0</v>
      </c>
      <c r="D829">
        <f>COUNTIF('Metrics - Articles'!H826,"*EMEA*")</f>
        <v>0</v>
      </c>
      <c r="E829">
        <f>COUNTIF('Metrics - Articles'!H826,"*NA*")</f>
        <v>0</v>
      </c>
      <c r="F829">
        <f>COUNTIF('Metrics - Articles'!H826,"*APJ")</f>
        <v>0</v>
      </c>
      <c r="G829">
        <f>COUNTIF('Metrics - Articles'!H826,"*LATAM*")</f>
        <v>0</v>
      </c>
      <c r="H829">
        <f>COUNTIF('Metrics - Articles'!H826,"*China*")</f>
        <v>0</v>
      </c>
      <c r="J829" s="53">
        <f t="shared" si="13"/>
        <v>0</v>
      </c>
    </row>
    <row r="830" spans="2:10" hidden="1" x14ac:dyDescent="0.25">
      <c r="B830" s="48">
        <f>+'Metrics - Articles'!C827</f>
        <v>0</v>
      </c>
      <c r="C830">
        <f>COUNTIF('Metrics - Articles'!H827,"*Global*")</f>
        <v>0</v>
      </c>
      <c r="D830">
        <f>COUNTIF('Metrics - Articles'!H827,"*EMEA*")</f>
        <v>0</v>
      </c>
      <c r="E830">
        <f>COUNTIF('Metrics - Articles'!H827,"*NA*")</f>
        <v>0</v>
      </c>
      <c r="F830">
        <f>COUNTIF('Metrics - Articles'!H827,"*APJ")</f>
        <v>0</v>
      </c>
      <c r="G830">
        <f>COUNTIF('Metrics - Articles'!H827,"*LATAM*")</f>
        <v>0</v>
      </c>
      <c r="H830">
        <f>COUNTIF('Metrics - Articles'!H827,"*China*")</f>
        <v>0</v>
      </c>
      <c r="J830" s="53">
        <f t="shared" si="13"/>
        <v>0</v>
      </c>
    </row>
    <row r="831" spans="2:10" hidden="1" x14ac:dyDescent="0.25">
      <c r="B831" s="48">
        <f>+'Metrics - Articles'!C828</f>
        <v>0</v>
      </c>
      <c r="C831">
        <f>COUNTIF('Metrics - Articles'!H828,"*Global*")</f>
        <v>0</v>
      </c>
      <c r="D831">
        <f>COUNTIF('Metrics - Articles'!H828,"*EMEA*")</f>
        <v>0</v>
      </c>
      <c r="E831">
        <f>COUNTIF('Metrics - Articles'!H828,"*NA*")</f>
        <v>0</v>
      </c>
      <c r="F831">
        <f>COUNTIF('Metrics - Articles'!H828,"*APJ")</f>
        <v>0</v>
      </c>
      <c r="G831">
        <f>COUNTIF('Metrics - Articles'!H828,"*LATAM*")</f>
        <v>0</v>
      </c>
      <c r="H831">
        <f>COUNTIF('Metrics - Articles'!H828,"*China*")</f>
        <v>0</v>
      </c>
      <c r="J831" s="53">
        <f t="shared" si="13"/>
        <v>0</v>
      </c>
    </row>
    <row r="832" spans="2:10" hidden="1" x14ac:dyDescent="0.25">
      <c r="B832" s="48">
        <f>+'Metrics - Articles'!C829</f>
        <v>0</v>
      </c>
      <c r="C832">
        <f>COUNTIF('Metrics - Articles'!H829,"*Global*")</f>
        <v>0</v>
      </c>
      <c r="D832">
        <f>COUNTIF('Metrics - Articles'!H829,"*EMEA*")</f>
        <v>0</v>
      </c>
      <c r="E832">
        <f>COUNTIF('Metrics - Articles'!H829,"*NA*")</f>
        <v>0</v>
      </c>
      <c r="F832">
        <f>COUNTIF('Metrics - Articles'!H829,"*APJ")</f>
        <v>0</v>
      </c>
      <c r="G832">
        <f>COUNTIF('Metrics - Articles'!H829,"*LATAM*")</f>
        <v>0</v>
      </c>
      <c r="H832">
        <f>COUNTIF('Metrics - Articles'!H829,"*China*")</f>
        <v>0</v>
      </c>
      <c r="J832" s="53">
        <f t="shared" si="13"/>
        <v>0</v>
      </c>
    </row>
    <row r="833" spans="2:10" hidden="1" x14ac:dyDescent="0.25">
      <c r="B833" s="48">
        <f>+'Metrics - Articles'!C830</f>
        <v>0</v>
      </c>
      <c r="C833">
        <f>COUNTIF('Metrics - Articles'!H830,"*Global*")</f>
        <v>0</v>
      </c>
      <c r="D833">
        <f>COUNTIF('Metrics - Articles'!H830,"*EMEA*")</f>
        <v>0</v>
      </c>
      <c r="E833">
        <f>COUNTIF('Metrics - Articles'!H830,"*NA*")</f>
        <v>0</v>
      </c>
      <c r="F833">
        <f>COUNTIF('Metrics - Articles'!H830,"*APJ")</f>
        <v>0</v>
      </c>
      <c r="G833">
        <f>COUNTIF('Metrics - Articles'!H830,"*LATAM*")</f>
        <v>0</v>
      </c>
      <c r="H833">
        <f>COUNTIF('Metrics - Articles'!H830,"*China*")</f>
        <v>0</v>
      </c>
      <c r="J833" s="53">
        <f t="shared" si="13"/>
        <v>0</v>
      </c>
    </row>
    <row r="834" spans="2:10" hidden="1" x14ac:dyDescent="0.25">
      <c r="B834" s="48">
        <f>+'Metrics - Articles'!C831</f>
        <v>0</v>
      </c>
      <c r="C834">
        <f>COUNTIF('Metrics - Articles'!H831,"*Global*")</f>
        <v>0</v>
      </c>
      <c r="D834">
        <f>COUNTIF('Metrics - Articles'!H831,"*EMEA*")</f>
        <v>0</v>
      </c>
      <c r="E834">
        <f>COUNTIF('Metrics - Articles'!H831,"*NA*")</f>
        <v>0</v>
      </c>
      <c r="F834">
        <f>COUNTIF('Metrics - Articles'!H831,"*APJ")</f>
        <v>0</v>
      </c>
      <c r="G834">
        <f>COUNTIF('Metrics - Articles'!H831,"*LATAM*")</f>
        <v>0</v>
      </c>
      <c r="H834">
        <f>COUNTIF('Metrics - Articles'!H831,"*China*")</f>
        <v>0</v>
      </c>
      <c r="J834" s="53">
        <f t="shared" si="13"/>
        <v>0</v>
      </c>
    </row>
    <row r="835" spans="2:10" hidden="1" x14ac:dyDescent="0.25">
      <c r="B835" s="48">
        <f>+'Metrics - Articles'!C832</f>
        <v>0</v>
      </c>
      <c r="C835">
        <f>COUNTIF('Metrics - Articles'!H832,"*Global*")</f>
        <v>0</v>
      </c>
      <c r="D835">
        <f>COUNTIF('Metrics - Articles'!H832,"*EMEA*")</f>
        <v>0</v>
      </c>
      <c r="E835">
        <f>COUNTIF('Metrics - Articles'!H832,"*NA*")</f>
        <v>0</v>
      </c>
      <c r="F835">
        <f>COUNTIF('Metrics - Articles'!H832,"*APJ")</f>
        <v>0</v>
      </c>
      <c r="G835">
        <f>COUNTIF('Metrics - Articles'!H832,"*LATAM*")</f>
        <v>0</v>
      </c>
      <c r="H835">
        <f>COUNTIF('Metrics - Articles'!H832,"*China*")</f>
        <v>0</v>
      </c>
      <c r="J835" s="53">
        <f t="shared" si="13"/>
        <v>0</v>
      </c>
    </row>
    <row r="836" spans="2:10" hidden="1" x14ac:dyDescent="0.25">
      <c r="B836" s="48">
        <f>+'Metrics - Articles'!C833</f>
        <v>0</v>
      </c>
      <c r="C836">
        <f>COUNTIF('Metrics - Articles'!H833,"*Global*")</f>
        <v>0</v>
      </c>
      <c r="D836">
        <f>COUNTIF('Metrics - Articles'!H833,"*EMEA*")</f>
        <v>0</v>
      </c>
      <c r="E836">
        <f>COUNTIF('Metrics - Articles'!H833,"*NA*")</f>
        <v>0</v>
      </c>
      <c r="F836">
        <f>COUNTIF('Metrics - Articles'!H833,"*APJ")</f>
        <v>0</v>
      </c>
      <c r="G836">
        <f>COUNTIF('Metrics - Articles'!H833,"*LATAM*")</f>
        <v>0</v>
      </c>
      <c r="H836">
        <f>COUNTIF('Metrics - Articles'!H833,"*China*")</f>
        <v>0</v>
      </c>
      <c r="J836" s="53">
        <f t="shared" si="13"/>
        <v>0</v>
      </c>
    </row>
    <row r="837" spans="2:10" hidden="1" x14ac:dyDescent="0.25">
      <c r="B837" s="48">
        <f>+'Metrics - Articles'!C834</f>
        <v>0</v>
      </c>
      <c r="C837">
        <f>COUNTIF('Metrics - Articles'!H834,"*Global*")</f>
        <v>0</v>
      </c>
      <c r="D837">
        <f>COUNTIF('Metrics - Articles'!H834,"*EMEA*")</f>
        <v>0</v>
      </c>
      <c r="E837">
        <f>COUNTIF('Metrics - Articles'!H834,"*NA*")</f>
        <v>0</v>
      </c>
      <c r="F837">
        <f>COUNTIF('Metrics - Articles'!H834,"*APJ")</f>
        <v>0</v>
      </c>
      <c r="G837">
        <f>COUNTIF('Metrics - Articles'!H834,"*LATAM*")</f>
        <v>0</v>
      </c>
      <c r="H837">
        <f>COUNTIF('Metrics - Articles'!H834,"*China*")</f>
        <v>0</v>
      </c>
      <c r="J837" s="53">
        <f t="shared" si="13"/>
        <v>0</v>
      </c>
    </row>
    <row r="838" spans="2:10" hidden="1" x14ac:dyDescent="0.25">
      <c r="B838" s="48">
        <f>+'Metrics - Articles'!C835</f>
        <v>0</v>
      </c>
      <c r="C838">
        <f>COUNTIF('Metrics - Articles'!H835,"*Global*")</f>
        <v>0</v>
      </c>
      <c r="D838">
        <f>COUNTIF('Metrics - Articles'!H835,"*EMEA*")</f>
        <v>0</v>
      </c>
      <c r="E838">
        <f>COUNTIF('Metrics - Articles'!H835,"*NA*")</f>
        <v>0</v>
      </c>
      <c r="F838">
        <f>COUNTIF('Metrics - Articles'!H835,"*APJ")</f>
        <v>0</v>
      </c>
      <c r="G838">
        <f>COUNTIF('Metrics - Articles'!H835,"*LATAM*")</f>
        <v>0</v>
      </c>
      <c r="H838">
        <f>COUNTIF('Metrics - Articles'!H835,"*China*")</f>
        <v>0</v>
      </c>
      <c r="J838" s="53">
        <f t="shared" si="13"/>
        <v>0</v>
      </c>
    </row>
    <row r="839" spans="2:10" hidden="1" x14ac:dyDescent="0.25">
      <c r="B839" s="48">
        <f>+'Metrics - Articles'!C836</f>
        <v>0</v>
      </c>
      <c r="C839">
        <f>COUNTIF('Metrics - Articles'!H836,"*Global*")</f>
        <v>0</v>
      </c>
      <c r="D839">
        <f>COUNTIF('Metrics - Articles'!H836,"*EMEA*")</f>
        <v>0</v>
      </c>
      <c r="E839">
        <f>COUNTIF('Metrics - Articles'!H836,"*NA*")</f>
        <v>0</v>
      </c>
      <c r="F839">
        <f>COUNTIF('Metrics - Articles'!H836,"*APJ")</f>
        <v>0</v>
      </c>
      <c r="G839">
        <f>COUNTIF('Metrics - Articles'!H836,"*LATAM*")</f>
        <v>0</v>
      </c>
      <c r="H839">
        <f>COUNTIF('Metrics - Articles'!H836,"*China*")</f>
        <v>0</v>
      </c>
      <c r="J839" s="53">
        <f t="shared" si="13"/>
        <v>0</v>
      </c>
    </row>
    <row r="840" spans="2:10" hidden="1" x14ac:dyDescent="0.25">
      <c r="B840" s="48">
        <f>+'Metrics - Articles'!C837</f>
        <v>0</v>
      </c>
      <c r="C840">
        <f>COUNTIF('Metrics - Articles'!H837,"*Global*")</f>
        <v>0</v>
      </c>
      <c r="D840">
        <f>COUNTIF('Metrics - Articles'!H837,"*EMEA*")</f>
        <v>0</v>
      </c>
      <c r="E840">
        <f>COUNTIF('Metrics - Articles'!H837,"*NA*")</f>
        <v>0</v>
      </c>
      <c r="F840">
        <f>COUNTIF('Metrics - Articles'!H837,"*APJ")</f>
        <v>0</v>
      </c>
      <c r="G840">
        <f>COUNTIF('Metrics - Articles'!H837,"*LATAM*")</f>
        <v>0</v>
      </c>
      <c r="H840">
        <f>COUNTIF('Metrics - Articles'!H837,"*China*")</f>
        <v>0</v>
      </c>
      <c r="J840" s="53">
        <f t="shared" si="13"/>
        <v>0</v>
      </c>
    </row>
    <row r="841" spans="2:10" hidden="1" x14ac:dyDescent="0.25">
      <c r="B841" s="48">
        <f>+'Metrics - Articles'!C838</f>
        <v>0</v>
      </c>
      <c r="C841">
        <f>COUNTIF('Metrics - Articles'!H838,"*Global*")</f>
        <v>0</v>
      </c>
      <c r="D841">
        <f>COUNTIF('Metrics - Articles'!H838,"*EMEA*")</f>
        <v>0</v>
      </c>
      <c r="E841">
        <f>COUNTIF('Metrics - Articles'!H838,"*NA*")</f>
        <v>0</v>
      </c>
      <c r="F841">
        <f>COUNTIF('Metrics - Articles'!H838,"*APJ")</f>
        <v>0</v>
      </c>
      <c r="G841">
        <f>COUNTIF('Metrics - Articles'!H838,"*LATAM*")</f>
        <v>0</v>
      </c>
      <c r="H841">
        <f>COUNTIF('Metrics - Articles'!H838,"*China*")</f>
        <v>0</v>
      </c>
      <c r="J841" s="53">
        <f t="shared" si="13"/>
        <v>0</v>
      </c>
    </row>
    <row r="842" spans="2:10" hidden="1" x14ac:dyDescent="0.25">
      <c r="B842" s="48">
        <f>+'Metrics - Articles'!C839</f>
        <v>0</v>
      </c>
      <c r="C842">
        <f>COUNTIF('Metrics - Articles'!H839,"*Global*")</f>
        <v>0</v>
      </c>
      <c r="D842">
        <f>COUNTIF('Metrics - Articles'!H839,"*EMEA*")</f>
        <v>0</v>
      </c>
      <c r="E842">
        <f>COUNTIF('Metrics - Articles'!H839,"*NA*")</f>
        <v>0</v>
      </c>
      <c r="F842">
        <f>COUNTIF('Metrics - Articles'!H839,"*APJ")</f>
        <v>0</v>
      </c>
      <c r="G842">
        <f>COUNTIF('Metrics - Articles'!H839,"*LATAM*")</f>
        <v>0</v>
      </c>
      <c r="H842">
        <f>COUNTIF('Metrics - Articles'!H839,"*China*")</f>
        <v>0</v>
      </c>
      <c r="J842" s="53">
        <f t="shared" ref="J842:J905" si="14">SUM(C842:I842)</f>
        <v>0</v>
      </c>
    </row>
    <row r="843" spans="2:10" hidden="1" x14ac:dyDescent="0.25">
      <c r="B843" s="48">
        <f>+'Metrics - Articles'!C840</f>
        <v>0</v>
      </c>
      <c r="C843">
        <f>COUNTIF('Metrics - Articles'!H840,"*Global*")</f>
        <v>0</v>
      </c>
      <c r="D843">
        <f>COUNTIF('Metrics - Articles'!H840,"*EMEA*")</f>
        <v>0</v>
      </c>
      <c r="E843">
        <f>COUNTIF('Metrics - Articles'!H840,"*NA*")</f>
        <v>0</v>
      </c>
      <c r="F843">
        <f>COUNTIF('Metrics - Articles'!H840,"*APJ")</f>
        <v>0</v>
      </c>
      <c r="G843">
        <f>COUNTIF('Metrics - Articles'!H840,"*LATAM*")</f>
        <v>0</v>
      </c>
      <c r="H843">
        <f>COUNTIF('Metrics - Articles'!H840,"*China*")</f>
        <v>0</v>
      </c>
      <c r="J843" s="53">
        <f t="shared" si="14"/>
        <v>0</v>
      </c>
    </row>
    <row r="844" spans="2:10" hidden="1" x14ac:dyDescent="0.25">
      <c r="B844" s="48">
        <f>+'Metrics - Articles'!C841</f>
        <v>0</v>
      </c>
      <c r="C844">
        <f>COUNTIF('Metrics - Articles'!H841,"*Global*")</f>
        <v>0</v>
      </c>
      <c r="D844">
        <f>COUNTIF('Metrics - Articles'!H841,"*EMEA*")</f>
        <v>0</v>
      </c>
      <c r="E844">
        <f>COUNTIF('Metrics - Articles'!H841,"*NA*")</f>
        <v>0</v>
      </c>
      <c r="F844">
        <f>COUNTIF('Metrics - Articles'!H841,"*APJ")</f>
        <v>0</v>
      </c>
      <c r="G844">
        <f>COUNTIF('Metrics - Articles'!H841,"*LATAM*")</f>
        <v>0</v>
      </c>
      <c r="H844">
        <f>COUNTIF('Metrics - Articles'!H841,"*China*")</f>
        <v>0</v>
      </c>
      <c r="J844" s="53">
        <f t="shared" si="14"/>
        <v>0</v>
      </c>
    </row>
    <row r="845" spans="2:10" hidden="1" x14ac:dyDescent="0.25">
      <c r="B845" s="48">
        <f>+'Metrics - Articles'!C842</f>
        <v>0</v>
      </c>
      <c r="C845">
        <f>COUNTIF('Metrics - Articles'!H842,"*Global*")</f>
        <v>0</v>
      </c>
      <c r="D845">
        <f>COUNTIF('Metrics - Articles'!H842,"*EMEA*")</f>
        <v>0</v>
      </c>
      <c r="E845">
        <f>COUNTIF('Metrics - Articles'!H842,"*NA*")</f>
        <v>0</v>
      </c>
      <c r="F845">
        <f>COUNTIF('Metrics - Articles'!H842,"*APJ")</f>
        <v>0</v>
      </c>
      <c r="G845">
        <f>COUNTIF('Metrics - Articles'!H842,"*LATAM*")</f>
        <v>0</v>
      </c>
      <c r="H845">
        <f>COUNTIF('Metrics - Articles'!H842,"*China*")</f>
        <v>0</v>
      </c>
      <c r="J845" s="53">
        <f t="shared" si="14"/>
        <v>0</v>
      </c>
    </row>
    <row r="846" spans="2:10" hidden="1" x14ac:dyDescent="0.25">
      <c r="B846" s="48">
        <f>+'Metrics - Articles'!C843</f>
        <v>0</v>
      </c>
      <c r="C846">
        <f>COUNTIF('Metrics - Articles'!H843,"*Global*")</f>
        <v>0</v>
      </c>
      <c r="D846">
        <f>COUNTIF('Metrics - Articles'!H843,"*EMEA*")</f>
        <v>0</v>
      </c>
      <c r="E846">
        <f>COUNTIF('Metrics - Articles'!H843,"*NA*")</f>
        <v>0</v>
      </c>
      <c r="F846">
        <f>COUNTIF('Metrics - Articles'!H843,"*APJ")</f>
        <v>0</v>
      </c>
      <c r="G846">
        <f>COUNTIF('Metrics - Articles'!H843,"*LATAM*")</f>
        <v>0</v>
      </c>
      <c r="H846">
        <f>COUNTIF('Metrics - Articles'!H843,"*China*")</f>
        <v>0</v>
      </c>
      <c r="J846" s="53">
        <f t="shared" si="14"/>
        <v>0</v>
      </c>
    </row>
    <row r="847" spans="2:10" hidden="1" x14ac:dyDescent="0.25">
      <c r="B847" s="48">
        <f>+'Metrics - Articles'!C844</f>
        <v>0</v>
      </c>
      <c r="C847">
        <f>COUNTIF('Metrics - Articles'!H844,"*Global*")</f>
        <v>0</v>
      </c>
      <c r="D847">
        <f>COUNTIF('Metrics - Articles'!H844,"*EMEA*")</f>
        <v>0</v>
      </c>
      <c r="E847">
        <f>COUNTIF('Metrics - Articles'!H844,"*NA*")</f>
        <v>0</v>
      </c>
      <c r="F847">
        <f>COUNTIF('Metrics - Articles'!H844,"*APJ")</f>
        <v>0</v>
      </c>
      <c r="G847">
        <f>COUNTIF('Metrics - Articles'!H844,"*LATAM*")</f>
        <v>0</v>
      </c>
      <c r="H847">
        <f>COUNTIF('Metrics - Articles'!H844,"*China*")</f>
        <v>0</v>
      </c>
      <c r="J847" s="53">
        <f t="shared" si="14"/>
        <v>0</v>
      </c>
    </row>
    <row r="848" spans="2:10" hidden="1" x14ac:dyDescent="0.25">
      <c r="B848" s="48">
        <f>+'Metrics - Articles'!C845</f>
        <v>0</v>
      </c>
      <c r="C848">
        <f>COUNTIF('Metrics - Articles'!H845,"*Global*")</f>
        <v>0</v>
      </c>
      <c r="D848">
        <f>COUNTIF('Metrics - Articles'!H845,"*EMEA*")</f>
        <v>0</v>
      </c>
      <c r="E848">
        <f>COUNTIF('Metrics - Articles'!H845,"*NA*")</f>
        <v>0</v>
      </c>
      <c r="F848">
        <f>COUNTIF('Metrics - Articles'!H845,"*APJ")</f>
        <v>0</v>
      </c>
      <c r="G848">
        <f>COUNTIF('Metrics - Articles'!H845,"*LATAM*")</f>
        <v>0</v>
      </c>
      <c r="H848">
        <f>COUNTIF('Metrics - Articles'!H845,"*China*")</f>
        <v>0</v>
      </c>
      <c r="J848" s="53">
        <f t="shared" si="14"/>
        <v>0</v>
      </c>
    </row>
    <row r="849" spans="2:10" hidden="1" x14ac:dyDescent="0.25">
      <c r="B849" s="48">
        <f>+'Metrics - Articles'!C846</f>
        <v>0</v>
      </c>
      <c r="C849">
        <f>COUNTIF('Metrics - Articles'!H846,"*Global*")</f>
        <v>0</v>
      </c>
      <c r="D849">
        <f>COUNTIF('Metrics - Articles'!H846,"*EMEA*")</f>
        <v>0</v>
      </c>
      <c r="E849">
        <f>COUNTIF('Metrics - Articles'!H846,"*NA*")</f>
        <v>0</v>
      </c>
      <c r="F849">
        <f>COUNTIF('Metrics - Articles'!H846,"*APJ")</f>
        <v>0</v>
      </c>
      <c r="G849">
        <f>COUNTIF('Metrics - Articles'!H846,"*LATAM*")</f>
        <v>0</v>
      </c>
      <c r="H849">
        <f>COUNTIF('Metrics - Articles'!H846,"*China*")</f>
        <v>0</v>
      </c>
      <c r="J849" s="53">
        <f t="shared" si="14"/>
        <v>0</v>
      </c>
    </row>
    <row r="850" spans="2:10" hidden="1" x14ac:dyDescent="0.25">
      <c r="B850" s="48">
        <f>+'Metrics - Articles'!C847</f>
        <v>0</v>
      </c>
      <c r="C850">
        <f>COUNTIF('Metrics - Articles'!H847,"*Global*")</f>
        <v>0</v>
      </c>
      <c r="D850">
        <f>COUNTIF('Metrics - Articles'!H847,"*EMEA*")</f>
        <v>0</v>
      </c>
      <c r="E850">
        <f>COUNTIF('Metrics - Articles'!H847,"*NA*")</f>
        <v>0</v>
      </c>
      <c r="F850">
        <f>COUNTIF('Metrics - Articles'!H847,"*APJ")</f>
        <v>0</v>
      </c>
      <c r="G850">
        <f>COUNTIF('Metrics - Articles'!H847,"*LATAM*")</f>
        <v>0</v>
      </c>
      <c r="H850">
        <f>COUNTIF('Metrics - Articles'!H847,"*China*")</f>
        <v>0</v>
      </c>
      <c r="J850" s="53">
        <f t="shared" si="14"/>
        <v>0</v>
      </c>
    </row>
    <row r="851" spans="2:10" hidden="1" x14ac:dyDescent="0.25">
      <c r="B851" s="48">
        <f>+'Metrics - Articles'!C848</f>
        <v>0</v>
      </c>
      <c r="C851">
        <f>COUNTIF('Metrics - Articles'!H848,"*Global*")</f>
        <v>0</v>
      </c>
      <c r="D851">
        <f>COUNTIF('Metrics - Articles'!H848,"*EMEA*")</f>
        <v>0</v>
      </c>
      <c r="E851">
        <f>COUNTIF('Metrics - Articles'!H848,"*NA*")</f>
        <v>0</v>
      </c>
      <c r="F851">
        <f>COUNTIF('Metrics - Articles'!H848,"*APJ")</f>
        <v>0</v>
      </c>
      <c r="G851">
        <f>COUNTIF('Metrics - Articles'!H848,"*LATAM*")</f>
        <v>0</v>
      </c>
      <c r="H851">
        <f>COUNTIF('Metrics - Articles'!H848,"*China*")</f>
        <v>0</v>
      </c>
      <c r="J851" s="53">
        <f t="shared" si="14"/>
        <v>0</v>
      </c>
    </row>
    <row r="852" spans="2:10" hidden="1" x14ac:dyDescent="0.25">
      <c r="B852" s="48">
        <f>+'Metrics - Articles'!C849</f>
        <v>0</v>
      </c>
      <c r="C852">
        <f>COUNTIF('Metrics - Articles'!H849,"*Global*")</f>
        <v>0</v>
      </c>
      <c r="D852">
        <f>COUNTIF('Metrics - Articles'!H849,"*EMEA*")</f>
        <v>0</v>
      </c>
      <c r="E852">
        <f>COUNTIF('Metrics - Articles'!H849,"*NA*")</f>
        <v>0</v>
      </c>
      <c r="F852">
        <f>COUNTIF('Metrics - Articles'!H849,"*APJ")</f>
        <v>0</v>
      </c>
      <c r="G852">
        <f>COUNTIF('Metrics - Articles'!H849,"*LATAM*")</f>
        <v>0</v>
      </c>
      <c r="H852">
        <f>COUNTIF('Metrics - Articles'!H849,"*China*")</f>
        <v>0</v>
      </c>
      <c r="J852" s="53">
        <f t="shared" si="14"/>
        <v>0</v>
      </c>
    </row>
    <row r="853" spans="2:10" hidden="1" x14ac:dyDescent="0.25">
      <c r="B853" s="48">
        <f>+'Metrics - Articles'!C850</f>
        <v>0</v>
      </c>
      <c r="C853">
        <f>COUNTIF('Metrics - Articles'!H850,"*Global*")</f>
        <v>0</v>
      </c>
      <c r="D853">
        <f>COUNTIF('Metrics - Articles'!H850,"*EMEA*")</f>
        <v>0</v>
      </c>
      <c r="E853">
        <f>COUNTIF('Metrics - Articles'!H850,"*NA*")</f>
        <v>0</v>
      </c>
      <c r="F853">
        <f>COUNTIF('Metrics - Articles'!H850,"*APJ")</f>
        <v>0</v>
      </c>
      <c r="G853">
        <f>COUNTIF('Metrics - Articles'!H850,"*LATAM*")</f>
        <v>0</v>
      </c>
      <c r="H853">
        <f>COUNTIF('Metrics - Articles'!H850,"*China*")</f>
        <v>0</v>
      </c>
      <c r="J853" s="53">
        <f t="shared" si="14"/>
        <v>0</v>
      </c>
    </row>
    <row r="854" spans="2:10" hidden="1" x14ac:dyDescent="0.25">
      <c r="B854" s="48">
        <f>+'Metrics - Articles'!C851</f>
        <v>0</v>
      </c>
      <c r="C854">
        <f>COUNTIF('Metrics - Articles'!H851,"*Global*")</f>
        <v>0</v>
      </c>
      <c r="D854">
        <f>COUNTIF('Metrics - Articles'!H851,"*EMEA*")</f>
        <v>0</v>
      </c>
      <c r="E854">
        <f>COUNTIF('Metrics - Articles'!H851,"*NA*")</f>
        <v>0</v>
      </c>
      <c r="F854">
        <f>COUNTIF('Metrics - Articles'!H851,"*APJ")</f>
        <v>0</v>
      </c>
      <c r="G854">
        <f>COUNTIF('Metrics - Articles'!H851,"*LATAM*")</f>
        <v>0</v>
      </c>
      <c r="H854">
        <f>COUNTIF('Metrics - Articles'!H851,"*China*")</f>
        <v>0</v>
      </c>
      <c r="J854" s="53">
        <f t="shared" si="14"/>
        <v>0</v>
      </c>
    </row>
    <row r="855" spans="2:10" hidden="1" x14ac:dyDescent="0.25">
      <c r="B855" s="48">
        <f>+'Metrics - Articles'!C852</f>
        <v>0</v>
      </c>
      <c r="C855">
        <f>COUNTIF('Metrics - Articles'!H852,"*Global*")</f>
        <v>0</v>
      </c>
      <c r="D855">
        <f>COUNTIF('Metrics - Articles'!H852,"*EMEA*")</f>
        <v>0</v>
      </c>
      <c r="E855">
        <f>COUNTIF('Metrics - Articles'!H852,"*NA*")</f>
        <v>0</v>
      </c>
      <c r="F855">
        <f>COUNTIF('Metrics - Articles'!H852,"*APJ")</f>
        <v>0</v>
      </c>
      <c r="G855">
        <f>COUNTIF('Metrics - Articles'!H852,"*LATAM*")</f>
        <v>0</v>
      </c>
      <c r="H855">
        <f>COUNTIF('Metrics - Articles'!H852,"*China*")</f>
        <v>0</v>
      </c>
      <c r="J855" s="53">
        <f t="shared" si="14"/>
        <v>0</v>
      </c>
    </row>
    <row r="856" spans="2:10" hidden="1" x14ac:dyDescent="0.25">
      <c r="B856" s="48">
        <f>+'Metrics - Articles'!C853</f>
        <v>0</v>
      </c>
      <c r="C856">
        <f>COUNTIF('Metrics - Articles'!H853,"*Global*")</f>
        <v>0</v>
      </c>
      <c r="D856">
        <f>COUNTIF('Metrics - Articles'!H853,"*EMEA*")</f>
        <v>0</v>
      </c>
      <c r="E856">
        <f>COUNTIF('Metrics - Articles'!H853,"*NA*")</f>
        <v>0</v>
      </c>
      <c r="F856">
        <f>COUNTIF('Metrics - Articles'!H853,"*APJ")</f>
        <v>0</v>
      </c>
      <c r="G856">
        <f>COUNTIF('Metrics - Articles'!H853,"*LATAM*")</f>
        <v>0</v>
      </c>
      <c r="H856">
        <f>COUNTIF('Metrics - Articles'!H853,"*China*")</f>
        <v>0</v>
      </c>
      <c r="J856" s="53">
        <f t="shared" si="14"/>
        <v>0</v>
      </c>
    </row>
    <row r="857" spans="2:10" hidden="1" x14ac:dyDescent="0.25">
      <c r="B857" s="48">
        <f>+'Metrics - Articles'!C854</f>
        <v>0</v>
      </c>
      <c r="C857">
        <f>COUNTIF('Metrics - Articles'!H854,"*Global*")</f>
        <v>0</v>
      </c>
      <c r="D857">
        <f>COUNTIF('Metrics - Articles'!H854,"*EMEA*")</f>
        <v>0</v>
      </c>
      <c r="E857">
        <f>COUNTIF('Metrics - Articles'!H854,"*NA*")</f>
        <v>0</v>
      </c>
      <c r="F857">
        <f>COUNTIF('Metrics - Articles'!H854,"*APJ")</f>
        <v>0</v>
      </c>
      <c r="G857">
        <f>COUNTIF('Metrics - Articles'!H854,"*LATAM*")</f>
        <v>0</v>
      </c>
      <c r="H857">
        <f>COUNTIF('Metrics - Articles'!H854,"*China*")</f>
        <v>0</v>
      </c>
      <c r="J857" s="53">
        <f t="shared" si="14"/>
        <v>0</v>
      </c>
    </row>
    <row r="858" spans="2:10" hidden="1" x14ac:dyDescent="0.25">
      <c r="B858" s="48">
        <f>+'Metrics - Articles'!C855</f>
        <v>0</v>
      </c>
      <c r="C858">
        <f>COUNTIF('Metrics - Articles'!H855,"*Global*")</f>
        <v>0</v>
      </c>
      <c r="D858">
        <f>COUNTIF('Metrics - Articles'!H855,"*EMEA*")</f>
        <v>0</v>
      </c>
      <c r="E858">
        <f>COUNTIF('Metrics - Articles'!H855,"*NA*")</f>
        <v>0</v>
      </c>
      <c r="F858">
        <f>COUNTIF('Metrics - Articles'!H855,"*APJ")</f>
        <v>0</v>
      </c>
      <c r="G858">
        <f>COUNTIF('Metrics - Articles'!H855,"*LATAM*")</f>
        <v>0</v>
      </c>
      <c r="H858">
        <f>COUNTIF('Metrics - Articles'!H855,"*China*")</f>
        <v>0</v>
      </c>
      <c r="J858" s="53">
        <f t="shared" si="14"/>
        <v>0</v>
      </c>
    </row>
    <row r="859" spans="2:10" hidden="1" x14ac:dyDescent="0.25">
      <c r="B859" s="48">
        <f>+'Metrics - Articles'!C856</f>
        <v>0</v>
      </c>
      <c r="C859">
        <f>COUNTIF('Metrics - Articles'!H856,"*Global*")</f>
        <v>0</v>
      </c>
      <c r="D859">
        <f>COUNTIF('Metrics - Articles'!H856,"*EMEA*")</f>
        <v>0</v>
      </c>
      <c r="E859">
        <f>COUNTIF('Metrics - Articles'!H856,"*NA*")</f>
        <v>0</v>
      </c>
      <c r="F859">
        <f>COUNTIF('Metrics - Articles'!H856,"*APJ")</f>
        <v>0</v>
      </c>
      <c r="G859">
        <f>COUNTIF('Metrics - Articles'!H856,"*LATAM*")</f>
        <v>0</v>
      </c>
      <c r="H859">
        <f>COUNTIF('Metrics - Articles'!H856,"*China*")</f>
        <v>0</v>
      </c>
      <c r="J859" s="53">
        <f t="shared" si="14"/>
        <v>0</v>
      </c>
    </row>
    <row r="860" spans="2:10" hidden="1" x14ac:dyDescent="0.25">
      <c r="B860" s="48">
        <f>+'Metrics - Articles'!C857</f>
        <v>0</v>
      </c>
      <c r="C860">
        <f>COUNTIF('Metrics - Articles'!H857,"*Global*")</f>
        <v>0</v>
      </c>
      <c r="D860">
        <f>COUNTIF('Metrics - Articles'!H857,"*EMEA*")</f>
        <v>0</v>
      </c>
      <c r="E860">
        <f>COUNTIF('Metrics - Articles'!H857,"*NA*")</f>
        <v>0</v>
      </c>
      <c r="F860">
        <f>COUNTIF('Metrics - Articles'!H857,"*APJ")</f>
        <v>0</v>
      </c>
      <c r="G860">
        <f>COUNTIF('Metrics - Articles'!H857,"*LATAM*")</f>
        <v>0</v>
      </c>
      <c r="H860">
        <f>COUNTIF('Metrics - Articles'!H857,"*China*")</f>
        <v>0</v>
      </c>
      <c r="J860" s="53">
        <f t="shared" si="14"/>
        <v>0</v>
      </c>
    </row>
    <row r="861" spans="2:10" hidden="1" x14ac:dyDescent="0.25">
      <c r="B861" s="48">
        <f>+'Metrics - Articles'!C858</f>
        <v>0</v>
      </c>
      <c r="C861">
        <f>COUNTIF('Metrics - Articles'!H858,"*Global*")</f>
        <v>0</v>
      </c>
      <c r="D861">
        <f>COUNTIF('Metrics - Articles'!H858,"*EMEA*")</f>
        <v>0</v>
      </c>
      <c r="E861">
        <f>COUNTIF('Metrics - Articles'!H858,"*NA*")</f>
        <v>0</v>
      </c>
      <c r="F861">
        <f>COUNTIF('Metrics - Articles'!H858,"*APJ")</f>
        <v>0</v>
      </c>
      <c r="G861">
        <f>COUNTIF('Metrics - Articles'!H858,"*LATAM*")</f>
        <v>0</v>
      </c>
      <c r="H861">
        <f>COUNTIF('Metrics - Articles'!H858,"*China*")</f>
        <v>0</v>
      </c>
      <c r="J861" s="53">
        <f t="shared" si="14"/>
        <v>0</v>
      </c>
    </row>
    <row r="862" spans="2:10" hidden="1" x14ac:dyDescent="0.25">
      <c r="B862" s="48">
        <f>+'Metrics - Articles'!C859</f>
        <v>0</v>
      </c>
      <c r="C862">
        <f>COUNTIF('Metrics - Articles'!H859,"*Global*")</f>
        <v>0</v>
      </c>
      <c r="D862">
        <f>COUNTIF('Metrics - Articles'!H859,"*EMEA*")</f>
        <v>0</v>
      </c>
      <c r="E862">
        <f>COUNTIF('Metrics - Articles'!H859,"*NA*")</f>
        <v>0</v>
      </c>
      <c r="F862">
        <f>COUNTIF('Metrics - Articles'!H859,"*APJ")</f>
        <v>0</v>
      </c>
      <c r="G862">
        <f>COUNTIF('Metrics - Articles'!H859,"*LATAM*")</f>
        <v>0</v>
      </c>
      <c r="H862">
        <f>COUNTIF('Metrics - Articles'!H859,"*China*")</f>
        <v>0</v>
      </c>
      <c r="J862" s="53">
        <f t="shared" si="14"/>
        <v>0</v>
      </c>
    </row>
    <row r="863" spans="2:10" hidden="1" x14ac:dyDescent="0.25">
      <c r="B863" s="48">
        <f>+'Metrics - Articles'!C860</f>
        <v>0</v>
      </c>
      <c r="C863">
        <f>COUNTIF('Metrics - Articles'!H860,"*Global*")</f>
        <v>0</v>
      </c>
      <c r="D863">
        <f>COUNTIF('Metrics - Articles'!H860,"*EMEA*")</f>
        <v>0</v>
      </c>
      <c r="E863">
        <f>COUNTIF('Metrics - Articles'!H860,"*NA*")</f>
        <v>0</v>
      </c>
      <c r="F863">
        <f>COUNTIF('Metrics - Articles'!H860,"*APJ")</f>
        <v>0</v>
      </c>
      <c r="G863">
        <f>COUNTIF('Metrics - Articles'!H860,"*LATAM*")</f>
        <v>0</v>
      </c>
      <c r="H863">
        <f>COUNTIF('Metrics - Articles'!H860,"*China*")</f>
        <v>0</v>
      </c>
      <c r="J863" s="53">
        <f t="shared" si="14"/>
        <v>0</v>
      </c>
    </row>
    <row r="864" spans="2:10" hidden="1" x14ac:dyDescent="0.25">
      <c r="B864" s="48">
        <f>+'Metrics - Articles'!C861</f>
        <v>0</v>
      </c>
      <c r="C864">
        <f>COUNTIF('Metrics - Articles'!H861,"*Global*")</f>
        <v>0</v>
      </c>
      <c r="D864">
        <f>COUNTIF('Metrics - Articles'!H861,"*EMEA*")</f>
        <v>0</v>
      </c>
      <c r="E864">
        <f>COUNTIF('Metrics - Articles'!H861,"*NA*")</f>
        <v>0</v>
      </c>
      <c r="F864">
        <f>COUNTIF('Metrics - Articles'!H861,"*APJ")</f>
        <v>0</v>
      </c>
      <c r="G864">
        <f>COUNTIF('Metrics - Articles'!H861,"*LATAM*")</f>
        <v>0</v>
      </c>
      <c r="H864">
        <f>COUNTIF('Metrics - Articles'!H861,"*China*")</f>
        <v>0</v>
      </c>
      <c r="J864" s="53">
        <f t="shared" si="14"/>
        <v>0</v>
      </c>
    </row>
    <row r="865" spans="2:10" hidden="1" x14ac:dyDescent="0.25">
      <c r="B865" s="48">
        <f>+'Metrics - Articles'!C862</f>
        <v>0</v>
      </c>
      <c r="C865">
        <f>COUNTIF('Metrics - Articles'!H862,"*Global*")</f>
        <v>0</v>
      </c>
      <c r="D865">
        <f>COUNTIF('Metrics - Articles'!H862,"*EMEA*")</f>
        <v>0</v>
      </c>
      <c r="E865">
        <f>COUNTIF('Metrics - Articles'!H862,"*NA*")</f>
        <v>0</v>
      </c>
      <c r="F865">
        <f>COUNTIF('Metrics - Articles'!H862,"*APJ")</f>
        <v>0</v>
      </c>
      <c r="G865">
        <f>COUNTIF('Metrics - Articles'!H862,"*LATAM*")</f>
        <v>0</v>
      </c>
      <c r="H865">
        <f>COUNTIF('Metrics - Articles'!H862,"*China*")</f>
        <v>0</v>
      </c>
      <c r="J865" s="53">
        <f t="shared" si="14"/>
        <v>0</v>
      </c>
    </row>
    <row r="866" spans="2:10" hidden="1" x14ac:dyDescent="0.25">
      <c r="B866" s="48">
        <f>+'Metrics - Articles'!C863</f>
        <v>0</v>
      </c>
      <c r="C866">
        <f>COUNTIF('Metrics - Articles'!H863,"*Global*")</f>
        <v>0</v>
      </c>
      <c r="D866">
        <f>COUNTIF('Metrics - Articles'!H863,"*EMEA*")</f>
        <v>0</v>
      </c>
      <c r="E866">
        <f>COUNTIF('Metrics - Articles'!H863,"*NA*")</f>
        <v>0</v>
      </c>
      <c r="F866">
        <f>COUNTIF('Metrics - Articles'!H863,"*APJ")</f>
        <v>0</v>
      </c>
      <c r="G866">
        <f>COUNTIF('Metrics - Articles'!H863,"*LATAM*")</f>
        <v>0</v>
      </c>
      <c r="H866">
        <f>COUNTIF('Metrics - Articles'!H863,"*China*")</f>
        <v>0</v>
      </c>
      <c r="J866" s="53">
        <f t="shared" si="14"/>
        <v>0</v>
      </c>
    </row>
    <row r="867" spans="2:10" hidden="1" x14ac:dyDescent="0.25">
      <c r="B867" s="48">
        <f>+'Metrics - Articles'!C864</f>
        <v>0</v>
      </c>
      <c r="C867">
        <f>COUNTIF('Metrics - Articles'!H864,"*Global*")</f>
        <v>0</v>
      </c>
      <c r="D867">
        <f>COUNTIF('Metrics - Articles'!H864,"*EMEA*")</f>
        <v>0</v>
      </c>
      <c r="E867">
        <f>COUNTIF('Metrics - Articles'!H864,"*NA*")</f>
        <v>0</v>
      </c>
      <c r="F867">
        <f>COUNTIF('Metrics - Articles'!H864,"*APJ")</f>
        <v>0</v>
      </c>
      <c r="G867">
        <f>COUNTIF('Metrics - Articles'!H864,"*LATAM*")</f>
        <v>0</v>
      </c>
      <c r="H867">
        <f>COUNTIF('Metrics - Articles'!H864,"*China*")</f>
        <v>0</v>
      </c>
      <c r="J867" s="53">
        <f t="shared" si="14"/>
        <v>0</v>
      </c>
    </row>
    <row r="868" spans="2:10" hidden="1" x14ac:dyDescent="0.25">
      <c r="B868" s="48">
        <f>+'Metrics - Articles'!C865</f>
        <v>0</v>
      </c>
      <c r="C868">
        <f>COUNTIF('Metrics - Articles'!H865,"*Global*")</f>
        <v>0</v>
      </c>
      <c r="D868">
        <f>COUNTIF('Metrics - Articles'!H865,"*EMEA*")</f>
        <v>0</v>
      </c>
      <c r="E868">
        <f>COUNTIF('Metrics - Articles'!H865,"*NA*")</f>
        <v>0</v>
      </c>
      <c r="F868">
        <f>COUNTIF('Metrics - Articles'!H865,"*APJ")</f>
        <v>0</v>
      </c>
      <c r="G868">
        <f>COUNTIF('Metrics - Articles'!H865,"*LATAM*")</f>
        <v>0</v>
      </c>
      <c r="H868">
        <f>COUNTIF('Metrics - Articles'!H865,"*China*")</f>
        <v>0</v>
      </c>
      <c r="J868" s="53">
        <f t="shared" si="14"/>
        <v>0</v>
      </c>
    </row>
    <row r="869" spans="2:10" hidden="1" x14ac:dyDescent="0.25">
      <c r="B869" s="48">
        <f>+'Metrics - Articles'!C866</f>
        <v>0</v>
      </c>
      <c r="C869">
        <f>COUNTIF('Metrics - Articles'!H866,"*Global*")</f>
        <v>0</v>
      </c>
      <c r="D869">
        <f>COUNTIF('Metrics - Articles'!H866,"*EMEA*")</f>
        <v>0</v>
      </c>
      <c r="E869">
        <f>COUNTIF('Metrics - Articles'!H866,"*NA*")</f>
        <v>0</v>
      </c>
      <c r="F869">
        <f>COUNTIF('Metrics - Articles'!H866,"*APJ")</f>
        <v>0</v>
      </c>
      <c r="G869">
        <f>COUNTIF('Metrics - Articles'!H866,"*LATAM*")</f>
        <v>0</v>
      </c>
      <c r="H869">
        <f>COUNTIF('Metrics - Articles'!H866,"*China*")</f>
        <v>0</v>
      </c>
      <c r="J869" s="53">
        <f t="shared" si="14"/>
        <v>0</v>
      </c>
    </row>
    <row r="870" spans="2:10" hidden="1" x14ac:dyDescent="0.25">
      <c r="B870" s="48">
        <f>+'Metrics - Articles'!C867</f>
        <v>0</v>
      </c>
      <c r="C870">
        <f>COUNTIF('Metrics - Articles'!H867,"*Global*")</f>
        <v>0</v>
      </c>
      <c r="D870">
        <f>COUNTIF('Metrics - Articles'!H867,"*EMEA*")</f>
        <v>0</v>
      </c>
      <c r="E870">
        <f>COUNTIF('Metrics - Articles'!H867,"*NA*")</f>
        <v>0</v>
      </c>
      <c r="F870">
        <f>COUNTIF('Metrics - Articles'!H867,"*APJ")</f>
        <v>0</v>
      </c>
      <c r="G870">
        <f>COUNTIF('Metrics - Articles'!H867,"*LATAM*")</f>
        <v>0</v>
      </c>
      <c r="H870">
        <f>COUNTIF('Metrics - Articles'!H867,"*China*")</f>
        <v>0</v>
      </c>
      <c r="J870" s="53">
        <f t="shared" si="14"/>
        <v>0</v>
      </c>
    </row>
    <row r="871" spans="2:10" hidden="1" x14ac:dyDescent="0.25">
      <c r="B871" s="48">
        <f>+'Metrics - Articles'!C868</f>
        <v>0</v>
      </c>
      <c r="C871">
        <f>COUNTIF('Metrics - Articles'!H868,"*Global*")</f>
        <v>0</v>
      </c>
      <c r="D871">
        <f>COUNTIF('Metrics - Articles'!H868,"*EMEA*")</f>
        <v>0</v>
      </c>
      <c r="E871">
        <f>COUNTIF('Metrics - Articles'!H868,"*NA*")</f>
        <v>0</v>
      </c>
      <c r="F871">
        <f>COUNTIF('Metrics - Articles'!H868,"*APJ")</f>
        <v>0</v>
      </c>
      <c r="G871">
        <f>COUNTIF('Metrics - Articles'!H868,"*LATAM*")</f>
        <v>0</v>
      </c>
      <c r="H871">
        <f>COUNTIF('Metrics - Articles'!H868,"*China*")</f>
        <v>0</v>
      </c>
      <c r="J871" s="53">
        <f t="shared" si="14"/>
        <v>0</v>
      </c>
    </row>
    <row r="872" spans="2:10" hidden="1" x14ac:dyDescent="0.25">
      <c r="B872" s="48">
        <f>+'Metrics - Articles'!C869</f>
        <v>0</v>
      </c>
      <c r="C872">
        <f>COUNTIF('Metrics - Articles'!H869,"*Global*")</f>
        <v>0</v>
      </c>
      <c r="D872">
        <f>COUNTIF('Metrics - Articles'!H869,"*EMEA*")</f>
        <v>0</v>
      </c>
      <c r="E872">
        <f>COUNTIF('Metrics - Articles'!H869,"*NA*")</f>
        <v>0</v>
      </c>
      <c r="F872">
        <f>COUNTIF('Metrics - Articles'!H869,"*APJ")</f>
        <v>0</v>
      </c>
      <c r="G872">
        <f>COUNTIF('Metrics - Articles'!H869,"*LATAM*")</f>
        <v>0</v>
      </c>
      <c r="H872">
        <f>COUNTIF('Metrics - Articles'!H869,"*China*")</f>
        <v>0</v>
      </c>
      <c r="J872" s="53">
        <f t="shared" si="14"/>
        <v>0</v>
      </c>
    </row>
    <row r="873" spans="2:10" hidden="1" x14ac:dyDescent="0.25">
      <c r="B873" s="48">
        <f>+'Metrics - Articles'!C870</f>
        <v>0</v>
      </c>
      <c r="C873">
        <f>COUNTIF('Metrics - Articles'!H870,"*Global*")</f>
        <v>0</v>
      </c>
      <c r="D873">
        <f>COUNTIF('Metrics - Articles'!H870,"*EMEA*")</f>
        <v>0</v>
      </c>
      <c r="E873">
        <f>COUNTIF('Metrics - Articles'!H870,"*NA*")</f>
        <v>0</v>
      </c>
      <c r="F873">
        <f>COUNTIF('Metrics - Articles'!H870,"*APJ")</f>
        <v>0</v>
      </c>
      <c r="G873">
        <f>COUNTIF('Metrics - Articles'!H870,"*LATAM*")</f>
        <v>0</v>
      </c>
      <c r="H873">
        <f>COUNTIF('Metrics - Articles'!H870,"*China*")</f>
        <v>0</v>
      </c>
      <c r="J873" s="53">
        <f t="shared" si="14"/>
        <v>0</v>
      </c>
    </row>
    <row r="874" spans="2:10" hidden="1" x14ac:dyDescent="0.25">
      <c r="B874" s="48">
        <f>+'Metrics - Articles'!C871</f>
        <v>0</v>
      </c>
      <c r="C874">
        <f>COUNTIF('Metrics - Articles'!H871,"*Global*")</f>
        <v>0</v>
      </c>
      <c r="D874">
        <f>COUNTIF('Metrics - Articles'!H871,"*EMEA*")</f>
        <v>0</v>
      </c>
      <c r="E874">
        <f>COUNTIF('Metrics - Articles'!H871,"*NA*")</f>
        <v>0</v>
      </c>
      <c r="F874">
        <f>COUNTIF('Metrics - Articles'!H871,"*APJ")</f>
        <v>0</v>
      </c>
      <c r="G874">
        <f>COUNTIF('Metrics - Articles'!H871,"*LATAM*")</f>
        <v>0</v>
      </c>
      <c r="H874">
        <f>COUNTIF('Metrics - Articles'!H871,"*China*")</f>
        <v>0</v>
      </c>
      <c r="J874" s="53">
        <f t="shared" si="14"/>
        <v>0</v>
      </c>
    </row>
    <row r="875" spans="2:10" hidden="1" x14ac:dyDescent="0.25">
      <c r="B875" s="48">
        <f>+'Metrics - Articles'!C872</f>
        <v>0</v>
      </c>
      <c r="C875">
        <f>COUNTIF('Metrics - Articles'!H872,"*Global*")</f>
        <v>0</v>
      </c>
      <c r="D875">
        <f>COUNTIF('Metrics - Articles'!H872,"*EMEA*")</f>
        <v>0</v>
      </c>
      <c r="E875">
        <f>COUNTIF('Metrics - Articles'!H872,"*NA*")</f>
        <v>0</v>
      </c>
      <c r="F875">
        <f>COUNTIF('Metrics - Articles'!H872,"*APJ")</f>
        <v>0</v>
      </c>
      <c r="G875">
        <f>COUNTIF('Metrics - Articles'!H872,"*LATAM*")</f>
        <v>0</v>
      </c>
      <c r="H875">
        <f>COUNTIF('Metrics - Articles'!H872,"*China*")</f>
        <v>0</v>
      </c>
      <c r="J875" s="53">
        <f t="shared" si="14"/>
        <v>0</v>
      </c>
    </row>
    <row r="876" spans="2:10" hidden="1" x14ac:dyDescent="0.25">
      <c r="B876" s="48">
        <f>+'Metrics - Articles'!C873</f>
        <v>0</v>
      </c>
      <c r="C876">
        <f>COUNTIF('Metrics - Articles'!H873,"*Global*")</f>
        <v>0</v>
      </c>
      <c r="D876">
        <f>COUNTIF('Metrics - Articles'!H873,"*EMEA*")</f>
        <v>0</v>
      </c>
      <c r="E876">
        <f>COUNTIF('Metrics - Articles'!H873,"*NA*")</f>
        <v>0</v>
      </c>
      <c r="F876">
        <f>COUNTIF('Metrics - Articles'!H873,"*APJ")</f>
        <v>0</v>
      </c>
      <c r="G876">
        <f>COUNTIF('Metrics - Articles'!H873,"*LATAM*")</f>
        <v>0</v>
      </c>
      <c r="H876">
        <f>COUNTIF('Metrics - Articles'!H873,"*China*")</f>
        <v>0</v>
      </c>
      <c r="J876" s="53">
        <f t="shared" si="14"/>
        <v>0</v>
      </c>
    </row>
    <row r="877" spans="2:10" hidden="1" x14ac:dyDescent="0.25">
      <c r="B877" s="48">
        <f>+'Metrics - Articles'!C874</f>
        <v>0</v>
      </c>
      <c r="C877">
        <f>COUNTIF('Metrics - Articles'!H874,"*Global*")</f>
        <v>0</v>
      </c>
      <c r="D877">
        <f>COUNTIF('Metrics - Articles'!H874,"*EMEA*")</f>
        <v>0</v>
      </c>
      <c r="E877">
        <f>COUNTIF('Metrics - Articles'!H874,"*NA*")</f>
        <v>0</v>
      </c>
      <c r="F877">
        <f>COUNTIF('Metrics - Articles'!H874,"*APJ")</f>
        <v>0</v>
      </c>
      <c r="G877">
        <f>COUNTIF('Metrics - Articles'!H874,"*LATAM*")</f>
        <v>0</v>
      </c>
      <c r="H877">
        <f>COUNTIF('Metrics - Articles'!H874,"*China*")</f>
        <v>0</v>
      </c>
      <c r="J877" s="53">
        <f t="shared" si="14"/>
        <v>0</v>
      </c>
    </row>
    <row r="878" spans="2:10" hidden="1" x14ac:dyDescent="0.25">
      <c r="B878" s="48">
        <f>+'Metrics - Articles'!C875</f>
        <v>0</v>
      </c>
      <c r="C878">
        <f>COUNTIF('Metrics - Articles'!H875,"*Global*")</f>
        <v>0</v>
      </c>
      <c r="D878">
        <f>COUNTIF('Metrics - Articles'!H875,"*EMEA*")</f>
        <v>0</v>
      </c>
      <c r="E878">
        <f>COUNTIF('Metrics - Articles'!H875,"*NA*")</f>
        <v>0</v>
      </c>
      <c r="F878">
        <f>COUNTIF('Metrics - Articles'!H875,"*APJ")</f>
        <v>0</v>
      </c>
      <c r="G878">
        <f>COUNTIF('Metrics - Articles'!H875,"*LATAM*")</f>
        <v>0</v>
      </c>
      <c r="H878">
        <f>COUNTIF('Metrics - Articles'!H875,"*China*")</f>
        <v>0</v>
      </c>
      <c r="J878" s="53">
        <f t="shared" si="14"/>
        <v>0</v>
      </c>
    </row>
    <row r="879" spans="2:10" hidden="1" x14ac:dyDescent="0.25">
      <c r="B879" s="48">
        <f>+'Metrics - Articles'!C876</f>
        <v>0</v>
      </c>
      <c r="C879">
        <f>COUNTIF('Metrics - Articles'!H876,"*Global*")</f>
        <v>0</v>
      </c>
      <c r="D879">
        <f>COUNTIF('Metrics - Articles'!H876,"*EMEA*")</f>
        <v>0</v>
      </c>
      <c r="E879">
        <f>COUNTIF('Metrics - Articles'!H876,"*NA*")</f>
        <v>0</v>
      </c>
      <c r="F879">
        <f>COUNTIF('Metrics - Articles'!H876,"*APJ")</f>
        <v>0</v>
      </c>
      <c r="G879">
        <f>COUNTIF('Metrics - Articles'!H876,"*LATAM*")</f>
        <v>0</v>
      </c>
      <c r="H879">
        <f>COUNTIF('Metrics - Articles'!H876,"*China*")</f>
        <v>0</v>
      </c>
      <c r="J879" s="53">
        <f t="shared" si="14"/>
        <v>0</v>
      </c>
    </row>
    <row r="880" spans="2:10" hidden="1" x14ac:dyDescent="0.25">
      <c r="B880" s="48">
        <f>+'Metrics - Articles'!C877</f>
        <v>0</v>
      </c>
      <c r="C880">
        <f>COUNTIF('Metrics - Articles'!H877,"*Global*")</f>
        <v>0</v>
      </c>
      <c r="D880">
        <f>COUNTIF('Metrics - Articles'!H877,"*EMEA*")</f>
        <v>0</v>
      </c>
      <c r="E880">
        <f>COUNTIF('Metrics - Articles'!H877,"*NA*")</f>
        <v>0</v>
      </c>
      <c r="F880">
        <f>COUNTIF('Metrics - Articles'!H877,"*APJ")</f>
        <v>0</v>
      </c>
      <c r="G880">
        <f>COUNTIF('Metrics - Articles'!H877,"*LATAM*")</f>
        <v>0</v>
      </c>
      <c r="H880">
        <f>COUNTIF('Metrics - Articles'!H877,"*China*")</f>
        <v>0</v>
      </c>
      <c r="J880" s="53">
        <f t="shared" si="14"/>
        <v>0</v>
      </c>
    </row>
    <row r="881" spans="2:10" hidden="1" x14ac:dyDescent="0.25">
      <c r="B881" s="48">
        <f>+'Metrics - Articles'!C878</f>
        <v>0</v>
      </c>
      <c r="C881">
        <f>COUNTIF('Metrics - Articles'!H878,"*Global*")</f>
        <v>0</v>
      </c>
      <c r="D881">
        <f>COUNTIF('Metrics - Articles'!H878,"*EMEA*")</f>
        <v>0</v>
      </c>
      <c r="E881">
        <f>COUNTIF('Metrics - Articles'!H878,"*NA*")</f>
        <v>0</v>
      </c>
      <c r="F881">
        <f>COUNTIF('Metrics - Articles'!H878,"*APJ")</f>
        <v>0</v>
      </c>
      <c r="G881">
        <f>COUNTIF('Metrics - Articles'!H878,"*LATAM*")</f>
        <v>0</v>
      </c>
      <c r="H881">
        <f>COUNTIF('Metrics - Articles'!H878,"*China*")</f>
        <v>0</v>
      </c>
      <c r="J881" s="53">
        <f t="shared" si="14"/>
        <v>0</v>
      </c>
    </row>
    <row r="882" spans="2:10" hidden="1" x14ac:dyDescent="0.25">
      <c r="B882" s="48">
        <f>+'Metrics - Articles'!C879</f>
        <v>0</v>
      </c>
      <c r="C882">
        <f>COUNTIF('Metrics - Articles'!H879,"*Global*")</f>
        <v>0</v>
      </c>
      <c r="D882">
        <f>COUNTIF('Metrics - Articles'!H879,"*EMEA*")</f>
        <v>0</v>
      </c>
      <c r="E882">
        <f>COUNTIF('Metrics - Articles'!H879,"*NA*")</f>
        <v>0</v>
      </c>
      <c r="F882">
        <f>COUNTIF('Metrics - Articles'!H879,"*APJ")</f>
        <v>0</v>
      </c>
      <c r="G882">
        <f>COUNTIF('Metrics - Articles'!H879,"*LATAM*")</f>
        <v>0</v>
      </c>
      <c r="H882">
        <f>COUNTIF('Metrics - Articles'!H879,"*China*")</f>
        <v>0</v>
      </c>
      <c r="J882" s="53">
        <f t="shared" si="14"/>
        <v>0</v>
      </c>
    </row>
    <row r="883" spans="2:10" hidden="1" x14ac:dyDescent="0.25">
      <c r="B883" s="48">
        <f>+'Metrics - Articles'!C880</f>
        <v>0</v>
      </c>
      <c r="C883">
        <f>COUNTIF('Metrics - Articles'!H880,"*Global*")</f>
        <v>0</v>
      </c>
      <c r="D883">
        <f>COUNTIF('Metrics - Articles'!H880,"*EMEA*")</f>
        <v>0</v>
      </c>
      <c r="E883">
        <f>COUNTIF('Metrics - Articles'!H880,"*NA*")</f>
        <v>0</v>
      </c>
      <c r="F883">
        <f>COUNTIF('Metrics - Articles'!H880,"*APJ")</f>
        <v>0</v>
      </c>
      <c r="G883">
        <f>COUNTIF('Metrics - Articles'!H880,"*LATAM*")</f>
        <v>0</v>
      </c>
      <c r="H883">
        <f>COUNTIF('Metrics - Articles'!H880,"*China*")</f>
        <v>0</v>
      </c>
      <c r="J883" s="53">
        <f t="shared" si="14"/>
        <v>0</v>
      </c>
    </row>
    <row r="884" spans="2:10" hidden="1" x14ac:dyDescent="0.25">
      <c r="B884" s="48">
        <f>+'Metrics - Articles'!C881</f>
        <v>0</v>
      </c>
      <c r="C884">
        <f>COUNTIF('Metrics - Articles'!H881,"*Global*")</f>
        <v>0</v>
      </c>
      <c r="D884">
        <f>COUNTIF('Metrics - Articles'!H881,"*EMEA*")</f>
        <v>0</v>
      </c>
      <c r="E884">
        <f>COUNTIF('Metrics - Articles'!H881,"*NA*")</f>
        <v>0</v>
      </c>
      <c r="F884">
        <f>COUNTIF('Metrics - Articles'!H881,"*APJ")</f>
        <v>0</v>
      </c>
      <c r="G884">
        <f>COUNTIF('Metrics - Articles'!H881,"*LATAM*")</f>
        <v>0</v>
      </c>
      <c r="H884">
        <f>COUNTIF('Metrics - Articles'!H881,"*China*")</f>
        <v>0</v>
      </c>
      <c r="J884" s="53">
        <f t="shared" si="14"/>
        <v>0</v>
      </c>
    </row>
    <row r="885" spans="2:10" hidden="1" x14ac:dyDescent="0.25">
      <c r="B885" s="48">
        <f>+'Metrics - Articles'!C882</f>
        <v>0</v>
      </c>
      <c r="C885">
        <f>COUNTIF('Metrics - Articles'!H882,"*Global*")</f>
        <v>0</v>
      </c>
      <c r="D885">
        <f>COUNTIF('Metrics - Articles'!H882,"*EMEA*")</f>
        <v>0</v>
      </c>
      <c r="E885">
        <f>COUNTIF('Metrics - Articles'!H882,"*NA*")</f>
        <v>0</v>
      </c>
      <c r="F885">
        <f>COUNTIF('Metrics - Articles'!H882,"*APJ")</f>
        <v>0</v>
      </c>
      <c r="G885">
        <f>COUNTIF('Metrics - Articles'!H882,"*LATAM*")</f>
        <v>0</v>
      </c>
      <c r="H885">
        <f>COUNTIF('Metrics - Articles'!H882,"*China*")</f>
        <v>0</v>
      </c>
      <c r="J885" s="53">
        <f t="shared" si="14"/>
        <v>0</v>
      </c>
    </row>
    <row r="886" spans="2:10" hidden="1" x14ac:dyDescent="0.25">
      <c r="B886" s="48">
        <f>+'Metrics - Articles'!C883</f>
        <v>0</v>
      </c>
      <c r="C886">
        <f>COUNTIF('Metrics - Articles'!H883,"*Global*")</f>
        <v>0</v>
      </c>
      <c r="D886">
        <f>COUNTIF('Metrics - Articles'!H883,"*EMEA*")</f>
        <v>0</v>
      </c>
      <c r="E886">
        <f>COUNTIF('Metrics - Articles'!H883,"*NA*")</f>
        <v>0</v>
      </c>
      <c r="F886">
        <f>COUNTIF('Metrics - Articles'!H883,"*APJ")</f>
        <v>0</v>
      </c>
      <c r="G886">
        <f>COUNTIF('Metrics - Articles'!H883,"*LATAM*")</f>
        <v>0</v>
      </c>
      <c r="H886">
        <f>COUNTIF('Metrics - Articles'!H883,"*China*")</f>
        <v>0</v>
      </c>
      <c r="J886" s="53">
        <f t="shared" si="14"/>
        <v>0</v>
      </c>
    </row>
    <row r="887" spans="2:10" hidden="1" x14ac:dyDescent="0.25">
      <c r="B887" s="48">
        <f>+'Metrics - Articles'!C884</f>
        <v>0</v>
      </c>
      <c r="C887">
        <f>COUNTIF('Metrics - Articles'!H884,"*Global*")</f>
        <v>0</v>
      </c>
      <c r="D887">
        <f>COUNTIF('Metrics - Articles'!H884,"*EMEA*")</f>
        <v>0</v>
      </c>
      <c r="E887">
        <f>COUNTIF('Metrics - Articles'!H884,"*NA*")</f>
        <v>0</v>
      </c>
      <c r="F887">
        <f>COUNTIF('Metrics - Articles'!H884,"*APJ")</f>
        <v>0</v>
      </c>
      <c r="G887">
        <f>COUNTIF('Metrics - Articles'!H884,"*LATAM*")</f>
        <v>0</v>
      </c>
      <c r="H887">
        <f>COUNTIF('Metrics - Articles'!H884,"*China*")</f>
        <v>0</v>
      </c>
      <c r="J887" s="53">
        <f t="shared" si="14"/>
        <v>0</v>
      </c>
    </row>
    <row r="888" spans="2:10" hidden="1" x14ac:dyDescent="0.25">
      <c r="B888" s="48">
        <f>+'Metrics - Articles'!C885</f>
        <v>0</v>
      </c>
      <c r="C888">
        <f>COUNTIF('Metrics - Articles'!H885,"*Global*")</f>
        <v>0</v>
      </c>
      <c r="D888">
        <f>COUNTIF('Metrics - Articles'!H885,"*EMEA*")</f>
        <v>0</v>
      </c>
      <c r="E888">
        <f>COUNTIF('Metrics - Articles'!H885,"*NA*")</f>
        <v>0</v>
      </c>
      <c r="F888">
        <f>COUNTIF('Metrics - Articles'!H885,"*APJ")</f>
        <v>0</v>
      </c>
      <c r="G888">
        <f>COUNTIF('Metrics - Articles'!H885,"*LATAM*")</f>
        <v>0</v>
      </c>
      <c r="H888">
        <f>COUNTIF('Metrics - Articles'!H885,"*China*")</f>
        <v>0</v>
      </c>
      <c r="J888" s="53">
        <f t="shared" si="14"/>
        <v>0</v>
      </c>
    </row>
    <row r="889" spans="2:10" hidden="1" x14ac:dyDescent="0.25">
      <c r="B889" s="48">
        <f>+'Metrics - Articles'!C886</f>
        <v>0</v>
      </c>
      <c r="C889">
        <f>COUNTIF('Metrics - Articles'!H886,"*Global*")</f>
        <v>0</v>
      </c>
      <c r="D889">
        <f>COUNTIF('Metrics - Articles'!H886,"*EMEA*")</f>
        <v>0</v>
      </c>
      <c r="E889">
        <f>COUNTIF('Metrics - Articles'!H886,"*NA*")</f>
        <v>0</v>
      </c>
      <c r="F889">
        <f>COUNTIF('Metrics - Articles'!H886,"*APJ")</f>
        <v>0</v>
      </c>
      <c r="G889">
        <f>COUNTIF('Metrics - Articles'!H886,"*LATAM*")</f>
        <v>0</v>
      </c>
      <c r="H889">
        <f>COUNTIF('Metrics - Articles'!H886,"*China*")</f>
        <v>0</v>
      </c>
      <c r="J889" s="53">
        <f t="shared" si="14"/>
        <v>0</v>
      </c>
    </row>
    <row r="890" spans="2:10" hidden="1" x14ac:dyDescent="0.25">
      <c r="B890" s="48">
        <f>+'Metrics - Articles'!C887</f>
        <v>0</v>
      </c>
      <c r="C890">
        <f>COUNTIF('Metrics - Articles'!H887,"*Global*")</f>
        <v>0</v>
      </c>
      <c r="D890">
        <f>COUNTIF('Metrics - Articles'!H887,"*EMEA*")</f>
        <v>0</v>
      </c>
      <c r="E890">
        <f>COUNTIF('Metrics - Articles'!H887,"*NA*")</f>
        <v>0</v>
      </c>
      <c r="F890">
        <f>COUNTIF('Metrics - Articles'!H887,"*APJ")</f>
        <v>0</v>
      </c>
      <c r="G890">
        <f>COUNTIF('Metrics - Articles'!H887,"*LATAM*")</f>
        <v>0</v>
      </c>
      <c r="H890">
        <f>COUNTIF('Metrics - Articles'!H887,"*China*")</f>
        <v>0</v>
      </c>
      <c r="J890" s="53">
        <f t="shared" si="14"/>
        <v>0</v>
      </c>
    </row>
    <row r="891" spans="2:10" hidden="1" x14ac:dyDescent="0.25">
      <c r="B891" s="48">
        <f>+'Metrics - Articles'!C888</f>
        <v>0</v>
      </c>
      <c r="C891">
        <f>COUNTIF('Metrics - Articles'!H888,"*Global*")</f>
        <v>0</v>
      </c>
      <c r="D891">
        <f>COUNTIF('Metrics - Articles'!H888,"*EMEA*")</f>
        <v>0</v>
      </c>
      <c r="E891">
        <f>COUNTIF('Metrics - Articles'!H888,"*NA*")</f>
        <v>0</v>
      </c>
      <c r="F891">
        <f>COUNTIF('Metrics - Articles'!H888,"*APJ")</f>
        <v>0</v>
      </c>
      <c r="G891">
        <f>COUNTIF('Metrics - Articles'!H888,"*LATAM*")</f>
        <v>0</v>
      </c>
      <c r="H891">
        <f>COUNTIF('Metrics - Articles'!H888,"*China*")</f>
        <v>0</v>
      </c>
      <c r="J891" s="53">
        <f t="shared" si="14"/>
        <v>0</v>
      </c>
    </row>
    <row r="892" spans="2:10" hidden="1" x14ac:dyDescent="0.25">
      <c r="B892" s="48">
        <f>+'Metrics - Articles'!C889</f>
        <v>0</v>
      </c>
      <c r="C892">
        <f>COUNTIF('Metrics - Articles'!H889,"*Global*")</f>
        <v>0</v>
      </c>
      <c r="D892">
        <f>COUNTIF('Metrics - Articles'!H889,"*EMEA*")</f>
        <v>0</v>
      </c>
      <c r="E892">
        <f>COUNTIF('Metrics - Articles'!H889,"*NA*")</f>
        <v>0</v>
      </c>
      <c r="F892">
        <f>COUNTIF('Metrics - Articles'!H889,"*APJ")</f>
        <v>0</v>
      </c>
      <c r="G892">
        <f>COUNTIF('Metrics - Articles'!H889,"*LATAM*")</f>
        <v>0</v>
      </c>
      <c r="H892">
        <f>COUNTIF('Metrics - Articles'!H889,"*China*")</f>
        <v>0</v>
      </c>
      <c r="J892" s="53">
        <f t="shared" si="14"/>
        <v>0</v>
      </c>
    </row>
    <row r="893" spans="2:10" hidden="1" x14ac:dyDescent="0.25">
      <c r="B893" s="48">
        <f>+'Metrics - Articles'!C890</f>
        <v>0</v>
      </c>
      <c r="C893">
        <f>COUNTIF('Metrics - Articles'!H890,"*Global*")</f>
        <v>0</v>
      </c>
      <c r="D893">
        <f>COUNTIF('Metrics - Articles'!H890,"*EMEA*")</f>
        <v>0</v>
      </c>
      <c r="E893">
        <f>COUNTIF('Metrics - Articles'!H890,"*NA*")</f>
        <v>0</v>
      </c>
      <c r="F893">
        <f>COUNTIF('Metrics - Articles'!H890,"*APJ")</f>
        <v>0</v>
      </c>
      <c r="G893">
        <f>COUNTIF('Metrics - Articles'!H890,"*LATAM*")</f>
        <v>0</v>
      </c>
      <c r="H893">
        <f>COUNTIF('Metrics - Articles'!H890,"*China*")</f>
        <v>0</v>
      </c>
      <c r="J893" s="53">
        <f t="shared" si="14"/>
        <v>0</v>
      </c>
    </row>
    <row r="894" spans="2:10" hidden="1" x14ac:dyDescent="0.25">
      <c r="B894" s="48">
        <f>+'Metrics - Articles'!C891</f>
        <v>0</v>
      </c>
      <c r="C894">
        <f>COUNTIF('Metrics - Articles'!H891,"*Global*")</f>
        <v>0</v>
      </c>
      <c r="D894">
        <f>COUNTIF('Metrics - Articles'!H891,"*EMEA*")</f>
        <v>0</v>
      </c>
      <c r="E894">
        <f>COUNTIF('Metrics - Articles'!H891,"*NA*")</f>
        <v>0</v>
      </c>
      <c r="F894">
        <f>COUNTIF('Metrics - Articles'!H891,"*APJ")</f>
        <v>0</v>
      </c>
      <c r="G894">
        <f>COUNTIF('Metrics - Articles'!H891,"*LATAM*")</f>
        <v>0</v>
      </c>
      <c r="H894">
        <f>COUNTIF('Metrics - Articles'!H891,"*China*")</f>
        <v>0</v>
      </c>
      <c r="J894" s="53">
        <f t="shared" si="14"/>
        <v>0</v>
      </c>
    </row>
    <row r="895" spans="2:10" hidden="1" x14ac:dyDescent="0.25">
      <c r="B895" s="48">
        <f>+'Metrics - Articles'!C892</f>
        <v>0</v>
      </c>
      <c r="C895">
        <f>COUNTIF('Metrics - Articles'!H892,"*Global*")</f>
        <v>0</v>
      </c>
      <c r="D895">
        <f>COUNTIF('Metrics - Articles'!H892,"*EMEA*")</f>
        <v>0</v>
      </c>
      <c r="E895">
        <f>COUNTIF('Metrics - Articles'!H892,"*NA*")</f>
        <v>0</v>
      </c>
      <c r="F895">
        <f>COUNTIF('Metrics - Articles'!H892,"*APJ")</f>
        <v>0</v>
      </c>
      <c r="G895">
        <f>COUNTIF('Metrics - Articles'!H892,"*LATAM*")</f>
        <v>0</v>
      </c>
      <c r="H895">
        <f>COUNTIF('Metrics - Articles'!H892,"*China*")</f>
        <v>0</v>
      </c>
      <c r="J895" s="53">
        <f t="shared" si="14"/>
        <v>0</v>
      </c>
    </row>
    <row r="896" spans="2:10" hidden="1" x14ac:dyDescent="0.25">
      <c r="B896" s="48">
        <f>+'Metrics - Articles'!C893</f>
        <v>0</v>
      </c>
      <c r="C896">
        <f>COUNTIF('Metrics - Articles'!H893,"*Global*")</f>
        <v>0</v>
      </c>
      <c r="D896">
        <f>COUNTIF('Metrics - Articles'!H893,"*EMEA*")</f>
        <v>0</v>
      </c>
      <c r="E896">
        <f>COUNTIF('Metrics - Articles'!H893,"*NA*")</f>
        <v>0</v>
      </c>
      <c r="F896">
        <f>COUNTIF('Metrics - Articles'!H893,"*APJ")</f>
        <v>0</v>
      </c>
      <c r="G896">
        <f>COUNTIF('Metrics - Articles'!H893,"*LATAM*")</f>
        <v>0</v>
      </c>
      <c r="H896">
        <f>COUNTIF('Metrics - Articles'!H893,"*China*")</f>
        <v>0</v>
      </c>
      <c r="J896" s="53">
        <f t="shared" si="14"/>
        <v>0</v>
      </c>
    </row>
    <row r="897" spans="2:10" hidden="1" x14ac:dyDescent="0.25">
      <c r="B897" s="48">
        <f>+'Metrics - Articles'!C894</f>
        <v>0</v>
      </c>
      <c r="C897">
        <f>COUNTIF('Metrics - Articles'!H894,"*Global*")</f>
        <v>0</v>
      </c>
      <c r="D897">
        <f>COUNTIF('Metrics - Articles'!H894,"*EMEA*")</f>
        <v>0</v>
      </c>
      <c r="E897">
        <f>COUNTIF('Metrics - Articles'!H894,"*NA*")</f>
        <v>0</v>
      </c>
      <c r="F897">
        <f>COUNTIF('Metrics - Articles'!H894,"*APJ")</f>
        <v>0</v>
      </c>
      <c r="G897">
        <f>COUNTIF('Metrics - Articles'!H894,"*LATAM*")</f>
        <v>0</v>
      </c>
      <c r="H897">
        <f>COUNTIF('Metrics - Articles'!H894,"*China*")</f>
        <v>0</v>
      </c>
      <c r="J897" s="53">
        <f t="shared" si="14"/>
        <v>0</v>
      </c>
    </row>
    <row r="898" spans="2:10" hidden="1" x14ac:dyDescent="0.25">
      <c r="B898" s="48">
        <f>+'Metrics - Articles'!C895</f>
        <v>0</v>
      </c>
      <c r="C898">
        <f>COUNTIF('Metrics - Articles'!H895,"*Global*")</f>
        <v>0</v>
      </c>
      <c r="D898">
        <f>COUNTIF('Metrics - Articles'!H895,"*EMEA*")</f>
        <v>0</v>
      </c>
      <c r="E898">
        <f>COUNTIF('Metrics - Articles'!H895,"*NA*")</f>
        <v>0</v>
      </c>
      <c r="F898">
        <f>COUNTIF('Metrics - Articles'!H895,"*APJ")</f>
        <v>0</v>
      </c>
      <c r="G898">
        <f>COUNTIF('Metrics - Articles'!H895,"*LATAM*")</f>
        <v>0</v>
      </c>
      <c r="H898">
        <f>COUNTIF('Metrics - Articles'!H895,"*China*")</f>
        <v>0</v>
      </c>
      <c r="J898" s="53">
        <f t="shared" si="14"/>
        <v>0</v>
      </c>
    </row>
    <row r="899" spans="2:10" hidden="1" x14ac:dyDescent="0.25">
      <c r="B899" s="48">
        <f>+'Metrics - Articles'!C896</f>
        <v>0</v>
      </c>
      <c r="C899">
        <f>COUNTIF('Metrics - Articles'!H896,"*Global*")</f>
        <v>0</v>
      </c>
      <c r="D899">
        <f>COUNTIF('Metrics - Articles'!H896,"*EMEA*")</f>
        <v>0</v>
      </c>
      <c r="E899">
        <f>COUNTIF('Metrics - Articles'!H896,"*NA*")</f>
        <v>0</v>
      </c>
      <c r="F899">
        <f>COUNTIF('Metrics - Articles'!H896,"*APJ")</f>
        <v>0</v>
      </c>
      <c r="G899">
        <f>COUNTIF('Metrics - Articles'!H896,"*LATAM*")</f>
        <v>0</v>
      </c>
      <c r="H899">
        <f>COUNTIF('Metrics - Articles'!H896,"*China*")</f>
        <v>0</v>
      </c>
      <c r="J899" s="53">
        <f t="shared" si="14"/>
        <v>0</v>
      </c>
    </row>
    <row r="900" spans="2:10" hidden="1" x14ac:dyDescent="0.25">
      <c r="B900" s="48">
        <f>+'Metrics - Articles'!C897</f>
        <v>0</v>
      </c>
      <c r="C900">
        <f>COUNTIF('Metrics - Articles'!H897,"*Global*")</f>
        <v>0</v>
      </c>
      <c r="D900">
        <f>COUNTIF('Metrics - Articles'!H897,"*EMEA*")</f>
        <v>0</v>
      </c>
      <c r="E900">
        <f>COUNTIF('Metrics - Articles'!H897,"*NA*")</f>
        <v>0</v>
      </c>
      <c r="F900">
        <f>COUNTIF('Metrics - Articles'!H897,"*APJ")</f>
        <v>0</v>
      </c>
      <c r="G900">
        <f>COUNTIF('Metrics - Articles'!H897,"*LATAM*")</f>
        <v>0</v>
      </c>
      <c r="H900">
        <f>COUNTIF('Metrics - Articles'!H897,"*China*")</f>
        <v>0</v>
      </c>
      <c r="J900" s="53">
        <f t="shared" si="14"/>
        <v>0</v>
      </c>
    </row>
    <row r="901" spans="2:10" hidden="1" x14ac:dyDescent="0.25">
      <c r="B901" s="48">
        <f>+'Metrics - Articles'!C898</f>
        <v>0</v>
      </c>
      <c r="C901">
        <f>COUNTIF('Metrics - Articles'!H898,"*Global*")</f>
        <v>0</v>
      </c>
      <c r="D901">
        <f>COUNTIF('Metrics - Articles'!H898,"*EMEA*")</f>
        <v>0</v>
      </c>
      <c r="E901">
        <f>COUNTIF('Metrics - Articles'!H898,"*NA*")</f>
        <v>0</v>
      </c>
      <c r="F901">
        <f>COUNTIF('Metrics - Articles'!H898,"*APJ")</f>
        <v>0</v>
      </c>
      <c r="G901">
        <f>COUNTIF('Metrics - Articles'!H898,"*LATAM*")</f>
        <v>0</v>
      </c>
      <c r="H901">
        <f>COUNTIF('Metrics - Articles'!H898,"*China*")</f>
        <v>0</v>
      </c>
      <c r="J901" s="53">
        <f t="shared" si="14"/>
        <v>0</v>
      </c>
    </row>
    <row r="902" spans="2:10" hidden="1" x14ac:dyDescent="0.25">
      <c r="B902" s="48">
        <f>+'Metrics - Articles'!C899</f>
        <v>0</v>
      </c>
      <c r="C902">
        <f>COUNTIF('Metrics - Articles'!H899,"*Global*")</f>
        <v>0</v>
      </c>
      <c r="D902">
        <f>COUNTIF('Metrics - Articles'!H899,"*EMEA*")</f>
        <v>0</v>
      </c>
      <c r="E902">
        <f>COUNTIF('Metrics - Articles'!H899,"*NA*")</f>
        <v>0</v>
      </c>
      <c r="F902">
        <f>COUNTIF('Metrics - Articles'!H899,"*APJ")</f>
        <v>0</v>
      </c>
      <c r="G902">
        <f>COUNTIF('Metrics - Articles'!H899,"*LATAM*")</f>
        <v>0</v>
      </c>
      <c r="H902">
        <f>COUNTIF('Metrics - Articles'!H899,"*China*")</f>
        <v>0</v>
      </c>
      <c r="J902" s="53">
        <f t="shared" si="14"/>
        <v>0</v>
      </c>
    </row>
    <row r="903" spans="2:10" hidden="1" x14ac:dyDescent="0.25">
      <c r="B903" s="48">
        <f>+'Metrics - Articles'!C900</f>
        <v>0</v>
      </c>
      <c r="C903">
        <f>COUNTIF('Metrics - Articles'!H900,"*Global*")</f>
        <v>0</v>
      </c>
      <c r="D903">
        <f>COUNTIF('Metrics - Articles'!H900,"*EMEA*")</f>
        <v>0</v>
      </c>
      <c r="E903">
        <f>COUNTIF('Metrics - Articles'!H900,"*NA*")</f>
        <v>0</v>
      </c>
      <c r="F903">
        <f>COUNTIF('Metrics - Articles'!H900,"*APJ")</f>
        <v>0</v>
      </c>
      <c r="G903">
        <f>COUNTIF('Metrics - Articles'!H900,"*LATAM*")</f>
        <v>0</v>
      </c>
      <c r="H903">
        <f>COUNTIF('Metrics - Articles'!H900,"*China*")</f>
        <v>0</v>
      </c>
      <c r="J903" s="53">
        <f t="shared" si="14"/>
        <v>0</v>
      </c>
    </row>
    <row r="904" spans="2:10" hidden="1" x14ac:dyDescent="0.25">
      <c r="B904" s="48">
        <f>+'Metrics - Articles'!C901</f>
        <v>0</v>
      </c>
      <c r="C904">
        <f>COUNTIF('Metrics - Articles'!H901,"*Global*")</f>
        <v>0</v>
      </c>
      <c r="D904">
        <f>COUNTIF('Metrics - Articles'!H901,"*EMEA*")</f>
        <v>0</v>
      </c>
      <c r="E904">
        <f>COUNTIF('Metrics - Articles'!H901,"*NA*")</f>
        <v>0</v>
      </c>
      <c r="F904">
        <f>COUNTIF('Metrics - Articles'!H901,"*APJ")</f>
        <v>0</v>
      </c>
      <c r="G904">
        <f>COUNTIF('Metrics - Articles'!H901,"*LATAM*")</f>
        <v>0</v>
      </c>
      <c r="H904">
        <f>COUNTIF('Metrics - Articles'!H901,"*China*")</f>
        <v>0</v>
      </c>
      <c r="J904" s="53">
        <f t="shared" si="14"/>
        <v>0</v>
      </c>
    </row>
    <row r="905" spans="2:10" hidden="1" x14ac:dyDescent="0.25">
      <c r="B905" s="48">
        <f>+'Metrics - Articles'!C902</f>
        <v>0</v>
      </c>
      <c r="C905">
        <f>COUNTIF('Metrics - Articles'!H902,"*Global*")</f>
        <v>0</v>
      </c>
      <c r="D905">
        <f>COUNTIF('Metrics - Articles'!H902,"*EMEA*")</f>
        <v>0</v>
      </c>
      <c r="E905">
        <f>COUNTIF('Metrics - Articles'!H902,"*NA*")</f>
        <v>0</v>
      </c>
      <c r="F905">
        <f>COUNTIF('Metrics - Articles'!H902,"*APJ")</f>
        <v>0</v>
      </c>
      <c r="G905">
        <f>COUNTIF('Metrics - Articles'!H902,"*LATAM*")</f>
        <v>0</v>
      </c>
      <c r="H905">
        <f>COUNTIF('Metrics - Articles'!H902,"*China*")</f>
        <v>0</v>
      </c>
      <c r="J905" s="53">
        <f t="shared" si="14"/>
        <v>0</v>
      </c>
    </row>
    <row r="906" spans="2:10" hidden="1" x14ac:dyDescent="0.25">
      <c r="B906" s="48">
        <f>+'Metrics - Articles'!C903</f>
        <v>0</v>
      </c>
      <c r="C906">
        <f>COUNTIF('Metrics - Articles'!H903,"*Global*")</f>
        <v>0</v>
      </c>
      <c r="D906">
        <f>COUNTIF('Metrics - Articles'!H903,"*EMEA*")</f>
        <v>0</v>
      </c>
      <c r="E906">
        <f>COUNTIF('Metrics - Articles'!H903,"*NA*")</f>
        <v>0</v>
      </c>
      <c r="F906">
        <f>COUNTIF('Metrics - Articles'!H903,"*APJ")</f>
        <v>0</v>
      </c>
      <c r="G906">
        <f>COUNTIF('Metrics - Articles'!H903,"*LATAM*")</f>
        <v>0</v>
      </c>
      <c r="H906">
        <f>COUNTIF('Metrics - Articles'!H903,"*China*")</f>
        <v>0</v>
      </c>
      <c r="J906" s="53">
        <f t="shared" ref="J906:J969" si="15">SUM(C906:I906)</f>
        <v>0</v>
      </c>
    </row>
    <row r="907" spans="2:10" hidden="1" x14ac:dyDescent="0.25">
      <c r="B907" s="48">
        <f>+'Metrics - Articles'!C904</f>
        <v>0</v>
      </c>
      <c r="C907">
        <f>COUNTIF('Metrics - Articles'!H904,"*Global*")</f>
        <v>0</v>
      </c>
      <c r="D907">
        <f>COUNTIF('Metrics - Articles'!H904,"*EMEA*")</f>
        <v>0</v>
      </c>
      <c r="E907">
        <f>COUNTIF('Metrics - Articles'!H904,"*NA*")</f>
        <v>0</v>
      </c>
      <c r="F907">
        <f>COUNTIF('Metrics - Articles'!H904,"*APJ")</f>
        <v>0</v>
      </c>
      <c r="G907">
        <f>COUNTIF('Metrics - Articles'!H904,"*LATAM*")</f>
        <v>0</v>
      </c>
      <c r="H907">
        <f>COUNTIF('Metrics - Articles'!H904,"*China*")</f>
        <v>0</v>
      </c>
      <c r="J907" s="53">
        <f t="shared" si="15"/>
        <v>0</v>
      </c>
    </row>
    <row r="908" spans="2:10" hidden="1" x14ac:dyDescent="0.25">
      <c r="B908" s="48">
        <f>+'Metrics - Articles'!C905</f>
        <v>0</v>
      </c>
      <c r="C908">
        <f>COUNTIF('Metrics - Articles'!H905,"*Global*")</f>
        <v>0</v>
      </c>
      <c r="D908">
        <f>COUNTIF('Metrics - Articles'!H905,"*EMEA*")</f>
        <v>0</v>
      </c>
      <c r="E908">
        <f>COUNTIF('Metrics - Articles'!H905,"*NA*")</f>
        <v>0</v>
      </c>
      <c r="F908">
        <f>COUNTIF('Metrics - Articles'!H905,"*APJ")</f>
        <v>0</v>
      </c>
      <c r="G908">
        <f>COUNTIF('Metrics - Articles'!H905,"*LATAM*")</f>
        <v>0</v>
      </c>
      <c r="H908">
        <f>COUNTIF('Metrics - Articles'!H905,"*China*")</f>
        <v>0</v>
      </c>
      <c r="J908" s="53">
        <f t="shared" si="15"/>
        <v>0</v>
      </c>
    </row>
    <row r="909" spans="2:10" hidden="1" x14ac:dyDescent="0.25">
      <c r="B909" s="48">
        <f>+'Metrics - Articles'!C906</f>
        <v>0</v>
      </c>
      <c r="C909">
        <f>COUNTIF('Metrics - Articles'!H906,"*Global*")</f>
        <v>0</v>
      </c>
      <c r="D909">
        <f>COUNTIF('Metrics - Articles'!H906,"*EMEA*")</f>
        <v>0</v>
      </c>
      <c r="E909">
        <f>COUNTIF('Metrics - Articles'!H906,"*NA*")</f>
        <v>0</v>
      </c>
      <c r="F909">
        <f>COUNTIF('Metrics - Articles'!H906,"*APJ")</f>
        <v>0</v>
      </c>
      <c r="G909">
        <f>COUNTIF('Metrics - Articles'!H906,"*LATAM*")</f>
        <v>0</v>
      </c>
      <c r="H909">
        <f>COUNTIF('Metrics - Articles'!H906,"*China*")</f>
        <v>0</v>
      </c>
      <c r="J909" s="53">
        <f t="shared" si="15"/>
        <v>0</v>
      </c>
    </row>
    <row r="910" spans="2:10" hidden="1" x14ac:dyDescent="0.25">
      <c r="B910" s="48">
        <f>+'Metrics - Articles'!C907</f>
        <v>0</v>
      </c>
      <c r="C910">
        <f>COUNTIF('Metrics - Articles'!H907,"*Global*")</f>
        <v>0</v>
      </c>
      <c r="D910">
        <f>COUNTIF('Metrics - Articles'!H907,"*EMEA*")</f>
        <v>0</v>
      </c>
      <c r="E910">
        <f>COUNTIF('Metrics - Articles'!H907,"*NA*")</f>
        <v>0</v>
      </c>
      <c r="F910">
        <f>COUNTIF('Metrics - Articles'!H907,"*APJ")</f>
        <v>0</v>
      </c>
      <c r="G910">
        <f>COUNTIF('Metrics - Articles'!H907,"*LATAM*")</f>
        <v>0</v>
      </c>
      <c r="H910">
        <f>COUNTIF('Metrics - Articles'!H907,"*China*")</f>
        <v>0</v>
      </c>
      <c r="J910" s="53">
        <f t="shared" si="15"/>
        <v>0</v>
      </c>
    </row>
    <row r="911" spans="2:10" hidden="1" x14ac:dyDescent="0.25">
      <c r="B911" s="48">
        <f>+'Metrics - Articles'!C908</f>
        <v>0</v>
      </c>
      <c r="C911">
        <f>COUNTIF('Metrics - Articles'!H908,"*Global*")</f>
        <v>0</v>
      </c>
      <c r="D911">
        <f>COUNTIF('Metrics - Articles'!H908,"*EMEA*")</f>
        <v>0</v>
      </c>
      <c r="E911">
        <f>COUNTIF('Metrics - Articles'!H908,"*NA*")</f>
        <v>0</v>
      </c>
      <c r="F911">
        <f>COUNTIF('Metrics - Articles'!H908,"*APJ")</f>
        <v>0</v>
      </c>
      <c r="G911">
        <f>COUNTIF('Metrics - Articles'!H908,"*LATAM*")</f>
        <v>0</v>
      </c>
      <c r="H911">
        <f>COUNTIF('Metrics - Articles'!H908,"*China*")</f>
        <v>0</v>
      </c>
      <c r="J911" s="53">
        <f t="shared" si="15"/>
        <v>0</v>
      </c>
    </row>
    <row r="912" spans="2:10" hidden="1" x14ac:dyDescent="0.25">
      <c r="B912" s="48">
        <f>+'Metrics - Articles'!C909</f>
        <v>0</v>
      </c>
      <c r="C912">
        <f>COUNTIF('Metrics - Articles'!H909,"*Global*")</f>
        <v>0</v>
      </c>
      <c r="D912">
        <f>COUNTIF('Metrics - Articles'!H909,"*EMEA*")</f>
        <v>0</v>
      </c>
      <c r="E912">
        <f>COUNTIF('Metrics - Articles'!H909,"*NA*")</f>
        <v>0</v>
      </c>
      <c r="F912">
        <f>COUNTIF('Metrics - Articles'!H909,"*APJ")</f>
        <v>0</v>
      </c>
      <c r="G912">
        <f>COUNTIF('Metrics - Articles'!H909,"*LATAM*")</f>
        <v>0</v>
      </c>
      <c r="H912">
        <f>COUNTIF('Metrics - Articles'!H909,"*China*")</f>
        <v>0</v>
      </c>
      <c r="J912" s="53">
        <f t="shared" si="15"/>
        <v>0</v>
      </c>
    </row>
    <row r="913" spans="2:10" hidden="1" x14ac:dyDescent="0.25">
      <c r="B913" s="48">
        <f>+'Metrics - Articles'!C910</f>
        <v>0</v>
      </c>
      <c r="C913">
        <f>COUNTIF('Metrics - Articles'!H910,"*Global*")</f>
        <v>0</v>
      </c>
      <c r="D913">
        <f>COUNTIF('Metrics - Articles'!H910,"*EMEA*")</f>
        <v>0</v>
      </c>
      <c r="E913">
        <f>COUNTIF('Metrics - Articles'!H910,"*NA*")</f>
        <v>0</v>
      </c>
      <c r="F913">
        <f>COUNTIF('Metrics - Articles'!H910,"*APJ")</f>
        <v>0</v>
      </c>
      <c r="G913">
        <f>COUNTIF('Metrics - Articles'!H910,"*LATAM*")</f>
        <v>0</v>
      </c>
      <c r="H913">
        <f>COUNTIF('Metrics - Articles'!H910,"*China*")</f>
        <v>0</v>
      </c>
      <c r="J913" s="53">
        <f t="shared" si="15"/>
        <v>0</v>
      </c>
    </row>
    <row r="914" spans="2:10" hidden="1" x14ac:dyDescent="0.25">
      <c r="B914" s="48">
        <f>+'Metrics - Articles'!C911</f>
        <v>0</v>
      </c>
      <c r="C914">
        <f>COUNTIF('Metrics - Articles'!H911,"*Global*")</f>
        <v>0</v>
      </c>
      <c r="D914">
        <f>COUNTIF('Metrics - Articles'!H911,"*EMEA*")</f>
        <v>0</v>
      </c>
      <c r="E914">
        <f>COUNTIF('Metrics - Articles'!H911,"*NA*")</f>
        <v>0</v>
      </c>
      <c r="F914">
        <f>COUNTIF('Metrics - Articles'!H911,"*APJ")</f>
        <v>0</v>
      </c>
      <c r="G914">
        <f>COUNTIF('Metrics - Articles'!H911,"*LATAM*")</f>
        <v>0</v>
      </c>
      <c r="H914">
        <f>COUNTIF('Metrics - Articles'!H911,"*China*")</f>
        <v>0</v>
      </c>
      <c r="J914" s="53">
        <f t="shared" si="15"/>
        <v>0</v>
      </c>
    </row>
    <row r="915" spans="2:10" hidden="1" x14ac:dyDescent="0.25">
      <c r="B915" s="48">
        <f>+'Metrics - Articles'!C912</f>
        <v>0</v>
      </c>
      <c r="C915">
        <f>COUNTIF('Metrics - Articles'!H912,"*Global*")</f>
        <v>0</v>
      </c>
      <c r="D915">
        <f>COUNTIF('Metrics - Articles'!H912,"*EMEA*")</f>
        <v>0</v>
      </c>
      <c r="E915">
        <f>COUNTIF('Metrics - Articles'!H912,"*NA*")</f>
        <v>0</v>
      </c>
      <c r="F915">
        <f>COUNTIF('Metrics - Articles'!H912,"*APJ")</f>
        <v>0</v>
      </c>
      <c r="G915">
        <f>COUNTIF('Metrics - Articles'!H912,"*LATAM*")</f>
        <v>0</v>
      </c>
      <c r="H915">
        <f>COUNTIF('Metrics - Articles'!H912,"*China*")</f>
        <v>0</v>
      </c>
      <c r="J915" s="53">
        <f t="shared" si="15"/>
        <v>0</v>
      </c>
    </row>
    <row r="916" spans="2:10" hidden="1" x14ac:dyDescent="0.25">
      <c r="B916" s="48">
        <f>+'Metrics - Articles'!C913</f>
        <v>0</v>
      </c>
      <c r="C916">
        <f>COUNTIF('Metrics - Articles'!H913,"*Global*")</f>
        <v>0</v>
      </c>
      <c r="D916">
        <f>COUNTIF('Metrics - Articles'!H913,"*EMEA*")</f>
        <v>0</v>
      </c>
      <c r="E916">
        <f>COUNTIF('Metrics - Articles'!H913,"*NA*")</f>
        <v>0</v>
      </c>
      <c r="F916">
        <f>COUNTIF('Metrics - Articles'!H913,"*APJ")</f>
        <v>0</v>
      </c>
      <c r="G916">
        <f>COUNTIF('Metrics - Articles'!H913,"*LATAM*")</f>
        <v>0</v>
      </c>
      <c r="H916">
        <f>COUNTIF('Metrics - Articles'!H913,"*China*")</f>
        <v>0</v>
      </c>
      <c r="J916" s="53">
        <f t="shared" si="15"/>
        <v>0</v>
      </c>
    </row>
    <row r="917" spans="2:10" hidden="1" x14ac:dyDescent="0.25">
      <c r="B917" s="48">
        <f>+'Metrics - Articles'!C914</f>
        <v>0</v>
      </c>
      <c r="C917">
        <f>COUNTIF('Metrics - Articles'!H914,"*Global*")</f>
        <v>0</v>
      </c>
      <c r="D917">
        <f>COUNTIF('Metrics - Articles'!H914,"*EMEA*")</f>
        <v>0</v>
      </c>
      <c r="E917">
        <f>COUNTIF('Metrics - Articles'!H914,"*NA*")</f>
        <v>0</v>
      </c>
      <c r="F917">
        <f>COUNTIF('Metrics - Articles'!H914,"*APJ")</f>
        <v>0</v>
      </c>
      <c r="G917">
        <f>COUNTIF('Metrics - Articles'!H914,"*LATAM*")</f>
        <v>0</v>
      </c>
      <c r="H917">
        <f>COUNTIF('Metrics - Articles'!H914,"*China*")</f>
        <v>0</v>
      </c>
      <c r="J917" s="53">
        <f t="shared" si="15"/>
        <v>0</v>
      </c>
    </row>
    <row r="918" spans="2:10" hidden="1" x14ac:dyDescent="0.25">
      <c r="B918" s="48">
        <f>+'Metrics - Articles'!C915</f>
        <v>0</v>
      </c>
      <c r="C918">
        <f>COUNTIF('Metrics - Articles'!H915,"*Global*")</f>
        <v>0</v>
      </c>
      <c r="D918">
        <f>COUNTIF('Metrics - Articles'!H915,"*EMEA*")</f>
        <v>0</v>
      </c>
      <c r="E918">
        <f>COUNTIF('Metrics - Articles'!H915,"*NA*")</f>
        <v>0</v>
      </c>
      <c r="F918">
        <f>COUNTIF('Metrics - Articles'!H915,"*APJ")</f>
        <v>0</v>
      </c>
      <c r="G918">
        <f>COUNTIF('Metrics - Articles'!H915,"*LATAM*")</f>
        <v>0</v>
      </c>
      <c r="H918">
        <f>COUNTIF('Metrics - Articles'!H915,"*China*")</f>
        <v>0</v>
      </c>
      <c r="J918" s="53">
        <f t="shared" si="15"/>
        <v>0</v>
      </c>
    </row>
    <row r="919" spans="2:10" hidden="1" x14ac:dyDescent="0.25">
      <c r="B919" s="48">
        <f>+'Metrics - Articles'!C916</f>
        <v>0</v>
      </c>
      <c r="C919">
        <f>COUNTIF('Metrics - Articles'!H916,"*Global*")</f>
        <v>0</v>
      </c>
      <c r="D919">
        <f>COUNTIF('Metrics - Articles'!H916,"*EMEA*")</f>
        <v>0</v>
      </c>
      <c r="E919">
        <f>COUNTIF('Metrics - Articles'!H916,"*NA*")</f>
        <v>0</v>
      </c>
      <c r="F919">
        <f>COUNTIF('Metrics - Articles'!H916,"*APJ")</f>
        <v>0</v>
      </c>
      <c r="G919">
        <f>COUNTIF('Metrics - Articles'!H916,"*LATAM*")</f>
        <v>0</v>
      </c>
      <c r="H919">
        <f>COUNTIF('Metrics - Articles'!H916,"*China*")</f>
        <v>0</v>
      </c>
      <c r="J919" s="53">
        <f t="shared" si="15"/>
        <v>0</v>
      </c>
    </row>
    <row r="920" spans="2:10" hidden="1" x14ac:dyDescent="0.25">
      <c r="B920" s="48">
        <f>+'Metrics - Articles'!C917</f>
        <v>0</v>
      </c>
      <c r="C920">
        <f>COUNTIF('Metrics - Articles'!H917,"*Global*")</f>
        <v>0</v>
      </c>
      <c r="D920">
        <f>COUNTIF('Metrics - Articles'!H917,"*EMEA*")</f>
        <v>0</v>
      </c>
      <c r="E920">
        <f>COUNTIF('Metrics - Articles'!H917,"*NA*")</f>
        <v>0</v>
      </c>
      <c r="F920">
        <f>COUNTIF('Metrics - Articles'!H917,"*APJ")</f>
        <v>0</v>
      </c>
      <c r="G920">
        <f>COUNTIF('Metrics - Articles'!H917,"*LATAM*")</f>
        <v>0</v>
      </c>
      <c r="H920">
        <f>COUNTIF('Metrics - Articles'!H917,"*China*")</f>
        <v>0</v>
      </c>
      <c r="J920" s="53">
        <f t="shared" si="15"/>
        <v>0</v>
      </c>
    </row>
    <row r="921" spans="2:10" hidden="1" x14ac:dyDescent="0.25">
      <c r="B921" s="48">
        <f>+'Metrics - Articles'!C918</f>
        <v>0</v>
      </c>
      <c r="C921">
        <f>COUNTIF('Metrics - Articles'!H918,"*Global*")</f>
        <v>0</v>
      </c>
      <c r="D921">
        <f>COUNTIF('Metrics - Articles'!H918,"*EMEA*")</f>
        <v>0</v>
      </c>
      <c r="E921">
        <f>COUNTIF('Metrics - Articles'!H918,"*NA*")</f>
        <v>0</v>
      </c>
      <c r="F921">
        <f>COUNTIF('Metrics - Articles'!H918,"*APJ")</f>
        <v>0</v>
      </c>
      <c r="G921">
        <f>COUNTIF('Metrics - Articles'!H918,"*LATAM*")</f>
        <v>0</v>
      </c>
      <c r="H921">
        <f>COUNTIF('Metrics - Articles'!H918,"*China*")</f>
        <v>0</v>
      </c>
      <c r="J921" s="53">
        <f t="shared" si="15"/>
        <v>0</v>
      </c>
    </row>
    <row r="922" spans="2:10" hidden="1" x14ac:dyDescent="0.25">
      <c r="B922" s="48">
        <f>+'Metrics - Articles'!C919</f>
        <v>0</v>
      </c>
      <c r="C922">
        <f>COUNTIF('Metrics - Articles'!H919,"*Global*")</f>
        <v>0</v>
      </c>
      <c r="D922">
        <f>COUNTIF('Metrics - Articles'!H919,"*EMEA*")</f>
        <v>0</v>
      </c>
      <c r="E922">
        <f>COUNTIF('Metrics - Articles'!H919,"*NA*")</f>
        <v>0</v>
      </c>
      <c r="F922">
        <f>COUNTIF('Metrics - Articles'!H919,"*APJ")</f>
        <v>0</v>
      </c>
      <c r="G922">
        <f>COUNTIF('Metrics - Articles'!H919,"*LATAM*")</f>
        <v>0</v>
      </c>
      <c r="H922">
        <f>COUNTIF('Metrics - Articles'!H919,"*China*")</f>
        <v>0</v>
      </c>
      <c r="J922" s="53">
        <f t="shared" si="15"/>
        <v>0</v>
      </c>
    </row>
    <row r="923" spans="2:10" hidden="1" x14ac:dyDescent="0.25">
      <c r="B923" s="48">
        <f>+'Metrics - Articles'!C920</f>
        <v>0</v>
      </c>
      <c r="C923">
        <f>COUNTIF('Metrics - Articles'!H920,"*Global*")</f>
        <v>0</v>
      </c>
      <c r="D923">
        <f>COUNTIF('Metrics - Articles'!H920,"*EMEA*")</f>
        <v>0</v>
      </c>
      <c r="E923">
        <f>COUNTIF('Metrics - Articles'!H920,"*NA*")</f>
        <v>0</v>
      </c>
      <c r="F923">
        <f>COUNTIF('Metrics - Articles'!H920,"*APJ")</f>
        <v>0</v>
      </c>
      <c r="G923">
        <f>COUNTIF('Metrics - Articles'!H920,"*LATAM*")</f>
        <v>0</v>
      </c>
      <c r="H923">
        <f>COUNTIF('Metrics - Articles'!H920,"*China*")</f>
        <v>0</v>
      </c>
      <c r="J923" s="53">
        <f t="shared" si="15"/>
        <v>0</v>
      </c>
    </row>
    <row r="924" spans="2:10" hidden="1" x14ac:dyDescent="0.25">
      <c r="B924" s="48">
        <f>+'Metrics - Articles'!C921</f>
        <v>0</v>
      </c>
      <c r="C924">
        <f>COUNTIF('Metrics - Articles'!H921,"*Global*")</f>
        <v>0</v>
      </c>
      <c r="D924">
        <f>COUNTIF('Metrics - Articles'!H921,"*EMEA*")</f>
        <v>0</v>
      </c>
      <c r="E924">
        <f>COUNTIF('Metrics - Articles'!H921,"*NA*")</f>
        <v>0</v>
      </c>
      <c r="F924">
        <f>COUNTIF('Metrics - Articles'!H921,"*APJ")</f>
        <v>0</v>
      </c>
      <c r="G924">
        <f>COUNTIF('Metrics - Articles'!H921,"*LATAM*")</f>
        <v>0</v>
      </c>
      <c r="H924">
        <f>COUNTIF('Metrics - Articles'!H921,"*China*")</f>
        <v>0</v>
      </c>
      <c r="J924" s="53">
        <f t="shared" si="15"/>
        <v>0</v>
      </c>
    </row>
    <row r="925" spans="2:10" hidden="1" x14ac:dyDescent="0.25">
      <c r="B925" s="48">
        <f>+'Metrics - Articles'!C922</f>
        <v>0</v>
      </c>
      <c r="C925">
        <f>COUNTIF('Metrics - Articles'!H922,"*Global*")</f>
        <v>0</v>
      </c>
      <c r="D925">
        <f>COUNTIF('Metrics - Articles'!H922,"*EMEA*")</f>
        <v>0</v>
      </c>
      <c r="E925">
        <f>COUNTIF('Metrics - Articles'!H922,"*NA*")</f>
        <v>0</v>
      </c>
      <c r="F925">
        <f>COUNTIF('Metrics - Articles'!H922,"*APJ")</f>
        <v>0</v>
      </c>
      <c r="G925">
        <f>COUNTIF('Metrics - Articles'!H922,"*LATAM*")</f>
        <v>0</v>
      </c>
      <c r="H925">
        <f>COUNTIF('Metrics - Articles'!H922,"*China*")</f>
        <v>0</v>
      </c>
      <c r="J925" s="53">
        <f t="shared" si="15"/>
        <v>0</v>
      </c>
    </row>
    <row r="926" spans="2:10" hidden="1" x14ac:dyDescent="0.25">
      <c r="B926" s="48">
        <f>+'Metrics - Articles'!C923</f>
        <v>0</v>
      </c>
      <c r="C926">
        <f>COUNTIF('Metrics - Articles'!H923,"*Global*")</f>
        <v>0</v>
      </c>
      <c r="D926">
        <f>COUNTIF('Metrics - Articles'!H923,"*EMEA*")</f>
        <v>0</v>
      </c>
      <c r="E926">
        <f>COUNTIF('Metrics - Articles'!H923,"*NA*")</f>
        <v>0</v>
      </c>
      <c r="F926">
        <f>COUNTIF('Metrics - Articles'!H923,"*APJ")</f>
        <v>0</v>
      </c>
      <c r="G926">
        <f>COUNTIF('Metrics - Articles'!H923,"*LATAM*")</f>
        <v>0</v>
      </c>
      <c r="H926">
        <f>COUNTIF('Metrics - Articles'!H923,"*China*")</f>
        <v>0</v>
      </c>
      <c r="J926" s="53">
        <f t="shared" si="15"/>
        <v>0</v>
      </c>
    </row>
    <row r="927" spans="2:10" hidden="1" x14ac:dyDescent="0.25">
      <c r="B927" s="48">
        <f>+'Metrics - Articles'!C924</f>
        <v>0</v>
      </c>
      <c r="C927">
        <f>COUNTIF('Metrics - Articles'!H924,"*Global*")</f>
        <v>0</v>
      </c>
      <c r="D927">
        <f>COUNTIF('Metrics - Articles'!H924,"*EMEA*")</f>
        <v>0</v>
      </c>
      <c r="E927">
        <f>COUNTIF('Metrics - Articles'!H924,"*NA*")</f>
        <v>0</v>
      </c>
      <c r="F927">
        <f>COUNTIF('Metrics - Articles'!H924,"*APJ")</f>
        <v>0</v>
      </c>
      <c r="G927">
        <f>COUNTIF('Metrics - Articles'!H924,"*LATAM*")</f>
        <v>0</v>
      </c>
      <c r="H927">
        <f>COUNTIF('Metrics - Articles'!H924,"*China*")</f>
        <v>0</v>
      </c>
      <c r="J927" s="53">
        <f t="shared" si="15"/>
        <v>0</v>
      </c>
    </row>
    <row r="928" spans="2:10" hidden="1" x14ac:dyDescent="0.25">
      <c r="B928" s="48">
        <f>+'Metrics - Articles'!C925</f>
        <v>0</v>
      </c>
      <c r="C928">
        <f>COUNTIF('Metrics - Articles'!H925,"*Global*")</f>
        <v>0</v>
      </c>
      <c r="D928">
        <f>COUNTIF('Metrics - Articles'!H925,"*EMEA*")</f>
        <v>0</v>
      </c>
      <c r="E928">
        <f>COUNTIF('Metrics - Articles'!H925,"*NA*")</f>
        <v>0</v>
      </c>
      <c r="F928">
        <f>COUNTIF('Metrics - Articles'!H925,"*APJ")</f>
        <v>0</v>
      </c>
      <c r="G928">
        <f>COUNTIF('Metrics - Articles'!H925,"*LATAM*")</f>
        <v>0</v>
      </c>
      <c r="H928">
        <f>COUNTIF('Metrics - Articles'!H925,"*China*")</f>
        <v>0</v>
      </c>
      <c r="J928" s="53">
        <f t="shared" si="15"/>
        <v>0</v>
      </c>
    </row>
    <row r="929" spans="2:10" hidden="1" x14ac:dyDescent="0.25">
      <c r="B929" s="48">
        <f>+'Metrics - Articles'!C926</f>
        <v>0</v>
      </c>
      <c r="C929">
        <f>COUNTIF('Metrics - Articles'!H926,"*Global*")</f>
        <v>0</v>
      </c>
      <c r="D929">
        <f>COUNTIF('Metrics - Articles'!H926,"*EMEA*")</f>
        <v>0</v>
      </c>
      <c r="E929">
        <f>COUNTIF('Metrics - Articles'!H926,"*NA*")</f>
        <v>0</v>
      </c>
      <c r="F929">
        <f>COUNTIF('Metrics - Articles'!H926,"*APJ")</f>
        <v>0</v>
      </c>
      <c r="G929">
        <f>COUNTIF('Metrics - Articles'!H926,"*LATAM*")</f>
        <v>0</v>
      </c>
      <c r="H929">
        <f>COUNTIF('Metrics - Articles'!H926,"*China*")</f>
        <v>0</v>
      </c>
      <c r="J929" s="53">
        <f t="shared" si="15"/>
        <v>0</v>
      </c>
    </row>
    <row r="930" spans="2:10" hidden="1" x14ac:dyDescent="0.25">
      <c r="B930" s="48">
        <f>+'Metrics - Articles'!C927</f>
        <v>0</v>
      </c>
      <c r="C930">
        <f>COUNTIF('Metrics - Articles'!H927,"*Global*")</f>
        <v>0</v>
      </c>
      <c r="D930">
        <f>COUNTIF('Metrics - Articles'!H927,"*EMEA*")</f>
        <v>0</v>
      </c>
      <c r="E930">
        <f>COUNTIF('Metrics - Articles'!H927,"*NA*")</f>
        <v>0</v>
      </c>
      <c r="F930">
        <f>COUNTIF('Metrics - Articles'!H927,"*APJ")</f>
        <v>0</v>
      </c>
      <c r="G930">
        <f>COUNTIF('Metrics - Articles'!H927,"*LATAM*")</f>
        <v>0</v>
      </c>
      <c r="H930">
        <f>COUNTIF('Metrics - Articles'!H927,"*China*")</f>
        <v>0</v>
      </c>
      <c r="J930" s="53">
        <f t="shared" si="15"/>
        <v>0</v>
      </c>
    </row>
    <row r="931" spans="2:10" hidden="1" x14ac:dyDescent="0.25">
      <c r="B931" s="48">
        <f>+'Metrics - Articles'!C928</f>
        <v>0</v>
      </c>
      <c r="C931">
        <f>COUNTIF('Metrics - Articles'!H928,"*Global*")</f>
        <v>0</v>
      </c>
      <c r="D931">
        <f>COUNTIF('Metrics - Articles'!H928,"*EMEA*")</f>
        <v>0</v>
      </c>
      <c r="E931">
        <f>COUNTIF('Metrics - Articles'!H928,"*NA*")</f>
        <v>0</v>
      </c>
      <c r="F931">
        <f>COUNTIF('Metrics - Articles'!H928,"*APJ")</f>
        <v>0</v>
      </c>
      <c r="G931">
        <f>COUNTIF('Metrics - Articles'!H928,"*LATAM*")</f>
        <v>0</v>
      </c>
      <c r="H931">
        <f>COUNTIF('Metrics - Articles'!H928,"*China*")</f>
        <v>0</v>
      </c>
      <c r="J931" s="53">
        <f t="shared" si="15"/>
        <v>0</v>
      </c>
    </row>
    <row r="932" spans="2:10" hidden="1" x14ac:dyDescent="0.25">
      <c r="B932" s="48">
        <f>+'Metrics - Articles'!C929</f>
        <v>0</v>
      </c>
      <c r="C932">
        <f>COUNTIF('Metrics - Articles'!H929,"*Global*")</f>
        <v>0</v>
      </c>
      <c r="D932">
        <f>COUNTIF('Metrics - Articles'!H929,"*EMEA*")</f>
        <v>0</v>
      </c>
      <c r="E932">
        <f>COUNTIF('Metrics - Articles'!H929,"*NA*")</f>
        <v>0</v>
      </c>
      <c r="F932">
        <f>COUNTIF('Metrics - Articles'!H929,"*APJ")</f>
        <v>0</v>
      </c>
      <c r="G932">
        <f>COUNTIF('Metrics - Articles'!H929,"*LATAM*")</f>
        <v>0</v>
      </c>
      <c r="H932">
        <f>COUNTIF('Metrics - Articles'!H929,"*China*")</f>
        <v>0</v>
      </c>
      <c r="J932" s="53">
        <f t="shared" si="15"/>
        <v>0</v>
      </c>
    </row>
    <row r="933" spans="2:10" hidden="1" x14ac:dyDescent="0.25">
      <c r="B933" s="48">
        <f>+'Metrics - Articles'!C930</f>
        <v>0</v>
      </c>
      <c r="C933">
        <f>COUNTIF('Metrics - Articles'!H930,"*Global*")</f>
        <v>0</v>
      </c>
      <c r="D933">
        <f>COUNTIF('Metrics - Articles'!H930,"*EMEA*")</f>
        <v>0</v>
      </c>
      <c r="E933">
        <f>COUNTIF('Metrics - Articles'!H930,"*NA*")</f>
        <v>0</v>
      </c>
      <c r="F933">
        <f>COUNTIF('Metrics - Articles'!H930,"*APJ")</f>
        <v>0</v>
      </c>
      <c r="G933">
        <f>COUNTIF('Metrics - Articles'!H930,"*LATAM*")</f>
        <v>0</v>
      </c>
      <c r="H933">
        <f>COUNTIF('Metrics - Articles'!H930,"*China*")</f>
        <v>0</v>
      </c>
      <c r="J933" s="53">
        <f t="shared" si="15"/>
        <v>0</v>
      </c>
    </row>
    <row r="934" spans="2:10" hidden="1" x14ac:dyDescent="0.25">
      <c r="B934" s="48">
        <f>+'Metrics - Articles'!C931</f>
        <v>0</v>
      </c>
      <c r="C934">
        <f>COUNTIF('Metrics - Articles'!H931,"*Global*")</f>
        <v>0</v>
      </c>
      <c r="D934">
        <f>COUNTIF('Metrics - Articles'!H931,"*EMEA*")</f>
        <v>0</v>
      </c>
      <c r="E934">
        <f>COUNTIF('Metrics - Articles'!H931,"*NA*")</f>
        <v>0</v>
      </c>
      <c r="F934">
        <f>COUNTIF('Metrics - Articles'!H931,"*APJ")</f>
        <v>0</v>
      </c>
      <c r="G934">
        <f>COUNTIF('Metrics - Articles'!H931,"*LATAM*")</f>
        <v>0</v>
      </c>
      <c r="H934">
        <f>COUNTIF('Metrics - Articles'!H931,"*China*")</f>
        <v>0</v>
      </c>
      <c r="J934" s="53">
        <f t="shared" si="15"/>
        <v>0</v>
      </c>
    </row>
    <row r="935" spans="2:10" hidden="1" x14ac:dyDescent="0.25">
      <c r="B935" s="48">
        <f>+'Metrics - Articles'!C932</f>
        <v>0</v>
      </c>
      <c r="C935">
        <f>COUNTIF('Metrics - Articles'!H932,"*Global*")</f>
        <v>0</v>
      </c>
      <c r="D935">
        <f>COUNTIF('Metrics - Articles'!H932,"*EMEA*")</f>
        <v>0</v>
      </c>
      <c r="E935">
        <f>COUNTIF('Metrics - Articles'!H932,"*NA*")</f>
        <v>0</v>
      </c>
      <c r="F935">
        <f>COUNTIF('Metrics - Articles'!H932,"*APJ")</f>
        <v>0</v>
      </c>
      <c r="G935">
        <f>COUNTIF('Metrics - Articles'!H932,"*LATAM*")</f>
        <v>0</v>
      </c>
      <c r="H935">
        <f>COUNTIF('Metrics - Articles'!H932,"*China*")</f>
        <v>0</v>
      </c>
      <c r="J935" s="53">
        <f t="shared" si="15"/>
        <v>0</v>
      </c>
    </row>
    <row r="936" spans="2:10" hidden="1" x14ac:dyDescent="0.25">
      <c r="B936" s="48">
        <f>+'Metrics - Articles'!C933</f>
        <v>0</v>
      </c>
      <c r="C936">
        <f>COUNTIF('Metrics - Articles'!H933,"*Global*")</f>
        <v>0</v>
      </c>
      <c r="D936">
        <f>COUNTIF('Metrics - Articles'!H933,"*EMEA*")</f>
        <v>0</v>
      </c>
      <c r="E936">
        <f>COUNTIF('Metrics - Articles'!H933,"*NA*")</f>
        <v>0</v>
      </c>
      <c r="F936">
        <f>COUNTIF('Metrics - Articles'!H933,"*APJ")</f>
        <v>0</v>
      </c>
      <c r="G936">
        <f>COUNTIF('Metrics - Articles'!H933,"*LATAM*")</f>
        <v>0</v>
      </c>
      <c r="H936">
        <f>COUNTIF('Metrics - Articles'!H933,"*China*")</f>
        <v>0</v>
      </c>
      <c r="J936" s="53">
        <f t="shared" si="15"/>
        <v>0</v>
      </c>
    </row>
    <row r="937" spans="2:10" hidden="1" x14ac:dyDescent="0.25">
      <c r="B937" s="48">
        <f>+'Metrics - Articles'!C934</f>
        <v>0</v>
      </c>
      <c r="C937">
        <f>COUNTIF('Metrics - Articles'!H934,"*Global*")</f>
        <v>0</v>
      </c>
      <c r="D937">
        <f>COUNTIF('Metrics - Articles'!H934,"*EMEA*")</f>
        <v>0</v>
      </c>
      <c r="E937">
        <f>COUNTIF('Metrics - Articles'!H934,"*NA*")</f>
        <v>0</v>
      </c>
      <c r="F937">
        <f>COUNTIF('Metrics - Articles'!H934,"*APJ")</f>
        <v>0</v>
      </c>
      <c r="G937">
        <f>COUNTIF('Metrics - Articles'!H934,"*LATAM*")</f>
        <v>0</v>
      </c>
      <c r="H937">
        <f>COUNTIF('Metrics - Articles'!H934,"*China*")</f>
        <v>0</v>
      </c>
      <c r="J937" s="53">
        <f t="shared" si="15"/>
        <v>0</v>
      </c>
    </row>
    <row r="938" spans="2:10" hidden="1" x14ac:dyDescent="0.25">
      <c r="B938" s="48">
        <f>+'Metrics - Articles'!C935</f>
        <v>0</v>
      </c>
      <c r="C938">
        <f>COUNTIF('Metrics - Articles'!H935,"*Global*")</f>
        <v>0</v>
      </c>
      <c r="D938">
        <f>COUNTIF('Metrics - Articles'!H935,"*EMEA*")</f>
        <v>0</v>
      </c>
      <c r="E938">
        <f>COUNTIF('Metrics - Articles'!H935,"*NA*")</f>
        <v>0</v>
      </c>
      <c r="F938">
        <f>COUNTIF('Metrics - Articles'!H935,"*APJ")</f>
        <v>0</v>
      </c>
      <c r="G938">
        <f>COUNTIF('Metrics - Articles'!H935,"*LATAM*")</f>
        <v>0</v>
      </c>
      <c r="H938">
        <f>COUNTIF('Metrics - Articles'!H935,"*China*")</f>
        <v>0</v>
      </c>
      <c r="J938" s="53">
        <f t="shared" si="15"/>
        <v>0</v>
      </c>
    </row>
    <row r="939" spans="2:10" hidden="1" x14ac:dyDescent="0.25">
      <c r="B939" s="48">
        <f>+'Metrics - Articles'!C936</f>
        <v>0</v>
      </c>
      <c r="C939">
        <f>COUNTIF('Metrics - Articles'!H936,"*Global*")</f>
        <v>0</v>
      </c>
      <c r="D939">
        <f>COUNTIF('Metrics - Articles'!H936,"*EMEA*")</f>
        <v>0</v>
      </c>
      <c r="E939">
        <f>COUNTIF('Metrics - Articles'!H936,"*NA*")</f>
        <v>0</v>
      </c>
      <c r="F939">
        <f>COUNTIF('Metrics - Articles'!H936,"*APJ")</f>
        <v>0</v>
      </c>
      <c r="G939">
        <f>COUNTIF('Metrics - Articles'!H936,"*LATAM*")</f>
        <v>0</v>
      </c>
      <c r="H939">
        <f>COUNTIF('Metrics - Articles'!H936,"*China*")</f>
        <v>0</v>
      </c>
      <c r="J939" s="53">
        <f t="shared" si="15"/>
        <v>0</v>
      </c>
    </row>
    <row r="940" spans="2:10" hidden="1" x14ac:dyDescent="0.25">
      <c r="B940" s="48">
        <f>+'Metrics - Articles'!C937</f>
        <v>0</v>
      </c>
      <c r="C940">
        <f>COUNTIF('Metrics - Articles'!H937,"*Global*")</f>
        <v>0</v>
      </c>
      <c r="D940">
        <f>COUNTIF('Metrics - Articles'!H937,"*EMEA*")</f>
        <v>0</v>
      </c>
      <c r="E940">
        <f>COUNTIF('Metrics - Articles'!H937,"*NA*")</f>
        <v>0</v>
      </c>
      <c r="F940">
        <f>COUNTIF('Metrics - Articles'!H937,"*APJ")</f>
        <v>0</v>
      </c>
      <c r="G940">
        <f>COUNTIF('Metrics - Articles'!H937,"*LATAM*")</f>
        <v>0</v>
      </c>
      <c r="H940">
        <f>COUNTIF('Metrics - Articles'!H937,"*China*")</f>
        <v>0</v>
      </c>
      <c r="J940" s="53">
        <f t="shared" si="15"/>
        <v>0</v>
      </c>
    </row>
    <row r="941" spans="2:10" hidden="1" x14ac:dyDescent="0.25">
      <c r="B941" s="48">
        <f>+'Metrics - Articles'!C938</f>
        <v>0</v>
      </c>
      <c r="C941">
        <f>COUNTIF('Metrics - Articles'!H938,"*Global*")</f>
        <v>0</v>
      </c>
      <c r="D941">
        <f>COUNTIF('Metrics - Articles'!H938,"*EMEA*")</f>
        <v>0</v>
      </c>
      <c r="E941">
        <f>COUNTIF('Metrics - Articles'!H938,"*NA*")</f>
        <v>0</v>
      </c>
      <c r="F941">
        <f>COUNTIF('Metrics - Articles'!H938,"*APJ")</f>
        <v>0</v>
      </c>
      <c r="G941">
        <f>COUNTIF('Metrics - Articles'!H938,"*LATAM*")</f>
        <v>0</v>
      </c>
      <c r="H941">
        <f>COUNTIF('Metrics - Articles'!H938,"*China*")</f>
        <v>0</v>
      </c>
      <c r="J941" s="53">
        <f t="shared" si="15"/>
        <v>0</v>
      </c>
    </row>
    <row r="942" spans="2:10" hidden="1" x14ac:dyDescent="0.25">
      <c r="B942" s="48">
        <f>+'Metrics - Articles'!C939</f>
        <v>0</v>
      </c>
      <c r="C942">
        <f>COUNTIF('Metrics - Articles'!H939,"*Global*")</f>
        <v>0</v>
      </c>
      <c r="D942">
        <f>COUNTIF('Metrics - Articles'!H939,"*EMEA*")</f>
        <v>0</v>
      </c>
      <c r="E942">
        <f>COUNTIF('Metrics - Articles'!H939,"*NA*")</f>
        <v>0</v>
      </c>
      <c r="F942">
        <f>COUNTIF('Metrics - Articles'!H939,"*APJ")</f>
        <v>0</v>
      </c>
      <c r="G942">
        <f>COUNTIF('Metrics - Articles'!H939,"*LATAM*")</f>
        <v>0</v>
      </c>
      <c r="H942">
        <f>COUNTIF('Metrics - Articles'!H939,"*China*")</f>
        <v>0</v>
      </c>
      <c r="J942" s="53">
        <f t="shared" si="15"/>
        <v>0</v>
      </c>
    </row>
    <row r="943" spans="2:10" hidden="1" x14ac:dyDescent="0.25">
      <c r="B943" s="48">
        <f>+'Metrics - Articles'!C940</f>
        <v>0</v>
      </c>
      <c r="C943">
        <f>COUNTIF('Metrics - Articles'!H940,"*Global*")</f>
        <v>0</v>
      </c>
      <c r="D943">
        <f>COUNTIF('Metrics - Articles'!H940,"*EMEA*")</f>
        <v>0</v>
      </c>
      <c r="E943">
        <f>COUNTIF('Metrics - Articles'!H940,"*NA*")</f>
        <v>0</v>
      </c>
      <c r="F943">
        <f>COUNTIF('Metrics - Articles'!H940,"*APJ")</f>
        <v>0</v>
      </c>
      <c r="G943">
        <f>COUNTIF('Metrics - Articles'!H940,"*LATAM*")</f>
        <v>0</v>
      </c>
      <c r="H943">
        <f>COUNTIF('Metrics - Articles'!H940,"*China*")</f>
        <v>0</v>
      </c>
      <c r="J943" s="53">
        <f t="shared" si="15"/>
        <v>0</v>
      </c>
    </row>
    <row r="944" spans="2:10" hidden="1" x14ac:dyDescent="0.25">
      <c r="B944" s="48">
        <f>+'Metrics - Articles'!C941</f>
        <v>0</v>
      </c>
      <c r="C944">
        <f>COUNTIF('Metrics - Articles'!H941,"*Global*")</f>
        <v>0</v>
      </c>
      <c r="D944">
        <f>COUNTIF('Metrics - Articles'!H941,"*EMEA*")</f>
        <v>0</v>
      </c>
      <c r="E944">
        <f>COUNTIF('Metrics - Articles'!H941,"*NA*")</f>
        <v>0</v>
      </c>
      <c r="F944">
        <f>COUNTIF('Metrics - Articles'!H941,"*APJ")</f>
        <v>0</v>
      </c>
      <c r="G944">
        <f>COUNTIF('Metrics - Articles'!H941,"*LATAM*")</f>
        <v>0</v>
      </c>
      <c r="H944">
        <f>COUNTIF('Metrics - Articles'!H941,"*China*")</f>
        <v>0</v>
      </c>
      <c r="J944" s="53">
        <f t="shared" si="15"/>
        <v>0</v>
      </c>
    </row>
    <row r="945" spans="2:10" hidden="1" x14ac:dyDescent="0.25">
      <c r="B945" s="48">
        <f>+'Metrics - Articles'!C942</f>
        <v>0</v>
      </c>
      <c r="C945">
        <f>COUNTIF('Metrics - Articles'!H942,"*Global*")</f>
        <v>0</v>
      </c>
      <c r="D945">
        <f>COUNTIF('Metrics - Articles'!H942,"*EMEA*")</f>
        <v>0</v>
      </c>
      <c r="E945">
        <f>COUNTIF('Metrics - Articles'!H942,"*NA*")</f>
        <v>0</v>
      </c>
      <c r="F945">
        <f>COUNTIF('Metrics - Articles'!H942,"*APJ")</f>
        <v>0</v>
      </c>
      <c r="G945">
        <f>COUNTIF('Metrics - Articles'!H942,"*LATAM*")</f>
        <v>0</v>
      </c>
      <c r="H945">
        <f>COUNTIF('Metrics - Articles'!H942,"*China*")</f>
        <v>0</v>
      </c>
      <c r="J945" s="53">
        <f t="shared" si="15"/>
        <v>0</v>
      </c>
    </row>
    <row r="946" spans="2:10" hidden="1" x14ac:dyDescent="0.25">
      <c r="B946" s="48">
        <f>+'Metrics - Articles'!C943</f>
        <v>0</v>
      </c>
      <c r="C946">
        <f>COUNTIF('Metrics - Articles'!H943,"*Global*")</f>
        <v>0</v>
      </c>
      <c r="D946">
        <f>COUNTIF('Metrics - Articles'!H943,"*EMEA*")</f>
        <v>0</v>
      </c>
      <c r="E946">
        <f>COUNTIF('Metrics - Articles'!H943,"*NA*")</f>
        <v>0</v>
      </c>
      <c r="F946">
        <f>COUNTIF('Metrics - Articles'!H943,"*APJ")</f>
        <v>0</v>
      </c>
      <c r="G946">
        <f>COUNTIF('Metrics - Articles'!H943,"*LATAM*")</f>
        <v>0</v>
      </c>
      <c r="H946">
        <f>COUNTIF('Metrics - Articles'!H943,"*China*")</f>
        <v>0</v>
      </c>
      <c r="J946" s="53">
        <f t="shared" si="15"/>
        <v>0</v>
      </c>
    </row>
    <row r="947" spans="2:10" hidden="1" x14ac:dyDescent="0.25">
      <c r="B947" s="48">
        <f>+'Metrics - Articles'!C944</f>
        <v>0</v>
      </c>
      <c r="C947">
        <f>COUNTIF('Metrics - Articles'!H944,"*Global*")</f>
        <v>0</v>
      </c>
      <c r="D947">
        <f>COUNTIF('Metrics - Articles'!H944,"*EMEA*")</f>
        <v>0</v>
      </c>
      <c r="E947">
        <f>COUNTIF('Metrics - Articles'!H944,"*NA*")</f>
        <v>0</v>
      </c>
      <c r="F947">
        <f>COUNTIF('Metrics - Articles'!H944,"*APJ")</f>
        <v>0</v>
      </c>
      <c r="G947">
        <f>COUNTIF('Metrics - Articles'!H944,"*LATAM*")</f>
        <v>0</v>
      </c>
      <c r="H947">
        <f>COUNTIF('Metrics - Articles'!H944,"*China*")</f>
        <v>0</v>
      </c>
      <c r="J947" s="53">
        <f t="shared" si="15"/>
        <v>0</v>
      </c>
    </row>
    <row r="948" spans="2:10" hidden="1" x14ac:dyDescent="0.25">
      <c r="B948" s="48">
        <f>+'Metrics - Articles'!C945</f>
        <v>0</v>
      </c>
      <c r="C948">
        <f>COUNTIF('Metrics - Articles'!H945,"*Global*")</f>
        <v>0</v>
      </c>
      <c r="D948">
        <f>COUNTIF('Metrics - Articles'!H945,"*EMEA*")</f>
        <v>0</v>
      </c>
      <c r="E948">
        <f>COUNTIF('Metrics - Articles'!H945,"*NA*")</f>
        <v>0</v>
      </c>
      <c r="F948">
        <f>COUNTIF('Metrics - Articles'!H945,"*APJ")</f>
        <v>0</v>
      </c>
      <c r="G948">
        <f>COUNTIF('Metrics - Articles'!H945,"*LATAM*")</f>
        <v>0</v>
      </c>
      <c r="H948">
        <f>COUNTIF('Metrics - Articles'!H945,"*China*")</f>
        <v>0</v>
      </c>
      <c r="J948" s="53">
        <f t="shared" si="15"/>
        <v>0</v>
      </c>
    </row>
    <row r="949" spans="2:10" hidden="1" x14ac:dyDescent="0.25">
      <c r="B949" s="48">
        <f>+'Metrics - Articles'!C946</f>
        <v>0</v>
      </c>
      <c r="C949">
        <f>COUNTIF('Metrics - Articles'!H946,"*Global*")</f>
        <v>0</v>
      </c>
      <c r="D949">
        <f>COUNTIF('Metrics - Articles'!H946,"*EMEA*")</f>
        <v>0</v>
      </c>
      <c r="E949">
        <f>COUNTIF('Metrics - Articles'!H946,"*NA*")</f>
        <v>0</v>
      </c>
      <c r="F949">
        <f>COUNTIF('Metrics - Articles'!H946,"*APJ")</f>
        <v>0</v>
      </c>
      <c r="G949">
        <f>COUNTIF('Metrics - Articles'!H946,"*LATAM*")</f>
        <v>0</v>
      </c>
      <c r="H949">
        <f>COUNTIF('Metrics - Articles'!H946,"*China*")</f>
        <v>0</v>
      </c>
      <c r="J949" s="53">
        <f t="shared" si="15"/>
        <v>0</v>
      </c>
    </row>
    <row r="950" spans="2:10" hidden="1" x14ac:dyDescent="0.25">
      <c r="B950" s="48">
        <f>+'Metrics - Articles'!C947</f>
        <v>0</v>
      </c>
      <c r="C950">
        <f>COUNTIF('Metrics - Articles'!H947,"*Global*")</f>
        <v>0</v>
      </c>
      <c r="D950">
        <f>COUNTIF('Metrics - Articles'!H947,"*EMEA*")</f>
        <v>0</v>
      </c>
      <c r="E950">
        <f>COUNTIF('Metrics - Articles'!H947,"*NA*")</f>
        <v>0</v>
      </c>
      <c r="F950">
        <f>COUNTIF('Metrics - Articles'!H947,"*APJ")</f>
        <v>0</v>
      </c>
      <c r="G950">
        <f>COUNTIF('Metrics - Articles'!H947,"*LATAM*")</f>
        <v>0</v>
      </c>
      <c r="H950">
        <f>COUNTIF('Metrics - Articles'!H947,"*China*")</f>
        <v>0</v>
      </c>
      <c r="J950" s="53">
        <f t="shared" si="15"/>
        <v>0</v>
      </c>
    </row>
    <row r="951" spans="2:10" hidden="1" x14ac:dyDescent="0.25">
      <c r="B951" s="48">
        <f>+'Metrics - Articles'!C948</f>
        <v>0</v>
      </c>
      <c r="C951">
        <f>COUNTIF('Metrics - Articles'!H948,"*Global*")</f>
        <v>0</v>
      </c>
      <c r="D951">
        <f>COUNTIF('Metrics - Articles'!H948,"*EMEA*")</f>
        <v>0</v>
      </c>
      <c r="E951">
        <f>COUNTIF('Metrics - Articles'!H948,"*NA*")</f>
        <v>0</v>
      </c>
      <c r="F951">
        <f>COUNTIF('Metrics - Articles'!H948,"*APJ")</f>
        <v>0</v>
      </c>
      <c r="G951">
        <f>COUNTIF('Metrics - Articles'!H948,"*LATAM*")</f>
        <v>0</v>
      </c>
      <c r="H951">
        <f>COUNTIF('Metrics - Articles'!H948,"*China*")</f>
        <v>0</v>
      </c>
      <c r="J951" s="53">
        <f t="shared" si="15"/>
        <v>0</v>
      </c>
    </row>
    <row r="952" spans="2:10" hidden="1" x14ac:dyDescent="0.25">
      <c r="B952" s="48">
        <f>+'Metrics - Articles'!C949</f>
        <v>0</v>
      </c>
      <c r="C952">
        <f>COUNTIF('Metrics - Articles'!H949,"*Global*")</f>
        <v>0</v>
      </c>
      <c r="D952">
        <f>COUNTIF('Metrics - Articles'!H949,"*EMEA*")</f>
        <v>0</v>
      </c>
      <c r="E952">
        <f>COUNTIF('Metrics - Articles'!H949,"*NA*")</f>
        <v>0</v>
      </c>
      <c r="F952">
        <f>COUNTIF('Metrics - Articles'!H949,"*APJ")</f>
        <v>0</v>
      </c>
      <c r="G952">
        <f>COUNTIF('Metrics - Articles'!H949,"*LATAM*")</f>
        <v>0</v>
      </c>
      <c r="H952">
        <f>COUNTIF('Metrics - Articles'!H949,"*China*")</f>
        <v>0</v>
      </c>
      <c r="J952" s="53">
        <f t="shared" si="15"/>
        <v>0</v>
      </c>
    </row>
    <row r="953" spans="2:10" hidden="1" x14ac:dyDescent="0.25">
      <c r="B953" s="48">
        <f>+'Metrics - Articles'!C950</f>
        <v>0</v>
      </c>
      <c r="C953">
        <f>COUNTIF('Metrics - Articles'!H950,"*Global*")</f>
        <v>0</v>
      </c>
      <c r="D953">
        <f>COUNTIF('Metrics - Articles'!H950,"*EMEA*")</f>
        <v>0</v>
      </c>
      <c r="E953">
        <f>COUNTIF('Metrics - Articles'!H950,"*NA*")</f>
        <v>0</v>
      </c>
      <c r="F953">
        <f>COUNTIF('Metrics - Articles'!H950,"*APJ")</f>
        <v>0</v>
      </c>
      <c r="G953">
        <f>COUNTIF('Metrics - Articles'!H950,"*LATAM*")</f>
        <v>0</v>
      </c>
      <c r="H953">
        <f>COUNTIF('Metrics - Articles'!H950,"*China*")</f>
        <v>0</v>
      </c>
      <c r="J953" s="53">
        <f t="shared" si="15"/>
        <v>0</v>
      </c>
    </row>
    <row r="954" spans="2:10" hidden="1" x14ac:dyDescent="0.25">
      <c r="B954" s="48">
        <f>+'Metrics - Articles'!C951</f>
        <v>0</v>
      </c>
      <c r="C954">
        <f>COUNTIF('Metrics - Articles'!H951,"*Global*")</f>
        <v>0</v>
      </c>
      <c r="D954">
        <f>COUNTIF('Metrics - Articles'!H951,"*EMEA*")</f>
        <v>0</v>
      </c>
      <c r="E954">
        <f>COUNTIF('Metrics - Articles'!H951,"*NA*")</f>
        <v>0</v>
      </c>
      <c r="F954">
        <f>COUNTIF('Metrics - Articles'!H951,"*APJ")</f>
        <v>0</v>
      </c>
      <c r="G954">
        <f>COUNTIF('Metrics - Articles'!H951,"*LATAM*")</f>
        <v>0</v>
      </c>
      <c r="H954">
        <f>COUNTIF('Metrics - Articles'!H951,"*China*")</f>
        <v>0</v>
      </c>
      <c r="J954" s="53">
        <f t="shared" si="15"/>
        <v>0</v>
      </c>
    </row>
    <row r="955" spans="2:10" hidden="1" x14ac:dyDescent="0.25">
      <c r="B955" s="48">
        <f>+'Metrics - Articles'!C952</f>
        <v>0</v>
      </c>
      <c r="C955">
        <f>COUNTIF('Metrics - Articles'!H952,"*Global*")</f>
        <v>0</v>
      </c>
      <c r="D955">
        <f>COUNTIF('Metrics - Articles'!H952,"*EMEA*")</f>
        <v>0</v>
      </c>
      <c r="E955">
        <f>COUNTIF('Metrics - Articles'!H952,"*NA*")</f>
        <v>0</v>
      </c>
      <c r="F955">
        <f>COUNTIF('Metrics - Articles'!H952,"*APJ")</f>
        <v>0</v>
      </c>
      <c r="G955">
        <f>COUNTIF('Metrics - Articles'!H952,"*LATAM*")</f>
        <v>0</v>
      </c>
      <c r="H955">
        <f>COUNTIF('Metrics - Articles'!H952,"*China*")</f>
        <v>0</v>
      </c>
      <c r="J955" s="53">
        <f t="shared" si="15"/>
        <v>0</v>
      </c>
    </row>
    <row r="956" spans="2:10" hidden="1" x14ac:dyDescent="0.25">
      <c r="B956" s="48">
        <f>+'Metrics - Articles'!C953</f>
        <v>0</v>
      </c>
      <c r="C956">
        <f>COUNTIF('Metrics - Articles'!H953,"*Global*")</f>
        <v>0</v>
      </c>
      <c r="D956">
        <f>COUNTIF('Metrics - Articles'!H953,"*EMEA*")</f>
        <v>0</v>
      </c>
      <c r="E956">
        <f>COUNTIF('Metrics - Articles'!H953,"*NA*")</f>
        <v>0</v>
      </c>
      <c r="F956">
        <f>COUNTIF('Metrics - Articles'!H953,"*APJ")</f>
        <v>0</v>
      </c>
      <c r="G956">
        <f>COUNTIF('Metrics - Articles'!H953,"*LATAM*")</f>
        <v>0</v>
      </c>
      <c r="H956">
        <f>COUNTIF('Metrics - Articles'!H953,"*China*")</f>
        <v>0</v>
      </c>
      <c r="J956" s="53">
        <f t="shared" si="15"/>
        <v>0</v>
      </c>
    </row>
    <row r="957" spans="2:10" hidden="1" x14ac:dyDescent="0.25">
      <c r="B957" s="48">
        <f>+'Metrics - Articles'!C954</f>
        <v>0</v>
      </c>
      <c r="C957">
        <f>COUNTIF('Metrics - Articles'!H954,"*Global*")</f>
        <v>0</v>
      </c>
      <c r="D957">
        <f>COUNTIF('Metrics - Articles'!H954,"*EMEA*")</f>
        <v>0</v>
      </c>
      <c r="E957">
        <f>COUNTIF('Metrics - Articles'!H954,"*NA*")</f>
        <v>0</v>
      </c>
      <c r="F957">
        <f>COUNTIF('Metrics - Articles'!H954,"*APJ")</f>
        <v>0</v>
      </c>
      <c r="G957">
        <f>COUNTIF('Metrics - Articles'!H954,"*LATAM*")</f>
        <v>0</v>
      </c>
      <c r="H957">
        <f>COUNTIF('Metrics - Articles'!H954,"*China*")</f>
        <v>0</v>
      </c>
      <c r="J957" s="53">
        <f t="shared" si="15"/>
        <v>0</v>
      </c>
    </row>
    <row r="958" spans="2:10" hidden="1" x14ac:dyDescent="0.25">
      <c r="B958" s="48">
        <f>+'Metrics - Articles'!C955</f>
        <v>0</v>
      </c>
      <c r="C958">
        <f>COUNTIF('Metrics - Articles'!H955,"*Global*")</f>
        <v>0</v>
      </c>
      <c r="D958">
        <f>COUNTIF('Metrics - Articles'!H955,"*EMEA*")</f>
        <v>0</v>
      </c>
      <c r="E958">
        <f>COUNTIF('Metrics - Articles'!H955,"*NA*")</f>
        <v>0</v>
      </c>
      <c r="F958">
        <f>COUNTIF('Metrics - Articles'!H955,"*APJ")</f>
        <v>0</v>
      </c>
      <c r="G958">
        <f>COUNTIF('Metrics - Articles'!H955,"*LATAM*")</f>
        <v>0</v>
      </c>
      <c r="H958">
        <f>COUNTIF('Metrics - Articles'!H955,"*China*")</f>
        <v>0</v>
      </c>
      <c r="J958" s="53">
        <f t="shared" si="15"/>
        <v>0</v>
      </c>
    </row>
    <row r="959" spans="2:10" hidden="1" x14ac:dyDescent="0.25">
      <c r="B959" s="48">
        <f>+'Metrics - Articles'!C956</f>
        <v>0</v>
      </c>
      <c r="C959">
        <f>COUNTIF('Metrics - Articles'!H956,"*Global*")</f>
        <v>0</v>
      </c>
      <c r="D959">
        <f>COUNTIF('Metrics - Articles'!H956,"*EMEA*")</f>
        <v>0</v>
      </c>
      <c r="E959">
        <f>COUNTIF('Metrics - Articles'!H956,"*NA*")</f>
        <v>0</v>
      </c>
      <c r="F959">
        <f>COUNTIF('Metrics - Articles'!H956,"*APJ")</f>
        <v>0</v>
      </c>
      <c r="G959">
        <f>COUNTIF('Metrics - Articles'!H956,"*LATAM*")</f>
        <v>0</v>
      </c>
      <c r="H959">
        <f>COUNTIF('Metrics - Articles'!H956,"*China*")</f>
        <v>0</v>
      </c>
      <c r="J959" s="53">
        <f t="shared" si="15"/>
        <v>0</v>
      </c>
    </row>
    <row r="960" spans="2:10" hidden="1" x14ac:dyDescent="0.25">
      <c r="B960" s="48">
        <f>+'Metrics - Articles'!C957</f>
        <v>0</v>
      </c>
      <c r="C960">
        <f>COUNTIF('Metrics - Articles'!H957,"*Global*")</f>
        <v>0</v>
      </c>
      <c r="D960">
        <f>COUNTIF('Metrics - Articles'!H957,"*EMEA*")</f>
        <v>0</v>
      </c>
      <c r="E960">
        <f>COUNTIF('Metrics - Articles'!H957,"*NA*")</f>
        <v>0</v>
      </c>
      <c r="F960">
        <f>COUNTIF('Metrics - Articles'!H957,"*APJ")</f>
        <v>0</v>
      </c>
      <c r="G960">
        <f>COUNTIF('Metrics - Articles'!H957,"*LATAM*")</f>
        <v>0</v>
      </c>
      <c r="H960">
        <f>COUNTIF('Metrics - Articles'!H957,"*China*")</f>
        <v>0</v>
      </c>
      <c r="J960" s="53">
        <f t="shared" si="15"/>
        <v>0</v>
      </c>
    </row>
    <row r="961" spans="2:10" hidden="1" x14ac:dyDescent="0.25">
      <c r="B961" s="48">
        <f>+'Metrics - Articles'!C958</f>
        <v>0</v>
      </c>
      <c r="C961">
        <f>COUNTIF('Metrics - Articles'!H958,"*Global*")</f>
        <v>0</v>
      </c>
      <c r="D961">
        <f>COUNTIF('Metrics - Articles'!H958,"*EMEA*")</f>
        <v>0</v>
      </c>
      <c r="E961">
        <f>COUNTIF('Metrics - Articles'!H958,"*NA*")</f>
        <v>0</v>
      </c>
      <c r="F961">
        <f>COUNTIF('Metrics - Articles'!H958,"*APJ")</f>
        <v>0</v>
      </c>
      <c r="G961">
        <f>COUNTIF('Metrics - Articles'!H958,"*LATAM*")</f>
        <v>0</v>
      </c>
      <c r="H961">
        <f>COUNTIF('Metrics - Articles'!H958,"*China*")</f>
        <v>0</v>
      </c>
      <c r="J961" s="53">
        <f t="shared" si="15"/>
        <v>0</v>
      </c>
    </row>
    <row r="962" spans="2:10" hidden="1" x14ac:dyDescent="0.25">
      <c r="B962" s="48">
        <f>+'Metrics - Articles'!C959</f>
        <v>0</v>
      </c>
      <c r="C962">
        <f>COUNTIF('Metrics - Articles'!H959,"*Global*")</f>
        <v>0</v>
      </c>
      <c r="D962">
        <f>COUNTIF('Metrics - Articles'!H959,"*EMEA*")</f>
        <v>0</v>
      </c>
      <c r="E962">
        <f>COUNTIF('Metrics - Articles'!H959,"*NA*")</f>
        <v>0</v>
      </c>
      <c r="F962">
        <f>COUNTIF('Metrics - Articles'!H959,"*APJ")</f>
        <v>0</v>
      </c>
      <c r="G962">
        <f>COUNTIF('Metrics - Articles'!H959,"*LATAM*")</f>
        <v>0</v>
      </c>
      <c r="H962">
        <f>COUNTIF('Metrics - Articles'!H959,"*China*")</f>
        <v>0</v>
      </c>
      <c r="J962" s="53">
        <f t="shared" si="15"/>
        <v>0</v>
      </c>
    </row>
    <row r="963" spans="2:10" hidden="1" x14ac:dyDescent="0.25">
      <c r="B963" s="48">
        <f>+'Metrics - Articles'!C960</f>
        <v>0</v>
      </c>
      <c r="C963">
        <f>COUNTIF('Metrics - Articles'!H960,"*Global*")</f>
        <v>0</v>
      </c>
      <c r="D963">
        <f>COUNTIF('Metrics - Articles'!H960,"*EMEA*")</f>
        <v>0</v>
      </c>
      <c r="E963">
        <f>COUNTIF('Metrics - Articles'!H960,"*NA*")</f>
        <v>0</v>
      </c>
      <c r="F963">
        <f>COUNTIF('Metrics - Articles'!H960,"*APJ")</f>
        <v>0</v>
      </c>
      <c r="G963">
        <f>COUNTIF('Metrics - Articles'!H960,"*LATAM*")</f>
        <v>0</v>
      </c>
      <c r="H963">
        <f>COUNTIF('Metrics - Articles'!H960,"*China*")</f>
        <v>0</v>
      </c>
      <c r="J963" s="53">
        <f t="shared" si="15"/>
        <v>0</v>
      </c>
    </row>
    <row r="964" spans="2:10" hidden="1" x14ac:dyDescent="0.25">
      <c r="B964" s="48">
        <f>+'Metrics - Articles'!C961</f>
        <v>0</v>
      </c>
      <c r="C964">
        <f>COUNTIF('Metrics - Articles'!H961,"*Global*")</f>
        <v>0</v>
      </c>
      <c r="D964">
        <f>COUNTIF('Metrics - Articles'!H961,"*EMEA*")</f>
        <v>0</v>
      </c>
      <c r="E964">
        <f>COUNTIF('Metrics - Articles'!H961,"*NA*")</f>
        <v>0</v>
      </c>
      <c r="F964">
        <f>COUNTIF('Metrics - Articles'!H961,"*APJ")</f>
        <v>0</v>
      </c>
      <c r="G964">
        <f>COUNTIF('Metrics - Articles'!H961,"*LATAM*")</f>
        <v>0</v>
      </c>
      <c r="H964">
        <f>COUNTIF('Metrics - Articles'!H961,"*China*")</f>
        <v>0</v>
      </c>
      <c r="J964" s="53">
        <f t="shared" si="15"/>
        <v>0</v>
      </c>
    </row>
    <row r="965" spans="2:10" hidden="1" x14ac:dyDescent="0.25">
      <c r="B965" s="48">
        <f>+'Metrics - Articles'!C962</f>
        <v>0</v>
      </c>
      <c r="C965">
        <f>COUNTIF('Metrics - Articles'!H962,"*Global*")</f>
        <v>0</v>
      </c>
      <c r="D965">
        <f>COUNTIF('Metrics - Articles'!H962,"*EMEA*")</f>
        <v>0</v>
      </c>
      <c r="E965">
        <f>COUNTIF('Metrics - Articles'!H962,"*NA*")</f>
        <v>0</v>
      </c>
      <c r="F965">
        <f>COUNTIF('Metrics - Articles'!H962,"*APJ")</f>
        <v>0</v>
      </c>
      <c r="G965">
        <f>COUNTIF('Metrics - Articles'!H962,"*LATAM*")</f>
        <v>0</v>
      </c>
      <c r="H965">
        <f>COUNTIF('Metrics - Articles'!H962,"*China*")</f>
        <v>0</v>
      </c>
      <c r="J965" s="53">
        <f t="shared" si="15"/>
        <v>0</v>
      </c>
    </row>
    <row r="966" spans="2:10" hidden="1" x14ac:dyDescent="0.25">
      <c r="B966" s="48">
        <f>+'Metrics - Articles'!C963</f>
        <v>0</v>
      </c>
      <c r="C966">
        <f>COUNTIF('Metrics - Articles'!H963,"*Global*")</f>
        <v>0</v>
      </c>
      <c r="D966">
        <f>COUNTIF('Metrics - Articles'!H963,"*EMEA*")</f>
        <v>0</v>
      </c>
      <c r="E966">
        <f>COUNTIF('Metrics - Articles'!H963,"*NA*")</f>
        <v>0</v>
      </c>
      <c r="F966">
        <f>COUNTIF('Metrics - Articles'!H963,"*APJ")</f>
        <v>0</v>
      </c>
      <c r="G966">
        <f>COUNTIF('Metrics - Articles'!H963,"*LATAM*")</f>
        <v>0</v>
      </c>
      <c r="H966">
        <f>COUNTIF('Metrics - Articles'!H963,"*China*")</f>
        <v>0</v>
      </c>
      <c r="J966" s="53">
        <f t="shared" si="15"/>
        <v>0</v>
      </c>
    </row>
    <row r="967" spans="2:10" hidden="1" x14ac:dyDescent="0.25">
      <c r="B967" s="48">
        <f>+'Metrics - Articles'!C964</f>
        <v>0</v>
      </c>
      <c r="C967">
        <f>COUNTIF('Metrics - Articles'!H964,"*Global*")</f>
        <v>0</v>
      </c>
      <c r="D967">
        <f>COUNTIF('Metrics - Articles'!H964,"*EMEA*")</f>
        <v>0</v>
      </c>
      <c r="E967">
        <f>COUNTIF('Metrics - Articles'!H964,"*NA*")</f>
        <v>0</v>
      </c>
      <c r="F967">
        <f>COUNTIF('Metrics - Articles'!H964,"*APJ")</f>
        <v>0</v>
      </c>
      <c r="G967">
        <f>COUNTIF('Metrics - Articles'!H964,"*LATAM*")</f>
        <v>0</v>
      </c>
      <c r="H967">
        <f>COUNTIF('Metrics - Articles'!H964,"*China*")</f>
        <v>0</v>
      </c>
      <c r="J967" s="53">
        <f t="shared" si="15"/>
        <v>0</v>
      </c>
    </row>
    <row r="968" spans="2:10" hidden="1" x14ac:dyDescent="0.25">
      <c r="B968" s="48">
        <f>+'Metrics - Articles'!C965</f>
        <v>0</v>
      </c>
      <c r="C968">
        <f>COUNTIF('Metrics - Articles'!H965,"*Global*")</f>
        <v>0</v>
      </c>
      <c r="D968">
        <f>COUNTIF('Metrics - Articles'!H965,"*EMEA*")</f>
        <v>0</v>
      </c>
      <c r="E968">
        <f>COUNTIF('Metrics - Articles'!H965,"*NA*")</f>
        <v>0</v>
      </c>
      <c r="F968">
        <f>COUNTIF('Metrics - Articles'!H965,"*APJ")</f>
        <v>0</v>
      </c>
      <c r="G968">
        <f>COUNTIF('Metrics - Articles'!H965,"*LATAM*")</f>
        <v>0</v>
      </c>
      <c r="H968">
        <f>COUNTIF('Metrics - Articles'!H965,"*China*")</f>
        <v>0</v>
      </c>
      <c r="J968" s="53">
        <f t="shared" si="15"/>
        <v>0</v>
      </c>
    </row>
    <row r="969" spans="2:10" hidden="1" x14ac:dyDescent="0.25">
      <c r="B969" s="48">
        <f>+'Metrics - Articles'!C966</f>
        <v>0</v>
      </c>
      <c r="C969">
        <f>COUNTIF('Metrics - Articles'!H966,"*Global*")</f>
        <v>0</v>
      </c>
      <c r="D969">
        <f>COUNTIF('Metrics - Articles'!H966,"*EMEA*")</f>
        <v>0</v>
      </c>
      <c r="E969">
        <f>COUNTIF('Metrics - Articles'!H966,"*NA*")</f>
        <v>0</v>
      </c>
      <c r="F969">
        <f>COUNTIF('Metrics - Articles'!H966,"*APJ")</f>
        <v>0</v>
      </c>
      <c r="G969">
        <f>COUNTIF('Metrics - Articles'!H966,"*LATAM*")</f>
        <v>0</v>
      </c>
      <c r="H969">
        <f>COUNTIF('Metrics - Articles'!H966,"*China*")</f>
        <v>0</v>
      </c>
      <c r="J969" s="53">
        <f t="shared" si="15"/>
        <v>0</v>
      </c>
    </row>
    <row r="970" spans="2:10" hidden="1" x14ac:dyDescent="0.25">
      <c r="B970" s="48">
        <f>+'Metrics - Articles'!C967</f>
        <v>0</v>
      </c>
      <c r="C970">
        <f>COUNTIF('Metrics - Articles'!H967,"*Global*")</f>
        <v>0</v>
      </c>
      <c r="D970">
        <f>COUNTIF('Metrics - Articles'!H967,"*EMEA*")</f>
        <v>0</v>
      </c>
      <c r="E970">
        <f>COUNTIF('Metrics - Articles'!H967,"*NA*")</f>
        <v>0</v>
      </c>
      <c r="F970">
        <f>COUNTIF('Metrics - Articles'!H967,"*APJ")</f>
        <v>0</v>
      </c>
      <c r="G970">
        <f>COUNTIF('Metrics - Articles'!H967,"*LATAM*")</f>
        <v>0</v>
      </c>
      <c r="H970">
        <f>COUNTIF('Metrics - Articles'!H967,"*China*")</f>
        <v>0</v>
      </c>
      <c r="J970" s="53">
        <f t="shared" ref="J970:J1004" si="16">SUM(C970:I970)</f>
        <v>0</v>
      </c>
    </row>
    <row r="971" spans="2:10" hidden="1" x14ac:dyDescent="0.25">
      <c r="B971" s="48">
        <f>+'Metrics - Articles'!C968</f>
        <v>0</v>
      </c>
      <c r="C971">
        <f>COUNTIF('Metrics - Articles'!H968,"*Global*")</f>
        <v>0</v>
      </c>
      <c r="D971">
        <f>COUNTIF('Metrics - Articles'!H968,"*EMEA*")</f>
        <v>0</v>
      </c>
      <c r="E971">
        <f>COUNTIF('Metrics - Articles'!H968,"*NA*")</f>
        <v>0</v>
      </c>
      <c r="F971">
        <f>COUNTIF('Metrics - Articles'!H968,"*APJ")</f>
        <v>0</v>
      </c>
      <c r="G971">
        <f>COUNTIF('Metrics - Articles'!H968,"*LATAM*")</f>
        <v>0</v>
      </c>
      <c r="H971">
        <f>COUNTIF('Metrics - Articles'!H968,"*China*")</f>
        <v>0</v>
      </c>
      <c r="J971" s="53">
        <f t="shared" si="16"/>
        <v>0</v>
      </c>
    </row>
    <row r="972" spans="2:10" hidden="1" x14ac:dyDescent="0.25">
      <c r="B972" s="48">
        <f>+'Metrics - Articles'!C969</f>
        <v>0</v>
      </c>
      <c r="C972">
        <f>COUNTIF('Metrics - Articles'!H969,"*Global*")</f>
        <v>0</v>
      </c>
      <c r="D972">
        <f>COUNTIF('Metrics - Articles'!H969,"*EMEA*")</f>
        <v>0</v>
      </c>
      <c r="E972">
        <f>COUNTIF('Metrics - Articles'!H969,"*NA*")</f>
        <v>0</v>
      </c>
      <c r="F972">
        <f>COUNTIF('Metrics - Articles'!H969,"*APJ")</f>
        <v>0</v>
      </c>
      <c r="G972">
        <f>COUNTIF('Metrics - Articles'!H969,"*LATAM*")</f>
        <v>0</v>
      </c>
      <c r="H972">
        <f>COUNTIF('Metrics - Articles'!H969,"*China*")</f>
        <v>0</v>
      </c>
      <c r="J972" s="53">
        <f t="shared" si="16"/>
        <v>0</v>
      </c>
    </row>
    <row r="973" spans="2:10" hidden="1" x14ac:dyDescent="0.25">
      <c r="B973" s="48">
        <f>+'Metrics - Articles'!C970</f>
        <v>0</v>
      </c>
      <c r="C973">
        <f>COUNTIF('Metrics - Articles'!H970,"*Global*")</f>
        <v>0</v>
      </c>
      <c r="D973">
        <f>COUNTIF('Metrics - Articles'!H970,"*EMEA*")</f>
        <v>0</v>
      </c>
      <c r="E973">
        <f>COUNTIF('Metrics - Articles'!H970,"*NA*")</f>
        <v>0</v>
      </c>
      <c r="F973">
        <f>COUNTIF('Metrics - Articles'!H970,"*APJ")</f>
        <v>0</v>
      </c>
      <c r="G973">
        <f>COUNTIF('Metrics - Articles'!H970,"*LATAM*")</f>
        <v>0</v>
      </c>
      <c r="H973">
        <f>COUNTIF('Metrics - Articles'!H970,"*China*")</f>
        <v>0</v>
      </c>
      <c r="J973" s="53">
        <f t="shared" si="16"/>
        <v>0</v>
      </c>
    </row>
    <row r="974" spans="2:10" hidden="1" x14ac:dyDescent="0.25">
      <c r="B974" s="48">
        <f>+'Metrics - Articles'!C971</f>
        <v>0</v>
      </c>
      <c r="C974">
        <f>COUNTIF('Metrics - Articles'!H971,"*Global*")</f>
        <v>0</v>
      </c>
      <c r="D974">
        <f>COUNTIF('Metrics - Articles'!H971,"*EMEA*")</f>
        <v>0</v>
      </c>
      <c r="E974">
        <f>COUNTIF('Metrics - Articles'!H971,"*NA*")</f>
        <v>0</v>
      </c>
      <c r="F974">
        <f>COUNTIF('Metrics - Articles'!H971,"*APJ")</f>
        <v>0</v>
      </c>
      <c r="G974">
        <f>COUNTIF('Metrics - Articles'!H971,"*LATAM*")</f>
        <v>0</v>
      </c>
      <c r="H974">
        <f>COUNTIF('Metrics - Articles'!H971,"*China*")</f>
        <v>0</v>
      </c>
      <c r="J974" s="53">
        <f t="shared" si="16"/>
        <v>0</v>
      </c>
    </row>
    <row r="975" spans="2:10" hidden="1" x14ac:dyDescent="0.25">
      <c r="B975" s="48">
        <f>+'Metrics - Articles'!C972</f>
        <v>0</v>
      </c>
      <c r="C975">
        <f>COUNTIF('Metrics - Articles'!H972,"*Global*")</f>
        <v>0</v>
      </c>
      <c r="D975">
        <f>COUNTIF('Metrics - Articles'!H972,"*EMEA*")</f>
        <v>0</v>
      </c>
      <c r="E975">
        <f>COUNTIF('Metrics - Articles'!H972,"*NA*")</f>
        <v>0</v>
      </c>
      <c r="F975">
        <f>COUNTIF('Metrics - Articles'!H972,"*APJ")</f>
        <v>0</v>
      </c>
      <c r="G975">
        <f>COUNTIF('Metrics - Articles'!H972,"*LATAM*")</f>
        <v>0</v>
      </c>
      <c r="H975">
        <f>COUNTIF('Metrics - Articles'!H972,"*China*")</f>
        <v>0</v>
      </c>
      <c r="J975" s="53">
        <f t="shared" si="16"/>
        <v>0</v>
      </c>
    </row>
    <row r="976" spans="2:10" hidden="1" x14ac:dyDescent="0.25">
      <c r="B976" s="48">
        <f>+'Metrics - Articles'!C973</f>
        <v>0</v>
      </c>
      <c r="C976">
        <f>COUNTIF('Metrics - Articles'!H973,"*Global*")</f>
        <v>0</v>
      </c>
      <c r="D976">
        <f>COUNTIF('Metrics - Articles'!H973,"*EMEA*")</f>
        <v>0</v>
      </c>
      <c r="E976">
        <f>COUNTIF('Metrics - Articles'!H973,"*NA*")</f>
        <v>0</v>
      </c>
      <c r="F976">
        <f>COUNTIF('Metrics - Articles'!H973,"*APJ")</f>
        <v>0</v>
      </c>
      <c r="G976">
        <f>COUNTIF('Metrics - Articles'!H973,"*LATAM*")</f>
        <v>0</v>
      </c>
      <c r="H976">
        <f>COUNTIF('Metrics - Articles'!H973,"*China*")</f>
        <v>0</v>
      </c>
      <c r="J976" s="53">
        <f t="shared" si="16"/>
        <v>0</v>
      </c>
    </row>
    <row r="977" spans="2:10" hidden="1" x14ac:dyDescent="0.25">
      <c r="B977" s="48">
        <f>+'Metrics - Articles'!C974</f>
        <v>0</v>
      </c>
      <c r="C977">
        <f>COUNTIF('Metrics - Articles'!H974,"*Global*")</f>
        <v>0</v>
      </c>
      <c r="D977">
        <f>COUNTIF('Metrics - Articles'!H974,"*EMEA*")</f>
        <v>0</v>
      </c>
      <c r="E977">
        <f>COUNTIF('Metrics - Articles'!H974,"*NA*")</f>
        <v>0</v>
      </c>
      <c r="F977">
        <f>COUNTIF('Metrics - Articles'!H974,"*APJ")</f>
        <v>0</v>
      </c>
      <c r="G977">
        <f>COUNTIF('Metrics - Articles'!H974,"*LATAM*")</f>
        <v>0</v>
      </c>
      <c r="H977">
        <f>COUNTIF('Metrics - Articles'!H974,"*China*")</f>
        <v>0</v>
      </c>
      <c r="J977" s="53">
        <f t="shared" si="16"/>
        <v>0</v>
      </c>
    </row>
    <row r="978" spans="2:10" hidden="1" x14ac:dyDescent="0.25">
      <c r="B978" s="48">
        <f>+'Metrics - Articles'!C975</f>
        <v>0</v>
      </c>
      <c r="C978">
        <f>COUNTIF('Metrics - Articles'!H975,"*Global*")</f>
        <v>0</v>
      </c>
      <c r="D978">
        <f>COUNTIF('Metrics - Articles'!H975,"*EMEA*")</f>
        <v>0</v>
      </c>
      <c r="E978">
        <f>COUNTIF('Metrics - Articles'!H975,"*NA*")</f>
        <v>0</v>
      </c>
      <c r="F978">
        <f>COUNTIF('Metrics - Articles'!H975,"*APJ")</f>
        <v>0</v>
      </c>
      <c r="G978">
        <f>COUNTIF('Metrics - Articles'!H975,"*LATAM*")</f>
        <v>0</v>
      </c>
      <c r="H978">
        <f>COUNTIF('Metrics - Articles'!H975,"*China*")</f>
        <v>0</v>
      </c>
      <c r="J978" s="53">
        <f t="shared" si="16"/>
        <v>0</v>
      </c>
    </row>
    <row r="979" spans="2:10" hidden="1" x14ac:dyDescent="0.25">
      <c r="B979" s="48">
        <f>+'Metrics - Articles'!C976</f>
        <v>0</v>
      </c>
      <c r="C979">
        <f>COUNTIF('Metrics - Articles'!H976,"*Global*")</f>
        <v>0</v>
      </c>
      <c r="D979">
        <f>COUNTIF('Metrics - Articles'!H976,"*EMEA*")</f>
        <v>0</v>
      </c>
      <c r="E979">
        <f>COUNTIF('Metrics - Articles'!H976,"*NA*")</f>
        <v>0</v>
      </c>
      <c r="F979">
        <f>COUNTIF('Metrics - Articles'!H976,"*APJ")</f>
        <v>0</v>
      </c>
      <c r="G979">
        <f>COUNTIF('Metrics - Articles'!H976,"*LATAM*")</f>
        <v>0</v>
      </c>
      <c r="H979">
        <f>COUNTIF('Metrics - Articles'!H976,"*China*")</f>
        <v>0</v>
      </c>
      <c r="J979" s="53">
        <f t="shared" si="16"/>
        <v>0</v>
      </c>
    </row>
    <row r="980" spans="2:10" hidden="1" x14ac:dyDescent="0.25">
      <c r="B980" s="48">
        <f>+'Metrics - Articles'!C977</f>
        <v>0</v>
      </c>
      <c r="C980">
        <f>COUNTIF('Metrics - Articles'!H977,"*Global*")</f>
        <v>0</v>
      </c>
      <c r="D980">
        <f>COUNTIF('Metrics - Articles'!H977,"*EMEA*")</f>
        <v>0</v>
      </c>
      <c r="E980">
        <f>COUNTIF('Metrics - Articles'!H977,"*NA*")</f>
        <v>0</v>
      </c>
      <c r="F980">
        <f>COUNTIF('Metrics - Articles'!H977,"*APJ")</f>
        <v>0</v>
      </c>
      <c r="G980">
        <f>COUNTIF('Metrics - Articles'!H977,"*LATAM*")</f>
        <v>0</v>
      </c>
      <c r="H980">
        <f>COUNTIF('Metrics - Articles'!H977,"*China*")</f>
        <v>0</v>
      </c>
      <c r="J980" s="53">
        <f t="shared" si="16"/>
        <v>0</v>
      </c>
    </row>
    <row r="981" spans="2:10" hidden="1" x14ac:dyDescent="0.25">
      <c r="B981" s="48">
        <f>+'Metrics - Articles'!C978</f>
        <v>0</v>
      </c>
      <c r="C981">
        <f>COUNTIF('Metrics - Articles'!H978,"*Global*")</f>
        <v>0</v>
      </c>
      <c r="D981">
        <f>COUNTIF('Metrics - Articles'!H978,"*EMEA*")</f>
        <v>0</v>
      </c>
      <c r="E981">
        <f>COUNTIF('Metrics - Articles'!H978,"*NA*")</f>
        <v>0</v>
      </c>
      <c r="F981">
        <f>COUNTIF('Metrics - Articles'!H978,"*APJ")</f>
        <v>0</v>
      </c>
      <c r="G981">
        <f>COUNTIF('Metrics - Articles'!H978,"*LATAM*")</f>
        <v>0</v>
      </c>
      <c r="H981">
        <f>COUNTIF('Metrics - Articles'!H978,"*China*")</f>
        <v>0</v>
      </c>
      <c r="J981" s="53">
        <f t="shared" si="16"/>
        <v>0</v>
      </c>
    </row>
    <row r="982" spans="2:10" hidden="1" x14ac:dyDescent="0.25">
      <c r="B982" s="48">
        <f>+'Metrics - Articles'!C979</f>
        <v>0</v>
      </c>
      <c r="C982">
        <f>COUNTIF('Metrics - Articles'!H979,"*Global*")</f>
        <v>0</v>
      </c>
      <c r="D982">
        <f>COUNTIF('Metrics - Articles'!H979,"*EMEA*")</f>
        <v>0</v>
      </c>
      <c r="E982">
        <f>COUNTIF('Metrics - Articles'!H979,"*NA*")</f>
        <v>0</v>
      </c>
      <c r="F982">
        <f>COUNTIF('Metrics - Articles'!H979,"*APJ")</f>
        <v>0</v>
      </c>
      <c r="G982">
        <f>COUNTIF('Metrics - Articles'!H979,"*LATAM*")</f>
        <v>0</v>
      </c>
      <c r="H982">
        <f>COUNTIF('Metrics - Articles'!H979,"*China*")</f>
        <v>0</v>
      </c>
      <c r="J982" s="53">
        <f t="shared" si="16"/>
        <v>0</v>
      </c>
    </row>
    <row r="983" spans="2:10" hidden="1" x14ac:dyDescent="0.25">
      <c r="B983" s="48">
        <f>+'Metrics - Articles'!C980</f>
        <v>0</v>
      </c>
      <c r="C983">
        <f>COUNTIF('Metrics - Articles'!H980,"*Global*")</f>
        <v>0</v>
      </c>
      <c r="D983">
        <f>COUNTIF('Metrics - Articles'!H980,"*EMEA*")</f>
        <v>0</v>
      </c>
      <c r="E983">
        <f>COUNTIF('Metrics - Articles'!H980,"*NA*")</f>
        <v>0</v>
      </c>
      <c r="F983">
        <f>COUNTIF('Metrics - Articles'!H980,"*APJ")</f>
        <v>0</v>
      </c>
      <c r="G983">
        <f>COUNTIF('Metrics - Articles'!H980,"*LATAM*")</f>
        <v>0</v>
      </c>
      <c r="H983">
        <f>COUNTIF('Metrics - Articles'!H980,"*China*")</f>
        <v>0</v>
      </c>
      <c r="J983" s="53">
        <f t="shared" si="16"/>
        <v>0</v>
      </c>
    </row>
    <row r="984" spans="2:10" hidden="1" x14ac:dyDescent="0.25">
      <c r="B984" s="48">
        <f>+'Metrics - Articles'!C981</f>
        <v>0</v>
      </c>
      <c r="C984">
        <f>COUNTIF('Metrics - Articles'!H981,"*Global*")</f>
        <v>0</v>
      </c>
      <c r="D984">
        <f>COUNTIF('Metrics - Articles'!H981,"*EMEA*")</f>
        <v>0</v>
      </c>
      <c r="E984">
        <f>COUNTIF('Metrics - Articles'!H981,"*NA*")</f>
        <v>0</v>
      </c>
      <c r="F984">
        <f>COUNTIF('Metrics - Articles'!H981,"*APJ")</f>
        <v>0</v>
      </c>
      <c r="G984">
        <f>COUNTIF('Metrics - Articles'!H981,"*LATAM*")</f>
        <v>0</v>
      </c>
      <c r="H984">
        <f>COUNTIF('Metrics - Articles'!H981,"*China*")</f>
        <v>0</v>
      </c>
      <c r="J984" s="53">
        <f t="shared" si="16"/>
        <v>0</v>
      </c>
    </row>
    <row r="985" spans="2:10" hidden="1" x14ac:dyDescent="0.25">
      <c r="B985" s="48">
        <f>+'Metrics - Articles'!C982</f>
        <v>0</v>
      </c>
      <c r="C985">
        <f>COUNTIF('Metrics - Articles'!H982,"*Global*")</f>
        <v>0</v>
      </c>
      <c r="D985">
        <f>COUNTIF('Metrics - Articles'!H982,"*EMEA*")</f>
        <v>0</v>
      </c>
      <c r="E985">
        <f>COUNTIF('Metrics - Articles'!H982,"*NA*")</f>
        <v>0</v>
      </c>
      <c r="F985">
        <f>COUNTIF('Metrics - Articles'!H982,"*APJ")</f>
        <v>0</v>
      </c>
      <c r="G985">
        <f>COUNTIF('Metrics - Articles'!H982,"*LATAM*")</f>
        <v>0</v>
      </c>
      <c r="H985">
        <f>COUNTIF('Metrics - Articles'!H982,"*China*")</f>
        <v>0</v>
      </c>
      <c r="J985" s="53">
        <f t="shared" si="16"/>
        <v>0</v>
      </c>
    </row>
    <row r="986" spans="2:10" hidden="1" x14ac:dyDescent="0.25">
      <c r="B986" s="48">
        <f>+'Metrics - Articles'!C983</f>
        <v>0</v>
      </c>
      <c r="C986">
        <f>COUNTIF('Metrics - Articles'!H983,"*Global*")</f>
        <v>0</v>
      </c>
      <c r="D986">
        <f>COUNTIF('Metrics - Articles'!H983,"*EMEA*")</f>
        <v>0</v>
      </c>
      <c r="E986">
        <f>COUNTIF('Metrics - Articles'!H983,"*NA*")</f>
        <v>0</v>
      </c>
      <c r="F986">
        <f>COUNTIF('Metrics - Articles'!H983,"*APJ")</f>
        <v>0</v>
      </c>
      <c r="G986">
        <f>COUNTIF('Metrics - Articles'!H983,"*LATAM*")</f>
        <v>0</v>
      </c>
      <c r="H986">
        <f>COUNTIF('Metrics - Articles'!H983,"*China*")</f>
        <v>0</v>
      </c>
      <c r="J986" s="53">
        <f t="shared" si="16"/>
        <v>0</v>
      </c>
    </row>
    <row r="987" spans="2:10" hidden="1" x14ac:dyDescent="0.25">
      <c r="B987" s="48">
        <f>+'Metrics - Articles'!C984</f>
        <v>0</v>
      </c>
      <c r="C987">
        <f>COUNTIF('Metrics - Articles'!H984,"*Global*")</f>
        <v>0</v>
      </c>
      <c r="D987">
        <f>COUNTIF('Metrics - Articles'!H984,"*EMEA*")</f>
        <v>0</v>
      </c>
      <c r="E987">
        <f>COUNTIF('Metrics - Articles'!H984,"*NA*")</f>
        <v>0</v>
      </c>
      <c r="F987">
        <f>COUNTIF('Metrics - Articles'!H984,"*APJ")</f>
        <v>0</v>
      </c>
      <c r="G987">
        <f>COUNTIF('Metrics - Articles'!H984,"*LATAM*")</f>
        <v>0</v>
      </c>
      <c r="H987">
        <f>COUNTIF('Metrics - Articles'!H984,"*China*")</f>
        <v>0</v>
      </c>
      <c r="J987" s="53">
        <f t="shared" si="16"/>
        <v>0</v>
      </c>
    </row>
    <row r="988" spans="2:10" hidden="1" x14ac:dyDescent="0.25">
      <c r="B988" s="48">
        <f>+'Metrics - Articles'!C985</f>
        <v>0</v>
      </c>
      <c r="C988">
        <f>COUNTIF('Metrics - Articles'!H985,"*Global*")</f>
        <v>0</v>
      </c>
      <c r="D988">
        <f>COUNTIF('Metrics - Articles'!H985,"*EMEA*")</f>
        <v>0</v>
      </c>
      <c r="E988">
        <f>COUNTIF('Metrics - Articles'!H985,"*NA*")</f>
        <v>0</v>
      </c>
      <c r="F988">
        <f>COUNTIF('Metrics - Articles'!H985,"*APJ")</f>
        <v>0</v>
      </c>
      <c r="G988">
        <f>COUNTIF('Metrics - Articles'!H985,"*LATAM*")</f>
        <v>0</v>
      </c>
      <c r="H988">
        <f>COUNTIF('Metrics - Articles'!H985,"*China*")</f>
        <v>0</v>
      </c>
      <c r="J988" s="53">
        <f t="shared" si="16"/>
        <v>0</v>
      </c>
    </row>
    <row r="989" spans="2:10" hidden="1" x14ac:dyDescent="0.25">
      <c r="B989" s="48">
        <f>+'Metrics - Articles'!C986</f>
        <v>0</v>
      </c>
      <c r="C989">
        <f>COUNTIF('Metrics - Articles'!H986,"*Global*")</f>
        <v>0</v>
      </c>
      <c r="D989">
        <f>COUNTIF('Metrics - Articles'!H986,"*EMEA*")</f>
        <v>0</v>
      </c>
      <c r="E989">
        <f>COUNTIF('Metrics - Articles'!H986,"*NA*")</f>
        <v>0</v>
      </c>
      <c r="F989">
        <f>COUNTIF('Metrics - Articles'!H986,"*APJ")</f>
        <v>0</v>
      </c>
      <c r="G989">
        <f>COUNTIF('Metrics - Articles'!H986,"*LATAM*")</f>
        <v>0</v>
      </c>
      <c r="H989">
        <f>COUNTIF('Metrics - Articles'!H986,"*China*")</f>
        <v>0</v>
      </c>
      <c r="J989" s="53">
        <f t="shared" si="16"/>
        <v>0</v>
      </c>
    </row>
    <row r="990" spans="2:10" hidden="1" x14ac:dyDescent="0.25">
      <c r="B990" s="48">
        <f>+'Metrics - Articles'!C987</f>
        <v>0</v>
      </c>
      <c r="C990">
        <f>COUNTIF('Metrics - Articles'!H987,"*Global*")</f>
        <v>0</v>
      </c>
      <c r="D990">
        <f>COUNTIF('Metrics - Articles'!H987,"*EMEA*")</f>
        <v>0</v>
      </c>
      <c r="E990">
        <f>COUNTIF('Metrics - Articles'!H987,"*NA*")</f>
        <v>0</v>
      </c>
      <c r="F990">
        <f>COUNTIF('Metrics - Articles'!H987,"*APJ")</f>
        <v>0</v>
      </c>
      <c r="G990">
        <f>COUNTIF('Metrics - Articles'!H987,"*LATAM*")</f>
        <v>0</v>
      </c>
      <c r="H990">
        <f>COUNTIF('Metrics - Articles'!H987,"*China*")</f>
        <v>0</v>
      </c>
      <c r="J990" s="53">
        <f t="shared" si="16"/>
        <v>0</v>
      </c>
    </row>
    <row r="991" spans="2:10" hidden="1" x14ac:dyDescent="0.25">
      <c r="B991" s="48">
        <f>+'Metrics - Articles'!C988</f>
        <v>0</v>
      </c>
      <c r="C991">
        <f>COUNTIF('Metrics - Articles'!H988,"*Global*")</f>
        <v>0</v>
      </c>
      <c r="D991">
        <f>COUNTIF('Metrics - Articles'!H988,"*EMEA*")</f>
        <v>0</v>
      </c>
      <c r="E991">
        <f>COUNTIF('Metrics - Articles'!H988,"*NA*")</f>
        <v>0</v>
      </c>
      <c r="F991">
        <f>COUNTIF('Metrics - Articles'!H988,"*APJ")</f>
        <v>0</v>
      </c>
      <c r="G991">
        <f>COUNTIF('Metrics - Articles'!H988,"*LATAM*")</f>
        <v>0</v>
      </c>
      <c r="H991">
        <f>COUNTIF('Metrics - Articles'!H988,"*China*")</f>
        <v>0</v>
      </c>
      <c r="J991" s="53">
        <f t="shared" si="16"/>
        <v>0</v>
      </c>
    </row>
    <row r="992" spans="2:10" hidden="1" x14ac:dyDescent="0.25">
      <c r="B992" s="48">
        <f>+'Metrics - Articles'!C989</f>
        <v>0</v>
      </c>
      <c r="C992">
        <f>COUNTIF('Metrics - Articles'!H989,"*Global*")</f>
        <v>0</v>
      </c>
      <c r="D992">
        <f>COUNTIF('Metrics - Articles'!H989,"*EMEA*")</f>
        <v>0</v>
      </c>
      <c r="E992">
        <f>COUNTIF('Metrics - Articles'!H989,"*NA*")</f>
        <v>0</v>
      </c>
      <c r="F992">
        <f>COUNTIF('Metrics - Articles'!H989,"*APJ")</f>
        <v>0</v>
      </c>
      <c r="G992">
        <f>COUNTIF('Metrics - Articles'!H989,"*LATAM*")</f>
        <v>0</v>
      </c>
      <c r="H992">
        <f>COUNTIF('Metrics - Articles'!H989,"*China*")</f>
        <v>0</v>
      </c>
      <c r="J992" s="53">
        <f t="shared" si="16"/>
        <v>0</v>
      </c>
    </row>
    <row r="993" spans="2:10" hidden="1" x14ac:dyDescent="0.25">
      <c r="B993" s="48">
        <f>+'Metrics - Articles'!C990</f>
        <v>0</v>
      </c>
      <c r="C993">
        <f>COUNTIF('Metrics - Articles'!H990,"*Global*")</f>
        <v>0</v>
      </c>
      <c r="D993">
        <f>COUNTIF('Metrics - Articles'!H990,"*EMEA*")</f>
        <v>0</v>
      </c>
      <c r="E993">
        <f>COUNTIF('Metrics - Articles'!H990,"*NA*")</f>
        <v>0</v>
      </c>
      <c r="F993">
        <f>COUNTIF('Metrics - Articles'!H990,"*APJ")</f>
        <v>0</v>
      </c>
      <c r="G993">
        <f>COUNTIF('Metrics - Articles'!H990,"*LATAM*")</f>
        <v>0</v>
      </c>
      <c r="H993">
        <f>COUNTIF('Metrics - Articles'!H990,"*China*")</f>
        <v>0</v>
      </c>
      <c r="J993" s="53">
        <f t="shared" si="16"/>
        <v>0</v>
      </c>
    </row>
    <row r="994" spans="2:10" hidden="1" x14ac:dyDescent="0.25">
      <c r="B994" s="48">
        <f>+'Metrics - Articles'!C991</f>
        <v>0</v>
      </c>
      <c r="C994">
        <f>COUNTIF('Metrics - Articles'!H991,"*Global*")</f>
        <v>0</v>
      </c>
      <c r="D994">
        <f>COUNTIF('Metrics - Articles'!H991,"*EMEA*")</f>
        <v>0</v>
      </c>
      <c r="E994">
        <f>COUNTIF('Metrics - Articles'!H991,"*NA*")</f>
        <v>0</v>
      </c>
      <c r="F994">
        <f>COUNTIF('Metrics - Articles'!H991,"*APJ")</f>
        <v>0</v>
      </c>
      <c r="G994">
        <f>COUNTIF('Metrics - Articles'!H991,"*LATAM*")</f>
        <v>0</v>
      </c>
      <c r="H994">
        <f>COUNTIF('Metrics - Articles'!H991,"*China*")</f>
        <v>0</v>
      </c>
      <c r="J994" s="53">
        <f t="shared" si="16"/>
        <v>0</v>
      </c>
    </row>
    <row r="995" spans="2:10" hidden="1" x14ac:dyDescent="0.25">
      <c r="B995" s="48">
        <f>+'Metrics - Articles'!C992</f>
        <v>0</v>
      </c>
      <c r="C995">
        <f>COUNTIF('Metrics - Articles'!H992,"*Global*")</f>
        <v>0</v>
      </c>
      <c r="D995">
        <f>COUNTIF('Metrics - Articles'!H992,"*EMEA*")</f>
        <v>0</v>
      </c>
      <c r="E995">
        <f>COUNTIF('Metrics - Articles'!H992,"*NA*")</f>
        <v>0</v>
      </c>
      <c r="F995">
        <f>COUNTIF('Metrics - Articles'!H992,"*APJ")</f>
        <v>0</v>
      </c>
      <c r="G995">
        <f>COUNTIF('Metrics - Articles'!H992,"*LATAM*")</f>
        <v>0</v>
      </c>
      <c r="H995">
        <f>COUNTIF('Metrics - Articles'!H992,"*China*")</f>
        <v>0</v>
      </c>
      <c r="J995" s="53">
        <f t="shared" si="16"/>
        <v>0</v>
      </c>
    </row>
    <row r="996" spans="2:10" hidden="1" x14ac:dyDescent="0.25">
      <c r="B996" s="48">
        <f>+'Metrics - Articles'!C993</f>
        <v>0</v>
      </c>
      <c r="C996">
        <f>COUNTIF('Metrics - Articles'!H993,"*Global*")</f>
        <v>0</v>
      </c>
      <c r="D996">
        <f>COUNTIF('Metrics - Articles'!H993,"*EMEA*")</f>
        <v>0</v>
      </c>
      <c r="E996">
        <f>COUNTIF('Metrics - Articles'!H993,"*NA*")</f>
        <v>0</v>
      </c>
      <c r="F996">
        <f>COUNTIF('Metrics - Articles'!H993,"*APJ")</f>
        <v>0</v>
      </c>
      <c r="G996">
        <f>COUNTIF('Metrics - Articles'!H993,"*LATAM*")</f>
        <v>0</v>
      </c>
      <c r="H996">
        <f>COUNTIF('Metrics - Articles'!H993,"*China*")</f>
        <v>0</v>
      </c>
      <c r="J996" s="53">
        <f t="shared" si="16"/>
        <v>0</v>
      </c>
    </row>
    <row r="997" spans="2:10" hidden="1" x14ac:dyDescent="0.25">
      <c r="B997" s="48">
        <f>+'Metrics - Articles'!C994</f>
        <v>0</v>
      </c>
      <c r="C997">
        <f>COUNTIF('Metrics - Articles'!H994,"*Global*")</f>
        <v>0</v>
      </c>
      <c r="D997">
        <f>COUNTIF('Metrics - Articles'!H994,"*EMEA*")</f>
        <v>0</v>
      </c>
      <c r="E997">
        <f>COUNTIF('Metrics - Articles'!H994,"*NA*")</f>
        <v>0</v>
      </c>
      <c r="F997">
        <f>COUNTIF('Metrics - Articles'!H994,"*APJ")</f>
        <v>0</v>
      </c>
      <c r="G997">
        <f>COUNTIF('Metrics - Articles'!H994,"*LATAM*")</f>
        <v>0</v>
      </c>
      <c r="H997">
        <f>COUNTIF('Metrics - Articles'!H994,"*China*")</f>
        <v>0</v>
      </c>
      <c r="J997" s="53">
        <f t="shared" si="16"/>
        <v>0</v>
      </c>
    </row>
    <row r="998" spans="2:10" hidden="1" x14ac:dyDescent="0.25">
      <c r="B998" s="48">
        <f>+'Metrics - Articles'!C995</f>
        <v>0</v>
      </c>
      <c r="C998">
        <f>COUNTIF('Metrics - Articles'!H995,"*Global*")</f>
        <v>0</v>
      </c>
      <c r="D998">
        <f>COUNTIF('Metrics - Articles'!H995,"*EMEA*")</f>
        <v>0</v>
      </c>
      <c r="E998">
        <f>COUNTIF('Metrics - Articles'!H995,"*NA*")</f>
        <v>0</v>
      </c>
      <c r="F998">
        <f>COUNTIF('Metrics - Articles'!H995,"*APJ")</f>
        <v>0</v>
      </c>
      <c r="G998">
        <f>COUNTIF('Metrics - Articles'!H995,"*LATAM*")</f>
        <v>0</v>
      </c>
      <c r="H998">
        <f>COUNTIF('Metrics - Articles'!H995,"*China*")</f>
        <v>0</v>
      </c>
      <c r="J998" s="53">
        <f t="shared" si="16"/>
        <v>0</v>
      </c>
    </row>
    <row r="999" spans="2:10" hidden="1" x14ac:dyDescent="0.25">
      <c r="B999" s="48">
        <f>+'Metrics - Articles'!C996</f>
        <v>0</v>
      </c>
      <c r="C999">
        <f>COUNTIF('Metrics - Articles'!H996,"*Global*")</f>
        <v>0</v>
      </c>
      <c r="D999">
        <f>COUNTIF('Metrics - Articles'!H996,"*EMEA*")</f>
        <v>0</v>
      </c>
      <c r="E999">
        <f>COUNTIF('Metrics - Articles'!H996,"*NA*")</f>
        <v>0</v>
      </c>
      <c r="F999">
        <f>COUNTIF('Metrics - Articles'!H996,"*APJ")</f>
        <v>0</v>
      </c>
      <c r="G999">
        <f>COUNTIF('Metrics - Articles'!H996,"*LATAM*")</f>
        <v>0</v>
      </c>
      <c r="H999">
        <f>COUNTIF('Metrics - Articles'!H996,"*China*")</f>
        <v>0</v>
      </c>
      <c r="J999" s="53">
        <f t="shared" si="16"/>
        <v>0</v>
      </c>
    </row>
    <row r="1000" spans="2:10" hidden="1" x14ac:dyDescent="0.25">
      <c r="B1000" s="48">
        <f>+'Metrics - Articles'!C997</f>
        <v>0</v>
      </c>
      <c r="C1000">
        <f>COUNTIF('Metrics - Articles'!H997,"*Global*")</f>
        <v>0</v>
      </c>
      <c r="D1000">
        <f>COUNTIF('Metrics - Articles'!H997,"*EMEA*")</f>
        <v>0</v>
      </c>
      <c r="E1000">
        <f>COUNTIF('Metrics - Articles'!H997,"*NA*")</f>
        <v>0</v>
      </c>
      <c r="F1000">
        <f>COUNTIF('Metrics - Articles'!H997,"*APJ")</f>
        <v>0</v>
      </c>
      <c r="G1000">
        <f>COUNTIF('Metrics - Articles'!H997,"*LATAM*")</f>
        <v>0</v>
      </c>
      <c r="H1000">
        <f>COUNTIF('Metrics - Articles'!H997,"*China*")</f>
        <v>0</v>
      </c>
      <c r="J1000" s="53">
        <f t="shared" si="16"/>
        <v>0</v>
      </c>
    </row>
    <row r="1001" spans="2:10" hidden="1" x14ac:dyDescent="0.25">
      <c r="B1001" s="48">
        <f>+'Metrics - Articles'!C998</f>
        <v>0</v>
      </c>
      <c r="C1001">
        <f>COUNTIF('Metrics - Articles'!H998,"*Global*")</f>
        <v>0</v>
      </c>
      <c r="D1001">
        <f>COUNTIF('Metrics - Articles'!H998,"*EMEA*")</f>
        <v>0</v>
      </c>
      <c r="E1001">
        <f>COUNTIF('Metrics - Articles'!H998,"*NA*")</f>
        <v>0</v>
      </c>
      <c r="F1001">
        <f>COUNTIF('Metrics - Articles'!H998,"*APJ")</f>
        <v>0</v>
      </c>
      <c r="G1001">
        <f>COUNTIF('Metrics - Articles'!H998,"*LATAM*")</f>
        <v>0</v>
      </c>
      <c r="H1001">
        <f>COUNTIF('Metrics - Articles'!H998,"*China*")</f>
        <v>0</v>
      </c>
      <c r="J1001" s="53">
        <f t="shared" si="16"/>
        <v>0</v>
      </c>
    </row>
    <row r="1002" spans="2:10" hidden="1" x14ac:dyDescent="0.25">
      <c r="B1002" s="48">
        <f>+'Metrics - Articles'!C999</f>
        <v>0</v>
      </c>
      <c r="C1002">
        <f>COUNTIF('Metrics - Articles'!H999,"*Global*")</f>
        <v>0</v>
      </c>
      <c r="D1002">
        <f>COUNTIF('Metrics - Articles'!H999,"*EMEA*")</f>
        <v>0</v>
      </c>
      <c r="E1002">
        <f>COUNTIF('Metrics - Articles'!H999,"*NA*")</f>
        <v>0</v>
      </c>
      <c r="F1002">
        <f>COUNTIF('Metrics - Articles'!H999,"*APJ")</f>
        <v>0</v>
      </c>
      <c r="G1002">
        <f>COUNTIF('Metrics - Articles'!H999,"*LATAM*")</f>
        <v>0</v>
      </c>
      <c r="H1002">
        <f>COUNTIF('Metrics - Articles'!H999,"*China*")</f>
        <v>0</v>
      </c>
      <c r="J1002" s="53">
        <f t="shared" si="16"/>
        <v>0</v>
      </c>
    </row>
    <row r="1003" spans="2:10" hidden="1" x14ac:dyDescent="0.25">
      <c r="B1003" s="48">
        <f>+'Metrics - Articles'!C1000</f>
        <v>0</v>
      </c>
      <c r="C1003">
        <f>COUNTIF('Metrics - Articles'!H1000,"*Global*")</f>
        <v>0</v>
      </c>
      <c r="D1003">
        <f>COUNTIF('Metrics - Articles'!H1000,"*EMEA*")</f>
        <v>0</v>
      </c>
      <c r="E1003">
        <f>COUNTIF('Metrics - Articles'!H1000,"*NA*")</f>
        <v>0</v>
      </c>
      <c r="F1003">
        <f>COUNTIF('Metrics - Articles'!H1000,"*APJ")</f>
        <v>0</v>
      </c>
      <c r="G1003">
        <f>COUNTIF('Metrics - Articles'!H1000,"*LATAM*")</f>
        <v>0</v>
      </c>
      <c r="H1003">
        <f>COUNTIF('Metrics - Articles'!H1000,"*China*")</f>
        <v>0</v>
      </c>
      <c r="J1003" s="53">
        <f t="shared" si="16"/>
        <v>0</v>
      </c>
    </row>
    <row r="1004" spans="2:10" hidden="1" x14ac:dyDescent="0.25">
      <c r="B1004" s="48">
        <f>+'Metrics - Articles'!C1001</f>
        <v>0</v>
      </c>
      <c r="C1004">
        <f>COUNTIF('Metrics - Articles'!H1001,"*Global*")</f>
        <v>0</v>
      </c>
      <c r="D1004">
        <f>COUNTIF('Metrics - Articles'!H1001,"*EMEA*")</f>
        <v>0</v>
      </c>
      <c r="E1004">
        <f>COUNTIF('Metrics - Articles'!H1001,"*NA*")</f>
        <v>0</v>
      </c>
      <c r="F1004">
        <f>COUNTIF('Metrics - Articles'!H1001,"*APJ")</f>
        <v>0</v>
      </c>
      <c r="G1004">
        <f>COUNTIF('Metrics - Articles'!H1001,"*LATAM*")</f>
        <v>0</v>
      </c>
      <c r="H1004">
        <f>COUNTIF('Metrics - Articles'!H1001,"*China*")</f>
        <v>0</v>
      </c>
      <c r="J1004" s="53">
        <f t="shared" si="16"/>
        <v>0</v>
      </c>
    </row>
  </sheetData>
  <autoFilter ref="B8:O1004">
    <filterColumn colId="0">
      <filters>
        <dateGroupItem year="2015" month="10" dateTimeGrouping="month"/>
        <dateGroupItem year="2015" month="11" dateTimeGrouping="month"/>
        <dateGroupItem year="2015" month="12" dateTimeGrouping="month"/>
      </filters>
    </filterColumn>
  </autoFilter>
  <mergeCells count="1">
    <mergeCell ref="M1:M6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3" tint="0.59999389629810485"/>
  </sheetPr>
  <dimension ref="B1:M1003"/>
  <sheetViews>
    <sheetView workbookViewId="0">
      <selection activeCell="R7" sqref="R7"/>
    </sheetView>
  </sheetViews>
  <sheetFormatPr baseColWidth="10" defaultColWidth="9.140625" defaultRowHeight="15" x14ac:dyDescent="0.25"/>
  <cols>
    <col min="2" max="2" width="9.7109375" bestFit="1" customWidth="1"/>
    <col min="12" max="12" width="13.85546875" bestFit="1" customWidth="1"/>
    <col min="13" max="13" width="11.140625" bestFit="1" customWidth="1"/>
  </cols>
  <sheetData>
    <row r="1" spans="2:13" ht="18.75" customHeight="1" x14ac:dyDescent="0.3">
      <c r="K1" s="169" t="s">
        <v>500</v>
      </c>
      <c r="L1" s="100" t="s">
        <v>25</v>
      </c>
      <c r="M1" s="144">
        <f>C8/I8</f>
        <v>6.3013698630136991E-2</v>
      </c>
    </row>
    <row r="2" spans="2:13" ht="18.75" x14ac:dyDescent="0.3">
      <c r="K2" s="169"/>
      <c r="L2" s="100" t="s">
        <v>22</v>
      </c>
      <c r="M2" s="144">
        <f>D8/I8</f>
        <v>8.2191780821917804E-2</v>
      </c>
    </row>
    <row r="3" spans="2:13" ht="18.75" x14ac:dyDescent="0.3">
      <c r="K3" s="169"/>
      <c r="L3" s="100" t="s">
        <v>23</v>
      </c>
      <c r="M3" s="144">
        <f>E8/I8</f>
        <v>5.2054794520547946E-2</v>
      </c>
    </row>
    <row r="4" spans="2:13" ht="18.75" x14ac:dyDescent="0.3">
      <c r="K4" s="169"/>
      <c r="L4" s="100" t="s">
        <v>24</v>
      </c>
      <c r="M4" s="144">
        <f>F8/I8</f>
        <v>0.44657534246575342</v>
      </c>
    </row>
    <row r="5" spans="2:13" ht="18.75" x14ac:dyDescent="0.3">
      <c r="K5" s="169"/>
      <c r="L5" s="100" t="s">
        <v>361</v>
      </c>
      <c r="M5" s="144">
        <f>G8/I8</f>
        <v>0.35616438356164382</v>
      </c>
    </row>
    <row r="6" spans="2:13" ht="15.75" thickBot="1" x14ac:dyDescent="0.3"/>
    <row r="7" spans="2:13" ht="56.25" thickBot="1" x14ac:dyDescent="0.3">
      <c r="B7" s="49" t="s">
        <v>479</v>
      </c>
      <c r="C7" s="50" t="s">
        <v>25</v>
      </c>
      <c r="D7" s="50" t="s">
        <v>22</v>
      </c>
      <c r="E7" s="50" t="s">
        <v>23</v>
      </c>
      <c r="F7" s="50" t="s">
        <v>24</v>
      </c>
      <c r="G7" s="50" t="s">
        <v>361</v>
      </c>
      <c r="I7" s="51" t="s">
        <v>480</v>
      </c>
    </row>
    <row r="8" spans="2:13" ht="15.75" thickBot="1" x14ac:dyDescent="0.3">
      <c r="B8" s="49" t="s">
        <v>481</v>
      </c>
      <c r="C8" s="123">
        <f>SUBTOTAL(9,C9:C1157)</f>
        <v>23</v>
      </c>
      <c r="D8" s="123">
        <f t="shared" ref="D8:G8" si="0">SUBTOTAL(9,D9:D1157)</f>
        <v>30</v>
      </c>
      <c r="E8" s="123">
        <f t="shared" si="0"/>
        <v>19</v>
      </c>
      <c r="F8" s="123">
        <f t="shared" si="0"/>
        <v>163</v>
      </c>
      <c r="G8" s="123">
        <f t="shared" si="0"/>
        <v>130</v>
      </c>
      <c r="I8" s="124">
        <f t="shared" ref="I8:I71" si="1">SUM(C8:H8)</f>
        <v>365</v>
      </c>
    </row>
    <row r="9" spans="2:13" x14ac:dyDescent="0.25">
      <c r="B9" s="48">
        <f>+'Metrics - Articles'!C8</f>
        <v>42005</v>
      </c>
      <c r="C9">
        <f>COUNTIF('Metrics - Articles'!E8,"*Sports*")</f>
        <v>0</v>
      </c>
      <c r="D9">
        <f>COUNTIF('Metrics - Articles'!E8,"*Youth*")</f>
        <v>0</v>
      </c>
      <c r="E9">
        <f>COUNTIF('Metrics - Articles'!E8,"*Healthcare*")</f>
        <v>0</v>
      </c>
      <c r="F9">
        <f>COUNTIF('Metrics - Articles'!E8,"*Innovation")</f>
        <v>0</v>
      </c>
      <c r="G9">
        <f>COUNTIF('Metrics - Articles'!E8,"*Corporate*")</f>
        <v>1</v>
      </c>
      <c r="I9" s="53">
        <f t="shared" si="1"/>
        <v>1</v>
      </c>
    </row>
    <row r="10" spans="2:13" x14ac:dyDescent="0.25">
      <c r="B10" s="48">
        <f>+'Metrics - Articles'!C9</f>
        <v>42005</v>
      </c>
      <c r="C10">
        <f>COUNTIF('Metrics - Articles'!E9,"*Sports*")</f>
        <v>1</v>
      </c>
      <c r="D10">
        <f>COUNTIF('Metrics - Articles'!E9,"*Youth*")</f>
        <v>0</v>
      </c>
      <c r="E10">
        <f>COUNTIF('Metrics - Articles'!E9,"*Healthcare*")</f>
        <v>0</v>
      </c>
      <c r="F10">
        <f>COUNTIF('Metrics - Articles'!E9,"*Innovation")</f>
        <v>0</v>
      </c>
      <c r="G10">
        <f>COUNTIF('Metrics - Articles'!E9,"*Corporate*")</f>
        <v>0</v>
      </c>
      <c r="I10" s="53">
        <f t="shared" si="1"/>
        <v>1</v>
      </c>
    </row>
    <row r="11" spans="2:13" x14ac:dyDescent="0.25">
      <c r="B11" s="48">
        <f>+'Metrics - Articles'!C10</f>
        <v>42005</v>
      </c>
      <c r="C11">
        <f>COUNTIF('Metrics - Articles'!E10,"*Sports*")</f>
        <v>0</v>
      </c>
      <c r="D11">
        <f>COUNTIF('Metrics - Articles'!E10,"*Youth*")</f>
        <v>0</v>
      </c>
      <c r="E11">
        <f>COUNTIF('Metrics - Articles'!E10,"*Healthcare*")</f>
        <v>0</v>
      </c>
      <c r="F11">
        <f>COUNTIF('Metrics - Articles'!E10,"*Innovation")</f>
        <v>1</v>
      </c>
      <c r="G11">
        <f>COUNTIF('Metrics - Articles'!E10,"*Corporate*")</f>
        <v>0</v>
      </c>
      <c r="I11" s="53">
        <f t="shared" si="1"/>
        <v>1</v>
      </c>
    </row>
    <row r="12" spans="2:13" x14ac:dyDescent="0.25">
      <c r="B12" s="48">
        <f>+'Metrics - Articles'!C11</f>
        <v>42006</v>
      </c>
      <c r="C12">
        <f>COUNTIF('Metrics - Articles'!E11,"*Sports*")</f>
        <v>0</v>
      </c>
      <c r="D12">
        <f>COUNTIF('Metrics - Articles'!E11,"*Youth*")</f>
        <v>0</v>
      </c>
      <c r="E12">
        <f>COUNTIF('Metrics - Articles'!E11,"*Healthcare*")</f>
        <v>0</v>
      </c>
      <c r="F12">
        <f>COUNTIF('Metrics - Articles'!E11,"*Innovation")</f>
        <v>1</v>
      </c>
      <c r="G12">
        <f>COUNTIF('Metrics - Articles'!E11,"*Corporate*")</f>
        <v>0</v>
      </c>
      <c r="I12" s="53">
        <f t="shared" si="1"/>
        <v>1</v>
      </c>
    </row>
    <row r="13" spans="2:13" x14ac:dyDescent="0.25">
      <c r="B13" s="48">
        <f>+'Metrics - Articles'!C12</f>
        <v>42009</v>
      </c>
      <c r="C13">
        <f>COUNTIF('Metrics - Articles'!E12,"*Sports*")</f>
        <v>0</v>
      </c>
      <c r="D13">
        <f>COUNTIF('Metrics - Articles'!E12,"*Youth*")</f>
        <v>0</v>
      </c>
      <c r="E13">
        <f>COUNTIF('Metrics - Articles'!E12,"*Healthcare*")</f>
        <v>0</v>
      </c>
      <c r="F13">
        <f>COUNTIF('Metrics - Articles'!E12,"*Innovation")</f>
        <v>1</v>
      </c>
      <c r="G13">
        <f>COUNTIF('Metrics - Articles'!E12,"*Corporate*")</f>
        <v>0</v>
      </c>
      <c r="I13" s="53">
        <f t="shared" si="1"/>
        <v>1</v>
      </c>
    </row>
    <row r="14" spans="2:13" x14ac:dyDescent="0.25">
      <c r="B14" s="48">
        <f>+'Metrics - Articles'!C13</f>
        <v>42010</v>
      </c>
      <c r="C14">
        <f>COUNTIF('Metrics - Articles'!E13,"*Sports*")</f>
        <v>0</v>
      </c>
      <c r="D14">
        <f>COUNTIF('Metrics - Articles'!E13,"*Youth*")</f>
        <v>0</v>
      </c>
      <c r="E14">
        <f>COUNTIF('Metrics - Articles'!E13,"*Healthcare*")</f>
        <v>0</v>
      </c>
      <c r="F14">
        <f>COUNTIF('Metrics - Articles'!E13,"*Innovation")</f>
        <v>1</v>
      </c>
      <c r="G14">
        <f>COUNTIF('Metrics - Articles'!E13,"*Corporate*")</f>
        <v>0</v>
      </c>
      <c r="I14" s="53">
        <f t="shared" si="1"/>
        <v>1</v>
      </c>
    </row>
    <row r="15" spans="2:13" x14ac:dyDescent="0.25">
      <c r="B15" s="48">
        <f>+'Metrics - Articles'!C14</f>
        <v>42013</v>
      </c>
      <c r="C15">
        <f>COUNTIF('Metrics - Articles'!E14,"*Sports*")</f>
        <v>0</v>
      </c>
      <c r="D15">
        <f>COUNTIF('Metrics - Articles'!E14,"*Youth*")</f>
        <v>0</v>
      </c>
      <c r="E15">
        <f>COUNTIF('Metrics - Articles'!E14,"*Healthcare*")</f>
        <v>0</v>
      </c>
      <c r="F15">
        <f>COUNTIF('Metrics - Articles'!E14,"*Innovation")</f>
        <v>0</v>
      </c>
      <c r="G15">
        <f>COUNTIF('Metrics - Articles'!E14,"*Corporate*")</f>
        <v>1</v>
      </c>
      <c r="I15" s="53">
        <f t="shared" si="1"/>
        <v>1</v>
      </c>
    </row>
    <row r="16" spans="2:13" x14ac:dyDescent="0.25">
      <c r="B16" s="48">
        <f>+'Metrics - Articles'!C15</f>
        <v>42013</v>
      </c>
      <c r="C16">
        <f>COUNTIF('Metrics - Articles'!E15,"*Sports*")</f>
        <v>0</v>
      </c>
      <c r="D16">
        <f>COUNTIF('Metrics - Articles'!E15,"*Youth*")</f>
        <v>0</v>
      </c>
      <c r="E16">
        <f>COUNTIF('Metrics - Articles'!E15,"*Healthcare*")</f>
        <v>0</v>
      </c>
      <c r="F16">
        <f>COUNTIF('Metrics - Articles'!E15,"*Innovation")</f>
        <v>0</v>
      </c>
      <c r="G16">
        <f>COUNTIF('Metrics - Articles'!E15,"*Corporate*")</f>
        <v>1</v>
      </c>
      <c r="I16" s="53">
        <f t="shared" si="1"/>
        <v>1</v>
      </c>
    </row>
    <row r="17" spans="2:9" x14ac:dyDescent="0.25">
      <c r="B17" s="48">
        <f>+'Metrics - Articles'!C16</f>
        <v>42016</v>
      </c>
      <c r="C17">
        <f>COUNTIF('Metrics - Articles'!E16,"*Sports*")</f>
        <v>0</v>
      </c>
      <c r="D17">
        <f>COUNTIF('Metrics - Articles'!E16,"*Youth*")</f>
        <v>0</v>
      </c>
      <c r="E17">
        <f>COUNTIF('Metrics - Articles'!E16,"*Healthcare*")</f>
        <v>0</v>
      </c>
      <c r="F17">
        <f>COUNTIF('Metrics - Articles'!E16,"*Innovation")</f>
        <v>0</v>
      </c>
      <c r="G17">
        <f>COUNTIF('Metrics - Articles'!E16,"*Corporate*")</f>
        <v>1</v>
      </c>
      <c r="I17" s="53">
        <f t="shared" si="1"/>
        <v>1</v>
      </c>
    </row>
    <row r="18" spans="2:9" x14ac:dyDescent="0.25">
      <c r="B18" s="48">
        <f>+'Metrics - Articles'!C17</f>
        <v>42016</v>
      </c>
      <c r="C18">
        <f>COUNTIF('Metrics - Articles'!E17,"*Sports*")</f>
        <v>0</v>
      </c>
      <c r="D18">
        <f>COUNTIF('Metrics - Articles'!E17,"*Youth*")</f>
        <v>0</v>
      </c>
      <c r="E18">
        <f>COUNTIF('Metrics - Articles'!E17,"*Healthcare*")</f>
        <v>0</v>
      </c>
      <c r="F18">
        <f>COUNTIF('Metrics - Articles'!E17,"*Innovation")</f>
        <v>1</v>
      </c>
      <c r="G18">
        <f>COUNTIF('Metrics - Articles'!E17,"*Corporate*")</f>
        <v>0</v>
      </c>
      <c r="I18" s="53">
        <f t="shared" si="1"/>
        <v>1</v>
      </c>
    </row>
    <row r="19" spans="2:9" x14ac:dyDescent="0.25">
      <c r="B19" s="48">
        <f>+'Metrics - Articles'!C18</f>
        <v>42019</v>
      </c>
      <c r="C19">
        <f>COUNTIF('Metrics - Articles'!E18,"*Sports*")</f>
        <v>0</v>
      </c>
      <c r="D19">
        <f>COUNTIF('Metrics - Articles'!E18,"*Youth*")</f>
        <v>0</v>
      </c>
      <c r="E19">
        <f>COUNTIF('Metrics - Articles'!E18,"*Healthcare*")</f>
        <v>0</v>
      </c>
      <c r="F19">
        <f>COUNTIF('Metrics - Articles'!E18,"*Innovation")</f>
        <v>0</v>
      </c>
      <c r="G19">
        <f>COUNTIF('Metrics - Articles'!E18,"*Corporate*")</f>
        <v>1</v>
      </c>
      <c r="I19" s="53">
        <f t="shared" si="1"/>
        <v>1</v>
      </c>
    </row>
    <row r="20" spans="2:9" x14ac:dyDescent="0.25">
      <c r="B20" s="48">
        <f>+'Metrics - Articles'!C19</f>
        <v>42019</v>
      </c>
      <c r="C20">
        <f>COUNTIF('Metrics - Articles'!E19,"*Sports*")</f>
        <v>0</v>
      </c>
      <c r="D20">
        <f>COUNTIF('Metrics - Articles'!E19,"*Youth*")</f>
        <v>0</v>
      </c>
      <c r="E20">
        <f>COUNTIF('Metrics - Articles'!E19,"*Healthcare*")</f>
        <v>0</v>
      </c>
      <c r="F20">
        <f>COUNTIF('Metrics - Articles'!E19,"*Innovation")</f>
        <v>0</v>
      </c>
      <c r="G20">
        <f>COUNTIF('Metrics - Articles'!E19,"*Corporate*")</f>
        <v>1</v>
      </c>
      <c r="I20" s="53">
        <f t="shared" si="1"/>
        <v>1</v>
      </c>
    </row>
    <row r="21" spans="2:9" x14ac:dyDescent="0.25">
      <c r="B21" s="48">
        <f>+'Metrics - Articles'!C20</f>
        <v>42020</v>
      </c>
      <c r="C21">
        <f>COUNTIF('Metrics - Articles'!E20,"*Sports*")</f>
        <v>0</v>
      </c>
      <c r="D21">
        <f>COUNTIF('Metrics - Articles'!E20,"*Youth*")</f>
        <v>0</v>
      </c>
      <c r="E21">
        <f>COUNTIF('Metrics - Articles'!E20,"*Healthcare*")</f>
        <v>0</v>
      </c>
      <c r="F21">
        <f>COUNTIF('Metrics - Articles'!E20,"*Innovation")</f>
        <v>0</v>
      </c>
      <c r="G21">
        <f>COUNTIF('Metrics - Articles'!E20,"*Corporate*")</f>
        <v>1</v>
      </c>
      <c r="I21" s="53">
        <f t="shared" si="1"/>
        <v>1</v>
      </c>
    </row>
    <row r="22" spans="2:9" x14ac:dyDescent="0.25">
      <c r="B22" s="48">
        <f>+'Metrics - Articles'!C21</f>
        <v>42023</v>
      </c>
      <c r="C22">
        <f>COUNTIF('Metrics - Articles'!E21,"*Sports*")</f>
        <v>0</v>
      </c>
      <c r="D22">
        <f>COUNTIF('Metrics - Articles'!E21,"*Youth*")</f>
        <v>0</v>
      </c>
      <c r="E22">
        <f>COUNTIF('Metrics - Articles'!E21,"*Healthcare*")</f>
        <v>0</v>
      </c>
      <c r="F22">
        <f>COUNTIF('Metrics - Articles'!E21,"*Innovation")</f>
        <v>0</v>
      </c>
      <c r="G22">
        <f>COUNTIF('Metrics - Articles'!E21,"*Corporate*")</f>
        <v>1</v>
      </c>
      <c r="I22" s="53">
        <f t="shared" si="1"/>
        <v>1</v>
      </c>
    </row>
    <row r="23" spans="2:9" x14ac:dyDescent="0.25">
      <c r="B23" s="48">
        <f>+'Metrics - Articles'!C22</f>
        <v>42023</v>
      </c>
      <c r="C23">
        <f>COUNTIF('Metrics - Articles'!E22,"*Sports*")</f>
        <v>0</v>
      </c>
      <c r="D23">
        <f>COUNTIF('Metrics - Articles'!E22,"*Youth*")</f>
        <v>0</v>
      </c>
      <c r="E23">
        <f>COUNTIF('Metrics - Articles'!E22,"*Healthcare*")</f>
        <v>0</v>
      </c>
      <c r="F23">
        <f>COUNTIF('Metrics - Articles'!E22,"*Innovation")</f>
        <v>0</v>
      </c>
      <c r="G23">
        <f>COUNTIF('Metrics - Articles'!E22,"*Corporate*")</f>
        <v>1</v>
      </c>
      <c r="I23" s="53">
        <f t="shared" si="1"/>
        <v>1</v>
      </c>
    </row>
    <row r="24" spans="2:9" x14ac:dyDescent="0.25">
      <c r="B24" s="48">
        <f>+'Metrics - Articles'!C23</f>
        <v>42024</v>
      </c>
      <c r="C24">
        <f>COUNTIF('Metrics - Articles'!E23,"*Sports*")</f>
        <v>0</v>
      </c>
      <c r="D24">
        <f>COUNTIF('Metrics - Articles'!E23,"*Youth*")</f>
        <v>0</v>
      </c>
      <c r="E24">
        <f>COUNTIF('Metrics - Articles'!E23,"*Healthcare*")</f>
        <v>0</v>
      </c>
      <c r="F24">
        <f>COUNTIF('Metrics - Articles'!E23,"*Innovation")</f>
        <v>1</v>
      </c>
      <c r="G24">
        <f>COUNTIF('Metrics - Articles'!E23,"*Corporate*")</f>
        <v>0</v>
      </c>
      <c r="I24" s="53">
        <f t="shared" si="1"/>
        <v>1</v>
      </c>
    </row>
    <row r="25" spans="2:9" x14ac:dyDescent="0.25">
      <c r="B25" s="48">
        <f>+'Metrics - Articles'!C24</f>
        <v>42024</v>
      </c>
      <c r="C25">
        <f>COUNTIF('Metrics - Articles'!E24,"*Sports*")</f>
        <v>0</v>
      </c>
      <c r="D25">
        <f>COUNTIF('Metrics - Articles'!E24,"*Youth*")</f>
        <v>0</v>
      </c>
      <c r="E25">
        <f>COUNTIF('Metrics - Articles'!E24,"*Healthcare*")</f>
        <v>0</v>
      </c>
      <c r="F25">
        <f>COUNTIF('Metrics - Articles'!E24,"*Innovation")</f>
        <v>1</v>
      </c>
      <c r="G25">
        <f>COUNTIF('Metrics - Articles'!E24,"*Corporate*")</f>
        <v>0</v>
      </c>
      <c r="I25" s="53">
        <f t="shared" si="1"/>
        <v>1</v>
      </c>
    </row>
    <row r="26" spans="2:9" x14ac:dyDescent="0.25">
      <c r="B26" s="48">
        <f>+'Metrics - Articles'!C25</f>
        <v>42025</v>
      </c>
      <c r="C26">
        <f>COUNTIF('Metrics - Articles'!E25,"*Sports*")</f>
        <v>0</v>
      </c>
      <c r="D26">
        <f>COUNTIF('Metrics - Articles'!E25,"*Youth*")</f>
        <v>0</v>
      </c>
      <c r="E26">
        <f>COUNTIF('Metrics - Articles'!E25,"*Healthcare*")</f>
        <v>0</v>
      </c>
      <c r="F26">
        <f>COUNTIF('Metrics - Articles'!E25,"*Innovation")</f>
        <v>1</v>
      </c>
      <c r="G26">
        <f>COUNTIF('Metrics - Articles'!E25,"*Corporate*")</f>
        <v>0</v>
      </c>
      <c r="I26" s="53">
        <f t="shared" si="1"/>
        <v>1</v>
      </c>
    </row>
    <row r="27" spans="2:9" x14ac:dyDescent="0.25">
      <c r="B27" s="48">
        <f>+'Metrics - Articles'!C26</f>
        <v>42025</v>
      </c>
      <c r="C27">
        <f>COUNTIF('Metrics - Articles'!E26,"*Sports*")</f>
        <v>0</v>
      </c>
      <c r="D27">
        <f>COUNTIF('Metrics - Articles'!E26,"*Youth*")</f>
        <v>0</v>
      </c>
      <c r="E27">
        <f>COUNTIF('Metrics - Articles'!E26,"*Healthcare*")</f>
        <v>0</v>
      </c>
      <c r="F27">
        <f>COUNTIF('Metrics - Articles'!E26,"*Innovation")</f>
        <v>0</v>
      </c>
      <c r="G27">
        <f>COUNTIF('Metrics - Articles'!E26,"*Corporate*")</f>
        <v>1</v>
      </c>
      <c r="I27" s="53">
        <f t="shared" si="1"/>
        <v>1</v>
      </c>
    </row>
    <row r="28" spans="2:9" x14ac:dyDescent="0.25">
      <c r="B28" s="48">
        <f>+'Metrics - Articles'!C27</f>
        <v>42026</v>
      </c>
      <c r="C28">
        <f>COUNTIF('Metrics - Articles'!E27,"*Sports*")</f>
        <v>0</v>
      </c>
      <c r="D28">
        <f>COUNTIF('Metrics - Articles'!E27,"*Youth*")</f>
        <v>0</v>
      </c>
      <c r="E28">
        <f>COUNTIF('Metrics - Articles'!E27,"*Healthcare*")</f>
        <v>0</v>
      </c>
      <c r="F28">
        <f>COUNTIF('Metrics - Articles'!E27,"*Innovation")</f>
        <v>1</v>
      </c>
      <c r="G28">
        <f>COUNTIF('Metrics - Articles'!E27,"*Corporate*")</f>
        <v>0</v>
      </c>
      <c r="I28" s="53">
        <f t="shared" si="1"/>
        <v>1</v>
      </c>
    </row>
    <row r="29" spans="2:9" x14ac:dyDescent="0.25">
      <c r="B29" s="48">
        <f>+'Metrics - Articles'!C28</f>
        <v>42027</v>
      </c>
      <c r="C29">
        <f>COUNTIF('Metrics - Articles'!E28,"*Sports*")</f>
        <v>0</v>
      </c>
      <c r="D29">
        <f>COUNTIF('Metrics - Articles'!E28,"*Youth*")</f>
        <v>0</v>
      </c>
      <c r="E29">
        <f>COUNTIF('Metrics - Articles'!E28,"*Healthcare*")</f>
        <v>0</v>
      </c>
      <c r="F29">
        <f>COUNTIF('Metrics - Articles'!E28,"*Innovation")</f>
        <v>0</v>
      </c>
      <c r="G29">
        <f>COUNTIF('Metrics - Articles'!E28,"*Corporate*")</f>
        <v>1</v>
      </c>
      <c r="I29" s="53">
        <f t="shared" si="1"/>
        <v>1</v>
      </c>
    </row>
    <row r="30" spans="2:9" x14ac:dyDescent="0.25">
      <c r="B30" s="48">
        <f>+'Metrics - Articles'!C29</f>
        <v>42027</v>
      </c>
      <c r="C30">
        <f>COUNTIF('Metrics - Articles'!E29,"*Sports*")</f>
        <v>1</v>
      </c>
      <c r="D30">
        <f>COUNTIF('Metrics - Articles'!E29,"*Youth*")</f>
        <v>0</v>
      </c>
      <c r="E30">
        <f>COUNTIF('Metrics - Articles'!E29,"*Healthcare*")</f>
        <v>0</v>
      </c>
      <c r="F30">
        <f>COUNTIF('Metrics - Articles'!E29,"*Innovation")</f>
        <v>0</v>
      </c>
      <c r="G30">
        <f>COUNTIF('Metrics - Articles'!E29,"*Corporate*")</f>
        <v>0</v>
      </c>
      <c r="I30" s="53">
        <f t="shared" si="1"/>
        <v>1</v>
      </c>
    </row>
    <row r="31" spans="2:9" x14ac:dyDescent="0.25">
      <c r="B31" s="48">
        <f>+'Metrics - Articles'!C30</f>
        <v>42027</v>
      </c>
      <c r="C31">
        <f>COUNTIF('Metrics - Articles'!E30,"*Sports*")</f>
        <v>0</v>
      </c>
      <c r="D31">
        <f>COUNTIF('Metrics - Articles'!E30,"*Youth*")</f>
        <v>0</v>
      </c>
      <c r="E31">
        <f>COUNTIF('Metrics - Articles'!E30,"*Healthcare*")</f>
        <v>0</v>
      </c>
      <c r="F31">
        <f>COUNTIF('Metrics - Articles'!E30,"*Innovation")</f>
        <v>1</v>
      </c>
      <c r="G31">
        <f>COUNTIF('Metrics - Articles'!E30,"*Corporate*")</f>
        <v>0</v>
      </c>
      <c r="I31" s="53">
        <f t="shared" si="1"/>
        <v>1</v>
      </c>
    </row>
    <row r="32" spans="2:9" x14ac:dyDescent="0.25">
      <c r="B32" s="48">
        <f>+'Metrics - Articles'!C31</f>
        <v>42030</v>
      </c>
      <c r="C32">
        <f>COUNTIF('Metrics - Articles'!E31,"*Sports*")</f>
        <v>0</v>
      </c>
      <c r="D32">
        <f>COUNTIF('Metrics - Articles'!E31,"*Youth*")</f>
        <v>0</v>
      </c>
      <c r="E32">
        <f>COUNTIF('Metrics - Articles'!E31,"*Healthcare*")</f>
        <v>0</v>
      </c>
      <c r="F32">
        <f>COUNTIF('Metrics - Articles'!E31,"*Innovation")</f>
        <v>1</v>
      </c>
      <c r="G32">
        <f>COUNTIF('Metrics - Articles'!E31,"*Corporate*")</f>
        <v>0</v>
      </c>
      <c r="I32" s="53">
        <f t="shared" si="1"/>
        <v>1</v>
      </c>
    </row>
    <row r="33" spans="2:9" x14ac:dyDescent="0.25">
      <c r="B33" s="48">
        <f>+'Metrics - Articles'!C32</f>
        <v>42031</v>
      </c>
      <c r="C33">
        <f>COUNTIF('Metrics - Articles'!E32,"*Sports*")</f>
        <v>0</v>
      </c>
      <c r="D33">
        <f>COUNTIF('Metrics - Articles'!E32,"*Youth*")</f>
        <v>0</v>
      </c>
      <c r="E33">
        <f>COUNTIF('Metrics - Articles'!E32,"*Healthcare*")</f>
        <v>0</v>
      </c>
      <c r="F33">
        <f>COUNTIF('Metrics - Articles'!E32,"*Innovation")</f>
        <v>0</v>
      </c>
      <c r="G33">
        <f>COUNTIF('Metrics - Articles'!E32,"*Corporate*")</f>
        <v>1</v>
      </c>
      <c r="I33" s="53">
        <f t="shared" si="1"/>
        <v>1</v>
      </c>
    </row>
    <row r="34" spans="2:9" x14ac:dyDescent="0.25">
      <c r="B34" s="48">
        <f>+'Metrics - Articles'!C33</f>
        <v>42031</v>
      </c>
      <c r="C34">
        <f>COUNTIF('Metrics - Articles'!E33,"*Sports*")</f>
        <v>0</v>
      </c>
      <c r="D34">
        <f>COUNTIF('Metrics - Articles'!E33,"*Youth*")</f>
        <v>0</v>
      </c>
      <c r="E34">
        <f>COUNTIF('Metrics - Articles'!E33,"*Healthcare*")</f>
        <v>0</v>
      </c>
      <c r="F34">
        <f>COUNTIF('Metrics - Articles'!E33,"*Innovation")</f>
        <v>1</v>
      </c>
      <c r="G34">
        <f>COUNTIF('Metrics - Articles'!E33,"*Corporate*")</f>
        <v>0</v>
      </c>
      <c r="I34" s="53">
        <f t="shared" si="1"/>
        <v>1</v>
      </c>
    </row>
    <row r="35" spans="2:9" x14ac:dyDescent="0.25">
      <c r="B35" s="48">
        <f>+'Metrics - Articles'!C34</f>
        <v>42032</v>
      </c>
      <c r="C35">
        <f>COUNTIF('Metrics - Articles'!E34,"*Sports*")</f>
        <v>0</v>
      </c>
      <c r="D35">
        <f>COUNTIF('Metrics - Articles'!E34,"*Youth*")</f>
        <v>0</v>
      </c>
      <c r="E35">
        <f>COUNTIF('Metrics - Articles'!E34,"*Healthcare*")</f>
        <v>0</v>
      </c>
      <c r="F35">
        <f>COUNTIF('Metrics - Articles'!E34,"*Innovation")</f>
        <v>1</v>
      </c>
      <c r="G35">
        <f>COUNTIF('Metrics - Articles'!E34,"*Corporate*")</f>
        <v>0</v>
      </c>
      <c r="I35" s="53">
        <f t="shared" si="1"/>
        <v>1</v>
      </c>
    </row>
    <row r="36" spans="2:9" x14ac:dyDescent="0.25">
      <c r="B36" s="48">
        <f>+'Metrics - Articles'!C35</f>
        <v>42032</v>
      </c>
      <c r="C36">
        <f>COUNTIF('Metrics - Articles'!E35,"*Sports*")</f>
        <v>0</v>
      </c>
      <c r="D36">
        <f>COUNTIF('Metrics - Articles'!E35,"*Youth*")</f>
        <v>0</v>
      </c>
      <c r="E36">
        <f>COUNTIF('Metrics - Articles'!E35,"*Healthcare*")</f>
        <v>0</v>
      </c>
      <c r="F36">
        <f>COUNTIF('Metrics - Articles'!E35,"*Innovation")</f>
        <v>0</v>
      </c>
      <c r="G36">
        <f>COUNTIF('Metrics - Articles'!E35,"*Corporate*")</f>
        <v>1</v>
      </c>
      <c r="I36" s="53">
        <f t="shared" si="1"/>
        <v>1</v>
      </c>
    </row>
    <row r="37" spans="2:9" x14ac:dyDescent="0.25">
      <c r="B37" s="48">
        <f>+'Metrics - Articles'!C36</f>
        <v>42033</v>
      </c>
      <c r="C37">
        <f>COUNTIF('Metrics - Articles'!E36,"*Sports*")</f>
        <v>0</v>
      </c>
      <c r="D37">
        <f>COUNTIF('Metrics - Articles'!E36,"*Youth*")</f>
        <v>0</v>
      </c>
      <c r="E37">
        <f>COUNTIF('Metrics - Articles'!E36,"*Healthcare*")</f>
        <v>1</v>
      </c>
      <c r="F37">
        <f>COUNTIF('Metrics - Articles'!E36,"*Innovation")</f>
        <v>0</v>
      </c>
      <c r="G37">
        <f>COUNTIF('Metrics - Articles'!E36,"*Corporate*")</f>
        <v>0</v>
      </c>
      <c r="I37" s="53">
        <f t="shared" si="1"/>
        <v>1</v>
      </c>
    </row>
    <row r="38" spans="2:9" x14ac:dyDescent="0.25">
      <c r="B38" s="48">
        <f>+'Metrics - Articles'!C37</f>
        <v>42033</v>
      </c>
      <c r="C38">
        <f>COUNTIF('Metrics - Articles'!E37,"*Sports*")</f>
        <v>0</v>
      </c>
      <c r="D38">
        <f>COUNTIF('Metrics - Articles'!E37,"*Youth*")</f>
        <v>0</v>
      </c>
      <c r="E38">
        <f>COUNTIF('Metrics - Articles'!E37,"*Healthcare*")</f>
        <v>0</v>
      </c>
      <c r="F38">
        <f>COUNTIF('Metrics - Articles'!E37,"*Innovation")</f>
        <v>1</v>
      </c>
      <c r="G38">
        <f>COUNTIF('Metrics - Articles'!E37,"*Corporate*")</f>
        <v>0</v>
      </c>
      <c r="I38" s="53">
        <f t="shared" si="1"/>
        <v>1</v>
      </c>
    </row>
    <row r="39" spans="2:9" x14ac:dyDescent="0.25">
      <c r="B39" s="48">
        <f>+'Metrics - Articles'!C38</f>
        <v>42034</v>
      </c>
      <c r="C39">
        <f>COUNTIF('Metrics - Articles'!E38,"*Sports*")</f>
        <v>0</v>
      </c>
      <c r="D39">
        <f>COUNTIF('Metrics - Articles'!E38,"*Youth*")</f>
        <v>1</v>
      </c>
      <c r="E39">
        <f>COUNTIF('Metrics - Articles'!E38,"*Healthcare*")</f>
        <v>0</v>
      </c>
      <c r="F39">
        <f>COUNTIF('Metrics - Articles'!E38,"*Innovation")</f>
        <v>0</v>
      </c>
      <c r="G39">
        <f>COUNTIF('Metrics - Articles'!E38,"*Corporate*")</f>
        <v>0</v>
      </c>
      <c r="I39" s="53">
        <f t="shared" si="1"/>
        <v>1</v>
      </c>
    </row>
    <row r="40" spans="2:9" x14ac:dyDescent="0.25">
      <c r="B40" s="48">
        <f>+'Metrics - Articles'!C39</f>
        <v>42036</v>
      </c>
      <c r="C40">
        <f>COUNTIF('Metrics - Articles'!E39,"*Sports*")</f>
        <v>0</v>
      </c>
      <c r="D40">
        <f>COUNTIF('Metrics - Articles'!E39,"*Youth*")</f>
        <v>0</v>
      </c>
      <c r="E40">
        <f>COUNTIF('Metrics - Articles'!E39,"*Healthcare*")</f>
        <v>0</v>
      </c>
      <c r="F40">
        <f>COUNTIF('Metrics - Articles'!E39,"*Innovation")</f>
        <v>1</v>
      </c>
      <c r="G40">
        <f>COUNTIF('Metrics - Articles'!E39,"*Corporate*")</f>
        <v>0</v>
      </c>
      <c r="I40" s="53">
        <f t="shared" si="1"/>
        <v>1</v>
      </c>
    </row>
    <row r="41" spans="2:9" x14ac:dyDescent="0.25">
      <c r="B41" s="48">
        <f>+'Metrics - Articles'!C40</f>
        <v>42037</v>
      </c>
      <c r="C41">
        <f>COUNTIF('Metrics - Articles'!E40,"*Sports*")</f>
        <v>0</v>
      </c>
      <c r="D41">
        <f>COUNTIF('Metrics - Articles'!E40,"*Youth*")</f>
        <v>0</v>
      </c>
      <c r="E41">
        <f>COUNTIF('Metrics - Articles'!E40,"*Healthcare*")</f>
        <v>0</v>
      </c>
      <c r="F41">
        <f>COUNTIF('Metrics - Articles'!E40,"*Innovation")</f>
        <v>0</v>
      </c>
      <c r="G41">
        <f>COUNTIF('Metrics - Articles'!E40,"*Corporate*")</f>
        <v>1</v>
      </c>
      <c r="I41" s="53">
        <f t="shared" si="1"/>
        <v>1</v>
      </c>
    </row>
    <row r="42" spans="2:9" x14ac:dyDescent="0.25">
      <c r="B42" s="48">
        <f>+'Metrics - Articles'!C41</f>
        <v>42038</v>
      </c>
      <c r="C42">
        <f>COUNTIF('Metrics - Articles'!E41,"*Sports*")</f>
        <v>0</v>
      </c>
      <c r="D42">
        <f>COUNTIF('Metrics - Articles'!E41,"*Youth*")</f>
        <v>0</v>
      </c>
      <c r="E42">
        <f>COUNTIF('Metrics - Articles'!E41,"*Healthcare*")</f>
        <v>0</v>
      </c>
      <c r="F42">
        <f>COUNTIF('Metrics - Articles'!E41,"*Innovation")</f>
        <v>1</v>
      </c>
      <c r="G42">
        <f>COUNTIF('Metrics - Articles'!E41,"*Corporate*")</f>
        <v>0</v>
      </c>
      <c r="I42" s="53">
        <f t="shared" si="1"/>
        <v>1</v>
      </c>
    </row>
    <row r="43" spans="2:9" x14ac:dyDescent="0.25">
      <c r="B43" s="48">
        <f>+'Metrics - Articles'!C42</f>
        <v>42038</v>
      </c>
      <c r="C43">
        <f>COUNTIF('Metrics - Articles'!E42,"*Sports*")</f>
        <v>0</v>
      </c>
      <c r="D43">
        <f>COUNTIF('Metrics - Articles'!E42,"*Youth*")</f>
        <v>0</v>
      </c>
      <c r="E43">
        <f>COUNTIF('Metrics - Articles'!E42,"*Healthcare*")</f>
        <v>1</v>
      </c>
      <c r="F43">
        <f>COUNTIF('Metrics - Articles'!E42,"*Innovation")</f>
        <v>0</v>
      </c>
      <c r="G43">
        <f>COUNTIF('Metrics - Articles'!E42,"*Corporate*")</f>
        <v>0</v>
      </c>
      <c r="I43" s="53">
        <f t="shared" si="1"/>
        <v>1</v>
      </c>
    </row>
    <row r="44" spans="2:9" x14ac:dyDescent="0.25">
      <c r="B44" s="48">
        <f>+'Metrics - Articles'!C43</f>
        <v>42038</v>
      </c>
      <c r="C44">
        <f>COUNTIF('Metrics - Articles'!E43,"*Sports*")</f>
        <v>0</v>
      </c>
      <c r="D44">
        <f>COUNTIF('Metrics - Articles'!E43,"*Youth*")</f>
        <v>0</v>
      </c>
      <c r="E44">
        <f>COUNTIF('Metrics - Articles'!E43,"*Healthcare*")</f>
        <v>0</v>
      </c>
      <c r="F44">
        <f>COUNTIF('Metrics - Articles'!E43,"*Innovation")</f>
        <v>1</v>
      </c>
      <c r="G44">
        <f>COUNTIF('Metrics - Articles'!E43,"*Corporate*")</f>
        <v>0</v>
      </c>
      <c r="I44" s="53">
        <f t="shared" si="1"/>
        <v>1</v>
      </c>
    </row>
    <row r="45" spans="2:9" x14ac:dyDescent="0.25">
      <c r="B45" s="48">
        <f>+'Metrics - Articles'!C44</f>
        <v>42038</v>
      </c>
      <c r="C45">
        <f>COUNTIF('Metrics - Articles'!E44,"*Sports*")</f>
        <v>0</v>
      </c>
      <c r="D45">
        <f>COUNTIF('Metrics - Articles'!E44,"*Youth*")</f>
        <v>0</v>
      </c>
      <c r="E45">
        <f>COUNTIF('Metrics - Articles'!E44,"*Healthcare*")</f>
        <v>0</v>
      </c>
      <c r="F45">
        <f>COUNTIF('Metrics - Articles'!E44,"*Innovation")</f>
        <v>1</v>
      </c>
      <c r="G45">
        <f>COUNTIF('Metrics - Articles'!E44,"*Corporate*")</f>
        <v>0</v>
      </c>
      <c r="I45" s="53">
        <f t="shared" si="1"/>
        <v>1</v>
      </c>
    </row>
    <row r="46" spans="2:9" x14ac:dyDescent="0.25">
      <c r="B46" s="48">
        <f>+'Metrics - Articles'!C45</f>
        <v>42040</v>
      </c>
      <c r="C46">
        <f>COUNTIF('Metrics - Articles'!E45,"*Sports*")</f>
        <v>0</v>
      </c>
      <c r="D46">
        <f>COUNTIF('Metrics - Articles'!E45,"*Youth*")</f>
        <v>0</v>
      </c>
      <c r="E46">
        <f>COUNTIF('Metrics - Articles'!E45,"*Healthcare*")</f>
        <v>0</v>
      </c>
      <c r="F46">
        <f>COUNTIF('Metrics - Articles'!E45,"*Innovation")</f>
        <v>1</v>
      </c>
      <c r="G46">
        <f>COUNTIF('Metrics - Articles'!E45,"*Corporate*")</f>
        <v>0</v>
      </c>
      <c r="I46" s="53">
        <f t="shared" si="1"/>
        <v>1</v>
      </c>
    </row>
    <row r="47" spans="2:9" x14ac:dyDescent="0.25">
      <c r="B47" s="48">
        <f>+'Metrics - Articles'!C46</f>
        <v>42040</v>
      </c>
      <c r="C47">
        <f>COUNTIF('Metrics - Articles'!E46,"*Sports*")</f>
        <v>0</v>
      </c>
      <c r="D47">
        <f>COUNTIF('Metrics - Articles'!E46,"*Youth*")</f>
        <v>1</v>
      </c>
      <c r="E47">
        <f>COUNTIF('Metrics - Articles'!E46,"*Healthcare*")</f>
        <v>0</v>
      </c>
      <c r="F47">
        <f>COUNTIF('Metrics - Articles'!E46,"*Innovation")</f>
        <v>0</v>
      </c>
      <c r="G47">
        <f>COUNTIF('Metrics - Articles'!E46,"*Corporate*")</f>
        <v>0</v>
      </c>
      <c r="I47" s="53">
        <f t="shared" si="1"/>
        <v>1</v>
      </c>
    </row>
    <row r="48" spans="2:9" x14ac:dyDescent="0.25">
      <c r="B48" s="48">
        <f>+'Metrics - Articles'!C47</f>
        <v>42041</v>
      </c>
      <c r="C48">
        <f>COUNTIF('Metrics - Articles'!E47,"*Sports*")</f>
        <v>0</v>
      </c>
      <c r="D48">
        <f>COUNTIF('Metrics - Articles'!E47,"*Youth*")</f>
        <v>0</v>
      </c>
      <c r="E48">
        <f>COUNTIF('Metrics - Articles'!E47,"*Healthcare*")</f>
        <v>0</v>
      </c>
      <c r="F48">
        <f>COUNTIF('Metrics - Articles'!E47,"*Innovation")</f>
        <v>0</v>
      </c>
      <c r="G48">
        <f>COUNTIF('Metrics - Articles'!E47,"*Corporate*")</f>
        <v>1</v>
      </c>
      <c r="I48" s="53">
        <f t="shared" si="1"/>
        <v>1</v>
      </c>
    </row>
    <row r="49" spans="2:9" x14ac:dyDescent="0.25">
      <c r="B49" s="48">
        <f>+'Metrics - Articles'!C48</f>
        <v>42046</v>
      </c>
      <c r="C49">
        <f>COUNTIF('Metrics - Articles'!E48,"*Sports*")</f>
        <v>0</v>
      </c>
      <c r="D49">
        <f>COUNTIF('Metrics - Articles'!E48,"*Youth*")</f>
        <v>0</v>
      </c>
      <c r="E49">
        <f>COUNTIF('Metrics - Articles'!E48,"*Healthcare*")</f>
        <v>0</v>
      </c>
      <c r="F49">
        <f>COUNTIF('Metrics - Articles'!E48,"*Innovation")</f>
        <v>1</v>
      </c>
      <c r="G49">
        <f>COUNTIF('Metrics - Articles'!E48,"*Corporate*")</f>
        <v>0</v>
      </c>
      <c r="I49" s="53">
        <f t="shared" si="1"/>
        <v>1</v>
      </c>
    </row>
    <row r="50" spans="2:9" x14ac:dyDescent="0.25">
      <c r="B50" s="48">
        <f>+'Metrics - Articles'!C49</f>
        <v>42047</v>
      </c>
      <c r="C50">
        <f>COUNTIF('Metrics - Articles'!E49,"*Sports*")</f>
        <v>0</v>
      </c>
      <c r="D50">
        <f>COUNTIF('Metrics - Articles'!E49,"*Youth*")</f>
        <v>0</v>
      </c>
      <c r="E50">
        <f>COUNTIF('Metrics - Articles'!E49,"*Healthcare*")</f>
        <v>0</v>
      </c>
      <c r="F50">
        <f>COUNTIF('Metrics - Articles'!E49,"*Innovation")</f>
        <v>0</v>
      </c>
      <c r="G50">
        <f>COUNTIF('Metrics - Articles'!E49,"*Corporate*")</f>
        <v>1</v>
      </c>
      <c r="I50" s="53">
        <f t="shared" si="1"/>
        <v>1</v>
      </c>
    </row>
    <row r="51" spans="2:9" x14ac:dyDescent="0.25">
      <c r="B51" s="48">
        <f>+'Metrics - Articles'!C50</f>
        <v>42047</v>
      </c>
      <c r="C51">
        <f>COUNTIF('Metrics - Articles'!E50,"*Sports*")</f>
        <v>0</v>
      </c>
      <c r="D51">
        <f>COUNTIF('Metrics - Articles'!E50,"*Youth*")</f>
        <v>1</v>
      </c>
      <c r="E51">
        <f>COUNTIF('Metrics - Articles'!E50,"*Healthcare*")</f>
        <v>0</v>
      </c>
      <c r="F51">
        <f>COUNTIF('Metrics - Articles'!E50,"*Innovation")</f>
        <v>0</v>
      </c>
      <c r="G51">
        <f>COUNTIF('Metrics - Articles'!E50,"*Corporate*")</f>
        <v>0</v>
      </c>
      <c r="I51" s="53">
        <f t="shared" si="1"/>
        <v>1</v>
      </c>
    </row>
    <row r="52" spans="2:9" x14ac:dyDescent="0.25">
      <c r="B52" s="48">
        <f>+'Metrics - Articles'!C51</f>
        <v>42048</v>
      </c>
      <c r="C52">
        <f>COUNTIF('Metrics - Articles'!E51,"*Sports*")</f>
        <v>0</v>
      </c>
      <c r="D52">
        <f>COUNTIF('Metrics - Articles'!E51,"*Youth*")</f>
        <v>0</v>
      </c>
      <c r="E52">
        <f>COUNTIF('Metrics - Articles'!E51,"*Healthcare*")</f>
        <v>0</v>
      </c>
      <c r="F52">
        <f>COUNTIF('Metrics - Articles'!E51,"*Innovation")</f>
        <v>0</v>
      </c>
      <c r="G52">
        <f>COUNTIF('Metrics - Articles'!E51,"*Corporate*")</f>
        <v>1</v>
      </c>
      <c r="I52" s="53">
        <f t="shared" si="1"/>
        <v>1</v>
      </c>
    </row>
    <row r="53" spans="2:9" x14ac:dyDescent="0.25">
      <c r="B53" s="48">
        <f>+'Metrics - Articles'!C52</f>
        <v>42048</v>
      </c>
      <c r="C53">
        <f>COUNTIF('Metrics - Articles'!E52,"*Sports*")</f>
        <v>0</v>
      </c>
      <c r="D53">
        <f>COUNTIF('Metrics - Articles'!E52,"*Youth*")</f>
        <v>0</v>
      </c>
      <c r="E53">
        <f>COUNTIF('Metrics - Articles'!E52,"*Healthcare*")</f>
        <v>0</v>
      </c>
      <c r="F53">
        <f>COUNTIF('Metrics - Articles'!E52,"*Innovation")</f>
        <v>0</v>
      </c>
      <c r="G53">
        <f>COUNTIF('Metrics - Articles'!E52,"*Corporate*")</f>
        <v>1</v>
      </c>
      <c r="I53" s="53">
        <f t="shared" si="1"/>
        <v>1</v>
      </c>
    </row>
    <row r="54" spans="2:9" x14ac:dyDescent="0.25">
      <c r="B54" s="48">
        <f>+'Metrics - Articles'!C53</f>
        <v>42051</v>
      </c>
      <c r="C54">
        <f>COUNTIF('Metrics - Articles'!E53,"*Sports*")</f>
        <v>0</v>
      </c>
      <c r="D54">
        <f>COUNTIF('Metrics - Articles'!E53,"*Youth*")</f>
        <v>0</v>
      </c>
      <c r="E54">
        <f>COUNTIF('Metrics - Articles'!E53,"*Healthcare*")</f>
        <v>1</v>
      </c>
      <c r="F54">
        <f>COUNTIF('Metrics - Articles'!E53,"*Innovation")</f>
        <v>0</v>
      </c>
      <c r="G54">
        <f>COUNTIF('Metrics - Articles'!E53,"*Corporate*")</f>
        <v>0</v>
      </c>
      <c r="I54" s="53">
        <f t="shared" si="1"/>
        <v>1</v>
      </c>
    </row>
    <row r="55" spans="2:9" x14ac:dyDescent="0.25">
      <c r="B55" s="48">
        <f>+'Metrics - Articles'!C54</f>
        <v>42051</v>
      </c>
      <c r="C55">
        <f>COUNTIF('Metrics - Articles'!E54,"*Sports*")</f>
        <v>0</v>
      </c>
      <c r="D55">
        <f>COUNTIF('Metrics - Articles'!E54,"*Youth*")</f>
        <v>0</v>
      </c>
      <c r="E55">
        <f>COUNTIF('Metrics - Articles'!E54,"*Healthcare*")</f>
        <v>0</v>
      </c>
      <c r="F55">
        <f>COUNTIF('Metrics - Articles'!E54,"*Innovation")</f>
        <v>1</v>
      </c>
      <c r="G55">
        <f>COUNTIF('Metrics - Articles'!E54,"*Corporate*")</f>
        <v>0</v>
      </c>
      <c r="I55" s="53">
        <f t="shared" si="1"/>
        <v>1</v>
      </c>
    </row>
    <row r="56" spans="2:9" x14ac:dyDescent="0.25">
      <c r="B56" s="48">
        <f>+'Metrics - Articles'!C55</f>
        <v>42051</v>
      </c>
      <c r="C56">
        <f>COUNTIF('Metrics - Articles'!E55,"*Sports*")</f>
        <v>1</v>
      </c>
      <c r="D56">
        <f>COUNTIF('Metrics - Articles'!E55,"*Youth*")</f>
        <v>0</v>
      </c>
      <c r="E56">
        <f>COUNTIF('Metrics - Articles'!E55,"*Healthcare*")</f>
        <v>0</v>
      </c>
      <c r="F56">
        <f>COUNTIF('Metrics - Articles'!E55,"*Innovation")</f>
        <v>0</v>
      </c>
      <c r="G56">
        <f>COUNTIF('Metrics - Articles'!E55,"*Corporate*")</f>
        <v>0</v>
      </c>
      <c r="I56" s="53">
        <f t="shared" si="1"/>
        <v>1</v>
      </c>
    </row>
    <row r="57" spans="2:9" x14ac:dyDescent="0.25">
      <c r="B57" s="48">
        <f>+'Metrics - Articles'!C56</f>
        <v>42052</v>
      </c>
      <c r="C57">
        <f>COUNTIF('Metrics - Articles'!E56,"*Sports*")</f>
        <v>0</v>
      </c>
      <c r="D57">
        <f>COUNTIF('Metrics - Articles'!E56,"*Youth*")</f>
        <v>0</v>
      </c>
      <c r="E57">
        <f>COUNTIF('Metrics - Articles'!E56,"*Healthcare*")</f>
        <v>0</v>
      </c>
      <c r="F57">
        <f>COUNTIF('Metrics - Articles'!E56,"*Innovation")</f>
        <v>1</v>
      </c>
      <c r="G57">
        <f>COUNTIF('Metrics - Articles'!E56,"*Corporate*")</f>
        <v>0</v>
      </c>
      <c r="I57" s="53">
        <f t="shared" si="1"/>
        <v>1</v>
      </c>
    </row>
    <row r="58" spans="2:9" x14ac:dyDescent="0.25">
      <c r="B58" s="48">
        <f>+'Metrics - Articles'!C57</f>
        <v>42052</v>
      </c>
      <c r="C58">
        <f>COUNTIF('Metrics - Articles'!E57,"*Sports*")</f>
        <v>0</v>
      </c>
      <c r="D58">
        <f>COUNTIF('Metrics - Articles'!E57,"*Youth*")</f>
        <v>0</v>
      </c>
      <c r="E58">
        <f>COUNTIF('Metrics - Articles'!E57,"*Healthcare*")</f>
        <v>0</v>
      </c>
      <c r="F58">
        <f>COUNTIF('Metrics - Articles'!E57,"*Innovation")</f>
        <v>1</v>
      </c>
      <c r="G58">
        <f>COUNTIF('Metrics - Articles'!E57,"*Corporate*")</f>
        <v>0</v>
      </c>
      <c r="I58" s="53">
        <f t="shared" si="1"/>
        <v>1</v>
      </c>
    </row>
    <row r="59" spans="2:9" x14ac:dyDescent="0.25">
      <c r="B59" s="48">
        <f>+'Metrics - Articles'!C58</f>
        <v>42053</v>
      </c>
      <c r="C59">
        <f>COUNTIF('Metrics - Articles'!E58,"*Sports*")</f>
        <v>0</v>
      </c>
      <c r="D59">
        <f>COUNTIF('Metrics - Articles'!E58,"*Youth*")</f>
        <v>0</v>
      </c>
      <c r="E59">
        <f>COUNTIF('Metrics - Articles'!E58,"*Healthcare*")</f>
        <v>0</v>
      </c>
      <c r="F59">
        <f>COUNTIF('Metrics - Articles'!E58,"*Innovation")</f>
        <v>1</v>
      </c>
      <c r="G59">
        <f>COUNTIF('Metrics - Articles'!E58,"*Corporate*")</f>
        <v>0</v>
      </c>
      <c r="I59" s="53">
        <f t="shared" si="1"/>
        <v>1</v>
      </c>
    </row>
    <row r="60" spans="2:9" x14ac:dyDescent="0.25">
      <c r="B60" s="48">
        <f>+'Metrics - Articles'!C59</f>
        <v>42053</v>
      </c>
      <c r="C60">
        <f>COUNTIF('Metrics - Articles'!E59,"*Sports*")</f>
        <v>0</v>
      </c>
      <c r="D60">
        <f>COUNTIF('Metrics - Articles'!E59,"*Youth*")</f>
        <v>0</v>
      </c>
      <c r="E60">
        <f>COUNTIF('Metrics - Articles'!E59,"*Healthcare*")</f>
        <v>0</v>
      </c>
      <c r="F60">
        <f>COUNTIF('Metrics - Articles'!E59,"*Innovation")</f>
        <v>1</v>
      </c>
      <c r="G60">
        <f>COUNTIF('Metrics - Articles'!E59,"*Corporate*")</f>
        <v>0</v>
      </c>
      <c r="I60" s="53">
        <f t="shared" si="1"/>
        <v>1</v>
      </c>
    </row>
    <row r="61" spans="2:9" x14ac:dyDescent="0.25">
      <c r="B61" s="48">
        <f>+'Metrics - Articles'!C60</f>
        <v>42055</v>
      </c>
      <c r="C61">
        <f>COUNTIF('Metrics - Articles'!E60,"*Sports*")</f>
        <v>0</v>
      </c>
      <c r="D61">
        <f>COUNTIF('Metrics - Articles'!E60,"*Youth*")</f>
        <v>0</v>
      </c>
      <c r="E61">
        <f>COUNTIF('Metrics - Articles'!E60,"*Healthcare*")</f>
        <v>0</v>
      </c>
      <c r="F61">
        <f>COUNTIF('Metrics - Articles'!E60,"*Innovation")</f>
        <v>0</v>
      </c>
      <c r="G61">
        <f>COUNTIF('Metrics - Articles'!E60,"*Corporate*")</f>
        <v>1</v>
      </c>
      <c r="I61" s="53">
        <f t="shared" si="1"/>
        <v>1</v>
      </c>
    </row>
    <row r="62" spans="2:9" x14ac:dyDescent="0.25">
      <c r="B62" s="48">
        <f>+'Metrics - Articles'!C61</f>
        <v>42055</v>
      </c>
      <c r="C62">
        <f>COUNTIF('Metrics - Articles'!E61,"*Sports*")</f>
        <v>0</v>
      </c>
      <c r="D62">
        <f>COUNTIF('Metrics - Articles'!E61,"*Youth*")</f>
        <v>0</v>
      </c>
      <c r="E62">
        <f>COUNTIF('Metrics - Articles'!E61,"*Healthcare*")</f>
        <v>0</v>
      </c>
      <c r="F62">
        <f>COUNTIF('Metrics - Articles'!E61,"*Innovation")</f>
        <v>1</v>
      </c>
      <c r="G62">
        <f>COUNTIF('Metrics - Articles'!E61,"*Corporate*")</f>
        <v>0</v>
      </c>
      <c r="I62" s="53">
        <f t="shared" si="1"/>
        <v>1</v>
      </c>
    </row>
    <row r="63" spans="2:9" x14ac:dyDescent="0.25">
      <c r="B63" s="48">
        <f>+'Metrics - Articles'!C62</f>
        <v>42056</v>
      </c>
      <c r="C63">
        <f>COUNTIF('Metrics - Articles'!E62,"*Sports*")</f>
        <v>1</v>
      </c>
      <c r="D63">
        <f>COUNTIF('Metrics - Articles'!E62,"*Youth*")</f>
        <v>0</v>
      </c>
      <c r="E63">
        <f>COUNTIF('Metrics - Articles'!E62,"*Healthcare*")</f>
        <v>0</v>
      </c>
      <c r="F63">
        <f>COUNTIF('Metrics - Articles'!E62,"*Innovation")</f>
        <v>0</v>
      </c>
      <c r="G63">
        <f>COUNTIF('Metrics - Articles'!E62,"*Corporate*")</f>
        <v>0</v>
      </c>
      <c r="I63" s="53">
        <f t="shared" si="1"/>
        <v>1</v>
      </c>
    </row>
    <row r="64" spans="2:9" x14ac:dyDescent="0.25">
      <c r="B64" s="48">
        <f>+'Metrics - Articles'!C63</f>
        <v>42058</v>
      </c>
      <c r="C64">
        <f>COUNTIF('Metrics - Articles'!E63,"*Sports*")</f>
        <v>0</v>
      </c>
      <c r="D64">
        <f>COUNTIF('Metrics - Articles'!E63,"*Youth*")</f>
        <v>0</v>
      </c>
      <c r="E64">
        <f>COUNTIF('Metrics - Articles'!E63,"*Healthcare*")</f>
        <v>0</v>
      </c>
      <c r="F64">
        <f>COUNTIF('Metrics - Articles'!E63,"*Innovation")</f>
        <v>1</v>
      </c>
      <c r="G64">
        <f>COUNTIF('Metrics - Articles'!E63,"*Corporate*")</f>
        <v>0</v>
      </c>
      <c r="I64" s="53">
        <f t="shared" si="1"/>
        <v>1</v>
      </c>
    </row>
    <row r="65" spans="2:9" x14ac:dyDescent="0.25">
      <c r="B65" s="48">
        <f>+'Metrics - Articles'!C64</f>
        <v>42059</v>
      </c>
      <c r="C65">
        <f>COUNTIF('Metrics - Articles'!E64,"*Sports*")</f>
        <v>0</v>
      </c>
      <c r="D65">
        <f>COUNTIF('Metrics - Articles'!E64,"*Youth*")</f>
        <v>0</v>
      </c>
      <c r="E65">
        <f>COUNTIF('Metrics - Articles'!E64,"*Healthcare*")</f>
        <v>0</v>
      </c>
      <c r="F65">
        <f>COUNTIF('Metrics - Articles'!E64,"*Innovation")</f>
        <v>1</v>
      </c>
      <c r="G65">
        <f>COUNTIF('Metrics - Articles'!E64,"*Corporate*")</f>
        <v>0</v>
      </c>
      <c r="I65" s="53">
        <f t="shared" si="1"/>
        <v>1</v>
      </c>
    </row>
    <row r="66" spans="2:9" x14ac:dyDescent="0.25">
      <c r="B66" s="48">
        <f>+'Metrics - Articles'!C65</f>
        <v>42060</v>
      </c>
      <c r="C66">
        <f>COUNTIF('Metrics - Articles'!E65,"*Sports*")</f>
        <v>0</v>
      </c>
      <c r="D66">
        <f>COUNTIF('Metrics - Articles'!E65,"*Youth*")</f>
        <v>0</v>
      </c>
      <c r="E66">
        <f>COUNTIF('Metrics - Articles'!E65,"*Healthcare*")</f>
        <v>0</v>
      </c>
      <c r="F66">
        <f>COUNTIF('Metrics - Articles'!E65,"*Innovation")</f>
        <v>1</v>
      </c>
      <c r="G66">
        <f>COUNTIF('Metrics - Articles'!E65,"*Corporate*")</f>
        <v>0</v>
      </c>
      <c r="I66" s="53">
        <f t="shared" si="1"/>
        <v>1</v>
      </c>
    </row>
    <row r="67" spans="2:9" x14ac:dyDescent="0.25">
      <c r="B67" s="48">
        <f>+'Metrics - Articles'!C66</f>
        <v>42060</v>
      </c>
      <c r="C67">
        <f>COUNTIF('Metrics - Articles'!E66,"*Sports*")</f>
        <v>0</v>
      </c>
      <c r="D67">
        <f>COUNTIF('Metrics - Articles'!E66,"*Youth*")</f>
        <v>0</v>
      </c>
      <c r="E67">
        <f>COUNTIF('Metrics - Articles'!E66,"*Healthcare*")</f>
        <v>1</v>
      </c>
      <c r="F67">
        <f>COUNTIF('Metrics - Articles'!E66,"*Innovation")</f>
        <v>0</v>
      </c>
      <c r="G67">
        <f>COUNTIF('Metrics - Articles'!E66,"*Corporate*")</f>
        <v>0</v>
      </c>
      <c r="I67" s="53">
        <f t="shared" si="1"/>
        <v>1</v>
      </c>
    </row>
    <row r="68" spans="2:9" x14ac:dyDescent="0.25">
      <c r="B68" s="48">
        <f>+'Metrics - Articles'!C67</f>
        <v>42061</v>
      </c>
      <c r="C68">
        <f>COUNTIF('Metrics - Articles'!E67,"*Sports*")</f>
        <v>0</v>
      </c>
      <c r="D68">
        <f>COUNTIF('Metrics - Articles'!E67,"*Youth*")</f>
        <v>0</v>
      </c>
      <c r="E68">
        <f>COUNTIF('Metrics - Articles'!E67,"*Healthcare*")</f>
        <v>0</v>
      </c>
      <c r="F68">
        <f>COUNTIF('Metrics - Articles'!E67,"*Innovation")</f>
        <v>0</v>
      </c>
      <c r="G68">
        <f>COUNTIF('Metrics - Articles'!E67,"*Corporate*")</f>
        <v>1</v>
      </c>
      <c r="I68" s="53">
        <f t="shared" si="1"/>
        <v>1</v>
      </c>
    </row>
    <row r="69" spans="2:9" x14ac:dyDescent="0.25">
      <c r="B69" s="48">
        <f>+'Metrics - Articles'!C68</f>
        <v>42062</v>
      </c>
      <c r="C69">
        <f>COUNTIF('Metrics - Articles'!E68,"*Sports*")</f>
        <v>0</v>
      </c>
      <c r="D69">
        <f>COUNTIF('Metrics - Articles'!E68,"*Youth*")</f>
        <v>0</v>
      </c>
      <c r="E69">
        <f>COUNTIF('Metrics - Articles'!E68,"*Healthcare*")</f>
        <v>0</v>
      </c>
      <c r="F69">
        <f>COUNTIF('Metrics - Articles'!E68,"*Innovation")</f>
        <v>0</v>
      </c>
      <c r="G69">
        <f>COUNTIF('Metrics - Articles'!E68,"*Corporate*")</f>
        <v>1</v>
      </c>
      <c r="I69" s="53">
        <f t="shared" si="1"/>
        <v>1</v>
      </c>
    </row>
    <row r="70" spans="2:9" x14ac:dyDescent="0.25">
      <c r="B70" s="48">
        <f>+'Metrics - Articles'!C69</f>
        <v>42062</v>
      </c>
      <c r="C70">
        <f>COUNTIF('Metrics - Articles'!E69,"*Sports*")</f>
        <v>0</v>
      </c>
      <c r="D70">
        <f>COUNTIF('Metrics - Articles'!E69,"*Youth*")</f>
        <v>0</v>
      </c>
      <c r="E70">
        <f>COUNTIF('Metrics - Articles'!E69,"*Healthcare*")</f>
        <v>0</v>
      </c>
      <c r="F70">
        <f>COUNTIF('Metrics - Articles'!E69,"*Innovation")</f>
        <v>0</v>
      </c>
      <c r="G70">
        <f>COUNTIF('Metrics - Articles'!E69,"*Corporate*")</f>
        <v>1</v>
      </c>
      <c r="I70" s="53">
        <f t="shared" si="1"/>
        <v>1</v>
      </c>
    </row>
    <row r="71" spans="2:9" x14ac:dyDescent="0.25">
      <c r="B71" s="48">
        <f>+'Metrics - Articles'!C70</f>
        <v>42065</v>
      </c>
      <c r="C71">
        <f>COUNTIF('Metrics - Articles'!E70,"*Sports*")</f>
        <v>0</v>
      </c>
      <c r="D71">
        <f>COUNTIF('Metrics - Articles'!E70,"*Youth*")</f>
        <v>0</v>
      </c>
      <c r="E71">
        <f>COUNTIF('Metrics - Articles'!E70,"*Healthcare*")</f>
        <v>0</v>
      </c>
      <c r="F71">
        <f>COUNTIF('Metrics - Articles'!E70,"*Innovation")</f>
        <v>1</v>
      </c>
      <c r="G71">
        <f>COUNTIF('Metrics - Articles'!E70,"*Corporate*")</f>
        <v>0</v>
      </c>
      <c r="I71" s="53">
        <f t="shared" si="1"/>
        <v>1</v>
      </c>
    </row>
    <row r="72" spans="2:9" x14ac:dyDescent="0.25">
      <c r="B72" s="48">
        <f>+'Metrics - Articles'!C71</f>
        <v>42065</v>
      </c>
      <c r="C72">
        <f>COUNTIF('Metrics - Articles'!E71,"*Sports*")</f>
        <v>0</v>
      </c>
      <c r="D72">
        <f>COUNTIF('Metrics - Articles'!E71,"*Youth*")</f>
        <v>0</v>
      </c>
      <c r="E72">
        <f>COUNTIF('Metrics - Articles'!E71,"*Healthcare*")</f>
        <v>0</v>
      </c>
      <c r="F72">
        <f>COUNTIF('Metrics - Articles'!E71,"*Innovation")</f>
        <v>0</v>
      </c>
      <c r="G72">
        <f>COUNTIF('Metrics - Articles'!E71,"*Corporate*")</f>
        <v>1</v>
      </c>
      <c r="I72" s="53">
        <f t="shared" ref="I72:I135" si="2">SUM(C72:H72)</f>
        <v>1</v>
      </c>
    </row>
    <row r="73" spans="2:9" x14ac:dyDescent="0.25">
      <c r="B73" s="48">
        <f>+'Metrics - Articles'!C72</f>
        <v>42065</v>
      </c>
      <c r="C73">
        <f>COUNTIF('Metrics - Articles'!E72,"*Sports*")</f>
        <v>0</v>
      </c>
      <c r="D73">
        <f>COUNTIF('Metrics - Articles'!E72,"*Youth*")</f>
        <v>0</v>
      </c>
      <c r="E73">
        <f>COUNTIF('Metrics - Articles'!E72,"*Healthcare*")</f>
        <v>0</v>
      </c>
      <c r="F73">
        <f>COUNTIF('Metrics - Articles'!E72,"*Innovation")</f>
        <v>1</v>
      </c>
      <c r="G73">
        <f>COUNTIF('Metrics - Articles'!E72,"*Corporate*")</f>
        <v>0</v>
      </c>
      <c r="I73" s="53">
        <f t="shared" si="2"/>
        <v>1</v>
      </c>
    </row>
    <row r="74" spans="2:9" x14ac:dyDescent="0.25">
      <c r="B74" s="48">
        <f>+'Metrics - Articles'!C73</f>
        <v>42065</v>
      </c>
      <c r="C74">
        <f>COUNTIF('Metrics - Articles'!E73,"*Sports*")</f>
        <v>0</v>
      </c>
      <c r="D74">
        <f>COUNTIF('Metrics - Articles'!E73,"*Youth*")</f>
        <v>0</v>
      </c>
      <c r="E74">
        <f>COUNTIF('Metrics - Articles'!E73,"*Healthcare*")</f>
        <v>0</v>
      </c>
      <c r="F74">
        <f>COUNTIF('Metrics - Articles'!E73,"*Innovation")</f>
        <v>1</v>
      </c>
      <c r="G74">
        <f>COUNTIF('Metrics - Articles'!E73,"*Corporate*")</f>
        <v>0</v>
      </c>
      <c r="I74" s="53">
        <f t="shared" si="2"/>
        <v>1</v>
      </c>
    </row>
    <row r="75" spans="2:9" x14ac:dyDescent="0.25">
      <c r="B75" s="48">
        <f>+'Metrics - Articles'!C74</f>
        <v>42066</v>
      </c>
      <c r="C75">
        <f>COUNTIF('Metrics - Articles'!E74,"*Sports*")</f>
        <v>0</v>
      </c>
      <c r="D75">
        <f>COUNTIF('Metrics - Articles'!E74,"*Youth*")</f>
        <v>0</v>
      </c>
      <c r="E75">
        <f>COUNTIF('Metrics - Articles'!E74,"*Healthcare*")</f>
        <v>0</v>
      </c>
      <c r="F75">
        <f>COUNTIF('Metrics - Articles'!E74,"*Innovation")</f>
        <v>1</v>
      </c>
      <c r="G75">
        <f>COUNTIF('Metrics - Articles'!E74,"*Corporate*")</f>
        <v>0</v>
      </c>
      <c r="I75" s="53">
        <f t="shared" si="2"/>
        <v>1</v>
      </c>
    </row>
    <row r="76" spans="2:9" x14ac:dyDescent="0.25">
      <c r="B76" s="48">
        <f>+'Metrics - Articles'!C75</f>
        <v>42067</v>
      </c>
      <c r="C76">
        <f>COUNTIF('Metrics - Articles'!E75,"*Sports*")</f>
        <v>0</v>
      </c>
      <c r="D76">
        <f>COUNTIF('Metrics - Articles'!E75,"*Youth*")</f>
        <v>0</v>
      </c>
      <c r="E76">
        <f>COUNTIF('Metrics - Articles'!E75,"*Healthcare*")</f>
        <v>0</v>
      </c>
      <c r="F76">
        <f>COUNTIF('Metrics - Articles'!E75,"*Innovation")</f>
        <v>0</v>
      </c>
      <c r="G76">
        <f>COUNTIF('Metrics - Articles'!E75,"*Corporate*")</f>
        <v>1</v>
      </c>
      <c r="I76" s="53">
        <f t="shared" si="2"/>
        <v>1</v>
      </c>
    </row>
    <row r="77" spans="2:9" x14ac:dyDescent="0.25">
      <c r="B77" s="48">
        <f>+'Metrics - Articles'!C76</f>
        <v>42067</v>
      </c>
      <c r="C77">
        <f>COUNTIF('Metrics - Articles'!E76,"*Sports*")</f>
        <v>0</v>
      </c>
      <c r="D77">
        <f>COUNTIF('Metrics - Articles'!E76,"*Youth*")</f>
        <v>1</v>
      </c>
      <c r="E77">
        <f>COUNTIF('Metrics - Articles'!E76,"*Healthcare*")</f>
        <v>0</v>
      </c>
      <c r="F77">
        <f>COUNTIF('Metrics - Articles'!E76,"*Innovation")</f>
        <v>0</v>
      </c>
      <c r="G77">
        <f>COUNTIF('Metrics - Articles'!E76,"*Corporate*")</f>
        <v>0</v>
      </c>
      <c r="I77" s="53">
        <f t="shared" si="2"/>
        <v>1</v>
      </c>
    </row>
    <row r="78" spans="2:9" x14ac:dyDescent="0.25">
      <c r="B78" s="48">
        <f>+'Metrics - Articles'!C77</f>
        <v>42067</v>
      </c>
      <c r="C78">
        <f>COUNTIF('Metrics - Articles'!E77,"*Sports*")</f>
        <v>0</v>
      </c>
      <c r="D78">
        <f>COUNTIF('Metrics - Articles'!E77,"*Youth*")</f>
        <v>0</v>
      </c>
      <c r="E78">
        <f>COUNTIF('Metrics - Articles'!E77,"*Healthcare*")</f>
        <v>0</v>
      </c>
      <c r="F78">
        <f>COUNTIF('Metrics - Articles'!E77,"*Innovation")</f>
        <v>1</v>
      </c>
      <c r="G78">
        <f>COUNTIF('Metrics - Articles'!E77,"*Corporate*")</f>
        <v>0</v>
      </c>
      <c r="I78" s="53">
        <f t="shared" si="2"/>
        <v>1</v>
      </c>
    </row>
    <row r="79" spans="2:9" x14ac:dyDescent="0.25">
      <c r="B79" s="48">
        <f>+'Metrics - Articles'!C78</f>
        <v>42068</v>
      </c>
      <c r="C79">
        <f>COUNTIF('Metrics - Articles'!E78,"*Sports*")</f>
        <v>0</v>
      </c>
      <c r="D79">
        <f>COUNTIF('Metrics - Articles'!E78,"*Youth*")</f>
        <v>0</v>
      </c>
      <c r="E79">
        <f>COUNTIF('Metrics - Articles'!E78,"*Healthcare*")</f>
        <v>0</v>
      </c>
      <c r="F79">
        <f>COUNTIF('Metrics - Articles'!E78,"*Innovation")</f>
        <v>0</v>
      </c>
      <c r="G79">
        <f>COUNTIF('Metrics - Articles'!E78,"*Corporate*")</f>
        <v>1</v>
      </c>
      <c r="I79" s="53">
        <f t="shared" si="2"/>
        <v>1</v>
      </c>
    </row>
    <row r="80" spans="2:9" x14ac:dyDescent="0.25">
      <c r="B80" s="48">
        <f>+'Metrics - Articles'!C79</f>
        <v>42069</v>
      </c>
      <c r="C80">
        <f>COUNTIF('Metrics - Articles'!E79,"*Sports*")</f>
        <v>0</v>
      </c>
      <c r="D80">
        <f>COUNTIF('Metrics - Articles'!E79,"*Youth*")</f>
        <v>0</v>
      </c>
      <c r="E80">
        <f>COUNTIF('Metrics - Articles'!E79,"*Healthcare*")</f>
        <v>0</v>
      </c>
      <c r="F80">
        <f>COUNTIF('Metrics - Articles'!E79,"*Innovation")</f>
        <v>0</v>
      </c>
      <c r="G80">
        <f>COUNTIF('Metrics - Articles'!E79,"*Corporate*")</f>
        <v>1</v>
      </c>
      <c r="I80" s="53">
        <f t="shared" si="2"/>
        <v>1</v>
      </c>
    </row>
    <row r="81" spans="2:9" x14ac:dyDescent="0.25">
      <c r="B81" s="48">
        <f>+'Metrics - Articles'!C80</f>
        <v>42069</v>
      </c>
      <c r="C81">
        <f>COUNTIF('Metrics - Articles'!E80,"*Sports*")</f>
        <v>0</v>
      </c>
      <c r="D81">
        <f>COUNTIF('Metrics - Articles'!E80,"*Youth*")</f>
        <v>0</v>
      </c>
      <c r="E81">
        <f>COUNTIF('Metrics - Articles'!E80,"*Healthcare*")</f>
        <v>0</v>
      </c>
      <c r="F81">
        <f>COUNTIF('Metrics - Articles'!E80,"*Innovation")</f>
        <v>1</v>
      </c>
      <c r="G81">
        <f>COUNTIF('Metrics - Articles'!E80,"*Corporate*")</f>
        <v>0</v>
      </c>
      <c r="I81" s="53">
        <f t="shared" si="2"/>
        <v>1</v>
      </c>
    </row>
    <row r="82" spans="2:9" x14ac:dyDescent="0.25">
      <c r="B82" s="48">
        <f>+'Metrics - Articles'!C81</f>
        <v>42073</v>
      </c>
      <c r="C82">
        <f>COUNTIF('Metrics - Articles'!E81,"*Sports*")</f>
        <v>0</v>
      </c>
      <c r="D82">
        <f>COUNTIF('Metrics - Articles'!E81,"*Youth*")</f>
        <v>0</v>
      </c>
      <c r="E82">
        <f>COUNTIF('Metrics - Articles'!E81,"*Healthcare*")</f>
        <v>0</v>
      </c>
      <c r="F82">
        <f>COUNTIF('Metrics - Articles'!E81,"*Innovation")</f>
        <v>0</v>
      </c>
      <c r="G82">
        <f>COUNTIF('Metrics - Articles'!E81,"*Corporate*")</f>
        <v>1</v>
      </c>
      <c r="I82" s="53">
        <f t="shared" si="2"/>
        <v>1</v>
      </c>
    </row>
    <row r="83" spans="2:9" x14ac:dyDescent="0.25">
      <c r="B83" s="48">
        <f>+'Metrics - Articles'!C82</f>
        <v>42073</v>
      </c>
      <c r="C83">
        <f>COUNTIF('Metrics - Articles'!E82,"*Sports*")</f>
        <v>0</v>
      </c>
      <c r="D83">
        <f>COUNTIF('Metrics - Articles'!E82,"*Youth*")</f>
        <v>0</v>
      </c>
      <c r="E83">
        <f>COUNTIF('Metrics - Articles'!E82,"*Healthcare*")</f>
        <v>0</v>
      </c>
      <c r="F83">
        <f>COUNTIF('Metrics - Articles'!E82,"*Innovation")</f>
        <v>1</v>
      </c>
      <c r="G83">
        <f>COUNTIF('Metrics - Articles'!E82,"*Corporate*")</f>
        <v>0</v>
      </c>
      <c r="I83" s="53">
        <f t="shared" si="2"/>
        <v>1</v>
      </c>
    </row>
    <row r="84" spans="2:9" x14ac:dyDescent="0.25">
      <c r="B84" s="48">
        <f>+'Metrics - Articles'!C83</f>
        <v>42074</v>
      </c>
      <c r="C84">
        <f>COUNTIF('Metrics - Articles'!E83,"*Sports*")</f>
        <v>0</v>
      </c>
      <c r="D84">
        <f>COUNTIF('Metrics - Articles'!E83,"*Youth*")</f>
        <v>0</v>
      </c>
      <c r="E84">
        <f>COUNTIF('Metrics - Articles'!E83,"*Healthcare*")</f>
        <v>0</v>
      </c>
      <c r="F84">
        <f>COUNTIF('Metrics - Articles'!E83,"*Innovation")</f>
        <v>1</v>
      </c>
      <c r="G84">
        <f>COUNTIF('Metrics - Articles'!E83,"*Corporate*")</f>
        <v>0</v>
      </c>
      <c r="I84" s="53">
        <f t="shared" si="2"/>
        <v>1</v>
      </c>
    </row>
    <row r="85" spans="2:9" x14ac:dyDescent="0.25">
      <c r="B85" s="48">
        <f>+'Metrics - Articles'!C84</f>
        <v>42074</v>
      </c>
      <c r="C85">
        <f>COUNTIF('Metrics - Articles'!E84,"*Sports*")</f>
        <v>0</v>
      </c>
      <c r="D85">
        <f>COUNTIF('Metrics - Articles'!E84,"*Youth*")</f>
        <v>0</v>
      </c>
      <c r="E85">
        <f>COUNTIF('Metrics - Articles'!E84,"*Healthcare*")</f>
        <v>0</v>
      </c>
      <c r="F85">
        <f>COUNTIF('Metrics - Articles'!E84,"*Innovation")</f>
        <v>1</v>
      </c>
      <c r="G85">
        <f>COUNTIF('Metrics - Articles'!E84,"*Corporate*")</f>
        <v>0</v>
      </c>
      <c r="I85" s="53">
        <f t="shared" si="2"/>
        <v>1</v>
      </c>
    </row>
    <row r="86" spans="2:9" x14ac:dyDescent="0.25">
      <c r="B86" s="48">
        <f>+'Metrics - Articles'!C85</f>
        <v>42075</v>
      </c>
      <c r="C86">
        <f>COUNTIF('Metrics - Articles'!E85,"*Sports*")</f>
        <v>0</v>
      </c>
      <c r="D86">
        <f>COUNTIF('Metrics - Articles'!E85,"*Youth*")</f>
        <v>0</v>
      </c>
      <c r="E86">
        <f>COUNTIF('Metrics - Articles'!E85,"*Healthcare*")</f>
        <v>0</v>
      </c>
      <c r="F86">
        <f>COUNTIF('Metrics - Articles'!E85,"*Innovation")</f>
        <v>0</v>
      </c>
      <c r="G86">
        <f>COUNTIF('Metrics - Articles'!E85,"*Corporate*")</f>
        <v>1</v>
      </c>
      <c r="I86" s="53">
        <f t="shared" si="2"/>
        <v>1</v>
      </c>
    </row>
    <row r="87" spans="2:9" x14ac:dyDescent="0.25">
      <c r="B87" s="48">
        <f>+'Metrics - Articles'!C86</f>
        <v>42076</v>
      </c>
      <c r="C87">
        <f>COUNTIF('Metrics - Articles'!E86,"*Sports*")</f>
        <v>0</v>
      </c>
      <c r="D87">
        <f>COUNTIF('Metrics - Articles'!E86,"*Youth*")</f>
        <v>0</v>
      </c>
      <c r="E87">
        <f>COUNTIF('Metrics - Articles'!E86,"*Healthcare*")</f>
        <v>0</v>
      </c>
      <c r="F87">
        <f>COUNTIF('Metrics - Articles'!E86,"*Innovation")</f>
        <v>0</v>
      </c>
      <c r="G87">
        <f>COUNTIF('Metrics - Articles'!E86,"*Corporate*")</f>
        <v>1</v>
      </c>
      <c r="I87" s="53">
        <f t="shared" si="2"/>
        <v>1</v>
      </c>
    </row>
    <row r="88" spans="2:9" x14ac:dyDescent="0.25">
      <c r="B88" s="48">
        <f>+'Metrics - Articles'!C87</f>
        <v>42076</v>
      </c>
      <c r="C88">
        <f>COUNTIF('Metrics - Articles'!E87,"*Sports*")</f>
        <v>0</v>
      </c>
      <c r="D88">
        <f>COUNTIF('Metrics - Articles'!E87,"*Youth*")</f>
        <v>1</v>
      </c>
      <c r="E88">
        <f>COUNTIF('Metrics - Articles'!E87,"*Healthcare*")</f>
        <v>0</v>
      </c>
      <c r="F88">
        <f>COUNTIF('Metrics - Articles'!E87,"*Innovation")</f>
        <v>0</v>
      </c>
      <c r="G88">
        <f>COUNTIF('Metrics - Articles'!E87,"*Corporate*")</f>
        <v>0</v>
      </c>
      <c r="I88" s="53">
        <f t="shared" si="2"/>
        <v>1</v>
      </c>
    </row>
    <row r="89" spans="2:9" x14ac:dyDescent="0.25">
      <c r="B89" s="48">
        <f>+'Metrics - Articles'!C88</f>
        <v>42079</v>
      </c>
      <c r="C89">
        <f>COUNTIF('Metrics - Articles'!E88,"*Sports*")</f>
        <v>0</v>
      </c>
      <c r="D89">
        <f>COUNTIF('Metrics - Articles'!E88,"*Youth*")</f>
        <v>0</v>
      </c>
      <c r="E89">
        <f>COUNTIF('Metrics - Articles'!E88,"*Healthcare*")</f>
        <v>0</v>
      </c>
      <c r="F89">
        <f>COUNTIF('Metrics - Articles'!E88,"*Innovation")</f>
        <v>1</v>
      </c>
      <c r="G89">
        <f>COUNTIF('Metrics - Articles'!E88,"*Corporate*")</f>
        <v>0</v>
      </c>
      <c r="I89" s="53">
        <f t="shared" si="2"/>
        <v>1</v>
      </c>
    </row>
    <row r="90" spans="2:9" x14ac:dyDescent="0.25">
      <c r="B90" s="48">
        <f>+'Metrics - Articles'!C89</f>
        <v>42080</v>
      </c>
      <c r="C90">
        <f>COUNTIF('Metrics - Articles'!E89,"*Sports*")</f>
        <v>0</v>
      </c>
      <c r="D90">
        <f>COUNTIF('Metrics - Articles'!E89,"*Youth*")</f>
        <v>0</v>
      </c>
      <c r="E90">
        <f>COUNTIF('Metrics - Articles'!E89,"*Healthcare*")</f>
        <v>0</v>
      </c>
      <c r="F90">
        <f>COUNTIF('Metrics - Articles'!E89,"*Innovation")</f>
        <v>0</v>
      </c>
      <c r="G90">
        <f>COUNTIF('Metrics - Articles'!E89,"*Corporate*")</f>
        <v>1</v>
      </c>
      <c r="I90" s="53">
        <f t="shared" si="2"/>
        <v>1</v>
      </c>
    </row>
    <row r="91" spans="2:9" x14ac:dyDescent="0.25">
      <c r="B91" s="48">
        <f>+'Metrics - Articles'!C90</f>
        <v>42080</v>
      </c>
      <c r="C91">
        <f>COUNTIF('Metrics - Articles'!E90,"*Sports*")</f>
        <v>0</v>
      </c>
      <c r="D91">
        <f>COUNTIF('Metrics - Articles'!E90,"*Youth*")</f>
        <v>0</v>
      </c>
      <c r="E91">
        <f>COUNTIF('Metrics - Articles'!E90,"*Healthcare*")</f>
        <v>0</v>
      </c>
      <c r="F91">
        <f>COUNTIF('Metrics - Articles'!E90,"*Innovation")</f>
        <v>0</v>
      </c>
      <c r="G91">
        <f>COUNTIF('Metrics - Articles'!E90,"*Corporate*")</f>
        <v>1</v>
      </c>
      <c r="I91" s="53">
        <f t="shared" si="2"/>
        <v>1</v>
      </c>
    </row>
    <row r="92" spans="2:9" x14ac:dyDescent="0.25">
      <c r="B92" s="48">
        <f>+'Metrics - Articles'!C91</f>
        <v>42081</v>
      </c>
      <c r="C92">
        <f>COUNTIF('Metrics - Articles'!E91,"*Sports*")</f>
        <v>0</v>
      </c>
      <c r="D92">
        <f>COUNTIF('Metrics - Articles'!E91,"*Youth*")</f>
        <v>0</v>
      </c>
      <c r="E92">
        <f>COUNTIF('Metrics - Articles'!E91,"*Healthcare*")</f>
        <v>0</v>
      </c>
      <c r="F92">
        <f>COUNTIF('Metrics - Articles'!E91,"*Innovation")</f>
        <v>0</v>
      </c>
      <c r="G92">
        <f>COUNTIF('Metrics - Articles'!E91,"*Corporate*")</f>
        <v>1</v>
      </c>
      <c r="I92" s="53">
        <f t="shared" si="2"/>
        <v>1</v>
      </c>
    </row>
    <row r="93" spans="2:9" x14ac:dyDescent="0.25">
      <c r="B93" s="48">
        <f>+'Metrics - Articles'!C92</f>
        <v>42081</v>
      </c>
      <c r="C93">
        <f>COUNTIF('Metrics - Articles'!E92,"*Sports*")</f>
        <v>0</v>
      </c>
      <c r="D93">
        <f>COUNTIF('Metrics - Articles'!E92,"*Youth*")</f>
        <v>0</v>
      </c>
      <c r="E93">
        <f>COUNTIF('Metrics - Articles'!E92,"*Healthcare*")</f>
        <v>0</v>
      </c>
      <c r="F93">
        <f>COUNTIF('Metrics - Articles'!E92,"*Innovation")</f>
        <v>1</v>
      </c>
      <c r="G93">
        <f>COUNTIF('Metrics - Articles'!E92,"*Corporate*")</f>
        <v>0</v>
      </c>
      <c r="I93" s="53">
        <f t="shared" si="2"/>
        <v>1</v>
      </c>
    </row>
    <row r="94" spans="2:9" x14ac:dyDescent="0.25">
      <c r="B94" s="48">
        <f>+'Metrics - Articles'!C93</f>
        <v>42082</v>
      </c>
      <c r="C94">
        <f>COUNTIF('Metrics - Articles'!E93,"*Sports*")</f>
        <v>0</v>
      </c>
      <c r="D94">
        <f>COUNTIF('Metrics - Articles'!E93,"*Youth*")</f>
        <v>0</v>
      </c>
      <c r="E94">
        <f>COUNTIF('Metrics - Articles'!E93,"*Healthcare*")</f>
        <v>0</v>
      </c>
      <c r="F94">
        <f>COUNTIF('Metrics - Articles'!E93,"*Innovation")</f>
        <v>0</v>
      </c>
      <c r="G94">
        <f>COUNTIF('Metrics - Articles'!E93,"*Corporate*")</f>
        <v>1</v>
      </c>
      <c r="I94" s="53">
        <f t="shared" si="2"/>
        <v>1</v>
      </c>
    </row>
    <row r="95" spans="2:9" x14ac:dyDescent="0.25">
      <c r="B95" s="48">
        <f>+'Metrics - Articles'!C94</f>
        <v>42083</v>
      </c>
      <c r="C95">
        <f>COUNTIF('Metrics - Articles'!E94,"*Sports*")</f>
        <v>0</v>
      </c>
      <c r="D95">
        <f>COUNTIF('Metrics - Articles'!E94,"*Youth*")</f>
        <v>0</v>
      </c>
      <c r="E95">
        <f>COUNTIF('Metrics - Articles'!E94,"*Healthcare*")</f>
        <v>0</v>
      </c>
      <c r="F95">
        <f>COUNTIF('Metrics - Articles'!E94,"*Innovation")</f>
        <v>0</v>
      </c>
      <c r="G95">
        <f>COUNTIF('Metrics - Articles'!E94,"*Corporate*")</f>
        <v>1</v>
      </c>
      <c r="I95" s="53">
        <f t="shared" si="2"/>
        <v>1</v>
      </c>
    </row>
    <row r="96" spans="2:9" x14ac:dyDescent="0.25">
      <c r="B96" s="48">
        <f>+'Metrics - Articles'!C95</f>
        <v>42083</v>
      </c>
      <c r="C96">
        <f>COUNTIF('Metrics - Articles'!E95,"*Sports*")</f>
        <v>0</v>
      </c>
      <c r="D96">
        <f>COUNTIF('Metrics - Articles'!E95,"*Youth*")</f>
        <v>0</v>
      </c>
      <c r="E96">
        <f>COUNTIF('Metrics - Articles'!E95,"*Healthcare*")</f>
        <v>0</v>
      </c>
      <c r="F96">
        <f>COUNTIF('Metrics - Articles'!E95,"*Innovation")</f>
        <v>1</v>
      </c>
      <c r="G96">
        <f>COUNTIF('Metrics - Articles'!E95,"*Corporate*")</f>
        <v>0</v>
      </c>
      <c r="I96" s="53">
        <f t="shared" si="2"/>
        <v>1</v>
      </c>
    </row>
    <row r="97" spans="2:9" x14ac:dyDescent="0.25">
      <c r="B97" s="48">
        <f>+'Metrics - Articles'!C96</f>
        <v>42086</v>
      </c>
      <c r="C97">
        <f>COUNTIF('Metrics - Articles'!E96,"*Sports*")</f>
        <v>0</v>
      </c>
      <c r="D97">
        <f>COUNTIF('Metrics - Articles'!E96,"*Youth*")</f>
        <v>0</v>
      </c>
      <c r="E97">
        <f>COUNTIF('Metrics - Articles'!E96,"*Healthcare*")</f>
        <v>0</v>
      </c>
      <c r="F97">
        <f>COUNTIF('Metrics - Articles'!E96,"*Innovation")</f>
        <v>1</v>
      </c>
      <c r="G97">
        <f>COUNTIF('Metrics - Articles'!E96,"*Corporate*")</f>
        <v>0</v>
      </c>
      <c r="I97" s="53">
        <f t="shared" si="2"/>
        <v>1</v>
      </c>
    </row>
    <row r="98" spans="2:9" x14ac:dyDescent="0.25">
      <c r="B98" s="48">
        <f>+'Metrics - Articles'!C97</f>
        <v>42086</v>
      </c>
      <c r="C98">
        <f>COUNTIF('Metrics - Articles'!E97,"*Sports*")</f>
        <v>1</v>
      </c>
      <c r="D98">
        <f>COUNTIF('Metrics - Articles'!E97,"*Youth*")</f>
        <v>0</v>
      </c>
      <c r="E98">
        <f>COUNTIF('Metrics - Articles'!E97,"*Healthcare*")</f>
        <v>0</v>
      </c>
      <c r="F98">
        <f>COUNTIF('Metrics - Articles'!E97,"*Innovation")</f>
        <v>0</v>
      </c>
      <c r="G98">
        <f>COUNTIF('Metrics - Articles'!E97,"*Corporate*")</f>
        <v>0</v>
      </c>
      <c r="I98" s="53">
        <f t="shared" si="2"/>
        <v>1</v>
      </c>
    </row>
    <row r="99" spans="2:9" x14ac:dyDescent="0.25">
      <c r="B99" s="48">
        <f>+'Metrics - Articles'!C98</f>
        <v>42087</v>
      </c>
      <c r="C99">
        <f>COUNTIF('Metrics - Articles'!E98,"*Sports*")</f>
        <v>0</v>
      </c>
      <c r="D99">
        <f>COUNTIF('Metrics - Articles'!E98,"*Youth*")</f>
        <v>0</v>
      </c>
      <c r="E99">
        <f>COUNTIF('Metrics - Articles'!E98,"*Healthcare*")</f>
        <v>0</v>
      </c>
      <c r="F99">
        <f>COUNTIF('Metrics - Articles'!E98,"*Innovation")</f>
        <v>1</v>
      </c>
      <c r="G99">
        <f>COUNTIF('Metrics - Articles'!E98,"*Corporate*")</f>
        <v>0</v>
      </c>
      <c r="I99" s="53">
        <f t="shared" si="2"/>
        <v>1</v>
      </c>
    </row>
    <row r="100" spans="2:9" x14ac:dyDescent="0.25">
      <c r="B100" s="48">
        <f>+'Metrics - Articles'!C99</f>
        <v>42087</v>
      </c>
      <c r="C100">
        <f>COUNTIF('Metrics - Articles'!E99,"*Sports*")</f>
        <v>0</v>
      </c>
      <c r="D100">
        <f>COUNTIF('Metrics - Articles'!E99,"*Youth*")</f>
        <v>1</v>
      </c>
      <c r="E100">
        <f>COUNTIF('Metrics - Articles'!E99,"*Healthcare*")</f>
        <v>0</v>
      </c>
      <c r="F100">
        <f>COUNTIF('Metrics - Articles'!E99,"*Innovation")</f>
        <v>0</v>
      </c>
      <c r="G100">
        <f>COUNTIF('Metrics - Articles'!E99,"*Corporate*")</f>
        <v>0</v>
      </c>
      <c r="I100" s="53">
        <f t="shared" si="2"/>
        <v>1</v>
      </c>
    </row>
    <row r="101" spans="2:9" x14ac:dyDescent="0.25">
      <c r="B101" s="48">
        <f>+'Metrics - Articles'!C100</f>
        <v>42088</v>
      </c>
      <c r="C101">
        <f>COUNTIF('Metrics - Articles'!E100,"*Sports*")</f>
        <v>0</v>
      </c>
      <c r="D101">
        <f>COUNTIF('Metrics - Articles'!E100,"*Youth*")</f>
        <v>0</v>
      </c>
      <c r="E101">
        <f>COUNTIF('Metrics - Articles'!E100,"*Healthcare*")</f>
        <v>1</v>
      </c>
      <c r="F101">
        <f>COUNTIF('Metrics - Articles'!E100,"*Innovation")</f>
        <v>0</v>
      </c>
      <c r="G101">
        <f>COUNTIF('Metrics - Articles'!E100,"*Corporate*")</f>
        <v>0</v>
      </c>
      <c r="I101" s="53">
        <f t="shared" si="2"/>
        <v>1</v>
      </c>
    </row>
    <row r="102" spans="2:9" x14ac:dyDescent="0.25">
      <c r="B102" s="48">
        <f>+'Metrics - Articles'!C101</f>
        <v>42089</v>
      </c>
      <c r="C102">
        <f>COUNTIF('Metrics - Articles'!E101,"*Sports*")</f>
        <v>0</v>
      </c>
      <c r="D102">
        <f>COUNTIF('Metrics - Articles'!E101,"*Youth*")</f>
        <v>0</v>
      </c>
      <c r="E102">
        <f>COUNTIF('Metrics - Articles'!E101,"*Healthcare*")</f>
        <v>0</v>
      </c>
      <c r="F102">
        <f>COUNTIF('Metrics - Articles'!E101,"*Innovation")</f>
        <v>0</v>
      </c>
      <c r="G102">
        <f>COUNTIF('Metrics - Articles'!E101,"*Corporate*")</f>
        <v>1</v>
      </c>
      <c r="I102" s="53">
        <f t="shared" si="2"/>
        <v>1</v>
      </c>
    </row>
    <row r="103" spans="2:9" x14ac:dyDescent="0.25">
      <c r="B103" s="48">
        <f>+'Metrics - Articles'!C102</f>
        <v>42089</v>
      </c>
      <c r="C103">
        <f>COUNTIF('Metrics - Articles'!E102,"*Sports*")</f>
        <v>0</v>
      </c>
      <c r="D103">
        <f>COUNTIF('Metrics - Articles'!E102,"*Youth*")</f>
        <v>0</v>
      </c>
      <c r="E103">
        <f>COUNTIF('Metrics - Articles'!E102,"*Healthcare*")</f>
        <v>0</v>
      </c>
      <c r="F103">
        <f>COUNTIF('Metrics - Articles'!E102,"*Innovation")</f>
        <v>1</v>
      </c>
      <c r="G103">
        <f>COUNTIF('Metrics - Articles'!E102,"*Corporate*")</f>
        <v>0</v>
      </c>
      <c r="I103" s="53">
        <f t="shared" si="2"/>
        <v>1</v>
      </c>
    </row>
    <row r="104" spans="2:9" x14ac:dyDescent="0.25">
      <c r="B104" s="48">
        <f>+'Metrics - Articles'!C103</f>
        <v>42093</v>
      </c>
      <c r="C104">
        <f>COUNTIF('Metrics - Articles'!E103,"*Sports*")</f>
        <v>0</v>
      </c>
      <c r="D104">
        <f>COUNTIF('Metrics - Articles'!E103,"*Youth*")</f>
        <v>0</v>
      </c>
      <c r="E104">
        <f>COUNTIF('Metrics - Articles'!E103,"*Healthcare*")</f>
        <v>1</v>
      </c>
      <c r="F104">
        <f>COUNTIF('Metrics - Articles'!E103,"*Innovation")</f>
        <v>0</v>
      </c>
      <c r="G104">
        <f>COUNTIF('Metrics - Articles'!E103,"*Corporate*")</f>
        <v>0</v>
      </c>
      <c r="I104" s="53">
        <f t="shared" si="2"/>
        <v>1</v>
      </c>
    </row>
    <row r="105" spans="2:9" x14ac:dyDescent="0.25">
      <c r="B105" s="48">
        <f>+'Metrics - Articles'!C104</f>
        <v>42094</v>
      </c>
      <c r="C105">
        <f>COUNTIF('Metrics - Articles'!E104,"*Sports*")</f>
        <v>0</v>
      </c>
      <c r="D105">
        <f>COUNTIF('Metrics - Articles'!E104,"*Youth*")</f>
        <v>0</v>
      </c>
      <c r="E105">
        <f>COUNTIF('Metrics - Articles'!E104,"*Healthcare*")</f>
        <v>0</v>
      </c>
      <c r="F105">
        <f>COUNTIF('Metrics - Articles'!E104,"*Innovation")</f>
        <v>0</v>
      </c>
      <c r="G105">
        <f>COUNTIF('Metrics - Articles'!E104,"*Corporate*")</f>
        <v>1</v>
      </c>
      <c r="I105" s="53">
        <f t="shared" si="2"/>
        <v>1</v>
      </c>
    </row>
    <row r="106" spans="2:9" x14ac:dyDescent="0.25">
      <c r="B106" s="48">
        <f>+'Metrics - Articles'!C105</f>
        <v>42094</v>
      </c>
      <c r="C106">
        <f>COUNTIF('Metrics - Articles'!E105,"*Sports*")</f>
        <v>0</v>
      </c>
      <c r="D106">
        <f>COUNTIF('Metrics - Articles'!E105,"*Youth*")</f>
        <v>0</v>
      </c>
      <c r="E106">
        <f>COUNTIF('Metrics - Articles'!E105,"*Healthcare*")</f>
        <v>0</v>
      </c>
      <c r="F106">
        <f>COUNTIF('Metrics - Articles'!E105,"*Innovation")</f>
        <v>1</v>
      </c>
      <c r="G106">
        <f>COUNTIF('Metrics - Articles'!E105,"*Corporate*")</f>
        <v>0</v>
      </c>
      <c r="I106" s="53">
        <f t="shared" si="2"/>
        <v>1</v>
      </c>
    </row>
    <row r="107" spans="2:9" x14ac:dyDescent="0.25">
      <c r="B107" s="48">
        <f>+'Metrics - Articles'!C106</f>
        <v>42094</v>
      </c>
      <c r="C107">
        <f>COUNTIF('Metrics - Articles'!E106,"*Sports*")</f>
        <v>0</v>
      </c>
      <c r="D107">
        <f>COUNTIF('Metrics - Articles'!E106,"*Youth*")</f>
        <v>0</v>
      </c>
      <c r="E107">
        <f>COUNTIF('Metrics - Articles'!E106,"*Healthcare*")</f>
        <v>0</v>
      </c>
      <c r="F107">
        <f>COUNTIF('Metrics - Articles'!E106,"*Innovation")</f>
        <v>0</v>
      </c>
      <c r="G107">
        <f>COUNTIF('Metrics - Articles'!E106,"*Corporate*")</f>
        <v>1</v>
      </c>
      <c r="I107" s="53">
        <f t="shared" si="2"/>
        <v>1</v>
      </c>
    </row>
    <row r="108" spans="2:9" x14ac:dyDescent="0.25">
      <c r="B108" s="48">
        <f>+'Metrics - Articles'!C107</f>
        <v>42094</v>
      </c>
      <c r="C108">
        <f>COUNTIF('Metrics - Articles'!E107,"*Sports*")</f>
        <v>0</v>
      </c>
      <c r="D108">
        <f>COUNTIF('Metrics - Articles'!E107,"*Youth*")</f>
        <v>0</v>
      </c>
      <c r="E108">
        <f>COUNTIF('Metrics - Articles'!E107,"*Healthcare*")</f>
        <v>0</v>
      </c>
      <c r="F108">
        <f>COUNTIF('Metrics - Articles'!E107,"*Innovation")</f>
        <v>0</v>
      </c>
      <c r="G108">
        <f>COUNTIF('Metrics - Articles'!E107,"*Corporate*")</f>
        <v>1</v>
      </c>
      <c r="I108" s="53">
        <f t="shared" si="2"/>
        <v>1</v>
      </c>
    </row>
    <row r="109" spans="2:9" x14ac:dyDescent="0.25">
      <c r="B109" s="48">
        <f>+'Metrics - Articles'!C108</f>
        <v>42094</v>
      </c>
      <c r="C109">
        <f>COUNTIF('Metrics - Articles'!E108,"*Sports*")</f>
        <v>0</v>
      </c>
      <c r="D109">
        <f>COUNTIF('Metrics - Articles'!E108,"*Youth*")</f>
        <v>0</v>
      </c>
      <c r="E109">
        <f>COUNTIF('Metrics - Articles'!E108,"*Healthcare*")</f>
        <v>1</v>
      </c>
      <c r="F109">
        <f>COUNTIF('Metrics - Articles'!E108,"*Innovation")</f>
        <v>0</v>
      </c>
      <c r="G109">
        <f>COUNTIF('Metrics - Articles'!E108,"*Corporate*")</f>
        <v>0</v>
      </c>
      <c r="I109" s="53">
        <f t="shared" si="2"/>
        <v>1</v>
      </c>
    </row>
    <row r="110" spans="2:9" x14ac:dyDescent="0.25">
      <c r="B110" s="48">
        <f>+'Metrics - Articles'!C109</f>
        <v>42095</v>
      </c>
      <c r="C110">
        <f>COUNTIF('Metrics - Articles'!E109,"*Sports*")</f>
        <v>0</v>
      </c>
      <c r="D110">
        <f>COUNTIF('Metrics - Articles'!E109,"*Youth*")</f>
        <v>0</v>
      </c>
      <c r="E110">
        <f>COUNTIF('Metrics - Articles'!E109,"*Healthcare*")</f>
        <v>1</v>
      </c>
      <c r="F110">
        <f>COUNTIF('Metrics - Articles'!E109,"*Innovation")</f>
        <v>0</v>
      </c>
      <c r="G110">
        <f>COUNTIF('Metrics - Articles'!E109,"*Corporate*")</f>
        <v>0</v>
      </c>
      <c r="I110" s="53">
        <f t="shared" si="2"/>
        <v>1</v>
      </c>
    </row>
    <row r="111" spans="2:9" x14ac:dyDescent="0.25">
      <c r="B111" s="48">
        <f>+'Metrics - Articles'!C110</f>
        <v>42096</v>
      </c>
      <c r="C111">
        <f>COUNTIF('Metrics - Articles'!E110,"*Sports*")</f>
        <v>0</v>
      </c>
      <c r="D111">
        <f>COUNTIF('Metrics - Articles'!E110,"*Youth*")</f>
        <v>0</v>
      </c>
      <c r="E111">
        <f>COUNTIF('Metrics - Articles'!E110,"*Healthcare*")</f>
        <v>0</v>
      </c>
      <c r="F111">
        <f>COUNTIF('Metrics - Articles'!E110,"*Innovation")</f>
        <v>1</v>
      </c>
      <c r="G111">
        <f>COUNTIF('Metrics - Articles'!E110,"*Corporate*")</f>
        <v>0</v>
      </c>
      <c r="I111" s="53">
        <f t="shared" si="2"/>
        <v>1</v>
      </c>
    </row>
    <row r="112" spans="2:9" x14ac:dyDescent="0.25">
      <c r="B112" s="48">
        <f>+'Metrics - Articles'!C111</f>
        <v>42101</v>
      </c>
      <c r="C112">
        <f>COUNTIF('Metrics - Articles'!E111,"*Sports*")</f>
        <v>0</v>
      </c>
      <c r="D112">
        <f>COUNTIF('Metrics - Articles'!E111,"*Youth*")</f>
        <v>0</v>
      </c>
      <c r="E112">
        <f>COUNTIF('Metrics - Articles'!E111,"*Healthcare*")</f>
        <v>0</v>
      </c>
      <c r="F112">
        <f>COUNTIF('Metrics - Articles'!E111,"*Innovation")</f>
        <v>1</v>
      </c>
      <c r="G112">
        <f>COUNTIF('Metrics - Articles'!E111,"*Corporate*")</f>
        <v>0</v>
      </c>
      <c r="I112" s="53">
        <f t="shared" si="2"/>
        <v>1</v>
      </c>
    </row>
    <row r="113" spans="2:9" x14ac:dyDescent="0.25">
      <c r="B113" s="48">
        <f>+'Metrics - Articles'!C112</f>
        <v>42101</v>
      </c>
      <c r="C113">
        <f>COUNTIF('Metrics - Articles'!E112,"*Sports*")</f>
        <v>0</v>
      </c>
      <c r="D113">
        <f>COUNTIF('Metrics - Articles'!E112,"*Youth*")</f>
        <v>0</v>
      </c>
      <c r="E113">
        <f>COUNTIF('Metrics - Articles'!E112,"*Healthcare*")</f>
        <v>0</v>
      </c>
      <c r="F113">
        <f>COUNTIF('Metrics - Articles'!E112,"*Innovation")</f>
        <v>0</v>
      </c>
      <c r="G113">
        <f>COUNTIF('Metrics - Articles'!E112,"*Corporate*")</f>
        <v>1</v>
      </c>
      <c r="I113" s="53">
        <f t="shared" si="2"/>
        <v>1</v>
      </c>
    </row>
    <row r="114" spans="2:9" x14ac:dyDescent="0.25">
      <c r="B114" s="48">
        <f>+'Metrics - Articles'!C113</f>
        <v>42102</v>
      </c>
      <c r="C114">
        <f>COUNTIF('Metrics - Articles'!E113,"*Sports*")</f>
        <v>0</v>
      </c>
      <c r="D114">
        <f>COUNTIF('Metrics - Articles'!E113,"*Youth*")</f>
        <v>0</v>
      </c>
      <c r="E114">
        <f>COUNTIF('Metrics - Articles'!E113,"*Healthcare*")</f>
        <v>0</v>
      </c>
      <c r="F114">
        <f>COUNTIF('Metrics - Articles'!E113,"*Innovation")</f>
        <v>1</v>
      </c>
      <c r="G114">
        <f>COUNTIF('Metrics - Articles'!E113,"*Corporate*")</f>
        <v>0</v>
      </c>
      <c r="I114" s="53">
        <f t="shared" si="2"/>
        <v>1</v>
      </c>
    </row>
    <row r="115" spans="2:9" x14ac:dyDescent="0.25">
      <c r="B115" s="48">
        <f>+'Metrics - Articles'!C114</f>
        <v>42103</v>
      </c>
      <c r="C115">
        <f>COUNTIF('Metrics - Articles'!E114,"*Sports*")</f>
        <v>0</v>
      </c>
      <c r="D115">
        <f>COUNTIF('Metrics - Articles'!E114,"*Youth*")</f>
        <v>0</v>
      </c>
      <c r="E115">
        <f>COUNTIF('Metrics - Articles'!E114,"*Healthcare*")</f>
        <v>0</v>
      </c>
      <c r="F115">
        <f>COUNTIF('Metrics - Articles'!E114,"*Innovation")</f>
        <v>0</v>
      </c>
      <c r="G115">
        <f>COUNTIF('Metrics - Articles'!E114,"*Corporate*")</f>
        <v>1</v>
      </c>
      <c r="I115" s="53">
        <f t="shared" si="2"/>
        <v>1</v>
      </c>
    </row>
    <row r="116" spans="2:9" x14ac:dyDescent="0.25">
      <c r="B116" s="48">
        <f>+'Metrics - Articles'!C115</f>
        <v>42103</v>
      </c>
      <c r="C116">
        <f>COUNTIF('Metrics - Articles'!E115,"*Sports*")</f>
        <v>0</v>
      </c>
      <c r="D116">
        <f>COUNTIF('Metrics - Articles'!E115,"*Youth*")</f>
        <v>0</v>
      </c>
      <c r="E116">
        <f>COUNTIF('Metrics - Articles'!E115,"*Healthcare*")</f>
        <v>0</v>
      </c>
      <c r="F116">
        <f>COUNTIF('Metrics - Articles'!E115,"*Innovation")</f>
        <v>1</v>
      </c>
      <c r="G116">
        <f>COUNTIF('Metrics - Articles'!E115,"*Corporate*")</f>
        <v>0</v>
      </c>
      <c r="I116" s="53">
        <f t="shared" si="2"/>
        <v>1</v>
      </c>
    </row>
    <row r="117" spans="2:9" x14ac:dyDescent="0.25">
      <c r="B117" s="48">
        <f>+'Metrics - Articles'!C116</f>
        <v>42107</v>
      </c>
      <c r="C117">
        <f>COUNTIF('Metrics - Articles'!E116,"*Sports*")</f>
        <v>0</v>
      </c>
      <c r="D117">
        <f>COUNTIF('Metrics - Articles'!E116,"*Youth*")</f>
        <v>0</v>
      </c>
      <c r="E117">
        <f>COUNTIF('Metrics - Articles'!E116,"*Healthcare*")</f>
        <v>0</v>
      </c>
      <c r="F117">
        <f>COUNTIF('Metrics - Articles'!E116,"*Innovation")</f>
        <v>0</v>
      </c>
      <c r="G117">
        <f>COUNTIF('Metrics - Articles'!E116,"*Corporate*")</f>
        <v>1</v>
      </c>
      <c r="I117" s="53">
        <f t="shared" si="2"/>
        <v>1</v>
      </c>
    </row>
    <row r="118" spans="2:9" x14ac:dyDescent="0.25">
      <c r="B118" s="48">
        <f>+'Metrics - Articles'!C117</f>
        <v>42107</v>
      </c>
      <c r="C118">
        <f>COUNTIF('Metrics - Articles'!E117,"*Sports*")</f>
        <v>0</v>
      </c>
      <c r="D118">
        <f>COUNTIF('Metrics - Articles'!E117,"*Youth*")</f>
        <v>0</v>
      </c>
      <c r="E118">
        <f>COUNTIF('Metrics - Articles'!E117,"*Healthcare*")</f>
        <v>0</v>
      </c>
      <c r="F118">
        <f>COUNTIF('Metrics - Articles'!E117,"*Innovation")</f>
        <v>1</v>
      </c>
      <c r="G118">
        <f>COUNTIF('Metrics - Articles'!E117,"*Corporate*")</f>
        <v>0</v>
      </c>
      <c r="I118" s="53">
        <f t="shared" si="2"/>
        <v>1</v>
      </c>
    </row>
    <row r="119" spans="2:9" x14ac:dyDescent="0.25">
      <c r="B119" s="48">
        <f>+'Metrics - Articles'!C118</f>
        <v>42107</v>
      </c>
      <c r="C119">
        <f>COUNTIF('Metrics - Articles'!E118,"*Sports*")</f>
        <v>0</v>
      </c>
      <c r="D119">
        <f>COUNTIF('Metrics - Articles'!E118,"*Youth*")</f>
        <v>0</v>
      </c>
      <c r="E119">
        <f>COUNTIF('Metrics - Articles'!E118,"*Healthcare*")</f>
        <v>1</v>
      </c>
      <c r="F119">
        <f>COUNTIF('Metrics - Articles'!E118,"*Innovation")</f>
        <v>0</v>
      </c>
      <c r="G119">
        <f>COUNTIF('Metrics - Articles'!E118,"*Corporate*")</f>
        <v>0</v>
      </c>
      <c r="I119" s="53">
        <f t="shared" si="2"/>
        <v>1</v>
      </c>
    </row>
    <row r="120" spans="2:9" x14ac:dyDescent="0.25">
      <c r="B120" s="48">
        <f>+'Metrics - Articles'!C119</f>
        <v>42108</v>
      </c>
      <c r="C120">
        <f>COUNTIF('Metrics - Articles'!E119,"*Sports*")</f>
        <v>0</v>
      </c>
      <c r="D120">
        <f>COUNTIF('Metrics - Articles'!E119,"*Youth*")</f>
        <v>1</v>
      </c>
      <c r="E120">
        <f>COUNTIF('Metrics - Articles'!E119,"*Healthcare*")</f>
        <v>0</v>
      </c>
      <c r="F120">
        <f>COUNTIF('Metrics - Articles'!E119,"*Innovation")</f>
        <v>0</v>
      </c>
      <c r="G120">
        <f>COUNTIF('Metrics - Articles'!E119,"*Corporate*")</f>
        <v>0</v>
      </c>
      <c r="I120" s="53">
        <f t="shared" si="2"/>
        <v>1</v>
      </c>
    </row>
    <row r="121" spans="2:9" x14ac:dyDescent="0.25">
      <c r="B121" s="48">
        <f>+'Metrics - Articles'!C120</f>
        <v>42109</v>
      </c>
      <c r="C121">
        <f>COUNTIF('Metrics - Articles'!E120,"*Sports*")</f>
        <v>0</v>
      </c>
      <c r="D121">
        <f>COUNTIF('Metrics - Articles'!E120,"*Youth*")</f>
        <v>0</v>
      </c>
      <c r="E121">
        <f>COUNTIF('Metrics - Articles'!E120,"*Healthcare*")</f>
        <v>0</v>
      </c>
      <c r="F121">
        <f>COUNTIF('Metrics - Articles'!E120,"*Innovation")</f>
        <v>1</v>
      </c>
      <c r="G121">
        <f>COUNTIF('Metrics - Articles'!E120,"*Corporate*")</f>
        <v>0</v>
      </c>
      <c r="I121" s="53">
        <f t="shared" si="2"/>
        <v>1</v>
      </c>
    </row>
    <row r="122" spans="2:9" x14ac:dyDescent="0.25">
      <c r="B122" s="48">
        <f>+'Metrics - Articles'!C121</f>
        <v>42109</v>
      </c>
      <c r="C122">
        <f>COUNTIF('Metrics - Articles'!E121,"*Sports*")</f>
        <v>0</v>
      </c>
      <c r="D122">
        <f>COUNTIF('Metrics - Articles'!E121,"*Youth*")</f>
        <v>1</v>
      </c>
      <c r="E122">
        <f>COUNTIF('Metrics - Articles'!E121,"*Healthcare*")</f>
        <v>0</v>
      </c>
      <c r="F122">
        <f>COUNTIF('Metrics - Articles'!E121,"*Innovation")</f>
        <v>0</v>
      </c>
      <c r="G122">
        <f>COUNTIF('Metrics - Articles'!E121,"*Corporate*")</f>
        <v>0</v>
      </c>
      <c r="I122" s="53">
        <f t="shared" si="2"/>
        <v>1</v>
      </c>
    </row>
    <row r="123" spans="2:9" x14ac:dyDescent="0.25">
      <c r="B123" s="48">
        <f>+'Metrics - Articles'!C122</f>
        <v>42109</v>
      </c>
      <c r="C123">
        <f>COUNTIF('Metrics - Articles'!E122,"*Sports*")</f>
        <v>0</v>
      </c>
      <c r="D123">
        <f>COUNTIF('Metrics - Articles'!E122,"*Youth*")</f>
        <v>0</v>
      </c>
      <c r="E123">
        <f>COUNTIF('Metrics - Articles'!E122,"*Healthcare*")</f>
        <v>0</v>
      </c>
      <c r="F123">
        <f>COUNTIF('Metrics - Articles'!E122,"*Innovation")</f>
        <v>1</v>
      </c>
      <c r="G123">
        <f>COUNTIF('Metrics - Articles'!E122,"*Corporate*")</f>
        <v>0</v>
      </c>
      <c r="I123" s="53">
        <f t="shared" si="2"/>
        <v>1</v>
      </c>
    </row>
    <row r="124" spans="2:9" x14ac:dyDescent="0.25">
      <c r="B124" s="48">
        <f>+'Metrics - Articles'!C123</f>
        <v>42110</v>
      </c>
      <c r="C124">
        <f>COUNTIF('Metrics - Articles'!E123,"*Sports*")</f>
        <v>0</v>
      </c>
      <c r="D124">
        <f>COUNTIF('Metrics - Articles'!E123,"*Youth*")</f>
        <v>0</v>
      </c>
      <c r="E124">
        <f>COUNTIF('Metrics - Articles'!E123,"*Healthcare*")</f>
        <v>0</v>
      </c>
      <c r="F124">
        <f>COUNTIF('Metrics - Articles'!E123,"*Innovation")</f>
        <v>1</v>
      </c>
      <c r="G124">
        <f>COUNTIF('Metrics - Articles'!E123,"*Corporate*")</f>
        <v>0</v>
      </c>
      <c r="I124" s="53">
        <f t="shared" si="2"/>
        <v>1</v>
      </c>
    </row>
    <row r="125" spans="2:9" x14ac:dyDescent="0.25">
      <c r="B125" s="48">
        <f>+'Metrics - Articles'!C124</f>
        <v>42110</v>
      </c>
      <c r="C125">
        <f>COUNTIF('Metrics - Articles'!E124,"*Sports*")</f>
        <v>0</v>
      </c>
      <c r="D125">
        <f>COUNTIF('Metrics - Articles'!E124,"*Youth*")</f>
        <v>0</v>
      </c>
      <c r="E125">
        <f>COUNTIF('Metrics - Articles'!E124,"*Healthcare*")</f>
        <v>0</v>
      </c>
      <c r="F125">
        <f>COUNTIF('Metrics - Articles'!E124,"*Innovation")</f>
        <v>0</v>
      </c>
      <c r="G125">
        <f>COUNTIF('Metrics - Articles'!E124,"*Corporate*")</f>
        <v>1</v>
      </c>
      <c r="I125" s="53">
        <f t="shared" si="2"/>
        <v>1</v>
      </c>
    </row>
    <row r="126" spans="2:9" x14ac:dyDescent="0.25">
      <c r="B126" s="48">
        <f>+'Metrics - Articles'!C125</f>
        <v>42110</v>
      </c>
      <c r="C126">
        <f>COUNTIF('Metrics - Articles'!E125,"*Sports*")</f>
        <v>0</v>
      </c>
      <c r="D126">
        <f>COUNTIF('Metrics - Articles'!E125,"*Youth*")</f>
        <v>0</v>
      </c>
      <c r="E126">
        <f>COUNTIF('Metrics - Articles'!E125,"*Healthcare*")</f>
        <v>0</v>
      </c>
      <c r="F126">
        <f>COUNTIF('Metrics - Articles'!E125,"*Innovation")</f>
        <v>1</v>
      </c>
      <c r="G126">
        <f>COUNTIF('Metrics - Articles'!E125,"*Corporate*")</f>
        <v>0</v>
      </c>
      <c r="I126" s="53">
        <f t="shared" si="2"/>
        <v>1</v>
      </c>
    </row>
    <row r="127" spans="2:9" x14ac:dyDescent="0.25">
      <c r="B127" s="48">
        <f>+'Metrics - Articles'!C126</f>
        <v>42111</v>
      </c>
      <c r="C127">
        <f>COUNTIF('Metrics - Articles'!E126,"*Sports*")</f>
        <v>0</v>
      </c>
      <c r="D127">
        <f>COUNTIF('Metrics - Articles'!E126,"*Youth*")</f>
        <v>0</v>
      </c>
      <c r="E127">
        <f>COUNTIF('Metrics - Articles'!E126,"*Healthcare*")</f>
        <v>0</v>
      </c>
      <c r="F127">
        <f>COUNTIF('Metrics - Articles'!E126,"*Innovation")</f>
        <v>1</v>
      </c>
      <c r="G127">
        <f>COUNTIF('Metrics - Articles'!E126,"*Corporate*")</f>
        <v>0</v>
      </c>
      <c r="I127" s="53">
        <f t="shared" si="2"/>
        <v>1</v>
      </c>
    </row>
    <row r="128" spans="2:9" x14ac:dyDescent="0.25">
      <c r="B128" s="48">
        <f>+'Metrics - Articles'!C127</f>
        <v>42114</v>
      </c>
      <c r="C128">
        <f>COUNTIF('Metrics - Articles'!E127,"*Sports*")</f>
        <v>0</v>
      </c>
      <c r="D128">
        <f>COUNTIF('Metrics - Articles'!E127,"*Youth*")</f>
        <v>0</v>
      </c>
      <c r="E128">
        <f>COUNTIF('Metrics - Articles'!E127,"*Healthcare*")</f>
        <v>0</v>
      </c>
      <c r="F128">
        <f>COUNTIF('Metrics - Articles'!E127,"*Innovation")</f>
        <v>0</v>
      </c>
      <c r="G128">
        <f>COUNTIF('Metrics - Articles'!E127,"*Corporate*")</f>
        <v>1</v>
      </c>
      <c r="I128" s="53">
        <f t="shared" si="2"/>
        <v>1</v>
      </c>
    </row>
    <row r="129" spans="2:9" x14ac:dyDescent="0.25">
      <c r="B129" s="48">
        <f>+'Metrics - Articles'!C128</f>
        <v>42114</v>
      </c>
      <c r="C129">
        <f>COUNTIF('Metrics - Articles'!E128,"*Sports*")</f>
        <v>0</v>
      </c>
      <c r="D129">
        <f>COUNTIF('Metrics - Articles'!E128,"*Youth*")</f>
        <v>0</v>
      </c>
      <c r="E129">
        <f>COUNTIF('Metrics - Articles'!E128,"*Healthcare*")</f>
        <v>0</v>
      </c>
      <c r="F129">
        <f>COUNTIF('Metrics - Articles'!E128,"*Innovation")</f>
        <v>0</v>
      </c>
      <c r="G129">
        <f>COUNTIF('Metrics - Articles'!E128,"*Corporate*")</f>
        <v>1</v>
      </c>
      <c r="I129" s="53">
        <f t="shared" si="2"/>
        <v>1</v>
      </c>
    </row>
    <row r="130" spans="2:9" x14ac:dyDescent="0.25">
      <c r="B130" s="48">
        <f>+'Metrics - Articles'!C129</f>
        <v>42114</v>
      </c>
      <c r="C130">
        <f>COUNTIF('Metrics - Articles'!E129,"*Sports*")</f>
        <v>0</v>
      </c>
      <c r="D130">
        <f>COUNTIF('Metrics - Articles'!E129,"*Youth*")</f>
        <v>1</v>
      </c>
      <c r="E130">
        <f>COUNTIF('Metrics - Articles'!E129,"*Healthcare*")</f>
        <v>0</v>
      </c>
      <c r="F130">
        <f>COUNTIF('Metrics - Articles'!E129,"*Innovation")</f>
        <v>0</v>
      </c>
      <c r="G130">
        <f>COUNTIF('Metrics - Articles'!E129,"*Corporate*")</f>
        <v>0</v>
      </c>
      <c r="I130" s="53">
        <f t="shared" si="2"/>
        <v>1</v>
      </c>
    </row>
    <row r="131" spans="2:9" x14ac:dyDescent="0.25">
      <c r="B131" s="48">
        <f>+'Metrics - Articles'!C130</f>
        <v>42115</v>
      </c>
      <c r="C131">
        <f>COUNTIF('Metrics - Articles'!E130,"*Sports*")</f>
        <v>0</v>
      </c>
      <c r="D131">
        <f>COUNTIF('Metrics - Articles'!E130,"*Youth*")</f>
        <v>0</v>
      </c>
      <c r="E131">
        <f>COUNTIF('Metrics - Articles'!E130,"*Healthcare*")</f>
        <v>0</v>
      </c>
      <c r="F131">
        <f>COUNTIF('Metrics - Articles'!E130,"*Innovation")</f>
        <v>0</v>
      </c>
      <c r="G131">
        <f>COUNTIF('Metrics - Articles'!E130,"*Corporate*")</f>
        <v>1</v>
      </c>
      <c r="I131" s="53">
        <f t="shared" si="2"/>
        <v>1</v>
      </c>
    </row>
    <row r="132" spans="2:9" x14ac:dyDescent="0.25">
      <c r="B132" s="48">
        <f>+'Metrics - Articles'!C131</f>
        <v>42116</v>
      </c>
      <c r="C132">
        <f>COUNTIF('Metrics - Articles'!E131,"*Sports*")</f>
        <v>0</v>
      </c>
      <c r="D132">
        <f>COUNTIF('Metrics - Articles'!E131,"*Youth*")</f>
        <v>0</v>
      </c>
      <c r="E132">
        <f>COUNTIF('Metrics - Articles'!E131,"*Healthcare*")</f>
        <v>0</v>
      </c>
      <c r="F132">
        <f>COUNTIF('Metrics - Articles'!E131,"*Innovation")</f>
        <v>0</v>
      </c>
      <c r="G132">
        <f>COUNTIF('Metrics - Articles'!E131,"*Corporate*")</f>
        <v>1</v>
      </c>
      <c r="I132" s="53">
        <f t="shared" si="2"/>
        <v>1</v>
      </c>
    </row>
    <row r="133" spans="2:9" x14ac:dyDescent="0.25">
      <c r="B133" s="48">
        <f>+'Metrics - Articles'!C132</f>
        <v>42116</v>
      </c>
      <c r="C133">
        <f>COUNTIF('Metrics - Articles'!E132,"*Sports*")</f>
        <v>0</v>
      </c>
      <c r="D133">
        <f>COUNTIF('Metrics - Articles'!E132,"*Youth*")</f>
        <v>0</v>
      </c>
      <c r="E133">
        <f>COUNTIF('Metrics - Articles'!E132,"*Healthcare*")</f>
        <v>0</v>
      </c>
      <c r="F133">
        <f>COUNTIF('Metrics - Articles'!E132,"*Innovation")</f>
        <v>0</v>
      </c>
      <c r="G133">
        <f>COUNTIF('Metrics - Articles'!E132,"*Corporate*")</f>
        <v>1</v>
      </c>
      <c r="I133" s="53">
        <f t="shared" si="2"/>
        <v>1</v>
      </c>
    </row>
    <row r="134" spans="2:9" x14ac:dyDescent="0.25">
      <c r="B134" s="48">
        <f>+'Metrics - Articles'!C133</f>
        <v>42116</v>
      </c>
      <c r="C134">
        <f>COUNTIF('Metrics - Articles'!E133,"*Sports*")</f>
        <v>0</v>
      </c>
      <c r="D134">
        <f>COUNTIF('Metrics - Articles'!E133,"*Youth*")</f>
        <v>0</v>
      </c>
      <c r="E134">
        <f>COUNTIF('Metrics - Articles'!E133,"*Healthcare*")</f>
        <v>0</v>
      </c>
      <c r="F134">
        <f>COUNTIF('Metrics - Articles'!E133,"*Innovation")</f>
        <v>0</v>
      </c>
      <c r="G134">
        <f>COUNTIF('Metrics - Articles'!E133,"*Corporate*")</f>
        <v>1</v>
      </c>
      <c r="I134" s="53">
        <f t="shared" si="2"/>
        <v>1</v>
      </c>
    </row>
    <row r="135" spans="2:9" x14ac:dyDescent="0.25">
      <c r="B135" s="48">
        <f>+'Metrics - Articles'!C134</f>
        <v>42116</v>
      </c>
      <c r="C135">
        <f>COUNTIF('Metrics - Articles'!E134,"*Sports*")</f>
        <v>0</v>
      </c>
      <c r="D135">
        <f>COUNTIF('Metrics - Articles'!E134,"*Youth*")</f>
        <v>0</v>
      </c>
      <c r="E135">
        <f>COUNTIF('Metrics - Articles'!E134,"*Healthcare*")</f>
        <v>0</v>
      </c>
      <c r="F135">
        <f>COUNTIF('Metrics - Articles'!E134,"*Innovation")</f>
        <v>1</v>
      </c>
      <c r="G135">
        <f>COUNTIF('Metrics - Articles'!E134,"*Corporate*")</f>
        <v>0</v>
      </c>
      <c r="I135" s="53">
        <f t="shared" si="2"/>
        <v>1</v>
      </c>
    </row>
    <row r="136" spans="2:9" x14ac:dyDescent="0.25">
      <c r="B136" s="48">
        <f>+'Metrics - Articles'!C135</f>
        <v>42117</v>
      </c>
      <c r="C136">
        <f>COUNTIF('Metrics - Articles'!E135,"*Sports*")</f>
        <v>0</v>
      </c>
      <c r="D136">
        <f>COUNTIF('Metrics - Articles'!E135,"*Youth*")</f>
        <v>0</v>
      </c>
      <c r="E136">
        <f>COUNTIF('Metrics - Articles'!E135,"*Healthcare*")</f>
        <v>0</v>
      </c>
      <c r="F136">
        <f>COUNTIF('Metrics - Articles'!E135,"*Innovation")</f>
        <v>1</v>
      </c>
      <c r="G136">
        <f>COUNTIF('Metrics - Articles'!E135,"*Corporate*")</f>
        <v>0</v>
      </c>
      <c r="I136" s="53">
        <f t="shared" ref="I136:I199" si="3">SUM(C136:H136)</f>
        <v>1</v>
      </c>
    </row>
    <row r="137" spans="2:9" x14ac:dyDescent="0.25">
      <c r="B137" s="48">
        <f>+'Metrics - Articles'!C136</f>
        <v>42118</v>
      </c>
      <c r="C137">
        <f>COUNTIF('Metrics - Articles'!E136,"*Sports*")</f>
        <v>0</v>
      </c>
      <c r="D137">
        <f>COUNTIF('Metrics - Articles'!E136,"*Youth*")</f>
        <v>0</v>
      </c>
      <c r="E137">
        <f>COUNTIF('Metrics - Articles'!E136,"*Healthcare*")</f>
        <v>0</v>
      </c>
      <c r="F137">
        <f>COUNTIF('Metrics - Articles'!E136,"*Innovation")</f>
        <v>0</v>
      </c>
      <c r="G137">
        <f>COUNTIF('Metrics - Articles'!E136,"*Corporate*")</f>
        <v>1</v>
      </c>
      <c r="I137" s="53">
        <f t="shared" si="3"/>
        <v>1</v>
      </c>
    </row>
    <row r="138" spans="2:9" x14ac:dyDescent="0.25">
      <c r="B138" s="48">
        <f>+'Metrics - Articles'!C137</f>
        <v>42118</v>
      </c>
      <c r="C138">
        <f>COUNTIF('Metrics - Articles'!E137,"*Sports*")</f>
        <v>0</v>
      </c>
      <c r="D138">
        <f>COUNTIF('Metrics - Articles'!E137,"*Youth*")</f>
        <v>0</v>
      </c>
      <c r="E138">
        <f>COUNTIF('Metrics - Articles'!E137,"*Healthcare*")</f>
        <v>0</v>
      </c>
      <c r="F138">
        <f>COUNTIF('Metrics - Articles'!E137,"*Innovation")</f>
        <v>1</v>
      </c>
      <c r="G138">
        <f>COUNTIF('Metrics - Articles'!E137,"*Corporate*")</f>
        <v>0</v>
      </c>
      <c r="I138" s="53">
        <f t="shared" si="3"/>
        <v>1</v>
      </c>
    </row>
    <row r="139" spans="2:9" x14ac:dyDescent="0.25">
      <c r="B139" s="48">
        <f>+'Metrics - Articles'!C138</f>
        <v>42121</v>
      </c>
      <c r="C139">
        <f>COUNTIF('Metrics - Articles'!E138,"*Sports*")</f>
        <v>0</v>
      </c>
      <c r="D139">
        <f>COUNTIF('Metrics - Articles'!E138,"*Youth*")</f>
        <v>0</v>
      </c>
      <c r="E139">
        <f>COUNTIF('Metrics - Articles'!E138,"*Healthcare*")</f>
        <v>0</v>
      </c>
      <c r="F139">
        <f>COUNTIF('Metrics - Articles'!E138,"*Innovation")</f>
        <v>1</v>
      </c>
      <c r="G139">
        <f>COUNTIF('Metrics - Articles'!E138,"*Corporate*")</f>
        <v>0</v>
      </c>
      <c r="I139" s="53">
        <f t="shared" si="3"/>
        <v>1</v>
      </c>
    </row>
    <row r="140" spans="2:9" x14ac:dyDescent="0.25">
      <c r="B140" s="48">
        <f>+'Metrics - Articles'!C139</f>
        <v>42121</v>
      </c>
      <c r="C140">
        <f>COUNTIF('Metrics - Articles'!E139,"*Sports*")</f>
        <v>0</v>
      </c>
      <c r="D140">
        <f>COUNTIF('Metrics - Articles'!E139,"*Youth*")</f>
        <v>0</v>
      </c>
      <c r="E140">
        <f>COUNTIF('Metrics - Articles'!E139,"*Healthcare*")</f>
        <v>0</v>
      </c>
      <c r="F140">
        <f>COUNTIF('Metrics - Articles'!E139,"*Innovation")</f>
        <v>1</v>
      </c>
      <c r="G140">
        <f>COUNTIF('Metrics - Articles'!E139,"*Corporate*")</f>
        <v>0</v>
      </c>
      <c r="I140" s="53">
        <f t="shared" si="3"/>
        <v>1</v>
      </c>
    </row>
    <row r="141" spans="2:9" x14ac:dyDescent="0.25">
      <c r="B141" s="48">
        <f>+'Metrics - Articles'!C140</f>
        <v>42122</v>
      </c>
      <c r="C141">
        <f>COUNTIF('Metrics - Articles'!E140,"*Sports*")</f>
        <v>0</v>
      </c>
      <c r="D141">
        <f>COUNTIF('Metrics - Articles'!E140,"*Youth*")</f>
        <v>0</v>
      </c>
      <c r="E141">
        <f>COUNTIF('Metrics - Articles'!E140,"*Healthcare*")</f>
        <v>0</v>
      </c>
      <c r="F141">
        <f>COUNTIF('Metrics - Articles'!E140,"*Innovation")</f>
        <v>0</v>
      </c>
      <c r="G141">
        <f>COUNTIF('Metrics - Articles'!E140,"*Corporate*")</f>
        <v>1</v>
      </c>
      <c r="I141" s="53">
        <f t="shared" si="3"/>
        <v>1</v>
      </c>
    </row>
    <row r="142" spans="2:9" x14ac:dyDescent="0.25">
      <c r="B142" s="48">
        <f>+'Metrics - Articles'!C141</f>
        <v>42122</v>
      </c>
      <c r="C142">
        <f>COUNTIF('Metrics - Articles'!E141,"*Sports*")</f>
        <v>0</v>
      </c>
      <c r="D142">
        <f>COUNTIF('Metrics - Articles'!E141,"*Youth*")</f>
        <v>0</v>
      </c>
      <c r="E142">
        <f>COUNTIF('Metrics - Articles'!E141,"*Healthcare*")</f>
        <v>0</v>
      </c>
      <c r="F142">
        <f>COUNTIF('Metrics - Articles'!E141,"*Innovation")</f>
        <v>1</v>
      </c>
      <c r="G142">
        <f>COUNTIF('Metrics - Articles'!E141,"*Corporate*")</f>
        <v>0</v>
      </c>
      <c r="I142" s="53">
        <f t="shared" si="3"/>
        <v>1</v>
      </c>
    </row>
    <row r="143" spans="2:9" x14ac:dyDescent="0.25">
      <c r="B143" s="48">
        <f>+'Metrics - Articles'!C142</f>
        <v>42122</v>
      </c>
      <c r="C143">
        <f>COUNTIF('Metrics - Articles'!E142,"*Sports*")</f>
        <v>0</v>
      </c>
      <c r="D143">
        <f>COUNTIF('Metrics - Articles'!E142,"*Youth*")</f>
        <v>1</v>
      </c>
      <c r="E143">
        <f>COUNTIF('Metrics - Articles'!E142,"*Healthcare*")</f>
        <v>0</v>
      </c>
      <c r="F143">
        <f>COUNTIF('Metrics - Articles'!E142,"*Innovation")</f>
        <v>0</v>
      </c>
      <c r="G143">
        <f>COUNTIF('Metrics - Articles'!E142,"*Corporate*")</f>
        <v>0</v>
      </c>
      <c r="I143" s="53">
        <f t="shared" si="3"/>
        <v>1</v>
      </c>
    </row>
    <row r="144" spans="2:9" x14ac:dyDescent="0.25">
      <c r="B144" s="48">
        <f>+'Metrics - Articles'!C143</f>
        <v>42123</v>
      </c>
      <c r="C144">
        <f>COUNTIF('Metrics - Articles'!E143,"*Sports*")</f>
        <v>0</v>
      </c>
      <c r="D144">
        <f>COUNTIF('Metrics - Articles'!E143,"*Youth*")</f>
        <v>0</v>
      </c>
      <c r="E144">
        <f>COUNTIF('Metrics - Articles'!E143,"*Healthcare*")</f>
        <v>0</v>
      </c>
      <c r="F144">
        <f>COUNTIF('Metrics - Articles'!E143,"*Innovation")</f>
        <v>1</v>
      </c>
      <c r="G144">
        <f>COUNTIF('Metrics - Articles'!E143,"*Corporate*")</f>
        <v>0</v>
      </c>
      <c r="I144" s="53">
        <f t="shared" si="3"/>
        <v>1</v>
      </c>
    </row>
    <row r="145" spans="2:9" x14ac:dyDescent="0.25">
      <c r="B145" s="48">
        <f>+'Metrics - Articles'!C144</f>
        <v>42123</v>
      </c>
      <c r="C145">
        <f>COUNTIF('Metrics - Articles'!E144,"*Sports*")</f>
        <v>1</v>
      </c>
      <c r="D145">
        <f>COUNTIF('Metrics - Articles'!E144,"*Youth*")</f>
        <v>0</v>
      </c>
      <c r="E145">
        <f>COUNTIF('Metrics - Articles'!E144,"*Healthcare*")</f>
        <v>0</v>
      </c>
      <c r="F145">
        <f>COUNTIF('Metrics - Articles'!E144,"*Innovation")</f>
        <v>0</v>
      </c>
      <c r="G145">
        <f>COUNTIF('Metrics - Articles'!E144,"*Corporate*")</f>
        <v>0</v>
      </c>
      <c r="I145" s="53">
        <f t="shared" si="3"/>
        <v>1</v>
      </c>
    </row>
    <row r="146" spans="2:9" x14ac:dyDescent="0.25">
      <c r="B146" s="48">
        <f>+'Metrics - Articles'!C145</f>
        <v>42124</v>
      </c>
      <c r="C146">
        <f>COUNTIF('Metrics - Articles'!E145,"*Sports*")</f>
        <v>0</v>
      </c>
      <c r="D146">
        <f>COUNTIF('Metrics - Articles'!E145,"*Youth*")</f>
        <v>0</v>
      </c>
      <c r="E146">
        <f>COUNTIF('Metrics - Articles'!E145,"*Healthcare*")</f>
        <v>0</v>
      </c>
      <c r="F146">
        <f>COUNTIF('Metrics - Articles'!E145,"*Innovation")</f>
        <v>0</v>
      </c>
      <c r="G146">
        <f>COUNTIF('Metrics - Articles'!E145,"*Corporate*")</f>
        <v>1</v>
      </c>
      <c r="I146" s="53">
        <f t="shared" si="3"/>
        <v>1</v>
      </c>
    </row>
    <row r="147" spans="2:9" x14ac:dyDescent="0.25">
      <c r="B147" s="48">
        <f>+'Metrics - Articles'!C146</f>
        <v>42124</v>
      </c>
      <c r="C147">
        <f>COUNTIF('Metrics - Articles'!E146,"*Sports*")</f>
        <v>0</v>
      </c>
      <c r="D147">
        <f>COUNTIF('Metrics - Articles'!E146,"*Youth*")</f>
        <v>0</v>
      </c>
      <c r="E147">
        <f>COUNTIF('Metrics - Articles'!E146,"*Healthcare*")</f>
        <v>0</v>
      </c>
      <c r="F147">
        <f>COUNTIF('Metrics - Articles'!E146,"*Innovation")</f>
        <v>1</v>
      </c>
      <c r="G147">
        <f>COUNTIF('Metrics - Articles'!E146,"*Corporate*")</f>
        <v>0</v>
      </c>
      <c r="I147" s="53">
        <f t="shared" si="3"/>
        <v>1</v>
      </c>
    </row>
    <row r="148" spans="2:9" x14ac:dyDescent="0.25">
      <c r="B148" s="48">
        <f>+'Metrics - Articles'!C147</f>
        <v>42124</v>
      </c>
      <c r="C148">
        <f>COUNTIF('Metrics - Articles'!E147,"*Sports*")</f>
        <v>0</v>
      </c>
      <c r="D148">
        <f>COUNTIF('Metrics - Articles'!E147,"*Youth*")</f>
        <v>0</v>
      </c>
      <c r="E148">
        <f>COUNTIF('Metrics - Articles'!E147,"*Healthcare*")</f>
        <v>0</v>
      </c>
      <c r="F148">
        <f>COUNTIF('Metrics - Articles'!E147,"*Innovation")</f>
        <v>0</v>
      </c>
      <c r="G148">
        <f>COUNTIF('Metrics - Articles'!E147,"*Corporate*")</f>
        <v>1</v>
      </c>
      <c r="I148" s="53">
        <f t="shared" si="3"/>
        <v>1</v>
      </c>
    </row>
    <row r="149" spans="2:9" x14ac:dyDescent="0.25">
      <c r="B149" s="48">
        <f>+'Metrics - Articles'!C148</f>
        <v>42124</v>
      </c>
      <c r="C149">
        <f>COUNTIF('Metrics - Articles'!E148,"*Sports*")</f>
        <v>0</v>
      </c>
      <c r="D149">
        <f>COUNTIF('Metrics - Articles'!E148,"*Youth*")</f>
        <v>1</v>
      </c>
      <c r="E149">
        <f>COUNTIF('Metrics - Articles'!E148,"*Healthcare*")</f>
        <v>0</v>
      </c>
      <c r="F149">
        <f>COUNTIF('Metrics - Articles'!E148,"*Innovation")</f>
        <v>0</v>
      </c>
      <c r="G149">
        <f>COUNTIF('Metrics - Articles'!E148,"*Corporate*")</f>
        <v>0</v>
      </c>
      <c r="I149" s="53">
        <f t="shared" si="3"/>
        <v>1</v>
      </c>
    </row>
    <row r="150" spans="2:9" x14ac:dyDescent="0.25">
      <c r="B150" s="48">
        <f>+'Metrics - Articles'!C149</f>
        <v>42125</v>
      </c>
      <c r="C150">
        <f>COUNTIF('Metrics - Articles'!E149,"*Sports*")</f>
        <v>0</v>
      </c>
      <c r="D150">
        <f>COUNTIF('Metrics - Articles'!E149,"*Youth*")</f>
        <v>0</v>
      </c>
      <c r="E150">
        <f>COUNTIF('Metrics - Articles'!E149,"*Healthcare*")</f>
        <v>0</v>
      </c>
      <c r="F150">
        <f>COUNTIF('Metrics - Articles'!E149,"*Innovation")</f>
        <v>1</v>
      </c>
      <c r="G150">
        <f>COUNTIF('Metrics - Articles'!E149,"*Corporate*")</f>
        <v>0</v>
      </c>
      <c r="I150" s="53">
        <f t="shared" si="3"/>
        <v>1</v>
      </c>
    </row>
    <row r="151" spans="2:9" x14ac:dyDescent="0.25">
      <c r="B151" s="48">
        <f>+'Metrics - Articles'!C150</f>
        <v>42125</v>
      </c>
      <c r="C151">
        <f>COUNTIF('Metrics - Articles'!E150,"*Sports*")</f>
        <v>0</v>
      </c>
      <c r="D151">
        <f>COUNTIF('Metrics - Articles'!E150,"*Youth*")</f>
        <v>0</v>
      </c>
      <c r="E151">
        <f>COUNTIF('Metrics - Articles'!E150,"*Healthcare*")</f>
        <v>0</v>
      </c>
      <c r="F151">
        <f>COUNTIF('Metrics - Articles'!E150,"*Innovation")</f>
        <v>1</v>
      </c>
      <c r="G151">
        <f>COUNTIF('Metrics - Articles'!E150,"*Corporate*")</f>
        <v>0</v>
      </c>
      <c r="I151" s="53">
        <f t="shared" si="3"/>
        <v>1</v>
      </c>
    </row>
    <row r="152" spans="2:9" x14ac:dyDescent="0.25">
      <c r="B152" s="48">
        <f>+'Metrics - Articles'!C151</f>
        <v>42125</v>
      </c>
      <c r="C152">
        <f>COUNTIF('Metrics - Articles'!E151,"*Sports*")</f>
        <v>0</v>
      </c>
      <c r="D152">
        <f>COUNTIF('Metrics - Articles'!E151,"*Youth*")</f>
        <v>0</v>
      </c>
      <c r="E152">
        <f>COUNTIF('Metrics - Articles'!E151,"*Healthcare*")</f>
        <v>0</v>
      </c>
      <c r="F152">
        <f>COUNTIF('Metrics - Articles'!E151,"*Innovation")</f>
        <v>1</v>
      </c>
      <c r="G152">
        <f>COUNTIF('Metrics - Articles'!E151,"*Corporate*")</f>
        <v>0</v>
      </c>
      <c r="I152" s="53">
        <f t="shared" si="3"/>
        <v>1</v>
      </c>
    </row>
    <row r="153" spans="2:9" x14ac:dyDescent="0.25">
      <c r="B153" s="48">
        <f>+'Metrics - Articles'!C152</f>
        <v>42128</v>
      </c>
      <c r="C153">
        <f>COUNTIF('Metrics - Articles'!E152,"*Sports*")</f>
        <v>0</v>
      </c>
      <c r="D153">
        <f>COUNTIF('Metrics - Articles'!E152,"*Youth*")</f>
        <v>0</v>
      </c>
      <c r="E153">
        <f>COUNTIF('Metrics - Articles'!E152,"*Healthcare*")</f>
        <v>0</v>
      </c>
      <c r="F153">
        <f>COUNTIF('Metrics - Articles'!E152,"*Innovation")</f>
        <v>1</v>
      </c>
      <c r="G153">
        <f>COUNTIF('Metrics - Articles'!E152,"*Corporate*")</f>
        <v>0</v>
      </c>
      <c r="I153" s="53">
        <f t="shared" si="3"/>
        <v>1</v>
      </c>
    </row>
    <row r="154" spans="2:9" x14ac:dyDescent="0.25">
      <c r="B154" s="48">
        <f>+'Metrics - Articles'!C153</f>
        <v>42128</v>
      </c>
      <c r="C154">
        <f>COUNTIF('Metrics - Articles'!E153,"*Sports*")</f>
        <v>0</v>
      </c>
      <c r="D154">
        <f>COUNTIF('Metrics - Articles'!E153,"*Youth*")</f>
        <v>0</v>
      </c>
      <c r="E154">
        <f>COUNTIF('Metrics - Articles'!E153,"*Healthcare*")</f>
        <v>0</v>
      </c>
      <c r="F154">
        <f>COUNTIF('Metrics - Articles'!E153,"*Innovation")</f>
        <v>1</v>
      </c>
      <c r="G154">
        <f>COUNTIF('Metrics - Articles'!E153,"*Corporate*")</f>
        <v>0</v>
      </c>
      <c r="I154" s="53">
        <f t="shared" si="3"/>
        <v>1</v>
      </c>
    </row>
    <row r="155" spans="2:9" x14ac:dyDescent="0.25">
      <c r="B155" s="48">
        <f>+'Metrics - Articles'!C154</f>
        <v>42130</v>
      </c>
      <c r="C155">
        <f>COUNTIF('Metrics - Articles'!E154,"*Sports*")</f>
        <v>0</v>
      </c>
      <c r="D155">
        <f>COUNTIF('Metrics - Articles'!E154,"*Youth*")</f>
        <v>0</v>
      </c>
      <c r="E155">
        <f>COUNTIF('Metrics - Articles'!E154,"*Healthcare*")</f>
        <v>0</v>
      </c>
      <c r="F155">
        <f>COUNTIF('Metrics - Articles'!E154,"*Innovation")</f>
        <v>1</v>
      </c>
      <c r="G155">
        <f>COUNTIF('Metrics - Articles'!E154,"*Corporate*")</f>
        <v>0</v>
      </c>
      <c r="I155" s="53">
        <f t="shared" si="3"/>
        <v>1</v>
      </c>
    </row>
    <row r="156" spans="2:9" x14ac:dyDescent="0.25">
      <c r="B156" s="48">
        <f>+'Metrics - Articles'!C155</f>
        <v>42130</v>
      </c>
      <c r="C156">
        <f>COUNTIF('Metrics - Articles'!E155,"*Sports*")</f>
        <v>0</v>
      </c>
      <c r="D156">
        <f>COUNTIF('Metrics - Articles'!E155,"*Youth*")</f>
        <v>0</v>
      </c>
      <c r="E156">
        <f>COUNTIF('Metrics - Articles'!E155,"*Healthcare*")</f>
        <v>0</v>
      </c>
      <c r="F156">
        <f>COUNTIF('Metrics - Articles'!E155,"*Innovation")</f>
        <v>1</v>
      </c>
      <c r="G156">
        <f>COUNTIF('Metrics - Articles'!E155,"*Corporate*")</f>
        <v>0</v>
      </c>
      <c r="I156" s="53">
        <f t="shared" si="3"/>
        <v>1</v>
      </c>
    </row>
    <row r="157" spans="2:9" x14ac:dyDescent="0.25">
      <c r="B157" s="48">
        <f>+'Metrics - Articles'!C156</f>
        <v>42131</v>
      </c>
      <c r="C157">
        <f>COUNTIF('Metrics - Articles'!E156,"*Sports*")</f>
        <v>0</v>
      </c>
      <c r="D157">
        <f>COUNTIF('Metrics - Articles'!E156,"*Youth*")</f>
        <v>0</v>
      </c>
      <c r="E157">
        <f>COUNTIF('Metrics - Articles'!E156,"*Healthcare*")</f>
        <v>0</v>
      </c>
      <c r="F157">
        <f>COUNTIF('Metrics - Articles'!E156,"*Innovation")</f>
        <v>0</v>
      </c>
      <c r="G157">
        <f>COUNTIF('Metrics - Articles'!E156,"*Corporate*")</f>
        <v>1</v>
      </c>
      <c r="I157" s="53">
        <f t="shared" si="3"/>
        <v>1</v>
      </c>
    </row>
    <row r="158" spans="2:9" x14ac:dyDescent="0.25">
      <c r="B158" s="48">
        <f>+'Metrics - Articles'!C157</f>
        <v>42131</v>
      </c>
      <c r="C158">
        <f>COUNTIF('Metrics - Articles'!E157,"*Sports*")</f>
        <v>0</v>
      </c>
      <c r="D158">
        <f>COUNTIF('Metrics - Articles'!E157,"*Youth*")</f>
        <v>0</v>
      </c>
      <c r="E158">
        <f>COUNTIF('Metrics - Articles'!E157,"*Healthcare*")</f>
        <v>0</v>
      </c>
      <c r="F158">
        <f>COUNTIF('Metrics - Articles'!E157,"*Innovation")</f>
        <v>1</v>
      </c>
      <c r="G158">
        <f>COUNTIF('Metrics - Articles'!E157,"*Corporate*")</f>
        <v>0</v>
      </c>
      <c r="I158" s="53">
        <f t="shared" si="3"/>
        <v>1</v>
      </c>
    </row>
    <row r="159" spans="2:9" x14ac:dyDescent="0.25">
      <c r="B159" s="48">
        <f>+'Metrics - Articles'!C158</f>
        <v>42131</v>
      </c>
      <c r="C159">
        <f>COUNTIF('Metrics - Articles'!E158,"*Sports*")</f>
        <v>0</v>
      </c>
      <c r="D159">
        <f>COUNTIF('Metrics - Articles'!E158,"*Youth*")</f>
        <v>0</v>
      </c>
      <c r="E159">
        <f>COUNTIF('Metrics - Articles'!E158,"*Healthcare*")</f>
        <v>0</v>
      </c>
      <c r="F159">
        <f>COUNTIF('Metrics - Articles'!E158,"*Innovation")</f>
        <v>1</v>
      </c>
      <c r="G159">
        <f>COUNTIF('Metrics - Articles'!E158,"*Corporate*")</f>
        <v>0</v>
      </c>
      <c r="I159" s="53">
        <f t="shared" si="3"/>
        <v>1</v>
      </c>
    </row>
    <row r="160" spans="2:9" x14ac:dyDescent="0.25">
      <c r="B160" s="48">
        <f>+'Metrics - Articles'!C159</f>
        <v>42132</v>
      </c>
      <c r="C160">
        <f>COUNTIF('Metrics - Articles'!E159,"*Sports*")</f>
        <v>0</v>
      </c>
      <c r="D160">
        <f>COUNTIF('Metrics - Articles'!E159,"*Youth*")</f>
        <v>0</v>
      </c>
      <c r="E160">
        <f>COUNTIF('Metrics - Articles'!E159,"*Healthcare*")</f>
        <v>0</v>
      </c>
      <c r="F160">
        <f>COUNTIF('Metrics - Articles'!E159,"*Innovation")</f>
        <v>1</v>
      </c>
      <c r="G160">
        <f>COUNTIF('Metrics - Articles'!E159,"*Corporate*")</f>
        <v>0</v>
      </c>
      <c r="I160" s="53">
        <f t="shared" si="3"/>
        <v>1</v>
      </c>
    </row>
    <row r="161" spans="2:9" x14ac:dyDescent="0.25">
      <c r="B161" s="48">
        <f>+'Metrics - Articles'!C160</f>
        <v>42132</v>
      </c>
      <c r="C161">
        <f>COUNTIF('Metrics - Articles'!E160,"*Sports*")</f>
        <v>0</v>
      </c>
      <c r="D161">
        <f>COUNTIF('Metrics - Articles'!E160,"*Youth*")</f>
        <v>0</v>
      </c>
      <c r="E161">
        <f>COUNTIF('Metrics - Articles'!E160,"*Healthcare*")</f>
        <v>0</v>
      </c>
      <c r="F161">
        <f>COUNTIF('Metrics - Articles'!E160,"*Innovation")</f>
        <v>1</v>
      </c>
      <c r="G161">
        <f>COUNTIF('Metrics - Articles'!E160,"*Corporate*")</f>
        <v>0</v>
      </c>
      <c r="I161" s="53">
        <f t="shared" si="3"/>
        <v>1</v>
      </c>
    </row>
    <row r="162" spans="2:9" x14ac:dyDescent="0.25">
      <c r="B162" s="48">
        <f>+'Metrics - Articles'!C161</f>
        <v>42132</v>
      </c>
      <c r="C162">
        <f>COUNTIF('Metrics - Articles'!E161,"*Sports*")</f>
        <v>0</v>
      </c>
      <c r="D162">
        <f>COUNTIF('Metrics - Articles'!E161,"*Youth*")</f>
        <v>0</v>
      </c>
      <c r="E162">
        <f>COUNTIF('Metrics - Articles'!E161,"*Healthcare*")</f>
        <v>0</v>
      </c>
      <c r="F162">
        <f>COUNTIF('Metrics - Articles'!E161,"*Innovation")</f>
        <v>1</v>
      </c>
      <c r="G162">
        <f>COUNTIF('Metrics - Articles'!E161,"*Corporate*")</f>
        <v>0</v>
      </c>
      <c r="I162" s="53">
        <f t="shared" si="3"/>
        <v>1</v>
      </c>
    </row>
    <row r="163" spans="2:9" x14ac:dyDescent="0.25">
      <c r="B163" s="48">
        <f>+'Metrics - Articles'!C162</f>
        <v>42134</v>
      </c>
      <c r="C163">
        <f>COUNTIF('Metrics - Articles'!E162,"*Sports*")</f>
        <v>0</v>
      </c>
      <c r="D163">
        <f>COUNTIF('Metrics - Articles'!E162,"*Youth*")</f>
        <v>0</v>
      </c>
      <c r="E163">
        <f>COUNTIF('Metrics - Articles'!E162,"*Healthcare*")</f>
        <v>0</v>
      </c>
      <c r="F163">
        <f>COUNTIF('Metrics - Articles'!E162,"*Innovation")</f>
        <v>0</v>
      </c>
      <c r="G163">
        <f>COUNTIF('Metrics - Articles'!E162,"*Corporate*")</f>
        <v>1</v>
      </c>
      <c r="I163" s="53">
        <f t="shared" si="3"/>
        <v>1</v>
      </c>
    </row>
    <row r="164" spans="2:9" x14ac:dyDescent="0.25">
      <c r="B164" s="48">
        <f>+'Metrics - Articles'!C163</f>
        <v>42137</v>
      </c>
      <c r="C164">
        <f>COUNTIF('Metrics - Articles'!E163,"*Sports*")</f>
        <v>0</v>
      </c>
      <c r="D164">
        <f>COUNTIF('Metrics - Articles'!E163,"*Youth*")</f>
        <v>0</v>
      </c>
      <c r="E164">
        <f>COUNTIF('Metrics - Articles'!E163,"*Healthcare*")</f>
        <v>0</v>
      </c>
      <c r="F164">
        <f>COUNTIF('Metrics - Articles'!E163,"*Innovation")</f>
        <v>0</v>
      </c>
      <c r="G164">
        <f>COUNTIF('Metrics - Articles'!E163,"*Corporate*")</f>
        <v>1</v>
      </c>
      <c r="I164" s="53">
        <f t="shared" si="3"/>
        <v>1</v>
      </c>
    </row>
    <row r="165" spans="2:9" x14ac:dyDescent="0.25">
      <c r="B165" s="48">
        <f>+'Metrics - Articles'!C164</f>
        <v>42138</v>
      </c>
      <c r="C165">
        <f>COUNTIF('Metrics - Articles'!E164,"*Sports*")</f>
        <v>0</v>
      </c>
      <c r="D165">
        <f>COUNTIF('Metrics - Articles'!E164,"*Youth*")</f>
        <v>0</v>
      </c>
      <c r="E165">
        <f>COUNTIF('Metrics - Articles'!E164,"*Healthcare*")</f>
        <v>1</v>
      </c>
      <c r="F165">
        <f>COUNTIF('Metrics - Articles'!E164,"*Innovation")</f>
        <v>0</v>
      </c>
      <c r="G165">
        <f>COUNTIF('Metrics - Articles'!E164,"*Corporate*")</f>
        <v>0</v>
      </c>
      <c r="I165" s="53">
        <f t="shared" si="3"/>
        <v>1</v>
      </c>
    </row>
    <row r="166" spans="2:9" x14ac:dyDescent="0.25">
      <c r="B166" s="48">
        <f>+'Metrics - Articles'!C165</f>
        <v>42139</v>
      </c>
      <c r="C166">
        <f>COUNTIF('Metrics - Articles'!E165,"*Sports*")</f>
        <v>0</v>
      </c>
      <c r="D166">
        <f>COUNTIF('Metrics - Articles'!E165,"*Youth*")</f>
        <v>0</v>
      </c>
      <c r="E166">
        <f>COUNTIF('Metrics - Articles'!E165,"*Healthcare*")</f>
        <v>0</v>
      </c>
      <c r="F166">
        <f>COUNTIF('Metrics - Articles'!E165,"*Innovation")</f>
        <v>0</v>
      </c>
      <c r="G166">
        <f>COUNTIF('Metrics - Articles'!E165,"*Corporate*")</f>
        <v>1</v>
      </c>
      <c r="I166" s="53">
        <f t="shared" si="3"/>
        <v>1</v>
      </c>
    </row>
    <row r="167" spans="2:9" x14ac:dyDescent="0.25">
      <c r="B167" s="48">
        <f>+'Metrics - Articles'!C166</f>
        <v>42142</v>
      </c>
      <c r="C167">
        <f>COUNTIF('Metrics - Articles'!E166,"*Sports*")</f>
        <v>0</v>
      </c>
      <c r="D167">
        <f>COUNTIF('Metrics - Articles'!E166,"*Youth*")</f>
        <v>0</v>
      </c>
      <c r="E167">
        <f>COUNTIF('Metrics - Articles'!E166,"*Healthcare*")</f>
        <v>0</v>
      </c>
      <c r="F167">
        <f>COUNTIF('Metrics - Articles'!E166,"*Innovation")</f>
        <v>1</v>
      </c>
      <c r="G167">
        <f>COUNTIF('Metrics - Articles'!E166,"*Corporate*")</f>
        <v>0</v>
      </c>
      <c r="I167" s="53">
        <f t="shared" si="3"/>
        <v>1</v>
      </c>
    </row>
    <row r="168" spans="2:9" x14ac:dyDescent="0.25">
      <c r="B168" s="48">
        <f>+'Metrics - Articles'!C167</f>
        <v>42143</v>
      </c>
      <c r="C168">
        <f>COUNTIF('Metrics - Articles'!E167,"*Sports*")</f>
        <v>0</v>
      </c>
      <c r="D168">
        <f>COUNTIF('Metrics - Articles'!E167,"*Youth*")</f>
        <v>0</v>
      </c>
      <c r="E168">
        <f>COUNTIF('Metrics - Articles'!E167,"*Healthcare*")</f>
        <v>0</v>
      </c>
      <c r="F168">
        <f>COUNTIF('Metrics - Articles'!E167,"*Innovation")</f>
        <v>0</v>
      </c>
      <c r="G168">
        <f>COUNTIF('Metrics - Articles'!E167,"*Corporate*")</f>
        <v>1</v>
      </c>
      <c r="I168" s="53">
        <f t="shared" si="3"/>
        <v>1</v>
      </c>
    </row>
    <row r="169" spans="2:9" x14ac:dyDescent="0.25">
      <c r="B169" s="48">
        <f>+'Metrics - Articles'!C168</f>
        <v>42144</v>
      </c>
      <c r="C169">
        <f>COUNTIF('Metrics - Articles'!E168,"*Sports*")</f>
        <v>0</v>
      </c>
      <c r="D169">
        <f>COUNTIF('Metrics - Articles'!E168,"*Youth*")</f>
        <v>1</v>
      </c>
      <c r="E169">
        <f>COUNTIF('Metrics - Articles'!E168,"*Healthcare*")</f>
        <v>0</v>
      </c>
      <c r="F169">
        <f>COUNTIF('Metrics - Articles'!E168,"*Innovation")</f>
        <v>0</v>
      </c>
      <c r="G169">
        <f>COUNTIF('Metrics - Articles'!E168,"*Corporate*")</f>
        <v>0</v>
      </c>
      <c r="I169" s="53">
        <f t="shared" si="3"/>
        <v>1</v>
      </c>
    </row>
    <row r="170" spans="2:9" x14ac:dyDescent="0.25">
      <c r="B170" s="48">
        <f>+'Metrics - Articles'!C169</f>
        <v>42144</v>
      </c>
      <c r="C170">
        <f>COUNTIF('Metrics - Articles'!E169,"*Sports*")</f>
        <v>0</v>
      </c>
      <c r="D170">
        <f>COUNTIF('Metrics - Articles'!E169,"*Youth*")</f>
        <v>0</v>
      </c>
      <c r="E170">
        <f>COUNTIF('Metrics - Articles'!E169,"*Healthcare*")</f>
        <v>0</v>
      </c>
      <c r="F170">
        <f>COUNTIF('Metrics - Articles'!E169,"*Innovation")</f>
        <v>1</v>
      </c>
      <c r="G170">
        <f>COUNTIF('Metrics - Articles'!E169,"*Corporate*")</f>
        <v>0</v>
      </c>
      <c r="I170" s="53">
        <f t="shared" si="3"/>
        <v>1</v>
      </c>
    </row>
    <row r="171" spans="2:9" x14ac:dyDescent="0.25">
      <c r="B171" s="48">
        <f>+'Metrics - Articles'!C170</f>
        <v>42146</v>
      </c>
      <c r="C171">
        <f>COUNTIF('Metrics - Articles'!E170,"*Sports*")</f>
        <v>0</v>
      </c>
      <c r="D171">
        <f>COUNTIF('Metrics - Articles'!E170,"*Youth*")</f>
        <v>1</v>
      </c>
      <c r="E171">
        <f>COUNTIF('Metrics - Articles'!E170,"*Healthcare*")</f>
        <v>0</v>
      </c>
      <c r="F171">
        <f>COUNTIF('Metrics - Articles'!E170,"*Innovation")</f>
        <v>0</v>
      </c>
      <c r="G171">
        <f>COUNTIF('Metrics - Articles'!E170,"*Corporate*")</f>
        <v>0</v>
      </c>
      <c r="I171" s="53">
        <f t="shared" si="3"/>
        <v>1</v>
      </c>
    </row>
    <row r="172" spans="2:9" x14ac:dyDescent="0.25">
      <c r="B172" s="48">
        <f>+'Metrics - Articles'!C171</f>
        <v>42146</v>
      </c>
      <c r="C172">
        <f>COUNTIF('Metrics - Articles'!E171,"*Sports*")</f>
        <v>0</v>
      </c>
      <c r="D172">
        <f>COUNTIF('Metrics - Articles'!E171,"*Youth*")</f>
        <v>0</v>
      </c>
      <c r="E172">
        <f>COUNTIF('Metrics - Articles'!E171,"*Healthcare*")</f>
        <v>0</v>
      </c>
      <c r="F172">
        <f>COUNTIF('Metrics - Articles'!E171,"*Innovation")</f>
        <v>1</v>
      </c>
      <c r="G172">
        <f>COUNTIF('Metrics - Articles'!E171,"*Corporate*")</f>
        <v>0</v>
      </c>
      <c r="I172" s="53">
        <f t="shared" si="3"/>
        <v>1</v>
      </c>
    </row>
    <row r="173" spans="2:9" x14ac:dyDescent="0.25">
      <c r="B173" s="48">
        <f>+'Metrics - Articles'!C172</f>
        <v>42149</v>
      </c>
      <c r="C173">
        <f>COUNTIF('Metrics - Articles'!E172,"*Sports*")</f>
        <v>0</v>
      </c>
      <c r="D173">
        <f>COUNTIF('Metrics - Articles'!E172,"*Youth*")</f>
        <v>0</v>
      </c>
      <c r="E173">
        <f>COUNTIF('Metrics - Articles'!E172,"*Healthcare*")</f>
        <v>1</v>
      </c>
      <c r="F173">
        <f>COUNTIF('Metrics - Articles'!E172,"*Innovation")</f>
        <v>0</v>
      </c>
      <c r="G173">
        <f>COUNTIF('Metrics - Articles'!E172,"*Corporate*")</f>
        <v>0</v>
      </c>
      <c r="I173" s="53">
        <f t="shared" si="3"/>
        <v>1</v>
      </c>
    </row>
    <row r="174" spans="2:9" x14ac:dyDescent="0.25">
      <c r="B174" s="48">
        <f>+'Metrics - Articles'!C173</f>
        <v>42150</v>
      </c>
      <c r="C174">
        <f>COUNTIF('Metrics - Articles'!E173,"*Sports*")</f>
        <v>0</v>
      </c>
      <c r="D174">
        <f>COUNTIF('Metrics - Articles'!E173,"*Youth*")</f>
        <v>0</v>
      </c>
      <c r="E174">
        <f>COUNTIF('Metrics - Articles'!E173,"*Healthcare*")</f>
        <v>0</v>
      </c>
      <c r="F174">
        <f>COUNTIF('Metrics - Articles'!E173,"*Innovation")</f>
        <v>1</v>
      </c>
      <c r="G174">
        <f>COUNTIF('Metrics - Articles'!E173,"*Corporate*")</f>
        <v>0</v>
      </c>
      <c r="I174" s="53">
        <f t="shared" si="3"/>
        <v>1</v>
      </c>
    </row>
    <row r="175" spans="2:9" x14ac:dyDescent="0.25">
      <c r="B175" s="48">
        <f>+'Metrics - Articles'!C174</f>
        <v>42151</v>
      </c>
      <c r="C175">
        <f>COUNTIF('Metrics - Articles'!E174,"*Sports*")</f>
        <v>0</v>
      </c>
      <c r="D175">
        <f>COUNTIF('Metrics - Articles'!E174,"*Youth*")</f>
        <v>0</v>
      </c>
      <c r="E175">
        <f>COUNTIF('Metrics - Articles'!E174,"*Healthcare*")</f>
        <v>0</v>
      </c>
      <c r="F175">
        <f>COUNTIF('Metrics - Articles'!E174,"*Innovation")</f>
        <v>0</v>
      </c>
      <c r="G175">
        <f>COUNTIF('Metrics - Articles'!E174,"*Corporate*")</f>
        <v>1</v>
      </c>
      <c r="I175" s="53">
        <f t="shared" si="3"/>
        <v>1</v>
      </c>
    </row>
    <row r="176" spans="2:9" x14ac:dyDescent="0.25">
      <c r="B176" s="48">
        <f>+'Metrics - Articles'!C175</f>
        <v>42151</v>
      </c>
      <c r="C176">
        <f>COUNTIF('Metrics - Articles'!E175,"*Sports*")</f>
        <v>0</v>
      </c>
      <c r="D176">
        <f>COUNTIF('Metrics - Articles'!E175,"*Youth*")</f>
        <v>0</v>
      </c>
      <c r="E176">
        <f>COUNTIF('Metrics - Articles'!E175,"*Healthcare*")</f>
        <v>0</v>
      </c>
      <c r="F176">
        <f>COUNTIF('Metrics - Articles'!E175,"*Innovation")</f>
        <v>1</v>
      </c>
      <c r="G176">
        <f>COUNTIF('Metrics - Articles'!E175,"*Corporate*")</f>
        <v>0</v>
      </c>
      <c r="I176" s="53">
        <f t="shared" si="3"/>
        <v>1</v>
      </c>
    </row>
    <row r="177" spans="2:9" x14ac:dyDescent="0.25">
      <c r="B177" s="48">
        <f>+'Metrics - Articles'!C176</f>
        <v>42151</v>
      </c>
      <c r="C177">
        <f>COUNTIF('Metrics - Articles'!E176,"*Sports*")</f>
        <v>0</v>
      </c>
      <c r="D177">
        <f>COUNTIF('Metrics - Articles'!E176,"*Youth*")</f>
        <v>0</v>
      </c>
      <c r="E177">
        <f>COUNTIF('Metrics - Articles'!E176,"*Healthcare*")</f>
        <v>0</v>
      </c>
      <c r="F177">
        <f>COUNTIF('Metrics - Articles'!E176,"*Innovation")</f>
        <v>1</v>
      </c>
      <c r="G177">
        <f>COUNTIF('Metrics - Articles'!E176,"*Corporate*")</f>
        <v>0</v>
      </c>
      <c r="I177" s="53">
        <f t="shared" si="3"/>
        <v>1</v>
      </c>
    </row>
    <row r="178" spans="2:9" x14ac:dyDescent="0.25">
      <c r="B178" s="48">
        <f>+'Metrics - Articles'!C177</f>
        <v>42152</v>
      </c>
      <c r="C178">
        <f>COUNTIF('Metrics - Articles'!E177,"*Sports*")</f>
        <v>0</v>
      </c>
      <c r="D178">
        <f>COUNTIF('Metrics - Articles'!E177,"*Youth*")</f>
        <v>0</v>
      </c>
      <c r="E178">
        <f>COUNTIF('Metrics - Articles'!E177,"*Healthcare*")</f>
        <v>0</v>
      </c>
      <c r="F178">
        <f>COUNTIF('Metrics - Articles'!E177,"*Innovation")</f>
        <v>0</v>
      </c>
      <c r="G178">
        <f>COUNTIF('Metrics - Articles'!E177,"*Corporate*")</f>
        <v>1</v>
      </c>
      <c r="I178" s="53">
        <f t="shared" si="3"/>
        <v>1</v>
      </c>
    </row>
    <row r="179" spans="2:9" x14ac:dyDescent="0.25">
      <c r="B179" s="48">
        <f>+'Metrics - Articles'!C178</f>
        <v>42153</v>
      </c>
      <c r="C179">
        <f>COUNTIF('Metrics - Articles'!E178,"*Sports*")</f>
        <v>0</v>
      </c>
      <c r="D179">
        <f>COUNTIF('Metrics - Articles'!E178,"*Youth*")</f>
        <v>0</v>
      </c>
      <c r="E179">
        <f>COUNTIF('Metrics - Articles'!E178,"*Healthcare*")</f>
        <v>0</v>
      </c>
      <c r="F179">
        <f>COUNTIF('Metrics - Articles'!E178,"*Innovation")</f>
        <v>0</v>
      </c>
      <c r="G179">
        <f>COUNTIF('Metrics - Articles'!E178,"*Corporate*")</f>
        <v>1</v>
      </c>
      <c r="I179" s="53">
        <f t="shared" si="3"/>
        <v>1</v>
      </c>
    </row>
    <row r="180" spans="2:9" x14ac:dyDescent="0.25">
      <c r="B180" s="48">
        <f>+'Metrics - Articles'!C179</f>
        <v>42153</v>
      </c>
      <c r="C180">
        <f>COUNTIF('Metrics - Articles'!E179,"*Sports*")</f>
        <v>0</v>
      </c>
      <c r="D180">
        <f>COUNTIF('Metrics - Articles'!E179,"*Youth*")</f>
        <v>1</v>
      </c>
      <c r="E180">
        <f>COUNTIF('Metrics - Articles'!E179,"*Healthcare*")</f>
        <v>0</v>
      </c>
      <c r="F180">
        <f>COUNTIF('Metrics - Articles'!E179,"*Innovation")</f>
        <v>0</v>
      </c>
      <c r="G180">
        <f>COUNTIF('Metrics - Articles'!E179,"*Corporate*")</f>
        <v>0</v>
      </c>
      <c r="I180" s="53">
        <f t="shared" si="3"/>
        <v>1</v>
      </c>
    </row>
    <row r="181" spans="2:9" x14ac:dyDescent="0.25">
      <c r="B181" s="48">
        <f>+'Metrics - Articles'!C180</f>
        <v>42153</v>
      </c>
      <c r="C181">
        <f>COUNTIF('Metrics - Articles'!E180,"*Sports*")</f>
        <v>1</v>
      </c>
      <c r="D181">
        <f>COUNTIF('Metrics - Articles'!E180,"*Youth*")</f>
        <v>0</v>
      </c>
      <c r="E181">
        <f>COUNTIF('Metrics - Articles'!E180,"*Healthcare*")</f>
        <v>0</v>
      </c>
      <c r="F181">
        <f>COUNTIF('Metrics - Articles'!E180,"*Innovation")</f>
        <v>0</v>
      </c>
      <c r="G181">
        <f>COUNTIF('Metrics - Articles'!E180,"*Corporate*")</f>
        <v>0</v>
      </c>
      <c r="I181" s="53">
        <f t="shared" si="3"/>
        <v>1</v>
      </c>
    </row>
    <row r="182" spans="2:9" x14ac:dyDescent="0.25">
      <c r="B182" s="48">
        <f>+'Metrics - Articles'!C181</f>
        <v>42156</v>
      </c>
      <c r="C182">
        <f>COUNTIF('Metrics - Articles'!E181,"*Sports*")</f>
        <v>0</v>
      </c>
      <c r="D182">
        <f>COUNTIF('Metrics - Articles'!E181,"*Youth*")</f>
        <v>0</v>
      </c>
      <c r="E182">
        <f>COUNTIF('Metrics - Articles'!E181,"*Healthcare*")</f>
        <v>0</v>
      </c>
      <c r="F182">
        <f>COUNTIF('Metrics - Articles'!E181,"*Innovation")</f>
        <v>1</v>
      </c>
      <c r="G182">
        <f>COUNTIF('Metrics - Articles'!E181,"*Corporate*")</f>
        <v>0</v>
      </c>
      <c r="I182" s="53">
        <f t="shared" si="3"/>
        <v>1</v>
      </c>
    </row>
    <row r="183" spans="2:9" x14ac:dyDescent="0.25">
      <c r="B183" s="48">
        <f>+'Metrics - Articles'!C182</f>
        <v>42157</v>
      </c>
      <c r="C183">
        <f>COUNTIF('Metrics - Articles'!E182,"*Sports*")</f>
        <v>0</v>
      </c>
      <c r="D183">
        <f>COUNTIF('Metrics - Articles'!E182,"*Youth*")</f>
        <v>0</v>
      </c>
      <c r="E183">
        <f>COUNTIF('Metrics - Articles'!E182,"*Healthcare*")</f>
        <v>0</v>
      </c>
      <c r="F183">
        <f>COUNTIF('Metrics - Articles'!E182,"*Innovation")</f>
        <v>1</v>
      </c>
      <c r="G183">
        <f>COUNTIF('Metrics - Articles'!E182,"*Corporate*")</f>
        <v>0</v>
      </c>
      <c r="I183" s="53">
        <f t="shared" si="3"/>
        <v>1</v>
      </c>
    </row>
    <row r="184" spans="2:9" x14ac:dyDescent="0.25">
      <c r="B184" s="48">
        <f>+'Metrics - Articles'!C183</f>
        <v>42157</v>
      </c>
      <c r="C184">
        <f>COUNTIF('Metrics - Articles'!E183,"*Sports*")</f>
        <v>0</v>
      </c>
      <c r="D184">
        <f>COUNTIF('Metrics - Articles'!E183,"*Youth*")</f>
        <v>0</v>
      </c>
      <c r="E184">
        <f>COUNTIF('Metrics - Articles'!E183,"*Healthcare*")</f>
        <v>0</v>
      </c>
      <c r="F184">
        <f>COUNTIF('Metrics - Articles'!E183,"*Innovation")</f>
        <v>0</v>
      </c>
      <c r="G184">
        <f>COUNTIF('Metrics - Articles'!E183,"*Corporate*")</f>
        <v>1</v>
      </c>
      <c r="I184" s="53">
        <f t="shared" si="3"/>
        <v>1</v>
      </c>
    </row>
    <row r="185" spans="2:9" x14ac:dyDescent="0.25">
      <c r="B185" s="48">
        <f>+'Metrics - Articles'!C184</f>
        <v>42158</v>
      </c>
      <c r="C185">
        <f>COUNTIF('Metrics - Articles'!E184,"*Sports*")</f>
        <v>0</v>
      </c>
      <c r="D185">
        <f>COUNTIF('Metrics - Articles'!E184,"*Youth*")</f>
        <v>0</v>
      </c>
      <c r="E185">
        <f>COUNTIF('Metrics - Articles'!E184,"*Healthcare*")</f>
        <v>1</v>
      </c>
      <c r="F185">
        <f>COUNTIF('Metrics - Articles'!E184,"*Innovation")</f>
        <v>0</v>
      </c>
      <c r="G185">
        <f>COUNTIF('Metrics - Articles'!E184,"*Corporate*")</f>
        <v>0</v>
      </c>
      <c r="I185" s="53">
        <f t="shared" si="3"/>
        <v>1</v>
      </c>
    </row>
    <row r="186" spans="2:9" x14ac:dyDescent="0.25">
      <c r="B186" s="48">
        <f>+'Metrics - Articles'!C185</f>
        <v>42158</v>
      </c>
      <c r="C186">
        <f>COUNTIF('Metrics - Articles'!E185,"*Sports*")</f>
        <v>0</v>
      </c>
      <c r="D186">
        <f>COUNTIF('Metrics - Articles'!E185,"*Youth*")</f>
        <v>0</v>
      </c>
      <c r="E186">
        <f>COUNTIF('Metrics - Articles'!E185,"*Healthcare*")</f>
        <v>0</v>
      </c>
      <c r="F186">
        <f>COUNTIF('Metrics - Articles'!E185,"*Innovation")</f>
        <v>1</v>
      </c>
      <c r="G186">
        <f>COUNTIF('Metrics - Articles'!E185,"*Corporate*")</f>
        <v>0</v>
      </c>
      <c r="I186" s="53">
        <f t="shared" si="3"/>
        <v>1</v>
      </c>
    </row>
    <row r="187" spans="2:9" x14ac:dyDescent="0.25">
      <c r="B187" s="48">
        <f>+'Metrics - Articles'!C186</f>
        <v>42158</v>
      </c>
      <c r="C187">
        <f>COUNTIF('Metrics - Articles'!E186,"*Sports*")</f>
        <v>0</v>
      </c>
      <c r="D187">
        <f>COUNTIF('Metrics - Articles'!E186,"*Youth*")</f>
        <v>0</v>
      </c>
      <c r="E187">
        <f>COUNTIF('Metrics - Articles'!E186,"*Healthcare*")</f>
        <v>0</v>
      </c>
      <c r="F187">
        <f>COUNTIF('Metrics - Articles'!E186,"*Innovation")</f>
        <v>1</v>
      </c>
      <c r="G187">
        <f>COUNTIF('Metrics - Articles'!E186,"*Corporate*")</f>
        <v>0</v>
      </c>
      <c r="I187" s="53">
        <f t="shared" si="3"/>
        <v>1</v>
      </c>
    </row>
    <row r="188" spans="2:9" x14ac:dyDescent="0.25">
      <c r="B188" s="48">
        <f>+'Metrics - Articles'!C187</f>
        <v>42159</v>
      </c>
      <c r="C188">
        <f>COUNTIF('Metrics - Articles'!E187,"*Sports*")</f>
        <v>0</v>
      </c>
      <c r="D188">
        <f>COUNTIF('Metrics - Articles'!E187,"*Youth*")</f>
        <v>0</v>
      </c>
      <c r="E188">
        <f>COUNTIF('Metrics - Articles'!E187,"*Healthcare*")</f>
        <v>0</v>
      </c>
      <c r="F188">
        <f>COUNTIF('Metrics - Articles'!E187,"*Innovation")</f>
        <v>0</v>
      </c>
      <c r="G188">
        <f>COUNTIF('Metrics - Articles'!E187,"*Corporate*")</f>
        <v>1</v>
      </c>
      <c r="I188" s="53">
        <f t="shared" si="3"/>
        <v>1</v>
      </c>
    </row>
    <row r="189" spans="2:9" x14ac:dyDescent="0.25">
      <c r="B189" s="48">
        <f>+'Metrics - Articles'!C188</f>
        <v>42163</v>
      </c>
      <c r="C189">
        <f>COUNTIF('Metrics - Articles'!E188,"*Sports*")</f>
        <v>0</v>
      </c>
      <c r="D189">
        <f>COUNTIF('Metrics - Articles'!E188,"*Youth*")</f>
        <v>0</v>
      </c>
      <c r="E189">
        <f>COUNTIF('Metrics - Articles'!E188,"*Healthcare*")</f>
        <v>0</v>
      </c>
      <c r="F189">
        <f>COUNTIF('Metrics - Articles'!E188,"*Innovation")</f>
        <v>0</v>
      </c>
      <c r="G189">
        <f>COUNTIF('Metrics - Articles'!E188,"*Corporate*")</f>
        <v>1</v>
      </c>
      <c r="I189" s="53">
        <f t="shared" si="3"/>
        <v>1</v>
      </c>
    </row>
    <row r="190" spans="2:9" x14ac:dyDescent="0.25">
      <c r="B190" s="48">
        <f>+'Metrics - Articles'!C189</f>
        <v>42164</v>
      </c>
      <c r="C190">
        <f>COUNTIF('Metrics - Articles'!E189,"*Sports*")</f>
        <v>0</v>
      </c>
      <c r="D190">
        <f>COUNTIF('Metrics - Articles'!E189,"*Youth*")</f>
        <v>0</v>
      </c>
      <c r="E190">
        <f>COUNTIF('Metrics - Articles'!E189,"*Healthcare*")</f>
        <v>0</v>
      </c>
      <c r="F190">
        <f>COUNTIF('Metrics - Articles'!E189,"*Innovation")</f>
        <v>1</v>
      </c>
      <c r="G190">
        <f>COUNTIF('Metrics - Articles'!E189,"*Corporate*")</f>
        <v>0</v>
      </c>
      <c r="I190" s="53">
        <f t="shared" si="3"/>
        <v>1</v>
      </c>
    </row>
    <row r="191" spans="2:9" x14ac:dyDescent="0.25">
      <c r="B191" s="48">
        <f>+'Metrics - Articles'!C190</f>
        <v>42164</v>
      </c>
      <c r="C191">
        <f>COUNTIF('Metrics - Articles'!E190,"*Sports*")</f>
        <v>0</v>
      </c>
      <c r="D191">
        <f>COUNTIF('Metrics - Articles'!E190,"*Youth*")</f>
        <v>0</v>
      </c>
      <c r="E191">
        <f>COUNTIF('Metrics - Articles'!E190,"*Healthcare*")</f>
        <v>0</v>
      </c>
      <c r="F191">
        <f>COUNTIF('Metrics - Articles'!E190,"*Innovation")</f>
        <v>1</v>
      </c>
      <c r="G191">
        <f>COUNTIF('Metrics - Articles'!E190,"*Corporate*")</f>
        <v>0</v>
      </c>
      <c r="I191" s="53">
        <f t="shared" si="3"/>
        <v>1</v>
      </c>
    </row>
    <row r="192" spans="2:9" x14ac:dyDescent="0.25">
      <c r="B192" s="48">
        <f>+'Metrics - Articles'!C191</f>
        <v>42164</v>
      </c>
      <c r="C192">
        <f>COUNTIF('Metrics - Articles'!E191,"*Sports*")</f>
        <v>0</v>
      </c>
      <c r="D192">
        <f>COUNTIF('Metrics - Articles'!E191,"*Youth*")</f>
        <v>0</v>
      </c>
      <c r="E192">
        <f>COUNTIF('Metrics - Articles'!E191,"*Healthcare*")</f>
        <v>0</v>
      </c>
      <c r="F192">
        <f>COUNTIF('Metrics - Articles'!E191,"*Innovation")</f>
        <v>0</v>
      </c>
      <c r="G192">
        <f>COUNTIF('Metrics - Articles'!E191,"*Corporate*")</f>
        <v>1</v>
      </c>
      <c r="I192" s="53">
        <f t="shared" si="3"/>
        <v>1</v>
      </c>
    </row>
    <row r="193" spans="2:9" x14ac:dyDescent="0.25">
      <c r="B193" s="48">
        <f>+'Metrics - Articles'!C192</f>
        <v>42165</v>
      </c>
      <c r="C193">
        <f>COUNTIF('Metrics - Articles'!E192,"*Sports*")</f>
        <v>0</v>
      </c>
      <c r="D193">
        <f>COUNTIF('Metrics - Articles'!E192,"*Youth*")</f>
        <v>0</v>
      </c>
      <c r="E193">
        <f>COUNTIF('Metrics - Articles'!E192,"*Healthcare*")</f>
        <v>0</v>
      </c>
      <c r="F193">
        <f>COUNTIF('Metrics - Articles'!E192,"*Innovation")</f>
        <v>1</v>
      </c>
      <c r="G193">
        <f>COUNTIF('Metrics - Articles'!E192,"*Corporate*")</f>
        <v>0</v>
      </c>
      <c r="I193" s="53">
        <f t="shared" si="3"/>
        <v>1</v>
      </c>
    </row>
    <row r="194" spans="2:9" x14ac:dyDescent="0.25">
      <c r="B194" s="48">
        <f>+'Metrics - Articles'!C193</f>
        <v>42165</v>
      </c>
      <c r="C194">
        <f>COUNTIF('Metrics - Articles'!E193,"*Sports*")</f>
        <v>0</v>
      </c>
      <c r="D194">
        <f>COUNTIF('Metrics - Articles'!E193,"*Youth*")</f>
        <v>0</v>
      </c>
      <c r="E194">
        <f>COUNTIF('Metrics - Articles'!E193,"*Healthcare*")</f>
        <v>0</v>
      </c>
      <c r="F194">
        <f>COUNTIF('Metrics - Articles'!E193,"*Innovation")</f>
        <v>1</v>
      </c>
      <c r="G194">
        <f>COUNTIF('Metrics - Articles'!E193,"*Corporate*")</f>
        <v>0</v>
      </c>
      <c r="I194" s="53">
        <f t="shared" si="3"/>
        <v>1</v>
      </c>
    </row>
    <row r="195" spans="2:9" x14ac:dyDescent="0.25">
      <c r="B195" s="48">
        <f>+'Metrics - Articles'!C194</f>
        <v>42166</v>
      </c>
      <c r="C195">
        <f>COUNTIF('Metrics - Articles'!E194,"*Sports*")</f>
        <v>0</v>
      </c>
      <c r="D195">
        <f>COUNTIF('Metrics - Articles'!E194,"*Youth*")</f>
        <v>0</v>
      </c>
      <c r="E195">
        <f>COUNTIF('Metrics - Articles'!E194,"*Healthcare*")</f>
        <v>0</v>
      </c>
      <c r="F195">
        <f>COUNTIF('Metrics - Articles'!E194,"*Innovation")</f>
        <v>0</v>
      </c>
      <c r="G195">
        <f>COUNTIF('Metrics - Articles'!E194,"*Corporate*")</f>
        <v>1</v>
      </c>
      <c r="I195" s="53">
        <f t="shared" si="3"/>
        <v>1</v>
      </c>
    </row>
    <row r="196" spans="2:9" x14ac:dyDescent="0.25">
      <c r="B196" s="48">
        <f>+'Metrics - Articles'!C195</f>
        <v>42166</v>
      </c>
      <c r="C196">
        <f>COUNTIF('Metrics - Articles'!E195,"*Sports*")</f>
        <v>0</v>
      </c>
      <c r="D196">
        <f>COUNTIF('Metrics - Articles'!E195,"*Youth*")</f>
        <v>0</v>
      </c>
      <c r="E196">
        <f>COUNTIF('Metrics - Articles'!E195,"*Healthcare*")</f>
        <v>0</v>
      </c>
      <c r="F196">
        <f>COUNTIF('Metrics - Articles'!E195,"*Innovation")</f>
        <v>0</v>
      </c>
      <c r="G196">
        <f>COUNTIF('Metrics - Articles'!E195,"*Corporate*")</f>
        <v>1</v>
      </c>
      <c r="I196" s="53">
        <f t="shared" si="3"/>
        <v>1</v>
      </c>
    </row>
    <row r="197" spans="2:9" x14ac:dyDescent="0.25">
      <c r="B197" s="48">
        <f>+'Metrics - Articles'!C196</f>
        <v>42170</v>
      </c>
      <c r="C197">
        <f>COUNTIF('Metrics - Articles'!E196,"*Sports*")</f>
        <v>0</v>
      </c>
      <c r="D197">
        <f>COUNTIF('Metrics - Articles'!E196,"*Youth*")</f>
        <v>0</v>
      </c>
      <c r="E197">
        <f>COUNTIF('Metrics - Articles'!E196,"*Healthcare*")</f>
        <v>0</v>
      </c>
      <c r="F197">
        <f>COUNTIF('Metrics - Articles'!E196,"*Innovation")</f>
        <v>1</v>
      </c>
      <c r="G197">
        <f>COUNTIF('Metrics - Articles'!E196,"*Corporate*")</f>
        <v>0</v>
      </c>
      <c r="I197" s="53">
        <f t="shared" si="3"/>
        <v>1</v>
      </c>
    </row>
    <row r="198" spans="2:9" x14ac:dyDescent="0.25">
      <c r="B198" s="48">
        <f>+'Metrics - Articles'!C197</f>
        <v>42170</v>
      </c>
      <c r="C198">
        <f>COUNTIF('Metrics - Articles'!E197,"*Sports*")</f>
        <v>0</v>
      </c>
      <c r="D198">
        <f>COUNTIF('Metrics - Articles'!E197,"*Youth*")</f>
        <v>0</v>
      </c>
      <c r="E198">
        <f>COUNTIF('Metrics - Articles'!E197,"*Healthcare*")</f>
        <v>0</v>
      </c>
      <c r="F198">
        <f>COUNTIF('Metrics - Articles'!E197,"*Innovation")</f>
        <v>1</v>
      </c>
      <c r="G198">
        <f>COUNTIF('Metrics - Articles'!E197,"*Corporate*")</f>
        <v>0</v>
      </c>
      <c r="I198" s="53">
        <f t="shared" si="3"/>
        <v>1</v>
      </c>
    </row>
    <row r="199" spans="2:9" x14ac:dyDescent="0.25">
      <c r="B199" s="48">
        <f>+'Metrics - Articles'!C198</f>
        <v>42171</v>
      </c>
      <c r="C199">
        <f>COUNTIF('Metrics - Articles'!E198,"*Sports*")</f>
        <v>0</v>
      </c>
      <c r="D199">
        <f>COUNTIF('Metrics - Articles'!E198,"*Youth*")</f>
        <v>1</v>
      </c>
      <c r="E199">
        <f>COUNTIF('Metrics - Articles'!E198,"*Healthcare*")</f>
        <v>0</v>
      </c>
      <c r="F199">
        <f>COUNTIF('Metrics - Articles'!E198,"*Innovation")</f>
        <v>0</v>
      </c>
      <c r="G199">
        <f>COUNTIF('Metrics - Articles'!E198,"*Corporate*")</f>
        <v>0</v>
      </c>
      <c r="I199" s="53">
        <f t="shared" si="3"/>
        <v>1</v>
      </c>
    </row>
    <row r="200" spans="2:9" x14ac:dyDescent="0.25">
      <c r="B200" s="48">
        <f>+'Metrics - Articles'!C199</f>
        <v>42171</v>
      </c>
      <c r="C200">
        <f>COUNTIF('Metrics - Articles'!E199,"*Sports*")</f>
        <v>0</v>
      </c>
      <c r="D200">
        <f>COUNTIF('Metrics - Articles'!E199,"*Youth*")</f>
        <v>1</v>
      </c>
      <c r="E200">
        <f>COUNTIF('Metrics - Articles'!E199,"*Healthcare*")</f>
        <v>0</v>
      </c>
      <c r="F200">
        <f>COUNTIF('Metrics - Articles'!E199,"*Innovation")</f>
        <v>0</v>
      </c>
      <c r="G200">
        <f>COUNTIF('Metrics - Articles'!E199,"*Corporate*")</f>
        <v>0</v>
      </c>
      <c r="I200" s="53">
        <f t="shared" ref="I200:I263" si="4">SUM(C200:H200)</f>
        <v>1</v>
      </c>
    </row>
    <row r="201" spans="2:9" x14ac:dyDescent="0.25">
      <c r="B201" s="48">
        <f>+'Metrics - Articles'!C200</f>
        <v>42172</v>
      </c>
      <c r="C201">
        <f>COUNTIF('Metrics - Articles'!E200,"*Sports*")</f>
        <v>0</v>
      </c>
      <c r="D201">
        <f>COUNTIF('Metrics - Articles'!E200,"*Youth*")</f>
        <v>0</v>
      </c>
      <c r="E201">
        <f>COUNTIF('Metrics - Articles'!E200,"*Healthcare*")</f>
        <v>0</v>
      </c>
      <c r="F201">
        <f>COUNTIF('Metrics - Articles'!E200,"*Innovation")</f>
        <v>1</v>
      </c>
      <c r="G201">
        <f>COUNTIF('Metrics - Articles'!E200,"*Corporate*")</f>
        <v>0</v>
      </c>
      <c r="I201" s="53">
        <f t="shared" si="4"/>
        <v>1</v>
      </c>
    </row>
    <row r="202" spans="2:9" x14ac:dyDescent="0.25">
      <c r="B202" s="48">
        <f>+'Metrics - Articles'!C201</f>
        <v>42172</v>
      </c>
      <c r="C202">
        <f>COUNTIF('Metrics - Articles'!E201,"*Sports*")</f>
        <v>0</v>
      </c>
      <c r="D202">
        <f>COUNTIF('Metrics - Articles'!E201,"*Youth*")</f>
        <v>0</v>
      </c>
      <c r="E202">
        <f>COUNTIF('Metrics - Articles'!E201,"*Healthcare*")</f>
        <v>0</v>
      </c>
      <c r="F202">
        <f>COUNTIF('Metrics - Articles'!E201,"*Innovation")</f>
        <v>0</v>
      </c>
      <c r="G202">
        <f>COUNTIF('Metrics - Articles'!E201,"*Corporate*")</f>
        <v>1</v>
      </c>
      <c r="I202" s="53">
        <f t="shared" si="4"/>
        <v>1</v>
      </c>
    </row>
    <row r="203" spans="2:9" x14ac:dyDescent="0.25">
      <c r="B203" s="48">
        <f>+'Metrics - Articles'!C202</f>
        <v>42173</v>
      </c>
      <c r="C203">
        <f>COUNTIF('Metrics - Articles'!E202,"*Sports*")</f>
        <v>0</v>
      </c>
      <c r="D203">
        <f>COUNTIF('Metrics - Articles'!E202,"*Youth*")</f>
        <v>0</v>
      </c>
      <c r="E203">
        <f>COUNTIF('Metrics - Articles'!E202,"*Healthcare*")</f>
        <v>0</v>
      </c>
      <c r="F203">
        <f>COUNTIF('Metrics - Articles'!E202,"*Innovation")</f>
        <v>1</v>
      </c>
      <c r="G203">
        <f>COUNTIF('Metrics - Articles'!E202,"*Corporate*")</f>
        <v>0</v>
      </c>
      <c r="I203" s="53">
        <f t="shared" si="4"/>
        <v>1</v>
      </c>
    </row>
    <row r="204" spans="2:9" x14ac:dyDescent="0.25">
      <c r="B204" s="48">
        <f>+'Metrics - Articles'!C203</f>
        <v>42177</v>
      </c>
      <c r="C204">
        <f>COUNTIF('Metrics - Articles'!E203,"*Sports*")</f>
        <v>0</v>
      </c>
      <c r="D204">
        <f>COUNTIF('Metrics - Articles'!E203,"*Youth*")</f>
        <v>0</v>
      </c>
      <c r="E204">
        <f>COUNTIF('Metrics - Articles'!E203,"*Healthcare*")</f>
        <v>0</v>
      </c>
      <c r="F204">
        <f>COUNTIF('Metrics - Articles'!E203,"*Innovation")</f>
        <v>0</v>
      </c>
      <c r="G204">
        <f>COUNTIF('Metrics - Articles'!E203,"*Corporate*")</f>
        <v>1</v>
      </c>
      <c r="I204" s="53">
        <f t="shared" si="4"/>
        <v>1</v>
      </c>
    </row>
    <row r="205" spans="2:9" x14ac:dyDescent="0.25">
      <c r="B205" s="48">
        <f>+'Metrics - Articles'!C204</f>
        <v>42178</v>
      </c>
      <c r="C205">
        <f>COUNTIF('Metrics - Articles'!E204,"*Sports*")</f>
        <v>0</v>
      </c>
      <c r="D205">
        <f>COUNTIF('Metrics - Articles'!E204,"*Youth*")</f>
        <v>0</v>
      </c>
      <c r="E205">
        <f>COUNTIF('Metrics - Articles'!E204,"*Healthcare*")</f>
        <v>0</v>
      </c>
      <c r="F205">
        <f>COUNTIF('Metrics - Articles'!E204,"*Innovation")</f>
        <v>0</v>
      </c>
      <c r="G205">
        <f>COUNTIF('Metrics - Articles'!E204,"*Corporate*")</f>
        <v>1</v>
      </c>
      <c r="I205" s="53">
        <f t="shared" si="4"/>
        <v>1</v>
      </c>
    </row>
    <row r="206" spans="2:9" x14ac:dyDescent="0.25">
      <c r="B206" s="48">
        <f>+'Metrics - Articles'!C205</f>
        <v>42179</v>
      </c>
      <c r="C206">
        <f>COUNTIF('Metrics - Articles'!E205,"*Sports*")</f>
        <v>0</v>
      </c>
      <c r="D206">
        <f>COUNTIF('Metrics - Articles'!E205,"*Youth*")</f>
        <v>0</v>
      </c>
      <c r="E206">
        <f>COUNTIF('Metrics - Articles'!E205,"*Healthcare*")</f>
        <v>0</v>
      </c>
      <c r="F206">
        <f>COUNTIF('Metrics - Articles'!E205,"*Innovation")</f>
        <v>0</v>
      </c>
      <c r="G206">
        <f>COUNTIF('Metrics - Articles'!E205,"*Corporate*")</f>
        <v>1</v>
      </c>
      <c r="I206" s="53">
        <f t="shared" si="4"/>
        <v>1</v>
      </c>
    </row>
    <row r="207" spans="2:9" x14ac:dyDescent="0.25">
      <c r="B207" s="48">
        <f>+'Metrics - Articles'!C206</f>
        <v>42179</v>
      </c>
      <c r="C207">
        <f>COUNTIF('Metrics - Articles'!E206,"*Sports*")</f>
        <v>0</v>
      </c>
      <c r="D207">
        <f>COUNTIF('Metrics - Articles'!E206,"*Youth*")</f>
        <v>0</v>
      </c>
      <c r="E207">
        <f>COUNTIF('Metrics - Articles'!E206,"*Healthcare*")</f>
        <v>0</v>
      </c>
      <c r="F207">
        <f>COUNTIF('Metrics - Articles'!E206,"*Innovation")</f>
        <v>0</v>
      </c>
      <c r="G207">
        <f>COUNTIF('Metrics - Articles'!E206,"*Corporate*")</f>
        <v>1</v>
      </c>
      <c r="I207" s="53">
        <f t="shared" si="4"/>
        <v>1</v>
      </c>
    </row>
    <row r="208" spans="2:9" x14ac:dyDescent="0.25">
      <c r="B208" s="48">
        <f>+'Metrics - Articles'!C207</f>
        <v>42179</v>
      </c>
      <c r="C208">
        <f>COUNTIF('Metrics - Articles'!E207,"*Sports*")</f>
        <v>0</v>
      </c>
      <c r="D208">
        <f>COUNTIF('Metrics - Articles'!E207,"*Youth*")</f>
        <v>0</v>
      </c>
      <c r="E208">
        <f>COUNTIF('Metrics - Articles'!E207,"*Healthcare*")</f>
        <v>0</v>
      </c>
      <c r="F208">
        <f>COUNTIF('Metrics - Articles'!E207,"*Innovation")</f>
        <v>1</v>
      </c>
      <c r="G208">
        <f>COUNTIF('Metrics - Articles'!E207,"*Corporate*")</f>
        <v>0</v>
      </c>
      <c r="I208" s="53">
        <f t="shared" si="4"/>
        <v>1</v>
      </c>
    </row>
    <row r="209" spans="2:9" x14ac:dyDescent="0.25">
      <c r="B209" s="48">
        <f>+'Metrics - Articles'!C208</f>
        <v>42180</v>
      </c>
      <c r="C209">
        <f>COUNTIF('Metrics - Articles'!E208,"*Sports*")</f>
        <v>1</v>
      </c>
      <c r="D209">
        <f>COUNTIF('Metrics - Articles'!E208,"*Youth*")</f>
        <v>0</v>
      </c>
      <c r="E209">
        <f>COUNTIF('Metrics - Articles'!E208,"*Healthcare*")</f>
        <v>0</v>
      </c>
      <c r="F209">
        <f>COUNTIF('Metrics - Articles'!E208,"*Innovation")</f>
        <v>0</v>
      </c>
      <c r="G209">
        <f>COUNTIF('Metrics - Articles'!E208,"*Corporate*")</f>
        <v>0</v>
      </c>
      <c r="I209" s="53">
        <f t="shared" si="4"/>
        <v>1</v>
      </c>
    </row>
    <row r="210" spans="2:9" x14ac:dyDescent="0.25">
      <c r="B210" s="48">
        <f>+'Metrics - Articles'!C209</f>
        <v>42180</v>
      </c>
      <c r="C210">
        <f>COUNTIF('Metrics - Articles'!E209,"*Sports*")</f>
        <v>0</v>
      </c>
      <c r="D210">
        <f>COUNTIF('Metrics - Articles'!E209,"*Youth*")</f>
        <v>0</v>
      </c>
      <c r="E210">
        <f>COUNTIF('Metrics - Articles'!E209,"*Healthcare*")</f>
        <v>0</v>
      </c>
      <c r="F210">
        <f>COUNTIF('Metrics - Articles'!E209,"*Innovation")</f>
        <v>1</v>
      </c>
      <c r="G210">
        <f>COUNTIF('Metrics - Articles'!E209,"*Corporate*")</f>
        <v>0</v>
      </c>
      <c r="I210" s="53">
        <f t="shared" si="4"/>
        <v>1</v>
      </c>
    </row>
    <row r="211" spans="2:9" x14ac:dyDescent="0.25">
      <c r="B211" s="48">
        <f>+'Metrics - Articles'!C210</f>
        <v>42181</v>
      </c>
      <c r="C211">
        <f>COUNTIF('Metrics - Articles'!E210,"*Sports*")</f>
        <v>0</v>
      </c>
      <c r="D211">
        <f>COUNTIF('Metrics - Articles'!E210,"*Youth*")</f>
        <v>0</v>
      </c>
      <c r="E211">
        <f>COUNTIF('Metrics - Articles'!E210,"*Healthcare*")</f>
        <v>0</v>
      </c>
      <c r="F211">
        <f>COUNTIF('Metrics - Articles'!E210,"*Innovation")</f>
        <v>0</v>
      </c>
      <c r="G211">
        <f>COUNTIF('Metrics - Articles'!E210,"*Corporate*")</f>
        <v>1</v>
      </c>
      <c r="I211" s="53">
        <f t="shared" si="4"/>
        <v>1</v>
      </c>
    </row>
    <row r="212" spans="2:9" x14ac:dyDescent="0.25">
      <c r="B212" s="48">
        <f>+'Metrics - Articles'!C211</f>
        <v>42181</v>
      </c>
      <c r="C212">
        <f>COUNTIF('Metrics - Articles'!E211,"*Sports*")</f>
        <v>0</v>
      </c>
      <c r="D212">
        <f>COUNTIF('Metrics - Articles'!E211,"*Youth*")</f>
        <v>0</v>
      </c>
      <c r="E212">
        <f>COUNTIF('Metrics - Articles'!E211,"*Healthcare*")</f>
        <v>0</v>
      </c>
      <c r="F212">
        <f>COUNTIF('Metrics - Articles'!E211,"*Innovation")</f>
        <v>0</v>
      </c>
      <c r="G212">
        <f>COUNTIF('Metrics - Articles'!E211,"*Corporate*")</f>
        <v>1</v>
      </c>
      <c r="I212" s="53">
        <f t="shared" si="4"/>
        <v>1</v>
      </c>
    </row>
    <row r="213" spans="2:9" x14ac:dyDescent="0.25">
      <c r="B213" s="48">
        <f>+'Metrics - Articles'!C212</f>
        <v>42181</v>
      </c>
      <c r="C213">
        <f>COUNTIF('Metrics - Articles'!E212,"*Sports*")</f>
        <v>0</v>
      </c>
      <c r="D213">
        <f>COUNTIF('Metrics - Articles'!E212,"*Youth*")</f>
        <v>0</v>
      </c>
      <c r="E213">
        <f>COUNTIF('Metrics - Articles'!E212,"*Healthcare*")</f>
        <v>0</v>
      </c>
      <c r="F213">
        <f>COUNTIF('Metrics - Articles'!E212,"*Innovation")</f>
        <v>1</v>
      </c>
      <c r="G213">
        <f>COUNTIF('Metrics - Articles'!E212,"*Corporate*")</f>
        <v>0</v>
      </c>
      <c r="I213" s="53">
        <f t="shared" si="4"/>
        <v>1</v>
      </c>
    </row>
    <row r="214" spans="2:9" x14ac:dyDescent="0.25">
      <c r="B214" s="48">
        <f>+'Metrics - Articles'!C213</f>
        <v>42184</v>
      </c>
      <c r="C214">
        <f>COUNTIF('Metrics - Articles'!E213,"*Sports*")</f>
        <v>0</v>
      </c>
      <c r="D214">
        <f>COUNTIF('Metrics - Articles'!E213,"*Youth*")</f>
        <v>1</v>
      </c>
      <c r="E214">
        <f>COUNTIF('Metrics - Articles'!E213,"*Healthcare*")</f>
        <v>0</v>
      </c>
      <c r="F214">
        <f>COUNTIF('Metrics - Articles'!E213,"*Innovation")</f>
        <v>0</v>
      </c>
      <c r="G214">
        <f>COUNTIF('Metrics - Articles'!E213,"*Corporate*")</f>
        <v>0</v>
      </c>
      <c r="I214" s="53">
        <f t="shared" si="4"/>
        <v>1</v>
      </c>
    </row>
    <row r="215" spans="2:9" x14ac:dyDescent="0.25">
      <c r="B215" s="48">
        <f>+'Metrics - Articles'!C214</f>
        <v>42186</v>
      </c>
      <c r="C215">
        <f>COUNTIF('Metrics - Articles'!E214,"*Sports*")</f>
        <v>0</v>
      </c>
      <c r="D215">
        <f>COUNTIF('Metrics - Articles'!E214,"*Youth*")</f>
        <v>0</v>
      </c>
      <c r="E215">
        <f>COUNTIF('Metrics - Articles'!E214,"*Healthcare*")</f>
        <v>0</v>
      </c>
      <c r="F215">
        <f>COUNTIF('Metrics - Articles'!E214,"*Innovation")</f>
        <v>0</v>
      </c>
      <c r="G215">
        <f>COUNTIF('Metrics - Articles'!E214,"*Corporate*")</f>
        <v>1</v>
      </c>
      <c r="I215" s="53">
        <f t="shared" si="4"/>
        <v>1</v>
      </c>
    </row>
    <row r="216" spans="2:9" x14ac:dyDescent="0.25">
      <c r="B216" s="48">
        <f>+'Metrics - Articles'!C215</f>
        <v>42187</v>
      </c>
      <c r="C216">
        <f>COUNTIF('Metrics - Articles'!E215,"*Sports*")</f>
        <v>0</v>
      </c>
      <c r="D216">
        <f>COUNTIF('Metrics - Articles'!E215,"*Youth*")</f>
        <v>0</v>
      </c>
      <c r="E216">
        <f>COUNTIF('Metrics - Articles'!E215,"*Healthcare*")</f>
        <v>0</v>
      </c>
      <c r="F216">
        <f>COUNTIF('Metrics - Articles'!E215,"*Innovation")</f>
        <v>0</v>
      </c>
      <c r="G216">
        <f>COUNTIF('Metrics - Articles'!E215,"*Corporate*")</f>
        <v>1</v>
      </c>
      <c r="I216" s="53">
        <f t="shared" si="4"/>
        <v>1</v>
      </c>
    </row>
    <row r="217" spans="2:9" x14ac:dyDescent="0.25">
      <c r="B217" s="48">
        <f>+'Metrics - Articles'!C216</f>
        <v>42187</v>
      </c>
      <c r="C217">
        <f>COUNTIF('Metrics - Articles'!E216,"*Sports*")</f>
        <v>0</v>
      </c>
      <c r="D217">
        <f>COUNTIF('Metrics - Articles'!E216,"*Youth*")</f>
        <v>0</v>
      </c>
      <c r="E217">
        <f>COUNTIF('Metrics - Articles'!E216,"*Healthcare*")</f>
        <v>0</v>
      </c>
      <c r="F217">
        <f>COUNTIF('Metrics - Articles'!E216,"*Innovation")</f>
        <v>1</v>
      </c>
      <c r="G217">
        <f>COUNTIF('Metrics - Articles'!E216,"*Corporate*")</f>
        <v>0</v>
      </c>
      <c r="I217" s="53">
        <f t="shared" si="4"/>
        <v>1</v>
      </c>
    </row>
    <row r="218" spans="2:9" x14ac:dyDescent="0.25">
      <c r="B218" s="48">
        <f>+'Metrics - Articles'!C217</f>
        <v>42188</v>
      </c>
      <c r="C218">
        <f>COUNTIF('Metrics - Articles'!E217,"*Sports*")</f>
        <v>0</v>
      </c>
      <c r="D218">
        <f>COUNTIF('Metrics - Articles'!E217,"*Youth*")</f>
        <v>0</v>
      </c>
      <c r="E218">
        <f>COUNTIF('Metrics - Articles'!E217,"*Healthcare*")</f>
        <v>0</v>
      </c>
      <c r="F218">
        <f>COUNTIF('Metrics - Articles'!E217,"*Innovation")</f>
        <v>0</v>
      </c>
      <c r="G218">
        <f>COUNTIF('Metrics - Articles'!E217,"*Corporate*")</f>
        <v>1</v>
      </c>
      <c r="I218" s="53">
        <f t="shared" si="4"/>
        <v>1</v>
      </c>
    </row>
    <row r="219" spans="2:9" x14ac:dyDescent="0.25">
      <c r="B219" s="48">
        <f>+'Metrics - Articles'!C218</f>
        <v>42188</v>
      </c>
      <c r="C219">
        <f>COUNTIF('Metrics - Articles'!E218,"*Sports*")</f>
        <v>0</v>
      </c>
      <c r="D219">
        <f>COUNTIF('Metrics - Articles'!E218,"*Youth*")</f>
        <v>0</v>
      </c>
      <c r="E219">
        <f>COUNTIF('Metrics - Articles'!E218,"*Healthcare*")</f>
        <v>0</v>
      </c>
      <c r="F219">
        <f>COUNTIF('Metrics - Articles'!E218,"*Innovation")</f>
        <v>1</v>
      </c>
      <c r="G219">
        <f>COUNTIF('Metrics - Articles'!E218,"*Corporate*")</f>
        <v>0</v>
      </c>
      <c r="I219" s="53">
        <f t="shared" si="4"/>
        <v>1</v>
      </c>
    </row>
    <row r="220" spans="2:9" x14ac:dyDescent="0.25">
      <c r="B220" s="48">
        <f>+'Metrics - Articles'!C219</f>
        <v>42188</v>
      </c>
      <c r="C220">
        <f>COUNTIF('Metrics - Articles'!E219,"*Sports*")</f>
        <v>0</v>
      </c>
      <c r="D220">
        <f>COUNTIF('Metrics - Articles'!E219,"*Youth*")</f>
        <v>1</v>
      </c>
      <c r="E220">
        <f>COUNTIF('Metrics - Articles'!E219,"*Healthcare*")</f>
        <v>0</v>
      </c>
      <c r="F220">
        <f>COUNTIF('Metrics - Articles'!E219,"*Innovation")</f>
        <v>0</v>
      </c>
      <c r="G220">
        <f>COUNTIF('Metrics - Articles'!E219,"*Corporate*")</f>
        <v>0</v>
      </c>
      <c r="I220" s="53">
        <f t="shared" si="4"/>
        <v>1</v>
      </c>
    </row>
    <row r="221" spans="2:9" x14ac:dyDescent="0.25">
      <c r="B221" s="48">
        <f>+'Metrics - Articles'!C220</f>
        <v>42191</v>
      </c>
      <c r="C221">
        <f>COUNTIF('Metrics - Articles'!E220,"*Sports*")</f>
        <v>0</v>
      </c>
      <c r="D221">
        <f>COUNTIF('Metrics - Articles'!E220,"*Youth*")</f>
        <v>0</v>
      </c>
      <c r="E221">
        <f>COUNTIF('Metrics - Articles'!E220,"*Healthcare*")</f>
        <v>0</v>
      </c>
      <c r="F221">
        <f>COUNTIF('Metrics - Articles'!E220,"*Innovation")</f>
        <v>1</v>
      </c>
      <c r="G221">
        <f>COUNTIF('Metrics - Articles'!E220,"*Corporate*")</f>
        <v>0</v>
      </c>
      <c r="I221" s="53">
        <f t="shared" si="4"/>
        <v>1</v>
      </c>
    </row>
    <row r="222" spans="2:9" x14ac:dyDescent="0.25">
      <c r="B222" s="48">
        <f>+'Metrics - Articles'!C221</f>
        <v>42192</v>
      </c>
      <c r="C222">
        <f>COUNTIF('Metrics - Articles'!E221,"*Sports*")</f>
        <v>1</v>
      </c>
      <c r="D222">
        <f>COUNTIF('Metrics - Articles'!E221,"*Youth*")</f>
        <v>0</v>
      </c>
      <c r="E222">
        <f>COUNTIF('Metrics - Articles'!E221,"*Healthcare*")</f>
        <v>0</v>
      </c>
      <c r="F222">
        <f>COUNTIF('Metrics - Articles'!E221,"*Innovation")</f>
        <v>0</v>
      </c>
      <c r="G222">
        <f>COUNTIF('Metrics - Articles'!E221,"*Corporate*")</f>
        <v>0</v>
      </c>
      <c r="I222" s="53">
        <f t="shared" si="4"/>
        <v>1</v>
      </c>
    </row>
    <row r="223" spans="2:9" x14ac:dyDescent="0.25">
      <c r="B223" s="48">
        <f>+'Metrics - Articles'!C222</f>
        <v>42194</v>
      </c>
      <c r="C223">
        <f>COUNTIF('Metrics - Articles'!E222,"*Sports*")</f>
        <v>0</v>
      </c>
      <c r="D223">
        <f>COUNTIF('Metrics - Articles'!E222,"*Youth*")</f>
        <v>0</v>
      </c>
      <c r="E223">
        <f>COUNTIF('Metrics - Articles'!E222,"*Healthcare*")</f>
        <v>0</v>
      </c>
      <c r="F223">
        <f>COUNTIF('Metrics - Articles'!E222,"*Innovation")</f>
        <v>0</v>
      </c>
      <c r="G223">
        <f>COUNTIF('Metrics - Articles'!E222,"*Corporate*")</f>
        <v>1</v>
      </c>
      <c r="I223" s="53">
        <f t="shared" si="4"/>
        <v>1</v>
      </c>
    </row>
    <row r="224" spans="2:9" x14ac:dyDescent="0.25">
      <c r="B224" s="48">
        <f>+'Metrics - Articles'!C223</f>
        <v>42194</v>
      </c>
      <c r="C224">
        <f>COUNTIF('Metrics - Articles'!E223,"*Sports*")</f>
        <v>0</v>
      </c>
      <c r="D224">
        <f>COUNTIF('Metrics - Articles'!E223,"*Youth*")</f>
        <v>0</v>
      </c>
      <c r="E224">
        <f>COUNTIF('Metrics - Articles'!E223,"*Healthcare*")</f>
        <v>0</v>
      </c>
      <c r="F224">
        <f>COUNTIF('Metrics - Articles'!E223,"*Innovation")</f>
        <v>0</v>
      </c>
      <c r="G224">
        <f>COUNTIF('Metrics - Articles'!E223,"*Corporate*")</f>
        <v>1</v>
      </c>
      <c r="I224" s="53">
        <f t="shared" si="4"/>
        <v>1</v>
      </c>
    </row>
    <row r="225" spans="2:9" x14ac:dyDescent="0.25">
      <c r="B225" s="48">
        <f>+'Metrics - Articles'!C224</f>
        <v>42194</v>
      </c>
      <c r="C225">
        <f>COUNTIF('Metrics - Articles'!E224,"*Sports*")</f>
        <v>0</v>
      </c>
      <c r="D225">
        <f>COUNTIF('Metrics - Articles'!E224,"*Youth*")</f>
        <v>0</v>
      </c>
      <c r="E225">
        <f>COUNTIF('Metrics - Articles'!E224,"*Healthcare*")</f>
        <v>0</v>
      </c>
      <c r="F225">
        <f>COUNTIF('Metrics - Articles'!E224,"*Innovation")</f>
        <v>0</v>
      </c>
      <c r="G225">
        <f>COUNTIF('Metrics - Articles'!E224,"*Corporate*")</f>
        <v>1</v>
      </c>
      <c r="I225" s="53">
        <f t="shared" si="4"/>
        <v>1</v>
      </c>
    </row>
    <row r="226" spans="2:9" x14ac:dyDescent="0.25">
      <c r="B226" s="48">
        <f>+'Metrics - Articles'!C225</f>
        <v>42195</v>
      </c>
      <c r="C226">
        <f>COUNTIF('Metrics - Articles'!E225,"*Sports*")</f>
        <v>0</v>
      </c>
      <c r="D226">
        <f>COUNTIF('Metrics - Articles'!E225,"*Youth*")</f>
        <v>0</v>
      </c>
      <c r="E226">
        <f>COUNTIF('Metrics - Articles'!E225,"*Healthcare*")</f>
        <v>0</v>
      </c>
      <c r="F226">
        <f>COUNTIF('Metrics - Articles'!E225,"*Innovation")</f>
        <v>1</v>
      </c>
      <c r="G226">
        <f>COUNTIF('Metrics - Articles'!E225,"*Corporate*")</f>
        <v>0</v>
      </c>
      <c r="I226" s="53">
        <f t="shared" si="4"/>
        <v>1</v>
      </c>
    </row>
    <row r="227" spans="2:9" x14ac:dyDescent="0.25">
      <c r="B227" s="48">
        <f>+'Metrics - Articles'!C226</f>
        <v>42195</v>
      </c>
      <c r="C227">
        <f>COUNTIF('Metrics - Articles'!E226,"*Sports*")</f>
        <v>0</v>
      </c>
      <c r="D227">
        <f>COUNTIF('Metrics - Articles'!E226,"*Youth*")</f>
        <v>1</v>
      </c>
      <c r="E227">
        <f>COUNTIF('Metrics - Articles'!E226,"*Healthcare*")</f>
        <v>0</v>
      </c>
      <c r="F227">
        <f>COUNTIF('Metrics - Articles'!E226,"*Innovation")</f>
        <v>0</v>
      </c>
      <c r="G227">
        <f>COUNTIF('Metrics - Articles'!E226,"*Corporate*")</f>
        <v>0</v>
      </c>
      <c r="I227" s="53">
        <f t="shared" si="4"/>
        <v>1</v>
      </c>
    </row>
    <row r="228" spans="2:9" x14ac:dyDescent="0.25">
      <c r="B228" s="48">
        <f>+'Metrics - Articles'!C227</f>
        <v>42195</v>
      </c>
      <c r="C228">
        <f>COUNTIF('Metrics - Articles'!E227,"*Sports*")</f>
        <v>0</v>
      </c>
      <c r="D228">
        <f>COUNTIF('Metrics - Articles'!E227,"*Youth*")</f>
        <v>0</v>
      </c>
      <c r="E228">
        <f>COUNTIF('Metrics - Articles'!E227,"*Healthcare*")</f>
        <v>0</v>
      </c>
      <c r="F228">
        <f>COUNTIF('Metrics - Articles'!E227,"*Innovation")</f>
        <v>0</v>
      </c>
      <c r="G228">
        <f>COUNTIF('Metrics - Articles'!E227,"*Corporate*")</f>
        <v>1</v>
      </c>
      <c r="I228" s="53">
        <f t="shared" si="4"/>
        <v>1</v>
      </c>
    </row>
    <row r="229" spans="2:9" x14ac:dyDescent="0.25">
      <c r="B229" s="48">
        <f>+'Metrics - Articles'!C228</f>
        <v>42198</v>
      </c>
      <c r="C229">
        <f>COUNTIF('Metrics - Articles'!E228,"*Sports*")</f>
        <v>0</v>
      </c>
      <c r="D229">
        <f>COUNTIF('Metrics - Articles'!E228,"*Youth*")</f>
        <v>0</v>
      </c>
      <c r="E229">
        <f>COUNTIF('Metrics - Articles'!E228,"*Healthcare*")</f>
        <v>0</v>
      </c>
      <c r="F229">
        <f>COUNTIF('Metrics - Articles'!E228,"*Innovation")</f>
        <v>0</v>
      </c>
      <c r="G229">
        <f>COUNTIF('Metrics - Articles'!E228,"*Corporate*")</f>
        <v>1</v>
      </c>
      <c r="I229" s="53">
        <f t="shared" si="4"/>
        <v>1</v>
      </c>
    </row>
    <row r="230" spans="2:9" x14ac:dyDescent="0.25">
      <c r="B230" s="48">
        <f>+'Metrics - Articles'!C229</f>
        <v>42198</v>
      </c>
      <c r="C230">
        <f>COUNTIF('Metrics - Articles'!E229,"*Sports*")</f>
        <v>0</v>
      </c>
      <c r="D230">
        <f>COUNTIF('Metrics - Articles'!E229,"*Youth*")</f>
        <v>0</v>
      </c>
      <c r="E230">
        <f>COUNTIF('Metrics - Articles'!E229,"*Healthcare*")</f>
        <v>0</v>
      </c>
      <c r="F230">
        <f>COUNTIF('Metrics - Articles'!E229,"*Innovation")</f>
        <v>1</v>
      </c>
      <c r="G230">
        <f>COUNTIF('Metrics - Articles'!E229,"*Corporate*")</f>
        <v>0</v>
      </c>
      <c r="I230" s="53">
        <f t="shared" si="4"/>
        <v>1</v>
      </c>
    </row>
    <row r="231" spans="2:9" x14ac:dyDescent="0.25">
      <c r="B231" s="48">
        <f>+'Metrics - Articles'!C230</f>
        <v>42199</v>
      </c>
      <c r="C231">
        <f>COUNTIF('Metrics - Articles'!E230,"*Sports*")</f>
        <v>0</v>
      </c>
      <c r="D231">
        <f>COUNTIF('Metrics - Articles'!E230,"*Youth*")</f>
        <v>0</v>
      </c>
      <c r="E231">
        <f>COUNTIF('Metrics - Articles'!E230,"*Healthcare*")</f>
        <v>0</v>
      </c>
      <c r="F231">
        <f>COUNTIF('Metrics - Articles'!E230,"*Innovation")</f>
        <v>0</v>
      </c>
      <c r="G231">
        <f>COUNTIF('Metrics - Articles'!E230,"*Corporate*")</f>
        <v>1</v>
      </c>
      <c r="I231" s="53">
        <f t="shared" si="4"/>
        <v>1</v>
      </c>
    </row>
    <row r="232" spans="2:9" x14ac:dyDescent="0.25">
      <c r="B232" s="48">
        <f>+'Metrics - Articles'!C231</f>
        <v>42199</v>
      </c>
      <c r="C232">
        <f>COUNTIF('Metrics - Articles'!E231,"*Sports*")</f>
        <v>0</v>
      </c>
      <c r="D232">
        <f>COUNTIF('Metrics - Articles'!E231,"*Youth*")</f>
        <v>0</v>
      </c>
      <c r="E232">
        <f>COUNTIF('Metrics - Articles'!E231,"*Healthcare*")</f>
        <v>0</v>
      </c>
      <c r="F232">
        <f>COUNTIF('Metrics - Articles'!E231,"*Innovation")</f>
        <v>1</v>
      </c>
      <c r="G232">
        <f>COUNTIF('Metrics - Articles'!E231,"*Corporate*")</f>
        <v>0</v>
      </c>
      <c r="I232" s="53">
        <f t="shared" si="4"/>
        <v>1</v>
      </c>
    </row>
    <row r="233" spans="2:9" x14ac:dyDescent="0.25">
      <c r="B233" s="48">
        <f>+'Metrics - Articles'!C232</f>
        <v>42200</v>
      </c>
      <c r="C233">
        <f>COUNTIF('Metrics - Articles'!E232,"*Sports*")</f>
        <v>0</v>
      </c>
      <c r="D233">
        <f>COUNTIF('Metrics - Articles'!E232,"*Youth*")</f>
        <v>0</v>
      </c>
      <c r="E233">
        <f>COUNTIF('Metrics - Articles'!E232,"*Healthcare*")</f>
        <v>1</v>
      </c>
      <c r="F233">
        <f>COUNTIF('Metrics - Articles'!E232,"*Innovation")</f>
        <v>0</v>
      </c>
      <c r="G233">
        <f>COUNTIF('Metrics - Articles'!E232,"*Corporate*")</f>
        <v>0</v>
      </c>
      <c r="I233" s="53">
        <f t="shared" si="4"/>
        <v>1</v>
      </c>
    </row>
    <row r="234" spans="2:9" x14ac:dyDescent="0.25">
      <c r="B234" s="48">
        <f>+'Metrics - Articles'!C233</f>
        <v>42201</v>
      </c>
      <c r="C234">
        <f>COUNTIF('Metrics - Articles'!E233,"*Sports*")</f>
        <v>0</v>
      </c>
      <c r="D234">
        <f>COUNTIF('Metrics - Articles'!E233,"*Youth*")</f>
        <v>0</v>
      </c>
      <c r="E234">
        <f>COUNTIF('Metrics - Articles'!E233,"*Healthcare*")</f>
        <v>0</v>
      </c>
      <c r="F234">
        <f>COUNTIF('Metrics - Articles'!E233,"*Innovation")</f>
        <v>1</v>
      </c>
      <c r="G234">
        <f>COUNTIF('Metrics - Articles'!E233,"*Corporate*")</f>
        <v>0</v>
      </c>
      <c r="I234" s="53">
        <f t="shared" si="4"/>
        <v>1</v>
      </c>
    </row>
    <row r="235" spans="2:9" x14ac:dyDescent="0.25">
      <c r="B235" s="48">
        <f>+'Metrics - Articles'!C234</f>
        <v>42202</v>
      </c>
      <c r="C235">
        <f>COUNTIF('Metrics - Articles'!E234,"*Sports*")</f>
        <v>0</v>
      </c>
      <c r="D235">
        <f>COUNTIF('Metrics - Articles'!E234,"*Youth*")</f>
        <v>0</v>
      </c>
      <c r="E235">
        <f>COUNTIF('Metrics - Articles'!E234,"*Healthcare*")</f>
        <v>0</v>
      </c>
      <c r="F235">
        <f>COUNTIF('Metrics - Articles'!E234,"*Innovation")</f>
        <v>0</v>
      </c>
      <c r="G235">
        <f>COUNTIF('Metrics - Articles'!E234,"*Corporate*")</f>
        <v>1</v>
      </c>
      <c r="I235" s="53">
        <f t="shared" si="4"/>
        <v>1</v>
      </c>
    </row>
    <row r="236" spans="2:9" x14ac:dyDescent="0.25">
      <c r="B236" s="48">
        <f>+'Metrics - Articles'!C235</f>
        <v>42202</v>
      </c>
      <c r="C236">
        <f>COUNTIF('Metrics - Articles'!E235,"*Sports*")</f>
        <v>0</v>
      </c>
      <c r="D236">
        <f>COUNTIF('Metrics - Articles'!E235,"*Youth*")</f>
        <v>0</v>
      </c>
      <c r="E236">
        <f>COUNTIF('Metrics - Articles'!E235,"*Healthcare*")</f>
        <v>0</v>
      </c>
      <c r="F236">
        <f>COUNTIF('Metrics - Articles'!E235,"*Innovation")</f>
        <v>1</v>
      </c>
      <c r="G236">
        <f>COUNTIF('Metrics - Articles'!E235,"*Corporate*")</f>
        <v>0</v>
      </c>
      <c r="I236" s="53">
        <f t="shared" si="4"/>
        <v>1</v>
      </c>
    </row>
    <row r="237" spans="2:9" x14ac:dyDescent="0.25">
      <c r="B237" s="48">
        <f>+'Metrics - Articles'!C236</f>
        <v>42205</v>
      </c>
      <c r="C237">
        <f>COUNTIF('Metrics - Articles'!E236,"*Sports*")</f>
        <v>0</v>
      </c>
      <c r="D237">
        <f>COUNTIF('Metrics - Articles'!E236,"*Youth*")</f>
        <v>0</v>
      </c>
      <c r="E237">
        <f>COUNTIF('Metrics - Articles'!E236,"*Healthcare*")</f>
        <v>0</v>
      </c>
      <c r="F237">
        <f>COUNTIF('Metrics - Articles'!E236,"*Innovation")</f>
        <v>1</v>
      </c>
      <c r="G237">
        <f>COUNTIF('Metrics - Articles'!E236,"*Corporate*")</f>
        <v>0</v>
      </c>
      <c r="I237" s="53">
        <f t="shared" si="4"/>
        <v>1</v>
      </c>
    </row>
    <row r="238" spans="2:9" x14ac:dyDescent="0.25">
      <c r="B238" s="48">
        <f>+'Metrics - Articles'!C237</f>
        <v>42205</v>
      </c>
      <c r="C238">
        <f>COUNTIF('Metrics - Articles'!E237,"*Sports*")</f>
        <v>0</v>
      </c>
      <c r="D238">
        <f>COUNTIF('Metrics - Articles'!E237,"*Youth*")</f>
        <v>0</v>
      </c>
      <c r="E238">
        <f>COUNTIF('Metrics - Articles'!E237,"*Healthcare*")</f>
        <v>1</v>
      </c>
      <c r="F238">
        <f>COUNTIF('Metrics - Articles'!E237,"*Innovation")</f>
        <v>0</v>
      </c>
      <c r="G238">
        <f>COUNTIF('Metrics - Articles'!E237,"*Corporate*")</f>
        <v>0</v>
      </c>
      <c r="I238" s="53">
        <f t="shared" si="4"/>
        <v>1</v>
      </c>
    </row>
    <row r="239" spans="2:9" x14ac:dyDescent="0.25">
      <c r="B239" s="48">
        <f>+'Metrics - Articles'!C238</f>
        <v>42206</v>
      </c>
      <c r="C239">
        <f>COUNTIF('Metrics - Articles'!E238,"*Sports*")</f>
        <v>0</v>
      </c>
      <c r="D239">
        <f>COUNTIF('Metrics - Articles'!E238,"*Youth*")</f>
        <v>0</v>
      </c>
      <c r="E239">
        <f>COUNTIF('Metrics - Articles'!E238,"*Healthcare*")</f>
        <v>0</v>
      </c>
      <c r="F239">
        <f>COUNTIF('Metrics - Articles'!E238,"*Innovation")</f>
        <v>1</v>
      </c>
      <c r="G239">
        <f>COUNTIF('Metrics - Articles'!E238,"*Corporate*")</f>
        <v>0</v>
      </c>
      <c r="I239" s="53">
        <f t="shared" si="4"/>
        <v>1</v>
      </c>
    </row>
    <row r="240" spans="2:9" x14ac:dyDescent="0.25">
      <c r="B240" s="48">
        <f>+'Metrics - Articles'!C239</f>
        <v>42206</v>
      </c>
      <c r="C240">
        <f>COUNTIF('Metrics - Articles'!E239,"*Sports*")</f>
        <v>0</v>
      </c>
      <c r="D240">
        <f>COUNTIF('Metrics - Articles'!E239,"*Youth*")</f>
        <v>0</v>
      </c>
      <c r="E240">
        <f>COUNTIF('Metrics - Articles'!E239,"*Healthcare*")</f>
        <v>0</v>
      </c>
      <c r="F240">
        <f>COUNTIF('Metrics - Articles'!E239,"*Innovation")</f>
        <v>1</v>
      </c>
      <c r="G240">
        <f>COUNTIF('Metrics - Articles'!E239,"*Corporate*")</f>
        <v>0</v>
      </c>
      <c r="I240" s="53">
        <f t="shared" si="4"/>
        <v>1</v>
      </c>
    </row>
    <row r="241" spans="2:9" x14ac:dyDescent="0.25">
      <c r="B241" s="48">
        <f>+'Metrics - Articles'!C240</f>
        <v>42206</v>
      </c>
      <c r="C241">
        <f>COUNTIF('Metrics - Articles'!E240,"*Sports*")</f>
        <v>0</v>
      </c>
      <c r="D241">
        <f>COUNTIF('Metrics - Articles'!E240,"*Youth*")</f>
        <v>0</v>
      </c>
      <c r="E241">
        <f>COUNTIF('Metrics - Articles'!E240,"*Healthcare*")</f>
        <v>0</v>
      </c>
      <c r="F241">
        <f>COUNTIF('Metrics - Articles'!E240,"*Innovation")</f>
        <v>1</v>
      </c>
      <c r="G241">
        <f>COUNTIF('Metrics - Articles'!E240,"*Corporate*")</f>
        <v>0</v>
      </c>
      <c r="I241" s="53">
        <f t="shared" si="4"/>
        <v>1</v>
      </c>
    </row>
    <row r="242" spans="2:9" x14ac:dyDescent="0.25">
      <c r="B242" s="48">
        <f>+'Metrics - Articles'!C241</f>
        <v>42207</v>
      </c>
      <c r="C242">
        <f>COUNTIF('Metrics - Articles'!E241,"*Sports*")</f>
        <v>0</v>
      </c>
      <c r="D242">
        <f>COUNTIF('Metrics - Articles'!E241,"*Youth*")</f>
        <v>0</v>
      </c>
      <c r="E242">
        <f>COUNTIF('Metrics - Articles'!E241,"*Healthcare*")</f>
        <v>0</v>
      </c>
      <c r="F242">
        <f>COUNTIF('Metrics - Articles'!E241,"*Innovation")</f>
        <v>0</v>
      </c>
      <c r="G242">
        <f>COUNTIF('Metrics - Articles'!E241,"*Corporate*")</f>
        <v>1</v>
      </c>
      <c r="I242" s="53">
        <f t="shared" si="4"/>
        <v>1</v>
      </c>
    </row>
    <row r="243" spans="2:9" x14ac:dyDescent="0.25">
      <c r="B243" s="48">
        <f>+'Metrics - Articles'!C242</f>
        <v>42207</v>
      </c>
      <c r="C243">
        <f>COUNTIF('Metrics - Articles'!E242,"*Sports*")</f>
        <v>0</v>
      </c>
      <c r="D243">
        <f>COUNTIF('Metrics - Articles'!E242,"*Youth*")</f>
        <v>0</v>
      </c>
      <c r="E243">
        <f>COUNTIF('Metrics - Articles'!E242,"*Healthcare*")</f>
        <v>0</v>
      </c>
      <c r="F243">
        <f>COUNTIF('Metrics - Articles'!E242,"*Innovation")</f>
        <v>1</v>
      </c>
      <c r="G243">
        <f>COUNTIF('Metrics - Articles'!E242,"*Corporate*")</f>
        <v>0</v>
      </c>
      <c r="I243" s="53">
        <f t="shared" si="4"/>
        <v>1</v>
      </c>
    </row>
    <row r="244" spans="2:9" x14ac:dyDescent="0.25">
      <c r="B244" s="48">
        <f>+'Metrics - Articles'!C243</f>
        <v>42208</v>
      </c>
      <c r="C244">
        <f>COUNTIF('Metrics - Articles'!E243,"*Sports*")</f>
        <v>0</v>
      </c>
      <c r="D244">
        <f>COUNTIF('Metrics - Articles'!E243,"*Youth*")</f>
        <v>0</v>
      </c>
      <c r="E244">
        <f>COUNTIF('Metrics - Articles'!E243,"*Healthcare*")</f>
        <v>0</v>
      </c>
      <c r="F244">
        <f>COUNTIF('Metrics - Articles'!E243,"*Innovation")</f>
        <v>0</v>
      </c>
      <c r="G244">
        <f>COUNTIF('Metrics - Articles'!E243,"*Corporate*")</f>
        <v>1</v>
      </c>
      <c r="I244" s="53">
        <f t="shared" si="4"/>
        <v>1</v>
      </c>
    </row>
    <row r="245" spans="2:9" x14ac:dyDescent="0.25">
      <c r="B245" s="48">
        <f>+'Metrics - Articles'!C244</f>
        <v>42208</v>
      </c>
      <c r="C245">
        <f>COUNTIF('Metrics - Articles'!E244,"*Sports*")</f>
        <v>0</v>
      </c>
      <c r="D245">
        <f>COUNTIF('Metrics - Articles'!E244,"*Youth*")</f>
        <v>0</v>
      </c>
      <c r="E245">
        <f>COUNTIF('Metrics - Articles'!E244,"*Healthcare*")</f>
        <v>0</v>
      </c>
      <c r="F245">
        <f>COUNTIF('Metrics - Articles'!E244,"*Innovation")</f>
        <v>1</v>
      </c>
      <c r="G245">
        <f>COUNTIF('Metrics - Articles'!E244,"*Corporate*")</f>
        <v>0</v>
      </c>
      <c r="I245" s="53">
        <f t="shared" si="4"/>
        <v>1</v>
      </c>
    </row>
    <row r="246" spans="2:9" x14ac:dyDescent="0.25">
      <c r="B246" s="48">
        <f>+'Metrics - Articles'!C245</f>
        <v>42209</v>
      </c>
      <c r="C246">
        <f>COUNTIF('Metrics - Articles'!E245,"*Sports*")</f>
        <v>0</v>
      </c>
      <c r="D246">
        <f>COUNTIF('Metrics - Articles'!E245,"*Youth*")</f>
        <v>0</v>
      </c>
      <c r="E246">
        <f>COUNTIF('Metrics - Articles'!E245,"*Healthcare*")</f>
        <v>0</v>
      </c>
      <c r="F246">
        <f>COUNTIF('Metrics - Articles'!E245,"*Innovation")</f>
        <v>0</v>
      </c>
      <c r="G246">
        <f>COUNTIF('Metrics - Articles'!E245,"*Corporate*")</f>
        <v>1</v>
      </c>
      <c r="I246" s="53">
        <f t="shared" si="4"/>
        <v>1</v>
      </c>
    </row>
    <row r="247" spans="2:9" x14ac:dyDescent="0.25">
      <c r="B247" s="48">
        <f>+'Metrics - Articles'!C246</f>
        <v>42209</v>
      </c>
      <c r="C247">
        <f>COUNTIF('Metrics - Articles'!E246,"*Sports*")</f>
        <v>0</v>
      </c>
      <c r="D247">
        <f>COUNTIF('Metrics - Articles'!E246,"*Youth*")</f>
        <v>0</v>
      </c>
      <c r="E247">
        <f>COUNTIF('Metrics - Articles'!E246,"*Healthcare*")</f>
        <v>0</v>
      </c>
      <c r="F247">
        <f>COUNTIF('Metrics - Articles'!E246,"*Innovation")</f>
        <v>1</v>
      </c>
      <c r="G247">
        <f>COUNTIF('Metrics - Articles'!E246,"*Corporate*")</f>
        <v>0</v>
      </c>
      <c r="I247" s="53">
        <f t="shared" si="4"/>
        <v>1</v>
      </c>
    </row>
    <row r="248" spans="2:9" x14ac:dyDescent="0.25">
      <c r="B248" s="48">
        <f>+'Metrics - Articles'!C247</f>
        <v>42212</v>
      </c>
      <c r="C248">
        <f>COUNTIF('Metrics - Articles'!E247,"*Sports*")</f>
        <v>0</v>
      </c>
      <c r="D248">
        <f>COUNTIF('Metrics - Articles'!E247,"*Youth*")</f>
        <v>0</v>
      </c>
      <c r="E248">
        <f>COUNTIF('Metrics - Articles'!E247,"*Healthcare*")</f>
        <v>0</v>
      </c>
      <c r="F248">
        <f>COUNTIF('Metrics - Articles'!E247,"*Innovation")</f>
        <v>0</v>
      </c>
      <c r="G248">
        <f>COUNTIF('Metrics - Articles'!E247,"*Corporate*")</f>
        <v>1</v>
      </c>
      <c r="I248" s="53">
        <f t="shared" si="4"/>
        <v>1</v>
      </c>
    </row>
    <row r="249" spans="2:9" x14ac:dyDescent="0.25">
      <c r="B249" s="48">
        <f>+'Metrics - Articles'!C248</f>
        <v>42212</v>
      </c>
      <c r="C249">
        <f>COUNTIF('Metrics - Articles'!E248,"*Sports*")</f>
        <v>1</v>
      </c>
      <c r="D249">
        <f>COUNTIF('Metrics - Articles'!E248,"*Youth*")</f>
        <v>1</v>
      </c>
      <c r="E249">
        <f>COUNTIF('Metrics - Articles'!E248,"*Healthcare*")</f>
        <v>0</v>
      </c>
      <c r="F249">
        <f>COUNTIF('Metrics - Articles'!E248,"*Innovation")</f>
        <v>0</v>
      </c>
      <c r="G249">
        <f>COUNTIF('Metrics - Articles'!E248,"*Corporate*")</f>
        <v>0</v>
      </c>
      <c r="I249" s="53">
        <f t="shared" si="4"/>
        <v>2</v>
      </c>
    </row>
    <row r="250" spans="2:9" x14ac:dyDescent="0.25">
      <c r="B250" s="48">
        <f>+'Metrics - Articles'!C249</f>
        <v>42213</v>
      </c>
      <c r="C250">
        <f>COUNTIF('Metrics - Articles'!E249,"*Sports*")</f>
        <v>0</v>
      </c>
      <c r="D250">
        <f>COUNTIF('Metrics - Articles'!E249,"*Youth*")</f>
        <v>0</v>
      </c>
      <c r="E250">
        <f>COUNTIF('Metrics - Articles'!E249,"*Healthcare*")</f>
        <v>0</v>
      </c>
      <c r="F250">
        <f>COUNTIF('Metrics - Articles'!E249,"*Innovation")</f>
        <v>1</v>
      </c>
      <c r="G250">
        <f>COUNTIF('Metrics - Articles'!E249,"*Corporate*")</f>
        <v>0</v>
      </c>
      <c r="I250" s="53">
        <f t="shared" si="4"/>
        <v>1</v>
      </c>
    </row>
    <row r="251" spans="2:9" x14ac:dyDescent="0.25">
      <c r="B251" s="48">
        <f>+'Metrics - Articles'!C250</f>
        <v>42213</v>
      </c>
      <c r="C251">
        <f>COUNTIF('Metrics - Articles'!E250,"*Sports*")</f>
        <v>0</v>
      </c>
      <c r="D251">
        <f>COUNTIF('Metrics - Articles'!E250,"*Youth*")</f>
        <v>0</v>
      </c>
      <c r="E251">
        <f>COUNTIF('Metrics - Articles'!E250,"*Healthcare*")</f>
        <v>0</v>
      </c>
      <c r="F251">
        <f>COUNTIF('Metrics - Articles'!E250,"*Innovation")</f>
        <v>0</v>
      </c>
      <c r="G251">
        <f>COUNTIF('Metrics - Articles'!E250,"*Corporate*")</f>
        <v>1</v>
      </c>
      <c r="I251" s="53">
        <f t="shared" si="4"/>
        <v>1</v>
      </c>
    </row>
    <row r="252" spans="2:9" x14ac:dyDescent="0.25">
      <c r="B252" s="48">
        <f>+'Metrics - Articles'!C251</f>
        <v>42214</v>
      </c>
      <c r="C252">
        <f>COUNTIF('Metrics - Articles'!E251,"*Sports*")</f>
        <v>0</v>
      </c>
      <c r="D252">
        <f>COUNTIF('Metrics - Articles'!E251,"*Youth*")</f>
        <v>0</v>
      </c>
      <c r="E252">
        <f>COUNTIF('Metrics - Articles'!E251,"*Healthcare*")</f>
        <v>0</v>
      </c>
      <c r="F252">
        <f>COUNTIF('Metrics - Articles'!E251,"*Innovation")</f>
        <v>1</v>
      </c>
      <c r="G252">
        <f>COUNTIF('Metrics - Articles'!E251,"*Corporate*")</f>
        <v>0</v>
      </c>
      <c r="I252" s="53">
        <f t="shared" si="4"/>
        <v>1</v>
      </c>
    </row>
    <row r="253" spans="2:9" x14ac:dyDescent="0.25">
      <c r="B253" s="48">
        <f>+'Metrics - Articles'!C252</f>
        <v>42215</v>
      </c>
      <c r="C253">
        <f>COUNTIF('Metrics - Articles'!E252,"*Sports*")</f>
        <v>0</v>
      </c>
      <c r="D253">
        <f>COUNTIF('Metrics - Articles'!E252,"*Youth*")</f>
        <v>0</v>
      </c>
      <c r="E253">
        <f>COUNTIF('Metrics - Articles'!E252,"*Healthcare*")</f>
        <v>0</v>
      </c>
      <c r="F253">
        <f>COUNTIF('Metrics - Articles'!E252,"*Innovation")</f>
        <v>1</v>
      </c>
      <c r="G253">
        <f>COUNTIF('Metrics - Articles'!E252,"*Corporate*")</f>
        <v>0</v>
      </c>
      <c r="I253" s="53">
        <f t="shared" si="4"/>
        <v>1</v>
      </c>
    </row>
    <row r="254" spans="2:9" x14ac:dyDescent="0.25">
      <c r="B254" s="48">
        <f>+'Metrics - Articles'!C253</f>
        <v>42215</v>
      </c>
      <c r="C254">
        <f>COUNTIF('Metrics - Articles'!E253,"*Sports*")</f>
        <v>0</v>
      </c>
      <c r="D254">
        <f>COUNTIF('Metrics - Articles'!E253,"*Youth*")</f>
        <v>1</v>
      </c>
      <c r="E254">
        <f>COUNTIF('Metrics - Articles'!E253,"*Healthcare*")</f>
        <v>0</v>
      </c>
      <c r="F254">
        <f>COUNTIF('Metrics - Articles'!E253,"*Innovation")</f>
        <v>0</v>
      </c>
      <c r="G254">
        <f>COUNTIF('Metrics - Articles'!E253,"*Corporate*")</f>
        <v>0</v>
      </c>
      <c r="I254" s="53">
        <f t="shared" si="4"/>
        <v>1</v>
      </c>
    </row>
    <row r="255" spans="2:9" x14ac:dyDescent="0.25">
      <c r="B255" s="48">
        <f>+'Metrics - Articles'!C254</f>
        <v>42216</v>
      </c>
      <c r="C255">
        <f>COUNTIF('Metrics - Articles'!E254,"*Sports*")</f>
        <v>0</v>
      </c>
      <c r="D255">
        <f>COUNTIF('Metrics - Articles'!E254,"*Youth*")</f>
        <v>0</v>
      </c>
      <c r="E255">
        <f>COUNTIF('Metrics - Articles'!E254,"*Healthcare*")</f>
        <v>0</v>
      </c>
      <c r="F255">
        <f>COUNTIF('Metrics - Articles'!E254,"*Innovation")</f>
        <v>1</v>
      </c>
      <c r="G255">
        <f>COUNTIF('Metrics - Articles'!E254,"*Corporate*")</f>
        <v>0</v>
      </c>
      <c r="I255" s="53">
        <f t="shared" si="4"/>
        <v>1</v>
      </c>
    </row>
    <row r="256" spans="2:9" x14ac:dyDescent="0.25">
      <c r="B256" s="48">
        <f>+'Metrics - Articles'!C255</f>
        <v>42216</v>
      </c>
      <c r="C256">
        <f>COUNTIF('Metrics - Articles'!E255,"*Sports*")</f>
        <v>0</v>
      </c>
      <c r="D256">
        <f>COUNTIF('Metrics - Articles'!E255,"*Youth*")</f>
        <v>1</v>
      </c>
      <c r="E256">
        <f>COUNTIF('Metrics - Articles'!E255,"*Healthcare*")</f>
        <v>0</v>
      </c>
      <c r="F256">
        <f>COUNTIF('Metrics - Articles'!E255,"*Innovation")</f>
        <v>0</v>
      </c>
      <c r="G256">
        <f>COUNTIF('Metrics - Articles'!E255,"*Corporate*")</f>
        <v>0</v>
      </c>
      <c r="I256" s="53">
        <f t="shared" si="4"/>
        <v>1</v>
      </c>
    </row>
    <row r="257" spans="2:9" x14ac:dyDescent="0.25">
      <c r="B257" s="48">
        <f>+'Metrics - Articles'!C256</f>
        <v>42219</v>
      </c>
      <c r="C257">
        <f>COUNTIF('Metrics - Articles'!E256,"*Sports*")</f>
        <v>1</v>
      </c>
      <c r="D257">
        <f>COUNTIF('Metrics - Articles'!E256,"*Youth*")</f>
        <v>0</v>
      </c>
      <c r="E257">
        <f>COUNTIF('Metrics - Articles'!E256,"*Healthcare*")</f>
        <v>0</v>
      </c>
      <c r="F257">
        <f>COUNTIF('Metrics - Articles'!E256,"*Innovation")</f>
        <v>0</v>
      </c>
      <c r="G257">
        <f>COUNTIF('Metrics - Articles'!E256,"*Corporate*")</f>
        <v>0</v>
      </c>
      <c r="I257" s="53">
        <f t="shared" si="4"/>
        <v>1</v>
      </c>
    </row>
    <row r="258" spans="2:9" x14ac:dyDescent="0.25">
      <c r="B258" s="48">
        <f>+'Metrics - Articles'!C257</f>
        <v>42220</v>
      </c>
      <c r="C258">
        <f>COUNTIF('Metrics - Articles'!E257,"*Sports*")</f>
        <v>0</v>
      </c>
      <c r="D258">
        <f>COUNTIF('Metrics - Articles'!E257,"*Youth*")</f>
        <v>0</v>
      </c>
      <c r="E258">
        <f>COUNTIF('Metrics - Articles'!E257,"*Healthcare*")</f>
        <v>0</v>
      </c>
      <c r="F258">
        <f>COUNTIF('Metrics - Articles'!E257,"*Innovation")</f>
        <v>1</v>
      </c>
      <c r="G258">
        <f>COUNTIF('Metrics - Articles'!E257,"*Corporate*")</f>
        <v>0</v>
      </c>
      <c r="I258" s="53">
        <f t="shared" si="4"/>
        <v>1</v>
      </c>
    </row>
    <row r="259" spans="2:9" x14ac:dyDescent="0.25">
      <c r="B259" s="48">
        <f>+'Metrics - Articles'!C258</f>
        <v>42221</v>
      </c>
      <c r="C259">
        <f>COUNTIF('Metrics - Articles'!E258,"*Sports*")</f>
        <v>0</v>
      </c>
      <c r="D259">
        <f>COUNTIF('Metrics - Articles'!E258,"*Youth*")</f>
        <v>0</v>
      </c>
      <c r="E259">
        <f>COUNTIF('Metrics - Articles'!E258,"*Healthcare*")</f>
        <v>0</v>
      </c>
      <c r="F259">
        <f>COUNTIF('Metrics - Articles'!E258,"*Innovation")</f>
        <v>1</v>
      </c>
      <c r="G259">
        <f>COUNTIF('Metrics - Articles'!E258,"*Corporate*")</f>
        <v>0</v>
      </c>
      <c r="I259" s="53">
        <f t="shared" si="4"/>
        <v>1</v>
      </c>
    </row>
    <row r="260" spans="2:9" x14ac:dyDescent="0.25">
      <c r="B260" s="48">
        <f>+'Metrics - Articles'!C259</f>
        <v>42222</v>
      </c>
      <c r="C260">
        <f>COUNTIF('Metrics - Articles'!E259,"*Sports*")</f>
        <v>0</v>
      </c>
      <c r="D260">
        <f>COUNTIF('Metrics - Articles'!E259,"*Youth*")</f>
        <v>0</v>
      </c>
      <c r="E260">
        <f>COUNTIF('Metrics - Articles'!E259,"*Healthcare*")</f>
        <v>0</v>
      </c>
      <c r="F260">
        <f>COUNTIF('Metrics - Articles'!E259,"*Innovation")</f>
        <v>0</v>
      </c>
      <c r="G260">
        <f>COUNTIF('Metrics - Articles'!E259,"*Corporate*")</f>
        <v>1</v>
      </c>
      <c r="I260" s="53">
        <f t="shared" si="4"/>
        <v>1</v>
      </c>
    </row>
    <row r="261" spans="2:9" x14ac:dyDescent="0.25">
      <c r="B261" s="48">
        <f>+'Metrics - Articles'!C260</f>
        <v>42222</v>
      </c>
      <c r="C261">
        <f>COUNTIF('Metrics - Articles'!E260,"*Sports*")</f>
        <v>0</v>
      </c>
      <c r="D261">
        <f>COUNTIF('Metrics - Articles'!E260,"*Youth*")</f>
        <v>1</v>
      </c>
      <c r="E261">
        <f>COUNTIF('Metrics - Articles'!E260,"*Healthcare*")</f>
        <v>0</v>
      </c>
      <c r="F261">
        <f>COUNTIF('Metrics - Articles'!E260,"*Innovation")</f>
        <v>0</v>
      </c>
      <c r="G261">
        <f>COUNTIF('Metrics - Articles'!E260,"*Corporate*")</f>
        <v>0</v>
      </c>
      <c r="I261" s="53">
        <f t="shared" si="4"/>
        <v>1</v>
      </c>
    </row>
    <row r="262" spans="2:9" x14ac:dyDescent="0.25">
      <c r="B262" s="48">
        <f>+'Metrics - Articles'!C261</f>
        <v>42223</v>
      </c>
      <c r="C262">
        <f>COUNTIF('Metrics - Articles'!E261,"*Sports*")</f>
        <v>1</v>
      </c>
      <c r="D262">
        <f>COUNTIF('Metrics - Articles'!E261,"*Youth*")</f>
        <v>0</v>
      </c>
      <c r="E262">
        <f>COUNTIF('Metrics - Articles'!E261,"*Healthcare*")</f>
        <v>0</v>
      </c>
      <c r="F262">
        <f>COUNTIF('Metrics - Articles'!E261,"*Innovation")</f>
        <v>0</v>
      </c>
      <c r="G262">
        <f>COUNTIF('Metrics - Articles'!E261,"*Corporate*")</f>
        <v>0</v>
      </c>
      <c r="I262" s="53">
        <f t="shared" si="4"/>
        <v>1</v>
      </c>
    </row>
    <row r="263" spans="2:9" x14ac:dyDescent="0.25">
      <c r="B263" s="48">
        <f>+'Metrics - Articles'!C262</f>
        <v>42226</v>
      </c>
      <c r="C263">
        <f>COUNTIF('Metrics - Articles'!E262,"*Sports*")</f>
        <v>0</v>
      </c>
      <c r="D263">
        <f>COUNTIF('Metrics - Articles'!E262,"*Youth*")</f>
        <v>0</v>
      </c>
      <c r="E263">
        <f>COUNTIF('Metrics - Articles'!E262,"*Healthcare*")</f>
        <v>0</v>
      </c>
      <c r="F263">
        <f>COUNTIF('Metrics - Articles'!E262,"*Innovation")</f>
        <v>0</v>
      </c>
      <c r="G263">
        <f>COUNTIF('Metrics - Articles'!E262,"*Corporate*")</f>
        <v>1</v>
      </c>
      <c r="I263" s="53">
        <f t="shared" si="4"/>
        <v>1</v>
      </c>
    </row>
    <row r="264" spans="2:9" x14ac:dyDescent="0.25">
      <c r="B264" s="48">
        <f>+'Metrics - Articles'!C263</f>
        <v>42227</v>
      </c>
      <c r="C264">
        <f>COUNTIF('Metrics - Articles'!E263,"*Sports*")</f>
        <v>0</v>
      </c>
      <c r="D264">
        <f>COUNTIF('Metrics - Articles'!E263,"*Youth*")</f>
        <v>0</v>
      </c>
      <c r="E264">
        <f>COUNTIF('Metrics - Articles'!E263,"*Healthcare*")</f>
        <v>0</v>
      </c>
      <c r="F264">
        <f>COUNTIF('Metrics - Articles'!E263,"*Innovation")</f>
        <v>1</v>
      </c>
      <c r="G264">
        <f>COUNTIF('Metrics - Articles'!E263,"*Corporate*")</f>
        <v>0</v>
      </c>
      <c r="I264" s="53">
        <f t="shared" ref="I264:I327" si="5">SUM(C264:H264)</f>
        <v>1</v>
      </c>
    </row>
    <row r="265" spans="2:9" x14ac:dyDescent="0.25">
      <c r="B265" s="48">
        <f>+'Metrics - Articles'!C264</f>
        <v>42228</v>
      </c>
      <c r="C265">
        <f>COUNTIF('Metrics - Articles'!E264,"*Sports*")</f>
        <v>0</v>
      </c>
      <c r="D265">
        <f>COUNTIF('Metrics - Articles'!E264,"*Youth*")</f>
        <v>0</v>
      </c>
      <c r="E265">
        <f>COUNTIF('Metrics - Articles'!E264,"*Healthcare*")</f>
        <v>0</v>
      </c>
      <c r="F265">
        <f>COUNTIF('Metrics - Articles'!E264,"*Innovation")</f>
        <v>1</v>
      </c>
      <c r="G265">
        <f>COUNTIF('Metrics - Articles'!E264,"*Corporate*")</f>
        <v>0</v>
      </c>
      <c r="I265" s="53">
        <f t="shared" si="5"/>
        <v>1</v>
      </c>
    </row>
    <row r="266" spans="2:9" x14ac:dyDescent="0.25">
      <c r="B266" s="48">
        <f>+'Metrics - Articles'!C265</f>
        <v>42229</v>
      </c>
      <c r="C266">
        <f>COUNTIF('Metrics - Articles'!E265,"*Sports*")</f>
        <v>0</v>
      </c>
      <c r="D266">
        <f>COUNTIF('Metrics - Articles'!E265,"*Youth*")</f>
        <v>0</v>
      </c>
      <c r="E266">
        <f>COUNTIF('Metrics - Articles'!E265,"*Healthcare*")</f>
        <v>0</v>
      </c>
      <c r="F266">
        <f>COUNTIF('Metrics - Articles'!E265,"*Innovation")</f>
        <v>1</v>
      </c>
      <c r="G266">
        <f>COUNTIF('Metrics - Articles'!E265,"*Corporate*")</f>
        <v>0</v>
      </c>
      <c r="I266" s="53">
        <f t="shared" si="5"/>
        <v>1</v>
      </c>
    </row>
    <row r="267" spans="2:9" x14ac:dyDescent="0.25">
      <c r="B267" s="48">
        <f>+'Metrics - Articles'!C266</f>
        <v>42233</v>
      </c>
      <c r="C267">
        <f>COUNTIF('Metrics - Articles'!E266,"*Sports*")</f>
        <v>1</v>
      </c>
      <c r="D267">
        <f>COUNTIF('Metrics - Articles'!E266,"*Youth*")</f>
        <v>0</v>
      </c>
      <c r="E267">
        <f>COUNTIF('Metrics - Articles'!E266,"*Healthcare*")</f>
        <v>0</v>
      </c>
      <c r="F267">
        <f>COUNTIF('Metrics - Articles'!E266,"*Innovation")</f>
        <v>0</v>
      </c>
      <c r="G267">
        <f>COUNTIF('Metrics - Articles'!E266,"*Corporate*")</f>
        <v>0</v>
      </c>
      <c r="I267" s="53">
        <f t="shared" si="5"/>
        <v>1</v>
      </c>
    </row>
    <row r="268" spans="2:9" x14ac:dyDescent="0.25">
      <c r="B268" s="48">
        <f>+'Metrics - Articles'!C267</f>
        <v>42234</v>
      </c>
      <c r="C268">
        <f>COUNTIF('Metrics - Articles'!E267,"*Sports*")</f>
        <v>0</v>
      </c>
      <c r="D268">
        <f>COUNTIF('Metrics - Articles'!E267,"*Youth*")</f>
        <v>0</v>
      </c>
      <c r="E268">
        <f>COUNTIF('Metrics - Articles'!E267,"*Healthcare*")</f>
        <v>0</v>
      </c>
      <c r="F268">
        <f>COUNTIF('Metrics - Articles'!E267,"*Innovation")</f>
        <v>1</v>
      </c>
      <c r="G268">
        <f>COUNTIF('Metrics - Articles'!E267,"*Corporate*")</f>
        <v>0</v>
      </c>
      <c r="I268" s="53">
        <f t="shared" si="5"/>
        <v>1</v>
      </c>
    </row>
    <row r="269" spans="2:9" x14ac:dyDescent="0.25">
      <c r="B269" s="48">
        <f>+'Metrics - Articles'!C268</f>
        <v>42235</v>
      </c>
      <c r="C269">
        <f>COUNTIF('Metrics - Articles'!E268,"*Sports*")</f>
        <v>0</v>
      </c>
      <c r="D269">
        <f>COUNTIF('Metrics - Articles'!E268,"*Youth*")</f>
        <v>0</v>
      </c>
      <c r="E269">
        <f>COUNTIF('Metrics - Articles'!E268,"*Healthcare*")</f>
        <v>0</v>
      </c>
      <c r="F269">
        <f>COUNTIF('Metrics - Articles'!E268,"*Innovation")</f>
        <v>0</v>
      </c>
      <c r="G269">
        <f>COUNTIF('Metrics - Articles'!E268,"*Corporate*")</f>
        <v>1</v>
      </c>
      <c r="I269" s="53">
        <f t="shared" si="5"/>
        <v>1</v>
      </c>
    </row>
    <row r="270" spans="2:9" x14ac:dyDescent="0.25">
      <c r="B270" s="48">
        <f>+'Metrics - Articles'!C269</f>
        <v>42236</v>
      </c>
      <c r="C270">
        <f>COUNTIF('Metrics - Articles'!E269,"*Sports*")</f>
        <v>0</v>
      </c>
      <c r="D270">
        <f>COUNTIF('Metrics - Articles'!E269,"*Youth*")</f>
        <v>0</v>
      </c>
      <c r="E270">
        <f>COUNTIF('Metrics - Articles'!E269,"*Healthcare*")</f>
        <v>0</v>
      </c>
      <c r="F270">
        <f>COUNTIF('Metrics - Articles'!E269,"*Innovation")</f>
        <v>1</v>
      </c>
      <c r="G270">
        <f>COUNTIF('Metrics - Articles'!E269,"*Corporate*")</f>
        <v>0</v>
      </c>
      <c r="I270" s="53">
        <f t="shared" si="5"/>
        <v>1</v>
      </c>
    </row>
    <row r="271" spans="2:9" x14ac:dyDescent="0.25">
      <c r="B271" s="48">
        <f>+'Metrics - Articles'!C270</f>
        <v>42237</v>
      </c>
      <c r="C271">
        <f>COUNTIF('Metrics - Articles'!E270,"*Sports*")</f>
        <v>0</v>
      </c>
      <c r="D271">
        <f>COUNTIF('Metrics - Articles'!E270,"*Youth*")</f>
        <v>0</v>
      </c>
      <c r="E271">
        <f>COUNTIF('Metrics - Articles'!E270,"*Healthcare*")</f>
        <v>0</v>
      </c>
      <c r="F271">
        <f>COUNTIF('Metrics - Articles'!E270,"*Innovation")</f>
        <v>1</v>
      </c>
      <c r="G271">
        <f>COUNTIF('Metrics - Articles'!E270,"*Corporate*")</f>
        <v>0</v>
      </c>
      <c r="I271" s="53">
        <f t="shared" si="5"/>
        <v>1</v>
      </c>
    </row>
    <row r="272" spans="2:9" x14ac:dyDescent="0.25">
      <c r="B272" s="48">
        <f>+'Metrics - Articles'!C271</f>
        <v>42240</v>
      </c>
      <c r="C272">
        <f>COUNTIF('Metrics - Articles'!E271,"*Sports*")</f>
        <v>0</v>
      </c>
      <c r="D272">
        <f>COUNTIF('Metrics - Articles'!E271,"*Youth*")</f>
        <v>0</v>
      </c>
      <c r="E272">
        <f>COUNTIF('Metrics - Articles'!E271,"*Healthcare*")</f>
        <v>0</v>
      </c>
      <c r="F272">
        <f>COUNTIF('Metrics - Articles'!E271,"*Innovation")</f>
        <v>1</v>
      </c>
      <c r="G272">
        <f>COUNTIF('Metrics - Articles'!E271,"*Corporate*")</f>
        <v>0</v>
      </c>
      <c r="I272" s="53">
        <f t="shared" si="5"/>
        <v>1</v>
      </c>
    </row>
    <row r="273" spans="2:9" x14ac:dyDescent="0.25">
      <c r="B273" s="48">
        <f>+'Metrics - Articles'!C272</f>
        <v>42241</v>
      </c>
      <c r="C273">
        <f>COUNTIF('Metrics - Articles'!E272,"*Sports*")</f>
        <v>1</v>
      </c>
      <c r="D273">
        <f>COUNTIF('Metrics - Articles'!E272,"*Youth*")</f>
        <v>0</v>
      </c>
      <c r="E273">
        <f>COUNTIF('Metrics - Articles'!E272,"*Healthcare*")</f>
        <v>0</v>
      </c>
      <c r="F273">
        <f>COUNTIF('Metrics - Articles'!E272,"*Innovation")</f>
        <v>0</v>
      </c>
      <c r="G273">
        <f>COUNTIF('Metrics - Articles'!E272,"*Corporate*")</f>
        <v>0</v>
      </c>
      <c r="I273" s="53">
        <f t="shared" si="5"/>
        <v>1</v>
      </c>
    </row>
    <row r="274" spans="2:9" x14ac:dyDescent="0.25">
      <c r="B274" s="48">
        <f>+'Metrics - Articles'!C273</f>
        <v>42242</v>
      </c>
      <c r="C274">
        <f>COUNTIF('Metrics - Articles'!E273,"*Sports*")</f>
        <v>0</v>
      </c>
      <c r="D274">
        <f>COUNTIF('Metrics - Articles'!E273,"*Youth*")</f>
        <v>0</v>
      </c>
      <c r="E274">
        <f>COUNTIF('Metrics - Articles'!E273,"*Healthcare*")</f>
        <v>0</v>
      </c>
      <c r="F274">
        <f>COUNTIF('Metrics - Articles'!E273,"*Innovation")</f>
        <v>1</v>
      </c>
      <c r="G274">
        <f>COUNTIF('Metrics - Articles'!E273,"*Corporate*")</f>
        <v>0</v>
      </c>
      <c r="I274" s="53">
        <f t="shared" si="5"/>
        <v>1</v>
      </c>
    </row>
    <row r="275" spans="2:9" x14ac:dyDescent="0.25">
      <c r="B275" s="48">
        <f>+'Metrics - Articles'!C274</f>
        <v>42242</v>
      </c>
      <c r="C275">
        <f>COUNTIF('Metrics - Articles'!E274,"*Sports*")</f>
        <v>0</v>
      </c>
      <c r="D275">
        <f>COUNTIF('Metrics - Articles'!E274,"*Youth*")</f>
        <v>0</v>
      </c>
      <c r="E275">
        <f>COUNTIF('Metrics - Articles'!E274,"*Healthcare*")</f>
        <v>0</v>
      </c>
      <c r="F275">
        <f>COUNTIF('Metrics - Articles'!E274,"*Innovation")</f>
        <v>1</v>
      </c>
      <c r="G275">
        <f>COUNTIF('Metrics - Articles'!E274,"*Corporate*")</f>
        <v>0</v>
      </c>
      <c r="I275" s="53">
        <f t="shared" si="5"/>
        <v>1</v>
      </c>
    </row>
    <row r="276" spans="2:9" x14ac:dyDescent="0.25">
      <c r="B276" s="48">
        <f>+'Metrics - Articles'!C275</f>
        <v>42244</v>
      </c>
      <c r="C276">
        <f>COUNTIF('Metrics - Articles'!E275,"*Sports*")</f>
        <v>0</v>
      </c>
      <c r="D276">
        <f>COUNTIF('Metrics - Articles'!E275,"*Youth*")</f>
        <v>0</v>
      </c>
      <c r="E276">
        <f>COUNTIF('Metrics - Articles'!E275,"*Healthcare*")</f>
        <v>0</v>
      </c>
      <c r="F276">
        <f>COUNTIF('Metrics - Articles'!E275,"*Innovation")</f>
        <v>1</v>
      </c>
      <c r="G276">
        <f>COUNTIF('Metrics - Articles'!E275,"*Corporate*")</f>
        <v>0</v>
      </c>
      <c r="I276" s="53">
        <f t="shared" si="5"/>
        <v>1</v>
      </c>
    </row>
    <row r="277" spans="2:9" x14ac:dyDescent="0.25">
      <c r="B277" s="48">
        <f>+'Metrics - Articles'!C276</f>
        <v>42247</v>
      </c>
      <c r="C277">
        <f>COUNTIF('Metrics - Articles'!E276,"*Sports*")</f>
        <v>1</v>
      </c>
      <c r="D277">
        <f>COUNTIF('Metrics - Articles'!E276,"*Youth*")</f>
        <v>0</v>
      </c>
      <c r="E277">
        <f>COUNTIF('Metrics - Articles'!E276,"*Healthcare*")</f>
        <v>0</v>
      </c>
      <c r="F277">
        <f>COUNTIF('Metrics - Articles'!E276,"*Innovation")</f>
        <v>0</v>
      </c>
      <c r="G277">
        <f>COUNTIF('Metrics - Articles'!E276,"*Corporate*")</f>
        <v>0</v>
      </c>
      <c r="I277" s="53">
        <f t="shared" si="5"/>
        <v>1</v>
      </c>
    </row>
    <row r="278" spans="2:9" x14ac:dyDescent="0.25">
      <c r="B278" s="48">
        <f>+'Metrics - Articles'!C277</f>
        <v>42248</v>
      </c>
      <c r="C278">
        <f>COUNTIF('Metrics - Articles'!E277,"*Sports*")</f>
        <v>0</v>
      </c>
      <c r="D278">
        <f>COUNTIF('Metrics - Articles'!E277,"*Youth*")</f>
        <v>0</v>
      </c>
      <c r="E278">
        <f>COUNTIF('Metrics - Articles'!E277,"*Healthcare*")</f>
        <v>0</v>
      </c>
      <c r="F278">
        <f>COUNTIF('Metrics - Articles'!E277,"*Innovation")</f>
        <v>1</v>
      </c>
      <c r="G278">
        <f>COUNTIF('Metrics - Articles'!E277,"*Corporate*")</f>
        <v>0</v>
      </c>
      <c r="I278" s="53">
        <f t="shared" si="5"/>
        <v>1</v>
      </c>
    </row>
    <row r="279" spans="2:9" x14ac:dyDescent="0.25">
      <c r="B279" s="48">
        <f>+'Metrics - Articles'!C278</f>
        <v>42250</v>
      </c>
      <c r="C279">
        <f>COUNTIF('Metrics - Articles'!E278,"*Sports*")</f>
        <v>0</v>
      </c>
      <c r="D279">
        <f>COUNTIF('Metrics - Articles'!E278,"*Youth*")</f>
        <v>0</v>
      </c>
      <c r="E279">
        <f>COUNTIF('Metrics - Articles'!E278,"*Healthcare*")</f>
        <v>0</v>
      </c>
      <c r="F279">
        <f>COUNTIF('Metrics - Articles'!E278,"*Innovation")</f>
        <v>0</v>
      </c>
      <c r="G279">
        <f>COUNTIF('Metrics - Articles'!E278,"*Corporate*")</f>
        <v>1</v>
      </c>
      <c r="I279" s="53">
        <f t="shared" si="5"/>
        <v>1</v>
      </c>
    </row>
    <row r="280" spans="2:9" x14ac:dyDescent="0.25">
      <c r="B280" s="48">
        <f>+'Metrics - Articles'!C279</f>
        <v>42255</v>
      </c>
      <c r="C280">
        <f>COUNTIF('Metrics - Articles'!E279,"*Sports*")</f>
        <v>0</v>
      </c>
      <c r="D280">
        <f>COUNTIF('Metrics - Articles'!E279,"*Youth*")</f>
        <v>0</v>
      </c>
      <c r="E280">
        <f>COUNTIF('Metrics - Articles'!E279,"*Healthcare*")</f>
        <v>0</v>
      </c>
      <c r="F280">
        <f>COUNTIF('Metrics - Articles'!E279,"*Innovation")</f>
        <v>0</v>
      </c>
      <c r="G280">
        <f>COUNTIF('Metrics - Articles'!E279,"*Corporate*")</f>
        <v>1</v>
      </c>
      <c r="I280" s="53">
        <f t="shared" si="5"/>
        <v>1</v>
      </c>
    </row>
    <row r="281" spans="2:9" x14ac:dyDescent="0.25">
      <c r="B281" s="48">
        <f>+'Metrics - Articles'!C280</f>
        <v>42255</v>
      </c>
      <c r="C281">
        <f>COUNTIF('Metrics - Articles'!E280,"*Sports*")</f>
        <v>0</v>
      </c>
      <c r="D281">
        <f>COUNTIF('Metrics - Articles'!E280,"*Youth*")</f>
        <v>0</v>
      </c>
      <c r="E281">
        <f>COUNTIF('Metrics - Articles'!E280,"*Healthcare*")</f>
        <v>0</v>
      </c>
      <c r="F281">
        <f>COUNTIF('Metrics - Articles'!E280,"*Innovation")</f>
        <v>1</v>
      </c>
      <c r="G281">
        <f>COUNTIF('Metrics - Articles'!E280,"*Corporate*")</f>
        <v>0</v>
      </c>
      <c r="I281" s="53">
        <f t="shared" si="5"/>
        <v>1</v>
      </c>
    </row>
    <row r="282" spans="2:9" x14ac:dyDescent="0.25">
      <c r="B282" s="48">
        <f>+'Metrics - Articles'!C281</f>
        <v>42256</v>
      </c>
      <c r="C282">
        <f>COUNTIF('Metrics - Articles'!E281,"*Sports*")</f>
        <v>0</v>
      </c>
      <c r="D282">
        <f>COUNTIF('Metrics - Articles'!E281,"*Youth*")</f>
        <v>0</v>
      </c>
      <c r="E282">
        <f>COUNTIF('Metrics - Articles'!E281,"*Healthcare*")</f>
        <v>0</v>
      </c>
      <c r="F282">
        <f>COUNTIF('Metrics - Articles'!E281,"*Innovation")</f>
        <v>0</v>
      </c>
      <c r="G282">
        <f>COUNTIF('Metrics - Articles'!E281,"*Corporate*")</f>
        <v>1</v>
      </c>
      <c r="I282" s="53">
        <f t="shared" si="5"/>
        <v>1</v>
      </c>
    </row>
    <row r="283" spans="2:9" x14ac:dyDescent="0.25">
      <c r="B283" s="48">
        <f>+'Metrics - Articles'!C282</f>
        <v>42257</v>
      </c>
      <c r="C283">
        <f>COUNTIF('Metrics - Articles'!E282,"*Sports*")</f>
        <v>0</v>
      </c>
      <c r="D283">
        <f>COUNTIF('Metrics - Articles'!E282,"*Youth*")</f>
        <v>0</v>
      </c>
      <c r="E283">
        <f>COUNTIF('Metrics - Articles'!E282,"*Healthcare*")</f>
        <v>1</v>
      </c>
      <c r="F283">
        <f>COUNTIF('Metrics - Articles'!E282,"*Innovation")</f>
        <v>0</v>
      </c>
      <c r="G283">
        <f>COUNTIF('Metrics - Articles'!E282,"*Corporate*")</f>
        <v>0</v>
      </c>
      <c r="I283" s="53">
        <f t="shared" si="5"/>
        <v>1</v>
      </c>
    </row>
    <row r="284" spans="2:9" x14ac:dyDescent="0.25">
      <c r="B284" s="48">
        <f>+'Metrics - Articles'!C283</f>
        <v>42258</v>
      </c>
      <c r="C284">
        <f>COUNTIF('Metrics - Articles'!E283,"*Sports*")</f>
        <v>0</v>
      </c>
      <c r="D284">
        <f>COUNTIF('Metrics - Articles'!E283,"*Youth*")</f>
        <v>0</v>
      </c>
      <c r="E284">
        <f>COUNTIF('Metrics - Articles'!E283,"*Healthcare*")</f>
        <v>1</v>
      </c>
      <c r="F284">
        <f>COUNTIF('Metrics - Articles'!E283,"*Innovation")</f>
        <v>0</v>
      </c>
      <c r="G284">
        <f>COUNTIF('Metrics - Articles'!E283,"*Corporate*")</f>
        <v>0</v>
      </c>
      <c r="I284" s="53">
        <f t="shared" si="5"/>
        <v>1</v>
      </c>
    </row>
    <row r="285" spans="2:9" x14ac:dyDescent="0.25">
      <c r="B285" s="48">
        <f>+'Metrics - Articles'!C284</f>
        <v>42261</v>
      </c>
      <c r="C285">
        <f>COUNTIF('Metrics - Articles'!E284,"*Sports*")</f>
        <v>0</v>
      </c>
      <c r="D285">
        <f>COUNTIF('Metrics - Articles'!E284,"*Youth*")</f>
        <v>0</v>
      </c>
      <c r="E285">
        <f>COUNTIF('Metrics - Articles'!E284,"*Healthcare*")</f>
        <v>0</v>
      </c>
      <c r="F285">
        <f>COUNTIF('Metrics - Articles'!E284,"*Innovation")</f>
        <v>0</v>
      </c>
      <c r="G285">
        <f>COUNTIF('Metrics - Articles'!E284,"*Corporate*")</f>
        <v>1</v>
      </c>
      <c r="I285" s="53">
        <f t="shared" si="5"/>
        <v>1</v>
      </c>
    </row>
    <row r="286" spans="2:9" x14ac:dyDescent="0.25">
      <c r="B286" s="48">
        <f>+'Metrics - Articles'!C285</f>
        <v>42262</v>
      </c>
      <c r="C286">
        <f>COUNTIF('Metrics - Articles'!E285,"*Sports*")</f>
        <v>0</v>
      </c>
      <c r="D286">
        <f>COUNTIF('Metrics - Articles'!E285,"*Youth*")</f>
        <v>0</v>
      </c>
      <c r="E286">
        <f>COUNTIF('Metrics - Articles'!E285,"*Healthcare*")</f>
        <v>0</v>
      </c>
      <c r="F286">
        <f>COUNTIF('Metrics - Articles'!E285,"*Innovation")</f>
        <v>1</v>
      </c>
      <c r="G286">
        <f>COUNTIF('Metrics - Articles'!E285,"*Corporate*")</f>
        <v>0</v>
      </c>
      <c r="I286" s="53">
        <f t="shared" si="5"/>
        <v>1</v>
      </c>
    </row>
    <row r="287" spans="2:9" x14ac:dyDescent="0.25">
      <c r="B287" s="48">
        <f>+'Metrics - Articles'!C286</f>
        <v>42262</v>
      </c>
      <c r="C287">
        <f>COUNTIF('Metrics - Articles'!E286,"*Sports*")</f>
        <v>0</v>
      </c>
      <c r="D287">
        <f>COUNTIF('Metrics - Articles'!E286,"*Youth*")</f>
        <v>0</v>
      </c>
      <c r="E287">
        <f>COUNTIF('Metrics - Articles'!E286,"*Healthcare*")</f>
        <v>0</v>
      </c>
      <c r="F287">
        <f>COUNTIF('Metrics - Articles'!E286,"*Innovation")</f>
        <v>0</v>
      </c>
      <c r="G287">
        <f>COUNTIF('Metrics - Articles'!E286,"*Corporate*")</f>
        <v>1</v>
      </c>
      <c r="I287" s="53">
        <f t="shared" si="5"/>
        <v>1</v>
      </c>
    </row>
    <row r="288" spans="2:9" x14ac:dyDescent="0.25">
      <c r="B288" s="48">
        <f>+'Metrics - Articles'!C287</f>
        <v>42263</v>
      </c>
      <c r="C288">
        <f>COUNTIF('Metrics - Articles'!E287,"*Sports*")</f>
        <v>0</v>
      </c>
      <c r="D288">
        <f>COUNTIF('Metrics - Articles'!E287,"*Youth*")</f>
        <v>0</v>
      </c>
      <c r="E288">
        <f>COUNTIF('Metrics - Articles'!E287,"*Healthcare*")</f>
        <v>0</v>
      </c>
      <c r="F288">
        <f>COUNTIF('Metrics - Articles'!E287,"*Innovation")</f>
        <v>0</v>
      </c>
      <c r="G288">
        <f>COUNTIF('Metrics - Articles'!E287,"*Corporate*")</f>
        <v>1</v>
      </c>
      <c r="I288" s="53">
        <f t="shared" si="5"/>
        <v>1</v>
      </c>
    </row>
    <row r="289" spans="2:9" x14ac:dyDescent="0.25">
      <c r="B289" s="48">
        <f>+'Metrics - Articles'!C288</f>
        <v>42263</v>
      </c>
      <c r="C289">
        <f>COUNTIF('Metrics - Articles'!E288,"*Sports*")</f>
        <v>0</v>
      </c>
      <c r="D289">
        <f>COUNTIF('Metrics - Articles'!E288,"*Youth*")</f>
        <v>0</v>
      </c>
      <c r="E289">
        <f>COUNTIF('Metrics - Articles'!E288,"*Healthcare*")</f>
        <v>0</v>
      </c>
      <c r="F289">
        <f>COUNTIF('Metrics - Articles'!E288,"*Innovation")</f>
        <v>1</v>
      </c>
      <c r="G289">
        <f>COUNTIF('Metrics - Articles'!E288,"*Corporate*")</f>
        <v>0</v>
      </c>
      <c r="I289" s="53">
        <f t="shared" si="5"/>
        <v>1</v>
      </c>
    </row>
    <row r="290" spans="2:9" x14ac:dyDescent="0.25">
      <c r="B290" s="48">
        <f>+'Metrics - Articles'!C289</f>
        <v>42264</v>
      </c>
      <c r="C290">
        <f>COUNTIF('Metrics - Articles'!E289,"*Sports*")</f>
        <v>0</v>
      </c>
      <c r="D290">
        <f>COUNTIF('Metrics - Articles'!E289,"*Youth*")</f>
        <v>0</v>
      </c>
      <c r="E290">
        <f>COUNTIF('Metrics - Articles'!E289,"*Healthcare*")</f>
        <v>0</v>
      </c>
      <c r="F290">
        <f>COUNTIF('Metrics - Articles'!E289,"*Innovation")</f>
        <v>0</v>
      </c>
      <c r="G290">
        <f>COUNTIF('Metrics - Articles'!E289,"*Corporate*")</f>
        <v>1</v>
      </c>
      <c r="I290" s="53">
        <f t="shared" si="5"/>
        <v>1</v>
      </c>
    </row>
    <row r="291" spans="2:9" x14ac:dyDescent="0.25">
      <c r="B291" s="48">
        <f>+'Metrics - Articles'!C290</f>
        <v>42269</v>
      </c>
      <c r="C291">
        <f>COUNTIF('Metrics - Articles'!E290,"*Sports*")</f>
        <v>1</v>
      </c>
      <c r="D291">
        <f>COUNTIF('Metrics - Articles'!E290,"*Youth*")</f>
        <v>0</v>
      </c>
      <c r="E291">
        <f>COUNTIF('Metrics - Articles'!E290,"*Healthcare*")</f>
        <v>0</v>
      </c>
      <c r="F291">
        <f>COUNTIF('Metrics - Articles'!E290,"*Innovation")</f>
        <v>0</v>
      </c>
      <c r="G291">
        <f>COUNTIF('Metrics - Articles'!E290,"*Corporate*")</f>
        <v>0</v>
      </c>
      <c r="I291" s="53">
        <f t="shared" si="5"/>
        <v>1</v>
      </c>
    </row>
    <row r="292" spans="2:9" x14ac:dyDescent="0.25">
      <c r="B292" s="48">
        <f>+'Metrics - Articles'!C291</f>
        <v>42270</v>
      </c>
      <c r="C292">
        <f>COUNTIF('Metrics - Articles'!E291,"*Sports*")</f>
        <v>0</v>
      </c>
      <c r="D292">
        <f>COUNTIF('Metrics - Articles'!E291,"*Youth*")</f>
        <v>0</v>
      </c>
      <c r="E292">
        <f>COUNTIF('Metrics - Articles'!E291,"*Healthcare*")</f>
        <v>0</v>
      </c>
      <c r="F292">
        <f>COUNTIF('Metrics - Articles'!E291,"*Innovation")</f>
        <v>0</v>
      </c>
      <c r="G292">
        <f>COUNTIF('Metrics - Articles'!E291,"*Corporate*")</f>
        <v>1</v>
      </c>
      <c r="I292" s="53">
        <f t="shared" si="5"/>
        <v>1</v>
      </c>
    </row>
    <row r="293" spans="2:9" x14ac:dyDescent="0.25">
      <c r="B293" s="48">
        <f>+'Metrics - Articles'!C292</f>
        <v>42272</v>
      </c>
      <c r="C293">
        <f>COUNTIF('Metrics - Articles'!E292,"*Sports*")</f>
        <v>0</v>
      </c>
      <c r="D293">
        <f>COUNTIF('Metrics - Articles'!E292,"*Youth*")</f>
        <v>0</v>
      </c>
      <c r="E293">
        <f>COUNTIF('Metrics - Articles'!E292,"*Healthcare*")</f>
        <v>0</v>
      </c>
      <c r="F293">
        <f>COUNTIF('Metrics - Articles'!E292,"*Innovation")</f>
        <v>1</v>
      </c>
      <c r="G293">
        <f>COUNTIF('Metrics - Articles'!E292,"*Corporate*")</f>
        <v>0</v>
      </c>
      <c r="I293" s="53">
        <f t="shared" si="5"/>
        <v>1</v>
      </c>
    </row>
    <row r="294" spans="2:9" x14ac:dyDescent="0.25">
      <c r="B294" s="48">
        <f>+'Metrics - Articles'!C293</f>
        <v>42272</v>
      </c>
      <c r="C294">
        <f>COUNTIF('Metrics - Articles'!E293,"*Sports*")</f>
        <v>0</v>
      </c>
      <c r="D294">
        <f>COUNTIF('Metrics - Articles'!E293,"*Youth*")</f>
        <v>0</v>
      </c>
      <c r="E294">
        <f>COUNTIF('Metrics - Articles'!E293,"*Healthcare*")</f>
        <v>0</v>
      </c>
      <c r="F294">
        <f>COUNTIF('Metrics - Articles'!E293,"*Innovation")</f>
        <v>1</v>
      </c>
      <c r="G294">
        <f>COUNTIF('Metrics - Articles'!E293,"*Corporate*")</f>
        <v>0</v>
      </c>
      <c r="I294" s="53">
        <f t="shared" si="5"/>
        <v>1</v>
      </c>
    </row>
    <row r="295" spans="2:9" x14ac:dyDescent="0.25">
      <c r="B295" s="48">
        <f>+'Metrics - Articles'!C294</f>
        <v>42272</v>
      </c>
      <c r="C295">
        <f>COUNTIF('Metrics - Articles'!E294,"*Sports*")</f>
        <v>0</v>
      </c>
      <c r="D295">
        <f>COUNTIF('Metrics - Articles'!E294,"*Youth*")</f>
        <v>0</v>
      </c>
      <c r="E295">
        <f>COUNTIF('Metrics - Articles'!E294,"*Healthcare*")</f>
        <v>0</v>
      </c>
      <c r="F295">
        <f>COUNTIF('Metrics - Articles'!E294,"*Innovation")</f>
        <v>1</v>
      </c>
      <c r="G295">
        <f>COUNTIF('Metrics - Articles'!E294,"*Corporate*")</f>
        <v>0</v>
      </c>
      <c r="I295" s="53">
        <f t="shared" si="5"/>
        <v>1</v>
      </c>
    </row>
    <row r="296" spans="2:9" x14ac:dyDescent="0.25">
      <c r="B296" s="48">
        <f>+'Metrics - Articles'!C295</f>
        <v>42275</v>
      </c>
      <c r="C296">
        <f>COUNTIF('Metrics - Articles'!E295,"*Sports*")</f>
        <v>0</v>
      </c>
      <c r="D296">
        <f>COUNTIF('Metrics - Articles'!E295,"*Youth*")</f>
        <v>0</v>
      </c>
      <c r="E296">
        <f>COUNTIF('Metrics - Articles'!E295,"*Healthcare*")</f>
        <v>0</v>
      </c>
      <c r="F296">
        <f>COUNTIF('Metrics - Articles'!E295,"*Innovation")</f>
        <v>1</v>
      </c>
      <c r="G296">
        <f>COUNTIF('Metrics - Articles'!E295,"*Corporate*")</f>
        <v>0</v>
      </c>
      <c r="I296" s="53">
        <f t="shared" si="5"/>
        <v>1</v>
      </c>
    </row>
    <row r="297" spans="2:9" x14ac:dyDescent="0.25">
      <c r="B297" s="48">
        <f>+'Metrics - Articles'!C296</f>
        <v>42276</v>
      </c>
      <c r="C297">
        <f>COUNTIF('Metrics - Articles'!E296,"*Sports*")</f>
        <v>0</v>
      </c>
      <c r="D297">
        <f>COUNTIF('Metrics - Articles'!E296,"*Youth*")</f>
        <v>0</v>
      </c>
      <c r="E297">
        <f>COUNTIF('Metrics - Articles'!E296,"*Healthcare*")</f>
        <v>0</v>
      </c>
      <c r="F297">
        <f>COUNTIF('Metrics - Articles'!E296,"*Innovation")</f>
        <v>1</v>
      </c>
      <c r="G297">
        <f>COUNTIF('Metrics - Articles'!E296,"*Corporate*")</f>
        <v>0</v>
      </c>
      <c r="I297" s="53">
        <f t="shared" si="5"/>
        <v>1</v>
      </c>
    </row>
    <row r="298" spans="2:9" x14ac:dyDescent="0.25">
      <c r="B298" s="48">
        <f>+'Metrics - Articles'!C297</f>
        <v>42277</v>
      </c>
      <c r="C298">
        <f>COUNTIF('Metrics - Articles'!E297,"*Sports*")</f>
        <v>0</v>
      </c>
      <c r="D298">
        <f>COUNTIF('Metrics - Articles'!E297,"*Youth*")</f>
        <v>0</v>
      </c>
      <c r="E298">
        <f>COUNTIF('Metrics - Articles'!E297,"*Healthcare*")</f>
        <v>0</v>
      </c>
      <c r="F298">
        <f>COUNTIF('Metrics - Articles'!E297,"*Innovation")</f>
        <v>0</v>
      </c>
      <c r="G298">
        <f>COUNTIF('Metrics - Articles'!E297,"*Corporate*")</f>
        <v>1</v>
      </c>
      <c r="I298" s="53">
        <f t="shared" si="5"/>
        <v>1</v>
      </c>
    </row>
    <row r="299" spans="2:9" x14ac:dyDescent="0.25">
      <c r="B299" s="48">
        <f>+'Metrics - Articles'!C298</f>
        <v>42277</v>
      </c>
      <c r="C299">
        <f>COUNTIF('Metrics - Articles'!E298,"*Sports*")</f>
        <v>0</v>
      </c>
      <c r="D299">
        <f>COUNTIF('Metrics - Articles'!E298,"*Youth*")</f>
        <v>0</v>
      </c>
      <c r="E299">
        <f>COUNTIF('Metrics - Articles'!E298,"*Healthcare*")</f>
        <v>0</v>
      </c>
      <c r="F299">
        <f>COUNTIF('Metrics - Articles'!E298,"*Innovation")</f>
        <v>1</v>
      </c>
      <c r="G299">
        <f>COUNTIF('Metrics - Articles'!E298,"*Corporate*")</f>
        <v>0</v>
      </c>
      <c r="I299" s="53">
        <f t="shared" si="5"/>
        <v>1</v>
      </c>
    </row>
    <row r="300" spans="2:9" x14ac:dyDescent="0.25">
      <c r="B300" s="48">
        <f>+'Metrics - Articles'!C299</f>
        <v>42278</v>
      </c>
      <c r="C300">
        <f>COUNTIF('Metrics - Articles'!E299,"*Sports*")</f>
        <v>0</v>
      </c>
      <c r="D300">
        <f>COUNTIF('Metrics - Articles'!E299,"*Youth*")</f>
        <v>1</v>
      </c>
      <c r="E300">
        <f>COUNTIF('Metrics - Articles'!E299,"*Healthcare*")</f>
        <v>0</v>
      </c>
      <c r="F300">
        <f>COUNTIF('Metrics - Articles'!E299,"*Innovation")</f>
        <v>0</v>
      </c>
      <c r="G300">
        <f>COUNTIF('Metrics - Articles'!E299,"*Corporate*")</f>
        <v>0</v>
      </c>
      <c r="I300" s="53">
        <f t="shared" si="5"/>
        <v>1</v>
      </c>
    </row>
    <row r="301" spans="2:9" x14ac:dyDescent="0.25">
      <c r="B301" s="48">
        <f>+'Metrics - Articles'!C300</f>
        <v>42285</v>
      </c>
      <c r="C301">
        <f>COUNTIF('Metrics - Articles'!E300,"*Sports*")</f>
        <v>0</v>
      </c>
      <c r="D301">
        <f>COUNTIF('Metrics - Articles'!E300,"*Youth*")</f>
        <v>0</v>
      </c>
      <c r="E301">
        <f>COUNTIF('Metrics - Articles'!E300,"*Healthcare*")</f>
        <v>0</v>
      </c>
      <c r="F301">
        <f>COUNTIF('Metrics - Articles'!E300,"*Innovation")</f>
        <v>0</v>
      </c>
      <c r="G301">
        <f>COUNTIF('Metrics - Articles'!E300,"*Corporate*")</f>
        <v>1</v>
      </c>
      <c r="I301" s="53">
        <f t="shared" si="5"/>
        <v>1</v>
      </c>
    </row>
    <row r="302" spans="2:9" x14ac:dyDescent="0.25">
      <c r="B302" s="48">
        <f>+'Metrics - Articles'!C301</f>
        <v>42286</v>
      </c>
      <c r="C302">
        <f>COUNTIF('Metrics - Articles'!E301,"*Sports*")</f>
        <v>0</v>
      </c>
      <c r="D302">
        <f>COUNTIF('Metrics - Articles'!E301,"*Youth*")</f>
        <v>0</v>
      </c>
      <c r="E302">
        <f>COUNTIF('Metrics - Articles'!E301,"*Healthcare*")</f>
        <v>0</v>
      </c>
      <c r="F302">
        <f>COUNTIF('Metrics - Articles'!E301,"*Innovation")</f>
        <v>0</v>
      </c>
      <c r="G302">
        <f>COUNTIF('Metrics - Articles'!E301,"*Corporate*")</f>
        <v>1</v>
      </c>
      <c r="I302" s="53">
        <f t="shared" si="5"/>
        <v>1</v>
      </c>
    </row>
    <row r="303" spans="2:9" x14ac:dyDescent="0.25">
      <c r="B303" s="48">
        <f>+'Metrics - Articles'!C302</f>
        <v>42289</v>
      </c>
      <c r="C303">
        <f>COUNTIF('Metrics - Articles'!E302,"*Sports*")</f>
        <v>0</v>
      </c>
      <c r="D303">
        <f>COUNTIF('Metrics - Articles'!E302,"*Youth*")</f>
        <v>0</v>
      </c>
      <c r="E303">
        <f>COUNTIF('Metrics - Articles'!E302,"*Healthcare*")</f>
        <v>1</v>
      </c>
      <c r="F303">
        <f>COUNTIF('Metrics - Articles'!E302,"*Innovation")</f>
        <v>0</v>
      </c>
      <c r="G303">
        <f>COUNTIF('Metrics - Articles'!E302,"*Corporate*")</f>
        <v>0</v>
      </c>
      <c r="I303" s="53">
        <f t="shared" si="5"/>
        <v>1</v>
      </c>
    </row>
    <row r="304" spans="2:9" x14ac:dyDescent="0.25">
      <c r="B304" s="48">
        <f>+'Metrics - Articles'!C303</f>
        <v>42289</v>
      </c>
      <c r="C304">
        <f>COUNTIF('Metrics - Articles'!E303,"*Sports*")</f>
        <v>0</v>
      </c>
      <c r="D304">
        <f>COUNTIF('Metrics - Articles'!E303,"*Youth*")</f>
        <v>0</v>
      </c>
      <c r="E304">
        <f>COUNTIF('Metrics - Articles'!E303,"*Healthcare*")</f>
        <v>0</v>
      </c>
      <c r="F304">
        <f>COUNTIF('Metrics - Articles'!E303,"*Innovation")</f>
        <v>1</v>
      </c>
      <c r="G304">
        <f>COUNTIF('Metrics - Articles'!E303,"*Corporate*")</f>
        <v>0</v>
      </c>
      <c r="I304" s="53">
        <f t="shared" si="5"/>
        <v>1</v>
      </c>
    </row>
    <row r="305" spans="2:9" x14ac:dyDescent="0.25">
      <c r="B305" s="48">
        <f>+'Metrics - Articles'!C304</f>
        <v>42289</v>
      </c>
      <c r="C305">
        <f>COUNTIF('Metrics - Articles'!E304,"*Sports*")</f>
        <v>0</v>
      </c>
      <c r="D305">
        <f>COUNTIF('Metrics - Articles'!E304,"*Youth*")</f>
        <v>0</v>
      </c>
      <c r="E305">
        <f>COUNTIF('Metrics - Articles'!E304,"*Healthcare*")</f>
        <v>0</v>
      </c>
      <c r="F305">
        <f>COUNTIF('Metrics - Articles'!E304,"*Innovation")</f>
        <v>1</v>
      </c>
      <c r="G305">
        <f>COUNTIF('Metrics - Articles'!E304,"*Corporate*")</f>
        <v>1</v>
      </c>
      <c r="I305" s="53">
        <f t="shared" si="5"/>
        <v>2</v>
      </c>
    </row>
    <row r="306" spans="2:9" x14ac:dyDescent="0.25">
      <c r="B306" s="48">
        <f>+'Metrics - Articles'!C305</f>
        <v>42290</v>
      </c>
      <c r="C306">
        <f>COUNTIF('Metrics - Articles'!E305,"*Sports*")</f>
        <v>0</v>
      </c>
      <c r="D306">
        <f>COUNTIF('Metrics - Articles'!E305,"*Youth*")</f>
        <v>0</v>
      </c>
      <c r="E306">
        <f>COUNTIF('Metrics - Articles'!E305,"*Healthcare*")</f>
        <v>0</v>
      </c>
      <c r="F306">
        <f>COUNTIF('Metrics - Articles'!E305,"*Innovation")</f>
        <v>0</v>
      </c>
      <c r="G306">
        <f>COUNTIF('Metrics - Articles'!E305,"*Corporate*")</f>
        <v>1</v>
      </c>
      <c r="I306" s="53">
        <f t="shared" si="5"/>
        <v>1</v>
      </c>
    </row>
    <row r="307" spans="2:9" x14ac:dyDescent="0.25">
      <c r="B307" s="48">
        <f>+'Metrics - Articles'!C306</f>
        <v>42290</v>
      </c>
      <c r="C307">
        <f>COUNTIF('Metrics - Articles'!E306,"*Sports*")</f>
        <v>1</v>
      </c>
      <c r="D307">
        <f>COUNTIF('Metrics - Articles'!E306,"*Youth*")</f>
        <v>0</v>
      </c>
      <c r="E307">
        <f>COUNTIF('Metrics - Articles'!E306,"*Healthcare*")</f>
        <v>0</v>
      </c>
      <c r="F307">
        <f>COUNTIF('Metrics - Articles'!E306,"*Innovation")</f>
        <v>0</v>
      </c>
      <c r="G307">
        <f>COUNTIF('Metrics - Articles'!E306,"*Corporate*")</f>
        <v>0</v>
      </c>
      <c r="I307" s="53">
        <f t="shared" si="5"/>
        <v>1</v>
      </c>
    </row>
    <row r="308" spans="2:9" x14ac:dyDescent="0.25">
      <c r="B308" s="48">
        <f>+'Metrics - Articles'!C307</f>
        <v>42292</v>
      </c>
      <c r="C308">
        <f>COUNTIF('Metrics - Articles'!E307,"*Sports*")</f>
        <v>0</v>
      </c>
      <c r="D308">
        <f>COUNTIF('Metrics - Articles'!E307,"*Youth*")</f>
        <v>0</v>
      </c>
      <c r="E308">
        <f>COUNTIF('Metrics - Articles'!E307,"*Healthcare*")</f>
        <v>0</v>
      </c>
      <c r="F308">
        <f>COUNTIF('Metrics - Articles'!E307,"*Innovation")</f>
        <v>0</v>
      </c>
      <c r="G308">
        <f>COUNTIF('Metrics - Articles'!E307,"*Corporate*")</f>
        <v>1</v>
      </c>
      <c r="I308" s="53">
        <f t="shared" si="5"/>
        <v>1</v>
      </c>
    </row>
    <row r="309" spans="2:9" x14ac:dyDescent="0.25">
      <c r="B309" s="48">
        <f>+'Metrics - Articles'!C308</f>
        <v>42292</v>
      </c>
      <c r="C309">
        <f>COUNTIF('Metrics - Articles'!E308,"*Sports*")</f>
        <v>0</v>
      </c>
      <c r="D309">
        <f>COUNTIF('Metrics - Articles'!E308,"*Youth*")</f>
        <v>0</v>
      </c>
      <c r="E309">
        <f>COUNTIF('Metrics - Articles'!E308,"*Healthcare*")</f>
        <v>1</v>
      </c>
      <c r="F309">
        <f>COUNTIF('Metrics - Articles'!E308,"*Innovation")</f>
        <v>1</v>
      </c>
      <c r="G309">
        <f>COUNTIF('Metrics - Articles'!E308,"*Corporate*")</f>
        <v>0</v>
      </c>
      <c r="I309" s="53">
        <f t="shared" si="5"/>
        <v>2</v>
      </c>
    </row>
    <row r="310" spans="2:9" x14ac:dyDescent="0.25">
      <c r="B310" s="48">
        <f>+'Metrics - Articles'!C309</f>
        <v>42292</v>
      </c>
      <c r="C310">
        <f>COUNTIF('Metrics - Articles'!E309,"*Sports*")</f>
        <v>0</v>
      </c>
      <c r="D310">
        <f>COUNTIF('Metrics - Articles'!E309,"*Youth*")</f>
        <v>1</v>
      </c>
      <c r="E310">
        <f>COUNTIF('Metrics - Articles'!E309,"*Healthcare*")</f>
        <v>0</v>
      </c>
      <c r="F310">
        <f>COUNTIF('Metrics - Articles'!E309,"*Innovation")</f>
        <v>0</v>
      </c>
      <c r="G310">
        <f>COUNTIF('Metrics - Articles'!E309,"*Corporate*")</f>
        <v>0</v>
      </c>
      <c r="I310" s="53">
        <f t="shared" si="5"/>
        <v>1</v>
      </c>
    </row>
    <row r="311" spans="2:9" x14ac:dyDescent="0.25">
      <c r="B311" s="48">
        <f>+'Metrics - Articles'!C310</f>
        <v>42293</v>
      </c>
      <c r="C311">
        <f>COUNTIF('Metrics - Articles'!E310,"*Sports*")</f>
        <v>0</v>
      </c>
      <c r="D311">
        <f>COUNTIF('Metrics - Articles'!E310,"*Youth*")</f>
        <v>0</v>
      </c>
      <c r="E311">
        <f>COUNTIF('Metrics - Articles'!E310,"*Healthcare*")</f>
        <v>0</v>
      </c>
      <c r="F311">
        <f>COUNTIF('Metrics - Articles'!E310,"*Innovation")</f>
        <v>1</v>
      </c>
      <c r="G311">
        <f>COUNTIF('Metrics - Articles'!E310,"*Corporate*")</f>
        <v>0</v>
      </c>
      <c r="I311" s="53">
        <f t="shared" si="5"/>
        <v>1</v>
      </c>
    </row>
    <row r="312" spans="2:9" x14ac:dyDescent="0.25">
      <c r="B312" s="48">
        <f>+'Metrics - Articles'!C311</f>
        <v>42296</v>
      </c>
      <c r="C312">
        <f>COUNTIF('Metrics - Articles'!E311,"*Sports*")</f>
        <v>0</v>
      </c>
      <c r="D312">
        <f>COUNTIF('Metrics - Articles'!E311,"*Youth*")</f>
        <v>0</v>
      </c>
      <c r="E312">
        <f>COUNTIF('Metrics - Articles'!E311,"*Healthcare*")</f>
        <v>0</v>
      </c>
      <c r="F312">
        <f>COUNTIF('Metrics - Articles'!E311,"*Innovation")</f>
        <v>0</v>
      </c>
      <c r="G312">
        <f>COUNTIF('Metrics - Articles'!E311,"*Corporate*")</f>
        <v>1</v>
      </c>
      <c r="I312" s="53">
        <f t="shared" si="5"/>
        <v>1</v>
      </c>
    </row>
    <row r="313" spans="2:9" x14ac:dyDescent="0.25">
      <c r="B313" s="48">
        <f>+'Metrics - Articles'!C312</f>
        <v>42297</v>
      </c>
      <c r="C313">
        <f>COUNTIF('Metrics - Articles'!E312,"*Sports*")</f>
        <v>0</v>
      </c>
      <c r="D313">
        <f>COUNTIF('Metrics - Articles'!E312,"*Youth*")</f>
        <v>0</v>
      </c>
      <c r="E313">
        <f>COUNTIF('Metrics - Articles'!E312,"*Healthcare*")</f>
        <v>0</v>
      </c>
      <c r="F313">
        <f>COUNTIF('Metrics - Articles'!E312,"*Innovation")</f>
        <v>0</v>
      </c>
      <c r="G313">
        <f>COUNTIF('Metrics - Articles'!E312,"*Corporate*")</f>
        <v>1</v>
      </c>
      <c r="I313" s="53">
        <f t="shared" si="5"/>
        <v>1</v>
      </c>
    </row>
    <row r="314" spans="2:9" x14ac:dyDescent="0.25">
      <c r="B314" s="48">
        <f>+'Metrics - Articles'!C313</f>
        <v>42298</v>
      </c>
      <c r="C314">
        <f>COUNTIF('Metrics - Articles'!E313,"*Sports*")</f>
        <v>0</v>
      </c>
      <c r="D314">
        <f>COUNTIF('Metrics - Articles'!E313,"*Youth*")</f>
        <v>0</v>
      </c>
      <c r="E314">
        <f>COUNTIF('Metrics - Articles'!E313,"*Healthcare*")</f>
        <v>0</v>
      </c>
      <c r="F314">
        <f>COUNTIF('Metrics - Articles'!E313,"*Innovation")</f>
        <v>0</v>
      </c>
      <c r="G314">
        <f>COUNTIF('Metrics - Articles'!E313,"*Corporate*")</f>
        <v>1</v>
      </c>
      <c r="I314" s="53">
        <f t="shared" si="5"/>
        <v>1</v>
      </c>
    </row>
    <row r="315" spans="2:9" x14ac:dyDescent="0.25">
      <c r="B315" s="48">
        <f>+'Metrics - Articles'!C314</f>
        <v>42298</v>
      </c>
      <c r="C315">
        <f>COUNTIF('Metrics - Articles'!E314,"*Sports*")</f>
        <v>0</v>
      </c>
      <c r="D315">
        <f>COUNTIF('Metrics - Articles'!E314,"*Youth*")</f>
        <v>0</v>
      </c>
      <c r="E315">
        <f>COUNTIF('Metrics - Articles'!E314,"*Healthcare*")</f>
        <v>0</v>
      </c>
      <c r="F315">
        <f>COUNTIF('Metrics - Articles'!E314,"*Innovation")</f>
        <v>0</v>
      </c>
      <c r="G315">
        <f>COUNTIF('Metrics - Articles'!E314,"*Corporate*")</f>
        <v>1</v>
      </c>
      <c r="I315" s="53">
        <f t="shared" si="5"/>
        <v>1</v>
      </c>
    </row>
    <row r="316" spans="2:9" x14ac:dyDescent="0.25">
      <c r="B316" s="48">
        <f>+'Metrics - Articles'!C315</f>
        <v>42298</v>
      </c>
      <c r="C316">
        <f>COUNTIF('Metrics - Articles'!E315,"*Sports*")</f>
        <v>0</v>
      </c>
      <c r="D316">
        <f>COUNTIF('Metrics - Articles'!E315,"*Youth*")</f>
        <v>0</v>
      </c>
      <c r="E316">
        <f>COUNTIF('Metrics - Articles'!E315,"*Healthcare*")</f>
        <v>0</v>
      </c>
      <c r="F316">
        <f>COUNTIF('Metrics - Articles'!E315,"*Innovation")</f>
        <v>0</v>
      </c>
      <c r="G316">
        <f>COUNTIF('Metrics - Articles'!E315,"*Corporate*")</f>
        <v>1</v>
      </c>
      <c r="I316" s="53">
        <f t="shared" si="5"/>
        <v>1</v>
      </c>
    </row>
    <row r="317" spans="2:9" x14ac:dyDescent="0.25">
      <c r="B317" s="48">
        <f>+'Metrics - Articles'!C316</f>
        <v>42299</v>
      </c>
      <c r="C317">
        <f>COUNTIF('Metrics - Articles'!E316,"*Sports*")</f>
        <v>0</v>
      </c>
      <c r="D317">
        <f>COUNTIF('Metrics - Articles'!E316,"*Youth*")</f>
        <v>0</v>
      </c>
      <c r="E317">
        <f>COUNTIF('Metrics - Articles'!E316,"*Healthcare*")</f>
        <v>0</v>
      </c>
      <c r="F317">
        <f>COUNTIF('Metrics - Articles'!E316,"*Innovation")</f>
        <v>1</v>
      </c>
      <c r="G317">
        <f>COUNTIF('Metrics - Articles'!E316,"*Corporate*")</f>
        <v>0</v>
      </c>
      <c r="I317" s="53">
        <f t="shared" si="5"/>
        <v>1</v>
      </c>
    </row>
    <row r="318" spans="2:9" x14ac:dyDescent="0.25">
      <c r="B318" s="48">
        <f>+'Metrics - Articles'!C317</f>
        <v>42300</v>
      </c>
      <c r="C318">
        <f>COUNTIF('Metrics - Articles'!E317,"*Sports*")</f>
        <v>0</v>
      </c>
      <c r="D318">
        <f>COUNTIF('Metrics - Articles'!E317,"*Youth*")</f>
        <v>0</v>
      </c>
      <c r="E318">
        <f>COUNTIF('Metrics - Articles'!E317,"*Healthcare*")</f>
        <v>0</v>
      </c>
      <c r="F318">
        <f>COUNTIF('Metrics - Articles'!E317,"*Innovation")</f>
        <v>1</v>
      </c>
      <c r="G318">
        <f>COUNTIF('Metrics - Articles'!E317,"*Corporate*")</f>
        <v>0</v>
      </c>
      <c r="I318" s="53">
        <f t="shared" si="5"/>
        <v>1</v>
      </c>
    </row>
    <row r="319" spans="2:9" x14ac:dyDescent="0.25">
      <c r="B319" s="48">
        <f>+'Metrics - Articles'!C318</f>
        <v>42305</v>
      </c>
      <c r="C319">
        <f>COUNTIF('Metrics - Articles'!E318,"*Sports*")</f>
        <v>0</v>
      </c>
      <c r="D319">
        <f>COUNTIF('Metrics - Articles'!E318,"*Youth*")</f>
        <v>1</v>
      </c>
      <c r="E319">
        <f>COUNTIF('Metrics - Articles'!E318,"*Healthcare*")</f>
        <v>0</v>
      </c>
      <c r="F319">
        <f>COUNTIF('Metrics - Articles'!E318,"*Innovation")</f>
        <v>1</v>
      </c>
      <c r="G319">
        <f>COUNTIF('Metrics - Articles'!E318,"*Corporate*")</f>
        <v>0</v>
      </c>
      <c r="I319" s="53">
        <f t="shared" si="5"/>
        <v>2</v>
      </c>
    </row>
    <row r="320" spans="2:9" x14ac:dyDescent="0.25">
      <c r="B320" s="48">
        <f>+'Metrics - Articles'!C319</f>
        <v>42309</v>
      </c>
      <c r="C320">
        <f>COUNTIF('Metrics - Articles'!E319,"*Sports*")</f>
        <v>0</v>
      </c>
      <c r="D320">
        <f>COUNTIF('Metrics - Articles'!E319,"*Youth*")</f>
        <v>0</v>
      </c>
      <c r="E320">
        <f>COUNTIF('Metrics - Articles'!E319,"*Healthcare*")</f>
        <v>0</v>
      </c>
      <c r="F320">
        <f>COUNTIF('Metrics - Articles'!E319,"*Innovation")</f>
        <v>0</v>
      </c>
      <c r="G320">
        <f>COUNTIF('Metrics - Articles'!E319,"*Corporate*")</f>
        <v>1</v>
      </c>
      <c r="I320" s="53">
        <f t="shared" si="5"/>
        <v>1</v>
      </c>
    </row>
    <row r="321" spans="2:9" x14ac:dyDescent="0.25">
      <c r="B321" s="48">
        <f>+'Metrics - Articles'!C320</f>
        <v>42312</v>
      </c>
      <c r="C321">
        <f>COUNTIF('Metrics - Articles'!E320,"*Sports*")</f>
        <v>1</v>
      </c>
      <c r="D321">
        <f>COUNTIF('Metrics - Articles'!E320,"*Youth*")</f>
        <v>0</v>
      </c>
      <c r="E321">
        <f>COUNTIF('Metrics - Articles'!E320,"*Healthcare*")</f>
        <v>0</v>
      </c>
      <c r="F321">
        <f>COUNTIF('Metrics - Articles'!E320,"*Innovation")</f>
        <v>0</v>
      </c>
      <c r="G321">
        <f>COUNTIF('Metrics - Articles'!E320,"*Corporate*")</f>
        <v>0</v>
      </c>
      <c r="I321" s="53">
        <f t="shared" si="5"/>
        <v>1</v>
      </c>
    </row>
    <row r="322" spans="2:9" x14ac:dyDescent="0.25">
      <c r="B322" s="48">
        <f>+'Metrics - Articles'!C321</f>
        <v>42312</v>
      </c>
      <c r="C322">
        <f>COUNTIF('Metrics - Articles'!E321,"*Sports*")</f>
        <v>0</v>
      </c>
      <c r="D322">
        <f>COUNTIF('Metrics - Articles'!E321,"*Youth*")</f>
        <v>0</v>
      </c>
      <c r="E322">
        <f>COUNTIF('Metrics - Articles'!E321,"*Healthcare*")</f>
        <v>0</v>
      </c>
      <c r="F322">
        <f>COUNTIF('Metrics - Articles'!E321,"*Innovation")</f>
        <v>1</v>
      </c>
      <c r="G322">
        <f>COUNTIF('Metrics - Articles'!E321,"*Corporate*")</f>
        <v>0</v>
      </c>
      <c r="I322" s="53">
        <f t="shared" si="5"/>
        <v>1</v>
      </c>
    </row>
    <row r="323" spans="2:9" x14ac:dyDescent="0.25">
      <c r="B323" s="48">
        <f>+'Metrics - Articles'!C322</f>
        <v>42314</v>
      </c>
      <c r="C323">
        <f>COUNTIF('Metrics - Articles'!E322,"*Sports*")</f>
        <v>0</v>
      </c>
      <c r="D323">
        <f>COUNTIF('Metrics - Articles'!E322,"*Youth*")</f>
        <v>0</v>
      </c>
      <c r="E323">
        <f>COUNTIF('Metrics - Articles'!E322,"*Healthcare*")</f>
        <v>0</v>
      </c>
      <c r="F323">
        <f>COUNTIF('Metrics - Articles'!E322,"*Innovation")</f>
        <v>0</v>
      </c>
      <c r="G323">
        <f>COUNTIF('Metrics - Articles'!E322,"*Corporate*")</f>
        <v>1</v>
      </c>
      <c r="I323" s="53">
        <f t="shared" si="5"/>
        <v>1</v>
      </c>
    </row>
    <row r="324" spans="2:9" x14ac:dyDescent="0.25">
      <c r="B324" s="48">
        <f>+'Metrics - Articles'!C323</f>
        <v>42318</v>
      </c>
      <c r="C324">
        <f>COUNTIF('Metrics - Articles'!E323,"*Sports*")</f>
        <v>0</v>
      </c>
      <c r="D324">
        <f>COUNTIF('Metrics - Articles'!E323,"*Youth*")</f>
        <v>0</v>
      </c>
      <c r="E324">
        <f>COUNTIF('Metrics - Articles'!E323,"*Healthcare*")</f>
        <v>0</v>
      </c>
      <c r="F324">
        <f>COUNTIF('Metrics - Articles'!E323,"*Innovation")</f>
        <v>1</v>
      </c>
      <c r="G324">
        <f>COUNTIF('Metrics - Articles'!E323,"*Corporate*")</f>
        <v>0</v>
      </c>
      <c r="I324" s="53">
        <f t="shared" si="5"/>
        <v>1</v>
      </c>
    </row>
    <row r="325" spans="2:9" x14ac:dyDescent="0.25">
      <c r="B325" s="48">
        <f>+'Metrics - Articles'!C324</f>
        <v>42318</v>
      </c>
      <c r="C325">
        <f>COUNTIF('Metrics - Articles'!E324,"*Sports*")</f>
        <v>0</v>
      </c>
      <c r="D325">
        <f>COUNTIF('Metrics - Articles'!E324,"*Youth*")</f>
        <v>0</v>
      </c>
      <c r="E325">
        <f>COUNTIF('Metrics - Articles'!E324,"*Healthcare*")</f>
        <v>0</v>
      </c>
      <c r="F325">
        <f>COUNTIF('Metrics - Articles'!E324,"*Innovation")</f>
        <v>1</v>
      </c>
      <c r="G325">
        <f>COUNTIF('Metrics - Articles'!E324,"*Corporate*")</f>
        <v>0</v>
      </c>
      <c r="I325" s="53">
        <f t="shared" si="5"/>
        <v>1</v>
      </c>
    </row>
    <row r="326" spans="2:9" x14ac:dyDescent="0.25">
      <c r="B326" s="48">
        <f>+'Metrics - Articles'!C325</f>
        <v>42319</v>
      </c>
      <c r="C326">
        <f>COUNTIF('Metrics - Articles'!E325,"*Sports*")</f>
        <v>1</v>
      </c>
      <c r="D326">
        <f>COUNTIF('Metrics - Articles'!E325,"*Youth*")</f>
        <v>0</v>
      </c>
      <c r="E326">
        <f>COUNTIF('Metrics - Articles'!E325,"*Healthcare*")</f>
        <v>0</v>
      </c>
      <c r="F326">
        <f>COUNTIF('Metrics - Articles'!E325,"*Innovation")</f>
        <v>0</v>
      </c>
      <c r="G326">
        <f>COUNTIF('Metrics - Articles'!E325,"*Corporate*")</f>
        <v>0</v>
      </c>
      <c r="I326" s="53">
        <f t="shared" si="5"/>
        <v>1</v>
      </c>
    </row>
    <row r="327" spans="2:9" x14ac:dyDescent="0.25">
      <c r="B327" s="48">
        <f>+'Metrics - Articles'!C326</f>
        <v>42320</v>
      </c>
      <c r="C327">
        <f>COUNTIF('Metrics - Articles'!E326,"*Sports*")</f>
        <v>0</v>
      </c>
      <c r="D327">
        <f>COUNTIF('Metrics - Articles'!E326,"*Youth*")</f>
        <v>0</v>
      </c>
      <c r="E327">
        <f>COUNTIF('Metrics - Articles'!E326,"*Healthcare*")</f>
        <v>0</v>
      </c>
      <c r="F327">
        <f>COUNTIF('Metrics - Articles'!E326,"*Innovation")</f>
        <v>1</v>
      </c>
      <c r="G327">
        <f>COUNTIF('Metrics - Articles'!E326,"*Corporate*")</f>
        <v>0</v>
      </c>
      <c r="I327" s="53">
        <f t="shared" si="5"/>
        <v>1</v>
      </c>
    </row>
    <row r="328" spans="2:9" x14ac:dyDescent="0.25">
      <c r="B328" s="48">
        <f>+'Metrics - Articles'!C327</f>
        <v>42320</v>
      </c>
      <c r="C328">
        <f>COUNTIF('Metrics - Articles'!E327,"*Sports*")</f>
        <v>0</v>
      </c>
      <c r="D328">
        <f>COUNTIF('Metrics - Articles'!E327,"*Youth*")</f>
        <v>0</v>
      </c>
      <c r="E328">
        <f>COUNTIF('Metrics - Articles'!E327,"*Healthcare*")</f>
        <v>0</v>
      </c>
      <c r="F328">
        <f>COUNTIF('Metrics - Articles'!E327,"*Innovation")</f>
        <v>1</v>
      </c>
      <c r="G328">
        <f>COUNTIF('Metrics - Articles'!E327,"*Corporate*")</f>
        <v>0</v>
      </c>
      <c r="I328" s="53">
        <f t="shared" ref="I328:I391" si="6">SUM(C328:H328)</f>
        <v>1</v>
      </c>
    </row>
    <row r="329" spans="2:9" x14ac:dyDescent="0.25">
      <c r="B329" s="48">
        <f>+'Metrics - Articles'!C328</f>
        <v>42322</v>
      </c>
      <c r="C329">
        <f>COUNTIF('Metrics - Articles'!E328,"*Sports*")</f>
        <v>0</v>
      </c>
      <c r="D329">
        <f>COUNTIF('Metrics - Articles'!E328,"*Youth*")</f>
        <v>0</v>
      </c>
      <c r="E329">
        <f>COUNTIF('Metrics - Articles'!E328,"*Healthcare*")</f>
        <v>0</v>
      </c>
      <c r="F329">
        <f>COUNTIF('Metrics - Articles'!E328,"*Innovation")</f>
        <v>0</v>
      </c>
      <c r="G329">
        <f>COUNTIF('Metrics - Articles'!E328,"*Corporate*")</f>
        <v>1</v>
      </c>
      <c r="I329" s="53">
        <f t="shared" si="6"/>
        <v>1</v>
      </c>
    </row>
    <row r="330" spans="2:9" x14ac:dyDescent="0.25">
      <c r="B330" s="48">
        <f>+'Metrics - Articles'!C329</f>
        <v>42325</v>
      </c>
      <c r="C330">
        <f>COUNTIF('Metrics - Articles'!E329,"*Sports*")</f>
        <v>0</v>
      </c>
      <c r="D330">
        <f>COUNTIF('Metrics - Articles'!E329,"*Youth*")</f>
        <v>0</v>
      </c>
      <c r="E330">
        <f>COUNTIF('Metrics - Articles'!E329,"*Healthcare*")</f>
        <v>0</v>
      </c>
      <c r="F330">
        <f>COUNTIF('Metrics - Articles'!E329,"*Innovation")</f>
        <v>0</v>
      </c>
      <c r="G330">
        <f>COUNTIF('Metrics - Articles'!E329,"*Corporate*")</f>
        <v>1</v>
      </c>
      <c r="I330" s="53">
        <f t="shared" si="6"/>
        <v>1</v>
      </c>
    </row>
    <row r="331" spans="2:9" x14ac:dyDescent="0.25">
      <c r="B331" s="48">
        <f>+'Metrics - Articles'!C330</f>
        <v>42328</v>
      </c>
      <c r="C331">
        <f>COUNTIF('Metrics - Articles'!E330,"*Sports*")</f>
        <v>0</v>
      </c>
      <c r="D331">
        <f>COUNTIF('Metrics - Articles'!E330,"*Youth*")</f>
        <v>0</v>
      </c>
      <c r="E331">
        <f>COUNTIF('Metrics - Articles'!E330,"*Healthcare*")</f>
        <v>0</v>
      </c>
      <c r="F331">
        <f>COUNTIF('Metrics - Articles'!E330,"*Innovation")</f>
        <v>0</v>
      </c>
      <c r="G331">
        <f>COUNTIF('Metrics - Articles'!E330,"*Corporate*")</f>
        <v>1</v>
      </c>
      <c r="I331" s="53">
        <f t="shared" si="6"/>
        <v>1</v>
      </c>
    </row>
    <row r="332" spans="2:9" x14ac:dyDescent="0.25">
      <c r="B332" s="48">
        <f>+'Metrics - Articles'!C331</f>
        <v>42331</v>
      </c>
      <c r="C332">
        <f>COUNTIF('Metrics - Articles'!E331,"*Sports*")</f>
        <v>0</v>
      </c>
      <c r="D332">
        <f>COUNTIF('Metrics - Articles'!E331,"*Youth*")</f>
        <v>1</v>
      </c>
      <c r="E332">
        <f>COUNTIF('Metrics - Articles'!E331,"*Healthcare*")</f>
        <v>0</v>
      </c>
      <c r="F332">
        <f>COUNTIF('Metrics - Articles'!E331,"*Innovation")</f>
        <v>0</v>
      </c>
      <c r="G332">
        <f>COUNTIF('Metrics - Articles'!E331,"*Corporate*")</f>
        <v>1</v>
      </c>
      <c r="I332" s="53">
        <f t="shared" si="6"/>
        <v>2</v>
      </c>
    </row>
    <row r="333" spans="2:9" x14ac:dyDescent="0.25">
      <c r="B333" s="48">
        <f>+'Metrics - Articles'!C332</f>
        <v>42332</v>
      </c>
      <c r="C333">
        <f>COUNTIF('Metrics - Articles'!E332,"*Sports*")</f>
        <v>0</v>
      </c>
      <c r="D333">
        <f>COUNTIF('Metrics - Articles'!E332,"*Youth*")</f>
        <v>0</v>
      </c>
      <c r="E333">
        <f>COUNTIF('Metrics - Articles'!E332,"*Healthcare*")</f>
        <v>0</v>
      </c>
      <c r="F333">
        <f>COUNTIF('Metrics - Articles'!E332,"*Innovation")</f>
        <v>0</v>
      </c>
      <c r="G333">
        <f>COUNTIF('Metrics - Articles'!E332,"*Corporate*")</f>
        <v>1</v>
      </c>
      <c r="I333" s="53">
        <f t="shared" si="6"/>
        <v>1</v>
      </c>
    </row>
    <row r="334" spans="2:9" x14ac:dyDescent="0.25">
      <c r="B334" s="48">
        <f>+'Metrics - Articles'!C333</f>
        <v>42332</v>
      </c>
      <c r="C334">
        <f>COUNTIF('Metrics - Articles'!E333,"*Sports*")</f>
        <v>0</v>
      </c>
      <c r="D334">
        <f>COUNTIF('Metrics - Articles'!E333,"*Youth*")</f>
        <v>0</v>
      </c>
      <c r="E334">
        <f>COUNTIF('Metrics - Articles'!E333,"*Healthcare*")</f>
        <v>0</v>
      </c>
      <c r="F334">
        <f>COUNTIF('Metrics - Articles'!E333,"*Innovation")</f>
        <v>0</v>
      </c>
      <c r="G334">
        <f>COUNTIF('Metrics - Articles'!E333,"*Corporate*")</f>
        <v>1</v>
      </c>
      <c r="I334" s="53">
        <f t="shared" si="6"/>
        <v>1</v>
      </c>
    </row>
    <row r="335" spans="2:9" x14ac:dyDescent="0.25">
      <c r="B335" s="48">
        <f>+'Metrics - Articles'!C334</f>
        <v>42333</v>
      </c>
      <c r="C335">
        <f>COUNTIF('Metrics - Articles'!E334,"*Sports*")</f>
        <v>0</v>
      </c>
      <c r="D335">
        <f>COUNTIF('Metrics - Articles'!E334,"*Youth*")</f>
        <v>0</v>
      </c>
      <c r="E335">
        <f>COUNTIF('Metrics - Articles'!E334,"*Healthcare*")</f>
        <v>0</v>
      </c>
      <c r="F335">
        <f>COUNTIF('Metrics - Articles'!E334,"*Innovation")</f>
        <v>1</v>
      </c>
      <c r="G335">
        <f>COUNTIF('Metrics - Articles'!E334,"*Corporate*")</f>
        <v>0</v>
      </c>
      <c r="I335" s="53">
        <f t="shared" si="6"/>
        <v>1</v>
      </c>
    </row>
    <row r="336" spans="2:9" x14ac:dyDescent="0.25">
      <c r="B336" s="48">
        <f>+'Metrics - Articles'!C335</f>
        <v>42333</v>
      </c>
      <c r="C336">
        <f>COUNTIF('Metrics - Articles'!E335,"*Sports*")</f>
        <v>0</v>
      </c>
      <c r="D336">
        <f>COUNTIF('Metrics - Articles'!E335,"*Youth*")</f>
        <v>0</v>
      </c>
      <c r="E336">
        <f>COUNTIF('Metrics - Articles'!E335,"*Healthcare*")</f>
        <v>0</v>
      </c>
      <c r="F336">
        <f>COUNTIF('Metrics - Articles'!E335,"*Innovation")</f>
        <v>1</v>
      </c>
      <c r="G336">
        <f>COUNTIF('Metrics - Articles'!E335,"*Corporate*")</f>
        <v>0</v>
      </c>
      <c r="I336" s="53">
        <f t="shared" si="6"/>
        <v>1</v>
      </c>
    </row>
    <row r="337" spans="2:9" x14ac:dyDescent="0.25">
      <c r="B337" s="48">
        <f>+'Metrics - Articles'!C336</f>
        <v>42335</v>
      </c>
      <c r="C337">
        <f>COUNTIF('Metrics - Articles'!E336,"*Sports*")</f>
        <v>1</v>
      </c>
      <c r="D337">
        <f>COUNTIF('Metrics - Articles'!E336,"*Youth*")</f>
        <v>0</v>
      </c>
      <c r="E337">
        <f>COUNTIF('Metrics - Articles'!E336,"*Healthcare*")</f>
        <v>0</v>
      </c>
      <c r="F337">
        <f>COUNTIF('Metrics - Articles'!E336,"*Innovation")</f>
        <v>0</v>
      </c>
      <c r="G337">
        <f>COUNTIF('Metrics - Articles'!E336,"*Corporate*")</f>
        <v>1</v>
      </c>
      <c r="I337" s="53">
        <f t="shared" si="6"/>
        <v>2</v>
      </c>
    </row>
    <row r="338" spans="2:9" x14ac:dyDescent="0.25">
      <c r="B338" s="48">
        <f>+'Metrics - Articles'!C337</f>
        <v>42335</v>
      </c>
      <c r="C338">
        <f>COUNTIF('Metrics - Articles'!E337,"*Sports*")</f>
        <v>0</v>
      </c>
      <c r="D338">
        <f>COUNTIF('Metrics - Articles'!E337,"*Youth*")</f>
        <v>0</v>
      </c>
      <c r="E338">
        <f>COUNTIF('Metrics - Articles'!E337,"*Healthcare*")</f>
        <v>0</v>
      </c>
      <c r="F338">
        <f>COUNTIF('Metrics - Articles'!E337,"*Innovation")</f>
        <v>0</v>
      </c>
      <c r="G338">
        <f>COUNTIF('Metrics - Articles'!E337,"*Corporate*")</f>
        <v>1</v>
      </c>
      <c r="I338" s="53">
        <f t="shared" si="6"/>
        <v>1</v>
      </c>
    </row>
    <row r="339" spans="2:9" x14ac:dyDescent="0.25">
      <c r="B339" s="48">
        <f>+'Metrics - Articles'!C338</f>
        <v>42338</v>
      </c>
      <c r="C339">
        <f>COUNTIF('Metrics - Articles'!E338,"*Sports*")</f>
        <v>0</v>
      </c>
      <c r="D339">
        <f>COUNTIF('Metrics - Articles'!E338,"*Youth*")</f>
        <v>0</v>
      </c>
      <c r="E339">
        <f>COUNTIF('Metrics - Articles'!E338,"*Healthcare*")</f>
        <v>0</v>
      </c>
      <c r="F339">
        <f>COUNTIF('Metrics - Articles'!E338,"*Innovation")</f>
        <v>1</v>
      </c>
      <c r="G339">
        <f>COUNTIF('Metrics - Articles'!E338,"*Corporate*")</f>
        <v>1</v>
      </c>
      <c r="I339" s="53">
        <f t="shared" si="6"/>
        <v>2</v>
      </c>
    </row>
    <row r="340" spans="2:9" x14ac:dyDescent="0.25">
      <c r="B340" s="48">
        <f>+'Metrics - Articles'!C339</f>
        <v>42340</v>
      </c>
      <c r="C340">
        <f>COUNTIF('Metrics - Articles'!E339,"*Sports*")</f>
        <v>1</v>
      </c>
      <c r="D340">
        <f>COUNTIF('Metrics - Articles'!E339,"*Youth*")</f>
        <v>0</v>
      </c>
      <c r="E340">
        <f>COUNTIF('Metrics - Articles'!E339,"*Healthcare*")</f>
        <v>0</v>
      </c>
      <c r="F340">
        <f>COUNTIF('Metrics - Articles'!E339,"*Innovation")</f>
        <v>0</v>
      </c>
      <c r="G340">
        <f>COUNTIF('Metrics - Articles'!E339,"*Corporate*")</f>
        <v>0</v>
      </c>
      <c r="I340" s="53">
        <f t="shared" si="6"/>
        <v>1</v>
      </c>
    </row>
    <row r="341" spans="2:9" x14ac:dyDescent="0.25">
      <c r="B341" s="48">
        <f>+'Metrics - Articles'!C340</f>
        <v>42341</v>
      </c>
      <c r="C341">
        <f>COUNTIF('Metrics - Articles'!E340,"*Sports*")</f>
        <v>0</v>
      </c>
      <c r="D341">
        <f>COUNTIF('Metrics - Articles'!E340,"*Youth*")</f>
        <v>1</v>
      </c>
      <c r="E341">
        <f>COUNTIF('Metrics - Articles'!E340,"*Healthcare*")</f>
        <v>0</v>
      </c>
      <c r="F341">
        <f>COUNTIF('Metrics - Articles'!E340,"*Innovation")</f>
        <v>1</v>
      </c>
      <c r="G341">
        <f>COUNTIF('Metrics - Articles'!E340,"*Corporate*")</f>
        <v>0</v>
      </c>
      <c r="I341" s="53">
        <f t="shared" si="6"/>
        <v>2</v>
      </c>
    </row>
    <row r="342" spans="2:9" x14ac:dyDescent="0.25">
      <c r="B342" s="48">
        <f>+'Metrics - Articles'!C341</f>
        <v>42341</v>
      </c>
      <c r="C342">
        <f>COUNTIF('Metrics - Articles'!E341,"*Sports*")</f>
        <v>0</v>
      </c>
      <c r="D342">
        <f>COUNTIF('Metrics - Articles'!E341,"*Youth*")</f>
        <v>0</v>
      </c>
      <c r="E342">
        <f>COUNTIF('Metrics - Articles'!E341,"*Healthcare*")</f>
        <v>0</v>
      </c>
      <c r="F342">
        <f>COUNTIF('Metrics - Articles'!E341,"*Innovation")</f>
        <v>0</v>
      </c>
      <c r="G342">
        <f>COUNTIF('Metrics - Articles'!E341,"*Corporate*")</f>
        <v>1</v>
      </c>
      <c r="I342" s="53">
        <f t="shared" si="6"/>
        <v>1</v>
      </c>
    </row>
    <row r="343" spans="2:9" x14ac:dyDescent="0.25">
      <c r="B343" s="48">
        <f>+'Metrics - Articles'!C342</f>
        <v>42342</v>
      </c>
      <c r="C343">
        <f>COUNTIF('Metrics - Articles'!E342,"*Sports*")</f>
        <v>0</v>
      </c>
      <c r="D343">
        <f>COUNTIF('Metrics - Articles'!E342,"*Youth*")</f>
        <v>0</v>
      </c>
      <c r="E343">
        <f>COUNTIF('Metrics - Articles'!E342,"*Healthcare*")</f>
        <v>0</v>
      </c>
      <c r="F343">
        <f>COUNTIF('Metrics - Articles'!E342,"*Innovation")</f>
        <v>0</v>
      </c>
      <c r="G343">
        <f>COUNTIF('Metrics - Articles'!E342,"*Corporate*")</f>
        <v>1</v>
      </c>
      <c r="I343" s="53">
        <f t="shared" si="6"/>
        <v>1</v>
      </c>
    </row>
    <row r="344" spans="2:9" x14ac:dyDescent="0.25">
      <c r="B344" s="48">
        <f>+'Metrics - Articles'!C343</f>
        <v>42342</v>
      </c>
      <c r="C344">
        <f>COUNTIF('Metrics - Articles'!E343,"*Sports*")</f>
        <v>0</v>
      </c>
      <c r="D344">
        <f>COUNTIF('Metrics - Articles'!E343,"*Youth*")</f>
        <v>0</v>
      </c>
      <c r="E344">
        <f>COUNTIF('Metrics - Articles'!E343,"*Healthcare*")</f>
        <v>0</v>
      </c>
      <c r="F344">
        <f>COUNTIF('Metrics - Articles'!E343,"*Innovation")</f>
        <v>1</v>
      </c>
      <c r="G344">
        <f>COUNTIF('Metrics - Articles'!E343,"*Corporate*")</f>
        <v>1</v>
      </c>
      <c r="I344" s="53">
        <f t="shared" si="6"/>
        <v>2</v>
      </c>
    </row>
    <row r="345" spans="2:9" x14ac:dyDescent="0.25">
      <c r="B345" s="48">
        <f>+'Metrics - Articles'!C344</f>
        <v>42343</v>
      </c>
      <c r="C345">
        <f>COUNTIF('Metrics - Articles'!E344,"*Sports*")</f>
        <v>0</v>
      </c>
      <c r="D345">
        <f>COUNTIF('Metrics - Articles'!E344,"*Youth*")</f>
        <v>0</v>
      </c>
      <c r="E345">
        <f>COUNTIF('Metrics - Articles'!E344,"*Healthcare*")</f>
        <v>0</v>
      </c>
      <c r="F345">
        <f>COUNTIF('Metrics - Articles'!E344,"*Innovation")</f>
        <v>0</v>
      </c>
      <c r="G345">
        <f>COUNTIF('Metrics - Articles'!E344,"*Corporate*")</f>
        <v>1</v>
      </c>
      <c r="I345" s="53">
        <f t="shared" si="6"/>
        <v>1</v>
      </c>
    </row>
    <row r="346" spans="2:9" x14ac:dyDescent="0.25">
      <c r="B346" s="48">
        <f>+'Metrics - Articles'!C345</f>
        <v>42345</v>
      </c>
      <c r="C346">
        <f>COUNTIF('Metrics - Articles'!E345,"*Sports*")</f>
        <v>0</v>
      </c>
      <c r="D346">
        <f>COUNTIF('Metrics - Articles'!E345,"*Youth*")</f>
        <v>0</v>
      </c>
      <c r="E346">
        <f>COUNTIF('Metrics - Articles'!E345,"*Healthcare*")</f>
        <v>0</v>
      </c>
      <c r="F346">
        <f>COUNTIF('Metrics - Articles'!E345,"*Innovation")</f>
        <v>1</v>
      </c>
      <c r="G346">
        <f>COUNTIF('Metrics - Articles'!E345,"*Corporate*")</f>
        <v>0</v>
      </c>
      <c r="I346" s="53">
        <f t="shared" si="6"/>
        <v>1</v>
      </c>
    </row>
    <row r="347" spans="2:9" x14ac:dyDescent="0.25">
      <c r="B347" s="48">
        <f>+'Metrics - Articles'!C346</f>
        <v>42345</v>
      </c>
      <c r="C347">
        <f>COUNTIF('Metrics - Articles'!E346,"*Sports*")</f>
        <v>0</v>
      </c>
      <c r="D347">
        <f>COUNTIF('Metrics - Articles'!E346,"*Youth*")</f>
        <v>0</v>
      </c>
      <c r="E347">
        <f>COUNTIF('Metrics - Articles'!E346,"*Healthcare*")</f>
        <v>0</v>
      </c>
      <c r="F347">
        <f>COUNTIF('Metrics - Articles'!E346,"*Innovation")</f>
        <v>1</v>
      </c>
      <c r="G347">
        <f>COUNTIF('Metrics - Articles'!E346,"*Corporate*")</f>
        <v>1</v>
      </c>
      <c r="I347" s="53">
        <f t="shared" si="6"/>
        <v>2</v>
      </c>
    </row>
    <row r="348" spans="2:9" x14ac:dyDescent="0.25">
      <c r="B348" s="48">
        <f>+'Metrics - Articles'!C347</f>
        <v>42346</v>
      </c>
      <c r="C348">
        <f>COUNTIF('Metrics - Articles'!E347,"*Sports*")</f>
        <v>1</v>
      </c>
      <c r="D348">
        <f>COUNTIF('Metrics - Articles'!E347,"*Youth*")</f>
        <v>0</v>
      </c>
      <c r="E348">
        <f>COUNTIF('Metrics - Articles'!E347,"*Healthcare*")</f>
        <v>0</v>
      </c>
      <c r="F348">
        <f>COUNTIF('Metrics - Articles'!E347,"*Innovation")</f>
        <v>0</v>
      </c>
      <c r="G348">
        <f>COUNTIF('Metrics - Articles'!E347,"*Corporate*")</f>
        <v>0</v>
      </c>
      <c r="I348" s="53">
        <f t="shared" si="6"/>
        <v>1</v>
      </c>
    </row>
    <row r="349" spans="2:9" x14ac:dyDescent="0.25">
      <c r="B349" s="48">
        <f>+'Metrics - Articles'!C348</f>
        <v>42346</v>
      </c>
      <c r="C349">
        <f>COUNTIF('Metrics - Articles'!E348,"*Sports*")</f>
        <v>0</v>
      </c>
      <c r="D349">
        <f>COUNTIF('Metrics - Articles'!E348,"*Youth*")</f>
        <v>0</v>
      </c>
      <c r="E349">
        <f>COUNTIF('Metrics - Articles'!E348,"*Healthcare*")</f>
        <v>0</v>
      </c>
      <c r="F349">
        <f>COUNTIF('Metrics - Articles'!E348,"*Innovation")</f>
        <v>1</v>
      </c>
      <c r="G349">
        <f>COUNTIF('Metrics - Articles'!E348,"*Corporate*")</f>
        <v>0</v>
      </c>
      <c r="I349" s="53">
        <f t="shared" si="6"/>
        <v>1</v>
      </c>
    </row>
    <row r="350" spans="2:9" x14ac:dyDescent="0.25">
      <c r="B350" s="48">
        <f>+'Metrics - Articles'!C349</f>
        <v>42347</v>
      </c>
      <c r="C350">
        <f>COUNTIF('Metrics - Articles'!E349,"*Sports*")</f>
        <v>0</v>
      </c>
      <c r="D350">
        <f>COUNTIF('Metrics - Articles'!E349,"*Youth*")</f>
        <v>0</v>
      </c>
      <c r="E350">
        <f>COUNTIF('Metrics - Articles'!E349,"*Healthcare*")</f>
        <v>0</v>
      </c>
      <c r="F350">
        <f>COUNTIF('Metrics - Articles'!E349,"*Innovation")</f>
        <v>1</v>
      </c>
      <c r="G350">
        <f>COUNTIF('Metrics - Articles'!E349,"*Corporate*")</f>
        <v>0</v>
      </c>
      <c r="I350" s="53">
        <f t="shared" si="6"/>
        <v>1</v>
      </c>
    </row>
    <row r="351" spans="2:9" x14ac:dyDescent="0.25">
      <c r="B351" s="48">
        <f>+'Metrics - Articles'!C350</f>
        <v>42348</v>
      </c>
      <c r="C351">
        <f>COUNTIF('Metrics - Articles'!E350,"*Sports*")</f>
        <v>0</v>
      </c>
      <c r="D351">
        <f>COUNTIF('Metrics - Articles'!E350,"*Youth*")</f>
        <v>0</v>
      </c>
      <c r="E351">
        <f>COUNTIF('Metrics - Articles'!E350,"*Healthcare*")</f>
        <v>1</v>
      </c>
      <c r="F351">
        <f>COUNTIF('Metrics - Articles'!E350,"*Innovation")</f>
        <v>1</v>
      </c>
      <c r="G351">
        <f>COUNTIF('Metrics - Articles'!E350,"*Corporate*")</f>
        <v>0</v>
      </c>
      <c r="I351" s="53">
        <f t="shared" si="6"/>
        <v>2</v>
      </c>
    </row>
    <row r="352" spans="2:9" x14ac:dyDescent="0.25">
      <c r="B352" s="48">
        <f>+'Metrics - Articles'!C351</f>
        <v>42349</v>
      </c>
      <c r="C352">
        <f>COUNTIF('Metrics - Articles'!E351,"*Sports*")</f>
        <v>1</v>
      </c>
      <c r="D352">
        <f>COUNTIF('Metrics - Articles'!E351,"*Youth*")</f>
        <v>0</v>
      </c>
      <c r="E352">
        <f>COUNTIF('Metrics - Articles'!E351,"*Healthcare*")</f>
        <v>0</v>
      </c>
      <c r="F352">
        <f>COUNTIF('Metrics - Articles'!E351,"*Innovation")</f>
        <v>0</v>
      </c>
      <c r="G352">
        <f>COUNTIF('Metrics - Articles'!E351,"*Corporate*")</f>
        <v>0</v>
      </c>
      <c r="I352" s="53">
        <f t="shared" si="6"/>
        <v>1</v>
      </c>
    </row>
    <row r="353" spans="2:9" x14ac:dyDescent="0.25">
      <c r="B353" s="48">
        <f>+'Metrics - Articles'!C352</f>
        <v>42351</v>
      </c>
      <c r="C353">
        <f>COUNTIF('Metrics - Articles'!E352,"*Sports*")</f>
        <v>0</v>
      </c>
      <c r="D353">
        <f>COUNTIF('Metrics - Articles'!E352,"*Youth*")</f>
        <v>0</v>
      </c>
      <c r="E353">
        <f>COUNTIF('Metrics - Articles'!E352,"*Healthcare*")</f>
        <v>0</v>
      </c>
      <c r="F353">
        <f>COUNTIF('Metrics - Articles'!E352,"*Innovation")</f>
        <v>1</v>
      </c>
      <c r="G353">
        <f>COUNTIF('Metrics - Articles'!E352,"*Corporate*")</f>
        <v>0</v>
      </c>
      <c r="I353" s="53">
        <f t="shared" si="6"/>
        <v>1</v>
      </c>
    </row>
    <row r="354" spans="2:9" x14ac:dyDescent="0.25">
      <c r="B354" s="48">
        <f>+'Metrics - Articles'!C353</f>
        <v>42352</v>
      </c>
      <c r="C354">
        <f>COUNTIF('Metrics - Articles'!E353,"*Sports*")</f>
        <v>0</v>
      </c>
      <c r="D354">
        <f>COUNTIF('Metrics - Articles'!E353,"*Youth*")</f>
        <v>0</v>
      </c>
      <c r="E354">
        <f>COUNTIF('Metrics - Articles'!E353,"*Healthcare*")</f>
        <v>0</v>
      </c>
      <c r="F354">
        <f>COUNTIF('Metrics - Articles'!E353,"*Innovation")</f>
        <v>1</v>
      </c>
      <c r="G354">
        <f>COUNTIF('Metrics - Articles'!E353,"*Corporate*")</f>
        <v>0</v>
      </c>
      <c r="I354" s="53">
        <f t="shared" si="6"/>
        <v>1</v>
      </c>
    </row>
    <row r="355" spans="2:9" x14ac:dyDescent="0.25">
      <c r="B355" s="48">
        <f>+'Metrics - Articles'!C354</f>
        <v>42353</v>
      </c>
      <c r="C355">
        <f>COUNTIF('Metrics - Articles'!E354,"*Sports*")</f>
        <v>0</v>
      </c>
      <c r="D355">
        <f>COUNTIF('Metrics - Articles'!E354,"*Youth*")</f>
        <v>0</v>
      </c>
      <c r="E355">
        <f>COUNTIF('Metrics - Articles'!E354,"*Healthcare*")</f>
        <v>0</v>
      </c>
      <c r="F355">
        <f>COUNTIF('Metrics - Articles'!E354,"*Innovation")</f>
        <v>0</v>
      </c>
      <c r="G355">
        <f>COUNTIF('Metrics - Articles'!E354,"*Corporate*")</f>
        <v>1</v>
      </c>
      <c r="I355" s="53">
        <f t="shared" si="6"/>
        <v>1</v>
      </c>
    </row>
    <row r="356" spans="2:9" x14ac:dyDescent="0.25">
      <c r="B356" s="48">
        <f>+'Metrics - Articles'!C355</f>
        <v>42353</v>
      </c>
      <c r="C356">
        <f>COUNTIF('Metrics - Articles'!E355,"*Sports*")</f>
        <v>0</v>
      </c>
      <c r="D356">
        <f>COUNTIF('Metrics - Articles'!E355,"*Youth*")</f>
        <v>1</v>
      </c>
      <c r="E356">
        <f>COUNTIF('Metrics - Articles'!E355,"*Healthcare*")</f>
        <v>0</v>
      </c>
      <c r="F356">
        <f>COUNTIF('Metrics - Articles'!E355,"*Innovation")</f>
        <v>0</v>
      </c>
      <c r="G356">
        <f>COUNTIF('Metrics - Articles'!E355,"*Corporate*")</f>
        <v>0</v>
      </c>
      <c r="I356" s="53">
        <f t="shared" si="6"/>
        <v>1</v>
      </c>
    </row>
    <row r="357" spans="2:9" x14ac:dyDescent="0.25">
      <c r="B357" s="48">
        <f>+'Metrics - Articles'!C356</f>
        <v>42354</v>
      </c>
      <c r="C357">
        <f>COUNTIF('Metrics - Articles'!E356,"*Sports*")</f>
        <v>0</v>
      </c>
      <c r="D357">
        <f>COUNTIF('Metrics - Articles'!E356,"*Youth*")</f>
        <v>0</v>
      </c>
      <c r="E357">
        <f>COUNTIF('Metrics - Articles'!E356,"*Healthcare*")</f>
        <v>0</v>
      </c>
      <c r="F357">
        <f>COUNTIF('Metrics - Articles'!E356,"*Innovation")</f>
        <v>0</v>
      </c>
      <c r="G357">
        <f>COUNTIF('Metrics - Articles'!E356,"*Corporate*")</f>
        <v>1</v>
      </c>
      <c r="I357" s="53">
        <f t="shared" si="6"/>
        <v>1</v>
      </c>
    </row>
    <row r="358" spans="2:9" x14ac:dyDescent="0.25">
      <c r="B358" s="48">
        <f>+'Metrics - Articles'!C357</f>
        <v>42355</v>
      </c>
      <c r="C358">
        <f>COUNTIF('Metrics - Articles'!E357,"*Sports*")</f>
        <v>0</v>
      </c>
      <c r="D358">
        <f>COUNTIF('Metrics - Articles'!E357,"*Youth*")</f>
        <v>1</v>
      </c>
      <c r="E358">
        <f>COUNTIF('Metrics - Articles'!E357,"*Healthcare*")</f>
        <v>0</v>
      </c>
      <c r="F358">
        <f>COUNTIF('Metrics - Articles'!E357,"*Innovation")</f>
        <v>1</v>
      </c>
      <c r="G358">
        <f>COUNTIF('Metrics - Articles'!E357,"*Corporate*")</f>
        <v>1</v>
      </c>
      <c r="I358" s="53">
        <f t="shared" si="6"/>
        <v>3</v>
      </c>
    </row>
    <row r="359" spans="2:9" x14ac:dyDescent="0.25">
      <c r="B359" s="48" t="e">
        <f>+'Metrics - Articles'!#REF!</f>
        <v>#REF!</v>
      </c>
      <c r="C359">
        <f>COUNTIF('Metrics - Articles'!E358,"*Sports*")</f>
        <v>0</v>
      </c>
      <c r="D359">
        <f>COUNTIF('Metrics - Articles'!E358,"*Youth*")</f>
        <v>0</v>
      </c>
      <c r="E359">
        <f>COUNTIF('Metrics - Articles'!E358,"*Healthcare*")</f>
        <v>0</v>
      </c>
      <c r="F359">
        <f>COUNTIF('Metrics - Articles'!E358,"*Innovation")</f>
        <v>0</v>
      </c>
      <c r="G359">
        <f>COUNTIF('Metrics - Articles'!E358,"*Corporate*")</f>
        <v>1</v>
      </c>
      <c r="I359" s="53">
        <f t="shared" si="6"/>
        <v>1</v>
      </c>
    </row>
    <row r="360" spans="2:9" x14ac:dyDescent="0.25">
      <c r="B360" s="48" t="e">
        <f>+'Metrics - Articles'!#REF!</f>
        <v>#REF!</v>
      </c>
      <c r="C360">
        <f>COUNTIF('Metrics - Articles'!E359,"*Sports*")</f>
        <v>0</v>
      </c>
      <c r="D360">
        <f>COUNTIF('Metrics - Articles'!E359,"*Youth*")</f>
        <v>0</v>
      </c>
      <c r="E360">
        <f>COUNTIF('Metrics - Articles'!E359,"*Healthcare*")</f>
        <v>0</v>
      </c>
      <c r="F360">
        <f>COUNTIF('Metrics - Articles'!E359,"*Innovation")</f>
        <v>1</v>
      </c>
      <c r="G360">
        <f>COUNTIF('Metrics - Articles'!E359,"*Corporate*")</f>
        <v>0</v>
      </c>
      <c r="I360" s="53">
        <f t="shared" si="6"/>
        <v>1</v>
      </c>
    </row>
    <row r="361" spans="2:9" x14ac:dyDescent="0.25">
      <c r="B361" s="48">
        <f>+'Metrics - Articles'!C358</f>
        <v>42361</v>
      </c>
      <c r="C361">
        <f>COUNTIF('Metrics - Articles'!E360,"*Sports*")</f>
        <v>0</v>
      </c>
      <c r="D361">
        <f>COUNTIF('Metrics - Articles'!E360,"*Youth*")</f>
        <v>0</v>
      </c>
      <c r="E361">
        <f>COUNTIF('Metrics - Articles'!E360,"*Healthcare*")</f>
        <v>0</v>
      </c>
      <c r="F361">
        <f>COUNTIF('Metrics - Articles'!E360,"*Innovation")</f>
        <v>0</v>
      </c>
      <c r="G361">
        <f>COUNTIF('Metrics - Articles'!E360,"*Corporate*")</f>
        <v>0</v>
      </c>
      <c r="I361" s="53">
        <f t="shared" si="6"/>
        <v>0</v>
      </c>
    </row>
    <row r="362" spans="2:9" x14ac:dyDescent="0.25">
      <c r="B362" s="48">
        <f>+'Metrics - Articles'!C359</f>
        <v>42361</v>
      </c>
      <c r="C362">
        <f>COUNTIF('Metrics - Articles'!E361,"*Sports*")</f>
        <v>0</v>
      </c>
      <c r="D362">
        <f>COUNTIF('Metrics - Articles'!E361,"*Youth*")</f>
        <v>0</v>
      </c>
      <c r="E362">
        <f>COUNTIF('Metrics - Articles'!E361,"*Healthcare*")</f>
        <v>0</v>
      </c>
      <c r="F362">
        <f>COUNTIF('Metrics - Articles'!E361,"*Innovation")</f>
        <v>0</v>
      </c>
      <c r="G362">
        <f>COUNTIF('Metrics - Articles'!E361,"*Corporate*")</f>
        <v>0</v>
      </c>
      <c r="I362" s="53">
        <f t="shared" si="6"/>
        <v>0</v>
      </c>
    </row>
    <row r="363" spans="2:9" x14ac:dyDescent="0.25">
      <c r="B363" s="48">
        <f>+'Metrics - Articles'!C360</f>
        <v>0</v>
      </c>
      <c r="C363">
        <f>COUNTIF('Metrics - Articles'!E362,"*Sports*")</f>
        <v>0</v>
      </c>
      <c r="D363">
        <f>COUNTIF('Metrics - Articles'!E362,"*Youth*")</f>
        <v>0</v>
      </c>
      <c r="E363">
        <f>COUNTIF('Metrics - Articles'!E362,"*Healthcare*")</f>
        <v>0</v>
      </c>
      <c r="F363">
        <f>COUNTIF('Metrics - Articles'!E362,"*Innovation")</f>
        <v>0</v>
      </c>
      <c r="G363">
        <f>COUNTIF('Metrics - Articles'!E362,"*Corporate*")</f>
        <v>0</v>
      </c>
      <c r="I363" s="53">
        <f t="shared" si="6"/>
        <v>0</v>
      </c>
    </row>
    <row r="364" spans="2:9" x14ac:dyDescent="0.25">
      <c r="B364" s="48">
        <f>+'Metrics - Articles'!C361</f>
        <v>0</v>
      </c>
      <c r="C364">
        <f>COUNTIF('Metrics - Articles'!E363,"*Sports*")</f>
        <v>0</v>
      </c>
      <c r="D364">
        <f>COUNTIF('Metrics - Articles'!E363,"*Youth*")</f>
        <v>0</v>
      </c>
      <c r="E364">
        <f>COUNTIF('Metrics - Articles'!E363,"*Healthcare*")</f>
        <v>0</v>
      </c>
      <c r="F364">
        <f>COUNTIF('Metrics - Articles'!E363,"*Innovation")</f>
        <v>0</v>
      </c>
      <c r="G364">
        <f>COUNTIF('Metrics - Articles'!E363,"*Corporate*")</f>
        <v>0</v>
      </c>
      <c r="I364" s="53">
        <f t="shared" si="6"/>
        <v>0</v>
      </c>
    </row>
    <row r="365" spans="2:9" x14ac:dyDescent="0.25">
      <c r="B365" s="48">
        <f>+'Metrics - Articles'!C362</f>
        <v>0</v>
      </c>
      <c r="C365">
        <f>COUNTIF('Metrics - Articles'!E364,"*Sports*")</f>
        <v>0</v>
      </c>
      <c r="D365">
        <f>COUNTIF('Metrics - Articles'!E364,"*Youth*")</f>
        <v>0</v>
      </c>
      <c r="E365">
        <f>COUNTIF('Metrics - Articles'!E364,"*Healthcare*")</f>
        <v>0</v>
      </c>
      <c r="F365">
        <f>COUNTIF('Metrics - Articles'!E364,"*Innovation")</f>
        <v>0</v>
      </c>
      <c r="G365">
        <f>COUNTIF('Metrics - Articles'!E364,"*Corporate*")</f>
        <v>0</v>
      </c>
      <c r="I365" s="53">
        <f t="shared" si="6"/>
        <v>0</v>
      </c>
    </row>
    <row r="366" spans="2:9" x14ac:dyDescent="0.25">
      <c r="B366" s="48">
        <f>+'Metrics - Articles'!C363</f>
        <v>0</v>
      </c>
      <c r="C366">
        <f>COUNTIF('Metrics - Articles'!E365,"*Sports*")</f>
        <v>0</v>
      </c>
      <c r="D366">
        <f>COUNTIF('Metrics - Articles'!E365,"*Youth*")</f>
        <v>0</v>
      </c>
      <c r="E366">
        <f>COUNTIF('Metrics - Articles'!E365,"*Healthcare*")</f>
        <v>0</v>
      </c>
      <c r="F366">
        <f>COUNTIF('Metrics - Articles'!E365,"*Innovation")</f>
        <v>0</v>
      </c>
      <c r="G366">
        <f>COUNTIF('Metrics - Articles'!E365,"*Corporate*")</f>
        <v>0</v>
      </c>
      <c r="I366" s="53">
        <f t="shared" si="6"/>
        <v>0</v>
      </c>
    </row>
    <row r="367" spans="2:9" x14ac:dyDescent="0.25">
      <c r="B367" s="48">
        <f>+'Metrics - Articles'!C364</f>
        <v>0</v>
      </c>
      <c r="C367">
        <f>COUNTIF('Metrics - Articles'!E366,"*Sports*")</f>
        <v>0</v>
      </c>
      <c r="D367">
        <f>COUNTIF('Metrics - Articles'!E366,"*Youth*")</f>
        <v>0</v>
      </c>
      <c r="E367">
        <f>COUNTIF('Metrics - Articles'!E366,"*Healthcare*")</f>
        <v>0</v>
      </c>
      <c r="F367">
        <f>COUNTIF('Metrics - Articles'!E366,"*Innovation")</f>
        <v>0</v>
      </c>
      <c r="G367">
        <f>COUNTIF('Metrics - Articles'!E366,"*Corporate*")</f>
        <v>0</v>
      </c>
      <c r="I367" s="53">
        <f t="shared" si="6"/>
        <v>0</v>
      </c>
    </row>
    <row r="368" spans="2:9" x14ac:dyDescent="0.25">
      <c r="B368" s="48">
        <f>+'Metrics - Articles'!C365</f>
        <v>0</v>
      </c>
      <c r="C368">
        <f>COUNTIF('Metrics - Articles'!E367,"*Sports*")</f>
        <v>0</v>
      </c>
      <c r="D368">
        <f>COUNTIF('Metrics - Articles'!E367,"*Youth*")</f>
        <v>0</v>
      </c>
      <c r="E368">
        <f>COUNTIF('Metrics - Articles'!E367,"*Healthcare*")</f>
        <v>0</v>
      </c>
      <c r="F368">
        <f>COUNTIF('Metrics - Articles'!E367,"*Innovation")</f>
        <v>0</v>
      </c>
      <c r="G368">
        <f>COUNTIF('Metrics - Articles'!E367,"*Corporate*")</f>
        <v>0</v>
      </c>
      <c r="I368" s="53">
        <f t="shared" si="6"/>
        <v>0</v>
      </c>
    </row>
    <row r="369" spans="2:9" x14ac:dyDescent="0.25">
      <c r="B369" s="48">
        <f>+'Metrics - Articles'!C366</f>
        <v>0</v>
      </c>
      <c r="C369">
        <f>COUNTIF('Metrics - Articles'!E368,"*Sports*")</f>
        <v>0</v>
      </c>
      <c r="D369">
        <f>COUNTIF('Metrics - Articles'!E368,"*Youth*")</f>
        <v>0</v>
      </c>
      <c r="E369">
        <f>COUNTIF('Metrics - Articles'!E368,"*Healthcare*")</f>
        <v>0</v>
      </c>
      <c r="F369">
        <f>COUNTIF('Metrics - Articles'!E368,"*Innovation")</f>
        <v>0</v>
      </c>
      <c r="G369">
        <f>COUNTIF('Metrics - Articles'!E368,"*Corporate*")</f>
        <v>0</v>
      </c>
      <c r="I369" s="53">
        <f t="shared" si="6"/>
        <v>0</v>
      </c>
    </row>
    <row r="370" spans="2:9" x14ac:dyDescent="0.25">
      <c r="B370" s="48">
        <f>+'Metrics - Articles'!C367</f>
        <v>0</v>
      </c>
      <c r="C370">
        <f>COUNTIF('Metrics - Articles'!E369,"*Sports*")</f>
        <v>0</v>
      </c>
      <c r="D370">
        <f>COUNTIF('Metrics - Articles'!E369,"*Youth*")</f>
        <v>0</v>
      </c>
      <c r="E370">
        <f>COUNTIF('Metrics - Articles'!E369,"*Healthcare*")</f>
        <v>0</v>
      </c>
      <c r="F370">
        <f>COUNTIF('Metrics - Articles'!E369,"*Innovation")</f>
        <v>0</v>
      </c>
      <c r="G370">
        <f>COUNTIF('Metrics - Articles'!E369,"*Corporate*")</f>
        <v>0</v>
      </c>
      <c r="I370" s="53">
        <f t="shared" si="6"/>
        <v>0</v>
      </c>
    </row>
    <row r="371" spans="2:9" x14ac:dyDescent="0.25">
      <c r="B371" s="48">
        <f>+'Metrics - Articles'!C368</f>
        <v>0</v>
      </c>
      <c r="C371">
        <f>COUNTIF('Metrics - Articles'!E370,"*Sports*")</f>
        <v>0</v>
      </c>
      <c r="D371">
        <f>COUNTIF('Metrics - Articles'!E370,"*Youth*")</f>
        <v>0</v>
      </c>
      <c r="E371">
        <f>COUNTIF('Metrics - Articles'!E370,"*Healthcare*")</f>
        <v>0</v>
      </c>
      <c r="F371">
        <f>COUNTIF('Metrics - Articles'!E370,"*Innovation")</f>
        <v>0</v>
      </c>
      <c r="G371">
        <f>COUNTIF('Metrics - Articles'!E370,"*Corporate*")</f>
        <v>0</v>
      </c>
      <c r="I371" s="53">
        <f t="shared" si="6"/>
        <v>0</v>
      </c>
    </row>
    <row r="372" spans="2:9" x14ac:dyDescent="0.25">
      <c r="B372" s="48">
        <f>+'Metrics - Articles'!C369</f>
        <v>0</v>
      </c>
      <c r="C372">
        <f>COUNTIF('Metrics - Articles'!E371,"*Sports*")</f>
        <v>0</v>
      </c>
      <c r="D372">
        <f>COUNTIF('Metrics - Articles'!E371,"*Youth*")</f>
        <v>0</v>
      </c>
      <c r="E372">
        <f>COUNTIF('Metrics - Articles'!E371,"*Healthcare*")</f>
        <v>0</v>
      </c>
      <c r="F372">
        <f>COUNTIF('Metrics - Articles'!E371,"*Innovation")</f>
        <v>0</v>
      </c>
      <c r="G372">
        <f>COUNTIF('Metrics - Articles'!E371,"*Corporate*")</f>
        <v>0</v>
      </c>
      <c r="I372" s="53">
        <f t="shared" si="6"/>
        <v>0</v>
      </c>
    </row>
    <row r="373" spans="2:9" x14ac:dyDescent="0.25">
      <c r="B373" s="48">
        <f>+'Metrics - Articles'!C370</f>
        <v>0</v>
      </c>
      <c r="C373">
        <f>COUNTIF('Metrics - Articles'!E372,"*Sports*")</f>
        <v>0</v>
      </c>
      <c r="D373">
        <f>COUNTIF('Metrics - Articles'!E372,"*Youth*")</f>
        <v>0</v>
      </c>
      <c r="E373">
        <f>COUNTIF('Metrics - Articles'!E372,"*Healthcare*")</f>
        <v>0</v>
      </c>
      <c r="F373">
        <f>COUNTIF('Metrics - Articles'!E372,"*Innovation")</f>
        <v>0</v>
      </c>
      <c r="G373">
        <f>COUNTIF('Metrics - Articles'!E372,"*Corporate*")</f>
        <v>0</v>
      </c>
      <c r="I373" s="53">
        <f t="shared" si="6"/>
        <v>0</v>
      </c>
    </row>
    <row r="374" spans="2:9" x14ac:dyDescent="0.25">
      <c r="B374" s="48">
        <f>+'Metrics - Articles'!C371</f>
        <v>0</v>
      </c>
      <c r="C374">
        <f>COUNTIF('Metrics - Articles'!E373,"*Sports*")</f>
        <v>0</v>
      </c>
      <c r="D374">
        <f>COUNTIF('Metrics - Articles'!E373,"*Youth*")</f>
        <v>0</v>
      </c>
      <c r="E374">
        <f>COUNTIF('Metrics - Articles'!E373,"*Healthcare*")</f>
        <v>0</v>
      </c>
      <c r="F374">
        <f>COUNTIF('Metrics - Articles'!E373,"*Innovation")</f>
        <v>0</v>
      </c>
      <c r="G374">
        <f>COUNTIF('Metrics - Articles'!E373,"*Corporate*")</f>
        <v>0</v>
      </c>
      <c r="I374" s="53">
        <f t="shared" si="6"/>
        <v>0</v>
      </c>
    </row>
    <row r="375" spans="2:9" x14ac:dyDescent="0.25">
      <c r="B375" s="48">
        <f>+'Metrics - Articles'!C372</f>
        <v>0</v>
      </c>
      <c r="C375">
        <f>COUNTIF('Metrics - Articles'!E374,"*Sports*")</f>
        <v>0</v>
      </c>
      <c r="D375">
        <f>COUNTIF('Metrics - Articles'!E374,"*Youth*")</f>
        <v>0</v>
      </c>
      <c r="E375">
        <f>COUNTIF('Metrics - Articles'!E374,"*Healthcare*")</f>
        <v>0</v>
      </c>
      <c r="F375">
        <f>COUNTIF('Metrics - Articles'!E374,"*Innovation")</f>
        <v>0</v>
      </c>
      <c r="G375">
        <f>COUNTIF('Metrics - Articles'!E374,"*Corporate*")</f>
        <v>0</v>
      </c>
      <c r="I375" s="53">
        <f t="shared" si="6"/>
        <v>0</v>
      </c>
    </row>
    <row r="376" spans="2:9" x14ac:dyDescent="0.25">
      <c r="B376" s="48">
        <f>+'Metrics - Articles'!C373</f>
        <v>0</v>
      </c>
      <c r="C376">
        <f>COUNTIF('Metrics - Articles'!E375,"*Sports*")</f>
        <v>0</v>
      </c>
      <c r="D376">
        <f>COUNTIF('Metrics - Articles'!E375,"*Youth*")</f>
        <v>0</v>
      </c>
      <c r="E376">
        <f>COUNTIF('Metrics - Articles'!E375,"*Healthcare*")</f>
        <v>0</v>
      </c>
      <c r="F376">
        <f>COUNTIF('Metrics - Articles'!E375,"*Innovation")</f>
        <v>0</v>
      </c>
      <c r="G376">
        <f>COUNTIF('Metrics - Articles'!E375,"*Corporate*")</f>
        <v>0</v>
      </c>
      <c r="I376" s="53">
        <f t="shared" si="6"/>
        <v>0</v>
      </c>
    </row>
    <row r="377" spans="2:9" x14ac:dyDescent="0.25">
      <c r="B377" s="48">
        <f>+'Metrics - Articles'!C374</f>
        <v>0</v>
      </c>
      <c r="C377">
        <f>COUNTIF('Metrics - Articles'!E376,"*Sports*")</f>
        <v>0</v>
      </c>
      <c r="D377">
        <f>COUNTIF('Metrics - Articles'!E376,"*Youth*")</f>
        <v>0</v>
      </c>
      <c r="E377">
        <f>COUNTIF('Metrics - Articles'!E376,"*Healthcare*")</f>
        <v>0</v>
      </c>
      <c r="F377">
        <f>COUNTIF('Metrics - Articles'!E376,"*Innovation")</f>
        <v>0</v>
      </c>
      <c r="G377">
        <f>COUNTIF('Metrics - Articles'!E376,"*Corporate*")</f>
        <v>0</v>
      </c>
      <c r="I377" s="53">
        <f t="shared" si="6"/>
        <v>0</v>
      </c>
    </row>
    <row r="378" spans="2:9" x14ac:dyDescent="0.25">
      <c r="B378" s="48">
        <f>+'Metrics - Articles'!C375</f>
        <v>0</v>
      </c>
      <c r="C378">
        <f>COUNTIF('Metrics - Articles'!E377,"*Sports*")</f>
        <v>0</v>
      </c>
      <c r="D378">
        <f>COUNTIF('Metrics - Articles'!E377,"*Youth*")</f>
        <v>0</v>
      </c>
      <c r="E378">
        <f>COUNTIF('Metrics - Articles'!E377,"*Healthcare*")</f>
        <v>0</v>
      </c>
      <c r="F378">
        <f>COUNTIF('Metrics - Articles'!E377,"*Innovation")</f>
        <v>0</v>
      </c>
      <c r="G378">
        <f>COUNTIF('Metrics - Articles'!E377,"*Corporate*")</f>
        <v>0</v>
      </c>
      <c r="I378" s="53">
        <f t="shared" si="6"/>
        <v>0</v>
      </c>
    </row>
    <row r="379" spans="2:9" x14ac:dyDescent="0.25">
      <c r="B379" s="48">
        <f>+'Metrics - Articles'!C376</f>
        <v>0</v>
      </c>
      <c r="C379">
        <f>COUNTIF('Metrics - Articles'!E378,"*Sports*")</f>
        <v>0</v>
      </c>
      <c r="D379">
        <f>COUNTIF('Metrics - Articles'!E378,"*Youth*")</f>
        <v>0</v>
      </c>
      <c r="E379">
        <f>COUNTIF('Metrics - Articles'!E378,"*Healthcare*")</f>
        <v>0</v>
      </c>
      <c r="F379">
        <f>COUNTIF('Metrics - Articles'!E378,"*Innovation")</f>
        <v>0</v>
      </c>
      <c r="G379">
        <f>COUNTIF('Metrics - Articles'!E378,"*Corporate*")</f>
        <v>0</v>
      </c>
      <c r="I379" s="53">
        <f t="shared" si="6"/>
        <v>0</v>
      </c>
    </row>
    <row r="380" spans="2:9" x14ac:dyDescent="0.25">
      <c r="B380" s="48">
        <f>+'Metrics - Articles'!C377</f>
        <v>0</v>
      </c>
      <c r="C380">
        <f>COUNTIF('Metrics - Articles'!E379,"*Sports*")</f>
        <v>0</v>
      </c>
      <c r="D380">
        <f>COUNTIF('Metrics - Articles'!E379,"*Youth*")</f>
        <v>0</v>
      </c>
      <c r="E380">
        <f>COUNTIF('Metrics - Articles'!E379,"*Healthcare*")</f>
        <v>0</v>
      </c>
      <c r="F380">
        <f>COUNTIF('Metrics - Articles'!E379,"*Innovation")</f>
        <v>0</v>
      </c>
      <c r="G380">
        <f>COUNTIF('Metrics - Articles'!E379,"*Corporate*")</f>
        <v>0</v>
      </c>
      <c r="I380" s="53">
        <f t="shared" si="6"/>
        <v>0</v>
      </c>
    </row>
    <row r="381" spans="2:9" x14ac:dyDescent="0.25">
      <c r="B381" s="48">
        <f>+'Metrics - Articles'!C378</f>
        <v>0</v>
      </c>
      <c r="C381">
        <f>COUNTIF('Metrics - Articles'!E380,"*Sports*")</f>
        <v>0</v>
      </c>
      <c r="D381">
        <f>COUNTIF('Metrics - Articles'!E380,"*Youth*")</f>
        <v>0</v>
      </c>
      <c r="E381">
        <f>COUNTIF('Metrics - Articles'!E380,"*Healthcare*")</f>
        <v>0</v>
      </c>
      <c r="F381">
        <f>COUNTIF('Metrics - Articles'!E380,"*Innovation")</f>
        <v>0</v>
      </c>
      <c r="G381">
        <f>COUNTIF('Metrics - Articles'!E380,"*Corporate*")</f>
        <v>0</v>
      </c>
      <c r="I381" s="53">
        <f t="shared" si="6"/>
        <v>0</v>
      </c>
    </row>
    <row r="382" spans="2:9" x14ac:dyDescent="0.25">
      <c r="B382" s="48">
        <f>+'Metrics - Articles'!C379</f>
        <v>0</v>
      </c>
      <c r="C382">
        <f>COUNTIF('Metrics - Articles'!E381,"*Sports*")</f>
        <v>0</v>
      </c>
      <c r="D382">
        <f>COUNTIF('Metrics - Articles'!E381,"*Youth*")</f>
        <v>0</v>
      </c>
      <c r="E382">
        <f>COUNTIF('Metrics - Articles'!E381,"*Healthcare*")</f>
        <v>0</v>
      </c>
      <c r="F382">
        <f>COUNTIF('Metrics - Articles'!E381,"*Innovation")</f>
        <v>0</v>
      </c>
      <c r="G382">
        <f>COUNTIF('Metrics - Articles'!E381,"*Corporate*")</f>
        <v>0</v>
      </c>
      <c r="I382" s="53">
        <f t="shared" si="6"/>
        <v>0</v>
      </c>
    </row>
    <row r="383" spans="2:9" x14ac:dyDescent="0.25">
      <c r="B383" s="48">
        <f>+'Metrics - Articles'!C380</f>
        <v>0</v>
      </c>
      <c r="C383">
        <f>COUNTIF('Metrics - Articles'!E382,"*Sports*")</f>
        <v>0</v>
      </c>
      <c r="D383">
        <f>COUNTIF('Metrics - Articles'!E382,"*Youth*")</f>
        <v>0</v>
      </c>
      <c r="E383">
        <f>COUNTIF('Metrics - Articles'!E382,"*Healthcare*")</f>
        <v>0</v>
      </c>
      <c r="F383">
        <f>COUNTIF('Metrics - Articles'!E382,"*Innovation")</f>
        <v>0</v>
      </c>
      <c r="G383">
        <f>COUNTIF('Metrics - Articles'!E382,"*Corporate*")</f>
        <v>0</v>
      </c>
      <c r="I383" s="53">
        <f t="shared" si="6"/>
        <v>0</v>
      </c>
    </row>
    <row r="384" spans="2:9" x14ac:dyDescent="0.25">
      <c r="B384" s="48">
        <f>+'Metrics - Articles'!C381</f>
        <v>0</v>
      </c>
      <c r="C384">
        <f>COUNTIF('Metrics - Articles'!E383,"*Sports*")</f>
        <v>0</v>
      </c>
      <c r="D384">
        <f>COUNTIF('Metrics - Articles'!E383,"*Youth*")</f>
        <v>0</v>
      </c>
      <c r="E384">
        <f>COUNTIF('Metrics - Articles'!E383,"*Healthcare*")</f>
        <v>0</v>
      </c>
      <c r="F384">
        <f>COUNTIF('Metrics - Articles'!E383,"*Innovation")</f>
        <v>0</v>
      </c>
      <c r="G384">
        <f>COUNTIF('Metrics - Articles'!E383,"*Corporate*")</f>
        <v>0</v>
      </c>
      <c r="I384" s="53">
        <f t="shared" si="6"/>
        <v>0</v>
      </c>
    </row>
    <row r="385" spans="2:9" x14ac:dyDescent="0.25">
      <c r="B385" s="48">
        <f>+'Metrics - Articles'!C382</f>
        <v>0</v>
      </c>
      <c r="C385">
        <f>COUNTIF('Metrics - Articles'!E384,"*Sports*")</f>
        <v>0</v>
      </c>
      <c r="D385">
        <f>COUNTIF('Metrics - Articles'!E384,"*Youth*")</f>
        <v>0</v>
      </c>
      <c r="E385">
        <f>COUNTIF('Metrics - Articles'!E384,"*Healthcare*")</f>
        <v>0</v>
      </c>
      <c r="F385">
        <f>COUNTIF('Metrics - Articles'!E384,"*Innovation")</f>
        <v>0</v>
      </c>
      <c r="G385">
        <f>COUNTIF('Metrics - Articles'!E384,"*Corporate*")</f>
        <v>0</v>
      </c>
      <c r="I385" s="53">
        <f t="shared" si="6"/>
        <v>0</v>
      </c>
    </row>
    <row r="386" spans="2:9" x14ac:dyDescent="0.25">
      <c r="B386" s="48">
        <f>+'Metrics - Articles'!C383</f>
        <v>0</v>
      </c>
      <c r="C386">
        <f>COUNTIF('Metrics - Articles'!E385,"*Sports*")</f>
        <v>0</v>
      </c>
      <c r="D386">
        <f>COUNTIF('Metrics - Articles'!E385,"*Youth*")</f>
        <v>0</v>
      </c>
      <c r="E386">
        <f>COUNTIF('Metrics - Articles'!E385,"*Healthcare*")</f>
        <v>0</v>
      </c>
      <c r="F386">
        <f>COUNTIF('Metrics - Articles'!E385,"*Innovation")</f>
        <v>0</v>
      </c>
      <c r="G386">
        <f>COUNTIF('Metrics - Articles'!E385,"*Corporate*")</f>
        <v>0</v>
      </c>
      <c r="I386" s="53">
        <f t="shared" si="6"/>
        <v>0</v>
      </c>
    </row>
    <row r="387" spans="2:9" x14ac:dyDescent="0.25">
      <c r="B387" s="48">
        <f>+'Metrics - Articles'!C384</f>
        <v>0</v>
      </c>
      <c r="C387">
        <f>COUNTIF('Metrics - Articles'!E386,"*Sports*")</f>
        <v>0</v>
      </c>
      <c r="D387">
        <f>COUNTIF('Metrics - Articles'!E386,"*Youth*")</f>
        <v>0</v>
      </c>
      <c r="E387">
        <f>COUNTIF('Metrics - Articles'!E386,"*Healthcare*")</f>
        <v>0</v>
      </c>
      <c r="F387">
        <f>COUNTIF('Metrics - Articles'!E386,"*Innovation")</f>
        <v>0</v>
      </c>
      <c r="G387">
        <f>COUNTIF('Metrics - Articles'!E386,"*Corporate*")</f>
        <v>0</v>
      </c>
      <c r="I387" s="53">
        <f t="shared" si="6"/>
        <v>0</v>
      </c>
    </row>
    <row r="388" spans="2:9" x14ac:dyDescent="0.25">
      <c r="B388" s="48">
        <f>+'Metrics - Articles'!C385</f>
        <v>0</v>
      </c>
      <c r="C388">
        <f>COUNTIF('Metrics - Articles'!E387,"*Sports*")</f>
        <v>0</v>
      </c>
      <c r="D388">
        <f>COUNTIF('Metrics - Articles'!E387,"*Youth*")</f>
        <v>0</v>
      </c>
      <c r="E388">
        <f>COUNTIF('Metrics - Articles'!E387,"*Healthcare*")</f>
        <v>0</v>
      </c>
      <c r="F388">
        <f>COUNTIF('Metrics - Articles'!E387,"*Innovation")</f>
        <v>0</v>
      </c>
      <c r="G388">
        <f>COUNTIF('Metrics - Articles'!E387,"*Corporate*")</f>
        <v>0</v>
      </c>
      <c r="I388" s="53">
        <f t="shared" si="6"/>
        <v>0</v>
      </c>
    </row>
    <row r="389" spans="2:9" x14ac:dyDescent="0.25">
      <c r="B389" s="48">
        <f>+'Metrics - Articles'!C386</f>
        <v>0</v>
      </c>
      <c r="C389">
        <f>COUNTIF('Metrics - Articles'!E388,"*Sports*")</f>
        <v>0</v>
      </c>
      <c r="D389">
        <f>COUNTIF('Metrics - Articles'!E388,"*Youth*")</f>
        <v>0</v>
      </c>
      <c r="E389">
        <f>COUNTIF('Metrics - Articles'!E388,"*Healthcare*")</f>
        <v>0</v>
      </c>
      <c r="F389">
        <f>COUNTIF('Metrics - Articles'!E388,"*Innovation")</f>
        <v>0</v>
      </c>
      <c r="G389">
        <f>COUNTIF('Metrics - Articles'!E388,"*Corporate*")</f>
        <v>0</v>
      </c>
      <c r="I389" s="53">
        <f t="shared" si="6"/>
        <v>0</v>
      </c>
    </row>
    <row r="390" spans="2:9" x14ac:dyDescent="0.25">
      <c r="B390" s="48">
        <f>+'Metrics - Articles'!C387</f>
        <v>0</v>
      </c>
      <c r="C390">
        <f>COUNTIF('Metrics - Articles'!E389,"*Sports*")</f>
        <v>0</v>
      </c>
      <c r="D390">
        <f>COUNTIF('Metrics - Articles'!E389,"*Youth*")</f>
        <v>0</v>
      </c>
      <c r="E390">
        <f>COUNTIF('Metrics - Articles'!E389,"*Healthcare*")</f>
        <v>0</v>
      </c>
      <c r="F390">
        <f>COUNTIF('Metrics - Articles'!E389,"*Innovation")</f>
        <v>0</v>
      </c>
      <c r="G390">
        <f>COUNTIF('Metrics - Articles'!E389,"*Corporate*")</f>
        <v>0</v>
      </c>
      <c r="I390" s="53">
        <f t="shared" si="6"/>
        <v>0</v>
      </c>
    </row>
    <row r="391" spans="2:9" x14ac:dyDescent="0.25">
      <c r="B391" s="48">
        <f>+'Metrics - Articles'!C388</f>
        <v>0</v>
      </c>
      <c r="C391">
        <f>COUNTIF('Metrics - Articles'!E390,"*Sports*")</f>
        <v>0</v>
      </c>
      <c r="D391">
        <f>COUNTIF('Metrics - Articles'!E390,"*Youth*")</f>
        <v>0</v>
      </c>
      <c r="E391">
        <f>COUNTIF('Metrics - Articles'!E390,"*Healthcare*")</f>
        <v>0</v>
      </c>
      <c r="F391">
        <f>COUNTIF('Metrics - Articles'!E390,"*Innovation")</f>
        <v>0</v>
      </c>
      <c r="G391">
        <f>COUNTIF('Metrics - Articles'!E390,"*Corporate*")</f>
        <v>0</v>
      </c>
      <c r="I391" s="53">
        <f t="shared" si="6"/>
        <v>0</v>
      </c>
    </row>
    <row r="392" spans="2:9" x14ac:dyDescent="0.25">
      <c r="B392" s="48">
        <f>+'Metrics - Articles'!C389</f>
        <v>0</v>
      </c>
      <c r="C392">
        <f>COUNTIF('Metrics - Articles'!E391,"*Sports*")</f>
        <v>0</v>
      </c>
      <c r="D392">
        <f>COUNTIF('Metrics - Articles'!E391,"*Youth*")</f>
        <v>0</v>
      </c>
      <c r="E392">
        <f>COUNTIF('Metrics - Articles'!E391,"*Healthcare*")</f>
        <v>0</v>
      </c>
      <c r="F392">
        <f>COUNTIF('Metrics - Articles'!E391,"*Innovation")</f>
        <v>0</v>
      </c>
      <c r="G392">
        <f>COUNTIF('Metrics - Articles'!E391,"*Corporate*")</f>
        <v>0</v>
      </c>
      <c r="I392" s="53">
        <f t="shared" ref="I392:I455" si="7">SUM(C392:H392)</f>
        <v>0</v>
      </c>
    </row>
    <row r="393" spans="2:9" x14ac:dyDescent="0.25">
      <c r="B393" s="48">
        <f>+'Metrics - Articles'!C390</f>
        <v>0</v>
      </c>
      <c r="C393">
        <f>COUNTIF('Metrics - Articles'!E392,"*Sports*")</f>
        <v>0</v>
      </c>
      <c r="D393">
        <f>COUNTIF('Metrics - Articles'!E392,"*Youth*")</f>
        <v>0</v>
      </c>
      <c r="E393">
        <f>COUNTIF('Metrics - Articles'!E392,"*Healthcare*")</f>
        <v>0</v>
      </c>
      <c r="F393">
        <f>COUNTIF('Metrics - Articles'!E392,"*Innovation")</f>
        <v>0</v>
      </c>
      <c r="G393">
        <f>COUNTIF('Metrics - Articles'!E392,"*Corporate*")</f>
        <v>0</v>
      </c>
      <c r="I393" s="53">
        <f t="shared" si="7"/>
        <v>0</v>
      </c>
    </row>
    <row r="394" spans="2:9" x14ac:dyDescent="0.25">
      <c r="B394" s="48">
        <f>+'Metrics - Articles'!C391</f>
        <v>0</v>
      </c>
      <c r="C394">
        <f>COUNTIF('Metrics - Articles'!E393,"*Sports*")</f>
        <v>0</v>
      </c>
      <c r="D394">
        <f>COUNTIF('Metrics - Articles'!E393,"*Youth*")</f>
        <v>0</v>
      </c>
      <c r="E394">
        <f>COUNTIF('Metrics - Articles'!E393,"*Healthcare*")</f>
        <v>0</v>
      </c>
      <c r="F394">
        <f>COUNTIF('Metrics - Articles'!E393,"*Innovation")</f>
        <v>0</v>
      </c>
      <c r="G394">
        <f>COUNTIF('Metrics - Articles'!E393,"*Corporate*")</f>
        <v>0</v>
      </c>
      <c r="I394" s="53">
        <f t="shared" si="7"/>
        <v>0</v>
      </c>
    </row>
    <row r="395" spans="2:9" x14ac:dyDescent="0.25">
      <c r="B395" s="48">
        <f>+'Metrics - Articles'!C392</f>
        <v>0</v>
      </c>
      <c r="C395">
        <f>COUNTIF('Metrics - Articles'!E394,"*Sports*")</f>
        <v>0</v>
      </c>
      <c r="D395">
        <f>COUNTIF('Metrics - Articles'!E394,"*Youth*")</f>
        <v>0</v>
      </c>
      <c r="E395">
        <f>COUNTIF('Metrics - Articles'!E394,"*Healthcare*")</f>
        <v>0</v>
      </c>
      <c r="F395">
        <f>COUNTIF('Metrics - Articles'!E394,"*Innovation")</f>
        <v>0</v>
      </c>
      <c r="G395">
        <f>COUNTIF('Metrics - Articles'!E394,"*Corporate*")</f>
        <v>0</v>
      </c>
      <c r="I395" s="53">
        <f t="shared" si="7"/>
        <v>0</v>
      </c>
    </row>
    <row r="396" spans="2:9" x14ac:dyDescent="0.25">
      <c r="B396" s="48">
        <f>+'Metrics - Articles'!C393</f>
        <v>0</v>
      </c>
      <c r="C396">
        <f>COUNTIF('Metrics - Articles'!E395,"*Sports*")</f>
        <v>0</v>
      </c>
      <c r="D396">
        <f>COUNTIF('Metrics - Articles'!E395,"*Youth*")</f>
        <v>0</v>
      </c>
      <c r="E396">
        <f>COUNTIF('Metrics - Articles'!E395,"*Healthcare*")</f>
        <v>0</v>
      </c>
      <c r="F396">
        <f>COUNTIF('Metrics - Articles'!E395,"*Innovation")</f>
        <v>0</v>
      </c>
      <c r="G396">
        <f>COUNTIF('Metrics - Articles'!E395,"*Corporate*")</f>
        <v>0</v>
      </c>
      <c r="I396" s="53">
        <f t="shared" si="7"/>
        <v>0</v>
      </c>
    </row>
    <row r="397" spans="2:9" x14ac:dyDescent="0.25">
      <c r="B397" s="48">
        <f>+'Metrics - Articles'!C394</f>
        <v>0</v>
      </c>
      <c r="C397">
        <f>COUNTIF('Metrics - Articles'!E396,"*Sports*")</f>
        <v>0</v>
      </c>
      <c r="D397">
        <f>COUNTIF('Metrics - Articles'!E396,"*Youth*")</f>
        <v>0</v>
      </c>
      <c r="E397">
        <f>COUNTIF('Metrics - Articles'!E396,"*Healthcare*")</f>
        <v>0</v>
      </c>
      <c r="F397">
        <f>COUNTIF('Metrics - Articles'!E396,"*Innovation")</f>
        <v>0</v>
      </c>
      <c r="G397">
        <f>COUNTIF('Metrics - Articles'!E396,"*Corporate*")</f>
        <v>0</v>
      </c>
      <c r="I397" s="53">
        <f t="shared" si="7"/>
        <v>0</v>
      </c>
    </row>
    <row r="398" spans="2:9" x14ac:dyDescent="0.25">
      <c r="B398" s="48">
        <f>+'Metrics - Articles'!C395</f>
        <v>0</v>
      </c>
      <c r="C398">
        <f>COUNTIF('Metrics - Articles'!E397,"*Sports*")</f>
        <v>0</v>
      </c>
      <c r="D398">
        <f>COUNTIF('Metrics - Articles'!E397,"*Youth*")</f>
        <v>0</v>
      </c>
      <c r="E398">
        <f>COUNTIF('Metrics - Articles'!E397,"*Healthcare*")</f>
        <v>0</v>
      </c>
      <c r="F398">
        <f>COUNTIF('Metrics - Articles'!E397,"*Innovation")</f>
        <v>0</v>
      </c>
      <c r="G398">
        <f>COUNTIF('Metrics - Articles'!E397,"*Corporate*")</f>
        <v>0</v>
      </c>
      <c r="I398" s="53">
        <f t="shared" si="7"/>
        <v>0</v>
      </c>
    </row>
    <row r="399" spans="2:9" x14ac:dyDescent="0.25">
      <c r="B399" s="48">
        <f>+'Metrics - Articles'!C396</f>
        <v>0</v>
      </c>
      <c r="C399">
        <f>COUNTIF('Metrics - Articles'!E398,"*Sports*")</f>
        <v>0</v>
      </c>
      <c r="D399">
        <f>COUNTIF('Metrics - Articles'!E398,"*Youth*")</f>
        <v>0</v>
      </c>
      <c r="E399">
        <f>COUNTIF('Metrics - Articles'!E398,"*Healthcare*")</f>
        <v>0</v>
      </c>
      <c r="F399">
        <f>COUNTIF('Metrics - Articles'!E398,"*Innovation")</f>
        <v>0</v>
      </c>
      <c r="G399">
        <f>COUNTIF('Metrics - Articles'!E398,"*Corporate*")</f>
        <v>0</v>
      </c>
      <c r="I399" s="53">
        <f t="shared" si="7"/>
        <v>0</v>
      </c>
    </row>
    <row r="400" spans="2:9" x14ac:dyDescent="0.25">
      <c r="B400" s="48">
        <f>+'Metrics - Articles'!C397</f>
        <v>0</v>
      </c>
      <c r="C400">
        <f>COUNTIF('Metrics - Articles'!E399,"*Sports*")</f>
        <v>0</v>
      </c>
      <c r="D400">
        <f>COUNTIF('Metrics - Articles'!E399,"*Youth*")</f>
        <v>0</v>
      </c>
      <c r="E400">
        <f>COUNTIF('Metrics - Articles'!E399,"*Healthcare*")</f>
        <v>0</v>
      </c>
      <c r="F400">
        <f>COUNTIF('Metrics - Articles'!E399,"*Innovation")</f>
        <v>0</v>
      </c>
      <c r="G400">
        <f>COUNTIF('Metrics - Articles'!E399,"*Corporate*")</f>
        <v>0</v>
      </c>
      <c r="I400" s="53">
        <f t="shared" si="7"/>
        <v>0</v>
      </c>
    </row>
    <row r="401" spans="2:9" x14ac:dyDescent="0.25">
      <c r="B401" s="48">
        <f>+'Metrics - Articles'!C398</f>
        <v>0</v>
      </c>
      <c r="C401">
        <f>COUNTIF('Metrics - Articles'!E400,"*Sports*")</f>
        <v>0</v>
      </c>
      <c r="D401">
        <f>COUNTIF('Metrics - Articles'!E400,"*Youth*")</f>
        <v>0</v>
      </c>
      <c r="E401">
        <f>COUNTIF('Metrics - Articles'!E400,"*Healthcare*")</f>
        <v>0</v>
      </c>
      <c r="F401">
        <f>COUNTIF('Metrics - Articles'!E400,"*Innovation")</f>
        <v>0</v>
      </c>
      <c r="G401">
        <f>COUNTIF('Metrics - Articles'!E400,"*Corporate*")</f>
        <v>0</v>
      </c>
      <c r="I401" s="53">
        <f t="shared" si="7"/>
        <v>0</v>
      </c>
    </row>
    <row r="402" spans="2:9" x14ac:dyDescent="0.25">
      <c r="B402" s="48">
        <f>+'Metrics - Articles'!C399</f>
        <v>0</v>
      </c>
      <c r="C402">
        <f>COUNTIF('Metrics - Articles'!E401,"*Sports*")</f>
        <v>0</v>
      </c>
      <c r="D402">
        <f>COUNTIF('Metrics - Articles'!E401,"*Youth*")</f>
        <v>0</v>
      </c>
      <c r="E402">
        <f>COUNTIF('Metrics - Articles'!E401,"*Healthcare*")</f>
        <v>0</v>
      </c>
      <c r="F402">
        <f>COUNTIF('Metrics - Articles'!E401,"*Innovation")</f>
        <v>0</v>
      </c>
      <c r="G402">
        <f>COUNTIF('Metrics - Articles'!E401,"*Corporate*")</f>
        <v>0</v>
      </c>
      <c r="I402" s="53">
        <f t="shared" si="7"/>
        <v>0</v>
      </c>
    </row>
    <row r="403" spans="2:9" x14ac:dyDescent="0.25">
      <c r="B403" s="48">
        <f>+'Metrics - Articles'!C400</f>
        <v>0</v>
      </c>
      <c r="C403">
        <f>COUNTIF('Metrics - Articles'!E402,"*Sports*")</f>
        <v>0</v>
      </c>
      <c r="D403">
        <f>COUNTIF('Metrics - Articles'!E402,"*Youth*")</f>
        <v>0</v>
      </c>
      <c r="E403">
        <f>COUNTIF('Metrics - Articles'!E402,"*Healthcare*")</f>
        <v>0</v>
      </c>
      <c r="F403">
        <f>COUNTIF('Metrics - Articles'!E402,"*Innovation")</f>
        <v>0</v>
      </c>
      <c r="G403">
        <f>COUNTIF('Metrics - Articles'!E402,"*Corporate*")</f>
        <v>0</v>
      </c>
      <c r="I403" s="53">
        <f t="shared" si="7"/>
        <v>0</v>
      </c>
    </row>
    <row r="404" spans="2:9" x14ac:dyDescent="0.25">
      <c r="B404" s="48">
        <f>+'Metrics - Articles'!C401</f>
        <v>0</v>
      </c>
      <c r="C404">
        <f>COUNTIF('Metrics - Articles'!E403,"*Sports*")</f>
        <v>0</v>
      </c>
      <c r="D404">
        <f>COUNTIF('Metrics - Articles'!E403,"*Youth*")</f>
        <v>0</v>
      </c>
      <c r="E404">
        <f>COUNTIF('Metrics - Articles'!E403,"*Healthcare*")</f>
        <v>0</v>
      </c>
      <c r="F404">
        <f>COUNTIF('Metrics - Articles'!E403,"*Innovation")</f>
        <v>0</v>
      </c>
      <c r="G404">
        <f>COUNTIF('Metrics - Articles'!E403,"*Corporate*")</f>
        <v>0</v>
      </c>
      <c r="I404" s="53">
        <f t="shared" si="7"/>
        <v>0</v>
      </c>
    </row>
    <row r="405" spans="2:9" x14ac:dyDescent="0.25">
      <c r="B405" s="48">
        <f>+'Metrics - Articles'!C402</f>
        <v>0</v>
      </c>
      <c r="C405">
        <f>COUNTIF('Metrics - Articles'!E404,"*Sports*")</f>
        <v>0</v>
      </c>
      <c r="D405">
        <f>COUNTIF('Metrics - Articles'!E404,"*Youth*")</f>
        <v>0</v>
      </c>
      <c r="E405">
        <f>COUNTIF('Metrics - Articles'!E404,"*Healthcare*")</f>
        <v>0</v>
      </c>
      <c r="F405">
        <f>COUNTIF('Metrics - Articles'!E404,"*Innovation")</f>
        <v>0</v>
      </c>
      <c r="G405">
        <f>COUNTIF('Metrics - Articles'!E404,"*Corporate*")</f>
        <v>0</v>
      </c>
      <c r="I405" s="53">
        <f t="shared" si="7"/>
        <v>0</v>
      </c>
    </row>
    <row r="406" spans="2:9" x14ac:dyDescent="0.25">
      <c r="B406" s="48">
        <f>+'Metrics - Articles'!C403</f>
        <v>0</v>
      </c>
      <c r="C406">
        <f>COUNTIF('Metrics - Articles'!E405,"*Sports*")</f>
        <v>0</v>
      </c>
      <c r="D406">
        <f>COUNTIF('Metrics - Articles'!E405,"*Youth*")</f>
        <v>0</v>
      </c>
      <c r="E406">
        <f>COUNTIF('Metrics - Articles'!E405,"*Healthcare*")</f>
        <v>0</v>
      </c>
      <c r="F406">
        <f>COUNTIF('Metrics - Articles'!E405,"*Innovation")</f>
        <v>0</v>
      </c>
      <c r="G406">
        <f>COUNTIF('Metrics - Articles'!E405,"*Corporate*")</f>
        <v>0</v>
      </c>
      <c r="I406" s="53">
        <f t="shared" si="7"/>
        <v>0</v>
      </c>
    </row>
    <row r="407" spans="2:9" x14ac:dyDescent="0.25">
      <c r="B407" s="48">
        <f>+'Metrics - Articles'!C404</f>
        <v>0</v>
      </c>
      <c r="C407">
        <f>COUNTIF('Metrics - Articles'!E406,"*Sports*")</f>
        <v>0</v>
      </c>
      <c r="D407">
        <f>COUNTIF('Metrics - Articles'!E406,"*Youth*")</f>
        <v>0</v>
      </c>
      <c r="E407">
        <f>COUNTIF('Metrics - Articles'!E406,"*Healthcare*")</f>
        <v>0</v>
      </c>
      <c r="F407">
        <f>COUNTIF('Metrics - Articles'!E406,"*Innovation")</f>
        <v>0</v>
      </c>
      <c r="G407">
        <f>COUNTIF('Metrics - Articles'!E406,"*Corporate*")</f>
        <v>0</v>
      </c>
      <c r="I407" s="53">
        <f t="shared" si="7"/>
        <v>0</v>
      </c>
    </row>
    <row r="408" spans="2:9" x14ac:dyDescent="0.25">
      <c r="B408" s="48">
        <f>+'Metrics - Articles'!C405</f>
        <v>0</v>
      </c>
      <c r="C408">
        <f>COUNTIF('Metrics - Articles'!E407,"*Sports*")</f>
        <v>0</v>
      </c>
      <c r="D408">
        <f>COUNTIF('Metrics - Articles'!E407,"*Youth*")</f>
        <v>0</v>
      </c>
      <c r="E408">
        <f>COUNTIF('Metrics - Articles'!E407,"*Healthcare*")</f>
        <v>0</v>
      </c>
      <c r="F408">
        <f>COUNTIF('Metrics - Articles'!E407,"*Innovation")</f>
        <v>0</v>
      </c>
      <c r="G408">
        <f>COUNTIF('Metrics - Articles'!E407,"*Corporate*")</f>
        <v>0</v>
      </c>
      <c r="I408" s="53">
        <f t="shared" si="7"/>
        <v>0</v>
      </c>
    </row>
    <row r="409" spans="2:9" x14ac:dyDescent="0.25">
      <c r="B409" s="48">
        <f>+'Metrics - Articles'!C406</f>
        <v>0</v>
      </c>
      <c r="C409">
        <f>COUNTIF('Metrics - Articles'!E408,"*Sports*")</f>
        <v>0</v>
      </c>
      <c r="D409">
        <f>COUNTIF('Metrics - Articles'!E408,"*Youth*")</f>
        <v>0</v>
      </c>
      <c r="E409">
        <f>COUNTIF('Metrics - Articles'!E408,"*Healthcare*")</f>
        <v>0</v>
      </c>
      <c r="F409">
        <f>COUNTIF('Metrics - Articles'!E408,"*Innovation")</f>
        <v>0</v>
      </c>
      <c r="G409">
        <f>COUNTIF('Metrics - Articles'!E408,"*Corporate*")</f>
        <v>0</v>
      </c>
      <c r="I409" s="53">
        <f t="shared" si="7"/>
        <v>0</v>
      </c>
    </row>
    <row r="410" spans="2:9" x14ac:dyDescent="0.25">
      <c r="B410" s="48">
        <f>+'Metrics - Articles'!C407</f>
        <v>0</v>
      </c>
      <c r="C410">
        <f>COUNTIF('Metrics - Articles'!E409,"*Sports*")</f>
        <v>0</v>
      </c>
      <c r="D410">
        <f>COUNTIF('Metrics - Articles'!E409,"*Youth*")</f>
        <v>0</v>
      </c>
      <c r="E410">
        <f>COUNTIF('Metrics - Articles'!E409,"*Healthcare*")</f>
        <v>0</v>
      </c>
      <c r="F410">
        <f>COUNTIF('Metrics - Articles'!E409,"*Innovation")</f>
        <v>0</v>
      </c>
      <c r="G410">
        <f>COUNTIF('Metrics - Articles'!E409,"*Corporate*")</f>
        <v>0</v>
      </c>
      <c r="I410" s="53">
        <f t="shared" si="7"/>
        <v>0</v>
      </c>
    </row>
    <row r="411" spans="2:9" x14ac:dyDescent="0.25">
      <c r="B411" s="48">
        <f>+'Metrics - Articles'!C408</f>
        <v>0</v>
      </c>
      <c r="C411">
        <f>COUNTIF('Metrics - Articles'!E410,"*Sports*")</f>
        <v>0</v>
      </c>
      <c r="D411">
        <f>COUNTIF('Metrics - Articles'!E410,"*Youth*")</f>
        <v>0</v>
      </c>
      <c r="E411">
        <f>COUNTIF('Metrics - Articles'!E410,"*Healthcare*")</f>
        <v>0</v>
      </c>
      <c r="F411">
        <f>COUNTIF('Metrics - Articles'!E410,"*Innovation")</f>
        <v>0</v>
      </c>
      <c r="G411">
        <f>COUNTIF('Metrics - Articles'!E410,"*Corporate*")</f>
        <v>0</v>
      </c>
      <c r="I411" s="53">
        <f t="shared" si="7"/>
        <v>0</v>
      </c>
    </row>
    <row r="412" spans="2:9" x14ac:dyDescent="0.25">
      <c r="B412" s="48">
        <f>+'Metrics - Articles'!C409</f>
        <v>0</v>
      </c>
      <c r="C412">
        <f>COUNTIF('Metrics - Articles'!E411,"*Sports*")</f>
        <v>0</v>
      </c>
      <c r="D412">
        <f>COUNTIF('Metrics - Articles'!E411,"*Youth*")</f>
        <v>0</v>
      </c>
      <c r="E412">
        <f>COUNTIF('Metrics - Articles'!E411,"*Healthcare*")</f>
        <v>0</v>
      </c>
      <c r="F412">
        <f>COUNTIF('Metrics - Articles'!E411,"*Innovation")</f>
        <v>0</v>
      </c>
      <c r="G412">
        <f>COUNTIF('Metrics - Articles'!E411,"*Corporate*")</f>
        <v>0</v>
      </c>
      <c r="I412" s="53">
        <f t="shared" si="7"/>
        <v>0</v>
      </c>
    </row>
    <row r="413" spans="2:9" x14ac:dyDescent="0.25">
      <c r="B413" s="48">
        <f>+'Metrics - Articles'!C410</f>
        <v>0</v>
      </c>
      <c r="C413">
        <f>COUNTIF('Metrics - Articles'!E412,"*Sports*")</f>
        <v>0</v>
      </c>
      <c r="D413">
        <f>COUNTIF('Metrics - Articles'!E412,"*Youth*")</f>
        <v>0</v>
      </c>
      <c r="E413">
        <f>COUNTIF('Metrics - Articles'!E412,"*Healthcare*")</f>
        <v>0</v>
      </c>
      <c r="F413">
        <f>COUNTIF('Metrics - Articles'!E412,"*Innovation")</f>
        <v>0</v>
      </c>
      <c r="G413">
        <f>COUNTIF('Metrics - Articles'!E412,"*Corporate*")</f>
        <v>0</v>
      </c>
      <c r="I413" s="53">
        <f t="shared" si="7"/>
        <v>0</v>
      </c>
    </row>
    <row r="414" spans="2:9" x14ac:dyDescent="0.25">
      <c r="B414" s="48">
        <f>+'Metrics - Articles'!C411</f>
        <v>0</v>
      </c>
      <c r="C414">
        <f>COUNTIF('Metrics - Articles'!E413,"*Sports*")</f>
        <v>0</v>
      </c>
      <c r="D414">
        <f>COUNTIF('Metrics - Articles'!E413,"*Youth*")</f>
        <v>0</v>
      </c>
      <c r="E414">
        <f>COUNTIF('Metrics - Articles'!E413,"*Healthcare*")</f>
        <v>0</v>
      </c>
      <c r="F414">
        <f>COUNTIF('Metrics - Articles'!E413,"*Innovation")</f>
        <v>0</v>
      </c>
      <c r="G414">
        <f>COUNTIF('Metrics - Articles'!E413,"*Corporate*")</f>
        <v>0</v>
      </c>
      <c r="I414" s="53">
        <f t="shared" si="7"/>
        <v>0</v>
      </c>
    </row>
    <row r="415" spans="2:9" x14ac:dyDescent="0.25">
      <c r="B415" s="48">
        <f>+'Metrics - Articles'!C412</f>
        <v>0</v>
      </c>
      <c r="C415">
        <f>COUNTIF('Metrics - Articles'!E414,"*Sports*")</f>
        <v>0</v>
      </c>
      <c r="D415">
        <f>COUNTIF('Metrics - Articles'!E414,"*Youth*")</f>
        <v>0</v>
      </c>
      <c r="E415">
        <f>COUNTIF('Metrics - Articles'!E414,"*Healthcare*")</f>
        <v>0</v>
      </c>
      <c r="F415">
        <f>COUNTIF('Metrics - Articles'!E414,"*Innovation")</f>
        <v>0</v>
      </c>
      <c r="G415">
        <f>COUNTIF('Metrics - Articles'!E414,"*Corporate*")</f>
        <v>0</v>
      </c>
      <c r="I415" s="53">
        <f t="shared" si="7"/>
        <v>0</v>
      </c>
    </row>
    <row r="416" spans="2:9" x14ac:dyDescent="0.25">
      <c r="B416" s="48">
        <f>+'Metrics - Articles'!C413</f>
        <v>0</v>
      </c>
      <c r="C416">
        <f>COUNTIF('Metrics - Articles'!E415,"*Sports*")</f>
        <v>0</v>
      </c>
      <c r="D416">
        <f>COUNTIF('Metrics - Articles'!E415,"*Youth*")</f>
        <v>0</v>
      </c>
      <c r="E416">
        <f>COUNTIF('Metrics - Articles'!E415,"*Healthcare*")</f>
        <v>0</v>
      </c>
      <c r="F416">
        <f>COUNTIF('Metrics - Articles'!E415,"*Innovation")</f>
        <v>0</v>
      </c>
      <c r="G416">
        <f>COUNTIF('Metrics - Articles'!E415,"*Corporate*")</f>
        <v>0</v>
      </c>
      <c r="I416" s="53">
        <f t="shared" si="7"/>
        <v>0</v>
      </c>
    </row>
    <row r="417" spans="2:9" x14ac:dyDescent="0.25">
      <c r="B417" s="48">
        <f>+'Metrics - Articles'!C414</f>
        <v>0</v>
      </c>
      <c r="C417">
        <f>COUNTIF('Metrics - Articles'!E416,"*Sports*")</f>
        <v>0</v>
      </c>
      <c r="D417">
        <f>COUNTIF('Metrics - Articles'!E416,"*Youth*")</f>
        <v>0</v>
      </c>
      <c r="E417">
        <f>COUNTIF('Metrics - Articles'!E416,"*Healthcare*")</f>
        <v>0</v>
      </c>
      <c r="F417">
        <f>COUNTIF('Metrics - Articles'!E416,"*Innovation")</f>
        <v>0</v>
      </c>
      <c r="G417">
        <f>COUNTIF('Metrics - Articles'!E416,"*Corporate*")</f>
        <v>0</v>
      </c>
      <c r="I417" s="53">
        <f t="shared" si="7"/>
        <v>0</v>
      </c>
    </row>
    <row r="418" spans="2:9" x14ac:dyDescent="0.25">
      <c r="B418" s="48">
        <f>+'Metrics - Articles'!C415</f>
        <v>0</v>
      </c>
      <c r="C418">
        <f>COUNTIF('Metrics - Articles'!E417,"*Sports*")</f>
        <v>0</v>
      </c>
      <c r="D418">
        <f>COUNTIF('Metrics - Articles'!E417,"*Youth*")</f>
        <v>0</v>
      </c>
      <c r="E418">
        <f>COUNTIF('Metrics - Articles'!E417,"*Healthcare*")</f>
        <v>0</v>
      </c>
      <c r="F418">
        <f>COUNTIF('Metrics - Articles'!E417,"*Innovation")</f>
        <v>0</v>
      </c>
      <c r="G418">
        <f>COUNTIF('Metrics - Articles'!E417,"*Corporate*")</f>
        <v>0</v>
      </c>
      <c r="I418" s="53">
        <f t="shared" si="7"/>
        <v>0</v>
      </c>
    </row>
    <row r="419" spans="2:9" x14ac:dyDescent="0.25">
      <c r="B419" s="48">
        <f>+'Metrics - Articles'!C416</f>
        <v>0</v>
      </c>
      <c r="C419">
        <f>COUNTIF('Metrics - Articles'!E418,"*Sports*")</f>
        <v>0</v>
      </c>
      <c r="D419">
        <f>COUNTIF('Metrics - Articles'!E418,"*Youth*")</f>
        <v>0</v>
      </c>
      <c r="E419">
        <f>COUNTIF('Metrics - Articles'!E418,"*Healthcare*")</f>
        <v>0</v>
      </c>
      <c r="F419">
        <f>COUNTIF('Metrics - Articles'!E418,"*Innovation")</f>
        <v>0</v>
      </c>
      <c r="G419">
        <f>COUNTIF('Metrics - Articles'!E418,"*Corporate*")</f>
        <v>0</v>
      </c>
      <c r="I419" s="53">
        <f t="shared" si="7"/>
        <v>0</v>
      </c>
    </row>
    <row r="420" spans="2:9" x14ac:dyDescent="0.25">
      <c r="B420" s="48">
        <f>+'Metrics - Articles'!C417</f>
        <v>0</v>
      </c>
      <c r="C420">
        <f>COUNTIF('Metrics - Articles'!E419,"*Sports*")</f>
        <v>0</v>
      </c>
      <c r="D420">
        <f>COUNTIF('Metrics - Articles'!E419,"*Youth*")</f>
        <v>0</v>
      </c>
      <c r="E420">
        <f>COUNTIF('Metrics - Articles'!E419,"*Healthcare*")</f>
        <v>0</v>
      </c>
      <c r="F420">
        <f>COUNTIF('Metrics - Articles'!E419,"*Innovation")</f>
        <v>0</v>
      </c>
      <c r="G420">
        <f>COUNTIF('Metrics - Articles'!E419,"*Corporate*")</f>
        <v>0</v>
      </c>
      <c r="I420" s="53">
        <f t="shared" si="7"/>
        <v>0</v>
      </c>
    </row>
    <row r="421" spans="2:9" x14ac:dyDescent="0.25">
      <c r="B421" s="48">
        <f>+'Metrics - Articles'!C418</f>
        <v>0</v>
      </c>
      <c r="C421">
        <f>COUNTIF('Metrics - Articles'!E420,"*Sports*")</f>
        <v>0</v>
      </c>
      <c r="D421">
        <f>COUNTIF('Metrics - Articles'!E420,"*Youth*")</f>
        <v>0</v>
      </c>
      <c r="E421">
        <f>COUNTIF('Metrics - Articles'!E420,"*Healthcare*")</f>
        <v>0</v>
      </c>
      <c r="F421">
        <f>COUNTIF('Metrics - Articles'!E420,"*Innovation")</f>
        <v>0</v>
      </c>
      <c r="G421">
        <f>COUNTIF('Metrics - Articles'!E420,"*Corporate*")</f>
        <v>0</v>
      </c>
      <c r="I421" s="53">
        <f t="shared" si="7"/>
        <v>0</v>
      </c>
    </row>
    <row r="422" spans="2:9" x14ac:dyDescent="0.25">
      <c r="B422" s="48">
        <f>+'Metrics - Articles'!C419</f>
        <v>0</v>
      </c>
      <c r="C422">
        <f>COUNTIF('Metrics - Articles'!E421,"*Sports*")</f>
        <v>0</v>
      </c>
      <c r="D422">
        <f>COUNTIF('Metrics - Articles'!E421,"*Youth*")</f>
        <v>0</v>
      </c>
      <c r="E422">
        <f>COUNTIF('Metrics - Articles'!E421,"*Healthcare*")</f>
        <v>0</v>
      </c>
      <c r="F422">
        <f>COUNTIF('Metrics - Articles'!E421,"*Innovation")</f>
        <v>0</v>
      </c>
      <c r="G422">
        <f>COUNTIF('Metrics - Articles'!E421,"*Corporate*")</f>
        <v>0</v>
      </c>
      <c r="I422" s="53">
        <f t="shared" si="7"/>
        <v>0</v>
      </c>
    </row>
    <row r="423" spans="2:9" x14ac:dyDescent="0.25">
      <c r="B423" s="48">
        <f>+'Metrics - Articles'!C420</f>
        <v>0</v>
      </c>
      <c r="C423">
        <f>COUNTIF('Metrics - Articles'!E422,"*Sports*")</f>
        <v>0</v>
      </c>
      <c r="D423">
        <f>COUNTIF('Metrics - Articles'!E422,"*Youth*")</f>
        <v>0</v>
      </c>
      <c r="E423">
        <f>COUNTIF('Metrics - Articles'!E422,"*Healthcare*")</f>
        <v>0</v>
      </c>
      <c r="F423">
        <f>COUNTIF('Metrics - Articles'!E422,"*Innovation")</f>
        <v>0</v>
      </c>
      <c r="G423">
        <f>COUNTIF('Metrics - Articles'!E422,"*Corporate*")</f>
        <v>0</v>
      </c>
      <c r="I423" s="53">
        <f t="shared" si="7"/>
        <v>0</v>
      </c>
    </row>
    <row r="424" spans="2:9" x14ac:dyDescent="0.25">
      <c r="B424" s="48">
        <f>+'Metrics - Articles'!C421</f>
        <v>0</v>
      </c>
      <c r="C424">
        <f>COUNTIF('Metrics - Articles'!E423,"*Sports*")</f>
        <v>0</v>
      </c>
      <c r="D424">
        <f>COUNTIF('Metrics - Articles'!E423,"*Youth*")</f>
        <v>0</v>
      </c>
      <c r="E424">
        <f>COUNTIF('Metrics - Articles'!E423,"*Healthcare*")</f>
        <v>0</v>
      </c>
      <c r="F424">
        <f>COUNTIF('Metrics - Articles'!E423,"*Innovation")</f>
        <v>0</v>
      </c>
      <c r="G424">
        <f>COUNTIF('Metrics - Articles'!E423,"*Corporate*")</f>
        <v>0</v>
      </c>
      <c r="I424" s="53">
        <f t="shared" si="7"/>
        <v>0</v>
      </c>
    </row>
    <row r="425" spans="2:9" x14ac:dyDescent="0.25">
      <c r="B425" s="48">
        <f>+'Metrics - Articles'!C422</f>
        <v>0</v>
      </c>
      <c r="C425">
        <f>COUNTIF('Metrics - Articles'!E424,"*Sports*")</f>
        <v>0</v>
      </c>
      <c r="D425">
        <f>COUNTIF('Metrics - Articles'!E424,"*Youth*")</f>
        <v>0</v>
      </c>
      <c r="E425">
        <f>COUNTIF('Metrics - Articles'!E424,"*Healthcare*")</f>
        <v>0</v>
      </c>
      <c r="F425">
        <f>COUNTIF('Metrics - Articles'!E424,"*Innovation")</f>
        <v>0</v>
      </c>
      <c r="G425">
        <f>COUNTIF('Metrics - Articles'!E424,"*Corporate*")</f>
        <v>0</v>
      </c>
      <c r="I425" s="53">
        <f t="shared" si="7"/>
        <v>0</v>
      </c>
    </row>
    <row r="426" spans="2:9" x14ac:dyDescent="0.25">
      <c r="B426" s="48">
        <f>+'Metrics - Articles'!C423</f>
        <v>0</v>
      </c>
      <c r="C426">
        <f>COUNTIF('Metrics - Articles'!E425,"*Sports*")</f>
        <v>0</v>
      </c>
      <c r="D426">
        <f>COUNTIF('Metrics - Articles'!E425,"*Youth*")</f>
        <v>0</v>
      </c>
      <c r="E426">
        <f>COUNTIF('Metrics - Articles'!E425,"*Healthcare*")</f>
        <v>0</v>
      </c>
      <c r="F426">
        <f>COUNTIF('Metrics - Articles'!E425,"*Innovation")</f>
        <v>0</v>
      </c>
      <c r="G426">
        <f>COUNTIF('Metrics - Articles'!E425,"*Corporate*")</f>
        <v>0</v>
      </c>
      <c r="I426" s="53">
        <f t="shared" si="7"/>
        <v>0</v>
      </c>
    </row>
    <row r="427" spans="2:9" x14ac:dyDescent="0.25">
      <c r="B427" s="48">
        <f>+'Metrics - Articles'!C424</f>
        <v>0</v>
      </c>
      <c r="C427">
        <f>COUNTIF('Metrics - Articles'!E426,"*Sports*")</f>
        <v>0</v>
      </c>
      <c r="D427">
        <f>COUNTIF('Metrics - Articles'!E426,"*Youth*")</f>
        <v>0</v>
      </c>
      <c r="E427">
        <f>COUNTIF('Metrics - Articles'!E426,"*Healthcare*")</f>
        <v>0</v>
      </c>
      <c r="F427">
        <f>COUNTIF('Metrics - Articles'!E426,"*Innovation")</f>
        <v>0</v>
      </c>
      <c r="G427">
        <f>COUNTIF('Metrics - Articles'!E426,"*Corporate*")</f>
        <v>0</v>
      </c>
      <c r="I427" s="53">
        <f t="shared" si="7"/>
        <v>0</v>
      </c>
    </row>
    <row r="428" spans="2:9" x14ac:dyDescent="0.25">
      <c r="B428" s="48">
        <f>+'Metrics - Articles'!C425</f>
        <v>0</v>
      </c>
      <c r="C428">
        <f>COUNTIF('Metrics - Articles'!E427,"*Sports*")</f>
        <v>0</v>
      </c>
      <c r="D428">
        <f>COUNTIF('Metrics - Articles'!E427,"*Youth*")</f>
        <v>0</v>
      </c>
      <c r="E428">
        <f>COUNTIF('Metrics - Articles'!E427,"*Healthcare*")</f>
        <v>0</v>
      </c>
      <c r="F428">
        <f>COUNTIF('Metrics - Articles'!E427,"*Innovation")</f>
        <v>0</v>
      </c>
      <c r="G428">
        <f>COUNTIF('Metrics - Articles'!E427,"*Corporate*")</f>
        <v>0</v>
      </c>
      <c r="I428" s="53">
        <f t="shared" si="7"/>
        <v>0</v>
      </c>
    </row>
    <row r="429" spans="2:9" x14ac:dyDescent="0.25">
      <c r="B429" s="48">
        <f>+'Metrics - Articles'!C426</f>
        <v>0</v>
      </c>
      <c r="C429">
        <f>COUNTIF('Metrics - Articles'!E428,"*Sports*")</f>
        <v>0</v>
      </c>
      <c r="D429">
        <f>COUNTIF('Metrics - Articles'!E428,"*Youth*")</f>
        <v>0</v>
      </c>
      <c r="E429">
        <f>COUNTIF('Metrics - Articles'!E428,"*Healthcare*")</f>
        <v>0</v>
      </c>
      <c r="F429">
        <f>COUNTIF('Metrics - Articles'!E428,"*Innovation")</f>
        <v>0</v>
      </c>
      <c r="G429">
        <f>COUNTIF('Metrics - Articles'!E428,"*Corporate*")</f>
        <v>0</v>
      </c>
      <c r="I429" s="53">
        <f t="shared" si="7"/>
        <v>0</v>
      </c>
    </row>
    <row r="430" spans="2:9" x14ac:dyDescent="0.25">
      <c r="B430" s="48">
        <f>+'Metrics - Articles'!C427</f>
        <v>0</v>
      </c>
      <c r="C430">
        <f>COUNTIF('Metrics - Articles'!E429,"*Sports*")</f>
        <v>0</v>
      </c>
      <c r="D430">
        <f>COUNTIF('Metrics - Articles'!E429,"*Youth*")</f>
        <v>0</v>
      </c>
      <c r="E430">
        <f>COUNTIF('Metrics - Articles'!E429,"*Healthcare*")</f>
        <v>0</v>
      </c>
      <c r="F430">
        <f>COUNTIF('Metrics - Articles'!E429,"*Innovation")</f>
        <v>0</v>
      </c>
      <c r="G430">
        <f>COUNTIF('Metrics - Articles'!E429,"*Corporate*")</f>
        <v>0</v>
      </c>
      <c r="I430" s="53">
        <f t="shared" si="7"/>
        <v>0</v>
      </c>
    </row>
    <row r="431" spans="2:9" x14ac:dyDescent="0.25">
      <c r="B431" s="48">
        <f>+'Metrics - Articles'!C428</f>
        <v>0</v>
      </c>
      <c r="C431">
        <f>COUNTIF('Metrics - Articles'!E430,"*Sports*")</f>
        <v>0</v>
      </c>
      <c r="D431">
        <f>COUNTIF('Metrics - Articles'!E430,"*Youth*")</f>
        <v>0</v>
      </c>
      <c r="E431">
        <f>COUNTIF('Metrics - Articles'!E430,"*Healthcare*")</f>
        <v>0</v>
      </c>
      <c r="F431">
        <f>COUNTIF('Metrics - Articles'!E430,"*Innovation")</f>
        <v>0</v>
      </c>
      <c r="G431">
        <f>COUNTIF('Metrics - Articles'!E430,"*Corporate*")</f>
        <v>0</v>
      </c>
      <c r="I431" s="53">
        <f t="shared" si="7"/>
        <v>0</v>
      </c>
    </row>
    <row r="432" spans="2:9" x14ac:dyDescent="0.25">
      <c r="B432" s="48">
        <f>+'Metrics - Articles'!C429</f>
        <v>0</v>
      </c>
      <c r="C432">
        <f>COUNTIF('Metrics - Articles'!E431,"*Sports*")</f>
        <v>0</v>
      </c>
      <c r="D432">
        <f>COUNTIF('Metrics - Articles'!E431,"*Youth*")</f>
        <v>0</v>
      </c>
      <c r="E432">
        <f>COUNTIF('Metrics - Articles'!E431,"*Healthcare*")</f>
        <v>0</v>
      </c>
      <c r="F432">
        <f>COUNTIF('Metrics - Articles'!E431,"*Innovation")</f>
        <v>0</v>
      </c>
      <c r="G432">
        <f>COUNTIF('Metrics - Articles'!E431,"*Corporate*")</f>
        <v>0</v>
      </c>
      <c r="I432" s="53">
        <f t="shared" si="7"/>
        <v>0</v>
      </c>
    </row>
    <row r="433" spans="2:9" x14ac:dyDescent="0.25">
      <c r="B433" s="48">
        <f>+'Metrics - Articles'!C430</f>
        <v>0</v>
      </c>
      <c r="C433">
        <f>COUNTIF('Metrics - Articles'!E432,"*Sports*")</f>
        <v>0</v>
      </c>
      <c r="D433">
        <f>COUNTIF('Metrics - Articles'!E432,"*Youth*")</f>
        <v>0</v>
      </c>
      <c r="E433">
        <f>COUNTIF('Metrics - Articles'!E432,"*Healthcare*")</f>
        <v>0</v>
      </c>
      <c r="F433">
        <f>COUNTIF('Metrics - Articles'!E432,"*Innovation")</f>
        <v>0</v>
      </c>
      <c r="G433">
        <f>COUNTIF('Metrics - Articles'!E432,"*Corporate*")</f>
        <v>0</v>
      </c>
      <c r="I433" s="53">
        <f t="shared" si="7"/>
        <v>0</v>
      </c>
    </row>
    <row r="434" spans="2:9" x14ac:dyDescent="0.25">
      <c r="B434" s="48">
        <f>+'Metrics - Articles'!C431</f>
        <v>0</v>
      </c>
      <c r="C434">
        <f>COUNTIF('Metrics - Articles'!E433,"*Sports*")</f>
        <v>0</v>
      </c>
      <c r="D434">
        <f>COUNTIF('Metrics - Articles'!E433,"*Youth*")</f>
        <v>0</v>
      </c>
      <c r="E434">
        <f>COUNTIF('Metrics - Articles'!E433,"*Healthcare*")</f>
        <v>0</v>
      </c>
      <c r="F434">
        <f>COUNTIF('Metrics - Articles'!E433,"*Innovation")</f>
        <v>0</v>
      </c>
      <c r="G434">
        <f>COUNTIF('Metrics - Articles'!E433,"*Corporate*")</f>
        <v>0</v>
      </c>
      <c r="I434" s="53">
        <f t="shared" si="7"/>
        <v>0</v>
      </c>
    </row>
    <row r="435" spans="2:9" x14ac:dyDescent="0.25">
      <c r="B435" s="48">
        <f>+'Metrics - Articles'!C432</f>
        <v>0</v>
      </c>
      <c r="C435">
        <f>COUNTIF('Metrics - Articles'!E434,"*Sports*")</f>
        <v>0</v>
      </c>
      <c r="D435">
        <f>COUNTIF('Metrics - Articles'!E434,"*Youth*")</f>
        <v>0</v>
      </c>
      <c r="E435">
        <f>COUNTIF('Metrics - Articles'!E434,"*Healthcare*")</f>
        <v>0</v>
      </c>
      <c r="F435">
        <f>COUNTIF('Metrics - Articles'!E434,"*Innovation")</f>
        <v>0</v>
      </c>
      <c r="G435">
        <f>COUNTIF('Metrics - Articles'!E434,"*Corporate*")</f>
        <v>0</v>
      </c>
      <c r="I435" s="53">
        <f t="shared" si="7"/>
        <v>0</v>
      </c>
    </row>
    <row r="436" spans="2:9" x14ac:dyDescent="0.25">
      <c r="B436" s="48">
        <f>+'Metrics - Articles'!C433</f>
        <v>0</v>
      </c>
      <c r="C436">
        <f>COUNTIF('Metrics - Articles'!E435,"*Sports*")</f>
        <v>0</v>
      </c>
      <c r="D436">
        <f>COUNTIF('Metrics - Articles'!E435,"*Youth*")</f>
        <v>0</v>
      </c>
      <c r="E436">
        <f>COUNTIF('Metrics - Articles'!E435,"*Healthcare*")</f>
        <v>0</v>
      </c>
      <c r="F436">
        <f>COUNTIF('Metrics - Articles'!E435,"*Innovation")</f>
        <v>0</v>
      </c>
      <c r="G436">
        <f>COUNTIF('Metrics - Articles'!E435,"*Corporate*")</f>
        <v>0</v>
      </c>
      <c r="I436" s="53">
        <f t="shared" si="7"/>
        <v>0</v>
      </c>
    </row>
    <row r="437" spans="2:9" x14ac:dyDescent="0.25">
      <c r="B437" s="48">
        <f>+'Metrics - Articles'!C434</f>
        <v>0</v>
      </c>
      <c r="C437">
        <f>COUNTIF('Metrics - Articles'!E436,"*Sports*")</f>
        <v>0</v>
      </c>
      <c r="D437">
        <f>COUNTIF('Metrics - Articles'!E436,"*Youth*")</f>
        <v>0</v>
      </c>
      <c r="E437">
        <f>COUNTIF('Metrics - Articles'!E436,"*Healthcare*")</f>
        <v>0</v>
      </c>
      <c r="F437">
        <f>COUNTIF('Metrics - Articles'!E436,"*Innovation")</f>
        <v>0</v>
      </c>
      <c r="G437">
        <f>COUNTIF('Metrics - Articles'!E436,"*Corporate*")</f>
        <v>0</v>
      </c>
      <c r="I437" s="53">
        <f t="shared" si="7"/>
        <v>0</v>
      </c>
    </row>
    <row r="438" spans="2:9" x14ac:dyDescent="0.25">
      <c r="B438" s="48">
        <f>+'Metrics - Articles'!C435</f>
        <v>0</v>
      </c>
      <c r="C438">
        <f>COUNTIF('Metrics - Articles'!E437,"*Sports*")</f>
        <v>0</v>
      </c>
      <c r="D438">
        <f>COUNTIF('Metrics - Articles'!E437,"*Youth*")</f>
        <v>0</v>
      </c>
      <c r="E438">
        <f>COUNTIF('Metrics - Articles'!E437,"*Healthcare*")</f>
        <v>0</v>
      </c>
      <c r="F438">
        <f>COUNTIF('Metrics - Articles'!E437,"*Innovation")</f>
        <v>0</v>
      </c>
      <c r="G438">
        <f>COUNTIF('Metrics - Articles'!E437,"*Corporate*")</f>
        <v>0</v>
      </c>
      <c r="I438" s="53">
        <f t="shared" si="7"/>
        <v>0</v>
      </c>
    </row>
    <row r="439" spans="2:9" x14ac:dyDescent="0.25">
      <c r="B439" s="48">
        <f>+'Metrics - Articles'!C436</f>
        <v>0</v>
      </c>
      <c r="C439">
        <f>COUNTIF('Metrics - Articles'!E438,"*Sports*")</f>
        <v>0</v>
      </c>
      <c r="D439">
        <f>COUNTIF('Metrics - Articles'!E438,"*Youth*")</f>
        <v>0</v>
      </c>
      <c r="E439">
        <f>COUNTIF('Metrics - Articles'!E438,"*Healthcare*")</f>
        <v>0</v>
      </c>
      <c r="F439">
        <f>COUNTIF('Metrics - Articles'!E438,"*Innovation")</f>
        <v>0</v>
      </c>
      <c r="G439">
        <f>COUNTIF('Metrics - Articles'!E438,"*Corporate*")</f>
        <v>0</v>
      </c>
      <c r="I439" s="53">
        <f t="shared" si="7"/>
        <v>0</v>
      </c>
    </row>
    <row r="440" spans="2:9" x14ac:dyDescent="0.25">
      <c r="B440" s="48">
        <f>+'Metrics - Articles'!C437</f>
        <v>0</v>
      </c>
      <c r="C440">
        <f>COUNTIF('Metrics - Articles'!E439,"*Sports*")</f>
        <v>0</v>
      </c>
      <c r="D440">
        <f>COUNTIF('Metrics - Articles'!E439,"*Youth*")</f>
        <v>0</v>
      </c>
      <c r="E440">
        <f>COUNTIF('Metrics - Articles'!E439,"*Healthcare*")</f>
        <v>0</v>
      </c>
      <c r="F440">
        <f>COUNTIF('Metrics - Articles'!E439,"*Innovation")</f>
        <v>0</v>
      </c>
      <c r="G440">
        <f>COUNTIF('Metrics - Articles'!E439,"*Corporate*")</f>
        <v>0</v>
      </c>
      <c r="I440" s="53">
        <f t="shared" si="7"/>
        <v>0</v>
      </c>
    </row>
    <row r="441" spans="2:9" x14ac:dyDescent="0.25">
      <c r="B441" s="48">
        <f>+'Metrics - Articles'!C438</f>
        <v>0</v>
      </c>
      <c r="C441">
        <f>COUNTIF('Metrics - Articles'!E440,"*Sports*")</f>
        <v>0</v>
      </c>
      <c r="D441">
        <f>COUNTIF('Metrics - Articles'!E440,"*Youth*")</f>
        <v>0</v>
      </c>
      <c r="E441">
        <f>COUNTIF('Metrics - Articles'!E440,"*Healthcare*")</f>
        <v>0</v>
      </c>
      <c r="F441">
        <f>COUNTIF('Metrics - Articles'!E440,"*Innovation")</f>
        <v>0</v>
      </c>
      <c r="G441">
        <f>COUNTIF('Metrics - Articles'!E440,"*Corporate*")</f>
        <v>0</v>
      </c>
      <c r="I441" s="53">
        <f t="shared" si="7"/>
        <v>0</v>
      </c>
    </row>
    <row r="442" spans="2:9" x14ac:dyDescent="0.25">
      <c r="B442" s="48">
        <f>+'Metrics - Articles'!C439</f>
        <v>0</v>
      </c>
      <c r="C442">
        <f>COUNTIF('Metrics - Articles'!E441,"*Sports*")</f>
        <v>0</v>
      </c>
      <c r="D442">
        <f>COUNTIF('Metrics - Articles'!E441,"*Youth*")</f>
        <v>0</v>
      </c>
      <c r="E442">
        <f>COUNTIF('Metrics - Articles'!E441,"*Healthcare*")</f>
        <v>0</v>
      </c>
      <c r="F442">
        <f>COUNTIF('Metrics - Articles'!E441,"*Innovation")</f>
        <v>0</v>
      </c>
      <c r="G442">
        <f>COUNTIF('Metrics - Articles'!E441,"*Corporate*")</f>
        <v>0</v>
      </c>
      <c r="I442" s="53">
        <f t="shared" si="7"/>
        <v>0</v>
      </c>
    </row>
    <row r="443" spans="2:9" x14ac:dyDescent="0.25">
      <c r="B443" s="48">
        <f>+'Metrics - Articles'!C440</f>
        <v>0</v>
      </c>
      <c r="C443">
        <f>COUNTIF('Metrics - Articles'!E442,"*Sports*")</f>
        <v>0</v>
      </c>
      <c r="D443">
        <f>COUNTIF('Metrics - Articles'!E442,"*Youth*")</f>
        <v>0</v>
      </c>
      <c r="E443">
        <f>COUNTIF('Metrics - Articles'!E442,"*Healthcare*")</f>
        <v>0</v>
      </c>
      <c r="F443">
        <f>COUNTIF('Metrics - Articles'!E442,"*Innovation")</f>
        <v>0</v>
      </c>
      <c r="G443">
        <f>COUNTIF('Metrics - Articles'!E442,"*Corporate*")</f>
        <v>0</v>
      </c>
      <c r="I443" s="53">
        <f t="shared" si="7"/>
        <v>0</v>
      </c>
    </row>
    <row r="444" spans="2:9" x14ac:dyDescent="0.25">
      <c r="B444" s="48">
        <f>+'Metrics - Articles'!C441</f>
        <v>0</v>
      </c>
      <c r="C444">
        <f>COUNTIF('Metrics - Articles'!E443,"*Sports*")</f>
        <v>0</v>
      </c>
      <c r="D444">
        <f>COUNTIF('Metrics - Articles'!E443,"*Youth*")</f>
        <v>0</v>
      </c>
      <c r="E444">
        <f>COUNTIF('Metrics - Articles'!E443,"*Healthcare*")</f>
        <v>0</v>
      </c>
      <c r="F444">
        <f>COUNTIF('Metrics - Articles'!E443,"*Innovation")</f>
        <v>0</v>
      </c>
      <c r="G444">
        <f>COUNTIF('Metrics - Articles'!E443,"*Corporate*")</f>
        <v>0</v>
      </c>
      <c r="I444" s="53">
        <f t="shared" si="7"/>
        <v>0</v>
      </c>
    </row>
    <row r="445" spans="2:9" x14ac:dyDescent="0.25">
      <c r="B445" s="48">
        <f>+'Metrics - Articles'!C442</f>
        <v>0</v>
      </c>
      <c r="C445">
        <f>COUNTIF('Metrics - Articles'!E444,"*Sports*")</f>
        <v>0</v>
      </c>
      <c r="D445">
        <f>COUNTIF('Metrics - Articles'!E444,"*Youth*")</f>
        <v>0</v>
      </c>
      <c r="E445">
        <f>COUNTIF('Metrics - Articles'!E444,"*Healthcare*")</f>
        <v>0</v>
      </c>
      <c r="F445">
        <f>COUNTIF('Metrics - Articles'!E444,"*Innovation")</f>
        <v>0</v>
      </c>
      <c r="G445">
        <f>COUNTIF('Metrics - Articles'!E444,"*Corporate*")</f>
        <v>0</v>
      </c>
      <c r="I445" s="53">
        <f t="shared" si="7"/>
        <v>0</v>
      </c>
    </row>
    <row r="446" spans="2:9" x14ac:dyDescent="0.25">
      <c r="B446" s="48">
        <f>+'Metrics - Articles'!C443</f>
        <v>0</v>
      </c>
      <c r="C446">
        <f>COUNTIF('Metrics - Articles'!E445,"*Sports*")</f>
        <v>0</v>
      </c>
      <c r="D446">
        <f>COUNTIF('Metrics - Articles'!E445,"*Youth*")</f>
        <v>0</v>
      </c>
      <c r="E446">
        <f>COUNTIF('Metrics - Articles'!E445,"*Healthcare*")</f>
        <v>0</v>
      </c>
      <c r="F446">
        <f>COUNTIF('Metrics - Articles'!E445,"*Innovation")</f>
        <v>0</v>
      </c>
      <c r="G446">
        <f>COUNTIF('Metrics - Articles'!E445,"*Corporate*")</f>
        <v>0</v>
      </c>
      <c r="I446" s="53">
        <f t="shared" si="7"/>
        <v>0</v>
      </c>
    </row>
    <row r="447" spans="2:9" x14ac:dyDescent="0.25">
      <c r="B447" s="48">
        <f>+'Metrics - Articles'!C444</f>
        <v>0</v>
      </c>
      <c r="C447">
        <f>COUNTIF('Metrics - Articles'!E446,"*Sports*")</f>
        <v>0</v>
      </c>
      <c r="D447">
        <f>COUNTIF('Metrics - Articles'!E446,"*Youth*")</f>
        <v>0</v>
      </c>
      <c r="E447">
        <f>COUNTIF('Metrics - Articles'!E446,"*Healthcare*")</f>
        <v>0</v>
      </c>
      <c r="F447">
        <f>COUNTIF('Metrics - Articles'!E446,"*Innovation")</f>
        <v>0</v>
      </c>
      <c r="G447">
        <f>COUNTIF('Metrics - Articles'!E446,"*Corporate*")</f>
        <v>0</v>
      </c>
      <c r="I447" s="53">
        <f t="shared" si="7"/>
        <v>0</v>
      </c>
    </row>
    <row r="448" spans="2:9" x14ac:dyDescent="0.25">
      <c r="B448" s="48">
        <f>+'Metrics - Articles'!C445</f>
        <v>0</v>
      </c>
      <c r="C448">
        <f>COUNTIF('Metrics - Articles'!E447,"*Sports*")</f>
        <v>0</v>
      </c>
      <c r="D448">
        <f>COUNTIF('Metrics - Articles'!E447,"*Youth*")</f>
        <v>0</v>
      </c>
      <c r="E448">
        <f>COUNTIF('Metrics - Articles'!E447,"*Healthcare*")</f>
        <v>0</v>
      </c>
      <c r="F448">
        <f>COUNTIF('Metrics - Articles'!E447,"*Innovation")</f>
        <v>0</v>
      </c>
      <c r="G448">
        <f>COUNTIF('Metrics - Articles'!E447,"*Corporate*")</f>
        <v>0</v>
      </c>
      <c r="I448" s="53">
        <f t="shared" si="7"/>
        <v>0</v>
      </c>
    </row>
    <row r="449" spans="2:9" x14ac:dyDescent="0.25">
      <c r="B449" s="48">
        <f>+'Metrics - Articles'!C446</f>
        <v>0</v>
      </c>
      <c r="C449">
        <f>COUNTIF('Metrics - Articles'!E448,"*Sports*")</f>
        <v>0</v>
      </c>
      <c r="D449">
        <f>COUNTIF('Metrics - Articles'!E448,"*Youth*")</f>
        <v>0</v>
      </c>
      <c r="E449">
        <f>COUNTIF('Metrics - Articles'!E448,"*Healthcare*")</f>
        <v>0</v>
      </c>
      <c r="F449">
        <f>COUNTIF('Metrics - Articles'!E448,"*Innovation")</f>
        <v>0</v>
      </c>
      <c r="G449">
        <f>COUNTIF('Metrics - Articles'!E448,"*Corporate*")</f>
        <v>0</v>
      </c>
      <c r="I449" s="53">
        <f t="shared" si="7"/>
        <v>0</v>
      </c>
    </row>
    <row r="450" spans="2:9" x14ac:dyDescent="0.25">
      <c r="B450" s="48">
        <f>+'Metrics - Articles'!C447</f>
        <v>0</v>
      </c>
      <c r="C450">
        <f>COUNTIF('Metrics - Articles'!E449,"*Sports*")</f>
        <v>0</v>
      </c>
      <c r="D450">
        <f>COUNTIF('Metrics - Articles'!E449,"*Youth*")</f>
        <v>0</v>
      </c>
      <c r="E450">
        <f>COUNTIF('Metrics - Articles'!E449,"*Healthcare*")</f>
        <v>0</v>
      </c>
      <c r="F450">
        <f>COUNTIF('Metrics - Articles'!E449,"*Innovation")</f>
        <v>0</v>
      </c>
      <c r="G450">
        <f>COUNTIF('Metrics - Articles'!E449,"*Corporate*")</f>
        <v>0</v>
      </c>
      <c r="I450" s="53">
        <f t="shared" si="7"/>
        <v>0</v>
      </c>
    </row>
    <row r="451" spans="2:9" x14ac:dyDescent="0.25">
      <c r="B451" s="48">
        <f>+'Metrics - Articles'!C448</f>
        <v>0</v>
      </c>
      <c r="C451">
        <f>COUNTIF('Metrics - Articles'!E450,"*Sports*")</f>
        <v>0</v>
      </c>
      <c r="D451">
        <f>COUNTIF('Metrics - Articles'!E450,"*Youth*")</f>
        <v>0</v>
      </c>
      <c r="E451">
        <f>COUNTIF('Metrics - Articles'!E450,"*Healthcare*")</f>
        <v>0</v>
      </c>
      <c r="F451">
        <f>COUNTIF('Metrics - Articles'!E450,"*Innovation")</f>
        <v>0</v>
      </c>
      <c r="G451">
        <f>COUNTIF('Metrics - Articles'!E450,"*Corporate*")</f>
        <v>0</v>
      </c>
      <c r="I451" s="53">
        <f t="shared" si="7"/>
        <v>0</v>
      </c>
    </row>
    <row r="452" spans="2:9" x14ac:dyDescent="0.25">
      <c r="B452" s="48">
        <f>+'Metrics - Articles'!C449</f>
        <v>0</v>
      </c>
      <c r="C452">
        <f>COUNTIF('Metrics - Articles'!E451,"*Sports*")</f>
        <v>0</v>
      </c>
      <c r="D452">
        <f>COUNTIF('Metrics - Articles'!E451,"*Youth*")</f>
        <v>0</v>
      </c>
      <c r="E452">
        <f>COUNTIF('Metrics - Articles'!E451,"*Healthcare*")</f>
        <v>0</v>
      </c>
      <c r="F452">
        <f>COUNTIF('Metrics - Articles'!E451,"*Innovation")</f>
        <v>0</v>
      </c>
      <c r="G452">
        <f>COUNTIF('Metrics - Articles'!E451,"*Corporate*")</f>
        <v>0</v>
      </c>
      <c r="I452" s="53">
        <f t="shared" si="7"/>
        <v>0</v>
      </c>
    </row>
    <row r="453" spans="2:9" x14ac:dyDescent="0.25">
      <c r="B453" s="48">
        <f>+'Metrics - Articles'!C450</f>
        <v>0</v>
      </c>
      <c r="C453">
        <f>COUNTIF('Metrics - Articles'!E452,"*Sports*")</f>
        <v>0</v>
      </c>
      <c r="D453">
        <f>COUNTIF('Metrics - Articles'!E452,"*Youth*")</f>
        <v>0</v>
      </c>
      <c r="E453">
        <f>COUNTIF('Metrics - Articles'!E452,"*Healthcare*")</f>
        <v>0</v>
      </c>
      <c r="F453">
        <f>COUNTIF('Metrics - Articles'!E452,"*Innovation")</f>
        <v>0</v>
      </c>
      <c r="G453">
        <f>COUNTIF('Metrics - Articles'!E452,"*Corporate*")</f>
        <v>0</v>
      </c>
      <c r="I453" s="53">
        <f t="shared" si="7"/>
        <v>0</v>
      </c>
    </row>
    <row r="454" spans="2:9" x14ac:dyDescent="0.25">
      <c r="B454" s="48">
        <f>+'Metrics - Articles'!C451</f>
        <v>0</v>
      </c>
      <c r="C454">
        <f>COUNTIF('Metrics - Articles'!E453,"*Sports*")</f>
        <v>0</v>
      </c>
      <c r="D454">
        <f>COUNTIF('Metrics - Articles'!E453,"*Youth*")</f>
        <v>0</v>
      </c>
      <c r="E454">
        <f>COUNTIF('Metrics - Articles'!E453,"*Healthcare*")</f>
        <v>0</v>
      </c>
      <c r="F454">
        <f>COUNTIF('Metrics - Articles'!E453,"*Innovation")</f>
        <v>0</v>
      </c>
      <c r="G454">
        <f>COUNTIF('Metrics - Articles'!E453,"*Corporate*")</f>
        <v>0</v>
      </c>
      <c r="I454" s="53">
        <f t="shared" si="7"/>
        <v>0</v>
      </c>
    </row>
    <row r="455" spans="2:9" x14ac:dyDescent="0.25">
      <c r="B455" s="48">
        <f>+'Metrics - Articles'!C452</f>
        <v>0</v>
      </c>
      <c r="C455">
        <f>COUNTIF('Metrics - Articles'!E454,"*Sports*")</f>
        <v>0</v>
      </c>
      <c r="D455">
        <f>COUNTIF('Metrics - Articles'!E454,"*Youth*")</f>
        <v>0</v>
      </c>
      <c r="E455">
        <f>COUNTIF('Metrics - Articles'!E454,"*Healthcare*")</f>
        <v>0</v>
      </c>
      <c r="F455">
        <f>COUNTIF('Metrics - Articles'!E454,"*Innovation")</f>
        <v>0</v>
      </c>
      <c r="G455">
        <f>COUNTIF('Metrics - Articles'!E454,"*Corporate*")</f>
        <v>0</v>
      </c>
      <c r="I455" s="53">
        <f t="shared" si="7"/>
        <v>0</v>
      </c>
    </row>
    <row r="456" spans="2:9" x14ac:dyDescent="0.25">
      <c r="B456" s="48">
        <f>+'Metrics - Articles'!C453</f>
        <v>0</v>
      </c>
      <c r="C456">
        <f>COUNTIF('Metrics - Articles'!E455,"*Sports*")</f>
        <v>0</v>
      </c>
      <c r="D456">
        <f>COUNTIF('Metrics - Articles'!E455,"*Youth*")</f>
        <v>0</v>
      </c>
      <c r="E456">
        <f>COUNTIF('Metrics - Articles'!E455,"*Healthcare*")</f>
        <v>0</v>
      </c>
      <c r="F456">
        <f>COUNTIF('Metrics - Articles'!E455,"*Innovation")</f>
        <v>0</v>
      </c>
      <c r="G456">
        <f>COUNTIF('Metrics - Articles'!E455,"*Corporate*")</f>
        <v>0</v>
      </c>
      <c r="I456" s="53">
        <f t="shared" ref="I456:I519" si="8">SUM(C456:H456)</f>
        <v>0</v>
      </c>
    </row>
    <row r="457" spans="2:9" x14ac:dyDescent="0.25">
      <c r="B457" s="48">
        <f>+'Metrics - Articles'!C454</f>
        <v>0</v>
      </c>
      <c r="C457">
        <f>COUNTIF('Metrics - Articles'!E456,"*Sports*")</f>
        <v>0</v>
      </c>
      <c r="D457">
        <f>COUNTIF('Metrics - Articles'!E456,"*Youth*")</f>
        <v>0</v>
      </c>
      <c r="E457">
        <f>COUNTIF('Metrics - Articles'!E456,"*Healthcare*")</f>
        <v>0</v>
      </c>
      <c r="F457">
        <f>COUNTIF('Metrics - Articles'!E456,"*Innovation")</f>
        <v>0</v>
      </c>
      <c r="G457">
        <f>COUNTIF('Metrics - Articles'!E456,"*Corporate*")</f>
        <v>0</v>
      </c>
      <c r="I457" s="53">
        <f t="shared" si="8"/>
        <v>0</v>
      </c>
    </row>
    <row r="458" spans="2:9" x14ac:dyDescent="0.25">
      <c r="B458" s="48">
        <f>+'Metrics - Articles'!C455</f>
        <v>0</v>
      </c>
      <c r="C458">
        <f>COUNTIF('Metrics - Articles'!E457,"*Sports*")</f>
        <v>0</v>
      </c>
      <c r="D458">
        <f>COUNTIF('Metrics - Articles'!E457,"*Youth*")</f>
        <v>0</v>
      </c>
      <c r="E458">
        <f>COUNTIF('Metrics - Articles'!E457,"*Healthcare*")</f>
        <v>0</v>
      </c>
      <c r="F458">
        <f>COUNTIF('Metrics - Articles'!E457,"*Innovation")</f>
        <v>0</v>
      </c>
      <c r="G458">
        <f>COUNTIF('Metrics - Articles'!E457,"*Corporate*")</f>
        <v>0</v>
      </c>
      <c r="I458" s="53">
        <f t="shared" si="8"/>
        <v>0</v>
      </c>
    </row>
    <row r="459" spans="2:9" x14ac:dyDescent="0.25">
      <c r="B459" s="48">
        <f>+'Metrics - Articles'!C456</f>
        <v>0</v>
      </c>
      <c r="C459">
        <f>COUNTIF('Metrics - Articles'!E458,"*Sports*")</f>
        <v>0</v>
      </c>
      <c r="D459">
        <f>COUNTIF('Metrics - Articles'!E458,"*Youth*")</f>
        <v>0</v>
      </c>
      <c r="E459">
        <f>COUNTIF('Metrics - Articles'!E458,"*Healthcare*")</f>
        <v>0</v>
      </c>
      <c r="F459">
        <f>COUNTIF('Metrics - Articles'!E458,"*Innovation")</f>
        <v>0</v>
      </c>
      <c r="G459">
        <f>COUNTIF('Metrics - Articles'!E458,"*Corporate*")</f>
        <v>0</v>
      </c>
      <c r="I459" s="53">
        <f t="shared" si="8"/>
        <v>0</v>
      </c>
    </row>
    <row r="460" spans="2:9" x14ac:dyDescent="0.25">
      <c r="B460" s="48">
        <f>+'Metrics - Articles'!C457</f>
        <v>0</v>
      </c>
      <c r="C460">
        <f>COUNTIF('Metrics - Articles'!E459,"*Sports*")</f>
        <v>0</v>
      </c>
      <c r="D460">
        <f>COUNTIF('Metrics - Articles'!E459,"*Youth*")</f>
        <v>0</v>
      </c>
      <c r="E460">
        <f>COUNTIF('Metrics - Articles'!E459,"*Healthcare*")</f>
        <v>0</v>
      </c>
      <c r="F460">
        <f>COUNTIF('Metrics - Articles'!E459,"*Innovation")</f>
        <v>0</v>
      </c>
      <c r="G460">
        <f>COUNTIF('Metrics - Articles'!E459,"*Corporate*")</f>
        <v>0</v>
      </c>
      <c r="I460" s="53">
        <f t="shared" si="8"/>
        <v>0</v>
      </c>
    </row>
    <row r="461" spans="2:9" x14ac:dyDescent="0.25">
      <c r="B461" s="48">
        <f>+'Metrics - Articles'!C458</f>
        <v>0</v>
      </c>
      <c r="C461">
        <f>COUNTIF('Metrics - Articles'!E460,"*Sports*")</f>
        <v>0</v>
      </c>
      <c r="D461">
        <f>COUNTIF('Metrics - Articles'!E460,"*Youth*")</f>
        <v>0</v>
      </c>
      <c r="E461">
        <f>COUNTIF('Metrics - Articles'!E460,"*Healthcare*")</f>
        <v>0</v>
      </c>
      <c r="F461">
        <f>COUNTIF('Metrics - Articles'!E460,"*Innovation")</f>
        <v>0</v>
      </c>
      <c r="G461">
        <f>COUNTIF('Metrics - Articles'!E460,"*Corporate*")</f>
        <v>0</v>
      </c>
      <c r="I461" s="53">
        <f t="shared" si="8"/>
        <v>0</v>
      </c>
    </row>
    <row r="462" spans="2:9" x14ac:dyDescent="0.25">
      <c r="B462" s="48">
        <f>+'Metrics - Articles'!C459</f>
        <v>0</v>
      </c>
      <c r="C462">
        <f>COUNTIF('Metrics - Articles'!E461,"*Sports*")</f>
        <v>0</v>
      </c>
      <c r="D462">
        <f>COUNTIF('Metrics - Articles'!E461,"*Youth*")</f>
        <v>0</v>
      </c>
      <c r="E462">
        <f>COUNTIF('Metrics - Articles'!E461,"*Healthcare*")</f>
        <v>0</v>
      </c>
      <c r="F462">
        <f>COUNTIF('Metrics - Articles'!E461,"*Innovation")</f>
        <v>0</v>
      </c>
      <c r="G462">
        <f>COUNTIF('Metrics - Articles'!E461,"*Corporate*")</f>
        <v>0</v>
      </c>
      <c r="I462" s="53">
        <f t="shared" si="8"/>
        <v>0</v>
      </c>
    </row>
    <row r="463" spans="2:9" x14ac:dyDescent="0.25">
      <c r="B463" s="48">
        <f>+'Metrics - Articles'!C460</f>
        <v>0</v>
      </c>
      <c r="C463">
        <f>COUNTIF('Metrics - Articles'!E462,"*Sports*")</f>
        <v>0</v>
      </c>
      <c r="D463">
        <f>COUNTIF('Metrics - Articles'!E462,"*Youth*")</f>
        <v>0</v>
      </c>
      <c r="E463">
        <f>COUNTIF('Metrics - Articles'!E462,"*Healthcare*")</f>
        <v>0</v>
      </c>
      <c r="F463">
        <f>COUNTIF('Metrics - Articles'!E462,"*Innovation")</f>
        <v>0</v>
      </c>
      <c r="G463">
        <f>COUNTIF('Metrics - Articles'!E462,"*Corporate*")</f>
        <v>0</v>
      </c>
      <c r="I463" s="53">
        <f t="shared" si="8"/>
        <v>0</v>
      </c>
    </row>
    <row r="464" spans="2:9" x14ac:dyDescent="0.25">
      <c r="B464" s="48">
        <f>+'Metrics - Articles'!C461</f>
        <v>0</v>
      </c>
      <c r="C464">
        <f>COUNTIF('Metrics - Articles'!E463,"*Sports*")</f>
        <v>0</v>
      </c>
      <c r="D464">
        <f>COUNTIF('Metrics - Articles'!E463,"*Youth*")</f>
        <v>0</v>
      </c>
      <c r="E464">
        <f>COUNTIF('Metrics - Articles'!E463,"*Healthcare*")</f>
        <v>0</v>
      </c>
      <c r="F464">
        <f>COUNTIF('Metrics - Articles'!E463,"*Innovation")</f>
        <v>0</v>
      </c>
      <c r="G464">
        <f>COUNTIF('Metrics - Articles'!E463,"*Corporate*")</f>
        <v>0</v>
      </c>
      <c r="I464" s="53">
        <f t="shared" si="8"/>
        <v>0</v>
      </c>
    </row>
    <row r="465" spans="2:9" x14ac:dyDescent="0.25">
      <c r="B465" s="48">
        <f>+'Metrics - Articles'!C462</f>
        <v>0</v>
      </c>
      <c r="C465">
        <f>COUNTIF('Metrics - Articles'!E464,"*Sports*")</f>
        <v>0</v>
      </c>
      <c r="D465">
        <f>COUNTIF('Metrics - Articles'!E464,"*Youth*")</f>
        <v>0</v>
      </c>
      <c r="E465">
        <f>COUNTIF('Metrics - Articles'!E464,"*Healthcare*")</f>
        <v>0</v>
      </c>
      <c r="F465">
        <f>COUNTIF('Metrics - Articles'!E464,"*Innovation")</f>
        <v>0</v>
      </c>
      <c r="G465">
        <f>COUNTIF('Metrics - Articles'!E464,"*Corporate*")</f>
        <v>0</v>
      </c>
      <c r="I465" s="53">
        <f t="shared" si="8"/>
        <v>0</v>
      </c>
    </row>
    <row r="466" spans="2:9" x14ac:dyDescent="0.25">
      <c r="B466" s="48">
        <f>+'Metrics - Articles'!C463</f>
        <v>0</v>
      </c>
      <c r="C466">
        <f>COUNTIF('Metrics - Articles'!E465,"*Sports*")</f>
        <v>0</v>
      </c>
      <c r="D466">
        <f>COUNTIF('Metrics - Articles'!E465,"*Youth*")</f>
        <v>0</v>
      </c>
      <c r="E466">
        <f>COUNTIF('Metrics - Articles'!E465,"*Healthcare*")</f>
        <v>0</v>
      </c>
      <c r="F466">
        <f>COUNTIF('Metrics - Articles'!E465,"*Innovation")</f>
        <v>0</v>
      </c>
      <c r="G466">
        <f>COUNTIF('Metrics - Articles'!E465,"*Corporate*")</f>
        <v>0</v>
      </c>
      <c r="I466" s="53">
        <f t="shared" si="8"/>
        <v>0</v>
      </c>
    </row>
    <row r="467" spans="2:9" x14ac:dyDescent="0.25">
      <c r="B467" s="48">
        <f>+'Metrics - Articles'!C464</f>
        <v>0</v>
      </c>
      <c r="C467">
        <f>COUNTIF('Metrics - Articles'!E466,"*Sports*")</f>
        <v>0</v>
      </c>
      <c r="D467">
        <f>COUNTIF('Metrics - Articles'!E466,"*Youth*")</f>
        <v>0</v>
      </c>
      <c r="E467">
        <f>COUNTIF('Metrics - Articles'!E466,"*Healthcare*")</f>
        <v>0</v>
      </c>
      <c r="F467">
        <f>COUNTIF('Metrics - Articles'!E466,"*Innovation")</f>
        <v>0</v>
      </c>
      <c r="G467">
        <f>COUNTIF('Metrics - Articles'!E466,"*Corporate*")</f>
        <v>0</v>
      </c>
      <c r="I467" s="53">
        <f t="shared" si="8"/>
        <v>0</v>
      </c>
    </row>
    <row r="468" spans="2:9" x14ac:dyDescent="0.25">
      <c r="B468" s="48">
        <f>+'Metrics - Articles'!C465</f>
        <v>0</v>
      </c>
      <c r="C468">
        <f>COUNTIF('Metrics - Articles'!E467,"*Sports*")</f>
        <v>0</v>
      </c>
      <c r="D468">
        <f>COUNTIF('Metrics - Articles'!E467,"*Youth*")</f>
        <v>0</v>
      </c>
      <c r="E468">
        <f>COUNTIF('Metrics - Articles'!E467,"*Healthcare*")</f>
        <v>0</v>
      </c>
      <c r="F468">
        <f>COUNTIF('Metrics - Articles'!E467,"*Innovation")</f>
        <v>0</v>
      </c>
      <c r="G468">
        <f>COUNTIF('Metrics - Articles'!E467,"*Corporate*")</f>
        <v>0</v>
      </c>
      <c r="I468" s="53">
        <f t="shared" si="8"/>
        <v>0</v>
      </c>
    </row>
    <row r="469" spans="2:9" x14ac:dyDescent="0.25">
      <c r="B469" s="48">
        <f>+'Metrics - Articles'!C466</f>
        <v>0</v>
      </c>
      <c r="C469">
        <f>COUNTIF('Metrics - Articles'!E468,"*Sports*")</f>
        <v>0</v>
      </c>
      <c r="D469">
        <f>COUNTIF('Metrics - Articles'!E468,"*Youth*")</f>
        <v>0</v>
      </c>
      <c r="E469">
        <f>COUNTIF('Metrics - Articles'!E468,"*Healthcare*")</f>
        <v>0</v>
      </c>
      <c r="F469">
        <f>COUNTIF('Metrics - Articles'!E468,"*Innovation")</f>
        <v>0</v>
      </c>
      <c r="G469">
        <f>COUNTIF('Metrics - Articles'!E468,"*Corporate*")</f>
        <v>0</v>
      </c>
      <c r="I469" s="53">
        <f t="shared" si="8"/>
        <v>0</v>
      </c>
    </row>
    <row r="470" spans="2:9" x14ac:dyDescent="0.25">
      <c r="B470" s="48">
        <f>+'Metrics - Articles'!C467</f>
        <v>0</v>
      </c>
      <c r="C470">
        <f>COUNTIF('Metrics - Articles'!E469,"*Sports*")</f>
        <v>0</v>
      </c>
      <c r="D470">
        <f>COUNTIF('Metrics - Articles'!E469,"*Youth*")</f>
        <v>0</v>
      </c>
      <c r="E470">
        <f>COUNTIF('Metrics - Articles'!E469,"*Healthcare*")</f>
        <v>0</v>
      </c>
      <c r="F470">
        <f>COUNTIF('Metrics - Articles'!E469,"*Innovation")</f>
        <v>0</v>
      </c>
      <c r="G470">
        <f>COUNTIF('Metrics - Articles'!E469,"*Corporate*")</f>
        <v>0</v>
      </c>
      <c r="I470" s="53">
        <f t="shared" si="8"/>
        <v>0</v>
      </c>
    </row>
    <row r="471" spans="2:9" x14ac:dyDescent="0.25">
      <c r="B471" s="48">
        <f>+'Metrics - Articles'!C468</f>
        <v>0</v>
      </c>
      <c r="C471">
        <f>COUNTIF('Metrics - Articles'!E470,"*Sports*")</f>
        <v>0</v>
      </c>
      <c r="D471">
        <f>COUNTIF('Metrics - Articles'!E470,"*Youth*")</f>
        <v>0</v>
      </c>
      <c r="E471">
        <f>COUNTIF('Metrics - Articles'!E470,"*Healthcare*")</f>
        <v>0</v>
      </c>
      <c r="F471">
        <f>COUNTIF('Metrics - Articles'!E470,"*Innovation")</f>
        <v>0</v>
      </c>
      <c r="G471">
        <f>COUNTIF('Metrics - Articles'!E470,"*Corporate*")</f>
        <v>0</v>
      </c>
      <c r="I471" s="53">
        <f t="shared" si="8"/>
        <v>0</v>
      </c>
    </row>
    <row r="472" spans="2:9" x14ac:dyDescent="0.25">
      <c r="B472" s="48">
        <f>+'Metrics - Articles'!C469</f>
        <v>0</v>
      </c>
      <c r="C472">
        <f>COUNTIF('Metrics - Articles'!E471,"*Sports*")</f>
        <v>0</v>
      </c>
      <c r="D472">
        <f>COUNTIF('Metrics - Articles'!E471,"*Youth*")</f>
        <v>0</v>
      </c>
      <c r="E472">
        <f>COUNTIF('Metrics - Articles'!E471,"*Healthcare*")</f>
        <v>0</v>
      </c>
      <c r="F472">
        <f>COUNTIF('Metrics - Articles'!E471,"*Innovation")</f>
        <v>0</v>
      </c>
      <c r="G472">
        <f>COUNTIF('Metrics - Articles'!E471,"*Corporate*")</f>
        <v>0</v>
      </c>
      <c r="I472" s="53">
        <f t="shared" si="8"/>
        <v>0</v>
      </c>
    </row>
    <row r="473" spans="2:9" x14ac:dyDescent="0.25">
      <c r="B473" s="48">
        <f>+'Metrics - Articles'!C470</f>
        <v>0</v>
      </c>
      <c r="C473">
        <f>COUNTIF('Metrics - Articles'!E472,"*Sports*")</f>
        <v>0</v>
      </c>
      <c r="D473">
        <f>COUNTIF('Metrics - Articles'!E472,"*Youth*")</f>
        <v>0</v>
      </c>
      <c r="E473">
        <f>COUNTIF('Metrics - Articles'!E472,"*Healthcare*")</f>
        <v>0</v>
      </c>
      <c r="F473">
        <f>COUNTIF('Metrics - Articles'!E472,"*Innovation")</f>
        <v>0</v>
      </c>
      <c r="G473">
        <f>COUNTIF('Metrics - Articles'!E472,"*Corporate*")</f>
        <v>0</v>
      </c>
      <c r="I473" s="53">
        <f t="shared" si="8"/>
        <v>0</v>
      </c>
    </row>
    <row r="474" spans="2:9" x14ac:dyDescent="0.25">
      <c r="B474" s="48">
        <f>+'Metrics - Articles'!C471</f>
        <v>0</v>
      </c>
      <c r="C474">
        <f>COUNTIF('Metrics - Articles'!E473,"*Sports*")</f>
        <v>0</v>
      </c>
      <c r="D474">
        <f>COUNTIF('Metrics - Articles'!E473,"*Youth*")</f>
        <v>0</v>
      </c>
      <c r="E474">
        <f>COUNTIF('Metrics - Articles'!E473,"*Healthcare*")</f>
        <v>0</v>
      </c>
      <c r="F474">
        <f>COUNTIF('Metrics - Articles'!E473,"*Innovation")</f>
        <v>0</v>
      </c>
      <c r="G474">
        <f>COUNTIF('Metrics - Articles'!E473,"*Corporate*")</f>
        <v>0</v>
      </c>
      <c r="I474" s="53">
        <f t="shared" si="8"/>
        <v>0</v>
      </c>
    </row>
    <row r="475" spans="2:9" x14ac:dyDescent="0.25">
      <c r="B475" s="48">
        <f>+'Metrics - Articles'!C472</f>
        <v>0</v>
      </c>
      <c r="C475">
        <f>COUNTIF('Metrics - Articles'!E474,"*Sports*")</f>
        <v>0</v>
      </c>
      <c r="D475">
        <f>COUNTIF('Metrics - Articles'!E474,"*Youth*")</f>
        <v>0</v>
      </c>
      <c r="E475">
        <f>COUNTIF('Metrics - Articles'!E474,"*Healthcare*")</f>
        <v>0</v>
      </c>
      <c r="F475">
        <f>COUNTIF('Metrics - Articles'!E474,"*Innovation")</f>
        <v>0</v>
      </c>
      <c r="G475">
        <f>COUNTIF('Metrics - Articles'!E474,"*Corporate*")</f>
        <v>0</v>
      </c>
      <c r="I475" s="53">
        <f t="shared" si="8"/>
        <v>0</v>
      </c>
    </row>
    <row r="476" spans="2:9" x14ac:dyDescent="0.25">
      <c r="B476" s="48">
        <f>+'Metrics - Articles'!C473</f>
        <v>0</v>
      </c>
      <c r="C476">
        <f>COUNTIF('Metrics - Articles'!E475,"*Sports*")</f>
        <v>0</v>
      </c>
      <c r="D476">
        <f>COUNTIF('Metrics - Articles'!E475,"*Youth*")</f>
        <v>0</v>
      </c>
      <c r="E476">
        <f>COUNTIF('Metrics - Articles'!E475,"*Healthcare*")</f>
        <v>0</v>
      </c>
      <c r="F476">
        <f>COUNTIF('Metrics - Articles'!E475,"*Innovation")</f>
        <v>0</v>
      </c>
      <c r="G476">
        <f>COUNTIF('Metrics - Articles'!E475,"*Corporate*")</f>
        <v>0</v>
      </c>
      <c r="I476" s="53">
        <f t="shared" si="8"/>
        <v>0</v>
      </c>
    </row>
    <row r="477" spans="2:9" x14ac:dyDescent="0.25">
      <c r="B477" s="48">
        <f>+'Metrics - Articles'!C474</f>
        <v>0</v>
      </c>
      <c r="C477">
        <f>COUNTIF('Metrics - Articles'!E476,"*Sports*")</f>
        <v>0</v>
      </c>
      <c r="D477">
        <f>COUNTIF('Metrics - Articles'!E476,"*Youth*")</f>
        <v>0</v>
      </c>
      <c r="E477">
        <f>COUNTIF('Metrics - Articles'!E476,"*Healthcare*")</f>
        <v>0</v>
      </c>
      <c r="F477">
        <f>COUNTIF('Metrics - Articles'!E476,"*Innovation")</f>
        <v>0</v>
      </c>
      <c r="G477">
        <f>COUNTIF('Metrics - Articles'!E476,"*Corporate*")</f>
        <v>0</v>
      </c>
      <c r="I477" s="53">
        <f t="shared" si="8"/>
        <v>0</v>
      </c>
    </row>
    <row r="478" spans="2:9" x14ac:dyDescent="0.25">
      <c r="B478" s="48">
        <f>+'Metrics - Articles'!C475</f>
        <v>0</v>
      </c>
      <c r="C478">
        <f>COUNTIF('Metrics - Articles'!E477,"*Sports*")</f>
        <v>0</v>
      </c>
      <c r="D478">
        <f>COUNTIF('Metrics - Articles'!E477,"*Youth*")</f>
        <v>0</v>
      </c>
      <c r="E478">
        <f>COUNTIF('Metrics - Articles'!E477,"*Healthcare*")</f>
        <v>0</v>
      </c>
      <c r="F478">
        <f>COUNTIF('Metrics - Articles'!E477,"*Innovation")</f>
        <v>0</v>
      </c>
      <c r="G478">
        <f>COUNTIF('Metrics - Articles'!E477,"*Corporate*")</f>
        <v>0</v>
      </c>
      <c r="I478" s="53">
        <f t="shared" si="8"/>
        <v>0</v>
      </c>
    </row>
    <row r="479" spans="2:9" x14ac:dyDescent="0.25">
      <c r="B479" s="48">
        <f>+'Metrics - Articles'!C476</f>
        <v>0</v>
      </c>
      <c r="C479">
        <f>COUNTIF('Metrics - Articles'!E478,"*Sports*")</f>
        <v>0</v>
      </c>
      <c r="D479">
        <f>COUNTIF('Metrics - Articles'!E478,"*Youth*")</f>
        <v>0</v>
      </c>
      <c r="E479">
        <f>COUNTIF('Metrics - Articles'!E478,"*Healthcare*")</f>
        <v>0</v>
      </c>
      <c r="F479">
        <f>COUNTIF('Metrics - Articles'!E478,"*Innovation")</f>
        <v>0</v>
      </c>
      <c r="G479">
        <f>COUNTIF('Metrics - Articles'!E478,"*Corporate*")</f>
        <v>0</v>
      </c>
      <c r="I479" s="53">
        <f t="shared" si="8"/>
        <v>0</v>
      </c>
    </row>
    <row r="480" spans="2:9" x14ac:dyDescent="0.25">
      <c r="B480" s="48">
        <f>+'Metrics - Articles'!C477</f>
        <v>0</v>
      </c>
      <c r="C480">
        <f>COUNTIF('Metrics - Articles'!E479,"*Sports*")</f>
        <v>0</v>
      </c>
      <c r="D480">
        <f>COUNTIF('Metrics - Articles'!E479,"*Youth*")</f>
        <v>0</v>
      </c>
      <c r="E480">
        <f>COUNTIF('Metrics - Articles'!E479,"*Healthcare*")</f>
        <v>0</v>
      </c>
      <c r="F480">
        <f>COUNTIF('Metrics - Articles'!E479,"*Innovation")</f>
        <v>0</v>
      </c>
      <c r="G480">
        <f>COUNTIF('Metrics - Articles'!E479,"*Corporate*")</f>
        <v>0</v>
      </c>
      <c r="I480" s="53">
        <f t="shared" si="8"/>
        <v>0</v>
      </c>
    </row>
    <row r="481" spans="2:9" x14ac:dyDescent="0.25">
      <c r="B481" s="48">
        <f>+'Metrics - Articles'!C478</f>
        <v>0</v>
      </c>
      <c r="C481">
        <f>COUNTIF('Metrics - Articles'!E480,"*Sports*")</f>
        <v>0</v>
      </c>
      <c r="D481">
        <f>COUNTIF('Metrics - Articles'!E480,"*Youth*")</f>
        <v>0</v>
      </c>
      <c r="E481">
        <f>COUNTIF('Metrics - Articles'!E480,"*Healthcare*")</f>
        <v>0</v>
      </c>
      <c r="F481">
        <f>COUNTIF('Metrics - Articles'!E480,"*Innovation")</f>
        <v>0</v>
      </c>
      <c r="G481">
        <f>COUNTIF('Metrics - Articles'!E480,"*Corporate*")</f>
        <v>0</v>
      </c>
      <c r="I481" s="53">
        <f t="shared" si="8"/>
        <v>0</v>
      </c>
    </row>
    <row r="482" spans="2:9" x14ac:dyDescent="0.25">
      <c r="B482" s="48">
        <f>+'Metrics - Articles'!C479</f>
        <v>0</v>
      </c>
      <c r="C482">
        <f>COUNTIF('Metrics - Articles'!E481,"*Sports*")</f>
        <v>0</v>
      </c>
      <c r="D482">
        <f>COUNTIF('Metrics - Articles'!E481,"*Youth*")</f>
        <v>0</v>
      </c>
      <c r="E482">
        <f>COUNTIF('Metrics - Articles'!E481,"*Healthcare*")</f>
        <v>0</v>
      </c>
      <c r="F482">
        <f>COUNTIF('Metrics - Articles'!E481,"*Innovation")</f>
        <v>0</v>
      </c>
      <c r="G482">
        <f>COUNTIF('Metrics - Articles'!E481,"*Corporate*")</f>
        <v>0</v>
      </c>
      <c r="I482" s="53">
        <f t="shared" si="8"/>
        <v>0</v>
      </c>
    </row>
    <row r="483" spans="2:9" x14ac:dyDescent="0.25">
      <c r="B483" s="48">
        <f>+'Metrics - Articles'!C480</f>
        <v>0</v>
      </c>
      <c r="C483">
        <f>COUNTIF('Metrics - Articles'!E482,"*Sports*")</f>
        <v>0</v>
      </c>
      <c r="D483">
        <f>COUNTIF('Metrics - Articles'!E482,"*Youth*")</f>
        <v>0</v>
      </c>
      <c r="E483">
        <f>COUNTIF('Metrics - Articles'!E482,"*Healthcare*")</f>
        <v>0</v>
      </c>
      <c r="F483">
        <f>COUNTIF('Metrics - Articles'!E482,"*Innovation")</f>
        <v>0</v>
      </c>
      <c r="G483">
        <f>COUNTIF('Metrics - Articles'!E482,"*Corporate*")</f>
        <v>0</v>
      </c>
      <c r="I483" s="53">
        <f t="shared" si="8"/>
        <v>0</v>
      </c>
    </row>
    <row r="484" spans="2:9" x14ac:dyDescent="0.25">
      <c r="B484" s="48">
        <f>+'Metrics - Articles'!C481</f>
        <v>0</v>
      </c>
      <c r="C484">
        <f>COUNTIF('Metrics - Articles'!E483,"*Sports*")</f>
        <v>0</v>
      </c>
      <c r="D484">
        <f>COUNTIF('Metrics - Articles'!E483,"*Youth*")</f>
        <v>0</v>
      </c>
      <c r="E484">
        <f>COUNTIF('Metrics - Articles'!E483,"*Healthcare*")</f>
        <v>0</v>
      </c>
      <c r="F484">
        <f>COUNTIF('Metrics - Articles'!E483,"*Innovation")</f>
        <v>0</v>
      </c>
      <c r="G484">
        <f>COUNTIF('Metrics - Articles'!E483,"*Corporate*")</f>
        <v>0</v>
      </c>
      <c r="I484" s="53">
        <f t="shared" si="8"/>
        <v>0</v>
      </c>
    </row>
    <row r="485" spans="2:9" x14ac:dyDescent="0.25">
      <c r="B485" s="48">
        <f>+'Metrics - Articles'!C482</f>
        <v>0</v>
      </c>
      <c r="C485">
        <f>COUNTIF('Metrics - Articles'!E484,"*Sports*")</f>
        <v>0</v>
      </c>
      <c r="D485">
        <f>COUNTIF('Metrics - Articles'!E484,"*Youth*")</f>
        <v>0</v>
      </c>
      <c r="E485">
        <f>COUNTIF('Metrics - Articles'!E484,"*Healthcare*")</f>
        <v>0</v>
      </c>
      <c r="F485">
        <f>COUNTIF('Metrics - Articles'!E484,"*Innovation")</f>
        <v>0</v>
      </c>
      <c r="G485">
        <f>COUNTIF('Metrics - Articles'!E484,"*Corporate*")</f>
        <v>0</v>
      </c>
      <c r="I485" s="53">
        <f t="shared" si="8"/>
        <v>0</v>
      </c>
    </row>
    <row r="486" spans="2:9" x14ac:dyDescent="0.25">
      <c r="B486" s="48">
        <f>+'Metrics - Articles'!C483</f>
        <v>0</v>
      </c>
      <c r="C486">
        <f>COUNTIF('Metrics - Articles'!E485,"*Sports*")</f>
        <v>0</v>
      </c>
      <c r="D486">
        <f>COUNTIF('Metrics - Articles'!E485,"*Youth*")</f>
        <v>0</v>
      </c>
      <c r="E486">
        <f>COUNTIF('Metrics - Articles'!E485,"*Healthcare*")</f>
        <v>0</v>
      </c>
      <c r="F486">
        <f>COUNTIF('Metrics - Articles'!E485,"*Innovation")</f>
        <v>0</v>
      </c>
      <c r="G486">
        <f>COUNTIF('Metrics - Articles'!E485,"*Corporate*")</f>
        <v>0</v>
      </c>
      <c r="I486" s="53">
        <f t="shared" si="8"/>
        <v>0</v>
      </c>
    </row>
    <row r="487" spans="2:9" x14ac:dyDescent="0.25">
      <c r="B487" s="48">
        <f>+'Metrics - Articles'!C484</f>
        <v>0</v>
      </c>
      <c r="C487">
        <f>COUNTIF('Metrics - Articles'!E486,"*Sports*")</f>
        <v>0</v>
      </c>
      <c r="D487">
        <f>COUNTIF('Metrics - Articles'!E486,"*Youth*")</f>
        <v>0</v>
      </c>
      <c r="E487">
        <f>COUNTIF('Metrics - Articles'!E486,"*Healthcare*")</f>
        <v>0</v>
      </c>
      <c r="F487">
        <f>COUNTIF('Metrics - Articles'!E486,"*Innovation")</f>
        <v>0</v>
      </c>
      <c r="G487">
        <f>COUNTIF('Metrics - Articles'!E486,"*Corporate*")</f>
        <v>0</v>
      </c>
      <c r="I487" s="53">
        <f t="shared" si="8"/>
        <v>0</v>
      </c>
    </row>
    <row r="488" spans="2:9" x14ac:dyDescent="0.25">
      <c r="B488" s="48">
        <f>+'Metrics - Articles'!C485</f>
        <v>0</v>
      </c>
      <c r="C488">
        <f>COUNTIF('Metrics - Articles'!E487,"*Sports*")</f>
        <v>0</v>
      </c>
      <c r="D488">
        <f>COUNTIF('Metrics - Articles'!E487,"*Youth*")</f>
        <v>0</v>
      </c>
      <c r="E488">
        <f>COUNTIF('Metrics - Articles'!E487,"*Healthcare*")</f>
        <v>0</v>
      </c>
      <c r="F488">
        <f>COUNTIF('Metrics - Articles'!E487,"*Innovation")</f>
        <v>0</v>
      </c>
      <c r="G488">
        <f>COUNTIF('Metrics - Articles'!E487,"*Corporate*")</f>
        <v>0</v>
      </c>
      <c r="I488" s="53">
        <f t="shared" si="8"/>
        <v>0</v>
      </c>
    </row>
    <row r="489" spans="2:9" x14ac:dyDescent="0.25">
      <c r="B489" s="48">
        <f>+'Metrics - Articles'!C486</f>
        <v>0</v>
      </c>
      <c r="C489">
        <f>COUNTIF('Metrics - Articles'!E488,"*Sports*")</f>
        <v>0</v>
      </c>
      <c r="D489">
        <f>COUNTIF('Metrics - Articles'!E488,"*Youth*")</f>
        <v>0</v>
      </c>
      <c r="E489">
        <f>COUNTIF('Metrics - Articles'!E488,"*Healthcare*")</f>
        <v>0</v>
      </c>
      <c r="F489">
        <f>COUNTIF('Metrics - Articles'!E488,"*Innovation")</f>
        <v>0</v>
      </c>
      <c r="G489">
        <f>COUNTIF('Metrics - Articles'!E488,"*Corporate*")</f>
        <v>0</v>
      </c>
      <c r="I489" s="53">
        <f t="shared" si="8"/>
        <v>0</v>
      </c>
    </row>
    <row r="490" spans="2:9" x14ac:dyDescent="0.25">
      <c r="B490" s="48">
        <f>+'Metrics - Articles'!C487</f>
        <v>0</v>
      </c>
      <c r="C490">
        <f>COUNTIF('Metrics - Articles'!E489,"*Sports*")</f>
        <v>0</v>
      </c>
      <c r="D490">
        <f>COUNTIF('Metrics - Articles'!E489,"*Youth*")</f>
        <v>0</v>
      </c>
      <c r="E490">
        <f>COUNTIF('Metrics - Articles'!E489,"*Healthcare*")</f>
        <v>0</v>
      </c>
      <c r="F490">
        <f>COUNTIF('Metrics - Articles'!E489,"*Innovation")</f>
        <v>0</v>
      </c>
      <c r="G490">
        <f>COUNTIF('Metrics - Articles'!E489,"*Corporate*")</f>
        <v>0</v>
      </c>
      <c r="I490" s="53">
        <f t="shared" si="8"/>
        <v>0</v>
      </c>
    </row>
    <row r="491" spans="2:9" x14ac:dyDescent="0.25">
      <c r="B491" s="48">
        <f>+'Metrics - Articles'!C488</f>
        <v>0</v>
      </c>
      <c r="C491">
        <f>COUNTIF('Metrics - Articles'!E490,"*Sports*")</f>
        <v>0</v>
      </c>
      <c r="D491">
        <f>COUNTIF('Metrics - Articles'!E490,"*Youth*")</f>
        <v>0</v>
      </c>
      <c r="E491">
        <f>COUNTIF('Metrics - Articles'!E490,"*Healthcare*")</f>
        <v>0</v>
      </c>
      <c r="F491">
        <f>COUNTIF('Metrics - Articles'!E490,"*Innovation")</f>
        <v>0</v>
      </c>
      <c r="G491">
        <f>COUNTIF('Metrics - Articles'!E490,"*Corporate*")</f>
        <v>0</v>
      </c>
      <c r="I491" s="53">
        <f t="shared" si="8"/>
        <v>0</v>
      </c>
    </row>
    <row r="492" spans="2:9" x14ac:dyDescent="0.25">
      <c r="B492" s="48">
        <f>+'Metrics - Articles'!C489</f>
        <v>0</v>
      </c>
      <c r="C492">
        <f>COUNTIF('Metrics - Articles'!E491,"*Sports*")</f>
        <v>0</v>
      </c>
      <c r="D492">
        <f>COUNTIF('Metrics - Articles'!E491,"*Youth*")</f>
        <v>0</v>
      </c>
      <c r="E492">
        <f>COUNTIF('Metrics - Articles'!E491,"*Healthcare*")</f>
        <v>0</v>
      </c>
      <c r="F492">
        <f>COUNTIF('Metrics - Articles'!E491,"*Innovation")</f>
        <v>0</v>
      </c>
      <c r="G492">
        <f>COUNTIF('Metrics - Articles'!E491,"*Corporate*")</f>
        <v>0</v>
      </c>
      <c r="I492" s="53">
        <f t="shared" si="8"/>
        <v>0</v>
      </c>
    </row>
    <row r="493" spans="2:9" x14ac:dyDescent="0.25">
      <c r="B493" s="48">
        <f>+'Metrics - Articles'!C490</f>
        <v>0</v>
      </c>
      <c r="C493">
        <f>COUNTIF('Metrics - Articles'!E492,"*Sports*")</f>
        <v>0</v>
      </c>
      <c r="D493">
        <f>COUNTIF('Metrics - Articles'!E492,"*Youth*")</f>
        <v>0</v>
      </c>
      <c r="E493">
        <f>COUNTIF('Metrics - Articles'!E492,"*Healthcare*")</f>
        <v>0</v>
      </c>
      <c r="F493">
        <f>COUNTIF('Metrics - Articles'!E492,"*Innovation")</f>
        <v>0</v>
      </c>
      <c r="G493">
        <f>COUNTIF('Metrics - Articles'!E492,"*Corporate*")</f>
        <v>0</v>
      </c>
      <c r="I493" s="53">
        <f t="shared" si="8"/>
        <v>0</v>
      </c>
    </row>
    <row r="494" spans="2:9" x14ac:dyDescent="0.25">
      <c r="B494" s="48">
        <f>+'Metrics - Articles'!C491</f>
        <v>0</v>
      </c>
      <c r="C494">
        <f>COUNTIF('Metrics - Articles'!E493,"*Sports*")</f>
        <v>0</v>
      </c>
      <c r="D494">
        <f>COUNTIF('Metrics - Articles'!E493,"*Youth*")</f>
        <v>0</v>
      </c>
      <c r="E494">
        <f>COUNTIF('Metrics - Articles'!E493,"*Healthcare*")</f>
        <v>0</v>
      </c>
      <c r="F494">
        <f>COUNTIF('Metrics - Articles'!E493,"*Innovation")</f>
        <v>0</v>
      </c>
      <c r="G494">
        <f>COUNTIF('Metrics - Articles'!E493,"*Corporate*")</f>
        <v>0</v>
      </c>
      <c r="I494" s="53">
        <f t="shared" si="8"/>
        <v>0</v>
      </c>
    </row>
    <row r="495" spans="2:9" x14ac:dyDescent="0.25">
      <c r="B495" s="48">
        <f>+'Metrics - Articles'!C492</f>
        <v>0</v>
      </c>
      <c r="C495">
        <f>COUNTIF('Metrics - Articles'!E494,"*Sports*")</f>
        <v>0</v>
      </c>
      <c r="D495">
        <f>COUNTIF('Metrics - Articles'!E494,"*Youth*")</f>
        <v>0</v>
      </c>
      <c r="E495">
        <f>COUNTIF('Metrics - Articles'!E494,"*Healthcare*")</f>
        <v>0</v>
      </c>
      <c r="F495">
        <f>COUNTIF('Metrics - Articles'!E494,"*Innovation")</f>
        <v>0</v>
      </c>
      <c r="G495">
        <f>COUNTIF('Metrics - Articles'!E494,"*Corporate*")</f>
        <v>0</v>
      </c>
      <c r="I495" s="53">
        <f t="shared" si="8"/>
        <v>0</v>
      </c>
    </row>
    <row r="496" spans="2:9" x14ac:dyDescent="0.25">
      <c r="B496" s="48">
        <f>+'Metrics - Articles'!C493</f>
        <v>0</v>
      </c>
      <c r="C496">
        <f>COUNTIF('Metrics - Articles'!E495,"*Sports*")</f>
        <v>0</v>
      </c>
      <c r="D496">
        <f>COUNTIF('Metrics - Articles'!E495,"*Youth*")</f>
        <v>0</v>
      </c>
      <c r="E496">
        <f>COUNTIF('Metrics - Articles'!E495,"*Healthcare*")</f>
        <v>0</v>
      </c>
      <c r="F496">
        <f>COUNTIF('Metrics - Articles'!E495,"*Innovation")</f>
        <v>0</v>
      </c>
      <c r="G496">
        <f>COUNTIF('Metrics - Articles'!E495,"*Corporate*")</f>
        <v>0</v>
      </c>
      <c r="I496" s="53">
        <f t="shared" si="8"/>
        <v>0</v>
      </c>
    </row>
    <row r="497" spans="2:9" x14ac:dyDescent="0.25">
      <c r="B497" s="48">
        <f>+'Metrics - Articles'!C494</f>
        <v>0</v>
      </c>
      <c r="C497">
        <f>COUNTIF('Metrics - Articles'!E496,"*Sports*")</f>
        <v>0</v>
      </c>
      <c r="D497">
        <f>COUNTIF('Metrics - Articles'!E496,"*Youth*")</f>
        <v>0</v>
      </c>
      <c r="E497">
        <f>COUNTIF('Metrics - Articles'!E496,"*Healthcare*")</f>
        <v>0</v>
      </c>
      <c r="F497">
        <f>COUNTIF('Metrics - Articles'!E496,"*Innovation")</f>
        <v>0</v>
      </c>
      <c r="G497">
        <f>COUNTIF('Metrics - Articles'!E496,"*Corporate*")</f>
        <v>0</v>
      </c>
      <c r="I497" s="53">
        <f t="shared" si="8"/>
        <v>0</v>
      </c>
    </row>
    <row r="498" spans="2:9" x14ac:dyDescent="0.25">
      <c r="B498" s="48">
        <f>+'Metrics - Articles'!C495</f>
        <v>0</v>
      </c>
      <c r="C498">
        <f>COUNTIF('Metrics - Articles'!E497,"*Sports*")</f>
        <v>0</v>
      </c>
      <c r="D498">
        <f>COUNTIF('Metrics - Articles'!E497,"*Youth*")</f>
        <v>0</v>
      </c>
      <c r="E498">
        <f>COUNTIF('Metrics - Articles'!E497,"*Healthcare*")</f>
        <v>0</v>
      </c>
      <c r="F498">
        <f>COUNTIF('Metrics - Articles'!E497,"*Innovation")</f>
        <v>0</v>
      </c>
      <c r="G498">
        <f>COUNTIF('Metrics - Articles'!E497,"*Corporate*")</f>
        <v>0</v>
      </c>
      <c r="I498" s="53">
        <f t="shared" si="8"/>
        <v>0</v>
      </c>
    </row>
    <row r="499" spans="2:9" x14ac:dyDescent="0.25">
      <c r="B499" s="48">
        <f>+'Metrics - Articles'!C496</f>
        <v>0</v>
      </c>
      <c r="C499">
        <f>COUNTIF('Metrics - Articles'!E498,"*Sports*")</f>
        <v>0</v>
      </c>
      <c r="D499">
        <f>COUNTIF('Metrics - Articles'!E498,"*Youth*")</f>
        <v>0</v>
      </c>
      <c r="E499">
        <f>COUNTIF('Metrics - Articles'!E498,"*Healthcare*")</f>
        <v>0</v>
      </c>
      <c r="F499">
        <f>COUNTIF('Metrics - Articles'!E498,"*Innovation")</f>
        <v>0</v>
      </c>
      <c r="G499">
        <f>COUNTIF('Metrics - Articles'!E498,"*Corporate*")</f>
        <v>0</v>
      </c>
      <c r="I499" s="53">
        <f t="shared" si="8"/>
        <v>0</v>
      </c>
    </row>
    <row r="500" spans="2:9" x14ac:dyDescent="0.25">
      <c r="B500" s="48">
        <f>+'Metrics - Articles'!C497</f>
        <v>0</v>
      </c>
      <c r="C500">
        <f>COUNTIF('Metrics - Articles'!E499,"*Sports*")</f>
        <v>0</v>
      </c>
      <c r="D500">
        <f>COUNTIF('Metrics - Articles'!E499,"*Youth*")</f>
        <v>0</v>
      </c>
      <c r="E500">
        <f>COUNTIF('Metrics - Articles'!E499,"*Healthcare*")</f>
        <v>0</v>
      </c>
      <c r="F500">
        <f>COUNTIF('Metrics - Articles'!E499,"*Innovation")</f>
        <v>0</v>
      </c>
      <c r="G500">
        <f>COUNTIF('Metrics - Articles'!E499,"*Corporate*")</f>
        <v>0</v>
      </c>
      <c r="I500" s="53">
        <f t="shared" si="8"/>
        <v>0</v>
      </c>
    </row>
    <row r="501" spans="2:9" x14ac:dyDescent="0.25">
      <c r="B501" s="48">
        <f>+'Metrics - Articles'!C498</f>
        <v>0</v>
      </c>
      <c r="C501">
        <f>COUNTIF('Metrics - Articles'!E500,"*Sports*")</f>
        <v>0</v>
      </c>
      <c r="D501">
        <f>COUNTIF('Metrics - Articles'!E500,"*Youth*")</f>
        <v>0</v>
      </c>
      <c r="E501">
        <f>COUNTIF('Metrics - Articles'!E500,"*Healthcare*")</f>
        <v>0</v>
      </c>
      <c r="F501">
        <f>COUNTIF('Metrics - Articles'!E500,"*Innovation")</f>
        <v>0</v>
      </c>
      <c r="G501">
        <f>COUNTIF('Metrics - Articles'!E500,"*Corporate*")</f>
        <v>0</v>
      </c>
      <c r="I501" s="53">
        <f t="shared" si="8"/>
        <v>0</v>
      </c>
    </row>
    <row r="502" spans="2:9" x14ac:dyDescent="0.25">
      <c r="B502" s="48">
        <f>+'Metrics - Articles'!C499</f>
        <v>0</v>
      </c>
      <c r="C502">
        <f>COUNTIF('Metrics - Articles'!E501,"*Sports*")</f>
        <v>0</v>
      </c>
      <c r="D502">
        <f>COUNTIF('Metrics - Articles'!E501,"*Youth*")</f>
        <v>0</v>
      </c>
      <c r="E502">
        <f>COUNTIF('Metrics - Articles'!E501,"*Healthcare*")</f>
        <v>0</v>
      </c>
      <c r="F502">
        <f>COUNTIF('Metrics - Articles'!E501,"*Innovation")</f>
        <v>0</v>
      </c>
      <c r="G502">
        <f>COUNTIF('Metrics - Articles'!E501,"*Corporate*")</f>
        <v>0</v>
      </c>
      <c r="I502" s="53">
        <f t="shared" si="8"/>
        <v>0</v>
      </c>
    </row>
    <row r="503" spans="2:9" x14ac:dyDescent="0.25">
      <c r="B503" s="48">
        <f>+'Metrics - Articles'!C500</f>
        <v>0</v>
      </c>
      <c r="C503">
        <f>COUNTIF('Metrics - Articles'!E502,"*Sports*")</f>
        <v>0</v>
      </c>
      <c r="D503">
        <f>COUNTIF('Metrics - Articles'!E502,"*Youth*")</f>
        <v>0</v>
      </c>
      <c r="E503">
        <f>COUNTIF('Metrics - Articles'!E502,"*Healthcare*")</f>
        <v>0</v>
      </c>
      <c r="F503">
        <f>COUNTIF('Metrics - Articles'!E502,"*Innovation")</f>
        <v>0</v>
      </c>
      <c r="G503">
        <f>COUNTIF('Metrics - Articles'!E502,"*Corporate*")</f>
        <v>0</v>
      </c>
      <c r="I503" s="53">
        <f t="shared" si="8"/>
        <v>0</v>
      </c>
    </row>
    <row r="504" spans="2:9" x14ac:dyDescent="0.25">
      <c r="B504" s="48">
        <f>+'Metrics - Articles'!C501</f>
        <v>0</v>
      </c>
      <c r="C504">
        <f>COUNTIF('Metrics - Articles'!E503,"*Sports*")</f>
        <v>0</v>
      </c>
      <c r="D504">
        <f>COUNTIF('Metrics - Articles'!E503,"*Youth*")</f>
        <v>0</v>
      </c>
      <c r="E504">
        <f>COUNTIF('Metrics - Articles'!E503,"*Healthcare*")</f>
        <v>0</v>
      </c>
      <c r="F504">
        <f>COUNTIF('Metrics - Articles'!E503,"*Innovation")</f>
        <v>0</v>
      </c>
      <c r="G504">
        <f>COUNTIF('Metrics - Articles'!E503,"*Corporate*")</f>
        <v>0</v>
      </c>
      <c r="I504" s="53">
        <f t="shared" si="8"/>
        <v>0</v>
      </c>
    </row>
    <row r="505" spans="2:9" x14ac:dyDescent="0.25">
      <c r="B505" s="48">
        <f>+'Metrics - Articles'!C502</f>
        <v>0</v>
      </c>
      <c r="C505">
        <f>COUNTIF('Metrics - Articles'!E504,"*Sports*")</f>
        <v>0</v>
      </c>
      <c r="D505">
        <f>COUNTIF('Metrics - Articles'!E504,"*Youth*")</f>
        <v>0</v>
      </c>
      <c r="E505">
        <f>COUNTIF('Metrics - Articles'!E504,"*Healthcare*")</f>
        <v>0</v>
      </c>
      <c r="F505">
        <f>COUNTIF('Metrics - Articles'!E504,"*Innovation")</f>
        <v>0</v>
      </c>
      <c r="G505">
        <f>COUNTIF('Metrics - Articles'!E504,"*Corporate*")</f>
        <v>0</v>
      </c>
      <c r="I505" s="53">
        <f t="shared" si="8"/>
        <v>0</v>
      </c>
    </row>
    <row r="506" spans="2:9" x14ac:dyDescent="0.25">
      <c r="B506" s="48">
        <f>+'Metrics - Articles'!C503</f>
        <v>0</v>
      </c>
      <c r="C506">
        <f>COUNTIF('Metrics - Articles'!E505,"*Sports*")</f>
        <v>0</v>
      </c>
      <c r="D506">
        <f>COUNTIF('Metrics - Articles'!E505,"*Youth*")</f>
        <v>0</v>
      </c>
      <c r="E506">
        <f>COUNTIF('Metrics - Articles'!E505,"*Healthcare*")</f>
        <v>0</v>
      </c>
      <c r="F506">
        <f>COUNTIF('Metrics - Articles'!E505,"*Innovation")</f>
        <v>0</v>
      </c>
      <c r="G506">
        <f>COUNTIF('Metrics - Articles'!E505,"*Corporate*")</f>
        <v>0</v>
      </c>
      <c r="I506" s="53">
        <f t="shared" si="8"/>
        <v>0</v>
      </c>
    </row>
    <row r="507" spans="2:9" x14ac:dyDescent="0.25">
      <c r="B507" s="48">
        <f>+'Metrics - Articles'!C504</f>
        <v>0</v>
      </c>
      <c r="C507">
        <f>COUNTIF('Metrics - Articles'!E506,"*Sports*")</f>
        <v>0</v>
      </c>
      <c r="D507">
        <f>COUNTIF('Metrics - Articles'!E506,"*Youth*")</f>
        <v>0</v>
      </c>
      <c r="E507">
        <f>COUNTIF('Metrics - Articles'!E506,"*Healthcare*")</f>
        <v>0</v>
      </c>
      <c r="F507">
        <f>COUNTIF('Metrics - Articles'!E506,"*Innovation")</f>
        <v>0</v>
      </c>
      <c r="G507">
        <f>COUNTIF('Metrics - Articles'!E506,"*Corporate*")</f>
        <v>0</v>
      </c>
      <c r="I507" s="53">
        <f t="shared" si="8"/>
        <v>0</v>
      </c>
    </row>
    <row r="508" spans="2:9" x14ac:dyDescent="0.25">
      <c r="B508" s="48">
        <f>+'Metrics - Articles'!C505</f>
        <v>0</v>
      </c>
      <c r="C508">
        <f>COUNTIF('Metrics - Articles'!E507,"*Sports*")</f>
        <v>0</v>
      </c>
      <c r="D508">
        <f>COUNTIF('Metrics - Articles'!E507,"*Youth*")</f>
        <v>0</v>
      </c>
      <c r="E508">
        <f>COUNTIF('Metrics - Articles'!E507,"*Healthcare*")</f>
        <v>0</v>
      </c>
      <c r="F508">
        <f>COUNTIF('Metrics - Articles'!E507,"*Innovation")</f>
        <v>0</v>
      </c>
      <c r="G508">
        <f>COUNTIF('Metrics - Articles'!E507,"*Corporate*")</f>
        <v>0</v>
      </c>
      <c r="I508" s="53">
        <f t="shared" si="8"/>
        <v>0</v>
      </c>
    </row>
    <row r="509" spans="2:9" x14ac:dyDescent="0.25">
      <c r="B509" s="48">
        <f>+'Metrics - Articles'!C506</f>
        <v>0</v>
      </c>
      <c r="C509">
        <f>COUNTIF('Metrics - Articles'!E508,"*Sports*")</f>
        <v>0</v>
      </c>
      <c r="D509">
        <f>COUNTIF('Metrics - Articles'!E508,"*Youth*")</f>
        <v>0</v>
      </c>
      <c r="E509">
        <f>COUNTIF('Metrics - Articles'!E508,"*Healthcare*")</f>
        <v>0</v>
      </c>
      <c r="F509">
        <f>COUNTIF('Metrics - Articles'!E508,"*Innovation")</f>
        <v>0</v>
      </c>
      <c r="G509">
        <f>COUNTIF('Metrics - Articles'!E508,"*Corporate*")</f>
        <v>0</v>
      </c>
      <c r="I509" s="53">
        <f t="shared" si="8"/>
        <v>0</v>
      </c>
    </row>
    <row r="510" spans="2:9" x14ac:dyDescent="0.25">
      <c r="B510" s="48">
        <f>+'Metrics - Articles'!C507</f>
        <v>0</v>
      </c>
      <c r="C510">
        <f>COUNTIF('Metrics - Articles'!E509,"*Sports*")</f>
        <v>0</v>
      </c>
      <c r="D510">
        <f>COUNTIF('Metrics - Articles'!E509,"*Youth*")</f>
        <v>0</v>
      </c>
      <c r="E510">
        <f>COUNTIF('Metrics - Articles'!E509,"*Healthcare*")</f>
        <v>0</v>
      </c>
      <c r="F510">
        <f>COUNTIF('Metrics - Articles'!E509,"*Innovation")</f>
        <v>0</v>
      </c>
      <c r="G510">
        <f>COUNTIF('Metrics - Articles'!E509,"*Corporate*")</f>
        <v>0</v>
      </c>
      <c r="I510" s="53">
        <f t="shared" si="8"/>
        <v>0</v>
      </c>
    </row>
    <row r="511" spans="2:9" x14ac:dyDescent="0.25">
      <c r="B511" s="48">
        <f>+'Metrics - Articles'!C508</f>
        <v>0</v>
      </c>
      <c r="C511">
        <f>COUNTIF('Metrics - Articles'!E510,"*Sports*")</f>
        <v>0</v>
      </c>
      <c r="D511">
        <f>COUNTIF('Metrics - Articles'!E510,"*Youth*")</f>
        <v>0</v>
      </c>
      <c r="E511">
        <f>COUNTIF('Metrics - Articles'!E510,"*Healthcare*")</f>
        <v>0</v>
      </c>
      <c r="F511">
        <f>COUNTIF('Metrics - Articles'!E510,"*Innovation")</f>
        <v>0</v>
      </c>
      <c r="G511">
        <f>COUNTIF('Metrics - Articles'!E510,"*Corporate*")</f>
        <v>0</v>
      </c>
      <c r="I511" s="53">
        <f t="shared" si="8"/>
        <v>0</v>
      </c>
    </row>
    <row r="512" spans="2:9" x14ac:dyDescent="0.25">
      <c r="B512" s="48">
        <f>+'Metrics - Articles'!C509</f>
        <v>0</v>
      </c>
      <c r="C512">
        <f>COUNTIF('Metrics - Articles'!E511,"*Sports*")</f>
        <v>0</v>
      </c>
      <c r="D512">
        <f>COUNTIF('Metrics - Articles'!E511,"*Youth*")</f>
        <v>0</v>
      </c>
      <c r="E512">
        <f>COUNTIF('Metrics - Articles'!E511,"*Healthcare*")</f>
        <v>0</v>
      </c>
      <c r="F512">
        <f>COUNTIF('Metrics - Articles'!E511,"*Innovation")</f>
        <v>0</v>
      </c>
      <c r="G512">
        <f>COUNTIF('Metrics - Articles'!E511,"*Corporate*")</f>
        <v>0</v>
      </c>
      <c r="I512" s="53">
        <f t="shared" si="8"/>
        <v>0</v>
      </c>
    </row>
    <row r="513" spans="2:9" x14ac:dyDescent="0.25">
      <c r="B513" s="48">
        <f>+'Metrics - Articles'!C510</f>
        <v>0</v>
      </c>
      <c r="C513">
        <f>COUNTIF('Metrics - Articles'!E512,"*Sports*")</f>
        <v>0</v>
      </c>
      <c r="D513">
        <f>COUNTIF('Metrics - Articles'!E512,"*Youth*")</f>
        <v>0</v>
      </c>
      <c r="E513">
        <f>COUNTIF('Metrics - Articles'!E512,"*Healthcare*")</f>
        <v>0</v>
      </c>
      <c r="F513">
        <f>COUNTIF('Metrics - Articles'!E512,"*Innovation")</f>
        <v>0</v>
      </c>
      <c r="G513">
        <f>COUNTIF('Metrics - Articles'!E512,"*Corporate*")</f>
        <v>0</v>
      </c>
      <c r="I513" s="53">
        <f t="shared" si="8"/>
        <v>0</v>
      </c>
    </row>
    <row r="514" spans="2:9" x14ac:dyDescent="0.25">
      <c r="B514" s="48">
        <f>+'Metrics - Articles'!C511</f>
        <v>0</v>
      </c>
      <c r="C514">
        <f>COUNTIF('Metrics - Articles'!E513,"*Sports*")</f>
        <v>0</v>
      </c>
      <c r="D514">
        <f>COUNTIF('Metrics - Articles'!E513,"*Youth*")</f>
        <v>0</v>
      </c>
      <c r="E514">
        <f>COUNTIF('Metrics - Articles'!E513,"*Healthcare*")</f>
        <v>0</v>
      </c>
      <c r="F514">
        <f>COUNTIF('Metrics - Articles'!E513,"*Innovation")</f>
        <v>0</v>
      </c>
      <c r="G514">
        <f>COUNTIF('Metrics - Articles'!E513,"*Corporate*")</f>
        <v>0</v>
      </c>
      <c r="I514" s="53">
        <f t="shared" si="8"/>
        <v>0</v>
      </c>
    </row>
    <row r="515" spans="2:9" x14ac:dyDescent="0.25">
      <c r="B515" s="48">
        <f>+'Metrics - Articles'!C512</f>
        <v>0</v>
      </c>
      <c r="C515">
        <f>COUNTIF('Metrics - Articles'!E514,"*Sports*")</f>
        <v>0</v>
      </c>
      <c r="D515">
        <f>COUNTIF('Metrics - Articles'!E514,"*Youth*")</f>
        <v>0</v>
      </c>
      <c r="E515">
        <f>COUNTIF('Metrics - Articles'!E514,"*Healthcare*")</f>
        <v>0</v>
      </c>
      <c r="F515">
        <f>COUNTIF('Metrics - Articles'!E514,"*Innovation")</f>
        <v>0</v>
      </c>
      <c r="G515">
        <f>COUNTIF('Metrics - Articles'!E514,"*Corporate*")</f>
        <v>0</v>
      </c>
      <c r="I515" s="53">
        <f t="shared" si="8"/>
        <v>0</v>
      </c>
    </row>
    <row r="516" spans="2:9" x14ac:dyDescent="0.25">
      <c r="B516" s="48">
        <f>+'Metrics - Articles'!C513</f>
        <v>0</v>
      </c>
      <c r="C516">
        <f>COUNTIF('Metrics - Articles'!E515,"*Sports*")</f>
        <v>0</v>
      </c>
      <c r="D516">
        <f>COUNTIF('Metrics - Articles'!E515,"*Youth*")</f>
        <v>0</v>
      </c>
      <c r="E516">
        <f>COUNTIF('Metrics - Articles'!E515,"*Healthcare*")</f>
        <v>0</v>
      </c>
      <c r="F516">
        <f>COUNTIF('Metrics - Articles'!E515,"*Innovation")</f>
        <v>0</v>
      </c>
      <c r="G516">
        <f>COUNTIF('Metrics - Articles'!E515,"*Corporate*")</f>
        <v>0</v>
      </c>
      <c r="I516" s="53">
        <f t="shared" si="8"/>
        <v>0</v>
      </c>
    </row>
    <row r="517" spans="2:9" x14ac:dyDescent="0.25">
      <c r="B517" s="48">
        <f>+'Metrics - Articles'!C514</f>
        <v>0</v>
      </c>
      <c r="C517">
        <f>COUNTIF('Metrics - Articles'!E516,"*Sports*")</f>
        <v>0</v>
      </c>
      <c r="D517">
        <f>COUNTIF('Metrics - Articles'!E516,"*Youth*")</f>
        <v>0</v>
      </c>
      <c r="E517">
        <f>COUNTIF('Metrics - Articles'!E516,"*Healthcare*")</f>
        <v>0</v>
      </c>
      <c r="F517">
        <f>COUNTIF('Metrics - Articles'!E516,"*Innovation")</f>
        <v>0</v>
      </c>
      <c r="G517">
        <f>COUNTIF('Metrics - Articles'!E516,"*Corporate*")</f>
        <v>0</v>
      </c>
      <c r="I517" s="53">
        <f t="shared" si="8"/>
        <v>0</v>
      </c>
    </row>
    <row r="518" spans="2:9" x14ac:dyDescent="0.25">
      <c r="B518" s="48">
        <f>+'Metrics - Articles'!C515</f>
        <v>0</v>
      </c>
      <c r="C518">
        <f>COUNTIF('Metrics - Articles'!E517,"*Sports*")</f>
        <v>0</v>
      </c>
      <c r="D518">
        <f>COUNTIF('Metrics - Articles'!E517,"*Youth*")</f>
        <v>0</v>
      </c>
      <c r="E518">
        <f>COUNTIF('Metrics - Articles'!E517,"*Healthcare*")</f>
        <v>0</v>
      </c>
      <c r="F518">
        <f>COUNTIF('Metrics - Articles'!E517,"*Innovation")</f>
        <v>0</v>
      </c>
      <c r="G518">
        <f>COUNTIF('Metrics - Articles'!E517,"*Corporate*")</f>
        <v>0</v>
      </c>
      <c r="I518" s="53">
        <f t="shared" si="8"/>
        <v>0</v>
      </c>
    </row>
    <row r="519" spans="2:9" x14ac:dyDescent="0.25">
      <c r="B519" s="48">
        <f>+'Metrics - Articles'!C516</f>
        <v>0</v>
      </c>
      <c r="C519">
        <f>COUNTIF('Metrics - Articles'!E518,"*Sports*")</f>
        <v>0</v>
      </c>
      <c r="D519">
        <f>COUNTIF('Metrics - Articles'!E518,"*Youth*")</f>
        <v>0</v>
      </c>
      <c r="E519">
        <f>COUNTIF('Metrics - Articles'!E518,"*Healthcare*")</f>
        <v>0</v>
      </c>
      <c r="F519">
        <f>COUNTIF('Metrics - Articles'!E518,"*Innovation")</f>
        <v>0</v>
      </c>
      <c r="G519">
        <f>COUNTIF('Metrics - Articles'!E518,"*Corporate*")</f>
        <v>0</v>
      </c>
      <c r="I519" s="53">
        <f t="shared" si="8"/>
        <v>0</v>
      </c>
    </row>
    <row r="520" spans="2:9" x14ac:dyDescent="0.25">
      <c r="B520" s="48">
        <f>+'Metrics - Articles'!C517</f>
        <v>0</v>
      </c>
      <c r="C520">
        <f>COUNTIF('Metrics - Articles'!E519,"*Sports*")</f>
        <v>0</v>
      </c>
      <c r="D520">
        <f>COUNTIF('Metrics - Articles'!E519,"*Youth*")</f>
        <v>0</v>
      </c>
      <c r="E520">
        <f>COUNTIF('Metrics - Articles'!E519,"*Healthcare*")</f>
        <v>0</v>
      </c>
      <c r="F520">
        <f>COUNTIF('Metrics - Articles'!E519,"*Innovation")</f>
        <v>0</v>
      </c>
      <c r="G520">
        <f>COUNTIF('Metrics - Articles'!E519,"*Corporate*")</f>
        <v>0</v>
      </c>
      <c r="I520" s="53">
        <f t="shared" ref="I520:I583" si="9">SUM(C520:H520)</f>
        <v>0</v>
      </c>
    </row>
    <row r="521" spans="2:9" x14ac:dyDescent="0.25">
      <c r="B521" s="48">
        <f>+'Metrics - Articles'!C518</f>
        <v>0</v>
      </c>
      <c r="C521">
        <f>COUNTIF('Metrics - Articles'!E520,"*Sports*")</f>
        <v>0</v>
      </c>
      <c r="D521">
        <f>COUNTIF('Metrics - Articles'!E520,"*Youth*")</f>
        <v>0</v>
      </c>
      <c r="E521">
        <f>COUNTIF('Metrics - Articles'!E520,"*Healthcare*")</f>
        <v>0</v>
      </c>
      <c r="F521">
        <f>COUNTIF('Metrics - Articles'!E520,"*Innovation")</f>
        <v>0</v>
      </c>
      <c r="G521">
        <f>COUNTIF('Metrics - Articles'!E520,"*Corporate*")</f>
        <v>0</v>
      </c>
      <c r="I521" s="53">
        <f t="shared" si="9"/>
        <v>0</v>
      </c>
    </row>
    <row r="522" spans="2:9" x14ac:dyDescent="0.25">
      <c r="B522" s="48">
        <f>+'Metrics - Articles'!C519</f>
        <v>0</v>
      </c>
      <c r="C522">
        <f>COUNTIF('Metrics - Articles'!E521,"*Sports*")</f>
        <v>0</v>
      </c>
      <c r="D522">
        <f>COUNTIF('Metrics - Articles'!E521,"*Youth*")</f>
        <v>0</v>
      </c>
      <c r="E522">
        <f>COUNTIF('Metrics - Articles'!E521,"*Healthcare*")</f>
        <v>0</v>
      </c>
      <c r="F522">
        <f>COUNTIF('Metrics - Articles'!E521,"*Innovation")</f>
        <v>0</v>
      </c>
      <c r="G522">
        <f>COUNTIF('Metrics - Articles'!E521,"*Corporate*")</f>
        <v>0</v>
      </c>
      <c r="I522" s="53">
        <f t="shared" si="9"/>
        <v>0</v>
      </c>
    </row>
    <row r="523" spans="2:9" x14ac:dyDescent="0.25">
      <c r="B523" s="48">
        <f>+'Metrics - Articles'!C520</f>
        <v>0</v>
      </c>
      <c r="C523">
        <f>COUNTIF('Metrics - Articles'!E522,"*Sports*")</f>
        <v>0</v>
      </c>
      <c r="D523">
        <f>COUNTIF('Metrics - Articles'!E522,"*Youth*")</f>
        <v>0</v>
      </c>
      <c r="E523">
        <f>COUNTIF('Metrics - Articles'!E522,"*Healthcare*")</f>
        <v>0</v>
      </c>
      <c r="F523">
        <f>COUNTIF('Metrics - Articles'!E522,"*Innovation")</f>
        <v>0</v>
      </c>
      <c r="G523">
        <f>COUNTIF('Metrics - Articles'!E522,"*Corporate*")</f>
        <v>0</v>
      </c>
      <c r="I523" s="53">
        <f t="shared" si="9"/>
        <v>0</v>
      </c>
    </row>
    <row r="524" spans="2:9" x14ac:dyDescent="0.25">
      <c r="B524" s="48">
        <f>+'Metrics - Articles'!C521</f>
        <v>0</v>
      </c>
      <c r="C524">
        <f>COUNTIF('Metrics - Articles'!E523,"*Sports*")</f>
        <v>0</v>
      </c>
      <c r="D524">
        <f>COUNTIF('Metrics - Articles'!E523,"*Youth*")</f>
        <v>0</v>
      </c>
      <c r="E524">
        <f>COUNTIF('Metrics - Articles'!E523,"*Healthcare*")</f>
        <v>0</v>
      </c>
      <c r="F524">
        <f>COUNTIF('Metrics - Articles'!E523,"*Innovation")</f>
        <v>0</v>
      </c>
      <c r="G524">
        <f>COUNTIF('Metrics - Articles'!E523,"*Corporate*")</f>
        <v>0</v>
      </c>
      <c r="I524" s="53">
        <f t="shared" si="9"/>
        <v>0</v>
      </c>
    </row>
    <row r="525" spans="2:9" x14ac:dyDescent="0.25">
      <c r="B525" s="48">
        <f>+'Metrics - Articles'!C522</f>
        <v>0</v>
      </c>
      <c r="C525">
        <f>COUNTIF('Metrics - Articles'!E524,"*Sports*")</f>
        <v>0</v>
      </c>
      <c r="D525">
        <f>COUNTIF('Metrics - Articles'!E524,"*Youth*")</f>
        <v>0</v>
      </c>
      <c r="E525">
        <f>COUNTIF('Metrics - Articles'!E524,"*Healthcare*")</f>
        <v>0</v>
      </c>
      <c r="F525">
        <f>COUNTIF('Metrics - Articles'!E524,"*Innovation")</f>
        <v>0</v>
      </c>
      <c r="G525">
        <f>COUNTIF('Metrics - Articles'!E524,"*Corporate*")</f>
        <v>0</v>
      </c>
      <c r="I525" s="53">
        <f t="shared" si="9"/>
        <v>0</v>
      </c>
    </row>
    <row r="526" spans="2:9" x14ac:dyDescent="0.25">
      <c r="B526" s="48">
        <f>+'Metrics - Articles'!C523</f>
        <v>0</v>
      </c>
      <c r="C526">
        <f>COUNTIF('Metrics - Articles'!E525,"*Sports*")</f>
        <v>0</v>
      </c>
      <c r="D526">
        <f>COUNTIF('Metrics - Articles'!E525,"*Youth*")</f>
        <v>0</v>
      </c>
      <c r="E526">
        <f>COUNTIF('Metrics - Articles'!E525,"*Healthcare*")</f>
        <v>0</v>
      </c>
      <c r="F526">
        <f>COUNTIF('Metrics - Articles'!E525,"*Innovation")</f>
        <v>0</v>
      </c>
      <c r="G526">
        <f>COUNTIF('Metrics - Articles'!E525,"*Corporate*")</f>
        <v>0</v>
      </c>
      <c r="I526" s="53">
        <f t="shared" si="9"/>
        <v>0</v>
      </c>
    </row>
    <row r="527" spans="2:9" x14ac:dyDescent="0.25">
      <c r="B527" s="48">
        <f>+'Metrics - Articles'!C524</f>
        <v>0</v>
      </c>
      <c r="C527">
        <f>COUNTIF('Metrics - Articles'!E526,"*Sports*")</f>
        <v>0</v>
      </c>
      <c r="D527">
        <f>COUNTIF('Metrics - Articles'!E526,"*Youth*")</f>
        <v>0</v>
      </c>
      <c r="E527">
        <f>COUNTIF('Metrics - Articles'!E526,"*Healthcare*")</f>
        <v>0</v>
      </c>
      <c r="F527">
        <f>COUNTIF('Metrics - Articles'!E526,"*Innovation")</f>
        <v>0</v>
      </c>
      <c r="G527">
        <f>COUNTIF('Metrics - Articles'!E526,"*Corporate*")</f>
        <v>0</v>
      </c>
      <c r="I527" s="53">
        <f t="shared" si="9"/>
        <v>0</v>
      </c>
    </row>
    <row r="528" spans="2:9" x14ac:dyDescent="0.25">
      <c r="B528" s="48">
        <f>+'Metrics - Articles'!C525</f>
        <v>0</v>
      </c>
      <c r="C528">
        <f>COUNTIF('Metrics - Articles'!E527,"*Sports*")</f>
        <v>0</v>
      </c>
      <c r="D528">
        <f>COUNTIF('Metrics - Articles'!E527,"*Youth*")</f>
        <v>0</v>
      </c>
      <c r="E528">
        <f>COUNTIF('Metrics - Articles'!E527,"*Healthcare*")</f>
        <v>0</v>
      </c>
      <c r="F528">
        <f>COUNTIF('Metrics - Articles'!E527,"*Innovation")</f>
        <v>0</v>
      </c>
      <c r="G528">
        <f>COUNTIF('Metrics - Articles'!E527,"*Corporate*")</f>
        <v>0</v>
      </c>
      <c r="I528" s="53">
        <f t="shared" si="9"/>
        <v>0</v>
      </c>
    </row>
    <row r="529" spans="2:9" x14ac:dyDescent="0.25">
      <c r="B529" s="48">
        <f>+'Metrics - Articles'!C526</f>
        <v>0</v>
      </c>
      <c r="C529">
        <f>COUNTIF('Metrics - Articles'!E528,"*Sports*")</f>
        <v>0</v>
      </c>
      <c r="D529">
        <f>COUNTIF('Metrics - Articles'!E528,"*Youth*")</f>
        <v>0</v>
      </c>
      <c r="E529">
        <f>COUNTIF('Metrics - Articles'!E528,"*Healthcare*")</f>
        <v>0</v>
      </c>
      <c r="F529">
        <f>COUNTIF('Metrics - Articles'!E528,"*Innovation")</f>
        <v>0</v>
      </c>
      <c r="G529">
        <f>COUNTIF('Metrics - Articles'!E528,"*Corporate*")</f>
        <v>0</v>
      </c>
      <c r="I529" s="53">
        <f t="shared" si="9"/>
        <v>0</v>
      </c>
    </row>
    <row r="530" spans="2:9" x14ac:dyDescent="0.25">
      <c r="B530" s="48">
        <f>+'Metrics - Articles'!C527</f>
        <v>0</v>
      </c>
      <c r="C530">
        <f>COUNTIF('Metrics - Articles'!E529,"*Sports*")</f>
        <v>0</v>
      </c>
      <c r="D530">
        <f>COUNTIF('Metrics - Articles'!E529,"*Youth*")</f>
        <v>0</v>
      </c>
      <c r="E530">
        <f>COUNTIF('Metrics - Articles'!E529,"*Healthcare*")</f>
        <v>0</v>
      </c>
      <c r="F530">
        <f>COUNTIF('Metrics - Articles'!E529,"*Innovation")</f>
        <v>0</v>
      </c>
      <c r="G530">
        <f>COUNTIF('Metrics - Articles'!E529,"*Corporate*")</f>
        <v>0</v>
      </c>
      <c r="I530" s="53">
        <f t="shared" si="9"/>
        <v>0</v>
      </c>
    </row>
    <row r="531" spans="2:9" x14ac:dyDescent="0.25">
      <c r="B531" s="48">
        <f>+'Metrics - Articles'!C528</f>
        <v>0</v>
      </c>
      <c r="C531">
        <f>COUNTIF('Metrics - Articles'!E530,"*Sports*")</f>
        <v>0</v>
      </c>
      <c r="D531">
        <f>COUNTIF('Metrics - Articles'!E530,"*Youth*")</f>
        <v>0</v>
      </c>
      <c r="E531">
        <f>COUNTIF('Metrics - Articles'!E530,"*Healthcare*")</f>
        <v>0</v>
      </c>
      <c r="F531">
        <f>COUNTIF('Metrics - Articles'!E530,"*Innovation")</f>
        <v>0</v>
      </c>
      <c r="G531">
        <f>COUNTIF('Metrics - Articles'!E530,"*Corporate*")</f>
        <v>0</v>
      </c>
      <c r="I531" s="53">
        <f t="shared" si="9"/>
        <v>0</v>
      </c>
    </row>
    <row r="532" spans="2:9" x14ac:dyDescent="0.25">
      <c r="B532" s="48">
        <f>+'Metrics - Articles'!C529</f>
        <v>0</v>
      </c>
      <c r="C532">
        <f>COUNTIF('Metrics - Articles'!E531,"*Sports*")</f>
        <v>0</v>
      </c>
      <c r="D532">
        <f>COUNTIF('Metrics - Articles'!E531,"*Youth*")</f>
        <v>0</v>
      </c>
      <c r="E532">
        <f>COUNTIF('Metrics - Articles'!E531,"*Healthcare*")</f>
        <v>0</v>
      </c>
      <c r="F532">
        <f>COUNTIF('Metrics - Articles'!E531,"*Innovation")</f>
        <v>0</v>
      </c>
      <c r="G532">
        <f>COUNTIF('Metrics - Articles'!E531,"*Corporate*")</f>
        <v>0</v>
      </c>
      <c r="I532" s="53">
        <f t="shared" si="9"/>
        <v>0</v>
      </c>
    </row>
    <row r="533" spans="2:9" x14ac:dyDescent="0.25">
      <c r="B533" s="48">
        <f>+'Metrics - Articles'!C530</f>
        <v>0</v>
      </c>
      <c r="C533">
        <f>COUNTIF('Metrics - Articles'!E532,"*Sports*")</f>
        <v>0</v>
      </c>
      <c r="D533">
        <f>COUNTIF('Metrics - Articles'!E532,"*Youth*")</f>
        <v>0</v>
      </c>
      <c r="E533">
        <f>COUNTIF('Metrics - Articles'!E532,"*Healthcare*")</f>
        <v>0</v>
      </c>
      <c r="F533">
        <f>COUNTIF('Metrics - Articles'!E532,"*Innovation")</f>
        <v>0</v>
      </c>
      <c r="G533">
        <f>COUNTIF('Metrics - Articles'!E532,"*Corporate*")</f>
        <v>0</v>
      </c>
      <c r="I533" s="53">
        <f t="shared" si="9"/>
        <v>0</v>
      </c>
    </row>
    <row r="534" spans="2:9" x14ac:dyDescent="0.25">
      <c r="B534" s="48">
        <f>+'Metrics - Articles'!C531</f>
        <v>0</v>
      </c>
      <c r="C534">
        <f>COUNTIF('Metrics - Articles'!E533,"*Sports*")</f>
        <v>0</v>
      </c>
      <c r="D534">
        <f>COUNTIF('Metrics - Articles'!E533,"*Youth*")</f>
        <v>0</v>
      </c>
      <c r="E534">
        <f>COUNTIF('Metrics - Articles'!E533,"*Healthcare*")</f>
        <v>0</v>
      </c>
      <c r="F534">
        <f>COUNTIF('Metrics - Articles'!E533,"*Innovation")</f>
        <v>0</v>
      </c>
      <c r="G534">
        <f>COUNTIF('Metrics - Articles'!E533,"*Corporate*")</f>
        <v>0</v>
      </c>
      <c r="I534" s="53">
        <f t="shared" si="9"/>
        <v>0</v>
      </c>
    </row>
    <row r="535" spans="2:9" x14ac:dyDescent="0.25">
      <c r="B535" s="48">
        <f>+'Metrics - Articles'!C532</f>
        <v>0</v>
      </c>
      <c r="C535">
        <f>COUNTIF('Metrics - Articles'!E534,"*Sports*")</f>
        <v>0</v>
      </c>
      <c r="D535">
        <f>COUNTIF('Metrics - Articles'!E534,"*Youth*")</f>
        <v>0</v>
      </c>
      <c r="E535">
        <f>COUNTIF('Metrics - Articles'!E534,"*Healthcare*")</f>
        <v>0</v>
      </c>
      <c r="F535">
        <f>COUNTIF('Metrics - Articles'!E534,"*Innovation")</f>
        <v>0</v>
      </c>
      <c r="G535">
        <f>COUNTIF('Metrics - Articles'!E534,"*Corporate*")</f>
        <v>0</v>
      </c>
      <c r="I535" s="53">
        <f t="shared" si="9"/>
        <v>0</v>
      </c>
    </row>
    <row r="536" spans="2:9" x14ac:dyDescent="0.25">
      <c r="B536" s="48">
        <f>+'Metrics - Articles'!C533</f>
        <v>0</v>
      </c>
      <c r="C536">
        <f>COUNTIF('Metrics - Articles'!E535,"*Sports*")</f>
        <v>0</v>
      </c>
      <c r="D536">
        <f>COUNTIF('Metrics - Articles'!E535,"*Youth*")</f>
        <v>0</v>
      </c>
      <c r="E536">
        <f>COUNTIF('Metrics - Articles'!E535,"*Healthcare*")</f>
        <v>0</v>
      </c>
      <c r="F536">
        <f>COUNTIF('Metrics - Articles'!E535,"*Innovation")</f>
        <v>0</v>
      </c>
      <c r="G536">
        <f>COUNTIF('Metrics - Articles'!E535,"*Corporate*")</f>
        <v>0</v>
      </c>
      <c r="I536" s="53">
        <f t="shared" si="9"/>
        <v>0</v>
      </c>
    </row>
    <row r="537" spans="2:9" x14ac:dyDescent="0.25">
      <c r="B537" s="48">
        <f>+'Metrics - Articles'!C534</f>
        <v>0</v>
      </c>
      <c r="C537">
        <f>COUNTIF('Metrics - Articles'!E536,"*Sports*")</f>
        <v>0</v>
      </c>
      <c r="D537">
        <f>COUNTIF('Metrics - Articles'!E536,"*Youth*")</f>
        <v>0</v>
      </c>
      <c r="E537">
        <f>COUNTIF('Metrics - Articles'!E536,"*Healthcare*")</f>
        <v>0</v>
      </c>
      <c r="F537">
        <f>COUNTIF('Metrics - Articles'!E536,"*Innovation")</f>
        <v>0</v>
      </c>
      <c r="G537">
        <f>COUNTIF('Metrics - Articles'!E536,"*Corporate*")</f>
        <v>0</v>
      </c>
      <c r="I537" s="53">
        <f t="shared" si="9"/>
        <v>0</v>
      </c>
    </row>
    <row r="538" spans="2:9" x14ac:dyDescent="0.25">
      <c r="B538" s="48">
        <f>+'Metrics - Articles'!C535</f>
        <v>0</v>
      </c>
      <c r="C538">
        <f>COUNTIF('Metrics - Articles'!E537,"*Sports*")</f>
        <v>0</v>
      </c>
      <c r="D538">
        <f>COUNTIF('Metrics - Articles'!E537,"*Youth*")</f>
        <v>0</v>
      </c>
      <c r="E538">
        <f>COUNTIF('Metrics - Articles'!E537,"*Healthcare*")</f>
        <v>0</v>
      </c>
      <c r="F538">
        <f>COUNTIF('Metrics - Articles'!E537,"*Innovation")</f>
        <v>0</v>
      </c>
      <c r="G538">
        <f>COUNTIF('Metrics - Articles'!E537,"*Corporate*")</f>
        <v>0</v>
      </c>
      <c r="I538" s="53">
        <f t="shared" si="9"/>
        <v>0</v>
      </c>
    </row>
    <row r="539" spans="2:9" x14ac:dyDescent="0.25">
      <c r="B539" s="48">
        <f>+'Metrics - Articles'!C536</f>
        <v>0</v>
      </c>
      <c r="C539">
        <f>COUNTIF('Metrics - Articles'!E538,"*Sports*")</f>
        <v>0</v>
      </c>
      <c r="D539">
        <f>COUNTIF('Metrics - Articles'!E538,"*Youth*")</f>
        <v>0</v>
      </c>
      <c r="E539">
        <f>COUNTIF('Metrics - Articles'!E538,"*Healthcare*")</f>
        <v>0</v>
      </c>
      <c r="F539">
        <f>COUNTIF('Metrics - Articles'!E538,"*Innovation")</f>
        <v>0</v>
      </c>
      <c r="G539">
        <f>COUNTIF('Metrics - Articles'!E538,"*Corporate*")</f>
        <v>0</v>
      </c>
      <c r="I539" s="53">
        <f t="shared" si="9"/>
        <v>0</v>
      </c>
    </row>
    <row r="540" spans="2:9" x14ac:dyDescent="0.25">
      <c r="B540" s="48">
        <f>+'Metrics - Articles'!C537</f>
        <v>0</v>
      </c>
      <c r="C540">
        <f>COUNTIF('Metrics - Articles'!E539,"*Sports*")</f>
        <v>0</v>
      </c>
      <c r="D540">
        <f>COUNTIF('Metrics - Articles'!E539,"*Youth*")</f>
        <v>0</v>
      </c>
      <c r="E540">
        <f>COUNTIF('Metrics - Articles'!E539,"*Healthcare*")</f>
        <v>0</v>
      </c>
      <c r="F540">
        <f>COUNTIF('Metrics - Articles'!E539,"*Innovation")</f>
        <v>0</v>
      </c>
      <c r="G540">
        <f>COUNTIF('Metrics - Articles'!E539,"*Corporate*")</f>
        <v>0</v>
      </c>
      <c r="I540" s="53">
        <f t="shared" si="9"/>
        <v>0</v>
      </c>
    </row>
    <row r="541" spans="2:9" x14ac:dyDescent="0.25">
      <c r="B541" s="48">
        <f>+'Metrics - Articles'!C538</f>
        <v>0</v>
      </c>
      <c r="C541">
        <f>COUNTIF('Metrics - Articles'!E540,"*Sports*")</f>
        <v>0</v>
      </c>
      <c r="D541">
        <f>COUNTIF('Metrics - Articles'!E540,"*Youth*")</f>
        <v>0</v>
      </c>
      <c r="E541">
        <f>COUNTIF('Metrics - Articles'!E540,"*Healthcare*")</f>
        <v>0</v>
      </c>
      <c r="F541">
        <f>COUNTIF('Metrics - Articles'!E540,"*Innovation")</f>
        <v>0</v>
      </c>
      <c r="G541">
        <f>COUNTIF('Metrics - Articles'!E540,"*Corporate*")</f>
        <v>0</v>
      </c>
      <c r="I541" s="53">
        <f t="shared" si="9"/>
        <v>0</v>
      </c>
    </row>
    <row r="542" spans="2:9" x14ac:dyDescent="0.25">
      <c r="B542" s="48">
        <f>+'Metrics - Articles'!C539</f>
        <v>0</v>
      </c>
      <c r="C542">
        <f>COUNTIF('Metrics - Articles'!E541,"*Sports*")</f>
        <v>0</v>
      </c>
      <c r="D542">
        <f>COUNTIF('Metrics - Articles'!E541,"*Youth*")</f>
        <v>0</v>
      </c>
      <c r="E542">
        <f>COUNTIF('Metrics - Articles'!E541,"*Healthcare*")</f>
        <v>0</v>
      </c>
      <c r="F542">
        <f>COUNTIF('Metrics - Articles'!E541,"*Innovation")</f>
        <v>0</v>
      </c>
      <c r="G542">
        <f>COUNTIF('Metrics - Articles'!E541,"*Corporate*")</f>
        <v>0</v>
      </c>
      <c r="I542" s="53">
        <f t="shared" si="9"/>
        <v>0</v>
      </c>
    </row>
    <row r="543" spans="2:9" x14ac:dyDescent="0.25">
      <c r="B543" s="48">
        <f>+'Metrics - Articles'!C540</f>
        <v>0</v>
      </c>
      <c r="C543">
        <f>COUNTIF('Metrics - Articles'!E542,"*Sports*")</f>
        <v>0</v>
      </c>
      <c r="D543">
        <f>COUNTIF('Metrics - Articles'!E542,"*Youth*")</f>
        <v>0</v>
      </c>
      <c r="E543">
        <f>COUNTIF('Metrics - Articles'!E542,"*Healthcare*")</f>
        <v>0</v>
      </c>
      <c r="F543">
        <f>COUNTIF('Metrics - Articles'!E542,"*Innovation")</f>
        <v>0</v>
      </c>
      <c r="G543">
        <f>COUNTIF('Metrics - Articles'!E542,"*Corporate*")</f>
        <v>0</v>
      </c>
      <c r="I543" s="53">
        <f t="shared" si="9"/>
        <v>0</v>
      </c>
    </row>
    <row r="544" spans="2:9" x14ac:dyDescent="0.25">
      <c r="B544" s="48">
        <f>+'Metrics - Articles'!C541</f>
        <v>0</v>
      </c>
      <c r="C544">
        <f>COUNTIF('Metrics - Articles'!E543,"*Sports*")</f>
        <v>0</v>
      </c>
      <c r="D544">
        <f>COUNTIF('Metrics - Articles'!E543,"*Youth*")</f>
        <v>0</v>
      </c>
      <c r="E544">
        <f>COUNTIF('Metrics - Articles'!E543,"*Healthcare*")</f>
        <v>0</v>
      </c>
      <c r="F544">
        <f>COUNTIF('Metrics - Articles'!E543,"*Innovation")</f>
        <v>0</v>
      </c>
      <c r="G544">
        <f>COUNTIF('Metrics - Articles'!E543,"*Corporate*")</f>
        <v>0</v>
      </c>
      <c r="I544" s="53">
        <f t="shared" si="9"/>
        <v>0</v>
      </c>
    </row>
    <row r="545" spans="2:9" x14ac:dyDescent="0.25">
      <c r="B545" s="48">
        <f>+'Metrics - Articles'!C542</f>
        <v>0</v>
      </c>
      <c r="C545">
        <f>COUNTIF('Metrics - Articles'!E544,"*Sports*")</f>
        <v>0</v>
      </c>
      <c r="D545">
        <f>COUNTIF('Metrics - Articles'!E544,"*Youth*")</f>
        <v>0</v>
      </c>
      <c r="E545">
        <f>COUNTIF('Metrics - Articles'!E544,"*Healthcare*")</f>
        <v>0</v>
      </c>
      <c r="F545">
        <f>COUNTIF('Metrics - Articles'!E544,"*Innovation")</f>
        <v>0</v>
      </c>
      <c r="G545">
        <f>COUNTIF('Metrics - Articles'!E544,"*Corporate*")</f>
        <v>0</v>
      </c>
      <c r="I545" s="53">
        <f t="shared" si="9"/>
        <v>0</v>
      </c>
    </row>
    <row r="546" spans="2:9" x14ac:dyDescent="0.25">
      <c r="B546" s="48">
        <f>+'Metrics - Articles'!C543</f>
        <v>0</v>
      </c>
      <c r="C546">
        <f>COUNTIF('Metrics - Articles'!E545,"*Sports*")</f>
        <v>0</v>
      </c>
      <c r="D546">
        <f>COUNTIF('Metrics - Articles'!E545,"*Youth*")</f>
        <v>0</v>
      </c>
      <c r="E546">
        <f>COUNTIF('Metrics - Articles'!E545,"*Healthcare*")</f>
        <v>0</v>
      </c>
      <c r="F546">
        <f>COUNTIF('Metrics - Articles'!E545,"*Innovation")</f>
        <v>0</v>
      </c>
      <c r="G546">
        <f>COUNTIF('Metrics - Articles'!E545,"*Corporate*")</f>
        <v>0</v>
      </c>
      <c r="I546" s="53">
        <f t="shared" si="9"/>
        <v>0</v>
      </c>
    </row>
    <row r="547" spans="2:9" x14ac:dyDescent="0.25">
      <c r="B547" s="48">
        <f>+'Metrics - Articles'!C544</f>
        <v>0</v>
      </c>
      <c r="C547">
        <f>COUNTIF('Metrics - Articles'!E546,"*Sports*")</f>
        <v>0</v>
      </c>
      <c r="D547">
        <f>COUNTIF('Metrics - Articles'!E546,"*Youth*")</f>
        <v>0</v>
      </c>
      <c r="E547">
        <f>COUNTIF('Metrics - Articles'!E546,"*Healthcare*")</f>
        <v>0</v>
      </c>
      <c r="F547">
        <f>COUNTIF('Metrics - Articles'!E546,"*Innovation")</f>
        <v>0</v>
      </c>
      <c r="G547">
        <f>COUNTIF('Metrics - Articles'!E546,"*Corporate*")</f>
        <v>0</v>
      </c>
      <c r="I547" s="53">
        <f t="shared" si="9"/>
        <v>0</v>
      </c>
    </row>
    <row r="548" spans="2:9" x14ac:dyDescent="0.25">
      <c r="B548" s="48">
        <f>+'Metrics - Articles'!C545</f>
        <v>0</v>
      </c>
      <c r="C548">
        <f>COUNTIF('Metrics - Articles'!E547,"*Sports*")</f>
        <v>0</v>
      </c>
      <c r="D548">
        <f>COUNTIF('Metrics - Articles'!E547,"*Youth*")</f>
        <v>0</v>
      </c>
      <c r="E548">
        <f>COUNTIF('Metrics - Articles'!E547,"*Healthcare*")</f>
        <v>0</v>
      </c>
      <c r="F548">
        <f>COUNTIF('Metrics - Articles'!E547,"*Innovation")</f>
        <v>0</v>
      </c>
      <c r="G548">
        <f>COUNTIF('Metrics - Articles'!E547,"*Corporate*")</f>
        <v>0</v>
      </c>
      <c r="I548" s="53">
        <f t="shared" si="9"/>
        <v>0</v>
      </c>
    </row>
    <row r="549" spans="2:9" x14ac:dyDescent="0.25">
      <c r="B549" s="48">
        <f>+'Metrics - Articles'!C546</f>
        <v>0</v>
      </c>
      <c r="C549">
        <f>COUNTIF('Metrics - Articles'!E548,"*Sports*")</f>
        <v>0</v>
      </c>
      <c r="D549">
        <f>COUNTIF('Metrics - Articles'!E548,"*Youth*")</f>
        <v>0</v>
      </c>
      <c r="E549">
        <f>COUNTIF('Metrics - Articles'!E548,"*Healthcare*")</f>
        <v>0</v>
      </c>
      <c r="F549">
        <f>COUNTIF('Metrics - Articles'!E548,"*Innovation")</f>
        <v>0</v>
      </c>
      <c r="G549">
        <f>COUNTIF('Metrics - Articles'!E548,"*Corporate*")</f>
        <v>0</v>
      </c>
      <c r="I549" s="53">
        <f t="shared" si="9"/>
        <v>0</v>
      </c>
    </row>
    <row r="550" spans="2:9" x14ac:dyDescent="0.25">
      <c r="B550" s="48">
        <f>+'Metrics - Articles'!C547</f>
        <v>0</v>
      </c>
      <c r="C550">
        <f>COUNTIF('Metrics - Articles'!E549,"*Sports*")</f>
        <v>0</v>
      </c>
      <c r="D550">
        <f>COUNTIF('Metrics - Articles'!E549,"*Youth*")</f>
        <v>0</v>
      </c>
      <c r="E550">
        <f>COUNTIF('Metrics - Articles'!E549,"*Healthcare*")</f>
        <v>0</v>
      </c>
      <c r="F550">
        <f>COUNTIF('Metrics - Articles'!E549,"*Innovation")</f>
        <v>0</v>
      </c>
      <c r="G550">
        <f>COUNTIF('Metrics - Articles'!E549,"*Corporate*")</f>
        <v>0</v>
      </c>
      <c r="I550" s="53">
        <f t="shared" si="9"/>
        <v>0</v>
      </c>
    </row>
    <row r="551" spans="2:9" x14ac:dyDescent="0.25">
      <c r="B551" s="48">
        <f>+'Metrics - Articles'!C548</f>
        <v>0</v>
      </c>
      <c r="C551">
        <f>COUNTIF('Metrics - Articles'!E550,"*Sports*")</f>
        <v>0</v>
      </c>
      <c r="D551">
        <f>COUNTIF('Metrics - Articles'!E550,"*Youth*")</f>
        <v>0</v>
      </c>
      <c r="E551">
        <f>COUNTIF('Metrics - Articles'!E550,"*Healthcare*")</f>
        <v>0</v>
      </c>
      <c r="F551">
        <f>COUNTIF('Metrics - Articles'!E550,"*Innovation")</f>
        <v>0</v>
      </c>
      <c r="G551">
        <f>COUNTIF('Metrics - Articles'!E550,"*Corporate*")</f>
        <v>0</v>
      </c>
      <c r="I551" s="53">
        <f t="shared" si="9"/>
        <v>0</v>
      </c>
    </row>
    <row r="552" spans="2:9" x14ac:dyDescent="0.25">
      <c r="B552" s="48">
        <f>+'Metrics - Articles'!C549</f>
        <v>0</v>
      </c>
      <c r="C552">
        <f>COUNTIF('Metrics - Articles'!E551,"*Sports*")</f>
        <v>0</v>
      </c>
      <c r="D552">
        <f>COUNTIF('Metrics - Articles'!E551,"*Youth*")</f>
        <v>0</v>
      </c>
      <c r="E552">
        <f>COUNTIF('Metrics - Articles'!E551,"*Healthcare*")</f>
        <v>0</v>
      </c>
      <c r="F552">
        <f>COUNTIF('Metrics - Articles'!E551,"*Innovation")</f>
        <v>0</v>
      </c>
      <c r="G552">
        <f>COUNTIF('Metrics - Articles'!E551,"*Corporate*")</f>
        <v>0</v>
      </c>
      <c r="I552" s="53">
        <f t="shared" si="9"/>
        <v>0</v>
      </c>
    </row>
    <row r="553" spans="2:9" x14ac:dyDescent="0.25">
      <c r="B553" s="48">
        <f>+'Metrics - Articles'!C550</f>
        <v>0</v>
      </c>
      <c r="C553">
        <f>COUNTIF('Metrics - Articles'!E552,"*Sports*")</f>
        <v>0</v>
      </c>
      <c r="D553">
        <f>COUNTIF('Metrics - Articles'!E552,"*Youth*")</f>
        <v>0</v>
      </c>
      <c r="E553">
        <f>COUNTIF('Metrics - Articles'!E552,"*Healthcare*")</f>
        <v>0</v>
      </c>
      <c r="F553">
        <f>COUNTIF('Metrics - Articles'!E552,"*Innovation")</f>
        <v>0</v>
      </c>
      <c r="G553">
        <f>COUNTIF('Metrics - Articles'!E552,"*Corporate*")</f>
        <v>0</v>
      </c>
      <c r="I553" s="53">
        <f t="shared" si="9"/>
        <v>0</v>
      </c>
    </row>
    <row r="554" spans="2:9" x14ac:dyDescent="0.25">
      <c r="B554" s="48">
        <f>+'Metrics - Articles'!C551</f>
        <v>0</v>
      </c>
      <c r="C554">
        <f>COUNTIF('Metrics - Articles'!E553,"*Sports*")</f>
        <v>0</v>
      </c>
      <c r="D554">
        <f>COUNTIF('Metrics - Articles'!E553,"*Youth*")</f>
        <v>0</v>
      </c>
      <c r="E554">
        <f>COUNTIF('Metrics - Articles'!E553,"*Healthcare*")</f>
        <v>0</v>
      </c>
      <c r="F554">
        <f>COUNTIF('Metrics - Articles'!E553,"*Innovation")</f>
        <v>0</v>
      </c>
      <c r="G554">
        <f>COUNTIF('Metrics - Articles'!E553,"*Corporate*")</f>
        <v>0</v>
      </c>
      <c r="I554" s="53">
        <f t="shared" si="9"/>
        <v>0</v>
      </c>
    </row>
    <row r="555" spans="2:9" x14ac:dyDescent="0.25">
      <c r="B555" s="48">
        <f>+'Metrics - Articles'!C552</f>
        <v>0</v>
      </c>
      <c r="C555">
        <f>COUNTIF('Metrics - Articles'!E554,"*Sports*")</f>
        <v>0</v>
      </c>
      <c r="D555">
        <f>COUNTIF('Metrics - Articles'!E554,"*Youth*")</f>
        <v>0</v>
      </c>
      <c r="E555">
        <f>COUNTIF('Metrics - Articles'!E554,"*Healthcare*")</f>
        <v>0</v>
      </c>
      <c r="F555">
        <f>COUNTIF('Metrics - Articles'!E554,"*Innovation")</f>
        <v>0</v>
      </c>
      <c r="G555">
        <f>COUNTIF('Metrics - Articles'!E554,"*Corporate*")</f>
        <v>0</v>
      </c>
      <c r="I555" s="53">
        <f t="shared" si="9"/>
        <v>0</v>
      </c>
    </row>
    <row r="556" spans="2:9" x14ac:dyDescent="0.25">
      <c r="B556" s="48">
        <f>+'Metrics - Articles'!C553</f>
        <v>0</v>
      </c>
      <c r="C556">
        <f>COUNTIF('Metrics - Articles'!E555,"*Sports*")</f>
        <v>0</v>
      </c>
      <c r="D556">
        <f>COUNTIF('Metrics - Articles'!E555,"*Youth*")</f>
        <v>0</v>
      </c>
      <c r="E556">
        <f>COUNTIF('Metrics - Articles'!E555,"*Healthcare*")</f>
        <v>0</v>
      </c>
      <c r="F556">
        <f>COUNTIF('Metrics - Articles'!E555,"*Innovation")</f>
        <v>0</v>
      </c>
      <c r="G556">
        <f>COUNTIF('Metrics - Articles'!E555,"*Corporate*")</f>
        <v>0</v>
      </c>
      <c r="I556" s="53">
        <f t="shared" si="9"/>
        <v>0</v>
      </c>
    </row>
    <row r="557" spans="2:9" x14ac:dyDescent="0.25">
      <c r="B557" s="48">
        <f>+'Metrics - Articles'!C554</f>
        <v>0</v>
      </c>
      <c r="C557">
        <f>COUNTIF('Metrics - Articles'!E556,"*Sports*")</f>
        <v>0</v>
      </c>
      <c r="D557">
        <f>COUNTIF('Metrics - Articles'!E556,"*Youth*")</f>
        <v>0</v>
      </c>
      <c r="E557">
        <f>COUNTIF('Metrics - Articles'!E556,"*Healthcare*")</f>
        <v>0</v>
      </c>
      <c r="F557">
        <f>COUNTIF('Metrics - Articles'!E556,"*Innovation")</f>
        <v>0</v>
      </c>
      <c r="G557">
        <f>COUNTIF('Metrics - Articles'!E556,"*Corporate*")</f>
        <v>0</v>
      </c>
      <c r="I557" s="53">
        <f t="shared" si="9"/>
        <v>0</v>
      </c>
    </row>
    <row r="558" spans="2:9" x14ac:dyDescent="0.25">
      <c r="B558" s="48">
        <f>+'Metrics - Articles'!C555</f>
        <v>0</v>
      </c>
      <c r="C558">
        <f>COUNTIF('Metrics - Articles'!E557,"*Sports*")</f>
        <v>0</v>
      </c>
      <c r="D558">
        <f>COUNTIF('Metrics - Articles'!E557,"*Youth*")</f>
        <v>0</v>
      </c>
      <c r="E558">
        <f>COUNTIF('Metrics - Articles'!E557,"*Healthcare*")</f>
        <v>0</v>
      </c>
      <c r="F558">
        <f>COUNTIF('Metrics - Articles'!E557,"*Innovation")</f>
        <v>0</v>
      </c>
      <c r="G558">
        <f>COUNTIF('Metrics - Articles'!E557,"*Corporate*")</f>
        <v>0</v>
      </c>
      <c r="I558" s="53">
        <f t="shared" si="9"/>
        <v>0</v>
      </c>
    </row>
    <row r="559" spans="2:9" x14ac:dyDescent="0.25">
      <c r="B559" s="48">
        <f>+'Metrics - Articles'!C556</f>
        <v>0</v>
      </c>
      <c r="C559">
        <f>COUNTIF('Metrics - Articles'!E558,"*Sports*")</f>
        <v>0</v>
      </c>
      <c r="D559">
        <f>COUNTIF('Metrics - Articles'!E558,"*Youth*")</f>
        <v>0</v>
      </c>
      <c r="E559">
        <f>COUNTIF('Metrics - Articles'!E558,"*Healthcare*")</f>
        <v>0</v>
      </c>
      <c r="F559">
        <f>COUNTIF('Metrics - Articles'!E558,"*Innovation")</f>
        <v>0</v>
      </c>
      <c r="G559">
        <f>COUNTIF('Metrics - Articles'!E558,"*Corporate*")</f>
        <v>0</v>
      </c>
      <c r="I559" s="53">
        <f t="shared" si="9"/>
        <v>0</v>
      </c>
    </row>
    <row r="560" spans="2:9" x14ac:dyDescent="0.25">
      <c r="B560" s="48">
        <f>+'Metrics - Articles'!C557</f>
        <v>0</v>
      </c>
      <c r="C560">
        <f>COUNTIF('Metrics - Articles'!E559,"*Sports*")</f>
        <v>0</v>
      </c>
      <c r="D560">
        <f>COUNTIF('Metrics - Articles'!E559,"*Youth*")</f>
        <v>0</v>
      </c>
      <c r="E560">
        <f>COUNTIF('Metrics - Articles'!E559,"*Healthcare*")</f>
        <v>0</v>
      </c>
      <c r="F560">
        <f>COUNTIF('Metrics - Articles'!E559,"*Innovation")</f>
        <v>0</v>
      </c>
      <c r="G560">
        <f>COUNTIF('Metrics - Articles'!E559,"*Corporate*")</f>
        <v>0</v>
      </c>
      <c r="I560" s="53">
        <f t="shared" si="9"/>
        <v>0</v>
      </c>
    </row>
    <row r="561" spans="2:9" x14ac:dyDescent="0.25">
      <c r="B561" s="48">
        <f>+'Metrics - Articles'!C558</f>
        <v>0</v>
      </c>
      <c r="C561">
        <f>COUNTIF('Metrics - Articles'!E560,"*Sports*")</f>
        <v>0</v>
      </c>
      <c r="D561">
        <f>COUNTIF('Metrics - Articles'!E560,"*Youth*")</f>
        <v>0</v>
      </c>
      <c r="E561">
        <f>COUNTIF('Metrics - Articles'!E560,"*Healthcare*")</f>
        <v>0</v>
      </c>
      <c r="F561">
        <f>COUNTIF('Metrics - Articles'!E560,"*Innovation")</f>
        <v>0</v>
      </c>
      <c r="G561">
        <f>COUNTIF('Metrics - Articles'!E560,"*Corporate*")</f>
        <v>0</v>
      </c>
      <c r="I561" s="53">
        <f t="shared" si="9"/>
        <v>0</v>
      </c>
    </row>
    <row r="562" spans="2:9" x14ac:dyDescent="0.25">
      <c r="B562" s="48">
        <f>+'Metrics - Articles'!C559</f>
        <v>0</v>
      </c>
      <c r="C562">
        <f>COUNTIF('Metrics - Articles'!E561,"*Sports*")</f>
        <v>0</v>
      </c>
      <c r="D562">
        <f>COUNTIF('Metrics - Articles'!E561,"*Youth*")</f>
        <v>0</v>
      </c>
      <c r="E562">
        <f>COUNTIF('Metrics - Articles'!E561,"*Healthcare*")</f>
        <v>0</v>
      </c>
      <c r="F562">
        <f>COUNTIF('Metrics - Articles'!E561,"*Innovation")</f>
        <v>0</v>
      </c>
      <c r="G562">
        <f>COUNTIF('Metrics - Articles'!E561,"*Corporate*")</f>
        <v>0</v>
      </c>
      <c r="I562" s="53">
        <f t="shared" si="9"/>
        <v>0</v>
      </c>
    </row>
    <row r="563" spans="2:9" x14ac:dyDescent="0.25">
      <c r="B563" s="48">
        <f>+'Metrics - Articles'!C560</f>
        <v>0</v>
      </c>
      <c r="C563">
        <f>COUNTIF('Metrics - Articles'!E562,"*Sports*")</f>
        <v>0</v>
      </c>
      <c r="D563">
        <f>COUNTIF('Metrics - Articles'!E562,"*Youth*")</f>
        <v>0</v>
      </c>
      <c r="E563">
        <f>COUNTIF('Metrics - Articles'!E562,"*Healthcare*")</f>
        <v>0</v>
      </c>
      <c r="F563">
        <f>COUNTIF('Metrics - Articles'!E562,"*Innovation")</f>
        <v>0</v>
      </c>
      <c r="G563">
        <f>COUNTIF('Metrics - Articles'!E562,"*Corporate*")</f>
        <v>0</v>
      </c>
      <c r="I563" s="53">
        <f t="shared" si="9"/>
        <v>0</v>
      </c>
    </row>
    <row r="564" spans="2:9" x14ac:dyDescent="0.25">
      <c r="B564" s="48">
        <f>+'Metrics - Articles'!C561</f>
        <v>0</v>
      </c>
      <c r="C564">
        <f>COUNTIF('Metrics - Articles'!E563,"*Sports*")</f>
        <v>0</v>
      </c>
      <c r="D564">
        <f>COUNTIF('Metrics - Articles'!E563,"*Youth*")</f>
        <v>0</v>
      </c>
      <c r="E564">
        <f>COUNTIF('Metrics - Articles'!E563,"*Healthcare*")</f>
        <v>0</v>
      </c>
      <c r="F564">
        <f>COUNTIF('Metrics - Articles'!E563,"*Innovation")</f>
        <v>0</v>
      </c>
      <c r="G564">
        <f>COUNTIF('Metrics - Articles'!E563,"*Corporate*")</f>
        <v>0</v>
      </c>
      <c r="I564" s="53">
        <f t="shared" si="9"/>
        <v>0</v>
      </c>
    </row>
    <row r="565" spans="2:9" x14ac:dyDescent="0.25">
      <c r="B565" s="48">
        <f>+'Metrics - Articles'!C562</f>
        <v>0</v>
      </c>
      <c r="C565">
        <f>COUNTIF('Metrics - Articles'!E564,"*Sports*")</f>
        <v>0</v>
      </c>
      <c r="D565">
        <f>COUNTIF('Metrics - Articles'!E564,"*Youth*")</f>
        <v>0</v>
      </c>
      <c r="E565">
        <f>COUNTIF('Metrics - Articles'!E564,"*Healthcare*")</f>
        <v>0</v>
      </c>
      <c r="F565">
        <f>COUNTIF('Metrics - Articles'!E564,"*Innovation")</f>
        <v>0</v>
      </c>
      <c r="G565">
        <f>COUNTIF('Metrics - Articles'!E564,"*Corporate*")</f>
        <v>0</v>
      </c>
      <c r="I565" s="53">
        <f t="shared" si="9"/>
        <v>0</v>
      </c>
    </row>
    <row r="566" spans="2:9" x14ac:dyDescent="0.25">
      <c r="B566" s="48">
        <f>+'Metrics - Articles'!C563</f>
        <v>0</v>
      </c>
      <c r="C566">
        <f>COUNTIF('Metrics - Articles'!E565,"*Sports*")</f>
        <v>0</v>
      </c>
      <c r="D566">
        <f>COUNTIF('Metrics - Articles'!E565,"*Youth*")</f>
        <v>0</v>
      </c>
      <c r="E566">
        <f>COUNTIF('Metrics - Articles'!E565,"*Healthcare*")</f>
        <v>0</v>
      </c>
      <c r="F566">
        <f>COUNTIF('Metrics - Articles'!E565,"*Innovation")</f>
        <v>0</v>
      </c>
      <c r="G566">
        <f>COUNTIF('Metrics - Articles'!E565,"*Corporate*")</f>
        <v>0</v>
      </c>
      <c r="I566" s="53">
        <f t="shared" si="9"/>
        <v>0</v>
      </c>
    </row>
    <row r="567" spans="2:9" x14ac:dyDescent="0.25">
      <c r="B567" s="48">
        <f>+'Metrics - Articles'!C564</f>
        <v>0</v>
      </c>
      <c r="C567">
        <f>COUNTIF('Metrics - Articles'!E566,"*Sports*")</f>
        <v>0</v>
      </c>
      <c r="D567">
        <f>COUNTIF('Metrics - Articles'!E566,"*Youth*")</f>
        <v>0</v>
      </c>
      <c r="E567">
        <f>COUNTIF('Metrics - Articles'!E566,"*Healthcare*")</f>
        <v>0</v>
      </c>
      <c r="F567">
        <f>COUNTIF('Metrics - Articles'!E566,"*Innovation")</f>
        <v>0</v>
      </c>
      <c r="G567">
        <f>COUNTIF('Metrics - Articles'!E566,"*Corporate*")</f>
        <v>0</v>
      </c>
      <c r="I567" s="53">
        <f t="shared" si="9"/>
        <v>0</v>
      </c>
    </row>
    <row r="568" spans="2:9" x14ac:dyDescent="0.25">
      <c r="B568" s="48">
        <f>+'Metrics - Articles'!C565</f>
        <v>0</v>
      </c>
      <c r="C568">
        <f>COUNTIF('Metrics - Articles'!E567,"*Sports*")</f>
        <v>0</v>
      </c>
      <c r="D568">
        <f>COUNTIF('Metrics - Articles'!E567,"*Youth*")</f>
        <v>0</v>
      </c>
      <c r="E568">
        <f>COUNTIF('Metrics - Articles'!E567,"*Healthcare*")</f>
        <v>0</v>
      </c>
      <c r="F568">
        <f>COUNTIF('Metrics - Articles'!E567,"*Innovation")</f>
        <v>0</v>
      </c>
      <c r="G568">
        <f>COUNTIF('Metrics - Articles'!E567,"*Corporate*")</f>
        <v>0</v>
      </c>
      <c r="I568" s="53">
        <f t="shared" si="9"/>
        <v>0</v>
      </c>
    </row>
    <row r="569" spans="2:9" x14ac:dyDescent="0.25">
      <c r="B569" s="48">
        <f>+'Metrics - Articles'!C566</f>
        <v>0</v>
      </c>
      <c r="C569">
        <f>COUNTIF('Metrics - Articles'!E568,"*Sports*")</f>
        <v>0</v>
      </c>
      <c r="D569">
        <f>COUNTIF('Metrics - Articles'!E568,"*Youth*")</f>
        <v>0</v>
      </c>
      <c r="E569">
        <f>COUNTIF('Metrics - Articles'!E568,"*Healthcare*")</f>
        <v>0</v>
      </c>
      <c r="F569">
        <f>COUNTIF('Metrics - Articles'!E568,"*Innovation")</f>
        <v>0</v>
      </c>
      <c r="G569">
        <f>COUNTIF('Metrics - Articles'!E568,"*Corporate*")</f>
        <v>0</v>
      </c>
      <c r="I569" s="53">
        <f t="shared" si="9"/>
        <v>0</v>
      </c>
    </row>
    <row r="570" spans="2:9" x14ac:dyDescent="0.25">
      <c r="B570" s="48">
        <f>+'Metrics - Articles'!C567</f>
        <v>0</v>
      </c>
      <c r="C570">
        <f>COUNTIF('Metrics - Articles'!E569,"*Sports*")</f>
        <v>0</v>
      </c>
      <c r="D570">
        <f>COUNTIF('Metrics - Articles'!E569,"*Youth*")</f>
        <v>0</v>
      </c>
      <c r="E570">
        <f>COUNTIF('Metrics - Articles'!E569,"*Healthcare*")</f>
        <v>0</v>
      </c>
      <c r="F570">
        <f>COUNTIF('Metrics - Articles'!E569,"*Innovation")</f>
        <v>0</v>
      </c>
      <c r="G570">
        <f>COUNTIF('Metrics - Articles'!E569,"*Corporate*")</f>
        <v>0</v>
      </c>
      <c r="I570" s="53">
        <f t="shared" si="9"/>
        <v>0</v>
      </c>
    </row>
    <row r="571" spans="2:9" x14ac:dyDescent="0.25">
      <c r="B571" s="48">
        <f>+'Metrics - Articles'!C568</f>
        <v>0</v>
      </c>
      <c r="C571">
        <f>COUNTIF('Metrics - Articles'!E570,"*Sports*")</f>
        <v>0</v>
      </c>
      <c r="D571">
        <f>COUNTIF('Metrics - Articles'!E570,"*Youth*")</f>
        <v>0</v>
      </c>
      <c r="E571">
        <f>COUNTIF('Metrics - Articles'!E570,"*Healthcare*")</f>
        <v>0</v>
      </c>
      <c r="F571">
        <f>COUNTIF('Metrics - Articles'!E570,"*Innovation")</f>
        <v>0</v>
      </c>
      <c r="G571">
        <f>COUNTIF('Metrics - Articles'!E570,"*Corporate*")</f>
        <v>0</v>
      </c>
      <c r="I571" s="53">
        <f t="shared" si="9"/>
        <v>0</v>
      </c>
    </row>
    <row r="572" spans="2:9" x14ac:dyDescent="0.25">
      <c r="B572" s="48">
        <f>+'Metrics - Articles'!C569</f>
        <v>0</v>
      </c>
      <c r="C572">
        <f>COUNTIF('Metrics - Articles'!E571,"*Sports*")</f>
        <v>0</v>
      </c>
      <c r="D572">
        <f>COUNTIF('Metrics - Articles'!E571,"*Youth*")</f>
        <v>0</v>
      </c>
      <c r="E572">
        <f>COUNTIF('Metrics - Articles'!E571,"*Healthcare*")</f>
        <v>0</v>
      </c>
      <c r="F572">
        <f>COUNTIF('Metrics - Articles'!E571,"*Innovation")</f>
        <v>0</v>
      </c>
      <c r="G572">
        <f>COUNTIF('Metrics - Articles'!E571,"*Corporate*")</f>
        <v>0</v>
      </c>
      <c r="I572" s="53">
        <f t="shared" si="9"/>
        <v>0</v>
      </c>
    </row>
    <row r="573" spans="2:9" x14ac:dyDescent="0.25">
      <c r="B573" s="48">
        <f>+'Metrics - Articles'!C570</f>
        <v>0</v>
      </c>
      <c r="C573">
        <f>COUNTIF('Metrics - Articles'!E572,"*Sports*")</f>
        <v>0</v>
      </c>
      <c r="D573">
        <f>COUNTIF('Metrics - Articles'!E572,"*Youth*")</f>
        <v>0</v>
      </c>
      <c r="E573">
        <f>COUNTIF('Metrics - Articles'!E572,"*Healthcare*")</f>
        <v>0</v>
      </c>
      <c r="F573">
        <f>COUNTIF('Metrics - Articles'!E572,"*Innovation")</f>
        <v>0</v>
      </c>
      <c r="G573">
        <f>COUNTIF('Metrics - Articles'!E572,"*Corporate*")</f>
        <v>0</v>
      </c>
      <c r="I573" s="53">
        <f t="shared" si="9"/>
        <v>0</v>
      </c>
    </row>
    <row r="574" spans="2:9" x14ac:dyDescent="0.25">
      <c r="B574" s="48">
        <f>+'Metrics - Articles'!C571</f>
        <v>0</v>
      </c>
      <c r="C574">
        <f>COUNTIF('Metrics - Articles'!E573,"*Sports*")</f>
        <v>0</v>
      </c>
      <c r="D574">
        <f>COUNTIF('Metrics - Articles'!E573,"*Youth*")</f>
        <v>0</v>
      </c>
      <c r="E574">
        <f>COUNTIF('Metrics - Articles'!E573,"*Healthcare*")</f>
        <v>0</v>
      </c>
      <c r="F574">
        <f>COUNTIF('Metrics - Articles'!E573,"*Innovation")</f>
        <v>0</v>
      </c>
      <c r="G574">
        <f>COUNTIF('Metrics - Articles'!E573,"*Corporate*")</f>
        <v>0</v>
      </c>
      <c r="I574" s="53">
        <f t="shared" si="9"/>
        <v>0</v>
      </c>
    </row>
    <row r="575" spans="2:9" x14ac:dyDescent="0.25">
      <c r="B575" s="48">
        <f>+'Metrics - Articles'!C572</f>
        <v>0</v>
      </c>
      <c r="C575">
        <f>COUNTIF('Metrics - Articles'!E574,"*Sports*")</f>
        <v>0</v>
      </c>
      <c r="D575">
        <f>COUNTIF('Metrics - Articles'!E574,"*Youth*")</f>
        <v>0</v>
      </c>
      <c r="E575">
        <f>COUNTIF('Metrics - Articles'!E574,"*Healthcare*")</f>
        <v>0</v>
      </c>
      <c r="F575">
        <f>COUNTIF('Metrics - Articles'!E574,"*Innovation")</f>
        <v>0</v>
      </c>
      <c r="G575">
        <f>COUNTIF('Metrics - Articles'!E574,"*Corporate*")</f>
        <v>0</v>
      </c>
      <c r="I575" s="53">
        <f t="shared" si="9"/>
        <v>0</v>
      </c>
    </row>
    <row r="576" spans="2:9" x14ac:dyDescent="0.25">
      <c r="B576" s="48">
        <f>+'Metrics - Articles'!C573</f>
        <v>0</v>
      </c>
      <c r="C576">
        <f>COUNTIF('Metrics - Articles'!E575,"*Sports*")</f>
        <v>0</v>
      </c>
      <c r="D576">
        <f>COUNTIF('Metrics - Articles'!E575,"*Youth*")</f>
        <v>0</v>
      </c>
      <c r="E576">
        <f>COUNTIF('Metrics - Articles'!E575,"*Healthcare*")</f>
        <v>0</v>
      </c>
      <c r="F576">
        <f>COUNTIF('Metrics - Articles'!E575,"*Innovation")</f>
        <v>0</v>
      </c>
      <c r="G576">
        <f>COUNTIF('Metrics - Articles'!E575,"*Corporate*")</f>
        <v>0</v>
      </c>
      <c r="I576" s="53">
        <f t="shared" si="9"/>
        <v>0</v>
      </c>
    </row>
    <row r="577" spans="2:9" x14ac:dyDescent="0.25">
      <c r="B577" s="48">
        <f>+'Metrics - Articles'!C574</f>
        <v>0</v>
      </c>
      <c r="C577">
        <f>COUNTIF('Metrics - Articles'!E576,"*Sports*")</f>
        <v>0</v>
      </c>
      <c r="D577">
        <f>COUNTIF('Metrics - Articles'!E576,"*Youth*")</f>
        <v>0</v>
      </c>
      <c r="E577">
        <f>COUNTIF('Metrics - Articles'!E576,"*Healthcare*")</f>
        <v>0</v>
      </c>
      <c r="F577">
        <f>COUNTIF('Metrics - Articles'!E576,"*Innovation")</f>
        <v>0</v>
      </c>
      <c r="G577">
        <f>COUNTIF('Metrics - Articles'!E576,"*Corporate*")</f>
        <v>0</v>
      </c>
      <c r="I577" s="53">
        <f t="shared" si="9"/>
        <v>0</v>
      </c>
    </row>
    <row r="578" spans="2:9" x14ac:dyDescent="0.25">
      <c r="B578" s="48">
        <f>+'Metrics - Articles'!C575</f>
        <v>0</v>
      </c>
      <c r="C578">
        <f>COUNTIF('Metrics - Articles'!E577,"*Sports*")</f>
        <v>0</v>
      </c>
      <c r="D578">
        <f>COUNTIF('Metrics - Articles'!E577,"*Youth*")</f>
        <v>0</v>
      </c>
      <c r="E578">
        <f>COUNTIF('Metrics - Articles'!E577,"*Healthcare*")</f>
        <v>0</v>
      </c>
      <c r="F578">
        <f>COUNTIF('Metrics - Articles'!E577,"*Innovation")</f>
        <v>0</v>
      </c>
      <c r="G578">
        <f>COUNTIF('Metrics - Articles'!E577,"*Corporate*")</f>
        <v>0</v>
      </c>
      <c r="I578" s="53">
        <f t="shared" si="9"/>
        <v>0</v>
      </c>
    </row>
    <row r="579" spans="2:9" x14ac:dyDescent="0.25">
      <c r="B579" s="48">
        <f>+'Metrics - Articles'!C576</f>
        <v>0</v>
      </c>
      <c r="C579">
        <f>COUNTIF('Metrics - Articles'!E578,"*Sports*")</f>
        <v>0</v>
      </c>
      <c r="D579">
        <f>COUNTIF('Metrics - Articles'!E578,"*Youth*")</f>
        <v>0</v>
      </c>
      <c r="E579">
        <f>COUNTIF('Metrics - Articles'!E578,"*Healthcare*")</f>
        <v>0</v>
      </c>
      <c r="F579">
        <f>COUNTIF('Metrics - Articles'!E578,"*Innovation")</f>
        <v>0</v>
      </c>
      <c r="G579">
        <f>COUNTIF('Metrics - Articles'!E578,"*Corporate*")</f>
        <v>0</v>
      </c>
      <c r="I579" s="53">
        <f t="shared" si="9"/>
        <v>0</v>
      </c>
    </row>
    <row r="580" spans="2:9" x14ac:dyDescent="0.25">
      <c r="B580" s="48">
        <f>+'Metrics - Articles'!C577</f>
        <v>0</v>
      </c>
      <c r="C580">
        <f>COUNTIF('Metrics - Articles'!E579,"*Sports*")</f>
        <v>0</v>
      </c>
      <c r="D580">
        <f>COUNTIF('Metrics - Articles'!E579,"*Youth*")</f>
        <v>0</v>
      </c>
      <c r="E580">
        <f>COUNTIF('Metrics - Articles'!E579,"*Healthcare*")</f>
        <v>0</v>
      </c>
      <c r="F580">
        <f>COUNTIF('Metrics - Articles'!E579,"*Innovation")</f>
        <v>0</v>
      </c>
      <c r="G580">
        <f>COUNTIF('Metrics - Articles'!E579,"*Corporate*")</f>
        <v>0</v>
      </c>
      <c r="I580" s="53">
        <f t="shared" si="9"/>
        <v>0</v>
      </c>
    </row>
    <row r="581" spans="2:9" x14ac:dyDescent="0.25">
      <c r="B581" s="48">
        <f>+'Metrics - Articles'!C578</f>
        <v>0</v>
      </c>
      <c r="C581">
        <f>COUNTIF('Metrics - Articles'!E580,"*Sports*")</f>
        <v>0</v>
      </c>
      <c r="D581">
        <f>COUNTIF('Metrics - Articles'!E580,"*Youth*")</f>
        <v>0</v>
      </c>
      <c r="E581">
        <f>COUNTIF('Metrics - Articles'!E580,"*Healthcare*")</f>
        <v>0</v>
      </c>
      <c r="F581">
        <f>COUNTIF('Metrics - Articles'!E580,"*Innovation")</f>
        <v>0</v>
      </c>
      <c r="G581">
        <f>COUNTIF('Metrics - Articles'!E580,"*Corporate*")</f>
        <v>0</v>
      </c>
      <c r="I581" s="53">
        <f t="shared" si="9"/>
        <v>0</v>
      </c>
    </row>
    <row r="582" spans="2:9" x14ac:dyDescent="0.25">
      <c r="B582" s="48">
        <f>+'Metrics - Articles'!C579</f>
        <v>0</v>
      </c>
      <c r="C582">
        <f>COUNTIF('Metrics - Articles'!E581,"*Sports*")</f>
        <v>0</v>
      </c>
      <c r="D582">
        <f>COUNTIF('Metrics - Articles'!E581,"*Youth*")</f>
        <v>0</v>
      </c>
      <c r="E582">
        <f>COUNTIF('Metrics - Articles'!E581,"*Healthcare*")</f>
        <v>0</v>
      </c>
      <c r="F582">
        <f>COUNTIF('Metrics - Articles'!E581,"*Innovation")</f>
        <v>0</v>
      </c>
      <c r="G582">
        <f>COUNTIF('Metrics - Articles'!E581,"*Corporate*")</f>
        <v>0</v>
      </c>
      <c r="I582" s="53">
        <f t="shared" si="9"/>
        <v>0</v>
      </c>
    </row>
    <row r="583" spans="2:9" x14ac:dyDescent="0.25">
      <c r="B583" s="48">
        <f>+'Metrics - Articles'!C580</f>
        <v>0</v>
      </c>
      <c r="C583">
        <f>COUNTIF('Metrics - Articles'!E582,"*Sports*")</f>
        <v>0</v>
      </c>
      <c r="D583">
        <f>COUNTIF('Metrics - Articles'!E582,"*Youth*")</f>
        <v>0</v>
      </c>
      <c r="E583">
        <f>COUNTIF('Metrics - Articles'!E582,"*Healthcare*")</f>
        <v>0</v>
      </c>
      <c r="F583">
        <f>COUNTIF('Metrics - Articles'!E582,"*Innovation")</f>
        <v>0</v>
      </c>
      <c r="G583">
        <f>COUNTIF('Metrics - Articles'!E582,"*Corporate*")</f>
        <v>0</v>
      </c>
      <c r="I583" s="53">
        <f t="shared" si="9"/>
        <v>0</v>
      </c>
    </row>
    <row r="584" spans="2:9" x14ac:dyDescent="0.25">
      <c r="B584" s="48">
        <f>+'Metrics - Articles'!C581</f>
        <v>0</v>
      </c>
      <c r="C584">
        <f>COUNTIF('Metrics - Articles'!E583,"*Sports*")</f>
        <v>0</v>
      </c>
      <c r="D584">
        <f>COUNTIF('Metrics - Articles'!E583,"*Youth*")</f>
        <v>0</v>
      </c>
      <c r="E584">
        <f>COUNTIF('Metrics - Articles'!E583,"*Healthcare*")</f>
        <v>0</v>
      </c>
      <c r="F584">
        <f>COUNTIF('Metrics - Articles'!E583,"*Innovation")</f>
        <v>0</v>
      </c>
      <c r="G584">
        <f>COUNTIF('Metrics - Articles'!E583,"*Corporate*")</f>
        <v>0</v>
      </c>
      <c r="I584" s="53">
        <f t="shared" ref="I584:I647" si="10">SUM(C584:H584)</f>
        <v>0</v>
      </c>
    </row>
    <row r="585" spans="2:9" x14ac:dyDescent="0.25">
      <c r="B585" s="48">
        <f>+'Metrics - Articles'!C582</f>
        <v>0</v>
      </c>
      <c r="C585">
        <f>COUNTIF('Metrics - Articles'!E584,"*Sports*")</f>
        <v>0</v>
      </c>
      <c r="D585">
        <f>COUNTIF('Metrics - Articles'!E584,"*Youth*")</f>
        <v>0</v>
      </c>
      <c r="E585">
        <f>COUNTIF('Metrics - Articles'!E584,"*Healthcare*")</f>
        <v>0</v>
      </c>
      <c r="F585">
        <f>COUNTIF('Metrics - Articles'!E584,"*Innovation")</f>
        <v>0</v>
      </c>
      <c r="G585">
        <f>COUNTIF('Metrics - Articles'!E584,"*Corporate*")</f>
        <v>0</v>
      </c>
      <c r="I585" s="53">
        <f t="shared" si="10"/>
        <v>0</v>
      </c>
    </row>
    <row r="586" spans="2:9" x14ac:dyDescent="0.25">
      <c r="B586" s="48">
        <f>+'Metrics - Articles'!C583</f>
        <v>0</v>
      </c>
      <c r="C586">
        <f>COUNTIF('Metrics - Articles'!E585,"*Sports*")</f>
        <v>0</v>
      </c>
      <c r="D586">
        <f>COUNTIF('Metrics - Articles'!E585,"*Youth*")</f>
        <v>0</v>
      </c>
      <c r="E586">
        <f>COUNTIF('Metrics - Articles'!E585,"*Healthcare*")</f>
        <v>0</v>
      </c>
      <c r="F586">
        <f>COUNTIF('Metrics - Articles'!E585,"*Innovation")</f>
        <v>0</v>
      </c>
      <c r="G586">
        <f>COUNTIF('Metrics - Articles'!E585,"*Corporate*")</f>
        <v>0</v>
      </c>
      <c r="I586" s="53">
        <f t="shared" si="10"/>
        <v>0</v>
      </c>
    </row>
    <row r="587" spans="2:9" x14ac:dyDescent="0.25">
      <c r="B587" s="48">
        <f>+'Metrics - Articles'!C584</f>
        <v>0</v>
      </c>
      <c r="C587">
        <f>COUNTIF('Metrics - Articles'!E586,"*Sports*")</f>
        <v>0</v>
      </c>
      <c r="D587">
        <f>COUNTIF('Metrics - Articles'!E586,"*Youth*")</f>
        <v>0</v>
      </c>
      <c r="E587">
        <f>COUNTIF('Metrics - Articles'!E586,"*Healthcare*")</f>
        <v>0</v>
      </c>
      <c r="F587">
        <f>COUNTIF('Metrics - Articles'!E586,"*Innovation")</f>
        <v>0</v>
      </c>
      <c r="G587">
        <f>COUNTIF('Metrics - Articles'!E586,"*Corporate*")</f>
        <v>0</v>
      </c>
      <c r="I587" s="53">
        <f t="shared" si="10"/>
        <v>0</v>
      </c>
    </row>
    <row r="588" spans="2:9" x14ac:dyDescent="0.25">
      <c r="B588" s="48">
        <f>+'Metrics - Articles'!C585</f>
        <v>0</v>
      </c>
      <c r="C588">
        <f>COUNTIF('Metrics - Articles'!E587,"*Sports*")</f>
        <v>0</v>
      </c>
      <c r="D588">
        <f>COUNTIF('Metrics - Articles'!E587,"*Youth*")</f>
        <v>0</v>
      </c>
      <c r="E588">
        <f>COUNTIF('Metrics - Articles'!E587,"*Healthcare*")</f>
        <v>0</v>
      </c>
      <c r="F588">
        <f>COUNTIF('Metrics - Articles'!E587,"*Innovation")</f>
        <v>0</v>
      </c>
      <c r="G588">
        <f>COUNTIF('Metrics - Articles'!E587,"*Corporate*")</f>
        <v>0</v>
      </c>
      <c r="I588" s="53">
        <f t="shared" si="10"/>
        <v>0</v>
      </c>
    </row>
    <row r="589" spans="2:9" x14ac:dyDescent="0.25">
      <c r="B589" s="48">
        <f>+'Metrics - Articles'!C586</f>
        <v>0</v>
      </c>
      <c r="C589">
        <f>COUNTIF('Metrics - Articles'!E588,"*Sports*")</f>
        <v>0</v>
      </c>
      <c r="D589">
        <f>COUNTIF('Metrics - Articles'!E588,"*Youth*")</f>
        <v>0</v>
      </c>
      <c r="E589">
        <f>COUNTIF('Metrics - Articles'!E588,"*Healthcare*")</f>
        <v>0</v>
      </c>
      <c r="F589">
        <f>COUNTIF('Metrics - Articles'!E588,"*Innovation")</f>
        <v>0</v>
      </c>
      <c r="G589">
        <f>COUNTIF('Metrics - Articles'!E588,"*Corporate*")</f>
        <v>0</v>
      </c>
      <c r="I589" s="53">
        <f t="shared" si="10"/>
        <v>0</v>
      </c>
    </row>
    <row r="590" spans="2:9" x14ac:dyDescent="0.25">
      <c r="B590" s="48">
        <f>+'Metrics - Articles'!C587</f>
        <v>0</v>
      </c>
      <c r="C590">
        <f>COUNTIF('Metrics - Articles'!E589,"*Sports*")</f>
        <v>0</v>
      </c>
      <c r="D590">
        <f>COUNTIF('Metrics - Articles'!E589,"*Youth*")</f>
        <v>0</v>
      </c>
      <c r="E590">
        <f>COUNTIF('Metrics - Articles'!E589,"*Healthcare*")</f>
        <v>0</v>
      </c>
      <c r="F590">
        <f>COUNTIF('Metrics - Articles'!E589,"*Innovation")</f>
        <v>0</v>
      </c>
      <c r="G590">
        <f>COUNTIF('Metrics - Articles'!E589,"*Corporate*")</f>
        <v>0</v>
      </c>
      <c r="I590" s="53">
        <f t="shared" si="10"/>
        <v>0</v>
      </c>
    </row>
    <row r="591" spans="2:9" x14ac:dyDescent="0.25">
      <c r="B591" s="48">
        <f>+'Metrics - Articles'!C588</f>
        <v>0</v>
      </c>
      <c r="C591">
        <f>COUNTIF('Metrics - Articles'!E590,"*Sports*")</f>
        <v>0</v>
      </c>
      <c r="D591">
        <f>COUNTIF('Metrics - Articles'!E590,"*Youth*")</f>
        <v>0</v>
      </c>
      <c r="E591">
        <f>COUNTIF('Metrics - Articles'!E590,"*Healthcare*")</f>
        <v>0</v>
      </c>
      <c r="F591">
        <f>COUNTIF('Metrics - Articles'!E590,"*Innovation")</f>
        <v>0</v>
      </c>
      <c r="G591">
        <f>COUNTIF('Metrics - Articles'!E590,"*Corporate*")</f>
        <v>0</v>
      </c>
      <c r="I591" s="53">
        <f t="shared" si="10"/>
        <v>0</v>
      </c>
    </row>
    <row r="592" spans="2:9" x14ac:dyDescent="0.25">
      <c r="B592" s="48">
        <f>+'Metrics - Articles'!C589</f>
        <v>0</v>
      </c>
      <c r="C592">
        <f>COUNTIF('Metrics - Articles'!E591,"*Sports*")</f>
        <v>0</v>
      </c>
      <c r="D592">
        <f>COUNTIF('Metrics - Articles'!E591,"*Youth*")</f>
        <v>0</v>
      </c>
      <c r="E592">
        <f>COUNTIF('Metrics - Articles'!E591,"*Healthcare*")</f>
        <v>0</v>
      </c>
      <c r="F592">
        <f>COUNTIF('Metrics - Articles'!E591,"*Innovation")</f>
        <v>0</v>
      </c>
      <c r="G592">
        <f>COUNTIF('Metrics - Articles'!E591,"*Corporate*")</f>
        <v>0</v>
      </c>
      <c r="I592" s="53">
        <f t="shared" si="10"/>
        <v>0</v>
      </c>
    </row>
    <row r="593" spans="2:9" x14ac:dyDescent="0.25">
      <c r="B593" s="48">
        <f>+'Metrics - Articles'!C590</f>
        <v>0</v>
      </c>
      <c r="C593">
        <f>COUNTIF('Metrics - Articles'!E592,"*Sports*")</f>
        <v>0</v>
      </c>
      <c r="D593">
        <f>COUNTIF('Metrics - Articles'!E592,"*Youth*")</f>
        <v>0</v>
      </c>
      <c r="E593">
        <f>COUNTIF('Metrics - Articles'!E592,"*Healthcare*")</f>
        <v>0</v>
      </c>
      <c r="F593">
        <f>COUNTIF('Metrics - Articles'!E592,"*Innovation")</f>
        <v>0</v>
      </c>
      <c r="G593">
        <f>COUNTIF('Metrics - Articles'!E592,"*Corporate*")</f>
        <v>0</v>
      </c>
      <c r="I593" s="53">
        <f t="shared" si="10"/>
        <v>0</v>
      </c>
    </row>
    <row r="594" spans="2:9" x14ac:dyDescent="0.25">
      <c r="B594" s="48">
        <f>+'Metrics - Articles'!C591</f>
        <v>0</v>
      </c>
      <c r="C594">
        <f>COUNTIF('Metrics - Articles'!E593,"*Sports*")</f>
        <v>0</v>
      </c>
      <c r="D594">
        <f>COUNTIF('Metrics - Articles'!E593,"*Youth*")</f>
        <v>0</v>
      </c>
      <c r="E594">
        <f>COUNTIF('Metrics - Articles'!E593,"*Healthcare*")</f>
        <v>0</v>
      </c>
      <c r="F594">
        <f>COUNTIF('Metrics - Articles'!E593,"*Innovation")</f>
        <v>0</v>
      </c>
      <c r="G594">
        <f>COUNTIF('Metrics - Articles'!E593,"*Corporate*")</f>
        <v>0</v>
      </c>
      <c r="I594" s="53">
        <f t="shared" si="10"/>
        <v>0</v>
      </c>
    </row>
    <row r="595" spans="2:9" x14ac:dyDescent="0.25">
      <c r="B595" s="48">
        <f>+'Metrics - Articles'!C592</f>
        <v>0</v>
      </c>
      <c r="C595">
        <f>COUNTIF('Metrics - Articles'!E594,"*Sports*")</f>
        <v>0</v>
      </c>
      <c r="D595">
        <f>COUNTIF('Metrics - Articles'!E594,"*Youth*")</f>
        <v>0</v>
      </c>
      <c r="E595">
        <f>COUNTIF('Metrics - Articles'!E594,"*Healthcare*")</f>
        <v>0</v>
      </c>
      <c r="F595">
        <f>COUNTIF('Metrics - Articles'!E594,"*Innovation")</f>
        <v>0</v>
      </c>
      <c r="G595">
        <f>COUNTIF('Metrics - Articles'!E594,"*Corporate*")</f>
        <v>0</v>
      </c>
      <c r="I595" s="53">
        <f t="shared" si="10"/>
        <v>0</v>
      </c>
    </row>
    <row r="596" spans="2:9" x14ac:dyDescent="0.25">
      <c r="B596" s="48">
        <f>+'Metrics - Articles'!C593</f>
        <v>0</v>
      </c>
      <c r="C596">
        <f>COUNTIF('Metrics - Articles'!E595,"*Sports*")</f>
        <v>0</v>
      </c>
      <c r="D596">
        <f>COUNTIF('Metrics - Articles'!E595,"*Youth*")</f>
        <v>0</v>
      </c>
      <c r="E596">
        <f>COUNTIF('Metrics - Articles'!E595,"*Healthcare*")</f>
        <v>0</v>
      </c>
      <c r="F596">
        <f>COUNTIF('Metrics - Articles'!E595,"*Innovation")</f>
        <v>0</v>
      </c>
      <c r="G596">
        <f>COUNTIF('Metrics - Articles'!E595,"*Corporate*")</f>
        <v>0</v>
      </c>
      <c r="I596" s="53">
        <f t="shared" si="10"/>
        <v>0</v>
      </c>
    </row>
    <row r="597" spans="2:9" x14ac:dyDescent="0.25">
      <c r="B597" s="48">
        <f>+'Metrics - Articles'!C594</f>
        <v>0</v>
      </c>
      <c r="C597">
        <f>COUNTIF('Metrics - Articles'!E596,"*Sports*")</f>
        <v>0</v>
      </c>
      <c r="D597">
        <f>COUNTIF('Metrics - Articles'!E596,"*Youth*")</f>
        <v>0</v>
      </c>
      <c r="E597">
        <f>COUNTIF('Metrics - Articles'!E596,"*Healthcare*")</f>
        <v>0</v>
      </c>
      <c r="F597">
        <f>COUNTIF('Metrics - Articles'!E596,"*Innovation")</f>
        <v>0</v>
      </c>
      <c r="G597">
        <f>COUNTIF('Metrics - Articles'!E596,"*Corporate*")</f>
        <v>0</v>
      </c>
      <c r="I597" s="53">
        <f t="shared" si="10"/>
        <v>0</v>
      </c>
    </row>
    <row r="598" spans="2:9" x14ac:dyDescent="0.25">
      <c r="B598" s="48">
        <f>+'Metrics - Articles'!C595</f>
        <v>0</v>
      </c>
      <c r="C598">
        <f>COUNTIF('Metrics - Articles'!E597,"*Sports*")</f>
        <v>0</v>
      </c>
      <c r="D598">
        <f>COUNTIF('Metrics - Articles'!E597,"*Youth*")</f>
        <v>0</v>
      </c>
      <c r="E598">
        <f>COUNTIF('Metrics - Articles'!E597,"*Healthcare*")</f>
        <v>0</v>
      </c>
      <c r="F598">
        <f>COUNTIF('Metrics - Articles'!E597,"*Innovation")</f>
        <v>0</v>
      </c>
      <c r="G598">
        <f>COUNTIF('Metrics - Articles'!E597,"*Corporate*")</f>
        <v>0</v>
      </c>
      <c r="I598" s="53">
        <f t="shared" si="10"/>
        <v>0</v>
      </c>
    </row>
    <row r="599" spans="2:9" x14ac:dyDescent="0.25">
      <c r="B599" s="48">
        <f>+'Metrics - Articles'!C596</f>
        <v>0</v>
      </c>
      <c r="C599">
        <f>COUNTIF('Metrics - Articles'!E598,"*Sports*")</f>
        <v>0</v>
      </c>
      <c r="D599">
        <f>COUNTIF('Metrics - Articles'!E598,"*Youth*")</f>
        <v>0</v>
      </c>
      <c r="E599">
        <f>COUNTIF('Metrics - Articles'!E598,"*Healthcare*")</f>
        <v>0</v>
      </c>
      <c r="F599">
        <f>COUNTIF('Metrics - Articles'!E598,"*Innovation")</f>
        <v>0</v>
      </c>
      <c r="G599">
        <f>COUNTIF('Metrics - Articles'!E598,"*Corporate*")</f>
        <v>0</v>
      </c>
      <c r="I599" s="53">
        <f t="shared" si="10"/>
        <v>0</v>
      </c>
    </row>
    <row r="600" spans="2:9" x14ac:dyDescent="0.25">
      <c r="B600" s="48">
        <f>+'Metrics - Articles'!C597</f>
        <v>0</v>
      </c>
      <c r="C600">
        <f>COUNTIF('Metrics - Articles'!E599,"*Sports*")</f>
        <v>0</v>
      </c>
      <c r="D600">
        <f>COUNTIF('Metrics - Articles'!E599,"*Youth*")</f>
        <v>0</v>
      </c>
      <c r="E600">
        <f>COUNTIF('Metrics - Articles'!E599,"*Healthcare*")</f>
        <v>0</v>
      </c>
      <c r="F600">
        <f>COUNTIF('Metrics - Articles'!E599,"*Innovation")</f>
        <v>0</v>
      </c>
      <c r="G600">
        <f>COUNTIF('Metrics - Articles'!E599,"*Corporate*")</f>
        <v>0</v>
      </c>
      <c r="I600" s="53">
        <f t="shared" si="10"/>
        <v>0</v>
      </c>
    </row>
    <row r="601" spans="2:9" x14ac:dyDescent="0.25">
      <c r="B601" s="48">
        <f>+'Metrics - Articles'!C598</f>
        <v>0</v>
      </c>
      <c r="C601">
        <f>COUNTIF('Metrics - Articles'!E600,"*Sports*")</f>
        <v>0</v>
      </c>
      <c r="D601">
        <f>COUNTIF('Metrics - Articles'!E600,"*Youth*")</f>
        <v>0</v>
      </c>
      <c r="E601">
        <f>COUNTIF('Metrics - Articles'!E600,"*Healthcare*")</f>
        <v>0</v>
      </c>
      <c r="F601">
        <f>COUNTIF('Metrics - Articles'!E600,"*Innovation")</f>
        <v>0</v>
      </c>
      <c r="G601">
        <f>COUNTIF('Metrics - Articles'!E600,"*Corporate*")</f>
        <v>0</v>
      </c>
      <c r="I601" s="53">
        <f t="shared" si="10"/>
        <v>0</v>
      </c>
    </row>
    <row r="602" spans="2:9" x14ac:dyDescent="0.25">
      <c r="B602" s="48">
        <f>+'Metrics - Articles'!C599</f>
        <v>0</v>
      </c>
      <c r="C602">
        <f>COUNTIF('Metrics - Articles'!E601,"*Sports*")</f>
        <v>0</v>
      </c>
      <c r="D602">
        <f>COUNTIF('Metrics - Articles'!E601,"*Youth*")</f>
        <v>0</v>
      </c>
      <c r="E602">
        <f>COUNTIF('Metrics - Articles'!E601,"*Healthcare*")</f>
        <v>0</v>
      </c>
      <c r="F602">
        <f>COUNTIF('Metrics - Articles'!E601,"*Innovation")</f>
        <v>0</v>
      </c>
      <c r="G602">
        <f>COUNTIF('Metrics - Articles'!E601,"*Corporate*")</f>
        <v>0</v>
      </c>
      <c r="I602" s="53">
        <f t="shared" si="10"/>
        <v>0</v>
      </c>
    </row>
    <row r="603" spans="2:9" x14ac:dyDescent="0.25">
      <c r="B603" s="48">
        <f>+'Metrics - Articles'!C600</f>
        <v>0</v>
      </c>
      <c r="C603">
        <f>COUNTIF('Metrics - Articles'!E602,"*Sports*")</f>
        <v>0</v>
      </c>
      <c r="D603">
        <f>COUNTIF('Metrics - Articles'!E602,"*Youth*")</f>
        <v>0</v>
      </c>
      <c r="E603">
        <f>COUNTIF('Metrics - Articles'!E602,"*Healthcare*")</f>
        <v>0</v>
      </c>
      <c r="F603">
        <f>COUNTIF('Metrics - Articles'!E602,"*Innovation")</f>
        <v>0</v>
      </c>
      <c r="G603">
        <f>COUNTIF('Metrics - Articles'!E602,"*Corporate*")</f>
        <v>0</v>
      </c>
      <c r="I603" s="53">
        <f t="shared" si="10"/>
        <v>0</v>
      </c>
    </row>
    <row r="604" spans="2:9" x14ac:dyDescent="0.25">
      <c r="B604" s="48">
        <f>+'Metrics - Articles'!C601</f>
        <v>0</v>
      </c>
      <c r="C604">
        <f>COUNTIF('Metrics - Articles'!E603,"*Sports*")</f>
        <v>0</v>
      </c>
      <c r="D604">
        <f>COUNTIF('Metrics - Articles'!E603,"*Youth*")</f>
        <v>0</v>
      </c>
      <c r="E604">
        <f>COUNTIF('Metrics - Articles'!E603,"*Healthcare*")</f>
        <v>0</v>
      </c>
      <c r="F604">
        <f>COUNTIF('Metrics - Articles'!E603,"*Innovation")</f>
        <v>0</v>
      </c>
      <c r="G604">
        <f>COUNTIF('Metrics - Articles'!E603,"*Corporate*")</f>
        <v>0</v>
      </c>
      <c r="I604" s="53">
        <f t="shared" si="10"/>
        <v>0</v>
      </c>
    </row>
    <row r="605" spans="2:9" x14ac:dyDescent="0.25">
      <c r="B605" s="48">
        <f>+'Metrics - Articles'!C602</f>
        <v>0</v>
      </c>
      <c r="C605">
        <f>COUNTIF('Metrics - Articles'!E604,"*Sports*")</f>
        <v>0</v>
      </c>
      <c r="D605">
        <f>COUNTIF('Metrics - Articles'!E604,"*Youth*")</f>
        <v>0</v>
      </c>
      <c r="E605">
        <f>COUNTIF('Metrics - Articles'!E604,"*Healthcare*")</f>
        <v>0</v>
      </c>
      <c r="F605">
        <f>COUNTIF('Metrics - Articles'!E604,"*Innovation")</f>
        <v>0</v>
      </c>
      <c r="G605">
        <f>COUNTIF('Metrics - Articles'!E604,"*Corporate*")</f>
        <v>0</v>
      </c>
      <c r="I605" s="53">
        <f t="shared" si="10"/>
        <v>0</v>
      </c>
    </row>
    <row r="606" spans="2:9" x14ac:dyDescent="0.25">
      <c r="B606" s="48">
        <f>+'Metrics - Articles'!C603</f>
        <v>0</v>
      </c>
      <c r="C606">
        <f>COUNTIF('Metrics - Articles'!E605,"*Sports*")</f>
        <v>0</v>
      </c>
      <c r="D606">
        <f>COUNTIF('Metrics - Articles'!E605,"*Youth*")</f>
        <v>0</v>
      </c>
      <c r="E606">
        <f>COUNTIF('Metrics - Articles'!E605,"*Healthcare*")</f>
        <v>0</v>
      </c>
      <c r="F606">
        <f>COUNTIF('Metrics - Articles'!E605,"*Innovation")</f>
        <v>0</v>
      </c>
      <c r="G606">
        <f>COUNTIF('Metrics - Articles'!E605,"*Corporate*")</f>
        <v>0</v>
      </c>
      <c r="I606" s="53">
        <f t="shared" si="10"/>
        <v>0</v>
      </c>
    </row>
    <row r="607" spans="2:9" x14ac:dyDescent="0.25">
      <c r="B607" s="48">
        <f>+'Metrics - Articles'!C604</f>
        <v>0</v>
      </c>
      <c r="C607">
        <f>COUNTIF('Metrics - Articles'!E606,"*Sports*")</f>
        <v>0</v>
      </c>
      <c r="D607">
        <f>COUNTIF('Metrics - Articles'!E606,"*Youth*")</f>
        <v>0</v>
      </c>
      <c r="E607">
        <f>COUNTIF('Metrics - Articles'!E606,"*Healthcare*")</f>
        <v>0</v>
      </c>
      <c r="F607">
        <f>COUNTIF('Metrics - Articles'!E606,"*Innovation")</f>
        <v>0</v>
      </c>
      <c r="G607">
        <f>COUNTIF('Metrics - Articles'!E606,"*Corporate*")</f>
        <v>0</v>
      </c>
      <c r="I607" s="53">
        <f t="shared" si="10"/>
        <v>0</v>
      </c>
    </row>
    <row r="608" spans="2:9" x14ac:dyDescent="0.25">
      <c r="B608" s="48">
        <f>+'Metrics - Articles'!C605</f>
        <v>0</v>
      </c>
      <c r="C608">
        <f>COUNTIF('Metrics - Articles'!E607,"*Sports*")</f>
        <v>0</v>
      </c>
      <c r="D608">
        <f>COUNTIF('Metrics - Articles'!E607,"*Youth*")</f>
        <v>0</v>
      </c>
      <c r="E608">
        <f>COUNTIF('Metrics - Articles'!E607,"*Healthcare*")</f>
        <v>0</v>
      </c>
      <c r="F608">
        <f>COUNTIF('Metrics - Articles'!E607,"*Innovation")</f>
        <v>0</v>
      </c>
      <c r="G608">
        <f>COUNTIF('Metrics - Articles'!E607,"*Corporate*")</f>
        <v>0</v>
      </c>
      <c r="I608" s="53">
        <f t="shared" si="10"/>
        <v>0</v>
      </c>
    </row>
    <row r="609" spans="2:9" x14ac:dyDescent="0.25">
      <c r="B609" s="48">
        <f>+'Metrics - Articles'!C606</f>
        <v>0</v>
      </c>
      <c r="C609">
        <f>COUNTIF('Metrics - Articles'!E608,"*Sports*")</f>
        <v>0</v>
      </c>
      <c r="D609">
        <f>COUNTIF('Metrics - Articles'!E608,"*Youth*")</f>
        <v>0</v>
      </c>
      <c r="E609">
        <f>COUNTIF('Metrics - Articles'!E608,"*Healthcare*")</f>
        <v>0</v>
      </c>
      <c r="F609">
        <f>COUNTIF('Metrics - Articles'!E608,"*Innovation")</f>
        <v>0</v>
      </c>
      <c r="G609">
        <f>COUNTIF('Metrics - Articles'!E608,"*Corporate*")</f>
        <v>0</v>
      </c>
      <c r="I609" s="53">
        <f t="shared" si="10"/>
        <v>0</v>
      </c>
    </row>
    <row r="610" spans="2:9" x14ac:dyDescent="0.25">
      <c r="B610" s="48">
        <f>+'Metrics - Articles'!C607</f>
        <v>0</v>
      </c>
      <c r="C610">
        <f>COUNTIF('Metrics - Articles'!E609,"*Sports*")</f>
        <v>0</v>
      </c>
      <c r="D610">
        <f>COUNTIF('Metrics - Articles'!E609,"*Youth*")</f>
        <v>0</v>
      </c>
      <c r="E610">
        <f>COUNTIF('Metrics - Articles'!E609,"*Healthcare*")</f>
        <v>0</v>
      </c>
      <c r="F610">
        <f>COUNTIF('Metrics - Articles'!E609,"*Innovation")</f>
        <v>0</v>
      </c>
      <c r="G610">
        <f>COUNTIF('Metrics - Articles'!E609,"*Corporate*")</f>
        <v>0</v>
      </c>
      <c r="I610" s="53">
        <f t="shared" si="10"/>
        <v>0</v>
      </c>
    </row>
    <row r="611" spans="2:9" x14ac:dyDescent="0.25">
      <c r="B611" s="48">
        <f>+'Metrics - Articles'!C608</f>
        <v>0</v>
      </c>
      <c r="C611">
        <f>COUNTIF('Metrics - Articles'!E610,"*Sports*")</f>
        <v>0</v>
      </c>
      <c r="D611">
        <f>COUNTIF('Metrics - Articles'!E610,"*Youth*")</f>
        <v>0</v>
      </c>
      <c r="E611">
        <f>COUNTIF('Metrics - Articles'!E610,"*Healthcare*")</f>
        <v>0</v>
      </c>
      <c r="F611">
        <f>COUNTIF('Metrics - Articles'!E610,"*Innovation")</f>
        <v>0</v>
      </c>
      <c r="G611">
        <f>COUNTIF('Metrics - Articles'!E610,"*Corporate*")</f>
        <v>0</v>
      </c>
      <c r="I611" s="53">
        <f t="shared" si="10"/>
        <v>0</v>
      </c>
    </row>
    <row r="612" spans="2:9" x14ac:dyDescent="0.25">
      <c r="B612" s="48">
        <f>+'Metrics - Articles'!C609</f>
        <v>0</v>
      </c>
      <c r="C612">
        <f>COUNTIF('Metrics - Articles'!E611,"*Sports*")</f>
        <v>0</v>
      </c>
      <c r="D612">
        <f>COUNTIF('Metrics - Articles'!E611,"*Youth*")</f>
        <v>0</v>
      </c>
      <c r="E612">
        <f>COUNTIF('Metrics - Articles'!E611,"*Healthcare*")</f>
        <v>0</v>
      </c>
      <c r="F612">
        <f>COUNTIF('Metrics - Articles'!E611,"*Innovation")</f>
        <v>0</v>
      </c>
      <c r="G612">
        <f>COUNTIF('Metrics - Articles'!E611,"*Corporate*")</f>
        <v>0</v>
      </c>
      <c r="I612" s="53">
        <f t="shared" si="10"/>
        <v>0</v>
      </c>
    </row>
    <row r="613" spans="2:9" x14ac:dyDescent="0.25">
      <c r="B613" s="48">
        <f>+'Metrics - Articles'!C610</f>
        <v>0</v>
      </c>
      <c r="C613">
        <f>COUNTIF('Metrics - Articles'!E612,"*Sports*")</f>
        <v>0</v>
      </c>
      <c r="D613">
        <f>COUNTIF('Metrics - Articles'!E612,"*Youth*")</f>
        <v>0</v>
      </c>
      <c r="E613">
        <f>COUNTIF('Metrics - Articles'!E612,"*Healthcare*")</f>
        <v>0</v>
      </c>
      <c r="F613">
        <f>COUNTIF('Metrics - Articles'!E612,"*Innovation")</f>
        <v>0</v>
      </c>
      <c r="G613">
        <f>COUNTIF('Metrics - Articles'!E612,"*Corporate*")</f>
        <v>0</v>
      </c>
      <c r="I613" s="53">
        <f t="shared" si="10"/>
        <v>0</v>
      </c>
    </row>
    <row r="614" spans="2:9" x14ac:dyDescent="0.25">
      <c r="B614" s="48">
        <f>+'Metrics - Articles'!C611</f>
        <v>0</v>
      </c>
      <c r="C614">
        <f>COUNTIF('Metrics - Articles'!E613,"*Sports*")</f>
        <v>0</v>
      </c>
      <c r="D614">
        <f>COUNTIF('Metrics - Articles'!E613,"*Youth*")</f>
        <v>0</v>
      </c>
      <c r="E614">
        <f>COUNTIF('Metrics - Articles'!E613,"*Healthcare*")</f>
        <v>0</v>
      </c>
      <c r="F614">
        <f>COUNTIF('Metrics - Articles'!E613,"*Innovation")</f>
        <v>0</v>
      </c>
      <c r="G614">
        <f>COUNTIF('Metrics - Articles'!E613,"*Corporate*")</f>
        <v>0</v>
      </c>
      <c r="I614" s="53">
        <f t="shared" si="10"/>
        <v>0</v>
      </c>
    </row>
    <row r="615" spans="2:9" x14ac:dyDescent="0.25">
      <c r="B615" s="48">
        <f>+'Metrics - Articles'!C612</f>
        <v>0</v>
      </c>
      <c r="C615">
        <f>COUNTIF('Metrics - Articles'!E614,"*Sports*")</f>
        <v>0</v>
      </c>
      <c r="D615">
        <f>COUNTIF('Metrics - Articles'!E614,"*Youth*")</f>
        <v>0</v>
      </c>
      <c r="E615">
        <f>COUNTIF('Metrics - Articles'!E614,"*Healthcare*")</f>
        <v>0</v>
      </c>
      <c r="F615">
        <f>COUNTIF('Metrics - Articles'!E614,"*Innovation")</f>
        <v>0</v>
      </c>
      <c r="G615">
        <f>COUNTIF('Metrics - Articles'!E614,"*Corporate*")</f>
        <v>0</v>
      </c>
      <c r="I615" s="53">
        <f t="shared" si="10"/>
        <v>0</v>
      </c>
    </row>
    <row r="616" spans="2:9" x14ac:dyDescent="0.25">
      <c r="B616" s="48">
        <f>+'Metrics - Articles'!C613</f>
        <v>0</v>
      </c>
      <c r="C616">
        <f>COUNTIF('Metrics - Articles'!E615,"*Sports*")</f>
        <v>0</v>
      </c>
      <c r="D616">
        <f>COUNTIF('Metrics - Articles'!E615,"*Youth*")</f>
        <v>0</v>
      </c>
      <c r="E616">
        <f>COUNTIF('Metrics - Articles'!E615,"*Healthcare*")</f>
        <v>0</v>
      </c>
      <c r="F616">
        <f>COUNTIF('Metrics - Articles'!E615,"*Innovation")</f>
        <v>0</v>
      </c>
      <c r="G616">
        <f>COUNTIF('Metrics - Articles'!E615,"*Corporate*")</f>
        <v>0</v>
      </c>
      <c r="I616" s="53">
        <f t="shared" si="10"/>
        <v>0</v>
      </c>
    </row>
    <row r="617" spans="2:9" x14ac:dyDescent="0.25">
      <c r="B617" s="48">
        <f>+'Metrics - Articles'!C614</f>
        <v>0</v>
      </c>
      <c r="C617">
        <f>COUNTIF('Metrics - Articles'!E616,"*Sports*")</f>
        <v>0</v>
      </c>
      <c r="D617">
        <f>COUNTIF('Metrics - Articles'!E616,"*Youth*")</f>
        <v>0</v>
      </c>
      <c r="E617">
        <f>COUNTIF('Metrics - Articles'!E616,"*Healthcare*")</f>
        <v>0</v>
      </c>
      <c r="F617">
        <f>COUNTIF('Metrics - Articles'!E616,"*Innovation")</f>
        <v>0</v>
      </c>
      <c r="G617">
        <f>COUNTIF('Metrics - Articles'!E616,"*Corporate*")</f>
        <v>0</v>
      </c>
      <c r="I617" s="53">
        <f t="shared" si="10"/>
        <v>0</v>
      </c>
    </row>
    <row r="618" spans="2:9" x14ac:dyDescent="0.25">
      <c r="B618" s="48">
        <f>+'Metrics - Articles'!C615</f>
        <v>0</v>
      </c>
      <c r="C618">
        <f>COUNTIF('Metrics - Articles'!E617,"*Sports*")</f>
        <v>0</v>
      </c>
      <c r="D618">
        <f>COUNTIF('Metrics - Articles'!E617,"*Youth*")</f>
        <v>0</v>
      </c>
      <c r="E618">
        <f>COUNTIF('Metrics - Articles'!E617,"*Healthcare*")</f>
        <v>0</v>
      </c>
      <c r="F618">
        <f>COUNTIF('Metrics - Articles'!E617,"*Innovation")</f>
        <v>0</v>
      </c>
      <c r="G618">
        <f>COUNTIF('Metrics - Articles'!E617,"*Corporate*")</f>
        <v>0</v>
      </c>
      <c r="I618" s="53">
        <f t="shared" si="10"/>
        <v>0</v>
      </c>
    </row>
    <row r="619" spans="2:9" x14ac:dyDescent="0.25">
      <c r="B619" s="48">
        <f>+'Metrics - Articles'!C616</f>
        <v>0</v>
      </c>
      <c r="C619">
        <f>COUNTIF('Metrics - Articles'!E618,"*Sports*")</f>
        <v>0</v>
      </c>
      <c r="D619">
        <f>COUNTIF('Metrics - Articles'!E618,"*Youth*")</f>
        <v>0</v>
      </c>
      <c r="E619">
        <f>COUNTIF('Metrics - Articles'!E618,"*Healthcare*")</f>
        <v>0</v>
      </c>
      <c r="F619">
        <f>COUNTIF('Metrics - Articles'!E618,"*Innovation")</f>
        <v>0</v>
      </c>
      <c r="G619">
        <f>COUNTIF('Metrics - Articles'!E618,"*Corporate*")</f>
        <v>0</v>
      </c>
      <c r="I619" s="53">
        <f t="shared" si="10"/>
        <v>0</v>
      </c>
    </row>
    <row r="620" spans="2:9" x14ac:dyDescent="0.25">
      <c r="B620" s="48">
        <f>+'Metrics - Articles'!C617</f>
        <v>0</v>
      </c>
      <c r="C620">
        <f>COUNTIF('Metrics - Articles'!E619,"*Sports*")</f>
        <v>0</v>
      </c>
      <c r="D620">
        <f>COUNTIF('Metrics - Articles'!E619,"*Youth*")</f>
        <v>0</v>
      </c>
      <c r="E620">
        <f>COUNTIF('Metrics - Articles'!E619,"*Healthcare*")</f>
        <v>0</v>
      </c>
      <c r="F620">
        <f>COUNTIF('Metrics - Articles'!E619,"*Innovation")</f>
        <v>0</v>
      </c>
      <c r="G620">
        <f>COUNTIF('Metrics - Articles'!E619,"*Corporate*")</f>
        <v>0</v>
      </c>
      <c r="I620" s="53">
        <f t="shared" si="10"/>
        <v>0</v>
      </c>
    </row>
    <row r="621" spans="2:9" x14ac:dyDescent="0.25">
      <c r="B621" s="48">
        <f>+'Metrics - Articles'!C618</f>
        <v>0</v>
      </c>
      <c r="C621">
        <f>COUNTIF('Metrics - Articles'!E620,"*Sports*")</f>
        <v>0</v>
      </c>
      <c r="D621">
        <f>COUNTIF('Metrics - Articles'!E620,"*Youth*")</f>
        <v>0</v>
      </c>
      <c r="E621">
        <f>COUNTIF('Metrics - Articles'!E620,"*Healthcare*")</f>
        <v>0</v>
      </c>
      <c r="F621">
        <f>COUNTIF('Metrics - Articles'!E620,"*Innovation")</f>
        <v>0</v>
      </c>
      <c r="G621">
        <f>COUNTIF('Metrics - Articles'!E620,"*Corporate*")</f>
        <v>0</v>
      </c>
      <c r="I621" s="53">
        <f t="shared" si="10"/>
        <v>0</v>
      </c>
    </row>
    <row r="622" spans="2:9" x14ac:dyDescent="0.25">
      <c r="B622" s="48">
        <f>+'Metrics - Articles'!C619</f>
        <v>0</v>
      </c>
      <c r="C622">
        <f>COUNTIF('Metrics - Articles'!E621,"*Sports*")</f>
        <v>0</v>
      </c>
      <c r="D622">
        <f>COUNTIF('Metrics - Articles'!E621,"*Youth*")</f>
        <v>0</v>
      </c>
      <c r="E622">
        <f>COUNTIF('Metrics - Articles'!E621,"*Healthcare*")</f>
        <v>0</v>
      </c>
      <c r="F622">
        <f>COUNTIF('Metrics - Articles'!E621,"*Innovation")</f>
        <v>0</v>
      </c>
      <c r="G622">
        <f>COUNTIF('Metrics - Articles'!E621,"*Corporate*")</f>
        <v>0</v>
      </c>
      <c r="I622" s="53">
        <f t="shared" si="10"/>
        <v>0</v>
      </c>
    </row>
    <row r="623" spans="2:9" x14ac:dyDescent="0.25">
      <c r="B623" s="48">
        <f>+'Metrics - Articles'!C620</f>
        <v>0</v>
      </c>
      <c r="C623">
        <f>COUNTIF('Metrics - Articles'!E622,"*Sports*")</f>
        <v>0</v>
      </c>
      <c r="D623">
        <f>COUNTIF('Metrics - Articles'!E622,"*Youth*")</f>
        <v>0</v>
      </c>
      <c r="E623">
        <f>COUNTIF('Metrics - Articles'!E622,"*Healthcare*")</f>
        <v>0</v>
      </c>
      <c r="F623">
        <f>COUNTIF('Metrics - Articles'!E622,"*Innovation")</f>
        <v>0</v>
      </c>
      <c r="G623">
        <f>COUNTIF('Metrics - Articles'!E622,"*Corporate*")</f>
        <v>0</v>
      </c>
      <c r="I623" s="53">
        <f t="shared" si="10"/>
        <v>0</v>
      </c>
    </row>
    <row r="624" spans="2:9" x14ac:dyDescent="0.25">
      <c r="B624" s="48">
        <f>+'Metrics - Articles'!C621</f>
        <v>0</v>
      </c>
      <c r="C624">
        <f>COUNTIF('Metrics - Articles'!E623,"*Sports*")</f>
        <v>0</v>
      </c>
      <c r="D624">
        <f>COUNTIF('Metrics - Articles'!E623,"*Youth*")</f>
        <v>0</v>
      </c>
      <c r="E624">
        <f>COUNTIF('Metrics - Articles'!E623,"*Healthcare*")</f>
        <v>0</v>
      </c>
      <c r="F624">
        <f>COUNTIF('Metrics - Articles'!E623,"*Innovation")</f>
        <v>0</v>
      </c>
      <c r="G624">
        <f>COUNTIF('Metrics - Articles'!E623,"*Corporate*")</f>
        <v>0</v>
      </c>
      <c r="I624" s="53">
        <f t="shared" si="10"/>
        <v>0</v>
      </c>
    </row>
    <row r="625" spans="2:9" x14ac:dyDescent="0.25">
      <c r="B625" s="48">
        <f>+'Metrics - Articles'!C622</f>
        <v>0</v>
      </c>
      <c r="C625">
        <f>COUNTIF('Metrics - Articles'!E624,"*Sports*")</f>
        <v>0</v>
      </c>
      <c r="D625">
        <f>COUNTIF('Metrics - Articles'!E624,"*Youth*")</f>
        <v>0</v>
      </c>
      <c r="E625">
        <f>COUNTIF('Metrics - Articles'!E624,"*Healthcare*")</f>
        <v>0</v>
      </c>
      <c r="F625">
        <f>COUNTIF('Metrics - Articles'!E624,"*Innovation")</f>
        <v>0</v>
      </c>
      <c r="G625">
        <f>COUNTIF('Metrics - Articles'!E624,"*Corporate*")</f>
        <v>0</v>
      </c>
      <c r="I625" s="53">
        <f t="shared" si="10"/>
        <v>0</v>
      </c>
    </row>
    <row r="626" spans="2:9" x14ac:dyDescent="0.25">
      <c r="B626" s="48">
        <f>+'Metrics - Articles'!C623</f>
        <v>0</v>
      </c>
      <c r="C626">
        <f>COUNTIF('Metrics - Articles'!E625,"*Sports*")</f>
        <v>0</v>
      </c>
      <c r="D626">
        <f>COUNTIF('Metrics - Articles'!E625,"*Youth*")</f>
        <v>0</v>
      </c>
      <c r="E626">
        <f>COUNTIF('Metrics - Articles'!E625,"*Healthcare*")</f>
        <v>0</v>
      </c>
      <c r="F626">
        <f>COUNTIF('Metrics - Articles'!E625,"*Innovation")</f>
        <v>0</v>
      </c>
      <c r="G626">
        <f>COUNTIF('Metrics - Articles'!E625,"*Corporate*")</f>
        <v>0</v>
      </c>
      <c r="I626" s="53">
        <f t="shared" si="10"/>
        <v>0</v>
      </c>
    </row>
    <row r="627" spans="2:9" x14ac:dyDescent="0.25">
      <c r="B627" s="48">
        <f>+'Metrics - Articles'!C624</f>
        <v>0</v>
      </c>
      <c r="C627">
        <f>COUNTIF('Metrics - Articles'!E626,"*Sports*")</f>
        <v>0</v>
      </c>
      <c r="D627">
        <f>COUNTIF('Metrics - Articles'!E626,"*Youth*")</f>
        <v>0</v>
      </c>
      <c r="E627">
        <f>COUNTIF('Metrics - Articles'!E626,"*Healthcare*")</f>
        <v>0</v>
      </c>
      <c r="F627">
        <f>COUNTIF('Metrics - Articles'!E626,"*Innovation")</f>
        <v>0</v>
      </c>
      <c r="G627">
        <f>COUNTIF('Metrics - Articles'!E626,"*Corporate*")</f>
        <v>0</v>
      </c>
      <c r="I627" s="53">
        <f t="shared" si="10"/>
        <v>0</v>
      </c>
    </row>
    <row r="628" spans="2:9" x14ac:dyDescent="0.25">
      <c r="B628" s="48">
        <f>+'Metrics - Articles'!C625</f>
        <v>0</v>
      </c>
      <c r="C628">
        <f>COUNTIF('Metrics - Articles'!E627,"*Sports*")</f>
        <v>0</v>
      </c>
      <c r="D628">
        <f>COUNTIF('Metrics - Articles'!E627,"*Youth*")</f>
        <v>0</v>
      </c>
      <c r="E628">
        <f>COUNTIF('Metrics - Articles'!E627,"*Healthcare*")</f>
        <v>0</v>
      </c>
      <c r="F628">
        <f>COUNTIF('Metrics - Articles'!E627,"*Innovation")</f>
        <v>0</v>
      </c>
      <c r="G628">
        <f>COUNTIF('Metrics - Articles'!E627,"*Corporate*")</f>
        <v>0</v>
      </c>
      <c r="I628" s="53">
        <f t="shared" si="10"/>
        <v>0</v>
      </c>
    </row>
    <row r="629" spans="2:9" x14ac:dyDescent="0.25">
      <c r="B629" s="48">
        <f>+'Metrics - Articles'!C626</f>
        <v>0</v>
      </c>
      <c r="C629">
        <f>COUNTIF('Metrics - Articles'!E628,"*Sports*")</f>
        <v>0</v>
      </c>
      <c r="D629">
        <f>COUNTIF('Metrics - Articles'!E628,"*Youth*")</f>
        <v>0</v>
      </c>
      <c r="E629">
        <f>COUNTIF('Metrics - Articles'!E628,"*Healthcare*")</f>
        <v>0</v>
      </c>
      <c r="F629">
        <f>COUNTIF('Metrics - Articles'!E628,"*Innovation")</f>
        <v>0</v>
      </c>
      <c r="G629">
        <f>COUNTIF('Metrics - Articles'!E628,"*Corporate*")</f>
        <v>0</v>
      </c>
      <c r="I629" s="53">
        <f t="shared" si="10"/>
        <v>0</v>
      </c>
    </row>
    <row r="630" spans="2:9" x14ac:dyDescent="0.25">
      <c r="B630" s="48">
        <f>+'Metrics - Articles'!C627</f>
        <v>0</v>
      </c>
      <c r="C630">
        <f>COUNTIF('Metrics - Articles'!E629,"*Sports*")</f>
        <v>0</v>
      </c>
      <c r="D630">
        <f>COUNTIF('Metrics - Articles'!E629,"*Youth*")</f>
        <v>0</v>
      </c>
      <c r="E630">
        <f>COUNTIF('Metrics - Articles'!E629,"*Healthcare*")</f>
        <v>0</v>
      </c>
      <c r="F630">
        <f>COUNTIF('Metrics - Articles'!E629,"*Innovation")</f>
        <v>0</v>
      </c>
      <c r="G630">
        <f>COUNTIF('Metrics - Articles'!E629,"*Corporate*")</f>
        <v>0</v>
      </c>
      <c r="I630" s="53">
        <f t="shared" si="10"/>
        <v>0</v>
      </c>
    </row>
    <row r="631" spans="2:9" x14ac:dyDescent="0.25">
      <c r="B631" s="48">
        <f>+'Metrics - Articles'!C628</f>
        <v>0</v>
      </c>
      <c r="C631">
        <f>COUNTIF('Metrics - Articles'!E630,"*Sports*")</f>
        <v>0</v>
      </c>
      <c r="D631">
        <f>COUNTIF('Metrics - Articles'!E630,"*Youth*")</f>
        <v>0</v>
      </c>
      <c r="E631">
        <f>COUNTIF('Metrics - Articles'!E630,"*Healthcare*")</f>
        <v>0</v>
      </c>
      <c r="F631">
        <f>COUNTIF('Metrics - Articles'!E630,"*Innovation")</f>
        <v>0</v>
      </c>
      <c r="G631">
        <f>COUNTIF('Metrics - Articles'!E630,"*Corporate*")</f>
        <v>0</v>
      </c>
      <c r="I631" s="53">
        <f t="shared" si="10"/>
        <v>0</v>
      </c>
    </row>
    <row r="632" spans="2:9" x14ac:dyDescent="0.25">
      <c r="B632" s="48">
        <f>+'Metrics - Articles'!C629</f>
        <v>0</v>
      </c>
      <c r="C632">
        <f>COUNTIF('Metrics - Articles'!E631,"*Sports*")</f>
        <v>0</v>
      </c>
      <c r="D632">
        <f>COUNTIF('Metrics - Articles'!E631,"*Youth*")</f>
        <v>0</v>
      </c>
      <c r="E632">
        <f>COUNTIF('Metrics - Articles'!E631,"*Healthcare*")</f>
        <v>0</v>
      </c>
      <c r="F632">
        <f>COUNTIF('Metrics - Articles'!E631,"*Innovation")</f>
        <v>0</v>
      </c>
      <c r="G632">
        <f>COUNTIF('Metrics - Articles'!E631,"*Corporate*")</f>
        <v>0</v>
      </c>
      <c r="I632" s="53">
        <f t="shared" si="10"/>
        <v>0</v>
      </c>
    </row>
    <row r="633" spans="2:9" x14ac:dyDescent="0.25">
      <c r="B633" s="48">
        <f>+'Metrics - Articles'!C630</f>
        <v>0</v>
      </c>
      <c r="C633">
        <f>COUNTIF('Metrics - Articles'!E632,"*Sports*")</f>
        <v>0</v>
      </c>
      <c r="D633">
        <f>COUNTIF('Metrics - Articles'!E632,"*Youth*")</f>
        <v>0</v>
      </c>
      <c r="E633">
        <f>COUNTIF('Metrics - Articles'!E632,"*Healthcare*")</f>
        <v>0</v>
      </c>
      <c r="F633">
        <f>COUNTIF('Metrics - Articles'!E632,"*Innovation")</f>
        <v>0</v>
      </c>
      <c r="G633">
        <f>COUNTIF('Metrics - Articles'!E632,"*Corporate*")</f>
        <v>0</v>
      </c>
      <c r="I633" s="53">
        <f t="shared" si="10"/>
        <v>0</v>
      </c>
    </row>
    <row r="634" spans="2:9" x14ac:dyDescent="0.25">
      <c r="B634" s="48">
        <f>+'Metrics - Articles'!C631</f>
        <v>0</v>
      </c>
      <c r="C634">
        <f>COUNTIF('Metrics - Articles'!E633,"*Sports*")</f>
        <v>0</v>
      </c>
      <c r="D634">
        <f>COUNTIF('Metrics - Articles'!E633,"*Youth*")</f>
        <v>0</v>
      </c>
      <c r="E634">
        <f>COUNTIF('Metrics - Articles'!E633,"*Healthcare*")</f>
        <v>0</v>
      </c>
      <c r="F634">
        <f>COUNTIF('Metrics - Articles'!E633,"*Innovation")</f>
        <v>0</v>
      </c>
      <c r="G634">
        <f>COUNTIF('Metrics - Articles'!E633,"*Corporate*")</f>
        <v>0</v>
      </c>
      <c r="I634" s="53">
        <f t="shared" si="10"/>
        <v>0</v>
      </c>
    </row>
    <row r="635" spans="2:9" x14ac:dyDescent="0.25">
      <c r="B635" s="48">
        <f>+'Metrics - Articles'!C632</f>
        <v>0</v>
      </c>
      <c r="C635">
        <f>COUNTIF('Metrics - Articles'!E634,"*Sports*")</f>
        <v>0</v>
      </c>
      <c r="D635">
        <f>COUNTIF('Metrics - Articles'!E634,"*Youth*")</f>
        <v>0</v>
      </c>
      <c r="E635">
        <f>COUNTIF('Metrics - Articles'!E634,"*Healthcare*")</f>
        <v>0</v>
      </c>
      <c r="F635">
        <f>COUNTIF('Metrics - Articles'!E634,"*Innovation")</f>
        <v>0</v>
      </c>
      <c r="G635">
        <f>COUNTIF('Metrics - Articles'!E634,"*Corporate*")</f>
        <v>0</v>
      </c>
      <c r="I635" s="53">
        <f t="shared" si="10"/>
        <v>0</v>
      </c>
    </row>
    <row r="636" spans="2:9" x14ac:dyDescent="0.25">
      <c r="B636" s="48">
        <f>+'Metrics - Articles'!C633</f>
        <v>0</v>
      </c>
      <c r="C636">
        <f>COUNTIF('Metrics - Articles'!E635,"*Sports*")</f>
        <v>0</v>
      </c>
      <c r="D636">
        <f>COUNTIF('Metrics - Articles'!E635,"*Youth*")</f>
        <v>0</v>
      </c>
      <c r="E636">
        <f>COUNTIF('Metrics - Articles'!E635,"*Healthcare*")</f>
        <v>0</v>
      </c>
      <c r="F636">
        <f>COUNTIF('Metrics - Articles'!E635,"*Innovation")</f>
        <v>0</v>
      </c>
      <c r="G636">
        <f>COUNTIF('Metrics - Articles'!E635,"*Corporate*")</f>
        <v>0</v>
      </c>
      <c r="I636" s="53">
        <f t="shared" si="10"/>
        <v>0</v>
      </c>
    </row>
    <row r="637" spans="2:9" x14ac:dyDescent="0.25">
      <c r="B637" s="48">
        <f>+'Metrics - Articles'!C634</f>
        <v>0</v>
      </c>
      <c r="C637">
        <f>COUNTIF('Metrics - Articles'!E636,"*Sports*")</f>
        <v>0</v>
      </c>
      <c r="D637">
        <f>COUNTIF('Metrics - Articles'!E636,"*Youth*")</f>
        <v>0</v>
      </c>
      <c r="E637">
        <f>COUNTIF('Metrics - Articles'!E636,"*Healthcare*")</f>
        <v>0</v>
      </c>
      <c r="F637">
        <f>COUNTIF('Metrics - Articles'!E636,"*Innovation")</f>
        <v>0</v>
      </c>
      <c r="G637">
        <f>COUNTIF('Metrics - Articles'!E636,"*Corporate*")</f>
        <v>0</v>
      </c>
      <c r="I637" s="53">
        <f t="shared" si="10"/>
        <v>0</v>
      </c>
    </row>
    <row r="638" spans="2:9" x14ac:dyDescent="0.25">
      <c r="B638" s="48">
        <f>+'Metrics - Articles'!C635</f>
        <v>0</v>
      </c>
      <c r="C638">
        <f>COUNTIF('Metrics - Articles'!E637,"*Sports*")</f>
        <v>0</v>
      </c>
      <c r="D638">
        <f>COUNTIF('Metrics - Articles'!E637,"*Youth*")</f>
        <v>0</v>
      </c>
      <c r="E638">
        <f>COUNTIF('Metrics - Articles'!E637,"*Healthcare*")</f>
        <v>0</v>
      </c>
      <c r="F638">
        <f>COUNTIF('Metrics - Articles'!E637,"*Innovation")</f>
        <v>0</v>
      </c>
      <c r="G638">
        <f>COUNTIF('Metrics - Articles'!E637,"*Corporate*")</f>
        <v>0</v>
      </c>
      <c r="I638" s="53">
        <f t="shared" si="10"/>
        <v>0</v>
      </c>
    </row>
    <row r="639" spans="2:9" x14ac:dyDescent="0.25">
      <c r="B639" s="48">
        <f>+'Metrics - Articles'!C636</f>
        <v>0</v>
      </c>
      <c r="C639">
        <f>COUNTIF('Metrics - Articles'!E638,"*Sports*")</f>
        <v>0</v>
      </c>
      <c r="D639">
        <f>COUNTIF('Metrics - Articles'!E638,"*Youth*")</f>
        <v>0</v>
      </c>
      <c r="E639">
        <f>COUNTIF('Metrics - Articles'!E638,"*Healthcare*")</f>
        <v>0</v>
      </c>
      <c r="F639">
        <f>COUNTIF('Metrics - Articles'!E638,"*Innovation")</f>
        <v>0</v>
      </c>
      <c r="G639">
        <f>COUNTIF('Metrics - Articles'!E638,"*Corporate*")</f>
        <v>0</v>
      </c>
      <c r="I639" s="53">
        <f t="shared" si="10"/>
        <v>0</v>
      </c>
    </row>
    <row r="640" spans="2:9" x14ac:dyDescent="0.25">
      <c r="B640" s="48">
        <f>+'Metrics - Articles'!C637</f>
        <v>0</v>
      </c>
      <c r="C640">
        <f>COUNTIF('Metrics - Articles'!E639,"*Sports*")</f>
        <v>0</v>
      </c>
      <c r="D640">
        <f>COUNTIF('Metrics - Articles'!E639,"*Youth*")</f>
        <v>0</v>
      </c>
      <c r="E640">
        <f>COUNTIF('Metrics - Articles'!E639,"*Healthcare*")</f>
        <v>0</v>
      </c>
      <c r="F640">
        <f>COUNTIF('Metrics - Articles'!E639,"*Innovation")</f>
        <v>0</v>
      </c>
      <c r="G640">
        <f>COUNTIF('Metrics - Articles'!E639,"*Corporate*")</f>
        <v>0</v>
      </c>
      <c r="I640" s="53">
        <f t="shared" si="10"/>
        <v>0</v>
      </c>
    </row>
    <row r="641" spans="2:9" x14ac:dyDescent="0.25">
      <c r="B641" s="48">
        <f>+'Metrics - Articles'!C638</f>
        <v>0</v>
      </c>
      <c r="C641">
        <f>COUNTIF('Metrics - Articles'!E640,"*Sports*")</f>
        <v>0</v>
      </c>
      <c r="D641">
        <f>COUNTIF('Metrics - Articles'!E640,"*Youth*")</f>
        <v>0</v>
      </c>
      <c r="E641">
        <f>COUNTIF('Metrics - Articles'!E640,"*Healthcare*")</f>
        <v>0</v>
      </c>
      <c r="F641">
        <f>COUNTIF('Metrics - Articles'!E640,"*Innovation")</f>
        <v>0</v>
      </c>
      <c r="G641">
        <f>COUNTIF('Metrics - Articles'!E640,"*Corporate*")</f>
        <v>0</v>
      </c>
      <c r="I641" s="53">
        <f t="shared" si="10"/>
        <v>0</v>
      </c>
    </row>
    <row r="642" spans="2:9" x14ac:dyDescent="0.25">
      <c r="B642" s="48">
        <f>+'Metrics - Articles'!C639</f>
        <v>0</v>
      </c>
      <c r="C642">
        <f>COUNTIF('Metrics - Articles'!E641,"*Sports*")</f>
        <v>0</v>
      </c>
      <c r="D642">
        <f>COUNTIF('Metrics - Articles'!E641,"*Youth*")</f>
        <v>0</v>
      </c>
      <c r="E642">
        <f>COUNTIF('Metrics - Articles'!E641,"*Healthcare*")</f>
        <v>0</v>
      </c>
      <c r="F642">
        <f>COUNTIF('Metrics - Articles'!E641,"*Innovation")</f>
        <v>0</v>
      </c>
      <c r="G642">
        <f>COUNTIF('Metrics - Articles'!E641,"*Corporate*")</f>
        <v>0</v>
      </c>
      <c r="I642" s="53">
        <f t="shared" si="10"/>
        <v>0</v>
      </c>
    </row>
    <row r="643" spans="2:9" x14ac:dyDescent="0.25">
      <c r="B643" s="48">
        <f>+'Metrics - Articles'!C640</f>
        <v>0</v>
      </c>
      <c r="C643">
        <f>COUNTIF('Metrics - Articles'!E642,"*Sports*")</f>
        <v>0</v>
      </c>
      <c r="D643">
        <f>COUNTIF('Metrics - Articles'!E642,"*Youth*")</f>
        <v>0</v>
      </c>
      <c r="E643">
        <f>COUNTIF('Metrics - Articles'!E642,"*Healthcare*")</f>
        <v>0</v>
      </c>
      <c r="F643">
        <f>COUNTIF('Metrics - Articles'!E642,"*Innovation")</f>
        <v>0</v>
      </c>
      <c r="G643">
        <f>COUNTIF('Metrics - Articles'!E642,"*Corporate*")</f>
        <v>0</v>
      </c>
      <c r="I643" s="53">
        <f t="shared" si="10"/>
        <v>0</v>
      </c>
    </row>
    <row r="644" spans="2:9" x14ac:dyDescent="0.25">
      <c r="B644" s="48">
        <f>+'Metrics - Articles'!C641</f>
        <v>0</v>
      </c>
      <c r="C644">
        <f>COUNTIF('Metrics - Articles'!E643,"*Sports*")</f>
        <v>0</v>
      </c>
      <c r="D644">
        <f>COUNTIF('Metrics - Articles'!E643,"*Youth*")</f>
        <v>0</v>
      </c>
      <c r="E644">
        <f>COUNTIF('Metrics - Articles'!E643,"*Healthcare*")</f>
        <v>0</v>
      </c>
      <c r="F644">
        <f>COUNTIF('Metrics - Articles'!E643,"*Innovation")</f>
        <v>0</v>
      </c>
      <c r="G644">
        <f>COUNTIF('Metrics - Articles'!E643,"*Corporate*")</f>
        <v>0</v>
      </c>
      <c r="I644" s="53">
        <f t="shared" si="10"/>
        <v>0</v>
      </c>
    </row>
    <row r="645" spans="2:9" x14ac:dyDescent="0.25">
      <c r="B645" s="48">
        <f>+'Metrics - Articles'!C642</f>
        <v>0</v>
      </c>
      <c r="C645">
        <f>COUNTIF('Metrics - Articles'!E644,"*Sports*")</f>
        <v>0</v>
      </c>
      <c r="D645">
        <f>COUNTIF('Metrics - Articles'!E644,"*Youth*")</f>
        <v>0</v>
      </c>
      <c r="E645">
        <f>COUNTIF('Metrics - Articles'!E644,"*Healthcare*")</f>
        <v>0</v>
      </c>
      <c r="F645">
        <f>COUNTIF('Metrics - Articles'!E644,"*Innovation")</f>
        <v>0</v>
      </c>
      <c r="G645">
        <f>COUNTIF('Metrics - Articles'!E644,"*Corporate*")</f>
        <v>0</v>
      </c>
      <c r="I645" s="53">
        <f t="shared" si="10"/>
        <v>0</v>
      </c>
    </row>
    <row r="646" spans="2:9" x14ac:dyDescent="0.25">
      <c r="B646" s="48">
        <f>+'Metrics - Articles'!C643</f>
        <v>0</v>
      </c>
      <c r="C646">
        <f>COUNTIF('Metrics - Articles'!E645,"*Sports*")</f>
        <v>0</v>
      </c>
      <c r="D646">
        <f>COUNTIF('Metrics - Articles'!E645,"*Youth*")</f>
        <v>0</v>
      </c>
      <c r="E646">
        <f>COUNTIF('Metrics - Articles'!E645,"*Healthcare*")</f>
        <v>0</v>
      </c>
      <c r="F646">
        <f>COUNTIF('Metrics - Articles'!E645,"*Innovation")</f>
        <v>0</v>
      </c>
      <c r="G646">
        <f>COUNTIF('Metrics - Articles'!E645,"*Corporate*")</f>
        <v>0</v>
      </c>
      <c r="I646" s="53">
        <f t="shared" si="10"/>
        <v>0</v>
      </c>
    </row>
    <row r="647" spans="2:9" x14ac:dyDescent="0.25">
      <c r="B647" s="48">
        <f>+'Metrics - Articles'!C644</f>
        <v>0</v>
      </c>
      <c r="C647">
        <f>COUNTIF('Metrics - Articles'!E646,"*Sports*")</f>
        <v>0</v>
      </c>
      <c r="D647">
        <f>COUNTIF('Metrics - Articles'!E646,"*Youth*")</f>
        <v>0</v>
      </c>
      <c r="E647">
        <f>COUNTIF('Metrics - Articles'!E646,"*Healthcare*")</f>
        <v>0</v>
      </c>
      <c r="F647">
        <f>COUNTIF('Metrics - Articles'!E646,"*Innovation")</f>
        <v>0</v>
      </c>
      <c r="G647">
        <f>COUNTIF('Metrics - Articles'!E646,"*Corporate*")</f>
        <v>0</v>
      </c>
      <c r="I647" s="53">
        <f t="shared" si="10"/>
        <v>0</v>
      </c>
    </row>
    <row r="648" spans="2:9" x14ac:dyDescent="0.25">
      <c r="B648" s="48">
        <f>+'Metrics - Articles'!C645</f>
        <v>0</v>
      </c>
      <c r="C648">
        <f>COUNTIF('Metrics - Articles'!E647,"*Sports*")</f>
        <v>0</v>
      </c>
      <c r="D648">
        <f>COUNTIF('Metrics - Articles'!E647,"*Youth*")</f>
        <v>0</v>
      </c>
      <c r="E648">
        <f>COUNTIF('Metrics - Articles'!E647,"*Healthcare*")</f>
        <v>0</v>
      </c>
      <c r="F648">
        <f>COUNTIF('Metrics - Articles'!E647,"*Innovation")</f>
        <v>0</v>
      </c>
      <c r="G648">
        <f>COUNTIF('Metrics - Articles'!E647,"*Corporate*")</f>
        <v>0</v>
      </c>
      <c r="I648" s="53">
        <f t="shared" ref="I648:I711" si="11">SUM(C648:H648)</f>
        <v>0</v>
      </c>
    </row>
    <row r="649" spans="2:9" x14ac:dyDescent="0.25">
      <c r="B649" s="48">
        <f>+'Metrics - Articles'!C646</f>
        <v>0</v>
      </c>
      <c r="C649">
        <f>COUNTIF('Metrics - Articles'!E648,"*Sports*")</f>
        <v>0</v>
      </c>
      <c r="D649">
        <f>COUNTIF('Metrics - Articles'!E648,"*Youth*")</f>
        <v>0</v>
      </c>
      <c r="E649">
        <f>COUNTIF('Metrics - Articles'!E648,"*Healthcare*")</f>
        <v>0</v>
      </c>
      <c r="F649">
        <f>COUNTIF('Metrics - Articles'!E648,"*Innovation")</f>
        <v>0</v>
      </c>
      <c r="G649">
        <f>COUNTIF('Metrics - Articles'!E648,"*Corporate*")</f>
        <v>0</v>
      </c>
      <c r="I649" s="53">
        <f t="shared" si="11"/>
        <v>0</v>
      </c>
    </row>
    <row r="650" spans="2:9" x14ac:dyDescent="0.25">
      <c r="B650" s="48">
        <f>+'Metrics - Articles'!C647</f>
        <v>0</v>
      </c>
      <c r="C650">
        <f>COUNTIF('Metrics - Articles'!E649,"*Sports*")</f>
        <v>0</v>
      </c>
      <c r="D650">
        <f>COUNTIF('Metrics - Articles'!E649,"*Youth*")</f>
        <v>0</v>
      </c>
      <c r="E650">
        <f>COUNTIF('Metrics - Articles'!E649,"*Healthcare*")</f>
        <v>0</v>
      </c>
      <c r="F650">
        <f>COUNTIF('Metrics - Articles'!E649,"*Innovation")</f>
        <v>0</v>
      </c>
      <c r="G650">
        <f>COUNTIF('Metrics - Articles'!E649,"*Corporate*")</f>
        <v>0</v>
      </c>
      <c r="I650" s="53">
        <f t="shared" si="11"/>
        <v>0</v>
      </c>
    </row>
    <row r="651" spans="2:9" x14ac:dyDescent="0.25">
      <c r="B651" s="48">
        <f>+'Metrics - Articles'!C648</f>
        <v>0</v>
      </c>
      <c r="C651">
        <f>COUNTIF('Metrics - Articles'!E650,"*Sports*")</f>
        <v>0</v>
      </c>
      <c r="D651">
        <f>COUNTIF('Metrics - Articles'!E650,"*Youth*")</f>
        <v>0</v>
      </c>
      <c r="E651">
        <f>COUNTIF('Metrics - Articles'!E650,"*Healthcare*")</f>
        <v>0</v>
      </c>
      <c r="F651">
        <f>COUNTIF('Metrics - Articles'!E650,"*Innovation")</f>
        <v>0</v>
      </c>
      <c r="G651">
        <f>COUNTIF('Metrics - Articles'!E650,"*Corporate*")</f>
        <v>0</v>
      </c>
      <c r="I651" s="53">
        <f t="shared" si="11"/>
        <v>0</v>
      </c>
    </row>
    <row r="652" spans="2:9" x14ac:dyDescent="0.25">
      <c r="B652" s="48">
        <f>+'Metrics - Articles'!C649</f>
        <v>0</v>
      </c>
      <c r="C652">
        <f>COUNTIF('Metrics - Articles'!E651,"*Sports*")</f>
        <v>0</v>
      </c>
      <c r="D652">
        <f>COUNTIF('Metrics - Articles'!E651,"*Youth*")</f>
        <v>0</v>
      </c>
      <c r="E652">
        <f>COUNTIF('Metrics - Articles'!E651,"*Healthcare*")</f>
        <v>0</v>
      </c>
      <c r="F652">
        <f>COUNTIF('Metrics - Articles'!E651,"*Innovation")</f>
        <v>0</v>
      </c>
      <c r="G652">
        <f>COUNTIF('Metrics - Articles'!E651,"*Corporate*")</f>
        <v>0</v>
      </c>
      <c r="I652" s="53">
        <f t="shared" si="11"/>
        <v>0</v>
      </c>
    </row>
    <row r="653" spans="2:9" x14ac:dyDescent="0.25">
      <c r="B653" s="48">
        <f>+'Metrics - Articles'!C650</f>
        <v>0</v>
      </c>
      <c r="C653">
        <f>COUNTIF('Metrics - Articles'!E652,"*Sports*")</f>
        <v>0</v>
      </c>
      <c r="D653">
        <f>COUNTIF('Metrics - Articles'!E652,"*Youth*")</f>
        <v>0</v>
      </c>
      <c r="E653">
        <f>COUNTIF('Metrics - Articles'!E652,"*Healthcare*")</f>
        <v>0</v>
      </c>
      <c r="F653">
        <f>COUNTIF('Metrics - Articles'!E652,"*Innovation")</f>
        <v>0</v>
      </c>
      <c r="G653">
        <f>COUNTIF('Metrics - Articles'!E652,"*Corporate*")</f>
        <v>0</v>
      </c>
      <c r="I653" s="53">
        <f t="shared" si="11"/>
        <v>0</v>
      </c>
    </row>
    <row r="654" spans="2:9" x14ac:dyDescent="0.25">
      <c r="B654" s="48">
        <f>+'Metrics - Articles'!C651</f>
        <v>0</v>
      </c>
      <c r="C654">
        <f>COUNTIF('Metrics - Articles'!E653,"*Sports*")</f>
        <v>0</v>
      </c>
      <c r="D654">
        <f>COUNTIF('Metrics - Articles'!E653,"*Youth*")</f>
        <v>0</v>
      </c>
      <c r="E654">
        <f>COUNTIF('Metrics - Articles'!E653,"*Healthcare*")</f>
        <v>0</v>
      </c>
      <c r="F654">
        <f>COUNTIF('Metrics - Articles'!E653,"*Innovation")</f>
        <v>0</v>
      </c>
      <c r="G654">
        <f>COUNTIF('Metrics - Articles'!E653,"*Corporate*")</f>
        <v>0</v>
      </c>
      <c r="I654" s="53">
        <f t="shared" si="11"/>
        <v>0</v>
      </c>
    </row>
    <row r="655" spans="2:9" x14ac:dyDescent="0.25">
      <c r="B655" s="48">
        <f>+'Metrics - Articles'!C652</f>
        <v>0</v>
      </c>
      <c r="C655">
        <f>COUNTIF('Metrics - Articles'!E654,"*Sports*")</f>
        <v>0</v>
      </c>
      <c r="D655">
        <f>COUNTIF('Metrics - Articles'!E654,"*Youth*")</f>
        <v>0</v>
      </c>
      <c r="E655">
        <f>COUNTIF('Metrics - Articles'!E654,"*Healthcare*")</f>
        <v>0</v>
      </c>
      <c r="F655">
        <f>COUNTIF('Metrics - Articles'!E654,"*Innovation")</f>
        <v>0</v>
      </c>
      <c r="G655">
        <f>COUNTIF('Metrics - Articles'!E654,"*Corporate*")</f>
        <v>0</v>
      </c>
      <c r="I655" s="53">
        <f t="shared" si="11"/>
        <v>0</v>
      </c>
    </row>
    <row r="656" spans="2:9" x14ac:dyDescent="0.25">
      <c r="B656" s="48">
        <f>+'Metrics - Articles'!C653</f>
        <v>0</v>
      </c>
      <c r="C656">
        <f>COUNTIF('Metrics - Articles'!E655,"*Sports*")</f>
        <v>0</v>
      </c>
      <c r="D656">
        <f>COUNTIF('Metrics - Articles'!E655,"*Youth*")</f>
        <v>0</v>
      </c>
      <c r="E656">
        <f>COUNTIF('Metrics - Articles'!E655,"*Healthcare*")</f>
        <v>0</v>
      </c>
      <c r="F656">
        <f>COUNTIF('Metrics - Articles'!E655,"*Innovation")</f>
        <v>0</v>
      </c>
      <c r="G656">
        <f>COUNTIF('Metrics - Articles'!E655,"*Corporate*")</f>
        <v>0</v>
      </c>
      <c r="I656" s="53">
        <f t="shared" si="11"/>
        <v>0</v>
      </c>
    </row>
    <row r="657" spans="2:9" x14ac:dyDescent="0.25">
      <c r="B657" s="48">
        <f>+'Metrics - Articles'!C654</f>
        <v>0</v>
      </c>
      <c r="C657">
        <f>COUNTIF('Metrics - Articles'!E656,"*Sports*")</f>
        <v>0</v>
      </c>
      <c r="D657">
        <f>COUNTIF('Metrics - Articles'!E656,"*Youth*")</f>
        <v>0</v>
      </c>
      <c r="E657">
        <f>COUNTIF('Metrics - Articles'!E656,"*Healthcare*")</f>
        <v>0</v>
      </c>
      <c r="F657">
        <f>COUNTIF('Metrics - Articles'!E656,"*Innovation")</f>
        <v>0</v>
      </c>
      <c r="G657">
        <f>COUNTIF('Metrics - Articles'!E656,"*Corporate*")</f>
        <v>0</v>
      </c>
      <c r="I657" s="53">
        <f t="shared" si="11"/>
        <v>0</v>
      </c>
    </row>
    <row r="658" spans="2:9" x14ac:dyDescent="0.25">
      <c r="B658" s="48">
        <f>+'Metrics - Articles'!C655</f>
        <v>0</v>
      </c>
      <c r="C658">
        <f>COUNTIF('Metrics - Articles'!E657,"*Sports*")</f>
        <v>0</v>
      </c>
      <c r="D658">
        <f>COUNTIF('Metrics - Articles'!E657,"*Youth*")</f>
        <v>0</v>
      </c>
      <c r="E658">
        <f>COUNTIF('Metrics - Articles'!E657,"*Healthcare*")</f>
        <v>0</v>
      </c>
      <c r="F658">
        <f>COUNTIF('Metrics - Articles'!E657,"*Innovation")</f>
        <v>0</v>
      </c>
      <c r="G658">
        <f>COUNTIF('Metrics - Articles'!E657,"*Corporate*")</f>
        <v>0</v>
      </c>
      <c r="I658" s="53">
        <f t="shared" si="11"/>
        <v>0</v>
      </c>
    </row>
    <row r="659" spans="2:9" x14ac:dyDescent="0.25">
      <c r="B659" s="48">
        <f>+'Metrics - Articles'!C656</f>
        <v>0</v>
      </c>
      <c r="C659">
        <f>COUNTIF('Metrics - Articles'!E658,"*Sports*")</f>
        <v>0</v>
      </c>
      <c r="D659">
        <f>COUNTIF('Metrics - Articles'!E658,"*Youth*")</f>
        <v>0</v>
      </c>
      <c r="E659">
        <f>COUNTIF('Metrics - Articles'!E658,"*Healthcare*")</f>
        <v>0</v>
      </c>
      <c r="F659">
        <f>COUNTIF('Metrics - Articles'!E658,"*Innovation")</f>
        <v>0</v>
      </c>
      <c r="G659">
        <f>COUNTIF('Metrics - Articles'!E658,"*Corporate*")</f>
        <v>0</v>
      </c>
      <c r="I659" s="53">
        <f t="shared" si="11"/>
        <v>0</v>
      </c>
    </row>
    <row r="660" spans="2:9" x14ac:dyDescent="0.25">
      <c r="B660" s="48">
        <f>+'Metrics - Articles'!C657</f>
        <v>0</v>
      </c>
      <c r="C660">
        <f>COUNTIF('Metrics - Articles'!E659,"*Sports*")</f>
        <v>0</v>
      </c>
      <c r="D660">
        <f>COUNTIF('Metrics - Articles'!E659,"*Youth*")</f>
        <v>0</v>
      </c>
      <c r="E660">
        <f>COUNTIF('Metrics - Articles'!E659,"*Healthcare*")</f>
        <v>0</v>
      </c>
      <c r="F660">
        <f>COUNTIF('Metrics - Articles'!E659,"*Innovation")</f>
        <v>0</v>
      </c>
      <c r="G660">
        <f>COUNTIF('Metrics - Articles'!E659,"*Corporate*")</f>
        <v>0</v>
      </c>
      <c r="I660" s="53">
        <f t="shared" si="11"/>
        <v>0</v>
      </c>
    </row>
    <row r="661" spans="2:9" x14ac:dyDescent="0.25">
      <c r="B661" s="48">
        <f>+'Metrics - Articles'!C658</f>
        <v>0</v>
      </c>
      <c r="C661">
        <f>COUNTIF('Metrics - Articles'!E660,"*Sports*")</f>
        <v>0</v>
      </c>
      <c r="D661">
        <f>COUNTIF('Metrics - Articles'!E660,"*Youth*")</f>
        <v>0</v>
      </c>
      <c r="E661">
        <f>COUNTIF('Metrics - Articles'!E660,"*Healthcare*")</f>
        <v>0</v>
      </c>
      <c r="F661">
        <f>COUNTIF('Metrics - Articles'!E660,"*Innovation")</f>
        <v>0</v>
      </c>
      <c r="G661">
        <f>COUNTIF('Metrics - Articles'!E660,"*Corporate*")</f>
        <v>0</v>
      </c>
      <c r="I661" s="53">
        <f t="shared" si="11"/>
        <v>0</v>
      </c>
    </row>
    <row r="662" spans="2:9" x14ac:dyDescent="0.25">
      <c r="B662" s="48">
        <f>+'Metrics - Articles'!C659</f>
        <v>0</v>
      </c>
      <c r="C662">
        <f>COUNTIF('Metrics - Articles'!E661,"*Sports*")</f>
        <v>0</v>
      </c>
      <c r="D662">
        <f>COUNTIF('Metrics - Articles'!E661,"*Youth*")</f>
        <v>0</v>
      </c>
      <c r="E662">
        <f>COUNTIF('Metrics - Articles'!E661,"*Healthcare*")</f>
        <v>0</v>
      </c>
      <c r="F662">
        <f>COUNTIF('Metrics - Articles'!E661,"*Innovation")</f>
        <v>0</v>
      </c>
      <c r="G662">
        <f>COUNTIF('Metrics - Articles'!E661,"*Corporate*")</f>
        <v>0</v>
      </c>
      <c r="I662" s="53">
        <f t="shared" si="11"/>
        <v>0</v>
      </c>
    </row>
    <row r="663" spans="2:9" x14ac:dyDescent="0.25">
      <c r="B663" s="48">
        <f>+'Metrics - Articles'!C660</f>
        <v>0</v>
      </c>
      <c r="C663">
        <f>COUNTIF('Metrics - Articles'!E662,"*Sports*")</f>
        <v>0</v>
      </c>
      <c r="D663">
        <f>COUNTIF('Metrics - Articles'!E662,"*Youth*")</f>
        <v>0</v>
      </c>
      <c r="E663">
        <f>COUNTIF('Metrics - Articles'!E662,"*Healthcare*")</f>
        <v>0</v>
      </c>
      <c r="F663">
        <f>COUNTIF('Metrics - Articles'!E662,"*Innovation")</f>
        <v>0</v>
      </c>
      <c r="G663">
        <f>COUNTIF('Metrics - Articles'!E662,"*Corporate*")</f>
        <v>0</v>
      </c>
      <c r="I663" s="53">
        <f t="shared" si="11"/>
        <v>0</v>
      </c>
    </row>
    <row r="664" spans="2:9" x14ac:dyDescent="0.25">
      <c r="B664" s="48">
        <f>+'Metrics - Articles'!C661</f>
        <v>0</v>
      </c>
      <c r="C664">
        <f>COUNTIF('Metrics - Articles'!E663,"*Sports*")</f>
        <v>0</v>
      </c>
      <c r="D664">
        <f>COUNTIF('Metrics - Articles'!E663,"*Youth*")</f>
        <v>0</v>
      </c>
      <c r="E664">
        <f>COUNTIF('Metrics - Articles'!E663,"*Healthcare*")</f>
        <v>0</v>
      </c>
      <c r="F664">
        <f>COUNTIF('Metrics - Articles'!E663,"*Innovation")</f>
        <v>0</v>
      </c>
      <c r="G664">
        <f>COUNTIF('Metrics - Articles'!E663,"*Corporate*")</f>
        <v>0</v>
      </c>
      <c r="I664" s="53">
        <f t="shared" si="11"/>
        <v>0</v>
      </c>
    </row>
    <row r="665" spans="2:9" x14ac:dyDescent="0.25">
      <c r="B665" s="48">
        <f>+'Metrics - Articles'!C662</f>
        <v>0</v>
      </c>
      <c r="C665">
        <f>COUNTIF('Metrics - Articles'!E664,"*Sports*")</f>
        <v>0</v>
      </c>
      <c r="D665">
        <f>COUNTIF('Metrics - Articles'!E664,"*Youth*")</f>
        <v>0</v>
      </c>
      <c r="E665">
        <f>COUNTIF('Metrics - Articles'!E664,"*Healthcare*")</f>
        <v>0</v>
      </c>
      <c r="F665">
        <f>COUNTIF('Metrics - Articles'!E664,"*Innovation")</f>
        <v>0</v>
      </c>
      <c r="G665">
        <f>COUNTIF('Metrics - Articles'!E664,"*Corporate*")</f>
        <v>0</v>
      </c>
      <c r="I665" s="53">
        <f t="shared" si="11"/>
        <v>0</v>
      </c>
    </row>
    <row r="666" spans="2:9" x14ac:dyDescent="0.25">
      <c r="B666" s="48">
        <f>+'Metrics - Articles'!C663</f>
        <v>0</v>
      </c>
      <c r="C666">
        <f>COUNTIF('Metrics - Articles'!E665,"*Sports*")</f>
        <v>0</v>
      </c>
      <c r="D666">
        <f>COUNTIF('Metrics - Articles'!E665,"*Youth*")</f>
        <v>0</v>
      </c>
      <c r="E666">
        <f>COUNTIF('Metrics - Articles'!E665,"*Healthcare*")</f>
        <v>0</v>
      </c>
      <c r="F666">
        <f>COUNTIF('Metrics - Articles'!E665,"*Innovation")</f>
        <v>0</v>
      </c>
      <c r="G666">
        <f>COUNTIF('Metrics - Articles'!E665,"*Corporate*")</f>
        <v>0</v>
      </c>
      <c r="I666" s="53">
        <f t="shared" si="11"/>
        <v>0</v>
      </c>
    </row>
    <row r="667" spans="2:9" x14ac:dyDescent="0.25">
      <c r="B667" s="48">
        <f>+'Metrics - Articles'!C664</f>
        <v>0</v>
      </c>
      <c r="C667">
        <f>COUNTIF('Metrics - Articles'!E666,"*Sports*")</f>
        <v>0</v>
      </c>
      <c r="D667">
        <f>COUNTIF('Metrics - Articles'!E666,"*Youth*")</f>
        <v>0</v>
      </c>
      <c r="E667">
        <f>COUNTIF('Metrics - Articles'!E666,"*Healthcare*")</f>
        <v>0</v>
      </c>
      <c r="F667">
        <f>COUNTIF('Metrics - Articles'!E666,"*Innovation")</f>
        <v>0</v>
      </c>
      <c r="G667">
        <f>COUNTIF('Metrics - Articles'!E666,"*Corporate*")</f>
        <v>0</v>
      </c>
      <c r="I667" s="53">
        <f t="shared" si="11"/>
        <v>0</v>
      </c>
    </row>
    <row r="668" spans="2:9" x14ac:dyDescent="0.25">
      <c r="B668" s="48">
        <f>+'Metrics - Articles'!C665</f>
        <v>0</v>
      </c>
      <c r="C668">
        <f>COUNTIF('Metrics - Articles'!E667,"*Sports*")</f>
        <v>0</v>
      </c>
      <c r="D668">
        <f>COUNTIF('Metrics - Articles'!E667,"*Youth*")</f>
        <v>0</v>
      </c>
      <c r="E668">
        <f>COUNTIF('Metrics - Articles'!E667,"*Healthcare*")</f>
        <v>0</v>
      </c>
      <c r="F668">
        <f>COUNTIF('Metrics - Articles'!E667,"*Innovation")</f>
        <v>0</v>
      </c>
      <c r="G668">
        <f>COUNTIF('Metrics - Articles'!E667,"*Corporate*")</f>
        <v>0</v>
      </c>
      <c r="I668" s="53">
        <f t="shared" si="11"/>
        <v>0</v>
      </c>
    </row>
    <row r="669" spans="2:9" x14ac:dyDescent="0.25">
      <c r="B669" s="48">
        <f>+'Metrics - Articles'!C666</f>
        <v>0</v>
      </c>
      <c r="C669">
        <f>COUNTIF('Metrics - Articles'!E668,"*Sports*")</f>
        <v>0</v>
      </c>
      <c r="D669">
        <f>COUNTIF('Metrics - Articles'!E668,"*Youth*")</f>
        <v>0</v>
      </c>
      <c r="E669">
        <f>COUNTIF('Metrics - Articles'!E668,"*Healthcare*")</f>
        <v>0</v>
      </c>
      <c r="F669">
        <f>COUNTIF('Metrics - Articles'!E668,"*Innovation")</f>
        <v>0</v>
      </c>
      <c r="G669">
        <f>COUNTIF('Metrics - Articles'!E668,"*Corporate*")</f>
        <v>0</v>
      </c>
      <c r="I669" s="53">
        <f t="shared" si="11"/>
        <v>0</v>
      </c>
    </row>
    <row r="670" spans="2:9" x14ac:dyDescent="0.25">
      <c r="B670" s="48">
        <f>+'Metrics - Articles'!C667</f>
        <v>0</v>
      </c>
      <c r="C670">
        <f>COUNTIF('Metrics - Articles'!E669,"*Sports*")</f>
        <v>0</v>
      </c>
      <c r="D670">
        <f>COUNTIF('Metrics - Articles'!E669,"*Youth*")</f>
        <v>0</v>
      </c>
      <c r="E670">
        <f>COUNTIF('Metrics - Articles'!E669,"*Healthcare*")</f>
        <v>0</v>
      </c>
      <c r="F670">
        <f>COUNTIF('Metrics - Articles'!E669,"*Innovation")</f>
        <v>0</v>
      </c>
      <c r="G670">
        <f>COUNTIF('Metrics - Articles'!E669,"*Corporate*")</f>
        <v>0</v>
      </c>
      <c r="I670" s="53">
        <f t="shared" si="11"/>
        <v>0</v>
      </c>
    </row>
    <row r="671" spans="2:9" x14ac:dyDescent="0.25">
      <c r="B671" s="48">
        <f>+'Metrics - Articles'!C668</f>
        <v>0</v>
      </c>
      <c r="C671">
        <f>COUNTIF('Metrics - Articles'!E670,"*Sports*")</f>
        <v>0</v>
      </c>
      <c r="D671">
        <f>COUNTIF('Metrics - Articles'!E670,"*Youth*")</f>
        <v>0</v>
      </c>
      <c r="E671">
        <f>COUNTIF('Metrics - Articles'!E670,"*Healthcare*")</f>
        <v>0</v>
      </c>
      <c r="F671">
        <f>COUNTIF('Metrics - Articles'!E670,"*Innovation")</f>
        <v>0</v>
      </c>
      <c r="G671">
        <f>COUNTIF('Metrics - Articles'!E670,"*Corporate*")</f>
        <v>0</v>
      </c>
      <c r="I671" s="53">
        <f t="shared" si="11"/>
        <v>0</v>
      </c>
    </row>
    <row r="672" spans="2:9" x14ac:dyDescent="0.25">
      <c r="B672" s="48">
        <f>+'Metrics - Articles'!C669</f>
        <v>0</v>
      </c>
      <c r="C672">
        <f>COUNTIF('Metrics - Articles'!E671,"*Sports*")</f>
        <v>0</v>
      </c>
      <c r="D672">
        <f>COUNTIF('Metrics - Articles'!E671,"*Youth*")</f>
        <v>0</v>
      </c>
      <c r="E672">
        <f>COUNTIF('Metrics - Articles'!E671,"*Healthcare*")</f>
        <v>0</v>
      </c>
      <c r="F672">
        <f>COUNTIF('Metrics - Articles'!E671,"*Innovation")</f>
        <v>0</v>
      </c>
      <c r="G672">
        <f>COUNTIF('Metrics - Articles'!E671,"*Corporate*")</f>
        <v>0</v>
      </c>
      <c r="I672" s="53">
        <f t="shared" si="11"/>
        <v>0</v>
      </c>
    </row>
    <row r="673" spans="2:9" x14ac:dyDescent="0.25">
      <c r="B673" s="48">
        <f>+'Metrics - Articles'!C670</f>
        <v>0</v>
      </c>
      <c r="C673">
        <f>COUNTIF('Metrics - Articles'!E672,"*Sports*")</f>
        <v>0</v>
      </c>
      <c r="D673">
        <f>COUNTIF('Metrics - Articles'!E672,"*Youth*")</f>
        <v>0</v>
      </c>
      <c r="E673">
        <f>COUNTIF('Metrics - Articles'!E672,"*Healthcare*")</f>
        <v>0</v>
      </c>
      <c r="F673">
        <f>COUNTIF('Metrics - Articles'!E672,"*Innovation")</f>
        <v>0</v>
      </c>
      <c r="G673">
        <f>COUNTIF('Metrics - Articles'!E672,"*Corporate*")</f>
        <v>0</v>
      </c>
      <c r="I673" s="53">
        <f t="shared" si="11"/>
        <v>0</v>
      </c>
    </row>
    <row r="674" spans="2:9" x14ac:dyDescent="0.25">
      <c r="B674" s="48">
        <f>+'Metrics - Articles'!C671</f>
        <v>0</v>
      </c>
      <c r="C674">
        <f>COUNTIF('Metrics - Articles'!E673,"*Sports*")</f>
        <v>0</v>
      </c>
      <c r="D674">
        <f>COUNTIF('Metrics - Articles'!E673,"*Youth*")</f>
        <v>0</v>
      </c>
      <c r="E674">
        <f>COUNTIF('Metrics - Articles'!E673,"*Healthcare*")</f>
        <v>0</v>
      </c>
      <c r="F674">
        <f>COUNTIF('Metrics - Articles'!E673,"*Innovation")</f>
        <v>0</v>
      </c>
      <c r="G674">
        <f>COUNTIF('Metrics - Articles'!E673,"*Corporate*")</f>
        <v>0</v>
      </c>
      <c r="I674" s="53">
        <f t="shared" si="11"/>
        <v>0</v>
      </c>
    </row>
    <row r="675" spans="2:9" x14ac:dyDescent="0.25">
      <c r="B675" s="48">
        <f>+'Metrics - Articles'!C672</f>
        <v>0</v>
      </c>
      <c r="C675">
        <f>COUNTIF('Metrics - Articles'!E674,"*Sports*")</f>
        <v>0</v>
      </c>
      <c r="D675">
        <f>COUNTIF('Metrics - Articles'!E674,"*Youth*")</f>
        <v>0</v>
      </c>
      <c r="E675">
        <f>COUNTIF('Metrics - Articles'!E674,"*Healthcare*")</f>
        <v>0</v>
      </c>
      <c r="F675">
        <f>COUNTIF('Metrics - Articles'!E674,"*Innovation")</f>
        <v>0</v>
      </c>
      <c r="G675">
        <f>COUNTIF('Metrics - Articles'!E674,"*Corporate*")</f>
        <v>0</v>
      </c>
      <c r="I675" s="53">
        <f t="shared" si="11"/>
        <v>0</v>
      </c>
    </row>
    <row r="676" spans="2:9" x14ac:dyDescent="0.25">
      <c r="B676" s="48">
        <f>+'Metrics - Articles'!C673</f>
        <v>0</v>
      </c>
      <c r="C676">
        <f>COUNTIF('Metrics - Articles'!E675,"*Sports*")</f>
        <v>0</v>
      </c>
      <c r="D676">
        <f>COUNTIF('Metrics - Articles'!E675,"*Youth*")</f>
        <v>0</v>
      </c>
      <c r="E676">
        <f>COUNTIF('Metrics - Articles'!E675,"*Healthcare*")</f>
        <v>0</v>
      </c>
      <c r="F676">
        <f>COUNTIF('Metrics - Articles'!E675,"*Innovation")</f>
        <v>0</v>
      </c>
      <c r="G676">
        <f>COUNTIF('Metrics - Articles'!E675,"*Corporate*")</f>
        <v>0</v>
      </c>
      <c r="I676" s="53">
        <f t="shared" si="11"/>
        <v>0</v>
      </c>
    </row>
    <row r="677" spans="2:9" x14ac:dyDescent="0.25">
      <c r="B677" s="48">
        <f>+'Metrics - Articles'!C674</f>
        <v>0</v>
      </c>
      <c r="C677">
        <f>COUNTIF('Metrics - Articles'!E676,"*Sports*")</f>
        <v>0</v>
      </c>
      <c r="D677">
        <f>COUNTIF('Metrics - Articles'!E676,"*Youth*")</f>
        <v>0</v>
      </c>
      <c r="E677">
        <f>COUNTIF('Metrics - Articles'!E676,"*Healthcare*")</f>
        <v>0</v>
      </c>
      <c r="F677">
        <f>COUNTIF('Metrics - Articles'!E676,"*Innovation")</f>
        <v>0</v>
      </c>
      <c r="G677">
        <f>COUNTIF('Metrics - Articles'!E676,"*Corporate*")</f>
        <v>0</v>
      </c>
      <c r="I677" s="53">
        <f t="shared" si="11"/>
        <v>0</v>
      </c>
    </row>
    <row r="678" spans="2:9" x14ac:dyDescent="0.25">
      <c r="B678" s="48">
        <f>+'Metrics - Articles'!C675</f>
        <v>0</v>
      </c>
      <c r="C678">
        <f>COUNTIF('Metrics - Articles'!E677,"*Sports*")</f>
        <v>0</v>
      </c>
      <c r="D678">
        <f>COUNTIF('Metrics - Articles'!E677,"*Youth*")</f>
        <v>0</v>
      </c>
      <c r="E678">
        <f>COUNTIF('Metrics - Articles'!E677,"*Healthcare*")</f>
        <v>0</v>
      </c>
      <c r="F678">
        <f>COUNTIF('Metrics - Articles'!E677,"*Innovation")</f>
        <v>0</v>
      </c>
      <c r="G678">
        <f>COUNTIF('Metrics - Articles'!E677,"*Corporate*")</f>
        <v>0</v>
      </c>
      <c r="I678" s="53">
        <f t="shared" si="11"/>
        <v>0</v>
      </c>
    </row>
    <row r="679" spans="2:9" x14ac:dyDescent="0.25">
      <c r="B679" s="48">
        <f>+'Metrics - Articles'!C676</f>
        <v>0</v>
      </c>
      <c r="C679">
        <f>COUNTIF('Metrics - Articles'!E678,"*Sports*")</f>
        <v>0</v>
      </c>
      <c r="D679">
        <f>COUNTIF('Metrics - Articles'!E678,"*Youth*")</f>
        <v>0</v>
      </c>
      <c r="E679">
        <f>COUNTIF('Metrics - Articles'!E678,"*Healthcare*")</f>
        <v>0</v>
      </c>
      <c r="F679">
        <f>COUNTIF('Metrics - Articles'!E678,"*Innovation")</f>
        <v>0</v>
      </c>
      <c r="G679">
        <f>COUNTIF('Metrics - Articles'!E678,"*Corporate*")</f>
        <v>0</v>
      </c>
      <c r="I679" s="53">
        <f t="shared" si="11"/>
        <v>0</v>
      </c>
    </row>
    <row r="680" spans="2:9" x14ac:dyDescent="0.25">
      <c r="B680" s="48">
        <f>+'Metrics - Articles'!C677</f>
        <v>0</v>
      </c>
      <c r="C680">
        <f>COUNTIF('Metrics - Articles'!E679,"*Sports*")</f>
        <v>0</v>
      </c>
      <c r="D680">
        <f>COUNTIF('Metrics - Articles'!E679,"*Youth*")</f>
        <v>0</v>
      </c>
      <c r="E680">
        <f>COUNTIF('Metrics - Articles'!E679,"*Healthcare*")</f>
        <v>0</v>
      </c>
      <c r="F680">
        <f>COUNTIF('Metrics - Articles'!E679,"*Innovation")</f>
        <v>0</v>
      </c>
      <c r="G680">
        <f>COUNTIF('Metrics - Articles'!E679,"*Corporate*")</f>
        <v>0</v>
      </c>
      <c r="I680" s="53">
        <f t="shared" si="11"/>
        <v>0</v>
      </c>
    </row>
    <row r="681" spans="2:9" x14ac:dyDescent="0.25">
      <c r="B681" s="48">
        <f>+'Metrics - Articles'!C678</f>
        <v>0</v>
      </c>
      <c r="C681">
        <f>COUNTIF('Metrics - Articles'!E680,"*Sports*")</f>
        <v>0</v>
      </c>
      <c r="D681">
        <f>COUNTIF('Metrics - Articles'!E680,"*Youth*")</f>
        <v>0</v>
      </c>
      <c r="E681">
        <f>COUNTIF('Metrics - Articles'!E680,"*Healthcare*")</f>
        <v>0</v>
      </c>
      <c r="F681">
        <f>COUNTIF('Metrics - Articles'!E680,"*Innovation")</f>
        <v>0</v>
      </c>
      <c r="G681">
        <f>COUNTIF('Metrics - Articles'!E680,"*Corporate*")</f>
        <v>0</v>
      </c>
      <c r="I681" s="53">
        <f t="shared" si="11"/>
        <v>0</v>
      </c>
    </row>
    <row r="682" spans="2:9" x14ac:dyDescent="0.25">
      <c r="B682" s="48">
        <f>+'Metrics - Articles'!C679</f>
        <v>0</v>
      </c>
      <c r="C682">
        <f>COUNTIF('Metrics - Articles'!E681,"*Sports*")</f>
        <v>0</v>
      </c>
      <c r="D682">
        <f>COUNTIF('Metrics - Articles'!E681,"*Youth*")</f>
        <v>0</v>
      </c>
      <c r="E682">
        <f>COUNTIF('Metrics - Articles'!E681,"*Healthcare*")</f>
        <v>0</v>
      </c>
      <c r="F682">
        <f>COUNTIF('Metrics - Articles'!E681,"*Innovation")</f>
        <v>0</v>
      </c>
      <c r="G682">
        <f>COUNTIF('Metrics - Articles'!E681,"*Corporate*")</f>
        <v>0</v>
      </c>
      <c r="I682" s="53">
        <f t="shared" si="11"/>
        <v>0</v>
      </c>
    </row>
    <row r="683" spans="2:9" x14ac:dyDescent="0.25">
      <c r="B683" s="48">
        <f>+'Metrics - Articles'!C680</f>
        <v>0</v>
      </c>
      <c r="C683">
        <f>COUNTIF('Metrics - Articles'!E682,"*Sports*")</f>
        <v>0</v>
      </c>
      <c r="D683">
        <f>COUNTIF('Metrics - Articles'!E682,"*Youth*")</f>
        <v>0</v>
      </c>
      <c r="E683">
        <f>COUNTIF('Metrics - Articles'!E682,"*Healthcare*")</f>
        <v>0</v>
      </c>
      <c r="F683">
        <f>COUNTIF('Metrics - Articles'!E682,"*Innovation")</f>
        <v>0</v>
      </c>
      <c r="G683">
        <f>COUNTIF('Metrics - Articles'!E682,"*Corporate*")</f>
        <v>0</v>
      </c>
      <c r="I683" s="53">
        <f t="shared" si="11"/>
        <v>0</v>
      </c>
    </row>
    <row r="684" spans="2:9" x14ac:dyDescent="0.25">
      <c r="B684" s="48">
        <f>+'Metrics - Articles'!C681</f>
        <v>0</v>
      </c>
      <c r="C684">
        <f>COUNTIF('Metrics - Articles'!E683,"*Sports*")</f>
        <v>0</v>
      </c>
      <c r="D684">
        <f>COUNTIF('Metrics - Articles'!E683,"*Youth*")</f>
        <v>0</v>
      </c>
      <c r="E684">
        <f>COUNTIF('Metrics - Articles'!E683,"*Healthcare*")</f>
        <v>0</v>
      </c>
      <c r="F684">
        <f>COUNTIF('Metrics - Articles'!E683,"*Innovation")</f>
        <v>0</v>
      </c>
      <c r="G684">
        <f>COUNTIF('Metrics - Articles'!E683,"*Corporate*")</f>
        <v>0</v>
      </c>
      <c r="I684" s="53">
        <f t="shared" si="11"/>
        <v>0</v>
      </c>
    </row>
    <row r="685" spans="2:9" x14ac:dyDescent="0.25">
      <c r="B685" s="48">
        <f>+'Metrics - Articles'!C682</f>
        <v>0</v>
      </c>
      <c r="C685">
        <f>COUNTIF('Metrics - Articles'!E684,"*Sports*")</f>
        <v>0</v>
      </c>
      <c r="D685">
        <f>COUNTIF('Metrics - Articles'!E684,"*Youth*")</f>
        <v>0</v>
      </c>
      <c r="E685">
        <f>COUNTIF('Metrics - Articles'!E684,"*Healthcare*")</f>
        <v>0</v>
      </c>
      <c r="F685">
        <f>COUNTIF('Metrics - Articles'!E684,"*Innovation")</f>
        <v>0</v>
      </c>
      <c r="G685">
        <f>COUNTIF('Metrics - Articles'!E684,"*Corporate*")</f>
        <v>0</v>
      </c>
      <c r="I685" s="53">
        <f t="shared" si="11"/>
        <v>0</v>
      </c>
    </row>
    <row r="686" spans="2:9" x14ac:dyDescent="0.25">
      <c r="B686" s="48">
        <f>+'Metrics - Articles'!C683</f>
        <v>0</v>
      </c>
      <c r="C686">
        <f>COUNTIF('Metrics - Articles'!E685,"*Sports*")</f>
        <v>0</v>
      </c>
      <c r="D686">
        <f>COUNTIF('Metrics - Articles'!E685,"*Youth*")</f>
        <v>0</v>
      </c>
      <c r="E686">
        <f>COUNTIF('Metrics - Articles'!E685,"*Healthcare*")</f>
        <v>0</v>
      </c>
      <c r="F686">
        <f>COUNTIF('Metrics - Articles'!E685,"*Innovation")</f>
        <v>0</v>
      </c>
      <c r="G686">
        <f>COUNTIF('Metrics - Articles'!E685,"*Corporate*")</f>
        <v>0</v>
      </c>
      <c r="I686" s="53">
        <f t="shared" si="11"/>
        <v>0</v>
      </c>
    </row>
    <row r="687" spans="2:9" x14ac:dyDescent="0.25">
      <c r="B687" s="48">
        <f>+'Metrics - Articles'!C684</f>
        <v>0</v>
      </c>
      <c r="C687">
        <f>COUNTIF('Metrics - Articles'!E686,"*Sports*")</f>
        <v>0</v>
      </c>
      <c r="D687">
        <f>COUNTIF('Metrics - Articles'!E686,"*Youth*")</f>
        <v>0</v>
      </c>
      <c r="E687">
        <f>COUNTIF('Metrics - Articles'!E686,"*Healthcare*")</f>
        <v>0</v>
      </c>
      <c r="F687">
        <f>COUNTIF('Metrics - Articles'!E686,"*Innovation")</f>
        <v>0</v>
      </c>
      <c r="G687">
        <f>COUNTIF('Metrics - Articles'!E686,"*Corporate*")</f>
        <v>0</v>
      </c>
      <c r="I687" s="53">
        <f t="shared" si="11"/>
        <v>0</v>
      </c>
    </row>
    <row r="688" spans="2:9" x14ac:dyDescent="0.25">
      <c r="B688" s="48">
        <f>+'Metrics - Articles'!C685</f>
        <v>0</v>
      </c>
      <c r="C688">
        <f>COUNTIF('Metrics - Articles'!E687,"*Sports*")</f>
        <v>0</v>
      </c>
      <c r="D688">
        <f>COUNTIF('Metrics - Articles'!E687,"*Youth*")</f>
        <v>0</v>
      </c>
      <c r="E688">
        <f>COUNTIF('Metrics - Articles'!E687,"*Healthcare*")</f>
        <v>0</v>
      </c>
      <c r="F688">
        <f>COUNTIF('Metrics - Articles'!E687,"*Innovation")</f>
        <v>0</v>
      </c>
      <c r="G688">
        <f>COUNTIF('Metrics - Articles'!E687,"*Corporate*")</f>
        <v>0</v>
      </c>
      <c r="I688" s="53">
        <f t="shared" si="11"/>
        <v>0</v>
      </c>
    </row>
    <row r="689" spans="2:9" x14ac:dyDescent="0.25">
      <c r="B689" s="48">
        <f>+'Metrics - Articles'!C686</f>
        <v>0</v>
      </c>
      <c r="C689">
        <f>COUNTIF('Metrics - Articles'!E688,"*Sports*")</f>
        <v>0</v>
      </c>
      <c r="D689">
        <f>COUNTIF('Metrics - Articles'!E688,"*Youth*")</f>
        <v>0</v>
      </c>
      <c r="E689">
        <f>COUNTIF('Metrics - Articles'!E688,"*Healthcare*")</f>
        <v>0</v>
      </c>
      <c r="F689">
        <f>COUNTIF('Metrics - Articles'!E688,"*Innovation")</f>
        <v>0</v>
      </c>
      <c r="G689">
        <f>COUNTIF('Metrics - Articles'!E688,"*Corporate*")</f>
        <v>0</v>
      </c>
      <c r="I689" s="53">
        <f t="shared" si="11"/>
        <v>0</v>
      </c>
    </row>
    <row r="690" spans="2:9" x14ac:dyDescent="0.25">
      <c r="B690" s="48">
        <f>+'Metrics - Articles'!C687</f>
        <v>0</v>
      </c>
      <c r="C690">
        <f>COUNTIF('Metrics - Articles'!E689,"*Sports*")</f>
        <v>0</v>
      </c>
      <c r="D690">
        <f>COUNTIF('Metrics - Articles'!E689,"*Youth*")</f>
        <v>0</v>
      </c>
      <c r="E690">
        <f>COUNTIF('Metrics - Articles'!E689,"*Healthcare*")</f>
        <v>0</v>
      </c>
      <c r="F690">
        <f>COUNTIF('Metrics - Articles'!E689,"*Innovation")</f>
        <v>0</v>
      </c>
      <c r="G690">
        <f>COUNTIF('Metrics - Articles'!E689,"*Corporate*")</f>
        <v>0</v>
      </c>
      <c r="I690" s="53">
        <f t="shared" si="11"/>
        <v>0</v>
      </c>
    </row>
    <row r="691" spans="2:9" x14ac:dyDescent="0.25">
      <c r="B691" s="48">
        <f>+'Metrics - Articles'!C688</f>
        <v>0</v>
      </c>
      <c r="C691">
        <f>COUNTIF('Metrics - Articles'!E690,"*Sports*")</f>
        <v>0</v>
      </c>
      <c r="D691">
        <f>COUNTIF('Metrics - Articles'!E690,"*Youth*")</f>
        <v>0</v>
      </c>
      <c r="E691">
        <f>COUNTIF('Metrics - Articles'!E690,"*Healthcare*")</f>
        <v>0</v>
      </c>
      <c r="F691">
        <f>COUNTIF('Metrics - Articles'!E690,"*Innovation")</f>
        <v>0</v>
      </c>
      <c r="G691">
        <f>COUNTIF('Metrics - Articles'!E690,"*Corporate*")</f>
        <v>0</v>
      </c>
      <c r="I691" s="53">
        <f t="shared" si="11"/>
        <v>0</v>
      </c>
    </row>
    <row r="692" spans="2:9" x14ac:dyDescent="0.25">
      <c r="B692" s="48">
        <f>+'Metrics - Articles'!C689</f>
        <v>0</v>
      </c>
      <c r="C692">
        <f>COUNTIF('Metrics - Articles'!E691,"*Sports*")</f>
        <v>0</v>
      </c>
      <c r="D692">
        <f>COUNTIF('Metrics - Articles'!E691,"*Youth*")</f>
        <v>0</v>
      </c>
      <c r="E692">
        <f>COUNTIF('Metrics - Articles'!E691,"*Healthcare*")</f>
        <v>0</v>
      </c>
      <c r="F692">
        <f>COUNTIF('Metrics - Articles'!E691,"*Innovation")</f>
        <v>0</v>
      </c>
      <c r="G692">
        <f>COUNTIF('Metrics - Articles'!E691,"*Corporate*")</f>
        <v>0</v>
      </c>
      <c r="I692" s="53">
        <f t="shared" si="11"/>
        <v>0</v>
      </c>
    </row>
    <row r="693" spans="2:9" x14ac:dyDescent="0.25">
      <c r="B693" s="48">
        <f>+'Metrics - Articles'!C690</f>
        <v>0</v>
      </c>
      <c r="C693">
        <f>COUNTIF('Metrics - Articles'!E692,"*Sports*")</f>
        <v>0</v>
      </c>
      <c r="D693">
        <f>COUNTIF('Metrics - Articles'!E692,"*Youth*")</f>
        <v>0</v>
      </c>
      <c r="E693">
        <f>COUNTIF('Metrics - Articles'!E692,"*Healthcare*")</f>
        <v>0</v>
      </c>
      <c r="F693">
        <f>COUNTIF('Metrics - Articles'!E692,"*Innovation")</f>
        <v>0</v>
      </c>
      <c r="G693">
        <f>COUNTIF('Metrics - Articles'!E692,"*Corporate*")</f>
        <v>0</v>
      </c>
      <c r="I693" s="53">
        <f t="shared" si="11"/>
        <v>0</v>
      </c>
    </row>
    <row r="694" spans="2:9" x14ac:dyDescent="0.25">
      <c r="B694" s="48">
        <f>+'Metrics - Articles'!C691</f>
        <v>0</v>
      </c>
      <c r="C694">
        <f>COUNTIF('Metrics - Articles'!E693,"*Sports*")</f>
        <v>0</v>
      </c>
      <c r="D694">
        <f>COUNTIF('Metrics - Articles'!E693,"*Youth*")</f>
        <v>0</v>
      </c>
      <c r="E694">
        <f>COUNTIF('Metrics - Articles'!E693,"*Healthcare*")</f>
        <v>0</v>
      </c>
      <c r="F694">
        <f>COUNTIF('Metrics - Articles'!E693,"*Innovation")</f>
        <v>0</v>
      </c>
      <c r="G694">
        <f>COUNTIF('Metrics - Articles'!E693,"*Corporate*")</f>
        <v>0</v>
      </c>
      <c r="I694" s="53">
        <f t="shared" si="11"/>
        <v>0</v>
      </c>
    </row>
    <row r="695" spans="2:9" x14ac:dyDescent="0.25">
      <c r="B695" s="48">
        <f>+'Metrics - Articles'!C692</f>
        <v>0</v>
      </c>
      <c r="C695">
        <f>COUNTIF('Metrics - Articles'!E694,"*Sports*")</f>
        <v>0</v>
      </c>
      <c r="D695">
        <f>COUNTIF('Metrics - Articles'!E694,"*Youth*")</f>
        <v>0</v>
      </c>
      <c r="E695">
        <f>COUNTIF('Metrics - Articles'!E694,"*Healthcare*")</f>
        <v>0</v>
      </c>
      <c r="F695">
        <f>COUNTIF('Metrics - Articles'!E694,"*Innovation")</f>
        <v>0</v>
      </c>
      <c r="G695">
        <f>COUNTIF('Metrics - Articles'!E694,"*Corporate*")</f>
        <v>0</v>
      </c>
      <c r="I695" s="53">
        <f t="shared" si="11"/>
        <v>0</v>
      </c>
    </row>
    <row r="696" spans="2:9" x14ac:dyDescent="0.25">
      <c r="B696" s="48">
        <f>+'Metrics - Articles'!C693</f>
        <v>0</v>
      </c>
      <c r="C696">
        <f>COUNTIF('Metrics - Articles'!E695,"*Sports*")</f>
        <v>0</v>
      </c>
      <c r="D696">
        <f>COUNTIF('Metrics - Articles'!E695,"*Youth*")</f>
        <v>0</v>
      </c>
      <c r="E696">
        <f>COUNTIF('Metrics - Articles'!E695,"*Healthcare*")</f>
        <v>0</v>
      </c>
      <c r="F696">
        <f>COUNTIF('Metrics - Articles'!E695,"*Innovation")</f>
        <v>0</v>
      </c>
      <c r="G696">
        <f>COUNTIF('Metrics - Articles'!E695,"*Corporate*")</f>
        <v>0</v>
      </c>
      <c r="I696" s="53">
        <f t="shared" si="11"/>
        <v>0</v>
      </c>
    </row>
    <row r="697" spans="2:9" x14ac:dyDescent="0.25">
      <c r="B697" s="48">
        <f>+'Metrics - Articles'!C694</f>
        <v>0</v>
      </c>
      <c r="C697">
        <f>COUNTIF('Metrics - Articles'!E696,"*Sports*")</f>
        <v>0</v>
      </c>
      <c r="D697">
        <f>COUNTIF('Metrics - Articles'!E696,"*Youth*")</f>
        <v>0</v>
      </c>
      <c r="E697">
        <f>COUNTIF('Metrics - Articles'!E696,"*Healthcare*")</f>
        <v>0</v>
      </c>
      <c r="F697">
        <f>COUNTIF('Metrics - Articles'!E696,"*Innovation")</f>
        <v>0</v>
      </c>
      <c r="G697">
        <f>COUNTIF('Metrics - Articles'!E696,"*Corporate*")</f>
        <v>0</v>
      </c>
      <c r="I697" s="53">
        <f t="shared" si="11"/>
        <v>0</v>
      </c>
    </row>
    <row r="698" spans="2:9" x14ac:dyDescent="0.25">
      <c r="B698" s="48">
        <f>+'Metrics - Articles'!C695</f>
        <v>0</v>
      </c>
      <c r="C698">
        <f>COUNTIF('Metrics - Articles'!E697,"*Sports*")</f>
        <v>0</v>
      </c>
      <c r="D698">
        <f>COUNTIF('Metrics - Articles'!E697,"*Youth*")</f>
        <v>0</v>
      </c>
      <c r="E698">
        <f>COUNTIF('Metrics - Articles'!E697,"*Healthcare*")</f>
        <v>0</v>
      </c>
      <c r="F698">
        <f>COUNTIF('Metrics - Articles'!E697,"*Innovation")</f>
        <v>0</v>
      </c>
      <c r="G698">
        <f>COUNTIF('Metrics - Articles'!E697,"*Corporate*")</f>
        <v>0</v>
      </c>
      <c r="I698" s="53">
        <f t="shared" si="11"/>
        <v>0</v>
      </c>
    </row>
    <row r="699" spans="2:9" x14ac:dyDescent="0.25">
      <c r="B699" s="48">
        <f>+'Metrics - Articles'!C696</f>
        <v>0</v>
      </c>
      <c r="C699">
        <f>COUNTIF('Metrics - Articles'!E698,"*Sports*")</f>
        <v>0</v>
      </c>
      <c r="D699">
        <f>COUNTIF('Metrics - Articles'!E698,"*Youth*")</f>
        <v>0</v>
      </c>
      <c r="E699">
        <f>COUNTIF('Metrics - Articles'!E698,"*Healthcare*")</f>
        <v>0</v>
      </c>
      <c r="F699">
        <f>COUNTIF('Metrics - Articles'!E698,"*Innovation")</f>
        <v>0</v>
      </c>
      <c r="G699">
        <f>COUNTIF('Metrics - Articles'!E698,"*Corporate*")</f>
        <v>0</v>
      </c>
      <c r="I699" s="53">
        <f t="shared" si="11"/>
        <v>0</v>
      </c>
    </row>
    <row r="700" spans="2:9" x14ac:dyDescent="0.25">
      <c r="B700" s="48">
        <f>+'Metrics - Articles'!C697</f>
        <v>0</v>
      </c>
      <c r="C700">
        <f>COUNTIF('Metrics - Articles'!E699,"*Sports*")</f>
        <v>0</v>
      </c>
      <c r="D700">
        <f>COUNTIF('Metrics - Articles'!E699,"*Youth*")</f>
        <v>0</v>
      </c>
      <c r="E700">
        <f>COUNTIF('Metrics - Articles'!E699,"*Healthcare*")</f>
        <v>0</v>
      </c>
      <c r="F700">
        <f>COUNTIF('Metrics - Articles'!E699,"*Innovation")</f>
        <v>0</v>
      </c>
      <c r="G700">
        <f>COUNTIF('Metrics - Articles'!E699,"*Corporate*")</f>
        <v>0</v>
      </c>
      <c r="I700" s="53">
        <f t="shared" si="11"/>
        <v>0</v>
      </c>
    </row>
    <row r="701" spans="2:9" x14ac:dyDescent="0.25">
      <c r="B701" s="48">
        <f>+'Metrics - Articles'!C698</f>
        <v>0</v>
      </c>
      <c r="C701">
        <f>COUNTIF('Metrics - Articles'!E700,"*Sports*")</f>
        <v>0</v>
      </c>
      <c r="D701">
        <f>COUNTIF('Metrics - Articles'!E700,"*Youth*")</f>
        <v>0</v>
      </c>
      <c r="E701">
        <f>COUNTIF('Metrics - Articles'!E700,"*Healthcare*")</f>
        <v>0</v>
      </c>
      <c r="F701">
        <f>COUNTIF('Metrics - Articles'!E700,"*Innovation")</f>
        <v>0</v>
      </c>
      <c r="G701">
        <f>COUNTIF('Metrics - Articles'!E700,"*Corporate*")</f>
        <v>0</v>
      </c>
      <c r="I701" s="53">
        <f t="shared" si="11"/>
        <v>0</v>
      </c>
    </row>
    <row r="702" spans="2:9" x14ac:dyDescent="0.25">
      <c r="B702" s="48">
        <f>+'Metrics - Articles'!C699</f>
        <v>0</v>
      </c>
      <c r="C702">
        <f>COUNTIF('Metrics - Articles'!E701,"*Sports*")</f>
        <v>0</v>
      </c>
      <c r="D702">
        <f>COUNTIF('Metrics - Articles'!E701,"*Youth*")</f>
        <v>0</v>
      </c>
      <c r="E702">
        <f>COUNTIF('Metrics - Articles'!E701,"*Healthcare*")</f>
        <v>0</v>
      </c>
      <c r="F702">
        <f>COUNTIF('Metrics - Articles'!E701,"*Innovation")</f>
        <v>0</v>
      </c>
      <c r="G702">
        <f>COUNTIF('Metrics - Articles'!E701,"*Corporate*")</f>
        <v>0</v>
      </c>
      <c r="I702" s="53">
        <f t="shared" si="11"/>
        <v>0</v>
      </c>
    </row>
    <row r="703" spans="2:9" x14ac:dyDescent="0.25">
      <c r="B703" s="48">
        <f>+'Metrics - Articles'!C700</f>
        <v>0</v>
      </c>
      <c r="C703">
        <f>COUNTIF('Metrics - Articles'!E702,"*Sports*")</f>
        <v>0</v>
      </c>
      <c r="D703">
        <f>COUNTIF('Metrics - Articles'!E702,"*Youth*")</f>
        <v>0</v>
      </c>
      <c r="E703">
        <f>COUNTIF('Metrics - Articles'!E702,"*Healthcare*")</f>
        <v>0</v>
      </c>
      <c r="F703">
        <f>COUNTIF('Metrics - Articles'!E702,"*Innovation")</f>
        <v>0</v>
      </c>
      <c r="G703">
        <f>COUNTIF('Metrics - Articles'!E702,"*Corporate*")</f>
        <v>0</v>
      </c>
      <c r="I703" s="53">
        <f t="shared" si="11"/>
        <v>0</v>
      </c>
    </row>
    <row r="704" spans="2:9" x14ac:dyDescent="0.25">
      <c r="B704" s="48">
        <f>+'Metrics - Articles'!C701</f>
        <v>0</v>
      </c>
      <c r="C704">
        <f>COUNTIF('Metrics - Articles'!E703,"*Sports*")</f>
        <v>0</v>
      </c>
      <c r="D704">
        <f>COUNTIF('Metrics - Articles'!E703,"*Youth*")</f>
        <v>0</v>
      </c>
      <c r="E704">
        <f>COUNTIF('Metrics - Articles'!E703,"*Healthcare*")</f>
        <v>0</v>
      </c>
      <c r="F704">
        <f>COUNTIF('Metrics - Articles'!E703,"*Innovation")</f>
        <v>0</v>
      </c>
      <c r="G704">
        <f>COUNTIF('Metrics - Articles'!E703,"*Corporate*")</f>
        <v>0</v>
      </c>
      <c r="I704" s="53">
        <f t="shared" si="11"/>
        <v>0</v>
      </c>
    </row>
    <row r="705" spans="2:9" x14ac:dyDescent="0.25">
      <c r="B705" s="48">
        <f>+'Metrics - Articles'!C702</f>
        <v>0</v>
      </c>
      <c r="C705">
        <f>COUNTIF('Metrics - Articles'!E704,"*Sports*")</f>
        <v>0</v>
      </c>
      <c r="D705">
        <f>COUNTIF('Metrics - Articles'!E704,"*Youth*")</f>
        <v>0</v>
      </c>
      <c r="E705">
        <f>COUNTIF('Metrics - Articles'!E704,"*Healthcare*")</f>
        <v>0</v>
      </c>
      <c r="F705">
        <f>COUNTIF('Metrics - Articles'!E704,"*Innovation")</f>
        <v>0</v>
      </c>
      <c r="G705">
        <f>COUNTIF('Metrics - Articles'!E704,"*Corporate*")</f>
        <v>0</v>
      </c>
      <c r="I705" s="53">
        <f t="shared" si="11"/>
        <v>0</v>
      </c>
    </row>
    <row r="706" spans="2:9" x14ac:dyDescent="0.25">
      <c r="B706" s="48">
        <f>+'Metrics - Articles'!C703</f>
        <v>0</v>
      </c>
      <c r="C706">
        <f>COUNTIF('Metrics - Articles'!E705,"*Sports*")</f>
        <v>0</v>
      </c>
      <c r="D706">
        <f>COUNTIF('Metrics - Articles'!E705,"*Youth*")</f>
        <v>0</v>
      </c>
      <c r="E706">
        <f>COUNTIF('Metrics - Articles'!E705,"*Healthcare*")</f>
        <v>0</v>
      </c>
      <c r="F706">
        <f>COUNTIF('Metrics - Articles'!E705,"*Innovation")</f>
        <v>0</v>
      </c>
      <c r="G706">
        <f>COUNTIF('Metrics - Articles'!E705,"*Corporate*")</f>
        <v>0</v>
      </c>
      <c r="I706" s="53">
        <f t="shared" si="11"/>
        <v>0</v>
      </c>
    </row>
    <row r="707" spans="2:9" x14ac:dyDescent="0.25">
      <c r="B707" s="48">
        <f>+'Metrics - Articles'!C704</f>
        <v>0</v>
      </c>
      <c r="C707">
        <f>COUNTIF('Metrics - Articles'!E706,"*Sports*")</f>
        <v>0</v>
      </c>
      <c r="D707">
        <f>COUNTIF('Metrics - Articles'!E706,"*Youth*")</f>
        <v>0</v>
      </c>
      <c r="E707">
        <f>COUNTIF('Metrics - Articles'!E706,"*Healthcare*")</f>
        <v>0</v>
      </c>
      <c r="F707">
        <f>COUNTIF('Metrics - Articles'!E706,"*Innovation")</f>
        <v>0</v>
      </c>
      <c r="G707">
        <f>COUNTIF('Metrics - Articles'!E706,"*Corporate*")</f>
        <v>0</v>
      </c>
      <c r="I707" s="53">
        <f t="shared" si="11"/>
        <v>0</v>
      </c>
    </row>
    <row r="708" spans="2:9" x14ac:dyDescent="0.25">
      <c r="B708" s="48">
        <f>+'Metrics - Articles'!C705</f>
        <v>0</v>
      </c>
      <c r="C708">
        <f>COUNTIF('Metrics - Articles'!E707,"*Sports*")</f>
        <v>0</v>
      </c>
      <c r="D708">
        <f>COUNTIF('Metrics - Articles'!E707,"*Youth*")</f>
        <v>0</v>
      </c>
      <c r="E708">
        <f>COUNTIF('Metrics - Articles'!E707,"*Healthcare*")</f>
        <v>0</v>
      </c>
      <c r="F708">
        <f>COUNTIF('Metrics - Articles'!E707,"*Innovation")</f>
        <v>0</v>
      </c>
      <c r="G708">
        <f>COUNTIF('Metrics - Articles'!E707,"*Corporate*")</f>
        <v>0</v>
      </c>
      <c r="I708" s="53">
        <f t="shared" si="11"/>
        <v>0</v>
      </c>
    </row>
    <row r="709" spans="2:9" x14ac:dyDescent="0.25">
      <c r="B709" s="48">
        <f>+'Metrics - Articles'!C706</f>
        <v>0</v>
      </c>
      <c r="C709">
        <f>COUNTIF('Metrics - Articles'!E708,"*Sports*")</f>
        <v>0</v>
      </c>
      <c r="D709">
        <f>COUNTIF('Metrics - Articles'!E708,"*Youth*")</f>
        <v>0</v>
      </c>
      <c r="E709">
        <f>COUNTIF('Metrics - Articles'!E708,"*Healthcare*")</f>
        <v>0</v>
      </c>
      <c r="F709">
        <f>COUNTIF('Metrics - Articles'!E708,"*Innovation")</f>
        <v>0</v>
      </c>
      <c r="G709">
        <f>COUNTIF('Metrics - Articles'!E708,"*Corporate*")</f>
        <v>0</v>
      </c>
      <c r="I709" s="53">
        <f t="shared" si="11"/>
        <v>0</v>
      </c>
    </row>
    <row r="710" spans="2:9" x14ac:dyDescent="0.25">
      <c r="B710" s="48">
        <f>+'Metrics - Articles'!C707</f>
        <v>0</v>
      </c>
      <c r="C710">
        <f>COUNTIF('Metrics - Articles'!E709,"*Sports*")</f>
        <v>0</v>
      </c>
      <c r="D710">
        <f>COUNTIF('Metrics - Articles'!E709,"*Youth*")</f>
        <v>0</v>
      </c>
      <c r="E710">
        <f>COUNTIF('Metrics - Articles'!E709,"*Healthcare*")</f>
        <v>0</v>
      </c>
      <c r="F710">
        <f>COUNTIF('Metrics - Articles'!E709,"*Innovation")</f>
        <v>0</v>
      </c>
      <c r="G710">
        <f>COUNTIF('Metrics - Articles'!E709,"*Corporate*")</f>
        <v>0</v>
      </c>
      <c r="I710" s="53">
        <f t="shared" si="11"/>
        <v>0</v>
      </c>
    </row>
    <row r="711" spans="2:9" x14ac:dyDescent="0.25">
      <c r="B711" s="48">
        <f>+'Metrics - Articles'!C708</f>
        <v>0</v>
      </c>
      <c r="C711">
        <f>COUNTIF('Metrics - Articles'!E710,"*Sports*")</f>
        <v>0</v>
      </c>
      <c r="D711">
        <f>COUNTIF('Metrics - Articles'!E710,"*Youth*")</f>
        <v>0</v>
      </c>
      <c r="E711">
        <f>COUNTIF('Metrics - Articles'!E710,"*Healthcare*")</f>
        <v>0</v>
      </c>
      <c r="F711">
        <f>COUNTIF('Metrics - Articles'!E710,"*Innovation")</f>
        <v>0</v>
      </c>
      <c r="G711">
        <f>COUNTIF('Metrics - Articles'!E710,"*Corporate*")</f>
        <v>0</v>
      </c>
      <c r="I711" s="53">
        <f t="shared" si="11"/>
        <v>0</v>
      </c>
    </row>
    <row r="712" spans="2:9" x14ac:dyDescent="0.25">
      <c r="B712" s="48">
        <f>+'Metrics - Articles'!C709</f>
        <v>0</v>
      </c>
      <c r="C712">
        <f>COUNTIF('Metrics - Articles'!E711,"*Sports*")</f>
        <v>0</v>
      </c>
      <c r="D712">
        <f>COUNTIF('Metrics - Articles'!E711,"*Youth*")</f>
        <v>0</v>
      </c>
      <c r="E712">
        <f>COUNTIF('Metrics - Articles'!E711,"*Healthcare*")</f>
        <v>0</v>
      </c>
      <c r="F712">
        <f>COUNTIF('Metrics - Articles'!E711,"*Innovation")</f>
        <v>0</v>
      </c>
      <c r="G712">
        <f>COUNTIF('Metrics - Articles'!E711,"*Corporate*")</f>
        <v>0</v>
      </c>
      <c r="I712" s="53">
        <f t="shared" ref="I712:I775" si="12">SUM(C712:H712)</f>
        <v>0</v>
      </c>
    </row>
    <row r="713" spans="2:9" x14ac:dyDescent="0.25">
      <c r="B713" s="48">
        <f>+'Metrics - Articles'!C710</f>
        <v>0</v>
      </c>
      <c r="C713">
        <f>COUNTIF('Metrics - Articles'!E712,"*Sports*")</f>
        <v>0</v>
      </c>
      <c r="D713">
        <f>COUNTIF('Metrics - Articles'!E712,"*Youth*")</f>
        <v>0</v>
      </c>
      <c r="E713">
        <f>COUNTIF('Metrics - Articles'!E712,"*Healthcare*")</f>
        <v>0</v>
      </c>
      <c r="F713">
        <f>COUNTIF('Metrics - Articles'!E712,"*Innovation")</f>
        <v>0</v>
      </c>
      <c r="G713">
        <f>COUNTIF('Metrics - Articles'!E712,"*Corporate*")</f>
        <v>0</v>
      </c>
      <c r="I713" s="53">
        <f t="shared" si="12"/>
        <v>0</v>
      </c>
    </row>
    <row r="714" spans="2:9" x14ac:dyDescent="0.25">
      <c r="B714" s="48">
        <f>+'Metrics - Articles'!C711</f>
        <v>0</v>
      </c>
      <c r="C714">
        <f>COUNTIF('Metrics - Articles'!E713,"*Sports*")</f>
        <v>0</v>
      </c>
      <c r="D714">
        <f>COUNTIF('Metrics - Articles'!E713,"*Youth*")</f>
        <v>0</v>
      </c>
      <c r="E714">
        <f>COUNTIF('Metrics - Articles'!E713,"*Healthcare*")</f>
        <v>0</v>
      </c>
      <c r="F714">
        <f>COUNTIF('Metrics - Articles'!E713,"*Innovation")</f>
        <v>0</v>
      </c>
      <c r="G714">
        <f>COUNTIF('Metrics - Articles'!E713,"*Corporate*")</f>
        <v>0</v>
      </c>
      <c r="I714" s="53">
        <f t="shared" si="12"/>
        <v>0</v>
      </c>
    </row>
    <row r="715" spans="2:9" x14ac:dyDescent="0.25">
      <c r="B715" s="48">
        <f>+'Metrics - Articles'!C712</f>
        <v>0</v>
      </c>
      <c r="C715">
        <f>COUNTIF('Metrics - Articles'!E714,"*Sports*")</f>
        <v>0</v>
      </c>
      <c r="D715">
        <f>COUNTIF('Metrics - Articles'!E714,"*Youth*")</f>
        <v>0</v>
      </c>
      <c r="E715">
        <f>COUNTIF('Metrics - Articles'!E714,"*Healthcare*")</f>
        <v>0</v>
      </c>
      <c r="F715">
        <f>COUNTIF('Metrics - Articles'!E714,"*Innovation")</f>
        <v>0</v>
      </c>
      <c r="G715">
        <f>COUNTIF('Metrics - Articles'!E714,"*Corporate*")</f>
        <v>0</v>
      </c>
      <c r="I715" s="53">
        <f t="shared" si="12"/>
        <v>0</v>
      </c>
    </row>
    <row r="716" spans="2:9" x14ac:dyDescent="0.25">
      <c r="B716" s="48">
        <f>+'Metrics - Articles'!C713</f>
        <v>0</v>
      </c>
      <c r="C716">
        <f>COUNTIF('Metrics - Articles'!E715,"*Sports*")</f>
        <v>0</v>
      </c>
      <c r="D716">
        <f>COUNTIF('Metrics - Articles'!E715,"*Youth*")</f>
        <v>0</v>
      </c>
      <c r="E716">
        <f>COUNTIF('Metrics - Articles'!E715,"*Healthcare*")</f>
        <v>0</v>
      </c>
      <c r="F716">
        <f>COUNTIF('Metrics - Articles'!E715,"*Innovation")</f>
        <v>0</v>
      </c>
      <c r="G716">
        <f>COUNTIF('Metrics - Articles'!E715,"*Corporate*")</f>
        <v>0</v>
      </c>
      <c r="I716" s="53">
        <f t="shared" si="12"/>
        <v>0</v>
      </c>
    </row>
    <row r="717" spans="2:9" x14ac:dyDescent="0.25">
      <c r="B717" s="48">
        <f>+'Metrics - Articles'!C714</f>
        <v>0</v>
      </c>
      <c r="C717">
        <f>COUNTIF('Metrics - Articles'!E716,"*Sports*")</f>
        <v>0</v>
      </c>
      <c r="D717">
        <f>COUNTIF('Metrics - Articles'!E716,"*Youth*")</f>
        <v>0</v>
      </c>
      <c r="E717">
        <f>COUNTIF('Metrics - Articles'!E716,"*Healthcare*")</f>
        <v>0</v>
      </c>
      <c r="F717">
        <f>COUNTIF('Metrics - Articles'!E716,"*Innovation")</f>
        <v>0</v>
      </c>
      <c r="G717">
        <f>COUNTIF('Metrics - Articles'!E716,"*Corporate*")</f>
        <v>0</v>
      </c>
      <c r="I717" s="53">
        <f t="shared" si="12"/>
        <v>0</v>
      </c>
    </row>
    <row r="718" spans="2:9" x14ac:dyDescent="0.25">
      <c r="B718" s="48">
        <f>+'Metrics - Articles'!C715</f>
        <v>0</v>
      </c>
      <c r="C718">
        <f>COUNTIF('Metrics - Articles'!E717,"*Sports*")</f>
        <v>0</v>
      </c>
      <c r="D718">
        <f>COUNTIF('Metrics - Articles'!E717,"*Youth*")</f>
        <v>0</v>
      </c>
      <c r="E718">
        <f>COUNTIF('Metrics - Articles'!E717,"*Healthcare*")</f>
        <v>0</v>
      </c>
      <c r="F718">
        <f>COUNTIF('Metrics - Articles'!E717,"*Innovation")</f>
        <v>0</v>
      </c>
      <c r="G718">
        <f>COUNTIF('Metrics - Articles'!E717,"*Corporate*")</f>
        <v>0</v>
      </c>
      <c r="I718" s="53">
        <f t="shared" si="12"/>
        <v>0</v>
      </c>
    </row>
    <row r="719" spans="2:9" x14ac:dyDescent="0.25">
      <c r="B719" s="48">
        <f>+'Metrics - Articles'!C716</f>
        <v>0</v>
      </c>
      <c r="C719">
        <f>COUNTIF('Metrics - Articles'!E718,"*Sports*")</f>
        <v>0</v>
      </c>
      <c r="D719">
        <f>COUNTIF('Metrics - Articles'!E718,"*Youth*")</f>
        <v>0</v>
      </c>
      <c r="E719">
        <f>COUNTIF('Metrics - Articles'!E718,"*Healthcare*")</f>
        <v>0</v>
      </c>
      <c r="F719">
        <f>COUNTIF('Metrics - Articles'!E718,"*Innovation")</f>
        <v>0</v>
      </c>
      <c r="G719">
        <f>COUNTIF('Metrics - Articles'!E718,"*Corporate*")</f>
        <v>0</v>
      </c>
      <c r="I719" s="53">
        <f t="shared" si="12"/>
        <v>0</v>
      </c>
    </row>
    <row r="720" spans="2:9" x14ac:dyDescent="0.25">
      <c r="B720" s="48">
        <f>+'Metrics - Articles'!C717</f>
        <v>0</v>
      </c>
      <c r="C720">
        <f>COUNTIF('Metrics - Articles'!E719,"*Sports*")</f>
        <v>0</v>
      </c>
      <c r="D720">
        <f>COUNTIF('Metrics - Articles'!E719,"*Youth*")</f>
        <v>0</v>
      </c>
      <c r="E720">
        <f>COUNTIF('Metrics - Articles'!E719,"*Healthcare*")</f>
        <v>0</v>
      </c>
      <c r="F720">
        <f>COUNTIF('Metrics - Articles'!E719,"*Innovation")</f>
        <v>0</v>
      </c>
      <c r="G720">
        <f>COUNTIF('Metrics - Articles'!E719,"*Corporate*")</f>
        <v>0</v>
      </c>
      <c r="I720" s="53">
        <f t="shared" si="12"/>
        <v>0</v>
      </c>
    </row>
    <row r="721" spans="2:9" x14ac:dyDescent="0.25">
      <c r="B721" s="48">
        <f>+'Metrics - Articles'!C718</f>
        <v>0</v>
      </c>
      <c r="C721">
        <f>COUNTIF('Metrics - Articles'!E720,"*Sports*")</f>
        <v>0</v>
      </c>
      <c r="D721">
        <f>COUNTIF('Metrics - Articles'!E720,"*Youth*")</f>
        <v>0</v>
      </c>
      <c r="E721">
        <f>COUNTIF('Metrics - Articles'!E720,"*Healthcare*")</f>
        <v>0</v>
      </c>
      <c r="F721">
        <f>COUNTIF('Metrics - Articles'!E720,"*Innovation")</f>
        <v>0</v>
      </c>
      <c r="G721">
        <f>COUNTIF('Metrics - Articles'!E720,"*Corporate*")</f>
        <v>0</v>
      </c>
      <c r="I721" s="53">
        <f t="shared" si="12"/>
        <v>0</v>
      </c>
    </row>
    <row r="722" spans="2:9" x14ac:dyDescent="0.25">
      <c r="B722" s="48">
        <f>+'Metrics - Articles'!C719</f>
        <v>0</v>
      </c>
      <c r="C722">
        <f>COUNTIF('Metrics - Articles'!E721,"*Sports*")</f>
        <v>0</v>
      </c>
      <c r="D722">
        <f>COUNTIF('Metrics - Articles'!E721,"*Youth*")</f>
        <v>0</v>
      </c>
      <c r="E722">
        <f>COUNTIF('Metrics - Articles'!E721,"*Healthcare*")</f>
        <v>0</v>
      </c>
      <c r="F722">
        <f>COUNTIF('Metrics - Articles'!E721,"*Innovation")</f>
        <v>0</v>
      </c>
      <c r="G722">
        <f>COUNTIF('Metrics - Articles'!E721,"*Corporate*")</f>
        <v>0</v>
      </c>
      <c r="I722" s="53">
        <f t="shared" si="12"/>
        <v>0</v>
      </c>
    </row>
    <row r="723" spans="2:9" x14ac:dyDescent="0.25">
      <c r="B723" s="48">
        <f>+'Metrics - Articles'!C720</f>
        <v>0</v>
      </c>
      <c r="C723">
        <f>COUNTIF('Metrics - Articles'!E722,"*Sports*")</f>
        <v>0</v>
      </c>
      <c r="D723">
        <f>COUNTIF('Metrics - Articles'!E722,"*Youth*")</f>
        <v>0</v>
      </c>
      <c r="E723">
        <f>COUNTIF('Metrics - Articles'!E722,"*Healthcare*")</f>
        <v>0</v>
      </c>
      <c r="F723">
        <f>COUNTIF('Metrics - Articles'!E722,"*Innovation")</f>
        <v>0</v>
      </c>
      <c r="G723">
        <f>COUNTIF('Metrics - Articles'!E722,"*Corporate*")</f>
        <v>0</v>
      </c>
      <c r="I723" s="53">
        <f t="shared" si="12"/>
        <v>0</v>
      </c>
    </row>
    <row r="724" spans="2:9" x14ac:dyDescent="0.25">
      <c r="B724" s="48">
        <f>+'Metrics - Articles'!C721</f>
        <v>0</v>
      </c>
      <c r="C724">
        <f>COUNTIF('Metrics - Articles'!E723,"*Sports*")</f>
        <v>0</v>
      </c>
      <c r="D724">
        <f>COUNTIF('Metrics - Articles'!E723,"*Youth*")</f>
        <v>0</v>
      </c>
      <c r="E724">
        <f>COUNTIF('Metrics - Articles'!E723,"*Healthcare*")</f>
        <v>0</v>
      </c>
      <c r="F724">
        <f>COUNTIF('Metrics - Articles'!E723,"*Innovation")</f>
        <v>0</v>
      </c>
      <c r="G724">
        <f>COUNTIF('Metrics - Articles'!E723,"*Corporate*")</f>
        <v>0</v>
      </c>
      <c r="I724" s="53">
        <f t="shared" si="12"/>
        <v>0</v>
      </c>
    </row>
    <row r="725" spans="2:9" x14ac:dyDescent="0.25">
      <c r="B725" s="48">
        <f>+'Metrics - Articles'!C722</f>
        <v>0</v>
      </c>
      <c r="C725">
        <f>COUNTIF('Metrics - Articles'!E724,"*Sports*")</f>
        <v>0</v>
      </c>
      <c r="D725">
        <f>COUNTIF('Metrics - Articles'!E724,"*Youth*")</f>
        <v>0</v>
      </c>
      <c r="E725">
        <f>COUNTIF('Metrics - Articles'!E724,"*Healthcare*")</f>
        <v>0</v>
      </c>
      <c r="F725">
        <f>COUNTIF('Metrics - Articles'!E724,"*Innovation")</f>
        <v>0</v>
      </c>
      <c r="G725">
        <f>COUNTIF('Metrics - Articles'!E724,"*Corporate*")</f>
        <v>0</v>
      </c>
      <c r="I725" s="53">
        <f t="shared" si="12"/>
        <v>0</v>
      </c>
    </row>
    <row r="726" spans="2:9" x14ac:dyDescent="0.25">
      <c r="B726" s="48">
        <f>+'Metrics - Articles'!C723</f>
        <v>0</v>
      </c>
      <c r="C726">
        <f>COUNTIF('Metrics - Articles'!E725,"*Sports*")</f>
        <v>0</v>
      </c>
      <c r="D726">
        <f>COUNTIF('Metrics - Articles'!E725,"*Youth*")</f>
        <v>0</v>
      </c>
      <c r="E726">
        <f>COUNTIF('Metrics - Articles'!E725,"*Healthcare*")</f>
        <v>0</v>
      </c>
      <c r="F726">
        <f>COUNTIF('Metrics - Articles'!E725,"*Innovation")</f>
        <v>0</v>
      </c>
      <c r="G726">
        <f>COUNTIF('Metrics - Articles'!E725,"*Corporate*")</f>
        <v>0</v>
      </c>
      <c r="I726" s="53">
        <f t="shared" si="12"/>
        <v>0</v>
      </c>
    </row>
    <row r="727" spans="2:9" x14ac:dyDescent="0.25">
      <c r="B727" s="48">
        <f>+'Metrics - Articles'!C724</f>
        <v>0</v>
      </c>
      <c r="C727">
        <f>COUNTIF('Metrics - Articles'!E726,"*Sports*")</f>
        <v>0</v>
      </c>
      <c r="D727">
        <f>COUNTIF('Metrics - Articles'!E726,"*Youth*")</f>
        <v>0</v>
      </c>
      <c r="E727">
        <f>COUNTIF('Metrics - Articles'!E726,"*Healthcare*")</f>
        <v>0</v>
      </c>
      <c r="F727">
        <f>COUNTIF('Metrics - Articles'!E726,"*Innovation")</f>
        <v>0</v>
      </c>
      <c r="G727">
        <f>COUNTIF('Metrics - Articles'!E726,"*Corporate*")</f>
        <v>0</v>
      </c>
      <c r="I727" s="53">
        <f t="shared" si="12"/>
        <v>0</v>
      </c>
    </row>
    <row r="728" spans="2:9" x14ac:dyDescent="0.25">
      <c r="B728" s="48">
        <f>+'Metrics - Articles'!C725</f>
        <v>0</v>
      </c>
      <c r="C728">
        <f>COUNTIF('Metrics - Articles'!E727,"*Sports*")</f>
        <v>0</v>
      </c>
      <c r="D728">
        <f>COUNTIF('Metrics - Articles'!E727,"*Youth*")</f>
        <v>0</v>
      </c>
      <c r="E728">
        <f>COUNTIF('Metrics - Articles'!E727,"*Healthcare*")</f>
        <v>0</v>
      </c>
      <c r="F728">
        <f>COUNTIF('Metrics - Articles'!E727,"*Innovation")</f>
        <v>0</v>
      </c>
      <c r="G728">
        <f>COUNTIF('Metrics - Articles'!E727,"*Corporate*")</f>
        <v>0</v>
      </c>
      <c r="I728" s="53">
        <f t="shared" si="12"/>
        <v>0</v>
      </c>
    </row>
    <row r="729" spans="2:9" x14ac:dyDescent="0.25">
      <c r="B729" s="48">
        <f>+'Metrics - Articles'!C726</f>
        <v>0</v>
      </c>
      <c r="C729">
        <f>COUNTIF('Metrics - Articles'!E728,"*Sports*")</f>
        <v>0</v>
      </c>
      <c r="D729">
        <f>COUNTIF('Metrics - Articles'!E728,"*Youth*")</f>
        <v>0</v>
      </c>
      <c r="E729">
        <f>COUNTIF('Metrics - Articles'!E728,"*Healthcare*")</f>
        <v>0</v>
      </c>
      <c r="F729">
        <f>COUNTIF('Metrics - Articles'!E728,"*Innovation")</f>
        <v>0</v>
      </c>
      <c r="G729">
        <f>COUNTIF('Metrics - Articles'!E728,"*Corporate*")</f>
        <v>0</v>
      </c>
      <c r="I729" s="53">
        <f t="shared" si="12"/>
        <v>0</v>
      </c>
    </row>
    <row r="730" spans="2:9" x14ac:dyDescent="0.25">
      <c r="B730" s="48">
        <f>+'Metrics - Articles'!C727</f>
        <v>0</v>
      </c>
      <c r="C730">
        <f>COUNTIF('Metrics - Articles'!E729,"*Sports*")</f>
        <v>0</v>
      </c>
      <c r="D730">
        <f>COUNTIF('Metrics - Articles'!E729,"*Youth*")</f>
        <v>0</v>
      </c>
      <c r="E730">
        <f>COUNTIF('Metrics - Articles'!E729,"*Healthcare*")</f>
        <v>0</v>
      </c>
      <c r="F730">
        <f>COUNTIF('Metrics - Articles'!E729,"*Innovation")</f>
        <v>0</v>
      </c>
      <c r="G730">
        <f>COUNTIF('Metrics - Articles'!E729,"*Corporate*")</f>
        <v>0</v>
      </c>
      <c r="I730" s="53">
        <f t="shared" si="12"/>
        <v>0</v>
      </c>
    </row>
    <row r="731" spans="2:9" x14ac:dyDescent="0.25">
      <c r="B731" s="48">
        <f>+'Metrics - Articles'!C728</f>
        <v>0</v>
      </c>
      <c r="C731">
        <f>COUNTIF('Metrics - Articles'!E730,"*Sports*")</f>
        <v>0</v>
      </c>
      <c r="D731">
        <f>COUNTIF('Metrics - Articles'!E730,"*Youth*")</f>
        <v>0</v>
      </c>
      <c r="E731">
        <f>COUNTIF('Metrics - Articles'!E730,"*Healthcare*")</f>
        <v>0</v>
      </c>
      <c r="F731">
        <f>COUNTIF('Metrics - Articles'!E730,"*Innovation")</f>
        <v>0</v>
      </c>
      <c r="G731">
        <f>COUNTIF('Metrics - Articles'!E730,"*Corporate*")</f>
        <v>0</v>
      </c>
      <c r="I731" s="53">
        <f t="shared" si="12"/>
        <v>0</v>
      </c>
    </row>
    <row r="732" spans="2:9" x14ac:dyDescent="0.25">
      <c r="B732" s="48">
        <f>+'Metrics - Articles'!C729</f>
        <v>0</v>
      </c>
      <c r="C732">
        <f>COUNTIF('Metrics - Articles'!E731,"*Sports*")</f>
        <v>0</v>
      </c>
      <c r="D732">
        <f>COUNTIF('Metrics - Articles'!E731,"*Youth*")</f>
        <v>0</v>
      </c>
      <c r="E732">
        <f>COUNTIF('Metrics - Articles'!E731,"*Healthcare*")</f>
        <v>0</v>
      </c>
      <c r="F732">
        <f>COUNTIF('Metrics - Articles'!E731,"*Innovation")</f>
        <v>0</v>
      </c>
      <c r="G732">
        <f>COUNTIF('Metrics - Articles'!E731,"*Corporate*")</f>
        <v>0</v>
      </c>
      <c r="I732" s="53">
        <f t="shared" si="12"/>
        <v>0</v>
      </c>
    </row>
    <row r="733" spans="2:9" x14ac:dyDescent="0.25">
      <c r="B733" s="48">
        <f>+'Metrics - Articles'!C730</f>
        <v>0</v>
      </c>
      <c r="C733">
        <f>COUNTIF('Metrics - Articles'!E732,"*Sports*")</f>
        <v>0</v>
      </c>
      <c r="D733">
        <f>COUNTIF('Metrics - Articles'!E732,"*Youth*")</f>
        <v>0</v>
      </c>
      <c r="E733">
        <f>COUNTIF('Metrics - Articles'!E732,"*Healthcare*")</f>
        <v>0</v>
      </c>
      <c r="F733">
        <f>COUNTIF('Metrics - Articles'!E732,"*Innovation")</f>
        <v>0</v>
      </c>
      <c r="G733">
        <f>COUNTIF('Metrics - Articles'!E732,"*Corporate*")</f>
        <v>0</v>
      </c>
      <c r="I733" s="53">
        <f t="shared" si="12"/>
        <v>0</v>
      </c>
    </row>
    <row r="734" spans="2:9" x14ac:dyDescent="0.25">
      <c r="B734" s="48">
        <f>+'Metrics - Articles'!C731</f>
        <v>0</v>
      </c>
      <c r="C734">
        <f>COUNTIF('Metrics - Articles'!E733,"*Sports*")</f>
        <v>0</v>
      </c>
      <c r="D734">
        <f>COUNTIF('Metrics - Articles'!E733,"*Youth*")</f>
        <v>0</v>
      </c>
      <c r="E734">
        <f>COUNTIF('Metrics - Articles'!E733,"*Healthcare*")</f>
        <v>0</v>
      </c>
      <c r="F734">
        <f>COUNTIF('Metrics - Articles'!E733,"*Innovation")</f>
        <v>0</v>
      </c>
      <c r="G734">
        <f>COUNTIF('Metrics - Articles'!E733,"*Corporate*")</f>
        <v>0</v>
      </c>
      <c r="I734" s="53">
        <f t="shared" si="12"/>
        <v>0</v>
      </c>
    </row>
    <row r="735" spans="2:9" x14ac:dyDescent="0.25">
      <c r="B735" s="48">
        <f>+'Metrics - Articles'!C732</f>
        <v>0</v>
      </c>
      <c r="C735">
        <f>COUNTIF('Metrics - Articles'!E734,"*Sports*")</f>
        <v>0</v>
      </c>
      <c r="D735">
        <f>COUNTIF('Metrics - Articles'!E734,"*Youth*")</f>
        <v>0</v>
      </c>
      <c r="E735">
        <f>COUNTIF('Metrics - Articles'!E734,"*Healthcare*")</f>
        <v>0</v>
      </c>
      <c r="F735">
        <f>COUNTIF('Metrics - Articles'!E734,"*Innovation")</f>
        <v>0</v>
      </c>
      <c r="G735">
        <f>COUNTIF('Metrics - Articles'!E734,"*Corporate*")</f>
        <v>0</v>
      </c>
      <c r="I735" s="53">
        <f t="shared" si="12"/>
        <v>0</v>
      </c>
    </row>
    <row r="736" spans="2:9" x14ac:dyDescent="0.25">
      <c r="B736" s="48">
        <f>+'Metrics - Articles'!C733</f>
        <v>0</v>
      </c>
      <c r="C736">
        <f>COUNTIF('Metrics - Articles'!E735,"*Sports*")</f>
        <v>0</v>
      </c>
      <c r="D736">
        <f>COUNTIF('Metrics - Articles'!E735,"*Youth*")</f>
        <v>0</v>
      </c>
      <c r="E736">
        <f>COUNTIF('Metrics - Articles'!E735,"*Healthcare*")</f>
        <v>0</v>
      </c>
      <c r="F736">
        <f>COUNTIF('Metrics - Articles'!E735,"*Innovation")</f>
        <v>0</v>
      </c>
      <c r="G736">
        <f>COUNTIF('Metrics - Articles'!E735,"*Corporate*")</f>
        <v>0</v>
      </c>
      <c r="I736" s="53">
        <f t="shared" si="12"/>
        <v>0</v>
      </c>
    </row>
    <row r="737" spans="2:9" x14ac:dyDescent="0.25">
      <c r="B737" s="48">
        <f>+'Metrics - Articles'!C734</f>
        <v>0</v>
      </c>
      <c r="C737">
        <f>COUNTIF('Metrics - Articles'!E736,"*Sports*")</f>
        <v>0</v>
      </c>
      <c r="D737">
        <f>COUNTIF('Metrics - Articles'!E736,"*Youth*")</f>
        <v>0</v>
      </c>
      <c r="E737">
        <f>COUNTIF('Metrics - Articles'!E736,"*Healthcare*")</f>
        <v>0</v>
      </c>
      <c r="F737">
        <f>COUNTIF('Metrics - Articles'!E736,"*Innovation")</f>
        <v>0</v>
      </c>
      <c r="G737">
        <f>COUNTIF('Metrics - Articles'!E736,"*Corporate*")</f>
        <v>0</v>
      </c>
      <c r="I737" s="53">
        <f t="shared" si="12"/>
        <v>0</v>
      </c>
    </row>
    <row r="738" spans="2:9" x14ac:dyDescent="0.25">
      <c r="B738" s="48">
        <f>+'Metrics - Articles'!C735</f>
        <v>0</v>
      </c>
      <c r="C738">
        <f>COUNTIF('Metrics - Articles'!E737,"*Sports*")</f>
        <v>0</v>
      </c>
      <c r="D738">
        <f>COUNTIF('Metrics - Articles'!E737,"*Youth*")</f>
        <v>0</v>
      </c>
      <c r="E738">
        <f>COUNTIF('Metrics - Articles'!E737,"*Healthcare*")</f>
        <v>0</v>
      </c>
      <c r="F738">
        <f>COUNTIF('Metrics - Articles'!E737,"*Innovation")</f>
        <v>0</v>
      </c>
      <c r="G738">
        <f>COUNTIF('Metrics - Articles'!E737,"*Corporate*")</f>
        <v>0</v>
      </c>
      <c r="I738" s="53">
        <f t="shared" si="12"/>
        <v>0</v>
      </c>
    </row>
    <row r="739" spans="2:9" x14ac:dyDescent="0.25">
      <c r="B739" s="48">
        <f>+'Metrics - Articles'!C736</f>
        <v>0</v>
      </c>
      <c r="C739">
        <f>COUNTIF('Metrics - Articles'!E738,"*Sports*")</f>
        <v>0</v>
      </c>
      <c r="D739">
        <f>COUNTIF('Metrics - Articles'!E738,"*Youth*")</f>
        <v>0</v>
      </c>
      <c r="E739">
        <f>COUNTIF('Metrics - Articles'!E738,"*Healthcare*")</f>
        <v>0</v>
      </c>
      <c r="F739">
        <f>COUNTIF('Metrics - Articles'!E738,"*Innovation")</f>
        <v>0</v>
      </c>
      <c r="G739">
        <f>COUNTIF('Metrics - Articles'!E738,"*Corporate*")</f>
        <v>0</v>
      </c>
      <c r="I739" s="53">
        <f t="shared" si="12"/>
        <v>0</v>
      </c>
    </row>
    <row r="740" spans="2:9" x14ac:dyDescent="0.25">
      <c r="B740" s="48">
        <f>+'Metrics - Articles'!C737</f>
        <v>0</v>
      </c>
      <c r="C740">
        <f>COUNTIF('Metrics - Articles'!E739,"*Sports*")</f>
        <v>0</v>
      </c>
      <c r="D740">
        <f>COUNTIF('Metrics - Articles'!E739,"*Youth*")</f>
        <v>0</v>
      </c>
      <c r="E740">
        <f>COUNTIF('Metrics - Articles'!E739,"*Healthcare*")</f>
        <v>0</v>
      </c>
      <c r="F740">
        <f>COUNTIF('Metrics - Articles'!E739,"*Innovation")</f>
        <v>0</v>
      </c>
      <c r="G740">
        <f>COUNTIF('Metrics - Articles'!E739,"*Corporate*")</f>
        <v>0</v>
      </c>
      <c r="I740" s="53">
        <f t="shared" si="12"/>
        <v>0</v>
      </c>
    </row>
    <row r="741" spans="2:9" x14ac:dyDescent="0.25">
      <c r="B741" s="48">
        <f>+'Metrics - Articles'!C738</f>
        <v>0</v>
      </c>
      <c r="C741">
        <f>COUNTIF('Metrics - Articles'!E740,"*Sports*")</f>
        <v>0</v>
      </c>
      <c r="D741">
        <f>COUNTIF('Metrics - Articles'!E740,"*Youth*")</f>
        <v>0</v>
      </c>
      <c r="E741">
        <f>COUNTIF('Metrics - Articles'!E740,"*Healthcare*")</f>
        <v>0</v>
      </c>
      <c r="F741">
        <f>COUNTIF('Metrics - Articles'!E740,"*Innovation")</f>
        <v>0</v>
      </c>
      <c r="G741">
        <f>COUNTIF('Metrics - Articles'!E740,"*Corporate*")</f>
        <v>0</v>
      </c>
      <c r="I741" s="53">
        <f t="shared" si="12"/>
        <v>0</v>
      </c>
    </row>
    <row r="742" spans="2:9" x14ac:dyDescent="0.25">
      <c r="B742" s="48">
        <f>+'Metrics - Articles'!C739</f>
        <v>0</v>
      </c>
      <c r="C742">
        <f>COUNTIF('Metrics - Articles'!E741,"*Sports*")</f>
        <v>0</v>
      </c>
      <c r="D742">
        <f>COUNTIF('Metrics - Articles'!E741,"*Youth*")</f>
        <v>0</v>
      </c>
      <c r="E742">
        <f>COUNTIF('Metrics - Articles'!E741,"*Healthcare*")</f>
        <v>0</v>
      </c>
      <c r="F742">
        <f>COUNTIF('Metrics - Articles'!E741,"*Innovation")</f>
        <v>0</v>
      </c>
      <c r="G742">
        <f>COUNTIF('Metrics - Articles'!E741,"*Corporate*")</f>
        <v>0</v>
      </c>
      <c r="I742" s="53">
        <f t="shared" si="12"/>
        <v>0</v>
      </c>
    </row>
    <row r="743" spans="2:9" x14ac:dyDescent="0.25">
      <c r="B743" s="48">
        <f>+'Metrics - Articles'!C740</f>
        <v>0</v>
      </c>
      <c r="C743">
        <f>COUNTIF('Metrics - Articles'!E742,"*Sports*")</f>
        <v>0</v>
      </c>
      <c r="D743">
        <f>COUNTIF('Metrics - Articles'!E742,"*Youth*")</f>
        <v>0</v>
      </c>
      <c r="E743">
        <f>COUNTIF('Metrics - Articles'!E742,"*Healthcare*")</f>
        <v>0</v>
      </c>
      <c r="F743">
        <f>COUNTIF('Metrics - Articles'!E742,"*Innovation")</f>
        <v>0</v>
      </c>
      <c r="G743">
        <f>COUNTIF('Metrics - Articles'!E742,"*Corporate*")</f>
        <v>0</v>
      </c>
      <c r="I743" s="53">
        <f t="shared" si="12"/>
        <v>0</v>
      </c>
    </row>
    <row r="744" spans="2:9" x14ac:dyDescent="0.25">
      <c r="B744" s="48">
        <f>+'Metrics - Articles'!C741</f>
        <v>0</v>
      </c>
      <c r="C744">
        <f>COUNTIF('Metrics - Articles'!E743,"*Sports*")</f>
        <v>0</v>
      </c>
      <c r="D744">
        <f>COUNTIF('Metrics - Articles'!E743,"*Youth*")</f>
        <v>0</v>
      </c>
      <c r="E744">
        <f>COUNTIF('Metrics - Articles'!E743,"*Healthcare*")</f>
        <v>0</v>
      </c>
      <c r="F744">
        <f>COUNTIF('Metrics - Articles'!E743,"*Innovation")</f>
        <v>0</v>
      </c>
      <c r="G744">
        <f>COUNTIF('Metrics - Articles'!E743,"*Corporate*")</f>
        <v>0</v>
      </c>
      <c r="I744" s="53">
        <f t="shared" si="12"/>
        <v>0</v>
      </c>
    </row>
    <row r="745" spans="2:9" x14ac:dyDescent="0.25">
      <c r="B745" s="48">
        <f>+'Metrics - Articles'!C742</f>
        <v>0</v>
      </c>
      <c r="C745">
        <f>COUNTIF('Metrics - Articles'!E744,"*Sports*")</f>
        <v>0</v>
      </c>
      <c r="D745">
        <f>COUNTIF('Metrics - Articles'!E744,"*Youth*")</f>
        <v>0</v>
      </c>
      <c r="E745">
        <f>COUNTIF('Metrics - Articles'!E744,"*Healthcare*")</f>
        <v>0</v>
      </c>
      <c r="F745">
        <f>COUNTIF('Metrics - Articles'!E744,"*Innovation")</f>
        <v>0</v>
      </c>
      <c r="G745">
        <f>COUNTIF('Metrics - Articles'!E744,"*Corporate*")</f>
        <v>0</v>
      </c>
      <c r="I745" s="53">
        <f t="shared" si="12"/>
        <v>0</v>
      </c>
    </row>
    <row r="746" spans="2:9" x14ac:dyDescent="0.25">
      <c r="B746" s="48">
        <f>+'Metrics - Articles'!C743</f>
        <v>0</v>
      </c>
      <c r="C746">
        <f>COUNTIF('Metrics - Articles'!E745,"*Sports*")</f>
        <v>0</v>
      </c>
      <c r="D746">
        <f>COUNTIF('Metrics - Articles'!E745,"*Youth*")</f>
        <v>0</v>
      </c>
      <c r="E746">
        <f>COUNTIF('Metrics - Articles'!E745,"*Healthcare*")</f>
        <v>0</v>
      </c>
      <c r="F746">
        <f>COUNTIF('Metrics - Articles'!E745,"*Innovation")</f>
        <v>0</v>
      </c>
      <c r="G746">
        <f>COUNTIF('Metrics - Articles'!E745,"*Corporate*")</f>
        <v>0</v>
      </c>
      <c r="I746" s="53">
        <f t="shared" si="12"/>
        <v>0</v>
      </c>
    </row>
    <row r="747" spans="2:9" x14ac:dyDescent="0.25">
      <c r="B747" s="48">
        <f>+'Metrics - Articles'!C744</f>
        <v>0</v>
      </c>
      <c r="C747">
        <f>COUNTIF('Metrics - Articles'!E746,"*Sports*")</f>
        <v>0</v>
      </c>
      <c r="D747">
        <f>COUNTIF('Metrics - Articles'!E746,"*Youth*")</f>
        <v>0</v>
      </c>
      <c r="E747">
        <f>COUNTIF('Metrics - Articles'!E746,"*Healthcare*")</f>
        <v>0</v>
      </c>
      <c r="F747">
        <f>COUNTIF('Metrics - Articles'!E746,"*Innovation")</f>
        <v>0</v>
      </c>
      <c r="G747">
        <f>COUNTIF('Metrics - Articles'!E746,"*Corporate*")</f>
        <v>0</v>
      </c>
      <c r="I747" s="53">
        <f t="shared" si="12"/>
        <v>0</v>
      </c>
    </row>
    <row r="748" spans="2:9" x14ac:dyDescent="0.25">
      <c r="B748" s="48">
        <f>+'Metrics - Articles'!C745</f>
        <v>0</v>
      </c>
      <c r="C748">
        <f>COUNTIF('Metrics - Articles'!E747,"*Sports*")</f>
        <v>0</v>
      </c>
      <c r="D748">
        <f>COUNTIF('Metrics - Articles'!E747,"*Youth*")</f>
        <v>0</v>
      </c>
      <c r="E748">
        <f>COUNTIF('Metrics - Articles'!E747,"*Healthcare*")</f>
        <v>0</v>
      </c>
      <c r="F748">
        <f>COUNTIF('Metrics - Articles'!E747,"*Innovation")</f>
        <v>0</v>
      </c>
      <c r="G748">
        <f>COUNTIF('Metrics - Articles'!E747,"*Corporate*")</f>
        <v>0</v>
      </c>
      <c r="I748" s="53">
        <f t="shared" si="12"/>
        <v>0</v>
      </c>
    </row>
    <row r="749" spans="2:9" x14ac:dyDescent="0.25">
      <c r="B749" s="48">
        <f>+'Metrics - Articles'!C746</f>
        <v>0</v>
      </c>
      <c r="C749">
        <f>COUNTIF('Metrics - Articles'!E748,"*Sports*")</f>
        <v>0</v>
      </c>
      <c r="D749">
        <f>COUNTIF('Metrics - Articles'!E748,"*Youth*")</f>
        <v>0</v>
      </c>
      <c r="E749">
        <f>COUNTIF('Metrics - Articles'!E748,"*Healthcare*")</f>
        <v>0</v>
      </c>
      <c r="F749">
        <f>COUNTIF('Metrics - Articles'!E748,"*Innovation")</f>
        <v>0</v>
      </c>
      <c r="G749">
        <f>COUNTIF('Metrics - Articles'!E748,"*Corporate*")</f>
        <v>0</v>
      </c>
      <c r="I749" s="53">
        <f t="shared" si="12"/>
        <v>0</v>
      </c>
    </row>
    <row r="750" spans="2:9" x14ac:dyDescent="0.25">
      <c r="B750" s="48">
        <f>+'Metrics - Articles'!C747</f>
        <v>0</v>
      </c>
      <c r="C750">
        <f>COUNTIF('Metrics - Articles'!E749,"*Sports*")</f>
        <v>0</v>
      </c>
      <c r="D750">
        <f>COUNTIF('Metrics - Articles'!E749,"*Youth*")</f>
        <v>0</v>
      </c>
      <c r="E750">
        <f>COUNTIF('Metrics - Articles'!E749,"*Healthcare*")</f>
        <v>0</v>
      </c>
      <c r="F750">
        <f>COUNTIF('Metrics - Articles'!E749,"*Innovation")</f>
        <v>0</v>
      </c>
      <c r="G750">
        <f>COUNTIF('Metrics - Articles'!E749,"*Corporate*")</f>
        <v>0</v>
      </c>
      <c r="I750" s="53">
        <f t="shared" si="12"/>
        <v>0</v>
      </c>
    </row>
    <row r="751" spans="2:9" x14ac:dyDescent="0.25">
      <c r="B751" s="48">
        <f>+'Metrics - Articles'!C748</f>
        <v>0</v>
      </c>
      <c r="C751">
        <f>COUNTIF('Metrics - Articles'!E750,"*Sports*")</f>
        <v>0</v>
      </c>
      <c r="D751">
        <f>COUNTIF('Metrics - Articles'!E750,"*Youth*")</f>
        <v>0</v>
      </c>
      <c r="E751">
        <f>COUNTIF('Metrics - Articles'!E750,"*Healthcare*")</f>
        <v>0</v>
      </c>
      <c r="F751">
        <f>COUNTIF('Metrics - Articles'!E750,"*Innovation")</f>
        <v>0</v>
      </c>
      <c r="G751">
        <f>COUNTIF('Metrics - Articles'!E750,"*Corporate*")</f>
        <v>0</v>
      </c>
      <c r="I751" s="53">
        <f t="shared" si="12"/>
        <v>0</v>
      </c>
    </row>
    <row r="752" spans="2:9" x14ac:dyDescent="0.25">
      <c r="B752" s="48">
        <f>+'Metrics - Articles'!C749</f>
        <v>0</v>
      </c>
      <c r="C752">
        <f>COUNTIF('Metrics - Articles'!E751,"*Sports*")</f>
        <v>0</v>
      </c>
      <c r="D752">
        <f>COUNTIF('Metrics - Articles'!E751,"*Youth*")</f>
        <v>0</v>
      </c>
      <c r="E752">
        <f>COUNTIF('Metrics - Articles'!E751,"*Healthcare*")</f>
        <v>0</v>
      </c>
      <c r="F752">
        <f>COUNTIF('Metrics - Articles'!E751,"*Innovation")</f>
        <v>0</v>
      </c>
      <c r="G752">
        <f>COUNTIF('Metrics - Articles'!E751,"*Corporate*")</f>
        <v>0</v>
      </c>
      <c r="I752" s="53">
        <f t="shared" si="12"/>
        <v>0</v>
      </c>
    </row>
    <row r="753" spans="2:9" x14ac:dyDescent="0.25">
      <c r="B753" s="48">
        <f>+'Metrics - Articles'!C750</f>
        <v>0</v>
      </c>
      <c r="C753">
        <f>COUNTIF('Metrics - Articles'!E752,"*Sports*")</f>
        <v>0</v>
      </c>
      <c r="D753">
        <f>COUNTIF('Metrics - Articles'!E752,"*Youth*")</f>
        <v>0</v>
      </c>
      <c r="E753">
        <f>COUNTIF('Metrics - Articles'!E752,"*Healthcare*")</f>
        <v>0</v>
      </c>
      <c r="F753">
        <f>COUNTIF('Metrics - Articles'!E752,"*Innovation")</f>
        <v>0</v>
      </c>
      <c r="G753">
        <f>COUNTIF('Metrics - Articles'!E752,"*Corporate*")</f>
        <v>0</v>
      </c>
      <c r="I753" s="53">
        <f t="shared" si="12"/>
        <v>0</v>
      </c>
    </row>
    <row r="754" spans="2:9" x14ac:dyDescent="0.25">
      <c r="B754" s="48">
        <f>+'Metrics - Articles'!C751</f>
        <v>0</v>
      </c>
      <c r="C754">
        <f>COUNTIF('Metrics - Articles'!E753,"*Sports*")</f>
        <v>0</v>
      </c>
      <c r="D754">
        <f>COUNTIF('Metrics - Articles'!E753,"*Youth*")</f>
        <v>0</v>
      </c>
      <c r="E754">
        <f>COUNTIF('Metrics - Articles'!E753,"*Healthcare*")</f>
        <v>0</v>
      </c>
      <c r="F754">
        <f>COUNTIF('Metrics - Articles'!E753,"*Innovation")</f>
        <v>0</v>
      </c>
      <c r="G754">
        <f>COUNTIF('Metrics - Articles'!E753,"*Corporate*")</f>
        <v>0</v>
      </c>
      <c r="I754" s="53">
        <f t="shared" si="12"/>
        <v>0</v>
      </c>
    </row>
    <row r="755" spans="2:9" x14ac:dyDescent="0.25">
      <c r="B755" s="48">
        <f>+'Metrics - Articles'!C752</f>
        <v>0</v>
      </c>
      <c r="C755">
        <f>COUNTIF('Metrics - Articles'!E754,"*Sports*")</f>
        <v>0</v>
      </c>
      <c r="D755">
        <f>COUNTIF('Metrics - Articles'!E754,"*Youth*")</f>
        <v>0</v>
      </c>
      <c r="E755">
        <f>COUNTIF('Metrics - Articles'!E754,"*Healthcare*")</f>
        <v>0</v>
      </c>
      <c r="F755">
        <f>COUNTIF('Metrics - Articles'!E754,"*Innovation")</f>
        <v>0</v>
      </c>
      <c r="G755">
        <f>COUNTIF('Metrics - Articles'!E754,"*Corporate*")</f>
        <v>0</v>
      </c>
      <c r="I755" s="53">
        <f t="shared" si="12"/>
        <v>0</v>
      </c>
    </row>
    <row r="756" spans="2:9" x14ac:dyDescent="0.25">
      <c r="B756" s="48">
        <f>+'Metrics - Articles'!C753</f>
        <v>0</v>
      </c>
      <c r="C756">
        <f>COUNTIF('Metrics - Articles'!E755,"*Sports*")</f>
        <v>0</v>
      </c>
      <c r="D756">
        <f>COUNTIF('Metrics - Articles'!E755,"*Youth*")</f>
        <v>0</v>
      </c>
      <c r="E756">
        <f>COUNTIF('Metrics - Articles'!E755,"*Healthcare*")</f>
        <v>0</v>
      </c>
      <c r="F756">
        <f>COUNTIF('Metrics - Articles'!E755,"*Innovation")</f>
        <v>0</v>
      </c>
      <c r="G756">
        <f>COUNTIF('Metrics - Articles'!E755,"*Corporate*")</f>
        <v>0</v>
      </c>
      <c r="I756" s="53">
        <f t="shared" si="12"/>
        <v>0</v>
      </c>
    </row>
    <row r="757" spans="2:9" x14ac:dyDescent="0.25">
      <c r="B757" s="48">
        <f>+'Metrics - Articles'!C754</f>
        <v>0</v>
      </c>
      <c r="C757">
        <f>COUNTIF('Metrics - Articles'!E756,"*Sports*")</f>
        <v>0</v>
      </c>
      <c r="D757">
        <f>COUNTIF('Metrics - Articles'!E756,"*Youth*")</f>
        <v>0</v>
      </c>
      <c r="E757">
        <f>COUNTIF('Metrics - Articles'!E756,"*Healthcare*")</f>
        <v>0</v>
      </c>
      <c r="F757">
        <f>COUNTIF('Metrics - Articles'!E756,"*Innovation")</f>
        <v>0</v>
      </c>
      <c r="G757">
        <f>COUNTIF('Metrics - Articles'!E756,"*Corporate*")</f>
        <v>0</v>
      </c>
      <c r="I757" s="53">
        <f t="shared" si="12"/>
        <v>0</v>
      </c>
    </row>
    <row r="758" spans="2:9" x14ac:dyDescent="0.25">
      <c r="B758" s="48">
        <f>+'Metrics - Articles'!C755</f>
        <v>0</v>
      </c>
      <c r="C758">
        <f>COUNTIF('Metrics - Articles'!E757,"*Sports*")</f>
        <v>0</v>
      </c>
      <c r="D758">
        <f>COUNTIF('Metrics - Articles'!E757,"*Youth*")</f>
        <v>0</v>
      </c>
      <c r="E758">
        <f>COUNTIF('Metrics - Articles'!E757,"*Healthcare*")</f>
        <v>0</v>
      </c>
      <c r="F758">
        <f>COUNTIF('Metrics - Articles'!E757,"*Innovation")</f>
        <v>0</v>
      </c>
      <c r="G758">
        <f>COUNTIF('Metrics - Articles'!E757,"*Corporate*")</f>
        <v>0</v>
      </c>
      <c r="I758" s="53">
        <f t="shared" si="12"/>
        <v>0</v>
      </c>
    </row>
    <row r="759" spans="2:9" x14ac:dyDescent="0.25">
      <c r="B759" s="48">
        <f>+'Metrics - Articles'!C756</f>
        <v>0</v>
      </c>
      <c r="C759">
        <f>COUNTIF('Metrics - Articles'!E758,"*Sports*")</f>
        <v>0</v>
      </c>
      <c r="D759">
        <f>COUNTIF('Metrics - Articles'!E758,"*Youth*")</f>
        <v>0</v>
      </c>
      <c r="E759">
        <f>COUNTIF('Metrics - Articles'!E758,"*Healthcare*")</f>
        <v>0</v>
      </c>
      <c r="F759">
        <f>COUNTIF('Metrics - Articles'!E758,"*Innovation")</f>
        <v>0</v>
      </c>
      <c r="G759">
        <f>COUNTIF('Metrics - Articles'!E758,"*Corporate*")</f>
        <v>0</v>
      </c>
      <c r="I759" s="53">
        <f t="shared" si="12"/>
        <v>0</v>
      </c>
    </row>
    <row r="760" spans="2:9" x14ac:dyDescent="0.25">
      <c r="B760" s="48">
        <f>+'Metrics - Articles'!C757</f>
        <v>0</v>
      </c>
      <c r="C760">
        <f>COUNTIF('Metrics - Articles'!E759,"*Sports*")</f>
        <v>0</v>
      </c>
      <c r="D760">
        <f>COUNTIF('Metrics - Articles'!E759,"*Youth*")</f>
        <v>0</v>
      </c>
      <c r="E760">
        <f>COUNTIF('Metrics - Articles'!E759,"*Healthcare*")</f>
        <v>0</v>
      </c>
      <c r="F760">
        <f>COUNTIF('Metrics - Articles'!E759,"*Innovation")</f>
        <v>0</v>
      </c>
      <c r="G760">
        <f>COUNTIF('Metrics - Articles'!E759,"*Corporate*")</f>
        <v>0</v>
      </c>
      <c r="I760" s="53">
        <f t="shared" si="12"/>
        <v>0</v>
      </c>
    </row>
    <row r="761" spans="2:9" x14ac:dyDescent="0.25">
      <c r="B761" s="48">
        <f>+'Metrics - Articles'!C758</f>
        <v>0</v>
      </c>
      <c r="C761">
        <f>COUNTIF('Metrics - Articles'!E760,"*Sports*")</f>
        <v>0</v>
      </c>
      <c r="D761">
        <f>COUNTIF('Metrics - Articles'!E760,"*Youth*")</f>
        <v>0</v>
      </c>
      <c r="E761">
        <f>COUNTIF('Metrics - Articles'!E760,"*Healthcare*")</f>
        <v>0</v>
      </c>
      <c r="F761">
        <f>COUNTIF('Metrics - Articles'!E760,"*Innovation")</f>
        <v>0</v>
      </c>
      <c r="G761">
        <f>COUNTIF('Metrics - Articles'!E760,"*Corporate*")</f>
        <v>0</v>
      </c>
      <c r="I761" s="53">
        <f t="shared" si="12"/>
        <v>0</v>
      </c>
    </row>
    <row r="762" spans="2:9" x14ac:dyDescent="0.25">
      <c r="B762" s="48">
        <f>+'Metrics - Articles'!C759</f>
        <v>0</v>
      </c>
      <c r="C762">
        <f>COUNTIF('Metrics - Articles'!E761,"*Sports*")</f>
        <v>0</v>
      </c>
      <c r="D762">
        <f>COUNTIF('Metrics - Articles'!E761,"*Youth*")</f>
        <v>0</v>
      </c>
      <c r="E762">
        <f>COUNTIF('Metrics - Articles'!E761,"*Healthcare*")</f>
        <v>0</v>
      </c>
      <c r="F762">
        <f>COUNTIF('Metrics - Articles'!E761,"*Innovation")</f>
        <v>0</v>
      </c>
      <c r="G762">
        <f>COUNTIF('Metrics - Articles'!E761,"*Corporate*")</f>
        <v>0</v>
      </c>
      <c r="I762" s="53">
        <f t="shared" si="12"/>
        <v>0</v>
      </c>
    </row>
    <row r="763" spans="2:9" x14ac:dyDescent="0.25">
      <c r="B763" s="48">
        <f>+'Metrics - Articles'!C760</f>
        <v>0</v>
      </c>
      <c r="C763">
        <f>COUNTIF('Metrics - Articles'!E762,"*Sports*")</f>
        <v>0</v>
      </c>
      <c r="D763">
        <f>COUNTIF('Metrics - Articles'!E762,"*Youth*")</f>
        <v>0</v>
      </c>
      <c r="E763">
        <f>COUNTIF('Metrics - Articles'!E762,"*Healthcare*")</f>
        <v>0</v>
      </c>
      <c r="F763">
        <f>COUNTIF('Metrics - Articles'!E762,"*Innovation")</f>
        <v>0</v>
      </c>
      <c r="G763">
        <f>COUNTIF('Metrics - Articles'!E762,"*Corporate*")</f>
        <v>0</v>
      </c>
      <c r="I763" s="53">
        <f t="shared" si="12"/>
        <v>0</v>
      </c>
    </row>
    <row r="764" spans="2:9" x14ac:dyDescent="0.25">
      <c r="B764" s="48">
        <f>+'Metrics - Articles'!C761</f>
        <v>0</v>
      </c>
      <c r="C764">
        <f>COUNTIF('Metrics - Articles'!E763,"*Sports*")</f>
        <v>0</v>
      </c>
      <c r="D764">
        <f>COUNTIF('Metrics - Articles'!E763,"*Youth*")</f>
        <v>0</v>
      </c>
      <c r="E764">
        <f>COUNTIF('Metrics - Articles'!E763,"*Healthcare*")</f>
        <v>0</v>
      </c>
      <c r="F764">
        <f>COUNTIF('Metrics - Articles'!E763,"*Innovation")</f>
        <v>0</v>
      </c>
      <c r="G764">
        <f>COUNTIF('Metrics - Articles'!E763,"*Corporate*")</f>
        <v>0</v>
      </c>
      <c r="I764" s="53">
        <f t="shared" si="12"/>
        <v>0</v>
      </c>
    </row>
    <row r="765" spans="2:9" x14ac:dyDescent="0.25">
      <c r="B765" s="48">
        <f>+'Metrics - Articles'!C762</f>
        <v>0</v>
      </c>
      <c r="C765">
        <f>COUNTIF('Metrics - Articles'!E764,"*Sports*")</f>
        <v>0</v>
      </c>
      <c r="D765">
        <f>COUNTIF('Metrics - Articles'!E764,"*Youth*")</f>
        <v>0</v>
      </c>
      <c r="E765">
        <f>COUNTIF('Metrics - Articles'!E764,"*Healthcare*")</f>
        <v>0</v>
      </c>
      <c r="F765">
        <f>COUNTIF('Metrics - Articles'!E764,"*Innovation")</f>
        <v>0</v>
      </c>
      <c r="G765">
        <f>COUNTIF('Metrics - Articles'!E764,"*Corporate*")</f>
        <v>0</v>
      </c>
      <c r="I765" s="53">
        <f t="shared" si="12"/>
        <v>0</v>
      </c>
    </row>
    <row r="766" spans="2:9" x14ac:dyDescent="0.25">
      <c r="B766" s="48">
        <f>+'Metrics - Articles'!C763</f>
        <v>0</v>
      </c>
      <c r="C766">
        <f>COUNTIF('Metrics - Articles'!E765,"*Sports*")</f>
        <v>0</v>
      </c>
      <c r="D766">
        <f>COUNTIF('Metrics - Articles'!E765,"*Youth*")</f>
        <v>0</v>
      </c>
      <c r="E766">
        <f>COUNTIF('Metrics - Articles'!E765,"*Healthcare*")</f>
        <v>0</v>
      </c>
      <c r="F766">
        <f>COUNTIF('Metrics - Articles'!E765,"*Innovation")</f>
        <v>0</v>
      </c>
      <c r="G766">
        <f>COUNTIF('Metrics - Articles'!E765,"*Corporate*")</f>
        <v>0</v>
      </c>
      <c r="I766" s="53">
        <f t="shared" si="12"/>
        <v>0</v>
      </c>
    </row>
    <row r="767" spans="2:9" x14ac:dyDescent="0.25">
      <c r="B767" s="48">
        <f>+'Metrics - Articles'!C764</f>
        <v>0</v>
      </c>
      <c r="C767">
        <f>COUNTIF('Metrics - Articles'!E766,"*Sports*")</f>
        <v>0</v>
      </c>
      <c r="D767">
        <f>COUNTIF('Metrics - Articles'!E766,"*Youth*")</f>
        <v>0</v>
      </c>
      <c r="E767">
        <f>COUNTIF('Metrics - Articles'!E766,"*Healthcare*")</f>
        <v>0</v>
      </c>
      <c r="F767">
        <f>COUNTIF('Metrics - Articles'!E766,"*Innovation")</f>
        <v>0</v>
      </c>
      <c r="G767">
        <f>COUNTIF('Metrics - Articles'!E766,"*Corporate*")</f>
        <v>0</v>
      </c>
      <c r="I767" s="53">
        <f t="shared" si="12"/>
        <v>0</v>
      </c>
    </row>
    <row r="768" spans="2:9" x14ac:dyDescent="0.25">
      <c r="B768" s="48">
        <f>+'Metrics - Articles'!C765</f>
        <v>0</v>
      </c>
      <c r="C768">
        <f>COUNTIF('Metrics - Articles'!E767,"*Sports*")</f>
        <v>0</v>
      </c>
      <c r="D768">
        <f>COUNTIF('Metrics - Articles'!E767,"*Youth*")</f>
        <v>0</v>
      </c>
      <c r="E768">
        <f>COUNTIF('Metrics - Articles'!E767,"*Healthcare*")</f>
        <v>0</v>
      </c>
      <c r="F768">
        <f>COUNTIF('Metrics - Articles'!E767,"*Innovation")</f>
        <v>0</v>
      </c>
      <c r="G768">
        <f>COUNTIF('Metrics - Articles'!E767,"*Corporate*")</f>
        <v>0</v>
      </c>
      <c r="I768" s="53">
        <f t="shared" si="12"/>
        <v>0</v>
      </c>
    </row>
    <row r="769" spans="2:9" x14ac:dyDescent="0.25">
      <c r="B769" s="48">
        <f>+'Metrics - Articles'!C766</f>
        <v>0</v>
      </c>
      <c r="C769">
        <f>COUNTIF('Metrics - Articles'!E768,"*Sports*")</f>
        <v>0</v>
      </c>
      <c r="D769">
        <f>COUNTIF('Metrics - Articles'!E768,"*Youth*")</f>
        <v>0</v>
      </c>
      <c r="E769">
        <f>COUNTIF('Metrics - Articles'!E768,"*Healthcare*")</f>
        <v>0</v>
      </c>
      <c r="F769">
        <f>COUNTIF('Metrics - Articles'!E768,"*Innovation")</f>
        <v>0</v>
      </c>
      <c r="G769">
        <f>COUNTIF('Metrics - Articles'!E768,"*Corporate*")</f>
        <v>0</v>
      </c>
      <c r="I769" s="53">
        <f t="shared" si="12"/>
        <v>0</v>
      </c>
    </row>
    <row r="770" spans="2:9" x14ac:dyDescent="0.25">
      <c r="B770" s="48">
        <f>+'Metrics - Articles'!C767</f>
        <v>0</v>
      </c>
      <c r="C770">
        <f>COUNTIF('Metrics - Articles'!E769,"*Sports*")</f>
        <v>0</v>
      </c>
      <c r="D770">
        <f>COUNTIF('Metrics - Articles'!E769,"*Youth*")</f>
        <v>0</v>
      </c>
      <c r="E770">
        <f>COUNTIF('Metrics - Articles'!E769,"*Healthcare*")</f>
        <v>0</v>
      </c>
      <c r="F770">
        <f>COUNTIF('Metrics - Articles'!E769,"*Innovation")</f>
        <v>0</v>
      </c>
      <c r="G770">
        <f>COUNTIF('Metrics - Articles'!E769,"*Corporate*")</f>
        <v>0</v>
      </c>
      <c r="I770" s="53">
        <f t="shared" si="12"/>
        <v>0</v>
      </c>
    </row>
    <row r="771" spans="2:9" x14ac:dyDescent="0.25">
      <c r="B771" s="48">
        <f>+'Metrics - Articles'!C768</f>
        <v>0</v>
      </c>
      <c r="C771">
        <f>COUNTIF('Metrics - Articles'!E770,"*Sports*")</f>
        <v>0</v>
      </c>
      <c r="D771">
        <f>COUNTIF('Metrics - Articles'!E770,"*Youth*")</f>
        <v>0</v>
      </c>
      <c r="E771">
        <f>COUNTIF('Metrics - Articles'!E770,"*Healthcare*")</f>
        <v>0</v>
      </c>
      <c r="F771">
        <f>COUNTIF('Metrics - Articles'!E770,"*Innovation")</f>
        <v>0</v>
      </c>
      <c r="G771">
        <f>COUNTIF('Metrics - Articles'!E770,"*Corporate*")</f>
        <v>0</v>
      </c>
      <c r="I771" s="53">
        <f t="shared" si="12"/>
        <v>0</v>
      </c>
    </row>
    <row r="772" spans="2:9" x14ac:dyDescent="0.25">
      <c r="B772" s="48">
        <f>+'Metrics - Articles'!C769</f>
        <v>0</v>
      </c>
      <c r="C772">
        <f>COUNTIF('Metrics - Articles'!E771,"*Sports*")</f>
        <v>0</v>
      </c>
      <c r="D772">
        <f>COUNTIF('Metrics - Articles'!E771,"*Youth*")</f>
        <v>0</v>
      </c>
      <c r="E772">
        <f>COUNTIF('Metrics - Articles'!E771,"*Healthcare*")</f>
        <v>0</v>
      </c>
      <c r="F772">
        <f>COUNTIF('Metrics - Articles'!E771,"*Innovation")</f>
        <v>0</v>
      </c>
      <c r="G772">
        <f>COUNTIF('Metrics - Articles'!E771,"*Corporate*")</f>
        <v>0</v>
      </c>
      <c r="I772" s="53">
        <f t="shared" si="12"/>
        <v>0</v>
      </c>
    </row>
    <row r="773" spans="2:9" x14ac:dyDescent="0.25">
      <c r="B773" s="48">
        <f>+'Metrics - Articles'!C770</f>
        <v>0</v>
      </c>
      <c r="C773">
        <f>COUNTIF('Metrics - Articles'!E772,"*Sports*")</f>
        <v>0</v>
      </c>
      <c r="D773">
        <f>COUNTIF('Metrics - Articles'!E772,"*Youth*")</f>
        <v>0</v>
      </c>
      <c r="E773">
        <f>COUNTIF('Metrics - Articles'!E772,"*Healthcare*")</f>
        <v>0</v>
      </c>
      <c r="F773">
        <f>COUNTIF('Metrics - Articles'!E772,"*Innovation")</f>
        <v>0</v>
      </c>
      <c r="G773">
        <f>COUNTIF('Metrics - Articles'!E772,"*Corporate*")</f>
        <v>0</v>
      </c>
      <c r="I773" s="53">
        <f t="shared" si="12"/>
        <v>0</v>
      </c>
    </row>
    <row r="774" spans="2:9" x14ac:dyDescent="0.25">
      <c r="B774" s="48">
        <f>+'Metrics - Articles'!C771</f>
        <v>0</v>
      </c>
      <c r="C774">
        <f>COUNTIF('Metrics - Articles'!E773,"*Sports*")</f>
        <v>0</v>
      </c>
      <c r="D774">
        <f>COUNTIF('Metrics - Articles'!E773,"*Youth*")</f>
        <v>0</v>
      </c>
      <c r="E774">
        <f>COUNTIF('Metrics - Articles'!E773,"*Healthcare*")</f>
        <v>0</v>
      </c>
      <c r="F774">
        <f>COUNTIF('Metrics - Articles'!E773,"*Innovation")</f>
        <v>0</v>
      </c>
      <c r="G774">
        <f>COUNTIF('Metrics - Articles'!E773,"*Corporate*")</f>
        <v>0</v>
      </c>
      <c r="I774" s="53">
        <f t="shared" si="12"/>
        <v>0</v>
      </c>
    </row>
    <row r="775" spans="2:9" x14ac:dyDescent="0.25">
      <c r="B775" s="48">
        <f>+'Metrics - Articles'!C772</f>
        <v>0</v>
      </c>
      <c r="C775">
        <f>COUNTIF('Metrics - Articles'!E774,"*Sports*")</f>
        <v>0</v>
      </c>
      <c r="D775">
        <f>COUNTIF('Metrics - Articles'!E774,"*Youth*")</f>
        <v>0</v>
      </c>
      <c r="E775">
        <f>COUNTIF('Metrics - Articles'!E774,"*Healthcare*")</f>
        <v>0</v>
      </c>
      <c r="F775">
        <f>COUNTIF('Metrics - Articles'!E774,"*Innovation")</f>
        <v>0</v>
      </c>
      <c r="G775">
        <f>COUNTIF('Metrics - Articles'!E774,"*Corporate*")</f>
        <v>0</v>
      </c>
      <c r="I775" s="53">
        <f t="shared" si="12"/>
        <v>0</v>
      </c>
    </row>
    <row r="776" spans="2:9" x14ac:dyDescent="0.25">
      <c r="B776" s="48">
        <f>+'Metrics - Articles'!C773</f>
        <v>0</v>
      </c>
      <c r="C776">
        <f>COUNTIF('Metrics - Articles'!E775,"*Sports*")</f>
        <v>0</v>
      </c>
      <c r="D776">
        <f>COUNTIF('Metrics - Articles'!E775,"*Youth*")</f>
        <v>0</v>
      </c>
      <c r="E776">
        <f>COUNTIF('Metrics - Articles'!E775,"*Healthcare*")</f>
        <v>0</v>
      </c>
      <c r="F776">
        <f>COUNTIF('Metrics - Articles'!E775,"*Innovation")</f>
        <v>0</v>
      </c>
      <c r="G776">
        <f>COUNTIF('Metrics - Articles'!E775,"*Corporate*")</f>
        <v>0</v>
      </c>
      <c r="I776" s="53">
        <f t="shared" ref="I776:I839" si="13">SUM(C776:H776)</f>
        <v>0</v>
      </c>
    </row>
    <row r="777" spans="2:9" x14ac:dyDescent="0.25">
      <c r="B777" s="48">
        <f>+'Metrics - Articles'!C774</f>
        <v>0</v>
      </c>
      <c r="C777">
        <f>COUNTIF('Metrics - Articles'!E776,"*Sports*")</f>
        <v>0</v>
      </c>
      <c r="D777">
        <f>COUNTIF('Metrics - Articles'!E776,"*Youth*")</f>
        <v>0</v>
      </c>
      <c r="E777">
        <f>COUNTIF('Metrics - Articles'!E776,"*Healthcare*")</f>
        <v>0</v>
      </c>
      <c r="F777">
        <f>COUNTIF('Metrics - Articles'!E776,"*Innovation")</f>
        <v>0</v>
      </c>
      <c r="G777">
        <f>COUNTIF('Metrics - Articles'!E776,"*Corporate*")</f>
        <v>0</v>
      </c>
      <c r="I777" s="53">
        <f t="shared" si="13"/>
        <v>0</v>
      </c>
    </row>
    <row r="778" spans="2:9" x14ac:dyDescent="0.25">
      <c r="B778" s="48">
        <f>+'Metrics - Articles'!C775</f>
        <v>0</v>
      </c>
      <c r="C778">
        <f>COUNTIF('Metrics - Articles'!E777,"*Sports*")</f>
        <v>0</v>
      </c>
      <c r="D778">
        <f>COUNTIF('Metrics - Articles'!E777,"*Youth*")</f>
        <v>0</v>
      </c>
      <c r="E778">
        <f>COUNTIF('Metrics - Articles'!E777,"*Healthcare*")</f>
        <v>0</v>
      </c>
      <c r="F778">
        <f>COUNTIF('Metrics - Articles'!E777,"*Innovation")</f>
        <v>0</v>
      </c>
      <c r="G778">
        <f>COUNTIF('Metrics - Articles'!E777,"*Corporate*")</f>
        <v>0</v>
      </c>
      <c r="I778" s="53">
        <f t="shared" si="13"/>
        <v>0</v>
      </c>
    </row>
    <row r="779" spans="2:9" x14ac:dyDescent="0.25">
      <c r="B779" s="48">
        <f>+'Metrics - Articles'!C776</f>
        <v>0</v>
      </c>
      <c r="C779">
        <f>COUNTIF('Metrics - Articles'!E778,"*Sports*")</f>
        <v>0</v>
      </c>
      <c r="D779">
        <f>COUNTIF('Metrics - Articles'!E778,"*Youth*")</f>
        <v>0</v>
      </c>
      <c r="E779">
        <f>COUNTIF('Metrics - Articles'!E778,"*Healthcare*")</f>
        <v>0</v>
      </c>
      <c r="F779">
        <f>COUNTIF('Metrics - Articles'!E778,"*Innovation")</f>
        <v>0</v>
      </c>
      <c r="G779">
        <f>COUNTIF('Metrics - Articles'!E778,"*Corporate*")</f>
        <v>0</v>
      </c>
      <c r="I779" s="53">
        <f t="shared" si="13"/>
        <v>0</v>
      </c>
    </row>
    <row r="780" spans="2:9" x14ac:dyDescent="0.25">
      <c r="B780" s="48">
        <f>+'Metrics - Articles'!C777</f>
        <v>0</v>
      </c>
      <c r="C780">
        <f>COUNTIF('Metrics - Articles'!E779,"*Sports*")</f>
        <v>0</v>
      </c>
      <c r="D780">
        <f>COUNTIF('Metrics - Articles'!E779,"*Youth*")</f>
        <v>0</v>
      </c>
      <c r="E780">
        <f>COUNTIF('Metrics - Articles'!E779,"*Healthcare*")</f>
        <v>0</v>
      </c>
      <c r="F780">
        <f>COUNTIF('Metrics - Articles'!E779,"*Innovation")</f>
        <v>0</v>
      </c>
      <c r="G780">
        <f>COUNTIF('Metrics - Articles'!E779,"*Corporate*")</f>
        <v>0</v>
      </c>
      <c r="I780" s="53">
        <f t="shared" si="13"/>
        <v>0</v>
      </c>
    </row>
    <row r="781" spans="2:9" x14ac:dyDescent="0.25">
      <c r="B781" s="48">
        <f>+'Metrics - Articles'!C778</f>
        <v>0</v>
      </c>
      <c r="C781">
        <f>COUNTIF('Metrics - Articles'!E780,"*Sports*")</f>
        <v>0</v>
      </c>
      <c r="D781">
        <f>COUNTIF('Metrics - Articles'!E780,"*Youth*")</f>
        <v>0</v>
      </c>
      <c r="E781">
        <f>COUNTIF('Metrics - Articles'!E780,"*Healthcare*")</f>
        <v>0</v>
      </c>
      <c r="F781">
        <f>COUNTIF('Metrics - Articles'!E780,"*Innovation")</f>
        <v>0</v>
      </c>
      <c r="G781">
        <f>COUNTIF('Metrics - Articles'!E780,"*Corporate*")</f>
        <v>0</v>
      </c>
      <c r="I781" s="53">
        <f t="shared" si="13"/>
        <v>0</v>
      </c>
    </row>
    <row r="782" spans="2:9" x14ac:dyDescent="0.25">
      <c r="B782" s="48">
        <f>+'Metrics - Articles'!C779</f>
        <v>0</v>
      </c>
      <c r="C782">
        <f>COUNTIF('Metrics - Articles'!E781,"*Sports*")</f>
        <v>0</v>
      </c>
      <c r="D782">
        <f>COUNTIF('Metrics - Articles'!E781,"*Youth*")</f>
        <v>0</v>
      </c>
      <c r="E782">
        <f>COUNTIF('Metrics - Articles'!E781,"*Healthcare*")</f>
        <v>0</v>
      </c>
      <c r="F782">
        <f>COUNTIF('Metrics - Articles'!E781,"*Innovation")</f>
        <v>0</v>
      </c>
      <c r="G782">
        <f>COUNTIF('Metrics - Articles'!E781,"*Corporate*")</f>
        <v>0</v>
      </c>
      <c r="I782" s="53">
        <f t="shared" si="13"/>
        <v>0</v>
      </c>
    </row>
    <row r="783" spans="2:9" x14ac:dyDescent="0.25">
      <c r="B783" s="48">
        <f>+'Metrics - Articles'!C780</f>
        <v>0</v>
      </c>
      <c r="C783">
        <f>COUNTIF('Metrics - Articles'!E782,"*Sports*")</f>
        <v>0</v>
      </c>
      <c r="D783">
        <f>COUNTIF('Metrics - Articles'!E782,"*Youth*")</f>
        <v>0</v>
      </c>
      <c r="E783">
        <f>COUNTIF('Metrics - Articles'!E782,"*Healthcare*")</f>
        <v>0</v>
      </c>
      <c r="F783">
        <f>COUNTIF('Metrics - Articles'!E782,"*Innovation")</f>
        <v>0</v>
      </c>
      <c r="G783">
        <f>COUNTIF('Metrics - Articles'!E782,"*Corporate*")</f>
        <v>0</v>
      </c>
      <c r="I783" s="53">
        <f t="shared" si="13"/>
        <v>0</v>
      </c>
    </row>
    <row r="784" spans="2:9" x14ac:dyDescent="0.25">
      <c r="B784" s="48">
        <f>+'Metrics - Articles'!C781</f>
        <v>0</v>
      </c>
      <c r="C784">
        <f>COUNTIF('Metrics - Articles'!E783,"*Sports*")</f>
        <v>0</v>
      </c>
      <c r="D784">
        <f>COUNTIF('Metrics - Articles'!E783,"*Youth*")</f>
        <v>0</v>
      </c>
      <c r="E784">
        <f>COUNTIF('Metrics - Articles'!E783,"*Healthcare*")</f>
        <v>0</v>
      </c>
      <c r="F784">
        <f>COUNTIF('Metrics - Articles'!E783,"*Innovation")</f>
        <v>0</v>
      </c>
      <c r="G784">
        <f>COUNTIF('Metrics - Articles'!E783,"*Corporate*")</f>
        <v>0</v>
      </c>
      <c r="I784" s="53">
        <f t="shared" si="13"/>
        <v>0</v>
      </c>
    </row>
    <row r="785" spans="2:9" x14ac:dyDescent="0.25">
      <c r="B785" s="48">
        <f>+'Metrics - Articles'!C782</f>
        <v>0</v>
      </c>
      <c r="C785">
        <f>COUNTIF('Metrics - Articles'!E784,"*Sports*")</f>
        <v>0</v>
      </c>
      <c r="D785">
        <f>COUNTIF('Metrics - Articles'!E784,"*Youth*")</f>
        <v>0</v>
      </c>
      <c r="E785">
        <f>COUNTIF('Metrics - Articles'!E784,"*Healthcare*")</f>
        <v>0</v>
      </c>
      <c r="F785">
        <f>COUNTIF('Metrics - Articles'!E784,"*Innovation")</f>
        <v>0</v>
      </c>
      <c r="G785">
        <f>COUNTIF('Metrics - Articles'!E784,"*Corporate*")</f>
        <v>0</v>
      </c>
      <c r="I785" s="53">
        <f t="shared" si="13"/>
        <v>0</v>
      </c>
    </row>
    <row r="786" spans="2:9" x14ac:dyDescent="0.25">
      <c r="B786" s="48">
        <f>+'Metrics - Articles'!C783</f>
        <v>0</v>
      </c>
      <c r="C786">
        <f>COUNTIF('Metrics - Articles'!E785,"*Sports*")</f>
        <v>0</v>
      </c>
      <c r="D786">
        <f>COUNTIF('Metrics - Articles'!E785,"*Youth*")</f>
        <v>0</v>
      </c>
      <c r="E786">
        <f>COUNTIF('Metrics - Articles'!E785,"*Healthcare*")</f>
        <v>0</v>
      </c>
      <c r="F786">
        <f>COUNTIF('Metrics - Articles'!E785,"*Innovation")</f>
        <v>0</v>
      </c>
      <c r="G786">
        <f>COUNTIF('Metrics - Articles'!E785,"*Corporate*")</f>
        <v>0</v>
      </c>
      <c r="I786" s="53">
        <f t="shared" si="13"/>
        <v>0</v>
      </c>
    </row>
    <row r="787" spans="2:9" x14ac:dyDescent="0.25">
      <c r="B787" s="48">
        <f>+'Metrics - Articles'!C784</f>
        <v>0</v>
      </c>
      <c r="C787">
        <f>COUNTIF('Metrics - Articles'!E786,"*Sports*")</f>
        <v>0</v>
      </c>
      <c r="D787">
        <f>COUNTIF('Metrics - Articles'!E786,"*Youth*")</f>
        <v>0</v>
      </c>
      <c r="E787">
        <f>COUNTIF('Metrics - Articles'!E786,"*Healthcare*")</f>
        <v>0</v>
      </c>
      <c r="F787">
        <f>COUNTIF('Metrics - Articles'!E786,"*Innovation")</f>
        <v>0</v>
      </c>
      <c r="G787">
        <f>COUNTIF('Metrics - Articles'!E786,"*Corporate*")</f>
        <v>0</v>
      </c>
      <c r="I787" s="53">
        <f t="shared" si="13"/>
        <v>0</v>
      </c>
    </row>
    <row r="788" spans="2:9" x14ac:dyDescent="0.25">
      <c r="B788" s="48">
        <f>+'Metrics - Articles'!C785</f>
        <v>0</v>
      </c>
      <c r="C788">
        <f>COUNTIF('Metrics - Articles'!E787,"*Sports*")</f>
        <v>0</v>
      </c>
      <c r="D788">
        <f>COUNTIF('Metrics - Articles'!E787,"*Youth*")</f>
        <v>0</v>
      </c>
      <c r="E788">
        <f>COUNTIF('Metrics - Articles'!E787,"*Healthcare*")</f>
        <v>0</v>
      </c>
      <c r="F788">
        <f>COUNTIF('Metrics - Articles'!E787,"*Innovation")</f>
        <v>0</v>
      </c>
      <c r="G788">
        <f>COUNTIF('Metrics - Articles'!E787,"*Corporate*")</f>
        <v>0</v>
      </c>
      <c r="I788" s="53">
        <f t="shared" si="13"/>
        <v>0</v>
      </c>
    </row>
    <row r="789" spans="2:9" x14ac:dyDescent="0.25">
      <c r="B789" s="48">
        <f>+'Metrics - Articles'!C786</f>
        <v>0</v>
      </c>
      <c r="C789">
        <f>COUNTIF('Metrics - Articles'!E788,"*Sports*")</f>
        <v>0</v>
      </c>
      <c r="D789">
        <f>COUNTIF('Metrics - Articles'!E788,"*Youth*")</f>
        <v>0</v>
      </c>
      <c r="E789">
        <f>COUNTIF('Metrics - Articles'!E788,"*Healthcare*")</f>
        <v>0</v>
      </c>
      <c r="F789">
        <f>COUNTIF('Metrics - Articles'!E788,"*Innovation")</f>
        <v>0</v>
      </c>
      <c r="G789">
        <f>COUNTIF('Metrics - Articles'!E788,"*Corporate*")</f>
        <v>0</v>
      </c>
      <c r="I789" s="53">
        <f t="shared" si="13"/>
        <v>0</v>
      </c>
    </row>
    <row r="790" spans="2:9" x14ac:dyDescent="0.25">
      <c r="B790" s="48">
        <f>+'Metrics - Articles'!C787</f>
        <v>0</v>
      </c>
      <c r="C790">
        <f>COUNTIF('Metrics - Articles'!E789,"*Sports*")</f>
        <v>0</v>
      </c>
      <c r="D790">
        <f>COUNTIF('Metrics - Articles'!E789,"*Youth*")</f>
        <v>0</v>
      </c>
      <c r="E790">
        <f>COUNTIF('Metrics - Articles'!E789,"*Healthcare*")</f>
        <v>0</v>
      </c>
      <c r="F790">
        <f>COUNTIF('Metrics - Articles'!E789,"*Innovation")</f>
        <v>0</v>
      </c>
      <c r="G790">
        <f>COUNTIF('Metrics - Articles'!E789,"*Corporate*")</f>
        <v>0</v>
      </c>
      <c r="I790" s="53">
        <f t="shared" si="13"/>
        <v>0</v>
      </c>
    </row>
    <row r="791" spans="2:9" x14ac:dyDescent="0.25">
      <c r="B791" s="48">
        <f>+'Metrics - Articles'!C788</f>
        <v>0</v>
      </c>
      <c r="C791">
        <f>COUNTIF('Metrics - Articles'!E790,"*Sports*")</f>
        <v>0</v>
      </c>
      <c r="D791">
        <f>COUNTIF('Metrics - Articles'!E790,"*Youth*")</f>
        <v>0</v>
      </c>
      <c r="E791">
        <f>COUNTIF('Metrics - Articles'!E790,"*Healthcare*")</f>
        <v>0</v>
      </c>
      <c r="F791">
        <f>COUNTIF('Metrics - Articles'!E790,"*Innovation")</f>
        <v>0</v>
      </c>
      <c r="G791">
        <f>COUNTIF('Metrics - Articles'!E790,"*Corporate*")</f>
        <v>0</v>
      </c>
      <c r="I791" s="53">
        <f t="shared" si="13"/>
        <v>0</v>
      </c>
    </row>
    <row r="792" spans="2:9" x14ac:dyDescent="0.25">
      <c r="B792" s="48">
        <f>+'Metrics - Articles'!C789</f>
        <v>0</v>
      </c>
      <c r="C792">
        <f>COUNTIF('Metrics - Articles'!E791,"*Sports*")</f>
        <v>0</v>
      </c>
      <c r="D792">
        <f>COUNTIF('Metrics - Articles'!E791,"*Youth*")</f>
        <v>0</v>
      </c>
      <c r="E792">
        <f>COUNTIF('Metrics - Articles'!E791,"*Healthcare*")</f>
        <v>0</v>
      </c>
      <c r="F792">
        <f>COUNTIF('Metrics - Articles'!E791,"*Innovation")</f>
        <v>0</v>
      </c>
      <c r="G792">
        <f>COUNTIF('Metrics - Articles'!E791,"*Corporate*")</f>
        <v>0</v>
      </c>
      <c r="I792" s="53">
        <f t="shared" si="13"/>
        <v>0</v>
      </c>
    </row>
    <row r="793" spans="2:9" x14ac:dyDescent="0.25">
      <c r="B793" s="48">
        <f>+'Metrics - Articles'!C790</f>
        <v>0</v>
      </c>
      <c r="C793">
        <f>COUNTIF('Metrics - Articles'!E792,"*Sports*")</f>
        <v>0</v>
      </c>
      <c r="D793">
        <f>COUNTIF('Metrics - Articles'!E792,"*Youth*")</f>
        <v>0</v>
      </c>
      <c r="E793">
        <f>COUNTIF('Metrics - Articles'!E792,"*Healthcare*")</f>
        <v>0</v>
      </c>
      <c r="F793">
        <f>COUNTIF('Metrics - Articles'!E792,"*Innovation")</f>
        <v>0</v>
      </c>
      <c r="G793">
        <f>COUNTIF('Metrics - Articles'!E792,"*Corporate*")</f>
        <v>0</v>
      </c>
      <c r="I793" s="53">
        <f t="shared" si="13"/>
        <v>0</v>
      </c>
    </row>
    <row r="794" spans="2:9" x14ac:dyDescent="0.25">
      <c r="B794" s="48">
        <f>+'Metrics - Articles'!C791</f>
        <v>0</v>
      </c>
      <c r="C794">
        <f>COUNTIF('Metrics - Articles'!E793,"*Sports*")</f>
        <v>0</v>
      </c>
      <c r="D794">
        <f>COUNTIF('Metrics - Articles'!E793,"*Youth*")</f>
        <v>0</v>
      </c>
      <c r="E794">
        <f>COUNTIF('Metrics - Articles'!E793,"*Healthcare*")</f>
        <v>0</v>
      </c>
      <c r="F794">
        <f>COUNTIF('Metrics - Articles'!E793,"*Innovation")</f>
        <v>0</v>
      </c>
      <c r="G794">
        <f>COUNTIF('Metrics - Articles'!E793,"*Corporate*")</f>
        <v>0</v>
      </c>
      <c r="I794" s="53">
        <f t="shared" si="13"/>
        <v>0</v>
      </c>
    </row>
    <row r="795" spans="2:9" x14ac:dyDescent="0.25">
      <c r="B795" s="48">
        <f>+'Metrics - Articles'!C792</f>
        <v>0</v>
      </c>
      <c r="C795">
        <f>COUNTIF('Metrics - Articles'!E794,"*Sports*")</f>
        <v>0</v>
      </c>
      <c r="D795">
        <f>COUNTIF('Metrics - Articles'!E794,"*Youth*")</f>
        <v>0</v>
      </c>
      <c r="E795">
        <f>COUNTIF('Metrics - Articles'!E794,"*Healthcare*")</f>
        <v>0</v>
      </c>
      <c r="F795">
        <f>COUNTIF('Metrics - Articles'!E794,"*Innovation")</f>
        <v>0</v>
      </c>
      <c r="G795">
        <f>COUNTIF('Metrics - Articles'!E794,"*Corporate*")</f>
        <v>0</v>
      </c>
      <c r="I795" s="53">
        <f t="shared" si="13"/>
        <v>0</v>
      </c>
    </row>
    <row r="796" spans="2:9" x14ac:dyDescent="0.25">
      <c r="B796" s="48">
        <f>+'Metrics - Articles'!C793</f>
        <v>0</v>
      </c>
      <c r="C796">
        <f>COUNTIF('Metrics - Articles'!E795,"*Sports*")</f>
        <v>0</v>
      </c>
      <c r="D796">
        <f>COUNTIF('Metrics - Articles'!E795,"*Youth*")</f>
        <v>0</v>
      </c>
      <c r="E796">
        <f>COUNTIF('Metrics - Articles'!E795,"*Healthcare*")</f>
        <v>0</v>
      </c>
      <c r="F796">
        <f>COUNTIF('Metrics - Articles'!E795,"*Innovation")</f>
        <v>0</v>
      </c>
      <c r="G796">
        <f>COUNTIF('Metrics - Articles'!E795,"*Corporate*")</f>
        <v>0</v>
      </c>
      <c r="I796" s="53">
        <f t="shared" si="13"/>
        <v>0</v>
      </c>
    </row>
    <row r="797" spans="2:9" x14ac:dyDescent="0.25">
      <c r="B797" s="48">
        <f>+'Metrics - Articles'!C794</f>
        <v>0</v>
      </c>
      <c r="C797">
        <f>COUNTIF('Metrics - Articles'!E796,"*Sports*")</f>
        <v>0</v>
      </c>
      <c r="D797">
        <f>COUNTIF('Metrics - Articles'!E796,"*Youth*")</f>
        <v>0</v>
      </c>
      <c r="E797">
        <f>COUNTIF('Metrics - Articles'!E796,"*Healthcare*")</f>
        <v>0</v>
      </c>
      <c r="F797">
        <f>COUNTIF('Metrics - Articles'!E796,"*Innovation")</f>
        <v>0</v>
      </c>
      <c r="G797">
        <f>COUNTIF('Metrics - Articles'!E796,"*Corporate*")</f>
        <v>0</v>
      </c>
      <c r="I797" s="53">
        <f t="shared" si="13"/>
        <v>0</v>
      </c>
    </row>
    <row r="798" spans="2:9" x14ac:dyDescent="0.25">
      <c r="B798" s="48">
        <f>+'Metrics - Articles'!C795</f>
        <v>0</v>
      </c>
      <c r="C798">
        <f>COUNTIF('Metrics - Articles'!E797,"*Sports*")</f>
        <v>0</v>
      </c>
      <c r="D798">
        <f>COUNTIF('Metrics - Articles'!E797,"*Youth*")</f>
        <v>0</v>
      </c>
      <c r="E798">
        <f>COUNTIF('Metrics - Articles'!E797,"*Healthcare*")</f>
        <v>0</v>
      </c>
      <c r="F798">
        <f>COUNTIF('Metrics - Articles'!E797,"*Innovation")</f>
        <v>0</v>
      </c>
      <c r="G798">
        <f>COUNTIF('Metrics - Articles'!E797,"*Corporate*")</f>
        <v>0</v>
      </c>
      <c r="I798" s="53">
        <f t="shared" si="13"/>
        <v>0</v>
      </c>
    </row>
    <row r="799" spans="2:9" x14ac:dyDescent="0.25">
      <c r="B799" s="48">
        <f>+'Metrics - Articles'!C796</f>
        <v>0</v>
      </c>
      <c r="C799">
        <f>COUNTIF('Metrics - Articles'!E798,"*Sports*")</f>
        <v>0</v>
      </c>
      <c r="D799">
        <f>COUNTIF('Metrics - Articles'!E798,"*Youth*")</f>
        <v>0</v>
      </c>
      <c r="E799">
        <f>COUNTIF('Metrics - Articles'!E798,"*Healthcare*")</f>
        <v>0</v>
      </c>
      <c r="F799">
        <f>COUNTIF('Metrics - Articles'!E798,"*Innovation")</f>
        <v>0</v>
      </c>
      <c r="G799">
        <f>COUNTIF('Metrics - Articles'!E798,"*Corporate*")</f>
        <v>0</v>
      </c>
      <c r="I799" s="53">
        <f t="shared" si="13"/>
        <v>0</v>
      </c>
    </row>
    <row r="800" spans="2:9" x14ac:dyDescent="0.25">
      <c r="B800" s="48">
        <f>+'Metrics - Articles'!C797</f>
        <v>0</v>
      </c>
      <c r="C800">
        <f>COUNTIF('Metrics - Articles'!E799,"*Sports*")</f>
        <v>0</v>
      </c>
      <c r="D800">
        <f>COUNTIF('Metrics - Articles'!E799,"*Youth*")</f>
        <v>0</v>
      </c>
      <c r="E800">
        <f>COUNTIF('Metrics - Articles'!E799,"*Healthcare*")</f>
        <v>0</v>
      </c>
      <c r="F800">
        <f>COUNTIF('Metrics - Articles'!E799,"*Innovation")</f>
        <v>0</v>
      </c>
      <c r="G800">
        <f>COUNTIF('Metrics - Articles'!E799,"*Corporate*")</f>
        <v>0</v>
      </c>
      <c r="I800" s="53">
        <f t="shared" si="13"/>
        <v>0</v>
      </c>
    </row>
    <row r="801" spans="2:9" x14ac:dyDescent="0.25">
      <c r="B801" s="48">
        <f>+'Metrics - Articles'!C798</f>
        <v>0</v>
      </c>
      <c r="C801">
        <f>COUNTIF('Metrics - Articles'!E800,"*Sports*")</f>
        <v>0</v>
      </c>
      <c r="D801">
        <f>COUNTIF('Metrics - Articles'!E800,"*Youth*")</f>
        <v>0</v>
      </c>
      <c r="E801">
        <f>COUNTIF('Metrics - Articles'!E800,"*Healthcare*")</f>
        <v>0</v>
      </c>
      <c r="F801">
        <f>COUNTIF('Metrics - Articles'!E800,"*Innovation")</f>
        <v>0</v>
      </c>
      <c r="G801">
        <f>COUNTIF('Metrics - Articles'!E800,"*Corporate*")</f>
        <v>0</v>
      </c>
      <c r="I801" s="53">
        <f t="shared" si="13"/>
        <v>0</v>
      </c>
    </row>
    <row r="802" spans="2:9" x14ac:dyDescent="0.25">
      <c r="B802" s="48">
        <f>+'Metrics - Articles'!C799</f>
        <v>0</v>
      </c>
      <c r="C802">
        <f>COUNTIF('Metrics - Articles'!E801,"*Sports*")</f>
        <v>0</v>
      </c>
      <c r="D802">
        <f>COUNTIF('Metrics - Articles'!E801,"*Youth*")</f>
        <v>0</v>
      </c>
      <c r="E802">
        <f>COUNTIF('Metrics - Articles'!E801,"*Healthcare*")</f>
        <v>0</v>
      </c>
      <c r="F802">
        <f>COUNTIF('Metrics - Articles'!E801,"*Innovation")</f>
        <v>0</v>
      </c>
      <c r="G802">
        <f>COUNTIF('Metrics - Articles'!E801,"*Corporate*")</f>
        <v>0</v>
      </c>
      <c r="I802" s="53">
        <f t="shared" si="13"/>
        <v>0</v>
      </c>
    </row>
    <row r="803" spans="2:9" x14ac:dyDescent="0.25">
      <c r="B803" s="48">
        <f>+'Metrics - Articles'!C800</f>
        <v>0</v>
      </c>
      <c r="C803">
        <f>COUNTIF('Metrics - Articles'!E802,"*Sports*")</f>
        <v>0</v>
      </c>
      <c r="D803">
        <f>COUNTIF('Metrics - Articles'!E802,"*Youth*")</f>
        <v>0</v>
      </c>
      <c r="E803">
        <f>COUNTIF('Metrics - Articles'!E802,"*Healthcare*")</f>
        <v>0</v>
      </c>
      <c r="F803">
        <f>COUNTIF('Metrics - Articles'!E802,"*Innovation")</f>
        <v>0</v>
      </c>
      <c r="G803">
        <f>COUNTIF('Metrics - Articles'!E802,"*Corporate*")</f>
        <v>0</v>
      </c>
      <c r="I803" s="53">
        <f t="shared" si="13"/>
        <v>0</v>
      </c>
    </row>
    <row r="804" spans="2:9" x14ac:dyDescent="0.25">
      <c r="B804" s="48">
        <f>+'Metrics - Articles'!C801</f>
        <v>0</v>
      </c>
      <c r="C804">
        <f>COUNTIF('Metrics - Articles'!E803,"*Sports*")</f>
        <v>0</v>
      </c>
      <c r="D804">
        <f>COUNTIF('Metrics - Articles'!E803,"*Youth*")</f>
        <v>0</v>
      </c>
      <c r="E804">
        <f>COUNTIF('Metrics - Articles'!E803,"*Healthcare*")</f>
        <v>0</v>
      </c>
      <c r="F804">
        <f>COUNTIF('Metrics - Articles'!E803,"*Innovation")</f>
        <v>0</v>
      </c>
      <c r="G804">
        <f>COUNTIF('Metrics - Articles'!E803,"*Corporate*")</f>
        <v>0</v>
      </c>
      <c r="I804" s="53">
        <f t="shared" si="13"/>
        <v>0</v>
      </c>
    </row>
    <row r="805" spans="2:9" x14ac:dyDescent="0.25">
      <c r="B805" s="48">
        <f>+'Metrics - Articles'!C802</f>
        <v>0</v>
      </c>
      <c r="C805">
        <f>COUNTIF('Metrics - Articles'!E804,"*Sports*")</f>
        <v>0</v>
      </c>
      <c r="D805">
        <f>COUNTIF('Metrics - Articles'!E804,"*Youth*")</f>
        <v>0</v>
      </c>
      <c r="E805">
        <f>COUNTIF('Metrics - Articles'!E804,"*Healthcare*")</f>
        <v>0</v>
      </c>
      <c r="F805">
        <f>COUNTIF('Metrics - Articles'!E804,"*Innovation")</f>
        <v>0</v>
      </c>
      <c r="G805">
        <f>COUNTIF('Metrics - Articles'!E804,"*Corporate*")</f>
        <v>0</v>
      </c>
      <c r="I805" s="53">
        <f t="shared" si="13"/>
        <v>0</v>
      </c>
    </row>
    <row r="806" spans="2:9" x14ac:dyDescent="0.25">
      <c r="B806" s="48">
        <f>+'Metrics - Articles'!C803</f>
        <v>0</v>
      </c>
      <c r="C806">
        <f>COUNTIF('Metrics - Articles'!E805,"*Sports*")</f>
        <v>0</v>
      </c>
      <c r="D806">
        <f>COUNTIF('Metrics - Articles'!E805,"*Youth*")</f>
        <v>0</v>
      </c>
      <c r="E806">
        <f>COUNTIF('Metrics - Articles'!E805,"*Healthcare*")</f>
        <v>0</v>
      </c>
      <c r="F806">
        <f>COUNTIF('Metrics - Articles'!E805,"*Innovation")</f>
        <v>0</v>
      </c>
      <c r="G806">
        <f>COUNTIF('Metrics - Articles'!E805,"*Corporate*")</f>
        <v>0</v>
      </c>
      <c r="I806" s="53">
        <f t="shared" si="13"/>
        <v>0</v>
      </c>
    </row>
    <row r="807" spans="2:9" x14ac:dyDescent="0.25">
      <c r="B807" s="48">
        <f>+'Metrics - Articles'!C804</f>
        <v>0</v>
      </c>
      <c r="C807">
        <f>COUNTIF('Metrics - Articles'!E806,"*Sports*")</f>
        <v>0</v>
      </c>
      <c r="D807">
        <f>COUNTIF('Metrics - Articles'!E806,"*Youth*")</f>
        <v>0</v>
      </c>
      <c r="E807">
        <f>COUNTIF('Metrics - Articles'!E806,"*Healthcare*")</f>
        <v>0</v>
      </c>
      <c r="F807">
        <f>COUNTIF('Metrics - Articles'!E806,"*Innovation")</f>
        <v>0</v>
      </c>
      <c r="G807">
        <f>COUNTIF('Metrics - Articles'!E806,"*Corporate*")</f>
        <v>0</v>
      </c>
      <c r="I807" s="53">
        <f t="shared" si="13"/>
        <v>0</v>
      </c>
    </row>
    <row r="808" spans="2:9" x14ac:dyDescent="0.25">
      <c r="B808" s="48">
        <f>+'Metrics - Articles'!C805</f>
        <v>0</v>
      </c>
      <c r="C808">
        <f>COUNTIF('Metrics - Articles'!E807,"*Sports*")</f>
        <v>0</v>
      </c>
      <c r="D808">
        <f>COUNTIF('Metrics - Articles'!E807,"*Youth*")</f>
        <v>0</v>
      </c>
      <c r="E808">
        <f>COUNTIF('Metrics - Articles'!E807,"*Healthcare*")</f>
        <v>0</v>
      </c>
      <c r="F808">
        <f>COUNTIF('Metrics - Articles'!E807,"*Innovation")</f>
        <v>0</v>
      </c>
      <c r="G808">
        <f>COUNTIF('Metrics - Articles'!E807,"*Corporate*")</f>
        <v>0</v>
      </c>
      <c r="I808" s="53">
        <f t="shared" si="13"/>
        <v>0</v>
      </c>
    </row>
    <row r="809" spans="2:9" x14ac:dyDescent="0.25">
      <c r="B809" s="48">
        <f>+'Metrics - Articles'!C806</f>
        <v>0</v>
      </c>
      <c r="C809">
        <f>COUNTIF('Metrics - Articles'!E808,"*Sports*")</f>
        <v>0</v>
      </c>
      <c r="D809">
        <f>COUNTIF('Metrics - Articles'!E808,"*Youth*")</f>
        <v>0</v>
      </c>
      <c r="E809">
        <f>COUNTIF('Metrics - Articles'!E808,"*Healthcare*")</f>
        <v>0</v>
      </c>
      <c r="F809">
        <f>COUNTIF('Metrics - Articles'!E808,"*Innovation")</f>
        <v>0</v>
      </c>
      <c r="G809">
        <f>COUNTIF('Metrics - Articles'!E808,"*Corporate*")</f>
        <v>0</v>
      </c>
      <c r="I809" s="53">
        <f t="shared" si="13"/>
        <v>0</v>
      </c>
    </row>
    <row r="810" spans="2:9" x14ac:dyDescent="0.25">
      <c r="B810" s="48">
        <f>+'Metrics - Articles'!C807</f>
        <v>0</v>
      </c>
      <c r="C810">
        <f>COUNTIF('Metrics - Articles'!E809,"*Sports*")</f>
        <v>0</v>
      </c>
      <c r="D810">
        <f>COUNTIF('Metrics - Articles'!E809,"*Youth*")</f>
        <v>0</v>
      </c>
      <c r="E810">
        <f>COUNTIF('Metrics - Articles'!E809,"*Healthcare*")</f>
        <v>0</v>
      </c>
      <c r="F810">
        <f>COUNTIF('Metrics - Articles'!E809,"*Innovation")</f>
        <v>0</v>
      </c>
      <c r="G810">
        <f>COUNTIF('Metrics - Articles'!E809,"*Corporate*")</f>
        <v>0</v>
      </c>
      <c r="I810" s="53">
        <f t="shared" si="13"/>
        <v>0</v>
      </c>
    </row>
    <row r="811" spans="2:9" x14ac:dyDescent="0.25">
      <c r="B811" s="48">
        <f>+'Metrics - Articles'!C808</f>
        <v>0</v>
      </c>
      <c r="C811">
        <f>COUNTIF('Metrics - Articles'!E810,"*Sports*")</f>
        <v>0</v>
      </c>
      <c r="D811">
        <f>COUNTIF('Metrics - Articles'!E810,"*Youth*")</f>
        <v>0</v>
      </c>
      <c r="E811">
        <f>COUNTIF('Metrics - Articles'!E810,"*Healthcare*")</f>
        <v>0</v>
      </c>
      <c r="F811">
        <f>COUNTIF('Metrics - Articles'!E810,"*Innovation")</f>
        <v>0</v>
      </c>
      <c r="G811">
        <f>COUNTIF('Metrics - Articles'!E810,"*Corporate*")</f>
        <v>0</v>
      </c>
      <c r="I811" s="53">
        <f t="shared" si="13"/>
        <v>0</v>
      </c>
    </row>
    <row r="812" spans="2:9" x14ac:dyDescent="0.25">
      <c r="B812" s="48">
        <f>+'Metrics - Articles'!C809</f>
        <v>0</v>
      </c>
      <c r="C812">
        <f>COUNTIF('Metrics - Articles'!E811,"*Sports*")</f>
        <v>0</v>
      </c>
      <c r="D812">
        <f>COUNTIF('Metrics - Articles'!E811,"*Youth*")</f>
        <v>0</v>
      </c>
      <c r="E812">
        <f>COUNTIF('Metrics - Articles'!E811,"*Healthcare*")</f>
        <v>0</v>
      </c>
      <c r="F812">
        <f>COUNTIF('Metrics - Articles'!E811,"*Innovation")</f>
        <v>0</v>
      </c>
      <c r="G812">
        <f>COUNTIF('Metrics - Articles'!E811,"*Corporate*")</f>
        <v>0</v>
      </c>
      <c r="I812" s="53">
        <f t="shared" si="13"/>
        <v>0</v>
      </c>
    </row>
    <row r="813" spans="2:9" x14ac:dyDescent="0.25">
      <c r="B813" s="48">
        <f>+'Metrics - Articles'!C810</f>
        <v>0</v>
      </c>
      <c r="C813">
        <f>COUNTIF('Metrics - Articles'!E812,"*Sports*")</f>
        <v>0</v>
      </c>
      <c r="D813">
        <f>COUNTIF('Metrics - Articles'!E812,"*Youth*")</f>
        <v>0</v>
      </c>
      <c r="E813">
        <f>COUNTIF('Metrics - Articles'!E812,"*Healthcare*")</f>
        <v>0</v>
      </c>
      <c r="F813">
        <f>COUNTIF('Metrics - Articles'!E812,"*Innovation")</f>
        <v>0</v>
      </c>
      <c r="G813">
        <f>COUNTIF('Metrics - Articles'!E812,"*Corporate*")</f>
        <v>0</v>
      </c>
      <c r="I813" s="53">
        <f t="shared" si="13"/>
        <v>0</v>
      </c>
    </row>
    <row r="814" spans="2:9" x14ac:dyDescent="0.25">
      <c r="B814" s="48">
        <f>+'Metrics - Articles'!C811</f>
        <v>0</v>
      </c>
      <c r="C814">
        <f>COUNTIF('Metrics - Articles'!E813,"*Sports*")</f>
        <v>0</v>
      </c>
      <c r="D814">
        <f>COUNTIF('Metrics - Articles'!E813,"*Youth*")</f>
        <v>0</v>
      </c>
      <c r="E814">
        <f>COUNTIF('Metrics - Articles'!E813,"*Healthcare*")</f>
        <v>0</v>
      </c>
      <c r="F814">
        <f>COUNTIF('Metrics - Articles'!E813,"*Innovation")</f>
        <v>0</v>
      </c>
      <c r="G814">
        <f>COUNTIF('Metrics - Articles'!E813,"*Corporate*")</f>
        <v>0</v>
      </c>
      <c r="I814" s="53">
        <f t="shared" si="13"/>
        <v>0</v>
      </c>
    </row>
    <row r="815" spans="2:9" x14ac:dyDescent="0.25">
      <c r="B815" s="48">
        <f>+'Metrics - Articles'!C812</f>
        <v>0</v>
      </c>
      <c r="C815">
        <f>COUNTIF('Metrics - Articles'!E814,"*Sports*")</f>
        <v>0</v>
      </c>
      <c r="D815">
        <f>COUNTIF('Metrics - Articles'!E814,"*Youth*")</f>
        <v>0</v>
      </c>
      <c r="E815">
        <f>COUNTIF('Metrics - Articles'!E814,"*Healthcare*")</f>
        <v>0</v>
      </c>
      <c r="F815">
        <f>COUNTIF('Metrics - Articles'!E814,"*Innovation")</f>
        <v>0</v>
      </c>
      <c r="G815">
        <f>COUNTIF('Metrics - Articles'!E814,"*Corporate*")</f>
        <v>0</v>
      </c>
      <c r="I815" s="53">
        <f t="shared" si="13"/>
        <v>0</v>
      </c>
    </row>
    <row r="816" spans="2:9" x14ac:dyDescent="0.25">
      <c r="B816" s="48">
        <f>+'Metrics - Articles'!C813</f>
        <v>0</v>
      </c>
      <c r="C816">
        <f>COUNTIF('Metrics - Articles'!E815,"*Sports*")</f>
        <v>0</v>
      </c>
      <c r="D816">
        <f>COUNTIF('Metrics - Articles'!E815,"*Youth*")</f>
        <v>0</v>
      </c>
      <c r="E816">
        <f>COUNTIF('Metrics - Articles'!E815,"*Healthcare*")</f>
        <v>0</v>
      </c>
      <c r="F816">
        <f>COUNTIF('Metrics - Articles'!E815,"*Innovation")</f>
        <v>0</v>
      </c>
      <c r="G816">
        <f>COUNTIF('Metrics - Articles'!E815,"*Corporate*")</f>
        <v>0</v>
      </c>
      <c r="I816" s="53">
        <f t="shared" si="13"/>
        <v>0</v>
      </c>
    </row>
    <row r="817" spans="2:9" x14ac:dyDescent="0.25">
      <c r="B817" s="48">
        <f>+'Metrics - Articles'!C814</f>
        <v>0</v>
      </c>
      <c r="C817">
        <f>COUNTIF('Metrics - Articles'!E816,"*Sports*")</f>
        <v>0</v>
      </c>
      <c r="D817">
        <f>COUNTIF('Metrics - Articles'!E816,"*Youth*")</f>
        <v>0</v>
      </c>
      <c r="E817">
        <f>COUNTIF('Metrics - Articles'!E816,"*Healthcare*")</f>
        <v>0</v>
      </c>
      <c r="F817">
        <f>COUNTIF('Metrics - Articles'!E816,"*Innovation")</f>
        <v>0</v>
      </c>
      <c r="G817">
        <f>COUNTIF('Metrics - Articles'!E816,"*Corporate*")</f>
        <v>0</v>
      </c>
      <c r="I817" s="53">
        <f t="shared" si="13"/>
        <v>0</v>
      </c>
    </row>
    <row r="818" spans="2:9" x14ac:dyDescent="0.25">
      <c r="B818" s="48">
        <f>+'Metrics - Articles'!C815</f>
        <v>0</v>
      </c>
      <c r="C818">
        <f>COUNTIF('Metrics - Articles'!E817,"*Sports*")</f>
        <v>0</v>
      </c>
      <c r="D818">
        <f>COUNTIF('Metrics - Articles'!E817,"*Youth*")</f>
        <v>0</v>
      </c>
      <c r="E818">
        <f>COUNTIF('Metrics - Articles'!E817,"*Healthcare*")</f>
        <v>0</v>
      </c>
      <c r="F818">
        <f>COUNTIF('Metrics - Articles'!E817,"*Innovation")</f>
        <v>0</v>
      </c>
      <c r="G818">
        <f>COUNTIF('Metrics - Articles'!E817,"*Corporate*")</f>
        <v>0</v>
      </c>
      <c r="I818" s="53">
        <f t="shared" si="13"/>
        <v>0</v>
      </c>
    </row>
    <row r="819" spans="2:9" x14ac:dyDescent="0.25">
      <c r="B819" s="48">
        <f>+'Metrics - Articles'!C816</f>
        <v>0</v>
      </c>
      <c r="C819">
        <f>COUNTIF('Metrics - Articles'!E818,"*Sports*")</f>
        <v>0</v>
      </c>
      <c r="D819">
        <f>COUNTIF('Metrics - Articles'!E818,"*Youth*")</f>
        <v>0</v>
      </c>
      <c r="E819">
        <f>COUNTIF('Metrics - Articles'!E818,"*Healthcare*")</f>
        <v>0</v>
      </c>
      <c r="F819">
        <f>COUNTIF('Metrics - Articles'!E818,"*Innovation")</f>
        <v>0</v>
      </c>
      <c r="G819">
        <f>COUNTIF('Metrics - Articles'!E818,"*Corporate*")</f>
        <v>0</v>
      </c>
      <c r="I819" s="53">
        <f t="shared" si="13"/>
        <v>0</v>
      </c>
    </row>
    <row r="820" spans="2:9" x14ac:dyDescent="0.25">
      <c r="B820" s="48">
        <f>+'Metrics - Articles'!C817</f>
        <v>0</v>
      </c>
      <c r="C820">
        <f>COUNTIF('Metrics - Articles'!E819,"*Sports*")</f>
        <v>0</v>
      </c>
      <c r="D820">
        <f>COUNTIF('Metrics - Articles'!E819,"*Youth*")</f>
        <v>0</v>
      </c>
      <c r="E820">
        <f>COUNTIF('Metrics - Articles'!E819,"*Healthcare*")</f>
        <v>0</v>
      </c>
      <c r="F820">
        <f>COUNTIF('Metrics - Articles'!E819,"*Innovation")</f>
        <v>0</v>
      </c>
      <c r="G820">
        <f>COUNTIF('Metrics - Articles'!E819,"*Corporate*")</f>
        <v>0</v>
      </c>
      <c r="I820" s="53">
        <f t="shared" si="13"/>
        <v>0</v>
      </c>
    </row>
    <row r="821" spans="2:9" x14ac:dyDescent="0.25">
      <c r="B821" s="48">
        <f>+'Metrics - Articles'!C818</f>
        <v>0</v>
      </c>
      <c r="C821">
        <f>COUNTIF('Metrics - Articles'!E820,"*Sports*")</f>
        <v>0</v>
      </c>
      <c r="D821">
        <f>COUNTIF('Metrics - Articles'!E820,"*Youth*")</f>
        <v>0</v>
      </c>
      <c r="E821">
        <f>COUNTIF('Metrics - Articles'!E820,"*Healthcare*")</f>
        <v>0</v>
      </c>
      <c r="F821">
        <f>COUNTIF('Metrics - Articles'!E820,"*Innovation")</f>
        <v>0</v>
      </c>
      <c r="G821">
        <f>COUNTIF('Metrics - Articles'!E820,"*Corporate*")</f>
        <v>0</v>
      </c>
      <c r="I821" s="53">
        <f t="shared" si="13"/>
        <v>0</v>
      </c>
    </row>
    <row r="822" spans="2:9" x14ac:dyDescent="0.25">
      <c r="B822" s="48">
        <f>+'Metrics - Articles'!C819</f>
        <v>0</v>
      </c>
      <c r="C822">
        <f>COUNTIF('Metrics - Articles'!E821,"*Sports*")</f>
        <v>0</v>
      </c>
      <c r="D822">
        <f>COUNTIF('Metrics - Articles'!E821,"*Youth*")</f>
        <v>0</v>
      </c>
      <c r="E822">
        <f>COUNTIF('Metrics - Articles'!E821,"*Healthcare*")</f>
        <v>0</v>
      </c>
      <c r="F822">
        <f>COUNTIF('Metrics - Articles'!E821,"*Innovation")</f>
        <v>0</v>
      </c>
      <c r="G822">
        <f>COUNTIF('Metrics - Articles'!E821,"*Corporate*")</f>
        <v>0</v>
      </c>
      <c r="I822" s="53">
        <f t="shared" si="13"/>
        <v>0</v>
      </c>
    </row>
    <row r="823" spans="2:9" x14ac:dyDescent="0.25">
      <c r="B823" s="48">
        <f>+'Metrics - Articles'!C820</f>
        <v>0</v>
      </c>
      <c r="C823">
        <f>COUNTIF('Metrics - Articles'!E822,"*Sports*")</f>
        <v>0</v>
      </c>
      <c r="D823">
        <f>COUNTIF('Metrics - Articles'!E822,"*Youth*")</f>
        <v>0</v>
      </c>
      <c r="E823">
        <f>COUNTIF('Metrics - Articles'!E822,"*Healthcare*")</f>
        <v>0</v>
      </c>
      <c r="F823">
        <f>COUNTIF('Metrics - Articles'!E822,"*Innovation")</f>
        <v>0</v>
      </c>
      <c r="G823">
        <f>COUNTIF('Metrics - Articles'!E822,"*Corporate*")</f>
        <v>0</v>
      </c>
      <c r="I823" s="53">
        <f t="shared" si="13"/>
        <v>0</v>
      </c>
    </row>
    <row r="824" spans="2:9" x14ac:dyDescent="0.25">
      <c r="B824" s="48">
        <f>+'Metrics - Articles'!C821</f>
        <v>0</v>
      </c>
      <c r="C824">
        <f>COUNTIF('Metrics - Articles'!E823,"*Sports*")</f>
        <v>0</v>
      </c>
      <c r="D824">
        <f>COUNTIF('Metrics - Articles'!E823,"*Youth*")</f>
        <v>0</v>
      </c>
      <c r="E824">
        <f>COUNTIF('Metrics - Articles'!E823,"*Healthcare*")</f>
        <v>0</v>
      </c>
      <c r="F824">
        <f>COUNTIF('Metrics - Articles'!E823,"*Innovation")</f>
        <v>0</v>
      </c>
      <c r="G824">
        <f>COUNTIF('Metrics - Articles'!E823,"*Corporate*")</f>
        <v>0</v>
      </c>
      <c r="I824" s="53">
        <f t="shared" si="13"/>
        <v>0</v>
      </c>
    </row>
    <row r="825" spans="2:9" x14ac:dyDescent="0.25">
      <c r="B825" s="48">
        <f>+'Metrics - Articles'!C822</f>
        <v>0</v>
      </c>
      <c r="C825">
        <f>COUNTIF('Metrics - Articles'!E824,"*Sports*")</f>
        <v>0</v>
      </c>
      <c r="D825">
        <f>COUNTIF('Metrics - Articles'!E824,"*Youth*")</f>
        <v>0</v>
      </c>
      <c r="E825">
        <f>COUNTIF('Metrics - Articles'!E824,"*Healthcare*")</f>
        <v>0</v>
      </c>
      <c r="F825">
        <f>COUNTIF('Metrics - Articles'!E824,"*Innovation")</f>
        <v>0</v>
      </c>
      <c r="G825">
        <f>COUNTIF('Metrics - Articles'!E824,"*Corporate*")</f>
        <v>0</v>
      </c>
      <c r="I825" s="53">
        <f t="shared" si="13"/>
        <v>0</v>
      </c>
    </row>
    <row r="826" spans="2:9" x14ac:dyDescent="0.25">
      <c r="B826" s="48">
        <f>+'Metrics - Articles'!C823</f>
        <v>0</v>
      </c>
      <c r="C826">
        <f>COUNTIF('Metrics - Articles'!E825,"*Sports*")</f>
        <v>0</v>
      </c>
      <c r="D826">
        <f>COUNTIF('Metrics - Articles'!E825,"*Youth*")</f>
        <v>0</v>
      </c>
      <c r="E826">
        <f>COUNTIF('Metrics - Articles'!E825,"*Healthcare*")</f>
        <v>0</v>
      </c>
      <c r="F826">
        <f>COUNTIF('Metrics - Articles'!E825,"*Innovation")</f>
        <v>0</v>
      </c>
      <c r="G826">
        <f>COUNTIF('Metrics - Articles'!E825,"*Corporate*")</f>
        <v>0</v>
      </c>
      <c r="I826" s="53">
        <f t="shared" si="13"/>
        <v>0</v>
      </c>
    </row>
    <row r="827" spans="2:9" x14ac:dyDescent="0.25">
      <c r="B827" s="48">
        <f>+'Metrics - Articles'!C824</f>
        <v>0</v>
      </c>
      <c r="C827">
        <f>COUNTIF('Metrics - Articles'!E826,"*Sports*")</f>
        <v>0</v>
      </c>
      <c r="D827">
        <f>COUNTIF('Metrics - Articles'!E826,"*Youth*")</f>
        <v>0</v>
      </c>
      <c r="E827">
        <f>COUNTIF('Metrics - Articles'!E826,"*Healthcare*")</f>
        <v>0</v>
      </c>
      <c r="F827">
        <f>COUNTIF('Metrics - Articles'!E826,"*Innovation")</f>
        <v>0</v>
      </c>
      <c r="G827">
        <f>COUNTIF('Metrics - Articles'!E826,"*Corporate*")</f>
        <v>0</v>
      </c>
      <c r="I827" s="53">
        <f t="shared" si="13"/>
        <v>0</v>
      </c>
    </row>
    <row r="828" spans="2:9" x14ac:dyDescent="0.25">
      <c r="B828" s="48">
        <f>+'Metrics - Articles'!C825</f>
        <v>0</v>
      </c>
      <c r="C828">
        <f>COUNTIF('Metrics - Articles'!E827,"*Sports*")</f>
        <v>0</v>
      </c>
      <c r="D828">
        <f>COUNTIF('Metrics - Articles'!E827,"*Youth*")</f>
        <v>0</v>
      </c>
      <c r="E828">
        <f>COUNTIF('Metrics - Articles'!E827,"*Healthcare*")</f>
        <v>0</v>
      </c>
      <c r="F828">
        <f>COUNTIF('Metrics - Articles'!E827,"*Innovation")</f>
        <v>0</v>
      </c>
      <c r="G828">
        <f>COUNTIF('Metrics - Articles'!E827,"*Corporate*")</f>
        <v>0</v>
      </c>
      <c r="I828" s="53">
        <f t="shared" si="13"/>
        <v>0</v>
      </c>
    </row>
    <row r="829" spans="2:9" x14ac:dyDescent="0.25">
      <c r="B829" s="48">
        <f>+'Metrics - Articles'!C826</f>
        <v>0</v>
      </c>
      <c r="C829">
        <f>COUNTIF('Metrics - Articles'!E828,"*Sports*")</f>
        <v>0</v>
      </c>
      <c r="D829">
        <f>COUNTIF('Metrics - Articles'!E828,"*Youth*")</f>
        <v>0</v>
      </c>
      <c r="E829">
        <f>COUNTIF('Metrics - Articles'!E828,"*Healthcare*")</f>
        <v>0</v>
      </c>
      <c r="F829">
        <f>COUNTIF('Metrics - Articles'!E828,"*Innovation")</f>
        <v>0</v>
      </c>
      <c r="G829">
        <f>COUNTIF('Metrics - Articles'!E828,"*Corporate*")</f>
        <v>0</v>
      </c>
      <c r="I829" s="53">
        <f t="shared" si="13"/>
        <v>0</v>
      </c>
    </row>
    <row r="830" spans="2:9" x14ac:dyDescent="0.25">
      <c r="B830" s="48">
        <f>+'Metrics - Articles'!C827</f>
        <v>0</v>
      </c>
      <c r="C830">
        <f>COUNTIF('Metrics - Articles'!E829,"*Sports*")</f>
        <v>0</v>
      </c>
      <c r="D830">
        <f>COUNTIF('Metrics - Articles'!E829,"*Youth*")</f>
        <v>0</v>
      </c>
      <c r="E830">
        <f>COUNTIF('Metrics - Articles'!E829,"*Healthcare*")</f>
        <v>0</v>
      </c>
      <c r="F830">
        <f>COUNTIF('Metrics - Articles'!E829,"*Innovation")</f>
        <v>0</v>
      </c>
      <c r="G830">
        <f>COUNTIF('Metrics - Articles'!E829,"*Corporate*")</f>
        <v>0</v>
      </c>
      <c r="I830" s="53">
        <f t="shared" si="13"/>
        <v>0</v>
      </c>
    </row>
    <row r="831" spans="2:9" x14ac:dyDescent="0.25">
      <c r="B831" s="48">
        <f>+'Metrics - Articles'!C828</f>
        <v>0</v>
      </c>
      <c r="C831">
        <f>COUNTIF('Metrics - Articles'!E830,"*Sports*")</f>
        <v>0</v>
      </c>
      <c r="D831">
        <f>COUNTIF('Metrics - Articles'!E830,"*Youth*")</f>
        <v>0</v>
      </c>
      <c r="E831">
        <f>COUNTIF('Metrics - Articles'!E830,"*Healthcare*")</f>
        <v>0</v>
      </c>
      <c r="F831">
        <f>COUNTIF('Metrics - Articles'!E830,"*Innovation")</f>
        <v>0</v>
      </c>
      <c r="G831">
        <f>COUNTIF('Metrics - Articles'!E830,"*Corporate*")</f>
        <v>0</v>
      </c>
      <c r="I831" s="53">
        <f t="shared" si="13"/>
        <v>0</v>
      </c>
    </row>
    <row r="832" spans="2:9" x14ac:dyDescent="0.25">
      <c r="B832" s="48">
        <f>+'Metrics - Articles'!C829</f>
        <v>0</v>
      </c>
      <c r="C832">
        <f>COUNTIF('Metrics - Articles'!E831,"*Sports*")</f>
        <v>0</v>
      </c>
      <c r="D832">
        <f>COUNTIF('Metrics - Articles'!E831,"*Youth*")</f>
        <v>0</v>
      </c>
      <c r="E832">
        <f>COUNTIF('Metrics - Articles'!E831,"*Healthcare*")</f>
        <v>0</v>
      </c>
      <c r="F832">
        <f>COUNTIF('Metrics - Articles'!E831,"*Innovation")</f>
        <v>0</v>
      </c>
      <c r="G832">
        <f>COUNTIF('Metrics - Articles'!E831,"*Corporate*")</f>
        <v>0</v>
      </c>
      <c r="I832" s="53">
        <f t="shared" si="13"/>
        <v>0</v>
      </c>
    </row>
    <row r="833" spans="2:9" x14ac:dyDescent="0.25">
      <c r="B833" s="48">
        <f>+'Metrics - Articles'!C830</f>
        <v>0</v>
      </c>
      <c r="C833">
        <f>COUNTIF('Metrics - Articles'!E832,"*Sports*")</f>
        <v>0</v>
      </c>
      <c r="D833">
        <f>COUNTIF('Metrics - Articles'!E832,"*Youth*")</f>
        <v>0</v>
      </c>
      <c r="E833">
        <f>COUNTIF('Metrics - Articles'!E832,"*Healthcare*")</f>
        <v>0</v>
      </c>
      <c r="F833">
        <f>COUNTIF('Metrics - Articles'!E832,"*Innovation")</f>
        <v>0</v>
      </c>
      <c r="G833">
        <f>COUNTIF('Metrics - Articles'!E832,"*Corporate*")</f>
        <v>0</v>
      </c>
      <c r="I833" s="53">
        <f t="shared" si="13"/>
        <v>0</v>
      </c>
    </row>
    <row r="834" spans="2:9" x14ac:dyDescent="0.25">
      <c r="B834" s="48">
        <f>+'Metrics - Articles'!C831</f>
        <v>0</v>
      </c>
      <c r="C834">
        <f>COUNTIF('Metrics - Articles'!E833,"*Sports*")</f>
        <v>0</v>
      </c>
      <c r="D834">
        <f>COUNTIF('Metrics - Articles'!E833,"*Youth*")</f>
        <v>0</v>
      </c>
      <c r="E834">
        <f>COUNTIF('Metrics - Articles'!E833,"*Healthcare*")</f>
        <v>0</v>
      </c>
      <c r="F834">
        <f>COUNTIF('Metrics - Articles'!E833,"*Innovation")</f>
        <v>0</v>
      </c>
      <c r="G834">
        <f>COUNTIF('Metrics - Articles'!E833,"*Corporate*")</f>
        <v>0</v>
      </c>
      <c r="I834" s="53">
        <f t="shared" si="13"/>
        <v>0</v>
      </c>
    </row>
    <row r="835" spans="2:9" x14ac:dyDescent="0.25">
      <c r="B835" s="48">
        <f>+'Metrics - Articles'!C832</f>
        <v>0</v>
      </c>
      <c r="C835">
        <f>COUNTIF('Metrics - Articles'!E834,"*Sports*")</f>
        <v>0</v>
      </c>
      <c r="D835">
        <f>COUNTIF('Metrics - Articles'!E834,"*Youth*")</f>
        <v>0</v>
      </c>
      <c r="E835">
        <f>COUNTIF('Metrics - Articles'!E834,"*Healthcare*")</f>
        <v>0</v>
      </c>
      <c r="F835">
        <f>COUNTIF('Metrics - Articles'!E834,"*Innovation")</f>
        <v>0</v>
      </c>
      <c r="G835">
        <f>COUNTIF('Metrics - Articles'!E834,"*Corporate*")</f>
        <v>0</v>
      </c>
      <c r="I835" s="53">
        <f t="shared" si="13"/>
        <v>0</v>
      </c>
    </row>
    <row r="836" spans="2:9" x14ac:dyDescent="0.25">
      <c r="B836" s="48">
        <f>+'Metrics - Articles'!C833</f>
        <v>0</v>
      </c>
      <c r="C836">
        <f>COUNTIF('Metrics - Articles'!E835,"*Sports*")</f>
        <v>0</v>
      </c>
      <c r="D836">
        <f>COUNTIF('Metrics - Articles'!E835,"*Youth*")</f>
        <v>0</v>
      </c>
      <c r="E836">
        <f>COUNTIF('Metrics - Articles'!E835,"*Healthcare*")</f>
        <v>0</v>
      </c>
      <c r="F836">
        <f>COUNTIF('Metrics - Articles'!E835,"*Innovation")</f>
        <v>0</v>
      </c>
      <c r="G836">
        <f>COUNTIF('Metrics - Articles'!E835,"*Corporate*")</f>
        <v>0</v>
      </c>
      <c r="I836" s="53">
        <f t="shared" si="13"/>
        <v>0</v>
      </c>
    </row>
    <row r="837" spans="2:9" x14ac:dyDescent="0.25">
      <c r="B837" s="48">
        <f>+'Metrics - Articles'!C834</f>
        <v>0</v>
      </c>
      <c r="C837">
        <f>COUNTIF('Metrics - Articles'!E836,"*Sports*")</f>
        <v>0</v>
      </c>
      <c r="D837">
        <f>COUNTIF('Metrics - Articles'!E836,"*Youth*")</f>
        <v>0</v>
      </c>
      <c r="E837">
        <f>COUNTIF('Metrics - Articles'!E836,"*Healthcare*")</f>
        <v>0</v>
      </c>
      <c r="F837">
        <f>COUNTIF('Metrics - Articles'!E836,"*Innovation")</f>
        <v>0</v>
      </c>
      <c r="G837">
        <f>COUNTIF('Metrics - Articles'!E836,"*Corporate*")</f>
        <v>0</v>
      </c>
      <c r="I837" s="53">
        <f t="shared" si="13"/>
        <v>0</v>
      </c>
    </row>
    <row r="838" spans="2:9" x14ac:dyDescent="0.25">
      <c r="B838" s="48">
        <f>+'Metrics - Articles'!C835</f>
        <v>0</v>
      </c>
      <c r="C838">
        <f>COUNTIF('Metrics - Articles'!E837,"*Sports*")</f>
        <v>0</v>
      </c>
      <c r="D838">
        <f>COUNTIF('Metrics - Articles'!E837,"*Youth*")</f>
        <v>0</v>
      </c>
      <c r="E838">
        <f>COUNTIF('Metrics - Articles'!E837,"*Healthcare*")</f>
        <v>0</v>
      </c>
      <c r="F838">
        <f>COUNTIF('Metrics - Articles'!E837,"*Innovation")</f>
        <v>0</v>
      </c>
      <c r="G838">
        <f>COUNTIF('Metrics - Articles'!E837,"*Corporate*")</f>
        <v>0</v>
      </c>
      <c r="I838" s="53">
        <f t="shared" si="13"/>
        <v>0</v>
      </c>
    </row>
    <row r="839" spans="2:9" x14ac:dyDescent="0.25">
      <c r="B839" s="48">
        <f>+'Metrics - Articles'!C836</f>
        <v>0</v>
      </c>
      <c r="C839">
        <f>COUNTIF('Metrics - Articles'!E838,"*Sports*")</f>
        <v>0</v>
      </c>
      <c r="D839">
        <f>COUNTIF('Metrics - Articles'!E838,"*Youth*")</f>
        <v>0</v>
      </c>
      <c r="E839">
        <f>COUNTIF('Metrics - Articles'!E838,"*Healthcare*")</f>
        <v>0</v>
      </c>
      <c r="F839">
        <f>COUNTIF('Metrics - Articles'!E838,"*Innovation")</f>
        <v>0</v>
      </c>
      <c r="G839">
        <f>COUNTIF('Metrics - Articles'!E838,"*Corporate*")</f>
        <v>0</v>
      </c>
      <c r="I839" s="53">
        <f t="shared" si="13"/>
        <v>0</v>
      </c>
    </row>
    <row r="840" spans="2:9" x14ac:dyDescent="0.25">
      <c r="B840" s="48">
        <f>+'Metrics - Articles'!C837</f>
        <v>0</v>
      </c>
      <c r="C840">
        <f>COUNTIF('Metrics - Articles'!E839,"*Sports*")</f>
        <v>0</v>
      </c>
      <c r="D840">
        <f>COUNTIF('Metrics - Articles'!E839,"*Youth*")</f>
        <v>0</v>
      </c>
      <c r="E840">
        <f>COUNTIF('Metrics - Articles'!E839,"*Healthcare*")</f>
        <v>0</v>
      </c>
      <c r="F840">
        <f>COUNTIF('Metrics - Articles'!E839,"*Innovation")</f>
        <v>0</v>
      </c>
      <c r="G840">
        <f>COUNTIF('Metrics - Articles'!E839,"*Corporate*")</f>
        <v>0</v>
      </c>
      <c r="I840" s="53">
        <f t="shared" ref="I840:I903" si="14">SUM(C840:H840)</f>
        <v>0</v>
      </c>
    </row>
    <row r="841" spans="2:9" x14ac:dyDescent="0.25">
      <c r="B841" s="48">
        <f>+'Metrics - Articles'!C838</f>
        <v>0</v>
      </c>
      <c r="C841">
        <f>COUNTIF('Metrics - Articles'!E840,"*Sports*")</f>
        <v>0</v>
      </c>
      <c r="D841">
        <f>COUNTIF('Metrics - Articles'!E840,"*Youth*")</f>
        <v>0</v>
      </c>
      <c r="E841">
        <f>COUNTIF('Metrics - Articles'!E840,"*Healthcare*")</f>
        <v>0</v>
      </c>
      <c r="F841">
        <f>COUNTIF('Metrics - Articles'!E840,"*Innovation")</f>
        <v>0</v>
      </c>
      <c r="G841">
        <f>COUNTIF('Metrics - Articles'!E840,"*Corporate*")</f>
        <v>0</v>
      </c>
      <c r="I841" s="53">
        <f t="shared" si="14"/>
        <v>0</v>
      </c>
    </row>
    <row r="842" spans="2:9" x14ac:dyDescent="0.25">
      <c r="B842" s="48">
        <f>+'Metrics - Articles'!C839</f>
        <v>0</v>
      </c>
      <c r="C842">
        <f>COUNTIF('Metrics - Articles'!E841,"*Sports*")</f>
        <v>0</v>
      </c>
      <c r="D842">
        <f>COUNTIF('Metrics - Articles'!E841,"*Youth*")</f>
        <v>0</v>
      </c>
      <c r="E842">
        <f>COUNTIF('Metrics - Articles'!E841,"*Healthcare*")</f>
        <v>0</v>
      </c>
      <c r="F842">
        <f>COUNTIF('Metrics - Articles'!E841,"*Innovation")</f>
        <v>0</v>
      </c>
      <c r="G842">
        <f>COUNTIF('Metrics - Articles'!E841,"*Corporate*")</f>
        <v>0</v>
      </c>
      <c r="I842" s="53">
        <f t="shared" si="14"/>
        <v>0</v>
      </c>
    </row>
    <row r="843" spans="2:9" x14ac:dyDescent="0.25">
      <c r="B843" s="48">
        <f>+'Metrics - Articles'!C840</f>
        <v>0</v>
      </c>
      <c r="C843">
        <f>COUNTIF('Metrics - Articles'!E842,"*Sports*")</f>
        <v>0</v>
      </c>
      <c r="D843">
        <f>COUNTIF('Metrics - Articles'!E842,"*Youth*")</f>
        <v>0</v>
      </c>
      <c r="E843">
        <f>COUNTIF('Metrics - Articles'!E842,"*Healthcare*")</f>
        <v>0</v>
      </c>
      <c r="F843">
        <f>COUNTIF('Metrics - Articles'!E842,"*Innovation")</f>
        <v>0</v>
      </c>
      <c r="G843">
        <f>COUNTIF('Metrics - Articles'!E842,"*Corporate*")</f>
        <v>0</v>
      </c>
      <c r="I843" s="53">
        <f t="shared" si="14"/>
        <v>0</v>
      </c>
    </row>
    <row r="844" spans="2:9" x14ac:dyDescent="0.25">
      <c r="B844" s="48">
        <f>+'Metrics - Articles'!C841</f>
        <v>0</v>
      </c>
      <c r="C844">
        <f>COUNTIF('Metrics - Articles'!E843,"*Sports*")</f>
        <v>0</v>
      </c>
      <c r="D844">
        <f>COUNTIF('Metrics - Articles'!E843,"*Youth*")</f>
        <v>0</v>
      </c>
      <c r="E844">
        <f>COUNTIF('Metrics - Articles'!E843,"*Healthcare*")</f>
        <v>0</v>
      </c>
      <c r="F844">
        <f>COUNTIF('Metrics - Articles'!E843,"*Innovation")</f>
        <v>0</v>
      </c>
      <c r="G844">
        <f>COUNTIF('Metrics - Articles'!E843,"*Corporate*")</f>
        <v>0</v>
      </c>
      <c r="I844" s="53">
        <f t="shared" si="14"/>
        <v>0</v>
      </c>
    </row>
    <row r="845" spans="2:9" x14ac:dyDescent="0.25">
      <c r="B845" s="48">
        <f>+'Metrics - Articles'!C842</f>
        <v>0</v>
      </c>
      <c r="C845">
        <f>COUNTIF('Metrics - Articles'!E844,"*Sports*")</f>
        <v>0</v>
      </c>
      <c r="D845">
        <f>COUNTIF('Metrics - Articles'!E844,"*Youth*")</f>
        <v>0</v>
      </c>
      <c r="E845">
        <f>COUNTIF('Metrics - Articles'!E844,"*Healthcare*")</f>
        <v>0</v>
      </c>
      <c r="F845">
        <f>COUNTIF('Metrics - Articles'!E844,"*Innovation")</f>
        <v>0</v>
      </c>
      <c r="G845">
        <f>COUNTIF('Metrics - Articles'!E844,"*Corporate*")</f>
        <v>0</v>
      </c>
      <c r="I845" s="53">
        <f t="shared" si="14"/>
        <v>0</v>
      </c>
    </row>
    <row r="846" spans="2:9" x14ac:dyDescent="0.25">
      <c r="B846" s="48">
        <f>+'Metrics - Articles'!C843</f>
        <v>0</v>
      </c>
      <c r="C846">
        <f>COUNTIF('Metrics - Articles'!E845,"*Sports*")</f>
        <v>0</v>
      </c>
      <c r="D846">
        <f>COUNTIF('Metrics - Articles'!E845,"*Youth*")</f>
        <v>0</v>
      </c>
      <c r="E846">
        <f>COUNTIF('Metrics - Articles'!E845,"*Healthcare*")</f>
        <v>0</v>
      </c>
      <c r="F846">
        <f>COUNTIF('Metrics - Articles'!E845,"*Innovation")</f>
        <v>0</v>
      </c>
      <c r="G846">
        <f>COUNTIF('Metrics - Articles'!E845,"*Corporate*")</f>
        <v>0</v>
      </c>
      <c r="I846" s="53">
        <f t="shared" si="14"/>
        <v>0</v>
      </c>
    </row>
    <row r="847" spans="2:9" x14ac:dyDescent="0.25">
      <c r="B847" s="48">
        <f>+'Metrics - Articles'!C844</f>
        <v>0</v>
      </c>
      <c r="C847">
        <f>COUNTIF('Metrics - Articles'!E846,"*Sports*")</f>
        <v>0</v>
      </c>
      <c r="D847">
        <f>COUNTIF('Metrics - Articles'!E846,"*Youth*")</f>
        <v>0</v>
      </c>
      <c r="E847">
        <f>COUNTIF('Metrics - Articles'!E846,"*Healthcare*")</f>
        <v>0</v>
      </c>
      <c r="F847">
        <f>COUNTIF('Metrics - Articles'!E846,"*Innovation")</f>
        <v>0</v>
      </c>
      <c r="G847">
        <f>COUNTIF('Metrics - Articles'!E846,"*Corporate*")</f>
        <v>0</v>
      </c>
      <c r="I847" s="53">
        <f t="shared" si="14"/>
        <v>0</v>
      </c>
    </row>
    <row r="848" spans="2:9" x14ac:dyDescent="0.25">
      <c r="B848" s="48">
        <f>+'Metrics - Articles'!C845</f>
        <v>0</v>
      </c>
      <c r="C848">
        <f>COUNTIF('Metrics - Articles'!E847,"*Sports*")</f>
        <v>0</v>
      </c>
      <c r="D848">
        <f>COUNTIF('Metrics - Articles'!E847,"*Youth*")</f>
        <v>0</v>
      </c>
      <c r="E848">
        <f>COUNTIF('Metrics - Articles'!E847,"*Healthcare*")</f>
        <v>0</v>
      </c>
      <c r="F848">
        <f>COUNTIF('Metrics - Articles'!E847,"*Innovation")</f>
        <v>0</v>
      </c>
      <c r="G848">
        <f>COUNTIF('Metrics - Articles'!E847,"*Corporate*")</f>
        <v>0</v>
      </c>
      <c r="I848" s="53">
        <f t="shared" si="14"/>
        <v>0</v>
      </c>
    </row>
    <row r="849" spans="2:9" x14ac:dyDescent="0.25">
      <c r="B849" s="48">
        <f>+'Metrics - Articles'!C846</f>
        <v>0</v>
      </c>
      <c r="C849">
        <f>COUNTIF('Metrics - Articles'!E848,"*Sports*")</f>
        <v>0</v>
      </c>
      <c r="D849">
        <f>COUNTIF('Metrics - Articles'!E848,"*Youth*")</f>
        <v>0</v>
      </c>
      <c r="E849">
        <f>COUNTIF('Metrics - Articles'!E848,"*Healthcare*")</f>
        <v>0</v>
      </c>
      <c r="F849">
        <f>COUNTIF('Metrics - Articles'!E848,"*Innovation")</f>
        <v>0</v>
      </c>
      <c r="G849">
        <f>COUNTIF('Metrics - Articles'!E848,"*Corporate*")</f>
        <v>0</v>
      </c>
      <c r="I849" s="53">
        <f t="shared" si="14"/>
        <v>0</v>
      </c>
    </row>
    <row r="850" spans="2:9" x14ac:dyDescent="0.25">
      <c r="B850" s="48">
        <f>+'Metrics - Articles'!C847</f>
        <v>0</v>
      </c>
      <c r="C850">
        <f>COUNTIF('Metrics - Articles'!E849,"*Sports*")</f>
        <v>0</v>
      </c>
      <c r="D850">
        <f>COUNTIF('Metrics - Articles'!E849,"*Youth*")</f>
        <v>0</v>
      </c>
      <c r="E850">
        <f>COUNTIF('Metrics - Articles'!E849,"*Healthcare*")</f>
        <v>0</v>
      </c>
      <c r="F850">
        <f>COUNTIF('Metrics - Articles'!E849,"*Innovation")</f>
        <v>0</v>
      </c>
      <c r="G850">
        <f>COUNTIF('Metrics - Articles'!E849,"*Corporate*")</f>
        <v>0</v>
      </c>
      <c r="I850" s="53">
        <f t="shared" si="14"/>
        <v>0</v>
      </c>
    </row>
    <row r="851" spans="2:9" x14ac:dyDescent="0.25">
      <c r="B851" s="48">
        <f>+'Metrics - Articles'!C848</f>
        <v>0</v>
      </c>
      <c r="C851">
        <f>COUNTIF('Metrics - Articles'!E850,"*Sports*")</f>
        <v>0</v>
      </c>
      <c r="D851">
        <f>COUNTIF('Metrics - Articles'!E850,"*Youth*")</f>
        <v>0</v>
      </c>
      <c r="E851">
        <f>COUNTIF('Metrics - Articles'!E850,"*Healthcare*")</f>
        <v>0</v>
      </c>
      <c r="F851">
        <f>COUNTIF('Metrics - Articles'!E850,"*Innovation")</f>
        <v>0</v>
      </c>
      <c r="G851">
        <f>COUNTIF('Metrics - Articles'!E850,"*Corporate*")</f>
        <v>0</v>
      </c>
      <c r="I851" s="53">
        <f t="shared" si="14"/>
        <v>0</v>
      </c>
    </row>
    <row r="852" spans="2:9" x14ac:dyDescent="0.25">
      <c r="B852" s="48">
        <f>+'Metrics - Articles'!C849</f>
        <v>0</v>
      </c>
      <c r="C852">
        <f>COUNTIF('Metrics - Articles'!E851,"*Sports*")</f>
        <v>0</v>
      </c>
      <c r="D852">
        <f>COUNTIF('Metrics - Articles'!E851,"*Youth*")</f>
        <v>0</v>
      </c>
      <c r="E852">
        <f>COUNTIF('Metrics - Articles'!E851,"*Healthcare*")</f>
        <v>0</v>
      </c>
      <c r="F852">
        <f>COUNTIF('Metrics - Articles'!E851,"*Innovation")</f>
        <v>0</v>
      </c>
      <c r="G852">
        <f>COUNTIF('Metrics - Articles'!E851,"*Corporate*")</f>
        <v>0</v>
      </c>
      <c r="I852" s="53">
        <f t="shared" si="14"/>
        <v>0</v>
      </c>
    </row>
    <row r="853" spans="2:9" x14ac:dyDescent="0.25">
      <c r="B853" s="48">
        <f>+'Metrics - Articles'!C850</f>
        <v>0</v>
      </c>
      <c r="C853">
        <f>COUNTIF('Metrics - Articles'!E852,"*Sports*")</f>
        <v>0</v>
      </c>
      <c r="D853">
        <f>COUNTIF('Metrics - Articles'!E852,"*Youth*")</f>
        <v>0</v>
      </c>
      <c r="E853">
        <f>COUNTIF('Metrics - Articles'!E852,"*Healthcare*")</f>
        <v>0</v>
      </c>
      <c r="F853">
        <f>COUNTIF('Metrics - Articles'!E852,"*Innovation")</f>
        <v>0</v>
      </c>
      <c r="G853">
        <f>COUNTIF('Metrics - Articles'!E852,"*Corporate*")</f>
        <v>0</v>
      </c>
      <c r="I853" s="53">
        <f t="shared" si="14"/>
        <v>0</v>
      </c>
    </row>
    <row r="854" spans="2:9" x14ac:dyDescent="0.25">
      <c r="B854" s="48">
        <f>+'Metrics - Articles'!C851</f>
        <v>0</v>
      </c>
      <c r="C854">
        <f>COUNTIF('Metrics - Articles'!E853,"*Sports*")</f>
        <v>0</v>
      </c>
      <c r="D854">
        <f>COUNTIF('Metrics - Articles'!E853,"*Youth*")</f>
        <v>0</v>
      </c>
      <c r="E854">
        <f>COUNTIF('Metrics - Articles'!E853,"*Healthcare*")</f>
        <v>0</v>
      </c>
      <c r="F854">
        <f>COUNTIF('Metrics - Articles'!E853,"*Innovation")</f>
        <v>0</v>
      </c>
      <c r="G854">
        <f>COUNTIF('Metrics - Articles'!E853,"*Corporate*")</f>
        <v>0</v>
      </c>
      <c r="I854" s="53">
        <f t="shared" si="14"/>
        <v>0</v>
      </c>
    </row>
    <row r="855" spans="2:9" x14ac:dyDescent="0.25">
      <c r="B855" s="48">
        <f>+'Metrics - Articles'!C852</f>
        <v>0</v>
      </c>
      <c r="C855">
        <f>COUNTIF('Metrics - Articles'!E854,"*Sports*")</f>
        <v>0</v>
      </c>
      <c r="D855">
        <f>COUNTIF('Metrics - Articles'!E854,"*Youth*")</f>
        <v>0</v>
      </c>
      <c r="E855">
        <f>COUNTIF('Metrics - Articles'!E854,"*Healthcare*")</f>
        <v>0</v>
      </c>
      <c r="F855">
        <f>COUNTIF('Metrics - Articles'!E854,"*Innovation")</f>
        <v>0</v>
      </c>
      <c r="G855">
        <f>COUNTIF('Metrics - Articles'!E854,"*Corporate*")</f>
        <v>0</v>
      </c>
      <c r="I855" s="53">
        <f t="shared" si="14"/>
        <v>0</v>
      </c>
    </row>
    <row r="856" spans="2:9" x14ac:dyDescent="0.25">
      <c r="B856" s="48">
        <f>+'Metrics - Articles'!C853</f>
        <v>0</v>
      </c>
      <c r="C856">
        <f>COUNTIF('Metrics - Articles'!E855,"*Sports*")</f>
        <v>0</v>
      </c>
      <c r="D856">
        <f>COUNTIF('Metrics - Articles'!E855,"*Youth*")</f>
        <v>0</v>
      </c>
      <c r="E856">
        <f>COUNTIF('Metrics - Articles'!E855,"*Healthcare*")</f>
        <v>0</v>
      </c>
      <c r="F856">
        <f>COUNTIF('Metrics - Articles'!E855,"*Innovation")</f>
        <v>0</v>
      </c>
      <c r="G856">
        <f>COUNTIF('Metrics - Articles'!E855,"*Corporate*")</f>
        <v>0</v>
      </c>
      <c r="I856" s="53">
        <f t="shared" si="14"/>
        <v>0</v>
      </c>
    </row>
    <row r="857" spans="2:9" x14ac:dyDescent="0.25">
      <c r="B857" s="48">
        <f>+'Metrics - Articles'!C854</f>
        <v>0</v>
      </c>
      <c r="C857">
        <f>COUNTIF('Metrics - Articles'!E856,"*Sports*")</f>
        <v>0</v>
      </c>
      <c r="D857">
        <f>COUNTIF('Metrics - Articles'!E856,"*Youth*")</f>
        <v>0</v>
      </c>
      <c r="E857">
        <f>COUNTIF('Metrics - Articles'!E856,"*Healthcare*")</f>
        <v>0</v>
      </c>
      <c r="F857">
        <f>COUNTIF('Metrics - Articles'!E856,"*Innovation")</f>
        <v>0</v>
      </c>
      <c r="G857">
        <f>COUNTIF('Metrics - Articles'!E856,"*Corporate*")</f>
        <v>0</v>
      </c>
      <c r="I857" s="53">
        <f t="shared" si="14"/>
        <v>0</v>
      </c>
    </row>
    <row r="858" spans="2:9" x14ac:dyDescent="0.25">
      <c r="B858" s="48">
        <f>+'Metrics - Articles'!C855</f>
        <v>0</v>
      </c>
      <c r="C858">
        <f>COUNTIF('Metrics - Articles'!E857,"*Sports*")</f>
        <v>0</v>
      </c>
      <c r="D858">
        <f>COUNTIF('Metrics - Articles'!E857,"*Youth*")</f>
        <v>0</v>
      </c>
      <c r="E858">
        <f>COUNTIF('Metrics - Articles'!E857,"*Healthcare*")</f>
        <v>0</v>
      </c>
      <c r="F858">
        <f>COUNTIF('Metrics - Articles'!E857,"*Innovation")</f>
        <v>0</v>
      </c>
      <c r="G858">
        <f>COUNTIF('Metrics - Articles'!E857,"*Corporate*")</f>
        <v>0</v>
      </c>
      <c r="I858" s="53">
        <f t="shared" si="14"/>
        <v>0</v>
      </c>
    </row>
    <row r="859" spans="2:9" x14ac:dyDescent="0.25">
      <c r="B859" s="48">
        <f>+'Metrics - Articles'!C856</f>
        <v>0</v>
      </c>
      <c r="C859">
        <f>COUNTIF('Metrics - Articles'!E858,"*Sports*")</f>
        <v>0</v>
      </c>
      <c r="D859">
        <f>COUNTIF('Metrics - Articles'!E858,"*Youth*")</f>
        <v>0</v>
      </c>
      <c r="E859">
        <f>COUNTIF('Metrics - Articles'!E858,"*Healthcare*")</f>
        <v>0</v>
      </c>
      <c r="F859">
        <f>COUNTIF('Metrics - Articles'!E858,"*Innovation")</f>
        <v>0</v>
      </c>
      <c r="G859">
        <f>COUNTIF('Metrics - Articles'!E858,"*Corporate*")</f>
        <v>0</v>
      </c>
      <c r="I859" s="53">
        <f t="shared" si="14"/>
        <v>0</v>
      </c>
    </row>
    <row r="860" spans="2:9" x14ac:dyDescent="0.25">
      <c r="B860" s="48">
        <f>+'Metrics - Articles'!C857</f>
        <v>0</v>
      </c>
      <c r="C860">
        <f>COUNTIF('Metrics - Articles'!E859,"*Sports*")</f>
        <v>0</v>
      </c>
      <c r="D860">
        <f>COUNTIF('Metrics - Articles'!E859,"*Youth*")</f>
        <v>0</v>
      </c>
      <c r="E860">
        <f>COUNTIF('Metrics - Articles'!E859,"*Healthcare*")</f>
        <v>0</v>
      </c>
      <c r="F860">
        <f>COUNTIF('Metrics - Articles'!E859,"*Innovation")</f>
        <v>0</v>
      </c>
      <c r="G860">
        <f>COUNTIF('Metrics - Articles'!E859,"*Corporate*")</f>
        <v>0</v>
      </c>
      <c r="I860" s="53">
        <f t="shared" si="14"/>
        <v>0</v>
      </c>
    </row>
    <row r="861" spans="2:9" x14ac:dyDescent="0.25">
      <c r="B861" s="48">
        <f>+'Metrics - Articles'!C858</f>
        <v>0</v>
      </c>
      <c r="C861">
        <f>COUNTIF('Metrics - Articles'!E860,"*Sports*")</f>
        <v>0</v>
      </c>
      <c r="D861">
        <f>COUNTIF('Metrics - Articles'!E860,"*Youth*")</f>
        <v>0</v>
      </c>
      <c r="E861">
        <f>COUNTIF('Metrics - Articles'!E860,"*Healthcare*")</f>
        <v>0</v>
      </c>
      <c r="F861">
        <f>COUNTIF('Metrics - Articles'!E860,"*Innovation")</f>
        <v>0</v>
      </c>
      <c r="G861">
        <f>COUNTIF('Metrics - Articles'!E860,"*Corporate*")</f>
        <v>0</v>
      </c>
      <c r="I861" s="53">
        <f t="shared" si="14"/>
        <v>0</v>
      </c>
    </row>
    <row r="862" spans="2:9" x14ac:dyDescent="0.25">
      <c r="B862" s="48">
        <f>+'Metrics - Articles'!C859</f>
        <v>0</v>
      </c>
      <c r="C862">
        <f>COUNTIF('Metrics - Articles'!E861,"*Sports*")</f>
        <v>0</v>
      </c>
      <c r="D862">
        <f>COUNTIF('Metrics - Articles'!E861,"*Youth*")</f>
        <v>0</v>
      </c>
      <c r="E862">
        <f>COUNTIF('Metrics - Articles'!E861,"*Healthcare*")</f>
        <v>0</v>
      </c>
      <c r="F862">
        <f>COUNTIF('Metrics - Articles'!E861,"*Innovation")</f>
        <v>0</v>
      </c>
      <c r="G862">
        <f>COUNTIF('Metrics - Articles'!E861,"*Corporate*")</f>
        <v>0</v>
      </c>
      <c r="I862" s="53">
        <f t="shared" si="14"/>
        <v>0</v>
      </c>
    </row>
    <row r="863" spans="2:9" x14ac:dyDescent="0.25">
      <c r="B863" s="48">
        <f>+'Metrics - Articles'!C860</f>
        <v>0</v>
      </c>
      <c r="C863">
        <f>COUNTIF('Metrics - Articles'!E862,"*Sports*")</f>
        <v>0</v>
      </c>
      <c r="D863">
        <f>COUNTIF('Metrics - Articles'!E862,"*Youth*")</f>
        <v>0</v>
      </c>
      <c r="E863">
        <f>COUNTIF('Metrics - Articles'!E862,"*Healthcare*")</f>
        <v>0</v>
      </c>
      <c r="F863">
        <f>COUNTIF('Metrics - Articles'!E862,"*Innovation")</f>
        <v>0</v>
      </c>
      <c r="G863">
        <f>COUNTIF('Metrics - Articles'!E862,"*Corporate*")</f>
        <v>0</v>
      </c>
      <c r="I863" s="53">
        <f t="shared" si="14"/>
        <v>0</v>
      </c>
    </row>
    <row r="864" spans="2:9" x14ac:dyDescent="0.25">
      <c r="B864" s="48">
        <f>+'Metrics - Articles'!C861</f>
        <v>0</v>
      </c>
      <c r="C864">
        <f>COUNTIF('Metrics - Articles'!E863,"*Sports*")</f>
        <v>0</v>
      </c>
      <c r="D864">
        <f>COUNTIF('Metrics - Articles'!E863,"*Youth*")</f>
        <v>0</v>
      </c>
      <c r="E864">
        <f>COUNTIF('Metrics - Articles'!E863,"*Healthcare*")</f>
        <v>0</v>
      </c>
      <c r="F864">
        <f>COUNTIF('Metrics - Articles'!E863,"*Innovation")</f>
        <v>0</v>
      </c>
      <c r="G864">
        <f>COUNTIF('Metrics - Articles'!E863,"*Corporate*")</f>
        <v>0</v>
      </c>
      <c r="I864" s="53">
        <f t="shared" si="14"/>
        <v>0</v>
      </c>
    </row>
    <row r="865" spans="2:9" x14ac:dyDescent="0.25">
      <c r="B865" s="48">
        <f>+'Metrics - Articles'!C862</f>
        <v>0</v>
      </c>
      <c r="C865">
        <f>COUNTIF('Metrics - Articles'!E864,"*Sports*")</f>
        <v>0</v>
      </c>
      <c r="D865">
        <f>COUNTIF('Metrics - Articles'!E864,"*Youth*")</f>
        <v>0</v>
      </c>
      <c r="E865">
        <f>COUNTIF('Metrics - Articles'!E864,"*Healthcare*")</f>
        <v>0</v>
      </c>
      <c r="F865">
        <f>COUNTIF('Metrics - Articles'!E864,"*Innovation")</f>
        <v>0</v>
      </c>
      <c r="G865">
        <f>COUNTIF('Metrics - Articles'!E864,"*Corporate*")</f>
        <v>0</v>
      </c>
      <c r="I865" s="53">
        <f t="shared" si="14"/>
        <v>0</v>
      </c>
    </row>
    <row r="866" spans="2:9" x14ac:dyDescent="0.25">
      <c r="B866" s="48">
        <f>+'Metrics - Articles'!C863</f>
        <v>0</v>
      </c>
      <c r="C866">
        <f>COUNTIF('Metrics - Articles'!E865,"*Sports*")</f>
        <v>0</v>
      </c>
      <c r="D866">
        <f>COUNTIF('Metrics - Articles'!E865,"*Youth*")</f>
        <v>0</v>
      </c>
      <c r="E866">
        <f>COUNTIF('Metrics - Articles'!E865,"*Healthcare*")</f>
        <v>0</v>
      </c>
      <c r="F866">
        <f>COUNTIF('Metrics - Articles'!E865,"*Innovation")</f>
        <v>0</v>
      </c>
      <c r="G866">
        <f>COUNTIF('Metrics - Articles'!E865,"*Corporate*")</f>
        <v>0</v>
      </c>
      <c r="I866" s="53">
        <f t="shared" si="14"/>
        <v>0</v>
      </c>
    </row>
    <row r="867" spans="2:9" x14ac:dyDescent="0.25">
      <c r="B867" s="48">
        <f>+'Metrics - Articles'!C864</f>
        <v>0</v>
      </c>
      <c r="C867">
        <f>COUNTIF('Metrics - Articles'!E866,"*Sports*")</f>
        <v>0</v>
      </c>
      <c r="D867">
        <f>COUNTIF('Metrics - Articles'!E866,"*Youth*")</f>
        <v>0</v>
      </c>
      <c r="E867">
        <f>COUNTIF('Metrics - Articles'!E866,"*Healthcare*")</f>
        <v>0</v>
      </c>
      <c r="F867">
        <f>COUNTIF('Metrics - Articles'!E866,"*Innovation")</f>
        <v>0</v>
      </c>
      <c r="G867">
        <f>COUNTIF('Metrics - Articles'!E866,"*Corporate*")</f>
        <v>0</v>
      </c>
      <c r="I867" s="53">
        <f t="shared" si="14"/>
        <v>0</v>
      </c>
    </row>
    <row r="868" spans="2:9" x14ac:dyDescent="0.25">
      <c r="B868" s="48">
        <f>+'Metrics - Articles'!C865</f>
        <v>0</v>
      </c>
      <c r="C868">
        <f>COUNTIF('Metrics - Articles'!E867,"*Sports*")</f>
        <v>0</v>
      </c>
      <c r="D868">
        <f>COUNTIF('Metrics - Articles'!E867,"*Youth*")</f>
        <v>0</v>
      </c>
      <c r="E868">
        <f>COUNTIF('Metrics - Articles'!E867,"*Healthcare*")</f>
        <v>0</v>
      </c>
      <c r="F868">
        <f>COUNTIF('Metrics - Articles'!E867,"*Innovation")</f>
        <v>0</v>
      </c>
      <c r="G868">
        <f>COUNTIF('Metrics - Articles'!E867,"*Corporate*")</f>
        <v>0</v>
      </c>
      <c r="I868" s="53">
        <f t="shared" si="14"/>
        <v>0</v>
      </c>
    </row>
    <row r="869" spans="2:9" x14ac:dyDescent="0.25">
      <c r="B869" s="48">
        <f>+'Metrics - Articles'!C866</f>
        <v>0</v>
      </c>
      <c r="C869">
        <f>COUNTIF('Metrics - Articles'!E868,"*Sports*")</f>
        <v>0</v>
      </c>
      <c r="D869">
        <f>COUNTIF('Metrics - Articles'!E868,"*Youth*")</f>
        <v>0</v>
      </c>
      <c r="E869">
        <f>COUNTIF('Metrics - Articles'!E868,"*Healthcare*")</f>
        <v>0</v>
      </c>
      <c r="F869">
        <f>COUNTIF('Metrics - Articles'!E868,"*Innovation")</f>
        <v>0</v>
      </c>
      <c r="G869">
        <f>COUNTIF('Metrics - Articles'!E868,"*Corporate*")</f>
        <v>0</v>
      </c>
      <c r="I869" s="53">
        <f t="shared" si="14"/>
        <v>0</v>
      </c>
    </row>
    <row r="870" spans="2:9" x14ac:dyDescent="0.25">
      <c r="B870" s="48">
        <f>+'Metrics - Articles'!C867</f>
        <v>0</v>
      </c>
      <c r="C870">
        <f>COUNTIF('Metrics - Articles'!E869,"*Sports*")</f>
        <v>0</v>
      </c>
      <c r="D870">
        <f>COUNTIF('Metrics - Articles'!E869,"*Youth*")</f>
        <v>0</v>
      </c>
      <c r="E870">
        <f>COUNTIF('Metrics - Articles'!E869,"*Healthcare*")</f>
        <v>0</v>
      </c>
      <c r="F870">
        <f>COUNTIF('Metrics - Articles'!E869,"*Innovation")</f>
        <v>0</v>
      </c>
      <c r="G870">
        <f>COUNTIF('Metrics - Articles'!E869,"*Corporate*")</f>
        <v>0</v>
      </c>
      <c r="I870" s="53">
        <f t="shared" si="14"/>
        <v>0</v>
      </c>
    </row>
    <row r="871" spans="2:9" x14ac:dyDescent="0.25">
      <c r="B871" s="48">
        <f>+'Metrics - Articles'!C868</f>
        <v>0</v>
      </c>
      <c r="C871">
        <f>COUNTIF('Metrics - Articles'!E870,"*Sports*")</f>
        <v>0</v>
      </c>
      <c r="D871">
        <f>COUNTIF('Metrics - Articles'!E870,"*Youth*")</f>
        <v>0</v>
      </c>
      <c r="E871">
        <f>COUNTIF('Metrics - Articles'!E870,"*Healthcare*")</f>
        <v>0</v>
      </c>
      <c r="F871">
        <f>COUNTIF('Metrics - Articles'!E870,"*Innovation")</f>
        <v>0</v>
      </c>
      <c r="G871">
        <f>COUNTIF('Metrics - Articles'!E870,"*Corporate*")</f>
        <v>0</v>
      </c>
      <c r="I871" s="53">
        <f t="shared" si="14"/>
        <v>0</v>
      </c>
    </row>
    <row r="872" spans="2:9" x14ac:dyDescent="0.25">
      <c r="B872" s="48">
        <f>+'Metrics - Articles'!C869</f>
        <v>0</v>
      </c>
      <c r="C872">
        <f>COUNTIF('Metrics - Articles'!E871,"*Sports*")</f>
        <v>0</v>
      </c>
      <c r="D872">
        <f>COUNTIF('Metrics - Articles'!E871,"*Youth*")</f>
        <v>0</v>
      </c>
      <c r="E872">
        <f>COUNTIF('Metrics - Articles'!E871,"*Healthcare*")</f>
        <v>0</v>
      </c>
      <c r="F872">
        <f>COUNTIF('Metrics - Articles'!E871,"*Innovation")</f>
        <v>0</v>
      </c>
      <c r="G872">
        <f>COUNTIF('Metrics - Articles'!E871,"*Corporate*")</f>
        <v>0</v>
      </c>
      <c r="I872" s="53">
        <f t="shared" si="14"/>
        <v>0</v>
      </c>
    </row>
    <row r="873" spans="2:9" x14ac:dyDescent="0.25">
      <c r="B873" s="48">
        <f>+'Metrics - Articles'!C870</f>
        <v>0</v>
      </c>
      <c r="C873">
        <f>COUNTIF('Metrics - Articles'!E872,"*Sports*")</f>
        <v>0</v>
      </c>
      <c r="D873">
        <f>COUNTIF('Metrics - Articles'!E872,"*Youth*")</f>
        <v>0</v>
      </c>
      <c r="E873">
        <f>COUNTIF('Metrics - Articles'!E872,"*Healthcare*")</f>
        <v>0</v>
      </c>
      <c r="F873">
        <f>COUNTIF('Metrics - Articles'!E872,"*Innovation")</f>
        <v>0</v>
      </c>
      <c r="G873">
        <f>COUNTIF('Metrics - Articles'!E872,"*Corporate*")</f>
        <v>0</v>
      </c>
      <c r="I873" s="53">
        <f t="shared" si="14"/>
        <v>0</v>
      </c>
    </row>
    <row r="874" spans="2:9" x14ac:dyDescent="0.25">
      <c r="B874" s="48">
        <f>+'Metrics - Articles'!C871</f>
        <v>0</v>
      </c>
      <c r="C874">
        <f>COUNTIF('Metrics - Articles'!E873,"*Sports*")</f>
        <v>0</v>
      </c>
      <c r="D874">
        <f>COUNTIF('Metrics - Articles'!E873,"*Youth*")</f>
        <v>0</v>
      </c>
      <c r="E874">
        <f>COUNTIF('Metrics - Articles'!E873,"*Healthcare*")</f>
        <v>0</v>
      </c>
      <c r="F874">
        <f>COUNTIF('Metrics - Articles'!E873,"*Innovation")</f>
        <v>0</v>
      </c>
      <c r="G874">
        <f>COUNTIF('Metrics - Articles'!E873,"*Corporate*")</f>
        <v>0</v>
      </c>
      <c r="I874" s="53">
        <f t="shared" si="14"/>
        <v>0</v>
      </c>
    </row>
    <row r="875" spans="2:9" x14ac:dyDescent="0.25">
      <c r="B875" s="48">
        <f>+'Metrics - Articles'!C872</f>
        <v>0</v>
      </c>
      <c r="C875">
        <f>COUNTIF('Metrics - Articles'!E874,"*Sports*")</f>
        <v>0</v>
      </c>
      <c r="D875">
        <f>COUNTIF('Metrics - Articles'!E874,"*Youth*")</f>
        <v>0</v>
      </c>
      <c r="E875">
        <f>COUNTIF('Metrics - Articles'!E874,"*Healthcare*")</f>
        <v>0</v>
      </c>
      <c r="F875">
        <f>COUNTIF('Metrics - Articles'!E874,"*Innovation")</f>
        <v>0</v>
      </c>
      <c r="G875">
        <f>COUNTIF('Metrics - Articles'!E874,"*Corporate*")</f>
        <v>0</v>
      </c>
      <c r="I875" s="53">
        <f t="shared" si="14"/>
        <v>0</v>
      </c>
    </row>
    <row r="876" spans="2:9" x14ac:dyDescent="0.25">
      <c r="B876" s="48">
        <f>+'Metrics - Articles'!C873</f>
        <v>0</v>
      </c>
      <c r="C876">
        <f>COUNTIF('Metrics - Articles'!E875,"*Sports*")</f>
        <v>0</v>
      </c>
      <c r="D876">
        <f>COUNTIF('Metrics - Articles'!E875,"*Youth*")</f>
        <v>0</v>
      </c>
      <c r="E876">
        <f>COUNTIF('Metrics - Articles'!E875,"*Healthcare*")</f>
        <v>0</v>
      </c>
      <c r="F876">
        <f>COUNTIF('Metrics - Articles'!E875,"*Innovation")</f>
        <v>0</v>
      </c>
      <c r="G876">
        <f>COUNTIF('Metrics - Articles'!E875,"*Corporate*")</f>
        <v>0</v>
      </c>
      <c r="I876" s="53">
        <f t="shared" si="14"/>
        <v>0</v>
      </c>
    </row>
    <row r="877" spans="2:9" x14ac:dyDescent="0.25">
      <c r="B877" s="48">
        <f>+'Metrics - Articles'!C874</f>
        <v>0</v>
      </c>
      <c r="C877">
        <f>COUNTIF('Metrics - Articles'!E876,"*Sports*")</f>
        <v>0</v>
      </c>
      <c r="D877">
        <f>COUNTIF('Metrics - Articles'!E876,"*Youth*")</f>
        <v>0</v>
      </c>
      <c r="E877">
        <f>COUNTIF('Metrics - Articles'!E876,"*Healthcare*")</f>
        <v>0</v>
      </c>
      <c r="F877">
        <f>COUNTIF('Metrics - Articles'!E876,"*Innovation")</f>
        <v>0</v>
      </c>
      <c r="G877">
        <f>COUNTIF('Metrics - Articles'!E876,"*Corporate*")</f>
        <v>0</v>
      </c>
      <c r="I877" s="53">
        <f t="shared" si="14"/>
        <v>0</v>
      </c>
    </row>
    <row r="878" spans="2:9" x14ac:dyDescent="0.25">
      <c r="B878" s="48">
        <f>+'Metrics - Articles'!C875</f>
        <v>0</v>
      </c>
      <c r="C878">
        <f>COUNTIF('Metrics - Articles'!E877,"*Sports*")</f>
        <v>0</v>
      </c>
      <c r="D878">
        <f>COUNTIF('Metrics - Articles'!E877,"*Youth*")</f>
        <v>0</v>
      </c>
      <c r="E878">
        <f>COUNTIF('Metrics - Articles'!E877,"*Healthcare*")</f>
        <v>0</v>
      </c>
      <c r="F878">
        <f>COUNTIF('Metrics - Articles'!E877,"*Innovation")</f>
        <v>0</v>
      </c>
      <c r="G878">
        <f>COUNTIF('Metrics - Articles'!E877,"*Corporate*")</f>
        <v>0</v>
      </c>
      <c r="I878" s="53">
        <f t="shared" si="14"/>
        <v>0</v>
      </c>
    </row>
    <row r="879" spans="2:9" x14ac:dyDescent="0.25">
      <c r="B879" s="48">
        <f>+'Metrics - Articles'!C876</f>
        <v>0</v>
      </c>
      <c r="C879">
        <f>COUNTIF('Metrics - Articles'!E878,"*Sports*")</f>
        <v>0</v>
      </c>
      <c r="D879">
        <f>COUNTIF('Metrics - Articles'!E878,"*Youth*")</f>
        <v>0</v>
      </c>
      <c r="E879">
        <f>COUNTIF('Metrics - Articles'!E878,"*Healthcare*")</f>
        <v>0</v>
      </c>
      <c r="F879">
        <f>COUNTIF('Metrics - Articles'!E878,"*Innovation")</f>
        <v>0</v>
      </c>
      <c r="G879">
        <f>COUNTIF('Metrics - Articles'!E878,"*Corporate*")</f>
        <v>0</v>
      </c>
      <c r="I879" s="53">
        <f t="shared" si="14"/>
        <v>0</v>
      </c>
    </row>
    <row r="880" spans="2:9" x14ac:dyDescent="0.25">
      <c r="B880" s="48">
        <f>+'Metrics - Articles'!C877</f>
        <v>0</v>
      </c>
      <c r="C880">
        <f>COUNTIF('Metrics - Articles'!E879,"*Sports*")</f>
        <v>0</v>
      </c>
      <c r="D880">
        <f>COUNTIF('Metrics - Articles'!E879,"*Youth*")</f>
        <v>0</v>
      </c>
      <c r="E880">
        <f>COUNTIF('Metrics - Articles'!E879,"*Healthcare*")</f>
        <v>0</v>
      </c>
      <c r="F880">
        <f>COUNTIF('Metrics - Articles'!E879,"*Innovation")</f>
        <v>0</v>
      </c>
      <c r="G880">
        <f>COUNTIF('Metrics - Articles'!E879,"*Corporate*")</f>
        <v>0</v>
      </c>
      <c r="I880" s="53">
        <f t="shared" si="14"/>
        <v>0</v>
      </c>
    </row>
    <row r="881" spans="2:9" x14ac:dyDescent="0.25">
      <c r="B881" s="48">
        <f>+'Metrics - Articles'!C878</f>
        <v>0</v>
      </c>
      <c r="C881">
        <f>COUNTIF('Metrics - Articles'!E880,"*Sports*")</f>
        <v>0</v>
      </c>
      <c r="D881">
        <f>COUNTIF('Metrics - Articles'!E880,"*Youth*")</f>
        <v>0</v>
      </c>
      <c r="E881">
        <f>COUNTIF('Metrics - Articles'!E880,"*Healthcare*")</f>
        <v>0</v>
      </c>
      <c r="F881">
        <f>COUNTIF('Metrics - Articles'!E880,"*Innovation")</f>
        <v>0</v>
      </c>
      <c r="G881">
        <f>COUNTIF('Metrics - Articles'!E880,"*Corporate*")</f>
        <v>0</v>
      </c>
      <c r="I881" s="53">
        <f t="shared" si="14"/>
        <v>0</v>
      </c>
    </row>
    <row r="882" spans="2:9" x14ac:dyDescent="0.25">
      <c r="B882" s="48">
        <f>+'Metrics - Articles'!C879</f>
        <v>0</v>
      </c>
      <c r="C882">
        <f>COUNTIF('Metrics - Articles'!E881,"*Sports*")</f>
        <v>0</v>
      </c>
      <c r="D882">
        <f>COUNTIF('Metrics - Articles'!E881,"*Youth*")</f>
        <v>0</v>
      </c>
      <c r="E882">
        <f>COUNTIF('Metrics - Articles'!E881,"*Healthcare*")</f>
        <v>0</v>
      </c>
      <c r="F882">
        <f>COUNTIF('Metrics - Articles'!E881,"*Innovation")</f>
        <v>0</v>
      </c>
      <c r="G882">
        <f>COUNTIF('Metrics - Articles'!E881,"*Corporate*")</f>
        <v>0</v>
      </c>
      <c r="I882" s="53">
        <f t="shared" si="14"/>
        <v>0</v>
      </c>
    </row>
    <row r="883" spans="2:9" x14ac:dyDescent="0.25">
      <c r="B883" s="48">
        <f>+'Metrics - Articles'!C880</f>
        <v>0</v>
      </c>
      <c r="C883">
        <f>COUNTIF('Metrics - Articles'!E882,"*Sports*")</f>
        <v>0</v>
      </c>
      <c r="D883">
        <f>COUNTIF('Metrics - Articles'!E882,"*Youth*")</f>
        <v>0</v>
      </c>
      <c r="E883">
        <f>COUNTIF('Metrics - Articles'!E882,"*Healthcare*")</f>
        <v>0</v>
      </c>
      <c r="F883">
        <f>COUNTIF('Metrics - Articles'!E882,"*Innovation")</f>
        <v>0</v>
      </c>
      <c r="G883">
        <f>COUNTIF('Metrics - Articles'!E882,"*Corporate*")</f>
        <v>0</v>
      </c>
      <c r="I883" s="53">
        <f t="shared" si="14"/>
        <v>0</v>
      </c>
    </row>
    <row r="884" spans="2:9" x14ac:dyDescent="0.25">
      <c r="B884" s="48">
        <f>+'Metrics - Articles'!C881</f>
        <v>0</v>
      </c>
      <c r="C884">
        <f>COUNTIF('Metrics - Articles'!E883,"*Sports*")</f>
        <v>0</v>
      </c>
      <c r="D884">
        <f>COUNTIF('Metrics - Articles'!E883,"*Youth*")</f>
        <v>0</v>
      </c>
      <c r="E884">
        <f>COUNTIF('Metrics - Articles'!E883,"*Healthcare*")</f>
        <v>0</v>
      </c>
      <c r="F884">
        <f>COUNTIF('Metrics - Articles'!E883,"*Innovation")</f>
        <v>0</v>
      </c>
      <c r="G884">
        <f>COUNTIF('Metrics - Articles'!E883,"*Corporate*")</f>
        <v>0</v>
      </c>
      <c r="I884" s="53">
        <f t="shared" si="14"/>
        <v>0</v>
      </c>
    </row>
    <row r="885" spans="2:9" x14ac:dyDescent="0.25">
      <c r="B885" s="48">
        <f>+'Metrics - Articles'!C882</f>
        <v>0</v>
      </c>
      <c r="C885">
        <f>COUNTIF('Metrics - Articles'!E884,"*Sports*")</f>
        <v>0</v>
      </c>
      <c r="D885">
        <f>COUNTIF('Metrics - Articles'!E884,"*Youth*")</f>
        <v>0</v>
      </c>
      <c r="E885">
        <f>COUNTIF('Metrics - Articles'!E884,"*Healthcare*")</f>
        <v>0</v>
      </c>
      <c r="F885">
        <f>COUNTIF('Metrics - Articles'!E884,"*Innovation")</f>
        <v>0</v>
      </c>
      <c r="G885">
        <f>COUNTIF('Metrics - Articles'!E884,"*Corporate*")</f>
        <v>0</v>
      </c>
      <c r="I885" s="53">
        <f t="shared" si="14"/>
        <v>0</v>
      </c>
    </row>
    <row r="886" spans="2:9" x14ac:dyDescent="0.25">
      <c r="B886" s="48">
        <f>+'Metrics - Articles'!C883</f>
        <v>0</v>
      </c>
      <c r="C886">
        <f>COUNTIF('Metrics - Articles'!E885,"*Sports*")</f>
        <v>0</v>
      </c>
      <c r="D886">
        <f>COUNTIF('Metrics - Articles'!E885,"*Youth*")</f>
        <v>0</v>
      </c>
      <c r="E886">
        <f>COUNTIF('Metrics - Articles'!E885,"*Healthcare*")</f>
        <v>0</v>
      </c>
      <c r="F886">
        <f>COUNTIF('Metrics - Articles'!E885,"*Innovation")</f>
        <v>0</v>
      </c>
      <c r="G886">
        <f>COUNTIF('Metrics - Articles'!E885,"*Corporate*")</f>
        <v>0</v>
      </c>
      <c r="I886" s="53">
        <f t="shared" si="14"/>
        <v>0</v>
      </c>
    </row>
    <row r="887" spans="2:9" x14ac:dyDescent="0.25">
      <c r="B887" s="48">
        <f>+'Metrics - Articles'!C884</f>
        <v>0</v>
      </c>
      <c r="C887">
        <f>COUNTIF('Metrics - Articles'!E886,"*Sports*")</f>
        <v>0</v>
      </c>
      <c r="D887">
        <f>COUNTIF('Metrics - Articles'!E886,"*Youth*")</f>
        <v>0</v>
      </c>
      <c r="E887">
        <f>COUNTIF('Metrics - Articles'!E886,"*Healthcare*")</f>
        <v>0</v>
      </c>
      <c r="F887">
        <f>COUNTIF('Metrics - Articles'!E886,"*Innovation")</f>
        <v>0</v>
      </c>
      <c r="G887">
        <f>COUNTIF('Metrics - Articles'!E886,"*Corporate*")</f>
        <v>0</v>
      </c>
      <c r="I887" s="53">
        <f t="shared" si="14"/>
        <v>0</v>
      </c>
    </row>
    <row r="888" spans="2:9" x14ac:dyDescent="0.25">
      <c r="B888" s="48">
        <f>+'Metrics - Articles'!C885</f>
        <v>0</v>
      </c>
      <c r="C888">
        <f>COUNTIF('Metrics - Articles'!E887,"*Sports*")</f>
        <v>0</v>
      </c>
      <c r="D888">
        <f>COUNTIF('Metrics - Articles'!E887,"*Youth*")</f>
        <v>0</v>
      </c>
      <c r="E888">
        <f>COUNTIF('Metrics - Articles'!E887,"*Healthcare*")</f>
        <v>0</v>
      </c>
      <c r="F888">
        <f>COUNTIF('Metrics - Articles'!E887,"*Innovation")</f>
        <v>0</v>
      </c>
      <c r="G888">
        <f>COUNTIF('Metrics - Articles'!E887,"*Corporate*")</f>
        <v>0</v>
      </c>
      <c r="I888" s="53">
        <f t="shared" si="14"/>
        <v>0</v>
      </c>
    </row>
    <row r="889" spans="2:9" x14ac:dyDescent="0.25">
      <c r="B889" s="48">
        <f>+'Metrics - Articles'!C886</f>
        <v>0</v>
      </c>
      <c r="C889">
        <f>COUNTIF('Metrics - Articles'!E888,"*Sports*")</f>
        <v>0</v>
      </c>
      <c r="D889">
        <f>COUNTIF('Metrics - Articles'!E888,"*Youth*")</f>
        <v>0</v>
      </c>
      <c r="E889">
        <f>COUNTIF('Metrics - Articles'!E888,"*Healthcare*")</f>
        <v>0</v>
      </c>
      <c r="F889">
        <f>COUNTIF('Metrics - Articles'!E888,"*Innovation")</f>
        <v>0</v>
      </c>
      <c r="G889">
        <f>COUNTIF('Metrics - Articles'!E888,"*Corporate*")</f>
        <v>0</v>
      </c>
      <c r="I889" s="53">
        <f t="shared" si="14"/>
        <v>0</v>
      </c>
    </row>
    <row r="890" spans="2:9" x14ac:dyDescent="0.25">
      <c r="B890" s="48">
        <f>+'Metrics - Articles'!C887</f>
        <v>0</v>
      </c>
      <c r="C890">
        <f>COUNTIF('Metrics - Articles'!E889,"*Sports*")</f>
        <v>0</v>
      </c>
      <c r="D890">
        <f>COUNTIF('Metrics - Articles'!E889,"*Youth*")</f>
        <v>0</v>
      </c>
      <c r="E890">
        <f>COUNTIF('Metrics - Articles'!E889,"*Healthcare*")</f>
        <v>0</v>
      </c>
      <c r="F890">
        <f>COUNTIF('Metrics - Articles'!E889,"*Innovation")</f>
        <v>0</v>
      </c>
      <c r="G890">
        <f>COUNTIF('Metrics - Articles'!E889,"*Corporate*")</f>
        <v>0</v>
      </c>
      <c r="I890" s="53">
        <f t="shared" si="14"/>
        <v>0</v>
      </c>
    </row>
    <row r="891" spans="2:9" x14ac:dyDescent="0.25">
      <c r="B891" s="48">
        <f>+'Metrics - Articles'!C888</f>
        <v>0</v>
      </c>
      <c r="C891">
        <f>COUNTIF('Metrics - Articles'!E890,"*Sports*")</f>
        <v>0</v>
      </c>
      <c r="D891">
        <f>COUNTIF('Metrics - Articles'!E890,"*Youth*")</f>
        <v>0</v>
      </c>
      <c r="E891">
        <f>COUNTIF('Metrics - Articles'!E890,"*Healthcare*")</f>
        <v>0</v>
      </c>
      <c r="F891">
        <f>COUNTIF('Metrics - Articles'!E890,"*Innovation")</f>
        <v>0</v>
      </c>
      <c r="G891">
        <f>COUNTIF('Metrics - Articles'!E890,"*Corporate*")</f>
        <v>0</v>
      </c>
      <c r="I891" s="53">
        <f t="shared" si="14"/>
        <v>0</v>
      </c>
    </row>
    <row r="892" spans="2:9" x14ac:dyDescent="0.25">
      <c r="B892" s="48">
        <f>+'Metrics - Articles'!C889</f>
        <v>0</v>
      </c>
      <c r="C892">
        <f>COUNTIF('Metrics - Articles'!E891,"*Sports*")</f>
        <v>0</v>
      </c>
      <c r="D892">
        <f>COUNTIF('Metrics - Articles'!E891,"*Youth*")</f>
        <v>0</v>
      </c>
      <c r="E892">
        <f>COUNTIF('Metrics - Articles'!E891,"*Healthcare*")</f>
        <v>0</v>
      </c>
      <c r="F892">
        <f>COUNTIF('Metrics - Articles'!E891,"*Innovation")</f>
        <v>0</v>
      </c>
      <c r="G892">
        <f>COUNTIF('Metrics - Articles'!E891,"*Corporate*")</f>
        <v>0</v>
      </c>
      <c r="I892" s="53">
        <f t="shared" si="14"/>
        <v>0</v>
      </c>
    </row>
    <row r="893" spans="2:9" x14ac:dyDescent="0.25">
      <c r="B893" s="48">
        <f>+'Metrics - Articles'!C890</f>
        <v>0</v>
      </c>
      <c r="C893">
        <f>COUNTIF('Metrics - Articles'!E892,"*Sports*")</f>
        <v>0</v>
      </c>
      <c r="D893">
        <f>COUNTIF('Metrics - Articles'!E892,"*Youth*")</f>
        <v>0</v>
      </c>
      <c r="E893">
        <f>COUNTIF('Metrics - Articles'!E892,"*Healthcare*")</f>
        <v>0</v>
      </c>
      <c r="F893">
        <f>COUNTIF('Metrics - Articles'!E892,"*Innovation")</f>
        <v>0</v>
      </c>
      <c r="G893">
        <f>COUNTIF('Metrics - Articles'!E892,"*Corporate*")</f>
        <v>0</v>
      </c>
      <c r="I893" s="53">
        <f t="shared" si="14"/>
        <v>0</v>
      </c>
    </row>
    <row r="894" spans="2:9" x14ac:dyDescent="0.25">
      <c r="B894" s="48">
        <f>+'Metrics - Articles'!C891</f>
        <v>0</v>
      </c>
      <c r="C894">
        <f>COUNTIF('Metrics - Articles'!E893,"*Sports*")</f>
        <v>0</v>
      </c>
      <c r="D894">
        <f>COUNTIF('Metrics - Articles'!E893,"*Youth*")</f>
        <v>0</v>
      </c>
      <c r="E894">
        <f>COUNTIF('Metrics - Articles'!E893,"*Healthcare*")</f>
        <v>0</v>
      </c>
      <c r="F894">
        <f>COUNTIF('Metrics - Articles'!E893,"*Innovation")</f>
        <v>0</v>
      </c>
      <c r="G894">
        <f>COUNTIF('Metrics - Articles'!E893,"*Corporate*")</f>
        <v>0</v>
      </c>
      <c r="I894" s="53">
        <f t="shared" si="14"/>
        <v>0</v>
      </c>
    </row>
    <row r="895" spans="2:9" x14ac:dyDescent="0.25">
      <c r="B895" s="48">
        <f>+'Metrics - Articles'!C892</f>
        <v>0</v>
      </c>
      <c r="C895">
        <f>COUNTIF('Metrics - Articles'!E894,"*Sports*")</f>
        <v>0</v>
      </c>
      <c r="D895">
        <f>COUNTIF('Metrics - Articles'!E894,"*Youth*")</f>
        <v>0</v>
      </c>
      <c r="E895">
        <f>COUNTIF('Metrics - Articles'!E894,"*Healthcare*")</f>
        <v>0</v>
      </c>
      <c r="F895">
        <f>COUNTIF('Metrics - Articles'!E894,"*Innovation")</f>
        <v>0</v>
      </c>
      <c r="G895">
        <f>COUNTIF('Metrics - Articles'!E894,"*Corporate*")</f>
        <v>0</v>
      </c>
      <c r="I895" s="53">
        <f t="shared" si="14"/>
        <v>0</v>
      </c>
    </row>
    <row r="896" spans="2:9" x14ac:dyDescent="0.25">
      <c r="B896" s="48">
        <f>+'Metrics - Articles'!C893</f>
        <v>0</v>
      </c>
      <c r="C896">
        <f>COUNTIF('Metrics - Articles'!E895,"*Sports*")</f>
        <v>0</v>
      </c>
      <c r="D896">
        <f>COUNTIF('Metrics - Articles'!E895,"*Youth*")</f>
        <v>0</v>
      </c>
      <c r="E896">
        <f>COUNTIF('Metrics - Articles'!E895,"*Healthcare*")</f>
        <v>0</v>
      </c>
      <c r="F896">
        <f>COUNTIF('Metrics - Articles'!E895,"*Innovation")</f>
        <v>0</v>
      </c>
      <c r="G896">
        <f>COUNTIF('Metrics - Articles'!E895,"*Corporate*")</f>
        <v>0</v>
      </c>
      <c r="I896" s="53">
        <f t="shared" si="14"/>
        <v>0</v>
      </c>
    </row>
    <row r="897" spans="2:9" x14ac:dyDescent="0.25">
      <c r="B897" s="48">
        <f>+'Metrics - Articles'!C894</f>
        <v>0</v>
      </c>
      <c r="C897">
        <f>COUNTIF('Metrics - Articles'!E896,"*Sports*")</f>
        <v>0</v>
      </c>
      <c r="D897">
        <f>COUNTIF('Metrics - Articles'!E896,"*Youth*")</f>
        <v>0</v>
      </c>
      <c r="E897">
        <f>COUNTIF('Metrics - Articles'!E896,"*Healthcare*")</f>
        <v>0</v>
      </c>
      <c r="F897">
        <f>COUNTIF('Metrics - Articles'!E896,"*Innovation")</f>
        <v>0</v>
      </c>
      <c r="G897">
        <f>COUNTIF('Metrics - Articles'!E896,"*Corporate*")</f>
        <v>0</v>
      </c>
      <c r="I897" s="53">
        <f t="shared" si="14"/>
        <v>0</v>
      </c>
    </row>
    <row r="898" spans="2:9" x14ac:dyDescent="0.25">
      <c r="B898" s="48">
        <f>+'Metrics - Articles'!C895</f>
        <v>0</v>
      </c>
      <c r="C898">
        <f>COUNTIF('Metrics - Articles'!E897,"*Sports*")</f>
        <v>0</v>
      </c>
      <c r="D898">
        <f>COUNTIF('Metrics - Articles'!E897,"*Youth*")</f>
        <v>0</v>
      </c>
      <c r="E898">
        <f>COUNTIF('Metrics - Articles'!E897,"*Healthcare*")</f>
        <v>0</v>
      </c>
      <c r="F898">
        <f>COUNTIF('Metrics - Articles'!E897,"*Innovation")</f>
        <v>0</v>
      </c>
      <c r="G898">
        <f>COUNTIF('Metrics - Articles'!E897,"*Corporate*")</f>
        <v>0</v>
      </c>
      <c r="I898" s="53">
        <f t="shared" si="14"/>
        <v>0</v>
      </c>
    </row>
    <row r="899" spans="2:9" x14ac:dyDescent="0.25">
      <c r="B899" s="48">
        <f>+'Metrics - Articles'!C896</f>
        <v>0</v>
      </c>
      <c r="C899">
        <f>COUNTIF('Metrics - Articles'!E898,"*Sports*")</f>
        <v>0</v>
      </c>
      <c r="D899">
        <f>COUNTIF('Metrics - Articles'!E898,"*Youth*")</f>
        <v>0</v>
      </c>
      <c r="E899">
        <f>COUNTIF('Metrics - Articles'!E898,"*Healthcare*")</f>
        <v>0</v>
      </c>
      <c r="F899">
        <f>COUNTIF('Metrics - Articles'!E898,"*Innovation")</f>
        <v>0</v>
      </c>
      <c r="G899">
        <f>COUNTIF('Metrics - Articles'!E898,"*Corporate*")</f>
        <v>0</v>
      </c>
      <c r="I899" s="53">
        <f t="shared" si="14"/>
        <v>0</v>
      </c>
    </row>
    <row r="900" spans="2:9" x14ac:dyDescent="0.25">
      <c r="B900" s="48">
        <f>+'Metrics - Articles'!C897</f>
        <v>0</v>
      </c>
      <c r="C900">
        <f>COUNTIF('Metrics - Articles'!E899,"*Sports*")</f>
        <v>0</v>
      </c>
      <c r="D900">
        <f>COUNTIF('Metrics - Articles'!E899,"*Youth*")</f>
        <v>0</v>
      </c>
      <c r="E900">
        <f>COUNTIF('Metrics - Articles'!E899,"*Healthcare*")</f>
        <v>0</v>
      </c>
      <c r="F900">
        <f>COUNTIF('Metrics - Articles'!E899,"*Innovation")</f>
        <v>0</v>
      </c>
      <c r="G900">
        <f>COUNTIF('Metrics - Articles'!E899,"*Corporate*")</f>
        <v>0</v>
      </c>
      <c r="I900" s="53">
        <f t="shared" si="14"/>
        <v>0</v>
      </c>
    </row>
    <row r="901" spans="2:9" x14ac:dyDescent="0.25">
      <c r="B901" s="48">
        <f>+'Metrics - Articles'!C898</f>
        <v>0</v>
      </c>
      <c r="C901">
        <f>COUNTIF('Metrics - Articles'!E900,"*Sports*")</f>
        <v>0</v>
      </c>
      <c r="D901">
        <f>COUNTIF('Metrics - Articles'!E900,"*Youth*")</f>
        <v>0</v>
      </c>
      <c r="E901">
        <f>COUNTIF('Metrics - Articles'!E900,"*Healthcare*")</f>
        <v>0</v>
      </c>
      <c r="F901">
        <f>COUNTIF('Metrics - Articles'!E900,"*Innovation")</f>
        <v>0</v>
      </c>
      <c r="G901">
        <f>COUNTIF('Metrics - Articles'!E900,"*Corporate*")</f>
        <v>0</v>
      </c>
      <c r="I901" s="53">
        <f t="shared" si="14"/>
        <v>0</v>
      </c>
    </row>
    <row r="902" spans="2:9" x14ac:dyDescent="0.25">
      <c r="B902" s="48">
        <f>+'Metrics - Articles'!C899</f>
        <v>0</v>
      </c>
      <c r="C902">
        <f>COUNTIF('Metrics - Articles'!E901,"*Sports*")</f>
        <v>0</v>
      </c>
      <c r="D902">
        <f>COUNTIF('Metrics - Articles'!E901,"*Youth*")</f>
        <v>0</v>
      </c>
      <c r="E902">
        <f>COUNTIF('Metrics - Articles'!E901,"*Healthcare*")</f>
        <v>0</v>
      </c>
      <c r="F902">
        <f>COUNTIF('Metrics - Articles'!E901,"*Innovation")</f>
        <v>0</v>
      </c>
      <c r="G902">
        <f>COUNTIF('Metrics - Articles'!E901,"*Corporate*")</f>
        <v>0</v>
      </c>
      <c r="I902" s="53">
        <f t="shared" si="14"/>
        <v>0</v>
      </c>
    </row>
    <row r="903" spans="2:9" x14ac:dyDescent="0.25">
      <c r="B903" s="48">
        <f>+'Metrics - Articles'!C900</f>
        <v>0</v>
      </c>
      <c r="C903">
        <f>COUNTIF('Metrics - Articles'!E902,"*Sports*")</f>
        <v>0</v>
      </c>
      <c r="D903">
        <f>COUNTIF('Metrics - Articles'!E902,"*Youth*")</f>
        <v>0</v>
      </c>
      <c r="E903">
        <f>COUNTIF('Metrics - Articles'!E902,"*Healthcare*")</f>
        <v>0</v>
      </c>
      <c r="F903">
        <f>COUNTIF('Metrics - Articles'!E902,"*Innovation")</f>
        <v>0</v>
      </c>
      <c r="G903">
        <f>COUNTIF('Metrics - Articles'!E902,"*Corporate*")</f>
        <v>0</v>
      </c>
      <c r="I903" s="53">
        <f t="shared" si="14"/>
        <v>0</v>
      </c>
    </row>
    <row r="904" spans="2:9" x14ac:dyDescent="0.25">
      <c r="B904" s="48">
        <f>+'Metrics - Articles'!C901</f>
        <v>0</v>
      </c>
      <c r="C904">
        <f>COUNTIF('Metrics - Articles'!E903,"*Sports*")</f>
        <v>0</v>
      </c>
      <c r="D904">
        <f>COUNTIF('Metrics - Articles'!E903,"*Youth*")</f>
        <v>0</v>
      </c>
      <c r="E904">
        <f>COUNTIF('Metrics - Articles'!E903,"*Healthcare*")</f>
        <v>0</v>
      </c>
      <c r="F904">
        <f>COUNTIF('Metrics - Articles'!E903,"*Innovation")</f>
        <v>0</v>
      </c>
      <c r="G904">
        <f>COUNTIF('Metrics - Articles'!E903,"*Corporate*")</f>
        <v>0</v>
      </c>
      <c r="I904" s="53">
        <f t="shared" ref="I904:I967" si="15">SUM(C904:H904)</f>
        <v>0</v>
      </c>
    </row>
    <row r="905" spans="2:9" x14ac:dyDescent="0.25">
      <c r="B905" s="48">
        <f>+'Metrics - Articles'!C902</f>
        <v>0</v>
      </c>
      <c r="C905">
        <f>COUNTIF('Metrics - Articles'!E904,"*Sports*")</f>
        <v>0</v>
      </c>
      <c r="D905">
        <f>COUNTIF('Metrics - Articles'!E904,"*Youth*")</f>
        <v>0</v>
      </c>
      <c r="E905">
        <f>COUNTIF('Metrics - Articles'!E904,"*Healthcare*")</f>
        <v>0</v>
      </c>
      <c r="F905">
        <f>COUNTIF('Metrics - Articles'!E904,"*Innovation")</f>
        <v>0</v>
      </c>
      <c r="G905">
        <f>COUNTIF('Metrics - Articles'!E904,"*Corporate*")</f>
        <v>0</v>
      </c>
      <c r="I905" s="53">
        <f t="shared" si="15"/>
        <v>0</v>
      </c>
    </row>
    <row r="906" spans="2:9" x14ac:dyDescent="0.25">
      <c r="B906" s="48">
        <f>+'Metrics - Articles'!C903</f>
        <v>0</v>
      </c>
      <c r="C906">
        <f>COUNTIF('Metrics - Articles'!E905,"*Sports*")</f>
        <v>0</v>
      </c>
      <c r="D906">
        <f>COUNTIF('Metrics - Articles'!E905,"*Youth*")</f>
        <v>0</v>
      </c>
      <c r="E906">
        <f>COUNTIF('Metrics - Articles'!E905,"*Healthcare*")</f>
        <v>0</v>
      </c>
      <c r="F906">
        <f>COUNTIF('Metrics - Articles'!E905,"*Innovation")</f>
        <v>0</v>
      </c>
      <c r="G906">
        <f>COUNTIF('Metrics - Articles'!E905,"*Corporate*")</f>
        <v>0</v>
      </c>
      <c r="I906" s="53">
        <f t="shared" si="15"/>
        <v>0</v>
      </c>
    </row>
    <row r="907" spans="2:9" x14ac:dyDescent="0.25">
      <c r="B907" s="48">
        <f>+'Metrics - Articles'!C904</f>
        <v>0</v>
      </c>
      <c r="C907">
        <f>COUNTIF('Metrics - Articles'!E906,"*Sports*")</f>
        <v>0</v>
      </c>
      <c r="D907">
        <f>COUNTIF('Metrics - Articles'!E906,"*Youth*")</f>
        <v>0</v>
      </c>
      <c r="E907">
        <f>COUNTIF('Metrics - Articles'!E906,"*Healthcare*")</f>
        <v>0</v>
      </c>
      <c r="F907">
        <f>COUNTIF('Metrics - Articles'!E906,"*Innovation")</f>
        <v>0</v>
      </c>
      <c r="G907">
        <f>COUNTIF('Metrics - Articles'!E906,"*Corporate*")</f>
        <v>0</v>
      </c>
      <c r="I907" s="53">
        <f t="shared" si="15"/>
        <v>0</v>
      </c>
    </row>
    <row r="908" spans="2:9" x14ac:dyDescent="0.25">
      <c r="B908" s="48">
        <f>+'Metrics - Articles'!C905</f>
        <v>0</v>
      </c>
      <c r="C908">
        <f>COUNTIF('Metrics - Articles'!E907,"*Sports*")</f>
        <v>0</v>
      </c>
      <c r="D908">
        <f>COUNTIF('Metrics - Articles'!E907,"*Youth*")</f>
        <v>0</v>
      </c>
      <c r="E908">
        <f>COUNTIF('Metrics - Articles'!E907,"*Healthcare*")</f>
        <v>0</v>
      </c>
      <c r="F908">
        <f>COUNTIF('Metrics - Articles'!E907,"*Innovation")</f>
        <v>0</v>
      </c>
      <c r="G908">
        <f>COUNTIF('Metrics - Articles'!E907,"*Corporate*")</f>
        <v>0</v>
      </c>
      <c r="I908" s="53">
        <f t="shared" si="15"/>
        <v>0</v>
      </c>
    </row>
    <row r="909" spans="2:9" x14ac:dyDescent="0.25">
      <c r="B909" s="48">
        <f>+'Metrics - Articles'!C906</f>
        <v>0</v>
      </c>
      <c r="C909">
        <f>COUNTIF('Metrics - Articles'!E908,"*Sports*")</f>
        <v>0</v>
      </c>
      <c r="D909">
        <f>COUNTIF('Metrics - Articles'!E908,"*Youth*")</f>
        <v>0</v>
      </c>
      <c r="E909">
        <f>COUNTIF('Metrics - Articles'!E908,"*Healthcare*")</f>
        <v>0</v>
      </c>
      <c r="F909">
        <f>COUNTIF('Metrics - Articles'!E908,"*Innovation")</f>
        <v>0</v>
      </c>
      <c r="G909">
        <f>COUNTIF('Metrics - Articles'!E908,"*Corporate*")</f>
        <v>0</v>
      </c>
      <c r="I909" s="53">
        <f t="shared" si="15"/>
        <v>0</v>
      </c>
    </row>
    <row r="910" spans="2:9" x14ac:dyDescent="0.25">
      <c r="B910" s="48">
        <f>+'Metrics - Articles'!C907</f>
        <v>0</v>
      </c>
      <c r="C910">
        <f>COUNTIF('Metrics - Articles'!E909,"*Sports*")</f>
        <v>0</v>
      </c>
      <c r="D910">
        <f>COUNTIF('Metrics - Articles'!E909,"*Youth*")</f>
        <v>0</v>
      </c>
      <c r="E910">
        <f>COUNTIF('Metrics - Articles'!E909,"*Healthcare*")</f>
        <v>0</v>
      </c>
      <c r="F910">
        <f>COUNTIF('Metrics - Articles'!E909,"*Innovation")</f>
        <v>0</v>
      </c>
      <c r="G910">
        <f>COUNTIF('Metrics - Articles'!E909,"*Corporate*")</f>
        <v>0</v>
      </c>
      <c r="I910" s="53">
        <f t="shared" si="15"/>
        <v>0</v>
      </c>
    </row>
    <row r="911" spans="2:9" x14ac:dyDescent="0.25">
      <c r="B911" s="48">
        <f>+'Metrics - Articles'!C908</f>
        <v>0</v>
      </c>
      <c r="C911">
        <f>COUNTIF('Metrics - Articles'!E910,"*Sports*")</f>
        <v>0</v>
      </c>
      <c r="D911">
        <f>COUNTIF('Metrics - Articles'!E910,"*Youth*")</f>
        <v>0</v>
      </c>
      <c r="E911">
        <f>COUNTIF('Metrics - Articles'!E910,"*Healthcare*")</f>
        <v>0</v>
      </c>
      <c r="F911">
        <f>COUNTIF('Metrics - Articles'!E910,"*Innovation")</f>
        <v>0</v>
      </c>
      <c r="G911">
        <f>COUNTIF('Metrics - Articles'!E910,"*Corporate*")</f>
        <v>0</v>
      </c>
      <c r="I911" s="53">
        <f t="shared" si="15"/>
        <v>0</v>
      </c>
    </row>
    <row r="912" spans="2:9" x14ac:dyDescent="0.25">
      <c r="B912" s="48">
        <f>+'Metrics - Articles'!C909</f>
        <v>0</v>
      </c>
      <c r="C912">
        <f>COUNTIF('Metrics - Articles'!E911,"*Sports*")</f>
        <v>0</v>
      </c>
      <c r="D912">
        <f>COUNTIF('Metrics - Articles'!E911,"*Youth*")</f>
        <v>0</v>
      </c>
      <c r="E912">
        <f>COUNTIF('Metrics - Articles'!E911,"*Healthcare*")</f>
        <v>0</v>
      </c>
      <c r="F912">
        <f>COUNTIF('Metrics - Articles'!E911,"*Innovation")</f>
        <v>0</v>
      </c>
      <c r="G912">
        <f>COUNTIF('Metrics - Articles'!E911,"*Corporate*")</f>
        <v>0</v>
      </c>
      <c r="I912" s="53">
        <f t="shared" si="15"/>
        <v>0</v>
      </c>
    </row>
    <row r="913" spans="2:9" x14ac:dyDescent="0.25">
      <c r="B913" s="48">
        <f>+'Metrics - Articles'!C910</f>
        <v>0</v>
      </c>
      <c r="C913">
        <f>COUNTIF('Metrics - Articles'!E912,"*Sports*")</f>
        <v>0</v>
      </c>
      <c r="D913">
        <f>COUNTIF('Metrics - Articles'!E912,"*Youth*")</f>
        <v>0</v>
      </c>
      <c r="E913">
        <f>COUNTIF('Metrics - Articles'!E912,"*Healthcare*")</f>
        <v>0</v>
      </c>
      <c r="F913">
        <f>COUNTIF('Metrics - Articles'!E912,"*Innovation")</f>
        <v>0</v>
      </c>
      <c r="G913">
        <f>COUNTIF('Metrics - Articles'!E912,"*Corporate*")</f>
        <v>0</v>
      </c>
      <c r="I913" s="53">
        <f t="shared" si="15"/>
        <v>0</v>
      </c>
    </row>
    <row r="914" spans="2:9" x14ac:dyDescent="0.25">
      <c r="B914" s="48">
        <f>+'Metrics - Articles'!C911</f>
        <v>0</v>
      </c>
      <c r="C914">
        <f>COUNTIF('Metrics - Articles'!E913,"*Sports*")</f>
        <v>0</v>
      </c>
      <c r="D914">
        <f>COUNTIF('Metrics - Articles'!E913,"*Youth*")</f>
        <v>0</v>
      </c>
      <c r="E914">
        <f>COUNTIF('Metrics - Articles'!E913,"*Healthcare*")</f>
        <v>0</v>
      </c>
      <c r="F914">
        <f>COUNTIF('Metrics - Articles'!E913,"*Innovation")</f>
        <v>0</v>
      </c>
      <c r="G914">
        <f>COUNTIF('Metrics - Articles'!E913,"*Corporate*")</f>
        <v>0</v>
      </c>
      <c r="I914" s="53">
        <f t="shared" si="15"/>
        <v>0</v>
      </c>
    </row>
    <row r="915" spans="2:9" x14ac:dyDescent="0.25">
      <c r="B915" s="48">
        <f>+'Metrics - Articles'!C912</f>
        <v>0</v>
      </c>
      <c r="C915">
        <f>COUNTIF('Metrics - Articles'!E914,"*Sports*")</f>
        <v>0</v>
      </c>
      <c r="D915">
        <f>COUNTIF('Metrics - Articles'!E914,"*Youth*")</f>
        <v>0</v>
      </c>
      <c r="E915">
        <f>COUNTIF('Metrics - Articles'!E914,"*Healthcare*")</f>
        <v>0</v>
      </c>
      <c r="F915">
        <f>COUNTIF('Metrics - Articles'!E914,"*Innovation")</f>
        <v>0</v>
      </c>
      <c r="G915">
        <f>COUNTIF('Metrics - Articles'!E914,"*Corporate*")</f>
        <v>0</v>
      </c>
      <c r="I915" s="53">
        <f t="shared" si="15"/>
        <v>0</v>
      </c>
    </row>
    <row r="916" spans="2:9" x14ac:dyDescent="0.25">
      <c r="B916" s="48">
        <f>+'Metrics - Articles'!C913</f>
        <v>0</v>
      </c>
      <c r="C916">
        <f>COUNTIF('Metrics - Articles'!E915,"*Sports*")</f>
        <v>0</v>
      </c>
      <c r="D916">
        <f>COUNTIF('Metrics - Articles'!E915,"*Youth*")</f>
        <v>0</v>
      </c>
      <c r="E916">
        <f>COUNTIF('Metrics - Articles'!E915,"*Healthcare*")</f>
        <v>0</v>
      </c>
      <c r="F916">
        <f>COUNTIF('Metrics - Articles'!E915,"*Innovation")</f>
        <v>0</v>
      </c>
      <c r="G916">
        <f>COUNTIF('Metrics - Articles'!E915,"*Corporate*")</f>
        <v>0</v>
      </c>
      <c r="I916" s="53">
        <f t="shared" si="15"/>
        <v>0</v>
      </c>
    </row>
    <row r="917" spans="2:9" x14ac:dyDescent="0.25">
      <c r="B917" s="48">
        <f>+'Metrics - Articles'!C914</f>
        <v>0</v>
      </c>
      <c r="C917">
        <f>COUNTIF('Metrics - Articles'!E916,"*Sports*")</f>
        <v>0</v>
      </c>
      <c r="D917">
        <f>COUNTIF('Metrics - Articles'!E916,"*Youth*")</f>
        <v>0</v>
      </c>
      <c r="E917">
        <f>COUNTIF('Metrics - Articles'!E916,"*Healthcare*")</f>
        <v>0</v>
      </c>
      <c r="F917">
        <f>COUNTIF('Metrics - Articles'!E916,"*Innovation")</f>
        <v>0</v>
      </c>
      <c r="G917">
        <f>COUNTIF('Metrics - Articles'!E916,"*Corporate*")</f>
        <v>0</v>
      </c>
      <c r="I917" s="53">
        <f t="shared" si="15"/>
        <v>0</v>
      </c>
    </row>
    <row r="918" spans="2:9" x14ac:dyDescent="0.25">
      <c r="B918" s="48">
        <f>+'Metrics - Articles'!C915</f>
        <v>0</v>
      </c>
      <c r="C918">
        <f>COUNTIF('Metrics - Articles'!E917,"*Sports*")</f>
        <v>0</v>
      </c>
      <c r="D918">
        <f>COUNTIF('Metrics - Articles'!E917,"*Youth*")</f>
        <v>0</v>
      </c>
      <c r="E918">
        <f>COUNTIF('Metrics - Articles'!E917,"*Healthcare*")</f>
        <v>0</v>
      </c>
      <c r="F918">
        <f>COUNTIF('Metrics - Articles'!E917,"*Innovation")</f>
        <v>0</v>
      </c>
      <c r="G918">
        <f>COUNTIF('Metrics - Articles'!E917,"*Corporate*")</f>
        <v>0</v>
      </c>
      <c r="I918" s="53">
        <f t="shared" si="15"/>
        <v>0</v>
      </c>
    </row>
    <row r="919" spans="2:9" x14ac:dyDescent="0.25">
      <c r="B919" s="48">
        <f>+'Metrics - Articles'!C916</f>
        <v>0</v>
      </c>
      <c r="C919">
        <f>COUNTIF('Metrics - Articles'!E918,"*Sports*")</f>
        <v>0</v>
      </c>
      <c r="D919">
        <f>COUNTIF('Metrics - Articles'!E918,"*Youth*")</f>
        <v>0</v>
      </c>
      <c r="E919">
        <f>COUNTIF('Metrics - Articles'!E918,"*Healthcare*")</f>
        <v>0</v>
      </c>
      <c r="F919">
        <f>COUNTIF('Metrics - Articles'!E918,"*Innovation")</f>
        <v>0</v>
      </c>
      <c r="G919">
        <f>COUNTIF('Metrics - Articles'!E918,"*Corporate*")</f>
        <v>0</v>
      </c>
      <c r="I919" s="53">
        <f t="shared" si="15"/>
        <v>0</v>
      </c>
    </row>
    <row r="920" spans="2:9" x14ac:dyDescent="0.25">
      <c r="B920" s="48">
        <f>+'Metrics - Articles'!C917</f>
        <v>0</v>
      </c>
      <c r="C920">
        <f>COUNTIF('Metrics - Articles'!E919,"*Sports*")</f>
        <v>0</v>
      </c>
      <c r="D920">
        <f>COUNTIF('Metrics - Articles'!E919,"*Youth*")</f>
        <v>0</v>
      </c>
      <c r="E920">
        <f>COUNTIF('Metrics - Articles'!E919,"*Healthcare*")</f>
        <v>0</v>
      </c>
      <c r="F920">
        <f>COUNTIF('Metrics - Articles'!E919,"*Innovation")</f>
        <v>0</v>
      </c>
      <c r="G920">
        <f>COUNTIF('Metrics - Articles'!E919,"*Corporate*")</f>
        <v>0</v>
      </c>
      <c r="I920" s="53">
        <f t="shared" si="15"/>
        <v>0</v>
      </c>
    </row>
    <row r="921" spans="2:9" x14ac:dyDescent="0.25">
      <c r="B921" s="48">
        <f>+'Metrics - Articles'!C918</f>
        <v>0</v>
      </c>
      <c r="C921">
        <f>COUNTIF('Metrics - Articles'!E920,"*Sports*")</f>
        <v>0</v>
      </c>
      <c r="D921">
        <f>COUNTIF('Metrics - Articles'!E920,"*Youth*")</f>
        <v>0</v>
      </c>
      <c r="E921">
        <f>COUNTIF('Metrics - Articles'!E920,"*Healthcare*")</f>
        <v>0</v>
      </c>
      <c r="F921">
        <f>COUNTIF('Metrics - Articles'!E920,"*Innovation")</f>
        <v>0</v>
      </c>
      <c r="G921">
        <f>COUNTIF('Metrics - Articles'!E920,"*Corporate*")</f>
        <v>0</v>
      </c>
      <c r="I921" s="53">
        <f t="shared" si="15"/>
        <v>0</v>
      </c>
    </row>
    <row r="922" spans="2:9" x14ac:dyDescent="0.25">
      <c r="B922" s="48">
        <f>+'Metrics - Articles'!C919</f>
        <v>0</v>
      </c>
      <c r="C922">
        <f>COUNTIF('Metrics - Articles'!E921,"*Sports*")</f>
        <v>0</v>
      </c>
      <c r="D922">
        <f>COUNTIF('Metrics - Articles'!E921,"*Youth*")</f>
        <v>0</v>
      </c>
      <c r="E922">
        <f>COUNTIF('Metrics - Articles'!E921,"*Healthcare*")</f>
        <v>0</v>
      </c>
      <c r="F922">
        <f>COUNTIF('Metrics - Articles'!E921,"*Innovation")</f>
        <v>0</v>
      </c>
      <c r="G922">
        <f>COUNTIF('Metrics - Articles'!E921,"*Corporate*")</f>
        <v>0</v>
      </c>
      <c r="I922" s="53">
        <f t="shared" si="15"/>
        <v>0</v>
      </c>
    </row>
    <row r="923" spans="2:9" x14ac:dyDescent="0.25">
      <c r="B923" s="48">
        <f>+'Metrics - Articles'!C920</f>
        <v>0</v>
      </c>
      <c r="C923">
        <f>COUNTIF('Metrics - Articles'!E922,"*Sports*")</f>
        <v>0</v>
      </c>
      <c r="D923">
        <f>COUNTIF('Metrics - Articles'!E922,"*Youth*")</f>
        <v>0</v>
      </c>
      <c r="E923">
        <f>COUNTIF('Metrics - Articles'!E922,"*Healthcare*")</f>
        <v>0</v>
      </c>
      <c r="F923">
        <f>COUNTIF('Metrics - Articles'!E922,"*Innovation")</f>
        <v>0</v>
      </c>
      <c r="G923">
        <f>COUNTIF('Metrics - Articles'!E922,"*Corporate*")</f>
        <v>0</v>
      </c>
      <c r="I923" s="53">
        <f t="shared" si="15"/>
        <v>0</v>
      </c>
    </row>
    <row r="924" spans="2:9" x14ac:dyDescent="0.25">
      <c r="B924" s="48">
        <f>+'Metrics - Articles'!C921</f>
        <v>0</v>
      </c>
      <c r="C924">
        <f>COUNTIF('Metrics - Articles'!E923,"*Sports*")</f>
        <v>0</v>
      </c>
      <c r="D924">
        <f>COUNTIF('Metrics - Articles'!E923,"*Youth*")</f>
        <v>0</v>
      </c>
      <c r="E924">
        <f>COUNTIF('Metrics - Articles'!E923,"*Healthcare*")</f>
        <v>0</v>
      </c>
      <c r="F924">
        <f>COUNTIF('Metrics - Articles'!E923,"*Innovation")</f>
        <v>0</v>
      </c>
      <c r="G924">
        <f>COUNTIF('Metrics - Articles'!E923,"*Corporate*")</f>
        <v>0</v>
      </c>
      <c r="I924" s="53">
        <f t="shared" si="15"/>
        <v>0</v>
      </c>
    </row>
    <row r="925" spans="2:9" x14ac:dyDescent="0.25">
      <c r="B925" s="48">
        <f>+'Metrics - Articles'!C922</f>
        <v>0</v>
      </c>
      <c r="C925">
        <f>COUNTIF('Metrics - Articles'!E924,"*Sports*")</f>
        <v>0</v>
      </c>
      <c r="D925">
        <f>COUNTIF('Metrics - Articles'!E924,"*Youth*")</f>
        <v>0</v>
      </c>
      <c r="E925">
        <f>COUNTIF('Metrics - Articles'!E924,"*Healthcare*")</f>
        <v>0</v>
      </c>
      <c r="F925">
        <f>COUNTIF('Metrics - Articles'!E924,"*Innovation")</f>
        <v>0</v>
      </c>
      <c r="G925">
        <f>COUNTIF('Metrics - Articles'!E924,"*Corporate*")</f>
        <v>0</v>
      </c>
      <c r="I925" s="53">
        <f t="shared" si="15"/>
        <v>0</v>
      </c>
    </row>
    <row r="926" spans="2:9" x14ac:dyDescent="0.25">
      <c r="B926" s="48">
        <f>+'Metrics - Articles'!C923</f>
        <v>0</v>
      </c>
      <c r="C926">
        <f>COUNTIF('Metrics - Articles'!E925,"*Sports*")</f>
        <v>0</v>
      </c>
      <c r="D926">
        <f>COUNTIF('Metrics - Articles'!E925,"*Youth*")</f>
        <v>0</v>
      </c>
      <c r="E926">
        <f>COUNTIF('Metrics - Articles'!E925,"*Healthcare*")</f>
        <v>0</v>
      </c>
      <c r="F926">
        <f>COUNTIF('Metrics - Articles'!E925,"*Innovation")</f>
        <v>0</v>
      </c>
      <c r="G926">
        <f>COUNTIF('Metrics - Articles'!E925,"*Corporate*")</f>
        <v>0</v>
      </c>
      <c r="I926" s="53">
        <f t="shared" si="15"/>
        <v>0</v>
      </c>
    </row>
    <row r="927" spans="2:9" x14ac:dyDescent="0.25">
      <c r="B927" s="48">
        <f>+'Metrics - Articles'!C924</f>
        <v>0</v>
      </c>
      <c r="C927">
        <f>COUNTIF('Metrics - Articles'!E926,"*Sports*")</f>
        <v>0</v>
      </c>
      <c r="D927">
        <f>COUNTIF('Metrics - Articles'!E926,"*Youth*")</f>
        <v>0</v>
      </c>
      <c r="E927">
        <f>COUNTIF('Metrics - Articles'!E926,"*Healthcare*")</f>
        <v>0</v>
      </c>
      <c r="F927">
        <f>COUNTIF('Metrics - Articles'!E926,"*Innovation")</f>
        <v>0</v>
      </c>
      <c r="G927">
        <f>COUNTIF('Metrics - Articles'!E926,"*Corporate*")</f>
        <v>0</v>
      </c>
      <c r="I927" s="53">
        <f t="shared" si="15"/>
        <v>0</v>
      </c>
    </row>
    <row r="928" spans="2:9" x14ac:dyDescent="0.25">
      <c r="B928" s="48">
        <f>+'Metrics - Articles'!C925</f>
        <v>0</v>
      </c>
      <c r="C928">
        <f>COUNTIF('Metrics - Articles'!E927,"*Sports*")</f>
        <v>0</v>
      </c>
      <c r="D928">
        <f>COUNTIF('Metrics - Articles'!E927,"*Youth*")</f>
        <v>0</v>
      </c>
      <c r="E928">
        <f>COUNTIF('Metrics - Articles'!E927,"*Healthcare*")</f>
        <v>0</v>
      </c>
      <c r="F928">
        <f>COUNTIF('Metrics - Articles'!E927,"*Innovation")</f>
        <v>0</v>
      </c>
      <c r="G928">
        <f>COUNTIF('Metrics - Articles'!E927,"*Corporate*")</f>
        <v>0</v>
      </c>
      <c r="I928" s="53">
        <f t="shared" si="15"/>
        <v>0</v>
      </c>
    </row>
    <row r="929" spans="2:9" x14ac:dyDescent="0.25">
      <c r="B929" s="48">
        <f>+'Metrics - Articles'!C926</f>
        <v>0</v>
      </c>
      <c r="C929">
        <f>COUNTIF('Metrics - Articles'!E928,"*Sports*")</f>
        <v>0</v>
      </c>
      <c r="D929">
        <f>COUNTIF('Metrics - Articles'!E928,"*Youth*")</f>
        <v>0</v>
      </c>
      <c r="E929">
        <f>COUNTIF('Metrics - Articles'!E928,"*Healthcare*")</f>
        <v>0</v>
      </c>
      <c r="F929">
        <f>COUNTIF('Metrics - Articles'!E928,"*Innovation")</f>
        <v>0</v>
      </c>
      <c r="G929">
        <f>COUNTIF('Metrics - Articles'!E928,"*Corporate*")</f>
        <v>0</v>
      </c>
      <c r="I929" s="53">
        <f t="shared" si="15"/>
        <v>0</v>
      </c>
    </row>
    <row r="930" spans="2:9" x14ac:dyDescent="0.25">
      <c r="B930" s="48">
        <f>+'Metrics - Articles'!C927</f>
        <v>0</v>
      </c>
      <c r="C930">
        <f>COUNTIF('Metrics - Articles'!E929,"*Sports*")</f>
        <v>0</v>
      </c>
      <c r="D930">
        <f>COUNTIF('Metrics - Articles'!E929,"*Youth*")</f>
        <v>0</v>
      </c>
      <c r="E930">
        <f>COUNTIF('Metrics - Articles'!E929,"*Healthcare*")</f>
        <v>0</v>
      </c>
      <c r="F930">
        <f>COUNTIF('Metrics - Articles'!E929,"*Innovation")</f>
        <v>0</v>
      </c>
      <c r="G930">
        <f>COUNTIF('Metrics - Articles'!E929,"*Corporate*")</f>
        <v>0</v>
      </c>
      <c r="I930" s="53">
        <f t="shared" si="15"/>
        <v>0</v>
      </c>
    </row>
    <row r="931" spans="2:9" x14ac:dyDescent="0.25">
      <c r="B931" s="48">
        <f>+'Metrics - Articles'!C928</f>
        <v>0</v>
      </c>
      <c r="C931">
        <f>COUNTIF('Metrics - Articles'!E930,"*Sports*")</f>
        <v>0</v>
      </c>
      <c r="D931">
        <f>COUNTIF('Metrics - Articles'!E930,"*Youth*")</f>
        <v>0</v>
      </c>
      <c r="E931">
        <f>COUNTIF('Metrics - Articles'!E930,"*Healthcare*")</f>
        <v>0</v>
      </c>
      <c r="F931">
        <f>COUNTIF('Metrics - Articles'!E930,"*Innovation")</f>
        <v>0</v>
      </c>
      <c r="G931">
        <f>COUNTIF('Metrics - Articles'!E930,"*Corporate*")</f>
        <v>0</v>
      </c>
      <c r="I931" s="53">
        <f t="shared" si="15"/>
        <v>0</v>
      </c>
    </row>
    <row r="932" spans="2:9" x14ac:dyDescent="0.25">
      <c r="B932" s="48">
        <f>+'Metrics - Articles'!C929</f>
        <v>0</v>
      </c>
      <c r="C932">
        <f>COUNTIF('Metrics - Articles'!E931,"*Sports*")</f>
        <v>0</v>
      </c>
      <c r="D932">
        <f>COUNTIF('Metrics - Articles'!E931,"*Youth*")</f>
        <v>0</v>
      </c>
      <c r="E932">
        <f>COUNTIF('Metrics - Articles'!E931,"*Healthcare*")</f>
        <v>0</v>
      </c>
      <c r="F932">
        <f>COUNTIF('Metrics - Articles'!E931,"*Innovation")</f>
        <v>0</v>
      </c>
      <c r="G932">
        <f>COUNTIF('Metrics - Articles'!E931,"*Corporate*")</f>
        <v>0</v>
      </c>
      <c r="I932" s="53">
        <f t="shared" si="15"/>
        <v>0</v>
      </c>
    </row>
    <row r="933" spans="2:9" x14ac:dyDescent="0.25">
      <c r="B933" s="48">
        <f>+'Metrics - Articles'!C930</f>
        <v>0</v>
      </c>
      <c r="C933">
        <f>COUNTIF('Metrics - Articles'!E932,"*Sports*")</f>
        <v>0</v>
      </c>
      <c r="D933">
        <f>COUNTIF('Metrics - Articles'!E932,"*Youth*")</f>
        <v>0</v>
      </c>
      <c r="E933">
        <f>COUNTIF('Metrics - Articles'!E932,"*Healthcare*")</f>
        <v>0</v>
      </c>
      <c r="F933">
        <f>COUNTIF('Metrics - Articles'!E932,"*Innovation")</f>
        <v>0</v>
      </c>
      <c r="G933">
        <f>COUNTIF('Metrics - Articles'!E932,"*Corporate*")</f>
        <v>0</v>
      </c>
      <c r="I933" s="53">
        <f t="shared" si="15"/>
        <v>0</v>
      </c>
    </row>
    <row r="934" spans="2:9" x14ac:dyDescent="0.25">
      <c r="B934" s="48">
        <f>+'Metrics - Articles'!C931</f>
        <v>0</v>
      </c>
      <c r="C934">
        <f>COUNTIF('Metrics - Articles'!E933,"*Sports*")</f>
        <v>0</v>
      </c>
      <c r="D934">
        <f>COUNTIF('Metrics - Articles'!E933,"*Youth*")</f>
        <v>0</v>
      </c>
      <c r="E934">
        <f>COUNTIF('Metrics - Articles'!E933,"*Healthcare*")</f>
        <v>0</v>
      </c>
      <c r="F934">
        <f>COUNTIF('Metrics - Articles'!E933,"*Innovation")</f>
        <v>0</v>
      </c>
      <c r="G934">
        <f>COUNTIF('Metrics - Articles'!E933,"*Corporate*")</f>
        <v>0</v>
      </c>
      <c r="I934" s="53">
        <f t="shared" si="15"/>
        <v>0</v>
      </c>
    </row>
    <row r="935" spans="2:9" x14ac:dyDescent="0.25">
      <c r="B935" s="48">
        <f>+'Metrics - Articles'!C932</f>
        <v>0</v>
      </c>
      <c r="C935">
        <f>COUNTIF('Metrics - Articles'!E934,"*Sports*")</f>
        <v>0</v>
      </c>
      <c r="D935">
        <f>COUNTIF('Metrics - Articles'!E934,"*Youth*")</f>
        <v>0</v>
      </c>
      <c r="E935">
        <f>COUNTIF('Metrics - Articles'!E934,"*Healthcare*")</f>
        <v>0</v>
      </c>
      <c r="F935">
        <f>COUNTIF('Metrics - Articles'!E934,"*Innovation")</f>
        <v>0</v>
      </c>
      <c r="G935">
        <f>COUNTIF('Metrics - Articles'!E934,"*Corporate*")</f>
        <v>0</v>
      </c>
      <c r="I935" s="53">
        <f t="shared" si="15"/>
        <v>0</v>
      </c>
    </row>
    <row r="936" spans="2:9" x14ac:dyDescent="0.25">
      <c r="B936" s="48">
        <f>+'Metrics - Articles'!C933</f>
        <v>0</v>
      </c>
      <c r="C936">
        <f>COUNTIF('Metrics - Articles'!E935,"*Sports*")</f>
        <v>0</v>
      </c>
      <c r="D936">
        <f>COUNTIF('Metrics - Articles'!E935,"*Youth*")</f>
        <v>0</v>
      </c>
      <c r="E936">
        <f>COUNTIF('Metrics - Articles'!E935,"*Healthcare*")</f>
        <v>0</v>
      </c>
      <c r="F936">
        <f>COUNTIF('Metrics - Articles'!E935,"*Innovation")</f>
        <v>0</v>
      </c>
      <c r="G936">
        <f>COUNTIF('Metrics - Articles'!E935,"*Corporate*")</f>
        <v>0</v>
      </c>
      <c r="I936" s="53">
        <f t="shared" si="15"/>
        <v>0</v>
      </c>
    </row>
    <row r="937" spans="2:9" x14ac:dyDescent="0.25">
      <c r="B937" s="48">
        <f>+'Metrics - Articles'!C934</f>
        <v>0</v>
      </c>
      <c r="C937">
        <f>COUNTIF('Metrics - Articles'!E936,"*Sports*")</f>
        <v>0</v>
      </c>
      <c r="D937">
        <f>COUNTIF('Metrics - Articles'!E936,"*Youth*")</f>
        <v>0</v>
      </c>
      <c r="E937">
        <f>COUNTIF('Metrics - Articles'!E936,"*Healthcare*")</f>
        <v>0</v>
      </c>
      <c r="F937">
        <f>COUNTIF('Metrics - Articles'!E936,"*Innovation")</f>
        <v>0</v>
      </c>
      <c r="G937">
        <f>COUNTIF('Metrics - Articles'!E936,"*Corporate*")</f>
        <v>0</v>
      </c>
      <c r="I937" s="53">
        <f t="shared" si="15"/>
        <v>0</v>
      </c>
    </row>
    <row r="938" spans="2:9" x14ac:dyDescent="0.25">
      <c r="B938" s="48">
        <f>+'Metrics - Articles'!C935</f>
        <v>0</v>
      </c>
      <c r="C938">
        <f>COUNTIF('Metrics - Articles'!E937,"*Sports*")</f>
        <v>0</v>
      </c>
      <c r="D938">
        <f>COUNTIF('Metrics - Articles'!E937,"*Youth*")</f>
        <v>0</v>
      </c>
      <c r="E938">
        <f>COUNTIF('Metrics - Articles'!E937,"*Healthcare*")</f>
        <v>0</v>
      </c>
      <c r="F938">
        <f>COUNTIF('Metrics - Articles'!E937,"*Innovation")</f>
        <v>0</v>
      </c>
      <c r="G938">
        <f>COUNTIF('Metrics - Articles'!E937,"*Corporate*")</f>
        <v>0</v>
      </c>
      <c r="I938" s="53">
        <f t="shared" si="15"/>
        <v>0</v>
      </c>
    </row>
    <row r="939" spans="2:9" x14ac:dyDescent="0.25">
      <c r="B939" s="48">
        <f>+'Metrics - Articles'!C936</f>
        <v>0</v>
      </c>
      <c r="C939">
        <f>COUNTIF('Metrics - Articles'!E938,"*Sports*")</f>
        <v>0</v>
      </c>
      <c r="D939">
        <f>COUNTIF('Metrics - Articles'!E938,"*Youth*")</f>
        <v>0</v>
      </c>
      <c r="E939">
        <f>COUNTIF('Metrics - Articles'!E938,"*Healthcare*")</f>
        <v>0</v>
      </c>
      <c r="F939">
        <f>COUNTIF('Metrics - Articles'!E938,"*Innovation")</f>
        <v>0</v>
      </c>
      <c r="G939">
        <f>COUNTIF('Metrics - Articles'!E938,"*Corporate*")</f>
        <v>0</v>
      </c>
      <c r="I939" s="53">
        <f t="shared" si="15"/>
        <v>0</v>
      </c>
    </row>
    <row r="940" spans="2:9" x14ac:dyDescent="0.25">
      <c r="B940" s="48">
        <f>+'Metrics - Articles'!C937</f>
        <v>0</v>
      </c>
      <c r="C940">
        <f>COUNTIF('Metrics - Articles'!E939,"*Sports*")</f>
        <v>0</v>
      </c>
      <c r="D940">
        <f>COUNTIF('Metrics - Articles'!E939,"*Youth*")</f>
        <v>0</v>
      </c>
      <c r="E940">
        <f>COUNTIF('Metrics - Articles'!E939,"*Healthcare*")</f>
        <v>0</v>
      </c>
      <c r="F940">
        <f>COUNTIF('Metrics - Articles'!E939,"*Innovation")</f>
        <v>0</v>
      </c>
      <c r="G940">
        <f>COUNTIF('Metrics - Articles'!E939,"*Corporate*")</f>
        <v>0</v>
      </c>
      <c r="I940" s="53">
        <f t="shared" si="15"/>
        <v>0</v>
      </c>
    </row>
    <row r="941" spans="2:9" x14ac:dyDescent="0.25">
      <c r="B941" s="48">
        <f>+'Metrics - Articles'!C938</f>
        <v>0</v>
      </c>
      <c r="C941">
        <f>COUNTIF('Metrics - Articles'!E940,"*Sports*")</f>
        <v>0</v>
      </c>
      <c r="D941">
        <f>COUNTIF('Metrics - Articles'!E940,"*Youth*")</f>
        <v>0</v>
      </c>
      <c r="E941">
        <f>COUNTIF('Metrics - Articles'!E940,"*Healthcare*")</f>
        <v>0</v>
      </c>
      <c r="F941">
        <f>COUNTIF('Metrics - Articles'!E940,"*Innovation")</f>
        <v>0</v>
      </c>
      <c r="G941">
        <f>COUNTIF('Metrics - Articles'!E940,"*Corporate*")</f>
        <v>0</v>
      </c>
      <c r="I941" s="53">
        <f t="shared" si="15"/>
        <v>0</v>
      </c>
    </row>
    <row r="942" spans="2:9" x14ac:dyDescent="0.25">
      <c r="B942" s="48">
        <f>+'Metrics - Articles'!C939</f>
        <v>0</v>
      </c>
      <c r="C942">
        <f>COUNTIF('Metrics - Articles'!E941,"*Sports*")</f>
        <v>0</v>
      </c>
      <c r="D942">
        <f>COUNTIF('Metrics - Articles'!E941,"*Youth*")</f>
        <v>0</v>
      </c>
      <c r="E942">
        <f>COUNTIF('Metrics - Articles'!E941,"*Healthcare*")</f>
        <v>0</v>
      </c>
      <c r="F942">
        <f>COUNTIF('Metrics - Articles'!E941,"*Innovation")</f>
        <v>0</v>
      </c>
      <c r="G942">
        <f>COUNTIF('Metrics - Articles'!E941,"*Corporate*")</f>
        <v>0</v>
      </c>
      <c r="I942" s="53">
        <f t="shared" si="15"/>
        <v>0</v>
      </c>
    </row>
    <row r="943" spans="2:9" x14ac:dyDescent="0.25">
      <c r="B943" s="48">
        <f>+'Metrics - Articles'!C940</f>
        <v>0</v>
      </c>
      <c r="C943">
        <f>COUNTIF('Metrics - Articles'!E942,"*Sports*")</f>
        <v>0</v>
      </c>
      <c r="D943">
        <f>COUNTIF('Metrics - Articles'!E942,"*Youth*")</f>
        <v>0</v>
      </c>
      <c r="E943">
        <f>COUNTIF('Metrics - Articles'!E942,"*Healthcare*")</f>
        <v>0</v>
      </c>
      <c r="F943">
        <f>COUNTIF('Metrics - Articles'!E942,"*Innovation")</f>
        <v>0</v>
      </c>
      <c r="G943">
        <f>COUNTIF('Metrics - Articles'!E942,"*Corporate*")</f>
        <v>0</v>
      </c>
      <c r="I943" s="53">
        <f t="shared" si="15"/>
        <v>0</v>
      </c>
    </row>
    <row r="944" spans="2:9" x14ac:dyDescent="0.25">
      <c r="B944" s="48">
        <f>+'Metrics - Articles'!C941</f>
        <v>0</v>
      </c>
      <c r="C944">
        <f>COUNTIF('Metrics - Articles'!E943,"*Sports*")</f>
        <v>0</v>
      </c>
      <c r="D944">
        <f>COUNTIF('Metrics - Articles'!E943,"*Youth*")</f>
        <v>0</v>
      </c>
      <c r="E944">
        <f>COUNTIF('Metrics - Articles'!E943,"*Healthcare*")</f>
        <v>0</v>
      </c>
      <c r="F944">
        <f>COUNTIF('Metrics - Articles'!E943,"*Innovation")</f>
        <v>0</v>
      </c>
      <c r="G944">
        <f>COUNTIF('Metrics - Articles'!E943,"*Corporate*")</f>
        <v>0</v>
      </c>
      <c r="I944" s="53">
        <f t="shared" si="15"/>
        <v>0</v>
      </c>
    </row>
    <row r="945" spans="2:9" x14ac:dyDescent="0.25">
      <c r="B945" s="48">
        <f>+'Metrics - Articles'!C942</f>
        <v>0</v>
      </c>
      <c r="C945">
        <f>COUNTIF('Metrics - Articles'!E944,"*Sports*")</f>
        <v>0</v>
      </c>
      <c r="D945">
        <f>COUNTIF('Metrics - Articles'!E944,"*Youth*")</f>
        <v>0</v>
      </c>
      <c r="E945">
        <f>COUNTIF('Metrics - Articles'!E944,"*Healthcare*")</f>
        <v>0</v>
      </c>
      <c r="F945">
        <f>COUNTIF('Metrics - Articles'!E944,"*Innovation")</f>
        <v>0</v>
      </c>
      <c r="G945">
        <f>COUNTIF('Metrics - Articles'!E944,"*Corporate*")</f>
        <v>0</v>
      </c>
      <c r="I945" s="53">
        <f t="shared" si="15"/>
        <v>0</v>
      </c>
    </row>
    <row r="946" spans="2:9" x14ac:dyDescent="0.25">
      <c r="B946" s="48">
        <f>+'Metrics - Articles'!C943</f>
        <v>0</v>
      </c>
      <c r="C946">
        <f>COUNTIF('Metrics - Articles'!E945,"*Sports*")</f>
        <v>0</v>
      </c>
      <c r="D946">
        <f>COUNTIF('Metrics - Articles'!E945,"*Youth*")</f>
        <v>0</v>
      </c>
      <c r="E946">
        <f>COUNTIF('Metrics - Articles'!E945,"*Healthcare*")</f>
        <v>0</v>
      </c>
      <c r="F946">
        <f>COUNTIF('Metrics - Articles'!E945,"*Innovation")</f>
        <v>0</v>
      </c>
      <c r="G946">
        <f>COUNTIF('Metrics - Articles'!E945,"*Corporate*")</f>
        <v>0</v>
      </c>
      <c r="I946" s="53">
        <f t="shared" si="15"/>
        <v>0</v>
      </c>
    </row>
    <row r="947" spans="2:9" x14ac:dyDescent="0.25">
      <c r="B947" s="48">
        <f>+'Metrics - Articles'!C944</f>
        <v>0</v>
      </c>
      <c r="C947">
        <f>COUNTIF('Metrics - Articles'!E946,"*Sports*")</f>
        <v>0</v>
      </c>
      <c r="D947">
        <f>COUNTIF('Metrics - Articles'!E946,"*Youth*")</f>
        <v>0</v>
      </c>
      <c r="E947">
        <f>COUNTIF('Metrics - Articles'!E946,"*Healthcare*")</f>
        <v>0</v>
      </c>
      <c r="F947">
        <f>COUNTIF('Metrics - Articles'!E946,"*Innovation")</f>
        <v>0</v>
      </c>
      <c r="G947">
        <f>COUNTIF('Metrics - Articles'!E946,"*Corporate*")</f>
        <v>0</v>
      </c>
      <c r="I947" s="53">
        <f t="shared" si="15"/>
        <v>0</v>
      </c>
    </row>
    <row r="948" spans="2:9" x14ac:dyDescent="0.25">
      <c r="B948" s="48">
        <f>+'Metrics - Articles'!C945</f>
        <v>0</v>
      </c>
      <c r="C948">
        <f>COUNTIF('Metrics - Articles'!E947,"*Sports*")</f>
        <v>0</v>
      </c>
      <c r="D948">
        <f>COUNTIF('Metrics - Articles'!E947,"*Youth*")</f>
        <v>0</v>
      </c>
      <c r="E948">
        <f>COUNTIF('Metrics - Articles'!E947,"*Healthcare*")</f>
        <v>0</v>
      </c>
      <c r="F948">
        <f>COUNTIF('Metrics - Articles'!E947,"*Innovation")</f>
        <v>0</v>
      </c>
      <c r="G948">
        <f>COUNTIF('Metrics - Articles'!E947,"*Corporate*")</f>
        <v>0</v>
      </c>
      <c r="I948" s="53">
        <f t="shared" si="15"/>
        <v>0</v>
      </c>
    </row>
    <row r="949" spans="2:9" x14ac:dyDescent="0.25">
      <c r="B949" s="48">
        <f>+'Metrics - Articles'!C946</f>
        <v>0</v>
      </c>
      <c r="C949">
        <f>COUNTIF('Metrics - Articles'!E948,"*Sports*")</f>
        <v>0</v>
      </c>
      <c r="D949">
        <f>COUNTIF('Metrics - Articles'!E948,"*Youth*")</f>
        <v>0</v>
      </c>
      <c r="E949">
        <f>COUNTIF('Metrics - Articles'!E948,"*Healthcare*")</f>
        <v>0</v>
      </c>
      <c r="F949">
        <f>COUNTIF('Metrics - Articles'!E948,"*Innovation")</f>
        <v>0</v>
      </c>
      <c r="G949">
        <f>COUNTIF('Metrics - Articles'!E948,"*Corporate*")</f>
        <v>0</v>
      </c>
      <c r="I949" s="53">
        <f t="shared" si="15"/>
        <v>0</v>
      </c>
    </row>
    <row r="950" spans="2:9" x14ac:dyDescent="0.25">
      <c r="B950" s="48">
        <f>+'Metrics - Articles'!C947</f>
        <v>0</v>
      </c>
      <c r="C950">
        <f>COUNTIF('Metrics - Articles'!E949,"*Sports*")</f>
        <v>0</v>
      </c>
      <c r="D950">
        <f>COUNTIF('Metrics - Articles'!E949,"*Youth*")</f>
        <v>0</v>
      </c>
      <c r="E950">
        <f>COUNTIF('Metrics - Articles'!E949,"*Healthcare*")</f>
        <v>0</v>
      </c>
      <c r="F950">
        <f>COUNTIF('Metrics - Articles'!E949,"*Innovation")</f>
        <v>0</v>
      </c>
      <c r="G950">
        <f>COUNTIF('Metrics - Articles'!E949,"*Corporate*")</f>
        <v>0</v>
      </c>
      <c r="I950" s="53">
        <f t="shared" si="15"/>
        <v>0</v>
      </c>
    </row>
    <row r="951" spans="2:9" x14ac:dyDescent="0.25">
      <c r="B951" s="48">
        <f>+'Metrics - Articles'!C948</f>
        <v>0</v>
      </c>
      <c r="C951">
        <f>COUNTIF('Metrics - Articles'!E950,"*Sports*")</f>
        <v>0</v>
      </c>
      <c r="D951">
        <f>COUNTIF('Metrics - Articles'!E950,"*Youth*")</f>
        <v>0</v>
      </c>
      <c r="E951">
        <f>COUNTIF('Metrics - Articles'!E950,"*Healthcare*")</f>
        <v>0</v>
      </c>
      <c r="F951">
        <f>COUNTIF('Metrics - Articles'!E950,"*Innovation")</f>
        <v>0</v>
      </c>
      <c r="G951">
        <f>COUNTIF('Metrics - Articles'!E950,"*Corporate*")</f>
        <v>0</v>
      </c>
      <c r="I951" s="53">
        <f t="shared" si="15"/>
        <v>0</v>
      </c>
    </row>
    <row r="952" spans="2:9" x14ac:dyDescent="0.25">
      <c r="B952" s="48">
        <f>+'Metrics - Articles'!C949</f>
        <v>0</v>
      </c>
      <c r="C952">
        <f>COUNTIF('Metrics - Articles'!E951,"*Sports*")</f>
        <v>0</v>
      </c>
      <c r="D952">
        <f>COUNTIF('Metrics - Articles'!E951,"*Youth*")</f>
        <v>0</v>
      </c>
      <c r="E952">
        <f>COUNTIF('Metrics - Articles'!E951,"*Healthcare*")</f>
        <v>0</v>
      </c>
      <c r="F952">
        <f>COUNTIF('Metrics - Articles'!E951,"*Innovation")</f>
        <v>0</v>
      </c>
      <c r="G952">
        <f>COUNTIF('Metrics - Articles'!E951,"*Corporate*")</f>
        <v>0</v>
      </c>
      <c r="I952" s="53">
        <f t="shared" si="15"/>
        <v>0</v>
      </c>
    </row>
    <row r="953" spans="2:9" x14ac:dyDescent="0.25">
      <c r="B953" s="48">
        <f>+'Metrics - Articles'!C950</f>
        <v>0</v>
      </c>
      <c r="C953">
        <f>COUNTIF('Metrics - Articles'!E952,"*Sports*")</f>
        <v>0</v>
      </c>
      <c r="D953">
        <f>COUNTIF('Metrics - Articles'!E952,"*Youth*")</f>
        <v>0</v>
      </c>
      <c r="E953">
        <f>COUNTIF('Metrics - Articles'!E952,"*Healthcare*")</f>
        <v>0</v>
      </c>
      <c r="F953">
        <f>COUNTIF('Metrics - Articles'!E952,"*Innovation")</f>
        <v>0</v>
      </c>
      <c r="G953">
        <f>COUNTIF('Metrics - Articles'!E952,"*Corporate*")</f>
        <v>0</v>
      </c>
      <c r="I953" s="53">
        <f t="shared" si="15"/>
        <v>0</v>
      </c>
    </row>
    <row r="954" spans="2:9" x14ac:dyDescent="0.25">
      <c r="B954" s="48">
        <f>+'Metrics - Articles'!C951</f>
        <v>0</v>
      </c>
      <c r="C954">
        <f>COUNTIF('Metrics - Articles'!E953,"*Sports*")</f>
        <v>0</v>
      </c>
      <c r="D954">
        <f>COUNTIF('Metrics - Articles'!E953,"*Youth*")</f>
        <v>0</v>
      </c>
      <c r="E954">
        <f>COUNTIF('Metrics - Articles'!E953,"*Healthcare*")</f>
        <v>0</v>
      </c>
      <c r="F954">
        <f>COUNTIF('Metrics - Articles'!E953,"*Innovation")</f>
        <v>0</v>
      </c>
      <c r="G954">
        <f>COUNTIF('Metrics - Articles'!E953,"*Corporate*")</f>
        <v>0</v>
      </c>
      <c r="I954" s="53">
        <f t="shared" si="15"/>
        <v>0</v>
      </c>
    </row>
    <row r="955" spans="2:9" x14ac:dyDescent="0.25">
      <c r="B955" s="48">
        <f>+'Metrics - Articles'!C952</f>
        <v>0</v>
      </c>
      <c r="C955">
        <f>COUNTIF('Metrics - Articles'!E954,"*Sports*")</f>
        <v>0</v>
      </c>
      <c r="D955">
        <f>COUNTIF('Metrics - Articles'!E954,"*Youth*")</f>
        <v>0</v>
      </c>
      <c r="E955">
        <f>COUNTIF('Metrics - Articles'!E954,"*Healthcare*")</f>
        <v>0</v>
      </c>
      <c r="F955">
        <f>COUNTIF('Metrics - Articles'!E954,"*Innovation")</f>
        <v>0</v>
      </c>
      <c r="G955">
        <f>COUNTIF('Metrics - Articles'!E954,"*Corporate*")</f>
        <v>0</v>
      </c>
      <c r="I955" s="53">
        <f t="shared" si="15"/>
        <v>0</v>
      </c>
    </row>
    <row r="956" spans="2:9" x14ac:dyDescent="0.25">
      <c r="B956" s="48">
        <f>+'Metrics - Articles'!C953</f>
        <v>0</v>
      </c>
      <c r="C956">
        <f>COUNTIF('Metrics - Articles'!E955,"*Sports*")</f>
        <v>0</v>
      </c>
      <c r="D956">
        <f>COUNTIF('Metrics - Articles'!E955,"*Youth*")</f>
        <v>0</v>
      </c>
      <c r="E956">
        <f>COUNTIF('Metrics - Articles'!E955,"*Healthcare*")</f>
        <v>0</v>
      </c>
      <c r="F956">
        <f>COUNTIF('Metrics - Articles'!E955,"*Innovation")</f>
        <v>0</v>
      </c>
      <c r="G956">
        <f>COUNTIF('Metrics - Articles'!E955,"*Corporate*")</f>
        <v>0</v>
      </c>
      <c r="I956" s="53">
        <f t="shared" si="15"/>
        <v>0</v>
      </c>
    </row>
    <row r="957" spans="2:9" x14ac:dyDescent="0.25">
      <c r="B957" s="48">
        <f>+'Metrics - Articles'!C954</f>
        <v>0</v>
      </c>
      <c r="C957">
        <f>COUNTIF('Metrics - Articles'!E956,"*Sports*")</f>
        <v>0</v>
      </c>
      <c r="D957">
        <f>COUNTIF('Metrics - Articles'!E956,"*Youth*")</f>
        <v>0</v>
      </c>
      <c r="E957">
        <f>COUNTIF('Metrics - Articles'!E956,"*Healthcare*")</f>
        <v>0</v>
      </c>
      <c r="F957">
        <f>COUNTIF('Metrics - Articles'!E956,"*Innovation")</f>
        <v>0</v>
      </c>
      <c r="G957">
        <f>COUNTIF('Metrics - Articles'!E956,"*Corporate*")</f>
        <v>0</v>
      </c>
      <c r="I957" s="53">
        <f t="shared" si="15"/>
        <v>0</v>
      </c>
    </row>
    <row r="958" spans="2:9" x14ac:dyDescent="0.25">
      <c r="B958" s="48">
        <f>+'Metrics - Articles'!C955</f>
        <v>0</v>
      </c>
      <c r="C958">
        <f>COUNTIF('Metrics - Articles'!E957,"*Sports*")</f>
        <v>0</v>
      </c>
      <c r="D958">
        <f>COUNTIF('Metrics - Articles'!E957,"*Youth*")</f>
        <v>0</v>
      </c>
      <c r="E958">
        <f>COUNTIF('Metrics - Articles'!E957,"*Healthcare*")</f>
        <v>0</v>
      </c>
      <c r="F958">
        <f>COUNTIF('Metrics - Articles'!E957,"*Innovation")</f>
        <v>0</v>
      </c>
      <c r="G958">
        <f>COUNTIF('Metrics - Articles'!E957,"*Corporate*")</f>
        <v>0</v>
      </c>
      <c r="I958" s="53">
        <f t="shared" si="15"/>
        <v>0</v>
      </c>
    </row>
    <row r="959" spans="2:9" x14ac:dyDescent="0.25">
      <c r="B959" s="48">
        <f>+'Metrics - Articles'!C956</f>
        <v>0</v>
      </c>
      <c r="C959">
        <f>COUNTIF('Metrics - Articles'!E958,"*Sports*")</f>
        <v>0</v>
      </c>
      <c r="D959">
        <f>COUNTIF('Metrics - Articles'!E958,"*Youth*")</f>
        <v>0</v>
      </c>
      <c r="E959">
        <f>COUNTIF('Metrics - Articles'!E958,"*Healthcare*")</f>
        <v>0</v>
      </c>
      <c r="F959">
        <f>COUNTIF('Metrics - Articles'!E958,"*Innovation")</f>
        <v>0</v>
      </c>
      <c r="G959">
        <f>COUNTIF('Metrics - Articles'!E958,"*Corporate*")</f>
        <v>0</v>
      </c>
      <c r="I959" s="53">
        <f t="shared" si="15"/>
        <v>0</v>
      </c>
    </row>
    <row r="960" spans="2:9" x14ac:dyDescent="0.25">
      <c r="B960" s="48">
        <f>+'Metrics - Articles'!C957</f>
        <v>0</v>
      </c>
      <c r="C960">
        <f>COUNTIF('Metrics - Articles'!E959,"*Sports*")</f>
        <v>0</v>
      </c>
      <c r="D960">
        <f>COUNTIF('Metrics - Articles'!E959,"*Youth*")</f>
        <v>0</v>
      </c>
      <c r="E960">
        <f>COUNTIF('Metrics - Articles'!E959,"*Healthcare*")</f>
        <v>0</v>
      </c>
      <c r="F960">
        <f>COUNTIF('Metrics - Articles'!E959,"*Innovation")</f>
        <v>0</v>
      </c>
      <c r="G960">
        <f>COUNTIF('Metrics - Articles'!E959,"*Corporate*")</f>
        <v>0</v>
      </c>
      <c r="I960" s="53">
        <f t="shared" si="15"/>
        <v>0</v>
      </c>
    </row>
    <row r="961" spans="2:9" x14ac:dyDescent="0.25">
      <c r="B961" s="48">
        <f>+'Metrics - Articles'!C958</f>
        <v>0</v>
      </c>
      <c r="C961">
        <f>COUNTIF('Metrics - Articles'!E960,"*Sports*")</f>
        <v>0</v>
      </c>
      <c r="D961">
        <f>COUNTIF('Metrics - Articles'!E960,"*Youth*")</f>
        <v>0</v>
      </c>
      <c r="E961">
        <f>COUNTIF('Metrics - Articles'!E960,"*Healthcare*")</f>
        <v>0</v>
      </c>
      <c r="F961">
        <f>COUNTIF('Metrics - Articles'!E960,"*Innovation")</f>
        <v>0</v>
      </c>
      <c r="G961">
        <f>COUNTIF('Metrics - Articles'!E960,"*Corporate*")</f>
        <v>0</v>
      </c>
      <c r="I961" s="53">
        <f t="shared" si="15"/>
        <v>0</v>
      </c>
    </row>
    <row r="962" spans="2:9" x14ac:dyDescent="0.25">
      <c r="B962" s="48">
        <f>+'Metrics - Articles'!C959</f>
        <v>0</v>
      </c>
      <c r="C962">
        <f>COUNTIF('Metrics - Articles'!E961,"*Sports*")</f>
        <v>0</v>
      </c>
      <c r="D962">
        <f>COUNTIF('Metrics - Articles'!E961,"*Youth*")</f>
        <v>0</v>
      </c>
      <c r="E962">
        <f>COUNTIF('Metrics - Articles'!E961,"*Healthcare*")</f>
        <v>0</v>
      </c>
      <c r="F962">
        <f>COUNTIF('Metrics - Articles'!E961,"*Innovation")</f>
        <v>0</v>
      </c>
      <c r="G962">
        <f>COUNTIF('Metrics - Articles'!E961,"*Corporate*")</f>
        <v>0</v>
      </c>
      <c r="I962" s="53">
        <f t="shared" si="15"/>
        <v>0</v>
      </c>
    </row>
    <row r="963" spans="2:9" x14ac:dyDescent="0.25">
      <c r="B963" s="48">
        <f>+'Metrics - Articles'!C960</f>
        <v>0</v>
      </c>
      <c r="C963">
        <f>COUNTIF('Metrics - Articles'!E962,"*Sports*")</f>
        <v>0</v>
      </c>
      <c r="D963">
        <f>COUNTIF('Metrics - Articles'!E962,"*Youth*")</f>
        <v>0</v>
      </c>
      <c r="E963">
        <f>COUNTIF('Metrics - Articles'!E962,"*Healthcare*")</f>
        <v>0</v>
      </c>
      <c r="F963">
        <f>COUNTIF('Metrics - Articles'!E962,"*Innovation")</f>
        <v>0</v>
      </c>
      <c r="G963">
        <f>COUNTIF('Metrics - Articles'!E962,"*Corporate*")</f>
        <v>0</v>
      </c>
      <c r="I963" s="53">
        <f t="shared" si="15"/>
        <v>0</v>
      </c>
    </row>
    <row r="964" spans="2:9" x14ac:dyDescent="0.25">
      <c r="B964" s="48">
        <f>+'Metrics - Articles'!C961</f>
        <v>0</v>
      </c>
      <c r="C964">
        <f>COUNTIF('Metrics - Articles'!E963,"*Sports*")</f>
        <v>0</v>
      </c>
      <c r="D964">
        <f>COUNTIF('Metrics - Articles'!E963,"*Youth*")</f>
        <v>0</v>
      </c>
      <c r="E964">
        <f>COUNTIF('Metrics - Articles'!E963,"*Healthcare*")</f>
        <v>0</v>
      </c>
      <c r="F964">
        <f>COUNTIF('Metrics - Articles'!E963,"*Innovation")</f>
        <v>0</v>
      </c>
      <c r="G964">
        <f>COUNTIF('Metrics - Articles'!E963,"*Corporate*")</f>
        <v>0</v>
      </c>
      <c r="I964" s="53">
        <f t="shared" si="15"/>
        <v>0</v>
      </c>
    </row>
    <row r="965" spans="2:9" x14ac:dyDescent="0.25">
      <c r="B965" s="48">
        <f>+'Metrics - Articles'!C962</f>
        <v>0</v>
      </c>
      <c r="C965">
        <f>COUNTIF('Metrics - Articles'!E964,"*Sports*")</f>
        <v>0</v>
      </c>
      <c r="D965">
        <f>COUNTIF('Metrics - Articles'!E964,"*Youth*")</f>
        <v>0</v>
      </c>
      <c r="E965">
        <f>COUNTIF('Metrics - Articles'!E964,"*Healthcare*")</f>
        <v>0</v>
      </c>
      <c r="F965">
        <f>COUNTIF('Metrics - Articles'!E964,"*Innovation")</f>
        <v>0</v>
      </c>
      <c r="G965">
        <f>COUNTIF('Metrics - Articles'!E964,"*Corporate*")</f>
        <v>0</v>
      </c>
      <c r="I965" s="53">
        <f t="shared" si="15"/>
        <v>0</v>
      </c>
    </row>
    <row r="966" spans="2:9" x14ac:dyDescent="0.25">
      <c r="B966" s="48">
        <f>+'Metrics - Articles'!C963</f>
        <v>0</v>
      </c>
      <c r="C966">
        <f>COUNTIF('Metrics - Articles'!E965,"*Sports*")</f>
        <v>0</v>
      </c>
      <c r="D966">
        <f>COUNTIF('Metrics - Articles'!E965,"*Youth*")</f>
        <v>0</v>
      </c>
      <c r="E966">
        <f>COUNTIF('Metrics - Articles'!E965,"*Healthcare*")</f>
        <v>0</v>
      </c>
      <c r="F966">
        <f>COUNTIF('Metrics - Articles'!E965,"*Innovation")</f>
        <v>0</v>
      </c>
      <c r="G966">
        <f>COUNTIF('Metrics - Articles'!E965,"*Corporate*")</f>
        <v>0</v>
      </c>
      <c r="I966" s="53">
        <f t="shared" si="15"/>
        <v>0</v>
      </c>
    </row>
    <row r="967" spans="2:9" x14ac:dyDescent="0.25">
      <c r="B967" s="48">
        <f>+'Metrics - Articles'!C964</f>
        <v>0</v>
      </c>
      <c r="C967">
        <f>COUNTIF('Metrics - Articles'!E966,"*Sports*")</f>
        <v>0</v>
      </c>
      <c r="D967">
        <f>COUNTIF('Metrics - Articles'!E966,"*Youth*")</f>
        <v>0</v>
      </c>
      <c r="E967">
        <f>COUNTIF('Metrics - Articles'!E966,"*Healthcare*")</f>
        <v>0</v>
      </c>
      <c r="F967">
        <f>COUNTIF('Metrics - Articles'!E966,"*Innovation")</f>
        <v>0</v>
      </c>
      <c r="G967">
        <f>COUNTIF('Metrics - Articles'!E966,"*Corporate*")</f>
        <v>0</v>
      </c>
      <c r="I967" s="53">
        <f t="shared" si="15"/>
        <v>0</v>
      </c>
    </row>
    <row r="968" spans="2:9" x14ac:dyDescent="0.25">
      <c r="B968" s="48">
        <f>+'Metrics - Articles'!C965</f>
        <v>0</v>
      </c>
      <c r="C968">
        <f>COUNTIF('Metrics - Articles'!E967,"*Sports*")</f>
        <v>0</v>
      </c>
      <c r="D968">
        <f>COUNTIF('Metrics - Articles'!E967,"*Youth*")</f>
        <v>0</v>
      </c>
      <c r="E968">
        <f>COUNTIF('Metrics - Articles'!E967,"*Healthcare*")</f>
        <v>0</v>
      </c>
      <c r="F968">
        <f>COUNTIF('Metrics - Articles'!E967,"*Innovation")</f>
        <v>0</v>
      </c>
      <c r="G968">
        <f>COUNTIF('Metrics - Articles'!E967,"*Corporate*")</f>
        <v>0</v>
      </c>
      <c r="I968" s="53">
        <f t="shared" ref="I968:I1003" si="16">SUM(C968:H968)</f>
        <v>0</v>
      </c>
    </row>
    <row r="969" spans="2:9" x14ac:dyDescent="0.25">
      <c r="B969" s="48">
        <f>+'Metrics - Articles'!C966</f>
        <v>0</v>
      </c>
      <c r="C969">
        <f>COUNTIF('Metrics - Articles'!E968,"*Sports*")</f>
        <v>0</v>
      </c>
      <c r="D969">
        <f>COUNTIF('Metrics - Articles'!E968,"*Youth*")</f>
        <v>0</v>
      </c>
      <c r="E969">
        <f>COUNTIF('Metrics - Articles'!E968,"*Healthcare*")</f>
        <v>0</v>
      </c>
      <c r="F969">
        <f>COUNTIF('Metrics - Articles'!E968,"*Innovation")</f>
        <v>0</v>
      </c>
      <c r="G969">
        <f>COUNTIF('Metrics - Articles'!E968,"*Corporate*")</f>
        <v>0</v>
      </c>
      <c r="I969" s="53">
        <f t="shared" si="16"/>
        <v>0</v>
      </c>
    </row>
    <row r="970" spans="2:9" x14ac:dyDescent="0.25">
      <c r="B970" s="48">
        <f>+'Metrics - Articles'!C967</f>
        <v>0</v>
      </c>
      <c r="C970">
        <f>COUNTIF('Metrics - Articles'!E969,"*Sports*")</f>
        <v>0</v>
      </c>
      <c r="D970">
        <f>COUNTIF('Metrics - Articles'!E969,"*Youth*")</f>
        <v>0</v>
      </c>
      <c r="E970">
        <f>COUNTIF('Metrics - Articles'!E969,"*Healthcare*")</f>
        <v>0</v>
      </c>
      <c r="F970">
        <f>COUNTIF('Metrics - Articles'!E969,"*Innovation")</f>
        <v>0</v>
      </c>
      <c r="G970">
        <f>COUNTIF('Metrics - Articles'!E969,"*Corporate*")</f>
        <v>0</v>
      </c>
      <c r="I970" s="53">
        <f t="shared" si="16"/>
        <v>0</v>
      </c>
    </row>
    <row r="971" spans="2:9" x14ac:dyDescent="0.25">
      <c r="B971" s="48">
        <f>+'Metrics - Articles'!C968</f>
        <v>0</v>
      </c>
      <c r="C971">
        <f>COUNTIF('Metrics - Articles'!E970,"*Sports*")</f>
        <v>0</v>
      </c>
      <c r="D971">
        <f>COUNTIF('Metrics - Articles'!E970,"*Youth*")</f>
        <v>0</v>
      </c>
      <c r="E971">
        <f>COUNTIF('Metrics - Articles'!E970,"*Healthcare*")</f>
        <v>0</v>
      </c>
      <c r="F971">
        <f>COUNTIF('Metrics - Articles'!E970,"*Innovation")</f>
        <v>0</v>
      </c>
      <c r="G971">
        <f>COUNTIF('Metrics - Articles'!E970,"*Corporate*")</f>
        <v>0</v>
      </c>
      <c r="I971" s="53">
        <f t="shared" si="16"/>
        <v>0</v>
      </c>
    </row>
    <row r="972" spans="2:9" x14ac:dyDescent="0.25">
      <c r="B972" s="48">
        <f>+'Metrics - Articles'!C969</f>
        <v>0</v>
      </c>
      <c r="C972">
        <f>COUNTIF('Metrics - Articles'!E971,"*Sports*")</f>
        <v>0</v>
      </c>
      <c r="D972">
        <f>COUNTIF('Metrics - Articles'!E971,"*Youth*")</f>
        <v>0</v>
      </c>
      <c r="E972">
        <f>COUNTIF('Metrics - Articles'!E971,"*Healthcare*")</f>
        <v>0</v>
      </c>
      <c r="F972">
        <f>COUNTIF('Metrics - Articles'!E971,"*Innovation")</f>
        <v>0</v>
      </c>
      <c r="G972">
        <f>COUNTIF('Metrics - Articles'!E971,"*Corporate*")</f>
        <v>0</v>
      </c>
      <c r="I972" s="53">
        <f t="shared" si="16"/>
        <v>0</v>
      </c>
    </row>
    <row r="973" spans="2:9" x14ac:dyDescent="0.25">
      <c r="B973" s="48">
        <f>+'Metrics - Articles'!C970</f>
        <v>0</v>
      </c>
      <c r="C973">
        <f>COUNTIF('Metrics - Articles'!E972,"*Sports*")</f>
        <v>0</v>
      </c>
      <c r="D973">
        <f>COUNTIF('Metrics - Articles'!E972,"*Youth*")</f>
        <v>0</v>
      </c>
      <c r="E973">
        <f>COUNTIF('Metrics - Articles'!E972,"*Healthcare*")</f>
        <v>0</v>
      </c>
      <c r="F973">
        <f>COUNTIF('Metrics - Articles'!E972,"*Innovation")</f>
        <v>0</v>
      </c>
      <c r="G973">
        <f>COUNTIF('Metrics - Articles'!E972,"*Corporate*")</f>
        <v>0</v>
      </c>
      <c r="I973" s="53">
        <f t="shared" si="16"/>
        <v>0</v>
      </c>
    </row>
    <row r="974" spans="2:9" x14ac:dyDescent="0.25">
      <c r="B974" s="48">
        <f>+'Metrics - Articles'!C971</f>
        <v>0</v>
      </c>
      <c r="C974">
        <f>COUNTIF('Metrics - Articles'!E973,"*Sports*")</f>
        <v>0</v>
      </c>
      <c r="D974">
        <f>COUNTIF('Metrics - Articles'!E973,"*Youth*")</f>
        <v>0</v>
      </c>
      <c r="E974">
        <f>COUNTIF('Metrics - Articles'!E973,"*Healthcare*")</f>
        <v>0</v>
      </c>
      <c r="F974">
        <f>COUNTIF('Metrics - Articles'!E973,"*Innovation")</f>
        <v>0</v>
      </c>
      <c r="G974">
        <f>COUNTIF('Metrics - Articles'!E973,"*Corporate*")</f>
        <v>0</v>
      </c>
      <c r="I974" s="53">
        <f t="shared" si="16"/>
        <v>0</v>
      </c>
    </row>
    <row r="975" spans="2:9" x14ac:dyDescent="0.25">
      <c r="B975" s="48">
        <f>+'Metrics - Articles'!C972</f>
        <v>0</v>
      </c>
      <c r="C975">
        <f>COUNTIF('Metrics - Articles'!E974,"*Sports*")</f>
        <v>0</v>
      </c>
      <c r="D975">
        <f>COUNTIF('Metrics - Articles'!E974,"*Youth*")</f>
        <v>0</v>
      </c>
      <c r="E975">
        <f>COUNTIF('Metrics - Articles'!E974,"*Healthcare*")</f>
        <v>0</v>
      </c>
      <c r="F975">
        <f>COUNTIF('Metrics - Articles'!E974,"*Innovation")</f>
        <v>0</v>
      </c>
      <c r="G975">
        <f>COUNTIF('Metrics - Articles'!E974,"*Corporate*")</f>
        <v>0</v>
      </c>
      <c r="I975" s="53">
        <f t="shared" si="16"/>
        <v>0</v>
      </c>
    </row>
    <row r="976" spans="2:9" x14ac:dyDescent="0.25">
      <c r="B976" s="48">
        <f>+'Metrics - Articles'!C973</f>
        <v>0</v>
      </c>
      <c r="C976">
        <f>COUNTIF('Metrics - Articles'!E975,"*Sports*")</f>
        <v>0</v>
      </c>
      <c r="D976">
        <f>COUNTIF('Metrics - Articles'!E975,"*Youth*")</f>
        <v>0</v>
      </c>
      <c r="E976">
        <f>COUNTIF('Metrics - Articles'!E975,"*Healthcare*")</f>
        <v>0</v>
      </c>
      <c r="F976">
        <f>COUNTIF('Metrics - Articles'!E975,"*Innovation")</f>
        <v>0</v>
      </c>
      <c r="G976">
        <f>COUNTIF('Metrics - Articles'!E975,"*Corporate*")</f>
        <v>0</v>
      </c>
      <c r="I976" s="53">
        <f t="shared" si="16"/>
        <v>0</v>
      </c>
    </row>
    <row r="977" spans="2:9" x14ac:dyDescent="0.25">
      <c r="B977" s="48">
        <f>+'Metrics - Articles'!C974</f>
        <v>0</v>
      </c>
      <c r="C977">
        <f>COUNTIF('Metrics - Articles'!E976,"*Sports*")</f>
        <v>0</v>
      </c>
      <c r="D977">
        <f>COUNTIF('Metrics - Articles'!E976,"*Youth*")</f>
        <v>0</v>
      </c>
      <c r="E977">
        <f>COUNTIF('Metrics - Articles'!E976,"*Healthcare*")</f>
        <v>0</v>
      </c>
      <c r="F977">
        <f>COUNTIF('Metrics - Articles'!E976,"*Innovation")</f>
        <v>0</v>
      </c>
      <c r="G977">
        <f>COUNTIF('Metrics - Articles'!E976,"*Corporate*")</f>
        <v>0</v>
      </c>
      <c r="I977" s="53">
        <f t="shared" si="16"/>
        <v>0</v>
      </c>
    </row>
    <row r="978" spans="2:9" x14ac:dyDescent="0.25">
      <c r="B978" s="48">
        <f>+'Metrics - Articles'!C975</f>
        <v>0</v>
      </c>
      <c r="C978">
        <f>COUNTIF('Metrics - Articles'!E977,"*Sports*")</f>
        <v>0</v>
      </c>
      <c r="D978">
        <f>COUNTIF('Metrics - Articles'!E977,"*Youth*")</f>
        <v>0</v>
      </c>
      <c r="E978">
        <f>COUNTIF('Metrics - Articles'!E977,"*Healthcare*")</f>
        <v>0</v>
      </c>
      <c r="F978">
        <f>COUNTIF('Metrics - Articles'!E977,"*Innovation")</f>
        <v>0</v>
      </c>
      <c r="G978">
        <f>COUNTIF('Metrics - Articles'!E977,"*Corporate*")</f>
        <v>0</v>
      </c>
      <c r="I978" s="53">
        <f t="shared" si="16"/>
        <v>0</v>
      </c>
    </row>
    <row r="979" spans="2:9" x14ac:dyDescent="0.25">
      <c r="B979" s="48">
        <f>+'Metrics - Articles'!C976</f>
        <v>0</v>
      </c>
      <c r="C979">
        <f>COUNTIF('Metrics - Articles'!E978,"*Sports*")</f>
        <v>0</v>
      </c>
      <c r="D979">
        <f>COUNTIF('Metrics - Articles'!E978,"*Youth*")</f>
        <v>0</v>
      </c>
      <c r="E979">
        <f>COUNTIF('Metrics - Articles'!E978,"*Healthcare*")</f>
        <v>0</v>
      </c>
      <c r="F979">
        <f>COUNTIF('Metrics - Articles'!E978,"*Innovation")</f>
        <v>0</v>
      </c>
      <c r="G979">
        <f>COUNTIF('Metrics - Articles'!E978,"*Corporate*")</f>
        <v>0</v>
      </c>
      <c r="I979" s="53">
        <f t="shared" si="16"/>
        <v>0</v>
      </c>
    </row>
    <row r="980" spans="2:9" x14ac:dyDescent="0.25">
      <c r="B980" s="48">
        <f>+'Metrics - Articles'!C977</f>
        <v>0</v>
      </c>
      <c r="C980">
        <f>COUNTIF('Metrics - Articles'!E979,"*Sports*")</f>
        <v>0</v>
      </c>
      <c r="D980">
        <f>COUNTIF('Metrics - Articles'!E979,"*Youth*")</f>
        <v>0</v>
      </c>
      <c r="E980">
        <f>COUNTIF('Metrics - Articles'!E979,"*Healthcare*")</f>
        <v>0</v>
      </c>
      <c r="F980">
        <f>COUNTIF('Metrics - Articles'!E979,"*Innovation")</f>
        <v>0</v>
      </c>
      <c r="G980">
        <f>COUNTIF('Metrics - Articles'!E979,"*Corporate*")</f>
        <v>0</v>
      </c>
      <c r="I980" s="53">
        <f t="shared" si="16"/>
        <v>0</v>
      </c>
    </row>
    <row r="981" spans="2:9" x14ac:dyDescent="0.25">
      <c r="B981" s="48">
        <f>+'Metrics - Articles'!C978</f>
        <v>0</v>
      </c>
      <c r="C981">
        <f>COUNTIF('Metrics - Articles'!E980,"*Sports*")</f>
        <v>0</v>
      </c>
      <c r="D981">
        <f>COUNTIF('Metrics - Articles'!E980,"*Youth*")</f>
        <v>0</v>
      </c>
      <c r="E981">
        <f>COUNTIF('Metrics - Articles'!E980,"*Healthcare*")</f>
        <v>0</v>
      </c>
      <c r="F981">
        <f>COUNTIF('Metrics - Articles'!E980,"*Innovation")</f>
        <v>0</v>
      </c>
      <c r="G981">
        <f>COUNTIF('Metrics - Articles'!E980,"*Corporate*")</f>
        <v>0</v>
      </c>
      <c r="I981" s="53">
        <f t="shared" si="16"/>
        <v>0</v>
      </c>
    </row>
    <row r="982" spans="2:9" x14ac:dyDescent="0.25">
      <c r="B982" s="48">
        <f>+'Metrics - Articles'!C979</f>
        <v>0</v>
      </c>
      <c r="C982">
        <f>COUNTIF('Metrics - Articles'!E981,"*Sports*")</f>
        <v>0</v>
      </c>
      <c r="D982">
        <f>COUNTIF('Metrics - Articles'!E981,"*Youth*")</f>
        <v>0</v>
      </c>
      <c r="E982">
        <f>COUNTIF('Metrics - Articles'!E981,"*Healthcare*")</f>
        <v>0</v>
      </c>
      <c r="F982">
        <f>COUNTIF('Metrics - Articles'!E981,"*Innovation")</f>
        <v>0</v>
      </c>
      <c r="G982">
        <f>COUNTIF('Metrics - Articles'!E981,"*Corporate*")</f>
        <v>0</v>
      </c>
      <c r="I982" s="53">
        <f t="shared" si="16"/>
        <v>0</v>
      </c>
    </row>
    <row r="983" spans="2:9" x14ac:dyDescent="0.25">
      <c r="B983" s="48">
        <f>+'Metrics - Articles'!C980</f>
        <v>0</v>
      </c>
      <c r="C983">
        <f>COUNTIF('Metrics - Articles'!E982,"*Sports*")</f>
        <v>0</v>
      </c>
      <c r="D983">
        <f>COUNTIF('Metrics - Articles'!E982,"*Youth*")</f>
        <v>0</v>
      </c>
      <c r="E983">
        <f>COUNTIF('Metrics - Articles'!E982,"*Healthcare*")</f>
        <v>0</v>
      </c>
      <c r="F983">
        <f>COUNTIF('Metrics - Articles'!E982,"*Innovation")</f>
        <v>0</v>
      </c>
      <c r="G983">
        <f>COUNTIF('Metrics - Articles'!E982,"*Corporate*")</f>
        <v>0</v>
      </c>
      <c r="I983" s="53">
        <f t="shared" si="16"/>
        <v>0</v>
      </c>
    </row>
    <row r="984" spans="2:9" x14ac:dyDescent="0.25">
      <c r="B984" s="48">
        <f>+'Metrics - Articles'!C981</f>
        <v>0</v>
      </c>
      <c r="C984">
        <f>COUNTIF('Metrics - Articles'!E983,"*Sports*")</f>
        <v>0</v>
      </c>
      <c r="D984">
        <f>COUNTIF('Metrics - Articles'!E983,"*Youth*")</f>
        <v>0</v>
      </c>
      <c r="E984">
        <f>COUNTIF('Metrics - Articles'!E983,"*Healthcare*")</f>
        <v>0</v>
      </c>
      <c r="F984">
        <f>COUNTIF('Metrics - Articles'!E983,"*Innovation")</f>
        <v>0</v>
      </c>
      <c r="G984">
        <f>COUNTIF('Metrics - Articles'!E983,"*Corporate*")</f>
        <v>0</v>
      </c>
      <c r="I984" s="53">
        <f t="shared" si="16"/>
        <v>0</v>
      </c>
    </row>
    <row r="985" spans="2:9" x14ac:dyDescent="0.25">
      <c r="B985" s="48">
        <f>+'Metrics - Articles'!C982</f>
        <v>0</v>
      </c>
      <c r="C985">
        <f>COUNTIF('Metrics - Articles'!E984,"*Sports*")</f>
        <v>0</v>
      </c>
      <c r="D985">
        <f>COUNTIF('Metrics - Articles'!E984,"*Youth*")</f>
        <v>0</v>
      </c>
      <c r="E985">
        <f>COUNTIF('Metrics - Articles'!E984,"*Healthcare*")</f>
        <v>0</v>
      </c>
      <c r="F985">
        <f>COUNTIF('Metrics - Articles'!E984,"*Innovation")</f>
        <v>0</v>
      </c>
      <c r="G985">
        <f>COUNTIF('Metrics - Articles'!E984,"*Corporate*")</f>
        <v>0</v>
      </c>
      <c r="I985" s="53">
        <f t="shared" si="16"/>
        <v>0</v>
      </c>
    </row>
    <row r="986" spans="2:9" x14ac:dyDescent="0.25">
      <c r="B986" s="48">
        <f>+'Metrics - Articles'!C983</f>
        <v>0</v>
      </c>
      <c r="C986">
        <f>COUNTIF('Metrics - Articles'!E985,"*Sports*")</f>
        <v>0</v>
      </c>
      <c r="D986">
        <f>COUNTIF('Metrics - Articles'!E985,"*Youth*")</f>
        <v>0</v>
      </c>
      <c r="E986">
        <f>COUNTIF('Metrics - Articles'!E985,"*Healthcare*")</f>
        <v>0</v>
      </c>
      <c r="F986">
        <f>COUNTIF('Metrics - Articles'!E985,"*Innovation")</f>
        <v>0</v>
      </c>
      <c r="G986">
        <f>COUNTIF('Metrics - Articles'!E985,"*Corporate*")</f>
        <v>0</v>
      </c>
      <c r="I986" s="53">
        <f t="shared" si="16"/>
        <v>0</v>
      </c>
    </row>
    <row r="987" spans="2:9" x14ac:dyDescent="0.25">
      <c r="B987" s="48">
        <f>+'Metrics - Articles'!C984</f>
        <v>0</v>
      </c>
      <c r="C987">
        <f>COUNTIF('Metrics - Articles'!E986,"*Sports*")</f>
        <v>0</v>
      </c>
      <c r="D987">
        <f>COUNTIF('Metrics - Articles'!E986,"*Youth*")</f>
        <v>0</v>
      </c>
      <c r="E987">
        <f>COUNTIF('Metrics - Articles'!E986,"*Healthcare*")</f>
        <v>0</v>
      </c>
      <c r="F987">
        <f>COUNTIF('Metrics - Articles'!E986,"*Innovation")</f>
        <v>0</v>
      </c>
      <c r="G987">
        <f>COUNTIF('Metrics - Articles'!E986,"*Corporate*")</f>
        <v>0</v>
      </c>
      <c r="I987" s="53">
        <f t="shared" si="16"/>
        <v>0</v>
      </c>
    </row>
    <row r="988" spans="2:9" x14ac:dyDescent="0.25">
      <c r="B988" s="48">
        <f>+'Metrics - Articles'!C985</f>
        <v>0</v>
      </c>
      <c r="C988">
        <f>COUNTIF('Metrics - Articles'!E987,"*Sports*")</f>
        <v>0</v>
      </c>
      <c r="D988">
        <f>COUNTIF('Metrics - Articles'!E987,"*Youth*")</f>
        <v>0</v>
      </c>
      <c r="E988">
        <f>COUNTIF('Metrics - Articles'!E987,"*Healthcare*")</f>
        <v>0</v>
      </c>
      <c r="F988">
        <f>COUNTIF('Metrics - Articles'!E987,"*Innovation")</f>
        <v>0</v>
      </c>
      <c r="G988">
        <f>COUNTIF('Metrics - Articles'!E987,"*Corporate*")</f>
        <v>0</v>
      </c>
      <c r="I988" s="53">
        <f t="shared" si="16"/>
        <v>0</v>
      </c>
    </row>
    <row r="989" spans="2:9" x14ac:dyDescent="0.25">
      <c r="B989" s="48">
        <f>+'Metrics - Articles'!C986</f>
        <v>0</v>
      </c>
      <c r="C989">
        <f>COUNTIF('Metrics - Articles'!E988,"*Sports*")</f>
        <v>0</v>
      </c>
      <c r="D989">
        <f>COUNTIF('Metrics - Articles'!E988,"*Youth*")</f>
        <v>0</v>
      </c>
      <c r="E989">
        <f>COUNTIF('Metrics - Articles'!E988,"*Healthcare*")</f>
        <v>0</v>
      </c>
      <c r="F989">
        <f>COUNTIF('Metrics - Articles'!E988,"*Innovation")</f>
        <v>0</v>
      </c>
      <c r="G989">
        <f>COUNTIF('Metrics - Articles'!E988,"*Corporate*")</f>
        <v>0</v>
      </c>
      <c r="I989" s="53">
        <f t="shared" si="16"/>
        <v>0</v>
      </c>
    </row>
    <row r="990" spans="2:9" x14ac:dyDescent="0.25">
      <c r="B990" s="48">
        <f>+'Metrics - Articles'!C987</f>
        <v>0</v>
      </c>
      <c r="C990">
        <f>COUNTIF('Metrics - Articles'!E989,"*Sports*")</f>
        <v>0</v>
      </c>
      <c r="D990">
        <f>COUNTIF('Metrics - Articles'!E989,"*Youth*")</f>
        <v>0</v>
      </c>
      <c r="E990">
        <f>COUNTIF('Metrics - Articles'!E989,"*Healthcare*")</f>
        <v>0</v>
      </c>
      <c r="F990">
        <f>COUNTIF('Metrics - Articles'!E989,"*Innovation")</f>
        <v>0</v>
      </c>
      <c r="G990">
        <f>COUNTIF('Metrics - Articles'!E989,"*Corporate*")</f>
        <v>0</v>
      </c>
      <c r="I990" s="53">
        <f t="shared" si="16"/>
        <v>0</v>
      </c>
    </row>
    <row r="991" spans="2:9" x14ac:dyDescent="0.25">
      <c r="B991" s="48">
        <f>+'Metrics - Articles'!C988</f>
        <v>0</v>
      </c>
      <c r="C991">
        <f>COUNTIF('Metrics - Articles'!E990,"*Sports*")</f>
        <v>0</v>
      </c>
      <c r="D991">
        <f>COUNTIF('Metrics - Articles'!E990,"*Youth*")</f>
        <v>0</v>
      </c>
      <c r="E991">
        <f>COUNTIF('Metrics - Articles'!E990,"*Healthcare*")</f>
        <v>0</v>
      </c>
      <c r="F991">
        <f>COUNTIF('Metrics - Articles'!E990,"*Innovation")</f>
        <v>0</v>
      </c>
      <c r="G991">
        <f>COUNTIF('Metrics - Articles'!E990,"*Corporate*")</f>
        <v>0</v>
      </c>
      <c r="I991" s="53">
        <f t="shared" si="16"/>
        <v>0</v>
      </c>
    </row>
    <row r="992" spans="2:9" x14ac:dyDescent="0.25">
      <c r="B992" s="48">
        <f>+'Metrics - Articles'!C989</f>
        <v>0</v>
      </c>
      <c r="C992">
        <f>COUNTIF('Metrics - Articles'!E991,"*Sports*")</f>
        <v>0</v>
      </c>
      <c r="D992">
        <f>COUNTIF('Metrics - Articles'!E991,"*Youth*")</f>
        <v>0</v>
      </c>
      <c r="E992">
        <f>COUNTIF('Metrics - Articles'!E991,"*Healthcare*")</f>
        <v>0</v>
      </c>
      <c r="F992">
        <f>COUNTIF('Metrics - Articles'!E991,"*Innovation")</f>
        <v>0</v>
      </c>
      <c r="G992">
        <f>COUNTIF('Metrics - Articles'!E991,"*Corporate*")</f>
        <v>0</v>
      </c>
      <c r="I992" s="53">
        <f t="shared" si="16"/>
        <v>0</v>
      </c>
    </row>
    <row r="993" spans="2:9" x14ac:dyDescent="0.25">
      <c r="B993" s="48">
        <f>+'Metrics - Articles'!C990</f>
        <v>0</v>
      </c>
      <c r="C993">
        <f>COUNTIF('Metrics - Articles'!E992,"*Sports*")</f>
        <v>0</v>
      </c>
      <c r="D993">
        <f>COUNTIF('Metrics - Articles'!E992,"*Youth*")</f>
        <v>0</v>
      </c>
      <c r="E993">
        <f>COUNTIF('Metrics - Articles'!E992,"*Healthcare*")</f>
        <v>0</v>
      </c>
      <c r="F993">
        <f>COUNTIF('Metrics - Articles'!E992,"*Innovation")</f>
        <v>0</v>
      </c>
      <c r="G993">
        <f>COUNTIF('Metrics - Articles'!E992,"*Corporate*")</f>
        <v>0</v>
      </c>
      <c r="I993" s="53">
        <f t="shared" si="16"/>
        <v>0</v>
      </c>
    </row>
    <row r="994" spans="2:9" x14ac:dyDescent="0.25">
      <c r="B994" s="48">
        <f>+'Metrics - Articles'!C991</f>
        <v>0</v>
      </c>
      <c r="C994">
        <f>COUNTIF('Metrics - Articles'!E993,"*Sports*")</f>
        <v>0</v>
      </c>
      <c r="D994">
        <f>COUNTIF('Metrics - Articles'!E993,"*Youth*")</f>
        <v>0</v>
      </c>
      <c r="E994">
        <f>COUNTIF('Metrics - Articles'!E993,"*Healthcare*")</f>
        <v>0</v>
      </c>
      <c r="F994">
        <f>COUNTIF('Metrics - Articles'!E993,"*Innovation")</f>
        <v>0</v>
      </c>
      <c r="G994">
        <f>COUNTIF('Metrics - Articles'!E993,"*Corporate*")</f>
        <v>0</v>
      </c>
      <c r="I994" s="53">
        <f t="shared" si="16"/>
        <v>0</v>
      </c>
    </row>
    <row r="995" spans="2:9" x14ac:dyDescent="0.25">
      <c r="B995" s="48">
        <f>+'Metrics - Articles'!C992</f>
        <v>0</v>
      </c>
      <c r="C995">
        <f>COUNTIF('Metrics - Articles'!E994,"*Sports*")</f>
        <v>0</v>
      </c>
      <c r="D995">
        <f>COUNTIF('Metrics - Articles'!E994,"*Youth*")</f>
        <v>0</v>
      </c>
      <c r="E995">
        <f>COUNTIF('Metrics - Articles'!E994,"*Healthcare*")</f>
        <v>0</v>
      </c>
      <c r="F995">
        <f>COUNTIF('Metrics - Articles'!E994,"*Innovation")</f>
        <v>0</v>
      </c>
      <c r="G995">
        <f>COUNTIF('Metrics - Articles'!E994,"*Corporate*")</f>
        <v>0</v>
      </c>
      <c r="I995" s="53">
        <f t="shared" si="16"/>
        <v>0</v>
      </c>
    </row>
    <row r="996" spans="2:9" x14ac:dyDescent="0.25">
      <c r="B996" s="48">
        <f>+'Metrics - Articles'!C993</f>
        <v>0</v>
      </c>
      <c r="C996">
        <f>COUNTIF('Metrics - Articles'!E995,"*Sports*")</f>
        <v>0</v>
      </c>
      <c r="D996">
        <f>COUNTIF('Metrics - Articles'!E995,"*Youth*")</f>
        <v>0</v>
      </c>
      <c r="E996">
        <f>COUNTIF('Metrics - Articles'!E995,"*Healthcare*")</f>
        <v>0</v>
      </c>
      <c r="F996">
        <f>COUNTIF('Metrics - Articles'!E995,"*Innovation")</f>
        <v>0</v>
      </c>
      <c r="G996">
        <f>COUNTIF('Metrics - Articles'!E995,"*Corporate*")</f>
        <v>0</v>
      </c>
      <c r="I996" s="53">
        <f t="shared" si="16"/>
        <v>0</v>
      </c>
    </row>
    <row r="997" spans="2:9" x14ac:dyDescent="0.25">
      <c r="B997" s="48">
        <f>+'Metrics - Articles'!C994</f>
        <v>0</v>
      </c>
      <c r="C997">
        <f>COUNTIF('Metrics - Articles'!E996,"*Sports*")</f>
        <v>0</v>
      </c>
      <c r="D997">
        <f>COUNTIF('Metrics - Articles'!E996,"*Youth*")</f>
        <v>0</v>
      </c>
      <c r="E997">
        <f>COUNTIF('Metrics - Articles'!E996,"*Healthcare*")</f>
        <v>0</v>
      </c>
      <c r="F997">
        <f>COUNTIF('Metrics - Articles'!E996,"*Innovation")</f>
        <v>0</v>
      </c>
      <c r="G997">
        <f>COUNTIF('Metrics - Articles'!E996,"*Corporate*")</f>
        <v>0</v>
      </c>
      <c r="I997" s="53">
        <f t="shared" si="16"/>
        <v>0</v>
      </c>
    </row>
    <row r="998" spans="2:9" x14ac:dyDescent="0.25">
      <c r="B998" s="48">
        <f>+'Metrics - Articles'!C995</f>
        <v>0</v>
      </c>
      <c r="C998">
        <f>COUNTIF('Metrics - Articles'!E997,"*Sports*")</f>
        <v>0</v>
      </c>
      <c r="D998">
        <f>COUNTIF('Metrics - Articles'!E997,"*Youth*")</f>
        <v>0</v>
      </c>
      <c r="E998">
        <f>COUNTIF('Metrics - Articles'!E997,"*Healthcare*")</f>
        <v>0</v>
      </c>
      <c r="F998">
        <f>COUNTIF('Metrics - Articles'!E997,"*Innovation")</f>
        <v>0</v>
      </c>
      <c r="G998">
        <f>COUNTIF('Metrics - Articles'!E997,"*Corporate*")</f>
        <v>0</v>
      </c>
      <c r="I998" s="53">
        <f t="shared" si="16"/>
        <v>0</v>
      </c>
    </row>
    <row r="999" spans="2:9" x14ac:dyDescent="0.25">
      <c r="B999" s="48">
        <f>+'Metrics - Articles'!C996</f>
        <v>0</v>
      </c>
      <c r="C999">
        <f>COUNTIF('Metrics - Articles'!E998,"*Sports*")</f>
        <v>0</v>
      </c>
      <c r="D999">
        <f>COUNTIF('Metrics - Articles'!E998,"*Youth*")</f>
        <v>0</v>
      </c>
      <c r="E999">
        <f>COUNTIF('Metrics - Articles'!E998,"*Healthcare*")</f>
        <v>0</v>
      </c>
      <c r="F999">
        <f>COUNTIF('Metrics - Articles'!E998,"*Innovation")</f>
        <v>0</v>
      </c>
      <c r="G999">
        <f>COUNTIF('Metrics - Articles'!E998,"*Corporate*")</f>
        <v>0</v>
      </c>
      <c r="I999" s="53">
        <f t="shared" si="16"/>
        <v>0</v>
      </c>
    </row>
    <row r="1000" spans="2:9" x14ac:dyDescent="0.25">
      <c r="B1000" s="48">
        <f>+'Metrics - Articles'!C997</f>
        <v>0</v>
      </c>
      <c r="C1000">
        <f>COUNTIF('Metrics - Articles'!E999,"*Sports*")</f>
        <v>0</v>
      </c>
      <c r="D1000">
        <f>COUNTIF('Metrics - Articles'!E999,"*Youth*")</f>
        <v>0</v>
      </c>
      <c r="E1000">
        <f>COUNTIF('Metrics - Articles'!E999,"*Healthcare*")</f>
        <v>0</v>
      </c>
      <c r="F1000">
        <f>COUNTIF('Metrics - Articles'!E999,"*Innovation")</f>
        <v>0</v>
      </c>
      <c r="G1000">
        <f>COUNTIF('Metrics - Articles'!E999,"*Corporate*")</f>
        <v>0</v>
      </c>
      <c r="I1000" s="53">
        <f t="shared" si="16"/>
        <v>0</v>
      </c>
    </row>
    <row r="1001" spans="2:9" x14ac:dyDescent="0.25">
      <c r="B1001" s="48">
        <f>+'Metrics - Articles'!C998</f>
        <v>0</v>
      </c>
      <c r="C1001">
        <f>COUNTIF('Metrics - Articles'!E1000,"*Sports*")</f>
        <v>0</v>
      </c>
      <c r="D1001">
        <f>COUNTIF('Metrics - Articles'!E1000,"*Youth*")</f>
        <v>0</v>
      </c>
      <c r="E1001">
        <f>COUNTIF('Metrics - Articles'!E1000,"*Healthcare*")</f>
        <v>0</v>
      </c>
      <c r="F1001">
        <f>COUNTIF('Metrics - Articles'!E1000,"*Innovation")</f>
        <v>0</v>
      </c>
      <c r="G1001">
        <f>COUNTIF('Metrics - Articles'!E1000,"*Corporate*")</f>
        <v>0</v>
      </c>
      <c r="I1001" s="53">
        <f t="shared" si="16"/>
        <v>0</v>
      </c>
    </row>
    <row r="1002" spans="2:9" x14ac:dyDescent="0.25">
      <c r="B1002" s="48">
        <f>+'Metrics - Articles'!C999</f>
        <v>0</v>
      </c>
      <c r="C1002">
        <f>COUNTIF('Metrics - Articles'!E1001,"*Sports*")</f>
        <v>0</v>
      </c>
      <c r="D1002">
        <f>COUNTIF('Metrics - Articles'!E1001,"*Youth*")</f>
        <v>0</v>
      </c>
      <c r="E1002">
        <f>COUNTIF('Metrics - Articles'!E1001,"*Healthcare*")</f>
        <v>0</v>
      </c>
      <c r="F1002">
        <f>COUNTIF('Metrics - Articles'!E1001,"*Innovation")</f>
        <v>0</v>
      </c>
      <c r="G1002">
        <f>COUNTIF('Metrics - Articles'!E1001,"*Corporate*")</f>
        <v>0</v>
      </c>
      <c r="I1002" s="53">
        <f t="shared" si="16"/>
        <v>0</v>
      </c>
    </row>
    <row r="1003" spans="2:9" x14ac:dyDescent="0.25">
      <c r="B1003" s="48">
        <f>+'Metrics - Articles'!C1000</f>
        <v>0</v>
      </c>
      <c r="C1003">
        <f>COUNTIF('Metrics - Articles'!E1002,"*Sports*")</f>
        <v>0</v>
      </c>
      <c r="D1003">
        <f>COUNTIF('Metrics - Articles'!E1002,"*Youth*")</f>
        <v>0</v>
      </c>
      <c r="E1003">
        <f>COUNTIF('Metrics - Articles'!E1002,"*Healthcare*")</f>
        <v>0</v>
      </c>
      <c r="F1003">
        <f>COUNTIF('Metrics - Articles'!E1002,"*Innovation")</f>
        <v>0</v>
      </c>
      <c r="G1003">
        <f>COUNTIF('Metrics - Articles'!E1002,"*Corporate*")</f>
        <v>0</v>
      </c>
      <c r="I1003" s="53">
        <f t="shared" si="16"/>
        <v>0</v>
      </c>
    </row>
  </sheetData>
  <autoFilter ref="B8:M1003"/>
  <mergeCells count="1">
    <mergeCell ref="K1:K5"/>
  </mergeCells>
  <pageMargins left="0.7" right="0.7" top="0.75" bottom="0.75" header="0.3" footer="0.3"/>
  <pageSetup orientation="portrait" horizontalDpi="200" verticalDpi="2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>
    <tabColor theme="4" tint="0.59999389629810485"/>
  </sheetPr>
  <dimension ref="B1:M1003"/>
  <sheetViews>
    <sheetView workbookViewId="0">
      <selection activeCell="G300" sqref="G300:G1003"/>
    </sheetView>
  </sheetViews>
  <sheetFormatPr baseColWidth="10" defaultColWidth="9.140625" defaultRowHeight="15" x14ac:dyDescent="0.25"/>
  <cols>
    <col min="2" max="2" width="12.140625" customWidth="1"/>
    <col min="12" max="12" width="13.85546875" bestFit="1" customWidth="1"/>
    <col min="13" max="13" width="9.7109375" bestFit="1" customWidth="1"/>
  </cols>
  <sheetData>
    <row r="1" spans="2:13" ht="18.75" x14ac:dyDescent="0.3">
      <c r="K1" s="169" t="s">
        <v>500</v>
      </c>
      <c r="L1" s="100" t="s">
        <v>25</v>
      </c>
      <c r="M1" s="105">
        <f>C8/I8</f>
        <v>9.5890410958904104E-2</v>
      </c>
    </row>
    <row r="2" spans="2:13" ht="18.75" x14ac:dyDescent="0.3">
      <c r="K2" s="169"/>
      <c r="L2" s="100" t="s">
        <v>22</v>
      </c>
      <c r="M2" s="105">
        <f>D8/I8</f>
        <v>9.5890410958904104E-2</v>
      </c>
    </row>
    <row r="3" spans="2:13" ht="18.75" x14ac:dyDescent="0.3">
      <c r="K3" s="169"/>
      <c r="L3" s="100" t="s">
        <v>23</v>
      </c>
      <c r="M3" s="105">
        <f>E8/I8</f>
        <v>4.1095890410958902E-2</v>
      </c>
    </row>
    <row r="4" spans="2:13" ht="18.75" x14ac:dyDescent="0.3">
      <c r="K4" s="169"/>
      <c r="L4" s="100" t="s">
        <v>24</v>
      </c>
      <c r="M4" s="105">
        <f>F8/I8</f>
        <v>0.35616438356164382</v>
      </c>
    </row>
    <row r="5" spans="2:13" ht="18.75" x14ac:dyDescent="0.3">
      <c r="K5" s="169"/>
      <c r="L5" s="100" t="s">
        <v>361</v>
      </c>
      <c r="M5" s="105">
        <f>G8/I8</f>
        <v>0.41095890410958902</v>
      </c>
    </row>
    <row r="6" spans="2:13" ht="15.75" thickBot="1" x14ac:dyDescent="0.3"/>
    <row r="7" spans="2:13" ht="56.25" thickBot="1" x14ac:dyDescent="0.3">
      <c r="B7" s="49" t="s">
        <v>479</v>
      </c>
      <c r="C7" s="50" t="s">
        <v>25</v>
      </c>
      <c r="D7" s="50" t="s">
        <v>22</v>
      </c>
      <c r="E7" s="50" t="s">
        <v>23</v>
      </c>
      <c r="F7" s="50" t="s">
        <v>24</v>
      </c>
      <c r="G7" s="50" t="s">
        <v>361</v>
      </c>
      <c r="I7" s="51" t="s">
        <v>480</v>
      </c>
    </row>
    <row r="8" spans="2:13" ht="15.75" thickBot="1" x14ac:dyDescent="0.3">
      <c r="B8" s="49" t="s">
        <v>481</v>
      </c>
      <c r="C8" s="123">
        <f>SUBTOTAL(9,C9:C1157)</f>
        <v>7</v>
      </c>
      <c r="D8" s="123">
        <f t="shared" ref="D8:G8" si="0">SUBTOTAL(9,D9:D1157)</f>
        <v>7</v>
      </c>
      <c r="E8" s="123">
        <f t="shared" si="0"/>
        <v>3</v>
      </c>
      <c r="F8" s="123">
        <f t="shared" si="0"/>
        <v>26</v>
      </c>
      <c r="G8" s="123">
        <f t="shared" si="0"/>
        <v>30</v>
      </c>
      <c r="H8" s="125"/>
      <c r="I8" s="124">
        <f t="shared" ref="I8:I71" si="1">SUM(C8:H8)</f>
        <v>73</v>
      </c>
    </row>
    <row r="9" spans="2:13" hidden="1" x14ac:dyDescent="0.25">
      <c r="B9" s="48">
        <f>+'Metrics - Articles'!C8</f>
        <v>42005</v>
      </c>
      <c r="C9">
        <f>COUNTIF('Metrics - Articles'!E8,"*Sports*")</f>
        <v>0</v>
      </c>
      <c r="D9">
        <f>COUNTIF('Metrics - Articles'!E8,"*Youth*")</f>
        <v>0</v>
      </c>
      <c r="E9">
        <f>COUNTIF('Metrics - Articles'!E8,"*Healthcare*")</f>
        <v>0</v>
      </c>
      <c r="F9">
        <f>COUNTIF('Metrics - Articles'!E8,"*Innovation")</f>
        <v>0</v>
      </c>
      <c r="G9">
        <f>COUNTIF('Metrics - Articles'!E8,"*Corporate*")</f>
        <v>1</v>
      </c>
      <c r="I9" s="53">
        <f t="shared" si="1"/>
        <v>1</v>
      </c>
    </row>
    <row r="10" spans="2:13" hidden="1" x14ac:dyDescent="0.25">
      <c r="B10" s="48">
        <f>+'Metrics - Articles'!C9</f>
        <v>42005</v>
      </c>
      <c r="C10">
        <f>COUNTIF('Metrics - Articles'!E9,"*Sports*")</f>
        <v>1</v>
      </c>
      <c r="D10">
        <f>COUNTIF('Metrics - Articles'!E9,"*Youth*")</f>
        <v>0</v>
      </c>
      <c r="E10">
        <f>COUNTIF('Metrics - Articles'!E9,"*Healthcare*")</f>
        <v>0</v>
      </c>
      <c r="F10">
        <f>COUNTIF('Metrics - Articles'!E9,"*Innovation")</f>
        <v>0</v>
      </c>
      <c r="G10">
        <f>COUNTIF('Metrics - Articles'!E9,"*Corporate*")</f>
        <v>0</v>
      </c>
      <c r="I10" s="53">
        <f t="shared" si="1"/>
        <v>1</v>
      </c>
    </row>
    <row r="11" spans="2:13" hidden="1" x14ac:dyDescent="0.25">
      <c r="B11" s="48">
        <f>+'Metrics - Articles'!C10</f>
        <v>42005</v>
      </c>
      <c r="C11">
        <f>COUNTIF('Metrics - Articles'!E10,"*Sports*")</f>
        <v>0</v>
      </c>
      <c r="D11">
        <f>COUNTIF('Metrics - Articles'!E10,"*Youth*")</f>
        <v>0</v>
      </c>
      <c r="E11">
        <f>COUNTIF('Metrics - Articles'!E10,"*Healthcare*")</f>
        <v>0</v>
      </c>
      <c r="F11">
        <f>COUNTIF('Metrics - Articles'!E10,"*Innovation")</f>
        <v>1</v>
      </c>
      <c r="G11">
        <f>COUNTIF('Metrics - Articles'!E10,"*Corporate*")</f>
        <v>0</v>
      </c>
      <c r="I11" s="53">
        <f t="shared" si="1"/>
        <v>1</v>
      </c>
    </row>
    <row r="12" spans="2:13" hidden="1" x14ac:dyDescent="0.25">
      <c r="B12" s="48">
        <f>+'Metrics - Articles'!C11</f>
        <v>42006</v>
      </c>
      <c r="C12">
        <f>COUNTIF('Metrics - Articles'!E11,"*Sports*")</f>
        <v>0</v>
      </c>
      <c r="D12">
        <f>COUNTIF('Metrics - Articles'!E11,"*Youth*")</f>
        <v>0</v>
      </c>
      <c r="E12">
        <f>COUNTIF('Metrics - Articles'!E11,"*Healthcare*")</f>
        <v>0</v>
      </c>
      <c r="F12">
        <f>COUNTIF('Metrics - Articles'!E11,"*Innovation")</f>
        <v>1</v>
      </c>
      <c r="G12">
        <f>COUNTIF('Metrics - Articles'!E11,"*Corporate*")</f>
        <v>0</v>
      </c>
      <c r="I12" s="53">
        <f t="shared" si="1"/>
        <v>1</v>
      </c>
    </row>
    <row r="13" spans="2:13" hidden="1" x14ac:dyDescent="0.25">
      <c r="B13" s="48">
        <f>+'Metrics - Articles'!C12</f>
        <v>42009</v>
      </c>
      <c r="C13">
        <f>COUNTIF('Metrics - Articles'!E12,"*Sports*")</f>
        <v>0</v>
      </c>
      <c r="D13">
        <f>COUNTIF('Metrics - Articles'!E12,"*Youth*")</f>
        <v>0</v>
      </c>
      <c r="E13">
        <f>COUNTIF('Metrics - Articles'!E12,"*Healthcare*")</f>
        <v>0</v>
      </c>
      <c r="F13">
        <f>COUNTIF('Metrics - Articles'!E12,"*Innovation")</f>
        <v>1</v>
      </c>
      <c r="G13">
        <f>COUNTIF('Metrics - Articles'!E12,"*Corporate*")</f>
        <v>0</v>
      </c>
      <c r="I13" s="53">
        <f t="shared" si="1"/>
        <v>1</v>
      </c>
    </row>
    <row r="14" spans="2:13" hidden="1" x14ac:dyDescent="0.25">
      <c r="B14" s="48">
        <f>+'Metrics - Articles'!C13</f>
        <v>42010</v>
      </c>
      <c r="C14">
        <f>COUNTIF('Metrics - Articles'!E13,"*Sports*")</f>
        <v>0</v>
      </c>
      <c r="D14">
        <f>COUNTIF('Metrics - Articles'!E13,"*Youth*")</f>
        <v>0</v>
      </c>
      <c r="E14">
        <f>COUNTIF('Metrics - Articles'!E13,"*Healthcare*")</f>
        <v>0</v>
      </c>
      <c r="F14">
        <f>COUNTIF('Metrics - Articles'!E13,"*Innovation")</f>
        <v>1</v>
      </c>
      <c r="G14">
        <f>COUNTIF('Metrics - Articles'!E13,"*Corporate*")</f>
        <v>0</v>
      </c>
      <c r="I14" s="53">
        <f t="shared" si="1"/>
        <v>1</v>
      </c>
    </row>
    <row r="15" spans="2:13" hidden="1" x14ac:dyDescent="0.25">
      <c r="B15" s="48">
        <f>+'Metrics - Articles'!C14</f>
        <v>42013</v>
      </c>
      <c r="C15">
        <f>COUNTIF('Metrics - Articles'!E14,"*Sports*")</f>
        <v>0</v>
      </c>
      <c r="D15">
        <f>COUNTIF('Metrics - Articles'!E14,"*Youth*")</f>
        <v>0</v>
      </c>
      <c r="E15">
        <f>COUNTIF('Metrics - Articles'!E14,"*Healthcare*")</f>
        <v>0</v>
      </c>
      <c r="F15">
        <f>COUNTIF('Metrics - Articles'!E14,"*Innovation")</f>
        <v>0</v>
      </c>
      <c r="G15">
        <f>COUNTIF('Metrics - Articles'!E14,"*Corporate*")</f>
        <v>1</v>
      </c>
      <c r="I15" s="53">
        <f t="shared" si="1"/>
        <v>1</v>
      </c>
    </row>
    <row r="16" spans="2:13" hidden="1" x14ac:dyDescent="0.25">
      <c r="B16" s="48">
        <f>+'Metrics - Articles'!C15</f>
        <v>42013</v>
      </c>
      <c r="C16">
        <f>COUNTIF('Metrics - Articles'!E15,"*Sports*")</f>
        <v>0</v>
      </c>
      <c r="D16">
        <f>COUNTIF('Metrics - Articles'!E15,"*Youth*")</f>
        <v>0</v>
      </c>
      <c r="E16">
        <f>COUNTIF('Metrics - Articles'!E15,"*Healthcare*")</f>
        <v>0</v>
      </c>
      <c r="F16">
        <f>COUNTIF('Metrics - Articles'!E15,"*Innovation")</f>
        <v>0</v>
      </c>
      <c r="G16">
        <f>COUNTIF('Metrics - Articles'!E15,"*Corporate*")</f>
        <v>1</v>
      </c>
      <c r="I16" s="53">
        <f t="shared" si="1"/>
        <v>1</v>
      </c>
    </row>
    <row r="17" spans="2:9" hidden="1" x14ac:dyDescent="0.25">
      <c r="B17" s="48">
        <f>+'Metrics - Articles'!C16</f>
        <v>42016</v>
      </c>
      <c r="C17">
        <f>COUNTIF('Metrics - Articles'!E16,"*Sports*")</f>
        <v>0</v>
      </c>
      <c r="D17">
        <f>COUNTIF('Metrics - Articles'!E16,"*Youth*")</f>
        <v>0</v>
      </c>
      <c r="E17">
        <f>COUNTIF('Metrics - Articles'!E16,"*Healthcare*")</f>
        <v>0</v>
      </c>
      <c r="F17">
        <f>COUNTIF('Metrics - Articles'!E16,"*Innovation")</f>
        <v>0</v>
      </c>
      <c r="G17">
        <f>COUNTIF('Metrics - Articles'!E16,"*Corporate*")</f>
        <v>1</v>
      </c>
      <c r="I17" s="53">
        <f t="shared" si="1"/>
        <v>1</v>
      </c>
    </row>
    <row r="18" spans="2:9" hidden="1" x14ac:dyDescent="0.25">
      <c r="B18" s="48">
        <f>+'Metrics - Articles'!C17</f>
        <v>42016</v>
      </c>
      <c r="C18">
        <f>COUNTIF('Metrics - Articles'!E17,"*Sports*")</f>
        <v>0</v>
      </c>
      <c r="D18">
        <f>COUNTIF('Metrics - Articles'!E17,"*Youth*")</f>
        <v>0</v>
      </c>
      <c r="E18">
        <f>COUNTIF('Metrics - Articles'!E17,"*Healthcare*")</f>
        <v>0</v>
      </c>
      <c r="F18">
        <f>COUNTIF('Metrics - Articles'!E17,"*Innovation")</f>
        <v>1</v>
      </c>
      <c r="G18">
        <f>COUNTIF('Metrics - Articles'!E17,"*Corporate*")</f>
        <v>0</v>
      </c>
      <c r="I18" s="53">
        <f t="shared" si="1"/>
        <v>1</v>
      </c>
    </row>
    <row r="19" spans="2:9" hidden="1" x14ac:dyDescent="0.25">
      <c r="B19" s="48">
        <f>+'Metrics - Articles'!C18</f>
        <v>42019</v>
      </c>
      <c r="C19">
        <f>COUNTIF('Metrics - Articles'!E18,"*Sports*")</f>
        <v>0</v>
      </c>
      <c r="D19">
        <f>COUNTIF('Metrics - Articles'!E18,"*Youth*")</f>
        <v>0</v>
      </c>
      <c r="E19">
        <f>COUNTIF('Metrics - Articles'!E18,"*Healthcare*")</f>
        <v>0</v>
      </c>
      <c r="F19">
        <f>COUNTIF('Metrics - Articles'!E18,"*Innovation")</f>
        <v>0</v>
      </c>
      <c r="G19">
        <f>COUNTIF('Metrics - Articles'!E18,"*Corporate*")</f>
        <v>1</v>
      </c>
      <c r="I19" s="53">
        <f t="shared" si="1"/>
        <v>1</v>
      </c>
    </row>
    <row r="20" spans="2:9" hidden="1" x14ac:dyDescent="0.25">
      <c r="B20" s="48">
        <f>+'Metrics - Articles'!C19</f>
        <v>42019</v>
      </c>
      <c r="C20">
        <f>COUNTIF('Metrics - Articles'!E19,"*Sports*")</f>
        <v>0</v>
      </c>
      <c r="D20">
        <f>COUNTIF('Metrics - Articles'!E19,"*Youth*")</f>
        <v>0</v>
      </c>
      <c r="E20">
        <f>COUNTIF('Metrics - Articles'!E19,"*Healthcare*")</f>
        <v>0</v>
      </c>
      <c r="F20">
        <f>COUNTIF('Metrics - Articles'!E19,"*Innovation")</f>
        <v>0</v>
      </c>
      <c r="G20">
        <f>COUNTIF('Metrics - Articles'!E19,"*Corporate*")</f>
        <v>1</v>
      </c>
      <c r="I20" s="53">
        <f t="shared" si="1"/>
        <v>1</v>
      </c>
    </row>
    <row r="21" spans="2:9" hidden="1" x14ac:dyDescent="0.25">
      <c r="B21" s="48">
        <f>+'Metrics - Articles'!C20</f>
        <v>42020</v>
      </c>
      <c r="C21">
        <f>COUNTIF('Metrics - Articles'!E20,"*Sports*")</f>
        <v>0</v>
      </c>
      <c r="D21">
        <f>COUNTIF('Metrics - Articles'!E20,"*Youth*")</f>
        <v>0</v>
      </c>
      <c r="E21">
        <f>COUNTIF('Metrics - Articles'!E20,"*Healthcare*")</f>
        <v>0</v>
      </c>
      <c r="F21">
        <f>COUNTIF('Metrics - Articles'!E20,"*Innovation")</f>
        <v>0</v>
      </c>
      <c r="G21">
        <f>COUNTIF('Metrics - Articles'!E20,"*Corporate*")</f>
        <v>1</v>
      </c>
      <c r="I21" s="53">
        <f t="shared" si="1"/>
        <v>1</v>
      </c>
    </row>
    <row r="22" spans="2:9" hidden="1" x14ac:dyDescent="0.25">
      <c r="B22" s="48">
        <f>+'Metrics - Articles'!C21</f>
        <v>42023</v>
      </c>
      <c r="C22">
        <f>COUNTIF('Metrics - Articles'!E21,"*Sports*")</f>
        <v>0</v>
      </c>
      <c r="D22">
        <f>COUNTIF('Metrics - Articles'!E21,"*Youth*")</f>
        <v>0</v>
      </c>
      <c r="E22">
        <f>COUNTIF('Metrics - Articles'!E21,"*Healthcare*")</f>
        <v>0</v>
      </c>
      <c r="F22">
        <f>COUNTIF('Metrics - Articles'!E21,"*Innovation")</f>
        <v>0</v>
      </c>
      <c r="G22">
        <f>COUNTIF('Metrics - Articles'!E21,"*Corporate*")</f>
        <v>1</v>
      </c>
      <c r="I22" s="53">
        <f t="shared" si="1"/>
        <v>1</v>
      </c>
    </row>
    <row r="23" spans="2:9" hidden="1" x14ac:dyDescent="0.25">
      <c r="B23" s="48">
        <f>+'Metrics - Articles'!C22</f>
        <v>42023</v>
      </c>
      <c r="C23">
        <f>COUNTIF('Metrics - Articles'!E22,"*Sports*")</f>
        <v>0</v>
      </c>
      <c r="D23">
        <f>COUNTIF('Metrics - Articles'!E22,"*Youth*")</f>
        <v>0</v>
      </c>
      <c r="E23">
        <f>COUNTIF('Metrics - Articles'!E22,"*Healthcare*")</f>
        <v>0</v>
      </c>
      <c r="F23">
        <f>COUNTIF('Metrics - Articles'!E22,"*Innovation")</f>
        <v>0</v>
      </c>
      <c r="G23">
        <f>COUNTIF('Metrics - Articles'!E22,"*Corporate*")</f>
        <v>1</v>
      </c>
      <c r="I23" s="53">
        <f t="shared" si="1"/>
        <v>1</v>
      </c>
    </row>
    <row r="24" spans="2:9" hidden="1" x14ac:dyDescent="0.25">
      <c r="B24" s="48">
        <f>+'Metrics - Articles'!C23</f>
        <v>42024</v>
      </c>
      <c r="C24">
        <f>COUNTIF('Metrics - Articles'!E23,"*Sports*")</f>
        <v>0</v>
      </c>
      <c r="D24">
        <f>COUNTIF('Metrics - Articles'!E23,"*Youth*")</f>
        <v>0</v>
      </c>
      <c r="E24">
        <f>COUNTIF('Metrics - Articles'!E23,"*Healthcare*")</f>
        <v>0</v>
      </c>
      <c r="F24">
        <f>COUNTIF('Metrics - Articles'!E23,"*Innovation")</f>
        <v>1</v>
      </c>
      <c r="G24">
        <f>COUNTIF('Metrics - Articles'!E23,"*Corporate*")</f>
        <v>0</v>
      </c>
      <c r="I24" s="53">
        <f t="shared" si="1"/>
        <v>1</v>
      </c>
    </row>
    <row r="25" spans="2:9" hidden="1" x14ac:dyDescent="0.25">
      <c r="B25" s="48">
        <f>+'Metrics - Articles'!C24</f>
        <v>42024</v>
      </c>
      <c r="C25">
        <f>COUNTIF('Metrics - Articles'!E24,"*Sports*")</f>
        <v>0</v>
      </c>
      <c r="D25">
        <f>COUNTIF('Metrics - Articles'!E24,"*Youth*")</f>
        <v>0</v>
      </c>
      <c r="E25">
        <f>COUNTIF('Metrics - Articles'!E24,"*Healthcare*")</f>
        <v>0</v>
      </c>
      <c r="F25">
        <f>COUNTIF('Metrics - Articles'!E24,"*Innovation")</f>
        <v>1</v>
      </c>
      <c r="G25">
        <f>COUNTIF('Metrics - Articles'!E24,"*Corporate*")</f>
        <v>0</v>
      </c>
      <c r="I25" s="53">
        <f t="shared" si="1"/>
        <v>1</v>
      </c>
    </row>
    <row r="26" spans="2:9" hidden="1" x14ac:dyDescent="0.25">
      <c r="B26" s="48">
        <f>+'Metrics - Articles'!C25</f>
        <v>42025</v>
      </c>
      <c r="C26">
        <f>COUNTIF('Metrics - Articles'!E25,"*Sports*")</f>
        <v>0</v>
      </c>
      <c r="D26">
        <f>COUNTIF('Metrics - Articles'!E25,"*Youth*")</f>
        <v>0</v>
      </c>
      <c r="E26">
        <f>COUNTIF('Metrics - Articles'!E25,"*Healthcare*")</f>
        <v>0</v>
      </c>
      <c r="F26">
        <f>COUNTIF('Metrics - Articles'!E25,"*Innovation")</f>
        <v>1</v>
      </c>
      <c r="G26">
        <f>COUNTIF('Metrics - Articles'!E25,"*Corporate*")</f>
        <v>0</v>
      </c>
      <c r="I26" s="53">
        <f t="shared" si="1"/>
        <v>1</v>
      </c>
    </row>
    <row r="27" spans="2:9" hidden="1" x14ac:dyDescent="0.25">
      <c r="B27" s="48">
        <f>+'Metrics - Articles'!C26</f>
        <v>42025</v>
      </c>
      <c r="C27">
        <f>COUNTIF('Metrics - Articles'!E26,"*Sports*")</f>
        <v>0</v>
      </c>
      <c r="D27">
        <f>COUNTIF('Metrics - Articles'!E26,"*Youth*")</f>
        <v>0</v>
      </c>
      <c r="E27">
        <f>COUNTIF('Metrics - Articles'!E26,"*Healthcare*")</f>
        <v>0</v>
      </c>
      <c r="F27">
        <f>COUNTIF('Metrics - Articles'!E26,"*Innovation")</f>
        <v>0</v>
      </c>
      <c r="G27">
        <f>COUNTIF('Metrics - Articles'!E26,"*Corporate*")</f>
        <v>1</v>
      </c>
      <c r="I27" s="53">
        <f t="shared" si="1"/>
        <v>1</v>
      </c>
    </row>
    <row r="28" spans="2:9" hidden="1" x14ac:dyDescent="0.25">
      <c r="B28" s="48">
        <f>+'Metrics - Articles'!C27</f>
        <v>42026</v>
      </c>
      <c r="C28">
        <f>COUNTIF('Metrics - Articles'!E27,"*Sports*")</f>
        <v>0</v>
      </c>
      <c r="D28">
        <f>COUNTIF('Metrics - Articles'!E27,"*Youth*")</f>
        <v>0</v>
      </c>
      <c r="E28">
        <f>COUNTIF('Metrics - Articles'!E27,"*Healthcare*")</f>
        <v>0</v>
      </c>
      <c r="F28">
        <f>COUNTIF('Metrics - Articles'!E27,"*Innovation")</f>
        <v>1</v>
      </c>
      <c r="G28">
        <f>COUNTIF('Metrics - Articles'!E27,"*Corporate*")</f>
        <v>0</v>
      </c>
      <c r="I28" s="53">
        <f t="shared" si="1"/>
        <v>1</v>
      </c>
    </row>
    <row r="29" spans="2:9" hidden="1" x14ac:dyDescent="0.25">
      <c r="B29" s="48">
        <f>+'Metrics - Articles'!C28</f>
        <v>42027</v>
      </c>
      <c r="C29">
        <f>COUNTIF('Metrics - Articles'!E28,"*Sports*")</f>
        <v>0</v>
      </c>
      <c r="D29">
        <f>COUNTIF('Metrics - Articles'!E28,"*Youth*")</f>
        <v>0</v>
      </c>
      <c r="E29">
        <f>COUNTIF('Metrics - Articles'!E28,"*Healthcare*")</f>
        <v>0</v>
      </c>
      <c r="F29">
        <f>COUNTIF('Metrics - Articles'!E28,"*Innovation")</f>
        <v>0</v>
      </c>
      <c r="G29">
        <f>COUNTIF('Metrics - Articles'!E28,"*Corporate*")</f>
        <v>1</v>
      </c>
      <c r="I29" s="53">
        <f t="shared" si="1"/>
        <v>1</v>
      </c>
    </row>
    <row r="30" spans="2:9" hidden="1" x14ac:dyDescent="0.25">
      <c r="B30" s="48">
        <f>+'Metrics - Articles'!C29</f>
        <v>42027</v>
      </c>
      <c r="C30">
        <f>COUNTIF('Metrics - Articles'!E29,"*Sports*")</f>
        <v>1</v>
      </c>
      <c r="D30">
        <f>COUNTIF('Metrics - Articles'!E29,"*Youth*")</f>
        <v>0</v>
      </c>
      <c r="E30">
        <f>COUNTIF('Metrics - Articles'!E29,"*Healthcare*")</f>
        <v>0</v>
      </c>
      <c r="F30">
        <f>COUNTIF('Metrics - Articles'!E29,"*Innovation")</f>
        <v>0</v>
      </c>
      <c r="G30">
        <f>COUNTIF('Metrics - Articles'!E29,"*Corporate*")</f>
        <v>0</v>
      </c>
      <c r="I30" s="53">
        <f t="shared" si="1"/>
        <v>1</v>
      </c>
    </row>
    <row r="31" spans="2:9" hidden="1" x14ac:dyDescent="0.25">
      <c r="B31" s="48">
        <f>+'Metrics - Articles'!C30</f>
        <v>42027</v>
      </c>
      <c r="C31">
        <f>COUNTIF('Metrics - Articles'!E30,"*Sports*")</f>
        <v>0</v>
      </c>
      <c r="D31">
        <f>COUNTIF('Metrics - Articles'!E30,"*Youth*")</f>
        <v>0</v>
      </c>
      <c r="E31">
        <f>COUNTIF('Metrics - Articles'!E30,"*Healthcare*")</f>
        <v>0</v>
      </c>
      <c r="F31">
        <f>COUNTIF('Metrics - Articles'!E30,"*Innovation")</f>
        <v>1</v>
      </c>
      <c r="G31">
        <f>COUNTIF('Metrics - Articles'!E30,"*Corporate*")</f>
        <v>0</v>
      </c>
      <c r="I31" s="53">
        <f t="shared" si="1"/>
        <v>1</v>
      </c>
    </row>
    <row r="32" spans="2:9" hidden="1" x14ac:dyDescent="0.25">
      <c r="B32" s="48">
        <f>+'Metrics - Articles'!C31</f>
        <v>42030</v>
      </c>
      <c r="C32">
        <f>COUNTIF('Metrics - Articles'!E31,"*Sports*")</f>
        <v>0</v>
      </c>
      <c r="D32">
        <f>COUNTIF('Metrics - Articles'!E31,"*Youth*")</f>
        <v>0</v>
      </c>
      <c r="E32">
        <f>COUNTIF('Metrics - Articles'!E31,"*Healthcare*")</f>
        <v>0</v>
      </c>
      <c r="F32">
        <f>COUNTIF('Metrics - Articles'!E31,"*Innovation")</f>
        <v>1</v>
      </c>
      <c r="G32">
        <f>COUNTIF('Metrics - Articles'!E31,"*Corporate*")</f>
        <v>0</v>
      </c>
      <c r="I32" s="53">
        <f t="shared" si="1"/>
        <v>1</v>
      </c>
    </row>
    <row r="33" spans="2:9" hidden="1" x14ac:dyDescent="0.25">
      <c r="B33" s="48">
        <f>+'Metrics - Articles'!C32</f>
        <v>42031</v>
      </c>
      <c r="C33">
        <f>COUNTIF('Metrics - Articles'!E32,"*Sports*")</f>
        <v>0</v>
      </c>
      <c r="D33">
        <f>COUNTIF('Metrics - Articles'!E32,"*Youth*")</f>
        <v>0</v>
      </c>
      <c r="E33">
        <f>COUNTIF('Metrics - Articles'!E32,"*Healthcare*")</f>
        <v>0</v>
      </c>
      <c r="F33">
        <f>COUNTIF('Metrics - Articles'!E32,"*Innovation")</f>
        <v>0</v>
      </c>
      <c r="G33">
        <f>COUNTIF('Metrics - Articles'!E32,"*Corporate*")</f>
        <v>1</v>
      </c>
      <c r="I33" s="53">
        <f t="shared" si="1"/>
        <v>1</v>
      </c>
    </row>
    <row r="34" spans="2:9" hidden="1" x14ac:dyDescent="0.25">
      <c r="B34" s="48">
        <f>+'Metrics - Articles'!C33</f>
        <v>42031</v>
      </c>
      <c r="C34">
        <f>COUNTIF('Metrics - Articles'!E33,"*Sports*")</f>
        <v>0</v>
      </c>
      <c r="D34">
        <f>COUNTIF('Metrics - Articles'!E33,"*Youth*")</f>
        <v>0</v>
      </c>
      <c r="E34">
        <f>COUNTIF('Metrics - Articles'!E33,"*Healthcare*")</f>
        <v>0</v>
      </c>
      <c r="F34">
        <f>COUNTIF('Metrics - Articles'!E33,"*Innovation")</f>
        <v>1</v>
      </c>
      <c r="G34">
        <f>COUNTIF('Metrics - Articles'!E33,"*Corporate*")</f>
        <v>0</v>
      </c>
      <c r="I34" s="53">
        <f t="shared" si="1"/>
        <v>1</v>
      </c>
    </row>
    <row r="35" spans="2:9" hidden="1" x14ac:dyDescent="0.25">
      <c r="B35" s="48">
        <f>+'Metrics - Articles'!C34</f>
        <v>42032</v>
      </c>
      <c r="C35">
        <f>COUNTIF('Metrics - Articles'!E34,"*Sports*")</f>
        <v>0</v>
      </c>
      <c r="D35">
        <f>COUNTIF('Metrics - Articles'!E34,"*Youth*")</f>
        <v>0</v>
      </c>
      <c r="E35">
        <f>COUNTIF('Metrics - Articles'!E34,"*Healthcare*")</f>
        <v>0</v>
      </c>
      <c r="F35">
        <f>COUNTIF('Metrics - Articles'!E34,"*Innovation")</f>
        <v>1</v>
      </c>
      <c r="G35">
        <f>COUNTIF('Metrics - Articles'!E34,"*Corporate*")</f>
        <v>0</v>
      </c>
      <c r="I35" s="53">
        <f t="shared" si="1"/>
        <v>1</v>
      </c>
    </row>
    <row r="36" spans="2:9" hidden="1" x14ac:dyDescent="0.25">
      <c r="B36" s="48">
        <f>+'Metrics - Articles'!C35</f>
        <v>42032</v>
      </c>
      <c r="C36">
        <f>COUNTIF('Metrics - Articles'!E35,"*Sports*")</f>
        <v>0</v>
      </c>
      <c r="D36">
        <f>COUNTIF('Metrics - Articles'!E35,"*Youth*")</f>
        <v>0</v>
      </c>
      <c r="E36">
        <f>COUNTIF('Metrics - Articles'!E35,"*Healthcare*")</f>
        <v>0</v>
      </c>
      <c r="F36">
        <f>COUNTIF('Metrics - Articles'!E35,"*Innovation")</f>
        <v>0</v>
      </c>
      <c r="G36">
        <f>COUNTIF('Metrics - Articles'!E35,"*Corporate*")</f>
        <v>1</v>
      </c>
      <c r="I36" s="53">
        <f t="shared" si="1"/>
        <v>1</v>
      </c>
    </row>
    <row r="37" spans="2:9" hidden="1" x14ac:dyDescent="0.25">
      <c r="B37" s="48">
        <f>+'Metrics - Articles'!C36</f>
        <v>42033</v>
      </c>
      <c r="C37">
        <f>COUNTIF('Metrics - Articles'!E36,"*Sports*")</f>
        <v>0</v>
      </c>
      <c r="D37">
        <f>COUNTIF('Metrics - Articles'!E36,"*Youth*")</f>
        <v>0</v>
      </c>
      <c r="E37">
        <f>COUNTIF('Metrics - Articles'!E36,"*Healthcare*")</f>
        <v>1</v>
      </c>
      <c r="F37">
        <f>COUNTIF('Metrics - Articles'!E36,"*Innovation")</f>
        <v>0</v>
      </c>
      <c r="G37">
        <f>COUNTIF('Metrics - Articles'!E36,"*Corporate*")</f>
        <v>0</v>
      </c>
      <c r="I37" s="53">
        <f t="shared" si="1"/>
        <v>1</v>
      </c>
    </row>
    <row r="38" spans="2:9" hidden="1" x14ac:dyDescent="0.25">
      <c r="B38" s="48">
        <f>+'Metrics - Articles'!C37</f>
        <v>42033</v>
      </c>
      <c r="C38">
        <f>COUNTIF('Metrics - Articles'!E37,"*Sports*")</f>
        <v>0</v>
      </c>
      <c r="D38">
        <f>COUNTIF('Metrics - Articles'!E37,"*Youth*")</f>
        <v>0</v>
      </c>
      <c r="E38">
        <f>COUNTIF('Metrics - Articles'!E37,"*Healthcare*")</f>
        <v>0</v>
      </c>
      <c r="F38">
        <f>COUNTIF('Metrics - Articles'!E37,"*Innovation")</f>
        <v>1</v>
      </c>
      <c r="G38">
        <f>COUNTIF('Metrics - Articles'!E37,"*Corporate*")</f>
        <v>0</v>
      </c>
      <c r="I38" s="53">
        <f t="shared" si="1"/>
        <v>1</v>
      </c>
    </row>
    <row r="39" spans="2:9" hidden="1" x14ac:dyDescent="0.25">
      <c r="B39" s="48">
        <f>+'Metrics - Articles'!C38</f>
        <v>42034</v>
      </c>
      <c r="C39">
        <f>COUNTIF('Metrics - Articles'!E38,"*Sports*")</f>
        <v>0</v>
      </c>
      <c r="D39">
        <f>COUNTIF('Metrics - Articles'!E38,"*Youth*")</f>
        <v>1</v>
      </c>
      <c r="E39">
        <f>COUNTIF('Metrics - Articles'!E38,"*Healthcare*")</f>
        <v>0</v>
      </c>
      <c r="F39">
        <f>COUNTIF('Metrics - Articles'!E38,"*Innovation")</f>
        <v>0</v>
      </c>
      <c r="G39">
        <f>COUNTIF('Metrics - Articles'!E38,"*Corporate*")</f>
        <v>0</v>
      </c>
      <c r="I39" s="53">
        <f t="shared" si="1"/>
        <v>1</v>
      </c>
    </row>
    <row r="40" spans="2:9" hidden="1" x14ac:dyDescent="0.25">
      <c r="B40" s="48">
        <f>+'Metrics - Articles'!C39</f>
        <v>42036</v>
      </c>
      <c r="C40">
        <f>COUNTIF('Metrics - Articles'!E39,"*Sports*")</f>
        <v>0</v>
      </c>
      <c r="D40">
        <f>COUNTIF('Metrics - Articles'!E39,"*Youth*")</f>
        <v>0</v>
      </c>
      <c r="E40">
        <f>COUNTIF('Metrics - Articles'!E39,"*Healthcare*")</f>
        <v>0</v>
      </c>
      <c r="F40">
        <f>COUNTIF('Metrics - Articles'!E39,"*Innovation")</f>
        <v>1</v>
      </c>
      <c r="G40">
        <f>COUNTIF('Metrics - Articles'!E39,"*Corporate*")</f>
        <v>0</v>
      </c>
      <c r="I40" s="53">
        <f t="shared" si="1"/>
        <v>1</v>
      </c>
    </row>
    <row r="41" spans="2:9" hidden="1" x14ac:dyDescent="0.25">
      <c r="B41" s="48">
        <f>+'Metrics - Articles'!C40</f>
        <v>42037</v>
      </c>
      <c r="C41">
        <f>COUNTIF('Metrics - Articles'!E40,"*Sports*")</f>
        <v>0</v>
      </c>
      <c r="D41">
        <f>COUNTIF('Metrics - Articles'!E40,"*Youth*")</f>
        <v>0</v>
      </c>
      <c r="E41">
        <f>COUNTIF('Metrics - Articles'!E40,"*Healthcare*")</f>
        <v>0</v>
      </c>
      <c r="F41">
        <f>COUNTIF('Metrics - Articles'!E40,"*Innovation")</f>
        <v>0</v>
      </c>
      <c r="G41">
        <f>COUNTIF('Metrics - Articles'!E40,"*Corporate*")</f>
        <v>1</v>
      </c>
      <c r="I41" s="53">
        <f t="shared" si="1"/>
        <v>1</v>
      </c>
    </row>
    <row r="42" spans="2:9" hidden="1" x14ac:dyDescent="0.25">
      <c r="B42" s="48">
        <f>+'Metrics - Articles'!C41</f>
        <v>42038</v>
      </c>
      <c r="C42">
        <f>COUNTIF('Metrics - Articles'!E41,"*Sports*")</f>
        <v>0</v>
      </c>
      <c r="D42">
        <f>COUNTIF('Metrics - Articles'!E41,"*Youth*")</f>
        <v>0</v>
      </c>
      <c r="E42">
        <f>COUNTIF('Metrics - Articles'!E41,"*Healthcare*")</f>
        <v>0</v>
      </c>
      <c r="F42">
        <f>COUNTIF('Metrics - Articles'!E41,"*Innovation")</f>
        <v>1</v>
      </c>
      <c r="G42">
        <f>COUNTIF('Metrics - Articles'!E41,"*Corporate*")</f>
        <v>0</v>
      </c>
      <c r="I42" s="53">
        <f t="shared" si="1"/>
        <v>1</v>
      </c>
    </row>
    <row r="43" spans="2:9" hidden="1" x14ac:dyDescent="0.25">
      <c r="B43" s="48">
        <f>+'Metrics - Articles'!C42</f>
        <v>42038</v>
      </c>
      <c r="C43">
        <f>COUNTIF('Metrics - Articles'!E42,"*Sports*")</f>
        <v>0</v>
      </c>
      <c r="D43">
        <f>COUNTIF('Metrics - Articles'!E42,"*Youth*")</f>
        <v>0</v>
      </c>
      <c r="E43">
        <f>COUNTIF('Metrics - Articles'!E42,"*Healthcare*")</f>
        <v>1</v>
      </c>
      <c r="F43">
        <f>COUNTIF('Metrics - Articles'!E42,"*Innovation")</f>
        <v>0</v>
      </c>
      <c r="G43">
        <f>COUNTIF('Metrics - Articles'!E42,"*Corporate*")</f>
        <v>0</v>
      </c>
      <c r="I43" s="53">
        <f t="shared" si="1"/>
        <v>1</v>
      </c>
    </row>
    <row r="44" spans="2:9" hidden="1" x14ac:dyDescent="0.25">
      <c r="B44" s="48">
        <f>+'Metrics - Articles'!C43</f>
        <v>42038</v>
      </c>
      <c r="C44">
        <f>COUNTIF('Metrics - Articles'!E43,"*Sports*")</f>
        <v>0</v>
      </c>
      <c r="D44">
        <f>COUNTIF('Metrics - Articles'!E43,"*Youth*")</f>
        <v>0</v>
      </c>
      <c r="E44">
        <f>COUNTIF('Metrics - Articles'!E43,"*Healthcare*")</f>
        <v>0</v>
      </c>
      <c r="F44">
        <f>COUNTIF('Metrics - Articles'!E43,"*Innovation")</f>
        <v>1</v>
      </c>
      <c r="G44">
        <f>COUNTIF('Metrics - Articles'!E43,"*Corporate*")</f>
        <v>0</v>
      </c>
      <c r="I44" s="53">
        <f t="shared" si="1"/>
        <v>1</v>
      </c>
    </row>
    <row r="45" spans="2:9" hidden="1" x14ac:dyDescent="0.25">
      <c r="B45" s="48">
        <f>+'Metrics - Articles'!C44</f>
        <v>42038</v>
      </c>
      <c r="C45">
        <f>COUNTIF('Metrics - Articles'!E44,"*Sports*")</f>
        <v>0</v>
      </c>
      <c r="D45">
        <f>COUNTIF('Metrics - Articles'!E44,"*Youth*")</f>
        <v>0</v>
      </c>
      <c r="E45">
        <f>COUNTIF('Metrics - Articles'!E44,"*Healthcare*")</f>
        <v>0</v>
      </c>
      <c r="F45">
        <f>COUNTIF('Metrics - Articles'!E44,"*Innovation")</f>
        <v>1</v>
      </c>
      <c r="G45">
        <f>COUNTIF('Metrics - Articles'!E44,"*Corporate*")</f>
        <v>0</v>
      </c>
      <c r="I45" s="53">
        <f t="shared" si="1"/>
        <v>1</v>
      </c>
    </row>
    <row r="46" spans="2:9" hidden="1" x14ac:dyDescent="0.25">
      <c r="B46" s="48">
        <f>+'Metrics - Articles'!C45</f>
        <v>42040</v>
      </c>
      <c r="C46">
        <f>COUNTIF('Metrics - Articles'!E45,"*Sports*")</f>
        <v>0</v>
      </c>
      <c r="D46">
        <f>COUNTIF('Metrics - Articles'!E45,"*Youth*")</f>
        <v>0</v>
      </c>
      <c r="E46">
        <f>COUNTIF('Metrics - Articles'!E45,"*Healthcare*")</f>
        <v>0</v>
      </c>
      <c r="F46">
        <f>COUNTIF('Metrics - Articles'!E45,"*Innovation")</f>
        <v>1</v>
      </c>
      <c r="G46">
        <f>COUNTIF('Metrics - Articles'!E45,"*Corporate*")</f>
        <v>0</v>
      </c>
      <c r="I46" s="53">
        <f t="shared" si="1"/>
        <v>1</v>
      </c>
    </row>
    <row r="47" spans="2:9" hidden="1" x14ac:dyDescent="0.25">
      <c r="B47" s="48">
        <f>+'Metrics - Articles'!C46</f>
        <v>42040</v>
      </c>
      <c r="C47">
        <f>COUNTIF('Metrics - Articles'!E46,"*Sports*")</f>
        <v>0</v>
      </c>
      <c r="D47">
        <f>COUNTIF('Metrics - Articles'!E46,"*Youth*")</f>
        <v>1</v>
      </c>
      <c r="E47">
        <f>COUNTIF('Metrics - Articles'!E46,"*Healthcare*")</f>
        <v>0</v>
      </c>
      <c r="F47">
        <f>COUNTIF('Metrics - Articles'!E46,"*Innovation")</f>
        <v>0</v>
      </c>
      <c r="G47">
        <f>COUNTIF('Metrics - Articles'!E46,"*Corporate*")</f>
        <v>0</v>
      </c>
      <c r="I47" s="53">
        <f t="shared" si="1"/>
        <v>1</v>
      </c>
    </row>
    <row r="48" spans="2:9" hidden="1" x14ac:dyDescent="0.25">
      <c r="B48" s="48">
        <f>+'Metrics - Articles'!C47</f>
        <v>42041</v>
      </c>
      <c r="C48">
        <f>COUNTIF('Metrics - Articles'!E47,"*Sports*")</f>
        <v>0</v>
      </c>
      <c r="D48">
        <f>COUNTIF('Metrics - Articles'!E47,"*Youth*")</f>
        <v>0</v>
      </c>
      <c r="E48">
        <f>COUNTIF('Metrics - Articles'!E47,"*Healthcare*")</f>
        <v>0</v>
      </c>
      <c r="F48">
        <f>COUNTIF('Metrics - Articles'!E47,"*Innovation")</f>
        <v>0</v>
      </c>
      <c r="G48">
        <f>COUNTIF('Metrics - Articles'!E47,"*Corporate*")</f>
        <v>1</v>
      </c>
      <c r="I48" s="53">
        <f t="shared" si="1"/>
        <v>1</v>
      </c>
    </row>
    <row r="49" spans="2:9" hidden="1" x14ac:dyDescent="0.25">
      <c r="B49" s="48">
        <f>+'Metrics - Articles'!C48</f>
        <v>42046</v>
      </c>
      <c r="C49">
        <f>COUNTIF('Metrics - Articles'!E48,"*Sports*")</f>
        <v>0</v>
      </c>
      <c r="D49">
        <f>COUNTIF('Metrics - Articles'!E48,"*Youth*")</f>
        <v>0</v>
      </c>
      <c r="E49">
        <f>COUNTIF('Metrics - Articles'!E48,"*Healthcare*")</f>
        <v>0</v>
      </c>
      <c r="F49">
        <f>COUNTIF('Metrics - Articles'!E48,"*Innovation")</f>
        <v>1</v>
      </c>
      <c r="G49">
        <f>COUNTIF('Metrics - Articles'!E48,"*Corporate*")</f>
        <v>0</v>
      </c>
      <c r="I49" s="53">
        <f t="shared" si="1"/>
        <v>1</v>
      </c>
    </row>
    <row r="50" spans="2:9" hidden="1" x14ac:dyDescent="0.25">
      <c r="B50" s="48">
        <f>+'Metrics - Articles'!C49</f>
        <v>42047</v>
      </c>
      <c r="C50">
        <f>COUNTIF('Metrics - Articles'!E49,"*Sports*")</f>
        <v>0</v>
      </c>
      <c r="D50">
        <f>COUNTIF('Metrics - Articles'!E49,"*Youth*")</f>
        <v>0</v>
      </c>
      <c r="E50">
        <f>COUNTIF('Metrics - Articles'!E49,"*Healthcare*")</f>
        <v>0</v>
      </c>
      <c r="F50">
        <f>COUNTIF('Metrics - Articles'!E49,"*Innovation")</f>
        <v>0</v>
      </c>
      <c r="G50">
        <f>COUNTIF('Metrics - Articles'!E49,"*Corporate*")</f>
        <v>1</v>
      </c>
      <c r="I50" s="53">
        <f t="shared" si="1"/>
        <v>1</v>
      </c>
    </row>
    <row r="51" spans="2:9" hidden="1" x14ac:dyDescent="0.25">
      <c r="B51" s="48">
        <f>+'Metrics - Articles'!C50</f>
        <v>42047</v>
      </c>
      <c r="C51">
        <f>COUNTIF('Metrics - Articles'!E50,"*Sports*")</f>
        <v>0</v>
      </c>
      <c r="D51">
        <f>COUNTIF('Metrics - Articles'!E50,"*Youth*")</f>
        <v>1</v>
      </c>
      <c r="E51">
        <f>COUNTIF('Metrics - Articles'!E50,"*Healthcare*")</f>
        <v>0</v>
      </c>
      <c r="F51">
        <f>COUNTIF('Metrics - Articles'!E50,"*Innovation")</f>
        <v>0</v>
      </c>
      <c r="G51">
        <f>COUNTIF('Metrics - Articles'!E50,"*Corporate*")</f>
        <v>0</v>
      </c>
      <c r="I51" s="53">
        <f t="shared" si="1"/>
        <v>1</v>
      </c>
    </row>
    <row r="52" spans="2:9" hidden="1" x14ac:dyDescent="0.25">
      <c r="B52" s="48">
        <f>+'Metrics - Articles'!C51</f>
        <v>42048</v>
      </c>
      <c r="C52">
        <f>COUNTIF('Metrics - Articles'!E51,"*Sports*")</f>
        <v>0</v>
      </c>
      <c r="D52">
        <f>COUNTIF('Metrics - Articles'!E51,"*Youth*")</f>
        <v>0</v>
      </c>
      <c r="E52">
        <f>COUNTIF('Metrics - Articles'!E51,"*Healthcare*")</f>
        <v>0</v>
      </c>
      <c r="F52">
        <f>COUNTIF('Metrics - Articles'!E51,"*Innovation")</f>
        <v>0</v>
      </c>
      <c r="G52">
        <f>COUNTIF('Metrics - Articles'!E51,"*Corporate*")</f>
        <v>1</v>
      </c>
      <c r="I52" s="53">
        <f t="shared" si="1"/>
        <v>1</v>
      </c>
    </row>
    <row r="53" spans="2:9" hidden="1" x14ac:dyDescent="0.25">
      <c r="B53" s="48">
        <f>+'Metrics - Articles'!C52</f>
        <v>42048</v>
      </c>
      <c r="C53">
        <f>COUNTIF('Metrics - Articles'!E52,"*Sports*")</f>
        <v>0</v>
      </c>
      <c r="D53">
        <f>COUNTIF('Metrics - Articles'!E52,"*Youth*")</f>
        <v>0</v>
      </c>
      <c r="E53">
        <f>COUNTIF('Metrics - Articles'!E52,"*Healthcare*")</f>
        <v>0</v>
      </c>
      <c r="F53">
        <f>COUNTIF('Metrics - Articles'!E52,"*Innovation")</f>
        <v>0</v>
      </c>
      <c r="G53">
        <f>COUNTIF('Metrics - Articles'!E52,"*Corporate*")</f>
        <v>1</v>
      </c>
      <c r="I53" s="53">
        <f t="shared" si="1"/>
        <v>1</v>
      </c>
    </row>
    <row r="54" spans="2:9" hidden="1" x14ac:dyDescent="0.25">
      <c r="B54" s="48">
        <f>+'Metrics - Articles'!C53</f>
        <v>42051</v>
      </c>
      <c r="C54">
        <f>COUNTIF('Metrics - Articles'!E53,"*Sports*")</f>
        <v>0</v>
      </c>
      <c r="D54">
        <f>COUNTIF('Metrics - Articles'!E53,"*Youth*")</f>
        <v>0</v>
      </c>
      <c r="E54">
        <f>COUNTIF('Metrics - Articles'!E53,"*Healthcare*")</f>
        <v>1</v>
      </c>
      <c r="F54">
        <f>COUNTIF('Metrics - Articles'!E53,"*Innovation")</f>
        <v>0</v>
      </c>
      <c r="G54">
        <f>COUNTIF('Metrics - Articles'!E53,"*Corporate*")</f>
        <v>0</v>
      </c>
      <c r="I54" s="53">
        <f t="shared" si="1"/>
        <v>1</v>
      </c>
    </row>
    <row r="55" spans="2:9" hidden="1" x14ac:dyDescent="0.25">
      <c r="B55" s="48">
        <f>+'Metrics - Articles'!C54</f>
        <v>42051</v>
      </c>
      <c r="C55">
        <f>COUNTIF('Metrics - Articles'!E54,"*Sports*")</f>
        <v>0</v>
      </c>
      <c r="D55">
        <f>COUNTIF('Metrics - Articles'!E54,"*Youth*")</f>
        <v>0</v>
      </c>
      <c r="E55">
        <f>COUNTIF('Metrics - Articles'!E54,"*Healthcare*")</f>
        <v>0</v>
      </c>
      <c r="F55">
        <f>COUNTIF('Metrics - Articles'!E54,"*Innovation")</f>
        <v>1</v>
      </c>
      <c r="G55">
        <f>COUNTIF('Metrics - Articles'!E54,"*Corporate*")</f>
        <v>0</v>
      </c>
      <c r="I55" s="53">
        <f t="shared" si="1"/>
        <v>1</v>
      </c>
    </row>
    <row r="56" spans="2:9" hidden="1" x14ac:dyDescent="0.25">
      <c r="B56" s="48">
        <f>+'Metrics - Articles'!C55</f>
        <v>42051</v>
      </c>
      <c r="C56">
        <f>COUNTIF('Metrics - Articles'!E55,"*Sports*")</f>
        <v>1</v>
      </c>
      <c r="D56">
        <f>COUNTIF('Metrics - Articles'!E55,"*Youth*")</f>
        <v>0</v>
      </c>
      <c r="E56">
        <f>COUNTIF('Metrics - Articles'!E55,"*Healthcare*")</f>
        <v>0</v>
      </c>
      <c r="F56">
        <f>COUNTIF('Metrics - Articles'!E55,"*Innovation")</f>
        <v>0</v>
      </c>
      <c r="G56">
        <f>COUNTIF('Metrics - Articles'!E55,"*Corporate*")</f>
        <v>0</v>
      </c>
      <c r="I56" s="53">
        <f t="shared" si="1"/>
        <v>1</v>
      </c>
    </row>
    <row r="57" spans="2:9" hidden="1" x14ac:dyDescent="0.25">
      <c r="B57" s="48">
        <f>+'Metrics - Articles'!C56</f>
        <v>42052</v>
      </c>
      <c r="C57">
        <f>COUNTIF('Metrics - Articles'!E56,"*Sports*")</f>
        <v>0</v>
      </c>
      <c r="D57">
        <f>COUNTIF('Metrics - Articles'!E56,"*Youth*")</f>
        <v>0</v>
      </c>
      <c r="E57">
        <f>COUNTIF('Metrics - Articles'!E56,"*Healthcare*")</f>
        <v>0</v>
      </c>
      <c r="F57">
        <f>COUNTIF('Metrics - Articles'!E56,"*Innovation")</f>
        <v>1</v>
      </c>
      <c r="G57">
        <f>COUNTIF('Metrics - Articles'!E56,"*Corporate*")</f>
        <v>0</v>
      </c>
      <c r="I57" s="53">
        <f t="shared" si="1"/>
        <v>1</v>
      </c>
    </row>
    <row r="58" spans="2:9" hidden="1" x14ac:dyDescent="0.25">
      <c r="B58" s="48">
        <f>+'Metrics - Articles'!C57</f>
        <v>42052</v>
      </c>
      <c r="C58">
        <f>COUNTIF('Metrics - Articles'!E57,"*Sports*")</f>
        <v>0</v>
      </c>
      <c r="D58">
        <f>COUNTIF('Metrics - Articles'!E57,"*Youth*")</f>
        <v>0</v>
      </c>
      <c r="E58">
        <f>COUNTIF('Metrics - Articles'!E57,"*Healthcare*")</f>
        <v>0</v>
      </c>
      <c r="F58">
        <f>COUNTIF('Metrics - Articles'!E57,"*Innovation")</f>
        <v>1</v>
      </c>
      <c r="G58">
        <f>COUNTIF('Metrics - Articles'!E57,"*Corporate*")</f>
        <v>0</v>
      </c>
      <c r="I58" s="53">
        <f t="shared" si="1"/>
        <v>1</v>
      </c>
    </row>
    <row r="59" spans="2:9" hidden="1" x14ac:dyDescent="0.25">
      <c r="B59" s="48">
        <f>+'Metrics - Articles'!C58</f>
        <v>42053</v>
      </c>
      <c r="C59">
        <f>COUNTIF('Metrics - Articles'!E58,"*Sports*")</f>
        <v>0</v>
      </c>
      <c r="D59">
        <f>COUNTIF('Metrics - Articles'!E58,"*Youth*")</f>
        <v>0</v>
      </c>
      <c r="E59">
        <f>COUNTIF('Metrics - Articles'!E58,"*Healthcare*")</f>
        <v>0</v>
      </c>
      <c r="F59">
        <f>COUNTIF('Metrics - Articles'!E58,"*Innovation")</f>
        <v>1</v>
      </c>
      <c r="G59">
        <f>COUNTIF('Metrics - Articles'!E58,"*Corporate*")</f>
        <v>0</v>
      </c>
      <c r="I59" s="53">
        <f t="shared" si="1"/>
        <v>1</v>
      </c>
    </row>
    <row r="60" spans="2:9" hidden="1" x14ac:dyDescent="0.25">
      <c r="B60" s="48">
        <f>+'Metrics - Articles'!C59</f>
        <v>42053</v>
      </c>
      <c r="C60">
        <f>COUNTIF('Metrics - Articles'!E59,"*Sports*")</f>
        <v>0</v>
      </c>
      <c r="D60">
        <f>COUNTIF('Metrics - Articles'!E59,"*Youth*")</f>
        <v>0</v>
      </c>
      <c r="E60">
        <f>COUNTIF('Metrics - Articles'!E59,"*Healthcare*")</f>
        <v>0</v>
      </c>
      <c r="F60">
        <f>COUNTIF('Metrics - Articles'!E59,"*Innovation")</f>
        <v>1</v>
      </c>
      <c r="G60">
        <f>COUNTIF('Metrics - Articles'!E59,"*Corporate*")</f>
        <v>0</v>
      </c>
      <c r="I60" s="53">
        <f t="shared" si="1"/>
        <v>1</v>
      </c>
    </row>
    <row r="61" spans="2:9" hidden="1" x14ac:dyDescent="0.25">
      <c r="B61" s="48">
        <f>+'Metrics - Articles'!C60</f>
        <v>42055</v>
      </c>
      <c r="C61">
        <f>COUNTIF('Metrics - Articles'!E60,"*Sports*")</f>
        <v>0</v>
      </c>
      <c r="D61">
        <f>COUNTIF('Metrics - Articles'!E60,"*Youth*")</f>
        <v>0</v>
      </c>
      <c r="E61">
        <f>COUNTIF('Metrics - Articles'!E60,"*Healthcare*")</f>
        <v>0</v>
      </c>
      <c r="F61">
        <f>COUNTIF('Metrics - Articles'!E60,"*Innovation")</f>
        <v>0</v>
      </c>
      <c r="G61">
        <f>COUNTIF('Metrics - Articles'!E60,"*Corporate*")</f>
        <v>1</v>
      </c>
      <c r="I61" s="53">
        <f t="shared" si="1"/>
        <v>1</v>
      </c>
    </row>
    <row r="62" spans="2:9" hidden="1" x14ac:dyDescent="0.25">
      <c r="B62" s="48">
        <f>+'Metrics - Articles'!C61</f>
        <v>42055</v>
      </c>
      <c r="C62">
        <f>COUNTIF('Metrics - Articles'!E61,"*Sports*")</f>
        <v>0</v>
      </c>
      <c r="D62">
        <f>COUNTIF('Metrics - Articles'!E61,"*Youth*")</f>
        <v>0</v>
      </c>
      <c r="E62">
        <f>COUNTIF('Metrics - Articles'!E61,"*Healthcare*")</f>
        <v>0</v>
      </c>
      <c r="F62">
        <f>COUNTIF('Metrics - Articles'!E61,"*Innovation")</f>
        <v>1</v>
      </c>
      <c r="G62">
        <f>COUNTIF('Metrics - Articles'!E61,"*Corporate*")</f>
        <v>0</v>
      </c>
      <c r="I62" s="53">
        <f t="shared" si="1"/>
        <v>1</v>
      </c>
    </row>
    <row r="63" spans="2:9" hidden="1" x14ac:dyDescent="0.25">
      <c r="B63" s="48">
        <f>+'Metrics - Articles'!C62</f>
        <v>42056</v>
      </c>
      <c r="C63">
        <f>COUNTIF('Metrics - Articles'!E62,"*Sports*")</f>
        <v>1</v>
      </c>
      <c r="D63">
        <f>COUNTIF('Metrics - Articles'!E62,"*Youth*")</f>
        <v>0</v>
      </c>
      <c r="E63">
        <f>COUNTIF('Metrics - Articles'!E62,"*Healthcare*")</f>
        <v>0</v>
      </c>
      <c r="F63">
        <f>COUNTIF('Metrics - Articles'!E62,"*Innovation")</f>
        <v>0</v>
      </c>
      <c r="G63">
        <f>COUNTIF('Metrics - Articles'!E62,"*Corporate*")</f>
        <v>0</v>
      </c>
      <c r="I63" s="53">
        <f t="shared" si="1"/>
        <v>1</v>
      </c>
    </row>
    <row r="64" spans="2:9" hidden="1" x14ac:dyDescent="0.25">
      <c r="B64" s="48">
        <f>+'Metrics - Articles'!C63</f>
        <v>42058</v>
      </c>
      <c r="C64">
        <f>COUNTIF('Metrics - Articles'!E63,"*Sports*")</f>
        <v>0</v>
      </c>
      <c r="D64">
        <f>COUNTIF('Metrics - Articles'!E63,"*Youth*")</f>
        <v>0</v>
      </c>
      <c r="E64">
        <f>COUNTIF('Metrics - Articles'!E63,"*Healthcare*")</f>
        <v>0</v>
      </c>
      <c r="F64">
        <f>COUNTIF('Metrics - Articles'!E63,"*Innovation")</f>
        <v>1</v>
      </c>
      <c r="G64">
        <f>COUNTIF('Metrics - Articles'!E63,"*Corporate*")</f>
        <v>0</v>
      </c>
      <c r="I64" s="53">
        <f t="shared" si="1"/>
        <v>1</v>
      </c>
    </row>
    <row r="65" spans="2:9" hidden="1" x14ac:dyDescent="0.25">
      <c r="B65" s="48">
        <f>+'Metrics - Articles'!C64</f>
        <v>42059</v>
      </c>
      <c r="C65">
        <f>COUNTIF('Metrics - Articles'!E64,"*Sports*")</f>
        <v>0</v>
      </c>
      <c r="D65">
        <f>COUNTIF('Metrics - Articles'!E64,"*Youth*")</f>
        <v>0</v>
      </c>
      <c r="E65">
        <f>COUNTIF('Metrics - Articles'!E64,"*Healthcare*")</f>
        <v>0</v>
      </c>
      <c r="F65">
        <f>COUNTIF('Metrics - Articles'!E64,"*Innovation")</f>
        <v>1</v>
      </c>
      <c r="G65">
        <f>COUNTIF('Metrics - Articles'!E64,"*Corporate*")</f>
        <v>0</v>
      </c>
      <c r="I65" s="53">
        <f t="shared" si="1"/>
        <v>1</v>
      </c>
    </row>
    <row r="66" spans="2:9" hidden="1" x14ac:dyDescent="0.25">
      <c r="B66" s="48">
        <f>+'Metrics - Articles'!C65</f>
        <v>42060</v>
      </c>
      <c r="C66">
        <f>COUNTIF('Metrics - Articles'!E65,"*Sports*")</f>
        <v>0</v>
      </c>
      <c r="D66">
        <f>COUNTIF('Metrics - Articles'!E65,"*Youth*")</f>
        <v>0</v>
      </c>
      <c r="E66">
        <f>COUNTIF('Metrics - Articles'!E65,"*Healthcare*")</f>
        <v>0</v>
      </c>
      <c r="F66">
        <f>COUNTIF('Metrics - Articles'!E65,"*Innovation")</f>
        <v>1</v>
      </c>
      <c r="G66">
        <f>COUNTIF('Metrics - Articles'!E65,"*Corporate*")</f>
        <v>0</v>
      </c>
      <c r="I66" s="53">
        <f t="shared" si="1"/>
        <v>1</v>
      </c>
    </row>
    <row r="67" spans="2:9" hidden="1" x14ac:dyDescent="0.25">
      <c r="B67" s="48">
        <f>+'Metrics - Articles'!C66</f>
        <v>42060</v>
      </c>
      <c r="C67">
        <f>COUNTIF('Metrics - Articles'!E66,"*Sports*")</f>
        <v>0</v>
      </c>
      <c r="D67">
        <f>COUNTIF('Metrics - Articles'!E66,"*Youth*")</f>
        <v>0</v>
      </c>
      <c r="E67">
        <f>COUNTIF('Metrics - Articles'!E66,"*Healthcare*")</f>
        <v>1</v>
      </c>
      <c r="F67">
        <f>COUNTIF('Metrics - Articles'!E66,"*Innovation")</f>
        <v>0</v>
      </c>
      <c r="G67">
        <f>COUNTIF('Metrics - Articles'!E66,"*Corporate*")</f>
        <v>0</v>
      </c>
      <c r="I67" s="53">
        <f t="shared" si="1"/>
        <v>1</v>
      </c>
    </row>
    <row r="68" spans="2:9" hidden="1" x14ac:dyDescent="0.25">
      <c r="B68" s="48">
        <f>+'Metrics - Articles'!C67</f>
        <v>42061</v>
      </c>
      <c r="C68">
        <f>COUNTIF('Metrics - Articles'!E67,"*Sports*")</f>
        <v>0</v>
      </c>
      <c r="D68">
        <f>COUNTIF('Metrics - Articles'!E67,"*Youth*")</f>
        <v>0</v>
      </c>
      <c r="E68">
        <f>COUNTIF('Metrics - Articles'!E67,"*Healthcare*")</f>
        <v>0</v>
      </c>
      <c r="F68">
        <f>COUNTIF('Metrics - Articles'!E67,"*Innovation")</f>
        <v>0</v>
      </c>
      <c r="G68">
        <f>COUNTIF('Metrics - Articles'!E67,"*Corporate*")</f>
        <v>1</v>
      </c>
      <c r="I68" s="53">
        <f t="shared" si="1"/>
        <v>1</v>
      </c>
    </row>
    <row r="69" spans="2:9" hidden="1" x14ac:dyDescent="0.25">
      <c r="B69" s="48">
        <f>+'Metrics - Articles'!C68</f>
        <v>42062</v>
      </c>
      <c r="C69">
        <f>COUNTIF('Metrics - Articles'!E68,"*Sports*")</f>
        <v>0</v>
      </c>
      <c r="D69">
        <f>COUNTIF('Metrics - Articles'!E68,"*Youth*")</f>
        <v>0</v>
      </c>
      <c r="E69">
        <f>COUNTIF('Metrics - Articles'!E68,"*Healthcare*")</f>
        <v>0</v>
      </c>
      <c r="F69">
        <f>COUNTIF('Metrics - Articles'!E68,"*Innovation")</f>
        <v>0</v>
      </c>
      <c r="G69">
        <f>COUNTIF('Metrics - Articles'!E68,"*Corporate*")</f>
        <v>1</v>
      </c>
      <c r="I69" s="53">
        <f t="shared" si="1"/>
        <v>1</v>
      </c>
    </row>
    <row r="70" spans="2:9" hidden="1" x14ac:dyDescent="0.25">
      <c r="B70" s="48">
        <f>+'Metrics - Articles'!C69</f>
        <v>42062</v>
      </c>
      <c r="C70">
        <f>COUNTIF('Metrics - Articles'!E69,"*Sports*")</f>
        <v>0</v>
      </c>
      <c r="D70">
        <f>COUNTIF('Metrics - Articles'!E69,"*Youth*")</f>
        <v>0</v>
      </c>
      <c r="E70">
        <f>COUNTIF('Metrics - Articles'!E69,"*Healthcare*")</f>
        <v>0</v>
      </c>
      <c r="F70">
        <f>COUNTIF('Metrics - Articles'!E69,"*Innovation")</f>
        <v>0</v>
      </c>
      <c r="G70">
        <f>COUNTIF('Metrics - Articles'!E69,"*Corporate*")</f>
        <v>1</v>
      </c>
      <c r="I70" s="53">
        <f t="shared" si="1"/>
        <v>1</v>
      </c>
    </row>
    <row r="71" spans="2:9" hidden="1" x14ac:dyDescent="0.25">
      <c r="B71" s="48">
        <f>+'Metrics - Articles'!C70</f>
        <v>42065</v>
      </c>
      <c r="C71">
        <f>COUNTIF('Metrics - Articles'!E70,"*Sports*")</f>
        <v>0</v>
      </c>
      <c r="D71">
        <f>COUNTIF('Metrics - Articles'!E70,"*Youth*")</f>
        <v>0</v>
      </c>
      <c r="E71">
        <f>COUNTIF('Metrics - Articles'!E70,"*Healthcare*")</f>
        <v>0</v>
      </c>
      <c r="F71">
        <f>COUNTIF('Metrics - Articles'!E70,"*Innovation")</f>
        <v>1</v>
      </c>
      <c r="G71">
        <f>COUNTIF('Metrics - Articles'!E70,"*Corporate*")</f>
        <v>0</v>
      </c>
      <c r="I71" s="53">
        <f t="shared" si="1"/>
        <v>1</v>
      </c>
    </row>
    <row r="72" spans="2:9" hidden="1" x14ac:dyDescent="0.25">
      <c r="B72" s="48">
        <f>+'Metrics - Articles'!C71</f>
        <v>42065</v>
      </c>
      <c r="C72">
        <f>COUNTIF('Metrics - Articles'!E71,"*Sports*")</f>
        <v>0</v>
      </c>
      <c r="D72">
        <f>COUNTIF('Metrics - Articles'!E71,"*Youth*")</f>
        <v>0</v>
      </c>
      <c r="E72">
        <f>COUNTIF('Metrics - Articles'!E71,"*Healthcare*")</f>
        <v>0</v>
      </c>
      <c r="F72">
        <f>COUNTIF('Metrics - Articles'!E71,"*Innovation")</f>
        <v>0</v>
      </c>
      <c r="G72">
        <f>COUNTIF('Metrics - Articles'!E71,"*Corporate*")</f>
        <v>1</v>
      </c>
      <c r="I72" s="53">
        <f t="shared" ref="I72:I135" si="2">SUM(C72:H72)</f>
        <v>1</v>
      </c>
    </row>
    <row r="73" spans="2:9" hidden="1" x14ac:dyDescent="0.25">
      <c r="B73" s="48">
        <f>+'Metrics - Articles'!C72</f>
        <v>42065</v>
      </c>
      <c r="C73">
        <f>COUNTIF('Metrics - Articles'!E72,"*Sports*")</f>
        <v>0</v>
      </c>
      <c r="D73">
        <f>COUNTIF('Metrics - Articles'!E72,"*Youth*")</f>
        <v>0</v>
      </c>
      <c r="E73">
        <f>COUNTIF('Metrics - Articles'!E72,"*Healthcare*")</f>
        <v>0</v>
      </c>
      <c r="F73">
        <f>COUNTIF('Metrics - Articles'!E72,"*Innovation")</f>
        <v>1</v>
      </c>
      <c r="G73">
        <f>COUNTIF('Metrics - Articles'!E72,"*Corporate*")</f>
        <v>0</v>
      </c>
      <c r="I73" s="53">
        <f t="shared" si="2"/>
        <v>1</v>
      </c>
    </row>
    <row r="74" spans="2:9" hidden="1" x14ac:dyDescent="0.25">
      <c r="B74" s="48">
        <f>+'Metrics - Articles'!C73</f>
        <v>42065</v>
      </c>
      <c r="C74">
        <f>COUNTIF('Metrics - Articles'!E73,"*Sports*")</f>
        <v>0</v>
      </c>
      <c r="D74">
        <f>COUNTIF('Metrics - Articles'!E73,"*Youth*")</f>
        <v>0</v>
      </c>
      <c r="E74">
        <f>COUNTIF('Metrics - Articles'!E73,"*Healthcare*")</f>
        <v>0</v>
      </c>
      <c r="F74">
        <f>COUNTIF('Metrics - Articles'!E73,"*Innovation")</f>
        <v>1</v>
      </c>
      <c r="G74">
        <f>COUNTIF('Metrics - Articles'!E73,"*Corporate*")</f>
        <v>0</v>
      </c>
      <c r="I74" s="53">
        <f t="shared" si="2"/>
        <v>1</v>
      </c>
    </row>
    <row r="75" spans="2:9" hidden="1" x14ac:dyDescent="0.25">
      <c r="B75" s="48">
        <f>+'Metrics - Articles'!C74</f>
        <v>42066</v>
      </c>
      <c r="C75">
        <f>COUNTIF('Metrics - Articles'!E74,"*Sports*")</f>
        <v>0</v>
      </c>
      <c r="D75">
        <f>COUNTIF('Metrics - Articles'!E74,"*Youth*")</f>
        <v>0</v>
      </c>
      <c r="E75">
        <f>COUNTIF('Metrics - Articles'!E74,"*Healthcare*")</f>
        <v>0</v>
      </c>
      <c r="F75">
        <f>COUNTIF('Metrics - Articles'!E74,"*Innovation")</f>
        <v>1</v>
      </c>
      <c r="G75">
        <f>COUNTIF('Metrics - Articles'!E74,"*Corporate*")</f>
        <v>0</v>
      </c>
      <c r="I75" s="53">
        <f t="shared" si="2"/>
        <v>1</v>
      </c>
    </row>
    <row r="76" spans="2:9" hidden="1" x14ac:dyDescent="0.25">
      <c r="B76" s="48">
        <f>+'Metrics - Articles'!C75</f>
        <v>42067</v>
      </c>
      <c r="C76">
        <f>COUNTIF('Metrics - Articles'!E75,"*Sports*")</f>
        <v>0</v>
      </c>
      <c r="D76">
        <f>COUNTIF('Metrics - Articles'!E75,"*Youth*")</f>
        <v>0</v>
      </c>
      <c r="E76">
        <f>COUNTIF('Metrics - Articles'!E75,"*Healthcare*")</f>
        <v>0</v>
      </c>
      <c r="F76">
        <f>COUNTIF('Metrics - Articles'!E75,"*Innovation")</f>
        <v>0</v>
      </c>
      <c r="G76">
        <f>COUNTIF('Metrics - Articles'!E75,"*Corporate*")</f>
        <v>1</v>
      </c>
      <c r="I76" s="53">
        <f t="shared" si="2"/>
        <v>1</v>
      </c>
    </row>
    <row r="77" spans="2:9" hidden="1" x14ac:dyDescent="0.25">
      <c r="B77" s="48">
        <f>+'Metrics - Articles'!C76</f>
        <v>42067</v>
      </c>
      <c r="C77">
        <f>COUNTIF('Metrics - Articles'!E76,"*Sports*")</f>
        <v>0</v>
      </c>
      <c r="D77">
        <f>COUNTIF('Metrics - Articles'!E76,"*Youth*")</f>
        <v>1</v>
      </c>
      <c r="E77">
        <f>COUNTIF('Metrics - Articles'!E76,"*Healthcare*")</f>
        <v>0</v>
      </c>
      <c r="F77">
        <f>COUNTIF('Metrics - Articles'!E76,"*Innovation")</f>
        <v>0</v>
      </c>
      <c r="G77">
        <f>COUNTIF('Metrics - Articles'!E76,"*Corporate*")</f>
        <v>0</v>
      </c>
      <c r="I77" s="53">
        <f t="shared" si="2"/>
        <v>1</v>
      </c>
    </row>
    <row r="78" spans="2:9" hidden="1" x14ac:dyDescent="0.25">
      <c r="B78" s="48">
        <f>+'Metrics - Articles'!C77</f>
        <v>42067</v>
      </c>
      <c r="C78">
        <f>COUNTIF('Metrics - Articles'!E77,"*Sports*")</f>
        <v>0</v>
      </c>
      <c r="D78">
        <f>COUNTIF('Metrics - Articles'!E77,"*Youth*")</f>
        <v>0</v>
      </c>
      <c r="E78">
        <f>COUNTIF('Metrics - Articles'!E77,"*Healthcare*")</f>
        <v>0</v>
      </c>
      <c r="F78">
        <f>COUNTIF('Metrics - Articles'!E77,"*Innovation")</f>
        <v>1</v>
      </c>
      <c r="G78">
        <f>COUNTIF('Metrics - Articles'!E77,"*Corporate*")</f>
        <v>0</v>
      </c>
      <c r="I78" s="53">
        <f t="shared" si="2"/>
        <v>1</v>
      </c>
    </row>
    <row r="79" spans="2:9" hidden="1" x14ac:dyDescent="0.25">
      <c r="B79" s="48">
        <f>+'Metrics - Articles'!C78</f>
        <v>42068</v>
      </c>
      <c r="C79">
        <f>COUNTIF('Metrics - Articles'!E78,"*Sports*")</f>
        <v>0</v>
      </c>
      <c r="D79">
        <f>COUNTIF('Metrics - Articles'!E78,"*Youth*")</f>
        <v>0</v>
      </c>
      <c r="E79">
        <f>COUNTIF('Metrics - Articles'!E78,"*Healthcare*")</f>
        <v>0</v>
      </c>
      <c r="F79">
        <f>COUNTIF('Metrics - Articles'!E78,"*Innovation")</f>
        <v>0</v>
      </c>
      <c r="G79">
        <f>COUNTIF('Metrics - Articles'!E78,"*Corporate*")</f>
        <v>1</v>
      </c>
      <c r="I79" s="53">
        <f t="shared" si="2"/>
        <v>1</v>
      </c>
    </row>
    <row r="80" spans="2:9" hidden="1" x14ac:dyDescent="0.25">
      <c r="B80" s="48">
        <f>+'Metrics - Articles'!C79</f>
        <v>42069</v>
      </c>
      <c r="C80">
        <f>COUNTIF('Metrics - Articles'!E79,"*Sports*")</f>
        <v>0</v>
      </c>
      <c r="D80">
        <f>COUNTIF('Metrics - Articles'!E79,"*Youth*")</f>
        <v>0</v>
      </c>
      <c r="E80">
        <f>COUNTIF('Metrics - Articles'!E79,"*Healthcare*")</f>
        <v>0</v>
      </c>
      <c r="F80">
        <f>COUNTIF('Metrics - Articles'!E79,"*Innovation")</f>
        <v>0</v>
      </c>
      <c r="G80">
        <f>COUNTIF('Metrics - Articles'!E79,"*Corporate*")</f>
        <v>1</v>
      </c>
      <c r="I80" s="53">
        <f t="shared" si="2"/>
        <v>1</v>
      </c>
    </row>
    <row r="81" spans="2:9" hidden="1" x14ac:dyDescent="0.25">
      <c r="B81" s="48">
        <f>+'Metrics - Articles'!C80</f>
        <v>42069</v>
      </c>
      <c r="C81">
        <f>COUNTIF('Metrics - Articles'!E80,"*Sports*")</f>
        <v>0</v>
      </c>
      <c r="D81">
        <f>COUNTIF('Metrics - Articles'!E80,"*Youth*")</f>
        <v>0</v>
      </c>
      <c r="E81">
        <f>COUNTIF('Metrics - Articles'!E80,"*Healthcare*")</f>
        <v>0</v>
      </c>
      <c r="F81">
        <f>COUNTIF('Metrics - Articles'!E80,"*Innovation")</f>
        <v>1</v>
      </c>
      <c r="G81">
        <f>COUNTIF('Metrics - Articles'!E80,"*Corporate*")</f>
        <v>0</v>
      </c>
      <c r="I81" s="53">
        <f t="shared" si="2"/>
        <v>1</v>
      </c>
    </row>
    <row r="82" spans="2:9" hidden="1" x14ac:dyDescent="0.25">
      <c r="B82" s="48">
        <f>+'Metrics - Articles'!C81</f>
        <v>42073</v>
      </c>
      <c r="C82">
        <f>COUNTIF('Metrics - Articles'!E81,"*Sports*")</f>
        <v>0</v>
      </c>
      <c r="D82">
        <f>COUNTIF('Metrics - Articles'!E81,"*Youth*")</f>
        <v>0</v>
      </c>
      <c r="E82">
        <f>COUNTIF('Metrics - Articles'!E81,"*Healthcare*")</f>
        <v>0</v>
      </c>
      <c r="F82">
        <f>COUNTIF('Metrics - Articles'!E81,"*Innovation")</f>
        <v>0</v>
      </c>
      <c r="G82">
        <f>COUNTIF('Metrics - Articles'!E81,"*Corporate*")</f>
        <v>1</v>
      </c>
      <c r="I82" s="53">
        <f t="shared" si="2"/>
        <v>1</v>
      </c>
    </row>
    <row r="83" spans="2:9" hidden="1" x14ac:dyDescent="0.25">
      <c r="B83" s="48">
        <f>+'Metrics - Articles'!C82</f>
        <v>42073</v>
      </c>
      <c r="C83">
        <f>COUNTIF('Metrics - Articles'!E82,"*Sports*")</f>
        <v>0</v>
      </c>
      <c r="D83">
        <f>COUNTIF('Metrics - Articles'!E82,"*Youth*")</f>
        <v>0</v>
      </c>
      <c r="E83">
        <f>COUNTIF('Metrics - Articles'!E82,"*Healthcare*")</f>
        <v>0</v>
      </c>
      <c r="F83">
        <f>COUNTIF('Metrics - Articles'!E82,"*Innovation")</f>
        <v>1</v>
      </c>
      <c r="G83">
        <f>COUNTIF('Metrics - Articles'!E82,"*Corporate*")</f>
        <v>0</v>
      </c>
      <c r="I83" s="53">
        <f t="shared" si="2"/>
        <v>1</v>
      </c>
    </row>
    <row r="84" spans="2:9" hidden="1" x14ac:dyDescent="0.25">
      <c r="B84" s="48">
        <f>+'Metrics - Articles'!C83</f>
        <v>42074</v>
      </c>
      <c r="C84">
        <f>COUNTIF('Metrics - Articles'!E83,"*Sports*")</f>
        <v>0</v>
      </c>
      <c r="D84">
        <f>COUNTIF('Metrics - Articles'!E83,"*Youth*")</f>
        <v>0</v>
      </c>
      <c r="E84">
        <f>COUNTIF('Metrics - Articles'!E83,"*Healthcare*")</f>
        <v>0</v>
      </c>
      <c r="F84">
        <f>COUNTIF('Metrics - Articles'!E83,"*Innovation")</f>
        <v>1</v>
      </c>
      <c r="G84">
        <f>COUNTIF('Metrics - Articles'!E83,"*Corporate*")</f>
        <v>0</v>
      </c>
      <c r="I84" s="53">
        <f t="shared" si="2"/>
        <v>1</v>
      </c>
    </row>
    <row r="85" spans="2:9" hidden="1" x14ac:dyDescent="0.25">
      <c r="B85" s="48">
        <f>+'Metrics - Articles'!C84</f>
        <v>42074</v>
      </c>
      <c r="C85">
        <f>COUNTIF('Metrics - Articles'!E84,"*Sports*")</f>
        <v>0</v>
      </c>
      <c r="D85">
        <f>COUNTIF('Metrics - Articles'!E84,"*Youth*")</f>
        <v>0</v>
      </c>
      <c r="E85">
        <f>COUNTIF('Metrics - Articles'!E84,"*Healthcare*")</f>
        <v>0</v>
      </c>
      <c r="F85">
        <f>COUNTIF('Metrics - Articles'!E84,"*Innovation")</f>
        <v>1</v>
      </c>
      <c r="G85">
        <f>COUNTIF('Metrics - Articles'!E84,"*Corporate*")</f>
        <v>0</v>
      </c>
      <c r="I85" s="53">
        <f t="shared" si="2"/>
        <v>1</v>
      </c>
    </row>
    <row r="86" spans="2:9" hidden="1" x14ac:dyDescent="0.25">
      <c r="B86" s="48">
        <f>+'Metrics - Articles'!C85</f>
        <v>42075</v>
      </c>
      <c r="C86">
        <f>COUNTIF('Metrics - Articles'!E85,"*Sports*")</f>
        <v>0</v>
      </c>
      <c r="D86">
        <f>COUNTIF('Metrics - Articles'!E85,"*Youth*")</f>
        <v>0</v>
      </c>
      <c r="E86">
        <f>COUNTIF('Metrics - Articles'!E85,"*Healthcare*")</f>
        <v>0</v>
      </c>
      <c r="F86">
        <f>COUNTIF('Metrics - Articles'!E85,"*Innovation")</f>
        <v>0</v>
      </c>
      <c r="G86">
        <f>COUNTIF('Metrics - Articles'!E85,"*Corporate*")</f>
        <v>1</v>
      </c>
      <c r="I86" s="53">
        <f t="shared" si="2"/>
        <v>1</v>
      </c>
    </row>
    <row r="87" spans="2:9" hidden="1" x14ac:dyDescent="0.25">
      <c r="B87" s="48">
        <f>+'Metrics - Articles'!C86</f>
        <v>42076</v>
      </c>
      <c r="C87">
        <f>COUNTIF('Metrics - Articles'!E86,"*Sports*")</f>
        <v>0</v>
      </c>
      <c r="D87">
        <f>COUNTIF('Metrics - Articles'!E86,"*Youth*")</f>
        <v>0</v>
      </c>
      <c r="E87">
        <f>COUNTIF('Metrics - Articles'!E86,"*Healthcare*")</f>
        <v>0</v>
      </c>
      <c r="F87">
        <f>COUNTIF('Metrics - Articles'!E86,"*Innovation")</f>
        <v>0</v>
      </c>
      <c r="G87">
        <f>COUNTIF('Metrics - Articles'!E86,"*Corporate*")</f>
        <v>1</v>
      </c>
      <c r="I87" s="53">
        <f t="shared" si="2"/>
        <v>1</v>
      </c>
    </row>
    <row r="88" spans="2:9" hidden="1" x14ac:dyDescent="0.25">
      <c r="B88" s="48">
        <f>+'Metrics - Articles'!C87</f>
        <v>42076</v>
      </c>
      <c r="C88">
        <f>COUNTIF('Metrics - Articles'!E87,"*Sports*")</f>
        <v>0</v>
      </c>
      <c r="D88">
        <f>COUNTIF('Metrics - Articles'!E87,"*Youth*")</f>
        <v>1</v>
      </c>
      <c r="E88">
        <f>COUNTIF('Metrics - Articles'!E87,"*Healthcare*")</f>
        <v>0</v>
      </c>
      <c r="F88">
        <f>COUNTIF('Metrics - Articles'!E87,"*Innovation")</f>
        <v>0</v>
      </c>
      <c r="G88">
        <f>COUNTIF('Metrics - Articles'!E87,"*Corporate*")</f>
        <v>0</v>
      </c>
      <c r="I88" s="53">
        <f t="shared" si="2"/>
        <v>1</v>
      </c>
    </row>
    <row r="89" spans="2:9" hidden="1" x14ac:dyDescent="0.25">
      <c r="B89" s="48">
        <f>+'Metrics - Articles'!C88</f>
        <v>42079</v>
      </c>
      <c r="C89">
        <f>COUNTIF('Metrics - Articles'!E88,"*Sports*")</f>
        <v>0</v>
      </c>
      <c r="D89">
        <f>COUNTIF('Metrics - Articles'!E88,"*Youth*")</f>
        <v>0</v>
      </c>
      <c r="E89">
        <f>COUNTIF('Metrics - Articles'!E88,"*Healthcare*")</f>
        <v>0</v>
      </c>
      <c r="F89">
        <f>COUNTIF('Metrics - Articles'!E88,"*Innovation")</f>
        <v>1</v>
      </c>
      <c r="G89">
        <f>COUNTIF('Metrics - Articles'!E88,"*Corporate*")</f>
        <v>0</v>
      </c>
      <c r="I89" s="53">
        <f t="shared" si="2"/>
        <v>1</v>
      </c>
    </row>
    <row r="90" spans="2:9" hidden="1" x14ac:dyDescent="0.25">
      <c r="B90" s="48">
        <f>+'Metrics - Articles'!C89</f>
        <v>42080</v>
      </c>
      <c r="C90">
        <f>COUNTIF('Metrics - Articles'!E89,"*Sports*")</f>
        <v>0</v>
      </c>
      <c r="D90">
        <f>COUNTIF('Metrics - Articles'!E89,"*Youth*")</f>
        <v>0</v>
      </c>
      <c r="E90">
        <f>COUNTIF('Metrics - Articles'!E89,"*Healthcare*")</f>
        <v>0</v>
      </c>
      <c r="F90">
        <f>COUNTIF('Metrics - Articles'!E89,"*Innovation")</f>
        <v>0</v>
      </c>
      <c r="G90">
        <f>COUNTIF('Metrics - Articles'!E89,"*Corporate*")</f>
        <v>1</v>
      </c>
      <c r="I90" s="53">
        <f t="shared" si="2"/>
        <v>1</v>
      </c>
    </row>
    <row r="91" spans="2:9" hidden="1" x14ac:dyDescent="0.25">
      <c r="B91" s="48">
        <f>+'Metrics - Articles'!C90</f>
        <v>42080</v>
      </c>
      <c r="C91">
        <f>COUNTIF('Metrics - Articles'!E90,"*Sports*")</f>
        <v>0</v>
      </c>
      <c r="D91">
        <f>COUNTIF('Metrics - Articles'!E90,"*Youth*")</f>
        <v>0</v>
      </c>
      <c r="E91">
        <f>COUNTIF('Metrics - Articles'!E90,"*Healthcare*")</f>
        <v>0</v>
      </c>
      <c r="F91">
        <f>COUNTIF('Metrics - Articles'!E90,"*Innovation")</f>
        <v>0</v>
      </c>
      <c r="G91">
        <f>COUNTIF('Metrics - Articles'!E90,"*Corporate*")</f>
        <v>1</v>
      </c>
      <c r="I91" s="53">
        <f t="shared" si="2"/>
        <v>1</v>
      </c>
    </row>
    <row r="92" spans="2:9" hidden="1" x14ac:dyDescent="0.25">
      <c r="B92" s="48">
        <f>+'Metrics - Articles'!C91</f>
        <v>42081</v>
      </c>
      <c r="C92">
        <f>COUNTIF('Metrics - Articles'!E91,"*Sports*")</f>
        <v>0</v>
      </c>
      <c r="D92">
        <f>COUNTIF('Metrics - Articles'!E91,"*Youth*")</f>
        <v>0</v>
      </c>
      <c r="E92">
        <f>COUNTIF('Metrics - Articles'!E91,"*Healthcare*")</f>
        <v>0</v>
      </c>
      <c r="F92">
        <f>COUNTIF('Metrics - Articles'!E91,"*Innovation")</f>
        <v>0</v>
      </c>
      <c r="G92">
        <f>COUNTIF('Metrics - Articles'!E91,"*Corporate*")</f>
        <v>1</v>
      </c>
      <c r="I92" s="53">
        <f t="shared" si="2"/>
        <v>1</v>
      </c>
    </row>
    <row r="93" spans="2:9" hidden="1" x14ac:dyDescent="0.25">
      <c r="B93" s="48">
        <f>+'Metrics - Articles'!C92</f>
        <v>42081</v>
      </c>
      <c r="C93">
        <f>COUNTIF('Metrics - Articles'!E92,"*Sports*")</f>
        <v>0</v>
      </c>
      <c r="D93">
        <f>COUNTIF('Metrics - Articles'!E92,"*Youth*")</f>
        <v>0</v>
      </c>
      <c r="E93">
        <f>COUNTIF('Metrics - Articles'!E92,"*Healthcare*")</f>
        <v>0</v>
      </c>
      <c r="F93">
        <f>COUNTIF('Metrics - Articles'!E92,"*Innovation")</f>
        <v>1</v>
      </c>
      <c r="G93">
        <f>COUNTIF('Metrics - Articles'!E92,"*Corporate*")</f>
        <v>0</v>
      </c>
      <c r="I93" s="53">
        <f t="shared" si="2"/>
        <v>1</v>
      </c>
    </row>
    <row r="94" spans="2:9" hidden="1" x14ac:dyDescent="0.25">
      <c r="B94" s="48">
        <f>+'Metrics - Articles'!C93</f>
        <v>42082</v>
      </c>
      <c r="C94">
        <f>COUNTIF('Metrics - Articles'!E93,"*Sports*")</f>
        <v>0</v>
      </c>
      <c r="D94">
        <f>COUNTIF('Metrics - Articles'!E93,"*Youth*")</f>
        <v>0</v>
      </c>
      <c r="E94">
        <f>COUNTIF('Metrics - Articles'!E93,"*Healthcare*")</f>
        <v>0</v>
      </c>
      <c r="F94">
        <f>COUNTIF('Metrics - Articles'!E93,"*Innovation")</f>
        <v>0</v>
      </c>
      <c r="G94">
        <f>COUNTIF('Metrics - Articles'!E93,"*Corporate*")</f>
        <v>1</v>
      </c>
      <c r="I94" s="53">
        <f t="shared" si="2"/>
        <v>1</v>
      </c>
    </row>
    <row r="95" spans="2:9" hidden="1" x14ac:dyDescent="0.25">
      <c r="B95" s="48">
        <f>+'Metrics - Articles'!C94</f>
        <v>42083</v>
      </c>
      <c r="C95">
        <f>COUNTIF('Metrics - Articles'!E94,"*Sports*")</f>
        <v>0</v>
      </c>
      <c r="D95">
        <f>COUNTIF('Metrics - Articles'!E94,"*Youth*")</f>
        <v>0</v>
      </c>
      <c r="E95">
        <f>COUNTIF('Metrics - Articles'!E94,"*Healthcare*")</f>
        <v>0</v>
      </c>
      <c r="F95">
        <f>COUNTIF('Metrics - Articles'!E94,"*Innovation")</f>
        <v>0</v>
      </c>
      <c r="G95">
        <f>COUNTIF('Metrics - Articles'!E94,"*Corporate*")</f>
        <v>1</v>
      </c>
      <c r="I95" s="53">
        <f t="shared" si="2"/>
        <v>1</v>
      </c>
    </row>
    <row r="96" spans="2:9" hidden="1" x14ac:dyDescent="0.25">
      <c r="B96" s="48">
        <f>+'Metrics - Articles'!C95</f>
        <v>42083</v>
      </c>
      <c r="C96">
        <f>COUNTIF('Metrics - Articles'!E95,"*Sports*")</f>
        <v>0</v>
      </c>
      <c r="D96">
        <f>COUNTIF('Metrics - Articles'!E95,"*Youth*")</f>
        <v>0</v>
      </c>
      <c r="E96">
        <f>COUNTIF('Metrics - Articles'!E95,"*Healthcare*")</f>
        <v>0</v>
      </c>
      <c r="F96">
        <f>COUNTIF('Metrics - Articles'!E95,"*Innovation")</f>
        <v>1</v>
      </c>
      <c r="G96">
        <f>COUNTIF('Metrics - Articles'!E95,"*Corporate*")</f>
        <v>0</v>
      </c>
      <c r="I96" s="53">
        <f t="shared" si="2"/>
        <v>1</v>
      </c>
    </row>
    <row r="97" spans="2:9" hidden="1" x14ac:dyDescent="0.25">
      <c r="B97" s="48">
        <f>+'Metrics - Articles'!C96</f>
        <v>42086</v>
      </c>
      <c r="C97">
        <f>COUNTIF('Metrics - Articles'!E96,"*Sports*")</f>
        <v>0</v>
      </c>
      <c r="D97">
        <f>COUNTIF('Metrics - Articles'!E96,"*Youth*")</f>
        <v>0</v>
      </c>
      <c r="E97">
        <f>COUNTIF('Metrics - Articles'!E96,"*Healthcare*")</f>
        <v>0</v>
      </c>
      <c r="F97">
        <f>COUNTIF('Metrics - Articles'!E96,"*Innovation")</f>
        <v>1</v>
      </c>
      <c r="G97">
        <f>COUNTIF('Metrics - Articles'!E96,"*Corporate*")</f>
        <v>0</v>
      </c>
      <c r="I97" s="53">
        <f t="shared" si="2"/>
        <v>1</v>
      </c>
    </row>
    <row r="98" spans="2:9" hidden="1" x14ac:dyDescent="0.25">
      <c r="B98" s="48">
        <f>+'Metrics - Articles'!C97</f>
        <v>42086</v>
      </c>
      <c r="C98">
        <f>COUNTIF('Metrics - Articles'!E97,"*Sports*")</f>
        <v>1</v>
      </c>
      <c r="D98">
        <f>COUNTIF('Metrics - Articles'!E97,"*Youth*")</f>
        <v>0</v>
      </c>
      <c r="E98">
        <f>COUNTIF('Metrics - Articles'!E97,"*Healthcare*")</f>
        <v>0</v>
      </c>
      <c r="F98">
        <f>COUNTIF('Metrics - Articles'!E97,"*Innovation")</f>
        <v>0</v>
      </c>
      <c r="G98">
        <f>COUNTIF('Metrics - Articles'!E97,"*Corporate*")</f>
        <v>0</v>
      </c>
      <c r="I98" s="53">
        <f t="shared" si="2"/>
        <v>1</v>
      </c>
    </row>
    <row r="99" spans="2:9" hidden="1" x14ac:dyDescent="0.25">
      <c r="B99" s="48">
        <f>+'Metrics - Articles'!C98</f>
        <v>42087</v>
      </c>
      <c r="C99">
        <f>COUNTIF('Metrics - Articles'!E98,"*Sports*")</f>
        <v>0</v>
      </c>
      <c r="D99">
        <f>COUNTIF('Metrics - Articles'!E98,"*Youth*")</f>
        <v>0</v>
      </c>
      <c r="E99">
        <f>COUNTIF('Metrics - Articles'!E98,"*Healthcare*")</f>
        <v>0</v>
      </c>
      <c r="F99">
        <f>COUNTIF('Metrics - Articles'!E98,"*Innovation")</f>
        <v>1</v>
      </c>
      <c r="G99">
        <f>COUNTIF('Metrics - Articles'!E98,"*Corporate*")</f>
        <v>0</v>
      </c>
      <c r="I99" s="53">
        <f t="shared" si="2"/>
        <v>1</v>
      </c>
    </row>
    <row r="100" spans="2:9" hidden="1" x14ac:dyDescent="0.25">
      <c r="B100" s="48">
        <f>+'Metrics - Articles'!C99</f>
        <v>42087</v>
      </c>
      <c r="C100">
        <f>COUNTIF('Metrics - Articles'!E99,"*Sports*")</f>
        <v>0</v>
      </c>
      <c r="D100">
        <f>COUNTIF('Metrics - Articles'!E99,"*Youth*")</f>
        <v>1</v>
      </c>
      <c r="E100">
        <f>COUNTIF('Metrics - Articles'!E99,"*Healthcare*")</f>
        <v>0</v>
      </c>
      <c r="F100">
        <f>COUNTIF('Metrics - Articles'!E99,"*Innovation")</f>
        <v>0</v>
      </c>
      <c r="G100">
        <f>COUNTIF('Metrics - Articles'!E99,"*Corporate*")</f>
        <v>0</v>
      </c>
      <c r="I100" s="53">
        <f t="shared" si="2"/>
        <v>1</v>
      </c>
    </row>
    <row r="101" spans="2:9" hidden="1" x14ac:dyDescent="0.25">
      <c r="B101" s="48">
        <f>+'Metrics - Articles'!C100</f>
        <v>42088</v>
      </c>
      <c r="C101">
        <f>COUNTIF('Metrics - Articles'!E100,"*Sports*")</f>
        <v>0</v>
      </c>
      <c r="D101">
        <f>COUNTIF('Metrics - Articles'!E100,"*Youth*")</f>
        <v>0</v>
      </c>
      <c r="E101">
        <f>COUNTIF('Metrics - Articles'!E100,"*Healthcare*")</f>
        <v>1</v>
      </c>
      <c r="F101">
        <f>COUNTIF('Metrics - Articles'!E100,"*Innovation")</f>
        <v>0</v>
      </c>
      <c r="G101">
        <f>COUNTIF('Metrics - Articles'!E100,"*Corporate*")</f>
        <v>0</v>
      </c>
      <c r="I101" s="53">
        <f t="shared" si="2"/>
        <v>1</v>
      </c>
    </row>
    <row r="102" spans="2:9" hidden="1" x14ac:dyDescent="0.25">
      <c r="B102" s="48">
        <f>+'Metrics - Articles'!C101</f>
        <v>42089</v>
      </c>
      <c r="C102">
        <f>COUNTIF('Metrics - Articles'!E101,"*Sports*")</f>
        <v>0</v>
      </c>
      <c r="D102">
        <f>COUNTIF('Metrics - Articles'!E101,"*Youth*")</f>
        <v>0</v>
      </c>
      <c r="E102">
        <f>COUNTIF('Metrics - Articles'!E101,"*Healthcare*")</f>
        <v>0</v>
      </c>
      <c r="F102">
        <f>COUNTIF('Metrics - Articles'!E101,"*Innovation")</f>
        <v>0</v>
      </c>
      <c r="G102">
        <f>COUNTIF('Metrics - Articles'!E101,"*Corporate*")</f>
        <v>1</v>
      </c>
      <c r="I102" s="53">
        <f t="shared" si="2"/>
        <v>1</v>
      </c>
    </row>
    <row r="103" spans="2:9" hidden="1" x14ac:dyDescent="0.25">
      <c r="B103" s="48">
        <f>+'Metrics - Articles'!C102</f>
        <v>42089</v>
      </c>
      <c r="C103">
        <f>COUNTIF('Metrics - Articles'!E102,"*Sports*")</f>
        <v>0</v>
      </c>
      <c r="D103">
        <f>COUNTIF('Metrics - Articles'!E102,"*Youth*")</f>
        <v>0</v>
      </c>
      <c r="E103">
        <f>COUNTIF('Metrics - Articles'!E102,"*Healthcare*")</f>
        <v>0</v>
      </c>
      <c r="F103">
        <f>COUNTIF('Metrics - Articles'!E102,"*Innovation")</f>
        <v>1</v>
      </c>
      <c r="G103">
        <f>COUNTIF('Metrics - Articles'!E102,"*Corporate*")</f>
        <v>0</v>
      </c>
      <c r="I103" s="53">
        <f t="shared" si="2"/>
        <v>1</v>
      </c>
    </row>
    <row r="104" spans="2:9" hidden="1" x14ac:dyDescent="0.25">
      <c r="B104" s="48">
        <f>+'Metrics - Articles'!C103</f>
        <v>42093</v>
      </c>
      <c r="C104">
        <f>COUNTIF('Metrics - Articles'!E103,"*Sports*")</f>
        <v>0</v>
      </c>
      <c r="D104">
        <f>COUNTIF('Metrics - Articles'!E103,"*Youth*")</f>
        <v>0</v>
      </c>
      <c r="E104">
        <f>COUNTIF('Metrics - Articles'!E103,"*Healthcare*")</f>
        <v>1</v>
      </c>
      <c r="F104">
        <f>COUNTIF('Metrics - Articles'!E103,"*Innovation")</f>
        <v>0</v>
      </c>
      <c r="G104">
        <f>COUNTIF('Metrics - Articles'!E103,"*Corporate*")</f>
        <v>0</v>
      </c>
      <c r="I104" s="53">
        <f t="shared" si="2"/>
        <v>1</v>
      </c>
    </row>
    <row r="105" spans="2:9" hidden="1" x14ac:dyDescent="0.25">
      <c r="B105" s="48">
        <f>+'Metrics - Articles'!C104</f>
        <v>42094</v>
      </c>
      <c r="C105">
        <f>COUNTIF('Metrics - Articles'!E104,"*Sports*")</f>
        <v>0</v>
      </c>
      <c r="D105">
        <f>COUNTIF('Metrics - Articles'!E104,"*Youth*")</f>
        <v>0</v>
      </c>
      <c r="E105">
        <f>COUNTIF('Metrics - Articles'!E104,"*Healthcare*")</f>
        <v>0</v>
      </c>
      <c r="F105">
        <f>COUNTIF('Metrics - Articles'!E104,"*Innovation")</f>
        <v>0</v>
      </c>
      <c r="G105">
        <f>COUNTIF('Metrics - Articles'!E104,"*Corporate*")</f>
        <v>1</v>
      </c>
      <c r="I105" s="53">
        <f t="shared" si="2"/>
        <v>1</v>
      </c>
    </row>
    <row r="106" spans="2:9" hidden="1" x14ac:dyDescent="0.25">
      <c r="B106" s="48">
        <f>+'Metrics - Articles'!C105</f>
        <v>42094</v>
      </c>
      <c r="C106">
        <f>COUNTIF('Metrics - Articles'!E105,"*Sports*")</f>
        <v>0</v>
      </c>
      <c r="D106">
        <f>COUNTIF('Metrics - Articles'!E105,"*Youth*")</f>
        <v>0</v>
      </c>
      <c r="E106">
        <f>COUNTIF('Metrics - Articles'!E105,"*Healthcare*")</f>
        <v>0</v>
      </c>
      <c r="F106">
        <f>COUNTIF('Metrics - Articles'!E105,"*Innovation")</f>
        <v>1</v>
      </c>
      <c r="G106">
        <f>COUNTIF('Metrics - Articles'!E105,"*Corporate*")</f>
        <v>0</v>
      </c>
      <c r="I106" s="53">
        <f t="shared" si="2"/>
        <v>1</v>
      </c>
    </row>
    <row r="107" spans="2:9" hidden="1" x14ac:dyDescent="0.25">
      <c r="B107" s="48">
        <f>+'Metrics - Articles'!C106</f>
        <v>42094</v>
      </c>
      <c r="C107">
        <f>COUNTIF('Metrics - Articles'!E106,"*Sports*")</f>
        <v>0</v>
      </c>
      <c r="D107">
        <f>COUNTIF('Metrics - Articles'!E106,"*Youth*")</f>
        <v>0</v>
      </c>
      <c r="E107">
        <f>COUNTIF('Metrics - Articles'!E106,"*Healthcare*")</f>
        <v>0</v>
      </c>
      <c r="F107">
        <f>COUNTIF('Metrics - Articles'!E106,"*Innovation")</f>
        <v>0</v>
      </c>
      <c r="G107">
        <f>COUNTIF('Metrics - Articles'!E106,"*Corporate*")</f>
        <v>1</v>
      </c>
      <c r="I107" s="53">
        <f t="shared" si="2"/>
        <v>1</v>
      </c>
    </row>
    <row r="108" spans="2:9" hidden="1" x14ac:dyDescent="0.25">
      <c r="B108" s="48">
        <f>+'Metrics - Articles'!C107</f>
        <v>42094</v>
      </c>
      <c r="C108">
        <f>COUNTIF('Metrics - Articles'!E107,"*Sports*")</f>
        <v>0</v>
      </c>
      <c r="D108">
        <f>COUNTIF('Metrics - Articles'!E107,"*Youth*")</f>
        <v>0</v>
      </c>
      <c r="E108">
        <f>COUNTIF('Metrics - Articles'!E107,"*Healthcare*")</f>
        <v>0</v>
      </c>
      <c r="F108">
        <f>COUNTIF('Metrics - Articles'!E107,"*Innovation")</f>
        <v>0</v>
      </c>
      <c r="G108">
        <f>COUNTIF('Metrics - Articles'!E107,"*Corporate*")</f>
        <v>1</v>
      </c>
      <c r="I108" s="53">
        <f t="shared" si="2"/>
        <v>1</v>
      </c>
    </row>
    <row r="109" spans="2:9" hidden="1" x14ac:dyDescent="0.25">
      <c r="B109" s="48">
        <f>+'Metrics - Articles'!C108</f>
        <v>42094</v>
      </c>
      <c r="C109">
        <f>COUNTIF('Metrics - Articles'!E108,"*Sports*")</f>
        <v>0</v>
      </c>
      <c r="D109">
        <f>COUNTIF('Metrics - Articles'!E108,"*Youth*")</f>
        <v>0</v>
      </c>
      <c r="E109">
        <f>COUNTIF('Metrics - Articles'!E108,"*Healthcare*")</f>
        <v>1</v>
      </c>
      <c r="F109">
        <f>COUNTIF('Metrics - Articles'!E108,"*Innovation")</f>
        <v>0</v>
      </c>
      <c r="G109">
        <f>COUNTIF('Metrics - Articles'!E108,"*Corporate*")</f>
        <v>0</v>
      </c>
      <c r="I109" s="53">
        <f t="shared" si="2"/>
        <v>1</v>
      </c>
    </row>
    <row r="110" spans="2:9" hidden="1" x14ac:dyDescent="0.25">
      <c r="B110" s="48">
        <f>+'Metrics - Articles'!C109</f>
        <v>42095</v>
      </c>
      <c r="C110">
        <f>COUNTIF('Metrics - Articles'!E109,"*Sports*")</f>
        <v>0</v>
      </c>
      <c r="D110">
        <f>COUNTIF('Metrics - Articles'!E109,"*Youth*")</f>
        <v>0</v>
      </c>
      <c r="E110">
        <f>COUNTIF('Metrics - Articles'!E109,"*Healthcare*")</f>
        <v>1</v>
      </c>
      <c r="F110">
        <f>COUNTIF('Metrics - Articles'!E109,"*Innovation")</f>
        <v>0</v>
      </c>
      <c r="G110">
        <f>COUNTIF('Metrics - Articles'!E109,"*Corporate*")</f>
        <v>0</v>
      </c>
      <c r="I110" s="53">
        <f t="shared" si="2"/>
        <v>1</v>
      </c>
    </row>
    <row r="111" spans="2:9" hidden="1" x14ac:dyDescent="0.25">
      <c r="B111" s="48">
        <f>+'Metrics - Articles'!C110</f>
        <v>42096</v>
      </c>
      <c r="C111">
        <f>COUNTIF('Metrics - Articles'!E110,"*Sports*")</f>
        <v>0</v>
      </c>
      <c r="D111">
        <f>COUNTIF('Metrics - Articles'!E110,"*Youth*")</f>
        <v>0</v>
      </c>
      <c r="E111">
        <f>COUNTIF('Metrics - Articles'!E110,"*Healthcare*")</f>
        <v>0</v>
      </c>
      <c r="F111">
        <f>COUNTIF('Metrics - Articles'!E110,"*Innovation")</f>
        <v>1</v>
      </c>
      <c r="G111">
        <f>COUNTIF('Metrics - Articles'!E110,"*Corporate*")</f>
        <v>0</v>
      </c>
      <c r="I111" s="53">
        <f t="shared" si="2"/>
        <v>1</v>
      </c>
    </row>
    <row r="112" spans="2:9" hidden="1" x14ac:dyDescent="0.25">
      <c r="B112" s="48">
        <f>+'Metrics - Articles'!C111</f>
        <v>42101</v>
      </c>
      <c r="C112">
        <f>COUNTIF('Metrics - Articles'!E111,"*Sports*")</f>
        <v>0</v>
      </c>
      <c r="D112">
        <f>COUNTIF('Metrics - Articles'!E111,"*Youth*")</f>
        <v>0</v>
      </c>
      <c r="E112">
        <f>COUNTIF('Metrics - Articles'!E111,"*Healthcare*")</f>
        <v>0</v>
      </c>
      <c r="F112">
        <f>COUNTIF('Metrics - Articles'!E111,"*Innovation")</f>
        <v>1</v>
      </c>
      <c r="G112">
        <f>COUNTIF('Metrics - Articles'!E111,"*Corporate*")</f>
        <v>0</v>
      </c>
      <c r="I112" s="53">
        <f t="shared" si="2"/>
        <v>1</v>
      </c>
    </row>
    <row r="113" spans="2:9" hidden="1" x14ac:dyDescent="0.25">
      <c r="B113" s="48">
        <f>+'Metrics - Articles'!C112</f>
        <v>42101</v>
      </c>
      <c r="C113">
        <f>COUNTIF('Metrics - Articles'!E112,"*Sports*")</f>
        <v>0</v>
      </c>
      <c r="D113">
        <f>COUNTIF('Metrics - Articles'!E112,"*Youth*")</f>
        <v>0</v>
      </c>
      <c r="E113">
        <f>COUNTIF('Metrics - Articles'!E112,"*Healthcare*")</f>
        <v>0</v>
      </c>
      <c r="F113">
        <f>COUNTIF('Metrics - Articles'!E112,"*Innovation")</f>
        <v>0</v>
      </c>
      <c r="G113">
        <f>COUNTIF('Metrics - Articles'!E112,"*Corporate*")</f>
        <v>1</v>
      </c>
      <c r="I113" s="53">
        <f t="shared" si="2"/>
        <v>1</v>
      </c>
    </row>
    <row r="114" spans="2:9" hidden="1" x14ac:dyDescent="0.25">
      <c r="B114" s="48">
        <f>+'Metrics - Articles'!C113</f>
        <v>42102</v>
      </c>
      <c r="C114">
        <f>COUNTIF('Metrics - Articles'!E113,"*Sports*")</f>
        <v>0</v>
      </c>
      <c r="D114">
        <f>COUNTIF('Metrics - Articles'!E113,"*Youth*")</f>
        <v>0</v>
      </c>
      <c r="E114">
        <f>COUNTIF('Metrics - Articles'!E113,"*Healthcare*")</f>
        <v>0</v>
      </c>
      <c r="F114">
        <f>COUNTIF('Metrics - Articles'!E113,"*Innovation")</f>
        <v>1</v>
      </c>
      <c r="G114">
        <f>COUNTIF('Metrics - Articles'!E113,"*Corporate*")</f>
        <v>0</v>
      </c>
      <c r="I114" s="53">
        <f t="shared" si="2"/>
        <v>1</v>
      </c>
    </row>
    <row r="115" spans="2:9" hidden="1" x14ac:dyDescent="0.25">
      <c r="B115" s="48">
        <f>+'Metrics - Articles'!C114</f>
        <v>42103</v>
      </c>
      <c r="C115">
        <f>COUNTIF('Metrics - Articles'!E114,"*Sports*")</f>
        <v>0</v>
      </c>
      <c r="D115">
        <f>COUNTIF('Metrics - Articles'!E114,"*Youth*")</f>
        <v>0</v>
      </c>
      <c r="E115">
        <f>COUNTIF('Metrics - Articles'!E114,"*Healthcare*")</f>
        <v>0</v>
      </c>
      <c r="F115">
        <f>COUNTIF('Metrics - Articles'!E114,"*Innovation")</f>
        <v>0</v>
      </c>
      <c r="G115">
        <f>COUNTIF('Metrics - Articles'!E114,"*Corporate*")</f>
        <v>1</v>
      </c>
      <c r="I115" s="53">
        <f t="shared" si="2"/>
        <v>1</v>
      </c>
    </row>
    <row r="116" spans="2:9" hidden="1" x14ac:dyDescent="0.25">
      <c r="B116" s="48">
        <f>+'Metrics - Articles'!C115</f>
        <v>42103</v>
      </c>
      <c r="C116">
        <f>COUNTIF('Metrics - Articles'!E115,"*Sports*")</f>
        <v>0</v>
      </c>
      <c r="D116">
        <f>COUNTIF('Metrics - Articles'!E115,"*Youth*")</f>
        <v>0</v>
      </c>
      <c r="E116">
        <f>COUNTIF('Metrics - Articles'!E115,"*Healthcare*")</f>
        <v>0</v>
      </c>
      <c r="F116">
        <f>COUNTIF('Metrics - Articles'!E115,"*Innovation")</f>
        <v>1</v>
      </c>
      <c r="G116">
        <f>COUNTIF('Metrics - Articles'!E115,"*Corporate*")</f>
        <v>0</v>
      </c>
      <c r="I116" s="53">
        <f t="shared" si="2"/>
        <v>1</v>
      </c>
    </row>
    <row r="117" spans="2:9" hidden="1" x14ac:dyDescent="0.25">
      <c r="B117" s="48">
        <f>+'Metrics - Articles'!C116</f>
        <v>42107</v>
      </c>
      <c r="C117">
        <f>COUNTIF('Metrics - Articles'!E116,"*Sports*")</f>
        <v>0</v>
      </c>
      <c r="D117">
        <f>COUNTIF('Metrics - Articles'!E116,"*Youth*")</f>
        <v>0</v>
      </c>
      <c r="E117">
        <f>COUNTIF('Metrics - Articles'!E116,"*Healthcare*")</f>
        <v>0</v>
      </c>
      <c r="F117">
        <f>COUNTIF('Metrics - Articles'!E116,"*Innovation")</f>
        <v>0</v>
      </c>
      <c r="G117">
        <f>COUNTIF('Metrics - Articles'!E116,"*Corporate*")</f>
        <v>1</v>
      </c>
      <c r="I117" s="53">
        <f t="shared" si="2"/>
        <v>1</v>
      </c>
    </row>
    <row r="118" spans="2:9" hidden="1" x14ac:dyDescent="0.25">
      <c r="B118" s="48">
        <f>+'Metrics - Articles'!C117</f>
        <v>42107</v>
      </c>
      <c r="C118">
        <f>COUNTIF('Metrics - Articles'!E117,"*Sports*")</f>
        <v>0</v>
      </c>
      <c r="D118">
        <f>COUNTIF('Metrics - Articles'!E117,"*Youth*")</f>
        <v>0</v>
      </c>
      <c r="E118">
        <f>COUNTIF('Metrics - Articles'!E117,"*Healthcare*")</f>
        <v>0</v>
      </c>
      <c r="F118">
        <f>COUNTIF('Metrics - Articles'!E117,"*Innovation")</f>
        <v>1</v>
      </c>
      <c r="G118">
        <f>COUNTIF('Metrics - Articles'!E117,"*Corporate*")</f>
        <v>0</v>
      </c>
      <c r="I118" s="53">
        <f t="shared" si="2"/>
        <v>1</v>
      </c>
    </row>
    <row r="119" spans="2:9" hidden="1" x14ac:dyDescent="0.25">
      <c r="B119" s="48">
        <f>+'Metrics - Articles'!C118</f>
        <v>42107</v>
      </c>
      <c r="C119">
        <f>COUNTIF('Metrics - Articles'!E118,"*Sports*")</f>
        <v>0</v>
      </c>
      <c r="D119">
        <f>COUNTIF('Metrics - Articles'!E118,"*Youth*")</f>
        <v>0</v>
      </c>
      <c r="E119">
        <f>COUNTIF('Metrics - Articles'!E118,"*Healthcare*")</f>
        <v>1</v>
      </c>
      <c r="F119">
        <f>COUNTIF('Metrics - Articles'!E118,"*Innovation")</f>
        <v>0</v>
      </c>
      <c r="G119">
        <f>COUNTIF('Metrics - Articles'!E118,"*Corporate*")</f>
        <v>0</v>
      </c>
      <c r="I119" s="53">
        <f t="shared" si="2"/>
        <v>1</v>
      </c>
    </row>
    <row r="120" spans="2:9" hidden="1" x14ac:dyDescent="0.25">
      <c r="B120" s="48">
        <f>+'Metrics - Articles'!C119</f>
        <v>42108</v>
      </c>
      <c r="C120">
        <f>COUNTIF('Metrics - Articles'!E119,"*Sports*")</f>
        <v>0</v>
      </c>
      <c r="D120">
        <f>COUNTIF('Metrics - Articles'!E119,"*Youth*")</f>
        <v>1</v>
      </c>
      <c r="E120">
        <f>COUNTIF('Metrics - Articles'!E119,"*Healthcare*")</f>
        <v>0</v>
      </c>
      <c r="F120">
        <f>COUNTIF('Metrics - Articles'!E119,"*Innovation")</f>
        <v>0</v>
      </c>
      <c r="G120">
        <f>COUNTIF('Metrics - Articles'!E119,"*Corporate*")</f>
        <v>0</v>
      </c>
      <c r="I120" s="53">
        <f t="shared" si="2"/>
        <v>1</v>
      </c>
    </row>
    <row r="121" spans="2:9" hidden="1" x14ac:dyDescent="0.25">
      <c r="B121" s="48">
        <f>+'Metrics - Articles'!C120</f>
        <v>42109</v>
      </c>
      <c r="C121">
        <f>COUNTIF('Metrics - Articles'!E120,"*Sports*")</f>
        <v>0</v>
      </c>
      <c r="D121">
        <f>COUNTIF('Metrics - Articles'!E120,"*Youth*")</f>
        <v>0</v>
      </c>
      <c r="E121">
        <f>COUNTIF('Metrics - Articles'!E120,"*Healthcare*")</f>
        <v>0</v>
      </c>
      <c r="F121">
        <f>COUNTIF('Metrics - Articles'!E120,"*Innovation")</f>
        <v>1</v>
      </c>
      <c r="G121">
        <f>COUNTIF('Metrics - Articles'!E120,"*Corporate*")</f>
        <v>0</v>
      </c>
      <c r="I121" s="53">
        <f t="shared" si="2"/>
        <v>1</v>
      </c>
    </row>
    <row r="122" spans="2:9" hidden="1" x14ac:dyDescent="0.25">
      <c r="B122" s="48">
        <f>+'Metrics - Articles'!C121</f>
        <v>42109</v>
      </c>
      <c r="C122">
        <f>COUNTIF('Metrics - Articles'!E121,"*Sports*")</f>
        <v>0</v>
      </c>
      <c r="D122">
        <f>COUNTIF('Metrics - Articles'!E121,"*Youth*")</f>
        <v>1</v>
      </c>
      <c r="E122">
        <f>COUNTIF('Metrics - Articles'!E121,"*Healthcare*")</f>
        <v>0</v>
      </c>
      <c r="F122">
        <f>COUNTIF('Metrics - Articles'!E121,"*Innovation")</f>
        <v>0</v>
      </c>
      <c r="G122">
        <f>COUNTIF('Metrics - Articles'!E121,"*Corporate*")</f>
        <v>0</v>
      </c>
      <c r="I122" s="53">
        <f t="shared" si="2"/>
        <v>1</v>
      </c>
    </row>
    <row r="123" spans="2:9" hidden="1" x14ac:dyDescent="0.25">
      <c r="B123" s="48">
        <f>+'Metrics - Articles'!C122</f>
        <v>42109</v>
      </c>
      <c r="C123">
        <f>COUNTIF('Metrics - Articles'!E122,"*Sports*")</f>
        <v>0</v>
      </c>
      <c r="D123">
        <f>COUNTIF('Metrics - Articles'!E122,"*Youth*")</f>
        <v>0</v>
      </c>
      <c r="E123">
        <f>COUNTIF('Metrics - Articles'!E122,"*Healthcare*")</f>
        <v>0</v>
      </c>
      <c r="F123">
        <f>COUNTIF('Metrics - Articles'!E122,"*Innovation")</f>
        <v>1</v>
      </c>
      <c r="G123">
        <f>COUNTIF('Metrics - Articles'!E122,"*Corporate*")</f>
        <v>0</v>
      </c>
      <c r="I123" s="53">
        <f t="shared" si="2"/>
        <v>1</v>
      </c>
    </row>
    <row r="124" spans="2:9" hidden="1" x14ac:dyDescent="0.25">
      <c r="B124" s="48">
        <f>+'Metrics - Articles'!C123</f>
        <v>42110</v>
      </c>
      <c r="C124">
        <f>COUNTIF('Metrics - Articles'!E123,"*Sports*")</f>
        <v>0</v>
      </c>
      <c r="D124">
        <f>COUNTIF('Metrics - Articles'!E123,"*Youth*")</f>
        <v>0</v>
      </c>
      <c r="E124">
        <f>COUNTIF('Metrics - Articles'!E123,"*Healthcare*")</f>
        <v>0</v>
      </c>
      <c r="F124">
        <f>COUNTIF('Metrics - Articles'!E123,"*Innovation")</f>
        <v>1</v>
      </c>
      <c r="G124">
        <f>COUNTIF('Metrics - Articles'!E123,"*Corporate*")</f>
        <v>0</v>
      </c>
      <c r="I124" s="53">
        <f t="shared" si="2"/>
        <v>1</v>
      </c>
    </row>
    <row r="125" spans="2:9" hidden="1" x14ac:dyDescent="0.25">
      <c r="B125" s="48">
        <f>+'Metrics - Articles'!C124</f>
        <v>42110</v>
      </c>
      <c r="C125">
        <f>COUNTIF('Metrics - Articles'!E124,"*Sports*")</f>
        <v>0</v>
      </c>
      <c r="D125">
        <f>COUNTIF('Metrics - Articles'!E124,"*Youth*")</f>
        <v>0</v>
      </c>
      <c r="E125">
        <f>COUNTIF('Metrics - Articles'!E124,"*Healthcare*")</f>
        <v>0</v>
      </c>
      <c r="F125">
        <f>COUNTIF('Metrics - Articles'!E124,"*Innovation")</f>
        <v>0</v>
      </c>
      <c r="G125">
        <f>COUNTIF('Metrics - Articles'!E124,"*Corporate*")</f>
        <v>1</v>
      </c>
      <c r="I125" s="53">
        <f t="shared" si="2"/>
        <v>1</v>
      </c>
    </row>
    <row r="126" spans="2:9" hidden="1" x14ac:dyDescent="0.25">
      <c r="B126" s="48">
        <f>+'Metrics - Articles'!C125</f>
        <v>42110</v>
      </c>
      <c r="C126">
        <f>COUNTIF('Metrics - Articles'!E125,"*Sports*")</f>
        <v>0</v>
      </c>
      <c r="D126">
        <f>COUNTIF('Metrics - Articles'!E125,"*Youth*")</f>
        <v>0</v>
      </c>
      <c r="E126">
        <f>COUNTIF('Metrics - Articles'!E125,"*Healthcare*")</f>
        <v>0</v>
      </c>
      <c r="F126">
        <f>COUNTIF('Metrics - Articles'!E125,"*Innovation")</f>
        <v>1</v>
      </c>
      <c r="G126">
        <f>COUNTIF('Metrics - Articles'!E125,"*Corporate*")</f>
        <v>0</v>
      </c>
      <c r="I126" s="53">
        <f t="shared" si="2"/>
        <v>1</v>
      </c>
    </row>
    <row r="127" spans="2:9" hidden="1" x14ac:dyDescent="0.25">
      <c r="B127" s="48">
        <f>+'Metrics - Articles'!C126</f>
        <v>42111</v>
      </c>
      <c r="C127">
        <f>COUNTIF('Metrics - Articles'!E126,"*Sports*")</f>
        <v>0</v>
      </c>
      <c r="D127">
        <f>COUNTIF('Metrics - Articles'!E126,"*Youth*")</f>
        <v>0</v>
      </c>
      <c r="E127">
        <f>COUNTIF('Metrics - Articles'!E126,"*Healthcare*")</f>
        <v>0</v>
      </c>
      <c r="F127">
        <f>COUNTIF('Metrics - Articles'!E126,"*Innovation")</f>
        <v>1</v>
      </c>
      <c r="G127">
        <f>COUNTIF('Metrics - Articles'!E126,"*Corporate*")</f>
        <v>0</v>
      </c>
      <c r="I127" s="53">
        <f t="shared" si="2"/>
        <v>1</v>
      </c>
    </row>
    <row r="128" spans="2:9" hidden="1" x14ac:dyDescent="0.25">
      <c r="B128" s="48">
        <f>+'Metrics - Articles'!C127</f>
        <v>42114</v>
      </c>
      <c r="C128">
        <f>COUNTIF('Metrics - Articles'!E127,"*Sports*")</f>
        <v>0</v>
      </c>
      <c r="D128">
        <f>COUNTIF('Metrics - Articles'!E127,"*Youth*")</f>
        <v>0</v>
      </c>
      <c r="E128">
        <f>COUNTIF('Metrics - Articles'!E127,"*Healthcare*")</f>
        <v>0</v>
      </c>
      <c r="F128">
        <f>COUNTIF('Metrics - Articles'!E127,"*Innovation")</f>
        <v>0</v>
      </c>
      <c r="G128">
        <f>COUNTIF('Metrics - Articles'!E127,"*Corporate*")</f>
        <v>1</v>
      </c>
      <c r="I128" s="53">
        <f t="shared" si="2"/>
        <v>1</v>
      </c>
    </row>
    <row r="129" spans="2:9" hidden="1" x14ac:dyDescent="0.25">
      <c r="B129" s="48">
        <f>+'Metrics - Articles'!C128</f>
        <v>42114</v>
      </c>
      <c r="C129">
        <f>COUNTIF('Metrics - Articles'!E128,"*Sports*")</f>
        <v>0</v>
      </c>
      <c r="D129">
        <f>COUNTIF('Metrics - Articles'!E128,"*Youth*")</f>
        <v>0</v>
      </c>
      <c r="E129">
        <f>COUNTIF('Metrics - Articles'!E128,"*Healthcare*")</f>
        <v>0</v>
      </c>
      <c r="F129">
        <f>COUNTIF('Metrics - Articles'!E128,"*Innovation")</f>
        <v>0</v>
      </c>
      <c r="G129">
        <f>COUNTIF('Metrics - Articles'!E128,"*Corporate*")</f>
        <v>1</v>
      </c>
      <c r="I129" s="53">
        <f t="shared" si="2"/>
        <v>1</v>
      </c>
    </row>
    <row r="130" spans="2:9" hidden="1" x14ac:dyDescent="0.25">
      <c r="B130" s="48">
        <f>+'Metrics - Articles'!C129</f>
        <v>42114</v>
      </c>
      <c r="C130">
        <f>COUNTIF('Metrics - Articles'!E129,"*Sports*")</f>
        <v>0</v>
      </c>
      <c r="D130">
        <f>COUNTIF('Metrics - Articles'!E129,"*Youth*")</f>
        <v>1</v>
      </c>
      <c r="E130">
        <f>COUNTIF('Metrics - Articles'!E129,"*Healthcare*")</f>
        <v>0</v>
      </c>
      <c r="F130">
        <f>COUNTIF('Metrics - Articles'!E129,"*Innovation")</f>
        <v>0</v>
      </c>
      <c r="G130">
        <f>COUNTIF('Metrics - Articles'!E129,"*Corporate*")</f>
        <v>0</v>
      </c>
      <c r="I130" s="53">
        <f t="shared" si="2"/>
        <v>1</v>
      </c>
    </row>
    <row r="131" spans="2:9" hidden="1" x14ac:dyDescent="0.25">
      <c r="B131" s="48">
        <f>+'Metrics - Articles'!C130</f>
        <v>42115</v>
      </c>
      <c r="C131">
        <f>COUNTIF('Metrics - Articles'!E130,"*Sports*")</f>
        <v>0</v>
      </c>
      <c r="D131">
        <f>COUNTIF('Metrics - Articles'!E130,"*Youth*")</f>
        <v>0</v>
      </c>
      <c r="E131">
        <f>COUNTIF('Metrics - Articles'!E130,"*Healthcare*")</f>
        <v>0</v>
      </c>
      <c r="F131">
        <f>COUNTIF('Metrics - Articles'!E130,"*Innovation")</f>
        <v>0</v>
      </c>
      <c r="G131">
        <f>COUNTIF('Metrics - Articles'!E130,"*Corporate*")</f>
        <v>1</v>
      </c>
      <c r="I131" s="53">
        <f t="shared" si="2"/>
        <v>1</v>
      </c>
    </row>
    <row r="132" spans="2:9" hidden="1" x14ac:dyDescent="0.25">
      <c r="B132" s="48">
        <f>+'Metrics - Articles'!C131</f>
        <v>42116</v>
      </c>
      <c r="C132">
        <f>COUNTIF('Metrics - Articles'!E131,"*Sports*")</f>
        <v>0</v>
      </c>
      <c r="D132">
        <f>COUNTIF('Metrics - Articles'!E131,"*Youth*")</f>
        <v>0</v>
      </c>
      <c r="E132">
        <f>COUNTIF('Metrics - Articles'!E131,"*Healthcare*")</f>
        <v>0</v>
      </c>
      <c r="F132">
        <f>COUNTIF('Metrics - Articles'!E131,"*Innovation")</f>
        <v>0</v>
      </c>
      <c r="G132">
        <f>COUNTIF('Metrics - Articles'!E131,"*Corporate*")</f>
        <v>1</v>
      </c>
      <c r="I132" s="53">
        <f t="shared" si="2"/>
        <v>1</v>
      </c>
    </row>
    <row r="133" spans="2:9" hidden="1" x14ac:dyDescent="0.25">
      <c r="B133" s="48">
        <f>+'Metrics - Articles'!C132</f>
        <v>42116</v>
      </c>
      <c r="C133">
        <f>COUNTIF('Metrics - Articles'!E132,"*Sports*")</f>
        <v>0</v>
      </c>
      <c r="D133">
        <f>COUNTIF('Metrics - Articles'!E132,"*Youth*")</f>
        <v>0</v>
      </c>
      <c r="E133">
        <f>COUNTIF('Metrics - Articles'!E132,"*Healthcare*")</f>
        <v>0</v>
      </c>
      <c r="F133">
        <f>COUNTIF('Metrics - Articles'!E132,"*Innovation")</f>
        <v>0</v>
      </c>
      <c r="G133">
        <f>COUNTIF('Metrics - Articles'!E132,"*Corporate*")</f>
        <v>1</v>
      </c>
      <c r="I133" s="53">
        <f t="shared" si="2"/>
        <v>1</v>
      </c>
    </row>
    <row r="134" spans="2:9" hidden="1" x14ac:dyDescent="0.25">
      <c r="B134" s="48">
        <f>+'Metrics - Articles'!C133</f>
        <v>42116</v>
      </c>
      <c r="C134">
        <f>COUNTIF('Metrics - Articles'!E133,"*Sports*")</f>
        <v>0</v>
      </c>
      <c r="D134">
        <f>COUNTIF('Metrics - Articles'!E133,"*Youth*")</f>
        <v>0</v>
      </c>
      <c r="E134">
        <f>COUNTIF('Metrics - Articles'!E133,"*Healthcare*")</f>
        <v>0</v>
      </c>
      <c r="F134">
        <f>COUNTIF('Metrics - Articles'!E133,"*Innovation")</f>
        <v>0</v>
      </c>
      <c r="G134">
        <f>COUNTIF('Metrics - Articles'!E133,"*Corporate*")</f>
        <v>1</v>
      </c>
      <c r="I134" s="53">
        <f t="shared" si="2"/>
        <v>1</v>
      </c>
    </row>
    <row r="135" spans="2:9" hidden="1" x14ac:dyDescent="0.25">
      <c r="B135" s="48">
        <f>+'Metrics - Articles'!C134</f>
        <v>42116</v>
      </c>
      <c r="C135">
        <f>COUNTIF('Metrics - Articles'!E134,"*Sports*")</f>
        <v>0</v>
      </c>
      <c r="D135">
        <f>COUNTIF('Metrics - Articles'!E134,"*Youth*")</f>
        <v>0</v>
      </c>
      <c r="E135">
        <f>COUNTIF('Metrics - Articles'!E134,"*Healthcare*")</f>
        <v>0</v>
      </c>
      <c r="F135">
        <f>COUNTIF('Metrics - Articles'!E134,"*Innovation")</f>
        <v>1</v>
      </c>
      <c r="G135">
        <f>COUNTIF('Metrics - Articles'!E134,"*Corporate*")</f>
        <v>0</v>
      </c>
      <c r="I135" s="53">
        <f t="shared" si="2"/>
        <v>1</v>
      </c>
    </row>
    <row r="136" spans="2:9" hidden="1" x14ac:dyDescent="0.25">
      <c r="B136" s="48">
        <f>+'Metrics - Articles'!C135</f>
        <v>42117</v>
      </c>
      <c r="C136">
        <f>COUNTIF('Metrics - Articles'!E135,"*Sports*")</f>
        <v>0</v>
      </c>
      <c r="D136">
        <f>COUNTIF('Metrics - Articles'!E135,"*Youth*")</f>
        <v>0</v>
      </c>
      <c r="E136">
        <f>COUNTIF('Metrics - Articles'!E135,"*Healthcare*")</f>
        <v>0</v>
      </c>
      <c r="F136">
        <f>COUNTIF('Metrics - Articles'!E135,"*Innovation")</f>
        <v>1</v>
      </c>
      <c r="G136">
        <f>COUNTIF('Metrics - Articles'!E135,"*Corporate*")</f>
        <v>0</v>
      </c>
      <c r="I136" s="53">
        <f t="shared" ref="I136:I199" si="3">SUM(C136:H136)</f>
        <v>1</v>
      </c>
    </row>
    <row r="137" spans="2:9" hidden="1" x14ac:dyDescent="0.25">
      <c r="B137" s="48">
        <f>+'Metrics - Articles'!C136</f>
        <v>42118</v>
      </c>
      <c r="C137">
        <f>COUNTIF('Metrics - Articles'!E136,"*Sports*")</f>
        <v>0</v>
      </c>
      <c r="D137">
        <f>COUNTIF('Metrics - Articles'!E136,"*Youth*")</f>
        <v>0</v>
      </c>
      <c r="E137">
        <f>COUNTIF('Metrics - Articles'!E136,"*Healthcare*")</f>
        <v>0</v>
      </c>
      <c r="F137">
        <f>COUNTIF('Metrics - Articles'!E136,"*Innovation")</f>
        <v>0</v>
      </c>
      <c r="G137">
        <f>COUNTIF('Metrics - Articles'!E136,"*Corporate*")</f>
        <v>1</v>
      </c>
      <c r="I137" s="53">
        <f t="shared" si="3"/>
        <v>1</v>
      </c>
    </row>
    <row r="138" spans="2:9" hidden="1" x14ac:dyDescent="0.25">
      <c r="B138" s="48">
        <f>+'Metrics - Articles'!C137</f>
        <v>42118</v>
      </c>
      <c r="C138">
        <f>COUNTIF('Metrics - Articles'!E137,"*Sports*")</f>
        <v>0</v>
      </c>
      <c r="D138">
        <f>COUNTIF('Metrics - Articles'!E137,"*Youth*")</f>
        <v>0</v>
      </c>
      <c r="E138">
        <f>COUNTIF('Metrics - Articles'!E137,"*Healthcare*")</f>
        <v>0</v>
      </c>
      <c r="F138">
        <f>COUNTIF('Metrics - Articles'!E137,"*Innovation")</f>
        <v>1</v>
      </c>
      <c r="G138">
        <f>COUNTIF('Metrics - Articles'!E137,"*Corporate*")</f>
        <v>0</v>
      </c>
      <c r="I138" s="53">
        <f t="shared" si="3"/>
        <v>1</v>
      </c>
    </row>
    <row r="139" spans="2:9" hidden="1" x14ac:dyDescent="0.25">
      <c r="B139" s="48">
        <f>+'Metrics - Articles'!C138</f>
        <v>42121</v>
      </c>
      <c r="C139">
        <f>COUNTIF('Metrics - Articles'!E138,"*Sports*")</f>
        <v>0</v>
      </c>
      <c r="D139">
        <f>COUNTIF('Metrics - Articles'!E138,"*Youth*")</f>
        <v>0</v>
      </c>
      <c r="E139">
        <f>COUNTIF('Metrics - Articles'!E138,"*Healthcare*")</f>
        <v>0</v>
      </c>
      <c r="F139">
        <f>COUNTIF('Metrics - Articles'!E138,"*Innovation")</f>
        <v>1</v>
      </c>
      <c r="G139">
        <f>COUNTIF('Metrics - Articles'!E138,"*Corporate*")</f>
        <v>0</v>
      </c>
      <c r="I139" s="53">
        <f t="shared" si="3"/>
        <v>1</v>
      </c>
    </row>
    <row r="140" spans="2:9" hidden="1" x14ac:dyDescent="0.25">
      <c r="B140" s="48">
        <f>+'Metrics - Articles'!C139</f>
        <v>42121</v>
      </c>
      <c r="C140">
        <f>COUNTIF('Metrics - Articles'!E139,"*Sports*")</f>
        <v>0</v>
      </c>
      <c r="D140">
        <f>COUNTIF('Metrics - Articles'!E139,"*Youth*")</f>
        <v>0</v>
      </c>
      <c r="E140">
        <f>COUNTIF('Metrics - Articles'!E139,"*Healthcare*")</f>
        <v>0</v>
      </c>
      <c r="F140">
        <f>COUNTIF('Metrics - Articles'!E139,"*Innovation")</f>
        <v>1</v>
      </c>
      <c r="G140">
        <f>COUNTIF('Metrics - Articles'!E139,"*Corporate*")</f>
        <v>0</v>
      </c>
      <c r="I140" s="53">
        <f t="shared" si="3"/>
        <v>1</v>
      </c>
    </row>
    <row r="141" spans="2:9" hidden="1" x14ac:dyDescent="0.25">
      <c r="B141" s="48">
        <f>+'Metrics - Articles'!C140</f>
        <v>42122</v>
      </c>
      <c r="C141">
        <f>COUNTIF('Metrics - Articles'!E140,"*Sports*")</f>
        <v>0</v>
      </c>
      <c r="D141">
        <f>COUNTIF('Metrics - Articles'!E140,"*Youth*")</f>
        <v>0</v>
      </c>
      <c r="E141">
        <f>COUNTIF('Metrics - Articles'!E140,"*Healthcare*")</f>
        <v>0</v>
      </c>
      <c r="F141">
        <f>COUNTIF('Metrics - Articles'!E140,"*Innovation")</f>
        <v>0</v>
      </c>
      <c r="G141">
        <f>COUNTIF('Metrics - Articles'!E140,"*Corporate*")</f>
        <v>1</v>
      </c>
      <c r="I141" s="53">
        <f t="shared" si="3"/>
        <v>1</v>
      </c>
    </row>
    <row r="142" spans="2:9" hidden="1" x14ac:dyDescent="0.25">
      <c r="B142" s="48">
        <f>+'Metrics - Articles'!C141</f>
        <v>42122</v>
      </c>
      <c r="C142">
        <f>COUNTIF('Metrics - Articles'!E141,"*Sports*")</f>
        <v>0</v>
      </c>
      <c r="D142">
        <f>COUNTIF('Metrics - Articles'!E141,"*Youth*")</f>
        <v>0</v>
      </c>
      <c r="E142">
        <f>COUNTIF('Metrics - Articles'!E141,"*Healthcare*")</f>
        <v>0</v>
      </c>
      <c r="F142">
        <f>COUNTIF('Metrics - Articles'!E141,"*Innovation")</f>
        <v>1</v>
      </c>
      <c r="G142">
        <f>COUNTIF('Metrics - Articles'!E141,"*Corporate*")</f>
        <v>0</v>
      </c>
      <c r="I142" s="53">
        <f t="shared" si="3"/>
        <v>1</v>
      </c>
    </row>
    <row r="143" spans="2:9" hidden="1" x14ac:dyDescent="0.25">
      <c r="B143" s="48">
        <f>+'Metrics - Articles'!C142</f>
        <v>42122</v>
      </c>
      <c r="C143">
        <f>COUNTIF('Metrics - Articles'!E142,"*Sports*")</f>
        <v>0</v>
      </c>
      <c r="D143">
        <f>COUNTIF('Metrics - Articles'!E142,"*Youth*")</f>
        <v>1</v>
      </c>
      <c r="E143">
        <f>COUNTIF('Metrics - Articles'!E142,"*Healthcare*")</f>
        <v>0</v>
      </c>
      <c r="F143">
        <f>COUNTIF('Metrics - Articles'!E142,"*Innovation")</f>
        <v>0</v>
      </c>
      <c r="G143">
        <f>COUNTIF('Metrics - Articles'!E142,"*Corporate*")</f>
        <v>0</v>
      </c>
      <c r="I143" s="53">
        <f t="shared" si="3"/>
        <v>1</v>
      </c>
    </row>
    <row r="144" spans="2:9" hidden="1" x14ac:dyDescent="0.25">
      <c r="B144" s="48">
        <f>+'Metrics - Articles'!C143</f>
        <v>42123</v>
      </c>
      <c r="C144">
        <f>COUNTIF('Metrics - Articles'!E143,"*Sports*")</f>
        <v>0</v>
      </c>
      <c r="D144">
        <f>COUNTIF('Metrics - Articles'!E143,"*Youth*")</f>
        <v>0</v>
      </c>
      <c r="E144">
        <f>COUNTIF('Metrics - Articles'!E143,"*Healthcare*")</f>
        <v>0</v>
      </c>
      <c r="F144">
        <f>COUNTIF('Metrics - Articles'!E143,"*Innovation")</f>
        <v>1</v>
      </c>
      <c r="G144">
        <f>COUNTIF('Metrics - Articles'!E143,"*Corporate*")</f>
        <v>0</v>
      </c>
      <c r="I144" s="53">
        <f t="shared" si="3"/>
        <v>1</v>
      </c>
    </row>
    <row r="145" spans="2:9" hidden="1" x14ac:dyDescent="0.25">
      <c r="B145" s="48">
        <f>+'Metrics - Articles'!C144</f>
        <v>42123</v>
      </c>
      <c r="C145">
        <f>COUNTIF('Metrics - Articles'!E144,"*Sports*")</f>
        <v>1</v>
      </c>
      <c r="D145">
        <f>COUNTIF('Metrics - Articles'!E144,"*Youth*")</f>
        <v>0</v>
      </c>
      <c r="E145">
        <f>COUNTIF('Metrics - Articles'!E144,"*Healthcare*")</f>
        <v>0</v>
      </c>
      <c r="F145">
        <f>COUNTIF('Metrics - Articles'!E144,"*Innovation")</f>
        <v>0</v>
      </c>
      <c r="G145">
        <f>COUNTIF('Metrics - Articles'!E144,"*Corporate*")</f>
        <v>0</v>
      </c>
      <c r="I145" s="53">
        <f t="shared" si="3"/>
        <v>1</v>
      </c>
    </row>
    <row r="146" spans="2:9" hidden="1" x14ac:dyDescent="0.25">
      <c r="B146" s="48">
        <f>+'Metrics - Articles'!C145</f>
        <v>42124</v>
      </c>
      <c r="C146">
        <f>COUNTIF('Metrics - Articles'!E145,"*Sports*")</f>
        <v>0</v>
      </c>
      <c r="D146">
        <f>COUNTIF('Metrics - Articles'!E145,"*Youth*")</f>
        <v>0</v>
      </c>
      <c r="E146">
        <f>COUNTIF('Metrics - Articles'!E145,"*Healthcare*")</f>
        <v>0</v>
      </c>
      <c r="F146">
        <f>COUNTIF('Metrics - Articles'!E145,"*Innovation")</f>
        <v>0</v>
      </c>
      <c r="G146">
        <f>COUNTIF('Metrics - Articles'!E145,"*Corporate*")</f>
        <v>1</v>
      </c>
      <c r="I146" s="53">
        <f t="shared" si="3"/>
        <v>1</v>
      </c>
    </row>
    <row r="147" spans="2:9" hidden="1" x14ac:dyDescent="0.25">
      <c r="B147" s="48">
        <f>+'Metrics - Articles'!C146</f>
        <v>42124</v>
      </c>
      <c r="C147">
        <f>COUNTIF('Metrics - Articles'!E146,"*Sports*")</f>
        <v>0</v>
      </c>
      <c r="D147">
        <f>COUNTIF('Metrics - Articles'!E146,"*Youth*")</f>
        <v>0</v>
      </c>
      <c r="E147">
        <f>COUNTIF('Metrics - Articles'!E146,"*Healthcare*")</f>
        <v>0</v>
      </c>
      <c r="F147">
        <f>COUNTIF('Metrics - Articles'!E146,"*Innovation")</f>
        <v>1</v>
      </c>
      <c r="G147">
        <f>COUNTIF('Metrics - Articles'!E146,"*Corporate*")</f>
        <v>0</v>
      </c>
      <c r="I147" s="53">
        <f t="shared" si="3"/>
        <v>1</v>
      </c>
    </row>
    <row r="148" spans="2:9" hidden="1" x14ac:dyDescent="0.25">
      <c r="B148" s="48">
        <f>+'Metrics - Articles'!C147</f>
        <v>42124</v>
      </c>
      <c r="C148">
        <f>COUNTIF('Metrics - Articles'!E147,"*Sports*")</f>
        <v>0</v>
      </c>
      <c r="D148">
        <f>COUNTIF('Metrics - Articles'!E147,"*Youth*")</f>
        <v>0</v>
      </c>
      <c r="E148">
        <f>COUNTIF('Metrics - Articles'!E147,"*Healthcare*")</f>
        <v>0</v>
      </c>
      <c r="F148">
        <f>COUNTIF('Metrics - Articles'!E147,"*Innovation")</f>
        <v>0</v>
      </c>
      <c r="G148">
        <f>COUNTIF('Metrics - Articles'!E147,"*Corporate*")</f>
        <v>1</v>
      </c>
      <c r="I148" s="53">
        <f t="shared" si="3"/>
        <v>1</v>
      </c>
    </row>
    <row r="149" spans="2:9" hidden="1" x14ac:dyDescent="0.25">
      <c r="B149" s="48">
        <f>+'Metrics - Articles'!C148</f>
        <v>42124</v>
      </c>
      <c r="C149">
        <f>COUNTIF('Metrics - Articles'!E148,"*Sports*")</f>
        <v>0</v>
      </c>
      <c r="D149">
        <f>COUNTIF('Metrics - Articles'!E148,"*Youth*")</f>
        <v>1</v>
      </c>
      <c r="E149">
        <f>COUNTIF('Metrics - Articles'!E148,"*Healthcare*")</f>
        <v>0</v>
      </c>
      <c r="F149">
        <f>COUNTIF('Metrics - Articles'!E148,"*Innovation")</f>
        <v>0</v>
      </c>
      <c r="G149">
        <f>COUNTIF('Metrics - Articles'!E148,"*Corporate*")</f>
        <v>0</v>
      </c>
      <c r="I149" s="53">
        <f t="shared" si="3"/>
        <v>1</v>
      </c>
    </row>
    <row r="150" spans="2:9" hidden="1" x14ac:dyDescent="0.25">
      <c r="B150" s="48">
        <f>+'Metrics - Articles'!C149</f>
        <v>42125</v>
      </c>
      <c r="C150">
        <f>COUNTIF('Metrics - Articles'!E149,"*Sports*")</f>
        <v>0</v>
      </c>
      <c r="D150">
        <f>COUNTIF('Metrics - Articles'!E149,"*Youth*")</f>
        <v>0</v>
      </c>
      <c r="E150">
        <f>COUNTIF('Metrics - Articles'!E149,"*Healthcare*")</f>
        <v>0</v>
      </c>
      <c r="F150">
        <f>COUNTIF('Metrics - Articles'!E149,"*Innovation")</f>
        <v>1</v>
      </c>
      <c r="G150">
        <f>COUNTIF('Metrics - Articles'!E149,"*Corporate*")</f>
        <v>0</v>
      </c>
      <c r="I150" s="53">
        <f t="shared" si="3"/>
        <v>1</v>
      </c>
    </row>
    <row r="151" spans="2:9" hidden="1" x14ac:dyDescent="0.25">
      <c r="B151" s="48">
        <f>+'Metrics - Articles'!C150</f>
        <v>42125</v>
      </c>
      <c r="C151">
        <f>COUNTIF('Metrics - Articles'!E150,"*Sports*")</f>
        <v>0</v>
      </c>
      <c r="D151">
        <f>COUNTIF('Metrics - Articles'!E150,"*Youth*")</f>
        <v>0</v>
      </c>
      <c r="E151">
        <f>COUNTIF('Metrics - Articles'!E150,"*Healthcare*")</f>
        <v>0</v>
      </c>
      <c r="F151">
        <f>COUNTIF('Metrics - Articles'!E150,"*Innovation")</f>
        <v>1</v>
      </c>
      <c r="G151">
        <f>COUNTIF('Metrics - Articles'!E150,"*Corporate*")</f>
        <v>0</v>
      </c>
      <c r="I151" s="53">
        <f t="shared" si="3"/>
        <v>1</v>
      </c>
    </row>
    <row r="152" spans="2:9" hidden="1" x14ac:dyDescent="0.25">
      <c r="B152" s="48">
        <f>+'Metrics - Articles'!C151</f>
        <v>42125</v>
      </c>
      <c r="C152">
        <f>COUNTIF('Metrics - Articles'!E151,"*Sports*")</f>
        <v>0</v>
      </c>
      <c r="D152">
        <f>COUNTIF('Metrics - Articles'!E151,"*Youth*")</f>
        <v>0</v>
      </c>
      <c r="E152">
        <f>COUNTIF('Metrics - Articles'!E151,"*Healthcare*")</f>
        <v>0</v>
      </c>
      <c r="F152">
        <f>COUNTIF('Metrics - Articles'!E151,"*Innovation")</f>
        <v>1</v>
      </c>
      <c r="G152">
        <f>COUNTIF('Metrics - Articles'!E151,"*Corporate*")</f>
        <v>0</v>
      </c>
      <c r="I152" s="53">
        <f t="shared" si="3"/>
        <v>1</v>
      </c>
    </row>
    <row r="153" spans="2:9" hidden="1" x14ac:dyDescent="0.25">
      <c r="B153" s="48">
        <f>+'Metrics - Articles'!C152</f>
        <v>42128</v>
      </c>
      <c r="C153">
        <f>COUNTIF('Metrics - Articles'!E152,"*Sports*")</f>
        <v>0</v>
      </c>
      <c r="D153">
        <f>COUNTIF('Metrics - Articles'!E152,"*Youth*")</f>
        <v>0</v>
      </c>
      <c r="E153">
        <f>COUNTIF('Metrics - Articles'!E152,"*Healthcare*")</f>
        <v>0</v>
      </c>
      <c r="F153">
        <f>COUNTIF('Metrics - Articles'!E152,"*Innovation")</f>
        <v>1</v>
      </c>
      <c r="G153">
        <f>COUNTIF('Metrics - Articles'!E152,"*Corporate*")</f>
        <v>0</v>
      </c>
      <c r="I153" s="53">
        <f t="shared" si="3"/>
        <v>1</v>
      </c>
    </row>
    <row r="154" spans="2:9" hidden="1" x14ac:dyDescent="0.25">
      <c r="B154" s="48">
        <f>+'Metrics - Articles'!C153</f>
        <v>42128</v>
      </c>
      <c r="C154">
        <f>COUNTIF('Metrics - Articles'!E153,"*Sports*")</f>
        <v>0</v>
      </c>
      <c r="D154">
        <f>COUNTIF('Metrics - Articles'!E153,"*Youth*")</f>
        <v>0</v>
      </c>
      <c r="E154">
        <f>COUNTIF('Metrics - Articles'!E153,"*Healthcare*")</f>
        <v>0</v>
      </c>
      <c r="F154">
        <f>COUNTIF('Metrics - Articles'!E153,"*Innovation")</f>
        <v>1</v>
      </c>
      <c r="G154">
        <f>COUNTIF('Metrics - Articles'!E153,"*Corporate*")</f>
        <v>0</v>
      </c>
      <c r="I154" s="53">
        <f t="shared" si="3"/>
        <v>1</v>
      </c>
    </row>
    <row r="155" spans="2:9" hidden="1" x14ac:dyDescent="0.25">
      <c r="B155" s="48">
        <f>+'Metrics - Articles'!C154</f>
        <v>42130</v>
      </c>
      <c r="C155">
        <f>COUNTIF('Metrics - Articles'!E154,"*Sports*")</f>
        <v>0</v>
      </c>
      <c r="D155">
        <f>COUNTIF('Metrics - Articles'!E154,"*Youth*")</f>
        <v>0</v>
      </c>
      <c r="E155">
        <f>COUNTIF('Metrics - Articles'!E154,"*Healthcare*")</f>
        <v>0</v>
      </c>
      <c r="F155">
        <f>COUNTIF('Metrics - Articles'!E154,"*Innovation")</f>
        <v>1</v>
      </c>
      <c r="G155">
        <f>COUNTIF('Metrics - Articles'!E154,"*Corporate*")</f>
        <v>0</v>
      </c>
      <c r="I155" s="53">
        <f t="shared" si="3"/>
        <v>1</v>
      </c>
    </row>
    <row r="156" spans="2:9" hidden="1" x14ac:dyDescent="0.25">
      <c r="B156" s="48">
        <f>+'Metrics - Articles'!C155</f>
        <v>42130</v>
      </c>
      <c r="C156">
        <f>COUNTIF('Metrics - Articles'!E155,"*Sports*")</f>
        <v>0</v>
      </c>
      <c r="D156">
        <f>COUNTIF('Metrics - Articles'!E155,"*Youth*")</f>
        <v>0</v>
      </c>
      <c r="E156">
        <f>COUNTIF('Metrics - Articles'!E155,"*Healthcare*")</f>
        <v>0</v>
      </c>
      <c r="F156">
        <f>COUNTIF('Metrics - Articles'!E155,"*Innovation")</f>
        <v>1</v>
      </c>
      <c r="G156">
        <f>COUNTIF('Metrics - Articles'!E155,"*Corporate*")</f>
        <v>0</v>
      </c>
      <c r="I156" s="53">
        <f t="shared" si="3"/>
        <v>1</v>
      </c>
    </row>
    <row r="157" spans="2:9" hidden="1" x14ac:dyDescent="0.25">
      <c r="B157" s="48">
        <f>+'Metrics - Articles'!C156</f>
        <v>42131</v>
      </c>
      <c r="C157">
        <f>COUNTIF('Metrics - Articles'!E156,"*Sports*")</f>
        <v>0</v>
      </c>
      <c r="D157">
        <f>COUNTIF('Metrics - Articles'!E156,"*Youth*")</f>
        <v>0</v>
      </c>
      <c r="E157">
        <f>COUNTIF('Metrics - Articles'!E156,"*Healthcare*")</f>
        <v>0</v>
      </c>
      <c r="F157">
        <f>COUNTIF('Metrics - Articles'!E156,"*Innovation")</f>
        <v>0</v>
      </c>
      <c r="G157">
        <f>COUNTIF('Metrics - Articles'!E156,"*Corporate*")</f>
        <v>1</v>
      </c>
      <c r="I157" s="53">
        <f t="shared" si="3"/>
        <v>1</v>
      </c>
    </row>
    <row r="158" spans="2:9" hidden="1" x14ac:dyDescent="0.25">
      <c r="B158" s="48">
        <f>+'Metrics - Articles'!C157</f>
        <v>42131</v>
      </c>
      <c r="C158">
        <f>COUNTIF('Metrics - Articles'!E157,"*Sports*")</f>
        <v>0</v>
      </c>
      <c r="D158">
        <f>COUNTIF('Metrics - Articles'!E157,"*Youth*")</f>
        <v>0</v>
      </c>
      <c r="E158">
        <f>COUNTIF('Metrics - Articles'!E157,"*Healthcare*")</f>
        <v>0</v>
      </c>
      <c r="F158">
        <f>COUNTIF('Metrics - Articles'!E157,"*Innovation")</f>
        <v>1</v>
      </c>
      <c r="G158">
        <f>COUNTIF('Metrics - Articles'!E157,"*Corporate*")</f>
        <v>0</v>
      </c>
      <c r="I158" s="53">
        <f t="shared" si="3"/>
        <v>1</v>
      </c>
    </row>
    <row r="159" spans="2:9" hidden="1" x14ac:dyDescent="0.25">
      <c r="B159" s="48">
        <f>+'Metrics - Articles'!C158</f>
        <v>42131</v>
      </c>
      <c r="C159">
        <f>COUNTIF('Metrics - Articles'!E158,"*Sports*")</f>
        <v>0</v>
      </c>
      <c r="D159">
        <f>COUNTIF('Metrics - Articles'!E158,"*Youth*")</f>
        <v>0</v>
      </c>
      <c r="E159">
        <f>COUNTIF('Metrics - Articles'!E158,"*Healthcare*")</f>
        <v>0</v>
      </c>
      <c r="F159">
        <f>COUNTIF('Metrics - Articles'!E158,"*Innovation")</f>
        <v>1</v>
      </c>
      <c r="G159">
        <f>COUNTIF('Metrics - Articles'!E158,"*Corporate*")</f>
        <v>0</v>
      </c>
      <c r="I159" s="53">
        <f t="shared" si="3"/>
        <v>1</v>
      </c>
    </row>
    <row r="160" spans="2:9" hidden="1" x14ac:dyDescent="0.25">
      <c r="B160" s="48">
        <f>+'Metrics - Articles'!C159</f>
        <v>42132</v>
      </c>
      <c r="C160">
        <f>COUNTIF('Metrics - Articles'!E159,"*Sports*")</f>
        <v>0</v>
      </c>
      <c r="D160">
        <f>COUNTIF('Metrics - Articles'!E159,"*Youth*")</f>
        <v>0</v>
      </c>
      <c r="E160">
        <f>COUNTIF('Metrics - Articles'!E159,"*Healthcare*")</f>
        <v>0</v>
      </c>
      <c r="F160">
        <f>COUNTIF('Metrics - Articles'!E159,"*Innovation")</f>
        <v>1</v>
      </c>
      <c r="G160">
        <f>COUNTIF('Metrics - Articles'!E159,"*Corporate*")</f>
        <v>0</v>
      </c>
      <c r="I160" s="53">
        <f t="shared" si="3"/>
        <v>1</v>
      </c>
    </row>
    <row r="161" spans="2:9" hidden="1" x14ac:dyDescent="0.25">
      <c r="B161" s="48">
        <f>+'Metrics - Articles'!C160</f>
        <v>42132</v>
      </c>
      <c r="C161">
        <f>COUNTIF('Metrics - Articles'!E160,"*Sports*")</f>
        <v>0</v>
      </c>
      <c r="D161">
        <f>COUNTIF('Metrics - Articles'!E160,"*Youth*")</f>
        <v>0</v>
      </c>
      <c r="E161">
        <f>COUNTIF('Metrics - Articles'!E160,"*Healthcare*")</f>
        <v>0</v>
      </c>
      <c r="F161">
        <f>COUNTIF('Metrics - Articles'!E160,"*Innovation")</f>
        <v>1</v>
      </c>
      <c r="G161">
        <f>COUNTIF('Metrics - Articles'!E160,"*Corporate*")</f>
        <v>0</v>
      </c>
      <c r="I161" s="53">
        <f t="shared" si="3"/>
        <v>1</v>
      </c>
    </row>
    <row r="162" spans="2:9" hidden="1" x14ac:dyDescent="0.25">
      <c r="B162" s="48">
        <f>+'Metrics - Articles'!C161</f>
        <v>42132</v>
      </c>
      <c r="C162">
        <f>COUNTIF('Metrics - Articles'!E161,"*Sports*")</f>
        <v>0</v>
      </c>
      <c r="D162">
        <f>COUNTIF('Metrics - Articles'!E161,"*Youth*")</f>
        <v>0</v>
      </c>
      <c r="E162">
        <f>COUNTIF('Metrics - Articles'!E161,"*Healthcare*")</f>
        <v>0</v>
      </c>
      <c r="F162">
        <f>COUNTIF('Metrics - Articles'!E161,"*Innovation")</f>
        <v>1</v>
      </c>
      <c r="G162">
        <f>COUNTIF('Metrics - Articles'!E161,"*Corporate*")</f>
        <v>0</v>
      </c>
      <c r="I162" s="53">
        <f t="shared" si="3"/>
        <v>1</v>
      </c>
    </row>
    <row r="163" spans="2:9" hidden="1" x14ac:dyDescent="0.25">
      <c r="B163" s="48">
        <f>+'Metrics - Articles'!C162</f>
        <v>42134</v>
      </c>
      <c r="C163">
        <f>COUNTIF('Metrics - Articles'!E162,"*Sports*")</f>
        <v>0</v>
      </c>
      <c r="D163">
        <f>COUNTIF('Metrics - Articles'!E162,"*Youth*")</f>
        <v>0</v>
      </c>
      <c r="E163">
        <f>COUNTIF('Metrics - Articles'!E162,"*Healthcare*")</f>
        <v>0</v>
      </c>
      <c r="F163">
        <f>COUNTIF('Metrics - Articles'!E162,"*Innovation")</f>
        <v>0</v>
      </c>
      <c r="G163">
        <f>COUNTIF('Metrics - Articles'!E162,"*Corporate*")</f>
        <v>1</v>
      </c>
      <c r="I163" s="53">
        <f t="shared" si="3"/>
        <v>1</v>
      </c>
    </row>
    <row r="164" spans="2:9" hidden="1" x14ac:dyDescent="0.25">
      <c r="B164" s="48">
        <f>+'Metrics - Articles'!C163</f>
        <v>42137</v>
      </c>
      <c r="C164">
        <f>COUNTIF('Metrics - Articles'!E163,"*Sports*")</f>
        <v>0</v>
      </c>
      <c r="D164">
        <f>COUNTIF('Metrics - Articles'!E163,"*Youth*")</f>
        <v>0</v>
      </c>
      <c r="E164">
        <f>COUNTIF('Metrics - Articles'!E163,"*Healthcare*")</f>
        <v>0</v>
      </c>
      <c r="F164">
        <f>COUNTIF('Metrics - Articles'!E163,"*Innovation")</f>
        <v>0</v>
      </c>
      <c r="G164">
        <f>COUNTIF('Metrics - Articles'!E163,"*Corporate*")</f>
        <v>1</v>
      </c>
      <c r="I164" s="53">
        <f t="shared" si="3"/>
        <v>1</v>
      </c>
    </row>
    <row r="165" spans="2:9" hidden="1" x14ac:dyDescent="0.25">
      <c r="B165" s="48">
        <f>+'Metrics - Articles'!C164</f>
        <v>42138</v>
      </c>
      <c r="C165">
        <f>COUNTIF('Metrics - Articles'!E164,"*Sports*")</f>
        <v>0</v>
      </c>
      <c r="D165">
        <f>COUNTIF('Metrics - Articles'!E164,"*Youth*")</f>
        <v>0</v>
      </c>
      <c r="E165">
        <f>COUNTIF('Metrics - Articles'!E164,"*Healthcare*")</f>
        <v>1</v>
      </c>
      <c r="F165">
        <f>COUNTIF('Metrics - Articles'!E164,"*Innovation")</f>
        <v>0</v>
      </c>
      <c r="G165">
        <f>COUNTIF('Metrics - Articles'!E164,"*Corporate*")</f>
        <v>0</v>
      </c>
      <c r="I165" s="53">
        <f t="shared" si="3"/>
        <v>1</v>
      </c>
    </row>
    <row r="166" spans="2:9" hidden="1" x14ac:dyDescent="0.25">
      <c r="B166" s="48">
        <f>+'Metrics - Articles'!C165</f>
        <v>42139</v>
      </c>
      <c r="C166">
        <f>COUNTIF('Metrics - Articles'!E165,"*Sports*")</f>
        <v>0</v>
      </c>
      <c r="D166">
        <f>COUNTIF('Metrics - Articles'!E165,"*Youth*")</f>
        <v>0</v>
      </c>
      <c r="E166">
        <f>COUNTIF('Metrics - Articles'!E165,"*Healthcare*")</f>
        <v>0</v>
      </c>
      <c r="F166">
        <f>COUNTIF('Metrics - Articles'!E165,"*Innovation")</f>
        <v>0</v>
      </c>
      <c r="G166">
        <f>COUNTIF('Metrics - Articles'!E165,"*Corporate*")</f>
        <v>1</v>
      </c>
      <c r="I166" s="53">
        <f t="shared" si="3"/>
        <v>1</v>
      </c>
    </row>
    <row r="167" spans="2:9" hidden="1" x14ac:dyDescent="0.25">
      <c r="B167" s="48">
        <f>+'Metrics - Articles'!C166</f>
        <v>42142</v>
      </c>
      <c r="C167">
        <f>COUNTIF('Metrics - Articles'!E166,"*Sports*")</f>
        <v>0</v>
      </c>
      <c r="D167">
        <f>COUNTIF('Metrics - Articles'!E166,"*Youth*")</f>
        <v>0</v>
      </c>
      <c r="E167">
        <f>COUNTIF('Metrics - Articles'!E166,"*Healthcare*")</f>
        <v>0</v>
      </c>
      <c r="F167">
        <f>COUNTIF('Metrics - Articles'!E166,"*Innovation")</f>
        <v>1</v>
      </c>
      <c r="G167">
        <f>COUNTIF('Metrics - Articles'!E166,"*Corporate*")</f>
        <v>0</v>
      </c>
      <c r="I167" s="53">
        <f t="shared" si="3"/>
        <v>1</v>
      </c>
    </row>
    <row r="168" spans="2:9" hidden="1" x14ac:dyDescent="0.25">
      <c r="B168" s="48">
        <f>+'Metrics - Articles'!C167</f>
        <v>42143</v>
      </c>
      <c r="C168">
        <f>COUNTIF('Metrics - Articles'!E167,"*Sports*")</f>
        <v>0</v>
      </c>
      <c r="D168">
        <f>COUNTIF('Metrics - Articles'!E167,"*Youth*")</f>
        <v>0</v>
      </c>
      <c r="E168">
        <f>COUNTIF('Metrics - Articles'!E167,"*Healthcare*")</f>
        <v>0</v>
      </c>
      <c r="F168">
        <f>COUNTIF('Metrics - Articles'!E167,"*Innovation")</f>
        <v>0</v>
      </c>
      <c r="G168">
        <f>COUNTIF('Metrics - Articles'!E167,"*Corporate*")</f>
        <v>1</v>
      </c>
      <c r="I168" s="53">
        <f t="shared" si="3"/>
        <v>1</v>
      </c>
    </row>
    <row r="169" spans="2:9" hidden="1" x14ac:dyDescent="0.25">
      <c r="B169" s="48">
        <f>+'Metrics - Articles'!C168</f>
        <v>42144</v>
      </c>
      <c r="C169">
        <f>COUNTIF('Metrics - Articles'!E168,"*Sports*")</f>
        <v>0</v>
      </c>
      <c r="D169">
        <f>COUNTIF('Metrics - Articles'!E168,"*Youth*")</f>
        <v>1</v>
      </c>
      <c r="E169">
        <f>COUNTIF('Metrics - Articles'!E168,"*Healthcare*")</f>
        <v>0</v>
      </c>
      <c r="F169">
        <f>COUNTIF('Metrics - Articles'!E168,"*Innovation")</f>
        <v>0</v>
      </c>
      <c r="G169">
        <f>COUNTIF('Metrics - Articles'!E168,"*Corporate*")</f>
        <v>0</v>
      </c>
      <c r="I169" s="53">
        <f t="shared" si="3"/>
        <v>1</v>
      </c>
    </row>
    <row r="170" spans="2:9" hidden="1" x14ac:dyDescent="0.25">
      <c r="B170" s="48">
        <f>+'Metrics - Articles'!C169</f>
        <v>42144</v>
      </c>
      <c r="C170">
        <f>COUNTIF('Metrics - Articles'!E169,"*Sports*")</f>
        <v>0</v>
      </c>
      <c r="D170">
        <f>COUNTIF('Metrics - Articles'!E169,"*Youth*")</f>
        <v>0</v>
      </c>
      <c r="E170">
        <f>COUNTIF('Metrics - Articles'!E169,"*Healthcare*")</f>
        <v>0</v>
      </c>
      <c r="F170">
        <f>COUNTIF('Metrics - Articles'!E169,"*Innovation")</f>
        <v>1</v>
      </c>
      <c r="G170">
        <f>COUNTIF('Metrics - Articles'!E169,"*Corporate*")</f>
        <v>0</v>
      </c>
      <c r="I170" s="53">
        <f t="shared" si="3"/>
        <v>1</v>
      </c>
    </row>
    <row r="171" spans="2:9" hidden="1" x14ac:dyDescent="0.25">
      <c r="B171" s="48">
        <f>+'Metrics - Articles'!C170</f>
        <v>42146</v>
      </c>
      <c r="C171">
        <f>COUNTIF('Metrics - Articles'!E170,"*Sports*")</f>
        <v>0</v>
      </c>
      <c r="D171">
        <f>COUNTIF('Metrics - Articles'!E170,"*Youth*")</f>
        <v>1</v>
      </c>
      <c r="E171">
        <f>COUNTIF('Metrics - Articles'!E170,"*Healthcare*")</f>
        <v>0</v>
      </c>
      <c r="F171">
        <f>COUNTIF('Metrics - Articles'!E170,"*Innovation")</f>
        <v>0</v>
      </c>
      <c r="G171">
        <f>COUNTIF('Metrics - Articles'!E170,"*Corporate*")</f>
        <v>0</v>
      </c>
      <c r="I171" s="53">
        <f t="shared" si="3"/>
        <v>1</v>
      </c>
    </row>
    <row r="172" spans="2:9" hidden="1" x14ac:dyDescent="0.25">
      <c r="B172" s="48">
        <f>+'Metrics - Articles'!C171</f>
        <v>42146</v>
      </c>
      <c r="C172">
        <f>COUNTIF('Metrics - Articles'!E171,"*Sports*")</f>
        <v>0</v>
      </c>
      <c r="D172">
        <f>COUNTIF('Metrics - Articles'!E171,"*Youth*")</f>
        <v>0</v>
      </c>
      <c r="E172">
        <f>COUNTIF('Metrics - Articles'!E171,"*Healthcare*")</f>
        <v>0</v>
      </c>
      <c r="F172">
        <f>COUNTIF('Metrics - Articles'!E171,"*Innovation")</f>
        <v>1</v>
      </c>
      <c r="G172">
        <f>COUNTIF('Metrics - Articles'!E171,"*Corporate*")</f>
        <v>0</v>
      </c>
      <c r="I172" s="53">
        <f t="shared" si="3"/>
        <v>1</v>
      </c>
    </row>
    <row r="173" spans="2:9" hidden="1" x14ac:dyDescent="0.25">
      <c r="B173" s="48">
        <f>+'Metrics - Articles'!C172</f>
        <v>42149</v>
      </c>
      <c r="C173">
        <f>COUNTIF('Metrics - Articles'!E172,"*Sports*")</f>
        <v>0</v>
      </c>
      <c r="D173">
        <f>COUNTIF('Metrics - Articles'!E172,"*Youth*")</f>
        <v>0</v>
      </c>
      <c r="E173">
        <f>COUNTIF('Metrics - Articles'!E172,"*Healthcare*")</f>
        <v>1</v>
      </c>
      <c r="F173">
        <f>COUNTIF('Metrics - Articles'!E172,"*Innovation")</f>
        <v>0</v>
      </c>
      <c r="G173">
        <f>COUNTIF('Metrics - Articles'!E172,"*Corporate*")</f>
        <v>0</v>
      </c>
      <c r="I173" s="53">
        <f t="shared" si="3"/>
        <v>1</v>
      </c>
    </row>
    <row r="174" spans="2:9" hidden="1" x14ac:dyDescent="0.25">
      <c r="B174" s="48">
        <f>+'Metrics - Articles'!C173</f>
        <v>42150</v>
      </c>
      <c r="C174">
        <f>COUNTIF('Metrics - Articles'!E173,"*Sports*")</f>
        <v>0</v>
      </c>
      <c r="D174">
        <f>COUNTIF('Metrics - Articles'!E173,"*Youth*")</f>
        <v>0</v>
      </c>
      <c r="E174">
        <f>COUNTIF('Metrics - Articles'!E173,"*Healthcare*")</f>
        <v>0</v>
      </c>
      <c r="F174">
        <f>COUNTIF('Metrics - Articles'!E173,"*Innovation")</f>
        <v>1</v>
      </c>
      <c r="G174">
        <f>COUNTIF('Metrics - Articles'!E173,"*Corporate*")</f>
        <v>0</v>
      </c>
      <c r="I174" s="53">
        <f t="shared" si="3"/>
        <v>1</v>
      </c>
    </row>
    <row r="175" spans="2:9" hidden="1" x14ac:dyDescent="0.25">
      <c r="B175" s="48">
        <f>+'Metrics - Articles'!C174</f>
        <v>42151</v>
      </c>
      <c r="C175">
        <f>COUNTIF('Metrics - Articles'!E174,"*Sports*")</f>
        <v>0</v>
      </c>
      <c r="D175">
        <f>COUNTIF('Metrics - Articles'!E174,"*Youth*")</f>
        <v>0</v>
      </c>
      <c r="E175">
        <f>COUNTIF('Metrics - Articles'!E174,"*Healthcare*")</f>
        <v>0</v>
      </c>
      <c r="F175">
        <f>COUNTIF('Metrics - Articles'!E174,"*Innovation")</f>
        <v>0</v>
      </c>
      <c r="G175">
        <f>COUNTIF('Metrics - Articles'!E174,"*Corporate*")</f>
        <v>1</v>
      </c>
      <c r="I175" s="53">
        <f t="shared" si="3"/>
        <v>1</v>
      </c>
    </row>
    <row r="176" spans="2:9" hidden="1" x14ac:dyDescent="0.25">
      <c r="B176" s="48">
        <f>+'Metrics - Articles'!C175</f>
        <v>42151</v>
      </c>
      <c r="C176">
        <f>COUNTIF('Metrics - Articles'!E175,"*Sports*")</f>
        <v>0</v>
      </c>
      <c r="D176">
        <f>COUNTIF('Metrics - Articles'!E175,"*Youth*")</f>
        <v>0</v>
      </c>
      <c r="E176">
        <f>COUNTIF('Metrics - Articles'!E175,"*Healthcare*")</f>
        <v>0</v>
      </c>
      <c r="F176">
        <f>COUNTIF('Metrics - Articles'!E175,"*Innovation")</f>
        <v>1</v>
      </c>
      <c r="G176">
        <f>COUNTIF('Metrics - Articles'!E175,"*Corporate*")</f>
        <v>0</v>
      </c>
      <c r="I176" s="53">
        <f t="shared" si="3"/>
        <v>1</v>
      </c>
    </row>
    <row r="177" spans="2:9" hidden="1" x14ac:dyDescent="0.25">
      <c r="B177" s="48">
        <f>+'Metrics - Articles'!C176</f>
        <v>42151</v>
      </c>
      <c r="C177">
        <f>COUNTIF('Metrics - Articles'!E176,"*Sports*")</f>
        <v>0</v>
      </c>
      <c r="D177">
        <f>COUNTIF('Metrics - Articles'!E176,"*Youth*")</f>
        <v>0</v>
      </c>
      <c r="E177">
        <f>COUNTIF('Metrics - Articles'!E176,"*Healthcare*")</f>
        <v>0</v>
      </c>
      <c r="F177">
        <f>COUNTIF('Metrics - Articles'!E176,"*Innovation")</f>
        <v>1</v>
      </c>
      <c r="G177">
        <f>COUNTIF('Metrics - Articles'!E176,"*Corporate*")</f>
        <v>0</v>
      </c>
      <c r="I177" s="53">
        <f t="shared" si="3"/>
        <v>1</v>
      </c>
    </row>
    <row r="178" spans="2:9" hidden="1" x14ac:dyDescent="0.25">
      <c r="B178" s="48">
        <f>+'Metrics - Articles'!C177</f>
        <v>42152</v>
      </c>
      <c r="C178">
        <f>COUNTIF('Metrics - Articles'!E177,"*Sports*")</f>
        <v>0</v>
      </c>
      <c r="D178">
        <f>COUNTIF('Metrics - Articles'!E177,"*Youth*")</f>
        <v>0</v>
      </c>
      <c r="E178">
        <f>COUNTIF('Metrics - Articles'!E177,"*Healthcare*")</f>
        <v>0</v>
      </c>
      <c r="F178">
        <f>COUNTIF('Metrics - Articles'!E177,"*Innovation")</f>
        <v>0</v>
      </c>
      <c r="G178">
        <f>COUNTIF('Metrics - Articles'!E177,"*Corporate*")</f>
        <v>1</v>
      </c>
      <c r="I178" s="53">
        <f t="shared" si="3"/>
        <v>1</v>
      </c>
    </row>
    <row r="179" spans="2:9" hidden="1" x14ac:dyDescent="0.25">
      <c r="B179" s="48">
        <f>+'Metrics - Articles'!C178</f>
        <v>42153</v>
      </c>
      <c r="C179">
        <f>COUNTIF('Metrics - Articles'!E178,"*Sports*")</f>
        <v>0</v>
      </c>
      <c r="D179">
        <f>COUNTIF('Metrics - Articles'!E178,"*Youth*")</f>
        <v>0</v>
      </c>
      <c r="E179">
        <f>COUNTIF('Metrics - Articles'!E178,"*Healthcare*")</f>
        <v>0</v>
      </c>
      <c r="F179">
        <f>COUNTIF('Metrics - Articles'!E178,"*Innovation")</f>
        <v>0</v>
      </c>
      <c r="G179">
        <f>COUNTIF('Metrics - Articles'!E178,"*Corporate*")</f>
        <v>1</v>
      </c>
      <c r="I179" s="53">
        <f t="shared" si="3"/>
        <v>1</v>
      </c>
    </row>
    <row r="180" spans="2:9" hidden="1" x14ac:dyDescent="0.25">
      <c r="B180" s="48">
        <f>+'Metrics - Articles'!C179</f>
        <v>42153</v>
      </c>
      <c r="C180">
        <f>COUNTIF('Metrics - Articles'!E179,"*Sports*")</f>
        <v>0</v>
      </c>
      <c r="D180">
        <f>COUNTIF('Metrics - Articles'!E179,"*Youth*")</f>
        <v>1</v>
      </c>
      <c r="E180">
        <f>COUNTIF('Metrics - Articles'!E179,"*Healthcare*")</f>
        <v>0</v>
      </c>
      <c r="F180">
        <f>COUNTIF('Metrics - Articles'!E179,"*Innovation")</f>
        <v>0</v>
      </c>
      <c r="G180">
        <f>COUNTIF('Metrics - Articles'!E179,"*Corporate*")</f>
        <v>0</v>
      </c>
      <c r="I180" s="53">
        <f t="shared" si="3"/>
        <v>1</v>
      </c>
    </row>
    <row r="181" spans="2:9" hidden="1" x14ac:dyDescent="0.25">
      <c r="B181" s="48">
        <f>+'Metrics - Articles'!C180</f>
        <v>42153</v>
      </c>
      <c r="C181">
        <f>COUNTIF('Metrics - Articles'!E180,"*Sports*")</f>
        <v>1</v>
      </c>
      <c r="D181">
        <f>COUNTIF('Metrics - Articles'!E180,"*Youth*")</f>
        <v>0</v>
      </c>
      <c r="E181">
        <f>COUNTIF('Metrics - Articles'!E180,"*Healthcare*")</f>
        <v>0</v>
      </c>
      <c r="F181">
        <f>COUNTIF('Metrics - Articles'!E180,"*Innovation")</f>
        <v>0</v>
      </c>
      <c r="G181">
        <f>COUNTIF('Metrics - Articles'!E180,"*Corporate*")</f>
        <v>0</v>
      </c>
      <c r="I181" s="53">
        <f t="shared" si="3"/>
        <v>1</v>
      </c>
    </row>
    <row r="182" spans="2:9" hidden="1" x14ac:dyDescent="0.25">
      <c r="B182" s="48">
        <f>+'Metrics - Articles'!C181</f>
        <v>42156</v>
      </c>
      <c r="C182">
        <f>COUNTIF('Metrics - Articles'!E181,"*Sports*")</f>
        <v>0</v>
      </c>
      <c r="D182">
        <f>COUNTIF('Metrics - Articles'!E181,"*Youth*")</f>
        <v>0</v>
      </c>
      <c r="E182">
        <f>COUNTIF('Metrics - Articles'!E181,"*Healthcare*")</f>
        <v>0</v>
      </c>
      <c r="F182">
        <f>COUNTIF('Metrics - Articles'!E181,"*Innovation")</f>
        <v>1</v>
      </c>
      <c r="G182">
        <f>COUNTIF('Metrics - Articles'!E181,"*Corporate*")</f>
        <v>0</v>
      </c>
      <c r="I182" s="53">
        <f t="shared" si="3"/>
        <v>1</v>
      </c>
    </row>
    <row r="183" spans="2:9" hidden="1" x14ac:dyDescent="0.25">
      <c r="B183" s="48">
        <f>+'Metrics - Articles'!C182</f>
        <v>42157</v>
      </c>
      <c r="C183">
        <f>COUNTIF('Metrics - Articles'!E182,"*Sports*")</f>
        <v>0</v>
      </c>
      <c r="D183">
        <f>COUNTIF('Metrics - Articles'!E182,"*Youth*")</f>
        <v>0</v>
      </c>
      <c r="E183">
        <f>COUNTIF('Metrics - Articles'!E182,"*Healthcare*")</f>
        <v>0</v>
      </c>
      <c r="F183">
        <f>COUNTIF('Metrics - Articles'!E182,"*Innovation")</f>
        <v>1</v>
      </c>
      <c r="G183">
        <f>COUNTIF('Metrics - Articles'!E182,"*Corporate*")</f>
        <v>0</v>
      </c>
      <c r="I183" s="53">
        <f t="shared" si="3"/>
        <v>1</v>
      </c>
    </row>
    <row r="184" spans="2:9" hidden="1" x14ac:dyDescent="0.25">
      <c r="B184" s="48">
        <f>+'Metrics - Articles'!C183</f>
        <v>42157</v>
      </c>
      <c r="C184">
        <f>COUNTIF('Metrics - Articles'!E183,"*Sports*")</f>
        <v>0</v>
      </c>
      <c r="D184">
        <f>COUNTIF('Metrics - Articles'!E183,"*Youth*")</f>
        <v>0</v>
      </c>
      <c r="E184">
        <f>COUNTIF('Metrics - Articles'!E183,"*Healthcare*")</f>
        <v>0</v>
      </c>
      <c r="F184">
        <f>COUNTIF('Metrics - Articles'!E183,"*Innovation")</f>
        <v>0</v>
      </c>
      <c r="G184">
        <f>COUNTIF('Metrics - Articles'!E183,"*Corporate*")</f>
        <v>1</v>
      </c>
      <c r="I184" s="53">
        <f t="shared" si="3"/>
        <v>1</v>
      </c>
    </row>
    <row r="185" spans="2:9" hidden="1" x14ac:dyDescent="0.25">
      <c r="B185" s="48">
        <f>+'Metrics - Articles'!C184</f>
        <v>42158</v>
      </c>
      <c r="C185">
        <f>COUNTIF('Metrics - Articles'!E184,"*Sports*")</f>
        <v>0</v>
      </c>
      <c r="D185">
        <f>COUNTIF('Metrics - Articles'!E184,"*Youth*")</f>
        <v>0</v>
      </c>
      <c r="E185">
        <f>COUNTIF('Metrics - Articles'!E184,"*Healthcare*")</f>
        <v>1</v>
      </c>
      <c r="F185">
        <f>COUNTIF('Metrics - Articles'!E184,"*Innovation")</f>
        <v>0</v>
      </c>
      <c r="G185">
        <f>COUNTIF('Metrics - Articles'!E184,"*Corporate*")</f>
        <v>0</v>
      </c>
      <c r="I185" s="53">
        <f t="shared" si="3"/>
        <v>1</v>
      </c>
    </row>
    <row r="186" spans="2:9" hidden="1" x14ac:dyDescent="0.25">
      <c r="B186" s="48">
        <f>+'Metrics - Articles'!C185</f>
        <v>42158</v>
      </c>
      <c r="C186">
        <f>COUNTIF('Metrics - Articles'!E185,"*Sports*")</f>
        <v>0</v>
      </c>
      <c r="D186">
        <f>COUNTIF('Metrics - Articles'!E185,"*Youth*")</f>
        <v>0</v>
      </c>
      <c r="E186">
        <f>COUNTIF('Metrics - Articles'!E185,"*Healthcare*")</f>
        <v>0</v>
      </c>
      <c r="F186">
        <f>COUNTIF('Metrics - Articles'!E185,"*Innovation")</f>
        <v>1</v>
      </c>
      <c r="G186">
        <f>COUNTIF('Metrics - Articles'!E185,"*Corporate*")</f>
        <v>0</v>
      </c>
      <c r="I186" s="53">
        <f t="shared" si="3"/>
        <v>1</v>
      </c>
    </row>
    <row r="187" spans="2:9" hidden="1" x14ac:dyDescent="0.25">
      <c r="B187" s="48">
        <f>+'Metrics - Articles'!C186</f>
        <v>42158</v>
      </c>
      <c r="C187">
        <f>COUNTIF('Metrics - Articles'!E186,"*Sports*")</f>
        <v>0</v>
      </c>
      <c r="D187">
        <f>COUNTIF('Metrics - Articles'!E186,"*Youth*")</f>
        <v>0</v>
      </c>
      <c r="E187">
        <f>COUNTIF('Metrics - Articles'!E186,"*Healthcare*")</f>
        <v>0</v>
      </c>
      <c r="F187">
        <f>COUNTIF('Metrics - Articles'!E186,"*Innovation")</f>
        <v>1</v>
      </c>
      <c r="G187">
        <f>COUNTIF('Metrics - Articles'!E186,"*Corporate*")</f>
        <v>0</v>
      </c>
      <c r="I187" s="53">
        <f t="shared" si="3"/>
        <v>1</v>
      </c>
    </row>
    <row r="188" spans="2:9" hidden="1" x14ac:dyDescent="0.25">
      <c r="B188" s="48">
        <f>+'Metrics - Articles'!C187</f>
        <v>42159</v>
      </c>
      <c r="C188">
        <f>COUNTIF('Metrics - Articles'!E187,"*Sports*")</f>
        <v>0</v>
      </c>
      <c r="D188">
        <f>COUNTIF('Metrics - Articles'!E187,"*Youth*")</f>
        <v>0</v>
      </c>
      <c r="E188">
        <f>COUNTIF('Metrics - Articles'!E187,"*Healthcare*")</f>
        <v>0</v>
      </c>
      <c r="F188">
        <f>COUNTIF('Metrics - Articles'!E187,"*Innovation")</f>
        <v>0</v>
      </c>
      <c r="G188">
        <f>COUNTIF('Metrics - Articles'!E187,"*Corporate*")</f>
        <v>1</v>
      </c>
      <c r="I188" s="53">
        <f t="shared" si="3"/>
        <v>1</v>
      </c>
    </row>
    <row r="189" spans="2:9" hidden="1" x14ac:dyDescent="0.25">
      <c r="B189" s="48">
        <f>+'Metrics - Articles'!C188</f>
        <v>42163</v>
      </c>
      <c r="C189">
        <f>COUNTIF('Metrics - Articles'!E188,"*Sports*")</f>
        <v>0</v>
      </c>
      <c r="D189">
        <f>COUNTIF('Metrics - Articles'!E188,"*Youth*")</f>
        <v>0</v>
      </c>
      <c r="E189">
        <f>COUNTIF('Metrics - Articles'!E188,"*Healthcare*")</f>
        <v>0</v>
      </c>
      <c r="F189">
        <f>COUNTIF('Metrics - Articles'!E188,"*Innovation")</f>
        <v>0</v>
      </c>
      <c r="G189">
        <f>COUNTIF('Metrics - Articles'!E188,"*Corporate*")</f>
        <v>1</v>
      </c>
      <c r="I189" s="53">
        <f t="shared" si="3"/>
        <v>1</v>
      </c>
    </row>
    <row r="190" spans="2:9" hidden="1" x14ac:dyDescent="0.25">
      <c r="B190" s="48">
        <f>+'Metrics - Articles'!C189</f>
        <v>42164</v>
      </c>
      <c r="C190">
        <f>COUNTIF('Metrics - Articles'!E189,"*Sports*")</f>
        <v>0</v>
      </c>
      <c r="D190">
        <f>COUNTIF('Metrics - Articles'!E189,"*Youth*")</f>
        <v>0</v>
      </c>
      <c r="E190">
        <f>COUNTIF('Metrics - Articles'!E189,"*Healthcare*")</f>
        <v>0</v>
      </c>
      <c r="F190">
        <f>COUNTIF('Metrics - Articles'!E189,"*Innovation")</f>
        <v>1</v>
      </c>
      <c r="G190">
        <f>COUNTIF('Metrics - Articles'!E189,"*Corporate*")</f>
        <v>0</v>
      </c>
      <c r="I190" s="53">
        <f t="shared" si="3"/>
        <v>1</v>
      </c>
    </row>
    <row r="191" spans="2:9" hidden="1" x14ac:dyDescent="0.25">
      <c r="B191" s="48">
        <f>+'Metrics - Articles'!C190</f>
        <v>42164</v>
      </c>
      <c r="C191">
        <f>COUNTIF('Metrics - Articles'!E190,"*Sports*")</f>
        <v>0</v>
      </c>
      <c r="D191">
        <f>COUNTIF('Metrics - Articles'!E190,"*Youth*")</f>
        <v>0</v>
      </c>
      <c r="E191">
        <f>COUNTIF('Metrics - Articles'!E190,"*Healthcare*")</f>
        <v>0</v>
      </c>
      <c r="F191">
        <f>COUNTIF('Metrics - Articles'!E190,"*Innovation")</f>
        <v>1</v>
      </c>
      <c r="G191">
        <f>COUNTIF('Metrics - Articles'!E190,"*Corporate*")</f>
        <v>0</v>
      </c>
      <c r="I191" s="53">
        <f t="shared" si="3"/>
        <v>1</v>
      </c>
    </row>
    <row r="192" spans="2:9" hidden="1" x14ac:dyDescent="0.25">
      <c r="B192" s="48">
        <f>+'Metrics - Articles'!C191</f>
        <v>42164</v>
      </c>
      <c r="C192">
        <f>COUNTIF('Metrics - Articles'!E191,"*Sports*")</f>
        <v>0</v>
      </c>
      <c r="D192">
        <f>COUNTIF('Metrics - Articles'!E191,"*Youth*")</f>
        <v>0</v>
      </c>
      <c r="E192">
        <f>COUNTIF('Metrics - Articles'!E191,"*Healthcare*")</f>
        <v>0</v>
      </c>
      <c r="F192">
        <f>COUNTIF('Metrics - Articles'!E191,"*Innovation")</f>
        <v>0</v>
      </c>
      <c r="G192">
        <f>COUNTIF('Metrics - Articles'!E191,"*Corporate*")</f>
        <v>1</v>
      </c>
      <c r="I192" s="53">
        <f t="shared" si="3"/>
        <v>1</v>
      </c>
    </row>
    <row r="193" spans="2:9" hidden="1" x14ac:dyDescent="0.25">
      <c r="B193" s="48">
        <f>+'Metrics - Articles'!C192</f>
        <v>42165</v>
      </c>
      <c r="C193">
        <f>COUNTIF('Metrics - Articles'!E192,"*Sports*")</f>
        <v>0</v>
      </c>
      <c r="D193">
        <f>COUNTIF('Metrics - Articles'!E192,"*Youth*")</f>
        <v>0</v>
      </c>
      <c r="E193">
        <f>COUNTIF('Metrics - Articles'!E192,"*Healthcare*")</f>
        <v>0</v>
      </c>
      <c r="F193">
        <f>COUNTIF('Metrics - Articles'!E192,"*Innovation")</f>
        <v>1</v>
      </c>
      <c r="G193">
        <f>COUNTIF('Metrics - Articles'!E192,"*Corporate*")</f>
        <v>0</v>
      </c>
      <c r="I193" s="53">
        <f t="shared" si="3"/>
        <v>1</v>
      </c>
    </row>
    <row r="194" spans="2:9" hidden="1" x14ac:dyDescent="0.25">
      <c r="B194" s="48">
        <f>+'Metrics - Articles'!C193</f>
        <v>42165</v>
      </c>
      <c r="C194">
        <f>COUNTIF('Metrics - Articles'!E193,"*Sports*")</f>
        <v>0</v>
      </c>
      <c r="D194">
        <f>COUNTIF('Metrics - Articles'!E193,"*Youth*")</f>
        <v>0</v>
      </c>
      <c r="E194">
        <f>COUNTIF('Metrics - Articles'!E193,"*Healthcare*")</f>
        <v>0</v>
      </c>
      <c r="F194">
        <f>COUNTIF('Metrics - Articles'!E193,"*Innovation")</f>
        <v>1</v>
      </c>
      <c r="G194">
        <f>COUNTIF('Metrics - Articles'!E193,"*Corporate*")</f>
        <v>0</v>
      </c>
      <c r="I194" s="53">
        <f t="shared" si="3"/>
        <v>1</v>
      </c>
    </row>
    <row r="195" spans="2:9" hidden="1" x14ac:dyDescent="0.25">
      <c r="B195" s="48">
        <f>+'Metrics - Articles'!C194</f>
        <v>42166</v>
      </c>
      <c r="C195">
        <f>COUNTIF('Metrics - Articles'!E194,"*Sports*")</f>
        <v>0</v>
      </c>
      <c r="D195">
        <f>COUNTIF('Metrics - Articles'!E194,"*Youth*")</f>
        <v>0</v>
      </c>
      <c r="E195">
        <f>COUNTIF('Metrics - Articles'!E194,"*Healthcare*")</f>
        <v>0</v>
      </c>
      <c r="F195">
        <f>COUNTIF('Metrics - Articles'!E194,"*Innovation")</f>
        <v>0</v>
      </c>
      <c r="G195">
        <f>COUNTIF('Metrics - Articles'!E194,"*Corporate*")</f>
        <v>1</v>
      </c>
      <c r="I195" s="53">
        <f t="shared" si="3"/>
        <v>1</v>
      </c>
    </row>
    <row r="196" spans="2:9" hidden="1" x14ac:dyDescent="0.25">
      <c r="B196" s="48">
        <f>+'Metrics - Articles'!C195</f>
        <v>42166</v>
      </c>
      <c r="C196">
        <f>COUNTIF('Metrics - Articles'!E195,"*Sports*")</f>
        <v>0</v>
      </c>
      <c r="D196">
        <f>COUNTIF('Metrics - Articles'!E195,"*Youth*")</f>
        <v>0</v>
      </c>
      <c r="E196">
        <f>COUNTIF('Metrics - Articles'!E195,"*Healthcare*")</f>
        <v>0</v>
      </c>
      <c r="F196">
        <f>COUNTIF('Metrics - Articles'!E195,"*Innovation")</f>
        <v>0</v>
      </c>
      <c r="G196">
        <f>COUNTIF('Metrics - Articles'!E195,"*Corporate*")</f>
        <v>1</v>
      </c>
      <c r="I196" s="53">
        <f t="shared" si="3"/>
        <v>1</v>
      </c>
    </row>
    <row r="197" spans="2:9" hidden="1" x14ac:dyDescent="0.25">
      <c r="B197" s="48">
        <f>+'Metrics - Articles'!C196</f>
        <v>42170</v>
      </c>
      <c r="C197">
        <f>COUNTIF('Metrics - Articles'!E196,"*Sports*")</f>
        <v>0</v>
      </c>
      <c r="D197">
        <f>COUNTIF('Metrics - Articles'!E196,"*Youth*")</f>
        <v>0</v>
      </c>
      <c r="E197">
        <f>COUNTIF('Metrics - Articles'!E196,"*Healthcare*")</f>
        <v>0</v>
      </c>
      <c r="F197">
        <f>COUNTIF('Metrics - Articles'!E196,"*Innovation")</f>
        <v>1</v>
      </c>
      <c r="G197">
        <f>COUNTIF('Metrics - Articles'!E196,"*Corporate*")</f>
        <v>0</v>
      </c>
      <c r="I197" s="53">
        <f t="shared" si="3"/>
        <v>1</v>
      </c>
    </row>
    <row r="198" spans="2:9" hidden="1" x14ac:dyDescent="0.25">
      <c r="B198" s="48">
        <f>+'Metrics - Articles'!C197</f>
        <v>42170</v>
      </c>
      <c r="C198">
        <f>COUNTIF('Metrics - Articles'!E197,"*Sports*")</f>
        <v>0</v>
      </c>
      <c r="D198">
        <f>COUNTIF('Metrics - Articles'!E197,"*Youth*")</f>
        <v>0</v>
      </c>
      <c r="E198">
        <f>COUNTIF('Metrics - Articles'!E197,"*Healthcare*")</f>
        <v>0</v>
      </c>
      <c r="F198">
        <f>COUNTIF('Metrics - Articles'!E197,"*Innovation")</f>
        <v>1</v>
      </c>
      <c r="G198">
        <f>COUNTIF('Metrics - Articles'!E197,"*Corporate*")</f>
        <v>0</v>
      </c>
      <c r="I198" s="53">
        <f t="shared" si="3"/>
        <v>1</v>
      </c>
    </row>
    <row r="199" spans="2:9" hidden="1" x14ac:dyDescent="0.25">
      <c r="B199" s="48">
        <f>+'Metrics - Articles'!C198</f>
        <v>42171</v>
      </c>
      <c r="C199">
        <f>COUNTIF('Metrics - Articles'!E198,"*Sports*")</f>
        <v>0</v>
      </c>
      <c r="D199">
        <f>COUNTIF('Metrics - Articles'!E198,"*Youth*")</f>
        <v>1</v>
      </c>
      <c r="E199">
        <f>COUNTIF('Metrics - Articles'!E198,"*Healthcare*")</f>
        <v>0</v>
      </c>
      <c r="F199">
        <f>COUNTIF('Metrics - Articles'!E198,"*Innovation")</f>
        <v>0</v>
      </c>
      <c r="G199">
        <f>COUNTIF('Metrics - Articles'!E198,"*Corporate*")</f>
        <v>0</v>
      </c>
      <c r="I199" s="53">
        <f t="shared" si="3"/>
        <v>1</v>
      </c>
    </row>
    <row r="200" spans="2:9" hidden="1" x14ac:dyDescent="0.25">
      <c r="B200" s="48">
        <f>+'Metrics - Articles'!C199</f>
        <v>42171</v>
      </c>
      <c r="C200">
        <f>COUNTIF('Metrics - Articles'!E199,"*Sports*")</f>
        <v>0</v>
      </c>
      <c r="D200">
        <f>COUNTIF('Metrics - Articles'!E199,"*Youth*")</f>
        <v>1</v>
      </c>
      <c r="E200">
        <f>COUNTIF('Metrics - Articles'!E199,"*Healthcare*")</f>
        <v>0</v>
      </c>
      <c r="F200">
        <f>COUNTIF('Metrics - Articles'!E199,"*Innovation")</f>
        <v>0</v>
      </c>
      <c r="G200">
        <f>COUNTIF('Metrics - Articles'!E199,"*Corporate*")</f>
        <v>0</v>
      </c>
      <c r="I200" s="53">
        <f t="shared" ref="I200:I263" si="4">SUM(C200:H200)</f>
        <v>1</v>
      </c>
    </row>
    <row r="201" spans="2:9" hidden="1" x14ac:dyDescent="0.25">
      <c r="B201" s="48">
        <f>+'Metrics - Articles'!C200</f>
        <v>42172</v>
      </c>
      <c r="C201">
        <f>COUNTIF('Metrics - Articles'!E200,"*Sports*")</f>
        <v>0</v>
      </c>
      <c r="D201">
        <f>COUNTIF('Metrics - Articles'!E200,"*Youth*")</f>
        <v>0</v>
      </c>
      <c r="E201">
        <f>COUNTIF('Metrics - Articles'!E200,"*Healthcare*")</f>
        <v>0</v>
      </c>
      <c r="F201">
        <f>COUNTIF('Metrics - Articles'!E200,"*Innovation")</f>
        <v>1</v>
      </c>
      <c r="G201">
        <f>COUNTIF('Metrics - Articles'!E200,"*Corporate*")</f>
        <v>0</v>
      </c>
      <c r="I201" s="53">
        <f t="shared" si="4"/>
        <v>1</v>
      </c>
    </row>
    <row r="202" spans="2:9" hidden="1" x14ac:dyDescent="0.25">
      <c r="B202" s="48">
        <f>+'Metrics - Articles'!C201</f>
        <v>42172</v>
      </c>
      <c r="C202">
        <f>COUNTIF('Metrics - Articles'!E201,"*Sports*")</f>
        <v>0</v>
      </c>
      <c r="D202">
        <f>COUNTIF('Metrics - Articles'!E201,"*Youth*")</f>
        <v>0</v>
      </c>
      <c r="E202">
        <f>COUNTIF('Metrics - Articles'!E201,"*Healthcare*")</f>
        <v>0</v>
      </c>
      <c r="F202">
        <f>COUNTIF('Metrics - Articles'!E201,"*Innovation")</f>
        <v>0</v>
      </c>
      <c r="G202">
        <f>COUNTIF('Metrics - Articles'!E201,"*Corporate*")</f>
        <v>1</v>
      </c>
      <c r="I202" s="53">
        <f t="shared" si="4"/>
        <v>1</v>
      </c>
    </row>
    <row r="203" spans="2:9" hidden="1" x14ac:dyDescent="0.25">
      <c r="B203" s="48">
        <f>+'Metrics - Articles'!C202</f>
        <v>42173</v>
      </c>
      <c r="C203">
        <f>COUNTIF('Metrics - Articles'!E202,"*Sports*")</f>
        <v>0</v>
      </c>
      <c r="D203">
        <f>COUNTIF('Metrics - Articles'!E202,"*Youth*")</f>
        <v>0</v>
      </c>
      <c r="E203">
        <f>COUNTIF('Metrics - Articles'!E202,"*Healthcare*")</f>
        <v>0</v>
      </c>
      <c r="F203">
        <f>COUNTIF('Metrics - Articles'!E202,"*Innovation")</f>
        <v>1</v>
      </c>
      <c r="G203">
        <f>COUNTIF('Metrics - Articles'!E202,"*Corporate*")</f>
        <v>0</v>
      </c>
      <c r="I203" s="53">
        <f t="shared" si="4"/>
        <v>1</v>
      </c>
    </row>
    <row r="204" spans="2:9" hidden="1" x14ac:dyDescent="0.25">
      <c r="B204" s="48">
        <f>+'Metrics - Articles'!C203</f>
        <v>42177</v>
      </c>
      <c r="C204">
        <f>COUNTIF('Metrics - Articles'!E203,"*Sports*")</f>
        <v>0</v>
      </c>
      <c r="D204">
        <f>COUNTIF('Metrics - Articles'!E203,"*Youth*")</f>
        <v>0</v>
      </c>
      <c r="E204">
        <f>COUNTIF('Metrics - Articles'!E203,"*Healthcare*")</f>
        <v>0</v>
      </c>
      <c r="F204">
        <f>COUNTIF('Metrics - Articles'!E203,"*Innovation")</f>
        <v>0</v>
      </c>
      <c r="G204">
        <f>COUNTIF('Metrics - Articles'!E203,"*Corporate*")</f>
        <v>1</v>
      </c>
      <c r="I204" s="53">
        <f t="shared" si="4"/>
        <v>1</v>
      </c>
    </row>
    <row r="205" spans="2:9" hidden="1" x14ac:dyDescent="0.25">
      <c r="B205" s="48">
        <f>+'Metrics - Articles'!C204</f>
        <v>42178</v>
      </c>
      <c r="C205">
        <f>COUNTIF('Metrics - Articles'!E204,"*Sports*")</f>
        <v>0</v>
      </c>
      <c r="D205">
        <f>COUNTIF('Metrics - Articles'!E204,"*Youth*")</f>
        <v>0</v>
      </c>
      <c r="E205">
        <f>COUNTIF('Metrics - Articles'!E204,"*Healthcare*")</f>
        <v>0</v>
      </c>
      <c r="F205">
        <f>COUNTIF('Metrics - Articles'!E204,"*Innovation")</f>
        <v>0</v>
      </c>
      <c r="G205">
        <f>COUNTIF('Metrics - Articles'!E204,"*Corporate*")</f>
        <v>1</v>
      </c>
      <c r="I205" s="53">
        <f t="shared" si="4"/>
        <v>1</v>
      </c>
    </row>
    <row r="206" spans="2:9" hidden="1" x14ac:dyDescent="0.25">
      <c r="B206" s="48">
        <f>+'Metrics - Articles'!C205</f>
        <v>42179</v>
      </c>
      <c r="C206">
        <f>COUNTIF('Metrics - Articles'!E205,"*Sports*")</f>
        <v>0</v>
      </c>
      <c r="D206">
        <f>COUNTIF('Metrics - Articles'!E205,"*Youth*")</f>
        <v>0</v>
      </c>
      <c r="E206">
        <f>COUNTIF('Metrics - Articles'!E205,"*Healthcare*")</f>
        <v>0</v>
      </c>
      <c r="F206">
        <f>COUNTIF('Metrics - Articles'!E205,"*Innovation")</f>
        <v>0</v>
      </c>
      <c r="G206">
        <f>COUNTIF('Metrics - Articles'!E205,"*Corporate*")</f>
        <v>1</v>
      </c>
      <c r="I206" s="53">
        <f t="shared" si="4"/>
        <v>1</v>
      </c>
    </row>
    <row r="207" spans="2:9" hidden="1" x14ac:dyDescent="0.25">
      <c r="B207" s="48">
        <f>+'Metrics - Articles'!C206</f>
        <v>42179</v>
      </c>
      <c r="C207">
        <f>COUNTIF('Metrics - Articles'!E206,"*Sports*")</f>
        <v>0</v>
      </c>
      <c r="D207">
        <f>COUNTIF('Metrics - Articles'!E206,"*Youth*")</f>
        <v>0</v>
      </c>
      <c r="E207">
        <f>COUNTIF('Metrics - Articles'!E206,"*Healthcare*")</f>
        <v>0</v>
      </c>
      <c r="F207">
        <f>COUNTIF('Metrics - Articles'!E206,"*Innovation")</f>
        <v>0</v>
      </c>
      <c r="G207">
        <f>COUNTIF('Metrics - Articles'!E206,"*Corporate*")</f>
        <v>1</v>
      </c>
      <c r="I207" s="53">
        <f t="shared" si="4"/>
        <v>1</v>
      </c>
    </row>
    <row r="208" spans="2:9" hidden="1" x14ac:dyDescent="0.25">
      <c r="B208" s="48">
        <f>+'Metrics - Articles'!C207</f>
        <v>42179</v>
      </c>
      <c r="C208">
        <f>COUNTIF('Metrics - Articles'!E207,"*Sports*")</f>
        <v>0</v>
      </c>
      <c r="D208">
        <f>COUNTIF('Metrics - Articles'!E207,"*Youth*")</f>
        <v>0</v>
      </c>
      <c r="E208">
        <f>COUNTIF('Metrics - Articles'!E207,"*Healthcare*")</f>
        <v>0</v>
      </c>
      <c r="F208">
        <f>COUNTIF('Metrics - Articles'!E207,"*Innovation")</f>
        <v>1</v>
      </c>
      <c r="G208">
        <f>COUNTIF('Metrics - Articles'!E207,"*Corporate*")</f>
        <v>0</v>
      </c>
      <c r="I208" s="53">
        <f t="shared" si="4"/>
        <v>1</v>
      </c>
    </row>
    <row r="209" spans="2:9" hidden="1" x14ac:dyDescent="0.25">
      <c r="B209" s="48">
        <f>+'Metrics - Articles'!C208</f>
        <v>42180</v>
      </c>
      <c r="C209">
        <f>COUNTIF('Metrics - Articles'!E208,"*Sports*")</f>
        <v>1</v>
      </c>
      <c r="D209">
        <f>COUNTIF('Metrics - Articles'!E208,"*Youth*")</f>
        <v>0</v>
      </c>
      <c r="E209">
        <f>COUNTIF('Metrics - Articles'!E208,"*Healthcare*")</f>
        <v>0</v>
      </c>
      <c r="F209">
        <f>COUNTIF('Metrics - Articles'!E208,"*Innovation")</f>
        <v>0</v>
      </c>
      <c r="G209">
        <f>COUNTIF('Metrics - Articles'!E208,"*Corporate*")</f>
        <v>0</v>
      </c>
      <c r="I209" s="53">
        <f t="shared" si="4"/>
        <v>1</v>
      </c>
    </row>
    <row r="210" spans="2:9" hidden="1" x14ac:dyDescent="0.25">
      <c r="B210" s="48">
        <f>+'Metrics - Articles'!C209</f>
        <v>42180</v>
      </c>
      <c r="C210">
        <f>COUNTIF('Metrics - Articles'!E209,"*Sports*")</f>
        <v>0</v>
      </c>
      <c r="D210">
        <f>COUNTIF('Metrics - Articles'!E209,"*Youth*")</f>
        <v>0</v>
      </c>
      <c r="E210">
        <f>COUNTIF('Metrics - Articles'!E209,"*Healthcare*")</f>
        <v>0</v>
      </c>
      <c r="F210">
        <f>COUNTIF('Metrics - Articles'!E209,"*Innovation")</f>
        <v>1</v>
      </c>
      <c r="G210">
        <f>COUNTIF('Metrics - Articles'!E209,"*Corporate*")</f>
        <v>0</v>
      </c>
      <c r="I210" s="53">
        <f t="shared" si="4"/>
        <v>1</v>
      </c>
    </row>
    <row r="211" spans="2:9" hidden="1" x14ac:dyDescent="0.25">
      <c r="B211" s="48">
        <f>+'Metrics - Articles'!C210</f>
        <v>42181</v>
      </c>
      <c r="C211">
        <f>COUNTIF('Metrics - Articles'!E210,"*Sports*")</f>
        <v>0</v>
      </c>
      <c r="D211">
        <f>COUNTIF('Metrics - Articles'!E210,"*Youth*")</f>
        <v>0</v>
      </c>
      <c r="E211">
        <f>COUNTIF('Metrics - Articles'!E210,"*Healthcare*")</f>
        <v>0</v>
      </c>
      <c r="F211">
        <f>COUNTIF('Metrics - Articles'!E210,"*Innovation")</f>
        <v>0</v>
      </c>
      <c r="G211">
        <f>COUNTIF('Metrics - Articles'!E210,"*Corporate*")</f>
        <v>1</v>
      </c>
      <c r="I211" s="53">
        <f t="shared" si="4"/>
        <v>1</v>
      </c>
    </row>
    <row r="212" spans="2:9" hidden="1" x14ac:dyDescent="0.25">
      <c r="B212" s="48">
        <f>+'Metrics - Articles'!C211</f>
        <v>42181</v>
      </c>
      <c r="C212">
        <f>COUNTIF('Metrics - Articles'!E211,"*Sports*")</f>
        <v>0</v>
      </c>
      <c r="D212">
        <f>COUNTIF('Metrics - Articles'!E211,"*Youth*")</f>
        <v>0</v>
      </c>
      <c r="E212">
        <f>COUNTIF('Metrics - Articles'!E211,"*Healthcare*")</f>
        <v>0</v>
      </c>
      <c r="F212">
        <f>COUNTIF('Metrics - Articles'!E211,"*Innovation")</f>
        <v>0</v>
      </c>
      <c r="G212">
        <f>COUNTIF('Metrics - Articles'!E211,"*Corporate*")</f>
        <v>1</v>
      </c>
      <c r="I212" s="53">
        <f t="shared" si="4"/>
        <v>1</v>
      </c>
    </row>
    <row r="213" spans="2:9" hidden="1" x14ac:dyDescent="0.25">
      <c r="B213" s="48">
        <f>+'Metrics - Articles'!C212</f>
        <v>42181</v>
      </c>
      <c r="C213">
        <f>COUNTIF('Metrics - Articles'!E212,"*Sports*")</f>
        <v>0</v>
      </c>
      <c r="D213">
        <f>COUNTIF('Metrics - Articles'!E212,"*Youth*")</f>
        <v>0</v>
      </c>
      <c r="E213">
        <f>COUNTIF('Metrics - Articles'!E212,"*Healthcare*")</f>
        <v>0</v>
      </c>
      <c r="F213">
        <f>COUNTIF('Metrics - Articles'!E212,"*Innovation")</f>
        <v>1</v>
      </c>
      <c r="G213">
        <f>COUNTIF('Metrics - Articles'!E212,"*Corporate*")</f>
        <v>0</v>
      </c>
      <c r="I213" s="53">
        <f t="shared" si="4"/>
        <v>1</v>
      </c>
    </row>
    <row r="214" spans="2:9" hidden="1" x14ac:dyDescent="0.25">
      <c r="B214" s="48">
        <f>+'Metrics - Articles'!C213</f>
        <v>42184</v>
      </c>
      <c r="C214">
        <f>COUNTIF('Metrics - Articles'!E213,"*Sports*")</f>
        <v>0</v>
      </c>
      <c r="D214">
        <f>COUNTIF('Metrics - Articles'!E213,"*Youth*")</f>
        <v>1</v>
      </c>
      <c r="E214">
        <f>COUNTIF('Metrics - Articles'!E213,"*Healthcare*")</f>
        <v>0</v>
      </c>
      <c r="F214">
        <f>COUNTIF('Metrics - Articles'!E213,"*Innovation")</f>
        <v>0</v>
      </c>
      <c r="G214">
        <f>COUNTIF('Metrics - Articles'!E213,"*Corporate*")</f>
        <v>0</v>
      </c>
      <c r="I214" s="53">
        <f t="shared" si="4"/>
        <v>1</v>
      </c>
    </row>
    <row r="215" spans="2:9" hidden="1" x14ac:dyDescent="0.25">
      <c r="B215" s="48">
        <f>+'Metrics - Articles'!C214</f>
        <v>42186</v>
      </c>
      <c r="C215">
        <f>COUNTIF('Metrics - Articles'!E214,"*Sports*")</f>
        <v>0</v>
      </c>
      <c r="D215">
        <f>COUNTIF('Metrics - Articles'!E214,"*Youth*")</f>
        <v>0</v>
      </c>
      <c r="E215">
        <f>COUNTIF('Metrics - Articles'!E214,"*Healthcare*")</f>
        <v>0</v>
      </c>
      <c r="F215">
        <f>COUNTIF('Metrics - Articles'!E214,"*Innovation")</f>
        <v>0</v>
      </c>
      <c r="G215">
        <f>COUNTIF('Metrics - Articles'!E214,"*Corporate*")</f>
        <v>1</v>
      </c>
      <c r="I215" s="53">
        <f t="shared" si="4"/>
        <v>1</v>
      </c>
    </row>
    <row r="216" spans="2:9" hidden="1" x14ac:dyDescent="0.25">
      <c r="B216" s="48">
        <f>+'Metrics - Articles'!C215</f>
        <v>42187</v>
      </c>
      <c r="C216">
        <f>COUNTIF('Metrics - Articles'!E215,"*Sports*")</f>
        <v>0</v>
      </c>
      <c r="D216">
        <f>COUNTIF('Metrics - Articles'!E215,"*Youth*")</f>
        <v>0</v>
      </c>
      <c r="E216">
        <f>COUNTIF('Metrics - Articles'!E215,"*Healthcare*")</f>
        <v>0</v>
      </c>
      <c r="F216">
        <f>COUNTIF('Metrics - Articles'!E215,"*Innovation")</f>
        <v>0</v>
      </c>
      <c r="G216">
        <f>COUNTIF('Metrics - Articles'!E215,"*Corporate*")</f>
        <v>1</v>
      </c>
      <c r="I216" s="53">
        <f t="shared" si="4"/>
        <v>1</v>
      </c>
    </row>
    <row r="217" spans="2:9" hidden="1" x14ac:dyDescent="0.25">
      <c r="B217" s="48">
        <f>+'Metrics - Articles'!C216</f>
        <v>42187</v>
      </c>
      <c r="C217">
        <f>COUNTIF('Metrics - Articles'!E216,"*Sports*")</f>
        <v>0</v>
      </c>
      <c r="D217">
        <f>COUNTIF('Metrics - Articles'!E216,"*Youth*")</f>
        <v>0</v>
      </c>
      <c r="E217">
        <f>COUNTIF('Metrics - Articles'!E216,"*Healthcare*")</f>
        <v>0</v>
      </c>
      <c r="F217">
        <f>COUNTIF('Metrics - Articles'!E216,"*Innovation")</f>
        <v>1</v>
      </c>
      <c r="G217">
        <f>COUNTIF('Metrics - Articles'!E216,"*Corporate*")</f>
        <v>0</v>
      </c>
      <c r="I217" s="53">
        <f t="shared" si="4"/>
        <v>1</v>
      </c>
    </row>
    <row r="218" spans="2:9" hidden="1" x14ac:dyDescent="0.25">
      <c r="B218" s="48">
        <f>+'Metrics - Articles'!C217</f>
        <v>42188</v>
      </c>
      <c r="C218">
        <f>COUNTIF('Metrics - Articles'!E217,"*Sports*")</f>
        <v>0</v>
      </c>
      <c r="D218">
        <f>COUNTIF('Metrics - Articles'!E217,"*Youth*")</f>
        <v>0</v>
      </c>
      <c r="E218">
        <f>COUNTIF('Metrics - Articles'!E217,"*Healthcare*")</f>
        <v>0</v>
      </c>
      <c r="F218">
        <f>COUNTIF('Metrics - Articles'!E217,"*Innovation")</f>
        <v>0</v>
      </c>
      <c r="G218">
        <f>COUNTIF('Metrics - Articles'!E217,"*Corporate*")</f>
        <v>1</v>
      </c>
      <c r="I218" s="53">
        <f t="shared" si="4"/>
        <v>1</v>
      </c>
    </row>
    <row r="219" spans="2:9" hidden="1" x14ac:dyDescent="0.25">
      <c r="B219" s="48">
        <f>+'Metrics - Articles'!C218</f>
        <v>42188</v>
      </c>
      <c r="C219">
        <f>COUNTIF('Metrics - Articles'!E218,"*Sports*")</f>
        <v>0</v>
      </c>
      <c r="D219">
        <f>COUNTIF('Metrics - Articles'!E218,"*Youth*")</f>
        <v>0</v>
      </c>
      <c r="E219">
        <f>COUNTIF('Metrics - Articles'!E218,"*Healthcare*")</f>
        <v>0</v>
      </c>
      <c r="F219">
        <f>COUNTIF('Metrics - Articles'!E218,"*Innovation")</f>
        <v>1</v>
      </c>
      <c r="G219">
        <f>COUNTIF('Metrics - Articles'!E218,"*Corporate*")</f>
        <v>0</v>
      </c>
      <c r="I219" s="53">
        <f t="shared" si="4"/>
        <v>1</v>
      </c>
    </row>
    <row r="220" spans="2:9" hidden="1" x14ac:dyDescent="0.25">
      <c r="B220" s="48">
        <f>+'Metrics - Articles'!C219</f>
        <v>42188</v>
      </c>
      <c r="C220">
        <f>COUNTIF('Metrics - Articles'!E219,"*Sports*")</f>
        <v>0</v>
      </c>
      <c r="D220">
        <f>COUNTIF('Metrics - Articles'!E219,"*Youth*")</f>
        <v>1</v>
      </c>
      <c r="E220">
        <f>COUNTIF('Metrics - Articles'!E219,"*Healthcare*")</f>
        <v>0</v>
      </c>
      <c r="F220">
        <f>COUNTIF('Metrics - Articles'!E219,"*Innovation")</f>
        <v>0</v>
      </c>
      <c r="G220">
        <f>COUNTIF('Metrics - Articles'!E219,"*Corporate*")</f>
        <v>0</v>
      </c>
      <c r="I220" s="53">
        <f t="shared" si="4"/>
        <v>1</v>
      </c>
    </row>
    <row r="221" spans="2:9" hidden="1" x14ac:dyDescent="0.25">
      <c r="B221" s="48">
        <f>+'Metrics - Articles'!C220</f>
        <v>42191</v>
      </c>
      <c r="C221">
        <f>COUNTIF('Metrics - Articles'!E220,"*Sports*")</f>
        <v>0</v>
      </c>
      <c r="D221">
        <f>COUNTIF('Metrics - Articles'!E220,"*Youth*")</f>
        <v>0</v>
      </c>
      <c r="E221">
        <f>COUNTIF('Metrics - Articles'!E220,"*Healthcare*")</f>
        <v>0</v>
      </c>
      <c r="F221">
        <f>COUNTIF('Metrics - Articles'!E220,"*Innovation")</f>
        <v>1</v>
      </c>
      <c r="G221">
        <f>COUNTIF('Metrics - Articles'!E220,"*Corporate*")</f>
        <v>0</v>
      </c>
      <c r="I221" s="53">
        <f t="shared" si="4"/>
        <v>1</v>
      </c>
    </row>
    <row r="222" spans="2:9" hidden="1" x14ac:dyDescent="0.25">
      <c r="B222" s="48">
        <f>+'Metrics - Articles'!C221</f>
        <v>42192</v>
      </c>
      <c r="C222">
        <f>COUNTIF('Metrics - Articles'!E221,"*Sports*")</f>
        <v>1</v>
      </c>
      <c r="D222">
        <f>COUNTIF('Metrics - Articles'!E221,"*Youth*")</f>
        <v>0</v>
      </c>
      <c r="E222">
        <f>COUNTIF('Metrics - Articles'!E221,"*Healthcare*")</f>
        <v>0</v>
      </c>
      <c r="F222">
        <f>COUNTIF('Metrics - Articles'!E221,"*Innovation")</f>
        <v>0</v>
      </c>
      <c r="G222">
        <f>COUNTIF('Metrics - Articles'!E221,"*Corporate*")</f>
        <v>0</v>
      </c>
      <c r="I222" s="53">
        <f t="shared" si="4"/>
        <v>1</v>
      </c>
    </row>
    <row r="223" spans="2:9" hidden="1" x14ac:dyDescent="0.25">
      <c r="B223" s="48">
        <f>+'Metrics - Articles'!C222</f>
        <v>42194</v>
      </c>
      <c r="C223">
        <f>COUNTIF('Metrics - Articles'!E222,"*Sports*")</f>
        <v>0</v>
      </c>
      <c r="D223">
        <f>COUNTIF('Metrics - Articles'!E222,"*Youth*")</f>
        <v>0</v>
      </c>
      <c r="E223">
        <f>COUNTIF('Metrics - Articles'!E222,"*Healthcare*")</f>
        <v>0</v>
      </c>
      <c r="F223">
        <f>COUNTIF('Metrics - Articles'!E222,"*Innovation")</f>
        <v>0</v>
      </c>
      <c r="G223">
        <f>COUNTIF('Metrics - Articles'!E222,"*Corporate*")</f>
        <v>1</v>
      </c>
      <c r="I223" s="53">
        <f t="shared" si="4"/>
        <v>1</v>
      </c>
    </row>
    <row r="224" spans="2:9" hidden="1" x14ac:dyDescent="0.25">
      <c r="B224" s="48">
        <f>+'Metrics - Articles'!C223</f>
        <v>42194</v>
      </c>
      <c r="C224">
        <f>COUNTIF('Metrics - Articles'!E223,"*Sports*")</f>
        <v>0</v>
      </c>
      <c r="D224">
        <f>COUNTIF('Metrics - Articles'!E223,"*Youth*")</f>
        <v>0</v>
      </c>
      <c r="E224">
        <f>COUNTIF('Metrics - Articles'!E223,"*Healthcare*")</f>
        <v>0</v>
      </c>
      <c r="F224">
        <f>COUNTIF('Metrics - Articles'!E223,"*Innovation")</f>
        <v>0</v>
      </c>
      <c r="G224">
        <f>COUNTIF('Metrics - Articles'!E223,"*Corporate*")</f>
        <v>1</v>
      </c>
      <c r="I224" s="53">
        <f t="shared" si="4"/>
        <v>1</v>
      </c>
    </row>
    <row r="225" spans="2:9" hidden="1" x14ac:dyDescent="0.25">
      <c r="B225" s="48">
        <f>+'Metrics - Articles'!C224</f>
        <v>42194</v>
      </c>
      <c r="C225">
        <f>COUNTIF('Metrics - Articles'!E224,"*Sports*")</f>
        <v>0</v>
      </c>
      <c r="D225">
        <f>COUNTIF('Metrics - Articles'!E224,"*Youth*")</f>
        <v>0</v>
      </c>
      <c r="E225">
        <f>COUNTIF('Metrics - Articles'!E224,"*Healthcare*")</f>
        <v>0</v>
      </c>
      <c r="F225">
        <f>COUNTIF('Metrics - Articles'!E224,"*Innovation")</f>
        <v>0</v>
      </c>
      <c r="G225">
        <f>COUNTIF('Metrics - Articles'!E224,"*Corporate*")</f>
        <v>1</v>
      </c>
      <c r="I225" s="53">
        <f t="shared" si="4"/>
        <v>1</v>
      </c>
    </row>
    <row r="226" spans="2:9" hidden="1" x14ac:dyDescent="0.25">
      <c r="B226" s="48">
        <f>+'Metrics - Articles'!C225</f>
        <v>42195</v>
      </c>
      <c r="C226">
        <f>COUNTIF('Metrics - Articles'!E225,"*Sports*")</f>
        <v>0</v>
      </c>
      <c r="D226">
        <f>COUNTIF('Metrics - Articles'!E225,"*Youth*")</f>
        <v>0</v>
      </c>
      <c r="E226">
        <f>COUNTIF('Metrics - Articles'!E225,"*Healthcare*")</f>
        <v>0</v>
      </c>
      <c r="F226">
        <f>COUNTIF('Metrics - Articles'!E225,"*Innovation")</f>
        <v>1</v>
      </c>
      <c r="G226">
        <f>COUNTIF('Metrics - Articles'!E225,"*Corporate*")</f>
        <v>0</v>
      </c>
      <c r="I226" s="53">
        <f t="shared" si="4"/>
        <v>1</v>
      </c>
    </row>
    <row r="227" spans="2:9" hidden="1" x14ac:dyDescent="0.25">
      <c r="B227" s="48">
        <f>+'Metrics - Articles'!C226</f>
        <v>42195</v>
      </c>
      <c r="C227">
        <f>COUNTIF('Metrics - Articles'!E226,"*Sports*")</f>
        <v>0</v>
      </c>
      <c r="D227">
        <f>COUNTIF('Metrics - Articles'!E226,"*Youth*")</f>
        <v>1</v>
      </c>
      <c r="E227">
        <f>COUNTIF('Metrics - Articles'!E226,"*Healthcare*")</f>
        <v>0</v>
      </c>
      <c r="F227">
        <f>COUNTIF('Metrics - Articles'!E226,"*Innovation")</f>
        <v>0</v>
      </c>
      <c r="G227">
        <f>COUNTIF('Metrics - Articles'!E226,"*Corporate*")</f>
        <v>0</v>
      </c>
      <c r="I227" s="53">
        <f t="shared" si="4"/>
        <v>1</v>
      </c>
    </row>
    <row r="228" spans="2:9" hidden="1" x14ac:dyDescent="0.25">
      <c r="B228" s="48">
        <f>+'Metrics - Articles'!C227</f>
        <v>42195</v>
      </c>
      <c r="C228">
        <f>COUNTIF('Metrics - Articles'!E227,"*Sports*")</f>
        <v>0</v>
      </c>
      <c r="D228">
        <f>COUNTIF('Metrics - Articles'!E227,"*Youth*")</f>
        <v>0</v>
      </c>
      <c r="E228">
        <f>COUNTIF('Metrics - Articles'!E227,"*Healthcare*")</f>
        <v>0</v>
      </c>
      <c r="F228">
        <f>COUNTIF('Metrics - Articles'!E227,"*Innovation")</f>
        <v>0</v>
      </c>
      <c r="G228">
        <f>COUNTIF('Metrics - Articles'!E227,"*Corporate*")</f>
        <v>1</v>
      </c>
      <c r="I228" s="53">
        <f t="shared" si="4"/>
        <v>1</v>
      </c>
    </row>
    <row r="229" spans="2:9" hidden="1" x14ac:dyDescent="0.25">
      <c r="B229" s="48">
        <f>+'Metrics - Articles'!C228</f>
        <v>42198</v>
      </c>
      <c r="C229">
        <f>COUNTIF('Metrics - Articles'!E228,"*Sports*")</f>
        <v>0</v>
      </c>
      <c r="D229">
        <f>COUNTIF('Metrics - Articles'!E228,"*Youth*")</f>
        <v>0</v>
      </c>
      <c r="E229">
        <f>COUNTIF('Metrics - Articles'!E228,"*Healthcare*")</f>
        <v>0</v>
      </c>
      <c r="F229">
        <f>COUNTIF('Metrics - Articles'!E228,"*Innovation")</f>
        <v>0</v>
      </c>
      <c r="G229">
        <f>COUNTIF('Metrics - Articles'!E228,"*Corporate*")</f>
        <v>1</v>
      </c>
      <c r="I229" s="53">
        <f t="shared" si="4"/>
        <v>1</v>
      </c>
    </row>
    <row r="230" spans="2:9" hidden="1" x14ac:dyDescent="0.25">
      <c r="B230" s="48">
        <f>+'Metrics - Articles'!C229</f>
        <v>42198</v>
      </c>
      <c r="C230">
        <f>COUNTIF('Metrics - Articles'!E229,"*Sports*")</f>
        <v>0</v>
      </c>
      <c r="D230">
        <f>COUNTIF('Metrics - Articles'!E229,"*Youth*")</f>
        <v>0</v>
      </c>
      <c r="E230">
        <f>COUNTIF('Metrics - Articles'!E229,"*Healthcare*")</f>
        <v>0</v>
      </c>
      <c r="F230">
        <f>COUNTIF('Metrics - Articles'!E229,"*Innovation")</f>
        <v>1</v>
      </c>
      <c r="G230">
        <f>COUNTIF('Metrics - Articles'!E229,"*Corporate*")</f>
        <v>0</v>
      </c>
      <c r="I230" s="53">
        <f t="shared" si="4"/>
        <v>1</v>
      </c>
    </row>
    <row r="231" spans="2:9" hidden="1" x14ac:dyDescent="0.25">
      <c r="B231" s="48">
        <f>+'Metrics - Articles'!C230</f>
        <v>42199</v>
      </c>
      <c r="C231">
        <f>COUNTIF('Metrics - Articles'!E230,"*Sports*")</f>
        <v>0</v>
      </c>
      <c r="D231">
        <f>COUNTIF('Metrics - Articles'!E230,"*Youth*")</f>
        <v>0</v>
      </c>
      <c r="E231">
        <f>COUNTIF('Metrics - Articles'!E230,"*Healthcare*")</f>
        <v>0</v>
      </c>
      <c r="F231">
        <f>COUNTIF('Metrics - Articles'!E230,"*Innovation")</f>
        <v>0</v>
      </c>
      <c r="G231">
        <f>COUNTIF('Metrics - Articles'!E230,"*Corporate*")</f>
        <v>1</v>
      </c>
      <c r="I231" s="53">
        <f t="shared" si="4"/>
        <v>1</v>
      </c>
    </row>
    <row r="232" spans="2:9" hidden="1" x14ac:dyDescent="0.25">
      <c r="B232" s="48">
        <f>+'Metrics - Articles'!C231</f>
        <v>42199</v>
      </c>
      <c r="C232">
        <f>COUNTIF('Metrics - Articles'!E231,"*Sports*")</f>
        <v>0</v>
      </c>
      <c r="D232">
        <f>COUNTIF('Metrics - Articles'!E231,"*Youth*")</f>
        <v>0</v>
      </c>
      <c r="E232">
        <f>COUNTIF('Metrics - Articles'!E231,"*Healthcare*")</f>
        <v>0</v>
      </c>
      <c r="F232">
        <f>COUNTIF('Metrics - Articles'!E231,"*Innovation")</f>
        <v>1</v>
      </c>
      <c r="G232">
        <f>COUNTIF('Metrics - Articles'!E231,"*Corporate*")</f>
        <v>0</v>
      </c>
      <c r="I232" s="53">
        <f t="shared" si="4"/>
        <v>1</v>
      </c>
    </row>
    <row r="233" spans="2:9" hidden="1" x14ac:dyDescent="0.25">
      <c r="B233" s="48">
        <f>+'Metrics - Articles'!C232</f>
        <v>42200</v>
      </c>
      <c r="C233">
        <f>COUNTIF('Metrics - Articles'!E232,"*Sports*")</f>
        <v>0</v>
      </c>
      <c r="D233">
        <f>COUNTIF('Metrics - Articles'!E232,"*Youth*")</f>
        <v>0</v>
      </c>
      <c r="E233">
        <f>COUNTIF('Metrics - Articles'!E232,"*Healthcare*")</f>
        <v>1</v>
      </c>
      <c r="F233">
        <f>COUNTIF('Metrics - Articles'!E232,"*Innovation")</f>
        <v>0</v>
      </c>
      <c r="G233">
        <f>COUNTIF('Metrics - Articles'!E232,"*Corporate*")</f>
        <v>0</v>
      </c>
      <c r="I233" s="53">
        <f t="shared" si="4"/>
        <v>1</v>
      </c>
    </row>
    <row r="234" spans="2:9" hidden="1" x14ac:dyDescent="0.25">
      <c r="B234" s="48">
        <f>+'Metrics - Articles'!C233</f>
        <v>42201</v>
      </c>
      <c r="C234">
        <f>COUNTIF('Metrics - Articles'!E233,"*Sports*")</f>
        <v>0</v>
      </c>
      <c r="D234">
        <f>COUNTIF('Metrics - Articles'!E233,"*Youth*")</f>
        <v>0</v>
      </c>
      <c r="E234">
        <f>COUNTIF('Metrics - Articles'!E233,"*Healthcare*")</f>
        <v>0</v>
      </c>
      <c r="F234">
        <f>COUNTIF('Metrics - Articles'!E233,"*Innovation")</f>
        <v>1</v>
      </c>
      <c r="G234">
        <f>COUNTIF('Metrics - Articles'!E233,"*Corporate*")</f>
        <v>0</v>
      </c>
      <c r="I234" s="53">
        <f t="shared" si="4"/>
        <v>1</v>
      </c>
    </row>
    <row r="235" spans="2:9" hidden="1" x14ac:dyDescent="0.25">
      <c r="B235" s="48">
        <f>+'Metrics - Articles'!C234</f>
        <v>42202</v>
      </c>
      <c r="C235">
        <f>COUNTIF('Metrics - Articles'!E234,"*Sports*")</f>
        <v>0</v>
      </c>
      <c r="D235">
        <f>COUNTIF('Metrics - Articles'!E234,"*Youth*")</f>
        <v>0</v>
      </c>
      <c r="E235">
        <f>COUNTIF('Metrics - Articles'!E234,"*Healthcare*")</f>
        <v>0</v>
      </c>
      <c r="F235">
        <f>COUNTIF('Metrics - Articles'!E234,"*Innovation")</f>
        <v>0</v>
      </c>
      <c r="G235">
        <f>COUNTIF('Metrics - Articles'!E234,"*Corporate*")</f>
        <v>1</v>
      </c>
      <c r="I235" s="53">
        <f t="shared" si="4"/>
        <v>1</v>
      </c>
    </row>
    <row r="236" spans="2:9" hidden="1" x14ac:dyDescent="0.25">
      <c r="B236" s="48">
        <f>+'Metrics - Articles'!C235</f>
        <v>42202</v>
      </c>
      <c r="C236">
        <f>COUNTIF('Metrics - Articles'!E235,"*Sports*")</f>
        <v>0</v>
      </c>
      <c r="D236">
        <f>COUNTIF('Metrics - Articles'!E235,"*Youth*")</f>
        <v>0</v>
      </c>
      <c r="E236">
        <f>COUNTIF('Metrics - Articles'!E235,"*Healthcare*")</f>
        <v>0</v>
      </c>
      <c r="F236">
        <f>COUNTIF('Metrics - Articles'!E235,"*Innovation")</f>
        <v>1</v>
      </c>
      <c r="G236">
        <f>COUNTIF('Metrics - Articles'!E235,"*Corporate*")</f>
        <v>0</v>
      </c>
      <c r="I236" s="53">
        <f t="shared" si="4"/>
        <v>1</v>
      </c>
    </row>
    <row r="237" spans="2:9" hidden="1" x14ac:dyDescent="0.25">
      <c r="B237" s="48">
        <f>+'Metrics - Articles'!C236</f>
        <v>42205</v>
      </c>
      <c r="C237">
        <f>COUNTIF('Metrics - Articles'!E236,"*Sports*")</f>
        <v>0</v>
      </c>
      <c r="D237">
        <f>COUNTIF('Metrics - Articles'!E236,"*Youth*")</f>
        <v>0</v>
      </c>
      <c r="E237">
        <f>COUNTIF('Metrics - Articles'!E236,"*Healthcare*")</f>
        <v>0</v>
      </c>
      <c r="F237">
        <f>COUNTIF('Metrics - Articles'!E236,"*Innovation")</f>
        <v>1</v>
      </c>
      <c r="G237">
        <f>COUNTIF('Metrics - Articles'!E236,"*Corporate*")</f>
        <v>0</v>
      </c>
      <c r="I237" s="53">
        <f t="shared" si="4"/>
        <v>1</v>
      </c>
    </row>
    <row r="238" spans="2:9" hidden="1" x14ac:dyDescent="0.25">
      <c r="B238" s="48">
        <f>+'Metrics - Articles'!C237</f>
        <v>42205</v>
      </c>
      <c r="C238">
        <f>COUNTIF('Metrics - Articles'!E237,"*Sports*")</f>
        <v>0</v>
      </c>
      <c r="D238">
        <f>COUNTIF('Metrics - Articles'!E237,"*Youth*")</f>
        <v>0</v>
      </c>
      <c r="E238">
        <f>COUNTIF('Metrics - Articles'!E237,"*Healthcare*")</f>
        <v>1</v>
      </c>
      <c r="F238">
        <f>COUNTIF('Metrics - Articles'!E237,"*Innovation")</f>
        <v>0</v>
      </c>
      <c r="G238">
        <f>COUNTIF('Metrics - Articles'!E237,"*Corporate*")</f>
        <v>0</v>
      </c>
      <c r="I238" s="53">
        <f t="shared" si="4"/>
        <v>1</v>
      </c>
    </row>
    <row r="239" spans="2:9" hidden="1" x14ac:dyDescent="0.25">
      <c r="B239" s="48">
        <f>+'Metrics - Articles'!C238</f>
        <v>42206</v>
      </c>
      <c r="C239">
        <f>COUNTIF('Metrics - Articles'!E238,"*Sports*")</f>
        <v>0</v>
      </c>
      <c r="D239">
        <f>COUNTIF('Metrics - Articles'!E238,"*Youth*")</f>
        <v>0</v>
      </c>
      <c r="E239">
        <f>COUNTIF('Metrics - Articles'!E238,"*Healthcare*")</f>
        <v>0</v>
      </c>
      <c r="F239">
        <f>COUNTIF('Metrics - Articles'!E238,"*Innovation")</f>
        <v>1</v>
      </c>
      <c r="G239">
        <f>COUNTIF('Metrics - Articles'!E238,"*Corporate*")</f>
        <v>0</v>
      </c>
      <c r="I239" s="53">
        <f t="shared" si="4"/>
        <v>1</v>
      </c>
    </row>
    <row r="240" spans="2:9" hidden="1" x14ac:dyDescent="0.25">
      <c r="B240" s="48">
        <f>+'Metrics - Articles'!C239</f>
        <v>42206</v>
      </c>
      <c r="C240">
        <f>COUNTIF('Metrics - Articles'!E239,"*Sports*")</f>
        <v>0</v>
      </c>
      <c r="D240">
        <f>COUNTIF('Metrics - Articles'!E239,"*Youth*")</f>
        <v>0</v>
      </c>
      <c r="E240">
        <f>COUNTIF('Metrics - Articles'!E239,"*Healthcare*")</f>
        <v>0</v>
      </c>
      <c r="F240">
        <f>COUNTIF('Metrics - Articles'!E239,"*Innovation")</f>
        <v>1</v>
      </c>
      <c r="G240">
        <f>COUNTIF('Metrics - Articles'!E239,"*Corporate*")</f>
        <v>0</v>
      </c>
      <c r="I240" s="53">
        <f t="shared" si="4"/>
        <v>1</v>
      </c>
    </row>
    <row r="241" spans="2:9" hidden="1" x14ac:dyDescent="0.25">
      <c r="B241" s="48">
        <f>+'Metrics - Articles'!C240</f>
        <v>42206</v>
      </c>
      <c r="C241">
        <f>COUNTIF('Metrics - Articles'!E240,"*Sports*")</f>
        <v>0</v>
      </c>
      <c r="D241">
        <f>COUNTIF('Metrics - Articles'!E240,"*Youth*")</f>
        <v>0</v>
      </c>
      <c r="E241">
        <f>COUNTIF('Metrics - Articles'!E240,"*Healthcare*")</f>
        <v>0</v>
      </c>
      <c r="F241">
        <f>COUNTIF('Metrics - Articles'!E240,"*Innovation")</f>
        <v>1</v>
      </c>
      <c r="G241">
        <f>COUNTIF('Metrics - Articles'!E240,"*Corporate*")</f>
        <v>0</v>
      </c>
      <c r="I241" s="53">
        <f t="shared" si="4"/>
        <v>1</v>
      </c>
    </row>
    <row r="242" spans="2:9" hidden="1" x14ac:dyDescent="0.25">
      <c r="B242" s="48">
        <f>+'Metrics - Articles'!C241</f>
        <v>42207</v>
      </c>
      <c r="C242">
        <f>COUNTIF('Metrics - Articles'!E241,"*Sports*")</f>
        <v>0</v>
      </c>
      <c r="D242">
        <f>COUNTIF('Metrics - Articles'!E241,"*Youth*")</f>
        <v>0</v>
      </c>
      <c r="E242">
        <f>COUNTIF('Metrics - Articles'!E241,"*Healthcare*")</f>
        <v>0</v>
      </c>
      <c r="F242">
        <f>COUNTIF('Metrics - Articles'!E241,"*Innovation")</f>
        <v>0</v>
      </c>
      <c r="G242">
        <f>COUNTIF('Metrics - Articles'!E241,"*Corporate*")</f>
        <v>1</v>
      </c>
      <c r="I242" s="53">
        <f t="shared" si="4"/>
        <v>1</v>
      </c>
    </row>
    <row r="243" spans="2:9" hidden="1" x14ac:dyDescent="0.25">
      <c r="B243" s="48">
        <f>+'Metrics - Articles'!C242</f>
        <v>42207</v>
      </c>
      <c r="C243">
        <f>COUNTIF('Metrics - Articles'!E242,"*Sports*")</f>
        <v>0</v>
      </c>
      <c r="D243">
        <f>COUNTIF('Metrics - Articles'!E242,"*Youth*")</f>
        <v>0</v>
      </c>
      <c r="E243">
        <f>COUNTIF('Metrics - Articles'!E242,"*Healthcare*")</f>
        <v>0</v>
      </c>
      <c r="F243">
        <f>COUNTIF('Metrics - Articles'!E242,"*Innovation")</f>
        <v>1</v>
      </c>
      <c r="G243">
        <f>COUNTIF('Metrics - Articles'!E242,"*Corporate*")</f>
        <v>0</v>
      </c>
      <c r="I243" s="53">
        <f t="shared" si="4"/>
        <v>1</v>
      </c>
    </row>
    <row r="244" spans="2:9" hidden="1" x14ac:dyDescent="0.25">
      <c r="B244" s="48">
        <f>+'Metrics - Articles'!C243</f>
        <v>42208</v>
      </c>
      <c r="C244">
        <f>COUNTIF('Metrics - Articles'!E243,"*Sports*")</f>
        <v>0</v>
      </c>
      <c r="D244">
        <f>COUNTIF('Metrics - Articles'!E243,"*Youth*")</f>
        <v>0</v>
      </c>
      <c r="E244">
        <f>COUNTIF('Metrics - Articles'!E243,"*Healthcare*")</f>
        <v>0</v>
      </c>
      <c r="F244">
        <f>COUNTIF('Metrics - Articles'!E243,"*Innovation")</f>
        <v>0</v>
      </c>
      <c r="G244">
        <f>COUNTIF('Metrics - Articles'!E243,"*Corporate*")</f>
        <v>1</v>
      </c>
      <c r="I244" s="53">
        <f t="shared" si="4"/>
        <v>1</v>
      </c>
    </row>
    <row r="245" spans="2:9" hidden="1" x14ac:dyDescent="0.25">
      <c r="B245" s="48">
        <f>+'Metrics - Articles'!C244</f>
        <v>42208</v>
      </c>
      <c r="C245">
        <f>COUNTIF('Metrics - Articles'!E244,"*Sports*")</f>
        <v>0</v>
      </c>
      <c r="D245">
        <f>COUNTIF('Metrics - Articles'!E244,"*Youth*")</f>
        <v>0</v>
      </c>
      <c r="E245">
        <f>COUNTIF('Metrics - Articles'!E244,"*Healthcare*")</f>
        <v>0</v>
      </c>
      <c r="F245">
        <f>COUNTIF('Metrics - Articles'!E244,"*Innovation")</f>
        <v>1</v>
      </c>
      <c r="G245">
        <f>COUNTIF('Metrics - Articles'!E244,"*Corporate*")</f>
        <v>0</v>
      </c>
      <c r="I245" s="53">
        <f t="shared" si="4"/>
        <v>1</v>
      </c>
    </row>
    <row r="246" spans="2:9" hidden="1" x14ac:dyDescent="0.25">
      <c r="B246" s="48">
        <f>+'Metrics - Articles'!C245</f>
        <v>42209</v>
      </c>
      <c r="C246">
        <f>COUNTIF('Metrics - Articles'!E245,"*Sports*")</f>
        <v>0</v>
      </c>
      <c r="D246">
        <f>COUNTIF('Metrics - Articles'!E245,"*Youth*")</f>
        <v>0</v>
      </c>
      <c r="E246">
        <f>COUNTIF('Metrics - Articles'!E245,"*Healthcare*")</f>
        <v>0</v>
      </c>
      <c r="F246">
        <f>COUNTIF('Metrics - Articles'!E245,"*Innovation")</f>
        <v>0</v>
      </c>
      <c r="G246">
        <f>COUNTIF('Metrics - Articles'!E245,"*Corporate*")</f>
        <v>1</v>
      </c>
      <c r="I246" s="53">
        <f t="shared" si="4"/>
        <v>1</v>
      </c>
    </row>
    <row r="247" spans="2:9" hidden="1" x14ac:dyDescent="0.25">
      <c r="B247" s="48">
        <f>+'Metrics - Articles'!C246</f>
        <v>42209</v>
      </c>
      <c r="C247">
        <f>COUNTIF('Metrics - Articles'!E246,"*Sports*")</f>
        <v>0</v>
      </c>
      <c r="D247">
        <f>COUNTIF('Metrics - Articles'!E246,"*Youth*")</f>
        <v>0</v>
      </c>
      <c r="E247">
        <f>COUNTIF('Metrics - Articles'!E246,"*Healthcare*")</f>
        <v>0</v>
      </c>
      <c r="F247">
        <f>COUNTIF('Metrics - Articles'!E246,"*Innovation")</f>
        <v>1</v>
      </c>
      <c r="G247">
        <f>COUNTIF('Metrics - Articles'!E246,"*Corporate*")</f>
        <v>0</v>
      </c>
      <c r="I247" s="53">
        <f t="shared" si="4"/>
        <v>1</v>
      </c>
    </row>
    <row r="248" spans="2:9" hidden="1" x14ac:dyDescent="0.25">
      <c r="B248" s="48">
        <f>+'Metrics - Articles'!C247</f>
        <v>42212</v>
      </c>
      <c r="C248">
        <f>COUNTIF('Metrics - Articles'!E247,"*Sports*")</f>
        <v>0</v>
      </c>
      <c r="D248">
        <f>COUNTIF('Metrics - Articles'!E247,"*Youth*")</f>
        <v>0</v>
      </c>
      <c r="E248">
        <f>COUNTIF('Metrics - Articles'!E247,"*Healthcare*")</f>
        <v>0</v>
      </c>
      <c r="F248">
        <f>COUNTIF('Metrics - Articles'!E247,"*Innovation")</f>
        <v>0</v>
      </c>
      <c r="G248">
        <f>COUNTIF('Metrics - Articles'!E247,"*Corporate*")</f>
        <v>1</v>
      </c>
      <c r="I248" s="53">
        <f t="shared" si="4"/>
        <v>1</v>
      </c>
    </row>
    <row r="249" spans="2:9" hidden="1" x14ac:dyDescent="0.25">
      <c r="B249" s="48">
        <f>+'Metrics - Articles'!C248</f>
        <v>42212</v>
      </c>
      <c r="C249">
        <f>COUNTIF('Metrics - Articles'!E248,"*Sports*")</f>
        <v>1</v>
      </c>
      <c r="D249">
        <f>COUNTIF('Metrics - Articles'!E248,"*Youth*")</f>
        <v>1</v>
      </c>
      <c r="E249">
        <f>COUNTIF('Metrics - Articles'!E248,"*Healthcare*")</f>
        <v>0</v>
      </c>
      <c r="F249">
        <f>COUNTIF('Metrics - Articles'!E248,"*Innovation")</f>
        <v>0</v>
      </c>
      <c r="G249">
        <f>COUNTIF('Metrics - Articles'!E248,"*Corporate*")</f>
        <v>0</v>
      </c>
      <c r="I249" s="53">
        <f t="shared" si="4"/>
        <v>2</v>
      </c>
    </row>
    <row r="250" spans="2:9" hidden="1" x14ac:dyDescent="0.25">
      <c r="B250" s="48">
        <f>+'Metrics - Articles'!C249</f>
        <v>42213</v>
      </c>
      <c r="C250">
        <f>COUNTIF('Metrics - Articles'!E249,"*Sports*")</f>
        <v>0</v>
      </c>
      <c r="D250">
        <f>COUNTIF('Metrics - Articles'!E249,"*Youth*")</f>
        <v>0</v>
      </c>
      <c r="E250">
        <f>COUNTIF('Metrics - Articles'!E249,"*Healthcare*")</f>
        <v>0</v>
      </c>
      <c r="F250">
        <f>COUNTIF('Metrics - Articles'!E249,"*Innovation")</f>
        <v>1</v>
      </c>
      <c r="G250">
        <f>COUNTIF('Metrics - Articles'!E249,"*Corporate*")</f>
        <v>0</v>
      </c>
      <c r="I250" s="53">
        <f t="shared" si="4"/>
        <v>1</v>
      </c>
    </row>
    <row r="251" spans="2:9" hidden="1" x14ac:dyDescent="0.25">
      <c r="B251" s="48">
        <f>+'Metrics - Articles'!C250</f>
        <v>42213</v>
      </c>
      <c r="C251">
        <f>COUNTIF('Metrics - Articles'!E250,"*Sports*")</f>
        <v>0</v>
      </c>
      <c r="D251">
        <f>COUNTIF('Metrics - Articles'!E250,"*Youth*")</f>
        <v>0</v>
      </c>
      <c r="E251">
        <f>COUNTIF('Metrics - Articles'!E250,"*Healthcare*")</f>
        <v>0</v>
      </c>
      <c r="F251">
        <f>COUNTIF('Metrics - Articles'!E250,"*Innovation")</f>
        <v>0</v>
      </c>
      <c r="G251">
        <f>COUNTIF('Metrics - Articles'!E250,"*Corporate*")</f>
        <v>1</v>
      </c>
      <c r="I251" s="53">
        <f t="shared" si="4"/>
        <v>1</v>
      </c>
    </row>
    <row r="252" spans="2:9" hidden="1" x14ac:dyDescent="0.25">
      <c r="B252" s="48">
        <f>+'Metrics - Articles'!C251</f>
        <v>42214</v>
      </c>
      <c r="C252">
        <f>COUNTIF('Metrics - Articles'!E251,"*Sports*")</f>
        <v>0</v>
      </c>
      <c r="D252">
        <f>COUNTIF('Metrics - Articles'!E251,"*Youth*")</f>
        <v>0</v>
      </c>
      <c r="E252">
        <f>COUNTIF('Metrics - Articles'!E251,"*Healthcare*")</f>
        <v>0</v>
      </c>
      <c r="F252">
        <f>COUNTIF('Metrics - Articles'!E251,"*Innovation")</f>
        <v>1</v>
      </c>
      <c r="G252">
        <f>COUNTIF('Metrics - Articles'!E251,"*Corporate*")</f>
        <v>0</v>
      </c>
      <c r="I252" s="53">
        <f t="shared" si="4"/>
        <v>1</v>
      </c>
    </row>
    <row r="253" spans="2:9" hidden="1" x14ac:dyDescent="0.25">
      <c r="B253" s="48">
        <f>+'Metrics - Articles'!C252</f>
        <v>42215</v>
      </c>
      <c r="C253">
        <f>COUNTIF('Metrics - Articles'!E252,"*Sports*")</f>
        <v>0</v>
      </c>
      <c r="D253">
        <f>COUNTIF('Metrics - Articles'!E252,"*Youth*")</f>
        <v>0</v>
      </c>
      <c r="E253">
        <f>COUNTIF('Metrics - Articles'!E252,"*Healthcare*")</f>
        <v>0</v>
      </c>
      <c r="F253">
        <f>COUNTIF('Metrics - Articles'!E252,"*Innovation")</f>
        <v>1</v>
      </c>
      <c r="G253">
        <f>COUNTIF('Metrics - Articles'!E252,"*Corporate*")</f>
        <v>0</v>
      </c>
      <c r="I253" s="53">
        <f t="shared" si="4"/>
        <v>1</v>
      </c>
    </row>
    <row r="254" spans="2:9" hidden="1" x14ac:dyDescent="0.25">
      <c r="B254" s="48">
        <f>+'Metrics - Articles'!C253</f>
        <v>42215</v>
      </c>
      <c r="C254">
        <f>COUNTIF('Metrics - Articles'!E253,"*Sports*")</f>
        <v>0</v>
      </c>
      <c r="D254">
        <f>COUNTIF('Metrics - Articles'!E253,"*Youth*")</f>
        <v>1</v>
      </c>
      <c r="E254">
        <f>COUNTIF('Metrics - Articles'!E253,"*Healthcare*")</f>
        <v>0</v>
      </c>
      <c r="F254">
        <f>COUNTIF('Metrics - Articles'!E253,"*Innovation")</f>
        <v>0</v>
      </c>
      <c r="G254">
        <f>COUNTIF('Metrics - Articles'!E253,"*Corporate*")</f>
        <v>0</v>
      </c>
      <c r="I254" s="53">
        <f t="shared" si="4"/>
        <v>1</v>
      </c>
    </row>
    <row r="255" spans="2:9" hidden="1" x14ac:dyDescent="0.25">
      <c r="B255" s="48">
        <f>+'Metrics - Articles'!C254</f>
        <v>42216</v>
      </c>
      <c r="C255">
        <f>COUNTIF('Metrics - Articles'!E254,"*Sports*")</f>
        <v>0</v>
      </c>
      <c r="D255">
        <f>COUNTIF('Metrics - Articles'!E254,"*Youth*")</f>
        <v>0</v>
      </c>
      <c r="E255">
        <f>COUNTIF('Metrics - Articles'!E254,"*Healthcare*")</f>
        <v>0</v>
      </c>
      <c r="F255">
        <f>COUNTIF('Metrics - Articles'!E254,"*Innovation")</f>
        <v>1</v>
      </c>
      <c r="G255">
        <f>COUNTIF('Metrics - Articles'!E254,"*Corporate*")</f>
        <v>0</v>
      </c>
      <c r="I255" s="53">
        <f t="shared" si="4"/>
        <v>1</v>
      </c>
    </row>
    <row r="256" spans="2:9" hidden="1" x14ac:dyDescent="0.25">
      <c r="B256" s="48">
        <f>+'Metrics - Articles'!C255</f>
        <v>42216</v>
      </c>
      <c r="C256">
        <f>COUNTIF('Metrics - Articles'!E255,"*Sports*")</f>
        <v>0</v>
      </c>
      <c r="D256">
        <f>COUNTIF('Metrics - Articles'!E255,"*Youth*")</f>
        <v>1</v>
      </c>
      <c r="E256">
        <f>COUNTIF('Metrics - Articles'!E255,"*Healthcare*")</f>
        <v>0</v>
      </c>
      <c r="F256">
        <f>COUNTIF('Metrics - Articles'!E255,"*Innovation")</f>
        <v>0</v>
      </c>
      <c r="G256">
        <f>COUNTIF('Metrics - Articles'!E255,"*Corporate*")</f>
        <v>0</v>
      </c>
      <c r="I256" s="53">
        <f t="shared" si="4"/>
        <v>1</v>
      </c>
    </row>
    <row r="257" spans="2:9" hidden="1" x14ac:dyDescent="0.25">
      <c r="B257" s="48">
        <f>+'Metrics - Articles'!C256</f>
        <v>42219</v>
      </c>
      <c r="C257">
        <f>COUNTIF('Metrics - Articles'!E256,"*Sports*")</f>
        <v>1</v>
      </c>
      <c r="D257">
        <f>COUNTIF('Metrics - Articles'!E256,"*Youth*")</f>
        <v>0</v>
      </c>
      <c r="E257">
        <f>COUNTIF('Metrics - Articles'!E256,"*Healthcare*")</f>
        <v>0</v>
      </c>
      <c r="F257">
        <f>COUNTIF('Metrics - Articles'!E256,"*Innovation")</f>
        <v>0</v>
      </c>
      <c r="G257">
        <f>COUNTIF('Metrics - Articles'!E256,"*Corporate*")</f>
        <v>0</v>
      </c>
      <c r="I257" s="53">
        <f t="shared" si="4"/>
        <v>1</v>
      </c>
    </row>
    <row r="258" spans="2:9" hidden="1" x14ac:dyDescent="0.25">
      <c r="B258" s="48">
        <f>+'Metrics - Articles'!C257</f>
        <v>42220</v>
      </c>
      <c r="C258">
        <f>COUNTIF('Metrics - Articles'!E257,"*Sports*")</f>
        <v>0</v>
      </c>
      <c r="D258">
        <f>COUNTIF('Metrics - Articles'!E257,"*Youth*")</f>
        <v>0</v>
      </c>
      <c r="E258">
        <f>COUNTIF('Metrics - Articles'!E257,"*Healthcare*")</f>
        <v>0</v>
      </c>
      <c r="F258">
        <f>COUNTIF('Metrics - Articles'!E257,"*Innovation")</f>
        <v>1</v>
      </c>
      <c r="G258">
        <f>COUNTIF('Metrics - Articles'!E257,"*Corporate*")</f>
        <v>0</v>
      </c>
      <c r="I258" s="53">
        <f t="shared" si="4"/>
        <v>1</v>
      </c>
    </row>
    <row r="259" spans="2:9" hidden="1" x14ac:dyDescent="0.25">
      <c r="B259" s="48">
        <f>+'Metrics - Articles'!C258</f>
        <v>42221</v>
      </c>
      <c r="C259">
        <f>COUNTIF('Metrics - Articles'!E258,"*Sports*")</f>
        <v>0</v>
      </c>
      <c r="D259">
        <f>COUNTIF('Metrics - Articles'!E258,"*Youth*")</f>
        <v>0</v>
      </c>
      <c r="E259">
        <f>COUNTIF('Metrics - Articles'!E258,"*Healthcare*")</f>
        <v>0</v>
      </c>
      <c r="F259">
        <f>COUNTIF('Metrics - Articles'!E258,"*Innovation")</f>
        <v>1</v>
      </c>
      <c r="G259">
        <f>COUNTIF('Metrics - Articles'!E258,"*Corporate*")</f>
        <v>0</v>
      </c>
      <c r="I259" s="53">
        <f t="shared" si="4"/>
        <v>1</v>
      </c>
    </row>
    <row r="260" spans="2:9" hidden="1" x14ac:dyDescent="0.25">
      <c r="B260" s="48">
        <f>+'Metrics - Articles'!C259</f>
        <v>42222</v>
      </c>
      <c r="C260">
        <f>COUNTIF('Metrics - Articles'!E259,"*Sports*")</f>
        <v>0</v>
      </c>
      <c r="D260">
        <f>COUNTIF('Metrics - Articles'!E259,"*Youth*")</f>
        <v>0</v>
      </c>
      <c r="E260">
        <f>COUNTIF('Metrics - Articles'!E259,"*Healthcare*")</f>
        <v>0</v>
      </c>
      <c r="F260">
        <f>COUNTIF('Metrics - Articles'!E259,"*Innovation")</f>
        <v>0</v>
      </c>
      <c r="G260">
        <f>COUNTIF('Metrics - Articles'!E259,"*Corporate*")</f>
        <v>1</v>
      </c>
      <c r="I260" s="53">
        <f t="shared" si="4"/>
        <v>1</v>
      </c>
    </row>
    <row r="261" spans="2:9" hidden="1" x14ac:dyDescent="0.25">
      <c r="B261" s="48">
        <f>+'Metrics - Articles'!C260</f>
        <v>42222</v>
      </c>
      <c r="C261">
        <f>COUNTIF('Metrics - Articles'!E260,"*Sports*")</f>
        <v>0</v>
      </c>
      <c r="D261">
        <f>COUNTIF('Metrics - Articles'!E260,"*Youth*")</f>
        <v>1</v>
      </c>
      <c r="E261">
        <f>COUNTIF('Metrics - Articles'!E260,"*Healthcare*")</f>
        <v>0</v>
      </c>
      <c r="F261">
        <f>COUNTIF('Metrics - Articles'!E260,"*Innovation")</f>
        <v>0</v>
      </c>
      <c r="G261">
        <f>COUNTIF('Metrics - Articles'!E260,"*Corporate*")</f>
        <v>0</v>
      </c>
      <c r="I261" s="53">
        <f t="shared" si="4"/>
        <v>1</v>
      </c>
    </row>
    <row r="262" spans="2:9" hidden="1" x14ac:dyDescent="0.25">
      <c r="B262" s="48">
        <f>+'Metrics - Articles'!C261</f>
        <v>42223</v>
      </c>
      <c r="C262">
        <f>COUNTIF('Metrics - Articles'!E261,"*Sports*")</f>
        <v>1</v>
      </c>
      <c r="D262">
        <f>COUNTIF('Metrics - Articles'!E261,"*Youth*")</f>
        <v>0</v>
      </c>
      <c r="E262">
        <f>COUNTIF('Metrics - Articles'!E261,"*Healthcare*")</f>
        <v>0</v>
      </c>
      <c r="F262">
        <f>COUNTIF('Metrics - Articles'!E261,"*Innovation")</f>
        <v>0</v>
      </c>
      <c r="G262">
        <f>COUNTIF('Metrics - Articles'!E261,"*Corporate*")</f>
        <v>0</v>
      </c>
      <c r="I262" s="53">
        <f t="shared" si="4"/>
        <v>1</v>
      </c>
    </row>
    <row r="263" spans="2:9" hidden="1" x14ac:dyDescent="0.25">
      <c r="B263" s="48">
        <f>+'Metrics - Articles'!C262</f>
        <v>42226</v>
      </c>
      <c r="C263">
        <f>COUNTIF('Metrics - Articles'!E262,"*Sports*")</f>
        <v>0</v>
      </c>
      <c r="D263">
        <f>COUNTIF('Metrics - Articles'!E262,"*Youth*")</f>
        <v>0</v>
      </c>
      <c r="E263">
        <f>COUNTIF('Metrics - Articles'!E262,"*Healthcare*")</f>
        <v>0</v>
      </c>
      <c r="F263">
        <f>COUNTIF('Metrics - Articles'!E262,"*Innovation")</f>
        <v>0</v>
      </c>
      <c r="G263">
        <f>COUNTIF('Metrics - Articles'!E262,"*Corporate*")</f>
        <v>1</v>
      </c>
      <c r="I263" s="53">
        <f t="shared" si="4"/>
        <v>1</v>
      </c>
    </row>
    <row r="264" spans="2:9" hidden="1" x14ac:dyDescent="0.25">
      <c r="B264" s="48">
        <f>+'Metrics - Articles'!C263</f>
        <v>42227</v>
      </c>
      <c r="C264">
        <f>COUNTIF('Metrics - Articles'!E263,"*Sports*")</f>
        <v>0</v>
      </c>
      <c r="D264">
        <f>COUNTIF('Metrics - Articles'!E263,"*Youth*")</f>
        <v>0</v>
      </c>
      <c r="E264">
        <f>COUNTIF('Metrics - Articles'!E263,"*Healthcare*")</f>
        <v>0</v>
      </c>
      <c r="F264">
        <f>COUNTIF('Metrics - Articles'!E263,"*Innovation")</f>
        <v>1</v>
      </c>
      <c r="G264">
        <f>COUNTIF('Metrics - Articles'!E263,"*Corporate*")</f>
        <v>0</v>
      </c>
      <c r="I264" s="53">
        <f t="shared" ref="I264:I327" si="5">SUM(C264:H264)</f>
        <v>1</v>
      </c>
    </row>
    <row r="265" spans="2:9" hidden="1" x14ac:dyDescent="0.25">
      <c r="B265" s="48">
        <f>+'Metrics - Articles'!C264</f>
        <v>42228</v>
      </c>
      <c r="C265">
        <f>COUNTIF('Metrics - Articles'!E264,"*Sports*")</f>
        <v>0</v>
      </c>
      <c r="D265">
        <f>COUNTIF('Metrics - Articles'!E264,"*Youth*")</f>
        <v>0</v>
      </c>
      <c r="E265">
        <f>COUNTIF('Metrics - Articles'!E264,"*Healthcare*")</f>
        <v>0</v>
      </c>
      <c r="F265">
        <f>COUNTIF('Metrics - Articles'!E264,"*Innovation")</f>
        <v>1</v>
      </c>
      <c r="G265">
        <f>COUNTIF('Metrics - Articles'!E264,"*Corporate*")</f>
        <v>0</v>
      </c>
      <c r="I265" s="53">
        <f t="shared" si="5"/>
        <v>1</v>
      </c>
    </row>
    <row r="266" spans="2:9" hidden="1" x14ac:dyDescent="0.25">
      <c r="B266" s="48">
        <f>+'Metrics - Articles'!C265</f>
        <v>42229</v>
      </c>
      <c r="C266">
        <f>COUNTIF('Metrics - Articles'!E265,"*Sports*")</f>
        <v>0</v>
      </c>
      <c r="D266">
        <f>COUNTIF('Metrics - Articles'!E265,"*Youth*")</f>
        <v>0</v>
      </c>
      <c r="E266">
        <f>COUNTIF('Metrics - Articles'!E265,"*Healthcare*")</f>
        <v>0</v>
      </c>
      <c r="F266">
        <f>COUNTIF('Metrics - Articles'!E265,"*Innovation")</f>
        <v>1</v>
      </c>
      <c r="G266">
        <f>COUNTIF('Metrics - Articles'!E265,"*Corporate*")</f>
        <v>0</v>
      </c>
      <c r="I266" s="53">
        <f t="shared" si="5"/>
        <v>1</v>
      </c>
    </row>
    <row r="267" spans="2:9" hidden="1" x14ac:dyDescent="0.25">
      <c r="B267" s="48">
        <f>+'Metrics - Articles'!C266</f>
        <v>42233</v>
      </c>
      <c r="C267">
        <f>COUNTIF('Metrics - Articles'!E266,"*Sports*")</f>
        <v>1</v>
      </c>
      <c r="D267">
        <f>COUNTIF('Metrics - Articles'!E266,"*Youth*")</f>
        <v>0</v>
      </c>
      <c r="E267">
        <f>COUNTIF('Metrics - Articles'!E266,"*Healthcare*")</f>
        <v>0</v>
      </c>
      <c r="F267">
        <f>COUNTIF('Metrics - Articles'!E266,"*Innovation")</f>
        <v>0</v>
      </c>
      <c r="G267">
        <f>COUNTIF('Metrics - Articles'!E266,"*Corporate*")</f>
        <v>0</v>
      </c>
      <c r="I267" s="53">
        <f t="shared" si="5"/>
        <v>1</v>
      </c>
    </row>
    <row r="268" spans="2:9" hidden="1" x14ac:dyDescent="0.25">
      <c r="B268" s="48">
        <f>+'Metrics - Articles'!C267</f>
        <v>42234</v>
      </c>
      <c r="C268">
        <f>COUNTIF('Metrics - Articles'!E267,"*Sports*")</f>
        <v>0</v>
      </c>
      <c r="D268">
        <f>COUNTIF('Metrics - Articles'!E267,"*Youth*")</f>
        <v>0</v>
      </c>
      <c r="E268">
        <f>COUNTIF('Metrics - Articles'!E267,"*Healthcare*")</f>
        <v>0</v>
      </c>
      <c r="F268">
        <f>COUNTIF('Metrics - Articles'!E267,"*Innovation")</f>
        <v>1</v>
      </c>
      <c r="G268">
        <f>COUNTIF('Metrics - Articles'!E267,"*Corporate*")</f>
        <v>0</v>
      </c>
      <c r="I268" s="53">
        <f t="shared" si="5"/>
        <v>1</v>
      </c>
    </row>
    <row r="269" spans="2:9" hidden="1" x14ac:dyDescent="0.25">
      <c r="B269" s="48">
        <f>+'Metrics - Articles'!C268</f>
        <v>42235</v>
      </c>
      <c r="C269">
        <f>COUNTIF('Metrics - Articles'!E268,"*Sports*")</f>
        <v>0</v>
      </c>
      <c r="D269">
        <f>COUNTIF('Metrics - Articles'!E268,"*Youth*")</f>
        <v>0</v>
      </c>
      <c r="E269">
        <f>COUNTIF('Metrics - Articles'!E268,"*Healthcare*")</f>
        <v>0</v>
      </c>
      <c r="F269">
        <f>COUNTIF('Metrics - Articles'!E268,"*Innovation")</f>
        <v>0</v>
      </c>
      <c r="G269">
        <f>COUNTIF('Metrics - Articles'!E268,"*Corporate*")</f>
        <v>1</v>
      </c>
      <c r="I269" s="53">
        <f t="shared" si="5"/>
        <v>1</v>
      </c>
    </row>
    <row r="270" spans="2:9" hidden="1" x14ac:dyDescent="0.25">
      <c r="B270" s="48">
        <f>+'Metrics - Articles'!C269</f>
        <v>42236</v>
      </c>
      <c r="C270">
        <f>COUNTIF('Metrics - Articles'!E269,"*Sports*")</f>
        <v>0</v>
      </c>
      <c r="D270">
        <f>COUNTIF('Metrics - Articles'!E269,"*Youth*")</f>
        <v>0</v>
      </c>
      <c r="E270">
        <f>COUNTIF('Metrics - Articles'!E269,"*Healthcare*")</f>
        <v>0</v>
      </c>
      <c r="F270">
        <f>COUNTIF('Metrics - Articles'!E269,"*Innovation")</f>
        <v>1</v>
      </c>
      <c r="G270">
        <f>COUNTIF('Metrics - Articles'!E269,"*Corporate*")</f>
        <v>0</v>
      </c>
      <c r="I270" s="53">
        <f t="shared" si="5"/>
        <v>1</v>
      </c>
    </row>
    <row r="271" spans="2:9" hidden="1" x14ac:dyDescent="0.25">
      <c r="B271" s="48">
        <f>+'Metrics - Articles'!C270</f>
        <v>42237</v>
      </c>
      <c r="C271">
        <f>COUNTIF('Metrics - Articles'!E270,"*Sports*")</f>
        <v>0</v>
      </c>
      <c r="D271">
        <f>COUNTIF('Metrics - Articles'!E270,"*Youth*")</f>
        <v>0</v>
      </c>
      <c r="E271">
        <f>COUNTIF('Metrics - Articles'!E270,"*Healthcare*")</f>
        <v>0</v>
      </c>
      <c r="F271">
        <f>COUNTIF('Metrics - Articles'!E270,"*Innovation")</f>
        <v>1</v>
      </c>
      <c r="G271">
        <f>COUNTIF('Metrics - Articles'!E270,"*Corporate*")</f>
        <v>0</v>
      </c>
      <c r="I271" s="53">
        <f t="shared" si="5"/>
        <v>1</v>
      </c>
    </row>
    <row r="272" spans="2:9" hidden="1" x14ac:dyDescent="0.25">
      <c r="B272" s="48">
        <f>+'Metrics - Articles'!C271</f>
        <v>42240</v>
      </c>
      <c r="C272">
        <f>COUNTIF('Metrics - Articles'!E271,"*Sports*")</f>
        <v>0</v>
      </c>
      <c r="D272">
        <f>COUNTIF('Metrics - Articles'!E271,"*Youth*")</f>
        <v>0</v>
      </c>
      <c r="E272">
        <f>COUNTIF('Metrics - Articles'!E271,"*Healthcare*")</f>
        <v>0</v>
      </c>
      <c r="F272">
        <f>COUNTIF('Metrics - Articles'!E271,"*Innovation")</f>
        <v>1</v>
      </c>
      <c r="G272">
        <f>COUNTIF('Metrics - Articles'!E271,"*Corporate*")</f>
        <v>0</v>
      </c>
      <c r="I272" s="53">
        <f t="shared" si="5"/>
        <v>1</v>
      </c>
    </row>
    <row r="273" spans="2:9" hidden="1" x14ac:dyDescent="0.25">
      <c r="B273" s="48">
        <f>+'Metrics - Articles'!C272</f>
        <v>42241</v>
      </c>
      <c r="C273">
        <f>COUNTIF('Metrics - Articles'!E272,"*Sports*")</f>
        <v>1</v>
      </c>
      <c r="D273">
        <f>COUNTIF('Metrics - Articles'!E272,"*Youth*")</f>
        <v>0</v>
      </c>
      <c r="E273">
        <f>COUNTIF('Metrics - Articles'!E272,"*Healthcare*")</f>
        <v>0</v>
      </c>
      <c r="F273">
        <f>COUNTIF('Metrics - Articles'!E272,"*Innovation")</f>
        <v>0</v>
      </c>
      <c r="G273">
        <f>COUNTIF('Metrics - Articles'!E272,"*Corporate*")</f>
        <v>0</v>
      </c>
      <c r="I273" s="53">
        <f t="shared" si="5"/>
        <v>1</v>
      </c>
    </row>
    <row r="274" spans="2:9" hidden="1" x14ac:dyDescent="0.25">
      <c r="B274" s="48">
        <f>+'Metrics - Articles'!C273</f>
        <v>42242</v>
      </c>
      <c r="C274">
        <f>COUNTIF('Metrics - Articles'!E273,"*Sports*")</f>
        <v>0</v>
      </c>
      <c r="D274">
        <f>COUNTIF('Metrics - Articles'!E273,"*Youth*")</f>
        <v>0</v>
      </c>
      <c r="E274">
        <f>COUNTIF('Metrics - Articles'!E273,"*Healthcare*")</f>
        <v>0</v>
      </c>
      <c r="F274">
        <f>COUNTIF('Metrics - Articles'!E273,"*Innovation")</f>
        <v>1</v>
      </c>
      <c r="G274">
        <f>COUNTIF('Metrics - Articles'!E273,"*Corporate*")</f>
        <v>0</v>
      </c>
      <c r="I274" s="53">
        <f t="shared" si="5"/>
        <v>1</v>
      </c>
    </row>
    <row r="275" spans="2:9" hidden="1" x14ac:dyDescent="0.25">
      <c r="B275" s="48">
        <f>+'Metrics - Articles'!C274</f>
        <v>42242</v>
      </c>
      <c r="C275">
        <f>COUNTIF('Metrics - Articles'!E274,"*Sports*")</f>
        <v>0</v>
      </c>
      <c r="D275">
        <f>COUNTIF('Metrics - Articles'!E274,"*Youth*")</f>
        <v>0</v>
      </c>
      <c r="E275">
        <f>COUNTIF('Metrics - Articles'!E274,"*Healthcare*")</f>
        <v>0</v>
      </c>
      <c r="F275">
        <f>COUNTIF('Metrics - Articles'!E274,"*Innovation")</f>
        <v>1</v>
      </c>
      <c r="G275">
        <f>COUNTIF('Metrics - Articles'!E274,"*Corporate*")</f>
        <v>0</v>
      </c>
      <c r="I275" s="53">
        <f t="shared" si="5"/>
        <v>1</v>
      </c>
    </row>
    <row r="276" spans="2:9" hidden="1" x14ac:dyDescent="0.25">
      <c r="B276" s="48">
        <f>+'Metrics - Articles'!C275</f>
        <v>42244</v>
      </c>
      <c r="C276">
        <f>COUNTIF('Metrics - Articles'!E275,"*Sports*")</f>
        <v>0</v>
      </c>
      <c r="D276">
        <f>COUNTIF('Metrics - Articles'!E275,"*Youth*")</f>
        <v>0</v>
      </c>
      <c r="E276">
        <f>COUNTIF('Metrics - Articles'!E275,"*Healthcare*")</f>
        <v>0</v>
      </c>
      <c r="F276">
        <f>COUNTIF('Metrics - Articles'!E275,"*Innovation")</f>
        <v>1</v>
      </c>
      <c r="G276">
        <f>COUNTIF('Metrics - Articles'!E275,"*Corporate*")</f>
        <v>0</v>
      </c>
      <c r="I276" s="53">
        <f t="shared" si="5"/>
        <v>1</v>
      </c>
    </row>
    <row r="277" spans="2:9" hidden="1" x14ac:dyDescent="0.25">
      <c r="B277" s="48">
        <f>+'Metrics - Articles'!C276</f>
        <v>42247</v>
      </c>
      <c r="C277">
        <f>COUNTIF('Metrics - Articles'!E276,"*Sports*")</f>
        <v>1</v>
      </c>
      <c r="D277">
        <f>COUNTIF('Metrics - Articles'!E276,"*Youth*")</f>
        <v>0</v>
      </c>
      <c r="E277">
        <f>COUNTIF('Metrics - Articles'!E276,"*Healthcare*")</f>
        <v>0</v>
      </c>
      <c r="F277">
        <f>COUNTIF('Metrics - Articles'!E276,"*Innovation")</f>
        <v>0</v>
      </c>
      <c r="G277">
        <f>COUNTIF('Metrics - Articles'!E276,"*Corporate*")</f>
        <v>0</v>
      </c>
      <c r="I277" s="53">
        <f t="shared" si="5"/>
        <v>1</v>
      </c>
    </row>
    <row r="278" spans="2:9" hidden="1" x14ac:dyDescent="0.25">
      <c r="B278" s="48">
        <f>+'Metrics - Articles'!C277</f>
        <v>42248</v>
      </c>
      <c r="C278">
        <f>COUNTIF('Metrics - Articles'!E277,"*Sports*")</f>
        <v>0</v>
      </c>
      <c r="D278">
        <f>COUNTIF('Metrics - Articles'!E277,"*Youth*")</f>
        <v>0</v>
      </c>
      <c r="E278">
        <f>COUNTIF('Metrics - Articles'!E277,"*Healthcare*")</f>
        <v>0</v>
      </c>
      <c r="F278">
        <f>COUNTIF('Metrics - Articles'!E277,"*Innovation")</f>
        <v>1</v>
      </c>
      <c r="G278">
        <f>COUNTIF('Metrics - Articles'!E277,"*Corporate*")</f>
        <v>0</v>
      </c>
      <c r="I278" s="53">
        <f t="shared" si="5"/>
        <v>1</v>
      </c>
    </row>
    <row r="279" spans="2:9" hidden="1" x14ac:dyDescent="0.25">
      <c r="B279" s="48">
        <f>+'Metrics - Articles'!C278</f>
        <v>42250</v>
      </c>
      <c r="C279">
        <f>COUNTIF('Metrics - Articles'!E278,"*Sports*")</f>
        <v>0</v>
      </c>
      <c r="D279">
        <f>COUNTIF('Metrics - Articles'!E278,"*Youth*")</f>
        <v>0</v>
      </c>
      <c r="E279">
        <f>COUNTIF('Metrics - Articles'!E278,"*Healthcare*")</f>
        <v>0</v>
      </c>
      <c r="F279">
        <f>COUNTIF('Metrics - Articles'!E278,"*Innovation")</f>
        <v>0</v>
      </c>
      <c r="G279">
        <f>COUNTIF('Metrics - Articles'!E278,"*Corporate*")</f>
        <v>1</v>
      </c>
      <c r="I279" s="53">
        <f t="shared" si="5"/>
        <v>1</v>
      </c>
    </row>
    <row r="280" spans="2:9" hidden="1" x14ac:dyDescent="0.25">
      <c r="B280" s="48">
        <f>+'Metrics - Articles'!C279</f>
        <v>42255</v>
      </c>
      <c r="C280">
        <f>COUNTIF('Metrics - Articles'!E279,"*Sports*")</f>
        <v>0</v>
      </c>
      <c r="D280">
        <f>COUNTIF('Metrics - Articles'!E279,"*Youth*")</f>
        <v>0</v>
      </c>
      <c r="E280">
        <f>COUNTIF('Metrics - Articles'!E279,"*Healthcare*")</f>
        <v>0</v>
      </c>
      <c r="F280">
        <f>COUNTIF('Metrics - Articles'!E279,"*Innovation")</f>
        <v>0</v>
      </c>
      <c r="G280">
        <f>COUNTIF('Metrics - Articles'!E279,"*Corporate*")</f>
        <v>1</v>
      </c>
      <c r="I280" s="53">
        <f t="shared" si="5"/>
        <v>1</v>
      </c>
    </row>
    <row r="281" spans="2:9" hidden="1" x14ac:dyDescent="0.25">
      <c r="B281" s="48">
        <f>+'Metrics - Articles'!C280</f>
        <v>42255</v>
      </c>
      <c r="C281">
        <f>COUNTIF('Metrics - Articles'!E280,"*Sports*")</f>
        <v>0</v>
      </c>
      <c r="D281">
        <f>COUNTIF('Metrics - Articles'!E280,"*Youth*")</f>
        <v>0</v>
      </c>
      <c r="E281">
        <f>COUNTIF('Metrics - Articles'!E280,"*Healthcare*")</f>
        <v>0</v>
      </c>
      <c r="F281">
        <f>COUNTIF('Metrics - Articles'!E280,"*Innovation")</f>
        <v>1</v>
      </c>
      <c r="G281">
        <f>COUNTIF('Metrics - Articles'!E280,"*Corporate*")</f>
        <v>0</v>
      </c>
      <c r="I281" s="53">
        <f t="shared" si="5"/>
        <v>1</v>
      </c>
    </row>
    <row r="282" spans="2:9" hidden="1" x14ac:dyDescent="0.25">
      <c r="B282" s="48">
        <f>+'Metrics - Articles'!C281</f>
        <v>42256</v>
      </c>
      <c r="C282">
        <f>COUNTIF('Metrics - Articles'!E281,"*Sports*")</f>
        <v>0</v>
      </c>
      <c r="D282">
        <f>COUNTIF('Metrics - Articles'!E281,"*Youth*")</f>
        <v>0</v>
      </c>
      <c r="E282">
        <f>COUNTIF('Metrics - Articles'!E281,"*Healthcare*")</f>
        <v>0</v>
      </c>
      <c r="F282">
        <f>COUNTIF('Metrics - Articles'!E281,"*Innovation")</f>
        <v>0</v>
      </c>
      <c r="G282">
        <f>COUNTIF('Metrics - Articles'!E281,"*Corporate*")</f>
        <v>1</v>
      </c>
      <c r="I282" s="53">
        <f t="shared" si="5"/>
        <v>1</v>
      </c>
    </row>
    <row r="283" spans="2:9" hidden="1" x14ac:dyDescent="0.25">
      <c r="B283" s="48">
        <f>+'Metrics - Articles'!C282</f>
        <v>42257</v>
      </c>
      <c r="C283">
        <f>COUNTIF('Metrics - Articles'!E282,"*Sports*")</f>
        <v>0</v>
      </c>
      <c r="D283">
        <f>COUNTIF('Metrics - Articles'!E282,"*Youth*")</f>
        <v>0</v>
      </c>
      <c r="E283">
        <f>COUNTIF('Metrics - Articles'!E282,"*Healthcare*")</f>
        <v>1</v>
      </c>
      <c r="F283">
        <f>COUNTIF('Metrics - Articles'!E282,"*Innovation")</f>
        <v>0</v>
      </c>
      <c r="G283">
        <f>COUNTIF('Metrics - Articles'!E282,"*Corporate*")</f>
        <v>0</v>
      </c>
      <c r="I283" s="53">
        <f t="shared" si="5"/>
        <v>1</v>
      </c>
    </row>
    <row r="284" spans="2:9" hidden="1" x14ac:dyDescent="0.25">
      <c r="B284" s="48">
        <f>+'Metrics - Articles'!C283</f>
        <v>42258</v>
      </c>
      <c r="C284">
        <f>COUNTIF('Metrics - Articles'!E283,"*Sports*")</f>
        <v>0</v>
      </c>
      <c r="D284">
        <f>COUNTIF('Metrics - Articles'!E283,"*Youth*")</f>
        <v>0</v>
      </c>
      <c r="E284">
        <f>COUNTIF('Metrics - Articles'!E283,"*Healthcare*")</f>
        <v>1</v>
      </c>
      <c r="F284">
        <f>COUNTIF('Metrics - Articles'!E283,"*Innovation")</f>
        <v>0</v>
      </c>
      <c r="G284">
        <f>COUNTIF('Metrics - Articles'!E283,"*Corporate*")</f>
        <v>0</v>
      </c>
      <c r="I284" s="53">
        <f t="shared" si="5"/>
        <v>1</v>
      </c>
    </row>
    <row r="285" spans="2:9" hidden="1" x14ac:dyDescent="0.25">
      <c r="B285" s="48">
        <f>+'Metrics - Articles'!C284</f>
        <v>42261</v>
      </c>
      <c r="C285">
        <f>COUNTIF('Metrics - Articles'!E284,"*Sports*")</f>
        <v>0</v>
      </c>
      <c r="D285">
        <f>COUNTIF('Metrics - Articles'!E284,"*Youth*")</f>
        <v>0</v>
      </c>
      <c r="E285">
        <f>COUNTIF('Metrics - Articles'!E284,"*Healthcare*")</f>
        <v>0</v>
      </c>
      <c r="F285">
        <f>COUNTIF('Metrics - Articles'!E284,"*Innovation")</f>
        <v>0</v>
      </c>
      <c r="G285">
        <f>COUNTIF('Metrics - Articles'!E284,"*Corporate*")</f>
        <v>1</v>
      </c>
      <c r="I285" s="53">
        <f t="shared" si="5"/>
        <v>1</v>
      </c>
    </row>
    <row r="286" spans="2:9" hidden="1" x14ac:dyDescent="0.25">
      <c r="B286" s="48">
        <f>+'Metrics - Articles'!C285</f>
        <v>42262</v>
      </c>
      <c r="C286">
        <f>COUNTIF('Metrics - Articles'!E285,"*Sports*")</f>
        <v>0</v>
      </c>
      <c r="D286">
        <f>COUNTIF('Metrics - Articles'!E285,"*Youth*")</f>
        <v>0</v>
      </c>
      <c r="E286">
        <f>COUNTIF('Metrics - Articles'!E285,"*Healthcare*")</f>
        <v>0</v>
      </c>
      <c r="F286">
        <f>COUNTIF('Metrics - Articles'!E285,"*Innovation")</f>
        <v>1</v>
      </c>
      <c r="G286">
        <f>COUNTIF('Metrics - Articles'!E285,"*Corporate*")</f>
        <v>0</v>
      </c>
      <c r="I286" s="53">
        <f t="shared" si="5"/>
        <v>1</v>
      </c>
    </row>
    <row r="287" spans="2:9" hidden="1" x14ac:dyDescent="0.25">
      <c r="B287" s="48">
        <f>+'Metrics - Articles'!C286</f>
        <v>42262</v>
      </c>
      <c r="C287">
        <f>COUNTIF('Metrics - Articles'!E286,"*Sports*")</f>
        <v>0</v>
      </c>
      <c r="D287">
        <f>COUNTIF('Metrics - Articles'!E286,"*Youth*")</f>
        <v>0</v>
      </c>
      <c r="E287">
        <f>COUNTIF('Metrics - Articles'!E286,"*Healthcare*")</f>
        <v>0</v>
      </c>
      <c r="F287">
        <f>COUNTIF('Metrics - Articles'!E286,"*Innovation")</f>
        <v>0</v>
      </c>
      <c r="G287">
        <f>COUNTIF('Metrics - Articles'!E286,"*Corporate*")</f>
        <v>1</v>
      </c>
      <c r="I287" s="53">
        <f t="shared" si="5"/>
        <v>1</v>
      </c>
    </row>
    <row r="288" spans="2:9" hidden="1" x14ac:dyDescent="0.25">
      <c r="B288" s="48">
        <f>+'Metrics - Articles'!C287</f>
        <v>42263</v>
      </c>
      <c r="C288">
        <f>COUNTIF('Metrics - Articles'!E287,"*Sports*")</f>
        <v>0</v>
      </c>
      <c r="D288">
        <f>COUNTIF('Metrics - Articles'!E287,"*Youth*")</f>
        <v>0</v>
      </c>
      <c r="E288">
        <f>COUNTIF('Metrics - Articles'!E287,"*Healthcare*")</f>
        <v>0</v>
      </c>
      <c r="F288">
        <f>COUNTIF('Metrics - Articles'!E287,"*Innovation")</f>
        <v>0</v>
      </c>
      <c r="G288">
        <f>COUNTIF('Metrics - Articles'!E287,"*Corporate*")</f>
        <v>1</v>
      </c>
      <c r="I288" s="53">
        <f t="shared" si="5"/>
        <v>1</v>
      </c>
    </row>
    <row r="289" spans="2:9" hidden="1" x14ac:dyDescent="0.25">
      <c r="B289" s="48">
        <f>+'Metrics - Articles'!C288</f>
        <v>42263</v>
      </c>
      <c r="C289">
        <f>COUNTIF('Metrics - Articles'!E288,"*Sports*")</f>
        <v>0</v>
      </c>
      <c r="D289">
        <f>COUNTIF('Metrics - Articles'!E288,"*Youth*")</f>
        <v>0</v>
      </c>
      <c r="E289">
        <f>COUNTIF('Metrics - Articles'!E288,"*Healthcare*")</f>
        <v>0</v>
      </c>
      <c r="F289">
        <f>COUNTIF('Metrics - Articles'!E288,"*Innovation")</f>
        <v>1</v>
      </c>
      <c r="G289">
        <f>COUNTIF('Metrics - Articles'!E288,"*Corporate*")</f>
        <v>0</v>
      </c>
      <c r="I289" s="53">
        <f t="shared" si="5"/>
        <v>1</v>
      </c>
    </row>
    <row r="290" spans="2:9" hidden="1" x14ac:dyDescent="0.25">
      <c r="B290" s="48">
        <f>+'Metrics - Articles'!C289</f>
        <v>42264</v>
      </c>
      <c r="C290">
        <f>COUNTIF('Metrics - Articles'!E289,"*Sports*")</f>
        <v>0</v>
      </c>
      <c r="D290">
        <f>COUNTIF('Metrics - Articles'!E289,"*Youth*")</f>
        <v>0</v>
      </c>
      <c r="E290">
        <f>COUNTIF('Metrics - Articles'!E289,"*Healthcare*")</f>
        <v>0</v>
      </c>
      <c r="F290">
        <f>COUNTIF('Metrics - Articles'!E289,"*Innovation")</f>
        <v>0</v>
      </c>
      <c r="G290">
        <f>COUNTIF('Metrics - Articles'!E289,"*Corporate*")</f>
        <v>1</v>
      </c>
      <c r="I290" s="53">
        <f t="shared" si="5"/>
        <v>1</v>
      </c>
    </row>
    <row r="291" spans="2:9" hidden="1" x14ac:dyDescent="0.25">
      <c r="B291" s="48">
        <f>+'Metrics - Articles'!C290</f>
        <v>42269</v>
      </c>
      <c r="C291">
        <f>COUNTIF('Metrics - Articles'!E290,"*Sports*")</f>
        <v>1</v>
      </c>
      <c r="D291">
        <f>COUNTIF('Metrics - Articles'!E290,"*Youth*")</f>
        <v>0</v>
      </c>
      <c r="E291">
        <f>COUNTIF('Metrics - Articles'!E290,"*Healthcare*")</f>
        <v>0</v>
      </c>
      <c r="F291">
        <f>COUNTIF('Metrics - Articles'!E290,"*Innovation")</f>
        <v>0</v>
      </c>
      <c r="G291">
        <f>COUNTIF('Metrics - Articles'!E290,"*Corporate*")</f>
        <v>0</v>
      </c>
      <c r="I291" s="53">
        <f t="shared" si="5"/>
        <v>1</v>
      </c>
    </row>
    <row r="292" spans="2:9" hidden="1" x14ac:dyDescent="0.25">
      <c r="B292" s="48">
        <f>+'Metrics - Articles'!C291</f>
        <v>42270</v>
      </c>
      <c r="C292">
        <f>COUNTIF('Metrics - Articles'!E291,"*Sports*")</f>
        <v>0</v>
      </c>
      <c r="D292">
        <f>COUNTIF('Metrics - Articles'!E291,"*Youth*")</f>
        <v>0</v>
      </c>
      <c r="E292">
        <f>COUNTIF('Metrics - Articles'!E291,"*Healthcare*")</f>
        <v>0</v>
      </c>
      <c r="F292">
        <f>COUNTIF('Metrics - Articles'!E291,"*Innovation")</f>
        <v>0</v>
      </c>
      <c r="G292">
        <f>COUNTIF('Metrics - Articles'!E291,"*Corporate*")</f>
        <v>1</v>
      </c>
      <c r="I292" s="53">
        <f t="shared" si="5"/>
        <v>1</v>
      </c>
    </row>
    <row r="293" spans="2:9" hidden="1" x14ac:dyDescent="0.25">
      <c r="B293" s="48">
        <f>+'Metrics - Articles'!C292</f>
        <v>42272</v>
      </c>
      <c r="C293">
        <f>COUNTIF('Metrics - Articles'!E292,"*Sports*")</f>
        <v>0</v>
      </c>
      <c r="D293">
        <f>COUNTIF('Metrics - Articles'!E292,"*Youth*")</f>
        <v>0</v>
      </c>
      <c r="E293">
        <f>COUNTIF('Metrics - Articles'!E292,"*Healthcare*")</f>
        <v>0</v>
      </c>
      <c r="F293">
        <f>COUNTIF('Metrics - Articles'!E292,"*Innovation")</f>
        <v>1</v>
      </c>
      <c r="G293">
        <f>COUNTIF('Metrics - Articles'!E292,"*Corporate*")</f>
        <v>0</v>
      </c>
      <c r="I293" s="53">
        <f t="shared" si="5"/>
        <v>1</v>
      </c>
    </row>
    <row r="294" spans="2:9" hidden="1" x14ac:dyDescent="0.25">
      <c r="B294" s="48">
        <f>+'Metrics - Articles'!C293</f>
        <v>42272</v>
      </c>
      <c r="C294">
        <f>COUNTIF('Metrics - Articles'!E293,"*Sports*")</f>
        <v>0</v>
      </c>
      <c r="D294">
        <f>COUNTIF('Metrics - Articles'!E293,"*Youth*")</f>
        <v>0</v>
      </c>
      <c r="E294">
        <f>COUNTIF('Metrics - Articles'!E293,"*Healthcare*")</f>
        <v>0</v>
      </c>
      <c r="F294">
        <f>COUNTIF('Metrics - Articles'!E293,"*Innovation")</f>
        <v>1</v>
      </c>
      <c r="G294">
        <f>COUNTIF('Metrics - Articles'!E293,"*Corporate*")</f>
        <v>0</v>
      </c>
      <c r="I294" s="53">
        <f t="shared" si="5"/>
        <v>1</v>
      </c>
    </row>
    <row r="295" spans="2:9" hidden="1" x14ac:dyDescent="0.25">
      <c r="B295" s="48">
        <f>+'Metrics - Articles'!C294</f>
        <v>42272</v>
      </c>
      <c r="C295">
        <f>COUNTIF('Metrics - Articles'!E294,"*Sports*")</f>
        <v>0</v>
      </c>
      <c r="D295">
        <f>COUNTIF('Metrics - Articles'!E294,"*Youth*")</f>
        <v>0</v>
      </c>
      <c r="E295">
        <f>COUNTIF('Metrics - Articles'!E294,"*Healthcare*")</f>
        <v>0</v>
      </c>
      <c r="F295">
        <f>COUNTIF('Metrics - Articles'!E294,"*Innovation")</f>
        <v>1</v>
      </c>
      <c r="G295">
        <f>COUNTIF('Metrics - Articles'!E294,"*Corporate*")</f>
        <v>0</v>
      </c>
      <c r="I295" s="53">
        <f t="shared" si="5"/>
        <v>1</v>
      </c>
    </row>
    <row r="296" spans="2:9" hidden="1" x14ac:dyDescent="0.25">
      <c r="B296" s="48">
        <f>+'Metrics - Articles'!C295</f>
        <v>42275</v>
      </c>
      <c r="C296">
        <f>COUNTIF('Metrics - Articles'!E295,"*Sports*")</f>
        <v>0</v>
      </c>
      <c r="D296">
        <f>COUNTIF('Metrics - Articles'!E295,"*Youth*")</f>
        <v>0</v>
      </c>
      <c r="E296">
        <f>COUNTIF('Metrics - Articles'!E295,"*Healthcare*")</f>
        <v>0</v>
      </c>
      <c r="F296">
        <f>COUNTIF('Metrics - Articles'!E295,"*Innovation")</f>
        <v>1</v>
      </c>
      <c r="G296">
        <f>COUNTIF('Metrics - Articles'!E295,"*Corporate*")</f>
        <v>0</v>
      </c>
      <c r="I296" s="53">
        <f t="shared" si="5"/>
        <v>1</v>
      </c>
    </row>
    <row r="297" spans="2:9" hidden="1" x14ac:dyDescent="0.25">
      <c r="B297" s="48">
        <f>+'Metrics - Articles'!C296</f>
        <v>42276</v>
      </c>
      <c r="C297">
        <f>COUNTIF('Metrics - Articles'!E296,"*Sports*")</f>
        <v>0</v>
      </c>
      <c r="D297">
        <f>COUNTIF('Metrics - Articles'!E296,"*Youth*")</f>
        <v>0</v>
      </c>
      <c r="E297">
        <f>COUNTIF('Metrics - Articles'!E296,"*Healthcare*")</f>
        <v>0</v>
      </c>
      <c r="F297">
        <f>COUNTIF('Metrics - Articles'!E296,"*Innovation")</f>
        <v>1</v>
      </c>
      <c r="G297">
        <f>COUNTIF('Metrics - Articles'!E296,"*Corporate*")</f>
        <v>0</v>
      </c>
      <c r="I297" s="53">
        <f t="shared" si="5"/>
        <v>1</v>
      </c>
    </row>
    <row r="298" spans="2:9" hidden="1" x14ac:dyDescent="0.25">
      <c r="B298" s="48">
        <f>+'Metrics - Articles'!C297</f>
        <v>42277</v>
      </c>
      <c r="C298">
        <f>COUNTIF('Metrics - Articles'!E297,"*Sports*")</f>
        <v>0</v>
      </c>
      <c r="D298">
        <f>COUNTIF('Metrics - Articles'!E297,"*Youth*")</f>
        <v>0</v>
      </c>
      <c r="E298">
        <f>COUNTIF('Metrics - Articles'!E297,"*Healthcare*")</f>
        <v>0</v>
      </c>
      <c r="F298">
        <f>COUNTIF('Metrics - Articles'!E297,"*Innovation")</f>
        <v>0</v>
      </c>
      <c r="G298">
        <f>COUNTIF('Metrics - Articles'!E297,"*Corporate*")</f>
        <v>1</v>
      </c>
      <c r="I298" s="53">
        <f t="shared" si="5"/>
        <v>1</v>
      </c>
    </row>
    <row r="299" spans="2:9" hidden="1" x14ac:dyDescent="0.25">
      <c r="B299" s="48">
        <f>+'Metrics - Articles'!C298</f>
        <v>42277</v>
      </c>
      <c r="C299">
        <f>COUNTIF('Metrics - Articles'!E298,"*Sports*")</f>
        <v>0</v>
      </c>
      <c r="D299">
        <f>COUNTIF('Metrics - Articles'!E298,"*Youth*")</f>
        <v>0</v>
      </c>
      <c r="E299">
        <f>COUNTIF('Metrics - Articles'!E298,"*Healthcare*")</f>
        <v>0</v>
      </c>
      <c r="F299">
        <f>COUNTIF('Metrics - Articles'!E298,"*Innovation")</f>
        <v>1</v>
      </c>
      <c r="G299">
        <f>COUNTIF('Metrics - Articles'!E298,"*Corporate*")</f>
        <v>0</v>
      </c>
      <c r="I299" s="53">
        <f t="shared" si="5"/>
        <v>1</v>
      </c>
    </row>
    <row r="300" spans="2:9" x14ac:dyDescent="0.25">
      <c r="B300" s="48">
        <f>+'Metrics - Articles'!C299</f>
        <v>42278</v>
      </c>
      <c r="C300">
        <f>COUNTIF('Metrics - Articles'!E299,"*Sports*")</f>
        <v>0</v>
      </c>
      <c r="D300">
        <f>COUNTIF('Metrics - Articles'!E299,"*Youth*")</f>
        <v>1</v>
      </c>
      <c r="E300">
        <f>COUNTIF('Metrics - Articles'!E299,"*Healthcare*")</f>
        <v>0</v>
      </c>
      <c r="F300">
        <f>COUNTIF('Metrics - Articles'!E299,"*Innovation")</f>
        <v>0</v>
      </c>
      <c r="G300">
        <f>COUNTIF('Metrics - Articles'!E299,"*Corporate*")</f>
        <v>0</v>
      </c>
      <c r="I300" s="53">
        <f t="shared" si="5"/>
        <v>1</v>
      </c>
    </row>
    <row r="301" spans="2:9" x14ac:dyDescent="0.25">
      <c r="B301" s="48">
        <f>+'Metrics - Articles'!C300</f>
        <v>42285</v>
      </c>
      <c r="C301">
        <f>COUNTIF('Metrics - Articles'!E300,"*Sports*")</f>
        <v>0</v>
      </c>
      <c r="D301">
        <f>COUNTIF('Metrics - Articles'!E300,"*Youth*")</f>
        <v>0</v>
      </c>
      <c r="E301">
        <f>COUNTIF('Metrics - Articles'!E300,"*Healthcare*")</f>
        <v>0</v>
      </c>
      <c r="F301">
        <f>COUNTIF('Metrics - Articles'!E300,"*Innovation")</f>
        <v>0</v>
      </c>
      <c r="G301">
        <f>COUNTIF('Metrics - Articles'!E300,"*Corporate*")</f>
        <v>1</v>
      </c>
      <c r="I301" s="53">
        <f t="shared" si="5"/>
        <v>1</v>
      </c>
    </row>
    <row r="302" spans="2:9" x14ac:dyDescent="0.25">
      <c r="B302" s="48">
        <f>+'Metrics - Articles'!C301</f>
        <v>42286</v>
      </c>
      <c r="C302">
        <f>COUNTIF('Metrics - Articles'!E301,"*Sports*")</f>
        <v>0</v>
      </c>
      <c r="D302">
        <f>COUNTIF('Metrics - Articles'!E301,"*Youth*")</f>
        <v>0</v>
      </c>
      <c r="E302">
        <f>COUNTIF('Metrics - Articles'!E301,"*Healthcare*")</f>
        <v>0</v>
      </c>
      <c r="F302">
        <f>COUNTIF('Metrics - Articles'!E301,"*Innovation")</f>
        <v>0</v>
      </c>
      <c r="G302">
        <f>COUNTIF('Metrics - Articles'!E301,"*Corporate*")</f>
        <v>1</v>
      </c>
      <c r="I302" s="53">
        <f t="shared" si="5"/>
        <v>1</v>
      </c>
    </row>
    <row r="303" spans="2:9" x14ac:dyDescent="0.25">
      <c r="B303" s="48">
        <f>+'Metrics - Articles'!C302</f>
        <v>42289</v>
      </c>
      <c r="C303">
        <f>COUNTIF('Metrics - Articles'!E302,"*Sports*")</f>
        <v>0</v>
      </c>
      <c r="D303">
        <f>COUNTIF('Metrics - Articles'!E302,"*Youth*")</f>
        <v>0</v>
      </c>
      <c r="E303">
        <f>COUNTIF('Metrics - Articles'!E302,"*Healthcare*")</f>
        <v>1</v>
      </c>
      <c r="F303">
        <f>COUNTIF('Metrics - Articles'!E302,"*Innovation")</f>
        <v>0</v>
      </c>
      <c r="G303">
        <f>COUNTIF('Metrics - Articles'!E302,"*Corporate*")</f>
        <v>0</v>
      </c>
      <c r="I303" s="53">
        <f t="shared" si="5"/>
        <v>1</v>
      </c>
    </row>
    <row r="304" spans="2:9" x14ac:dyDescent="0.25">
      <c r="B304" s="48">
        <f>+'Metrics - Articles'!C303</f>
        <v>42289</v>
      </c>
      <c r="C304">
        <f>COUNTIF('Metrics - Articles'!E303,"*Sports*")</f>
        <v>0</v>
      </c>
      <c r="D304">
        <f>COUNTIF('Metrics - Articles'!E303,"*Youth*")</f>
        <v>0</v>
      </c>
      <c r="E304">
        <f>COUNTIF('Metrics - Articles'!E303,"*Healthcare*")</f>
        <v>0</v>
      </c>
      <c r="F304">
        <f>COUNTIF('Metrics - Articles'!E303,"*Innovation")</f>
        <v>1</v>
      </c>
      <c r="G304">
        <f>COUNTIF('Metrics - Articles'!E303,"*Corporate*")</f>
        <v>0</v>
      </c>
      <c r="I304" s="53">
        <f t="shared" si="5"/>
        <v>1</v>
      </c>
    </row>
    <row r="305" spans="2:9" x14ac:dyDescent="0.25">
      <c r="B305" s="48">
        <f>+'Metrics - Articles'!C304</f>
        <v>42289</v>
      </c>
      <c r="C305">
        <f>COUNTIF('Metrics - Articles'!E304,"*Sports*")</f>
        <v>0</v>
      </c>
      <c r="D305">
        <f>COUNTIF('Metrics - Articles'!E304,"*Youth*")</f>
        <v>0</v>
      </c>
      <c r="E305">
        <f>COUNTIF('Metrics - Articles'!E304,"*Healthcare*")</f>
        <v>0</v>
      </c>
      <c r="F305">
        <f>COUNTIF('Metrics - Articles'!E304,"*Innovation")</f>
        <v>1</v>
      </c>
      <c r="G305">
        <f>COUNTIF('Metrics - Articles'!E304,"*Corporate*")</f>
        <v>1</v>
      </c>
      <c r="I305" s="53">
        <f t="shared" si="5"/>
        <v>2</v>
      </c>
    </row>
    <row r="306" spans="2:9" x14ac:dyDescent="0.25">
      <c r="B306" s="48">
        <f>+'Metrics - Articles'!C305</f>
        <v>42290</v>
      </c>
      <c r="C306">
        <f>COUNTIF('Metrics - Articles'!E305,"*Sports*")</f>
        <v>0</v>
      </c>
      <c r="D306">
        <f>COUNTIF('Metrics - Articles'!E305,"*Youth*")</f>
        <v>0</v>
      </c>
      <c r="E306">
        <f>COUNTIF('Metrics - Articles'!E305,"*Healthcare*")</f>
        <v>0</v>
      </c>
      <c r="F306">
        <f>COUNTIF('Metrics - Articles'!E305,"*Innovation")</f>
        <v>0</v>
      </c>
      <c r="G306">
        <f>COUNTIF('Metrics - Articles'!E305,"*Corporate*")</f>
        <v>1</v>
      </c>
      <c r="I306" s="53">
        <f t="shared" si="5"/>
        <v>1</v>
      </c>
    </row>
    <row r="307" spans="2:9" x14ac:dyDescent="0.25">
      <c r="B307" s="48">
        <f>+'Metrics - Articles'!C306</f>
        <v>42290</v>
      </c>
      <c r="C307">
        <f>COUNTIF('Metrics - Articles'!E306,"*Sports*")</f>
        <v>1</v>
      </c>
      <c r="D307">
        <f>COUNTIF('Metrics - Articles'!E306,"*Youth*")</f>
        <v>0</v>
      </c>
      <c r="E307">
        <f>COUNTIF('Metrics - Articles'!E306,"*Healthcare*")</f>
        <v>0</v>
      </c>
      <c r="F307">
        <f>COUNTIF('Metrics - Articles'!E306,"*Innovation")</f>
        <v>0</v>
      </c>
      <c r="G307">
        <f>COUNTIF('Metrics - Articles'!E306,"*Corporate*")</f>
        <v>0</v>
      </c>
      <c r="I307" s="53">
        <f t="shared" si="5"/>
        <v>1</v>
      </c>
    </row>
    <row r="308" spans="2:9" x14ac:dyDescent="0.25">
      <c r="B308" s="48">
        <f>+'Metrics - Articles'!C307</f>
        <v>42292</v>
      </c>
      <c r="C308">
        <f>COUNTIF('Metrics - Articles'!E307,"*Sports*")</f>
        <v>0</v>
      </c>
      <c r="D308">
        <f>COUNTIF('Metrics - Articles'!E307,"*Youth*")</f>
        <v>0</v>
      </c>
      <c r="E308">
        <f>COUNTIF('Metrics - Articles'!E307,"*Healthcare*")</f>
        <v>0</v>
      </c>
      <c r="F308">
        <f>COUNTIF('Metrics - Articles'!E307,"*Innovation")</f>
        <v>0</v>
      </c>
      <c r="G308">
        <f>COUNTIF('Metrics - Articles'!E307,"*Corporate*")</f>
        <v>1</v>
      </c>
      <c r="I308" s="53">
        <f t="shared" si="5"/>
        <v>1</v>
      </c>
    </row>
    <row r="309" spans="2:9" x14ac:dyDescent="0.25">
      <c r="B309" s="48">
        <f>+'Metrics - Articles'!C308</f>
        <v>42292</v>
      </c>
      <c r="C309">
        <f>COUNTIF('Metrics - Articles'!E308,"*Sports*")</f>
        <v>0</v>
      </c>
      <c r="D309">
        <f>COUNTIF('Metrics - Articles'!E308,"*Youth*")</f>
        <v>0</v>
      </c>
      <c r="E309">
        <f>COUNTIF('Metrics - Articles'!E308,"*Healthcare*")</f>
        <v>1</v>
      </c>
      <c r="F309">
        <f>COUNTIF('Metrics - Articles'!E308,"*Innovation")</f>
        <v>1</v>
      </c>
      <c r="G309">
        <f>COUNTIF('Metrics - Articles'!E308,"*Corporate*")</f>
        <v>0</v>
      </c>
      <c r="I309" s="53">
        <f t="shared" si="5"/>
        <v>2</v>
      </c>
    </row>
    <row r="310" spans="2:9" x14ac:dyDescent="0.25">
      <c r="B310" s="48">
        <f>+'Metrics - Articles'!C309</f>
        <v>42292</v>
      </c>
      <c r="C310">
        <f>COUNTIF('Metrics - Articles'!E309,"*Sports*")</f>
        <v>0</v>
      </c>
      <c r="D310">
        <f>COUNTIF('Metrics - Articles'!E309,"*Youth*")</f>
        <v>1</v>
      </c>
      <c r="E310">
        <f>COUNTIF('Metrics - Articles'!E309,"*Healthcare*")</f>
        <v>0</v>
      </c>
      <c r="F310">
        <f>COUNTIF('Metrics - Articles'!E309,"*Innovation")</f>
        <v>0</v>
      </c>
      <c r="G310">
        <f>COUNTIF('Metrics - Articles'!E309,"*Corporate*")</f>
        <v>0</v>
      </c>
      <c r="I310" s="53">
        <f t="shared" si="5"/>
        <v>1</v>
      </c>
    </row>
    <row r="311" spans="2:9" x14ac:dyDescent="0.25">
      <c r="B311" s="48">
        <f>+'Metrics - Articles'!C310</f>
        <v>42293</v>
      </c>
      <c r="C311">
        <f>COUNTIF('Metrics - Articles'!E310,"*Sports*")</f>
        <v>0</v>
      </c>
      <c r="D311">
        <f>COUNTIF('Metrics - Articles'!E310,"*Youth*")</f>
        <v>0</v>
      </c>
      <c r="E311">
        <f>COUNTIF('Metrics - Articles'!E310,"*Healthcare*")</f>
        <v>0</v>
      </c>
      <c r="F311">
        <f>COUNTIF('Metrics - Articles'!E310,"*Innovation")</f>
        <v>1</v>
      </c>
      <c r="G311">
        <f>COUNTIF('Metrics - Articles'!E310,"*Corporate*")</f>
        <v>0</v>
      </c>
      <c r="I311" s="53">
        <f t="shared" si="5"/>
        <v>1</v>
      </c>
    </row>
    <row r="312" spans="2:9" x14ac:dyDescent="0.25">
      <c r="B312" s="48">
        <f>+'Metrics - Articles'!C311</f>
        <v>42296</v>
      </c>
      <c r="C312">
        <f>COUNTIF('Metrics - Articles'!E311,"*Sports*")</f>
        <v>0</v>
      </c>
      <c r="D312">
        <f>COUNTIF('Metrics - Articles'!E311,"*Youth*")</f>
        <v>0</v>
      </c>
      <c r="E312">
        <f>COUNTIF('Metrics - Articles'!E311,"*Healthcare*")</f>
        <v>0</v>
      </c>
      <c r="F312">
        <f>COUNTIF('Metrics - Articles'!E311,"*Innovation")</f>
        <v>0</v>
      </c>
      <c r="G312">
        <f>COUNTIF('Metrics - Articles'!E311,"*Corporate*")</f>
        <v>1</v>
      </c>
      <c r="I312" s="53">
        <f t="shared" si="5"/>
        <v>1</v>
      </c>
    </row>
    <row r="313" spans="2:9" x14ac:dyDescent="0.25">
      <c r="B313" s="48">
        <f>+'Metrics - Articles'!C312</f>
        <v>42297</v>
      </c>
      <c r="C313">
        <f>COUNTIF('Metrics - Articles'!E312,"*Sports*")</f>
        <v>0</v>
      </c>
      <c r="D313">
        <f>COUNTIF('Metrics - Articles'!E312,"*Youth*")</f>
        <v>0</v>
      </c>
      <c r="E313">
        <f>COUNTIF('Metrics - Articles'!E312,"*Healthcare*")</f>
        <v>0</v>
      </c>
      <c r="F313">
        <f>COUNTIF('Metrics - Articles'!E312,"*Innovation")</f>
        <v>0</v>
      </c>
      <c r="G313">
        <f>COUNTIF('Metrics - Articles'!E312,"*Corporate*")</f>
        <v>1</v>
      </c>
      <c r="I313" s="53">
        <f t="shared" si="5"/>
        <v>1</v>
      </c>
    </row>
    <row r="314" spans="2:9" x14ac:dyDescent="0.25">
      <c r="B314" s="48">
        <f>+'Metrics - Articles'!C313</f>
        <v>42298</v>
      </c>
      <c r="C314">
        <f>COUNTIF('Metrics - Articles'!E313,"*Sports*")</f>
        <v>0</v>
      </c>
      <c r="D314">
        <f>COUNTIF('Metrics - Articles'!E313,"*Youth*")</f>
        <v>0</v>
      </c>
      <c r="E314">
        <f>COUNTIF('Metrics - Articles'!E313,"*Healthcare*")</f>
        <v>0</v>
      </c>
      <c r="F314">
        <f>COUNTIF('Metrics - Articles'!E313,"*Innovation")</f>
        <v>0</v>
      </c>
      <c r="G314">
        <f>COUNTIF('Metrics - Articles'!E313,"*Corporate*")</f>
        <v>1</v>
      </c>
      <c r="I314" s="53">
        <f t="shared" si="5"/>
        <v>1</v>
      </c>
    </row>
    <row r="315" spans="2:9" x14ac:dyDescent="0.25">
      <c r="B315" s="48">
        <f>+'Metrics - Articles'!C314</f>
        <v>42298</v>
      </c>
      <c r="C315">
        <f>COUNTIF('Metrics - Articles'!E314,"*Sports*")</f>
        <v>0</v>
      </c>
      <c r="D315">
        <f>COUNTIF('Metrics - Articles'!E314,"*Youth*")</f>
        <v>0</v>
      </c>
      <c r="E315">
        <f>COUNTIF('Metrics - Articles'!E314,"*Healthcare*")</f>
        <v>0</v>
      </c>
      <c r="F315">
        <f>COUNTIF('Metrics - Articles'!E314,"*Innovation")</f>
        <v>0</v>
      </c>
      <c r="G315">
        <f>COUNTIF('Metrics - Articles'!E314,"*Corporate*")</f>
        <v>1</v>
      </c>
      <c r="I315" s="53">
        <f t="shared" si="5"/>
        <v>1</v>
      </c>
    </row>
    <row r="316" spans="2:9" x14ac:dyDescent="0.25">
      <c r="B316" s="48">
        <f>+'Metrics - Articles'!C315</f>
        <v>42298</v>
      </c>
      <c r="C316">
        <f>COUNTIF('Metrics - Articles'!E315,"*Sports*")</f>
        <v>0</v>
      </c>
      <c r="D316">
        <f>COUNTIF('Metrics - Articles'!E315,"*Youth*")</f>
        <v>0</v>
      </c>
      <c r="E316">
        <f>COUNTIF('Metrics - Articles'!E315,"*Healthcare*")</f>
        <v>0</v>
      </c>
      <c r="F316">
        <f>COUNTIF('Metrics - Articles'!E315,"*Innovation")</f>
        <v>0</v>
      </c>
      <c r="G316">
        <f>COUNTIF('Metrics - Articles'!E315,"*Corporate*")</f>
        <v>1</v>
      </c>
      <c r="I316" s="53">
        <f t="shared" si="5"/>
        <v>1</v>
      </c>
    </row>
    <row r="317" spans="2:9" x14ac:dyDescent="0.25">
      <c r="B317" s="48">
        <f>+'Metrics - Articles'!C316</f>
        <v>42299</v>
      </c>
      <c r="C317">
        <f>COUNTIF('Metrics - Articles'!E316,"*Sports*")</f>
        <v>0</v>
      </c>
      <c r="D317">
        <f>COUNTIF('Metrics - Articles'!E316,"*Youth*")</f>
        <v>0</v>
      </c>
      <c r="E317">
        <f>COUNTIF('Metrics - Articles'!E316,"*Healthcare*")</f>
        <v>0</v>
      </c>
      <c r="F317">
        <f>COUNTIF('Metrics - Articles'!E316,"*Innovation")</f>
        <v>1</v>
      </c>
      <c r="G317">
        <f>COUNTIF('Metrics - Articles'!E316,"*Corporate*")</f>
        <v>0</v>
      </c>
      <c r="I317" s="53">
        <f t="shared" si="5"/>
        <v>1</v>
      </c>
    </row>
    <row r="318" spans="2:9" x14ac:dyDescent="0.25">
      <c r="B318" s="48">
        <f>+'Metrics - Articles'!C317</f>
        <v>42300</v>
      </c>
      <c r="C318">
        <f>COUNTIF('Metrics - Articles'!E317,"*Sports*")</f>
        <v>0</v>
      </c>
      <c r="D318">
        <f>COUNTIF('Metrics - Articles'!E317,"*Youth*")</f>
        <v>0</v>
      </c>
      <c r="E318">
        <f>COUNTIF('Metrics - Articles'!E317,"*Healthcare*")</f>
        <v>0</v>
      </c>
      <c r="F318">
        <f>COUNTIF('Metrics - Articles'!E317,"*Innovation")</f>
        <v>1</v>
      </c>
      <c r="G318">
        <f>COUNTIF('Metrics - Articles'!E317,"*Corporate*")</f>
        <v>0</v>
      </c>
      <c r="I318" s="53">
        <f t="shared" si="5"/>
        <v>1</v>
      </c>
    </row>
    <row r="319" spans="2:9" x14ac:dyDescent="0.25">
      <c r="B319" s="48">
        <f>+'Metrics - Articles'!C318</f>
        <v>42305</v>
      </c>
      <c r="C319">
        <f>COUNTIF('Metrics - Articles'!E318,"*Sports*")</f>
        <v>0</v>
      </c>
      <c r="D319">
        <f>COUNTIF('Metrics - Articles'!E318,"*Youth*")</f>
        <v>1</v>
      </c>
      <c r="E319">
        <f>COUNTIF('Metrics - Articles'!E318,"*Healthcare*")</f>
        <v>0</v>
      </c>
      <c r="F319">
        <f>COUNTIF('Metrics - Articles'!E318,"*Innovation")</f>
        <v>1</v>
      </c>
      <c r="G319">
        <f>COUNTIF('Metrics - Articles'!E318,"*Corporate*")</f>
        <v>0</v>
      </c>
      <c r="I319" s="53">
        <f t="shared" si="5"/>
        <v>2</v>
      </c>
    </row>
    <row r="320" spans="2:9" x14ac:dyDescent="0.25">
      <c r="B320" s="48">
        <f>+'Metrics - Articles'!C319</f>
        <v>42309</v>
      </c>
      <c r="C320">
        <f>COUNTIF('Metrics - Articles'!E319,"*Sports*")</f>
        <v>0</v>
      </c>
      <c r="D320">
        <f>COUNTIF('Metrics - Articles'!E319,"*Youth*")</f>
        <v>0</v>
      </c>
      <c r="E320">
        <f>COUNTIF('Metrics - Articles'!E319,"*Healthcare*")</f>
        <v>0</v>
      </c>
      <c r="F320">
        <f>COUNTIF('Metrics - Articles'!E319,"*Innovation")</f>
        <v>0</v>
      </c>
      <c r="G320">
        <f>COUNTIF('Metrics - Articles'!E319,"*Corporate*")</f>
        <v>1</v>
      </c>
      <c r="I320" s="53">
        <f t="shared" si="5"/>
        <v>1</v>
      </c>
    </row>
    <row r="321" spans="2:9" x14ac:dyDescent="0.25">
      <c r="B321" s="48">
        <f>+'Metrics - Articles'!C320</f>
        <v>42312</v>
      </c>
      <c r="C321">
        <f>COUNTIF('Metrics - Articles'!E320,"*Sports*")</f>
        <v>1</v>
      </c>
      <c r="D321">
        <f>COUNTIF('Metrics - Articles'!E320,"*Youth*")</f>
        <v>0</v>
      </c>
      <c r="E321">
        <f>COUNTIF('Metrics - Articles'!E320,"*Healthcare*")</f>
        <v>0</v>
      </c>
      <c r="F321">
        <f>COUNTIF('Metrics - Articles'!E320,"*Innovation")</f>
        <v>0</v>
      </c>
      <c r="G321">
        <f>COUNTIF('Metrics - Articles'!E320,"*Corporate*")</f>
        <v>0</v>
      </c>
      <c r="I321" s="53">
        <f t="shared" si="5"/>
        <v>1</v>
      </c>
    </row>
    <row r="322" spans="2:9" x14ac:dyDescent="0.25">
      <c r="B322" s="48">
        <f>+'Metrics - Articles'!C321</f>
        <v>42312</v>
      </c>
      <c r="C322">
        <f>COUNTIF('Metrics - Articles'!E321,"*Sports*")</f>
        <v>0</v>
      </c>
      <c r="D322">
        <f>COUNTIF('Metrics - Articles'!E321,"*Youth*")</f>
        <v>0</v>
      </c>
      <c r="E322">
        <f>COUNTIF('Metrics - Articles'!E321,"*Healthcare*")</f>
        <v>0</v>
      </c>
      <c r="F322">
        <f>COUNTIF('Metrics - Articles'!E321,"*Innovation")</f>
        <v>1</v>
      </c>
      <c r="G322">
        <f>COUNTIF('Metrics - Articles'!E321,"*Corporate*")</f>
        <v>0</v>
      </c>
      <c r="I322" s="53">
        <f t="shared" si="5"/>
        <v>1</v>
      </c>
    </row>
    <row r="323" spans="2:9" x14ac:dyDescent="0.25">
      <c r="B323" s="48">
        <f>+'Metrics - Articles'!C322</f>
        <v>42314</v>
      </c>
      <c r="C323">
        <f>COUNTIF('Metrics - Articles'!E322,"*Sports*")</f>
        <v>0</v>
      </c>
      <c r="D323">
        <f>COUNTIF('Metrics - Articles'!E322,"*Youth*")</f>
        <v>0</v>
      </c>
      <c r="E323">
        <f>COUNTIF('Metrics - Articles'!E322,"*Healthcare*")</f>
        <v>0</v>
      </c>
      <c r="F323">
        <f>COUNTIF('Metrics - Articles'!E322,"*Innovation")</f>
        <v>0</v>
      </c>
      <c r="G323">
        <f>COUNTIF('Metrics - Articles'!E322,"*Corporate*")</f>
        <v>1</v>
      </c>
      <c r="I323" s="53">
        <f t="shared" si="5"/>
        <v>1</v>
      </c>
    </row>
    <row r="324" spans="2:9" x14ac:dyDescent="0.25">
      <c r="B324" s="48">
        <f>+'Metrics - Articles'!C323</f>
        <v>42318</v>
      </c>
      <c r="C324">
        <f>COUNTIF('Metrics - Articles'!E323,"*Sports*")</f>
        <v>0</v>
      </c>
      <c r="D324">
        <f>COUNTIF('Metrics - Articles'!E323,"*Youth*")</f>
        <v>0</v>
      </c>
      <c r="E324">
        <f>COUNTIF('Metrics - Articles'!E323,"*Healthcare*")</f>
        <v>0</v>
      </c>
      <c r="F324">
        <f>COUNTIF('Metrics - Articles'!E323,"*Innovation")</f>
        <v>1</v>
      </c>
      <c r="G324">
        <f>COUNTIF('Metrics - Articles'!E323,"*Corporate*")</f>
        <v>0</v>
      </c>
      <c r="I324" s="53">
        <f t="shared" si="5"/>
        <v>1</v>
      </c>
    </row>
    <row r="325" spans="2:9" x14ac:dyDescent="0.25">
      <c r="B325" s="48">
        <f>+'Metrics - Articles'!C324</f>
        <v>42318</v>
      </c>
      <c r="C325">
        <f>COUNTIF('Metrics - Articles'!E324,"*Sports*")</f>
        <v>0</v>
      </c>
      <c r="D325">
        <f>COUNTIF('Metrics - Articles'!E324,"*Youth*")</f>
        <v>0</v>
      </c>
      <c r="E325">
        <f>COUNTIF('Metrics - Articles'!E324,"*Healthcare*")</f>
        <v>0</v>
      </c>
      <c r="F325">
        <f>COUNTIF('Metrics - Articles'!E324,"*Innovation")</f>
        <v>1</v>
      </c>
      <c r="G325">
        <f>COUNTIF('Metrics - Articles'!E324,"*Corporate*")</f>
        <v>0</v>
      </c>
      <c r="I325" s="53">
        <f t="shared" si="5"/>
        <v>1</v>
      </c>
    </row>
    <row r="326" spans="2:9" x14ac:dyDescent="0.25">
      <c r="B326" s="48">
        <f>+'Metrics - Articles'!C325</f>
        <v>42319</v>
      </c>
      <c r="C326">
        <f>COUNTIF('Metrics - Articles'!E325,"*Sports*")</f>
        <v>1</v>
      </c>
      <c r="D326">
        <f>COUNTIF('Metrics - Articles'!E325,"*Youth*")</f>
        <v>0</v>
      </c>
      <c r="E326">
        <f>COUNTIF('Metrics - Articles'!E325,"*Healthcare*")</f>
        <v>0</v>
      </c>
      <c r="F326">
        <f>COUNTIF('Metrics - Articles'!E325,"*Innovation")</f>
        <v>0</v>
      </c>
      <c r="G326">
        <f>COUNTIF('Metrics - Articles'!E325,"*Corporate*")</f>
        <v>0</v>
      </c>
      <c r="I326" s="53">
        <f t="shared" si="5"/>
        <v>1</v>
      </c>
    </row>
    <row r="327" spans="2:9" x14ac:dyDescent="0.25">
      <c r="B327" s="48">
        <f>+'Metrics - Articles'!C326</f>
        <v>42320</v>
      </c>
      <c r="C327">
        <f>COUNTIF('Metrics - Articles'!E326,"*Sports*")</f>
        <v>0</v>
      </c>
      <c r="D327">
        <f>COUNTIF('Metrics - Articles'!E326,"*Youth*")</f>
        <v>0</v>
      </c>
      <c r="E327">
        <f>COUNTIF('Metrics - Articles'!E326,"*Healthcare*")</f>
        <v>0</v>
      </c>
      <c r="F327">
        <f>COUNTIF('Metrics - Articles'!E326,"*Innovation")</f>
        <v>1</v>
      </c>
      <c r="G327">
        <f>COUNTIF('Metrics - Articles'!E326,"*Corporate*")</f>
        <v>0</v>
      </c>
      <c r="I327" s="53">
        <f t="shared" si="5"/>
        <v>1</v>
      </c>
    </row>
    <row r="328" spans="2:9" x14ac:dyDescent="0.25">
      <c r="B328" s="48">
        <f>+'Metrics - Articles'!C327</f>
        <v>42320</v>
      </c>
      <c r="C328">
        <f>COUNTIF('Metrics - Articles'!E327,"*Sports*")</f>
        <v>0</v>
      </c>
      <c r="D328">
        <f>COUNTIF('Metrics - Articles'!E327,"*Youth*")</f>
        <v>0</v>
      </c>
      <c r="E328">
        <f>COUNTIF('Metrics - Articles'!E327,"*Healthcare*")</f>
        <v>0</v>
      </c>
      <c r="F328">
        <f>COUNTIF('Metrics - Articles'!E327,"*Innovation")</f>
        <v>1</v>
      </c>
      <c r="G328">
        <f>COUNTIF('Metrics - Articles'!E327,"*Corporate*")</f>
        <v>0</v>
      </c>
      <c r="I328" s="53">
        <f t="shared" ref="I328:I391" si="6">SUM(C328:H328)</f>
        <v>1</v>
      </c>
    </row>
    <row r="329" spans="2:9" x14ac:dyDescent="0.25">
      <c r="B329" s="48">
        <f>+'Metrics - Articles'!C328</f>
        <v>42322</v>
      </c>
      <c r="C329">
        <f>COUNTIF('Metrics - Articles'!E328,"*Sports*")</f>
        <v>0</v>
      </c>
      <c r="D329">
        <f>COUNTIF('Metrics - Articles'!E328,"*Youth*")</f>
        <v>0</v>
      </c>
      <c r="E329">
        <f>COUNTIF('Metrics - Articles'!E328,"*Healthcare*")</f>
        <v>0</v>
      </c>
      <c r="F329">
        <f>COUNTIF('Metrics - Articles'!E328,"*Innovation")</f>
        <v>0</v>
      </c>
      <c r="G329">
        <f>COUNTIF('Metrics - Articles'!E328,"*Corporate*")</f>
        <v>1</v>
      </c>
      <c r="I329" s="53">
        <f t="shared" si="6"/>
        <v>1</v>
      </c>
    </row>
    <row r="330" spans="2:9" x14ac:dyDescent="0.25">
      <c r="B330" s="48">
        <f>+'Metrics - Articles'!C329</f>
        <v>42325</v>
      </c>
      <c r="C330">
        <f>COUNTIF('Metrics - Articles'!E329,"*Sports*")</f>
        <v>0</v>
      </c>
      <c r="D330">
        <f>COUNTIF('Metrics - Articles'!E329,"*Youth*")</f>
        <v>0</v>
      </c>
      <c r="E330">
        <f>COUNTIF('Metrics - Articles'!E329,"*Healthcare*")</f>
        <v>0</v>
      </c>
      <c r="F330">
        <f>COUNTIF('Metrics - Articles'!E329,"*Innovation")</f>
        <v>0</v>
      </c>
      <c r="G330">
        <f>COUNTIF('Metrics - Articles'!E329,"*Corporate*")</f>
        <v>1</v>
      </c>
      <c r="I330" s="53">
        <f t="shared" si="6"/>
        <v>1</v>
      </c>
    </row>
    <row r="331" spans="2:9" x14ac:dyDescent="0.25">
      <c r="B331" s="48">
        <f>+'Metrics - Articles'!C330</f>
        <v>42328</v>
      </c>
      <c r="C331">
        <f>COUNTIF('Metrics - Articles'!E330,"*Sports*")</f>
        <v>0</v>
      </c>
      <c r="D331">
        <f>COUNTIF('Metrics - Articles'!E330,"*Youth*")</f>
        <v>0</v>
      </c>
      <c r="E331">
        <f>COUNTIF('Metrics - Articles'!E330,"*Healthcare*")</f>
        <v>0</v>
      </c>
      <c r="F331">
        <f>COUNTIF('Metrics - Articles'!E330,"*Innovation")</f>
        <v>0</v>
      </c>
      <c r="G331">
        <f>COUNTIF('Metrics - Articles'!E330,"*Corporate*")</f>
        <v>1</v>
      </c>
      <c r="I331" s="53">
        <f t="shared" si="6"/>
        <v>1</v>
      </c>
    </row>
    <row r="332" spans="2:9" x14ac:dyDescent="0.25">
      <c r="B332" s="48">
        <f>+'Metrics - Articles'!C331</f>
        <v>42331</v>
      </c>
      <c r="C332">
        <f>COUNTIF('Metrics - Articles'!E331,"*Sports*")</f>
        <v>0</v>
      </c>
      <c r="D332">
        <f>COUNTIF('Metrics - Articles'!E331,"*Youth*")</f>
        <v>1</v>
      </c>
      <c r="E332">
        <f>COUNTIF('Metrics - Articles'!E331,"*Healthcare*")</f>
        <v>0</v>
      </c>
      <c r="F332">
        <f>COUNTIF('Metrics - Articles'!E331,"*Innovation")</f>
        <v>0</v>
      </c>
      <c r="G332">
        <f>COUNTIF('Metrics - Articles'!E331,"*Corporate*")</f>
        <v>1</v>
      </c>
      <c r="I332" s="53">
        <f t="shared" si="6"/>
        <v>2</v>
      </c>
    </row>
    <row r="333" spans="2:9" x14ac:dyDescent="0.25">
      <c r="B333" s="48">
        <f>+'Metrics - Articles'!C332</f>
        <v>42332</v>
      </c>
      <c r="C333">
        <f>COUNTIF('Metrics - Articles'!E332,"*Sports*")</f>
        <v>0</v>
      </c>
      <c r="D333">
        <f>COUNTIF('Metrics - Articles'!E332,"*Youth*")</f>
        <v>0</v>
      </c>
      <c r="E333">
        <f>COUNTIF('Metrics - Articles'!E332,"*Healthcare*")</f>
        <v>0</v>
      </c>
      <c r="F333">
        <f>COUNTIF('Metrics - Articles'!E332,"*Innovation")</f>
        <v>0</v>
      </c>
      <c r="G333">
        <f>COUNTIF('Metrics - Articles'!E332,"*Corporate*")</f>
        <v>1</v>
      </c>
      <c r="I333" s="53">
        <f t="shared" si="6"/>
        <v>1</v>
      </c>
    </row>
    <row r="334" spans="2:9" x14ac:dyDescent="0.25">
      <c r="B334" s="48">
        <f>+'Metrics - Articles'!C333</f>
        <v>42332</v>
      </c>
      <c r="C334">
        <f>COUNTIF('Metrics - Articles'!E333,"*Sports*")</f>
        <v>0</v>
      </c>
      <c r="D334">
        <f>COUNTIF('Metrics - Articles'!E333,"*Youth*")</f>
        <v>0</v>
      </c>
      <c r="E334">
        <f>COUNTIF('Metrics - Articles'!E333,"*Healthcare*")</f>
        <v>0</v>
      </c>
      <c r="F334">
        <f>COUNTIF('Metrics - Articles'!E333,"*Innovation")</f>
        <v>0</v>
      </c>
      <c r="G334">
        <f>COUNTIF('Metrics - Articles'!E333,"*Corporate*")</f>
        <v>1</v>
      </c>
      <c r="I334" s="53">
        <f t="shared" si="6"/>
        <v>1</v>
      </c>
    </row>
    <row r="335" spans="2:9" x14ac:dyDescent="0.25">
      <c r="B335" s="48">
        <f>+'Metrics - Articles'!C334</f>
        <v>42333</v>
      </c>
      <c r="C335">
        <f>COUNTIF('Metrics - Articles'!E334,"*Sports*")</f>
        <v>0</v>
      </c>
      <c r="D335">
        <f>COUNTIF('Metrics - Articles'!E334,"*Youth*")</f>
        <v>0</v>
      </c>
      <c r="E335">
        <f>COUNTIF('Metrics - Articles'!E334,"*Healthcare*")</f>
        <v>0</v>
      </c>
      <c r="F335">
        <f>COUNTIF('Metrics - Articles'!E334,"*Innovation")</f>
        <v>1</v>
      </c>
      <c r="G335">
        <f>COUNTIF('Metrics - Articles'!E334,"*Corporate*")</f>
        <v>0</v>
      </c>
      <c r="I335" s="53">
        <f t="shared" si="6"/>
        <v>1</v>
      </c>
    </row>
    <row r="336" spans="2:9" x14ac:dyDescent="0.25">
      <c r="B336" s="48">
        <f>+'Metrics - Articles'!C335</f>
        <v>42333</v>
      </c>
      <c r="C336">
        <f>COUNTIF('Metrics - Articles'!E335,"*Sports*")</f>
        <v>0</v>
      </c>
      <c r="D336">
        <f>COUNTIF('Metrics - Articles'!E335,"*Youth*")</f>
        <v>0</v>
      </c>
      <c r="E336">
        <f>COUNTIF('Metrics - Articles'!E335,"*Healthcare*")</f>
        <v>0</v>
      </c>
      <c r="F336">
        <f>COUNTIF('Metrics - Articles'!E335,"*Innovation")</f>
        <v>1</v>
      </c>
      <c r="G336">
        <f>COUNTIF('Metrics - Articles'!E335,"*Corporate*")</f>
        <v>0</v>
      </c>
      <c r="I336" s="53">
        <f t="shared" si="6"/>
        <v>1</v>
      </c>
    </row>
    <row r="337" spans="2:9" x14ac:dyDescent="0.25">
      <c r="B337" s="48">
        <f>+'Metrics - Articles'!C336</f>
        <v>42335</v>
      </c>
      <c r="C337">
        <f>COUNTIF('Metrics - Articles'!E336,"*Sports*")</f>
        <v>1</v>
      </c>
      <c r="D337">
        <f>COUNTIF('Metrics - Articles'!E336,"*Youth*")</f>
        <v>0</v>
      </c>
      <c r="E337">
        <f>COUNTIF('Metrics - Articles'!E336,"*Healthcare*")</f>
        <v>0</v>
      </c>
      <c r="F337">
        <f>COUNTIF('Metrics - Articles'!E336,"*Innovation")</f>
        <v>0</v>
      </c>
      <c r="G337">
        <f>COUNTIF('Metrics - Articles'!E336,"*Corporate*")</f>
        <v>1</v>
      </c>
      <c r="I337" s="53">
        <f t="shared" si="6"/>
        <v>2</v>
      </c>
    </row>
    <row r="338" spans="2:9" x14ac:dyDescent="0.25">
      <c r="B338" s="48">
        <f>+'Metrics - Articles'!C337</f>
        <v>42335</v>
      </c>
      <c r="C338">
        <f>COUNTIF('Metrics - Articles'!E337,"*Sports*")</f>
        <v>0</v>
      </c>
      <c r="D338">
        <f>COUNTIF('Metrics - Articles'!E337,"*Youth*")</f>
        <v>0</v>
      </c>
      <c r="E338">
        <f>COUNTIF('Metrics - Articles'!E337,"*Healthcare*")</f>
        <v>0</v>
      </c>
      <c r="F338">
        <f>COUNTIF('Metrics - Articles'!E337,"*Innovation")</f>
        <v>0</v>
      </c>
      <c r="G338">
        <f>COUNTIF('Metrics - Articles'!E337,"*Corporate*")</f>
        <v>1</v>
      </c>
      <c r="I338" s="53">
        <f t="shared" si="6"/>
        <v>1</v>
      </c>
    </row>
    <row r="339" spans="2:9" x14ac:dyDescent="0.25">
      <c r="B339" s="48">
        <f>+'Metrics - Articles'!C338</f>
        <v>42338</v>
      </c>
      <c r="C339">
        <f>COUNTIF('Metrics - Articles'!E338,"*Sports*")</f>
        <v>0</v>
      </c>
      <c r="D339">
        <f>COUNTIF('Metrics - Articles'!E338,"*Youth*")</f>
        <v>0</v>
      </c>
      <c r="E339">
        <f>COUNTIF('Metrics - Articles'!E338,"*Healthcare*")</f>
        <v>0</v>
      </c>
      <c r="F339">
        <f>COUNTIF('Metrics - Articles'!E338,"*Innovation")</f>
        <v>1</v>
      </c>
      <c r="G339">
        <f>COUNTIF('Metrics - Articles'!E338,"*Corporate*")</f>
        <v>1</v>
      </c>
      <c r="I339" s="53">
        <f t="shared" si="6"/>
        <v>2</v>
      </c>
    </row>
    <row r="340" spans="2:9" x14ac:dyDescent="0.25">
      <c r="B340" s="48">
        <f>+'Metrics - Articles'!C339</f>
        <v>42340</v>
      </c>
      <c r="C340">
        <f>COUNTIF('Metrics - Articles'!E339,"*Sports*")</f>
        <v>1</v>
      </c>
      <c r="D340">
        <f>COUNTIF('Metrics - Articles'!E339,"*Youth*")</f>
        <v>0</v>
      </c>
      <c r="E340">
        <f>COUNTIF('Metrics - Articles'!E339,"*Healthcare*")</f>
        <v>0</v>
      </c>
      <c r="F340">
        <f>COUNTIF('Metrics - Articles'!E339,"*Innovation")</f>
        <v>0</v>
      </c>
      <c r="G340">
        <f>COUNTIF('Metrics - Articles'!E339,"*Corporate*")</f>
        <v>0</v>
      </c>
      <c r="I340" s="53">
        <f t="shared" si="6"/>
        <v>1</v>
      </c>
    </row>
    <row r="341" spans="2:9" x14ac:dyDescent="0.25">
      <c r="B341" s="48">
        <f>+'Metrics - Articles'!C340</f>
        <v>42341</v>
      </c>
      <c r="C341">
        <f>COUNTIF('Metrics - Articles'!E340,"*Sports*")</f>
        <v>0</v>
      </c>
      <c r="D341">
        <f>COUNTIF('Metrics - Articles'!E340,"*Youth*")</f>
        <v>1</v>
      </c>
      <c r="E341">
        <f>COUNTIF('Metrics - Articles'!E340,"*Healthcare*")</f>
        <v>0</v>
      </c>
      <c r="F341">
        <f>COUNTIF('Metrics - Articles'!E340,"*Innovation")</f>
        <v>1</v>
      </c>
      <c r="G341">
        <f>COUNTIF('Metrics - Articles'!E340,"*Corporate*")</f>
        <v>0</v>
      </c>
      <c r="I341" s="53">
        <f t="shared" si="6"/>
        <v>2</v>
      </c>
    </row>
    <row r="342" spans="2:9" x14ac:dyDescent="0.25">
      <c r="B342" s="48">
        <f>+'Metrics - Articles'!C341</f>
        <v>42341</v>
      </c>
      <c r="C342">
        <f>COUNTIF('Metrics - Articles'!E341,"*Sports*")</f>
        <v>0</v>
      </c>
      <c r="D342">
        <f>COUNTIF('Metrics - Articles'!E341,"*Youth*")</f>
        <v>0</v>
      </c>
      <c r="E342">
        <f>COUNTIF('Metrics - Articles'!E341,"*Healthcare*")</f>
        <v>0</v>
      </c>
      <c r="F342">
        <f>COUNTIF('Metrics - Articles'!E341,"*Innovation")</f>
        <v>0</v>
      </c>
      <c r="G342">
        <f>COUNTIF('Metrics - Articles'!E341,"*Corporate*")</f>
        <v>1</v>
      </c>
      <c r="I342" s="53">
        <f t="shared" si="6"/>
        <v>1</v>
      </c>
    </row>
    <row r="343" spans="2:9" x14ac:dyDescent="0.25">
      <c r="B343" s="48">
        <f>+'Metrics - Articles'!C342</f>
        <v>42342</v>
      </c>
      <c r="C343">
        <f>COUNTIF('Metrics - Articles'!E342,"*Sports*")</f>
        <v>0</v>
      </c>
      <c r="D343">
        <f>COUNTIF('Metrics - Articles'!E342,"*Youth*")</f>
        <v>0</v>
      </c>
      <c r="E343">
        <f>COUNTIF('Metrics - Articles'!E342,"*Healthcare*")</f>
        <v>0</v>
      </c>
      <c r="F343">
        <f>COUNTIF('Metrics - Articles'!E342,"*Innovation")</f>
        <v>0</v>
      </c>
      <c r="G343">
        <f>COUNTIF('Metrics - Articles'!E342,"*Corporate*")</f>
        <v>1</v>
      </c>
      <c r="I343" s="53">
        <f t="shared" si="6"/>
        <v>1</v>
      </c>
    </row>
    <row r="344" spans="2:9" x14ac:dyDescent="0.25">
      <c r="B344" s="48">
        <f>+'Metrics - Articles'!C343</f>
        <v>42342</v>
      </c>
      <c r="C344">
        <f>COUNTIF('Metrics - Articles'!E343,"*Sports*")</f>
        <v>0</v>
      </c>
      <c r="D344">
        <f>COUNTIF('Metrics - Articles'!E343,"*Youth*")</f>
        <v>0</v>
      </c>
      <c r="E344">
        <f>COUNTIF('Metrics - Articles'!E343,"*Healthcare*")</f>
        <v>0</v>
      </c>
      <c r="F344">
        <f>COUNTIF('Metrics - Articles'!E343,"*Innovation")</f>
        <v>1</v>
      </c>
      <c r="G344">
        <f>COUNTIF('Metrics - Articles'!E343,"*Corporate*")</f>
        <v>1</v>
      </c>
      <c r="I344" s="53">
        <f t="shared" si="6"/>
        <v>2</v>
      </c>
    </row>
    <row r="345" spans="2:9" x14ac:dyDescent="0.25">
      <c r="B345" s="48">
        <f>+'Metrics - Articles'!C344</f>
        <v>42343</v>
      </c>
      <c r="C345">
        <f>COUNTIF('Metrics - Articles'!E344,"*Sports*")</f>
        <v>0</v>
      </c>
      <c r="D345">
        <f>COUNTIF('Metrics - Articles'!E344,"*Youth*")</f>
        <v>0</v>
      </c>
      <c r="E345">
        <f>COUNTIF('Metrics - Articles'!E344,"*Healthcare*")</f>
        <v>0</v>
      </c>
      <c r="F345">
        <f>COUNTIF('Metrics - Articles'!E344,"*Innovation")</f>
        <v>0</v>
      </c>
      <c r="G345">
        <f>COUNTIF('Metrics - Articles'!E344,"*Corporate*")</f>
        <v>1</v>
      </c>
      <c r="I345" s="53">
        <f t="shared" si="6"/>
        <v>1</v>
      </c>
    </row>
    <row r="346" spans="2:9" x14ac:dyDescent="0.25">
      <c r="B346" s="48">
        <f>+'Metrics - Articles'!C345</f>
        <v>42345</v>
      </c>
      <c r="C346">
        <f>COUNTIF('Metrics - Articles'!E345,"*Sports*")</f>
        <v>0</v>
      </c>
      <c r="D346">
        <f>COUNTIF('Metrics - Articles'!E345,"*Youth*")</f>
        <v>0</v>
      </c>
      <c r="E346">
        <f>COUNTIF('Metrics - Articles'!E345,"*Healthcare*")</f>
        <v>0</v>
      </c>
      <c r="F346">
        <f>COUNTIF('Metrics - Articles'!E345,"*Innovation")</f>
        <v>1</v>
      </c>
      <c r="G346">
        <f>COUNTIF('Metrics - Articles'!E345,"*Corporate*")</f>
        <v>0</v>
      </c>
      <c r="I346" s="53">
        <f t="shared" si="6"/>
        <v>1</v>
      </c>
    </row>
    <row r="347" spans="2:9" x14ac:dyDescent="0.25">
      <c r="B347" s="48">
        <f>+'Metrics - Articles'!C346</f>
        <v>42345</v>
      </c>
      <c r="C347">
        <f>COUNTIF('Metrics - Articles'!E346,"*Sports*")</f>
        <v>0</v>
      </c>
      <c r="D347">
        <f>COUNTIF('Metrics - Articles'!E346,"*Youth*")</f>
        <v>0</v>
      </c>
      <c r="E347">
        <f>COUNTIF('Metrics - Articles'!E346,"*Healthcare*")</f>
        <v>0</v>
      </c>
      <c r="F347">
        <f>COUNTIF('Metrics - Articles'!E346,"*Innovation")</f>
        <v>1</v>
      </c>
      <c r="G347">
        <f>COUNTIF('Metrics - Articles'!E346,"*Corporate*")</f>
        <v>1</v>
      </c>
      <c r="I347" s="53">
        <f t="shared" si="6"/>
        <v>2</v>
      </c>
    </row>
    <row r="348" spans="2:9" x14ac:dyDescent="0.25">
      <c r="B348" s="48">
        <f>+'Metrics - Articles'!C347</f>
        <v>42346</v>
      </c>
      <c r="C348">
        <f>COUNTIF('Metrics - Articles'!E347,"*Sports*")</f>
        <v>1</v>
      </c>
      <c r="D348">
        <f>COUNTIF('Metrics - Articles'!E347,"*Youth*")</f>
        <v>0</v>
      </c>
      <c r="E348">
        <f>COUNTIF('Metrics - Articles'!E347,"*Healthcare*")</f>
        <v>0</v>
      </c>
      <c r="F348">
        <f>COUNTIF('Metrics - Articles'!E347,"*Innovation")</f>
        <v>0</v>
      </c>
      <c r="G348">
        <f>COUNTIF('Metrics - Articles'!E347,"*Corporate*")</f>
        <v>0</v>
      </c>
      <c r="I348" s="53">
        <f t="shared" si="6"/>
        <v>1</v>
      </c>
    </row>
    <row r="349" spans="2:9" x14ac:dyDescent="0.25">
      <c r="B349" s="48">
        <f>+'Metrics - Articles'!C348</f>
        <v>42346</v>
      </c>
      <c r="C349">
        <f>COUNTIF('Metrics - Articles'!E348,"*Sports*")</f>
        <v>0</v>
      </c>
      <c r="D349">
        <f>COUNTIF('Metrics - Articles'!E348,"*Youth*")</f>
        <v>0</v>
      </c>
      <c r="E349">
        <f>COUNTIF('Metrics - Articles'!E348,"*Healthcare*")</f>
        <v>0</v>
      </c>
      <c r="F349">
        <f>COUNTIF('Metrics - Articles'!E348,"*Innovation")</f>
        <v>1</v>
      </c>
      <c r="G349">
        <f>COUNTIF('Metrics - Articles'!E348,"*Corporate*")</f>
        <v>0</v>
      </c>
      <c r="I349" s="53">
        <f t="shared" si="6"/>
        <v>1</v>
      </c>
    </row>
    <row r="350" spans="2:9" x14ac:dyDescent="0.25">
      <c r="B350" s="48">
        <f>+'Metrics - Articles'!C349</f>
        <v>42347</v>
      </c>
      <c r="C350">
        <f>COUNTIF('Metrics - Articles'!E349,"*Sports*")</f>
        <v>0</v>
      </c>
      <c r="D350">
        <f>COUNTIF('Metrics - Articles'!E349,"*Youth*")</f>
        <v>0</v>
      </c>
      <c r="E350">
        <f>COUNTIF('Metrics - Articles'!E349,"*Healthcare*")</f>
        <v>0</v>
      </c>
      <c r="F350">
        <f>COUNTIF('Metrics - Articles'!E349,"*Innovation")</f>
        <v>1</v>
      </c>
      <c r="G350">
        <f>COUNTIF('Metrics - Articles'!E349,"*Corporate*")</f>
        <v>0</v>
      </c>
      <c r="I350" s="53">
        <f t="shared" si="6"/>
        <v>1</v>
      </c>
    </row>
    <row r="351" spans="2:9" x14ac:dyDescent="0.25">
      <c r="B351" s="48">
        <f>+'Metrics - Articles'!C350</f>
        <v>42348</v>
      </c>
      <c r="C351">
        <f>COUNTIF('Metrics - Articles'!E350,"*Sports*")</f>
        <v>0</v>
      </c>
      <c r="D351">
        <f>COUNTIF('Metrics - Articles'!E350,"*Youth*")</f>
        <v>0</v>
      </c>
      <c r="E351">
        <f>COUNTIF('Metrics - Articles'!E350,"*Healthcare*")</f>
        <v>1</v>
      </c>
      <c r="F351">
        <f>COUNTIF('Metrics - Articles'!E350,"*Innovation")</f>
        <v>1</v>
      </c>
      <c r="G351">
        <f>COUNTIF('Metrics - Articles'!E350,"*Corporate*")</f>
        <v>0</v>
      </c>
      <c r="I351" s="53">
        <f t="shared" si="6"/>
        <v>2</v>
      </c>
    </row>
    <row r="352" spans="2:9" x14ac:dyDescent="0.25">
      <c r="B352" s="48">
        <f>+'Metrics - Articles'!C351</f>
        <v>42349</v>
      </c>
      <c r="C352">
        <f>COUNTIF('Metrics - Articles'!E351,"*Sports*")</f>
        <v>1</v>
      </c>
      <c r="D352">
        <f>COUNTIF('Metrics - Articles'!E351,"*Youth*")</f>
        <v>0</v>
      </c>
      <c r="E352">
        <f>COUNTIF('Metrics - Articles'!E351,"*Healthcare*")</f>
        <v>0</v>
      </c>
      <c r="F352">
        <f>COUNTIF('Metrics - Articles'!E351,"*Innovation")</f>
        <v>0</v>
      </c>
      <c r="G352">
        <f>COUNTIF('Metrics - Articles'!E351,"*Corporate*")</f>
        <v>0</v>
      </c>
      <c r="I352" s="53">
        <f t="shared" si="6"/>
        <v>1</v>
      </c>
    </row>
    <row r="353" spans="2:9" x14ac:dyDescent="0.25">
      <c r="B353" s="48">
        <f>+'Metrics - Articles'!C352</f>
        <v>42351</v>
      </c>
      <c r="C353">
        <f>COUNTIF('Metrics - Articles'!E352,"*Sports*")</f>
        <v>0</v>
      </c>
      <c r="D353">
        <f>COUNTIF('Metrics - Articles'!E352,"*Youth*")</f>
        <v>0</v>
      </c>
      <c r="E353">
        <f>COUNTIF('Metrics - Articles'!E352,"*Healthcare*")</f>
        <v>0</v>
      </c>
      <c r="F353">
        <f>COUNTIF('Metrics - Articles'!E352,"*Innovation")</f>
        <v>1</v>
      </c>
      <c r="G353">
        <f>COUNTIF('Metrics - Articles'!E352,"*Corporate*")</f>
        <v>0</v>
      </c>
      <c r="I353" s="53">
        <f t="shared" si="6"/>
        <v>1</v>
      </c>
    </row>
    <row r="354" spans="2:9" x14ac:dyDescent="0.25">
      <c r="B354" s="48">
        <f>+'Metrics - Articles'!C353</f>
        <v>42352</v>
      </c>
      <c r="C354">
        <f>COUNTIF('Metrics - Articles'!E353,"*Sports*")</f>
        <v>0</v>
      </c>
      <c r="D354">
        <f>COUNTIF('Metrics - Articles'!E353,"*Youth*")</f>
        <v>0</v>
      </c>
      <c r="E354">
        <f>COUNTIF('Metrics - Articles'!E353,"*Healthcare*")</f>
        <v>0</v>
      </c>
      <c r="F354">
        <f>COUNTIF('Metrics - Articles'!E353,"*Innovation")</f>
        <v>1</v>
      </c>
      <c r="G354">
        <f>COUNTIF('Metrics - Articles'!E353,"*Corporate*")</f>
        <v>0</v>
      </c>
      <c r="I354" s="53">
        <f t="shared" si="6"/>
        <v>1</v>
      </c>
    </row>
    <row r="355" spans="2:9" x14ac:dyDescent="0.25">
      <c r="B355" s="48">
        <f>+'Metrics - Articles'!C354</f>
        <v>42353</v>
      </c>
      <c r="C355">
        <f>COUNTIF('Metrics - Articles'!E354,"*Sports*")</f>
        <v>0</v>
      </c>
      <c r="D355">
        <f>COUNTIF('Metrics - Articles'!E354,"*Youth*")</f>
        <v>0</v>
      </c>
      <c r="E355">
        <f>COUNTIF('Metrics - Articles'!E354,"*Healthcare*")</f>
        <v>0</v>
      </c>
      <c r="F355">
        <f>COUNTIF('Metrics - Articles'!E354,"*Innovation")</f>
        <v>0</v>
      </c>
      <c r="G355">
        <f>COUNTIF('Metrics - Articles'!E354,"*Corporate*")</f>
        <v>1</v>
      </c>
      <c r="I355" s="53">
        <f t="shared" si="6"/>
        <v>1</v>
      </c>
    </row>
    <row r="356" spans="2:9" x14ac:dyDescent="0.25">
      <c r="B356" s="48">
        <f>+'Metrics - Articles'!C355</f>
        <v>42353</v>
      </c>
      <c r="C356">
        <f>COUNTIF('Metrics - Articles'!E355,"*Sports*")</f>
        <v>0</v>
      </c>
      <c r="D356">
        <f>COUNTIF('Metrics - Articles'!E355,"*Youth*")</f>
        <v>1</v>
      </c>
      <c r="E356">
        <f>COUNTIF('Metrics - Articles'!E355,"*Healthcare*")</f>
        <v>0</v>
      </c>
      <c r="F356">
        <f>COUNTIF('Metrics - Articles'!E355,"*Innovation")</f>
        <v>0</v>
      </c>
      <c r="G356">
        <f>COUNTIF('Metrics - Articles'!E355,"*Corporate*")</f>
        <v>0</v>
      </c>
      <c r="I356" s="53">
        <f t="shared" si="6"/>
        <v>1</v>
      </c>
    </row>
    <row r="357" spans="2:9" x14ac:dyDescent="0.25">
      <c r="B357" s="48">
        <f>+'Metrics - Articles'!C356</f>
        <v>42354</v>
      </c>
      <c r="C357">
        <f>COUNTIF('Metrics - Articles'!E356,"*Sports*")</f>
        <v>0</v>
      </c>
      <c r="D357">
        <f>COUNTIF('Metrics - Articles'!E356,"*Youth*")</f>
        <v>0</v>
      </c>
      <c r="E357">
        <f>COUNTIF('Metrics - Articles'!E356,"*Healthcare*")</f>
        <v>0</v>
      </c>
      <c r="F357">
        <f>COUNTIF('Metrics - Articles'!E356,"*Innovation")</f>
        <v>0</v>
      </c>
      <c r="G357">
        <f>COUNTIF('Metrics - Articles'!E356,"*Corporate*")</f>
        <v>1</v>
      </c>
      <c r="I357" s="53">
        <f t="shared" si="6"/>
        <v>1</v>
      </c>
    </row>
    <row r="358" spans="2:9" x14ac:dyDescent="0.25">
      <c r="B358" s="48">
        <f>+'Metrics - Articles'!C357</f>
        <v>42355</v>
      </c>
      <c r="C358">
        <f>COUNTIF('Metrics - Articles'!E357,"*Sports*")</f>
        <v>0</v>
      </c>
      <c r="D358">
        <f>COUNTIF('Metrics - Articles'!E357,"*Youth*")</f>
        <v>1</v>
      </c>
      <c r="E358">
        <f>COUNTIF('Metrics - Articles'!E357,"*Healthcare*")</f>
        <v>0</v>
      </c>
      <c r="F358">
        <f>COUNTIF('Metrics - Articles'!E357,"*Innovation")</f>
        <v>1</v>
      </c>
      <c r="G358">
        <f>COUNTIF('Metrics - Articles'!E357,"*Corporate*")</f>
        <v>1</v>
      </c>
      <c r="I358" s="53">
        <f t="shared" si="6"/>
        <v>3</v>
      </c>
    </row>
    <row r="359" spans="2:9" x14ac:dyDescent="0.25">
      <c r="B359" s="48" t="e">
        <f>+'Metrics - Articles'!#REF!</f>
        <v>#REF!</v>
      </c>
      <c r="C359">
        <f>COUNTIF('Metrics - Articles'!E358,"*Sports*")</f>
        <v>0</v>
      </c>
      <c r="D359">
        <f>COUNTIF('Metrics - Articles'!E358,"*Youth*")</f>
        <v>0</v>
      </c>
      <c r="E359">
        <f>COUNTIF('Metrics - Articles'!E358,"*Healthcare*")</f>
        <v>0</v>
      </c>
      <c r="F359">
        <f>COUNTIF('Metrics - Articles'!E358,"*Innovation")</f>
        <v>0</v>
      </c>
      <c r="G359">
        <f>COUNTIF('Metrics - Articles'!E358,"*Corporate*")</f>
        <v>1</v>
      </c>
      <c r="I359" s="53">
        <f t="shared" si="6"/>
        <v>1</v>
      </c>
    </row>
    <row r="360" spans="2:9" x14ac:dyDescent="0.25">
      <c r="B360" s="48" t="e">
        <f>+'Metrics - Articles'!#REF!</f>
        <v>#REF!</v>
      </c>
      <c r="C360">
        <f>COUNTIF('Metrics - Articles'!E359,"*Sports*")</f>
        <v>0</v>
      </c>
      <c r="D360">
        <f>COUNTIF('Metrics - Articles'!E359,"*Youth*")</f>
        <v>0</v>
      </c>
      <c r="E360">
        <f>COUNTIF('Metrics - Articles'!E359,"*Healthcare*")</f>
        <v>0</v>
      </c>
      <c r="F360">
        <f>COUNTIF('Metrics - Articles'!E359,"*Innovation")</f>
        <v>1</v>
      </c>
      <c r="G360">
        <f>COUNTIF('Metrics - Articles'!E359,"*Corporate*")</f>
        <v>0</v>
      </c>
      <c r="I360" s="53">
        <f t="shared" si="6"/>
        <v>1</v>
      </c>
    </row>
    <row r="361" spans="2:9" x14ac:dyDescent="0.25">
      <c r="B361" s="48">
        <f>+'Metrics - Articles'!C358</f>
        <v>42361</v>
      </c>
      <c r="C361">
        <f>COUNTIF('Metrics - Articles'!E360,"*Sports*")</f>
        <v>0</v>
      </c>
      <c r="D361">
        <f>COUNTIF('Metrics - Articles'!E360,"*Youth*")</f>
        <v>0</v>
      </c>
      <c r="E361">
        <f>COUNTIF('Metrics - Articles'!E360,"*Healthcare*")</f>
        <v>0</v>
      </c>
      <c r="F361">
        <f>COUNTIF('Metrics - Articles'!E360,"*Innovation")</f>
        <v>0</v>
      </c>
      <c r="G361">
        <f>COUNTIF('Metrics - Articles'!E360,"*Corporate*")</f>
        <v>0</v>
      </c>
      <c r="I361" s="53">
        <f t="shared" si="6"/>
        <v>0</v>
      </c>
    </row>
    <row r="362" spans="2:9" x14ac:dyDescent="0.25">
      <c r="B362" s="48">
        <f>+'Metrics - Articles'!C359</f>
        <v>42361</v>
      </c>
      <c r="C362">
        <f>COUNTIF('Metrics - Articles'!E361,"*Sports*")</f>
        <v>0</v>
      </c>
      <c r="D362">
        <f>COUNTIF('Metrics - Articles'!E361,"*Youth*")</f>
        <v>0</v>
      </c>
      <c r="E362">
        <f>COUNTIF('Metrics - Articles'!E361,"*Healthcare*")</f>
        <v>0</v>
      </c>
      <c r="F362">
        <f>COUNTIF('Metrics - Articles'!E361,"*Innovation")</f>
        <v>0</v>
      </c>
      <c r="G362">
        <f>COUNTIF('Metrics - Articles'!E361,"*Corporate*")</f>
        <v>0</v>
      </c>
      <c r="I362" s="53">
        <f t="shared" si="6"/>
        <v>0</v>
      </c>
    </row>
    <row r="363" spans="2:9" hidden="1" x14ac:dyDescent="0.25">
      <c r="B363" s="48">
        <f>+'Metrics - Articles'!C360</f>
        <v>0</v>
      </c>
      <c r="C363">
        <f>COUNTIF('Metrics - Articles'!E360,"*Sports*")</f>
        <v>0</v>
      </c>
      <c r="D363">
        <f>COUNTIF('Metrics - Articles'!E360,"*Youth*")</f>
        <v>0</v>
      </c>
      <c r="E363">
        <f>COUNTIF('Metrics - Articles'!E360,"*Healthcare*")</f>
        <v>0</v>
      </c>
      <c r="F363">
        <f>COUNTIF('Metrics - Articles'!E360,"*Innovation")</f>
        <v>0</v>
      </c>
      <c r="G363">
        <f>COUNTIF('Metrics - Articles'!E360,"*Corporate*")</f>
        <v>0</v>
      </c>
      <c r="I363" s="53">
        <f t="shared" si="6"/>
        <v>0</v>
      </c>
    </row>
    <row r="364" spans="2:9" hidden="1" x14ac:dyDescent="0.25">
      <c r="B364" s="48">
        <f>+'Metrics - Articles'!C361</f>
        <v>0</v>
      </c>
      <c r="C364">
        <f>COUNTIF('Metrics - Articles'!E361,"*Sports*")</f>
        <v>0</v>
      </c>
      <c r="D364">
        <f>COUNTIF('Metrics - Articles'!E361,"*Youth*")</f>
        <v>0</v>
      </c>
      <c r="E364">
        <f>COUNTIF('Metrics - Articles'!E361,"*Healthcare*")</f>
        <v>0</v>
      </c>
      <c r="F364">
        <f>COUNTIF('Metrics - Articles'!E361,"*Innovation")</f>
        <v>0</v>
      </c>
      <c r="G364">
        <f>COUNTIF('Metrics - Articles'!E361,"*Corporate*")</f>
        <v>0</v>
      </c>
      <c r="I364" s="53">
        <f t="shared" si="6"/>
        <v>0</v>
      </c>
    </row>
    <row r="365" spans="2:9" hidden="1" x14ac:dyDescent="0.25">
      <c r="B365" s="48">
        <f>+'Metrics - Articles'!C362</f>
        <v>0</v>
      </c>
      <c r="C365">
        <f>COUNTIF('Metrics - Articles'!E323,"*Sports*")</f>
        <v>0</v>
      </c>
      <c r="D365">
        <f>COUNTIF('Metrics - Articles'!E323,"*Youth*")</f>
        <v>0</v>
      </c>
      <c r="E365">
        <f>COUNTIF('Metrics - Articles'!E323,"*Healthcare*")</f>
        <v>0</v>
      </c>
      <c r="F365">
        <f>COUNTIF('Metrics - Articles'!E323,"*Innovation")</f>
        <v>1</v>
      </c>
      <c r="G365">
        <f>COUNTIF('Metrics - Articles'!E323,"*Corporate*")</f>
        <v>0</v>
      </c>
      <c r="I365" s="53">
        <f t="shared" si="6"/>
        <v>1</v>
      </c>
    </row>
    <row r="366" spans="2:9" hidden="1" x14ac:dyDescent="0.25">
      <c r="B366" s="48">
        <f>+'Metrics - Articles'!C363</f>
        <v>0</v>
      </c>
      <c r="C366">
        <f>COUNTIF('Metrics - Articles'!E363,"*Sports*")</f>
        <v>0</v>
      </c>
      <c r="D366">
        <f>COUNTIF('Metrics - Articles'!E363,"*Youth*")</f>
        <v>0</v>
      </c>
      <c r="E366">
        <f>COUNTIF('Metrics - Articles'!E363,"*Healthcare*")</f>
        <v>0</v>
      </c>
      <c r="F366">
        <f>COUNTIF('Metrics - Articles'!E363,"*Innovation")</f>
        <v>0</v>
      </c>
      <c r="G366">
        <f>COUNTIF('Metrics - Articles'!E363,"*Corporate*")</f>
        <v>0</v>
      </c>
      <c r="I366" s="53">
        <f t="shared" si="6"/>
        <v>0</v>
      </c>
    </row>
    <row r="367" spans="2:9" hidden="1" x14ac:dyDescent="0.25">
      <c r="B367" s="48">
        <f>+'Metrics - Articles'!C364</f>
        <v>0</v>
      </c>
      <c r="C367">
        <f>COUNTIF('Metrics - Articles'!E364,"*Sports*")</f>
        <v>0</v>
      </c>
      <c r="D367">
        <f>COUNTIF('Metrics - Articles'!E364,"*Youth*")</f>
        <v>0</v>
      </c>
      <c r="E367">
        <f>COUNTIF('Metrics - Articles'!E364,"*Healthcare*")</f>
        <v>0</v>
      </c>
      <c r="F367">
        <f>COUNTIF('Metrics - Articles'!E364,"*Innovation")</f>
        <v>0</v>
      </c>
      <c r="G367">
        <f>COUNTIF('Metrics - Articles'!E364,"*Corporate*")</f>
        <v>0</v>
      </c>
      <c r="I367" s="53">
        <f t="shared" si="6"/>
        <v>0</v>
      </c>
    </row>
    <row r="368" spans="2:9" hidden="1" x14ac:dyDescent="0.25">
      <c r="B368" s="48">
        <f>+'Metrics - Articles'!C365</f>
        <v>0</v>
      </c>
      <c r="C368">
        <f>COUNTIF('Metrics - Articles'!E365,"*Sports*")</f>
        <v>0</v>
      </c>
      <c r="D368">
        <f>COUNTIF('Metrics - Articles'!E365,"*Youth*")</f>
        <v>0</v>
      </c>
      <c r="E368">
        <f>COUNTIF('Metrics - Articles'!E365,"*Healthcare*")</f>
        <v>0</v>
      </c>
      <c r="F368">
        <f>COUNTIF('Metrics - Articles'!E365,"*Innovation")</f>
        <v>0</v>
      </c>
      <c r="G368">
        <f>COUNTIF('Metrics - Articles'!E365,"*Corporate*")</f>
        <v>0</v>
      </c>
      <c r="I368" s="53">
        <f t="shared" si="6"/>
        <v>0</v>
      </c>
    </row>
    <row r="369" spans="2:9" hidden="1" x14ac:dyDescent="0.25">
      <c r="B369" s="48">
        <f>+'Metrics - Articles'!C366</f>
        <v>0</v>
      </c>
      <c r="C369">
        <f>COUNTIF('Metrics - Articles'!E324,"*Sports*")</f>
        <v>0</v>
      </c>
      <c r="D369">
        <f>COUNTIF('Metrics - Articles'!E324,"*Youth*")</f>
        <v>0</v>
      </c>
      <c r="E369">
        <f>COUNTIF('Metrics - Articles'!E324,"*Healthcare*")</f>
        <v>0</v>
      </c>
      <c r="F369">
        <f>COUNTIF('Metrics - Articles'!E324,"*Innovation")</f>
        <v>1</v>
      </c>
      <c r="G369">
        <f>COUNTIF('Metrics - Articles'!E324,"*Corporate*")</f>
        <v>0</v>
      </c>
      <c r="I369" s="53">
        <f t="shared" si="6"/>
        <v>1</v>
      </c>
    </row>
    <row r="370" spans="2:9" hidden="1" x14ac:dyDescent="0.25">
      <c r="B370" s="48">
        <f>+'Metrics - Articles'!C367</f>
        <v>0</v>
      </c>
      <c r="C370">
        <f>COUNTIF('Metrics - Articles'!E367,"*Sports*")</f>
        <v>0</v>
      </c>
      <c r="D370">
        <f>COUNTIF('Metrics - Articles'!E367,"*Youth*")</f>
        <v>0</v>
      </c>
      <c r="E370">
        <f>COUNTIF('Metrics - Articles'!E367,"*Healthcare*")</f>
        <v>0</v>
      </c>
      <c r="F370">
        <f>COUNTIF('Metrics - Articles'!E367,"*Innovation")</f>
        <v>0</v>
      </c>
      <c r="G370">
        <f>COUNTIF('Metrics - Articles'!E367,"*Corporate*")</f>
        <v>0</v>
      </c>
      <c r="I370" s="53">
        <f t="shared" si="6"/>
        <v>0</v>
      </c>
    </row>
    <row r="371" spans="2:9" hidden="1" x14ac:dyDescent="0.25">
      <c r="B371" s="48">
        <f>+'Metrics - Articles'!C368</f>
        <v>0</v>
      </c>
      <c r="C371">
        <f>COUNTIF('Metrics - Articles'!E325,"*Sports*")</f>
        <v>1</v>
      </c>
      <c r="D371">
        <f>COUNTIF('Metrics - Articles'!E325,"*Youth*")</f>
        <v>0</v>
      </c>
      <c r="E371">
        <f>COUNTIF('Metrics - Articles'!E325,"*Healthcare*")</f>
        <v>0</v>
      </c>
      <c r="F371">
        <f>COUNTIF('Metrics - Articles'!E325,"*Innovation")</f>
        <v>0</v>
      </c>
      <c r="G371">
        <f>COUNTIF('Metrics - Articles'!E325,"*Corporate*")</f>
        <v>0</v>
      </c>
      <c r="I371" s="53">
        <f t="shared" si="6"/>
        <v>1</v>
      </c>
    </row>
    <row r="372" spans="2:9" hidden="1" x14ac:dyDescent="0.25">
      <c r="B372" s="48">
        <f>+'Metrics - Articles'!C369</f>
        <v>0</v>
      </c>
      <c r="C372">
        <f>COUNTIF('Metrics - Articles'!E326,"*Sports*")</f>
        <v>0</v>
      </c>
      <c r="D372">
        <f>COUNTIF('Metrics - Articles'!E326,"*Youth*")</f>
        <v>0</v>
      </c>
      <c r="E372">
        <f>COUNTIF('Metrics - Articles'!E326,"*Healthcare*")</f>
        <v>0</v>
      </c>
      <c r="F372">
        <f>COUNTIF('Metrics - Articles'!E326,"*Innovation")</f>
        <v>1</v>
      </c>
      <c r="G372">
        <f>COUNTIF('Metrics - Articles'!E326,"*Corporate*")</f>
        <v>0</v>
      </c>
      <c r="I372" s="53">
        <f t="shared" si="6"/>
        <v>1</v>
      </c>
    </row>
    <row r="373" spans="2:9" hidden="1" x14ac:dyDescent="0.25">
      <c r="B373" s="48">
        <f>+'Metrics - Articles'!C370</f>
        <v>0</v>
      </c>
      <c r="C373">
        <f>COUNTIF('Metrics - Articles'!E370,"*Sports*")</f>
        <v>0</v>
      </c>
      <c r="D373">
        <f>COUNTIF('Metrics - Articles'!E370,"*Youth*")</f>
        <v>0</v>
      </c>
      <c r="E373">
        <f>COUNTIF('Metrics - Articles'!E370,"*Healthcare*")</f>
        <v>0</v>
      </c>
      <c r="F373">
        <f>COUNTIF('Metrics - Articles'!E370,"*Innovation")</f>
        <v>0</v>
      </c>
      <c r="G373">
        <f>COUNTIF('Metrics - Articles'!E370,"*Corporate*")</f>
        <v>0</v>
      </c>
      <c r="I373" s="53">
        <f t="shared" si="6"/>
        <v>0</v>
      </c>
    </row>
    <row r="374" spans="2:9" hidden="1" x14ac:dyDescent="0.25">
      <c r="B374" s="48">
        <f>+'Metrics - Articles'!C371</f>
        <v>0</v>
      </c>
      <c r="C374">
        <f>COUNTIF('Metrics - Articles'!E371,"*Sports*")</f>
        <v>0</v>
      </c>
      <c r="D374">
        <f>COUNTIF('Metrics - Articles'!E371,"*Youth*")</f>
        <v>0</v>
      </c>
      <c r="E374">
        <f>COUNTIF('Metrics - Articles'!E371,"*Healthcare*")</f>
        <v>0</v>
      </c>
      <c r="F374">
        <f>COUNTIF('Metrics - Articles'!E371,"*Innovation")</f>
        <v>0</v>
      </c>
      <c r="G374">
        <f>COUNTIF('Metrics - Articles'!E371,"*Corporate*")</f>
        <v>0</v>
      </c>
      <c r="I374" s="53">
        <f t="shared" si="6"/>
        <v>0</v>
      </c>
    </row>
    <row r="375" spans="2:9" hidden="1" x14ac:dyDescent="0.25">
      <c r="B375" s="48">
        <f>+'Metrics - Articles'!C372</f>
        <v>0</v>
      </c>
      <c r="C375">
        <f>COUNTIF('Metrics - Articles'!E327,"*Sports*")</f>
        <v>0</v>
      </c>
      <c r="D375">
        <f>COUNTIF('Metrics - Articles'!E327,"*Youth*")</f>
        <v>0</v>
      </c>
      <c r="E375">
        <f>COUNTIF('Metrics - Articles'!E327,"*Healthcare*")</f>
        <v>0</v>
      </c>
      <c r="F375">
        <f>COUNTIF('Metrics - Articles'!E327,"*Innovation")</f>
        <v>1</v>
      </c>
      <c r="G375">
        <f>COUNTIF('Metrics - Articles'!E327,"*Corporate*")</f>
        <v>0</v>
      </c>
      <c r="I375" s="53">
        <f t="shared" si="6"/>
        <v>1</v>
      </c>
    </row>
    <row r="376" spans="2:9" hidden="1" x14ac:dyDescent="0.25">
      <c r="B376" s="48">
        <f>+'Metrics - Articles'!C373</f>
        <v>0</v>
      </c>
      <c r="C376">
        <f>COUNTIF('Metrics - Articles'!E373,"*Sports*")</f>
        <v>0</v>
      </c>
      <c r="D376">
        <f>COUNTIF('Metrics - Articles'!E373,"*Youth*")</f>
        <v>0</v>
      </c>
      <c r="E376">
        <f>COUNTIF('Metrics - Articles'!E373,"*Healthcare*")</f>
        <v>0</v>
      </c>
      <c r="F376">
        <f>COUNTIF('Metrics - Articles'!E373,"*Innovation")</f>
        <v>0</v>
      </c>
      <c r="G376">
        <f>COUNTIF('Metrics - Articles'!E373,"*Corporate*")</f>
        <v>0</v>
      </c>
      <c r="I376" s="53">
        <f t="shared" si="6"/>
        <v>0</v>
      </c>
    </row>
    <row r="377" spans="2:9" hidden="1" x14ac:dyDescent="0.25">
      <c r="B377" s="48">
        <f>+'Metrics - Articles'!C374</f>
        <v>0</v>
      </c>
      <c r="C377">
        <f>COUNTIF('Metrics - Articles'!E374,"*Sports*")</f>
        <v>0</v>
      </c>
      <c r="D377">
        <f>COUNTIF('Metrics - Articles'!E374,"*Youth*")</f>
        <v>0</v>
      </c>
      <c r="E377">
        <f>COUNTIF('Metrics - Articles'!E374,"*Healthcare*")</f>
        <v>0</v>
      </c>
      <c r="F377">
        <f>COUNTIF('Metrics - Articles'!E374,"*Innovation")</f>
        <v>0</v>
      </c>
      <c r="G377">
        <f>COUNTIF('Metrics - Articles'!E374,"*Corporate*")</f>
        <v>0</v>
      </c>
      <c r="I377" s="53">
        <f t="shared" si="6"/>
        <v>0</v>
      </c>
    </row>
    <row r="378" spans="2:9" hidden="1" x14ac:dyDescent="0.25">
      <c r="B378" s="48">
        <f>+'Metrics - Articles'!C375</f>
        <v>0</v>
      </c>
      <c r="C378">
        <f>COUNTIF('Metrics - Articles'!E375,"*Sports*")</f>
        <v>0</v>
      </c>
      <c r="D378">
        <f>COUNTIF('Metrics - Articles'!E375,"*Youth*")</f>
        <v>0</v>
      </c>
      <c r="E378">
        <f>COUNTIF('Metrics - Articles'!E375,"*Healthcare*")</f>
        <v>0</v>
      </c>
      <c r="F378">
        <f>COUNTIF('Metrics - Articles'!E375,"*Innovation")</f>
        <v>0</v>
      </c>
      <c r="G378">
        <f>COUNTIF('Metrics - Articles'!E375,"*Corporate*")</f>
        <v>0</v>
      </c>
      <c r="I378" s="53">
        <f t="shared" si="6"/>
        <v>0</v>
      </c>
    </row>
    <row r="379" spans="2:9" hidden="1" x14ac:dyDescent="0.25">
      <c r="B379" s="48">
        <f>+'Metrics - Articles'!C376</f>
        <v>0</v>
      </c>
      <c r="C379">
        <f>COUNTIF('Metrics - Articles'!E376,"*Sports*")</f>
        <v>0</v>
      </c>
      <c r="D379">
        <f>COUNTIF('Metrics - Articles'!E376,"*Youth*")</f>
        <v>0</v>
      </c>
      <c r="E379">
        <f>COUNTIF('Metrics - Articles'!E376,"*Healthcare*")</f>
        <v>0</v>
      </c>
      <c r="F379">
        <f>COUNTIF('Metrics - Articles'!E376,"*Innovation")</f>
        <v>0</v>
      </c>
      <c r="G379">
        <f>COUNTIF('Metrics - Articles'!E376,"*Corporate*")</f>
        <v>0</v>
      </c>
      <c r="I379" s="53">
        <f t="shared" si="6"/>
        <v>0</v>
      </c>
    </row>
    <row r="380" spans="2:9" hidden="1" x14ac:dyDescent="0.25">
      <c r="B380" s="48">
        <f>+'Metrics - Articles'!C377</f>
        <v>0</v>
      </c>
      <c r="C380">
        <f>COUNTIF('Metrics - Articles'!E377,"*Sports*")</f>
        <v>0</v>
      </c>
      <c r="D380">
        <f>COUNTIF('Metrics - Articles'!E377,"*Youth*")</f>
        <v>0</v>
      </c>
      <c r="E380">
        <f>COUNTIF('Metrics - Articles'!E377,"*Healthcare*")</f>
        <v>0</v>
      </c>
      <c r="F380">
        <f>COUNTIF('Metrics - Articles'!E377,"*Innovation")</f>
        <v>0</v>
      </c>
      <c r="G380">
        <f>COUNTIF('Metrics - Articles'!E377,"*Corporate*")</f>
        <v>0</v>
      </c>
      <c r="I380" s="53">
        <f t="shared" si="6"/>
        <v>0</v>
      </c>
    </row>
    <row r="381" spans="2:9" hidden="1" x14ac:dyDescent="0.25">
      <c r="B381" s="48">
        <f>+'Metrics - Articles'!C378</f>
        <v>0</v>
      </c>
      <c r="C381">
        <f>COUNTIF('Metrics - Articles'!E378,"*Sports*")</f>
        <v>0</v>
      </c>
      <c r="D381">
        <f>COUNTIF('Metrics - Articles'!E378,"*Youth*")</f>
        <v>0</v>
      </c>
      <c r="E381">
        <f>COUNTIF('Metrics - Articles'!E378,"*Healthcare*")</f>
        <v>0</v>
      </c>
      <c r="F381">
        <f>COUNTIF('Metrics - Articles'!E378,"*Innovation")</f>
        <v>0</v>
      </c>
      <c r="G381">
        <f>COUNTIF('Metrics - Articles'!E378,"*Corporate*")</f>
        <v>0</v>
      </c>
      <c r="I381" s="53">
        <f t="shared" si="6"/>
        <v>0</v>
      </c>
    </row>
    <row r="382" spans="2:9" hidden="1" x14ac:dyDescent="0.25">
      <c r="B382" s="48">
        <f>+'Metrics - Articles'!C379</f>
        <v>0</v>
      </c>
      <c r="C382">
        <f>COUNTIF('Metrics - Articles'!E329,"*Sports*")</f>
        <v>0</v>
      </c>
      <c r="D382">
        <f>COUNTIF('Metrics - Articles'!E329,"*Youth*")</f>
        <v>0</v>
      </c>
      <c r="E382">
        <f>COUNTIF('Metrics - Articles'!E329,"*Healthcare*")</f>
        <v>0</v>
      </c>
      <c r="F382">
        <f>COUNTIF('Metrics - Articles'!E329,"*Innovation")</f>
        <v>0</v>
      </c>
      <c r="G382">
        <f>COUNTIF('Metrics - Articles'!E329,"*Corporate*")</f>
        <v>1</v>
      </c>
      <c r="I382" s="53">
        <f t="shared" si="6"/>
        <v>1</v>
      </c>
    </row>
    <row r="383" spans="2:9" hidden="1" x14ac:dyDescent="0.25">
      <c r="B383" s="48">
        <f>+'Metrics - Articles'!C380</f>
        <v>0</v>
      </c>
      <c r="C383">
        <f>COUNTIF('Metrics - Articles'!E330,"*Sports*")</f>
        <v>0</v>
      </c>
      <c r="D383">
        <f>COUNTIF('Metrics - Articles'!E330,"*Youth*")</f>
        <v>0</v>
      </c>
      <c r="E383">
        <f>COUNTIF('Metrics - Articles'!E330,"*Healthcare*")</f>
        <v>0</v>
      </c>
      <c r="F383">
        <f>COUNTIF('Metrics - Articles'!E330,"*Innovation")</f>
        <v>0</v>
      </c>
      <c r="G383">
        <f>COUNTIF('Metrics - Articles'!E330,"*Corporate*")</f>
        <v>1</v>
      </c>
      <c r="I383" s="53">
        <f t="shared" si="6"/>
        <v>1</v>
      </c>
    </row>
    <row r="384" spans="2:9" hidden="1" x14ac:dyDescent="0.25">
      <c r="B384" s="48">
        <f>+'Metrics - Articles'!C381</f>
        <v>0</v>
      </c>
      <c r="C384">
        <f>COUNTIF('Metrics - Articles'!E381,"*Sports*")</f>
        <v>0</v>
      </c>
      <c r="D384">
        <f>COUNTIF('Metrics - Articles'!E381,"*Youth*")</f>
        <v>0</v>
      </c>
      <c r="E384">
        <f>COUNTIF('Metrics - Articles'!E381,"*Healthcare*")</f>
        <v>0</v>
      </c>
      <c r="F384">
        <f>COUNTIF('Metrics - Articles'!E381,"*Innovation")</f>
        <v>0</v>
      </c>
      <c r="G384">
        <f>COUNTIF('Metrics - Articles'!E381,"*Corporate*")</f>
        <v>0</v>
      </c>
      <c r="I384" s="53">
        <f t="shared" si="6"/>
        <v>0</v>
      </c>
    </row>
    <row r="385" spans="2:9" hidden="1" x14ac:dyDescent="0.25">
      <c r="B385" s="48">
        <f>+'Metrics - Articles'!C382</f>
        <v>0</v>
      </c>
      <c r="C385">
        <f>COUNTIF('Metrics - Articles'!E331,"*Sports*")</f>
        <v>0</v>
      </c>
      <c r="D385">
        <f>COUNTIF('Metrics - Articles'!E331,"*Youth*")</f>
        <v>1</v>
      </c>
      <c r="E385">
        <f>COUNTIF('Metrics - Articles'!E331,"*Healthcare*")</f>
        <v>0</v>
      </c>
      <c r="F385">
        <f>COUNTIF('Metrics - Articles'!E331,"*Innovation")</f>
        <v>0</v>
      </c>
      <c r="G385">
        <f>COUNTIF('Metrics - Articles'!E331,"*Corporate*")</f>
        <v>1</v>
      </c>
      <c r="I385" s="53">
        <f t="shared" si="6"/>
        <v>2</v>
      </c>
    </row>
    <row r="386" spans="2:9" hidden="1" x14ac:dyDescent="0.25">
      <c r="B386" s="48">
        <f>+'Metrics - Articles'!C383</f>
        <v>0</v>
      </c>
      <c r="C386">
        <f>COUNTIF('Metrics - Articles'!E332,"*Sports*")</f>
        <v>0</v>
      </c>
      <c r="D386">
        <f>COUNTIF('Metrics - Articles'!E332,"*Youth*")</f>
        <v>0</v>
      </c>
      <c r="E386">
        <f>COUNTIF('Metrics - Articles'!E332,"*Healthcare*")</f>
        <v>0</v>
      </c>
      <c r="F386">
        <f>COUNTIF('Metrics - Articles'!E332,"*Innovation")</f>
        <v>0</v>
      </c>
      <c r="G386">
        <f>COUNTIF('Metrics - Articles'!E332,"*Corporate*")</f>
        <v>1</v>
      </c>
      <c r="I386" s="53">
        <f t="shared" si="6"/>
        <v>1</v>
      </c>
    </row>
    <row r="387" spans="2:9" hidden="1" x14ac:dyDescent="0.25">
      <c r="B387" s="48">
        <f>+'Metrics - Articles'!C384</f>
        <v>0</v>
      </c>
      <c r="C387">
        <f>COUNTIF('Metrics - Articles'!E384,"*Sports*")</f>
        <v>0</v>
      </c>
      <c r="D387">
        <f>COUNTIF('Metrics - Articles'!E384,"*Youth*")</f>
        <v>0</v>
      </c>
      <c r="E387">
        <f>COUNTIF('Metrics - Articles'!E384,"*Healthcare*")</f>
        <v>0</v>
      </c>
      <c r="F387">
        <f>COUNTIF('Metrics - Articles'!E384,"*Innovation")</f>
        <v>0</v>
      </c>
      <c r="G387">
        <f>COUNTIF('Metrics - Articles'!E384,"*Corporate*")</f>
        <v>0</v>
      </c>
      <c r="I387" s="53">
        <f t="shared" si="6"/>
        <v>0</v>
      </c>
    </row>
    <row r="388" spans="2:9" hidden="1" x14ac:dyDescent="0.25">
      <c r="B388" s="48">
        <f>+'Metrics - Articles'!C385</f>
        <v>0</v>
      </c>
      <c r="C388">
        <f>COUNTIF('Metrics - Articles'!E333,"*Sports*")</f>
        <v>0</v>
      </c>
      <c r="D388">
        <f>COUNTIF('Metrics - Articles'!E333,"*Youth*")</f>
        <v>0</v>
      </c>
      <c r="E388">
        <f>COUNTIF('Metrics - Articles'!E333,"*Healthcare*")</f>
        <v>0</v>
      </c>
      <c r="F388">
        <f>COUNTIF('Metrics - Articles'!E333,"*Innovation")</f>
        <v>0</v>
      </c>
      <c r="G388">
        <f>COUNTIF('Metrics - Articles'!E333,"*Corporate*")</f>
        <v>1</v>
      </c>
      <c r="I388" s="53">
        <f t="shared" si="6"/>
        <v>1</v>
      </c>
    </row>
    <row r="389" spans="2:9" hidden="1" x14ac:dyDescent="0.25">
      <c r="B389" s="48">
        <f>+'Metrics - Articles'!C386</f>
        <v>0</v>
      </c>
      <c r="C389">
        <f>COUNTIF('Metrics - Articles'!E334,"*Sports*")</f>
        <v>0</v>
      </c>
      <c r="D389">
        <f>COUNTIF('Metrics - Articles'!E334,"*Youth*")</f>
        <v>0</v>
      </c>
      <c r="E389">
        <f>COUNTIF('Metrics - Articles'!E334,"*Healthcare*")</f>
        <v>0</v>
      </c>
      <c r="F389">
        <f>COUNTIF('Metrics - Articles'!E334,"*Innovation")</f>
        <v>1</v>
      </c>
      <c r="G389">
        <f>COUNTIF('Metrics - Articles'!E334,"*Corporate*")</f>
        <v>0</v>
      </c>
      <c r="I389" s="53">
        <f t="shared" si="6"/>
        <v>1</v>
      </c>
    </row>
    <row r="390" spans="2:9" hidden="1" x14ac:dyDescent="0.25">
      <c r="B390" s="48">
        <f>+'Metrics - Articles'!C387</f>
        <v>0</v>
      </c>
      <c r="C390">
        <f>COUNTIF('Metrics - Articles'!E387,"*Sports*")</f>
        <v>0</v>
      </c>
      <c r="D390">
        <f>COUNTIF('Metrics - Articles'!E387,"*Youth*")</f>
        <v>0</v>
      </c>
      <c r="E390">
        <f>COUNTIF('Metrics - Articles'!E387,"*Healthcare*")</f>
        <v>0</v>
      </c>
      <c r="F390">
        <f>COUNTIF('Metrics - Articles'!E387,"*Innovation")</f>
        <v>0</v>
      </c>
      <c r="G390">
        <f>COUNTIF('Metrics - Articles'!E387,"*Corporate*")</f>
        <v>0</v>
      </c>
      <c r="I390" s="53">
        <f t="shared" si="6"/>
        <v>0</v>
      </c>
    </row>
    <row r="391" spans="2:9" hidden="1" x14ac:dyDescent="0.25">
      <c r="B391" s="48">
        <f>+'Metrics - Articles'!C388</f>
        <v>0</v>
      </c>
      <c r="C391">
        <f>COUNTIF('Metrics - Articles'!E335,"*Sports*")</f>
        <v>0</v>
      </c>
      <c r="D391">
        <f>COUNTIF('Metrics - Articles'!E335,"*Youth*")</f>
        <v>0</v>
      </c>
      <c r="E391">
        <f>COUNTIF('Metrics - Articles'!E335,"*Healthcare*")</f>
        <v>0</v>
      </c>
      <c r="F391">
        <f>COUNTIF('Metrics - Articles'!E335,"*Innovation")</f>
        <v>1</v>
      </c>
      <c r="G391">
        <f>COUNTIF('Metrics - Articles'!E335,"*Corporate*")</f>
        <v>0</v>
      </c>
      <c r="I391" s="53">
        <f t="shared" si="6"/>
        <v>1</v>
      </c>
    </row>
    <row r="392" spans="2:9" hidden="1" x14ac:dyDescent="0.25">
      <c r="B392" s="48">
        <f>+'Metrics - Articles'!C389</f>
        <v>0</v>
      </c>
      <c r="C392">
        <f>COUNTIF('Metrics - Articles'!E336,"*Sports*")</f>
        <v>1</v>
      </c>
      <c r="D392">
        <f>COUNTIF('Metrics - Articles'!E336,"*Youth*")</f>
        <v>0</v>
      </c>
      <c r="E392">
        <f>COUNTIF('Metrics - Articles'!E336,"*Healthcare*")</f>
        <v>0</v>
      </c>
      <c r="F392">
        <f>COUNTIF('Metrics - Articles'!E336,"*Innovation")</f>
        <v>0</v>
      </c>
      <c r="G392">
        <f>COUNTIF('Metrics - Articles'!E336,"*Corporate*")</f>
        <v>1</v>
      </c>
      <c r="I392" s="53">
        <f t="shared" ref="I392:I455" si="7">SUM(C392:H392)</f>
        <v>2</v>
      </c>
    </row>
    <row r="393" spans="2:9" hidden="1" x14ac:dyDescent="0.25">
      <c r="B393" s="48">
        <f>+'Metrics - Articles'!C390</f>
        <v>0</v>
      </c>
      <c r="C393">
        <f>COUNTIF('Metrics - Articles'!E390,"*Sports*")</f>
        <v>0</v>
      </c>
      <c r="D393">
        <f>COUNTIF('Metrics - Articles'!E390,"*Youth*")</f>
        <v>0</v>
      </c>
      <c r="E393">
        <f>COUNTIF('Metrics - Articles'!E390,"*Healthcare*")</f>
        <v>0</v>
      </c>
      <c r="F393">
        <f>COUNTIF('Metrics - Articles'!E390,"*Innovation")</f>
        <v>0</v>
      </c>
      <c r="G393">
        <f>COUNTIF('Metrics - Articles'!E390,"*Corporate*")</f>
        <v>0</v>
      </c>
      <c r="I393" s="53">
        <f t="shared" si="7"/>
        <v>0</v>
      </c>
    </row>
    <row r="394" spans="2:9" hidden="1" x14ac:dyDescent="0.25">
      <c r="B394" s="48">
        <f>+'Metrics - Articles'!C391</f>
        <v>0</v>
      </c>
      <c r="C394">
        <f>COUNTIF('Metrics - Articles'!E391,"*Sports*")</f>
        <v>0</v>
      </c>
      <c r="D394">
        <f>COUNTIF('Metrics - Articles'!E391,"*Youth*")</f>
        <v>0</v>
      </c>
      <c r="E394">
        <f>COUNTIF('Metrics - Articles'!E391,"*Healthcare*")</f>
        <v>0</v>
      </c>
      <c r="F394">
        <f>COUNTIF('Metrics - Articles'!E391,"*Innovation")</f>
        <v>0</v>
      </c>
      <c r="G394">
        <f>COUNTIF('Metrics - Articles'!E391,"*Corporate*")</f>
        <v>0</v>
      </c>
      <c r="I394" s="53">
        <f t="shared" si="7"/>
        <v>0</v>
      </c>
    </row>
    <row r="395" spans="2:9" hidden="1" x14ac:dyDescent="0.25">
      <c r="B395" s="48">
        <f>+'Metrics - Articles'!C392</f>
        <v>0</v>
      </c>
      <c r="C395">
        <f>COUNTIF('Metrics - Articles'!E392,"*Sports*")</f>
        <v>0</v>
      </c>
      <c r="D395">
        <f>COUNTIF('Metrics - Articles'!E392,"*Youth*")</f>
        <v>0</v>
      </c>
      <c r="E395">
        <f>COUNTIF('Metrics - Articles'!E392,"*Healthcare*")</f>
        <v>0</v>
      </c>
      <c r="F395">
        <f>COUNTIF('Metrics - Articles'!E392,"*Innovation")</f>
        <v>0</v>
      </c>
      <c r="G395">
        <f>COUNTIF('Metrics - Articles'!E392,"*Corporate*")</f>
        <v>0</v>
      </c>
      <c r="I395" s="53">
        <f t="shared" si="7"/>
        <v>0</v>
      </c>
    </row>
    <row r="396" spans="2:9" hidden="1" x14ac:dyDescent="0.25">
      <c r="B396" s="48">
        <f>+'Metrics - Articles'!C393</f>
        <v>0</v>
      </c>
      <c r="C396">
        <f>COUNTIF('Metrics - Articles'!E393,"*Sports*")</f>
        <v>0</v>
      </c>
      <c r="D396">
        <f>COUNTIF('Metrics - Articles'!E393,"*Youth*")</f>
        <v>0</v>
      </c>
      <c r="E396">
        <f>COUNTIF('Metrics - Articles'!E393,"*Healthcare*")</f>
        <v>0</v>
      </c>
      <c r="F396">
        <f>COUNTIF('Metrics - Articles'!E393,"*Innovation")</f>
        <v>0</v>
      </c>
      <c r="G396">
        <f>COUNTIF('Metrics - Articles'!E393,"*Corporate*")</f>
        <v>0</v>
      </c>
      <c r="I396" s="53">
        <f t="shared" si="7"/>
        <v>0</v>
      </c>
    </row>
    <row r="397" spans="2:9" hidden="1" x14ac:dyDescent="0.25">
      <c r="B397" s="48">
        <f>+'Metrics - Articles'!C394</f>
        <v>0</v>
      </c>
      <c r="C397">
        <f>COUNTIF('Metrics - Articles'!E394,"*Sports*")</f>
        <v>0</v>
      </c>
      <c r="D397">
        <f>COUNTIF('Metrics - Articles'!E394,"*Youth*")</f>
        <v>0</v>
      </c>
      <c r="E397">
        <f>COUNTIF('Metrics - Articles'!E394,"*Healthcare*")</f>
        <v>0</v>
      </c>
      <c r="F397">
        <f>COUNTIF('Metrics - Articles'!E394,"*Innovation")</f>
        <v>0</v>
      </c>
      <c r="G397">
        <f>COUNTIF('Metrics - Articles'!E394,"*Corporate*")</f>
        <v>0</v>
      </c>
      <c r="I397" s="53">
        <f t="shared" si="7"/>
        <v>0</v>
      </c>
    </row>
    <row r="398" spans="2:9" hidden="1" x14ac:dyDescent="0.25">
      <c r="B398" s="48">
        <f>+'Metrics - Articles'!C395</f>
        <v>0</v>
      </c>
      <c r="C398">
        <f>COUNTIF('Metrics - Articles'!E337,"*Sports*")</f>
        <v>0</v>
      </c>
      <c r="D398">
        <f>COUNTIF('Metrics - Articles'!E337,"*Youth*")</f>
        <v>0</v>
      </c>
      <c r="E398">
        <f>COUNTIF('Metrics - Articles'!E337,"*Healthcare*")</f>
        <v>0</v>
      </c>
      <c r="F398">
        <f>COUNTIF('Metrics - Articles'!E337,"*Innovation")</f>
        <v>0</v>
      </c>
      <c r="G398">
        <f>COUNTIF('Metrics - Articles'!E337,"*Corporate*")</f>
        <v>1</v>
      </c>
      <c r="I398" s="53">
        <f t="shared" si="7"/>
        <v>1</v>
      </c>
    </row>
    <row r="399" spans="2:9" hidden="1" x14ac:dyDescent="0.25">
      <c r="B399" s="48">
        <f>+'Metrics - Articles'!C396</f>
        <v>0</v>
      </c>
      <c r="C399">
        <f>COUNTIF('Metrics - Articles'!E338,"*Sports*")</f>
        <v>0</v>
      </c>
      <c r="D399">
        <f>COUNTIF('Metrics - Articles'!E338,"*Youth*")</f>
        <v>0</v>
      </c>
      <c r="E399">
        <f>COUNTIF('Metrics - Articles'!E338,"*Healthcare*")</f>
        <v>0</v>
      </c>
      <c r="F399">
        <f>COUNTIF('Metrics - Articles'!E338,"*Innovation")</f>
        <v>1</v>
      </c>
      <c r="G399">
        <f>COUNTIF('Metrics - Articles'!E338,"*Corporate*")</f>
        <v>1</v>
      </c>
      <c r="I399" s="53">
        <f t="shared" si="7"/>
        <v>2</v>
      </c>
    </row>
    <row r="400" spans="2:9" hidden="1" x14ac:dyDescent="0.25">
      <c r="B400" s="48">
        <f>+'Metrics - Articles'!C397</f>
        <v>0</v>
      </c>
      <c r="C400">
        <f>COUNTIF('Metrics - Articles'!E397,"*Sports*")</f>
        <v>0</v>
      </c>
      <c r="D400">
        <f>COUNTIF('Metrics - Articles'!E397,"*Youth*")</f>
        <v>0</v>
      </c>
      <c r="E400">
        <f>COUNTIF('Metrics - Articles'!E397,"*Healthcare*")</f>
        <v>0</v>
      </c>
      <c r="F400">
        <f>COUNTIF('Metrics - Articles'!E397,"*Innovation")</f>
        <v>0</v>
      </c>
      <c r="G400">
        <f>COUNTIF('Metrics - Articles'!E397,"*Corporate*")</f>
        <v>0</v>
      </c>
      <c r="I400" s="53">
        <f t="shared" si="7"/>
        <v>0</v>
      </c>
    </row>
    <row r="401" spans="2:9" hidden="1" x14ac:dyDescent="0.25">
      <c r="B401" s="48">
        <f>+'Metrics - Articles'!C398</f>
        <v>0</v>
      </c>
      <c r="C401">
        <f>COUNTIF('Metrics - Articles'!E398,"*Sports*")</f>
        <v>0</v>
      </c>
      <c r="D401">
        <f>COUNTIF('Metrics - Articles'!E398,"*Youth*")</f>
        <v>0</v>
      </c>
      <c r="E401">
        <f>COUNTIF('Metrics - Articles'!E398,"*Healthcare*")</f>
        <v>0</v>
      </c>
      <c r="F401">
        <f>COUNTIF('Metrics - Articles'!E398,"*Innovation")</f>
        <v>0</v>
      </c>
      <c r="G401">
        <f>COUNTIF('Metrics - Articles'!E398,"*Corporate*")</f>
        <v>0</v>
      </c>
      <c r="I401" s="53">
        <f t="shared" si="7"/>
        <v>0</v>
      </c>
    </row>
    <row r="402" spans="2:9" hidden="1" x14ac:dyDescent="0.25">
      <c r="B402" s="48">
        <f>+'Metrics - Articles'!C399</f>
        <v>0</v>
      </c>
      <c r="C402">
        <f>COUNTIF('Metrics - Articles'!E339,"*Sports*")</f>
        <v>1</v>
      </c>
      <c r="D402">
        <f>COUNTIF('Metrics - Articles'!E339,"*Youth*")</f>
        <v>0</v>
      </c>
      <c r="E402">
        <f>COUNTIF('Metrics - Articles'!E339,"*Healthcare*")</f>
        <v>0</v>
      </c>
      <c r="F402">
        <f>COUNTIF('Metrics - Articles'!E339,"*Innovation")</f>
        <v>0</v>
      </c>
      <c r="G402">
        <f>COUNTIF('Metrics - Articles'!E339,"*Corporate*")</f>
        <v>0</v>
      </c>
      <c r="I402" s="53">
        <f t="shared" si="7"/>
        <v>1</v>
      </c>
    </row>
    <row r="403" spans="2:9" hidden="1" x14ac:dyDescent="0.25">
      <c r="B403" s="48">
        <f>+'Metrics - Articles'!C400</f>
        <v>0</v>
      </c>
      <c r="C403">
        <f>COUNTIF('Metrics - Articles'!E400,"*Sports*")</f>
        <v>0</v>
      </c>
      <c r="D403">
        <f>COUNTIF('Metrics - Articles'!E400,"*Youth*")</f>
        <v>0</v>
      </c>
      <c r="E403">
        <f>COUNTIF('Metrics - Articles'!E400,"*Healthcare*")</f>
        <v>0</v>
      </c>
      <c r="F403">
        <f>COUNTIF('Metrics - Articles'!E400,"*Innovation")</f>
        <v>0</v>
      </c>
      <c r="G403">
        <f>COUNTIF('Metrics - Articles'!E400,"*Corporate*")</f>
        <v>0</v>
      </c>
      <c r="I403" s="53">
        <f t="shared" si="7"/>
        <v>0</v>
      </c>
    </row>
    <row r="404" spans="2:9" hidden="1" x14ac:dyDescent="0.25">
      <c r="B404" s="48">
        <f>+'Metrics - Articles'!C401</f>
        <v>0</v>
      </c>
      <c r="C404">
        <f>COUNTIF('Metrics - Articles'!E401,"*Sports*")</f>
        <v>0</v>
      </c>
      <c r="D404">
        <f>COUNTIF('Metrics - Articles'!E401,"*Youth*")</f>
        <v>0</v>
      </c>
      <c r="E404">
        <f>COUNTIF('Metrics - Articles'!E401,"*Healthcare*")</f>
        <v>0</v>
      </c>
      <c r="F404">
        <f>COUNTIF('Metrics - Articles'!E401,"*Innovation")</f>
        <v>0</v>
      </c>
      <c r="G404">
        <f>COUNTIF('Metrics - Articles'!E401,"*Corporate*")</f>
        <v>0</v>
      </c>
      <c r="I404" s="53">
        <f t="shared" si="7"/>
        <v>0</v>
      </c>
    </row>
    <row r="405" spans="2:9" hidden="1" x14ac:dyDescent="0.25">
      <c r="B405" s="48">
        <f>+'Metrics - Articles'!C402</f>
        <v>0</v>
      </c>
      <c r="C405">
        <f>COUNTIF('Metrics - Articles'!E402,"*Sports*")</f>
        <v>0</v>
      </c>
      <c r="D405">
        <f>COUNTIF('Metrics - Articles'!E402,"*Youth*")</f>
        <v>0</v>
      </c>
      <c r="E405">
        <f>COUNTIF('Metrics - Articles'!E402,"*Healthcare*")</f>
        <v>0</v>
      </c>
      <c r="F405">
        <f>COUNTIF('Metrics - Articles'!E402,"*Innovation")</f>
        <v>0</v>
      </c>
      <c r="G405">
        <f>COUNTIF('Metrics - Articles'!E402,"*Corporate*")</f>
        <v>0</v>
      </c>
      <c r="I405" s="53">
        <f t="shared" si="7"/>
        <v>0</v>
      </c>
    </row>
    <row r="406" spans="2:9" hidden="1" x14ac:dyDescent="0.25">
      <c r="B406" s="48">
        <f>+'Metrics - Articles'!C403</f>
        <v>0</v>
      </c>
      <c r="C406">
        <f>COUNTIF('Metrics - Articles'!E403,"*Sports*")</f>
        <v>0</v>
      </c>
      <c r="D406">
        <f>COUNTIF('Metrics - Articles'!E403,"*Youth*")</f>
        <v>0</v>
      </c>
      <c r="E406">
        <f>COUNTIF('Metrics - Articles'!E403,"*Healthcare*")</f>
        <v>0</v>
      </c>
      <c r="F406">
        <f>COUNTIF('Metrics - Articles'!E403,"*Innovation")</f>
        <v>0</v>
      </c>
      <c r="G406">
        <f>COUNTIF('Metrics - Articles'!E403,"*Corporate*")</f>
        <v>0</v>
      </c>
      <c r="I406" s="53">
        <f t="shared" si="7"/>
        <v>0</v>
      </c>
    </row>
    <row r="407" spans="2:9" hidden="1" x14ac:dyDescent="0.25">
      <c r="B407" s="48">
        <f>+'Metrics - Articles'!C404</f>
        <v>0</v>
      </c>
      <c r="C407">
        <f>COUNTIF('Metrics - Articles'!E340,"*Sports*")</f>
        <v>0</v>
      </c>
      <c r="D407">
        <f>COUNTIF('Metrics - Articles'!E340,"*Youth*")</f>
        <v>1</v>
      </c>
      <c r="E407">
        <f>COUNTIF('Metrics - Articles'!E340,"*Healthcare*")</f>
        <v>0</v>
      </c>
      <c r="F407">
        <f>COUNTIF('Metrics - Articles'!E340,"*Innovation")</f>
        <v>1</v>
      </c>
      <c r="G407">
        <f>COUNTIF('Metrics - Articles'!E340,"*Corporate*")</f>
        <v>0</v>
      </c>
      <c r="I407" s="53">
        <f t="shared" si="7"/>
        <v>2</v>
      </c>
    </row>
    <row r="408" spans="2:9" hidden="1" x14ac:dyDescent="0.25">
      <c r="B408" s="48">
        <f>+'Metrics - Articles'!C405</f>
        <v>0</v>
      </c>
      <c r="C408">
        <f>COUNTIF('Metrics - Articles'!E405,"*Sports*")</f>
        <v>0</v>
      </c>
      <c r="D408">
        <f>COUNTIF('Metrics - Articles'!E405,"*Youth*")</f>
        <v>0</v>
      </c>
      <c r="E408">
        <f>COUNTIF('Metrics - Articles'!E405,"*Healthcare*")</f>
        <v>0</v>
      </c>
      <c r="F408">
        <f>COUNTIF('Metrics - Articles'!E405,"*Innovation")</f>
        <v>0</v>
      </c>
      <c r="G408">
        <f>COUNTIF('Metrics - Articles'!E405,"*Corporate*")</f>
        <v>0</v>
      </c>
      <c r="I408" s="53">
        <f t="shared" si="7"/>
        <v>0</v>
      </c>
    </row>
    <row r="409" spans="2:9" hidden="1" x14ac:dyDescent="0.25">
      <c r="B409" s="48">
        <f>+'Metrics - Articles'!C406</f>
        <v>0</v>
      </c>
      <c r="C409">
        <f>COUNTIF('Metrics - Articles'!E406,"*Sports*")</f>
        <v>0</v>
      </c>
      <c r="D409">
        <f>COUNTIF('Metrics - Articles'!E406,"*Youth*")</f>
        <v>0</v>
      </c>
      <c r="E409">
        <f>COUNTIF('Metrics - Articles'!E406,"*Healthcare*")</f>
        <v>0</v>
      </c>
      <c r="F409">
        <f>COUNTIF('Metrics - Articles'!E406,"*Innovation")</f>
        <v>0</v>
      </c>
      <c r="G409">
        <f>COUNTIF('Metrics - Articles'!E406,"*Corporate*")</f>
        <v>0</v>
      </c>
      <c r="I409" s="53">
        <f t="shared" si="7"/>
        <v>0</v>
      </c>
    </row>
    <row r="410" spans="2:9" hidden="1" x14ac:dyDescent="0.25">
      <c r="B410" s="48">
        <f>+'Metrics - Articles'!C407</f>
        <v>0</v>
      </c>
      <c r="C410">
        <f>COUNTIF('Metrics - Articles'!E407,"*Sports*")</f>
        <v>0</v>
      </c>
      <c r="D410">
        <f>COUNTIF('Metrics - Articles'!E407,"*Youth*")</f>
        <v>0</v>
      </c>
      <c r="E410">
        <f>COUNTIF('Metrics - Articles'!E407,"*Healthcare*")</f>
        <v>0</v>
      </c>
      <c r="F410">
        <f>COUNTIF('Metrics - Articles'!E407,"*Innovation")</f>
        <v>0</v>
      </c>
      <c r="G410">
        <f>COUNTIF('Metrics - Articles'!E407,"*Corporate*")</f>
        <v>0</v>
      </c>
      <c r="I410" s="53">
        <f t="shared" si="7"/>
        <v>0</v>
      </c>
    </row>
    <row r="411" spans="2:9" hidden="1" x14ac:dyDescent="0.25">
      <c r="B411" s="48">
        <f>+'Metrics - Articles'!C408</f>
        <v>0</v>
      </c>
      <c r="C411">
        <f>COUNTIF('Metrics - Articles'!E341,"*Sports*")</f>
        <v>0</v>
      </c>
      <c r="D411">
        <f>COUNTIF('Metrics - Articles'!E341,"*Youth*")</f>
        <v>0</v>
      </c>
      <c r="E411">
        <f>COUNTIF('Metrics - Articles'!E341,"*Healthcare*")</f>
        <v>0</v>
      </c>
      <c r="F411">
        <f>COUNTIF('Metrics - Articles'!E341,"*Innovation")</f>
        <v>0</v>
      </c>
      <c r="G411">
        <f>COUNTIF('Metrics - Articles'!E341,"*Corporate*")</f>
        <v>1</v>
      </c>
      <c r="I411" s="53">
        <f t="shared" si="7"/>
        <v>1</v>
      </c>
    </row>
    <row r="412" spans="2:9" hidden="1" x14ac:dyDescent="0.25">
      <c r="B412" s="48">
        <f>+'Metrics - Articles'!C409</f>
        <v>0</v>
      </c>
      <c r="C412">
        <f>COUNTIF('Metrics - Articles'!E409,"*Sports*")</f>
        <v>0</v>
      </c>
      <c r="D412">
        <f>COUNTIF('Metrics - Articles'!E409,"*Youth*")</f>
        <v>0</v>
      </c>
      <c r="E412">
        <f>COUNTIF('Metrics - Articles'!E409,"*Healthcare*")</f>
        <v>0</v>
      </c>
      <c r="F412">
        <f>COUNTIF('Metrics - Articles'!E409,"*Innovation")</f>
        <v>0</v>
      </c>
      <c r="G412">
        <f>COUNTIF('Metrics - Articles'!E409,"*Corporate*")</f>
        <v>0</v>
      </c>
      <c r="I412" s="53">
        <f t="shared" si="7"/>
        <v>0</v>
      </c>
    </row>
    <row r="413" spans="2:9" hidden="1" x14ac:dyDescent="0.25">
      <c r="B413" s="48">
        <f>+'Metrics - Articles'!C410</f>
        <v>0</v>
      </c>
      <c r="C413">
        <f>COUNTIF('Metrics - Articles'!E342,"*Sports*")</f>
        <v>0</v>
      </c>
      <c r="D413">
        <f>COUNTIF('Metrics - Articles'!E342,"*Youth*")</f>
        <v>0</v>
      </c>
      <c r="E413">
        <f>COUNTIF('Metrics - Articles'!E342,"*Healthcare*")</f>
        <v>0</v>
      </c>
      <c r="F413">
        <f>COUNTIF('Metrics - Articles'!E342,"*Innovation")</f>
        <v>0</v>
      </c>
      <c r="G413">
        <f>COUNTIF('Metrics - Articles'!E342,"*Corporate*")</f>
        <v>1</v>
      </c>
      <c r="I413" s="53">
        <f t="shared" si="7"/>
        <v>1</v>
      </c>
    </row>
    <row r="414" spans="2:9" hidden="1" x14ac:dyDescent="0.25">
      <c r="B414" s="48">
        <f>+'Metrics - Articles'!C411</f>
        <v>0</v>
      </c>
      <c r="C414">
        <f>COUNTIF('Metrics - Articles'!E343,"*Sports*")</f>
        <v>0</v>
      </c>
      <c r="D414">
        <f>COUNTIF('Metrics - Articles'!E343,"*Youth*")</f>
        <v>0</v>
      </c>
      <c r="E414">
        <f>COUNTIF('Metrics - Articles'!E343,"*Healthcare*")</f>
        <v>0</v>
      </c>
      <c r="F414">
        <f>COUNTIF('Metrics - Articles'!E343,"*Innovation")</f>
        <v>1</v>
      </c>
      <c r="G414">
        <f>COUNTIF('Metrics - Articles'!E343,"*Corporate*")</f>
        <v>1</v>
      </c>
      <c r="I414" s="53">
        <f t="shared" si="7"/>
        <v>2</v>
      </c>
    </row>
    <row r="415" spans="2:9" hidden="1" x14ac:dyDescent="0.25">
      <c r="B415" s="48">
        <f>+'Metrics - Articles'!C412</f>
        <v>0</v>
      </c>
      <c r="C415">
        <f>COUNTIF('Metrics - Articles'!E344,"*Sports*")</f>
        <v>0</v>
      </c>
      <c r="D415">
        <f>COUNTIF('Metrics - Articles'!E344,"*Youth*")</f>
        <v>0</v>
      </c>
      <c r="E415">
        <f>COUNTIF('Metrics - Articles'!E344,"*Healthcare*")</f>
        <v>0</v>
      </c>
      <c r="F415">
        <f>COUNTIF('Metrics - Articles'!E344,"*Innovation")</f>
        <v>0</v>
      </c>
      <c r="G415">
        <f>COUNTIF('Metrics - Articles'!E344,"*Corporate*")</f>
        <v>1</v>
      </c>
      <c r="I415" s="53">
        <f t="shared" si="7"/>
        <v>1</v>
      </c>
    </row>
    <row r="416" spans="2:9" hidden="1" x14ac:dyDescent="0.25">
      <c r="B416" s="48">
        <f>+'Metrics - Articles'!C413</f>
        <v>0</v>
      </c>
      <c r="C416">
        <f>COUNTIF('Metrics - Articles'!E345,"*Sports*")</f>
        <v>0</v>
      </c>
      <c r="D416">
        <f>COUNTIF('Metrics - Articles'!E345,"*Youth*")</f>
        <v>0</v>
      </c>
      <c r="E416">
        <f>COUNTIF('Metrics - Articles'!E345,"*Healthcare*")</f>
        <v>0</v>
      </c>
      <c r="F416">
        <f>COUNTIF('Metrics - Articles'!E345,"*Innovation")</f>
        <v>1</v>
      </c>
      <c r="G416">
        <f>COUNTIF('Metrics - Articles'!E345,"*Corporate*")</f>
        <v>0</v>
      </c>
      <c r="I416" s="53">
        <f t="shared" si="7"/>
        <v>1</v>
      </c>
    </row>
    <row r="417" spans="2:9" hidden="1" x14ac:dyDescent="0.25">
      <c r="B417" s="48">
        <f>+'Metrics - Articles'!C414</f>
        <v>0</v>
      </c>
      <c r="C417">
        <f>COUNTIF('Metrics - Articles'!E414,"*Sports*")</f>
        <v>0</v>
      </c>
      <c r="D417">
        <f>COUNTIF('Metrics - Articles'!E414,"*Youth*")</f>
        <v>0</v>
      </c>
      <c r="E417">
        <f>COUNTIF('Metrics - Articles'!E414,"*Healthcare*")</f>
        <v>0</v>
      </c>
      <c r="F417">
        <f>COUNTIF('Metrics - Articles'!E414,"*Innovation")</f>
        <v>0</v>
      </c>
      <c r="G417">
        <f>COUNTIF('Metrics - Articles'!E414,"*Corporate*")</f>
        <v>0</v>
      </c>
      <c r="I417" s="53">
        <f t="shared" si="7"/>
        <v>0</v>
      </c>
    </row>
    <row r="418" spans="2:9" hidden="1" x14ac:dyDescent="0.25">
      <c r="B418" s="48">
        <f>+'Metrics - Articles'!C415</f>
        <v>0</v>
      </c>
      <c r="C418">
        <f>COUNTIF('Metrics - Articles'!E346,"*Sports*")</f>
        <v>0</v>
      </c>
      <c r="D418">
        <f>COUNTIF('Metrics - Articles'!E346,"*Youth*")</f>
        <v>0</v>
      </c>
      <c r="E418">
        <f>COUNTIF('Metrics - Articles'!E346,"*Healthcare*")</f>
        <v>0</v>
      </c>
      <c r="F418">
        <f>COUNTIF('Metrics - Articles'!E346,"*Innovation")</f>
        <v>1</v>
      </c>
      <c r="G418">
        <f>COUNTIF('Metrics - Articles'!E346,"*Corporate*")</f>
        <v>1</v>
      </c>
      <c r="I418" s="53">
        <f t="shared" si="7"/>
        <v>2</v>
      </c>
    </row>
    <row r="419" spans="2:9" hidden="1" x14ac:dyDescent="0.25">
      <c r="B419" s="48">
        <f>+'Metrics - Articles'!C416</f>
        <v>0</v>
      </c>
      <c r="C419">
        <f>COUNTIF('Metrics - Articles'!E347,"*Sports*")</f>
        <v>1</v>
      </c>
      <c r="D419">
        <f>COUNTIF('Metrics - Articles'!E347,"*Youth*")</f>
        <v>0</v>
      </c>
      <c r="E419">
        <f>COUNTIF('Metrics - Articles'!E347,"*Healthcare*")</f>
        <v>0</v>
      </c>
      <c r="F419">
        <f>COUNTIF('Metrics - Articles'!E347,"*Innovation")</f>
        <v>0</v>
      </c>
      <c r="G419">
        <f>COUNTIF('Metrics - Articles'!E347,"*Corporate*")</f>
        <v>0</v>
      </c>
      <c r="I419" s="53">
        <f t="shared" si="7"/>
        <v>1</v>
      </c>
    </row>
    <row r="420" spans="2:9" hidden="1" x14ac:dyDescent="0.25">
      <c r="B420" s="48">
        <f>+'Metrics - Articles'!C417</f>
        <v>0</v>
      </c>
      <c r="C420">
        <f>COUNTIF('Metrics - Articles'!E417,"*Sports*")</f>
        <v>0</v>
      </c>
      <c r="D420">
        <f>COUNTIF('Metrics - Articles'!E417,"*Youth*")</f>
        <v>0</v>
      </c>
      <c r="E420">
        <f>COUNTIF('Metrics - Articles'!E417,"*Healthcare*")</f>
        <v>0</v>
      </c>
      <c r="F420">
        <f>COUNTIF('Metrics - Articles'!E417,"*Innovation")</f>
        <v>0</v>
      </c>
      <c r="G420">
        <f>COUNTIF('Metrics - Articles'!E417,"*Corporate*")</f>
        <v>0</v>
      </c>
      <c r="I420" s="53">
        <f t="shared" si="7"/>
        <v>0</v>
      </c>
    </row>
    <row r="421" spans="2:9" hidden="1" x14ac:dyDescent="0.25">
      <c r="B421" s="48">
        <f>+'Metrics - Articles'!C418</f>
        <v>0</v>
      </c>
      <c r="C421">
        <f>COUNTIF('Metrics - Articles'!E348,"*Sports*")</f>
        <v>0</v>
      </c>
      <c r="D421">
        <f>COUNTIF('Metrics - Articles'!E348,"*Youth*")</f>
        <v>0</v>
      </c>
      <c r="E421">
        <f>COUNTIF('Metrics - Articles'!E348,"*Healthcare*")</f>
        <v>0</v>
      </c>
      <c r="F421">
        <f>COUNTIF('Metrics - Articles'!E348,"*Innovation")</f>
        <v>1</v>
      </c>
      <c r="G421">
        <f>COUNTIF('Metrics - Articles'!E348,"*Corporate*")</f>
        <v>0</v>
      </c>
      <c r="I421" s="53">
        <f t="shared" si="7"/>
        <v>1</v>
      </c>
    </row>
    <row r="422" spans="2:9" hidden="1" x14ac:dyDescent="0.25">
      <c r="B422" s="48">
        <f>+'Metrics - Articles'!C419</f>
        <v>0</v>
      </c>
      <c r="C422">
        <f>COUNTIF('Metrics - Articles'!E419,"*Sports*")</f>
        <v>0</v>
      </c>
      <c r="D422">
        <f>COUNTIF('Metrics - Articles'!E419,"*Youth*")</f>
        <v>0</v>
      </c>
      <c r="E422">
        <f>COUNTIF('Metrics - Articles'!E419,"*Healthcare*")</f>
        <v>0</v>
      </c>
      <c r="F422">
        <f>COUNTIF('Metrics - Articles'!E419,"*Innovation")</f>
        <v>0</v>
      </c>
      <c r="G422">
        <f>COUNTIF('Metrics - Articles'!E419,"*Corporate*")</f>
        <v>0</v>
      </c>
      <c r="I422" s="53">
        <f t="shared" si="7"/>
        <v>0</v>
      </c>
    </row>
    <row r="423" spans="2:9" hidden="1" x14ac:dyDescent="0.25">
      <c r="B423" s="48">
        <f>+'Metrics - Articles'!C420</f>
        <v>0</v>
      </c>
      <c r="C423">
        <f>COUNTIF('Metrics - Articles'!E349,"*Sports*")</f>
        <v>0</v>
      </c>
      <c r="D423">
        <f>COUNTIF('Metrics - Articles'!E349,"*Youth*")</f>
        <v>0</v>
      </c>
      <c r="E423">
        <f>COUNTIF('Metrics - Articles'!E349,"*Healthcare*")</f>
        <v>0</v>
      </c>
      <c r="F423">
        <f>COUNTIF('Metrics - Articles'!E349,"*Innovation")</f>
        <v>1</v>
      </c>
      <c r="G423">
        <f>COUNTIF('Metrics - Articles'!E349,"*Corporate*")</f>
        <v>0</v>
      </c>
      <c r="I423" s="53">
        <f t="shared" si="7"/>
        <v>1</v>
      </c>
    </row>
    <row r="424" spans="2:9" hidden="1" x14ac:dyDescent="0.25">
      <c r="B424" s="48">
        <f>+'Metrics - Articles'!C421</f>
        <v>0</v>
      </c>
      <c r="C424">
        <f>COUNTIF('Metrics - Articles'!E421,"*Sports*")</f>
        <v>0</v>
      </c>
      <c r="D424">
        <f>COUNTIF('Metrics - Articles'!E421,"*Youth*")</f>
        <v>0</v>
      </c>
      <c r="E424">
        <f>COUNTIF('Metrics - Articles'!E421,"*Healthcare*")</f>
        <v>0</v>
      </c>
      <c r="F424">
        <f>COUNTIF('Metrics - Articles'!E421,"*Innovation")</f>
        <v>0</v>
      </c>
      <c r="G424">
        <f>COUNTIF('Metrics - Articles'!E421,"*Corporate*")</f>
        <v>0</v>
      </c>
      <c r="I424" s="53">
        <f t="shared" si="7"/>
        <v>0</v>
      </c>
    </row>
    <row r="425" spans="2:9" hidden="1" x14ac:dyDescent="0.25">
      <c r="B425" s="48">
        <f>+'Metrics - Articles'!C422</f>
        <v>0</v>
      </c>
      <c r="C425">
        <f>COUNTIF('Metrics - Articles'!E350,"*Sports*")</f>
        <v>0</v>
      </c>
      <c r="D425">
        <f>COUNTIF('Metrics - Articles'!E350,"*Youth*")</f>
        <v>0</v>
      </c>
      <c r="E425">
        <f>COUNTIF('Metrics - Articles'!E350,"*Healthcare*")</f>
        <v>1</v>
      </c>
      <c r="F425">
        <f>COUNTIF('Metrics - Articles'!E350,"*Innovation")</f>
        <v>1</v>
      </c>
      <c r="G425">
        <f>COUNTIF('Metrics - Articles'!E350,"*Corporate*")</f>
        <v>0</v>
      </c>
      <c r="I425" s="53">
        <f t="shared" si="7"/>
        <v>2</v>
      </c>
    </row>
    <row r="426" spans="2:9" hidden="1" x14ac:dyDescent="0.25">
      <c r="B426" s="48">
        <f>+'Metrics - Articles'!C423</f>
        <v>0</v>
      </c>
      <c r="C426">
        <f>COUNTIF('Metrics - Articles'!E423,"*Sports*")</f>
        <v>0</v>
      </c>
      <c r="D426">
        <f>COUNTIF('Metrics - Articles'!E423,"*Youth*")</f>
        <v>0</v>
      </c>
      <c r="E426">
        <f>COUNTIF('Metrics - Articles'!E423,"*Healthcare*")</f>
        <v>0</v>
      </c>
      <c r="F426">
        <f>COUNTIF('Metrics - Articles'!E423,"*Innovation")</f>
        <v>0</v>
      </c>
      <c r="G426">
        <f>COUNTIF('Metrics - Articles'!E423,"*Corporate*")</f>
        <v>0</v>
      </c>
      <c r="I426" s="53">
        <f t="shared" si="7"/>
        <v>0</v>
      </c>
    </row>
    <row r="427" spans="2:9" hidden="1" x14ac:dyDescent="0.25">
      <c r="B427" s="48">
        <f>+'Metrics - Articles'!C424</f>
        <v>0</v>
      </c>
      <c r="C427">
        <f>COUNTIF('Metrics - Articles'!E424,"*Sports*")</f>
        <v>0</v>
      </c>
      <c r="D427">
        <f>COUNTIF('Metrics - Articles'!E424,"*Youth*")</f>
        <v>0</v>
      </c>
      <c r="E427">
        <f>COUNTIF('Metrics - Articles'!E424,"*Healthcare*")</f>
        <v>0</v>
      </c>
      <c r="F427">
        <f>COUNTIF('Metrics - Articles'!E424,"*Innovation")</f>
        <v>0</v>
      </c>
      <c r="G427">
        <f>COUNTIF('Metrics - Articles'!E424,"*Corporate*")</f>
        <v>0</v>
      </c>
      <c r="I427" s="53">
        <f t="shared" si="7"/>
        <v>0</v>
      </c>
    </row>
    <row r="428" spans="2:9" hidden="1" x14ac:dyDescent="0.25">
      <c r="B428" s="48">
        <f>+'Metrics - Articles'!C425</f>
        <v>0</v>
      </c>
      <c r="C428">
        <f>COUNTIF('Metrics - Articles'!E351,"*Sports*")</f>
        <v>1</v>
      </c>
      <c r="D428">
        <f>COUNTIF('Metrics - Articles'!E351,"*Youth*")</f>
        <v>0</v>
      </c>
      <c r="E428">
        <f>COUNTIF('Metrics - Articles'!E351,"*Healthcare*")</f>
        <v>0</v>
      </c>
      <c r="F428">
        <f>COUNTIF('Metrics - Articles'!E351,"*Innovation")</f>
        <v>0</v>
      </c>
      <c r="G428">
        <f>COUNTIF('Metrics - Articles'!E351,"*Corporate*")</f>
        <v>0</v>
      </c>
      <c r="I428" s="53">
        <f t="shared" si="7"/>
        <v>1</v>
      </c>
    </row>
    <row r="429" spans="2:9" hidden="1" x14ac:dyDescent="0.25">
      <c r="B429" s="48">
        <f>+'Metrics - Articles'!C426</f>
        <v>0</v>
      </c>
      <c r="C429">
        <f>COUNTIF('Metrics - Articles'!E426,"*Sports*")</f>
        <v>0</v>
      </c>
      <c r="D429">
        <f>COUNTIF('Metrics - Articles'!E426,"*Youth*")</f>
        <v>0</v>
      </c>
      <c r="E429">
        <f>COUNTIF('Metrics - Articles'!E426,"*Healthcare*")</f>
        <v>0</v>
      </c>
      <c r="F429">
        <f>COUNTIF('Metrics - Articles'!E426,"*Innovation")</f>
        <v>0</v>
      </c>
      <c r="G429">
        <f>COUNTIF('Metrics - Articles'!E426,"*Corporate*")</f>
        <v>0</v>
      </c>
      <c r="I429" s="53">
        <f t="shared" si="7"/>
        <v>0</v>
      </c>
    </row>
    <row r="430" spans="2:9" hidden="1" x14ac:dyDescent="0.25">
      <c r="B430" s="48">
        <f>+'Metrics - Articles'!C427</f>
        <v>0</v>
      </c>
      <c r="C430">
        <f>COUNTIF('Metrics - Articles'!E353,"*Sports*")</f>
        <v>0</v>
      </c>
      <c r="D430">
        <f>COUNTIF('Metrics - Articles'!E353,"*Youth*")</f>
        <v>0</v>
      </c>
      <c r="E430">
        <f>COUNTIF('Metrics - Articles'!E353,"*Healthcare*")</f>
        <v>0</v>
      </c>
      <c r="F430">
        <f>COUNTIF('Metrics - Articles'!E353,"*Innovation")</f>
        <v>1</v>
      </c>
      <c r="G430">
        <f>COUNTIF('Metrics - Articles'!E353,"*Corporate*")</f>
        <v>0</v>
      </c>
      <c r="I430" s="53">
        <f t="shared" si="7"/>
        <v>1</v>
      </c>
    </row>
    <row r="431" spans="2:9" hidden="1" x14ac:dyDescent="0.25">
      <c r="B431" s="48">
        <f>+'Metrics - Articles'!C428</f>
        <v>0</v>
      </c>
      <c r="C431">
        <f>COUNTIF('Metrics - Articles'!E354,"*Sports*")</f>
        <v>0</v>
      </c>
      <c r="D431">
        <f>COUNTIF('Metrics - Articles'!E354,"*Youth*")</f>
        <v>0</v>
      </c>
      <c r="E431">
        <f>COUNTIF('Metrics - Articles'!E354,"*Healthcare*")</f>
        <v>0</v>
      </c>
      <c r="F431">
        <f>COUNTIF('Metrics - Articles'!E354,"*Innovation")</f>
        <v>0</v>
      </c>
      <c r="G431">
        <f>COUNTIF('Metrics - Articles'!E354,"*Corporate*")</f>
        <v>1</v>
      </c>
      <c r="I431" s="53">
        <f t="shared" si="7"/>
        <v>1</v>
      </c>
    </row>
    <row r="432" spans="2:9" hidden="1" x14ac:dyDescent="0.25">
      <c r="B432" s="48">
        <f>+'Metrics - Articles'!C429</f>
        <v>0</v>
      </c>
      <c r="C432">
        <f>COUNTIF('Metrics - Articles'!E355,"*Sports*")</f>
        <v>0</v>
      </c>
      <c r="D432">
        <f>COUNTIF('Metrics - Articles'!E355,"*Youth*")</f>
        <v>1</v>
      </c>
      <c r="E432">
        <f>COUNTIF('Metrics - Articles'!E355,"*Healthcare*")</f>
        <v>0</v>
      </c>
      <c r="F432">
        <f>COUNTIF('Metrics - Articles'!E355,"*Innovation")</f>
        <v>0</v>
      </c>
      <c r="G432">
        <f>COUNTIF('Metrics - Articles'!E355,"*Corporate*")</f>
        <v>0</v>
      </c>
      <c r="I432" s="53">
        <f t="shared" si="7"/>
        <v>1</v>
      </c>
    </row>
    <row r="433" spans="2:9" hidden="1" x14ac:dyDescent="0.25">
      <c r="B433" s="48">
        <f>+'Metrics - Articles'!C430</f>
        <v>0</v>
      </c>
      <c r="C433">
        <f>COUNTIF('Metrics - Articles'!E356,"*Sports*")</f>
        <v>0</v>
      </c>
      <c r="D433">
        <f>COUNTIF('Metrics - Articles'!E356,"*Youth*")</f>
        <v>0</v>
      </c>
      <c r="E433">
        <f>COUNTIF('Metrics - Articles'!E356,"*Healthcare*")</f>
        <v>0</v>
      </c>
      <c r="F433">
        <f>COUNTIF('Metrics - Articles'!E356,"*Innovation")</f>
        <v>0</v>
      </c>
      <c r="G433">
        <f>COUNTIF('Metrics - Articles'!E356,"*Corporate*")</f>
        <v>1</v>
      </c>
      <c r="I433" s="53">
        <f t="shared" si="7"/>
        <v>1</v>
      </c>
    </row>
    <row r="434" spans="2:9" hidden="1" x14ac:dyDescent="0.25">
      <c r="B434" s="48">
        <f>+'Metrics - Articles'!C431</f>
        <v>0</v>
      </c>
      <c r="C434">
        <f>COUNTIF('Metrics - Articles'!E357,"*Sports*")</f>
        <v>0</v>
      </c>
      <c r="D434">
        <f>COUNTIF('Metrics - Articles'!E357,"*Youth*")</f>
        <v>1</v>
      </c>
      <c r="E434">
        <f>COUNTIF('Metrics - Articles'!E357,"*Healthcare*")</f>
        <v>0</v>
      </c>
      <c r="F434">
        <f>COUNTIF('Metrics - Articles'!E357,"*Innovation")</f>
        <v>1</v>
      </c>
      <c r="G434">
        <f>COUNTIF('Metrics - Articles'!E357,"*Corporate*")</f>
        <v>1</v>
      </c>
      <c r="I434" s="53">
        <f t="shared" si="7"/>
        <v>3</v>
      </c>
    </row>
    <row r="435" spans="2:9" hidden="1" x14ac:dyDescent="0.25">
      <c r="B435" s="48">
        <f>+'Metrics - Articles'!C432</f>
        <v>0</v>
      </c>
      <c r="C435" t="e">
        <f>COUNTIF('Metrics - Articles'!#REF!,"*Sports*")</f>
        <v>#REF!</v>
      </c>
      <c r="D435" t="e">
        <f>COUNTIF('Metrics - Articles'!#REF!,"*Youth*")</f>
        <v>#REF!</v>
      </c>
      <c r="E435" t="e">
        <f>COUNTIF('Metrics - Articles'!#REF!,"*Healthcare*")</f>
        <v>#REF!</v>
      </c>
      <c r="F435" t="e">
        <f>COUNTIF('Metrics - Articles'!#REF!,"*Innovation")</f>
        <v>#REF!</v>
      </c>
      <c r="G435" t="e">
        <f>COUNTIF('Metrics - Articles'!#REF!,"*Corporate*")</f>
        <v>#REF!</v>
      </c>
      <c r="I435" s="53" t="e">
        <f t="shared" si="7"/>
        <v>#REF!</v>
      </c>
    </row>
    <row r="436" spans="2:9" hidden="1" x14ac:dyDescent="0.25">
      <c r="B436" s="48">
        <f>+'Metrics - Articles'!C433</f>
        <v>0</v>
      </c>
      <c r="C436" t="e">
        <f>COUNTIF('Metrics - Articles'!#REF!,"*Sports*")</f>
        <v>#REF!</v>
      </c>
      <c r="D436" t="e">
        <f>COUNTIF('Metrics - Articles'!#REF!,"*Youth*")</f>
        <v>#REF!</v>
      </c>
      <c r="E436" t="e">
        <f>COUNTIF('Metrics - Articles'!#REF!,"*Healthcare*")</f>
        <v>#REF!</v>
      </c>
      <c r="F436" t="e">
        <f>COUNTIF('Metrics - Articles'!#REF!,"*Innovation")</f>
        <v>#REF!</v>
      </c>
      <c r="G436" t="e">
        <f>COUNTIF('Metrics - Articles'!#REF!,"*Corporate*")</f>
        <v>#REF!</v>
      </c>
      <c r="I436" s="53" t="e">
        <f t="shared" si="7"/>
        <v>#REF!</v>
      </c>
    </row>
    <row r="437" spans="2:9" hidden="1" x14ac:dyDescent="0.25">
      <c r="B437" s="48">
        <f>+'Metrics - Articles'!C434</f>
        <v>0</v>
      </c>
      <c r="C437">
        <f>COUNTIF('Metrics - Articles'!E359,"*Sports*")</f>
        <v>0</v>
      </c>
      <c r="D437">
        <f>COUNTIF('Metrics - Articles'!E359,"*Youth*")</f>
        <v>0</v>
      </c>
      <c r="E437">
        <f>COUNTIF('Metrics - Articles'!E359,"*Healthcare*")</f>
        <v>0</v>
      </c>
      <c r="F437">
        <f>COUNTIF('Metrics - Articles'!E359,"*Innovation")</f>
        <v>1</v>
      </c>
      <c r="G437">
        <f>COUNTIF('Metrics - Articles'!E359,"*Corporate*")</f>
        <v>0</v>
      </c>
      <c r="I437" s="53">
        <f t="shared" si="7"/>
        <v>1</v>
      </c>
    </row>
    <row r="438" spans="2:9" hidden="1" x14ac:dyDescent="0.25">
      <c r="B438" s="48">
        <f>+'Metrics - Articles'!C435</f>
        <v>0</v>
      </c>
      <c r="C438">
        <f>COUNTIF('Metrics - Articles'!E360,"*Sports*")</f>
        <v>0</v>
      </c>
      <c r="D438">
        <f>COUNTIF('Metrics - Articles'!E360,"*Youth*")</f>
        <v>0</v>
      </c>
      <c r="E438">
        <f>COUNTIF('Metrics - Articles'!E360,"*Healthcare*")</f>
        <v>0</v>
      </c>
      <c r="F438">
        <f>COUNTIF('Metrics - Articles'!E360,"*Innovation")</f>
        <v>0</v>
      </c>
      <c r="G438">
        <f>COUNTIF('Metrics - Articles'!E360,"*Corporate*")</f>
        <v>0</v>
      </c>
      <c r="I438" s="53">
        <f t="shared" si="7"/>
        <v>0</v>
      </c>
    </row>
    <row r="439" spans="2:9" hidden="1" x14ac:dyDescent="0.25">
      <c r="B439" s="48">
        <f>+'Metrics - Articles'!C436</f>
        <v>0</v>
      </c>
      <c r="C439">
        <f>COUNTIF('Metrics - Articles'!E361,"*Sports*")</f>
        <v>0</v>
      </c>
      <c r="D439">
        <f>COUNTIF('Metrics - Articles'!E361,"*Youth*")</f>
        <v>0</v>
      </c>
      <c r="E439">
        <f>COUNTIF('Metrics - Articles'!E361,"*Healthcare*")</f>
        <v>0</v>
      </c>
      <c r="F439">
        <f>COUNTIF('Metrics - Articles'!E361,"*Innovation")</f>
        <v>0</v>
      </c>
      <c r="G439">
        <f>COUNTIF('Metrics - Articles'!E361,"*Corporate*")</f>
        <v>0</v>
      </c>
      <c r="I439" s="53">
        <f t="shared" si="7"/>
        <v>0</v>
      </c>
    </row>
    <row r="440" spans="2:9" hidden="1" x14ac:dyDescent="0.25">
      <c r="B440" s="48">
        <f>+'Metrics - Articles'!C437</f>
        <v>0</v>
      </c>
      <c r="C440">
        <f>COUNTIF('Metrics - Articles'!E362,"*Sports*")</f>
        <v>0</v>
      </c>
      <c r="D440">
        <f>COUNTIF('Metrics - Articles'!E362,"*Youth*")</f>
        <v>0</v>
      </c>
      <c r="E440">
        <f>COUNTIF('Metrics - Articles'!E362,"*Healthcare*")</f>
        <v>0</v>
      </c>
      <c r="F440">
        <f>COUNTIF('Metrics - Articles'!E362,"*Innovation")</f>
        <v>0</v>
      </c>
      <c r="G440">
        <f>COUNTIF('Metrics - Articles'!E362,"*Corporate*")</f>
        <v>0</v>
      </c>
      <c r="I440" s="53">
        <f t="shared" si="7"/>
        <v>0</v>
      </c>
    </row>
    <row r="441" spans="2:9" hidden="1" x14ac:dyDescent="0.25">
      <c r="B441" s="48">
        <f>+'Metrics - Articles'!C438</f>
        <v>0</v>
      </c>
      <c r="C441">
        <f>COUNTIF('Metrics - Articles'!E363,"*Sports*")</f>
        <v>0</v>
      </c>
      <c r="D441">
        <f>COUNTIF('Metrics - Articles'!E363,"*Youth*")</f>
        <v>0</v>
      </c>
      <c r="E441">
        <f>COUNTIF('Metrics - Articles'!E363,"*Healthcare*")</f>
        <v>0</v>
      </c>
      <c r="F441">
        <f>COUNTIF('Metrics - Articles'!E363,"*Innovation")</f>
        <v>0</v>
      </c>
      <c r="G441">
        <f>COUNTIF('Metrics - Articles'!E363,"*Corporate*")</f>
        <v>0</v>
      </c>
      <c r="I441" s="53">
        <f t="shared" si="7"/>
        <v>0</v>
      </c>
    </row>
    <row r="442" spans="2:9" hidden="1" x14ac:dyDescent="0.25">
      <c r="B442" s="48">
        <f>+'Metrics - Articles'!C439</f>
        <v>0</v>
      </c>
      <c r="C442">
        <f>COUNTIF('Metrics - Articles'!E364,"*Sports*")</f>
        <v>0</v>
      </c>
      <c r="D442">
        <f>COUNTIF('Metrics - Articles'!E364,"*Youth*")</f>
        <v>0</v>
      </c>
      <c r="E442">
        <f>COUNTIF('Metrics - Articles'!E364,"*Healthcare*")</f>
        <v>0</v>
      </c>
      <c r="F442">
        <f>COUNTIF('Metrics - Articles'!E364,"*Innovation")</f>
        <v>0</v>
      </c>
      <c r="G442">
        <f>COUNTIF('Metrics - Articles'!E364,"*Corporate*")</f>
        <v>0</v>
      </c>
      <c r="I442" s="53">
        <f t="shared" si="7"/>
        <v>0</v>
      </c>
    </row>
    <row r="443" spans="2:9" hidden="1" x14ac:dyDescent="0.25">
      <c r="B443" s="48">
        <f>+'Metrics - Articles'!C440</f>
        <v>0</v>
      </c>
      <c r="C443">
        <f>COUNTIF('Metrics - Articles'!E365,"*Sports*")</f>
        <v>0</v>
      </c>
      <c r="D443">
        <f>COUNTIF('Metrics - Articles'!E365,"*Youth*")</f>
        <v>0</v>
      </c>
      <c r="E443">
        <f>COUNTIF('Metrics - Articles'!E365,"*Healthcare*")</f>
        <v>0</v>
      </c>
      <c r="F443">
        <f>COUNTIF('Metrics - Articles'!E365,"*Innovation")</f>
        <v>0</v>
      </c>
      <c r="G443">
        <f>COUNTIF('Metrics - Articles'!E365,"*Corporate*")</f>
        <v>0</v>
      </c>
      <c r="I443" s="53">
        <f t="shared" si="7"/>
        <v>0</v>
      </c>
    </row>
    <row r="444" spans="2:9" hidden="1" x14ac:dyDescent="0.25">
      <c r="B444" s="48">
        <f>+'Metrics - Articles'!C441</f>
        <v>0</v>
      </c>
      <c r="C444">
        <f>COUNTIF('Metrics - Articles'!E366,"*Sports*")</f>
        <v>0</v>
      </c>
      <c r="D444">
        <f>COUNTIF('Metrics - Articles'!E366,"*Youth*")</f>
        <v>0</v>
      </c>
      <c r="E444">
        <f>COUNTIF('Metrics - Articles'!E366,"*Healthcare*")</f>
        <v>0</v>
      </c>
      <c r="F444">
        <f>COUNTIF('Metrics - Articles'!E366,"*Innovation")</f>
        <v>0</v>
      </c>
      <c r="G444">
        <f>COUNTIF('Metrics - Articles'!E366,"*Corporate*")</f>
        <v>0</v>
      </c>
      <c r="I444" s="53">
        <f t="shared" si="7"/>
        <v>0</v>
      </c>
    </row>
    <row r="445" spans="2:9" hidden="1" x14ac:dyDescent="0.25">
      <c r="B445" s="48">
        <f>+'Metrics - Articles'!C442</f>
        <v>0</v>
      </c>
      <c r="C445">
        <f>COUNTIF('Metrics - Articles'!E367,"*Sports*")</f>
        <v>0</v>
      </c>
      <c r="D445">
        <f>COUNTIF('Metrics - Articles'!E367,"*Youth*")</f>
        <v>0</v>
      </c>
      <c r="E445">
        <f>COUNTIF('Metrics - Articles'!E367,"*Healthcare*")</f>
        <v>0</v>
      </c>
      <c r="F445">
        <f>COUNTIF('Metrics - Articles'!E367,"*Innovation")</f>
        <v>0</v>
      </c>
      <c r="G445">
        <f>COUNTIF('Metrics - Articles'!E367,"*Corporate*")</f>
        <v>0</v>
      </c>
      <c r="I445" s="53">
        <f t="shared" si="7"/>
        <v>0</v>
      </c>
    </row>
    <row r="446" spans="2:9" hidden="1" x14ac:dyDescent="0.25">
      <c r="B446" s="48">
        <f>+'Metrics - Articles'!C443</f>
        <v>0</v>
      </c>
      <c r="C446">
        <f>COUNTIF('Metrics - Articles'!E368,"*Sports*")</f>
        <v>0</v>
      </c>
      <c r="D446">
        <f>COUNTIF('Metrics - Articles'!E368,"*Youth*")</f>
        <v>0</v>
      </c>
      <c r="E446">
        <f>COUNTIF('Metrics - Articles'!E368,"*Healthcare*")</f>
        <v>0</v>
      </c>
      <c r="F446">
        <f>COUNTIF('Metrics - Articles'!E368,"*Innovation")</f>
        <v>0</v>
      </c>
      <c r="G446">
        <f>COUNTIF('Metrics - Articles'!E368,"*Corporate*")</f>
        <v>0</v>
      </c>
      <c r="I446" s="53">
        <f t="shared" si="7"/>
        <v>0</v>
      </c>
    </row>
    <row r="447" spans="2:9" hidden="1" x14ac:dyDescent="0.25">
      <c r="B447" s="48">
        <f>+'Metrics - Articles'!C444</f>
        <v>0</v>
      </c>
      <c r="C447">
        <f>COUNTIF('Metrics - Articles'!E369,"*Sports*")</f>
        <v>0</v>
      </c>
      <c r="D447">
        <f>COUNTIF('Metrics - Articles'!E369,"*Youth*")</f>
        <v>0</v>
      </c>
      <c r="E447">
        <f>COUNTIF('Metrics - Articles'!E369,"*Healthcare*")</f>
        <v>0</v>
      </c>
      <c r="F447">
        <f>COUNTIF('Metrics - Articles'!E369,"*Innovation")</f>
        <v>0</v>
      </c>
      <c r="G447">
        <f>COUNTIF('Metrics - Articles'!E369,"*Corporate*")</f>
        <v>0</v>
      </c>
      <c r="I447" s="53">
        <f t="shared" si="7"/>
        <v>0</v>
      </c>
    </row>
    <row r="448" spans="2:9" hidden="1" x14ac:dyDescent="0.25">
      <c r="B448" s="48">
        <f>+'Metrics - Articles'!C445</f>
        <v>0</v>
      </c>
      <c r="C448">
        <f>COUNTIF('Metrics - Articles'!E370,"*Sports*")</f>
        <v>0</v>
      </c>
      <c r="D448">
        <f>COUNTIF('Metrics - Articles'!E370,"*Youth*")</f>
        <v>0</v>
      </c>
      <c r="E448">
        <f>COUNTIF('Metrics - Articles'!E370,"*Healthcare*")</f>
        <v>0</v>
      </c>
      <c r="F448">
        <f>COUNTIF('Metrics - Articles'!E370,"*Innovation")</f>
        <v>0</v>
      </c>
      <c r="G448">
        <f>COUNTIF('Metrics - Articles'!E370,"*Corporate*")</f>
        <v>0</v>
      </c>
      <c r="I448" s="53">
        <f t="shared" si="7"/>
        <v>0</v>
      </c>
    </row>
    <row r="449" spans="2:9" hidden="1" x14ac:dyDescent="0.25">
      <c r="B449" s="48">
        <f>+'Metrics - Articles'!C446</f>
        <v>0</v>
      </c>
      <c r="C449">
        <f>COUNTIF('Metrics - Articles'!E371,"*Sports*")</f>
        <v>0</v>
      </c>
      <c r="D449">
        <f>COUNTIF('Metrics - Articles'!E371,"*Youth*")</f>
        <v>0</v>
      </c>
      <c r="E449">
        <f>COUNTIF('Metrics - Articles'!E371,"*Healthcare*")</f>
        <v>0</v>
      </c>
      <c r="F449">
        <f>COUNTIF('Metrics - Articles'!E371,"*Innovation")</f>
        <v>0</v>
      </c>
      <c r="G449">
        <f>COUNTIF('Metrics - Articles'!E371,"*Corporate*")</f>
        <v>0</v>
      </c>
      <c r="I449" s="53">
        <f t="shared" si="7"/>
        <v>0</v>
      </c>
    </row>
    <row r="450" spans="2:9" hidden="1" x14ac:dyDescent="0.25">
      <c r="B450" s="48">
        <f>+'Metrics - Articles'!C447</f>
        <v>0</v>
      </c>
      <c r="C450">
        <f>COUNTIF('Metrics - Articles'!E372,"*Sports*")</f>
        <v>0</v>
      </c>
      <c r="D450">
        <f>COUNTIF('Metrics - Articles'!E372,"*Youth*")</f>
        <v>0</v>
      </c>
      <c r="E450">
        <f>COUNTIF('Metrics - Articles'!E372,"*Healthcare*")</f>
        <v>0</v>
      </c>
      <c r="F450">
        <f>COUNTIF('Metrics - Articles'!E372,"*Innovation")</f>
        <v>0</v>
      </c>
      <c r="G450">
        <f>COUNTIF('Metrics - Articles'!E372,"*Corporate*")</f>
        <v>0</v>
      </c>
      <c r="I450" s="53">
        <f t="shared" si="7"/>
        <v>0</v>
      </c>
    </row>
    <row r="451" spans="2:9" hidden="1" x14ac:dyDescent="0.25">
      <c r="B451" s="48">
        <f>+'Metrics - Articles'!C448</f>
        <v>0</v>
      </c>
      <c r="C451">
        <f>COUNTIF('Metrics - Articles'!E373,"*Sports*")</f>
        <v>0</v>
      </c>
      <c r="D451">
        <f>COUNTIF('Metrics - Articles'!E373,"*Youth*")</f>
        <v>0</v>
      </c>
      <c r="E451">
        <f>COUNTIF('Metrics - Articles'!E373,"*Healthcare*")</f>
        <v>0</v>
      </c>
      <c r="F451">
        <f>COUNTIF('Metrics - Articles'!E373,"*Innovation")</f>
        <v>0</v>
      </c>
      <c r="G451">
        <f>COUNTIF('Metrics - Articles'!E373,"*Corporate*")</f>
        <v>0</v>
      </c>
      <c r="I451" s="53">
        <f t="shared" si="7"/>
        <v>0</v>
      </c>
    </row>
    <row r="452" spans="2:9" hidden="1" x14ac:dyDescent="0.25">
      <c r="B452" s="48">
        <f>+'Metrics - Articles'!C449</f>
        <v>0</v>
      </c>
      <c r="C452">
        <f>COUNTIF('Metrics - Articles'!E374,"*Sports*")</f>
        <v>0</v>
      </c>
      <c r="D452">
        <f>COUNTIF('Metrics - Articles'!E374,"*Youth*")</f>
        <v>0</v>
      </c>
      <c r="E452">
        <f>COUNTIF('Metrics - Articles'!E374,"*Healthcare*")</f>
        <v>0</v>
      </c>
      <c r="F452">
        <f>COUNTIF('Metrics - Articles'!E374,"*Innovation")</f>
        <v>0</v>
      </c>
      <c r="G452">
        <f>COUNTIF('Metrics - Articles'!E374,"*Corporate*")</f>
        <v>0</v>
      </c>
      <c r="I452" s="53">
        <f t="shared" si="7"/>
        <v>0</v>
      </c>
    </row>
    <row r="453" spans="2:9" hidden="1" x14ac:dyDescent="0.25">
      <c r="B453" s="48">
        <f>+'Metrics - Articles'!C450</f>
        <v>0</v>
      </c>
      <c r="C453">
        <f>COUNTIF('Metrics - Articles'!E375,"*Sports*")</f>
        <v>0</v>
      </c>
      <c r="D453">
        <f>COUNTIF('Metrics - Articles'!E375,"*Youth*")</f>
        <v>0</v>
      </c>
      <c r="E453">
        <f>COUNTIF('Metrics - Articles'!E375,"*Healthcare*")</f>
        <v>0</v>
      </c>
      <c r="F453">
        <f>COUNTIF('Metrics - Articles'!E375,"*Innovation")</f>
        <v>0</v>
      </c>
      <c r="G453">
        <f>COUNTIF('Metrics - Articles'!E375,"*Corporate*")</f>
        <v>0</v>
      </c>
      <c r="I453" s="53">
        <f t="shared" si="7"/>
        <v>0</v>
      </c>
    </row>
    <row r="454" spans="2:9" hidden="1" x14ac:dyDescent="0.25">
      <c r="B454" s="48">
        <f>+'Metrics - Articles'!C451</f>
        <v>0</v>
      </c>
      <c r="C454">
        <f>COUNTIF('Metrics - Articles'!E376,"*Sports*")</f>
        <v>0</v>
      </c>
      <c r="D454">
        <f>COUNTIF('Metrics - Articles'!E376,"*Youth*")</f>
        <v>0</v>
      </c>
      <c r="E454">
        <f>COUNTIF('Metrics - Articles'!E376,"*Healthcare*")</f>
        <v>0</v>
      </c>
      <c r="F454">
        <f>COUNTIF('Metrics - Articles'!E376,"*Innovation")</f>
        <v>0</v>
      </c>
      <c r="G454">
        <f>COUNTIF('Metrics - Articles'!E376,"*Corporate*")</f>
        <v>0</v>
      </c>
      <c r="I454" s="53">
        <f t="shared" si="7"/>
        <v>0</v>
      </c>
    </row>
    <row r="455" spans="2:9" hidden="1" x14ac:dyDescent="0.25">
      <c r="B455" s="48">
        <f>+'Metrics - Articles'!C452</f>
        <v>0</v>
      </c>
      <c r="C455">
        <f>COUNTIF('Metrics - Articles'!E377,"*Sports*")</f>
        <v>0</v>
      </c>
      <c r="D455">
        <f>COUNTIF('Metrics - Articles'!E377,"*Youth*")</f>
        <v>0</v>
      </c>
      <c r="E455">
        <f>COUNTIF('Metrics - Articles'!E377,"*Healthcare*")</f>
        <v>0</v>
      </c>
      <c r="F455">
        <f>COUNTIF('Metrics - Articles'!E377,"*Innovation")</f>
        <v>0</v>
      </c>
      <c r="G455">
        <f>COUNTIF('Metrics - Articles'!E377,"*Corporate*")</f>
        <v>0</v>
      </c>
      <c r="I455" s="53">
        <f t="shared" si="7"/>
        <v>0</v>
      </c>
    </row>
    <row r="456" spans="2:9" hidden="1" x14ac:dyDescent="0.25">
      <c r="B456" s="48">
        <f>+'Metrics - Articles'!C453</f>
        <v>0</v>
      </c>
      <c r="C456">
        <f>COUNTIF('Metrics - Articles'!E378,"*Sports*")</f>
        <v>0</v>
      </c>
      <c r="D456">
        <f>COUNTIF('Metrics - Articles'!E378,"*Youth*")</f>
        <v>0</v>
      </c>
      <c r="E456">
        <f>COUNTIF('Metrics - Articles'!E378,"*Healthcare*")</f>
        <v>0</v>
      </c>
      <c r="F456">
        <f>COUNTIF('Metrics - Articles'!E378,"*Innovation")</f>
        <v>0</v>
      </c>
      <c r="G456">
        <f>COUNTIF('Metrics - Articles'!E378,"*Corporate*")</f>
        <v>0</v>
      </c>
      <c r="I456" s="53">
        <f t="shared" ref="I456:I519" si="8">SUM(C456:H456)</f>
        <v>0</v>
      </c>
    </row>
    <row r="457" spans="2:9" hidden="1" x14ac:dyDescent="0.25">
      <c r="B457" s="48">
        <f>+'Metrics - Articles'!C454</f>
        <v>0</v>
      </c>
      <c r="C457">
        <f>COUNTIF('Metrics - Articles'!E379,"*Sports*")</f>
        <v>0</v>
      </c>
      <c r="D457">
        <f>COUNTIF('Metrics - Articles'!E379,"*Youth*")</f>
        <v>0</v>
      </c>
      <c r="E457">
        <f>COUNTIF('Metrics - Articles'!E379,"*Healthcare*")</f>
        <v>0</v>
      </c>
      <c r="F457">
        <f>COUNTIF('Metrics - Articles'!E379,"*Innovation")</f>
        <v>0</v>
      </c>
      <c r="G457">
        <f>COUNTIF('Metrics - Articles'!E379,"*Corporate*")</f>
        <v>0</v>
      </c>
      <c r="I457" s="53">
        <f t="shared" si="8"/>
        <v>0</v>
      </c>
    </row>
    <row r="458" spans="2:9" hidden="1" x14ac:dyDescent="0.25">
      <c r="B458" s="48">
        <f>+'Metrics - Articles'!C455</f>
        <v>0</v>
      </c>
      <c r="C458">
        <f>COUNTIF('Metrics - Articles'!E380,"*Sports*")</f>
        <v>0</v>
      </c>
      <c r="D458">
        <f>COUNTIF('Metrics - Articles'!E380,"*Youth*")</f>
        <v>0</v>
      </c>
      <c r="E458">
        <f>COUNTIF('Metrics - Articles'!E380,"*Healthcare*")</f>
        <v>0</v>
      </c>
      <c r="F458">
        <f>COUNTIF('Metrics - Articles'!E380,"*Innovation")</f>
        <v>0</v>
      </c>
      <c r="G458">
        <f>COUNTIF('Metrics - Articles'!E380,"*Corporate*")</f>
        <v>0</v>
      </c>
      <c r="I458" s="53">
        <f t="shared" si="8"/>
        <v>0</v>
      </c>
    </row>
    <row r="459" spans="2:9" hidden="1" x14ac:dyDescent="0.25">
      <c r="B459" s="48">
        <f>+'Metrics - Articles'!C456</f>
        <v>0</v>
      </c>
      <c r="C459">
        <f>COUNTIF('Metrics - Articles'!E381,"*Sports*")</f>
        <v>0</v>
      </c>
      <c r="D459">
        <f>COUNTIF('Metrics - Articles'!E381,"*Youth*")</f>
        <v>0</v>
      </c>
      <c r="E459">
        <f>COUNTIF('Metrics - Articles'!E381,"*Healthcare*")</f>
        <v>0</v>
      </c>
      <c r="F459">
        <f>COUNTIF('Metrics - Articles'!E381,"*Innovation")</f>
        <v>0</v>
      </c>
      <c r="G459">
        <f>COUNTIF('Metrics - Articles'!E381,"*Corporate*")</f>
        <v>0</v>
      </c>
      <c r="I459" s="53">
        <f t="shared" si="8"/>
        <v>0</v>
      </c>
    </row>
    <row r="460" spans="2:9" hidden="1" x14ac:dyDescent="0.25">
      <c r="B460" s="48">
        <f>+'Metrics - Articles'!C457</f>
        <v>0</v>
      </c>
      <c r="C460">
        <f>COUNTIF('Metrics - Articles'!E382,"*Sports*")</f>
        <v>0</v>
      </c>
      <c r="D460">
        <f>COUNTIF('Metrics - Articles'!E382,"*Youth*")</f>
        <v>0</v>
      </c>
      <c r="E460">
        <f>COUNTIF('Metrics - Articles'!E382,"*Healthcare*")</f>
        <v>0</v>
      </c>
      <c r="F460">
        <f>COUNTIF('Metrics - Articles'!E382,"*Innovation")</f>
        <v>0</v>
      </c>
      <c r="G460">
        <f>COUNTIF('Metrics - Articles'!E382,"*Corporate*")</f>
        <v>0</v>
      </c>
      <c r="I460" s="53">
        <f t="shared" si="8"/>
        <v>0</v>
      </c>
    </row>
    <row r="461" spans="2:9" hidden="1" x14ac:dyDescent="0.25">
      <c r="B461" s="48">
        <f>+'Metrics - Articles'!C458</f>
        <v>0</v>
      </c>
      <c r="C461">
        <f>COUNTIF('Metrics - Articles'!E383,"*Sports*")</f>
        <v>0</v>
      </c>
      <c r="D461">
        <f>COUNTIF('Metrics - Articles'!E383,"*Youth*")</f>
        <v>0</v>
      </c>
      <c r="E461">
        <f>COUNTIF('Metrics - Articles'!E383,"*Healthcare*")</f>
        <v>0</v>
      </c>
      <c r="F461">
        <f>COUNTIF('Metrics - Articles'!E383,"*Innovation")</f>
        <v>0</v>
      </c>
      <c r="G461">
        <f>COUNTIF('Metrics - Articles'!E383,"*Corporate*")</f>
        <v>0</v>
      </c>
      <c r="I461" s="53">
        <f t="shared" si="8"/>
        <v>0</v>
      </c>
    </row>
    <row r="462" spans="2:9" hidden="1" x14ac:dyDescent="0.25">
      <c r="B462" s="48">
        <f>+'Metrics - Articles'!C459</f>
        <v>0</v>
      </c>
      <c r="C462">
        <f>COUNTIF('Metrics - Articles'!E384,"*Sports*")</f>
        <v>0</v>
      </c>
      <c r="D462">
        <f>COUNTIF('Metrics - Articles'!E384,"*Youth*")</f>
        <v>0</v>
      </c>
      <c r="E462">
        <f>COUNTIF('Metrics - Articles'!E384,"*Healthcare*")</f>
        <v>0</v>
      </c>
      <c r="F462">
        <f>COUNTIF('Metrics - Articles'!E384,"*Innovation")</f>
        <v>0</v>
      </c>
      <c r="G462">
        <f>COUNTIF('Metrics - Articles'!E384,"*Corporate*")</f>
        <v>0</v>
      </c>
      <c r="I462" s="53">
        <f t="shared" si="8"/>
        <v>0</v>
      </c>
    </row>
    <row r="463" spans="2:9" hidden="1" x14ac:dyDescent="0.25">
      <c r="B463" s="48">
        <f>+'Metrics - Articles'!C460</f>
        <v>0</v>
      </c>
      <c r="C463">
        <f>COUNTIF('Metrics - Articles'!E385,"*Sports*")</f>
        <v>0</v>
      </c>
      <c r="D463">
        <f>COUNTIF('Metrics - Articles'!E385,"*Youth*")</f>
        <v>0</v>
      </c>
      <c r="E463">
        <f>COUNTIF('Metrics - Articles'!E385,"*Healthcare*")</f>
        <v>0</v>
      </c>
      <c r="F463">
        <f>COUNTIF('Metrics - Articles'!E385,"*Innovation")</f>
        <v>0</v>
      </c>
      <c r="G463">
        <f>COUNTIF('Metrics - Articles'!E385,"*Corporate*")</f>
        <v>0</v>
      </c>
      <c r="I463" s="53">
        <f t="shared" si="8"/>
        <v>0</v>
      </c>
    </row>
    <row r="464" spans="2:9" hidden="1" x14ac:dyDescent="0.25">
      <c r="B464" s="48">
        <f>+'Metrics - Articles'!C461</f>
        <v>0</v>
      </c>
      <c r="C464">
        <f>COUNTIF('Metrics - Articles'!E386,"*Sports*")</f>
        <v>0</v>
      </c>
      <c r="D464">
        <f>COUNTIF('Metrics - Articles'!E386,"*Youth*")</f>
        <v>0</v>
      </c>
      <c r="E464">
        <f>COUNTIF('Metrics - Articles'!E386,"*Healthcare*")</f>
        <v>0</v>
      </c>
      <c r="F464">
        <f>COUNTIF('Metrics - Articles'!E386,"*Innovation")</f>
        <v>0</v>
      </c>
      <c r="G464">
        <f>COUNTIF('Metrics - Articles'!E386,"*Corporate*")</f>
        <v>0</v>
      </c>
      <c r="I464" s="53">
        <f t="shared" si="8"/>
        <v>0</v>
      </c>
    </row>
    <row r="465" spans="2:9" hidden="1" x14ac:dyDescent="0.25">
      <c r="B465" s="48">
        <f>+'Metrics - Articles'!C462</f>
        <v>0</v>
      </c>
      <c r="C465">
        <f>COUNTIF('Metrics - Articles'!E387,"*Sports*")</f>
        <v>0</v>
      </c>
      <c r="D465">
        <f>COUNTIF('Metrics - Articles'!E387,"*Youth*")</f>
        <v>0</v>
      </c>
      <c r="E465">
        <f>COUNTIF('Metrics - Articles'!E387,"*Healthcare*")</f>
        <v>0</v>
      </c>
      <c r="F465">
        <f>COUNTIF('Metrics - Articles'!E387,"*Innovation")</f>
        <v>0</v>
      </c>
      <c r="G465">
        <f>COUNTIF('Metrics - Articles'!E387,"*Corporate*")</f>
        <v>0</v>
      </c>
      <c r="I465" s="53">
        <f t="shared" si="8"/>
        <v>0</v>
      </c>
    </row>
    <row r="466" spans="2:9" hidden="1" x14ac:dyDescent="0.25">
      <c r="B466" s="48">
        <f>+'Metrics - Articles'!C463</f>
        <v>0</v>
      </c>
      <c r="C466">
        <f>COUNTIF('Metrics - Articles'!E388,"*Sports*")</f>
        <v>0</v>
      </c>
      <c r="D466">
        <f>COUNTIF('Metrics - Articles'!E388,"*Youth*")</f>
        <v>0</v>
      </c>
      <c r="E466">
        <f>COUNTIF('Metrics - Articles'!E388,"*Healthcare*")</f>
        <v>0</v>
      </c>
      <c r="F466">
        <f>COUNTIF('Metrics - Articles'!E388,"*Innovation")</f>
        <v>0</v>
      </c>
      <c r="G466">
        <f>COUNTIF('Metrics - Articles'!E388,"*Corporate*")</f>
        <v>0</v>
      </c>
      <c r="I466" s="53">
        <f t="shared" si="8"/>
        <v>0</v>
      </c>
    </row>
    <row r="467" spans="2:9" hidden="1" x14ac:dyDescent="0.25">
      <c r="B467" s="48">
        <f>+'Metrics - Articles'!C464</f>
        <v>0</v>
      </c>
      <c r="C467">
        <f>COUNTIF('Metrics - Articles'!E389,"*Sports*")</f>
        <v>0</v>
      </c>
      <c r="D467">
        <f>COUNTIF('Metrics - Articles'!E389,"*Youth*")</f>
        <v>0</v>
      </c>
      <c r="E467">
        <f>COUNTIF('Metrics - Articles'!E389,"*Healthcare*")</f>
        <v>0</v>
      </c>
      <c r="F467">
        <f>COUNTIF('Metrics - Articles'!E389,"*Innovation")</f>
        <v>0</v>
      </c>
      <c r="G467">
        <f>COUNTIF('Metrics - Articles'!E389,"*Corporate*")</f>
        <v>0</v>
      </c>
      <c r="I467" s="53">
        <f t="shared" si="8"/>
        <v>0</v>
      </c>
    </row>
    <row r="468" spans="2:9" hidden="1" x14ac:dyDescent="0.25">
      <c r="B468" s="48">
        <f>+'Metrics - Articles'!C465</f>
        <v>0</v>
      </c>
      <c r="C468">
        <f>COUNTIF('Metrics - Articles'!E390,"*Sports*")</f>
        <v>0</v>
      </c>
      <c r="D468">
        <f>COUNTIF('Metrics - Articles'!E390,"*Youth*")</f>
        <v>0</v>
      </c>
      <c r="E468">
        <f>COUNTIF('Metrics - Articles'!E390,"*Healthcare*")</f>
        <v>0</v>
      </c>
      <c r="F468">
        <f>COUNTIF('Metrics - Articles'!E390,"*Innovation")</f>
        <v>0</v>
      </c>
      <c r="G468">
        <f>COUNTIF('Metrics - Articles'!E390,"*Corporate*")</f>
        <v>0</v>
      </c>
      <c r="I468" s="53">
        <f t="shared" si="8"/>
        <v>0</v>
      </c>
    </row>
    <row r="469" spans="2:9" hidden="1" x14ac:dyDescent="0.25">
      <c r="B469" s="48">
        <f>+'Metrics - Articles'!C466</f>
        <v>0</v>
      </c>
      <c r="C469">
        <f>COUNTIF('Metrics - Articles'!E391,"*Sports*")</f>
        <v>0</v>
      </c>
      <c r="D469">
        <f>COUNTIF('Metrics - Articles'!E391,"*Youth*")</f>
        <v>0</v>
      </c>
      <c r="E469">
        <f>COUNTIF('Metrics - Articles'!E391,"*Healthcare*")</f>
        <v>0</v>
      </c>
      <c r="F469">
        <f>COUNTIF('Metrics - Articles'!E391,"*Innovation")</f>
        <v>0</v>
      </c>
      <c r="G469">
        <f>COUNTIF('Metrics - Articles'!E391,"*Corporate*")</f>
        <v>0</v>
      </c>
      <c r="I469" s="53">
        <f t="shared" si="8"/>
        <v>0</v>
      </c>
    </row>
    <row r="470" spans="2:9" hidden="1" x14ac:dyDescent="0.25">
      <c r="B470" s="48">
        <f>+'Metrics - Articles'!C467</f>
        <v>0</v>
      </c>
      <c r="C470">
        <f>COUNTIF('Metrics - Articles'!E392,"*Sports*")</f>
        <v>0</v>
      </c>
      <c r="D470">
        <f>COUNTIF('Metrics - Articles'!E392,"*Youth*")</f>
        <v>0</v>
      </c>
      <c r="E470">
        <f>COUNTIF('Metrics - Articles'!E392,"*Healthcare*")</f>
        <v>0</v>
      </c>
      <c r="F470">
        <f>COUNTIF('Metrics - Articles'!E392,"*Innovation")</f>
        <v>0</v>
      </c>
      <c r="G470">
        <f>COUNTIF('Metrics - Articles'!E392,"*Corporate*")</f>
        <v>0</v>
      </c>
      <c r="I470" s="53">
        <f t="shared" si="8"/>
        <v>0</v>
      </c>
    </row>
    <row r="471" spans="2:9" hidden="1" x14ac:dyDescent="0.25">
      <c r="B471" s="48">
        <f>+'Metrics - Articles'!C468</f>
        <v>0</v>
      </c>
      <c r="C471">
        <f>COUNTIF('Metrics - Articles'!E393,"*Sports*")</f>
        <v>0</v>
      </c>
      <c r="D471">
        <f>COUNTIF('Metrics - Articles'!E393,"*Youth*")</f>
        <v>0</v>
      </c>
      <c r="E471">
        <f>COUNTIF('Metrics - Articles'!E393,"*Healthcare*")</f>
        <v>0</v>
      </c>
      <c r="F471">
        <f>COUNTIF('Metrics - Articles'!E393,"*Innovation")</f>
        <v>0</v>
      </c>
      <c r="G471">
        <f>COUNTIF('Metrics - Articles'!E393,"*Corporate*")</f>
        <v>0</v>
      </c>
      <c r="I471" s="53">
        <f t="shared" si="8"/>
        <v>0</v>
      </c>
    </row>
    <row r="472" spans="2:9" hidden="1" x14ac:dyDescent="0.25">
      <c r="B472" s="48">
        <f>+'Metrics - Articles'!C469</f>
        <v>0</v>
      </c>
      <c r="C472">
        <f>COUNTIF('Metrics - Articles'!E394,"*Sports*")</f>
        <v>0</v>
      </c>
      <c r="D472">
        <f>COUNTIF('Metrics - Articles'!E394,"*Youth*")</f>
        <v>0</v>
      </c>
      <c r="E472">
        <f>COUNTIF('Metrics - Articles'!E394,"*Healthcare*")</f>
        <v>0</v>
      </c>
      <c r="F472">
        <f>COUNTIF('Metrics - Articles'!E394,"*Innovation")</f>
        <v>0</v>
      </c>
      <c r="G472">
        <f>COUNTIF('Metrics - Articles'!E394,"*Corporate*")</f>
        <v>0</v>
      </c>
      <c r="I472" s="53">
        <f t="shared" si="8"/>
        <v>0</v>
      </c>
    </row>
    <row r="473" spans="2:9" hidden="1" x14ac:dyDescent="0.25">
      <c r="B473" s="48">
        <f>+'Metrics - Articles'!C470</f>
        <v>0</v>
      </c>
      <c r="C473">
        <f>COUNTIF('Metrics - Articles'!E395,"*Sports*")</f>
        <v>0</v>
      </c>
      <c r="D473">
        <f>COUNTIF('Metrics - Articles'!E395,"*Youth*")</f>
        <v>0</v>
      </c>
      <c r="E473">
        <f>COUNTIF('Metrics - Articles'!E395,"*Healthcare*")</f>
        <v>0</v>
      </c>
      <c r="F473">
        <f>COUNTIF('Metrics - Articles'!E395,"*Innovation")</f>
        <v>0</v>
      </c>
      <c r="G473">
        <f>COUNTIF('Metrics - Articles'!E395,"*Corporate*")</f>
        <v>0</v>
      </c>
      <c r="I473" s="53">
        <f t="shared" si="8"/>
        <v>0</v>
      </c>
    </row>
    <row r="474" spans="2:9" hidden="1" x14ac:dyDescent="0.25">
      <c r="B474" s="48">
        <f>+'Metrics - Articles'!C471</f>
        <v>0</v>
      </c>
      <c r="C474">
        <f>COUNTIF('Metrics - Articles'!E396,"*Sports*")</f>
        <v>0</v>
      </c>
      <c r="D474">
        <f>COUNTIF('Metrics - Articles'!E396,"*Youth*")</f>
        <v>0</v>
      </c>
      <c r="E474">
        <f>COUNTIF('Metrics - Articles'!E396,"*Healthcare*")</f>
        <v>0</v>
      </c>
      <c r="F474">
        <f>COUNTIF('Metrics - Articles'!E396,"*Innovation")</f>
        <v>0</v>
      </c>
      <c r="G474">
        <f>COUNTIF('Metrics - Articles'!E396,"*Corporate*")</f>
        <v>0</v>
      </c>
      <c r="I474" s="53">
        <f t="shared" si="8"/>
        <v>0</v>
      </c>
    </row>
    <row r="475" spans="2:9" hidden="1" x14ac:dyDescent="0.25">
      <c r="B475" s="48">
        <f>+'Metrics - Articles'!C472</f>
        <v>0</v>
      </c>
      <c r="C475">
        <f>COUNTIF('Metrics - Articles'!E397,"*Sports*")</f>
        <v>0</v>
      </c>
      <c r="D475">
        <f>COUNTIF('Metrics - Articles'!E397,"*Youth*")</f>
        <v>0</v>
      </c>
      <c r="E475">
        <f>COUNTIF('Metrics - Articles'!E397,"*Healthcare*")</f>
        <v>0</v>
      </c>
      <c r="F475">
        <f>COUNTIF('Metrics - Articles'!E397,"*Innovation")</f>
        <v>0</v>
      </c>
      <c r="G475">
        <f>COUNTIF('Metrics - Articles'!E397,"*Corporate*")</f>
        <v>0</v>
      </c>
      <c r="I475" s="53">
        <f t="shared" si="8"/>
        <v>0</v>
      </c>
    </row>
    <row r="476" spans="2:9" hidden="1" x14ac:dyDescent="0.25">
      <c r="B476" s="48">
        <f>+'Metrics - Articles'!C473</f>
        <v>0</v>
      </c>
      <c r="C476">
        <f>COUNTIF('Metrics - Articles'!E398,"*Sports*")</f>
        <v>0</v>
      </c>
      <c r="D476">
        <f>COUNTIF('Metrics - Articles'!E398,"*Youth*")</f>
        <v>0</v>
      </c>
      <c r="E476">
        <f>COUNTIF('Metrics - Articles'!E398,"*Healthcare*")</f>
        <v>0</v>
      </c>
      <c r="F476">
        <f>COUNTIF('Metrics - Articles'!E398,"*Innovation")</f>
        <v>0</v>
      </c>
      <c r="G476">
        <f>COUNTIF('Metrics - Articles'!E398,"*Corporate*")</f>
        <v>0</v>
      </c>
      <c r="I476" s="53">
        <f t="shared" si="8"/>
        <v>0</v>
      </c>
    </row>
    <row r="477" spans="2:9" hidden="1" x14ac:dyDescent="0.25">
      <c r="B477" s="48">
        <f>+'Metrics - Articles'!C474</f>
        <v>0</v>
      </c>
      <c r="C477">
        <f>COUNTIF('Metrics - Articles'!E399,"*Sports*")</f>
        <v>0</v>
      </c>
      <c r="D477">
        <f>COUNTIF('Metrics - Articles'!E399,"*Youth*")</f>
        <v>0</v>
      </c>
      <c r="E477">
        <f>COUNTIF('Metrics - Articles'!E399,"*Healthcare*")</f>
        <v>0</v>
      </c>
      <c r="F477">
        <f>COUNTIF('Metrics - Articles'!E399,"*Innovation")</f>
        <v>0</v>
      </c>
      <c r="G477">
        <f>COUNTIF('Metrics - Articles'!E399,"*Corporate*")</f>
        <v>0</v>
      </c>
      <c r="I477" s="53">
        <f t="shared" si="8"/>
        <v>0</v>
      </c>
    </row>
    <row r="478" spans="2:9" hidden="1" x14ac:dyDescent="0.25">
      <c r="B478" s="48">
        <f>+'Metrics - Articles'!C475</f>
        <v>0</v>
      </c>
      <c r="C478">
        <f>COUNTIF('Metrics - Articles'!E400,"*Sports*")</f>
        <v>0</v>
      </c>
      <c r="D478">
        <f>COUNTIF('Metrics - Articles'!E400,"*Youth*")</f>
        <v>0</v>
      </c>
      <c r="E478">
        <f>COUNTIF('Metrics - Articles'!E400,"*Healthcare*")</f>
        <v>0</v>
      </c>
      <c r="F478">
        <f>COUNTIF('Metrics - Articles'!E400,"*Innovation")</f>
        <v>0</v>
      </c>
      <c r="G478">
        <f>COUNTIF('Metrics - Articles'!E400,"*Corporate*")</f>
        <v>0</v>
      </c>
      <c r="I478" s="53">
        <f t="shared" si="8"/>
        <v>0</v>
      </c>
    </row>
    <row r="479" spans="2:9" hidden="1" x14ac:dyDescent="0.25">
      <c r="B479" s="48">
        <f>+'Metrics - Articles'!C476</f>
        <v>0</v>
      </c>
      <c r="C479">
        <f>COUNTIF('Metrics - Articles'!E401,"*Sports*")</f>
        <v>0</v>
      </c>
      <c r="D479">
        <f>COUNTIF('Metrics - Articles'!E401,"*Youth*")</f>
        <v>0</v>
      </c>
      <c r="E479">
        <f>COUNTIF('Metrics - Articles'!E401,"*Healthcare*")</f>
        <v>0</v>
      </c>
      <c r="F479">
        <f>COUNTIF('Metrics - Articles'!E401,"*Innovation")</f>
        <v>0</v>
      </c>
      <c r="G479">
        <f>COUNTIF('Metrics - Articles'!E401,"*Corporate*")</f>
        <v>0</v>
      </c>
      <c r="I479" s="53">
        <f t="shared" si="8"/>
        <v>0</v>
      </c>
    </row>
    <row r="480" spans="2:9" hidden="1" x14ac:dyDescent="0.25">
      <c r="B480" s="48">
        <f>+'Metrics - Articles'!C477</f>
        <v>0</v>
      </c>
      <c r="C480">
        <f>COUNTIF('Metrics - Articles'!E402,"*Sports*")</f>
        <v>0</v>
      </c>
      <c r="D480">
        <f>COUNTIF('Metrics - Articles'!E402,"*Youth*")</f>
        <v>0</v>
      </c>
      <c r="E480">
        <f>COUNTIF('Metrics - Articles'!E402,"*Healthcare*")</f>
        <v>0</v>
      </c>
      <c r="F480">
        <f>COUNTIF('Metrics - Articles'!E402,"*Innovation")</f>
        <v>0</v>
      </c>
      <c r="G480">
        <f>COUNTIF('Metrics - Articles'!E402,"*Corporate*")</f>
        <v>0</v>
      </c>
      <c r="I480" s="53">
        <f t="shared" si="8"/>
        <v>0</v>
      </c>
    </row>
    <row r="481" spans="2:9" hidden="1" x14ac:dyDescent="0.25">
      <c r="B481" s="48">
        <f>+'Metrics - Articles'!C478</f>
        <v>0</v>
      </c>
      <c r="C481">
        <f>COUNTIF('Metrics - Articles'!E403,"*Sports*")</f>
        <v>0</v>
      </c>
      <c r="D481">
        <f>COUNTIF('Metrics - Articles'!E403,"*Youth*")</f>
        <v>0</v>
      </c>
      <c r="E481">
        <f>COUNTIF('Metrics - Articles'!E403,"*Healthcare*")</f>
        <v>0</v>
      </c>
      <c r="F481">
        <f>COUNTIF('Metrics - Articles'!E403,"*Innovation")</f>
        <v>0</v>
      </c>
      <c r="G481">
        <f>COUNTIF('Metrics - Articles'!E403,"*Corporate*")</f>
        <v>0</v>
      </c>
      <c r="I481" s="53">
        <f t="shared" si="8"/>
        <v>0</v>
      </c>
    </row>
    <row r="482" spans="2:9" hidden="1" x14ac:dyDescent="0.25">
      <c r="B482" s="48">
        <f>+'Metrics - Articles'!C479</f>
        <v>0</v>
      </c>
      <c r="C482">
        <f>COUNTIF('Metrics - Articles'!E404,"*Sports*")</f>
        <v>0</v>
      </c>
      <c r="D482">
        <f>COUNTIF('Metrics - Articles'!E404,"*Youth*")</f>
        <v>0</v>
      </c>
      <c r="E482">
        <f>COUNTIF('Metrics - Articles'!E404,"*Healthcare*")</f>
        <v>0</v>
      </c>
      <c r="F482">
        <f>COUNTIF('Metrics - Articles'!E404,"*Innovation")</f>
        <v>0</v>
      </c>
      <c r="G482">
        <f>COUNTIF('Metrics - Articles'!E404,"*Corporate*")</f>
        <v>0</v>
      </c>
      <c r="I482" s="53">
        <f t="shared" si="8"/>
        <v>0</v>
      </c>
    </row>
    <row r="483" spans="2:9" hidden="1" x14ac:dyDescent="0.25">
      <c r="B483" s="48">
        <f>+'Metrics - Articles'!C480</f>
        <v>0</v>
      </c>
      <c r="C483">
        <f>COUNTIF('Metrics - Articles'!E405,"*Sports*")</f>
        <v>0</v>
      </c>
      <c r="D483">
        <f>COUNTIF('Metrics - Articles'!E405,"*Youth*")</f>
        <v>0</v>
      </c>
      <c r="E483">
        <f>COUNTIF('Metrics - Articles'!E405,"*Healthcare*")</f>
        <v>0</v>
      </c>
      <c r="F483">
        <f>COUNTIF('Metrics - Articles'!E405,"*Innovation")</f>
        <v>0</v>
      </c>
      <c r="G483">
        <f>COUNTIF('Metrics - Articles'!E405,"*Corporate*")</f>
        <v>0</v>
      </c>
      <c r="I483" s="53">
        <f t="shared" si="8"/>
        <v>0</v>
      </c>
    </row>
    <row r="484" spans="2:9" hidden="1" x14ac:dyDescent="0.25">
      <c r="B484" s="48">
        <f>+'Metrics - Articles'!C481</f>
        <v>0</v>
      </c>
      <c r="C484">
        <f>COUNTIF('Metrics - Articles'!E406,"*Sports*")</f>
        <v>0</v>
      </c>
      <c r="D484">
        <f>COUNTIF('Metrics - Articles'!E406,"*Youth*")</f>
        <v>0</v>
      </c>
      <c r="E484">
        <f>COUNTIF('Metrics - Articles'!E406,"*Healthcare*")</f>
        <v>0</v>
      </c>
      <c r="F484">
        <f>COUNTIF('Metrics - Articles'!E406,"*Innovation")</f>
        <v>0</v>
      </c>
      <c r="G484">
        <f>COUNTIF('Metrics - Articles'!E406,"*Corporate*")</f>
        <v>0</v>
      </c>
      <c r="I484" s="53">
        <f t="shared" si="8"/>
        <v>0</v>
      </c>
    </row>
    <row r="485" spans="2:9" hidden="1" x14ac:dyDescent="0.25">
      <c r="B485" s="48">
        <f>+'Metrics - Articles'!C482</f>
        <v>0</v>
      </c>
      <c r="C485">
        <f>COUNTIF('Metrics - Articles'!E407,"*Sports*")</f>
        <v>0</v>
      </c>
      <c r="D485">
        <f>COUNTIF('Metrics - Articles'!E407,"*Youth*")</f>
        <v>0</v>
      </c>
      <c r="E485">
        <f>COUNTIF('Metrics - Articles'!E407,"*Healthcare*")</f>
        <v>0</v>
      </c>
      <c r="F485">
        <f>COUNTIF('Metrics - Articles'!E407,"*Innovation")</f>
        <v>0</v>
      </c>
      <c r="G485">
        <f>COUNTIF('Metrics - Articles'!E407,"*Corporate*")</f>
        <v>0</v>
      </c>
      <c r="I485" s="53">
        <f t="shared" si="8"/>
        <v>0</v>
      </c>
    </row>
    <row r="486" spans="2:9" hidden="1" x14ac:dyDescent="0.25">
      <c r="B486" s="48">
        <f>+'Metrics - Articles'!C483</f>
        <v>0</v>
      </c>
      <c r="C486">
        <f>COUNTIF('Metrics - Articles'!E408,"*Sports*")</f>
        <v>0</v>
      </c>
      <c r="D486">
        <f>COUNTIF('Metrics - Articles'!E408,"*Youth*")</f>
        <v>0</v>
      </c>
      <c r="E486">
        <f>COUNTIF('Metrics - Articles'!E408,"*Healthcare*")</f>
        <v>0</v>
      </c>
      <c r="F486">
        <f>COUNTIF('Metrics - Articles'!E408,"*Innovation")</f>
        <v>0</v>
      </c>
      <c r="G486">
        <f>COUNTIF('Metrics - Articles'!E408,"*Corporate*")</f>
        <v>0</v>
      </c>
      <c r="I486" s="53">
        <f t="shared" si="8"/>
        <v>0</v>
      </c>
    </row>
    <row r="487" spans="2:9" hidden="1" x14ac:dyDescent="0.25">
      <c r="B487" s="48">
        <f>+'Metrics - Articles'!C484</f>
        <v>0</v>
      </c>
      <c r="C487">
        <f>COUNTIF('Metrics - Articles'!E409,"*Sports*")</f>
        <v>0</v>
      </c>
      <c r="D487">
        <f>COUNTIF('Metrics - Articles'!E409,"*Youth*")</f>
        <v>0</v>
      </c>
      <c r="E487">
        <f>COUNTIF('Metrics - Articles'!E409,"*Healthcare*")</f>
        <v>0</v>
      </c>
      <c r="F487">
        <f>COUNTIF('Metrics - Articles'!E409,"*Innovation")</f>
        <v>0</v>
      </c>
      <c r="G487">
        <f>COUNTIF('Metrics - Articles'!E409,"*Corporate*")</f>
        <v>0</v>
      </c>
      <c r="I487" s="53">
        <f t="shared" si="8"/>
        <v>0</v>
      </c>
    </row>
    <row r="488" spans="2:9" hidden="1" x14ac:dyDescent="0.25">
      <c r="B488" s="48">
        <f>+'Metrics - Articles'!C485</f>
        <v>0</v>
      </c>
      <c r="C488">
        <f>COUNTIF('Metrics - Articles'!E410,"*Sports*")</f>
        <v>0</v>
      </c>
      <c r="D488">
        <f>COUNTIF('Metrics - Articles'!E410,"*Youth*")</f>
        <v>0</v>
      </c>
      <c r="E488">
        <f>COUNTIF('Metrics - Articles'!E410,"*Healthcare*")</f>
        <v>0</v>
      </c>
      <c r="F488">
        <f>COUNTIF('Metrics - Articles'!E410,"*Innovation")</f>
        <v>0</v>
      </c>
      <c r="G488">
        <f>COUNTIF('Metrics - Articles'!E410,"*Corporate*")</f>
        <v>0</v>
      </c>
      <c r="I488" s="53">
        <f t="shared" si="8"/>
        <v>0</v>
      </c>
    </row>
    <row r="489" spans="2:9" hidden="1" x14ac:dyDescent="0.25">
      <c r="B489" s="48">
        <f>+'Metrics - Articles'!C486</f>
        <v>0</v>
      </c>
      <c r="C489">
        <f>COUNTIF('Metrics - Articles'!E411,"*Sports*")</f>
        <v>0</v>
      </c>
      <c r="D489">
        <f>COUNTIF('Metrics - Articles'!E411,"*Youth*")</f>
        <v>0</v>
      </c>
      <c r="E489">
        <f>COUNTIF('Metrics - Articles'!E411,"*Healthcare*")</f>
        <v>0</v>
      </c>
      <c r="F489">
        <f>COUNTIF('Metrics - Articles'!E411,"*Innovation")</f>
        <v>0</v>
      </c>
      <c r="G489">
        <f>COUNTIF('Metrics - Articles'!E411,"*Corporate*")</f>
        <v>0</v>
      </c>
      <c r="I489" s="53">
        <f t="shared" si="8"/>
        <v>0</v>
      </c>
    </row>
    <row r="490" spans="2:9" hidden="1" x14ac:dyDescent="0.25">
      <c r="B490" s="48">
        <f>+'Metrics - Articles'!C487</f>
        <v>0</v>
      </c>
      <c r="C490">
        <f>COUNTIF('Metrics - Articles'!E412,"*Sports*")</f>
        <v>0</v>
      </c>
      <c r="D490">
        <f>COUNTIF('Metrics - Articles'!E412,"*Youth*")</f>
        <v>0</v>
      </c>
      <c r="E490">
        <f>COUNTIF('Metrics - Articles'!E412,"*Healthcare*")</f>
        <v>0</v>
      </c>
      <c r="F490">
        <f>COUNTIF('Metrics - Articles'!E412,"*Innovation")</f>
        <v>0</v>
      </c>
      <c r="G490">
        <f>COUNTIF('Metrics - Articles'!E412,"*Corporate*")</f>
        <v>0</v>
      </c>
      <c r="I490" s="53">
        <f t="shared" si="8"/>
        <v>0</v>
      </c>
    </row>
    <row r="491" spans="2:9" hidden="1" x14ac:dyDescent="0.25">
      <c r="B491" s="48">
        <f>+'Metrics - Articles'!C488</f>
        <v>0</v>
      </c>
      <c r="C491">
        <f>COUNTIF('Metrics - Articles'!E413,"*Sports*")</f>
        <v>0</v>
      </c>
      <c r="D491">
        <f>COUNTIF('Metrics - Articles'!E413,"*Youth*")</f>
        <v>0</v>
      </c>
      <c r="E491">
        <f>COUNTIF('Metrics - Articles'!E413,"*Healthcare*")</f>
        <v>0</v>
      </c>
      <c r="F491">
        <f>COUNTIF('Metrics - Articles'!E413,"*Innovation")</f>
        <v>0</v>
      </c>
      <c r="G491">
        <f>COUNTIF('Metrics - Articles'!E413,"*Corporate*")</f>
        <v>0</v>
      </c>
      <c r="I491" s="53">
        <f t="shared" si="8"/>
        <v>0</v>
      </c>
    </row>
    <row r="492" spans="2:9" hidden="1" x14ac:dyDescent="0.25">
      <c r="B492" s="48">
        <f>+'Metrics - Articles'!C489</f>
        <v>0</v>
      </c>
      <c r="C492">
        <f>COUNTIF('Metrics - Articles'!E414,"*Sports*")</f>
        <v>0</v>
      </c>
      <c r="D492">
        <f>COUNTIF('Metrics - Articles'!E414,"*Youth*")</f>
        <v>0</v>
      </c>
      <c r="E492">
        <f>COUNTIF('Metrics - Articles'!E414,"*Healthcare*")</f>
        <v>0</v>
      </c>
      <c r="F492">
        <f>COUNTIF('Metrics - Articles'!E414,"*Innovation")</f>
        <v>0</v>
      </c>
      <c r="G492">
        <f>COUNTIF('Metrics - Articles'!E414,"*Corporate*")</f>
        <v>0</v>
      </c>
      <c r="I492" s="53">
        <f t="shared" si="8"/>
        <v>0</v>
      </c>
    </row>
    <row r="493" spans="2:9" hidden="1" x14ac:dyDescent="0.25">
      <c r="B493" s="48">
        <f>+'Metrics - Articles'!C490</f>
        <v>0</v>
      </c>
      <c r="C493">
        <f>COUNTIF('Metrics - Articles'!E415,"*Sports*")</f>
        <v>0</v>
      </c>
      <c r="D493">
        <f>COUNTIF('Metrics - Articles'!E415,"*Youth*")</f>
        <v>0</v>
      </c>
      <c r="E493">
        <f>COUNTIF('Metrics - Articles'!E415,"*Healthcare*")</f>
        <v>0</v>
      </c>
      <c r="F493">
        <f>COUNTIF('Metrics - Articles'!E415,"*Innovation")</f>
        <v>0</v>
      </c>
      <c r="G493">
        <f>COUNTIF('Metrics - Articles'!E415,"*Corporate*")</f>
        <v>0</v>
      </c>
      <c r="I493" s="53">
        <f t="shared" si="8"/>
        <v>0</v>
      </c>
    </row>
    <row r="494" spans="2:9" hidden="1" x14ac:dyDescent="0.25">
      <c r="B494" s="48">
        <f>+'Metrics - Articles'!C491</f>
        <v>0</v>
      </c>
      <c r="C494">
        <f>COUNTIF('Metrics - Articles'!E416,"*Sports*")</f>
        <v>0</v>
      </c>
      <c r="D494">
        <f>COUNTIF('Metrics - Articles'!E416,"*Youth*")</f>
        <v>0</v>
      </c>
      <c r="E494">
        <f>COUNTIF('Metrics - Articles'!E416,"*Healthcare*")</f>
        <v>0</v>
      </c>
      <c r="F494">
        <f>COUNTIF('Metrics - Articles'!E416,"*Innovation")</f>
        <v>0</v>
      </c>
      <c r="G494">
        <f>COUNTIF('Metrics - Articles'!E416,"*Corporate*")</f>
        <v>0</v>
      </c>
      <c r="I494" s="53">
        <f t="shared" si="8"/>
        <v>0</v>
      </c>
    </row>
    <row r="495" spans="2:9" hidden="1" x14ac:dyDescent="0.25">
      <c r="B495" s="48">
        <f>+'Metrics - Articles'!C492</f>
        <v>0</v>
      </c>
      <c r="C495">
        <f>COUNTIF('Metrics - Articles'!E417,"*Sports*")</f>
        <v>0</v>
      </c>
      <c r="D495">
        <f>COUNTIF('Metrics - Articles'!E417,"*Youth*")</f>
        <v>0</v>
      </c>
      <c r="E495">
        <f>COUNTIF('Metrics - Articles'!E417,"*Healthcare*")</f>
        <v>0</v>
      </c>
      <c r="F495">
        <f>COUNTIF('Metrics - Articles'!E417,"*Innovation")</f>
        <v>0</v>
      </c>
      <c r="G495">
        <f>COUNTIF('Metrics - Articles'!E417,"*Corporate*")</f>
        <v>0</v>
      </c>
      <c r="I495" s="53">
        <f t="shared" si="8"/>
        <v>0</v>
      </c>
    </row>
    <row r="496" spans="2:9" hidden="1" x14ac:dyDescent="0.25">
      <c r="B496" s="48">
        <f>+'Metrics - Articles'!C493</f>
        <v>0</v>
      </c>
      <c r="C496">
        <f>COUNTIF('Metrics - Articles'!E418,"*Sports*")</f>
        <v>0</v>
      </c>
      <c r="D496">
        <f>COUNTIF('Metrics - Articles'!E418,"*Youth*")</f>
        <v>0</v>
      </c>
      <c r="E496">
        <f>COUNTIF('Metrics - Articles'!E418,"*Healthcare*")</f>
        <v>0</v>
      </c>
      <c r="F496">
        <f>COUNTIF('Metrics - Articles'!E418,"*Innovation")</f>
        <v>0</v>
      </c>
      <c r="G496">
        <f>COUNTIF('Metrics - Articles'!E418,"*Corporate*")</f>
        <v>0</v>
      </c>
      <c r="I496" s="53">
        <f t="shared" si="8"/>
        <v>0</v>
      </c>
    </row>
    <row r="497" spans="2:9" hidden="1" x14ac:dyDescent="0.25">
      <c r="B497" s="48">
        <f>+'Metrics - Articles'!C494</f>
        <v>0</v>
      </c>
      <c r="C497">
        <f>COUNTIF('Metrics - Articles'!E419,"*Sports*")</f>
        <v>0</v>
      </c>
      <c r="D497">
        <f>COUNTIF('Metrics - Articles'!E419,"*Youth*")</f>
        <v>0</v>
      </c>
      <c r="E497">
        <f>COUNTIF('Metrics - Articles'!E419,"*Healthcare*")</f>
        <v>0</v>
      </c>
      <c r="F497">
        <f>COUNTIF('Metrics - Articles'!E419,"*Innovation")</f>
        <v>0</v>
      </c>
      <c r="G497">
        <f>COUNTIF('Metrics - Articles'!E419,"*Corporate*")</f>
        <v>0</v>
      </c>
      <c r="I497" s="53">
        <f t="shared" si="8"/>
        <v>0</v>
      </c>
    </row>
    <row r="498" spans="2:9" hidden="1" x14ac:dyDescent="0.25">
      <c r="B498" s="48">
        <f>+'Metrics - Articles'!C495</f>
        <v>0</v>
      </c>
      <c r="C498">
        <f>COUNTIF('Metrics - Articles'!E420,"*Sports*")</f>
        <v>0</v>
      </c>
      <c r="D498">
        <f>COUNTIF('Metrics - Articles'!E420,"*Youth*")</f>
        <v>0</v>
      </c>
      <c r="E498">
        <f>COUNTIF('Metrics - Articles'!E420,"*Healthcare*")</f>
        <v>0</v>
      </c>
      <c r="F498">
        <f>COUNTIF('Metrics - Articles'!E420,"*Innovation")</f>
        <v>0</v>
      </c>
      <c r="G498">
        <f>COUNTIF('Metrics - Articles'!E420,"*Corporate*")</f>
        <v>0</v>
      </c>
      <c r="I498" s="53">
        <f t="shared" si="8"/>
        <v>0</v>
      </c>
    </row>
    <row r="499" spans="2:9" hidden="1" x14ac:dyDescent="0.25">
      <c r="B499" s="48">
        <f>+'Metrics - Articles'!C496</f>
        <v>0</v>
      </c>
      <c r="C499">
        <f>COUNTIF('Metrics - Articles'!E421,"*Sports*")</f>
        <v>0</v>
      </c>
      <c r="D499">
        <f>COUNTIF('Metrics - Articles'!E421,"*Youth*")</f>
        <v>0</v>
      </c>
      <c r="E499">
        <f>COUNTIF('Metrics - Articles'!E421,"*Healthcare*")</f>
        <v>0</v>
      </c>
      <c r="F499">
        <f>COUNTIF('Metrics - Articles'!E421,"*Innovation")</f>
        <v>0</v>
      </c>
      <c r="G499">
        <f>COUNTIF('Metrics - Articles'!E421,"*Corporate*")</f>
        <v>0</v>
      </c>
      <c r="I499" s="53">
        <f t="shared" si="8"/>
        <v>0</v>
      </c>
    </row>
    <row r="500" spans="2:9" hidden="1" x14ac:dyDescent="0.25">
      <c r="B500" s="48">
        <f>+'Metrics - Articles'!C497</f>
        <v>0</v>
      </c>
      <c r="C500">
        <f>COUNTIF('Metrics - Articles'!E422,"*Sports*")</f>
        <v>0</v>
      </c>
      <c r="D500">
        <f>COUNTIF('Metrics - Articles'!E422,"*Youth*")</f>
        <v>0</v>
      </c>
      <c r="E500">
        <f>COUNTIF('Metrics - Articles'!E422,"*Healthcare*")</f>
        <v>0</v>
      </c>
      <c r="F500">
        <f>COUNTIF('Metrics - Articles'!E422,"*Innovation")</f>
        <v>0</v>
      </c>
      <c r="G500">
        <f>COUNTIF('Metrics - Articles'!E422,"*Corporate*")</f>
        <v>0</v>
      </c>
      <c r="I500" s="53">
        <f t="shared" si="8"/>
        <v>0</v>
      </c>
    </row>
    <row r="501" spans="2:9" hidden="1" x14ac:dyDescent="0.25">
      <c r="B501" s="48">
        <f>+'Metrics - Articles'!C498</f>
        <v>0</v>
      </c>
      <c r="C501">
        <f>COUNTIF('Metrics - Articles'!E423,"*Sports*")</f>
        <v>0</v>
      </c>
      <c r="D501">
        <f>COUNTIF('Metrics - Articles'!E423,"*Youth*")</f>
        <v>0</v>
      </c>
      <c r="E501">
        <f>COUNTIF('Metrics - Articles'!E423,"*Healthcare*")</f>
        <v>0</v>
      </c>
      <c r="F501">
        <f>COUNTIF('Metrics - Articles'!E423,"*Innovation")</f>
        <v>0</v>
      </c>
      <c r="G501">
        <f>COUNTIF('Metrics - Articles'!E423,"*Corporate*")</f>
        <v>0</v>
      </c>
      <c r="I501" s="53">
        <f t="shared" si="8"/>
        <v>0</v>
      </c>
    </row>
    <row r="502" spans="2:9" hidden="1" x14ac:dyDescent="0.25">
      <c r="B502" s="48">
        <f>+'Metrics - Articles'!C499</f>
        <v>0</v>
      </c>
      <c r="C502">
        <f>COUNTIF('Metrics - Articles'!E424,"*Sports*")</f>
        <v>0</v>
      </c>
      <c r="D502">
        <f>COUNTIF('Metrics - Articles'!E424,"*Youth*")</f>
        <v>0</v>
      </c>
      <c r="E502">
        <f>COUNTIF('Metrics - Articles'!E424,"*Healthcare*")</f>
        <v>0</v>
      </c>
      <c r="F502">
        <f>COUNTIF('Metrics - Articles'!E424,"*Innovation")</f>
        <v>0</v>
      </c>
      <c r="G502">
        <f>COUNTIF('Metrics - Articles'!E424,"*Corporate*")</f>
        <v>0</v>
      </c>
      <c r="I502" s="53">
        <f t="shared" si="8"/>
        <v>0</v>
      </c>
    </row>
    <row r="503" spans="2:9" hidden="1" x14ac:dyDescent="0.25">
      <c r="B503" s="48">
        <f>+'Metrics - Articles'!C500</f>
        <v>0</v>
      </c>
      <c r="C503">
        <f>COUNTIF('Metrics - Articles'!E425,"*Sports*")</f>
        <v>0</v>
      </c>
      <c r="D503">
        <f>COUNTIF('Metrics - Articles'!E425,"*Youth*")</f>
        <v>0</v>
      </c>
      <c r="E503">
        <f>COUNTIF('Metrics - Articles'!E425,"*Healthcare*")</f>
        <v>0</v>
      </c>
      <c r="F503">
        <f>COUNTIF('Metrics - Articles'!E425,"*Innovation")</f>
        <v>0</v>
      </c>
      <c r="G503">
        <f>COUNTIF('Metrics - Articles'!E425,"*Corporate*")</f>
        <v>0</v>
      </c>
      <c r="I503" s="53">
        <f t="shared" si="8"/>
        <v>0</v>
      </c>
    </row>
    <row r="504" spans="2:9" hidden="1" x14ac:dyDescent="0.25">
      <c r="B504" s="48">
        <f>+'Metrics - Articles'!C501</f>
        <v>0</v>
      </c>
      <c r="C504">
        <f>COUNTIF('Metrics - Articles'!E426,"*Sports*")</f>
        <v>0</v>
      </c>
      <c r="D504">
        <f>COUNTIF('Metrics - Articles'!E426,"*Youth*")</f>
        <v>0</v>
      </c>
      <c r="E504">
        <f>COUNTIF('Metrics - Articles'!E426,"*Healthcare*")</f>
        <v>0</v>
      </c>
      <c r="F504">
        <f>COUNTIF('Metrics - Articles'!E426,"*Innovation")</f>
        <v>0</v>
      </c>
      <c r="G504">
        <f>COUNTIF('Metrics - Articles'!E426,"*Corporate*")</f>
        <v>0</v>
      </c>
      <c r="I504" s="53">
        <f t="shared" si="8"/>
        <v>0</v>
      </c>
    </row>
    <row r="505" spans="2:9" hidden="1" x14ac:dyDescent="0.25">
      <c r="B505" s="48">
        <f>+'Metrics - Articles'!C502</f>
        <v>0</v>
      </c>
      <c r="C505">
        <f>COUNTIF('Metrics - Articles'!E427,"*Sports*")</f>
        <v>0</v>
      </c>
      <c r="D505">
        <f>COUNTIF('Metrics - Articles'!E427,"*Youth*")</f>
        <v>0</v>
      </c>
      <c r="E505">
        <f>COUNTIF('Metrics - Articles'!E427,"*Healthcare*")</f>
        <v>0</v>
      </c>
      <c r="F505">
        <f>COUNTIF('Metrics - Articles'!E427,"*Innovation")</f>
        <v>0</v>
      </c>
      <c r="G505">
        <f>COUNTIF('Metrics - Articles'!E427,"*Corporate*")</f>
        <v>0</v>
      </c>
      <c r="I505" s="53">
        <f t="shared" si="8"/>
        <v>0</v>
      </c>
    </row>
    <row r="506" spans="2:9" hidden="1" x14ac:dyDescent="0.25">
      <c r="B506" s="48">
        <f>+'Metrics - Articles'!C503</f>
        <v>0</v>
      </c>
      <c r="C506">
        <f>COUNTIF('Metrics - Articles'!E428,"*Sports*")</f>
        <v>0</v>
      </c>
      <c r="D506">
        <f>COUNTIF('Metrics - Articles'!E428,"*Youth*")</f>
        <v>0</v>
      </c>
      <c r="E506">
        <f>COUNTIF('Metrics - Articles'!E428,"*Healthcare*")</f>
        <v>0</v>
      </c>
      <c r="F506">
        <f>COUNTIF('Metrics - Articles'!E428,"*Innovation")</f>
        <v>0</v>
      </c>
      <c r="G506">
        <f>COUNTIF('Metrics - Articles'!E428,"*Corporate*")</f>
        <v>0</v>
      </c>
      <c r="I506" s="53">
        <f t="shared" si="8"/>
        <v>0</v>
      </c>
    </row>
    <row r="507" spans="2:9" hidden="1" x14ac:dyDescent="0.25">
      <c r="B507" s="48">
        <f>+'Metrics - Articles'!C504</f>
        <v>0</v>
      </c>
      <c r="C507">
        <f>COUNTIF('Metrics - Articles'!E429,"*Sports*")</f>
        <v>0</v>
      </c>
      <c r="D507">
        <f>COUNTIF('Metrics - Articles'!E429,"*Youth*")</f>
        <v>0</v>
      </c>
      <c r="E507">
        <f>COUNTIF('Metrics - Articles'!E429,"*Healthcare*")</f>
        <v>0</v>
      </c>
      <c r="F507">
        <f>COUNTIF('Metrics - Articles'!E429,"*Innovation")</f>
        <v>0</v>
      </c>
      <c r="G507">
        <f>COUNTIF('Metrics - Articles'!E429,"*Corporate*")</f>
        <v>0</v>
      </c>
      <c r="I507" s="53">
        <f t="shared" si="8"/>
        <v>0</v>
      </c>
    </row>
    <row r="508" spans="2:9" hidden="1" x14ac:dyDescent="0.25">
      <c r="B508" s="48">
        <f>+'Metrics - Articles'!C505</f>
        <v>0</v>
      </c>
      <c r="C508">
        <f>COUNTIF('Metrics - Articles'!E430,"*Sports*")</f>
        <v>0</v>
      </c>
      <c r="D508">
        <f>COUNTIF('Metrics - Articles'!E430,"*Youth*")</f>
        <v>0</v>
      </c>
      <c r="E508">
        <f>COUNTIF('Metrics - Articles'!E430,"*Healthcare*")</f>
        <v>0</v>
      </c>
      <c r="F508">
        <f>COUNTIF('Metrics - Articles'!E430,"*Innovation")</f>
        <v>0</v>
      </c>
      <c r="G508">
        <f>COUNTIF('Metrics - Articles'!E430,"*Corporate*")</f>
        <v>0</v>
      </c>
      <c r="I508" s="53">
        <f t="shared" si="8"/>
        <v>0</v>
      </c>
    </row>
    <row r="509" spans="2:9" hidden="1" x14ac:dyDescent="0.25">
      <c r="B509" s="48">
        <f>+'Metrics - Articles'!C506</f>
        <v>0</v>
      </c>
      <c r="C509">
        <f>COUNTIF('Metrics - Articles'!E431,"*Sports*")</f>
        <v>0</v>
      </c>
      <c r="D509">
        <f>COUNTIF('Metrics - Articles'!E431,"*Youth*")</f>
        <v>0</v>
      </c>
      <c r="E509">
        <f>COUNTIF('Metrics - Articles'!E431,"*Healthcare*")</f>
        <v>0</v>
      </c>
      <c r="F509">
        <f>COUNTIF('Metrics - Articles'!E431,"*Innovation")</f>
        <v>0</v>
      </c>
      <c r="G509">
        <f>COUNTIF('Metrics - Articles'!E431,"*Corporate*")</f>
        <v>0</v>
      </c>
      <c r="I509" s="53">
        <f t="shared" si="8"/>
        <v>0</v>
      </c>
    </row>
    <row r="510" spans="2:9" hidden="1" x14ac:dyDescent="0.25">
      <c r="B510" s="48">
        <f>+'Metrics - Articles'!C507</f>
        <v>0</v>
      </c>
      <c r="C510">
        <f>COUNTIF('Metrics - Articles'!E432,"*Sports*")</f>
        <v>0</v>
      </c>
      <c r="D510">
        <f>COUNTIF('Metrics - Articles'!E432,"*Youth*")</f>
        <v>0</v>
      </c>
      <c r="E510">
        <f>COUNTIF('Metrics - Articles'!E432,"*Healthcare*")</f>
        <v>0</v>
      </c>
      <c r="F510">
        <f>COUNTIF('Metrics - Articles'!E432,"*Innovation")</f>
        <v>0</v>
      </c>
      <c r="G510">
        <f>COUNTIF('Metrics - Articles'!E432,"*Corporate*")</f>
        <v>0</v>
      </c>
      <c r="I510" s="53">
        <f t="shared" si="8"/>
        <v>0</v>
      </c>
    </row>
    <row r="511" spans="2:9" hidden="1" x14ac:dyDescent="0.25">
      <c r="B511" s="48">
        <f>+'Metrics - Articles'!C508</f>
        <v>0</v>
      </c>
      <c r="C511">
        <f>COUNTIF('Metrics - Articles'!E433,"*Sports*")</f>
        <v>0</v>
      </c>
      <c r="D511">
        <f>COUNTIF('Metrics - Articles'!E433,"*Youth*")</f>
        <v>0</v>
      </c>
      <c r="E511">
        <f>COUNTIF('Metrics - Articles'!E433,"*Healthcare*")</f>
        <v>0</v>
      </c>
      <c r="F511">
        <f>COUNTIF('Metrics - Articles'!E433,"*Innovation")</f>
        <v>0</v>
      </c>
      <c r="G511">
        <f>COUNTIF('Metrics - Articles'!E433,"*Corporate*")</f>
        <v>0</v>
      </c>
      <c r="I511" s="53">
        <f t="shared" si="8"/>
        <v>0</v>
      </c>
    </row>
    <row r="512" spans="2:9" hidden="1" x14ac:dyDescent="0.25">
      <c r="B512" s="48">
        <f>+'Metrics - Articles'!C509</f>
        <v>0</v>
      </c>
      <c r="C512">
        <f>COUNTIF('Metrics - Articles'!E434,"*Sports*")</f>
        <v>0</v>
      </c>
      <c r="D512">
        <f>COUNTIF('Metrics - Articles'!E434,"*Youth*")</f>
        <v>0</v>
      </c>
      <c r="E512">
        <f>COUNTIF('Metrics - Articles'!E434,"*Healthcare*")</f>
        <v>0</v>
      </c>
      <c r="F512">
        <f>COUNTIF('Metrics - Articles'!E434,"*Innovation")</f>
        <v>0</v>
      </c>
      <c r="G512">
        <f>COUNTIF('Metrics - Articles'!E434,"*Corporate*")</f>
        <v>0</v>
      </c>
      <c r="I512" s="53">
        <f t="shared" si="8"/>
        <v>0</v>
      </c>
    </row>
    <row r="513" spans="2:9" hidden="1" x14ac:dyDescent="0.25">
      <c r="B513" s="48">
        <f>+'Metrics - Articles'!C510</f>
        <v>0</v>
      </c>
      <c r="C513">
        <f>COUNTIF('Metrics - Articles'!E435,"*Sports*")</f>
        <v>0</v>
      </c>
      <c r="D513">
        <f>COUNTIF('Metrics - Articles'!E435,"*Youth*")</f>
        <v>0</v>
      </c>
      <c r="E513">
        <f>COUNTIF('Metrics - Articles'!E435,"*Healthcare*")</f>
        <v>0</v>
      </c>
      <c r="F513">
        <f>COUNTIF('Metrics - Articles'!E435,"*Innovation")</f>
        <v>0</v>
      </c>
      <c r="G513">
        <f>COUNTIF('Metrics - Articles'!E435,"*Corporate*")</f>
        <v>0</v>
      </c>
      <c r="I513" s="53">
        <f t="shared" si="8"/>
        <v>0</v>
      </c>
    </row>
    <row r="514" spans="2:9" hidden="1" x14ac:dyDescent="0.25">
      <c r="B514" s="48">
        <f>+'Metrics - Articles'!C511</f>
        <v>0</v>
      </c>
      <c r="C514">
        <f>COUNTIF('Metrics - Articles'!E436,"*Sports*")</f>
        <v>0</v>
      </c>
      <c r="D514">
        <f>COUNTIF('Metrics - Articles'!E436,"*Youth*")</f>
        <v>0</v>
      </c>
      <c r="E514">
        <f>COUNTIF('Metrics - Articles'!E436,"*Healthcare*")</f>
        <v>0</v>
      </c>
      <c r="F514">
        <f>COUNTIF('Metrics - Articles'!E436,"*Innovation")</f>
        <v>0</v>
      </c>
      <c r="G514">
        <f>COUNTIF('Metrics - Articles'!E436,"*Corporate*")</f>
        <v>0</v>
      </c>
      <c r="I514" s="53">
        <f t="shared" si="8"/>
        <v>0</v>
      </c>
    </row>
    <row r="515" spans="2:9" hidden="1" x14ac:dyDescent="0.25">
      <c r="B515" s="48">
        <f>+'Metrics - Articles'!C512</f>
        <v>0</v>
      </c>
      <c r="C515">
        <f>COUNTIF('Metrics - Articles'!E437,"*Sports*")</f>
        <v>0</v>
      </c>
      <c r="D515">
        <f>COUNTIF('Metrics - Articles'!E437,"*Youth*")</f>
        <v>0</v>
      </c>
      <c r="E515">
        <f>COUNTIF('Metrics - Articles'!E437,"*Healthcare*")</f>
        <v>0</v>
      </c>
      <c r="F515">
        <f>COUNTIF('Metrics - Articles'!E437,"*Innovation")</f>
        <v>0</v>
      </c>
      <c r="G515">
        <f>COUNTIF('Metrics - Articles'!E437,"*Corporate*")</f>
        <v>0</v>
      </c>
      <c r="I515" s="53">
        <f t="shared" si="8"/>
        <v>0</v>
      </c>
    </row>
    <row r="516" spans="2:9" hidden="1" x14ac:dyDescent="0.25">
      <c r="B516" s="48">
        <f>+'Metrics - Articles'!C513</f>
        <v>0</v>
      </c>
      <c r="C516">
        <f>COUNTIF('Metrics - Articles'!E438,"*Sports*")</f>
        <v>0</v>
      </c>
      <c r="D516">
        <f>COUNTIF('Metrics - Articles'!E438,"*Youth*")</f>
        <v>0</v>
      </c>
      <c r="E516">
        <f>COUNTIF('Metrics - Articles'!E438,"*Healthcare*")</f>
        <v>0</v>
      </c>
      <c r="F516">
        <f>COUNTIF('Metrics - Articles'!E438,"*Innovation")</f>
        <v>0</v>
      </c>
      <c r="G516">
        <f>COUNTIF('Metrics - Articles'!E438,"*Corporate*")</f>
        <v>0</v>
      </c>
      <c r="I516" s="53">
        <f t="shared" si="8"/>
        <v>0</v>
      </c>
    </row>
    <row r="517" spans="2:9" hidden="1" x14ac:dyDescent="0.25">
      <c r="B517" s="48">
        <f>+'Metrics - Articles'!C514</f>
        <v>0</v>
      </c>
      <c r="C517">
        <f>COUNTIF('Metrics - Articles'!E439,"*Sports*")</f>
        <v>0</v>
      </c>
      <c r="D517">
        <f>COUNTIF('Metrics - Articles'!E439,"*Youth*")</f>
        <v>0</v>
      </c>
      <c r="E517">
        <f>COUNTIF('Metrics - Articles'!E439,"*Healthcare*")</f>
        <v>0</v>
      </c>
      <c r="F517">
        <f>COUNTIF('Metrics - Articles'!E439,"*Innovation")</f>
        <v>0</v>
      </c>
      <c r="G517">
        <f>COUNTIF('Metrics - Articles'!E439,"*Corporate*")</f>
        <v>0</v>
      </c>
      <c r="I517" s="53">
        <f t="shared" si="8"/>
        <v>0</v>
      </c>
    </row>
    <row r="518" spans="2:9" hidden="1" x14ac:dyDescent="0.25">
      <c r="B518" s="48">
        <f>+'Metrics - Articles'!C515</f>
        <v>0</v>
      </c>
      <c r="C518">
        <f>COUNTIF('Metrics - Articles'!E440,"*Sports*")</f>
        <v>0</v>
      </c>
      <c r="D518">
        <f>COUNTIF('Metrics - Articles'!E440,"*Youth*")</f>
        <v>0</v>
      </c>
      <c r="E518">
        <f>COUNTIF('Metrics - Articles'!E440,"*Healthcare*")</f>
        <v>0</v>
      </c>
      <c r="F518">
        <f>COUNTIF('Metrics - Articles'!E440,"*Innovation")</f>
        <v>0</v>
      </c>
      <c r="G518">
        <f>COUNTIF('Metrics - Articles'!E440,"*Corporate*")</f>
        <v>0</v>
      </c>
      <c r="I518" s="53">
        <f t="shared" si="8"/>
        <v>0</v>
      </c>
    </row>
    <row r="519" spans="2:9" hidden="1" x14ac:dyDescent="0.25">
      <c r="B519" s="48">
        <f>+'Metrics - Articles'!C516</f>
        <v>0</v>
      </c>
      <c r="C519">
        <f>COUNTIF('Metrics - Articles'!E441,"*Sports*")</f>
        <v>0</v>
      </c>
      <c r="D519">
        <f>COUNTIF('Metrics - Articles'!E441,"*Youth*")</f>
        <v>0</v>
      </c>
      <c r="E519">
        <f>COUNTIF('Metrics - Articles'!E441,"*Healthcare*")</f>
        <v>0</v>
      </c>
      <c r="F519">
        <f>COUNTIF('Metrics - Articles'!E441,"*Innovation")</f>
        <v>0</v>
      </c>
      <c r="G519">
        <f>COUNTIF('Metrics - Articles'!E441,"*Corporate*")</f>
        <v>0</v>
      </c>
      <c r="I519" s="53">
        <f t="shared" si="8"/>
        <v>0</v>
      </c>
    </row>
    <row r="520" spans="2:9" hidden="1" x14ac:dyDescent="0.25">
      <c r="B520" s="48">
        <f>+'Metrics - Articles'!C517</f>
        <v>0</v>
      </c>
      <c r="C520">
        <f>COUNTIF('Metrics - Articles'!E442,"*Sports*")</f>
        <v>0</v>
      </c>
      <c r="D520">
        <f>COUNTIF('Metrics - Articles'!E442,"*Youth*")</f>
        <v>0</v>
      </c>
      <c r="E520">
        <f>COUNTIF('Metrics - Articles'!E442,"*Healthcare*")</f>
        <v>0</v>
      </c>
      <c r="F520">
        <f>COUNTIF('Metrics - Articles'!E442,"*Innovation")</f>
        <v>0</v>
      </c>
      <c r="G520">
        <f>COUNTIF('Metrics - Articles'!E442,"*Corporate*")</f>
        <v>0</v>
      </c>
      <c r="I520" s="53">
        <f t="shared" ref="I520:I583" si="9">SUM(C520:H520)</f>
        <v>0</v>
      </c>
    </row>
    <row r="521" spans="2:9" hidden="1" x14ac:dyDescent="0.25">
      <c r="B521" s="48">
        <f>+'Metrics - Articles'!C518</f>
        <v>0</v>
      </c>
      <c r="C521">
        <f>COUNTIF('Metrics - Articles'!E443,"*Sports*")</f>
        <v>0</v>
      </c>
      <c r="D521">
        <f>COUNTIF('Metrics - Articles'!E443,"*Youth*")</f>
        <v>0</v>
      </c>
      <c r="E521">
        <f>COUNTIF('Metrics - Articles'!E443,"*Healthcare*")</f>
        <v>0</v>
      </c>
      <c r="F521">
        <f>COUNTIF('Metrics - Articles'!E443,"*Innovation")</f>
        <v>0</v>
      </c>
      <c r="G521">
        <f>COUNTIF('Metrics - Articles'!E443,"*Corporate*")</f>
        <v>0</v>
      </c>
      <c r="I521" s="53">
        <f t="shared" si="9"/>
        <v>0</v>
      </c>
    </row>
    <row r="522" spans="2:9" hidden="1" x14ac:dyDescent="0.25">
      <c r="B522" s="48">
        <f>+'Metrics - Articles'!C519</f>
        <v>0</v>
      </c>
      <c r="C522">
        <f>COUNTIF('Metrics - Articles'!E444,"*Sports*")</f>
        <v>0</v>
      </c>
      <c r="D522">
        <f>COUNTIF('Metrics - Articles'!E444,"*Youth*")</f>
        <v>0</v>
      </c>
      <c r="E522">
        <f>COUNTIF('Metrics - Articles'!E444,"*Healthcare*")</f>
        <v>0</v>
      </c>
      <c r="F522">
        <f>COUNTIF('Metrics - Articles'!E444,"*Innovation")</f>
        <v>0</v>
      </c>
      <c r="G522">
        <f>COUNTIF('Metrics - Articles'!E444,"*Corporate*")</f>
        <v>0</v>
      </c>
      <c r="I522" s="53">
        <f t="shared" si="9"/>
        <v>0</v>
      </c>
    </row>
    <row r="523" spans="2:9" hidden="1" x14ac:dyDescent="0.25">
      <c r="B523" s="48">
        <f>+'Metrics - Articles'!C520</f>
        <v>0</v>
      </c>
      <c r="C523">
        <f>COUNTIF('Metrics - Articles'!E445,"*Sports*")</f>
        <v>0</v>
      </c>
      <c r="D523">
        <f>COUNTIF('Metrics - Articles'!E445,"*Youth*")</f>
        <v>0</v>
      </c>
      <c r="E523">
        <f>COUNTIF('Metrics - Articles'!E445,"*Healthcare*")</f>
        <v>0</v>
      </c>
      <c r="F523">
        <f>COUNTIF('Metrics - Articles'!E445,"*Innovation")</f>
        <v>0</v>
      </c>
      <c r="G523">
        <f>COUNTIF('Metrics - Articles'!E445,"*Corporate*")</f>
        <v>0</v>
      </c>
      <c r="I523" s="53">
        <f t="shared" si="9"/>
        <v>0</v>
      </c>
    </row>
    <row r="524" spans="2:9" hidden="1" x14ac:dyDescent="0.25">
      <c r="B524" s="48">
        <f>+'Metrics - Articles'!C521</f>
        <v>0</v>
      </c>
      <c r="C524">
        <f>COUNTIF('Metrics - Articles'!E446,"*Sports*")</f>
        <v>0</v>
      </c>
      <c r="D524">
        <f>COUNTIF('Metrics - Articles'!E446,"*Youth*")</f>
        <v>0</v>
      </c>
      <c r="E524">
        <f>COUNTIF('Metrics - Articles'!E446,"*Healthcare*")</f>
        <v>0</v>
      </c>
      <c r="F524">
        <f>COUNTIF('Metrics - Articles'!E446,"*Innovation")</f>
        <v>0</v>
      </c>
      <c r="G524">
        <f>COUNTIF('Metrics - Articles'!E446,"*Corporate*")</f>
        <v>0</v>
      </c>
      <c r="I524" s="53">
        <f t="shared" si="9"/>
        <v>0</v>
      </c>
    </row>
    <row r="525" spans="2:9" hidden="1" x14ac:dyDescent="0.25">
      <c r="B525" s="48">
        <f>+'Metrics - Articles'!C522</f>
        <v>0</v>
      </c>
      <c r="C525">
        <f>COUNTIF('Metrics - Articles'!E447,"*Sports*")</f>
        <v>0</v>
      </c>
      <c r="D525">
        <f>COUNTIF('Metrics - Articles'!E447,"*Youth*")</f>
        <v>0</v>
      </c>
      <c r="E525">
        <f>COUNTIF('Metrics - Articles'!E447,"*Healthcare*")</f>
        <v>0</v>
      </c>
      <c r="F525">
        <f>COUNTIF('Metrics - Articles'!E447,"*Innovation")</f>
        <v>0</v>
      </c>
      <c r="G525">
        <f>COUNTIF('Metrics - Articles'!E447,"*Corporate*")</f>
        <v>0</v>
      </c>
      <c r="I525" s="53">
        <f t="shared" si="9"/>
        <v>0</v>
      </c>
    </row>
    <row r="526" spans="2:9" hidden="1" x14ac:dyDescent="0.25">
      <c r="B526" s="48">
        <f>+'Metrics - Articles'!C523</f>
        <v>0</v>
      </c>
      <c r="C526">
        <f>COUNTIF('Metrics - Articles'!E448,"*Sports*")</f>
        <v>0</v>
      </c>
      <c r="D526">
        <f>COUNTIF('Metrics - Articles'!E448,"*Youth*")</f>
        <v>0</v>
      </c>
      <c r="E526">
        <f>COUNTIF('Metrics - Articles'!E448,"*Healthcare*")</f>
        <v>0</v>
      </c>
      <c r="F526">
        <f>COUNTIF('Metrics - Articles'!E448,"*Innovation")</f>
        <v>0</v>
      </c>
      <c r="G526">
        <f>COUNTIF('Metrics - Articles'!E448,"*Corporate*")</f>
        <v>0</v>
      </c>
      <c r="I526" s="53">
        <f t="shared" si="9"/>
        <v>0</v>
      </c>
    </row>
    <row r="527" spans="2:9" hidden="1" x14ac:dyDescent="0.25">
      <c r="B527" s="48">
        <f>+'Metrics - Articles'!C524</f>
        <v>0</v>
      </c>
      <c r="C527">
        <f>COUNTIF('Metrics - Articles'!E449,"*Sports*")</f>
        <v>0</v>
      </c>
      <c r="D527">
        <f>COUNTIF('Metrics - Articles'!E449,"*Youth*")</f>
        <v>0</v>
      </c>
      <c r="E527">
        <f>COUNTIF('Metrics - Articles'!E449,"*Healthcare*")</f>
        <v>0</v>
      </c>
      <c r="F527">
        <f>COUNTIF('Metrics - Articles'!E449,"*Innovation")</f>
        <v>0</v>
      </c>
      <c r="G527">
        <f>COUNTIF('Metrics - Articles'!E449,"*Corporate*")</f>
        <v>0</v>
      </c>
      <c r="I527" s="53">
        <f t="shared" si="9"/>
        <v>0</v>
      </c>
    </row>
    <row r="528" spans="2:9" hidden="1" x14ac:dyDescent="0.25">
      <c r="B528" s="48">
        <f>+'Metrics - Articles'!C525</f>
        <v>0</v>
      </c>
      <c r="C528">
        <f>COUNTIF('Metrics - Articles'!E450,"*Sports*")</f>
        <v>0</v>
      </c>
      <c r="D528">
        <f>COUNTIF('Metrics - Articles'!E450,"*Youth*")</f>
        <v>0</v>
      </c>
      <c r="E528">
        <f>COUNTIF('Metrics - Articles'!E450,"*Healthcare*")</f>
        <v>0</v>
      </c>
      <c r="F528">
        <f>COUNTIF('Metrics - Articles'!E450,"*Innovation")</f>
        <v>0</v>
      </c>
      <c r="G528">
        <f>COUNTIF('Metrics - Articles'!E450,"*Corporate*")</f>
        <v>0</v>
      </c>
      <c r="I528" s="53">
        <f t="shared" si="9"/>
        <v>0</v>
      </c>
    </row>
    <row r="529" spans="2:9" hidden="1" x14ac:dyDescent="0.25">
      <c r="B529" s="48">
        <f>+'Metrics - Articles'!C526</f>
        <v>0</v>
      </c>
      <c r="C529">
        <f>COUNTIF('Metrics - Articles'!E451,"*Sports*")</f>
        <v>0</v>
      </c>
      <c r="D529">
        <f>COUNTIF('Metrics - Articles'!E451,"*Youth*")</f>
        <v>0</v>
      </c>
      <c r="E529">
        <f>COUNTIF('Metrics - Articles'!E451,"*Healthcare*")</f>
        <v>0</v>
      </c>
      <c r="F529">
        <f>COUNTIF('Metrics - Articles'!E451,"*Innovation")</f>
        <v>0</v>
      </c>
      <c r="G529">
        <f>COUNTIF('Metrics - Articles'!E451,"*Corporate*")</f>
        <v>0</v>
      </c>
      <c r="I529" s="53">
        <f t="shared" si="9"/>
        <v>0</v>
      </c>
    </row>
    <row r="530" spans="2:9" hidden="1" x14ac:dyDescent="0.25">
      <c r="B530" s="48">
        <f>+'Metrics - Articles'!C527</f>
        <v>0</v>
      </c>
      <c r="C530">
        <f>COUNTIF('Metrics - Articles'!E452,"*Sports*")</f>
        <v>0</v>
      </c>
      <c r="D530">
        <f>COUNTIF('Metrics - Articles'!E452,"*Youth*")</f>
        <v>0</v>
      </c>
      <c r="E530">
        <f>COUNTIF('Metrics - Articles'!E452,"*Healthcare*")</f>
        <v>0</v>
      </c>
      <c r="F530">
        <f>COUNTIF('Metrics - Articles'!E452,"*Innovation")</f>
        <v>0</v>
      </c>
      <c r="G530">
        <f>COUNTIF('Metrics - Articles'!E452,"*Corporate*")</f>
        <v>0</v>
      </c>
      <c r="I530" s="53">
        <f t="shared" si="9"/>
        <v>0</v>
      </c>
    </row>
    <row r="531" spans="2:9" hidden="1" x14ac:dyDescent="0.25">
      <c r="B531" s="48">
        <f>+'Metrics - Articles'!C528</f>
        <v>0</v>
      </c>
      <c r="C531">
        <f>COUNTIF('Metrics - Articles'!E453,"*Sports*")</f>
        <v>0</v>
      </c>
      <c r="D531">
        <f>COUNTIF('Metrics - Articles'!E453,"*Youth*")</f>
        <v>0</v>
      </c>
      <c r="E531">
        <f>COUNTIF('Metrics - Articles'!E453,"*Healthcare*")</f>
        <v>0</v>
      </c>
      <c r="F531">
        <f>COUNTIF('Metrics - Articles'!E453,"*Innovation")</f>
        <v>0</v>
      </c>
      <c r="G531">
        <f>COUNTIF('Metrics - Articles'!E453,"*Corporate*")</f>
        <v>0</v>
      </c>
      <c r="I531" s="53">
        <f t="shared" si="9"/>
        <v>0</v>
      </c>
    </row>
    <row r="532" spans="2:9" hidden="1" x14ac:dyDescent="0.25">
      <c r="B532" s="48">
        <f>+'Metrics - Articles'!C529</f>
        <v>0</v>
      </c>
      <c r="C532">
        <f>COUNTIF('Metrics - Articles'!E454,"*Sports*")</f>
        <v>0</v>
      </c>
      <c r="D532">
        <f>COUNTIF('Metrics - Articles'!E454,"*Youth*")</f>
        <v>0</v>
      </c>
      <c r="E532">
        <f>COUNTIF('Metrics - Articles'!E454,"*Healthcare*")</f>
        <v>0</v>
      </c>
      <c r="F532">
        <f>COUNTIF('Metrics - Articles'!E454,"*Innovation")</f>
        <v>0</v>
      </c>
      <c r="G532">
        <f>COUNTIF('Metrics - Articles'!E454,"*Corporate*")</f>
        <v>0</v>
      </c>
      <c r="I532" s="53">
        <f t="shared" si="9"/>
        <v>0</v>
      </c>
    </row>
    <row r="533" spans="2:9" hidden="1" x14ac:dyDescent="0.25">
      <c r="B533" s="48">
        <f>+'Metrics - Articles'!C530</f>
        <v>0</v>
      </c>
      <c r="C533">
        <f>COUNTIF('Metrics - Articles'!E455,"*Sports*")</f>
        <v>0</v>
      </c>
      <c r="D533">
        <f>COUNTIF('Metrics - Articles'!E455,"*Youth*")</f>
        <v>0</v>
      </c>
      <c r="E533">
        <f>COUNTIF('Metrics - Articles'!E455,"*Healthcare*")</f>
        <v>0</v>
      </c>
      <c r="F533">
        <f>COUNTIF('Metrics - Articles'!E455,"*Innovation")</f>
        <v>0</v>
      </c>
      <c r="G533">
        <f>COUNTIF('Metrics - Articles'!E455,"*Corporate*")</f>
        <v>0</v>
      </c>
      <c r="I533" s="53">
        <f t="shared" si="9"/>
        <v>0</v>
      </c>
    </row>
    <row r="534" spans="2:9" hidden="1" x14ac:dyDescent="0.25">
      <c r="B534" s="48">
        <f>+'Metrics - Articles'!C531</f>
        <v>0</v>
      </c>
      <c r="C534">
        <f>COUNTIF('Metrics - Articles'!E456,"*Sports*")</f>
        <v>0</v>
      </c>
      <c r="D534">
        <f>COUNTIF('Metrics - Articles'!E456,"*Youth*")</f>
        <v>0</v>
      </c>
      <c r="E534">
        <f>COUNTIF('Metrics - Articles'!E456,"*Healthcare*")</f>
        <v>0</v>
      </c>
      <c r="F534">
        <f>COUNTIF('Metrics - Articles'!E456,"*Innovation")</f>
        <v>0</v>
      </c>
      <c r="G534">
        <f>COUNTIF('Metrics - Articles'!E456,"*Corporate*")</f>
        <v>0</v>
      </c>
      <c r="I534" s="53">
        <f t="shared" si="9"/>
        <v>0</v>
      </c>
    </row>
    <row r="535" spans="2:9" hidden="1" x14ac:dyDescent="0.25">
      <c r="B535" s="48">
        <f>+'Metrics - Articles'!C532</f>
        <v>0</v>
      </c>
      <c r="C535">
        <f>COUNTIF('Metrics - Articles'!E457,"*Sports*")</f>
        <v>0</v>
      </c>
      <c r="D535">
        <f>COUNTIF('Metrics - Articles'!E457,"*Youth*")</f>
        <v>0</v>
      </c>
      <c r="E535">
        <f>COUNTIF('Metrics - Articles'!E457,"*Healthcare*")</f>
        <v>0</v>
      </c>
      <c r="F535">
        <f>COUNTIF('Metrics - Articles'!E457,"*Innovation")</f>
        <v>0</v>
      </c>
      <c r="G535">
        <f>COUNTIF('Metrics - Articles'!E457,"*Corporate*")</f>
        <v>0</v>
      </c>
      <c r="I535" s="53">
        <f t="shared" si="9"/>
        <v>0</v>
      </c>
    </row>
    <row r="536" spans="2:9" hidden="1" x14ac:dyDescent="0.25">
      <c r="B536" s="48">
        <f>+'Metrics - Articles'!C533</f>
        <v>0</v>
      </c>
      <c r="C536">
        <f>COUNTIF('Metrics - Articles'!E458,"*Sports*")</f>
        <v>0</v>
      </c>
      <c r="D536">
        <f>COUNTIF('Metrics - Articles'!E458,"*Youth*")</f>
        <v>0</v>
      </c>
      <c r="E536">
        <f>COUNTIF('Metrics - Articles'!E458,"*Healthcare*")</f>
        <v>0</v>
      </c>
      <c r="F536">
        <f>COUNTIF('Metrics - Articles'!E458,"*Innovation")</f>
        <v>0</v>
      </c>
      <c r="G536">
        <f>COUNTIF('Metrics - Articles'!E458,"*Corporate*")</f>
        <v>0</v>
      </c>
      <c r="I536" s="53">
        <f t="shared" si="9"/>
        <v>0</v>
      </c>
    </row>
    <row r="537" spans="2:9" hidden="1" x14ac:dyDescent="0.25">
      <c r="B537" s="48">
        <f>+'Metrics - Articles'!C534</f>
        <v>0</v>
      </c>
      <c r="C537">
        <f>COUNTIF('Metrics - Articles'!E459,"*Sports*")</f>
        <v>0</v>
      </c>
      <c r="D537">
        <f>COUNTIF('Metrics - Articles'!E459,"*Youth*")</f>
        <v>0</v>
      </c>
      <c r="E537">
        <f>COUNTIF('Metrics - Articles'!E459,"*Healthcare*")</f>
        <v>0</v>
      </c>
      <c r="F537">
        <f>COUNTIF('Metrics - Articles'!E459,"*Innovation")</f>
        <v>0</v>
      </c>
      <c r="G537">
        <f>COUNTIF('Metrics - Articles'!E459,"*Corporate*")</f>
        <v>0</v>
      </c>
      <c r="I537" s="53">
        <f t="shared" si="9"/>
        <v>0</v>
      </c>
    </row>
    <row r="538" spans="2:9" hidden="1" x14ac:dyDescent="0.25">
      <c r="B538" s="48">
        <f>+'Metrics - Articles'!C535</f>
        <v>0</v>
      </c>
      <c r="C538">
        <f>COUNTIF('Metrics - Articles'!E460,"*Sports*")</f>
        <v>0</v>
      </c>
      <c r="D538">
        <f>COUNTIF('Metrics - Articles'!E460,"*Youth*")</f>
        <v>0</v>
      </c>
      <c r="E538">
        <f>COUNTIF('Metrics - Articles'!E460,"*Healthcare*")</f>
        <v>0</v>
      </c>
      <c r="F538">
        <f>COUNTIF('Metrics - Articles'!E460,"*Innovation")</f>
        <v>0</v>
      </c>
      <c r="G538">
        <f>COUNTIF('Metrics - Articles'!E460,"*Corporate*")</f>
        <v>0</v>
      </c>
      <c r="I538" s="53">
        <f t="shared" si="9"/>
        <v>0</v>
      </c>
    </row>
    <row r="539" spans="2:9" hidden="1" x14ac:dyDescent="0.25">
      <c r="B539" s="48">
        <f>+'Metrics - Articles'!C536</f>
        <v>0</v>
      </c>
      <c r="C539">
        <f>COUNTIF('Metrics - Articles'!E461,"*Sports*")</f>
        <v>0</v>
      </c>
      <c r="D539">
        <f>COUNTIF('Metrics - Articles'!E461,"*Youth*")</f>
        <v>0</v>
      </c>
      <c r="E539">
        <f>COUNTIF('Metrics - Articles'!E461,"*Healthcare*")</f>
        <v>0</v>
      </c>
      <c r="F539">
        <f>COUNTIF('Metrics - Articles'!E461,"*Innovation")</f>
        <v>0</v>
      </c>
      <c r="G539">
        <f>COUNTIF('Metrics - Articles'!E461,"*Corporate*")</f>
        <v>0</v>
      </c>
      <c r="I539" s="53">
        <f t="shared" si="9"/>
        <v>0</v>
      </c>
    </row>
    <row r="540" spans="2:9" hidden="1" x14ac:dyDescent="0.25">
      <c r="B540" s="48">
        <f>+'Metrics - Articles'!C537</f>
        <v>0</v>
      </c>
      <c r="C540">
        <f>COUNTIF('Metrics - Articles'!E462,"*Sports*")</f>
        <v>0</v>
      </c>
      <c r="D540">
        <f>COUNTIF('Metrics - Articles'!E462,"*Youth*")</f>
        <v>0</v>
      </c>
      <c r="E540">
        <f>COUNTIF('Metrics - Articles'!E462,"*Healthcare*")</f>
        <v>0</v>
      </c>
      <c r="F540">
        <f>COUNTIF('Metrics - Articles'!E462,"*Innovation")</f>
        <v>0</v>
      </c>
      <c r="G540">
        <f>COUNTIF('Metrics - Articles'!E462,"*Corporate*")</f>
        <v>0</v>
      </c>
      <c r="I540" s="53">
        <f t="shared" si="9"/>
        <v>0</v>
      </c>
    </row>
    <row r="541" spans="2:9" hidden="1" x14ac:dyDescent="0.25">
      <c r="B541" s="48">
        <f>+'Metrics - Articles'!C538</f>
        <v>0</v>
      </c>
      <c r="C541">
        <f>COUNTIF('Metrics - Articles'!E463,"*Sports*")</f>
        <v>0</v>
      </c>
      <c r="D541">
        <f>COUNTIF('Metrics - Articles'!E463,"*Youth*")</f>
        <v>0</v>
      </c>
      <c r="E541">
        <f>COUNTIF('Metrics - Articles'!E463,"*Healthcare*")</f>
        <v>0</v>
      </c>
      <c r="F541">
        <f>COUNTIF('Metrics - Articles'!E463,"*Innovation")</f>
        <v>0</v>
      </c>
      <c r="G541">
        <f>COUNTIF('Metrics - Articles'!E463,"*Corporate*")</f>
        <v>0</v>
      </c>
      <c r="I541" s="53">
        <f t="shared" si="9"/>
        <v>0</v>
      </c>
    </row>
    <row r="542" spans="2:9" hidden="1" x14ac:dyDescent="0.25">
      <c r="B542" s="48">
        <f>+'Metrics - Articles'!C539</f>
        <v>0</v>
      </c>
      <c r="C542">
        <f>COUNTIF('Metrics - Articles'!E464,"*Sports*")</f>
        <v>0</v>
      </c>
      <c r="D542">
        <f>COUNTIF('Metrics - Articles'!E464,"*Youth*")</f>
        <v>0</v>
      </c>
      <c r="E542">
        <f>COUNTIF('Metrics - Articles'!E464,"*Healthcare*")</f>
        <v>0</v>
      </c>
      <c r="F542">
        <f>COUNTIF('Metrics - Articles'!E464,"*Innovation")</f>
        <v>0</v>
      </c>
      <c r="G542">
        <f>COUNTIF('Metrics - Articles'!E464,"*Corporate*")</f>
        <v>0</v>
      </c>
      <c r="I542" s="53">
        <f t="shared" si="9"/>
        <v>0</v>
      </c>
    </row>
    <row r="543" spans="2:9" hidden="1" x14ac:dyDescent="0.25">
      <c r="B543" s="48">
        <f>+'Metrics - Articles'!C540</f>
        <v>0</v>
      </c>
      <c r="C543">
        <f>COUNTIF('Metrics - Articles'!E465,"*Sports*")</f>
        <v>0</v>
      </c>
      <c r="D543">
        <f>COUNTIF('Metrics - Articles'!E465,"*Youth*")</f>
        <v>0</v>
      </c>
      <c r="E543">
        <f>COUNTIF('Metrics - Articles'!E465,"*Healthcare*")</f>
        <v>0</v>
      </c>
      <c r="F543">
        <f>COUNTIF('Metrics - Articles'!E465,"*Innovation")</f>
        <v>0</v>
      </c>
      <c r="G543">
        <f>COUNTIF('Metrics - Articles'!E465,"*Corporate*")</f>
        <v>0</v>
      </c>
      <c r="I543" s="53">
        <f t="shared" si="9"/>
        <v>0</v>
      </c>
    </row>
    <row r="544" spans="2:9" hidden="1" x14ac:dyDescent="0.25">
      <c r="B544" s="48">
        <f>+'Metrics - Articles'!C541</f>
        <v>0</v>
      </c>
      <c r="C544">
        <f>COUNTIF('Metrics - Articles'!E466,"*Sports*")</f>
        <v>0</v>
      </c>
      <c r="D544">
        <f>COUNTIF('Metrics - Articles'!E466,"*Youth*")</f>
        <v>0</v>
      </c>
      <c r="E544">
        <f>COUNTIF('Metrics - Articles'!E466,"*Healthcare*")</f>
        <v>0</v>
      </c>
      <c r="F544">
        <f>COUNTIF('Metrics - Articles'!E466,"*Innovation")</f>
        <v>0</v>
      </c>
      <c r="G544">
        <f>COUNTIF('Metrics - Articles'!E466,"*Corporate*")</f>
        <v>0</v>
      </c>
      <c r="I544" s="53">
        <f t="shared" si="9"/>
        <v>0</v>
      </c>
    </row>
    <row r="545" spans="2:9" hidden="1" x14ac:dyDescent="0.25">
      <c r="B545" s="48">
        <f>+'Metrics - Articles'!C542</f>
        <v>0</v>
      </c>
      <c r="C545">
        <f>COUNTIF('Metrics - Articles'!E467,"*Sports*")</f>
        <v>0</v>
      </c>
      <c r="D545">
        <f>COUNTIF('Metrics - Articles'!E467,"*Youth*")</f>
        <v>0</v>
      </c>
      <c r="E545">
        <f>COUNTIF('Metrics - Articles'!E467,"*Healthcare*")</f>
        <v>0</v>
      </c>
      <c r="F545">
        <f>COUNTIF('Metrics - Articles'!E467,"*Innovation")</f>
        <v>0</v>
      </c>
      <c r="G545">
        <f>COUNTIF('Metrics - Articles'!E467,"*Corporate*")</f>
        <v>0</v>
      </c>
      <c r="I545" s="53">
        <f t="shared" si="9"/>
        <v>0</v>
      </c>
    </row>
    <row r="546" spans="2:9" hidden="1" x14ac:dyDescent="0.25">
      <c r="B546" s="48">
        <f>+'Metrics - Articles'!C543</f>
        <v>0</v>
      </c>
      <c r="C546">
        <f>COUNTIF('Metrics - Articles'!E468,"*Sports*")</f>
        <v>0</v>
      </c>
      <c r="D546">
        <f>COUNTIF('Metrics - Articles'!E468,"*Youth*")</f>
        <v>0</v>
      </c>
      <c r="E546">
        <f>COUNTIF('Metrics - Articles'!E468,"*Healthcare*")</f>
        <v>0</v>
      </c>
      <c r="F546">
        <f>COUNTIF('Metrics - Articles'!E468,"*Innovation")</f>
        <v>0</v>
      </c>
      <c r="G546">
        <f>COUNTIF('Metrics - Articles'!E468,"*Corporate*")</f>
        <v>0</v>
      </c>
      <c r="I546" s="53">
        <f t="shared" si="9"/>
        <v>0</v>
      </c>
    </row>
    <row r="547" spans="2:9" hidden="1" x14ac:dyDescent="0.25">
      <c r="B547" s="48">
        <f>+'Metrics - Articles'!C544</f>
        <v>0</v>
      </c>
      <c r="C547">
        <f>COUNTIF('Metrics - Articles'!E469,"*Sports*")</f>
        <v>0</v>
      </c>
      <c r="D547">
        <f>COUNTIF('Metrics - Articles'!E469,"*Youth*")</f>
        <v>0</v>
      </c>
      <c r="E547">
        <f>COUNTIF('Metrics - Articles'!E469,"*Healthcare*")</f>
        <v>0</v>
      </c>
      <c r="F547">
        <f>COUNTIF('Metrics - Articles'!E469,"*Innovation")</f>
        <v>0</v>
      </c>
      <c r="G547">
        <f>COUNTIF('Metrics - Articles'!E469,"*Corporate*")</f>
        <v>0</v>
      </c>
      <c r="I547" s="53">
        <f t="shared" si="9"/>
        <v>0</v>
      </c>
    </row>
    <row r="548" spans="2:9" hidden="1" x14ac:dyDescent="0.25">
      <c r="B548" s="48">
        <f>+'Metrics - Articles'!C545</f>
        <v>0</v>
      </c>
      <c r="C548">
        <f>COUNTIF('Metrics - Articles'!E470,"*Sports*")</f>
        <v>0</v>
      </c>
      <c r="D548">
        <f>COUNTIF('Metrics - Articles'!E470,"*Youth*")</f>
        <v>0</v>
      </c>
      <c r="E548">
        <f>COUNTIF('Metrics - Articles'!E470,"*Healthcare*")</f>
        <v>0</v>
      </c>
      <c r="F548">
        <f>COUNTIF('Metrics - Articles'!E470,"*Innovation")</f>
        <v>0</v>
      </c>
      <c r="G548">
        <f>COUNTIF('Metrics - Articles'!E470,"*Corporate*")</f>
        <v>0</v>
      </c>
      <c r="I548" s="53">
        <f t="shared" si="9"/>
        <v>0</v>
      </c>
    </row>
    <row r="549" spans="2:9" hidden="1" x14ac:dyDescent="0.25">
      <c r="B549" s="48">
        <f>+'Metrics - Articles'!C546</f>
        <v>0</v>
      </c>
      <c r="C549">
        <f>COUNTIF('Metrics - Articles'!E471,"*Sports*")</f>
        <v>0</v>
      </c>
      <c r="D549">
        <f>COUNTIF('Metrics - Articles'!E471,"*Youth*")</f>
        <v>0</v>
      </c>
      <c r="E549">
        <f>COUNTIF('Metrics - Articles'!E471,"*Healthcare*")</f>
        <v>0</v>
      </c>
      <c r="F549">
        <f>COUNTIF('Metrics - Articles'!E471,"*Innovation")</f>
        <v>0</v>
      </c>
      <c r="G549">
        <f>COUNTIF('Metrics - Articles'!E471,"*Corporate*")</f>
        <v>0</v>
      </c>
      <c r="I549" s="53">
        <f t="shared" si="9"/>
        <v>0</v>
      </c>
    </row>
    <row r="550" spans="2:9" hidden="1" x14ac:dyDescent="0.25">
      <c r="B550" s="48">
        <f>+'Metrics - Articles'!C547</f>
        <v>0</v>
      </c>
      <c r="C550">
        <f>COUNTIF('Metrics - Articles'!E472,"*Sports*")</f>
        <v>0</v>
      </c>
      <c r="D550">
        <f>COUNTIF('Metrics - Articles'!E472,"*Youth*")</f>
        <v>0</v>
      </c>
      <c r="E550">
        <f>COUNTIF('Metrics - Articles'!E472,"*Healthcare*")</f>
        <v>0</v>
      </c>
      <c r="F550">
        <f>COUNTIF('Metrics - Articles'!E472,"*Innovation")</f>
        <v>0</v>
      </c>
      <c r="G550">
        <f>COUNTIF('Metrics - Articles'!E472,"*Corporate*")</f>
        <v>0</v>
      </c>
      <c r="I550" s="53">
        <f t="shared" si="9"/>
        <v>0</v>
      </c>
    </row>
    <row r="551" spans="2:9" hidden="1" x14ac:dyDescent="0.25">
      <c r="B551" s="48">
        <f>+'Metrics - Articles'!C548</f>
        <v>0</v>
      </c>
      <c r="C551">
        <f>COUNTIF('Metrics - Articles'!E473,"*Sports*")</f>
        <v>0</v>
      </c>
      <c r="D551">
        <f>COUNTIF('Metrics - Articles'!E473,"*Youth*")</f>
        <v>0</v>
      </c>
      <c r="E551">
        <f>COUNTIF('Metrics - Articles'!E473,"*Healthcare*")</f>
        <v>0</v>
      </c>
      <c r="F551">
        <f>COUNTIF('Metrics - Articles'!E473,"*Innovation")</f>
        <v>0</v>
      </c>
      <c r="G551">
        <f>COUNTIF('Metrics - Articles'!E473,"*Corporate*")</f>
        <v>0</v>
      </c>
      <c r="I551" s="53">
        <f t="shared" si="9"/>
        <v>0</v>
      </c>
    </row>
    <row r="552" spans="2:9" hidden="1" x14ac:dyDescent="0.25">
      <c r="B552" s="48">
        <f>+'Metrics - Articles'!C549</f>
        <v>0</v>
      </c>
      <c r="C552">
        <f>COUNTIF('Metrics - Articles'!E474,"*Sports*")</f>
        <v>0</v>
      </c>
      <c r="D552">
        <f>COUNTIF('Metrics - Articles'!E474,"*Youth*")</f>
        <v>0</v>
      </c>
      <c r="E552">
        <f>COUNTIF('Metrics - Articles'!E474,"*Healthcare*")</f>
        <v>0</v>
      </c>
      <c r="F552">
        <f>COUNTIF('Metrics - Articles'!E474,"*Innovation")</f>
        <v>0</v>
      </c>
      <c r="G552">
        <f>COUNTIF('Metrics - Articles'!E474,"*Corporate*")</f>
        <v>0</v>
      </c>
      <c r="I552" s="53">
        <f t="shared" si="9"/>
        <v>0</v>
      </c>
    </row>
    <row r="553" spans="2:9" hidden="1" x14ac:dyDescent="0.25">
      <c r="B553" s="48">
        <f>+'Metrics - Articles'!C550</f>
        <v>0</v>
      </c>
      <c r="C553">
        <f>COUNTIF('Metrics - Articles'!E475,"*Sports*")</f>
        <v>0</v>
      </c>
      <c r="D553">
        <f>COUNTIF('Metrics - Articles'!E475,"*Youth*")</f>
        <v>0</v>
      </c>
      <c r="E553">
        <f>COUNTIF('Metrics - Articles'!E475,"*Healthcare*")</f>
        <v>0</v>
      </c>
      <c r="F553">
        <f>COUNTIF('Metrics - Articles'!E475,"*Innovation")</f>
        <v>0</v>
      </c>
      <c r="G553">
        <f>COUNTIF('Metrics - Articles'!E475,"*Corporate*")</f>
        <v>0</v>
      </c>
      <c r="I553" s="53">
        <f t="shared" si="9"/>
        <v>0</v>
      </c>
    </row>
    <row r="554" spans="2:9" hidden="1" x14ac:dyDescent="0.25">
      <c r="B554" s="48">
        <f>+'Metrics - Articles'!C551</f>
        <v>0</v>
      </c>
      <c r="C554">
        <f>COUNTIF('Metrics - Articles'!E476,"*Sports*")</f>
        <v>0</v>
      </c>
      <c r="D554">
        <f>COUNTIF('Metrics - Articles'!E476,"*Youth*")</f>
        <v>0</v>
      </c>
      <c r="E554">
        <f>COUNTIF('Metrics - Articles'!E476,"*Healthcare*")</f>
        <v>0</v>
      </c>
      <c r="F554">
        <f>COUNTIF('Metrics - Articles'!E476,"*Innovation")</f>
        <v>0</v>
      </c>
      <c r="G554">
        <f>COUNTIF('Metrics - Articles'!E476,"*Corporate*")</f>
        <v>0</v>
      </c>
      <c r="I554" s="53">
        <f t="shared" si="9"/>
        <v>0</v>
      </c>
    </row>
    <row r="555" spans="2:9" hidden="1" x14ac:dyDescent="0.25">
      <c r="B555" s="48">
        <f>+'Metrics - Articles'!C552</f>
        <v>0</v>
      </c>
      <c r="C555">
        <f>COUNTIF('Metrics - Articles'!E477,"*Sports*")</f>
        <v>0</v>
      </c>
      <c r="D555">
        <f>COUNTIF('Metrics - Articles'!E477,"*Youth*")</f>
        <v>0</v>
      </c>
      <c r="E555">
        <f>COUNTIF('Metrics - Articles'!E477,"*Healthcare*")</f>
        <v>0</v>
      </c>
      <c r="F555">
        <f>COUNTIF('Metrics - Articles'!E477,"*Innovation")</f>
        <v>0</v>
      </c>
      <c r="G555">
        <f>COUNTIF('Metrics - Articles'!E477,"*Corporate*")</f>
        <v>0</v>
      </c>
      <c r="I555" s="53">
        <f t="shared" si="9"/>
        <v>0</v>
      </c>
    </row>
    <row r="556" spans="2:9" hidden="1" x14ac:dyDescent="0.25">
      <c r="B556" s="48">
        <f>+'Metrics - Articles'!C553</f>
        <v>0</v>
      </c>
      <c r="C556">
        <f>COUNTIF('Metrics - Articles'!E478,"*Sports*")</f>
        <v>0</v>
      </c>
      <c r="D556">
        <f>COUNTIF('Metrics - Articles'!E478,"*Youth*")</f>
        <v>0</v>
      </c>
      <c r="E556">
        <f>COUNTIF('Metrics - Articles'!E478,"*Healthcare*")</f>
        <v>0</v>
      </c>
      <c r="F556">
        <f>COUNTIF('Metrics - Articles'!E478,"*Innovation")</f>
        <v>0</v>
      </c>
      <c r="G556">
        <f>COUNTIF('Metrics - Articles'!E478,"*Corporate*")</f>
        <v>0</v>
      </c>
      <c r="I556" s="53">
        <f t="shared" si="9"/>
        <v>0</v>
      </c>
    </row>
    <row r="557" spans="2:9" hidden="1" x14ac:dyDescent="0.25">
      <c r="B557" s="48">
        <f>+'Metrics - Articles'!C554</f>
        <v>0</v>
      </c>
      <c r="C557">
        <f>COUNTIF('Metrics - Articles'!E479,"*Sports*")</f>
        <v>0</v>
      </c>
      <c r="D557">
        <f>COUNTIF('Metrics - Articles'!E479,"*Youth*")</f>
        <v>0</v>
      </c>
      <c r="E557">
        <f>COUNTIF('Metrics - Articles'!E479,"*Healthcare*")</f>
        <v>0</v>
      </c>
      <c r="F557">
        <f>COUNTIF('Metrics - Articles'!E479,"*Innovation")</f>
        <v>0</v>
      </c>
      <c r="G557">
        <f>COUNTIF('Metrics - Articles'!E479,"*Corporate*")</f>
        <v>0</v>
      </c>
      <c r="I557" s="53">
        <f t="shared" si="9"/>
        <v>0</v>
      </c>
    </row>
    <row r="558" spans="2:9" hidden="1" x14ac:dyDescent="0.25">
      <c r="B558" s="48">
        <f>+'Metrics - Articles'!C555</f>
        <v>0</v>
      </c>
      <c r="C558">
        <f>COUNTIF('Metrics - Articles'!E480,"*Sports*")</f>
        <v>0</v>
      </c>
      <c r="D558">
        <f>COUNTIF('Metrics - Articles'!E480,"*Youth*")</f>
        <v>0</v>
      </c>
      <c r="E558">
        <f>COUNTIF('Metrics - Articles'!E480,"*Healthcare*")</f>
        <v>0</v>
      </c>
      <c r="F558">
        <f>COUNTIF('Metrics - Articles'!E480,"*Innovation")</f>
        <v>0</v>
      </c>
      <c r="G558">
        <f>COUNTIF('Metrics - Articles'!E480,"*Corporate*")</f>
        <v>0</v>
      </c>
      <c r="I558" s="53">
        <f t="shared" si="9"/>
        <v>0</v>
      </c>
    </row>
    <row r="559" spans="2:9" hidden="1" x14ac:dyDescent="0.25">
      <c r="B559" s="48">
        <f>+'Metrics - Articles'!C556</f>
        <v>0</v>
      </c>
      <c r="C559">
        <f>COUNTIF('Metrics - Articles'!E481,"*Sports*")</f>
        <v>0</v>
      </c>
      <c r="D559">
        <f>COUNTIF('Metrics - Articles'!E481,"*Youth*")</f>
        <v>0</v>
      </c>
      <c r="E559">
        <f>COUNTIF('Metrics - Articles'!E481,"*Healthcare*")</f>
        <v>0</v>
      </c>
      <c r="F559">
        <f>COUNTIF('Metrics - Articles'!E481,"*Innovation")</f>
        <v>0</v>
      </c>
      <c r="G559">
        <f>COUNTIF('Metrics - Articles'!E481,"*Corporate*")</f>
        <v>0</v>
      </c>
      <c r="I559" s="53">
        <f t="shared" si="9"/>
        <v>0</v>
      </c>
    </row>
    <row r="560" spans="2:9" hidden="1" x14ac:dyDescent="0.25">
      <c r="B560" s="48">
        <f>+'Metrics - Articles'!C557</f>
        <v>0</v>
      </c>
      <c r="C560">
        <f>COUNTIF('Metrics - Articles'!E482,"*Sports*")</f>
        <v>0</v>
      </c>
      <c r="D560">
        <f>COUNTIF('Metrics - Articles'!E482,"*Youth*")</f>
        <v>0</v>
      </c>
      <c r="E560">
        <f>COUNTIF('Metrics - Articles'!E482,"*Healthcare*")</f>
        <v>0</v>
      </c>
      <c r="F560">
        <f>COUNTIF('Metrics - Articles'!E482,"*Innovation")</f>
        <v>0</v>
      </c>
      <c r="G560">
        <f>COUNTIF('Metrics - Articles'!E482,"*Corporate*")</f>
        <v>0</v>
      </c>
      <c r="I560" s="53">
        <f t="shared" si="9"/>
        <v>0</v>
      </c>
    </row>
    <row r="561" spans="2:9" hidden="1" x14ac:dyDescent="0.25">
      <c r="B561" s="48">
        <f>+'Metrics - Articles'!C558</f>
        <v>0</v>
      </c>
      <c r="C561">
        <f>COUNTIF('Metrics - Articles'!E483,"*Sports*")</f>
        <v>0</v>
      </c>
      <c r="D561">
        <f>COUNTIF('Metrics - Articles'!E483,"*Youth*")</f>
        <v>0</v>
      </c>
      <c r="E561">
        <f>COUNTIF('Metrics - Articles'!E483,"*Healthcare*")</f>
        <v>0</v>
      </c>
      <c r="F561">
        <f>COUNTIF('Metrics - Articles'!E483,"*Innovation")</f>
        <v>0</v>
      </c>
      <c r="G561">
        <f>COUNTIF('Metrics - Articles'!E483,"*Corporate*")</f>
        <v>0</v>
      </c>
      <c r="I561" s="53">
        <f t="shared" si="9"/>
        <v>0</v>
      </c>
    </row>
    <row r="562" spans="2:9" hidden="1" x14ac:dyDescent="0.25">
      <c r="B562" s="48">
        <f>+'Metrics - Articles'!C559</f>
        <v>0</v>
      </c>
      <c r="C562">
        <f>COUNTIF('Metrics - Articles'!E484,"*Sports*")</f>
        <v>0</v>
      </c>
      <c r="D562">
        <f>COUNTIF('Metrics - Articles'!E484,"*Youth*")</f>
        <v>0</v>
      </c>
      <c r="E562">
        <f>COUNTIF('Metrics - Articles'!E484,"*Healthcare*")</f>
        <v>0</v>
      </c>
      <c r="F562">
        <f>COUNTIF('Metrics - Articles'!E484,"*Innovation")</f>
        <v>0</v>
      </c>
      <c r="G562">
        <f>COUNTIF('Metrics - Articles'!E484,"*Corporate*")</f>
        <v>0</v>
      </c>
      <c r="I562" s="53">
        <f t="shared" si="9"/>
        <v>0</v>
      </c>
    </row>
    <row r="563" spans="2:9" hidden="1" x14ac:dyDescent="0.25">
      <c r="B563" s="48">
        <f>+'Metrics - Articles'!C560</f>
        <v>0</v>
      </c>
      <c r="C563">
        <f>COUNTIF('Metrics - Articles'!E485,"*Sports*")</f>
        <v>0</v>
      </c>
      <c r="D563">
        <f>COUNTIF('Metrics - Articles'!E485,"*Youth*")</f>
        <v>0</v>
      </c>
      <c r="E563">
        <f>COUNTIF('Metrics - Articles'!E485,"*Healthcare*")</f>
        <v>0</v>
      </c>
      <c r="F563">
        <f>COUNTIF('Metrics - Articles'!E485,"*Innovation")</f>
        <v>0</v>
      </c>
      <c r="G563">
        <f>COUNTIF('Metrics - Articles'!E485,"*Corporate*")</f>
        <v>0</v>
      </c>
      <c r="I563" s="53">
        <f t="shared" si="9"/>
        <v>0</v>
      </c>
    </row>
    <row r="564" spans="2:9" hidden="1" x14ac:dyDescent="0.25">
      <c r="B564" s="48">
        <f>+'Metrics - Articles'!C561</f>
        <v>0</v>
      </c>
      <c r="C564">
        <f>COUNTIF('Metrics - Articles'!E486,"*Sports*")</f>
        <v>0</v>
      </c>
      <c r="D564">
        <f>COUNTIF('Metrics - Articles'!E486,"*Youth*")</f>
        <v>0</v>
      </c>
      <c r="E564">
        <f>COUNTIF('Metrics - Articles'!E486,"*Healthcare*")</f>
        <v>0</v>
      </c>
      <c r="F564">
        <f>COUNTIF('Metrics - Articles'!E486,"*Innovation")</f>
        <v>0</v>
      </c>
      <c r="G564">
        <f>COUNTIF('Metrics - Articles'!E486,"*Corporate*")</f>
        <v>0</v>
      </c>
      <c r="I564" s="53">
        <f t="shared" si="9"/>
        <v>0</v>
      </c>
    </row>
    <row r="565" spans="2:9" hidden="1" x14ac:dyDescent="0.25">
      <c r="B565" s="48">
        <f>+'Metrics - Articles'!C562</f>
        <v>0</v>
      </c>
      <c r="C565">
        <f>COUNTIF('Metrics - Articles'!E487,"*Sports*")</f>
        <v>0</v>
      </c>
      <c r="D565">
        <f>COUNTIF('Metrics - Articles'!E487,"*Youth*")</f>
        <v>0</v>
      </c>
      <c r="E565">
        <f>COUNTIF('Metrics - Articles'!E487,"*Healthcare*")</f>
        <v>0</v>
      </c>
      <c r="F565">
        <f>COUNTIF('Metrics - Articles'!E487,"*Innovation")</f>
        <v>0</v>
      </c>
      <c r="G565">
        <f>COUNTIF('Metrics - Articles'!E487,"*Corporate*")</f>
        <v>0</v>
      </c>
      <c r="I565" s="53">
        <f t="shared" si="9"/>
        <v>0</v>
      </c>
    </row>
    <row r="566" spans="2:9" hidden="1" x14ac:dyDescent="0.25">
      <c r="B566" s="48">
        <f>+'Metrics - Articles'!C563</f>
        <v>0</v>
      </c>
      <c r="C566">
        <f>COUNTIF('Metrics - Articles'!E488,"*Sports*")</f>
        <v>0</v>
      </c>
      <c r="D566">
        <f>COUNTIF('Metrics - Articles'!E488,"*Youth*")</f>
        <v>0</v>
      </c>
      <c r="E566">
        <f>COUNTIF('Metrics - Articles'!E488,"*Healthcare*")</f>
        <v>0</v>
      </c>
      <c r="F566">
        <f>COUNTIF('Metrics - Articles'!E488,"*Innovation")</f>
        <v>0</v>
      </c>
      <c r="G566">
        <f>COUNTIF('Metrics - Articles'!E488,"*Corporate*")</f>
        <v>0</v>
      </c>
      <c r="I566" s="53">
        <f t="shared" si="9"/>
        <v>0</v>
      </c>
    </row>
    <row r="567" spans="2:9" hidden="1" x14ac:dyDescent="0.25">
      <c r="B567" s="48">
        <f>+'Metrics - Articles'!C564</f>
        <v>0</v>
      </c>
      <c r="C567">
        <f>COUNTIF('Metrics - Articles'!E489,"*Sports*")</f>
        <v>0</v>
      </c>
      <c r="D567">
        <f>COUNTIF('Metrics - Articles'!E489,"*Youth*")</f>
        <v>0</v>
      </c>
      <c r="E567">
        <f>COUNTIF('Metrics - Articles'!E489,"*Healthcare*")</f>
        <v>0</v>
      </c>
      <c r="F567">
        <f>COUNTIF('Metrics - Articles'!E489,"*Innovation")</f>
        <v>0</v>
      </c>
      <c r="G567">
        <f>COUNTIF('Metrics - Articles'!E489,"*Corporate*")</f>
        <v>0</v>
      </c>
      <c r="I567" s="53">
        <f t="shared" si="9"/>
        <v>0</v>
      </c>
    </row>
    <row r="568" spans="2:9" hidden="1" x14ac:dyDescent="0.25">
      <c r="B568" s="48">
        <f>+'Metrics - Articles'!C565</f>
        <v>0</v>
      </c>
      <c r="C568">
        <f>COUNTIF('Metrics - Articles'!E490,"*Sports*")</f>
        <v>0</v>
      </c>
      <c r="D568">
        <f>COUNTIF('Metrics - Articles'!E490,"*Youth*")</f>
        <v>0</v>
      </c>
      <c r="E568">
        <f>COUNTIF('Metrics - Articles'!E490,"*Healthcare*")</f>
        <v>0</v>
      </c>
      <c r="F568">
        <f>COUNTIF('Metrics - Articles'!E490,"*Innovation")</f>
        <v>0</v>
      </c>
      <c r="G568">
        <f>COUNTIF('Metrics - Articles'!E490,"*Corporate*")</f>
        <v>0</v>
      </c>
      <c r="I568" s="53">
        <f t="shared" si="9"/>
        <v>0</v>
      </c>
    </row>
    <row r="569" spans="2:9" hidden="1" x14ac:dyDescent="0.25">
      <c r="B569" s="48">
        <f>+'Metrics - Articles'!C566</f>
        <v>0</v>
      </c>
      <c r="C569">
        <f>COUNTIF('Metrics - Articles'!E491,"*Sports*")</f>
        <v>0</v>
      </c>
      <c r="D569">
        <f>COUNTIF('Metrics - Articles'!E491,"*Youth*")</f>
        <v>0</v>
      </c>
      <c r="E569">
        <f>COUNTIF('Metrics - Articles'!E491,"*Healthcare*")</f>
        <v>0</v>
      </c>
      <c r="F569">
        <f>COUNTIF('Metrics - Articles'!E491,"*Innovation")</f>
        <v>0</v>
      </c>
      <c r="G569">
        <f>COUNTIF('Metrics - Articles'!E491,"*Corporate*")</f>
        <v>0</v>
      </c>
      <c r="I569" s="53">
        <f t="shared" si="9"/>
        <v>0</v>
      </c>
    </row>
    <row r="570" spans="2:9" hidden="1" x14ac:dyDescent="0.25">
      <c r="B570" s="48">
        <f>+'Metrics - Articles'!C567</f>
        <v>0</v>
      </c>
      <c r="C570">
        <f>COUNTIF('Metrics - Articles'!E492,"*Sports*")</f>
        <v>0</v>
      </c>
      <c r="D570">
        <f>COUNTIF('Metrics - Articles'!E492,"*Youth*")</f>
        <v>0</v>
      </c>
      <c r="E570">
        <f>COUNTIF('Metrics - Articles'!E492,"*Healthcare*")</f>
        <v>0</v>
      </c>
      <c r="F570">
        <f>COUNTIF('Metrics - Articles'!E492,"*Innovation")</f>
        <v>0</v>
      </c>
      <c r="G570">
        <f>COUNTIF('Metrics - Articles'!E492,"*Corporate*")</f>
        <v>0</v>
      </c>
      <c r="I570" s="53">
        <f t="shared" si="9"/>
        <v>0</v>
      </c>
    </row>
    <row r="571" spans="2:9" hidden="1" x14ac:dyDescent="0.25">
      <c r="B571" s="48">
        <f>+'Metrics - Articles'!C568</f>
        <v>0</v>
      </c>
      <c r="C571">
        <f>COUNTIF('Metrics - Articles'!E493,"*Sports*")</f>
        <v>0</v>
      </c>
      <c r="D571">
        <f>COUNTIF('Metrics - Articles'!E493,"*Youth*")</f>
        <v>0</v>
      </c>
      <c r="E571">
        <f>COUNTIF('Metrics - Articles'!E493,"*Healthcare*")</f>
        <v>0</v>
      </c>
      <c r="F571">
        <f>COUNTIF('Metrics - Articles'!E493,"*Innovation")</f>
        <v>0</v>
      </c>
      <c r="G571">
        <f>COUNTIF('Metrics - Articles'!E493,"*Corporate*")</f>
        <v>0</v>
      </c>
      <c r="I571" s="53">
        <f t="shared" si="9"/>
        <v>0</v>
      </c>
    </row>
    <row r="572" spans="2:9" hidden="1" x14ac:dyDescent="0.25">
      <c r="B572" s="48">
        <f>+'Metrics - Articles'!C569</f>
        <v>0</v>
      </c>
      <c r="C572">
        <f>COUNTIF('Metrics - Articles'!E494,"*Sports*")</f>
        <v>0</v>
      </c>
      <c r="D572">
        <f>COUNTIF('Metrics - Articles'!E494,"*Youth*")</f>
        <v>0</v>
      </c>
      <c r="E572">
        <f>COUNTIF('Metrics - Articles'!E494,"*Healthcare*")</f>
        <v>0</v>
      </c>
      <c r="F572">
        <f>COUNTIF('Metrics - Articles'!E494,"*Innovation")</f>
        <v>0</v>
      </c>
      <c r="G572">
        <f>COUNTIF('Metrics - Articles'!E494,"*Corporate*")</f>
        <v>0</v>
      </c>
      <c r="I572" s="53">
        <f t="shared" si="9"/>
        <v>0</v>
      </c>
    </row>
    <row r="573" spans="2:9" hidden="1" x14ac:dyDescent="0.25">
      <c r="B573" s="48">
        <f>+'Metrics - Articles'!C570</f>
        <v>0</v>
      </c>
      <c r="C573">
        <f>COUNTIF('Metrics - Articles'!E495,"*Sports*")</f>
        <v>0</v>
      </c>
      <c r="D573">
        <f>COUNTIF('Metrics - Articles'!E495,"*Youth*")</f>
        <v>0</v>
      </c>
      <c r="E573">
        <f>COUNTIF('Metrics - Articles'!E495,"*Healthcare*")</f>
        <v>0</v>
      </c>
      <c r="F573">
        <f>COUNTIF('Metrics - Articles'!E495,"*Innovation")</f>
        <v>0</v>
      </c>
      <c r="G573">
        <f>COUNTIF('Metrics - Articles'!E495,"*Corporate*")</f>
        <v>0</v>
      </c>
      <c r="I573" s="53">
        <f t="shared" si="9"/>
        <v>0</v>
      </c>
    </row>
    <row r="574" spans="2:9" hidden="1" x14ac:dyDescent="0.25">
      <c r="B574" s="48">
        <f>+'Metrics - Articles'!C571</f>
        <v>0</v>
      </c>
      <c r="C574">
        <f>COUNTIF('Metrics - Articles'!E496,"*Sports*")</f>
        <v>0</v>
      </c>
      <c r="D574">
        <f>COUNTIF('Metrics - Articles'!E496,"*Youth*")</f>
        <v>0</v>
      </c>
      <c r="E574">
        <f>COUNTIF('Metrics - Articles'!E496,"*Healthcare*")</f>
        <v>0</v>
      </c>
      <c r="F574">
        <f>COUNTIF('Metrics - Articles'!E496,"*Innovation")</f>
        <v>0</v>
      </c>
      <c r="G574">
        <f>COUNTIF('Metrics - Articles'!E496,"*Corporate*")</f>
        <v>0</v>
      </c>
      <c r="I574" s="53">
        <f t="shared" si="9"/>
        <v>0</v>
      </c>
    </row>
    <row r="575" spans="2:9" hidden="1" x14ac:dyDescent="0.25">
      <c r="B575" s="48">
        <f>+'Metrics - Articles'!C572</f>
        <v>0</v>
      </c>
      <c r="C575">
        <f>COUNTIF('Metrics - Articles'!E497,"*Sports*")</f>
        <v>0</v>
      </c>
      <c r="D575">
        <f>COUNTIF('Metrics - Articles'!E497,"*Youth*")</f>
        <v>0</v>
      </c>
      <c r="E575">
        <f>COUNTIF('Metrics - Articles'!E497,"*Healthcare*")</f>
        <v>0</v>
      </c>
      <c r="F575">
        <f>COUNTIF('Metrics - Articles'!E497,"*Innovation")</f>
        <v>0</v>
      </c>
      <c r="G575">
        <f>COUNTIF('Metrics - Articles'!E497,"*Corporate*")</f>
        <v>0</v>
      </c>
      <c r="I575" s="53">
        <f t="shared" si="9"/>
        <v>0</v>
      </c>
    </row>
    <row r="576" spans="2:9" hidden="1" x14ac:dyDescent="0.25">
      <c r="B576" s="48">
        <f>+'Metrics - Articles'!C573</f>
        <v>0</v>
      </c>
      <c r="C576">
        <f>COUNTIF('Metrics - Articles'!E498,"*Sports*")</f>
        <v>0</v>
      </c>
      <c r="D576">
        <f>COUNTIF('Metrics - Articles'!E498,"*Youth*")</f>
        <v>0</v>
      </c>
      <c r="E576">
        <f>COUNTIF('Metrics - Articles'!E498,"*Healthcare*")</f>
        <v>0</v>
      </c>
      <c r="F576">
        <f>COUNTIF('Metrics - Articles'!E498,"*Innovation")</f>
        <v>0</v>
      </c>
      <c r="G576">
        <f>COUNTIF('Metrics - Articles'!E498,"*Corporate*")</f>
        <v>0</v>
      </c>
      <c r="I576" s="53">
        <f t="shared" si="9"/>
        <v>0</v>
      </c>
    </row>
    <row r="577" spans="2:9" hidden="1" x14ac:dyDescent="0.25">
      <c r="B577" s="48">
        <f>+'Metrics - Articles'!C574</f>
        <v>0</v>
      </c>
      <c r="C577">
        <f>COUNTIF('Metrics - Articles'!E499,"*Sports*")</f>
        <v>0</v>
      </c>
      <c r="D577">
        <f>COUNTIF('Metrics - Articles'!E499,"*Youth*")</f>
        <v>0</v>
      </c>
      <c r="E577">
        <f>COUNTIF('Metrics - Articles'!E499,"*Healthcare*")</f>
        <v>0</v>
      </c>
      <c r="F577">
        <f>COUNTIF('Metrics - Articles'!E499,"*Innovation")</f>
        <v>0</v>
      </c>
      <c r="G577">
        <f>COUNTIF('Metrics - Articles'!E499,"*Corporate*")</f>
        <v>0</v>
      </c>
      <c r="I577" s="53">
        <f t="shared" si="9"/>
        <v>0</v>
      </c>
    </row>
    <row r="578" spans="2:9" hidden="1" x14ac:dyDescent="0.25">
      <c r="B578" s="48">
        <f>+'Metrics - Articles'!C575</f>
        <v>0</v>
      </c>
      <c r="C578">
        <f>COUNTIF('Metrics - Articles'!E500,"*Sports*")</f>
        <v>0</v>
      </c>
      <c r="D578">
        <f>COUNTIF('Metrics - Articles'!E500,"*Youth*")</f>
        <v>0</v>
      </c>
      <c r="E578">
        <f>COUNTIF('Metrics - Articles'!E500,"*Healthcare*")</f>
        <v>0</v>
      </c>
      <c r="F578">
        <f>COUNTIF('Metrics - Articles'!E500,"*Innovation")</f>
        <v>0</v>
      </c>
      <c r="G578">
        <f>COUNTIF('Metrics - Articles'!E500,"*Corporate*")</f>
        <v>0</v>
      </c>
      <c r="I578" s="53">
        <f t="shared" si="9"/>
        <v>0</v>
      </c>
    </row>
    <row r="579" spans="2:9" hidden="1" x14ac:dyDescent="0.25">
      <c r="B579" s="48">
        <f>+'Metrics - Articles'!C576</f>
        <v>0</v>
      </c>
      <c r="C579">
        <f>COUNTIF('Metrics - Articles'!E501,"*Sports*")</f>
        <v>0</v>
      </c>
      <c r="D579">
        <f>COUNTIF('Metrics - Articles'!E501,"*Youth*")</f>
        <v>0</v>
      </c>
      <c r="E579">
        <f>COUNTIF('Metrics - Articles'!E501,"*Healthcare*")</f>
        <v>0</v>
      </c>
      <c r="F579">
        <f>COUNTIF('Metrics - Articles'!E501,"*Innovation")</f>
        <v>0</v>
      </c>
      <c r="G579">
        <f>COUNTIF('Metrics - Articles'!E501,"*Corporate*")</f>
        <v>0</v>
      </c>
      <c r="I579" s="53">
        <f t="shared" si="9"/>
        <v>0</v>
      </c>
    </row>
    <row r="580" spans="2:9" hidden="1" x14ac:dyDescent="0.25">
      <c r="B580" s="48">
        <f>+'Metrics - Articles'!C577</f>
        <v>0</v>
      </c>
      <c r="C580">
        <f>COUNTIF('Metrics - Articles'!E502,"*Sports*")</f>
        <v>0</v>
      </c>
      <c r="D580">
        <f>COUNTIF('Metrics - Articles'!E502,"*Youth*")</f>
        <v>0</v>
      </c>
      <c r="E580">
        <f>COUNTIF('Metrics - Articles'!E502,"*Healthcare*")</f>
        <v>0</v>
      </c>
      <c r="F580">
        <f>COUNTIF('Metrics - Articles'!E502,"*Innovation")</f>
        <v>0</v>
      </c>
      <c r="G580">
        <f>COUNTIF('Metrics - Articles'!E502,"*Corporate*")</f>
        <v>0</v>
      </c>
      <c r="I580" s="53">
        <f t="shared" si="9"/>
        <v>0</v>
      </c>
    </row>
    <row r="581" spans="2:9" hidden="1" x14ac:dyDescent="0.25">
      <c r="B581" s="48">
        <f>+'Metrics - Articles'!C578</f>
        <v>0</v>
      </c>
      <c r="C581">
        <f>COUNTIF('Metrics - Articles'!E503,"*Sports*")</f>
        <v>0</v>
      </c>
      <c r="D581">
        <f>COUNTIF('Metrics - Articles'!E503,"*Youth*")</f>
        <v>0</v>
      </c>
      <c r="E581">
        <f>COUNTIF('Metrics - Articles'!E503,"*Healthcare*")</f>
        <v>0</v>
      </c>
      <c r="F581">
        <f>COUNTIF('Metrics - Articles'!E503,"*Innovation")</f>
        <v>0</v>
      </c>
      <c r="G581">
        <f>COUNTIF('Metrics - Articles'!E503,"*Corporate*")</f>
        <v>0</v>
      </c>
      <c r="I581" s="53">
        <f t="shared" si="9"/>
        <v>0</v>
      </c>
    </row>
    <row r="582" spans="2:9" hidden="1" x14ac:dyDescent="0.25">
      <c r="B582" s="48">
        <f>+'Metrics - Articles'!C579</f>
        <v>0</v>
      </c>
      <c r="C582">
        <f>COUNTIF('Metrics - Articles'!E504,"*Sports*")</f>
        <v>0</v>
      </c>
      <c r="D582">
        <f>COUNTIF('Metrics - Articles'!E504,"*Youth*")</f>
        <v>0</v>
      </c>
      <c r="E582">
        <f>COUNTIF('Metrics - Articles'!E504,"*Healthcare*")</f>
        <v>0</v>
      </c>
      <c r="F582">
        <f>COUNTIF('Metrics - Articles'!E504,"*Innovation")</f>
        <v>0</v>
      </c>
      <c r="G582">
        <f>COUNTIF('Metrics - Articles'!E504,"*Corporate*")</f>
        <v>0</v>
      </c>
      <c r="I582" s="53">
        <f t="shared" si="9"/>
        <v>0</v>
      </c>
    </row>
    <row r="583" spans="2:9" hidden="1" x14ac:dyDescent="0.25">
      <c r="B583" s="48">
        <f>+'Metrics - Articles'!C580</f>
        <v>0</v>
      </c>
      <c r="C583">
        <f>COUNTIF('Metrics - Articles'!E505,"*Sports*")</f>
        <v>0</v>
      </c>
      <c r="D583">
        <f>COUNTIF('Metrics - Articles'!E505,"*Youth*")</f>
        <v>0</v>
      </c>
      <c r="E583">
        <f>COUNTIF('Metrics - Articles'!E505,"*Healthcare*")</f>
        <v>0</v>
      </c>
      <c r="F583">
        <f>COUNTIF('Metrics - Articles'!E505,"*Innovation")</f>
        <v>0</v>
      </c>
      <c r="G583">
        <f>COUNTIF('Metrics - Articles'!E505,"*Corporate*")</f>
        <v>0</v>
      </c>
      <c r="I583" s="53">
        <f t="shared" si="9"/>
        <v>0</v>
      </c>
    </row>
    <row r="584" spans="2:9" hidden="1" x14ac:dyDescent="0.25">
      <c r="B584" s="48">
        <f>+'Metrics - Articles'!C581</f>
        <v>0</v>
      </c>
      <c r="C584">
        <f>COUNTIF('Metrics - Articles'!E506,"*Sports*")</f>
        <v>0</v>
      </c>
      <c r="D584">
        <f>COUNTIF('Metrics - Articles'!E506,"*Youth*")</f>
        <v>0</v>
      </c>
      <c r="E584">
        <f>COUNTIF('Metrics - Articles'!E506,"*Healthcare*")</f>
        <v>0</v>
      </c>
      <c r="F584">
        <f>COUNTIF('Metrics - Articles'!E506,"*Innovation")</f>
        <v>0</v>
      </c>
      <c r="G584">
        <f>COUNTIF('Metrics - Articles'!E506,"*Corporate*")</f>
        <v>0</v>
      </c>
      <c r="I584" s="53">
        <f t="shared" ref="I584:I647" si="10">SUM(C584:H584)</f>
        <v>0</v>
      </c>
    </row>
    <row r="585" spans="2:9" hidden="1" x14ac:dyDescent="0.25">
      <c r="B585" s="48">
        <f>+'Metrics - Articles'!C582</f>
        <v>0</v>
      </c>
      <c r="C585">
        <f>COUNTIF('Metrics - Articles'!E507,"*Sports*")</f>
        <v>0</v>
      </c>
      <c r="D585">
        <f>COUNTIF('Metrics - Articles'!E507,"*Youth*")</f>
        <v>0</v>
      </c>
      <c r="E585">
        <f>COUNTIF('Metrics - Articles'!E507,"*Healthcare*")</f>
        <v>0</v>
      </c>
      <c r="F585">
        <f>COUNTIF('Metrics - Articles'!E507,"*Innovation")</f>
        <v>0</v>
      </c>
      <c r="G585">
        <f>COUNTIF('Metrics - Articles'!E507,"*Corporate*")</f>
        <v>0</v>
      </c>
      <c r="I585" s="53">
        <f t="shared" si="10"/>
        <v>0</v>
      </c>
    </row>
    <row r="586" spans="2:9" hidden="1" x14ac:dyDescent="0.25">
      <c r="B586" s="48">
        <f>+'Metrics - Articles'!C583</f>
        <v>0</v>
      </c>
      <c r="C586">
        <f>COUNTIF('Metrics - Articles'!E508,"*Sports*")</f>
        <v>0</v>
      </c>
      <c r="D586">
        <f>COUNTIF('Metrics - Articles'!E508,"*Youth*")</f>
        <v>0</v>
      </c>
      <c r="E586">
        <f>COUNTIF('Metrics - Articles'!E508,"*Healthcare*")</f>
        <v>0</v>
      </c>
      <c r="F586">
        <f>COUNTIF('Metrics - Articles'!E508,"*Innovation")</f>
        <v>0</v>
      </c>
      <c r="G586">
        <f>COUNTIF('Metrics - Articles'!E508,"*Corporate*")</f>
        <v>0</v>
      </c>
      <c r="I586" s="53">
        <f t="shared" si="10"/>
        <v>0</v>
      </c>
    </row>
    <row r="587" spans="2:9" hidden="1" x14ac:dyDescent="0.25">
      <c r="B587" s="48">
        <f>+'Metrics - Articles'!C584</f>
        <v>0</v>
      </c>
      <c r="C587">
        <f>COUNTIF('Metrics - Articles'!E509,"*Sports*")</f>
        <v>0</v>
      </c>
      <c r="D587">
        <f>COUNTIF('Metrics - Articles'!E509,"*Youth*")</f>
        <v>0</v>
      </c>
      <c r="E587">
        <f>COUNTIF('Metrics - Articles'!E509,"*Healthcare*")</f>
        <v>0</v>
      </c>
      <c r="F587">
        <f>COUNTIF('Metrics - Articles'!E509,"*Innovation")</f>
        <v>0</v>
      </c>
      <c r="G587">
        <f>COUNTIF('Metrics - Articles'!E509,"*Corporate*")</f>
        <v>0</v>
      </c>
      <c r="I587" s="53">
        <f t="shared" si="10"/>
        <v>0</v>
      </c>
    </row>
    <row r="588" spans="2:9" hidden="1" x14ac:dyDescent="0.25">
      <c r="B588" s="48">
        <f>+'Metrics - Articles'!C585</f>
        <v>0</v>
      </c>
      <c r="C588">
        <f>COUNTIF('Metrics - Articles'!E510,"*Sports*")</f>
        <v>0</v>
      </c>
      <c r="D588">
        <f>COUNTIF('Metrics - Articles'!E510,"*Youth*")</f>
        <v>0</v>
      </c>
      <c r="E588">
        <f>COUNTIF('Metrics - Articles'!E510,"*Healthcare*")</f>
        <v>0</v>
      </c>
      <c r="F588">
        <f>COUNTIF('Metrics - Articles'!E510,"*Innovation")</f>
        <v>0</v>
      </c>
      <c r="G588">
        <f>COUNTIF('Metrics - Articles'!E510,"*Corporate*")</f>
        <v>0</v>
      </c>
      <c r="I588" s="53">
        <f t="shared" si="10"/>
        <v>0</v>
      </c>
    </row>
    <row r="589" spans="2:9" hidden="1" x14ac:dyDescent="0.25">
      <c r="B589" s="48">
        <f>+'Metrics - Articles'!C586</f>
        <v>0</v>
      </c>
      <c r="C589">
        <f>COUNTIF('Metrics - Articles'!E511,"*Sports*")</f>
        <v>0</v>
      </c>
      <c r="D589">
        <f>COUNTIF('Metrics - Articles'!E511,"*Youth*")</f>
        <v>0</v>
      </c>
      <c r="E589">
        <f>COUNTIF('Metrics - Articles'!E511,"*Healthcare*")</f>
        <v>0</v>
      </c>
      <c r="F589">
        <f>COUNTIF('Metrics - Articles'!E511,"*Innovation")</f>
        <v>0</v>
      </c>
      <c r="G589">
        <f>COUNTIF('Metrics - Articles'!E511,"*Corporate*")</f>
        <v>0</v>
      </c>
      <c r="I589" s="53">
        <f t="shared" si="10"/>
        <v>0</v>
      </c>
    </row>
    <row r="590" spans="2:9" hidden="1" x14ac:dyDescent="0.25">
      <c r="B590" s="48">
        <f>+'Metrics - Articles'!C587</f>
        <v>0</v>
      </c>
      <c r="C590">
        <f>COUNTIF('Metrics - Articles'!E512,"*Sports*")</f>
        <v>0</v>
      </c>
      <c r="D590">
        <f>COUNTIF('Metrics - Articles'!E512,"*Youth*")</f>
        <v>0</v>
      </c>
      <c r="E590">
        <f>COUNTIF('Metrics - Articles'!E512,"*Healthcare*")</f>
        <v>0</v>
      </c>
      <c r="F590">
        <f>COUNTIF('Metrics - Articles'!E512,"*Innovation")</f>
        <v>0</v>
      </c>
      <c r="G590">
        <f>COUNTIF('Metrics - Articles'!E512,"*Corporate*")</f>
        <v>0</v>
      </c>
      <c r="I590" s="53">
        <f t="shared" si="10"/>
        <v>0</v>
      </c>
    </row>
    <row r="591" spans="2:9" hidden="1" x14ac:dyDescent="0.25">
      <c r="B591" s="48">
        <f>+'Metrics - Articles'!C588</f>
        <v>0</v>
      </c>
      <c r="C591">
        <f>COUNTIF('Metrics - Articles'!E513,"*Sports*")</f>
        <v>0</v>
      </c>
      <c r="D591">
        <f>COUNTIF('Metrics - Articles'!E513,"*Youth*")</f>
        <v>0</v>
      </c>
      <c r="E591">
        <f>COUNTIF('Metrics - Articles'!E513,"*Healthcare*")</f>
        <v>0</v>
      </c>
      <c r="F591">
        <f>COUNTIF('Metrics - Articles'!E513,"*Innovation")</f>
        <v>0</v>
      </c>
      <c r="G591">
        <f>COUNTIF('Metrics - Articles'!E513,"*Corporate*")</f>
        <v>0</v>
      </c>
      <c r="I591" s="53">
        <f t="shared" si="10"/>
        <v>0</v>
      </c>
    </row>
    <row r="592" spans="2:9" hidden="1" x14ac:dyDescent="0.25">
      <c r="B592" s="48">
        <f>+'Metrics - Articles'!C589</f>
        <v>0</v>
      </c>
      <c r="C592">
        <f>COUNTIF('Metrics - Articles'!E514,"*Sports*")</f>
        <v>0</v>
      </c>
      <c r="D592">
        <f>COUNTIF('Metrics - Articles'!E514,"*Youth*")</f>
        <v>0</v>
      </c>
      <c r="E592">
        <f>COUNTIF('Metrics - Articles'!E514,"*Healthcare*")</f>
        <v>0</v>
      </c>
      <c r="F592">
        <f>COUNTIF('Metrics - Articles'!E514,"*Innovation")</f>
        <v>0</v>
      </c>
      <c r="G592">
        <f>COUNTIF('Metrics - Articles'!E514,"*Corporate*")</f>
        <v>0</v>
      </c>
      <c r="I592" s="53">
        <f t="shared" si="10"/>
        <v>0</v>
      </c>
    </row>
    <row r="593" spans="2:9" hidden="1" x14ac:dyDescent="0.25">
      <c r="B593" s="48">
        <f>+'Metrics - Articles'!C590</f>
        <v>0</v>
      </c>
      <c r="C593">
        <f>COUNTIF('Metrics - Articles'!E515,"*Sports*")</f>
        <v>0</v>
      </c>
      <c r="D593">
        <f>COUNTIF('Metrics - Articles'!E515,"*Youth*")</f>
        <v>0</v>
      </c>
      <c r="E593">
        <f>COUNTIF('Metrics - Articles'!E515,"*Healthcare*")</f>
        <v>0</v>
      </c>
      <c r="F593">
        <f>COUNTIF('Metrics - Articles'!E515,"*Innovation")</f>
        <v>0</v>
      </c>
      <c r="G593">
        <f>COUNTIF('Metrics - Articles'!E515,"*Corporate*")</f>
        <v>0</v>
      </c>
      <c r="I593" s="53">
        <f t="shared" si="10"/>
        <v>0</v>
      </c>
    </row>
    <row r="594" spans="2:9" hidden="1" x14ac:dyDescent="0.25">
      <c r="B594" s="48">
        <f>+'Metrics - Articles'!C591</f>
        <v>0</v>
      </c>
      <c r="C594">
        <f>COUNTIF('Metrics - Articles'!E516,"*Sports*")</f>
        <v>0</v>
      </c>
      <c r="D594">
        <f>COUNTIF('Metrics - Articles'!E516,"*Youth*")</f>
        <v>0</v>
      </c>
      <c r="E594">
        <f>COUNTIF('Metrics - Articles'!E516,"*Healthcare*")</f>
        <v>0</v>
      </c>
      <c r="F594">
        <f>COUNTIF('Metrics - Articles'!E516,"*Innovation")</f>
        <v>0</v>
      </c>
      <c r="G594">
        <f>COUNTIF('Metrics - Articles'!E516,"*Corporate*")</f>
        <v>0</v>
      </c>
      <c r="I594" s="53">
        <f t="shared" si="10"/>
        <v>0</v>
      </c>
    </row>
    <row r="595" spans="2:9" hidden="1" x14ac:dyDescent="0.25">
      <c r="B595" s="48">
        <f>+'Metrics - Articles'!C592</f>
        <v>0</v>
      </c>
      <c r="C595">
        <f>COUNTIF('Metrics - Articles'!E517,"*Sports*")</f>
        <v>0</v>
      </c>
      <c r="D595">
        <f>COUNTIF('Metrics - Articles'!E517,"*Youth*")</f>
        <v>0</v>
      </c>
      <c r="E595">
        <f>COUNTIF('Metrics - Articles'!E517,"*Healthcare*")</f>
        <v>0</v>
      </c>
      <c r="F595">
        <f>COUNTIF('Metrics - Articles'!E517,"*Innovation")</f>
        <v>0</v>
      </c>
      <c r="G595">
        <f>COUNTIF('Metrics - Articles'!E517,"*Corporate*")</f>
        <v>0</v>
      </c>
      <c r="I595" s="53">
        <f t="shared" si="10"/>
        <v>0</v>
      </c>
    </row>
    <row r="596" spans="2:9" hidden="1" x14ac:dyDescent="0.25">
      <c r="B596" s="48">
        <f>+'Metrics - Articles'!C593</f>
        <v>0</v>
      </c>
      <c r="C596">
        <f>COUNTIF('Metrics - Articles'!E518,"*Sports*")</f>
        <v>0</v>
      </c>
      <c r="D596">
        <f>COUNTIF('Metrics - Articles'!E518,"*Youth*")</f>
        <v>0</v>
      </c>
      <c r="E596">
        <f>COUNTIF('Metrics - Articles'!E518,"*Healthcare*")</f>
        <v>0</v>
      </c>
      <c r="F596">
        <f>COUNTIF('Metrics - Articles'!E518,"*Innovation")</f>
        <v>0</v>
      </c>
      <c r="G596">
        <f>COUNTIF('Metrics - Articles'!E518,"*Corporate*")</f>
        <v>0</v>
      </c>
      <c r="I596" s="53">
        <f t="shared" si="10"/>
        <v>0</v>
      </c>
    </row>
    <row r="597" spans="2:9" hidden="1" x14ac:dyDescent="0.25">
      <c r="B597" s="48">
        <f>+'Metrics - Articles'!C594</f>
        <v>0</v>
      </c>
      <c r="C597">
        <f>COUNTIF('Metrics - Articles'!E519,"*Sports*")</f>
        <v>0</v>
      </c>
      <c r="D597">
        <f>COUNTIF('Metrics - Articles'!E519,"*Youth*")</f>
        <v>0</v>
      </c>
      <c r="E597">
        <f>COUNTIF('Metrics - Articles'!E519,"*Healthcare*")</f>
        <v>0</v>
      </c>
      <c r="F597">
        <f>COUNTIF('Metrics - Articles'!E519,"*Innovation")</f>
        <v>0</v>
      </c>
      <c r="G597">
        <f>COUNTIF('Metrics - Articles'!E519,"*Corporate*")</f>
        <v>0</v>
      </c>
      <c r="I597" s="53">
        <f t="shared" si="10"/>
        <v>0</v>
      </c>
    </row>
    <row r="598" spans="2:9" hidden="1" x14ac:dyDescent="0.25">
      <c r="B598" s="48">
        <f>+'Metrics - Articles'!C595</f>
        <v>0</v>
      </c>
      <c r="C598">
        <f>COUNTIF('Metrics - Articles'!E520,"*Sports*")</f>
        <v>0</v>
      </c>
      <c r="D598">
        <f>COUNTIF('Metrics - Articles'!E520,"*Youth*")</f>
        <v>0</v>
      </c>
      <c r="E598">
        <f>COUNTIF('Metrics - Articles'!E520,"*Healthcare*")</f>
        <v>0</v>
      </c>
      <c r="F598">
        <f>COUNTIF('Metrics - Articles'!E520,"*Innovation")</f>
        <v>0</v>
      </c>
      <c r="G598">
        <f>COUNTIF('Metrics - Articles'!E520,"*Corporate*")</f>
        <v>0</v>
      </c>
      <c r="I598" s="53">
        <f t="shared" si="10"/>
        <v>0</v>
      </c>
    </row>
    <row r="599" spans="2:9" hidden="1" x14ac:dyDescent="0.25">
      <c r="B599" s="48">
        <f>+'Metrics - Articles'!C596</f>
        <v>0</v>
      </c>
      <c r="C599">
        <f>COUNTIF('Metrics - Articles'!E521,"*Sports*")</f>
        <v>0</v>
      </c>
      <c r="D599">
        <f>COUNTIF('Metrics - Articles'!E521,"*Youth*")</f>
        <v>0</v>
      </c>
      <c r="E599">
        <f>COUNTIF('Metrics - Articles'!E521,"*Healthcare*")</f>
        <v>0</v>
      </c>
      <c r="F599">
        <f>COUNTIF('Metrics - Articles'!E521,"*Innovation")</f>
        <v>0</v>
      </c>
      <c r="G599">
        <f>COUNTIF('Metrics - Articles'!E521,"*Corporate*")</f>
        <v>0</v>
      </c>
      <c r="I599" s="53">
        <f t="shared" si="10"/>
        <v>0</v>
      </c>
    </row>
    <row r="600" spans="2:9" hidden="1" x14ac:dyDescent="0.25">
      <c r="B600" s="48">
        <f>+'Metrics - Articles'!C597</f>
        <v>0</v>
      </c>
      <c r="C600">
        <f>COUNTIF('Metrics - Articles'!E522,"*Sports*")</f>
        <v>0</v>
      </c>
      <c r="D600">
        <f>COUNTIF('Metrics - Articles'!E522,"*Youth*")</f>
        <v>0</v>
      </c>
      <c r="E600">
        <f>COUNTIF('Metrics - Articles'!E522,"*Healthcare*")</f>
        <v>0</v>
      </c>
      <c r="F600">
        <f>COUNTIF('Metrics - Articles'!E522,"*Innovation")</f>
        <v>0</v>
      </c>
      <c r="G600">
        <f>COUNTIF('Metrics - Articles'!E522,"*Corporate*")</f>
        <v>0</v>
      </c>
      <c r="I600" s="53">
        <f t="shared" si="10"/>
        <v>0</v>
      </c>
    </row>
    <row r="601" spans="2:9" hidden="1" x14ac:dyDescent="0.25">
      <c r="B601" s="48">
        <f>+'Metrics - Articles'!C598</f>
        <v>0</v>
      </c>
      <c r="C601">
        <f>COUNTIF('Metrics - Articles'!E523,"*Sports*")</f>
        <v>0</v>
      </c>
      <c r="D601">
        <f>COUNTIF('Metrics - Articles'!E523,"*Youth*")</f>
        <v>0</v>
      </c>
      <c r="E601">
        <f>COUNTIF('Metrics - Articles'!E523,"*Healthcare*")</f>
        <v>0</v>
      </c>
      <c r="F601">
        <f>COUNTIF('Metrics - Articles'!E523,"*Innovation")</f>
        <v>0</v>
      </c>
      <c r="G601">
        <f>COUNTIF('Metrics - Articles'!E523,"*Corporate*")</f>
        <v>0</v>
      </c>
      <c r="I601" s="53">
        <f t="shared" si="10"/>
        <v>0</v>
      </c>
    </row>
    <row r="602" spans="2:9" hidden="1" x14ac:dyDescent="0.25">
      <c r="B602" s="48">
        <f>+'Metrics - Articles'!C599</f>
        <v>0</v>
      </c>
      <c r="C602">
        <f>COUNTIF('Metrics - Articles'!E524,"*Sports*")</f>
        <v>0</v>
      </c>
      <c r="D602">
        <f>COUNTIF('Metrics - Articles'!E524,"*Youth*")</f>
        <v>0</v>
      </c>
      <c r="E602">
        <f>COUNTIF('Metrics - Articles'!E524,"*Healthcare*")</f>
        <v>0</v>
      </c>
      <c r="F602">
        <f>COUNTIF('Metrics - Articles'!E524,"*Innovation")</f>
        <v>0</v>
      </c>
      <c r="G602">
        <f>COUNTIF('Metrics - Articles'!E524,"*Corporate*")</f>
        <v>0</v>
      </c>
      <c r="I602" s="53">
        <f t="shared" si="10"/>
        <v>0</v>
      </c>
    </row>
    <row r="603" spans="2:9" hidden="1" x14ac:dyDescent="0.25">
      <c r="B603" s="48">
        <f>+'Metrics - Articles'!C600</f>
        <v>0</v>
      </c>
      <c r="C603">
        <f>COUNTIF('Metrics - Articles'!E525,"*Sports*")</f>
        <v>0</v>
      </c>
      <c r="D603">
        <f>COUNTIF('Metrics - Articles'!E525,"*Youth*")</f>
        <v>0</v>
      </c>
      <c r="E603">
        <f>COUNTIF('Metrics - Articles'!E525,"*Healthcare*")</f>
        <v>0</v>
      </c>
      <c r="F603">
        <f>COUNTIF('Metrics - Articles'!E525,"*Innovation")</f>
        <v>0</v>
      </c>
      <c r="G603">
        <f>COUNTIF('Metrics - Articles'!E525,"*Corporate*")</f>
        <v>0</v>
      </c>
      <c r="I603" s="53">
        <f t="shared" si="10"/>
        <v>0</v>
      </c>
    </row>
    <row r="604" spans="2:9" hidden="1" x14ac:dyDescent="0.25">
      <c r="B604" s="48">
        <f>+'Metrics - Articles'!C601</f>
        <v>0</v>
      </c>
      <c r="C604">
        <f>COUNTIF('Metrics - Articles'!E526,"*Sports*")</f>
        <v>0</v>
      </c>
      <c r="D604">
        <f>COUNTIF('Metrics - Articles'!E526,"*Youth*")</f>
        <v>0</v>
      </c>
      <c r="E604">
        <f>COUNTIF('Metrics - Articles'!E526,"*Healthcare*")</f>
        <v>0</v>
      </c>
      <c r="F604">
        <f>COUNTIF('Metrics - Articles'!E526,"*Innovation")</f>
        <v>0</v>
      </c>
      <c r="G604">
        <f>COUNTIF('Metrics - Articles'!E526,"*Corporate*")</f>
        <v>0</v>
      </c>
      <c r="I604" s="53">
        <f t="shared" si="10"/>
        <v>0</v>
      </c>
    </row>
    <row r="605" spans="2:9" hidden="1" x14ac:dyDescent="0.25">
      <c r="B605" s="48">
        <f>+'Metrics - Articles'!C602</f>
        <v>0</v>
      </c>
      <c r="C605">
        <f>COUNTIF('Metrics - Articles'!E527,"*Sports*")</f>
        <v>0</v>
      </c>
      <c r="D605">
        <f>COUNTIF('Metrics - Articles'!E527,"*Youth*")</f>
        <v>0</v>
      </c>
      <c r="E605">
        <f>COUNTIF('Metrics - Articles'!E527,"*Healthcare*")</f>
        <v>0</v>
      </c>
      <c r="F605">
        <f>COUNTIF('Metrics - Articles'!E527,"*Innovation")</f>
        <v>0</v>
      </c>
      <c r="G605">
        <f>COUNTIF('Metrics - Articles'!E527,"*Corporate*")</f>
        <v>0</v>
      </c>
      <c r="I605" s="53">
        <f t="shared" si="10"/>
        <v>0</v>
      </c>
    </row>
    <row r="606" spans="2:9" hidden="1" x14ac:dyDescent="0.25">
      <c r="B606" s="48">
        <f>+'Metrics - Articles'!C603</f>
        <v>0</v>
      </c>
      <c r="C606">
        <f>COUNTIF('Metrics - Articles'!E528,"*Sports*")</f>
        <v>0</v>
      </c>
      <c r="D606">
        <f>COUNTIF('Metrics - Articles'!E528,"*Youth*")</f>
        <v>0</v>
      </c>
      <c r="E606">
        <f>COUNTIF('Metrics - Articles'!E528,"*Healthcare*")</f>
        <v>0</v>
      </c>
      <c r="F606">
        <f>COUNTIF('Metrics - Articles'!E528,"*Innovation")</f>
        <v>0</v>
      </c>
      <c r="G606">
        <f>COUNTIF('Metrics - Articles'!E528,"*Corporate*")</f>
        <v>0</v>
      </c>
      <c r="I606" s="53">
        <f t="shared" si="10"/>
        <v>0</v>
      </c>
    </row>
    <row r="607" spans="2:9" hidden="1" x14ac:dyDescent="0.25">
      <c r="B607" s="48">
        <f>+'Metrics - Articles'!C604</f>
        <v>0</v>
      </c>
      <c r="C607">
        <f>COUNTIF('Metrics - Articles'!E529,"*Sports*")</f>
        <v>0</v>
      </c>
      <c r="D607">
        <f>COUNTIF('Metrics - Articles'!E529,"*Youth*")</f>
        <v>0</v>
      </c>
      <c r="E607">
        <f>COUNTIF('Metrics - Articles'!E529,"*Healthcare*")</f>
        <v>0</v>
      </c>
      <c r="F607">
        <f>COUNTIF('Metrics - Articles'!E529,"*Innovation")</f>
        <v>0</v>
      </c>
      <c r="G607">
        <f>COUNTIF('Metrics - Articles'!E529,"*Corporate*")</f>
        <v>0</v>
      </c>
      <c r="I607" s="53">
        <f t="shared" si="10"/>
        <v>0</v>
      </c>
    </row>
    <row r="608" spans="2:9" hidden="1" x14ac:dyDescent="0.25">
      <c r="B608" s="48">
        <f>+'Metrics - Articles'!C605</f>
        <v>0</v>
      </c>
      <c r="C608">
        <f>COUNTIF('Metrics - Articles'!E530,"*Sports*")</f>
        <v>0</v>
      </c>
      <c r="D608">
        <f>COUNTIF('Metrics - Articles'!E530,"*Youth*")</f>
        <v>0</v>
      </c>
      <c r="E608">
        <f>COUNTIF('Metrics - Articles'!E530,"*Healthcare*")</f>
        <v>0</v>
      </c>
      <c r="F608">
        <f>COUNTIF('Metrics - Articles'!E530,"*Innovation")</f>
        <v>0</v>
      </c>
      <c r="G608">
        <f>COUNTIF('Metrics - Articles'!E530,"*Corporate*")</f>
        <v>0</v>
      </c>
      <c r="I608" s="53">
        <f t="shared" si="10"/>
        <v>0</v>
      </c>
    </row>
    <row r="609" spans="2:9" hidden="1" x14ac:dyDescent="0.25">
      <c r="B609" s="48">
        <f>+'Metrics - Articles'!C606</f>
        <v>0</v>
      </c>
      <c r="C609">
        <f>COUNTIF('Metrics - Articles'!E531,"*Sports*")</f>
        <v>0</v>
      </c>
      <c r="D609">
        <f>COUNTIF('Metrics - Articles'!E531,"*Youth*")</f>
        <v>0</v>
      </c>
      <c r="E609">
        <f>COUNTIF('Metrics - Articles'!E531,"*Healthcare*")</f>
        <v>0</v>
      </c>
      <c r="F609">
        <f>COUNTIF('Metrics - Articles'!E531,"*Innovation")</f>
        <v>0</v>
      </c>
      <c r="G609">
        <f>COUNTIF('Metrics - Articles'!E531,"*Corporate*")</f>
        <v>0</v>
      </c>
      <c r="I609" s="53">
        <f t="shared" si="10"/>
        <v>0</v>
      </c>
    </row>
    <row r="610" spans="2:9" hidden="1" x14ac:dyDescent="0.25">
      <c r="B610" s="48">
        <f>+'Metrics - Articles'!C607</f>
        <v>0</v>
      </c>
      <c r="C610">
        <f>COUNTIF('Metrics - Articles'!E532,"*Sports*")</f>
        <v>0</v>
      </c>
      <c r="D610">
        <f>COUNTIF('Metrics - Articles'!E532,"*Youth*")</f>
        <v>0</v>
      </c>
      <c r="E610">
        <f>COUNTIF('Metrics - Articles'!E532,"*Healthcare*")</f>
        <v>0</v>
      </c>
      <c r="F610">
        <f>COUNTIF('Metrics - Articles'!E532,"*Innovation")</f>
        <v>0</v>
      </c>
      <c r="G610">
        <f>COUNTIF('Metrics - Articles'!E532,"*Corporate*")</f>
        <v>0</v>
      </c>
      <c r="I610" s="53">
        <f t="shared" si="10"/>
        <v>0</v>
      </c>
    </row>
    <row r="611" spans="2:9" hidden="1" x14ac:dyDescent="0.25">
      <c r="B611" s="48">
        <f>+'Metrics - Articles'!C608</f>
        <v>0</v>
      </c>
      <c r="C611">
        <f>COUNTIF('Metrics - Articles'!E533,"*Sports*")</f>
        <v>0</v>
      </c>
      <c r="D611">
        <f>COUNTIF('Metrics - Articles'!E533,"*Youth*")</f>
        <v>0</v>
      </c>
      <c r="E611">
        <f>COUNTIF('Metrics - Articles'!E533,"*Healthcare*")</f>
        <v>0</v>
      </c>
      <c r="F611">
        <f>COUNTIF('Metrics - Articles'!E533,"*Innovation")</f>
        <v>0</v>
      </c>
      <c r="G611">
        <f>COUNTIF('Metrics - Articles'!E533,"*Corporate*")</f>
        <v>0</v>
      </c>
      <c r="I611" s="53">
        <f t="shared" si="10"/>
        <v>0</v>
      </c>
    </row>
    <row r="612" spans="2:9" hidden="1" x14ac:dyDescent="0.25">
      <c r="B612" s="48">
        <f>+'Metrics - Articles'!C609</f>
        <v>0</v>
      </c>
      <c r="C612">
        <f>COUNTIF('Metrics - Articles'!E534,"*Sports*")</f>
        <v>0</v>
      </c>
      <c r="D612">
        <f>COUNTIF('Metrics - Articles'!E534,"*Youth*")</f>
        <v>0</v>
      </c>
      <c r="E612">
        <f>COUNTIF('Metrics - Articles'!E534,"*Healthcare*")</f>
        <v>0</v>
      </c>
      <c r="F612">
        <f>COUNTIF('Metrics - Articles'!E534,"*Innovation")</f>
        <v>0</v>
      </c>
      <c r="G612">
        <f>COUNTIF('Metrics - Articles'!E534,"*Corporate*")</f>
        <v>0</v>
      </c>
      <c r="I612" s="53">
        <f t="shared" si="10"/>
        <v>0</v>
      </c>
    </row>
    <row r="613" spans="2:9" hidden="1" x14ac:dyDescent="0.25">
      <c r="B613" s="48">
        <f>+'Metrics - Articles'!C610</f>
        <v>0</v>
      </c>
      <c r="C613">
        <f>COUNTIF('Metrics - Articles'!E535,"*Sports*")</f>
        <v>0</v>
      </c>
      <c r="D613">
        <f>COUNTIF('Metrics - Articles'!E535,"*Youth*")</f>
        <v>0</v>
      </c>
      <c r="E613">
        <f>COUNTIF('Metrics - Articles'!E535,"*Healthcare*")</f>
        <v>0</v>
      </c>
      <c r="F613">
        <f>COUNTIF('Metrics - Articles'!E535,"*Innovation")</f>
        <v>0</v>
      </c>
      <c r="G613">
        <f>COUNTIF('Metrics - Articles'!E535,"*Corporate*")</f>
        <v>0</v>
      </c>
      <c r="I613" s="53">
        <f t="shared" si="10"/>
        <v>0</v>
      </c>
    </row>
    <row r="614" spans="2:9" hidden="1" x14ac:dyDescent="0.25">
      <c r="B614" s="48">
        <f>+'Metrics - Articles'!C611</f>
        <v>0</v>
      </c>
      <c r="C614">
        <f>COUNTIF('Metrics - Articles'!E536,"*Sports*")</f>
        <v>0</v>
      </c>
      <c r="D614">
        <f>COUNTIF('Metrics - Articles'!E536,"*Youth*")</f>
        <v>0</v>
      </c>
      <c r="E614">
        <f>COUNTIF('Metrics - Articles'!E536,"*Healthcare*")</f>
        <v>0</v>
      </c>
      <c r="F614">
        <f>COUNTIF('Metrics - Articles'!E536,"*Innovation")</f>
        <v>0</v>
      </c>
      <c r="G614">
        <f>COUNTIF('Metrics - Articles'!E536,"*Corporate*")</f>
        <v>0</v>
      </c>
      <c r="I614" s="53">
        <f t="shared" si="10"/>
        <v>0</v>
      </c>
    </row>
    <row r="615" spans="2:9" hidden="1" x14ac:dyDescent="0.25">
      <c r="B615" s="48">
        <f>+'Metrics - Articles'!C612</f>
        <v>0</v>
      </c>
      <c r="C615">
        <f>COUNTIF('Metrics - Articles'!E537,"*Sports*")</f>
        <v>0</v>
      </c>
      <c r="D615">
        <f>COUNTIF('Metrics - Articles'!E537,"*Youth*")</f>
        <v>0</v>
      </c>
      <c r="E615">
        <f>COUNTIF('Metrics - Articles'!E537,"*Healthcare*")</f>
        <v>0</v>
      </c>
      <c r="F615">
        <f>COUNTIF('Metrics - Articles'!E537,"*Innovation")</f>
        <v>0</v>
      </c>
      <c r="G615">
        <f>COUNTIF('Metrics - Articles'!E537,"*Corporate*")</f>
        <v>0</v>
      </c>
      <c r="I615" s="53">
        <f t="shared" si="10"/>
        <v>0</v>
      </c>
    </row>
    <row r="616" spans="2:9" hidden="1" x14ac:dyDescent="0.25">
      <c r="B616" s="48">
        <f>+'Metrics - Articles'!C613</f>
        <v>0</v>
      </c>
      <c r="C616">
        <f>COUNTIF('Metrics - Articles'!E538,"*Sports*")</f>
        <v>0</v>
      </c>
      <c r="D616">
        <f>COUNTIF('Metrics - Articles'!E538,"*Youth*")</f>
        <v>0</v>
      </c>
      <c r="E616">
        <f>COUNTIF('Metrics - Articles'!E538,"*Healthcare*")</f>
        <v>0</v>
      </c>
      <c r="F616">
        <f>COUNTIF('Metrics - Articles'!E538,"*Innovation")</f>
        <v>0</v>
      </c>
      <c r="G616">
        <f>COUNTIF('Metrics - Articles'!E538,"*Corporate*")</f>
        <v>0</v>
      </c>
      <c r="I616" s="53">
        <f t="shared" si="10"/>
        <v>0</v>
      </c>
    </row>
    <row r="617" spans="2:9" hidden="1" x14ac:dyDescent="0.25">
      <c r="B617" s="48">
        <f>+'Metrics - Articles'!C614</f>
        <v>0</v>
      </c>
      <c r="C617">
        <f>COUNTIF('Metrics - Articles'!E539,"*Sports*")</f>
        <v>0</v>
      </c>
      <c r="D617">
        <f>COUNTIF('Metrics - Articles'!E539,"*Youth*")</f>
        <v>0</v>
      </c>
      <c r="E617">
        <f>COUNTIF('Metrics - Articles'!E539,"*Healthcare*")</f>
        <v>0</v>
      </c>
      <c r="F617">
        <f>COUNTIF('Metrics - Articles'!E539,"*Innovation")</f>
        <v>0</v>
      </c>
      <c r="G617">
        <f>COUNTIF('Metrics - Articles'!E539,"*Corporate*")</f>
        <v>0</v>
      </c>
      <c r="I617" s="53">
        <f t="shared" si="10"/>
        <v>0</v>
      </c>
    </row>
    <row r="618" spans="2:9" hidden="1" x14ac:dyDescent="0.25">
      <c r="B618" s="48">
        <f>+'Metrics - Articles'!C615</f>
        <v>0</v>
      </c>
      <c r="C618">
        <f>COUNTIF('Metrics - Articles'!E540,"*Sports*")</f>
        <v>0</v>
      </c>
      <c r="D618">
        <f>COUNTIF('Metrics - Articles'!E540,"*Youth*")</f>
        <v>0</v>
      </c>
      <c r="E618">
        <f>COUNTIF('Metrics - Articles'!E540,"*Healthcare*")</f>
        <v>0</v>
      </c>
      <c r="F618">
        <f>COUNTIF('Metrics - Articles'!E540,"*Innovation")</f>
        <v>0</v>
      </c>
      <c r="G618">
        <f>COUNTIF('Metrics - Articles'!E540,"*Corporate*")</f>
        <v>0</v>
      </c>
      <c r="I618" s="53">
        <f t="shared" si="10"/>
        <v>0</v>
      </c>
    </row>
    <row r="619" spans="2:9" hidden="1" x14ac:dyDescent="0.25">
      <c r="B619" s="48">
        <f>+'Metrics - Articles'!C616</f>
        <v>0</v>
      </c>
      <c r="C619">
        <f>COUNTIF('Metrics - Articles'!E541,"*Sports*")</f>
        <v>0</v>
      </c>
      <c r="D619">
        <f>COUNTIF('Metrics - Articles'!E541,"*Youth*")</f>
        <v>0</v>
      </c>
      <c r="E619">
        <f>COUNTIF('Metrics - Articles'!E541,"*Healthcare*")</f>
        <v>0</v>
      </c>
      <c r="F619">
        <f>COUNTIF('Metrics - Articles'!E541,"*Innovation")</f>
        <v>0</v>
      </c>
      <c r="G619">
        <f>COUNTIF('Metrics - Articles'!E541,"*Corporate*")</f>
        <v>0</v>
      </c>
      <c r="I619" s="53">
        <f t="shared" si="10"/>
        <v>0</v>
      </c>
    </row>
    <row r="620" spans="2:9" hidden="1" x14ac:dyDescent="0.25">
      <c r="B620" s="48">
        <f>+'Metrics - Articles'!C617</f>
        <v>0</v>
      </c>
      <c r="C620">
        <f>COUNTIF('Metrics - Articles'!E542,"*Sports*")</f>
        <v>0</v>
      </c>
      <c r="D620">
        <f>COUNTIF('Metrics - Articles'!E542,"*Youth*")</f>
        <v>0</v>
      </c>
      <c r="E620">
        <f>COUNTIF('Metrics - Articles'!E542,"*Healthcare*")</f>
        <v>0</v>
      </c>
      <c r="F620">
        <f>COUNTIF('Metrics - Articles'!E542,"*Innovation")</f>
        <v>0</v>
      </c>
      <c r="G620">
        <f>COUNTIF('Metrics - Articles'!E542,"*Corporate*")</f>
        <v>0</v>
      </c>
      <c r="I620" s="53">
        <f t="shared" si="10"/>
        <v>0</v>
      </c>
    </row>
    <row r="621" spans="2:9" hidden="1" x14ac:dyDescent="0.25">
      <c r="B621" s="48">
        <f>+'Metrics - Articles'!C618</f>
        <v>0</v>
      </c>
      <c r="C621">
        <f>COUNTIF('Metrics - Articles'!E543,"*Sports*")</f>
        <v>0</v>
      </c>
      <c r="D621">
        <f>COUNTIF('Metrics - Articles'!E543,"*Youth*")</f>
        <v>0</v>
      </c>
      <c r="E621">
        <f>COUNTIF('Metrics - Articles'!E543,"*Healthcare*")</f>
        <v>0</v>
      </c>
      <c r="F621">
        <f>COUNTIF('Metrics - Articles'!E543,"*Innovation")</f>
        <v>0</v>
      </c>
      <c r="G621">
        <f>COUNTIF('Metrics - Articles'!E543,"*Corporate*")</f>
        <v>0</v>
      </c>
      <c r="I621" s="53">
        <f t="shared" si="10"/>
        <v>0</v>
      </c>
    </row>
    <row r="622" spans="2:9" hidden="1" x14ac:dyDescent="0.25">
      <c r="B622" s="48">
        <f>+'Metrics - Articles'!C619</f>
        <v>0</v>
      </c>
      <c r="C622">
        <f>COUNTIF('Metrics - Articles'!E544,"*Sports*")</f>
        <v>0</v>
      </c>
      <c r="D622">
        <f>COUNTIF('Metrics - Articles'!E544,"*Youth*")</f>
        <v>0</v>
      </c>
      <c r="E622">
        <f>COUNTIF('Metrics - Articles'!E544,"*Healthcare*")</f>
        <v>0</v>
      </c>
      <c r="F622">
        <f>COUNTIF('Metrics - Articles'!E544,"*Innovation")</f>
        <v>0</v>
      </c>
      <c r="G622">
        <f>COUNTIF('Metrics - Articles'!E544,"*Corporate*")</f>
        <v>0</v>
      </c>
      <c r="I622" s="53">
        <f t="shared" si="10"/>
        <v>0</v>
      </c>
    </row>
    <row r="623" spans="2:9" hidden="1" x14ac:dyDescent="0.25">
      <c r="B623" s="48">
        <f>+'Metrics - Articles'!C620</f>
        <v>0</v>
      </c>
      <c r="C623">
        <f>COUNTIF('Metrics - Articles'!E545,"*Sports*")</f>
        <v>0</v>
      </c>
      <c r="D623">
        <f>COUNTIF('Metrics - Articles'!E545,"*Youth*")</f>
        <v>0</v>
      </c>
      <c r="E623">
        <f>COUNTIF('Metrics - Articles'!E545,"*Healthcare*")</f>
        <v>0</v>
      </c>
      <c r="F623">
        <f>COUNTIF('Metrics - Articles'!E545,"*Innovation")</f>
        <v>0</v>
      </c>
      <c r="G623">
        <f>COUNTIF('Metrics - Articles'!E545,"*Corporate*")</f>
        <v>0</v>
      </c>
      <c r="I623" s="53">
        <f t="shared" si="10"/>
        <v>0</v>
      </c>
    </row>
    <row r="624" spans="2:9" hidden="1" x14ac:dyDescent="0.25">
      <c r="B624" s="48">
        <f>+'Metrics - Articles'!C621</f>
        <v>0</v>
      </c>
      <c r="C624">
        <f>COUNTIF('Metrics - Articles'!E546,"*Sports*")</f>
        <v>0</v>
      </c>
      <c r="D624">
        <f>COUNTIF('Metrics - Articles'!E546,"*Youth*")</f>
        <v>0</v>
      </c>
      <c r="E624">
        <f>COUNTIF('Metrics - Articles'!E546,"*Healthcare*")</f>
        <v>0</v>
      </c>
      <c r="F624">
        <f>COUNTIF('Metrics - Articles'!E546,"*Innovation")</f>
        <v>0</v>
      </c>
      <c r="G624">
        <f>COUNTIF('Metrics - Articles'!E546,"*Corporate*")</f>
        <v>0</v>
      </c>
      <c r="I624" s="53">
        <f t="shared" si="10"/>
        <v>0</v>
      </c>
    </row>
    <row r="625" spans="2:9" hidden="1" x14ac:dyDescent="0.25">
      <c r="B625" s="48">
        <f>+'Metrics - Articles'!C622</f>
        <v>0</v>
      </c>
      <c r="C625">
        <f>COUNTIF('Metrics - Articles'!E547,"*Sports*")</f>
        <v>0</v>
      </c>
      <c r="D625">
        <f>COUNTIF('Metrics - Articles'!E547,"*Youth*")</f>
        <v>0</v>
      </c>
      <c r="E625">
        <f>COUNTIF('Metrics - Articles'!E547,"*Healthcare*")</f>
        <v>0</v>
      </c>
      <c r="F625">
        <f>COUNTIF('Metrics - Articles'!E547,"*Innovation")</f>
        <v>0</v>
      </c>
      <c r="G625">
        <f>COUNTIF('Metrics - Articles'!E547,"*Corporate*")</f>
        <v>0</v>
      </c>
      <c r="I625" s="53">
        <f t="shared" si="10"/>
        <v>0</v>
      </c>
    </row>
    <row r="626" spans="2:9" hidden="1" x14ac:dyDescent="0.25">
      <c r="B626" s="48">
        <f>+'Metrics - Articles'!C623</f>
        <v>0</v>
      </c>
      <c r="C626">
        <f>COUNTIF('Metrics - Articles'!E548,"*Sports*")</f>
        <v>0</v>
      </c>
      <c r="D626">
        <f>COUNTIF('Metrics - Articles'!E548,"*Youth*")</f>
        <v>0</v>
      </c>
      <c r="E626">
        <f>COUNTIF('Metrics - Articles'!E548,"*Healthcare*")</f>
        <v>0</v>
      </c>
      <c r="F626">
        <f>COUNTIF('Metrics - Articles'!E548,"*Innovation")</f>
        <v>0</v>
      </c>
      <c r="G626">
        <f>COUNTIF('Metrics - Articles'!E548,"*Corporate*")</f>
        <v>0</v>
      </c>
      <c r="I626" s="53">
        <f t="shared" si="10"/>
        <v>0</v>
      </c>
    </row>
    <row r="627" spans="2:9" hidden="1" x14ac:dyDescent="0.25">
      <c r="B627" s="48">
        <f>+'Metrics - Articles'!C624</f>
        <v>0</v>
      </c>
      <c r="C627">
        <f>COUNTIF('Metrics - Articles'!E549,"*Sports*")</f>
        <v>0</v>
      </c>
      <c r="D627">
        <f>COUNTIF('Metrics - Articles'!E549,"*Youth*")</f>
        <v>0</v>
      </c>
      <c r="E627">
        <f>COUNTIF('Metrics - Articles'!E549,"*Healthcare*")</f>
        <v>0</v>
      </c>
      <c r="F627">
        <f>COUNTIF('Metrics - Articles'!E549,"*Innovation")</f>
        <v>0</v>
      </c>
      <c r="G627">
        <f>COUNTIF('Metrics - Articles'!E549,"*Corporate*")</f>
        <v>0</v>
      </c>
      <c r="I627" s="53">
        <f t="shared" si="10"/>
        <v>0</v>
      </c>
    </row>
    <row r="628" spans="2:9" hidden="1" x14ac:dyDescent="0.25">
      <c r="B628" s="48">
        <f>+'Metrics - Articles'!C625</f>
        <v>0</v>
      </c>
      <c r="C628">
        <f>COUNTIF('Metrics - Articles'!E550,"*Sports*")</f>
        <v>0</v>
      </c>
      <c r="D628">
        <f>COUNTIF('Metrics - Articles'!E550,"*Youth*")</f>
        <v>0</v>
      </c>
      <c r="E628">
        <f>COUNTIF('Metrics - Articles'!E550,"*Healthcare*")</f>
        <v>0</v>
      </c>
      <c r="F628">
        <f>COUNTIF('Metrics - Articles'!E550,"*Innovation")</f>
        <v>0</v>
      </c>
      <c r="G628">
        <f>COUNTIF('Metrics - Articles'!E550,"*Corporate*")</f>
        <v>0</v>
      </c>
      <c r="I628" s="53">
        <f t="shared" si="10"/>
        <v>0</v>
      </c>
    </row>
    <row r="629" spans="2:9" hidden="1" x14ac:dyDescent="0.25">
      <c r="B629" s="48">
        <f>+'Metrics - Articles'!C626</f>
        <v>0</v>
      </c>
      <c r="C629">
        <f>COUNTIF('Metrics - Articles'!E551,"*Sports*")</f>
        <v>0</v>
      </c>
      <c r="D629">
        <f>COUNTIF('Metrics - Articles'!E551,"*Youth*")</f>
        <v>0</v>
      </c>
      <c r="E629">
        <f>COUNTIF('Metrics - Articles'!E551,"*Healthcare*")</f>
        <v>0</v>
      </c>
      <c r="F629">
        <f>COUNTIF('Metrics - Articles'!E551,"*Innovation")</f>
        <v>0</v>
      </c>
      <c r="G629">
        <f>COUNTIF('Metrics - Articles'!E551,"*Corporate*")</f>
        <v>0</v>
      </c>
      <c r="I629" s="53">
        <f t="shared" si="10"/>
        <v>0</v>
      </c>
    </row>
    <row r="630" spans="2:9" hidden="1" x14ac:dyDescent="0.25">
      <c r="B630" s="48">
        <f>+'Metrics - Articles'!C627</f>
        <v>0</v>
      </c>
      <c r="C630">
        <f>COUNTIF('Metrics - Articles'!E552,"*Sports*")</f>
        <v>0</v>
      </c>
      <c r="D630">
        <f>COUNTIF('Metrics - Articles'!E552,"*Youth*")</f>
        <v>0</v>
      </c>
      <c r="E630">
        <f>COUNTIF('Metrics - Articles'!E552,"*Healthcare*")</f>
        <v>0</v>
      </c>
      <c r="F630">
        <f>COUNTIF('Metrics - Articles'!E552,"*Innovation")</f>
        <v>0</v>
      </c>
      <c r="G630">
        <f>COUNTIF('Metrics - Articles'!E552,"*Corporate*")</f>
        <v>0</v>
      </c>
      <c r="I630" s="53">
        <f t="shared" si="10"/>
        <v>0</v>
      </c>
    </row>
    <row r="631" spans="2:9" hidden="1" x14ac:dyDescent="0.25">
      <c r="B631" s="48">
        <f>+'Metrics - Articles'!C628</f>
        <v>0</v>
      </c>
      <c r="C631">
        <f>COUNTIF('Metrics - Articles'!E553,"*Sports*")</f>
        <v>0</v>
      </c>
      <c r="D631">
        <f>COUNTIF('Metrics - Articles'!E553,"*Youth*")</f>
        <v>0</v>
      </c>
      <c r="E631">
        <f>COUNTIF('Metrics - Articles'!E553,"*Healthcare*")</f>
        <v>0</v>
      </c>
      <c r="F631">
        <f>COUNTIF('Metrics - Articles'!E553,"*Innovation")</f>
        <v>0</v>
      </c>
      <c r="G631">
        <f>COUNTIF('Metrics - Articles'!E553,"*Corporate*")</f>
        <v>0</v>
      </c>
      <c r="I631" s="53">
        <f t="shared" si="10"/>
        <v>0</v>
      </c>
    </row>
    <row r="632" spans="2:9" hidden="1" x14ac:dyDescent="0.25">
      <c r="B632" s="48">
        <f>+'Metrics - Articles'!C629</f>
        <v>0</v>
      </c>
      <c r="C632">
        <f>COUNTIF('Metrics - Articles'!E554,"*Sports*")</f>
        <v>0</v>
      </c>
      <c r="D632">
        <f>COUNTIF('Metrics - Articles'!E554,"*Youth*")</f>
        <v>0</v>
      </c>
      <c r="E632">
        <f>COUNTIF('Metrics - Articles'!E554,"*Healthcare*")</f>
        <v>0</v>
      </c>
      <c r="F632">
        <f>COUNTIF('Metrics - Articles'!E554,"*Innovation")</f>
        <v>0</v>
      </c>
      <c r="G632">
        <f>COUNTIF('Metrics - Articles'!E554,"*Corporate*")</f>
        <v>0</v>
      </c>
      <c r="I632" s="53">
        <f t="shared" si="10"/>
        <v>0</v>
      </c>
    </row>
    <row r="633" spans="2:9" hidden="1" x14ac:dyDescent="0.25">
      <c r="B633" s="48">
        <f>+'Metrics - Articles'!C630</f>
        <v>0</v>
      </c>
      <c r="C633">
        <f>COUNTIF('Metrics - Articles'!E555,"*Sports*")</f>
        <v>0</v>
      </c>
      <c r="D633">
        <f>COUNTIF('Metrics - Articles'!E555,"*Youth*")</f>
        <v>0</v>
      </c>
      <c r="E633">
        <f>COUNTIF('Metrics - Articles'!E555,"*Healthcare*")</f>
        <v>0</v>
      </c>
      <c r="F633">
        <f>COUNTIF('Metrics - Articles'!E555,"*Innovation")</f>
        <v>0</v>
      </c>
      <c r="G633">
        <f>COUNTIF('Metrics - Articles'!E555,"*Corporate*")</f>
        <v>0</v>
      </c>
      <c r="I633" s="53">
        <f t="shared" si="10"/>
        <v>0</v>
      </c>
    </row>
    <row r="634" spans="2:9" hidden="1" x14ac:dyDescent="0.25">
      <c r="B634" s="48">
        <f>+'Metrics - Articles'!C631</f>
        <v>0</v>
      </c>
      <c r="C634">
        <f>COUNTIF('Metrics - Articles'!E556,"*Sports*")</f>
        <v>0</v>
      </c>
      <c r="D634">
        <f>COUNTIF('Metrics - Articles'!E556,"*Youth*")</f>
        <v>0</v>
      </c>
      <c r="E634">
        <f>COUNTIF('Metrics - Articles'!E556,"*Healthcare*")</f>
        <v>0</v>
      </c>
      <c r="F634">
        <f>COUNTIF('Metrics - Articles'!E556,"*Innovation")</f>
        <v>0</v>
      </c>
      <c r="G634">
        <f>COUNTIF('Metrics - Articles'!E556,"*Corporate*")</f>
        <v>0</v>
      </c>
      <c r="I634" s="53">
        <f t="shared" si="10"/>
        <v>0</v>
      </c>
    </row>
    <row r="635" spans="2:9" hidden="1" x14ac:dyDescent="0.25">
      <c r="B635" s="48">
        <f>+'Metrics - Articles'!C632</f>
        <v>0</v>
      </c>
      <c r="C635">
        <f>COUNTIF('Metrics - Articles'!E557,"*Sports*")</f>
        <v>0</v>
      </c>
      <c r="D635">
        <f>COUNTIF('Metrics - Articles'!E557,"*Youth*")</f>
        <v>0</v>
      </c>
      <c r="E635">
        <f>COUNTIF('Metrics - Articles'!E557,"*Healthcare*")</f>
        <v>0</v>
      </c>
      <c r="F635">
        <f>COUNTIF('Metrics - Articles'!E557,"*Innovation")</f>
        <v>0</v>
      </c>
      <c r="G635">
        <f>COUNTIF('Metrics - Articles'!E557,"*Corporate*")</f>
        <v>0</v>
      </c>
      <c r="I635" s="53">
        <f t="shared" si="10"/>
        <v>0</v>
      </c>
    </row>
    <row r="636" spans="2:9" hidden="1" x14ac:dyDescent="0.25">
      <c r="B636" s="48">
        <f>+'Metrics - Articles'!C633</f>
        <v>0</v>
      </c>
      <c r="C636">
        <f>COUNTIF('Metrics - Articles'!E558,"*Sports*")</f>
        <v>0</v>
      </c>
      <c r="D636">
        <f>COUNTIF('Metrics - Articles'!E558,"*Youth*")</f>
        <v>0</v>
      </c>
      <c r="E636">
        <f>COUNTIF('Metrics - Articles'!E558,"*Healthcare*")</f>
        <v>0</v>
      </c>
      <c r="F636">
        <f>COUNTIF('Metrics - Articles'!E558,"*Innovation")</f>
        <v>0</v>
      </c>
      <c r="G636">
        <f>COUNTIF('Metrics - Articles'!E558,"*Corporate*")</f>
        <v>0</v>
      </c>
      <c r="I636" s="53">
        <f t="shared" si="10"/>
        <v>0</v>
      </c>
    </row>
    <row r="637" spans="2:9" hidden="1" x14ac:dyDescent="0.25">
      <c r="B637" s="48">
        <f>+'Metrics - Articles'!C634</f>
        <v>0</v>
      </c>
      <c r="C637">
        <f>COUNTIF('Metrics - Articles'!E559,"*Sports*")</f>
        <v>0</v>
      </c>
      <c r="D637">
        <f>COUNTIF('Metrics - Articles'!E559,"*Youth*")</f>
        <v>0</v>
      </c>
      <c r="E637">
        <f>COUNTIF('Metrics - Articles'!E559,"*Healthcare*")</f>
        <v>0</v>
      </c>
      <c r="F637">
        <f>COUNTIF('Metrics - Articles'!E559,"*Innovation")</f>
        <v>0</v>
      </c>
      <c r="G637">
        <f>COUNTIF('Metrics - Articles'!E559,"*Corporate*")</f>
        <v>0</v>
      </c>
      <c r="I637" s="53">
        <f t="shared" si="10"/>
        <v>0</v>
      </c>
    </row>
    <row r="638" spans="2:9" hidden="1" x14ac:dyDescent="0.25">
      <c r="B638" s="48">
        <f>+'Metrics - Articles'!C635</f>
        <v>0</v>
      </c>
      <c r="C638">
        <f>COUNTIF('Metrics - Articles'!E560,"*Sports*")</f>
        <v>0</v>
      </c>
      <c r="D638">
        <f>COUNTIF('Metrics - Articles'!E560,"*Youth*")</f>
        <v>0</v>
      </c>
      <c r="E638">
        <f>COUNTIF('Metrics - Articles'!E560,"*Healthcare*")</f>
        <v>0</v>
      </c>
      <c r="F638">
        <f>COUNTIF('Metrics - Articles'!E560,"*Innovation")</f>
        <v>0</v>
      </c>
      <c r="G638">
        <f>COUNTIF('Metrics - Articles'!E560,"*Corporate*")</f>
        <v>0</v>
      </c>
      <c r="I638" s="53">
        <f t="shared" si="10"/>
        <v>0</v>
      </c>
    </row>
    <row r="639" spans="2:9" hidden="1" x14ac:dyDescent="0.25">
      <c r="B639" s="48">
        <f>+'Metrics - Articles'!C636</f>
        <v>0</v>
      </c>
      <c r="C639">
        <f>COUNTIF('Metrics - Articles'!E561,"*Sports*")</f>
        <v>0</v>
      </c>
      <c r="D639">
        <f>COUNTIF('Metrics - Articles'!E561,"*Youth*")</f>
        <v>0</v>
      </c>
      <c r="E639">
        <f>COUNTIF('Metrics - Articles'!E561,"*Healthcare*")</f>
        <v>0</v>
      </c>
      <c r="F639">
        <f>COUNTIF('Metrics - Articles'!E561,"*Innovation")</f>
        <v>0</v>
      </c>
      <c r="G639">
        <f>COUNTIF('Metrics - Articles'!E561,"*Corporate*")</f>
        <v>0</v>
      </c>
      <c r="I639" s="53">
        <f t="shared" si="10"/>
        <v>0</v>
      </c>
    </row>
    <row r="640" spans="2:9" hidden="1" x14ac:dyDescent="0.25">
      <c r="B640" s="48">
        <f>+'Metrics - Articles'!C637</f>
        <v>0</v>
      </c>
      <c r="C640">
        <f>COUNTIF('Metrics - Articles'!E562,"*Sports*")</f>
        <v>0</v>
      </c>
      <c r="D640">
        <f>COUNTIF('Metrics - Articles'!E562,"*Youth*")</f>
        <v>0</v>
      </c>
      <c r="E640">
        <f>COUNTIF('Metrics - Articles'!E562,"*Healthcare*")</f>
        <v>0</v>
      </c>
      <c r="F640">
        <f>COUNTIF('Metrics - Articles'!E562,"*Innovation")</f>
        <v>0</v>
      </c>
      <c r="G640">
        <f>COUNTIF('Metrics - Articles'!E562,"*Corporate*")</f>
        <v>0</v>
      </c>
      <c r="I640" s="53">
        <f t="shared" si="10"/>
        <v>0</v>
      </c>
    </row>
    <row r="641" spans="2:9" hidden="1" x14ac:dyDescent="0.25">
      <c r="B641" s="48">
        <f>+'Metrics - Articles'!C638</f>
        <v>0</v>
      </c>
      <c r="C641">
        <f>COUNTIF('Metrics - Articles'!E563,"*Sports*")</f>
        <v>0</v>
      </c>
      <c r="D641">
        <f>COUNTIF('Metrics - Articles'!E563,"*Youth*")</f>
        <v>0</v>
      </c>
      <c r="E641">
        <f>COUNTIF('Metrics - Articles'!E563,"*Healthcare*")</f>
        <v>0</v>
      </c>
      <c r="F641">
        <f>COUNTIF('Metrics - Articles'!E563,"*Innovation")</f>
        <v>0</v>
      </c>
      <c r="G641">
        <f>COUNTIF('Metrics - Articles'!E563,"*Corporate*")</f>
        <v>0</v>
      </c>
      <c r="I641" s="53">
        <f t="shared" si="10"/>
        <v>0</v>
      </c>
    </row>
    <row r="642" spans="2:9" hidden="1" x14ac:dyDescent="0.25">
      <c r="B642" s="48">
        <f>+'Metrics - Articles'!C639</f>
        <v>0</v>
      </c>
      <c r="C642">
        <f>COUNTIF('Metrics - Articles'!E564,"*Sports*")</f>
        <v>0</v>
      </c>
      <c r="D642">
        <f>COUNTIF('Metrics - Articles'!E564,"*Youth*")</f>
        <v>0</v>
      </c>
      <c r="E642">
        <f>COUNTIF('Metrics - Articles'!E564,"*Healthcare*")</f>
        <v>0</v>
      </c>
      <c r="F642">
        <f>COUNTIF('Metrics - Articles'!E564,"*Innovation")</f>
        <v>0</v>
      </c>
      <c r="G642">
        <f>COUNTIF('Metrics - Articles'!E564,"*Corporate*")</f>
        <v>0</v>
      </c>
      <c r="I642" s="53">
        <f t="shared" si="10"/>
        <v>0</v>
      </c>
    </row>
    <row r="643" spans="2:9" hidden="1" x14ac:dyDescent="0.25">
      <c r="B643" s="48">
        <f>+'Metrics - Articles'!C640</f>
        <v>0</v>
      </c>
      <c r="C643">
        <f>COUNTIF('Metrics - Articles'!E565,"*Sports*")</f>
        <v>0</v>
      </c>
      <c r="D643">
        <f>COUNTIF('Metrics - Articles'!E565,"*Youth*")</f>
        <v>0</v>
      </c>
      <c r="E643">
        <f>COUNTIF('Metrics - Articles'!E565,"*Healthcare*")</f>
        <v>0</v>
      </c>
      <c r="F643">
        <f>COUNTIF('Metrics - Articles'!E565,"*Innovation")</f>
        <v>0</v>
      </c>
      <c r="G643">
        <f>COUNTIF('Metrics - Articles'!E565,"*Corporate*")</f>
        <v>0</v>
      </c>
      <c r="I643" s="53">
        <f t="shared" si="10"/>
        <v>0</v>
      </c>
    </row>
    <row r="644" spans="2:9" hidden="1" x14ac:dyDescent="0.25">
      <c r="B644" s="48">
        <f>+'Metrics - Articles'!C641</f>
        <v>0</v>
      </c>
      <c r="C644">
        <f>COUNTIF('Metrics - Articles'!E566,"*Sports*")</f>
        <v>0</v>
      </c>
      <c r="D644">
        <f>COUNTIF('Metrics - Articles'!E566,"*Youth*")</f>
        <v>0</v>
      </c>
      <c r="E644">
        <f>COUNTIF('Metrics - Articles'!E566,"*Healthcare*")</f>
        <v>0</v>
      </c>
      <c r="F644">
        <f>COUNTIF('Metrics - Articles'!E566,"*Innovation")</f>
        <v>0</v>
      </c>
      <c r="G644">
        <f>COUNTIF('Metrics - Articles'!E566,"*Corporate*")</f>
        <v>0</v>
      </c>
      <c r="I644" s="53">
        <f t="shared" si="10"/>
        <v>0</v>
      </c>
    </row>
    <row r="645" spans="2:9" hidden="1" x14ac:dyDescent="0.25">
      <c r="B645" s="48">
        <f>+'Metrics - Articles'!C642</f>
        <v>0</v>
      </c>
      <c r="C645">
        <f>COUNTIF('Metrics - Articles'!E567,"*Sports*")</f>
        <v>0</v>
      </c>
      <c r="D645">
        <f>COUNTIF('Metrics - Articles'!E567,"*Youth*")</f>
        <v>0</v>
      </c>
      <c r="E645">
        <f>COUNTIF('Metrics - Articles'!E567,"*Healthcare*")</f>
        <v>0</v>
      </c>
      <c r="F645">
        <f>COUNTIF('Metrics - Articles'!E567,"*Innovation")</f>
        <v>0</v>
      </c>
      <c r="G645">
        <f>COUNTIF('Metrics - Articles'!E567,"*Corporate*")</f>
        <v>0</v>
      </c>
      <c r="I645" s="53">
        <f t="shared" si="10"/>
        <v>0</v>
      </c>
    </row>
    <row r="646" spans="2:9" hidden="1" x14ac:dyDescent="0.25">
      <c r="B646" s="48">
        <f>+'Metrics - Articles'!C643</f>
        <v>0</v>
      </c>
      <c r="C646">
        <f>COUNTIF('Metrics - Articles'!E568,"*Sports*")</f>
        <v>0</v>
      </c>
      <c r="D646">
        <f>COUNTIF('Metrics - Articles'!E568,"*Youth*")</f>
        <v>0</v>
      </c>
      <c r="E646">
        <f>COUNTIF('Metrics - Articles'!E568,"*Healthcare*")</f>
        <v>0</v>
      </c>
      <c r="F646">
        <f>COUNTIF('Metrics - Articles'!E568,"*Innovation")</f>
        <v>0</v>
      </c>
      <c r="G646">
        <f>COUNTIF('Metrics - Articles'!E568,"*Corporate*")</f>
        <v>0</v>
      </c>
      <c r="I646" s="53">
        <f t="shared" si="10"/>
        <v>0</v>
      </c>
    </row>
    <row r="647" spans="2:9" hidden="1" x14ac:dyDescent="0.25">
      <c r="B647" s="48">
        <f>+'Metrics - Articles'!C644</f>
        <v>0</v>
      </c>
      <c r="C647">
        <f>COUNTIF('Metrics - Articles'!E569,"*Sports*")</f>
        <v>0</v>
      </c>
      <c r="D647">
        <f>COUNTIF('Metrics - Articles'!E569,"*Youth*")</f>
        <v>0</v>
      </c>
      <c r="E647">
        <f>COUNTIF('Metrics - Articles'!E569,"*Healthcare*")</f>
        <v>0</v>
      </c>
      <c r="F647">
        <f>COUNTIF('Metrics - Articles'!E569,"*Innovation")</f>
        <v>0</v>
      </c>
      <c r="G647">
        <f>COUNTIF('Metrics - Articles'!E569,"*Corporate*")</f>
        <v>0</v>
      </c>
      <c r="I647" s="53">
        <f t="shared" si="10"/>
        <v>0</v>
      </c>
    </row>
    <row r="648" spans="2:9" hidden="1" x14ac:dyDescent="0.25">
      <c r="B648" s="48">
        <f>+'Metrics - Articles'!C645</f>
        <v>0</v>
      </c>
      <c r="C648">
        <f>COUNTIF('Metrics - Articles'!E570,"*Sports*")</f>
        <v>0</v>
      </c>
      <c r="D648">
        <f>COUNTIF('Metrics - Articles'!E570,"*Youth*")</f>
        <v>0</v>
      </c>
      <c r="E648">
        <f>COUNTIF('Metrics - Articles'!E570,"*Healthcare*")</f>
        <v>0</v>
      </c>
      <c r="F648">
        <f>COUNTIF('Metrics - Articles'!E570,"*Innovation")</f>
        <v>0</v>
      </c>
      <c r="G648">
        <f>COUNTIF('Metrics - Articles'!E570,"*Corporate*")</f>
        <v>0</v>
      </c>
      <c r="I648" s="53">
        <f t="shared" ref="I648:I711" si="11">SUM(C648:H648)</f>
        <v>0</v>
      </c>
    </row>
    <row r="649" spans="2:9" hidden="1" x14ac:dyDescent="0.25">
      <c r="B649" s="48">
        <f>+'Metrics - Articles'!C646</f>
        <v>0</v>
      </c>
      <c r="C649">
        <f>COUNTIF('Metrics - Articles'!E571,"*Sports*")</f>
        <v>0</v>
      </c>
      <c r="D649">
        <f>COUNTIF('Metrics - Articles'!E571,"*Youth*")</f>
        <v>0</v>
      </c>
      <c r="E649">
        <f>COUNTIF('Metrics - Articles'!E571,"*Healthcare*")</f>
        <v>0</v>
      </c>
      <c r="F649">
        <f>COUNTIF('Metrics - Articles'!E571,"*Innovation")</f>
        <v>0</v>
      </c>
      <c r="G649">
        <f>COUNTIF('Metrics - Articles'!E571,"*Corporate*")</f>
        <v>0</v>
      </c>
      <c r="I649" s="53">
        <f t="shared" si="11"/>
        <v>0</v>
      </c>
    </row>
    <row r="650" spans="2:9" hidden="1" x14ac:dyDescent="0.25">
      <c r="B650" s="48">
        <f>+'Metrics - Articles'!C647</f>
        <v>0</v>
      </c>
      <c r="C650">
        <f>COUNTIF('Metrics - Articles'!E572,"*Sports*")</f>
        <v>0</v>
      </c>
      <c r="D650">
        <f>COUNTIF('Metrics - Articles'!E572,"*Youth*")</f>
        <v>0</v>
      </c>
      <c r="E650">
        <f>COUNTIF('Metrics - Articles'!E572,"*Healthcare*")</f>
        <v>0</v>
      </c>
      <c r="F650">
        <f>COUNTIF('Metrics - Articles'!E572,"*Innovation")</f>
        <v>0</v>
      </c>
      <c r="G650">
        <f>COUNTIF('Metrics - Articles'!E572,"*Corporate*")</f>
        <v>0</v>
      </c>
      <c r="I650" s="53">
        <f t="shared" si="11"/>
        <v>0</v>
      </c>
    </row>
    <row r="651" spans="2:9" hidden="1" x14ac:dyDescent="0.25">
      <c r="B651" s="48">
        <f>+'Metrics - Articles'!C648</f>
        <v>0</v>
      </c>
      <c r="C651">
        <f>COUNTIF('Metrics - Articles'!E573,"*Sports*")</f>
        <v>0</v>
      </c>
      <c r="D651">
        <f>COUNTIF('Metrics - Articles'!E573,"*Youth*")</f>
        <v>0</v>
      </c>
      <c r="E651">
        <f>COUNTIF('Metrics - Articles'!E573,"*Healthcare*")</f>
        <v>0</v>
      </c>
      <c r="F651">
        <f>COUNTIF('Metrics - Articles'!E573,"*Innovation")</f>
        <v>0</v>
      </c>
      <c r="G651">
        <f>COUNTIF('Metrics - Articles'!E573,"*Corporate*")</f>
        <v>0</v>
      </c>
      <c r="I651" s="53">
        <f t="shared" si="11"/>
        <v>0</v>
      </c>
    </row>
    <row r="652" spans="2:9" hidden="1" x14ac:dyDescent="0.25">
      <c r="B652" s="48">
        <f>+'Metrics - Articles'!C649</f>
        <v>0</v>
      </c>
      <c r="C652">
        <f>COUNTIF('Metrics - Articles'!E574,"*Sports*")</f>
        <v>0</v>
      </c>
      <c r="D652">
        <f>COUNTIF('Metrics - Articles'!E574,"*Youth*")</f>
        <v>0</v>
      </c>
      <c r="E652">
        <f>COUNTIF('Metrics - Articles'!E574,"*Healthcare*")</f>
        <v>0</v>
      </c>
      <c r="F652">
        <f>COUNTIF('Metrics - Articles'!E574,"*Innovation")</f>
        <v>0</v>
      </c>
      <c r="G652">
        <f>COUNTIF('Metrics - Articles'!E574,"*Corporate*")</f>
        <v>0</v>
      </c>
      <c r="I652" s="53">
        <f t="shared" si="11"/>
        <v>0</v>
      </c>
    </row>
    <row r="653" spans="2:9" hidden="1" x14ac:dyDescent="0.25">
      <c r="B653" s="48">
        <f>+'Metrics - Articles'!C650</f>
        <v>0</v>
      </c>
      <c r="C653">
        <f>COUNTIF('Metrics - Articles'!E575,"*Sports*")</f>
        <v>0</v>
      </c>
      <c r="D653">
        <f>COUNTIF('Metrics - Articles'!E575,"*Youth*")</f>
        <v>0</v>
      </c>
      <c r="E653">
        <f>COUNTIF('Metrics - Articles'!E575,"*Healthcare*")</f>
        <v>0</v>
      </c>
      <c r="F653">
        <f>COUNTIF('Metrics - Articles'!E575,"*Innovation")</f>
        <v>0</v>
      </c>
      <c r="G653">
        <f>COUNTIF('Metrics - Articles'!E575,"*Corporate*")</f>
        <v>0</v>
      </c>
      <c r="I653" s="53">
        <f t="shared" si="11"/>
        <v>0</v>
      </c>
    </row>
    <row r="654" spans="2:9" hidden="1" x14ac:dyDescent="0.25">
      <c r="B654" s="48">
        <f>+'Metrics - Articles'!C651</f>
        <v>0</v>
      </c>
      <c r="C654">
        <f>COUNTIF('Metrics - Articles'!E576,"*Sports*")</f>
        <v>0</v>
      </c>
      <c r="D654">
        <f>COUNTIF('Metrics - Articles'!E576,"*Youth*")</f>
        <v>0</v>
      </c>
      <c r="E654">
        <f>COUNTIF('Metrics - Articles'!E576,"*Healthcare*")</f>
        <v>0</v>
      </c>
      <c r="F654">
        <f>COUNTIF('Metrics - Articles'!E576,"*Innovation")</f>
        <v>0</v>
      </c>
      <c r="G654">
        <f>COUNTIF('Metrics - Articles'!E576,"*Corporate*")</f>
        <v>0</v>
      </c>
      <c r="I654" s="53">
        <f t="shared" si="11"/>
        <v>0</v>
      </c>
    </row>
    <row r="655" spans="2:9" hidden="1" x14ac:dyDescent="0.25">
      <c r="B655" s="48">
        <f>+'Metrics - Articles'!C652</f>
        <v>0</v>
      </c>
      <c r="C655">
        <f>COUNTIF('Metrics - Articles'!E577,"*Sports*")</f>
        <v>0</v>
      </c>
      <c r="D655">
        <f>COUNTIF('Metrics - Articles'!E577,"*Youth*")</f>
        <v>0</v>
      </c>
      <c r="E655">
        <f>COUNTIF('Metrics - Articles'!E577,"*Healthcare*")</f>
        <v>0</v>
      </c>
      <c r="F655">
        <f>COUNTIF('Metrics - Articles'!E577,"*Innovation")</f>
        <v>0</v>
      </c>
      <c r="G655">
        <f>COUNTIF('Metrics - Articles'!E577,"*Corporate*")</f>
        <v>0</v>
      </c>
      <c r="I655" s="53">
        <f t="shared" si="11"/>
        <v>0</v>
      </c>
    </row>
    <row r="656" spans="2:9" hidden="1" x14ac:dyDescent="0.25">
      <c r="B656" s="48">
        <f>+'Metrics - Articles'!C653</f>
        <v>0</v>
      </c>
      <c r="C656">
        <f>COUNTIF('Metrics - Articles'!E578,"*Sports*")</f>
        <v>0</v>
      </c>
      <c r="D656">
        <f>COUNTIF('Metrics - Articles'!E578,"*Youth*")</f>
        <v>0</v>
      </c>
      <c r="E656">
        <f>COUNTIF('Metrics - Articles'!E578,"*Healthcare*")</f>
        <v>0</v>
      </c>
      <c r="F656">
        <f>COUNTIF('Metrics - Articles'!E578,"*Innovation")</f>
        <v>0</v>
      </c>
      <c r="G656">
        <f>COUNTIF('Metrics - Articles'!E578,"*Corporate*")</f>
        <v>0</v>
      </c>
      <c r="I656" s="53">
        <f t="shared" si="11"/>
        <v>0</v>
      </c>
    </row>
    <row r="657" spans="2:9" hidden="1" x14ac:dyDescent="0.25">
      <c r="B657" s="48">
        <f>+'Metrics - Articles'!C654</f>
        <v>0</v>
      </c>
      <c r="C657">
        <f>COUNTIF('Metrics - Articles'!E579,"*Sports*")</f>
        <v>0</v>
      </c>
      <c r="D657">
        <f>COUNTIF('Metrics - Articles'!E579,"*Youth*")</f>
        <v>0</v>
      </c>
      <c r="E657">
        <f>COUNTIF('Metrics - Articles'!E579,"*Healthcare*")</f>
        <v>0</v>
      </c>
      <c r="F657">
        <f>COUNTIF('Metrics - Articles'!E579,"*Innovation")</f>
        <v>0</v>
      </c>
      <c r="G657">
        <f>COUNTIF('Metrics - Articles'!E579,"*Corporate*")</f>
        <v>0</v>
      </c>
      <c r="I657" s="53">
        <f t="shared" si="11"/>
        <v>0</v>
      </c>
    </row>
    <row r="658" spans="2:9" hidden="1" x14ac:dyDescent="0.25">
      <c r="B658" s="48">
        <f>+'Metrics - Articles'!C655</f>
        <v>0</v>
      </c>
      <c r="C658">
        <f>COUNTIF('Metrics - Articles'!E580,"*Sports*")</f>
        <v>0</v>
      </c>
      <c r="D658">
        <f>COUNTIF('Metrics - Articles'!E580,"*Youth*")</f>
        <v>0</v>
      </c>
      <c r="E658">
        <f>COUNTIF('Metrics - Articles'!E580,"*Healthcare*")</f>
        <v>0</v>
      </c>
      <c r="F658">
        <f>COUNTIF('Metrics - Articles'!E580,"*Innovation")</f>
        <v>0</v>
      </c>
      <c r="G658">
        <f>COUNTIF('Metrics - Articles'!E580,"*Corporate*")</f>
        <v>0</v>
      </c>
      <c r="I658" s="53">
        <f t="shared" si="11"/>
        <v>0</v>
      </c>
    </row>
    <row r="659" spans="2:9" hidden="1" x14ac:dyDescent="0.25">
      <c r="B659" s="48">
        <f>+'Metrics - Articles'!C656</f>
        <v>0</v>
      </c>
      <c r="C659">
        <f>COUNTIF('Metrics - Articles'!E581,"*Sports*")</f>
        <v>0</v>
      </c>
      <c r="D659">
        <f>COUNTIF('Metrics - Articles'!E581,"*Youth*")</f>
        <v>0</v>
      </c>
      <c r="E659">
        <f>COUNTIF('Metrics - Articles'!E581,"*Healthcare*")</f>
        <v>0</v>
      </c>
      <c r="F659">
        <f>COUNTIF('Metrics - Articles'!E581,"*Innovation")</f>
        <v>0</v>
      </c>
      <c r="G659">
        <f>COUNTIF('Metrics - Articles'!E581,"*Corporate*")</f>
        <v>0</v>
      </c>
      <c r="I659" s="53">
        <f t="shared" si="11"/>
        <v>0</v>
      </c>
    </row>
    <row r="660" spans="2:9" hidden="1" x14ac:dyDescent="0.25">
      <c r="B660" s="48">
        <f>+'Metrics - Articles'!C657</f>
        <v>0</v>
      </c>
      <c r="C660">
        <f>COUNTIF('Metrics - Articles'!E582,"*Sports*")</f>
        <v>0</v>
      </c>
      <c r="D660">
        <f>COUNTIF('Metrics - Articles'!E582,"*Youth*")</f>
        <v>0</v>
      </c>
      <c r="E660">
        <f>COUNTIF('Metrics - Articles'!E582,"*Healthcare*")</f>
        <v>0</v>
      </c>
      <c r="F660">
        <f>COUNTIF('Metrics - Articles'!E582,"*Innovation")</f>
        <v>0</v>
      </c>
      <c r="G660">
        <f>COUNTIF('Metrics - Articles'!E582,"*Corporate*")</f>
        <v>0</v>
      </c>
      <c r="I660" s="53">
        <f t="shared" si="11"/>
        <v>0</v>
      </c>
    </row>
    <row r="661" spans="2:9" hidden="1" x14ac:dyDescent="0.25">
      <c r="B661" s="48">
        <f>+'Metrics - Articles'!C658</f>
        <v>0</v>
      </c>
      <c r="C661">
        <f>COUNTIF('Metrics - Articles'!E583,"*Sports*")</f>
        <v>0</v>
      </c>
      <c r="D661">
        <f>COUNTIF('Metrics - Articles'!E583,"*Youth*")</f>
        <v>0</v>
      </c>
      <c r="E661">
        <f>COUNTIF('Metrics - Articles'!E583,"*Healthcare*")</f>
        <v>0</v>
      </c>
      <c r="F661">
        <f>COUNTIF('Metrics - Articles'!E583,"*Innovation")</f>
        <v>0</v>
      </c>
      <c r="G661">
        <f>COUNTIF('Metrics - Articles'!E583,"*Corporate*")</f>
        <v>0</v>
      </c>
      <c r="I661" s="53">
        <f t="shared" si="11"/>
        <v>0</v>
      </c>
    </row>
    <row r="662" spans="2:9" hidden="1" x14ac:dyDescent="0.25">
      <c r="B662" s="48">
        <f>+'Metrics - Articles'!C659</f>
        <v>0</v>
      </c>
      <c r="C662">
        <f>COUNTIF('Metrics - Articles'!E584,"*Sports*")</f>
        <v>0</v>
      </c>
      <c r="D662">
        <f>COUNTIF('Metrics - Articles'!E584,"*Youth*")</f>
        <v>0</v>
      </c>
      <c r="E662">
        <f>COUNTIF('Metrics - Articles'!E584,"*Healthcare*")</f>
        <v>0</v>
      </c>
      <c r="F662">
        <f>COUNTIF('Metrics - Articles'!E584,"*Innovation")</f>
        <v>0</v>
      </c>
      <c r="G662">
        <f>COUNTIF('Metrics - Articles'!E584,"*Corporate*")</f>
        <v>0</v>
      </c>
      <c r="I662" s="53">
        <f t="shared" si="11"/>
        <v>0</v>
      </c>
    </row>
    <row r="663" spans="2:9" hidden="1" x14ac:dyDescent="0.25">
      <c r="B663" s="48">
        <f>+'Metrics - Articles'!C660</f>
        <v>0</v>
      </c>
      <c r="C663">
        <f>COUNTIF('Metrics - Articles'!E585,"*Sports*")</f>
        <v>0</v>
      </c>
      <c r="D663">
        <f>COUNTIF('Metrics - Articles'!E585,"*Youth*")</f>
        <v>0</v>
      </c>
      <c r="E663">
        <f>COUNTIF('Metrics - Articles'!E585,"*Healthcare*")</f>
        <v>0</v>
      </c>
      <c r="F663">
        <f>COUNTIF('Metrics - Articles'!E585,"*Innovation")</f>
        <v>0</v>
      </c>
      <c r="G663">
        <f>COUNTIF('Metrics - Articles'!E585,"*Corporate*")</f>
        <v>0</v>
      </c>
      <c r="I663" s="53">
        <f t="shared" si="11"/>
        <v>0</v>
      </c>
    </row>
    <row r="664" spans="2:9" hidden="1" x14ac:dyDescent="0.25">
      <c r="B664" s="48">
        <f>+'Metrics - Articles'!C661</f>
        <v>0</v>
      </c>
      <c r="C664">
        <f>COUNTIF('Metrics - Articles'!E586,"*Sports*")</f>
        <v>0</v>
      </c>
      <c r="D664">
        <f>COUNTIF('Metrics - Articles'!E586,"*Youth*")</f>
        <v>0</v>
      </c>
      <c r="E664">
        <f>COUNTIF('Metrics - Articles'!E586,"*Healthcare*")</f>
        <v>0</v>
      </c>
      <c r="F664">
        <f>COUNTIF('Metrics - Articles'!E586,"*Innovation")</f>
        <v>0</v>
      </c>
      <c r="G664">
        <f>COUNTIF('Metrics - Articles'!E586,"*Corporate*")</f>
        <v>0</v>
      </c>
      <c r="I664" s="53">
        <f t="shared" si="11"/>
        <v>0</v>
      </c>
    </row>
    <row r="665" spans="2:9" hidden="1" x14ac:dyDescent="0.25">
      <c r="B665" s="48">
        <f>+'Metrics - Articles'!C662</f>
        <v>0</v>
      </c>
      <c r="C665">
        <f>COUNTIF('Metrics - Articles'!E587,"*Sports*")</f>
        <v>0</v>
      </c>
      <c r="D665">
        <f>COUNTIF('Metrics - Articles'!E587,"*Youth*")</f>
        <v>0</v>
      </c>
      <c r="E665">
        <f>COUNTIF('Metrics - Articles'!E587,"*Healthcare*")</f>
        <v>0</v>
      </c>
      <c r="F665">
        <f>COUNTIF('Metrics - Articles'!E587,"*Innovation")</f>
        <v>0</v>
      </c>
      <c r="G665">
        <f>COUNTIF('Metrics - Articles'!E587,"*Corporate*")</f>
        <v>0</v>
      </c>
      <c r="I665" s="53">
        <f t="shared" si="11"/>
        <v>0</v>
      </c>
    </row>
    <row r="666" spans="2:9" hidden="1" x14ac:dyDescent="0.25">
      <c r="B666" s="48">
        <f>+'Metrics - Articles'!C663</f>
        <v>0</v>
      </c>
      <c r="C666">
        <f>COUNTIF('Metrics - Articles'!E588,"*Sports*")</f>
        <v>0</v>
      </c>
      <c r="D666">
        <f>COUNTIF('Metrics - Articles'!E588,"*Youth*")</f>
        <v>0</v>
      </c>
      <c r="E666">
        <f>COUNTIF('Metrics - Articles'!E588,"*Healthcare*")</f>
        <v>0</v>
      </c>
      <c r="F666">
        <f>COUNTIF('Metrics - Articles'!E588,"*Innovation")</f>
        <v>0</v>
      </c>
      <c r="G666">
        <f>COUNTIF('Metrics - Articles'!E588,"*Corporate*")</f>
        <v>0</v>
      </c>
      <c r="I666" s="53">
        <f t="shared" si="11"/>
        <v>0</v>
      </c>
    </row>
    <row r="667" spans="2:9" hidden="1" x14ac:dyDescent="0.25">
      <c r="B667" s="48">
        <f>+'Metrics - Articles'!C664</f>
        <v>0</v>
      </c>
      <c r="C667">
        <f>COUNTIF('Metrics - Articles'!E589,"*Sports*")</f>
        <v>0</v>
      </c>
      <c r="D667">
        <f>COUNTIF('Metrics - Articles'!E589,"*Youth*")</f>
        <v>0</v>
      </c>
      <c r="E667">
        <f>COUNTIF('Metrics - Articles'!E589,"*Healthcare*")</f>
        <v>0</v>
      </c>
      <c r="F667">
        <f>COUNTIF('Metrics - Articles'!E589,"*Innovation")</f>
        <v>0</v>
      </c>
      <c r="G667">
        <f>COUNTIF('Metrics - Articles'!E589,"*Corporate*")</f>
        <v>0</v>
      </c>
      <c r="I667" s="53">
        <f t="shared" si="11"/>
        <v>0</v>
      </c>
    </row>
    <row r="668" spans="2:9" hidden="1" x14ac:dyDescent="0.25">
      <c r="B668" s="48">
        <f>+'Metrics - Articles'!C665</f>
        <v>0</v>
      </c>
      <c r="C668">
        <f>COUNTIF('Metrics - Articles'!E590,"*Sports*")</f>
        <v>0</v>
      </c>
      <c r="D668">
        <f>COUNTIF('Metrics - Articles'!E590,"*Youth*")</f>
        <v>0</v>
      </c>
      <c r="E668">
        <f>COUNTIF('Metrics - Articles'!E590,"*Healthcare*")</f>
        <v>0</v>
      </c>
      <c r="F668">
        <f>COUNTIF('Metrics - Articles'!E590,"*Innovation")</f>
        <v>0</v>
      </c>
      <c r="G668">
        <f>COUNTIF('Metrics - Articles'!E590,"*Corporate*")</f>
        <v>0</v>
      </c>
      <c r="I668" s="53">
        <f t="shared" si="11"/>
        <v>0</v>
      </c>
    </row>
    <row r="669" spans="2:9" hidden="1" x14ac:dyDescent="0.25">
      <c r="B669" s="48">
        <f>+'Metrics - Articles'!C666</f>
        <v>0</v>
      </c>
      <c r="C669">
        <f>COUNTIF('Metrics - Articles'!E591,"*Sports*")</f>
        <v>0</v>
      </c>
      <c r="D669">
        <f>COUNTIF('Metrics - Articles'!E591,"*Youth*")</f>
        <v>0</v>
      </c>
      <c r="E669">
        <f>COUNTIF('Metrics - Articles'!E591,"*Healthcare*")</f>
        <v>0</v>
      </c>
      <c r="F669">
        <f>COUNTIF('Metrics - Articles'!E591,"*Innovation")</f>
        <v>0</v>
      </c>
      <c r="G669">
        <f>COUNTIF('Metrics - Articles'!E591,"*Corporate*")</f>
        <v>0</v>
      </c>
      <c r="I669" s="53">
        <f t="shared" si="11"/>
        <v>0</v>
      </c>
    </row>
    <row r="670" spans="2:9" hidden="1" x14ac:dyDescent="0.25">
      <c r="B670" s="48">
        <f>+'Metrics - Articles'!C667</f>
        <v>0</v>
      </c>
      <c r="C670">
        <f>COUNTIF('Metrics - Articles'!E592,"*Sports*")</f>
        <v>0</v>
      </c>
      <c r="D670">
        <f>COUNTIF('Metrics - Articles'!E592,"*Youth*")</f>
        <v>0</v>
      </c>
      <c r="E670">
        <f>COUNTIF('Metrics - Articles'!E592,"*Healthcare*")</f>
        <v>0</v>
      </c>
      <c r="F670">
        <f>COUNTIF('Metrics - Articles'!E592,"*Innovation")</f>
        <v>0</v>
      </c>
      <c r="G670">
        <f>COUNTIF('Metrics - Articles'!E592,"*Corporate*")</f>
        <v>0</v>
      </c>
      <c r="I670" s="53">
        <f t="shared" si="11"/>
        <v>0</v>
      </c>
    </row>
    <row r="671" spans="2:9" hidden="1" x14ac:dyDescent="0.25">
      <c r="B671" s="48">
        <f>+'Metrics - Articles'!C668</f>
        <v>0</v>
      </c>
      <c r="C671">
        <f>COUNTIF('Metrics - Articles'!E593,"*Sports*")</f>
        <v>0</v>
      </c>
      <c r="D671">
        <f>COUNTIF('Metrics - Articles'!E593,"*Youth*")</f>
        <v>0</v>
      </c>
      <c r="E671">
        <f>COUNTIF('Metrics - Articles'!E593,"*Healthcare*")</f>
        <v>0</v>
      </c>
      <c r="F671">
        <f>COUNTIF('Metrics - Articles'!E593,"*Innovation")</f>
        <v>0</v>
      </c>
      <c r="G671">
        <f>COUNTIF('Metrics - Articles'!E593,"*Corporate*")</f>
        <v>0</v>
      </c>
      <c r="I671" s="53">
        <f t="shared" si="11"/>
        <v>0</v>
      </c>
    </row>
    <row r="672" spans="2:9" hidden="1" x14ac:dyDescent="0.25">
      <c r="B672" s="48">
        <f>+'Metrics - Articles'!C669</f>
        <v>0</v>
      </c>
      <c r="C672">
        <f>COUNTIF('Metrics - Articles'!E594,"*Sports*")</f>
        <v>0</v>
      </c>
      <c r="D672">
        <f>COUNTIF('Metrics - Articles'!E594,"*Youth*")</f>
        <v>0</v>
      </c>
      <c r="E672">
        <f>COUNTIF('Metrics - Articles'!E594,"*Healthcare*")</f>
        <v>0</v>
      </c>
      <c r="F672">
        <f>COUNTIF('Metrics - Articles'!E594,"*Innovation")</f>
        <v>0</v>
      </c>
      <c r="G672">
        <f>COUNTIF('Metrics - Articles'!E594,"*Corporate*")</f>
        <v>0</v>
      </c>
      <c r="I672" s="53">
        <f t="shared" si="11"/>
        <v>0</v>
      </c>
    </row>
    <row r="673" spans="2:9" hidden="1" x14ac:dyDescent="0.25">
      <c r="B673" s="48">
        <f>+'Metrics - Articles'!C670</f>
        <v>0</v>
      </c>
      <c r="C673">
        <f>COUNTIF('Metrics - Articles'!E595,"*Sports*")</f>
        <v>0</v>
      </c>
      <c r="D673">
        <f>COUNTIF('Metrics - Articles'!E595,"*Youth*")</f>
        <v>0</v>
      </c>
      <c r="E673">
        <f>COUNTIF('Metrics - Articles'!E595,"*Healthcare*")</f>
        <v>0</v>
      </c>
      <c r="F673">
        <f>COUNTIF('Metrics - Articles'!E595,"*Innovation")</f>
        <v>0</v>
      </c>
      <c r="G673">
        <f>COUNTIF('Metrics - Articles'!E595,"*Corporate*")</f>
        <v>0</v>
      </c>
      <c r="I673" s="53">
        <f t="shared" si="11"/>
        <v>0</v>
      </c>
    </row>
    <row r="674" spans="2:9" hidden="1" x14ac:dyDescent="0.25">
      <c r="B674" s="48">
        <f>+'Metrics - Articles'!C671</f>
        <v>0</v>
      </c>
      <c r="C674">
        <f>COUNTIF('Metrics - Articles'!E596,"*Sports*")</f>
        <v>0</v>
      </c>
      <c r="D674">
        <f>COUNTIF('Metrics - Articles'!E596,"*Youth*")</f>
        <v>0</v>
      </c>
      <c r="E674">
        <f>COUNTIF('Metrics - Articles'!E596,"*Healthcare*")</f>
        <v>0</v>
      </c>
      <c r="F674">
        <f>COUNTIF('Metrics - Articles'!E596,"*Innovation")</f>
        <v>0</v>
      </c>
      <c r="G674">
        <f>COUNTIF('Metrics - Articles'!E596,"*Corporate*")</f>
        <v>0</v>
      </c>
      <c r="I674" s="53">
        <f t="shared" si="11"/>
        <v>0</v>
      </c>
    </row>
    <row r="675" spans="2:9" hidden="1" x14ac:dyDescent="0.25">
      <c r="B675" s="48">
        <f>+'Metrics - Articles'!C672</f>
        <v>0</v>
      </c>
      <c r="C675">
        <f>COUNTIF('Metrics - Articles'!E597,"*Sports*")</f>
        <v>0</v>
      </c>
      <c r="D675">
        <f>COUNTIF('Metrics - Articles'!E597,"*Youth*")</f>
        <v>0</v>
      </c>
      <c r="E675">
        <f>COUNTIF('Metrics - Articles'!E597,"*Healthcare*")</f>
        <v>0</v>
      </c>
      <c r="F675">
        <f>COUNTIF('Metrics - Articles'!E597,"*Innovation")</f>
        <v>0</v>
      </c>
      <c r="G675">
        <f>COUNTIF('Metrics - Articles'!E597,"*Corporate*")</f>
        <v>0</v>
      </c>
      <c r="I675" s="53">
        <f t="shared" si="11"/>
        <v>0</v>
      </c>
    </row>
    <row r="676" spans="2:9" hidden="1" x14ac:dyDescent="0.25">
      <c r="B676" s="48">
        <f>+'Metrics - Articles'!C673</f>
        <v>0</v>
      </c>
      <c r="C676">
        <f>COUNTIF('Metrics - Articles'!E598,"*Sports*")</f>
        <v>0</v>
      </c>
      <c r="D676">
        <f>COUNTIF('Metrics - Articles'!E598,"*Youth*")</f>
        <v>0</v>
      </c>
      <c r="E676">
        <f>COUNTIF('Metrics - Articles'!E598,"*Healthcare*")</f>
        <v>0</v>
      </c>
      <c r="F676">
        <f>COUNTIF('Metrics - Articles'!E598,"*Innovation")</f>
        <v>0</v>
      </c>
      <c r="G676">
        <f>COUNTIF('Metrics - Articles'!E598,"*Corporate*")</f>
        <v>0</v>
      </c>
      <c r="I676" s="53">
        <f t="shared" si="11"/>
        <v>0</v>
      </c>
    </row>
    <row r="677" spans="2:9" hidden="1" x14ac:dyDescent="0.25">
      <c r="B677" s="48">
        <f>+'Metrics - Articles'!C674</f>
        <v>0</v>
      </c>
      <c r="C677">
        <f>COUNTIF('Metrics - Articles'!E599,"*Sports*")</f>
        <v>0</v>
      </c>
      <c r="D677">
        <f>COUNTIF('Metrics - Articles'!E599,"*Youth*")</f>
        <v>0</v>
      </c>
      <c r="E677">
        <f>COUNTIF('Metrics - Articles'!E599,"*Healthcare*")</f>
        <v>0</v>
      </c>
      <c r="F677">
        <f>COUNTIF('Metrics - Articles'!E599,"*Innovation")</f>
        <v>0</v>
      </c>
      <c r="G677">
        <f>COUNTIF('Metrics - Articles'!E599,"*Corporate*")</f>
        <v>0</v>
      </c>
      <c r="I677" s="53">
        <f t="shared" si="11"/>
        <v>0</v>
      </c>
    </row>
    <row r="678" spans="2:9" hidden="1" x14ac:dyDescent="0.25">
      <c r="B678" s="48">
        <f>+'Metrics - Articles'!C675</f>
        <v>0</v>
      </c>
      <c r="C678">
        <f>COUNTIF('Metrics - Articles'!E600,"*Sports*")</f>
        <v>0</v>
      </c>
      <c r="D678">
        <f>COUNTIF('Metrics - Articles'!E600,"*Youth*")</f>
        <v>0</v>
      </c>
      <c r="E678">
        <f>COUNTIF('Metrics - Articles'!E600,"*Healthcare*")</f>
        <v>0</v>
      </c>
      <c r="F678">
        <f>COUNTIF('Metrics - Articles'!E600,"*Innovation")</f>
        <v>0</v>
      </c>
      <c r="G678">
        <f>COUNTIF('Metrics - Articles'!E600,"*Corporate*")</f>
        <v>0</v>
      </c>
      <c r="I678" s="53">
        <f t="shared" si="11"/>
        <v>0</v>
      </c>
    </row>
    <row r="679" spans="2:9" hidden="1" x14ac:dyDescent="0.25">
      <c r="B679" s="48">
        <f>+'Metrics - Articles'!C676</f>
        <v>0</v>
      </c>
      <c r="C679">
        <f>COUNTIF('Metrics - Articles'!E601,"*Sports*")</f>
        <v>0</v>
      </c>
      <c r="D679">
        <f>COUNTIF('Metrics - Articles'!E601,"*Youth*")</f>
        <v>0</v>
      </c>
      <c r="E679">
        <f>COUNTIF('Metrics - Articles'!E601,"*Healthcare*")</f>
        <v>0</v>
      </c>
      <c r="F679">
        <f>COUNTIF('Metrics - Articles'!E601,"*Innovation")</f>
        <v>0</v>
      </c>
      <c r="G679">
        <f>COUNTIF('Metrics - Articles'!E601,"*Corporate*")</f>
        <v>0</v>
      </c>
      <c r="I679" s="53">
        <f t="shared" si="11"/>
        <v>0</v>
      </c>
    </row>
    <row r="680" spans="2:9" hidden="1" x14ac:dyDescent="0.25">
      <c r="B680" s="48">
        <f>+'Metrics - Articles'!C677</f>
        <v>0</v>
      </c>
      <c r="C680">
        <f>COUNTIF('Metrics - Articles'!E602,"*Sports*")</f>
        <v>0</v>
      </c>
      <c r="D680">
        <f>COUNTIF('Metrics - Articles'!E602,"*Youth*")</f>
        <v>0</v>
      </c>
      <c r="E680">
        <f>COUNTIF('Metrics - Articles'!E602,"*Healthcare*")</f>
        <v>0</v>
      </c>
      <c r="F680">
        <f>COUNTIF('Metrics - Articles'!E602,"*Innovation")</f>
        <v>0</v>
      </c>
      <c r="G680">
        <f>COUNTIF('Metrics - Articles'!E602,"*Corporate*")</f>
        <v>0</v>
      </c>
      <c r="I680" s="53">
        <f t="shared" si="11"/>
        <v>0</v>
      </c>
    </row>
    <row r="681" spans="2:9" hidden="1" x14ac:dyDescent="0.25">
      <c r="B681" s="48">
        <f>+'Metrics - Articles'!C678</f>
        <v>0</v>
      </c>
      <c r="C681">
        <f>COUNTIF('Metrics - Articles'!E603,"*Sports*")</f>
        <v>0</v>
      </c>
      <c r="D681">
        <f>COUNTIF('Metrics - Articles'!E603,"*Youth*")</f>
        <v>0</v>
      </c>
      <c r="E681">
        <f>COUNTIF('Metrics - Articles'!E603,"*Healthcare*")</f>
        <v>0</v>
      </c>
      <c r="F681">
        <f>COUNTIF('Metrics - Articles'!E603,"*Innovation")</f>
        <v>0</v>
      </c>
      <c r="G681">
        <f>COUNTIF('Metrics - Articles'!E603,"*Corporate*")</f>
        <v>0</v>
      </c>
      <c r="I681" s="53">
        <f t="shared" si="11"/>
        <v>0</v>
      </c>
    </row>
    <row r="682" spans="2:9" hidden="1" x14ac:dyDescent="0.25">
      <c r="B682" s="48">
        <f>+'Metrics - Articles'!C679</f>
        <v>0</v>
      </c>
      <c r="C682">
        <f>COUNTIF('Metrics - Articles'!E604,"*Sports*")</f>
        <v>0</v>
      </c>
      <c r="D682">
        <f>COUNTIF('Metrics - Articles'!E604,"*Youth*")</f>
        <v>0</v>
      </c>
      <c r="E682">
        <f>COUNTIF('Metrics - Articles'!E604,"*Healthcare*")</f>
        <v>0</v>
      </c>
      <c r="F682">
        <f>COUNTIF('Metrics - Articles'!E604,"*Innovation")</f>
        <v>0</v>
      </c>
      <c r="G682">
        <f>COUNTIF('Metrics - Articles'!E604,"*Corporate*")</f>
        <v>0</v>
      </c>
      <c r="I682" s="53">
        <f t="shared" si="11"/>
        <v>0</v>
      </c>
    </row>
    <row r="683" spans="2:9" hidden="1" x14ac:dyDescent="0.25">
      <c r="B683" s="48">
        <f>+'Metrics - Articles'!C680</f>
        <v>0</v>
      </c>
      <c r="C683">
        <f>COUNTIF('Metrics - Articles'!E605,"*Sports*")</f>
        <v>0</v>
      </c>
      <c r="D683">
        <f>COUNTIF('Metrics - Articles'!E605,"*Youth*")</f>
        <v>0</v>
      </c>
      <c r="E683">
        <f>COUNTIF('Metrics - Articles'!E605,"*Healthcare*")</f>
        <v>0</v>
      </c>
      <c r="F683">
        <f>COUNTIF('Metrics - Articles'!E605,"*Innovation")</f>
        <v>0</v>
      </c>
      <c r="G683">
        <f>COUNTIF('Metrics - Articles'!E605,"*Corporate*")</f>
        <v>0</v>
      </c>
      <c r="I683" s="53">
        <f t="shared" si="11"/>
        <v>0</v>
      </c>
    </row>
    <row r="684" spans="2:9" hidden="1" x14ac:dyDescent="0.25">
      <c r="B684" s="48">
        <f>+'Metrics - Articles'!C681</f>
        <v>0</v>
      </c>
      <c r="C684">
        <f>COUNTIF('Metrics - Articles'!E606,"*Sports*")</f>
        <v>0</v>
      </c>
      <c r="D684">
        <f>COUNTIF('Metrics - Articles'!E606,"*Youth*")</f>
        <v>0</v>
      </c>
      <c r="E684">
        <f>COUNTIF('Metrics - Articles'!E606,"*Healthcare*")</f>
        <v>0</v>
      </c>
      <c r="F684">
        <f>COUNTIF('Metrics - Articles'!E606,"*Innovation")</f>
        <v>0</v>
      </c>
      <c r="G684">
        <f>COUNTIF('Metrics - Articles'!E606,"*Corporate*")</f>
        <v>0</v>
      </c>
      <c r="I684" s="53">
        <f t="shared" si="11"/>
        <v>0</v>
      </c>
    </row>
    <row r="685" spans="2:9" hidden="1" x14ac:dyDescent="0.25">
      <c r="B685" s="48">
        <f>+'Metrics - Articles'!C682</f>
        <v>0</v>
      </c>
      <c r="C685">
        <f>COUNTIF('Metrics - Articles'!E607,"*Sports*")</f>
        <v>0</v>
      </c>
      <c r="D685">
        <f>COUNTIF('Metrics - Articles'!E607,"*Youth*")</f>
        <v>0</v>
      </c>
      <c r="E685">
        <f>COUNTIF('Metrics - Articles'!E607,"*Healthcare*")</f>
        <v>0</v>
      </c>
      <c r="F685">
        <f>COUNTIF('Metrics - Articles'!E607,"*Innovation")</f>
        <v>0</v>
      </c>
      <c r="G685">
        <f>COUNTIF('Metrics - Articles'!E607,"*Corporate*")</f>
        <v>0</v>
      </c>
      <c r="I685" s="53">
        <f t="shared" si="11"/>
        <v>0</v>
      </c>
    </row>
    <row r="686" spans="2:9" hidden="1" x14ac:dyDescent="0.25">
      <c r="B686" s="48">
        <f>+'Metrics - Articles'!C683</f>
        <v>0</v>
      </c>
      <c r="C686">
        <f>COUNTIF('Metrics - Articles'!E608,"*Sports*")</f>
        <v>0</v>
      </c>
      <c r="D686">
        <f>COUNTIF('Metrics - Articles'!E608,"*Youth*")</f>
        <v>0</v>
      </c>
      <c r="E686">
        <f>COUNTIF('Metrics - Articles'!E608,"*Healthcare*")</f>
        <v>0</v>
      </c>
      <c r="F686">
        <f>COUNTIF('Metrics - Articles'!E608,"*Innovation")</f>
        <v>0</v>
      </c>
      <c r="G686">
        <f>COUNTIF('Metrics - Articles'!E608,"*Corporate*")</f>
        <v>0</v>
      </c>
      <c r="I686" s="53">
        <f t="shared" si="11"/>
        <v>0</v>
      </c>
    </row>
    <row r="687" spans="2:9" hidden="1" x14ac:dyDescent="0.25">
      <c r="B687" s="48">
        <f>+'Metrics - Articles'!C684</f>
        <v>0</v>
      </c>
      <c r="C687">
        <f>COUNTIF('Metrics - Articles'!E609,"*Sports*")</f>
        <v>0</v>
      </c>
      <c r="D687">
        <f>COUNTIF('Metrics - Articles'!E609,"*Youth*")</f>
        <v>0</v>
      </c>
      <c r="E687">
        <f>COUNTIF('Metrics - Articles'!E609,"*Healthcare*")</f>
        <v>0</v>
      </c>
      <c r="F687">
        <f>COUNTIF('Metrics - Articles'!E609,"*Innovation")</f>
        <v>0</v>
      </c>
      <c r="G687">
        <f>COUNTIF('Metrics - Articles'!E609,"*Corporate*")</f>
        <v>0</v>
      </c>
      <c r="I687" s="53">
        <f t="shared" si="11"/>
        <v>0</v>
      </c>
    </row>
    <row r="688" spans="2:9" hidden="1" x14ac:dyDescent="0.25">
      <c r="B688" s="48">
        <f>+'Metrics - Articles'!C685</f>
        <v>0</v>
      </c>
      <c r="C688">
        <f>COUNTIF('Metrics - Articles'!E610,"*Sports*")</f>
        <v>0</v>
      </c>
      <c r="D688">
        <f>COUNTIF('Metrics - Articles'!E610,"*Youth*")</f>
        <v>0</v>
      </c>
      <c r="E688">
        <f>COUNTIF('Metrics - Articles'!E610,"*Healthcare*")</f>
        <v>0</v>
      </c>
      <c r="F688">
        <f>COUNTIF('Metrics - Articles'!E610,"*Innovation")</f>
        <v>0</v>
      </c>
      <c r="G688">
        <f>COUNTIF('Metrics - Articles'!E610,"*Corporate*")</f>
        <v>0</v>
      </c>
      <c r="I688" s="53">
        <f t="shared" si="11"/>
        <v>0</v>
      </c>
    </row>
    <row r="689" spans="2:9" hidden="1" x14ac:dyDescent="0.25">
      <c r="B689" s="48">
        <f>+'Metrics - Articles'!C686</f>
        <v>0</v>
      </c>
      <c r="C689">
        <f>COUNTIF('Metrics - Articles'!E611,"*Sports*")</f>
        <v>0</v>
      </c>
      <c r="D689">
        <f>COUNTIF('Metrics - Articles'!E611,"*Youth*")</f>
        <v>0</v>
      </c>
      <c r="E689">
        <f>COUNTIF('Metrics - Articles'!E611,"*Healthcare*")</f>
        <v>0</v>
      </c>
      <c r="F689">
        <f>COUNTIF('Metrics - Articles'!E611,"*Innovation")</f>
        <v>0</v>
      </c>
      <c r="G689">
        <f>COUNTIF('Metrics - Articles'!E611,"*Corporate*")</f>
        <v>0</v>
      </c>
      <c r="I689" s="53">
        <f t="shared" si="11"/>
        <v>0</v>
      </c>
    </row>
    <row r="690" spans="2:9" hidden="1" x14ac:dyDescent="0.25">
      <c r="B690" s="48">
        <f>+'Metrics - Articles'!C687</f>
        <v>0</v>
      </c>
      <c r="C690">
        <f>COUNTIF('Metrics - Articles'!E612,"*Sports*")</f>
        <v>0</v>
      </c>
      <c r="D690">
        <f>COUNTIF('Metrics - Articles'!E612,"*Youth*")</f>
        <v>0</v>
      </c>
      <c r="E690">
        <f>COUNTIF('Metrics - Articles'!E612,"*Healthcare*")</f>
        <v>0</v>
      </c>
      <c r="F690">
        <f>COUNTIF('Metrics - Articles'!E612,"*Innovation")</f>
        <v>0</v>
      </c>
      <c r="G690">
        <f>COUNTIF('Metrics - Articles'!E612,"*Corporate*")</f>
        <v>0</v>
      </c>
      <c r="I690" s="53">
        <f t="shared" si="11"/>
        <v>0</v>
      </c>
    </row>
    <row r="691" spans="2:9" hidden="1" x14ac:dyDescent="0.25">
      <c r="B691" s="48">
        <f>+'Metrics - Articles'!C688</f>
        <v>0</v>
      </c>
      <c r="C691">
        <f>COUNTIF('Metrics - Articles'!E613,"*Sports*")</f>
        <v>0</v>
      </c>
      <c r="D691">
        <f>COUNTIF('Metrics - Articles'!E613,"*Youth*")</f>
        <v>0</v>
      </c>
      <c r="E691">
        <f>COUNTIF('Metrics - Articles'!E613,"*Healthcare*")</f>
        <v>0</v>
      </c>
      <c r="F691">
        <f>COUNTIF('Metrics - Articles'!E613,"*Innovation")</f>
        <v>0</v>
      </c>
      <c r="G691">
        <f>COUNTIF('Metrics - Articles'!E613,"*Corporate*")</f>
        <v>0</v>
      </c>
      <c r="I691" s="53">
        <f t="shared" si="11"/>
        <v>0</v>
      </c>
    </row>
    <row r="692" spans="2:9" hidden="1" x14ac:dyDescent="0.25">
      <c r="B692" s="48">
        <f>+'Metrics - Articles'!C689</f>
        <v>0</v>
      </c>
      <c r="C692">
        <f>COUNTIF('Metrics - Articles'!E614,"*Sports*")</f>
        <v>0</v>
      </c>
      <c r="D692">
        <f>COUNTIF('Metrics - Articles'!E614,"*Youth*")</f>
        <v>0</v>
      </c>
      <c r="E692">
        <f>COUNTIF('Metrics - Articles'!E614,"*Healthcare*")</f>
        <v>0</v>
      </c>
      <c r="F692">
        <f>COUNTIF('Metrics - Articles'!E614,"*Innovation")</f>
        <v>0</v>
      </c>
      <c r="G692">
        <f>COUNTIF('Metrics - Articles'!E614,"*Corporate*")</f>
        <v>0</v>
      </c>
      <c r="I692" s="53">
        <f t="shared" si="11"/>
        <v>0</v>
      </c>
    </row>
    <row r="693" spans="2:9" hidden="1" x14ac:dyDescent="0.25">
      <c r="B693" s="48">
        <f>+'Metrics - Articles'!C690</f>
        <v>0</v>
      </c>
      <c r="C693">
        <f>COUNTIF('Metrics - Articles'!E615,"*Sports*")</f>
        <v>0</v>
      </c>
      <c r="D693">
        <f>COUNTIF('Metrics - Articles'!E615,"*Youth*")</f>
        <v>0</v>
      </c>
      <c r="E693">
        <f>COUNTIF('Metrics - Articles'!E615,"*Healthcare*")</f>
        <v>0</v>
      </c>
      <c r="F693">
        <f>COUNTIF('Metrics - Articles'!E615,"*Innovation")</f>
        <v>0</v>
      </c>
      <c r="G693">
        <f>COUNTIF('Metrics - Articles'!E615,"*Corporate*")</f>
        <v>0</v>
      </c>
      <c r="I693" s="53">
        <f t="shared" si="11"/>
        <v>0</v>
      </c>
    </row>
    <row r="694" spans="2:9" hidden="1" x14ac:dyDescent="0.25">
      <c r="B694" s="48">
        <f>+'Metrics - Articles'!C691</f>
        <v>0</v>
      </c>
      <c r="C694">
        <f>COUNTIF('Metrics - Articles'!E616,"*Sports*")</f>
        <v>0</v>
      </c>
      <c r="D694">
        <f>COUNTIF('Metrics - Articles'!E616,"*Youth*")</f>
        <v>0</v>
      </c>
      <c r="E694">
        <f>COUNTIF('Metrics - Articles'!E616,"*Healthcare*")</f>
        <v>0</v>
      </c>
      <c r="F694">
        <f>COUNTIF('Metrics - Articles'!E616,"*Innovation")</f>
        <v>0</v>
      </c>
      <c r="G694">
        <f>COUNTIF('Metrics - Articles'!E616,"*Corporate*")</f>
        <v>0</v>
      </c>
      <c r="I694" s="53">
        <f t="shared" si="11"/>
        <v>0</v>
      </c>
    </row>
    <row r="695" spans="2:9" hidden="1" x14ac:dyDescent="0.25">
      <c r="B695" s="48">
        <f>+'Metrics - Articles'!C692</f>
        <v>0</v>
      </c>
      <c r="C695">
        <f>COUNTIF('Metrics - Articles'!E617,"*Sports*")</f>
        <v>0</v>
      </c>
      <c r="D695">
        <f>COUNTIF('Metrics - Articles'!E617,"*Youth*")</f>
        <v>0</v>
      </c>
      <c r="E695">
        <f>COUNTIF('Metrics - Articles'!E617,"*Healthcare*")</f>
        <v>0</v>
      </c>
      <c r="F695">
        <f>COUNTIF('Metrics - Articles'!E617,"*Innovation")</f>
        <v>0</v>
      </c>
      <c r="G695">
        <f>COUNTIF('Metrics - Articles'!E617,"*Corporate*")</f>
        <v>0</v>
      </c>
      <c r="I695" s="53">
        <f t="shared" si="11"/>
        <v>0</v>
      </c>
    </row>
    <row r="696" spans="2:9" hidden="1" x14ac:dyDescent="0.25">
      <c r="B696" s="48">
        <f>+'Metrics - Articles'!C693</f>
        <v>0</v>
      </c>
      <c r="C696">
        <f>COUNTIF('Metrics - Articles'!E618,"*Sports*")</f>
        <v>0</v>
      </c>
      <c r="D696">
        <f>COUNTIF('Metrics - Articles'!E618,"*Youth*")</f>
        <v>0</v>
      </c>
      <c r="E696">
        <f>COUNTIF('Metrics - Articles'!E618,"*Healthcare*")</f>
        <v>0</v>
      </c>
      <c r="F696">
        <f>COUNTIF('Metrics - Articles'!E618,"*Innovation")</f>
        <v>0</v>
      </c>
      <c r="G696">
        <f>COUNTIF('Metrics - Articles'!E618,"*Corporate*")</f>
        <v>0</v>
      </c>
      <c r="I696" s="53">
        <f t="shared" si="11"/>
        <v>0</v>
      </c>
    </row>
    <row r="697" spans="2:9" hidden="1" x14ac:dyDescent="0.25">
      <c r="B697" s="48">
        <f>+'Metrics - Articles'!C694</f>
        <v>0</v>
      </c>
      <c r="C697">
        <f>COUNTIF('Metrics - Articles'!E619,"*Sports*")</f>
        <v>0</v>
      </c>
      <c r="D697">
        <f>COUNTIF('Metrics - Articles'!E619,"*Youth*")</f>
        <v>0</v>
      </c>
      <c r="E697">
        <f>COUNTIF('Metrics - Articles'!E619,"*Healthcare*")</f>
        <v>0</v>
      </c>
      <c r="F697">
        <f>COUNTIF('Metrics - Articles'!E619,"*Innovation")</f>
        <v>0</v>
      </c>
      <c r="G697">
        <f>COUNTIF('Metrics - Articles'!E619,"*Corporate*")</f>
        <v>0</v>
      </c>
      <c r="I697" s="53">
        <f t="shared" si="11"/>
        <v>0</v>
      </c>
    </row>
    <row r="698" spans="2:9" hidden="1" x14ac:dyDescent="0.25">
      <c r="B698" s="48">
        <f>+'Metrics - Articles'!C695</f>
        <v>0</v>
      </c>
      <c r="C698">
        <f>COUNTIF('Metrics - Articles'!E620,"*Sports*")</f>
        <v>0</v>
      </c>
      <c r="D698">
        <f>COUNTIF('Metrics - Articles'!E620,"*Youth*")</f>
        <v>0</v>
      </c>
      <c r="E698">
        <f>COUNTIF('Metrics - Articles'!E620,"*Healthcare*")</f>
        <v>0</v>
      </c>
      <c r="F698">
        <f>COUNTIF('Metrics - Articles'!E620,"*Innovation")</f>
        <v>0</v>
      </c>
      <c r="G698">
        <f>COUNTIF('Metrics - Articles'!E620,"*Corporate*")</f>
        <v>0</v>
      </c>
      <c r="I698" s="53">
        <f t="shared" si="11"/>
        <v>0</v>
      </c>
    </row>
    <row r="699" spans="2:9" hidden="1" x14ac:dyDescent="0.25">
      <c r="B699" s="48">
        <f>+'Metrics - Articles'!C696</f>
        <v>0</v>
      </c>
      <c r="C699">
        <f>COUNTIF('Metrics - Articles'!E621,"*Sports*")</f>
        <v>0</v>
      </c>
      <c r="D699">
        <f>COUNTIF('Metrics - Articles'!E621,"*Youth*")</f>
        <v>0</v>
      </c>
      <c r="E699">
        <f>COUNTIF('Metrics - Articles'!E621,"*Healthcare*")</f>
        <v>0</v>
      </c>
      <c r="F699">
        <f>COUNTIF('Metrics - Articles'!E621,"*Innovation")</f>
        <v>0</v>
      </c>
      <c r="G699">
        <f>COUNTIF('Metrics - Articles'!E621,"*Corporate*")</f>
        <v>0</v>
      </c>
      <c r="I699" s="53">
        <f t="shared" si="11"/>
        <v>0</v>
      </c>
    </row>
    <row r="700" spans="2:9" hidden="1" x14ac:dyDescent="0.25">
      <c r="B700" s="48">
        <f>+'Metrics - Articles'!C697</f>
        <v>0</v>
      </c>
      <c r="C700">
        <f>COUNTIF('Metrics - Articles'!E622,"*Sports*")</f>
        <v>0</v>
      </c>
      <c r="D700">
        <f>COUNTIF('Metrics - Articles'!E622,"*Youth*")</f>
        <v>0</v>
      </c>
      <c r="E700">
        <f>COUNTIF('Metrics - Articles'!E622,"*Healthcare*")</f>
        <v>0</v>
      </c>
      <c r="F700">
        <f>COUNTIF('Metrics - Articles'!E622,"*Innovation")</f>
        <v>0</v>
      </c>
      <c r="G700">
        <f>COUNTIF('Metrics - Articles'!E622,"*Corporate*")</f>
        <v>0</v>
      </c>
      <c r="I700" s="53">
        <f t="shared" si="11"/>
        <v>0</v>
      </c>
    </row>
    <row r="701" spans="2:9" hidden="1" x14ac:dyDescent="0.25">
      <c r="B701" s="48">
        <f>+'Metrics - Articles'!C698</f>
        <v>0</v>
      </c>
      <c r="C701">
        <f>COUNTIF('Metrics - Articles'!E623,"*Sports*")</f>
        <v>0</v>
      </c>
      <c r="D701">
        <f>COUNTIF('Metrics - Articles'!E623,"*Youth*")</f>
        <v>0</v>
      </c>
      <c r="E701">
        <f>COUNTIF('Metrics - Articles'!E623,"*Healthcare*")</f>
        <v>0</v>
      </c>
      <c r="F701">
        <f>COUNTIF('Metrics - Articles'!E623,"*Innovation")</f>
        <v>0</v>
      </c>
      <c r="G701">
        <f>COUNTIF('Metrics - Articles'!E623,"*Corporate*")</f>
        <v>0</v>
      </c>
      <c r="I701" s="53">
        <f t="shared" si="11"/>
        <v>0</v>
      </c>
    </row>
    <row r="702" spans="2:9" hidden="1" x14ac:dyDescent="0.25">
      <c r="B702" s="48">
        <f>+'Metrics - Articles'!C699</f>
        <v>0</v>
      </c>
      <c r="C702">
        <f>COUNTIF('Metrics - Articles'!E624,"*Sports*")</f>
        <v>0</v>
      </c>
      <c r="D702">
        <f>COUNTIF('Metrics - Articles'!E624,"*Youth*")</f>
        <v>0</v>
      </c>
      <c r="E702">
        <f>COUNTIF('Metrics - Articles'!E624,"*Healthcare*")</f>
        <v>0</v>
      </c>
      <c r="F702">
        <f>COUNTIF('Metrics - Articles'!E624,"*Innovation")</f>
        <v>0</v>
      </c>
      <c r="G702">
        <f>COUNTIF('Metrics - Articles'!E624,"*Corporate*")</f>
        <v>0</v>
      </c>
      <c r="I702" s="53">
        <f t="shared" si="11"/>
        <v>0</v>
      </c>
    </row>
    <row r="703" spans="2:9" hidden="1" x14ac:dyDescent="0.25">
      <c r="B703" s="48">
        <f>+'Metrics - Articles'!C700</f>
        <v>0</v>
      </c>
      <c r="C703">
        <f>COUNTIF('Metrics - Articles'!E625,"*Sports*")</f>
        <v>0</v>
      </c>
      <c r="D703">
        <f>COUNTIF('Metrics - Articles'!E625,"*Youth*")</f>
        <v>0</v>
      </c>
      <c r="E703">
        <f>COUNTIF('Metrics - Articles'!E625,"*Healthcare*")</f>
        <v>0</v>
      </c>
      <c r="F703">
        <f>COUNTIF('Metrics - Articles'!E625,"*Innovation")</f>
        <v>0</v>
      </c>
      <c r="G703">
        <f>COUNTIF('Metrics - Articles'!E625,"*Corporate*")</f>
        <v>0</v>
      </c>
      <c r="I703" s="53">
        <f t="shared" si="11"/>
        <v>0</v>
      </c>
    </row>
    <row r="704" spans="2:9" hidden="1" x14ac:dyDescent="0.25">
      <c r="B704" s="48">
        <f>+'Metrics - Articles'!C701</f>
        <v>0</v>
      </c>
      <c r="C704">
        <f>COUNTIF('Metrics - Articles'!E626,"*Sports*")</f>
        <v>0</v>
      </c>
      <c r="D704">
        <f>COUNTIF('Metrics - Articles'!E626,"*Youth*")</f>
        <v>0</v>
      </c>
      <c r="E704">
        <f>COUNTIF('Metrics - Articles'!E626,"*Healthcare*")</f>
        <v>0</v>
      </c>
      <c r="F704">
        <f>COUNTIF('Metrics - Articles'!E626,"*Innovation")</f>
        <v>0</v>
      </c>
      <c r="G704">
        <f>COUNTIF('Metrics - Articles'!E626,"*Corporate*")</f>
        <v>0</v>
      </c>
      <c r="I704" s="53">
        <f t="shared" si="11"/>
        <v>0</v>
      </c>
    </row>
    <row r="705" spans="2:9" hidden="1" x14ac:dyDescent="0.25">
      <c r="B705" s="48">
        <f>+'Metrics - Articles'!C702</f>
        <v>0</v>
      </c>
      <c r="C705">
        <f>COUNTIF('Metrics - Articles'!E627,"*Sports*")</f>
        <v>0</v>
      </c>
      <c r="D705">
        <f>COUNTIF('Metrics - Articles'!E627,"*Youth*")</f>
        <v>0</v>
      </c>
      <c r="E705">
        <f>COUNTIF('Metrics - Articles'!E627,"*Healthcare*")</f>
        <v>0</v>
      </c>
      <c r="F705">
        <f>COUNTIF('Metrics - Articles'!E627,"*Innovation")</f>
        <v>0</v>
      </c>
      <c r="G705">
        <f>COUNTIF('Metrics - Articles'!E627,"*Corporate*")</f>
        <v>0</v>
      </c>
      <c r="I705" s="53">
        <f t="shared" si="11"/>
        <v>0</v>
      </c>
    </row>
    <row r="706" spans="2:9" hidden="1" x14ac:dyDescent="0.25">
      <c r="B706" s="48">
        <f>+'Metrics - Articles'!C703</f>
        <v>0</v>
      </c>
      <c r="C706">
        <f>COUNTIF('Metrics - Articles'!E628,"*Sports*")</f>
        <v>0</v>
      </c>
      <c r="D706">
        <f>COUNTIF('Metrics - Articles'!E628,"*Youth*")</f>
        <v>0</v>
      </c>
      <c r="E706">
        <f>COUNTIF('Metrics - Articles'!E628,"*Healthcare*")</f>
        <v>0</v>
      </c>
      <c r="F706">
        <f>COUNTIF('Metrics - Articles'!E628,"*Innovation")</f>
        <v>0</v>
      </c>
      <c r="G706">
        <f>COUNTIF('Metrics - Articles'!E628,"*Corporate*")</f>
        <v>0</v>
      </c>
      <c r="I706" s="53">
        <f t="shared" si="11"/>
        <v>0</v>
      </c>
    </row>
    <row r="707" spans="2:9" hidden="1" x14ac:dyDescent="0.25">
      <c r="B707" s="48">
        <f>+'Metrics - Articles'!C704</f>
        <v>0</v>
      </c>
      <c r="C707">
        <f>COUNTIF('Metrics - Articles'!E629,"*Sports*")</f>
        <v>0</v>
      </c>
      <c r="D707">
        <f>COUNTIF('Metrics - Articles'!E629,"*Youth*")</f>
        <v>0</v>
      </c>
      <c r="E707">
        <f>COUNTIF('Metrics - Articles'!E629,"*Healthcare*")</f>
        <v>0</v>
      </c>
      <c r="F707">
        <f>COUNTIF('Metrics - Articles'!E629,"*Innovation")</f>
        <v>0</v>
      </c>
      <c r="G707">
        <f>COUNTIF('Metrics - Articles'!E629,"*Corporate*")</f>
        <v>0</v>
      </c>
      <c r="I707" s="53">
        <f t="shared" si="11"/>
        <v>0</v>
      </c>
    </row>
    <row r="708" spans="2:9" hidden="1" x14ac:dyDescent="0.25">
      <c r="B708" s="48">
        <f>+'Metrics - Articles'!C705</f>
        <v>0</v>
      </c>
      <c r="C708">
        <f>COUNTIF('Metrics - Articles'!E630,"*Sports*")</f>
        <v>0</v>
      </c>
      <c r="D708">
        <f>COUNTIF('Metrics - Articles'!E630,"*Youth*")</f>
        <v>0</v>
      </c>
      <c r="E708">
        <f>COUNTIF('Metrics - Articles'!E630,"*Healthcare*")</f>
        <v>0</v>
      </c>
      <c r="F708">
        <f>COUNTIF('Metrics - Articles'!E630,"*Innovation")</f>
        <v>0</v>
      </c>
      <c r="G708">
        <f>COUNTIF('Metrics - Articles'!E630,"*Corporate*")</f>
        <v>0</v>
      </c>
      <c r="I708" s="53">
        <f t="shared" si="11"/>
        <v>0</v>
      </c>
    </row>
    <row r="709" spans="2:9" hidden="1" x14ac:dyDescent="0.25">
      <c r="B709" s="48">
        <f>+'Metrics - Articles'!C706</f>
        <v>0</v>
      </c>
      <c r="C709">
        <f>COUNTIF('Metrics - Articles'!E631,"*Sports*")</f>
        <v>0</v>
      </c>
      <c r="D709">
        <f>COUNTIF('Metrics - Articles'!E631,"*Youth*")</f>
        <v>0</v>
      </c>
      <c r="E709">
        <f>COUNTIF('Metrics - Articles'!E631,"*Healthcare*")</f>
        <v>0</v>
      </c>
      <c r="F709">
        <f>COUNTIF('Metrics - Articles'!E631,"*Innovation")</f>
        <v>0</v>
      </c>
      <c r="G709">
        <f>COUNTIF('Metrics - Articles'!E631,"*Corporate*")</f>
        <v>0</v>
      </c>
      <c r="I709" s="53">
        <f t="shared" si="11"/>
        <v>0</v>
      </c>
    </row>
    <row r="710" spans="2:9" hidden="1" x14ac:dyDescent="0.25">
      <c r="B710" s="48">
        <f>+'Metrics - Articles'!C707</f>
        <v>0</v>
      </c>
      <c r="C710">
        <f>COUNTIF('Metrics - Articles'!E632,"*Sports*")</f>
        <v>0</v>
      </c>
      <c r="D710">
        <f>COUNTIF('Metrics - Articles'!E632,"*Youth*")</f>
        <v>0</v>
      </c>
      <c r="E710">
        <f>COUNTIF('Metrics - Articles'!E632,"*Healthcare*")</f>
        <v>0</v>
      </c>
      <c r="F710">
        <f>COUNTIF('Metrics - Articles'!E632,"*Innovation")</f>
        <v>0</v>
      </c>
      <c r="G710">
        <f>COUNTIF('Metrics - Articles'!E632,"*Corporate*")</f>
        <v>0</v>
      </c>
      <c r="I710" s="53">
        <f t="shared" si="11"/>
        <v>0</v>
      </c>
    </row>
    <row r="711" spans="2:9" hidden="1" x14ac:dyDescent="0.25">
      <c r="B711" s="48">
        <f>+'Metrics - Articles'!C708</f>
        <v>0</v>
      </c>
      <c r="C711">
        <f>COUNTIF('Metrics - Articles'!E633,"*Sports*")</f>
        <v>0</v>
      </c>
      <c r="D711">
        <f>COUNTIF('Metrics - Articles'!E633,"*Youth*")</f>
        <v>0</v>
      </c>
      <c r="E711">
        <f>COUNTIF('Metrics - Articles'!E633,"*Healthcare*")</f>
        <v>0</v>
      </c>
      <c r="F711">
        <f>COUNTIF('Metrics - Articles'!E633,"*Innovation")</f>
        <v>0</v>
      </c>
      <c r="G711">
        <f>COUNTIF('Metrics - Articles'!E633,"*Corporate*")</f>
        <v>0</v>
      </c>
      <c r="I711" s="53">
        <f t="shared" si="11"/>
        <v>0</v>
      </c>
    </row>
    <row r="712" spans="2:9" hidden="1" x14ac:dyDescent="0.25">
      <c r="B712" s="48">
        <f>+'Metrics - Articles'!C709</f>
        <v>0</v>
      </c>
      <c r="C712">
        <f>COUNTIF('Metrics - Articles'!E634,"*Sports*")</f>
        <v>0</v>
      </c>
      <c r="D712">
        <f>COUNTIF('Metrics - Articles'!E634,"*Youth*")</f>
        <v>0</v>
      </c>
      <c r="E712">
        <f>COUNTIF('Metrics - Articles'!E634,"*Healthcare*")</f>
        <v>0</v>
      </c>
      <c r="F712">
        <f>COUNTIF('Metrics - Articles'!E634,"*Innovation")</f>
        <v>0</v>
      </c>
      <c r="G712">
        <f>COUNTIF('Metrics - Articles'!E634,"*Corporate*")</f>
        <v>0</v>
      </c>
      <c r="I712" s="53">
        <f t="shared" ref="I712:I775" si="12">SUM(C712:H712)</f>
        <v>0</v>
      </c>
    </row>
    <row r="713" spans="2:9" hidden="1" x14ac:dyDescent="0.25">
      <c r="B713" s="48">
        <f>+'Metrics - Articles'!C710</f>
        <v>0</v>
      </c>
      <c r="C713">
        <f>COUNTIF('Metrics - Articles'!E635,"*Sports*")</f>
        <v>0</v>
      </c>
      <c r="D713">
        <f>COUNTIF('Metrics - Articles'!E635,"*Youth*")</f>
        <v>0</v>
      </c>
      <c r="E713">
        <f>COUNTIF('Metrics - Articles'!E635,"*Healthcare*")</f>
        <v>0</v>
      </c>
      <c r="F713">
        <f>COUNTIF('Metrics - Articles'!E635,"*Innovation")</f>
        <v>0</v>
      </c>
      <c r="G713">
        <f>COUNTIF('Metrics - Articles'!E635,"*Corporate*")</f>
        <v>0</v>
      </c>
      <c r="I713" s="53">
        <f t="shared" si="12"/>
        <v>0</v>
      </c>
    </row>
    <row r="714" spans="2:9" hidden="1" x14ac:dyDescent="0.25">
      <c r="B714" s="48">
        <f>+'Metrics - Articles'!C711</f>
        <v>0</v>
      </c>
      <c r="C714">
        <f>COUNTIF('Metrics - Articles'!E636,"*Sports*")</f>
        <v>0</v>
      </c>
      <c r="D714">
        <f>COUNTIF('Metrics - Articles'!E636,"*Youth*")</f>
        <v>0</v>
      </c>
      <c r="E714">
        <f>COUNTIF('Metrics - Articles'!E636,"*Healthcare*")</f>
        <v>0</v>
      </c>
      <c r="F714">
        <f>COUNTIF('Metrics - Articles'!E636,"*Innovation")</f>
        <v>0</v>
      </c>
      <c r="G714">
        <f>COUNTIF('Metrics - Articles'!E636,"*Corporate*")</f>
        <v>0</v>
      </c>
      <c r="I714" s="53">
        <f t="shared" si="12"/>
        <v>0</v>
      </c>
    </row>
    <row r="715" spans="2:9" hidden="1" x14ac:dyDescent="0.25">
      <c r="B715" s="48">
        <f>+'Metrics - Articles'!C712</f>
        <v>0</v>
      </c>
      <c r="C715">
        <f>COUNTIF('Metrics - Articles'!E637,"*Sports*")</f>
        <v>0</v>
      </c>
      <c r="D715">
        <f>COUNTIF('Metrics - Articles'!E637,"*Youth*")</f>
        <v>0</v>
      </c>
      <c r="E715">
        <f>COUNTIF('Metrics - Articles'!E637,"*Healthcare*")</f>
        <v>0</v>
      </c>
      <c r="F715">
        <f>COUNTIF('Metrics - Articles'!E637,"*Innovation")</f>
        <v>0</v>
      </c>
      <c r="G715">
        <f>COUNTIF('Metrics - Articles'!E637,"*Corporate*")</f>
        <v>0</v>
      </c>
      <c r="I715" s="53">
        <f t="shared" si="12"/>
        <v>0</v>
      </c>
    </row>
    <row r="716" spans="2:9" hidden="1" x14ac:dyDescent="0.25">
      <c r="B716" s="48">
        <f>+'Metrics - Articles'!C713</f>
        <v>0</v>
      </c>
      <c r="C716">
        <f>COUNTIF('Metrics - Articles'!E638,"*Sports*")</f>
        <v>0</v>
      </c>
      <c r="D716">
        <f>COUNTIF('Metrics - Articles'!E638,"*Youth*")</f>
        <v>0</v>
      </c>
      <c r="E716">
        <f>COUNTIF('Metrics - Articles'!E638,"*Healthcare*")</f>
        <v>0</v>
      </c>
      <c r="F716">
        <f>COUNTIF('Metrics - Articles'!E638,"*Innovation")</f>
        <v>0</v>
      </c>
      <c r="G716">
        <f>COUNTIF('Metrics - Articles'!E638,"*Corporate*")</f>
        <v>0</v>
      </c>
      <c r="I716" s="53">
        <f t="shared" si="12"/>
        <v>0</v>
      </c>
    </row>
    <row r="717" spans="2:9" hidden="1" x14ac:dyDescent="0.25">
      <c r="B717" s="48">
        <f>+'Metrics - Articles'!C714</f>
        <v>0</v>
      </c>
      <c r="C717">
        <f>COUNTIF('Metrics - Articles'!E639,"*Sports*")</f>
        <v>0</v>
      </c>
      <c r="D717">
        <f>COUNTIF('Metrics - Articles'!E639,"*Youth*")</f>
        <v>0</v>
      </c>
      <c r="E717">
        <f>COUNTIF('Metrics - Articles'!E639,"*Healthcare*")</f>
        <v>0</v>
      </c>
      <c r="F717">
        <f>COUNTIF('Metrics - Articles'!E639,"*Innovation")</f>
        <v>0</v>
      </c>
      <c r="G717">
        <f>COUNTIF('Metrics - Articles'!E639,"*Corporate*")</f>
        <v>0</v>
      </c>
      <c r="I717" s="53">
        <f t="shared" si="12"/>
        <v>0</v>
      </c>
    </row>
    <row r="718" spans="2:9" hidden="1" x14ac:dyDescent="0.25">
      <c r="B718" s="48">
        <f>+'Metrics - Articles'!C715</f>
        <v>0</v>
      </c>
      <c r="C718">
        <f>COUNTIF('Metrics - Articles'!E640,"*Sports*")</f>
        <v>0</v>
      </c>
      <c r="D718">
        <f>COUNTIF('Metrics - Articles'!E640,"*Youth*")</f>
        <v>0</v>
      </c>
      <c r="E718">
        <f>COUNTIF('Metrics - Articles'!E640,"*Healthcare*")</f>
        <v>0</v>
      </c>
      <c r="F718">
        <f>COUNTIF('Metrics - Articles'!E640,"*Innovation")</f>
        <v>0</v>
      </c>
      <c r="G718">
        <f>COUNTIF('Metrics - Articles'!E640,"*Corporate*")</f>
        <v>0</v>
      </c>
      <c r="I718" s="53">
        <f t="shared" si="12"/>
        <v>0</v>
      </c>
    </row>
    <row r="719" spans="2:9" hidden="1" x14ac:dyDescent="0.25">
      <c r="B719" s="48">
        <f>+'Metrics - Articles'!C716</f>
        <v>0</v>
      </c>
      <c r="C719">
        <f>COUNTIF('Metrics - Articles'!E641,"*Sports*")</f>
        <v>0</v>
      </c>
      <c r="D719">
        <f>COUNTIF('Metrics - Articles'!E641,"*Youth*")</f>
        <v>0</v>
      </c>
      <c r="E719">
        <f>COUNTIF('Metrics - Articles'!E641,"*Healthcare*")</f>
        <v>0</v>
      </c>
      <c r="F719">
        <f>COUNTIF('Metrics - Articles'!E641,"*Innovation")</f>
        <v>0</v>
      </c>
      <c r="G719">
        <f>COUNTIF('Metrics - Articles'!E641,"*Corporate*")</f>
        <v>0</v>
      </c>
      <c r="I719" s="53">
        <f t="shared" si="12"/>
        <v>0</v>
      </c>
    </row>
    <row r="720" spans="2:9" hidden="1" x14ac:dyDescent="0.25">
      <c r="B720" s="48">
        <f>+'Metrics - Articles'!C717</f>
        <v>0</v>
      </c>
      <c r="C720">
        <f>COUNTIF('Metrics - Articles'!E642,"*Sports*")</f>
        <v>0</v>
      </c>
      <c r="D720">
        <f>COUNTIF('Metrics - Articles'!E642,"*Youth*")</f>
        <v>0</v>
      </c>
      <c r="E720">
        <f>COUNTIF('Metrics - Articles'!E642,"*Healthcare*")</f>
        <v>0</v>
      </c>
      <c r="F720">
        <f>COUNTIF('Metrics - Articles'!E642,"*Innovation")</f>
        <v>0</v>
      </c>
      <c r="G720">
        <f>COUNTIF('Metrics - Articles'!E642,"*Corporate*")</f>
        <v>0</v>
      </c>
      <c r="I720" s="53">
        <f t="shared" si="12"/>
        <v>0</v>
      </c>
    </row>
    <row r="721" spans="2:9" hidden="1" x14ac:dyDescent="0.25">
      <c r="B721" s="48">
        <f>+'Metrics - Articles'!C718</f>
        <v>0</v>
      </c>
      <c r="C721">
        <f>COUNTIF('Metrics - Articles'!E643,"*Sports*")</f>
        <v>0</v>
      </c>
      <c r="D721">
        <f>COUNTIF('Metrics - Articles'!E643,"*Youth*")</f>
        <v>0</v>
      </c>
      <c r="E721">
        <f>COUNTIF('Metrics - Articles'!E643,"*Healthcare*")</f>
        <v>0</v>
      </c>
      <c r="F721">
        <f>COUNTIF('Metrics - Articles'!E643,"*Innovation")</f>
        <v>0</v>
      </c>
      <c r="G721">
        <f>COUNTIF('Metrics - Articles'!E643,"*Corporate*")</f>
        <v>0</v>
      </c>
      <c r="I721" s="53">
        <f t="shared" si="12"/>
        <v>0</v>
      </c>
    </row>
    <row r="722" spans="2:9" hidden="1" x14ac:dyDescent="0.25">
      <c r="B722" s="48">
        <f>+'Metrics - Articles'!C719</f>
        <v>0</v>
      </c>
      <c r="C722">
        <f>COUNTIF('Metrics - Articles'!E644,"*Sports*")</f>
        <v>0</v>
      </c>
      <c r="D722">
        <f>COUNTIF('Metrics - Articles'!E644,"*Youth*")</f>
        <v>0</v>
      </c>
      <c r="E722">
        <f>COUNTIF('Metrics - Articles'!E644,"*Healthcare*")</f>
        <v>0</v>
      </c>
      <c r="F722">
        <f>COUNTIF('Metrics - Articles'!E644,"*Innovation")</f>
        <v>0</v>
      </c>
      <c r="G722">
        <f>COUNTIF('Metrics - Articles'!E644,"*Corporate*")</f>
        <v>0</v>
      </c>
      <c r="I722" s="53">
        <f t="shared" si="12"/>
        <v>0</v>
      </c>
    </row>
    <row r="723" spans="2:9" hidden="1" x14ac:dyDescent="0.25">
      <c r="B723" s="48">
        <f>+'Metrics - Articles'!C720</f>
        <v>0</v>
      </c>
      <c r="C723">
        <f>COUNTIF('Metrics - Articles'!E645,"*Sports*")</f>
        <v>0</v>
      </c>
      <c r="D723">
        <f>COUNTIF('Metrics - Articles'!E645,"*Youth*")</f>
        <v>0</v>
      </c>
      <c r="E723">
        <f>COUNTIF('Metrics - Articles'!E645,"*Healthcare*")</f>
        <v>0</v>
      </c>
      <c r="F723">
        <f>COUNTIF('Metrics - Articles'!E645,"*Innovation")</f>
        <v>0</v>
      </c>
      <c r="G723">
        <f>COUNTIF('Metrics - Articles'!E645,"*Corporate*")</f>
        <v>0</v>
      </c>
      <c r="I723" s="53">
        <f t="shared" si="12"/>
        <v>0</v>
      </c>
    </row>
    <row r="724" spans="2:9" hidden="1" x14ac:dyDescent="0.25">
      <c r="B724" s="48">
        <f>+'Metrics - Articles'!C721</f>
        <v>0</v>
      </c>
      <c r="C724">
        <f>COUNTIF('Metrics - Articles'!E646,"*Sports*")</f>
        <v>0</v>
      </c>
      <c r="D724">
        <f>COUNTIF('Metrics - Articles'!E646,"*Youth*")</f>
        <v>0</v>
      </c>
      <c r="E724">
        <f>COUNTIF('Metrics - Articles'!E646,"*Healthcare*")</f>
        <v>0</v>
      </c>
      <c r="F724">
        <f>COUNTIF('Metrics - Articles'!E646,"*Innovation")</f>
        <v>0</v>
      </c>
      <c r="G724">
        <f>COUNTIF('Metrics - Articles'!E646,"*Corporate*")</f>
        <v>0</v>
      </c>
      <c r="I724" s="53">
        <f t="shared" si="12"/>
        <v>0</v>
      </c>
    </row>
    <row r="725" spans="2:9" hidden="1" x14ac:dyDescent="0.25">
      <c r="B725" s="48">
        <f>+'Metrics - Articles'!C722</f>
        <v>0</v>
      </c>
      <c r="C725">
        <f>COUNTIF('Metrics - Articles'!E647,"*Sports*")</f>
        <v>0</v>
      </c>
      <c r="D725">
        <f>COUNTIF('Metrics - Articles'!E647,"*Youth*")</f>
        <v>0</v>
      </c>
      <c r="E725">
        <f>COUNTIF('Metrics - Articles'!E647,"*Healthcare*")</f>
        <v>0</v>
      </c>
      <c r="F725">
        <f>COUNTIF('Metrics - Articles'!E647,"*Innovation")</f>
        <v>0</v>
      </c>
      <c r="G725">
        <f>COUNTIF('Metrics - Articles'!E647,"*Corporate*")</f>
        <v>0</v>
      </c>
      <c r="I725" s="53">
        <f t="shared" si="12"/>
        <v>0</v>
      </c>
    </row>
    <row r="726" spans="2:9" hidden="1" x14ac:dyDescent="0.25">
      <c r="B726" s="48">
        <f>+'Metrics - Articles'!C723</f>
        <v>0</v>
      </c>
      <c r="C726">
        <f>COUNTIF('Metrics - Articles'!E648,"*Sports*")</f>
        <v>0</v>
      </c>
      <c r="D726">
        <f>COUNTIF('Metrics - Articles'!E648,"*Youth*")</f>
        <v>0</v>
      </c>
      <c r="E726">
        <f>COUNTIF('Metrics - Articles'!E648,"*Healthcare*")</f>
        <v>0</v>
      </c>
      <c r="F726">
        <f>COUNTIF('Metrics - Articles'!E648,"*Innovation")</f>
        <v>0</v>
      </c>
      <c r="G726">
        <f>COUNTIF('Metrics - Articles'!E648,"*Corporate*")</f>
        <v>0</v>
      </c>
      <c r="I726" s="53">
        <f t="shared" si="12"/>
        <v>0</v>
      </c>
    </row>
    <row r="727" spans="2:9" hidden="1" x14ac:dyDescent="0.25">
      <c r="B727" s="48">
        <f>+'Metrics - Articles'!C724</f>
        <v>0</v>
      </c>
      <c r="C727">
        <f>COUNTIF('Metrics - Articles'!E649,"*Sports*")</f>
        <v>0</v>
      </c>
      <c r="D727">
        <f>COUNTIF('Metrics - Articles'!E649,"*Youth*")</f>
        <v>0</v>
      </c>
      <c r="E727">
        <f>COUNTIF('Metrics - Articles'!E649,"*Healthcare*")</f>
        <v>0</v>
      </c>
      <c r="F727">
        <f>COUNTIF('Metrics - Articles'!E649,"*Innovation")</f>
        <v>0</v>
      </c>
      <c r="G727">
        <f>COUNTIF('Metrics - Articles'!E649,"*Corporate*")</f>
        <v>0</v>
      </c>
      <c r="I727" s="53">
        <f t="shared" si="12"/>
        <v>0</v>
      </c>
    </row>
    <row r="728" spans="2:9" hidden="1" x14ac:dyDescent="0.25">
      <c r="B728" s="48">
        <f>+'Metrics - Articles'!C725</f>
        <v>0</v>
      </c>
      <c r="C728">
        <f>COUNTIF('Metrics - Articles'!E650,"*Sports*")</f>
        <v>0</v>
      </c>
      <c r="D728">
        <f>COUNTIF('Metrics - Articles'!E650,"*Youth*")</f>
        <v>0</v>
      </c>
      <c r="E728">
        <f>COUNTIF('Metrics - Articles'!E650,"*Healthcare*")</f>
        <v>0</v>
      </c>
      <c r="F728">
        <f>COUNTIF('Metrics - Articles'!E650,"*Innovation")</f>
        <v>0</v>
      </c>
      <c r="G728">
        <f>COUNTIF('Metrics - Articles'!E650,"*Corporate*")</f>
        <v>0</v>
      </c>
      <c r="I728" s="53">
        <f t="shared" si="12"/>
        <v>0</v>
      </c>
    </row>
    <row r="729" spans="2:9" hidden="1" x14ac:dyDescent="0.25">
      <c r="B729" s="48">
        <f>+'Metrics - Articles'!C726</f>
        <v>0</v>
      </c>
      <c r="C729">
        <f>COUNTIF('Metrics - Articles'!E651,"*Sports*")</f>
        <v>0</v>
      </c>
      <c r="D729">
        <f>COUNTIF('Metrics - Articles'!E651,"*Youth*")</f>
        <v>0</v>
      </c>
      <c r="E729">
        <f>COUNTIF('Metrics - Articles'!E651,"*Healthcare*")</f>
        <v>0</v>
      </c>
      <c r="F729">
        <f>COUNTIF('Metrics - Articles'!E651,"*Innovation")</f>
        <v>0</v>
      </c>
      <c r="G729">
        <f>COUNTIF('Metrics - Articles'!E651,"*Corporate*")</f>
        <v>0</v>
      </c>
      <c r="I729" s="53">
        <f t="shared" si="12"/>
        <v>0</v>
      </c>
    </row>
    <row r="730" spans="2:9" hidden="1" x14ac:dyDescent="0.25">
      <c r="B730" s="48">
        <f>+'Metrics - Articles'!C727</f>
        <v>0</v>
      </c>
      <c r="C730">
        <f>COUNTIF('Metrics - Articles'!E652,"*Sports*")</f>
        <v>0</v>
      </c>
      <c r="D730">
        <f>COUNTIF('Metrics - Articles'!E652,"*Youth*")</f>
        <v>0</v>
      </c>
      <c r="E730">
        <f>COUNTIF('Metrics - Articles'!E652,"*Healthcare*")</f>
        <v>0</v>
      </c>
      <c r="F730">
        <f>COUNTIF('Metrics - Articles'!E652,"*Innovation")</f>
        <v>0</v>
      </c>
      <c r="G730">
        <f>COUNTIF('Metrics - Articles'!E652,"*Corporate*")</f>
        <v>0</v>
      </c>
      <c r="I730" s="53">
        <f t="shared" si="12"/>
        <v>0</v>
      </c>
    </row>
    <row r="731" spans="2:9" hidden="1" x14ac:dyDescent="0.25">
      <c r="B731" s="48">
        <f>+'Metrics - Articles'!C728</f>
        <v>0</v>
      </c>
      <c r="C731">
        <f>COUNTIF('Metrics - Articles'!E653,"*Sports*")</f>
        <v>0</v>
      </c>
      <c r="D731">
        <f>COUNTIF('Metrics - Articles'!E653,"*Youth*")</f>
        <v>0</v>
      </c>
      <c r="E731">
        <f>COUNTIF('Metrics - Articles'!E653,"*Healthcare*")</f>
        <v>0</v>
      </c>
      <c r="F731">
        <f>COUNTIF('Metrics - Articles'!E653,"*Innovation")</f>
        <v>0</v>
      </c>
      <c r="G731">
        <f>COUNTIF('Metrics - Articles'!E653,"*Corporate*")</f>
        <v>0</v>
      </c>
      <c r="I731" s="53">
        <f t="shared" si="12"/>
        <v>0</v>
      </c>
    </row>
    <row r="732" spans="2:9" hidden="1" x14ac:dyDescent="0.25">
      <c r="B732" s="48">
        <f>+'Metrics - Articles'!C729</f>
        <v>0</v>
      </c>
      <c r="C732">
        <f>COUNTIF('Metrics - Articles'!E654,"*Sports*")</f>
        <v>0</v>
      </c>
      <c r="D732">
        <f>COUNTIF('Metrics - Articles'!E654,"*Youth*")</f>
        <v>0</v>
      </c>
      <c r="E732">
        <f>COUNTIF('Metrics - Articles'!E654,"*Healthcare*")</f>
        <v>0</v>
      </c>
      <c r="F732">
        <f>COUNTIF('Metrics - Articles'!E654,"*Innovation")</f>
        <v>0</v>
      </c>
      <c r="G732">
        <f>COUNTIF('Metrics - Articles'!E654,"*Corporate*")</f>
        <v>0</v>
      </c>
      <c r="I732" s="53">
        <f t="shared" si="12"/>
        <v>0</v>
      </c>
    </row>
    <row r="733" spans="2:9" hidden="1" x14ac:dyDescent="0.25">
      <c r="B733" s="48">
        <f>+'Metrics - Articles'!C730</f>
        <v>0</v>
      </c>
      <c r="C733">
        <f>COUNTIF('Metrics - Articles'!E655,"*Sports*")</f>
        <v>0</v>
      </c>
      <c r="D733">
        <f>COUNTIF('Metrics - Articles'!E655,"*Youth*")</f>
        <v>0</v>
      </c>
      <c r="E733">
        <f>COUNTIF('Metrics - Articles'!E655,"*Healthcare*")</f>
        <v>0</v>
      </c>
      <c r="F733">
        <f>COUNTIF('Metrics - Articles'!E655,"*Innovation")</f>
        <v>0</v>
      </c>
      <c r="G733">
        <f>COUNTIF('Metrics - Articles'!E655,"*Corporate*")</f>
        <v>0</v>
      </c>
      <c r="I733" s="53">
        <f t="shared" si="12"/>
        <v>0</v>
      </c>
    </row>
    <row r="734" spans="2:9" hidden="1" x14ac:dyDescent="0.25">
      <c r="B734" s="48">
        <f>+'Metrics - Articles'!C731</f>
        <v>0</v>
      </c>
      <c r="C734">
        <f>COUNTIF('Metrics - Articles'!E656,"*Sports*")</f>
        <v>0</v>
      </c>
      <c r="D734">
        <f>COUNTIF('Metrics - Articles'!E656,"*Youth*")</f>
        <v>0</v>
      </c>
      <c r="E734">
        <f>COUNTIF('Metrics - Articles'!E656,"*Healthcare*")</f>
        <v>0</v>
      </c>
      <c r="F734">
        <f>COUNTIF('Metrics - Articles'!E656,"*Innovation")</f>
        <v>0</v>
      </c>
      <c r="G734">
        <f>COUNTIF('Metrics - Articles'!E656,"*Corporate*")</f>
        <v>0</v>
      </c>
      <c r="I734" s="53">
        <f t="shared" si="12"/>
        <v>0</v>
      </c>
    </row>
    <row r="735" spans="2:9" hidden="1" x14ac:dyDescent="0.25">
      <c r="B735" s="48">
        <f>+'Metrics - Articles'!C732</f>
        <v>0</v>
      </c>
      <c r="C735">
        <f>COUNTIF('Metrics - Articles'!E657,"*Sports*")</f>
        <v>0</v>
      </c>
      <c r="D735">
        <f>COUNTIF('Metrics - Articles'!E657,"*Youth*")</f>
        <v>0</v>
      </c>
      <c r="E735">
        <f>COUNTIF('Metrics - Articles'!E657,"*Healthcare*")</f>
        <v>0</v>
      </c>
      <c r="F735">
        <f>COUNTIF('Metrics - Articles'!E657,"*Innovation")</f>
        <v>0</v>
      </c>
      <c r="G735">
        <f>COUNTIF('Metrics - Articles'!E657,"*Corporate*")</f>
        <v>0</v>
      </c>
      <c r="I735" s="53">
        <f t="shared" si="12"/>
        <v>0</v>
      </c>
    </row>
    <row r="736" spans="2:9" hidden="1" x14ac:dyDescent="0.25">
      <c r="B736" s="48">
        <f>+'Metrics - Articles'!C733</f>
        <v>0</v>
      </c>
      <c r="C736">
        <f>COUNTIF('Metrics - Articles'!E658,"*Sports*")</f>
        <v>0</v>
      </c>
      <c r="D736">
        <f>COUNTIF('Metrics - Articles'!E658,"*Youth*")</f>
        <v>0</v>
      </c>
      <c r="E736">
        <f>COUNTIF('Metrics - Articles'!E658,"*Healthcare*")</f>
        <v>0</v>
      </c>
      <c r="F736">
        <f>COUNTIF('Metrics - Articles'!E658,"*Innovation")</f>
        <v>0</v>
      </c>
      <c r="G736">
        <f>COUNTIF('Metrics - Articles'!E658,"*Corporate*")</f>
        <v>0</v>
      </c>
      <c r="I736" s="53">
        <f t="shared" si="12"/>
        <v>0</v>
      </c>
    </row>
    <row r="737" spans="2:9" hidden="1" x14ac:dyDescent="0.25">
      <c r="B737" s="48">
        <f>+'Metrics - Articles'!C734</f>
        <v>0</v>
      </c>
      <c r="C737">
        <f>COUNTIF('Metrics - Articles'!E659,"*Sports*")</f>
        <v>0</v>
      </c>
      <c r="D737">
        <f>COUNTIF('Metrics - Articles'!E659,"*Youth*")</f>
        <v>0</v>
      </c>
      <c r="E737">
        <f>COUNTIF('Metrics - Articles'!E659,"*Healthcare*")</f>
        <v>0</v>
      </c>
      <c r="F737">
        <f>COUNTIF('Metrics - Articles'!E659,"*Innovation")</f>
        <v>0</v>
      </c>
      <c r="G737">
        <f>COUNTIF('Metrics - Articles'!E659,"*Corporate*")</f>
        <v>0</v>
      </c>
      <c r="I737" s="53">
        <f t="shared" si="12"/>
        <v>0</v>
      </c>
    </row>
    <row r="738" spans="2:9" hidden="1" x14ac:dyDescent="0.25">
      <c r="B738" s="48">
        <f>+'Metrics - Articles'!C735</f>
        <v>0</v>
      </c>
      <c r="C738">
        <f>COUNTIF('Metrics - Articles'!E660,"*Sports*")</f>
        <v>0</v>
      </c>
      <c r="D738">
        <f>COUNTIF('Metrics - Articles'!E660,"*Youth*")</f>
        <v>0</v>
      </c>
      <c r="E738">
        <f>COUNTIF('Metrics - Articles'!E660,"*Healthcare*")</f>
        <v>0</v>
      </c>
      <c r="F738">
        <f>COUNTIF('Metrics - Articles'!E660,"*Innovation")</f>
        <v>0</v>
      </c>
      <c r="G738">
        <f>COUNTIF('Metrics - Articles'!E660,"*Corporate*")</f>
        <v>0</v>
      </c>
      <c r="I738" s="53">
        <f t="shared" si="12"/>
        <v>0</v>
      </c>
    </row>
    <row r="739" spans="2:9" hidden="1" x14ac:dyDescent="0.25">
      <c r="B739" s="48">
        <f>+'Metrics - Articles'!C736</f>
        <v>0</v>
      </c>
      <c r="C739">
        <f>COUNTIF('Metrics - Articles'!E661,"*Sports*")</f>
        <v>0</v>
      </c>
      <c r="D739">
        <f>COUNTIF('Metrics - Articles'!E661,"*Youth*")</f>
        <v>0</v>
      </c>
      <c r="E739">
        <f>COUNTIF('Metrics - Articles'!E661,"*Healthcare*")</f>
        <v>0</v>
      </c>
      <c r="F739">
        <f>COUNTIF('Metrics - Articles'!E661,"*Innovation")</f>
        <v>0</v>
      </c>
      <c r="G739">
        <f>COUNTIF('Metrics - Articles'!E661,"*Corporate*")</f>
        <v>0</v>
      </c>
      <c r="I739" s="53">
        <f t="shared" si="12"/>
        <v>0</v>
      </c>
    </row>
    <row r="740" spans="2:9" hidden="1" x14ac:dyDescent="0.25">
      <c r="B740" s="48">
        <f>+'Metrics - Articles'!C737</f>
        <v>0</v>
      </c>
      <c r="C740">
        <f>COUNTIF('Metrics - Articles'!E662,"*Sports*")</f>
        <v>0</v>
      </c>
      <c r="D740">
        <f>COUNTIF('Metrics - Articles'!E662,"*Youth*")</f>
        <v>0</v>
      </c>
      <c r="E740">
        <f>COUNTIF('Metrics - Articles'!E662,"*Healthcare*")</f>
        <v>0</v>
      </c>
      <c r="F740">
        <f>COUNTIF('Metrics - Articles'!E662,"*Innovation")</f>
        <v>0</v>
      </c>
      <c r="G740">
        <f>COUNTIF('Metrics - Articles'!E662,"*Corporate*")</f>
        <v>0</v>
      </c>
      <c r="I740" s="53">
        <f t="shared" si="12"/>
        <v>0</v>
      </c>
    </row>
    <row r="741" spans="2:9" hidden="1" x14ac:dyDescent="0.25">
      <c r="B741" s="48">
        <f>+'Metrics - Articles'!C738</f>
        <v>0</v>
      </c>
      <c r="C741">
        <f>COUNTIF('Metrics - Articles'!E663,"*Sports*")</f>
        <v>0</v>
      </c>
      <c r="D741">
        <f>COUNTIF('Metrics - Articles'!E663,"*Youth*")</f>
        <v>0</v>
      </c>
      <c r="E741">
        <f>COUNTIF('Metrics - Articles'!E663,"*Healthcare*")</f>
        <v>0</v>
      </c>
      <c r="F741">
        <f>COUNTIF('Metrics - Articles'!E663,"*Innovation")</f>
        <v>0</v>
      </c>
      <c r="G741">
        <f>COUNTIF('Metrics - Articles'!E663,"*Corporate*")</f>
        <v>0</v>
      </c>
      <c r="I741" s="53">
        <f t="shared" si="12"/>
        <v>0</v>
      </c>
    </row>
    <row r="742" spans="2:9" hidden="1" x14ac:dyDescent="0.25">
      <c r="B742" s="48">
        <f>+'Metrics - Articles'!C739</f>
        <v>0</v>
      </c>
      <c r="C742">
        <f>COUNTIF('Metrics - Articles'!E664,"*Sports*")</f>
        <v>0</v>
      </c>
      <c r="D742">
        <f>COUNTIF('Metrics - Articles'!E664,"*Youth*")</f>
        <v>0</v>
      </c>
      <c r="E742">
        <f>COUNTIF('Metrics - Articles'!E664,"*Healthcare*")</f>
        <v>0</v>
      </c>
      <c r="F742">
        <f>COUNTIF('Metrics - Articles'!E664,"*Innovation")</f>
        <v>0</v>
      </c>
      <c r="G742">
        <f>COUNTIF('Metrics - Articles'!E664,"*Corporate*")</f>
        <v>0</v>
      </c>
      <c r="I742" s="53">
        <f t="shared" si="12"/>
        <v>0</v>
      </c>
    </row>
    <row r="743" spans="2:9" hidden="1" x14ac:dyDescent="0.25">
      <c r="B743" s="48">
        <f>+'Metrics - Articles'!C740</f>
        <v>0</v>
      </c>
      <c r="C743">
        <f>COUNTIF('Metrics - Articles'!E665,"*Sports*")</f>
        <v>0</v>
      </c>
      <c r="D743">
        <f>COUNTIF('Metrics - Articles'!E665,"*Youth*")</f>
        <v>0</v>
      </c>
      <c r="E743">
        <f>COUNTIF('Metrics - Articles'!E665,"*Healthcare*")</f>
        <v>0</v>
      </c>
      <c r="F743">
        <f>COUNTIF('Metrics - Articles'!E665,"*Innovation")</f>
        <v>0</v>
      </c>
      <c r="G743">
        <f>COUNTIF('Metrics - Articles'!E665,"*Corporate*")</f>
        <v>0</v>
      </c>
      <c r="I743" s="53">
        <f t="shared" si="12"/>
        <v>0</v>
      </c>
    </row>
    <row r="744" spans="2:9" hidden="1" x14ac:dyDescent="0.25">
      <c r="B744" s="48">
        <f>+'Metrics - Articles'!C741</f>
        <v>0</v>
      </c>
      <c r="C744">
        <f>COUNTIF('Metrics - Articles'!E666,"*Sports*")</f>
        <v>0</v>
      </c>
      <c r="D744">
        <f>COUNTIF('Metrics - Articles'!E666,"*Youth*")</f>
        <v>0</v>
      </c>
      <c r="E744">
        <f>COUNTIF('Metrics - Articles'!E666,"*Healthcare*")</f>
        <v>0</v>
      </c>
      <c r="F744">
        <f>COUNTIF('Metrics - Articles'!E666,"*Innovation")</f>
        <v>0</v>
      </c>
      <c r="G744">
        <f>COUNTIF('Metrics - Articles'!E666,"*Corporate*")</f>
        <v>0</v>
      </c>
      <c r="I744" s="53">
        <f t="shared" si="12"/>
        <v>0</v>
      </c>
    </row>
    <row r="745" spans="2:9" hidden="1" x14ac:dyDescent="0.25">
      <c r="B745" s="48">
        <f>+'Metrics - Articles'!C742</f>
        <v>0</v>
      </c>
      <c r="C745">
        <f>COUNTIF('Metrics - Articles'!E667,"*Sports*")</f>
        <v>0</v>
      </c>
      <c r="D745">
        <f>COUNTIF('Metrics - Articles'!E667,"*Youth*")</f>
        <v>0</v>
      </c>
      <c r="E745">
        <f>COUNTIF('Metrics - Articles'!E667,"*Healthcare*")</f>
        <v>0</v>
      </c>
      <c r="F745">
        <f>COUNTIF('Metrics - Articles'!E667,"*Innovation")</f>
        <v>0</v>
      </c>
      <c r="G745">
        <f>COUNTIF('Metrics - Articles'!E667,"*Corporate*")</f>
        <v>0</v>
      </c>
      <c r="I745" s="53">
        <f t="shared" si="12"/>
        <v>0</v>
      </c>
    </row>
    <row r="746" spans="2:9" hidden="1" x14ac:dyDescent="0.25">
      <c r="B746" s="48">
        <f>+'Metrics - Articles'!C743</f>
        <v>0</v>
      </c>
      <c r="C746">
        <f>COUNTIF('Metrics - Articles'!E668,"*Sports*")</f>
        <v>0</v>
      </c>
      <c r="D746">
        <f>COUNTIF('Metrics - Articles'!E668,"*Youth*")</f>
        <v>0</v>
      </c>
      <c r="E746">
        <f>COUNTIF('Metrics - Articles'!E668,"*Healthcare*")</f>
        <v>0</v>
      </c>
      <c r="F746">
        <f>COUNTIF('Metrics - Articles'!E668,"*Innovation")</f>
        <v>0</v>
      </c>
      <c r="G746">
        <f>COUNTIF('Metrics - Articles'!E668,"*Corporate*")</f>
        <v>0</v>
      </c>
      <c r="I746" s="53">
        <f t="shared" si="12"/>
        <v>0</v>
      </c>
    </row>
    <row r="747" spans="2:9" hidden="1" x14ac:dyDescent="0.25">
      <c r="B747" s="48">
        <f>+'Metrics - Articles'!C744</f>
        <v>0</v>
      </c>
      <c r="C747">
        <f>COUNTIF('Metrics - Articles'!E669,"*Sports*")</f>
        <v>0</v>
      </c>
      <c r="D747">
        <f>COUNTIF('Metrics - Articles'!E669,"*Youth*")</f>
        <v>0</v>
      </c>
      <c r="E747">
        <f>COUNTIF('Metrics - Articles'!E669,"*Healthcare*")</f>
        <v>0</v>
      </c>
      <c r="F747">
        <f>COUNTIF('Metrics - Articles'!E669,"*Innovation")</f>
        <v>0</v>
      </c>
      <c r="G747">
        <f>COUNTIF('Metrics - Articles'!E669,"*Corporate*")</f>
        <v>0</v>
      </c>
      <c r="I747" s="53">
        <f t="shared" si="12"/>
        <v>0</v>
      </c>
    </row>
    <row r="748" spans="2:9" hidden="1" x14ac:dyDescent="0.25">
      <c r="B748" s="48">
        <f>+'Metrics - Articles'!C745</f>
        <v>0</v>
      </c>
      <c r="C748">
        <f>COUNTIF('Metrics - Articles'!E670,"*Sports*")</f>
        <v>0</v>
      </c>
      <c r="D748">
        <f>COUNTIF('Metrics - Articles'!E670,"*Youth*")</f>
        <v>0</v>
      </c>
      <c r="E748">
        <f>COUNTIF('Metrics - Articles'!E670,"*Healthcare*")</f>
        <v>0</v>
      </c>
      <c r="F748">
        <f>COUNTIF('Metrics - Articles'!E670,"*Innovation")</f>
        <v>0</v>
      </c>
      <c r="G748">
        <f>COUNTIF('Metrics - Articles'!E670,"*Corporate*")</f>
        <v>0</v>
      </c>
      <c r="I748" s="53">
        <f t="shared" si="12"/>
        <v>0</v>
      </c>
    </row>
    <row r="749" spans="2:9" hidden="1" x14ac:dyDescent="0.25">
      <c r="B749" s="48">
        <f>+'Metrics - Articles'!C746</f>
        <v>0</v>
      </c>
      <c r="C749">
        <f>COUNTIF('Metrics - Articles'!E671,"*Sports*")</f>
        <v>0</v>
      </c>
      <c r="D749">
        <f>COUNTIF('Metrics - Articles'!E671,"*Youth*")</f>
        <v>0</v>
      </c>
      <c r="E749">
        <f>COUNTIF('Metrics - Articles'!E671,"*Healthcare*")</f>
        <v>0</v>
      </c>
      <c r="F749">
        <f>COUNTIF('Metrics - Articles'!E671,"*Innovation")</f>
        <v>0</v>
      </c>
      <c r="G749">
        <f>COUNTIF('Metrics - Articles'!E671,"*Corporate*")</f>
        <v>0</v>
      </c>
      <c r="I749" s="53">
        <f t="shared" si="12"/>
        <v>0</v>
      </c>
    </row>
    <row r="750" spans="2:9" hidden="1" x14ac:dyDescent="0.25">
      <c r="B750" s="48">
        <f>+'Metrics - Articles'!C747</f>
        <v>0</v>
      </c>
      <c r="C750">
        <f>COUNTIF('Metrics - Articles'!E672,"*Sports*")</f>
        <v>0</v>
      </c>
      <c r="D750">
        <f>COUNTIF('Metrics - Articles'!E672,"*Youth*")</f>
        <v>0</v>
      </c>
      <c r="E750">
        <f>COUNTIF('Metrics - Articles'!E672,"*Healthcare*")</f>
        <v>0</v>
      </c>
      <c r="F750">
        <f>COUNTIF('Metrics - Articles'!E672,"*Innovation")</f>
        <v>0</v>
      </c>
      <c r="G750">
        <f>COUNTIF('Metrics - Articles'!E672,"*Corporate*")</f>
        <v>0</v>
      </c>
      <c r="I750" s="53">
        <f t="shared" si="12"/>
        <v>0</v>
      </c>
    </row>
    <row r="751" spans="2:9" hidden="1" x14ac:dyDescent="0.25">
      <c r="B751" s="48">
        <f>+'Metrics - Articles'!C748</f>
        <v>0</v>
      </c>
      <c r="C751">
        <f>COUNTIF('Metrics - Articles'!E673,"*Sports*")</f>
        <v>0</v>
      </c>
      <c r="D751">
        <f>COUNTIF('Metrics - Articles'!E673,"*Youth*")</f>
        <v>0</v>
      </c>
      <c r="E751">
        <f>COUNTIF('Metrics - Articles'!E673,"*Healthcare*")</f>
        <v>0</v>
      </c>
      <c r="F751">
        <f>COUNTIF('Metrics - Articles'!E673,"*Innovation")</f>
        <v>0</v>
      </c>
      <c r="G751">
        <f>COUNTIF('Metrics - Articles'!E673,"*Corporate*")</f>
        <v>0</v>
      </c>
      <c r="I751" s="53">
        <f t="shared" si="12"/>
        <v>0</v>
      </c>
    </row>
    <row r="752" spans="2:9" hidden="1" x14ac:dyDescent="0.25">
      <c r="B752" s="48">
        <f>+'Metrics - Articles'!C749</f>
        <v>0</v>
      </c>
      <c r="C752">
        <f>COUNTIF('Metrics - Articles'!E674,"*Sports*")</f>
        <v>0</v>
      </c>
      <c r="D752">
        <f>COUNTIF('Metrics - Articles'!E674,"*Youth*")</f>
        <v>0</v>
      </c>
      <c r="E752">
        <f>COUNTIF('Metrics - Articles'!E674,"*Healthcare*")</f>
        <v>0</v>
      </c>
      <c r="F752">
        <f>COUNTIF('Metrics - Articles'!E674,"*Innovation")</f>
        <v>0</v>
      </c>
      <c r="G752">
        <f>COUNTIF('Metrics - Articles'!E674,"*Corporate*")</f>
        <v>0</v>
      </c>
      <c r="I752" s="53">
        <f t="shared" si="12"/>
        <v>0</v>
      </c>
    </row>
    <row r="753" spans="2:9" hidden="1" x14ac:dyDescent="0.25">
      <c r="B753" s="48">
        <f>+'Metrics - Articles'!C750</f>
        <v>0</v>
      </c>
      <c r="C753">
        <f>COUNTIF('Metrics - Articles'!E675,"*Sports*")</f>
        <v>0</v>
      </c>
      <c r="D753">
        <f>COUNTIF('Metrics - Articles'!E675,"*Youth*")</f>
        <v>0</v>
      </c>
      <c r="E753">
        <f>COUNTIF('Metrics - Articles'!E675,"*Healthcare*")</f>
        <v>0</v>
      </c>
      <c r="F753">
        <f>COUNTIF('Metrics - Articles'!E675,"*Innovation")</f>
        <v>0</v>
      </c>
      <c r="G753">
        <f>COUNTIF('Metrics - Articles'!E675,"*Corporate*")</f>
        <v>0</v>
      </c>
      <c r="I753" s="53">
        <f t="shared" si="12"/>
        <v>0</v>
      </c>
    </row>
    <row r="754" spans="2:9" hidden="1" x14ac:dyDescent="0.25">
      <c r="B754" s="48">
        <f>+'Metrics - Articles'!C751</f>
        <v>0</v>
      </c>
      <c r="C754">
        <f>COUNTIF('Metrics - Articles'!E676,"*Sports*")</f>
        <v>0</v>
      </c>
      <c r="D754">
        <f>COUNTIF('Metrics - Articles'!E676,"*Youth*")</f>
        <v>0</v>
      </c>
      <c r="E754">
        <f>COUNTIF('Metrics - Articles'!E676,"*Healthcare*")</f>
        <v>0</v>
      </c>
      <c r="F754">
        <f>COUNTIF('Metrics - Articles'!E676,"*Innovation")</f>
        <v>0</v>
      </c>
      <c r="G754">
        <f>COUNTIF('Metrics - Articles'!E676,"*Corporate*")</f>
        <v>0</v>
      </c>
      <c r="I754" s="53">
        <f t="shared" si="12"/>
        <v>0</v>
      </c>
    </row>
    <row r="755" spans="2:9" hidden="1" x14ac:dyDescent="0.25">
      <c r="B755" s="48">
        <f>+'Metrics - Articles'!C752</f>
        <v>0</v>
      </c>
      <c r="C755">
        <f>COUNTIF('Metrics - Articles'!E677,"*Sports*")</f>
        <v>0</v>
      </c>
      <c r="D755">
        <f>COUNTIF('Metrics - Articles'!E677,"*Youth*")</f>
        <v>0</v>
      </c>
      <c r="E755">
        <f>COUNTIF('Metrics - Articles'!E677,"*Healthcare*")</f>
        <v>0</v>
      </c>
      <c r="F755">
        <f>COUNTIF('Metrics - Articles'!E677,"*Innovation")</f>
        <v>0</v>
      </c>
      <c r="G755">
        <f>COUNTIF('Metrics - Articles'!E677,"*Corporate*")</f>
        <v>0</v>
      </c>
      <c r="I755" s="53">
        <f t="shared" si="12"/>
        <v>0</v>
      </c>
    </row>
    <row r="756" spans="2:9" hidden="1" x14ac:dyDescent="0.25">
      <c r="B756" s="48">
        <f>+'Metrics - Articles'!C753</f>
        <v>0</v>
      </c>
      <c r="C756">
        <f>COUNTIF('Metrics - Articles'!E678,"*Sports*")</f>
        <v>0</v>
      </c>
      <c r="D756">
        <f>COUNTIF('Metrics - Articles'!E678,"*Youth*")</f>
        <v>0</v>
      </c>
      <c r="E756">
        <f>COUNTIF('Metrics - Articles'!E678,"*Healthcare*")</f>
        <v>0</v>
      </c>
      <c r="F756">
        <f>COUNTIF('Metrics - Articles'!E678,"*Innovation")</f>
        <v>0</v>
      </c>
      <c r="G756">
        <f>COUNTIF('Metrics - Articles'!E678,"*Corporate*")</f>
        <v>0</v>
      </c>
      <c r="I756" s="53">
        <f t="shared" si="12"/>
        <v>0</v>
      </c>
    </row>
    <row r="757" spans="2:9" hidden="1" x14ac:dyDescent="0.25">
      <c r="B757" s="48">
        <f>+'Metrics - Articles'!C754</f>
        <v>0</v>
      </c>
      <c r="C757">
        <f>COUNTIF('Metrics - Articles'!E679,"*Sports*")</f>
        <v>0</v>
      </c>
      <c r="D757">
        <f>COUNTIF('Metrics - Articles'!E679,"*Youth*")</f>
        <v>0</v>
      </c>
      <c r="E757">
        <f>COUNTIF('Metrics - Articles'!E679,"*Healthcare*")</f>
        <v>0</v>
      </c>
      <c r="F757">
        <f>COUNTIF('Metrics - Articles'!E679,"*Innovation")</f>
        <v>0</v>
      </c>
      <c r="G757">
        <f>COUNTIF('Metrics - Articles'!E679,"*Corporate*")</f>
        <v>0</v>
      </c>
      <c r="I757" s="53">
        <f t="shared" si="12"/>
        <v>0</v>
      </c>
    </row>
    <row r="758" spans="2:9" hidden="1" x14ac:dyDescent="0.25">
      <c r="B758" s="48">
        <f>+'Metrics - Articles'!C755</f>
        <v>0</v>
      </c>
      <c r="C758">
        <f>COUNTIF('Metrics - Articles'!E680,"*Sports*")</f>
        <v>0</v>
      </c>
      <c r="D758">
        <f>COUNTIF('Metrics - Articles'!E680,"*Youth*")</f>
        <v>0</v>
      </c>
      <c r="E758">
        <f>COUNTIF('Metrics - Articles'!E680,"*Healthcare*")</f>
        <v>0</v>
      </c>
      <c r="F758">
        <f>COUNTIF('Metrics - Articles'!E680,"*Innovation")</f>
        <v>0</v>
      </c>
      <c r="G758">
        <f>COUNTIF('Metrics - Articles'!E680,"*Corporate*")</f>
        <v>0</v>
      </c>
      <c r="I758" s="53">
        <f t="shared" si="12"/>
        <v>0</v>
      </c>
    </row>
    <row r="759" spans="2:9" hidden="1" x14ac:dyDescent="0.25">
      <c r="B759" s="48">
        <f>+'Metrics - Articles'!C756</f>
        <v>0</v>
      </c>
      <c r="C759">
        <f>COUNTIF('Metrics - Articles'!E681,"*Sports*")</f>
        <v>0</v>
      </c>
      <c r="D759">
        <f>COUNTIF('Metrics - Articles'!E681,"*Youth*")</f>
        <v>0</v>
      </c>
      <c r="E759">
        <f>COUNTIF('Metrics - Articles'!E681,"*Healthcare*")</f>
        <v>0</v>
      </c>
      <c r="F759">
        <f>COUNTIF('Metrics - Articles'!E681,"*Innovation")</f>
        <v>0</v>
      </c>
      <c r="G759">
        <f>COUNTIF('Metrics - Articles'!E681,"*Corporate*")</f>
        <v>0</v>
      </c>
      <c r="I759" s="53">
        <f t="shared" si="12"/>
        <v>0</v>
      </c>
    </row>
    <row r="760" spans="2:9" hidden="1" x14ac:dyDescent="0.25">
      <c r="B760" s="48">
        <f>+'Metrics - Articles'!C757</f>
        <v>0</v>
      </c>
      <c r="C760">
        <f>COUNTIF('Metrics - Articles'!E682,"*Sports*")</f>
        <v>0</v>
      </c>
      <c r="D760">
        <f>COUNTIF('Metrics - Articles'!E682,"*Youth*")</f>
        <v>0</v>
      </c>
      <c r="E760">
        <f>COUNTIF('Metrics - Articles'!E682,"*Healthcare*")</f>
        <v>0</v>
      </c>
      <c r="F760">
        <f>COUNTIF('Metrics - Articles'!E682,"*Innovation")</f>
        <v>0</v>
      </c>
      <c r="G760">
        <f>COUNTIF('Metrics - Articles'!E682,"*Corporate*")</f>
        <v>0</v>
      </c>
      <c r="I760" s="53">
        <f t="shared" si="12"/>
        <v>0</v>
      </c>
    </row>
    <row r="761" spans="2:9" hidden="1" x14ac:dyDescent="0.25">
      <c r="B761" s="48">
        <f>+'Metrics - Articles'!C758</f>
        <v>0</v>
      </c>
      <c r="C761">
        <f>COUNTIF('Metrics - Articles'!E683,"*Sports*")</f>
        <v>0</v>
      </c>
      <c r="D761">
        <f>COUNTIF('Metrics - Articles'!E683,"*Youth*")</f>
        <v>0</v>
      </c>
      <c r="E761">
        <f>COUNTIF('Metrics - Articles'!E683,"*Healthcare*")</f>
        <v>0</v>
      </c>
      <c r="F761">
        <f>COUNTIF('Metrics - Articles'!E683,"*Innovation")</f>
        <v>0</v>
      </c>
      <c r="G761">
        <f>COUNTIF('Metrics - Articles'!E683,"*Corporate*")</f>
        <v>0</v>
      </c>
      <c r="I761" s="53">
        <f t="shared" si="12"/>
        <v>0</v>
      </c>
    </row>
    <row r="762" spans="2:9" hidden="1" x14ac:dyDescent="0.25">
      <c r="B762" s="48">
        <f>+'Metrics - Articles'!C759</f>
        <v>0</v>
      </c>
      <c r="C762">
        <f>COUNTIF('Metrics - Articles'!E684,"*Sports*")</f>
        <v>0</v>
      </c>
      <c r="D762">
        <f>COUNTIF('Metrics - Articles'!E684,"*Youth*")</f>
        <v>0</v>
      </c>
      <c r="E762">
        <f>COUNTIF('Metrics - Articles'!E684,"*Healthcare*")</f>
        <v>0</v>
      </c>
      <c r="F762">
        <f>COUNTIF('Metrics - Articles'!E684,"*Innovation")</f>
        <v>0</v>
      </c>
      <c r="G762">
        <f>COUNTIF('Metrics - Articles'!E684,"*Corporate*")</f>
        <v>0</v>
      </c>
      <c r="I762" s="53">
        <f t="shared" si="12"/>
        <v>0</v>
      </c>
    </row>
    <row r="763" spans="2:9" hidden="1" x14ac:dyDescent="0.25">
      <c r="B763" s="48">
        <f>+'Metrics - Articles'!C760</f>
        <v>0</v>
      </c>
      <c r="C763">
        <f>COUNTIF('Metrics - Articles'!E685,"*Sports*")</f>
        <v>0</v>
      </c>
      <c r="D763">
        <f>COUNTIF('Metrics - Articles'!E685,"*Youth*")</f>
        <v>0</v>
      </c>
      <c r="E763">
        <f>COUNTIF('Metrics - Articles'!E685,"*Healthcare*")</f>
        <v>0</v>
      </c>
      <c r="F763">
        <f>COUNTIF('Metrics - Articles'!E685,"*Innovation")</f>
        <v>0</v>
      </c>
      <c r="G763">
        <f>COUNTIF('Metrics - Articles'!E685,"*Corporate*")</f>
        <v>0</v>
      </c>
      <c r="I763" s="53">
        <f t="shared" si="12"/>
        <v>0</v>
      </c>
    </row>
    <row r="764" spans="2:9" hidden="1" x14ac:dyDescent="0.25">
      <c r="B764" s="48">
        <f>+'Metrics - Articles'!C761</f>
        <v>0</v>
      </c>
      <c r="C764">
        <f>COUNTIF('Metrics - Articles'!E686,"*Sports*")</f>
        <v>0</v>
      </c>
      <c r="D764">
        <f>COUNTIF('Metrics - Articles'!E686,"*Youth*")</f>
        <v>0</v>
      </c>
      <c r="E764">
        <f>COUNTIF('Metrics - Articles'!E686,"*Healthcare*")</f>
        <v>0</v>
      </c>
      <c r="F764">
        <f>COUNTIF('Metrics - Articles'!E686,"*Innovation")</f>
        <v>0</v>
      </c>
      <c r="G764">
        <f>COUNTIF('Metrics - Articles'!E686,"*Corporate*")</f>
        <v>0</v>
      </c>
      <c r="I764" s="53">
        <f t="shared" si="12"/>
        <v>0</v>
      </c>
    </row>
    <row r="765" spans="2:9" hidden="1" x14ac:dyDescent="0.25">
      <c r="B765" s="48">
        <f>+'Metrics - Articles'!C762</f>
        <v>0</v>
      </c>
      <c r="C765">
        <f>COUNTIF('Metrics - Articles'!E687,"*Sports*")</f>
        <v>0</v>
      </c>
      <c r="D765">
        <f>COUNTIF('Metrics - Articles'!E687,"*Youth*")</f>
        <v>0</v>
      </c>
      <c r="E765">
        <f>COUNTIF('Metrics - Articles'!E687,"*Healthcare*")</f>
        <v>0</v>
      </c>
      <c r="F765">
        <f>COUNTIF('Metrics - Articles'!E687,"*Innovation")</f>
        <v>0</v>
      </c>
      <c r="G765">
        <f>COUNTIF('Metrics - Articles'!E687,"*Corporate*")</f>
        <v>0</v>
      </c>
      <c r="I765" s="53">
        <f t="shared" si="12"/>
        <v>0</v>
      </c>
    </row>
    <row r="766" spans="2:9" hidden="1" x14ac:dyDescent="0.25">
      <c r="B766" s="48">
        <f>+'Metrics - Articles'!C763</f>
        <v>0</v>
      </c>
      <c r="C766">
        <f>COUNTIF('Metrics - Articles'!E688,"*Sports*")</f>
        <v>0</v>
      </c>
      <c r="D766">
        <f>COUNTIF('Metrics - Articles'!E688,"*Youth*")</f>
        <v>0</v>
      </c>
      <c r="E766">
        <f>COUNTIF('Metrics - Articles'!E688,"*Healthcare*")</f>
        <v>0</v>
      </c>
      <c r="F766">
        <f>COUNTIF('Metrics - Articles'!E688,"*Innovation")</f>
        <v>0</v>
      </c>
      <c r="G766">
        <f>COUNTIF('Metrics - Articles'!E688,"*Corporate*")</f>
        <v>0</v>
      </c>
      <c r="I766" s="53">
        <f t="shared" si="12"/>
        <v>0</v>
      </c>
    </row>
    <row r="767" spans="2:9" hidden="1" x14ac:dyDescent="0.25">
      <c r="B767" s="48">
        <f>+'Metrics - Articles'!C764</f>
        <v>0</v>
      </c>
      <c r="C767">
        <f>COUNTIF('Metrics - Articles'!E689,"*Sports*")</f>
        <v>0</v>
      </c>
      <c r="D767">
        <f>COUNTIF('Metrics - Articles'!E689,"*Youth*")</f>
        <v>0</v>
      </c>
      <c r="E767">
        <f>COUNTIF('Metrics - Articles'!E689,"*Healthcare*")</f>
        <v>0</v>
      </c>
      <c r="F767">
        <f>COUNTIF('Metrics - Articles'!E689,"*Innovation")</f>
        <v>0</v>
      </c>
      <c r="G767">
        <f>COUNTIF('Metrics - Articles'!E689,"*Corporate*")</f>
        <v>0</v>
      </c>
      <c r="I767" s="53">
        <f t="shared" si="12"/>
        <v>0</v>
      </c>
    </row>
    <row r="768" spans="2:9" hidden="1" x14ac:dyDescent="0.25">
      <c r="B768" s="48">
        <f>+'Metrics - Articles'!C765</f>
        <v>0</v>
      </c>
      <c r="C768">
        <f>COUNTIF('Metrics - Articles'!E690,"*Sports*")</f>
        <v>0</v>
      </c>
      <c r="D768">
        <f>COUNTIF('Metrics - Articles'!E690,"*Youth*")</f>
        <v>0</v>
      </c>
      <c r="E768">
        <f>COUNTIF('Metrics - Articles'!E690,"*Healthcare*")</f>
        <v>0</v>
      </c>
      <c r="F768">
        <f>COUNTIF('Metrics - Articles'!E690,"*Innovation")</f>
        <v>0</v>
      </c>
      <c r="G768">
        <f>COUNTIF('Metrics - Articles'!E690,"*Corporate*")</f>
        <v>0</v>
      </c>
      <c r="I768" s="53">
        <f t="shared" si="12"/>
        <v>0</v>
      </c>
    </row>
    <row r="769" spans="2:9" hidden="1" x14ac:dyDescent="0.25">
      <c r="B769" s="48">
        <f>+'Metrics - Articles'!C766</f>
        <v>0</v>
      </c>
      <c r="C769">
        <f>COUNTIF('Metrics - Articles'!E691,"*Sports*")</f>
        <v>0</v>
      </c>
      <c r="D769">
        <f>COUNTIF('Metrics - Articles'!E691,"*Youth*")</f>
        <v>0</v>
      </c>
      <c r="E769">
        <f>COUNTIF('Metrics - Articles'!E691,"*Healthcare*")</f>
        <v>0</v>
      </c>
      <c r="F769">
        <f>COUNTIF('Metrics - Articles'!E691,"*Innovation")</f>
        <v>0</v>
      </c>
      <c r="G769">
        <f>COUNTIF('Metrics - Articles'!E691,"*Corporate*")</f>
        <v>0</v>
      </c>
      <c r="I769" s="53">
        <f t="shared" si="12"/>
        <v>0</v>
      </c>
    </row>
    <row r="770" spans="2:9" hidden="1" x14ac:dyDescent="0.25">
      <c r="B770" s="48">
        <f>+'Metrics - Articles'!C767</f>
        <v>0</v>
      </c>
      <c r="C770">
        <f>COUNTIF('Metrics - Articles'!E692,"*Sports*")</f>
        <v>0</v>
      </c>
      <c r="D770">
        <f>COUNTIF('Metrics - Articles'!E692,"*Youth*")</f>
        <v>0</v>
      </c>
      <c r="E770">
        <f>COUNTIF('Metrics - Articles'!E692,"*Healthcare*")</f>
        <v>0</v>
      </c>
      <c r="F770">
        <f>COUNTIF('Metrics - Articles'!E692,"*Innovation")</f>
        <v>0</v>
      </c>
      <c r="G770">
        <f>COUNTIF('Metrics - Articles'!E692,"*Corporate*")</f>
        <v>0</v>
      </c>
      <c r="I770" s="53">
        <f t="shared" si="12"/>
        <v>0</v>
      </c>
    </row>
    <row r="771" spans="2:9" hidden="1" x14ac:dyDescent="0.25">
      <c r="B771" s="48">
        <f>+'Metrics - Articles'!C768</f>
        <v>0</v>
      </c>
      <c r="C771">
        <f>COUNTIF('Metrics - Articles'!E693,"*Sports*")</f>
        <v>0</v>
      </c>
      <c r="D771">
        <f>COUNTIF('Metrics - Articles'!E693,"*Youth*")</f>
        <v>0</v>
      </c>
      <c r="E771">
        <f>COUNTIF('Metrics - Articles'!E693,"*Healthcare*")</f>
        <v>0</v>
      </c>
      <c r="F771">
        <f>COUNTIF('Metrics - Articles'!E693,"*Innovation")</f>
        <v>0</v>
      </c>
      <c r="G771">
        <f>COUNTIF('Metrics - Articles'!E693,"*Corporate*")</f>
        <v>0</v>
      </c>
      <c r="I771" s="53">
        <f t="shared" si="12"/>
        <v>0</v>
      </c>
    </row>
    <row r="772" spans="2:9" hidden="1" x14ac:dyDescent="0.25">
      <c r="B772" s="48">
        <f>+'Metrics - Articles'!C769</f>
        <v>0</v>
      </c>
      <c r="C772">
        <f>COUNTIF('Metrics - Articles'!E694,"*Sports*")</f>
        <v>0</v>
      </c>
      <c r="D772">
        <f>COUNTIF('Metrics - Articles'!E694,"*Youth*")</f>
        <v>0</v>
      </c>
      <c r="E772">
        <f>COUNTIF('Metrics - Articles'!E694,"*Healthcare*")</f>
        <v>0</v>
      </c>
      <c r="F772">
        <f>COUNTIF('Metrics - Articles'!E694,"*Innovation")</f>
        <v>0</v>
      </c>
      <c r="G772">
        <f>COUNTIF('Metrics - Articles'!E694,"*Corporate*")</f>
        <v>0</v>
      </c>
      <c r="I772" s="53">
        <f t="shared" si="12"/>
        <v>0</v>
      </c>
    </row>
    <row r="773" spans="2:9" hidden="1" x14ac:dyDescent="0.25">
      <c r="B773" s="48">
        <f>+'Metrics - Articles'!C770</f>
        <v>0</v>
      </c>
      <c r="C773">
        <f>COUNTIF('Metrics - Articles'!E695,"*Sports*")</f>
        <v>0</v>
      </c>
      <c r="D773">
        <f>COUNTIF('Metrics - Articles'!E695,"*Youth*")</f>
        <v>0</v>
      </c>
      <c r="E773">
        <f>COUNTIF('Metrics - Articles'!E695,"*Healthcare*")</f>
        <v>0</v>
      </c>
      <c r="F773">
        <f>COUNTIF('Metrics - Articles'!E695,"*Innovation")</f>
        <v>0</v>
      </c>
      <c r="G773">
        <f>COUNTIF('Metrics - Articles'!E695,"*Corporate*")</f>
        <v>0</v>
      </c>
      <c r="I773" s="53">
        <f t="shared" si="12"/>
        <v>0</v>
      </c>
    </row>
    <row r="774" spans="2:9" hidden="1" x14ac:dyDescent="0.25">
      <c r="B774" s="48">
        <f>+'Metrics - Articles'!C771</f>
        <v>0</v>
      </c>
      <c r="C774">
        <f>COUNTIF('Metrics - Articles'!E696,"*Sports*")</f>
        <v>0</v>
      </c>
      <c r="D774">
        <f>COUNTIF('Metrics - Articles'!E696,"*Youth*")</f>
        <v>0</v>
      </c>
      <c r="E774">
        <f>COUNTIF('Metrics - Articles'!E696,"*Healthcare*")</f>
        <v>0</v>
      </c>
      <c r="F774">
        <f>COUNTIF('Metrics - Articles'!E696,"*Innovation")</f>
        <v>0</v>
      </c>
      <c r="G774">
        <f>COUNTIF('Metrics - Articles'!E696,"*Corporate*")</f>
        <v>0</v>
      </c>
      <c r="I774" s="53">
        <f t="shared" si="12"/>
        <v>0</v>
      </c>
    </row>
    <row r="775" spans="2:9" hidden="1" x14ac:dyDescent="0.25">
      <c r="B775" s="48">
        <f>+'Metrics - Articles'!C772</f>
        <v>0</v>
      </c>
      <c r="C775">
        <f>COUNTIF('Metrics - Articles'!E697,"*Sports*")</f>
        <v>0</v>
      </c>
      <c r="D775">
        <f>COUNTIF('Metrics - Articles'!E697,"*Youth*")</f>
        <v>0</v>
      </c>
      <c r="E775">
        <f>COUNTIF('Metrics - Articles'!E697,"*Healthcare*")</f>
        <v>0</v>
      </c>
      <c r="F775">
        <f>COUNTIF('Metrics - Articles'!E697,"*Innovation")</f>
        <v>0</v>
      </c>
      <c r="G775">
        <f>COUNTIF('Metrics - Articles'!E697,"*Corporate*")</f>
        <v>0</v>
      </c>
      <c r="I775" s="53">
        <f t="shared" si="12"/>
        <v>0</v>
      </c>
    </row>
    <row r="776" spans="2:9" hidden="1" x14ac:dyDescent="0.25">
      <c r="B776" s="48">
        <f>+'Metrics - Articles'!C773</f>
        <v>0</v>
      </c>
      <c r="C776">
        <f>COUNTIF('Metrics - Articles'!E698,"*Sports*")</f>
        <v>0</v>
      </c>
      <c r="D776">
        <f>COUNTIF('Metrics - Articles'!E698,"*Youth*")</f>
        <v>0</v>
      </c>
      <c r="E776">
        <f>COUNTIF('Metrics - Articles'!E698,"*Healthcare*")</f>
        <v>0</v>
      </c>
      <c r="F776">
        <f>COUNTIF('Metrics - Articles'!E698,"*Innovation")</f>
        <v>0</v>
      </c>
      <c r="G776">
        <f>COUNTIF('Metrics - Articles'!E698,"*Corporate*")</f>
        <v>0</v>
      </c>
      <c r="I776" s="53">
        <f t="shared" ref="I776:I839" si="13">SUM(C776:H776)</f>
        <v>0</v>
      </c>
    </row>
    <row r="777" spans="2:9" hidden="1" x14ac:dyDescent="0.25">
      <c r="B777" s="48">
        <f>+'Metrics - Articles'!C774</f>
        <v>0</v>
      </c>
      <c r="C777">
        <f>COUNTIF('Metrics - Articles'!E699,"*Sports*")</f>
        <v>0</v>
      </c>
      <c r="D777">
        <f>COUNTIF('Metrics - Articles'!E699,"*Youth*")</f>
        <v>0</v>
      </c>
      <c r="E777">
        <f>COUNTIF('Metrics - Articles'!E699,"*Healthcare*")</f>
        <v>0</v>
      </c>
      <c r="F777">
        <f>COUNTIF('Metrics - Articles'!E699,"*Innovation")</f>
        <v>0</v>
      </c>
      <c r="G777">
        <f>COUNTIF('Metrics - Articles'!E699,"*Corporate*")</f>
        <v>0</v>
      </c>
      <c r="I777" s="53">
        <f t="shared" si="13"/>
        <v>0</v>
      </c>
    </row>
    <row r="778" spans="2:9" hidden="1" x14ac:dyDescent="0.25">
      <c r="B778" s="48">
        <f>+'Metrics - Articles'!C775</f>
        <v>0</v>
      </c>
      <c r="C778">
        <f>COUNTIF('Metrics - Articles'!E700,"*Sports*")</f>
        <v>0</v>
      </c>
      <c r="D778">
        <f>COUNTIF('Metrics - Articles'!E700,"*Youth*")</f>
        <v>0</v>
      </c>
      <c r="E778">
        <f>COUNTIF('Metrics - Articles'!E700,"*Healthcare*")</f>
        <v>0</v>
      </c>
      <c r="F778">
        <f>COUNTIF('Metrics - Articles'!E700,"*Innovation")</f>
        <v>0</v>
      </c>
      <c r="G778">
        <f>COUNTIF('Metrics - Articles'!E700,"*Corporate*")</f>
        <v>0</v>
      </c>
      <c r="I778" s="53">
        <f t="shared" si="13"/>
        <v>0</v>
      </c>
    </row>
    <row r="779" spans="2:9" hidden="1" x14ac:dyDescent="0.25">
      <c r="B779" s="48">
        <f>+'Metrics - Articles'!C776</f>
        <v>0</v>
      </c>
      <c r="C779">
        <f>COUNTIF('Metrics - Articles'!E701,"*Sports*")</f>
        <v>0</v>
      </c>
      <c r="D779">
        <f>COUNTIF('Metrics - Articles'!E701,"*Youth*")</f>
        <v>0</v>
      </c>
      <c r="E779">
        <f>COUNTIF('Metrics - Articles'!E701,"*Healthcare*")</f>
        <v>0</v>
      </c>
      <c r="F779">
        <f>COUNTIF('Metrics - Articles'!E701,"*Innovation")</f>
        <v>0</v>
      </c>
      <c r="G779">
        <f>COUNTIF('Metrics - Articles'!E701,"*Corporate*")</f>
        <v>0</v>
      </c>
      <c r="I779" s="53">
        <f t="shared" si="13"/>
        <v>0</v>
      </c>
    </row>
    <row r="780" spans="2:9" hidden="1" x14ac:dyDescent="0.25">
      <c r="B780" s="48">
        <f>+'Metrics - Articles'!C777</f>
        <v>0</v>
      </c>
      <c r="C780">
        <f>COUNTIF('Metrics - Articles'!E702,"*Sports*")</f>
        <v>0</v>
      </c>
      <c r="D780">
        <f>COUNTIF('Metrics - Articles'!E702,"*Youth*")</f>
        <v>0</v>
      </c>
      <c r="E780">
        <f>COUNTIF('Metrics - Articles'!E702,"*Healthcare*")</f>
        <v>0</v>
      </c>
      <c r="F780">
        <f>COUNTIF('Metrics - Articles'!E702,"*Innovation")</f>
        <v>0</v>
      </c>
      <c r="G780">
        <f>COUNTIF('Metrics - Articles'!E702,"*Corporate*")</f>
        <v>0</v>
      </c>
      <c r="I780" s="53">
        <f t="shared" si="13"/>
        <v>0</v>
      </c>
    </row>
    <row r="781" spans="2:9" hidden="1" x14ac:dyDescent="0.25">
      <c r="B781" s="48">
        <f>+'Metrics - Articles'!C778</f>
        <v>0</v>
      </c>
      <c r="C781">
        <f>COUNTIF('Metrics - Articles'!E703,"*Sports*")</f>
        <v>0</v>
      </c>
      <c r="D781">
        <f>COUNTIF('Metrics - Articles'!E703,"*Youth*")</f>
        <v>0</v>
      </c>
      <c r="E781">
        <f>COUNTIF('Metrics - Articles'!E703,"*Healthcare*")</f>
        <v>0</v>
      </c>
      <c r="F781">
        <f>COUNTIF('Metrics - Articles'!E703,"*Innovation")</f>
        <v>0</v>
      </c>
      <c r="G781">
        <f>COUNTIF('Metrics - Articles'!E703,"*Corporate*")</f>
        <v>0</v>
      </c>
      <c r="I781" s="53">
        <f t="shared" si="13"/>
        <v>0</v>
      </c>
    </row>
    <row r="782" spans="2:9" hidden="1" x14ac:dyDescent="0.25">
      <c r="B782" s="48">
        <f>+'Metrics - Articles'!C779</f>
        <v>0</v>
      </c>
      <c r="C782">
        <f>COUNTIF('Metrics - Articles'!E704,"*Sports*")</f>
        <v>0</v>
      </c>
      <c r="D782">
        <f>COUNTIF('Metrics - Articles'!E704,"*Youth*")</f>
        <v>0</v>
      </c>
      <c r="E782">
        <f>COUNTIF('Metrics - Articles'!E704,"*Healthcare*")</f>
        <v>0</v>
      </c>
      <c r="F782">
        <f>COUNTIF('Metrics - Articles'!E704,"*Innovation")</f>
        <v>0</v>
      </c>
      <c r="G782">
        <f>COUNTIF('Metrics - Articles'!E704,"*Corporate*")</f>
        <v>0</v>
      </c>
      <c r="I782" s="53">
        <f t="shared" si="13"/>
        <v>0</v>
      </c>
    </row>
    <row r="783" spans="2:9" hidden="1" x14ac:dyDescent="0.25">
      <c r="B783" s="48">
        <f>+'Metrics - Articles'!C780</f>
        <v>0</v>
      </c>
      <c r="C783">
        <f>COUNTIF('Metrics - Articles'!E705,"*Sports*")</f>
        <v>0</v>
      </c>
      <c r="D783">
        <f>COUNTIF('Metrics - Articles'!E705,"*Youth*")</f>
        <v>0</v>
      </c>
      <c r="E783">
        <f>COUNTIF('Metrics - Articles'!E705,"*Healthcare*")</f>
        <v>0</v>
      </c>
      <c r="F783">
        <f>COUNTIF('Metrics - Articles'!E705,"*Innovation")</f>
        <v>0</v>
      </c>
      <c r="G783">
        <f>COUNTIF('Metrics - Articles'!E705,"*Corporate*")</f>
        <v>0</v>
      </c>
      <c r="I783" s="53">
        <f t="shared" si="13"/>
        <v>0</v>
      </c>
    </row>
    <row r="784" spans="2:9" hidden="1" x14ac:dyDescent="0.25">
      <c r="B784" s="48">
        <f>+'Metrics - Articles'!C781</f>
        <v>0</v>
      </c>
      <c r="C784">
        <f>COUNTIF('Metrics - Articles'!E706,"*Sports*")</f>
        <v>0</v>
      </c>
      <c r="D784">
        <f>COUNTIF('Metrics - Articles'!E706,"*Youth*")</f>
        <v>0</v>
      </c>
      <c r="E784">
        <f>COUNTIF('Metrics - Articles'!E706,"*Healthcare*")</f>
        <v>0</v>
      </c>
      <c r="F784">
        <f>COUNTIF('Metrics - Articles'!E706,"*Innovation")</f>
        <v>0</v>
      </c>
      <c r="G784">
        <f>COUNTIF('Metrics - Articles'!E706,"*Corporate*")</f>
        <v>0</v>
      </c>
      <c r="I784" s="53">
        <f t="shared" si="13"/>
        <v>0</v>
      </c>
    </row>
    <row r="785" spans="2:9" hidden="1" x14ac:dyDescent="0.25">
      <c r="B785" s="48">
        <f>+'Metrics - Articles'!C782</f>
        <v>0</v>
      </c>
      <c r="C785">
        <f>COUNTIF('Metrics - Articles'!E707,"*Sports*")</f>
        <v>0</v>
      </c>
      <c r="D785">
        <f>COUNTIF('Metrics - Articles'!E707,"*Youth*")</f>
        <v>0</v>
      </c>
      <c r="E785">
        <f>COUNTIF('Metrics - Articles'!E707,"*Healthcare*")</f>
        <v>0</v>
      </c>
      <c r="F785">
        <f>COUNTIF('Metrics - Articles'!E707,"*Innovation")</f>
        <v>0</v>
      </c>
      <c r="G785">
        <f>COUNTIF('Metrics - Articles'!E707,"*Corporate*")</f>
        <v>0</v>
      </c>
      <c r="I785" s="53">
        <f t="shared" si="13"/>
        <v>0</v>
      </c>
    </row>
    <row r="786" spans="2:9" hidden="1" x14ac:dyDescent="0.25">
      <c r="B786" s="48">
        <f>+'Metrics - Articles'!C783</f>
        <v>0</v>
      </c>
      <c r="C786">
        <f>COUNTIF('Metrics - Articles'!E708,"*Sports*")</f>
        <v>0</v>
      </c>
      <c r="D786">
        <f>COUNTIF('Metrics - Articles'!E708,"*Youth*")</f>
        <v>0</v>
      </c>
      <c r="E786">
        <f>COUNTIF('Metrics - Articles'!E708,"*Healthcare*")</f>
        <v>0</v>
      </c>
      <c r="F786">
        <f>COUNTIF('Metrics - Articles'!E708,"*Innovation")</f>
        <v>0</v>
      </c>
      <c r="G786">
        <f>COUNTIF('Metrics - Articles'!E708,"*Corporate*")</f>
        <v>0</v>
      </c>
      <c r="I786" s="53">
        <f t="shared" si="13"/>
        <v>0</v>
      </c>
    </row>
    <row r="787" spans="2:9" hidden="1" x14ac:dyDescent="0.25">
      <c r="B787" s="48">
        <f>+'Metrics - Articles'!C784</f>
        <v>0</v>
      </c>
      <c r="C787">
        <f>COUNTIF('Metrics - Articles'!E709,"*Sports*")</f>
        <v>0</v>
      </c>
      <c r="D787">
        <f>COUNTIF('Metrics - Articles'!E709,"*Youth*")</f>
        <v>0</v>
      </c>
      <c r="E787">
        <f>COUNTIF('Metrics - Articles'!E709,"*Healthcare*")</f>
        <v>0</v>
      </c>
      <c r="F787">
        <f>COUNTIF('Metrics - Articles'!E709,"*Innovation")</f>
        <v>0</v>
      </c>
      <c r="G787">
        <f>COUNTIF('Metrics - Articles'!E709,"*Corporate*")</f>
        <v>0</v>
      </c>
      <c r="I787" s="53">
        <f t="shared" si="13"/>
        <v>0</v>
      </c>
    </row>
    <row r="788" spans="2:9" hidden="1" x14ac:dyDescent="0.25">
      <c r="B788" s="48">
        <f>+'Metrics - Articles'!C785</f>
        <v>0</v>
      </c>
      <c r="C788">
        <f>COUNTIF('Metrics - Articles'!E710,"*Sports*")</f>
        <v>0</v>
      </c>
      <c r="D788">
        <f>COUNTIF('Metrics - Articles'!E710,"*Youth*")</f>
        <v>0</v>
      </c>
      <c r="E788">
        <f>COUNTIF('Metrics - Articles'!E710,"*Healthcare*")</f>
        <v>0</v>
      </c>
      <c r="F788">
        <f>COUNTIF('Metrics - Articles'!E710,"*Innovation")</f>
        <v>0</v>
      </c>
      <c r="G788">
        <f>COUNTIF('Metrics - Articles'!E710,"*Corporate*")</f>
        <v>0</v>
      </c>
      <c r="I788" s="53">
        <f t="shared" si="13"/>
        <v>0</v>
      </c>
    </row>
    <row r="789" spans="2:9" hidden="1" x14ac:dyDescent="0.25">
      <c r="B789" s="48">
        <f>+'Metrics - Articles'!C786</f>
        <v>0</v>
      </c>
      <c r="C789">
        <f>COUNTIF('Metrics - Articles'!E711,"*Sports*")</f>
        <v>0</v>
      </c>
      <c r="D789">
        <f>COUNTIF('Metrics - Articles'!E711,"*Youth*")</f>
        <v>0</v>
      </c>
      <c r="E789">
        <f>COUNTIF('Metrics - Articles'!E711,"*Healthcare*")</f>
        <v>0</v>
      </c>
      <c r="F789">
        <f>COUNTIF('Metrics - Articles'!E711,"*Innovation")</f>
        <v>0</v>
      </c>
      <c r="G789">
        <f>COUNTIF('Metrics - Articles'!E711,"*Corporate*")</f>
        <v>0</v>
      </c>
      <c r="I789" s="53">
        <f t="shared" si="13"/>
        <v>0</v>
      </c>
    </row>
    <row r="790" spans="2:9" hidden="1" x14ac:dyDescent="0.25">
      <c r="B790" s="48">
        <f>+'Metrics - Articles'!C787</f>
        <v>0</v>
      </c>
      <c r="C790">
        <f>COUNTIF('Metrics - Articles'!E712,"*Sports*")</f>
        <v>0</v>
      </c>
      <c r="D790">
        <f>COUNTIF('Metrics - Articles'!E712,"*Youth*")</f>
        <v>0</v>
      </c>
      <c r="E790">
        <f>COUNTIF('Metrics - Articles'!E712,"*Healthcare*")</f>
        <v>0</v>
      </c>
      <c r="F790">
        <f>COUNTIF('Metrics - Articles'!E712,"*Innovation")</f>
        <v>0</v>
      </c>
      <c r="G790">
        <f>COUNTIF('Metrics - Articles'!E712,"*Corporate*")</f>
        <v>0</v>
      </c>
      <c r="I790" s="53">
        <f t="shared" si="13"/>
        <v>0</v>
      </c>
    </row>
    <row r="791" spans="2:9" hidden="1" x14ac:dyDescent="0.25">
      <c r="B791" s="48">
        <f>+'Metrics - Articles'!C788</f>
        <v>0</v>
      </c>
      <c r="C791">
        <f>COUNTIF('Metrics - Articles'!E713,"*Sports*")</f>
        <v>0</v>
      </c>
      <c r="D791">
        <f>COUNTIF('Metrics - Articles'!E713,"*Youth*")</f>
        <v>0</v>
      </c>
      <c r="E791">
        <f>COUNTIF('Metrics - Articles'!E713,"*Healthcare*")</f>
        <v>0</v>
      </c>
      <c r="F791">
        <f>COUNTIF('Metrics - Articles'!E713,"*Innovation")</f>
        <v>0</v>
      </c>
      <c r="G791">
        <f>COUNTIF('Metrics - Articles'!E713,"*Corporate*")</f>
        <v>0</v>
      </c>
      <c r="I791" s="53">
        <f t="shared" si="13"/>
        <v>0</v>
      </c>
    </row>
    <row r="792" spans="2:9" hidden="1" x14ac:dyDescent="0.25">
      <c r="B792" s="48">
        <f>+'Metrics - Articles'!C789</f>
        <v>0</v>
      </c>
      <c r="C792">
        <f>COUNTIF('Metrics - Articles'!E714,"*Sports*")</f>
        <v>0</v>
      </c>
      <c r="D792">
        <f>COUNTIF('Metrics - Articles'!E714,"*Youth*")</f>
        <v>0</v>
      </c>
      <c r="E792">
        <f>COUNTIF('Metrics - Articles'!E714,"*Healthcare*")</f>
        <v>0</v>
      </c>
      <c r="F792">
        <f>COUNTIF('Metrics - Articles'!E714,"*Innovation")</f>
        <v>0</v>
      </c>
      <c r="G792">
        <f>COUNTIF('Metrics - Articles'!E714,"*Corporate*")</f>
        <v>0</v>
      </c>
      <c r="I792" s="53">
        <f t="shared" si="13"/>
        <v>0</v>
      </c>
    </row>
    <row r="793" spans="2:9" hidden="1" x14ac:dyDescent="0.25">
      <c r="B793" s="48">
        <f>+'Metrics - Articles'!C790</f>
        <v>0</v>
      </c>
      <c r="C793">
        <f>COUNTIF('Metrics - Articles'!E715,"*Sports*")</f>
        <v>0</v>
      </c>
      <c r="D793">
        <f>COUNTIF('Metrics - Articles'!E715,"*Youth*")</f>
        <v>0</v>
      </c>
      <c r="E793">
        <f>COUNTIF('Metrics - Articles'!E715,"*Healthcare*")</f>
        <v>0</v>
      </c>
      <c r="F793">
        <f>COUNTIF('Metrics - Articles'!E715,"*Innovation")</f>
        <v>0</v>
      </c>
      <c r="G793">
        <f>COUNTIF('Metrics - Articles'!E715,"*Corporate*")</f>
        <v>0</v>
      </c>
      <c r="I793" s="53">
        <f t="shared" si="13"/>
        <v>0</v>
      </c>
    </row>
    <row r="794" spans="2:9" hidden="1" x14ac:dyDescent="0.25">
      <c r="B794" s="48">
        <f>+'Metrics - Articles'!C791</f>
        <v>0</v>
      </c>
      <c r="C794">
        <f>COUNTIF('Metrics - Articles'!E716,"*Sports*")</f>
        <v>0</v>
      </c>
      <c r="D794">
        <f>COUNTIF('Metrics - Articles'!E716,"*Youth*")</f>
        <v>0</v>
      </c>
      <c r="E794">
        <f>COUNTIF('Metrics - Articles'!E716,"*Healthcare*")</f>
        <v>0</v>
      </c>
      <c r="F794">
        <f>COUNTIF('Metrics - Articles'!E716,"*Innovation")</f>
        <v>0</v>
      </c>
      <c r="G794">
        <f>COUNTIF('Metrics - Articles'!E716,"*Corporate*")</f>
        <v>0</v>
      </c>
      <c r="I794" s="53">
        <f t="shared" si="13"/>
        <v>0</v>
      </c>
    </row>
    <row r="795" spans="2:9" hidden="1" x14ac:dyDescent="0.25">
      <c r="B795" s="48">
        <f>+'Metrics - Articles'!C792</f>
        <v>0</v>
      </c>
      <c r="C795">
        <f>COUNTIF('Metrics - Articles'!E717,"*Sports*")</f>
        <v>0</v>
      </c>
      <c r="D795">
        <f>COUNTIF('Metrics - Articles'!E717,"*Youth*")</f>
        <v>0</v>
      </c>
      <c r="E795">
        <f>COUNTIF('Metrics - Articles'!E717,"*Healthcare*")</f>
        <v>0</v>
      </c>
      <c r="F795">
        <f>COUNTIF('Metrics - Articles'!E717,"*Innovation")</f>
        <v>0</v>
      </c>
      <c r="G795">
        <f>COUNTIF('Metrics - Articles'!E717,"*Corporate*")</f>
        <v>0</v>
      </c>
      <c r="I795" s="53">
        <f t="shared" si="13"/>
        <v>0</v>
      </c>
    </row>
    <row r="796" spans="2:9" hidden="1" x14ac:dyDescent="0.25">
      <c r="B796" s="48">
        <f>+'Metrics - Articles'!C793</f>
        <v>0</v>
      </c>
      <c r="C796">
        <f>COUNTIF('Metrics - Articles'!E718,"*Sports*")</f>
        <v>0</v>
      </c>
      <c r="D796">
        <f>COUNTIF('Metrics - Articles'!E718,"*Youth*")</f>
        <v>0</v>
      </c>
      <c r="E796">
        <f>COUNTIF('Metrics - Articles'!E718,"*Healthcare*")</f>
        <v>0</v>
      </c>
      <c r="F796">
        <f>COUNTIF('Metrics - Articles'!E718,"*Innovation")</f>
        <v>0</v>
      </c>
      <c r="G796">
        <f>COUNTIF('Metrics - Articles'!E718,"*Corporate*")</f>
        <v>0</v>
      </c>
      <c r="I796" s="53">
        <f t="shared" si="13"/>
        <v>0</v>
      </c>
    </row>
    <row r="797" spans="2:9" hidden="1" x14ac:dyDescent="0.25">
      <c r="B797" s="48">
        <f>+'Metrics - Articles'!C794</f>
        <v>0</v>
      </c>
      <c r="C797">
        <f>COUNTIF('Metrics - Articles'!E719,"*Sports*")</f>
        <v>0</v>
      </c>
      <c r="D797">
        <f>COUNTIF('Metrics - Articles'!E719,"*Youth*")</f>
        <v>0</v>
      </c>
      <c r="E797">
        <f>COUNTIF('Metrics - Articles'!E719,"*Healthcare*")</f>
        <v>0</v>
      </c>
      <c r="F797">
        <f>COUNTIF('Metrics - Articles'!E719,"*Innovation")</f>
        <v>0</v>
      </c>
      <c r="G797">
        <f>COUNTIF('Metrics - Articles'!E719,"*Corporate*")</f>
        <v>0</v>
      </c>
      <c r="I797" s="53">
        <f t="shared" si="13"/>
        <v>0</v>
      </c>
    </row>
    <row r="798" spans="2:9" hidden="1" x14ac:dyDescent="0.25">
      <c r="B798" s="48">
        <f>+'Metrics - Articles'!C795</f>
        <v>0</v>
      </c>
      <c r="C798">
        <f>COUNTIF('Metrics - Articles'!E720,"*Sports*")</f>
        <v>0</v>
      </c>
      <c r="D798">
        <f>COUNTIF('Metrics - Articles'!E720,"*Youth*")</f>
        <v>0</v>
      </c>
      <c r="E798">
        <f>COUNTIF('Metrics - Articles'!E720,"*Healthcare*")</f>
        <v>0</v>
      </c>
      <c r="F798">
        <f>COUNTIF('Metrics - Articles'!E720,"*Innovation")</f>
        <v>0</v>
      </c>
      <c r="G798">
        <f>COUNTIF('Metrics - Articles'!E720,"*Corporate*")</f>
        <v>0</v>
      </c>
      <c r="I798" s="53">
        <f t="shared" si="13"/>
        <v>0</v>
      </c>
    </row>
    <row r="799" spans="2:9" hidden="1" x14ac:dyDescent="0.25">
      <c r="B799" s="48">
        <f>+'Metrics - Articles'!C796</f>
        <v>0</v>
      </c>
      <c r="C799">
        <f>COUNTIF('Metrics - Articles'!E721,"*Sports*")</f>
        <v>0</v>
      </c>
      <c r="D799">
        <f>COUNTIF('Metrics - Articles'!E721,"*Youth*")</f>
        <v>0</v>
      </c>
      <c r="E799">
        <f>COUNTIF('Metrics - Articles'!E721,"*Healthcare*")</f>
        <v>0</v>
      </c>
      <c r="F799">
        <f>COUNTIF('Metrics - Articles'!E721,"*Innovation")</f>
        <v>0</v>
      </c>
      <c r="G799">
        <f>COUNTIF('Metrics - Articles'!E721,"*Corporate*")</f>
        <v>0</v>
      </c>
      <c r="I799" s="53">
        <f t="shared" si="13"/>
        <v>0</v>
      </c>
    </row>
    <row r="800" spans="2:9" hidden="1" x14ac:dyDescent="0.25">
      <c r="B800" s="48">
        <f>+'Metrics - Articles'!C797</f>
        <v>0</v>
      </c>
      <c r="C800">
        <f>COUNTIF('Metrics - Articles'!E722,"*Sports*")</f>
        <v>0</v>
      </c>
      <c r="D800">
        <f>COUNTIF('Metrics - Articles'!E722,"*Youth*")</f>
        <v>0</v>
      </c>
      <c r="E800">
        <f>COUNTIF('Metrics - Articles'!E722,"*Healthcare*")</f>
        <v>0</v>
      </c>
      <c r="F800">
        <f>COUNTIF('Metrics - Articles'!E722,"*Innovation")</f>
        <v>0</v>
      </c>
      <c r="G800">
        <f>COUNTIF('Metrics - Articles'!E722,"*Corporate*")</f>
        <v>0</v>
      </c>
      <c r="I800" s="53">
        <f t="shared" si="13"/>
        <v>0</v>
      </c>
    </row>
    <row r="801" spans="2:9" hidden="1" x14ac:dyDescent="0.25">
      <c r="B801" s="48">
        <f>+'Metrics - Articles'!C798</f>
        <v>0</v>
      </c>
      <c r="C801">
        <f>COUNTIF('Metrics - Articles'!E723,"*Sports*")</f>
        <v>0</v>
      </c>
      <c r="D801">
        <f>COUNTIF('Metrics - Articles'!E723,"*Youth*")</f>
        <v>0</v>
      </c>
      <c r="E801">
        <f>COUNTIF('Metrics - Articles'!E723,"*Healthcare*")</f>
        <v>0</v>
      </c>
      <c r="F801">
        <f>COUNTIF('Metrics - Articles'!E723,"*Innovation")</f>
        <v>0</v>
      </c>
      <c r="G801">
        <f>COUNTIF('Metrics - Articles'!E723,"*Corporate*")</f>
        <v>0</v>
      </c>
      <c r="I801" s="53">
        <f t="shared" si="13"/>
        <v>0</v>
      </c>
    </row>
    <row r="802" spans="2:9" hidden="1" x14ac:dyDescent="0.25">
      <c r="B802" s="48">
        <f>+'Metrics - Articles'!C799</f>
        <v>0</v>
      </c>
      <c r="C802">
        <f>COUNTIF('Metrics - Articles'!E724,"*Sports*")</f>
        <v>0</v>
      </c>
      <c r="D802">
        <f>COUNTIF('Metrics - Articles'!E724,"*Youth*")</f>
        <v>0</v>
      </c>
      <c r="E802">
        <f>COUNTIF('Metrics - Articles'!E724,"*Healthcare*")</f>
        <v>0</v>
      </c>
      <c r="F802">
        <f>COUNTIF('Metrics - Articles'!E724,"*Innovation")</f>
        <v>0</v>
      </c>
      <c r="G802">
        <f>COUNTIF('Metrics - Articles'!E724,"*Corporate*")</f>
        <v>0</v>
      </c>
      <c r="I802" s="53">
        <f t="shared" si="13"/>
        <v>0</v>
      </c>
    </row>
    <row r="803" spans="2:9" hidden="1" x14ac:dyDescent="0.25">
      <c r="B803" s="48">
        <f>+'Metrics - Articles'!C800</f>
        <v>0</v>
      </c>
      <c r="C803">
        <f>COUNTIF('Metrics - Articles'!E725,"*Sports*")</f>
        <v>0</v>
      </c>
      <c r="D803">
        <f>COUNTIF('Metrics - Articles'!E725,"*Youth*")</f>
        <v>0</v>
      </c>
      <c r="E803">
        <f>COUNTIF('Metrics - Articles'!E725,"*Healthcare*")</f>
        <v>0</v>
      </c>
      <c r="F803">
        <f>COUNTIF('Metrics - Articles'!E725,"*Innovation")</f>
        <v>0</v>
      </c>
      <c r="G803">
        <f>COUNTIF('Metrics - Articles'!E725,"*Corporate*")</f>
        <v>0</v>
      </c>
      <c r="I803" s="53">
        <f t="shared" si="13"/>
        <v>0</v>
      </c>
    </row>
    <row r="804" spans="2:9" hidden="1" x14ac:dyDescent="0.25">
      <c r="B804" s="48">
        <f>+'Metrics - Articles'!C801</f>
        <v>0</v>
      </c>
      <c r="C804">
        <f>COUNTIF('Metrics - Articles'!E726,"*Sports*")</f>
        <v>0</v>
      </c>
      <c r="D804">
        <f>COUNTIF('Metrics - Articles'!E726,"*Youth*")</f>
        <v>0</v>
      </c>
      <c r="E804">
        <f>COUNTIF('Metrics - Articles'!E726,"*Healthcare*")</f>
        <v>0</v>
      </c>
      <c r="F804">
        <f>COUNTIF('Metrics - Articles'!E726,"*Innovation")</f>
        <v>0</v>
      </c>
      <c r="G804">
        <f>COUNTIF('Metrics - Articles'!E726,"*Corporate*")</f>
        <v>0</v>
      </c>
      <c r="I804" s="53">
        <f t="shared" si="13"/>
        <v>0</v>
      </c>
    </row>
    <row r="805" spans="2:9" hidden="1" x14ac:dyDescent="0.25">
      <c r="B805" s="48">
        <f>+'Metrics - Articles'!C802</f>
        <v>0</v>
      </c>
      <c r="C805">
        <f>COUNTIF('Metrics - Articles'!E727,"*Sports*")</f>
        <v>0</v>
      </c>
      <c r="D805">
        <f>COUNTIF('Metrics - Articles'!E727,"*Youth*")</f>
        <v>0</v>
      </c>
      <c r="E805">
        <f>COUNTIF('Metrics - Articles'!E727,"*Healthcare*")</f>
        <v>0</v>
      </c>
      <c r="F805">
        <f>COUNTIF('Metrics - Articles'!E727,"*Innovation")</f>
        <v>0</v>
      </c>
      <c r="G805">
        <f>COUNTIF('Metrics - Articles'!E727,"*Corporate*")</f>
        <v>0</v>
      </c>
      <c r="I805" s="53">
        <f t="shared" si="13"/>
        <v>0</v>
      </c>
    </row>
    <row r="806" spans="2:9" hidden="1" x14ac:dyDescent="0.25">
      <c r="B806" s="48">
        <f>+'Metrics - Articles'!C803</f>
        <v>0</v>
      </c>
      <c r="C806">
        <f>COUNTIF('Metrics - Articles'!E728,"*Sports*")</f>
        <v>0</v>
      </c>
      <c r="D806">
        <f>COUNTIF('Metrics - Articles'!E728,"*Youth*")</f>
        <v>0</v>
      </c>
      <c r="E806">
        <f>COUNTIF('Metrics - Articles'!E728,"*Healthcare*")</f>
        <v>0</v>
      </c>
      <c r="F806">
        <f>COUNTIF('Metrics - Articles'!E728,"*Innovation")</f>
        <v>0</v>
      </c>
      <c r="G806">
        <f>COUNTIF('Metrics - Articles'!E728,"*Corporate*")</f>
        <v>0</v>
      </c>
      <c r="I806" s="53">
        <f t="shared" si="13"/>
        <v>0</v>
      </c>
    </row>
    <row r="807" spans="2:9" hidden="1" x14ac:dyDescent="0.25">
      <c r="B807" s="48">
        <f>+'Metrics - Articles'!C804</f>
        <v>0</v>
      </c>
      <c r="C807">
        <f>COUNTIF('Metrics - Articles'!E729,"*Sports*")</f>
        <v>0</v>
      </c>
      <c r="D807">
        <f>COUNTIF('Metrics - Articles'!E729,"*Youth*")</f>
        <v>0</v>
      </c>
      <c r="E807">
        <f>COUNTIF('Metrics - Articles'!E729,"*Healthcare*")</f>
        <v>0</v>
      </c>
      <c r="F807">
        <f>COUNTIF('Metrics - Articles'!E729,"*Innovation")</f>
        <v>0</v>
      </c>
      <c r="G807">
        <f>COUNTIF('Metrics - Articles'!E729,"*Corporate*")</f>
        <v>0</v>
      </c>
      <c r="I807" s="53">
        <f t="shared" si="13"/>
        <v>0</v>
      </c>
    </row>
    <row r="808" spans="2:9" hidden="1" x14ac:dyDescent="0.25">
      <c r="B808" s="48">
        <f>+'Metrics - Articles'!C805</f>
        <v>0</v>
      </c>
      <c r="C808">
        <f>COUNTIF('Metrics - Articles'!E730,"*Sports*")</f>
        <v>0</v>
      </c>
      <c r="D808">
        <f>COUNTIF('Metrics - Articles'!E730,"*Youth*")</f>
        <v>0</v>
      </c>
      <c r="E808">
        <f>COUNTIF('Metrics - Articles'!E730,"*Healthcare*")</f>
        <v>0</v>
      </c>
      <c r="F808">
        <f>COUNTIF('Metrics - Articles'!E730,"*Innovation")</f>
        <v>0</v>
      </c>
      <c r="G808">
        <f>COUNTIF('Metrics - Articles'!E730,"*Corporate*")</f>
        <v>0</v>
      </c>
      <c r="I808" s="53">
        <f t="shared" si="13"/>
        <v>0</v>
      </c>
    </row>
    <row r="809" spans="2:9" hidden="1" x14ac:dyDescent="0.25">
      <c r="B809" s="48">
        <f>+'Metrics - Articles'!C806</f>
        <v>0</v>
      </c>
      <c r="C809">
        <f>COUNTIF('Metrics - Articles'!E731,"*Sports*")</f>
        <v>0</v>
      </c>
      <c r="D809">
        <f>COUNTIF('Metrics - Articles'!E731,"*Youth*")</f>
        <v>0</v>
      </c>
      <c r="E809">
        <f>COUNTIF('Metrics - Articles'!E731,"*Healthcare*")</f>
        <v>0</v>
      </c>
      <c r="F809">
        <f>COUNTIF('Metrics - Articles'!E731,"*Innovation")</f>
        <v>0</v>
      </c>
      <c r="G809">
        <f>COUNTIF('Metrics - Articles'!E731,"*Corporate*")</f>
        <v>0</v>
      </c>
      <c r="I809" s="53">
        <f t="shared" si="13"/>
        <v>0</v>
      </c>
    </row>
    <row r="810" spans="2:9" hidden="1" x14ac:dyDescent="0.25">
      <c r="B810" s="48">
        <f>+'Metrics - Articles'!C807</f>
        <v>0</v>
      </c>
      <c r="C810">
        <f>COUNTIF('Metrics - Articles'!E732,"*Sports*")</f>
        <v>0</v>
      </c>
      <c r="D810">
        <f>COUNTIF('Metrics - Articles'!E732,"*Youth*")</f>
        <v>0</v>
      </c>
      <c r="E810">
        <f>COUNTIF('Metrics - Articles'!E732,"*Healthcare*")</f>
        <v>0</v>
      </c>
      <c r="F810">
        <f>COUNTIF('Metrics - Articles'!E732,"*Innovation")</f>
        <v>0</v>
      </c>
      <c r="G810">
        <f>COUNTIF('Metrics - Articles'!E732,"*Corporate*")</f>
        <v>0</v>
      </c>
      <c r="I810" s="53">
        <f t="shared" si="13"/>
        <v>0</v>
      </c>
    </row>
    <row r="811" spans="2:9" hidden="1" x14ac:dyDescent="0.25">
      <c r="B811" s="48">
        <f>+'Metrics - Articles'!C808</f>
        <v>0</v>
      </c>
      <c r="C811">
        <f>COUNTIF('Metrics - Articles'!E733,"*Sports*")</f>
        <v>0</v>
      </c>
      <c r="D811">
        <f>COUNTIF('Metrics - Articles'!E733,"*Youth*")</f>
        <v>0</v>
      </c>
      <c r="E811">
        <f>COUNTIF('Metrics - Articles'!E733,"*Healthcare*")</f>
        <v>0</v>
      </c>
      <c r="F811">
        <f>COUNTIF('Metrics - Articles'!E733,"*Innovation")</f>
        <v>0</v>
      </c>
      <c r="G811">
        <f>COUNTIF('Metrics - Articles'!E733,"*Corporate*")</f>
        <v>0</v>
      </c>
      <c r="I811" s="53">
        <f t="shared" si="13"/>
        <v>0</v>
      </c>
    </row>
    <row r="812" spans="2:9" hidden="1" x14ac:dyDescent="0.25">
      <c r="B812" s="48">
        <f>+'Metrics - Articles'!C809</f>
        <v>0</v>
      </c>
      <c r="C812">
        <f>COUNTIF('Metrics - Articles'!E734,"*Sports*")</f>
        <v>0</v>
      </c>
      <c r="D812">
        <f>COUNTIF('Metrics - Articles'!E734,"*Youth*")</f>
        <v>0</v>
      </c>
      <c r="E812">
        <f>COUNTIF('Metrics - Articles'!E734,"*Healthcare*")</f>
        <v>0</v>
      </c>
      <c r="F812">
        <f>COUNTIF('Metrics - Articles'!E734,"*Innovation")</f>
        <v>0</v>
      </c>
      <c r="G812">
        <f>COUNTIF('Metrics - Articles'!E734,"*Corporate*")</f>
        <v>0</v>
      </c>
      <c r="I812" s="53">
        <f t="shared" si="13"/>
        <v>0</v>
      </c>
    </row>
    <row r="813" spans="2:9" hidden="1" x14ac:dyDescent="0.25">
      <c r="B813" s="48">
        <f>+'Metrics - Articles'!C810</f>
        <v>0</v>
      </c>
      <c r="C813">
        <f>COUNTIF('Metrics - Articles'!E735,"*Sports*")</f>
        <v>0</v>
      </c>
      <c r="D813">
        <f>COUNTIF('Metrics - Articles'!E735,"*Youth*")</f>
        <v>0</v>
      </c>
      <c r="E813">
        <f>COUNTIF('Metrics - Articles'!E735,"*Healthcare*")</f>
        <v>0</v>
      </c>
      <c r="F813">
        <f>COUNTIF('Metrics - Articles'!E735,"*Innovation")</f>
        <v>0</v>
      </c>
      <c r="G813">
        <f>COUNTIF('Metrics - Articles'!E735,"*Corporate*")</f>
        <v>0</v>
      </c>
      <c r="I813" s="53">
        <f t="shared" si="13"/>
        <v>0</v>
      </c>
    </row>
    <row r="814" spans="2:9" hidden="1" x14ac:dyDescent="0.25">
      <c r="B814" s="48">
        <f>+'Metrics - Articles'!C811</f>
        <v>0</v>
      </c>
      <c r="C814">
        <f>COUNTIF('Metrics - Articles'!E736,"*Sports*")</f>
        <v>0</v>
      </c>
      <c r="D814">
        <f>COUNTIF('Metrics - Articles'!E736,"*Youth*")</f>
        <v>0</v>
      </c>
      <c r="E814">
        <f>COUNTIF('Metrics - Articles'!E736,"*Healthcare*")</f>
        <v>0</v>
      </c>
      <c r="F814">
        <f>COUNTIF('Metrics - Articles'!E736,"*Innovation")</f>
        <v>0</v>
      </c>
      <c r="G814">
        <f>COUNTIF('Metrics - Articles'!E736,"*Corporate*")</f>
        <v>0</v>
      </c>
      <c r="I814" s="53">
        <f t="shared" si="13"/>
        <v>0</v>
      </c>
    </row>
    <row r="815" spans="2:9" hidden="1" x14ac:dyDescent="0.25">
      <c r="B815" s="48">
        <f>+'Metrics - Articles'!C812</f>
        <v>0</v>
      </c>
      <c r="C815">
        <f>COUNTIF('Metrics - Articles'!E737,"*Sports*")</f>
        <v>0</v>
      </c>
      <c r="D815">
        <f>COUNTIF('Metrics - Articles'!E737,"*Youth*")</f>
        <v>0</v>
      </c>
      <c r="E815">
        <f>COUNTIF('Metrics - Articles'!E737,"*Healthcare*")</f>
        <v>0</v>
      </c>
      <c r="F815">
        <f>COUNTIF('Metrics - Articles'!E737,"*Innovation")</f>
        <v>0</v>
      </c>
      <c r="G815">
        <f>COUNTIF('Metrics - Articles'!E737,"*Corporate*")</f>
        <v>0</v>
      </c>
      <c r="I815" s="53">
        <f t="shared" si="13"/>
        <v>0</v>
      </c>
    </row>
    <row r="816" spans="2:9" hidden="1" x14ac:dyDescent="0.25">
      <c r="B816" s="48">
        <f>+'Metrics - Articles'!C813</f>
        <v>0</v>
      </c>
      <c r="C816">
        <f>COUNTIF('Metrics - Articles'!E738,"*Sports*")</f>
        <v>0</v>
      </c>
      <c r="D816">
        <f>COUNTIF('Metrics - Articles'!E738,"*Youth*")</f>
        <v>0</v>
      </c>
      <c r="E816">
        <f>COUNTIF('Metrics - Articles'!E738,"*Healthcare*")</f>
        <v>0</v>
      </c>
      <c r="F816">
        <f>COUNTIF('Metrics - Articles'!E738,"*Innovation")</f>
        <v>0</v>
      </c>
      <c r="G816">
        <f>COUNTIF('Metrics - Articles'!E738,"*Corporate*")</f>
        <v>0</v>
      </c>
      <c r="I816" s="53">
        <f t="shared" si="13"/>
        <v>0</v>
      </c>
    </row>
    <row r="817" spans="2:9" hidden="1" x14ac:dyDescent="0.25">
      <c r="B817" s="48">
        <f>+'Metrics - Articles'!C814</f>
        <v>0</v>
      </c>
      <c r="C817">
        <f>COUNTIF('Metrics - Articles'!E739,"*Sports*")</f>
        <v>0</v>
      </c>
      <c r="D817">
        <f>COUNTIF('Metrics - Articles'!E739,"*Youth*")</f>
        <v>0</v>
      </c>
      <c r="E817">
        <f>COUNTIF('Metrics - Articles'!E739,"*Healthcare*")</f>
        <v>0</v>
      </c>
      <c r="F817">
        <f>COUNTIF('Metrics - Articles'!E739,"*Innovation")</f>
        <v>0</v>
      </c>
      <c r="G817">
        <f>COUNTIF('Metrics - Articles'!E739,"*Corporate*")</f>
        <v>0</v>
      </c>
      <c r="I817" s="53">
        <f t="shared" si="13"/>
        <v>0</v>
      </c>
    </row>
    <row r="818" spans="2:9" hidden="1" x14ac:dyDescent="0.25">
      <c r="B818" s="48">
        <f>+'Metrics - Articles'!C815</f>
        <v>0</v>
      </c>
      <c r="C818">
        <f>COUNTIF('Metrics - Articles'!E740,"*Sports*")</f>
        <v>0</v>
      </c>
      <c r="D818">
        <f>COUNTIF('Metrics - Articles'!E740,"*Youth*")</f>
        <v>0</v>
      </c>
      <c r="E818">
        <f>COUNTIF('Metrics - Articles'!E740,"*Healthcare*")</f>
        <v>0</v>
      </c>
      <c r="F818">
        <f>COUNTIF('Metrics - Articles'!E740,"*Innovation")</f>
        <v>0</v>
      </c>
      <c r="G818">
        <f>COUNTIF('Metrics - Articles'!E740,"*Corporate*")</f>
        <v>0</v>
      </c>
      <c r="I818" s="53">
        <f t="shared" si="13"/>
        <v>0</v>
      </c>
    </row>
    <row r="819" spans="2:9" hidden="1" x14ac:dyDescent="0.25">
      <c r="B819" s="48">
        <f>+'Metrics - Articles'!C816</f>
        <v>0</v>
      </c>
      <c r="C819">
        <f>COUNTIF('Metrics - Articles'!E741,"*Sports*")</f>
        <v>0</v>
      </c>
      <c r="D819">
        <f>COUNTIF('Metrics - Articles'!E741,"*Youth*")</f>
        <v>0</v>
      </c>
      <c r="E819">
        <f>COUNTIF('Metrics - Articles'!E741,"*Healthcare*")</f>
        <v>0</v>
      </c>
      <c r="F819">
        <f>COUNTIF('Metrics - Articles'!E741,"*Innovation")</f>
        <v>0</v>
      </c>
      <c r="G819">
        <f>COUNTIF('Metrics - Articles'!E741,"*Corporate*")</f>
        <v>0</v>
      </c>
      <c r="I819" s="53">
        <f t="shared" si="13"/>
        <v>0</v>
      </c>
    </row>
    <row r="820" spans="2:9" hidden="1" x14ac:dyDescent="0.25">
      <c r="B820" s="48">
        <f>+'Metrics - Articles'!C817</f>
        <v>0</v>
      </c>
      <c r="C820">
        <f>COUNTIF('Metrics - Articles'!E742,"*Sports*")</f>
        <v>0</v>
      </c>
      <c r="D820">
        <f>COUNTIF('Metrics - Articles'!E742,"*Youth*")</f>
        <v>0</v>
      </c>
      <c r="E820">
        <f>COUNTIF('Metrics - Articles'!E742,"*Healthcare*")</f>
        <v>0</v>
      </c>
      <c r="F820">
        <f>COUNTIF('Metrics - Articles'!E742,"*Innovation")</f>
        <v>0</v>
      </c>
      <c r="G820">
        <f>COUNTIF('Metrics - Articles'!E742,"*Corporate*")</f>
        <v>0</v>
      </c>
      <c r="I820" s="53">
        <f t="shared" si="13"/>
        <v>0</v>
      </c>
    </row>
    <row r="821" spans="2:9" hidden="1" x14ac:dyDescent="0.25">
      <c r="B821" s="48">
        <f>+'Metrics - Articles'!C818</f>
        <v>0</v>
      </c>
      <c r="C821">
        <f>COUNTIF('Metrics - Articles'!E743,"*Sports*")</f>
        <v>0</v>
      </c>
      <c r="D821">
        <f>COUNTIF('Metrics - Articles'!E743,"*Youth*")</f>
        <v>0</v>
      </c>
      <c r="E821">
        <f>COUNTIF('Metrics - Articles'!E743,"*Healthcare*")</f>
        <v>0</v>
      </c>
      <c r="F821">
        <f>COUNTIF('Metrics - Articles'!E743,"*Innovation")</f>
        <v>0</v>
      </c>
      <c r="G821">
        <f>COUNTIF('Metrics - Articles'!E743,"*Corporate*")</f>
        <v>0</v>
      </c>
      <c r="I821" s="53">
        <f t="shared" si="13"/>
        <v>0</v>
      </c>
    </row>
    <row r="822" spans="2:9" hidden="1" x14ac:dyDescent="0.25">
      <c r="B822" s="48">
        <f>+'Metrics - Articles'!C819</f>
        <v>0</v>
      </c>
      <c r="C822">
        <f>COUNTIF('Metrics - Articles'!E744,"*Sports*")</f>
        <v>0</v>
      </c>
      <c r="D822">
        <f>COUNTIF('Metrics - Articles'!E744,"*Youth*")</f>
        <v>0</v>
      </c>
      <c r="E822">
        <f>COUNTIF('Metrics - Articles'!E744,"*Healthcare*")</f>
        <v>0</v>
      </c>
      <c r="F822">
        <f>COUNTIF('Metrics - Articles'!E744,"*Innovation")</f>
        <v>0</v>
      </c>
      <c r="G822">
        <f>COUNTIF('Metrics - Articles'!E744,"*Corporate*")</f>
        <v>0</v>
      </c>
      <c r="I822" s="53">
        <f t="shared" si="13"/>
        <v>0</v>
      </c>
    </row>
    <row r="823" spans="2:9" hidden="1" x14ac:dyDescent="0.25">
      <c r="B823" s="48">
        <f>+'Metrics - Articles'!C820</f>
        <v>0</v>
      </c>
      <c r="C823">
        <f>COUNTIF('Metrics - Articles'!E745,"*Sports*")</f>
        <v>0</v>
      </c>
      <c r="D823">
        <f>COUNTIF('Metrics - Articles'!E745,"*Youth*")</f>
        <v>0</v>
      </c>
      <c r="E823">
        <f>COUNTIF('Metrics - Articles'!E745,"*Healthcare*")</f>
        <v>0</v>
      </c>
      <c r="F823">
        <f>COUNTIF('Metrics - Articles'!E745,"*Innovation")</f>
        <v>0</v>
      </c>
      <c r="G823">
        <f>COUNTIF('Metrics - Articles'!E745,"*Corporate*")</f>
        <v>0</v>
      </c>
      <c r="I823" s="53">
        <f t="shared" si="13"/>
        <v>0</v>
      </c>
    </row>
    <row r="824" spans="2:9" hidden="1" x14ac:dyDescent="0.25">
      <c r="B824" s="48">
        <f>+'Metrics - Articles'!C821</f>
        <v>0</v>
      </c>
      <c r="C824">
        <f>COUNTIF('Metrics - Articles'!E746,"*Sports*")</f>
        <v>0</v>
      </c>
      <c r="D824">
        <f>COUNTIF('Metrics - Articles'!E746,"*Youth*")</f>
        <v>0</v>
      </c>
      <c r="E824">
        <f>COUNTIF('Metrics - Articles'!E746,"*Healthcare*")</f>
        <v>0</v>
      </c>
      <c r="F824">
        <f>COUNTIF('Metrics - Articles'!E746,"*Innovation")</f>
        <v>0</v>
      </c>
      <c r="G824">
        <f>COUNTIF('Metrics - Articles'!E746,"*Corporate*")</f>
        <v>0</v>
      </c>
      <c r="I824" s="53">
        <f t="shared" si="13"/>
        <v>0</v>
      </c>
    </row>
    <row r="825" spans="2:9" hidden="1" x14ac:dyDescent="0.25">
      <c r="B825" s="48">
        <f>+'Metrics - Articles'!C822</f>
        <v>0</v>
      </c>
      <c r="C825">
        <f>COUNTIF('Metrics - Articles'!E747,"*Sports*")</f>
        <v>0</v>
      </c>
      <c r="D825">
        <f>COUNTIF('Metrics - Articles'!E747,"*Youth*")</f>
        <v>0</v>
      </c>
      <c r="E825">
        <f>COUNTIF('Metrics - Articles'!E747,"*Healthcare*")</f>
        <v>0</v>
      </c>
      <c r="F825">
        <f>COUNTIF('Metrics - Articles'!E747,"*Innovation")</f>
        <v>0</v>
      </c>
      <c r="G825">
        <f>COUNTIF('Metrics - Articles'!E747,"*Corporate*")</f>
        <v>0</v>
      </c>
      <c r="I825" s="53">
        <f t="shared" si="13"/>
        <v>0</v>
      </c>
    </row>
    <row r="826" spans="2:9" hidden="1" x14ac:dyDescent="0.25">
      <c r="B826" s="48">
        <f>+'Metrics - Articles'!C823</f>
        <v>0</v>
      </c>
      <c r="C826">
        <f>COUNTIF('Metrics - Articles'!E748,"*Sports*")</f>
        <v>0</v>
      </c>
      <c r="D826">
        <f>COUNTIF('Metrics - Articles'!E748,"*Youth*")</f>
        <v>0</v>
      </c>
      <c r="E826">
        <f>COUNTIF('Metrics - Articles'!E748,"*Healthcare*")</f>
        <v>0</v>
      </c>
      <c r="F826">
        <f>COUNTIF('Metrics - Articles'!E748,"*Innovation")</f>
        <v>0</v>
      </c>
      <c r="G826">
        <f>COUNTIF('Metrics - Articles'!E748,"*Corporate*")</f>
        <v>0</v>
      </c>
      <c r="I826" s="53">
        <f t="shared" si="13"/>
        <v>0</v>
      </c>
    </row>
    <row r="827" spans="2:9" hidden="1" x14ac:dyDescent="0.25">
      <c r="B827" s="48">
        <f>+'Metrics - Articles'!C824</f>
        <v>0</v>
      </c>
      <c r="C827">
        <f>COUNTIF('Metrics - Articles'!E749,"*Sports*")</f>
        <v>0</v>
      </c>
      <c r="D827">
        <f>COUNTIF('Metrics - Articles'!E749,"*Youth*")</f>
        <v>0</v>
      </c>
      <c r="E827">
        <f>COUNTIF('Metrics - Articles'!E749,"*Healthcare*")</f>
        <v>0</v>
      </c>
      <c r="F827">
        <f>COUNTIF('Metrics - Articles'!E749,"*Innovation")</f>
        <v>0</v>
      </c>
      <c r="G827">
        <f>COUNTIF('Metrics - Articles'!E749,"*Corporate*")</f>
        <v>0</v>
      </c>
      <c r="I827" s="53">
        <f t="shared" si="13"/>
        <v>0</v>
      </c>
    </row>
    <row r="828" spans="2:9" hidden="1" x14ac:dyDescent="0.25">
      <c r="B828" s="48">
        <f>+'Metrics - Articles'!C825</f>
        <v>0</v>
      </c>
      <c r="C828">
        <f>COUNTIF('Metrics - Articles'!E750,"*Sports*")</f>
        <v>0</v>
      </c>
      <c r="D828">
        <f>COUNTIF('Metrics - Articles'!E750,"*Youth*")</f>
        <v>0</v>
      </c>
      <c r="E828">
        <f>COUNTIF('Metrics - Articles'!E750,"*Healthcare*")</f>
        <v>0</v>
      </c>
      <c r="F828">
        <f>COUNTIF('Metrics - Articles'!E750,"*Innovation")</f>
        <v>0</v>
      </c>
      <c r="G828">
        <f>COUNTIF('Metrics - Articles'!E750,"*Corporate*")</f>
        <v>0</v>
      </c>
      <c r="I828" s="53">
        <f t="shared" si="13"/>
        <v>0</v>
      </c>
    </row>
    <row r="829" spans="2:9" hidden="1" x14ac:dyDescent="0.25">
      <c r="B829" s="48">
        <f>+'Metrics - Articles'!C826</f>
        <v>0</v>
      </c>
      <c r="C829">
        <f>COUNTIF('Metrics - Articles'!E751,"*Sports*")</f>
        <v>0</v>
      </c>
      <c r="D829">
        <f>COUNTIF('Metrics - Articles'!E751,"*Youth*")</f>
        <v>0</v>
      </c>
      <c r="E829">
        <f>COUNTIF('Metrics - Articles'!E751,"*Healthcare*")</f>
        <v>0</v>
      </c>
      <c r="F829">
        <f>COUNTIF('Metrics - Articles'!E751,"*Innovation")</f>
        <v>0</v>
      </c>
      <c r="G829">
        <f>COUNTIF('Metrics - Articles'!E751,"*Corporate*")</f>
        <v>0</v>
      </c>
      <c r="I829" s="53">
        <f t="shared" si="13"/>
        <v>0</v>
      </c>
    </row>
    <row r="830" spans="2:9" hidden="1" x14ac:dyDescent="0.25">
      <c r="B830" s="48">
        <f>+'Metrics - Articles'!C827</f>
        <v>0</v>
      </c>
      <c r="C830">
        <f>COUNTIF('Metrics - Articles'!E752,"*Sports*")</f>
        <v>0</v>
      </c>
      <c r="D830">
        <f>COUNTIF('Metrics - Articles'!E752,"*Youth*")</f>
        <v>0</v>
      </c>
      <c r="E830">
        <f>COUNTIF('Metrics - Articles'!E752,"*Healthcare*")</f>
        <v>0</v>
      </c>
      <c r="F830">
        <f>COUNTIF('Metrics - Articles'!E752,"*Innovation")</f>
        <v>0</v>
      </c>
      <c r="G830">
        <f>COUNTIF('Metrics - Articles'!E752,"*Corporate*")</f>
        <v>0</v>
      </c>
      <c r="I830" s="53">
        <f t="shared" si="13"/>
        <v>0</v>
      </c>
    </row>
    <row r="831" spans="2:9" hidden="1" x14ac:dyDescent="0.25">
      <c r="B831" s="48">
        <f>+'Metrics - Articles'!C828</f>
        <v>0</v>
      </c>
      <c r="C831">
        <f>COUNTIF('Metrics - Articles'!E753,"*Sports*")</f>
        <v>0</v>
      </c>
      <c r="D831">
        <f>COUNTIF('Metrics - Articles'!E753,"*Youth*")</f>
        <v>0</v>
      </c>
      <c r="E831">
        <f>COUNTIF('Metrics - Articles'!E753,"*Healthcare*")</f>
        <v>0</v>
      </c>
      <c r="F831">
        <f>COUNTIF('Metrics - Articles'!E753,"*Innovation")</f>
        <v>0</v>
      </c>
      <c r="G831">
        <f>COUNTIF('Metrics - Articles'!E753,"*Corporate*")</f>
        <v>0</v>
      </c>
      <c r="I831" s="53">
        <f t="shared" si="13"/>
        <v>0</v>
      </c>
    </row>
    <row r="832" spans="2:9" hidden="1" x14ac:dyDescent="0.25">
      <c r="B832" s="48">
        <f>+'Metrics - Articles'!C829</f>
        <v>0</v>
      </c>
      <c r="C832">
        <f>COUNTIF('Metrics - Articles'!E754,"*Sports*")</f>
        <v>0</v>
      </c>
      <c r="D832">
        <f>COUNTIF('Metrics - Articles'!E754,"*Youth*")</f>
        <v>0</v>
      </c>
      <c r="E832">
        <f>COUNTIF('Metrics - Articles'!E754,"*Healthcare*")</f>
        <v>0</v>
      </c>
      <c r="F832">
        <f>COUNTIF('Metrics - Articles'!E754,"*Innovation")</f>
        <v>0</v>
      </c>
      <c r="G832">
        <f>COUNTIF('Metrics - Articles'!E754,"*Corporate*")</f>
        <v>0</v>
      </c>
      <c r="I832" s="53">
        <f t="shared" si="13"/>
        <v>0</v>
      </c>
    </row>
    <row r="833" spans="2:9" hidden="1" x14ac:dyDescent="0.25">
      <c r="B833" s="48">
        <f>+'Metrics - Articles'!C830</f>
        <v>0</v>
      </c>
      <c r="C833">
        <f>COUNTIF('Metrics - Articles'!E755,"*Sports*")</f>
        <v>0</v>
      </c>
      <c r="D833">
        <f>COUNTIF('Metrics - Articles'!E755,"*Youth*")</f>
        <v>0</v>
      </c>
      <c r="E833">
        <f>COUNTIF('Metrics - Articles'!E755,"*Healthcare*")</f>
        <v>0</v>
      </c>
      <c r="F833">
        <f>COUNTIF('Metrics - Articles'!E755,"*Innovation")</f>
        <v>0</v>
      </c>
      <c r="G833">
        <f>COUNTIF('Metrics - Articles'!E755,"*Corporate*")</f>
        <v>0</v>
      </c>
      <c r="I833" s="53">
        <f t="shared" si="13"/>
        <v>0</v>
      </c>
    </row>
    <row r="834" spans="2:9" hidden="1" x14ac:dyDescent="0.25">
      <c r="B834" s="48">
        <f>+'Metrics - Articles'!C831</f>
        <v>0</v>
      </c>
      <c r="C834">
        <f>COUNTIF('Metrics - Articles'!E756,"*Sports*")</f>
        <v>0</v>
      </c>
      <c r="D834">
        <f>COUNTIF('Metrics - Articles'!E756,"*Youth*")</f>
        <v>0</v>
      </c>
      <c r="E834">
        <f>COUNTIF('Metrics - Articles'!E756,"*Healthcare*")</f>
        <v>0</v>
      </c>
      <c r="F834">
        <f>COUNTIF('Metrics - Articles'!E756,"*Innovation")</f>
        <v>0</v>
      </c>
      <c r="G834">
        <f>COUNTIF('Metrics - Articles'!E756,"*Corporate*")</f>
        <v>0</v>
      </c>
      <c r="I834" s="53">
        <f t="shared" si="13"/>
        <v>0</v>
      </c>
    </row>
    <row r="835" spans="2:9" hidden="1" x14ac:dyDescent="0.25">
      <c r="B835" s="48">
        <f>+'Metrics - Articles'!C832</f>
        <v>0</v>
      </c>
      <c r="C835">
        <f>COUNTIF('Metrics - Articles'!E757,"*Sports*")</f>
        <v>0</v>
      </c>
      <c r="D835">
        <f>COUNTIF('Metrics - Articles'!E757,"*Youth*")</f>
        <v>0</v>
      </c>
      <c r="E835">
        <f>COUNTIF('Metrics - Articles'!E757,"*Healthcare*")</f>
        <v>0</v>
      </c>
      <c r="F835">
        <f>COUNTIF('Metrics - Articles'!E757,"*Innovation")</f>
        <v>0</v>
      </c>
      <c r="G835">
        <f>COUNTIF('Metrics - Articles'!E757,"*Corporate*")</f>
        <v>0</v>
      </c>
      <c r="I835" s="53">
        <f t="shared" si="13"/>
        <v>0</v>
      </c>
    </row>
    <row r="836" spans="2:9" hidden="1" x14ac:dyDescent="0.25">
      <c r="B836" s="48">
        <f>+'Metrics - Articles'!C833</f>
        <v>0</v>
      </c>
      <c r="C836">
        <f>COUNTIF('Metrics - Articles'!E758,"*Sports*")</f>
        <v>0</v>
      </c>
      <c r="D836">
        <f>COUNTIF('Metrics - Articles'!E758,"*Youth*")</f>
        <v>0</v>
      </c>
      <c r="E836">
        <f>COUNTIF('Metrics - Articles'!E758,"*Healthcare*")</f>
        <v>0</v>
      </c>
      <c r="F836">
        <f>COUNTIF('Metrics - Articles'!E758,"*Innovation")</f>
        <v>0</v>
      </c>
      <c r="G836">
        <f>COUNTIF('Metrics - Articles'!E758,"*Corporate*")</f>
        <v>0</v>
      </c>
      <c r="I836" s="53">
        <f t="shared" si="13"/>
        <v>0</v>
      </c>
    </row>
    <row r="837" spans="2:9" hidden="1" x14ac:dyDescent="0.25">
      <c r="B837" s="48">
        <f>+'Metrics - Articles'!C834</f>
        <v>0</v>
      </c>
      <c r="C837">
        <f>COUNTIF('Metrics - Articles'!E759,"*Sports*")</f>
        <v>0</v>
      </c>
      <c r="D837">
        <f>COUNTIF('Metrics - Articles'!E759,"*Youth*")</f>
        <v>0</v>
      </c>
      <c r="E837">
        <f>COUNTIF('Metrics - Articles'!E759,"*Healthcare*")</f>
        <v>0</v>
      </c>
      <c r="F837">
        <f>COUNTIF('Metrics - Articles'!E759,"*Innovation")</f>
        <v>0</v>
      </c>
      <c r="G837">
        <f>COUNTIF('Metrics - Articles'!E759,"*Corporate*")</f>
        <v>0</v>
      </c>
      <c r="I837" s="53">
        <f t="shared" si="13"/>
        <v>0</v>
      </c>
    </row>
    <row r="838" spans="2:9" hidden="1" x14ac:dyDescent="0.25">
      <c r="B838" s="48">
        <f>+'Metrics - Articles'!C835</f>
        <v>0</v>
      </c>
      <c r="C838">
        <f>COUNTIF('Metrics - Articles'!E760,"*Sports*")</f>
        <v>0</v>
      </c>
      <c r="D838">
        <f>COUNTIF('Metrics - Articles'!E760,"*Youth*")</f>
        <v>0</v>
      </c>
      <c r="E838">
        <f>COUNTIF('Metrics - Articles'!E760,"*Healthcare*")</f>
        <v>0</v>
      </c>
      <c r="F838">
        <f>COUNTIF('Metrics - Articles'!E760,"*Innovation")</f>
        <v>0</v>
      </c>
      <c r="G838">
        <f>COUNTIF('Metrics - Articles'!E760,"*Corporate*")</f>
        <v>0</v>
      </c>
      <c r="I838" s="53">
        <f t="shared" si="13"/>
        <v>0</v>
      </c>
    </row>
    <row r="839" spans="2:9" hidden="1" x14ac:dyDescent="0.25">
      <c r="B839" s="48">
        <f>+'Metrics - Articles'!C836</f>
        <v>0</v>
      </c>
      <c r="C839">
        <f>COUNTIF('Metrics - Articles'!E761,"*Sports*")</f>
        <v>0</v>
      </c>
      <c r="D839">
        <f>COUNTIF('Metrics - Articles'!E761,"*Youth*")</f>
        <v>0</v>
      </c>
      <c r="E839">
        <f>COUNTIF('Metrics - Articles'!E761,"*Healthcare*")</f>
        <v>0</v>
      </c>
      <c r="F839">
        <f>COUNTIF('Metrics - Articles'!E761,"*Innovation")</f>
        <v>0</v>
      </c>
      <c r="G839">
        <f>COUNTIF('Metrics - Articles'!E761,"*Corporate*")</f>
        <v>0</v>
      </c>
      <c r="I839" s="53">
        <f t="shared" si="13"/>
        <v>0</v>
      </c>
    </row>
    <row r="840" spans="2:9" hidden="1" x14ac:dyDescent="0.25">
      <c r="B840" s="48">
        <f>+'Metrics - Articles'!C837</f>
        <v>0</v>
      </c>
      <c r="C840">
        <f>COUNTIF('Metrics - Articles'!E762,"*Sports*")</f>
        <v>0</v>
      </c>
      <c r="D840">
        <f>COUNTIF('Metrics - Articles'!E762,"*Youth*")</f>
        <v>0</v>
      </c>
      <c r="E840">
        <f>COUNTIF('Metrics - Articles'!E762,"*Healthcare*")</f>
        <v>0</v>
      </c>
      <c r="F840">
        <f>COUNTIF('Metrics - Articles'!E762,"*Innovation")</f>
        <v>0</v>
      </c>
      <c r="G840">
        <f>COUNTIF('Metrics - Articles'!E762,"*Corporate*")</f>
        <v>0</v>
      </c>
      <c r="I840" s="53">
        <f t="shared" ref="I840:I903" si="14">SUM(C840:H840)</f>
        <v>0</v>
      </c>
    </row>
    <row r="841" spans="2:9" hidden="1" x14ac:dyDescent="0.25">
      <c r="B841" s="48">
        <f>+'Metrics - Articles'!C838</f>
        <v>0</v>
      </c>
      <c r="C841">
        <f>COUNTIF('Metrics - Articles'!E763,"*Sports*")</f>
        <v>0</v>
      </c>
      <c r="D841">
        <f>COUNTIF('Metrics - Articles'!E763,"*Youth*")</f>
        <v>0</v>
      </c>
      <c r="E841">
        <f>COUNTIF('Metrics - Articles'!E763,"*Healthcare*")</f>
        <v>0</v>
      </c>
      <c r="F841">
        <f>COUNTIF('Metrics - Articles'!E763,"*Innovation")</f>
        <v>0</v>
      </c>
      <c r="G841">
        <f>COUNTIF('Metrics - Articles'!E763,"*Corporate*")</f>
        <v>0</v>
      </c>
      <c r="I841" s="53">
        <f t="shared" si="14"/>
        <v>0</v>
      </c>
    </row>
    <row r="842" spans="2:9" hidden="1" x14ac:dyDescent="0.25">
      <c r="B842" s="48">
        <f>+'Metrics - Articles'!C839</f>
        <v>0</v>
      </c>
      <c r="C842">
        <f>COUNTIF('Metrics - Articles'!E764,"*Sports*")</f>
        <v>0</v>
      </c>
      <c r="D842">
        <f>COUNTIF('Metrics - Articles'!E764,"*Youth*")</f>
        <v>0</v>
      </c>
      <c r="E842">
        <f>COUNTIF('Metrics - Articles'!E764,"*Healthcare*")</f>
        <v>0</v>
      </c>
      <c r="F842">
        <f>COUNTIF('Metrics - Articles'!E764,"*Innovation")</f>
        <v>0</v>
      </c>
      <c r="G842">
        <f>COUNTIF('Metrics - Articles'!E764,"*Corporate*")</f>
        <v>0</v>
      </c>
      <c r="I842" s="53">
        <f t="shared" si="14"/>
        <v>0</v>
      </c>
    </row>
    <row r="843" spans="2:9" hidden="1" x14ac:dyDescent="0.25">
      <c r="B843" s="48">
        <f>+'Metrics - Articles'!C840</f>
        <v>0</v>
      </c>
      <c r="C843">
        <f>COUNTIF('Metrics - Articles'!E765,"*Sports*")</f>
        <v>0</v>
      </c>
      <c r="D843">
        <f>COUNTIF('Metrics - Articles'!E765,"*Youth*")</f>
        <v>0</v>
      </c>
      <c r="E843">
        <f>COUNTIF('Metrics - Articles'!E765,"*Healthcare*")</f>
        <v>0</v>
      </c>
      <c r="F843">
        <f>COUNTIF('Metrics - Articles'!E765,"*Innovation")</f>
        <v>0</v>
      </c>
      <c r="G843">
        <f>COUNTIF('Metrics - Articles'!E765,"*Corporate*")</f>
        <v>0</v>
      </c>
      <c r="I843" s="53">
        <f t="shared" si="14"/>
        <v>0</v>
      </c>
    </row>
    <row r="844" spans="2:9" hidden="1" x14ac:dyDescent="0.25">
      <c r="B844" s="48">
        <f>+'Metrics - Articles'!C841</f>
        <v>0</v>
      </c>
      <c r="C844">
        <f>COUNTIF('Metrics - Articles'!E766,"*Sports*")</f>
        <v>0</v>
      </c>
      <c r="D844">
        <f>COUNTIF('Metrics - Articles'!E766,"*Youth*")</f>
        <v>0</v>
      </c>
      <c r="E844">
        <f>COUNTIF('Metrics - Articles'!E766,"*Healthcare*")</f>
        <v>0</v>
      </c>
      <c r="F844">
        <f>COUNTIF('Metrics - Articles'!E766,"*Innovation")</f>
        <v>0</v>
      </c>
      <c r="G844">
        <f>COUNTIF('Metrics - Articles'!E766,"*Corporate*")</f>
        <v>0</v>
      </c>
      <c r="I844" s="53">
        <f t="shared" si="14"/>
        <v>0</v>
      </c>
    </row>
    <row r="845" spans="2:9" hidden="1" x14ac:dyDescent="0.25">
      <c r="B845" s="48">
        <f>+'Metrics - Articles'!C842</f>
        <v>0</v>
      </c>
      <c r="C845">
        <f>COUNTIF('Metrics - Articles'!E767,"*Sports*")</f>
        <v>0</v>
      </c>
      <c r="D845">
        <f>COUNTIF('Metrics - Articles'!E767,"*Youth*")</f>
        <v>0</v>
      </c>
      <c r="E845">
        <f>COUNTIF('Metrics - Articles'!E767,"*Healthcare*")</f>
        <v>0</v>
      </c>
      <c r="F845">
        <f>COUNTIF('Metrics - Articles'!E767,"*Innovation")</f>
        <v>0</v>
      </c>
      <c r="G845">
        <f>COUNTIF('Metrics - Articles'!E767,"*Corporate*")</f>
        <v>0</v>
      </c>
      <c r="I845" s="53">
        <f t="shared" si="14"/>
        <v>0</v>
      </c>
    </row>
    <row r="846" spans="2:9" hidden="1" x14ac:dyDescent="0.25">
      <c r="B846" s="48">
        <f>+'Metrics - Articles'!C843</f>
        <v>0</v>
      </c>
      <c r="C846">
        <f>COUNTIF('Metrics - Articles'!E768,"*Sports*")</f>
        <v>0</v>
      </c>
      <c r="D846">
        <f>COUNTIF('Metrics - Articles'!E768,"*Youth*")</f>
        <v>0</v>
      </c>
      <c r="E846">
        <f>COUNTIF('Metrics - Articles'!E768,"*Healthcare*")</f>
        <v>0</v>
      </c>
      <c r="F846">
        <f>COUNTIF('Metrics - Articles'!E768,"*Innovation")</f>
        <v>0</v>
      </c>
      <c r="G846">
        <f>COUNTIF('Metrics - Articles'!E768,"*Corporate*")</f>
        <v>0</v>
      </c>
      <c r="I846" s="53">
        <f t="shared" si="14"/>
        <v>0</v>
      </c>
    </row>
    <row r="847" spans="2:9" hidden="1" x14ac:dyDescent="0.25">
      <c r="B847" s="48">
        <f>+'Metrics - Articles'!C844</f>
        <v>0</v>
      </c>
      <c r="C847">
        <f>COUNTIF('Metrics - Articles'!E769,"*Sports*")</f>
        <v>0</v>
      </c>
      <c r="D847">
        <f>COUNTIF('Metrics - Articles'!E769,"*Youth*")</f>
        <v>0</v>
      </c>
      <c r="E847">
        <f>COUNTIF('Metrics - Articles'!E769,"*Healthcare*")</f>
        <v>0</v>
      </c>
      <c r="F847">
        <f>COUNTIF('Metrics - Articles'!E769,"*Innovation")</f>
        <v>0</v>
      </c>
      <c r="G847">
        <f>COUNTIF('Metrics - Articles'!E769,"*Corporate*")</f>
        <v>0</v>
      </c>
      <c r="I847" s="53">
        <f t="shared" si="14"/>
        <v>0</v>
      </c>
    </row>
    <row r="848" spans="2:9" hidden="1" x14ac:dyDescent="0.25">
      <c r="B848" s="48">
        <f>+'Metrics - Articles'!C845</f>
        <v>0</v>
      </c>
      <c r="C848">
        <f>COUNTIF('Metrics - Articles'!E770,"*Sports*")</f>
        <v>0</v>
      </c>
      <c r="D848">
        <f>COUNTIF('Metrics - Articles'!E770,"*Youth*")</f>
        <v>0</v>
      </c>
      <c r="E848">
        <f>COUNTIF('Metrics - Articles'!E770,"*Healthcare*")</f>
        <v>0</v>
      </c>
      <c r="F848">
        <f>COUNTIF('Metrics - Articles'!E770,"*Innovation")</f>
        <v>0</v>
      </c>
      <c r="G848">
        <f>COUNTIF('Metrics - Articles'!E770,"*Corporate*")</f>
        <v>0</v>
      </c>
      <c r="I848" s="53">
        <f t="shared" si="14"/>
        <v>0</v>
      </c>
    </row>
    <row r="849" spans="2:9" hidden="1" x14ac:dyDescent="0.25">
      <c r="B849" s="48">
        <f>+'Metrics - Articles'!C846</f>
        <v>0</v>
      </c>
      <c r="C849">
        <f>COUNTIF('Metrics - Articles'!E771,"*Sports*")</f>
        <v>0</v>
      </c>
      <c r="D849">
        <f>COUNTIF('Metrics - Articles'!E771,"*Youth*")</f>
        <v>0</v>
      </c>
      <c r="E849">
        <f>COUNTIF('Metrics - Articles'!E771,"*Healthcare*")</f>
        <v>0</v>
      </c>
      <c r="F849">
        <f>COUNTIF('Metrics - Articles'!E771,"*Innovation")</f>
        <v>0</v>
      </c>
      <c r="G849">
        <f>COUNTIF('Metrics - Articles'!E771,"*Corporate*")</f>
        <v>0</v>
      </c>
      <c r="I849" s="53">
        <f t="shared" si="14"/>
        <v>0</v>
      </c>
    </row>
    <row r="850" spans="2:9" hidden="1" x14ac:dyDescent="0.25">
      <c r="B850" s="48">
        <f>+'Metrics - Articles'!C847</f>
        <v>0</v>
      </c>
      <c r="C850">
        <f>COUNTIF('Metrics - Articles'!E772,"*Sports*")</f>
        <v>0</v>
      </c>
      <c r="D850">
        <f>COUNTIF('Metrics - Articles'!E772,"*Youth*")</f>
        <v>0</v>
      </c>
      <c r="E850">
        <f>COUNTIF('Metrics - Articles'!E772,"*Healthcare*")</f>
        <v>0</v>
      </c>
      <c r="F850">
        <f>COUNTIF('Metrics - Articles'!E772,"*Innovation")</f>
        <v>0</v>
      </c>
      <c r="G850">
        <f>COUNTIF('Metrics - Articles'!E772,"*Corporate*")</f>
        <v>0</v>
      </c>
      <c r="I850" s="53">
        <f t="shared" si="14"/>
        <v>0</v>
      </c>
    </row>
    <row r="851" spans="2:9" hidden="1" x14ac:dyDescent="0.25">
      <c r="B851" s="48">
        <f>+'Metrics - Articles'!C848</f>
        <v>0</v>
      </c>
      <c r="C851">
        <f>COUNTIF('Metrics - Articles'!E773,"*Sports*")</f>
        <v>0</v>
      </c>
      <c r="D851">
        <f>COUNTIF('Metrics - Articles'!E773,"*Youth*")</f>
        <v>0</v>
      </c>
      <c r="E851">
        <f>COUNTIF('Metrics - Articles'!E773,"*Healthcare*")</f>
        <v>0</v>
      </c>
      <c r="F851">
        <f>COUNTIF('Metrics - Articles'!E773,"*Innovation")</f>
        <v>0</v>
      </c>
      <c r="G851">
        <f>COUNTIF('Metrics - Articles'!E773,"*Corporate*")</f>
        <v>0</v>
      </c>
      <c r="I851" s="53">
        <f t="shared" si="14"/>
        <v>0</v>
      </c>
    </row>
    <row r="852" spans="2:9" hidden="1" x14ac:dyDescent="0.25">
      <c r="B852" s="48">
        <f>+'Metrics - Articles'!C849</f>
        <v>0</v>
      </c>
      <c r="C852">
        <f>COUNTIF('Metrics - Articles'!E774,"*Sports*")</f>
        <v>0</v>
      </c>
      <c r="D852">
        <f>COUNTIF('Metrics - Articles'!E774,"*Youth*")</f>
        <v>0</v>
      </c>
      <c r="E852">
        <f>COUNTIF('Metrics - Articles'!E774,"*Healthcare*")</f>
        <v>0</v>
      </c>
      <c r="F852">
        <f>COUNTIF('Metrics - Articles'!E774,"*Innovation")</f>
        <v>0</v>
      </c>
      <c r="G852">
        <f>COUNTIF('Metrics - Articles'!E774,"*Corporate*")</f>
        <v>0</v>
      </c>
      <c r="I852" s="53">
        <f t="shared" si="14"/>
        <v>0</v>
      </c>
    </row>
    <row r="853" spans="2:9" hidden="1" x14ac:dyDescent="0.25">
      <c r="B853" s="48">
        <f>+'Metrics - Articles'!C850</f>
        <v>0</v>
      </c>
      <c r="C853">
        <f>COUNTIF('Metrics - Articles'!E775,"*Sports*")</f>
        <v>0</v>
      </c>
      <c r="D853">
        <f>COUNTIF('Metrics - Articles'!E775,"*Youth*")</f>
        <v>0</v>
      </c>
      <c r="E853">
        <f>COUNTIF('Metrics - Articles'!E775,"*Healthcare*")</f>
        <v>0</v>
      </c>
      <c r="F853">
        <f>COUNTIF('Metrics - Articles'!E775,"*Innovation")</f>
        <v>0</v>
      </c>
      <c r="G853">
        <f>COUNTIF('Metrics - Articles'!E775,"*Corporate*")</f>
        <v>0</v>
      </c>
      <c r="I853" s="53">
        <f t="shared" si="14"/>
        <v>0</v>
      </c>
    </row>
    <row r="854" spans="2:9" hidden="1" x14ac:dyDescent="0.25">
      <c r="B854" s="48">
        <f>+'Metrics - Articles'!C851</f>
        <v>0</v>
      </c>
      <c r="C854">
        <f>COUNTIF('Metrics - Articles'!E776,"*Sports*")</f>
        <v>0</v>
      </c>
      <c r="D854">
        <f>COUNTIF('Metrics - Articles'!E776,"*Youth*")</f>
        <v>0</v>
      </c>
      <c r="E854">
        <f>COUNTIF('Metrics - Articles'!E776,"*Healthcare*")</f>
        <v>0</v>
      </c>
      <c r="F854">
        <f>COUNTIF('Metrics - Articles'!E776,"*Innovation")</f>
        <v>0</v>
      </c>
      <c r="G854">
        <f>COUNTIF('Metrics - Articles'!E776,"*Corporate*")</f>
        <v>0</v>
      </c>
      <c r="I854" s="53">
        <f t="shared" si="14"/>
        <v>0</v>
      </c>
    </row>
    <row r="855" spans="2:9" hidden="1" x14ac:dyDescent="0.25">
      <c r="B855" s="48">
        <f>+'Metrics - Articles'!C852</f>
        <v>0</v>
      </c>
      <c r="C855">
        <f>COUNTIF('Metrics - Articles'!E777,"*Sports*")</f>
        <v>0</v>
      </c>
      <c r="D855">
        <f>COUNTIF('Metrics - Articles'!E777,"*Youth*")</f>
        <v>0</v>
      </c>
      <c r="E855">
        <f>COUNTIF('Metrics - Articles'!E777,"*Healthcare*")</f>
        <v>0</v>
      </c>
      <c r="F855">
        <f>COUNTIF('Metrics - Articles'!E777,"*Innovation")</f>
        <v>0</v>
      </c>
      <c r="G855">
        <f>COUNTIF('Metrics - Articles'!E777,"*Corporate*")</f>
        <v>0</v>
      </c>
      <c r="I855" s="53">
        <f t="shared" si="14"/>
        <v>0</v>
      </c>
    </row>
    <row r="856" spans="2:9" hidden="1" x14ac:dyDescent="0.25">
      <c r="B856" s="48">
        <f>+'Metrics - Articles'!C853</f>
        <v>0</v>
      </c>
      <c r="C856">
        <f>COUNTIF('Metrics - Articles'!E778,"*Sports*")</f>
        <v>0</v>
      </c>
      <c r="D856">
        <f>COUNTIF('Metrics - Articles'!E778,"*Youth*")</f>
        <v>0</v>
      </c>
      <c r="E856">
        <f>COUNTIF('Metrics - Articles'!E778,"*Healthcare*")</f>
        <v>0</v>
      </c>
      <c r="F856">
        <f>COUNTIF('Metrics - Articles'!E778,"*Innovation")</f>
        <v>0</v>
      </c>
      <c r="G856">
        <f>COUNTIF('Metrics - Articles'!E778,"*Corporate*")</f>
        <v>0</v>
      </c>
      <c r="I856" s="53">
        <f t="shared" si="14"/>
        <v>0</v>
      </c>
    </row>
    <row r="857" spans="2:9" hidden="1" x14ac:dyDescent="0.25">
      <c r="B857" s="48">
        <f>+'Metrics - Articles'!C854</f>
        <v>0</v>
      </c>
      <c r="C857">
        <f>COUNTIF('Metrics - Articles'!E779,"*Sports*")</f>
        <v>0</v>
      </c>
      <c r="D857">
        <f>COUNTIF('Metrics - Articles'!E779,"*Youth*")</f>
        <v>0</v>
      </c>
      <c r="E857">
        <f>COUNTIF('Metrics - Articles'!E779,"*Healthcare*")</f>
        <v>0</v>
      </c>
      <c r="F857">
        <f>COUNTIF('Metrics - Articles'!E779,"*Innovation")</f>
        <v>0</v>
      </c>
      <c r="G857">
        <f>COUNTIF('Metrics - Articles'!E779,"*Corporate*")</f>
        <v>0</v>
      </c>
      <c r="I857" s="53">
        <f t="shared" si="14"/>
        <v>0</v>
      </c>
    </row>
    <row r="858" spans="2:9" hidden="1" x14ac:dyDescent="0.25">
      <c r="B858" s="48">
        <f>+'Metrics - Articles'!C855</f>
        <v>0</v>
      </c>
      <c r="C858">
        <f>COUNTIF('Metrics - Articles'!E780,"*Sports*")</f>
        <v>0</v>
      </c>
      <c r="D858">
        <f>COUNTIF('Metrics - Articles'!E780,"*Youth*")</f>
        <v>0</v>
      </c>
      <c r="E858">
        <f>COUNTIF('Metrics - Articles'!E780,"*Healthcare*")</f>
        <v>0</v>
      </c>
      <c r="F858">
        <f>COUNTIF('Metrics - Articles'!E780,"*Innovation")</f>
        <v>0</v>
      </c>
      <c r="G858">
        <f>COUNTIF('Metrics - Articles'!E780,"*Corporate*")</f>
        <v>0</v>
      </c>
      <c r="I858" s="53">
        <f t="shared" si="14"/>
        <v>0</v>
      </c>
    </row>
    <row r="859" spans="2:9" hidden="1" x14ac:dyDescent="0.25">
      <c r="B859" s="48">
        <f>+'Metrics - Articles'!C856</f>
        <v>0</v>
      </c>
      <c r="C859">
        <f>COUNTIF('Metrics - Articles'!E781,"*Sports*")</f>
        <v>0</v>
      </c>
      <c r="D859">
        <f>COUNTIF('Metrics - Articles'!E781,"*Youth*")</f>
        <v>0</v>
      </c>
      <c r="E859">
        <f>COUNTIF('Metrics - Articles'!E781,"*Healthcare*")</f>
        <v>0</v>
      </c>
      <c r="F859">
        <f>COUNTIF('Metrics - Articles'!E781,"*Innovation")</f>
        <v>0</v>
      </c>
      <c r="G859">
        <f>COUNTIF('Metrics - Articles'!E781,"*Corporate*")</f>
        <v>0</v>
      </c>
      <c r="I859" s="53">
        <f t="shared" si="14"/>
        <v>0</v>
      </c>
    </row>
    <row r="860" spans="2:9" hidden="1" x14ac:dyDescent="0.25">
      <c r="B860" s="48">
        <f>+'Metrics - Articles'!C857</f>
        <v>0</v>
      </c>
      <c r="C860">
        <f>COUNTIF('Metrics - Articles'!E782,"*Sports*")</f>
        <v>0</v>
      </c>
      <c r="D860">
        <f>COUNTIF('Metrics - Articles'!E782,"*Youth*")</f>
        <v>0</v>
      </c>
      <c r="E860">
        <f>COUNTIF('Metrics - Articles'!E782,"*Healthcare*")</f>
        <v>0</v>
      </c>
      <c r="F860">
        <f>COUNTIF('Metrics - Articles'!E782,"*Innovation")</f>
        <v>0</v>
      </c>
      <c r="G860">
        <f>COUNTIF('Metrics - Articles'!E782,"*Corporate*")</f>
        <v>0</v>
      </c>
      <c r="I860" s="53">
        <f t="shared" si="14"/>
        <v>0</v>
      </c>
    </row>
    <row r="861" spans="2:9" hidden="1" x14ac:dyDescent="0.25">
      <c r="B861" s="48">
        <f>+'Metrics - Articles'!C858</f>
        <v>0</v>
      </c>
      <c r="C861">
        <f>COUNTIF('Metrics - Articles'!E783,"*Sports*")</f>
        <v>0</v>
      </c>
      <c r="D861">
        <f>COUNTIF('Metrics - Articles'!E783,"*Youth*")</f>
        <v>0</v>
      </c>
      <c r="E861">
        <f>COUNTIF('Metrics - Articles'!E783,"*Healthcare*")</f>
        <v>0</v>
      </c>
      <c r="F861">
        <f>COUNTIF('Metrics - Articles'!E783,"*Innovation")</f>
        <v>0</v>
      </c>
      <c r="G861">
        <f>COUNTIF('Metrics - Articles'!E783,"*Corporate*")</f>
        <v>0</v>
      </c>
      <c r="I861" s="53">
        <f t="shared" si="14"/>
        <v>0</v>
      </c>
    </row>
    <row r="862" spans="2:9" hidden="1" x14ac:dyDescent="0.25">
      <c r="B862" s="48">
        <f>+'Metrics - Articles'!C859</f>
        <v>0</v>
      </c>
      <c r="C862">
        <f>COUNTIF('Metrics - Articles'!E784,"*Sports*")</f>
        <v>0</v>
      </c>
      <c r="D862">
        <f>COUNTIF('Metrics - Articles'!E784,"*Youth*")</f>
        <v>0</v>
      </c>
      <c r="E862">
        <f>COUNTIF('Metrics - Articles'!E784,"*Healthcare*")</f>
        <v>0</v>
      </c>
      <c r="F862">
        <f>COUNTIF('Metrics - Articles'!E784,"*Innovation")</f>
        <v>0</v>
      </c>
      <c r="G862">
        <f>COUNTIF('Metrics - Articles'!E784,"*Corporate*")</f>
        <v>0</v>
      </c>
      <c r="I862" s="53">
        <f t="shared" si="14"/>
        <v>0</v>
      </c>
    </row>
    <row r="863" spans="2:9" hidden="1" x14ac:dyDescent="0.25">
      <c r="B863" s="48">
        <f>+'Metrics - Articles'!C860</f>
        <v>0</v>
      </c>
      <c r="C863">
        <f>COUNTIF('Metrics - Articles'!E785,"*Sports*")</f>
        <v>0</v>
      </c>
      <c r="D863">
        <f>COUNTIF('Metrics - Articles'!E785,"*Youth*")</f>
        <v>0</v>
      </c>
      <c r="E863">
        <f>COUNTIF('Metrics - Articles'!E785,"*Healthcare*")</f>
        <v>0</v>
      </c>
      <c r="F863">
        <f>COUNTIF('Metrics - Articles'!E785,"*Innovation")</f>
        <v>0</v>
      </c>
      <c r="G863">
        <f>COUNTIF('Metrics - Articles'!E785,"*Corporate*")</f>
        <v>0</v>
      </c>
      <c r="I863" s="53">
        <f t="shared" si="14"/>
        <v>0</v>
      </c>
    </row>
    <row r="864" spans="2:9" hidden="1" x14ac:dyDescent="0.25">
      <c r="B864" s="48">
        <f>+'Metrics - Articles'!C861</f>
        <v>0</v>
      </c>
      <c r="C864">
        <f>COUNTIF('Metrics - Articles'!E786,"*Sports*")</f>
        <v>0</v>
      </c>
      <c r="D864">
        <f>COUNTIF('Metrics - Articles'!E786,"*Youth*")</f>
        <v>0</v>
      </c>
      <c r="E864">
        <f>COUNTIF('Metrics - Articles'!E786,"*Healthcare*")</f>
        <v>0</v>
      </c>
      <c r="F864">
        <f>COUNTIF('Metrics - Articles'!E786,"*Innovation")</f>
        <v>0</v>
      </c>
      <c r="G864">
        <f>COUNTIF('Metrics - Articles'!E786,"*Corporate*")</f>
        <v>0</v>
      </c>
      <c r="I864" s="53">
        <f t="shared" si="14"/>
        <v>0</v>
      </c>
    </row>
    <row r="865" spans="2:9" hidden="1" x14ac:dyDescent="0.25">
      <c r="B865" s="48">
        <f>+'Metrics - Articles'!C862</f>
        <v>0</v>
      </c>
      <c r="C865">
        <f>COUNTIF('Metrics - Articles'!E787,"*Sports*")</f>
        <v>0</v>
      </c>
      <c r="D865">
        <f>COUNTIF('Metrics - Articles'!E787,"*Youth*")</f>
        <v>0</v>
      </c>
      <c r="E865">
        <f>COUNTIF('Metrics - Articles'!E787,"*Healthcare*")</f>
        <v>0</v>
      </c>
      <c r="F865">
        <f>COUNTIF('Metrics - Articles'!E787,"*Innovation")</f>
        <v>0</v>
      </c>
      <c r="G865">
        <f>COUNTIF('Metrics - Articles'!E787,"*Corporate*")</f>
        <v>0</v>
      </c>
      <c r="I865" s="53">
        <f t="shared" si="14"/>
        <v>0</v>
      </c>
    </row>
    <row r="866" spans="2:9" hidden="1" x14ac:dyDescent="0.25">
      <c r="B866" s="48">
        <f>+'Metrics - Articles'!C863</f>
        <v>0</v>
      </c>
      <c r="C866">
        <f>COUNTIF('Metrics - Articles'!E788,"*Sports*")</f>
        <v>0</v>
      </c>
      <c r="D866">
        <f>COUNTIF('Metrics - Articles'!E788,"*Youth*")</f>
        <v>0</v>
      </c>
      <c r="E866">
        <f>COUNTIF('Metrics - Articles'!E788,"*Healthcare*")</f>
        <v>0</v>
      </c>
      <c r="F866">
        <f>COUNTIF('Metrics - Articles'!E788,"*Innovation")</f>
        <v>0</v>
      </c>
      <c r="G866">
        <f>COUNTIF('Metrics - Articles'!E788,"*Corporate*")</f>
        <v>0</v>
      </c>
      <c r="I866" s="53">
        <f t="shared" si="14"/>
        <v>0</v>
      </c>
    </row>
    <row r="867" spans="2:9" hidden="1" x14ac:dyDescent="0.25">
      <c r="B867" s="48">
        <f>+'Metrics - Articles'!C864</f>
        <v>0</v>
      </c>
      <c r="C867">
        <f>COUNTIF('Metrics - Articles'!E789,"*Sports*")</f>
        <v>0</v>
      </c>
      <c r="D867">
        <f>COUNTIF('Metrics - Articles'!E789,"*Youth*")</f>
        <v>0</v>
      </c>
      <c r="E867">
        <f>COUNTIF('Metrics - Articles'!E789,"*Healthcare*")</f>
        <v>0</v>
      </c>
      <c r="F867">
        <f>COUNTIF('Metrics - Articles'!E789,"*Innovation")</f>
        <v>0</v>
      </c>
      <c r="G867">
        <f>COUNTIF('Metrics - Articles'!E789,"*Corporate*")</f>
        <v>0</v>
      </c>
      <c r="I867" s="53">
        <f t="shared" si="14"/>
        <v>0</v>
      </c>
    </row>
    <row r="868" spans="2:9" hidden="1" x14ac:dyDescent="0.25">
      <c r="B868" s="48">
        <f>+'Metrics - Articles'!C865</f>
        <v>0</v>
      </c>
      <c r="C868">
        <f>COUNTIF('Metrics - Articles'!E790,"*Sports*")</f>
        <v>0</v>
      </c>
      <c r="D868">
        <f>COUNTIF('Metrics - Articles'!E790,"*Youth*")</f>
        <v>0</v>
      </c>
      <c r="E868">
        <f>COUNTIF('Metrics - Articles'!E790,"*Healthcare*")</f>
        <v>0</v>
      </c>
      <c r="F868">
        <f>COUNTIF('Metrics - Articles'!E790,"*Innovation")</f>
        <v>0</v>
      </c>
      <c r="G868">
        <f>COUNTIF('Metrics - Articles'!E790,"*Corporate*")</f>
        <v>0</v>
      </c>
      <c r="I868" s="53">
        <f t="shared" si="14"/>
        <v>0</v>
      </c>
    </row>
    <row r="869" spans="2:9" hidden="1" x14ac:dyDescent="0.25">
      <c r="B869" s="48">
        <f>+'Metrics - Articles'!C866</f>
        <v>0</v>
      </c>
      <c r="C869">
        <f>COUNTIF('Metrics - Articles'!E791,"*Sports*")</f>
        <v>0</v>
      </c>
      <c r="D869">
        <f>COUNTIF('Metrics - Articles'!E791,"*Youth*")</f>
        <v>0</v>
      </c>
      <c r="E869">
        <f>COUNTIF('Metrics - Articles'!E791,"*Healthcare*")</f>
        <v>0</v>
      </c>
      <c r="F869">
        <f>COUNTIF('Metrics - Articles'!E791,"*Innovation")</f>
        <v>0</v>
      </c>
      <c r="G869">
        <f>COUNTIF('Metrics - Articles'!E791,"*Corporate*")</f>
        <v>0</v>
      </c>
      <c r="I869" s="53">
        <f t="shared" si="14"/>
        <v>0</v>
      </c>
    </row>
    <row r="870" spans="2:9" hidden="1" x14ac:dyDescent="0.25">
      <c r="B870" s="48">
        <f>+'Metrics - Articles'!C867</f>
        <v>0</v>
      </c>
      <c r="C870">
        <f>COUNTIF('Metrics - Articles'!E792,"*Sports*")</f>
        <v>0</v>
      </c>
      <c r="D870">
        <f>COUNTIF('Metrics - Articles'!E792,"*Youth*")</f>
        <v>0</v>
      </c>
      <c r="E870">
        <f>COUNTIF('Metrics - Articles'!E792,"*Healthcare*")</f>
        <v>0</v>
      </c>
      <c r="F870">
        <f>COUNTIF('Metrics - Articles'!E792,"*Innovation")</f>
        <v>0</v>
      </c>
      <c r="G870">
        <f>COUNTIF('Metrics - Articles'!E792,"*Corporate*")</f>
        <v>0</v>
      </c>
      <c r="I870" s="53">
        <f t="shared" si="14"/>
        <v>0</v>
      </c>
    </row>
    <row r="871" spans="2:9" hidden="1" x14ac:dyDescent="0.25">
      <c r="B871" s="48">
        <f>+'Metrics - Articles'!C868</f>
        <v>0</v>
      </c>
      <c r="C871">
        <f>COUNTIF('Metrics - Articles'!E793,"*Sports*")</f>
        <v>0</v>
      </c>
      <c r="D871">
        <f>COUNTIF('Metrics - Articles'!E793,"*Youth*")</f>
        <v>0</v>
      </c>
      <c r="E871">
        <f>COUNTIF('Metrics - Articles'!E793,"*Healthcare*")</f>
        <v>0</v>
      </c>
      <c r="F871">
        <f>COUNTIF('Metrics - Articles'!E793,"*Innovation")</f>
        <v>0</v>
      </c>
      <c r="G871">
        <f>COUNTIF('Metrics - Articles'!E793,"*Corporate*")</f>
        <v>0</v>
      </c>
      <c r="I871" s="53">
        <f t="shared" si="14"/>
        <v>0</v>
      </c>
    </row>
    <row r="872" spans="2:9" hidden="1" x14ac:dyDescent="0.25">
      <c r="B872" s="48">
        <f>+'Metrics - Articles'!C869</f>
        <v>0</v>
      </c>
      <c r="C872">
        <f>COUNTIF('Metrics - Articles'!E794,"*Sports*")</f>
        <v>0</v>
      </c>
      <c r="D872">
        <f>COUNTIF('Metrics - Articles'!E794,"*Youth*")</f>
        <v>0</v>
      </c>
      <c r="E872">
        <f>COUNTIF('Metrics - Articles'!E794,"*Healthcare*")</f>
        <v>0</v>
      </c>
      <c r="F872">
        <f>COUNTIF('Metrics - Articles'!E794,"*Innovation")</f>
        <v>0</v>
      </c>
      <c r="G872">
        <f>COUNTIF('Metrics - Articles'!E794,"*Corporate*")</f>
        <v>0</v>
      </c>
      <c r="I872" s="53">
        <f t="shared" si="14"/>
        <v>0</v>
      </c>
    </row>
    <row r="873" spans="2:9" hidden="1" x14ac:dyDescent="0.25">
      <c r="B873" s="48">
        <f>+'Metrics - Articles'!C870</f>
        <v>0</v>
      </c>
      <c r="C873">
        <f>COUNTIF('Metrics - Articles'!E795,"*Sports*")</f>
        <v>0</v>
      </c>
      <c r="D873">
        <f>COUNTIF('Metrics - Articles'!E795,"*Youth*")</f>
        <v>0</v>
      </c>
      <c r="E873">
        <f>COUNTIF('Metrics - Articles'!E795,"*Healthcare*")</f>
        <v>0</v>
      </c>
      <c r="F873">
        <f>COUNTIF('Metrics - Articles'!E795,"*Innovation")</f>
        <v>0</v>
      </c>
      <c r="G873">
        <f>COUNTIF('Metrics - Articles'!E795,"*Corporate*")</f>
        <v>0</v>
      </c>
      <c r="I873" s="53">
        <f t="shared" si="14"/>
        <v>0</v>
      </c>
    </row>
    <row r="874" spans="2:9" hidden="1" x14ac:dyDescent="0.25">
      <c r="B874" s="48">
        <f>+'Metrics - Articles'!C871</f>
        <v>0</v>
      </c>
      <c r="C874">
        <f>COUNTIF('Metrics - Articles'!E796,"*Sports*")</f>
        <v>0</v>
      </c>
      <c r="D874">
        <f>COUNTIF('Metrics - Articles'!E796,"*Youth*")</f>
        <v>0</v>
      </c>
      <c r="E874">
        <f>COUNTIF('Metrics - Articles'!E796,"*Healthcare*")</f>
        <v>0</v>
      </c>
      <c r="F874">
        <f>COUNTIF('Metrics - Articles'!E796,"*Innovation")</f>
        <v>0</v>
      </c>
      <c r="G874">
        <f>COUNTIF('Metrics - Articles'!E796,"*Corporate*")</f>
        <v>0</v>
      </c>
      <c r="I874" s="53">
        <f t="shared" si="14"/>
        <v>0</v>
      </c>
    </row>
    <row r="875" spans="2:9" hidden="1" x14ac:dyDescent="0.25">
      <c r="B875" s="48">
        <f>+'Metrics - Articles'!C872</f>
        <v>0</v>
      </c>
      <c r="C875">
        <f>COUNTIF('Metrics - Articles'!E797,"*Sports*")</f>
        <v>0</v>
      </c>
      <c r="D875">
        <f>COUNTIF('Metrics - Articles'!E797,"*Youth*")</f>
        <v>0</v>
      </c>
      <c r="E875">
        <f>COUNTIF('Metrics - Articles'!E797,"*Healthcare*")</f>
        <v>0</v>
      </c>
      <c r="F875">
        <f>COUNTIF('Metrics - Articles'!E797,"*Innovation")</f>
        <v>0</v>
      </c>
      <c r="G875">
        <f>COUNTIF('Metrics - Articles'!E797,"*Corporate*")</f>
        <v>0</v>
      </c>
      <c r="I875" s="53">
        <f t="shared" si="14"/>
        <v>0</v>
      </c>
    </row>
    <row r="876" spans="2:9" hidden="1" x14ac:dyDescent="0.25">
      <c r="B876" s="48">
        <f>+'Metrics - Articles'!C873</f>
        <v>0</v>
      </c>
      <c r="C876">
        <f>COUNTIF('Metrics - Articles'!E798,"*Sports*")</f>
        <v>0</v>
      </c>
      <c r="D876">
        <f>COUNTIF('Metrics - Articles'!E798,"*Youth*")</f>
        <v>0</v>
      </c>
      <c r="E876">
        <f>COUNTIF('Metrics - Articles'!E798,"*Healthcare*")</f>
        <v>0</v>
      </c>
      <c r="F876">
        <f>COUNTIF('Metrics - Articles'!E798,"*Innovation")</f>
        <v>0</v>
      </c>
      <c r="G876">
        <f>COUNTIF('Metrics - Articles'!E798,"*Corporate*")</f>
        <v>0</v>
      </c>
      <c r="I876" s="53">
        <f t="shared" si="14"/>
        <v>0</v>
      </c>
    </row>
    <row r="877" spans="2:9" hidden="1" x14ac:dyDescent="0.25">
      <c r="B877" s="48">
        <f>+'Metrics - Articles'!C874</f>
        <v>0</v>
      </c>
      <c r="C877">
        <f>COUNTIF('Metrics - Articles'!E799,"*Sports*")</f>
        <v>0</v>
      </c>
      <c r="D877">
        <f>COUNTIF('Metrics - Articles'!E799,"*Youth*")</f>
        <v>0</v>
      </c>
      <c r="E877">
        <f>COUNTIF('Metrics - Articles'!E799,"*Healthcare*")</f>
        <v>0</v>
      </c>
      <c r="F877">
        <f>COUNTIF('Metrics - Articles'!E799,"*Innovation")</f>
        <v>0</v>
      </c>
      <c r="G877">
        <f>COUNTIF('Metrics - Articles'!E799,"*Corporate*")</f>
        <v>0</v>
      </c>
      <c r="I877" s="53">
        <f t="shared" si="14"/>
        <v>0</v>
      </c>
    </row>
    <row r="878" spans="2:9" hidden="1" x14ac:dyDescent="0.25">
      <c r="B878" s="48">
        <f>+'Metrics - Articles'!C875</f>
        <v>0</v>
      </c>
      <c r="C878">
        <f>COUNTIF('Metrics - Articles'!E800,"*Sports*")</f>
        <v>0</v>
      </c>
      <c r="D878">
        <f>COUNTIF('Metrics - Articles'!E800,"*Youth*")</f>
        <v>0</v>
      </c>
      <c r="E878">
        <f>COUNTIF('Metrics - Articles'!E800,"*Healthcare*")</f>
        <v>0</v>
      </c>
      <c r="F878">
        <f>COUNTIF('Metrics - Articles'!E800,"*Innovation")</f>
        <v>0</v>
      </c>
      <c r="G878">
        <f>COUNTIF('Metrics - Articles'!E800,"*Corporate*")</f>
        <v>0</v>
      </c>
      <c r="I878" s="53">
        <f t="shared" si="14"/>
        <v>0</v>
      </c>
    </row>
    <row r="879" spans="2:9" hidden="1" x14ac:dyDescent="0.25">
      <c r="B879" s="48">
        <f>+'Metrics - Articles'!C876</f>
        <v>0</v>
      </c>
      <c r="C879">
        <f>COUNTIF('Metrics - Articles'!E801,"*Sports*")</f>
        <v>0</v>
      </c>
      <c r="D879">
        <f>COUNTIF('Metrics - Articles'!E801,"*Youth*")</f>
        <v>0</v>
      </c>
      <c r="E879">
        <f>COUNTIF('Metrics - Articles'!E801,"*Healthcare*")</f>
        <v>0</v>
      </c>
      <c r="F879">
        <f>COUNTIF('Metrics - Articles'!E801,"*Innovation")</f>
        <v>0</v>
      </c>
      <c r="G879">
        <f>COUNTIF('Metrics - Articles'!E801,"*Corporate*")</f>
        <v>0</v>
      </c>
      <c r="I879" s="53">
        <f t="shared" si="14"/>
        <v>0</v>
      </c>
    </row>
    <row r="880" spans="2:9" hidden="1" x14ac:dyDescent="0.25">
      <c r="B880" s="48">
        <f>+'Metrics - Articles'!C877</f>
        <v>0</v>
      </c>
      <c r="C880">
        <f>COUNTIF('Metrics - Articles'!E802,"*Sports*")</f>
        <v>0</v>
      </c>
      <c r="D880">
        <f>COUNTIF('Metrics - Articles'!E802,"*Youth*")</f>
        <v>0</v>
      </c>
      <c r="E880">
        <f>COUNTIF('Metrics - Articles'!E802,"*Healthcare*")</f>
        <v>0</v>
      </c>
      <c r="F880">
        <f>COUNTIF('Metrics - Articles'!E802,"*Innovation")</f>
        <v>0</v>
      </c>
      <c r="G880">
        <f>COUNTIF('Metrics - Articles'!E802,"*Corporate*")</f>
        <v>0</v>
      </c>
      <c r="I880" s="53">
        <f t="shared" si="14"/>
        <v>0</v>
      </c>
    </row>
    <row r="881" spans="2:9" hidden="1" x14ac:dyDescent="0.25">
      <c r="B881" s="48">
        <f>+'Metrics - Articles'!C878</f>
        <v>0</v>
      </c>
      <c r="C881">
        <f>COUNTIF('Metrics - Articles'!E803,"*Sports*")</f>
        <v>0</v>
      </c>
      <c r="D881">
        <f>COUNTIF('Metrics - Articles'!E803,"*Youth*")</f>
        <v>0</v>
      </c>
      <c r="E881">
        <f>COUNTIF('Metrics - Articles'!E803,"*Healthcare*")</f>
        <v>0</v>
      </c>
      <c r="F881">
        <f>COUNTIF('Metrics - Articles'!E803,"*Innovation")</f>
        <v>0</v>
      </c>
      <c r="G881">
        <f>COUNTIF('Metrics - Articles'!E803,"*Corporate*")</f>
        <v>0</v>
      </c>
      <c r="I881" s="53">
        <f t="shared" si="14"/>
        <v>0</v>
      </c>
    </row>
    <row r="882" spans="2:9" hidden="1" x14ac:dyDescent="0.25">
      <c r="B882" s="48">
        <f>+'Metrics - Articles'!C879</f>
        <v>0</v>
      </c>
      <c r="C882">
        <f>COUNTIF('Metrics - Articles'!E804,"*Sports*")</f>
        <v>0</v>
      </c>
      <c r="D882">
        <f>COUNTIF('Metrics - Articles'!E804,"*Youth*")</f>
        <v>0</v>
      </c>
      <c r="E882">
        <f>COUNTIF('Metrics - Articles'!E804,"*Healthcare*")</f>
        <v>0</v>
      </c>
      <c r="F882">
        <f>COUNTIF('Metrics - Articles'!E804,"*Innovation")</f>
        <v>0</v>
      </c>
      <c r="G882">
        <f>COUNTIF('Metrics - Articles'!E804,"*Corporate*")</f>
        <v>0</v>
      </c>
      <c r="I882" s="53">
        <f t="shared" si="14"/>
        <v>0</v>
      </c>
    </row>
    <row r="883" spans="2:9" hidden="1" x14ac:dyDescent="0.25">
      <c r="B883" s="48">
        <f>+'Metrics - Articles'!C880</f>
        <v>0</v>
      </c>
      <c r="C883">
        <f>COUNTIF('Metrics - Articles'!E805,"*Sports*")</f>
        <v>0</v>
      </c>
      <c r="D883">
        <f>COUNTIF('Metrics - Articles'!E805,"*Youth*")</f>
        <v>0</v>
      </c>
      <c r="E883">
        <f>COUNTIF('Metrics - Articles'!E805,"*Healthcare*")</f>
        <v>0</v>
      </c>
      <c r="F883">
        <f>COUNTIF('Metrics - Articles'!E805,"*Innovation")</f>
        <v>0</v>
      </c>
      <c r="G883">
        <f>COUNTIF('Metrics - Articles'!E805,"*Corporate*")</f>
        <v>0</v>
      </c>
      <c r="I883" s="53">
        <f t="shared" si="14"/>
        <v>0</v>
      </c>
    </row>
    <row r="884" spans="2:9" hidden="1" x14ac:dyDescent="0.25">
      <c r="B884" s="48">
        <f>+'Metrics - Articles'!C881</f>
        <v>0</v>
      </c>
      <c r="C884">
        <f>COUNTIF('Metrics - Articles'!E806,"*Sports*")</f>
        <v>0</v>
      </c>
      <c r="D884">
        <f>COUNTIF('Metrics - Articles'!E806,"*Youth*")</f>
        <v>0</v>
      </c>
      <c r="E884">
        <f>COUNTIF('Metrics - Articles'!E806,"*Healthcare*")</f>
        <v>0</v>
      </c>
      <c r="F884">
        <f>COUNTIF('Metrics - Articles'!E806,"*Innovation")</f>
        <v>0</v>
      </c>
      <c r="G884">
        <f>COUNTIF('Metrics - Articles'!E806,"*Corporate*")</f>
        <v>0</v>
      </c>
      <c r="I884" s="53">
        <f t="shared" si="14"/>
        <v>0</v>
      </c>
    </row>
    <row r="885" spans="2:9" hidden="1" x14ac:dyDescent="0.25">
      <c r="B885" s="48">
        <f>+'Metrics - Articles'!C882</f>
        <v>0</v>
      </c>
      <c r="C885">
        <f>COUNTIF('Metrics - Articles'!E807,"*Sports*")</f>
        <v>0</v>
      </c>
      <c r="D885">
        <f>COUNTIF('Metrics - Articles'!E807,"*Youth*")</f>
        <v>0</v>
      </c>
      <c r="E885">
        <f>COUNTIF('Metrics - Articles'!E807,"*Healthcare*")</f>
        <v>0</v>
      </c>
      <c r="F885">
        <f>COUNTIF('Metrics - Articles'!E807,"*Innovation")</f>
        <v>0</v>
      </c>
      <c r="G885">
        <f>COUNTIF('Metrics - Articles'!E807,"*Corporate*")</f>
        <v>0</v>
      </c>
      <c r="I885" s="53">
        <f t="shared" si="14"/>
        <v>0</v>
      </c>
    </row>
    <row r="886" spans="2:9" hidden="1" x14ac:dyDescent="0.25">
      <c r="B886" s="48">
        <f>+'Metrics - Articles'!C883</f>
        <v>0</v>
      </c>
      <c r="C886">
        <f>COUNTIF('Metrics - Articles'!E808,"*Sports*")</f>
        <v>0</v>
      </c>
      <c r="D886">
        <f>COUNTIF('Metrics - Articles'!E808,"*Youth*")</f>
        <v>0</v>
      </c>
      <c r="E886">
        <f>COUNTIF('Metrics - Articles'!E808,"*Healthcare*")</f>
        <v>0</v>
      </c>
      <c r="F886">
        <f>COUNTIF('Metrics - Articles'!E808,"*Innovation")</f>
        <v>0</v>
      </c>
      <c r="G886">
        <f>COUNTIF('Metrics - Articles'!E808,"*Corporate*")</f>
        <v>0</v>
      </c>
      <c r="I886" s="53">
        <f t="shared" si="14"/>
        <v>0</v>
      </c>
    </row>
    <row r="887" spans="2:9" hidden="1" x14ac:dyDescent="0.25">
      <c r="B887" s="48">
        <f>+'Metrics - Articles'!C884</f>
        <v>0</v>
      </c>
      <c r="C887">
        <f>COUNTIF('Metrics - Articles'!E809,"*Sports*")</f>
        <v>0</v>
      </c>
      <c r="D887">
        <f>COUNTIF('Metrics - Articles'!E809,"*Youth*")</f>
        <v>0</v>
      </c>
      <c r="E887">
        <f>COUNTIF('Metrics - Articles'!E809,"*Healthcare*")</f>
        <v>0</v>
      </c>
      <c r="F887">
        <f>COUNTIF('Metrics - Articles'!E809,"*Innovation")</f>
        <v>0</v>
      </c>
      <c r="G887">
        <f>COUNTIF('Metrics - Articles'!E809,"*Corporate*")</f>
        <v>0</v>
      </c>
      <c r="I887" s="53">
        <f t="shared" si="14"/>
        <v>0</v>
      </c>
    </row>
    <row r="888" spans="2:9" hidden="1" x14ac:dyDescent="0.25">
      <c r="B888" s="48">
        <f>+'Metrics - Articles'!C885</f>
        <v>0</v>
      </c>
      <c r="C888">
        <f>COUNTIF('Metrics - Articles'!E810,"*Sports*")</f>
        <v>0</v>
      </c>
      <c r="D888">
        <f>COUNTIF('Metrics - Articles'!E810,"*Youth*")</f>
        <v>0</v>
      </c>
      <c r="E888">
        <f>COUNTIF('Metrics - Articles'!E810,"*Healthcare*")</f>
        <v>0</v>
      </c>
      <c r="F888">
        <f>COUNTIF('Metrics - Articles'!E810,"*Innovation")</f>
        <v>0</v>
      </c>
      <c r="G888">
        <f>COUNTIF('Metrics - Articles'!E810,"*Corporate*")</f>
        <v>0</v>
      </c>
      <c r="I888" s="53">
        <f t="shared" si="14"/>
        <v>0</v>
      </c>
    </row>
    <row r="889" spans="2:9" hidden="1" x14ac:dyDescent="0.25">
      <c r="B889" s="48">
        <f>+'Metrics - Articles'!C886</f>
        <v>0</v>
      </c>
      <c r="C889">
        <f>COUNTIF('Metrics - Articles'!E811,"*Sports*")</f>
        <v>0</v>
      </c>
      <c r="D889">
        <f>COUNTIF('Metrics - Articles'!E811,"*Youth*")</f>
        <v>0</v>
      </c>
      <c r="E889">
        <f>COUNTIF('Metrics - Articles'!E811,"*Healthcare*")</f>
        <v>0</v>
      </c>
      <c r="F889">
        <f>COUNTIF('Metrics - Articles'!E811,"*Innovation")</f>
        <v>0</v>
      </c>
      <c r="G889">
        <f>COUNTIF('Metrics - Articles'!E811,"*Corporate*")</f>
        <v>0</v>
      </c>
      <c r="I889" s="53">
        <f t="shared" si="14"/>
        <v>0</v>
      </c>
    </row>
    <row r="890" spans="2:9" hidden="1" x14ac:dyDescent="0.25">
      <c r="B890" s="48">
        <f>+'Metrics - Articles'!C887</f>
        <v>0</v>
      </c>
      <c r="C890">
        <f>COUNTIF('Metrics - Articles'!E812,"*Sports*")</f>
        <v>0</v>
      </c>
      <c r="D890">
        <f>COUNTIF('Metrics - Articles'!E812,"*Youth*")</f>
        <v>0</v>
      </c>
      <c r="E890">
        <f>COUNTIF('Metrics - Articles'!E812,"*Healthcare*")</f>
        <v>0</v>
      </c>
      <c r="F890">
        <f>COUNTIF('Metrics - Articles'!E812,"*Innovation")</f>
        <v>0</v>
      </c>
      <c r="G890">
        <f>COUNTIF('Metrics - Articles'!E812,"*Corporate*")</f>
        <v>0</v>
      </c>
      <c r="I890" s="53">
        <f t="shared" si="14"/>
        <v>0</v>
      </c>
    </row>
    <row r="891" spans="2:9" hidden="1" x14ac:dyDescent="0.25">
      <c r="B891" s="48">
        <f>+'Metrics - Articles'!C888</f>
        <v>0</v>
      </c>
      <c r="C891">
        <f>COUNTIF('Metrics - Articles'!E813,"*Sports*")</f>
        <v>0</v>
      </c>
      <c r="D891">
        <f>COUNTIF('Metrics - Articles'!E813,"*Youth*")</f>
        <v>0</v>
      </c>
      <c r="E891">
        <f>COUNTIF('Metrics - Articles'!E813,"*Healthcare*")</f>
        <v>0</v>
      </c>
      <c r="F891">
        <f>COUNTIF('Metrics - Articles'!E813,"*Innovation")</f>
        <v>0</v>
      </c>
      <c r="G891">
        <f>COUNTIF('Metrics - Articles'!E813,"*Corporate*")</f>
        <v>0</v>
      </c>
      <c r="I891" s="53">
        <f t="shared" si="14"/>
        <v>0</v>
      </c>
    </row>
    <row r="892" spans="2:9" hidden="1" x14ac:dyDescent="0.25">
      <c r="B892" s="48">
        <f>+'Metrics - Articles'!C889</f>
        <v>0</v>
      </c>
      <c r="C892">
        <f>COUNTIF('Metrics - Articles'!E814,"*Sports*")</f>
        <v>0</v>
      </c>
      <c r="D892">
        <f>COUNTIF('Metrics - Articles'!E814,"*Youth*")</f>
        <v>0</v>
      </c>
      <c r="E892">
        <f>COUNTIF('Metrics - Articles'!E814,"*Healthcare*")</f>
        <v>0</v>
      </c>
      <c r="F892">
        <f>COUNTIF('Metrics - Articles'!E814,"*Innovation")</f>
        <v>0</v>
      </c>
      <c r="G892">
        <f>COUNTIF('Metrics - Articles'!E814,"*Corporate*")</f>
        <v>0</v>
      </c>
      <c r="I892" s="53">
        <f t="shared" si="14"/>
        <v>0</v>
      </c>
    </row>
    <row r="893" spans="2:9" hidden="1" x14ac:dyDescent="0.25">
      <c r="B893" s="48">
        <f>+'Metrics - Articles'!C890</f>
        <v>0</v>
      </c>
      <c r="C893">
        <f>COUNTIF('Metrics - Articles'!E815,"*Sports*")</f>
        <v>0</v>
      </c>
      <c r="D893">
        <f>COUNTIF('Metrics - Articles'!E815,"*Youth*")</f>
        <v>0</v>
      </c>
      <c r="E893">
        <f>COUNTIF('Metrics - Articles'!E815,"*Healthcare*")</f>
        <v>0</v>
      </c>
      <c r="F893">
        <f>COUNTIF('Metrics - Articles'!E815,"*Innovation")</f>
        <v>0</v>
      </c>
      <c r="G893">
        <f>COUNTIF('Metrics - Articles'!E815,"*Corporate*")</f>
        <v>0</v>
      </c>
      <c r="I893" s="53">
        <f t="shared" si="14"/>
        <v>0</v>
      </c>
    </row>
    <row r="894" spans="2:9" hidden="1" x14ac:dyDescent="0.25">
      <c r="B894" s="48">
        <f>+'Metrics - Articles'!C891</f>
        <v>0</v>
      </c>
      <c r="C894">
        <f>COUNTIF('Metrics - Articles'!E816,"*Sports*")</f>
        <v>0</v>
      </c>
      <c r="D894">
        <f>COUNTIF('Metrics - Articles'!E816,"*Youth*")</f>
        <v>0</v>
      </c>
      <c r="E894">
        <f>COUNTIF('Metrics - Articles'!E816,"*Healthcare*")</f>
        <v>0</v>
      </c>
      <c r="F894">
        <f>COUNTIF('Metrics - Articles'!E816,"*Innovation")</f>
        <v>0</v>
      </c>
      <c r="G894">
        <f>COUNTIF('Metrics - Articles'!E816,"*Corporate*")</f>
        <v>0</v>
      </c>
      <c r="I894" s="53">
        <f t="shared" si="14"/>
        <v>0</v>
      </c>
    </row>
    <row r="895" spans="2:9" hidden="1" x14ac:dyDescent="0.25">
      <c r="B895" s="48">
        <f>+'Metrics - Articles'!C892</f>
        <v>0</v>
      </c>
      <c r="C895">
        <f>COUNTIF('Metrics - Articles'!E817,"*Sports*")</f>
        <v>0</v>
      </c>
      <c r="D895">
        <f>COUNTIF('Metrics - Articles'!E817,"*Youth*")</f>
        <v>0</v>
      </c>
      <c r="E895">
        <f>COUNTIF('Metrics - Articles'!E817,"*Healthcare*")</f>
        <v>0</v>
      </c>
      <c r="F895">
        <f>COUNTIF('Metrics - Articles'!E817,"*Innovation")</f>
        <v>0</v>
      </c>
      <c r="G895">
        <f>COUNTIF('Metrics - Articles'!E817,"*Corporate*")</f>
        <v>0</v>
      </c>
      <c r="I895" s="53">
        <f t="shared" si="14"/>
        <v>0</v>
      </c>
    </row>
    <row r="896" spans="2:9" hidden="1" x14ac:dyDescent="0.25">
      <c r="B896" s="48">
        <f>+'Metrics - Articles'!C893</f>
        <v>0</v>
      </c>
      <c r="C896">
        <f>COUNTIF('Metrics - Articles'!E818,"*Sports*")</f>
        <v>0</v>
      </c>
      <c r="D896">
        <f>COUNTIF('Metrics - Articles'!E818,"*Youth*")</f>
        <v>0</v>
      </c>
      <c r="E896">
        <f>COUNTIF('Metrics - Articles'!E818,"*Healthcare*")</f>
        <v>0</v>
      </c>
      <c r="F896">
        <f>COUNTIF('Metrics - Articles'!E818,"*Innovation")</f>
        <v>0</v>
      </c>
      <c r="G896">
        <f>COUNTIF('Metrics - Articles'!E818,"*Corporate*")</f>
        <v>0</v>
      </c>
      <c r="I896" s="53">
        <f t="shared" si="14"/>
        <v>0</v>
      </c>
    </row>
    <row r="897" spans="2:9" hidden="1" x14ac:dyDescent="0.25">
      <c r="B897" s="48">
        <f>+'Metrics - Articles'!C894</f>
        <v>0</v>
      </c>
      <c r="C897">
        <f>COUNTIF('Metrics - Articles'!E819,"*Sports*")</f>
        <v>0</v>
      </c>
      <c r="D897">
        <f>COUNTIF('Metrics - Articles'!E819,"*Youth*")</f>
        <v>0</v>
      </c>
      <c r="E897">
        <f>COUNTIF('Metrics - Articles'!E819,"*Healthcare*")</f>
        <v>0</v>
      </c>
      <c r="F897">
        <f>COUNTIF('Metrics - Articles'!E819,"*Innovation")</f>
        <v>0</v>
      </c>
      <c r="G897">
        <f>COUNTIF('Metrics - Articles'!E819,"*Corporate*")</f>
        <v>0</v>
      </c>
      <c r="I897" s="53">
        <f t="shared" si="14"/>
        <v>0</v>
      </c>
    </row>
    <row r="898" spans="2:9" hidden="1" x14ac:dyDescent="0.25">
      <c r="B898" s="48">
        <f>+'Metrics - Articles'!C895</f>
        <v>0</v>
      </c>
      <c r="C898">
        <f>COUNTIF('Metrics - Articles'!E820,"*Sports*")</f>
        <v>0</v>
      </c>
      <c r="D898">
        <f>COUNTIF('Metrics - Articles'!E820,"*Youth*")</f>
        <v>0</v>
      </c>
      <c r="E898">
        <f>COUNTIF('Metrics - Articles'!E820,"*Healthcare*")</f>
        <v>0</v>
      </c>
      <c r="F898">
        <f>COUNTIF('Metrics - Articles'!E820,"*Innovation")</f>
        <v>0</v>
      </c>
      <c r="G898">
        <f>COUNTIF('Metrics - Articles'!E820,"*Corporate*")</f>
        <v>0</v>
      </c>
      <c r="I898" s="53">
        <f t="shared" si="14"/>
        <v>0</v>
      </c>
    </row>
    <row r="899" spans="2:9" hidden="1" x14ac:dyDescent="0.25">
      <c r="B899" s="48">
        <f>+'Metrics - Articles'!C896</f>
        <v>0</v>
      </c>
      <c r="C899">
        <f>COUNTIF('Metrics - Articles'!E821,"*Sports*")</f>
        <v>0</v>
      </c>
      <c r="D899">
        <f>COUNTIF('Metrics - Articles'!E821,"*Youth*")</f>
        <v>0</v>
      </c>
      <c r="E899">
        <f>COUNTIF('Metrics - Articles'!E821,"*Healthcare*")</f>
        <v>0</v>
      </c>
      <c r="F899">
        <f>COUNTIF('Metrics - Articles'!E821,"*Innovation")</f>
        <v>0</v>
      </c>
      <c r="G899">
        <f>COUNTIF('Metrics - Articles'!E821,"*Corporate*")</f>
        <v>0</v>
      </c>
      <c r="I899" s="53">
        <f t="shared" si="14"/>
        <v>0</v>
      </c>
    </row>
    <row r="900" spans="2:9" hidden="1" x14ac:dyDescent="0.25">
      <c r="B900" s="48">
        <f>+'Metrics - Articles'!C897</f>
        <v>0</v>
      </c>
      <c r="C900">
        <f>COUNTIF('Metrics - Articles'!E822,"*Sports*")</f>
        <v>0</v>
      </c>
      <c r="D900">
        <f>COUNTIF('Metrics - Articles'!E822,"*Youth*")</f>
        <v>0</v>
      </c>
      <c r="E900">
        <f>COUNTIF('Metrics - Articles'!E822,"*Healthcare*")</f>
        <v>0</v>
      </c>
      <c r="F900">
        <f>COUNTIF('Metrics - Articles'!E822,"*Innovation")</f>
        <v>0</v>
      </c>
      <c r="G900">
        <f>COUNTIF('Metrics - Articles'!E822,"*Corporate*")</f>
        <v>0</v>
      </c>
      <c r="I900" s="53">
        <f t="shared" si="14"/>
        <v>0</v>
      </c>
    </row>
    <row r="901" spans="2:9" hidden="1" x14ac:dyDescent="0.25">
      <c r="B901" s="48">
        <f>+'Metrics - Articles'!C898</f>
        <v>0</v>
      </c>
      <c r="C901">
        <f>COUNTIF('Metrics - Articles'!E823,"*Sports*")</f>
        <v>0</v>
      </c>
      <c r="D901">
        <f>COUNTIF('Metrics - Articles'!E823,"*Youth*")</f>
        <v>0</v>
      </c>
      <c r="E901">
        <f>COUNTIF('Metrics - Articles'!E823,"*Healthcare*")</f>
        <v>0</v>
      </c>
      <c r="F901">
        <f>COUNTIF('Metrics - Articles'!E823,"*Innovation")</f>
        <v>0</v>
      </c>
      <c r="G901">
        <f>COUNTIF('Metrics - Articles'!E823,"*Corporate*")</f>
        <v>0</v>
      </c>
      <c r="I901" s="53">
        <f t="shared" si="14"/>
        <v>0</v>
      </c>
    </row>
    <row r="902" spans="2:9" hidden="1" x14ac:dyDescent="0.25">
      <c r="B902" s="48">
        <f>+'Metrics - Articles'!C899</f>
        <v>0</v>
      </c>
      <c r="C902">
        <f>COUNTIF('Metrics - Articles'!E824,"*Sports*")</f>
        <v>0</v>
      </c>
      <c r="D902">
        <f>COUNTIF('Metrics - Articles'!E824,"*Youth*")</f>
        <v>0</v>
      </c>
      <c r="E902">
        <f>COUNTIF('Metrics - Articles'!E824,"*Healthcare*")</f>
        <v>0</v>
      </c>
      <c r="F902">
        <f>COUNTIF('Metrics - Articles'!E824,"*Innovation")</f>
        <v>0</v>
      </c>
      <c r="G902">
        <f>COUNTIF('Metrics - Articles'!E824,"*Corporate*")</f>
        <v>0</v>
      </c>
      <c r="I902" s="53">
        <f t="shared" si="14"/>
        <v>0</v>
      </c>
    </row>
    <row r="903" spans="2:9" hidden="1" x14ac:dyDescent="0.25">
      <c r="B903" s="48">
        <f>+'Metrics - Articles'!C900</f>
        <v>0</v>
      </c>
      <c r="C903">
        <f>COUNTIF('Metrics - Articles'!E825,"*Sports*")</f>
        <v>0</v>
      </c>
      <c r="D903">
        <f>COUNTIF('Metrics - Articles'!E825,"*Youth*")</f>
        <v>0</v>
      </c>
      <c r="E903">
        <f>COUNTIF('Metrics - Articles'!E825,"*Healthcare*")</f>
        <v>0</v>
      </c>
      <c r="F903">
        <f>COUNTIF('Metrics - Articles'!E825,"*Innovation")</f>
        <v>0</v>
      </c>
      <c r="G903">
        <f>COUNTIF('Metrics - Articles'!E825,"*Corporate*")</f>
        <v>0</v>
      </c>
      <c r="I903" s="53">
        <f t="shared" si="14"/>
        <v>0</v>
      </c>
    </row>
    <row r="904" spans="2:9" hidden="1" x14ac:dyDescent="0.25">
      <c r="B904" s="48">
        <f>+'Metrics - Articles'!C901</f>
        <v>0</v>
      </c>
      <c r="C904">
        <f>COUNTIF('Metrics - Articles'!E826,"*Sports*")</f>
        <v>0</v>
      </c>
      <c r="D904">
        <f>COUNTIF('Metrics - Articles'!E826,"*Youth*")</f>
        <v>0</v>
      </c>
      <c r="E904">
        <f>COUNTIF('Metrics - Articles'!E826,"*Healthcare*")</f>
        <v>0</v>
      </c>
      <c r="F904">
        <f>COUNTIF('Metrics - Articles'!E826,"*Innovation")</f>
        <v>0</v>
      </c>
      <c r="G904">
        <f>COUNTIF('Metrics - Articles'!E826,"*Corporate*")</f>
        <v>0</v>
      </c>
      <c r="I904" s="53">
        <f t="shared" ref="I904:I967" si="15">SUM(C904:H904)</f>
        <v>0</v>
      </c>
    </row>
    <row r="905" spans="2:9" hidden="1" x14ac:dyDescent="0.25">
      <c r="B905" s="48">
        <f>+'Metrics - Articles'!C902</f>
        <v>0</v>
      </c>
      <c r="C905">
        <f>COUNTIF('Metrics - Articles'!E827,"*Sports*")</f>
        <v>0</v>
      </c>
      <c r="D905">
        <f>COUNTIF('Metrics - Articles'!E827,"*Youth*")</f>
        <v>0</v>
      </c>
      <c r="E905">
        <f>COUNTIF('Metrics - Articles'!E827,"*Healthcare*")</f>
        <v>0</v>
      </c>
      <c r="F905">
        <f>COUNTIF('Metrics - Articles'!E827,"*Innovation")</f>
        <v>0</v>
      </c>
      <c r="G905">
        <f>COUNTIF('Metrics - Articles'!E827,"*Corporate*")</f>
        <v>0</v>
      </c>
      <c r="I905" s="53">
        <f t="shared" si="15"/>
        <v>0</v>
      </c>
    </row>
    <row r="906" spans="2:9" hidden="1" x14ac:dyDescent="0.25">
      <c r="B906" s="48">
        <f>+'Metrics - Articles'!C903</f>
        <v>0</v>
      </c>
      <c r="C906">
        <f>COUNTIF('Metrics - Articles'!E828,"*Sports*")</f>
        <v>0</v>
      </c>
      <c r="D906">
        <f>COUNTIF('Metrics - Articles'!E828,"*Youth*")</f>
        <v>0</v>
      </c>
      <c r="E906">
        <f>COUNTIF('Metrics - Articles'!E828,"*Healthcare*")</f>
        <v>0</v>
      </c>
      <c r="F906">
        <f>COUNTIF('Metrics - Articles'!E828,"*Innovation")</f>
        <v>0</v>
      </c>
      <c r="G906">
        <f>COUNTIF('Metrics - Articles'!E828,"*Corporate*")</f>
        <v>0</v>
      </c>
      <c r="I906" s="53">
        <f t="shared" si="15"/>
        <v>0</v>
      </c>
    </row>
    <row r="907" spans="2:9" hidden="1" x14ac:dyDescent="0.25">
      <c r="B907" s="48">
        <f>+'Metrics - Articles'!C904</f>
        <v>0</v>
      </c>
      <c r="C907">
        <f>COUNTIF('Metrics - Articles'!E829,"*Sports*")</f>
        <v>0</v>
      </c>
      <c r="D907">
        <f>COUNTIF('Metrics - Articles'!E829,"*Youth*")</f>
        <v>0</v>
      </c>
      <c r="E907">
        <f>COUNTIF('Metrics - Articles'!E829,"*Healthcare*")</f>
        <v>0</v>
      </c>
      <c r="F907">
        <f>COUNTIF('Metrics - Articles'!E829,"*Innovation")</f>
        <v>0</v>
      </c>
      <c r="G907">
        <f>COUNTIF('Metrics - Articles'!E829,"*Corporate*")</f>
        <v>0</v>
      </c>
      <c r="I907" s="53">
        <f t="shared" si="15"/>
        <v>0</v>
      </c>
    </row>
    <row r="908" spans="2:9" hidden="1" x14ac:dyDescent="0.25">
      <c r="B908" s="48">
        <f>+'Metrics - Articles'!C905</f>
        <v>0</v>
      </c>
      <c r="C908">
        <f>COUNTIF('Metrics - Articles'!E830,"*Sports*")</f>
        <v>0</v>
      </c>
      <c r="D908">
        <f>COUNTIF('Metrics - Articles'!E830,"*Youth*")</f>
        <v>0</v>
      </c>
      <c r="E908">
        <f>COUNTIF('Metrics - Articles'!E830,"*Healthcare*")</f>
        <v>0</v>
      </c>
      <c r="F908">
        <f>COUNTIF('Metrics - Articles'!E830,"*Innovation")</f>
        <v>0</v>
      </c>
      <c r="G908">
        <f>COUNTIF('Metrics - Articles'!E830,"*Corporate*")</f>
        <v>0</v>
      </c>
      <c r="I908" s="53">
        <f t="shared" si="15"/>
        <v>0</v>
      </c>
    </row>
    <row r="909" spans="2:9" hidden="1" x14ac:dyDescent="0.25">
      <c r="B909" s="48">
        <f>+'Metrics - Articles'!C906</f>
        <v>0</v>
      </c>
      <c r="C909">
        <f>COUNTIF('Metrics - Articles'!E831,"*Sports*")</f>
        <v>0</v>
      </c>
      <c r="D909">
        <f>COUNTIF('Metrics - Articles'!E831,"*Youth*")</f>
        <v>0</v>
      </c>
      <c r="E909">
        <f>COUNTIF('Metrics - Articles'!E831,"*Healthcare*")</f>
        <v>0</v>
      </c>
      <c r="F909">
        <f>COUNTIF('Metrics - Articles'!E831,"*Innovation")</f>
        <v>0</v>
      </c>
      <c r="G909">
        <f>COUNTIF('Metrics - Articles'!E831,"*Corporate*")</f>
        <v>0</v>
      </c>
      <c r="I909" s="53">
        <f t="shared" si="15"/>
        <v>0</v>
      </c>
    </row>
    <row r="910" spans="2:9" hidden="1" x14ac:dyDescent="0.25">
      <c r="B910" s="48">
        <f>+'Metrics - Articles'!C907</f>
        <v>0</v>
      </c>
      <c r="C910">
        <f>COUNTIF('Metrics - Articles'!E832,"*Sports*")</f>
        <v>0</v>
      </c>
      <c r="D910">
        <f>COUNTIF('Metrics - Articles'!E832,"*Youth*")</f>
        <v>0</v>
      </c>
      <c r="E910">
        <f>COUNTIF('Metrics - Articles'!E832,"*Healthcare*")</f>
        <v>0</v>
      </c>
      <c r="F910">
        <f>COUNTIF('Metrics - Articles'!E832,"*Innovation")</f>
        <v>0</v>
      </c>
      <c r="G910">
        <f>COUNTIF('Metrics - Articles'!E832,"*Corporate*")</f>
        <v>0</v>
      </c>
      <c r="I910" s="53">
        <f t="shared" si="15"/>
        <v>0</v>
      </c>
    </row>
    <row r="911" spans="2:9" hidden="1" x14ac:dyDescent="0.25">
      <c r="B911" s="48">
        <f>+'Metrics - Articles'!C908</f>
        <v>0</v>
      </c>
      <c r="C911">
        <f>COUNTIF('Metrics - Articles'!E833,"*Sports*")</f>
        <v>0</v>
      </c>
      <c r="D911">
        <f>COUNTIF('Metrics - Articles'!E833,"*Youth*")</f>
        <v>0</v>
      </c>
      <c r="E911">
        <f>COUNTIF('Metrics - Articles'!E833,"*Healthcare*")</f>
        <v>0</v>
      </c>
      <c r="F911">
        <f>COUNTIF('Metrics - Articles'!E833,"*Innovation")</f>
        <v>0</v>
      </c>
      <c r="G911">
        <f>COUNTIF('Metrics - Articles'!E833,"*Corporate*")</f>
        <v>0</v>
      </c>
      <c r="I911" s="53">
        <f t="shared" si="15"/>
        <v>0</v>
      </c>
    </row>
    <row r="912" spans="2:9" hidden="1" x14ac:dyDescent="0.25">
      <c r="B912" s="48">
        <f>+'Metrics - Articles'!C909</f>
        <v>0</v>
      </c>
      <c r="C912">
        <f>COUNTIF('Metrics - Articles'!E834,"*Sports*")</f>
        <v>0</v>
      </c>
      <c r="D912">
        <f>COUNTIF('Metrics - Articles'!E834,"*Youth*")</f>
        <v>0</v>
      </c>
      <c r="E912">
        <f>COUNTIF('Metrics - Articles'!E834,"*Healthcare*")</f>
        <v>0</v>
      </c>
      <c r="F912">
        <f>COUNTIF('Metrics - Articles'!E834,"*Innovation")</f>
        <v>0</v>
      </c>
      <c r="G912">
        <f>COUNTIF('Metrics - Articles'!E834,"*Corporate*")</f>
        <v>0</v>
      </c>
      <c r="I912" s="53">
        <f t="shared" si="15"/>
        <v>0</v>
      </c>
    </row>
    <row r="913" spans="2:9" hidden="1" x14ac:dyDescent="0.25">
      <c r="B913" s="48">
        <f>+'Metrics - Articles'!C910</f>
        <v>0</v>
      </c>
      <c r="C913">
        <f>COUNTIF('Metrics - Articles'!E835,"*Sports*")</f>
        <v>0</v>
      </c>
      <c r="D913">
        <f>COUNTIF('Metrics - Articles'!E835,"*Youth*")</f>
        <v>0</v>
      </c>
      <c r="E913">
        <f>COUNTIF('Metrics - Articles'!E835,"*Healthcare*")</f>
        <v>0</v>
      </c>
      <c r="F913">
        <f>COUNTIF('Metrics - Articles'!E835,"*Innovation")</f>
        <v>0</v>
      </c>
      <c r="G913">
        <f>COUNTIF('Metrics - Articles'!E835,"*Corporate*")</f>
        <v>0</v>
      </c>
      <c r="I913" s="53">
        <f t="shared" si="15"/>
        <v>0</v>
      </c>
    </row>
    <row r="914" spans="2:9" hidden="1" x14ac:dyDescent="0.25">
      <c r="B914" s="48">
        <f>+'Metrics - Articles'!C911</f>
        <v>0</v>
      </c>
      <c r="C914">
        <f>COUNTIF('Metrics - Articles'!E836,"*Sports*")</f>
        <v>0</v>
      </c>
      <c r="D914">
        <f>COUNTIF('Metrics - Articles'!E836,"*Youth*")</f>
        <v>0</v>
      </c>
      <c r="E914">
        <f>COUNTIF('Metrics - Articles'!E836,"*Healthcare*")</f>
        <v>0</v>
      </c>
      <c r="F914">
        <f>COUNTIF('Metrics - Articles'!E836,"*Innovation")</f>
        <v>0</v>
      </c>
      <c r="G914">
        <f>COUNTIF('Metrics - Articles'!E836,"*Corporate*")</f>
        <v>0</v>
      </c>
      <c r="I914" s="53">
        <f t="shared" si="15"/>
        <v>0</v>
      </c>
    </row>
    <row r="915" spans="2:9" hidden="1" x14ac:dyDescent="0.25">
      <c r="B915" s="48">
        <f>+'Metrics - Articles'!C912</f>
        <v>0</v>
      </c>
      <c r="C915">
        <f>COUNTIF('Metrics - Articles'!E837,"*Sports*")</f>
        <v>0</v>
      </c>
      <c r="D915">
        <f>COUNTIF('Metrics - Articles'!E837,"*Youth*")</f>
        <v>0</v>
      </c>
      <c r="E915">
        <f>COUNTIF('Metrics - Articles'!E837,"*Healthcare*")</f>
        <v>0</v>
      </c>
      <c r="F915">
        <f>COUNTIF('Metrics - Articles'!E837,"*Innovation")</f>
        <v>0</v>
      </c>
      <c r="G915">
        <f>COUNTIF('Metrics - Articles'!E837,"*Corporate*")</f>
        <v>0</v>
      </c>
      <c r="I915" s="53">
        <f t="shared" si="15"/>
        <v>0</v>
      </c>
    </row>
    <row r="916" spans="2:9" hidden="1" x14ac:dyDescent="0.25">
      <c r="B916" s="48">
        <f>+'Metrics - Articles'!C913</f>
        <v>0</v>
      </c>
      <c r="C916">
        <f>COUNTIF('Metrics - Articles'!E838,"*Sports*")</f>
        <v>0</v>
      </c>
      <c r="D916">
        <f>COUNTIF('Metrics - Articles'!E838,"*Youth*")</f>
        <v>0</v>
      </c>
      <c r="E916">
        <f>COUNTIF('Metrics - Articles'!E838,"*Healthcare*")</f>
        <v>0</v>
      </c>
      <c r="F916">
        <f>COUNTIF('Metrics - Articles'!E838,"*Innovation")</f>
        <v>0</v>
      </c>
      <c r="G916">
        <f>COUNTIF('Metrics - Articles'!E838,"*Corporate*")</f>
        <v>0</v>
      </c>
      <c r="I916" s="53">
        <f t="shared" si="15"/>
        <v>0</v>
      </c>
    </row>
    <row r="917" spans="2:9" hidden="1" x14ac:dyDescent="0.25">
      <c r="B917" s="48">
        <f>+'Metrics - Articles'!C914</f>
        <v>0</v>
      </c>
      <c r="C917">
        <f>COUNTIF('Metrics - Articles'!E839,"*Sports*")</f>
        <v>0</v>
      </c>
      <c r="D917">
        <f>COUNTIF('Metrics - Articles'!E839,"*Youth*")</f>
        <v>0</v>
      </c>
      <c r="E917">
        <f>COUNTIF('Metrics - Articles'!E839,"*Healthcare*")</f>
        <v>0</v>
      </c>
      <c r="F917">
        <f>COUNTIF('Metrics - Articles'!E839,"*Innovation")</f>
        <v>0</v>
      </c>
      <c r="G917">
        <f>COUNTIF('Metrics - Articles'!E839,"*Corporate*")</f>
        <v>0</v>
      </c>
      <c r="I917" s="53">
        <f t="shared" si="15"/>
        <v>0</v>
      </c>
    </row>
    <row r="918" spans="2:9" hidden="1" x14ac:dyDescent="0.25">
      <c r="B918" s="48">
        <f>+'Metrics - Articles'!C915</f>
        <v>0</v>
      </c>
      <c r="C918">
        <f>COUNTIF('Metrics - Articles'!E840,"*Sports*")</f>
        <v>0</v>
      </c>
      <c r="D918">
        <f>COUNTIF('Metrics - Articles'!E840,"*Youth*")</f>
        <v>0</v>
      </c>
      <c r="E918">
        <f>COUNTIF('Metrics - Articles'!E840,"*Healthcare*")</f>
        <v>0</v>
      </c>
      <c r="F918">
        <f>COUNTIF('Metrics - Articles'!E840,"*Innovation")</f>
        <v>0</v>
      </c>
      <c r="G918">
        <f>COUNTIF('Metrics - Articles'!E840,"*Corporate*")</f>
        <v>0</v>
      </c>
      <c r="I918" s="53">
        <f t="shared" si="15"/>
        <v>0</v>
      </c>
    </row>
    <row r="919" spans="2:9" hidden="1" x14ac:dyDescent="0.25">
      <c r="B919" s="48">
        <f>+'Metrics - Articles'!C916</f>
        <v>0</v>
      </c>
      <c r="C919">
        <f>COUNTIF('Metrics - Articles'!E841,"*Sports*")</f>
        <v>0</v>
      </c>
      <c r="D919">
        <f>COUNTIF('Metrics - Articles'!E841,"*Youth*")</f>
        <v>0</v>
      </c>
      <c r="E919">
        <f>COUNTIF('Metrics - Articles'!E841,"*Healthcare*")</f>
        <v>0</v>
      </c>
      <c r="F919">
        <f>COUNTIF('Metrics - Articles'!E841,"*Innovation")</f>
        <v>0</v>
      </c>
      <c r="G919">
        <f>COUNTIF('Metrics - Articles'!E841,"*Corporate*")</f>
        <v>0</v>
      </c>
      <c r="I919" s="53">
        <f t="shared" si="15"/>
        <v>0</v>
      </c>
    </row>
    <row r="920" spans="2:9" hidden="1" x14ac:dyDescent="0.25">
      <c r="B920" s="48">
        <f>+'Metrics - Articles'!C917</f>
        <v>0</v>
      </c>
      <c r="C920">
        <f>COUNTIF('Metrics - Articles'!E842,"*Sports*")</f>
        <v>0</v>
      </c>
      <c r="D920">
        <f>COUNTIF('Metrics - Articles'!E842,"*Youth*")</f>
        <v>0</v>
      </c>
      <c r="E920">
        <f>COUNTIF('Metrics - Articles'!E842,"*Healthcare*")</f>
        <v>0</v>
      </c>
      <c r="F920">
        <f>COUNTIF('Metrics - Articles'!E842,"*Innovation")</f>
        <v>0</v>
      </c>
      <c r="G920">
        <f>COUNTIF('Metrics - Articles'!E842,"*Corporate*")</f>
        <v>0</v>
      </c>
      <c r="I920" s="53">
        <f t="shared" si="15"/>
        <v>0</v>
      </c>
    </row>
    <row r="921" spans="2:9" hidden="1" x14ac:dyDescent="0.25">
      <c r="B921" s="48">
        <f>+'Metrics - Articles'!C918</f>
        <v>0</v>
      </c>
      <c r="C921">
        <f>COUNTIF('Metrics - Articles'!E843,"*Sports*")</f>
        <v>0</v>
      </c>
      <c r="D921">
        <f>COUNTIF('Metrics - Articles'!E843,"*Youth*")</f>
        <v>0</v>
      </c>
      <c r="E921">
        <f>COUNTIF('Metrics - Articles'!E843,"*Healthcare*")</f>
        <v>0</v>
      </c>
      <c r="F921">
        <f>COUNTIF('Metrics - Articles'!E843,"*Innovation")</f>
        <v>0</v>
      </c>
      <c r="G921">
        <f>COUNTIF('Metrics - Articles'!E843,"*Corporate*")</f>
        <v>0</v>
      </c>
      <c r="I921" s="53">
        <f t="shared" si="15"/>
        <v>0</v>
      </c>
    </row>
    <row r="922" spans="2:9" hidden="1" x14ac:dyDescent="0.25">
      <c r="B922" s="48">
        <f>+'Metrics - Articles'!C919</f>
        <v>0</v>
      </c>
      <c r="C922">
        <f>COUNTIF('Metrics - Articles'!E844,"*Sports*")</f>
        <v>0</v>
      </c>
      <c r="D922">
        <f>COUNTIF('Metrics - Articles'!E844,"*Youth*")</f>
        <v>0</v>
      </c>
      <c r="E922">
        <f>COUNTIF('Metrics - Articles'!E844,"*Healthcare*")</f>
        <v>0</v>
      </c>
      <c r="F922">
        <f>COUNTIF('Metrics - Articles'!E844,"*Innovation")</f>
        <v>0</v>
      </c>
      <c r="G922">
        <f>COUNTIF('Metrics - Articles'!E844,"*Corporate*")</f>
        <v>0</v>
      </c>
      <c r="I922" s="53">
        <f t="shared" si="15"/>
        <v>0</v>
      </c>
    </row>
    <row r="923" spans="2:9" hidden="1" x14ac:dyDescent="0.25">
      <c r="B923" s="48">
        <f>+'Metrics - Articles'!C920</f>
        <v>0</v>
      </c>
      <c r="C923">
        <f>COUNTIF('Metrics - Articles'!E845,"*Sports*")</f>
        <v>0</v>
      </c>
      <c r="D923">
        <f>COUNTIF('Metrics - Articles'!E845,"*Youth*")</f>
        <v>0</v>
      </c>
      <c r="E923">
        <f>COUNTIF('Metrics - Articles'!E845,"*Healthcare*")</f>
        <v>0</v>
      </c>
      <c r="F923">
        <f>COUNTIF('Metrics - Articles'!E845,"*Innovation")</f>
        <v>0</v>
      </c>
      <c r="G923">
        <f>COUNTIF('Metrics - Articles'!E845,"*Corporate*")</f>
        <v>0</v>
      </c>
      <c r="I923" s="53">
        <f t="shared" si="15"/>
        <v>0</v>
      </c>
    </row>
    <row r="924" spans="2:9" hidden="1" x14ac:dyDescent="0.25">
      <c r="B924" s="48">
        <f>+'Metrics - Articles'!C921</f>
        <v>0</v>
      </c>
      <c r="C924">
        <f>COUNTIF('Metrics - Articles'!E846,"*Sports*")</f>
        <v>0</v>
      </c>
      <c r="D924">
        <f>COUNTIF('Metrics - Articles'!E846,"*Youth*")</f>
        <v>0</v>
      </c>
      <c r="E924">
        <f>COUNTIF('Metrics - Articles'!E846,"*Healthcare*")</f>
        <v>0</v>
      </c>
      <c r="F924">
        <f>COUNTIF('Metrics - Articles'!E846,"*Innovation")</f>
        <v>0</v>
      </c>
      <c r="G924">
        <f>COUNTIF('Metrics - Articles'!E846,"*Corporate*")</f>
        <v>0</v>
      </c>
      <c r="I924" s="53">
        <f t="shared" si="15"/>
        <v>0</v>
      </c>
    </row>
    <row r="925" spans="2:9" hidden="1" x14ac:dyDescent="0.25">
      <c r="B925" s="48">
        <f>+'Metrics - Articles'!C922</f>
        <v>0</v>
      </c>
      <c r="C925">
        <f>COUNTIF('Metrics - Articles'!E847,"*Sports*")</f>
        <v>0</v>
      </c>
      <c r="D925">
        <f>COUNTIF('Metrics - Articles'!E847,"*Youth*")</f>
        <v>0</v>
      </c>
      <c r="E925">
        <f>COUNTIF('Metrics - Articles'!E847,"*Healthcare*")</f>
        <v>0</v>
      </c>
      <c r="F925">
        <f>COUNTIF('Metrics - Articles'!E847,"*Innovation")</f>
        <v>0</v>
      </c>
      <c r="G925">
        <f>COUNTIF('Metrics - Articles'!E847,"*Corporate*")</f>
        <v>0</v>
      </c>
      <c r="I925" s="53">
        <f t="shared" si="15"/>
        <v>0</v>
      </c>
    </row>
    <row r="926" spans="2:9" hidden="1" x14ac:dyDescent="0.25">
      <c r="B926" s="48">
        <f>+'Metrics - Articles'!C923</f>
        <v>0</v>
      </c>
      <c r="C926">
        <f>COUNTIF('Metrics - Articles'!E848,"*Sports*")</f>
        <v>0</v>
      </c>
      <c r="D926">
        <f>COUNTIF('Metrics - Articles'!E848,"*Youth*")</f>
        <v>0</v>
      </c>
      <c r="E926">
        <f>COUNTIF('Metrics - Articles'!E848,"*Healthcare*")</f>
        <v>0</v>
      </c>
      <c r="F926">
        <f>COUNTIF('Metrics - Articles'!E848,"*Innovation")</f>
        <v>0</v>
      </c>
      <c r="G926">
        <f>COUNTIF('Metrics - Articles'!E848,"*Corporate*")</f>
        <v>0</v>
      </c>
      <c r="I926" s="53">
        <f t="shared" si="15"/>
        <v>0</v>
      </c>
    </row>
    <row r="927" spans="2:9" hidden="1" x14ac:dyDescent="0.25">
      <c r="B927" s="48">
        <f>+'Metrics - Articles'!C924</f>
        <v>0</v>
      </c>
      <c r="C927">
        <f>COUNTIF('Metrics - Articles'!E849,"*Sports*")</f>
        <v>0</v>
      </c>
      <c r="D927">
        <f>COUNTIF('Metrics - Articles'!E849,"*Youth*")</f>
        <v>0</v>
      </c>
      <c r="E927">
        <f>COUNTIF('Metrics - Articles'!E849,"*Healthcare*")</f>
        <v>0</v>
      </c>
      <c r="F927">
        <f>COUNTIF('Metrics - Articles'!E849,"*Innovation")</f>
        <v>0</v>
      </c>
      <c r="G927">
        <f>COUNTIF('Metrics - Articles'!E849,"*Corporate*")</f>
        <v>0</v>
      </c>
      <c r="I927" s="53">
        <f t="shared" si="15"/>
        <v>0</v>
      </c>
    </row>
    <row r="928" spans="2:9" hidden="1" x14ac:dyDescent="0.25">
      <c r="B928" s="48">
        <f>+'Metrics - Articles'!C925</f>
        <v>0</v>
      </c>
      <c r="C928">
        <f>COUNTIF('Metrics - Articles'!E850,"*Sports*")</f>
        <v>0</v>
      </c>
      <c r="D928">
        <f>COUNTIF('Metrics - Articles'!E850,"*Youth*")</f>
        <v>0</v>
      </c>
      <c r="E928">
        <f>COUNTIF('Metrics - Articles'!E850,"*Healthcare*")</f>
        <v>0</v>
      </c>
      <c r="F928">
        <f>COUNTIF('Metrics - Articles'!E850,"*Innovation")</f>
        <v>0</v>
      </c>
      <c r="G928">
        <f>COUNTIF('Metrics - Articles'!E850,"*Corporate*")</f>
        <v>0</v>
      </c>
      <c r="I928" s="53">
        <f t="shared" si="15"/>
        <v>0</v>
      </c>
    </row>
    <row r="929" spans="2:9" hidden="1" x14ac:dyDescent="0.25">
      <c r="B929" s="48">
        <f>+'Metrics - Articles'!C926</f>
        <v>0</v>
      </c>
      <c r="C929">
        <f>COUNTIF('Metrics - Articles'!E851,"*Sports*")</f>
        <v>0</v>
      </c>
      <c r="D929">
        <f>COUNTIF('Metrics - Articles'!E851,"*Youth*")</f>
        <v>0</v>
      </c>
      <c r="E929">
        <f>COUNTIF('Metrics - Articles'!E851,"*Healthcare*")</f>
        <v>0</v>
      </c>
      <c r="F929">
        <f>COUNTIF('Metrics - Articles'!E851,"*Innovation")</f>
        <v>0</v>
      </c>
      <c r="G929">
        <f>COUNTIF('Metrics - Articles'!E851,"*Corporate*")</f>
        <v>0</v>
      </c>
      <c r="I929" s="53">
        <f t="shared" si="15"/>
        <v>0</v>
      </c>
    </row>
    <row r="930" spans="2:9" hidden="1" x14ac:dyDescent="0.25">
      <c r="B930" s="48">
        <f>+'Metrics - Articles'!C927</f>
        <v>0</v>
      </c>
      <c r="C930">
        <f>COUNTIF('Metrics - Articles'!E852,"*Sports*")</f>
        <v>0</v>
      </c>
      <c r="D930">
        <f>COUNTIF('Metrics - Articles'!E852,"*Youth*")</f>
        <v>0</v>
      </c>
      <c r="E930">
        <f>COUNTIF('Metrics - Articles'!E852,"*Healthcare*")</f>
        <v>0</v>
      </c>
      <c r="F930">
        <f>COUNTIF('Metrics - Articles'!E852,"*Innovation")</f>
        <v>0</v>
      </c>
      <c r="G930">
        <f>COUNTIF('Metrics - Articles'!E852,"*Corporate*")</f>
        <v>0</v>
      </c>
      <c r="I930" s="53">
        <f t="shared" si="15"/>
        <v>0</v>
      </c>
    </row>
    <row r="931" spans="2:9" hidden="1" x14ac:dyDescent="0.25">
      <c r="B931" s="48">
        <f>+'Metrics - Articles'!C928</f>
        <v>0</v>
      </c>
      <c r="C931">
        <f>COUNTIF('Metrics - Articles'!E853,"*Sports*")</f>
        <v>0</v>
      </c>
      <c r="D931">
        <f>COUNTIF('Metrics - Articles'!E853,"*Youth*")</f>
        <v>0</v>
      </c>
      <c r="E931">
        <f>COUNTIF('Metrics - Articles'!E853,"*Healthcare*")</f>
        <v>0</v>
      </c>
      <c r="F931">
        <f>COUNTIF('Metrics - Articles'!E853,"*Innovation")</f>
        <v>0</v>
      </c>
      <c r="G931">
        <f>COUNTIF('Metrics - Articles'!E853,"*Corporate*")</f>
        <v>0</v>
      </c>
      <c r="I931" s="53">
        <f t="shared" si="15"/>
        <v>0</v>
      </c>
    </row>
    <row r="932" spans="2:9" hidden="1" x14ac:dyDescent="0.25">
      <c r="B932" s="48">
        <f>+'Metrics - Articles'!C929</f>
        <v>0</v>
      </c>
      <c r="C932">
        <f>COUNTIF('Metrics - Articles'!E854,"*Sports*")</f>
        <v>0</v>
      </c>
      <c r="D932">
        <f>COUNTIF('Metrics - Articles'!E854,"*Youth*")</f>
        <v>0</v>
      </c>
      <c r="E932">
        <f>COUNTIF('Metrics - Articles'!E854,"*Healthcare*")</f>
        <v>0</v>
      </c>
      <c r="F932">
        <f>COUNTIF('Metrics - Articles'!E854,"*Innovation")</f>
        <v>0</v>
      </c>
      <c r="G932">
        <f>COUNTIF('Metrics - Articles'!E854,"*Corporate*")</f>
        <v>0</v>
      </c>
      <c r="I932" s="53">
        <f t="shared" si="15"/>
        <v>0</v>
      </c>
    </row>
    <row r="933" spans="2:9" hidden="1" x14ac:dyDescent="0.25">
      <c r="B933" s="48">
        <f>+'Metrics - Articles'!C930</f>
        <v>0</v>
      </c>
      <c r="C933">
        <f>COUNTIF('Metrics - Articles'!E855,"*Sports*")</f>
        <v>0</v>
      </c>
      <c r="D933">
        <f>COUNTIF('Metrics - Articles'!E855,"*Youth*")</f>
        <v>0</v>
      </c>
      <c r="E933">
        <f>COUNTIF('Metrics - Articles'!E855,"*Healthcare*")</f>
        <v>0</v>
      </c>
      <c r="F933">
        <f>COUNTIF('Metrics - Articles'!E855,"*Innovation")</f>
        <v>0</v>
      </c>
      <c r="G933">
        <f>COUNTIF('Metrics - Articles'!E855,"*Corporate*")</f>
        <v>0</v>
      </c>
      <c r="I933" s="53">
        <f t="shared" si="15"/>
        <v>0</v>
      </c>
    </row>
    <row r="934" spans="2:9" hidden="1" x14ac:dyDescent="0.25">
      <c r="B934" s="48">
        <f>+'Metrics - Articles'!C931</f>
        <v>0</v>
      </c>
      <c r="C934">
        <f>COUNTIF('Metrics - Articles'!E856,"*Sports*")</f>
        <v>0</v>
      </c>
      <c r="D934">
        <f>COUNTIF('Metrics - Articles'!E856,"*Youth*")</f>
        <v>0</v>
      </c>
      <c r="E934">
        <f>COUNTIF('Metrics - Articles'!E856,"*Healthcare*")</f>
        <v>0</v>
      </c>
      <c r="F934">
        <f>COUNTIF('Metrics - Articles'!E856,"*Innovation")</f>
        <v>0</v>
      </c>
      <c r="G934">
        <f>COUNTIF('Metrics - Articles'!E856,"*Corporate*")</f>
        <v>0</v>
      </c>
      <c r="I934" s="53">
        <f t="shared" si="15"/>
        <v>0</v>
      </c>
    </row>
    <row r="935" spans="2:9" hidden="1" x14ac:dyDescent="0.25">
      <c r="B935" s="48">
        <f>+'Metrics - Articles'!C932</f>
        <v>0</v>
      </c>
      <c r="C935">
        <f>COUNTIF('Metrics - Articles'!E857,"*Sports*")</f>
        <v>0</v>
      </c>
      <c r="D935">
        <f>COUNTIF('Metrics - Articles'!E857,"*Youth*")</f>
        <v>0</v>
      </c>
      <c r="E935">
        <f>COUNTIF('Metrics - Articles'!E857,"*Healthcare*")</f>
        <v>0</v>
      </c>
      <c r="F935">
        <f>COUNTIF('Metrics - Articles'!E857,"*Innovation")</f>
        <v>0</v>
      </c>
      <c r="G935">
        <f>COUNTIF('Metrics - Articles'!E857,"*Corporate*")</f>
        <v>0</v>
      </c>
      <c r="I935" s="53">
        <f t="shared" si="15"/>
        <v>0</v>
      </c>
    </row>
    <row r="936" spans="2:9" hidden="1" x14ac:dyDescent="0.25">
      <c r="B936" s="48">
        <f>+'Metrics - Articles'!C933</f>
        <v>0</v>
      </c>
      <c r="C936">
        <f>COUNTIF('Metrics - Articles'!E858,"*Sports*")</f>
        <v>0</v>
      </c>
      <c r="D936">
        <f>COUNTIF('Metrics - Articles'!E858,"*Youth*")</f>
        <v>0</v>
      </c>
      <c r="E936">
        <f>COUNTIF('Metrics - Articles'!E858,"*Healthcare*")</f>
        <v>0</v>
      </c>
      <c r="F936">
        <f>COUNTIF('Metrics - Articles'!E858,"*Innovation")</f>
        <v>0</v>
      </c>
      <c r="G936">
        <f>COUNTIF('Metrics - Articles'!E858,"*Corporate*")</f>
        <v>0</v>
      </c>
      <c r="I936" s="53">
        <f t="shared" si="15"/>
        <v>0</v>
      </c>
    </row>
    <row r="937" spans="2:9" hidden="1" x14ac:dyDescent="0.25">
      <c r="B937" s="48">
        <f>+'Metrics - Articles'!C934</f>
        <v>0</v>
      </c>
      <c r="C937">
        <f>COUNTIF('Metrics - Articles'!E859,"*Sports*")</f>
        <v>0</v>
      </c>
      <c r="D937">
        <f>COUNTIF('Metrics - Articles'!E859,"*Youth*")</f>
        <v>0</v>
      </c>
      <c r="E937">
        <f>COUNTIF('Metrics - Articles'!E859,"*Healthcare*")</f>
        <v>0</v>
      </c>
      <c r="F937">
        <f>COUNTIF('Metrics - Articles'!E859,"*Innovation")</f>
        <v>0</v>
      </c>
      <c r="G937">
        <f>COUNTIF('Metrics - Articles'!E859,"*Corporate*")</f>
        <v>0</v>
      </c>
      <c r="I937" s="53">
        <f t="shared" si="15"/>
        <v>0</v>
      </c>
    </row>
    <row r="938" spans="2:9" hidden="1" x14ac:dyDescent="0.25">
      <c r="B938" s="48">
        <f>+'Metrics - Articles'!C935</f>
        <v>0</v>
      </c>
      <c r="C938">
        <f>COUNTIF('Metrics - Articles'!E860,"*Sports*")</f>
        <v>0</v>
      </c>
      <c r="D938">
        <f>COUNTIF('Metrics - Articles'!E860,"*Youth*")</f>
        <v>0</v>
      </c>
      <c r="E938">
        <f>COUNTIF('Metrics - Articles'!E860,"*Healthcare*")</f>
        <v>0</v>
      </c>
      <c r="F938">
        <f>COUNTIF('Metrics - Articles'!E860,"*Innovation")</f>
        <v>0</v>
      </c>
      <c r="G938">
        <f>COUNTIF('Metrics - Articles'!E860,"*Corporate*")</f>
        <v>0</v>
      </c>
      <c r="I938" s="53">
        <f t="shared" si="15"/>
        <v>0</v>
      </c>
    </row>
    <row r="939" spans="2:9" hidden="1" x14ac:dyDescent="0.25">
      <c r="B939" s="48">
        <f>+'Metrics - Articles'!C936</f>
        <v>0</v>
      </c>
      <c r="C939">
        <f>COUNTIF('Metrics - Articles'!E861,"*Sports*")</f>
        <v>0</v>
      </c>
      <c r="D939">
        <f>COUNTIF('Metrics - Articles'!E861,"*Youth*")</f>
        <v>0</v>
      </c>
      <c r="E939">
        <f>COUNTIF('Metrics - Articles'!E861,"*Healthcare*")</f>
        <v>0</v>
      </c>
      <c r="F939">
        <f>COUNTIF('Metrics - Articles'!E861,"*Innovation")</f>
        <v>0</v>
      </c>
      <c r="G939">
        <f>COUNTIF('Metrics - Articles'!E861,"*Corporate*")</f>
        <v>0</v>
      </c>
      <c r="I939" s="53">
        <f t="shared" si="15"/>
        <v>0</v>
      </c>
    </row>
    <row r="940" spans="2:9" hidden="1" x14ac:dyDescent="0.25">
      <c r="B940" s="48">
        <f>+'Metrics - Articles'!C937</f>
        <v>0</v>
      </c>
      <c r="C940">
        <f>COUNTIF('Metrics - Articles'!E862,"*Sports*")</f>
        <v>0</v>
      </c>
      <c r="D940">
        <f>COUNTIF('Metrics - Articles'!E862,"*Youth*")</f>
        <v>0</v>
      </c>
      <c r="E940">
        <f>COUNTIF('Metrics - Articles'!E862,"*Healthcare*")</f>
        <v>0</v>
      </c>
      <c r="F940">
        <f>COUNTIF('Metrics - Articles'!E862,"*Innovation")</f>
        <v>0</v>
      </c>
      <c r="G940">
        <f>COUNTIF('Metrics - Articles'!E862,"*Corporate*")</f>
        <v>0</v>
      </c>
      <c r="I940" s="53">
        <f t="shared" si="15"/>
        <v>0</v>
      </c>
    </row>
    <row r="941" spans="2:9" hidden="1" x14ac:dyDescent="0.25">
      <c r="B941" s="48">
        <f>+'Metrics - Articles'!C938</f>
        <v>0</v>
      </c>
      <c r="C941">
        <f>COUNTIF('Metrics - Articles'!E863,"*Sports*")</f>
        <v>0</v>
      </c>
      <c r="D941">
        <f>COUNTIF('Metrics - Articles'!E863,"*Youth*")</f>
        <v>0</v>
      </c>
      <c r="E941">
        <f>COUNTIF('Metrics - Articles'!E863,"*Healthcare*")</f>
        <v>0</v>
      </c>
      <c r="F941">
        <f>COUNTIF('Metrics - Articles'!E863,"*Innovation")</f>
        <v>0</v>
      </c>
      <c r="G941">
        <f>COUNTIF('Metrics - Articles'!E863,"*Corporate*")</f>
        <v>0</v>
      </c>
      <c r="I941" s="53">
        <f t="shared" si="15"/>
        <v>0</v>
      </c>
    </row>
    <row r="942" spans="2:9" hidden="1" x14ac:dyDescent="0.25">
      <c r="B942" s="48">
        <f>+'Metrics - Articles'!C939</f>
        <v>0</v>
      </c>
      <c r="C942">
        <f>COUNTIF('Metrics - Articles'!E864,"*Sports*")</f>
        <v>0</v>
      </c>
      <c r="D942">
        <f>COUNTIF('Metrics - Articles'!E864,"*Youth*")</f>
        <v>0</v>
      </c>
      <c r="E942">
        <f>COUNTIF('Metrics - Articles'!E864,"*Healthcare*")</f>
        <v>0</v>
      </c>
      <c r="F942">
        <f>COUNTIF('Metrics - Articles'!E864,"*Innovation")</f>
        <v>0</v>
      </c>
      <c r="G942">
        <f>COUNTIF('Metrics - Articles'!E864,"*Corporate*")</f>
        <v>0</v>
      </c>
      <c r="I942" s="53">
        <f t="shared" si="15"/>
        <v>0</v>
      </c>
    </row>
    <row r="943" spans="2:9" hidden="1" x14ac:dyDescent="0.25">
      <c r="B943" s="48">
        <f>+'Metrics - Articles'!C940</f>
        <v>0</v>
      </c>
      <c r="C943">
        <f>COUNTIF('Metrics - Articles'!E865,"*Sports*")</f>
        <v>0</v>
      </c>
      <c r="D943">
        <f>COUNTIF('Metrics - Articles'!E865,"*Youth*")</f>
        <v>0</v>
      </c>
      <c r="E943">
        <f>COUNTIF('Metrics - Articles'!E865,"*Healthcare*")</f>
        <v>0</v>
      </c>
      <c r="F943">
        <f>COUNTIF('Metrics - Articles'!E865,"*Innovation")</f>
        <v>0</v>
      </c>
      <c r="G943">
        <f>COUNTIF('Metrics - Articles'!E865,"*Corporate*")</f>
        <v>0</v>
      </c>
      <c r="I943" s="53">
        <f t="shared" si="15"/>
        <v>0</v>
      </c>
    </row>
    <row r="944" spans="2:9" hidden="1" x14ac:dyDescent="0.25">
      <c r="B944" s="48">
        <f>+'Metrics - Articles'!C941</f>
        <v>0</v>
      </c>
      <c r="C944">
        <f>COUNTIF('Metrics - Articles'!E866,"*Sports*")</f>
        <v>0</v>
      </c>
      <c r="D944">
        <f>COUNTIF('Metrics - Articles'!E866,"*Youth*")</f>
        <v>0</v>
      </c>
      <c r="E944">
        <f>COUNTIF('Metrics - Articles'!E866,"*Healthcare*")</f>
        <v>0</v>
      </c>
      <c r="F944">
        <f>COUNTIF('Metrics - Articles'!E866,"*Innovation")</f>
        <v>0</v>
      </c>
      <c r="G944">
        <f>COUNTIF('Metrics - Articles'!E866,"*Corporate*")</f>
        <v>0</v>
      </c>
      <c r="I944" s="53">
        <f t="shared" si="15"/>
        <v>0</v>
      </c>
    </row>
    <row r="945" spans="2:9" hidden="1" x14ac:dyDescent="0.25">
      <c r="B945" s="48">
        <f>+'Metrics - Articles'!C942</f>
        <v>0</v>
      </c>
      <c r="C945">
        <f>COUNTIF('Metrics - Articles'!E867,"*Sports*")</f>
        <v>0</v>
      </c>
      <c r="D945">
        <f>COUNTIF('Metrics - Articles'!E867,"*Youth*")</f>
        <v>0</v>
      </c>
      <c r="E945">
        <f>COUNTIF('Metrics - Articles'!E867,"*Healthcare*")</f>
        <v>0</v>
      </c>
      <c r="F945">
        <f>COUNTIF('Metrics - Articles'!E867,"*Innovation")</f>
        <v>0</v>
      </c>
      <c r="G945">
        <f>COUNTIF('Metrics - Articles'!E867,"*Corporate*")</f>
        <v>0</v>
      </c>
      <c r="I945" s="53">
        <f t="shared" si="15"/>
        <v>0</v>
      </c>
    </row>
    <row r="946" spans="2:9" hidden="1" x14ac:dyDescent="0.25">
      <c r="B946" s="48">
        <f>+'Metrics - Articles'!C943</f>
        <v>0</v>
      </c>
      <c r="C946">
        <f>COUNTIF('Metrics - Articles'!E868,"*Sports*")</f>
        <v>0</v>
      </c>
      <c r="D946">
        <f>COUNTIF('Metrics - Articles'!E868,"*Youth*")</f>
        <v>0</v>
      </c>
      <c r="E946">
        <f>COUNTIF('Metrics - Articles'!E868,"*Healthcare*")</f>
        <v>0</v>
      </c>
      <c r="F946">
        <f>COUNTIF('Metrics - Articles'!E868,"*Innovation")</f>
        <v>0</v>
      </c>
      <c r="G946">
        <f>COUNTIF('Metrics - Articles'!E868,"*Corporate*")</f>
        <v>0</v>
      </c>
      <c r="I946" s="53">
        <f t="shared" si="15"/>
        <v>0</v>
      </c>
    </row>
    <row r="947" spans="2:9" hidden="1" x14ac:dyDescent="0.25">
      <c r="B947" s="48">
        <f>+'Metrics - Articles'!C944</f>
        <v>0</v>
      </c>
      <c r="C947">
        <f>COUNTIF('Metrics - Articles'!E869,"*Sports*")</f>
        <v>0</v>
      </c>
      <c r="D947">
        <f>COUNTIF('Metrics - Articles'!E869,"*Youth*")</f>
        <v>0</v>
      </c>
      <c r="E947">
        <f>COUNTIF('Metrics - Articles'!E869,"*Healthcare*")</f>
        <v>0</v>
      </c>
      <c r="F947">
        <f>COUNTIF('Metrics - Articles'!E869,"*Innovation")</f>
        <v>0</v>
      </c>
      <c r="G947">
        <f>COUNTIF('Metrics - Articles'!E869,"*Corporate*")</f>
        <v>0</v>
      </c>
      <c r="I947" s="53">
        <f t="shared" si="15"/>
        <v>0</v>
      </c>
    </row>
    <row r="948" spans="2:9" hidden="1" x14ac:dyDescent="0.25">
      <c r="B948" s="48">
        <f>+'Metrics - Articles'!C945</f>
        <v>0</v>
      </c>
      <c r="C948">
        <f>COUNTIF('Metrics - Articles'!E870,"*Sports*")</f>
        <v>0</v>
      </c>
      <c r="D948">
        <f>COUNTIF('Metrics - Articles'!E870,"*Youth*")</f>
        <v>0</v>
      </c>
      <c r="E948">
        <f>COUNTIF('Metrics - Articles'!E870,"*Healthcare*")</f>
        <v>0</v>
      </c>
      <c r="F948">
        <f>COUNTIF('Metrics - Articles'!E870,"*Innovation")</f>
        <v>0</v>
      </c>
      <c r="G948">
        <f>COUNTIF('Metrics - Articles'!E870,"*Corporate*")</f>
        <v>0</v>
      </c>
      <c r="I948" s="53">
        <f t="shared" si="15"/>
        <v>0</v>
      </c>
    </row>
    <row r="949" spans="2:9" hidden="1" x14ac:dyDescent="0.25">
      <c r="B949" s="48">
        <f>+'Metrics - Articles'!C946</f>
        <v>0</v>
      </c>
      <c r="C949">
        <f>COUNTIF('Metrics - Articles'!E871,"*Sports*")</f>
        <v>0</v>
      </c>
      <c r="D949">
        <f>COUNTIF('Metrics - Articles'!E871,"*Youth*")</f>
        <v>0</v>
      </c>
      <c r="E949">
        <f>COUNTIF('Metrics - Articles'!E871,"*Healthcare*")</f>
        <v>0</v>
      </c>
      <c r="F949">
        <f>COUNTIF('Metrics - Articles'!E871,"*Innovation")</f>
        <v>0</v>
      </c>
      <c r="G949">
        <f>COUNTIF('Metrics - Articles'!E871,"*Corporate*")</f>
        <v>0</v>
      </c>
      <c r="I949" s="53">
        <f t="shared" si="15"/>
        <v>0</v>
      </c>
    </row>
    <row r="950" spans="2:9" hidden="1" x14ac:dyDescent="0.25">
      <c r="B950" s="48">
        <f>+'Metrics - Articles'!C947</f>
        <v>0</v>
      </c>
      <c r="C950">
        <f>COUNTIF('Metrics - Articles'!E872,"*Sports*")</f>
        <v>0</v>
      </c>
      <c r="D950">
        <f>COUNTIF('Metrics - Articles'!E872,"*Youth*")</f>
        <v>0</v>
      </c>
      <c r="E950">
        <f>COUNTIF('Metrics - Articles'!E872,"*Healthcare*")</f>
        <v>0</v>
      </c>
      <c r="F950">
        <f>COUNTIF('Metrics - Articles'!E872,"*Innovation")</f>
        <v>0</v>
      </c>
      <c r="G950">
        <f>COUNTIF('Metrics - Articles'!E872,"*Corporate*")</f>
        <v>0</v>
      </c>
      <c r="I950" s="53">
        <f t="shared" si="15"/>
        <v>0</v>
      </c>
    </row>
    <row r="951" spans="2:9" hidden="1" x14ac:dyDescent="0.25">
      <c r="B951" s="48">
        <f>+'Metrics - Articles'!C948</f>
        <v>0</v>
      </c>
      <c r="C951">
        <f>COUNTIF('Metrics - Articles'!E873,"*Sports*")</f>
        <v>0</v>
      </c>
      <c r="D951">
        <f>COUNTIF('Metrics - Articles'!E873,"*Youth*")</f>
        <v>0</v>
      </c>
      <c r="E951">
        <f>COUNTIF('Metrics - Articles'!E873,"*Healthcare*")</f>
        <v>0</v>
      </c>
      <c r="F951">
        <f>COUNTIF('Metrics - Articles'!E873,"*Innovation")</f>
        <v>0</v>
      </c>
      <c r="G951">
        <f>COUNTIF('Metrics - Articles'!E873,"*Corporate*")</f>
        <v>0</v>
      </c>
      <c r="I951" s="53">
        <f t="shared" si="15"/>
        <v>0</v>
      </c>
    </row>
    <row r="952" spans="2:9" hidden="1" x14ac:dyDescent="0.25">
      <c r="B952" s="48">
        <f>+'Metrics - Articles'!C949</f>
        <v>0</v>
      </c>
      <c r="C952">
        <f>COUNTIF('Metrics - Articles'!E874,"*Sports*")</f>
        <v>0</v>
      </c>
      <c r="D952">
        <f>COUNTIF('Metrics - Articles'!E874,"*Youth*")</f>
        <v>0</v>
      </c>
      <c r="E952">
        <f>COUNTIF('Metrics - Articles'!E874,"*Healthcare*")</f>
        <v>0</v>
      </c>
      <c r="F952">
        <f>COUNTIF('Metrics - Articles'!E874,"*Innovation")</f>
        <v>0</v>
      </c>
      <c r="G952">
        <f>COUNTIF('Metrics - Articles'!E874,"*Corporate*")</f>
        <v>0</v>
      </c>
      <c r="I952" s="53">
        <f t="shared" si="15"/>
        <v>0</v>
      </c>
    </row>
    <row r="953" spans="2:9" hidden="1" x14ac:dyDescent="0.25">
      <c r="B953" s="48">
        <f>+'Metrics - Articles'!C950</f>
        <v>0</v>
      </c>
      <c r="C953">
        <f>COUNTIF('Metrics - Articles'!E875,"*Sports*")</f>
        <v>0</v>
      </c>
      <c r="D953">
        <f>COUNTIF('Metrics - Articles'!E875,"*Youth*")</f>
        <v>0</v>
      </c>
      <c r="E953">
        <f>COUNTIF('Metrics - Articles'!E875,"*Healthcare*")</f>
        <v>0</v>
      </c>
      <c r="F953">
        <f>COUNTIF('Metrics - Articles'!E875,"*Innovation")</f>
        <v>0</v>
      </c>
      <c r="G953">
        <f>COUNTIF('Metrics - Articles'!E875,"*Corporate*")</f>
        <v>0</v>
      </c>
      <c r="I953" s="53">
        <f t="shared" si="15"/>
        <v>0</v>
      </c>
    </row>
    <row r="954" spans="2:9" hidden="1" x14ac:dyDescent="0.25">
      <c r="B954" s="48">
        <f>+'Metrics - Articles'!C951</f>
        <v>0</v>
      </c>
      <c r="C954">
        <f>COUNTIF('Metrics - Articles'!E876,"*Sports*")</f>
        <v>0</v>
      </c>
      <c r="D954">
        <f>COUNTIF('Metrics - Articles'!E876,"*Youth*")</f>
        <v>0</v>
      </c>
      <c r="E954">
        <f>COUNTIF('Metrics - Articles'!E876,"*Healthcare*")</f>
        <v>0</v>
      </c>
      <c r="F954">
        <f>COUNTIF('Metrics - Articles'!E876,"*Innovation")</f>
        <v>0</v>
      </c>
      <c r="G954">
        <f>COUNTIF('Metrics - Articles'!E876,"*Corporate*")</f>
        <v>0</v>
      </c>
      <c r="I954" s="53">
        <f t="shared" si="15"/>
        <v>0</v>
      </c>
    </row>
    <row r="955" spans="2:9" hidden="1" x14ac:dyDescent="0.25">
      <c r="B955" s="48">
        <f>+'Metrics - Articles'!C952</f>
        <v>0</v>
      </c>
      <c r="C955">
        <f>COUNTIF('Metrics - Articles'!E877,"*Sports*")</f>
        <v>0</v>
      </c>
      <c r="D955">
        <f>COUNTIF('Metrics - Articles'!E877,"*Youth*")</f>
        <v>0</v>
      </c>
      <c r="E955">
        <f>COUNTIF('Metrics - Articles'!E877,"*Healthcare*")</f>
        <v>0</v>
      </c>
      <c r="F955">
        <f>COUNTIF('Metrics - Articles'!E877,"*Innovation")</f>
        <v>0</v>
      </c>
      <c r="G955">
        <f>COUNTIF('Metrics - Articles'!E877,"*Corporate*")</f>
        <v>0</v>
      </c>
      <c r="I955" s="53">
        <f t="shared" si="15"/>
        <v>0</v>
      </c>
    </row>
    <row r="956" spans="2:9" hidden="1" x14ac:dyDescent="0.25">
      <c r="B956" s="48">
        <f>+'Metrics - Articles'!C953</f>
        <v>0</v>
      </c>
      <c r="C956">
        <f>COUNTIF('Metrics - Articles'!E878,"*Sports*")</f>
        <v>0</v>
      </c>
      <c r="D956">
        <f>COUNTIF('Metrics - Articles'!E878,"*Youth*")</f>
        <v>0</v>
      </c>
      <c r="E956">
        <f>COUNTIF('Metrics - Articles'!E878,"*Healthcare*")</f>
        <v>0</v>
      </c>
      <c r="F956">
        <f>COUNTIF('Metrics - Articles'!E878,"*Innovation")</f>
        <v>0</v>
      </c>
      <c r="G956">
        <f>COUNTIF('Metrics - Articles'!E878,"*Corporate*")</f>
        <v>0</v>
      </c>
      <c r="I956" s="53">
        <f t="shared" si="15"/>
        <v>0</v>
      </c>
    </row>
    <row r="957" spans="2:9" hidden="1" x14ac:dyDescent="0.25">
      <c r="B957" s="48">
        <f>+'Metrics - Articles'!C954</f>
        <v>0</v>
      </c>
      <c r="C957">
        <f>COUNTIF('Metrics - Articles'!E879,"*Sports*")</f>
        <v>0</v>
      </c>
      <c r="D957">
        <f>COUNTIF('Metrics - Articles'!E879,"*Youth*")</f>
        <v>0</v>
      </c>
      <c r="E957">
        <f>COUNTIF('Metrics - Articles'!E879,"*Healthcare*")</f>
        <v>0</v>
      </c>
      <c r="F957">
        <f>COUNTIF('Metrics - Articles'!E879,"*Innovation")</f>
        <v>0</v>
      </c>
      <c r="G957">
        <f>COUNTIF('Metrics - Articles'!E879,"*Corporate*")</f>
        <v>0</v>
      </c>
      <c r="I957" s="53">
        <f t="shared" si="15"/>
        <v>0</v>
      </c>
    </row>
    <row r="958" spans="2:9" hidden="1" x14ac:dyDescent="0.25">
      <c r="B958" s="48">
        <f>+'Metrics - Articles'!C955</f>
        <v>0</v>
      </c>
      <c r="C958">
        <f>COUNTIF('Metrics - Articles'!E880,"*Sports*")</f>
        <v>0</v>
      </c>
      <c r="D958">
        <f>COUNTIF('Metrics - Articles'!E880,"*Youth*")</f>
        <v>0</v>
      </c>
      <c r="E958">
        <f>COUNTIF('Metrics - Articles'!E880,"*Healthcare*")</f>
        <v>0</v>
      </c>
      <c r="F958">
        <f>COUNTIF('Metrics - Articles'!E880,"*Innovation")</f>
        <v>0</v>
      </c>
      <c r="G958">
        <f>COUNTIF('Metrics - Articles'!E880,"*Corporate*")</f>
        <v>0</v>
      </c>
      <c r="I958" s="53">
        <f t="shared" si="15"/>
        <v>0</v>
      </c>
    </row>
    <row r="959" spans="2:9" hidden="1" x14ac:dyDescent="0.25">
      <c r="B959" s="48">
        <f>+'Metrics - Articles'!C956</f>
        <v>0</v>
      </c>
      <c r="C959">
        <f>COUNTIF('Metrics - Articles'!E881,"*Sports*")</f>
        <v>0</v>
      </c>
      <c r="D959">
        <f>COUNTIF('Metrics - Articles'!E881,"*Youth*")</f>
        <v>0</v>
      </c>
      <c r="E959">
        <f>COUNTIF('Metrics - Articles'!E881,"*Healthcare*")</f>
        <v>0</v>
      </c>
      <c r="F959">
        <f>COUNTIF('Metrics - Articles'!E881,"*Innovation")</f>
        <v>0</v>
      </c>
      <c r="G959">
        <f>COUNTIF('Metrics - Articles'!E881,"*Corporate*")</f>
        <v>0</v>
      </c>
      <c r="I959" s="53">
        <f t="shared" si="15"/>
        <v>0</v>
      </c>
    </row>
    <row r="960" spans="2:9" hidden="1" x14ac:dyDescent="0.25">
      <c r="B960" s="48">
        <f>+'Metrics - Articles'!C957</f>
        <v>0</v>
      </c>
      <c r="C960">
        <f>COUNTIF('Metrics - Articles'!E882,"*Sports*")</f>
        <v>0</v>
      </c>
      <c r="D960">
        <f>COUNTIF('Metrics - Articles'!E882,"*Youth*")</f>
        <v>0</v>
      </c>
      <c r="E960">
        <f>COUNTIF('Metrics - Articles'!E882,"*Healthcare*")</f>
        <v>0</v>
      </c>
      <c r="F960">
        <f>COUNTIF('Metrics - Articles'!E882,"*Innovation")</f>
        <v>0</v>
      </c>
      <c r="G960">
        <f>COUNTIF('Metrics - Articles'!E882,"*Corporate*")</f>
        <v>0</v>
      </c>
      <c r="I960" s="53">
        <f t="shared" si="15"/>
        <v>0</v>
      </c>
    </row>
    <row r="961" spans="2:9" hidden="1" x14ac:dyDescent="0.25">
      <c r="B961" s="48">
        <f>+'Metrics - Articles'!C958</f>
        <v>0</v>
      </c>
      <c r="C961">
        <f>COUNTIF('Metrics - Articles'!E883,"*Sports*")</f>
        <v>0</v>
      </c>
      <c r="D961">
        <f>COUNTIF('Metrics - Articles'!E883,"*Youth*")</f>
        <v>0</v>
      </c>
      <c r="E961">
        <f>COUNTIF('Metrics - Articles'!E883,"*Healthcare*")</f>
        <v>0</v>
      </c>
      <c r="F961">
        <f>COUNTIF('Metrics - Articles'!E883,"*Innovation")</f>
        <v>0</v>
      </c>
      <c r="G961">
        <f>COUNTIF('Metrics - Articles'!E883,"*Corporate*")</f>
        <v>0</v>
      </c>
      <c r="I961" s="53">
        <f t="shared" si="15"/>
        <v>0</v>
      </c>
    </row>
    <row r="962" spans="2:9" hidden="1" x14ac:dyDescent="0.25">
      <c r="B962" s="48">
        <f>+'Metrics - Articles'!C959</f>
        <v>0</v>
      </c>
      <c r="C962">
        <f>COUNTIF('Metrics - Articles'!E884,"*Sports*")</f>
        <v>0</v>
      </c>
      <c r="D962">
        <f>COUNTIF('Metrics - Articles'!E884,"*Youth*")</f>
        <v>0</v>
      </c>
      <c r="E962">
        <f>COUNTIF('Metrics - Articles'!E884,"*Healthcare*")</f>
        <v>0</v>
      </c>
      <c r="F962">
        <f>COUNTIF('Metrics - Articles'!E884,"*Innovation")</f>
        <v>0</v>
      </c>
      <c r="G962">
        <f>COUNTIF('Metrics - Articles'!E884,"*Corporate*")</f>
        <v>0</v>
      </c>
      <c r="I962" s="53">
        <f t="shared" si="15"/>
        <v>0</v>
      </c>
    </row>
    <row r="963" spans="2:9" hidden="1" x14ac:dyDescent="0.25">
      <c r="B963" s="48">
        <f>+'Metrics - Articles'!C960</f>
        <v>0</v>
      </c>
      <c r="C963">
        <f>COUNTIF('Metrics - Articles'!E885,"*Sports*")</f>
        <v>0</v>
      </c>
      <c r="D963">
        <f>COUNTIF('Metrics - Articles'!E885,"*Youth*")</f>
        <v>0</v>
      </c>
      <c r="E963">
        <f>COUNTIF('Metrics - Articles'!E885,"*Healthcare*")</f>
        <v>0</v>
      </c>
      <c r="F963">
        <f>COUNTIF('Metrics - Articles'!E885,"*Innovation")</f>
        <v>0</v>
      </c>
      <c r="G963">
        <f>COUNTIF('Metrics - Articles'!E885,"*Corporate*")</f>
        <v>0</v>
      </c>
      <c r="I963" s="53">
        <f t="shared" si="15"/>
        <v>0</v>
      </c>
    </row>
    <row r="964" spans="2:9" hidden="1" x14ac:dyDescent="0.25">
      <c r="B964" s="48">
        <f>+'Metrics - Articles'!C961</f>
        <v>0</v>
      </c>
      <c r="C964">
        <f>COUNTIF('Metrics - Articles'!E886,"*Sports*")</f>
        <v>0</v>
      </c>
      <c r="D964">
        <f>COUNTIF('Metrics - Articles'!E886,"*Youth*")</f>
        <v>0</v>
      </c>
      <c r="E964">
        <f>COUNTIF('Metrics - Articles'!E886,"*Healthcare*")</f>
        <v>0</v>
      </c>
      <c r="F964">
        <f>COUNTIF('Metrics - Articles'!E886,"*Innovation")</f>
        <v>0</v>
      </c>
      <c r="G964">
        <f>COUNTIF('Metrics - Articles'!E886,"*Corporate*")</f>
        <v>0</v>
      </c>
      <c r="I964" s="53">
        <f t="shared" si="15"/>
        <v>0</v>
      </c>
    </row>
    <row r="965" spans="2:9" hidden="1" x14ac:dyDescent="0.25">
      <c r="B965" s="48">
        <f>+'Metrics - Articles'!C962</f>
        <v>0</v>
      </c>
      <c r="C965">
        <f>COUNTIF('Metrics - Articles'!E887,"*Sports*")</f>
        <v>0</v>
      </c>
      <c r="D965">
        <f>COUNTIF('Metrics - Articles'!E887,"*Youth*")</f>
        <v>0</v>
      </c>
      <c r="E965">
        <f>COUNTIF('Metrics - Articles'!E887,"*Healthcare*")</f>
        <v>0</v>
      </c>
      <c r="F965">
        <f>COUNTIF('Metrics - Articles'!E887,"*Innovation")</f>
        <v>0</v>
      </c>
      <c r="G965">
        <f>COUNTIF('Metrics - Articles'!E887,"*Corporate*")</f>
        <v>0</v>
      </c>
      <c r="I965" s="53">
        <f t="shared" si="15"/>
        <v>0</v>
      </c>
    </row>
    <row r="966" spans="2:9" hidden="1" x14ac:dyDescent="0.25">
      <c r="B966" s="48">
        <f>+'Metrics - Articles'!C963</f>
        <v>0</v>
      </c>
      <c r="C966">
        <f>COUNTIF('Metrics - Articles'!E888,"*Sports*")</f>
        <v>0</v>
      </c>
      <c r="D966">
        <f>COUNTIF('Metrics - Articles'!E888,"*Youth*")</f>
        <v>0</v>
      </c>
      <c r="E966">
        <f>COUNTIF('Metrics - Articles'!E888,"*Healthcare*")</f>
        <v>0</v>
      </c>
      <c r="F966">
        <f>COUNTIF('Metrics - Articles'!E888,"*Innovation")</f>
        <v>0</v>
      </c>
      <c r="G966">
        <f>COUNTIF('Metrics - Articles'!E888,"*Corporate*")</f>
        <v>0</v>
      </c>
      <c r="I966" s="53">
        <f t="shared" si="15"/>
        <v>0</v>
      </c>
    </row>
    <row r="967" spans="2:9" hidden="1" x14ac:dyDescent="0.25">
      <c r="B967" s="48">
        <f>+'Metrics - Articles'!C964</f>
        <v>0</v>
      </c>
      <c r="C967">
        <f>COUNTIF('Metrics - Articles'!E889,"*Sports*")</f>
        <v>0</v>
      </c>
      <c r="D967">
        <f>COUNTIF('Metrics - Articles'!E889,"*Youth*")</f>
        <v>0</v>
      </c>
      <c r="E967">
        <f>COUNTIF('Metrics - Articles'!E889,"*Healthcare*")</f>
        <v>0</v>
      </c>
      <c r="F967">
        <f>COUNTIF('Metrics - Articles'!E889,"*Innovation")</f>
        <v>0</v>
      </c>
      <c r="G967">
        <f>COUNTIF('Metrics - Articles'!E889,"*Corporate*")</f>
        <v>0</v>
      </c>
      <c r="I967" s="53">
        <f t="shared" si="15"/>
        <v>0</v>
      </c>
    </row>
    <row r="968" spans="2:9" hidden="1" x14ac:dyDescent="0.25">
      <c r="B968" s="48">
        <f>+'Metrics - Articles'!C965</f>
        <v>0</v>
      </c>
      <c r="C968">
        <f>COUNTIF('Metrics - Articles'!E890,"*Sports*")</f>
        <v>0</v>
      </c>
      <c r="D968">
        <f>COUNTIF('Metrics - Articles'!E890,"*Youth*")</f>
        <v>0</v>
      </c>
      <c r="E968">
        <f>COUNTIF('Metrics - Articles'!E890,"*Healthcare*")</f>
        <v>0</v>
      </c>
      <c r="F968">
        <f>COUNTIF('Metrics - Articles'!E890,"*Innovation")</f>
        <v>0</v>
      </c>
      <c r="G968">
        <f>COUNTIF('Metrics - Articles'!E890,"*Corporate*")</f>
        <v>0</v>
      </c>
      <c r="I968" s="53">
        <f t="shared" ref="I968:I1003" si="16">SUM(C968:H968)</f>
        <v>0</v>
      </c>
    </row>
    <row r="969" spans="2:9" hidden="1" x14ac:dyDescent="0.25">
      <c r="B969" s="48">
        <f>+'Metrics - Articles'!C966</f>
        <v>0</v>
      </c>
      <c r="C969">
        <f>COUNTIF('Metrics - Articles'!E891,"*Sports*")</f>
        <v>0</v>
      </c>
      <c r="D969">
        <f>COUNTIF('Metrics - Articles'!E891,"*Youth*")</f>
        <v>0</v>
      </c>
      <c r="E969">
        <f>COUNTIF('Metrics - Articles'!E891,"*Healthcare*")</f>
        <v>0</v>
      </c>
      <c r="F969">
        <f>COUNTIF('Metrics - Articles'!E891,"*Innovation")</f>
        <v>0</v>
      </c>
      <c r="G969">
        <f>COUNTIF('Metrics - Articles'!E891,"*Corporate*")</f>
        <v>0</v>
      </c>
      <c r="I969" s="53">
        <f t="shared" si="16"/>
        <v>0</v>
      </c>
    </row>
    <row r="970" spans="2:9" hidden="1" x14ac:dyDescent="0.25">
      <c r="B970" s="48">
        <f>+'Metrics - Articles'!C967</f>
        <v>0</v>
      </c>
      <c r="C970">
        <f>COUNTIF('Metrics - Articles'!E892,"*Sports*")</f>
        <v>0</v>
      </c>
      <c r="D970">
        <f>COUNTIF('Metrics - Articles'!E892,"*Youth*")</f>
        <v>0</v>
      </c>
      <c r="E970">
        <f>COUNTIF('Metrics - Articles'!E892,"*Healthcare*")</f>
        <v>0</v>
      </c>
      <c r="F970">
        <f>COUNTIF('Metrics - Articles'!E892,"*Innovation")</f>
        <v>0</v>
      </c>
      <c r="G970">
        <f>COUNTIF('Metrics - Articles'!E892,"*Corporate*")</f>
        <v>0</v>
      </c>
      <c r="I970" s="53">
        <f t="shared" si="16"/>
        <v>0</v>
      </c>
    </row>
    <row r="971" spans="2:9" hidden="1" x14ac:dyDescent="0.25">
      <c r="B971" s="48">
        <f>+'Metrics - Articles'!C968</f>
        <v>0</v>
      </c>
      <c r="C971">
        <f>COUNTIF('Metrics - Articles'!E893,"*Sports*")</f>
        <v>0</v>
      </c>
      <c r="D971">
        <f>COUNTIF('Metrics - Articles'!E893,"*Youth*")</f>
        <v>0</v>
      </c>
      <c r="E971">
        <f>COUNTIF('Metrics - Articles'!E893,"*Healthcare*")</f>
        <v>0</v>
      </c>
      <c r="F971">
        <f>COUNTIF('Metrics - Articles'!E893,"*Innovation")</f>
        <v>0</v>
      </c>
      <c r="G971">
        <f>COUNTIF('Metrics - Articles'!E893,"*Corporate*")</f>
        <v>0</v>
      </c>
      <c r="I971" s="53">
        <f t="shared" si="16"/>
        <v>0</v>
      </c>
    </row>
    <row r="972" spans="2:9" hidden="1" x14ac:dyDescent="0.25">
      <c r="B972" s="48">
        <f>+'Metrics - Articles'!C969</f>
        <v>0</v>
      </c>
      <c r="C972">
        <f>COUNTIF('Metrics - Articles'!E894,"*Sports*")</f>
        <v>0</v>
      </c>
      <c r="D972">
        <f>COUNTIF('Metrics - Articles'!E894,"*Youth*")</f>
        <v>0</v>
      </c>
      <c r="E972">
        <f>COUNTIF('Metrics - Articles'!E894,"*Healthcare*")</f>
        <v>0</v>
      </c>
      <c r="F972">
        <f>COUNTIF('Metrics - Articles'!E894,"*Innovation")</f>
        <v>0</v>
      </c>
      <c r="G972">
        <f>COUNTIF('Metrics - Articles'!E894,"*Corporate*")</f>
        <v>0</v>
      </c>
      <c r="I972" s="53">
        <f t="shared" si="16"/>
        <v>0</v>
      </c>
    </row>
    <row r="973" spans="2:9" hidden="1" x14ac:dyDescent="0.25">
      <c r="B973" s="48">
        <f>+'Metrics - Articles'!C970</f>
        <v>0</v>
      </c>
      <c r="C973">
        <f>COUNTIF('Metrics - Articles'!E895,"*Sports*")</f>
        <v>0</v>
      </c>
      <c r="D973">
        <f>COUNTIF('Metrics - Articles'!E895,"*Youth*")</f>
        <v>0</v>
      </c>
      <c r="E973">
        <f>COUNTIF('Metrics - Articles'!E895,"*Healthcare*")</f>
        <v>0</v>
      </c>
      <c r="F973">
        <f>COUNTIF('Metrics - Articles'!E895,"*Innovation")</f>
        <v>0</v>
      </c>
      <c r="G973">
        <f>COUNTIF('Metrics - Articles'!E895,"*Corporate*")</f>
        <v>0</v>
      </c>
      <c r="I973" s="53">
        <f t="shared" si="16"/>
        <v>0</v>
      </c>
    </row>
    <row r="974" spans="2:9" hidden="1" x14ac:dyDescent="0.25">
      <c r="B974" s="48">
        <f>+'Metrics - Articles'!C971</f>
        <v>0</v>
      </c>
      <c r="C974">
        <f>COUNTIF('Metrics - Articles'!E896,"*Sports*")</f>
        <v>0</v>
      </c>
      <c r="D974">
        <f>COUNTIF('Metrics - Articles'!E896,"*Youth*")</f>
        <v>0</v>
      </c>
      <c r="E974">
        <f>COUNTIF('Metrics - Articles'!E896,"*Healthcare*")</f>
        <v>0</v>
      </c>
      <c r="F974">
        <f>COUNTIF('Metrics - Articles'!E896,"*Innovation")</f>
        <v>0</v>
      </c>
      <c r="G974">
        <f>COUNTIF('Metrics - Articles'!E896,"*Corporate*")</f>
        <v>0</v>
      </c>
      <c r="I974" s="53">
        <f t="shared" si="16"/>
        <v>0</v>
      </c>
    </row>
    <row r="975" spans="2:9" hidden="1" x14ac:dyDescent="0.25">
      <c r="B975" s="48">
        <f>+'Metrics - Articles'!C972</f>
        <v>0</v>
      </c>
      <c r="C975">
        <f>COUNTIF('Metrics - Articles'!E897,"*Sports*")</f>
        <v>0</v>
      </c>
      <c r="D975">
        <f>COUNTIF('Metrics - Articles'!E897,"*Youth*")</f>
        <v>0</v>
      </c>
      <c r="E975">
        <f>COUNTIF('Metrics - Articles'!E897,"*Healthcare*")</f>
        <v>0</v>
      </c>
      <c r="F975">
        <f>COUNTIF('Metrics - Articles'!E897,"*Innovation")</f>
        <v>0</v>
      </c>
      <c r="G975">
        <f>COUNTIF('Metrics - Articles'!E897,"*Corporate*")</f>
        <v>0</v>
      </c>
      <c r="I975" s="53">
        <f t="shared" si="16"/>
        <v>0</v>
      </c>
    </row>
    <row r="976" spans="2:9" hidden="1" x14ac:dyDescent="0.25">
      <c r="B976" s="48">
        <f>+'Metrics - Articles'!C973</f>
        <v>0</v>
      </c>
      <c r="C976">
        <f>COUNTIF('Metrics - Articles'!E898,"*Sports*")</f>
        <v>0</v>
      </c>
      <c r="D976">
        <f>COUNTIF('Metrics - Articles'!E898,"*Youth*")</f>
        <v>0</v>
      </c>
      <c r="E976">
        <f>COUNTIF('Metrics - Articles'!E898,"*Healthcare*")</f>
        <v>0</v>
      </c>
      <c r="F976">
        <f>COUNTIF('Metrics - Articles'!E898,"*Innovation")</f>
        <v>0</v>
      </c>
      <c r="G976">
        <f>COUNTIF('Metrics - Articles'!E898,"*Corporate*")</f>
        <v>0</v>
      </c>
      <c r="I976" s="53">
        <f t="shared" si="16"/>
        <v>0</v>
      </c>
    </row>
    <row r="977" spans="2:9" hidden="1" x14ac:dyDescent="0.25">
      <c r="B977" s="48">
        <f>+'Metrics - Articles'!C974</f>
        <v>0</v>
      </c>
      <c r="C977">
        <f>COUNTIF('Metrics - Articles'!E899,"*Sports*")</f>
        <v>0</v>
      </c>
      <c r="D977">
        <f>COUNTIF('Metrics - Articles'!E899,"*Youth*")</f>
        <v>0</v>
      </c>
      <c r="E977">
        <f>COUNTIF('Metrics - Articles'!E899,"*Healthcare*")</f>
        <v>0</v>
      </c>
      <c r="F977">
        <f>COUNTIF('Metrics - Articles'!E899,"*Innovation")</f>
        <v>0</v>
      </c>
      <c r="G977">
        <f>COUNTIF('Metrics - Articles'!E899,"*Corporate*")</f>
        <v>0</v>
      </c>
      <c r="I977" s="53">
        <f t="shared" si="16"/>
        <v>0</v>
      </c>
    </row>
    <row r="978" spans="2:9" hidden="1" x14ac:dyDescent="0.25">
      <c r="B978" s="48">
        <f>+'Metrics - Articles'!C975</f>
        <v>0</v>
      </c>
      <c r="C978">
        <f>COUNTIF('Metrics - Articles'!E900,"*Sports*")</f>
        <v>0</v>
      </c>
      <c r="D978">
        <f>COUNTIF('Metrics - Articles'!E900,"*Youth*")</f>
        <v>0</v>
      </c>
      <c r="E978">
        <f>COUNTIF('Metrics - Articles'!E900,"*Healthcare*")</f>
        <v>0</v>
      </c>
      <c r="F978">
        <f>COUNTIF('Metrics - Articles'!E900,"*Innovation")</f>
        <v>0</v>
      </c>
      <c r="G978">
        <f>COUNTIF('Metrics - Articles'!E900,"*Corporate*")</f>
        <v>0</v>
      </c>
      <c r="I978" s="53">
        <f t="shared" si="16"/>
        <v>0</v>
      </c>
    </row>
    <row r="979" spans="2:9" hidden="1" x14ac:dyDescent="0.25">
      <c r="B979" s="48">
        <f>+'Metrics - Articles'!C976</f>
        <v>0</v>
      </c>
      <c r="C979">
        <f>COUNTIF('Metrics - Articles'!E901,"*Sports*")</f>
        <v>0</v>
      </c>
      <c r="D979">
        <f>COUNTIF('Metrics - Articles'!E901,"*Youth*")</f>
        <v>0</v>
      </c>
      <c r="E979">
        <f>COUNTIF('Metrics - Articles'!E901,"*Healthcare*")</f>
        <v>0</v>
      </c>
      <c r="F979">
        <f>COUNTIF('Metrics - Articles'!E901,"*Innovation")</f>
        <v>0</v>
      </c>
      <c r="G979">
        <f>COUNTIF('Metrics - Articles'!E901,"*Corporate*")</f>
        <v>0</v>
      </c>
      <c r="I979" s="53">
        <f t="shared" si="16"/>
        <v>0</v>
      </c>
    </row>
    <row r="980" spans="2:9" hidden="1" x14ac:dyDescent="0.25">
      <c r="B980" s="48">
        <f>+'Metrics - Articles'!C977</f>
        <v>0</v>
      </c>
      <c r="C980">
        <f>COUNTIF('Metrics - Articles'!E902,"*Sports*")</f>
        <v>0</v>
      </c>
      <c r="D980">
        <f>COUNTIF('Metrics - Articles'!E902,"*Youth*")</f>
        <v>0</v>
      </c>
      <c r="E980">
        <f>COUNTIF('Metrics - Articles'!E902,"*Healthcare*")</f>
        <v>0</v>
      </c>
      <c r="F980">
        <f>COUNTIF('Metrics - Articles'!E902,"*Innovation")</f>
        <v>0</v>
      </c>
      <c r="G980">
        <f>COUNTIF('Metrics - Articles'!E902,"*Corporate*")</f>
        <v>0</v>
      </c>
      <c r="I980" s="53">
        <f t="shared" si="16"/>
        <v>0</v>
      </c>
    </row>
    <row r="981" spans="2:9" hidden="1" x14ac:dyDescent="0.25">
      <c r="B981" s="48">
        <f>+'Metrics - Articles'!C978</f>
        <v>0</v>
      </c>
      <c r="C981">
        <f>COUNTIF('Metrics - Articles'!E903,"*Sports*")</f>
        <v>0</v>
      </c>
      <c r="D981">
        <f>COUNTIF('Metrics - Articles'!E903,"*Youth*")</f>
        <v>0</v>
      </c>
      <c r="E981">
        <f>COUNTIF('Metrics - Articles'!E903,"*Healthcare*")</f>
        <v>0</v>
      </c>
      <c r="F981">
        <f>COUNTIF('Metrics - Articles'!E903,"*Innovation")</f>
        <v>0</v>
      </c>
      <c r="G981">
        <f>COUNTIF('Metrics - Articles'!E903,"*Corporate*")</f>
        <v>0</v>
      </c>
      <c r="I981" s="53">
        <f t="shared" si="16"/>
        <v>0</v>
      </c>
    </row>
    <row r="982" spans="2:9" hidden="1" x14ac:dyDescent="0.25">
      <c r="B982" s="48">
        <f>+'Metrics - Articles'!C979</f>
        <v>0</v>
      </c>
      <c r="C982">
        <f>COUNTIF('Metrics - Articles'!E904,"*Sports*")</f>
        <v>0</v>
      </c>
      <c r="D982">
        <f>COUNTIF('Metrics - Articles'!E904,"*Youth*")</f>
        <v>0</v>
      </c>
      <c r="E982">
        <f>COUNTIF('Metrics - Articles'!E904,"*Healthcare*")</f>
        <v>0</v>
      </c>
      <c r="F982">
        <f>COUNTIF('Metrics - Articles'!E904,"*Innovation")</f>
        <v>0</v>
      </c>
      <c r="G982">
        <f>COUNTIF('Metrics - Articles'!E904,"*Corporate*")</f>
        <v>0</v>
      </c>
      <c r="I982" s="53">
        <f t="shared" si="16"/>
        <v>0</v>
      </c>
    </row>
    <row r="983" spans="2:9" hidden="1" x14ac:dyDescent="0.25">
      <c r="B983" s="48">
        <f>+'Metrics - Articles'!C980</f>
        <v>0</v>
      </c>
      <c r="C983">
        <f>COUNTIF('Metrics - Articles'!E905,"*Sports*")</f>
        <v>0</v>
      </c>
      <c r="D983">
        <f>COUNTIF('Metrics - Articles'!E905,"*Youth*")</f>
        <v>0</v>
      </c>
      <c r="E983">
        <f>COUNTIF('Metrics - Articles'!E905,"*Healthcare*")</f>
        <v>0</v>
      </c>
      <c r="F983">
        <f>COUNTIF('Metrics - Articles'!E905,"*Innovation")</f>
        <v>0</v>
      </c>
      <c r="G983">
        <f>COUNTIF('Metrics - Articles'!E905,"*Corporate*")</f>
        <v>0</v>
      </c>
      <c r="I983" s="53">
        <f t="shared" si="16"/>
        <v>0</v>
      </c>
    </row>
    <row r="984" spans="2:9" hidden="1" x14ac:dyDescent="0.25">
      <c r="B984" s="48">
        <f>+'Metrics - Articles'!C981</f>
        <v>0</v>
      </c>
      <c r="C984">
        <f>COUNTIF('Metrics - Articles'!E906,"*Sports*")</f>
        <v>0</v>
      </c>
      <c r="D984">
        <f>COUNTIF('Metrics - Articles'!E906,"*Youth*")</f>
        <v>0</v>
      </c>
      <c r="E984">
        <f>COUNTIF('Metrics - Articles'!E906,"*Healthcare*")</f>
        <v>0</v>
      </c>
      <c r="F984">
        <f>COUNTIF('Metrics - Articles'!E906,"*Innovation")</f>
        <v>0</v>
      </c>
      <c r="G984">
        <f>COUNTIF('Metrics - Articles'!E906,"*Corporate*")</f>
        <v>0</v>
      </c>
      <c r="I984" s="53">
        <f t="shared" si="16"/>
        <v>0</v>
      </c>
    </row>
    <row r="985" spans="2:9" hidden="1" x14ac:dyDescent="0.25">
      <c r="B985" s="48">
        <f>+'Metrics - Articles'!C982</f>
        <v>0</v>
      </c>
      <c r="C985">
        <f>COUNTIF('Metrics - Articles'!E907,"*Sports*")</f>
        <v>0</v>
      </c>
      <c r="D985">
        <f>COUNTIF('Metrics - Articles'!E907,"*Youth*")</f>
        <v>0</v>
      </c>
      <c r="E985">
        <f>COUNTIF('Metrics - Articles'!E907,"*Healthcare*")</f>
        <v>0</v>
      </c>
      <c r="F985">
        <f>COUNTIF('Metrics - Articles'!E907,"*Innovation")</f>
        <v>0</v>
      </c>
      <c r="G985">
        <f>COUNTIF('Metrics - Articles'!E907,"*Corporate*")</f>
        <v>0</v>
      </c>
      <c r="I985" s="53">
        <f t="shared" si="16"/>
        <v>0</v>
      </c>
    </row>
    <row r="986" spans="2:9" hidden="1" x14ac:dyDescent="0.25">
      <c r="B986" s="48">
        <f>+'Metrics - Articles'!C983</f>
        <v>0</v>
      </c>
      <c r="C986">
        <f>COUNTIF('Metrics - Articles'!E908,"*Sports*")</f>
        <v>0</v>
      </c>
      <c r="D986">
        <f>COUNTIF('Metrics - Articles'!E908,"*Youth*")</f>
        <v>0</v>
      </c>
      <c r="E986">
        <f>COUNTIF('Metrics - Articles'!E908,"*Healthcare*")</f>
        <v>0</v>
      </c>
      <c r="F986">
        <f>COUNTIF('Metrics - Articles'!E908,"*Innovation")</f>
        <v>0</v>
      </c>
      <c r="G986">
        <f>COUNTIF('Metrics - Articles'!E908,"*Corporate*")</f>
        <v>0</v>
      </c>
      <c r="I986" s="53">
        <f t="shared" si="16"/>
        <v>0</v>
      </c>
    </row>
    <row r="987" spans="2:9" hidden="1" x14ac:dyDescent="0.25">
      <c r="B987" s="48">
        <f>+'Metrics - Articles'!C984</f>
        <v>0</v>
      </c>
      <c r="C987">
        <f>COUNTIF('Metrics - Articles'!E909,"*Sports*")</f>
        <v>0</v>
      </c>
      <c r="D987">
        <f>COUNTIF('Metrics - Articles'!E909,"*Youth*")</f>
        <v>0</v>
      </c>
      <c r="E987">
        <f>COUNTIF('Metrics - Articles'!E909,"*Healthcare*")</f>
        <v>0</v>
      </c>
      <c r="F987">
        <f>COUNTIF('Metrics - Articles'!E909,"*Innovation")</f>
        <v>0</v>
      </c>
      <c r="G987">
        <f>COUNTIF('Metrics - Articles'!E909,"*Corporate*")</f>
        <v>0</v>
      </c>
      <c r="I987" s="53">
        <f t="shared" si="16"/>
        <v>0</v>
      </c>
    </row>
    <row r="988" spans="2:9" hidden="1" x14ac:dyDescent="0.25">
      <c r="B988" s="48">
        <f>+'Metrics - Articles'!C985</f>
        <v>0</v>
      </c>
      <c r="C988">
        <f>COUNTIF('Metrics - Articles'!E910,"*Sports*")</f>
        <v>0</v>
      </c>
      <c r="D988">
        <f>COUNTIF('Metrics - Articles'!E910,"*Youth*")</f>
        <v>0</v>
      </c>
      <c r="E988">
        <f>COUNTIF('Metrics - Articles'!E910,"*Healthcare*")</f>
        <v>0</v>
      </c>
      <c r="F988">
        <f>COUNTIF('Metrics - Articles'!E910,"*Innovation")</f>
        <v>0</v>
      </c>
      <c r="G988">
        <f>COUNTIF('Metrics - Articles'!E910,"*Corporate*")</f>
        <v>0</v>
      </c>
      <c r="I988" s="53">
        <f t="shared" si="16"/>
        <v>0</v>
      </c>
    </row>
    <row r="989" spans="2:9" hidden="1" x14ac:dyDescent="0.25">
      <c r="B989" s="48">
        <f>+'Metrics - Articles'!C986</f>
        <v>0</v>
      </c>
      <c r="C989">
        <f>COUNTIF('Metrics - Articles'!E911,"*Sports*")</f>
        <v>0</v>
      </c>
      <c r="D989">
        <f>COUNTIF('Metrics - Articles'!E911,"*Youth*")</f>
        <v>0</v>
      </c>
      <c r="E989">
        <f>COUNTIF('Metrics - Articles'!E911,"*Healthcare*")</f>
        <v>0</v>
      </c>
      <c r="F989">
        <f>COUNTIF('Metrics - Articles'!E911,"*Innovation")</f>
        <v>0</v>
      </c>
      <c r="G989">
        <f>COUNTIF('Metrics - Articles'!E911,"*Corporate*")</f>
        <v>0</v>
      </c>
      <c r="I989" s="53">
        <f t="shared" si="16"/>
        <v>0</v>
      </c>
    </row>
    <row r="990" spans="2:9" hidden="1" x14ac:dyDescent="0.25">
      <c r="B990" s="48">
        <f>+'Metrics - Articles'!C987</f>
        <v>0</v>
      </c>
      <c r="C990">
        <f>COUNTIF('Metrics - Articles'!E912,"*Sports*")</f>
        <v>0</v>
      </c>
      <c r="D990">
        <f>COUNTIF('Metrics - Articles'!E912,"*Youth*")</f>
        <v>0</v>
      </c>
      <c r="E990">
        <f>COUNTIF('Metrics - Articles'!E912,"*Healthcare*")</f>
        <v>0</v>
      </c>
      <c r="F990">
        <f>COUNTIF('Metrics - Articles'!E912,"*Innovation")</f>
        <v>0</v>
      </c>
      <c r="G990">
        <f>COUNTIF('Metrics - Articles'!E912,"*Corporate*")</f>
        <v>0</v>
      </c>
      <c r="I990" s="53">
        <f t="shared" si="16"/>
        <v>0</v>
      </c>
    </row>
    <row r="991" spans="2:9" hidden="1" x14ac:dyDescent="0.25">
      <c r="B991" s="48">
        <f>+'Metrics - Articles'!C988</f>
        <v>0</v>
      </c>
      <c r="C991">
        <f>COUNTIF('Metrics - Articles'!E913,"*Sports*")</f>
        <v>0</v>
      </c>
      <c r="D991">
        <f>COUNTIF('Metrics - Articles'!E913,"*Youth*")</f>
        <v>0</v>
      </c>
      <c r="E991">
        <f>COUNTIF('Metrics - Articles'!E913,"*Healthcare*")</f>
        <v>0</v>
      </c>
      <c r="F991">
        <f>COUNTIF('Metrics - Articles'!E913,"*Innovation")</f>
        <v>0</v>
      </c>
      <c r="G991">
        <f>COUNTIF('Metrics - Articles'!E913,"*Corporate*")</f>
        <v>0</v>
      </c>
      <c r="I991" s="53">
        <f t="shared" si="16"/>
        <v>0</v>
      </c>
    </row>
    <row r="992" spans="2:9" hidden="1" x14ac:dyDescent="0.25">
      <c r="B992" s="48">
        <f>+'Metrics - Articles'!C989</f>
        <v>0</v>
      </c>
      <c r="C992">
        <f>COUNTIF('Metrics - Articles'!E914,"*Sports*")</f>
        <v>0</v>
      </c>
      <c r="D992">
        <f>COUNTIF('Metrics - Articles'!E914,"*Youth*")</f>
        <v>0</v>
      </c>
      <c r="E992">
        <f>COUNTIF('Metrics - Articles'!E914,"*Healthcare*")</f>
        <v>0</v>
      </c>
      <c r="F992">
        <f>COUNTIF('Metrics - Articles'!E914,"*Innovation")</f>
        <v>0</v>
      </c>
      <c r="G992">
        <f>COUNTIF('Metrics - Articles'!E914,"*Corporate*")</f>
        <v>0</v>
      </c>
      <c r="I992" s="53">
        <f t="shared" si="16"/>
        <v>0</v>
      </c>
    </row>
    <row r="993" spans="2:9" hidden="1" x14ac:dyDescent="0.25">
      <c r="B993" s="48">
        <f>+'Metrics - Articles'!C990</f>
        <v>0</v>
      </c>
      <c r="C993">
        <f>COUNTIF('Metrics - Articles'!E915,"*Sports*")</f>
        <v>0</v>
      </c>
      <c r="D993">
        <f>COUNTIF('Metrics - Articles'!E915,"*Youth*")</f>
        <v>0</v>
      </c>
      <c r="E993">
        <f>COUNTIF('Metrics - Articles'!E915,"*Healthcare*")</f>
        <v>0</v>
      </c>
      <c r="F993">
        <f>COUNTIF('Metrics - Articles'!E915,"*Innovation")</f>
        <v>0</v>
      </c>
      <c r="G993">
        <f>COUNTIF('Metrics - Articles'!E915,"*Corporate*")</f>
        <v>0</v>
      </c>
      <c r="I993" s="53">
        <f t="shared" si="16"/>
        <v>0</v>
      </c>
    </row>
    <row r="994" spans="2:9" hidden="1" x14ac:dyDescent="0.25">
      <c r="B994" s="48">
        <f>+'Metrics - Articles'!C991</f>
        <v>0</v>
      </c>
      <c r="C994">
        <f>COUNTIF('Metrics - Articles'!E916,"*Sports*")</f>
        <v>0</v>
      </c>
      <c r="D994">
        <f>COUNTIF('Metrics - Articles'!E916,"*Youth*")</f>
        <v>0</v>
      </c>
      <c r="E994">
        <f>COUNTIF('Metrics - Articles'!E916,"*Healthcare*")</f>
        <v>0</v>
      </c>
      <c r="F994">
        <f>COUNTIF('Metrics - Articles'!E916,"*Innovation")</f>
        <v>0</v>
      </c>
      <c r="G994">
        <f>COUNTIF('Metrics - Articles'!E916,"*Corporate*")</f>
        <v>0</v>
      </c>
      <c r="I994" s="53">
        <f t="shared" si="16"/>
        <v>0</v>
      </c>
    </row>
    <row r="995" spans="2:9" hidden="1" x14ac:dyDescent="0.25">
      <c r="B995" s="48">
        <f>+'Metrics - Articles'!C992</f>
        <v>0</v>
      </c>
      <c r="C995">
        <f>COUNTIF('Metrics - Articles'!E917,"*Sports*")</f>
        <v>0</v>
      </c>
      <c r="D995">
        <f>COUNTIF('Metrics - Articles'!E917,"*Youth*")</f>
        <v>0</v>
      </c>
      <c r="E995">
        <f>COUNTIF('Metrics - Articles'!E917,"*Healthcare*")</f>
        <v>0</v>
      </c>
      <c r="F995">
        <f>COUNTIF('Metrics - Articles'!E917,"*Innovation")</f>
        <v>0</v>
      </c>
      <c r="G995">
        <f>COUNTIF('Metrics - Articles'!E917,"*Corporate*")</f>
        <v>0</v>
      </c>
      <c r="I995" s="53">
        <f t="shared" si="16"/>
        <v>0</v>
      </c>
    </row>
    <row r="996" spans="2:9" hidden="1" x14ac:dyDescent="0.25">
      <c r="B996" s="48">
        <f>+'Metrics - Articles'!C993</f>
        <v>0</v>
      </c>
      <c r="C996">
        <f>COUNTIF('Metrics - Articles'!E918,"*Sports*")</f>
        <v>0</v>
      </c>
      <c r="D996">
        <f>COUNTIF('Metrics - Articles'!E918,"*Youth*")</f>
        <v>0</v>
      </c>
      <c r="E996">
        <f>COUNTIF('Metrics - Articles'!E918,"*Healthcare*")</f>
        <v>0</v>
      </c>
      <c r="F996">
        <f>COUNTIF('Metrics - Articles'!E918,"*Innovation")</f>
        <v>0</v>
      </c>
      <c r="G996">
        <f>COUNTIF('Metrics - Articles'!E918,"*Corporate*")</f>
        <v>0</v>
      </c>
      <c r="I996" s="53">
        <f t="shared" si="16"/>
        <v>0</v>
      </c>
    </row>
    <row r="997" spans="2:9" hidden="1" x14ac:dyDescent="0.25">
      <c r="B997" s="48">
        <f>+'Metrics - Articles'!C994</f>
        <v>0</v>
      </c>
      <c r="C997">
        <f>COUNTIF('Metrics - Articles'!E919,"*Sports*")</f>
        <v>0</v>
      </c>
      <c r="D997">
        <f>COUNTIF('Metrics - Articles'!E919,"*Youth*")</f>
        <v>0</v>
      </c>
      <c r="E997">
        <f>COUNTIF('Metrics - Articles'!E919,"*Healthcare*")</f>
        <v>0</v>
      </c>
      <c r="F997">
        <f>COUNTIF('Metrics - Articles'!E919,"*Innovation")</f>
        <v>0</v>
      </c>
      <c r="G997">
        <f>COUNTIF('Metrics - Articles'!E919,"*Corporate*")</f>
        <v>0</v>
      </c>
      <c r="I997" s="53">
        <f t="shared" si="16"/>
        <v>0</v>
      </c>
    </row>
    <row r="998" spans="2:9" hidden="1" x14ac:dyDescent="0.25">
      <c r="B998" s="48">
        <f>+'Metrics - Articles'!C995</f>
        <v>0</v>
      </c>
      <c r="C998">
        <f>COUNTIF('Metrics - Articles'!E920,"*Sports*")</f>
        <v>0</v>
      </c>
      <c r="D998">
        <f>COUNTIF('Metrics - Articles'!E920,"*Youth*")</f>
        <v>0</v>
      </c>
      <c r="E998">
        <f>COUNTIF('Metrics - Articles'!E920,"*Healthcare*")</f>
        <v>0</v>
      </c>
      <c r="F998">
        <f>COUNTIF('Metrics - Articles'!E920,"*Innovation")</f>
        <v>0</v>
      </c>
      <c r="G998">
        <f>COUNTIF('Metrics - Articles'!E920,"*Corporate*")</f>
        <v>0</v>
      </c>
      <c r="I998" s="53">
        <f t="shared" si="16"/>
        <v>0</v>
      </c>
    </row>
    <row r="999" spans="2:9" hidden="1" x14ac:dyDescent="0.25">
      <c r="B999" s="48">
        <f>+'Metrics - Articles'!C996</f>
        <v>0</v>
      </c>
      <c r="C999">
        <f>COUNTIF('Metrics - Articles'!E921,"*Sports*")</f>
        <v>0</v>
      </c>
      <c r="D999">
        <f>COUNTIF('Metrics - Articles'!E921,"*Youth*")</f>
        <v>0</v>
      </c>
      <c r="E999">
        <f>COUNTIF('Metrics - Articles'!E921,"*Healthcare*")</f>
        <v>0</v>
      </c>
      <c r="F999">
        <f>COUNTIF('Metrics - Articles'!E921,"*Innovation")</f>
        <v>0</v>
      </c>
      <c r="G999">
        <f>COUNTIF('Metrics - Articles'!E921,"*Corporate*")</f>
        <v>0</v>
      </c>
      <c r="I999" s="53">
        <f t="shared" si="16"/>
        <v>0</v>
      </c>
    </row>
    <row r="1000" spans="2:9" hidden="1" x14ac:dyDescent="0.25">
      <c r="B1000" s="48">
        <f>+'Metrics - Articles'!C997</f>
        <v>0</v>
      </c>
      <c r="C1000">
        <f>COUNTIF('Metrics - Articles'!E922,"*Sports*")</f>
        <v>0</v>
      </c>
      <c r="D1000">
        <f>COUNTIF('Metrics - Articles'!E922,"*Youth*")</f>
        <v>0</v>
      </c>
      <c r="E1000">
        <f>COUNTIF('Metrics - Articles'!E922,"*Healthcare*")</f>
        <v>0</v>
      </c>
      <c r="F1000">
        <f>COUNTIF('Metrics - Articles'!E922,"*Innovation")</f>
        <v>0</v>
      </c>
      <c r="G1000">
        <f>COUNTIF('Metrics - Articles'!E922,"*Corporate*")</f>
        <v>0</v>
      </c>
      <c r="I1000" s="53">
        <f t="shared" si="16"/>
        <v>0</v>
      </c>
    </row>
    <row r="1001" spans="2:9" hidden="1" x14ac:dyDescent="0.25">
      <c r="B1001" s="48">
        <f>+'Metrics - Articles'!C998</f>
        <v>0</v>
      </c>
      <c r="C1001">
        <f>COUNTIF('Metrics - Articles'!E923,"*Sports*")</f>
        <v>0</v>
      </c>
      <c r="D1001">
        <f>COUNTIF('Metrics - Articles'!E923,"*Youth*")</f>
        <v>0</v>
      </c>
      <c r="E1001">
        <f>COUNTIF('Metrics - Articles'!E923,"*Healthcare*")</f>
        <v>0</v>
      </c>
      <c r="F1001">
        <f>COUNTIF('Metrics - Articles'!E923,"*Innovation")</f>
        <v>0</v>
      </c>
      <c r="G1001">
        <f>COUNTIF('Metrics - Articles'!E923,"*Corporate*")</f>
        <v>0</v>
      </c>
      <c r="I1001" s="53">
        <f t="shared" si="16"/>
        <v>0</v>
      </c>
    </row>
    <row r="1002" spans="2:9" hidden="1" x14ac:dyDescent="0.25">
      <c r="B1002" s="48">
        <f>+'Metrics - Articles'!C999</f>
        <v>0</v>
      </c>
      <c r="C1002">
        <f>COUNTIF('Metrics - Articles'!E924,"*Sports*")</f>
        <v>0</v>
      </c>
      <c r="D1002">
        <f>COUNTIF('Metrics - Articles'!E924,"*Youth*")</f>
        <v>0</v>
      </c>
      <c r="E1002">
        <f>COUNTIF('Metrics - Articles'!E924,"*Healthcare*")</f>
        <v>0</v>
      </c>
      <c r="F1002">
        <f>COUNTIF('Metrics - Articles'!E924,"*Innovation")</f>
        <v>0</v>
      </c>
      <c r="G1002">
        <f>COUNTIF('Metrics - Articles'!E924,"*Corporate*")</f>
        <v>0</v>
      </c>
      <c r="I1002" s="53">
        <f t="shared" si="16"/>
        <v>0</v>
      </c>
    </row>
    <row r="1003" spans="2:9" hidden="1" x14ac:dyDescent="0.25">
      <c r="B1003" s="48">
        <f>+'Metrics - Articles'!C1000</f>
        <v>0</v>
      </c>
      <c r="C1003">
        <f>COUNTIF('Metrics - Articles'!E925,"*Sports*")</f>
        <v>0</v>
      </c>
      <c r="D1003">
        <f>COUNTIF('Metrics - Articles'!E925,"*Youth*")</f>
        <v>0</v>
      </c>
      <c r="E1003">
        <f>COUNTIF('Metrics - Articles'!E925,"*Healthcare*")</f>
        <v>0</v>
      </c>
      <c r="F1003">
        <f>COUNTIF('Metrics - Articles'!E925,"*Innovation")</f>
        <v>0</v>
      </c>
      <c r="G1003">
        <f>COUNTIF('Metrics - Articles'!E925,"*Corporate*")</f>
        <v>0</v>
      </c>
      <c r="I1003" s="53">
        <f t="shared" si="16"/>
        <v>0</v>
      </c>
    </row>
  </sheetData>
  <autoFilter ref="B8:I1003">
    <filterColumn colId="0">
      <filters>
        <dateGroupItem year="2015" month="10" dateTimeGrouping="month"/>
        <dateGroupItem year="2015" month="11" dateTimeGrouping="month"/>
        <dateGroupItem year="2015" month="12" dateTimeGrouping="month"/>
      </filters>
    </filterColumn>
  </autoFilter>
  <mergeCells count="1">
    <mergeCell ref="K1:K5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79998168889431442"/>
  </sheetPr>
  <dimension ref="B5:S1003"/>
  <sheetViews>
    <sheetView workbookViewId="0">
      <selection activeCell="P9" sqref="P9:P1003"/>
    </sheetView>
  </sheetViews>
  <sheetFormatPr baseColWidth="10" defaultColWidth="9.140625" defaultRowHeight="15" x14ac:dyDescent="0.25"/>
  <cols>
    <col min="2" max="2" width="9.7109375" bestFit="1" customWidth="1"/>
    <col min="3" max="3" width="12" bestFit="1" customWidth="1"/>
    <col min="6" max="6" width="10.5703125" bestFit="1" customWidth="1"/>
  </cols>
  <sheetData>
    <row r="5" spans="2:19" ht="28.5" x14ac:dyDescent="0.45">
      <c r="C5" s="170" t="s">
        <v>501</v>
      </c>
      <c r="D5" s="170"/>
      <c r="E5" s="170"/>
      <c r="F5" s="170"/>
      <c r="G5" s="170"/>
      <c r="H5" s="170"/>
      <c r="I5" s="170"/>
      <c r="J5" s="170"/>
      <c r="K5" s="170"/>
      <c r="L5" s="170"/>
      <c r="M5" s="170"/>
      <c r="N5" s="170"/>
      <c r="O5" s="170"/>
      <c r="P5" s="170"/>
    </row>
    <row r="6" spans="2:19" ht="21.75" thickBot="1" x14ac:dyDescent="0.4">
      <c r="C6" s="106">
        <f>C8/$R$8</f>
        <v>1.7721518987341773E-2</v>
      </c>
      <c r="D6" s="106">
        <f t="shared" ref="D6:P6" si="0">D8/$R$8</f>
        <v>6.8354430379746839E-2</v>
      </c>
      <c r="E6" s="106">
        <f t="shared" si="0"/>
        <v>1.5189873417721518E-2</v>
      </c>
      <c r="F6" s="106">
        <f t="shared" si="0"/>
        <v>0.19493670886075951</v>
      </c>
      <c r="G6" s="106">
        <f t="shared" si="0"/>
        <v>8.6075949367088608E-2</v>
      </c>
      <c r="H6" s="106">
        <f t="shared" si="0"/>
        <v>3.2911392405063293E-2</v>
      </c>
      <c r="I6" s="106">
        <f t="shared" si="0"/>
        <v>5.5696202531645568E-2</v>
      </c>
      <c r="J6" s="106">
        <f t="shared" si="0"/>
        <v>0.14683544303797469</v>
      </c>
      <c r="K6" s="106">
        <f t="shared" si="0"/>
        <v>0.11139240506329114</v>
      </c>
      <c r="L6" s="106">
        <f t="shared" si="0"/>
        <v>2.0253164556962026E-2</v>
      </c>
      <c r="M6" s="106">
        <f t="shared" si="0"/>
        <v>1.5189873417721518E-2</v>
      </c>
      <c r="N6" s="106">
        <f t="shared" si="0"/>
        <v>1.0126582278481013E-2</v>
      </c>
      <c r="O6" s="106">
        <f t="shared" si="0"/>
        <v>2.7848101265822784E-2</v>
      </c>
      <c r="P6" s="106">
        <f t="shared" si="0"/>
        <v>0.19746835443037974</v>
      </c>
      <c r="S6" s="107"/>
    </row>
    <row r="7" spans="2:19" ht="282.75" thickBot="1" x14ac:dyDescent="0.3">
      <c r="B7" s="49" t="s">
        <v>479</v>
      </c>
      <c r="C7" s="50" t="s">
        <v>328</v>
      </c>
      <c r="D7" s="50" t="s">
        <v>28</v>
      </c>
      <c r="E7" s="50" t="s">
        <v>26</v>
      </c>
      <c r="F7" s="50" t="s">
        <v>27</v>
      </c>
      <c r="G7" s="50" t="s">
        <v>329</v>
      </c>
      <c r="H7" s="50" t="s">
        <v>35</v>
      </c>
      <c r="I7" s="50" t="s">
        <v>29</v>
      </c>
      <c r="J7" s="50" t="s">
        <v>30</v>
      </c>
      <c r="K7" s="50" t="s">
        <v>31</v>
      </c>
      <c r="L7" s="50" t="s">
        <v>327</v>
      </c>
      <c r="M7" s="50" t="s">
        <v>32</v>
      </c>
      <c r="N7" s="50" t="s">
        <v>33</v>
      </c>
      <c r="O7" s="50" t="s">
        <v>34</v>
      </c>
      <c r="P7" s="50" t="s">
        <v>361</v>
      </c>
      <c r="R7" s="51" t="s">
        <v>480</v>
      </c>
    </row>
    <row r="8" spans="2:19" ht="15.75" thickBot="1" x14ac:dyDescent="0.3">
      <c r="B8" s="49" t="s">
        <v>481</v>
      </c>
      <c r="C8" s="123">
        <f>SUBTOTAL(9,C9:C1157)</f>
        <v>7</v>
      </c>
      <c r="D8" s="123">
        <f t="shared" ref="D8:P8" si="1">SUBTOTAL(9,D9:D1157)</f>
        <v>27</v>
      </c>
      <c r="E8" s="123">
        <f t="shared" si="1"/>
        <v>6</v>
      </c>
      <c r="F8" s="123">
        <f t="shared" si="1"/>
        <v>77</v>
      </c>
      <c r="G8" s="123">
        <f t="shared" si="1"/>
        <v>34</v>
      </c>
      <c r="H8" s="123">
        <f t="shared" si="1"/>
        <v>13</v>
      </c>
      <c r="I8" s="123">
        <f t="shared" si="1"/>
        <v>22</v>
      </c>
      <c r="J8" s="123">
        <f t="shared" si="1"/>
        <v>58</v>
      </c>
      <c r="K8" s="123">
        <f t="shared" si="1"/>
        <v>44</v>
      </c>
      <c r="L8" s="123">
        <f t="shared" si="1"/>
        <v>8</v>
      </c>
      <c r="M8" s="123">
        <f t="shared" si="1"/>
        <v>6</v>
      </c>
      <c r="N8" s="123">
        <f t="shared" si="1"/>
        <v>4</v>
      </c>
      <c r="O8" s="123">
        <f t="shared" si="1"/>
        <v>11</v>
      </c>
      <c r="P8" s="123">
        <f t="shared" si="1"/>
        <v>78</v>
      </c>
      <c r="Q8" s="125"/>
      <c r="R8" s="124">
        <f>SUM(C8:Q8)</f>
        <v>395</v>
      </c>
    </row>
    <row r="9" spans="2:19" x14ac:dyDescent="0.25">
      <c r="B9" s="48">
        <f>+'Metrics - Articles'!C8</f>
        <v>42005</v>
      </c>
      <c r="C9">
        <f>COUNTIF('Metrics - Articles'!F8,"*GPO (Partner, Ecosystem, Channels)*")</f>
        <v>0</v>
      </c>
      <c r="D9">
        <f>COUNTIF('Metrics - Articles'!F8,"*Office of the CEO*")</f>
        <v>0</v>
      </c>
      <c r="E9">
        <f>COUNTIF('Metrics - Articles'!F8,"*Services Delivery &amp; Support (go-lives and deployments) *")</f>
        <v>0</v>
      </c>
      <c r="F9">
        <f>COUNTIF('Metrics - Articles'!F8,"*Human Resources (SAP HR and employee stories)*")</f>
        <v>0</v>
      </c>
      <c r="G9">
        <f>COUNTIF('Metrics - Articles'!F8,"*P&amp;I (Research &amp; Development)*")</f>
        <v>0</v>
      </c>
      <c r="H9">
        <f>COUNTIF('Metrics - Articles'!F8,"*Business Network (Concur, Ariba, Fieldglass)*")</f>
        <v>0</v>
      </c>
      <c r="I9">
        <f>COUNTIF('Metrics - Articles'!F8,"*GCO – Regions*")</f>
        <v>0</v>
      </c>
      <c r="J9">
        <f>COUNTIF('Metrics - Articles'!F8,"*GCO – Platform Solutions*")</f>
        <v>0</v>
      </c>
      <c r="K9">
        <f>COUNTIF('Metrics - Articles'!F8,"*GCO – Industry Cloud *")</f>
        <v>0</v>
      </c>
      <c r="L9">
        <f>COUNTIF('Metrics - Articles'!F8,"*GCO – Customer Engagement &amp; Commerce (CRM &amp; hybris) *")</f>
        <v>0</v>
      </c>
      <c r="M9">
        <f>COUNTIF('Metrics - Articles'!F8,"*GCO – HR (SuccessFactors)*")</f>
        <v>0</v>
      </c>
      <c r="N9">
        <f>COUNTIF('Metrics - Articles'!F8,"*GCO – Services Sales*")</f>
        <v>0</v>
      </c>
      <c r="O9">
        <f>COUNTIF('Metrics - Articles'!F8,"*GCO – Other*")</f>
        <v>0</v>
      </c>
      <c r="P9">
        <f>COUNTIF('Metrics - Articles'!F8,"*Corporate*")</f>
        <v>1</v>
      </c>
      <c r="R9" s="53">
        <f>SUM(C9:Q9)</f>
        <v>1</v>
      </c>
    </row>
    <row r="10" spans="2:19" x14ac:dyDescent="0.25">
      <c r="B10" s="48">
        <f>+'Metrics - Articles'!C9</f>
        <v>42005</v>
      </c>
      <c r="C10">
        <f>COUNTIF('Metrics - Articles'!F9,"*GPO (Partner, Ecosystem, Channels)*")</f>
        <v>0</v>
      </c>
      <c r="D10">
        <f>COUNTIF('Metrics - Articles'!F9,"*Office of the CEO*")</f>
        <v>0</v>
      </c>
      <c r="E10">
        <f>COUNTIF('Metrics - Articles'!F9,"*Services Delivery &amp; Support (go-lives and deployments) *")</f>
        <v>0</v>
      </c>
      <c r="F10">
        <f>COUNTIF('Metrics - Articles'!F9,"*Human Resources (SAP HR and employee stories)*")</f>
        <v>0</v>
      </c>
      <c r="G10">
        <f>COUNTIF('Metrics - Articles'!F9,"*P&amp;I (Research &amp; Development)*")</f>
        <v>1</v>
      </c>
      <c r="H10">
        <f>COUNTIF('Metrics - Articles'!F9,"*Business Network (Concur, Ariba, Fieldglass)*")</f>
        <v>0</v>
      </c>
      <c r="I10">
        <f>COUNTIF('Metrics - Articles'!F9,"*GCO – Regions*")</f>
        <v>0</v>
      </c>
      <c r="J10">
        <f>COUNTIF('Metrics - Articles'!F9,"*GCO – Platform Solutions*")</f>
        <v>0</v>
      </c>
      <c r="K10">
        <f>COUNTIF('Metrics - Articles'!F9,"*GCO – Industry Cloud *")</f>
        <v>0</v>
      </c>
      <c r="L10">
        <f>COUNTIF('Metrics - Articles'!F9,"*GCO – Customer Engagement &amp; Commerce (CRM &amp; hybris) *")</f>
        <v>0</v>
      </c>
      <c r="M10">
        <f>COUNTIF('Metrics - Articles'!F9,"*GCO – HR (SuccessFactors)*")</f>
        <v>0</v>
      </c>
      <c r="N10">
        <f>COUNTIF('Metrics - Articles'!F9,"*GCO – Services Sales*")</f>
        <v>0</v>
      </c>
      <c r="O10">
        <f>COUNTIF('Metrics - Articles'!F9,"*GCO – Other*")</f>
        <v>0</v>
      </c>
      <c r="P10">
        <f>COUNTIF('Metrics - Articles'!F9,"*Corporate*")</f>
        <v>0</v>
      </c>
      <c r="R10" s="53">
        <f t="shared" ref="R10:R73" si="2">SUM(C10:Q10)</f>
        <v>1</v>
      </c>
    </row>
    <row r="11" spans="2:19" x14ac:dyDescent="0.25">
      <c r="B11" s="48">
        <f>+'Metrics - Articles'!C10</f>
        <v>42005</v>
      </c>
      <c r="C11">
        <f>COUNTIF('Metrics - Articles'!F10,"*GPO (Partner, Ecosystem, Channels)*")</f>
        <v>0</v>
      </c>
      <c r="D11">
        <f>COUNTIF('Metrics - Articles'!F10,"*Office of the CEO*")</f>
        <v>0</v>
      </c>
      <c r="E11">
        <f>COUNTIF('Metrics - Articles'!F10,"*Services Delivery &amp; Support (go-lives and deployments) *")</f>
        <v>0</v>
      </c>
      <c r="F11">
        <f>COUNTIF('Metrics - Articles'!F10,"*Human Resources (SAP HR and employee stories)*")</f>
        <v>0</v>
      </c>
      <c r="G11">
        <f>COUNTIF('Metrics - Articles'!F10,"*P&amp;I (Research &amp; Development)*")</f>
        <v>0</v>
      </c>
      <c r="H11">
        <f>COUNTIF('Metrics - Articles'!F10,"*Business Network (Concur, Ariba, Fieldglass)*")</f>
        <v>0</v>
      </c>
      <c r="I11">
        <f>COUNTIF('Metrics - Articles'!F10,"*GCO – Regions*")</f>
        <v>0</v>
      </c>
      <c r="J11">
        <f>COUNTIF('Metrics - Articles'!F10,"*GCO – Platform Solutions*")</f>
        <v>1</v>
      </c>
      <c r="K11">
        <f>COUNTIF('Metrics - Articles'!F10,"*GCO – Industry Cloud *")</f>
        <v>0</v>
      </c>
      <c r="L11">
        <f>COUNTIF('Metrics - Articles'!F10,"*GCO – Customer Engagement &amp; Commerce (CRM &amp; hybris) *")</f>
        <v>0</v>
      </c>
      <c r="M11">
        <f>COUNTIF('Metrics - Articles'!F10,"*GCO – HR (SuccessFactors)*")</f>
        <v>0</v>
      </c>
      <c r="N11">
        <f>COUNTIF('Metrics - Articles'!F10,"*GCO – Services Sales*")</f>
        <v>0</v>
      </c>
      <c r="O11">
        <f>COUNTIF('Metrics - Articles'!F10,"*GCO – Other*")</f>
        <v>0</v>
      </c>
      <c r="P11">
        <f>COUNTIF('Metrics - Articles'!F10,"*Corporate*")</f>
        <v>0</v>
      </c>
      <c r="R11" s="53">
        <f t="shared" si="2"/>
        <v>1</v>
      </c>
    </row>
    <row r="12" spans="2:19" x14ac:dyDescent="0.25">
      <c r="B12" s="48">
        <f>+'Metrics - Articles'!C11</f>
        <v>42006</v>
      </c>
      <c r="C12">
        <f>COUNTIF('Metrics - Articles'!F11,"*GPO (Partner, Ecosystem, Channels)*")</f>
        <v>1</v>
      </c>
      <c r="D12">
        <f>COUNTIF('Metrics - Articles'!F11,"*Office of the CEO*")</f>
        <v>0</v>
      </c>
      <c r="E12">
        <f>COUNTIF('Metrics - Articles'!F11,"*Services Delivery &amp; Support (go-lives and deployments) *")</f>
        <v>0</v>
      </c>
      <c r="F12">
        <f>COUNTIF('Metrics - Articles'!F11,"*Human Resources (SAP HR and employee stories)*")</f>
        <v>0</v>
      </c>
      <c r="G12">
        <f>COUNTIF('Metrics - Articles'!F11,"*P&amp;I (Research &amp; Development)*")</f>
        <v>0</v>
      </c>
      <c r="H12">
        <f>COUNTIF('Metrics - Articles'!F11,"*Business Network (Concur, Ariba, Fieldglass)*")</f>
        <v>0</v>
      </c>
      <c r="I12">
        <f>COUNTIF('Metrics - Articles'!F11,"*GCO – Regions*")</f>
        <v>0</v>
      </c>
      <c r="J12">
        <f>COUNTIF('Metrics - Articles'!F11,"*GCO – Platform Solutions*")</f>
        <v>0</v>
      </c>
      <c r="K12">
        <f>COUNTIF('Metrics - Articles'!F11,"*GCO – Industry Cloud *")</f>
        <v>0</v>
      </c>
      <c r="L12">
        <f>COUNTIF('Metrics - Articles'!F11,"*GCO – Customer Engagement &amp; Commerce (CRM &amp; hybris) *")</f>
        <v>0</v>
      </c>
      <c r="M12">
        <f>COUNTIF('Metrics - Articles'!F11,"*GCO – HR (SuccessFactors)*")</f>
        <v>0</v>
      </c>
      <c r="N12">
        <f>COUNTIF('Metrics - Articles'!F11,"*GCO – Services Sales*")</f>
        <v>0</v>
      </c>
      <c r="O12">
        <f>COUNTIF('Metrics - Articles'!F11,"*GCO – Other*")</f>
        <v>0</v>
      </c>
      <c r="P12">
        <f>COUNTIF('Metrics - Articles'!F11,"*Corporate*")</f>
        <v>0</v>
      </c>
      <c r="R12" s="53">
        <f t="shared" si="2"/>
        <v>1</v>
      </c>
    </row>
    <row r="13" spans="2:19" x14ac:dyDescent="0.25">
      <c r="B13" s="48">
        <f>+'Metrics - Articles'!C12</f>
        <v>42009</v>
      </c>
      <c r="C13">
        <f>COUNTIF('Metrics - Articles'!F12,"*GPO (Partner, Ecosystem, Channels)*")</f>
        <v>0</v>
      </c>
      <c r="D13">
        <f>COUNTIF('Metrics - Articles'!F12,"*Office of the CEO*")</f>
        <v>0</v>
      </c>
      <c r="E13">
        <f>COUNTIF('Metrics - Articles'!F12,"*Services Delivery &amp; Support (go-lives and deployments) *")</f>
        <v>0</v>
      </c>
      <c r="F13">
        <f>COUNTIF('Metrics - Articles'!F12,"*Human Resources (SAP HR and employee stories)*")</f>
        <v>0</v>
      </c>
      <c r="G13">
        <f>COUNTIF('Metrics - Articles'!F12,"*P&amp;I (Research &amp; Development)*")</f>
        <v>0</v>
      </c>
      <c r="H13">
        <f>COUNTIF('Metrics - Articles'!F12,"*Business Network (Concur, Ariba, Fieldglass)*")</f>
        <v>0</v>
      </c>
      <c r="I13">
        <f>COUNTIF('Metrics - Articles'!F12,"*GCO – Regions*")</f>
        <v>0</v>
      </c>
      <c r="J13">
        <f>COUNTIF('Metrics - Articles'!F12,"*GCO – Platform Solutions*")</f>
        <v>1</v>
      </c>
      <c r="K13">
        <f>COUNTIF('Metrics - Articles'!F12,"*GCO – Industry Cloud *")</f>
        <v>0</v>
      </c>
      <c r="L13">
        <f>COUNTIF('Metrics - Articles'!F12,"*GCO – Customer Engagement &amp; Commerce (CRM &amp; hybris) *")</f>
        <v>0</v>
      </c>
      <c r="M13">
        <f>COUNTIF('Metrics - Articles'!F12,"*GCO – HR (SuccessFactors)*")</f>
        <v>0</v>
      </c>
      <c r="N13">
        <f>COUNTIF('Metrics - Articles'!F12,"*GCO – Services Sales*")</f>
        <v>0</v>
      </c>
      <c r="O13">
        <f>COUNTIF('Metrics - Articles'!F12,"*GCO – Other*")</f>
        <v>0</v>
      </c>
      <c r="P13">
        <f>COUNTIF('Metrics - Articles'!F12,"*Corporate*")</f>
        <v>0</v>
      </c>
      <c r="R13" s="53">
        <f t="shared" si="2"/>
        <v>1</v>
      </c>
    </row>
    <row r="14" spans="2:19" x14ac:dyDescent="0.25">
      <c r="B14" s="48">
        <f>+'Metrics - Articles'!C13</f>
        <v>42010</v>
      </c>
      <c r="C14">
        <f>COUNTIF('Metrics - Articles'!F13,"*GPO (Partner, Ecosystem, Channels)*")</f>
        <v>0</v>
      </c>
      <c r="D14">
        <f>COUNTIF('Metrics - Articles'!F13,"*Office of the CEO*")</f>
        <v>0</v>
      </c>
      <c r="E14">
        <f>COUNTIF('Metrics - Articles'!F13,"*Services Delivery &amp; Support (go-lives and deployments) *")</f>
        <v>0</v>
      </c>
      <c r="F14">
        <f>COUNTIF('Metrics - Articles'!F13,"*Human Resources (SAP HR and employee stories)*")</f>
        <v>0</v>
      </c>
      <c r="G14">
        <f>COUNTIF('Metrics - Articles'!F13,"*P&amp;I (Research &amp; Development)*")</f>
        <v>0</v>
      </c>
      <c r="H14">
        <f>COUNTIF('Metrics - Articles'!F13,"*Business Network (Concur, Ariba, Fieldglass)*")</f>
        <v>0</v>
      </c>
      <c r="I14">
        <f>COUNTIF('Metrics - Articles'!F13,"*GCO – Regions*")</f>
        <v>0</v>
      </c>
      <c r="J14">
        <f>COUNTIF('Metrics - Articles'!F13,"*GCO – Platform Solutions*")</f>
        <v>0</v>
      </c>
      <c r="K14">
        <f>COUNTIF('Metrics - Articles'!F13,"*GCO – Industry Cloud *")</f>
        <v>0</v>
      </c>
      <c r="L14">
        <f>COUNTIF('Metrics - Articles'!F13,"*GCO – Customer Engagement &amp; Commerce (CRM &amp; hybris) *")</f>
        <v>0</v>
      </c>
      <c r="M14">
        <f>COUNTIF('Metrics - Articles'!F13,"*GCO – HR (SuccessFactors)*")</f>
        <v>0</v>
      </c>
      <c r="N14">
        <f>COUNTIF('Metrics - Articles'!F13,"*GCO – Services Sales*")</f>
        <v>0</v>
      </c>
      <c r="O14">
        <f>COUNTIF('Metrics - Articles'!F13,"*GCO – Other*")</f>
        <v>0</v>
      </c>
      <c r="P14">
        <f>COUNTIF('Metrics - Articles'!F13,"*Corporate*")</f>
        <v>1</v>
      </c>
      <c r="R14" s="53">
        <f t="shared" si="2"/>
        <v>1</v>
      </c>
    </row>
    <row r="15" spans="2:19" x14ac:dyDescent="0.25">
      <c r="B15" s="48">
        <f>+'Metrics - Articles'!C14</f>
        <v>42013</v>
      </c>
      <c r="C15">
        <f>COUNTIF('Metrics - Articles'!F14,"*GPO (Partner, Ecosystem, Channels)*")</f>
        <v>0</v>
      </c>
      <c r="D15">
        <f>COUNTIF('Metrics - Articles'!F14,"*Office of the CEO*")</f>
        <v>0</v>
      </c>
      <c r="E15">
        <f>COUNTIF('Metrics - Articles'!F14,"*Services Delivery &amp; Support (go-lives and deployments) *")</f>
        <v>0</v>
      </c>
      <c r="F15">
        <f>COUNTIF('Metrics - Articles'!F14,"*Human Resources (SAP HR and employee stories)*")</f>
        <v>0</v>
      </c>
      <c r="G15">
        <f>COUNTIF('Metrics - Articles'!F14,"*P&amp;I (Research &amp; Development)*")</f>
        <v>0</v>
      </c>
      <c r="H15">
        <f>COUNTIF('Metrics - Articles'!F14,"*Business Network (Concur, Ariba, Fieldglass)*")</f>
        <v>0</v>
      </c>
      <c r="I15">
        <f>COUNTIF('Metrics - Articles'!F14,"*GCO – Regions*")</f>
        <v>0</v>
      </c>
      <c r="J15">
        <f>COUNTIF('Metrics - Articles'!F14,"*GCO – Platform Solutions*")</f>
        <v>0</v>
      </c>
      <c r="K15">
        <f>COUNTIF('Metrics - Articles'!F14,"*GCO – Industry Cloud *")</f>
        <v>0</v>
      </c>
      <c r="L15">
        <f>COUNTIF('Metrics - Articles'!F14,"*GCO – Customer Engagement &amp; Commerce (CRM &amp; hybris) *")</f>
        <v>0</v>
      </c>
      <c r="M15">
        <f>COUNTIF('Metrics - Articles'!F14,"*GCO – HR (SuccessFactors)*")</f>
        <v>0</v>
      </c>
      <c r="N15">
        <f>COUNTIF('Metrics - Articles'!F14,"*GCO – Services Sales*")</f>
        <v>0</v>
      </c>
      <c r="O15">
        <f>COUNTIF('Metrics - Articles'!F14,"*GCO – Other*")</f>
        <v>0</v>
      </c>
      <c r="P15">
        <f>COUNTIF('Metrics - Articles'!F14,"*Corporate*")</f>
        <v>1</v>
      </c>
      <c r="R15" s="53">
        <f t="shared" si="2"/>
        <v>1</v>
      </c>
    </row>
    <row r="16" spans="2:19" x14ac:dyDescent="0.25">
      <c r="B16" s="48">
        <f>+'Metrics - Articles'!C15</f>
        <v>42013</v>
      </c>
      <c r="C16">
        <f>COUNTIF('Metrics - Articles'!F15,"*GPO (Partner, Ecosystem, Channels)*")</f>
        <v>0</v>
      </c>
      <c r="D16">
        <f>COUNTIF('Metrics - Articles'!F15,"*Office of the CEO*")</f>
        <v>0</v>
      </c>
      <c r="E16">
        <f>COUNTIF('Metrics - Articles'!F15,"*Services Delivery &amp; Support (go-lives and deployments) *")</f>
        <v>0</v>
      </c>
      <c r="F16">
        <f>COUNTIF('Metrics - Articles'!F15,"*Human Resources (SAP HR and employee stories)*")</f>
        <v>0</v>
      </c>
      <c r="G16">
        <f>COUNTIF('Metrics - Articles'!F15,"*P&amp;I (Research &amp; Development)*")</f>
        <v>0</v>
      </c>
      <c r="H16">
        <f>COUNTIF('Metrics - Articles'!F15,"*Business Network (Concur, Ariba, Fieldglass)*")</f>
        <v>0</v>
      </c>
      <c r="I16">
        <f>COUNTIF('Metrics - Articles'!F15,"*GCO – Regions*")</f>
        <v>0</v>
      </c>
      <c r="J16">
        <f>COUNTIF('Metrics - Articles'!F15,"*GCO – Platform Solutions*")</f>
        <v>0</v>
      </c>
      <c r="K16">
        <f>COUNTIF('Metrics - Articles'!F15,"*GCO – Industry Cloud *")</f>
        <v>0</v>
      </c>
      <c r="L16">
        <f>COUNTIF('Metrics - Articles'!F15,"*GCO – Customer Engagement &amp; Commerce (CRM &amp; hybris) *")</f>
        <v>0</v>
      </c>
      <c r="M16">
        <f>COUNTIF('Metrics - Articles'!F15,"*GCO – HR (SuccessFactors)*")</f>
        <v>0</v>
      </c>
      <c r="N16">
        <f>COUNTIF('Metrics - Articles'!F15,"*GCO – Services Sales*")</f>
        <v>0</v>
      </c>
      <c r="O16">
        <f>COUNTIF('Metrics - Articles'!F15,"*GCO – Other*")</f>
        <v>0</v>
      </c>
      <c r="P16">
        <f>COUNTIF('Metrics - Articles'!F15,"*Corporate*")</f>
        <v>1</v>
      </c>
      <c r="R16" s="53">
        <f t="shared" si="2"/>
        <v>1</v>
      </c>
    </row>
    <row r="17" spans="2:18" x14ac:dyDescent="0.25">
      <c r="B17" s="48">
        <f>+'Metrics - Articles'!C16</f>
        <v>42016</v>
      </c>
      <c r="C17">
        <f>COUNTIF('Metrics - Articles'!F16,"*GPO (Partner, Ecosystem, Channels)*")</f>
        <v>0</v>
      </c>
      <c r="D17">
        <f>COUNTIF('Metrics - Articles'!F16,"*Office of the CEO*")</f>
        <v>0</v>
      </c>
      <c r="E17">
        <f>COUNTIF('Metrics - Articles'!F16,"*Services Delivery &amp; Support (go-lives and deployments) *")</f>
        <v>0</v>
      </c>
      <c r="F17">
        <f>COUNTIF('Metrics - Articles'!F16,"*Human Resources (SAP HR and employee stories)*")</f>
        <v>1</v>
      </c>
      <c r="G17">
        <f>COUNTIF('Metrics - Articles'!F16,"*P&amp;I (Research &amp; Development)*")</f>
        <v>0</v>
      </c>
      <c r="H17">
        <f>COUNTIF('Metrics - Articles'!F16,"*Business Network (Concur, Ariba, Fieldglass)*")</f>
        <v>0</v>
      </c>
      <c r="I17">
        <f>COUNTIF('Metrics - Articles'!F16,"*GCO – Regions*")</f>
        <v>0</v>
      </c>
      <c r="J17">
        <f>COUNTIF('Metrics - Articles'!F16,"*GCO – Platform Solutions*")</f>
        <v>0</v>
      </c>
      <c r="K17">
        <f>COUNTIF('Metrics - Articles'!F16,"*GCO – Industry Cloud *")</f>
        <v>0</v>
      </c>
      <c r="L17">
        <f>COUNTIF('Metrics - Articles'!F16,"*GCO – Customer Engagement &amp; Commerce (CRM &amp; hybris) *")</f>
        <v>0</v>
      </c>
      <c r="M17">
        <f>COUNTIF('Metrics - Articles'!F16,"*GCO – HR (SuccessFactors)*")</f>
        <v>0</v>
      </c>
      <c r="N17">
        <f>COUNTIF('Metrics - Articles'!F16,"*GCO – Services Sales*")</f>
        <v>0</v>
      </c>
      <c r="O17">
        <f>COUNTIF('Metrics - Articles'!F16,"*GCO – Other*")</f>
        <v>0</v>
      </c>
      <c r="P17">
        <f>COUNTIF('Metrics - Articles'!F16,"*Corporate*")</f>
        <v>0</v>
      </c>
      <c r="R17" s="53">
        <f t="shared" si="2"/>
        <v>1</v>
      </c>
    </row>
    <row r="18" spans="2:18" x14ac:dyDescent="0.25">
      <c r="B18" s="48">
        <f>+'Metrics - Articles'!C17</f>
        <v>42016</v>
      </c>
      <c r="C18">
        <f>COUNTIF('Metrics - Articles'!F17,"*GPO (Partner, Ecosystem, Channels)*")</f>
        <v>0</v>
      </c>
      <c r="D18">
        <f>COUNTIF('Metrics - Articles'!F17,"*Office of the CEO*")</f>
        <v>1</v>
      </c>
      <c r="E18">
        <f>COUNTIF('Metrics - Articles'!F17,"*Services Delivery &amp; Support (go-lives and deployments) *")</f>
        <v>0</v>
      </c>
      <c r="F18">
        <f>COUNTIF('Metrics - Articles'!F17,"*Human Resources (SAP HR and employee stories)*")</f>
        <v>0</v>
      </c>
      <c r="G18">
        <f>COUNTIF('Metrics - Articles'!F17,"*P&amp;I (Research &amp; Development)*")</f>
        <v>0</v>
      </c>
      <c r="H18">
        <f>COUNTIF('Metrics - Articles'!F17,"*Business Network (Concur, Ariba, Fieldglass)*")</f>
        <v>0</v>
      </c>
      <c r="I18">
        <f>COUNTIF('Metrics - Articles'!F17,"*GCO – Regions*")</f>
        <v>0</v>
      </c>
      <c r="J18">
        <f>COUNTIF('Metrics - Articles'!F17,"*GCO – Platform Solutions*")</f>
        <v>0</v>
      </c>
      <c r="K18">
        <f>COUNTIF('Metrics - Articles'!F17,"*GCO – Industry Cloud *")</f>
        <v>0</v>
      </c>
      <c r="L18">
        <f>COUNTIF('Metrics - Articles'!F17,"*GCO – Customer Engagement &amp; Commerce (CRM &amp; hybris) *")</f>
        <v>0</v>
      </c>
      <c r="M18">
        <f>COUNTIF('Metrics - Articles'!F17,"*GCO – HR (SuccessFactors)*")</f>
        <v>0</v>
      </c>
      <c r="N18">
        <f>COUNTIF('Metrics - Articles'!F17,"*GCO – Services Sales*")</f>
        <v>0</v>
      </c>
      <c r="O18">
        <f>COUNTIF('Metrics - Articles'!F17,"*GCO – Other*")</f>
        <v>0</v>
      </c>
      <c r="P18">
        <f>COUNTIF('Metrics - Articles'!F17,"*Corporate*")</f>
        <v>0</v>
      </c>
      <c r="R18" s="53">
        <f t="shared" si="2"/>
        <v>1</v>
      </c>
    </row>
    <row r="19" spans="2:18" x14ac:dyDescent="0.25">
      <c r="B19" s="48">
        <f>+'Metrics - Articles'!C18</f>
        <v>42019</v>
      </c>
      <c r="C19">
        <f>COUNTIF('Metrics - Articles'!F18,"*GPO (Partner, Ecosystem, Channels)*")</f>
        <v>0</v>
      </c>
      <c r="D19">
        <f>COUNTIF('Metrics - Articles'!F18,"*Office of the CEO*")</f>
        <v>0</v>
      </c>
      <c r="E19">
        <f>COUNTIF('Metrics - Articles'!F18,"*Services Delivery &amp; Support (go-lives and deployments) *")</f>
        <v>0</v>
      </c>
      <c r="F19">
        <f>COUNTIF('Metrics - Articles'!F18,"*Human Resources (SAP HR and employee stories)*")</f>
        <v>1</v>
      </c>
      <c r="G19">
        <f>COUNTIF('Metrics - Articles'!F18,"*P&amp;I (Research &amp; Development)*")</f>
        <v>0</v>
      </c>
      <c r="H19">
        <f>COUNTIF('Metrics - Articles'!F18,"*Business Network (Concur, Ariba, Fieldglass)*")</f>
        <v>0</v>
      </c>
      <c r="I19">
        <f>COUNTIF('Metrics - Articles'!F18,"*GCO – Regions*")</f>
        <v>0</v>
      </c>
      <c r="J19">
        <f>COUNTIF('Metrics - Articles'!F18,"*GCO – Platform Solutions*")</f>
        <v>0</v>
      </c>
      <c r="K19">
        <f>COUNTIF('Metrics - Articles'!F18,"*GCO – Industry Cloud *")</f>
        <v>0</v>
      </c>
      <c r="L19">
        <f>COUNTIF('Metrics - Articles'!F18,"*GCO – Customer Engagement &amp; Commerce (CRM &amp; hybris) *")</f>
        <v>0</v>
      </c>
      <c r="M19">
        <f>COUNTIF('Metrics - Articles'!F18,"*GCO – HR (SuccessFactors)*")</f>
        <v>0</v>
      </c>
      <c r="N19">
        <f>COUNTIF('Metrics - Articles'!F18,"*GCO – Services Sales*")</f>
        <v>0</v>
      </c>
      <c r="O19">
        <f>COUNTIF('Metrics - Articles'!F18,"*GCO – Other*")</f>
        <v>0</v>
      </c>
      <c r="P19">
        <f>COUNTIF('Metrics - Articles'!F18,"*Corporate*")</f>
        <v>0</v>
      </c>
      <c r="R19" s="53">
        <f t="shared" si="2"/>
        <v>1</v>
      </c>
    </row>
    <row r="20" spans="2:18" x14ac:dyDescent="0.25">
      <c r="B20" s="48">
        <f>+'Metrics - Articles'!C19</f>
        <v>42019</v>
      </c>
      <c r="C20">
        <f>COUNTIF('Metrics - Articles'!F19,"*GPO (Partner, Ecosystem, Channels)*")</f>
        <v>0</v>
      </c>
      <c r="D20">
        <f>COUNTIF('Metrics - Articles'!F19,"*Office of the CEO*")</f>
        <v>0</v>
      </c>
      <c r="E20">
        <f>COUNTIF('Metrics - Articles'!F19,"*Services Delivery &amp; Support (go-lives and deployments) *")</f>
        <v>0</v>
      </c>
      <c r="F20">
        <f>COUNTIF('Metrics - Articles'!F19,"*Human Resources (SAP HR and employee stories)*")</f>
        <v>0</v>
      </c>
      <c r="G20">
        <f>COUNTIF('Metrics - Articles'!F19,"*P&amp;I (Research &amp; Development)*")</f>
        <v>0</v>
      </c>
      <c r="H20">
        <f>COUNTIF('Metrics - Articles'!F19,"*Business Network (Concur, Ariba, Fieldglass)*")</f>
        <v>0</v>
      </c>
      <c r="I20">
        <f>COUNTIF('Metrics - Articles'!F19,"*GCO – Regions*")</f>
        <v>0</v>
      </c>
      <c r="J20">
        <f>COUNTIF('Metrics - Articles'!F19,"*GCO – Platform Solutions*")</f>
        <v>0</v>
      </c>
      <c r="K20">
        <f>COUNTIF('Metrics - Articles'!F19,"*GCO – Industry Cloud *")</f>
        <v>0</v>
      </c>
      <c r="L20">
        <f>COUNTIF('Metrics - Articles'!F19,"*GCO – Customer Engagement &amp; Commerce (CRM &amp; hybris) *")</f>
        <v>0</v>
      </c>
      <c r="M20">
        <f>COUNTIF('Metrics - Articles'!F19,"*GCO – HR (SuccessFactors)*")</f>
        <v>0</v>
      </c>
      <c r="N20">
        <f>COUNTIF('Metrics - Articles'!F19,"*GCO – Services Sales*")</f>
        <v>0</v>
      </c>
      <c r="O20">
        <f>COUNTIF('Metrics - Articles'!F19,"*GCO – Other*")</f>
        <v>0</v>
      </c>
      <c r="P20">
        <f>COUNTIF('Metrics - Articles'!F19,"*Corporate*")</f>
        <v>1</v>
      </c>
      <c r="R20" s="53">
        <f t="shared" si="2"/>
        <v>1</v>
      </c>
    </row>
    <row r="21" spans="2:18" x14ac:dyDescent="0.25">
      <c r="B21" s="48">
        <f>+'Metrics - Articles'!C20</f>
        <v>42020</v>
      </c>
      <c r="C21">
        <f>COUNTIF('Metrics - Articles'!F20,"*GPO (Partner, Ecosystem, Channels)*")</f>
        <v>0</v>
      </c>
      <c r="D21">
        <f>COUNTIF('Metrics - Articles'!F20,"*Office of the CEO*")</f>
        <v>0</v>
      </c>
      <c r="E21">
        <f>COUNTIF('Metrics - Articles'!F20,"*Services Delivery &amp; Support (go-lives and deployments) *")</f>
        <v>0</v>
      </c>
      <c r="F21">
        <f>COUNTIF('Metrics - Articles'!F20,"*Human Resources (SAP HR and employee stories)*")</f>
        <v>0</v>
      </c>
      <c r="G21">
        <f>COUNTIF('Metrics - Articles'!F20,"*P&amp;I (Research &amp; Development)*")</f>
        <v>0</v>
      </c>
      <c r="H21">
        <f>COUNTIF('Metrics - Articles'!F20,"*Business Network (Concur, Ariba, Fieldglass)*")</f>
        <v>0</v>
      </c>
      <c r="I21">
        <f>COUNTIF('Metrics - Articles'!F20,"*GCO – Regions*")</f>
        <v>0</v>
      </c>
      <c r="J21">
        <f>COUNTIF('Metrics - Articles'!F20,"*GCO – Platform Solutions*")</f>
        <v>0</v>
      </c>
      <c r="K21">
        <f>COUNTIF('Metrics - Articles'!F20,"*GCO – Industry Cloud *")</f>
        <v>0</v>
      </c>
      <c r="L21">
        <f>COUNTIF('Metrics - Articles'!F20,"*GCO – Customer Engagement &amp; Commerce (CRM &amp; hybris) *")</f>
        <v>0</v>
      </c>
      <c r="M21">
        <f>COUNTIF('Metrics - Articles'!F20,"*GCO – HR (SuccessFactors)*")</f>
        <v>0</v>
      </c>
      <c r="N21">
        <f>COUNTIF('Metrics - Articles'!F20,"*GCO – Services Sales*")</f>
        <v>0</v>
      </c>
      <c r="O21">
        <f>COUNTIF('Metrics - Articles'!F20,"*GCO – Other*")</f>
        <v>0</v>
      </c>
      <c r="P21">
        <f>COUNTIF('Metrics - Articles'!F20,"*Corporate*")</f>
        <v>1</v>
      </c>
      <c r="R21" s="53">
        <f t="shared" si="2"/>
        <v>1</v>
      </c>
    </row>
    <row r="22" spans="2:18" x14ac:dyDescent="0.25">
      <c r="B22" s="48">
        <f>+'Metrics - Articles'!C21</f>
        <v>42023</v>
      </c>
      <c r="C22">
        <f>COUNTIF('Metrics - Articles'!F21,"*GPO (Partner, Ecosystem, Channels)*")</f>
        <v>0</v>
      </c>
      <c r="D22">
        <f>COUNTIF('Metrics - Articles'!F21,"*Office of the CEO*")</f>
        <v>0</v>
      </c>
      <c r="E22">
        <f>COUNTIF('Metrics - Articles'!F21,"*Services Delivery &amp; Support (go-lives and deployments) *")</f>
        <v>0</v>
      </c>
      <c r="F22">
        <f>COUNTIF('Metrics - Articles'!F21,"*Human Resources (SAP HR and employee stories)*")</f>
        <v>0</v>
      </c>
      <c r="G22">
        <f>COUNTIF('Metrics - Articles'!F21,"*P&amp;I (Research &amp; Development)*")</f>
        <v>0</v>
      </c>
      <c r="H22">
        <f>COUNTIF('Metrics - Articles'!F21,"*Business Network (Concur, Ariba, Fieldglass)*")</f>
        <v>0</v>
      </c>
      <c r="I22">
        <f>COUNTIF('Metrics - Articles'!F21,"*GCO – Regions*")</f>
        <v>0</v>
      </c>
      <c r="J22">
        <f>COUNTIF('Metrics - Articles'!F21,"*GCO – Platform Solutions*")</f>
        <v>0</v>
      </c>
      <c r="K22">
        <f>COUNTIF('Metrics - Articles'!F21,"*GCO – Industry Cloud *")</f>
        <v>0</v>
      </c>
      <c r="L22">
        <f>COUNTIF('Metrics - Articles'!F21,"*GCO – Customer Engagement &amp; Commerce (CRM &amp; hybris) *")</f>
        <v>0</v>
      </c>
      <c r="M22">
        <f>COUNTIF('Metrics - Articles'!F21,"*GCO – HR (SuccessFactors)*")</f>
        <v>0</v>
      </c>
      <c r="N22">
        <f>COUNTIF('Metrics - Articles'!F21,"*GCO – Services Sales*")</f>
        <v>0</v>
      </c>
      <c r="O22">
        <f>COUNTIF('Metrics - Articles'!F21,"*GCO – Other*")</f>
        <v>0</v>
      </c>
      <c r="P22">
        <f>COUNTIF('Metrics - Articles'!F21,"*Corporate*")</f>
        <v>1</v>
      </c>
      <c r="R22" s="53">
        <f t="shared" si="2"/>
        <v>1</v>
      </c>
    </row>
    <row r="23" spans="2:18" x14ac:dyDescent="0.25">
      <c r="B23" s="48">
        <f>+'Metrics - Articles'!C22</f>
        <v>42023</v>
      </c>
      <c r="C23">
        <f>COUNTIF('Metrics - Articles'!F22,"*GPO (Partner, Ecosystem, Channels)*")</f>
        <v>0</v>
      </c>
      <c r="D23">
        <f>COUNTIF('Metrics - Articles'!F22,"*Office of the CEO*")</f>
        <v>0</v>
      </c>
      <c r="E23">
        <f>COUNTIF('Metrics - Articles'!F22,"*Services Delivery &amp; Support (go-lives and deployments) *")</f>
        <v>0</v>
      </c>
      <c r="F23">
        <f>COUNTIF('Metrics - Articles'!F22,"*Human Resources (SAP HR and employee stories)*")</f>
        <v>0</v>
      </c>
      <c r="G23">
        <f>COUNTIF('Metrics - Articles'!F22,"*P&amp;I (Research &amp; Development)*")</f>
        <v>0</v>
      </c>
      <c r="H23">
        <f>COUNTIF('Metrics - Articles'!F22,"*Business Network (Concur, Ariba, Fieldglass)*")</f>
        <v>0</v>
      </c>
      <c r="I23">
        <f>COUNTIF('Metrics - Articles'!F22,"*GCO – Regions*")</f>
        <v>0</v>
      </c>
      <c r="J23">
        <f>COUNTIF('Metrics - Articles'!F22,"*GCO – Platform Solutions*")</f>
        <v>0</v>
      </c>
      <c r="K23">
        <f>COUNTIF('Metrics - Articles'!F22,"*GCO – Industry Cloud *")</f>
        <v>0</v>
      </c>
      <c r="L23">
        <f>COUNTIF('Metrics - Articles'!F22,"*GCO – Customer Engagement &amp; Commerce (CRM &amp; hybris) *")</f>
        <v>0</v>
      </c>
      <c r="M23">
        <f>COUNTIF('Metrics - Articles'!F22,"*GCO – HR (SuccessFactors)*")</f>
        <v>0</v>
      </c>
      <c r="N23">
        <f>COUNTIF('Metrics - Articles'!F22,"*GCO – Services Sales*")</f>
        <v>0</v>
      </c>
      <c r="O23">
        <f>COUNTIF('Metrics - Articles'!F22,"*GCO – Other*")</f>
        <v>0</v>
      </c>
      <c r="P23">
        <f>COUNTIF('Metrics - Articles'!F22,"*Corporate*")</f>
        <v>1</v>
      </c>
      <c r="R23" s="53">
        <f t="shared" si="2"/>
        <v>1</v>
      </c>
    </row>
    <row r="24" spans="2:18" x14ac:dyDescent="0.25">
      <c r="B24" s="48">
        <f>+'Metrics - Articles'!C23</f>
        <v>42024</v>
      </c>
      <c r="C24">
        <f>COUNTIF('Metrics - Articles'!F23,"*GPO (Partner, Ecosystem, Channels)*")</f>
        <v>0</v>
      </c>
      <c r="D24">
        <f>COUNTIF('Metrics - Articles'!F23,"*Office of the CEO*")</f>
        <v>0</v>
      </c>
      <c r="E24">
        <f>COUNTIF('Metrics - Articles'!F23,"*Services Delivery &amp; Support (go-lives and deployments) *")</f>
        <v>0</v>
      </c>
      <c r="F24">
        <f>COUNTIF('Metrics - Articles'!F23,"*Human Resources (SAP HR and employee stories)*")</f>
        <v>0</v>
      </c>
      <c r="G24">
        <f>COUNTIF('Metrics - Articles'!F23,"*P&amp;I (Research &amp; Development)*")</f>
        <v>0</v>
      </c>
      <c r="H24">
        <f>COUNTIF('Metrics - Articles'!F23,"*Business Network (Concur, Ariba, Fieldglass)*")</f>
        <v>1</v>
      </c>
      <c r="I24">
        <f>COUNTIF('Metrics - Articles'!F23,"*GCO – Regions*")</f>
        <v>0</v>
      </c>
      <c r="J24">
        <f>COUNTIF('Metrics - Articles'!F23,"*GCO – Platform Solutions*")</f>
        <v>0</v>
      </c>
      <c r="K24">
        <f>COUNTIF('Metrics - Articles'!F23,"*GCO – Industry Cloud *")</f>
        <v>0</v>
      </c>
      <c r="L24">
        <f>COUNTIF('Metrics - Articles'!F23,"*GCO – Customer Engagement &amp; Commerce (CRM &amp; hybris) *")</f>
        <v>0</v>
      </c>
      <c r="M24">
        <f>COUNTIF('Metrics - Articles'!F23,"*GCO – HR (SuccessFactors)*")</f>
        <v>0</v>
      </c>
      <c r="N24">
        <f>COUNTIF('Metrics - Articles'!F23,"*GCO – Services Sales*")</f>
        <v>0</v>
      </c>
      <c r="O24">
        <f>COUNTIF('Metrics - Articles'!F23,"*GCO – Other*")</f>
        <v>0</v>
      </c>
      <c r="P24">
        <f>COUNTIF('Metrics - Articles'!F23,"*Corporate*")</f>
        <v>0</v>
      </c>
      <c r="R24" s="53">
        <f t="shared" si="2"/>
        <v>1</v>
      </c>
    </row>
    <row r="25" spans="2:18" x14ac:dyDescent="0.25">
      <c r="B25" s="48">
        <f>+'Metrics - Articles'!C24</f>
        <v>42024</v>
      </c>
      <c r="C25">
        <f>COUNTIF('Metrics - Articles'!F24,"*GPO (Partner, Ecosystem, Channels)*")</f>
        <v>0</v>
      </c>
      <c r="D25">
        <f>COUNTIF('Metrics - Articles'!F24,"*Office of the CEO*")</f>
        <v>1</v>
      </c>
      <c r="E25">
        <f>COUNTIF('Metrics - Articles'!F24,"*Services Delivery &amp; Support (go-lives and deployments) *")</f>
        <v>0</v>
      </c>
      <c r="F25">
        <f>COUNTIF('Metrics - Articles'!F24,"*Human Resources (SAP HR and employee stories)*")</f>
        <v>0</v>
      </c>
      <c r="G25">
        <f>COUNTIF('Metrics - Articles'!F24,"*P&amp;I (Research &amp; Development)*")</f>
        <v>0</v>
      </c>
      <c r="H25">
        <f>COUNTIF('Metrics - Articles'!F24,"*Business Network (Concur, Ariba, Fieldglass)*")</f>
        <v>0</v>
      </c>
      <c r="I25">
        <f>COUNTIF('Metrics - Articles'!F24,"*GCO – Regions*")</f>
        <v>0</v>
      </c>
      <c r="J25">
        <f>COUNTIF('Metrics - Articles'!F24,"*GCO – Platform Solutions*")</f>
        <v>0</v>
      </c>
      <c r="K25">
        <f>COUNTIF('Metrics - Articles'!F24,"*GCO – Industry Cloud *")</f>
        <v>0</v>
      </c>
      <c r="L25">
        <f>COUNTIF('Metrics - Articles'!F24,"*GCO – Customer Engagement &amp; Commerce (CRM &amp; hybris) *")</f>
        <v>0</v>
      </c>
      <c r="M25">
        <f>COUNTIF('Metrics - Articles'!F24,"*GCO – HR (SuccessFactors)*")</f>
        <v>0</v>
      </c>
      <c r="N25">
        <f>COUNTIF('Metrics - Articles'!F24,"*GCO – Services Sales*")</f>
        <v>0</v>
      </c>
      <c r="O25">
        <f>COUNTIF('Metrics - Articles'!F24,"*GCO – Other*")</f>
        <v>0</v>
      </c>
      <c r="P25">
        <f>COUNTIF('Metrics - Articles'!F24,"*Corporate*")</f>
        <v>0</v>
      </c>
      <c r="R25" s="53">
        <f t="shared" si="2"/>
        <v>1</v>
      </c>
    </row>
    <row r="26" spans="2:18" x14ac:dyDescent="0.25">
      <c r="B26" s="48">
        <f>+'Metrics - Articles'!C25</f>
        <v>42025</v>
      </c>
      <c r="C26">
        <f>COUNTIF('Metrics - Articles'!F25,"*GPO (Partner, Ecosystem, Channels)*")</f>
        <v>0</v>
      </c>
      <c r="D26">
        <f>COUNTIF('Metrics - Articles'!F25,"*Office of the CEO*")</f>
        <v>1</v>
      </c>
      <c r="E26">
        <f>COUNTIF('Metrics - Articles'!F25,"*Services Delivery &amp; Support (go-lives and deployments) *")</f>
        <v>0</v>
      </c>
      <c r="F26">
        <f>COUNTIF('Metrics - Articles'!F25,"*Human Resources (SAP HR and employee stories)*")</f>
        <v>0</v>
      </c>
      <c r="G26">
        <f>COUNTIF('Metrics - Articles'!F25,"*P&amp;I (Research &amp; Development)*")</f>
        <v>0</v>
      </c>
      <c r="H26">
        <f>COUNTIF('Metrics - Articles'!F25,"*Business Network (Concur, Ariba, Fieldglass)*")</f>
        <v>0</v>
      </c>
      <c r="I26">
        <f>COUNTIF('Metrics - Articles'!F25,"*GCO – Regions*")</f>
        <v>0</v>
      </c>
      <c r="J26">
        <f>COUNTIF('Metrics - Articles'!F25,"*GCO – Platform Solutions*")</f>
        <v>0</v>
      </c>
      <c r="K26">
        <f>COUNTIF('Metrics - Articles'!F25,"*GCO – Industry Cloud *")</f>
        <v>0</v>
      </c>
      <c r="L26">
        <f>COUNTIF('Metrics - Articles'!F25,"*GCO – Customer Engagement &amp; Commerce (CRM &amp; hybris) *")</f>
        <v>0</v>
      </c>
      <c r="M26">
        <f>COUNTIF('Metrics - Articles'!F25,"*GCO – HR (SuccessFactors)*")</f>
        <v>0</v>
      </c>
      <c r="N26">
        <f>COUNTIF('Metrics - Articles'!F25,"*GCO – Services Sales*")</f>
        <v>0</v>
      </c>
      <c r="O26">
        <f>COUNTIF('Metrics - Articles'!F25,"*GCO – Other*")</f>
        <v>0</v>
      </c>
      <c r="P26">
        <f>COUNTIF('Metrics - Articles'!F25,"*Corporate*")</f>
        <v>0</v>
      </c>
      <c r="R26" s="53">
        <f t="shared" si="2"/>
        <v>1</v>
      </c>
    </row>
    <row r="27" spans="2:18" x14ac:dyDescent="0.25">
      <c r="B27" s="48">
        <f>+'Metrics - Articles'!C26</f>
        <v>42025</v>
      </c>
      <c r="C27">
        <f>COUNTIF('Metrics - Articles'!F26,"*GPO (Partner, Ecosystem, Channels)*")</f>
        <v>0</v>
      </c>
      <c r="D27">
        <f>COUNTIF('Metrics - Articles'!F26,"*Office of the CEO*")</f>
        <v>1</v>
      </c>
      <c r="E27">
        <f>COUNTIF('Metrics - Articles'!F26,"*Services Delivery &amp; Support (go-lives and deployments) *")</f>
        <v>0</v>
      </c>
      <c r="F27">
        <f>COUNTIF('Metrics - Articles'!F26,"*Human Resources (SAP HR and employee stories)*")</f>
        <v>0</v>
      </c>
      <c r="G27">
        <f>COUNTIF('Metrics - Articles'!F26,"*P&amp;I (Research &amp; Development)*")</f>
        <v>0</v>
      </c>
      <c r="H27">
        <f>COUNTIF('Metrics - Articles'!F26,"*Business Network (Concur, Ariba, Fieldglass)*")</f>
        <v>0</v>
      </c>
      <c r="I27">
        <f>COUNTIF('Metrics - Articles'!F26,"*GCO – Regions*")</f>
        <v>0</v>
      </c>
      <c r="J27">
        <f>COUNTIF('Metrics - Articles'!F26,"*GCO – Platform Solutions*")</f>
        <v>0</v>
      </c>
      <c r="K27">
        <f>COUNTIF('Metrics - Articles'!F26,"*GCO – Industry Cloud *")</f>
        <v>0</v>
      </c>
      <c r="L27">
        <f>COUNTIF('Metrics - Articles'!F26,"*GCO – Customer Engagement &amp; Commerce (CRM &amp; hybris) *")</f>
        <v>0</v>
      </c>
      <c r="M27">
        <f>COUNTIF('Metrics - Articles'!F26,"*GCO – HR (SuccessFactors)*")</f>
        <v>0</v>
      </c>
      <c r="N27">
        <f>COUNTIF('Metrics - Articles'!F26,"*GCO – Services Sales*")</f>
        <v>0</v>
      </c>
      <c r="O27">
        <f>COUNTIF('Metrics - Articles'!F26,"*GCO – Other*")</f>
        <v>0</v>
      </c>
      <c r="P27">
        <f>COUNTIF('Metrics - Articles'!F26,"*Corporate*")</f>
        <v>0</v>
      </c>
      <c r="R27" s="53">
        <f t="shared" si="2"/>
        <v>1</v>
      </c>
    </row>
    <row r="28" spans="2:18" x14ac:dyDescent="0.25">
      <c r="B28" s="48">
        <f>+'Metrics - Articles'!C27</f>
        <v>42026</v>
      </c>
      <c r="C28">
        <f>COUNTIF('Metrics - Articles'!F27,"*GPO (Partner, Ecosystem, Channels)*")</f>
        <v>0</v>
      </c>
      <c r="D28">
        <f>COUNTIF('Metrics - Articles'!F27,"*Office of the CEO*")</f>
        <v>0</v>
      </c>
      <c r="E28">
        <f>COUNTIF('Metrics - Articles'!F27,"*Services Delivery &amp; Support (go-lives and deployments) *")</f>
        <v>0</v>
      </c>
      <c r="F28">
        <f>COUNTIF('Metrics - Articles'!F27,"*Human Resources (SAP HR and employee stories)*")</f>
        <v>0</v>
      </c>
      <c r="G28">
        <f>COUNTIF('Metrics - Articles'!F27,"*P&amp;I (Research &amp; Development)*")</f>
        <v>0</v>
      </c>
      <c r="H28">
        <f>COUNTIF('Metrics - Articles'!F27,"*Business Network (Concur, Ariba, Fieldglass)*")</f>
        <v>0</v>
      </c>
      <c r="I28">
        <f>COUNTIF('Metrics - Articles'!F27,"*GCO – Regions*")</f>
        <v>0</v>
      </c>
      <c r="J28">
        <f>COUNTIF('Metrics - Articles'!F27,"*GCO – Platform Solutions*")</f>
        <v>1</v>
      </c>
      <c r="K28">
        <f>COUNTIF('Metrics - Articles'!F27,"*GCO – Industry Cloud *")</f>
        <v>0</v>
      </c>
      <c r="L28">
        <f>COUNTIF('Metrics - Articles'!F27,"*GCO – Customer Engagement &amp; Commerce (CRM &amp; hybris) *")</f>
        <v>0</v>
      </c>
      <c r="M28">
        <f>COUNTIF('Metrics - Articles'!F27,"*GCO – HR (SuccessFactors)*")</f>
        <v>0</v>
      </c>
      <c r="N28">
        <f>COUNTIF('Metrics - Articles'!F27,"*GCO – Services Sales*")</f>
        <v>0</v>
      </c>
      <c r="O28">
        <f>COUNTIF('Metrics - Articles'!F27,"*GCO – Other*")</f>
        <v>0</v>
      </c>
      <c r="P28">
        <f>COUNTIF('Metrics - Articles'!F27,"*Corporate*")</f>
        <v>0</v>
      </c>
      <c r="R28" s="53">
        <f t="shared" si="2"/>
        <v>1</v>
      </c>
    </row>
    <row r="29" spans="2:18" x14ac:dyDescent="0.25">
      <c r="B29" s="48">
        <f>+'Metrics - Articles'!C28</f>
        <v>42027</v>
      </c>
      <c r="C29">
        <f>COUNTIF('Metrics - Articles'!F28,"*GPO (Partner, Ecosystem, Channels)*")</f>
        <v>0</v>
      </c>
      <c r="D29">
        <f>COUNTIF('Metrics - Articles'!F28,"*Office of the CEO*")</f>
        <v>0</v>
      </c>
      <c r="E29">
        <f>COUNTIF('Metrics - Articles'!F28,"*Services Delivery &amp; Support (go-lives and deployments) *")</f>
        <v>0</v>
      </c>
      <c r="F29">
        <f>COUNTIF('Metrics - Articles'!F28,"*Human Resources (SAP HR and employee stories)*")</f>
        <v>1</v>
      </c>
      <c r="G29">
        <f>COUNTIF('Metrics - Articles'!F28,"*P&amp;I (Research &amp; Development)*")</f>
        <v>0</v>
      </c>
      <c r="H29">
        <f>COUNTIF('Metrics - Articles'!F28,"*Business Network (Concur, Ariba, Fieldglass)*")</f>
        <v>0</v>
      </c>
      <c r="I29">
        <f>COUNTIF('Metrics - Articles'!F28,"*GCO – Regions*")</f>
        <v>0</v>
      </c>
      <c r="J29">
        <f>COUNTIF('Metrics - Articles'!F28,"*GCO – Platform Solutions*")</f>
        <v>0</v>
      </c>
      <c r="K29">
        <f>COUNTIF('Metrics - Articles'!F28,"*GCO – Industry Cloud *")</f>
        <v>0</v>
      </c>
      <c r="L29">
        <f>COUNTIF('Metrics - Articles'!F28,"*GCO – Customer Engagement &amp; Commerce (CRM &amp; hybris) *")</f>
        <v>0</v>
      </c>
      <c r="M29">
        <f>COUNTIF('Metrics - Articles'!F28,"*GCO – HR (SuccessFactors)*")</f>
        <v>0</v>
      </c>
      <c r="N29">
        <f>COUNTIF('Metrics - Articles'!F28,"*GCO – Services Sales*")</f>
        <v>0</v>
      </c>
      <c r="O29">
        <f>COUNTIF('Metrics - Articles'!F28,"*GCO – Other*")</f>
        <v>0</v>
      </c>
      <c r="P29">
        <f>COUNTIF('Metrics - Articles'!F28,"*Corporate*")</f>
        <v>0</v>
      </c>
      <c r="R29" s="53">
        <f t="shared" si="2"/>
        <v>1</v>
      </c>
    </row>
    <row r="30" spans="2:18" x14ac:dyDescent="0.25">
      <c r="B30" s="48">
        <f>+'Metrics - Articles'!C29</f>
        <v>42027</v>
      </c>
      <c r="C30">
        <f>COUNTIF('Metrics - Articles'!F29,"*GPO (Partner, Ecosystem, Channels)*")</f>
        <v>0</v>
      </c>
      <c r="D30">
        <f>COUNTIF('Metrics - Articles'!F29,"*Office of the CEO*")</f>
        <v>0</v>
      </c>
      <c r="E30">
        <f>COUNTIF('Metrics - Articles'!F29,"*Services Delivery &amp; Support (go-lives and deployments) *")</f>
        <v>0</v>
      </c>
      <c r="F30">
        <f>COUNTIF('Metrics - Articles'!F29,"*Human Resources (SAP HR and employee stories)*")</f>
        <v>0</v>
      </c>
      <c r="G30">
        <f>COUNTIF('Metrics - Articles'!F29,"*P&amp;I (Research &amp; Development)*")</f>
        <v>0</v>
      </c>
      <c r="H30">
        <f>COUNTIF('Metrics - Articles'!F29,"*Business Network (Concur, Ariba, Fieldglass)*")</f>
        <v>0</v>
      </c>
      <c r="I30">
        <f>COUNTIF('Metrics - Articles'!F29,"*GCO – Regions*")</f>
        <v>0</v>
      </c>
      <c r="J30">
        <f>COUNTIF('Metrics - Articles'!F29,"*GCO – Platform Solutions*")</f>
        <v>0</v>
      </c>
      <c r="K30">
        <f>COUNTIF('Metrics - Articles'!F29,"*GCO – Industry Cloud *")</f>
        <v>0</v>
      </c>
      <c r="L30">
        <f>COUNTIF('Metrics - Articles'!F29,"*GCO – Customer Engagement &amp; Commerce (CRM &amp; hybris) *")</f>
        <v>0</v>
      </c>
      <c r="M30">
        <f>COUNTIF('Metrics - Articles'!F29,"*GCO – HR (SuccessFactors)*")</f>
        <v>0</v>
      </c>
      <c r="N30">
        <f>COUNTIF('Metrics - Articles'!F29,"*GCO – Services Sales*")</f>
        <v>0</v>
      </c>
      <c r="O30">
        <f>COUNTIF('Metrics - Articles'!F29,"*GCO – Other*")</f>
        <v>0</v>
      </c>
      <c r="P30">
        <f>COUNTIF('Metrics - Articles'!F29,"*Corporate*")</f>
        <v>1</v>
      </c>
      <c r="R30" s="53">
        <f t="shared" si="2"/>
        <v>1</v>
      </c>
    </row>
    <row r="31" spans="2:18" x14ac:dyDescent="0.25">
      <c r="B31" s="48">
        <f>+'Metrics - Articles'!C30</f>
        <v>42027</v>
      </c>
      <c r="C31">
        <f>COUNTIF('Metrics - Articles'!F30,"*GPO (Partner, Ecosystem, Channels)*")</f>
        <v>0</v>
      </c>
      <c r="D31">
        <f>COUNTIF('Metrics - Articles'!F30,"*Office of the CEO*")</f>
        <v>1</v>
      </c>
      <c r="E31">
        <f>COUNTIF('Metrics - Articles'!F30,"*Services Delivery &amp; Support (go-lives and deployments) *")</f>
        <v>0</v>
      </c>
      <c r="F31">
        <f>COUNTIF('Metrics - Articles'!F30,"*Human Resources (SAP HR and employee stories)*")</f>
        <v>0</v>
      </c>
      <c r="G31">
        <f>COUNTIF('Metrics - Articles'!F30,"*P&amp;I (Research &amp; Development)*")</f>
        <v>0</v>
      </c>
      <c r="H31">
        <f>COUNTIF('Metrics - Articles'!F30,"*Business Network (Concur, Ariba, Fieldglass)*")</f>
        <v>0</v>
      </c>
      <c r="I31">
        <f>COUNTIF('Metrics - Articles'!F30,"*GCO – Regions*")</f>
        <v>0</v>
      </c>
      <c r="J31">
        <f>COUNTIF('Metrics - Articles'!F30,"*GCO – Platform Solutions*")</f>
        <v>0</v>
      </c>
      <c r="K31">
        <f>COUNTIF('Metrics - Articles'!F30,"*GCO – Industry Cloud *")</f>
        <v>0</v>
      </c>
      <c r="L31">
        <f>COUNTIF('Metrics - Articles'!F30,"*GCO – Customer Engagement &amp; Commerce (CRM &amp; hybris) *")</f>
        <v>0</v>
      </c>
      <c r="M31">
        <f>COUNTIF('Metrics - Articles'!F30,"*GCO – HR (SuccessFactors)*")</f>
        <v>0</v>
      </c>
      <c r="N31">
        <f>COUNTIF('Metrics - Articles'!F30,"*GCO – Services Sales*")</f>
        <v>0</v>
      </c>
      <c r="O31">
        <f>COUNTIF('Metrics - Articles'!F30,"*GCO – Other*")</f>
        <v>0</v>
      </c>
      <c r="P31">
        <f>COUNTIF('Metrics - Articles'!F30,"*Corporate*")</f>
        <v>0</v>
      </c>
      <c r="R31" s="53">
        <f t="shared" si="2"/>
        <v>1</v>
      </c>
    </row>
    <row r="32" spans="2:18" x14ac:dyDescent="0.25">
      <c r="B32" s="48">
        <f>+'Metrics - Articles'!C31</f>
        <v>42030</v>
      </c>
      <c r="C32">
        <f>COUNTIF('Metrics - Articles'!F31,"*GPO (Partner, Ecosystem, Channels)*")</f>
        <v>0</v>
      </c>
      <c r="D32">
        <f>COUNTIF('Metrics - Articles'!F31,"*Office of the CEO*")</f>
        <v>0</v>
      </c>
      <c r="E32">
        <f>COUNTIF('Metrics - Articles'!F31,"*Services Delivery &amp; Support (go-lives and deployments) *")</f>
        <v>0</v>
      </c>
      <c r="F32">
        <f>COUNTIF('Metrics - Articles'!F31,"*Human Resources (SAP HR and employee stories)*")</f>
        <v>0</v>
      </c>
      <c r="G32">
        <f>COUNTIF('Metrics - Articles'!F31,"*P&amp;I (Research &amp; Development)*")</f>
        <v>1</v>
      </c>
      <c r="H32">
        <f>COUNTIF('Metrics - Articles'!F31,"*Business Network (Concur, Ariba, Fieldglass)*")</f>
        <v>0</v>
      </c>
      <c r="I32">
        <f>COUNTIF('Metrics - Articles'!F31,"*GCO – Regions*")</f>
        <v>0</v>
      </c>
      <c r="J32">
        <f>COUNTIF('Metrics - Articles'!F31,"*GCO – Platform Solutions*")</f>
        <v>0</v>
      </c>
      <c r="K32">
        <f>COUNTIF('Metrics - Articles'!F31,"*GCO – Industry Cloud *")</f>
        <v>0</v>
      </c>
      <c r="L32">
        <f>COUNTIF('Metrics - Articles'!F31,"*GCO – Customer Engagement &amp; Commerce (CRM &amp; hybris) *")</f>
        <v>0</v>
      </c>
      <c r="M32">
        <f>COUNTIF('Metrics - Articles'!F31,"*GCO – HR (SuccessFactors)*")</f>
        <v>0</v>
      </c>
      <c r="N32">
        <f>COUNTIF('Metrics - Articles'!F31,"*GCO – Services Sales*")</f>
        <v>0</v>
      </c>
      <c r="O32">
        <f>COUNTIF('Metrics - Articles'!F31,"*GCO – Other*")</f>
        <v>0</v>
      </c>
      <c r="P32">
        <f>COUNTIF('Metrics - Articles'!F31,"*Corporate*")</f>
        <v>0</v>
      </c>
      <c r="R32" s="53">
        <f t="shared" si="2"/>
        <v>1</v>
      </c>
    </row>
    <row r="33" spans="2:18" x14ac:dyDescent="0.25">
      <c r="B33" s="48">
        <f>+'Metrics - Articles'!C32</f>
        <v>42031</v>
      </c>
      <c r="C33">
        <f>COUNTIF('Metrics - Articles'!F32,"*GPO (Partner, Ecosystem, Channels)*")</f>
        <v>0</v>
      </c>
      <c r="D33">
        <f>COUNTIF('Metrics - Articles'!F32,"*Office of the CEO*")</f>
        <v>0</v>
      </c>
      <c r="E33">
        <f>COUNTIF('Metrics - Articles'!F32,"*Services Delivery &amp; Support (go-lives and deployments) *")</f>
        <v>0</v>
      </c>
      <c r="F33">
        <f>COUNTIF('Metrics - Articles'!F32,"*Human Resources (SAP HR and employee stories)*")</f>
        <v>1</v>
      </c>
      <c r="G33">
        <f>COUNTIF('Metrics - Articles'!F32,"*P&amp;I (Research &amp; Development)*")</f>
        <v>0</v>
      </c>
      <c r="H33">
        <f>COUNTIF('Metrics - Articles'!F32,"*Business Network (Concur, Ariba, Fieldglass)*")</f>
        <v>0</v>
      </c>
      <c r="I33">
        <f>COUNTIF('Metrics - Articles'!F32,"*GCO – Regions*")</f>
        <v>0</v>
      </c>
      <c r="J33">
        <f>COUNTIF('Metrics - Articles'!F32,"*GCO – Platform Solutions*")</f>
        <v>0</v>
      </c>
      <c r="K33">
        <f>COUNTIF('Metrics - Articles'!F32,"*GCO – Industry Cloud *")</f>
        <v>0</v>
      </c>
      <c r="L33">
        <f>COUNTIF('Metrics - Articles'!F32,"*GCO – Customer Engagement &amp; Commerce (CRM &amp; hybris) *")</f>
        <v>0</v>
      </c>
      <c r="M33">
        <f>COUNTIF('Metrics - Articles'!F32,"*GCO – HR (SuccessFactors)*")</f>
        <v>0</v>
      </c>
      <c r="N33">
        <f>COUNTIF('Metrics - Articles'!F32,"*GCO – Services Sales*")</f>
        <v>0</v>
      </c>
      <c r="O33">
        <f>COUNTIF('Metrics - Articles'!F32,"*GCO – Other*")</f>
        <v>0</v>
      </c>
      <c r="P33">
        <f>COUNTIF('Metrics - Articles'!F32,"*Corporate*")</f>
        <v>0</v>
      </c>
      <c r="R33" s="53">
        <f t="shared" si="2"/>
        <v>1</v>
      </c>
    </row>
    <row r="34" spans="2:18" x14ac:dyDescent="0.25">
      <c r="B34" s="48">
        <f>+'Metrics - Articles'!C33</f>
        <v>42031</v>
      </c>
      <c r="C34">
        <f>COUNTIF('Metrics - Articles'!F33,"*GPO (Partner, Ecosystem, Channels)*")</f>
        <v>0</v>
      </c>
      <c r="D34">
        <f>COUNTIF('Metrics - Articles'!F33,"*Office of the CEO*")</f>
        <v>0</v>
      </c>
      <c r="E34">
        <f>COUNTIF('Metrics - Articles'!F33,"*Services Delivery &amp; Support (go-lives and deployments) *")</f>
        <v>0</v>
      </c>
      <c r="F34">
        <f>COUNTIF('Metrics - Articles'!F33,"*Human Resources (SAP HR and employee stories)*")</f>
        <v>0</v>
      </c>
      <c r="G34">
        <f>COUNTIF('Metrics - Articles'!F33,"*P&amp;I (Research &amp; Development)*")</f>
        <v>0</v>
      </c>
      <c r="H34">
        <f>COUNTIF('Metrics - Articles'!F33,"*Business Network (Concur, Ariba, Fieldglass)*")</f>
        <v>0</v>
      </c>
      <c r="I34">
        <f>COUNTIF('Metrics - Articles'!F33,"*GCO – Regions*")</f>
        <v>0</v>
      </c>
      <c r="J34">
        <f>COUNTIF('Metrics - Articles'!F33,"*GCO – Platform Solutions*")</f>
        <v>1</v>
      </c>
      <c r="K34">
        <f>COUNTIF('Metrics - Articles'!F33,"*GCO – Industry Cloud *")</f>
        <v>0</v>
      </c>
      <c r="L34">
        <f>COUNTIF('Metrics - Articles'!F33,"*GCO – Customer Engagement &amp; Commerce (CRM &amp; hybris) *")</f>
        <v>0</v>
      </c>
      <c r="M34">
        <f>COUNTIF('Metrics - Articles'!F33,"*GCO – HR (SuccessFactors)*")</f>
        <v>0</v>
      </c>
      <c r="N34">
        <f>COUNTIF('Metrics - Articles'!F33,"*GCO – Services Sales*")</f>
        <v>0</v>
      </c>
      <c r="O34">
        <f>COUNTIF('Metrics - Articles'!F33,"*GCO – Other*")</f>
        <v>0</v>
      </c>
      <c r="P34">
        <f>COUNTIF('Metrics - Articles'!F33,"*Corporate*")</f>
        <v>0</v>
      </c>
      <c r="R34" s="53">
        <f t="shared" si="2"/>
        <v>1</v>
      </c>
    </row>
    <row r="35" spans="2:18" x14ac:dyDescent="0.25">
      <c r="B35" s="48">
        <f>+'Metrics - Articles'!C34</f>
        <v>42032</v>
      </c>
      <c r="C35">
        <f>COUNTIF('Metrics - Articles'!F34,"*GPO (Partner, Ecosystem, Channels)*")</f>
        <v>0</v>
      </c>
      <c r="D35">
        <f>COUNTIF('Metrics - Articles'!F34,"*Office of the CEO*")</f>
        <v>1</v>
      </c>
      <c r="E35">
        <f>COUNTIF('Metrics - Articles'!F34,"*Services Delivery &amp; Support (go-lives and deployments) *")</f>
        <v>0</v>
      </c>
      <c r="F35">
        <f>COUNTIF('Metrics - Articles'!F34,"*Human Resources (SAP HR and employee stories)*")</f>
        <v>0</v>
      </c>
      <c r="G35">
        <f>COUNTIF('Metrics - Articles'!F34,"*P&amp;I (Research &amp; Development)*")</f>
        <v>0</v>
      </c>
      <c r="H35">
        <f>COUNTIF('Metrics - Articles'!F34,"*Business Network (Concur, Ariba, Fieldglass)*")</f>
        <v>0</v>
      </c>
      <c r="I35">
        <f>COUNTIF('Metrics - Articles'!F34,"*GCO – Regions*")</f>
        <v>0</v>
      </c>
      <c r="J35">
        <f>COUNTIF('Metrics - Articles'!F34,"*GCO – Platform Solutions*")</f>
        <v>0</v>
      </c>
      <c r="K35">
        <f>COUNTIF('Metrics - Articles'!F34,"*GCO – Industry Cloud *")</f>
        <v>0</v>
      </c>
      <c r="L35">
        <f>COUNTIF('Metrics - Articles'!F34,"*GCO – Customer Engagement &amp; Commerce (CRM &amp; hybris) *")</f>
        <v>0</v>
      </c>
      <c r="M35">
        <f>COUNTIF('Metrics - Articles'!F34,"*GCO – HR (SuccessFactors)*")</f>
        <v>0</v>
      </c>
      <c r="N35">
        <f>COUNTIF('Metrics - Articles'!F34,"*GCO – Services Sales*")</f>
        <v>0</v>
      </c>
      <c r="O35">
        <f>COUNTIF('Metrics - Articles'!F34,"*GCO – Other*")</f>
        <v>0</v>
      </c>
      <c r="P35">
        <f>COUNTIF('Metrics - Articles'!F34,"*Corporate*")</f>
        <v>0</v>
      </c>
      <c r="R35" s="53">
        <f t="shared" si="2"/>
        <v>1</v>
      </c>
    </row>
    <row r="36" spans="2:18" x14ac:dyDescent="0.25">
      <c r="B36" s="48">
        <f>+'Metrics - Articles'!C35</f>
        <v>42032</v>
      </c>
      <c r="C36">
        <f>COUNTIF('Metrics - Articles'!F35,"*GPO (Partner, Ecosystem, Channels)*")</f>
        <v>0</v>
      </c>
      <c r="D36">
        <f>COUNTIF('Metrics - Articles'!F35,"*Office of the CEO*")</f>
        <v>0</v>
      </c>
      <c r="E36">
        <f>COUNTIF('Metrics - Articles'!F35,"*Services Delivery &amp; Support (go-lives and deployments) *")</f>
        <v>0</v>
      </c>
      <c r="F36">
        <f>COUNTIF('Metrics - Articles'!F35,"*Human Resources (SAP HR and employee stories)*")</f>
        <v>0</v>
      </c>
      <c r="G36">
        <f>COUNTIF('Metrics - Articles'!F35,"*P&amp;I (Research &amp; Development)*")</f>
        <v>0</v>
      </c>
      <c r="H36">
        <f>COUNTIF('Metrics - Articles'!F35,"*Business Network (Concur, Ariba, Fieldglass)*")</f>
        <v>0</v>
      </c>
      <c r="I36">
        <f>COUNTIF('Metrics - Articles'!F35,"*GCO – Regions*")</f>
        <v>1</v>
      </c>
      <c r="J36">
        <f>COUNTIF('Metrics - Articles'!F35,"*GCO – Platform Solutions*")</f>
        <v>0</v>
      </c>
      <c r="K36">
        <f>COUNTIF('Metrics - Articles'!F35,"*GCO – Industry Cloud *")</f>
        <v>0</v>
      </c>
      <c r="L36">
        <f>COUNTIF('Metrics - Articles'!F35,"*GCO – Customer Engagement &amp; Commerce (CRM &amp; hybris) *")</f>
        <v>0</v>
      </c>
      <c r="M36">
        <f>COUNTIF('Metrics - Articles'!F35,"*GCO – HR (SuccessFactors)*")</f>
        <v>0</v>
      </c>
      <c r="N36">
        <f>COUNTIF('Metrics - Articles'!F35,"*GCO – Services Sales*")</f>
        <v>0</v>
      </c>
      <c r="O36">
        <f>COUNTIF('Metrics - Articles'!F35,"*GCO – Other*")</f>
        <v>0</v>
      </c>
      <c r="P36">
        <f>COUNTIF('Metrics - Articles'!F35,"*Corporate*")</f>
        <v>0</v>
      </c>
      <c r="R36" s="53">
        <f t="shared" si="2"/>
        <v>1</v>
      </c>
    </row>
    <row r="37" spans="2:18" x14ac:dyDescent="0.25">
      <c r="B37" s="48">
        <f>+'Metrics - Articles'!C36</f>
        <v>42033</v>
      </c>
      <c r="C37">
        <f>COUNTIF('Metrics - Articles'!F36,"*GPO (Partner, Ecosystem, Channels)*")</f>
        <v>0</v>
      </c>
      <c r="D37">
        <f>COUNTIF('Metrics - Articles'!F36,"*Office of the CEO*")</f>
        <v>0</v>
      </c>
      <c r="E37">
        <f>COUNTIF('Metrics - Articles'!F36,"*Services Delivery &amp; Support (go-lives and deployments) *")</f>
        <v>0</v>
      </c>
      <c r="F37">
        <f>COUNTIF('Metrics - Articles'!F36,"*Human Resources (SAP HR and employee stories)*")</f>
        <v>0</v>
      </c>
      <c r="G37">
        <f>COUNTIF('Metrics - Articles'!F36,"*P&amp;I (Research &amp; Development)*")</f>
        <v>0</v>
      </c>
      <c r="H37">
        <f>COUNTIF('Metrics - Articles'!F36,"*Business Network (Concur, Ariba, Fieldglass)*")</f>
        <v>0</v>
      </c>
      <c r="I37">
        <f>COUNTIF('Metrics - Articles'!F36,"*GCO – Regions*")</f>
        <v>0</v>
      </c>
      <c r="J37">
        <f>COUNTIF('Metrics - Articles'!F36,"*GCO – Platform Solutions*")</f>
        <v>1</v>
      </c>
      <c r="K37">
        <f>COUNTIF('Metrics - Articles'!F36,"*GCO – Industry Cloud *")</f>
        <v>0</v>
      </c>
      <c r="L37">
        <f>COUNTIF('Metrics - Articles'!F36,"*GCO – Customer Engagement &amp; Commerce (CRM &amp; hybris) *")</f>
        <v>0</v>
      </c>
      <c r="M37">
        <f>COUNTIF('Metrics - Articles'!F36,"*GCO – HR (SuccessFactors)*")</f>
        <v>0</v>
      </c>
      <c r="N37">
        <f>COUNTIF('Metrics - Articles'!F36,"*GCO – Services Sales*")</f>
        <v>0</v>
      </c>
      <c r="O37">
        <f>COUNTIF('Metrics - Articles'!F36,"*GCO – Other*")</f>
        <v>0</v>
      </c>
      <c r="P37">
        <f>COUNTIF('Metrics - Articles'!F36,"*Corporate*")</f>
        <v>0</v>
      </c>
      <c r="R37" s="53">
        <f t="shared" si="2"/>
        <v>1</v>
      </c>
    </row>
    <row r="38" spans="2:18" x14ac:dyDescent="0.25">
      <c r="B38" s="48">
        <f>+'Metrics - Articles'!C37</f>
        <v>42033</v>
      </c>
      <c r="C38">
        <f>COUNTIF('Metrics - Articles'!F37,"*GPO (Partner, Ecosystem, Channels)*")</f>
        <v>0</v>
      </c>
      <c r="D38">
        <f>COUNTIF('Metrics - Articles'!F37,"*Office of the CEO*")</f>
        <v>0</v>
      </c>
      <c r="E38">
        <f>COUNTIF('Metrics - Articles'!F37,"*Services Delivery &amp; Support (go-lives and deployments) *")</f>
        <v>0</v>
      </c>
      <c r="F38">
        <f>COUNTIF('Metrics - Articles'!F37,"*Human Resources (SAP HR and employee stories)*")</f>
        <v>0</v>
      </c>
      <c r="G38">
        <f>COUNTIF('Metrics - Articles'!F37,"*P&amp;I (Research &amp; Development)*")</f>
        <v>0</v>
      </c>
      <c r="H38">
        <f>COUNTIF('Metrics - Articles'!F37,"*Business Network (Concur, Ariba, Fieldglass)*")</f>
        <v>0</v>
      </c>
      <c r="I38">
        <f>COUNTIF('Metrics - Articles'!F37,"*GCO – Regions*")</f>
        <v>0</v>
      </c>
      <c r="J38">
        <f>COUNTIF('Metrics - Articles'!F37,"*GCO – Platform Solutions*")</f>
        <v>0</v>
      </c>
      <c r="K38">
        <f>COUNTIF('Metrics - Articles'!F37,"*GCO – Industry Cloud *")</f>
        <v>0</v>
      </c>
      <c r="L38">
        <f>COUNTIF('Metrics - Articles'!F37,"*GCO – Customer Engagement &amp; Commerce (CRM &amp; hybris) *")</f>
        <v>0</v>
      </c>
      <c r="M38">
        <f>COUNTIF('Metrics - Articles'!F37,"*GCO – HR (SuccessFactors)*")</f>
        <v>0</v>
      </c>
      <c r="N38">
        <f>COUNTIF('Metrics - Articles'!F37,"*GCO – Services Sales*")</f>
        <v>0</v>
      </c>
      <c r="O38">
        <f>COUNTIF('Metrics - Articles'!F37,"*GCO – Other*")</f>
        <v>0</v>
      </c>
      <c r="P38">
        <f>COUNTIF('Metrics - Articles'!F37,"*Corporate*")</f>
        <v>1</v>
      </c>
      <c r="R38" s="53">
        <f t="shared" si="2"/>
        <v>1</v>
      </c>
    </row>
    <row r="39" spans="2:18" x14ac:dyDescent="0.25">
      <c r="B39" s="48">
        <f>+'Metrics - Articles'!C38</f>
        <v>42034</v>
      </c>
      <c r="C39">
        <f>COUNTIF('Metrics - Articles'!F38,"*GPO (Partner, Ecosystem, Channels)*")</f>
        <v>0</v>
      </c>
      <c r="D39">
        <f>COUNTIF('Metrics - Articles'!F38,"*Office of the CEO*")</f>
        <v>1</v>
      </c>
      <c r="E39">
        <f>COUNTIF('Metrics - Articles'!F38,"*Services Delivery &amp; Support (go-lives and deployments) *")</f>
        <v>0</v>
      </c>
      <c r="F39">
        <f>COUNTIF('Metrics - Articles'!F38,"*Human Resources (SAP HR and employee stories)*")</f>
        <v>0</v>
      </c>
      <c r="G39">
        <f>COUNTIF('Metrics - Articles'!F38,"*P&amp;I (Research &amp; Development)*")</f>
        <v>0</v>
      </c>
      <c r="H39">
        <f>COUNTIF('Metrics - Articles'!F38,"*Business Network (Concur, Ariba, Fieldglass)*")</f>
        <v>0</v>
      </c>
      <c r="I39">
        <f>COUNTIF('Metrics - Articles'!F38,"*GCO – Regions*")</f>
        <v>0</v>
      </c>
      <c r="J39">
        <f>COUNTIF('Metrics - Articles'!F38,"*GCO – Platform Solutions*")</f>
        <v>0</v>
      </c>
      <c r="K39">
        <f>COUNTIF('Metrics - Articles'!F38,"*GCO – Industry Cloud *")</f>
        <v>0</v>
      </c>
      <c r="L39">
        <f>COUNTIF('Metrics - Articles'!F38,"*GCO – Customer Engagement &amp; Commerce (CRM &amp; hybris) *")</f>
        <v>0</v>
      </c>
      <c r="M39">
        <f>COUNTIF('Metrics - Articles'!F38,"*GCO – HR (SuccessFactors)*")</f>
        <v>0</v>
      </c>
      <c r="N39">
        <f>COUNTIF('Metrics - Articles'!F38,"*GCO – Services Sales*")</f>
        <v>0</v>
      </c>
      <c r="O39">
        <f>COUNTIF('Metrics - Articles'!F38,"*GCO – Other*")</f>
        <v>0</v>
      </c>
      <c r="P39">
        <f>COUNTIF('Metrics - Articles'!F38,"*Corporate*")</f>
        <v>0</v>
      </c>
      <c r="R39" s="53">
        <f t="shared" si="2"/>
        <v>1</v>
      </c>
    </row>
    <row r="40" spans="2:18" x14ac:dyDescent="0.25">
      <c r="B40" s="48">
        <f>+'Metrics - Articles'!C39</f>
        <v>42036</v>
      </c>
      <c r="C40">
        <f>COUNTIF('Metrics - Articles'!F39,"*GPO (Partner, Ecosystem, Channels)*")</f>
        <v>0</v>
      </c>
      <c r="D40">
        <f>COUNTIF('Metrics - Articles'!F39,"*Office of the CEO*")</f>
        <v>0</v>
      </c>
      <c r="E40">
        <f>COUNTIF('Metrics - Articles'!F39,"*Services Delivery &amp; Support (go-lives and deployments) *")</f>
        <v>0</v>
      </c>
      <c r="F40">
        <f>COUNTIF('Metrics - Articles'!F39,"*Human Resources (SAP HR and employee stories)*")</f>
        <v>0</v>
      </c>
      <c r="G40">
        <f>COUNTIF('Metrics - Articles'!F39,"*P&amp;I (Research &amp; Development)*")</f>
        <v>0</v>
      </c>
      <c r="H40">
        <f>COUNTIF('Metrics - Articles'!F39,"*Business Network (Concur, Ariba, Fieldglass)*")</f>
        <v>0</v>
      </c>
      <c r="I40">
        <f>COUNTIF('Metrics - Articles'!F39,"*GCO – Regions*")</f>
        <v>0</v>
      </c>
      <c r="J40">
        <f>COUNTIF('Metrics - Articles'!F39,"*GCO – Platform Solutions*")</f>
        <v>0</v>
      </c>
      <c r="K40">
        <f>COUNTIF('Metrics - Articles'!F39,"*GCO – Industry Cloud *")</f>
        <v>1</v>
      </c>
      <c r="L40">
        <f>COUNTIF('Metrics - Articles'!F39,"*GCO – Customer Engagement &amp; Commerce (CRM &amp; hybris) *")</f>
        <v>0</v>
      </c>
      <c r="M40">
        <f>COUNTIF('Metrics - Articles'!F39,"*GCO – HR (SuccessFactors)*")</f>
        <v>0</v>
      </c>
      <c r="N40">
        <f>COUNTIF('Metrics - Articles'!F39,"*GCO – Services Sales*")</f>
        <v>0</v>
      </c>
      <c r="O40">
        <f>COUNTIF('Metrics - Articles'!F39,"*GCO – Other*")</f>
        <v>0</v>
      </c>
      <c r="P40">
        <f>COUNTIF('Metrics - Articles'!F39,"*Corporate*")</f>
        <v>0</v>
      </c>
      <c r="R40" s="53">
        <f t="shared" si="2"/>
        <v>1</v>
      </c>
    </row>
    <row r="41" spans="2:18" x14ac:dyDescent="0.25">
      <c r="B41" s="48">
        <f>+'Metrics - Articles'!C40</f>
        <v>42037</v>
      </c>
      <c r="C41">
        <f>COUNTIF('Metrics - Articles'!F40,"*GPO (Partner, Ecosystem, Channels)*")</f>
        <v>0</v>
      </c>
      <c r="D41">
        <f>COUNTIF('Metrics - Articles'!F40,"*Office of the CEO*")</f>
        <v>0</v>
      </c>
      <c r="E41">
        <f>COUNTIF('Metrics - Articles'!F40,"*Services Delivery &amp; Support (go-lives and deployments) *")</f>
        <v>0</v>
      </c>
      <c r="F41">
        <f>COUNTIF('Metrics - Articles'!F40,"*Human Resources (SAP HR and employee stories)*")</f>
        <v>0</v>
      </c>
      <c r="G41">
        <f>COUNTIF('Metrics - Articles'!F40,"*P&amp;I (Research &amp; Development)*")</f>
        <v>0</v>
      </c>
      <c r="H41">
        <f>COUNTIF('Metrics - Articles'!F40,"*Business Network (Concur, Ariba, Fieldglass)*")</f>
        <v>0</v>
      </c>
      <c r="I41">
        <f>COUNTIF('Metrics - Articles'!F40,"*GCO – Regions*")</f>
        <v>0</v>
      </c>
      <c r="J41">
        <f>COUNTIF('Metrics - Articles'!F40,"*GCO – Platform Solutions*")</f>
        <v>0</v>
      </c>
      <c r="K41">
        <f>COUNTIF('Metrics - Articles'!F40,"*GCO – Industry Cloud *")</f>
        <v>0</v>
      </c>
      <c r="L41">
        <f>COUNTIF('Metrics - Articles'!F40,"*GCO – Customer Engagement &amp; Commerce (CRM &amp; hybris) *")</f>
        <v>0</v>
      </c>
      <c r="M41">
        <f>COUNTIF('Metrics - Articles'!F40,"*GCO – HR (SuccessFactors)*")</f>
        <v>1</v>
      </c>
      <c r="N41">
        <f>COUNTIF('Metrics - Articles'!F40,"*GCO – Services Sales*")</f>
        <v>0</v>
      </c>
      <c r="O41">
        <f>COUNTIF('Metrics - Articles'!F40,"*GCO – Other*")</f>
        <v>0</v>
      </c>
      <c r="P41">
        <f>COUNTIF('Metrics - Articles'!F40,"*Corporate*")</f>
        <v>0</v>
      </c>
      <c r="R41" s="53">
        <f t="shared" si="2"/>
        <v>1</v>
      </c>
    </row>
    <row r="42" spans="2:18" x14ac:dyDescent="0.25">
      <c r="B42" s="48">
        <f>+'Metrics - Articles'!C41</f>
        <v>42038</v>
      </c>
      <c r="C42">
        <f>COUNTIF('Metrics - Articles'!F41,"*GPO (Partner, Ecosystem, Channels)*")</f>
        <v>0</v>
      </c>
      <c r="D42">
        <f>COUNTIF('Metrics - Articles'!F41,"*Office of the CEO*")</f>
        <v>0</v>
      </c>
      <c r="E42">
        <f>COUNTIF('Metrics - Articles'!F41,"*Services Delivery &amp; Support (go-lives and deployments) *")</f>
        <v>0</v>
      </c>
      <c r="F42">
        <f>COUNTIF('Metrics - Articles'!F41,"*Human Resources (SAP HR and employee stories)*")</f>
        <v>0</v>
      </c>
      <c r="G42">
        <f>COUNTIF('Metrics - Articles'!F41,"*P&amp;I (Research &amp; Development)*")</f>
        <v>0</v>
      </c>
      <c r="H42">
        <f>COUNTIF('Metrics - Articles'!F41,"*Business Network (Concur, Ariba, Fieldglass)*")</f>
        <v>0</v>
      </c>
      <c r="I42">
        <f>COUNTIF('Metrics - Articles'!F41,"*GCO – Regions*")</f>
        <v>0</v>
      </c>
      <c r="J42">
        <f>COUNTIF('Metrics - Articles'!F41,"*GCO – Platform Solutions*")</f>
        <v>0</v>
      </c>
      <c r="K42">
        <f>COUNTIF('Metrics - Articles'!F41,"*GCO – Industry Cloud *")</f>
        <v>1</v>
      </c>
      <c r="L42">
        <f>COUNTIF('Metrics - Articles'!F41,"*GCO – Customer Engagement &amp; Commerce (CRM &amp; hybris) *")</f>
        <v>0</v>
      </c>
      <c r="M42">
        <f>COUNTIF('Metrics - Articles'!F41,"*GCO – HR (SuccessFactors)*")</f>
        <v>0</v>
      </c>
      <c r="N42">
        <f>COUNTIF('Metrics - Articles'!F41,"*GCO – Services Sales*")</f>
        <v>0</v>
      </c>
      <c r="O42">
        <f>COUNTIF('Metrics - Articles'!F41,"*GCO – Other*")</f>
        <v>0</v>
      </c>
      <c r="P42">
        <f>COUNTIF('Metrics - Articles'!F41,"*Corporate*")</f>
        <v>0</v>
      </c>
      <c r="R42" s="53">
        <f t="shared" si="2"/>
        <v>1</v>
      </c>
    </row>
    <row r="43" spans="2:18" x14ac:dyDescent="0.25">
      <c r="B43" s="48">
        <f>+'Metrics - Articles'!C42</f>
        <v>42038</v>
      </c>
      <c r="C43">
        <f>COUNTIF('Metrics - Articles'!F42,"*GPO (Partner, Ecosystem, Channels)*")</f>
        <v>0</v>
      </c>
      <c r="D43">
        <f>COUNTIF('Metrics - Articles'!F42,"*Office of the CEO*")</f>
        <v>0</v>
      </c>
      <c r="E43">
        <f>COUNTIF('Metrics - Articles'!F42,"*Services Delivery &amp; Support (go-lives and deployments) *")</f>
        <v>0</v>
      </c>
      <c r="F43">
        <f>COUNTIF('Metrics - Articles'!F42,"*Human Resources (SAP HR and employee stories)*")</f>
        <v>0</v>
      </c>
      <c r="G43">
        <f>COUNTIF('Metrics - Articles'!F42,"*P&amp;I (Research &amp; Development)*")</f>
        <v>0</v>
      </c>
      <c r="H43">
        <f>COUNTIF('Metrics - Articles'!F42,"*Business Network (Concur, Ariba, Fieldglass)*")</f>
        <v>0</v>
      </c>
      <c r="I43">
        <f>COUNTIF('Metrics - Articles'!F42,"*GCO – Regions*")</f>
        <v>0</v>
      </c>
      <c r="J43">
        <f>COUNTIF('Metrics - Articles'!F42,"*GCO – Platform Solutions*")</f>
        <v>1</v>
      </c>
      <c r="K43">
        <f>COUNTIF('Metrics - Articles'!F42,"*GCO – Industry Cloud *")</f>
        <v>0</v>
      </c>
      <c r="L43">
        <f>COUNTIF('Metrics - Articles'!F42,"*GCO – Customer Engagement &amp; Commerce (CRM &amp; hybris) *")</f>
        <v>0</v>
      </c>
      <c r="M43">
        <f>COUNTIF('Metrics - Articles'!F42,"*GCO – HR (SuccessFactors)*")</f>
        <v>0</v>
      </c>
      <c r="N43">
        <f>COUNTIF('Metrics - Articles'!F42,"*GCO – Services Sales*")</f>
        <v>0</v>
      </c>
      <c r="O43">
        <f>COUNTIF('Metrics - Articles'!F42,"*GCO – Other*")</f>
        <v>0</v>
      </c>
      <c r="P43">
        <f>COUNTIF('Metrics - Articles'!F42,"*Corporate*")</f>
        <v>0</v>
      </c>
      <c r="R43" s="53">
        <f t="shared" si="2"/>
        <v>1</v>
      </c>
    </row>
    <row r="44" spans="2:18" x14ac:dyDescent="0.25">
      <c r="B44" s="48">
        <f>+'Metrics - Articles'!C43</f>
        <v>42038</v>
      </c>
      <c r="C44">
        <f>COUNTIF('Metrics - Articles'!F43,"*GPO (Partner, Ecosystem, Channels)*")</f>
        <v>0</v>
      </c>
      <c r="D44">
        <f>COUNTIF('Metrics - Articles'!F43,"*Office of the CEO*")</f>
        <v>0</v>
      </c>
      <c r="E44">
        <f>COUNTIF('Metrics - Articles'!F43,"*Services Delivery &amp; Support (go-lives and deployments) *")</f>
        <v>0</v>
      </c>
      <c r="F44">
        <f>COUNTIF('Metrics - Articles'!F43,"*Human Resources (SAP HR and employee stories)*")</f>
        <v>0</v>
      </c>
      <c r="G44">
        <f>COUNTIF('Metrics - Articles'!F43,"*P&amp;I (Research &amp; Development)*")</f>
        <v>0</v>
      </c>
      <c r="H44">
        <f>COUNTIF('Metrics - Articles'!F43,"*Business Network (Concur, Ariba, Fieldglass)*")</f>
        <v>0</v>
      </c>
      <c r="I44">
        <f>COUNTIF('Metrics - Articles'!F43,"*GCO – Regions*")</f>
        <v>0</v>
      </c>
      <c r="J44">
        <f>COUNTIF('Metrics - Articles'!F43,"*GCO – Platform Solutions*")</f>
        <v>0</v>
      </c>
      <c r="K44">
        <f>COUNTIF('Metrics - Articles'!F43,"*GCO – Industry Cloud *")</f>
        <v>0</v>
      </c>
      <c r="L44">
        <f>COUNTIF('Metrics - Articles'!F43,"*GCO – Customer Engagement &amp; Commerce (CRM &amp; hybris) *")</f>
        <v>0</v>
      </c>
      <c r="M44">
        <f>COUNTIF('Metrics - Articles'!F43,"*GCO – HR (SuccessFactors)*")</f>
        <v>1</v>
      </c>
      <c r="N44">
        <f>COUNTIF('Metrics - Articles'!F43,"*GCO – Services Sales*")</f>
        <v>0</v>
      </c>
      <c r="O44">
        <f>COUNTIF('Metrics - Articles'!F43,"*GCO – Other*")</f>
        <v>0</v>
      </c>
      <c r="P44">
        <f>COUNTIF('Metrics - Articles'!F43,"*Corporate*")</f>
        <v>0</v>
      </c>
      <c r="R44" s="53">
        <f t="shared" si="2"/>
        <v>1</v>
      </c>
    </row>
    <row r="45" spans="2:18" x14ac:dyDescent="0.25">
      <c r="B45" s="48">
        <f>+'Metrics - Articles'!C44</f>
        <v>42038</v>
      </c>
      <c r="C45">
        <f>COUNTIF('Metrics - Articles'!F44,"*GPO (Partner, Ecosystem, Channels)*")</f>
        <v>0</v>
      </c>
      <c r="D45">
        <f>COUNTIF('Metrics - Articles'!F44,"*Office of the CEO*")</f>
        <v>0</v>
      </c>
      <c r="E45">
        <f>COUNTIF('Metrics - Articles'!F44,"*Services Delivery &amp; Support (go-lives and deployments) *")</f>
        <v>0</v>
      </c>
      <c r="F45">
        <f>COUNTIF('Metrics - Articles'!F44,"*Human Resources (SAP HR and employee stories)*")</f>
        <v>0</v>
      </c>
      <c r="G45">
        <f>COUNTIF('Metrics - Articles'!F44,"*P&amp;I (Research &amp; Development)*")</f>
        <v>0</v>
      </c>
      <c r="H45">
        <f>COUNTIF('Metrics - Articles'!F44,"*Business Network (Concur, Ariba, Fieldglass)*")</f>
        <v>0</v>
      </c>
      <c r="I45">
        <f>COUNTIF('Metrics - Articles'!F44,"*GCO – Regions*")</f>
        <v>0</v>
      </c>
      <c r="J45">
        <f>COUNTIF('Metrics - Articles'!F44,"*GCO – Platform Solutions*")</f>
        <v>1</v>
      </c>
      <c r="K45">
        <f>COUNTIF('Metrics - Articles'!F44,"*GCO – Industry Cloud *")</f>
        <v>0</v>
      </c>
      <c r="L45">
        <f>COUNTIF('Metrics - Articles'!F44,"*GCO – Customer Engagement &amp; Commerce (CRM &amp; hybris) *")</f>
        <v>0</v>
      </c>
      <c r="M45">
        <f>COUNTIF('Metrics - Articles'!F44,"*GCO – HR (SuccessFactors)*")</f>
        <v>0</v>
      </c>
      <c r="N45">
        <f>COUNTIF('Metrics - Articles'!F44,"*GCO – Services Sales*")</f>
        <v>0</v>
      </c>
      <c r="O45">
        <f>COUNTIF('Metrics - Articles'!F44,"*GCO – Other*")</f>
        <v>0</v>
      </c>
      <c r="P45">
        <f>COUNTIF('Metrics - Articles'!F44,"*Corporate*")</f>
        <v>0</v>
      </c>
      <c r="R45" s="53">
        <f t="shared" si="2"/>
        <v>1</v>
      </c>
    </row>
    <row r="46" spans="2:18" x14ac:dyDescent="0.25">
      <c r="B46" s="48">
        <f>+'Metrics - Articles'!C45</f>
        <v>42040</v>
      </c>
      <c r="C46">
        <f>COUNTIF('Metrics - Articles'!F45,"*GPO (Partner, Ecosystem, Channels)*")</f>
        <v>0</v>
      </c>
      <c r="D46">
        <f>COUNTIF('Metrics - Articles'!F45,"*Office of the CEO*")</f>
        <v>0</v>
      </c>
      <c r="E46">
        <f>COUNTIF('Metrics - Articles'!F45,"*Services Delivery &amp; Support (go-lives and deployments) *")</f>
        <v>0</v>
      </c>
      <c r="F46">
        <f>COUNTIF('Metrics - Articles'!F45,"*Human Resources (SAP HR and employee stories)*")</f>
        <v>1</v>
      </c>
      <c r="G46">
        <f>COUNTIF('Metrics - Articles'!F45,"*P&amp;I (Research &amp; Development)*")</f>
        <v>0</v>
      </c>
      <c r="H46">
        <f>COUNTIF('Metrics - Articles'!F45,"*Business Network (Concur, Ariba, Fieldglass)*")</f>
        <v>0</v>
      </c>
      <c r="I46">
        <f>COUNTIF('Metrics - Articles'!F45,"*GCO – Regions*")</f>
        <v>0</v>
      </c>
      <c r="J46">
        <f>COUNTIF('Metrics - Articles'!F45,"*GCO – Platform Solutions*")</f>
        <v>0</v>
      </c>
      <c r="K46">
        <f>COUNTIF('Metrics - Articles'!F45,"*GCO – Industry Cloud *")</f>
        <v>0</v>
      </c>
      <c r="L46">
        <f>COUNTIF('Metrics - Articles'!F45,"*GCO – Customer Engagement &amp; Commerce (CRM &amp; hybris) *")</f>
        <v>0</v>
      </c>
      <c r="M46">
        <f>COUNTIF('Metrics - Articles'!F45,"*GCO – HR (SuccessFactors)*")</f>
        <v>0</v>
      </c>
      <c r="N46">
        <f>COUNTIF('Metrics - Articles'!F45,"*GCO – Services Sales*")</f>
        <v>0</v>
      </c>
      <c r="O46">
        <f>COUNTIF('Metrics - Articles'!F45,"*GCO – Other*")</f>
        <v>0</v>
      </c>
      <c r="P46">
        <f>COUNTIF('Metrics - Articles'!F45,"*Corporate*")</f>
        <v>0</v>
      </c>
      <c r="R46" s="53">
        <f t="shared" si="2"/>
        <v>1</v>
      </c>
    </row>
    <row r="47" spans="2:18" x14ac:dyDescent="0.25">
      <c r="B47" s="48">
        <f>+'Metrics - Articles'!C46</f>
        <v>42040</v>
      </c>
      <c r="C47">
        <f>COUNTIF('Metrics - Articles'!F46,"*GPO (Partner, Ecosystem, Channels)*")</f>
        <v>0</v>
      </c>
      <c r="D47">
        <f>COUNTIF('Metrics - Articles'!F46,"*Office of the CEO*")</f>
        <v>0</v>
      </c>
      <c r="E47">
        <f>COUNTIF('Metrics - Articles'!F46,"*Services Delivery &amp; Support (go-lives and deployments) *")</f>
        <v>0</v>
      </c>
      <c r="F47">
        <f>COUNTIF('Metrics - Articles'!F46,"*Human Resources (SAP HR and employee stories)*")</f>
        <v>0</v>
      </c>
      <c r="G47">
        <f>COUNTIF('Metrics - Articles'!F46,"*P&amp;I (Research &amp; Development)*")</f>
        <v>0</v>
      </c>
      <c r="H47">
        <f>COUNTIF('Metrics - Articles'!F46,"*Business Network (Concur, Ariba, Fieldglass)*")</f>
        <v>0</v>
      </c>
      <c r="I47">
        <f>COUNTIF('Metrics - Articles'!F46,"*GCO – Regions*")</f>
        <v>0</v>
      </c>
      <c r="J47">
        <f>COUNTIF('Metrics - Articles'!F46,"*GCO – Platform Solutions*")</f>
        <v>0</v>
      </c>
      <c r="K47">
        <f>COUNTIF('Metrics - Articles'!F46,"*GCO – Industry Cloud *")</f>
        <v>0</v>
      </c>
      <c r="L47">
        <f>COUNTIF('Metrics - Articles'!F46,"*GCO – Customer Engagement &amp; Commerce (CRM &amp; hybris) *")</f>
        <v>0</v>
      </c>
      <c r="M47">
        <f>COUNTIF('Metrics - Articles'!F46,"*GCO – HR (SuccessFactors)*")</f>
        <v>0</v>
      </c>
      <c r="N47">
        <f>COUNTIF('Metrics - Articles'!F46,"*GCO – Services Sales*")</f>
        <v>0</v>
      </c>
      <c r="O47">
        <f>COUNTIF('Metrics - Articles'!F46,"*GCO – Other*")</f>
        <v>1</v>
      </c>
      <c r="P47">
        <f>COUNTIF('Metrics - Articles'!F46,"*Corporate*")</f>
        <v>0</v>
      </c>
      <c r="R47" s="53">
        <f t="shared" si="2"/>
        <v>1</v>
      </c>
    </row>
    <row r="48" spans="2:18" x14ac:dyDescent="0.25">
      <c r="B48" s="48">
        <f>+'Metrics - Articles'!C47</f>
        <v>42041</v>
      </c>
      <c r="C48">
        <f>COUNTIF('Metrics - Articles'!F47,"*GPO (Partner, Ecosystem, Channels)*")</f>
        <v>0</v>
      </c>
      <c r="D48">
        <f>COUNTIF('Metrics - Articles'!F47,"*Office of the CEO*")</f>
        <v>0</v>
      </c>
      <c r="E48">
        <f>COUNTIF('Metrics - Articles'!F47,"*Services Delivery &amp; Support (go-lives and deployments) *")</f>
        <v>0</v>
      </c>
      <c r="F48">
        <f>COUNTIF('Metrics - Articles'!F47,"*Human Resources (SAP HR and employee stories)*")</f>
        <v>0</v>
      </c>
      <c r="G48">
        <f>COUNTIF('Metrics - Articles'!F47,"*P&amp;I (Research &amp; Development)*")</f>
        <v>0</v>
      </c>
      <c r="H48">
        <f>COUNTIF('Metrics - Articles'!F47,"*Business Network (Concur, Ariba, Fieldglass)*")</f>
        <v>0</v>
      </c>
      <c r="I48">
        <f>COUNTIF('Metrics - Articles'!F47,"*GCO – Regions*")</f>
        <v>0</v>
      </c>
      <c r="J48">
        <f>COUNTIF('Metrics - Articles'!F47,"*GCO – Platform Solutions*")</f>
        <v>0</v>
      </c>
      <c r="K48">
        <f>COUNTIF('Metrics - Articles'!F47,"*GCO – Industry Cloud *")</f>
        <v>0</v>
      </c>
      <c r="L48">
        <f>COUNTIF('Metrics - Articles'!F47,"*GCO – Customer Engagement &amp; Commerce (CRM &amp; hybris) *")</f>
        <v>0</v>
      </c>
      <c r="M48">
        <f>COUNTIF('Metrics - Articles'!F47,"*GCO – HR (SuccessFactors)*")</f>
        <v>0</v>
      </c>
      <c r="N48">
        <f>COUNTIF('Metrics - Articles'!F47,"*GCO – Services Sales*")</f>
        <v>0</v>
      </c>
      <c r="O48">
        <f>COUNTIF('Metrics - Articles'!F47,"*GCO – Other*")</f>
        <v>0</v>
      </c>
      <c r="P48">
        <f>COUNTIF('Metrics - Articles'!F47,"*Corporate*")</f>
        <v>1</v>
      </c>
      <c r="R48" s="53">
        <f t="shared" si="2"/>
        <v>1</v>
      </c>
    </row>
    <row r="49" spans="2:18" x14ac:dyDescent="0.25">
      <c r="B49" s="48">
        <f>+'Metrics - Articles'!C48</f>
        <v>42046</v>
      </c>
      <c r="C49">
        <f>COUNTIF('Metrics - Articles'!F48,"*GPO (Partner, Ecosystem, Channels)*")</f>
        <v>0</v>
      </c>
      <c r="D49">
        <f>COUNTIF('Metrics - Articles'!F48,"*Office of the CEO*")</f>
        <v>0</v>
      </c>
      <c r="E49">
        <f>COUNTIF('Metrics - Articles'!F48,"*Services Delivery &amp; Support (go-lives and deployments) *")</f>
        <v>0</v>
      </c>
      <c r="F49">
        <f>COUNTIF('Metrics - Articles'!F48,"*Human Resources (SAP HR and employee stories)*")</f>
        <v>0</v>
      </c>
      <c r="G49">
        <f>COUNTIF('Metrics - Articles'!F48,"*P&amp;I (Research &amp; Development)*")</f>
        <v>0</v>
      </c>
      <c r="H49">
        <f>COUNTIF('Metrics - Articles'!F48,"*Business Network (Concur, Ariba, Fieldglass)*")</f>
        <v>0</v>
      </c>
      <c r="I49">
        <f>COUNTIF('Metrics - Articles'!F48,"*GCO – Regions*")</f>
        <v>0</v>
      </c>
      <c r="J49">
        <f>COUNTIF('Metrics - Articles'!F48,"*GCO – Platform Solutions*")</f>
        <v>1</v>
      </c>
      <c r="K49">
        <f>COUNTIF('Metrics - Articles'!F48,"*GCO – Industry Cloud *")</f>
        <v>0</v>
      </c>
      <c r="L49">
        <f>COUNTIF('Metrics - Articles'!F48,"*GCO – Customer Engagement &amp; Commerce (CRM &amp; hybris) *")</f>
        <v>0</v>
      </c>
      <c r="M49">
        <f>COUNTIF('Metrics - Articles'!F48,"*GCO – HR (SuccessFactors)*")</f>
        <v>0</v>
      </c>
      <c r="N49">
        <f>COUNTIF('Metrics - Articles'!F48,"*GCO – Services Sales*")</f>
        <v>0</v>
      </c>
      <c r="O49">
        <f>COUNTIF('Metrics - Articles'!F48,"*GCO – Other*")</f>
        <v>0</v>
      </c>
      <c r="P49">
        <f>COUNTIF('Metrics - Articles'!F48,"*Corporate*")</f>
        <v>0</v>
      </c>
      <c r="R49" s="53">
        <f t="shared" si="2"/>
        <v>1</v>
      </c>
    </row>
    <row r="50" spans="2:18" x14ac:dyDescent="0.25">
      <c r="B50" s="48">
        <f>+'Metrics - Articles'!C49</f>
        <v>42047</v>
      </c>
      <c r="C50">
        <f>COUNTIF('Metrics - Articles'!F49,"*GPO (Partner, Ecosystem, Channels)*")</f>
        <v>0</v>
      </c>
      <c r="D50">
        <f>COUNTIF('Metrics - Articles'!F49,"*Office of the CEO*")</f>
        <v>0</v>
      </c>
      <c r="E50">
        <f>COUNTIF('Metrics - Articles'!F49,"*Services Delivery &amp; Support (go-lives and deployments) *")</f>
        <v>0</v>
      </c>
      <c r="F50">
        <f>COUNTIF('Metrics - Articles'!F49,"*Human Resources (SAP HR and employee stories)*")</f>
        <v>0</v>
      </c>
      <c r="G50">
        <f>COUNTIF('Metrics - Articles'!F49,"*P&amp;I (Research &amp; Development)*")</f>
        <v>0</v>
      </c>
      <c r="H50">
        <f>COUNTIF('Metrics - Articles'!F49,"*Business Network (Concur, Ariba, Fieldglass)*")</f>
        <v>0</v>
      </c>
      <c r="I50">
        <f>COUNTIF('Metrics - Articles'!F49,"*GCO – Regions*")</f>
        <v>0</v>
      </c>
      <c r="J50">
        <f>COUNTIF('Metrics - Articles'!F49,"*GCO – Platform Solutions*")</f>
        <v>0</v>
      </c>
      <c r="K50">
        <f>COUNTIF('Metrics - Articles'!F49,"*GCO – Industry Cloud *")</f>
        <v>0</v>
      </c>
      <c r="L50">
        <f>COUNTIF('Metrics - Articles'!F49,"*GCO – Customer Engagement &amp; Commerce (CRM &amp; hybris) *")</f>
        <v>0</v>
      </c>
      <c r="M50">
        <f>COUNTIF('Metrics - Articles'!F49,"*GCO – HR (SuccessFactors)*")</f>
        <v>0</v>
      </c>
      <c r="N50">
        <f>COUNTIF('Metrics - Articles'!F49,"*GCO – Services Sales*")</f>
        <v>0</v>
      </c>
      <c r="O50">
        <f>COUNTIF('Metrics - Articles'!F49,"*GCO – Other*")</f>
        <v>0</v>
      </c>
      <c r="P50">
        <f>COUNTIF('Metrics - Articles'!F49,"*Corporate*")</f>
        <v>1</v>
      </c>
      <c r="R50" s="53">
        <f t="shared" si="2"/>
        <v>1</v>
      </c>
    </row>
    <row r="51" spans="2:18" x14ac:dyDescent="0.25">
      <c r="B51" s="48">
        <f>+'Metrics - Articles'!C50</f>
        <v>42047</v>
      </c>
      <c r="C51">
        <f>COUNTIF('Metrics - Articles'!F50,"*GPO (Partner, Ecosystem, Channels)*")</f>
        <v>0</v>
      </c>
      <c r="D51">
        <f>COUNTIF('Metrics - Articles'!F50,"*Office of the CEO*")</f>
        <v>0</v>
      </c>
      <c r="E51">
        <f>COUNTIF('Metrics - Articles'!F50,"*Services Delivery &amp; Support (go-lives and deployments) *")</f>
        <v>0</v>
      </c>
      <c r="F51">
        <f>COUNTIF('Metrics - Articles'!F50,"*Human Resources (SAP HR and employee stories)*")</f>
        <v>1</v>
      </c>
      <c r="G51">
        <f>COUNTIF('Metrics - Articles'!F50,"*P&amp;I (Research &amp; Development)*")</f>
        <v>0</v>
      </c>
      <c r="H51">
        <f>COUNTIF('Metrics - Articles'!F50,"*Business Network (Concur, Ariba, Fieldglass)*")</f>
        <v>0</v>
      </c>
      <c r="I51">
        <f>COUNTIF('Metrics - Articles'!F50,"*GCO – Regions*")</f>
        <v>0</v>
      </c>
      <c r="J51">
        <f>COUNTIF('Metrics - Articles'!F50,"*GCO – Platform Solutions*")</f>
        <v>0</v>
      </c>
      <c r="K51">
        <f>COUNTIF('Metrics - Articles'!F50,"*GCO – Industry Cloud *")</f>
        <v>0</v>
      </c>
      <c r="L51">
        <f>COUNTIF('Metrics - Articles'!F50,"*GCO – Customer Engagement &amp; Commerce (CRM &amp; hybris) *")</f>
        <v>0</v>
      </c>
      <c r="M51">
        <f>COUNTIF('Metrics - Articles'!F50,"*GCO – HR (SuccessFactors)*")</f>
        <v>0</v>
      </c>
      <c r="N51">
        <f>COUNTIF('Metrics - Articles'!F50,"*GCO – Services Sales*")</f>
        <v>0</v>
      </c>
      <c r="O51">
        <f>COUNTIF('Metrics - Articles'!F50,"*GCO – Other*")</f>
        <v>0</v>
      </c>
      <c r="P51">
        <f>COUNTIF('Metrics - Articles'!F50,"*Corporate*")</f>
        <v>0</v>
      </c>
      <c r="R51" s="53">
        <f t="shared" si="2"/>
        <v>1</v>
      </c>
    </row>
    <row r="52" spans="2:18" x14ac:dyDescent="0.25">
      <c r="B52" s="48">
        <f>+'Metrics - Articles'!C51</f>
        <v>42048</v>
      </c>
      <c r="C52">
        <f>COUNTIF('Metrics - Articles'!F51,"*GPO (Partner, Ecosystem, Channels)*")</f>
        <v>0</v>
      </c>
      <c r="D52">
        <f>COUNTIF('Metrics - Articles'!F51,"*Office of the CEO*")</f>
        <v>0</v>
      </c>
      <c r="E52">
        <f>COUNTIF('Metrics - Articles'!F51,"*Services Delivery &amp; Support (go-lives and deployments) *")</f>
        <v>0</v>
      </c>
      <c r="F52">
        <f>COUNTIF('Metrics - Articles'!F51,"*Human Resources (SAP HR and employee stories)*")</f>
        <v>0</v>
      </c>
      <c r="G52">
        <f>COUNTIF('Metrics - Articles'!F51,"*P&amp;I (Research &amp; Development)*")</f>
        <v>0</v>
      </c>
      <c r="H52">
        <f>COUNTIF('Metrics - Articles'!F51,"*Business Network (Concur, Ariba, Fieldglass)*")</f>
        <v>0</v>
      </c>
      <c r="I52">
        <f>COUNTIF('Metrics - Articles'!F51,"*GCO – Regions*")</f>
        <v>0</v>
      </c>
      <c r="J52">
        <f>COUNTIF('Metrics - Articles'!F51,"*GCO – Platform Solutions*")</f>
        <v>0</v>
      </c>
      <c r="K52">
        <f>COUNTIF('Metrics - Articles'!F51,"*GCO – Industry Cloud *")</f>
        <v>0</v>
      </c>
      <c r="L52">
        <f>COUNTIF('Metrics - Articles'!F51,"*GCO – Customer Engagement &amp; Commerce (CRM &amp; hybris) *")</f>
        <v>0</v>
      </c>
      <c r="M52">
        <f>COUNTIF('Metrics - Articles'!F51,"*GCO – HR (SuccessFactors)*")</f>
        <v>0</v>
      </c>
      <c r="N52">
        <f>COUNTIF('Metrics - Articles'!F51,"*GCO – Services Sales*")</f>
        <v>0</v>
      </c>
      <c r="O52">
        <f>COUNTIF('Metrics - Articles'!F51,"*GCO – Other*")</f>
        <v>0</v>
      </c>
      <c r="P52">
        <f>COUNTIF('Metrics - Articles'!F51,"*Corporate*")</f>
        <v>1</v>
      </c>
      <c r="R52" s="53">
        <f t="shared" si="2"/>
        <v>1</v>
      </c>
    </row>
    <row r="53" spans="2:18" x14ac:dyDescent="0.25">
      <c r="B53" s="48">
        <f>+'Metrics - Articles'!C52</f>
        <v>42048</v>
      </c>
      <c r="C53">
        <f>COUNTIF('Metrics - Articles'!F52,"*GPO (Partner, Ecosystem, Channels)*")</f>
        <v>0</v>
      </c>
      <c r="D53">
        <f>COUNTIF('Metrics - Articles'!F52,"*Office of the CEO*")</f>
        <v>0</v>
      </c>
      <c r="E53">
        <f>COUNTIF('Metrics - Articles'!F52,"*Services Delivery &amp; Support (go-lives and deployments) *")</f>
        <v>0</v>
      </c>
      <c r="F53">
        <f>COUNTIF('Metrics - Articles'!F52,"*Human Resources (SAP HR and employee stories)*")</f>
        <v>1</v>
      </c>
      <c r="G53">
        <f>COUNTIF('Metrics - Articles'!F52,"*P&amp;I (Research &amp; Development)*")</f>
        <v>0</v>
      </c>
      <c r="H53">
        <f>COUNTIF('Metrics - Articles'!F52,"*Business Network (Concur, Ariba, Fieldglass)*")</f>
        <v>0</v>
      </c>
      <c r="I53">
        <f>COUNTIF('Metrics - Articles'!F52,"*GCO – Regions*")</f>
        <v>0</v>
      </c>
      <c r="J53">
        <f>COUNTIF('Metrics - Articles'!F52,"*GCO – Platform Solutions*")</f>
        <v>0</v>
      </c>
      <c r="K53">
        <f>COUNTIF('Metrics - Articles'!F52,"*GCO – Industry Cloud *")</f>
        <v>0</v>
      </c>
      <c r="L53">
        <f>COUNTIF('Metrics - Articles'!F52,"*GCO – Customer Engagement &amp; Commerce (CRM &amp; hybris) *")</f>
        <v>0</v>
      </c>
      <c r="M53">
        <f>COUNTIF('Metrics - Articles'!F52,"*GCO – HR (SuccessFactors)*")</f>
        <v>0</v>
      </c>
      <c r="N53">
        <f>COUNTIF('Metrics - Articles'!F52,"*GCO – Services Sales*")</f>
        <v>0</v>
      </c>
      <c r="O53">
        <f>COUNTIF('Metrics - Articles'!F52,"*GCO – Other*")</f>
        <v>0</v>
      </c>
      <c r="P53">
        <f>COUNTIF('Metrics - Articles'!F52,"*Corporate*")</f>
        <v>0</v>
      </c>
      <c r="R53" s="53">
        <f t="shared" si="2"/>
        <v>1</v>
      </c>
    </row>
    <row r="54" spans="2:18" x14ac:dyDescent="0.25">
      <c r="B54" s="48">
        <f>+'Metrics - Articles'!C53</f>
        <v>42051</v>
      </c>
      <c r="C54">
        <f>COUNTIF('Metrics - Articles'!F53,"*GPO (Partner, Ecosystem, Channels)*")</f>
        <v>0</v>
      </c>
      <c r="D54">
        <f>COUNTIF('Metrics - Articles'!F53,"*Office of the CEO*")</f>
        <v>0</v>
      </c>
      <c r="E54">
        <f>COUNTIF('Metrics - Articles'!F53,"*Services Delivery &amp; Support (go-lives and deployments) *")</f>
        <v>0</v>
      </c>
      <c r="F54">
        <f>COUNTIF('Metrics - Articles'!F53,"*Human Resources (SAP HR and employee stories)*")</f>
        <v>0</v>
      </c>
      <c r="G54">
        <f>COUNTIF('Metrics - Articles'!F53,"*P&amp;I (Research &amp; Development)*")</f>
        <v>0</v>
      </c>
      <c r="H54">
        <f>COUNTIF('Metrics - Articles'!F53,"*Business Network (Concur, Ariba, Fieldglass)*")</f>
        <v>0</v>
      </c>
      <c r="I54">
        <f>COUNTIF('Metrics - Articles'!F53,"*GCO – Regions*")</f>
        <v>0</v>
      </c>
      <c r="J54">
        <f>COUNTIF('Metrics - Articles'!F53,"*GCO – Platform Solutions*")</f>
        <v>0</v>
      </c>
      <c r="K54">
        <f>COUNTIF('Metrics - Articles'!F53,"*GCO – Industry Cloud *")</f>
        <v>1</v>
      </c>
      <c r="L54">
        <f>COUNTIF('Metrics - Articles'!F53,"*GCO – Customer Engagement &amp; Commerce (CRM &amp; hybris) *")</f>
        <v>0</v>
      </c>
      <c r="M54">
        <f>COUNTIF('Metrics - Articles'!F53,"*GCO – HR (SuccessFactors)*")</f>
        <v>0</v>
      </c>
      <c r="N54">
        <f>COUNTIF('Metrics - Articles'!F53,"*GCO – Services Sales*")</f>
        <v>0</v>
      </c>
      <c r="O54">
        <f>COUNTIF('Metrics - Articles'!F53,"*GCO – Other*")</f>
        <v>0</v>
      </c>
      <c r="P54">
        <f>COUNTIF('Metrics - Articles'!F53,"*Corporate*")</f>
        <v>0</v>
      </c>
      <c r="R54" s="53">
        <f t="shared" si="2"/>
        <v>1</v>
      </c>
    </row>
    <row r="55" spans="2:18" x14ac:dyDescent="0.25">
      <c r="B55" s="48">
        <f>+'Metrics - Articles'!C54</f>
        <v>42051</v>
      </c>
      <c r="C55">
        <f>COUNTIF('Metrics - Articles'!F54,"*GPO (Partner, Ecosystem, Channels)*")</f>
        <v>0</v>
      </c>
      <c r="D55">
        <f>COUNTIF('Metrics - Articles'!F54,"*Office of the CEO*")</f>
        <v>1</v>
      </c>
      <c r="E55">
        <f>COUNTIF('Metrics - Articles'!F54,"*Services Delivery &amp; Support (go-lives and deployments) *")</f>
        <v>0</v>
      </c>
      <c r="F55">
        <f>COUNTIF('Metrics - Articles'!F54,"*Human Resources (SAP HR and employee stories)*")</f>
        <v>0</v>
      </c>
      <c r="G55">
        <f>COUNTIF('Metrics - Articles'!F54,"*P&amp;I (Research &amp; Development)*")</f>
        <v>0</v>
      </c>
      <c r="H55">
        <f>COUNTIF('Metrics - Articles'!F54,"*Business Network (Concur, Ariba, Fieldglass)*")</f>
        <v>0</v>
      </c>
      <c r="I55">
        <f>COUNTIF('Metrics - Articles'!F54,"*GCO – Regions*")</f>
        <v>0</v>
      </c>
      <c r="J55">
        <f>COUNTIF('Metrics - Articles'!F54,"*GCO – Platform Solutions*")</f>
        <v>0</v>
      </c>
      <c r="K55">
        <f>COUNTIF('Metrics - Articles'!F54,"*GCO – Industry Cloud *")</f>
        <v>0</v>
      </c>
      <c r="L55">
        <f>COUNTIF('Metrics - Articles'!F54,"*GCO – Customer Engagement &amp; Commerce (CRM &amp; hybris) *")</f>
        <v>0</v>
      </c>
      <c r="M55">
        <f>COUNTIF('Metrics - Articles'!F54,"*GCO – HR (SuccessFactors)*")</f>
        <v>0</v>
      </c>
      <c r="N55">
        <f>COUNTIF('Metrics - Articles'!F54,"*GCO – Services Sales*")</f>
        <v>0</v>
      </c>
      <c r="O55">
        <f>COUNTIF('Metrics - Articles'!F54,"*GCO – Other*")</f>
        <v>0</v>
      </c>
      <c r="P55">
        <f>COUNTIF('Metrics - Articles'!F54,"*Corporate*")</f>
        <v>0</v>
      </c>
      <c r="R55" s="53">
        <f t="shared" si="2"/>
        <v>1</v>
      </c>
    </row>
    <row r="56" spans="2:18" x14ac:dyDescent="0.25">
      <c r="B56" s="48">
        <f>+'Metrics - Articles'!C55</f>
        <v>42051</v>
      </c>
      <c r="C56">
        <f>COUNTIF('Metrics - Articles'!F55,"*GPO (Partner, Ecosystem, Channels)*")</f>
        <v>0</v>
      </c>
      <c r="D56">
        <f>COUNTIF('Metrics - Articles'!F55,"*Office of the CEO*")</f>
        <v>0</v>
      </c>
      <c r="E56">
        <f>COUNTIF('Metrics - Articles'!F55,"*Services Delivery &amp; Support (go-lives and deployments) *")</f>
        <v>0</v>
      </c>
      <c r="F56">
        <f>COUNTIF('Metrics - Articles'!F55,"*Human Resources (SAP HR and employee stories)*")</f>
        <v>0</v>
      </c>
      <c r="G56">
        <f>COUNTIF('Metrics - Articles'!F55,"*P&amp;I (Research &amp; Development)*")</f>
        <v>0</v>
      </c>
      <c r="H56">
        <f>COUNTIF('Metrics - Articles'!F55,"*Business Network (Concur, Ariba, Fieldglass)*")</f>
        <v>0</v>
      </c>
      <c r="I56">
        <f>COUNTIF('Metrics - Articles'!F55,"*GCO – Regions*")</f>
        <v>0</v>
      </c>
      <c r="J56">
        <f>COUNTIF('Metrics - Articles'!F55,"*GCO – Platform Solutions*")</f>
        <v>1</v>
      </c>
      <c r="K56">
        <f>COUNTIF('Metrics - Articles'!F55,"*GCO – Industry Cloud *")</f>
        <v>0</v>
      </c>
      <c r="L56">
        <f>COUNTIF('Metrics - Articles'!F55,"*GCO – Customer Engagement &amp; Commerce (CRM &amp; hybris) *")</f>
        <v>0</v>
      </c>
      <c r="M56">
        <f>COUNTIF('Metrics - Articles'!F55,"*GCO – HR (SuccessFactors)*")</f>
        <v>0</v>
      </c>
      <c r="N56">
        <f>COUNTIF('Metrics - Articles'!F55,"*GCO – Services Sales*")</f>
        <v>0</v>
      </c>
      <c r="O56">
        <f>COUNTIF('Metrics - Articles'!F55,"*GCO – Other*")</f>
        <v>0</v>
      </c>
      <c r="P56">
        <f>COUNTIF('Metrics - Articles'!F55,"*Corporate*")</f>
        <v>0</v>
      </c>
      <c r="R56" s="53">
        <f t="shared" si="2"/>
        <v>1</v>
      </c>
    </row>
    <row r="57" spans="2:18" x14ac:dyDescent="0.25">
      <c r="B57" s="48">
        <f>+'Metrics - Articles'!C56</f>
        <v>42052</v>
      </c>
      <c r="C57">
        <f>COUNTIF('Metrics - Articles'!F56,"*GPO (Partner, Ecosystem, Channels)*")</f>
        <v>0</v>
      </c>
      <c r="D57">
        <f>COUNTIF('Metrics - Articles'!F56,"*Office of the CEO*")</f>
        <v>0</v>
      </c>
      <c r="E57">
        <f>COUNTIF('Metrics - Articles'!F56,"*Services Delivery &amp; Support (go-lives and deployments) *")</f>
        <v>0</v>
      </c>
      <c r="F57">
        <f>COUNTIF('Metrics - Articles'!F56,"*Human Resources (SAP HR and employee stories)*")</f>
        <v>0</v>
      </c>
      <c r="G57">
        <f>COUNTIF('Metrics - Articles'!F56,"*P&amp;I (Research &amp; Development)*")</f>
        <v>0</v>
      </c>
      <c r="H57">
        <f>COUNTIF('Metrics - Articles'!F56,"*Business Network (Concur, Ariba, Fieldglass)*")</f>
        <v>0</v>
      </c>
      <c r="I57">
        <f>COUNTIF('Metrics - Articles'!F56,"*GCO – Regions*")</f>
        <v>0</v>
      </c>
      <c r="J57">
        <f>COUNTIF('Metrics - Articles'!F56,"*GCO – Platform Solutions*")</f>
        <v>0</v>
      </c>
      <c r="K57">
        <f>COUNTIF('Metrics - Articles'!F56,"*GCO – Industry Cloud *")</f>
        <v>1</v>
      </c>
      <c r="L57">
        <f>COUNTIF('Metrics - Articles'!F56,"*GCO – Customer Engagement &amp; Commerce (CRM &amp; hybris) *")</f>
        <v>0</v>
      </c>
      <c r="M57">
        <f>COUNTIF('Metrics - Articles'!F56,"*GCO – HR (SuccessFactors)*")</f>
        <v>0</v>
      </c>
      <c r="N57">
        <f>COUNTIF('Metrics - Articles'!F56,"*GCO – Services Sales*")</f>
        <v>0</v>
      </c>
      <c r="O57">
        <f>COUNTIF('Metrics - Articles'!F56,"*GCO – Other*")</f>
        <v>0</v>
      </c>
      <c r="P57">
        <f>COUNTIF('Metrics - Articles'!F56,"*Corporate*")</f>
        <v>0</v>
      </c>
      <c r="R57" s="53">
        <f t="shared" si="2"/>
        <v>1</v>
      </c>
    </row>
    <row r="58" spans="2:18" x14ac:dyDescent="0.25">
      <c r="B58" s="48">
        <f>+'Metrics - Articles'!C57</f>
        <v>42052</v>
      </c>
      <c r="C58">
        <f>COUNTIF('Metrics - Articles'!F57,"*GPO (Partner, Ecosystem, Channels)*")</f>
        <v>0</v>
      </c>
      <c r="D58">
        <f>COUNTIF('Metrics - Articles'!F57,"*Office of the CEO*")</f>
        <v>0</v>
      </c>
      <c r="E58">
        <f>COUNTIF('Metrics - Articles'!F57,"*Services Delivery &amp; Support (go-lives and deployments) *")</f>
        <v>0</v>
      </c>
      <c r="F58">
        <f>COUNTIF('Metrics - Articles'!F57,"*Human Resources (SAP HR and employee stories)*")</f>
        <v>0</v>
      </c>
      <c r="G58">
        <f>COUNTIF('Metrics - Articles'!F57,"*P&amp;I (Research &amp; Development)*")</f>
        <v>0</v>
      </c>
      <c r="H58">
        <f>COUNTIF('Metrics - Articles'!F57,"*Business Network (Concur, Ariba, Fieldglass)*")</f>
        <v>0</v>
      </c>
      <c r="I58">
        <f>COUNTIF('Metrics - Articles'!F57,"*GCO – Regions*")</f>
        <v>0</v>
      </c>
      <c r="J58">
        <f>COUNTIF('Metrics - Articles'!F57,"*GCO – Platform Solutions*")</f>
        <v>1</v>
      </c>
      <c r="K58">
        <f>COUNTIF('Metrics - Articles'!F57,"*GCO – Industry Cloud *")</f>
        <v>0</v>
      </c>
      <c r="L58">
        <f>COUNTIF('Metrics - Articles'!F57,"*GCO – Customer Engagement &amp; Commerce (CRM &amp; hybris) *")</f>
        <v>0</v>
      </c>
      <c r="M58">
        <f>COUNTIF('Metrics - Articles'!F57,"*GCO – HR (SuccessFactors)*")</f>
        <v>0</v>
      </c>
      <c r="N58">
        <f>COUNTIF('Metrics - Articles'!F57,"*GCO – Services Sales*")</f>
        <v>0</v>
      </c>
      <c r="O58">
        <f>COUNTIF('Metrics - Articles'!F57,"*GCO – Other*")</f>
        <v>0</v>
      </c>
      <c r="P58">
        <f>COUNTIF('Metrics - Articles'!F57,"*Corporate*")</f>
        <v>0</v>
      </c>
      <c r="R58" s="53">
        <f t="shared" si="2"/>
        <v>1</v>
      </c>
    </row>
    <row r="59" spans="2:18" x14ac:dyDescent="0.25">
      <c r="B59" s="48">
        <f>+'Metrics - Articles'!C58</f>
        <v>42053</v>
      </c>
      <c r="C59">
        <f>COUNTIF('Metrics - Articles'!F58,"*GPO (Partner, Ecosystem, Channels)*")</f>
        <v>0</v>
      </c>
      <c r="D59">
        <f>COUNTIF('Metrics - Articles'!F58,"*Office of the CEO*")</f>
        <v>1</v>
      </c>
      <c r="E59">
        <f>COUNTIF('Metrics - Articles'!F58,"*Services Delivery &amp; Support (go-lives and deployments) *")</f>
        <v>0</v>
      </c>
      <c r="F59">
        <f>COUNTIF('Metrics - Articles'!F58,"*Human Resources (SAP HR and employee stories)*")</f>
        <v>0</v>
      </c>
      <c r="G59">
        <f>COUNTIF('Metrics - Articles'!F58,"*P&amp;I (Research &amp; Development)*")</f>
        <v>0</v>
      </c>
      <c r="H59">
        <f>COUNTIF('Metrics - Articles'!F58,"*Business Network (Concur, Ariba, Fieldglass)*")</f>
        <v>0</v>
      </c>
      <c r="I59">
        <f>COUNTIF('Metrics - Articles'!F58,"*GCO – Regions*")</f>
        <v>0</v>
      </c>
      <c r="J59">
        <f>COUNTIF('Metrics - Articles'!F58,"*GCO – Platform Solutions*")</f>
        <v>0</v>
      </c>
      <c r="K59">
        <f>COUNTIF('Metrics - Articles'!F58,"*GCO – Industry Cloud *")</f>
        <v>0</v>
      </c>
      <c r="L59">
        <f>COUNTIF('Metrics - Articles'!F58,"*GCO – Customer Engagement &amp; Commerce (CRM &amp; hybris) *")</f>
        <v>0</v>
      </c>
      <c r="M59">
        <f>COUNTIF('Metrics - Articles'!F58,"*GCO – HR (SuccessFactors)*")</f>
        <v>0</v>
      </c>
      <c r="N59">
        <f>COUNTIF('Metrics - Articles'!F58,"*GCO – Services Sales*")</f>
        <v>0</v>
      </c>
      <c r="O59">
        <f>COUNTIF('Metrics - Articles'!F58,"*GCO – Other*")</f>
        <v>0</v>
      </c>
      <c r="P59">
        <f>COUNTIF('Metrics - Articles'!F58,"*Corporate*")</f>
        <v>0</v>
      </c>
      <c r="R59" s="53">
        <f t="shared" si="2"/>
        <v>1</v>
      </c>
    </row>
    <row r="60" spans="2:18" x14ac:dyDescent="0.25">
      <c r="B60" s="48">
        <f>+'Metrics - Articles'!C59</f>
        <v>42053</v>
      </c>
      <c r="C60">
        <f>COUNTIF('Metrics - Articles'!F59,"*GPO (Partner, Ecosystem, Channels)*")</f>
        <v>0</v>
      </c>
      <c r="D60">
        <f>COUNTIF('Metrics - Articles'!F59,"*Office of the CEO*")</f>
        <v>0</v>
      </c>
      <c r="E60">
        <f>COUNTIF('Metrics - Articles'!F59,"*Services Delivery &amp; Support (go-lives and deployments) *")</f>
        <v>0</v>
      </c>
      <c r="F60">
        <f>COUNTIF('Metrics - Articles'!F59,"*Human Resources (SAP HR and employee stories)*")</f>
        <v>0</v>
      </c>
      <c r="G60">
        <f>COUNTIF('Metrics - Articles'!F59,"*P&amp;I (Research &amp; Development)*")</f>
        <v>0</v>
      </c>
      <c r="H60">
        <f>COUNTIF('Metrics - Articles'!F59,"*Business Network (Concur, Ariba, Fieldglass)*")</f>
        <v>0</v>
      </c>
      <c r="I60">
        <f>COUNTIF('Metrics - Articles'!F59,"*GCO – Regions*")</f>
        <v>0</v>
      </c>
      <c r="J60">
        <f>COUNTIF('Metrics - Articles'!F59,"*GCO – Platform Solutions*")</f>
        <v>0</v>
      </c>
      <c r="K60">
        <f>COUNTIF('Metrics - Articles'!F59,"*GCO – Industry Cloud *")</f>
        <v>1</v>
      </c>
      <c r="L60">
        <f>COUNTIF('Metrics - Articles'!F59,"*GCO – Customer Engagement &amp; Commerce (CRM &amp; hybris) *")</f>
        <v>0</v>
      </c>
      <c r="M60">
        <f>COUNTIF('Metrics - Articles'!F59,"*GCO – HR (SuccessFactors)*")</f>
        <v>0</v>
      </c>
      <c r="N60">
        <f>COUNTIF('Metrics - Articles'!F59,"*GCO – Services Sales*")</f>
        <v>0</v>
      </c>
      <c r="O60">
        <f>COUNTIF('Metrics - Articles'!F59,"*GCO – Other*")</f>
        <v>0</v>
      </c>
      <c r="P60">
        <f>COUNTIF('Metrics - Articles'!F59,"*Corporate*")</f>
        <v>0</v>
      </c>
      <c r="R60" s="53">
        <f t="shared" si="2"/>
        <v>1</v>
      </c>
    </row>
    <row r="61" spans="2:18" x14ac:dyDescent="0.25">
      <c r="B61" s="48">
        <f>+'Metrics - Articles'!C60</f>
        <v>42055</v>
      </c>
      <c r="C61">
        <f>COUNTIF('Metrics - Articles'!F60,"*GPO (Partner, Ecosystem, Channels)*")</f>
        <v>0</v>
      </c>
      <c r="D61">
        <f>COUNTIF('Metrics - Articles'!F60,"*Office of the CEO*")</f>
        <v>0</v>
      </c>
      <c r="E61">
        <f>COUNTIF('Metrics - Articles'!F60,"*Services Delivery &amp; Support (go-lives and deployments) *")</f>
        <v>0</v>
      </c>
      <c r="F61">
        <f>COUNTIF('Metrics - Articles'!F60,"*Human Resources (SAP HR and employee stories)*")</f>
        <v>1</v>
      </c>
      <c r="G61">
        <f>COUNTIF('Metrics - Articles'!F60,"*P&amp;I (Research &amp; Development)*")</f>
        <v>0</v>
      </c>
      <c r="H61">
        <f>COUNTIF('Metrics - Articles'!F60,"*Business Network (Concur, Ariba, Fieldglass)*")</f>
        <v>0</v>
      </c>
      <c r="I61">
        <f>COUNTIF('Metrics - Articles'!F60,"*GCO – Regions*")</f>
        <v>0</v>
      </c>
      <c r="J61">
        <f>COUNTIF('Metrics - Articles'!F60,"*GCO – Platform Solutions*")</f>
        <v>0</v>
      </c>
      <c r="K61">
        <f>COUNTIF('Metrics - Articles'!F60,"*GCO – Industry Cloud *")</f>
        <v>0</v>
      </c>
      <c r="L61">
        <f>COUNTIF('Metrics - Articles'!F60,"*GCO – Customer Engagement &amp; Commerce (CRM &amp; hybris) *")</f>
        <v>0</v>
      </c>
      <c r="M61">
        <f>COUNTIF('Metrics - Articles'!F60,"*GCO – HR (SuccessFactors)*")</f>
        <v>0</v>
      </c>
      <c r="N61">
        <f>COUNTIF('Metrics - Articles'!F60,"*GCO – Services Sales*")</f>
        <v>0</v>
      </c>
      <c r="O61">
        <f>COUNTIF('Metrics - Articles'!F60,"*GCO – Other*")</f>
        <v>0</v>
      </c>
      <c r="P61">
        <f>COUNTIF('Metrics - Articles'!F60,"*Corporate*")</f>
        <v>0</v>
      </c>
      <c r="R61" s="53">
        <f t="shared" si="2"/>
        <v>1</v>
      </c>
    </row>
    <row r="62" spans="2:18" x14ac:dyDescent="0.25">
      <c r="B62" s="48">
        <f>+'Metrics - Articles'!C61</f>
        <v>42055</v>
      </c>
      <c r="C62">
        <f>COUNTIF('Metrics - Articles'!F61,"*GPO (Partner, Ecosystem, Channels)*")</f>
        <v>0</v>
      </c>
      <c r="D62">
        <f>COUNTIF('Metrics - Articles'!F61,"*Office of the CEO*")</f>
        <v>0</v>
      </c>
      <c r="E62">
        <f>COUNTIF('Metrics - Articles'!F61,"*Services Delivery &amp; Support (go-lives and deployments) *")</f>
        <v>0</v>
      </c>
      <c r="F62">
        <f>COUNTIF('Metrics - Articles'!F61,"*Human Resources (SAP HR and employee stories)*")</f>
        <v>0</v>
      </c>
      <c r="G62">
        <f>COUNTIF('Metrics - Articles'!F61,"*P&amp;I (Research &amp; Development)*")</f>
        <v>1</v>
      </c>
      <c r="H62">
        <f>COUNTIF('Metrics - Articles'!F61,"*Business Network (Concur, Ariba, Fieldglass)*")</f>
        <v>0</v>
      </c>
      <c r="I62">
        <f>COUNTIF('Metrics - Articles'!F61,"*GCO – Regions*")</f>
        <v>0</v>
      </c>
      <c r="J62">
        <f>COUNTIF('Metrics - Articles'!F61,"*GCO – Platform Solutions*")</f>
        <v>0</v>
      </c>
      <c r="K62">
        <f>COUNTIF('Metrics - Articles'!F61,"*GCO – Industry Cloud *")</f>
        <v>0</v>
      </c>
      <c r="L62">
        <f>COUNTIF('Metrics - Articles'!F61,"*GCO – Customer Engagement &amp; Commerce (CRM &amp; hybris) *")</f>
        <v>0</v>
      </c>
      <c r="M62">
        <f>COUNTIF('Metrics - Articles'!F61,"*GCO – HR (SuccessFactors)*")</f>
        <v>0</v>
      </c>
      <c r="N62">
        <f>COUNTIF('Metrics - Articles'!F61,"*GCO – Services Sales*")</f>
        <v>0</v>
      </c>
      <c r="O62">
        <f>COUNTIF('Metrics - Articles'!F61,"*GCO – Other*")</f>
        <v>0</v>
      </c>
      <c r="P62">
        <f>COUNTIF('Metrics - Articles'!F61,"*Corporate*")</f>
        <v>0</v>
      </c>
      <c r="R62" s="53">
        <f t="shared" si="2"/>
        <v>1</v>
      </c>
    </row>
    <row r="63" spans="2:18" x14ac:dyDescent="0.25">
      <c r="B63" s="48">
        <f>+'Metrics - Articles'!C62</f>
        <v>42056</v>
      </c>
      <c r="C63">
        <f>COUNTIF('Metrics - Articles'!F62,"*GPO (Partner, Ecosystem, Channels)*")</f>
        <v>0</v>
      </c>
      <c r="D63">
        <f>COUNTIF('Metrics - Articles'!F62,"*Office of the CEO*")</f>
        <v>0</v>
      </c>
      <c r="E63">
        <f>COUNTIF('Metrics - Articles'!F62,"*Services Delivery &amp; Support (go-lives and deployments) *")</f>
        <v>0</v>
      </c>
      <c r="F63">
        <f>COUNTIF('Metrics - Articles'!F62,"*Human Resources (SAP HR and employee stories)*")</f>
        <v>0</v>
      </c>
      <c r="G63">
        <f>COUNTIF('Metrics - Articles'!F62,"*P&amp;I (Research &amp; Development)*")</f>
        <v>0</v>
      </c>
      <c r="H63">
        <f>COUNTIF('Metrics - Articles'!F62,"*Business Network (Concur, Ariba, Fieldglass)*")</f>
        <v>0</v>
      </c>
      <c r="I63">
        <f>COUNTIF('Metrics - Articles'!F62,"*GCO – Regions*")</f>
        <v>0</v>
      </c>
      <c r="J63">
        <f>COUNTIF('Metrics - Articles'!F62,"*GCO – Platform Solutions*")</f>
        <v>0</v>
      </c>
      <c r="K63">
        <f>COUNTIF('Metrics - Articles'!F62,"*GCO – Industry Cloud *")</f>
        <v>1</v>
      </c>
      <c r="L63">
        <f>COUNTIF('Metrics - Articles'!F62,"*GCO – Customer Engagement &amp; Commerce (CRM &amp; hybris) *")</f>
        <v>0</v>
      </c>
      <c r="M63">
        <f>COUNTIF('Metrics - Articles'!F62,"*GCO – HR (SuccessFactors)*")</f>
        <v>0</v>
      </c>
      <c r="N63">
        <f>COUNTIF('Metrics - Articles'!F62,"*GCO – Services Sales*")</f>
        <v>0</v>
      </c>
      <c r="O63">
        <f>COUNTIF('Metrics - Articles'!F62,"*GCO – Other*")</f>
        <v>0</v>
      </c>
      <c r="P63">
        <f>COUNTIF('Metrics - Articles'!F62,"*Corporate*")</f>
        <v>0</v>
      </c>
      <c r="R63" s="53">
        <f t="shared" si="2"/>
        <v>1</v>
      </c>
    </row>
    <row r="64" spans="2:18" x14ac:dyDescent="0.25">
      <c r="B64" s="48">
        <f>+'Metrics - Articles'!C63</f>
        <v>42058</v>
      </c>
      <c r="C64">
        <f>COUNTIF('Metrics - Articles'!F63,"*GPO (Partner, Ecosystem, Channels)*")</f>
        <v>0</v>
      </c>
      <c r="D64">
        <f>COUNTIF('Metrics - Articles'!F63,"*Office of the CEO*")</f>
        <v>0</v>
      </c>
      <c r="E64">
        <f>COUNTIF('Metrics - Articles'!F63,"*Services Delivery &amp; Support (go-lives and deployments) *")</f>
        <v>0</v>
      </c>
      <c r="F64">
        <f>COUNTIF('Metrics - Articles'!F63,"*Human Resources (SAP HR and employee stories)*")</f>
        <v>0</v>
      </c>
      <c r="G64">
        <f>COUNTIF('Metrics - Articles'!F63,"*P&amp;I (Research &amp; Development)*")</f>
        <v>0</v>
      </c>
      <c r="H64">
        <f>COUNTIF('Metrics - Articles'!F63,"*Business Network (Concur, Ariba, Fieldglass)*")</f>
        <v>0</v>
      </c>
      <c r="I64">
        <f>COUNTIF('Metrics - Articles'!F63,"*GCO – Regions*")</f>
        <v>1</v>
      </c>
      <c r="J64">
        <f>COUNTIF('Metrics - Articles'!F63,"*GCO – Platform Solutions*")</f>
        <v>0</v>
      </c>
      <c r="K64">
        <f>COUNTIF('Metrics - Articles'!F63,"*GCO – Industry Cloud *")</f>
        <v>0</v>
      </c>
      <c r="L64">
        <f>COUNTIF('Metrics - Articles'!F63,"*GCO – Customer Engagement &amp; Commerce (CRM &amp; hybris) *")</f>
        <v>0</v>
      </c>
      <c r="M64">
        <f>COUNTIF('Metrics - Articles'!F63,"*GCO – HR (SuccessFactors)*")</f>
        <v>0</v>
      </c>
      <c r="N64">
        <f>COUNTIF('Metrics - Articles'!F63,"*GCO – Services Sales*")</f>
        <v>0</v>
      </c>
      <c r="O64">
        <f>COUNTIF('Metrics - Articles'!F63,"*GCO – Other*")</f>
        <v>0</v>
      </c>
      <c r="P64">
        <f>COUNTIF('Metrics - Articles'!F63,"*Corporate*")</f>
        <v>0</v>
      </c>
      <c r="R64" s="53">
        <f t="shared" si="2"/>
        <v>1</v>
      </c>
    </row>
    <row r="65" spans="2:18" x14ac:dyDescent="0.25">
      <c r="B65" s="48">
        <f>+'Metrics - Articles'!C64</f>
        <v>42059</v>
      </c>
      <c r="C65">
        <f>COUNTIF('Metrics - Articles'!F64,"*GPO (Partner, Ecosystem, Channels)*")</f>
        <v>0</v>
      </c>
      <c r="D65">
        <f>COUNTIF('Metrics - Articles'!F64,"*Office of the CEO*")</f>
        <v>0</v>
      </c>
      <c r="E65">
        <f>COUNTIF('Metrics - Articles'!F64,"*Services Delivery &amp; Support (go-lives and deployments) *")</f>
        <v>0</v>
      </c>
      <c r="F65">
        <f>COUNTIF('Metrics - Articles'!F64,"*Human Resources (SAP HR and employee stories)*")</f>
        <v>0</v>
      </c>
      <c r="G65">
        <f>COUNTIF('Metrics - Articles'!F64,"*P&amp;I (Research &amp; Development)*")</f>
        <v>0</v>
      </c>
      <c r="H65">
        <f>COUNTIF('Metrics - Articles'!F64,"*Business Network (Concur, Ariba, Fieldglass)*")</f>
        <v>0</v>
      </c>
      <c r="I65">
        <f>COUNTIF('Metrics - Articles'!F64,"*GCO – Regions*")</f>
        <v>0</v>
      </c>
      <c r="J65">
        <f>COUNTIF('Metrics - Articles'!F64,"*GCO – Platform Solutions*")</f>
        <v>0</v>
      </c>
      <c r="K65">
        <f>COUNTIF('Metrics - Articles'!F64,"*GCO – Industry Cloud *")</f>
        <v>0</v>
      </c>
      <c r="L65">
        <f>COUNTIF('Metrics - Articles'!F64,"*GCO – Customer Engagement &amp; Commerce (CRM &amp; hybris) *")</f>
        <v>0</v>
      </c>
      <c r="M65">
        <f>COUNTIF('Metrics - Articles'!F64,"*GCO – HR (SuccessFactors)*")</f>
        <v>0</v>
      </c>
      <c r="N65">
        <f>COUNTIF('Metrics - Articles'!F64,"*GCO – Services Sales*")</f>
        <v>0</v>
      </c>
      <c r="O65">
        <f>COUNTIF('Metrics - Articles'!F64,"*GCO – Other*")</f>
        <v>0</v>
      </c>
      <c r="P65">
        <f>COUNTIF('Metrics - Articles'!F64,"*Corporate*")</f>
        <v>1</v>
      </c>
      <c r="R65" s="53">
        <f t="shared" si="2"/>
        <v>1</v>
      </c>
    </row>
    <row r="66" spans="2:18" x14ac:dyDescent="0.25">
      <c r="B66" s="48">
        <f>+'Metrics - Articles'!C65</f>
        <v>42060</v>
      </c>
      <c r="C66">
        <f>COUNTIF('Metrics - Articles'!F65,"*GPO (Partner, Ecosystem, Channels)*")</f>
        <v>0</v>
      </c>
      <c r="D66">
        <f>COUNTIF('Metrics - Articles'!F65,"*Office of the CEO*")</f>
        <v>0</v>
      </c>
      <c r="E66">
        <f>COUNTIF('Metrics - Articles'!F65,"*Services Delivery &amp; Support (go-lives and deployments) *")</f>
        <v>0</v>
      </c>
      <c r="F66">
        <f>COUNTIF('Metrics - Articles'!F65,"*Human Resources (SAP HR and employee stories)*")</f>
        <v>0</v>
      </c>
      <c r="G66">
        <f>COUNTIF('Metrics - Articles'!F65,"*P&amp;I (Research &amp; Development)*")</f>
        <v>0</v>
      </c>
      <c r="H66">
        <f>COUNTIF('Metrics - Articles'!F65,"*Business Network (Concur, Ariba, Fieldglass)*")</f>
        <v>0</v>
      </c>
      <c r="I66">
        <f>COUNTIF('Metrics - Articles'!F65,"*GCO – Regions*")</f>
        <v>0</v>
      </c>
      <c r="J66">
        <f>COUNTIF('Metrics - Articles'!F65,"*GCO – Platform Solutions*")</f>
        <v>0</v>
      </c>
      <c r="K66">
        <f>COUNTIF('Metrics - Articles'!F65,"*GCO – Industry Cloud *")</f>
        <v>1</v>
      </c>
      <c r="L66">
        <f>COUNTIF('Metrics - Articles'!F65,"*GCO – Customer Engagement &amp; Commerce (CRM &amp; hybris) *")</f>
        <v>0</v>
      </c>
      <c r="M66">
        <f>COUNTIF('Metrics - Articles'!F65,"*GCO – HR (SuccessFactors)*")</f>
        <v>0</v>
      </c>
      <c r="N66">
        <f>COUNTIF('Metrics - Articles'!F65,"*GCO – Services Sales*")</f>
        <v>0</v>
      </c>
      <c r="O66">
        <f>COUNTIF('Metrics - Articles'!F65,"*GCO – Other*")</f>
        <v>0</v>
      </c>
      <c r="P66">
        <f>COUNTIF('Metrics - Articles'!F65,"*Corporate*")</f>
        <v>0</v>
      </c>
      <c r="R66" s="53">
        <f t="shared" si="2"/>
        <v>1</v>
      </c>
    </row>
    <row r="67" spans="2:18" x14ac:dyDescent="0.25">
      <c r="B67" s="48">
        <f>+'Metrics - Articles'!C66</f>
        <v>42060</v>
      </c>
      <c r="C67">
        <f>COUNTIF('Metrics - Articles'!F66,"*GPO (Partner, Ecosystem, Channels)*")</f>
        <v>0</v>
      </c>
      <c r="D67">
        <f>COUNTIF('Metrics - Articles'!F66,"*Office of the CEO*")</f>
        <v>0</v>
      </c>
      <c r="E67">
        <f>COUNTIF('Metrics - Articles'!F66,"*Services Delivery &amp; Support (go-lives and deployments) *")</f>
        <v>0</v>
      </c>
      <c r="F67">
        <f>COUNTIF('Metrics - Articles'!F66,"*Human Resources (SAP HR and employee stories)*")</f>
        <v>0</v>
      </c>
      <c r="G67">
        <f>COUNTIF('Metrics - Articles'!F66,"*P&amp;I (Research &amp; Development)*")</f>
        <v>0</v>
      </c>
      <c r="H67">
        <f>COUNTIF('Metrics - Articles'!F66,"*Business Network (Concur, Ariba, Fieldglass)*")</f>
        <v>0</v>
      </c>
      <c r="I67">
        <f>COUNTIF('Metrics - Articles'!F66,"*GCO – Regions*")</f>
        <v>0</v>
      </c>
      <c r="J67">
        <f>COUNTIF('Metrics - Articles'!F66,"*GCO – Platform Solutions*")</f>
        <v>1</v>
      </c>
      <c r="K67">
        <f>COUNTIF('Metrics - Articles'!F66,"*GCO – Industry Cloud *")</f>
        <v>0</v>
      </c>
      <c r="L67">
        <f>COUNTIF('Metrics - Articles'!F66,"*GCO – Customer Engagement &amp; Commerce (CRM &amp; hybris) *")</f>
        <v>0</v>
      </c>
      <c r="M67">
        <f>COUNTIF('Metrics - Articles'!F66,"*GCO – HR (SuccessFactors)*")</f>
        <v>0</v>
      </c>
      <c r="N67">
        <f>COUNTIF('Metrics - Articles'!F66,"*GCO – Services Sales*")</f>
        <v>0</v>
      </c>
      <c r="O67">
        <f>COUNTIF('Metrics - Articles'!F66,"*GCO – Other*")</f>
        <v>0</v>
      </c>
      <c r="P67">
        <f>COUNTIF('Metrics - Articles'!F66,"*Corporate*")</f>
        <v>0</v>
      </c>
      <c r="R67" s="53">
        <f t="shared" si="2"/>
        <v>1</v>
      </c>
    </row>
    <row r="68" spans="2:18" x14ac:dyDescent="0.25">
      <c r="B68" s="48">
        <f>+'Metrics - Articles'!C67</f>
        <v>42061</v>
      </c>
      <c r="C68">
        <f>COUNTIF('Metrics - Articles'!F67,"*GPO (Partner, Ecosystem, Channels)*")</f>
        <v>0</v>
      </c>
      <c r="D68">
        <f>COUNTIF('Metrics - Articles'!F67,"*Office of the CEO*")</f>
        <v>0</v>
      </c>
      <c r="E68">
        <f>COUNTIF('Metrics - Articles'!F67,"*Services Delivery &amp; Support (go-lives and deployments) *")</f>
        <v>0</v>
      </c>
      <c r="F68">
        <f>COUNTIF('Metrics - Articles'!F67,"*Human Resources (SAP HR and employee stories)*")</f>
        <v>1</v>
      </c>
      <c r="G68">
        <f>COUNTIF('Metrics - Articles'!F67,"*P&amp;I (Research &amp; Development)*")</f>
        <v>0</v>
      </c>
      <c r="H68">
        <f>COUNTIF('Metrics - Articles'!F67,"*Business Network (Concur, Ariba, Fieldglass)*")</f>
        <v>0</v>
      </c>
      <c r="I68">
        <f>COUNTIF('Metrics - Articles'!F67,"*GCO – Regions*")</f>
        <v>0</v>
      </c>
      <c r="J68">
        <f>COUNTIF('Metrics - Articles'!F67,"*GCO – Platform Solutions*")</f>
        <v>0</v>
      </c>
      <c r="K68">
        <f>COUNTIF('Metrics - Articles'!F67,"*GCO – Industry Cloud *")</f>
        <v>0</v>
      </c>
      <c r="L68">
        <f>COUNTIF('Metrics - Articles'!F67,"*GCO – Customer Engagement &amp; Commerce (CRM &amp; hybris) *")</f>
        <v>0</v>
      </c>
      <c r="M68">
        <f>COUNTIF('Metrics - Articles'!F67,"*GCO – HR (SuccessFactors)*")</f>
        <v>0</v>
      </c>
      <c r="N68">
        <f>COUNTIF('Metrics - Articles'!F67,"*GCO – Services Sales*")</f>
        <v>0</v>
      </c>
      <c r="O68">
        <f>COUNTIF('Metrics - Articles'!F67,"*GCO – Other*")</f>
        <v>0</v>
      </c>
      <c r="P68">
        <f>COUNTIF('Metrics - Articles'!F67,"*Corporate*")</f>
        <v>0</v>
      </c>
      <c r="R68" s="53">
        <f t="shared" si="2"/>
        <v>1</v>
      </c>
    </row>
    <row r="69" spans="2:18" x14ac:dyDescent="0.25">
      <c r="B69" s="48">
        <f>+'Metrics - Articles'!C68</f>
        <v>42062</v>
      </c>
      <c r="C69">
        <f>COUNTIF('Metrics - Articles'!F68,"*GPO (Partner, Ecosystem, Channels)*")</f>
        <v>0</v>
      </c>
      <c r="D69">
        <f>COUNTIF('Metrics - Articles'!F68,"*Office of the CEO*")</f>
        <v>0</v>
      </c>
      <c r="E69">
        <f>COUNTIF('Metrics - Articles'!F68,"*Services Delivery &amp; Support (go-lives and deployments) *")</f>
        <v>0</v>
      </c>
      <c r="F69">
        <f>COUNTIF('Metrics - Articles'!F68,"*Human Resources (SAP HR and employee stories)*")</f>
        <v>1</v>
      </c>
      <c r="G69">
        <f>COUNTIF('Metrics - Articles'!F68,"*P&amp;I (Research &amp; Development)*")</f>
        <v>0</v>
      </c>
      <c r="H69">
        <f>COUNTIF('Metrics - Articles'!F68,"*Business Network (Concur, Ariba, Fieldglass)*")</f>
        <v>0</v>
      </c>
      <c r="I69">
        <f>COUNTIF('Metrics - Articles'!F68,"*GCO – Regions*")</f>
        <v>0</v>
      </c>
      <c r="J69">
        <f>COUNTIF('Metrics - Articles'!F68,"*GCO – Platform Solutions*")</f>
        <v>0</v>
      </c>
      <c r="K69">
        <f>COUNTIF('Metrics - Articles'!F68,"*GCO – Industry Cloud *")</f>
        <v>0</v>
      </c>
      <c r="L69">
        <f>COUNTIF('Metrics - Articles'!F68,"*GCO – Customer Engagement &amp; Commerce (CRM &amp; hybris) *")</f>
        <v>0</v>
      </c>
      <c r="M69">
        <f>COUNTIF('Metrics - Articles'!F68,"*GCO – HR (SuccessFactors)*")</f>
        <v>0</v>
      </c>
      <c r="N69">
        <f>COUNTIF('Metrics - Articles'!F68,"*GCO – Services Sales*")</f>
        <v>0</v>
      </c>
      <c r="O69">
        <f>COUNTIF('Metrics - Articles'!F68,"*GCO – Other*")</f>
        <v>0</v>
      </c>
      <c r="P69">
        <f>COUNTIF('Metrics - Articles'!F68,"*Corporate*")</f>
        <v>0</v>
      </c>
      <c r="R69" s="53">
        <f t="shared" si="2"/>
        <v>1</v>
      </c>
    </row>
    <row r="70" spans="2:18" x14ac:dyDescent="0.25">
      <c r="B70" s="48">
        <f>+'Metrics - Articles'!C69</f>
        <v>42062</v>
      </c>
      <c r="C70">
        <f>COUNTIF('Metrics - Articles'!F69,"*GPO (Partner, Ecosystem, Channels)*")</f>
        <v>0</v>
      </c>
      <c r="D70">
        <f>COUNTIF('Metrics - Articles'!F69,"*Office of the CEO*")</f>
        <v>0</v>
      </c>
      <c r="E70">
        <f>COUNTIF('Metrics - Articles'!F69,"*Services Delivery &amp; Support (go-lives and deployments) *")</f>
        <v>0</v>
      </c>
      <c r="F70">
        <f>COUNTIF('Metrics - Articles'!F69,"*Human Resources (SAP HR and employee stories)*")</f>
        <v>1</v>
      </c>
      <c r="G70">
        <f>COUNTIF('Metrics - Articles'!F69,"*P&amp;I (Research &amp; Development)*")</f>
        <v>0</v>
      </c>
      <c r="H70">
        <f>COUNTIF('Metrics - Articles'!F69,"*Business Network (Concur, Ariba, Fieldglass)*")</f>
        <v>0</v>
      </c>
      <c r="I70">
        <f>COUNTIF('Metrics - Articles'!F69,"*GCO – Regions*")</f>
        <v>0</v>
      </c>
      <c r="J70">
        <f>COUNTIF('Metrics - Articles'!F69,"*GCO – Platform Solutions*")</f>
        <v>0</v>
      </c>
      <c r="K70">
        <f>COUNTIF('Metrics - Articles'!F69,"*GCO – Industry Cloud *")</f>
        <v>0</v>
      </c>
      <c r="L70">
        <f>COUNTIF('Metrics - Articles'!F69,"*GCO – Customer Engagement &amp; Commerce (CRM &amp; hybris) *")</f>
        <v>0</v>
      </c>
      <c r="M70">
        <f>COUNTIF('Metrics - Articles'!F69,"*GCO – HR (SuccessFactors)*")</f>
        <v>0</v>
      </c>
      <c r="N70">
        <f>COUNTIF('Metrics - Articles'!F69,"*GCO – Services Sales*")</f>
        <v>0</v>
      </c>
      <c r="O70">
        <f>COUNTIF('Metrics - Articles'!F69,"*GCO – Other*")</f>
        <v>0</v>
      </c>
      <c r="P70">
        <f>COUNTIF('Metrics - Articles'!F69,"*Corporate*")</f>
        <v>0</v>
      </c>
      <c r="R70" s="53">
        <f t="shared" si="2"/>
        <v>1</v>
      </c>
    </row>
    <row r="71" spans="2:18" x14ac:dyDescent="0.25">
      <c r="B71" s="48">
        <f>+'Metrics - Articles'!C70</f>
        <v>42065</v>
      </c>
      <c r="C71">
        <f>COUNTIF('Metrics - Articles'!F70,"*GPO (Partner, Ecosystem, Channels)*")</f>
        <v>0</v>
      </c>
      <c r="D71">
        <f>COUNTIF('Metrics - Articles'!F70,"*Office of the CEO*")</f>
        <v>0</v>
      </c>
      <c r="E71">
        <f>COUNTIF('Metrics - Articles'!F70,"*Services Delivery &amp; Support (go-lives and deployments) *")</f>
        <v>0</v>
      </c>
      <c r="F71">
        <f>COUNTIF('Metrics - Articles'!F70,"*Human Resources (SAP HR and employee stories)*")</f>
        <v>0</v>
      </c>
      <c r="G71">
        <f>COUNTIF('Metrics - Articles'!F70,"*P&amp;I (Research &amp; Development)*")</f>
        <v>1</v>
      </c>
      <c r="H71">
        <f>COUNTIF('Metrics - Articles'!F70,"*Business Network (Concur, Ariba, Fieldglass)*")</f>
        <v>0</v>
      </c>
      <c r="I71">
        <f>COUNTIF('Metrics - Articles'!F70,"*GCO – Regions*")</f>
        <v>0</v>
      </c>
      <c r="J71">
        <f>COUNTIF('Metrics - Articles'!F70,"*GCO – Platform Solutions*")</f>
        <v>0</v>
      </c>
      <c r="K71">
        <f>COUNTIF('Metrics - Articles'!F70,"*GCO – Industry Cloud *")</f>
        <v>0</v>
      </c>
      <c r="L71">
        <f>COUNTIF('Metrics - Articles'!F70,"*GCO – Customer Engagement &amp; Commerce (CRM &amp; hybris) *")</f>
        <v>0</v>
      </c>
      <c r="M71">
        <f>COUNTIF('Metrics - Articles'!F70,"*GCO – HR (SuccessFactors)*")</f>
        <v>0</v>
      </c>
      <c r="N71">
        <f>COUNTIF('Metrics - Articles'!F70,"*GCO – Services Sales*")</f>
        <v>0</v>
      </c>
      <c r="O71">
        <f>COUNTIF('Metrics - Articles'!F70,"*GCO – Other*")</f>
        <v>0</v>
      </c>
      <c r="P71">
        <f>COUNTIF('Metrics - Articles'!F70,"*Corporate*")</f>
        <v>0</v>
      </c>
      <c r="R71" s="53">
        <f t="shared" si="2"/>
        <v>1</v>
      </c>
    </row>
    <row r="72" spans="2:18" x14ac:dyDescent="0.25">
      <c r="B72" s="48">
        <f>+'Metrics - Articles'!C71</f>
        <v>42065</v>
      </c>
      <c r="C72">
        <f>COUNTIF('Metrics - Articles'!F71,"*GPO (Partner, Ecosystem, Channels)*")</f>
        <v>0</v>
      </c>
      <c r="D72">
        <f>COUNTIF('Metrics - Articles'!F71,"*Office of the CEO*")</f>
        <v>0</v>
      </c>
      <c r="E72">
        <f>COUNTIF('Metrics - Articles'!F71,"*Services Delivery &amp; Support (go-lives and deployments) *")</f>
        <v>0</v>
      </c>
      <c r="F72">
        <f>COUNTIF('Metrics - Articles'!F71,"*Human Resources (SAP HR and employee stories)*")</f>
        <v>0</v>
      </c>
      <c r="G72">
        <f>COUNTIF('Metrics - Articles'!F71,"*P&amp;I (Research &amp; Development)*")</f>
        <v>0</v>
      </c>
      <c r="H72">
        <f>COUNTIF('Metrics - Articles'!F71,"*Business Network (Concur, Ariba, Fieldglass)*")</f>
        <v>0</v>
      </c>
      <c r="I72">
        <f>COUNTIF('Metrics - Articles'!F71,"*GCO – Regions*")</f>
        <v>0</v>
      </c>
      <c r="J72">
        <f>COUNTIF('Metrics - Articles'!F71,"*GCO – Platform Solutions*")</f>
        <v>1</v>
      </c>
      <c r="K72">
        <f>COUNTIF('Metrics - Articles'!F71,"*GCO – Industry Cloud *")</f>
        <v>0</v>
      </c>
      <c r="L72">
        <f>COUNTIF('Metrics - Articles'!F71,"*GCO – Customer Engagement &amp; Commerce (CRM &amp; hybris) *")</f>
        <v>0</v>
      </c>
      <c r="M72">
        <f>COUNTIF('Metrics - Articles'!F71,"*GCO – HR (SuccessFactors)*")</f>
        <v>0</v>
      </c>
      <c r="N72">
        <f>COUNTIF('Metrics - Articles'!F71,"*GCO – Services Sales*")</f>
        <v>0</v>
      </c>
      <c r="O72">
        <f>COUNTIF('Metrics - Articles'!F71,"*GCO – Other*")</f>
        <v>0</v>
      </c>
      <c r="P72">
        <f>COUNTIF('Metrics - Articles'!F71,"*Corporate*")</f>
        <v>0</v>
      </c>
      <c r="R72" s="53">
        <f t="shared" si="2"/>
        <v>1</v>
      </c>
    </row>
    <row r="73" spans="2:18" x14ac:dyDescent="0.25">
      <c r="B73" s="48">
        <f>+'Metrics - Articles'!C72</f>
        <v>42065</v>
      </c>
      <c r="C73">
        <f>COUNTIF('Metrics - Articles'!F72,"*GPO (Partner, Ecosystem, Channels)*")</f>
        <v>0</v>
      </c>
      <c r="D73">
        <f>COUNTIF('Metrics - Articles'!F72,"*Office of the CEO*")</f>
        <v>0</v>
      </c>
      <c r="E73">
        <f>COUNTIF('Metrics - Articles'!F72,"*Services Delivery &amp; Support (go-lives and deployments) *")</f>
        <v>0</v>
      </c>
      <c r="F73">
        <f>COUNTIF('Metrics - Articles'!F72,"*Human Resources (SAP HR and employee stories)*")</f>
        <v>0</v>
      </c>
      <c r="G73">
        <f>COUNTIF('Metrics - Articles'!F72,"*P&amp;I (Research &amp; Development)*")</f>
        <v>0</v>
      </c>
      <c r="H73">
        <f>COUNTIF('Metrics - Articles'!F72,"*Business Network (Concur, Ariba, Fieldglass)*")</f>
        <v>0</v>
      </c>
      <c r="I73">
        <f>COUNTIF('Metrics - Articles'!F72,"*GCO – Regions*")</f>
        <v>0</v>
      </c>
      <c r="J73">
        <f>COUNTIF('Metrics - Articles'!F72,"*GCO – Platform Solutions*")</f>
        <v>1</v>
      </c>
      <c r="K73">
        <f>COUNTIF('Metrics - Articles'!F72,"*GCO – Industry Cloud *")</f>
        <v>0</v>
      </c>
      <c r="L73">
        <f>COUNTIF('Metrics - Articles'!F72,"*GCO – Customer Engagement &amp; Commerce (CRM &amp; hybris) *")</f>
        <v>0</v>
      </c>
      <c r="M73">
        <f>COUNTIF('Metrics - Articles'!F72,"*GCO – HR (SuccessFactors)*")</f>
        <v>0</v>
      </c>
      <c r="N73">
        <f>COUNTIF('Metrics - Articles'!F72,"*GCO – Services Sales*")</f>
        <v>0</v>
      </c>
      <c r="O73">
        <f>COUNTIF('Metrics - Articles'!F72,"*GCO – Other*")</f>
        <v>0</v>
      </c>
      <c r="P73">
        <f>COUNTIF('Metrics - Articles'!F72,"*Corporate*")</f>
        <v>0</v>
      </c>
      <c r="R73" s="53">
        <f t="shared" si="2"/>
        <v>1</v>
      </c>
    </row>
    <row r="74" spans="2:18" x14ac:dyDescent="0.25">
      <c r="B74" s="48">
        <f>+'Metrics - Articles'!C73</f>
        <v>42065</v>
      </c>
      <c r="C74">
        <f>COUNTIF('Metrics - Articles'!F73,"*GPO (Partner, Ecosystem, Channels)*")</f>
        <v>0</v>
      </c>
      <c r="D74">
        <f>COUNTIF('Metrics - Articles'!F73,"*Office of the CEO*")</f>
        <v>0</v>
      </c>
      <c r="E74">
        <f>COUNTIF('Metrics - Articles'!F73,"*Services Delivery &amp; Support (go-lives and deployments) *")</f>
        <v>0</v>
      </c>
      <c r="F74">
        <f>COUNTIF('Metrics - Articles'!F73,"*Human Resources (SAP HR and employee stories)*")</f>
        <v>0</v>
      </c>
      <c r="G74">
        <f>COUNTIF('Metrics - Articles'!F73,"*P&amp;I (Research &amp; Development)*")</f>
        <v>0</v>
      </c>
      <c r="H74">
        <f>COUNTIF('Metrics - Articles'!F73,"*Business Network (Concur, Ariba, Fieldglass)*")</f>
        <v>0</v>
      </c>
      <c r="I74">
        <f>COUNTIF('Metrics - Articles'!F73,"*GCO – Regions*")</f>
        <v>1</v>
      </c>
      <c r="J74">
        <f>COUNTIF('Metrics - Articles'!F73,"*GCO – Platform Solutions*")</f>
        <v>0</v>
      </c>
      <c r="K74">
        <f>COUNTIF('Metrics - Articles'!F73,"*GCO – Industry Cloud *")</f>
        <v>0</v>
      </c>
      <c r="L74">
        <f>COUNTIF('Metrics - Articles'!F73,"*GCO – Customer Engagement &amp; Commerce (CRM &amp; hybris) *")</f>
        <v>0</v>
      </c>
      <c r="M74">
        <f>COUNTIF('Metrics - Articles'!F73,"*GCO – HR (SuccessFactors)*")</f>
        <v>0</v>
      </c>
      <c r="N74">
        <f>COUNTIF('Metrics - Articles'!F73,"*GCO – Services Sales*")</f>
        <v>0</v>
      </c>
      <c r="O74">
        <f>COUNTIF('Metrics - Articles'!F73,"*GCO – Other*")</f>
        <v>0</v>
      </c>
      <c r="P74">
        <f>COUNTIF('Metrics - Articles'!F73,"*Corporate*")</f>
        <v>0</v>
      </c>
      <c r="R74" s="53">
        <f t="shared" ref="R74:R137" si="3">SUM(C74:Q74)</f>
        <v>1</v>
      </c>
    </row>
    <row r="75" spans="2:18" x14ac:dyDescent="0.25">
      <c r="B75" s="48">
        <f>+'Metrics - Articles'!C74</f>
        <v>42066</v>
      </c>
      <c r="C75">
        <f>COUNTIF('Metrics - Articles'!F74,"*GPO (Partner, Ecosystem, Channels)*")</f>
        <v>0</v>
      </c>
      <c r="D75">
        <f>COUNTIF('Metrics - Articles'!F74,"*Office of the CEO*")</f>
        <v>0</v>
      </c>
      <c r="E75">
        <f>COUNTIF('Metrics - Articles'!F74,"*Services Delivery &amp; Support (go-lives and deployments) *")</f>
        <v>0</v>
      </c>
      <c r="F75">
        <f>COUNTIF('Metrics - Articles'!F74,"*Human Resources (SAP HR and employee stories)*")</f>
        <v>0</v>
      </c>
      <c r="G75">
        <f>COUNTIF('Metrics - Articles'!F74,"*P&amp;I (Research &amp; Development)*")</f>
        <v>0</v>
      </c>
      <c r="H75">
        <f>COUNTIF('Metrics - Articles'!F74,"*Business Network (Concur, Ariba, Fieldglass)*")</f>
        <v>0</v>
      </c>
      <c r="I75">
        <f>COUNTIF('Metrics - Articles'!F74,"*GCO – Regions*")</f>
        <v>0</v>
      </c>
      <c r="J75">
        <f>COUNTIF('Metrics - Articles'!F74,"*GCO – Platform Solutions*")</f>
        <v>1</v>
      </c>
      <c r="K75">
        <f>COUNTIF('Metrics - Articles'!F74,"*GCO – Industry Cloud *")</f>
        <v>0</v>
      </c>
      <c r="L75">
        <f>COUNTIF('Metrics - Articles'!F74,"*GCO – Customer Engagement &amp; Commerce (CRM &amp; hybris) *")</f>
        <v>0</v>
      </c>
      <c r="M75">
        <f>COUNTIF('Metrics - Articles'!F74,"*GCO – HR (SuccessFactors)*")</f>
        <v>0</v>
      </c>
      <c r="N75">
        <f>COUNTIF('Metrics - Articles'!F74,"*GCO – Services Sales*")</f>
        <v>0</v>
      </c>
      <c r="O75">
        <f>COUNTIF('Metrics - Articles'!F74,"*GCO – Other*")</f>
        <v>0</v>
      </c>
      <c r="P75">
        <f>COUNTIF('Metrics - Articles'!F74,"*Corporate*")</f>
        <v>0</v>
      </c>
      <c r="R75" s="53">
        <f t="shared" si="3"/>
        <v>1</v>
      </c>
    </row>
    <row r="76" spans="2:18" x14ac:dyDescent="0.25">
      <c r="B76" s="48">
        <f>+'Metrics - Articles'!C75</f>
        <v>42067</v>
      </c>
      <c r="C76">
        <f>COUNTIF('Metrics - Articles'!F75,"*GPO (Partner, Ecosystem, Channels)*")</f>
        <v>0</v>
      </c>
      <c r="D76">
        <f>COUNTIF('Metrics - Articles'!F75,"*Office of the CEO*")</f>
        <v>0</v>
      </c>
      <c r="E76">
        <f>COUNTIF('Metrics - Articles'!F75,"*Services Delivery &amp; Support (go-lives and deployments) *")</f>
        <v>0</v>
      </c>
      <c r="F76">
        <f>COUNTIF('Metrics - Articles'!F75,"*Human Resources (SAP HR and employee stories)*")</f>
        <v>1</v>
      </c>
      <c r="G76">
        <f>COUNTIF('Metrics - Articles'!F75,"*P&amp;I (Research &amp; Development)*")</f>
        <v>0</v>
      </c>
      <c r="H76">
        <f>COUNTIF('Metrics - Articles'!F75,"*Business Network (Concur, Ariba, Fieldglass)*")</f>
        <v>0</v>
      </c>
      <c r="I76">
        <f>COUNTIF('Metrics - Articles'!F75,"*GCO – Regions*")</f>
        <v>0</v>
      </c>
      <c r="J76">
        <f>COUNTIF('Metrics - Articles'!F75,"*GCO – Platform Solutions*")</f>
        <v>0</v>
      </c>
      <c r="K76">
        <f>COUNTIF('Metrics - Articles'!F75,"*GCO – Industry Cloud *")</f>
        <v>0</v>
      </c>
      <c r="L76">
        <f>COUNTIF('Metrics - Articles'!F75,"*GCO – Customer Engagement &amp; Commerce (CRM &amp; hybris) *")</f>
        <v>0</v>
      </c>
      <c r="M76">
        <f>COUNTIF('Metrics - Articles'!F75,"*GCO – HR (SuccessFactors)*")</f>
        <v>0</v>
      </c>
      <c r="N76">
        <f>COUNTIF('Metrics - Articles'!F75,"*GCO – Services Sales*")</f>
        <v>0</v>
      </c>
      <c r="O76">
        <f>COUNTIF('Metrics - Articles'!F75,"*GCO – Other*")</f>
        <v>0</v>
      </c>
      <c r="P76">
        <f>COUNTIF('Metrics - Articles'!F75,"*Corporate*")</f>
        <v>0</v>
      </c>
      <c r="R76" s="53">
        <f t="shared" si="3"/>
        <v>1</v>
      </c>
    </row>
    <row r="77" spans="2:18" x14ac:dyDescent="0.25">
      <c r="B77" s="48">
        <f>+'Metrics - Articles'!C76</f>
        <v>42067</v>
      </c>
      <c r="C77">
        <f>COUNTIF('Metrics - Articles'!F76,"*GPO (Partner, Ecosystem, Channels)*")</f>
        <v>0</v>
      </c>
      <c r="D77">
        <f>COUNTIF('Metrics - Articles'!F76,"*Office of the CEO*")</f>
        <v>0</v>
      </c>
      <c r="E77">
        <f>COUNTIF('Metrics - Articles'!F76,"*Services Delivery &amp; Support (go-lives and deployments) *")</f>
        <v>0</v>
      </c>
      <c r="F77">
        <f>COUNTIF('Metrics - Articles'!F76,"*Human Resources (SAP HR and employee stories)*")</f>
        <v>0</v>
      </c>
      <c r="G77">
        <f>COUNTIF('Metrics - Articles'!F76,"*P&amp;I (Research &amp; Development)*")</f>
        <v>1</v>
      </c>
      <c r="H77">
        <f>COUNTIF('Metrics - Articles'!F76,"*Business Network (Concur, Ariba, Fieldglass)*")</f>
        <v>0</v>
      </c>
      <c r="I77">
        <f>COUNTIF('Metrics - Articles'!F76,"*GCO – Regions*")</f>
        <v>0</v>
      </c>
      <c r="J77">
        <f>COUNTIF('Metrics - Articles'!F76,"*GCO – Platform Solutions*")</f>
        <v>0</v>
      </c>
      <c r="K77">
        <f>COUNTIF('Metrics - Articles'!F76,"*GCO – Industry Cloud *")</f>
        <v>0</v>
      </c>
      <c r="L77">
        <f>COUNTIF('Metrics - Articles'!F76,"*GCO – Customer Engagement &amp; Commerce (CRM &amp; hybris) *")</f>
        <v>0</v>
      </c>
      <c r="M77">
        <f>COUNTIF('Metrics - Articles'!F76,"*GCO – HR (SuccessFactors)*")</f>
        <v>0</v>
      </c>
      <c r="N77">
        <f>COUNTIF('Metrics - Articles'!F76,"*GCO – Services Sales*")</f>
        <v>0</v>
      </c>
      <c r="O77">
        <f>COUNTIF('Metrics - Articles'!F76,"*GCO – Other*")</f>
        <v>0</v>
      </c>
      <c r="P77">
        <f>COUNTIF('Metrics - Articles'!F76,"*Corporate*")</f>
        <v>0</v>
      </c>
      <c r="R77" s="53">
        <f t="shared" si="3"/>
        <v>1</v>
      </c>
    </row>
    <row r="78" spans="2:18" x14ac:dyDescent="0.25">
      <c r="B78" s="48">
        <f>+'Metrics - Articles'!C77</f>
        <v>42067</v>
      </c>
      <c r="C78">
        <f>COUNTIF('Metrics - Articles'!F77,"*GPO (Partner, Ecosystem, Channels)*")</f>
        <v>0</v>
      </c>
      <c r="D78">
        <f>COUNTIF('Metrics - Articles'!F77,"*Office of the CEO*")</f>
        <v>0</v>
      </c>
      <c r="E78">
        <f>COUNTIF('Metrics - Articles'!F77,"*Services Delivery &amp; Support (go-lives and deployments) *")</f>
        <v>0</v>
      </c>
      <c r="F78">
        <f>COUNTIF('Metrics - Articles'!F77,"*Human Resources (SAP HR and employee stories)*")</f>
        <v>0</v>
      </c>
      <c r="G78">
        <f>COUNTIF('Metrics - Articles'!F77,"*P&amp;I (Research &amp; Development)*")</f>
        <v>0</v>
      </c>
      <c r="H78">
        <f>COUNTIF('Metrics - Articles'!F77,"*Business Network (Concur, Ariba, Fieldglass)*")</f>
        <v>0</v>
      </c>
      <c r="I78">
        <f>COUNTIF('Metrics - Articles'!F77,"*GCO – Regions*")</f>
        <v>0</v>
      </c>
      <c r="J78">
        <f>COUNTIF('Metrics - Articles'!F77,"*GCO – Platform Solutions*")</f>
        <v>1</v>
      </c>
      <c r="K78">
        <f>COUNTIF('Metrics - Articles'!F77,"*GCO – Industry Cloud *")</f>
        <v>0</v>
      </c>
      <c r="L78">
        <f>COUNTIF('Metrics - Articles'!F77,"*GCO – Customer Engagement &amp; Commerce (CRM &amp; hybris) *")</f>
        <v>0</v>
      </c>
      <c r="M78">
        <f>COUNTIF('Metrics - Articles'!F77,"*GCO – HR (SuccessFactors)*")</f>
        <v>0</v>
      </c>
      <c r="N78">
        <f>COUNTIF('Metrics - Articles'!F77,"*GCO – Services Sales*")</f>
        <v>0</v>
      </c>
      <c r="O78">
        <f>COUNTIF('Metrics - Articles'!F77,"*GCO – Other*")</f>
        <v>0</v>
      </c>
      <c r="P78">
        <f>COUNTIF('Metrics - Articles'!F77,"*Corporate*")</f>
        <v>0</v>
      </c>
      <c r="R78" s="53">
        <f t="shared" si="3"/>
        <v>1</v>
      </c>
    </row>
    <row r="79" spans="2:18" x14ac:dyDescent="0.25">
      <c r="B79" s="48">
        <f>+'Metrics - Articles'!C78</f>
        <v>42068</v>
      </c>
      <c r="C79">
        <f>COUNTIF('Metrics - Articles'!F78,"*GPO (Partner, Ecosystem, Channels)*")</f>
        <v>0</v>
      </c>
      <c r="D79">
        <f>COUNTIF('Metrics - Articles'!F78,"*Office of the CEO*")</f>
        <v>0</v>
      </c>
      <c r="E79">
        <f>COUNTIF('Metrics - Articles'!F78,"*Services Delivery &amp; Support (go-lives and deployments) *")</f>
        <v>0</v>
      </c>
      <c r="F79">
        <f>COUNTIF('Metrics - Articles'!F78,"*Human Resources (SAP HR and employee stories)*")</f>
        <v>1</v>
      </c>
      <c r="G79">
        <f>COUNTIF('Metrics - Articles'!F78,"*P&amp;I (Research &amp; Development)*")</f>
        <v>0</v>
      </c>
      <c r="H79">
        <f>COUNTIF('Metrics - Articles'!F78,"*Business Network (Concur, Ariba, Fieldglass)*")</f>
        <v>0</v>
      </c>
      <c r="I79">
        <f>COUNTIF('Metrics - Articles'!F78,"*GCO – Regions*")</f>
        <v>0</v>
      </c>
      <c r="J79">
        <f>COUNTIF('Metrics - Articles'!F78,"*GCO – Platform Solutions*")</f>
        <v>0</v>
      </c>
      <c r="K79">
        <f>COUNTIF('Metrics - Articles'!F78,"*GCO – Industry Cloud *")</f>
        <v>0</v>
      </c>
      <c r="L79">
        <f>COUNTIF('Metrics - Articles'!F78,"*GCO – Customer Engagement &amp; Commerce (CRM &amp; hybris) *")</f>
        <v>0</v>
      </c>
      <c r="M79">
        <f>COUNTIF('Metrics - Articles'!F78,"*GCO – HR (SuccessFactors)*")</f>
        <v>0</v>
      </c>
      <c r="N79">
        <f>COUNTIF('Metrics - Articles'!F78,"*GCO – Services Sales*")</f>
        <v>0</v>
      </c>
      <c r="O79">
        <f>COUNTIF('Metrics - Articles'!F78,"*GCO – Other*")</f>
        <v>0</v>
      </c>
      <c r="P79">
        <f>COUNTIF('Metrics - Articles'!F78,"*Corporate*")</f>
        <v>0</v>
      </c>
      <c r="R79" s="53">
        <f t="shared" si="3"/>
        <v>1</v>
      </c>
    </row>
    <row r="80" spans="2:18" x14ac:dyDescent="0.25">
      <c r="B80" s="48">
        <f>+'Metrics - Articles'!C79</f>
        <v>42069</v>
      </c>
      <c r="C80">
        <f>COUNTIF('Metrics - Articles'!F79,"*GPO (Partner, Ecosystem, Channels)*")</f>
        <v>0</v>
      </c>
      <c r="D80">
        <f>COUNTIF('Metrics - Articles'!F79,"*Office of the CEO*")</f>
        <v>0</v>
      </c>
      <c r="E80">
        <f>COUNTIF('Metrics - Articles'!F79,"*Services Delivery &amp; Support (go-lives and deployments) *")</f>
        <v>0</v>
      </c>
      <c r="F80">
        <f>COUNTIF('Metrics - Articles'!F79,"*Human Resources (SAP HR and employee stories)*")</f>
        <v>1</v>
      </c>
      <c r="G80">
        <f>COUNTIF('Metrics - Articles'!F79,"*P&amp;I (Research &amp; Development)*")</f>
        <v>0</v>
      </c>
      <c r="H80">
        <f>COUNTIF('Metrics - Articles'!F79,"*Business Network (Concur, Ariba, Fieldglass)*")</f>
        <v>0</v>
      </c>
      <c r="I80">
        <f>COUNTIF('Metrics - Articles'!F79,"*GCO – Regions*")</f>
        <v>0</v>
      </c>
      <c r="J80">
        <f>COUNTIF('Metrics - Articles'!F79,"*GCO – Platform Solutions*")</f>
        <v>0</v>
      </c>
      <c r="K80">
        <f>COUNTIF('Metrics - Articles'!F79,"*GCO – Industry Cloud *")</f>
        <v>0</v>
      </c>
      <c r="L80">
        <f>COUNTIF('Metrics - Articles'!F79,"*GCO – Customer Engagement &amp; Commerce (CRM &amp; hybris) *")</f>
        <v>0</v>
      </c>
      <c r="M80">
        <f>COUNTIF('Metrics - Articles'!F79,"*GCO – HR (SuccessFactors)*")</f>
        <v>0</v>
      </c>
      <c r="N80">
        <f>COUNTIF('Metrics - Articles'!F79,"*GCO – Services Sales*")</f>
        <v>0</v>
      </c>
      <c r="O80">
        <f>COUNTIF('Metrics - Articles'!F79,"*GCO – Other*")</f>
        <v>0</v>
      </c>
      <c r="P80">
        <f>COUNTIF('Metrics - Articles'!F79,"*Corporate*")</f>
        <v>0</v>
      </c>
      <c r="R80" s="53">
        <f t="shared" si="3"/>
        <v>1</v>
      </c>
    </row>
    <row r="81" spans="2:18" x14ac:dyDescent="0.25">
      <c r="B81" s="48">
        <f>+'Metrics - Articles'!C80</f>
        <v>42069</v>
      </c>
      <c r="C81">
        <f>COUNTIF('Metrics - Articles'!F80,"*GPO (Partner, Ecosystem, Channels)*")</f>
        <v>0</v>
      </c>
      <c r="D81">
        <f>COUNTIF('Metrics - Articles'!F80,"*Office of the CEO*")</f>
        <v>0</v>
      </c>
      <c r="E81">
        <f>COUNTIF('Metrics - Articles'!F80,"*Services Delivery &amp; Support (go-lives and deployments) *")</f>
        <v>0</v>
      </c>
      <c r="F81">
        <f>COUNTIF('Metrics - Articles'!F80,"*Human Resources (SAP HR and employee stories)*")</f>
        <v>0</v>
      </c>
      <c r="G81">
        <f>COUNTIF('Metrics - Articles'!F80,"*P&amp;I (Research &amp; Development)*")</f>
        <v>1</v>
      </c>
      <c r="H81">
        <f>COUNTIF('Metrics - Articles'!F80,"*Business Network (Concur, Ariba, Fieldglass)*")</f>
        <v>0</v>
      </c>
      <c r="I81">
        <f>COUNTIF('Metrics - Articles'!F80,"*GCO – Regions*")</f>
        <v>0</v>
      </c>
      <c r="J81">
        <f>COUNTIF('Metrics - Articles'!F80,"*GCO – Platform Solutions*")</f>
        <v>0</v>
      </c>
      <c r="K81">
        <f>COUNTIF('Metrics - Articles'!F80,"*GCO – Industry Cloud *")</f>
        <v>0</v>
      </c>
      <c r="L81">
        <f>COUNTIF('Metrics - Articles'!F80,"*GCO – Customer Engagement &amp; Commerce (CRM &amp; hybris) *")</f>
        <v>0</v>
      </c>
      <c r="M81">
        <f>COUNTIF('Metrics - Articles'!F80,"*GCO – HR (SuccessFactors)*")</f>
        <v>0</v>
      </c>
      <c r="N81">
        <f>COUNTIF('Metrics - Articles'!F80,"*GCO – Services Sales*")</f>
        <v>0</v>
      </c>
      <c r="O81">
        <f>COUNTIF('Metrics - Articles'!F80,"*GCO – Other*")</f>
        <v>0</v>
      </c>
      <c r="P81">
        <f>COUNTIF('Metrics - Articles'!F80,"*Corporate*")</f>
        <v>0</v>
      </c>
      <c r="R81" s="53">
        <f t="shared" si="3"/>
        <v>1</v>
      </c>
    </row>
    <row r="82" spans="2:18" x14ac:dyDescent="0.25">
      <c r="B82" s="48">
        <f>+'Metrics - Articles'!C81</f>
        <v>42073</v>
      </c>
      <c r="C82">
        <f>COUNTIF('Metrics - Articles'!F81,"*GPO (Partner, Ecosystem, Channels)*")</f>
        <v>0</v>
      </c>
      <c r="D82">
        <f>COUNTIF('Metrics - Articles'!F81,"*Office of the CEO*")</f>
        <v>0</v>
      </c>
      <c r="E82">
        <f>COUNTIF('Metrics - Articles'!F81,"*Services Delivery &amp; Support (go-lives and deployments) *")</f>
        <v>0</v>
      </c>
      <c r="F82">
        <f>COUNTIF('Metrics - Articles'!F81,"*Human Resources (SAP HR and employee stories)*")</f>
        <v>1</v>
      </c>
      <c r="G82">
        <f>COUNTIF('Metrics - Articles'!F81,"*P&amp;I (Research &amp; Development)*")</f>
        <v>0</v>
      </c>
      <c r="H82">
        <f>COUNTIF('Metrics - Articles'!F81,"*Business Network (Concur, Ariba, Fieldglass)*")</f>
        <v>0</v>
      </c>
      <c r="I82">
        <f>COUNTIF('Metrics - Articles'!F81,"*GCO – Regions*")</f>
        <v>0</v>
      </c>
      <c r="J82">
        <f>COUNTIF('Metrics - Articles'!F81,"*GCO – Platform Solutions*")</f>
        <v>0</v>
      </c>
      <c r="K82">
        <f>COUNTIF('Metrics - Articles'!F81,"*GCO – Industry Cloud *")</f>
        <v>0</v>
      </c>
      <c r="L82">
        <f>COUNTIF('Metrics - Articles'!F81,"*GCO – Customer Engagement &amp; Commerce (CRM &amp; hybris) *")</f>
        <v>0</v>
      </c>
      <c r="M82">
        <f>COUNTIF('Metrics - Articles'!F81,"*GCO – HR (SuccessFactors)*")</f>
        <v>0</v>
      </c>
      <c r="N82">
        <f>COUNTIF('Metrics - Articles'!F81,"*GCO – Services Sales*")</f>
        <v>0</v>
      </c>
      <c r="O82">
        <f>COUNTIF('Metrics - Articles'!F81,"*GCO – Other*")</f>
        <v>0</v>
      </c>
      <c r="P82">
        <f>COUNTIF('Metrics - Articles'!F81,"*Corporate*")</f>
        <v>0</v>
      </c>
      <c r="R82" s="53">
        <f t="shared" si="3"/>
        <v>1</v>
      </c>
    </row>
    <row r="83" spans="2:18" x14ac:dyDescent="0.25">
      <c r="B83" s="48">
        <f>+'Metrics - Articles'!C82</f>
        <v>42073</v>
      </c>
      <c r="C83">
        <f>COUNTIF('Metrics - Articles'!F82,"*GPO (Partner, Ecosystem, Channels)*")</f>
        <v>0</v>
      </c>
      <c r="D83">
        <f>COUNTIF('Metrics - Articles'!F82,"*Office of the CEO*")</f>
        <v>0</v>
      </c>
      <c r="E83">
        <f>COUNTIF('Metrics - Articles'!F82,"*Services Delivery &amp; Support (go-lives and deployments) *")</f>
        <v>0</v>
      </c>
      <c r="F83">
        <f>COUNTIF('Metrics - Articles'!F82,"*Human Resources (SAP HR and employee stories)*")</f>
        <v>0</v>
      </c>
      <c r="G83">
        <f>COUNTIF('Metrics - Articles'!F82,"*P&amp;I (Research &amp; Development)*")</f>
        <v>0</v>
      </c>
      <c r="H83">
        <f>COUNTIF('Metrics - Articles'!F82,"*Business Network (Concur, Ariba, Fieldglass)*")</f>
        <v>0</v>
      </c>
      <c r="I83">
        <f>COUNTIF('Metrics - Articles'!F82,"*GCO – Regions*")</f>
        <v>0</v>
      </c>
      <c r="J83">
        <f>COUNTIF('Metrics - Articles'!F82,"*GCO – Platform Solutions*")</f>
        <v>0</v>
      </c>
      <c r="K83">
        <f>COUNTIF('Metrics - Articles'!F82,"*GCO – Industry Cloud *")</f>
        <v>0</v>
      </c>
      <c r="L83">
        <f>COUNTIF('Metrics - Articles'!F82,"*GCO – Customer Engagement &amp; Commerce (CRM &amp; hybris) *")</f>
        <v>0</v>
      </c>
      <c r="M83">
        <f>COUNTIF('Metrics - Articles'!F82,"*GCO – HR (SuccessFactors)*")</f>
        <v>0</v>
      </c>
      <c r="N83">
        <f>COUNTIF('Metrics - Articles'!F82,"*GCO – Services Sales*")</f>
        <v>1</v>
      </c>
      <c r="O83">
        <f>COUNTIF('Metrics - Articles'!F82,"*GCO – Other*")</f>
        <v>0</v>
      </c>
      <c r="P83">
        <f>COUNTIF('Metrics - Articles'!F82,"*Corporate*")</f>
        <v>0</v>
      </c>
      <c r="R83" s="53">
        <f t="shared" si="3"/>
        <v>1</v>
      </c>
    </row>
    <row r="84" spans="2:18" x14ac:dyDescent="0.25">
      <c r="B84" s="48">
        <f>+'Metrics - Articles'!C83</f>
        <v>42074</v>
      </c>
      <c r="C84">
        <f>COUNTIF('Metrics - Articles'!F83,"*GPO (Partner, Ecosystem, Channels)*")</f>
        <v>0</v>
      </c>
      <c r="D84">
        <f>COUNTIF('Metrics - Articles'!F83,"*Office of the CEO*")</f>
        <v>0</v>
      </c>
      <c r="E84">
        <f>COUNTIF('Metrics - Articles'!F83,"*Services Delivery &amp; Support (go-lives and deployments) *")</f>
        <v>0</v>
      </c>
      <c r="F84">
        <f>COUNTIF('Metrics - Articles'!F83,"*Human Resources (SAP HR and employee stories)*")</f>
        <v>0</v>
      </c>
      <c r="G84">
        <f>COUNTIF('Metrics - Articles'!F83,"*P&amp;I (Research &amp; Development)*")</f>
        <v>0</v>
      </c>
      <c r="H84">
        <f>COUNTIF('Metrics - Articles'!F83,"*Business Network (Concur, Ariba, Fieldglass)*")</f>
        <v>0</v>
      </c>
      <c r="I84">
        <f>COUNTIF('Metrics - Articles'!F83,"*GCO – Regions*")</f>
        <v>0</v>
      </c>
      <c r="J84">
        <f>COUNTIF('Metrics - Articles'!F83,"*GCO – Platform Solutions*")</f>
        <v>1</v>
      </c>
      <c r="K84">
        <f>COUNTIF('Metrics - Articles'!F83,"*GCO – Industry Cloud *")</f>
        <v>0</v>
      </c>
      <c r="L84">
        <f>COUNTIF('Metrics - Articles'!F83,"*GCO – Customer Engagement &amp; Commerce (CRM &amp; hybris) *")</f>
        <v>0</v>
      </c>
      <c r="M84">
        <f>COUNTIF('Metrics - Articles'!F83,"*GCO – HR (SuccessFactors)*")</f>
        <v>0</v>
      </c>
      <c r="N84">
        <f>COUNTIF('Metrics - Articles'!F83,"*GCO – Services Sales*")</f>
        <v>0</v>
      </c>
      <c r="O84">
        <f>COUNTIF('Metrics - Articles'!F83,"*GCO – Other*")</f>
        <v>0</v>
      </c>
      <c r="P84">
        <f>COUNTIF('Metrics - Articles'!F83,"*Corporate*")</f>
        <v>0</v>
      </c>
      <c r="R84" s="53">
        <f t="shared" si="3"/>
        <v>1</v>
      </c>
    </row>
    <row r="85" spans="2:18" x14ac:dyDescent="0.25">
      <c r="B85" s="48">
        <f>+'Metrics - Articles'!C84</f>
        <v>42074</v>
      </c>
      <c r="C85">
        <f>COUNTIF('Metrics - Articles'!F84,"*GPO (Partner, Ecosystem, Channels)*")</f>
        <v>0</v>
      </c>
      <c r="D85">
        <f>COUNTIF('Metrics - Articles'!F84,"*Office of the CEO*")</f>
        <v>0</v>
      </c>
      <c r="E85">
        <f>COUNTIF('Metrics - Articles'!F84,"*Services Delivery &amp; Support (go-lives and deployments) *")</f>
        <v>0</v>
      </c>
      <c r="F85">
        <f>COUNTIF('Metrics - Articles'!F84,"*Human Resources (SAP HR and employee stories)*")</f>
        <v>0</v>
      </c>
      <c r="G85">
        <f>COUNTIF('Metrics - Articles'!F84,"*P&amp;I (Research &amp; Development)*")</f>
        <v>0</v>
      </c>
      <c r="H85">
        <f>COUNTIF('Metrics - Articles'!F84,"*Business Network (Concur, Ariba, Fieldglass)*")</f>
        <v>0</v>
      </c>
      <c r="I85">
        <f>COUNTIF('Metrics - Articles'!F84,"*GCO – Regions*")</f>
        <v>0</v>
      </c>
      <c r="J85">
        <f>COUNTIF('Metrics - Articles'!F84,"*GCO – Platform Solutions*")</f>
        <v>0</v>
      </c>
      <c r="K85">
        <f>COUNTIF('Metrics - Articles'!F84,"*GCO – Industry Cloud *")</f>
        <v>1</v>
      </c>
      <c r="L85">
        <f>COUNTIF('Metrics - Articles'!F84,"*GCO – Customer Engagement &amp; Commerce (CRM &amp; hybris) *")</f>
        <v>0</v>
      </c>
      <c r="M85">
        <f>COUNTIF('Metrics - Articles'!F84,"*GCO – HR (SuccessFactors)*")</f>
        <v>0</v>
      </c>
      <c r="N85">
        <f>COUNTIF('Metrics - Articles'!F84,"*GCO – Services Sales*")</f>
        <v>0</v>
      </c>
      <c r="O85">
        <f>COUNTIF('Metrics - Articles'!F84,"*GCO – Other*")</f>
        <v>0</v>
      </c>
      <c r="P85">
        <f>COUNTIF('Metrics - Articles'!F84,"*Corporate*")</f>
        <v>0</v>
      </c>
      <c r="R85" s="53">
        <f t="shared" si="3"/>
        <v>1</v>
      </c>
    </row>
    <row r="86" spans="2:18" x14ac:dyDescent="0.25">
      <c r="B86" s="48">
        <f>+'Metrics - Articles'!C85</f>
        <v>42075</v>
      </c>
      <c r="C86">
        <f>COUNTIF('Metrics - Articles'!F85,"*GPO (Partner, Ecosystem, Channels)*")</f>
        <v>0</v>
      </c>
      <c r="D86">
        <f>COUNTIF('Metrics - Articles'!F85,"*Office of the CEO*")</f>
        <v>0</v>
      </c>
      <c r="E86">
        <f>COUNTIF('Metrics - Articles'!F85,"*Services Delivery &amp; Support (go-lives and deployments) *")</f>
        <v>0</v>
      </c>
      <c r="F86">
        <f>COUNTIF('Metrics - Articles'!F85,"*Human Resources (SAP HR and employee stories)*")</f>
        <v>1</v>
      </c>
      <c r="G86">
        <f>COUNTIF('Metrics - Articles'!F85,"*P&amp;I (Research &amp; Development)*")</f>
        <v>0</v>
      </c>
      <c r="H86">
        <f>COUNTIF('Metrics - Articles'!F85,"*Business Network (Concur, Ariba, Fieldglass)*")</f>
        <v>0</v>
      </c>
      <c r="I86">
        <f>COUNTIF('Metrics - Articles'!F85,"*GCO – Regions*")</f>
        <v>0</v>
      </c>
      <c r="J86">
        <f>COUNTIF('Metrics - Articles'!F85,"*GCO – Platform Solutions*")</f>
        <v>0</v>
      </c>
      <c r="K86">
        <f>COUNTIF('Metrics - Articles'!F85,"*GCO – Industry Cloud *")</f>
        <v>0</v>
      </c>
      <c r="L86">
        <f>COUNTIF('Metrics - Articles'!F85,"*GCO – Customer Engagement &amp; Commerce (CRM &amp; hybris) *")</f>
        <v>0</v>
      </c>
      <c r="M86">
        <f>COUNTIF('Metrics - Articles'!F85,"*GCO – HR (SuccessFactors)*")</f>
        <v>0</v>
      </c>
      <c r="N86">
        <f>COUNTIF('Metrics - Articles'!F85,"*GCO – Services Sales*")</f>
        <v>0</v>
      </c>
      <c r="O86">
        <f>COUNTIF('Metrics - Articles'!F85,"*GCO – Other*")</f>
        <v>0</v>
      </c>
      <c r="P86">
        <f>COUNTIF('Metrics - Articles'!F85,"*Corporate*")</f>
        <v>0</v>
      </c>
      <c r="R86" s="53">
        <f t="shared" si="3"/>
        <v>1</v>
      </c>
    </row>
    <row r="87" spans="2:18" x14ac:dyDescent="0.25">
      <c r="B87" s="48">
        <f>+'Metrics - Articles'!C86</f>
        <v>42076</v>
      </c>
      <c r="C87">
        <f>COUNTIF('Metrics - Articles'!F86,"*GPO (Partner, Ecosystem, Channels)*")</f>
        <v>0</v>
      </c>
      <c r="D87">
        <f>COUNTIF('Metrics - Articles'!F86,"*Office of the CEO*")</f>
        <v>0</v>
      </c>
      <c r="E87">
        <f>COUNTIF('Metrics - Articles'!F86,"*Services Delivery &amp; Support (go-lives and deployments) *")</f>
        <v>0</v>
      </c>
      <c r="F87">
        <f>COUNTIF('Metrics - Articles'!F86,"*Human Resources (SAP HR and employee stories)*")</f>
        <v>1</v>
      </c>
      <c r="G87">
        <f>COUNTIF('Metrics - Articles'!F86,"*P&amp;I (Research &amp; Development)*")</f>
        <v>0</v>
      </c>
      <c r="H87">
        <f>COUNTIF('Metrics - Articles'!F86,"*Business Network (Concur, Ariba, Fieldglass)*")</f>
        <v>0</v>
      </c>
      <c r="I87">
        <f>COUNTIF('Metrics - Articles'!F86,"*GCO – Regions*")</f>
        <v>0</v>
      </c>
      <c r="J87">
        <f>COUNTIF('Metrics - Articles'!F86,"*GCO – Platform Solutions*")</f>
        <v>0</v>
      </c>
      <c r="K87">
        <f>COUNTIF('Metrics - Articles'!F86,"*GCO – Industry Cloud *")</f>
        <v>0</v>
      </c>
      <c r="L87">
        <f>COUNTIF('Metrics - Articles'!F86,"*GCO – Customer Engagement &amp; Commerce (CRM &amp; hybris) *")</f>
        <v>0</v>
      </c>
      <c r="M87">
        <f>COUNTIF('Metrics - Articles'!F86,"*GCO – HR (SuccessFactors)*")</f>
        <v>0</v>
      </c>
      <c r="N87">
        <f>COUNTIF('Metrics - Articles'!F86,"*GCO – Services Sales*")</f>
        <v>0</v>
      </c>
      <c r="O87">
        <f>COUNTIF('Metrics - Articles'!F86,"*GCO – Other*")</f>
        <v>0</v>
      </c>
      <c r="P87">
        <f>COUNTIF('Metrics - Articles'!F86,"*Corporate*")</f>
        <v>0</v>
      </c>
      <c r="R87" s="53">
        <f t="shared" si="3"/>
        <v>1</v>
      </c>
    </row>
    <row r="88" spans="2:18" x14ac:dyDescent="0.25">
      <c r="B88" s="48">
        <f>+'Metrics - Articles'!C87</f>
        <v>42076</v>
      </c>
      <c r="C88">
        <f>COUNTIF('Metrics - Articles'!F87,"*GPO (Partner, Ecosystem, Channels)*")</f>
        <v>0</v>
      </c>
      <c r="D88">
        <f>COUNTIF('Metrics - Articles'!F87,"*Office of the CEO*")</f>
        <v>0</v>
      </c>
      <c r="E88">
        <f>COUNTIF('Metrics - Articles'!F87,"*Services Delivery &amp; Support (go-lives and deployments) *")</f>
        <v>0</v>
      </c>
      <c r="F88">
        <f>COUNTIF('Metrics - Articles'!F87,"*Human Resources (SAP HR and employee stories)*")</f>
        <v>1</v>
      </c>
      <c r="G88">
        <f>COUNTIF('Metrics - Articles'!F87,"*P&amp;I (Research &amp; Development)*")</f>
        <v>0</v>
      </c>
      <c r="H88">
        <f>COUNTIF('Metrics - Articles'!F87,"*Business Network (Concur, Ariba, Fieldglass)*")</f>
        <v>0</v>
      </c>
      <c r="I88">
        <f>COUNTIF('Metrics - Articles'!F87,"*GCO – Regions*")</f>
        <v>0</v>
      </c>
      <c r="J88">
        <f>COUNTIF('Metrics - Articles'!F87,"*GCO – Platform Solutions*")</f>
        <v>0</v>
      </c>
      <c r="K88">
        <f>COUNTIF('Metrics - Articles'!F87,"*GCO – Industry Cloud *")</f>
        <v>0</v>
      </c>
      <c r="L88">
        <f>COUNTIF('Metrics - Articles'!F87,"*GCO – Customer Engagement &amp; Commerce (CRM &amp; hybris) *")</f>
        <v>0</v>
      </c>
      <c r="M88">
        <f>COUNTIF('Metrics - Articles'!F87,"*GCO – HR (SuccessFactors)*")</f>
        <v>0</v>
      </c>
      <c r="N88">
        <f>COUNTIF('Metrics - Articles'!F87,"*GCO – Services Sales*")</f>
        <v>0</v>
      </c>
      <c r="O88">
        <f>COUNTIF('Metrics - Articles'!F87,"*GCO – Other*")</f>
        <v>0</v>
      </c>
      <c r="P88">
        <f>COUNTIF('Metrics - Articles'!F87,"*Corporate*")</f>
        <v>0</v>
      </c>
      <c r="R88" s="53">
        <f t="shared" si="3"/>
        <v>1</v>
      </c>
    </row>
    <row r="89" spans="2:18" x14ac:dyDescent="0.25">
      <c r="B89" s="48">
        <f>+'Metrics - Articles'!C88</f>
        <v>42079</v>
      </c>
      <c r="C89">
        <f>COUNTIF('Metrics - Articles'!F88,"*GPO (Partner, Ecosystem, Channels)*")</f>
        <v>0</v>
      </c>
      <c r="D89">
        <f>COUNTIF('Metrics - Articles'!F88,"*Office of the CEO*")</f>
        <v>0</v>
      </c>
      <c r="E89">
        <f>COUNTIF('Metrics - Articles'!F88,"*Services Delivery &amp; Support (go-lives and deployments) *")</f>
        <v>0</v>
      </c>
      <c r="F89">
        <f>COUNTIF('Metrics - Articles'!F88,"*Human Resources (SAP HR and employee stories)*")</f>
        <v>0</v>
      </c>
      <c r="G89">
        <f>COUNTIF('Metrics - Articles'!F88,"*P&amp;I (Research &amp; Development)*")</f>
        <v>0</v>
      </c>
      <c r="H89">
        <f>COUNTIF('Metrics - Articles'!F88,"*Business Network (Concur, Ariba, Fieldglass)*")</f>
        <v>0</v>
      </c>
      <c r="I89">
        <f>COUNTIF('Metrics - Articles'!F88,"*GCO – Regions*")</f>
        <v>0</v>
      </c>
      <c r="J89">
        <f>COUNTIF('Metrics - Articles'!F88,"*GCO – Platform Solutions*")</f>
        <v>0</v>
      </c>
      <c r="K89">
        <f>COUNTIF('Metrics - Articles'!F88,"*GCO – Industry Cloud *")</f>
        <v>0</v>
      </c>
      <c r="L89">
        <f>COUNTIF('Metrics - Articles'!F88,"*GCO – Customer Engagement &amp; Commerce (CRM &amp; hybris) *")</f>
        <v>1</v>
      </c>
      <c r="M89">
        <f>COUNTIF('Metrics - Articles'!F88,"*GCO – HR (SuccessFactors)*")</f>
        <v>0</v>
      </c>
      <c r="N89">
        <f>COUNTIF('Metrics - Articles'!F88,"*GCO – Services Sales*")</f>
        <v>0</v>
      </c>
      <c r="O89">
        <f>COUNTIF('Metrics - Articles'!F88,"*GCO – Other*")</f>
        <v>0</v>
      </c>
      <c r="P89">
        <f>COUNTIF('Metrics - Articles'!F88,"*Corporate*")</f>
        <v>0</v>
      </c>
      <c r="R89" s="53">
        <f t="shared" si="3"/>
        <v>1</v>
      </c>
    </row>
    <row r="90" spans="2:18" x14ac:dyDescent="0.25">
      <c r="B90" s="48">
        <f>+'Metrics - Articles'!C89</f>
        <v>42080</v>
      </c>
      <c r="C90">
        <f>COUNTIF('Metrics - Articles'!F89,"*GPO (Partner, Ecosystem, Channels)*")</f>
        <v>0</v>
      </c>
      <c r="D90">
        <f>COUNTIF('Metrics - Articles'!F89,"*Office of the CEO*")</f>
        <v>0</v>
      </c>
      <c r="E90">
        <f>COUNTIF('Metrics - Articles'!F89,"*Services Delivery &amp; Support (go-lives and deployments) *")</f>
        <v>0</v>
      </c>
      <c r="F90">
        <f>COUNTIF('Metrics - Articles'!F89,"*Human Resources (SAP HR and employee stories)*")</f>
        <v>0</v>
      </c>
      <c r="G90">
        <f>COUNTIF('Metrics - Articles'!F89,"*P&amp;I (Research &amp; Development)*")</f>
        <v>0</v>
      </c>
      <c r="H90">
        <f>COUNTIF('Metrics - Articles'!F89,"*Business Network (Concur, Ariba, Fieldglass)*")</f>
        <v>0</v>
      </c>
      <c r="I90">
        <f>COUNTIF('Metrics - Articles'!F89,"*GCO – Regions*")</f>
        <v>0</v>
      </c>
      <c r="J90">
        <f>COUNTIF('Metrics - Articles'!F89,"*GCO – Platform Solutions*")</f>
        <v>0</v>
      </c>
      <c r="K90">
        <f>COUNTIF('Metrics - Articles'!F89,"*GCO – Industry Cloud *")</f>
        <v>0</v>
      </c>
      <c r="L90">
        <f>COUNTIF('Metrics - Articles'!F89,"*GCO – Customer Engagement &amp; Commerce (CRM &amp; hybris) *")</f>
        <v>0</v>
      </c>
      <c r="M90">
        <f>COUNTIF('Metrics - Articles'!F89,"*GCO – HR (SuccessFactors)*")</f>
        <v>0</v>
      </c>
      <c r="N90">
        <f>COUNTIF('Metrics - Articles'!F89,"*GCO – Services Sales*")</f>
        <v>0</v>
      </c>
      <c r="O90">
        <f>COUNTIF('Metrics - Articles'!F89,"*GCO – Other*")</f>
        <v>0</v>
      </c>
      <c r="P90">
        <f>COUNTIF('Metrics - Articles'!F89,"*Corporate*")</f>
        <v>1</v>
      </c>
      <c r="R90" s="53">
        <f t="shared" si="3"/>
        <v>1</v>
      </c>
    </row>
    <row r="91" spans="2:18" x14ac:dyDescent="0.25">
      <c r="B91" s="48">
        <f>+'Metrics - Articles'!C90</f>
        <v>42080</v>
      </c>
      <c r="C91">
        <f>COUNTIF('Metrics - Articles'!F90,"*GPO (Partner, Ecosystem, Channels)*")</f>
        <v>0</v>
      </c>
      <c r="D91">
        <f>COUNTIF('Metrics - Articles'!F90,"*Office of the CEO*")</f>
        <v>0</v>
      </c>
      <c r="E91">
        <f>COUNTIF('Metrics - Articles'!F90,"*Services Delivery &amp; Support (go-lives and deployments) *")</f>
        <v>0</v>
      </c>
      <c r="F91">
        <f>COUNTIF('Metrics - Articles'!F90,"*Human Resources (SAP HR and employee stories)*")</f>
        <v>0</v>
      </c>
      <c r="G91">
        <f>COUNTIF('Metrics - Articles'!F90,"*P&amp;I (Research &amp; Development)*")</f>
        <v>0</v>
      </c>
      <c r="H91">
        <f>COUNTIF('Metrics - Articles'!F90,"*Business Network (Concur, Ariba, Fieldglass)*")</f>
        <v>0</v>
      </c>
      <c r="I91">
        <f>COUNTIF('Metrics - Articles'!F90,"*GCO – Regions*")</f>
        <v>0</v>
      </c>
      <c r="J91">
        <f>COUNTIF('Metrics - Articles'!F90,"*GCO – Platform Solutions*")</f>
        <v>0</v>
      </c>
      <c r="K91">
        <f>COUNTIF('Metrics - Articles'!F90,"*GCO – Industry Cloud *")</f>
        <v>0</v>
      </c>
      <c r="L91">
        <f>COUNTIF('Metrics - Articles'!F90,"*GCO – Customer Engagement &amp; Commerce (CRM &amp; hybris) *")</f>
        <v>0</v>
      </c>
      <c r="M91">
        <f>COUNTIF('Metrics - Articles'!F90,"*GCO – HR (SuccessFactors)*")</f>
        <v>0</v>
      </c>
      <c r="N91">
        <f>COUNTIF('Metrics - Articles'!F90,"*GCO – Services Sales*")</f>
        <v>1</v>
      </c>
      <c r="O91">
        <f>COUNTIF('Metrics - Articles'!F90,"*GCO – Other*")</f>
        <v>0</v>
      </c>
      <c r="P91">
        <f>COUNTIF('Metrics - Articles'!F90,"*Corporate*")</f>
        <v>0</v>
      </c>
      <c r="R91" s="53">
        <f t="shared" si="3"/>
        <v>1</v>
      </c>
    </row>
    <row r="92" spans="2:18" x14ac:dyDescent="0.25">
      <c r="B92" s="48">
        <f>+'Metrics - Articles'!C91</f>
        <v>42081</v>
      </c>
      <c r="C92">
        <f>COUNTIF('Metrics - Articles'!F91,"*GPO (Partner, Ecosystem, Channels)*")</f>
        <v>0</v>
      </c>
      <c r="D92">
        <f>COUNTIF('Metrics - Articles'!F91,"*Office of the CEO*")</f>
        <v>0</v>
      </c>
      <c r="E92">
        <f>COUNTIF('Metrics - Articles'!F91,"*Services Delivery &amp; Support (go-lives and deployments) *")</f>
        <v>0</v>
      </c>
      <c r="F92">
        <f>COUNTIF('Metrics - Articles'!F91,"*Human Resources (SAP HR and employee stories)*")</f>
        <v>1</v>
      </c>
      <c r="G92">
        <f>COUNTIF('Metrics - Articles'!F91,"*P&amp;I (Research &amp; Development)*")</f>
        <v>0</v>
      </c>
      <c r="H92">
        <f>COUNTIF('Metrics - Articles'!F91,"*Business Network (Concur, Ariba, Fieldglass)*")</f>
        <v>0</v>
      </c>
      <c r="I92">
        <f>COUNTIF('Metrics - Articles'!F91,"*GCO – Regions*")</f>
        <v>0</v>
      </c>
      <c r="J92">
        <f>COUNTIF('Metrics - Articles'!F91,"*GCO – Platform Solutions*")</f>
        <v>0</v>
      </c>
      <c r="K92">
        <f>COUNTIF('Metrics - Articles'!F91,"*GCO – Industry Cloud *")</f>
        <v>0</v>
      </c>
      <c r="L92">
        <f>COUNTIF('Metrics - Articles'!F91,"*GCO – Customer Engagement &amp; Commerce (CRM &amp; hybris) *")</f>
        <v>0</v>
      </c>
      <c r="M92">
        <f>COUNTIF('Metrics - Articles'!F91,"*GCO – HR (SuccessFactors)*")</f>
        <v>0</v>
      </c>
      <c r="N92">
        <f>COUNTIF('Metrics - Articles'!F91,"*GCO – Services Sales*")</f>
        <v>0</v>
      </c>
      <c r="O92">
        <f>COUNTIF('Metrics - Articles'!F91,"*GCO – Other*")</f>
        <v>0</v>
      </c>
      <c r="P92">
        <f>COUNTIF('Metrics - Articles'!F91,"*Corporate*")</f>
        <v>0</v>
      </c>
      <c r="R92" s="53">
        <f t="shared" si="3"/>
        <v>1</v>
      </c>
    </row>
    <row r="93" spans="2:18" x14ac:dyDescent="0.25">
      <c r="B93" s="48">
        <f>+'Metrics - Articles'!C92</f>
        <v>42081</v>
      </c>
      <c r="C93">
        <f>COUNTIF('Metrics - Articles'!F92,"*GPO (Partner, Ecosystem, Channels)*")</f>
        <v>0</v>
      </c>
      <c r="D93">
        <f>COUNTIF('Metrics - Articles'!F92,"*Office of the CEO*")</f>
        <v>0</v>
      </c>
      <c r="E93">
        <f>COUNTIF('Metrics - Articles'!F92,"*Services Delivery &amp; Support (go-lives and deployments) *")</f>
        <v>0</v>
      </c>
      <c r="F93">
        <f>COUNTIF('Metrics - Articles'!F92,"*Human Resources (SAP HR and employee stories)*")</f>
        <v>0</v>
      </c>
      <c r="G93">
        <f>COUNTIF('Metrics - Articles'!F92,"*P&amp;I (Research &amp; Development)*")</f>
        <v>0</v>
      </c>
      <c r="H93">
        <f>COUNTIF('Metrics - Articles'!F92,"*Business Network (Concur, Ariba, Fieldglass)*")</f>
        <v>1</v>
      </c>
      <c r="I93">
        <f>COUNTIF('Metrics - Articles'!F92,"*GCO – Regions*")</f>
        <v>0</v>
      </c>
      <c r="J93">
        <f>COUNTIF('Metrics - Articles'!F92,"*GCO – Platform Solutions*")</f>
        <v>0</v>
      </c>
      <c r="K93">
        <f>COUNTIF('Metrics - Articles'!F92,"*GCO – Industry Cloud *")</f>
        <v>0</v>
      </c>
      <c r="L93">
        <f>COUNTIF('Metrics - Articles'!F92,"*GCO – Customer Engagement &amp; Commerce (CRM &amp; hybris) *")</f>
        <v>0</v>
      </c>
      <c r="M93">
        <f>COUNTIF('Metrics - Articles'!F92,"*GCO – HR (SuccessFactors)*")</f>
        <v>0</v>
      </c>
      <c r="N93">
        <f>COUNTIF('Metrics - Articles'!F92,"*GCO – Services Sales*")</f>
        <v>0</v>
      </c>
      <c r="O93">
        <f>COUNTIF('Metrics - Articles'!F92,"*GCO – Other*")</f>
        <v>0</v>
      </c>
      <c r="P93">
        <f>COUNTIF('Metrics - Articles'!F92,"*Corporate*")</f>
        <v>0</v>
      </c>
      <c r="R93" s="53">
        <f t="shared" si="3"/>
        <v>1</v>
      </c>
    </row>
    <row r="94" spans="2:18" x14ac:dyDescent="0.25">
      <c r="B94" s="48">
        <f>+'Metrics - Articles'!C93</f>
        <v>42082</v>
      </c>
      <c r="C94">
        <f>COUNTIF('Metrics - Articles'!F93,"*GPO (Partner, Ecosystem, Channels)*")</f>
        <v>0</v>
      </c>
      <c r="D94">
        <f>COUNTIF('Metrics - Articles'!F93,"*Office of the CEO*")</f>
        <v>0</v>
      </c>
      <c r="E94">
        <f>COUNTIF('Metrics - Articles'!F93,"*Services Delivery &amp; Support (go-lives and deployments) *")</f>
        <v>0</v>
      </c>
      <c r="F94">
        <f>COUNTIF('Metrics - Articles'!F93,"*Human Resources (SAP HR and employee stories)*")</f>
        <v>0</v>
      </c>
      <c r="G94">
        <f>COUNTIF('Metrics - Articles'!F93,"*P&amp;I (Research &amp; Development)*")</f>
        <v>0</v>
      </c>
      <c r="H94">
        <f>COUNTIF('Metrics - Articles'!F93,"*Business Network (Concur, Ariba, Fieldglass)*")</f>
        <v>0</v>
      </c>
      <c r="I94">
        <f>COUNTIF('Metrics - Articles'!F93,"*GCO – Regions*")</f>
        <v>0</v>
      </c>
      <c r="J94">
        <f>COUNTIF('Metrics - Articles'!F93,"*GCO – Platform Solutions*")</f>
        <v>0</v>
      </c>
      <c r="K94">
        <f>COUNTIF('Metrics - Articles'!F93,"*GCO – Industry Cloud *")</f>
        <v>0</v>
      </c>
      <c r="L94">
        <f>COUNTIF('Metrics - Articles'!F93,"*GCO – Customer Engagement &amp; Commerce (CRM &amp; hybris) *")</f>
        <v>0</v>
      </c>
      <c r="M94">
        <f>COUNTIF('Metrics - Articles'!F93,"*GCO – HR (SuccessFactors)*")</f>
        <v>0</v>
      </c>
      <c r="N94">
        <f>COUNTIF('Metrics - Articles'!F93,"*GCO – Services Sales*")</f>
        <v>0</v>
      </c>
      <c r="O94">
        <f>COUNTIF('Metrics - Articles'!F93,"*GCO – Other*")</f>
        <v>0</v>
      </c>
      <c r="P94">
        <f>COUNTIF('Metrics - Articles'!F93,"*Corporate*")</f>
        <v>1</v>
      </c>
      <c r="R94" s="53">
        <f t="shared" si="3"/>
        <v>1</v>
      </c>
    </row>
    <row r="95" spans="2:18" x14ac:dyDescent="0.25">
      <c r="B95" s="48">
        <f>+'Metrics - Articles'!C94</f>
        <v>42083</v>
      </c>
      <c r="C95">
        <f>COUNTIF('Metrics - Articles'!F94,"*GPO (Partner, Ecosystem, Channels)*")</f>
        <v>0</v>
      </c>
      <c r="D95">
        <f>COUNTIF('Metrics - Articles'!F94,"*Office of the CEO*")</f>
        <v>0</v>
      </c>
      <c r="E95">
        <f>COUNTIF('Metrics - Articles'!F94,"*Services Delivery &amp; Support (go-lives and deployments) *")</f>
        <v>0</v>
      </c>
      <c r="F95">
        <f>COUNTIF('Metrics - Articles'!F94,"*Human Resources (SAP HR and employee stories)*")</f>
        <v>1</v>
      </c>
      <c r="G95">
        <f>COUNTIF('Metrics - Articles'!F94,"*P&amp;I (Research &amp; Development)*")</f>
        <v>0</v>
      </c>
      <c r="H95">
        <f>COUNTIF('Metrics - Articles'!F94,"*Business Network (Concur, Ariba, Fieldglass)*")</f>
        <v>0</v>
      </c>
      <c r="I95">
        <f>COUNTIF('Metrics - Articles'!F94,"*GCO – Regions*")</f>
        <v>0</v>
      </c>
      <c r="J95">
        <f>COUNTIF('Metrics - Articles'!F94,"*GCO – Platform Solutions*")</f>
        <v>0</v>
      </c>
      <c r="K95">
        <f>COUNTIF('Metrics - Articles'!F94,"*GCO – Industry Cloud *")</f>
        <v>0</v>
      </c>
      <c r="L95">
        <f>COUNTIF('Metrics - Articles'!F94,"*GCO – Customer Engagement &amp; Commerce (CRM &amp; hybris) *")</f>
        <v>0</v>
      </c>
      <c r="M95">
        <f>COUNTIF('Metrics - Articles'!F94,"*GCO – HR (SuccessFactors)*")</f>
        <v>0</v>
      </c>
      <c r="N95">
        <f>COUNTIF('Metrics - Articles'!F94,"*GCO – Services Sales*")</f>
        <v>0</v>
      </c>
      <c r="O95">
        <f>COUNTIF('Metrics - Articles'!F94,"*GCO – Other*")</f>
        <v>0</v>
      </c>
      <c r="P95">
        <f>COUNTIF('Metrics - Articles'!F94,"*Corporate*")</f>
        <v>0</v>
      </c>
      <c r="R95" s="53">
        <f t="shared" si="3"/>
        <v>1</v>
      </c>
    </row>
    <row r="96" spans="2:18" x14ac:dyDescent="0.25">
      <c r="B96" s="48">
        <f>+'Metrics - Articles'!C95</f>
        <v>42083</v>
      </c>
      <c r="C96">
        <f>COUNTIF('Metrics - Articles'!F95,"*GPO (Partner, Ecosystem, Channels)*")</f>
        <v>0</v>
      </c>
      <c r="D96">
        <f>COUNTIF('Metrics - Articles'!F95,"*Office of the CEO*")</f>
        <v>0</v>
      </c>
      <c r="E96">
        <f>COUNTIF('Metrics - Articles'!F95,"*Services Delivery &amp; Support (go-lives and deployments) *")</f>
        <v>0</v>
      </c>
      <c r="F96">
        <f>COUNTIF('Metrics - Articles'!F95,"*Human Resources (SAP HR and employee stories)*")</f>
        <v>0</v>
      </c>
      <c r="G96">
        <f>COUNTIF('Metrics - Articles'!F95,"*P&amp;I (Research &amp; Development)*")</f>
        <v>0</v>
      </c>
      <c r="H96">
        <f>COUNTIF('Metrics - Articles'!F95,"*Business Network (Concur, Ariba, Fieldglass)*")</f>
        <v>0</v>
      </c>
      <c r="I96">
        <f>COUNTIF('Metrics - Articles'!F95,"*GCO – Regions*")</f>
        <v>0</v>
      </c>
      <c r="J96">
        <f>COUNTIF('Metrics - Articles'!F95,"*GCO – Platform Solutions*")</f>
        <v>0</v>
      </c>
      <c r="K96">
        <f>COUNTIF('Metrics - Articles'!F95,"*GCO – Industry Cloud *")</f>
        <v>0</v>
      </c>
      <c r="L96">
        <f>COUNTIF('Metrics - Articles'!F95,"*GCO – Customer Engagement &amp; Commerce (CRM &amp; hybris) *")</f>
        <v>0</v>
      </c>
      <c r="M96">
        <f>COUNTIF('Metrics - Articles'!F95,"*GCO – HR (SuccessFactors)*")</f>
        <v>0</v>
      </c>
      <c r="N96">
        <f>COUNTIF('Metrics - Articles'!F95,"*GCO – Services Sales*")</f>
        <v>0</v>
      </c>
      <c r="O96">
        <f>COUNTIF('Metrics - Articles'!F95,"*GCO – Other*")</f>
        <v>0</v>
      </c>
      <c r="P96">
        <f>COUNTIF('Metrics - Articles'!F95,"*Corporate*")</f>
        <v>1</v>
      </c>
      <c r="R96" s="53">
        <f t="shared" si="3"/>
        <v>1</v>
      </c>
    </row>
    <row r="97" spans="2:18" x14ac:dyDescent="0.25">
      <c r="B97" s="48">
        <f>+'Metrics - Articles'!C96</f>
        <v>42086</v>
      </c>
      <c r="C97">
        <f>COUNTIF('Metrics - Articles'!F96,"*GPO (Partner, Ecosystem, Channels)*")</f>
        <v>0</v>
      </c>
      <c r="D97">
        <f>COUNTIF('Metrics - Articles'!F96,"*Office of the CEO*")</f>
        <v>0</v>
      </c>
      <c r="E97">
        <f>COUNTIF('Metrics - Articles'!F96,"*Services Delivery &amp; Support (go-lives and deployments) *")</f>
        <v>0</v>
      </c>
      <c r="F97">
        <f>COUNTIF('Metrics - Articles'!F96,"*Human Resources (SAP HR and employee stories)*")</f>
        <v>0</v>
      </c>
      <c r="G97">
        <f>COUNTIF('Metrics - Articles'!F96,"*P&amp;I (Research &amp; Development)*")</f>
        <v>0</v>
      </c>
      <c r="H97">
        <f>COUNTIF('Metrics - Articles'!F96,"*Business Network (Concur, Ariba, Fieldglass)*")</f>
        <v>1</v>
      </c>
      <c r="I97">
        <f>COUNTIF('Metrics - Articles'!F96,"*GCO – Regions*")</f>
        <v>0</v>
      </c>
      <c r="J97">
        <f>COUNTIF('Metrics - Articles'!F96,"*GCO – Platform Solutions*")</f>
        <v>0</v>
      </c>
      <c r="K97">
        <f>COUNTIF('Metrics - Articles'!F96,"*GCO – Industry Cloud *")</f>
        <v>0</v>
      </c>
      <c r="L97">
        <f>COUNTIF('Metrics - Articles'!F96,"*GCO – Customer Engagement &amp; Commerce (CRM &amp; hybris) *")</f>
        <v>0</v>
      </c>
      <c r="M97">
        <f>COUNTIF('Metrics - Articles'!F96,"*GCO – HR (SuccessFactors)*")</f>
        <v>0</v>
      </c>
      <c r="N97">
        <f>COUNTIF('Metrics - Articles'!F96,"*GCO – Services Sales*")</f>
        <v>0</v>
      </c>
      <c r="O97">
        <f>COUNTIF('Metrics - Articles'!F96,"*GCO – Other*")</f>
        <v>0</v>
      </c>
      <c r="P97">
        <f>COUNTIF('Metrics - Articles'!F96,"*Corporate*")</f>
        <v>0</v>
      </c>
      <c r="R97" s="53">
        <f t="shared" si="3"/>
        <v>1</v>
      </c>
    </row>
    <row r="98" spans="2:18" x14ac:dyDescent="0.25">
      <c r="B98" s="48">
        <f>+'Metrics - Articles'!C97</f>
        <v>42086</v>
      </c>
      <c r="C98">
        <f>COUNTIF('Metrics - Articles'!F97,"*GPO (Partner, Ecosystem, Channels)*")</f>
        <v>0</v>
      </c>
      <c r="D98">
        <f>COUNTIF('Metrics - Articles'!F97,"*Office of the CEO*")</f>
        <v>0</v>
      </c>
      <c r="E98">
        <f>COUNTIF('Metrics - Articles'!F97,"*Services Delivery &amp; Support (go-lives and deployments) *")</f>
        <v>0</v>
      </c>
      <c r="F98">
        <f>COUNTIF('Metrics - Articles'!F97,"*Human Resources (SAP HR and employee stories)*")</f>
        <v>0</v>
      </c>
      <c r="G98">
        <f>COUNTIF('Metrics - Articles'!F97,"*P&amp;I (Research &amp; Development)*")</f>
        <v>0</v>
      </c>
      <c r="H98">
        <f>COUNTIF('Metrics - Articles'!F97,"*Business Network (Concur, Ariba, Fieldglass)*")</f>
        <v>0</v>
      </c>
      <c r="I98">
        <f>COUNTIF('Metrics - Articles'!F97,"*GCO – Regions*")</f>
        <v>0</v>
      </c>
      <c r="J98">
        <f>COUNTIF('Metrics - Articles'!F97,"*GCO – Platform Solutions*")</f>
        <v>1</v>
      </c>
      <c r="K98">
        <f>COUNTIF('Metrics - Articles'!F97,"*GCO – Industry Cloud *")</f>
        <v>0</v>
      </c>
      <c r="L98">
        <f>COUNTIF('Metrics - Articles'!F97,"*GCO – Customer Engagement &amp; Commerce (CRM &amp; hybris) *")</f>
        <v>0</v>
      </c>
      <c r="M98">
        <f>COUNTIF('Metrics - Articles'!F97,"*GCO – HR (SuccessFactors)*")</f>
        <v>0</v>
      </c>
      <c r="N98">
        <f>COUNTIF('Metrics - Articles'!F97,"*GCO – Services Sales*")</f>
        <v>0</v>
      </c>
      <c r="O98">
        <f>COUNTIF('Metrics - Articles'!F97,"*GCO – Other*")</f>
        <v>0</v>
      </c>
      <c r="P98">
        <f>COUNTIF('Metrics - Articles'!F97,"*Corporate*")</f>
        <v>0</v>
      </c>
      <c r="R98" s="53">
        <f t="shared" si="3"/>
        <v>1</v>
      </c>
    </row>
    <row r="99" spans="2:18" x14ac:dyDescent="0.25">
      <c r="B99" s="48">
        <f>+'Metrics - Articles'!C98</f>
        <v>42087</v>
      </c>
      <c r="C99">
        <f>COUNTIF('Metrics - Articles'!F98,"*GPO (Partner, Ecosystem, Channels)*")</f>
        <v>0</v>
      </c>
      <c r="D99">
        <f>COUNTIF('Metrics - Articles'!F98,"*Office of the CEO*")</f>
        <v>0</v>
      </c>
      <c r="E99">
        <f>COUNTIF('Metrics - Articles'!F98,"*Services Delivery &amp; Support (go-lives and deployments) *")</f>
        <v>0</v>
      </c>
      <c r="F99">
        <f>COUNTIF('Metrics - Articles'!F98,"*Human Resources (SAP HR and employee stories)*")</f>
        <v>0</v>
      </c>
      <c r="G99">
        <f>COUNTIF('Metrics - Articles'!F98,"*P&amp;I (Research &amp; Development)*")</f>
        <v>0</v>
      </c>
      <c r="H99">
        <f>COUNTIF('Metrics - Articles'!F98,"*Business Network (Concur, Ariba, Fieldglass)*")</f>
        <v>0</v>
      </c>
      <c r="I99">
        <f>COUNTIF('Metrics - Articles'!F98,"*GCO – Regions*")</f>
        <v>0</v>
      </c>
      <c r="J99">
        <f>COUNTIF('Metrics - Articles'!F98,"*GCO – Platform Solutions*")</f>
        <v>0</v>
      </c>
      <c r="K99">
        <f>COUNTIF('Metrics - Articles'!F98,"*GCO – Industry Cloud *")</f>
        <v>0</v>
      </c>
      <c r="L99">
        <f>COUNTIF('Metrics - Articles'!F98,"*GCO – Customer Engagement &amp; Commerce (CRM &amp; hybris) *")</f>
        <v>0</v>
      </c>
      <c r="M99">
        <f>COUNTIF('Metrics - Articles'!F98,"*GCO – HR (SuccessFactors)*")</f>
        <v>0</v>
      </c>
      <c r="N99">
        <f>COUNTIF('Metrics - Articles'!F98,"*GCO – Services Sales*")</f>
        <v>0</v>
      </c>
      <c r="O99">
        <f>COUNTIF('Metrics - Articles'!F98,"*GCO – Other*")</f>
        <v>1</v>
      </c>
      <c r="P99">
        <f>COUNTIF('Metrics - Articles'!F98,"*Corporate*")</f>
        <v>0</v>
      </c>
      <c r="R99" s="53">
        <f t="shared" si="3"/>
        <v>1</v>
      </c>
    </row>
    <row r="100" spans="2:18" x14ac:dyDescent="0.25">
      <c r="B100" s="48">
        <f>+'Metrics - Articles'!C99</f>
        <v>42087</v>
      </c>
      <c r="C100">
        <f>COUNTIF('Metrics - Articles'!F99,"*GPO (Partner, Ecosystem, Channels)*")</f>
        <v>0</v>
      </c>
      <c r="D100">
        <f>COUNTIF('Metrics - Articles'!F99,"*Office of the CEO*")</f>
        <v>0</v>
      </c>
      <c r="E100">
        <f>COUNTIF('Metrics - Articles'!F99,"*Services Delivery &amp; Support (go-lives and deployments) *")</f>
        <v>0</v>
      </c>
      <c r="F100">
        <f>COUNTIF('Metrics - Articles'!F99,"*Human Resources (SAP HR and employee stories)*")</f>
        <v>0</v>
      </c>
      <c r="G100">
        <f>COUNTIF('Metrics - Articles'!F99,"*P&amp;I (Research &amp; Development)*")</f>
        <v>0</v>
      </c>
      <c r="H100">
        <f>COUNTIF('Metrics - Articles'!F99,"*Business Network (Concur, Ariba, Fieldglass)*")</f>
        <v>0</v>
      </c>
      <c r="I100">
        <f>COUNTIF('Metrics - Articles'!F99,"*GCO – Regions*")</f>
        <v>0</v>
      </c>
      <c r="J100">
        <f>COUNTIF('Metrics - Articles'!F99,"*GCO – Platform Solutions*")</f>
        <v>0</v>
      </c>
      <c r="K100">
        <f>COUNTIF('Metrics - Articles'!F99,"*GCO – Industry Cloud *")</f>
        <v>0</v>
      </c>
      <c r="L100">
        <f>COUNTIF('Metrics - Articles'!F99,"*GCO – Customer Engagement &amp; Commerce (CRM &amp; hybris) *")</f>
        <v>0</v>
      </c>
      <c r="M100">
        <f>COUNTIF('Metrics - Articles'!F99,"*GCO – HR (SuccessFactors)*")</f>
        <v>0</v>
      </c>
      <c r="N100">
        <f>COUNTIF('Metrics - Articles'!F99,"*GCO – Services Sales*")</f>
        <v>0</v>
      </c>
      <c r="O100">
        <f>COUNTIF('Metrics - Articles'!F99,"*GCO – Other*")</f>
        <v>0</v>
      </c>
      <c r="P100">
        <f>COUNTIF('Metrics - Articles'!F99,"*Corporate*")</f>
        <v>1</v>
      </c>
      <c r="R100" s="53">
        <f t="shared" si="3"/>
        <v>1</v>
      </c>
    </row>
    <row r="101" spans="2:18" x14ac:dyDescent="0.25">
      <c r="B101" s="48">
        <f>+'Metrics - Articles'!C100</f>
        <v>42088</v>
      </c>
      <c r="C101">
        <f>COUNTIF('Metrics - Articles'!F100,"*GPO (Partner, Ecosystem, Channels)*")</f>
        <v>0</v>
      </c>
      <c r="D101">
        <f>COUNTIF('Metrics - Articles'!F100,"*Office of the CEO*")</f>
        <v>0</v>
      </c>
      <c r="E101">
        <f>COUNTIF('Metrics - Articles'!F100,"*Services Delivery &amp; Support (go-lives and deployments) *")</f>
        <v>0</v>
      </c>
      <c r="F101">
        <f>COUNTIF('Metrics - Articles'!F100,"*Human Resources (SAP HR and employee stories)*")</f>
        <v>1</v>
      </c>
      <c r="G101">
        <f>COUNTIF('Metrics - Articles'!F100,"*P&amp;I (Research &amp; Development)*")</f>
        <v>0</v>
      </c>
      <c r="H101">
        <f>COUNTIF('Metrics - Articles'!F100,"*Business Network (Concur, Ariba, Fieldglass)*")</f>
        <v>0</v>
      </c>
      <c r="I101">
        <f>COUNTIF('Metrics - Articles'!F100,"*GCO – Regions*")</f>
        <v>0</v>
      </c>
      <c r="J101">
        <f>COUNTIF('Metrics - Articles'!F100,"*GCO – Platform Solutions*")</f>
        <v>0</v>
      </c>
      <c r="K101">
        <f>COUNTIF('Metrics - Articles'!F100,"*GCO – Industry Cloud *")</f>
        <v>0</v>
      </c>
      <c r="L101">
        <f>COUNTIF('Metrics - Articles'!F100,"*GCO – Customer Engagement &amp; Commerce (CRM &amp; hybris) *")</f>
        <v>0</v>
      </c>
      <c r="M101">
        <f>COUNTIF('Metrics - Articles'!F100,"*GCO – HR (SuccessFactors)*")</f>
        <v>0</v>
      </c>
      <c r="N101">
        <f>COUNTIF('Metrics - Articles'!F100,"*GCO – Services Sales*")</f>
        <v>0</v>
      </c>
      <c r="O101">
        <f>COUNTIF('Metrics - Articles'!F100,"*GCO – Other*")</f>
        <v>0</v>
      </c>
      <c r="P101">
        <f>COUNTIF('Metrics - Articles'!F100,"*Corporate*")</f>
        <v>0</v>
      </c>
      <c r="R101" s="53">
        <f t="shared" si="3"/>
        <v>1</v>
      </c>
    </row>
    <row r="102" spans="2:18" x14ac:dyDescent="0.25">
      <c r="B102" s="48">
        <f>+'Metrics - Articles'!C101</f>
        <v>42089</v>
      </c>
      <c r="C102">
        <f>COUNTIF('Metrics - Articles'!F101,"*GPO (Partner, Ecosystem, Channels)*")</f>
        <v>0</v>
      </c>
      <c r="D102">
        <f>COUNTIF('Metrics - Articles'!F101,"*Office of the CEO*")</f>
        <v>0</v>
      </c>
      <c r="E102">
        <f>COUNTIF('Metrics - Articles'!F101,"*Services Delivery &amp; Support (go-lives and deployments) *")</f>
        <v>0</v>
      </c>
      <c r="F102">
        <f>COUNTIF('Metrics - Articles'!F101,"*Human Resources (SAP HR and employee stories)*")</f>
        <v>1</v>
      </c>
      <c r="G102">
        <f>COUNTIF('Metrics - Articles'!F101,"*P&amp;I (Research &amp; Development)*")</f>
        <v>0</v>
      </c>
      <c r="H102">
        <f>COUNTIF('Metrics - Articles'!F101,"*Business Network (Concur, Ariba, Fieldglass)*")</f>
        <v>0</v>
      </c>
      <c r="I102">
        <f>COUNTIF('Metrics - Articles'!F101,"*GCO – Regions*")</f>
        <v>0</v>
      </c>
      <c r="J102">
        <f>COUNTIF('Metrics - Articles'!F101,"*GCO – Platform Solutions*")</f>
        <v>0</v>
      </c>
      <c r="K102">
        <f>COUNTIF('Metrics - Articles'!F101,"*GCO – Industry Cloud *")</f>
        <v>0</v>
      </c>
      <c r="L102">
        <f>COUNTIF('Metrics - Articles'!F101,"*GCO – Customer Engagement &amp; Commerce (CRM &amp; hybris) *")</f>
        <v>0</v>
      </c>
      <c r="M102">
        <f>COUNTIF('Metrics - Articles'!F101,"*GCO – HR (SuccessFactors)*")</f>
        <v>0</v>
      </c>
      <c r="N102">
        <f>COUNTIF('Metrics - Articles'!F101,"*GCO – Services Sales*")</f>
        <v>0</v>
      </c>
      <c r="O102">
        <f>COUNTIF('Metrics - Articles'!F101,"*GCO – Other*")</f>
        <v>0</v>
      </c>
      <c r="P102">
        <f>COUNTIF('Metrics - Articles'!F101,"*Corporate*")</f>
        <v>0</v>
      </c>
      <c r="R102" s="53">
        <f t="shared" si="3"/>
        <v>1</v>
      </c>
    </row>
    <row r="103" spans="2:18" x14ac:dyDescent="0.25">
      <c r="B103" s="48">
        <f>+'Metrics - Articles'!C102</f>
        <v>42089</v>
      </c>
      <c r="C103">
        <f>COUNTIF('Metrics - Articles'!F102,"*GPO (Partner, Ecosystem, Channels)*")</f>
        <v>0</v>
      </c>
      <c r="D103">
        <f>COUNTIF('Metrics - Articles'!F102,"*Office of the CEO*")</f>
        <v>0</v>
      </c>
      <c r="E103">
        <f>COUNTIF('Metrics - Articles'!F102,"*Services Delivery &amp; Support (go-lives and deployments) *")</f>
        <v>0</v>
      </c>
      <c r="F103">
        <f>COUNTIF('Metrics - Articles'!F102,"*Human Resources (SAP HR and employee stories)*")</f>
        <v>0</v>
      </c>
      <c r="G103">
        <f>COUNTIF('Metrics - Articles'!F102,"*P&amp;I (Research &amp; Development)*")</f>
        <v>0</v>
      </c>
      <c r="H103">
        <f>COUNTIF('Metrics - Articles'!F102,"*Business Network (Concur, Ariba, Fieldglass)*")</f>
        <v>0</v>
      </c>
      <c r="I103">
        <f>COUNTIF('Metrics - Articles'!F102,"*GCO – Regions*")</f>
        <v>0</v>
      </c>
      <c r="J103">
        <f>COUNTIF('Metrics - Articles'!F102,"*GCO – Platform Solutions*")</f>
        <v>1</v>
      </c>
      <c r="K103">
        <f>COUNTIF('Metrics - Articles'!F102,"*GCO – Industry Cloud *")</f>
        <v>0</v>
      </c>
      <c r="L103">
        <f>COUNTIF('Metrics - Articles'!F102,"*GCO – Customer Engagement &amp; Commerce (CRM &amp; hybris) *")</f>
        <v>0</v>
      </c>
      <c r="M103">
        <f>COUNTIF('Metrics - Articles'!F102,"*GCO – HR (SuccessFactors)*")</f>
        <v>0</v>
      </c>
      <c r="N103">
        <f>COUNTIF('Metrics - Articles'!F102,"*GCO – Services Sales*")</f>
        <v>0</v>
      </c>
      <c r="O103">
        <f>COUNTIF('Metrics - Articles'!F102,"*GCO – Other*")</f>
        <v>0</v>
      </c>
      <c r="P103">
        <f>COUNTIF('Metrics - Articles'!F102,"*Corporate*")</f>
        <v>0</v>
      </c>
      <c r="R103" s="53">
        <f t="shared" si="3"/>
        <v>1</v>
      </c>
    </row>
    <row r="104" spans="2:18" x14ac:dyDescent="0.25">
      <c r="B104" s="48">
        <f>+'Metrics - Articles'!C103</f>
        <v>42093</v>
      </c>
      <c r="C104">
        <f>COUNTIF('Metrics - Articles'!F103,"*GPO (Partner, Ecosystem, Channels)*")</f>
        <v>0</v>
      </c>
      <c r="D104">
        <f>COUNTIF('Metrics - Articles'!F103,"*Office of the CEO*")</f>
        <v>0</v>
      </c>
      <c r="E104">
        <f>COUNTIF('Metrics - Articles'!F103,"*Services Delivery &amp; Support (go-lives and deployments) *")</f>
        <v>0</v>
      </c>
      <c r="F104">
        <f>COUNTIF('Metrics - Articles'!F103,"*Human Resources (SAP HR and employee stories)*")</f>
        <v>0</v>
      </c>
      <c r="G104">
        <f>COUNTIF('Metrics - Articles'!F103,"*P&amp;I (Research &amp; Development)*")</f>
        <v>0</v>
      </c>
      <c r="H104">
        <f>COUNTIF('Metrics - Articles'!F103,"*Business Network (Concur, Ariba, Fieldglass)*")</f>
        <v>0</v>
      </c>
      <c r="I104">
        <f>COUNTIF('Metrics - Articles'!F103,"*GCO – Regions*")</f>
        <v>0</v>
      </c>
      <c r="J104">
        <f>COUNTIF('Metrics - Articles'!F103,"*GCO – Platform Solutions*")</f>
        <v>1</v>
      </c>
      <c r="K104">
        <f>COUNTIF('Metrics - Articles'!F103,"*GCO – Industry Cloud *")</f>
        <v>0</v>
      </c>
      <c r="L104">
        <f>COUNTIF('Metrics - Articles'!F103,"*GCO – Customer Engagement &amp; Commerce (CRM &amp; hybris) *")</f>
        <v>0</v>
      </c>
      <c r="M104">
        <f>COUNTIF('Metrics - Articles'!F103,"*GCO – HR (SuccessFactors)*")</f>
        <v>0</v>
      </c>
      <c r="N104">
        <f>COUNTIF('Metrics - Articles'!F103,"*GCO – Services Sales*")</f>
        <v>0</v>
      </c>
      <c r="O104">
        <f>COUNTIF('Metrics - Articles'!F103,"*GCO – Other*")</f>
        <v>0</v>
      </c>
      <c r="P104">
        <f>COUNTIF('Metrics - Articles'!F103,"*Corporate*")</f>
        <v>0</v>
      </c>
      <c r="R104" s="53">
        <f t="shared" si="3"/>
        <v>1</v>
      </c>
    </row>
    <row r="105" spans="2:18" x14ac:dyDescent="0.25">
      <c r="B105" s="48">
        <f>+'Metrics - Articles'!C104</f>
        <v>42094</v>
      </c>
      <c r="C105">
        <f>COUNTIF('Metrics - Articles'!F104,"*GPO (Partner, Ecosystem, Channels)*")</f>
        <v>0</v>
      </c>
      <c r="D105">
        <f>COUNTIF('Metrics - Articles'!F104,"*Office of the CEO*")</f>
        <v>0</v>
      </c>
      <c r="E105">
        <f>COUNTIF('Metrics - Articles'!F104,"*Services Delivery &amp; Support (go-lives and deployments) *")</f>
        <v>0</v>
      </c>
      <c r="F105">
        <f>COUNTIF('Metrics - Articles'!F104,"*Human Resources (SAP HR and employee stories)*")</f>
        <v>0</v>
      </c>
      <c r="G105">
        <f>COUNTIF('Metrics - Articles'!F104,"*P&amp;I (Research &amp; Development)*")</f>
        <v>0</v>
      </c>
      <c r="H105">
        <f>COUNTIF('Metrics - Articles'!F104,"*Business Network (Concur, Ariba, Fieldglass)*")</f>
        <v>0</v>
      </c>
      <c r="I105">
        <f>COUNTIF('Metrics - Articles'!F104,"*GCO – Regions*")</f>
        <v>0</v>
      </c>
      <c r="J105">
        <f>COUNTIF('Metrics - Articles'!F104,"*GCO – Platform Solutions*")</f>
        <v>0</v>
      </c>
      <c r="K105">
        <f>COUNTIF('Metrics - Articles'!F104,"*GCO – Industry Cloud *")</f>
        <v>0</v>
      </c>
      <c r="L105">
        <f>COUNTIF('Metrics - Articles'!F104,"*GCO – Customer Engagement &amp; Commerce (CRM &amp; hybris) *")</f>
        <v>0</v>
      </c>
      <c r="M105">
        <f>COUNTIF('Metrics - Articles'!F104,"*GCO – HR (SuccessFactors)*")</f>
        <v>0</v>
      </c>
      <c r="N105">
        <f>COUNTIF('Metrics - Articles'!F104,"*GCO – Services Sales*")</f>
        <v>0</v>
      </c>
      <c r="O105">
        <f>COUNTIF('Metrics - Articles'!F104,"*GCO – Other*")</f>
        <v>0</v>
      </c>
      <c r="P105">
        <f>COUNTIF('Metrics - Articles'!F104,"*Corporate*")</f>
        <v>1</v>
      </c>
      <c r="R105" s="53">
        <f t="shared" si="3"/>
        <v>1</v>
      </c>
    </row>
    <row r="106" spans="2:18" x14ac:dyDescent="0.25">
      <c r="B106" s="48">
        <f>+'Metrics - Articles'!C105</f>
        <v>42094</v>
      </c>
      <c r="C106">
        <f>COUNTIF('Metrics - Articles'!F105,"*GPO (Partner, Ecosystem, Channels)*")</f>
        <v>0</v>
      </c>
      <c r="D106">
        <f>COUNTIF('Metrics - Articles'!F105,"*Office of the CEO*")</f>
        <v>0</v>
      </c>
      <c r="E106">
        <f>COUNTIF('Metrics - Articles'!F105,"*Services Delivery &amp; Support (go-lives and deployments) *")</f>
        <v>0</v>
      </c>
      <c r="F106">
        <f>COUNTIF('Metrics - Articles'!F105,"*Human Resources (SAP HR and employee stories)*")</f>
        <v>0</v>
      </c>
      <c r="G106">
        <f>COUNTIF('Metrics - Articles'!F105,"*P&amp;I (Research &amp; Development)*")</f>
        <v>0</v>
      </c>
      <c r="H106">
        <f>COUNTIF('Metrics - Articles'!F105,"*Business Network (Concur, Ariba, Fieldglass)*")</f>
        <v>0</v>
      </c>
      <c r="I106">
        <f>COUNTIF('Metrics - Articles'!F105,"*GCO – Regions*")</f>
        <v>1</v>
      </c>
      <c r="J106">
        <f>COUNTIF('Metrics - Articles'!F105,"*GCO – Platform Solutions*")</f>
        <v>0</v>
      </c>
      <c r="K106">
        <f>COUNTIF('Metrics - Articles'!F105,"*GCO – Industry Cloud *")</f>
        <v>0</v>
      </c>
      <c r="L106">
        <f>COUNTIF('Metrics - Articles'!F105,"*GCO – Customer Engagement &amp; Commerce (CRM &amp; hybris) *")</f>
        <v>0</v>
      </c>
      <c r="M106">
        <f>COUNTIF('Metrics - Articles'!F105,"*GCO – HR (SuccessFactors)*")</f>
        <v>0</v>
      </c>
      <c r="N106">
        <f>COUNTIF('Metrics - Articles'!F105,"*GCO – Services Sales*")</f>
        <v>0</v>
      </c>
      <c r="O106">
        <f>COUNTIF('Metrics - Articles'!F105,"*GCO – Other*")</f>
        <v>0</v>
      </c>
      <c r="P106">
        <f>COUNTIF('Metrics - Articles'!F105,"*Corporate*")</f>
        <v>0</v>
      </c>
      <c r="R106" s="53">
        <f t="shared" si="3"/>
        <v>1</v>
      </c>
    </row>
    <row r="107" spans="2:18" x14ac:dyDescent="0.25">
      <c r="B107" s="48">
        <f>+'Metrics - Articles'!C106</f>
        <v>42094</v>
      </c>
      <c r="C107">
        <f>COUNTIF('Metrics - Articles'!F106,"*GPO (Partner, Ecosystem, Channels)*")</f>
        <v>0</v>
      </c>
      <c r="D107">
        <f>COUNTIF('Metrics - Articles'!F106,"*Office of the CEO*")</f>
        <v>0</v>
      </c>
      <c r="E107">
        <f>COUNTIF('Metrics - Articles'!F106,"*Services Delivery &amp; Support (go-lives and deployments) *")</f>
        <v>0</v>
      </c>
      <c r="F107">
        <f>COUNTIF('Metrics - Articles'!F106,"*Human Resources (SAP HR and employee stories)*")</f>
        <v>0</v>
      </c>
      <c r="G107">
        <f>COUNTIF('Metrics - Articles'!F106,"*P&amp;I (Research &amp; Development)*")</f>
        <v>0</v>
      </c>
      <c r="H107">
        <f>COUNTIF('Metrics - Articles'!F106,"*Business Network (Concur, Ariba, Fieldglass)*")</f>
        <v>0</v>
      </c>
      <c r="I107">
        <f>COUNTIF('Metrics - Articles'!F106,"*GCO – Regions*")</f>
        <v>0</v>
      </c>
      <c r="J107">
        <f>COUNTIF('Metrics - Articles'!F106,"*GCO – Platform Solutions*")</f>
        <v>0</v>
      </c>
      <c r="K107">
        <f>COUNTIF('Metrics - Articles'!F106,"*GCO – Industry Cloud *")</f>
        <v>0</v>
      </c>
      <c r="L107">
        <f>COUNTIF('Metrics - Articles'!F106,"*GCO – Customer Engagement &amp; Commerce (CRM &amp; hybris) *")</f>
        <v>0</v>
      </c>
      <c r="M107">
        <f>COUNTIF('Metrics - Articles'!F106,"*GCO – HR (SuccessFactors)*")</f>
        <v>1</v>
      </c>
      <c r="N107">
        <f>COUNTIF('Metrics - Articles'!F106,"*GCO – Services Sales*")</f>
        <v>0</v>
      </c>
      <c r="O107">
        <f>COUNTIF('Metrics - Articles'!F106,"*GCO – Other*")</f>
        <v>0</v>
      </c>
      <c r="P107">
        <f>COUNTIF('Metrics - Articles'!F106,"*Corporate*")</f>
        <v>0</v>
      </c>
      <c r="R107" s="53">
        <f t="shared" si="3"/>
        <v>1</v>
      </c>
    </row>
    <row r="108" spans="2:18" x14ac:dyDescent="0.25">
      <c r="B108" s="48">
        <f>+'Metrics - Articles'!C107</f>
        <v>42094</v>
      </c>
      <c r="C108">
        <f>COUNTIF('Metrics - Articles'!F107,"*GPO (Partner, Ecosystem, Channels)*")</f>
        <v>0</v>
      </c>
      <c r="D108">
        <f>COUNTIF('Metrics - Articles'!F107,"*Office of the CEO*")</f>
        <v>0</v>
      </c>
      <c r="E108">
        <f>COUNTIF('Metrics - Articles'!F107,"*Services Delivery &amp; Support (go-lives and deployments) *")</f>
        <v>0</v>
      </c>
      <c r="F108">
        <f>COUNTIF('Metrics - Articles'!F107,"*Human Resources (SAP HR and employee stories)*")</f>
        <v>0</v>
      </c>
      <c r="G108">
        <f>COUNTIF('Metrics - Articles'!F107,"*P&amp;I (Research &amp; Development)*")</f>
        <v>0</v>
      </c>
      <c r="H108">
        <f>COUNTIF('Metrics - Articles'!F107,"*Business Network (Concur, Ariba, Fieldglass)*")</f>
        <v>0</v>
      </c>
      <c r="I108">
        <f>COUNTIF('Metrics - Articles'!F107,"*GCO – Regions*")</f>
        <v>0</v>
      </c>
      <c r="J108">
        <f>COUNTIF('Metrics - Articles'!F107,"*GCO – Platform Solutions*")</f>
        <v>0</v>
      </c>
      <c r="K108">
        <f>COUNTIF('Metrics - Articles'!F107,"*GCO – Industry Cloud *")</f>
        <v>0</v>
      </c>
      <c r="L108">
        <f>COUNTIF('Metrics - Articles'!F107,"*GCO – Customer Engagement &amp; Commerce (CRM &amp; hybris) *")</f>
        <v>0</v>
      </c>
      <c r="M108">
        <f>COUNTIF('Metrics - Articles'!F107,"*GCO – HR (SuccessFactors)*")</f>
        <v>0</v>
      </c>
      <c r="N108">
        <f>COUNTIF('Metrics - Articles'!F107,"*GCO – Services Sales*")</f>
        <v>0</v>
      </c>
      <c r="O108">
        <f>COUNTIF('Metrics - Articles'!F107,"*GCO – Other*")</f>
        <v>0</v>
      </c>
      <c r="P108">
        <f>COUNTIF('Metrics - Articles'!F107,"*Corporate*")</f>
        <v>1</v>
      </c>
      <c r="R108" s="53">
        <f t="shared" si="3"/>
        <v>1</v>
      </c>
    </row>
    <row r="109" spans="2:18" x14ac:dyDescent="0.25">
      <c r="B109" s="48">
        <f>+'Metrics - Articles'!C108</f>
        <v>42094</v>
      </c>
      <c r="C109">
        <f>COUNTIF('Metrics - Articles'!F108,"*GPO (Partner, Ecosystem, Channels)*")</f>
        <v>0</v>
      </c>
      <c r="D109">
        <f>COUNTIF('Metrics - Articles'!F108,"*Office of the CEO*")</f>
        <v>0</v>
      </c>
      <c r="E109">
        <f>COUNTIF('Metrics - Articles'!F108,"*Services Delivery &amp; Support (go-lives and deployments) *")</f>
        <v>0</v>
      </c>
      <c r="F109">
        <f>COUNTIF('Metrics - Articles'!F108,"*Human Resources (SAP HR and employee stories)*")</f>
        <v>0</v>
      </c>
      <c r="G109">
        <f>COUNTIF('Metrics - Articles'!F108,"*P&amp;I (Research &amp; Development)*")</f>
        <v>0</v>
      </c>
      <c r="H109">
        <f>COUNTIF('Metrics - Articles'!F108,"*Business Network (Concur, Ariba, Fieldglass)*")</f>
        <v>0</v>
      </c>
      <c r="I109">
        <f>COUNTIF('Metrics - Articles'!F108,"*GCO – Regions*")</f>
        <v>0</v>
      </c>
      <c r="J109">
        <f>COUNTIF('Metrics - Articles'!F108,"*GCO – Platform Solutions*")</f>
        <v>1</v>
      </c>
      <c r="K109">
        <f>COUNTIF('Metrics - Articles'!F108,"*GCO – Industry Cloud *")</f>
        <v>0</v>
      </c>
      <c r="L109">
        <f>COUNTIF('Metrics - Articles'!F108,"*GCO – Customer Engagement &amp; Commerce (CRM &amp; hybris) *")</f>
        <v>0</v>
      </c>
      <c r="M109">
        <f>COUNTIF('Metrics - Articles'!F108,"*GCO – HR (SuccessFactors)*")</f>
        <v>0</v>
      </c>
      <c r="N109">
        <f>COUNTIF('Metrics - Articles'!F108,"*GCO – Services Sales*")</f>
        <v>0</v>
      </c>
      <c r="O109">
        <f>COUNTIF('Metrics - Articles'!F108,"*GCO – Other*")</f>
        <v>0</v>
      </c>
      <c r="P109">
        <f>COUNTIF('Metrics - Articles'!F108,"*Corporate*")</f>
        <v>0</v>
      </c>
      <c r="R109" s="53">
        <f t="shared" si="3"/>
        <v>1</v>
      </c>
    </row>
    <row r="110" spans="2:18" x14ac:dyDescent="0.25">
      <c r="B110" s="48">
        <f>+'Metrics - Articles'!C109</f>
        <v>42095</v>
      </c>
      <c r="C110">
        <f>COUNTIF('Metrics - Articles'!F109,"*GPO (Partner, Ecosystem, Channels)*")</f>
        <v>0</v>
      </c>
      <c r="D110">
        <f>COUNTIF('Metrics - Articles'!F109,"*Office of the CEO*")</f>
        <v>0</v>
      </c>
      <c r="E110">
        <f>COUNTIF('Metrics - Articles'!F109,"*Services Delivery &amp; Support (go-lives and deployments) *")</f>
        <v>0</v>
      </c>
      <c r="F110">
        <f>COUNTIF('Metrics - Articles'!F109,"*Human Resources (SAP HR and employee stories)*")</f>
        <v>0</v>
      </c>
      <c r="G110">
        <f>COUNTIF('Metrics - Articles'!F109,"*P&amp;I (Research &amp; Development)*")</f>
        <v>0</v>
      </c>
      <c r="H110">
        <f>COUNTIF('Metrics - Articles'!F109,"*Business Network (Concur, Ariba, Fieldglass)*")</f>
        <v>0</v>
      </c>
      <c r="I110">
        <f>COUNTIF('Metrics - Articles'!F109,"*GCO – Regions*")</f>
        <v>0</v>
      </c>
      <c r="J110">
        <f>COUNTIF('Metrics - Articles'!F109,"*GCO – Platform Solutions*")</f>
        <v>1</v>
      </c>
      <c r="K110">
        <f>COUNTIF('Metrics - Articles'!F109,"*GCO – Industry Cloud *")</f>
        <v>0</v>
      </c>
      <c r="L110">
        <f>COUNTIF('Metrics - Articles'!F109,"*GCO – Customer Engagement &amp; Commerce (CRM &amp; hybris) *")</f>
        <v>0</v>
      </c>
      <c r="M110">
        <f>COUNTIF('Metrics - Articles'!F109,"*GCO – HR (SuccessFactors)*")</f>
        <v>0</v>
      </c>
      <c r="N110">
        <f>COUNTIF('Metrics - Articles'!F109,"*GCO – Services Sales*")</f>
        <v>0</v>
      </c>
      <c r="O110">
        <f>COUNTIF('Metrics - Articles'!F109,"*GCO – Other*")</f>
        <v>0</v>
      </c>
      <c r="P110">
        <f>COUNTIF('Metrics - Articles'!F109,"*Corporate*")</f>
        <v>0</v>
      </c>
      <c r="R110" s="53">
        <f t="shared" si="3"/>
        <v>1</v>
      </c>
    </row>
    <row r="111" spans="2:18" x14ac:dyDescent="0.25">
      <c r="B111" s="48">
        <f>+'Metrics - Articles'!C110</f>
        <v>42096</v>
      </c>
      <c r="C111">
        <f>COUNTIF('Metrics - Articles'!F110,"*GPO (Partner, Ecosystem, Channels)*")</f>
        <v>0</v>
      </c>
      <c r="D111">
        <f>COUNTIF('Metrics - Articles'!F110,"*Office of the CEO*")</f>
        <v>0</v>
      </c>
      <c r="E111">
        <f>COUNTIF('Metrics - Articles'!F110,"*Services Delivery &amp; Support (go-lives and deployments) *")</f>
        <v>0</v>
      </c>
      <c r="F111">
        <f>COUNTIF('Metrics - Articles'!F110,"*Human Resources (SAP HR and employee stories)*")</f>
        <v>0</v>
      </c>
      <c r="G111">
        <f>COUNTIF('Metrics - Articles'!F110,"*P&amp;I (Research &amp; Development)*")</f>
        <v>0</v>
      </c>
      <c r="H111">
        <f>COUNTIF('Metrics - Articles'!F110,"*Business Network (Concur, Ariba, Fieldglass)*")</f>
        <v>0</v>
      </c>
      <c r="I111">
        <f>COUNTIF('Metrics - Articles'!F110,"*GCO – Regions*")</f>
        <v>0</v>
      </c>
      <c r="J111">
        <f>COUNTIF('Metrics - Articles'!F110,"*GCO – Platform Solutions*")</f>
        <v>0</v>
      </c>
      <c r="K111">
        <f>COUNTIF('Metrics - Articles'!F110,"*GCO – Industry Cloud *")</f>
        <v>1</v>
      </c>
      <c r="L111">
        <f>COUNTIF('Metrics - Articles'!F110,"*GCO – Customer Engagement &amp; Commerce (CRM &amp; hybris) *")</f>
        <v>0</v>
      </c>
      <c r="M111">
        <f>COUNTIF('Metrics - Articles'!F110,"*GCO – HR (SuccessFactors)*")</f>
        <v>0</v>
      </c>
      <c r="N111">
        <f>COUNTIF('Metrics - Articles'!F110,"*GCO – Services Sales*")</f>
        <v>0</v>
      </c>
      <c r="O111">
        <f>COUNTIF('Metrics - Articles'!F110,"*GCO – Other*")</f>
        <v>0</v>
      </c>
      <c r="P111">
        <f>COUNTIF('Metrics - Articles'!F110,"*Corporate*")</f>
        <v>0</v>
      </c>
      <c r="R111" s="53">
        <f t="shared" si="3"/>
        <v>1</v>
      </c>
    </row>
    <row r="112" spans="2:18" x14ac:dyDescent="0.25">
      <c r="B112" s="48">
        <f>+'Metrics - Articles'!C111</f>
        <v>42101</v>
      </c>
      <c r="C112">
        <f>COUNTIF('Metrics - Articles'!F111,"*GPO (Partner, Ecosystem, Channels)*")</f>
        <v>0</v>
      </c>
      <c r="D112">
        <f>COUNTIF('Metrics - Articles'!F111,"*Office of the CEO*")</f>
        <v>0</v>
      </c>
      <c r="E112">
        <f>COUNTIF('Metrics - Articles'!F111,"*Services Delivery &amp; Support (go-lives and deployments) *")</f>
        <v>0</v>
      </c>
      <c r="F112">
        <f>COUNTIF('Metrics - Articles'!F111,"*Human Resources (SAP HR and employee stories)*")</f>
        <v>0</v>
      </c>
      <c r="G112">
        <f>COUNTIF('Metrics - Articles'!F111,"*P&amp;I (Research &amp; Development)*")</f>
        <v>0</v>
      </c>
      <c r="H112">
        <f>COUNTIF('Metrics - Articles'!F111,"*Business Network (Concur, Ariba, Fieldglass)*")</f>
        <v>0</v>
      </c>
      <c r="I112">
        <f>COUNTIF('Metrics - Articles'!F111,"*GCO – Regions*")</f>
        <v>1</v>
      </c>
      <c r="J112">
        <f>COUNTIF('Metrics - Articles'!F111,"*GCO – Platform Solutions*")</f>
        <v>0</v>
      </c>
      <c r="K112">
        <f>COUNTIF('Metrics - Articles'!F111,"*GCO – Industry Cloud *")</f>
        <v>0</v>
      </c>
      <c r="L112">
        <f>COUNTIF('Metrics - Articles'!F111,"*GCO – Customer Engagement &amp; Commerce (CRM &amp; hybris) *")</f>
        <v>0</v>
      </c>
      <c r="M112">
        <f>COUNTIF('Metrics - Articles'!F111,"*GCO – HR (SuccessFactors)*")</f>
        <v>0</v>
      </c>
      <c r="N112">
        <f>COUNTIF('Metrics - Articles'!F111,"*GCO – Services Sales*")</f>
        <v>0</v>
      </c>
      <c r="O112">
        <f>COUNTIF('Metrics - Articles'!F111,"*GCO – Other*")</f>
        <v>0</v>
      </c>
      <c r="P112">
        <f>COUNTIF('Metrics - Articles'!F111,"*Corporate*")</f>
        <v>0</v>
      </c>
      <c r="R112" s="53">
        <f t="shared" si="3"/>
        <v>1</v>
      </c>
    </row>
    <row r="113" spans="2:18" x14ac:dyDescent="0.25">
      <c r="B113" s="48">
        <f>+'Metrics - Articles'!C112</f>
        <v>42101</v>
      </c>
      <c r="C113">
        <f>COUNTIF('Metrics - Articles'!F112,"*GPO (Partner, Ecosystem, Channels)*")</f>
        <v>0</v>
      </c>
      <c r="D113">
        <f>COUNTIF('Metrics - Articles'!F112,"*Office of the CEO*")</f>
        <v>0</v>
      </c>
      <c r="E113">
        <f>COUNTIF('Metrics - Articles'!F112,"*Services Delivery &amp; Support (go-lives and deployments) *")</f>
        <v>0</v>
      </c>
      <c r="F113">
        <f>COUNTIF('Metrics - Articles'!F112,"*Human Resources (SAP HR and employee stories)*")</f>
        <v>0</v>
      </c>
      <c r="G113">
        <f>COUNTIF('Metrics - Articles'!F112,"*P&amp;I (Research &amp; Development)*")</f>
        <v>0</v>
      </c>
      <c r="H113">
        <f>COUNTIF('Metrics - Articles'!F112,"*Business Network (Concur, Ariba, Fieldglass)*")</f>
        <v>0</v>
      </c>
      <c r="I113">
        <f>COUNTIF('Metrics - Articles'!F112,"*GCO – Regions*")</f>
        <v>0</v>
      </c>
      <c r="J113">
        <f>COUNTIF('Metrics - Articles'!F112,"*GCO – Platform Solutions*")</f>
        <v>0</v>
      </c>
      <c r="K113">
        <f>COUNTIF('Metrics - Articles'!F112,"*GCO – Industry Cloud *")</f>
        <v>0</v>
      </c>
      <c r="L113">
        <f>COUNTIF('Metrics - Articles'!F112,"*GCO – Customer Engagement &amp; Commerce (CRM &amp; hybris) *")</f>
        <v>0</v>
      </c>
      <c r="M113">
        <f>COUNTIF('Metrics - Articles'!F112,"*GCO – HR (SuccessFactors)*")</f>
        <v>0</v>
      </c>
      <c r="N113">
        <f>COUNTIF('Metrics - Articles'!F112,"*GCO – Services Sales*")</f>
        <v>0</v>
      </c>
      <c r="O113">
        <f>COUNTIF('Metrics - Articles'!F112,"*GCO – Other*")</f>
        <v>0</v>
      </c>
      <c r="P113">
        <f>COUNTIF('Metrics - Articles'!F112,"*Corporate*")</f>
        <v>1</v>
      </c>
      <c r="R113" s="53">
        <f t="shared" si="3"/>
        <v>1</v>
      </c>
    </row>
    <row r="114" spans="2:18" x14ac:dyDescent="0.25">
      <c r="B114" s="48">
        <f>+'Metrics - Articles'!C113</f>
        <v>42102</v>
      </c>
      <c r="C114">
        <f>COUNTIF('Metrics - Articles'!F113,"*GPO (Partner, Ecosystem, Channels)*")</f>
        <v>0</v>
      </c>
      <c r="D114">
        <f>COUNTIF('Metrics - Articles'!F113,"*Office of the CEO*")</f>
        <v>0</v>
      </c>
      <c r="E114">
        <f>COUNTIF('Metrics - Articles'!F113,"*Services Delivery &amp; Support (go-lives and deployments) *")</f>
        <v>0</v>
      </c>
      <c r="F114">
        <f>COUNTIF('Metrics - Articles'!F113,"*Human Resources (SAP HR and employee stories)*")</f>
        <v>0</v>
      </c>
      <c r="G114">
        <f>COUNTIF('Metrics - Articles'!F113,"*P&amp;I (Research &amp; Development)*")</f>
        <v>0</v>
      </c>
      <c r="H114">
        <f>COUNTIF('Metrics - Articles'!F113,"*Business Network (Concur, Ariba, Fieldglass)*")</f>
        <v>0</v>
      </c>
      <c r="I114">
        <f>COUNTIF('Metrics - Articles'!F113,"*GCO – Regions*")</f>
        <v>0</v>
      </c>
      <c r="J114">
        <f>COUNTIF('Metrics - Articles'!F113,"*GCO – Platform Solutions*")</f>
        <v>1</v>
      </c>
      <c r="K114">
        <f>COUNTIF('Metrics - Articles'!F113,"*GCO – Industry Cloud *")</f>
        <v>0</v>
      </c>
      <c r="L114">
        <f>COUNTIF('Metrics - Articles'!F113,"*GCO – Customer Engagement &amp; Commerce (CRM &amp; hybris) *")</f>
        <v>0</v>
      </c>
      <c r="M114">
        <f>COUNTIF('Metrics - Articles'!F113,"*GCO – HR (SuccessFactors)*")</f>
        <v>0</v>
      </c>
      <c r="N114">
        <f>COUNTIF('Metrics - Articles'!F113,"*GCO – Services Sales*")</f>
        <v>0</v>
      </c>
      <c r="O114">
        <f>COUNTIF('Metrics - Articles'!F113,"*GCO – Other*")</f>
        <v>0</v>
      </c>
      <c r="P114">
        <f>COUNTIF('Metrics - Articles'!F113,"*Corporate*")</f>
        <v>0</v>
      </c>
      <c r="R114" s="53">
        <f t="shared" si="3"/>
        <v>1</v>
      </c>
    </row>
    <row r="115" spans="2:18" x14ac:dyDescent="0.25">
      <c r="B115" s="48">
        <f>+'Metrics - Articles'!C114</f>
        <v>42103</v>
      </c>
      <c r="C115">
        <f>COUNTIF('Metrics - Articles'!F114,"*GPO (Partner, Ecosystem, Channels)*")</f>
        <v>0</v>
      </c>
      <c r="D115">
        <f>COUNTIF('Metrics - Articles'!F114,"*Office of the CEO*")</f>
        <v>0</v>
      </c>
      <c r="E115">
        <f>COUNTIF('Metrics - Articles'!F114,"*Services Delivery &amp; Support (go-lives and deployments) *")</f>
        <v>0</v>
      </c>
      <c r="F115">
        <f>COUNTIF('Metrics - Articles'!F114,"*Human Resources (SAP HR and employee stories)*")</f>
        <v>1</v>
      </c>
      <c r="G115">
        <f>COUNTIF('Metrics - Articles'!F114,"*P&amp;I (Research &amp; Development)*")</f>
        <v>0</v>
      </c>
      <c r="H115">
        <f>COUNTIF('Metrics - Articles'!F114,"*Business Network (Concur, Ariba, Fieldglass)*")</f>
        <v>0</v>
      </c>
      <c r="I115">
        <f>COUNTIF('Metrics - Articles'!F114,"*GCO – Regions*")</f>
        <v>0</v>
      </c>
      <c r="J115">
        <f>COUNTIF('Metrics - Articles'!F114,"*GCO – Platform Solutions*")</f>
        <v>0</v>
      </c>
      <c r="K115">
        <f>COUNTIF('Metrics - Articles'!F114,"*GCO – Industry Cloud *")</f>
        <v>0</v>
      </c>
      <c r="L115">
        <f>COUNTIF('Metrics - Articles'!F114,"*GCO – Customer Engagement &amp; Commerce (CRM &amp; hybris) *")</f>
        <v>0</v>
      </c>
      <c r="M115">
        <f>COUNTIF('Metrics - Articles'!F114,"*GCO – HR (SuccessFactors)*")</f>
        <v>0</v>
      </c>
      <c r="N115">
        <f>COUNTIF('Metrics - Articles'!F114,"*GCO – Services Sales*")</f>
        <v>0</v>
      </c>
      <c r="O115">
        <f>COUNTIF('Metrics - Articles'!F114,"*GCO – Other*")</f>
        <v>0</v>
      </c>
      <c r="P115">
        <f>COUNTIF('Metrics - Articles'!F114,"*Corporate*")</f>
        <v>0</v>
      </c>
      <c r="R115" s="53">
        <f t="shared" si="3"/>
        <v>1</v>
      </c>
    </row>
    <row r="116" spans="2:18" x14ac:dyDescent="0.25">
      <c r="B116" s="48">
        <f>+'Metrics - Articles'!C115</f>
        <v>42103</v>
      </c>
      <c r="C116">
        <f>COUNTIF('Metrics - Articles'!F115,"*GPO (Partner, Ecosystem, Channels)*")</f>
        <v>0</v>
      </c>
      <c r="D116">
        <f>COUNTIF('Metrics - Articles'!F115,"*Office of the CEO*")</f>
        <v>0</v>
      </c>
      <c r="E116">
        <f>COUNTIF('Metrics - Articles'!F115,"*Services Delivery &amp; Support (go-lives and deployments) *")</f>
        <v>0</v>
      </c>
      <c r="F116">
        <f>COUNTIF('Metrics - Articles'!F115,"*Human Resources (SAP HR and employee stories)*")</f>
        <v>0</v>
      </c>
      <c r="G116">
        <f>COUNTIF('Metrics - Articles'!F115,"*P&amp;I (Research &amp; Development)*")</f>
        <v>0</v>
      </c>
      <c r="H116">
        <f>COUNTIF('Metrics - Articles'!F115,"*Business Network (Concur, Ariba, Fieldglass)*")</f>
        <v>0</v>
      </c>
      <c r="I116">
        <f>COUNTIF('Metrics - Articles'!F115,"*GCO – Regions*")</f>
        <v>1</v>
      </c>
      <c r="J116">
        <f>COUNTIF('Metrics - Articles'!F115,"*GCO – Platform Solutions*")</f>
        <v>0</v>
      </c>
      <c r="K116">
        <f>COUNTIF('Metrics - Articles'!F115,"*GCO – Industry Cloud *")</f>
        <v>0</v>
      </c>
      <c r="L116">
        <f>COUNTIF('Metrics - Articles'!F115,"*GCO – Customer Engagement &amp; Commerce (CRM &amp; hybris) *")</f>
        <v>0</v>
      </c>
      <c r="M116">
        <f>COUNTIF('Metrics - Articles'!F115,"*GCO – HR (SuccessFactors)*")</f>
        <v>0</v>
      </c>
      <c r="N116">
        <f>COUNTIF('Metrics - Articles'!F115,"*GCO – Services Sales*")</f>
        <v>0</v>
      </c>
      <c r="O116">
        <f>COUNTIF('Metrics - Articles'!F115,"*GCO – Other*")</f>
        <v>0</v>
      </c>
      <c r="P116">
        <f>COUNTIF('Metrics - Articles'!F115,"*Corporate*")</f>
        <v>0</v>
      </c>
      <c r="R116" s="53">
        <f t="shared" si="3"/>
        <v>1</v>
      </c>
    </row>
    <row r="117" spans="2:18" x14ac:dyDescent="0.25">
      <c r="B117" s="48">
        <f>+'Metrics - Articles'!C116</f>
        <v>42107</v>
      </c>
      <c r="C117">
        <f>COUNTIF('Metrics - Articles'!F116,"*GPO (Partner, Ecosystem, Channels)*")</f>
        <v>0</v>
      </c>
      <c r="D117">
        <f>COUNTIF('Metrics - Articles'!F116,"*Office of the CEO*")</f>
        <v>0</v>
      </c>
      <c r="E117">
        <f>COUNTIF('Metrics - Articles'!F116,"*Services Delivery &amp; Support (go-lives and deployments) *")</f>
        <v>0</v>
      </c>
      <c r="F117">
        <f>COUNTIF('Metrics - Articles'!F116,"*Human Resources (SAP HR and employee stories)*")</f>
        <v>1</v>
      </c>
      <c r="G117">
        <f>COUNTIF('Metrics - Articles'!F116,"*P&amp;I (Research &amp; Development)*")</f>
        <v>0</v>
      </c>
      <c r="H117">
        <f>COUNTIF('Metrics - Articles'!F116,"*Business Network (Concur, Ariba, Fieldglass)*")</f>
        <v>0</v>
      </c>
      <c r="I117">
        <f>COUNTIF('Metrics - Articles'!F116,"*GCO – Regions*")</f>
        <v>0</v>
      </c>
      <c r="J117">
        <f>COUNTIF('Metrics - Articles'!F116,"*GCO – Platform Solutions*")</f>
        <v>0</v>
      </c>
      <c r="K117">
        <f>COUNTIF('Metrics - Articles'!F116,"*GCO – Industry Cloud *")</f>
        <v>0</v>
      </c>
      <c r="L117">
        <f>COUNTIF('Metrics - Articles'!F116,"*GCO – Customer Engagement &amp; Commerce (CRM &amp; hybris) *")</f>
        <v>0</v>
      </c>
      <c r="M117">
        <f>COUNTIF('Metrics - Articles'!F116,"*GCO – HR (SuccessFactors)*")</f>
        <v>0</v>
      </c>
      <c r="N117">
        <f>COUNTIF('Metrics - Articles'!F116,"*GCO – Services Sales*")</f>
        <v>0</v>
      </c>
      <c r="O117">
        <f>COUNTIF('Metrics - Articles'!F116,"*GCO – Other*")</f>
        <v>0</v>
      </c>
      <c r="P117">
        <f>COUNTIF('Metrics - Articles'!F116,"*Corporate*")</f>
        <v>0</v>
      </c>
      <c r="R117" s="53">
        <f t="shared" si="3"/>
        <v>1</v>
      </c>
    </row>
    <row r="118" spans="2:18" x14ac:dyDescent="0.25">
      <c r="B118" s="48">
        <f>+'Metrics - Articles'!C117</f>
        <v>42107</v>
      </c>
      <c r="C118">
        <f>COUNTIF('Metrics - Articles'!F117,"*GPO (Partner, Ecosystem, Channels)*")</f>
        <v>0</v>
      </c>
      <c r="D118">
        <f>COUNTIF('Metrics - Articles'!F117,"*Office of the CEO*")</f>
        <v>0</v>
      </c>
      <c r="E118">
        <f>COUNTIF('Metrics - Articles'!F117,"*Services Delivery &amp; Support (go-lives and deployments) *")</f>
        <v>1</v>
      </c>
      <c r="F118">
        <f>COUNTIF('Metrics - Articles'!F117,"*Human Resources (SAP HR and employee stories)*")</f>
        <v>0</v>
      </c>
      <c r="G118">
        <f>COUNTIF('Metrics - Articles'!F117,"*P&amp;I (Research &amp; Development)*")</f>
        <v>0</v>
      </c>
      <c r="H118">
        <f>COUNTIF('Metrics - Articles'!F117,"*Business Network (Concur, Ariba, Fieldglass)*")</f>
        <v>0</v>
      </c>
      <c r="I118">
        <f>COUNTIF('Metrics - Articles'!F117,"*GCO – Regions*")</f>
        <v>0</v>
      </c>
      <c r="J118">
        <f>COUNTIF('Metrics - Articles'!F117,"*GCO – Platform Solutions*")</f>
        <v>0</v>
      </c>
      <c r="K118">
        <f>COUNTIF('Metrics - Articles'!F117,"*GCO – Industry Cloud *")</f>
        <v>0</v>
      </c>
      <c r="L118">
        <f>COUNTIF('Metrics - Articles'!F117,"*GCO – Customer Engagement &amp; Commerce (CRM &amp; hybris) *")</f>
        <v>0</v>
      </c>
      <c r="M118">
        <f>COUNTIF('Metrics - Articles'!F117,"*GCO – HR (SuccessFactors)*")</f>
        <v>0</v>
      </c>
      <c r="N118">
        <f>COUNTIF('Metrics - Articles'!F117,"*GCO – Services Sales*")</f>
        <v>0</v>
      </c>
      <c r="O118">
        <f>COUNTIF('Metrics - Articles'!F117,"*GCO – Other*")</f>
        <v>0</v>
      </c>
      <c r="P118">
        <f>COUNTIF('Metrics - Articles'!F117,"*Corporate*")</f>
        <v>0</v>
      </c>
      <c r="R118" s="53">
        <f t="shared" si="3"/>
        <v>1</v>
      </c>
    </row>
    <row r="119" spans="2:18" x14ac:dyDescent="0.25">
      <c r="B119" s="48">
        <f>+'Metrics - Articles'!C118</f>
        <v>42107</v>
      </c>
      <c r="C119">
        <f>COUNTIF('Metrics - Articles'!F118,"*GPO (Partner, Ecosystem, Channels)*")</f>
        <v>0</v>
      </c>
      <c r="D119">
        <f>COUNTIF('Metrics - Articles'!F118,"*Office of the CEO*")</f>
        <v>0</v>
      </c>
      <c r="E119">
        <f>COUNTIF('Metrics - Articles'!F118,"*Services Delivery &amp; Support (go-lives and deployments) *")</f>
        <v>0</v>
      </c>
      <c r="F119">
        <f>COUNTIF('Metrics - Articles'!F118,"*Human Resources (SAP HR and employee stories)*")</f>
        <v>0</v>
      </c>
      <c r="G119">
        <f>COUNTIF('Metrics - Articles'!F118,"*P&amp;I (Research &amp; Development)*")</f>
        <v>0</v>
      </c>
      <c r="H119">
        <f>COUNTIF('Metrics - Articles'!F118,"*Business Network (Concur, Ariba, Fieldglass)*")</f>
        <v>0</v>
      </c>
      <c r="I119">
        <f>COUNTIF('Metrics - Articles'!F118,"*GCO – Regions*")</f>
        <v>0</v>
      </c>
      <c r="J119">
        <f>COUNTIF('Metrics - Articles'!F118,"*GCO – Platform Solutions*")</f>
        <v>0</v>
      </c>
      <c r="K119">
        <f>COUNTIF('Metrics - Articles'!F118,"*GCO – Industry Cloud *")</f>
        <v>1</v>
      </c>
      <c r="L119">
        <f>COUNTIF('Metrics - Articles'!F118,"*GCO – Customer Engagement &amp; Commerce (CRM &amp; hybris) *")</f>
        <v>0</v>
      </c>
      <c r="M119">
        <f>COUNTIF('Metrics - Articles'!F118,"*GCO – HR (SuccessFactors)*")</f>
        <v>0</v>
      </c>
      <c r="N119">
        <f>COUNTIF('Metrics - Articles'!F118,"*GCO – Services Sales*")</f>
        <v>0</v>
      </c>
      <c r="O119">
        <f>COUNTIF('Metrics - Articles'!F118,"*GCO – Other*")</f>
        <v>0</v>
      </c>
      <c r="P119">
        <f>COUNTIF('Metrics - Articles'!F118,"*Corporate*")</f>
        <v>0</v>
      </c>
      <c r="R119" s="53">
        <f t="shared" si="3"/>
        <v>1</v>
      </c>
    </row>
    <row r="120" spans="2:18" x14ac:dyDescent="0.25">
      <c r="B120" s="48">
        <f>+'Metrics - Articles'!C119</f>
        <v>42108</v>
      </c>
      <c r="C120">
        <f>COUNTIF('Metrics - Articles'!F119,"*GPO (Partner, Ecosystem, Channels)*")</f>
        <v>0</v>
      </c>
      <c r="D120">
        <f>COUNTIF('Metrics - Articles'!F119,"*Office of the CEO*")</f>
        <v>0</v>
      </c>
      <c r="E120">
        <f>COUNTIF('Metrics - Articles'!F119,"*Services Delivery &amp; Support (go-lives and deployments) *")</f>
        <v>0</v>
      </c>
      <c r="F120">
        <f>COUNTIF('Metrics - Articles'!F119,"*Human Resources (SAP HR and employee stories)*")</f>
        <v>1</v>
      </c>
      <c r="G120">
        <f>COUNTIF('Metrics - Articles'!F119,"*P&amp;I (Research &amp; Development)*")</f>
        <v>0</v>
      </c>
      <c r="H120">
        <f>COUNTIF('Metrics - Articles'!F119,"*Business Network (Concur, Ariba, Fieldglass)*")</f>
        <v>0</v>
      </c>
      <c r="I120">
        <f>COUNTIF('Metrics - Articles'!F119,"*GCO – Regions*")</f>
        <v>0</v>
      </c>
      <c r="J120">
        <f>COUNTIF('Metrics - Articles'!F119,"*GCO – Platform Solutions*")</f>
        <v>0</v>
      </c>
      <c r="K120">
        <f>COUNTIF('Metrics - Articles'!F119,"*GCO – Industry Cloud *")</f>
        <v>0</v>
      </c>
      <c r="L120">
        <f>COUNTIF('Metrics - Articles'!F119,"*GCO – Customer Engagement &amp; Commerce (CRM &amp; hybris) *")</f>
        <v>0</v>
      </c>
      <c r="M120">
        <f>COUNTIF('Metrics - Articles'!F119,"*GCO – HR (SuccessFactors)*")</f>
        <v>0</v>
      </c>
      <c r="N120">
        <f>COUNTIF('Metrics - Articles'!F119,"*GCO – Services Sales*")</f>
        <v>0</v>
      </c>
      <c r="O120">
        <f>COUNTIF('Metrics - Articles'!F119,"*GCO – Other*")</f>
        <v>0</v>
      </c>
      <c r="P120">
        <f>COUNTIF('Metrics - Articles'!F119,"*Corporate*")</f>
        <v>0</v>
      </c>
      <c r="R120" s="53">
        <f t="shared" si="3"/>
        <v>1</v>
      </c>
    </row>
    <row r="121" spans="2:18" x14ac:dyDescent="0.25">
      <c r="B121" s="48">
        <f>+'Metrics - Articles'!C120</f>
        <v>42109</v>
      </c>
      <c r="C121">
        <f>COUNTIF('Metrics - Articles'!F120,"*GPO (Partner, Ecosystem, Channels)*")</f>
        <v>0</v>
      </c>
      <c r="D121">
        <f>COUNTIF('Metrics - Articles'!F120,"*Office of the CEO*")</f>
        <v>0</v>
      </c>
      <c r="E121">
        <f>COUNTIF('Metrics - Articles'!F120,"*Services Delivery &amp; Support (go-lives and deployments) *")</f>
        <v>0</v>
      </c>
      <c r="F121">
        <f>COUNTIF('Metrics - Articles'!F120,"*Human Resources (SAP HR and employee stories)*")</f>
        <v>0</v>
      </c>
      <c r="G121">
        <f>COUNTIF('Metrics - Articles'!F120,"*P&amp;I (Research &amp; Development)*")</f>
        <v>0</v>
      </c>
      <c r="H121">
        <f>COUNTIF('Metrics - Articles'!F120,"*Business Network (Concur, Ariba, Fieldglass)*")</f>
        <v>0</v>
      </c>
      <c r="I121">
        <f>COUNTIF('Metrics - Articles'!F120,"*GCO – Regions*")</f>
        <v>1</v>
      </c>
      <c r="J121">
        <f>COUNTIF('Metrics - Articles'!F120,"*GCO – Platform Solutions*")</f>
        <v>0</v>
      </c>
      <c r="K121">
        <f>COUNTIF('Metrics - Articles'!F120,"*GCO – Industry Cloud *")</f>
        <v>0</v>
      </c>
      <c r="L121">
        <f>COUNTIF('Metrics - Articles'!F120,"*GCO – Customer Engagement &amp; Commerce (CRM &amp; hybris) *")</f>
        <v>0</v>
      </c>
      <c r="M121">
        <f>COUNTIF('Metrics - Articles'!F120,"*GCO – HR (SuccessFactors)*")</f>
        <v>0</v>
      </c>
      <c r="N121">
        <f>COUNTIF('Metrics - Articles'!F120,"*GCO – Services Sales*")</f>
        <v>0</v>
      </c>
      <c r="O121">
        <f>COUNTIF('Metrics - Articles'!F120,"*GCO – Other*")</f>
        <v>0</v>
      </c>
      <c r="P121">
        <f>COUNTIF('Metrics - Articles'!F120,"*Corporate*")</f>
        <v>0</v>
      </c>
      <c r="R121" s="53">
        <f t="shared" si="3"/>
        <v>1</v>
      </c>
    </row>
    <row r="122" spans="2:18" x14ac:dyDescent="0.25">
      <c r="B122" s="48">
        <f>+'Metrics - Articles'!C121</f>
        <v>42109</v>
      </c>
      <c r="C122">
        <f>COUNTIF('Metrics - Articles'!F121,"*GPO (Partner, Ecosystem, Channels)*")</f>
        <v>0</v>
      </c>
      <c r="D122">
        <f>COUNTIF('Metrics - Articles'!F121,"*Office of the CEO*")</f>
        <v>0</v>
      </c>
      <c r="E122">
        <f>COUNTIF('Metrics - Articles'!F121,"*Services Delivery &amp; Support (go-lives and deployments) *")</f>
        <v>0</v>
      </c>
      <c r="F122">
        <f>COUNTIF('Metrics - Articles'!F121,"*Human Resources (SAP HR and employee stories)*")</f>
        <v>1</v>
      </c>
      <c r="G122">
        <f>COUNTIF('Metrics - Articles'!F121,"*P&amp;I (Research &amp; Development)*")</f>
        <v>0</v>
      </c>
      <c r="H122">
        <f>COUNTIF('Metrics - Articles'!F121,"*Business Network (Concur, Ariba, Fieldglass)*")</f>
        <v>0</v>
      </c>
      <c r="I122">
        <f>COUNTIF('Metrics - Articles'!F121,"*GCO – Regions*")</f>
        <v>0</v>
      </c>
      <c r="J122">
        <f>COUNTIF('Metrics - Articles'!F121,"*GCO – Platform Solutions*")</f>
        <v>0</v>
      </c>
      <c r="K122">
        <f>COUNTIF('Metrics - Articles'!F121,"*GCO – Industry Cloud *")</f>
        <v>0</v>
      </c>
      <c r="L122">
        <f>COUNTIF('Metrics - Articles'!F121,"*GCO – Customer Engagement &amp; Commerce (CRM &amp; hybris) *")</f>
        <v>0</v>
      </c>
      <c r="M122">
        <f>COUNTIF('Metrics - Articles'!F121,"*GCO – HR (SuccessFactors)*")</f>
        <v>0</v>
      </c>
      <c r="N122">
        <f>COUNTIF('Metrics - Articles'!F121,"*GCO – Services Sales*")</f>
        <v>0</v>
      </c>
      <c r="O122">
        <f>COUNTIF('Metrics - Articles'!F121,"*GCO – Other*")</f>
        <v>0</v>
      </c>
      <c r="P122">
        <f>COUNTIF('Metrics - Articles'!F121,"*Corporate*")</f>
        <v>0</v>
      </c>
      <c r="R122" s="53">
        <f t="shared" si="3"/>
        <v>1</v>
      </c>
    </row>
    <row r="123" spans="2:18" x14ac:dyDescent="0.25">
      <c r="B123" s="48">
        <f>+'Metrics - Articles'!C122</f>
        <v>42109</v>
      </c>
      <c r="C123">
        <f>COUNTIF('Metrics - Articles'!F122,"*GPO (Partner, Ecosystem, Channels)*")</f>
        <v>0</v>
      </c>
      <c r="D123">
        <f>COUNTIF('Metrics - Articles'!F122,"*Office of the CEO*")</f>
        <v>0</v>
      </c>
      <c r="E123">
        <f>COUNTIF('Metrics - Articles'!F122,"*Services Delivery &amp; Support (go-lives and deployments) *")</f>
        <v>0</v>
      </c>
      <c r="F123">
        <f>COUNTIF('Metrics - Articles'!F122,"*Human Resources (SAP HR and employee stories)*")</f>
        <v>0</v>
      </c>
      <c r="G123">
        <f>COUNTIF('Metrics - Articles'!F122,"*P&amp;I (Research &amp; Development)*")</f>
        <v>0</v>
      </c>
      <c r="H123">
        <f>COUNTIF('Metrics - Articles'!F122,"*Business Network (Concur, Ariba, Fieldglass)*")</f>
        <v>0</v>
      </c>
      <c r="I123">
        <f>COUNTIF('Metrics - Articles'!F122,"*GCO – Regions*")</f>
        <v>0</v>
      </c>
      <c r="J123">
        <f>COUNTIF('Metrics - Articles'!F122,"*GCO – Platform Solutions*")</f>
        <v>1</v>
      </c>
      <c r="K123">
        <f>COUNTIF('Metrics - Articles'!F122,"*GCO – Industry Cloud *")</f>
        <v>0</v>
      </c>
      <c r="L123">
        <f>COUNTIF('Metrics - Articles'!F122,"*GCO – Customer Engagement &amp; Commerce (CRM &amp; hybris) *")</f>
        <v>0</v>
      </c>
      <c r="M123">
        <f>COUNTIF('Metrics - Articles'!F122,"*GCO – HR (SuccessFactors)*")</f>
        <v>0</v>
      </c>
      <c r="N123">
        <f>COUNTIF('Metrics - Articles'!F122,"*GCO – Services Sales*")</f>
        <v>0</v>
      </c>
      <c r="O123">
        <f>COUNTIF('Metrics - Articles'!F122,"*GCO – Other*")</f>
        <v>0</v>
      </c>
      <c r="P123">
        <f>COUNTIF('Metrics - Articles'!F122,"*Corporate*")</f>
        <v>0</v>
      </c>
      <c r="R123" s="53">
        <f t="shared" si="3"/>
        <v>1</v>
      </c>
    </row>
    <row r="124" spans="2:18" x14ac:dyDescent="0.25">
      <c r="B124" s="48">
        <f>+'Metrics - Articles'!C123</f>
        <v>42110</v>
      </c>
      <c r="C124">
        <f>COUNTIF('Metrics - Articles'!F123,"*GPO (Partner, Ecosystem, Channels)*")</f>
        <v>0</v>
      </c>
      <c r="D124">
        <f>COUNTIF('Metrics - Articles'!F123,"*Office of the CEO*")</f>
        <v>0</v>
      </c>
      <c r="E124">
        <f>COUNTIF('Metrics - Articles'!F123,"*Services Delivery &amp; Support (go-lives and deployments) *")</f>
        <v>0</v>
      </c>
      <c r="F124">
        <f>COUNTIF('Metrics - Articles'!F123,"*Human Resources (SAP HR and employee stories)*")</f>
        <v>1</v>
      </c>
      <c r="G124">
        <f>COUNTIF('Metrics - Articles'!F123,"*P&amp;I (Research &amp; Development)*")</f>
        <v>0</v>
      </c>
      <c r="H124">
        <f>COUNTIF('Metrics - Articles'!F123,"*Business Network (Concur, Ariba, Fieldglass)*")</f>
        <v>0</v>
      </c>
      <c r="I124">
        <f>COUNTIF('Metrics - Articles'!F123,"*GCO – Regions*")</f>
        <v>0</v>
      </c>
      <c r="J124">
        <f>COUNTIF('Metrics - Articles'!F123,"*GCO – Platform Solutions*")</f>
        <v>0</v>
      </c>
      <c r="K124">
        <f>COUNTIF('Metrics - Articles'!F123,"*GCO – Industry Cloud *")</f>
        <v>0</v>
      </c>
      <c r="L124">
        <f>COUNTIF('Metrics - Articles'!F123,"*GCO – Customer Engagement &amp; Commerce (CRM &amp; hybris) *")</f>
        <v>0</v>
      </c>
      <c r="M124">
        <f>COUNTIF('Metrics - Articles'!F123,"*GCO – HR (SuccessFactors)*")</f>
        <v>0</v>
      </c>
      <c r="N124">
        <f>COUNTIF('Metrics - Articles'!F123,"*GCO – Services Sales*")</f>
        <v>0</v>
      </c>
      <c r="O124">
        <f>COUNTIF('Metrics - Articles'!F123,"*GCO – Other*")</f>
        <v>0</v>
      </c>
      <c r="P124">
        <f>COUNTIF('Metrics - Articles'!F123,"*Corporate*")</f>
        <v>0</v>
      </c>
      <c r="R124" s="53">
        <f t="shared" si="3"/>
        <v>1</v>
      </c>
    </row>
    <row r="125" spans="2:18" x14ac:dyDescent="0.25">
      <c r="B125" s="48">
        <f>+'Metrics - Articles'!C124</f>
        <v>42110</v>
      </c>
      <c r="C125">
        <f>COUNTIF('Metrics - Articles'!F124,"*GPO (Partner, Ecosystem, Channels)*")</f>
        <v>0</v>
      </c>
      <c r="D125">
        <f>COUNTIF('Metrics - Articles'!F124,"*Office of the CEO*")</f>
        <v>0</v>
      </c>
      <c r="E125">
        <f>COUNTIF('Metrics - Articles'!F124,"*Services Delivery &amp; Support (go-lives and deployments) *")</f>
        <v>0</v>
      </c>
      <c r="F125">
        <f>COUNTIF('Metrics - Articles'!F124,"*Human Resources (SAP HR and employee stories)*")</f>
        <v>0</v>
      </c>
      <c r="G125">
        <f>COUNTIF('Metrics - Articles'!F124,"*P&amp;I (Research &amp; Development)*")</f>
        <v>0</v>
      </c>
      <c r="H125">
        <f>COUNTIF('Metrics - Articles'!F124,"*Business Network (Concur, Ariba, Fieldglass)*")</f>
        <v>0</v>
      </c>
      <c r="I125">
        <f>COUNTIF('Metrics - Articles'!F124,"*GCO – Regions*")</f>
        <v>0</v>
      </c>
      <c r="J125">
        <f>COUNTIF('Metrics - Articles'!F124,"*GCO – Platform Solutions*")</f>
        <v>0</v>
      </c>
      <c r="K125">
        <f>COUNTIF('Metrics - Articles'!F124,"*GCO – Industry Cloud *")</f>
        <v>1</v>
      </c>
      <c r="L125">
        <f>COUNTIF('Metrics - Articles'!F124,"*GCO – Customer Engagement &amp; Commerce (CRM &amp; hybris) *")</f>
        <v>0</v>
      </c>
      <c r="M125">
        <f>COUNTIF('Metrics - Articles'!F124,"*GCO – HR (SuccessFactors)*")</f>
        <v>0</v>
      </c>
      <c r="N125">
        <f>COUNTIF('Metrics - Articles'!F124,"*GCO – Services Sales*")</f>
        <v>0</v>
      </c>
      <c r="O125">
        <f>COUNTIF('Metrics - Articles'!F124,"*GCO – Other*")</f>
        <v>0</v>
      </c>
      <c r="P125">
        <f>COUNTIF('Metrics - Articles'!F124,"*Corporate*")</f>
        <v>0</v>
      </c>
      <c r="R125" s="53">
        <f t="shared" si="3"/>
        <v>1</v>
      </c>
    </row>
    <row r="126" spans="2:18" x14ac:dyDescent="0.25">
      <c r="B126" s="48">
        <f>+'Metrics - Articles'!C125</f>
        <v>42110</v>
      </c>
      <c r="C126">
        <f>COUNTIF('Metrics - Articles'!F125,"*GPO (Partner, Ecosystem, Channels)*")</f>
        <v>0</v>
      </c>
      <c r="D126">
        <f>COUNTIF('Metrics - Articles'!F125,"*Office of the CEO*")</f>
        <v>1</v>
      </c>
      <c r="E126">
        <f>COUNTIF('Metrics - Articles'!F125,"*Services Delivery &amp; Support (go-lives and deployments) *")</f>
        <v>0</v>
      </c>
      <c r="F126">
        <f>COUNTIF('Metrics - Articles'!F125,"*Human Resources (SAP HR and employee stories)*")</f>
        <v>0</v>
      </c>
      <c r="G126">
        <f>COUNTIF('Metrics - Articles'!F125,"*P&amp;I (Research &amp; Development)*")</f>
        <v>0</v>
      </c>
      <c r="H126">
        <f>COUNTIF('Metrics - Articles'!F125,"*Business Network (Concur, Ariba, Fieldglass)*")</f>
        <v>0</v>
      </c>
      <c r="I126">
        <f>COUNTIF('Metrics - Articles'!F125,"*GCO – Regions*")</f>
        <v>0</v>
      </c>
      <c r="J126">
        <f>COUNTIF('Metrics - Articles'!F125,"*GCO – Platform Solutions*")</f>
        <v>0</v>
      </c>
      <c r="K126">
        <f>COUNTIF('Metrics - Articles'!F125,"*GCO – Industry Cloud *")</f>
        <v>0</v>
      </c>
      <c r="L126">
        <f>COUNTIF('Metrics - Articles'!F125,"*GCO – Customer Engagement &amp; Commerce (CRM &amp; hybris) *")</f>
        <v>0</v>
      </c>
      <c r="M126">
        <f>COUNTIF('Metrics - Articles'!F125,"*GCO – HR (SuccessFactors)*")</f>
        <v>0</v>
      </c>
      <c r="N126">
        <f>COUNTIF('Metrics - Articles'!F125,"*GCO – Services Sales*")</f>
        <v>0</v>
      </c>
      <c r="O126">
        <f>COUNTIF('Metrics - Articles'!F125,"*GCO – Other*")</f>
        <v>0</v>
      </c>
      <c r="P126">
        <f>COUNTIF('Metrics - Articles'!F125,"*Corporate*")</f>
        <v>0</v>
      </c>
      <c r="R126" s="53">
        <f t="shared" si="3"/>
        <v>1</v>
      </c>
    </row>
    <row r="127" spans="2:18" x14ac:dyDescent="0.25">
      <c r="B127" s="48">
        <f>+'Metrics - Articles'!C126</f>
        <v>42111</v>
      </c>
      <c r="C127">
        <f>COUNTIF('Metrics - Articles'!F126,"*GPO (Partner, Ecosystem, Channels)*")</f>
        <v>0</v>
      </c>
      <c r="D127">
        <f>COUNTIF('Metrics - Articles'!F126,"*Office of the CEO*")</f>
        <v>0</v>
      </c>
      <c r="E127">
        <f>COUNTIF('Metrics - Articles'!F126,"*Services Delivery &amp; Support (go-lives and deployments) *")</f>
        <v>0</v>
      </c>
      <c r="F127">
        <f>COUNTIF('Metrics - Articles'!F126,"*Human Resources (SAP HR and employee stories)*")</f>
        <v>0</v>
      </c>
      <c r="G127">
        <f>COUNTIF('Metrics - Articles'!F126,"*P&amp;I (Research &amp; Development)*")</f>
        <v>0</v>
      </c>
      <c r="H127">
        <f>COUNTIF('Metrics - Articles'!F126,"*Business Network (Concur, Ariba, Fieldglass)*")</f>
        <v>0</v>
      </c>
      <c r="I127">
        <f>COUNTIF('Metrics - Articles'!F126,"*GCO – Regions*")</f>
        <v>0</v>
      </c>
      <c r="J127">
        <f>COUNTIF('Metrics - Articles'!F126,"*GCO – Platform Solutions*")</f>
        <v>1</v>
      </c>
      <c r="K127">
        <f>COUNTIF('Metrics - Articles'!F126,"*GCO – Industry Cloud *")</f>
        <v>0</v>
      </c>
      <c r="L127">
        <f>COUNTIF('Metrics - Articles'!F126,"*GCO – Customer Engagement &amp; Commerce (CRM &amp; hybris) *")</f>
        <v>0</v>
      </c>
      <c r="M127">
        <f>COUNTIF('Metrics - Articles'!F126,"*GCO – HR (SuccessFactors)*")</f>
        <v>0</v>
      </c>
      <c r="N127">
        <f>COUNTIF('Metrics - Articles'!F126,"*GCO – Services Sales*")</f>
        <v>0</v>
      </c>
      <c r="O127">
        <f>COUNTIF('Metrics - Articles'!F126,"*GCO – Other*")</f>
        <v>0</v>
      </c>
      <c r="P127">
        <f>COUNTIF('Metrics - Articles'!F126,"*Corporate*")</f>
        <v>0</v>
      </c>
      <c r="R127" s="53">
        <f t="shared" si="3"/>
        <v>1</v>
      </c>
    </row>
    <row r="128" spans="2:18" x14ac:dyDescent="0.25">
      <c r="B128" s="48">
        <f>+'Metrics - Articles'!C127</f>
        <v>42114</v>
      </c>
      <c r="C128">
        <f>COUNTIF('Metrics - Articles'!F127,"*GPO (Partner, Ecosystem, Channels)*")</f>
        <v>0</v>
      </c>
      <c r="D128">
        <f>COUNTIF('Metrics - Articles'!F127,"*Office of the CEO*")</f>
        <v>0</v>
      </c>
      <c r="E128">
        <f>COUNTIF('Metrics - Articles'!F127,"*Services Delivery &amp; Support (go-lives and deployments) *")</f>
        <v>0</v>
      </c>
      <c r="F128">
        <f>COUNTIF('Metrics - Articles'!F127,"*Human Resources (SAP HR and employee stories)*")</f>
        <v>1</v>
      </c>
      <c r="G128">
        <f>COUNTIF('Metrics - Articles'!F127,"*P&amp;I (Research &amp; Development)*")</f>
        <v>0</v>
      </c>
      <c r="H128">
        <f>COUNTIF('Metrics - Articles'!F127,"*Business Network (Concur, Ariba, Fieldglass)*")</f>
        <v>0</v>
      </c>
      <c r="I128">
        <f>COUNTIF('Metrics - Articles'!F127,"*GCO – Regions*")</f>
        <v>0</v>
      </c>
      <c r="J128">
        <f>COUNTIF('Metrics - Articles'!F127,"*GCO – Platform Solutions*")</f>
        <v>0</v>
      </c>
      <c r="K128">
        <f>COUNTIF('Metrics - Articles'!F127,"*GCO – Industry Cloud *")</f>
        <v>0</v>
      </c>
      <c r="L128">
        <f>COUNTIF('Metrics - Articles'!F127,"*GCO – Customer Engagement &amp; Commerce (CRM &amp; hybris) *")</f>
        <v>0</v>
      </c>
      <c r="M128">
        <f>COUNTIF('Metrics - Articles'!F127,"*GCO – HR (SuccessFactors)*")</f>
        <v>0</v>
      </c>
      <c r="N128">
        <f>COUNTIF('Metrics - Articles'!F127,"*GCO – Services Sales*")</f>
        <v>0</v>
      </c>
      <c r="O128">
        <f>COUNTIF('Metrics - Articles'!F127,"*GCO – Other*")</f>
        <v>0</v>
      </c>
      <c r="P128">
        <f>COUNTIF('Metrics - Articles'!F127,"*Corporate*")</f>
        <v>0</v>
      </c>
      <c r="R128" s="53">
        <f t="shared" si="3"/>
        <v>1</v>
      </c>
    </row>
    <row r="129" spans="2:18" x14ac:dyDescent="0.25">
      <c r="B129" s="48">
        <f>+'Metrics - Articles'!C128</f>
        <v>42114</v>
      </c>
      <c r="C129">
        <f>COUNTIF('Metrics - Articles'!F128,"*GPO (Partner, Ecosystem, Channels)*")</f>
        <v>0</v>
      </c>
      <c r="D129">
        <f>COUNTIF('Metrics - Articles'!F128,"*Office of the CEO*")</f>
        <v>0</v>
      </c>
      <c r="E129">
        <f>COUNTIF('Metrics - Articles'!F128,"*Services Delivery &amp; Support (go-lives and deployments) *")</f>
        <v>0</v>
      </c>
      <c r="F129">
        <f>COUNTIF('Metrics - Articles'!F128,"*Human Resources (SAP HR and employee stories)*")</f>
        <v>0</v>
      </c>
      <c r="G129">
        <f>COUNTIF('Metrics - Articles'!F128,"*P&amp;I (Research &amp; Development)*")</f>
        <v>0</v>
      </c>
      <c r="H129">
        <f>COUNTIF('Metrics - Articles'!F128,"*Business Network (Concur, Ariba, Fieldglass)*")</f>
        <v>1</v>
      </c>
      <c r="I129">
        <f>COUNTIF('Metrics - Articles'!F128,"*GCO – Regions*")</f>
        <v>0</v>
      </c>
      <c r="J129">
        <f>COUNTIF('Metrics - Articles'!F128,"*GCO – Platform Solutions*")</f>
        <v>0</v>
      </c>
      <c r="K129">
        <f>COUNTIF('Metrics - Articles'!F128,"*GCO – Industry Cloud *")</f>
        <v>0</v>
      </c>
      <c r="L129">
        <f>COUNTIF('Metrics - Articles'!F128,"*GCO – Customer Engagement &amp; Commerce (CRM &amp; hybris) *")</f>
        <v>0</v>
      </c>
      <c r="M129">
        <f>COUNTIF('Metrics - Articles'!F128,"*GCO – HR (SuccessFactors)*")</f>
        <v>0</v>
      </c>
      <c r="N129">
        <f>COUNTIF('Metrics - Articles'!F128,"*GCO – Services Sales*")</f>
        <v>0</v>
      </c>
      <c r="O129">
        <f>COUNTIF('Metrics - Articles'!F128,"*GCO – Other*")</f>
        <v>0</v>
      </c>
      <c r="P129">
        <f>COUNTIF('Metrics - Articles'!F128,"*Corporate*")</f>
        <v>0</v>
      </c>
      <c r="R129" s="53">
        <f t="shared" si="3"/>
        <v>1</v>
      </c>
    </row>
    <row r="130" spans="2:18" x14ac:dyDescent="0.25">
      <c r="B130" s="48">
        <f>+'Metrics - Articles'!C129</f>
        <v>42114</v>
      </c>
      <c r="C130">
        <f>COUNTIF('Metrics - Articles'!F129,"*GPO (Partner, Ecosystem, Channels)*")</f>
        <v>0</v>
      </c>
      <c r="D130">
        <f>COUNTIF('Metrics - Articles'!F129,"*Office of the CEO*")</f>
        <v>0</v>
      </c>
      <c r="E130">
        <f>COUNTIF('Metrics - Articles'!F129,"*Services Delivery &amp; Support (go-lives and deployments) *")</f>
        <v>0</v>
      </c>
      <c r="F130">
        <f>COUNTIF('Metrics - Articles'!F129,"*Human Resources (SAP HR and employee stories)*")</f>
        <v>1</v>
      </c>
      <c r="G130">
        <f>COUNTIF('Metrics - Articles'!F129,"*P&amp;I (Research &amp; Development)*")</f>
        <v>0</v>
      </c>
      <c r="H130">
        <f>COUNTIF('Metrics - Articles'!F129,"*Business Network (Concur, Ariba, Fieldglass)*")</f>
        <v>0</v>
      </c>
      <c r="I130">
        <f>COUNTIF('Metrics - Articles'!F129,"*GCO – Regions*")</f>
        <v>0</v>
      </c>
      <c r="J130">
        <f>COUNTIF('Metrics - Articles'!F129,"*GCO – Platform Solutions*")</f>
        <v>0</v>
      </c>
      <c r="K130">
        <f>COUNTIF('Metrics - Articles'!F129,"*GCO – Industry Cloud *")</f>
        <v>0</v>
      </c>
      <c r="L130">
        <f>COUNTIF('Metrics - Articles'!F129,"*GCO – Customer Engagement &amp; Commerce (CRM &amp; hybris) *")</f>
        <v>0</v>
      </c>
      <c r="M130">
        <f>COUNTIF('Metrics - Articles'!F129,"*GCO – HR (SuccessFactors)*")</f>
        <v>0</v>
      </c>
      <c r="N130">
        <f>COUNTIF('Metrics - Articles'!F129,"*GCO – Services Sales*")</f>
        <v>0</v>
      </c>
      <c r="O130">
        <f>COUNTIF('Metrics - Articles'!F129,"*GCO – Other*")</f>
        <v>0</v>
      </c>
      <c r="P130">
        <f>COUNTIF('Metrics - Articles'!F129,"*Corporate*")</f>
        <v>0</v>
      </c>
      <c r="R130" s="53">
        <f t="shared" si="3"/>
        <v>1</v>
      </c>
    </row>
    <row r="131" spans="2:18" x14ac:dyDescent="0.25">
      <c r="B131" s="48">
        <f>+'Metrics - Articles'!C130</f>
        <v>42115</v>
      </c>
      <c r="C131">
        <f>COUNTIF('Metrics - Articles'!F130,"*GPO (Partner, Ecosystem, Channels)*")</f>
        <v>0</v>
      </c>
      <c r="D131">
        <f>COUNTIF('Metrics - Articles'!F130,"*Office of the CEO*")</f>
        <v>0</v>
      </c>
      <c r="E131">
        <f>COUNTIF('Metrics - Articles'!F130,"*Services Delivery &amp; Support (go-lives and deployments) *")</f>
        <v>0</v>
      </c>
      <c r="F131">
        <f>COUNTIF('Metrics - Articles'!F130,"*Human Resources (SAP HR and employee stories)*")</f>
        <v>0</v>
      </c>
      <c r="G131">
        <f>COUNTIF('Metrics - Articles'!F130,"*P&amp;I (Research &amp; Development)*")</f>
        <v>0</v>
      </c>
      <c r="H131">
        <f>COUNTIF('Metrics - Articles'!F130,"*Business Network (Concur, Ariba, Fieldglass)*")</f>
        <v>0</v>
      </c>
      <c r="I131">
        <f>COUNTIF('Metrics - Articles'!F130,"*GCO – Regions*")</f>
        <v>0</v>
      </c>
      <c r="J131">
        <f>COUNTIF('Metrics - Articles'!F130,"*GCO – Platform Solutions*")</f>
        <v>0</v>
      </c>
      <c r="K131">
        <f>COUNTIF('Metrics - Articles'!F130,"*GCO – Industry Cloud *")</f>
        <v>0</v>
      </c>
      <c r="L131">
        <f>COUNTIF('Metrics - Articles'!F130,"*GCO – Customer Engagement &amp; Commerce (CRM &amp; hybris) *")</f>
        <v>0</v>
      </c>
      <c r="M131">
        <f>COUNTIF('Metrics - Articles'!F130,"*GCO – HR (SuccessFactors)*")</f>
        <v>0</v>
      </c>
      <c r="N131">
        <f>COUNTIF('Metrics - Articles'!F130,"*GCO – Services Sales*")</f>
        <v>0</v>
      </c>
      <c r="O131">
        <f>COUNTIF('Metrics - Articles'!F130,"*GCO – Other*")</f>
        <v>0</v>
      </c>
      <c r="P131">
        <f>COUNTIF('Metrics - Articles'!F130,"*Corporate*")</f>
        <v>1</v>
      </c>
      <c r="R131" s="53">
        <f t="shared" si="3"/>
        <v>1</v>
      </c>
    </row>
    <row r="132" spans="2:18" x14ac:dyDescent="0.25">
      <c r="B132" s="48">
        <f>+'Metrics - Articles'!C131</f>
        <v>42116</v>
      </c>
      <c r="C132">
        <f>COUNTIF('Metrics - Articles'!F131,"*GPO (Partner, Ecosystem, Channels)*")</f>
        <v>0</v>
      </c>
      <c r="D132">
        <f>COUNTIF('Metrics - Articles'!F131,"*Office of the CEO*")</f>
        <v>0</v>
      </c>
      <c r="E132">
        <f>COUNTIF('Metrics - Articles'!F131,"*Services Delivery &amp; Support (go-lives and deployments) *")</f>
        <v>0</v>
      </c>
      <c r="F132">
        <f>COUNTIF('Metrics - Articles'!F131,"*Human Resources (SAP HR and employee stories)*")</f>
        <v>1</v>
      </c>
      <c r="G132">
        <f>COUNTIF('Metrics - Articles'!F131,"*P&amp;I (Research &amp; Development)*")</f>
        <v>0</v>
      </c>
      <c r="H132">
        <f>COUNTIF('Metrics - Articles'!F131,"*Business Network (Concur, Ariba, Fieldglass)*")</f>
        <v>0</v>
      </c>
      <c r="I132">
        <f>COUNTIF('Metrics - Articles'!F131,"*GCO – Regions*")</f>
        <v>0</v>
      </c>
      <c r="J132">
        <f>COUNTIF('Metrics - Articles'!F131,"*GCO – Platform Solutions*")</f>
        <v>0</v>
      </c>
      <c r="K132">
        <f>COUNTIF('Metrics - Articles'!F131,"*GCO – Industry Cloud *")</f>
        <v>0</v>
      </c>
      <c r="L132">
        <f>COUNTIF('Metrics - Articles'!F131,"*GCO – Customer Engagement &amp; Commerce (CRM &amp; hybris) *")</f>
        <v>0</v>
      </c>
      <c r="M132">
        <f>COUNTIF('Metrics - Articles'!F131,"*GCO – HR (SuccessFactors)*")</f>
        <v>0</v>
      </c>
      <c r="N132">
        <f>COUNTIF('Metrics - Articles'!F131,"*GCO – Services Sales*")</f>
        <v>0</v>
      </c>
      <c r="O132">
        <f>COUNTIF('Metrics - Articles'!F131,"*GCO – Other*")</f>
        <v>0</v>
      </c>
      <c r="P132">
        <f>COUNTIF('Metrics - Articles'!F131,"*Corporate*")</f>
        <v>0</v>
      </c>
      <c r="R132" s="53">
        <f t="shared" si="3"/>
        <v>1</v>
      </c>
    </row>
    <row r="133" spans="2:18" x14ac:dyDescent="0.25">
      <c r="B133" s="48">
        <f>+'Metrics - Articles'!C132</f>
        <v>42116</v>
      </c>
      <c r="C133">
        <f>COUNTIF('Metrics - Articles'!F132,"*GPO (Partner, Ecosystem, Channels)*")</f>
        <v>0</v>
      </c>
      <c r="D133">
        <f>COUNTIF('Metrics - Articles'!F132,"*Office of the CEO*")</f>
        <v>0</v>
      </c>
      <c r="E133">
        <f>COUNTIF('Metrics - Articles'!F132,"*Services Delivery &amp; Support (go-lives and deployments) *")</f>
        <v>0</v>
      </c>
      <c r="F133">
        <f>COUNTIF('Metrics - Articles'!F132,"*Human Resources (SAP HR and employee stories)*")</f>
        <v>0</v>
      </c>
      <c r="G133">
        <f>COUNTIF('Metrics - Articles'!F132,"*P&amp;I (Research &amp; Development)*")</f>
        <v>0</v>
      </c>
      <c r="H133">
        <f>COUNTIF('Metrics - Articles'!F132,"*Business Network (Concur, Ariba, Fieldglass)*")</f>
        <v>0</v>
      </c>
      <c r="I133">
        <f>COUNTIF('Metrics - Articles'!F132,"*GCO – Regions*")</f>
        <v>0</v>
      </c>
      <c r="J133">
        <f>COUNTIF('Metrics - Articles'!F132,"*GCO – Platform Solutions*")</f>
        <v>0</v>
      </c>
      <c r="K133">
        <f>COUNTIF('Metrics - Articles'!F132,"*GCO – Industry Cloud *")</f>
        <v>0</v>
      </c>
      <c r="L133">
        <f>COUNTIF('Metrics - Articles'!F132,"*GCO – Customer Engagement &amp; Commerce (CRM &amp; hybris) *")</f>
        <v>0</v>
      </c>
      <c r="M133">
        <f>COUNTIF('Metrics - Articles'!F132,"*GCO – HR (SuccessFactors)*")</f>
        <v>0</v>
      </c>
      <c r="N133">
        <f>COUNTIF('Metrics - Articles'!F132,"*GCO – Services Sales*")</f>
        <v>0</v>
      </c>
      <c r="O133">
        <f>COUNTIF('Metrics - Articles'!F132,"*GCO – Other*")</f>
        <v>0</v>
      </c>
      <c r="P133">
        <f>COUNTIF('Metrics - Articles'!F132,"*Corporate*")</f>
        <v>1</v>
      </c>
      <c r="R133" s="53">
        <f t="shared" si="3"/>
        <v>1</v>
      </c>
    </row>
    <row r="134" spans="2:18" x14ac:dyDescent="0.25">
      <c r="B134" s="48">
        <f>+'Metrics - Articles'!C133</f>
        <v>42116</v>
      </c>
      <c r="C134">
        <f>COUNTIF('Metrics - Articles'!F133,"*GPO (Partner, Ecosystem, Channels)*")</f>
        <v>0</v>
      </c>
      <c r="D134">
        <f>COUNTIF('Metrics - Articles'!F133,"*Office of the CEO*")</f>
        <v>0</v>
      </c>
      <c r="E134">
        <f>COUNTIF('Metrics - Articles'!F133,"*Services Delivery &amp; Support (go-lives and deployments) *")</f>
        <v>0</v>
      </c>
      <c r="F134">
        <f>COUNTIF('Metrics - Articles'!F133,"*Human Resources (SAP HR and employee stories)*")</f>
        <v>0</v>
      </c>
      <c r="G134">
        <f>COUNTIF('Metrics - Articles'!F133,"*P&amp;I (Research &amp; Development)*")</f>
        <v>0</v>
      </c>
      <c r="H134">
        <f>COUNTIF('Metrics - Articles'!F133,"*Business Network (Concur, Ariba, Fieldglass)*")</f>
        <v>0</v>
      </c>
      <c r="I134">
        <f>COUNTIF('Metrics - Articles'!F133,"*GCO – Regions*")</f>
        <v>0</v>
      </c>
      <c r="J134">
        <f>COUNTIF('Metrics - Articles'!F133,"*GCO – Platform Solutions*")</f>
        <v>0</v>
      </c>
      <c r="K134">
        <f>COUNTIF('Metrics - Articles'!F133,"*GCO – Industry Cloud *")</f>
        <v>0</v>
      </c>
      <c r="L134">
        <f>COUNTIF('Metrics - Articles'!F133,"*GCO – Customer Engagement &amp; Commerce (CRM &amp; hybris) *")</f>
        <v>0</v>
      </c>
      <c r="M134">
        <f>COUNTIF('Metrics - Articles'!F133,"*GCO – HR (SuccessFactors)*")</f>
        <v>0</v>
      </c>
      <c r="N134">
        <f>COUNTIF('Metrics - Articles'!F133,"*GCO – Services Sales*")</f>
        <v>0</v>
      </c>
      <c r="O134">
        <f>COUNTIF('Metrics - Articles'!F133,"*GCO – Other*")</f>
        <v>0</v>
      </c>
      <c r="P134">
        <f>COUNTIF('Metrics - Articles'!F133,"*Corporate*")</f>
        <v>1</v>
      </c>
      <c r="R134" s="53">
        <f t="shared" si="3"/>
        <v>1</v>
      </c>
    </row>
    <row r="135" spans="2:18" x14ac:dyDescent="0.25">
      <c r="B135" s="48">
        <f>+'Metrics - Articles'!C134</f>
        <v>42116</v>
      </c>
      <c r="C135">
        <f>COUNTIF('Metrics - Articles'!F134,"*GPO (Partner, Ecosystem, Channels)*")</f>
        <v>0</v>
      </c>
      <c r="D135">
        <f>COUNTIF('Metrics - Articles'!F134,"*Office of the CEO*")</f>
        <v>0</v>
      </c>
      <c r="E135">
        <f>COUNTIF('Metrics - Articles'!F134,"*Services Delivery &amp; Support (go-lives and deployments) *")</f>
        <v>0</v>
      </c>
      <c r="F135">
        <f>COUNTIF('Metrics - Articles'!F134,"*Human Resources (SAP HR and employee stories)*")</f>
        <v>0</v>
      </c>
      <c r="G135">
        <f>COUNTIF('Metrics - Articles'!F134,"*P&amp;I (Research &amp; Development)*")</f>
        <v>0</v>
      </c>
      <c r="H135">
        <f>COUNTIF('Metrics - Articles'!F134,"*Business Network (Concur, Ariba, Fieldglass)*")</f>
        <v>1</v>
      </c>
      <c r="I135">
        <f>COUNTIF('Metrics - Articles'!F134,"*GCO – Regions*")</f>
        <v>0</v>
      </c>
      <c r="J135">
        <f>COUNTIF('Metrics - Articles'!F134,"*GCO – Platform Solutions*")</f>
        <v>0</v>
      </c>
      <c r="K135">
        <f>COUNTIF('Metrics - Articles'!F134,"*GCO – Industry Cloud *")</f>
        <v>0</v>
      </c>
      <c r="L135">
        <f>COUNTIF('Metrics - Articles'!F134,"*GCO – Customer Engagement &amp; Commerce (CRM &amp; hybris) *")</f>
        <v>0</v>
      </c>
      <c r="M135">
        <f>COUNTIF('Metrics - Articles'!F134,"*GCO – HR (SuccessFactors)*")</f>
        <v>0</v>
      </c>
      <c r="N135">
        <f>COUNTIF('Metrics - Articles'!F134,"*GCO – Services Sales*")</f>
        <v>0</v>
      </c>
      <c r="O135">
        <f>COUNTIF('Metrics - Articles'!F134,"*GCO – Other*")</f>
        <v>0</v>
      </c>
      <c r="P135">
        <f>COUNTIF('Metrics - Articles'!F134,"*Corporate*")</f>
        <v>0</v>
      </c>
      <c r="R135" s="53">
        <f t="shared" si="3"/>
        <v>1</v>
      </c>
    </row>
    <row r="136" spans="2:18" x14ac:dyDescent="0.25">
      <c r="B136" s="48">
        <f>+'Metrics - Articles'!C135</f>
        <v>42117</v>
      </c>
      <c r="C136">
        <f>COUNTIF('Metrics - Articles'!F135,"*GPO (Partner, Ecosystem, Channels)*")</f>
        <v>0</v>
      </c>
      <c r="D136">
        <f>COUNTIF('Metrics - Articles'!F135,"*Office of the CEO*")</f>
        <v>0</v>
      </c>
      <c r="E136">
        <f>COUNTIF('Metrics - Articles'!F135,"*Services Delivery &amp; Support (go-lives and deployments) *")</f>
        <v>0</v>
      </c>
      <c r="F136">
        <f>COUNTIF('Metrics - Articles'!F135,"*Human Resources (SAP HR and employee stories)*")</f>
        <v>1</v>
      </c>
      <c r="G136">
        <f>COUNTIF('Metrics - Articles'!F135,"*P&amp;I (Research &amp; Development)*")</f>
        <v>0</v>
      </c>
      <c r="H136">
        <f>COUNTIF('Metrics - Articles'!F135,"*Business Network (Concur, Ariba, Fieldglass)*")</f>
        <v>0</v>
      </c>
      <c r="I136">
        <f>COUNTIF('Metrics - Articles'!F135,"*GCO – Regions*")</f>
        <v>0</v>
      </c>
      <c r="J136">
        <f>COUNTIF('Metrics - Articles'!F135,"*GCO – Platform Solutions*")</f>
        <v>0</v>
      </c>
      <c r="K136">
        <f>COUNTIF('Metrics - Articles'!F135,"*GCO – Industry Cloud *")</f>
        <v>0</v>
      </c>
      <c r="L136">
        <f>COUNTIF('Metrics - Articles'!F135,"*GCO – Customer Engagement &amp; Commerce (CRM &amp; hybris) *")</f>
        <v>0</v>
      </c>
      <c r="M136">
        <f>COUNTIF('Metrics - Articles'!F135,"*GCO – HR (SuccessFactors)*")</f>
        <v>0</v>
      </c>
      <c r="N136">
        <f>COUNTIF('Metrics - Articles'!F135,"*GCO – Services Sales*")</f>
        <v>0</v>
      </c>
      <c r="O136">
        <f>COUNTIF('Metrics - Articles'!F135,"*GCO – Other*")</f>
        <v>0</v>
      </c>
      <c r="P136">
        <f>COUNTIF('Metrics - Articles'!F135,"*Corporate*")</f>
        <v>0</v>
      </c>
      <c r="R136" s="53">
        <f t="shared" si="3"/>
        <v>1</v>
      </c>
    </row>
    <row r="137" spans="2:18" x14ac:dyDescent="0.25">
      <c r="B137" s="48">
        <f>+'Metrics - Articles'!C136</f>
        <v>42118</v>
      </c>
      <c r="C137">
        <f>COUNTIF('Metrics - Articles'!F136,"*GPO (Partner, Ecosystem, Channels)*")</f>
        <v>0</v>
      </c>
      <c r="D137">
        <f>COUNTIF('Metrics - Articles'!F136,"*Office of the CEO*")</f>
        <v>0</v>
      </c>
      <c r="E137">
        <f>COUNTIF('Metrics - Articles'!F136,"*Services Delivery &amp; Support (go-lives and deployments) *")</f>
        <v>0</v>
      </c>
      <c r="F137">
        <f>COUNTIF('Metrics - Articles'!F136,"*Human Resources (SAP HR and employee stories)*")</f>
        <v>0</v>
      </c>
      <c r="G137">
        <f>COUNTIF('Metrics - Articles'!F136,"*P&amp;I (Research &amp; Development)*")</f>
        <v>0</v>
      </c>
      <c r="H137">
        <f>COUNTIF('Metrics - Articles'!F136,"*Business Network (Concur, Ariba, Fieldglass)*")</f>
        <v>0</v>
      </c>
      <c r="I137">
        <f>COUNTIF('Metrics - Articles'!F136,"*GCO – Regions*")</f>
        <v>0</v>
      </c>
      <c r="J137">
        <f>COUNTIF('Metrics - Articles'!F136,"*GCO – Platform Solutions*")</f>
        <v>0</v>
      </c>
      <c r="K137">
        <f>COUNTIF('Metrics - Articles'!F136,"*GCO – Industry Cloud *")</f>
        <v>0</v>
      </c>
      <c r="L137">
        <f>COUNTIF('Metrics - Articles'!F136,"*GCO – Customer Engagement &amp; Commerce (CRM &amp; hybris) *")</f>
        <v>0</v>
      </c>
      <c r="M137">
        <f>COUNTIF('Metrics - Articles'!F136,"*GCO – HR (SuccessFactors)*")</f>
        <v>0</v>
      </c>
      <c r="N137">
        <f>COUNTIF('Metrics - Articles'!F136,"*GCO – Services Sales*")</f>
        <v>0</v>
      </c>
      <c r="O137">
        <f>COUNTIF('Metrics - Articles'!F136,"*GCO – Other*")</f>
        <v>0</v>
      </c>
      <c r="P137">
        <f>COUNTIF('Metrics - Articles'!F136,"*Corporate*")</f>
        <v>1</v>
      </c>
      <c r="R137" s="53">
        <f t="shared" si="3"/>
        <v>1</v>
      </c>
    </row>
    <row r="138" spans="2:18" x14ac:dyDescent="0.25">
      <c r="B138" s="48">
        <f>+'Metrics - Articles'!C137</f>
        <v>42118</v>
      </c>
      <c r="C138">
        <f>COUNTIF('Metrics - Articles'!F137,"*GPO (Partner, Ecosystem, Channels)*")</f>
        <v>0</v>
      </c>
      <c r="D138">
        <f>COUNTIF('Metrics - Articles'!F137,"*Office of the CEO*")</f>
        <v>0</v>
      </c>
      <c r="E138">
        <f>COUNTIF('Metrics - Articles'!F137,"*Services Delivery &amp; Support (go-lives and deployments) *")</f>
        <v>0</v>
      </c>
      <c r="F138">
        <f>COUNTIF('Metrics - Articles'!F137,"*Human Resources (SAP HR and employee stories)*")</f>
        <v>0</v>
      </c>
      <c r="G138">
        <f>COUNTIF('Metrics - Articles'!F137,"*P&amp;I (Research &amp; Development)*")</f>
        <v>0</v>
      </c>
      <c r="H138">
        <f>COUNTIF('Metrics - Articles'!F137,"*Business Network (Concur, Ariba, Fieldglass)*")</f>
        <v>0</v>
      </c>
      <c r="I138">
        <f>COUNTIF('Metrics - Articles'!F137,"*GCO – Regions*")</f>
        <v>0</v>
      </c>
      <c r="J138">
        <f>COUNTIF('Metrics - Articles'!F137,"*GCO – Platform Solutions*")</f>
        <v>0</v>
      </c>
      <c r="K138">
        <f>COUNTIF('Metrics - Articles'!F137,"*GCO – Industry Cloud *")</f>
        <v>1</v>
      </c>
      <c r="L138">
        <f>COUNTIF('Metrics - Articles'!F137,"*GCO – Customer Engagement &amp; Commerce (CRM &amp; hybris) *")</f>
        <v>0</v>
      </c>
      <c r="M138">
        <f>COUNTIF('Metrics - Articles'!F137,"*GCO – HR (SuccessFactors)*")</f>
        <v>0</v>
      </c>
      <c r="N138">
        <f>COUNTIF('Metrics - Articles'!F137,"*GCO – Services Sales*")</f>
        <v>0</v>
      </c>
      <c r="O138">
        <f>COUNTIF('Metrics - Articles'!F137,"*GCO – Other*")</f>
        <v>0</v>
      </c>
      <c r="P138">
        <f>COUNTIF('Metrics - Articles'!F137,"*Corporate*")</f>
        <v>0</v>
      </c>
      <c r="R138" s="53">
        <f t="shared" ref="R138:R201" si="4">SUM(C138:Q138)</f>
        <v>1</v>
      </c>
    </row>
    <row r="139" spans="2:18" x14ac:dyDescent="0.25">
      <c r="B139" s="48">
        <f>+'Metrics - Articles'!C138</f>
        <v>42121</v>
      </c>
      <c r="C139">
        <f>COUNTIF('Metrics - Articles'!F138,"*GPO (Partner, Ecosystem, Channels)*")</f>
        <v>0</v>
      </c>
      <c r="D139">
        <f>COUNTIF('Metrics - Articles'!F138,"*Office of the CEO*")</f>
        <v>0</v>
      </c>
      <c r="E139">
        <f>COUNTIF('Metrics - Articles'!F138,"*Services Delivery &amp; Support (go-lives and deployments) *")</f>
        <v>0</v>
      </c>
      <c r="F139">
        <f>COUNTIF('Metrics - Articles'!F138,"*Human Resources (SAP HR and employee stories)*")</f>
        <v>0</v>
      </c>
      <c r="G139">
        <f>COUNTIF('Metrics - Articles'!F138,"*P&amp;I (Research &amp; Development)*")</f>
        <v>0</v>
      </c>
      <c r="H139">
        <f>COUNTIF('Metrics - Articles'!F138,"*Business Network (Concur, Ariba, Fieldglass)*")</f>
        <v>0</v>
      </c>
      <c r="I139">
        <f>COUNTIF('Metrics - Articles'!F138,"*GCO – Regions*")</f>
        <v>0</v>
      </c>
      <c r="J139">
        <f>COUNTIF('Metrics - Articles'!F138,"*GCO – Platform Solutions*")</f>
        <v>0</v>
      </c>
      <c r="K139">
        <f>COUNTIF('Metrics - Articles'!F138,"*GCO – Industry Cloud *")</f>
        <v>0</v>
      </c>
      <c r="L139">
        <f>COUNTIF('Metrics - Articles'!F138,"*GCO – Customer Engagement &amp; Commerce (CRM &amp; hybris) *")</f>
        <v>0</v>
      </c>
      <c r="M139">
        <f>COUNTIF('Metrics - Articles'!F138,"*GCO – HR (SuccessFactors)*")</f>
        <v>0</v>
      </c>
      <c r="N139">
        <f>COUNTIF('Metrics - Articles'!F138,"*GCO – Services Sales*")</f>
        <v>0</v>
      </c>
      <c r="O139">
        <f>COUNTIF('Metrics - Articles'!F138,"*GCO – Other*")</f>
        <v>0</v>
      </c>
      <c r="P139">
        <f>COUNTIF('Metrics - Articles'!F138,"*Corporate*")</f>
        <v>1</v>
      </c>
      <c r="R139" s="53">
        <f t="shared" si="4"/>
        <v>1</v>
      </c>
    </row>
    <row r="140" spans="2:18" x14ac:dyDescent="0.25">
      <c r="B140" s="48">
        <f>+'Metrics - Articles'!C139</f>
        <v>42121</v>
      </c>
      <c r="C140">
        <f>COUNTIF('Metrics - Articles'!F139,"*GPO (Partner, Ecosystem, Channels)*")</f>
        <v>0</v>
      </c>
      <c r="D140">
        <f>COUNTIF('Metrics - Articles'!F139,"*Office of the CEO*")</f>
        <v>0</v>
      </c>
      <c r="E140">
        <f>COUNTIF('Metrics - Articles'!F139,"*Services Delivery &amp; Support (go-lives and deployments) *")</f>
        <v>0</v>
      </c>
      <c r="F140">
        <f>COUNTIF('Metrics - Articles'!F139,"*Human Resources (SAP HR and employee stories)*")</f>
        <v>0</v>
      </c>
      <c r="G140">
        <f>COUNTIF('Metrics - Articles'!F139,"*P&amp;I (Research &amp; Development)*")</f>
        <v>0</v>
      </c>
      <c r="H140">
        <f>COUNTIF('Metrics - Articles'!F139,"*Business Network (Concur, Ariba, Fieldglass)*")</f>
        <v>0</v>
      </c>
      <c r="I140">
        <f>COUNTIF('Metrics - Articles'!F139,"*GCO – Regions*")</f>
        <v>0</v>
      </c>
      <c r="J140">
        <f>COUNTIF('Metrics - Articles'!F139,"*GCO – Platform Solutions*")</f>
        <v>0</v>
      </c>
      <c r="K140">
        <f>COUNTIF('Metrics - Articles'!F139,"*GCO – Industry Cloud *")</f>
        <v>1</v>
      </c>
      <c r="L140">
        <f>COUNTIF('Metrics - Articles'!F139,"*GCO – Customer Engagement &amp; Commerce (CRM &amp; hybris) *")</f>
        <v>0</v>
      </c>
      <c r="M140">
        <f>COUNTIF('Metrics - Articles'!F139,"*GCO – HR (SuccessFactors)*")</f>
        <v>0</v>
      </c>
      <c r="N140">
        <f>COUNTIF('Metrics - Articles'!F139,"*GCO – Services Sales*")</f>
        <v>0</v>
      </c>
      <c r="O140">
        <f>COUNTIF('Metrics - Articles'!F139,"*GCO – Other*")</f>
        <v>0</v>
      </c>
      <c r="P140">
        <f>COUNTIF('Metrics - Articles'!F139,"*Corporate*")</f>
        <v>0</v>
      </c>
      <c r="R140" s="53">
        <f t="shared" si="4"/>
        <v>1</v>
      </c>
    </row>
    <row r="141" spans="2:18" x14ac:dyDescent="0.25">
      <c r="B141" s="48">
        <f>+'Metrics - Articles'!C140</f>
        <v>42122</v>
      </c>
      <c r="C141">
        <f>COUNTIF('Metrics - Articles'!F140,"*GPO (Partner, Ecosystem, Channels)*")</f>
        <v>0</v>
      </c>
      <c r="D141">
        <f>COUNTIF('Metrics - Articles'!F140,"*Office of the CEO*")</f>
        <v>1</v>
      </c>
      <c r="E141">
        <f>COUNTIF('Metrics - Articles'!F140,"*Services Delivery &amp; Support (go-lives and deployments) *")</f>
        <v>0</v>
      </c>
      <c r="F141">
        <f>COUNTIF('Metrics - Articles'!F140,"*Human Resources (SAP HR and employee stories)*")</f>
        <v>0</v>
      </c>
      <c r="G141">
        <f>COUNTIF('Metrics - Articles'!F140,"*P&amp;I (Research &amp; Development)*")</f>
        <v>0</v>
      </c>
      <c r="H141">
        <f>COUNTIF('Metrics - Articles'!F140,"*Business Network (Concur, Ariba, Fieldglass)*")</f>
        <v>0</v>
      </c>
      <c r="I141">
        <f>COUNTIF('Metrics - Articles'!F140,"*GCO – Regions*")</f>
        <v>0</v>
      </c>
      <c r="J141">
        <f>COUNTIF('Metrics - Articles'!F140,"*GCO – Platform Solutions*")</f>
        <v>0</v>
      </c>
      <c r="K141">
        <f>COUNTIF('Metrics - Articles'!F140,"*GCO – Industry Cloud *")</f>
        <v>0</v>
      </c>
      <c r="L141">
        <f>COUNTIF('Metrics - Articles'!F140,"*GCO – Customer Engagement &amp; Commerce (CRM &amp; hybris) *")</f>
        <v>0</v>
      </c>
      <c r="M141">
        <f>COUNTIF('Metrics - Articles'!F140,"*GCO – HR (SuccessFactors)*")</f>
        <v>0</v>
      </c>
      <c r="N141">
        <f>COUNTIF('Metrics - Articles'!F140,"*GCO – Services Sales*")</f>
        <v>0</v>
      </c>
      <c r="O141">
        <f>COUNTIF('Metrics - Articles'!F140,"*GCO – Other*")</f>
        <v>0</v>
      </c>
      <c r="P141">
        <f>COUNTIF('Metrics - Articles'!F140,"*Corporate*")</f>
        <v>0</v>
      </c>
      <c r="R141" s="53">
        <f t="shared" si="4"/>
        <v>1</v>
      </c>
    </row>
    <row r="142" spans="2:18" x14ac:dyDescent="0.25">
      <c r="B142" s="48">
        <f>+'Metrics - Articles'!C141</f>
        <v>42122</v>
      </c>
      <c r="C142">
        <f>COUNTIF('Metrics - Articles'!F141,"*GPO (Partner, Ecosystem, Channels)*")</f>
        <v>0</v>
      </c>
      <c r="D142">
        <f>COUNTIF('Metrics - Articles'!F141,"*Office of the CEO*")</f>
        <v>0</v>
      </c>
      <c r="E142">
        <f>COUNTIF('Metrics - Articles'!F141,"*Services Delivery &amp; Support (go-lives and deployments) *")</f>
        <v>0</v>
      </c>
      <c r="F142">
        <f>COUNTIF('Metrics - Articles'!F141,"*Human Resources (SAP HR and employee stories)*")</f>
        <v>0</v>
      </c>
      <c r="G142">
        <f>COUNTIF('Metrics - Articles'!F141,"*P&amp;I (Research &amp; Development)*")</f>
        <v>0</v>
      </c>
      <c r="H142">
        <f>COUNTIF('Metrics - Articles'!F141,"*Business Network (Concur, Ariba, Fieldglass)*")</f>
        <v>0</v>
      </c>
      <c r="I142">
        <f>COUNTIF('Metrics - Articles'!F141,"*GCO – Regions*")</f>
        <v>0</v>
      </c>
      <c r="J142">
        <f>COUNTIF('Metrics - Articles'!F141,"*GCO – Platform Solutions*")</f>
        <v>0</v>
      </c>
      <c r="K142">
        <f>COUNTIF('Metrics - Articles'!F141,"*GCO – Industry Cloud *")</f>
        <v>0</v>
      </c>
      <c r="L142">
        <f>COUNTIF('Metrics - Articles'!F141,"*GCO – Customer Engagement &amp; Commerce (CRM &amp; hybris) *")</f>
        <v>0</v>
      </c>
      <c r="M142">
        <f>COUNTIF('Metrics - Articles'!F141,"*GCO – HR (SuccessFactors)*")</f>
        <v>0</v>
      </c>
      <c r="N142">
        <f>COUNTIF('Metrics - Articles'!F141,"*GCO – Services Sales*")</f>
        <v>0</v>
      </c>
      <c r="O142">
        <f>COUNTIF('Metrics - Articles'!F141,"*GCO – Other*")</f>
        <v>1</v>
      </c>
      <c r="P142">
        <f>COUNTIF('Metrics - Articles'!F141,"*Corporate*")</f>
        <v>0</v>
      </c>
      <c r="R142" s="53">
        <f t="shared" si="4"/>
        <v>1</v>
      </c>
    </row>
    <row r="143" spans="2:18" x14ac:dyDescent="0.25">
      <c r="B143" s="48">
        <f>+'Metrics - Articles'!C142</f>
        <v>42122</v>
      </c>
      <c r="C143">
        <f>COUNTIF('Metrics - Articles'!F142,"*GPO (Partner, Ecosystem, Channels)*")</f>
        <v>0</v>
      </c>
      <c r="D143">
        <f>COUNTIF('Metrics - Articles'!F142,"*Office of the CEO*")</f>
        <v>0</v>
      </c>
      <c r="E143">
        <f>COUNTIF('Metrics - Articles'!F142,"*Services Delivery &amp; Support (go-lives and deployments) *")</f>
        <v>0</v>
      </c>
      <c r="F143">
        <f>COUNTIF('Metrics - Articles'!F142,"*Human Resources (SAP HR and employee stories)*")</f>
        <v>0</v>
      </c>
      <c r="G143">
        <f>COUNTIF('Metrics - Articles'!F142,"*P&amp;I (Research &amp; Development)*")</f>
        <v>0</v>
      </c>
      <c r="H143">
        <f>COUNTIF('Metrics - Articles'!F142,"*Business Network (Concur, Ariba, Fieldglass)*")</f>
        <v>0</v>
      </c>
      <c r="I143">
        <f>COUNTIF('Metrics - Articles'!F142,"*GCO – Regions*")</f>
        <v>1</v>
      </c>
      <c r="J143">
        <f>COUNTIF('Metrics - Articles'!F142,"*GCO – Platform Solutions*")</f>
        <v>0</v>
      </c>
      <c r="K143">
        <f>COUNTIF('Metrics - Articles'!F142,"*GCO – Industry Cloud *")</f>
        <v>0</v>
      </c>
      <c r="L143">
        <f>COUNTIF('Metrics - Articles'!F142,"*GCO – Customer Engagement &amp; Commerce (CRM &amp; hybris) *")</f>
        <v>0</v>
      </c>
      <c r="M143">
        <f>COUNTIF('Metrics - Articles'!F142,"*GCO – HR (SuccessFactors)*")</f>
        <v>0</v>
      </c>
      <c r="N143">
        <f>COUNTIF('Metrics - Articles'!F142,"*GCO – Services Sales*")</f>
        <v>0</v>
      </c>
      <c r="O143">
        <f>COUNTIF('Metrics - Articles'!F142,"*GCO – Other*")</f>
        <v>0</v>
      </c>
      <c r="P143">
        <f>COUNTIF('Metrics - Articles'!F142,"*Corporate*")</f>
        <v>0</v>
      </c>
      <c r="R143" s="53">
        <f t="shared" si="4"/>
        <v>1</v>
      </c>
    </row>
    <row r="144" spans="2:18" x14ac:dyDescent="0.25">
      <c r="B144" s="48">
        <f>+'Metrics - Articles'!C143</f>
        <v>42123</v>
      </c>
      <c r="C144">
        <f>COUNTIF('Metrics - Articles'!F143,"*GPO (Partner, Ecosystem, Channels)*")</f>
        <v>0</v>
      </c>
      <c r="D144">
        <f>COUNTIF('Metrics - Articles'!F143,"*Office of the CEO*")</f>
        <v>0</v>
      </c>
      <c r="E144">
        <f>COUNTIF('Metrics - Articles'!F143,"*Services Delivery &amp; Support (go-lives and deployments) *")</f>
        <v>0</v>
      </c>
      <c r="F144">
        <f>COUNTIF('Metrics - Articles'!F143,"*Human Resources (SAP HR and employee stories)*")</f>
        <v>0</v>
      </c>
      <c r="G144">
        <f>COUNTIF('Metrics - Articles'!F143,"*P&amp;I (Research &amp; Development)*")</f>
        <v>0</v>
      </c>
      <c r="H144">
        <f>COUNTIF('Metrics - Articles'!F143,"*Business Network (Concur, Ariba, Fieldglass)*")</f>
        <v>0</v>
      </c>
      <c r="I144">
        <f>COUNTIF('Metrics - Articles'!F143,"*GCO – Regions*")</f>
        <v>0</v>
      </c>
      <c r="J144">
        <f>COUNTIF('Metrics - Articles'!F143,"*GCO – Platform Solutions*")</f>
        <v>0</v>
      </c>
      <c r="K144">
        <f>COUNTIF('Metrics - Articles'!F143,"*GCO – Industry Cloud *")</f>
        <v>0</v>
      </c>
      <c r="L144">
        <f>COUNTIF('Metrics - Articles'!F143,"*GCO – Customer Engagement &amp; Commerce (CRM &amp; hybris) *")</f>
        <v>0</v>
      </c>
      <c r="M144">
        <f>COUNTIF('Metrics - Articles'!F143,"*GCO – HR (SuccessFactors)*")</f>
        <v>0</v>
      </c>
      <c r="N144">
        <f>COUNTIF('Metrics - Articles'!F143,"*GCO – Services Sales*")</f>
        <v>0</v>
      </c>
      <c r="O144">
        <f>COUNTIF('Metrics - Articles'!F143,"*GCO – Other*")</f>
        <v>0</v>
      </c>
      <c r="P144">
        <f>COUNTIF('Metrics - Articles'!F143,"*Corporate*")</f>
        <v>1</v>
      </c>
      <c r="R144" s="53">
        <f t="shared" si="4"/>
        <v>1</v>
      </c>
    </row>
    <row r="145" spans="2:18" x14ac:dyDescent="0.25">
      <c r="B145" s="48">
        <f>+'Metrics - Articles'!C144</f>
        <v>42123</v>
      </c>
      <c r="C145">
        <f>COUNTIF('Metrics - Articles'!F144,"*GPO (Partner, Ecosystem, Channels)*")</f>
        <v>0</v>
      </c>
      <c r="D145">
        <f>COUNTIF('Metrics - Articles'!F144,"*Office of the CEO*")</f>
        <v>0</v>
      </c>
      <c r="E145">
        <f>COUNTIF('Metrics - Articles'!F144,"*Services Delivery &amp; Support (go-lives and deployments) *")</f>
        <v>0</v>
      </c>
      <c r="F145">
        <f>COUNTIF('Metrics - Articles'!F144,"*Human Resources (SAP HR and employee stories)*")</f>
        <v>0</v>
      </c>
      <c r="G145">
        <f>COUNTIF('Metrics - Articles'!F144,"*P&amp;I (Research &amp; Development)*")</f>
        <v>0</v>
      </c>
      <c r="H145">
        <f>COUNTIF('Metrics - Articles'!F144,"*Business Network (Concur, Ariba, Fieldglass)*")</f>
        <v>0</v>
      </c>
      <c r="I145">
        <f>COUNTIF('Metrics - Articles'!F144,"*GCO – Regions*")</f>
        <v>0</v>
      </c>
      <c r="J145">
        <f>COUNTIF('Metrics - Articles'!F144,"*GCO – Platform Solutions*")</f>
        <v>1</v>
      </c>
      <c r="K145">
        <f>COUNTIF('Metrics - Articles'!F144,"*GCO – Industry Cloud *")</f>
        <v>0</v>
      </c>
      <c r="L145">
        <f>COUNTIF('Metrics - Articles'!F144,"*GCO – Customer Engagement &amp; Commerce (CRM &amp; hybris) *")</f>
        <v>0</v>
      </c>
      <c r="M145">
        <f>COUNTIF('Metrics - Articles'!F144,"*GCO – HR (SuccessFactors)*")</f>
        <v>0</v>
      </c>
      <c r="N145">
        <f>COUNTIF('Metrics - Articles'!F144,"*GCO – Services Sales*")</f>
        <v>0</v>
      </c>
      <c r="O145">
        <f>COUNTIF('Metrics - Articles'!F144,"*GCO – Other*")</f>
        <v>0</v>
      </c>
      <c r="P145">
        <f>COUNTIF('Metrics - Articles'!F144,"*Corporate*")</f>
        <v>0</v>
      </c>
      <c r="R145" s="53">
        <f t="shared" si="4"/>
        <v>1</v>
      </c>
    </row>
    <row r="146" spans="2:18" x14ac:dyDescent="0.25">
      <c r="B146" s="48">
        <f>+'Metrics - Articles'!C145</f>
        <v>42124</v>
      </c>
      <c r="C146">
        <f>COUNTIF('Metrics - Articles'!F145,"*GPO (Partner, Ecosystem, Channels)*")</f>
        <v>0</v>
      </c>
      <c r="D146">
        <f>COUNTIF('Metrics - Articles'!F145,"*Office of the CEO*")</f>
        <v>0</v>
      </c>
      <c r="E146">
        <f>COUNTIF('Metrics - Articles'!F145,"*Services Delivery &amp; Support (go-lives and deployments) *")</f>
        <v>0</v>
      </c>
      <c r="F146">
        <f>COUNTIF('Metrics - Articles'!F145,"*Human Resources (SAP HR and employee stories)*")</f>
        <v>0</v>
      </c>
      <c r="G146">
        <f>COUNTIF('Metrics - Articles'!F145,"*P&amp;I (Research &amp; Development)*")</f>
        <v>0</v>
      </c>
      <c r="H146">
        <f>COUNTIF('Metrics - Articles'!F145,"*Business Network (Concur, Ariba, Fieldglass)*")</f>
        <v>0</v>
      </c>
      <c r="I146">
        <f>COUNTIF('Metrics - Articles'!F145,"*GCO – Regions*")</f>
        <v>0</v>
      </c>
      <c r="J146">
        <f>COUNTIF('Metrics - Articles'!F145,"*GCO – Platform Solutions*")</f>
        <v>0</v>
      </c>
      <c r="K146">
        <f>COUNTIF('Metrics - Articles'!F145,"*GCO – Industry Cloud *")</f>
        <v>0</v>
      </c>
      <c r="L146">
        <f>COUNTIF('Metrics - Articles'!F145,"*GCO – Customer Engagement &amp; Commerce (CRM &amp; hybris) *")</f>
        <v>0</v>
      </c>
      <c r="M146">
        <f>COUNTIF('Metrics - Articles'!F145,"*GCO – HR (SuccessFactors)*")</f>
        <v>0</v>
      </c>
      <c r="N146">
        <f>COUNTIF('Metrics - Articles'!F145,"*GCO – Services Sales*")</f>
        <v>0</v>
      </c>
      <c r="O146">
        <f>COUNTIF('Metrics - Articles'!F145,"*GCO – Other*")</f>
        <v>0</v>
      </c>
      <c r="P146">
        <f>COUNTIF('Metrics - Articles'!F145,"*Corporate*")</f>
        <v>1</v>
      </c>
      <c r="R146" s="53">
        <f t="shared" si="4"/>
        <v>1</v>
      </c>
    </row>
    <row r="147" spans="2:18" x14ac:dyDescent="0.25">
      <c r="B147" s="48">
        <f>+'Metrics - Articles'!C146</f>
        <v>42124</v>
      </c>
      <c r="C147">
        <f>COUNTIF('Metrics - Articles'!F146,"*GPO (Partner, Ecosystem, Channels)*")</f>
        <v>0</v>
      </c>
      <c r="D147">
        <f>COUNTIF('Metrics - Articles'!F146,"*Office of the CEO*")</f>
        <v>0</v>
      </c>
      <c r="E147">
        <f>COUNTIF('Metrics - Articles'!F146,"*Services Delivery &amp; Support (go-lives and deployments) *")</f>
        <v>0</v>
      </c>
      <c r="F147">
        <f>COUNTIF('Metrics - Articles'!F146,"*Human Resources (SAP HR and employee stories)*")</f>
        <v>0</v>
      </c>
      <c r="G147">
        <f>COUNTIF('Metrics - Articles'!F146,"*P&amp;I (Research &amp; Development)*")</f>
        <v>0</v>
      </c>
      <c r="H147">
        <f>COUNTIF('Metrics - Articles'!F146,"*Business Network (Concur, Ariba, Fieldglass)*")</f>
        <v>0</v>
      </c>
      <c r="I147">
        <f>COUNTIF('Metrics - Articles'!F146,"*GCO – Regions*")</f>
        <v>0</v>
      </c>
      <c r="J147">
        <f>COUNTIF('Metrics - Articles'!F146,"*GCO – Platform Solutions*")</f>
        <v>0</v>
      </c>
      <c r="K147">
        <f>COUNTIF('Metrics - Articles'!F146,"*GCO – Industry Cloud *")</f>
        <v>0</v>
      </c>
      <c r="L147">
        <f>COUNTIF('Metrics - Articles'!F146,"*GCO – Customer Engagement &amp; Commerce (CRM &amp; hybris) *")</f>
        <v>0</v>
      </c>
      <c r="M147">
        <f>COUNTIF('Metrics - Articles'!F146,"*GCO – HR (SuccessFactors)*")</f>
        <v>0</v>
      </c>
      <c r="N147">
        <f>COUNTIF('Metrics - Articles'!F146,"*GCO – Services Sales*")</f>
        <v>0</v>
      </c>
      <c r="O147">
        <f>COUNTIF('Metrics - Articles'!F146,"*GCO – Other*")</f>
        <v>0</v>
      </c>
      <c r="P147">
        <f>COUNTIF('Metrics - Articles'!F146,"*Corporate*")</f>
        <v>1</v>
      </c>
      <c r="R147" s="53">
        <f t="shared" si="4"/>
        <v>1</v>
      </c>
    </row>
    <row r="148" spans="2:18" x14ac:dyDescent="0.25">
      <c r="B148" s="48">
        <f>+'Metrics - Articles'!C147</f>
        <v>42124</v>
      </c>
      <c r="C148">
        <f>COUNTIF('Metrics - Articles'!F147,"*GPO (Partner, Ecosystem, Channels)*")</f>
        <v>0</v>
      </c>
      <c r="D148">
        <f>COUNTIF('Metrics - Articles'!F147,"*Office of the CEO*")</f>
        <v>0</v>
      </c>
      <c r="E148">
        <f>COUNTIF('Metrics - Articles'!F147,"*Services Delivery &amp; Support (go-lives and deployments) *")</f>
        <v>0</v>
      </c>
      <c r="F148">
        <f>COUNTIF('Metrics - Articles'!F147,"*Human Resources (SAP HR and employee stories)*")</f>
        <v>0</v>
      </c>
      <c r="G148">
        <f>COUNTIF('Metrics - Articles'!F147,"*P&amp;I (Research &amp; Development)*")</f>
        <v>0</v>
      </c>
      <c r="H148">
        <f>COUNTIF('Metrics - Articles'!F147,"*Business Network (Concur, Ariba, Fieldglass)*")</f>
        <v>0</v>
      </c>
      <c r="I148">
        <f>COUNTIF('Metrics - Articles'!F147,"*GCO – Regions*")</f>
        <v>0</v>
      </c>
      <c r="J148">
        <f>COUNTIF('Metrics - Articles'!F147,"*GCO – Platform Solutions*")</f>
        <v>0</v>
      </c>
      <c r="K148">
        <f>COUNTIF('Metrics - Articles'!F147,"*GCO – Industry Cloud *")</f>
        <v>0</v>
      </c>
      <c r="L148">
        <f>COUNTIF('Metrics - Articles'!F147,"*GCO – Customer Engagement &amp; Commerce (CRM &amp; hybris) *")</f>
        <v>0</v>
      </c>
      <c r="M148">
        <f>COUNTIF('Metrics - Articles'!F147,"*GCO – HR (SuccessFactors)*")</f>
        <v>0</v>
      </c>
      <c r="N148">
        <f>COUNTIF('Metrics - Articles'!F147,"*GCO – Services Sales*")</f>
        <v>0</v>
      </c>
      <c r="O148">
        <f>COUNTIF('Metrics - Articles'!F147,"*GCO – Other*")</f>
        <v>0</v>
      </c>
      <c r="P148">
        <f>COUNTIF('Metrics - Articles'!F147,"*Corporate*")</f>
        <v>1</v>
      </c>
      <c r="R148" s="53">
        <f t="shared" si="4"/>
        <v>1</v>
      </c>
    </row>
    <row r="149" spans="2:18" x14ac:dyDescent="0.25">
      <c r="B149" s="48">
        <f>+'Metrics - Articles'!C148</f>
        <v>42124</v>
      </c>
      <c r="C149">
        <f>COUNTIF('Metrics - Articles'!F148,"*GPO (Partner, Ecosystem, Channels)*")</f>
        <v>0</v>
      </c>
      <c r="D149">
        <f>COUNTIF('Metrics - Articles'!F148,"*Office of the CEO*")</f>
        <v>0</v>
      </c>
      <c r="E149">
        <f>COUNTIF('Metrics - Articles'!F148,"*Services Delivery &amp; Support (go-lives and deployments) *")</f>
        <v>0</v>
      </c>
      <c r="F149">
        <f>COUNTIF('Metrics - Articles'!F148,"*Human Resources (SAP HR and employee stories)*")</f>
        <v>0</v>
      </c>
      <c r="G149">
        <f>COUNTIF('Metrics - Articles'!F148,"*P&amp;I (Research &amp; Development)*")</f>
        <v>0</v>
      </c>
      <c r="H149">
        <f>COUNTIF('Metrics - Articles'!F148,"*Business Network (Concur, Ariba, Fieldglass)*")</f>
        <v>0</v>
      </c>
      <c r="I149">
        <f>COUNTIF('Metrics - Articles'!F148,"*GCO – Regions*")</f>
        <v>0</v>
      </c>
      <c r="J149">
        <f>COUNTIF('Metrics - Articles'!F148,"*GCO – Platform Solutions*")</f>
        <v>1</v>
      </c>
      <c r="K149">
        <f>COUNTIF('Metrics - Articles'!F148,"*GCO – Industry Cloud *")</f>
        <v>0</v>
      </c>
      <c r="L149">
        <f>COUNTIF('Metrics - Articles'!F148,"*GCO – Customer Engagement &amp; Commerce (CRM &amp; hybris) *")</f>
        <v>0</v>
      </c>
      <c r="M149">
        <f>COUNTIF('Metrics - Articles'!F148,"*GCO – HR (SuccessFactors)*")</f>
        <v>0</v>
      </c>
      <c r="N149">
        <f>COUNTIF('Metrics - Articles'!F148,"*GCO – Services Sales*")</f>
        <v>0</v>
      </c>
      <c r="O149">
        <f>COUNTIF('Metrics - Articles'!F148,"*GCO – Other*")</f>
        <v>0</v>
      </c>
      <c r="P149">
        <f>COUNTIF('Metrics - Articles'!F148,"*Corporate*")</f>
        <v>0</v>
      </c>
      <c r="R149" s="53">
        <f t="shared" si="4"/>
        <v>1</v>
      </c>
    </row>
    <row r="150" spans="2:18" x14ac:dyDescent="0.25">
      <c r="B150" s="48">
        <f>+'Metrics - Articles'!C149</f>
        <v>42125</v>
      </c>
      <c r="C150">
        <f>COUNTIF('Metrics - Articles'!F149,"*GPO (Partner, Ecosystem, Channels)*")</f>
        <v>0</v>
      </c>
      <c r="D150">
        <f>COUNTIF('Metrics - Articles'!F149,"*Office of the CEO*")</f>
        <v>0</v>
      </c>
      <c r="E150">
        <f>COUNTIF('Metrics - Articles'!F149,"*Services Delivery &amp; Support (go-lives and deployments) *")</f>
        <v>0</v>
      </c>
      <c r="F150">
        <f>COUNTIF('Metrics - Articles'!F149,"*Human Resources (SAP HR and employee stories)*")</f>
        <v>0</v>
      </c>
      <c r="G150">
        <f>COUNTIF('Metrics - Articles'!F149,"*P&amp;I (Research &amp; Development)*")</f>
        <v>0</v>
      </c>
      <c r="H150">
        <f>COUNTIF('Metrics - Articles'!F149,"*Business Network (Concur, Ariba, Fieldglass)*")</f>
        <v>0</v>
      </c>
      <c r="I150">
        <f>COUNTIF('Metrics - Articles'!F149,"*GCO – Regions*")</f>
        <v>0</v>
      </c>
      <c r="J150">
        <f>COUNTIF('Metrics - Articles'!F149,"*GCO – Platform Solutions*")</f>
        <v>0</v>
      </c>
      <c r="K150">
        <f>COUNTIF('Metrics - Articles'!F149,"*GCO – Industry Cloud *")</f>
        <v>0</v>
      </c>
      <c r="L150">
        <f>COUNTIF('Metrics - Articles'!F149,"*GCO – Customer Engagement &amp; Commerce (CRM &amp; hybris) *")</f>
        <v>0</v>
      </c>
      <c r="M150">
        <f>COUNTIF('Metrics - Articles'!F149,"*GCO – HR (SuccessFactors)*")</f>
        <v>0</v>
      </c>
      <c r="N150">
        <f>COUNTIF('Metrics - Articles'!F149,"*GCO – Services Sales*")</f>
        <v>0</v>
      </c>
      <c r="O150">
        <f>COUNTIF('Metrics - Articles'!F149,"*GCO – Other*")</f>
        <v>0</v>
      </c>
      <c r="P150">
        <f>COUNTIF('Metrics - Articles'!F149,"*Corporate*")</f>
        <v>1</v>
      </c>
      <c r="R150" s="53">
        <f t="shared" si="4"/>
        <v>1</v>
      </c>
    </row>
    <row r="151" spans="2:18" x14ac:dyDescent="0.25">
      <c r="B151" s="48">
        <f>+'Metrics - Articles'!C150</f>
        <v>42125</v>
      </c>
      <c r="C151">
        <f>COUNTIF('Metrics - Articles'!F150,"*GPO (Partner, Ecosystem, Channels)*")</f>
        <v>0</v>
      </c>
      <c r="D151">
        <f>COUNTIF('Metrics - Articles'!F150,"*Office of the CEO*")</f>
        <v>0</v>
      </c>
      <c r="E151">
        <f>COUNTIF('Metrics - Articles'!F150,"*Services Delivery &amp; Support (go-lives and deployments) *")</f>
        <v>0</v>
      </c>
      <c r="F151">
        <f>COUNTIF('Metrics - Articles'!F150,"*Human Resources (SAP HR and employee stories)*")</f>
        <v>0</v>
      </c>
      <c r="G151">
        <f>COUNTIF('Metrics - Articles'!F150,"*P&amp;I (Research &amp; Development)*")</f>
        <v>0</v>
      </c>
      <c r="H151">
        <f>COUNTIF('Metrics - Articles'!F150,"*Business Network (Concur, Ariba, Fieldglass)*")</f>
        <v>0</v>
      </c>
      <c r="I151">
        <f>COUNTIF('Metrics - Articles'!F150,"*GCO – Regions*")</f>
        <v>0</v>
      </c>
      <c r="J151">
        <f>COUNTIF('Metrics - Articles'!F150,"*GCO – Platform Solutions*")</f>
        <v>0</v>
      </c>
      <c r="K151">
        <f>COUNTIF('Metrics - Articles'!F150,"*GCO – Industry Cloud *")</f>
        <v>0</v>
      </c>
      <c r="L151">
        <f>COUNTIF('Metrics - Articles'!F150,"*GCO – Customer Engagement &amp; Commerce (CRM &amp; hybris) *")</f>
        <v>1</v>
      </c>
      <c r="M151">
        <f>COUNTIF('Metrics - Articles'!F150,"*GCO – HR (SuccessFactors)*")</f>
        <v>0</v>
      </c>
      <c r="N151">
        <f>COUNTIF('Metrics - Articles'!F150,"*GCO – Services Sales*")</f>
        <v>0</v>
      </c>
      <c r="O151">
        <f>COUNTIF('Metrics - Articles'!F150,"*GCO – Other*")</f>
        <v>0</v>
      </c>
      <c r="P151">
        <f>COUNTIF('Metrics - Articles'!F150,"*Corporate*")</f>
        <v>0</v>
      </c>
      <c r="R151" s="53">
        <f t="shared" si="4"/>
        <v>1</v>
      </c>
    </row>
    <row r="152" spans="2:18" x14ac:dyDescent="0.25">
      <c r="B152" s="48">
        <f>+'Metrics - Articles'!C151</f>
        <v>42125</v>
      </c>
      <c r="C152">
        <f>COUNTIF('Metrics - Articles'!F151,"*GPO (Partner, Ecosystem, Channels)*")</f>
        <v>0</v>
      </c>
      <c r="D152">
        <f>COUNTIF('Metrics - Articles'!F151,"*Office of the CEO*")</f>
        <v>0</v>
      </c>
      <c r="E152">
        <f>COUNTIF('Metrics - Articles'!F151,"*Services Delivery &amp; Support (go-lives and deployments) *")</f>
        <v>0</v>
      </c>
      <c r="F152">
        <f>COUNTIF('Metrics - Articles'!F151,"*Human Resources (SAP HR and employee stories)*")</f>
        <v>0</v>
      </c>
      <c r="G152">
        <f>COUNTIF('Metrics - Articles'!F151,"*P&amp;I (Research &amp; Development)*")</f>
        <v>0</v>
      </c>
      <c r="H152">
        <f>COUNTIF('Metrics - Articles'!F151,"*Business Network (Concur, Ariba, Fieldglass)*")</f>
        <v>0</v>
      </c>
      <c r="I152">
        <f>COUNTIF('Metrics - Articles'!F151,"*GCO – Regions*")</f>
        <v>0</v>
      </c>
      <c r="J152">
        <f>COUNTIF('Metrics - Articles'!F151,"*GCO – Platform Solutions*")</f>
        <v>0</v>
      </c>
      <c r="K152">
        <f>COUNTIF('Metrics - Articles'!F151,"*GCO – Industry Cloud *")</f>
        <v>0</v>
      </c>
      <c r="L152">
        <f>COUNTIF('Metrics - Articles'!F151,"*GCO – Customer Engagement &amp; Commerce (CRM &amp; hybris) *")</f>
        <v>0</v>
      </c>
      <c r="M152">
        <f>COUNTIF('Metrics - Articles'!F151,"*GCO – HR (SuccessFactors)*")</f>
        <v>1</v>
      </c>
      <c r="N152">
        <f>COUNTIF('Metrics - Articles'!F151,"*GCO – Services Sales*")</f>
        <v>0</v>
      </c>
      <c r="O152">
        <f>COUNTIF('Metrics - Articles'!F151,"*GCO – Other*")</f>
        <v>0</v>
      </c>
      <c r="P152">
        <f>COUNTIF('Metrics - Articles'!F151,"*Corporate*")</f>
        <v>0</v>
      </c>
      <c r="R152" s="53">
        <f t="shared" si="4"/>
        <v>1</v>
      </c>
    </row>
    <row r="153" spans="2:18" x14ac:dyDescent="0.25">
      <c r="B153" s="48">
        <f>+'Metrics - Articles'!C152</f>
        <v>42128</v>
      </c>
      <c r="C153">
        <f>COUNTIF('Metrics - Articles'!F152,"*GPO (Partner, Ecosystem, Channels)*")</f>
        <v>0</v>
      </c>
      <c r="D153">
        <f>COUNTIF('Metrics - Articles'!F152,"*Office of the CEO*")</f>
        <v>0</v>
      </c>
      <c r="E153">
        <f>COUNTIF('Metrics - Articles'!F152,"*Services Delivery &amp; Support (go-lives and deployments) *")</f>
        <v>0</v>
      </c>
      <c r="F153">
        <f>COUNTIF('Metrics - Articles'!F152,"*Human Resources (SAP HR and employee stories)*")</f>
        <v>0</v>
      </c>
      <c r="G153">
        <f>COUNTIF('Metrics - Articles'!F152,"*P&amp;I (Research &amp; Development)*")</f>
        <v>0</v>
      </c>
      <c r="H153">
        <f>COUNTIF('Metrics - Articles'!F152,"*Business Network (Concur, Ariba, Fieldglass)*")</f>
        <v>0</v>
      </c>
      <c r="I153">
        <f>COUNTIF('Metrics - Articles'!F152,"*GCO – Regions*")</f>
        <v>0</v>
      </c>
      <c r="J153">
        <f>COUNTIF('Metrics - Articles'!F152,"*GCO – Platform Solutions*")</f>
        <v>0</v>
      </c>
      <c r="K153">
        <f>COUNTIF('Metrics - Articles'!F152,"*GCO – Industry Cloud *")</f>
        <v>1</v>
      </c>
      <c r="L153">
        <f>COUNTIF('Metrics - Articles'!F152,"*GCO – Customer Engagement &amp; Commerce (CRM &amp; hybris) *")</f>
        <v>0</v>
      </c>
      <c r="M153">
        <f>COUNTIF('Metrics - Articles'!F152,"*GCO – HR (SuccessFactors)*")</f>
        <v>0</v>
      </c>
      <c r="N153">
        <f>COUNTIF('Metrics - Articles'!F152,"*GCO – Services Sales*")</f>
        <v>0</v>
      </c>
      <c r="O153">
        <f>COUNTIF('Metrics - Articles'!F152,"*GCO – Other*")</f>
        <v>0</v>
      </c>
      <c r="P153">
        <f>COUNTIF('Metrics - Articles'!F152,"*Corporate*")</f>
        <v>0</v>
      </c>
      <c r="R153" s="53">
        <f t="shared" si="4"/>
        <v>1</v>
      </c>
    </row>
    <row r="154" spans="2:18" x14ac:dyDescent="0.25">
      <c r="B154" s="48">
        <f>+'Metrics - Articles'!C153</f>
        <v>42128</v>
      </c>
      <c r="C154">
        <f>COUNTIF('Metrics - Articles'!F153,"*GPO (Partner, Ecosystem, Channels)*")</f>
        <v>0</v>
      </c>
      <c r="D154">
        <f>COUNTIF('Metrics - Articles'!F153,"*Office of the CEO*")</f>
        <v>0</v>
      </c>
      <c r="E154">
        <f>COUNTIF('Metrics - Articles'!F153,"*Services Delivery &amp; Support (go-lives and deployments) *")</f>
        <v>0</v>
      </c>
      <c r="F154">
        <f>COUNTIF('Metrics - Articles'!F153,"*Human Resources (SAP HR and employee stories)*")</f>
        <v>0</v>
      </c>
      <c r="G154">
        <f>COUNTIF('Metrics - Articles'!F153,"*P&amp;I (Research &amp; Development)*")</f>
        <v>0</v>
      </c>
      <c r="H154">
        <f>COUNTIF('Metrics - Articles'!F153,"*Business Network (Concur, Ariba, Fieldglass)*")</f>
        <v>0</v>
      </c>
      <c r="I154">
        <f>COUNTIF('Metrics - Articles'!F153,"*GCO – Regions*")</f>
        <v>0</v>
      </c>
      <c r="J154">
        <f>COUNTIF('Metrics - Articles'!F153,"*GCO – Platform Solutions*")</f>
        <v>0</v>
      </c>
      <c r="K154">
        <f>COUNTIF('Metrics - Articles'!F153,"*GCO – Industry Cloud *")</f>
        <v>1</v>
      </c>
      <c r="L154">
        <f>COUNTIF('Metrics - Articles'!F153,"*GCO – Customer Engagement &amp; Commerce (CRM &amp; hybris) *")</f>
        <v>0</v>
      </c>
      <c r="M154">
        <f>COUNTIF('Metrics - Articles'!F153,"*GCO – HR (SuccessFactors)*")</f>
        <v>0</v>
      </c>
      <c r="N154">
        <f>COUNTIF('Metrics - Articles'!F153,"*GCO – Services Sales*")</f>
        <v>0</v>
      </c>
      <c r="O154">
        <f>COUNTIF('Metrics - Articles'!F153,"*GCO – Other*")</f>
        <v>0</v>
      </c>
      <c r="P154">
        <f>COUNTIF('Metrics - Articles'!F153,"*Corporate*")</f>
        <v>0</v>
      </c>
      <c r="R154" s="53">
        <f t="shared" si="4"/>
        <v>1</v>
      </c>
    </row>
    <row r="155" spans="2:18" x14ac:dyDescent="0.25">
      <c r="B155" s="48">
        <f>+'Metrics - Articles'!C154</f>
        <v>42130</v>
      </c>
      <c r="C155">
        <f>COUNTIF('Metrics - Articles'!F154,"*GPO (Partner, Ecosystem, Channels)*")</f>
        <v>0</v>
      </c>
      <c r="D155">
        <f>COUNTIF('Metrics - Articles'!F154,"*Office of the CEO*")</f>
        <v>1</v>
      </c>
      <c r="E155">
        <f>COUNTIF('Metrics - Articles'!F154,"*Services Delivery &amp; Support (go-lives and deployments) *")</f>
        <v>0</v>
      </c>
      <c r="F155">
        <f>COUNTIF('Metrics - Articles'!F154,"*Human Resources (SAP HR and employee stories)*")</f>
        <v>0</v>
      </c>
      <c r="G155">
        <f>COUNTIF('Metrics - Articles'!F154,"*P&amp;I (Research &amp; Development)*")</f>
        <v>0</v>
      </c>
      <c r="H155">
        <f>COUNTIF('Metrics - Articles'!F154,"*Business Network (Concur, Ariba, Fieldglass)*")</f>
        <v>0</v>
      </c>
      <c r="I155">
        <f>COUNTIF('Metrics - Articles'!F154,"*GCO – Regions*")</f>
        <v>0</v>
      </c>
      <c r="J155">
        <f>COUNTIF('Metrics - Articles'!F154,"*GCO – Platform Solutions*")</f>
        <v>0</v>
      </c>
      <c r="K155">
        <f>COUNTIF('Metrics - Articles'!F154,"*GCO – Industry Cloud *")</f>
        <v>0</v>
      </c>
      <c r="L155">
        <f>COUNTIF('Metrics - Articles'!F154,"*GCO – Customer Engagement &amp; Commerce (CRM &amp; hybris) *")</f>
        <v>0</v>
      </c>
      <c r="M155">
        <f>COUNTIF('Metrics - Articles'!F154,"*GCO – HR (SuccessFactors)*")</f>
        <v>0</v>
      </c>
      <c r="N155">
        <f>COUNTIF('Metrics - Articles'!F154,"*GCO – Services Sales*")</f>
        <v>0</v>
      </c>
      <c r="O155">
        <f>COUNTIF('Metrics - Articles'!F154,"*GCO – Other*")</f>
        <v>0</v>
      </c>
      <c r="P155">
        <f>COUNTIF('Metrics - Articles'!F154,"*Corporate*")</f>
        <v>0</v>
      </c>
      <c r="R155" s="53">
        <f t="shared" si="4"/>
        <v>1</v>
      </c>
    </row>
    <row r="156" spans="2:18" x14ac:dyDescent="0.25">
      <c r="B156" s="48">
        <f>+'Metrics - Articles'!C155</f>
        <v>42130</v>
      </c>
      <c r="C156">
        <f>COUNTIF('Metrics - Articles'!F155,"*GPO (Partner, Ecosystem, Channels)*")</f>
        <v>0</v>
      </c>
      <c r="D156">
        <f>COUNTIF('Metrics - Articles'!F155,"*Office of the CEO*")</f>
        <v>1</v>
      </c>
      <c r="E156">
        <f>COUNTIF('Metrics - Articles'!F155,"*Services Delivery &amp; Support (go-lives and deployments) *")</f>
        <v>0</v>
      </c>
      <c r="F156">
        <f>COUNTIF('Metrics - Articles'!F155,"*Human Resources (SAP HR and employee stories)*")</f>
        <v>0</v>
      </c>
      <c r="G156">
        <f>COUNTIF('Metrics - Articles'!F155,"*P&amp;I (Research &amp; Development)*")</f>
        <v>0</v>
      </c>
      <c r="H156">
        <f>COUNTIF('Metrics - Articles'!F155,"*Business Network (Concur, Ariba, Fieldglass)*")</f>
        <v>0</v>
      </c>
      <c r="I156">
        <f>COUNTIF('Metrics - Articles'!F155,"*GCO – Regions*")</f>
        <v>0</v>
      </c>
      <c r="J156">
        <f>COUNTIF('Metrics - Articles'!F155,"*GCO – Platform Solutions*")</f>
        <v>0</v>
      </c>
      <c r="K156">
        <f>COUNTIF('Metrics - Articles'!F155,"*GCO – Industry Cloud *")</f>
        <v>0</v>
      </c>
      <c r="L156">
        <f>COUNTIF('Metrics - Articles'!F155,"*GCO – Customer Engagement &amp; Commerce (CRM &amp; hybris) *")</f>
        <v>0</v>
      </c>
      <c r="M156">
        <f>COUNTIF('Metrics - Articles'!F155,"*GCO – HR (SuccessFactors)*")</f>
        <v>0</v>
      </c>
      <c r="N156">
        <f>COUNTIF('Metrics - Articles'!F155,"*GCO – Services Sales*")</f>
        <v>0</v>
      </c>
      <c r="O156">
        <f>COUNTIF('Metrics - Articles'!F155,"*GCO – Other*")</f>
        <v>0</v>
      </c>
      <c r="P156">
        <f>COUNTIF('Metrics - Articles'!F155,"*Corporate*")</f>
        <v>0</v>
      </c>
      <c r="R156" s="53">
        <f t="shared" si="4"/>
        <v>1</v>
      </c>
    </row>
    <row r="157" spans="2:18" x14ac:dyDescent="0.25">
      <c r="B157" s="48">
        <f>+'Metrics - Articles'!C156</f>
        <v>42131</v>
      </c>
      <c r="C157">
        <f>COUNTIF('Metrics - Articles'!F156,"*GPO (Partner, Ecosystem, Channels)*")</f>
        <v>0</v>
      </c>
      <c r="D157">
        <f>COUNTIF('Metrics - Articles'!F156,"*Office of the CEO*")</f>
        <v>0</v>
      </c>
      <c r="E157">
        <f>COUNTIF('Metrics - Articles'!F156,"*Services Delivery &amp; Support (go-lives and deployments) *")</f>
        <v>0</v>
      </c>
      <c r="F157">
        <f>COUNTIF('Metrics - Articles'!F156,"*Human Resources (SAP HR and employee stories)*")</f>
        <v>1</v>
      </c>
      <c r="G157">
        <f>COUNTIF('Metrics - Articles'!F156,"*P&amp;I (Research &amp; Development)*")</f>
        <v>0</v>
      </c>
      <c r="H157">
        <f>COUNTIF('Metrics - Articles'!F156,"*Business Network (Concur, Ariba, Fieldglass)*")</f>
        <v>0</v>
      </c>
      <c r="I157">
        <f>COUNTIF('Metrics - Articles'!F156,"*GCO – Regions*")</f>
        <v>0</v>
      </c>
      <c r="J157">
        <f>COUNTIF('Metrics - Articles'!F156,"*GCO – Platform Solutions*")</f>
        <v>0</v>
      </c>
      <c r="K157">
        <f>COUNTIF('Metrics - Articles'!F156,"*GCO – Industry Cloud *")</f>
        <v>0</v>
      </c>
      <c r="L157">
        <f>COUNTIF('Metrics - Articles'!F156,"*GCO – Customer Engagement &amp; Commerce (CRM &amp; hybris) *")</f>
        <v>0</v>
      </c>
      <c r="M157">
        <f>COUNTIF('Metrics - Articles'!F156,"*GCO – HR (SuccessFactors)*")</f>
        <v>0</v>
      </c>
      <c r="N157">
        <f>COUNTIF('Metrics - Articles'!F156,"*GCO – Services Sales*")</f>
        <v>0</v>
      </c>
      <c r="O157">
        <f>COUNTIF('Metrics - Articles'!F156,"*GCO – Other*")</f>
        <v>0</v>
      </c>
      <c r="P157">
        <f>COUNTIF('Metrics - Articles'!F156,"*Corporate*")</f>
        <v>0</v>
      </c>
      <c r="R157" s="53">
        <f t="shared" si="4"/>
        <v>1</v>
      </c>
    </row>
    <row r="158" spans="2:18" x14ac:dyDescent="0.25">
      <c r="B158" s="48">
        <f>+'Metrics - Articles'!C157</f>
        <v>42131</v>
      </c>
      <c r="C158">
        <f>COUNTIF('Metrics - Articles'!F157,"*GPO (Partner, Ecosystem, Channels)*")</f>
        <v>0</v>
      </c>
      <c r="D158">
        <f>COUNTIF('Metrics - Articles'!F157,"*Office of the CEO*")</f>
        <v>0</v>
      </c>
      <c r="E158">
        <f>COUNTIF('Metrics - Articles'!F157,"*Services Delivery &amp; Support (go-lives and deployments) *")</f>
        <v>0</v>
      </c>
      <c r="F158">
        <f>COUNTIF('Metrics - Articles'!F157,"*Human Resources (SAP HR and employee stories)*")</f>
        <v>0</v>
      </c>
      <c r="G158">
        <f>COUNTIF('Metrics - Articles'!F157,"*P&amp;I (Research &amp; Development)*")</f>
        <v>0</v>
      </c>
      <c r="H158">
        <f>COUNTIF('Metrics - Articles'!F157,"*Business Network (Concur, Ariba, Fieldglass)*")</f>
        <v>0</v>
      </c>
      <c r="I158">
        <f>COUNTIF('Metrics - Articles'!F157,"*GCO – Regions*")</f>
        <v>0</v>
      </c>
      <c r="J158">
        <f>COUNTIF('Metrics - Articles'!F157,"*GCO – Platform Solutions*")</f>
        <v>0</v>
      </c>
      <c r="K158">
        <f>COUNTIF('Metrics - Articles'!F157,"*GCO – Industry Cloud *")</f>
        <v>0</v>
      </c>
      <c r="L158">
        <f>COUNTIF('Metrics - Articles'!F157,"*GCO – Customer Engagement &amp; Commerce (CRM &amp; hybris) *")</f>
        <v>0</v>
      </c>
      <c r="M158">
        <f>COUNTIF('Metrics - Articles'!F157,"*GCO – HR (SuccessFactors)*")</f>
        <v>0</v>
      </c>
      <c r="N158">
        <f>COUNTIF('Metrics - Articles'!F157,"*GCO – Services Sales*")</f>
        <v>0</v>
      </c>
      <c r="O158">
        <f>COUNTIF('Metrics - Articles'!F157,"*GCO – Other*")</f>
        <v>0</v>
      </c>
      <c r="P158">
        <f>COUNTIF('Metrics - Articles'!F157,"*Corporate*")</f>
        <v>1</v>
      </c>
      <c r="R158" s="53">
        <f t="shared" si="4"/>
        <v>1</v>
      </c>
    </row>
    <row r="159" spans="2:18" x14ac:dyDescent="0.25">
      <c r="B159" s="48">
        <f>+'Metrics - Articles'!C158</f>
        <v>42131</v>
      </c>
      <c r="C159">
        <f>COUNTIF('Metrics - Articles'!F158,"*GPO (Partner, Ecosystem, Channels)*")</f>
        <v>0</v>
      </c>
      <c r="D159">
        <f>COUNTIF('Metrics - Articles'!F158,"*Office of the CEO*")</f>
        <v>0</v>
      </c>
      <c r="E159">
        <f>COUNTIF('Metrics - Articles'!F158,"*Services Delivery &amp; Support (go-lives and deployments) *")</f>
        <v>0</v>
      </c>
      <c r="F159">
        <f>COUNTIF('Metrics - Articles'!F158,"*Human Resources (SAP HR and employee stories)*")</f>
        <v>0</v>
      </c>
      <c r="G159">
        <f>COUNTIF('Metrics - Articles'!F158,"*P&amp;I (Research &amp; Development)*")</f>
        <v>0</v>
      </c>
      <c r="H159">
        <f>COUNTIF('Metrics - Articles'!F158,"*Business Network (Concur, Ariba, Fieldglass)*")</f>
        <v>0</v>
      </c>
      <c r="I159">
        <f>COUNTIF('Metrics - Articles'!F158,"*GCO – Regions*")</f>
        <v>0</v>
      </c>
      <c r="J159">
        <f>COUNTIF('Metrics - Articles'!F158,"*GCO – Platform Solutions*")</f>
        <v>1</v>
      </c>
      <c r="K159">
        <f>COUNTIF('Metrics - Articles'!F158,"*GCO – Industry Cloud *")</f>
        <v>0</v>
      </c>
      <c r="L159">
        <f>COUNTIF('Metrics - Articles'!F158,"*GCO – Customer Engagement &amp; Commerce (CRM &amp; hybris) *")</f>
        <v>0</v>
      </c>
      <c r="M159">
        <f>COUNTIF('Metrics - Articles'!F158,"*GCO – HR (SuccessFactors)*")</f>
        <v>0</v>
      </c>
      <c r="N159">
        <f>COUNTIF('Metrics - Articles'!F158,"*GCO – Services Sales*")</f>
        <v>0</v>
      </c>
      <c r="O159">
        <f>COUNTIF('Metrics - Articles'!F158,"*GCO – Other*")</f>
        <v>0</v>
      </c>
      <c r="P159">
        <f>COUNTIF('Metrics - Articles'!F158,"*Corporate*")</f>
        <v>0</v>
      </c>
      <c r="R159" s="53">
        <f t="shared" si="4"/>
        <v>1</v>
      </c>
    </row>
    <row r="160" spans="2:18" x14ac:dyDescent="0.25">
      <c r="B160" s="48">
        <f>+'Metrics - Articles'!C159</f>
        <v>42132</v>
      </c>
      <c r="C160">
        <f>COUNTIF('Metrics - Articles'!F159,"*GPO (Partner, Ecosystem, Channels)*")</f>
        <v>0</v>
      </c>
      <c r="D160">
        <f>COUNTIF('Metrics - Articles'!F159,"*Office of the CEO*")</f>
        <v>0</v>
      </c>
      <c r="E160">
        <f>COUNTIF('Metrics - Articles'!F159,"*Services Delivery &amp; Support (go-lives and deployments) *")</f>
        <v>0</v>
      </c>
      <c r="F160">
        <f>COUNTIF('Metrics - Articles'!F159,"*Human Resources (SAP HR and employee stories)*")</f>
        <v>0</v>
      </c>
      <c r="G160">
        <f>COUNTIF('Metrics - Articles'!F159,"*P&amp;I (Research &amp; Development)*")</f>
        <v>0</v>
      </c>
      <c r="H160">
        <f>COUNTIF('Metrics - Articles'!F159,"*Business Network (Concur, Ariba, Fieldglass)*")</f>
        <v>1</v>
      </c>
      <c r="I160">
        <f>COUNTIF('Metrics - Articles'!F159,"*GCO – Regions*")</f>
        <v>0</v>
      </c>
      <c r="J160">
        <f>COUNTIF('Metrics - Articles'!F159,"*GCO – Platform Solutions*")</f>
        <v>0</v>
      </c>
      <c r="K160">
        <f>COUNTIF('Metrics - Articles'!F159,"*GCO – Industry Cloud *")</f>
        <v>0</v>
      </c>
      <c r="L160">
        <f>COUNTIF('Metrics - Articles'!F159,"*GCO – Customer Engagement &amp; Commerce (CRM &amp; hybris) *")</f>
        <v>0</v>
      </c>
      <c r="M160">
        <f>COUNTIF('Metrics - Articles'!F159,"*GCO – HR (SuccessFactors)*")</f>
        <v>0</v>
      </c>
      <c r="N160">
        <f>COUNTIF('Metrics - Articles'!F159,"*GCO – Services Sales*")</f>
        <v>0</v>
      </c>
      <c r="O160">
        <f>COUNTIF('Metrics - Articles'!F159,"*GCO – Other*")</f>
        <v>0</v>
      </c>
      <c r="P160">
        <f>COUNTIF('Metrics - Articles'!F159,"*Corporate*")</f>
        <v>0</v>
      </c>
      <c r="R160" s="53">
        <f t="shared" si="4"/>
        <v>1</v>
      </c>
    </row>
    <row r="161" spans="2:18" x14ac:dyDescent="0.25">
      <c r="B161" s="48">
        <f>+'Metrics - Articles'!C160</f>
        <v>42132</v>
      </c>
      <c r="C161">
        <f>COUNTIF('Metrics - Articles'!F160,"*GPO (Partner, Ecosystem, Channels)*")</f>
        <v>0</v>
      </c>
      <c r="D161">
        <f>COUNTIF('Metrics - Articles'!F160,"*Office of the CEO*")</f>
        <v>0</v>
      </c>
      <c r="E161">
        <f>COUNTIF('Metrics - Articles'!F160,"*Services Delivery &amp; Support (go-lives and deployments) *")</f>
        <v>0</v>
      </c>
      <c r="F161">
        <f>COUNTIF('Metrics - Articles'!F160,"*Human Resources (SAP HR and employee stories)*")</f>
        <v>0</v>
      </c>
      <c r="G161">
        <f>COUNTIF('Metrics - Articles'!F160,"*P&amp;I (Research &amp; Development)*")</f>
        <v>0</v>
      </c>
      <c r="H161">
        <f>COUNTIF('Metrics - Articles'!F160,"*Business Network (Concur, Ariba, Fieldglass)*")</f>
        <v>0</v>
      </c>
      <c r="I161">
        <f>COUNTIF('Metrics - Articles'!F160,"*GCO – Regions*")</f>
        <v>0</v>
      </c>
      <c r="J161">
        <f>COUNTIF('Metrics - Articles'!F160,"*GCO – Platform Solutions*")</f>
        <v>1</v>
      </c>
      <c r="K161">
        <f>COUNTIF('Metrics - Articles'!F160,"*GCO – Industry Cloud *")</f>
        <v>0</v>
      </c>
      <c r="L161">
        <f>COUNTIF('Metrics - Articles'!F160,"*GCO – Customer Engagement &amp; Commerce (CRM &amp; hybris) *")</f>
        <v>0</v>
      </c>
      <c r="M161">
        <f>COUNTIF('Metrics - Articles'!F160,"*GCO – HR (SuccessFactors)*")</f>
        <v>0</v>
      </c>
      <c r="N161">
        <f>COUNTIF('Metrics - Articles'!F160,"*GCO – Services Sales*")</f>
        <v>0</v>
      </c>
      <c r="O161">
        <f>COUNTIF('Metrics - Articles'!F160,"*GCO – Other*")</f>
        <v>0</v>
      </c>
      <c r="P161">
        <f>COUNTIF('Metrics - Articles'!F160,"*Corporate*")</f>
        <v>0</v>
      </c>
      <c r="R161" s="53">
        <f t="shared" si="4"/>
        <v>1</v>
      </c>
    </row>
    <row r="162" spans="2:18" x14ac:dyDescent="0.25">
      <c r="B162" s="48">
        <f>+'Metrics - Articles'!C161</f>
        <v>42132</v>
      </c>
      <c r="C162">
        <f>COUNTIF('Metrics - Articles'!F161,"*GPO (Partner, Ecosystem, Channels)*")</f>
        <v>0</v>
      </c>
      <c r="D162">
        <f>COUNTIF('Metrics - Articles'!F161,"*Office of the CEO*")</f>
        <v>0</v>
      </c>
      <c r="E162">
        <f>COUNTIF('Metrics - Articles'!F161,"*Services Delivery &amp; Support (go-lives and deployments) *")</f>
        <v>0</v>
      </c>
      <c r="F162">
        <f>COUNTIF('Metrics - Articles'!F161,"*Human Resources (SAP HR and employee stories)*")</f>
        <v>0</v>
      </c>
      <c r="G162">
        <f>COUNTIF('Metrics - Articles'!F161,"*P&amp;I (Research &amp; Development)*")</f>
        <v>0</v>
      </c>
      <c r="H162">
        <f>COUNTIF('Metrics - Articles'!F161,"*Business Network (Concur, Ariba, Fieldglass)*")</f>
        <v>0</v>
      </c>
      <c r="I162">
        <f>COUNTIF('Metrics - Articles'!F161,"*GCO – Regions*")</f>
        <v>0</v>
      </c>
      <c r="J162">
        <f>COUNTIF('Metrics - Articles'!F161,"*GCO – Platform Solutions*")</f>
        <v>1</v>
      </c>
      <c r="K162">
        <f>COUNTIF('Metrics - Articles'!F161,"*GCO – Industry Cloud *")</f>
        <v>0</v>
      </c>
      <c r="L162">
        <f>COUNTIF('Metrics - Articles'!F161,"*GCO – Customer Engagement &amp; Commerce (CRM &amp; hybris) *")</f>
        <v>0</v>
      </c>
      <c r="M162">
        <f>COUNTIF('Metrics - Articles'!F161,"*GCO – HR (SuccessFactors)*")</f>
        <v>0</v>
      </c>
      <c r="N162">
        <f>COUNTIF('Metrics - Articles'!F161,"*GCO – Services Sales*")</f>
        <v>0</v>
      </c>
      <c r="O162">
        <f>COUNTIF('Metrics - Articles'!F161,"*GCO – Other*")</f>
        <v>0</v>
      </c>
      <c r="P162">
        <f>COUNTIF('Metrics - Articles'!F161,"*Corporate*")</f>
        <v>0</v>
      </c>
      <c r="R162" s="53">
        <f t="shared" si="4"/>
        <v>1</v>
      </c>
    </row>
    <row r="163" spans="2:18" x14ac:dyDescent="0.25">
      <c r="B163" s="48">
        <f>+'Metrics - Articles'!C162</f>
        <v>42134</v>
      </c>
      <c r="C163">
        <f>COUNTIF('Metrics - Articles'!F162,"*GPO (Partner, Ecosystem, Channels)*")</f>
        <v>0</v>
      </c>
      <c r="D163">
        <f>COUNTIF('Metrics - Articles'!F162,"*Office of the CEO*")</f>
        <v>0</v>
      </c>
      <c r="E163">
        <f>COUNTIF('Metrics - Articles'!F162,"*Services Delivery &amp; Support (go-lives and deployments) *")</f>
        <v>0</v>
      </c>
      <c r="F163">
        <f>COUNTIF('Metrics - Articles'!F162,"*Human Resources (SAP HR and employee stories)*")</f>
        <v>0</v>
      </c>
      <c r="G163">
        <f>COUNTIF('Metrics - Articles'!F162,"*P&amp;I (Research &amp; Development)*")</f>
        <v>0</v>
      </c>
      <c r="H163">
        <f>COUNTIF('Metrics - Articles'!F162,"*Business Network (Concur, Ariba, Fieldglass)*")</f>
        <v>0</v>
      </c>
      <c r="I163">
        <f>COUNTIF('Metrics - Articles'!F162,"*GCO – Regions*")</f>
        <v>0</v>
      </c>
      <c r="J163">
        <f>COUNTIF('Metrics - Articles'!F162,"*GCO – Platform Solutions*")</f>
        <v>0</v>
      </c>
      <c r="K163">
        <f>COUNTIF('Metrics - Articles'!F162,"*GCO – Industry Cloud *")</f>
        <v>0</v>
      </c>
      <c r="L163">
        <f>COUNTIF('Metrics - Articles'!F162,"*GCO – Customer Engagement &amp; Commerce (CRM &amp; hybris) *")</f>
        <v>0</v>
      </c>
      <c r="M163">
        <f>COUNTIF('Metrics - Articles'!F162,"*GCO – HR (SuccessFactors)*")</f>
        <v>0</v>
      </c>
      <c r="N163">
        <f>COUNTIF('Metrics - Articles'!F162,"*GCO – Services Sales*")</f>
        <v>0</v>
      </c>
      <c r="O163">
        <f>COUNTIF('Metrics - Articles'!F162,"*GCO – Other*")</f>
        <v>0</v>
      </c>
      <c r="P163">
        <f>COUNTIF('Metrics - Articles'!F162,"*Corporate*")</f>
        <v>1</v>
      </c>
      <c r="R163" s="53">
        <f t="shared" si="4"/>
        <v>1</v>
      </c>
    </row>
    <row r="164" spans="2:18" x14ac:dyDescent="0.25">
      <c r="B164" s="48">
        <f>+'Metrics - Articles'!C163</f>
        <v>42137</v>
      </c>
      <c r="C164">
        <f>COUNTIF('Metrics - Articles'!F163,"*GPO (Partner, Ecosystem, Channels)*")</f>
        <v>0</v>
      </c>
      <c r="D164">
        <f>COUNTIF('Metrics - Articles'!F163,"*Office of the CEO*")</f>
        <v>0</v>
      </c>
      <c r="E164">
        <f>COUNTIF('Metrics - Articles'!F163,"*Services Delivery &amp; Support (go-lives and deployments) *")</f>
        <v>0</v>
      </c>
      <c r="F164">
        <f>COUNTIF('Metrics - Articles'!F163,"*Human Resources (SAP HR and employee stories)*")</f>
        <v>1</v>
      </c>
      <c r="G164">
        <f>COUNTIF('Metrics - Articles'!F163,"*P&amp;I (Research &amp; Development)*")</f>
        <v>0</v>
      </c>
      <c r="H164">
        <f>COUNTIF('Metrics - Articles'!F163,"*Business Network (Concur, Ariba, Fieldglass)*")</f>
        <v>0</v>
      </c>
      <c r="I164">
        <f>COUNTIF('Metrics - Articles'!F163,"*GCO – Regions*")</f>
        <v>0</v>
      </c>
      <c r="J164">
        <f>COUNTIF('Metrics - Articles'!F163,"*GCO – Platform Solutions*")</f>
        <v>0</v>
      </c>
      <c r="K164">
        <f>COUNTIF('Metrics - Articles'!F163,"*GCO – Industry Cloud *")</f>
        <v>0</v>
      </c>
      <c r="L164">
        <f>COUNTIF('Metrics - Articles'!F163,"*GCO – Customer Engagement &amp; Commerce (CRM &amp; hybris) *")</f>
        <v>0</v>
      </c>
      <c r="M164">
        <f>COUNTIF('Metrics - Articles'!F163,"*GCO – HR (SuccessFactors)*")</f>
        <v>0</v>
      </c>
      <c r="N164">
        <f>COUNTIF('Metrics - Articles'!F163,"*GCO – Services Sales*")</f>
        <v>0</v>
      </c>
      <c r="O164">
        <f>COUNTIF('Metrics - Articles'!F163,"*GCO – Other*")</f>
        <v>0</v>
      </c>
      <c r="P164">
        <f>COUNTIF('Metrics - Articles'!F163,"*Corporate*")</f>
        <v>0</v>
      </c>
      <c r="R164" s="53">
        <f t="shared" si="4"/>
        <v>1</v>
      </c>
    </row>
    <row r="165" spans="2:18" x14ac:dyDescent="0.25">
      <c r="B165" s="48">
        <f>+'Metrics - Articles'!C164</f>
        <v>42138</v>
      </c>
      <c r="C165">
        <f>COUNTIF('Metrics - Articles'!F164,"*GPO (Partner, Ecosystem, Channels)*")</f>
        <v>0</v>
      </c>
      <c r="D165">
        <f>COUNTIF('Metrics - Articles'!F164,"*Office of the CEO*")</f>
        <v>0</v>
      </c>
      <c r="E165">
        <f>COUNTIF('Metrics - Articles'!F164,"*Services Delivery &amp; Support (go-lives and deployments) *")</f>
        <v>0</v>
      </c>
      <c r="F165">
        <f>COUNTIF('Metrics - Articles'!F164,"*Human Resources (SAP HR and employee stories)*")</f>
        <v>0</v>
      </c>
      <c r="G165">
        <f>COUNTIF('Metrics - Articles'!F164,"*P&amp;I (Research &amp; Development)*")</f>
        <v>0</v>
      </c>
      <c r="H165">
        <f>COUNTIF('Metrics - Articles'!F164,"*Business Network (Concur, Ariba, Fieldglass)*")</f>
        <v>0</v>
      </c>
      <c r="I165">
        <f>COUNTIF('Metrics - Articles'!F164,"*GCO – Regions*")</f>
        <v>0</v>
      </c>
      <c r="J165">
        <f>COUNTIF('Metrics - Articles'!F164,"*GCO – Platform Solutions*")</f>
        <v>1</v>
      </c>
      <c r="K165">
        <f>COUNTIF('Metrics - Articles'!F164,"*GCO – Industry Cloud *")</f>
        <v>0</v>
      </c>
      <c r="L165">
        <f>COUNTIF('Metrics - Articles'!F164,"*GCO – Customer Engagement &amp; Commerce (CRM &amp; hybris) *")</f>
        <v>0</v>
      </c>
      <c r="M165">
        <f>COUNTIF('Metrics - Articles'!F164,"*GCO – HR (SuccessFactors)*")</f>
        <v>0</v>
      </c>
      <c r="N165">
        <f>COUNTIF('Metrics - Articles'!F164,"*GCO – Services Sales*")</f>
        <v>0</v>
      </c>
      <c r="O165">
        <f>COUNTIF('Metrics - Articles'!F164,"*GCO – Other*")</f>
        <v>0</v>
      </c>
      <c r="P165">
        <f>COUNTIF('Metrics - Articles'!F164,"*Corporate*")</f>
        <v>0</v>
      </c>
      <c r="R165" s="53">
        <f t="shared" si="4"/>
        <v>1</v>
      </c>
    </row>
    <row r="166" spans="2:18" x14ac:dyDescent="0.25">
      <c r="B166" s="48">
        <f>+'Metrics - Articles'!C165</f>
        <v>42139</v>
      </c>
      <c r="C166">
        <f>COUNTIF('Metrics - Articles'!F165,"*GPO (Partner, Ecosystem, Channels)*")</f>
        <v>0</v>
      </c>
      <c r="D166">
        <f>COUNTIF('Metrics - Articles'!F165,"*Office of the CEO*")</f>
        <v>0</v>
      </c>
      <c r="E166">
        <f>COUNTIF('Metrics - Articles'!F165,"*Services Delivery &amp; Support (go-lives and deployments) *")</f>
        <v>0</v>
      </c>
      <c r="F166">
        <f>COUNTIF('Metrics - Articles'!F165,"*Human Resources (SAP HR and employee stories)*")</f>
        <v>0</v>
      </c>
      <c r="G166">
        <f>COUNTIF('Metrics - Articles'!F165,"*P&amp;I (Research &amp; Development)*")</f>
        <v>0</v>
      </c>
      <c r="H166">
        <f>COUNTIF('Metrics - Articles'!F165,"*Business Network (Concur, Ariba, Fieldglass)*")</f>
        <v>0</v>
      </c>
      <c r="I166">
        <f>COUNTIF('Metrics - Articles'!F165,"*GCO – Regions*")</f>
        <v>0</v>
      </c>
      <c r="J166">
        <f>COUNTIF('Metrics - Articles'!F165,"*GCO – Platform Solutions*")</f>
        <v>0</v>
      </c>
      <c r="K166">
        <f>COUNTIF('Metrics - Articles'!F165,"*GCO – Industry Cloud *")</f>
        <v>0</v>
      </c>
      <c r="L166">
        <f>COUNTIF('Metrics - Articles'!F165,"*GCO – Customer Engagement &amp; Commerce (CRM &amp; hybris) *")</f>
        <v>0</v>
      </c>
      <c r="M166">
        <f>COUNTIF('Metrics - Articles'!F165,"*GCO – HR (SuccessFactors)*")</f>
        <v>0</v>
      </c>
      <c r="N166">
        <f>COUNTIF('Metrics - Articles'!F165,"*GCO – Services Sales*")</f>
        <v>0</v>
      </c>
      <c r="O166">
        <f>COUNTIF('Metrics - Articles'!F165,"*GCO – Other*")</f>
        <v>0</v>
      </c>
      <c r="P166">
        <f>COUNTIF('Metrics - Articles'!F165,"*Corporate*")</f>
        <v>1</v>
      </c>
      <c r="R166" s="53">
        <f t="shared" si="4"/>
        <v>1</v>
      </c>
    </row>
    <row r="167" spans="2:18" x14ac:dyDescent="0.25">
      <c r="B167" s="48">
        <f>+'Metrics - Articles'!C166</f>
        <v>42142</v>
      </c>
      <c r="C167">
        <f>COUNTIF('Metrics - Articles'!F166,"*GPO (Partner, Ecosystem, Channels)*")</f>
        <v>0</v>
      </c>
      <c r="D167">
        <f>COUNTIF('Metrics - Articles'!F166,"*Office of the CEO*")</f>
        <v>0</v>
      </c>
      <c r="E167">
        <f>COUNTIF('Metrics - Articles'!F166,"*Services Delivery &amp; Support (go-lives and deployments) *")</f>
        <v>0</v>
      </c>
      <c r="F167">
        <f>COUNTIF('Metrics - Articles'!F166,"*Human Resources (SAP HR and employee stories)*")</f>
        <v>0</v>
      </c>
      <c r="G167">
        <f>COUNTIF('Metrics - Articles'!F166,"*P&amp;I (Research &amp; Development)*")</f>
        <v>1</v>
      </c>
      <c r="H167">
        <f>COUNTIF('Metrics - Articles'!F166,"*Business Network (Concur, Ariba, Fieldglass)*")</f>
        <v>0</v>
      </c>
      <c r="I167">
        <f>COUNTIF('Metrics - Articles'!F166,"*GCO – Regions*")</f>
        <v>0</v>
      </c>
      <c r="J167">
        <f>COUNTIF('Metrics - Articles'!F166,"*GCO – Platform Solutions*")</f>
        <v>0</v>
      </c>
      <c r="K167">
        <f>COUNTIF('Metrics - Articles'!F166,"*GCO – Industry Cloud *")</f>
        <v>0</v>
      </c>
      <c r="L167">
        <f>COUNTIF('Metrics - Articles'!F166,"*GCO – Customer Engagement &amp; Commerce (CRM &amp; hybris) *")</f>
        <v>0</v>
      </c>
      <c r="M167">
        <f>COUNTIF('Metrics - Articles'!F166,"*GCO – HR (SuccessFactors)*")</f>
        <v>0</v>
      </c>
      <c r="N167">
        <f>COUNTIF('Metrics - Articles'!F166,"*GCO – Services Sales*")</f>
        <v>0</v>
      </c>
      <c r="O167">
        <f>COUNTIF('Metrics - Articles'!F166,"*GCO – Other*")</f>
        <v>0</v>
      </c>
      <c r="P167">
        <f>COUNTIF('Metrics - Articles'!F166,"*Corporate*")</f>
        <v>0</v>
      </c>
      <c r="R167" s="53">
        <f t="shared" si="4"/>
        <v>1</v>
      </c>
    </row>
    <row r="168" spans="2:18" x14ac:dyDescent="0.25">
      <c r="B168" s="48">
        <f>+'Metrics - Articles'!C167</f>
        <v>42143</v>
      </c>
      <c r="C168">
        <f>COUNTIF('Metrics - Articles'!F167,"*GPO (Partner, Ecosystem, Channels)*")</f>
        <v>0</v>
      </c>
      <c r="D168">
        <f>COUNTIF('Metrics - Articles'!F167,"*Office of the CEO*")</f>
        <v>0</v>
      </c>
      <c r="E168">
        <f>COUNTIF('Metrics - Articles'!F167,"*Services Delivery &amp; Support (go-lives and deployments) *")</f>
        <v>0</v>
      </c>
      <c r="F168">
        <f>COUNTIF('Metrics - Articles'!F167,"*Human Resources (SAP HR and employee stories)*")</f>
        <v>1</v>
      </c>
      <c r="G168">
        <f>COUNTIF('Metrics - Articles'!F167,"*P&amp;I (Research &amp; Development)*")</f>
        <v>0</v>
      </c>
      <c r="H168">
        <f>COUNTIF('Metrics - Articles'!F167,"*Business Network (Concur, Ariba, Fieldglass)*")</f>
        <v>0</v>
      </c>
      <c r="I168">
        <f>COUNTIF('Metrics - Articles'!F167,"*GCO – Regions*")</f>
        <v>0</v>
      </c>
      <c r="J168">
        <f>COUNTIF('Metrics - Articles'!F167,"*GCO – Platform Solutions*")</f>
        <v>0</v>
      </c>
      <c r="K168">
        <f>COUNTIF('Metrics - Articles'!F167,"*GCO – Industry Cloud *")</f>
        <v>0</v>
      </c>
      <c r="L168">
        <f>COUNTIF('Metrics - Articles'!F167,"*GCO – Customer Engagement &amp; Commerce (CRM &amp; hybris) *")</f>
        <v>0</v>
      </c>
      <c r="M168">
        <f>COUNTIF('Metrics - Articles'!F167,"*GCO – HR (SuccessFactors)*")</f>
        <v>0</v>
      </c>
      <c r="N168">
        <f>COUNTIF('Metrics - Articles'!F167,"*GCO – Services Sales*")</f>
        <v>0</v>
      </c>
      <c r="O168">
        <f>COUNTIF('Metrics - Articles'!F167,"*GCO – Other*")</f>
        <v>0</v>
      </c>
      <c r="P168">
        <f>COUNTIF('Metrics - Articles'!F167,"*Corporate*")</f>
        <v>0</v>
      </c>
      <c r="R168" s="53">
        <f t="shared" si="4"/>
        <v>1</v>
      </c>
    </row>
    <row r="169" spans="2:18" x14ac:dyDescent="0.25">
      <c r="B169" s="48">
        <f>+'Metrics - Articles'!C168</f>
        <v>42144</v>
      </c>
      <c r="C169">
        <f>COUNTIF('Metrics - Articles'!F168,"*GPO (Partner, Ecosystem, Channels)*")</f>
        <v>0</v>
      </c>
      <c r="D169">
        <f>COUNTIF('Metrics - Articles'!F168,"*Office of the CEO*")</f>
        <v>0</v>
      </c>
      <c r="E169">
        <f>COUNTIF('Metrics - Articles'!F168,"*Services Delivery &amp; Support (go-lives and deployments) *")</f>
        <v>0</v>
      </c>
      <c r="F169">
        <f>COUNTIF('Metrics - Articles'!F168,"*Human Resources (SAP HR and employee stories)*")</f>
        <v>1</v>
      </c>
      <c r="G169">
        <f>COUNTIF('Metrics - Articles'!F168,"*P&amp;I (Research &amp; Development)*")</f>
        <v>0</v>
      </c>
      <c r="H169">
        <f>COUNTIF('Metrics - Articles'!F168,"*Business Network (Concur, Ariba, Fieldglass)*")</f>
        <v>0</v>
      </c>
      <c r="I169">
        <f>COUNTIF('Metrics - Articles'!F168,"*GCO – Regions*")</f>
        <v>0</v>
      </c>
      <c r="J169">
        <f>COUNTIF('Metrics - Articles'!F168,"*GCO – Platform Solutions*")</f>
        <v>0</v>
      </c>
      <c r="K169">
        <f>COUNTIF('Metrics - Articles'!F168,"*GCO – Industry Cloud *")</f>
        <v>0</v>
      </c>
      <c r="L169">
        <f>COUNTIF('Metrics - Articles'!F168,"*GCO – Customer Engagement &amp; Commerce (CRM &amp; hybris) *")</f>
        <v>0</v>
      </c>
      <c r="M169">
        <f>COUNTIF('Metrics - Articles'!F168,"*GCO – HR (SuccessFactors)*")</f>
        <v>0</v>
      </c>
      <c r="N169">
        <f>COUNTIF('Metrics - Articles'!F168,"*GCO – Services Sales*")</f>
        <v>0</v>
      </c>
      <c r="O169">
        <f>COUNTIF('Metrics - Articles'!F168,"*GCO – Other*")</f>
        <v>0</v>
      </c>
      <c r="P169">
        <f>COUNTIF('Metrics - Articles'!F168,"*Corporate*")</f>
        <v>0</v>
      </c>
      <c r="R169" s="53">
        <f t="shared" si="4"/>
        <v>1</v>
      </c>
    </row>
    <row r="170" spans="2:18" x14ac:dyDescent="0.25">
      <c r="B170" s="48">
        <f>+'Metrics - Articles'!C169</f>
        <v>42144</v>
      </c>
      <c r="C170">
        <f>COUNTIF('Metrics - Articles'!F169,"*GPO (Partner, Ecosystem, Channels)*")</f>
        <v>0</v>
      </c>
      <c r="D170">
        <f>COUNTIF('Metrics - Articles'!F169,"*Office of the CEO*")</f>
        <v>0</v>
      </c>
      <c r="E170">
        <f>COUNTIF('Metrics - Articles'!F169,"*Services Delivery &amp; Support (go-lives and deployments) *")</f>
        <v>0</v>
      </c>
      <c r="F170">
        <f>COUNTIF('Metrics - Articles'!F169,"*Human Resources (SAP HR and employee stories)*")</f>
        <v>0</v>
      </c>
      <c r="G170">
        <f>COUNTIF('Metrics - Articles'!F169,"*P&amp;I (Research &amp; Development)*")</f>
        <v>0</v>
      </c>
      <c r="H170">
        <f>COUNTIF('Metrics - Articles'!F169,"*Business Network (Concur, Ariba, Fieldglass)*")</f>
        <v>0</v>
      </c>
      <c r="I170">
        <f>COUNTIF('Metrics - Articles'!F169,"*GCO – Regions*")</f>
        <v>0</v>
      </c>
      <c r="J170">
        <f>COUNTIF('Metrics - Articles'!F169,"*GCO – Platform Solutions*")</f>
        <v>0</v>
      </c>
      <c r="K170">
        <f>COUNTIF('Metrics - Articles'!F169,"*GCO – Industry Cloud *")</f>
        <v>0</v>
      </c>
      <c r="L170">
        <f>COUNTIF('Metrics - Articles'!F169,"*GCO – Customer Engagement &amp; Commerce (CRM &amp; hybris) *")</f>
        <v>1</v>
      </c>
      <c r="M170">
        <f>COUNTIF('Metrics - Articles'!F169,"*GCO – HR (SuccessFactors)*")</f>
        <v>0</v>
      </c>
      <c r="N170">
        <f>COUNTIF('Metrics - Articles'!F169,"*GCO – Services Sales*")</f>
        <v>0</v>
      </c>
      <c r="O170">
        <f>COUNTIF('Metrics - Articles'!F169,"*GCO – Other*")</f>
        <v>0</v>
      </c>
      <c r="P170">
        <f>COUNTIF('Metrics - Articles'!F169,"*Corporate*")</f>
        <v>0</v>
      </c>
      <c r="R170" s="53">
        <f t="shared" si="4"/>
        <v>1</v>
      </c>
    </row>
    <row r="171" spans="2:18" x14ac:dyDescent="0.25">
      <c r="B171" s="48">
        <f>+'Metrics - Articles'!C170</f>
        <v>42146</v>
      </c>
      <c r="C171">
        <f>COUNTIF('Metrics - Articles'!F170,"*GPO (Partner, Ecosystem, Channels)*")</f>
        <v>0</v>
      </c>
      <c r="D171">
        <f>COUNTIF('Metrics - Articles'!F170,"*Office of the CEO*")</f>
        <v>0</v>
      </c>
      <c r="E171">
        <f>COUNTIF('Metrics - Articles'!F170,"*Services Delivery &amp; Support (go-lives and deployments) *")</f>
        <v>0</v>
      </c>
      <c r="F171">
        <f>COUNTIF('Metrics - Articles'!F170,"*Human Resources (SAP HR and employee stories)*")</f>
        <v>0</v>
      </c>
      <c r="G171">
        <f>COUNTIF('Metrics - Articles'!F170,"*P&amp;I (Research &amp; Development)*")</f>
        <v>0</v>
      </c>
      <c r="H171">
        <f>COUNTIF('Metrics - Articles'!F170,"*Business Network (Concur, Ariba, Fieldglass)*")</f>
        <v>0</v>
      </c>
      <c r="I171">
        <f>COUNTIF('Metrics - Articles'!F170,"*GCO – Regions*")</f>
        <v>0</v>
      </c>
      <c r="J171">
        <f>COUNTIF('Metrics - Articles'!F170,"*GCO – Platform Solutions*")</f>
        <v>0</v>
      </c>
      <c r="K171">
        <f>COUNTIF('Metrics - Articles'!F170,"*GCO – Industry Cloud *")</f>
        <v>0</v>
      </c>
      <c r="L171">
        <f>COUNTIF('Metrics - Articles'!F170,"*GCO – Customer Engagement &amp; Commerce (CRM &amp; hybris) *")</f>
        <v>0</v>
      </c>
      <c r="M171">
        <f>COUNTIF('Metrics - Articles'!F170,"*GCO – HR (SuccessFactors)*")</f>
        <v>0</v>
      </c>
      <c r="N171">
        <f>COUNTIF('Metrics - Articles'!F170,"*GCO – Services Sales*")</f>
        <v>0</v>
      </c>
      <c r="O171">
        <f>COUNTIF('Metrics - Articles'!F170,"*GCO – Other*")</f>
        <v>0</v>
      </c>
      <c r="P171">
        <f>COUNTIF('Metrics - Articles'!F170,"*Corporate*")</f>
        <v>1</v>
      </c>
      <c r="R171" s="53">
        <f t="shared" si="4"/>
        <v>1</v>
      </c>
    </row>
    <row r="172" spans="2:18" x14ac:dyDescent="0.25">
      <c r="B172" s="48">
        <f>+'Metrics - Articles'!C171</f>
        <v>42146</v>
      </c>
      <c r="C172">
        <f>COUNTIF('Metrics - Articles'!F171,"*GPO (Partner, Ecosystem, Channels)*")</f>
        <v>1</v>
      </c>
      <c r="D172">
        <f>COUNTIF('Metrics - Articles'!F171,"*Office of the CEO*")</f>
        <v>0</v>
      </c>
      <c r="E172">
        <f>COUNTIF('Metrics - Articles'!F171,"*Services Delivery &amp; Support (go-lives and deployments) *")</f>
        <v>0</v>
      </c>
      <c r="F172">
        <f>COUNTIF('Metrics - Articles'!F171,"*Human Resources (SAP HR and employee stories)*")</f>
        <v>0</v>
      </c>
      <c r="G172">
        <f>COUNTIF('Metrics - Articles'!F171,"*P&amp;I (Research &amp; Development)*")</f>
        <v>0</v>
      </c>
      <c r="H172">
        <f>COUNTIF('Metrics - Articles'!F171,"*Business Network (Concur, Ariba, Fieldglass)*")</f>
        <v>0</v>
      </c>
      <c r="I172">
        <f>COUNTIF('Metrics - Articles'!F171,"*GCO – Regions*")</f>
        <v>0</v>
      </c>
      <c r="J172">
        <f>COUNTIF('Metrics - Articles'!F171,"*GCO – Platform Solutions*")</f>
        <v>0</v>
      </c>
      <c r="K172">
        <f>COUNTIF('Metrics - Articles'!F171,"*GCO – Industry Cloud *")</f>
        <v>0</v>
      </c>
      <c r="L172">
        <f>COUNTIF('Metrics - Articles'!F171,"*GCO – Customer Engagement &amp; Commerce (CRM &amp; hybris) *")</f>
        <v>0</v>
      </c>
      <c r="M172">
        <f>COUNTIF('Metrics - Articles'!F171,"*GCO – HR (SuccessFactors)*")</f>
        <v>0</v>
      </c>
      <c r="N172">
        <f>COUNTIF('Metrics - Articles'!F171,"*GCO – Services Sales*")</f>
        <v>0</v>
      </c>
      <c r="O172">
        <f>COUNTIF('Metrics - Articles'!F171,"*GCO – Other*")</f>
        <v>0</v>
      </c>
      <c r="P172">
        <f>COUNTIF('Metrics - Articles'!F171,"*Corporate*")</f>
        <v>0</v>
      </c>
      <c r="R172" s="53">
        <f t="shared" si="4"/>
        <v>1</v>
      </c>
    </row>
    <row r="173" spans="2:18" x14ac:dyDescent="0.25">
      <c r="B173" s="48">
        <f>+'Metrics - Articles'!C172</f>
        <v>42149</v>
      </c>
      <c r="C173">
        <f>COUNTIF('Metrics - Articles'!F172,"*GPO (Partner, Ecosystem, Channels)*")</f>
        <v>0</v>
      </c>
      <c r="D173">
        <f>COUNTIF('Metrics - Articles'!F172,"*Office of the CEO*")</f>
        <v>0</v>
      </c>
      <c r="E173">
        <f>COUNTIF('Metrics - Articles'!F172,"*Services Delivery &amp; Support (go-lives and deployments) *")</f>
        <v>0</v>
      </c>
      <c r="F173">
        <f>COUNTIF('Metrics - Articles'!F172,"*Human Resources (SAP HR and employee stories)*")</f>
        <v>0</v>
      </c>
      <c r="G173">
        <f>COUNTIF('Metrics - Articles'!F172,"*P&amp;I (Research &amp; Development)*")</f>
        <v>0</v>
      </c>
      <c r="H173">
        <f>COUNTIF('Metrics - Articles'!F172,"*Business Network (Concur, Ariba, Fieldglass)*")</f>
        <v>0</v>
      </c>
      <c r="I173">
        <f>COUNTIF('Metrics - Articles'!F172,"*GCO – Regions*")</f>
        <v>0</v>
      </c>
      <c r="J173">
        <f>COUNTIF('Metrics - Articles'!F172,"*GCO – Platform Solutions*")</f>
        <v>1</v>
      </c>
      <c r="K173">
        <f>COUNTIF('Metrics - Articles'!F172,"*GCO – Industry Cloud *")</f>
        <v>0</v>
      </c>
      <c r="L173">
        <f>COUNTIF('Metrics - Articles'!F172,"*GCO – Customer Engagement &amp; Commerce (CRM &amp; hybris) *")</f>
        <v>0</v>
      </c>
      <c r="M173">
        <f>COUNTIF('Metrics - Articles'!F172,"*GCO – HR (SuccessFactors)*")</f>
        <v>0</v>
      </c>
      <c r="N173">
        <f>COUNTIF('Metrics - Articles'!F172,"*GCO – Services Sales*")</f>
        <v>0</v>
      </c>
      <c r="O173">
        <f>COUNTIF('Metrics - Articles'!F172,"*GCO – Other*")</f>
        <v>0</v>
      </c>
      <c r="P173">
        <f>COUNTIF('Metrics - Articles'!F172,"*Corporate*")</f>
        <v>0</v>
      </c>
      <c r="R173" s="53">
        <f t="shared" si="4"/>
        <v>1</v>
      </c>
    </row>
    <row r="174" spans="2:18" x14ac:dyDescent="0.25">
      <c r="B174" s="48">
        <f>+'Metrics - Articles'!C173</f>
        <v>42150</v>
      </c>
      <c r="C174">
        <f>COUNTIF('Metrics - Articles'!F173,"*GPO (Partner, Ecosystem, Channels)*")</f>
        <v>0</v>
      </c>
      <c r="D174">
        <f>COUNTIF('Metrics - Articles'!F173,"*Office of the CEO*")</f>
        <v>0</v>
      </c>
      <c r="E174">
        <f>COUNTIF('Metrics - Articles'!F173,"*Services Delivery &amp; Support (go-lives and deployments) *")</f>
        <v>0</v>
      </c>
      <c r="F174">
        <f>COUNTIF('Metrics - Articles'!F173,"*Human Resources (SAP HR and employee stories)*")</f>
        <v>0</v>
      </c>
      <c r="G174">
        <f>COUNTIF('Metrics - Articles'!F173,"*P&amp;I (Research &amp; Development)*")</f>
        <v>1</v>
      </c>
      <c r="H174">
        <f>COUNTIF('Metrics - Articles'!F173,"*Business Network (Concur, Ariba, Fieldglass)*")</f>
        <v>0</v>
      </c>
      <c r="I174">
        <f>COUNTIF('Metrics - Articles'!F173,"*GCO – Regions*")</f>
        <v>0</v>
      </c>
      <c r="J174">
        <f>COUNTIF('Metrics - Articles'!F173,"*GCO – Platform Solutions*")</f>
        <v>0</v>
      </c>
      <c r="K174">
        <f>COUNTIF('Metrics - Articles'!F173,"*GCO – Industry Cloud *")</f>
        <v>0</v>
      </c>
      <c r="L174">
        <f>COUNTIF('Metrics - Articles'!F173,"*GCO – Customer Engagement &amp; Commerce (CRM &amp; hybris) *")</f>
        <v>0</v>
      </c>
      <c r="M174">
        <f>COUNTIF('Metrics - Articles'!F173,"*GCO – HR (SuccessFactors)*")</f>
        <v>0</v>
      </c>
      <c r="N174">
        <f>COUNTIF('Metrics - Articles'!F173,"*GCO – Services Sales*")</f>
        <v>0</v>
      </c>
      <c r="O174">
        <f>COUNTIF('Metrics - Articles'!F173,"*GCO – Other*")</f>
        <v>0</v>
      </c>
      <c r="P174">
        <f>COUNTIF('Metrics - Articles'!F173,"*Corporate*")</f>
        <v>0</v>
      </c>
      <c r="R174" s="53">
        <f t="shared" si="4"/>
        <v>1</v>
      </c>
    </row>
    <row r="175" spans="2:18" x14ac:dyDescent="0.25">
      <c r="B175" s="48">
        <f>+'Metrics - Articles'!C174</f>
        <v>42151</v>
      </c>
      <c r="C175">
        <f>COUNTIF('Metrics - Articles'!F174,"*GPO (Partner, Ecosystem, Channels)*")</f>
        <v>0</v>
      </c>
      <c r="D175">
        <f>COUNTIF('Metrics - Articles'!F174,"*Office of the CEO*")</f>
        <v>0</v>
      </c>
      <c r="E175">
        <f>COUNTIF('Metrics - Articles'!F174,"*Services Delivery &amp; Support (go-lives and deployments) *")</f>
        <v>0</v>
      </c>
      <c r="F175">
        <f>COUNTIF('Metrics - Articles'!F174,"*Human Resources (SAP HR and employee stories)*")</f>
        <v>1</v>
      </c>
      <c r="G175">
        <f>COUNTIF('Metrics - Articles'!F174,"*P&amp;I (Research &amp; Development)*")</f>
        <v>0</v>
      </c>
      <c r="H175">
        <f>COUNTIF('Metrics - Articles'!F174,"*Business Network (Concur, Ariba, Fieldglass)*")</f>
        <v>0</v>
      </c>
      <c r="I175">
        <f>COUNTIF('Metrics - Articles'!F174,"*GCO – Regions*")</f>
        <v>0</v>
      </c>
      <c r="J175">
        <f>COUNTIF('Metrics - Articles'!F174,"*GCO – Platform Solutions*")</f>
        <v>0</v>
      </c>
      <c r="K175">
        <f>COUNTIF('Metrics - Articles'!F174,"*GCO – Industry Cloud *")</f>
        <v>0</v>
      </c>
      <c r="L175">
        <f>COUNTIF('Metrics - Articles'!F174,"*GCO – Customer Engagement &amp; Commerce (CRM &amp; hybris) *")</f>
        <v>0</v>
      </c>
      <c r="M175">
        <f>COUNTIF('Metrics - Articles'!F174,"*GCO – HR (SuccessFactors)*")</f>
        <v>0</v>
      </c>
      <c r="N175">
        <f>COUNTIF('Metrics - Articles'!F174,"*GCO – Services Sales*")</f>
        <v>0</v>
      </c>
      <c r="O175">
        <f>COUNTIF('Metrics - Articles'!F174,"*GCO – Other*")</f>
        <v>0</v>
      </c>
      <c r="P175">
        <f>COUNTIF('Metrics - Articles'!F174,"*Corporate*")</f>
        <v>0</v>
      </c>
      <c r="R175" s="53">
        <f t="shared" si="4"/>
        <v>1</v>
      </c>
    </row>
    <row r="176" spans="2:18" x14ac:dyDescent="0.25">
      <c r="B176" s="48">
        <f>+'Metrics - Articles'!C175</f>
        <v>42151</v>
      </c>
      <c r="C176">
        <f>COUNTIF('Metrics - Articles'!F175,"*GPO (Partner, Ecosystem, Channels)*")</f>
        <v>1</v>
      </c>
      <c r="D176">
        <f>COUNTIF('Metrics - Articles'!F175,"*Office of the CEO*")</f>
        <v>0</v>
      </c>
      <c r="E176">
        <f>COUNTIF('Metrics - Articles'!F175,"*Services Delivery &amp; Support (go-lives and deployments) *")</f>
        <v>0</v>
      </c>
      <c r="F176">
        <f>COUNTIF('Metrics - Articles'!F175,"*Human Resources (SAP HR and employee stories)*")</f>
        <v>0</v>
      </c>
      <c r="G176">
        <f>COUNTIF('Metrics - Articles'!F175,"*P&amp;I (Research &amp; Development)*")</f>
        <v>0</v>
      </c>
      <c r="H176">
        <f>COUNTIF('Metrics - Articles'!F175,"*Business Network (Concur, Ariba, Fieldglass)*")</f>
        <v>0</v>
      </c>
      <c r="I176">
        <f>COUNTIF('Metrics - Articles'!F175,"*GCO – Regions*")</f>
        <v>0</v>
      </c>
      <c r="J176">
        <f>COUNTIF('Metrics - Articles'!F175,"*GCO – Platform Solutions*")</f>
        <v>0</v>
      </c>
      <c r="K176">
        <f>COUNTIF('Metrics - Articles'!F175,"*GCO – Industry Cloud *")</f>
        <v>0</v>
      </c>
      <c r="L176">
        <f>COUNTIF('Metrics - Articles'!F175,"*GCO – Customer Engagement &amp; Commerce (CRM &amp; hybris) *")</f>
        <v>0</v>
      </c>
      <c r="M176">
        <f>COUNTIF('Metrics - Articles'!F175,"*GCO – HR (SuccessFactors)*")</f>
        <v>0</v>
      </c>
      <c r="N176">
        <f>COUNTIF('Metrics - Articles'!F175,"*GCO – Services Sales*")</f>
        <v>0</v>
      </c>
      <c r="O176">
        <f>COUNTIF('Metrics - Articles'!F175,"*GCO – Other*")</f>
        <v>0</v>
      </c>
      <c r="P176">
        <f>COUNTIF('Metrics - Articles'!F175,"*Corporate*")</f>
        <v>0</v>
      </c>
      <c r="R176" s="53">
        <f t="shared" si="4"/>
        <v>1</v>
      </c>
    </row>
    <row r="177" spans="2:18" x14ac:dyDescent="0.25">
      <c r="B177" s="48">
        <f>+'Metrics - Articles'!C176</f>
        <v>42151</v>
      </c>
      <c r="C177">
        <f>COUNTIF('Metrics - Articles'!F176,"*GPO (Partner, Ecosystem, Channels)*")</f>
        <v>0</v>
      </c>
      <c r="D177">
        <f>COUNTIF('Metrics - Articles'!F176,"*Office of the CEO*")</f>
        <v>0</v>
      </c>
      <c r="E177">
        <f>COUNTIF('Metrics - Articles'!F176,"*Services Delivery &amp; Support (go-lives and deployments) *")</f>
        <v>0</v>
      </c>
      <c r="F177">
        <f>COUNTIF('Metrics - Articles'!F176,"*Human Resources (SAP HR and employee stories)*")</f>
        <v>0</v>
      </c>
      <c r="G177">
        <f>COUNTIF('Metrics - Articles'!F176,"*P&amp;I (Research &amp; Development)*")</f>
        <v>1</v>
      </c>
      <c r="H177">
        <f>COUNTIF('Metrics - Articles'!F176,"*Business Network (Concur, Ariba, Fieldglass)*")</f>
        <v>0</v>
      </c>
      <c r="I177">
        <f>COUNTIF('Metrics - Articles'!F176,"*GCO – Regions*")</f>
        <v>0</v>
      </c>
      <c r="J177">
        <f>COUNTIF('Metrics - Articles'!F176,"*GCO – Platform Solutions*")</f>
        <v>0</v>
      </c>
      <c r="K177">
        <f>COUNTIF('Metrics - Articles'!F176,"*GCO – Industry Cloud *")</f>
        <v>0</v>
      </c>
      <c r="L177">
        <f>COUNTIF('Metrics - Articles'!F176,"*GCO – Customer Engagement &amp; Commerce (CRM &amp; hybris) *")</f>
        <v>0</v>
      </c>
      <c r="M177">
        <f>COUNTIF('Metrics - Articles'!F176,"*GCO – HR (SuccessFactors)*")</f>
        <v>0</v>
      </c>
      <c r="N177">
        <f>COUNTIF('Metrics - Articles'!F176,"*GCO – Services Sales*")</f>
        <v>0</v>
      </c>
      <c r="O177">
        <f>COUNTIF('Metrics - Articles'!F176,"*GCO – Other*")</f>
        <v>0</v>
      </c>
      <c r="P177">
        <f>COUNTIF('Metrics - Articles'!F176,"*Corporate*")</f>
        <v>0</v>
      </c>
      <c r="R177" s="53">
        <f t="shared" si="4"/>
        <v>1</v>
      </c>
    </row>
    <row r="178" spans="2:18" x14ac:dyDescent="0.25">
      <c r="B178" s="48">
        <f>+'Metrics - Articles'!C177</f>
        <v>42152</v>
      </c>
      <c r="C178">
        <f>COUNTIF('Metrics - Articles'!F177,"*GPO (Partner, Ecosystem, Channels)*")</f>
        <v>0</v>
      </c>
      <c r="D178">
        <f>COUNTIF('Metrics - Articles'!F177,"*Office of the CEO*")</f>
        <v>0</v>
      </c>
      <c r="E178">
        <f>COUNTIF('Metrics - Articles'!F177,"*Services Delivery &amp; Support (go-lives and deployments) *")</f>
        <v>0</v>
      </c>
      <c r="F178">
        <f>COUNTIF('Metrics - Articles'!F177,"*Human Resources (SAP HR and employee stories)*")</f>
        <v>0</v>
      </c>
      <c r="G178">
        <f>COUNTIF('Metrics - Articles'!F177,"*P&amp;I (Research &amp; Development)*")</f>
        <v>0</v>
      </c>
      <c r="H178">
        <f>COUNTIF('Metrics - Articles'!F177,"*Business Network (Concur, Ariba, Fieldglass)*")</f>
        <v>0</v>
      </c>
      <c r="I178">
        <f>COUNTIF('Metrics - Articles'!F177,"*GCO – Regions*")</f>
        <v>0</v>
      </c>
      <c r="J178">
        <f>COUNTIF('Metrics - Articles'!F177,"*GCO – Platform Solutions*")</f>
        <v>0</v>
      </c>
      <c r="K178">
        <f>COUNTIF('Metrics - Articles'!F177,"*GCO – Industry Cloud *")</f>
        <v>0</v>
      </c>
      <c r="L178">
        <f>COUNTIF('Metrics - Articles'!F177,"*GCO – Customer Engagement &amp; Commerce (CRM &amp; hybris) *")</f>
        <v>0</v>
      </c>
      <c r="M178">
        <f>COUNTIF('Metrics - Articles'!F177,"*GCO – HR (SuccessFactors)*")</f>
        <v>0</v>
      </c>
      <c r="N178">
        <f>COUNTIF('Metrics - Articles'!F177,"*GCO – Services Sales*")</f>
        <v>0</v>
      </c>
      <c r="O178">
        <f>COUNTIF('Metrics - Articles'!F177,"*GCO – Other*")</f>
        <v>0</v>
      </c>
      <c r="P178">
        <f>COUNTIF('Metrics - Articles'!F177,"*Corporate*")</f>
        <v>1</v>
      </c>
      <c r="R178" s="53">
        <f t="shared" si="4"/>
        <v>1</v>
      </c>
    </row>
    <row r="179" spans="2:18" x14ac:dyDescent="0.25">
      <c r="B179" s="48">
        <f>+'Metrics - Articles'!C178</f>
        <v>42153</v>
      </c>
      <c r="C179">
        <f>COUNTIF('Metrics - Articles'!F178,"*GPO (Partner, Ecosystem, Channels)*")</f>
        <v>0</v>
      </c>
      <c r="D179">
        <f>COUNTIF('Metrics - Articles'!F178,"*Office of the CEO*")</f>
        <v>0</v>
      </c>
      <c r="E179">
        <f>COUNTIF('Metrics - Articles'!F178,"*Services Delivery &amp; Support (go-lives and deployments) *")</f>
        <v>0</v>
      </c>
      <c r="F179">
        <f>COUNTIF('Metrics - Articles'!F178,"*Human Resources (SAP HR and employee stories)*")</f>
        <v>1</v>
      </c>
      <c r="G179">
        <f>COUNTIF('Metrics - Articles'!F178,"*P&amp;I (Research &amp; Development)*")</f>
        <v>0</v>
      </c>
      <c r="H179">
        <f>COUNTIF('Metrics - Articles'!F178,"*Business Network (Concur, Ariba, Fieldglass)*")</f>
        <v>0</v>
      </c>
      <c r="I179">
        <f>COUNTIF('Metrics - Articles'!F178,"*GCO – Regions*")</f>
        <v>0</v>
      </c>
      <c r="J179">
        <f>COUNTIF('Metrics - Articles'!F178,"*GCO – Platform Solutions*")</f>
        <v>0</v>
      </c>
      <c r="K179">
        <f>COUNTIF('Metrics - Articles'!F178,"*GCO – Industry Cloud *")</f>
        <v>0</v>
      </c>
      <c r="L179">
        <f>COUNTIF('Metrics - Articles'!F178,"*GCO – Customer Engagement &amp; Commerce (CRM &amp; hybris) *")</f>
        <v>0</v>
      </c>
      <c r="M179">
        <f>COUNTIF('Metrics - Articles'!F178,"*GCO – HR (SuccessFactors)*")</f>
        <v>0</v>
      </c>
      <c r="N179">
        <f>COUNTIF('Metrics - Articles'!F178,"*GCO – Services Sales*")</f>
        <v>0</v>
      </c>
      <c r="O179">
        <f>COUNTIF('Metrics - Articles'!F178,"*GCO – Other*")</f>
        <v>0</v>
      </c>
      <c r="P179">
        <f>COUNTIF('Metrics - Articles'!F178,"*Corporate*")</f>
        <v>0</v>
      </c>
      <c r="R179" s="53">
        <f t="shared" si="4"/>
        <v>1</v>
      </c>
    </row>
    <row r="180" spans="2:18" x14ac:dyDescent="0.25">
      <c r="B180" s="48">
        <f>+'Metrics - Articles'!C179</f>
        <v>42153</v>
      </c>
      <c r="C180">
        <f>COUNTIF('Metrics - Articles'!F179,"*GPO (Partner, Ecosystem, Channels)*")</f>
        <v>0</v>
      </c>
      <c r="D180">
        <f>COUNTIF('Metrics - Articles'!F179,"*Office of the CEO*")</f>
        <v>0</v>
      </c>
      <c r="E180">
        <f>COUNTIF('Metrics - Articles'!F179,"*Services Delivery &amp; Support (go-lives and deployments) *")</f>
        <v>0</v>
      </c>
      <c r="F180">
        <f>COUNTIF('Metrics - Articles'!F179,"*Human Resources (SAP HR and employee stories)*")</f>
        <v>0</v>
      </c>
      <c r="G180">
        <f>COUNTIF('Metrics - Articles'!F179,"*P&amp;I (Research &amp; Development)*")</f>
        <v>0</v>
      </c>
      <c r="H180">
        <f>COUNTIF('Metrics - Articles'!F179,"*Business Network (Concur, Ariba, Fieldglass)*")</f>
        <v>0</v>
      </c>
      <c r="I180">
        <f>COUNTIF('Metrics - Articles'!F179,"*GCO – Regions*")</f>
        <v>0</v>
      </c>
      <c r="J180">
        <f>COUNTIF('Metrics - Articles'!F179,"*GCO – Platform Solutions*")</f>
        <v>0</v>
      </c>
      <c r="K180">
        <f>COUNTIF('Metrics - Articles'!F179,"*GCO – Industry Cloud *")</f>
        <v>0</v>
      </c>
      <c r="L180">
        <f>COUNTIF('Metrics - Articles'!F179,"*GCO – Customer Engagement &amp; Commerce (CRM &amp; hybris) *")</f>
        <v>0</v>
      </c>
      <c r="M180">
        <f>COUNTIF('Metrics - Articles'!F179,"*GCO – HR (SuccessFactors)*")</f>
        <v>0</v>
      </c>
      <c r="N180">
        <f>COUNTIF('Metrics - Articles'!F179,"*GCO – Services Sales*")</f>
        <v>0</v>
      </c>
      <c r="O180">
        <f>COUNTIF('Metrics - Articles'!F179,"*GCO – Other*")</f>
        <v>0</v>
      </c>
      <c r="P180">
        <f>COUNTIF('Metrics - Articles'!F179,"*Corporate*")</f>
        <v>1</v>
      </c>
      <c r="R180" s="53">
        <f t="shared" si="4"/>
        <v>1</v>
      </c>
    </row>
    <row r="181" spans="2:18" x14ac:dyDescent="0.25">
      <c r="B181" s="48">
        <f>+'Metrics - Articles'!C180</f>
        <v>42153</v>
      </c>
      <c r="C181">
        <f>COUNTIF('Metrics - Articles'!F180,"*GPO (Partner, Ecosystem, Channels)*")</f>
        <v>0</v>
      </c>
      <c r="D181">
        <f>COUNTIF('Metrics - Articles'!F180,"*Office of the CEO*")</f>
        <v>0</v>
      </c>
      <c r="E181">
        <f>COUNTIF('Metrics - Articles'!F180,"*Services Delivery &amp; Support (go-lives and deployments) *")</f>
        <v>0</v>
      </c>
      <c r="F181">
        <f>COUNTIF('Metrics - Articles'!F180,"*Human Resources (SAP HR and employee stories)*")</f>
        <v>0</v>
      </c>
      <c r="G181">
        <f>COUNTIF('Metrics - Articles'!F180,"*P&amp;I (Research &amp; Development)*")</f>
        <v>0</v>
      </c>
      <c r="H181">
        <f>COUNTIF('Metrics - Articles'!F180,"*Business Network (Concur, Ariba, Fieldglass)*")</f>
        <v>0</v>
      </c>
      <c r="I181">
        <f>COUNTIF('Metrics - Articles'!F180,"*GCO – Regions*")</f>
        <v>0</v>
      </c>
      <c r="J181">
        <f>COUNTIF('Metrics - Articles'!F180,"*GCO – Platform Solutions*")</f>
        <v>1</v>
      </c>
      <c r="K181">
        <f>COUNTIF('Metrics - Articles'!F180,"*GCO – Industry Cloud *")</f>
        <v>0</v>
      </c>
      <c r="L181">
        <f>COUNTIF('Metrics - Articles'!F180,"*GCO – Customer Engagement &amp; Commerce (CRM &amp; hybris) *")</f>
        <v>0</v>
      </c>
      <c r="M181">
        <f>COUNTIF('Metrics - Articles'!F180,"*GCO – HR (SuccessFactors)*")</f>
        <v>0</v>
      </c>
      <c r="N181">
        <f>COUNTIF('Metrics - Articles'!F180,"*GCO – Services Sales*")</f>
        <v>0</v>
      </c>
      <c r="O181">
        <f>COUNTIF('Metrics - Articles'!F180,"*GCO – Other*")</f>
        <v>0</v>
      </c>
      <c r="P181">
        <f>COUNTIF('Metrics - Articles'!F180,"*Corporate*")</f>
        <v>0</v>
      </c>
      <c r="R181" s="53">
        <f t="shared" si="4"/>
        <v>1</v>
      </c>
    </row>
    <row r="182" spans="2:18" x14ac:dyDescent="0.25">
      <c r="B182" s="48">
        <f>+'Metrics - Articles'!C181</f>
        <v>42156</v>
      </c>
      <c r="C182">
        <f>COUNTIF('Metrics - Articles'!F181,"*GPO (Partner, Ecosystem, Channels)*")</f>
        <v>1</v>
      </c>
      <c r="D182">
        <f>COUNTIF('Metrics - Articles'!F181,"*Office of the CEO*")</f>
        <v>0</v>
      </c>
      <c r="E182">
        <f>COUNTIF('Metrics - Articles'!F181,"*Services Delivery &amp; Support (go-lives and deployments) *")</f>
        <v>0</v>
      </c>
      <c r="F182">
        <f>COUNTIF('Metrics - Articles'!F181,"*Human Resources (SAP HR and employee stories)*")</f>
        <v>0</v>
      </c>
      <c r="G182">
        <f>COUNTIF('Metrics - Articles'!F181,"*P&amp;I (Research &amp; Development)*")</f>
        <v>0</v>
      </c>
      <c r="H182">
        <f>COUNTIF('Metrics - Articles'!F181,"*Business Network (Concur, Ariba, Fieldglass)*")</f>
        <v>0</v>
      </c>
      <c r="I182">
        <f>COUNTIF('Metrics - Articles'!F181,"*GCO – Regions*")</f>
        <v>0</v>
      </c>
      <c r="J182">
        <f>COUNTIF('Metrics - Articles'!F181,"*GCO – Platform Solutions*")</f>
        <v>0</v>
      </c>
      <c r="K182">
        <f>COUNTIF('Metrics - Articles'!F181,"*GCO – Industry Cloud *")</f>
        <v>0</v>
      </c>
      <c r="L182">
        <f>COUNTIF('Metrics - Articles'!F181,"*GCO – Customer Engagement &amp; Commerce (CRM &amp; hybris) *")</f>
        <v>0</v>
      </c>
      <c r="M182">
        <f>COUNTIF('Metrics - Articles'!F181,"*GCO – HR (SuccessFactors)*")</f>
        <v>0</v>
      </c>
      <c r="N182">
        <f>COUNTIF('Metrics - Articles'!F181,"*GCO – Services Sales*")</f>
        <v>0</v>
      </c>
      <c r="O182">
        <f>COUNTIF('Metrics - Articles'!F181,"*GCO – Other*")</f>
        <v>0</v>
      </c>
      <c r="P182">
        <f>COUNTIF('Metrics - Articles'!F181,"*Corporate*")</f>
        <v>0</v>
      </c>
      <c r="R182" s="53">
        <f t="shared" si="4"/>
        <v>1</v>
      </c>
    </row>
    <row r="183" spans="2:18" x14ac:dyDescent="0.25">
      <c r="B183" s="48">
        <f>+'Metrics - Articles'!C182</f>
        <v>42157</v>
      </c>
      <c r="C183">
        <f>COUNTIF('Metrics - Articles'!F182,"*GPO (Partner, Ecosystem, Channels)*")</f>
        <v>0</v>
      </c>
      <c r="D183">
        <f>COUNTIF('Metrics - Articles'!F182,"*Office of the CEO*")</f>
        <v>0</v>
      </c>
      <c r="E183">
        <f>COUNTIF('Metrics - Articles'!F182,"*Services Delivery &amp; Support (go-lives and deployments) *")</f>
        <v>0</v>
      </c>
      <c r="F183">
        <f>COUNTIF('Metrics - Articles'!F182,"*Human Resources (SAP HR and employee stories)*")</f>
        <v>0</v>
      </c>
      <c r="G183">
        <f>COUNTIF('Metrics - Articles'!F182,"*P&amp;I (Research &amp; Development)*")</f>
        <v>0</v>
      </c>
      <c r="H183">
        <f>COUNTIF('Metrics - Articles'!F182,"*Business Network (Concur, Ariba, Fieldglass)*")</f>
        <v>0</v>
      </c>
      <c r="I183">
        <f>COUNTIF('Metrics - Articles'!F182,"*GCO – Regions*")</f>
        <v>1</v>
      </c>
      <c r="J183">
        <f>COUNTIF('Metrics - Articles'!F182,"*GCO – Platform Solutions*")</f>
        <v>0</v>
      </c>
      <c r="K183">
        <f>COUNTIF('Metrics - Articles'!F182,"*GCO – Industry Cloud *")</f>
        <v>0</v>
      </c>
      <c r="L183">
        <f>COUNTIF('Metrics - Articles'!F182,"*GCO – Customer Engagement &amp; Commerce (CRM &amp; hybris) *")</f>
        <v>0</v>
      </c>
      <c r="M183">
        <f>COUNTIF('Metrics - Articles'!F182,"*GCO – HR (SuccessFactors)*")</f>
        <v>0</v>
      </c>
      <c r="N183">
        <f>COUNTIF('Metrics - Articles'!F182,"*GCO – Services Sales*")</f>
        <v>0</v>
      </c>
      <c r="O183">
        <f>COUNTIF('Metrics - Articles'!F182,"*GCO – Other*")</f>
        <v>0</v>
      </c>
      <c r="P183">
        <f>COUNTIF('Metrics - Articles'!F182,"*Corporate*")</f>
        <v>0</v>
      </c>
      <c r="R183" s="53">
        <f t="shared" si="4"/>
        <v>1</v>
      </c>
    </row>
    <row r="184" spans="2:18" x14ac:dyDescent="0.25">
      <c r="B184" s="48">
        <f>+'Metrics - Articles'!C183</f>
        <v>42157</v>
      </c>
      <c r="C184">
        <f>COUNTIF('Metrics - Articles'!F183,"*GPO (Partner, Ecosystem, Channels)*")</f>
        <v>0</v>
      </c>
      <c r="D184">
        <f>COUNTIF('Metrics - Articles'!F183,"*Office of the CEO*")</f>
        <v>1</v>
      </c>
      <c r="E184">
        <f>COUNTIF('Metrics - Articles'!F183,"*Services Delivery &amp; Support (go-lives and deployments) *")</f>
        <v>0</v>
      </c>
      <c r="F184">
        <f>COUNTIF('Metrics - Articles'!F183,"*Human Resources (SAP HR and employee stories)*")</f>
        <v>0</v>
      </c>
      <c r="G184">
        <f>COUNTIF('Metrics - Articles'!F183,"*P&amp;I (Research &amp; Development)*")</f>
        <v>0</v>
      </c>
      <c r="H184">
        <f>COUNTIF('Metrics - Articles'!F183,"*Business Network (Concur, Ariba, Fieldglass)*")</f>
        <v>0</v>
      </c>
      <c r="I184">
        <f>COUNTIF('Metrics - Articles'!F183,"*GCO – Regions*")</f>
        <v>0</v>
      </c>
      <c r="J184">
        <f>COUNTIF('Metrics - Articles'!F183,"*GCO – Platform Solutions*")</f>
        <v>0</v>
      </c>
      <c r="K184">
        <f>COUNTIF('Metrics - Articles'!F183,"*GCO – Industry Cloud *")</f>
        <v>0</v>
      </c>
      <c r="L184">
        <f>COUNTIF('Metrics - Articles'!F183,"*GCO – Customer Engagement &amp; Commerce (CRM &amp; hybris) *")</f>
        <v>0</v>
      </c>
      <c r="M184">
        <f>COUNTIF('Metrics - Articles'!F183,"*GCO – HR (SuccessFactors)*")</f>
        <v>0</v>
      </c>
      <c r="N184">
        <f>COUNTIF('Metrics - Articles'!F183,"*GCO – Services Sales*")</f>
        <v>0</v>
      </c>
      <c r="O184">
        <f>COUNTIF('Metrics - Articles'!F183,"*GCO – Other*")</f>
        <v>0</v>
      </c>
      <c r="P184">
        <f>COUNTIF('Metrics - Articles'!F183,"*Corporate*")</f>
        <v>0</v>
      </c>
      <c r="R184" s="53">
        <f t="shared" si="4"/>
        <v>1</v>
      </c>
    </row>
    <row r="185" spans="2:18" x14ac:dyDescent="0.25">
      <c r="B185" s="48">
        <f>+'Metrics - Articles'!C184</f>
        <v>42158</v>
      </c>
      <c r="C185">
        <f>COUNTIF('Metrics - Articles'!F184,"*GPO (Partner, Ecosystem, Channels)*")</f>
        <v>0</v>
      </c>
      <c r="D185">
        <f>COUNTIF('Metrics - Articles'!F184,"*Office of the CEO*")</f>
        <v>0</v>
      </c>
      <c r="E185">
        <f>COUNTIF('Metrics - Articles'!F184,"*Services Delivery &amp; Support (go-lives and deployments) *")</f>
        <v>0</v>
      </c>
      <c r="F185">
        <f>COUNTIF('Metrics - Articles'!F184,"*Human Resources (SAP HR and employee stories)*")</f>
        <v>1</v>
      </c>
      <c r="G185">
        <f>COUNTIF('Metrics - Articles'!F184,"*P&amp;I (Research &amp; Development)*")</f>
        <v>0</v>
      </c>
      <c r="H185">
        <f>COUNTIF('Metrics - Articles'!F184,"*Business Network (Concur, Ariba, Fieldglass)*")</f>
        <v>0</v>
      </c>
      <c r="I185">
        <f>COUNTIF('Metrics - Articles'!F184,"*GCO – Regions*")</f>
        <v>0</v>
      </c>
      <c r="J185">
        <f>COUNTIF('Metrics - Articles'!F184,"*GCO – Platform Solutions*")</f>
        <v>0</v>
      </c>
      <c r="K185">
        <f>COUNTIF('Metrics - Articles'!F184,"*GCO – Industry Cloud *")</f>
        <v>0</v>
      </c>
      <c r="L185">
        <f>COUNTIF('Metrics - Articles'!F184,"*GCO – Customer Engagement &amp; Commerce (CRM &amp; hybris) *")</f>
        <v>0</v>
      </c>
      <c r="M185">
        <f>COUNTIF('Metrics - Articles'!F184,"*GCO – HR (SuccessFactors)*")</f>
        <v>0</v>
      </c>
      <c r="N185">
        <f>COUNTIF('Metrics - Articles'!F184,"*GCO – Services Sales*")</f>
        <v>0</v>
      </c>
      <c r="O185">
        <f>COUNTIF('Metrics - Articles'!F184,"*GCO – Other*")</f>
        <v>0</v>
      </c>
      <c r="P185">
        <f>COUNTIF('Metrics - Articles'!F184,"*Corporate*")</f>
        <v>0</v>
      </c>
      <c r="R185" s="53">
        <f t="shared" si="4"/>
        <v>1</v>
      </c>
    </row>
    <row r="186" spans="2:18" x14ac:dyDescent="0.25">
      <c r="B186" s="48">
        <f>+'Metrics - Articles'!C185</f>
        <v>42158</v>
      </c>
      <c r="C186">
        <f>COUNTIF('Metrics - Articles'!F185,"*GPO (Partner, Ecosystem, Channels)*")</f>
        <v>0</v>
      </c>
      <c r="D186">
        <f>COUNTIF('Metrics - Articles'!F185,"*Office of the CEO*")</f>
        <v>0</v>
      </c>
      <c r="E186">
        <f>COUNTIF('Metrics - Articles'!F185,"*Services Delivery &amp; Support (go-lives and deployments) *")</f>
        <v>0</v>
      </c>
      <c r="F186">
        <f>COUNTIF('Metrics - Articles'!F185,"*Human Resources (SAP HR and employee stories)*")</f>
        <v>0</v>
      </c>
      <c r="G186">
        <f>COUNTIF('Metrics - Articles'!F185,"*P&amp;I (Research &amp; Development)*")</f>
        <v>1</v>
      </c>
      <c r="H186">
        <f>COUNTIF('Metrics - Articles'!F185,"*Business Network (Concur, Ariba, Fieldglass)*")</f>
        <v>0</v>
      </c>
      <c r="I186">
        <f>COUNTIF('Metrics - Articles'!F185,"*GCO – Regions*")</f>
        <v>0</v>
      </c>
      <c r="J186">
        <f>COUNTIF('Metrics - Articles'!F185,"*GCO – Platform Solutions*")</f>
        <v>0</v>
      </c>
      <c r="K186">
        <f>COUNTIF('Metrics - Articles'!F185,"*GCO – Industry Cloud *")</f>
        <v>0</v>
      </c>
      <c r="L186">
        <f>COUNTIF('Metrics - Articles'!F185,"*GCO – Customer Engagement &amp; Commerce (CRM &amp; hybris) *")</f>
        <v>0</v>
      </c>
      <c r="M186">
        <f>COUNTIF('Metrics - Articles'!F185,"*GCO – HR (SuccessFactors)*")</f>
        <v>0</v>
      </c>
      <c r="N186">
        <f>COUNTIF('Metrics - Articles'!F185,"*GCO – Services Sales*")</f>
        <v>0</v>
      </c>
      <c r="O186">
        <f>COUNTIF('Metrics - Articles'!F185,"*GCO – Other*")</f>
        <v>0</v>
      </c>
      <c r="P186">
        <f>COUNTIF('Metrics - Articles'!F185,"*Corporate*")</f>
        <v>0</v>
      </c>
      <c r="R186" s="53">
        <f t="shared" si="4"/>
        <v>1</v>
      </c>
    </row>
    <row r="187" spans="2:18" x14ac:dyDescent="0.25">
      <c r="B187" s="48">
        <f>+'Metrics - Articles'!C186</f>
        <v>42158</v>
      </c>
      <c r="C187">
        <f>COUNTIF('Metrics - Articles'!F186,"*GPO (Partner, Ecosystem, Channels)*")</f>
        <v>0</v>
      </c>
      <c r="D187">
        <f>COUNTIF('Metrics - Articles'!F186,"*Office of the CEO*")</f>
        <v>1</v>
      </c>
      <c r="E187">
        <f>COUNTIF('Metrics - Articles'!F186,"*Services Delivery &amp; Support (go-lives and deployments) *")</f>
        <v>0</v>
      </c>
      <c r="F187">
        <f>COUNTIF('Metrics - Articles'!F186,"*Human Resources (SAP HR and employee stories)*")</f>
        <v>0</v>
      </c>
      <c r="G187">
        <f>COUNTIF('Metrics - Articles'!F186,"*P&amp;I (Research &amp; Development)*")</f>
        <v>0</v>
      </c>
      <c r="H187">
        <f>COUNTIF('Metrics - Articles'!F186,"*Business Network (Concur, Ariba, Fieldglass)*")</f>
        <v>0</v>
      </c>
      <c r="I187">
        <f>COUNTIF('Metrics - Articles'!F186,"*GCO – Regions*")</f>
        <v>0</v>
      </c>
      <c r="J187">
        <f>COUNTIF('Metrics - Articles'!F186,"*GCO – Platform Solutions*")</f>
        <v>0</v>
      </c>
      <c r="K187">
        <f>COUNTIF('Metrics - Articles'!F186,"*GCO – Industry Cloud *")</f>
        <v>0</v>
      </c>
      <c r="L187">
        <f>COUNTIF('Metrics - Articles'!F186,"*GCO – Customer Engagement &amp; Commerce (CRM &amp; hybris) *")</f>
        <v>0</v>
      </c>
      <c r="M187">
        <f>COUNTIF('Metrics - Articles'!F186,"*GCO – HR (SuccessFactors)*")</f>
        <v>0</v>
      </c>
      <c r="N187">
        <f>COUNTIF('Metrics - Articles'!F186,"*GCO – Services Sales*")</f>
        <v>0</v>
      </c>
      <c r="O187">
        <f>COUNTIF('Metrics - Articles'!F186,"*GCO – Other*")</f>
        <v>0</v>
      </c>
      <c r="P187">
        <f>COUNTIF('Metrics - Articles'!F186,"*Corporate*")</f>
        <v>0</v>
      </c>
      <c r="R187" s="53">
        <f t="shared" si="4"/>
        <v>1</v>
      </c>
    </row>
    <row r="188" spans="2:18" x14ac:dyDescent="0.25">
      <c r="B188" s="48">
        <f>+'Metrics - Articles'!C187</f>
        <v>42159</v>
      </c>
      <c r="C188">
        <f>COUNTIF('Metrics - Articles'!F187,"*GPO (Partner, Ecosystem, Channels)*")</f>
        <v>0</v>
      </c>
      <c r="D188">
        <f>COUNTIF('Metrics - Articles'!F187,"*Office of the CEO*")</f>
        <v>0</v>
      </c>
      <c r="E188">
        <f>COUNTIF('Metrics - Articles'!F187,"*Services Delivery &amp; Support (go-lives and deployments) *")</f>
        <v>0</v>
      </c>
      <c r="F188">
        <f>COUNTIF('Metrics - Articles'!F187,"*Human Resources (SAP HR and employee stories)*")</f>
        <v>0</v>
      </c>
      <c r="G188">
        <f>COUNTIF('Metrics - Articles'!F187,"*P&amp;I (Research &amp; Development)*")</f>
        <v>0</v>
      </c>
      <c r="H188">
        <f>COUNTIF('Metrics - Articles'!F187,"*Business Network (Concur, Ariba, Fieldglass)*")</f>
        <v>0</v>
      </c>
      <c r="I188">
        <f>COUNTIF('Metrics - Articles'!F187,"*GCO – Regions*")</f>
        <v>0</v>
      </c>
      <c r="J188">
        <f>COUNTIF('Metrics - Articles'!F187,"*GCO – Platform Solutions*")</f>
        <v>0</v>
      </c>
      <c r="K188">
        <f>COUNTIF('Metrics - Articles'!F187,"*GCO – Industry Cloud *")</f>
        <v>0</v>
      </c>
      <c r="L188">
        <f>COUNTIF('Metrics - Articles'!F187,"*GCO – Customer Engagement &amp; Commerce (CRM &amp; hybris) *")</f>
        <v>0</v>
      </c>
      <c r="M188">
        <f>COUNTIF('Metrics - Articles'!F187,"*GCO – HR (SuccessFactors)*")</f>
        <v>0</v>
      </c>
      <c r="N188">
        <f>COUNTIF('Metrics - Articles'!F187,"*GCO – Services Sales*")</f>
        <v>0</v>
      </c>
      <c r="O188">
        <f>COUNTIF('Metrics - Articles'!F187,"*GCO – Other*")</f>
        <v>0</v>
      </c>
      <c r="P188">
        <f>COUNTIF('Metrics - Articles'!F187,"*Corporate*")</f>
        <v>1</v>
      </c>
      <c r="R188" s="53">
        <f t="shared" si="4"/>
        <v>1</v>
      </c>
    </row>
    <row r="189" spans="2:18" x14ac:dyDescent="0.25">
      <c r="B189" s="48">
        <f>+'Metrics - Articles'!C188</f>
        <v>42163</v>
      </c>
      <c r="C189">
        <f>COUNTIF('Metrics - Articles'!F188,"*GPO (Partner, Ecosystem, Channels)*")</f>
        <v>0</v>
      </c>
      <c r="D189">
        <f>COUNTIF('Metrics - Articles'!F188,"*Office of the CEO*")</f>
        <v>0</v>
      </c>
      <c r="E189">
        <f>COUNTIF('Metrics - Articles'!F188,"*Services Delivery &amp; Support (go-lives and deployments) *")</f>
        <v>0</v>
      </c>
      <c r="F189">
        <f>COUNTIF('Metrics - Articles'!F188,"*Human Resources (SAP HR and employee stories)*")</f>
        <v>1</v>
      </c>
      <c r="G189">
        <f>COUNTIF('Metrics - Articles'!F188,"*P&amp;I (Research &amp; Development)*")</f>
        <v>0</v>
      </c>
      <c r="H189">
        <f>COUNTIF('Metrics - Articles'!F188,"*Business Network (Concur, Ariba, Fieldglass)*")</f>
        <v>0</v>
      </c>
      <c r="I189">
        <f>COUNTIF('Metrics - Articles'!F188,"*GCO – Regions*")</f>
        <v>0</v>
      </c>
      <c r="J189">
        <f>COUNTIF('Metrics - Articles'!F188,"*GCO – Platform Solutions*")</f>
        <v>0</v>
      </c>
      <c r="K189">
        <f>COUNTIF('Metrics - Articles'!F188,"*GCO – Industry Cloud *")</f>
        <v>0</v>
      </c>
      <c r="L189">
        <f>COUNTIF('Metrics - Articles'!F188,"*GCO – Customer Engagement &amp; Commerce (CRM &amp; hybris) *")</f>
        <v>0</v>
      </c>
      <c r="M189">
        <f>COUNTIF('Metrics - Articles'!F188,"*GCO – HR (SuccessFactors)*")</f>
        <v>0</v>
      </c>
      <c r="N189">
        <f>COUNTIF('Metrics - Articles'!F188,"*GCO – Services Sales*")</f>
        <v>0</v>
      </c>
      <c r="O189">
        <f>COUNTIF('Metrics - Articles'!F188,"*GCO – Other*")</f>
        <v>0</v>
      </c>
      <c r="P189">
        <f>COUNTIF('Metrics - Articles'!F188,"*Corporate*")</f>
        <v>0</v>
      </c>
      <c r="R189" s="53">
        <f t="shared" si="4"/>
        <v>1</v>
      </c>
    </row>
    <row r="190" spans="2:18" x14ac:dyDescent="0.25">
      <c r="B190" s="48">
        <f>+'Metrics - Articles'!C189</f>
        <v>42164</v>
      </c>
      <c r="C190">
        <f>COUNTIF('Metrics - Articles'!F189,"*GPO (Partner, Ecosystem, Channels)*")</f>
        <v>0</v>
      </c>
      <c r="D190">
        <f>COUNTIF('Metrics - Articles'!F189,"*Office of the CEO*")</f>
        <v>0</v>
      </c>
      <c r="E190">
        <f>COUNTIF('Metrics - Articles'!F189,"*Services Delivery &amp; Support (go-lives and deployments) *")</f>
        <v>1</v>
      </c>
      <c r="F190">
        <f>COUNTIF('Metrics - Articles'!F189,"*Human Resources (SAP HR and employee stories)*")</f>
        <v>0</v>
      </c>
      <c r="G190">
        <f>COUNTIF('Metrics - Articles'!F189,"*P&amp;I (Research &amp; Development)*")</f>
        <v>0</v>
      </c>
      <c r="H190">
        <f>COUNTIF('Metrics - Articles'!F189,"*Business Network (Concur, Ariba, Fieldglass)*")</f>
        <v>0</v>
      </c>
      <c r="I190">
        <f>COUNTIF('Metrics - Articles'!F189,"*GCO – Regions*")</f>
        <v>0</v>
      </c>
      <c r="J190">
        <f>COUNTIF('Metrics - Articles'!F189,"*GCO – Platform Solutions*")</f>
        <v>0</v>
      </c>
      <c r="K190">
        <f>COUNTIF('Metrics - Articles'!F189,"*GCO – Industry Cloud *")</f>
        <v>0</v>
      </c>
      <c r="L190">
        <f>COUNTIF('Metrics - Articles'!F189,"*GCO – Customer Engagement &amp; Commerce (CRM &amp; hybris) *")</f>
        <v>0</v>
      </c>
      <c r="M190">
        <f>COUNTIF('Metrics - Articles'!F189,"*GCO – HR (SuccessFactors)*")</f>
        <v>0</v>
      </c>
      <c r="N190">
        <f>COUNTIF('Metrics - Articles'!F189,"*GCO – Services Sales*")</f>
        <v>0</v>
      </c>
      <c r="O190">
        <f>COUNTIF('Metrics - Articles'!F189,"*GCO – Other*")</f>
        <v>0</v>
      </c>
      <c r="P190">
        <f>COUNTIF('Metrics - Articles'!F189,"*Corporate*")</f>
        <v>0</v>
      </c>
      <c r="R190" s="53">
        <f t="shared" si="4"/>
        <v>1</v>
      </c>
    </row>
    <row r="191" spans="2:18" x14ac:dyDescent="0.25">
      <c r="B191" s="48">
        <f>+'Metrics - Articles'!C190</f>
        <v>42164</v>
      </c>
      <c r="C191">
        <f>COUNTIF('Metrics - Articles'!F190,"*GPO (Partner, Ecosystem, Channels)*")</f>
        <v>0</v>
      </c>
      <c r="D191">
        <f>COUNTIF('Metrics - Articles'!F190,"*Office of the CEO*")</f>
        <v>0</v>
      </c>
      <c r="E191">
        <f>COUNTIF('Metrics - Articles'!F190,"*Services Delivery &amp; Support (go-lives and deployments) *")</f>
        <v>0</v>
      </c>
      <c r="F191">
        <f>COUNTIF('Metrics - Articles'!F190,"*Human Resources (SAP HR and employee stories)*")</f>
        <v>0</v>
      </c>
      <c r="G191">
        <f>COUNTIF('Metrics - Articles'!F190,"*P&amp;I (Research &amp; Development)*")</f>
        <v>0</v>
      </c>
      <c r="H191">
        <f>COUNTIF('Metrics - Articles'!F190,"*Business Network (Concur, Ariba, Fieldglass)*")</f>
        <v>0</v>
      </c>
      <c r="I191">
        <f>COUNTIF('Metrics - Articles'!F190,"*GCO – Regions*")</f>
        <v>0</v>
      </c>
      <c r="J191">
        <f>COUNTIF('Metrics - Articles'!F190,"*GCO – Platform Solutions*")</f>
        <v>0</v>
      </c>
      <c r="K191">
        <f>COUNTIF('Metrics - Articles'!F190,"*GCO – Industry Cloud *")</f>
        <v>0</v>
      </c>
      <c r="L191">
        <f>COUNTIF('Metrics - Articles'!F190,"*GCO – Customer Engagement &amp; Commerce (CRM &amp; hybris) *")</f>
        <v>1</v>
      </c>
      <c r="M191">
        <f>COUNTIF('Metrics - Articles'!F190,"*GCO – HR (SuccessFactors)*")</f>
        <v>0</v>
      </c>
      <c r="N191">
        <f>COUNTIF('Metrics - Articles'!F190,"*GCO – Services Sales*")</f>
        <v>0</v>
      </c>
      <c r="O191">
        <f>COUNTIF('Metrics - Articles'!F190,"*GCO – Other*")</f>
        <v>0</v>
      </c>
      <c r="P191">
        <f>COUNTIF('Metrics - Articles'!F190,"*Corporate*")</f>
        <v>0</v>
      </c>
      <c r="R191" s="53">
        <f t="shared" si="4"/>
        <v>1</v>
      </c>
    </row>
    <row r="192" spans="2:18" x14ac:dyDescent="0.25">
      <c r="B192" s="48">
        <f>+'Metrics - Articles'!C191</f>
        <v>42164</v>
      </c>
      <c r="C192">
        <f>COUNTIF('Metrics - Articles'!F191,"*GPO (Partner, Ecosystem, Channels)*")</f>
        <v>1</v>
      </c>
      <c r="D192">
        <f>COUNTIF('Metrics - Articles'!F191,"*Office of the CEO*")</f>
        <v>0</v>
      </c>
      <c r="E192">
        <f>COUNTIF('Metrics - Articles'!F191,"*Services Delivery &amp; Support (go-lives and deployments) *")</f>
        <v>0</v>
      </c>
      <c r="F192">
        <f>COUNTIF('Metrics - Articles'!F191,"*Human Resources (SAP HR and employee stories)*")</f>
        <v>0</v>
      </c>
      <c r="G192">
        <f>COUNTIF('Metrics - Articles'!F191,"*P&amp;I (Research &amp; Development)*")</f>
        <v>0</v>
      </c>
      <c r="H192">
        <f>COUNTIF('Metrics - Articles'!F191,"*Business Network (Concur, Ariba, Fieldglass)*")</f>
        <v>0</v>
      </c>
      <c r="I192">
        <f>COUNTIF('Metrics - Articles'!F191,"*GCO – Regions*")</f>
        <v>0</v>
      </c>
      <c r="J192">
        <f>COUNTIF('Metrics - Articles'!F191,"*GCO – Platform Solutions*")</f>
        <v>0</v>
      </c>
      <c r="K192">
        <f>COUNTIF('Metrics - Articles'!F191,"*GCO – Industry Cloud *")</f>
        <v>0</v>
      </c>
      <c r="L192">
        <f>COUNTIF('Metrics - Articles'!F191,"*GCO – Customer Engagement &amp; Commerce (CRM &amp; hybris) *")</f>
        <v>0</v>
      </c>
      <c r="M192">
        <f>COUNTIF('Metrics - Articles'!F191,"*GCO – HR (SuccessFactors)*")</f>
        <v>0</v>
      </c>
      <c r="N192">
        <f>COUNTIF('Metrics - Articles'!F191,"*GCO – Services Sales*")</f>
        <v>0</v>
      </c>
      <c r="O192">
        <f>COUNTIF('Metrics - Articles'!F191,"*GCO – Other*")</f>
        <v>0</v>
      </c>
      <c r="P192">
        <f>COUNTIF('Metrics - Articles'!F191,"*Corporate*")</f>
        <v>0</v>
      </c>
      <c r="R192" s="53">
        <f t="shared" si="4"/>
        <v>1</v>
      </c>
    </row>
    <row r="193" spans="2:18" x14ac:dyDescent="0.25">
      <c r="B193" s="48">
        <f>+'Metrics - Articles'!C192</f>
        <v>42165</v>
      </c>
      <c r="C193">
        <f>COUNTIF('Metrics - Articles'!F192,"*GPO (Partner, Ecosystem, Channels)*")</f>
        <v>0</v>
      </c>
      <c r="D193">
        <f>COUNTIF('Metrics - Articles'!F192,"*Office of the CEO*")</f>
        <v>0</v>
      </c>
      <c r="E193">
        <f>COUNTIF('Metrics - Articles'!F192,"*Services Delivery &amp; Support (go-lives and deployments) *")</f>
        <v>0</v>
      </c>
      <c r="F193">
        <f>COUNTIF('Metrics - Articles'!F192,"*Human Resources (SAP HR and employee stories)*")</f>
        <v>0</v>
      </c>
      <c r="G193">
        <f>COUNTIF('Metrics - Articles'!F192,"*P&amp;I (Research &amp; Development)*")</f>
        <v>0</v>
      </c>
      <c r="H193">
        <f>COUNTIF('Metrics - Articles'!F192,"*Business Network (Concur, Ariba, Fieldglass)*")</f>
        <v>0</v>
      </c>
      <c r="I193">
        <f>COUNTIF('Metrics - Articles'!F192,"*GCO – Regions*")</f>
        <v>0</v>
      </c>
      <c r="J193">
        <f>COUNTIF('Metrics - Articles'!F192,"*GCO – Platform Solutions*")</f>
        <v>1</v>
      </c>
      <c r="K193">
        <f>COUNTIF('Metrics - Articles'!F192,"*GCO – Industry Cloud *")</f>
        <v>0</v>
      </c>
      <c r="L193">
        <f>COUNTIF('Metrics - Articles'!F192,"*GCO – Customer Engagement &amp; Commerce (CRM &amp; hybris) *")</f>
        <v>0</v>
      </c>
      <c r="M193">
        <f>COUNTIF('Metrics - Articles'!F192,"*GCO – HR (SuccessFactors)*")</f>
        <v>0</v>
      </c>
      <c r="N193">
        <f>COUNTIF('Metrics - Articles'!F192,"*GCO – Services Sales*")</f>
        <v>0</v>
      </c>
      <c r="O193">
        <f>COUNTIF('Metrics - Articles'!F192,"*GCO – Other*")</f>
        <v>0</v>
      </c>
      <c r="P193">
        <f>COUNTIF('Metrics - Articles'!F192,"*Corporate*")</f>
        <v>0</v>
      </c>
      <c r="R193" s="53">
        <f t="shared" si="4"/>
        <v>1</v>
      </c>
    </row>
    <row r="194" spans="2:18" x14ac:dyDescent="0.25">
      <c r="B194" s="48">
        <f>+'Metrics - Articles'!C193</f>
        <v>42165</v>
      </c>
      <c r="C194">
        <f>COUNTIF('Metrics - Articles'!F193,"*GPO (Partner, Ecosystem, Channels)*")</f>
        <v>0</v>
      </c>
      <c r="D194">
        <f>COUNTIF('Metrics - Articles'!F193,"*Office of the CEO*")</f>
        <v>0</v>
      </c>
      <c r="E194">
        <f>COUNTIF('Metrics - Articles'!F193,"*Services Delivery &amp; Support (go-lives and deployments) *")</f>
        <v>0</v>
      </c>
      <c r="F194">
        <f>COUNTIF('Metrics - Articles'!F193,"*Human Resources (SAP HR and employee stories)*")</f>
        <v>0</v>
      </c>
      <c r="G194">
        <f>COUNTIF('Metrics - Articles'!F193,"*P&amp;I (Research &amp; Development)*")</f>
        <v>0</v>
      </c>
      <c r="H194">
        <f>COUNTIF('Metrics - Articles'!F193,"*Business Network (Concur, Ariba, Fieldglass)*")</f>
        <v>0</v>
      </c>
      <c r="I194">
        <f>COUNTIF('Metrics - Articles'!F193,"*GCO – Regions*")</f>
        <v>0</v>
      </c>
      <c r="J194">
        <f>COUNTIF('Metrics - Articles'!F193,"*GCO – Platform Solutions*")</f>
        <v>1</v>
      </c>
      <c r="K194">
        <f>COUNTIF('Metrics - Articles'!F193,"*GCO – Industry Cloud *")</f>
        <v>0</v>
      </c>
      <c r="L194">
        <f>COUNTIF('Metrics - Articles'!F193,"*GCO – Customer Engagement &amp; Commerce (CRM &amp; hybris) *")</f>
        <v>0</v>
      </c>
      <c r="M194">
        <f>COUNTIF('Metrics - Articles'!F193,"*GCO – HR (SuccessFactors)*")</f>
        <v>0</v>
      </c>
      <c r="N194">
        <f>COUNTIF('Metrics - Articles'!F193,"*GCO – Services Sales*")</f>
        <v>0</v>
      </c>
      <c r="O194">
        <f>COUNTIF('Metrics - Articles'!F193,"*GCO – Other*")</f>
        <v>0</v>
      </c>
      <c r="P194">
        <f>COUNTIF('Metrics - Articles'!F193,"*Corporate*")</f>
        <v>0</v>
      </c>
      <c r="R194" s="53">
        <f t="shared" si="4"/>
        <v>1</v>
      </c>
    </row>
    <row r="195" spans="2:18" x14ac:dyDescent="0.25">
      <c r="B195" s="48">
        <f>+'Metrics - Articles'!C194</f>
        <v>42166</v>
      </c>
      <c r="C195">
        <f>COUNTIF('Metrics - Articles'!F194,"*GPO (Partner, Ecosystem, Channels)*")</f>
        <v>0</v>
      </c>
      <c r="D195">
        <f>COUNTIF('Metrics - Articles'!F194,"*Office of the CEO*")</f>
        <v>0</v>
      </c>
      <c r="E195">
        <f>COUNTIF('Metrics - Articles'!F194,"*Services Delivery &amp; Support (go-lives and deployments) *")</f>
        <v>0</v>
      </c>
      <c r="F195">
        <f>COUNTIF('Metrics - Articles'!F194,"*Human Resources (SAP HR and employee stories)*")</f>
        <v>0</v>
      </c>
      <c r="G195">
        <f>COUNTIF('Metrics - Articles'!F194,"*P&amp;I (Research &amp; Development)*")</f>
        <v>0</v>
      </c>
      <c r="H195">
        <f>COUNTIF('Metrics - Articles'!F194,"*Business Network (Concur, Ariba, Fieldglass)*")</f>
        <v>0</v>
      </c>
      <c r="I195">
        <f>COUNTIF('Metrics - Articles'!F194,"*GCO – Regions*")</f>
        <v>0</v>
      </c>
      <c r="J195">
        <f>COUNTIF('Metrics - Articles'!F194,"*GCO – Platform Solutions*")</f>
        <v>0</v>
      </c>
      <c r="K195">
        <f>COUNTIF('Metrics - Articles'!F194,"*GCO – Industry Cloud *")</f>
        <v>0</v>
      </c>
      <c r="L195">
        <f>COUNTIF('Metrics - Articles'!F194,"*GCO – Customer Engagement &amp; Commerce (CRM &amp; hybris) *")</f>
        <v>0</v>
      </c>
      <c r="M195">
        <f>COUNTIF('Metrics - Articles'!F194,"*GCO – HR (SuccessFactors)*")</f>
        <v>0</v>
      </c>
      <c r="N195">
        <f>COUNTIF('Metrics - Articles'!F194,"*GCO – Services Sales*")</f>
        <v>0</v>
      </c>
      <c r="O195">
        <f>COUNTIF('Metrics - Articles'!F194,"*GCO – Other*")</f>
        <v>1</v>
      </c>
      <c r="P195">
        <f>COUNTIF('Metrics - Articles'!F194,"*Corporate*")</f>
        <v>0</v>
      </c>
      <c r="R195" s="53">
        <f t="shared" si="4"/>
        <v>1</v>
      </c>
    </row>
    <row r="196" spans="2:18" x14ac:dyDescent="0.25">
      <c r="B196" s="48">
        <f>+'Metrics - Articles'!C195</f>
        <v>42166</v>
      </c>
      <c r="C196">
        <f>COUNTIF('Metrics - Articles'!F195,"*GPO (Partner, Ecosystem, Channels)*")</f>
        <v>0</v>
      </c>
      <c r="D196">
        <f>COUNTIF('Metrics - Articles'!F195,"*Office of the CEO*")</f>
        <v>0</v>
      </c>
      <c r="E196">
        <f>COUNTIF('Metrics - Articles'!F195,"*Services Delivery &amp; Support (go-lives and deployments) *")</f>
        <v>0</v>
      </c>
      <c r="F196">
        <f>COUNTIF('Metrics - Articles'!F195,"*Human Resources (SAP HR and employee stories)*")</f>
        <v>1</v>
      </c>
      <c r="G196">
        <f>COUNTIF('Metrics - Articles'!F195,"*P&amp;I (Research &amp; Development)*")</f>
        <v>0</v>
      </c>
      <c r="H196">
        <f>COUNTIF('Metrics - Articles'!F195,"*Business Network (Concur, Ariba, Fieldglass)*")</f>
        <v>0</v>
      </c>
      <c r="I196">
        <f>COUNTIF('Metrics - Articles'!F195,"*GCO – Regions*")</f>
        <v>0</v>
      </c>
      <c r="J196">
        <f>COUNTIF('Metrics - Articles'!F195,"*GCO – Platform Solutions*")</f>
        <v>0</v>
      </c>
      <c r="K196">
        <f>COUNTIF('Metrics - Articles'!F195,"*GCO – Industry Cloud *")</f>
        <v>0</v>
      </c>
      <c r="L196">
        <f>COUNTIF('Metrics - Articles'!F195,"*GCO – Customer Engagement &amp; Commerce (CRM &amp; hybris) *")</f>
        <v>0</v>
      </c>
      <c r="M196">
        <f>COUNTIF('Metrics - Articles'!F195,"*GCO – HR (SuccessFactors)*")</f>
        <v>0</v>
      </c>
      <c r="N196">
        <f>COUNTIF('Metrics - Articles'!F195,"*GCO – Services Sales*")</f>
        <v>0</v>
      </c>
      <c r="O196">
        <f>COUNTIF('Metrics - Articles'!F195,"*GCO – Other*")</f>
        <v>0</v>
      </c>
      <c r="P196">
        <f>COUNTIF('Metrics - Articles'!F195,"*Corporate*")</f>
        <v>0</v>
      </c>
      <c r="R196" s="53">
        <f t="shared" si="4"/>
        <v>1</v>
      </c>
    </row>
    <row r="197" spans="2:18" x14ac:dyDescent="0.25">
      <c r="B197" s="48">
        <f>+'Metrics - Articles'!C196</f>
        <v>42170</v>
      </c>
      <c r="C197">
        <f>COUNTIF('Metrics - Articles'!F196,"*GPO (Partner, Ecosystem, Channels)*")</f>
        <v>0</v>
      </c>
      <c r="D197">
        <f>COUNTIF('Metrics - Articles'!F196,"*Office of the CEO*")</f>
        <v>0</v>
      </c>
      <c r="E197">
        <f>COUNTIF('Metrics - Articles'!F196,"*Services Delivery &amp; Support (go-lives and deployments) *")</f>
        <v>0</v>
      </c>
      <c r="F197">
        <f>COUNTIF('Metrics - Articles'!F196,"*Human Resources (SAP HR and employee stories)*")</f>
        <v>0</v>
      </c>
      <c r="G197">
        <f>COUNTIF('Metrics - Articles'!F196,"*P&amp;I (Research &amp; Development)*")</f>
        <v>1</v>
      </c>
      <c r="H197">
        <f>COUNTIF('Metrics - Articles'!F196,"*Business Network (Concur, Ariba, Fieldglass)*")</f>
        <v>0</v>
      </c>
      <c r="I197">
        <f>COUNTIF('Metrics - Articles'!F196,"*GCO – Regions*")</f>
        <v>0</v>
      </c>
      <c r="J197">
        <f>COUNTIF('Metrics - Articles'!F196,"*GCO – Platform Solutions*")</f>
        <v>0</v>
      </c>
      <c r="K197">
        <f>COUNTIF('Metrics - Articles'!F196,"*GCO – Industry Cloud *")</f>
        <v>0</v>
      </c>
      <c r="L197">
        <f>COUNTIF('Metrics - Articles'!F196,"*GCO – Customer Engagement &amp; Commerce (CRM &amp; hybris) *")</f>
        <v>0</v>
      </c>
      <c r="M197">
        <f>COUNTIF('Metrics - Articles'!F196,"*GCO – HR (SuccessFactors)*")</f>
        <v>0</v>
      </c>
      <c r="N197">
        <f>COUNTIF('Metrics - Articles'!F196,"*GCO – Services Sales*")</f>
        <v>0</v>
      </c>
      <c r="O197">
        <f>COUNTIF('Metrics - Articles'!F196,"*GCO – Other*")</f>
        <v>0</v>
      </c>
      <c r="P197">
        <f>COUNTIF('Metrics - Articles'!F196,"*Corporate*")</f>
        <v>0</v>
      </c>
      <c r="R197" s="53">
        <f t="shared" si="4"/>
        <v>1</v>
      </c>
    </row>
    <row r="198" spans="2:18" x14ac:dyDescent="0.25">
      <c r="B198" s="48">
        <f>+'Metrics - Articles'!C197</f>
        <v>42170</v>
      </c>
      <c r="C198">
        <f>COUNTIF('Metrics - Articles'!F197,"*GPO (Partner, Ecosystem, Channels)*")</f>
        <v>0</v>
      </c>
      <c r="D198">
        <f>COUNTIF('Metrics - Articles'!F197,"*Office of the CEO*")</f>
        <v>0</v>
      </c>
      <c r="E198">
        <f>COUNTIF('Metrics - Articles'!F197,"*Services Delivery &amp; Support (go-lives and deployments) *")</f>
        <v>0</v>
      </c>
      <c r="F198">
        <f>COUNTIF('Metrics - Articles'!F197,"*Human Resources (SAP HR and employee stories)*")</f>
        <v>0</v>
      </c>
      <c r="G198">
        <f>COUNTIF('Metrics - Articles'!F197,"*P&amp;I (Research &amp; Development)*")</f>
        <v>0</v>
      </c>
      <c r="H198">
        <f>COUNTIF('Metrics - Articles'!F197,"*Business Network (Concur, Ariba, Fieldglass)*")</f>
        <v>0</v>
      </c>
      <c r="I198">
        <f>COUNTIF('Metrics - Articles'!F197,"*GCO – Regions*")</f>
        <v>0</v>
      </c>
      <c r="J198">
        <f>COUNTIF('Metrics - Articles'!F197,"*GCO – Platform Solutions*")</f>
        <v>0</v>
      </c>
      <c r="K198">
        <f>COUNTIF('Metrics - Articles'!F197,"*GCO – Industry Cloud *")</f>
        <v>0</v>
      </c>
      <c r="L198">
        <f>COUNTIF('Metrics - Articles'!F197,"*GCO – Customer Engagement &amp; Commerce (CRM &amp; hybris) *")</f>
        <v>0</v>
      </c>
      <c r="M198">
        <f>COUNTIF('Metrics - Articles'!F197,"*GCO – HR (SuccessFactors)*")</f>
        <v>0</v>
      </c>
      <c r="N198">
        <f>COUNTIF('Metrics - Articles'!F197,"*GCO – Services Sales*")</f>
        <v>0</v>
      </c>
      <c r="O198">
        <f>COUNTIF('Metrics - Articles'!F197,"*GCO – Other*")</f>
        <v>0</v>
      </c>
      <c r="P198">
        <f>COUNTIF('Metrics - Articles'!F197,"*Corporate*")</f>
        <v>1</v>
      </c>
      <c r="R198" s="53">
        <f t="shared" si="4"/>
        <v>1</v>
      </c>
    </row>
    <row r="199" spans="2:18" x14ac:dyDescent="0.25">
      <c r="B199" s="48">
        <f>+'Metrics - Articles'!C198</f>
        <v>42171</v>
      </c>
      <c r="C199">
        <f>COUNTIF('Metrics - Articles'!F198,"*GPO (Partner, Ecosystem, Channels)*")</f>
        <v>0</v>
      </c>
      <c r="D199">
        <f>COUNTIF('Metrics - Articles'!F198,"*Office of the CEO*")</f>
        <v>0</v>
      </c>
      <c r="E199">
        <f>COUNTIF('Metrics - Articles'!F198,"*Services Delivery &amp; Support (go-lives and deployments) *")</f>
        <v>0</v>
      </c>
      <c r="F199">
        <f>COUNTIF('Metrics - Articles'!F198,"*Human Resources (SAP HR and employee stories)*")</f>
        <v>1</v>
      </c>
      <c r="G199">
        <f>COUNTIF('Metrics - Articles'!F198,"*P&amp;I (Research &amp; Development)*")</f>
        <v>0</v>
      </c>
      <c r="H199">
        <f>COUNTIF('Metrics - Articles'!F198,"*Business Network (Concur, Ariba, Fieldglass)*")</f>
        <v>0</v>
      </c>
      <c r="I199">
        <f>COUNTIF('Metrics - Articles'!F198,"*GCO – Regions*")</f>
        <v>0</v>
      </c>
      <c r="J199">
        <f>COUNTIF('Metrics - Articles'!F198,"*GCO – Platform Solutions*")</f>
        <v>0</v>
      </c>
      <c r="K199">
        <f>COUNTIF('Metrics - Articles'!F198,"*GCO – Industry Cloud *")</f>
        <v>0</v>
      </c>
      <c r="L199">
        <f>COUNTIF('Metrics - Articles'!F198,"*GCO – Customer Engagement &amp; Commerce (CRM &amp; hybris) *")</f>
        <v>0</v>
      </c>
      <c r="M199">
        <f>COUNTIF('Metrics - Articles'!F198,"*GCO – HR (SuccessFactors)*")</f>
        <v>0</v>
      </c>
      <c r="N199">
        <f>COUNTIF('Metrics - Articles'!F198,"*GCO – Services Sales*")</f>
        <v>0</v>
      </c>
      <c r="O199">
        <f>COUNTIF('Metrics - Articles'!F198,"*GCO – Other*")</f>
        <v>0</v>
      </c>
      <c r="P199">
        <f>COUNTIF('Metrics - Articles'!F198,"*Corporate*")</f>
        <v>0</v>
      </c>
      <c r="R199" s="53">
        <f t="shared" si="4"/>
        <v>1</v>
      </c>
    </row>
    <row r="200" spans="2:18" x14ac:dyDescent="0.25">
      <c r="B200" s="48">
        <f>+'Metrics - Articles'!C199</f>
        <v>42171</v>
      </c>
      <c r="C200">
        <f>COUNTIF('Metrics - Articles'!F199,"*GPO (Partner, Ecosystem, Channels)*")</f>
        <v>0</v>
      </c>
      <c r="D200">
        <f>COUNTIF('Metrics - Articles'!F199,"*Office of the CEO*")</f>
        <v>0</v>
      </c>
      <c r="E200">
        <f>COUNTIF('Metrics - Articles'!F199,"*Services Delivery &amp; Support (go-lives and deployments) *")</f>
        <v>0</v>
      </c>
      <c r="F200">
        <f>COUNTIF('Metrics - Articles'!F199,"*Human Resources (SAP HR and employee stories)*")</f>
        <v>0</v>
      </c>
      <c r="G200">
        <f>COUNTIF('Metrics - Articles'!F199,"*P&amp;I (Research &amp; Development)*")</f>
        <v>0</v>
      </c>
      <c r="H200">
        <f>COUNTIF('Metrics - Articles'!F199,"*Business Network (Concur, Ariba, Fieldglass)*")</f>
        <v>0</v>
      </c>
      <c r="I200">
        <f>COUNTIF('Metrics - Articles'!F199,"*GCO – Regions*")</f>
        <v>0</v>
      </c>
      <c r="J200">
        <f>COUNTIF('Metrics - Articles'!F199,"*GCO – Platform Solutions*")</f>
        <v>0</v>
      </c>
      <c r="K200">
        <f>COUNTIF('Metrics - Articles'!F199,"*GCO – Industry Cloud *")</f>
        <v>0</v>
      </c>
      <c r="L200">
        <f>COUNTIF('Metrics - Articles'!F199,"*GCO – Customer Engagement &amp; Commerce (CRM &amp; hybris) *")</f>
        <v>0</v>
      </c>
      <c r="M200">
        <f>COUNTIF('Metrics - Articles'!F199,"*GCO – HR (SuccessFactors)*")</f>
        <v>0</v>
      </c>
      <c r="N200">
        <f>COUNTIF('Metrics - Articles'!F199,"*GCO – Services Sales*")</f>
        <v>0</v>
      </c>
      <c r="O200">
        <f>COUNTIF('Metrics - Articles'!F199,"*GCO – Other*")</f>
        <v>0</v>
      </c>
      <c r="P200">
        <f>COUNTIF('Metrics - Articles'!F199,"*Corporate*")</f>
        <v>1</v>
      </c>
      <c r="R200" s="53">
        <f t="shared" si="4"/>
        <v>1</v>
      </c>
    </row>
    <row r="201" spans="2:18" x14ac:dyDescent="0.25">
      <c r="B201" s="48">
        <f>+'Metrics - Articles'!C200</f>
        <v>42172</v>
      </c>
      <c r="C201">
        <f>COUNTIF('Metrics - Articles'!F200,"*GPO (Partner, Ecosystem, Channels)*")</f>
        <v>0</v>
      </c>
      <c r="D201">
        <f>COUNTIF('Metrics - Articles'!F200,"*Office of the CEO*")</f>
        <v>0</v>
      </c>
      <c r="E201">
        <f>COUNTIF('Metrics - Articles'!F200,"*Services Delivery &amp; Support (go-lives and deployments) *")</f>
        <v>0</v>
      </c>
      <c r="F201">
        <f>COUNTIF('Metrics - Articles'!F200,"*Human Resources (SAP HR and employee stories)*")</f>
        <v>0</v>
      </c>
      <c r="G201">
        <f>COUNTIF('Metrics - Articles'!F200,"*P&amp;I (Research &amp; Development)*")</f>
        <v>0</v>
      </c>
      <c r="H201">
        <f>COUNTIF('Metrics - Articles'!F200,"*Business Network (Concur, Ariba, Fieldglass)*")</f>
        <v>0</v>
      </c>
      <c r="I201">
        <f>COUNTIF('Metrics - Articles'!F200,"*GCO – Regions*")</f>
        <v>0</v>
      </c>
      <c r="J201">
        <f>COUNTIF('Metrics - Articles'!F200,"*GCO – Platform Solutions*")</f>
        <v>1</v>
      </c>
      <c r="K201">
        <f>COUNTIF('Metrics - Articles'!F200,"*GCO – Industry Cloud *")</f>
        <v>0</v>
      </c>
      <c r="L201">
        <f>COUNTIF('Metrics - Articles'!F200,"*GCO – Customer Engagement &amp; Commerce (CRM &amp; hybris) *")</f>
        <v>0</v>
      </c>
      <c r="M201">
        <f>COUNTIF('Metrics - Articles'!F200,"*GCO – HR (SuccessFactors)*")</f>
        <v>0</v>
      </c>
      <c r="N201">
        <f>COUNTIF('Metrics - Articles'!F200,"*GCO – Services Sales*")</f>
        <v>0</v>
      </c>
      <c r="O201">
        <f>COUNTIF('Metrics - Articles'!F200,"*GCO – Other*")</f>
        <v>0</v>
      </c>
      <c r="P201">
        <f>COUNTIF('Metrics - Articles'!F200,"*Corporate*")</f>
        <v>0</v>
      </c>
      <c r="R201" s="53">
        <f t="shared" si="4"/>
        <v>1</v>
      </c>
    </row>
    <row r="202" spans="2:18" x14ac:dyDescent="0.25">
      <c r="B202" s="48">
        <f>+'Metrics - Articles'!C201</f>
        <v>42172</v>
      </c>
      <c r="C202">
        <f>COUNTIF('Metrics - Articles'!F201,"*GPO (Partner, Ecosystem, Channels)*")</f>
        <v>0</v>
      </c>
      <c r="D202">
        <f>COUNTIF('Metrics - Articles'!F201,"*Office of the CEO*")</f>
        <v>1</v>
      </c>
      <c r="E202">
        <f>COUNTIF('Metrics - Articles'!F201,"*Services Delivery &amp; Support (go-lives and deployments) *")</f>
        <v>0</v>
      </c>
      <c r="F202">
        <f>COUNTIF('Metrics - Articles'!F201,"*Human Resources (SAP HR and employee stories)*")</f>
        <v>0</v>
      </c>
      <c r="G202">
        <f>COUNTIF('Metrics - Articles'!F201,"*P&amp;I (Research &amp; Development)*")</f>
        <v>0</v>
      </c>
      <c r="H202">
        <f>COUNTIF('Metrics - Articles'!F201,"*Business Network (Concur, Ariba, Fieldglass)*")</f>
        <v>0</v>
      </c>
      <c r="I202">
        <f>COUNTIF('Metrics - Articles'!F201,"*GCO – Regions*")</f>
        <v>0</v>
      </c>
      <c r="J202">
        <f>COUNTIF('Metrics - Articles'!F201,"*GCO – Platform Solutions*")</f>
        <v>0</v>
      </c>
      <c r="K202">
        <f>COUNTIF('Metrics - Articles'!F201,"*GCO – Industry Cloud *")</f>
        <v>0</v>
      </c>
      <c r="L202">
        <f>COUNTIF('Metrics - Articles'!F201,"*GCO – Customer Engagement &amp; Commerce (CRM &amp; hybris) *")</f>
        <v>0</v>
      </c>
      <c r="M202">
        <f>COUNTIF('Metrics - Articles'!F201,"*GCO – HR (SuccessFactors)*")</f>
        <v>0</v>
      </c>
      <c r="N202">
        <f>COUNTIF('Metrics - Articles'!F201,"*GCO – Services Sales*")</f>
        <v>0</v>
      </c>
      <c r="O202">
        <f>COUNTIF('Metrics - Articles'!F201,"*GCO – Other*")</f>
        <v>0</v>
      </c>
      <c r="P202">
        <f>COUNTIF('Metrics - Articles'!F201,"*Corporate*")</f>
        <v>0</v>
      </c>
      <c r="R202" s="53">
        <f t="shared" ref="R202:R265" si="5">SUM(C202:Q202)</f>
        <v>1</v>
      </c>
    </row>
    <row r="203" spans="2:18" x14ac:dyDescent="0.25">
      <c r="B203" s="48">
        <f>+'Metrics - Articles'!C202</f>
        <v>42173</v>
      </c>
      <c r="C203">
        <f>COUNTIF('Metrics - Articles'!F202,"*GPO (Partner, Ecosystem, Channels)*")</f>
        <v>0</v>
      </c>
      <c r="D203">
        <f>COUNTIF('Metrics - Articles'!F202,"*Office of the CEO*")</f>
        <v>0</v>
      </c>
      <c r="E203">
        <f>COUNTIF('Metrics - Articles'!F202,"*Services Delivery &amp; Support (go-lives and deployments) *")</f>
        <v>0</v>
      </c>
      <c r="F203">
        <f>COUNTIF('Metrics - Articles'!F202,"*Human Resources (SAP HR and employee stories)*")</f>
        <v>0</v>
      </c>
      <c r="G203">
        <f>COUNTIF('Metrics - Articles'!F202,"*P&amp;I (Research &amp; Development)*")</f>
        <v>0</v>
      </c>
      <c r="H203">
        <f>COUNTIF('Metrics - Articles'!F202,"*Business Network (Concur, Ariba, Fieldglass)*")</f>
        <v>0</v>
      </c>
      <c r="I203">
        <f>COUNTIF('Metrics - Articles'!F202,"*GCO – Regions*")</f>
        <v>0</v>
      </c>
      <c r="J203">
        <f>COUNTIF('Metrics - Articles'!F202,"*GCO – Platform Solutions*")</f>
        <v>1</v>
      </c>
      <c r="K203">
        <f>COUNTIF('Metrics - Articles'!F202,"*GCO – Industry Cloud *")</f>
        <v>0</v>
      </c>
      <c r="L203">
        <f>COUNTIF('Metrics - Articles'!F202,"*GCO – Customer Engagement &amp; Commerce (CRM &amp; hybris) *")</f>
        <v>0</v>
      </c>
      <c r="M203">
        <f>COUNTIF('Metrics - Articles'!F202,"*GCO – HR (SuccessFactors)*")</f>
        <v>0</v>
      </c>
      <c r="N203">
        <f>COUNTIF('Metrics - Articles'!F202,"*GCO – Services Sales*")</f>
        <v>0</v>
      </c>
      <c r="O203">
        <f>COUNTIF('Metrics - Articles'!F202,"*GCO – Other*")</f>
        <v>0</v>
      </c>
      <c r="P203">
        <f>COUNTIF('Metrics - Articles'!F202,"*Corporate*")</f>
        <v>0</v>
      </c>
      <c r="R203" s="53">
        <f t="shared" si="5"/>
        <v>1</v>
      </c>
    </row>
    <row r="204" spans="2:18" x14ac:dyDescent="0.25">
      <c r="B204" s="48">
        <f>+'Metrics - Articles'!C203</f>
        <v>42177</v>
      </c>
      <c r="C204">
        <f>COUNTIF('Metrics - Articles'!F203,"*GPO (Partner, Ecosystem, Channels)*")</f>
        <v>0</v>
      </c>
      <c r="D204">
        <f>COUNTIF('Metrics - Articles'!F203,"*Office of the CEO*")</f>
        <v>0</v>
      </c>
      <c r="E204">
        <f>COUNTIF('Metrics - Articles'!F203,"*Services Delivery &amp; Support (go-lives and deployments) *")</f>
        <v>0</v>
      </c>
      <c r="F204">
        <f>COUNTIF('Metrics - Articles'!F203,"*Human Resources (SAP HR and employee stories)*")</f>
        <v>0</v>
      </c>
      <c r="G204">
        <f>COUNTIF('Metrics - Articles'!F203,"*P&amp;I (Research &amp; Development)*")</f>
        <v>0</v>
      </c>
      <c r="H204">
        <f>COUNTIF('Metrics - Articles'!F203,"*Business Network (Concur, Ariba, Fieldglass)*")</f>
        <v>0</v>
      </c>
      <c r="I204">
        <f>COUNTIF('Metrics - Articles'!F203,"*GCO – Regions*")</f>
        <v>0</v>
      </c>
      <c r="J204">
        <f>COUNTIF('Metrics - Articles'!F203,"*GCO – Platform Solutions*")</f>
        <v>0</v>
      </c>
      <c r="K204">
        <f>COUNTIF('Metrics - Articles'!F203,"*GCO – Industry Cloud *")</f>
        <v>0</v>
      </c>
      <c r="L204">
        <f>COUNTIF('Metrics - Articles'!F203,"*GCO – Customer Engagement &amp; Commerce (CRM &amp; hybris) *")</f>
        <v>0</v>
      </c>
      <c r="M204">
        <f>COUNTIF('Metrics - Articles'!F203,"*GCO – HR (SuccessFactors)*")</f>
        <v>0</v>
      </c>
      <c r="N204">
        <f>COUNTIF('Metrics - Articles'!F203,"*GCO – Services Sales*")</f>
        <v>0</v>
      </c>
      <c r="O204">
        <f>COUNTIF('Metrics - Articles'!F203,"*GCO – Other*")</f>
        <v>0</v>
      </c>
      <c r="P204">
        <f>COUNTIF('Metrics - Articles'!F203,"*Corporate*")</f>
        <v>1</v>
      </c>
      <c r="R204" s="53">
        <f t="shared" si="5"/>
        <v>1</v>
      </c>
    </row>
    <row r="205" spans="2:18" x14ac:dyDescent="0.25">
      <c r="B205" s="48">
        <f>+'Metrics - Articles'!C204</f>
        <v>42178</v>
      </c>
      <c r="C205">
        <f>COUNTIF('Metrics - Articles'!F204,"*GPO (Partner, Ecosystem, Channels)*")</f>
        <v>0</v>
      </c>
      <c r="D205">
        <f>COUNTIF('Metrics - Articles'!F204,"*Office of the CEO*")</f>
        <v>0</v>
      </c>
      <c r="E205">
        <f>COUNTIF('Metrics - Articles'!F204,"*Services Delivery &amp; Support (go-lives and deployments) *")</f>
        <v>0</v>
      </c>
      <c r="F205">
        <f>COUNTIF('Metrics - Articles'!F204,"*Human Resources (SAP HR and employee stories)*")</f>
        <v>0</v>
      </c>
      <c r="G205">
        <f>COUNTIF('Metrics - Articles'!F204,"*P&amp;I (Research &amp; Development)*")</f>
        <v>0</v>
      </c>
      <c r="H205">
        <f>COUNTIF('Metrics - Articles'!F204,"*Business Network (Concur, Ariba, Fieldglass)*")</f>
        <v>0</v>
      </c>
      <c r="I205">
        <f>COUNTIF('Metrics - Articles'!F204,"*GCO – Regions*")</f>
        <v>0</v>
      </c>
      <c r="J205">
        <f>COUNTIF('Metrics - Articles'!F204,"*GCO – Platform Solutions*")</f>
        <v>0</v>
      </c>
      <c r="K205">
        <f>COUNTIF('Metrics - Articles'!F204,"*GCO – Industry Cloud *")</f>
        <v>1</v>
      </c>
      <c r="L205">
        <f>COUNTIF('Metrics - Articles'!F204,"*GCO – Customer Engagement &amp; Commerce (CRM &amp; hybris) *")</f>
        <v>0</v>
      </c>
      <c r="M205">
        <f>COUNTIF('Metrics - Articles'!F204,"*GCO – HR (SuccessFactors)*")</f>
        <v>0</v>
      </c>
      <c r="N205">
        <f>COUNTIF('Metrics - Articles'!F204,"*GCO – Services Sales*")</f>
        <v>0</v>
      </c>
      <c r="O205">
        <f>COUNTIF('Metrics - Articles'!F204,"*GCO – Other*")</f>
        <v>0</v>
      </c>
      <c r="P205">
        <f>COUNTIF('Metrics - Articles'!F204,"*Corporate*")</f>
        <v>0</v>
      </c>
      <c r="R205" s="53">
        <f t="shared" si="5"/>
        <v>1</v>
      </c>
    </row>
    <row r="206" spans="2:18" x14ac:dyDescent="0.25">
      <c r="B206" s="48">
        <f>+'Metrics - Articles'!C205</f>
        <v>42179</v>
      </c>
      <c r="C206">
        <f>COUNTIF('Metrics - Articles'!F205,"*GPO (Partner, Ecosystem, Channels)*")</f>
        <v>0</v>
      </c>
      <c r="D206">
        <f>COUNTIF('Metrics - Articles'!F205,"*Office of the CEO*")</f>
        <v>0</v>
      </c>
      <c r="E206">
        <f>COUNTIF('Metrics - Articles'!F205,"*Services Delivery &amp; Support (go-lives and deployments) *")</f>
        <v>0</v>
      </c>
      <c r="F206">
        <f>COUNTIF('Metrics - Articles'!F205,"*Human Resources (SAP HR and employee stories)*")</f>
        <v>1</v>
      </c>
      <c r="G206">
        <f>COUNTIF('Metrics - Articles'!F205,"*P&amp;I (Research &amp; Development)*")</f>
        <v>0</v>
      </c>
      <c r="H206">
        <f>COUNTIF('Metrics - Articles'!F205,"*Business Network (Concur, Ariba, Fieldglass)*")</f>
        <v>0</v>
      </c>
      <c r="I206">
        <f>COUNTIF('Metrics - Articles'!F205,"*GCO – Regions*")</f>
        <v>0</v>
      </c>
      <c r="J206">
        <f>COUNTIF('Metrics - Articles'!F205,"*GCO – Platform Solutions*")</f>
        <v>0</v>
      </c>
      <c r="K206">
        <f>COUNTIF('Metrics - Articles'!F205,"*GCO – Industry Cloud *")</f>
        <v>0</v>
      </c>
      <c r="L206">
        <f>COUNTIF('Metrics - Articles'!F205,"*GCO – Customer Engagement &amp; Commerce (CRM &amp; hybris) *")</f>
        <v>0</v>
      </c>
      <c r="M206">
        <f>COUNTIF('Metrics - Articles'!F205,"*GCO – HR (SuccessFactors)*")</f>
        <v>0</v>
      </c>
      <c r="N206">
        <f>COUNTIF('Metrics - Articles'!F205,"*GCO – Services Sales*")</f>
        <v>0</v>
      </c>
      <c r="O206">
        <f>COUNTIF('Metrics - Articles'!F205,"*GCO – Other*")</f>
        <v>0</v>
      </c>
      <c r="P206">
        <f>COUNTIF('Metrics - Articles'!F205,"*Corporate*")</f>
        <v>0</v>
      </c>
      <c r="R206" s="53">
        <f t="shared" si="5"/>
        <v>1</v>
      </c>
    </row>
    <row r="207" spans="2:18" x14ac:dyDescent="0.25">
      <c r="B207" s="48">
        <f>+'Metrics - Articles'!C206</f>
        <v>42179</v>
      </c>
      <c r="C207">
        <f>COUNTIF('Metrics - Articles'!F206,"*GPO (Partner, Ecosystem, Channels)*")</f>
        <v>0</v>
      </c>
      <c r="D207">
        <f>COUNTIF('Metrics - Articles'!F206,"*Office of the CEO*")</f>
        <v>0</v>
      </c>
      <c r="E207">
        <f>COUNTIF('Metrics - Articles'!F206,"*Services Delivery &amp; Support (go-lives and deployments) *")</f>
        <v>0</v>
      </c>
      <c r="F207">
        <f>COUNTIF('Metrics - Articles'!F206,"*Human Resources (SAP HR and employee stories)*")</f>
        <v>1</v>
      </c>
      <c r="G207">
        <f>COUNTIF('Metrics - Articles'!F206,"*P&amp;I (Research &amp; Development)*")</f>
        <v>0</v>
      </c>
      <c r="H207">
        <f>COUNTIF('Metrics - Articles'!F206,"*Business Network (Concur, Ariba, Fieldglass)*")</f>
        <v>0</v>
      </c>
      <c r="I207">
        <f>COUNTIF('Metrics - Articles'!F206,"*GCO – Regions*")</f>
        <v>0</v>
      </c>
      <c r="J207">
        <f>COUNTIF('Metrics - Articles'!F206,"*GCO – Platform Solutions*")</f>
        <v>0</v>
      </c>
      <c r="K207">
        <f>COUNTIF('Metrics - Articles'!F206,"*GCO – Industry Cloud *")</f>
        <v>0</v>
      </c>
      <c r="L207">
        <f>COUNTIF('Metrics - Articles'!F206,"*GCO – Customer Engagement &amp; Commerce (CRM &amp; hybris) *")</f>
        <v>0</v>
      </c>
      <c r="M207">
        <f>COUNTIF('Metrics - Articles'!F206,"*GCO – HR (SuccessFactors)*")</f>
        <v>0</v>
      </c>
      <c r="N207">
        <f>COUNTIF('Metrics - Articles'!F206,"*GCO – Services Sales*")</f>
        <v>0</v>
      </c>
      <c r="O207">
        <f>COUNTIF('Metrics - Articles'!F206,"*GCO – Other*")</f>
        <v>0</v>
      </c>
      <c r="P207">
        <f>COUNTIF('Metrics - Articles'!F206,"*Corporate*")</f>
        <v>0</v>
      </c>
      <c r="R207" s="53">
        <f t="shared" si="5"/>
        <v>1</v>
      </c>
    </row>
    <row r="208" spans="2:18" x14ac:dyDescent="0.25">
      <c r="B208" s="48">
        <f>+'Metrics - Articles'!C207</f>
        <v>42179</v>
      </c>
      <c r="C208">
        <f>COUNTIF('Metrics - Articles'!F207,"*GPO (Partner, Ecosystem, Channels)*")</f>
        <v>0</v>
      </c>
      <c r="D208">
        <f>COUNTIF('Metrics - Articles'!F207,"*Office of the CEO*")</f>
        <v>0</v>
      </c>
      <c r="E208">
        <f>COUNTIF('Metrics - Articles'!F207,"*Services Delivery &amp; Support (go-lives and deployments) *")</f>
        <v>0</v>
      </c>
      <c r="F208">
        <f>COUNTIF('Metrics - Articles'!F207,"*Human Resources (SAP HR and employee stories)*")</f>
        <v>0</v>
      </c>
      <c r="G208">
        <f>COUNTIF('Metrics - Articles'!F207,"*P&amp;I (Research &amp; Development)*")</f>
        <v>0</v>
      </c>
      <c r="H208">
        <f>COUNTIF('Metrics - Articles'!F207,"*Business Network (Concur, Ariba, Fieldglass)*")</f>
        <v>0</v>
      </c>
      <c r="I208">
        <f>COUNTIF('Metrics - Articles'!F207,"*GCO – Regions*")</f>
        <v>0</v>
      </c>
      <c r="J208">
        <f>COUNTIF('Metrics - Articles'!F207,"*GCO – Platform Solutions*")</f>
        <v>1</v>
      </c>
      <c r="K208">
        <f>COUNTIF('Metrics - Articles'!F207,"*GCO – Industry Cloud *")</f>
        <v>1</v>
      </c>
      <c r="L208">
        <f>COUNTIF('Metrics - Articles'!F207,"*GCO – Customer Engagement &amp; Commerce (CRM &amp; hybris) *")</f>
        <v>0</v>
      </c>
      <c r="M208">
        <f>COUNTIF('Metrics - Articles'!F207,"*GCO – HR (SuccessFactors)*")</f>
        <v>0</v>
      </c>
      <c r="N208">
        <f>COUNTIF('Metrics - Articles'!F207,"*GCO – Services Sales*")</f>
        <v>0</v>
      </c>
      <c r="O208">
        <f>COUNTIF('Metrics - Articles'!F207,"*GCO – Other*")</f>
        <v>0</v>
      </c>
      <c r="P208">
        <f>COUNTIF('Metrics - Articles'!F207,"*Corporate*")</f>
        <v>0</v>
      </c>
      <c r="R208" s="53">
        <f t="shared" si="5"/>
        <v>2</v>
      </c>
    </row>
    <row r="209" spans="2:18" x14ac:dyDescent="0.25">
      <c r="B209" s="48">
        <f>+'Metrics - Articles'!C208</f>
        <v>42180</v>
      </c>
      <c r="C209">
        <f>COUNTIF('Metrics - Articles'!F208,"*GPO (Partner, Ecosystem, Channels)*")</f>
        <v>0</v>
      </c>
      <c r="D209">
        <f>COUNTIF('Metrics - Articles'!F208,"*Office of the CEO*")</f>
        <v>0</v>
      </c>
      <c r="E209">
        <f>COUNTIF('Metrics - Articles'!F208,"*Services Delivery &amp; Support (go-lives and deployments) *")</f>
        <v>0</v>
      </c>
      <c r="F209">
        <f>COUNTIF('Metrics - Articles'!F208,"*Human Resources (SAP HR and employee stories)*")</f>
        <v>0</v>
      </c>
      <c r="G209">
        <f>COUNTIF('Metrics - Articles'!F208,"*P&amp;I (Research &amp; Development)*")</f>
        <v>0</v>
      </c>
      <c r="H209">
        <f>COUNTIF('Metrics - Articles'!F208,"*Business Network (Concur, Ariba, Fieldglass)*")</f>
        <v>0</v>
      </c>
      <c r="I209">
        <f>COUNTIF('Metrics - Articles'!F208,"*GCO – Regions*")</f>
        <v>0</v>
      </c>
      <c r="J209">
        <f>COUNTIF('Metrics - Articles'!F208,"*GCO – Platform Solutions*")</f>
        <v>1</v>
      </c>
      <c r="K209">
        <f>COUNTIF('Metrics - Articles'!F208,"*GCO – Industry Cloud *")</f>
        <v>0</v>
      </c>
      <c r="L209">
        <f>COUNTIF('Metrics - Articles'!F208,"*GCO – Customer Engagement &amp; Commerce (CRM &amp; hybris) *")</f>
        <v>0</v>
      </c>
      <c r="M209">
        <f>COUNTIF('Metrics - Articles'!F208,"*GCO – HR (SuccessFactors)*")</f>
        <v>0</v>
      </c>
      <c r="N209">
        <f>COUNTIF('Metrics - Articles'!F208,"*GCO – Services Sales*")</f>
        <v>0</v>
      </c>
      <c r="O209">
        <f>COUNTIF('Metrics - Articles'!F208,"*GCO – Other*")</f>
        <v>0</v>
      </c>
      <c r="P209">
        <f>COUNTIF('Metrics - Articles'!F208,"*Corporate*")</f>
        <v>0</v>
      </c>
      <c r="R209" s="53">
        <f t="shared" si="5"/>
        <v>1</v>
      </c>
    </row>
    <row r="210" spans="2:18" x14ac:dyDescent="0.25">
      <c r="B210" s="48">
        <f>+'Metrics - Articles'!C209</f>
        <v>42180</v>
      </c>
      <c r="C210">
        <f>COUNTIF('Metrics - Articles'!F209,"*GPO (Partner, Ecosystem, Channels)*")</f>
        <v>0</v>
      </c>
      <c r="D210">
        <f>COUNTIF('Metrics - Articles'!F209,"*Office of the CEO*")</f>
        <v>0</v>
      </c>
      <c r="E210">
        <f>COUNTIF('Metrics - Articles'!F209,"*Services Delivery &amp; Support (go-lives and deployments) *")</f>
        <v>0</v>
      </c>
      <c r="F210">
        <f>COUNTIF('Metrics - Articles'!F209,"*Human Resources (SAP HR and employee stories)*")</f>
        <v>0</v>
      </c>
      <c r="G210">
        <f>COUNTIF('Metrics - Articles'!F209,"*P&amp;I (Research &amp; Development)*")</f>
        <v>0</v>
      </c>
      <c r="H210">
        <f>COUNTIF('Metrics - Articles'!F209,"*Business Network (Concur, Ariba, Fieldglass)*")</f>
        <v>0</v>
      </c>
      <c r="I210">
        <f>COUNTIF('Metrics - Articles'!F209,"*GCO – Regions*")</f>
        <v>0</v>
      </c>
      <c r="J210">
        <f>COUNTIF('Metrics - Articles'!F209,"*GCO – Platform Solutions*")</f>
        <v>1</v>
      </c>
      <c r="K210">
        <f>COUNTIF('Metrics - Articles'!F209,"*GCO – Industry Cloud *")</f>
        <v>0</v>
      </c>
      <c r="L210">
        <f>COUNTIF('Metrics - Articles'!F209,"*GCO – Customer Engagement &amp; Commerce (CRM &amp; hybris) *")</f>
        <v>0</v>
      </c>
      <c r="M210">
        <f>COUNTIF('Metrics - Articles'!F209,"*GCO – HR (SuccessFactors)*")</f>
        <v>0</v>
      </c>
      <c r="N210">
        <f>COUNTIF('Metrics - Articles'!F209,"*GCO – Services Sales*")</f>
        <v>0</v>
      </c>
      <c r="O210">
        <f>COUNTIF('Metrics - Articles'!F209,"*GCO – Other*")</f>
        <v>0</v>
      </c>
      <c r="P210">
        <f>COUNTIF('Metrics - Articles'!F209,"*Corporate*")</f>
        <v>0</v>
      </c>
      <c r="R210" s="53">
        <f t="shared" si="5"/>
        <v>1</v>
      </c>
    </row>
    <row r="211" spans="2:18" x14ac:dyDescent="0.25">
      <c r="B211" s="48">
        <f>+'Metrics - Articles'!C210</f>
        <v>42181</v>
      </c>
      <c r="C211">
        <f>COUNTIF('Metrics - Articles'!F210,"*GPO (Partner, Ecosystem, Channels)*")</f>
        <v>0</v>
      </c>
      <c r="D211">
        <f>COUNTIF('Metrics - Articles'!F210,"*Office of the CEO*")</f>
        <v>0</v>
      </c>
      <c r="E211">
        <f>COUNTIF('Metrics - Articles'!F210,"*Services Delivery &amp; Support (go-lives and deployments) *")</f>
        <v>0</v>
      </c>
      <c r="F211">
        <f>COUNTIF('Metrics - Articles'!F210,"*Human Resources (SAP HR and employee stories)*")</f>
        <v>1</v>
      </c>
      <c r="G211">
        <f>COUNTIF('Metrics - Articles'!F210,"*P&amp;I (Research &amp; Development)*")</f>
        <v>0</v>
      </c>
      <c r="H211">
        <f>COUNTIF('Metrics - Articles'!F210,"*Business Network (Concur, Ariba, Fieldglass)*")</f>
        <v>0</v>
      </c>
      <c r="I211">
        <f>COUNTIF('Metrics - Articles'!F210,"*GCO – Regions*")</f>
        <v>0</v>
      </c>
      <c r="J211">
        <f>COUNTIF('Metrics - Articles'!F210,"*GCO – Platform Solutions*")</f>
        <v>0</v>
      </c>
      <c r="K211">
        <f>COUNTIF('Metrics - Articles'!F210,"*GCO – Industry Cloud *")</f>
        <v>0</v>
      </c>
      <c r="L211">
        <f>COUNTIF('Metrics - Articles'!F210,"*GCO – Customer Engagement &amp; Commerce (CRM &amp; hybris) *")</f>
        <v>0</v>
      </c>
      <c r="M211">
        <f>COUNTIF('Metrics - Articles'!F210,"*GCO – HR (SuccessFactors)*")</f>
        <v>0</v>
      </c>
      <c r="N211">
        <f>COUNTIF('Metrics - Articles'!F210,"*GCO – Services Sales*")</f>
        <v>0</v>
      </c>
      <c r="O211">
        <f>COUNTIF('Metrics - Articles'!F210,"*GCO – Other*")</f>
        <v>0</v>
      </c>
      <c r="P211">
        <f>COUNTIF('Metrics - Articles'!F210,"*Corporate*")</f>
        <v>0</v>
      </c>
      <c r="R211" s="53">
        <f t="shared" si="5"/>
        <v>1</v>
      </c>
    </row>
    <row r="212" spans="2:18" x14ac:dyDescent="0.25">
      <c r="B212" s="48">
        <f>+'Metrics - Articles'!C211</f>
        <v>42181</v>
      </c>
      <c r="C212">
        <f>COUNTIF('Metrics - Articles'!F211,"*GPO (Partner, Ecosystem, Channels)*")</f>
        <v>0</v>
      </c>
      <c r="D212">
        <f>COUNTIF('Metrics - Articles'!F211,"*Office of the CEO*")</f>
        <v>0</v>
      </c>
      <c r="E212">
        <f>COUNTIF('Metrics - Articles'!F211,"*Services Delivery &amp; Support (go-lives and deployments) *")</f>
        <v>0</v>
      </c>
      <c r="F212">
        <f>COUNTIF('Metrics - Articles'!F211,"*Human Resources (SAP HR and employee stories)*")</f>
        <v>0</v>
      </c>
      <c r="G212">
        <f>COUNTIF('Metrics - Articles'!F211,"*P&amp;I (Research &amp; Development)*")</f>
        <v>0</v>
      </c>
      <c r="H212">
        <f>COUNTIF('Metrics - Articles'!F211,"*Business Network (Concur, Ariba, Fieldglass)*")</f>
        <v>0</v>
      </c>
      <c r="I212">
        <f>COUNTIF('Metrics - Articles'!F211,"*GCO – Regions*")</f>
        <v>1</v>
      </c>
      <c r="J212">
        <f>COUNTIF('Metrics - Articles'!F211,"*GCO – Platform Solutions*")</f>
        <v>0</v>
      </c>
      <c r="K212">
        <f>COUNTIF('Metrics - Articles'!F211,"*GCO – Industry Cloud *")</f>
        <v>0</v>
      </c>
      <c r="L212">
        <f>COUNTIF('Metrics - Articles'!F211,"*GCO – Customer Engagement &amp; Commerce (CRM &amp; hybris) *")</f>
        <v>0</v>
      </c>
      <c r="M212">
        <f>COUNTIF('Metrics - Articles'!F211,"*GCO – HR (SuccessFactors)*")</f>
        <v>0</v>
      </c>
      <c r="N212">
        <f>COUNTIF('Metrics - Articles'!F211,"*GCO – Services Sales*")</f>
        <v>0</v>
      </c>
      <c r="O212">
        <f>COUNTIF('Metrics - Articles'!F211,"*GCO – Other*")</f>
        <v>0</v>
      </c>
      <c r="P212">
        <f>COUNTIF('Metrics - Articles'!F211,"*Corporate*")</f>
        <v>0</v>
      </c>
      <c r="R212" s="53">
        <f t="shared" si="5"/>
        <v>1</v>
      </c>
    </row>
    <row r="213" spans="2:18" x14ac:dyDescent="0.25">
      <c r="B213" s="48">
        <f>+'Metrics - Articles'!C212</f>
        <v>42181</v>
      </c>
      <c r="C213">
        <f>COUNTIF('Metrics - Articles'!F212,"*GPO (Partner, Ecosystem, Channels)*")</f>
        <v>0</v>
      </c>
      <c r="D213">
        <f>COUNTIF('Metrics - Articles'!F212,"*Office of the CEO*")</f>
        <v>0</v>
      </c>
      <c r="E213">
        <f>COUNTIF('Metrics - Articles'!F212,"*Services Delivery &amp; Support (go-lives and deployments) *")</f>
        <v>0</v>
      </c>
      <c r="F213">
        <f>COUNTIF('Metrics - Articles'!F212,"*Human Resources (SAP HR and employee stories)*")</f>
        <v>0</v>
      </c>
      <c r="G213">
        <f>COUNTIF('Metrics - Articles'!F212,"*P&amp;I (Research &amp; Development)*")</f>
        <v>1</v>
      </c>
      <c r="H213">
        <f>COUNTIF('Metrics - Articles'!F212,"*Business Network (Concur, Ariba, Fieldglass)*")</f>
        <v>0</v>
      </c>
      <c r="I213">
        <f>COUNTIF('Metrics - Articles'!F212,"*GCO – Regions*")</f>
        <v>0</v>
      </c>
      <c r="J213">
        <f>COUNTIF('Metrics - Articles'!F212,"*GCO – Platform Solutions*")</f>
        <v>0</v>
      </c>
      <c r="K213">
        <f>COUNTIF('Metrics - Articles'!F212,"*GCO – Industry Cloud *")</f>
        <v>0</v>
      </c>
      <c r="L213">
        <f>COUNTIF('Metrics - Articles'!F212,"*GCO – Customer Engagement &amp; Commerce (CRM &amp; hybris) *")</f>
        <v>0</v>
      </c>
      <c r="M213">
        <f>COUNTIF('Metrics - Articles'!F212,"*GCO – HR (SuccessFactors)*")</f>
        <v>0</v>
      </c>
      <c r="N213">
        <f>COUNTIF('Metrics - Articles'!F212,"*GCO – Services Sales*")</f>
        <v>0</v>
      </c>
      <c r="O213">
        <f>COUNTIF('Metrics - Articles'!F212,"*GCO – Other*")</f>
        <v>0</v>
      </c>
      <c r="P213">
        <f>COUNTIF('Metrics - Articles'!F212,"*Corporate*")</f>
        <v>0</v>
      </c>
      <c r="R213" s="53">
        <f t="shared" si="5"/>
        <v>1</v>
      </c>
    </row>
    <row r="214" spans="2:18" x14ac:dyDescent="0.25">
      <c r="B214" s="48">
        <f>+'Metrics - Articles'!C213</f>
        <v>42184</v>
      </c>
      <c r="C214">
        <f>COUNTIF('Metrics - Articles'!F213,"*GPO (Partner, Ecosystem, Channels)*")</f>
        <v>0</v>
      </c>
      <c r="D214">
        <f>COUNTIF('Metrics - Articles'!F213,"*Office of the CEO*")</f>
        <v>0</v>
      </c>
      <c r="E214">
        <f>COUNTIF('Metrics - Articles'!F213,"*Services Delivery &amp; Support (go-lives and deployments) *")</f>
        <v>0</v>
      </c>
      <c r="F214">
        <f>COUNTIF('Metrics - Articles'!F213,"*Human Resources (SAP HR and employee stories)*")</f>
        <v>0</v>
      </c>
      <c r="G214">
        <f>COUNTIF('Metrics - Articles'!F213,"*P&amp;I (Research &amp; Development)*")</f>
        <v>0</v>
      </c>
      <c r="H214">
        <f>COUNTIF('Metrics - Articles'!F213,"*Business Network (Concur, Ariba, Fieldglass)*")</f>
        <v>0</v>
      </c>
      <c r="I214">
        <f>COUNTIF('Metrics - Articles'!F213,"*GCO – Regions*")</f>
        <v>0</v>
      </c>
      <c r="J214">
        <f>COUNTIF('Metrics - Articles'!F213,"*GCO – Platform Solutions*")</f>
        <v>0</v>
      </c>
      <c r="K214">
        <f>COUNTIF('Metrics - Articles'!F213,"*GCO – Industry Cloud *")</f>
        <v>0</v>
      </c>
      <c r="L214">
        <f>COUNTIF('Metrics - Articles'!F213,"*GCO – Customer Engagement &amp; Commerce (CRM &amp; hybris) *")</f>
        <v>0</v>
      </c>
      <c r="M214">
        <f>COUNTIF('Metrics - Articles'!F213,"*GCO – HR (SuccessFactors)*")</f>
        <v>0</v>
      </c>
      <c r="N214">
        <f>COUNTIF('Metrics - Articles'!F213,"*GCO – Services Sales*")</f>
        <v>0</v>
      </c>
      <c r="O214">
        <f>COUNTIF('Metrics - Articles'!F213,"*GCO – Other*")</f>
        <v>0</v>
      </c>
      <c r="P214">
        <f>COUNTIF('Metrics - Articles'!F213,"*Corporate*")</f>
        <v>1</v>
      </c>
      <c r="R214" s="53">
        <f t="shared" si="5"/>
        <v>1</v>
      </c>
    </row>
    <row r="215" spans="2:18" x14ac:dyDescent="0.25">
      <c r="B215" s="48">
        <f>+'Metrics - Articles'!C214</f>
        <v>42186</v>
      </c>
      <c r="C215">
        <f>COUNTIF('Metrics - Articles'!F214,"*GPO (Partner, Ecosystem, Channels)*")</f>
        <v>0</v>
      </c>
      <c r="D215">
        <f>COUNTIF('Metrics - Articles'!F214,"*Office of the CEO*")</f>
        <v>0</v>
      </c>
      <c r="E215">
        <f>COUNTIF('Metrics - Articles'!F214,"*Services Delivery &amp; Support (go-lives and deployments) *")</f>
        <v>0</v>
      </c>
      <c r="F215">
        <f>COUNTIF('Metrics - Articles'!F214,"*Human Resources (SAP HR and employee stories)*")</f>
        <v>1</v>
      </c>
      <c r="G215">
        <f>COUNTIF('Metrics - Articles'!F214,"*P&amp;I (Research &amp; Development)*")</f>
        <v>0</v>
      </c>
      <c r="H215">
        <f>COUNTIF('Metrics - Articles'!F214,"*Business Network (Concur, Ariba, Fieldglass)*")</f>
        <v>0</v>
      </c>
      <c r="I215">
        <f>COUNTIF('Metrics - Articles'!F214,"*GCO – Regions*")</f>
        <v>0</v>
      </c>
      <c r="J215">
        <f>COUNTIF('Metrics - Articles'!F214,"*GCO – Platform Solutions*")</f>
        <v>0</v>
      </c>
      <c r="K215">
        <f>COUNTIF('Metrics - Articles'!F214,"*GCO – Industry Cloud *")</f>
        <v>0</v>
      </c>
      <c r="L215">
        <f>COUNTIF('Metrics - Articles'!F214,"*GCO – Customer Engagement &amp; Commerce (CRM &amp; hybris) *")</f>
        <v>0</v>
      </c>
      <c r="M215">
        <f>COUNTIF('Metrics - Articles'!F214,"*GCO – HR (SuccessFactors)*")</f>
        <v>0</v>
      </c>
      <c r="N215">
        <f>COUNTIF('Metrics - Articles'!F214,"*GCO – Services Sales*")</f>
        <v>0</v>
      </c>
      <c r="O215">
        <f>COUNTIF('Metrics - Articles'!F214,"*GCO – Other*")</f>
        <v>0</v>
      </c>
      <c r="P215">
        <f>COUNTIF('Metrics - Articles'!F214,"*Corporate*")</f>
        <v>0</v>
      </c>
      <c r="R215" s="53">
        <f t="shared" si="5"/>
        <v>1</v>
      </c>
    </row>
    <row r="216" spans="2:18" x14ac:dyDescent="0.25">
      <c r="B216" s="48">
        <f>+'Metrics - Articles'!C215</f>
        <v>42187</v>
      </c>
      <c r="C216">
        <f>COUNTIF('Metrics - Articles'!F215,"*GPO (Partner, Ecosystem, Channels)*")</f>
        <v>0</v>
      </c>
      <c r="D216">
        <f>COUNTIF('Metrics - Articles'!F215,"*Office of the CEO*")</f>
        <v>0</v>
      </c>
      <c r="E216">
        <f>COUNTIF('Metrics - Articles'!F215,"*Services Delivery &amp; Support (go-lives and deployments) *")</f>
        <v>0</v>
      </c>
      <c r="F216">
        <f>COUNTIF('Metrics - Articles'!F215,"*Human Resources (SAP HR and employee stories)*")</f>
        <v>1</v>
      </c>
      <c r="G216">
        <f>COUNTIF('Metrics - Articles'!F215,"*P&amp;I (Research &amp; Development)*")</f>
        <v>0</v>
      </c>
      <c r="H216">
        <f>COUNTIF('Metrics - Articles'!F215,"*Business Network (Concur, Ariba, Fieldglass)*")</f>
        <v>0</v>
      </c>
      <c r="I216">
        <f>COUNTIF('Metrics - Articles'!F215,"*GCO – Regions*")</f>
        <v>0</v>
      </c>
      <c r="J216">
        <f>COUNTIF('Metrics - Articles'!F215,"*GCO – Platform Solutions*")</f>
        <v>0</v>
      </c>
      <c r="K216">
        <f>COUNTIF('Metrics - Articles'!F215,"*GCO – Industry Cloud *")</f>
        <v>0</v>
      </c>
      <c r="L216">
        <f>COUNTIF('Metrics - Articles'!F215,"*GCO – Customer Engagement &amp; Commerce (CRM &amp; hybris) *")</f>
        <v>0</v>
      </c>
      <c r="M216">
        <f>COUNTIF('Metrics - Articles'!F215,"*GCO – HR (SuccessFactors)*")</f>
        <v>0</v>
      </c>
      <c r="N216">
        <f>COUNTIF('Metrics - Articles'!F215,"*GCO – Services Sales*")</f>
        <v>0</v>
      </c>
      <c r="O216">
        <f>COUNTIF('Metrics - Articles'!F215,"*GCO – Other*")</f>
        <v>0</v>
      </c>
      <c r="P216">
        <f>COUNTIF('Metrics - Articles'!F215,"*Corporate*")</f>
        <v>0</v>
      </c>
      <c r="R216" s="53">
        <f t="shared" si="5"/>
        <v>1</v>
      </c>
    </row>
    <row r="217" spans="2:18" x14ac:dyDescent="0.25">
      <c r="B217" s="48">
        <f>+'Metrics - Articles'!C216</f>
        <v>42187</v>
      </c>
      <c r="C217">
        <f>COUNTIF('Metrics - Articles'!F216,"*GPO (Partner, Ecosystem, Channels)*")</f>
        <v>0</v>
      </c>
      <c r="D217">
        <f>COUNTIF('Metrics - Articles'!F216,"*Office of the CEO*")</f>
        <v>0</v>
      </c>
      <c r="E217">
        <f>COUNTIF('Metrics - Articles'!F216,"*Services Delivery &amp; Support (go-lives and deployments) *")</f>
        <v>0</v>
      </c>
      <c r="F217">
        <f>COUNTIF('Metrics - Articles'!F216,"*Human Resources (SAP HR and employee stories)*")</f>
        <v>0</v>
      </c>
      <c r="G217">
        <f>COUNTIF('Metrics - Articles'!F216,"*P&amp;I (Research &amp; Development)*")</f>
        <v>1</v>
      </c>
      <c r="H217">
        <f>COUNTIF('Metrics - Articles'!F216,"*Business Network (Concur, Ariba, Fieldglass)*")</f>
        <v>0</v>
      </c>
      <c r="I217">
        <f>COUNTIF('Metrics - Articles'!F216,"*GCO – Regions*")</f>
        <v>0</v>
      </c>
      <c r="J217">
        <f>COUNTIF('Metrics - Articles'!F216,"*GCO – Platform Solutions*")</f>
        <v>0</v>
      </c>
      <c r="K217">
        <f>COUNTIF('Metrics - Articles'!F216,"*GCO – Industry Cloud *")</f>
        <v>0</v>
      </c>
      <c r="L217">
        <f>COUNTIF('Metrics - Articles'!F216,"*GCO – Customer Engagement &amp; Commerce (CRM &amp; hybris) *")</f>
        <v>0</v>
      </c>
      <c r="M217">
        <f>COUNTIF('Metrics - Articles'!F216,"*GCO – HR (SuccessFactors)*")</f>
        <v>0</v>
      </c>
      <c r="N217">
        <f>COUNTIF('Metrics - Articles'!F216,"*GCO – Services Sales*")</f>
        <v>0</v>
      </c>
      <c r="O217">
        <f>COUNTIF('Metrics - Articles'!F216,"*GCO – Other*")</f>
        <v>0</v>
      </c>
      <c r="P217">
        <f>COUNTIF('Metrics - Articles'!F216,"*Corporate*")</f>
        <v>0</v>
      </c>
      <c r="R217" s="53">
        <f t="shared" si="5"/>
        <v>1</v>
      </c>
    </row>
    <row r="218" spans="2:18" x14ac:dyDescent="0.25">
      <c r="B218" s="48">
        <f>+'Metrics - Articles'!C217</f>
        <v>42188</v>
      </c>
      <c r="C218">
        <f>COUNTIF('Metrics - Articles'!F217,"*GPO (Partner, Ecosystem, Channels)*")</f>
        <v>0</v>
      </c>
      <c r="D218">
        <f>COUNTIF('Metrics - Articles'!F217,"*Office of the CEO*")</f>
        <v>1</v>
      </c>
      <c r="E218">
        <f>COUNTIF('Metrics - Articles'!F217,"*Services Delivery &amp; Support (go-lives and deployments) *")</f>
        <v>0</v>
      </c>
      <c r="F218">
        <f>COUNTIF('Metrics - Articles'!F217,"*Human Resources (SAP HR and employee stories)*")</f>
        <v>0</v>
      </c>
      <c r="G218">
        <f>COUNTIF('Metrics - Articles'!F217,"*P&amp;I (Research &amp; Development)*")</f>
        <v>0</v>
      </c>
      <c r="H218">
        <f>COUNTIF('Metrics - Articles'!F217,"*Business Network (Concur, Ariba, Fieldglass)*")</f>
        <v>0</v>
      </c>
      <c r="I218">
        <f>COUNTIF('Metrics - Articles'!F217,"*GCO – Regions*")</f>
        <v>0</v>
      </c>
      <c r="J218">
        <f>COUNTIF('Metrics - Articles'!F217,"*GCO – Platform Solutions*")</f>
        <v>0</v>
      </c>
      <c r="K218">
        <f>COUNTIF('Metrics - Articles'!F217,"*GCO – Industry Cloud *")</f>
        <v>0</v>
      </c>
      <c r="L218">
        <f>COUNTIF('Metrics - Articles'!F217,"*GCO – Customer Engagement &amp; Commerce (CRM &amp; hybris) *")</f>
        <v>0</v>
      </c>
      <c r="M218">
        <f>COUNTIF('Metrics - Articles'!F217,"*GCO – HR (SuccessFactors)*")</f>
        <v>0</v>
      </c>
      <c r="N218">
        <f>COUNTIF('Metrics - Articles'!F217,"*GCO – Services Sales*")</f>
        <v>0</v>
      </c>
      <c r="O218">
        <f>COUNTIF('Metrics - Articles'!F217,"*GCO – Other*")</f>
        <v>0</v>
      </c>
      <c r="P218">
        <f>COUNTIF('Metrics - Articles'!F217,"*Corporate*")</f>
        <v>0</v>
      </c>
      <c r="R218" s="53">
        <f t="shared" si="5"/>
        <v>1</v>
      </c>
    </row>
    <row r="219" spans="2:18" x14ac:dyDescent="0.25">
      <c r="B219" s="48">
        <f>+'Metrics - Articles'!C218</f>
        <v>42188</v>
      </c>
      <c r="C219">
        <f>COUNTIF('Metrics - Articles'!F218,"*GPO (Partner, Ecosystem, Channels)*")</f>
        <v>0</v>
      </c>
      <c r="D219">
        <f>COUNTIF('Metrics - Articles'!F218,"*Office of the CEO*")</f>
        <v>0</v>
      </c>
      <c r="E219">
        <f>COUNTIF('Metrics - Articles'!F218,"*Services Delivery &amp; Support (go-lives and deployments) *")</f>
        <v>0</v>
      </c>
      <c r="F219">
        <f>COUNTIF('Metrics - Articles'!F218,"*Human Resources (SAP HR and employee stories)*")</f>
        <v>0</v>
      </c>
      <c r="G219">
        <f>COUNTIF('Metrics - Articles'!F218,"*P&amp;I (Research &amp; Development)*")</f>
        <v>1</v>
      </c>
      <c r="H219">
        <f>COUNTIF('Metrics - Articles'!F218,"*Business Network (Concur, Ariba, Fieldglass)*")</f>
        <v>0</v>
      </c>
      <c r="I219">
        <f>COUNTIF('Metrics - Articles'!F218,"*GCO – Regions*")</f>
        <v>0</v>
      </c>
      <c r="J219">
        <f>COUNTIF('Metrics - Articles'!F218,"*GCO – Platform Solutions*")</f>
        <v>0</v>
      </c>
      <c r="K219">
        <f>COUNTIF('Metrics - Articles'!F218,"*GCO – Industry Cloud *")</f>
        <v>0</v>
      </c>
      <c r="L219">
        <f>COUNTIF('Metrics - Articles'!F218,"*GCO – Customer Engagement &amp; Commerce (CRM &amp; hybris) *")</f>
        <v>0</v>
      </c>
      <c r="M219">
        <f>COUNTIF('Metrics - Articles'!F218,"*GCO – HR (SuccessFactors)*")</f>
        <v>0</v>
      </c>
      <c r="N219">
        <f>COUNTIF('Metrics - Articles'!F218,"*GCO – Services Sales*")</f>
        <v>0</v>
      </c>
      <c r="O219">
        <f>COUNTIF('Metrics - Articles'!F218,"*GCO – Other*")</f>
        <v>0</v>
      </c>
      <c r="P219">
        <f>COUNTIF('Metrics - Articles'!F218,"*Corporate*")</f>
        <v>0</v>
      </c>
      <c r="R219" s="53">
        <f t="shared" si="5"/>
        <v>1</v>
      </c>
    </row>
    <row r="220" spans="2:18" x14ac:dyDescent="0.25">
      <c r="B220" s="48">
        <f>+'Metrics - Articles'!C219</f>
        <v>42188</v>
      </c>
      <c r="C220">
        <f>COUNTIF('Metrics - Articles'!F219,"*GPO (Partner, Ecosystem, Channels)*")</f>
        <v>0</v>
      </c>
      <c r="D220">
        <f>COUNTIF('Metrics - Articles'!F219,"*Office of the CEO*")</f>
        <v>0</v>
      </c>
      <c r="E220">
        <f>COUNTIF('Metrics - Articles'!F219,"*Services Delivery &amp; Support (go-lives and deployments) *")</f>
        <v>0</v>
      </c>
      <c r="F220">
        <f>COUNTIF('Metrics - Articles'!F219,"*Human Resources (SAP HR and employee stories)*")</f>
        <v>0</v>
      </c>
      <c r="G220">
        <f>COUNTIF('Metrics - Articles'!F219,"*P&amp;I (Research &amp; Development)*")</f>
        <v>1</v>
      </c>
      <c r="H220">
        <f>COUNTIF('Metrics - Articles'!F219,"*Business Network (Concur, Ariba, Fieldglass)*")</f>
        <v>0</v>
      </c>
      <c r="I220">
        <f>COUNTIF('Metrics - Articles'!F219,"*GCO – Regions*")</f>
        <v>0</v>
      </c>
      <c r="J220">
        <f>COUNTIF('Metrics - Articles'!F219,"*GCO – Platform Solutions*")</f>
        <v>0</v>
      </c>
      <c r="K220">
        <f>COUNTIF('Metrics - Articles'!F219,"*GCO – Industry Cloud *")</f>
        <v>0</v>
      </c>
      <c r="L220">
        <f>COUNTIF('Metrics - Articles'!F219,"*GCO – Customer Engagement &amp; Commerce (CRM &amp; hybris) *")</f>
        <v>0</v>
      </c>
      <c r="M220">
        <f>COUNTIF('Metrics - Articles'!F219,"*GCO – HR (SuccessFactors)*")</f>
        <v>0</v>
      </c>
      <c r="N220">
        <f>COUNTIF('Metrics - Articles'!F219,"*GCO – Services Sales*")</f>
        <v>0</v>
      </c>
      <c r="O220">
        <f>COUNTIF('Metrics - Articles'!F219,"*GCO – Other*")</f>
        <v>0</v>
      </c>
      <c r="P220">
        <f>COUNTIF('Metrics - Articles'!F219,"*Corporate*")</f>
        <v>0</v>
      </c>
      <c r="R220" s="53">
        <f t="shared" si="5"/>
        <v>1</v>
      </c>
    </row>
    <row r="221" spans="2:18" x14ac:dyDescent="0.25">
      <c r="B221" s="48">
        <f>+'Metrics - Articles'!C220</f>
        <v>42191</v>
      </c>
      <c r="C221">
        <f>COUNTIF('Metrics - Articles'!F220,"*GPO (Partner, Ecosystem, Channels)*")</f>
        <v>0</v>
      </c>
      <c r="D221">
        <f>COUNTIF('Metrics - Articles'!F220,"*Office of the CEO*")</f>
        <v>0</v>
      </c>
      <c r="E221">
        <f>COUNTIF('Metrics - Articles'!F220,"*Services Delivery &amp; Support (go-lives and deployments) *")</f>
        <v>0</v>
      </c>
      <c r="F221">
        <f>COUNTIF('Metrics - Articles'!F220,"*Human Resources (SAP HR and employee stories)*")</f>
        <v>0</v>
      </c>
      <c r="G221">
        <f>COUNTIF('Metrics - Articles'!F220,"*P&amp;I (Research &amp; Development)*")</f>
        <v>0</v>
      </c>
      <c r="H221">
        <f>COUNTIF('Metrics - Articles'!F220,"*Business Network (Concur, Ariba, Fieldglass)*")</f>
        <v>1</v>
      </c>
      <c r="I221">
        <f>COUNTIF('Metrics - Articles'!F220,"*GCO – Regions*")</f>
        <v>0</v>
      </c>
      <c r="J221">
        <f>COUNTIF('Metrics - Articles'!F220,"*GCO – Platform Solutions*")</f>
        <v>0</v>
      </c>
      <c r="K221">
        <f>COUNTIF('Metrics - Articles'!F220,"*GCO – Industry Cloud *")</f>
        <v>0</v>
      </c>
      <c r="L221">
        <f>COUNTIF('Metrics - Articles'!F220,"*GCO – Customer Engagement &amp; Commerce (CRM &amp; hybris) *")</f>
        <v>0</v>
      </c>
      <c r="M221">
        <f>COUNTIF('Metrics - Articles'!F220,"*GCO – HR (SuccessFactors)*")</f>
        <v>0</v>
      </c>
      <c r="N221">
        <f>COUNTIF('Metrics - Articles'!F220,"*GCO – Services Sales*")</f>
        <v>0</v>
      </c>
      <c r="O221">
        <f>COUNTIF('Metrics - Articles'!F220,"*GCO – Other*")</f>
        <v>0</v>
      </c>
      <c r="P221">
        <f>COUNTIF('Metrics - Articles'!F220,"*Corporate*")</f>
        <v>0</v>
      </c>
      <c r="R221" s="53">
        <f t="shared" si="5"/>
        <v>1</v>
      </c>
    </row>
    <row r="222" spans="2:18" x14ac:dyDescent="0.25">
      <c r="B222" s="48">
        <f>+'Metrics - Articles'!C221</f>
        <v>42192</v>
      </c>
      <c r="C222">
        <f>COUNTIF('Metrics - Articles'!F221,"*GPO (Partner, Ecosystem, Channels)*")</f>
        <v>0</v>
      </c>
      <c r="D222">
        <f>COUNTIF('Metrics - Articles'!F221,"*Office of the CEO*")</f>
        <v>0</v>
      </c>
      <c r="E222">
        <f>COUNTIF('Metrics - Articles'!F221,"*Services Delivery &amp; Support (go-lives and deployments) *")</f>
        <v>0</v>
      </c>
      <c r="F222">
        <f>COUNTIF('Metrics - Articles'!F221,"*Human Resources (SAP HR and employee stories)*")</f>
        <v>0</v>
      </c>
      <c r="G222">
        <f>COUNTIF('Metrics - Articles'!F221,"*P&amp;I (Research &amp; Development)*")</f>
        <v>0</v>
      </c>
      <c r="H222">
        <f>COUNTIF('Metrics - Articles'!F221,"*Business Network (Concur, Ariba, Fieldglass)*")</f>
        <v>0</v>
      </c>
      <c r="I222">
        <f>COUNTIF('Metrics - Articles'!F221,"*GCO – Regions*")</f>
        <v>0</v>
      </c>
      <c r="J222">
        <f>COUNTIF('Metrics - Articles'!F221,"*GCO – Platform Solutions*")</f>
        <v>1</v>
      </c>
      <c r="K222">
        <f>COUNTIF('Metrics - Articles'!F221,"*GCO – Industry Cloud *")</f>
        <v>1</v>
      </c>
      <c r="L222">
        <f>COUNTIF('Metrics - Articles'!F221,"*GCO – Customer Engagement &amp; Commerce (CRM &amp; hybris) *")</f>
        <v>0</v>
      </c>
      <c r="M222">
        <f>COUNTIF('Metrics - Articles'!F221,"*GCO – HR (SuccessFactors)*")</f>
        <v>0</v>
      </c>
      <c r="N222">
        <f>COUNTIF('Metrics - Articles'!F221,"*GCO – Services Sales*")</f>
        <v>0</v>
      </c>
      <c r="O222">
        <f>COUNTIF('Metrics - Articles'!F221,"*GCO – Other*")</f>
        <v>0</v>
      </c>
      <c r="P222">
        <f>COUNTIF('Metrics - Articles'!F221,"*Corporate*")</f>
        <v>0</v>
      </c>
      <c r="R222" s="53">
        <f t="shared" si="5"/>
        <v>2</v>
      </c>
    </row>
    <row r="223" spans="2:18" x14ac:dyDescent="0.25">
      <c r="B223" s="48">
        <f>+'Metrics - Articles'!C222</f>
        <v>42194</v>
      </c>
      <c r="C223">
        <f>COUNTIF('Metrics - Articles'!F222,"*GPO (Partner, Ecosystem, Channels)*")</f>
        <v>0</v>
      </c>
      <c r="D223">
        <f>COUNTIF('Metrics - Articles'!F222,"*Office of the CEO*")</f>
        <v>0</v>
      </c>
      <c r="E223">
        <f>COUNTIF('Metrics - Articles'!F222,"*Services Delivery &amp; Support (go-lives and deployments) *")</f>
        <v>0</v>
      </c>
      <c r="F223">
        <f>COUNTIF('Metrics - Articles'!F222,"*Human Resources (SAP HR and employee stories)*")</f>
        <v>1</v>
      </c>
      <c r="G223">
        <f>COUNTIF('Metrics - Articles'!F222,"*P&amp;I (Research &amp; Development)*")</f>
        <v>0</v>
      </c>
      <c r="H223">
        <f>COUNTIF('Metrics - Articles'!F222,"*Business Network (Concur, Ariba, Fieldglass)*")</f>
        <v>0</v>
      </c>
      <c r="I223">
        <f>COUNTIF('Metrics - Articles'!F222,"*GCO – Regions*")</f>
        <v>0</v>
      </c>
      <c r="J223">
        <f>COUNTIF('Metrics - Articles'!F222,"*GCO – Platform Solutions*")</f>
        <v>0</v>
      </c>
      <c r="K223">
        <f>COUNTIF('Metrics - Articles'!F222,"*GCO – Industry Cloud *")</f>
        <v>0</v>
      </c>
      <c r="L223">
        <f>COUNTIF('Metrics - Articles'!F222,"*GCO – Customer Engagement &amp; Commerce (CRM &amp; hybris) *")</f>
        <v>0</v>
      </c>
      <c r="M223">
        <f>COUNTIF('Metrics - Articles'!F222,"*GCO – HR (SuccessFactors)*")</f>
        <v>0</v>
      </c>
      <c r="N223">
        <f>COUNTIF('Metrics - Articles'!F222,"*GCO – Services Sales*")</f>
        <v>0</v>
      </c>
      <c r="O223">
        <f>COUNTIF('Metrics - Articles'!F222,"*GCO – Other*")</f>
        <v>0</v>
      </c>
      <c r="P223">
        <f>COUNTIF('Metrics - Articles'!F222,"*Corporate*")</f>
        <v>0</v>
      </c>
      <c r="R223" s="53">
        <f t="shared" si="5"/>
        <v>1</v>
      </c>
    </row>
    <row r="224" spans="2:18" x14ac:dyDescent="0.25">
      <c r="B224" s="48">
        <f>+'Metrics - Articles'!C223</f>
        <v>42194</v>
      </c>
      <c r="C224">
        <f>COUNTIF('Metrics - Articles'!F223,"*GPO (Partner, Ecosystem, Channels)*")</f>
        <v>0</v>
      </c>
      <c r="D224">
        <f>COUNTIF('Metrics - Articles'!F223,"*Office of the CEO*")</f>
        <v>0</v>
      </c>
      <c r="E224">
        <f>COUNTIF('Metrics - Articles'!F223,"*Services Delivery &amp; Support (go-lives and deployments) *")</f>
        <v>0</v>
      </c>
      <c r="F224">
        <f>COUNTIF('Metrics - Articles'!F223,"*Human Resources (SAP HR and employee stories)*")</f>
        <v>1</v>
      </c>
      <c r="G224">
        <f>COUNTIF('Metrics - Articles'!F223,"*P&amp;I (Research &amp; Development)*")</f>
        <v>0</v>
      </c>
      <c r="H224">
        <f>COUNTIF('Metrics - Articles'!F223,"*Business Network (Concur, Ariba, Fieldglass)*")</f>
        <v>0</v>
      </c>
      <c r="I224">
        <f>COUNTIF('Metrics - Articles'!F223,"*GCO – Regions*")</f>
        <v>0</v>
      </c>
      <c r="J224">
        <f>COUNTIF('Metrics - Articles'!F223,"*GCO – Platform Solutions*")</f>
        <v>0</v>
      </c>
      <c r="K224">
        <f>COUNTIF('Metrics - Articles'!F223,"*GCO – Industry Cloud *")</f>
        <v>0</v>
      </c>
      <c r="L224">
        <f>COUNTIF('Metrics - Articles'!F223,"*GCO – Customer Engagement &amp; Commerce (CRM &amp; hybris) *")</f>
        <v>0</v>
      </c>
      <c r="M224">
        <f>COUNTIF('Metrics - Articles'!F223,"*GCO – HR (SuccessFactors)*")</f>
        <v>0</v>
      </c>
      <c r="N224">
        <f>COUNTIF('Metrics - Articles'!F223,"*GCO – Services Sales*")</f>
        <v>0</v>
      </c>
      <c r="O224">
        <f>COUNTIF('Metrics - Articles'!F223,"*GCO – Other*")</f>
        <v>0</v>
      </c>
      <c r="P224">
        <f>COUNTIF('Metrics - Articles'!F223,"*Corporate*")</f>
        <v>0</v>
      </c>
      <c r="R224" s="53">
        <f t="shared" si="5"/>
        <v>1</v>
      </c>
    </row>
    <row r="225" spans="2:18" x14ac:dyDescent="0.25">
      <c r="B225" s="48">
        <f>+'Metrics - Articles'!C224</f>
        <v>42194</v>
      </c>
      <c r="C225">
        <f>COUNTIF('Metrics - Articles'!F224,"*GPO (Partner, Ecosystem, Channels)*")</f>
        <v>0</v>
      </c>
      <c r="D225">
        <f>COUNTIF('Metrics - Articles'!F224,"*Office of the CEO*")</f>
        <v>0</v>
      </c>
      <c r="E225">
        <f>COUNTIF('Metrics - Articles'!F224,"*Services Delivery &amp; Support (go-lives and deployments) *")</f>
        <v>0</v>
      </c>
      <c r="F225">
        <f>COUNTIF('Metrics - Articles'!F224,"*Human Resources (SAP HR and employee stories)*")</f>
        <v>1</v>
      </c>
      <c r="G225">
        <f>COUNTIF('Metrics - Articles'!F224,"*P&amp;I (Research &amp; Development)*")</f>
        <v>0</v>
      </c>
      <c r="H225">
        <f>COUNTIF('Metrics - Articles'!F224,"*Business Network (Concur, Ariba, Fieldglass)*")</f>
        <v>0</v>
      </c>
      <c r="I225">
        <f>COUNTIF('Metrics - Articles'!F224,"*GCO – Regions*")</f>
        <v>0</v>
      </c>
      <c r="J225">
        <f>COUNTIF('Metrics - Articles'!F224,"*GCO – Platform Solutions*")</f>
        <v>0</v>
      </c>
      <c r="K225">
        <f>COUNTIF('Metrics - Articles'!F224,"*GCO – Industry Cloud *")</f>
        <v>0</v>
      </c>
      <c r="L225">
        <f>COUNTIF('Metrics - Articles'!F224,"*GCO – Customer Engagement &amp; Commerce (CRM &amp; hybris) *")</f>
        <v>0</v>
      </c>
      <c r="M225">
        <f>COUNTIF('Metrics - Articles'!F224,"*GCO – HR (SuccessFactors)*")</f>
        <v>0</v>
      </c>
      <c r="N225">
        <f>COUNTIF('Metrics - Articles'!F224,"*GCO – Services Sales*")</f>
        <v>0</v>
      </c>
      <c r="O225">
        <f>COUNTIF('Metrics - Articles'!F224,"*GCO – Other*")</f>
        <v>0</v>
      </c>
      <c r="P225">
        <f>COUNTIF('Metrics - Articles'!F224,"*Corporate*")</f>
        <v>0</v>
      </c>
      <c r="R225" s="53">
        <f t="shared" si="5"/>
        <v>1</v>
      </c>
    </row>
    <row r="226" spans="2:18" x14ac:dyDescent="0.25">
      <c r="B226" s="48">
        <f>+'Metrics - Articles'!C225</f>
        <v>42195</v>
      </c>
      <c r="C226">
        <f>COUNTIF('Metrics - Articles'!F225,"*GPO (Partner, Ecosystem, Channels)*")</f>
        <v>0</v>
      </c>
      <c r="D226">
        <f>COUNTIF('Metrics - Articles'!F225,"*Office of the CEO*")</f>
        <v>0</v>
      </c>
      <c r="E226">
        <f>COUNTIF('Metrics - Articles'!F225,"*Services Delivery &amp; Support (go-lives and deployments) *")</f>
        <v>0</v>
      </c>
      <c r="F226">
        <f>COUNTIF('Metrics - Articles'!F225,"*Human Resources (SAP HR and employee stories)*")</f>
        <v>0</v>
      </c>
      <c r="G226">
        <f>COUNTIF('Metrics - Articles'!F225,"*P&amp;I (Research &amp; Development)*")</f>
        <v>1</v>
      </c>
      <c r="H226">
        <f>COUNTIF('Metrics - Articles'!F225,"*Business Network (Concur, Ariba, Fieldglass)*")</f>
        <v>0</v>
      </c>
      <c r="I226">
        <f>COUNTIF('Metrics - Articles'!F225,"*GCO – Regions*")</f>
        <v>0</v>
      </c>
      <c r="J226">
        <f>COUNTIF('Metrics - Articles'!F225,"*GCO – Platform Solutions*")</f>
        <v>0</v>
      </c>
      <c r="K226">
        <f>COUNTIF('Metrics - Articles'!F225,"*GCO – Industry Cloud *")</f>
        <v>0</v>
      </c>
      <c r="L226">
        <f>COUNTIF('Metrics - Articles'!F225,"*GCO – Customer Engagement &amp; Commerce (CRM &amp; hybris) *")</f>
        <v>0</v>
      </c>
      <c r="M226">
        <f>COUNTIF('Metrics - Articles'!F225,"*GCO – HR (SuccessFactors)*")</f>
        <v>0</v>
      </c>
      <c r="N226">
        <f>COUNTIF('Metrics - Articles'!F225,"*GCO – Services Sales*")</f>
        <v>0</v>
      </c>
      <c r="O226">
        <f>COUNTIF('Metrics - Articles'!F225,"*GCO – Other*")</f>
        <v>0</v>
      </c>
      <c r="P226">
        <f>COUNTIF('Metrics - Articles'!F225,"*Corporate*")</f>
        <v>0</v>
      </c>
      <c r="R226" s="53">
        <f t="shared" si="5"/>
        <v>1</v>
      </c>
    </row>
    <row r="227" spans="2:18" x14ac:dyDescent="0.25">
      <c r="B227" s="48">
        <f>+'Metrics - Articles'!C226</f>
        <v>42195</v>
      </c>
      <c r="C227">
        <f>COUNTIF('Metrics - Articles'!F226,"*GPO (Partner, Ecosystem, Channels)*")</f>
        <v>0</v>
      </c>
      <c r="D227">
        <f>COUNTIF('Metrics - Articles'!F226,"*Office of the CEO*")</f>
        <v>0</v>
      </c>
      <c r="E227">
        <f>COUNTIF('Metrics - Articles'!F226,"*Services Delivery &amp; Support (go-lives and deployments) *")</f>
        <v>0</v>
      </c>
      <c r="F227">
        <f>COUNTIF('Metrics - Articles'!F226,"*Human Resources (SAP HR and employee stories)*")</f>
        <v>0</v>
      </c>
      <c r="G227">
        <f>COUNTIF('Metrics - Articles'!F226,"*P&amp;I (Research &amp; Development)*")</f>
        <v>0</v>
      </c>
      <c r="H227">
        <f>COUNTIF('Metrics - Articles'!F226,"*Business Network (Concur, Ariba, Fieldglass)*")</f>
        <v>0</v>
      </c>
      <c r="I227">
        <f>COUNTIF('Metrics - Articles'!F226,"*GCO – Regions*")</f>
        <v>0</v>
      </c>
      <c r="J227">
        <f>COUNTIF('Metrics - Articles'!F226,"*GCO – Platform Solutions*")</f>
        <v>0</v>
      </c>
      <c r="K227">
        <f>COUNTIF('Metrics - Articles'!F226,"*GCO – Industry Cloud *")</f>
        <v>0</v>
      </c>
      <c r="L227">
        <f>COUNTIF('Metrics - Articles'!F226,"*GCO – Customer Engagement &amp; Commerce (CRM &amp; hybris) *")</f>
        <v>0</v>
      </c>
      <c r="M227">
        <f>COUNTIF('Metrics - Articles'!F226,"*GCO – HR (SuccessFactors)*")</f>
        <v>0</v>
      </c>
      <c r="N227">
        <f>COUNTIF('Metrics - Articles'!F226,"*GCO – Services Sales*")</f>
        <v>0</v>
      </c>
      <c r="O227">
        <f>COUNTIF('Metrics - Articles'!F226,"*GCO – Other*")</f>
        <v>0</v>
      </c>
      <c r="P227">
        <f>COUNTIF('Metrics - Articles'!F226,"*Corporate*")</f>
        <v>1</v>
      </c>
      <c r="R227" s="53">
        <f t="shared" si="5"/>
        <v>1</v>
      </c>
    </row>
    <row r="228" spans="2:18" x14ac:dyDescent="0.25">
      <c r="B228" s="48">
        <f>+'Metrics - Articles'!C227</f>
        <v>42195</v>
      </c>
      <c r="C228">
        <f>COUNTIF('Metrics - Articles'!F227,"*GPO (Partner, Ecosystem, Channels)*")</f>
        <v>0</v>
      </c>
      <c r="D228">
        <f>COUNTIF('Metrics - Articles'!F227,"*Office of the CEO*")</f>
        <v>0</v>
      </c>
      <c r="E228">
        <f>COUNTIF('Metrics - Articles'!F227,"*Services Delivery &amp; Support (go-lives and deployments) *")</f>
        <v>0</v>
      </c>
      <c r="F228">
        <f>COUNTIF('Metrics - Articles'!F227,"*Human Resources (SAP HR and employee stories)*")</f>
        <v>1</v>
      </c>
      <c r="G228">
        <f>COUNTIF('Metrics - Articles'!F227,"*P&amp;I (Research &amp; Development)*")</f>
        <v>0</v>
      </c>
      <c r="H228">
        <f>COUNTIF('Metrics - Articles'!F227,"*Business Network (Concur, Ariba, Fieldglass)*")</f>
        <v>0</v>
      </c>
      <c r="I228">
        <f>COUNTIF('Metrics - Articles'!F227,"*GCO – Regions*")</f>
        <v>0</v>
      </c>
      <c r="J228">
        <f>COUNTIF('Metrics - Articles'!F227,"*GCO – Platform Solutions*")</f>
        <v>0</v>
      </c>
      <c r="K228">
        <f>COUNTIF('Metrics - Articles'!F227,"*GCO – Industry Cloud *")</f>
        <v>0</v>
      </c>
      <c r="L228">
        <f>COUNTIF('Metrics - Articles'!F227,"*GCO – Customer Engagement &amp; Commerce (CRM &amp; hybris) *")</f>
        <v>0</v>
      </c>
      <c r="M228">
        <f>COUNTIF('Metrics - Articles'!F227,"*GCO – HR (SuccessFactors)*")</f>
        <v>0</v>
      </c>
      <c r="N228">
        <f>COUNTIF('Metrics - Articles'!F227,"*GCO – Services Sales*")</f>
        <v>0</v>
      </c>
      <c r="O228">
        <f>COUNTIF('Metrics - Articles'!F227,"*GCO – Other*")</f>
        <v>0</v>
      </c>
      <c r="P228">
        <f>COUNTIF('Metrics - Articles'!F227,"*Corporate*")</f>
        <v>0</v>
      </c>
      <c r="R228" s="53">
        <f t="shared" si="5"/>
        <v>1</v>
      </c>
    </row>
    <row r="229" spans="2:18" x14ac:dyDescent="0.25">
      <c r="B229" s="48">
        <f>+'Metrics - Articles'!C228</f>
        <v>42198</v>
      </c>
      <c r="C229">
        <f>COUNTIF('Metrics - Articles'!F228,"*GPO (Partner, Ecosystem, Channels)*")</f>
        <v>0</v>
      </c>
      <c r="D229">
        <f>COUNTIF('Metrics - Articles'!F228,"*Office of the CEO*")</f>
        <v>0</v>
      </c>
      <c r="E229">
        <f>COUNTIF('Metrics - Articles'!F228,"*Services Delivery &amp; Support (go-lives and deployments) *")</f>
        <v>0</v>
      </c>
      <c r="F229">
        <f>COUNTIF('Metrics - Articles'!F228,"*Human Resources (SAP HR and employee stories)*")</f>
        <v>1</v>
      </c>
      <c r="G229">
        <f>COUNTIF('Metrics - Articles'!F228,"*P&amp;I (Research &amp; Development)*")</f>
        <v>0</v>
      </c>
      <c r="H229">
        <f>COUNTIF('Metrics - Articles'!F228,"*Business Network (Concur, Ariba, Fieldglass)*")</f>
        <v>0</v>
      </c>
      <c r="I229">
        <f>COUNTIF('Metrics - Articles'!F228,"*GCO – Regions*")</f>
        <v>1</v>
      </c>
      <c r="J229">
        <f>COUNTIF('Metrics - Articles'!F228,"*GCO – Platform Solutions*")</f>
        <v>0</v>
      </c>
      <c r="K229">
        <f>COUNTIF('Metrics - Articles'!F228,"*GCO – Industry Cloud *")</f>
        <v>0</v>
      </c>
      <c r="L229">
        <f>COUNTIF('Metrics - Articles'!F228,"*GCO – Customer Engagement &amp; Commerce (CRM &amp; hybris) *")</f>
        <v>0</v>
      </c>
      <c r="M229">
        <f>COUNTIF('Metrics - Articles'!F228,"*GCO – HR (SuccessFactors)*")</f>
        <v>0</v>
      </c>
      <c r="N229">
        <f>COUNTIF('Metrics - Articles'!F228,"*GCO – Services Sales*")</f>
        <v>0</v>
      </c>
      <c r="O229">
        <f>COUNTIF('Metrics - Articles'!F228,"*GCO – Other*")</f>
        <v>0</v>
      </c>
      <c r="P229">
        <f>COUNTIF('Metrics - Articles'!F228,"*Corporate*")</f>
        <v>0</v>
      </c>
      <c r="R229" s="53">
        <f t="shared" si="5"/>
        <v>2</v>
      </c>
    </row>
    <row r="230" spans="2:18" x14ac:dyDescent="0.25">
      <c r="B230" s="48">
        <f>+'Metrics - Articles'!C229</f>
        <v>42198</v>
      </c>
      <c r="C230">
        <f>COUNTIF('Metrics - Articles'!F229,"*GPO (Partner, Ecosystem, Channels)*")</f>
        <v>0</v>
      </c>
      <c r="D230">
        <f>COUNTIF('Metrics - Articles'!F229,"*Office of the CEO*")</f>
        <v>0</v>
      </c>
      <c r="E230">
        <f>COUNTIF('Metrics - Articles'!F229,"*Services Delivery &amp; Support (go-lives and deployments) *")</f>
        <v>0</v>
      </c>
      <c r="F230">
        <f>COUNTIF('Metrics - Articles'!F229,"*Human Resources (SAP HR and employee stories)*")</f>
        <v>0</v>
      </c>
      <c r="G230">
        <f>COUNTIF('Metrics - Articles'!F229,"*P&amp;I (Research &amp; Development)*")</f>
        <v>0</v>
      </c>
      <c r="H230">
        <f>COUNTIF('Metrics - Articles'!F229,"*Business Network (Concur, Ariba, Fieldglass)*")</f>
        <v>0</v>
      </c>
      <c r="I230">
        <f>COUNTIF('Metrics - Articles'!F229,"*GCO – Regions*")</f>
        <v>0</v>
      </c>
      <c r="J230">
        <f>COUNTIF('Metrics - Articles'!F229,"*GCO – Platform Solutions*")</f>
        <v>0</v>
      </c>
      <c r="K230">
        <f>COUNTIF('Metrics - Articles'!F229,"*GCO – Industry Cloud *")</f>
        <v>0</v>
      </c>
      <c r="L230">
        <f>COUNTIF('Metrics - Articles'!F229,"*GCO – Customer Engagement &amp; Commerce (CRM &amp; hybris) *")</f>
        <v>0</v>
      </c>
      <c r="M230">
        <f>COUNTIF('Metrics - Articles'!F229,"*GCO – HR (SuccessFactors)*")</f>
        <v>0</v>
      </c>
      <c r="N230">
        <f>COUNTIF('Metrics - Articles'!F229,"*GCO – Services Sales*")</f>
        <v>0</v>
      </c>
      <c r="O230">
        <f>COUNTIF('Metrics - Articles'!F229,"*GCO – Other*")</f>
        <v>1</v>
      </c>
      <c r="P230">
        <f>COUNTIF('Metrics - Articles'!F229,"*Corporate*")</f>
        <v>0</v>
      </c>
      <c r="R230" s="53">
        <f t="shared" si="5"/>
        <v>1</v>
      </c>
    </row>
    <row r="231" spans="2:18" x14ac:dyDescent="0.25">
      <c r="B231" s="48">
        <f>+'Metrics - Articles'!C230</f>
        <v>42199</v>
      </c>
      <c r="C231">
        <f>COUNTIF('Metrics - Articles'!F230,"*GPO (Partner, Ecosystem, Channels)*")</f>
        <v>0</v>
      </c>
      <c r="D231">
        <f>COUNTIF('Metrics - Articles'!F230,"*Office of the CEO*")</f>
        <v>0</v>
      </c>
      <c r="E231">
        <f>COUNTIF('Metrics - Articles'!F230,"*Services Delivery &amp; Support (go-lives and deployments) *")</f>
        <v>0</v>
      </c>
      <c r="F231">
        <f>COUNTIF('Metrics - Articles'!F230,"*Human Resources (SAP HR and employee stories)*")</f>
        <v>1</v>
      </c>
      <c r="G231">
        <f>COUNTIF('Metrics - Articles'!F230,"*P&amp;I (Research &amp; Development)*")</f>
        <v>0</v>
      </c>
      <c r="H231">
        <f>COUNTIF('Metrics - Articles'!F230,"*Business Network (Concur, Ariba, Fieldglass)*")</f>
        <v>0</v>
      </c>
      <c r="I231">
        <f>COUNTIF('Metrics - Articles'!F230,"*GCO – Regions*")</f>
        <v>0</v>
      </c>
      <c r="J231">
        <f>COUNTIF('Metrics - Articles'!F230,"*GCO – Platform Solutions*")</f>
        <v>0</v>
      </c>
      <c r="K231">
        <f>COUNTIF('Metrics - Articles'!F230,"*GCO – Industry Cloud *")</f>
        <v>0</v>
      </c>
      <c r="L231">
        <f>COUNTIF('Metrics - Articles'!F230,"*GCO – Customer Engagement &amp; Commerce (CRM &amp; hybris) *")</f>
        <v>0</v>
      </c>
      <c r="M231">
        <f>COUNTIF('Metrics - Articles'!F230,"*GCO – HR (SuccessFactors)*")</f>
        <v>0</v>
      </c>
      <c r="N231">
        <f>COUNTIF('Metrics - Articles'!F230,"*GCO – Services Sales*")</f>
        <v>0</v>
      </c>
      <c r="O231">
        <f>COUNTIF('Metrics - Articles'!F230,"*GCO – Other*")</f>
        <v>0</v>
      </c>
      <c r="P231">
        <f>COUNTIF('Metrics - Articles'!F230,"*Corporate*")</f>
        <v>0</v>
      </c>
      <c r="R231" s="53">
        <f t="shared" si="5"/>
        <v>1</v>
      </c>
    </row>
    <row r="232" spans="2:18" x14ac:dyDescent="0.25">
      <c r="B232" s="48">
        <f>+'Metrics - Articles'!C231</f>
        <v>42199</v>
      </c>
      <c r="C232">
        <f>COUNTIF('Metrics - Articles'!F231,"*GPO (Partner, Ecosystem, Channels)*")</f>
        <v>0</v>
      </c>
      <c r="D232">
        <f>COUNTIF('Metrics - Articles'!F231,"*Office of the CEO*")</f>
        <v>0</v>
      </c>
      <c r="E232">
        <f>COUNTIF('Metrics - Articles'!F231,"*Services Delivery &amp; Support (go-lives and deployments) *")</f>
        <v>0</v>
      </c>
      <c r="F232">
        <f>COUNTIF('Metrics - Articles'!F231,"*Human Resources (SAP HR and employee stories)*")</f>
        <v>0</v>
      </c>
      <c r="G232">
        <f>COUNTIF('Metrics - Articles'!F231,"*P&amp;I (Research &amp; Development)*")</f>
        <v>1</v>
      </c>
      <c r="H232">
        <f>COUNTIF('Metrics - Articles'!F231,"*Business Network (Concur, Ariba, Fieldglass)*")</f>
        <v>0</v>
      </c>
      <c r="I232">
        <f>COUNTIF('Metrics - Articles'!F231,"*GCO – Regions*")</f>
        <v>0</v>
      </c>
      <c r="J232">
        <f>COUNTIF('Metrics - Articles'!F231,"*GCO – Platform Solutions*")</f>
        <v>0</v>
      </c>
      <c r="K232">
        <f>COUNTIF('Metrics - Articles'!F231,"*GCO – Industry Cloud *")</f>
        <v>0</v>
      </c>
      <c r="L232">
        <f>COUNTIF('Metrics - Articles'!F231,"*GCO – Customer Engagement &amp; Commerce (CRM &amp; hybris) *")</f>
        <v>0</v>
      </c>
      <c r="M232">
        <f>COUNTIF('Metrics - Articles'!F231,"*GCO – HR (SuccessFactors)*")</f>
        <v>0</v>
      </c>
      <c r="N232">
        <f>COUNTIF('Metrics - Articles'!F231,"*GCO – Services Sales*")</f>
        <v>0</v>
      </c>
      <c r="O232">
        <f>COUNTIF('Metrics - Articles'!F231,"*GCO – Other*")</f>
        <v>0</v>
      </c>
      <c r="P232">
        <f>COUNTIF('Metrics - Articles'!F231,"*Corporate*")</f>
        <v>0</v>
      </c>
      <c r="R232" s="53">
        <f t="shared" si="5"/>
        <v>1</v>
      </c>
    </row>
    <row r="233" spans="2:18" x14ac:dyDescent="0.25">
      <c r="B233" s="48">
        <f>+'Metrics - Articles'!C232</f>
        <v>42200</v>
      </c>
      <c r="C233">
        <f>COUNTIF('Metrics - Articles'!F232,"*GPO (Partner, Ecosystem, Channels)*")</f>
        <v>0</v>
      </c>
      <c r="D233">
        <f>COUNTIF('Metrics - Articles'!F232,"*Office of the CEO*")</f>
        <v>0</v>
      </c>
      <c r="E233">
        <f>COUNTIF('Metrics - Articles'!F232,"*Services Delivery &amp; Support (go-lives and deployments) *")</f>
        <v>0</v>
      </c>
      <c r="F233">
        <f>COUNTIF('Metrics - Articles'!F232,"*Human Resources (SAP HR and employee stories)*")</f>
        <v>1</v>
      </c>
      <c r="G233">
        <f>COUNTIF('Metrics - Articles'!F232,"*P&amp;I (Research &amp; Development)*")</f>
        <v>0</v>
      </c>
      <c r="H233">
        <f>COUNTIF('Metrics - Articles'!F232,"*Business Network (Concur, Ariba, Fieldglass)*")</f>
        <v>0</v>
      </c>
      <c r="I233">
        <f>COUNTIF('Metrics - Articles'!F232,"*GCO – Regions*")</f>
        <v>0</v>
      </c>
      <c r="J233">
        <f>COUNTIF('Metrics - Articles'!F232,"*GCO – Platform Solutions*")</f>
        <v>0</v>
      </c>
      <c r="K233">
        <f>COUNTIF('Metrics - Articles'!F232,"*GCO – Industry Cloud *")</f>
        <v>0</v>
      </c>
      <c r="L233">
        <f>COUNTIF('Metrics - Articles'!F232,"*GCO – Customer Engagement &amp; Commerce (CRM &amp; hybris) *")</f>
        <v>0</v>
      </c>
      <c r="M233">
        <f>COUNTIF('Metrics - Articles'!F232,"*GCO – HR (SuccessFactors)*")</f>
        <v>0</v>
      </c>
      <c r="N233">
        <f>COUNTIF('Metrics - Articles'!F232,"*GCO – Services Sales*")</f>
        <v>0</v>
      </c>
      <c r="O233">
        <f>COUNTIF('Metrics - Articles'!F232,"*GCO – Other*")</f>
        <v>0</v>
      </c>
      <c r="P233">
        <f>COUNTIF('Metrics - Articles'!F232,"*Corporate*")</f>
        <v>0</v>
      </c>
      <c r="R233" s="53">
        <f t="shared" si="5"/>
        <v>1</v>
      </c>
    </row>
    <row r="234" spans="2:18" x14ac:dyDescent="0.25">
      <c r="B234" s="48">
        <f>+'Metrics - Articles'!C233</f>
        <v>42201</v>
      </c>
      <c r="C234">
        <f>COUNTIF('Metrics - Articles'!F233,"*GPO (Partner, Ecosystem, Channels)*")</f>
        <v>0</v>
      </c>
      <c r="D234">
        <f>COUNTIF('Metrics - Articles'!F233,"*Office of the CEO*")</f>
        <v>0</v>
      </c>
      <c r="E234">
        <f>COUNTIF('Metrics - Articles'!F233,"*Services Delivery &amp; Support (go-lives and deployments) *")</f>
        <v>0</v>
      </c>
      <c r="F234">
        <f>COUNTIF('Metrics - Articles'!F233,"*Human Resources (SAP HR and employee stories)*")</f>
        <v>0</v>
      </c>
      <c r="G234">
        <f>COUNTIF('Metrics - Articles'!F233,"*P&amp;I (Research &amp; Development)*")</f>
        <v>0</v>
      </c>
      <c r="H234">
        <f>COUNTIF('Metrics - Articles'!F233,"*Business Network (Concur, Ariba, Fieldglass)*")</f>
        <v>0</v>
      </c>
      <c r="I234">
        <f>COUNTIF('Metrics - Articles'!F233,"*GCO – Regions*")</f>
        <v>0</v>
      </c>
      <c r="J234">
        <f>COUNTIF('Metrics - Articles'!F233,"*GCO – Platform Solutions*")</f>
        <v>0</v>
      </c>
      <c r="K234">
        <f>COUNTIF('Metrics - Articles'!F233,"*GCO – Industry Cloud *")</f>
        <v>0</v>
      </c>
      <c r="L234">
        <f>COUNTIF('Metrics - Articles'!F233,"*GCO – Customer Engagement &amp; Commerce (CRM &amp; hybris) *")</f>
        <v>0</v>
      </c>
      <c r="M234">
        <f>COUNTIF('Metrics - Articles'!F233,"*GCO – HR (SuccessFactors)*")</f>
        <v>0</v>
      </c>
      <c r="N234">
        <f>COUNTIF('Metrics - Articles'!F233,"*GCO – Services Sales*")</f>
        <v>0</v>
      </c>
      <c r="O234">
        <f>COUNTIF('Metrics - Articles'!F233,"*GCO – Other*")</f>
        <v>0</v>
      </c>
      <c r="P234">
        <f>COUNTIF('Metrics - Articles'!F233,"*Corporate*")</f>
        <v>1</v>
      </c>
      <c r="R234" s="53">
        <f t="shared" si="5"/>
        <v>1</v>
      </c>
    </row>
    <row r="235" spans="2:18" x14ac:dyDescent="0.25">
      <c r="B235" s="48">
        <f>+'Metrics - Articles'!C234</f>
        <v>42202</v>
      </c>
      <c r="C235">
        <f>COUNTIF('Metrics - Articles'!F234,"*GPO (Partner, Ecosystem, Channels)*")</f>
        <v>0</v>
      </c>
      <c r="D235">
        <f>COUNTIF('Metrics - Articles'!F234,"*Office of the CEO*")</f>
        <v>0</v>
      </c>
      <c r="E235">
        <f>COUNTIF('Metrics - Articles'!F234,"*Services Delivery &amp; Support (go-lives and deployments) *")</f>
        <v>0</v>
      </c>
      <c r="F235">
        <f>COUNTIF('Metrics - Articles'!F234,"*Human Resources (SAP HR and employee stories)*")</f>
        <v>1</v>
      </c>
      <c r="G235">
        <f>COUNTIF('Metrics - Articles'!F234,"*P&amp;I (Research &amp; Development)*")</f>
        <v>0</v>
      </c>
      <c r="H235">
        <f>COUNTIF('Metrics - Articles'!F234,"*Business Network (Concur, Ariba, Fieldglass)*")</f>
        <v>0</v>
      </c>
      <c r="I235">
        <f>COUNTIF('Metrics - Articles'!F234,"*GCO – Regions*")</f>
        <v>0</v>
      </c>
      <c r="J235">
        <f>COUNTIF('Metrics - Articles'!F234,"*GCO – Platform Solutions*")</f>
        <v>0</v>
      </c>
      <c r="K235">
        <f>COUNTIF('Metrics - Articles'!F234,"*GCO – Industry Cloud *")</f>
        <v>0</v>
      </c>
      <c r="L235">
        <f>COUNTIF('Metrics - Articles'!F234,"*GCO – Customer Engagement &amp; Commerce (CRM &amp; hybris) *")</f>
        <v>0</v>
      </c>
      <c r="M235">
        <f>COUNTIF('Metrics - Articles'!F234,"*GCO – HR (SuccessFactors)*")</f>
        <v>0</v>
      </c>
      <c r="N235">
        <f>COUNTIF('Metrics - Articles'!F234,"*GCO – Services Sales*")</f>
        <v>0</v>
      </c>
      <c r="O235">
        <f>COUNTIF('Metrics - Articles'!F234,"*GCO – Other*")</f>
        <v>0</v>
      </c>
      <c r="P235">
        <f>COUNTIF('Metrics - Articles'!F234,"*Corporate*")</f>
        <v>0</v>
      </c>
      <c r="R235" s="53">
        <f t="shared" si="5"/>
        <v>1</v>
      </c>
    </row>
    <row r="236" spans="2:18" x14ac:dyDescent="0.25">
      <c r="B236" s="48">
        <f>+'Metrics - Articles'!C235</f>
        <v>42202</v>
      </c>
      <c r="C236">
        <f>COUNTIF('Metrics - Articles'!F235,"*GPO (Partner, Ecosystem, Channels)*")</f>
        <v>0</v>
      </c>
      <c r="D236">
        <f>COUNTIF('Metrics - Articles'!F235,"*Office of the CEO*")</f>
        <v>0</v>
      </c>
      <c r="E236">
        <f>COUNTIF('Metrics - Articles'!F235,"*Services Delivery &amp; Support (go-lives and deployments) *")</f>
        <v>0</v>
      </c>
      <c r="F236">
        <f>COUNTIF('Metrics - Articles'!F235,"*Human Resources (SAP HR and employee stories)*")</f>
        <v>0</v>
      </c>
      <c r="G236">
        <f>COUNTIF('Metrics - Articles'!F235,"*P&amp;I (Research &amp; Development)*")</f>
        <v>1</v>
      </c>
      <c r="H236">
        <f>COUNTIF('Metrics - Articles'!F235,"*Business Network (Concur, Ariba, Fieldglass)*")</f>
        <v>0</v>
      </c>
      <c r="I236">
        <f>COUNTIF('Metrics - Articles'!F235,"*GCO – Regions*")</f>
        <v>0</v>
      </c>
      <c r="J236">
        <f>COUNTIF('Metrics - Articles'!F235,"*GCO – Platform Solutions*")</f>
        <v>0</v>
      </c>
      <c r="K236">
        <f>COUNTIF('Metrics - Articles'!F235,"*GCO – Industry Cloud *")</f>
        <v>0</v>
      </c>
      <c r="L236">
        <f>COUNTIF('Metrics - Articles'!F235,"*GCO – Customer Engagement &amp; Commerce (CRM &amp; hybris) *")</f>
        <v>0</v>
      </c>
      <c r="M236">
        <f>COUNTIF('Metrics - Articles'!F235,"*GCO – HR (SuccessFactors)*")</f>
        <v>0</v>
      </c>
      <c r="N236">
        <f>COUNTIF('Metrics - Articles'!F235,"*GCO – Services Sales*")</f>
        <v>0</v>
      </c>
      <c r="O236">
        <f>COUNTIF('Metrics - Articles'!F235,"*GCO – Other*")</f>
        <v>0</v>
      </c>
      <c r="P236">
        <f>COUNTIF('Metrics - Articles'!F235,"*Corporate*")</f>
        <v>0</v>
      </c>
      <c r="R236" s="53">
        <f t="shared" si="5"/>
        <v>1</v>
      </c>
    </row>
    <row r="237" spans="2:18" x14ac:dyDescent="0.25">
      <c r="B237" s="48">
        <f>+'Metrics - Articles'!C236</f>
        <v>42205</v>
      </c>
      <c r="C237">
        <f>COUNTIF('Metrics - Articles'!F236,"*GPO (Partner, Ecosystem, Channels)*")</f>
        <v>0</v>
      </c>
      <c r="D237">
        <f>COUNTIF('Metrics - Articles'!F236,"*Office of the CEO*")</f>
        <v>0</v>
      </c>
      <c r="E237">
        <f>COUNTIF('Metrics - Articles'!F236,"*Services Delivery &amp; Support (go-lives and deployments) *")</f>
        <v>0</v>
      </c>
      <c r="F237">
        <f>COUNTIF('Metrics - Articles'!F236,"*Human Resources (SAP HR and employee stories)*")</f>
        <v>0</v>
      </c>
      <c r="G237">
        <f>COUNTIF('Metrics - Articles'!F236,"*P&amp;I (Research &amp; Development)*")</f>
        <v>0</v>
      </c>
      <c r="H237">
        <f>COUNTIF('Metrics - Articles'!F236,"*Business Network (Concur, Ariba, Fieldglass)*")</f>
        <v>0</v>
      </c>
      <c r="I237">
        <f>COUNTIF('Metrics - Articles'!F236,"*GCO – Regions*")</f>
        <v>0</v>
      </c>
      <c r="J237">
        <f>COUNTIF('Metrics - Articles'!F236,"*GCO – Platform Solutions*")</f>
        <v>0</v>
      </c>
      <c r="K237">
        <f>COUNTIF('Metrics - Articles'!F236,"*GCO – Industry Cloud *")</f>
        <v>0</v>
      </c>
      <c r="L237">
        <f>COUNTIF('Metrics - Articles'!F236,"*GCO – Customer Engagement &amp; Commerce (CRM &amp; hybris) *")</f>
        <v>0</v>
      </c>
      <c r="M237">
        <f>COUNTIF('Metrics - Articles'!F236,"*GCO – HR (SuccessFactors)*")</f>
        <v>0</v>
      </c>
      <c r="N237">
        <f>COUNTIF('Metrics - Articles'!F236,"*GCO – Services Sales*")</f>
        <v>0</v>
      </c>
      <c r="O237">
        <f>COUNTIF('Metrics - Articles'!F236,"*GCO – Other*")</f>
        <v>0</v>
      </c>
      <c r="P237">
        <f>COUNTIF('Metrics - Articles'!F236,"*Corporate*")</f>
        <v>1</v>
      </c>
      <c r="R237" s="53">
        <f t="shared" si="5"/>
        <v>1</v>
      </c>
    </row>
    <row r="238" spans="2:18" x14ac:dyDescent="0.25">
      <c r="B238" s="48">
        <f>+'Metrics - Articles'!C237</f>
        <v>42205</v>
      </c>
      <c r="C238">
        <f>COUNTIF('Metrics - Articles'!F237,"*GPO (Partner, Ecosystem, Channels)*")</f>
        <v>0</v>
      </c>
      <c r="D238">
        <f>COUNTIF('Metrics - Articles'!F237,"*Office of the CEO*")</f>
        <v>0</v>
      </c>
      <c r="E238">
        <f>COUNTIF('Metrics - Articles'!F237,"*Services Delivery &amp; Support (go-lives and deployments) *")</f>
        <v>0</v>
      </c>
      <c r="F238">
        <f>COUNTIF('Metrics - Articles'!F237,"*Human Resources (SAP HR and employee stories)*")</f>
        <v>0</v>
      </c>
      <c r="G238">
        <f>COUNTIF('Metrics - Articles'!F237,"*P&amp;I (Research &amp; Development)*")</f>
        <v>0</v>
      </c>
      <c r="H238">
        <f>COUNTIF('Metrics - Articles'!F237,"*Business Network (Concur, Ariba, Fieldglass)*")</f>
        <v>1</v>
      </c>
      <c r="I238">
        <f>COUNTIF('Metrics - Articles'!F237,"*GCO – Regions*")</f>
        <v>0</v>
      </c>
      <c r="J238">
        <f>COUNTIF('Metrics - Articles'!F237,"*GCO – Platform Solutions*")</f>
        <v>0</v>
      </c>
      <c r="K238">
        <f>COUNTIF('Metrics - Articles'!F237,"*GCO – Industry Cloud *")</f>
        <v>0</v>
      </c>
      <c r="L238">
        <f>COUNTIF('Metrics - Articles'!F237,"*GCO – Customer Engagement &amp; Commerce (CRM &amp; hybris) *")</f>
        <v>0</v>
      </c>
      <c r="M238">
        <f>COUNTIF('Metrics - Articles'!F237,"*GCO – HR (SuccessFactors)*")</f>
        <v>0</v>
      </c>
      <c r="N238">
        <f>COUNTIF('Metrics - Articles'!F237,"*GCO – Services Sales*")</f>
        <v>0</v>
      </c>
      <c r="O238">
        <f>COUNTIF('Metrics - Articles'!F237,"*GCO – Other*")</f>
        <v>0</v>
      </c>
      <c r="P238">
        <f>COUNTIF('Metrics - Articles'!F237,"*Corporate*")</f>
        <v>0</v>
      </c>
      <c r="R238" s="53">
        <f t="shared" si="5"/>
        <v>1</v>
      </c>
    </row>
    <row r="239" spans="2:18" x14ac:dyDescent="0.25">
      <c r="B239" s="48">
        <f>+'Metrics - Articles'!C238</f>
        <v>42206</v>
      </c>
      <c r="C239">
        <f>COUNTIF('Metrics - Articles'!F238,"*GPO (Partner, Ecosystem, Channels)*")</f>
        <v>0</v>
      </c>
      <c r="D239">
        <f>COUNTIF('Metrics - Articles'!F238,"*Office of the CEO*")</f>
        <v>0</v>
      </c>
      <c r="E239">
        <f>COUNTIF('Metrics - Articles'!F238,"*Services Delivery &amp; Support (go-lives and deployments) *")</f>
        <v>0</v>
      </c>
      <c r="F239">
        <f>COUNTIF('Metrics - Articles'!F238,"*Human Resources (SAP HR and employee stories)*")</f>
        <v>0</v>
      </c>
      <c r="G239">
        <f>COUNTIF('Metrics - Articles'!F238,"*P&amp;I (Research &amp; Development)*")</f>
        <v>0</v>
      </c>
      <c r="H239">
        <f>COUNTIF('Metrics - Articles'!F238,"*Business Network (Concur, Ariba, Fieldglass)*")</f>
        <v>0</v>
      </c>
      <c r="I239">
        <f>COUNTIF('Metrics - Articles'!F238,"*GCO – Regions*")</f>
        <v>0</v>
      </c>
      <c r="J239">
        <f>COUNTIF('Metrics - Articles'!F238,"*GCO – Platform Solutions*")</f>
        <v>0</v>
      </c>
      <c r="K239">
        <f>COUNTIF('Metrics - Articles'!F238,"*GCO – Industry Cloud *")</f>
        <v>0</v>
      </c>
      <c r="L239">
        <f>COUNTIF('Metrics - Articles'!F238,"*GCO – Customer Engagement &amp; Commerce (CRM &amp; hybris) *")</f>
        <v>0</v>
      </c>
      <c r="M239">
        <f>COUNTIF('Metrics - Articles'!F238,"*GCO – HR (SuccessFactors)*")</f>
        <v>0</v>
      </c>
      <c r="N239">
        <f>COUNTIF('Metrics - Articles'!F238,"*GCO – Services Sales*")</f>
        <v>0</v>
      </c>
      <c r="O239">
        <f>COUNTIF('Metrics - Articles'!F238,"*GCO – Other*")</f>
        <v>0</v>
      </c>
      <c r="P239">
        <f>COUNTIF('Metrics - Articles'!F238,"*Corporate*")</f>
        <v>1</v>
      </c>
      <c r="R239" s="53">
        <f t="shared" si="5"/>
        <v>1</v>
      </c>
    </row>
    <row r="240" spans="2:18" x14ac:dyDescent="0.25">
      <c r="B240" s="48">
        <f>+'Metrics - Articles'!C239</f>
        <v>42206</v>
      </c>
      <c r="C240">
        <f>COUNTIF('Metrics - Articles'!F239,"*GPO (Partner, Ecosystem, Channels)*")</f>
        <v>0</v>
      </c>
      <c r="D240">
        <f>COUNTIF('Metrics - Articles'!F239,"*Office of the CEO*")</f>
        <v>0</v>
      </c>
      <c r="E240">
        <f>COUNTIF('Metrics - Articles'!F239,"*Services Delivery &amp; Support (go-lives and deployments) *")</f>
        <v>0</v>
      </c>
      <c r="F240">
        <f>COUNTIF('Metrics - Articles'!F239,"*Human Resources (SAP HR and employee stories)*")</f>
        <v>0</v>
      </c>
      <c r="G240">
        <f>COUNTIF('Metrics - Articles'!F239,"*P&amp;I (Research &amp; Development)*")</f>
        <v>0</v>
      </c>
      <c r="H240">
        <f>COUNTIF('Metrics - Articles'!F239,"*Business Network (Concur, Ariba, Fieldglass)*")</f>
        <v>0</v>
      </c>
      <c r="I240">
        <f>COUNTIF('Metrics - Articles'!F239,"*GCO – Regions*")</f>
        <v>0</v>
      </c>
      <c r="J240">
        <f>COUNTIF('Metrics - Articles'!F239,"*GCO – Platform Solutions*")</f>
        <v>0</v>
      </c>
      <c r="K240">
        <f>COUNTIF('Metrics - Articles'!F239,"*GCO – Industry Cloud *")</f>
        <v>0</v>
      </c>
      <c r="L240">
        <f>COUNTIF('Metrics - Articles'!F239,"*GCO – Customer Engagement &amp; Commerce (CRM &amp; hybris) *")</f>
        <v>0</v>
      </c>
      <c r="M240">
        <f>COUNTIF('Metrics - Articles'!F239,"*GCO – HR (SuccessFactors)*")</f>
        <v>0</v>
      </c>
      <c r="N240">
        <f>COUNTIF('Metrics - Articles'!F239,"*GCO – Services Sales*")</f>
        <v>0</v>
      </c>
      <c r="O240">
        <f>COUNTIF('Metrics - Articles'!F239,"*GCO – Other*")</f>
        <v>1</v>
      </c>
      <c r="P240">
        <f>COUNTIF('Metrics - Articles'!F239,"*Corporate*")</f>
        <v>0</v>
      </c>
      <c r="R240" s="53">
        <f t="shared" si="5"/>
        <v>1</v>
      </c>
    </row>
    <row r="241" spans="2:18" x14ac:dyDescent="0.25">
      <c r="B241" s="48">
        <f>+'Metrics - Articles'!C240</f>
        <v>42206</v>
      </c>
      <c r="C241">
        <f>COUNTIF('Metrics - Articles'!F240,"*GPO (Partner, Ecosystem, Channels)*")</f>
        <v>0</v>
      </c>
      <c r="D241">
        <f>COUNTIF('Metrics - Articles'!F240,"*Office of the CEO*")</f>
        <v>0</v>
      </c>
      <c r="E241">
        <f>COUNTIF('Metrics - Articles'!F240,"*Services Delivery &amp; Support (go-lives and deployments) *")</f>
        <v>0</v>
      </c>
      <c r="F241">
        <f>COUNTIF('Metrics - Articles'!F240,"*Human Resources (SAP HR and employee stories)*")</f>
        <v>0</v>
      </c>
      <c r="G241">
        <f>COUNTIF('Metrics - Articles'!F240,"*P&amp;I (Research &amp; Development)*")</f>
        <v>0</v>
      </c>
      <c r="H241">
        <f>COUNTIF('Metrics - Articles'!F240,"*Business Network (Concur, Ariba, Fieldglass)*")</f>
        <v>0</v>
      </c>
      <c r="I241">
        <f>COUNTIF('Metrics - Articles'!F240,"*GCO – Regions*")</f>
        <v>0</v>
      </c>
      <c r="J241">
        <f>COUNTIF('Metrics - Articles'!F240,"*GCO – Platform Solutions*")</f>
        <v>0</v>
      </c>
      <c r="K241">
        <f>COUNTIF('Metrics - Articles'!F240,"*GCO – Industry Cloud *")</f>
        <v>0</v>
      </c>
      <c r="L241">
        <f>COUNTIF('Metrics - Articles'!F240,"*GCO – Customer Engagement &amp; Commerce (CRM &amp; hybris) *")</f>
        <v>0</v>
      </c>
      <c r="M241">
        <f>COUNTIF('Metrics - Articles'!F240,"*GCO – HR (SuccessFactors)*")</f>
        <v>0</v>
      </c>
      <c r="N241">
        <f>COUNTIF('Metrics - Articles'!F240,"*GCO – Services Sales*")</f>
        <v>0</v>
      </c>
      <c r="O241">
        <f>COUNTIF('Metrics - Articles'!F240,"*GCO – Other*")</f>
        <v>1</v>
      </c>
      <c r="P241">
        <f>COUNTIF('Metrics - Articles'!F240,"*Corporate*")</f>
        <v>0</v>
      </c>
      <c r="R241" s="53">
        <f t="shared" si="5"/>
        <v>1</v>
      </c>
    </row>
    <row r="242" spans="2:18" x14ac:dyDescent="0.25">
      <c r="B242" s="48">
        <f>+'Metrics - Articles'!C241</f>
        <v>42207</v>
      </c>
      <c r="C242">
        <f>COUNTIF('Metrics - Articles'!F241,"*GPO (Partner, Ecosystem, Channels)*")</f>
        <v>0</v>
      </c>
      <c r="D242">
        <f>COUNTIF('Metrics - Articles'!F241,"*Office of the CEO*")</f>
        <v>0</v>
      </c>
      <c r="E242">
        <f>COUNTIF('Metrics - Articles'!F241,"*Services Delivery &amp; Support (go-lives and deployments) *")</f>
        <v>0</v>
      </c>
      <c r="F242">
        <f>COUNTIF('Metrics - Articles'!F241,"*Human Resources (SAP HR and employee stories)*")</f>
        <v>0</v>
      </c>
      <c r="G242">
        <f>COUNTIF('Metrics - Articles'!F241,"*P&amp;I (Research &amp; Development)*")</f>
        <v>0</v>
      </c>
      <c r="H242">
        <f>COUNTIF('Metrics - Articles'!F241,"*Business Network (Concur, Ariba, Fieldglass)*")</f>
        <v>0</v>
      </c>
      <c r="I242">
        <f>COUNTIF('Metrics - Articles'!F241,"*GCO – Regions*")</f>
        <v>0</v>
      </c>
      <c r="J242">
        <f>COUNTIF('Metrics - Articles'!F241,"*GCO – Platform Solutions*")</f>
        <v>0</v>
      </c>
      <c r="K242">
        <f>COUNTIF('Metrics - Articles'!F241,"*GCO – Industry Cloud *")</f>
        <v>0</v>
      </c>
      <c r="L242">
        <f>COUNTIF('Metrics - Articles'!F241,"*GCO – Customer Engagement &amp; Commerce (CRM &amp; hybris) *")</f>
        <v>0</v>
      </c>
      <c r="M242">
        <f>COUNTIF('Metrics - Articles'!F241,"*GCO – HR (SuccessFactors)*")</f>
        <v>0</v>
      </c>
      <c r="N242">
        <f>COUNTIF('Metrics - Articles'!F241,"*GCO – Services Sales*")</f>
        <v>0</v>
      </c>
      <c r="O242">
        <f>COUNTIF('Metrics - Articles'!F241,"*GCO – Other*")</f>
        <v>0</v>
      </c>
      <c r="P242">
        <f>COUNTIF('Metrics - Articles'!F241,"*Corporate*")</f>
        <v>1</v>
      </c>
      <c r="R242" s="53">
        <f t="shared" si="5"/>
        <v>1</v>
      </c>
    </row>
    <row r="243" spans="2:18" x14ac:dyDescent="0.25">
      <c r="B243" s="48">
        <f>+'Metrics - Articles'!C242</f>
        <v>42207</v>
      </c>
      <c r="C243">
        <f>COUNTIF('Metrics - Articles'!F242,"*GPO (Partner, Ecosystem, Channels)*")</f>
        <v>0</v>
      </c>
      <c r="D243">
        <f>COUNTIF('Metrics - Articles'!F242,"*Office of the CEO*")</f>
        <v>0</v>
      </c>
      <c r="E243">
        <f>COUNTIF('Metrics - Articles'!F242,"*Services Delivery &amp; Support (go-lives and deployments) *")</f>
        <v>0</v>
      </c>
      <c r="F243">
        <f>COUNTIF('Metrics - Articles'!F242,"*Human Resources (SAP HR and employee stories)*")</f>
        <v>0</v>
      </c>
      <c r="G243">
        <f>COUNTIF('Metrics - Articles'!F242,"*P&amp;I (Research &amp; Development)*")</f>
        <v>0</v>
      </c>
      <c r="H243">
        <f>COUNTIF('Metrics - Articles'!F242,"*Business Network (Concur, Ariba, Fieldglass)*")</f>
        <v>1</v>
      </c>
      <c r="I243">
        <f>COUNTIF('Metrics - Articles'!F242,"*GCO – Regions*")</f>
        <v>0</v>
      </c>
      <c r="J243">
        <f>COUNTIF('Metrics - Articles'!F242,"*GCO – Platform Solutions*")</f>
        <v>0</v>
      </c>
      <c r="K243">
        <f>COUNTIF('Metrics - Articles'!F242,"*GCO – Industry Cloud *")</f>
        <v>0</v>
      </c>
      <c r="L243">
        <f>COUNTIF('Metrics - Articles'!F242,"*GCO – Customer Engagement &amp; Commerce (CRM &amp; hybris) *")</f>
        <v>0</v>
      </c>
      <c r="M243">
        <f>COUNTIF('Metrics - Articles'!F242,"*GCO – HR (SuccessFactors)*")</f>
        <v>0</v>
      </c>
      <c r="N243">
        <f>COUNTIF('Metrics - Articles'!F242,"*GCO – Services Sales*")</f>
        <v>0</v>
      </c>
      <c r="O243">
        <f>COUNTIF('Metrics - Articles'!F242,"*GCO – Other*")</f>
        <v>0</v>
      </c>
      <c r="P243">
        <f>COUNTIF('Metrics - Articles'!F242,"*Corporate*")</f>
        <v>0</v>
      </c>
      <c r="R243" s="53">
        <f t="shared" si="5"/>
        <v>1</v>
      </c>
    </row>
    <row r="244" spans="2:18" x14ac:dyDescent="0.25">
      <c r="B244" s="48">
        <f>+'Metrics - Articles'!C243</f>
        <v>42208</v>
      </c>
      <c r="C244">
        <f>COUNTIF('Metrics - Articles'!F243,"*GPO (Partner, Ecosystem, Channels)*")</f>
        <v>0</v>
      </c>
      <c r="D244">
        <f>COUNTIF('Metrics - Articles'!F243,"*Office of the CEO*")</f>
        <v>0</v>
      </c>
      <c r="E244">
        <f>COUNTIF('Metrics - Articles'!F243,"*Services Delivery &amp; Support (go-lives and deployments) *")</f>
        <v>0</v>
      </c>
      <c r="F244">
        <f>COUNTIF('Metrics - Articles'!F243,"*Human Resources (SAP HR and employee stories)*")</f>
        <v>0</v>
      </c>
      <c r="G244">
        <f>COUNTIF('Metrics - Articles'!F243,"*P&amp;I (Research &amp; Development)*")</f>
        <v>0</v>
      </c>
      <c r="H244">
        <f>COUNTIF('Metrics - Articles'!F243,"*Business Network (Concur, Ariba, Fieldglass)*")</f>
        <v>0</v>
      </c>
      <c r="I244">
        <f>COUNTIF('Metrics - Articles'!F243,"*GCO – Regions*")</f>
        <v>0</v>
      </c>
      <c r="J244">
        <f>COUNTIF('Metrics - Articles'!F243,"*GCO – Platform Solutions*")</f>
        <v>0</v>
      </c>
      <c r="K244">
        <f>COUNTIF('Metrics - Articles'!F243,"*GCO – Industry Cloud *")</f>
        <v>0</v>
      </c>
      <c r="L244">
        <f>COUNTIF('Metrics - Articles'!F243,"*GCO – Customer Engagement &amp; Commerce (CRM &amp; hybris) *")</f>
        <v>0</v>
      </c>
      <c r="M244">
        <f>COUNTIF('Metrics - Articles'!F243,"*GCO – HR (SuccessFactors)*")</f>
        <v>0</v>
      </c>
      <c r="N244">
        <f>COUNTIF('Metrics - Articles'!F243,"*GCO – Services Sales*")</f>
        <v>0</v>
      </c>
      <c r="O244">
        <f>COUNTIF('Metrics - Articles'!F243,"*GCO – Other*")</f>
        <v>0</v>
      </c>
      <c r="P244">
        <f>COUNTIF('Metrics - Articles'!F243,"*Corporate*")</f>
        <v>1</v>
      </c>
      <c r="R244" s="53">
        <f t="shared" si="5"/>
        <v>1</v>
      </c>
    </row>
    <row r="245" spans="2:18" x14ac:dyDescent="0.25">
      <c r="B245" s="48">
        <f>+'Metrics - Articles'!C244</f>
        <v>42208</v>
      </c>
      <c r="C245">
        <f>COUNTIF('Metrics - Articles'!F244,"*GPO (Partner, Ecosystem, Channels)*")</f>
        <v>0</v>
      </c>
      <c r="D245">
        <f>COUNTIF('Metrics - Articles'!F244,"*Office of the CEO*")</f>
        <v>0</v>
      </c>
      <c r="E245">
        <f>COUNTIF('Metrics - Articles'!F244,"*Services Delivery &amp; Support (go-lives and deployments) *")</f>
        <v>0</v>
      </c>
      <c r="F245">
        <f>COUNTIF('Metrics - Articles'!F244,"*Human Resources (SAP HR and employee stories)*")</f>
        <v>0</v>
      </c>
      <c r="G245">
        <f>COUNTIF('Metrics - Articles'!F244,"*P&amp;I (Research &amp; Development)*")</f>
        <v>1</v>
      </c>
      <c r="H245">
        <f>COUNTIF('Metrics - Articles'!F244,"*Business Network (Concur, Ariba, Fieldglass)*")</f>
        <v>0</v>
      </c>
      <c r="I245">
        <f>COUNTIF('Metrics - Articles'!F244,"*GCO – Regions*")</f>
        <v>0</v>
      </c>
      <c r="J245">
        <f>COUNTIF('Metrics - Articles'!F244,"*GCO – Platform Solutions*")</f>
        <v>0</v>
      </c>
      <c r="K245">
        <f>COUNTIF('Metrics - Articles'!F244,"*GCO – Industry Cloud *")</f>
        <v>0</v>
      </c>
      <c r="L245">
        <f>COUNTIF('Metrics - Articles'!F244,"*GCO – Customer Engagement &amp; Commerce (CRM &amp; hybris) *")</f>
        <v>0</v>
      </c>
      <c r="M245">
        <f>COUNTIF('Metrics - Articles'!F244,"*GCO – HR (SuccessFactors)*")</f>
        <v>0</v>
      </c>
      <c r="N245">
        <f>COUNTIF('Metrics - Articles'!F244,"*GCO – Services Sales*")</f>
        <v>0</v>
      </c>
      <c r="O245">
        <f>COUNTIF('Metrics - Articles'!F244,"*GCO – Other*")</f>
        <v>0</v>
      </c>
      <c r="P245">
        <f>COUNTIF('Metrics - Articles'!F244,"*Corporate*")</f>
        <v>0</v>
      </c>
      <c r="R245" s="53">
        <f t="shared" si="5"/>
        <v>1</v>
      </c>
    </row>
    <row r="246" spans="2:18" x14ac:dyDescent="0.25">
      <c r="B246" s="48">
        <f>+'Metrics - Articles'!C245</f>
        <v>42209</v>
      </c>
      <c r="C246">
        <f>COUNTIF('Metrics - Articles'!F245,"*GPO (Partner, Ecosystem, Channels)*")</f>
        <v>0</v>
      </c>
      <c r="D246">
        <f>COUNTIF('Metrics - Articles'!F245,"*Office of the CEO*")</f>
        <v>1</v>
      </c>
      <c r="E246">
        <f>COUNTIF('Metrics - Articles'!F245,"*Services Delivery &amp; Support (go-lives and deployments) *")</f>
        <v>0</v>
      </c>
      <c r="F246">
        <f>COUNTIF('Metrics - Articles'!F245,"*Human Resources (SAP HR and employee stories)*")</f>
        <v>0</v>
      </c>
      <c r="G246">
        <f>COUNTIF('Metrics - Articles'!F245,"*P&amp;I (Research &amp; Development)*")</f>
        <v>0</v>
      </c>
      <c r="H246">
        <f>COUNTIF('Metrics - Articles'!F245,"*Business Network (Concur, Ariba, Fieldglass)*")</f>
        <v>0</v>
      </c>
      <c r="I246">
        <f>COUNTIF('Metrics - Articles'!F245,"*GCO – Regions*")</f>
        <v>0</v>
      </c>
      <c r="J246">
        <f>COUNTIF('Metrics - Articles'!F245,"*GCO – Platform Solutions*")</f>
        <v>0</v>
      </c>
      <c r="K246">
        <f>COUNTIF('Metrics - Articles'!F245,"*GCO – Industry Cloud *")</f>
        <v>0</v>
      </c>
      <c r="L246">
        <f>COUNTIF('Metrics - Articles'!F245,"*GCO – Customer Engagement &amp; Commerce (CRM &amp; hybris) *")</f>
        <v>0</v>
      </c>
      <c r="M246">
        <f>COUNTIF('Metrics - Articles'!F245,"*GCO – HR (SuccessFactors)*")</f>
        <v>0</v>
      </c>
      <c r="N246">
        <f>COUNTIF('Metrics - Articles'!F245,"*GCO – Services Sales*")</f>
        <v>0</v>
      </c>
      <c r="O246">
        <f>COUNTIF('Metrics - Articles'!F245,"*GCO – Other*")</f>
        <v>0</v>
      </c>
      <c r="P246">
        <f>COUNTIF('Metrics - Articles'!F245,"*Corporate*")</f>
        <v>0</v>
      </c>
      <c r="R246" s="53">
        <f t="shared" si="5"/>
        <v>1</v>
      </c>
    </row>
    <row r="247" spans="2:18" x14ac:dyDescent="0.25">
      <c r="B247" s="48">
        <f>+'Metrics - Articles'!C246</f>
        <v>42209</v>
      </c>
      <c r="C247">
        <f>COUNTIF('Metrics - Articles'!F246,"*GPO (Partner, Ecosystem, Channels)*")</f>
        <v>0</v>
      </c>
      <c r="D247">
        <f>COUNTIF('Metrics - Articles'!F246,"*Office of the CEO*")</f>
        <v>0</v>
      </c>
      <c r="E247">
        <f>COUNTIF('Metrics - Articles'!F246,"*Services Delivery &amp; Support (go-lives and deployments) *")</f>
        <v>0</v>
      </c>
      <c r="F247">
        <f>COUNTIF('Metrics - Articles'!F246,"*Human Resources (SAP HR and employee stories)*")</f>
        <v>0</v>
      </c>
      <c r="G247">
        <f>COUNTIF('Metrics - Articles'!F246,"*P&amp;I (Research &amp; Development)*")</f>
        <v>0</v>
      </c>
      <c r="H247">
        <f>COUNTIF('Metrics - Articles'!F246,"*Business Network (Concur, Ariba, Fieldglass)*")</f>
        <v>0</v>
      </c>
      <c r="I247">
        <f>COUNTIF('Metrics - Articles'!F246,"*GCO – Regions*")</f>
        <v>1</v>
      </c>
      <c r="J247">
        <f>COUNTIF('Metrics - Articles'!F246,"*GCO – Platform Solutions*")</f>
        <v>0</v>
      </c>
      <c r="K247">
        <f>COUNTIF('Metrics - Articles'!F246,"*GCO – Industry Cloud *")</f>
        <v>0</v>
      </c>
      <c r="L247">
        <f>COUNTIF('Metrics - Articles'!F246,"*GCO – Customer Engagement &amp; Commerce (CRM &amp; hybris) *")</f>
        <v>0</v>
      </c>
      <c r="M247">
        <f>COUNTIF('Metrics - Articles'!F246,"*GCO – HR (SuccessFactors)*")</f>
        <v>0</v>
      </c>
      <c r="N247">
        <f>COUNTIF('Metrics - Articles'!F246,"*GCO – Services Sales*")</f>
        <v>0</v>
      </c>
      <c r="O247">
        <f>COUNTIF('Metrics - Articles'!F246,"*GCO – Other*")</f>
        <v>0</v>
      </c>
      <c r="P247">
        <f>COUNTIF('Metrics - Articles'!F246,"*Corporate*")</f>
        <v>0</v>
      </c>
      <c r="R247" s="53">
        <f t="shared" si="5"/>
        <v>1</v>
      </c>
    </row>
    <row r="248" spans="2:18" x14ac:dyDescent="0.25">
      <c r="B248" s="48">
        <f>+'Metrics - Articles'!C247</f>
        <v>42212</v>
      </c>
      <c r="C248">
        <f>COUNTIF('Metrics - Articles'!F247,"*GPO (Partner, Ecosystem, Channels)*")</f>
        <v>0</v>
      </c>
      <c r="D248">
        <f>COUNTIF('Metrics - Articles'!F247,"*Office of the CEO*")</f>
        <v>0</v>
      </c>
      <c r="E248">
        <f>COUNTIF('Metrics - Articles'!F247,"*Services Delivery &amp; Support (go-lives and deployments) *")</f>
        <v>0</v>
      </c>
      <c r="F248">
        <f>COUNTIF('Metrics - Articles'!F247,"*Human Resources (SAP HR and employee stories)*")</f>
        <v>0</v>
      </c>
      <c r="G248">
        <f>COUNTIF('Metrics - Articles'!F247,"*P&amp;I (Research &amp; Development)*")</f>
        <v>0</v>
      </c>
      <c r="H248">
        <f>COUNTIF('Metrics - Articles'!F247,"*Business Network (Concur, Ariba, Fieldglass)*")</f>
        <v>0</v>
      </c>
      <c r="I248">
        <f>COUNTIF('Metrics - Articles'!F247,"*GCO – Regions*")</f>
        <v>0</v>
      </c>
      <c r="J248">
        <f>COUNTIF('Metrics - Articles'!F247,"*GCO – Platform Solutions*")</f>
        <v>0</v>
      </c>
      <c r="K248">
        <f>COUNTIF('Metrics - Articles'!F247,"*GCO – Industry Cloud *")</f>
        <v>0</v>
      </c>
      <c r="L248">
        <f>COUNTIF('Metrics - Articles'!F247,"*GCO – Customer Engagement &amp; Commerce (CRM &amp; hybris) *")</f>
        <v>0</v>
      </c>
      <c r="M248">
        <f>COUNTIF('Metrics - Articles'!F247,"*GCO – HR (SuccessFactors)*")</f>
        <v>0</v>
      </c>
      <c r="N248">
        <f>COUNTIF('Metrics - Articles'!F247,"*GCO – Services Sales*")</f>
        <v>0</v>
      </c>
      <c r="O248">
        <f>COUNTIF('Metrics - Articles'!F247,"*GCO – Other*")</f>
        <v>1</v>
      </c>
      <c r="P248">
        <f>COUNTIF('Metrics - Articles'!F247,"*Corporate*")</f>
        <v>0</v>
      </c>
      <c r="R248" s="53">
        <f t="shared" si="5"/>
        <v>1</v>
      </c>
    </row>
    <row r="249" spans="2:18" x14ac:dyDescent="0.25">
      <c r="B249" s="48">
        <f>+'Metrics - Articles'!C248</f>
        <v>42212</v>
      </c>
      <c r="C249">
        <f>COUNTIF('Metrics - Articles'!F248,"*GPO (Partner, Ecosystem, Channels)*")</f>
        <v>0</v>
      </c>
      <c r="D249">
        <f>COUNTIF('Metrics - Articles'!F248,"*Office of the CEO*")</f>
        <v>0</v>
      </c>
      <c r="E249">
        <f>COUNTIF('Metrics - Articles'!F248,"*Services Delivery &amp; Support (go-lives and deployments) *")</f>
        <v>0</v>
      </c>
      <c r="F249">
        <f>COUNTIF('Metrics - Articles'!F248,"*Human Resources (SAP HR and employee stories)*")</f>
        <v>0</v>
      </c>
      <c r="G249">
        <f>COUNTIF('Metrics - Articles'!F248,"*P&amp;I (Research &amp; Development)*")</f>
        <v>1</v>
      </c>
      <c r="H249">
        <f>COUNTIF('Metrics - Articles'!F248,"*Business Network (Concur, Ariba, Fieldglass)*")</f>
        <v>0</v>
      </c>
      <c r="I249">
        <f>COUNTIF('Metrics - Articles'!F248,"*GCO – Regions*")</f>
        <v>0</v>
      </c>
      <c r="J249">
        <f>COUNTIF('Metrics - Articles'!F248,"*GCO – Platform Solutions*")</f>
        <v>0</v>
      </c>
      <c r="K249">
        <f>COUNTIF('Metrics - Articles'!F248,"*GCO – Industry Cloud *")</f>
        <v>0</v>
      </c>
      <c r="L249">
        <f>COUNTIF('Metrics - Articles'!F248,"*GCO – Customer Engagement &amp; Commerce (CRM &amp; hybris) *")</f>
        <v>0</v>
      </c>
      <c r="M249">
        <f>COUNTIF('Metrics - Articles'!F248,"*GCO – HR (SuccessFactors)*")</f>
        <v>0</v>
      </c>
      <c r="N249">
        <f>COUNTIF('Metrics - Articles'!F248,"*GCO – Services Sales*")</f>
        <v>0</v>
      </c>
      <c r="O249">
        <f>COUNTIF('Metrics - Articles'!F248,"*GCO – Other*")</f>
        <v>0</v>
      </c>
      <c r="P249">
        <f>COUNTIF('Metrics - Articles'!F248,"*Corporate*")</f>
        <v>0</v>
      </c>
      <c r="R249" s="53">
        <f t="shared" si="5"/>
        <v>1</v>
      </c>
    </row>
    <row r="250" spans="2:18" x14ac:dyDescent="0.25">
      <c r="B250" s="48">
        <f>+'Metrics - Articles'!C249</f>
        <v>42213</v>
      </c>
      <c r="C250">
        <f>COUNTIF('Metrics - Articles'!F249,"*GPO (Partner, Ecosystem, Channels)*")</f>
        <v>0</v>
      </c>
      <c r="D250">
        <f>COUNTIF('Metrics - Articles'!F249,"*Office of the CEO*")</f>
        <v>0</v>
      </c>
      <c r="E250">
        <f>COUNTIF('Metrics - Articles'!F249,"*Services Delivery &amp; Support (go-lives and deployments) *")</f>
        <v>0</v>
      </c>
      <c r="F250">
        <f>COUNTIF('Metrics - Articles'!F249,"*Human Resources (SAP HR and employee stories)*")</f>
        <v>0</v>
      </c>
      <c r="G250">
        <f>COUNTIF('Metrics - Articles'!F249,"*P&amp;I (Research &amp; Development)*")</f>
        <v>0</v>
      </c>
      <c r="H250">
        <f>COUNTIF('Metrics - Articles'!F249,"*Business Network (Concur, Ariba, Fieldglass)*")</f>
        <v>0</v>
      </c>
      <c r="I250">
        <f>COUNTIF('Metrics - Articles'!F249,"*GCO – Regions*")</f>
        <v>0</v>
      </c>
      <c r="J250">
        <f>COUNTIF('Metrics - Articles'!F249,"*GCO – Platform Solutions*")</f>
        <v>0</v>
      </c>
      <c r="K250">
        <f>COUNTIF('Metrics - Articles'!F249,"*GCO – Industry Cloud *")</f>
        <v>0</v>
      </c>
      <c r="L250">
        <f>COUNTIF('Metrics - Articles'!F249,"*GCO – Customer Engagement &amp; Commerce (CRM &amp; hybris) *")</f>
        <v>0</v>
      </c>
      <c r="M250">
        <f>COUNTIF('Metrics - Articles'!F249,"*GCO – HR (SuccessFactors)*")</f>
        <v>0</v>
      </c>
      <c r="N250">
        <f>COUNTIF('Metrics - Articles'!F249,"*GCO – Services Sales*")</f>
        <v>0</v>
      </c>
      <c r="O250">
        <f>COUNTIF('Metrics - Articles'!F249,"*GCO – Other*")</f>
        <v>0</v>
      </c>
      <c r="P250">
        <f>COUNTIF('Metrics - Articles'!F249,"*Corporate*")</f>
        <v>1</v>
      </c>
      <c r="R250" s="53">
        <f t="shared" si="5"/>
        <v>1</v>
      </c>
    </row>
    <row r="251" spans="2:18" x14ac:dyDescent="0.25">
      <c r="B251" s="48">
        <f>+'Metrics - Articles'!C250</f>
        <v>42213</v>
      </c>
      <c r="C251">
        <f>COUNTIF('Metrics - Articles'!F250,"*GPO (Partner, Ecosystem, Channels)*")</f>
        <v>0</v>
      </c>
      <c r="D251">
        <f>COUNTIF('Metrics - Articles'!F250,"*Office of the CEO*")</f>
        <v>0</v>
      </c>
      <c r="E251">
        <f>COUNTIF('Metrics - Articles'!F250,"*Services Delivery &amp; Support (go-lives and deployments) *")</f>
        <v>0</v>
      </c>
      <c r="F251">
        <f>COUNTIF('Metrics - Articles'!F250,"*Human Resources (SAP HR and employee stories)*")</f>
        <v>1</v>
      </c>
      <c r="G251">
        <f>COUNTIF('Metrics - Articles'!F250,"*P&amp;I (Research &amp; Development)*")</f>
        <v>0</v>
      </c>
      <c r="H251">
        <f>COUNTIF('Metrics - Articles'!F250,"*Business Network (Concur, Ariba, Fieldglass)*")</f>
        <v>0</v>
      </c>
      <c r="I251">
        <f>COUNTIF('Metrics - Articles'!F250,"*GCO – Regions*")</f>
        <v>0</v>
      </c>
      <c r="J251">
        <f>COUNTIF('Metrics - Articles'!F250,"*GCO – Platform Solutions*")</f>
        <v>0</v>
      </c>
      <c r="K251">
        <f>COUNTIF('Metrics - Articles'!F250,"*GCO – Industry Cloud *")</f>
        <v>0</v>
      </c>
      <c r="L251">
        <f>COUNTIF('Metrics - Articles'!F250,"*GCO – Customer Engagement &amp; Commerce (CRM &amp; hybris) *")</f>
        <v>0</v>
      </c>
      <c r="M251">
        <f>COUNTIF('Metrics - Articles'!F250,"*GCO – HR (SuccessFactors)*")</f>
        <v>0</v>
      </c>
      <c r="N251">
        <f>COUNTIF('Metrics - Articles'!F250,"*GCO – Services Sales*")</f>
        <v>0</v>
      </c>
      <c r="O251">
        <f>COUNTIF('Metrics - Articles'!F250,"*GCO – Other*")</f>
        <v>0</v>
      </c>
      <c r="P251">
        <f>COUNTIF('Metrics - Articles'!F250,"*Corporate*")</f>
        <v>0</v>
      </c>
      <c r="R251" s="53">
        <f t="shared" si="5"/>
        <v>1</v>
      </c>
    </row>
    <row r="252" spans="2:18" x14ac:dyDescent="0.25">
      <c r="B252" s="48">
        <f>+'Metrics - Articles'!C251</f>
        <v>42214</v>
      </c>
      <c r="C252">
        <f>COUNTIF('Metrics - Articles'!F251,"*GPO (Partner, Ecosystem, Channels)*")</f>
        <v>0</v>
      </c>
      <c r="D252">
        <f>COUNTIF('Metrics - Articles'!F251,"*Office of the CEO*")</f>
        <v>0</v>
      </c>
      <c r="E252">
        <f>COUNTIF('Metrics - Articles'!F251,"*Services Delivery &amp; Support (go-lives and deployments) *")</f>
        <v>0</v>
      </c>
      <c r="F252">
        <f>COUNTIF('Metrics - Articles'!F251,"*Human Resources (SAP HR and employee stories)*")</f>
        <v>0</v>
      </c>
      <c r="G252">
        <f>COUNTIF('Metrics - Articles'!F251,"*P&amp;I (Research &amp; Development)*")</f>
        <v>0</v>
      </c>
      <c r="H252">
        <f>COUNTIF('Metrics - Articles'!F251,"*Business Network (Concur, Ariba, Fieldglass)*")</f>
        <v>0</v>
      </c>
      <c r="I252">
        <f>COUNTIF('Metrics - Articles'!F251,"*GCO – Regions*")</f>
        <v>1</v>
      </c>
      <c r="J252">
        <f>COUNTIF('Metrics - Articles'!F251,"*GCO – Platform Solutions*")</f>
        <v>0</v>
      </c>
      <c r="K252">
        <f>COUNTIF('Metrics - Articles'!F251,"*GCO – Industry Cloud *")</f>
        <v>1</v>
      </c>
      <c r="L252">
        <f>COUNTIF('Metrics - Articles'!F251,"*GCO – Customer Engagement &amp; Commerce (CRM &amp; hybris) *")</f>
        <v>0</v>
      </c>
      <c r="M252">
        <f>COUNTIF('Metrics - Articles'!F251,"*GCO – HR (SuccessFactors)*")</f>
        <v>0</v>
      </c>
      <c r="N252">
        <f>COUNTIF('Metrics - Articles'!F251,"*GCO – Services Sales*")</f>
        <v>0</v>
      </c>
      <c r="O252">
        <f>COUNTIF('Metrics - Articles'!F251,"*GCO – Other*")</f>
        <v>0</v>
      </c>
      <c r="P252">
        <f>COUNTIF('Metrics - Articles'!F251,"*Corporate*")</f>
        <v>0</v>
      </c>
      <c r="R252" s="53">
        <f t="shared" si="5"/>
        <v>2</v>
      </c>
    </row>
    <row r="253" spans="2:18" x14ac:dyDescent="0.25">
      <c r="B253" s="48">
        <f>+'Metrics - Articles'!C252</f>
        <v>42215</v>
      </c>
      <c r="C253">
        <f>COUNTIF('Metrics - Articles'!F252,"*GPO (Partner, Ecosystem, Channels)*")</f>
        <v>0</v>
      </c>
      <c r="D253">
        <f>COUNTIF('Metrics - Articles'!F252,"*Office of the CEO*")</f>
        <v>0</v>
      </c>
      <c r="E253">
        <f>COUNTIF('Metrics - Articles'!F252,"*Services Delivery &amp; Support (go-lives and deployments) *")</f>
        <v>0</v>
      </c>
      <c r="F253">
        <f>COUNTIF('Metrics - Articles'!F252,"*Human Resources (SAP HR and employee stories)*")</f>
        <v>0</v>
      </c>
      <c r="G253">
        <f>COUNTIF('Metrics - Articles'!F252,"*P&amp;I (Research &amp; Development)*")</f>
        <v>0</v>
      </c>
      <c r="H253">
        <f>COUNTIF('Metrics - Articles'!F252,"*Business Network (Concur, Ariba, Fieldglass)*")</f>
        <v>0</v>
      </c>
      <c r="I253">
        <f>COUNTIF('Metrics - Articles'!F252,"*GCO – Regions*")</f>
        <v>0</v>
      </c>
      <c r="J253">
        <f>COUNTIF('Metrics - Articles'!F252,"*GCO – Platform Solutions*")</f>
        <v>0</v>
      </c>
      <c r="K253">
        <f>COUNTIF('Metrics - Articles'!F252,"*GCO – Industry Cloud *")</f>
        <v>0</v>
      </c>
      <c r="L253">
        <f>COUNTIF('Metrics - Articles'!F252,"*GCO – Customer Engagement &amp; Commerce (CRM &amp; hybris) *")</f>
        <v>0</v>
      </c>
      <c r="M253">
        <f>COUNTIF('Metrics - Articles'!F252,"*GCO – HR (SuccessFactors)*")</f>
        <v>0</v>
      </c>
      <c r="N253">
        <f>COUNTIF('Metrics - Articles'!F252,"*GCO – Services Sales*")</f>
        <v>0</v>
      </c>
      <c r="O253">
        <f>COUNTIF('Metrics - Articles'!F252,"*GCO – Other*")</f>
        <v>0</v>
      </c>
      <c r="P253">
        <f>COUNTIF('Metrics - Articles'!F252,"*Corporate*")</f>
        <v>1</v>
      </c>
      <c r="R253" s="53">
        <f t="shared" si="5"/>
        <v>1</v>
      </c>
    </row>
    <row r="254" spans="2:18" x14ac:dyDescent="0.25">
      <c r="B254" s="48">
        <f>+'Metrics - Articles'!C253</f>
        <v>42215</v>
      </c>
      <c r="C254">
        <f>COUNTIF('Metrics - Articles'!F253,"*GPO (Partner, Ecosystem, Channels)*")</f>
        <v>0</v>
      </c>
      <c r="D254">
        <f>COUNTIF('Metrics - Articles'!F253,"*Office of the CEO*")</f>
        <v>0</v>
      </c>
      <c r="E254">
        <f>COUNTIF('Metrics - Articles'!F253,"*Services Delivery &amp; Support (go-lives and deployments) *")</f>
        <v>0</v>
      </c>
      <c r="F254">
        <f>COUNTIF('Metrics - Articles'!F253,"*Human Resources (SAP HR and employee stories)*")</f>
        <v>0</v>
      </c>
      <c r="G254">
        <f>COUNTIF('Metrics - Articles'!F253,"*P&amp;I (Research &amp; Development)*")</f>
        <v>0</v>
      </c>
      <c r="H254">
        <f>COUNTIF('Metrics - Articles'!F253,"*Business Network (Concur, Ariba, Fieldglass)*")</f>
        <v>0</v>
      </c>
      <c r="I254">
        <f>COUNTIF('Metrics - Articles'!F253,"*GCO – Regions*")</f>
        <v>0</v>
      </c>
      <c r="J254">
        <f>COUNTIF('Metrics - Articles'!F253,"*GCO – Platform Solutions*")</f>
        <v>0</v>
      </c>
      <c r="K254">
        <f>COUNTIF('Metrics - Articles'!F253,"*GCO – Industry Cloud *")</f>
        <v>0</v>
      </c>
      <c r="L254">
        <f>COUNTIF('Metrics - Articles'!F253,"*GCO – Customer Engagement &amp; Commerce (CRM &amp; hybris) *")</f>
        <v>0</v>
      </c>
      <c r="M254">
        <f>COUNTIF('Metrics - Articles'!F253,"*GCO – HR (SuccessFactors)*")</f>
        <v>0</v>
      </c>
      <c r="N254">
        <f>COUNTIF('Metrics - Articles'!F253,"*GCO – Services Sales*")</f>
        <v>0</v>
      </c>
      <c r="O254">
        <f>COUNTIF('Metrics - Articles'!F253,"*GCO – Other*")</f>
        <v>0</v>
      </c>
      <c r="P254">
        <f>COUNTIF('Metrics - Articles'!F253,"*Corporate*")</f>
        <v>1</v>
      </c>
      <c r="R254" s="53">
        <f t="shared" si="5"/>
        <v>1</v>
      </c>
    </row>
    <row r="255" spans="2:18" x14ac:dyDescent="0.25">
      <c r="B255" s="48">
        <f>+'Metrics - Articles'!C254</f>
        <v>42216</v>
      </c>
      <c r="C255">
        <f>COUNTIF('Metrics - Articles'!F254,"*GPO (Partner, Ecosystem, Channels)*")</f>
        <v>0</v>
      </c>
      <c r="D255">
        <f>COUNTIF('Metrics - Articles'!F254,"*Office of the CEO*")</f>
        <v>0</v>
      </c>
      <c r="E255">
        <f>COUNTIF('Metrics - Articles'!F254,"*Services Delivery &amp; Support (go-lives and deployments) *")</f>
        <v>0</v>
      </c>
      <c r="F255">
        <f>COUNTIF('Metrics - Articles'!F254,"*Human Resources (SAP HR and employee stories)*")</f>
        <v>0</v>
      </c>
      <c r="G255">
        <f>COUNTIF('Metrics - Articles'!F254,"*P&amp;I (Research &amp; Development)*")</f>
        <v>0</v>
      </c>
      <c r="H255">
        <f>COUNTIF('Metrics - Articles'!F254,"*Business Network (Concur, Ariba, Fieldglass)*")</f>
        <v>0</v>
      </c>
      <c r="I255">
        <f>COUNTIF('Metrics - Articles'!F254,"*GCO – Regions*")</f>
        <v>1</v>
      </c>
      <c r="J255">
        <f>COUNTIF('Metrics - Articles'!F254,"*GCO – Platform Solutions*")</f>
        <v>1</v>
      </c>
      <c r="K255">
        <f>COUNTIF('Metrics - Articles'!F254,"*GCO – Industry Cloud *")</f>
        <v>0</v>
      </c>
      <c r="L255">
        <f>COUNTIF('Metrics - Articles'!F254,"*GCO – Customer Engagement &amp; Commerce (CRM &amp; hybris) *")</f>
        <v>0</v>
      </c>
      <c r="M255">
        <f>COUNTIF('Metrics - Articles'!F254,"*GCO – HR (SuccessFactors)*")</f>
        <v>0</v>
      </c>
      <c r="N255">
        <f>COUNTIF('Metrics - Articles'!F254,"*GCO – Services Sales*")</f>
        <v>0</v>
      </c>
      <c r="O255">
        <f>COUNTIF('Metrics - Articles'!F254,"*GCO – Other*")</f>
        <v>0</v>
      </c>
      <c r="P255">
        <f>COUNTIF('Metrics - Articles'!F254,"*Corporate*")</f>
        <v>0</v>
      </c>
      <c r="R255" s="53">
        <f t="shared" si="5"/>
        <v>2</v>
      </c>
    </row>
    <row r="256" spans="2:18" x14ac:dyDescent="0.25">
      <c r="B256" s="48">
        <f>+'Metrics - Articles'!C255</f>
        <v>42216</v>
      </c>
      <c r="C256">
        <f>COUNTIF('Metrics - Articles'!F255,"*GPO (Partner, Ecosystem, Channels)*")</f>
        <v>0</v>
      </c>
      <c r="D256">
        <f>COUNTIF('Metrics - Articles'!F255,"*Office of the CEO*")</f>
        <v>0</v>
      </c>
      <c r="E256">
        <f>COUNTIF('Metrics - Articles'!F255,"*Services Delivery &amp; Support (go-lives and deployments) *")</f>
        <v>0</v>
      </c>
      <c r="F256">
        <f>COUNTIF('Metrics - Articles'!F255,"*Human Resources (SAP HR and employee stories)*")</f>
        <v>0</v>
      </c>
      <c r="G256">
        <f>COUNTIF('Metrics - Articles'!F255,"*P&amp;I (Research &amp; Development)*")</f>
        <v>0</v>
      </c>
      <c r="H256">
        <f>COUNTIF('Metrics - Articles'!F255,"*Business Network (Concur, Ariba, Fieldglass)*")</f>
        <v>0</v>
      </c>
      <c r="I256">
        <f>COUNTIF('Metrics - Articles'!F255,"*GCO – Regions*")</f>
        <v>0</v>
      </c>
      <c r="J256">
        <f>COUNTIF('Metrics - Articles'!F255,"*GCO – Platform Solutions*")</f>
        <v>0</v>
      </c>
      <c r="K256">
        <f>COUNTIF('Metrics - Articles'!F255,"*GCO – Industry Cloud *")</f>
        <v>0</v>
      </c>
      <c r="L256">
        <f>COUNTIF('Metrics - Articles'!F255,"*GCO – Customer Engagement &amp; Commerce (CRM &amp; hybris) *")</f>
        <v>0</v>
      </c>
      <c r="M256">
        <f>COUNTIF('Metrics - Articles'!F255,"*GCO – HR (SuccessFactors)*")</f>
        <v>0</v>
      </c>
      <c r="N256">
        <f>COUNTIF('Metrics - Articles'!F255,"*GCO – Services Sales*")</f>
        <v>0</v>
      </c>
      <c r="O256">
        <f>COUNTIF('Metrics - Articles'!F255,"*GCO – Other*")</f>
        <v>0</v>
      </c>
      <c r="P256">
        <f>COUNTIF('Metrics - Articles'!F255,"*Corporate*")</f>
        <v>1</v>
      </c>
      <c r="R256" s="53">
        <f t="shared" si="5"/>
        <v>1</v>
      </c>
    </row>
    <row r="257" spans="2:18" x14ac:dyDescent="0.25">
      <c r="B257" s="48">
        <f>+'Metrics - Articles'!C256</f>
        <v>42219</v>
      </c>
      <c r="C257">
        <f>COUNTIF('Metrics - Articles'!F256,"*GPO (Partner, Ecosystem, Channels)*")</f>
        <v>0</v>
      </c>
      <c r="D257">
        <f>COUNTIF('Metrics - Articles'!F256,"*Office of the CEO*")</f>
        <v>0</v>
      </c>
      <c r="E257">
        <f>COUNTIF('Metrics - Articles'!F256,"*Services Delivery &amp; Support (go-lives and deployments) *")</f>
        <v>0</v>
      </c>
      <c r="F257">
        <f>COUNTIF('Metrics - Articles'!F256,"*Human Resources (SAP HR and employee stories)*")</f>
        <v>1</v>
      </c>
      <c r="G257">
        <f>COUNTIF('Metrics - Articles'!F256,"*P&amp;I (Research &amp; Development)*")</f>
        <v>0</v>
      </c>
      <c r="H257">
        <f>COUNTIF('Metrics - Articles'!F256,"*Business Network (Concur, Ariba, Fieldglass)*")</f>
        <v>0</v>
      </c>
      <c r="I257">
        <f>COUNTIF('Metrics - Articles'!F256,"*GCO – Regions*")</f>
        <v>0</v>
      </c>
      <c r="J257">
        <f>COUNTIF('Metrics - Articles'!F256,"*GCO – Platform Solutions*")</f>
        <v>0</v>
      </c>
      <c r="K257">
        <f>COUNTIF('Metrics - Articles'!F256,"*GCO – Industry Cloud *")</f>
        <v>0</v>
      </c>
      <c r="L257">
        <f>COUNTIF('Metrics - Articles'!F256,"*GCO – Customer Engagement &amp; Commerce (CRM &amp; hybris) *")</f>
        <v>0</v>
      </c>
      <c r="M257">
        <f>COUNTIF('Metrics - Articles'!F256,"*GCO – HR (SuccessFactors)*")</f>
        <v>0</v>
      </c>
      <c r="N257">
        <f>COUNTIF('Metrics - Articles'!F256,"*GCO – Services Sales*")</f>
        <v>0</v>
      </c>
      <c r="O257">
        <f>COUNTIF('Metrics - Articles'!F256,"*GCO – Other*")</f>
        <v>0</v>
      </c>
      <c r="P257">
        <f>COUNTIF('Metrics - Articles'!F256,"*Corporate*")</f>
        <v>0</v>
      </c>
      <c r="R257" s="53">
        <f t="shared" si="5"/>
        <v>1</v>
      </c>
    </row>
    <row r="258" spans="2:18" x14ac:dyDescent="0.25">
      <c r="B258" s="48">
        <f>+'Metrics - Articles'!C257</f>
        <v>42220</v>
      </c>
      <c r="C258">
        <f>COUNTIF('Metrics - Articles'!F257,"*GPO (Partner, Ecosystem, Channels)*")</f>
        <v>0</v>
      </c>
      <c r="D258">
        <f>COUNTIF('Metrics - Articles'!F257,"*Office of the CEO*")</f>
        <v>0</v>
      </c>
      <c r="E258">
        <f>COUNTIF('Metrics - Articles'!F257,"*Services Delivery &amp; Support (go-lives and deployments) *")</f>
        <v>0</v>
      </c>
      <c r="F258">
        <f>COUNTIF('Metrics - Articles'!F257,"*Human Resources (SAP HR and employee stories)*")</f>
        <v>0</v>
      </c>
      <c r="G258">
        <f>COUNTIF('Metrics - Articles'!F257,"*P&amp;I (Research &amp; Development)*")</f>
        <v>1</v>
      </c>
      <c r="H258">
        <f>COUNTIF('Metrics - Articles'!F257,"*Business Network (Concur, Ariba, Fieldglass)*")</f>
        <v>0</v>
      </c>
      <c r="I258">
        <f>COUNTIF('Metrics - Articles'!F257,"*GCO – Regions*")</f>
        <v>0</v>
      </c>
      <c r="J258">
        <f>COUNTIF('Metrics - Articles'!F257,"*GCO – Platform Solutions*")</f>
        <v>0</v>
      </c>
      <c r="K258">
        <f>COUNTIF('Metrics - Articles'!F257,"*GCO – Industry Cloud *")</f>
        <v>0</v>
      </c>
      <c r="L258">
        <f>COUNTIF('Metrics - Articles'!F257,"*GCO – Customer Engagement &amp; Commerce (CRM &amp; hybris) *")</f>
        <v>0</v>
      </c>
      <c r="M258">
        <f>COUNTIF('Metrics - Articles'!F257,"*GCO – HR (SuccessFactors)*")</f>
        <v>0</v>
      </c>
      <c r="N258">
        <f>COUNTIF('Metrics - Articles'!F257,"*GCO – Services Sales*")</f>
        <v>0</v>
      </c>
      <c r="O258">
        <f>COUNTIF('Metrics - Articles'!F257,"*GCO – Other*")</f>
        <v>0</v>
      </c>
      <c r="P258">
        <f>COUNTIF('Metrics - Articles'!F257,"*Corporate*")</f>
        <v>0</v>
      </c>
      <c r="R258" s="53">
        <f t="shared" si="5"/>
        <v>1</v>
      </c>
    </row>
    <row r="259" spans="2:18" x14ac:dyDescent="0.25">
      <c r="B259" s="48">
        <f>+'Metrics - Articles'!C258</f>
        <v>42221</v>
      </c>
      <c r="C259">
        <f>COUNTIF('Metrics - Articles'!F258,"*GPO (Partner, Ecosystem, Channels)*")</f>
        <v>1</v>
      </c>
      <c r="D259">
        <f>COUNTIF('Metrics - Articles'!F258,"*Office of the CEO*")</f>
        <v>0</v>
      </c>
      <c r="E259">
        <f>COUNTIF('Metrics - Articles'!F258,"*Services Delivery &amp; Support (go-lives and deployments) *")</f>
        <v>0</v>
      </c>
      <c r="F259">
        <f>COUNTIF('Metrics - Articles'!F258,"*Human Resources (SAP HR and employee stories)*")</f>
        <v>0</v>
      </c>
      <c r="G259">
        <f>COUNTIF('Metrics - Articles'!F258,"*P&amp;I (Research &amp; Development)*")</f>
        <v>0</v>
      </c>
      <c r="H259">
        <f>COUNTIF('Metrics - Articles'!F258,"*Business Network (Concur, Ariba, Fieldglass)*")</f>
        <v>0</v>
      </c>
      <c r="I259">
        <f>COUNTIF('Metrics - Articles'!F258,"*GCO – Regions*")</f>
        <v>0</v>
      </c>
      <c r="J259">
        <f>COUNTIF('Metrics - Articles'!F258,"*GCO – Platform Solutions*")</f>
        <v>0</v>
      </c>
      <c r="K259">
        <f>COUNTIF('Metrics - Articles'!F258,"*GCO – Industry Cloud *")</f>
        <v>0</v>
      </c>
      <c r="L259">
        <f>COUNTIF('Metrics - Articles'!F258,"*GCO – Customer Engagement &amp; Commerce (CRM &amp; hybris) *")</f>
        <v>0</v>
      </c>
      <c r="M259">
        <f>COUNTIF('Metrics - Articles'!F258,"*GCO – HR (SuccessFactors)*")</f>
        <v>0</v>
      </c>
      <c r="N259">
        <f>COUNTIF('Metrics - Articles'!F258,"*GCO – Services Sales*")</f>
        <v>0</v>
      </c>
      <c r="O259">
        <f>COUNTIF('Metrics - Articles'!F258,"*GCO – Other*")</f>
        <v>0</v>
      </c>
      <c r="P259">
        <f>COUNTIF('Metrics - Articles'!F258,"*Corporate*")</f>
        <v>0</v>
      </c>
      <c r="R259" s="53">
        <f t="shared" si="5"/>
        <v>1</v>
      </c>
    </row>
    <row r="260" spans="2:18" x14ac:dyDescent="0.25">
      <c r="B260" s="48">
        <f>+'Metrics - Articles'!C259</f>
        <v>42222</v>
      </c>
      <c r="C260">
        <f>COUNTIF('Metrics - Articles'!F259,"*GPO (Partner, Ecosystem, Channels)*")</f>
        <v>0</v>
      </c>
      <c r="D260">
        <f>COUNTIF('Metrics - Articles'!F259,"*Office of the CEO*")</f>
        <v>0</v>
      </c>
      <c r="E260">
        <f>COUNTIF('Metrics - Articles'!F259,"*Services Delivery &amp; Support (go-lives and deployments) *")</f>
        <v>0</v>
      </c>
      <c r="F260">
        <f>COUNTIF('Metrics - Articles'!F259,"*Human Resources (SAP HR and employee stories)*")</f>
        <v>0</v>
      </c>
      <c r="G260">
        <f>COUNTIF('Metrics - Articles'!F259,"*P&amp;I (Research &amp; Development)*")</f>
        <v>0</v>
      </c>
      <c r="H260">
        <f>COUNTIF('Metrics - Articles'!F259,"*Business Network (Concur, Ariba, Fieldglass)*")</f>
        <v>0</v>
      </c>
      <c r="I260">
        <f>COUNTIF('Metrics - Articles'!F259,"*GCO – Regions*")</f>
        <v>1</v>
      </c>
      <c r="J260">
        <f>COUNTIF('Metrics - Articles'!F259,"*GCO – Platform Solutions*")</f>
        <v>0</v>
      </c>
      <c r="K260">
        <f>COUNTIF('Metrics - Articles'!F259,"*GCO – Industry Cloud *")</f>
        <v>0</v>
      </c>
      <c r="L260">
        <f>COUNTIF('Metrics - Articles'!F259,"*GCO – Customer Engagement &amp; Commerce (CRM &amp; hybris) *")</f>
        <v>0</v>
      </c>
      <c r="M260">
        <f>COUNTIF('Metrics - Articles'!F259,"*GCO – HR (SuccessFactors)*")</f>
        <v>0</v>
      </c>
      <c r="N260">
        <f>COUNTIF('Metrics - Articles'!F259,"*GCO – Services Sales*")</f>
        <v>0</v>
      </c>
      <c r="O260">
        <f>COUNTIF('Metrics - Articles'!F259,"*GCO – Other*")</f>
        <v>0</v>
      </c>
      <c r="P260">
        <f>COUNTIF('Metrics - Articles'!F259,"*Corporate*")</f>
        <v>0</v>
      </c>
      <c r="R260" s="53">
        <f t="shared" si="5"/>
        <v>1</v>
      </c>
    </row>
    <row r="261" spans="2:18" x14ac:dyDescent="0.25">
      <c r="B261" s="48">
        <f>+'Metrics - Articles'!C260</f>
        <v>42222</v>
      </c>
      <c r="C261">
        <f>COUNTIF('Metrics - Articles'!F260,"*GPO (Partner, Ecosystem, Channels)*")</f>
        <v>0</v>
      </c>
      <c r="D261">
        <f>COUNTIF('Metrics - Articles'!F260,"*Office of the CEO*")</f>
        <v>0</v>
      </c>
      <c r="E261">
        <f>COUNTIF('Metrics - Articles'!F260,"*Services Delivery &amp; Support (go-lives and deployments) *")</f>
        <v>0</v>
      </c>
      <c r="F261">
        <f>COUNTIF('Metrics - Articles'!F260,"*Human Resources (SAP HR and employee stories)*")</f>
        <v>0</v>
      </c>
      <c r="G261">
        <f>COUNTIF('Metrics - Articles'!F260,"*P&amp;I (Research &amp; Development)*")</f>
        <v>0</v>
      </c>
      <c r="H261">
        <f>COUNTIF('Metrics - Articles'!F260,"*Business Network (Concur, Ariba, Fieldglass)*")</f>
        <v>0</v>
      </c>
      <c r="I261">
        <f>COUNTIF('Metrics - Articles'!F260,"*GCO – Regions*")</f>
        <v>1</v>
      </c>
      <c r="J261">
        <f>COUNTIF('Metrics - Articles'!F260,"*GCO – Platform Solutions*")</f>
        <v>0</v>
      </c>
      <c r="K261">
        <f>COUNTIF('Metrics - Articles'!F260,"*GCO – Industry Cloud *")</f>
        <v>0</v>
      </c>
      <c r="L261">
        <f>COUNTIF('Metrics - Articles'!F260,"*GCO – Customer Engagement &amp; Commerce (CRM &amp; hybris) *")</f>
        <v>0</v>
      </c>
      <c r="M261">
        <f>COUNTIF('Metrics - Articles'!F260,"*GCO – HR (SuccessFactors)*")</f>
        <v>0</v>
      </c>
      <c r="N261">
        <f>COUNTIF('Metrics - Articles'!F260,"*GCO – Services Sales*")</f>
        <v>0</v>
      </c>
      <c r="O261">
        <f>COUNTIF('Metrics - Articles'!F260,"*GCO – Other*")</f>
        <v>0</v>
      </c>
      <c r="P261">
        <f>COUNTIF('Metrics - Articles'!F260,"*Corporate*")</f>
        <v>0</v>
      </c>
      <c r="R261" s="53">
        <f t="shared" si="5"/>
        <v>1</v>
      </c>
    </row>
    <row r="262" spans="2:18" x14ac:dyDescent="0.25">
      <c r="B262" s="48">
        <f>+'Metrics - Articles'!C261</f>
        <v>42223</v>
      </c>
      <c r="C262">
        <f>COUNTIF('Metrics - Articles'!F261,"*GPO (Partner, Ecosystem, Channels)*")</f>
        <v>0</v>
      </c>
      <c r="D262">
        <f>COUNTIF('Metrics - Articles'!F261,"*Office of the CEO*")</f>
        <v>0</v>
      </c>
      <c r="E262">
        <f>COUNTIF('Metrics - Articles'!F261,"*Services Delivery &amp; Support (go-lives and deployments) *")</f>
        <v>0</v>
      </c>
      <c r="F262">
        <f>COUNTIF('Metrics - Articles'!F261,"*Human Resources (SAP HR and employee stories)*")</f>
        <v>0</v>
      </c>
      <c r="G262">
        <f>COUNTIF('Metrics - Articles'!F261,"*P&amp;I (Research &amp; Development)*")</f>
        <v>0</v>
      </c>
      <c r="H262">
        <f>COUNTIF('Metrics - Articles'!F261,"*Business Network (Concur, Ariba, Fieldglass)*")</f>
        <v>0</v>
      </c>
      <c r="I262">
        <f>COUNTIF('Metrics - Articles'!F261,"*GCO – Regions*")</f>
        <v>0</v>
      </c>
      <c r="J262">
        <f>COUNTIF('Metrics - Articles'!F261,"*GCO – Platform Solutions*")</f>
        <v>0</v>
      </c>
      <c r="K262">
        <f>COUNTIF('Metrics - Articles'!F261,"*GCO – Industry Cloud *")</f>
        <v>0</v>
      </c>
      <c r="L262">
        <f>COUNTIF('Metrics - Articles'!F261,"*GCO – Customer Engagement &amp; Commerce (CRM &amp; hybris) *")</f>
        <v>0</v>
      </c>
      <c r="M262">
        <f>COUNTIF('Metrics - Articles'!F261,"*GCO – HR (SuccessFactors)*")</f>
        <v>0</v>
      </c>
      <c r="N262">
        <f>COUNTIF('Metrics - Articles'!F261,"*GCO – Services Sales*")</f>
        <v>0</v>
      </c>
      <c r="O262">
        <f>COUNTIF('Metrics - Articles'!F261,"*GCO – Other*")</f>
        <v>0</v>
      </c>
      <c r="P262">
        <f>COUNTIF('Metrics - Articles'!F261,"*Corporate*")</f>
        <v>1</v>
      </c>
      <c r="R262" s="53">
        <f t="shared" si="5"/>
        <v>1</v>
      </c>
    </row>
    <row r="263" spans="2:18" x14ac:dyDescent="0.25">
      <c r="B263" s="48">
        <f>+'Metrics - Articles'!C262</f>
        <v>42226</v>
      </c>
      <c r="C263">
        <f>COUNTIF('Metrics - Articles'!F262,"*GPO (Partner, Ecosystem, Channels)*")</f>
        <v>0</v>
      </c>
      <c r="D263">
        <f>COUNTIF('Metrics - Articles'!F262,"*Office of the CEO*")</f>
        <v>0</v>
      </c>
      <c r="E263">
        <f>COUNTIF('Metrics - Articles'!F262,"*Services Delivery &amp; Support (go-lives and deployments) *")</f>
        <v>0</v>
      </c>
      <c r="F263">
        <f>COUNTIF('Metrics - Articles'!F262,"*Human Resources (SAP HR and employee stories)*")</f>
        <v>1</v>
      </c>
      <c r="G263">
        <f>COUNTIF('Metrics - Articles'!F262,"*P&amp;I (Research &amp; Development)*")</f>
        <v>0</v>
      </c>
      <c r="H263">
        <f>COUNTIF('Metrics - Articles'!F262,"*Business Network (Concur, Ariba, Fieldglass)*")</f>
        <v>0</v>
      </c>
      <c r="I263">
        <f>COUNTIF('Metrics - Articles'!F262,"*GCO – Regions*")</f>
        <v>0</v>
      </c>
      <c r="J263">
        <f>COUNTIF('Metrics - Articles'!F262,"*GCO – Platform Solutions*")</f>
        <v>0</v>
      </c>
      <c r="K263">
        <f>COUNTIF('Metrics - Articles'!F262,"*GCO – Industry Cloud *")</f>
        <v>0</v>
      </c>
      <c r="L263">
        <f>COUNTIF('Metrics - Articles'!F262,"*GCO – Customer Engagement &amp; Commerce (CRM &amp; hybris) *")</f>
        <v>0</v>
      </c>
      <c r="M263">
        <f>COUNTIF('Metrics - Articles'!F262,"*GCO – HR (SuccessFactors)*")</f>
        <v>0</v>
      </c>
      <c r="N263">
        <f>COUNTIF('Metrics - Articles'!F262,"*GCO – Services Sales*")</f>
        <v>0</v>
      </c>
      <c r="O263">
        <f>COUNTIF('Metrics - Articles'!F262,"*GCO – Other*")</f>
        <v>0</v>
      </c>
      <c r="P263">
        <f>COUNTIF('Metrics - Articles'!F262,"*Corporate*")</f>
        <v>0</v>
      </c>
      <c r="R263" s="53">
        <f t="shared" si="5"/>
        <v>1</v>
      </c>
    </row>
    <row r="264" spans="2:18" x14ac:dyDescent="0.25">
      <c r="B264" s="48">
        <f>+'Metrics - Articles'!C263</f>
        <v>42227</v>
      </c>
      <c r="C264">
        <f>COUNTIF('Metrics - Articles'!F263,"*GPO (Partner, Ecosystem, Channels)*")</f>
        <v>0</v>
      </c>
      <c r="D264">
        <f>COUNTIF('Metrics - Articles'!F263,"*Office of the CEO*")</f>
        <v>0</v>
      </c>
      <c r="E264">
        <f>COUNTIF('Metrics - Articles'!F263,"*Services Delivery &amp; Support (go-lives and deployments) *")</f>
        <v>0</v>
      </c>
      <c r="F264">
        <f>COUNTIF('Metrics - Articles'!F263,"*Human Resources (SAP HR and employee stories)*")</f>
        <v>0</v>
      </c>
      <c r="G264">
        <f>COUNTIF('Metrics - Articles'!F263,"*P&amp;I (Research &amp; Development)*")</f>
        <v>0</v>
      </c>
      <c r="H264">
        <f>COUNTIF('Metrics - Articles'!F263,"*Business Network (Concur, Ariba, Fieldglass)*")</f>
        <v>0</v>
      </c>
      <c r="I264">
        <f>COUNTIF('Metrics - Articles'!F263,"*GCO – Regions*")</f>
        <v>0</v>
      </c>
      <c r="J264">
        <f>COUNTIF('Metrics - Articles'!F263,"*GCO – Platform Solutions*")</f>
        <v>0</v>
      </c>
      <c r="K264">
        <f>COUNTIF('Metrics - Articles'!F263,"*GCO – Industry Cloud *")</f>
        <v>0</v>
      </c>
      <c r="L264">
        <f>COUNTIF('Metrics - Articles'!F263,"*GCO – Customer Engagement &amp; Commerce (CRM &amp; hybris) *")</f>
        <v>0</v>
      </c>
      <c r="M264">
        <f>COUNTIF('Metrics - Articles'!F263,"*GCO – HR (SuccessFactors)*")</f>
        <v>0</v>
      </c>
      <c r="N264">
        <f>COUNTIF('Metrics - Articles'!F263,"*GCO – Services Sales*")</f>
        <v>0</v>
      </c>
      <c r="O264">
        <f>COUNTIF('Metrics - Articles'!F263,"*GCO – Other*")</f>
        <v>0</v>
      </c>
      <c r="P264">
        <f>COUNTIF('Metrics - Articles'!F263,"*Corporate*")</f>
        <v>1</v>
      </c>
      <c r="R264" s="53">
        <f t="shared" si="5"/>
        <v>1</v>
      </c>
    </row>
    <row r="265" spans="2:18" x14ac:dyDescent="0.25">
      <c r="B265" s="48">
        <f>+'Metrics - Articles'!C264</f>
        <v>42228</v>
      </c>
      <c r="C265">
        <f>COUNTIF('Metrics - Articles'!F264,"*GPO (Partner, Ecosystem, Channels)*")</f>
        <v>0</v>
      </c>
      <c r="D265">
        <f>COUNTIF('Metrics - Articles'!F264,"*Office of the CEO*")</f>
        <v>0</v>
      </c>
      <c r="E265">
        <f>COUNTIF('Metrics - Articles'!F264,"*Services Delivery &amp; Support (go-lives and deployments) *")</f>
        <v>0</v>
      </c>
      <c r="F265">
        <f>COUNTIF('Metrics - Articles'!F264,"*Human Resources (SAP HR and employee stories)*")</f>
        <v>0</v>
      </c>
      <c r="G265">
        <f>COUNTIF('Metrics - Articles'!F264,"*P&amp;I (Research &amp; Development)*")</f>
        <v>0</v>
      </c>
      <c r="H265">
        <f>COUNTIF('Metrics - Articles'!F264,"*Business Network (Concur, Ariba, Fieldglass)*")</f>
        <v>1</v>
      </c>
      <c r="I265">
        <f>COUNTIF('Metrics - Articles'!F264,"*GCO – Regions*")</f>
        <v>0</v>
      </c>
      <c r="J265">
        <f>COUNTIF('Metrics - Articles'!F264,"*GCO – Platform Solutions*")</f>
        <v>0</v>
      </c>
      <c r="K265">
        <f>COUNTIF('Metrics - Articles'!F264,"*GCO – Industry Cloud *")</f>
        <v>0</v>
      </c>
      <c r="L265">
        <f>COUNTIF('Metrics - Articles'!F264,"*GCO – Customer Engagement &amp; Commerce (CRM &amp; hybris) *")</f>
        <v>0</v>
      </c>
      <c r="M265">
        <f>COUNTIF('Metrics - Articles'!F264,"*GCO – HR (SuccessFactors)*")</f>
        <v>0</v>
      </c>
      <c r="N265">
        <f>COUNTIF('Metrics - Articles'!F264,"*GCO – Services Sales*")</f>
        <v>0</v>
      </c>
      <c r="O265">
        <f>COUNTIF('Metrics - Articles'!F264,"*GCO – Other*")</f>
        <v>0</v>
      </c>
      <c r="P265">
        <f>COUNTIF('Metrics - Articles'!F264,"*Corporate*")</f>
        <v>0</v>
      </c>
      <c r="R265" s="53">
        <f t="shared" si="5"/>
        <v>1</v>
      </c>
    </row>
    <row r="266" spans="2:18" x14ac:dyDescent="0.25">
      <c r="B266" s="48">
        <f>+'Metrics - Articles'!C265</f>
        <v>42229</v>
      </c>
      <c r="C266">
        <f>COUNTIF('Metrics - Articles'!F265,"*GPO (Partner, Ecosystem, Channels)*")</f>
        <v>0</v>
      </c>
      <c r="D266">
        <f>COUNTIF('Metrics - Articles'!F265,"*Office of the CEO*")</f>
        <v>0</v>
      </c>
      <c r="E266">
        <f>COUNTIF('Metrics - Articles'!F265,"*Services Delivery &amp; Support (go-lives and deployments) *")</f>
        <v>0</v>
      </c>
      <c r="F266">
        <f>COUNTIF('Metrics - Articles'!F265,"*Human Resources (SAP HR and employee stories)*")</f>
        <v>0</v>
      </c>
      <c r="G266">
        <f>COUNTIF('Metrics - Articles'!F265,"*P&amp;I (Research &amp; Development)*")</f>
        <v>0</v>
      </c>
      <c r="H266">
        <f>COUNTIF('Metrics - Articles'!F265,"*Business Network (Concur, Ariba, Fieldglass)*")</f>
        <v>0</v>
      </c>
      <c r="I266">
        <f>COUNTIF('Metrics - Articles'!F265,"*GCO – Regions*")</f>
        <v>0</v>
      </c>
      <c r="J266">
        <f>COUNTIF('Metrics - Articles'!F265,"*GCO – Platform Solutions*")</f>
        <v>0</v>
      </c>
      <c r="K266">
        <f>COUNTIF('Metrics - Articles'!F265,"*GCO – Industry Cloud *")</f>
        <v>0</v>
      </c>
      <c r="L266">
        <f>COUNTIF('Metrics - Articles'!F265,"*GCO – Customer Engagement &amp; Commerce (CRM &amp; hybris) *")</f>
        <v>1</v>
      </c>
      <c r="M266">
        <f>COUNTIF('Metrics - Articles'!F265,"*GCO – HR (SuccessFactors)*")</f>
        <v>0</v>
      </c>
      <c r="N266">
        <f>COUNTIF('Metrics - Articles'!F265,"*GCO – Services Sales*")</f>
        <v>1</v>
      </c>
      <c r="O266">
        <f>COUNTIF('Metrics - Articles'!F265,"*GCO – Other*")</f>
        <v>0</v>
      </c>
      <c r="P266">
        <f>COUNTIF('Metrics - Articles'!F265,"*Corporate*")</f>
        <v>0</v>
      </c>
      <c r="R266" s="53">
        <f t="shared" ref="R266:R329" si="6">SUM(C266:Q266)</f>
        <v>2</v>
      </c>
    </row>
    <row r="267" spans="2:18" x14ac:dyDescent="0.25">
      <c r="B267" s="48">
        <f>+'Metrics - Articles'!C266</f>
        <v>42233</v>
      </c>
      <c r="C267">
        <f>COUNTIF('Metrics - Articles'!F266,"*GPO (Partner, Ecosystem, Channels)*")</f>
        <v>0</v>
      </c>
      <c r="D267">
        <f>COUNTIF('Metrics - Articles'!F266,"*Office of the CEO*")</f>
        <v>0</v>
      </c>
      <c r="E267">
        <f>COUNTIF('Metrics - Articles'!F266,"*Services Delivery &amp; Support (go-lives and deployments) *")</f>
        <v>0</v>
      </c>
      <c r="F267">
        <f>COUNTIF('Metrics - Articles'!F266,"*Human Resources (SAP HR and employee stories)*")</f>
        <v>0</v>
      </c>
      <c r="G267">
        <f>COUNTIF('Metrics - Articles'!F266,"*P&amp;I (Research &amp; Development)*")</f>
        <v>1</v>
      </c>
      <c r="H267">
        <f>COUNTIF('Metrics - Articles'!F266,"*Business Network (Concur, Ariba, Fieldglass)*")</f>
        <v>0</v>
      </c>
      <c r="I267">
        <f>COUNTIF('Metrics - Articles'!F266,"*GCO – Regions*")</f>
        <v>0</v>
      </c>
      <c r="J267">
        <f>COUNTIF('Metrics - Articles'!F266,"*GCO – Platform Solutions*")</f>
        <v>0</v>
      </c>
      <c r="K267">
        <f>COUNTIF('Metrics - Articles'!F266,"*GCO – Industry Cloud *")</f>
        <v>1</v>
      </c>
      <c r="L267">
        <f>COUNTIF('Metrics - Articles'!F266,"*GCO – Customer Engagement &amp; Commerce (CRM &amp; hybris) *")</f>
        <v>0</v>
      </c>
      <c r="M267">
        <f>COUNTIF('Metrics - Articles'!F266,"*GCO – HR (SuccessFactors)*")</f>
        <v>0</v>
      </c>
      <c r="N267">
        <f>COUNTIF('Metrics - Articles'!F266,"*GCO – Services Sales*")</f>
        <v>0</v>
      </c>
      <c r="O267">
        <f>COUNTIF('Metrics - Articles'!F266,"*GCO – Other*")</f>
        <v>0</v>
      </c>
      <c r="P267">
        <f>COUNTIF('Metrics - Articles'!F266,"*Corporate*")</f>
        <v>0</v>
      </c>
      <c r="R267" s="53">
        <f t="shared" si="6"/>
        <v>2</v>
      </c>
    </row>
    <row r="268" spans="2:18" x14ac:dyDescent="0.25">
      <c r="B268" s="48">
        <f>+'Metrics - Articles'!C267</f>
        <v>42234</v>
      </c>
      <c r="C268">
        <f>COUNTIF('Metrics - Articles'!F267,"*GPO (Partner, Ecosystem, Channels)*")</f>
        <v>0</v>
      </c>
      <c r="D268">
        <f>COUNTIF('Metrics - Articles'!F267,"*Office of the CEO*")</f>
        <v>0</v>
      </c>
      <c r="E268">
        <f>COUNTIF('Metrics - Articles'!F267,"*Services Delivery &amp; Support (go-lives and deployments) *")</f>
        <v>0</v>
      </c>
      <c r="F268">
        <f>COUNTIF('Metrics - Articles'!F267,"*Human Resources (SAP HR and employee stories)*")</f>
        <v>0</v>
      </c>
      <c r="G268">
        <f>COUNTIF('Metrics - Articles'!F267,"*P&amp;I (Research &amp; Development)*")</f>
        <v>0</v>
      </c>
      <c r="H268">
        <f>COUNTIF('Metrics - Articles'!F267,"*Business Network (Concur, Ariba, Fieldglass)*")</f>
        <v>0</v>
      </c>
      <c r="I268">
        <f>COUNTIF('Metrics - Articles'!F267,"*GCO – Regions*")</f>
        <v>0</v>
      </c>
      <c r="J268">
        <f>COUNTIF('Metrics - Articles'!F267,"*GCO – Platform Solutions*")</f>
        <v>0</v>
      </c>
      <c r="K268">
        <f>COUNTIF('Metrics - Articles'!F267,"*GCO – Industry Cloud *")</f>
        <v>0</v>
      </c>
      <c r="L268">
        <f>COUNTIF('Metrics - Articles'!F267,"*GCO – Customer Engagement &amp; Commerce (CRM &amp; hybris) *")</f>
        <v>0</v>
      </c>
      <c r="M268">
        <f>COUNTIF('Metrics - Articles'!F267,"*GCO – HR (SuccessFactors)*")</f>
        <v>0</v>
      </c>
      <c r="N268">
        <f>COUNTIF('Metrics - Articles'!F267,"*GCO – Services Sales*")</f>
        <v>0</v>
      </c>
      <c r="O268">
        <f>COUNTIF('Metrics - Articles'!F267,"*GCO – Other*")</f>
        <v>0</v>
      </c>
      <c r="P268">
        <f>COUNTIF('Metrics - Articles'!F267,"*Corporate*")</f>
        <v>1</v>
      </c>
      <c r="R268" s="53">
        <f t="shared" si="6"/>
        <v>1</v>
      </c>
    </row>
    <row r="269" spans="2:18" x14ac:dyDescent="0.25">
      <c r="B269" s="48">
        <f>+'Metrics - Articles'!C268</f>
        <v>42235</v>
      </c>
      <c r="C269">
        <f>COUNTIF('Metrics - Articles'!F268,"*GPO (Partner, Ecosystem, Channels)*")</f>
        <v>0</v>
      </c>
      <c r="D269">
        <f>COUNTIF('Metrics - Articles'!F268,"*Office of the CEO*")</f>
        <v>0</v>
      </c>
      <c r="E269">
        <f>COUNTIF('Metrics - Articles'!F268,"*Services Delivery &amp; Support (go-lives and deployments) *")</f>
        <v>0</v>
      </c>
      <c r="F269">
        <f>COUNTIF('Metrics - Articles'!F268,"*Human Resources (SAP HR and employee stories)*")</f>
        <v>0</v>
      </c>
      <c r="G269">
        <f>COUNTIF('Metrics - Articles'!F268,"*P&amp;I (Research &amp; Development)*")</f>
        <v>0</v>
      </c>
      <c r="H269">
        <f>COUNTIF('Metrics - Articles'!F268,"*Business Network (Concur, Ariba, Fieldglass)*")</f>
        <v>0</v>
      </c>
      <c r="I269">
        <f>COUNTIF('Metrics - Articles'!F268,"*GCO – Regions*")</f>
        <v>0</v>
      </c>
      <c r="J269">
        <f>COUNTIF('Metrics - Articles'!F268,"*GCO – Platform Solutions*")</f>
        <v>0</v>
      </c>
      <c r="K269">
        <f>COUNTIF('Metrics - Articles'!F268,"*GCO – Industry Cloud *")</f>
        <v>0</v>
      </c>
      <c r="L269">
        <f>COUNTIF('Metrics - Articles'!F268,"*GCO – Customer Engagement &amp; Commerce (CRM &amp; hybris) *")</f>
        <v>0</v>
      </c>
      <c r="M269">
        <f>COUNTIF('Metrics - Articles'!F268,"*GCO – HR (SuccessFactors)*")</f>
        <v>0</v>
      </c>
      <c r="N269">
        <f>COUNTIF('Metrics - Articles'!F268,"*GCO – Services Sales*")</f>
        <v>0</v>
      </c>
      <c r="O269">
        <f>COUNTIF('Metrics - Articles'!F268,"*GCO – Other*")</f>
        <v>0</v>
      </c>
      <c r="P269">
        <f>COUNTIF('Metrics - Articles'!F268,"*Corporate*")</f>
        <v>1</v>
      </c>
      <c r="R269" s="53">
        <f t="shared" si="6"/>
        <v>1</v>
      </c>
    </row>
    <row r="270" spans="2:18" x14ac:dyDescent="0.25">
      <c r="B270" s="48">
        <f>+'Metrics - Articles'!C269</f>
        <v>42236</v>
      </c>
      <c r="C270">
        <f>COUNTIF('Metrics - Articles'!F269,"*GPO (Partner, Ecosystem, Channels)*")</f>
        <v>0</v>
      </c>
      <c r="D270">
        <f>COUNTIF('Metrics - Articles'!F269,"*Office of the CEO*")</f>
        <v>0</v>
      </c>
      <c r="E270">
        <f>COUNTIF('Metrics - Articles'!F269,"*Services Delivery &amp; Support (go-lives and deployments) *")</f>
        <v>0</v>
      </c>
      <c r="F270">
        <f>COUNTIF('Metrics - Articles'!F269,"*Human Resources (SAP HR and employee stories)*")</f>
        <v>0</v>
      </c>
      <c r="G270">
        <f>COUNTIF('Metrics - Articles'!F269,"*P&amp;I (Research &amp; Development)*")</f>
        <v>0</v>
      </c>
      <c r="H270">
        <f>COUNTIF('Metrics - Articles'!F269,"*Business Network (Concur, Ariba, Fieldglass)*")</f>
        <v>0</v>
      </c>
      <c r="I270">
        <f>COUNTIF('Metrics - Articles'!F269,"*GCO – Regions*")</f>
        <v>1</v>
      </c>
      <c r="J270">
        <f>COUNTIF('Metrics - Articles'!F269,"*GCO – Platform Solutions*")</f>
        <v>0</v>
      </c>
      <c r="K270">
        <f>COUNTIF('Metrics - Articles'!F269,"*GCO – Industry Cloud *")</f>
        <v>0</v>
      </c>
      <c r="L270">
        <f>COUNTIF('Metrics - Articles'!F269,"*GCO – Customer Engagement &amp; Commerce (CRM &amp; hybris) *")</f>
        <v>0</v>
      </c>
      <c r="M270">
        <f>COUNTIF('Metrics - Articles'!F269,"*GCO – HR (SuccessFactors)*")</f>
        <v>0</v>
      </c>
      <c r="N270">
        <f>COUNTIF('Metrics - Articles'!F269,"*GCO – Services Sales*")</f>
        <v>0</v>
      </c>
      <c r="O270">
        <f>COUNTIF('Metrics - Articles'!F269,"*GCO – Other*")</f>
        <v>0</v>
      </c>
      <c r="P270">
        <f>COUNTIF('Metrics - Articles'!F269,"*Corporate*")</f>
        <v>0</v>
      </c>
      <c r="R270" s="53">
        <f t="shared" si="6"/>
        <v>1</v>
      </c>
    </row>
    <row r="271" spans="2:18" x14ac:dyDescent="0.25">
      <c r="B271" s="48">
        <f>+'Metrics - Articles'!C270</f>
        <v>42237</v>
      </c>
      <c r="C271">
        <f>COUNTIF('Metrics - Articles'!F270,"*GPO (Partner, Ecosystem, Channels)*")</f>
        <v>0</v>
      </c>
      <c r="D271">
        <f>COUNTIF('Metrics - Articles'!F270,"*Office of the CEO*")</f>
        <v>0</v>
      </c>
      <c r="E271">
        <f>COUNTIF('Metrics - Articles'!F270,"*Services Delivery &amp; Support (go-lives and deployments) *")</f>
        <v>0</v>
      </c>
      <c r="F271">
        <f>COUNTIF('Metrics - Articles'!F270,"*Human Resources (SAP HR and employee stories)*")</f>
        <v>0</v>
      </c>
      <c r="G271">
        <f>COUNTIF('Metrics - Articles'!F270,"*P&amp;I (Research &amp; Development)*")</f>
        <v>0</v>
      </c>
      <c r="H271">
        <f>COUNTIF('Metrics - Articles'!F270,"*Business Network (Concur, Ariba, Fieldglass)*")</f>
        <v>0</v>
      </c>
      <c r="I271">
        <f>COUNTIF('Metrics - Articles'!F270,"*GCO – Regions*")</f>
        <v>0</v>
      </c>
      <c r="J271">
        <f>COUNTIF('Metrics - Articles'!F270,"*GCO – Platform Solutions*")</f>
        <v>0</v>
      </c>
      <c r="K271">
        <f>COUNTIF('Metrics - Articles'!F270,"*GCO – Industry Cloud *")</f>
        <v>0</v>
      </c>
      <c r="L271">
        <f>COUNTIF('Metrics - Articles'!F270,"*GCO – Customer Engagement &amp; Commerce (CRM &amp; hybris) *")</f>
        <v>0</v>
      </c>
      <c r="M271">
        <f>COUNTIF('Metrics - Articles'!F270,"*GCO – HR (SuccessFactors)*")</f>
        <v>1</v>
      </c>
      <c r="N271">
        <f>COUNTIF('Metrics - Articles'!F270,"*GCO – Services Sales*")</f>
        <v>0</v>
      </c>
      <c r="O271">
        <f>COUNTIF('Metrics - Articles'!F270,"*GCO – Other*")</f>
        <v>0</v>
      </c>
      <c r="P271">
        <f>COUNTIF('Metrics - Articles'!F270,"*Corporate*")</f>
        <v>0</v>
      </c>
      <c r="R271" s="53">
        <f t="shared" si="6"/>
        <v>1</v>
      </c>
    </row>
    <row r="272" spans="2:18" x14ac:dyDescent="0.25">
      <c r="B272" s="48">
        <f>+'Metrics - Articles'!C271</f>
        <v>42240</v>
      </c>
      <c r="C272">
        <f>COUNTIF('Metrics - Articles'!F271,"*GPO (Partner, Ecosystem, Channels)*")</f>
        <v>0</v>
      </c>
      <c r="D272">
        <f>COUNTIF('Metrics - Articles'!F271,"*Office of the CEO*")</f>
        <v>0</v>
      </c>
      <c r="E272">
        <f>COUNTIF('Metrics - Articles'!F271,"*Services Delivery &amp; Support (go-lives and deployments) *")</f>
        <v>0</v>
      </c>
      <c r="F272">
        <f>COUNTIF('Metrics - Articles'!F271,"*Human Resources (SAP HR and employee stories)*")</f>
        <v>0</v>
      </c>
      <c r="G272">
        <f>COUNTIF('Metrics - Articles'!F271,"*P&amp;I (Research &amp; Development)*")</f>
        <v>1</v>
      </c>
      <c r="H272">
        <f>COUNTIF('Metrics - Articles'!F271,"*Business Network (Concur, Ariba, Fieldglass)*")</f>
        <v>0</v>
      </c>
      <c r="I272">
        <f>COUNTIF('Metrics - Articles'!F271,"*GCO – Regions*")</f>
        <v>0</v>
      </c>
      <c r="J272">
        <f>COUNTIF('Metrics - Articles'!F271,"*GCO – Platform Solutions*")</f>
        <v>0</v>
      </c>
      <c r="K272">
        <f>COUNTIF('Metrics - Articles'!F271,"*GCO – Industry Cloud *")</f>
        <v>0</v>
      </c>
      <c r="L272">
        <f>COUNTIF('Metrics - Articles'!F271,"*GCO – Customer Engagement &amp; Commerce (CRM &amp; hybris) *")</f>
        <v>0</v>
      </c>
      <c r="M272">
        <f>COUNTIF('Metrics - Articles'!F271,"*GCO – HR (SuccessFactors)*")</f>
        <v>0</v>
      </c>
      <c r="N272">
        <f>COUNTIF('Metrics - Articles'!F271,"*GCO – Services Sales*")</f>
        <v>0</v>
      </c>
      <c r="O272">
        <f>COUNTIF('Metrics - Articles'!F271,"*GCO – Other*")</f>
        <v>0</v>
      </c>
      <c r="P272">
        <f>COUNTIF('Metrics - Articles'!F271,"*Corporate*")</f>
        <v>0</v>
      </c>
      <c r="R272" s="53">
        <f t="shared" si="6"/>
        <v>1</v>
      </c>
    </row>
    <row r="273" spans="2:18" x14ac:dyDescent="0.25">
      <c r="B273" s="48">
        <f>+'Metrics - Articles'!C272</f>
        <v>42241</v>
      </c>
      <c r="C273">
        <f>COUNTIF('Metrics - Articles'!F272,"*GPO (Partner, Ecosystem, Channels)*")</f>
        <v>0</v>
      </c>
      <c r="D273">
        <f>COUNTIF('Metrics - Articles'!F272,"*Office of the CEO*")</f>
        <v>0</v>
      </c>
      <c r="E273">
        <f>COUNTIF('Metrics - Articles'!F272,"*Services Delivery &amp; Support (go-lives and deployments) *")</f>
        <v>0</v>
      </c>
      <c r="F273">
        <f>COUNTIF('Metrics - Articles'!F272,"*Human Resources (SAP HR and employee stories)*")</f>
        <v>0</v>
      </c>
      <c r="G273">
        <f>COUNTIF('Metrics - Articles'!F272,"*P&amp;I (Research &amp; Development)*")</f>
        <v>0</v>
      </c>
      <c r="H273">
        <f>COUNTIF('Metrics - Articles'!F272,"*Business Network (Concur, Ariba, Fieldglass)*")</f>
        <v>0</v>
      </c>
      <c r="I273">
        <f>COUNTIF('Metrics - Articles'!F272,"*GCO – Regions*")</f>
        <v>0</v>
      </c>
      <c r="J273">
        <f>COUNTIF('Metrics - Articles'!F272,"*GCO – Platform Solutions*")</f>
        <v>1</v>
      </c>
      <c r="K273">
        <f>COUNTIF('Metrics - Articles'!F272,"*GCO – Industry Cloud *")</f>
        <v>1</v>
      </c>
      <c r="L273">
        <f>COUNTIF('Metrics - Articles'!F272,"*GCO – Customer Engagement &amp; Commerce (CRM &amp; hybris) *")</f>
        <v>0</v>
      </c>
      <c r="M273">
        <f>COUNTIF('Metrics - Articles'!F272,"*GCO – HR (SuccessFactors)*")</f>
        <v>0</v>
      </c>
      <c r="N273">
        <f>COUNTIF('Metrics - Articles'!F272,"*GCO – Services Sales*")</f>
        <v>0</v>
      </c>
      <c r="O273">
        <f>COUNTIF('Metrics - Articles'!F272,"*GCO – Other*")</f>
        <v>0</v>
      </c>
      <c r="P273">
        <f>COUNTIF('Metrics - Articles'!F272,"*Corporate*")</f>
        <v>0</v>
      </c>
      <c r="R273" s="53">
        <f t="shared" si="6"/>
        <v>2</v>
      </c>
    </row>
    <row r="274" spans="2:18" x14ac:dyDescent="0.25">
      <c r="B274" s="48">
        <f>+'Metrics - Articles'!C273</f>
        <v>42242</v>
      </c>
      <c r="C274">
        <f>COUNTIF('Metrics - Articles'!F273,"*GPO (Partner, Ecosystem, Channels)*")</f>
        <v>0</v>
      </c>
      <c r="D274">
        <f>COUNTIF('Metrics - Articles'!F273,"*Office of the CEO*")</f>
        <v>0</v>
      </c>
      <c r="E274">
        <f>COUNTIF('Metrics - Articles'!F273,"*Services Delivery &amp; Support (go-lives and deployments) *")</f>
        <v>0</v>
      </c>
      <c r="F274">
        <f>COUNTIF('Metrics - Articles'!F273,"*Human Resources (SAP HR and employee stories)*")</f>
        <v>1</v>
      </c>
      <c r="G274">
        <f>COUNTIF('Metrics - Articles'!F273,"*P&amp;I (Research &amp; Development)*")</f>
        <v>0</v>
      </c>
      <c r="H274">
        <f>COUNTIF('Metrics - Articles'!F273,"*Business Network (Concur, Ariba, Fieldglass)*")</f>
        <v>0</v>
      </c>
      <c r="I274">
        <f>COUNTIF('Metrics - Articles'!F273,"*GCO – Regions*")</f>
        <v>0</v>
      </c>
      <c r="J274">
        <f>COUNTIF('Metrics - Articles'!F273,"*GCO – Platform Solutions*")</f>
        <v>0</v>
      </c>
      <c r="K274">
        <f>COUNTIF('Metrics - Articles'!F273,"*GCO – Industry Cloud *")</f>
        <v>0</v>
      </c>
      <c r="L274">
        <f>COUNTIF('Metrics - Articles'!F273,"*GCO – Customer Engagement &amp; Commerce (CRM &amp; hybris) *")</f>
        <v>0</v>
      </c>
      <c r="M274">
        <f>COUNTIF('Metrics - Articles'!F273,"*GCO – HR (SuccessFactors)*")</f>
        <v>0</v>
      </c>
      <c r="N274">
        <f>COUNTIF('Metrics - Articles'!F273,"*GCO – Services Sales*")</f>
        <v>0</v>
      </c>
      <c r="O274">
        <f>COUNTIF('Metrics - Articles'!F273,"*GCO – Other*")</f>
        <v>0</v>
      </c>
      <c r="P274">
        <f>COUNTIF('Metrics - Articles'!F273,"*Corporate*")</f>
        <v>0</v>
      </c>
      <c r="R274" s="53">
        <f t="shared" si="6"/>
        <v>1</v>
      </c>
    </row>
    <row r="275" spans="2:18" x14ac:dyDescent="0.25">
      <c r="B275" s="48">
        <f>+'Metrics - Articles'!C274</f>
        <v>42242</v>
      </c>
      <c r="C275">
        <f>COUNTIF('Metrics - Articles'!F274,"*GPO (Partner, Ecosystem, Channels)*")</f>
        <v>0</v>
      </c>
      <c r="D275">
        <f>COUNTIF('Metrics - Articles'!F274,"*Office of the CEO*")</f>
        <v>1</v>
      </c>
      <c r="E275">
        <f>COUNTIF('Metrics - Articles'!F274,"*Services Delivery &amp; Support (go-lives and deployments) *")</f>
        <v>0</v>
      </c>
      <c r="F275">
        <f>COUNTIF('Metrics - Articles'!F274,"*Human Resources (SAP HR and employee stories)*")</f>
        <v>0</v>
      </c>
      <c r="G275">
        <f>COUNTIF('Metrics - Articles'!F274,"*P&amp;I (Research &amp; Development)*")</f>
        <v>0</v>
      </c>
      <c r="H275">
        <f>COUNTIF('Metrics - Articles'!F274,"*Business Network (Concur, Ariba, Fieldglass)*")</f>
        <v>0</v>
      </c>
      <c r="I275">
        <f>COUNTIF('Metrics - Articles'!F274,"*GCO – Regions*")</f>
        <v>0</v>
      </c>
      <c r="J275">
        <f>COUNTIF('Metrics - Articles'!F274,"*GCO – Platform Solutions*")</f>
        <v>0</v>
      </c>
      <c r="K275">
        <f>COUNTIF('Metrics - Articles'!F274,"*GCO – Industry Cloud *")</f>
        <v>0</v>
      </c>
      <c r="L275">
        <f>COUNTIF('Metrics - Articles'!F274,"*GCO – Customer Engagement &amp; Commerce (CRM &amp; hybris) *")</f>
        <v>0</v>
      </c>
      <c r="M275">
        <f>COUNTIF('Metrics - Articles'!F274,"*GCO – HR (SuccessFactors)*")</f>
        <v>0</v>
      </c>
      <c r="N275">
        <f>COUNTIF('Metrics - Articles'!F274,"*GCO – Services Sales*")</f>
        <v>0</v>
      </c>
      <c r="O275">
        <f>COUNTIF('Metrics - Articles'!F274,"*GCO – Other*")</f>
        <v>0</v>
      </c>
      <c r="P275">
        <f>COUNTIF('Metrics - Articles'!F274,"*Corporate*")</f>
        <v>0</v>
      </c>
      <c r="R275" s="53">
        <f t="shared" si="6"/>
        <v>1</v>
      </c>
    </row>
    <row r="276" spans="2:18" x14ac:dyDescent="0.25">
      <c r="B276" s="48">
        <f>+'Metrics - Articles'!C275</f>
        <v>42244</v>
      </c>
      <c r="C276">
        <f>COUNTIF('Metrics - Articles'!F275,"*GPO (Partner, Ecosystem, Channels)*")</f>
        <v>0</v>
      </c>
      <c r="D276">
        <f>COUNTIF('Metrics - Articles'!F275,"*Office of the CEO*")</f>
        <v>0</v>
      </c>
      <c r="E276">
        <f>COUNTIF('Metrics - Articles'!F275,"*Services Delivery &amp; Support (go-lives and deployments) *")</f>
        <v>0</v>
      </c>
      <c r="F276">
        <f>COUNTIF('Metrics - Articles'!F275,"*Human Resources (SAP HR and employee stories)*")</f>
        <v>0</v>
      </c>
      <c r="G276">
        <f>COUNTIF('Metrics - Articles'!F275,"*P&amp;I (Research &amp; Development)*")</f>
        <v>0</v>
      </c>
      <c r="H276">
        <f>COUNTIF('Metrics - Articles'!F275,"*Business Network (Concur, Ariba, Fieldglass)*")</f>
        <v>0</v>
      </c>
      <c r="I276">
        <f>COUNTIF('Metrics - Articles'!F275,"*GCO – Regions*")</f>
        <v>0</v>
      </c>
      <c r="J276">
        <f>COUNTIF('Metrics - Articles'!F275,"*GCO – Platform Solutions*")</f>
        <v>0</v>
      </c>
      <c r="K276">
        <f>COUNTIF('Metrics - Articles'!F275,"*GCO – Industry Cloud *")</f>
        <v>0</v>
      </c>
      <c r="L276">
        <f>COUNTIF('Metrics - Articles'!F275,"*GCO – Customer Engagement &amp; Commerce (CRM &amp; hybris) *")</f>
        <v>0</v>
      </c>
      <c r="M276">
        <f>COUNTIF('Metrics - Articles'!F275,"*GCO – HR (SuccessFactors)*")</f>
        <v>0</v>
      </c>
      <c r="N276">
        <f>COUNTIF('Metrics - Articles'!F275,"*GCO – Services Sales*")</f>
        <v>0</v>
      </c>
      <c r="O276">
        <f>COUNTIF('Metrics - Articles'!F275,"*GCO – Other*")</f>
        <v>0</v>
      </c>
      <c r="P276">
        <f>COUNTIF('Metrics - Articles'!F275,"*Corporate*")</f>
        <v>1</v>
      </c>
      <c r="R276" s="53">
        <f t="shared" si="6"/>
        <v>1</v>
      </c>
    </row>
    <row r="277" spans="2:18" x14ac:dyDescent="0.25">
      <c r="B277" s="48">
        <f>+'Metrics - Articles'!C276</f>
        <v>42247</v>
      </c>
      <c r="C277">
        <f>COUNTIF('Metrics - Articles'!F276,"*GPO (Partner, Ecosystem, Channels)*")</f>
        <v>0</v>
      </c>
      <c r="D277">
        <f>COUNTIF('Metrics - Articles'!F276,"*Office of the CEO*")</f>
        <v>0</v>
      </c>
      <c r="E277">
        <f>COUNTIF('Metrics - Articles'!F276,"*Services Delivery &amp; Support (go-lives and deployments) *")</f>
        <v>0</v>
      </c>
      <c r="F277">
        <f>COUNTIF('Metrics - Articles'!F276,"*Human Resources (SAP HR and employee stories)*")</f>
        <v>0</v>
      </c>
      <c r="G277">
        <f>COUNTIF('Metrics - Articles'!F276,"*P&amp;I (Research &amp; Development)*")</f>
        <v>0</v>
      </c>
      <c r="H277">
        <f>COUNTIF('Metrics - Articles'!F276,"*Business Network (Concur, Ariba, Fieldglass)*")</f>
        <v>0</v>
      </c>
      <c r="I277">
        <f>COUNTIF('Metrics - Articles'!F276,"*GCO – Regions*")</f>
        <v>0</v>
      </c>
      <c r="J277">
        <f>COUNTIF('Metrics - Articles'!F276,"*GCO – Platform Solutions*")</f>
        <v>0</v>
      </c>
      <c r="K277">
        <f>COUNTIF('Metrics - Articles'!F276,"*GCO – Industry Cloud *")</f>
        <v>1</v>
      </c>
      <c r="L277">
        <f>COUNTIF('Metrics - Articles'!F276,"*GCO – Customer Engagement &amp; Commerce (CRM &amp; hybris) *")</f>
        <v>0</v>
      </c>
      <c r="M277">
        <f>COUNTIF('Metrics - Articles'!F276,"*GCO – HR (SuccessFactors)*")</f>
        <v>0</v>
      </c>
      <c r="N277">
        <f>COUNTIF('Metrics - Articles'!F276,"*GCO – Services Sales*")</f>
        <v>0</v>
      </c>
      <c r="O277">
        <f>COUNTIF('Metrics - Articles'!F276,"*GCO – Other*")</f>
        <v>0</v>
      </c>
      <c r="P277">
        <f>COUNTIF('Metrics - Articles'!F276,"*Corporate*")</f>
        <v>0</v>
      </c>
      <c r="R277" s="53">
        <f t="shared" si="6"/>
        <v>1</v>
      </c>
    </row>
    <row r="278" spans="2:18" x14ac:dyDescent="0.25">
      <c r="B278" s="48">
        <f>+'Metrics - Articles'!C277</f>
        <v>42248</v>
      </c>
      <c r="C278">
        <f>COUNTIF('Metrics - Articles'!F277,"*GPO (Partner, Ecosystem, Channels)*")</f>
        <v>0</v>
      </c>
      <c r="D278">
        <f>COUNTIF('Metrics - Articles'!F277,"*Office of the CEO*")</f>
        <v>0</v>
      </c>
      <c r="E278">
        <f>COUNTIF('Metrics - Articles'!F277,"*Services Delivery &amp; Support (go-lives and deployments) *")</f>
        <v>0</v>
      </c>
      <c r="F278">
        <f>COUNTIF('Metrics - Articles'!F277,"*Human Resources (SAP HR and employee stories)*")</f>
        <v>0</v>
      </c>
      <c r="G278">
        <f>COUNTIF('Metrics - Articles'!F277,"*P&amp;I (Research &amp; Development)*")</f>
        <v>0</v>
      </c>
      <c r="H278">
        <f>COUNTIF('Metrics - Articles'!F277,"*Business Network (Concur, Ariba, Fieldglass)*")</f>
        <v>0</v>
      </c>
      <c r="I278">
        <f>COUNTIF('Metrics - Articles'!F277,"*GCO – Regions*")</f>
        <v>0</v>
      </c>
      <c r="J278">
        <f>COUNTIF('Metrics - Articles'!F277,"*GCO – Platform Solutions*")</f>
        <v>1</v>
      </c>
      <c r="K278">
        <f>COUNTIF('Metrics - Articles'!F277,"*GCO – Industry Cloud *")</f>
        <v>0</v>
      </c>
      <c r="L278">
        <f>COUNTIF('Metrics - Articles'!F277,"*GCO – Customer Engagement &amp; Commerce (CRM &amp; hybris) *")</f>
        <v>1</v>
      </c>
      <c r="M278">
        <f>COUNTIF('Metrics - Articles'!F277,"*GCO – HR (SuccessFactors)*")</f>
        <v>0</v>
      </c>
      <c r="N278">
        <f>COUNTIF('Metrics - Articles'!F277,"*GCO – Services Sales*")</f>
        <v>0</v>
      </c>
      <c r="O278">
        <f>COUNTIF('Metrics - Articles'!F277,"*GCO – Other*")</f>
        <v>0</v>
      </c>
      <c r="P278">
        <f>COUNTIF('Metrics - Articles'!F277,"*Corporate*")</f>
        <v>0</v>
      </c>
      <c r="R278" s="53">
        <f t="shared" si="6"/>
        <v>2</v>
      </c>
    </row>
    <row r="279" spans="2:18" x14ac:dyDescent="0.25">
      <c r="B279" s="48">
        <f>+'Metrics - Articles'!C278</f>
        <v>42250</v>
      </c>
      <c r="C279">
        <f>COUNTIF('Metrics - Articles'!F278,"*GPO (Partner, Ecosystem, Channels)*")</f>
        <v>1</v>
      </c>
      <c r="D279">
        <f>COUNTIF('Metrics - Articles'!F278,"*Office of the CEO*")</f>
        <v>0</v>
      </c>
      <c r="E279">
        <f>COUNTIF('Metrics - Articles'!F278,"*Services Delivery &amp; Support (go-lives and deployments) *")</f>
        <v>0</v>
      </c>
      <c r="F279">
        <f>COUNTIF('Metrics - Articles'!F278,"*Human Resources (SAP HR and employee stories)*")</f>
        <v>0</v>
      </c>
      <c r="G279">
        <f>COUNTIF('Metrics - Articles'!F278,"*P&amp;I (Research &amp; Development)*")</f>
        <v>0</v>
      </c>
      <c r="H279">
        <f>COUNTIF('Metrics - Articles'!F278,"*Business Network (Concur, Ariba, Fieldglass)*")</f>
        <v>0</v>
      </c>
      <c r="I279">
        <f>COUNTIF('Metrics - Articles'!F278,"*GCO – Regions*")</f>
        <v>0</v>
      </c>
      <c r="J279">
        <f>COUNTIF('Metrics - Articles'!F278,"*GCO – Platform Solutions*")</f>
        <v>0</v>
      </c>
      <c r="K279">
        <f>COUNTIF('Metrics - Articles'!F278,"*GCO – Industry Cloud *")</f>
        <v>0</v>
      </c>
      <c r="L279">
        <f>COUNTIF('Metrics - Articles'!F278,"*GCO – Customer Engagement &amp; Commerce (CRM &amp; hybris) *")</f>
        <v>0</v>
      </c>
      <c r="M279">
        <f>COUNTIF('Metrics - Articles'!F278,"*GCO – HR (SuccessFactors)*")</f>
        <v>0</v>
      </c>
      <c r="N279">
        <f>COUNTIF('Metrics - Articles'!F278,"*GCO – Services Sales*")</f>
        <v>0</v>
      </c>
      <c r="O279">
        <f>COUNTIF('Metrics - Articles'!F278,"*GCO – Other*")</f>
        <v>0</v>
      </c>
      <c r="P279">
        <f>COUNTIF('Metrics - Articles'!F278,"*Corporate*")</f>
        <v>0</v>
      </c>
      <c r="R279" s="53">
        <f t="shared" si="6"/>
        <v>1</v>
      </c>
    </row>
    <row r="280" spans="2:18" x14ac:dyDescent="0.25">
      <c r="B280" s="48">
        <f>+'Metrics - Articles'!C279</f>
        <v>42255</v>
      </c>
      <c r="C280">
        <f>COUNTIF('Metrics - Articles'!F279,"*GPO (Partner, Ecosystem, Channels)*")</f>
        <v>0</v>
      </c>
      <c r="D280">
        <f>COUNTIF('Metrics - Articles'!F279,"*Office of the CEO*")</f>
        <v>0</v>
      </c>
      <c r="E280">
        <f>COUNTIF('Metrics - Articles'!F279,"*Services Delivery &amp; Support (go-lives and deployments) *")</f>
        <v>0</v>
      </c>
      <c r="F280">
        <f>COUNTIF('Metrics - Articles'!F279,"*Human Resources (SAP HR and employee stories)*")</f>
        <v>0</v>
      </c>
      <c r="G280">
        <f>COUNTIF('Metrics - Articles'!F279,"*P&amp;I (Research &amp; Development)*")</f>
        <v>0</v>
      </c>
      <c r="H280">
        <f>COUNTIF('Metrics - Articles'!F279,"*Business Network (Concur, Ariba, Fieldglass)*")</f>
        <v>0</v>
      </c>
      <c r="I280">
        <f>COUNTIF('Metrics - Articles'!F279,"*GCO – Regions*")</f>
        <v>0</v>
      </c>
      <c r="J280">
        <f>COUNTIF('Metrics - Articles'!F279,"*GCO – Platform Solutions*")</f>
        <v>0</v>
      </c>
      <c r="K280">
        <f>COUNTIF('Metrics - Articles'!F279,"*GCO – Industry Cloud *")</f>
        <v>0</v>
      </c>
      <c r="L280">
        <f>COUNTIF('Metrics - Articles'!F279,"*GCO – Customer Engagement &amp; Commerce (CRM &amp; hybris) *")</f>
        <v>0</v>
      </c>
      <c r="M280">
        <f>COUNTIF('Metrics - Articles'!F279,"*GCO – HR (SuccessFactors)*")</f>
        <v>0</v>
      </c>
      <c r="N280">
        <f>COUNTIF('Metrics - Articles'!F279,"*GCO – Services Sales*")</f>
        <v>0</v>
      </c>
      <c r="O280">
        <f>COUNTIF('Metrics - Articles'!F279,"*GCO – Other*")</f>
        <v>0</v>
      </c>
      <c r="P280">
        <f>COUNTIF('Metrics - Articles'!F279,"*Corporate*")</f>
        <v>1</v>
      </c>
      <c r="R280" s="53">
        <f t="shared" si="6"/>
        <v>1</v>
      </c>
    </row>
    <row r="281" spans="2:18" x14ac:dyDescent="0.25">
      <c r="B281" s="48">
        <f>+'Metrics - Articles'!C280</f>
        <v>42255</v>
      </c>
      <c r="C281">
        <f>COUNTIF('Metrics - Articles'!F280,"*GPO (Partner, Ecosystem, Channels)*")</f>
        <v>0</v>
      </c>
      <c r="D281">
        <f>COUNTIF('Metrics - Articles'!F280,"*Office of the CEO*")</f>
        <v>0</v>
      </c>
      <c r="E281">
        <f>COUNTIF('Metrics - Articles'!F280,"*Services Delivery &amp; Support (go-lives and deployments) *")</f>
        <v>0</v>
      </c>
      <c r="F281">
        <f>COUNTIF('Metrics - Articles'!F280,"*Human Resources (SAP HR and employee stories)*")</f>
        <v>0</v>
      </c>
      <c r="G281">
        <f>COUNTIF('Metrics - Articles'!F280,"*P&amp;I (Research &amp; Development)*")</f>
        <v>0</v>
      </c>
      <c r="H281">
        <f>COUNTIF('Metrics - Articles'!F280,"*Business Network (Concur, Ariba, Fieldglass)*")</f>
        <v>0</v>
      </c>
      <c r="I281">
        <f>COUNTIF('Metrics - Articles'!F280,"*GCO – Regions*")</f>
        <v>0</v>
      </c>
      <c r="J281">
        <f>COUNTIF('Metrics - Articles'!F280,"*GCO – Platform Solutions*")</f>
        <v>0</v>
      </c>
      <c r="K281">
        <f>COUNTIF('Metrics - Articles'!F280,"*GCO – Industry Cloud *")</f>
        <v>0</v>
      </c>
      <c r="L281">
        <f>COUNTIF('Metrics - Articles'!F280,"*GCO – Customer Engagement &amp; Commerce (CRM &amp; hybris) *")</f>
        <v>0</v>
      </c>
      <c r="M281">
        <f>COUNTIF('Metrics - Articles'!F280,"*GCO – HR (SuccessFactors)*")</f>
        <v>0</v>
      </c>
      <c r="N281">
        <f>COUNTIF('Metrics - Articles'!F280,"*GCO – Services Sales*")</f>
        <v>0</v>
      </c>
      <c r="O281">
        <f>COUNTIF('Metrics - Articles'!F280,"*GCO – Other*")</f>
        <v>1</v>
      </c>
      <c r="P281">
        <f>COUNTIF('Metrics - Articles'!F280,"*Corporate*")</f>
        <v>0</v>
      </c>
      <c r="R281" s="53">
        <f t="shared" si="6"/>
        <v>1</v>
      </c>
    </row>
    <row r="282" spans="2:18" x14ac:dyDescent="0.25">
      <c r="B282" s="48">
        <f>+'Metrics - Articles'!C281</f>
        <v>42256</v>
      </c>
      <c r="C282">
        <f>COUNTIF('Metrics - Articles'!F281,"*GPO (Partner, Ecosystem, Channels)*")</f>
        <v>0</v>
      </c>
      <c r="D282">
        <f>COUNTIF('Metrics - Articles'!F281,"*Office of the CEO*")</f>
        <v>0</v>
      </c>
      <c r="E282">
        <f>COUNTIF('Metrics - Articles'!F281,"*Services Delivery &amp; Support (go-lives and deployments) *")</f>
        <v>0</v>
      </c>
      <c r="F282">
        <f>COUNTIF('Metrics - Articles'!F281,"*Human Resources (SAP HR and employee stories)*")</f>
        <v>0</v>
      </c>
      <c r="G282">
        <f>COUNTIF('Metrics - Articles'!F281,"*P&amp;I (Research &amp; Development)*")</f>
        <v>0</v>
      </c>
      <c r="H282">
        <f>COUNTIF('Metrics - Articles'!F281,"*Business Network (Concur, Ariba, Fieldglass)*")</f>
        <v>0</v>
      </c>
      <c r="I282">
        <f>COUNTIF('Metrics - Articles'!F281,"*GCO – Regions*")</f>
        <v>0</v>
      </c>
      <c r="J282">
        <f>COUNTIF('Metrics - Articles'!F281,"*GCO – Platform Solutions*")</f>
        <v>0</v>
      </c>
      <c r="K282">
        <f>COUNTIF('Metrics - Articles'!F281,"*GCO – Industry Cloud *")</f>
        <v>0</v>
      </c>
      <c r="L282">
        <f>COUNTIF('Metrics - Articles'!F281,"*GCO – Customer Engagement &amp; Commerce (CRM &amp; hybris) *")</f>
        <v>0</v>
      </c>
      <c r="M282">
        <f>COUNTIF('Metrics - Articles'!F281,"*GCO – HR (SuccessFactors)*")</f>
        <v>0</v>
      </c>
      <c r="N282">
        <f>COUNTIF('Metrics - Articles'!F281,"*GCO – Services Sales*")</f>
        <v>0</v>
      </c>
      <c r="O282">
        <f>COUNTIF('Metrics - Articles'!F281,"*GCO – Other*")</f>
        <v>0</v>
      </c>
      <c r="P282">
        <f>COUNTIF('Metrics - Articles'!F281,"*Corporate*")</f>
        <v>1</v>
      </c>
      <c r="R282" s="53">
        <f t="shared" si="6"/>
        <v>1</v>
      </c>
    </row>
    <row r="283" spans="2:18" x14ac:dyDescent="0.25">
      <c r="B283" s="48">
        <f>+'Metrics - Articles'!C282</f>
        <v>42257</v>
      </c>
      <c r="C283">
        <f>COUNTIF('Metrics - Articles'!F282,"*GPO (Partner, Ecosystem, Channels)*")</f>
        <v>0</v>
      </c>
      <c r="D283">
        <f>COUNTIF('Metrics - Articles'!F282,"*Office of the CEO*")</f>
        <v>0</v>
      </c>
      <c r="E283">
        <f>COUNTIF('Metrics - Articles'!F282,"*Services Delivery &amp; Support (go-lives and deployments) *")</f>
        <v>0</v>
      </c>
      <c r="F283">
        <f>COUNTIF('Metrics - Articles'!F282,"*Human Resources (SAP HR and employee stories)*")</f>
        <v>0</v>
      </c>
      <c r="G283">
        <f>COUNTIF('Metrics - Articles'!F282,"*P&amp;I (Research &amp; Development)*")</f>
        <v>1</v>
      </c>
      <c r="H283">
        <f>COUNTIF('Metrics - Articles'!F282,"*Business Network (Concur, Ariba, Fieldglass)*")</f>
        <v>0</v>
      </c>
      <c r="I283">
        <f>COUNTIF('Metrics - Articles'!F282,"*GCO – Regions*")</f>
        <v>0</v>
      </c>
      <c r="J283">
        <f>COUNTIF('Metrics - Articles'!F282,"*GCO – Platform Solutions*")</f>
        <v>0</v>
      </c>
      <c r="K283">
        <f>COUNTIF('Metrics - Articles'!F282,"*GCO – Industry Cloud *")</f>
        <v>0</v>
      </c>
      <c r="L283">
        <f>COUNTIF('Metrics - Articles'!F282,"*GCO – Customer Engagement &amp; Commerce (CRM &amp; hybris) *")</f>
        <v>0</v>
      </c>
      <c r="M283">
        <f>COUNTIF('Metrics - Articles'!F282,"*GCO – HR (SuccessFactors)*")</f>
        <v>0</v>
      </c>
      <c r="N283">
        <f>COUNTIF('Metrics - Articles'!F282,"*GCO – Services Sales*")</f>
        <v>0</v>
      </c>
      <c r="O283">
        <f>COUNTIF('Metrics - Articles'!F282,"*GCO – Other*")</f>
        <v>0</v>
      </c>
      <c r="P283">
        <f>COUNTIF('Metrics - Articles'!F282,"*Corporate*")</f>
        <v>0</v>
      </c>
      <c r="R283" s="53">
        <f t="shared" si="6"/>
        <v>1</v>
      </c>
    </row>
    <row r="284" spans="2:18" x14ac:dyDescent="0.25">
      <c r="B284" s="48">
        <f>+'Metrics - Articles'!C283</f>
        <v>42258</v>
      </c>
      <c r="C284">
        <f>COUNTIF('Metrics - Articles'!F283,"*GPO (Partner, Ecosystem, Channels)*")</f>
        <v>0</v>
      </c>
      <c r="D284">
        <f>COUNTIF('Metrics - Articles'!F283,"*Office of the CEO*")</f>
        <v>0</v>
      </c>
      <c r="E284">
        <f>COUNTIF('Metrics - Articles'!F283,"*Services Delivery &amp; Support (go-lives and deployments) *")</f>
        <v>0</v>
      </c>
      <c r="F284">
        <f>COUNTIF('Metrics - Articles'!F283,"*Human Resources (SAP HR and employee stories)*")</f>
        <v>0</v>
      </c>
      <c r="G284">
        <f>COUNTIF('Metrics - Articles'!F283,"*P&amp;I (Research &amp; Development)*")</f>
        <v>0</v>
      </c>
      <c r="H284">
        <f>COUNTIF('Metrics - Articles'!F283,"*Business Network (Concur, Ariba, Fieldglass)*")</f>
        <v>0</v>
      </c>
      <c r="I284">
        <f>COUNTIF('Metrics - Articles'!F283,"*GCO – Regions*")</f>
        <v>0</v>
      </c>
      <c r="J284">
        <f>COUNTIF('Metrics - Articles'!F283,"*GCO – Platform Solutions*")</f>
        <v>1</v>
      </c>
      <c r="K284">
        <f>COUNTIF('Metrics - Articles'!F283,"*GCO – Industry Cloud *")</f>
        <v>1</v>
      </c>
      <c r="L284">
        <f>COUNTIF('Metrics - Articles'!F283,"*GCO – Customer Engagement &amp; Commerce (CRM &amp; hybris) *")</f>
        <v>0</v>
      </c>
      <c r="M284">
        <f>COUNTIF('Metrics - Articles'!F283,"*GCO – HR (SuccessFactors)*")</f>
        <v>0</v>
      </c>
      <c r="N284">
        <f>COUNTIF('Metrics - Articles'!F283,"*GCO – Services Sales*")</f>
        <v>0</v>
      </c>
      <c r="O284">
        <f>COUNTIF('Metrics - Articles'!F283,"*GCO – Other*")</f>
        <v>0</v>
      </c>
      <c r="P284">
        <f>COUNTIF('Metrics - Articles'!F283,"*Corporate*")</f>
        <v>0</v>
      </c>
      <c r="R284" s="53">
        <f t="shared" si="6"/>
        <v>2</v>
      </c>
    </row>
    <row r="285" spans="2:18" x14ac:dyDescent="0.25">
      <c r="B285" s="48">
        <f>+'Metrics - Articles'!C284</f>
        <v>42261</v>
      </c>
      <c r="C285">
        <f>COUNTIF('Metrics - Articles'!F284,"*GPO (Partner, Ecosystem, Channels)*")</f>
        <v>0</v>
      </c>
      <c r="D285">
        <f>COUNTIF('Metrics - Articles'!F284,"*Office of the CEO*")</f>
        <v>0</v>
      </c>
      <c r="E285">
        <f>COUNTIF('Metrics - Articles'!F284,"*Services Delivery &amp; Support (go-lives and deployments) *")</f>
        <v>0</v>
      </c>
      <c r="F285">
        <f>COUNTIF('Metrics - Articles'!F284,"*Human Resources (SAP HR and employee stories)*")</f>
        <v>1</v>
      </c>
      <c r="G285">
        <f>COUNTIF('Metrics - Articles'!F284,"*P&amp;I (Research &amp; Development)*")</f>
        <v>0</v>
      </c>
      <c r="H285">
        <f>COUNTIF('Metrics - Articles'!F284,"*Business Network (Concur, Ariba, Fieldglass)*")</f>
        <v>0</v>
      </c>
      <c r="I285">
        <f>COUNTIF('Metrics - Articles'!F284,"*GCO – Regions*")</f>
        <v>0</v>
      </c>
      <c r="J285">
        <f>COUNTIF('Metrics - Articles'!F284,"*GCO – Platform Solutions*")</f>
        <v>0</v>
      </c>
      <c r="K285">
        <f>COUNTIF('Metrics - Articles'!F284,"*GCO – Industry Cloud *")</f>
        <v>0</v>
      </c>
      <c r="L285">
        <f>COUNTIF('Metrics - Articles'!F284,"*GCO – Customer Engagement &amp; Commerce (CRM &amp; hybris) *")</f>
        <v>0</v>
      </c>
      <c r="M285">
        <f>COUNTIF('Metrics - Articles'!F284,"*GCO – HR (SuccessFactors)*")</f>
        <v>0</v>
      </c>
      <c r="N285">
        <f>COUNTIF('Metrics - Articles'!F284,"*GCO – Services Sales*")</f>
        <v>0</v>
      </c>
      <c r="O285">
        <f>COUNTIF('Metrics - Articles'!F284,"*GCO – Other*")</f>
        <v>0</v>
      </c>
      <c r="P285">
        <f>COUNTIF('Metrics - Articles'!F284,"*Corporate*")</f>
        <v>0</v>
      </c>
      <c r="R285" s="53">
        <f t="shared" si="6"/>
        <v>1</v>
      </c>
    </row>
    <row r="286" spans="2:18" x14ac:dyDescent="0.25">
      <c r="B286" s="48">
        <f>+'Metrics - Articles'!C285</f>
        <v>42262</v>
      </c>
      <c r="C286">
        <f>COUNTIF('Metrics - Articles'!F285,"*GPO (Partner, Ecosystem, Channels)*")</f>
        <v>0</v>
      </c>
      <c r="D286">
        <f>COUNTIF('Metrics - Articles'!F285,"*Office of the CEO*")</f>
        <v>0</v>
      </c>
      <c r="E286">
        <f>COUNTIF('Metrics - Articles'!F285,"*Services Delivery &amp; Support (go-lives and deployments) *")</f>
        <v>0</v>
      </c>
      <c r="F286">
        <f>COUNTIF('Metrics - Articles'!F285,"*Human Resources (SAP HR and employee stories)*")</f>
        <v>0</v>
      </c>
      <c r="G286">
        <f>COUNTIF('Metrics - Articles'!F285,"*P&amp;I (Research &amp; Development)*")</f>
        <v>0</v>
      </c>
      <c r="H286">
        <f>COUNTIF('Metrics - Articles'!F285,"*Business Network (Concur, Ariba, Fieldglass)*")</f>
        <v>0</v>
      </c>
      <c r="I286">
        <f>COUNTIF('Metrics - Articles'!F285,"*GCO – Regions*")</f>
        <v>0</v>
      </c>
      <c r="J286">
        <f>COUNTIF('Metrics - Articles'!F285,"*GCO – Platform Solutions*")</f>
        <v>0</v>
      </c>
      <c r="K286">
        <f>COUNTIF('Metrics - Articles'!F285,"*GCO – Industry Cloud *")</f>
        <v>0</v>
      </c>
      <c r="L286">
        <f>COUNTIF('Metrics - Articles'!F285,"*GCO – Customer Engagement &amp; Commerce (CRM &amp; hybris) *")</f>
        <v>1</v>
      </c>
      <c r="M286">
        <f>COUNTIF('Metrics - Articles'!F285,"*GCO – HR (SuccessFactors)*")</f>
        <v>0</v>
      </c>
      <c r="N286">
        <f>COUNTIF('Metrics - Articles'!F285,"*GCO – Services Sales*")</f>
        <v>0</v>
      </c>
      <c r="O286">
        <f>COUNTIF('Metrics - Articles'!F285,"*GCO – Other*")</f>
        <v>0</v>
      </c>
      <c r="P286">
        <f>COUNTIF('Metrics - Articles'!F285,"*Corporate*")</f>
        <v>0</v>
      </c>
      <c r="R286" s="53">
        <f t="shared" si="6"/>
        <v>1</v>
      </c>
    </row>
    <row r="287" spans="2:18" x14ac:dyDescent="0.25">
      <c r="B287" s="48">
        <f>+'Metrics - Articles'!C286</f>
        <v>42262</v>
      </c>
      <c r="C287">
        <f>COUNTIF('Metrics - Articles'!F286,"*GPO (Partner, Ecosystem, Channels)*")</f>
        <v>0</v>
      </c>
      <c r="D287">
        <f>COUNTIF('Metrics - Articles'!F286,"*Office of the CEO*")</f>
        <v>0</v>
      </c>
      <c r="E287">
        <f>COUNTIF('Metrics - Articles'!F286,"*Services Delivery &amp; Support (go-lives and deployments) *")</f>
        <v>0</v>
      </c>
      <c r="F287">
        <f>COUNTIF('Metrics - Articles'!F286,"*Human Resources (SAP HR and employee stories)*")</f>
        <v>0</v>
      </c>
      <c r="G287">
        <f>COUNTIF('Metrics - Articles'!F286,"*P&amp;I (Research &amp; Development)*")</f>
        <v>0</v>
      </c>
      <c r="H287">
        <f>COUNTIF('Metrics - Articles'!F286,"*Business Network (Concur, Ariba, Fieldglass)*")</f>
        <v>0</v>
      </c>
      <c r="I287">
        <f>COUNTIF('Metrics - Articles'!F286,"*GCO – Regions*")</f>
        <v>0</v>
      </c>
      <c r="J287">
        <f>COUNTIF('Metrics - Articles'!F286,"*GCO – Platform Solutions*")</f>
        <v>0</v>
      </c>
      <c r="K287">
        <f>COUNTIF('Metrics - Articles'!F286,"*GCO – Industry Cloud *")</f>
        <v>0</v>
      </c>
      <c r="L287">
        <f>COUNTIF('Metrics - Articles'!F286,"*GCO – Customer Engagement &amp; Commerce (CRM &amp; hybris) *")</f>
        <v>0</v>
      </c>
      <c r="M287">
        <f>COUNTIF('Metrics - Articles'!F286,"*GCO – HR (SuccessFactors)*")</f>
        <v>0</v>
      </c>
      <c r="N287">
        <f>COUNTIF('Metrics - Articles'!F286,"*GCO – Services Sales*")</f>
        <v>0</v>
      </c>
      <c r="O287">
        <f>COUNTIF('Metrics - Articles'!F286,"*GCO – Other*")</f>
        <v>0</v>
      </c>
      <c r="P287">
        <f>COUNTIF('Metrics - Articles'!F286,"*Corporate*")</f>
        <v>1</v>
      </c>
      <c r="R287" s="53">
        <f t="shared" si="6"/>
        <v>1</v>
      </c>
    </row>
    <row r="288" spans="2:18" x14ac:dyDescent="0.25">
      <c r="B288" s="48">
        <f>+'Metrics - Articles'!C287</f>
        <v>42263</v>
      </c>
      <c r="C288">
        <f>COUNTIF('Metrics - Articles'!F287,"*GPO (Partner, Ecosystem, Channels)*")</f>
        <v>0</v>
      </c>
      <c r="D288">
        <f>COUNTIF('Metrics - Articles'!F287,"*Office of the CEO*")</f>
        <v>1</v>
      </c>
      <c r="E288">
        <f>COUNTIF('Metrics - Articles'!F287,"*Services Delivery &amp; Support (go-lives and deployments) *")</f>
        <v>0</v>
      </c>
      <c r="F288">
        <f>COUNTIF('Metrics - Articles'!F287,"*Human Resources (SAP HR and employee stories)*")</f>
        <v>0</v>
      </c>
      <c r="G288">
        <f>COUNTIF('Metrics - Articles'!F287,"*P&amp;I (Research &amp; Development)*")</f>
        <v>0</v>
      </c>
      <c r="H288">
        <f>COUNTIF('Metrics - Articles'!F287,"*Business Network (Concur, Ariba, Fieldglass)*")</f>
        <v>0</v>
      </c>
      <c r="I288">
        <f>COUNTIF('Metrics - Articles'!F287,"*GCO – Regions*")</f>
        <v>0</v>
      </c>
      <c r="J288">
        <f>COUNTIF('Metrics - Articles'!F287,"*GCO – Platform Solutions*")</f>
        <v>0</v>
      </c>
      <c r="K288">
        <f>COUNTIF('Metrics - Articles'!F287,"*GCO – Industry Cloud *")</f>
        <v>0</v>
      </c>
      <c r="L288">
        <f>COUNTIF('Metrics - Articles'!F287,"*GCO – Customer Engagement &amp; Commerce (CRM &amp; hybris) *")</f>
        <v>0</v>
      </c>
      <c r="M288">
        <f>COUNTIF('Metrics - Articles'!F287,"*GCO – HR (SuccessFactors)*")</f>
        <v>0</v>
      </c>
      <c r="N288">
        <f>COUNTIF('Metrics - Articles'!F287,"*GCO – Services Sales*")</f>
        <v>0</v>
      </c>
      <c r="O288">
        <f>COUNTIF('Metrics - Articles'!F287,"*GCO – Other*")</f>
        <v>0</v>
      </c>
      <c r="P288">
        <f>COUNTIF('Metrics - Articles'!F287,"*Corporate*")</f>
        <v>0</v>
      </c>
      <c r="R288" s="53">
        <f t="shared" si="6"/>
        <v>1</v>
      </c>
    </row>
    <row r="289" spans="2:18" x14ac:dyDescent="0.25">
      <c r="B289" s="48">
        <f>+'Metrics - Articles'!C288</f>
        <v>42263</v>
      </c>
      <c r="C289">
        <f>COUNTIF('Metrics - Articles'!F288,"*GPO (Partner, Ecosystem, Channels)*")</f>
        <v>0</v>
      </c>
      <c r="D289">
        <f>COUNTIF('Metrics - Articles'!F288,"*Office of the CEO*")</f>
        <v>0</v>
      </c>
      <c r="E289">
        <f>COUNTIF('Metrics - Articles'!F288,"*Services Delivery &amp; Support (go-lives and deployments) *")</f>
        <v>0</v>
      </c>
      <c r="F289">
        <f>COUNTIF('Metrics - Articles'!F288,"*Human Resources (SAP HR and employee stories)*")</f>
        <v>0</v>
      </c>
      <c r="G289">
        <f>COUNTIF('Metrics - Articles'!F288,"*P&amp;I (Research &amp; Development)*")</f>
        <v>0</v>
      </c>
      <c r="H289">
        <f>COUNTIF('Metrics - Articles'!F288,"*Business Network (Concur, Ariba, Fieldglass)*")</f>
        <v>0</v>
      </c>
      <c r="I289">
        <f>COUNTIF('Metrics - Articles'!F288,"*GCO – Regions*")</f>
        <v>0</v>
      </c>
      <c r="J289">
        <f>COUNTIF('Metrics - Articles'!F288,"*GCO – Platform Solutions*")</f>
        <v>0</v>
      </c>
      <c r="K289">
        <f>COUNTIF('Metrics - Articles'!F288,"*GCO – Industry Cloud *")</f>
        <v>0</v>
      </c>
      <c r="L289">
        <f>COUNTIF('Metrics - Articles'!F288,"*GCO – Customer Engagement &amp; Commerce (CRM &amp; hybris) *")</f>
        <v>1</v>
      </c>
      <c r="M289">
        <f>COUNTIF('Metrics - Articles'!F288,"*GCO – HR (SuccessFactors)*")</f>
        <v>0</v>
      </c>
      <c r="N289">
        <f>COUNTIF('Metrics - Articles'!F288,"*GCO – Services Sales*")</f>
        <v>0</v>
      </c>
      <c r="O289">
        <f>COUNTIF('Metrics - Articles'!F288,"*GCO – Other*")</f>
        <v>0</v>
      </c>
      <c r="P289">
        <f>COUNTIF('Metrics - Articles'!F288,"*Corporate*")</f>
        <v>0</v>
      </c>
      <c r="R289" s="53">
        <f t="shared" si="6"/>
        <v>1</v>
      </c>
    </row>
    <row r="290" spans="2:18" x14ac:dyDescent="0.25">
      <c r="B290" s="48">
        <f>+'Metrics - Articles'!C289</f>
        <v>42264</v>
      </c>
      <c r="C290">
        <f>COUNTIF('Metrics - Articles'!F289,"*GPO (Partner, Ecosystem, Channels)*")</f>
        <v>0</v>
      </c>
      <c r="D290">
        <f>COUNTIF('Metrics - Articles'!F289,"*Office of the CEO*")</f>
        <v>0</v>
      </c>
      <c r="E290">
        <f>COUNTIF('Metrics - Articles'!F289,"*Services Delivery &amp; Support (go-lives and deployments) *")</f>
        <v>0</v>
      </c>
      <c r="F290">
        <f>COUNTIF('Metrics - Articles'!F289,"*Human Resources (SAP HR and employee stories)*")</f>
        <v>0</v>
      </c>
      <c r="G290">
        <f>COUNTIF('Metrics - Articles'!F289,"*P&amp;I (Research &amp; Development)*")</f>
        <v>0</v>
      </c>
      <c r="H290">
        <f>COUNTIF('Metrics - Articles'!F289,"*Business Network (Concur, Ariba, Fieldglass)*")</f>
        <v>0</v>
      </c>
      <c r="I290">
        <f>COUNTIF('Metrics - Articles'!F289,"*GCO – Regions*")</f>
        <v>0</v>
      </c>
      <c r="J290">
        <f>COUNTIF('Metrics - Articles'!F289,"*GCO – Platform Solutions*")</f>
        <v>0</v>
      </c>
      <c r="K290">
        <f>COUNTIF('Metrics - Articles'!F289,"*GCO – Industry Cloud *")</f>
        <v>0</v>
      </c>
      <c r="L290">
        <f>COUNTIF('Metrics - Articles'!F289,"*GCO – Customer Engagement &amp; Commerce (CRM &amp; hybris) *")</f>
        <v>0</v>
      </c>
      <c r="M290">
        <f>COUNTIF('Metrics - Articles'!F289,"*GCO – HR (SuccessFactors)*")</f>
        <v>0</v>
      </c>
      <c r="N290">
        <f>COUNTIF('Metrics - Articles'!F289,"*GCO – Services Sales*")</f>
        <v>0</v>
      </c>
      <c r="O290">
        <f>COUNTIF('Metrics - Articles'!F289,"*GCO – Other*")</f>
        <v>0</v>
      </c>
      <c r="P290">
        <f>COUNTIF('Metrics - Articles'!F289,"*Corporate*")</f>
        <v>1</v>
      </c>
      <c r="R290" s="53">
        <f t="shared" si="6"/>
        <v>1</v>
      </c>
    </row>
    <row r="291" spans="2:18" x14ac:dyDescent="0.25">
      <c r="B291" s="48">
        <f>+'Metrics - Articles'!C290</f>
        <v>42269</v>
      </c>
      <c r="C291">
        <f>COUNTIF('Metrics - Articles'!F290,"*GPO (Partner, Ecosystem, Channels)*")</f>
        <v>0</v>
      </c>
      <c r="D291">
        <f>COUNTIF('Metrics - Articles'!F290,"*Office of the CEO*")</f>
        <v>0</v>
      </c>
      <c r="E291">
        <f>COUNTIF('Metrics - Articles'!F290,"*Services Delivery &amp; Support (go-lives and deployments) *")</f>
        <v>0</v>
      </c>
      <c r="F291">
        <f>COUNTIF('Metrics - Articles'!F290,"*Human Resources (SAP HR and employee stories)*")</f>
        <v>0</v>
      </c>
      <c r="G291">
        <f>COUNTIF('Metrics - Articles'!F290,"*P&amp;I (Research &amp; Development)*")</f>
        <v>0</v>
      </c>
      <c r="H291">
        <f>COUNTIF('Metrics - Articles'!F290,"*Business Network (Concur, Ariba, Fieldglass)*")</f>
        <v>0</v>
      </c>
      <c r="I291">
        <f>COUNTIF('Metrics - Articles'!F290,"*GCO – Regions*")</f>
        <v>0</v>
      </c>
      <c r="J291">
        <f>COUNTIF('Metrics - Articles'!F290,"*GCO – Platform Solutions*")</f>
        <v>1</v>
      </c>
      <c r="K291">
        <f>COUNTIF('Metrics - Articles'!F290,"*GCO – Industry Cloud *")</f>
        <v>1</v>
      </c>
      <c r="L291">
        <f>COUNTIF('Metrics - Articles'!F290,"*GCO – Customer Engagement &amp; Commerce (CRM &amp; hybris) *")</f>
        <v>0</v>
      </c>
      <c r="M291">
        <f>COUNTIF('Metrics - Articles'!F290,"*GCO – HR (SuccessFactors)*")</f>
        <v>0</v>
      </c>
      <c r="N291">
        <f>COUNTIF('Metrics - Articles'!F290,"*GCO – Services Sales*")</f>
        <v>0</v>
      </c>
      <c r="O291">
        <f>COUNTIF('Metrics - Articles'!F290,"*GCO – Other*")</f>
        <v>0</v>
      </c>
      <c r="P291">
        <f>COUNTIF('Metrics - Articles'!F290,"*Corporate*")</f>
        <v>0</v>
      </c>
      <c r="R291" s="53">
        <f t="shared" si="6"/>
        <v>2</v>
      </c>
    </row>
    <row r="292" spans="2:18" x14ac:dyDescent="0.25">
      <c r="B292" s="48">
        <f>+'Metrics - Articles'!C291</f>
        <v>42270</v>
      </c>
      <c r="C292">
        <f>COUNTIF('Metrics - Articles'!F291,"*GPO (Partner, Ecosystem, Channels)*")</f>
        <v>0</v>
      </c>
      <c r="D292">
        <f>COUNTIF('Metrics - Articles'!F291,"*Office of the CEO*")</f>
        <v>0</v>
      </c>
      <c r="E292">
        <f>COUNTIF('Metrics - Articles'!F291,"*Services Delivery &amp; Support (go-lives and deployments) *")</f>
        <v>0</v>
      </c>
      <c r="F292">
        <f>COUNTIF('Metrics - Articles'!F291,"*Human Resources (SAP HR and employee stories)*")</f>
        <v>0</v>
      </c>
      <c r="G292">
        <f>COUNTIF('Metrics - Articles'!F291,"*P&amp;I (Research &amp; Development)*")</f>
        <v>0</v>
      </c>
      <c r="H292">
        <f>COUNTIF('Metrics - Articles'!F291,"*Business Network (Concur, Ariba, Fieldglass)*")</f>
        <v>0</v>
      </c>
      <c r="I292">
        <f>COUNTIF('Metrics - Articles'!F291,"*GCO – Regions*")</f>
        <v>0</v>
      </c>
      <c r="J292">
        <f>COUNTIF('Metrics - Articles'!F291,"*GCO – Platform Solutions*")</f>
        <v>0</v>
      </c>
      <c r="K292">
        <f>COUNTIF('Metrics - Articles'!F291,"*GCO – Industry Cloud *")</f>
        <v>0</v>
      </c>
      <c r="L292">
        <f>COUNTIF('Metrics - Articles'!F291,"*GCO – Customer Engagement &amp; Commerce (CRM &amp; hybris) *")</f>
        <v>0</v>
      </c>
      <c r="M292">
        <f>COUNTIF('Metrics - Articles'!F291,"*GCO – HR (SuccessFactors)*")</f>
        <v>0</v>
      </c>
      <c r="N292">
        <f>COUNTIF('Metrics - Articles'!F291,"*GCO – Services Sales*")</f>
        <v>0</v>
      </c>
      <c r="O292">
        <f>COUNTIF('Metrics - Articles'!F291,"*GCO – Other*")</f>
        <v>0</v>
      </c>
      <c r="P292">
        <f>COUNTIF('Metrics - Articles'!F291,"*Corporate*")</f>
        <v>1</v>
      </c>
      <c r="R292" s="53">
        <f t="shared" si="6"/>
        <v>1</v>
      </c>
    </row>
    <row r="293" spans="2:18" x14ac:dyDescent="0.25">
      <c r="B293" s="48">
        <f>+'Metrics - Articles'!C292</f>
        <v>42272</v>
      </c>
      <c r="C293">
        <f>COUNTIF('Metrics - Articles'!F292,"*GPO (Partner, Ecosystem, Channels)*")</f>
        <v>0</v>
      </c>
      <c r="D293">
        <f>COUNTIF('Metrics - Articles'!F292,"*Office of the CEO*")</f>
        <v>0</v>
      </c>
      <c r="E293">
        <f>COUNTIF('Metrics - Articles'!F292,"*Services Delivery &amp; Support (go-lives and deployments) *")</f>
        <v>0</v>
      </c>
      <c r="F293">
        <f>COUNTIF('Metrics - Articles'!F292,"*Human Resources (SAP HR and employee stories)*")</f>
        <v>0</v>
      </c>
      <c r="G293">
        <f>COUNTIF('Metrics - Articles'!F292,"*P&amp;I (Research &amp; Development)*")</f>
        <v>0</v>
      </c>
      <c r="H293">
        <f>COUNTIF('Metrics - Articles'!F292,"*Business Network (Concur, Ariba, Fieldglass)*")</f>
        <v>0</v>
      </c>
      <c r="I293">
        <f>COUNTIF('Metrics - Articles'!F292,"*GCO – Regions*")</f>
        <v>0</v>
      </c>
      <c r="J293">
        <f>COUNTIF('Metrics - Articles'!F292,"*GCO – Platform Solutions*")</f>
        <v>0</v>
      </c>
      <c r="K293">
        <f>COUNTIF('Metrics - Articles'!F292,"*GCO – Industry Cloud *")</f>
        <v>0</v>
      </c>
      <c r="L293">
        <f>COUNTIF('Metrics - Articles'!F292,"*GCO – Customer Engagement &amp; Commerce (CRM &amp; hybris) *")</f>
        <v>0</v>
      </c>
      <c r="M293">
        <f>COUNTIF('Metrics - Articles'!F292,"*GCO – HR (SuccessFactors)*")</f>
        <v>0</v>
      </c>
      <c r="N293">
        <f>COUNTIF('Metrics - Articles'!F292,"*GCO – Services Sales*")</f>
        <v>0</v>
      </c>
      <c r="O293">
        <f>COUNTIF('Metrics - Articles'!F292,"*GCO – Other*")</f>
        <v>1</v>
      </c>
      <c r="P293">
        <f>COUNTIF('Metrics - Articles'!F292,"*Corporate*")</f>
        <v>0</v>
      </c>
      <c r="R293" s="53">
        <f t="shared" si="6"/>
        <v>1</v>
      </c>
    </row>
    <row r="294" spans="2:18" x14ac:dyDescent="0.25">
      <c r="B294" s="48">
        <f>+'Metrics - Articles'!C293</f>
        <v>42272</v>
      </c>
      <c r="C294">
        <f>COUNTIF('Metrics - Articles'!F293,"*GPO (Partner, Ecosystem, Channels)*")</f>
        <v>0</v>
      </c>
      <c r="D294">
        <f>COUNTIF('Metrics - Articles'!F293,"*Office of the CEO*")</f>
        <v>0</v>
      </c>
      <c r="E294">
        <f>COUNTIF('Metrics - Articles'!F293,"*Services Delivery &amp; Support (go-lives and deployments) *")</f>
        <v>0</v>
      </c>
      <c r="F294">
        <f>COUNTIF('Metrics - Articles'!F293,"*Human Resources (SAP HR and employee stories)*")</f>
        <v>0</v>
      </c>
      <c r="G294">
        <f>COUNTIF('Metrics - Articles'!F293,"*P&amp;I (Research &amp; Development)*")</f>
        <v>1</v>
      </c>
      <c r="H294">
        <f>COUNTIF('Metrics - Articles'!F293,"*Business Network (Concur, Ariba, Fieldglass)*")</f>
        <v>0</v>
      </c>
      <c r="I294">
        <f>COUNTIF('Metrics - Articles'!F293,"*GCO – Regions*")</f>
        <v>0</v>
      </c>
      <c r="J294">
        <f>COUNTIF('Metrics - Articles'!F293,"*GCO – Platform Solutions*")</f>
        <v>0</v>
      </c>
      <c r="K294">
        <f>COUNTIF('Metrics - Articles'!F293,"*GCO – Industry Cloud *")</f>
        <v>1</v>
      </c>
      <c r="L294">
        <f>COUNTIF('Metrics - Articles'!F293,"*GCO – Customer Engagement &amp; Commerce (CRM &amp; hybris) *")</f>
        <v>0</v>
      </c>
      <c r="M294">
        <f>COUNTIF('Metrics - Articles'!F293,"*GCO – HR (SuccessFactors)*")</f>
        <v>0</v>
      </c>
      <c r="N294">
        <f>COUNTIF('Metrics - Articles'!F293,"*GCO – Services Sales*")</f>
        <v>0</v>
      </c>
      <c r="O294">
        <f>COUNTIF('Metrics - Articles'!F293,"*GCO – Other*")</f>
        <v>0</v>
      </c>
      <c r="P294">
        <f>COUNTIF('Metrics - Articles'!F293,"*Corporate*")</f>
        <v>0</v>
      </c>
      <c r="R294" s="53">
        <f t="shared" si="6"/>
        <v>2</v>
      </c>
    </row>
    <row r="295" spans="2:18" x14ac:dyDescent="0.25">
      <c r="B295" s="48">
        <f>+'Metrics - Articles'!C294</f>
        <v>42272</v>
      </c>
      <c r="C295">
        <f>COUNTIF('Metrics - Articles'!F294,"*GPO (Partner, Ecosystem, Channels)*")</f>
        <v>0</v>
      </c>
      <c r="D295">
        <f>COUNTIF('Metrics - Articles'!F294,"*Office of the CEO*")</f>
        <v>0</v>
      </c>
      <c r="E295">
        <f>COUNTIF('Metrics - Articles'!F294,"*Services Delivery &amp; Support (go-lives and deployments) *")</f>
        <v>0</v>
      </c>
      <c r="F295">
        <f>COUNTIF('Metrics - Articles'!F294,"*Human Resources (SAP HR and employee stories)*")</f>
        <v>0</v>
      </c>
      <c r="G295">
        <f>COUNTIF('Metrics - Articles'!F294,"*P&amp;I (Research &amp; Development)*")</f>
        <v>0</v>
      </c>
      <c r="H295">
        <f>COUNTIF('Metrics - Articles'!F294,"*Business Network (Concur, Ariba, Fieldglass)*")</f>
        <v>0</v>
      </c>
      <c r="I295">
        <f>COUNTIF('Metrics - Articles'!F294,"*GCO – Regions*")</f>
        <v>1</v>
      </c>
      <c r="J295">
        <f>COUNTIF('Metrics - Articles'!F294,"*GCO – Platform Solutions*")</f>
        <v>1</v>
      </c>
      <c r="K295">
        <f>COUNTIF('Metrics - Articles'!F294,"*GCO – Industry Cloud *")</f>
        <v>1</v>
      </c>
      <c r="L295">
        <f>COUNTIF('Metrics - Articles'!F294,"*GCO – Customer Engagement &amp; Commerce (CRM &amp; hybris) *")</f>
        <v>0</v>
      </c>
      <c r="M295">
        <f>COUNTIF('Metrics - Articles'!F294,"*GCO – HR (SuccessFactors)*")</f>
        <v>0</v>
      </c>
      <c r="N295">
        <f>COUNTIF('Metrics - Articles'!F294,"*GCO – Services Sales*")</f>
        <v>0</v>
      </c>
      <c r="O295">
        <f>COUNTIF('Metrics - Articles'!F294,"*GCO – Other*")</f>
        <v>0</v>
      </c>
      <c r="P295">
        <f>COUNTIF('Metrics - Articles'!F294,"*Corporate*")</f>
        <v>0</v>
      </c>
      <c r="R295" s="53">
        <f t="shared" si="6"/>
        <v>3</v>
      </c>
    </row>
    <row r="296" spans="2:18" x14ac:dyDescent="0.25">
      <c r="B296" s="48">
        <f>+'Metrics - Articles'!C295</f>
        <v>42275</v>
      </c>
      <c r="C296">
        <f>COUNTIF('Metrics - Articles'!F295,"*GPO (Partner, Ecosystem, Channels)*")</f>
        <v>0</v>
      </c>
      <c r="D296">
        <f>COUNTIF('Metrics - Articles'!F295,"*Office of the CEO*")</f>
        <v>0</v>
      </c>
      <c r="E296">
        <f>COUNTIF('Metrics - Articles'!F295,"*Services Delivery &amp; Support (go-lives and deployments) *")</f>
        <v>0</v>
      </c>
      <c r="F296">
        <f>COUNTIF('Metrics - Articles'!F295,"*Human Resources (SAP HR and employee stories)*")</f>
        <v>0</v>
      </c>
      <c r="G296">
        <f>COUNTIF('Metrics - Articles'!F295,"*P&amp;I (Research &amp; Development)*")</f>
        <v>0</v>
      </c>
      <c r="H296">
        <f>COUNTIF('Metrics - Articles'!F295,"*Business Network (Concur, Ariba, Fieldglass)*")</f>
        <v>0</v>
      </c>
      <c r="I296">
        <f>COUNTIF('Metrics - Articles'!F295,"*GCO – Regions*")</f>
        <v>0</v>
      </c>
      <c r="J296">
        <f>COUNTIF('Metrics - Articles'!F295,"*GCO – Platform Solutions*")</f>
        <v>1</v>
      </c>
      <c r="K296">
        <f>COUNTIF('Metrics - Articles'!F295,"*GCO – Industry Cloud *")</f>
        <v>0</v>
      </c>
      <c r="L296">
        <f>COUNTIF('Metrics - Articles'!F295,"*GCO – Customer Engagement &amp; Commerce (CRM &amp; hybris) *")</f>
        <v>0</v>
      </c>
      <c r="M296">
        <f>COUNTIF('Metrics - Articles'!F295,"*GCO – HR (SuccessFactors)*")</f>
        <v>0</v>
      </c>
      <c r="N296">
        <f>COUNTIF('Metrics - Articles'!F295,"*GCO – Services Sales*")</f>
        <v>0</v>
      </c>
      <c r="O296">
        <f>COUNTIF('Metrics - Articles'!F295,"*GCO – Other*")</f>
        <v>0</v>
      </c>
      <c r="P296">
        <f>COUNTIF('Metrics - Articles'!F295,"*Corporate*")</f>
        <v>0</v>
      </c>
      <c r="R296" s="53">
        <f t="shared" si="6"/>
        <v>1</v>
      </c>
    </row>
    <row r="297" spans="2:18" x14ac:dyDescent="0.25">
      <c r="B297" s="48">
        <f>+'Metrics - Articles'!C296</f>
        <v>42276</v>
      </c>
      <c r="C297">
        <f>COUNTIF('Metrics - Articles'!F296,"*GPO (Partner, Ecosystem, Channels)*")</f>
        <v>0</v>
      </c>
      <c r="D297">
        <f>COUNTIF('Metrics - Articles'!F296,"*Office of the CEO*")</f>
        <v>0</v>
      </c>
      <c r="E297">
        <f>COUNTIF('Metrics - Articles'!F296,"*Services Delivery &amp; Support (go-lives and deployments) *")</f>
        <v>0</v>
      </c>
      <c r="F297">
        <f>COUNTIF('Metrics - Articles'!F296,"*Human Resources (SAP HR and employee stories)*")</f>
        <v>0</v>
      </c>
      <c r="G297">
        <f>COUNTIF('Metrics - Articles'!F296,"*P&amp;I (Research &amp; Development)*")</f>
        <v>1</v>
      </c>
      <c r="H297">
        <f>COUNTIF('Metrics - Articles'!F296,"*Business Network (Concur, Ariba, Fieldglass)*")</f>
        <v>0</v>
      </c>
      <c r="I297">
        <f>COUNTIF('Metrics - Articles'!F296,"*GCO – Regions*")</f>
        <v>0</v>
      </c>
      <c r="J297">
        <f>COUNTIF('Metrics - Articles'!F296,"*GCO – Platform Solutions*")</f>
        <v>0</v>
      </c>
      <c r="K297">
        <f>COUNTIF('Metrics - Articles'!F296,"*GCO – Industry Cloud *")</f>
        <v>0</v>
      </c>
      <c r="L297">
        <f>COUNTIF('Metrics - Articles'!F296,"*GCO – Customer Engagement &amp; Commerce (CRM &amp; hybris) *")</f>
        <v>0</v>
      </c>
      <c r="M297">
        <f>COUNTIF('Metrics - Articles'!F296,"*GCO – HR (SuccessFactors)*")</f>
        <v>0</v>
      </c>
      <c r="N297">
        <f>COUNTIF('Metrics - Articles'!F296,"*GCO – Services Sales*")</f>
        <v>0</v>
      </c>
      <c r="O297">
        <f>COUNTIF('Metrics - Articles'!F296,"*GCO – Other*")</f>
        <v>0</v>
      </c>
      <c r="P297">
        <f>COUNTIF('Metrics - Articles'!F296,"*Corporate*")</f>
        <v>0</v>
      </c>
      <c r="R297" s="53">
        <f t="shared" si="6"/>
        <v>1</v>
      </c>
    </row>
    <row r="298" spans="2:18" x14ac:dyDescent="0.25">
      <c r="B298" s="48">
        <f>+'Metrics - Articles'!C297</f>
        <v>42277</v>
      </c>
      <c r="C298">
        <f>COUNTIF('Metrics - Articles'!F297,"*GPO (Partner, Ecosystem, Channels)*")</f>
        <v>0</v>
      </c>
      <c r="D298">
        <f>COUNTIF('Metrics - Articles'!F297,"*Office of the CEO*")</f>
        <v>0</v>
      </c>
      <c r="E298">
        <f>COUNTIF('Metrics - Articles'!F297,"*Services Delivery &amp; Support (go-lives and deployments) *")</f>
        <v>0</v>
      </c>
      <c r="F298">
        <f>COUNTIF('Metrics - Articles'!F297,"*Human Resources (SAP HR and employee stories)*")</f>
        <v>0</v>
      </c>
      <c r="G298">
        <f>COUNTIF('Metrics - Articles'!F297,"*P&amp;I (Research &amp; Development)*")</f>
        <v>0</v>
      </c>
      <c r="H298">
        <f>COUNTIF('Metrics - Articles'!F297,"*Business Network (Concur, Ariba, Fieldglass)*")</f>
        <v>0</v>
      </c>
      <c r="I298">
        <f>COUNTIF('Metrics - Articles'!F297,"*GCO – Regions*")</f>
        <v>0</v>
      </c>
      <c r="J298">
        <f>COUNTIF('Metrics - Articles'!F297,"*GCO – Platform Solutions*")</f>
        <v>0</v>
      </c>
      <c r="K298">
        <f>COUNTIF('Metrics - Articles'!F297,"*GCO – Industry Cloud *")</f>
        <v>0</v>
      </c>
      <c r="L298">
        <f>COUNTIF('Metrics - Articles'!F297,"*GCO – Customer Engagement &amp; Commerce (CRM &amp; hybris) *")</f>
        <v>0</v>
      </c>
      <c r="M298">
        <f>COUNTIF('Metrics - Articles'!F297,"*GCO – HR (SuccessFactors)*")</f>
        <v>0</v>
      </c>
      <c r="N298">
        <f>COUNTIF('Metrics - Articles'!F297,"*GCO – Services Sales*")</f>
        <v>0</v>
      </c>
      <c r="O298">
        <f>COUNTIF('Metrics - Articles'!F297,"*GCO – Other*")</f>
        <v>0</v>
      </c>
      <c r="P298">
        <f>COUNTIF('Metrics - Articles'!F297,"*Corporate*")</f>
        <v>1</v>
      </c>
      <c r="R298" s="53">
        <f t="shared" si="6"/>
        <v>1</v>
      </c>
    </row>
    <row r="299" spans="2:18" x14ac:dyDescent="0.25">
      <c r="B299" s="48">
        <f>+'Metrics - Articles'!C298</f>
        <v>42277</v>
      </c>
      <c r="C299">
        <f>COUNTIF('Metrics - Articles'!F298,"*GPO (Partner, Ecosystem, Channels)*")</f>
        <v>0</v>
      </c>
      <c r="D299">
        <f>COUNTIF('Metrics - Articles'!F298,"*Office of the CEO*")</f>
        <v>0</v>
      </c>
      <c r="E299">
        <f>COUNTIF('Metrics - Articles'!F298,"*Services Delivery &amp; Support (go-lives and deployments) *")</f>
        <v>0</v>
      </c>
      <c r="F299">
        <f>COUNTIF('Metrics - Articles'!F298,"*Human Resources (SAP HR and employee stories)*")</f>
        <v>0</v>
      </c>
      <c r="G299">
        <f>COUNTIF('Metrics - Articles'!F298,"*P&amp;I (Research &amp; Development)*")</f>
        <v>1</v>
      </c>
      <c r="H299">
        <f>COUNTIF('Metrics - Articles'!F298,"*Business Network (Concur, Ariba, Fieldglass)*")</f>
        <v>0</v>
      </c>
      <c r="I299">
        <f>COUNTIF('Metrics - Articles'!F298,"*GCO – Regions*")</f>
        <v>0</v>
      </c>
      <c r="J299">
        <f>COUNTIF('Metrics - Articles'!F298,"*GCO – Platform Solutions*")</f>
        <v>0</v>
      </c>
      <c r="K299">
        <f>COUNTIF('Metrics - Articles'!F298,"*GCO – Industry Cloud *")</f>
        <v>0</v>
      </c>
      <c r="L299">
        <f>COUNTIF('Metrics - Articles'!F298,"*GCO – Customer Engagement &amp; Commerce (CRM &amp; hybris) *")</f>
        <v>0</v>
      </c>
      <c r="M299">
        <f>COUNTIF('Metrics - Articles'!F298,"*GCO – HR (SuccessFactors)*")</f>
        <v>0</v>
      </c>
      <c r="N299">
        <f>COUNTIF('Metrics - Articles'!F298,"*GCO – Services Sales*")</f>
        <v>0</v>
      </c>
      <c r="O299">
        <f>COUNTIF('Metrics - Articles'!F298,"*GCO – Other*")</f>
        <v>0</v>
      </c>
      <c r="P299">
        <f>COUNTIF('Metrics - Articles'!F298,"*Corporate*")</f>
        <v>0</v>
      </c>
      <c r="R299" s="53">
        <f t="shared" si="6"/>
        <v>1</v>
      </c>
    </row>
    <row r="300" spans="2:18" x14ac:dyDescent="0.25">
      <c r="B300" s="48">
        <f>+'Metrics - Articles'!C299</f>
        <v>42278</v>
      </c>
      <c r="C300">
        <f>COUNTIF('Metrics - Articles'!F299,"*GPO (Partner, Ecosystem, Channels)*")</f>
        <v>0</v>
      </c>
      <c r="D300">
        <f>COUNTIF('Metrics - Articles'!F299,"*Office of the CEO*")</f>
        <v>0</v>
      </c>
      <c r="E300">
        <f>COUNTIF('Metrics - Articles'!F299,"*Services Delivery &amp; Support (go-lives and deployments) *")</f>
        <v>0</v>
      </c>
      <c r="F300">
        <f>COUNTIF('Metrics - Articles'!F299,"*Human Resources (SAP HR and employee stories)*")</f>
        <v>0</v>
      </c>
      <c r="G300">
        <f>COUNTIF('Metrics - Articles'!F299,"*P&amp;I (Research &amp; Development)*")</f>
        <v>0</v>
      </c>
      <c r="H300">
        <f>COUNTIF('Metrics - Articles'!F299,"*Business Network (Concur, Ariba, Fieldglass)*")</f>
        <v>0</v>
      </c>
      <c r="I300">
        <f>COUNTIF('Metrics - Articles'!F299,"*GCO – Regions*")</f>
        <v>0</v>
      </c>
      <c r="J300">
        <f>COUNTIF('Metrics - Articles'!F299,"*GCO – Platform Solutions*")</f>
        <v>0</v>
      </c>
      <c r="K300">
        <f>COUNTIF('Metrics - Articles'!F299,"*GCO – Industry Cloud *")</f>
        <v>0</v>
      </c>
      <c r="L300">
        <f>COUNTIF('Metrics - Articles'!F299,"*GCO – Customer Engagement &amp; Commerce (CRM &amp; hybris) *")</f>
        <v>0</v>
      </c>
      <c r="M300">
        <f>COUNTIF('Metrics - Articles'!F299,"*GCO – HR (SuccessFactors)*")</f>
        <v>0</v>
      </c>
      <c r="N300">
        <f>COUNTIF('Metrics - Articles'!F299,"*GCO – Services Sales*")</f>
        <v>0</v>
      </c>
      <c r="O300">
        <f>COUNTIF('Metrics - Articles'!F299,"*GCO – Other*")</f>
        <v>0</v>
      </c>
      <c r="P300">
        <f>COUNTIF('Metrics - Articles'!F299,"*Corporate*")</f>
        <v>1</v>
      </c>
      <c r="R300" s="53">
        <f t="shared" si="6"/>
        <v>1</v>
      </c>
    </row>
    <row r="301" spans="2:18" x14ac:dyDescent="0.25">
      <c r="B301" s="48">
        <f>+'Metrics - Articles'!C300</f>
        <v>42285</v>
      </c>
      <c r="C301">
        <f>COUNTIF('Metrics - Articles'!F300,"*GPO (Partner, Ecosystem, Channels)*")</f>
        <v>0</v>
      </c>
      <c r="D301">
        <f>COUNTIF('Metrics - Articles'!F300,"*Office of the CEO*")</f>
        <v>0</v>
      </c>
      <c r="E301">
        <f>COUNTIF('Metrics - Articles'!F300,"*Services Delivery &amp; Support (go-lives and deployments) *")</f>
        <v>0</v>
      </c>
      <c r="F301">
        <f>COUNTIF('Metrics - Articles'!F300,"*Human Resources (SAP HR and employee stories)*")</f>
        <v>0</v>
      </c>
      <c r="G301">
        <f>COUNTIF('Metrics - Articles'!F300,"*P&amp;I (Research &amp; Development)*")</f>
        <v>0</v>
      </c>
      <c r="H301">
        <f>COUNTIF('Metrics - Articles'!F300,"*Business Network (Concur, Ariba, Fieldglass)*")</f>
        <v>0</v>
      </c>
      <c r="I301">
        <f>COUNTIF('Metrics - Articles'!F300,"*GCO – Regions*")</f>
        <v>0</v>
      </c>
      <c r="J301">
        <f>COUNTIF('Metrics - Articles'!F300,"*GCO – Platform Solutions*")</f>
        <v>0</v>
      </c>
      <c r="K301">
        <f>COUNTIF('Metrics - Articles'!F300,"*GCO – Industry Cloud *")</f>
        <v>0</v>
      </c>
      <c r="L301">
        <f>COUNTIF('Metrics - Articles'!F300,"*GCO – Customer Engagement &amp; Commerce (CRM &amp; hybris) *")</f>
        <v>0</v>
      </c>
      <c r="M301">
        <f>COUNTIF('Metrics - Articles'!F300,"*GCO – HR (SuccessFactors)*")</f>
        <v>0</v>
      </c>
      <c r="N301">
        <f>COUNTIF('Metrics - Articles'!F300,"*GCO – Services Sales*")</f>
        <v>0</v>
      </c>
      <c r="O301">
        <f>COUNTIF('Metrics - Articles'!F300,"*GCO – Other*")</f>
        <v>0</v>
      </c>
      <c r="P301">
        <f>COUNTIF('Metrics - Articles'!F300,"*Corporate*")</f>
        <v>1</v>
      </c>
      <c r="R301" s="53">
        <f t="shared" si="6"/>
        <v>1</v>
      </c>
    </row>
    <row r="302" spans="2:18" x14ac:dyDescent="0.25">
      <c r="B302" s="48">
        <f>+'Metrics - Articles'!C301</f>
        <v>42286</v>
      </c>
      <c r="C302">
        <f>COUNTIF('Metrics - Articles'!F301,"*GPO (Partner, Ecosystem, Channels)*")</f>
        <v>0</v>
      </c>
      <c r="D302">
        <f>COUNTIF('Metrics - Articles'!F301,"*Office of the CEO*")</f>
        <v>0</v>
      </c>
      <c r="E302">
        <f>COUNTIF('Metrics - Articles'!F301,"*Services Delivery &amp; Support (go-lives and deployments) *")</f>
        <v>0</v>
      </c>
      <c r="F302">
        <f>COUNTIF('Metrics - Articles'!F301,"*Human Resources (SAP HR and employee stories)*")</f>
        <v>0</v>
      </c>
      <c r="G302">
        <f>COUNTIF('Metrics - Articles'!F301,"*P&amp;I (Research &amp; Development)*")</f>
        <v>0</v>
      </c>
      <c r="H302">
        <f>COUNTIF('Metrics - Articles'!F301,"*Business Network (Concur, Ariba, Fieldglass)*")</f>
        <v>0</v>
      </c>
      <c r="I302">
        <f>COUNTIF('Metrics - Articles'!F301,"*GCO – Regions*")</f>
        <v>0</v>
      </c>
      <c r="J302">
        <f>COUNTIF('Metrics - Articles'!F301,"*GCO – Platform Solutions*")</f>
        <v>0</v>
      </c>
      <c r="K302">
        <f>COUNTIF('Metrics - Articles'!F301,"*GCO – Industry Cloud *")</f>
        <v>0</v>
      </c>
      <c r="L302">
        <f>COUNTIF('Metrics - Articles'!F301,"*GCO – Customer Engagement &amp; Commerce (CRM &amp; hybris) *")</f>
        <v>0</v>
      </c>
      <c r="M302">
        <f>COUNTIF('Metrics - Articles'!F301,"*GCO – HR (SuccessFactors)*")</f>
        <v>0</v>
      </c>
      <c r="N302">
        <f>COUNTIF('Metrics - Articles'!F301,"*GCO – Services Sales*")</f>
        <v>0</v>
      </c>
      <c r="O302">
        <f>COUNTIF('Metrics - Articles'!F301,"*GCO – Other*")</f>
        <v>0</v>
      </c>
      <c r="P302">
        <f>COUNTIF('Metrics - Articles'!F301,"*Corporate*")</f>
        <v>1</v>
      </c>
      <c r="R302" s="53">
        <f t="shared" si="6"/>
        <v>1</v>
      </c>
    </row>
    <row r="303" spans="2:18" x14ac:dyDescent="0.25">
      <c r="B303" s="48">
        <f>+'Metrics - Articles'!C302</f>
        <v>42289</v>
      </c>
      <c r="C303">
        <f>COUNTIF('Metrics - Articles'!F302,"*GPO (Partner, Ecosystem, Channels)*")</f>
        <v>0</v>
      </c>
      <c r="D303">
        <f>COUNTIF('Metrics - Articles'!F302,"*Office of the CEO*")</f>
        <v>0</v>
      </c>
      <c r="E303">
        <f>COUNTIF('Metrics - Articles'!F302,"*Services Delivery &amp; Support (go-lives and deployments) *")</f>
        <v>0</v>
      </c>
      <c r="F303">
        <f>COUNTIF('Metrics - Articles'!F302,"*Human Resources (SAP HR and employee stories)*")</f>
        <v>1</v>
      </c>
      <c r="G303">
        <f>COUNTIF('Metrics - Articles'!F302,"*P&amp;I (Research &amp; Development)*")</f>
        <v>0</v>
      </c>
      <c r="H303">
        <f>COUNTIF('Metrics - Articles'!F302,"*Business Network (Concur, Ariba, Fieldglass)*")</f>
        <v>0</v>
      </c>
      <c r="I303">
        <f>COUNTIF('Metrics - Articles'!F302,"*GCO – Regions*")</f>
        <v>0</v>
      </c>
      <c r="J303">
        <f>COUNTIF('Metrics - Articles'!F302,"*GCO – Platform Solutions*")</f>
        <v>0</v>
      </c>
      <c r="K303">
        <f>COUNTIF('Metrics - Articles'!F302,"*GCO – Industry Cloud *")</f>
        <v>0</v>
      </c>
      <c r="L303">
        <f>COUNTIF('Metrics - Articles'!F302,"*GCO – Customer Engagement &amp; Commerce (CRM &amp; hybris) *")</f>
        <v>0</v>
      </c>
      <c r="M303">
        <f>COUNTIF('Metrics - Articles'!F302,"*GCO – HR (SuccessFactors)*")</f>
        <v>0</v>
      </c>
      <c r="N303">
        <f>COUNTIF('Metrics - Articles'!F302,"*GCO – Services Sales*")</f>
        <v>0</v>
      </c>
      <c r="O303">
        <f>COUNTIF('Metrics - Articles'!F302,"*GCO – Other*")</f>
        <v>0</v>
      </c>
      <c r="P303">
        <f>COUNTIF('Metrics - Articles'!F302,"*Corporate*")</f>
        <v>0</v>
      </c>
      <c r="R303" s="53">
        <f t="shared" si="6"/>
        <v>1</v>
      </c>
    </row>
    <row r="304" spans="2:18" x14ac:dyDescent="0.25">
      <c r="B304" s="48">
        <f>+'Metrics - Articles'!C303</f>
        <v>42289</v>
      </c>
      <c r="C304">
        <f>COUNTIF('Metrics - Articles'!F303,"*GPO (Partner, Ecosystem, Channels)*")</f>
        <v>0</v>
      </c>
      <c r="D304">
        <f>COUNTIF('Metrics - Articles'!F303,"*Office of the CEO*")</f>
        <v>0</v>
      </c>
      <c r="E304">
        <f>COUNTIF('Metrics - Articles'!F303,"*Services Delivery &amp; Support (go-lives and deployments) *")</f>
        <v>0</v>
      </c>
      <c r="F304">
        <f>COUNTIF('Metrics - Articles'!F303,"*Human Resources (SAP HR and employee stories)*")</f>
        <v>0</v>
      </c>
      <c r="G304">
        <f>COUNTIF('Metrics - Articles'!F303,"*P&amp;I (Research &amp; Development)*")</f>
        <v>1</v>
      </c>
      <c r="H304">
        <f>COUNTIF('Metrics - Articles'!F303,"*Business Network (Concur, Ariba, Fieldglass)*")</f>
        <v>0</v>
      </c>
      <c r="I304">
        <f>COUNTIF('Metrics - Articles'!F303,"*GCO – Regions*")</f>
        <v>0</v>
      </c>
      <c r="J304">
        <f>COUNTIF('Metrics - Articles'!F303,"*GCO – Platform Solutions*")</f>
        <v>0</v>
      </c>
      <c r="K304">
        <f>COUNTIF('Metrics - Articles'!F303,"*GCO – Industry Cloud *")</f>
        <v>1</v>
      </c>
      <c r="L304">
        <f>COUNTIF('Metrics - Articles'!F303,"*GCO – Customer Engagement &amp; Commerce (CRM &amp; hybris) *")</f>
        <v>0</v>
      </c>
      <c r="M304">
        <f>COUNTIF('Metrics - Articles'!F303,"*GCO – HR (SuccessFactors)*")</f>
        <v>0</v>
      </c>
      <c r="N304">
        <f>COUNTIF('Metrics - Articles'!F303,"*GCO – Services Sales*")</f>
        <v>0</v>
      </c>
      <c r="O304">
        <f>COUNTIF('Metrics - Articles'!F303,"*GCO – Other*")</f>
        <v>0</v>
      </c>
      <c r="P304">
        <f>COUNTIF('Metrics - Articles'!F303,"*Corporate*")</f>
        <v>0</v>
      </c>
      <c r="R304" s="53">
        <f t="shared" si="6"/>
        <v>2</v>
      </c>
    </row>
    <row r="305" spans="2:18" x14ac:dyDescent="0.25">
      <c r="B305" s="48">
        <f>+'Metrics - Articles'!C304</f>
        <v>42289</v>
      </c>
      <c r="C305">
        <f>COUNTIF('Metrics - Articles'!F304,"*GPO (Partner, Ecosystem, Channels)*")</f>
        <v>0</v>
      </c>
      <c r="D305">
        <f>COUNTIF('Metrics - Articles'!F304,"*Office of the CEO*")</f>
        <v>0</v>
      </c>
      <c r="E305">
        <f>COUNTIF('Metrics - Articles'!F304,"*Services Delivery &amp; Support (go-lives and deployments) *")</f>
        <v>0</v>
      </c>
      <c r="F305">
        <f>COUNTIF('Metrics - Articles'!F304,"*Human Resources (SAP HR and employee stories)*")</f>
        <v>0</v>
      </c>
      <c r="G305">
        <f>COUNTIF('Metrics - Articles'!F304,"*P&amp;I (Research &amp; Development)*")</f>
        <v>1</v>
      </c>
      <c r="H305">
        <f>COUNTIF('Metrics - Articles'!F304,"*Business Network (Concur, Ariba, Fieldglass)*")</f>
        <v>0</v>
      </c>
      <c r="I305">
        <f>COUNTIF('Metrics - Articles'!F304,"*GCO – Regions*")</f>
        <v>0</v>
      </c>
      <c r="J305">
        <f>COUNTIF('Metrics - Articles'!F304,"*GCO – Platform Solutions*")</f>
        <v>0</v>
      </c>
      <c r="K305">
        <f>COUNTIF('Metrics - Articles'!F304,"*GCO – Industry Cloud *")</f>
        <v>0</v>
      </c>
      <c r="L305">
        <f>COUNTIF('Metrics - Articles'!F304,"*GCO – Customer Engagement &amp; Commerce (CRM &amp; hybris) *")</f>
        <v>0</v>
      </c>
      <c r="M305">
        <f>COUNTIF('Metrics - Articles'!F304,"*GCO – HR (SuccessFactors)*")</f>
        <v>1</v>
      </c>
      <c r="N305">
        <f>COUNTIF('Metrics - Articles'!F304,"*GCO – Services Sales*")</f>
        <v>0</v>
      </c>
      <c r="O305">
        <f>COUNTIF('Metrics - Articles'!F304,"*GCO – Other*")</f>
        <v>0</v>
      </c>
      <c r="P305">
        <f>COUNTIF('Metrics - Articles'!F304,"*Corporate*")</f>
        <v>0</v>
      </c>
      <c r="R305" s="53">
        <f t="shared" si="6"/>
        <v>2</v>
      </c>
    </row>
    <row r="306" spans="2:18" x14ac:dyDescent="0.25">
      <c r="B306" s="48">
        <f>+'Metrics - Articles'!C305</f>
        <v>42290</v>
      </c>
      <c r="C306">
        <f>COUNTIF('Metrics - Articles'!F305,"*GPO (Partner, Ecosystem, Channels)*")</f>
        <v>0</v>
      </c>
      <c r="D306">
        <f>COUNTIF('Metrics - Articles'!F305,"*Office of the CEO*")</f>
        <v>1</v>
      </c>
      <c r="E306">
        <f>COUNTIF('Metrics - Articles'!F305,"*Services Delivery &amp; Support (go-lives and deployments) *")</f>
        <v>0</v>
      </c>
      <c r="F306">
        <f>COUNTIF('Metrics - Articles'!F305,"*Human Resources (SAP HR and employee stories)*")</f>
        <v>0</v>
      </c>
      <c r="G306">
        <f>COUNTIF('Metrics - Articles'!F305,"*P&amp;I (Research &amp; Development)*")</f>
        <v>0</v>
      </c>
      <c r="H306">
        <f>COUNTIF('Metrics - Articles'!F305,"*Business Network (Concur, Ariba, Fieldglass)*")</f>
        <v>0</v>
      </c>
      <c r="I306">
        <f>COUNTIF('Metrics - Articles'!F305,"*GCO – Regions*")</f>
        <v>0</v>
      </c>
      <c r="J306">
        <f>COUNTIF('Metrics - Articles'!F305,"*GCO – Platform Solutions*")</f>
        <v>1</v>
      </c>
      <c r="K306">
        <f>COUNTIF('Metrics - Articles'!F305,"*GCO – Industry Cloud *")</f>
        <v>1</v>
      </c>
      <c r="L306">
        <f>COUNTIF('Metrics - Articles'!F305,"*GCO – Customer Engagement &amp; Commerce (CRM &amp; hybris) *")</f>
        <v>0</v>
      </c>
      <c r="M306">
        <f>COUNTIF('Metrics - Articles'!F305,"*GCO – HR (SuccessFactors)*")</f>
        <v>0</v>
      </c>
      <c r="N306">
        <f>COUNTIF('Metrics - Articles'!F305,"*GCO – Services Sales*")</f>
        <v>0</v>
      </c>
      <c r="O306">
        <f>COUNTIF('Metrics - Articles'!F305,"*GCO – Other*")</f>
        <v>0</v>
      </c>
      <c r="P306">
        <f>COUNTIF('Metrics - Articles'!F305,"*Corporate*")</f>
        <v>0</v>
      </c>
      <c r="R306" s="53">
        <f t="shared" si="6"/>
        <v>3</v>
      </c>
    </row>
    <row r="307" spans="2:18" x14ac:dyDescent="0.25">
      <c r="B307" s="48">
        <f>+'Metrics - Articles'!C306</f>
        <v>42290</v>
      </c>
      <c r="C307">
        <f>COUNTIF('Metrics - Articles'!F306,"*GPO (Partner, Ecosystem, Channels)*")</f>
        <v>0</v>
      </c>
      <c r="D307">
        <f>COUNTIF('Metrics - Articles'!F306,"*Office of the CEO*")</f>
        <v>0</v>
      </c>
      <c r="E307">
        <f>COUNTIF('Metrics - Articles'!F306,"*Services Delivery &amp; Support (go-lives and deployments) *")</f>
        <v>0</v>
      </c>
      <c r="F307">
        <f>COUNTIF('Metrics - Articles'!F306,"*Human Resources (SAP HR and employee stories)*")</f>
        <v>0</v>
      </c>
      <c r="G307">
        <f>COUNTIF('Metrics - Articles'!F306,"*P&amp;I (Research &amp; Development)*")</f>
        <v>0</v>
      </c>
      <c r="H307">
        <f>COUNTIF('Metrics - Articles'!F306,"*Business Network (Concur, Ariba, Fieldglass)*")</f>
        <v>0</v>
      </c>
      <c r="I307">
        <f>COUNTIF('Metrics - Articles'!F306,"*GCO – Regions*")</f>
        <v>0</v>
      </c>
      <c r="J307">
        <f>COUNTIF('Metrics - Articles'!F306,"*GCO – Platform Solutions*")</f>
        <v>0</v>
      </c>
      <c r="K307">
        <f>COUNTIF('Metrics - Articles'!F306,"*GCO – Industry Cloud *")</f>
        <v>1</v>
      </c>
      <c r="L307">
        <f>COUNTIF('Metrics - Articles'!F306,"*GCO – Customer Engagement &amp; Commerce (CRM &amp; hybris) *")</f>
        <v>0</v>
      </c>
      <c r="M307">
        <f>COUNTIF('Metrics - Articles'!F306,"*GCO – HR (SuccessFactors)*")</f>
        <v>0</v>
      </c>
      <c r="N307">
        <f>COUNTIF('Metrics - Articles'!F306,"*GCO – Services Sales*")</f>
        <v>0</v>
      </c>
      <c r="O307">
        <f>COUNTIF('Metrics - Articles'!F306,"*GCO – Other*")</f>
        <v>0</v>
      </c>
      <c r="P307">
        <f>COUNTIF('Metrics - Articles'!F306,"*Corporate*")</f>
        <v>0</v>
      </c>
      <c r="R307" s="53">
        <f t="shared" si="6"/>
        <v>1</v>
      </c>
    </row>
    <row r="308" spans="2:18" x14ac:dyDescent="0.25">
      <c r="B308" s="48">
        <f>+'Metrics - Articles'!C307</f>
        <v>42292</v>
      </c>
      <c r="C308">
        <f>COUNTIF('Metrics - Articles'!F307,"*GPO (Partner, Ecosystem, Channels)*")</f>
        <v>0</v>
      </c>
      <c r="D308">
        <f>COUNTIF('Metrics - Articles'!F307,"*Office of the CEO*")</f>
        <v>0</v>
      </c>
      <c r="E308">
        <f>COUNTIF('Metrics - Articles'!F307,"*Services Delivery &amp; Support (go-lives and deployments) *")</f>
        <v>0</v>
      </c>
      <c r="F308">
        <f>COUNTIF('Metrics - Articles'!F307,"*Human Resources (SAP HR and employee stories)*")</f>
        <v>1</v>
      </c>
      <c r="G308">
        <f>COUNTIF('Metrics - Articles'!F307,"*P&amp;I (Research &amp; Development)*")</f>
        <v>0</v>
      </c>
      <c r="H308">
        <f>COUNTIF('Metrics - Articles'!F307,"*Business Network (Concur, Ariba, Fieldglass)*")</f>
        <v>0</v>
      </c>
      <c r="I308">
        <f>COUNTIF('Metrics - Articles'!F307,"*GCO – Regions*")</f>
        <v>0</v>
      </c>
      <c r="J308">
        <f>COUNTIF('Metrics - Articles'!F307,"*GCO – Platform Solutions*")</f>
        <v>0</v>
      </c>
      <c r="K308">
        <f>COUNTIF('Metrics - Articles'!F307,"*GCO – Industry Cloud *")</f>
        <v>0</v>
      </c>
      <c r="L308">
        <f>COUNTIF('Metrics - Articles'!F307,"*GCO – Customer Engagement &amp; Commerce (CRM &amp; hybris) *")</f>
        <v>0</v>
      </c>
      <c r="M308">
        <f>COUNTIF('Metrics - Articles'!F307,"*GCO – HR (SuccessFactors)*")</f>
        <v>0</v>
      </c>
      <c r="N308">
        <f>COUNTIF('Metrics - Articles'!F307,"*GCO – Services Sales*")</f>
        <v>0</v>
      </c>
      <c r="O308">
        <f>COUNTIF('Metrics - Articles'!F307,"*GCO – Other*")</f>
        <v>0</v>
      </c>
      <c r="P308">
        <f>COUNTIF('Metrics - Articles'!F307,"*Corporate*")</f>
        <v>0</v>
      </c>
      <c r="R308" s="53">
        <f t="shared" si="6"/>
        <v>1</v>
      </c>
    </row>
    <row r="309" spans="2:18" x14ac:dyDescent="0.25">
      <c r="B309" s="48">
        <f>+'Metrics - Articles'!C308</f>
        <v>42292</v>
      </c>
      <c r="C309">
        <f>COUNTIF('Metrics - Articles'!F308,"*GPO (Partner, Ecosystem, Channels)*")</f>
        <v>0</v>
      </c>
      <c r="D309">
        <f>COUNTIF('Metrics - Articles'!F308,"*Office of the CEO*")</f>
        <v>0</v>
      </c>
      <c r="E309">
        <f>COUNTIF('Metrics - Articles'!F308,"*Services Delivery &amp; Support (go-lives and deployments) *")</f>
        <v>0</v>
      </c>
      <c r="F309">
        <f>COUNTIF('Metrics - Articles'!F308,"*Human Resources (SAP HR and employee stories)*")</f>
        <v>1</v>
      </c>
      <c r="G309">
        <f>COUNTIF('Metrics - Articles'!F308,"*P&amp;I (Research &amp; Development)*")</f>
        <v>1</v>
      </c>
      <c r="H309">
        <f>COUNTIF('Metrics - Articles'!F308,"*Business Network (Concur, Ariba, Fieldglass)*")</f>
        <v>0</v>
      </c>
      <c r="I309">
        <f>COUNTIF('Metrics - Articles'!F308,"*GCO – Regions*")</f>
        <v>0</v>
      </c>
      <c r="J309">
        <f>COUNTIF('Metrics - Articles'!F308,"*GCO – Platform Solutions*")</f>
        <v>0</v>
      </c>
      <c r="K309">
        <f>COUNTIF('Metrics - Articles'!F308,"*GCO – Industry Cloud *")</f>
        <v>1</v>
      </c>
      <c r="L309">
        <f>COUNTIF('Metrics - Articles'!F308,"*GCO – Customer Engagement &amp; Commerce (CRM &amp; hybris) *")</f>
        <v>0</v>
      </c>
      <c r="M309">
        <f>COUNTIF('Metrics - Articles'!F308,"*GCO – HR (SuccessFactors)*")</f>
        <v>0</v>
      </c>
      <c r="N309">
        <f>COUNTIF('Metrics - Articles'!F308,"*GCO – Services Sales*")</f>
        <v>0</v>
      </c>
      <c r="O309">
        <f>COUNTIF('Metrics - Articles'!F308,"*GCO – Other*")</f>
        <v>0</v>
      </c>
      <c r="P309">
        <f>COUNTIF('Metrics - Articles'!F308,"*Corporate*")</f>
        <v>0</v>
      </c>
      <c r="R309" s="53">
        <f t="shared" si="6"/>
        <v>3</v>
      </c>
    </row>
    <row r="310" spans="2:18" x14ac:dyDescent="0.25">
      <c r="B310" s="48">
        <f>+'Metrics - Articles'!C309</f>
        <v>42292</v>
      </c>
      <c r="C310">
        <f>COUNTIF('Metrics - Articles'!F309,"*GPO (Partner, Ecosystem, Channels)*")</f>
        <v>0</v>
      </c>
      <c r="D310">
        <f>COUNTIF('Metrics - Articles'!F309,"*Office of the CEO*")</f>
        <v>0</v>
      </c>
      <c r="E310">
        <f>COUNTIF('Metrics - Articles'!F309,"*Services Delivery &amp; Support (go-lives and deployments) *")</f>
        <v>0</v>
      </c>
      <c r="F310">
        <f>COUNTIF('Metrics - Articles'!F309,"*Human Resources (SAP HR and employee stories)*")</f>
        <v>1</v>
      </c>
      <c r="G310">
        <f>COUNTIF('Metrics - Articles'!F309,"*P&amp;I (Research &amp; Development)*")</f>
        <v>0</v>
      </c>
      <c r="H310">
        <f>COUNTIF('Metrics - Articles'!F309,"*Business Network (Concur, Ariba, Fieldglass)*")</f>
        <v>0</v>
      </c>
      <c r="I310">
        <f>COUNTIF('Metrics - Articles'!F309,"*GCO – Regions*")</f>
        <v>0</v>
      </c>
      <c r="J310">
        <f>COUNTIF('Metrics - Articles'!F309,"*GCO – Platform Solutions*")</f>
        <v>0</v>
      </c>
      <c r="K310">
        <f>COUNTIF('Metrics - Articles'!F309,"*GCO – Industry Cloud *")</f>
        <v>0</v>
      </c>
      <c r="L310">
        <f>COUNTIF('Metrics - Articles'!F309,"*GCO – Customer Engagement &amp; Commerce (CRM &amp; hybris) *")</f>
        <v>0</v>
      </c>
      <c r="M310">
        <f>COUNTIF('Metrics - Articles'!F309,"*GCO – HR (SuccessFactors)*")</f>
        <v>0</v>
      </c>
      <c r="N310">
        <f>COUNTIF('Metrics - Articles'!F309,"*GCO – Services Sales*")</f>
        <v>0</v>
      </c>
      <c r="O310">
        <f>COUNTIF('Metrics - Articles'!F309,"*GCO – Other*")</f>
        <v>0</v>
      </c>
      <c r="P310">
        <f>COUNTIF('Metrics - Articles'!F309,"*Corporate*")</f>
        <v>0</v>
      </c>
      <c r="R310" s="53">
        <f t="shared" si="6"/>
        <v>1</v>
      </c>
    </row>
    <row r="311" spans="2:18" x14ac:dyDescent="0.25">
      <c r="B311" s="48">
        <f>+'Metrics - Articles'!C310</f>
        <v>42293</v>
      </c>
      <c r="C311">
        <f>COUNTIF('Metrics - Articles'!F310,"*GPO (Partner, Ecosystem, Channels)*")</f>
        <v>0</v>
      </c>
      <c r="D311">
        <f>COUNTIF('Metrics - Articles'!F310,"*Office of the CEO*")</f>
        <v>0</v>
      </c>
      <c r="E311">
        <f>COUNTIF('Metrics - Articles'!F310,"*Services Delivery &amp; Support (go-lives and deployments) *")</f>
        <v>1</v>
      </c>
      <c r="F311">
        <f>COUNTIF('Metrics - Articles'!F310,"*Human Resources (SAP HR and employee stories)*")</f>
        <v>0</v>
      </c>
      <c r="G311">
        <f>COUNTIF('Metrics - Articles'!F310,"*P&amp;I (Research &amp; Development)*")</f>
        <v>0</v>
      </c>
      <c r="H311">
        <f>COUNTIF('Metrics - Articles'!F310,"*Business Network (Concur, Ariba, Fieldglass)*")</f>
        <v>0</v>
      </c>
      <c r="I311">
        <f>COUNTIF('Metrics - Articles'!F310,"*GCO – Regions*")</f>
        <v>0</v>
      </c>
      <c r="J311">
        <f>COUNTIF('Metrics - Articles'!F310,"*GCO – Platform Solutions*")</f>
        <v>0</v>
      </c>
      <c r="K311">
        <f>COUNTIF('Metrics - Articles'!F310,"*GCO – Industry Cloud *")</f>
        <v>0</v>
      </c>
      <c r="L311">
        <f>COUNTIF('Metrics - Articles'!F310,"*GCO – Customer Engagement &amp; Commerce (CRM &amp; hybris) *")</f>
        <v>0</v>
      </c>
      <c r="M311">
        <f>COUNTIF('Metrics - Articles'!F310,"*GCO – HR (SuccessFactors)*")</f>
        <v>0</v>
      </c>
      <c r="N311">
        <f>COUNTIF('Metrics - Articles'!F310,"*GCO – Services Sales*")</f>
        <v>0</v>
      </c>
      <c r="O311">
        <f>COUNTIF('Metrics - Articles'!F310,"*GCO – Other*")</f>
        <v>0</v>
      </c>
      <c r="P311">
        <f>COUNTIF('Metrics - Articles'!F310,"*Corporate*")</f>
        <v>0</v>
      </c>
      <c r="R311" s="53">
        <f t="shared" si="6"/>
        <v>1</v>
      </c>
    </row>
    <row r="312" spans="2:18" x14ac:dyDescent="0.25">
      <c r="B312" s="48">
        <f>+'Metrics - Articles'!C311</f>
        <v>42296</v>
      </c>
      <c r="C312">
        <f>COUNTIF('Metrics - Articles'!F311,"*GPO (Partner, Ecosystem, Channels)*")</f>
        <v>0</v>
      </c>
      <c r="D312">
        <f>COUNTIF('Metrics - Articles'!F311,"*Office of the CEO*")</f>
        <v>0</v>
      </c>
      <c r="E312">
        <f>COUNTIF('Metrics - Articles'!F311,"*Services Delivery &amp; Support (go-lives and deployments) *")</f>
        <v>0</v>
      </c>
      <c r="F312">
        <f>COUNTIF('Metrics - Articles'!F311,"*Human Resources (SAP HR and employee stories)*")</f>
        <v>1</v>
      </c>
      <c r="G312">
        <f>COUNTIF('Metrics - Articles'!F311,"*P&amp;I (Research &amp; Development)*")</f>
        <v>0</v>
      </c>
      <c r="H312">
        <f>COUNTIF('Metrics - Articles'!F311,"*Business Network (Concur, Ariba, Fieldglass)*")</f>
        <v>0</v>
      </c>
      <c r="I312">
        <f>COUNTIF('Metrics - Articles'!F311,"*GCO – Regions*")</f>
        <v>0</v>
      </c>
      <c r="J312">
        <f>COUNTIF('Metrics - Articles'!F311,"*GCO – Platform Solutions*")</f>
        <v>0</v>
      </c>
      <c r="K312">
        <f>COUNTIF('Metrics - Articles'!F311,"*GCO – Industry Cloud *")</f>
        <v>0</v>
      </c>
      <c r="L312">
        <f>COUNTIF('Metrics - Articles'!F311,"*GCO – Customer Engagement &amp; Commerce (CRM &amp; hybris) *")</f>
        <v>0</v>
      </c>
      <c r="M312">
        <f>COUNTIF('Metrics - Articles'!F311,"*GCO – HR (SuccessFactors)*")</f>
        <v>0</v>
      </c>
      <c r="N312">
        <f>COUNTIF('Metrics - Articles'!F311,"*GCO – Services Sales*")</f>
        <v>0</v>
      </c>
      <c r="O312">
        <f>COUNTIF('Metrics - Articles'!F311,"*GCO – Other*")</f>
        <v>0</v>
      </c>
      <c r="P312">
        <f>COUNTIF('Metrics - Articles'!F311,"*Corporate*")</f>
        <v>0</v>
      </c>
      <c r="R312" s="53">
        <f t="shared" si="6"/>
        <v>1</v>
      </c>
    </row>
    <row r="313" spans="2:18" x14ac:dyDescent="0.25">
      <c r="B313" s="48">
        <f>+'Metrics - Articles'!C312</f>
        <v>42297</v>
      </c>
      <c r="C313">
        <f>COUNTIF('Metrics - Articles'!F312,"*GPO (Partner, Ecosystem, Channels)*")</f>
        <v>0</v>
      </c>
      <c r="D313">
        <f>COUNTIF('Metrics - Articles'!F312,"*Office of the CEO*")</f>
        <v>1</v>
      </c>
      <c r="E313">
        <f>COUNTIF('Metrics - Articles'!F312,"*Services Delivery &amp; Support (go-lives and deployments) *")</f>
        <v>0</v>
      </c>
      <c r="F313">
        <f>COUNTIF('Metrics - Articles'!F312,"*Human Resources (SAP HR and employee stories)*")</f>
        <v>0</v>
      </c>
      <c r="G313">
        <f>COUNTIF('Metrics - Articles'!F312,"*P&amp;I (Research &amp; Development)*")</f>
        <v>0</v>
      </c>
      <c r="H313">
        <f>COUNTIF('Metrics - Articles'!F312,"*Business Network (Concur, Ariba, Fieldglass)*")</f>
        <v>0</v>
      </c>
      <c r="I313">
        <f>COUNTIF('Metrics - Articles'!F312,"*GCO – Regions*")</f>
        <v>0</v>
      </c>
      <c r="J313">
        <f>COUNTIF('Metrics - Articles'!F312,"*GCO – Platform Solutions*")</f>
        <v>0</v>
      </c>
      <c r="K313">
        <f>COUNTIF('Metrics - Articles'!F312,"*GCO – Industry Cloud *")</f>
        <v>0</v>
      </c>
      <c r="L313">
        <f>COUNTIF('Metrics - Articles'!F312,"*GCO – Customer Engagement &amp; Commerce (CRM &amp; hybris) *")</f>
        <v>0</v>
      </c>
      <c r="M313">
        <f>COUNTIF('Metrics - Articles'!F312,"*GCO – HR (SuccessFactors)*")</f>
        <v>0</v>
      </c>
      <c r="N313">
        <f>COUNTIF('Metrics - Articles'!F312,"*GCO – Services Sales*")</f>
        <v>0</v>
      </c>
      <c r="O313">
        <f>COUNTIF('Metrics - Articles'!F312,"*GCO – Other*")</f>
        <v>0</v>
      </c>
      <c r="P313">
        <f>COUNTIF('Metrics - Articles'!F312,"*Corporate*")</f>
        <v>0</v>
      </c>
      <c r="R313" s="53">
        <f t="shared" si="6"/>
        <v>1</v>
      </c>
    </row>
    <row r="314" spans="2:18" x14ac:dyDescent="0.25">
      <c r="B314" s="48">
        <f>+'Metrics - Articles'!C313</f>
        <v>42298</v>
      </c>
      <c r="C314">
        <f>COUNTIF('Metrics - Articles'!F313,"*GPO (Partner, Ecosystem, Channels)*")</f>
        <v>0</v>
      </c>
      <c r="D314">
        <f>COUNTIF('Metrics - Articles'!F313,"*Office of the CEO*")</f>
        <v>0</v>
      </c>
      <c r="E314">
        <f>COUNTIF('Metrics - Articles'!F313,"*Services Delivery &amp; Support (go-lives and deployments) *")</f>
        <v>0</v>
      </c>
      <c r="F314">
        <f>COUNTIF('Metrics - Articles'!F313,"*Human Resources (SAP HR and employee stories)*")</f>
        <v>0</v>
      </c>
      <c r="G314">
        <f>COUNTIF('Metrics - Articles'!F313,"*P&amp;I (Research &amp; Development)*")</f>
        <v>0</v>
      </c>
      <c r="H314">
        <f>COUNTIF('Metrics - Articles'!F313,"*Business Network (Concur, Ariba, Fieldglass)*")</f>
        <v>0</v>
      </c>
      <c r="I314">
        <f>COUNTIF('Metrics - Articles'!F313,"*GCO – Regions*")</f>
        <v>0</v>
      </c>
      <c r="J314">
        <f>COUNTIF('Metrics - Articles'!F313,"*GCO – Platform Solutions*")</f>
        <v>0</v>
      </c>
      <c r="K314">
        <f>COUNTIF('Metrics - Articles'!F313,"*GCO – Industry Cloud *")</f>
        <v>0</v>
      </c>
      <c r="L314">
        <f>COUNTIF('Metrics - Articles'!F313,"*GCO – Customer Engagement &amp; Commerce (CRM &amp; hybris) *")</f>
        <v>0</v>
      </c>
      <c r="M314">
        <f>COUNTIF('Metrics - Articles'!F313,"*GCO – HR (SuccessFactors)*")</f>
        <v>0</v>
      </c>
      <c r="N314">
        <f>COUNTIF('Metrics - Articles'!F313,"*GCO – Services Sales*")</f>
        <v>0</v>
      </c>
      <c r="O314">
        <f>COUNTIF('Metrics - Articles'!F313,"*GCO – Other*")</f>
        <v>0</v>
      </c>
      <c r="P314">
        <f>COUNTIF('Metrics - Articles'!F313,"*Corporate*")</f>
        <v>1</v>
      </c>
      <c r="R314" s="53">
        <f t="shared" si="6"/>
        <v>1</v>
      </c>
    </row>
    <row r="315" spans="2:18" x14ac:dyDescent="0.25">
      <c r="B315" s="48">
        <f>+'Metrics - Articles'!C314</f>
        <v>42298</v>
      </c>
      <c r="C315">
        <f>COUNTIF('Metrics - Articles'!F314,"*GPO (Partner, Ecosystem, Channels)*")</f>
        <v>0</v>
      </c>
      <c r="D315">
        <f>COUNTIF('Metrics - Articles'!F314,"*Office of the CEO*")</f>
        <v>1</v>
      </c>
      <c r="E315">
        <f>COUNTIF('Metrics - Articles'!F314,"*Services Delivery &amp; Support (go-lives and deployments) *")</f>
        <v>0</v>
      </c>
      <c r="F315">
        <f>COUNTIF('Metrics - Articles'!F314,"*Human Resources (SAP HR and employee stories)*")</f>
        <v>0</v>
      </c>
      <c r="G315">
        <f>COUNTIF('Metrics - Articles'!F314,"*P&amp;I (Research &amp; Development)*")</f>
        <v>0</v>
      </c>
      <c r="H315">
        <f>COUNTIF('Metrics - Articles'!F314,"*Business Network (Concur, Ariba, Fieldglass)*")</f>
        <v>0</v>
      </c>
      <c r="I315">
        <f>COUNTIF('Metrics - Articles'!F314,"*GCO – Regions*")</f>
        <v>0</v>
      </c>
      <c r="J315">
        <f>COUNTIF('Metrics - Articles'!F314,"*GCO – Platform Solutions*")</f>
        <v>0</v>
      </c>
      <c r="K315">
        <f>COUNTIF('Metrics - Articles'!F314,"*GCO – Industry Cloud *")</f>
        <v>0</v>
      </c>
      <c r="L315">
        <f>COUNTIF('Metrics - Articles'!F314,"*GCO – Customer Engagement &amp; Commerce (CRM &amp; hybris) *")</f>
        <v>0</v>
      </c>
      <c r="M315">
        <f>COUNTIF('Metrics - Articles'!F314,"*GCO – HR (SuccessFactors)*")</f>
        <v>0</v>
      </c>
      <c r="N315">
        <f>COUNTIF('Metrics - Articles'!F314,"*GCO – Services Sales*")</f>
        <v>0</v>
      </c>
      <c r="O315">
        <f>COUNTIF('Metrics - Articles'!F314,"*GCO – Other*")</f>
        <v>0</v>
      </c>
      <c r="P315">
        <f>COUNTIF('Metrics - Articles'!F314,"*Corporate*")</f>
        <v>0</v>
      </c>
      <c r="R315" s="53">
        <f t="shared" si="6"/>
        <v>1</v>
      </c>
    </row>
    <row r="316" spans="2:18" x14ac:dyDescent="0.25">
      <c r="B316" s="48">
        <f>+'Metrics - Articles'!C315</f>
        <v>42298</v>
      </c>
      <c r="C316">
        <f>COUNTIF('Metrics - Articles'!F315,"*GPO (Partner, Ecosystem, Channels)*")</f>
        <v>0</v>
      </c>
      <c r="D316">
        <f>COUNTIF('Metrics - Articles'!F315,"*Office of the CEO*")</f>
        <v>0</v>
      </c>
      <c r="E316">
        <f>COUNTIF('Metrics - Articles'!F315,"*Services Delivery &amp; Support (go-lives and deployments) *")</f>
        <v>0</v>
      </c>
      <c r="F316">
        <f>COUNTIF('Metrics - Articles'!F315,"*Human Resources (SAP HR and employee stories)*")</f>
        <v>0</v>
      </c>
      <c r="G316">
        <f>COUNTIF('Metrics - Articles'!F315,"*P&amp;I (Research &amp; Development)*")</f>
        <v>0</v>
      </c>
      <c r="H316">
        <f>COUNTIF('Metrics - Articles'!F315,"*Business Network (Concur, Ariba, Fieldglass)*")</f>
        <v>0</v>
      </c>
      <c r="I316">
        <f>COUNTIF('Metrics - Articles'!F315,"*GCO – Regions*")</f>
        <v>0</v>
      </c>
      <c r="J316">
        <f>COUNTIF('Metrics - Articles'!F315,"*GCO – Platform Solutions*")</f>
        <v>1</v>
      </c>
      <c r="K316">
        <f>COUNTIF('Metrics - Articles'!F315,"*GCO – Industry Cloud *")</f>
        <v>0</v>
      </c>
      <c r="L316">
        <f>COUNTIF('Metrics - Articles'!F315,"*GCO – Customer Engagement &amp; Commerce (CRM &amp; hybris) *")</f>
        <v>0</v>
      </c>
      <c r="M316">
        <f>COUNTIF('Metrics - Articles'!F315,"*GCO – HR (SuccessFactors)*")</f>
        <v>0</v>
      </c>
      <c r="N316">
        <f>COUNTIF('Metrics - Articles'!F315,"*GCO – Services Sales*")</f>
        <v>0</v>
      </c>
      <c r="O316">
        <f>COUNTIF('Metrics - Articles'!F315,"*GCO – Other*")</f>
        <v>0</v>
      </c>
      <c r="P316">
        <f>COUNTIF('Metrics - Articles'!F315,"*Corporate*")</f>
        <v>0</v>
      </c>
      <c r="R316" s="53">
        <f t="shared" si="6"/>
        <v>1</v>
      </c>
    </row>
    <row r="317" spans="2:18" x14ac:dyDescent="0.25">
      <c r="B317" s="48">
        <f>+'Metrics - Articles'!C316</f>
        <v>42299</v>
      </c>
      <c r="C317">
        <f>COUNTIF('Metrics - Articles'!F316,"*GPO (Partner, Ecosystem, Channels)*")</f>
        <v>0</v>
      </c>
      <c r="D317">
        <f>COUNTIF('Metrics - Articles'!F316,"*Office of the CEO*")</f>
        <v>0</v>
      </c>
      <c r="E317">
        <f>COUNTIF('Metrics - Articles'!F316,"*Services Delivery &amp; Support (go-lives and deployments) *")</f>
        <v>0</v>
      </c>
      <c r="F317">
        <f>COUNTIF('Metrics - Articles'!F316,"*Human Resources (SAP HR and employee stories)*")</f>
        <v>0</v>
      </c>
      <c r="G317">
        <f>COUNTIF('Metrics - Articles'!F316,"*P&amp;I (Research &amp; Development)*")</f>
        <v>0</v>
      </c>
      <c r="H317">
        <f>COUNTIF('Metrics - Articles'!F316,"*Business Network (Concur, Ariba, Fieldglass)*")</f>
        <v>0</v>
      </c>
      <c r="I317">
        <f>COUNTIF('Metrics - Articles'!F316,"*GCO – Regions*")</f>
        <v>0</v>
      </c>
      <c r="J317">
        <f>COUNTIF('Metrics - Articles'!F316,"*GCO – Platform Solutions*")</f>
        <v>0</v>
      </c>
      <c r="K317">
        <f>COUNTIF('Metrics - Articles'!F316,"*GCO – Industry Cloud *")</f>
        <v>1</v>
      </c>
      <c r="L317">
        <f>COUNTIF('Metrics - Articles'!F316,"*GCO – Customer Engagement &amp; Commerce (CRM &amp; hybris) *")</f>
        <v>0</v>
      </c>
      <c r="M317">
        <f>COUNTIF('Metrics - Articles'!F316,"*GCO – HR (SuccessFactors)*")</f>
        <v>0</v>
      </c>
      <c r="N317">
        <f>COUNTIF('Metrics - Articles'!F316,"*GCO – Services Sales*")</f>
        <v>0</v>
      </c>
      <c r="O317">
        <f>COUNTIF('Metrics - Articles'!F316,"*GCO – Other*")</f>
        <v>0</v>
      </c>
      <c r="P317">
        <f>COUNTIF('Metrics - Articles'!F316,"*Corporate*")</f>
        <v>0</v>
      </c>
      <c r="R317" s="53">
        <f t="shared" si="6"/>
        <v>1</v>
      </c>
    </row>
    <row r="318" spans="2:18" x14ac:dyDescent="0.25">
      <c r="B318" s="48">
        <f>+'Metrics - Articles'!C317</f>
        <v>42300</v>
      </c>
      <c r="C318">
        <f>COUNTIF('Metrics - Articles'!F317,"*GPO (Partner, Ecosystem, Channels)*")</f>
        <v>0</v>
      </c>
      <c r="D318">
        <f>COUNTIF('Metrics - Articles'!F317,"*Office of the CEO*")</f>
        <v>0</v>
      </c>
      <c r="E318">
        <f>COUNTIF('Metrics - Articles'!F317,"*Services Delivery &amp; Support (go-lives and deployments) *")</f>
        <v>0</v>
      </c>
      <c r="F318">
        <f>COUNTIF('Metrics - Articles'!F317,"*Human Resources (SAP HR and employee stories)*")</f>
        <v>0</v>
      </c>
      <c r="G318">
        <f>COUNTIF('Metrics - Articles'!F317,"*P&amp;I (Research &amp; Development)*")</f>
        <v>0</v>
      </c>
      <c r="H318">
        <f>COUNTIF('Metrics - Articles'!F317,"*Business Network (Concur, Ariba, Fieldglass)*")</f>
        <v>0</v>
      </c>
      <c r="I318">
        <f>COUNTIF('Metrics - Articles'!F317,"*GCO – Regions*")</f>
        <v>0</v>
      </c>
      <c r="J318">
        <f>COUNTIF('Metrics - Articles'!F317,"*GCO – Platform Solutions*")</f>
        <v>0</v>
      </c>
      <c r="K318">
        <f>COUNTIF('Metrics - Articles'!F317,"*GCO – Industry Cloud *")</f>
        <v>1</v>
      </c>
      <c r="L318">
        <f>COUNTIF('Metrics - Articles'!F317,"*GCO – Customer Engagement &amp; Commerce (CRM &amp; hybris) *")</f>
        <v>0</v>
      </c>
      <c r="M318">
        <f>COUNTIF('Metrics - Articles'!F317,"*GCO – HR (SuccessFactors)*")</f>
        <v>0</v>
      </c>
      <c r="N318">
        <f>COUNTIF('Metrics - Articles'!F317,"*GCO – Services Sales*")</f>
        <v>1</v>
      </c>
      <c r="O318">
        <f>COUNTIF('Metrics - Articles'!F317,"*GCO – Other*")</f>
        <v>0</v>
      </c>
      <c r="P318">
        <f>COUNTIF('Metrics - Articles'!F317,"*Corporate*")</f>
        <v>0</v>
      </c>
      <c r="R318" s="53">
        <f t="shared" si="6"/>
        <v>2</v>
      </c>
    </row>
    <row r="319" spans="2:18" x14ac:dyDescent="0.25">
      <c r="B319" s="48">
        <f>+'Metrics - Articles'!C318</f>
        <v>42305</v>
      </c>
      <c r="C319">
        <f>COUNTIF('Metrics - Articles'!F318,"*GPO (Partner, Ecosystem, Channels)*")</f>
        <v>0</v>
      </c>
      <c r="D319">
        <f>COUNTIF('Metrics - Articles'!F318,"*Office of the CEO*")</f>
        <v>1</v>
      </c>
      <c r="E319">
        <f>COUNTIF('Metrics - Articles'!F318,"*Services Delivery &amp; Support (go-lives and deployments) *")</f>
        <v>0</v>
      </c>
      <c r="F319">
        <f>COUNTIF('Metrics - Articles'!F318,"*Human Resources (SAP HR and employee stories)*")</f>
        <v>0</v>
      </c>
      <c r="G319">
        <f>COUNTIF('Metrics - Articles'!F318,"*P&amp;I (Research &amp; Development)*")</f>
        <v>0</v>
      </c>
      <c r="H319">
        <f>COUNTIF('Metrics - Articles'!F318,"*Business Network (Concur, Ariba, Fieldglass)*")</f>
        <v>0</v>
      </c>
      <c r="I319">
        <f>COUNTIF('Metrics - Articles'!F318,"*GCO – Regions*")</f>
        <v>0</v>
      </c>
      <c r="J319">
        <f>COUNTIF('Metrics - Articles'!F318,"*GCO – Platform Solutions*")</f>
        <v>0</v>
      </c>
      <c r="K319">
        <f>COUNTIF('Metrics - Articles'!F318,"*GCO – Industry Cloud *")</f>
        <v>0</v>
      </c>
      <c r="L319">
        <f>COUNTIF('Metrics - Articles'!F318,"*GCO – Customer Engagement &amp; Commerce (CRM &amp; hybris) *")</f>
        <v>0</v>
      </c>
      <c r="M319">
        <f>COUNTIF('Metrics - Articles'!F318,"*GCO – HR (SuccessFactors)*")</f>
        <v>0</v>
      </c>
      <c r="N319">
        <f>COUNTIF('Metrics - Articles'!F318,"*GCO – Services Sales*")</f>
        <v>0</v>
      </c>
      <c r="O319">
        <f>COUNTIF('Metrics - Articles'!F318,"*GCO – Other*")</f>
        <v>0</v>
      </c>
      <c r="P319">
        <f>COUNTIF('Metrics - Articles'!F318,"*Corporate*")</f>
        <v>0</v>
      </c>
      <c r="R319" s="53">
        <f t="shared" si="6"/>
        <v>1</v>
      </c>
    </row>
    <row r="320" spans="2:18" x14ac:dyDescent="0.25">
      <c r="B320" s="48">
        <f>+'Metrics - Articles'!C319</f>
        <v>42309</v>
      </c>
      <c r="C320">
        <f>COUNTIF('Metrics - Articles'!F319,"*GPO (Partner, Ecosystem, Channels)*")</f>
        <v>0</v>
      </c>
      <c r="D320">
        <f>COUNTIF('Metrics - Articles'!F319,"*Office of the CEO*")</f>
        <v>0</v>
      </c>
      <c r="E320">
        <f>COUNTIF('Metrics - Articles'!F319,"*Services Delivery &amp; Support (go-lives and deployments) *")</f>
        <v>0</v>
      </c>
      <c r="F320">
        <f>COUNTIF('Metrics - Articles'!F319,"*Human Resources (SAP HR and employee stories)*")</f>
        <v>0</v>
      </c>
      <c r="G320">
        <f>COUNTIF('Metrics - Articles'!F319,"*P&amp;I (Research &amp; Development)*")</f>
        <v>0</v>
      </c>
      <c r="H320">
        <f>COUNTIF('Metrics - Articles'!F319,"*Business Network (Concur, Ariba, Fieldglass)*")</f>
        <v>0</v>
      </c>
      <c r="I320">
        <f>COUNTIF('Metrics - Articles'!F319,"*GCO – Regions*")</f>
        <v>0</v>
      </c>
      <c r="J320">
        <f>COUNTIF('Metrics - Articles'!F319,"*GCO – Platform Solutions*")</f>
        <v>0</v>
      </c>
      <c r="K320">
        <f>COUNTIF('Metrics - Articles'!F319,"*GCO – Industry Cloud *")</f>
        <v>0</v>
      </c>
      <c r="L320">
        <f>COUNTIF('Metrics - Articles'!F319,"*GCO – Customer Engagement &amp; Commerce (CRM &amp; hybris) *")</f>
        <v>0</v>
      </c>
      <c r="M320">
        <f>COUNTIF('Metrics - Articles'!F319,"*GCO – HR (SuccessFactors)*")</f>
        <v>0</v>
      </c>
      <c r="N320">
        <f>COUNTIF('Metrics - Articles'!F319,"*GCO – Services Sales*")</f>
        <v>0</v>
      </c>
      <c r="O320">
        <f>COUNTIF('Metrics - Articles'!F319,"*GCO – Other*")</f>
        <v>0</v>
      </c>
      <c r="P320">
        <f>COUNTIF('Metrics - Articles'!F319,"*Corporate*")</f>
        <v>1</v>
      </c>
      <c r="R320" s="53">
        <f t="shared" si="6"/>
        <v>1</v>
      </c>
    </row>
    <row r="321" spans="2:18" x14ac:dyDescent="0.25">
      <c r="B321" s="48">
        <f>+'Metrics - Articles'!C320</f>
        <v>42312</v>
      </c>
      <c r="C321">
        <f>COUNTIF('Metrics - Articles'!F320,"*GPO (Partner, Ecosystem, Channels)*")</f>
        <v>0</v>
      </c>
      <c r="D321">
        <f>COUNTIF('Metrics - Articles'!F320,"*Office of the CEO*")</f>
        <v>0</v>
      </c>
      <c r="E321">
        <f>COUNTIF('Metrics - Articles'!F320,"*Services Delivery &amp; Support (go-lives and deployments) *")</f>
        <v>0</v>
      </c>
      <c r="F321">
        <f>COUNTIF('Metrics - Articles'!F320,"*Human Resources (SAP HR and employee stories)*")</f>
        <v>0</v>
      </c>
      <c r="G321">
        <f>COUNTIF('Metrics - Articles'!F320,"*P&amp;I (Research &amp; Development)*")</f>
        <v>0</v>
      </c>
      <c r="H321">
        <f>COUNTIF('Metrics - Articles'!F320,"*Business Network (Concur, Ariba, Fieldglass)*")</f>
        <v>0</v>
      </c>
      <c r="I321">
        <f>COUNTIF('Metrics - Articles'!F320,"*GCO – Regions*")</f>
        <v>0</v>
      </c>
      <c r="J321">
        <f>COUNTIF('Metrics - Articles'!F320,"*GCO – Platform Solutions*")</f>
        <v>1</v>
      </c>
      <c r="K321">
        <f>COUNTIF('Metrics - Articles'!F320,"*GCO – Industry Cloud *")</f>
        <v>0</v>
      </c>
      <c r="L321">
        <f>COUNTIF('Metrics - Articles'!F320,"*GCO – Customer Engagement &amp; Commerce (CRM &amp; hybris) *")</f>
        <v>0</v>
      </c>
      <c r="M321">
        <f>COUNTIF('Metrics - Articles'!F320,"*GCO – HR (SuccessFactors)*")</f>
        <v>0</v>
      </c>
      <c r="N321">
        <f>COUNTIF('Metrics - Articles'!F320,"*GCO – Services Sales*")</f>
        <v>0</v>
      </c>
      <c r="O321">
        <f>COUNTIF('Metrics - Articles'!F320,"*GCO – Other*")</f>
        <v>0</v>
      </c>
      <c r="P321">
        <f>COUNTIF('Metrics - Articles'!F320,"*Corporate*")</f>
        <v>0</v>
      </c>
      <c r="R321" s="53">
        <f t="shared" si="6"/>
        <v>1</v>
      </c>
    </row>
    <row r="322" spans="2:18" x14ac:dyDescent="0.25">
      <c r="B322" s="48">
        <f>+'Metrics - Articles'!C321</f>
        <v>42312</v>
      </c>
      <c r="C322">
        <f>COUNTIF('Metrics - Articles'!F321,"*GPO (Partner, Ecosystem, Channels)*")</f>
        <v>0</v>
      </c>
      <c r="D322">
        <f>COUNTIF('Metrics - Articles'!F321,"*Office of the CEO*")</f>
        <v>0</v>
      </c>
      <c r="E322">
        <f>COUNTIF('Metrics - Articles'!F321,"*Services Delivery &amp; Support (go-lives and deployments) *")</f>
        <v>1</v>
      </c>
      <c r="F322">
        <f>COUNTIF('Metrics - Articles'!F321,"*Human Resources (SAP HR and employee stories)*")</f>
        <v>0</v>
      </c>
      <c r="G322">
        <f>COUNTIF('Metrics - Articles'!F321,"*P&amp;I (Research &amp; Development)*")</f>
        <v>0</v>
      </c>
      <c r="H322">
        <f>COUNTIF('Metrics - Articles'!F321,"*Business Network (Concur, Ariba, Fieldglass)*")</f>
        <v>0</v>
      </c>
      <c r="I322">
        <f>COUNTIF('Metrics - Articles'!F321,"*GCO – Regions*")</f>
        <v>0</v>
      </c>
      <c r="J322">
        <f>COUNTIF('Metrics - Articles'!F321,"*GCO – Platform Solutions*")</f>
        <v>0</v>
      </c>
      <c r="K322">
        <f>COUNTIF('Metrics - Articles'!F321,"*GCO – Industry Cloud *")</f>
        <v>0</v>
      </c>
      <c r="L322">
        <f>COUNTIF('Metrics - Articles'!F321,"*GCO – Customer Engagement &amp; Commerce (CRM &amp; hybris) *")</f>
        <v>0</v>
      </c>
      <c r="M322">
        <f>COUNTIF('Metrics - Articles'!F321,"*GCO – HR (SuccessFactors)*")</f>
        <v>0</v>
      </c>
      <c r="N322">
        <f>COUNTIF('Metrics - Articles'!F321,"*GCO – Services Sales*")</f>
        <v>0</v>
      </c>
      <c r="O322">
        <f>COUNTIF('Metrics - Articles'!F321,"*GCO – Other*")</f>
        <v>0</v>
      </c>
      <c r="P322">
        <f>COUNTIF('Metrics - Articles'!F321,"*Corporate*")</f>
        <v>0</v>
      </c>
      <c r="R322" s="53">
        <f t="shared" si="6"/>
        <v>1</v>
      </c>
    </row>
    <row r="323" spans="2:18" x14ac:dyDescent="0.25">
      <c r="B323" s="48">
        <f>+'Metrics - Articles'!C322</f>
        <v>42314</v>
      </c>
      <c r="C323">
        <f>COUNTIF('Metrics - Articles'!F322,"*GPO (Partner, Ecosystem, Channels)*")</f>
        <v>0</v>
      </c>
      <c r="D323">
        <f>COUNTIF('Metrics - Articles'!F322,"*Office of the CEO*")</f>
        <v>0</v>
      </c>
      <c r="E323">
        <f>COUNTIF('Metrics - Articles'!F322,"*Services Delivery &amp; Support (go-lives and deployments) *")</f>
        <v>0</v>
      </c>
      <c r="F323">
        <f>COUNTIF('Metrics - Articles'!F322,"*Human Resources (SAP HR and employee stories)*")</f>
        <v>0</v>
      </c>
      <c r="G323">
        <f>COUNTIF('Metrics - Articles'!F322,"*P&amp;I (Research &amp; Development)*")</f>
        <v>0</v>
      </c>
      <c r="H323">
        <f>COUNTIF('Metrics - Articles'!F322,"*Business Network (Concur, Ariba, Fieldglass)*")</f>
        <v>0</v>
      </c>
      <c r="I323">
        <f>COUNTIF('Metrics - Articles'!F322,"*GCO – Regions*")</f>
        <v>0</v>
      </c>
      <c r="J323">
        <f>COUNTIF('Metrics - Articles'!F322,"*GCO – Platform Solutions*")</f>
        <v>0</v>
      </c>
      <c r="K323">
        <f>COUNTIF('Metrics - Articles'!F322,"*GCO – Industry Cloud *")</f>
        <v>0</v>
      </c>
      <c r="L323">
        <f>COUNTIF('Metrics - Articles'!F322,"*GCO – Customer Engagement &amp; Commerce (CRM &amp; hybris) *")</f>
        <v>0</v>
      </c>
      <c r="M323">
        <f>COUNTIF('Metrics - Articles'!F322,"*GCO – HR (SuccessFactors)*")</f>
        <v>0</v>
      </c>
      <c r="N323">
        <f>COUNTIF('Metrics - Articles'!F322,"*GCO – Services Sales*")</f>
        <v>0</v>
      </c>
      <c r="O323">
        <f>COUNTIF('Metrics - Articles'!F322,"*GCO – Other*")</f>
        <v>0</v>
      </c>
      <c r="P323">
        <f>COUNTIF('Metrics - Articles'!F322,"*Corporate*")</f>
        <v>1</v>
      </c>
      <c r="R323" s="53">
        <f t="shared" si="6"/>
        <v>1</v>
      </c>
    </row>
    <row r="324" spans="2:18" x14ac:dyDescent="0.25">
      <c r="B324" s="48">
        <f>+'Metrics - Articles'!C323</f>
        <v>42318</v>
      </c>
      <c r="C324">
        <f>COUNTIF('Metrics - Articles'!F323,"*GPO (Partner, Ecosystem, Channels)*")</f>
        <v>0</v>
      </c>
      <c r="D324">
        <f>COUNTIF('Metrics - Articles'!F323,"*Office of the CEO*")</f>
        <v>0</v>
      </c>
      <c r="E324">
        <f>COUNTIF('Metrics - Articles'!F323,"*Services Delivery &amp; Support (go-lives and deployments) *")</f>
        <v>0</v>
      </c>
      <c r="F324">
        <f>COUNTIF('Metrics - Articles'!F323,"*Human Resources (SAP HR and employee stories)*")</f>
        <v>0</v>
      </c>
      <c r="G324">
        <f>COUNTIF('Metrics - Articles'!F323,"*P&amp;I (Research &amp; Development)*")</f>
        <v>1</v>
      </c>
      <c r="H324">
        <f>COUNTIF('Metrics - Articles'!F323,"*Business Network (Concur, Ariba, Fieldglass)*")</f>
        <v>1</v>
      </c>
      <c r="I324">
        <f>COUNTIF('Metrics - Articles'!F323,"*GCO – Regions*")</f>
        <v>0</v>
      </c>
      <c r="J324">
        <f>COUNTIF('Metrics - Articles'!F323,"*GCO – Platform Solutions*")</f>
        <v>0</v>
      </c>
      <c r="K324">
        <f>COUNTIF('Metrics - Articles'!F323,"*GCO – Industry Cloud *")</f>
        <v>1</v>
      </c>
      <c r="L324">
        <f>COUNTIF('Metrics - Articles'!F323,"*GCO – Customer Engagement &amp; Commerce (CRM &amp; hybris) *")</f>
        <v>0</v>
      </c>
      <c r="M324">
        <f>COUNTIF('Metrics - Articles'!F323,"*GCO – HR (SuccessFactors)*")</f>
        <v>0</v>
      </c>
      <c r="N324">
        <f>COUNTIF('Metrics - Articles'!F323,"*GCO – Services Sales*")</f>
        <v>0</v>
      </c>
      <c r="O324">
        <f>COUNTIF('Metrics - Articles'!F323,"*GCO – Other*")</f>
        <v>0</v>
      </c>
      <c r="P324">
        <f>COUNTIF('Metrics - Articles'!F323,"*Corporate*")</f>
        <v>0</v>
      </c>
      <c r="R324" s="53">
        <f t="shared" si="6"/>
        <v>3</v>
      </c>
    </row>
    <row r="325" spans="2:18" x14ac:dyDescent="0.25">
      <c r="B325" s="48">
        <f>+'Metrics - Articles'!C324</f>
        <v>42318</v>
      </c>
      <c r="C325">
        <f>COUNTIF('Metrics - Articles'!F324,"*GPO (Partner, Ecosystem, Channels)*")</f>
        <v>0</v>
      </c>
      <c r="D325">
        <f>COUNTIF('Metrics - Articles'!F324,"*Office of the CEO*")</f>
        <v>0</v>
      </c>
      <c r="E325">
        <f>COUNTIF('Metrics - Articles'!F324,"*Services Delivery &amp; Support (go-lives and deployments) *")</f>
        <v>0</v>
      </c>
      <c r="F325">
        <f>COUNTIF('Metrics - Articles'!F324,"*Human Resources (SAP HR and employee stories)*")</f>
        <v>0</v>
      </c>
      <c r="G325">
        <f>COUNTIF('Metrics - Articles'!F324,"*P&amp;I (Research &amp; Development)*")</f>
        <v>0</v>
      </c>
      <c r="H325">
        <f>COUNTIF('Metrics - Articles'!F324,"*Business Network (Concur, Ariba, Fieldglass)*")</f>
        <v>0</v>
      </c>
      <c r="I325">
        <f>COUNTIF('Metrics - Articles'!F324,"*GCO – Regions*")</f>
        <v>0</v>
      </c>
      <c r="J325">
        <f>COUNTIF('Metrics - Articles'!F324,"*GCO – Platform Solutions*")</f>
        <v>0</v>
      </c>
      <c r="K325">
        <f>COUNTIF('Metrics - Articles'!F324,"*GCO – Industry Cloud *")</f>
        <v>1</v>
      </c>
      <c r="L325">
        <f>COUNTIF('Metrics - Articles'!F324,"*GCO – Customer Engagement &amp; Commerce (CRM &amp; hybris) *")</f>
        <v>0</v>
      </c>
      <c r="M325">
        <f>COUNTIF('Metrics - Articles'!F324,"*GCO – HR (SuccessFactors)*")</f>
        <v>0</v>
      </c>
      <c r="N325">
        <f>COUNTIF('Metrics - Articles'!F324,"*GCO – Services Sales*")</f>
        <v>0</v>
      </c>
      <c r="O325">
        <f>COUNTIF('Metrics - Articles'!F324,"*GCO – Other*")</f>
        <v>0</v>
      </c>
      <c r="P325">
        <f>COUNTIF('Metrics - Articles'!F324,"*Corporate*")</f>
        <v>0</v>
      </c>
      <c r="R325" s="53">
        <f t="shared" si="6"/>
        <v>1</v>
      </c>
    </row>
    <row r="326" spans="2:18" x14ac:dyDescent="0.25">
      <c r="B326" s="48">
        <f>+'Metrics - Articles'!C325</f>
        <v>42319</v>
      </c>
      <c r="C326">
        <f>COUNTIF('Metrics - Articles'!F325,"*GPO (Partner, Ecosystem, Channels)*")</f>
        <v>0</v>
      </c>
      <c r="D326">
        <f>COUNTIF('Metrics - Articles'!F325,"*Office of the CEO*")</f>
        <v>0</v>
      </c>
      <c r="E326">
        <f>COUNTIF('Metrics - Articles'!F325,"*Services Delivery &amp; Support (go-lives and deployments) *")</f>
        <v>0</v>
      </c>
      <c r="F326">
        <f>COUNTIF('Metrics - Articles'!F325,"*Human Resources (SAP HR and employee stories)*")</f>
        <v>0</v>
      </c>
      <c r="G326">
        <f>COUNTIF('Metrics - Articles'!F325,"*P&amp;I (Research &amp; Development)*")</f>
        <v>0</v>
      </c>
      <c r="H326">
        <f>COUNTIF('Metrics - Articles'!F325,"*Business Network (Concur, Ariba, Fieldglass)*")</f>
        <v>0</v>
      </c>
      <c r="I326">
        <f>COUNTIF('Metrics - Articles'!F325,"*GCO – Regions*")</f>
        <v>0</v>
      </c>
      <c r="J326">
        <f>COUNTIF('Metrics - Articles'!F325,"*GCO – Platform Solutions*")</f>
        <v>0</v>
      </c>
      <c r="K326">
        <f>COUNTIF('Metrics - Articles'!F325,"*GCO – Industry Cloud *")</f>
        <v>0</v>
      </c>
      <c r="L326">
        <f>COUNTIF('Metrics - Articles'!F325,"*GCO – Customer Engagement &amp; Commerce (CRM &amp; hybris) *")</f>
        <v>0</v>
      </c>
      <c r="M326">
        <f>COUNTIF('Metrics - Articles'!F325,"*GCO – HR (SuccessFactors)*")</f>
        <v>0</v>
      </c>
      <c r="N326">
        <f>COUNTIF('Metrics - Articles'!F325,"*GCO – Services Sales*")</f>
        <v>0</v>
      </c>
      <c r="O326">
        <f>COUNTIF('Metrics - Articles'!F325,"*GCO – Other*")</f>
        <v>1</v>
      </c>
      <c r="P326">
        <f>COUNTIF('Metrics - Articles'!F325,"*Corporate*")</f>
        <v>0</v>
      </c>
      <c r="R326" s="53">
        <f t="shared" si="6"/>
        <v>1</v>
      </c>
    </row>
    <row r="327" spans="2:18" x14ac:dyDescent="0.25">
      <c r="B327" s="48">
        <f>+'Metrics - Articles'!C326</f>
        <v>42320</v>
      </c>
      <c r="C327">
        <f>COUNTIF('Metrics - Articles'!F326,"*GPO (Partner, Ecosystem, Channels)*")</f>
        <v>0</v>
      </c>
      <c r="D327">
        <f>COUNTIF('Metrics - Articles'!F326,"*Office of the CEO*")</f>
        <v>0</v>
      </c>
      <c r="E327">
        <f>COUNTIF('Metrics - Articles'!F326,"*Services Delivery &amp; Support (go-lives and deployments) *")</f>
        <v>0</v>
      </c>
      <c r="F327">
        <f>COUNTIF('Metrics - Articles'!F326,"*Human Resources (SAP HR and employee stories)*")</f>
        <v>0</v>
      </c>
      <c r="G327">
        <f>COUNTIF('Metrics - Articles'!F326,"*P&amp;I (Research &amp; Development)*")</f>
        <v>0</v>
      </c>
      <c r="H327">
        <f>COUNTIF('Metrics - Articles'!F326,"*Business Network (Concur, Ariba, Fieldglass)*")</f>
        <v>0</v>
      </c>
      <c r="I327">
        <f>COUNTIF('Metrics - Articles'!F326,"*GCO – Regions*")</f>
        <v>0</v>
      </c>
      <c r="J327">
        <f>COUNTIF('Metrics - Articles'!F326,"*GCO – Platform Solutions*")</f>
        <v>0</v>
      </c>
      <c r="K327">
        <f>COUNTIF('Metrics - Articles'!F326,"*GCO – Industry Cloud *")</f>
        <v>0</v>
      </c>
      <c r="L327">
        <f>COUNTIF('Metrics - Articles'!F326,"*GCO – Customer Engagement &amp; Commerce (CRM &amp; hybris) *")</f>
        <v>0</v>
      </c>
      <c r="M327">
        <f>COUNTIF('Metrics - Articles'!F326,"*GCO – HR (SuccessFactors)*")</f>
        <v>0</v>
      </c>
      <c r="N327">
        <f>COUNTIF('Metrics - Articles'!F326,"*GCO – Services Sales*")</f>
        <v>0</v>
      </c>
      <c r="O327">
        <f>COUNTIF('Metrics - Articles'!F326,"*GCO – Other*")</f>
        <v>0</v>
      </c>
      <c r="P327">
        <f>COUNTIF('Metrics - Articles'!F326,"*Corporate*")</f>
        <v>1</v>
      </c>
      <c r="R327" s="53">
        <f t="shared" si="6"/>
        <v>1</v>
      </c>
    </row>
    <row r="328" spans="2:18" x14ac:dyDescent="0.25">
      <c r="B328" s="48">
        <f>+'Metrics - Articles'!C327</f>
        <v>42320</v>
      </c>
      <c r="C328">
        <f>COUNTIF('Metrics - Articles'!F327,"*GPO (Partner, Ecosystem, Channels)*")</f>
        <v>0</v>
      </c>
      <c r="D328">
        <f>COUNTIF('Metrics - Articles'!F327,"*Office of the CEO*")</f>
        <v>0</v>
      </c>
      <c r="E328">
        <f>COUNTIF('Metrics - Articles'!F327,"*Services Delivery &amp; Support (go-lives and deployments) *")</f>
        <v>0</v>
      </c>
      <c r="F328">
        <f>COUNTIF('Metrics - Articles'!F327,"*Human Resources (SAP HR and employee stories)*")</f>
        <v>0</v>
      </c>
      <c r="G328">
        <f>COUNTIF('Metrics - Articles'!F327,"*P&amp;I (Research &amp; Development)*")</f>
        <v>0</v>
      </c>
      <c r="H328">
        <f>COUNTIF('Metrics - Articles'!F327,"*Business Network (Concur, Ariba, Fieldglass)*")</f>
        <v>1</v>
      </c>
      <c r="I328">
        <f>COUNTIF('Metrics - Articles'!F327,"*GCO – Regions*")</f>
        <v>0</v>
      </c>
      <c r="J328">
        <f>COUNTIF('Metrics - Articles'!F327,"*GCO – Platform Solutions*")</f>
        <v>1</v>
      </c>
      <c r="K328">
        <f>COUNTIF('Metrics - Articles'!F327,"*GCO – Industry Cloud *")</f>
        <v>1</v>
      </c>
      <c r="L328">
        <f>COUNTIF('Metrics - Articles'!F327,"*GCO – Customer Engagement &amp; Commerce (CRM &amp; hybris) *")</f>
        <v>0</v>
      </c>
      <c r="M328">
        <f>COUNTIF('Metrics - Articles'!F327,"*GCO – HR (SuccessFactors)*")</f>
        <v>0</v>
      </c>
      <c r="N328">
        <f>COUNTIF('Metrics - Articles'!F327,"*GCO – Services Sales*")</f>
        <v>0</v>
      </c>
      <c r="O328">
        <f>COUNTIF('Metrics - Articles'!F327,"*GCO – Other*")</f>
        <v>0</v>
      </c>
      <c r="P328">
        <f>COUNTIF('Metrics - Articles'!F327,"*Corporate*")</f>
        <v>0</v>
      </c>
      <c r="R328" s="53">
        <f t="shared" si="6"/>
        <v>3</v>
      </c>
    </row>
    <row r="329" spans="2:18" x14ac:dyDescent="0.25">
      <c r="B329" s="48">
        <f>+'Metrics - Articles'!C328</f>
        <v>42322</v>
      </c>
      <c r="C329">
        <f>COUNTIF('Metrics - Articles'!F328,"*GPO (Partner, Ecosystem, Channels)*")</f>
        <v>0</v>
      </c>
      <c r="D329">
        <f>COUNTIF('Metrics - Articles'!F328,"*Office of the CEO*")</f>
        <v>0</v>
      </c>
      <c r="E329">
        <f>COUNTIF('Metrics - Articles'!F328,"*Services Delivery &amp; Support (go-lives and deployments) *")</f>
        <v>0</v>
      </c>
      <c r="F329">
        <f>COUNTIF('Metrics - Articles'!F328,"*Human Resources (SAP HR and employee stories)*")</f>
        <v>1</v>
      </c>
      <c r="G329">
        <f>COUNTIF('Metrics - Articles'!F328,"*P&amp;I (Research &amp; Development)*")</f>
        <v>0</v>
      </c>
      <c r="H329">
        <f>COUNTIF('Metrics - Articles'!F328,"*Business Network (Concur, Ariba, Fieldglass)*")</f>
        <v>0</v>
      </c>
      <c r="I329">
        <f>COUNTIF('Metrics - Articles'!F328,"*GCO – Regions*")</f>
        <v>0</v>
      </c>
      <c r="J329">
        <f>COUNTIF('Metrics - Articles'!F328,"*GCO – Platform Solutions*")</f>
        <v>0</v>
      </c>
      <c r="K329">
        <f>COUNTIF('Metrics - Articles'!F328,"*GCO – Industry Cloud *")</f>
        <v>0</v>
      </c>
      <c r="L329">
        <f>COUNTIF('Metrics - Articles'!F328,"*GCO – Customer Engagement &amp; Commerce (CRM &amp; hybris) *")</f>
        <v>0</v>
      </c>
      <c r="M329">
        <f>COUNTIF('Metrics - Articles'!F328,"*GCO – HR (SuccessFactors)*")</f>
        <v>0</v>
      </c>
      <c r="N329">
        <f>COUNTIF('Metrics - Articles'!F328,"*GCO – Services Sales*")</f>
        <v>0</v>
      </c>
      <c r="O329">
        <f>COUNTIF('Metrics - Articles'!F328,"*GCO – Other*")</f>
        <v>0</v>
      </c>
      <c r="P329">
        <f>COUNTIF('Metrics - Articles'!F328,"*Corporate*")</f>
        <v>1</v>
      </c>
      <c r="R329" s="53">
        <f t="shared" si="6"/>
        <v>2</v>
      </c>
    </row>
    <row r="330" spans="2:18" x14ac:dyDescent="0.25">
      <c r="B330" s="48">
        <f>+'Metrics - Articles'!C329</f>
        <v>42325</v>
      </c>
      <c r="C330">
        <f>COUNTIF('Metrics - Articles'!F329,"*GPO (Partner, Ecosystem, Channels)*")</f>
        <v>0</v>
      </c>
      <c r="D330">
        <f>COUNTIF('Metrics - Articles'!F329,"*Office of the CEO*")</f>
        <v>0</v>
      </c>
      <c r="E330">
        <f>COUNTIF('Metrics - Articles'!F329,"*Services Delivery &amp; Support (go-lives and deployments) *")</f>
        <v>0</v>
      </c>
      <c r="F330">
        <f>COUNTIF('Metrics - Articles'!F329,"*Human Resources (SAP HR and employee stories)*")</f>
        <v>1</v>
      </c>
      <c r="G330">
        <f>COUNTIF('Metrics - Articles'!F329,"*P&amp;I (Research &amp; Development)*")</f>
        <v>0</v>
      </c>
      <c r="H330">
        <f>COUNTIF('Metrics - Articles'!F329,"*Business Network (Concur, Ariba, Fieldglass)*")</f>
        <v>0</v>
      </c>
      <c r="I330">
        <f>COUNTIF('Metrics - Articles'!F329,"*GCO – Regions*")</f>
        <v>0</v>
      </c>
      <c r="J330">
        <f>COUNTIF('Metrics - Articles'!F329,"*GCO – Platform Solutions*")</f>
        <v>0</v>
      </c>
      <c r="K330">
        <f>COUNTIF('Metrics - Articles'!F329,"*GCO – Industry Cloud *")</f>
        <v>0</v>
      </c>
      <c r="L330">
        <f>COUNTIF('Metrics - Articles'!F329,"*GCO – Customer Engagement &amp; Commerce (CRM &amp; hybris) *")</f>
        <v>0</v>
      </c>
      <c r="M330">
        <f>COUNTIF('Metrics - Articles'!F329,"*GCO – HR (SuccessFactors)*")</f>
        <v>0</v>
      </c>
      <c r="N330">
        <f>COUNTIF('Metrics - Articles'!F329,"*GCO – Services Sales*")</f>
        <v>0</v>
      </c>
      <c r="O330">
        <f>COUNTIF('Metrics - Articles'!F329,"*GCO – Other*")</f>
        <v>0</v>
      </c>
      <c r="P330">
        <f>COUNTIF('Metrics - Articles'!F329,"*Corporate*")</f>
        <v>0</v>
      </c>
      <c r="R330" s="53">
        <f t="shared" ref="R330:R393" si="7">SUM(C330:Q330)</f>
        <v>1</v>
      </c>
    </row>
    <row r="331" spans="2:18" x14ac:dyDescent="0.25">
      <c r="B331" s="48">
        <f>+'Metrics - Articles'!C330</f>
        <v>42328</v>
      </c>
      <c r="C331">
        <f>COUNTIF('Metrics - Articles'!F330,"*GPO (Partner, Ecosystem, Channels)*")</f>
        <v>0</v>
      </c>
      <c r="D331">
        <f>COUNTIF('Metrics - Articles'!F330,"*Office of the CEO*")</f>
        <v>0</v>
      </c>
      <c r="E331">
        <f>COUNTIF('Metrics - Articles'!F330,"*Services Delivery &amp; Support (go-lives and deployments) *")</f>
        <v>0</v>
      </c>
      <c r="F331">
        <f>COUNTIF('Metrics - Articles'!F330,"*Human Resources (SAP HR and employee stories)*")</f>
        <v>1</v>
      </c>
      <c r="G331">
        <f>COUNTIF('Metrics - Articles'!F330,"*P&amp;I (Research &amp; Development)*")</f>
        <v>0</v>
      </c>
      <c r="H331">
        <f>COUNTIF('Metrics - Articles'!F330,"*Business Network (Concur, Ariba, Fieldglass)*")</f>
        <v>0</v>
      </c>
      <c r="I331">
        <f>COUNTIF('Metrics - Articles'!F330,"*GCO – Regions*")</f>
        <v>0</v>
      </c>
      <c r="J331">
        <f>COUNTIF('Metrics - Articles'!F330,"*GCO – Platform Solutions*")</f>
        <v>0</v>
      </c>
      <c r="K331">
        <f>COUNTIF('Metrics - Articles'!F330,"*GCO – Industry Cloud *")</f>
        <v>0</v>
      </c>
      <c r="L331">
        <f>COUNTIF('Metrics - Articles'!F330,"*GCO – Customer Engagement &amp; Commerce (CRM &amp; hybris) *")</f>
        <v>0</v>
      </c>
      <c r="M331">
        <f>COUNTIF('Metrics - Articles'!F330,"*GCO – HR (SuccessFactors)*")</f>
        <v>0</v>
      </c>
      <c r="N331">
        <f>COUNTIF('Metrics - Articles'!F330,"*GCO – Services Sales*")</f>
        <v>0</v>
      </c>
      <c r="O331">
        <f>COUNTIF('Metrics - Articles'!F330,"*GCO – Other*")</f>
        <v>0</v>
      </c>
      <c r="P331">
        <f>COUNTIF('Metrics - Articles'!F330,"*Corporate*")</f>
        <v>0</v>
      </c>
      <c r="R331" s="53">
        <f t="shared" si="7"/>
        <v>1</v>
      </c>
    </row>
    <row r="332" spans="2:18" x14ac:dyDescent="0.25">
      <c r="B332" s="48">
        <f>+'Metrics - Articles'!C331</f>
        <v>42331</v>
      </c>
      <c r="C332">
        <f>COUNTIF('Metrics - Articles'!F331,"*GPO (Partner, Ecosystem, Channels)*")</f>
        <v>0</v>
      </c>
      <c r="D332">
        <f>COUNTIF('Metrics - Articles'!F331,"*Office of the CEO*")</f>
        <v>0</v>
      </c>
      <c r="E332">
        <f>COUNTIF('Metrics - Articles'!F331,"*Services Delivery &amp; Support (go-lives and deployments) *")</f>
        <v>0</v>
      </c>
      <c r="F332">
        <f>COUNTIF('Metrics - Articles'!F331,"*Human Resources (SAP HR and employee stories)*")</f>
        <v>1</v>
      </c>
      <c r="G332">
        <f>COUNTIF('Metrics - Articles'!F331,"*P&amp;I (Research &amp; Development)*")</f>
        <v>0</v>
      </c>
      <c r="H332">
        <f>COUNTIF('Metrics - Articles'!F331,"*Business Network (Concur, Ariba, Fieldglass)*")</f>
        <v>0</v>
      </c>
      <c r="I332">
        <f>COUNTIF('Metrics - Articles'!F331,"*GCO – Regions*")</f>
        <v>0</v>
      </c>
      <c r="J332">
        <f>COUNTIF('Metrics - Articles'!F331,"*GCO – Platform Solutions*")</f>
        <v>0</v>
      </c>
      <c r="K332">
        <f>COUNTIF('Metrics - Articles'!F331,"*GCO – Industry Cloud *")</f>
        <v>0</v>
      </c>
      <c r="L332">
        <f>COUNTIF('Metrics - Articles'!F331,"*GCO – Customer Engagement &amp; Commerce (CRM &amp; hybris) *")</f>
        <v>0</v>
      </c>
      <c r="M332">
        <f>COUNTIF('Metrics - Articles'!F331,"*GCO – HR (SuccessFactors)*")</f>
        <v>0</v>
      </c>
      <c r="N332">
        <f>COUNTIF('Metrics - Articles'!F331,"*GCO – Services Sales*")</f>
        <v>0</v>
      </c>
      <c r="O332">
        <f>COUNTIF('Metrics - Articles'!F331,"*GCO – Other*")</f>
        <v>0</v>
      </c>
      <c r="P332">
        <f>COUNTIF('Metrics - Articles'!F331,"*Corporate*")</f>
        <v>0</v>
      </c>
      <c r="R332" s="53">
        <f t="shared" si="7"/>
        <v>1</v>
      </c>
    </row>
    <row r="333" spans="2:18" x14ac:dyDescent="0.25">
      <c r="B333" s="48">
        <f>+'Metrics - Articles'!C332</f>
        <v>42332</v>
      </c>
      <c r="C333">
        <f>COUNTIF('Metrics - Articles'!F332,"*GPO (Partner, Ecosystem, Channels)*")</f>
        <v>0</v>
      </c>
      <c r="D333">
        <f>COUNTIF('Metrics - Articles'!F332,"*Office of the CEO*")</f>
        <v>1</v>
      </c>
      <c r="E333">
        <f>COUNTIF('Metrics - Articles'!F332,"*Services Delivery &amp; Support (go-lives and deployments) *")</f>
        <v>0</v>
      </c>
      <c r="F333">
        <f>COUNTIF('Metrics - Articles'!F332,"*Human Resources (SAP HR and employee stories)*")</f>
        <v>1</v>
      </c>
      <c r="G333">
        <f>COUNTIF('Metrics - Articles'!F332,"*P&amp;I (Research &amp; Development)*")</f>
        <v>0</v>
      </c>
      <c r="H333">
        <f>COUNTIF('Metrics - Articles'!F332,"*Business Network (Concur, Ariba, Fieldglass)*")</f>
        <v>0</v>
      </c>
      <c r="I333">
        <f>COUNTIF('Metrics - Articles'!F332,"*GCO – Regions*")</f>
        <v>0</v>
      </c>
      <c r="J333">
        <f>COUNTIF('Metrics - Articles'!F332,"*GCO – Platform Solutions*")</f>
        <v>0</v>
      </c>
      <c r="K333">
        <f>COUNTIF('Metrics - Articles'!F332,"*GCO – Industry Cloud *")</f>
        <v>0</v>
      </c>
      <c r="L333">
        <f>COUNTIF('Metrics - Articles'!F332,"*GCO – Customer Engagement &amp; Commerce (CRM &amp; hybris) *")</f>
        <v>0</v>
      </c>
      <c r="M333">
        <f>COUNTIF('Metrics - Articles'!F332,"*GCO – HR (SuccessFactors)*")</f>
        <v>0</v>
      </c>
      <c r="N333">
        <f>COUNTIF('Metrics - Articles'!F332,"*GCO – Services Sales*")</f>
        <v>0</v>
      </c>
      <c r="O333">
        <f>COUNTIF('Metrics - Articles'!F332,"*GCO – Other*")</f>
        <v>0</v>
      </c>
      <c r="P333">
        <f>COUNTIF('Metrics - Articles'!F332,"*Corporate*")</f>
        <v>1</v>
      </c>
      <c r="R333" s="53">
        <f t="shared" si="7"/>
        <v>3</v>
      </c>
    </row>
    <row r="334" spans="2:18" x14ac:dyDescent="0.25">
      <c r="B334" s="48">
        <f>+'Metrics - Articles'!C333</f>
        <v>42332</v>
      </c>
      <c r="C334">
        <f>COUNTIF('Metrics - Articles'!F333,"*GPO (Partner, Ecosystem, Channels)*")</f>
        <v>0</v>
      </c>
      <c r="D334">
        <f>COUNTIF('Metrics - Articles'!F333,"*Office of the CEO*")</f>
        <v>0</v>
      </c>
      <c r="E334">
        <f>COUNTIF('Metrics - Articles'!F333,"*Services Delivery &amp; Support (go-lives and deployments) *")</f>
        <v>0</v>
      </c>
      <c r="F334">
        <f>COUNTIF('Metrics - Articles'!F333,"*Human Resources (SAP HR and employee stories)*")</f>
        <v>1</v>
      </c>
      <c r="G334">
        <f>COUNTIF('Metrics - Articles'!F333,"*P&amp;I (Research &amp; Development)*")</f>
        <v>0</v>
      </c>
      <c r="H334">
        <f>COUNTIF('Metrics - Articles'!F333,"*Business Network (Concur, Ariba, Fieldglass)*")</f>
        <v>0</v>
      </c>
      <c r="I334">
        <f>COUNTIF('Metrics - Articles'!F333,"*GCO – Regions*")</f>
        <v>0</v>
      </c>
      <c r="J334">
        <f>COUNTIF('Metrics - Articles'!F333,"*GCO – Platform Solutions*")</f>
        <v>0</v>
      </c>
      <c r="K334">
        <f>COUNTIF('Metrics - Articles'!F333,"*GCO – Industry Cloud *")</f>
        <v>0</v>
      </c>
      <c r="L334">
        <f>COUNTIF('Metrics - Articles'!F333,"*GCO – Customer Engagement &amp; Commerce (CRM &amp; hybris) *")</f>
        <v>0</v>
      </c>
      <c r="M334">
        <f>COUNTIF('Metrics - Articles'!F333,"*GCO – HR (SuccessFactors)*")</f>
        <v>0</v>
      </c>
      <c r="N334">
        <f>COUNTIF('Metrics - Articles'!F333,"*GCO – Services Sales*")</f>
        <v>0</v>
      </c>
      <c r="O334">
        <f>COUNTIF('Metrics - Articles'!F333,"*GCO – Other*")</f>
        <v>0</v>
      </c>
      <c r="P334">
        <f>COUNTIF('Metrics - Articles'!F333,"*Corporate*")</f>
        <v>0</v>
      </c>
      <c r="R334" s="53">
        <f t="shared" si="7"/>
        <v>1</v>
      </c>
    </row>
    <row r="335" spans="2:18" x14ac:dyDescent="0.25">
      <c r="B335" s="48">
        <f>+'Metrics - Articles'!C334</f>
        <v>42333</v>
      </c>
      <c r="C335">
        <f>COUNTIF('Metrics - Articles'!F334,"*GPO (Partner, Ecosystem, Channels)*")</f>
        <v>0</v>
      </c>
      <c r="D335">
        <f>COUNTIF('Metrics - Articles'!F334,"*Office of the CEO*")</f>
        <v>0</v>
      </c>
      <c r="E335">
        <f>COUNTIF('Metrics - Articles'!F334,"*Services Delivery &amp; Support (go-lives and deployments) *")</f>
        <v>1</v>
      </c>
      <c r="F335">
        <f>COUNTIF('Metrics - Articles'!F334,"*Human Resources (SAP HR and employee stories)*")</f>
        <v>0</v>
      </c>
      <c r="G335">
        <f>COUNTIF('Metrics - Articles'!F334,"*P&amp;I (Research &amp; Development)*")</f>
        <v>0</v>
      </c>
      <c r="H335">
        <f>COUNTIF('Metrics - Articles'!F334,"*Business Network (Concur, Ariba, Fieldglass)*")</f>
        <v>0</v>
      </c>
      <c r="I335">
        <f>COUNTIF('Metrics - Articles'!F334,"*GCO – Regions*")</f>
        <v>0</v>
      </c>
      <c r="J335">
        <f>COUNTIF('Metrics - Articles'!F334,"*GCO – Platform Solutions*")</f>
        <v>0</v>
      </c>
      <c r="K335">
        <f>COUNTIF('Metrics - Articles'!F334,"*GCO – Industry Cloud *")</f>
        <v>0</v>
      </c>
      <c r="L335">
        <f>COUNTIF('Metrics - Articles'!F334,"*GCO – Customer Engagement &amp; Commerce (CRM &amp; hybris) *")</f>
        <v>0</v>
      </c>
      <c r="M335">
        <f>COUNTIF('Metrics - Articles'!F334,"*GCO – HR (SuccessFactors)*")</f>
        <v>0</v>
      </c>
      <c r="N335">
        <f>COUNTIF('Metrics - Articles'!F334,"*GCO – Services Sales*")</f>
        <v>0</v>
      </c>
      <c r="O335">
        <f>COUNTIF('Metrics - Articles'!F334,"*GCO – Other*")</f>
        <v>0</v>
      </c>
      <c r="P335">
        <f>COUNTIF('Metrics - Articles'!F334,"*Corporate*")</f>
        <v>0</v>
      </c>
      <c r="R335" s="53">
        <f t="shared" si="7"/>
        <v>1</v>
      </c>
    </row>
    <row r="336" spans="2:18" x14ac:dyDescent="0.25">
      <c r="B336" s="48">
        <f>+'Metrics - Articles'!C335</f>
        <v>42333</v>
      </c>
      <c r="C336">
        <f>COUNTIF('Metrics - Articles'!F335,"*GPO (Partner, Ecosystem, Channels)*")</f>
        <v>0</v>
      </c>
      <c r="D336">
        <f>COUNTIF('Metrics - Articles'!F335,"*Office of the CEO*")</f>
        <v>0</v>
      </c>
      <c r="E336">
        <f>COUNTIF('Metrics - Articles'!F335,"*Services Delivery &amp; Support (go-lives and deployments) *")</f>
        <v>0</v>
      </c>
      <c r="F336">
        <f>COUNTIF('Metrics - Articles'!F335,"*Human Resources (SAP HR and employee stories)*")</f>
        <v>0</v>
      </c>
      <c r="G336">
        <f>COUNTIF('Metrics - Articles'!F335,"*P&amp;I (Research &amp; Development)*")</f>
        <v>0</v>
      </c>
      <c r="H336">
        <f>COUNTIF('Metrics - Articles'!F335,"*Business Network (Concur, Ariba, Fieldglass)*")</f>
        <v>1</v>
      </c>
      <c r="I336">
        <f>COUNTIF('Metrics - Articles'!F335,"*GCO – Regions*")</f>
        <v>0</v>
      </c>
      <c r="J336">
        <f>COUNTIF('Metrics - Articles'!F335,"*GCO – Platform Solutions*")</f>
        <v>1</v>
      </c>
      <c r="K336">
        <f>COUNTIF('Metrics - Articles'!F335,"*GCO – Industry Cloud *")</f>
        <v>0</v>
      </c>
      <c r="L336">
        <f>COUNTIF('Metrics - Articles'!F335,"*GCO – Customer Engagement &amp; Commerce (CRM &amp; hybris) *")</f>
        <v>0</v>
      </c>
      <c r="M336">
        <f>COUNTIF('Metrics - Articles'!F335,"*GCO – HR (SuccessFactors)*")</f>
        <v>0</v>
      </c>
      <c r="N336">
        <f>COUNTIF('Metrics - Articles'!F335,"*GCO – Services Sales*")</f>
        <v>0</v>
      </c>
      <c r="O336">
        <f>COUNTIF('Metrics - Articles'!F335,"*GCO – Other*")</f>
        <v>0</v>
      </c>
      <c r="P336">
        <f>COUNTIF('Metrics - Articles'!F335,"*Corporate*")</f>
        <v>0</v>
      </c>
      <c r="R336" s="53">
        <f t="shared" si="7"/>
        <v>2</v>
      </c>
    </row>
    <row r="337" spans="2:18" x14ac:dyDescent="0.25">
      <c r="B337" s="48">
        <f>+'Metrics - Articles'!C336</f>
        <v>42335</v>
      </c>
      <c r="C337">
        <f>COUNTIF('Metrics - Articles'!F336,"*GPO (Partner, Ecosystem, Channels)*")</f>
        <v>0</v>
      </c>
      <c r="D337">
        <f>COUNTIF('Metrics - Articles'!F336,"*Office of the CEO*")</f>
        <v>0</v>
      </c>
      <c r="E337">
        <f>COUNTIF('Metrics - Articles'!F336,"*Services Delivery &amp; Support (go-lives and deployments) *")</f>
        <v>0</v>
      </c>
      <c r="F337">
        <f>COUNTIF('Metrics - Articles'!F336,"*Human Resources (SAP HR and employee stories)*")</f>
        <v>1</v>
      </c>
      <c r="G337">
        <f>COUNTIF('Metrics - Articles'!F336,"*P&amp;I (Research &amp; Development)*")</f>
        <v>0</v>
      </c>
      <c r="H337">
        <f>COUNTIF('Metrics - Articles'!F336,"*Business Network (Concur, Ariba, Fieldglass)*")</f>
        <v>0</v>
      </c>
      <c r="I337">
        <f>COUNTIF('Metrics - Articles'!F336,"*GCO – Regions*")</f>
        <v>0</v>
      </c>
      <c r="J337">
        <f>COUNTIF('Metrics - Articles'!F336,"*GCO – Platform Solutions*")</f>
        <v>0</v>
      </c>
      <c r="K337">
        <f>COUNTIF('Metrics - Articles'!F336,"*GCO – Industry Cloud *")</f>
        <v>0</v>
      </c>
      <c r="L337">
        <f>COUNTIF('Metrics - Articles'!F336,"*GCO – Customer Engagement &amp; Commerce (CRM &amp; hybris) *")</f>
        <v>0</v>
      </c>
      <c r="M337">
        <f>COUNTIF('Metrics - Articles'!F336,"*GCO – HR (SuccessFactors)*")</f>
        <v>0</v>
      </c>
      <c r="N337">
        <f>COUNTIF('Metrics - Articles'!F336,"*GCO – Services Sales*")</f>
        <v>0</v>
      </c>
      <c r="O337">
        <f>COUNTIF('Metrics - Articles'!F336,"*GCO – Other*")</f>
        <v>0</v>
      </c>
      <c r="P337">
        <f>COUNTIF('Metrics - Articles'!F336,"*Corporate*")</f>
        <v>0</v>
      </c>
      <c r="R337" s="53">
        <f t="shared" si="7"/>
        <v>1</v>
      </c>
    </row>
    <row r="338" spans="2:18" x14ac:dyDescent="0.25">
      <c r="B338" s="48">
        <f>+'Metrics - Articles'!C337</f>
        <v>42335</v>
      </c>
      <c r="C338">
        <f>COUNTIF('Metrics - Articles'!F337,"*GPO (Partner, Ecosystem, Channels)*")</f>
        <v>0</v>
      </c>
      <c r="D338">
        <f>COUNTIF('Metrics - Articles'!F337,"*Office of the CEO*")</f>
        <v>0</v>
      </c>
      <c r="E338">
        <f>COUNTIF('Metrics - Articles'!F337,"*Services Delivery &amp; Support (go-lives and deployments) *")</f>
        <v>0</v>
      </c>
      <c r="F338">
        <f>COUNTIF('Metrics - Articles'!F337,"*Human Resources (SAP HR and employee stories)*")</f>
        <v>0</v>
      </c>
      <c r="G338">
        <f>COUNTIF('Metrics - Articles'!F337,"*P&amp;I (Research &amp; Development)*")</f>
        <v>0</v>
      </c>
      <c r="H338">
        <f>COUNTIF('Metrics - Articles'!F337,"*Business Network (Concur, Ariba, Fieldglass)*")</f>
        <v>0</v>
      </c>
      <c r="I338">
        <f>COUNTIF('Metrics - Articles'!F337,"*GCO – Regions*")</f>
        <v>0</v>
      </c>
      <c r="J338">
        <f>COUNTIF('Metrics - Articles'!F337,"*GCO – Platform Solutions*")</f>
        <v>0</v>
      </c>
      <c r="K338">
        <f>COUNTIF('Metrics - Articles'!F337,"*GCO – Industry Cloud *")</f>
        <v>0</v>
      </c>
      <c r="L338">
        <f>COUNTIF('Metrics - Articles'!F337,"*GCO – Customer Engagement &amp; Commerce (CRM &amp; hybris) *")</f>
        <v>0</v>
      </c>
      <c r="M338">
        <f>COUNTIF('Metrics - Articles'!F337,"*GCO – HR (SuccessFactors)*")</f>
        <v>0</v>
      </c>
      <c r="N338">
        <f>COUNTIF('Metrics - Articles'!F337,"*GCO – Services Sales*")</f>
        <v>0</v>
      </c>
      <c r="O338">
        <f>COUNTIF('Metrics - Articles'!F337,"*GCO – Other*")</f>
        <v>0</v>
      </c>
      <c r="P338">
        <f>COUNTIF('Metrics - Articles'!F337,"*Corporate*")</f>
        <v>1</v>
      </c>
      <c r="R338" s="53">
        <f t="shared" si="7"/>
        <v>1</v>
      </c>
    </row>
    <row r="339" spans="2:18" x14ac:dyDescent="0.25">
      <c r="B339" s="48">
        <f>+'Metrics - Articles'!C338</f>
        <v>42338</v>
      </c>
      <c r="C339">
        <f>COUNTIF('Metrics - Articles'!F338,"*GPO (Partner, Ecosystem, Channels)*")</f>
        <v>0</v>
      </c>
      <c r="D339">
        <f>COUNTIF('Metrics - Articles'!F338,"*Office of the CEO*")</f>
        <v>0</v>
      </c>
      <c r="E339">
        <f>COUNTIF('Metrics - Articles'!F338,"*Services Delivery &amp; Support (go-lives and deployments) *")</f>
        <v>0</v>
      </c>
      <c r="F339">
        <f>COUNTIF('Metrics - Articles'!F338,"*Human Resources (SAP HR and employee stories)*")</f>
        <v>0</v>
      </c>
      <c r="G339">
        <f>COUNTIF('Metrics - Articles'!F338,"*P&amp;I (Research &amp; Development)*")</f>
        <v>0</v>
      </c>
      <c r="H339">
        <f>COUNTIF('Metrics - Articles'!F338,"*Business Network (Concur, Ariba, Fieldglass)*")</f>
        <v>0</v>
      </c>
      <c r="I339">
        <f>COUNTIF('Metrics - Articles'!F338,"*GCO – Regions*")</f>
        <v>0</v>
      </c>
      <c r="J339">
        <f>COUNTIF('Metrics - Articles'!F338,"*GCO – Platform Solutions*")</f>
        <v>0</v>
      </c>
      <c r="K339">
        <f>COUNTIF('Metrics - Articles'!F338,"*GCO – Industry Cloud *")</f>
        <v>0</v>
      </c>
      <c r="L339">
        <f>COUNTIF('Metrics - Articles'!F338,"*GCO – Customer Engagement &amp; Commerce (CRM &amp; hybris) *")</f>
        <v>0</v>
      </c>
      <c r="M339">
        <f>COUNTIF('Metrics - Articles'!F338,"*GCO – HR (SuccessFactors)*")</f>
        <v>0</v>
      </c>
      <c r="N339">
        <f>COUNTIF('Metrics - Articles'!F338,"*GCO – Services Sales*")</f>
        <v>0</v>
      </c>
      <c r="O339">
        <f>COUNTIF('Metrics - Articles'!F338,"*GCO – Other*")</f>
        <v>0</v>
      </c>
      <c r="P339">
        <f>COUNTIF('Metrics - Articles'!F338,"*Corporate*")</f>
        <v>1</v>
      </c>
      <c r="R339" s="53">
        <f t="shared" si="7"/>
        <v>1</v>
      </c>
    </row>
    <row r="340" spans="2:18" x14ac:dyDescent="0.25">
      <c r="B340" s="48">
        <f>+'Metrics - Articles'!C339</f>
        <v>42340</v>
      </c>
      <c r="C340">
        <f>COUNTIF('Metrics - Articles'!F339,"*GPO (Partner, Ecosystem, Channels)*")</f>
        <v>0</v>
      </c>
      <c r="D340">
        <f>COUNTIF('Metrics - Articles'!F339,"*Office of the CEO*")</f>
        <v>0</v>
      </c>
      <c r="E340">
        <f>COUNTIF('Metrics - Articles'!F339,"*Services Delivery &amp; Support (go-lives and deployments) *")</f>
        <v>0</v>
      </c>
      <c r="F340">
        <f>COUNTIF('Metrics - Articles'!F339,"*Human Resources (SAP HR and employee stories)*")</f>
        <v>0</v>
      </c>
      <c r="G340">
        <f>COUNTIF('Metrics - Articles'!F339,"*P&amp;I (Research &amp; Development)*")</f>
        <v>0</v>
      </c>
      <c r="H340">
        <f>COUNTIF('Metrics - Articles'!F339,"*Business Network (Concur, Ariba, Fieldglass)*")</f>
        <v>0</v>
      </c>
      <c r="I340">
        <f>COUNTIF('Metrics - Articles'!F339,"*GCO – Regions*")</f>
        <v>0</v>
      </c>
      <c r="J340">
        <f>COUNTIF('Metrics - Articles'!F339,"*GCO – Platform Solutions*")</f>
        <v>1</v>
      </c>
      <c r="K340">
        <f>COUNTIF('Metrics - Articles'!F339,"*GCO – Industry Cloud *")</f>
        <v>1</v>
      </c>
      <c r="L340">
        <f>COUNTIF('Metrics - Articles'!F339,"*GCO – Customer Engagement &amp; Commerce (CRM &amp; hybris) *")</f>
        <v>0</v>
      </c>
      <c r="M340">
        <f>COUNTIF('Metrics - Articles'!F339,"*GCO – HR (SuccessFactors)*")</f>
        <v>0</v>
      </c>
      <c r="N340">
        <f>COUNTIF('Metrics - Articles'!F339,"*GCO – Services Sales*")</f>
        <v>0</v>
      </c>
      <c r="O340">
        <f>COUNTIF('Metrics - Articles'!F339,"*GCO – Other*")</f>
        <v>0</v>
      </c>
      <c r="P340">
        <f>COUNTIF('Metrics - Articles'!F339,"*Corporate*")</f>
        <v>0</v>
      </c>
      <c r="R340" s="53">
        <f t="shared" si="7"/>
        <v>2</v>
      </c>
    </row>
    <row r="341" spans="2:18" x14ac:dyDescent="0.25">
      <c r="B341" s="48">
        <f>+'Metrics - Articles'!C340</f>
        <v>42341</v>
      </c>
      <c r="C341">
        <f>COUNTIF('Metrics - Articles'!F340,"*GPO (Partner, Ecosystem, Channels)*")</f>
        <v>0</v>
      </c>
      <c r="D341">
        <f>COUNTIF('Metrics - Articles'!F340,"*Office of the CEO*")</f>
        <v>0</v>
      </c>
      <c r="E341">
        <f>COUNTIF('Metrics - Articles'!F340,"*Services Delivery &amp; Support (go-lives and deployments) *")</f>
        <v>0</v>
      </c>
      <c r="F341">
        <f>COUNTIF('Metrics - Articles'!F340,"*Human Resources (SAP HR and employee stories)*")</f>
        <v>0</v>
      </c>
      <c r="G341">
        <f>COUNTIF('Metrics - Articles'!F340,"*P&amp;I (Research &amp; Development)*")</f>
        <v>1</v>
      </c>
      <c r="H341">
        <f>COUNTIF('Metrics - Articles'!F340,"*Business Network (Concur, Ariba, Fieldglass)*")</f>
        <v>0</v>
      </c>
      <c r="I341">
        <f>COUNTIF('Metrics - Articles'!F340,"*GCO – Regions*")</f>
        <v>0</v>
      </c>
      <c r="J341">
        <f>COUNTIF('Metrics - Articles'!F340,"*GCO – Platform Solutions*")</f>
        <v>0</v>
      </c>
      <c r="K341">
        <f>COUNTIF('Metrics - Articles'!F340,"*GCO – Industry Cloud *")</f>
        <v>0</v>
      </c>
      <c r="L341">
        <f>COUNTIF('Metrics - Articles'!F340,"*GCO – Customer Engagement &amp; Commerce (CRM &amp; hybris) *")</f>
        <v>0</v>
      </c>
      <c r="M341">
        <f>COUNTIF('Metrics - Articles'!F340,"*GCO – HR (SuccessFactors)*")</f>
        <v>0</v>
      </c>
      <c r="N341">
        <f>COUNTIF('Metrics - Articles'!F340,"*GCO – Services Sales*")</f>
        <v>0</v>
      </c>
      <c r="O341">
        <f>COUNTIF('Metrics - Articles'!F340,"*GCO – Other*")</f>
        <v>0</v>
      </c>
      <c r="P341">
        <f>COUNTIF('Metrics - Articles'!F340,"*Corporate*")</f>
        <v>0</v>
      </c>
      <c r="R341" s="53">
        <f t="shared" si="7"/>
        <v>1</v>
      </c>
    </row>
    <row r="342" spans="2:18" x14ac:dyDescent="0.25">
      <c r="B342" s="48">
        <f>+'Metrics - Articles'!C341</f>
        <v>42341</v>
      </c>
      <c r="C342">
        <f>COUNTIF('Metrics - Articles'!F341,"*GPO (Partner, Ecosystem, Channels)*")</f>
        <v>0</v>
      </c>
      <c r="D342">
        <f>COUNTIF('Metrics - Articles'!F341,"*Office of the CEO*")</f>
        <v>0</v>
      </c>
      <c r="E342">
        <f>COUNTIF('Metrics - Articles'!F341,"*Services Delivery &amp; Support (go-lives and deployments) *")</f>
        <v>0</v>
      </c>
      <c r="F342">
        <f>COUNTIF('Metrics - Articles'!F341,"*Human Resources (SAP HR and employee stories)*")</f>
        <v>0</v>
      </c>
      <c r="G342">
        <f>COUNTIF('Metrics - Articles'!F341,"*P&amp;I (Research &amp; Development)*")</f>
        <v>0</v>
      </c>
      <c r="H342">
        <f>COUNTIF('Metrics - Articles'!F341,"*Business Network (Concur, Ariba, Fieldglass)*")</f>
        <v>0</v>
      </c>
      <c r="I342">
        <f>COUNTIF('Metrics - Articles'!F341,"*GCO – Regions*")</f>
        <v>0</v>
      </c>
      <c r="J342">
        <f>COUNTIF('Metrics - Articles'!F341,"*GCO – Platform Solutions*")</f>
        <v>0</v>
      </c>
      <c r="K342">
        <f>COUNTIF('Metrics - Articles'!F341,"*GCO – Industry Cloud *")</f>
        <v>1</v>
      </c>
      <c r="L342">
        <f>COUNTIF('Metrics - Articles'!F341,"*GCO – Customer Engagement &amp; Commerce (CRM &amp; hybris) *")</f>
        <v>0</v>
      </c>
      <c r="M342">
        <f>COUNTIF('Metrics - Articles'!F341,"*GCO – HR (SuccessFactors)*")</f>
        <v>0</v>
      </c>
      <c r="N342">
        <f>COUNTIF('Metrics - Articles'!F341,"*GCO – Services Sales*")</f>
        <v>0</v>
      </c>
      <c r="O342">
        <f>COUNTIF('Metrics - Articles'!F341,"*GCO – Other*")</f>
        <v>0</v>
      </c>
      <c r="P342">
        <f>COUNTIF('Metrics - Articles'!F341,"*Corporate*")</f>
        <v>0</v>
      </c>
      <c r="R342" s="53">
        <f t="shared" si="7"/>
        <v>1</v>
      </c>
    </row>
    <row r="343" spans="2:18" x14ac:dyDescent="0.25">
      <c r="B343" s="48">
        <f>+'Metrics - Articles'!C342</f>
        <v>42342</v>
      </c>
      <c r="C343">
        <f>COUNTIF('Metrics - Articles'!F342,"*GPO (Partner, Ecosystem, Channels)*")</f>
        <v>0</v>
      </c>
      <c r="D343">
        <f>COUNTIF('Metrics - Articles'!F342,"*Office of the CEO*")</f>
        <v>0</v>
      </c>
      <c r="E343">
        <f>COUNTIF('Metrics - Articles'!F342,"*Services Delivery &amp; Support (go-lives and deployments) *")</f>
        <v>0</v>
      </c>
      <c r="F343">
        <f>COUNTIF('Metrics - Articles'!F342,"*Human Resources (SAP HR and employee stories)*")</f>
        <v>1</v>
      </c>
      <c r="G343">
        <f>COUNTIF('Metrics - Articles'!F342,"*P&amp;I (Research &amp; Development)*")</f>
        <v>0</v>
      </c>
      <c r="H343">
        <f>COUNTIF('Metrics - Articles'!F342,"*Business Network (Concur, Ariba, Fieldglass)*")</f>
        <v>0</v>
      </c>
      <c r="I343">
        <f>COUNTIF('Metrics - Articles'!F342,"*GCO – Regions*")</f>
        <v>0</v>
      </c>
      <c r="J343">
        <f>COUNTIF('Metrics - Articles'!F342,"*GCO – Platform Solutions*")</f>
        <v>0</v>
      </c>
      <c r="K343">
        <f>COUNTIF('Metrics - Articles'!F342,"*GCO – Industry Cloud *")</f>
        <v>0</v>
      </c>
      <c r="L343">
        <f>COUNTIF('Metrics - Articles'!F342,"*GCO – Customer Engagement &amp; Commerce (CRM &amp; hybris) *")</f>
        <v>0</v>
      </c>
      <c r="M343">
        <f>COUNTIF('Metrics - Articles'!F342,"*GCO – HR (SuccessFactors)*")</f>
        <v>0</v>
      </c>
      <c r="N343">
        <f>COUNTIF('Metrics - Articles'!F342,"*GCO – Services Sales*")</f>
        <v>0</v>
      </c>
      <c r="O343">
        <f>COUNTIF('Metrics - Articles'!F342,"*GCO – Other*")</f>
        <v>0</v>
      </c>
      <c r="P343">
        <f>COUNTIF('Metrics - Articles'!F342,"*Corporate*")</f>
        <v>1</v>
      </c>
      <c r="R343" s="53">
        <f t="shared" si="7"/>
        <v>2</v>
      </c>
    </row>
    <row r="344" spans="2:18" x14ac:dyDescent="0.25">
      <c r="B344" s="48">
        <f>+'Metrics - Articles'!C343</f>
        <v>42342</v>
      </c>
      <c r="C344">
        <f>COUNTIF('Metrics - Articles'!F343,"*GPO (Partner, Ecosystem, Channels)*")</f>
        <v>0</v>
      </c>
      <c r="D344">
        <f>COUNTIF('Metrics - Articles'!F343,"*Office of the CEO*")</f>
        <v>0</v>
      </c>
      <c r="E344">
        <f>COUNTIF('Metrics - Articles'!F343,"*Services Delivery &amp; Support (go-lives and deployments) *")</f>
        <v>0</v>
      </c>
      <c r="F344">
        <f>COUNTIF('Metrics - Articles'!F343,"*Human Resources (SAP HR and employee stories)*")</f>
        <v>0</v>
      </c>
      <c r="G344">
        <f>COUNTIF('Metrics - Articles'!F343,"*P&amp;I (Research &amp; Development)*")</f>
        <v>0</v>
      </c>
      <c r="H344">
        <f>COUNTIF('Metrics - Articles'!F343,"*Business Network (Concur, Ariba, Fieldglass)*")</f>
        <v>0</v>
      </c>
      <c r="I344">
        <f>COUNTIF('Metrics - Articles'!F343,"*GCO – Regions*")</f>
        <v>0</v>
      </c>
      <c r="J344">
        <f>COUNTIF('Metrics - Articles'!F343,"*GCO – Platform Solutions*")</f>
        <v>0</v>
      </c>
      <c r="K344">
        <f>COUNTIF('Metrics - Articles'!F343,"*GCO – Industry Cloud *")</f>
        <v>0</v>
      </c>
      <c r="L344">
        <f>COUNTIF('Metrics - Articles'!F343,"*GCO – Customer Engagement &amp; Commerce (CRM &amp; hybris) *")</f>
        <v>0</v>
      </c>
      <c r="M344">
        <f>COUNTIF('Metrics - Articles'!F343,"*GCO – HR (SuccessFactors)*")</f>
        <v>0</v>
      </c>
      <c r="N344">
        <f>COUNTIF('Metrics - Articles'!F343,"*GCO – Services Sales*")</f>
        <v>0</v>
      </c>
      <c r="O344">
        <f>COUNTIF('Metrics - Articles'!F343,"*GCO – Other*")</f>
        <v>0</v>
      </c>
      <c r="P344">
        <f>COUNTIF('Metrics - Articles'!F343,"*Corporate*")</f>
        <v>1</v>
      </c>
      <c r="R344" s="53">
        <f t="shared" si="7"/>
        <v>1</v>
      </c>
    </row>
    <row r="345" spans="2:18" x14ac:dyDescent="0.25">
      <c r="B345" s="48">
        <f>+'Metrics - Articles'!C344</f>
        <v>42343</v>
      </c>
      <c r="C345">
        <f>COUNTIF('Metrics - Articles'!F344,"*GPO (Partner, Ecosystem, Channels)*")</f>
        <v>0</v>
      </c>
      <c r="D345">
        <f>COUNTIF('Metrics - Articles'!F344,"*Office of the CEO*")</f>
        <v>0</v>
      </c>
      <c r="E345">
        <f>COUNTIF('Metrics - Articles'!F344,"*Services Delivery &amp; Support (go-lives and deployments) *")</f>
        <v>0</v>
      </c>
      <c r="F345">
        <f>COUNTIF('Metrics - Articles'!F344,"*Human Resources (SAP HR and employee stories)*")</f>
        <v>0</v>
      </c>
      <c r="G345">
        <f>COUNTIF('Metrics - Articles'!F344,"*P&amp;I (Research &amp; Development)*")</f>
        <v>0</v>
      </c>
      <c r="H345">
        <f>COUNTIF('Metrics - Articles'!F344,"*Business Network (Concur, Ariba, Fieldglass)*")</f>
        <v>0</v>
      </c>
      <c r="I345">
        <f>COUNTIF('Metrics - Articles'!F344,"*GCO – Regions*")</f>
        <v>0</v>
      </c>
      <c r="J345">
        <f>COUNTIF('Metrics - Articles'!F344,"*GCO – Platform Solutions*")</f>
        <v>1</v>
      </c>
      <c r="K345">
        <f>COUNTIF('Metrics - Articles'!F344,"*GCO – Industry Cloud *")</f>
        <v>0</v>
      </c>
      <c r="L345">
        <f>COUNTIF('Metrics - Articles'!F344,"*GCO – Customer Engagement &amp; Commerce (CRM &amp; hybris) *")</f>
        <v>0</v>
      </c>
      <c r="M345">
        <f>COUNTIF('Metrics - Articles'!F344,"*GCO – HR (SuccessFactors)*")</f>
        <v>0</v>
      </c>
      <c r="N345">
        <f>COUNTIF('Metrics - Articles'!F344,"*GCO – Services Sales*")</f>
        <v>0</v>
      </c>
      <c r="O345">
        <f>COUNTIF('Metrics - Articles'!F344,"*GCO – Other*")</f>
        <v>0</v>
      </c>
      <c r="P345">
        <f>COUNTIF('Metrics - Articles'!F344,"*Corporate*")</f>
        <v>0</v>
      </c>
      <c r="R345" s="53">
        <f t="shared" si="7"/>
        <v>1</v>
      </c>
    </row>
    <row r="346" spans="2:18" x14ac:dyDescent="0.25">
      <c r="B346" s="48">
        <f>+'Metrics - Articles'!C345</f>
        <v>42345</v>
      </c>
      <c r="C346">
        <f>COUNTIF('Metrics - Articles'!F345,"*GPO (Partner, Ecosystem, Channels)*")</f>
        <v>0</v>
      </c>
      <c r="D346">
        <f>COUNTIF('Metrics - Articles'!F345,"*Office of the CEO*")</f>
        <v>0</v>
      </c>
      <c r="E346">
        <f>COUNTIF('Metrics - Articles'!F345,"*Services Delivery &amp; Support (go-lives and deployments) *")</f>
        <v>0</v>
      </c>
      <c r="F346">
        <f>COUNTIF('Metrics - Articles'!F345,"*Human Resources (SAP HR and employee stories)*")</f>
        <v>0</v>
      </c>
      <c r="G346">
        <f>COUNTIF('Metrics - Articles'!F345,"*P&amp;I (Research &amp; Development)*")</f>
        <v>0</v>
      </c>
      <c r="H346">
        <f>COUNTIF('Metrics - Articles'!F345,"*Business Network (Concur, Ariba, Fieldglass)*")</f>
        <v>0</v>
      </c>
      <c r="I346">
        <f>COUNTIF('Metrics - Articles'!F345,"*GCO – Regions*")</f>
        <v>0</v>
      </c>
      <c r="J346">
        <f>COUNTIF('Metrics - Articles'!F345,"*GCO – Platform Solutions*")</f>
        <v>1</v>
      </c>
      <c r="K346">
        <f>COUNTIF('Metrics - Articles'!F345,"*GCO – Industry Cloud *")</f>
        <v>0</v>
      </c>
      <c r="L346">
        <f>COUNTIF('Metrics - Articles'!F345,"*GCO – Customer Engagement &amp; Commerce (CRM &amp; hybris) *")</f>
        <v>0</v>
      </c>
      <c r="M346">
        <f>COUNTIF('Metrics - Articles'!F345,"*GCO – HR (SuccessFactors)*")</f>
        <v>0</v>
      </c>
      <c r="N346">
        <f>COUNTIF('Metrics - Articles'!F345,"*GCO – Services Sales*")</f>
        <v>0</v>
      </c>
      <c r="O346">
        <f>COUNTIF('Metrics - Articles'!F345,"*GCO – Other*")</f>
        <v>0</v>
      </c>
      <c r="P346">
        <f>COUNTIF('Metrics - Articles'!F345,"*Corporate*")</f>
        <v>0</v>
      </c>
      <c r="R346" s="53">
        <f t="shared" si="7"/>
        <v>1</v>
      </c>
    </row>
    <row r="347" spans="2:18" x14ac:dyDescent="0.25">
      <c r="B347" s="48">
        <f>+'Metrics - Articles'!C346</f>
        <v>42345</v>
      </c>
      <c r="C347">
        <f>COUNTIF('Metrics - Articles'!F346,"*GPO (Partner, Ecosystem, Channels)*")</f>
        <v>0</v>
      </c>
      <c r="D347">
        <f>COUNTIF('Metrics - Articles'!F346,"*Office of the CEO*")</f>
        <v>0</v>
      </c>
      <c r="E347">
        <f>COUNTIF('Metrics - Articles'!F346,"*Services Delivery &amp; Support (go-lives and deployments) *")</f>
        <v>0</v>
      </c>
      <c r="F347">
        <f>COUNTIF('Metrics - Articles'!F346,"*Human Resources (SAP HR and employee stories)*")</f>
        <v>0</v>
      </c>
      <c r="G347">
        <f>COUNTIF('Metrics - Articles'!F346,"*P&amp;I (Research &amp; Development)*")</f>
        <v>0</v>
      </c>
      <c r="H347">
        <f>COUNTIF('Metrics - Articles'!F346,"*Business Network (Concur, Ariba, Fieldglass)*")</f>
        <v>0</v>
      </c>
      <c r="I347">
        <f>COUNTIF('Metrics - Articles'!F346,"*GCO – Regions*")</f>
        <v>0</v>
      </c>
      <c r="J347">
        <f>COUNTIF('Metrics - Articles'!F346,"*GCO – Platform Solutions*")</f>
        <v>0</v>
      </c>
      <c r="K347">
        <f>COUNTIF('Metrics - Articles'!F346,"*GCO – Industry Cloud *")</f>
        <v>1</v>
      </c>
      <c r="L347">
        <f>COUNTIF('Metrics - Articles'!F346,"*GCO – Customer Engagement &amp; Commerce (CRM &amp; hybris) *")</f>
        <v>0</v>
      </c>
      <c r="M347">
        <f>COUNTIF('Metrics - Articles'!F346,"*GCO – HR (SuccessFactors)*")</f>
        <v>0</v>
      </c>
      <c r="N347">
        <f>COUNTIF('Metrics - Articles'!F346,"*GCO – Services Sales*")</f>
        <v>0</v>
      </c>
      <c r="O347">
        <f>COUNTIF('Metrics - Articles'!F346,"*GCO – Other*")</f>
        <v>0</v>
      </c>
      <c r="P347">
        <f>COUNTIF('Metrics - Articles'!F346,"*Corporate*")</f>
        <v>1</v>
      </c>
      <c r="R347" s="53">
        <f t="shared" si="7"/>
        <v>2</v>
      </c>
    </row>
    <row r="348" spans="2:18" x14ac:dyDescent="0.25">
      <c r="B348" s="48">
        <f>+'Metrics - Articles'!C347</f>
        <v>42346</v>
      </c>
      <c r="C348">
        <f>COUNTIF('Metrics - Articles'!F347,"*GPO (Partner, Ecosystem, Channels)*")</f>
        <v>0</v>
      </c>
      <c r="D348">
        <f>COUNTIF('Metrics - Articles'!F347,"*Office of the CEO*")</f>
        <v>0</v>
      </c>
      <c r="E348">
        <f>COUNTIF('Metrics - Articles'!F347,"*Services Delivery &amp; Support (go-lives and deployments) *")</f>
        <v>0</v>
      </c>
      <c r="F348">
        <f>COUNTIF('Metrics - Articles'!F347,"*Human Resources (SAP HR and employee stories)*")</f>
        <v>0</v>
      </c>
      <c r="G348">
        <f>COUNTIF('Metrics - Articles'!F347,"*P&amp;I (Research &amp; Development)*")</f>
        <v>0</v>
      </c>
      <c r="H348">
        <f>COUNTIF('Metrics - Articles'!F347,"*Business Network (Concur, Ariba, Fieldglass)*")</f>
        <v>0</v>
      </c>
      <c r="I348">
        <f>COUNTIF('Metrics - Articles'!F347,"*GCO – Regions*")</f>
        <v>0</v>
      </c>
      <c r="J348">
        <f>COUNTIF('Metrics - Articles'!F347,"*GCO – Platform Solutions*")</f>
        <v>1</v>
      </c>
      <c r="K348">
        <f>COUNTIF('Metrics - Articles'!F347,"*GCO – Industry Cloud *")</f>
        <v>1</v>
      </c>
      <c r="L348">
        <f>COUNTIF('Metrics - Articles'!F347,"*GCO – Customer Engagement &amp; Commerce (CRM &amp; hybris) *")</f>
        <v>0</v>
      </c>
      <c r="M348">
        <f>COUNTIF('Metrics - Articles'!F347,"*GCO – HR (SuccessFactors)*")</f>
        <v>0</v>
      </c>
      <c r="N348">
        <f>COUNTIF('Metrics - Articles'!F347,"*GCO – Services Sales*")</f>
        <v>0</v>
      </c>
      <c r="O348">
        <f>COUNTIF('Metrics - Articles'!F347,"*GCO – Other*")</f>
        <v>0</v>
      </c>
      <c r="P348">
        <f>COUNTIF('Metrics - Articles'!F347,"*Corporate*")</f>
        <v>0</v>
      </c>
      <c r="R348" s="53">
        <f t="shared" si="7"/>
        <v>2</v>
      </c>
    </row>
    <row r="349" spans="2:18" x14ac:dyDescent="0.25">
      <c r="B349" s="48">
        <f>+'Metrics - Articles'!C348</f>
        <v>42346</v>
      </c>
      <c r="C349">
        <f>COUNTIF('Metrics - Articles'!F348,"*GPO (Partner, Ecosystem, Channels)*")</f>
        <v>0</v>
      </c>
      <c r="D349">
        <f>COUNTIF('Metrics - Articles'!F348,"*Office of the CEO*")</f>
        <v>0</v>
      </c>
      <c r="E349">
        <f>COUNTIF('Metrics - Articles'!F348,"*Services Delivery &amp; Support (go-lives and deployments) *")</f>
        <v>0</v>
      </c>
      <c r="F349">
        <f>COUNTIF('Metrics - Articles'!F348,"*Human Resources (SAP HR and employee stories)*")</f>
        <v>0</v>
      </c>
      <c r="G349">
        <f>COUNTIF('Metrics - Articles'!F348,"*P&amp;I (Research &amp; Development)*")</f>
        <v>1</v>
      </c>
      <c r="H349">
        <f>COUNTIF('Metrics - Articles'!F348,"*Business Network (Concur, Ariba, Fieldglass)*")</f>
        <v>0</v>
      </c>
      <c r="I349">
        <f>COUNTIF('Metrics - Articles'!F348,"*GCO – Regions*")</f>
        <v>0</v>
      </c>
      <c r="J349">
        <f>COUNTIF('Metrics - Articles'!F348,"*GCO – Platform Solutions*")</f>
        <v>0</v>
      </c>
      <c r="K349">
        <f>COUNTIF('Metrics - Articles'!F348,"*GCO – Industry Cloud *")</f>
        <v>0</v>
      </c>
      <c r="L349">
        <f>COUNTIF('Metrics - Articles'!F348,"*GCO – Customer Engagement &amp; Commerce (CRM &amp; hybris) *")</f>
        <v>0</v>
      </c>
      <c r="M349">
        <f>COUNTIF('Metrics - Articles'!F348,"*GCO – HR (SuccessFactors)*")</f>
        <v>0</v>
      </c>
      <c r="N349">
        <f>COUNTIF('Metrics - Articles'!F348,"*GCO – Services Sales*")</f>
        <v>0</v>
      </c>
      <c r="O349">
        <f>COUNTIF('Metrics - Articles'!F348,"*GCO – Other*")</f>
        <v>0</v>
      </c>
      <c r="P349">
        <f>COUNTIF('Metrics - Articles'!F348,"*Corporate*")</f>
        <v>0</v>
      </c>
      <c r="R349" s="53">
        <f t="shared" si="7"/>
        <v>1</v>
      </c>
    </row>
    <row r="350" spans="2:18" x14ac:dyDescent="0.25">
      <c r="B350" s="48">
        <f>+'Metrics - Articles'!C349</f>
        <v>42347</v>
      </c>
      <c r="C350">
        <f>COUNTIF('Metrics - Articles'!F349,"*GPO (Partner, Ecosystem, Channels)*")</f>
        <v>0</v>
      </c>
      <c r="D350">
        <f>COUNTIF('Metrics - Articles'!F349,"*Office of the CEO*")</f>
        <v>0</v>
      </c>
      <c r="E350">
        <f>COUNTIF('Metrics - Articles'!F349,"*Services Delivery &amp; Support (go-lives and deployments) *")</f>
        <v>0</v>
      </c>
      <c r="F350">
        <f>COUNTIF('Metrics - Articles'!F349,"*Human Resources (SAP HR and employee stories)*")</f>
        <v>0</v>
      </c>
      <c r="G350">
        <f>COUNTIF('Metrics - Articles'!F349,"*P&amp;I (Research &amp; Development)*")</f>
        <v>1</v>
      </c>
      <c r="H350">
        <f>COUNTIF('Metrics - Articles'!F349,"*Business Network (Concur, Ariba, Fieldglass)*")</f>
        <v>0</v>
      </c>
      <c r="I350">
        <f>COUNTIF('Metrics - Articles'!F349,"*GCO – Regions*")</f>
        <v>0</v>
      </c>
      <c r="J350">
        <f>COUNTIF('Metrics - Articles'!F349,"*GCO – Platform Solutions*")</f>
        <v>0</v>
      </c>
      <c r="K350">
        <f>COUNTIF('Metrics - Articles'!F349,"*GCO – Industry Cloud *")</f>
        <v>1</v>
      </c>
      <c r="L350">
        <f>COUNTIF('Metrics - Articles'!F349,"*GCO – Customer Engagement &amp; Commerce (CRM &amp; hybris) *")</f>
        <v>0</v>
      </c>
      <c r="M350">
        <f>COUNTIF('Metrics - Articles'!F349,"*GCO – HR (SuccessFactors)*")</f>
        <v>0</v>
      </c>
      <c r="N350">
        <f>COUNTIF('Metrics - Articles'!F349,"*GCO – Services Sales*")</f>
        <v>0</v>
      </c>
      <c r="O350">
        <f>COUNTIF('Metrics - Articles'!F349,"*GCO – Other*")</f>
        <v>0</v>
      </c>
      <c r="P350">
        <f>COUNTIF('Metrics - Articles'!F349,"*Corporate*")</f>
        <v>0</v>
      </c>
      <c r="R350" s="53">
        <f t="shared" si="7"/>
        <v>2</v>
      </c>
    </row>
    <row r="351" spans="2:18" x14ac:dyDescent="0.25">
      <c r="B351" s="48">
        <f>+'Metrics - Articles'!C350</f>
        <v>42348</v>
      </c>
      <c r="C351">
        <f>COUNTIF('Metrics - Articles'!F350,"*GPO (Partner, Ecosystem, Channels)*")</f>
        <v>0</v>
      </c>
      <c r="D351">
        <f>COUNTIF('Metrics - Articles'!F350,"*Office of the CEO*")</f>
        <v>0</v>
      </c>
      <c r="E351">
        <f>COUNTIF('Metrics - Articles'!F350,"*Services Delivery &amp; Support (go-lives and deployments) *")</f>
        <v>0</v>
      </c>
      <c r="F351">
        <f>COUNTIF('Metrics - Articles'!F350,"*Human Resources (SAP HR and employee stories)*")</f>
        <v>0</v>
      </c>
      <c r="G351">
        <f>COUNTIF('Metrics - Articles'!F350,"*P&amp;I (Research &amp; Development)*")</f>
        <v>0</v>
      </c>
      <c r="H351">
        <f>COUNTIF('Metrics - Articles'!F350,"*Business Network (Concur, Ariba, Fieldglass)*")</f>
        <v>0</v>
      </c>
      <c r="I351">
        <f>COUNTIF('Metrics - Articles'!F350,"*GCO – Regions*")</f>
        <v>0</v>
      </c>
      <c r="J351">
        <f>COUNTIF('Metrics - Articles'!F350,"*GCO – Platform Solutions*")</f>
        <v>1</v>
      </c>
      <c r="K351">
        <f>COUNTIF('Metrics - Articles'!F350,"*GCO – Industry Cloud *")</f>
        <v>1</v>
      </c>
      <c r="L351">
        <f>COUNTIF('Metrics - Articles'!F350,"*GCO – Customer Engagement &amp; Commerce (CRM &amp; hybris) *")</f>
        <v>0</v>
      </c>
      <c r="M351">
        <f>COUNTIF('Metrics - Articles'!F350,"*GCO – HR (SuccessFactors)*")</f>
        <v>0</v>
      </c>
      <c r="N351">
        <f>COUNTIF('Metrics - Articles'!F350,"*GCO – Services Sales*")</f>
        <v>0</v>
      </c>
      <c r="O351">
        <f>COUNTIF('Metrics - Articles'!F350,"*GCO – Other*")</f>
        <v>0</v>
      </c>
      <c r="P351">
        <f>COUNTIF('Metrics - Articles'!F350,"*Corporate*")</f>
        <v>0</v>
      </c>
      <c r="R351" s="53">
        <f t="shared" si="7"/>
        <v>2</v>
      </c>
    </row>
    <row r="352" spans="2:18" x14ac:dyDescent="0.25">
      <c r="B352" s="48">
        <f>+'Metrics - Articles'!C351</f>
        <v>42349</v>
      </c>
      <c r="C352">
        <f>COUNTIF('Metrics - Articles'!F351,"*GPO (Partner, Ecosystem, Channels)*")</f>
        <v>0</v>
      </c>
      <c r="D352">
        <f>COUNTIF('Metrics - Articles'!F351,"*Office of the CEO*")</f>
        <v>0</v>
      </c>
      <c r="E352">
        <f>COUNTIF('Metrics - Articles'!F351,"*Services Delivery &amp; Support (go-lives and deployments) *")</f>
        <v>0</v>
      </c>
      <c r="F352">
        <f>COUNTIF('Metrics - Articles'!F351,"*Human Resources (SAP HR and employee stories)*")</f>
        <v>1</v>
      </c>
      <c r="G352">
        <f>COUNTIF('Metrics - Articles'!F351,"*P&amp;I (Research &amp; Development)*")</f>
        <v>0</v>
      </c>
      <c r="H352">
        <f>COUNTIF('Metrics - Articles'!F351,"*Business Network (Concur, Ariba, Fieldglass)*")</f>
        <v>0</v>
      </c>
      <c r="I352">
        <f>COUNTIF('Metrics - Articles'!F351,"*GCO – Regions*")</f>
        <v>0</v>
      </c>
      <c r="J352">
        <f>COUNTIF('Metrics - Articles'!F351,"*GCO – Platform Solutions*")</f>
        <v>0</v>
      </c>
      <c r="K352">
        <f>COUNTIF('Metrics - Articles'!F351,"*GCO – Industry Cloud *")</f>
        <v>0</v>
      </c>
      <c r="L352">
        <f>COUNTIF('Metrics - Articles'!F351,"*GCO – Customer Engagement &amp; Commerce (CRM &amp; hybris) *")</f>
        <v>0</v>
      </c>
      <c r="M352">
        <f>COUNTIF('Metrics - Articles'!F351,"*GCO – HR (SuccessFactors)*")</f>
        <v>0</v>
      </c>
      <c r="N352">
        <f>COUNTIF('Metrics - Articles'!F351,"*GCO – Services Sales*")</f>
        <v>0</v>
      </c>
      <c r="O352">
        <f>COUNTIF('Metrics - Articles'!F351,"*GCO – Other*")</f>
        <v>0</v>
      </c>
      <c r="P352">
        <f>COUNTIF('Metrics - Articles'!F351,"*Corporate*")</f>
        <v>0</v>
      </c>
      <c r="R352" s="53">
        <f t="shared" si="7"/>
        <v>1</v>
      </c>
    </row>
    <row r="353" spans="2:18" x14ac:dyDescent="0.25">
      <c r="B353" s="48">
        <f>+'Metrics - Articles'!C352</f>
        <v>42351</v>
      </c>
      <c r="C353">
        <f>COUNTIF('Metrics - Articles'!F352,"*GPO (Partner, Ecosystem, Channels)*")</f>
        <v>0</v>
      </c>
      <c r="D353">
        <f>COUNTIF('Metrics - Articles'!F352,"*Office of the CEO*")</f>
        <v>0</v>
      </c>
      <c r="E353">
        <f>COUNTIF('Metrics - Articles'!F352,"*Services Delivery &amp; Support (go-lives and deployments) *")</f>
        <v>0</v>
      </c>
      <c r="F353">
        <f>COUNTIF('Metrics - Articles'!F352,"*Human Resources (SAP HR and employee stories)*")</f>
        <v>0</v>
      </c>
      <c r="G353">
        <f>COUNTIF('Metrics - Articles'!F352,"*P&amp;I (Research &amp; Development)*")</f>
        <v>0</v>
      </c>
      <c r="H353">
        <f>COUNTIF('Metrics - Articles'!F352,"*Business Network (Concur, Ariba, Fieldglass)*")</f>
        <v>0</v>
      </c>
      <c r="I353">
        <f>COUNTIF('Metrics - Articles'!F352,"*GCO – Regions*")</f>
        <v>0</v>
      </c>
      <c r="J353">
        <f>COUNTIF('Metrics - Articles'!F352,"*GCO – Platform Solutions*")</f>
        <v>0</v>
      </c>
      <c r="K353">
        <f>COUNTIF('Metrics - Articles'!F352,"*GCO – Industry Cloud *")</f>
        <v>0</v>
      </c>
      <c r="L353">
        <f>COUNTIF('Metrics - Articles'!F352,"*GCO – Customer Engagement &amp; Commerce (CRM &amp; hybris) *")</f>
        <v>0</v>
      </c>
      <c r="M353">
        <f>COUNTIF('Metrics - Articles'!F352,"*GCO – HR (SuccessFactors)*")</f>
        <v>0</v>
      </c>
      <c r="N353">
        <f>COUNTIF('Metrics - Articles'!F352,"*GCO – Services Sales*")</f>
        <v>0</v>
      </c>
      <c r="O353">
        <f>COUNTIF('Metrics - Articles'!F352,"*GCO – Other*")</f>
        <v>0</v>
      </c>
      <c r="P353">
        <f>COUNTIF('Metrics - Articles'!F352,"*Corporate*")</f>
        <v>1</v>
      </c>
      <c r="R353" s="53">
        <f t="shared" si="7"/>
        <v>1</v>
      </c>
    </row>
    <row r="354" spans="2:18" x14ac:dyDescent="0.25">
      <c r="B354" s="48">
        <f>+'Metrics - Articles'!C353</f>
        <v>42352</v>
      </c>
      <c r="C354">
        <f>COUNTIF('Metrics - Articles'!F353,"*GPO (Partner, Ecosystem, Channels)*")</f>
        <v>0</v>
      </c>
      <c r="D354">
        <f>COUNTIF('Metrics - Articles'!F353,"*Office of the CEO*")</f>
        <v>0</v>
      </c>
      <c r="E354">
        <f>COUNTIF('Metrics - Articles'!F353,"*Services Delivery &amp; Support (go-lives and deployments) *")</f>
        <v>0</v>
      </c>
      <c r="F354">
        <f>COUNTIF('Metrics - Articles'!F353,"*Human Resources (SAP HR and employee stories)*")</f>
        <v>0</v>
      </c>
      <c r="G354">
        <f>COUNTIF('Metrics - Articles'!F353,"*P&amp;I (Research &amp; Development)*")</f>
        <v>0</v>
      </c>
      <c r="H354">
        <f>COUNTIF('Metrics - Articles'!F353,"*Business Network (Concur, Ariba, Fieldglass)*")</f>
        <v>0</v>
      </c>
      <c r="I354">
        <f>COUNTIF('Metrics - Articles'!F353,"*GCO – Regions*")</f>
        <v>0</v>
      </c>
      <c r="J354">
        <f>COUNTIF('Metrics - Articles'!F353,"*GCO – Platform Solutions*")</f>
        <v>0</v>
      </c>
      <c r="K354">
        <f>COUNTIF('Metrics - Articles'!F353,"*GCO – Industry Cloud *")</f>
        <v>1</v>
      </c>
      <c r="L354">
        <f>COUNTIF('Metrics - Articles'!F353,"*GCO – Customer Engagement &amp; Commerce (CRM &amp; hybris) *")</f>
        <v>0</v>
      </c>
      <c r="M354">
        <f>COUNTIF('Metrics - Articles'!F353,"*GCO – HR (SuccessFactors)*")</f>
        <v>0</v>
      </c>
      <c r="N354">
        <f>COUNTIF('Metrics - Articles'!F353,"*GCO – Services Sales*")</f>
        <v>0</v>
      </c>
      <c r="O354">
        <f>COUNTIF('Metrics - Articles'!F353,"*GCO – Other*")</f>
        <v>0</v>
      </c>
      <c r="P354">
        <f>COUNTIF('Metrics - Articles'!F353,"*Corporate*")</f>
        <v>0</v>
      </c>
      <c r="R354" s="53">
        <f t="shared" si="7"/>
        <v>1</v>
      </c>
    </row>
    <row r="355" spans="2:18" x14ac:dyDescent="0.25">
      <c r="B355" s="48">
        <f>+'Metrics - Articles'!C354</f>
        <v>42353</v>
      </c>
      <c r="C355">
        <f>COUNTIF('Metrics - Articles'!F354,"*GPO (Partner, Ecosystem, Channels)*")</f>
        <v>0</v>
      </c>
      <c r="D355">
        <f>COUNTIF('Metrics - Articles'!F354,"*Office of the CEO*")</f>
        <v>1</v>
      </c>
      <c r="E355">
        <f>COUNTIF('Metrics - Articles'!F354,"*Services Delivery &amp; Support (go-lives and deployments) *")</f>
        <v>0</v>
      </c>
      <c r="F355">
        <f>COUNTIF('Metrics - Articles'!F354,"*Human Resources (SAP HR and employee stories)*")</f>
        <v>1</v>
      </c>
      <c r="G355">
        <f>COUNTIF('Metrics - Articles'!F354,"*P&amp;I (Research &amp; Development)*")</f>
        <v>0</v>
      </c>
      <c r="H355">
        <f>COUNTIF('Metrics - Articles'!F354,"*Business Network (Concur, Ariba, Fieldglass)*")</f>
        <v>0</v>
      </c>
      <c r="I355">
        <f>COUNTIF('Metrics - Articles'!F354,"*GCO – Regions*")</f>
        <v>1</v>
      </c>
      <c r="J355">
        <f>COUNTIF('Metrics - Articles'!F354,"*GCO – Platform Solutions*")</f>
        <v>0</v>
      </c>
      <c r="K355">
        <f>COUNTIF('Metrics - Articles'!F354,"*GCO – Industry Cloud *")</f>
        <v>1</v>
      </c>
      <c r="L355">
        <f>COUNTIF('Metrics - Articles'!F354,"*GCO – Customer Engagement &amp; Commerce (CRM &amp; hybris) *")</f>
        <v>0</v>
      </c>
      <c r="M355">
        <f>COUNTIF('Metrics - Articles'!F354,"*GCO – HR (SuccessFactors)*")</f>
        <v>0</v>
      </c>
      <c r="N355">
        <f>COUNTIF('Metrics - Articles'!F354,"*GCO – Services Sales*")</f>
        <v>0</v>
      </c>
      <c r="O355">
        <f>COUNTIF('Metrics - Articles'!F354,"*GCO – Other*")</f>
        <v>0</v>
      </c>
      <c r="P355">
        <f>COUNTIF('Metrics - Articles'!F354,"*Corporate*")</f>
        <v>0</v>
      </c>
      <c r="R355" s="53">
        <f t="shared" si="7"/>
        <v>4</v>
      </c>
    </row>
    <row r="356" spans="2:18" x14ac:dyDescent="0.25">
      <c r="B356" s="48">
        <f>+'Metrics - Articles'!C355</f>
        <v>42353</v>
      </c>
      <c r="C356">
        <f>COUNTIF('Metrics - Articles'!F355,"*GPO (Partner, Ecosystem, Channels)*")</f>
        <v>0</v>
      </c>
      <c r="D356">
        <f>COUNTIF('Metrics - Articles'!F355,"*Office of the CEO*")</f>
        <v>1</v>
      </c>
      <c r="E356">
        <f>COUNTIF('Metrics - Articles'!F355,"*Services Delivery &amp; Support (go-lives and deployments) *")</f>
        <v>0</v>
      </c>
      <c r="F356">
        <f>COUNTIF('Metrics - Articles'!F355,"*Human Resources (SAP HR and employee stories)*")</f>
        <v>1</v>
      </c>
      <c r="G356">
        <f>COUNTIF('Metrics - Articles'!F355,"*P&amp;I (Research &amp; Development)*")</f>
        <v>0</v>
      </c>
      <c r="H356">
        <f>COUNTIF('Metrics - Articles'!F355,"*Business Network (Concur, Ariba, Fieldglass)*")</f>
        <v>0</v>
      </c>
      <c r="I356">
        <f>COUNTIF('Metrics - Articles'!F355,"*GCO – Regions*")</f>
        <v>1</v>
      </c>
      <c r="J356">
        <f>COUNTIF('Metrics - Articles'!F355,"*GCO – Platform Solutions*")</f>
        <v>1</v>
      </c>
      <c r="K356">
        <f>COUNTIF('Metrics - Articles'!F355,"*GCO – Industry Cloud *")</f>
        <v>0</v>
      </c>
      <c r="L356">
        <f>COUNTIF('Metrics - Articles'!F355,"*GCO – Customer Engagement &amp; Commerce (CRM &amp; hybris) *")</f>
        <v>0</v>
      </c>
      <c r="M356">
        <f>COUNTIF('Metrics - Articles'!F355,"*GCO – HR (SuccessFactors)*")</f>
        <v>0</v>
      </c>
      <c r="N356">
        <f>COUNTIF('Metrics - Articles'!F355,"*GCO – Services Sales*")</f>
        <v>0</v>
      </c>
      <c r="O356">
        <f>COUNTIF('Metrics - Articles'!F355,"*GCO – Other*")</f>
        <v>0</v>
      </c>
      <c r="P356">
        <f>COUNTIF('Metrics - Articles'!F355,"*Corporate*")</f>
        <v>0</v>
      </c>
      <c r="R356" s="53">
        <f t="shared" si="7"/>
        <v>4</v>
      </c>
    </row>
    <row r="357" spans="2:18" x14ac:dyDescent="0.25">
      <c r="B357" s="48">
        <f>+'Metrics - Articles'!C356</f>
        <v>42354</v>
      </c>
      <c r="C357">
        <f>COUNTIF('Metrics - Articles'!F356,"*GPO (Partner, Ecosystem, Channels)*")</f>
        <v>0</v>
      </c>
      <c r="D357">
        <f>COUNTIF('Metrics - Articles'!F356,"*Office of the CEO*")</f>
        <v>0</v>
      </c>
      <c r="E357">
        <f>COUNTIF('Metrics - Articles'!F356,"*Services Delivery &amp; Support (go-lives and deployments) *")</f>
        <v>1</v>
      </c>
      <c r="F357">
        <f>COUNTIF('Metrics - Articles'!F356,"*Human Resources (SAP HR and employee stories)*")</f>
        <v>0</v>
      </c>
      <c r="G357">
        <f>COUNTIF('Metrics - Articles'!F356,"*P&amp;I (Research &amp; Development)*")</f>
        <v>0</v>
      </c>
      <c r="H357">
        <f>COUNTIF('Metrics - Articles'!F356,"*Business Network (Concur, Ariba, Fieldglass)*")</f>
        <v>0</v>
      </c>
      <c r="I357">
        <f>COUNTIF('Metrics - Articles'!F356,"*GCO – Regions*")</f>
        <v>0</v>
      </c>
      <c r="J357">
        <f>COUNTIF('Metrics - Articles'!F356,"*GCO – Platform Solutions*")</f>
        <v>0</v>
      </c>
      <c r="K357">
        <f>COUNTIF('Metrics - Articles'!F356,"*GCO – Industry Cloud *")</f>
        <v>1</v>
      </c>
      <c r="L357">
        <f>COUNTIF('Metrics - Articles'!F356,"*GCO – Customer Engagement &amp; Commerce (CRM &amp; hybris) *")</f>
        <v>0</v>
      </c>
      <c r="M357">
        <f>COUNTIF('Metrics - Articles'!F356,"*GCO – HR (SuccessFactors)*")</f>
        <v>0</v>
      </c>
      <c r="N357">
        <f>COUNTIF('Metrics - Articles'!F356,"*GCO – Services Sales*")</f>
        <v>0</v>
      </c>
      <c r="O357">
        <f>COUNTIF('Metrics - Articles'!F356,"*GCO – Other*")</f>
        <v>0</v>
      </c>
      <c r="P357">
        <f>COUNTIF('Metrics - Articles'!F356,"*Corporate*")</f>
        <v>0</v>
      </c>
      <c r="R357" s="53">
        <f t="shared" si="7"/>
        <v>2</v>
      </c>
    </row>
    <row r="358" spans="2:18" x14ac:dyDescent="0.25">
      <c r="B358" s="48">
        <f>+'Metrics - Articles'!C357</f>
        <v>42355</v>
      </c>
      <c r="C358">
        <f>COUNTIF('Metrics - Articles'!F357,"*GPO (Partner, Ecosystem, Channels)*")</f>
        <v>0</v>
      </c>
      <c r="D358">
        <f>COUNTIF('Metrics - Articles'!F357,"*Office of the CEO*")</f>
        <v>0</v>
      </c>
      <c r="E358">
        <f>COUNTIF('Metrics - Articles'!F357,"*Services Delivery &amp; Support (go-lives and deployments) *")</f>
        <v>0</v>
      </c>
      <c r="F358">
        <f>COUNTIF('Metrics - Articles'!F357,"*Human Resources (SAP HR and employee stories)*")</f>
        <v>1</v>
      </c>
      <c r="G358">
        <f>COUNTIF('Metrics - Articles'!F357,"*P&amp;I (Research &amp; Development)*")</f>
        <v>0</v>
      </c>
      <c r="H358">
        <f>COUNTIF('Metrics - Articles'!F357,"*Business Network (Concur, Ariba, Fieldglass)*")</f>
        <v>0</v>
      </c>
      <c r="I358">
        <f>COUNTIF('Metrics - Articles'!F357,"*GCO – Regions*")</f>
        <v>1</v>
      </c>
      <c r="J358">
        <f>COUNTIF('Metrics - Articles'!F357,"*GCO – Platform Solutions*")</f>
        <v>0</v>
      </c>
      <c r="K358">
        <f>COUNTIF('Metrics - Articles'!F357,"*GCO – Industry Cloud *")</f>
        <v>0</v>
      </c>
      <c r="L358">
        <f>COUNTIF('Metrics - Articles'!F357,"*GCO – Customer Engagement &amp; Commerce (CRM &amp; hybris) *")</f>
        <v>0</v>
      </c>
      <c r="M358">
        <f>COUNTIF('Metrics - Articles'!F357,"*GCO – HR (SuccessFactors)*")</f>
        <v>0</v>
      </c>
      <c r="N358">
        <f>COUNTIF('Metrics - Articles'!F357,"*GCO – Services Sales*")</f>
        <v>0</v>
      </c>
      <c r="O358">
        <f>COUNTIF('Metrics - Articles'!F357,"*GCO – Other*")</f>
        <v>0</v>
      </c>
      <c r="P358">
        <f>COUNTIF('Metrics - Articles'!F357,"*Corporate*")</f>
        <v>0</v>
      </c>
      <c r="R358" s="53">
        <f t="shared" si="7"/>
        <v>2</v>
      </c>
    </row>
    <row r="359" spans="2:18" x14ac:dyDescent="0.25">
      <c r="B359" s="48">
        <f>+'Metrics - Articles'!C358</f>
        <v>42361</v>
      </c>
      <c r="C359">
        <f>COUNTIF('Metrics - Articles'!F358,"*GPO (Partner, Ecosystem, Channels)*")</f>
        <v>0</v>
      </c>
      <c r="D359">
        <f>COUNTIF('Metrics - Articles'!F358,"*Office of the CEO*")</f>
        <v>0</v>
      </c>
      <c r="E359">
        <f>COUNTIF('Metrics - Articles'!F358,"*Services Delivery &amp; Support (go-lives and deployments) *")</f>
        <v>0</v>
      </c>
      <c r="F359">
        <f>COUNTIF('Metrics - Articles'!F358,"*Human Resources (SAP HR and employee stories)*")</f>
        <v>1</v>
      </c>
      <c r="G359">
        <f>COUNTIF('Metrics - Articles'!F358,"*P&amp;I (Research &amp; Development)*")</f>
        <v>0</v>
      </c>
      <c r="H359">
        <f>COUNTIF('Metrics - Articles'!F358,"*Business Network (Concur, Ariba, Fieldglass)*")</f>
        <v>0</v>
      </c>
      <c r="I359">
        <f>COUNTIF('Metrics - Articles'!F358,"*GCO – Regions*")</f>
        <v>0</v>
      </c>
      <c r="J359">
        <f>COUNTIF('Metrics - Articles'!F358,"*GCO – Platform Solutions*")</f>
        <v>0</v>
      </c>
      <c r="K359">
        <f>COUNTIF('Metrics - Articles'!F358,"*GCO – Industry Cloud *")</f>
        <v>0</v>
      </c>
      <c r="L359">
        <f>COUNTIF('Metrics - Articles'!F358,"*GCO – Customer Engagement &amp; Commerce (CRM &amp; hybris) *")</f>
        <v>0</v>
      </c>
      <c r="M359">
        <f>COUNTIF('Metrics - Articles'!F358,"*GCO – HR (SuccessFactors)*")</f>
        <v>0</v>
      </c>
      <c r="N359">
        <f>COUNTIF('Metrics - Articles'!F358,"*GCO – Services Sales*")</f>
        <v>0</v>
      </c>
      <c r="O359">
        <f>COUNTIF('Metrics - Articles'!F358,"*GCO – Other*")</f>
        <v>0</v>
      </c>
      <c r="P359">
        <f>COUNTIF('Metrics - Articles'!F358,"*Corporate*")</f>
        <v>0</v>
      </c>
      <c r="R359" s="53">
        <f t="shared" si="7"/>
        <v>1</v>
      </c>
    </row>
    <row r="360" spans="2:18" x14ac:dyDescent="0.25">
      <c r="B360" s="48">
        <f>+'Metrics - Articles'!C359</f>
        <v>42361</v>
      </c>
      <c r="C360">
        <f>COUNTIF('Metrics - Articles'!F359,"*GPO (Partner, Ecosystem, Channels)*")</f>
        <v>0</v>
      </c>
      <c r="D360">
        <f>COUNTIF('Metrics - Articles'!F359,"*Office of the CEO*")</f>
        <v>0</v>
      </c>
      <c r="E360">
        <f>COUNTIF('Metrics - Articles'!F359,"*Services Delivery &amp; Support (go-lives and deployments) *")</f>
        <v>0</v>
      </c>
      <c r="F360">
        <f>COUNTIF('Metrics - Articles'!F359,"*Human Resources (SAP HR and employee stories)*")</f>
        <v>0</v>
      </c>
      <c r="G360">
        <f>COUNTIF('Metrics - Articles'!F359,"*P&amp;I (Research &amp; Development)*")</f>
        <v>0</v>
      </c>
      <c r="H360">
        <f>COUNTIF('Metrics - Articles'!F359,"*Business Network (Concur, Ariba, Fieldglass)*")</f>
        <v>0</v>
      </c>
      <c r="I360">
        <f>COUNTIF('Metrics - Articles'!F359,"*GCO – Regions*")</f>
        <v>1</v>
      </c>
      <c r="J360">
        <f>COUNTIF('Metrics - Articles'!F359,"*GCO – Platform Solutions*")</f>
        <v>0</v>
      </c>
      <c r="K360">
        <f>COUNTIF('Metrics - Articles'!F359,"*GCO – Industry Cloud *")</f>
        <v>0</v>
      </c>
      <c r="L360">
        <f>COUNTIF('Metrics - Articles'!F359,"*GCO – Customer Engagement &amp; Commerce (CRM &amp; hybris) *")</f>
        <v>0</v>
      </c>
      <c r="M360">
        <f>COUNTIF('Metrics - Articles'!F359,"*GCO – HR (SuccessFactors)*")</f>
        <v>0</v>
      </c>
      <c r="N360">
        <f>COUNTIF('Metrics - Articles'!F359,"*GCO – Services Sales*")</f>
        <v>0</v>
      </c>
      <c r="O360">
        <f>COUNTIF('Metrics - Articles'!F359,"*GCO – Other*")</f>
        <v>0</v>
      </c>
      <c r="P360">
        <f>COUNTIF('Metrics - Articles'!F359,"*Corporate*")</f>
        <v>0</v>
      </c>
      <c r="R360" s="53">
        <f t="shared" si="7"/>
        <v>1</v>
      </c>
    </row>
    <row r="361" spans="2:18" x14ac:dyDescent="0.25">
      <c r="B361" s="48">
        <f>+'Metrics - Articles'!C360</f>
        <v>0</v>
      </c>
      <c r="C361">
        <f>COUNTIF('Metrics - Articles'!F360,"*GPO (Partner, Ecosystem, Channels)*")</f>
        <v>0</v>
      </c>
      <c r="D361">
        <f>COUNTIF('Metrics - Articles'!F360,"*Office of the CEO*")</f>
        <v>0</v>
      </c>
      <c r="E361">
        <f>COUNTIF('Metrics - Articles'!F360,"*Services Delivery &amp; Support (go-lives and deployments) *")</f>
        <v>0</v>
      </c>
      <c r="F361">
        <f>COUNTIF('Metrics - Articles'!F360,"*Human Resources (SAP HR and employee stories)*")</f>
        <v>0</v>
      </c>
      <c r="G361">
        <f>COUNTIF('Metrics - Articles'!F360,"*P&amp;I (Research &amp; Development)*")</f>
        <v>0</v>
      </c>
      <c r="H361">
        <f>COUNTIF('Metrics - Articles'!F360,"*Business Network (Concur, Ariba, Fieldglass)*")</f>
        <v>0</v>
      </c>
      <c r="I361">
        <f>COUNTIF('Metrics - Articles'!F360,"*GCO – Regions*")</f>
        <v>0</v>
      </c>
      <c r="J361">
        <f>COUNTIF('Metrics - Articles'!F360,"*GCO – Platform Solutions*")</f>
        <v>0</v>
      </c>
      <c r="K361">
        <f>COUNTIF('Metrics - Articles'!F360,"*GCO – Industry Cloud *")</f>
        <v>0</v>
      </c>
      <c r="L361">
        <f>COUNTIF('Metrics - Articles'!F360,"*GCO – Customer Engagement &amp; Commerce (CRM &amp; hybris) *")</f>
        <v>0</v>
      </c>
      <c r="M361">
        <f>COUNTIF('Metrics - Articles'!F360,"*GCO – HR (SuccessFactors)*")</f>
        <v>0</v>
      </c>
      <c r="N361">
        <f>COUNTIF('Metrics - Articles'!F360,"*GCO – Services Sales*")</f>
        <v>0</v>
      </c>
      <c r="O361">
        <f>COUNTIF('Metrics - Articles'!F360,"*GCO – Other*")</f>
        <v>0</v>
      </c>
      <c r="P361">
        <f>COUNTIF('Metrics - Articles'!F360,"*Corporate*")</f>
        <v>0</v>
      </c>
      <c r="R361" s="53">
        <f t="shared" si="7"/>
        <v>0</v>
      </c>
    </row>
    <row r="362" spans="2:18" x14ac:dyDescent="0.25">
      <c r="B362" s="48">
        <f>+'Metrics - Articles'!C361</f>
        <v>0</v>
      </c>
      <c r="C362">
        <f>COUNTIF('Metrics - Articles'!F361,"*GPO (Partner, Ecosystem, Channels)*")</f>
        <v>0</v>
      </c>
      <c r="D362">
        <f>COUNTIF('Metrics - Articles'!F361,"*Office of the CEO*")</f>
        <v>0</v>
      </c>
      <c r="E362">
        <f>COUNTIF('Metrics - Articles'!F361,"*Services Delivery &amp; Support (go-lives and deployments) *")</f>
        <v>0</v>
      </c>
      <c r="F362">
        <f>COUNTIF('Metrics - Articles'!F361,"*Human Resources (SAP HR and employee stories)*")</f>
        <v>0</v>
      </c>
      <c r="G362">
        <f>COUNTIF('Metrics - Articles'!F361,"*P&amp;I (Research &amp; Development)*")</f>
        <v>0</v>
      </c>
      <c r="H362">
        <f>COUNTIF('Metrics - Articles'!F361,"*Business Network (Concur, Ariba, Fieldglass)*")</f>
        <v>0</v>
      </c>
      <c r="I362">
        <f>COUNTIF('Metrics - Articles'!F361,"*GCO – Regions*")</f>
        <v>0</v>
      </c>
      <c r="J362">
        <f>COUNTIF('Metrics - Articles'!F361,"*GCO – Platform Solutions*")</f>
        <v>0</v>
      </c>
      <c r="K362">
        <f>COUNTIF('Metrics - Articles'!F361,"*GCO – Industry Cloud *")</f>
        <v>0</v>
      </c>
      <c r="L362">
        <f>COUNTIF('Metrics - Articles'!F361,"*GCO – Customer Engagement &amp; Commerce (CRM &amp; hybris) *")</f>
        <v>0</v>
      </c>
      <c r="M362">
        <f>COUNTIF('Metrics - Articles'!F361,"*GCO – HR (SuccessFactors)*")</f>
        <v>0</v>
      </c>
      <c r="N362">
        <f>COUNTIF('Metrics - Articles'!F361,"*GCO – Services Sales*")</f>
        <v>0</v>
      </c>
      <c r="O362">
        <f>COUNTIF('Metrics - Articles'!F361,"*GCO – Other*")</f>
        <v>0</v>
      </c>
      <c r="P362">
        <f>COUNTIF('Metrics - Articles'!F361,"*Corporate*")</f>
        <v>0</v>
      </c>
      <c r="R362" s="53">
        <f t="shared" si="7"/>
        <v>0</v>
      </c>
    </row>
    <row r="363" spans="2:18" x14ac:dyDescent="0.25">
      <c r="B363" s="48">
        <f>+'Metrics - Articles'!C362</f>
        <v>0</v>
      </c>
      <c r="C363">
        <f>COUNTIF('Metrics - Articles'!F362,"*GPO (Partner, Ecosystem, Channels)*")</f>
        <v>0</v>
      </c>
      <c r="D363">
        <f>COUNTIF('Metrics - Articles'!F362,"*Office of the CEO*")</f>
        <v>0</v>
      </c>
      <c r="E363">
        <f>COUNTIF('Metrics - Articles'!F362,"*Services Delivery &amp; Support (go-lives and deployments) *")</f>
        <v>0</v>
      </c>
      <c r="F363">
        <f>COUNTIF('Metrics - Articles'!F362,"*Human Resources (SAP HR and employee stories)*")</f>
        <v>0</v>
      </c>
      <c r="G363">
        <f>COUNTIF('Metrics - Articles'!F362,"*P&amp;I (Research &amp; Development)*")</f>
        <v>0</v>
      </c>
      <c r="H363">
        <f>COUNTIF('Metrics - Articles'!F362,"*Business Network (Concur, Ariba, Fieldglass)*")</f>
        <v>0</v>
      </c>
      <c r="I363">
        <f>COUNTIF('Metrics - Articles'!F362,"*GCO – Regions*")</f>
        <v>0</v>
      </c>
      <c r="J363">
        <f>COUNTIF('Metrics - Articles'!F362,"*GCO – Platform Solutions*")</f>
        <v>0</v>
      </c>
      <c r="K363">
        <f>COUNTIF('Metrics - Articles'!F362,"*GCO – Industry Cloud *")</f>
        <v>0</v>
      </c>
      <c r="L363">
        <f>COUNTIF('Metrics - Articles'!F362,"*GCO – Customer Engagement &amp; Commerce (CRM &amp; hybris) *")</f>
        <v>0</v>
      </c>
      <c r="M363">
        <f>COUNTIF('Metrics - Articles'!F362,"*GCO – HR (SuccessFactors)*")</f>
        <v>0</v>
      </c>
      <c r="N363">
        <f>COUNTIF('Metrics - Articles'!F362,"*GCO – Services Sales*")</f>
        <v>0</v>
      </c>
      <c r="O363">
        <f>COUNTIF('Metrics - Articles'!F362,"*GCO – Other*")</f>
        <v>0</v>
      </c>
      <c r="P363">
        <f>COUNTIF('Metrics - Articles'!F362,"*Corporate*")</f>
        <v>0</v>
      </c>
      <c r="R363" s="53">
        <f t="shared" si="7"/>
        <v>0</v>
      </c>
    </row>
    <row r="364" spans="2:18" x14ac:dyDescent="0.25">
      <c r="B364" s="48">
        <f>+'Metrics - Articles'!C363</f>
        <v>0</v>
      </c>
      <c r="C364">
        <f>COUNTIF('Metrics - Articles'!F363,"*GPO (Partner, Ecosystem, Channels)*")</f>
        <v>0</v>
      </c>
      <c r="D364">
        <f>COUNTIF('Metrics - Articles'!F363,"*Office of the CEO*")</f>
        <v>0</v>
      </c>
      <c r="E364">
        <f>COUNTIF('Metrics - Articles'!F363,"*Services Delivery &amp; Support (go-lives and deployments) *")</f>
        <v>0</v>
      </c>
      <c r="F364">
        <f>COUNTIF('Metrics - Articles'!F363,"*Human Resources (SAP HR and employee stories)*")</f>
        <v>0</v>
      </c>
      <c r="G364">
        <f>COUNTIF('Metrics - Articles'!F363,"*P&amp;I (Research &amp; Development)*")</f>
        <v>0</v>
      </c>
      <c r="H364">
        <f>COUNTIF('Metrics - Articles'!F363,"*Business Network (Concur, Ariba, Fieldglass)*")</f>
        <v>0</v>
      </c>
      <c r="I364">
        <f>COUNTIF('Metrics - Articles'!F363,"*GCO – Regions*")</f>
        <v>0</v>
      </c>
      <c r="J364">
        <f>COUNTIF('Metrics - Articles'!F363,"*GCO – Platform Solutions*")</f>
        <v>0</v>
      </c>
      <c r="K364">
        <f>COUNTIF('Metrics - Articles'!F363,"*GCO – Industry Cloud *")</f>
        <v>0</v>
      </c>
      <c r="L364">
        <f>COUNTIF('Metrics - Articles'!F363,"*GCO – Customer Engagement &amp; Commerce (CRM &amp; hybris) *")</f>
        <v>0</v>
      </c>
      <c r="M364">
        <f>COUNTIF('Metrics - Articles'!F363,"*GCO – HR (SuccessFactors)*")</f>
        <v>0</v>
      </c>
      <c r="N364">
        <f>COUNTIF('Metrics - Articles'!F363,"*GCO – Services Sales*")</f>
        <v>0</v>
      </c>
      <c r="O364">
        <f>COUNTIF('Metrics - Articles'!F363,"*GCO – Other*")</f>
        <v>0</v>
      </c>
      <c r="P364">
        <f>COUNTIF('Metrics - Articles'!F363,"*Corporate*")</f>
        <v>0</v>
      </c>
      <c r="R364" s="53">
        <f t="shared" si="7"/>
        <v>0</v>
      </c>
    </row>
    <row r="365" spans="2:18" x14ac:dyDescent="0.25">
      <c r="B365" s="48">
        <f>+'Metrics - Articles'!C364</f>
        <v>0</v>
      </c>
      <c r="C365">
        <f>COUNTIF('Metrics - Articles'!F364,"*GPO (Partner, Ecosystem, Channels)*")</f>
        <v>0</v>
      </c>
      <c r="D365">
        <f>COUNTIF('Metrics - Articles'!F364,"*Office of the CEO*")</f>
        <v>0</v>
      </c>
      <c r="E365">
        <f>COUNTIF('Metrics - Articles'!F364,"*Services Delivery &amp; Support (go-lives and deployments) *")</f>
        <v>0</v>
      </c>
      <c r="F365">
        <f>COUNTIF('Metrics - Articles'!F364,"*Human Resources (SAP HR and employee stories)*")</f>
        <v>0</v>
      </c>
      <c r="G365">
        <f>COUNTIF('Metrics - Articles'!F364,"*P&amp;I (Research &amp; Development)*")</f>
        <v>0</v>
      </c>
      <c r="H365">
        <f>COUNTIF('Metrics - Articles'!F364,"*Business Network (Concur, Ariba, Fieldglass)*")</f>
        <v>0</v>
      </c>
      <c r="I365">
        <f>COUNTIF('Metrics - Articles'!F364,"*GCO – Regions*")</f>
        <v>0</v>
      </c>
      <c r="J365">
        <f>COUNTIF('Metrics - Articles'!F364,"*GCO – Platform Solutions*")</f>
        <v>0</v>
      </c>
      <c r="K365">
        <f>COUNTIF('Metrics - Articles'!F364,"*GCO – Industry Cloud *")</f>
        <v>0</v>
      </c>
      <c r="L365">
        <f>COUNTIF('Metrics - Articles'!F364,"*GCO – Customer Engagement &amp; Commerce (CRM &amp; hybris) *")</f>
        <v>0</v>
      </c>
      <c r="M365">
        <f>COUNTIF('Metrics - Articles'!F364,"*GCO – HR (SuccessFactors)*")</f>
        <v>0</v>
      </c>
      <c r="N365">
        <f>COUNTIF('Metrics - Articles'!F364,"*GCO – Services Sales*")</f>
        <v>0</v>
      </c>
      <c r="O365">
        <f>COUNTIF('Metrics - Articles'!F364,"*GCO – Other*")</f>
        <v>0</v>
      </c>
      <c r="P365">
        <f>COUNTIF('Metrics - Articles'!F364,"*Corporate*")</f>
        <v>0</v>
      </c>
      <c r="R365" s="53">
        <f t="shared" si="7"/>
        <v>0</v>
      </c>
    </row>
    <row r="366" spans="2:18" x14ac:dyDescent="0.25">
      <c r="B366" s="48">
        <f>+'Metrics - Articles'!C365</f>
        <v>0</v>
      </c>
      <c r="C366">
        <f>COUNTIF('Metrics - Articles'!F365,"*GPO (Partner, Ecosystem, Channels)*")</f>
        <v>0</v>
      </c>
      <c r="D366">
        <f>COUNTIF('Metrics - Articles'!F365,"*Office of the CEO*")</f>
        <v>0</v>
      </c>
      <c r="E366">
        <f>COUNTIF('Metrics - Articles'!F365,"*Services Delivery &amp; Support (go-lives and deployments) *")</f>
        <v>0</v>
      </c>
      <c r="F366">
        <f>COUNTIF('Metrics - Articles'!F365,"*Human Resources (SAP HR and employee stories)*")</f>
        <v>0</v>
      </c>
      <c r="G366">
        <f>COUNTIF('Metrics - Articles'!F365,"*P&amp;I (Research &amp; Development)*")</f>
        <v>0</v>
      </c>
      <c r="H366">
        <f>COUNTIF('Metrics - Articles'!F365,"*Business Network (Concur, Ariba, Fieldglass)*")</f>
        <v>0</v>
      </c>
      <c r="I366">
        <f>COUNTIF('Metrics - Articles'!F365,"*GCO – Regions*")</f>
        <v>0</v>
      </c>
      <c r="J366">
        <f>COUNTIF('Metrics - Articles'!F365,"*GCO – Platform Solutions*")</f>
        <v>0</v>
      </c>
      <c r="K366">
        <f>COUNTIF('Metrics - Articles'!F365,"*GCO – Industry Cloud *")</f>
        <v>0</v>
      </c>
      <c r="L366">
        <f>COUNTIF('Metrics - Articles'!F365,"*GCO – Customer Engagement &amp; Commerce (CRM &amp; hybris) *")</f>
        <v>0</v>
      </c>
      <c r="M366">
        <f>COUNTIF('Metrics - Articles'!F365,"*GCO – HR (SuccessFactors)*")</f>
        <v>0</v>
      </c>
      <c r="N366">
        <f>COUNTIF('Metrics - Articles'!F365,"*GCO – Services Sales*")</f>
        <v>0</v>
      </c>
      <c r="O366">
        <f>COUNTIF('Metrics - Articles'!F365,"*GCO – Other*")</f>
        <v>0</v>
      </c>
      <c r="P366">
        <f>COUNTIF('Metrics - Articles'!F365,"*Corporate*")</f>
        <v>0</v>
      </c>
      <c r="R366" s="53">
        <f t="shared" si="7"/>
        <v>0</v>
      </c>
    </row>
    <row r="367" spans="2:18" x14ac:dyDescent="0.25">
      <c r="B367" s="48">
        <f>+'Metrics - Articles'!C366</f>
        <v>0</v>
      </c>
      <c r="C367">
        <f>COUNTIF('Metrics - Articles'!F366,"*GPO (Partner, Ecosystem, Channels)*")</f>
        <v>0</v>
      </c>
      <c r="D367">
        <f>COUNTIF('Metrics - Articles'!F366,"*Office of the CEO*")</f>
        <v>0</v>
      </c>
      <c r="E367">
        <f>COUNTIF('Metrics - Articles'!F366,"*Services Delivery &amp; Support (go-lives and deployments) *")</f>
        <v>0</v>
      </c>
      <c r="F367">
        <f>COUNTIF('Metrics - Articles'!F366,"*Human Resources (SAP HR and employee stories)*")</f>
        <v>0</v>
      </c>
      <c r="G367">
        <f>COUNTIF('Metrics - Articles'!F366,"*P&amp;I (Research &amp; Development)*")</f>
        <v>0</v>
      </c>
      <c r="H367">
        <f>COUNTIF('Metrics - Articles'!F366,"*Business Network (Concur, Ariba, Fieldglass)*")</f>
        <v>0</v>
      </c>
      <c r="I367">
        <f>COUNTIF('Metrics - Articles'!F366,"*GCO – Regions*")</f>
        <v>0</v>
      </c>
      <c r="J367">
        <f>COUNTIF('Metrics - Articles'!F366,"*GCO – Platform Solutions*")</f>
        <v>0</v>
      </c>
      <c r="K367">
        <f>COUNTIF('Metrics - Articles'!F366,"*GCO – Industry Cloud *")</f>
        <v>0</v>
      </c>
      <c r="L367">
        <f>COUNTIF('Metrics - Articles'!F366,"*GCO – Customer Engagement &amp; Commerce (CRM &amp; hybris) *")</f>
        <v>0</v>
      </c>
      <c r="M367">
        <f>COUNTIF('Metrics - Articles'!F366,"*GCO – HR (SuccessFactors)*")</f>
        <v>0</v>
      </c>
      <c r="N367">
        <f>COUNTIF('Metrics - Articles'!F366,"*GCO – Services Sales*")</f>
        <v>0</v>
      </c>
      <c r="O367">
        <f>COUNTIF('Metrics - Articles'!F366,"*GCO – Other*")</f>
        <v>0</v>
      </c>
      <c r="P367">
        <f>COUNTIF('Metrics - Articles'!F366,"*Corporate*")</f>
        <v>0</v>
      </c>
      <c r="R367" s="53">
        <f t="shared" si="7"/>
        <v>0</v>
      </c>
    </row>
    <row r="368" spans="2:18" x14ac:dyDescent="0.25">
      <c r="B368" s="48">
        <f>+'Metrics - Articles'!C367</f>
        <v>0</v>
      </c>
      <c r="C368">
        <f>COUNTIF('Metrics - Articles'!F367,"*GPO (Partner, Ecosystem, Channels)*")</f>
        <v>0</v>
      </c>
      <c r="D368">
        <f>COUNTIF('Metrics - Articles'!F367,"*Office of the CEO*")</f>
        <v>0</v>
      </c>
      <c r="E368">
        <f>COUNTIF('Metrics - Articles'!F367,"*Services Delivery &amp; Support (go-lives and deployments) *")</f>
        <v>0</v>
      </c>
      <c r="F368">
        <f>COUNTIF('Metrics - Articles'!F367,"*Human Resources (SAP HR and employee stories)*")</f>
        <v>0</v>
      </c>
      <c r="G368">
        <f>COUNTIF('Metrics - Articles'!F367,"*P&amp;I (Research &amp; Development)*")</f>
        <v>0</v>
      </c>
      <c r="H368">
        <f>COUNTIF('Metrics - Articles'!F367,"*Business Network (Concur, Ariba, Fieldglass)*")</f>
        <v>0</v>
      </c>
      <c r="I368">
        <f>COUNTIF('Metrics - Articles'!F367,"*GCO – Regions*")</f>
        <v>0</v>
      </c>
      <c r="J368">
        <f>COUNTIF('Metrics - Articles'!F367,"*GCO – Platform Solutions*")</f>
        <v>0</v>
      </c>
      <c r="K368">
        <f>COUNTIF('Metrics - Articles'!F367,"*GCO – Industry Cloud *")</f>
        <v>0</v>
      </c>
      <c r="L368">
        <f>COUNTIF('Metrics - Articles'!F367,"*GCO – Customer Engagement &amp; Commerce (CRM &amp; hybris) *")</f>
        <v>0</v>
      </c>
      <c r="M368">
        <f>COUNTIF('Metrics - Articles'!F367,"*GCO – HR (SuccessFactors)*")</f>
        <v>0</v>
      </c>
      <c r="N368">
        <f>COUNTIF('Metrics - Articles'!F367,"*GCO – Services Sales*")</f>
        <v>0</v>
      </c>
      <c r="O368">
        <f>COUNTIF('Metrics - Articles'!F367,"*GCO – Other*")</f>
        <v>0</v>
      </c>
      <c r="P368">
        <f>COUNTIF('Metrics - Articles'!F367,"*Corporate*")</f>
        <v>0</v>
      </c>
      <c r="R368" s="53">
        <f t="shared" si="7"/>
        <v>0</v>
      </c>
    </row>
    <row r="369" spans="2:18" x14ac:dyDescent="0.25">
      <c r="B369" s="48">
        <f>+'Metrics - Articles'!C368</f>
        <v>0</v>
      </c>
      <c r="C369">
        <f>COUNTIF('Metrics - Articles'!F368,"*GPO (Partner, Ecosystem, Channels)*")</f>
        <v>0</v>
      </c>
      <c r="D369">
        <f>COUNTIF('Metrics - Articles'!F368,"*Office of the CEO*")</f>
        <v>0</v>
      </c>
      <c r="E369">
        <f>COUNTIF('Metrics - Articles'!F368,"*Services Delivery &amp; Support (go-lives and deployments) *")</f>
        <v>0</v>
      </c>
      <c r="F369">
        <f>COUNTIF('Metrics - Articles'!F368,"*Human Resources (SAP HR and employee stories)*")</f>
        <v>0</v>
      </c>
      <c r="G369">
        <f>COUNTIF('Metrics - Articles'!F368,"*P&amp;I (Research &amp; Development)*")</f>
        <v>0</v>
      </c>
      <c r="H369">
        <f>COUNTIF('Metrics - Articles'!F368,"*Business Network (Concur, Ariba, Fieldglass)*")</f>
        <v>0</v>
      </c>
      <c r="I369">
        <f>COUNTIF('Metrics - Articles'!F368,"*GCO – Regions*")</f>
        <v>0</v>
      </c>
      <c r="J369">
        <f>COUNTIF('Metrics - Articles'!F368,"*GCO – Platform Solutions*")</f>
        <v>0</v>
      </c>
      <c r="K369">
        <f>COUNTIF('Metrics - Articles'!F368,"*GCO – Industry Cloud *")</f>
        <v>0</v>
      </c>
      <c r="L369">
        <f>COUNTIF('Metrics - Articles'!F368,"*GCO – Customer Engagement &amp; Commerce (CRM &amp; hybris) *")</f>
        <v>0</v>
      </c>
      <c r="M369">
        <f>COUNTIF('Metrics - Articles'!F368,"*GCO – HR (SuccessFactors)*")</f>
        <v>0</v>
      </c>
      <c r="N369">
        <f>COUNTIF('Metrics - Articles'!F368,"*GCO – Services Sales*")</f>
        <v>0</v>
      </c>
      <c r="O369">
        <f>COUNTIF('Metrics - Articles'!F368,"*GCO – Other*")</f>
        <v>0</v>
      </c>
      <c r="P369">
        <f>COUNTIF('Metrics - Articles'!F368,"*Corporate*")</f>
        <v>0</v>
      </c>
      <c r="R369" s="53">
        <f t="shared" si="7"/>
        <v>0</v>
      </c>
    </row>
    <row r="370" spans="2:18" x14ac:dyDescent="0.25">
      <c r="B370" s="48">
        <f>+'Metrics - Articles'!C369</f>
        <v>0</v>
      </c>
      <c r="C370">
        <f>COUNTIF('Metrics - Articles'!F369,"*GPO (Partner, Ecosystem, Channels)*")</f>
        <v>0</v>
      </c>
      <c r="D370">
        <f>COUNTIF('Metrics - Articles'!F369,"*Office of the CEO*")</f>
        <v>0</v>
      </c>
      <c r="E370">
        <f>COUNTIF('Metrics - Articles'!F369,"*Services Delivery &amp; Support (go-lives and deployments) *")</f>
        <v>0</v>
      </c>
      <c r="F370">
        <f>COUNTIF('Metrics - Articles'!F369,"*Human Resources (SAP HR and employee stories)*")</f>
        <v>0</v>
      </c>
      <c r="G370">
        <f>COUNTIF('Metrics - Articles'!F369,"*P&amp;I (Research &amp; Development)*")</f>
        <v>0</v>
      </c>
      <c r="H370">
        <f>COUNTIF('Metrics - Articles'!F369,"*Business Network (Concur, Ariba, Fieldglass)*")</f>
        <v>0</v>
      </c>
      <c r="I370">
        <f>COUNTIF('Metrics - Articles'!F369,"*GCO – Regions*")</f>
        <v>0</v>
      </c>
      <c r="J370">
        <f>COUNTIF('Metrics - Articles'!F369,"*GCO – Platform Solutions*")</f>
        <v>0</v>
      </c>
      <c r="K370">
        <f>COUNTIF('Metrics - Articles'!F369,"*GCO – Industry Cloud *")</f>
        <v>0</v>
      </c>
      <c r="L370">
        <f>COUNTIF('Metrics - Articles'!F369,"*GCO – Customer Engagement &amp; Commerce (CRM &amp; hybris) *")</f>
        <v>0</v>
      </c>
      <c r="M370">
        <f>COUNTIF('Metrics - Articles'!F369,"*GCO – HR (SuccessFactors)*")</f>
        <v>0</v>
      </c>
      <c r="N370">
        <f>COUNTIF('Metrics - Articles'!F369,"*GCO – Services Sales*")</f>
        <v>0</v>
      </c>
      <c r="O370">
        <f>COUNTIF('Metrics - Articles'!F369,"*GCO – Other*")</f>
        <v>0</v>
      </c>
      <c r="P370">
        <f>COUNTIF('Metrics - Articles'!F369,"*Corporate*")</f>
        <v>0</v>
      </c>
      <c r="R370" s="53">
        <f t="shared" si="7"/>
        <v>0</v>
      </c>
    </row>
    <row r="371" spans="2:18" x14ac:dyDescent="0.25">
      <c r="B371" s="48">
        <f>+'Metrics - Articles'!C370</f>
        <v>0</v>
      </c>
      <c r="C371">
        <f>COUNTIF('Metrics - Articles'!F370,"*GPO (Partner, Ecosystem, Channels)*")</f>
        <v>0</v>
      </c>
      <c r="D371">
        <f>COUNTIF('Metrics - Articles'!F370,"*Office of the CEO*")</f>
        <v>0</v>
      </c>
      <c r="E371">
        <f>COUNTIF('Metrics - Articles'!F370,"*Services Delivery &amp; Support (go-lives and deployments) *")</f>
        <v>0</v>
      </c>
      <c r="F371">
        <f>COUNTIF('Metrics - Articles'!F370,"*Human Resources (SAP HR and employee stories)*")</f>
        <v>0</v>
      </c>
      <c r="G371">
        <f>COUNTIF('Metrics - Articles'!F370,"*P&amp;I (Research &amp; Development)*")</f>
        <v>0</v>
      </c>
      <c r="H371">
        <f>COUNTIF('Metrics - Articles'!F370,"*Business Network (Concur, Ariba, Fieldglass)*")</f>
        <v>0</v>
      </c>
      <c r="I371">
        <f>COUNTIF('Metrics - Articles'!F370,"*GCO – Regions*")</f>
        <v>0</v>
      </c>
      <c r="J371">
        <f>COUNTIF('Metrics - Articles'!F370,"*GCO – Platform Solutions*")</f>
        <v>0</v>
      </c>
      <c r="K371">
        <f>COUNTIF('Metrics - Articles'!F370,"*GCO – Industry Cloud *")</f>
        <v>0</v>
      </c>
      <c r="L371">
        <f>COUNTIF('Metrics - Articles'!F370,"*GCO – Customer Engagement &amp; Commerce (CRM &amp; hybris) *")</f>
        <v>0</v>
      </c>
      <c r="M371">
        <f>COUNTIF('Metrics - Articles'!F370,"*GCO – HR (SuccessFactors)*")</f>
        <v>0</v>
      </c>
      <c r="N371">
        <f>COUNTIF('Metrics - Articles'!F370,"*GCO – Services Sales*")</f>
        <v>0</v>
      </c>
      <c r="O371">
        <f>COUNTIF('Metrics - Articles'!F370,"*GCO – Other*")</f>
        <v>0</v>
      </c>
      <c r="P371">
        <f>COUNTIF('Metrics - Articles'!F370,"*Corporate*")</f>
        <v>0</v>
      </c>
      <c r="R371" s="53">
        <f t="shared" si="7"/>
        <v>0</v>
      </c>
    </row>
    <row r="372" spans="2:18" x14ac:dyDescent="0.25">
      <c r="B372" s="48">
        <f>+'Metrics - Articles'!C371</f>
        <v>0</v>
      </c>
      <c r="C372">
        <f>COUNTIF('Metrics - Articles'!F371,"*GPO (Partner, Ecosystem, Channels)*")</f>
        <v>0</v>
      </c>
      <c r="D372">
        <f>COUNTIF('Metrics - Articles'!F371,"*Office of the CEO*")</f>
        <v>0</v>
      </c>
      <c r="E372">
        <f>COUNTIF('Metrics - Articles'!F371,"*Services Delivery &amp; Support (go-lives and deployments) *")</f>
        <v>0</v>
      </c>
      <c r="F372">
        <f>COUNTIF('Metrics - Articles'!F371,"*Human Resources (SAP HR and employee stories)*")</f>
        <v>0</v>
      </c>
      <c r="G372">
        <f>COUNTIF('Metrics - Articles'!F371,"*P&amp;I (Research &amp; Development)*")</f>
        <v>0</v>
      </c>
      <c r="H372">
        <f>COUNTIF('Metrics - Articles'!F371,"*Business Network (Concur, Ariba, Fieldglass)*")</f>
        <v>0</v>
      </c>
      <c r="I372">
        <f>COUNTIF('Metrics - Articles'!F371,"*GCO – Regions*")</f>
        <v>0</v>
      </c>
      <c r="J372">
        <f>COUNTIF('Metrics - Articles'!F371,"*GCO – Platform Solutions*")</f>
        <v>0</v>
      </c>
      <c r="K372">
        <f>COUNTIF('Metrics - Articles'!F371,"*GCO – Industry Cloud *")</f>
        <v>0</v>
      </c>
      <c r="L372">
        <f>COUNTIF('Metrics - Articles'!F371,"*GCO – Customer Engagement &amp; Commerce (CRM &amp; hybris) *")</f>
        <v>0</v>
      </c>
      <c r="M372">
        <f>COUNTIF('Metrics - Articles'!F371,"*GCO – HR (SuccessFactors)*")</f>
        <v>0</v>
      </c>
      <c r="N372">
        <f>COUNTIF('Metrics - Articles'!F371,"*GCO – Services Sales*")</f>
        <v>0</v>
      </c>
      <c r="O372">
        <f>COUNTIF('Metrics - Articles'!F371,"*GCO – Other*")</f>
        <v>0</v>
      </c>
      <c r="P372">
        <f>COUNTIF('Metrics - Articles'!F371,"*Corporate*")</f>
        <v>0</v>
      </c>
      <c r="R372" s="53">
        <f t="shared" si="7"/>
        <v>0</v>
      </c>
    </row>
    <row r="373" spans="2:18" x14ac:dyDescent="0.25">
      <c r="B373" s="48">
        <f>+'Metrics - Articles'!C372</f>
        <v>0</v>
      </c>
      <c r="C373">
        <f>COUNTIF('Metrics - Articles'!F372,"*GPO (Partner, Ecosystem, Channels)*")</f>
        <v>0</v>
      </c>
      <c r="D373">
        <f>COUNTIF('Metrics - Articles'!F372,"*Office of the CEO*")</f>
        <v>0</v>
      </c>
      <c r="E373">
        <f>COUNTIF('Metrics - Articles'!F372,"*Services Delivery &amp; Support (go-lives and deployments) *")</f>
        <v>0</v>
      </c>
      <c r="F373">
        <f>COUNTIF('Metrics - Articles'!F372,"*Human Resources (SAP HR and employee stories)*")</f>
        <v>0</v>
      </c>
      <c r="G373">
        <f>COUNTIF('Metrics - Articles'!F372,"*P&amp;I (Research &amp; Development)*")</f>
        <v>0</v>
      </c>
      <c r="H373">
        <f>COUNTIF('Metrics - Articles'!F372,"*Business Network (Concur, Ariba, Fieldglass)*")</f>
        <v>0</v>
      </c>
      <c r="I373">
        <f>COUNTIF('Metrics - Articles'!F372,"*GCO – Regions*")</f>
        <v>0</v>
      </c>
      <c r="J373">
        <f>COUNTIF('Metrics - Articles'!F372,"*GCO – Platform Solutions*")</f>
        <v>0</v>
      </c>
      <c r="K373">
        <f>COUNTIF('Metrics - Articles'!F372,"*GCO – Industry Cloud *")</f>
        <v>0</v>
      </c>
      <c r="L373">
        <f>COUNTIF('Metrics - Articles'!F372,"*GCO – Customer Engagement &amp; Commerce (CRM &amp; hybris) *")</f>
        <v>0</v>
      </c>
      <c r="M373">
        <f>COUNTIF('Metrics - Articles'!F372,"*GCO – HR (SuccessFactors)*")</f>
        <v>0</v>
      </c>
      <c r="N373">
        <f>COUNTIF('Metrics - Articles'!F372,"*GCO – Services Sales*")</f>
        <v>0</v>
      </c>
      <c r="O373">
        <f>COUNTIF('Metrics - Articles'!F372,"*GCO – Other*")</f>
        <v>0</v>
      </c>
      <c r="P373">
        <f>COUNTIF('Metrics - Articles'!F372,"*Corporate*")</f>
        <v>0</v>
      </c>
      <c r="R373" s="53">
        <f t="shared" si="7"/>
        <v>0</v>
      </c>
    </row>
    <row r="374" spans="2:18" x14ac:dyDescent="0.25">
      <c r="B374" s="48">
        <f>+'Metrics - Articles'!C373</f>
        <v>0</v>
      </c>
      <c r="C374">
        <f>COUNTIF('Metrics - Articles'!F373,"*GPO (Partner, Ecosystem, Channels)*")</f>
        <v>0</v>
      </c>
      <c r="D374">
        <f>COUNTIF('Metrics - Articles'!F373,"*Office of the CEO*")</f>
        <v>0</v>
      </c>
      <c r="E374">
        <f>COUNTIF('Metrics - Articles'!F373,"*Services Delivery &amp; Support (go-lives and deployments) *")</f>
        <v>0</v>
      </c>
      <c r="F374">
        <f>COUNTIF('Metrics - Articles'!F373,"*Human Resources (SAP HR and employee stories)*")</f>
        <v>0</v>
      </c>
      <c r="G374">
        <f>COUNTIF('Metrics - Articles'!F373,"*P&amp;I (Research &amp; Development)*")</f>
        <v>0</v>
      </c>
      <c r="H374">
        <f>COUNTIF('Metrics - Articles'!F373,"*Business Network (Concur, Ariba, Fieldglass)*")</f>
        <v>0</v>
      </c>
      <c r="I374">
        <f>COUNTIF('Metrics - Articles'!F373,"*GCO – Regions*")</f>
        <v>0</v>
      </c>
      <c r="J374">
        <f>COUNTIF('Metrics - Articles'!F373,"*GCO – Platform Solutions*")</f>
        <v>0</v>
      </c>
      <c r="K374">
        <f>COUNTIF('Metrics - Articles'!F373,"*GCO – Industry Cloud *")</f>
        <v>0</v>
      </c>
      <c r="L374">
        <f>COUNTIF('Metrics - Articles'!F373,"*GCO – Customer Engagement &amp; Commerce (CRM &amp; hybris) *")</f>
        <v>0</v>
      </c>
      <c r="M374">
        <f>COUNTIF('Metrics - Articles'!F373,"*GCO – HR (SuccessFactors)*")</f>
        <v>0</v>
      </c>
      <c r="N374">
        <f>COUNTIF('Metrics - Articles'!F373,"*GCO – Services Sales*")</f>
        <v>0</v>
      </c>
      <c r="O374">
        <f>COUNTIF('Metrics - Articles'!F373,"*GCO – Other*")</f>
        <v>0</v>
      </c>
      <c r="P374">
        <f>COUNTIF('Metrics - Articles'!F373,"*Corporate*")</f>
        <v>0</v>
      </c>
      <c r="R374" s="53">
        <f t="shared" si="7"/>
        <v>0</v>
      </c>
    </row>
    <row r="375" spans="2:18" x14ac:dyDescent="0.25">
      <c r="B375" s="48">
        <f>+'Metrics - Articles'!C374</f>
        <v>0</v>
      </c>
      <c r="C375">
        <f>COUNTIF('Metrics - Articles'!F374,"*GPO (Partner, Ecosystem, Channels)*")</f>
        <v>0</v>
      </c>
      <c r="D375">
        <f>COUNTIF('Metrics - Articles'!F374,"*Office of the CEO*")</f>
        <v>0</v>
      </c>
      <c r="E375">
        <f>COUNTIF('Metrics - Articles'!F374,"*Services Delivery &amp; Support (go-lives and deployments) *")</f>
        <v>0</v>
      </c>
      <c r="F375">
        <f>COUNTIF('Metrics - Articles'!F374,"*Human Resources (SAP HR and employee stories)*")</f>
        <v>0</v>
      </c>
      <c r="G375">
        <f>COUNTIF('Metrics - Articles'!F374,"*P&amp;I (Research &amp; Development)*")</f>
        <v>0</v>
      </c>
      <c r="H375">
        <f>COUNTIF('Metrics - Articles'!F374,"*Business Network (Concur, Ariba, Fieldglass)*")</f>
        <v>0</v>
      </c>
      <c r="I375">
        <f>COUNTIF('Metrics - Articles'!F374,"*GCO – Regions*")</f>
        <v>0</v>
      </c>
      <c r="J375">
        <f>COUNTIF('Metrics - Articles'!F374,"*GCO – Platform Solutions*")</f>
        <v>0</v>
      </c>
      <c r="K375">
        <f>COUNTIF('Metrics - Articles'!F374,"*GCO – Industry Cloud *")</f>
        <v>0</v>
      </c>
      <c r="L375">
        <f>COUNTIF('Metrics - Articles'!F374,"*GCO – Customer Engagement &amp; Commerce (CRM &amp; hybris) *")</f>
        <v>0</v>
      </c>
      <c r="M375">
        <f>COUNTIF('Metrics - Articles'!F374,"*GCO – HR (SuccessFactors)*")</f>
        <v>0</v>
      </c>
      <c r="N375">
        <f>COUNTIF('Metrics - Articles'!F374,"*GCO – Services Sales*")</f>
        <v>0</v>
      </c>
      <c r="O375">
        <f>COUNTIF('Metrics - Articles'!F374,"*GCO – Other*")</f>
        <v>0</v>
      </c>
      <c r="P375">
        <f>COUNTIF('Metrics - Articles'!F374,"*Corporate*")</f>
        <v>0</v>
      </c>
      <c r="R375" s="53">
        <f t="shared" si="7"/>
        <v>0</v>
      </c>
    </row>
    <row r="376" spans="2:18" x14ac:dyDescent="0.25">
      <c r="B376" s="48">
        <f>+'Metrics - Articles'!C375</f>
        <v>0</v>
      </c>
      <c r="C376">
        <f>COUNTIF('Metrics - Articles'!F375,"*GPO (Partner, Ecosystem, Channels)*")</f>
        <v>0</v>
      </c>
      <c r="D376">
        <f>COUNTIF('Metrics - Articles'!F375,"*Office of the CEO*")</f>
        <v>0</v>
      </c>
      <c r="E376">
        <f>COUNTIF('Metrics - Articles'!F375,"*Services Delivery &amp; Support (go-lives and deployments) *")</f>
        <v>0</v>
      </c>
      <c r="F376">
        <f>COUNTIF('Metrics - Articles'!F375,"*Human Resources (SAP HR and employee stories)*")</f>
        <v>0</v>
      </c>
      <c r="G376">
        <f>COUNTIF('Metrics - Articles'!F375,"*P&amp;I (Research &amp; Development)*")</f>
        <v>0</v>
      </c>
      <c r="H376">
        <f>COUNTIF('Metrics - Articles'!F375,"*Business Network (Concur, Ariba, Fieldglass)*")</f>
        <v>0</v>
      </c>
      <c r="I376">
        <f>COUNTIF('Metrics - Articles'!F375,"*GCO – Regions*")</f>
        <v>0</v>
      </c>
      <c r="J376">
        <f>COUNTIF('Metrics - Articles'!F375,"*GCO – Platform Solutions*")</f>
        <v>0</v>
      </c>
      <c r="K376">
        <f>COUNTIF('Metrics - Articles'!F375,"*GCO – Industry Cloud *")</f>
        <v>0</v>
      </c>
      <c r="L376">
        <f>COUNTIF('Metrics - Articles'!F375,"*GCO – Customer Engagement &amp; Commerce (CRM &amp; hybris) *")</f>
        <v>0</v>
      </c>
      <c r="M376">
        <f>COUNTIF('Metrics - Articles'!F375,"*GCO – HR (SuccessFactors)*")</f>
        <v>0</v>
      </c>
      <c r="N376">
        <f>COUNTIF('Metrics - Articles'!F375,"*GCO – Services Sales*")</f>
        <v>0</v>
      </c>
      <c r="O376">
        <f>COUNTIF('Metrics - Articles'!F375,"*GCO – Other*")</f>
        <v>0</v>
      </c>
      <c r="P376">
        <f>COUNTIF('Metrics - Articles'!F375,"*Corporate*")</f>
        <v>0</v>
      </c>
      <c r="R376" s="53">
        <f t="shared" si="7"/>
        <v>0</v>
      </c>
    </row>
    <row r="377" spans="2:18" x14ac:dyDescent="0.25">
      <c r="B377" s="48">
        <f>+'Metrics - Articles'!C376</f>
        <v>0</v>
      </c>
      <c r="C377">
        <f>COUNTIF('Metrics - Articles'!F376,"*GPO (Partner, Ecosystem, Channels)*")</f>
        <v>0</v>
      </c>
      <c r="D377">
        <f>COUNTIF('Metrics - Articles'!F376,"*Office of the CEO*")</f>
        <v>0</v>
      </c>
      <c r="E377">
        <f>COUNTIF('Metrics - Articles'!F376,"*Services Delivery &amp; Support (go-lives and deployments) *")</f>
        <v>0</v>
      </c>
      <c r="F377">
        <f>COUNTIF('Metrics - Articles'!F376,"*Human Resources (SAP HR and employee stories)*")</f>
        <v>0</v>
      </c>
      <c r="G377">
        <f>COUNTIF('Metrics - Articles'!F376,"*P&amp;I (Research &amp; Development)*")</f>
        <v>0</v>
      </c>
      <c r="H377">
        <f>COUNTIF('Metrics - Articles'!F376,"*Business Network (Concur, Ariba, Fieldglass)*")</f>
        <v>0</v>
      </c>
      <c r="I377">
        <f>COUNTIF('Metrics - Articles'!F376,"*GCO – Regions*")</f>
        <v>0</v>
      </c>
      <c r="J377">
        <f>COUNTIF('Metrics - Articles'!F376,"*GCO – Platform Solutions*")</f>
        <v>0</v>
      </c>
      <c r="K377">
        <f>COUNTIF('Metrics - Articles'!F376,"*GCO – Industry Cloud *")</f>
        <v>0</v>
      </c>
      <c r="L377">
        <f>COUNTIF('Metrics - Articles'!F376,"*GCO – Customer Engagement &amp; Commerce (CRM &amp; hybris) *")</f>
        <v>0</v>
      </c>
      <c r="M377">
        <f>COUNTIF('Metrics - Articles'!F376,"*GCO – HR (SuccessFactors)*")</f>
        <v>0</v>
      </c>
      <c r="N377">
        <f>COUNTIF('Metrics - Articles'!F376,"*GCO – Services Sales*")</f>
        <v>0</v>
      </c>
      <c r="O377">
        <f>COUNTIF('Metrics - Articles'!F376,"*GCO – Other*")</f>
        <v>0</v>
      </c>
      <c r="P377">
        <f>COUNTIF('Metrics - Articles'!F376,"*Corporate*")</f>
        <v>0</v>
      </c>
      <c r="R377" s="53">
        <f t="shared" si="7"/>
        <v>0</v>
      </c>
    </row>
    <row r="378" spans="2:18" x14ac:dyDescent="0.25">
      <c r="B378" s="48">
        <f>+'Metrics - Articles'!C377</f>
        <v>0</v>
      </c>
      <c r="C378">
        <f>COUNTIF('Metrics - Articles'!F377,"*GPO (Partner, Ecosystem, Channels)*")</f>
        <v>0</v>
      </c>
      <c r="D378">
        <f>COUNTIF('Metrics - Articles'!F377,"*Office of the CEO*")</f>
        <v>0</v>
      </c>
      <c r="E378">
        <f>COUNTIF('Metrics - Articles'!F377,"*Services Delivery &amp; Support (go-lives and deployments) *")</f>
        <v>0</v>
      </c>
      <c r="F378">
        <f>COUNTIF('Metrics - Articles'!F377,"*Human Resources (SAP HR and employee stories)*")</f>
        <v>0</v>
      </c>
      <c r="G378">
        <f>COUNTIF('Metrics - Articles'!F377,"*P&amp;I (Research &amp; Development)*")</f>
        <v>0</v>
      </c>
      <c r="H378">
        <f>COUNTIF('Metrics - Articles'!F377,"*Business Network (Concur, Ariba, Fieldglass)*")</f>
        <v>0</v>
      </c>
      <c r="I378">
        <f>COUNTIF('Metrics - Articles'!F377,"*GCO – Regions*")</f>
        <v>0</v>
      </c>
      <c r="J378">
        <f>COUNTIF('Metrics - Articles'!F377,"*GCO – Platform Solutions*")</f>
        <v>0</v>
      </c>
      <c r="K378">
        <f>COUNTIF('Metrics - Articles'!F377,"*GCO – Industry Cloud *")</f>
        <v>0</v>
      </c>
      <c r="L378">
        <f>COUNTIF('Metrics - Articles'!F377,"*GCO – Customer Engagement &amp; Commerce (CRM &amp; hybris) *")</f>
        <v>0</v>
      </c>
      <c r="M378">
        <f>COUNTIF('Metrics - Articles'!F377,"*GCO – HR (SuccessFactors)*")</f>
        <v>0</v>
      </c>
      <c r="N378">
        <f>COUNTIF('Metrics - Articles'!F377,"*GCO – Services Sales*")</f>
        <v>0</v>
      </c>
      <c r="O378">
        <f>COUNTIF('Metrics - Articles'!F377,"*GCO – Other*")</f>
        <v>0</v>
      </c>
      <c r="P378">
        <f>COUNTIF('Metrics - Articles'!F377,"*Corporate*")</f>
        <v>0</v>
      </c>
      <c r="R378" s="53">
        <f t="shared" si="7"/>
        <v>0</v>
      </c>
    </row>
    <row r="379" spans="2:18" x14ac:dyDescent="0.25">
      <c r="B379" s="48">
        <f>+'Metrics - Articles'!C378</f>
        <v>0</v>
      </c>
      <c r="C379">
        <f>COUNTIF('Metrics - Articles'!F378,"*GPO (Partner, Ecosystem, Channels)*")</f>
        <v>0</v>
      </c>
      <c r="D379">
        <f>COUNTIF('Metrics - Articles'!F378,"*Office of the CEO*")</f>
        <v>0</v>
      </c>
      <c r="E379">
        <f>COUNTIF('Metrics - Articles'!F378,"*Services Delivery &amp; Support (go-lives and deployments) *")</f>
        <v>0</v>
      </c>
      <c r="F379">
        <f>COUNTIF('Metrics - Articles'!F378,"*Human Resources (SAP HR and employee stories)*")</f>
        <v>0</v>
      </c>
      <c r="G379">
        <f>COUNTIF('Metrics - Articles'!F378,"*P&amp;I (Research &amp; Development)*")</f>
        <v>0</v>
      </c>
      <c r="H379">
        <f>COUNTIF('Metrics - Articles'!F378,"*Business Network (Concur, Ariba, Fieldglass)*")</f>
        <v>0</v>
      </c>
      <c r="I379">
        <f>COUNTIF('Metrics - Articles'!F378,"*GCO – Regions*")</f>
        <v>0</v>
      </c>
      <c r="J379">
        <f>COUNTIF('Metrics - Articles'!F378,"*GCO – Platform Solutions*")</f>
        <v>0</v>
      </c>
      <c r="K379">
        <f>COUNTIF('Metrics - Articles'!F378,"*GCO – Industry Cloud *")</f>
        <v>0</v>
      </c>
      <c r="L379">
        <f>COUNTIF('Metrics - Articles'!F378,"*GCO – Customer Engagement &amp; Commerce (CRM &amp; hybris) *")</f>
        <v>0</v>
      </c>
      <c r="M379">
        <f>COUNTIF('Metrics - Articles'!F378,"*GCO – HR (SuccessFactors)*")</f>
        <v>0</v>
      </c>
      <c r="N379">
        <f>COUNTIF('Metrics - Articles'!F378,"*GCO – Services Sales*")</f>
        <v>0</v>
      </c>
      <c r="O379">
        <f>COUNTIF('Metrics - Articles'!F378,"*GCO – Other*")</f>
        <v>0</v>
      </c>
      <c r="P379">
        <f>COUNTIF('Metrics - Articles'!F378,"*Corporate*")</f>
        <v>0</v>
      </c>
      <c r="R379" s="53">
        <f t="shared" si="7"/>
        <v>0</v>
      </c>
    </row>
    <row r="380" spans="2:18" x14ac:dyDescent="0.25">
      <c r="B380" s="48">
        <f>+'Metrics - Articles'!C379</f>
        <v>0</v>
      </c>
      <c r="C380">
        <f>COUNTIF('Metrics - Articles'!F379,"*GPO (Partner, Ecosystem, Channels)*")</f>
        <v>0</v>
      </c>
      <c r="D380">
        <f>COUNTIF('Metrics - Articles'!F379,"*Office of the CEO*")</f>
        <v>0</v>
      </c>
      <c r="E380">
        <f>COUNTIF('Metrics - Articles'!F379,"*Services Delivery &amp; Support (go-lives and deployments) *")</f>
        <v>0</v>
      </c>
      <c r="F380">
        <f>COUNTIF('Metrics - Articles'!F379,"*Human Resources (SAP HR and employee stories)*")</f>
        <v>0</v>
      </c>
      <c r="G380">
        <f>COUNTIF('Metrics - Articles'!F379,"*P&amp;I (Research &amp; Development)*")</f>
        <v>0</v>
      </c>
      <c r="H380">
        <f>COUNTIF('Metrics - Articles'!F379,"*Business Network (Concur, Ariba, Fieldglass)*")</f>
        <v>0</v>
      </c>
      <c r="I380">
        <f>COUNTIF('Metrics - Articles'!F379,"*GCO – Regions*")</f>
        <v>0</v>
      </c>
      <c r="J380">
        <f>COUNTIF('Metrics - Articles'!F379,"*GCO – Platform Solutions*")</f>
        <v>0</v>
      </c>
      <c r="K380">
        <f>COUNTIF('Metrics - Articles'!F379,"*GCO – Industry Cloud *")</f>
        <v>0</v>
      </c>
      <c r="L380">
        <f>COUNTIF('Metrics - Articles'!F379,"*GCO – Customer Engagement &amp; Commerce (CRM &amp; hybris) *")</f>
        <v>0</v>
      </c>
      <c r="M380">
        <f>COUNTIF('Metrics - Articles'!F379,"*GCO – HR (SuccessFactors)*")</f>
        <v>0</v>
      </c>
      <c r="N380">
        <f>COUNTIF('Metrics - Articles'!F379,"*GCO – Services Sales*")</f>
        <v>0</v>
      </c>
      <c r="O380">
        <f>COUNTIF('Metrics - Articles'!F379,"*GCO – Other*")</f>
        <v>0</v>
      </c>
      <c r="P380">
        <f>COUNTIF('Metrics - Articles'!F379,"*Corporate*")</f>
        <v>0</v>
      </c>
      <c r="R380" s="53">
        <f t="shared" si="7"/>
        <v>0</v>
      </c>
    </row>
    <row r="381" spans="2:18" x14ac:dyDescent="0.25">
      <c r="B381" s="48">
        <f>+'Metrics - Articles'!C380</f>
        <v>0</v>
      </c>
      <c r="C381">
        <f>COUNTIF('Metrics - Articles'!F380,"*GPO (Partner, Ecosystem, Channels)*")</f>
        <v>0</v>
      </c>
      <c r="D381">
        <f>COUNTIF('Metrics - Articles'!F380,"*Office of the CEO*")</f>
        <v>0</v>
      </c>
      <c r="E381">
        <f>COUNTIF('Metrics - Articles'!F380,"*Services Delivery &amp; Support (go-lives and deployments) *")</f>
        <v>0</v>
      </c>
      <c r="F381">
        <f>COUNTIF('Metrics - Articles'!F380,"*Human Resources (SAP HR and employee stories)*")</f>
        <v>0</v>
      </c>
      <c r="G381">
        <f>COUNTIF('Metrics - Articles'!F380,"*P&amp;I (Research &amp; Development)*")</f>
        <v>0</v>
      </c>
      <c r="H381">
        <f>COUNTIF('Metrics - Articles'!F380,"*Business Network (Concur, Ariba, Fieldglass)*")</f>
        <v>0</v>
      </c>
      <c r="I381">
        <f>COUNTIF('Metrics - Articles'!F380,"*GCO – Regions*")</f>
        <v>0</v>
      </c>
      <c r="J381">
        <f>COUNTIF('Metrics - Articles'!F380,"*GCO – Platform Solutions*")</f>
        <v>0</v>
      </c>
      <c r="K381">
        <f>COUNTIF('Metrics - Articles'!F380,"*GCO – Industry Cloud *")</f>
        <v>0</v>
      </c>
      <c r="L381">
        <f>COUNTIF('Metrics - Articles'!F380,"*GCO – Customer Engagement &amp; Commerce (CRM &amp; hybris) *")</f>
        <v>0</v>
      </c>
      <c r="M381">
        <f>COUNTIF('Metrics - Articles'!F380,"*GCO – HR (SuccessFactors)*")</f>
        <v>0</v>
      </c>
      <c r="N381">
        <f>COUNTIF('Metrics - Articles'!F380,"*GCO – Services Sales*")</f>
        <v>0</v>
      </c>
      <c r="O381">
        <f>COUNTIF('Metrics - Articles'!F380,"*GCO – Other*")</f>
        <v>0</v>
      </c>
      <c r="P381">
        <f>COUNTIF('Metrics - Articles'!F380,"*Corporate*")</f>
        <v>0</v>
      </c>
      <c r="R381" s="53">
        <f t="shared" si="7"/>
        <v>0</v>
      </c>
    </row>
    <row r="382" spans="2:18" x14ac:dyDescent="0.25">
      <c r="B382" s="48">
        <f>+'Metrics - Articles'!C381</f>
        <v>0</v>
      </c>
      <c r="C382">
        <f>COUNTIF('Metrics - Articles'!F381,"*GPO (Partner, Ecosystem, Channels)*")</f>
        <v>0</v>
      </c>
      <c r="D382">
        <f>COUNTIF('Metrics - Articles'!F381,"*Office of the CEO*")</f>
        <v>0</v>
      </c>
      <c r="E382">
        <f>COUNTIF('Metrics - Articles'!F381,"*Services Delivery &amp; Support (go-lives and deployments) *")</f>
        <v>0</v>
      </c>
      <c r="F382">
        <f>COUNTIF('Metrics - Articles'!F381,"*Human Resources (SAP HR and employee stories)*")</f>
        <v>0</v>
      </c>
      <c r="G382">
        <f>COUNTIF('Metrics - Articles'!F381,"*P&amp;I (Research &amp; Development)*")</f>
        <v>0</v>
      </c>
      <c r="H382">
        <f>COUNTIF('Metrics - Articles'!F381,"*Business Network (Concur, Ariba, Fieldglass)*")</f>
        <v>0</v>
      </c>
      <c r="I382">
        <f>COUNTIF('Metrics - Articles'!F381,"*GCO – Regions*")</f>
        <v>0</v>
      </c>
      <c r="J382">
        <f>COUNTIF('Metrics - Articles'!F381,"*GCO – Platform Solutions*")</f>
        <v>0</v>
      </c>
      <c r="K382">
        <f>COUNTIF('Metrics - Articles'!F381,"*GCO – Industry Cloud *")</f>
        <v>0</v>
      </c>
      <c r="L382">
        <f>COUNTIF('Metrics - Articles'!F381,"*GCO – Customer Engagement &amp; Commerce (CRM &amp; hybris) *")</f>
        <v>0</v>
      </c>
      <c r="M382">
        <f>COUNTIF('Metrics - Articles'!F381,"*GCO – HR (SuccessFactors)*")</f>
        <v>0</v>
      </c>
      <c r="N382">
        <f>COUNTIF('Metrics - Articles'!F381,"*GCO – Services Sales*")</f>
        <v>0</v>
      </c>
      <c r="O382">
        <f>COUNTIF('Metrics - Articles'!F381,"*GCO – Other*")</f>
        <v>0</v>
      </c>
      <c r="P382">
        <f>COUNTIF('Metrics - Articles'!F381,"*Corporate*")</f>
        <v>0</v>
      </c>
      <c r="R382" s="53">
        <f t="shared" si="7"/>
        <v>0</v>
      </c>
    </row>
    <row r="383" spans="2:18" x14ac:dyDescent="0.25">
      <c r="B383" s="48">
        <f>+'Metrics - Articles'!C382</f>
        <v>0</v>
      </c>
      <c r="C383">
        <f>COUNTIF('Metrics - Articles'!F382,"*GPO (Partner, Ecosystem, Channels)*")</f>
        <v>0</v>
      </c>
      <c r="D383">
        <f>COUNTIF('Metrics - Articles'!F382,"*Office of the CEO*")</f>
        <v>0</v>
      </c>
      <c r="E383">
        <f>COUNTIF('Metrics - Articles'!F382,"*Services Delivery &amp; Support (go-lives and deployments) *")</f>
        <v>0</v>
      </c>
      <c r="F383">
        <f>COUNTIF('Metrics - Articles'!F382,"*Human Resources (SAP HR and employee stories)*")</f>
        <v>0</v>
      </c>
      <c r="G383">
        <f>COUNTIF('Metrics - Articles'!F382,"*P&amp;I (Research &amp; Development)*")</f>
        <v>0</v>
      </c>
      <c r="H383">
        <f>COUNTIF('Metrics - Articles'!F382,"*Business Network (Concur, Ariba, Fieldglass)*")</f>
        <v>0</v>
      </c>
      <c r="I383">
        <f>COUNTIF('Metrics - Articles'!F382,"*GCO – Regions*")</f>
        <v>0</v>
      </c>
      <c r="J383">
        <f>COUNTIF('Metrics - Articles'!F382,"*GCO – Platform Solutions*")</f>
        <v>0</v>
      </c>
      <c r="K383">
        <f>COUNTIF('Metrics - Articles'!F382,"*GCO – Industry Cloud *")</f>
        <v>0</v>
      </c>
      <c r="L383">
        <f>COUNTIF('Metrics - Articles'!F382,"*GCO – Customer Engagement &amp; Commerce (CRM &amp; hybris) *")</f>
        <v>0</v>
      </c>
      <c r="M383">
        <f>COUNTIF('Metrics - Articles'!F382,"*GCO – HR (SuccessFactors)*")</f>
        <v>0</v>
      </c>
      <c r="N383">
        <f>COUNTIF('Metrics - Articles'!F382,"*GCO – Services Sales*")</f>
        <v>0</v>
      </c>
      <c r="O383">
        <f>COUNTIF('Metrics - Articles'!F382,"*GCO – Other*")</f>
        <v>0</v>
      </c>
      <c r="P383">
        <f>COUNTIF('Metrics - Articles'!F382,"*Corporate*")</f>
        <v>0</v>
      </c>
      <c r="R383" s="53">
        <f t="shared" si="7"/>
        <v>0</v>
      </c>
    </row>
    <row r="384" spans="2:18" x14ac:dyDescent="0.25">
      <c r="B384" s="48">
        <f>+'Metrics - Articles'!C383</f>
        <v>0</v>
      </c>
      <c r="C384">
        <f>COUNTIF('Metrics - Articles'!F383,"*GPO (Partner, Ecosystem, Channels)*")</f>
        <v>0</v>
      </c>
      <c r="D384">
        <f>COUNTIF('Metrics - Articles'!F383,"*Office of the CEO*")</f>
        <v>0</v>
      </c>
      <c r="E384">
        <f>COUNTIF('Metrics - Articles'!F383,"*Services Delivery &amp; Support (go-lives and deployments) *")</f>
        <v>0</v>
      </c>
      <c r="F384">
        <f>COUNTIF('Metrics - Articles'!F383,"*Human Resources (SAP HR and employee stories)*")</f>
        <v>0</v>
      </c>
      <c r="G384">
        <f>COUNTIF('Metrics - Articles'!F383,"*P&amp;I (Research &amp; Development)*")</f>
        <v>0</v>
      </c>
      <c r="H384">
        <f>COUNTIF('Metrics - Articles'!F383,"*Business Network (Concur, Ariba, Fieldglass)*")</f>
        <v>0</v>
      </c>
      <c r="I384">
        <f>COUNTIF('Metrics - Articles'!F383,"*GCO – Regions*")</f>
        <v>0</v>
      </c>
      <c r="J384">
        <f>COUNTIF('Metrics - Articles'!F383,"*GCO – Platform Solutions*")</f>
        <v>0</v>
      </c>
      <c r="K384">
        <f>COUNTIF('Metrics - Articles'!F383,"*GCO – Industry Cloud *")</f>
        <v>0</v>
      </c>
      <c r="L384">
        <f>COUNTIF('Metrics - Articles'!F383,"*GCO – Customer Engagement &amp; Commerce (CRM &amp; hybris) *")</f>
        <v>0</v>
      </c>
      <c r="M384">
        <f>COUNTIF('Metrics - Articles'!F383,"*GCO – HR (SuccessFactors)*")</f>
        <v>0</v>
      </c>
      <c r="N384">
        <f>COUNTIF('Metrics - Articles'!F383,"*GCO – Services Sales*")</f>
        <v>0</v>
      </c>
      <c r="O384">
        <f>COUNTIF('Metrics - Articles'!F383,"*GCO – Other*")</f>
        <v>0</v>
      </c>
      <c r="P384">
        <f>COUNTIF('Metrics - Articles'!F383,"*Corporate*")</f>
        <v>0</v>
      </c>
      <c r="R384" s="53">
        <f t="shared" si="7"/>
        <v>0</v>
      </c>
    </row>
    <row r="385" spans="2:18" x14ac:dyDescent="0.25">
      <c r="B385" s="48">
        <f>+'Metrics - Articles'!C384</f>
        <v>0</v>
      </c>
      <c r="C385">
        <f>COUNTIF('Metrics - Articles'!F384,"*GPO (Partner, Ecosystem, Channels)*")</f>
        <v>0</v>
      </c>
      <c r="D385">
        <f>COUNTIF('Metrics - Articles'!F384,"*Office of the CEO*")</f>
        <v>0</v>
      </c>
      <c r="E385">
        <f>COUNTIF('Metrics - Articles'!F384,"*Services Delivery &amp; Support (go-lives and deployments) *")</f>
        <v>0</v>
      </c>
      <c r="F385">
        <f>COUNTIF('Metrics - Articles'!F384,"*Human Resources (SAP HR and employee stories)*")</f>
        <v>0</v>
      </c>
      <c r="G385">
        <f>COUNTIF('Metrics - Articles'!F384,"*P&amp;I (Research &amp; Development)*")</f>
        <v>0</v>
      </c>
      <c r="H385">
        <f>COUNTIF('Metrics - Articles'!F384,"*Business Network (Concur, Ariba, Fieldglass)*")</f>
        <v>0</v>
      </c>
      <c r="I385">
        <f>COUNTIF('Metrics - Articles'!F384,"*GCO – Regions*")</f>
        <v>0</v>
      </c>
      <c r="J385">
        <f>COUNTIF('Metrics - Articles'!F384,"*GCO – Platform Solutions*")</f>
        <v>0</v>
      </c>
      <c r="K385">
        <f>COUNTIF('Metrics - Articles'!F384,"*GCO – Industry Cloud *")</f>
        <v>0</v>
      </c>
      <c r="L385">
        <f>COUNTIF('Metrics - Articles'!F384,"*GCO – Customer Engagement &amp; Commerce (CRM &amp; hybris) *")</f>
        <v>0</v>
      </c>
      <c r="M385">
        <f>COUNTIF('Metrics - Articles'!F384,"*GCO – HR (SuccessFactors)*")</f>
        <v>0</v>
      </c>
      <c r="N385">
        <f>COUNTIF('Metrics - Articles'!F384,"*GCO – Services Sales*")</f>
        <v>0</v>
      </c>
      <c r="O385">
        <f>COUNTIF('Metrics - Articles'!F384,"*GCO – Other*")</f>
        <v>0</v>
      </c>
      <c r="P385">
        <f>COUNTIF('Metrics - Articles'!F384,"*Corporate*")</f>
        <v>0</v>
      </c>
      <c r="R385" s="53">
        <f t="shared" si="7"/>
        <v>0</v>
      </c>
    </row>
    <row r="386" spans="2:18" x14ac:dyDescent="0.25">
      <c r="B386" s="48">
        <f>+'Metrics - Articles'!C385</f>
        <v>0</v>
      </c>
      <c r="C386">
        <f>COUNTIF('Metrics - Articles'!F385,"*GPO (Partner, Ecosystem, Channels)*")</f>
        <v>0</v>
      </c>
      <c r="D386">
        <f>COUNTIF('Metrics - Articles'!F385,"*Office of the CEO*")</f>
        <v>0</v>
      </c>
      <c r="E386">
        <f>COUNTIF('Metrics - Articles'!F385,"*Services Delivery &amp; Support (go-lives and deployments) *")</f>
        <v>0</v>
      </c>
      <c r="F386">
        <f>COUNTIF('Metrics - Articles'!F385,"*Human Resources (SAP HR and employee stories)*")</f>
        <v>0</v>
      </c>
      <c r="G386">
        <f>COUNTIF('Metrics - Articles'!F385,"*P&amp;I (Research &amp; Development)*")</f>
        <v>0</v>
      </c>
      <c r="H386">
        <f>COUNTIF('Metrics - Articles'!F385,"*Business Network (Concur, Ariba, Fieldglass)*")</f>
        <v>0</v>
      </c>
      <c r="I386">
        <f>COUNTIF('Metrics - Articles'!F385,"*GCO – Regions*")</f>
        <v>0</v>
      </c>
      <c r="J386">
        <f>COUNTIF('Metrics - Articles'!F385,"*GCO – Platform Solutions*")</f>
        <v>0</v>
      </c>
      <c r="K386">
        <f>COUNTIF('Metrics - Articles'!F385,"*GCO – Industry Cloud *")</f>
        <v>0</v>
      </c>
      <c r="L386">
        <f>COUNTIF('Metrics - Articles'!F385,"*GCO – Customer Engagement &amp; Commerce (CRM &amp; hybris) *")</f>
        <v>0</v>
      </c>
      <c r="M386">
        <f>COUNTIF('Metrics - Articles'!F385,"*GCO – HR (SuccessFactors)*")</f>
        <v>0</v>
      </c>
      <c r="N386">
        <f>COUNTIF('Metrics - Articles'!F385,"*GCO – Services Sales*")</f>
        <v>0</v>
      </c>
      <c r="O386">
        <f>COUNTIF('Metrics - Articles'!F385,"*GCO – Other*")</f>
        <v>0</v>
      </c>
      <c r="P386">
        <f>COUNTIF('Metrics - Articles'!F385,"*Corporate*")</f>
        <v>0</v>
      </c>
      <c r="R386" s="53">
        <f t="shared" si="7"/>
        <v>0</v>
      </c>
    </row>
    <row r="387" spans="2:18" x14ac:dyDescent="0.25">
      <c r="B387" s="48">
        <f>+'Metrics - Articles'!C386</f>
        <v>0</v>
      </c>
      <c r="C387">
        <f>COUNTIF('Metrics - Articles'!F386,"*GPO (Partner, Ecosystem, Channels)*")</f>
        <v>0</v>
      </c>
      <c r="D387">
        <f>COUNTIF('Metrics - Articles'!F386,"*Office of the CEO*")</f>
        <v>0</v>
      </c>
      <c r="E387">
        <f>COUNTIF('Metrics - Articles'!F386,"*Services Delivery &amp; Support (go-lives and deployments) *")</f>
        <v>0</v>
      </c>
      <c r="F387">
        <f>COUNTIF('Metrics - Articles'!F386,"*Human Resources (SAP HR and employee stories)*")</f>
        <v>0</v>
      </c>
      <c r="G387">
        <f>COUNTIF('Metrics - Articles'!F386,"*P&amp;I (Research &amp; Development)*")</f>
        <v>0</v>
      </c>
      <c r="H387">
        <f>COUNTIF('Metrics - Articles'!F386,"*Business Network (Concur, Ariba, Fieldglass)*")</f>
        <v>0</v>
      </c>
      <c r="I387">
        <f>COUNTIF('Metrics - Articles'!F386,"*GCO – Regions*")</f>
        <v>0</v>
      </c>
      <c r="J387">
        <f>COUNTIF('Metrics - Articles'!F386,"*GCO – Platform Solutions*")</f>
        <v>0</v>
      </c>
      <c r="K387">
        <f>COUNTIF('Metrics - Articles'!F386,"*GCO – Industry Cloud *")</f>
        <v>0</v>
      </c>
      <c r="L387">
        <f>COUNTIF('Metrics - Articles'!F386,"*GCO – Customer Engagement &amp; Commerce (CRM &amp; hybris) *")</f>
        <v>0</v>
      </c>
      <c r="M387">
        <f>COUNTIF('Metrics - Articles'!F386,"*GCO – HR (SuccessFactors)*")</f>
        <v>0</v>
      </c>
      <c r="N387">
        <f>COUNTIF('Metrics - Articles'!F386,"*GCO – Services Sales*")</f>
        <v>0</v>
      </c>
      <c r="O387">
        <f>COUNTIF('Metrics - Articles'!F386,"*GCO – Other*")</f>
        <v>0</v>
      </c>
      <c r="P387">
        <f>COUNTIF('Metrics - Articles'!F386,"*Corporate*")</f>
        <v>0</v>
      </c>
      <c r="R387" s="53">
        <f t="shared" si="7"/>
        <v>0</v>
      </c>
    </row>
    <row r="388" spans="2:18" x14ac:dyDescent="0.25">
      <c r="B388" s="48">
        <f>+'Metrics - Articles'!C387</f>
        <v>0</v>
      </c>
      <c r="C388">
        <f>COUNTIF('Metrics - Articles'!F387,"*GPO (Partner, Ecosystem, Channels)*")</f>
        <v>0</v>
      </c>
      <c r="D388">
        <f>COUNTIF('Metrics - Articles'!F387,"*Office of the CEO*")</f>
        <v>0</v>
      </c>
      <c r="E388">
        <f>COUNTIF('Metrics - Articles'!F387,"*Services Delivery &amp; Support (go-lives and deployments) *")</f>
        <v>0</v>
      </c>
      <c r="F388">
        <f>COUNTIF('Metrics - Articles'!F387,"*Human Resources (SAP HR and employee stories)*")</f>
        <v>0</v>
      </c>
      <c r="G388">
        <f>COUNTIF('Metrics - Articles'!F387,"*P&amp;I (Research &amp; Development)*")</f>
        <v>0</v>
      </c>
      <c r="H388">
        <f>COUNTIF('Metrics - Articles'!F387,"*Business Network (Concur, Ariba, Fieldglass)*")</f>
        <v>0</v>
      </c>
      <c r="I388">
        <f>COUNTIF('Metrics - Articles'!F387,"*GCO – Regions*")</f>
        <v>0</v>
      </c>
      <c r="J388">
        <f>COUNTIF('Metrics - Articles'!F387,"*GCO – Platform Solutions*")</f>
        <v>0</v>
      </c>
      <c r="K388">
        <f>COUNTIF('Metrics - Articles'!F387,"*GCO – Industry Cloud *")</f>
        <v>0</v>
      </c>
      <c r="L388">
        <f>COUNTIF('Metrics - Articles'!F387,"*GCO – Customer Engagement &amp; Commerce (CRM &amp; hybris) *")</f>
        <v>0</v>
      </c>
      <c r="M388">
        <f>COUNTIF('Metrics - Articles'!F387,"*GCO – HR (SuccessFactors)*")</f>
        <v>0</v>
      </c>
      <c r="N388">
        <f>COUNTIF('Metrics - Articles'!F387,"*GCO – Services Sales*")</f>
        <v>0</v>
      </c>
      <c r="O388">
        <f>COUNTIF('Metrics - Articles'!F387,"*GCO – Other*")</f>
        <v>0</v>
      </c>
      <c r="P388">
        <f>COUNTIF('Metrics - Articles'!F387,"*Corporate*")</f>
        <v>0</v>
      </c>
      <c r="R388" s="53">
        <f t="shared" si="7"/>
        <v>0</v>
      </c>
    </row>
    <row r="389" spans="2:18" x14ac:dyDescent="0.25">
      <c r="B389" s="48">
        <f>+'Metrics - Articles'!C388</f>
        <v>0</v>
      </c>
      <c r="C389">
        <f>COUNTIF('Metrics - Articles'!F388,"*GPO (Partner, Ecosystem, Channels)*")</f>
        <v>0</v>
      </c>
      <c r="D389">
        <f>COUNTIF('Metrics - Articles'!F388,"*Office of the CEO*")</f>
        <v>0</v>
      </c>
      <c r="E389">
        <f>COUNTIF('Metrics - Articles'!F388,"*Services Delivery &amp; Support (go-lives and deployments) *")</f>
        <v>0</v>
      </c>
      <c r="F389">
        <f>COUNTIF('Metrics - Articles'!F388,"*Human Resources (SAP HR and employee stories)*")</f>
        <v>0</v>
      </c>
      <c r="G389">
        <f>COUNTIF('Metrics - Articles'!F388,"*P&amp;I (Research &amp; Development)*")</f>
        <v>0</v>
      </c>
      <c r="H389">
        <f>COUNTIF('Metrics - Articles'!F388,"*Business Network (Concur, Ariba, Fieldglass)*")</f>
        <v>0</v>
      </c>
      <c r="I389">
        <f>COUNTIF('Metrics - Articles'!F388,"*GCO – Regions*")</f>
        <v>0</v>
      </c>
      <c r="J389">
        <f>COUNTIF('Metrics - Articles'!F388,"*GCO – Platform Solutions*")</f>
        <v>0</v>
      </c>
      <c r="K389">
        <f>COUNTIF('Metrics - Articles'!F388,"*GCO – Industry Cloud *")</f>
        <v>0</v>
      </c>
      <c r="L389">
        <f>COUNTIF('Metrics - Articles'!F388,"*GCO – Customer Engagement &amp; Commerce (CRM &amp; hybris) *")</f>
        <v>0</v>
      </c>
      <c r="M389">
        <f>COUNTIF('Metrics - Articles'!F388,"*GCO – HR (SuccessFactors)*")</f>
        <v>0</v>
      </c>
      <c r="N389">
        <f>COUNTIF('Metrics - Articles'!F388,"*GCO – Services Sales*")</f>
        <v>0</v>
      </c>
      <c r="O389">
        <f>COUNTIF('Metrics - Articles'!F388,"*GCO – Other*")</f>
        <v>0</v>
      </c>
      <c r="P389">
        <f>COUNTIF('Metrics - Articles'!F388,"*Corporate*")</f>
        <v>0</v>
      </c>
      <c r="R389" s="53">
        <f t="shared" si="7"/>
        <v>0</v>
      </c>
    </row>
    <row r="390" spans="2:18" x14ac:dyDescent="0.25">
      <c r="B390" s="48">
        <f>+'Metrics - Articles'!C389</f>
        <v>0</v>
      </c>
      <c r="C390">
        <f>COUNTIF('Metrics - Articles'!F389,"*GPO (Partner, Ecosystem, Channels)*")</f>
        <v>0</v>
      </c>
      <c r="D390">
        <f>COUNTIF('Metrics - Articles'!F389,"*Office of the CEO*")</f>
        <v>0</v>
      </c>
      <c r="E390">
        <f>COUNTIF('Metrics - Articles'!F389,"*Services Delivery &amp; Support (go-lives and deployments) *")</f>
        <v>0</v>
      </c>
      <c r="F390">
        <f>COUNTIF('Metrics - Articles'!F389,"*Human Resources (SAP HR and employee stories)*")</f>
        <v>0</v>
      </c>
      <c r="G390">
        <f>COUNTIF('Metrics - Articles'!F389,"*P&amp;I (Research &amp; Development)*")</f>
        <v>0</v>
      </c>
      <c r="H390">
        <f>COUNTIF('Metrics - Articles'!F389,"*Business Network (Concur, Ariba, Fieldglass)*")</f>
        <v>0</v>
      </c>
      <c r="I390">
        <f>COUNTIF('Metrics - Articles'!F389,"*GCO – Regions*")</f>
        <v>0</v>
      </c>
      <c r="J390">
        <f>COUNTIF('Metrics - Articles'!F389,"*GCO – Platform Solutions*")</f>
        <v>0</v>
      </c>
      <c r="K390">
        <f>COUNTIF('Metrics - Articles'!F389,"*GCO – Industry Cloud *")</f>
        <v>0</v>
      </c>
      <c r="L390">
        <f>COUNTIF('Metrics - Articles'!F389,"*GCO – Customer Engagement &amp; Commerce (CRM &amp; hybris) *")</f>
        <v>0</v>
      </c>
      <c r="M390">
        <f>COUNTIF('Metrics - Articles'!F389,"*GCO – HR (SuccessFactors)*")</f>
        <v>0</v>
      </c>
      <c r="N390">
        <f>COUNTIF('Metrics - Articles'!F389,"*GCO – Services Sales*")</f>
        <v>0</v>
      </c>
      <c r="O390">
        <f>COUNTIF('Metrics - Articles'!F389,"*GCO – Other*")</f>
        <v>0</v>
      </c>
      <c r="P390">
        <f>COUNTIF('Metrics - Articles'!F389,"*Corporate*")</f>
        <v>0</v>
      </c>
      <c r="R390" s="53">
        <f t="shared" si="7"/>
        <v>0</v>
      </c>
    </row>
    <row r="391" spans="2:18" x14ac:dyDescent="0.25">
      <c r="B391" s="48">
        <f>+'Metrics - Articles'!C390</f>
        <v>0</v>
      </c>
      <c r="C391">
        <f>COUNTIF('Metrics - Articles'!F390,"*GPO (Partner, Ecosystem, Channels)*")</f>
        <v>0</v>
      </c>
      <c r="D391">
        <f>COUNTIF('Metrics - Articles'!F390,"*Office of the CEO*")</f>
        <v>0</v>
      </c>
      <c r="E391">
        <f>COUNTIF('Metrics - Articles'!F390,"*Services Delivery &amp; Support (go-lives and deployments) *")</f>
        <v>0</v>
      </c>
      <c r="F391">
        <f>COUNTIF('Metrics - Articles'!F390,"*Human Resources (SAP HR and employee stories)*")</f>
        <v>0</v>
      </c>
      <c r="G391">
        <f>COUNTIF('Metrics - Articles'!F390,"*P&amp;I (Research &amp; Development)*")</f>
        <v>0</v>
      </c>
      <c r="H391">
        <f>COUNTIF('Metrics - Articles'!F390,"*Business Network (Concur, Ariba, Fieldglass)*")</f>
        <v>0</v>
      </c>
      <c r="I391">
        <f>COUNTIF('Metrics - Articles'!F390,"*GCO – Regions*")</f>
        <v>0</v>
      </c>
      <c r="J391">
        <f>COUNTIF('Metrics - Articles'!F390,"*GCO – Platform Solutions*")</f>
        <v>0</v>
      </c>
      <c r="K391">
        <f>COUNTIF('Metrics - Articles'!F390,"*GCO – Industry Cloud *")</f>
        <v>0</v>
      </c>
      <c r="L391">
        <f>COUNTIF('Metrics - Articles'!F390,"*GCO – Customer Engagement &amp; Commerce (CRM &amp; hybris) *")</f>
        <v>0</v>
      </c>
      <c r="M391">
        <f>COUNTIF('Metrics - Articles'!F390,"*GCO – HR (SuccessFactors)*")</f>
        <v>0</v>
      </c>
      <c r="N391">
        <f>COUNTIF('Metrics - Articles'!F390,"*GCO – Services Sales*")</f>
        <v>0</v>
      </c>
      <c r="O391">
        <f>COUNTIF('Metrics - Articles'!F390,"*GCO – Other*")</f>
        <v>0</v>
      </c>
      <c r="P391">
        <f>COUNTIF('Metrics - Articles'!F390,"*Corporate*")</f>
        <v>0</v>
      </c>
      <c r="R391" s="53">
        <f t="shared" si="7"/>
        <v>0</v>
      </c>
    </row>
    <row r="392" spans="2:18" x14ac:dyDescent="0.25">
      <c r="B392" s="48">
        <f>+'Metrics - Articles'!C391</f>
        <v>0</v>
      </c>
      <c r="C392">
        <f>COUNTIF('Metrics - Articles'!F391,"*GPO (Partner, Ecosystem, Channels)*")</f>
        <v>0</v>
      </c>
      <c r="D392">
        <f>COUNTIF('Metrics - Articles'!F391,"*Office of the CEO*")</f>
        <v>0</v>
      </c>
      <c r="E392">
        <f>COUNTIF('Metrics - Articles'!F391,"*Services Delivery &amp; Support (go-lives and deployments) *")</f>
        <v>0</v>
      </c>
      <c r="F392">
        <f>COUNTIF('Metrics - Articles'!F391,"*Human Resources (SAP HR and employee stories)*")</f>
        <v>0</v>
      </c>
      <c r="G392">
        <f>COUNTIF('Metrics - Articles'!F391,"*P&amp;I (Research &amp; Development)*")</f>
        <v>0</v>
      </c>
      <c r="H392">
        <f>COUNTIF('Metrics - Articles'!F391,"*Business Network (Concur, Ariba, Fieldglass)*")</f>
        <v>0</v>
      </c>
      <c r="I392">
        <f>COUNTIF('Metrics - Articles'!F391,"*GCO – Regions*")</f>
        <v>0</v>
      </c>
      <c r="J392">
        <f>COUNTIF('Metrics - Articles'!F391,"*GCO – Platform Solutions*")</f>
        <v>0</v>
      </c>
      <c r="K392">
        <f>COUNTIF('Metrics - Articles'!F391,"*GCO – Industry Cloud *")</f>
        <v>0</v>
      </c>
      <c r="L392">
        <f>COUNTIF('Metrics - Articles'!F391,"*GCO – Customer Engagement &amp; Commerce (CRM &amp; hybris) *")</f>
        <v>0</v>
      </c>
      <c r="M392">
        <f>COUNTIF('Metrics - Articles'!F391,"*GCO – HR (SuccessFactors)*")</f>
        <v>0</v>
      </c>
      <c r="N392">
        <f>COUNTIF('Metrics - Articles'!F391,"*GCO – Services Sales*")</f>
        <v>0</v>
      </c>
      <c r="O392">
        <f>COUNTIF('Metrics - Articles'!F391,"*GCO – Other*")</f>
        <v>0</v>
      </c>
      <c r="P392">
        <f>COUNTIF('Metrics - Articles'!F391,"*Corporate*")</f>
        <v>0</v>
      </c>
      <c r="R392" s="53">
        <f t="shared" si="7"/>
        <v>0</v>
      </c>
    </row>
    <row r="393" spans="2:18" x14ac:dyDescent="0.25">
      <c r="B393" s="48">
        <f>+'Metrics - Articles'!C392</f>
        <v>0</v>
      </c>
      <c r="C393">
        <f>COUNTIF('Metrics - Articles'!F392,"*GPO (Partner, Ecosystem, Channels)*")</f>
        <v>0</v>
      </c>
      <c r="D393">
        <f>COUNTIF('Metrics - Articles'!F392,"*Office of the CEO*")</f>
        <v>0</v>
      </c>
      <c r="E393">
        <f>COUNTIF('Metrics - Articles'!F392,"*Services Delivery &amp; Support (go-lives and deployments) *")</f>
        <v>0</v>
      </c>
      <c r="F393">
        <f>COUNTIF('Metrics - Articles'!F392,"*Human Resources (SAP HR and employee stories)*")</f>
        <v>0</v>
      </c>
      <c r="G393">
        <f>COUNTIF('Metrics - Articles'!F392,"*P&amp;I (Research &amp; Development)*")</f>
        <v>0</v>
      </c>
      <c r="H393">
        <f>COUNTIF('Metrics - Articles'!F392,"*Business Network (Concur, Ariba, Fieldglass)*")</f>
        <v>0</v>
      </c>
      <c r="I393">
        <f>COUNTIF('Metrics - Articles'!F392,"*GCO – Regions*")</f>
        <v>0</v>
      </c>
      <c r="J393">
        <f>COUNTIF('Metrics - Articles'!F392,"*GCO – Platform Solutions*")</f>
        <v>0</v>
      </c>
      <c r="K393">
        <f>COUNTIF('Metrics - Articles'!F392,"*GCO – Industry Cloud *")</f>
        <v>0</v>
      </c>
      <c r="L393">
        <f>COUNTIF('Metrics - Articles'!F392,"*GCO – Customer Engagement &amp; Commerce (CRM &amp; hybris) *")</f>
        <v>0</v>
      </c>
      <c r="M393">
        <f>COUNTIF('Metrics - Articles'!F392,"*GCO – HR (SuccessFactors)*")</f>
        <v>0</v>
      </c>
      <c r="N393">
        <f>COUNTIF('Metrics - Articles'!F392,"*GCO – Services Sales*")</f>
        <v>0</v>
      </c>
      <c r="O393">
        <f>COUNTIF('Metrics - Articles'!F392,"*GCO – Other*")</f>
        <v>0</v>
      </c>
      <c r="P393">
        <f>COUNTIF('Metrics - Articles'!F392,"*Corporate*")</f>
        <v>0</v>
      </c>
      <c r="R393" s="53">
        <f t="shared" si="7"/>
        <v>0</v>
      </c>
    </row>
    <row r="394" spans="2:18" x14ac:dyDescent="0.25">
      <c r="B394" s="48">
        <f>+'Metrics - Articles'!C393</f>
        <v>0</v>
      </c>
      <c r="C394">
        <f>COUNTIF('Metrics - Articles'!F393,"*GPO (Partner, Ecosystem, Channels)*")</f>
        <v>0</v>
      </c>
      <c r="D394">
        <f>COUNTIF('Metrics - Articles'!F393,"*Office of the CEO*")</f>
        <v>0</v>
      </c>
      <c r="E394">
        <f>COUNTIF('Metrics - Articles'!F393,"*Services Delivery &amp; Support (go-lives and deployments) *")</f>
        <v>0</v>
      </c>
      <c r="F394">
        <f>COUNTIF('Metrics - Articles'!F393,"*Human Resources (SAP HR and employee stories)*")</f>
        <v>0</v>
      </c>
      <c r="G394">
        <f>COUNTIF('Metrics - Articles'!F393,"*P&amp;I (Research &amp; Development)*")</f>
        <v>0</v>
      </c>
      <c r="H394">
        <f>COUNTIF('Metrics - Articles'!F393,"*Business Network (Concur, Ariba, Fieldglass)*")</f>
        <v>0</v>
      </c>
      <c r="I394">
        <f>COUNTIF('Metrics - Articles'!F393,"*GCO – Regions*")</f>
        <v>0</v>
      </c>
      <c r="J394">
        <f>COUNTIF('Metrics - Articles'!F393,"*GCO – Platform Solutions*")</f>
        <v>0</v>
      </c>
      <c r="K394">
        <f>COUNTIF('Metrics - Articles'!F393,"*GCO – Industry Cloud *")</f>
        <v>0</v>
      </c>
      <c r="L394">
        <f>COUNTIF('Metrics - Articles'!F393,"*GCO – Customer Engagement &amp; Commerce (CRM &amp; hybris) *")</f>
        <v>0</v>
      </c>
      <c r="M394">
        <f>COUNTIF('Metrics - Articles'!F393,"*GCO – HR (SuccessFactors)*")</f>
        <v>0</v>
      </c>
      <c r="N394">
        <f>COUNTIF('Metrics - Articles'!F393,"*GCO – Services Sales*")</f>
        <v>0</v>
      </c>
      <c r="O394">
        <f>COUNTIF('Metrics - Articles'!F393,"*GCO – Other*")</f>
        <v>0</v>
      </c>
      <c r="P394">
        <f>COUNTIF('Metrics - Articles'!F393,"*Corporate*")</f>
        <v>0</v>
      </c>
      <c r="R394" s="53">
        <f t="shared" ref="R394:R457" si="8">SUM(C394:Q394)</f>
        <v>0</v>
      </c>
    </row>
    <row r="395" spans="2:18" x14ac:dyDescent="0.25">
      <c r="B395" s="48">
        <f>+'Metrics - Articles'!C394</f>
        <v>0</v>
      </c>
      <c r="C395">
        <f>COUNTIF('Metrics - Articles'!F394,"*GPO (Partner, Ecosystem, Channels)*")</f>
        <v>0</v>
      </c>
      <c r="D395">
        <f>COUNTIF('Metrics - Articles'!F394,"*Office of the CEO*")</f>
        <v>0</v>
      </c>
      <c r="E395">
        <f>COUNTIF('Metrics - Articles'!F394,"*Services Delivery &amp; Support (go-lives and deployments) *")</f>
        <v>0</v>
      </c>
      <c r="F395">
        <f>COUNTIF('Metrics - Articles'!F394,"*Human Resources (SAP HR and employee stories)*")</f>
        <v>0</v>
      </c>
      <c r="G395">
        <f>COUNTIF('Metrics - Articles'!F394,"*P&amp;I (Research &amp; Development)*")</f>
        <v>0</v>
      </c>
      <c r="H395">
        <f>COUNTIF('Metrics - Articles'!F394,"*Business Network (Concur, Ariba, Fieldglass)*")</f>
        <v>0</v>
      </c>
      <c r="I395">
        <f>COUNTIF('Metrics - Articles'!F394,"*GCO – Regions*")</f>
        <v>0</v>
      </c>
      <c r="J395">
        <f>COUNTIF('Metrics - Articles'!F394,"*GCO – Platform Solutions*")</f>
        <v>0</v>
      </c>
      <c r="K395">
        <f>COUNTIF('Metrics - Articles'!F394,"*GCO – Industry Cloud *")</f>
        <v>0</v>
      </c>
      <c r="L395">
        <f>COUNTIF('Metrics - Articles'!F394,"*GCO – Customer Engagement &amp; Commerce (CRM &amp; hybris) *")</f>
        <v>0</v>
      </c>
      <c r="M395">
        <f>COUNTIF('Metrics - Articles'!F394,"*GCO – HR (SuccessFactors)*")</f>
        <v>0</v>
      </c>
      <c r="N395">
        <f>COUNTIF('Metrics - Articles'!F394,"*GCO – Services Sales*")</f>
        <v>0</v>
      </c>
      <c r="O395">
        <f>COUNTIF('Metrics - Articles'!F394,"*GCO – Other*")</f>
        <v>0</v>
      </c>
      <c r="P395">
        <f>COUNTIF('Metrics - Articles'!F394,"*Corporate*")</f>
        <v>0</v>
      </c>
      <c r="R395" s="53">
        <f t="shared" si="8"/>
        <v>0</v>
      </c>
    </row>
    <row r="396" spans="2:18" x14ac:dyDescent="0.25">
      <c r="B396" s="48">
        <f>+'Metrics - Articles'!C395</f>
        <v>0</v>
      </c>
      <c r="C396">
        <f>COUNTIF('Metrics - Articles'!F395,"*GPO (Partner, Ecosystem, Channels)*")</f>
        <v>0</v>
      </c>
      <c r="D396">
        <f>COUNTIF('Metrics - Articles'!F395,"*Office of the CEO*")</f>
        <v>0</v>
      </c>
      <c r="E396">
        <f>COUNTIF('Metrics - Articles'!F395,"*Services Delivery &amp; Support (go-lives and deployments) *")</f>
        <v>0</v>
      </c>
      <c r="F396">
        <f>COUNTIF('Metrics - Articles'!F395,"*Human Resources (SAP HR and employee stories)*")</f>
        <v>0</v>
      </c>
      <c r="G396">
        <f>COUNTIF('Metrics - Articles'!F395,"*P&amp;I (Research &amp; Development)*")</f>
        <v>0</v>
      </c>
      <c r="H396">
        <f>COUNTIF('Metrics - Articles'!F395,"*Business Network (Concur, Ariba, Fieldglass)*")</f>
        <v>0</v>
      </c>
      <c r="I396">
        <f>COUNTIF('Metrics - Articles'!F395,"*GCO – Regions*")</f>
        <v>0</v>
      </c>
      <c r="J396">
        <f>COUNTIF('Metrics - Articles'!F395,"*GCO – Platform Solutions*")</f>
        <v>0</v>
      </c>
      <c r="K396">
        <f>COUNTIF('Metrics - Articles'!F395,"*GCO – Industry Cloud *")</f>
        <v>0</v>
      </c>
      <c r="L396">
        <f>COUNTIF('Metrics - Articles'!F395,"*GCO – Customer Engagement &amp; Commerce (CRM &amp; hybris) *")</f>
        <v>0</v>
      </c>
      <c r="M396">
        <f>COUNTIF('Metrics - Articles'!F395,"*GCO – HR (SuccessFactors)*")</f>
        <v>0</v>
      </c>
      <c r="N396">
        <f>COUNTIF('Metrics - Articles'!F395,"*GCO – Services Sales*")</f>
        <v>0</v>
      </c>
      <c r="O396">
        <f>COUNTIF('Metrics - Articles'!F395,"*GCO – Other*")</f>
        <v>0</v>
      </c>
      <c r="P396">
        <f>COUNTIF('Metrics - Articles'!F395,"*Corporate*")</f>
        <v>0</v>
      </c>
      <c r="R396" s="53">
        <f t="shared" si="8"/>
        <v>0</v>
      </c>
    </row>
    <row r="397" spans="2:18" x14ac:dyDescent="0.25">
      <c r="B397" s="48">
        <f>+'Metrics - Articles'!C396</f>
        <v>0</v>
      </c>
      <c r="C397">
        <f>COUNTIF('Metrics - Articles'!F396,"*GPO (Partner, Ecosystem, Channels)*")</f>
        <v>0</v>
      </c>
      <c r="D397">
        <f>COUNTIF('Metrics - Articles'!F396,"*Office of the CEO*")</f>
        <v>0</v>
      </c>
      <c r="E397">
        <f>COUNTIF('Metrics - Articles'!F396,"*Services Delivery &amp; Support (go-lives and deployments) *")</f>
        <v>0</v>
      </c>
      <c r="F397">
        <f>COUNTIF('Metrics - Articles'!F396,"*Human Resources (SAP HR and employee stories)*")</f>
        <v>0</v>
      </c>
      <c r="G397">
        <f>COUNTIF('Metrics - Articles'!F396,"*P&amp;I (Research &amp; Development)*")</f>
        <v>0</v>
      </c>
      <c r="H397">
        <f>COUNTIF('Metrics - Articles'!F396,"*Business Network (Concur, Ariba, Fieldglass)*")</f>
        <v>0</v>
      </c>
      <c r="I397">
        <f>COUNTIF('Metrics - Articles'!F396,"*GCO – Regions*")</f>
        <v>0</v>
      </c>
      <c r="J397">
        <f>COUNTIF('Metrics - Articles'!F396,"*GCO – Platform Solutions*")</f>
        <v>0</v>
      </c>
      <c r="K397">
        <f>COUNTIF('Metrics - Articles'!F396,"*GCO – Industry Cloud *")</f>
        <v>0</v>
      </c>
      <c r="L397">
        <f>COUNTIF('Metrics - Articles'!F396,"*GCO – Customer Engagement &amp; Commerce (CRM &amp; hybris) *")</f>
        <v>0</v>
      </c>
      <c r="M397">
        <f>COUNTIF('Metrics - Articles'!F396,"*GCO – HR (SuccessFactors)*")</f>
        <v>0</v>
      </c>
      <c r="N397">
        <f>COUNTIF('Metrics - Articles'!F396,"*GCO – Services Sales*")</f>
        <v>0</v>
      </c>
      <c r="O397">
        <f>COUNTIF('Metrics - Articles'!F396,"*GCO – Other*")</f>
        <v>0</v>
      </c>
      <c r="P397">
        <f>COUNTIF('Metrics - Articles'!F396,"*Corporate*")</f>
        <v>0</v>
      </c>
      <c r="R397" s="53">
        <f t="shared" si="8"/>
        <v>0</v>
      </c>
    </row>
    <row r="398" spans="2:18" x14ac:dyDescent="0.25">
      <c r="B398" s="48">
        <f>+'Metrics - Articles'!C397</f>
        <v>0</v>
      </c>
      <c r="C398">
        <f>COUNTIF('Metrics - Articles'!F397,"*GPO (Partner, Ecosystem, Channels)*")</f>
        <v>0</v>
      </c>
      <c r="D398">
        <f>COUNTIF('Metrics - Articles'!F397,"*Office of the CEO*")</f>
        <v>0</v>
      </c>
      <c r="E398">
        <f>COUNTIF('Metrics - Articles'!F397,"*Services Delivery &amp; Support (go-lives and deployments) *")</f>
        <v>0</v>
      </c>
      <c r="F398">
        <f>COUNTIF('Metrics - Articles'!F397,"*Human Resources (SAP HR and employee stories)*")</f>
        <v>0</v>
      </c>
      <c r="G398">
        <f>COUNTIF('Metrics - Articles'!F397,"*P&amp;I (Research &amp; Development)*")</f>
        <v>0</v>
      </c>
      <c r="H398">
        <f>COUNTIF('Metrics - Articles'!F397,"*Business Network (Concur, Ariba, Fieldglass)*")</f>
        <v>0</v>
      </c>
      <c r="I398">
        <f>COUNTIF('Metrics - Articles'!F397,"*GCO – Regions*")</f>
        <v>0</v>
      </c>
      <c r="J398">
        <f>COUNTIF('Metrics - Articles'!F397,"*GCO – Platform Solutions*")</f>
        <v>0</v>
      </c>
      <c r="K398">
        <f>COUNTIF('Metrics - Articles'!F397,"*GCO – Industry Cloud *")</f>
        <v>0</v>
      </c>
      <c r="L398">
        <f>COUNTIF('Metrics - Articles'!F397,"*GCO – Customer Engagement &amp; Commerce (CRM &amp; hybris) *")</f>
        <v>0</v>
      </c>
      <c r="M398">
        <f>COUNTIF('Metrics - Articles'!F397,"*GCO – HR (SuccessFactors)*")</f>
        <v>0</v>
      </c>
      <c r="N398">
        <f>COUNTIF('Metrics - Articles'!F397,"*GCO – Services Sales*")</f>
        <v>0</v>
      </c>
      <c r="O398">
        <f>COUNTIF('Metrics - Articles'!F397,"*GCO – Other*")</f>
        <v>0</v>
      </c>
      <c r="P398">
        <f>COUNTIF('Metrics - Articles'!F397,"*Corporate*")</f>
        <v>0</v>
      </c>
      <c r="R398" s="53">
        <f t="shared" si="8"/>
        <v>0</v>
      </c>
    </row>
    <row r="399" spans="2:18" x14ac:dyDescent="0.25">
      <c r="B399" s="48">
        <f>+'Metrics - Articles'!C398</f>
        <v>0</v>
      </c>
      <c r="C399">
        <f>COUNTIF('Metrics - Articles'!F398,"*GPO (Partner, Ecosystem, Channels)*")</f>
        <v>0</v>
      </c>
      <c r="D399">
        <f>COUNTIF('Metrics - Articles'!F398,"*Office of the CEO*")</f>
        <v>0</v>
      </c>
      <c r="E399">
        <f>COUNTIF('Metrics - Articles'!F398,"*Services Delivery &amp; Support (go-lives and deployments) *")</f>
        <v>0</v>
      </c>
      <c r="F399">
        <f>COUNTIF('Metrics - Articles'!F398,"*Human Resources (SAP HR and employee stories)*")</f>
        <v>0</v>
      </c>
      <c r="G399">
        <f>COUNTIF('Metrics - Articles'!F398,"*P&amp;I (Research &amp; Development)*")</f>
        <v>0</v>
      </c>
      <c r="H399">
        <f>COUNTIF('Metrics - Articles'!F398,"*Business Network (Concur, Ariba, Fieldglass)*")</f>
        <v>0</v>
      </c>
      <c r="I399">
        <f>COUNTIF('Metrics - Articles'!F398,"*GCO – Regions*")</f>
        <v>0</v>
      </c>
      <c r="J399">
        <f>COUNTIF('Metrics - Articles'!F398,"*GCO – Platform Solutions*")</f>
        <v>0</v>
      </c>
      <c r="K399">
        <f>COUNTIF('Metrics - Articles'!F398,"*GCO – Industry Cloud *")</f>
        <v>0</v>
      </c>
      <c r="L399">
        <f>COUNTIF('Metrics - Articles'!F398,"*GCO – Customer Engagement &amp; Commerce (CRM &amp; hybris) *")</f>
        <v>0</v>
      </c>
      <c r="M399">
        <f>COUNTIF('Metrics - Articles'!F398,"*GCO – HR (SuccessFactors)*")</f>
        <v>0</v>
      </c>
      <c r="N399">
        <f>COUNTIF('Metrics - Articles'!F398,"*GCO – Services Sales*")</f>
        <v>0</v>
      </c>
      <c r="O399">
        <f>COUNTIF('Metrics - Articles'!F398,"*GCO – Other*")</f>
        <v>0</v>
      </c>
      <c r="P399">
        <f>COUNTIF('Metrics - Articles'!F398,"*Corporate*")</f>
        <v>0</v>
      </c>
      <c r="R399" s="53">
        <f t="shared" si="8"/>
        <v>0</v>
      </c>
    </row>
    <row r="400" spans="2:18" x14ac:dyDescent="0.25">
      <c r="B400" s="48">
        <f>+'Metrics - Articles'!C399</f>
        <v>0</v>
      </c>
      <c r="C400">
        <f>COUNTIF('Metrics - Articles'!F399,"*GPO (Partner, Ecosystem, Channels)*")</f>
        <v>0</v>
      </c>
      <c r="D400">
        <f>COUNTIF('Metrics - Articles'!F399,"*Office of the CEO*")</f>
        <v>0</v>
      </c>
      <c r="E400">
        <f>COUNTIF('Metrics - Articles'!F399,"*Services Delivery &amp; Support (go-lives and deployments) *")</f>
        <v>0</v>
      </c>
      <c r="F400">
        <f>COUNTIF('Metrics - Articles'!F399,"*Human Resources (SAP HR and employee stories)*")</f>
        <v>0</v>
      </c>
      <c r="G400">
        <f>COUNTIF('Metrics - Articles'!F399,"*P&amp;I (Research &amp; Development)*")</f>
        <v>0</v>
      </c>
      <c r="H400">
        <f>COUNTIF('Metrics - Articles'!F399,"*Business Network (Concur, Ariba, Fieldglass)*")</f>
        <v>0</v>
      </c>
      <c r="I400">
        <f>COUNTIF('Metrics - Articles'!F399,"*GCO – Regions*")</f>
        <v>0</v>
      </c>
      <c r="J400">
        <f>COUNTIF('Metrics - Articles'!F399,"*GCO – Platform Solutions*")</f>
        <v>0</v>
      </c>
      <c r="K400">
        <f>COUNTIF('Metrics - Articles'!F399,"*GCO – Industry Cloud *")</f>
        <v>0</v>
      </c>
      <c r="L400">
        <f>COUNTIF('Metrics - Articles'!F399,"*GCO – Customer Engagement &amp; Commerce (CRM &amp; hybris) *")</f>
        <v>0</v>
      </c>
      <c r="M400">
        <f>COUNTIF('Metrics - Articles'!F399,"*GCO – HR (SuccessFactors)*")</f>
        <v>0</v>
      </c>
      <c r="N400">
        <f>COUNTIF('Metrics - Articles'!F399,"*GCO – Services Sales*")</f>
        <v>0</v>
      </c>
      <c r="O400">
        <f>COUNTIF('Metrics - Articles'!F399,"*GCO – Other*")</f>
        <v>0</v>
      </c>
      <c r="P400">
        <f>COUNTIF('Metrics - Articles'!F399,"*Corporate*")</f>
        <v>0</v>
      </c>
      <c r="R400" s="53">
        <f t="shared" si="8"/>
        <v>0</v>
      </c>
    </row>
    <row r="401" spans="2:18" x14ac:dyDescent="0.25">
      <c r="B401" s="48">
        <f>+'Metrics - Articles'!C400</f>
        <v>0</v>
      </c>
      <c r="C401">
        <f>COUNTIF('Metrics - Articles'!F400,"*GPO (Partner, Ecosystem, Channels)*")</f>
        <v>0</v>
      </c>
      <c r="D401">
        <f>COUNTIF('Metrics - Articles'!F400,"*Office of the CEO*")</f>
        <v>0</v>
      </c>
      <c r="E401">
        <f>COUNTIF('Metrics - Articles'!F400,"*Services Delivery &amp; Support (go-lives and deployments) *")</f>
        <v>0</v>
      </c>
      <c r="F401">
        <f>COUNTIF('Metrics - Articles'!F400,"*Human Resources (SAP HR and employee stories)*")</f>
        <v>0</v>
      </c>
      <c r="G401">
        <f>COUNTIF('Metrics - Articles'!F400,"*P&amp;I (Research &amp; Development)*")</f>
        <v>0</v>
      </c>
      <c r="H401">
        <f>COUNTIF('Metrics - Articles'!F400,"*Business Network (Concur, Ariba, Fieldglass)*")</f>
        <v>0</v>
      </c>
      <c r="I401">
        <f>COUNTIF('Metrics - Articles'!F400,"*GCO – Regions*")</f>
        <v>0</v>
      </c>
      <c r="J401">
        <f>COUNTIF('Metrics - Articles'!F400,"*GCO – Platform Solutions*")</f>
        <v>0</v>
      </c>
      <c r="K401">
        <f>COUNTIF('Metrics - Articles'!F400,"*GCO – Industry Cloud *")</f>
        <v>0</v>
      </c>
      <c r="L401">
        <f>COUNTIF('Metrics - Articles'!F400,"*GCO – Customer Engagement &amp; Commerce (CRM &amp; hybris) *")</f>
        <v>0</v>
      </c>
      <c r="M401">
        <f>COUNTIF('Metrics - Articles'!F400,"*GCO – HR (SuccessFactors)*")</f>
        <v>0</v>
      </c>
      <c r="N401">
        <f>COUNTIF('Metrics - Articles'!F400,"*GCO – Services Sales*")</f>
        <v>0</v>
      </c>
      <c r="O401">
        <f>COUNTIF('Metrics - Articles'!F400,"*GCO – Other*")</f>
        <v>0</v>
      </c>
      <c r="P401">
        <f>COUNTIF('Metrics - Articles'!F400,"*Corporate*")</f>
        <v>0</v>
      </c>
      <c r="R401" s="53">
        <f t="shared" si="8"/>
        <v>0</v>
      </c>
    </row>
    <row r="402" spans="2:18" x14ac:dyDescent="0.25">
      <c r="B402" s="48">
        <f>+'Metrics - Articles'!C401</f>
        <v>0</v>
      </c>
      <c r="C402">
        <f>COUNTIF('Metrics - Articles'!F401,"*GPO (Partner, Ecosystem, Channels)*")</f>
        <v>0</v>
      </c>
      <c r="D402">
        <f>COUNTIF('Metrics - Articles'!F401,"*Office of the CEO*")</f>
        <v>0</v>
      </c>
      <c r="E402">
        <f>COUNTIF('Metrics - Articles'!F401,"*Services Delivery &amp; Support (go-lives and deployments) *")</f>
        <v>0</v>
      </c>
      <c r="F402">
        <f>COUNTIF('Metrics - Articles'!F401,"*Human Resources (SAP HR and employee stories)*")</f>
        <v>0</v>
      </c>
      <c r="G402">
        <f>COUNTIF('Metrics - Articles'!F401,"*P&amp;I (Research &amp; Development)*")</f>
        <v>0</v>
      </c>
      <c r="H402">
        <f>COUNTIF('Metrics - Articles'!F401,"*Business Network (Concur, Ariba, Fieldglass)*")</f>
        <v>0</v>
      </c>
      <c r="I402">
        <f>COUNTIF('Metrics - Articles'!F401,"*GCO – Regions*")</f>
        <v>0</v>
      </c>
      <c r="J402">
        <f>COUNTIF('Metrics - Articles'!F401,"*GCO – Platform Solutions*")</f>
        <v>0</v>
      </c>
      <c r="K402">
        <f>COUNTIF('Metrics - Articles'!F401,"*GCO – Industry Cloud *")</f>
        <v>0</v>
      </c>
      <c r="L402">
        <f>COUNTIF('Metrics - Articles'!F401,"*GCO – Customer Engagement &amp; Commerce (CRM &amp; hybris) *")</f>
        <v>0</v>
      </c>
      <c r="M402">
        <f>COUNTIF('Metrics - Articles'!F401,"*GCO – HR (SuccessFactors)*")</f>
        <v>0</v>
      </c>
      <c r="N402">
        <f>COUNTIF('Metrics - Articles'!F401,"*GCO – Services Sales*")</f>
        <v>0</v>
      </c>
      <c r="O402">
        <f>COUNTIF('Metrics - Articles'!F401,"*GCO – Other*")</f>
        <v>0</v>
      </c>
      <c r="P402">
        <f>COUNTIF('Metrics - Articles'!F401,"*Corporate*")</f>
        <v>0</v>
      </c>
      <c r="R402" s="53">
        <f t="shared" si="8"/>
        <v>0</v>
      </c>
    </row>
    <row r="403" spans="2:18" x14ac:dyDescent="0.25">
      <c r="B403" s="48">
        <f>+'Metrics - Articles'!C402</f>
        <v>0</v>
      </c>
      <c r="C403">
        <f>COUNTIF('Metrics - Articles'!F402,"*GPO (Partner, Ecosystem, Channels)*")</f>
        <v>0</v>
      </c>
      <c r="D403">
        <f>COUNTIF('Metrics - Articles'!F402,"*Office of the CEO*")</f>
        <v>0</v>
      </c>
      <c r="E403">
        <f>COUNTIF('Metrics - Articles'!F402,"*Services Delivery &amp; Support (go-lives and deployments) *")</f>
        <v>0</v>
      </c>
      <c r="F403">
        <f>COUNTIF('Metrics - Articles'!F402,"*Human Resources (SAP HR and employee stories)*")</f>
        <v>0</v>
      </c>
      <c r="G403">
        <f>COUNTIF('Metrics - Articles'!F402,"*P&amp;I (Research &amp; Development)*")</f>
        <v>0</v>
      </c>
      <c r="H403">
        <f>COUNTIF('Metrics - Articles'!F402,"*Business Network (Concur, Ariba, Fieldglass)*")</f>
        <v>0</v>
      </c>
      <c r="I403">
        <f>COUNTIF('Metrics - Articles'!F402,"*GCO – Regions*")</f>
        <v>0</v>
      </c>
      <c r="J403">
        <f>COUNTIF('Metrics - Articles'!F402,"*GCO – Platform Solutions*")</f>
        <v>0</v>
      </c>
      <c r="K403">
        <f>COUNTIF('Metrics - Articles'!F402,"*GCO – Industry Cloud *")</f>
        <v>0</v>
      </c>
      <c r="L403">
        <f>COUNTIF('Metrics - Articles'!F402,"*GCO – Customer Engagement &amp; Commerce (CRM &amp; hybris) *")</f>
        <v>0</v>
      </c>
      <c r="M403">
        <f>COUNTIF('Metrics - Articles'!F402,"*GCO – HR (SuccessFactors)*")</f>
        <v>0</v>
      </c>
      <c r="N403">
        <f>COUNTIF('Metrics - Articles'!F402,"*GCO – Services Sales*")</f>
        <v>0</v>
      </c>
      <c r="O403">
        <f>COUNTIF('Metrics - Articles'!F402,"*GCO – Other*")</f>
        <v>0</v>
      </c>
      <c r="P403">
        <f>COUNTIF('Metrics - Articles'!F402,"*Corporate*")</f>
        <v>0</v>
      </c>
      <c r="R403" s="53">
        <f t="shared" si="8"/>
        <v>0</v>
      </c>
    </row>
    <row r="404" spans="2:18" x14ac:dyDescent="0.25">
      <c r="B404" s="48">
        <f>+'Metrics - Articles'!C403</f>
        <v>0</v>
      </c>
      <c r="C404">
        <f>COUNTIF('Metrics - Articles'!F403,"*GPO (Partner, Ecosystem, Channels)*")</f>
        <v>0</v>
      </c>
      <c r="D404">
        <f>COUNTIF('Metrics - Articles'!F403,"*Office of the CEO*")</f>
        <v>0</v>
      </c>
      <c r="E404">
        <f>COUNTIF('Metrics - Articles'!F403,"*Services Delivery &amp; Support (go-lives and deployments) *")</f>
        <v>0</v>
      </c>
      <c r="F404">
        <f>COUNTIF('Metrics - Articles'!F403,"*Human Resources (SAP HR and employee stories)*")</f>
        <v>0</v>
      </c>
      <c r="G404">
        <f>COUNTIF('Metrics - Articles'!F403,"*P&amp;I (Research &amp; Development)*")</f>
        <v>0</v>
      </c>
      <c r="H404">
        <f>COUNTIF('Metrics - Articles'!F403,"*Business Network (Concur, Ariba, Fieldglass)*")</f>
        <v>0</v>
      </c>
      <c r="I404">
        <f>COUNTIF('Metrics - Articles'!F403,"*GCO – Regions*")</f>
        <v>0</v>
      </c>
      <c r="J404">
        <f>COUNTIF('Metrics - Articles'!F403,"*GCO – Platform Solutions*")</f>
        <v>0</v>
      </c>
      <c r="K404">
        <f>COUNTIF('Metrics - Articles'!F403,"*GCO – Industry Cloud *")</f>
        <v>0</v>
      </c>
      <c r="L404">
        <f>COUNTIF('Metrics - Articles'!F403,"*GCO – Customer Engagement &amp; Commerce (CRM &amp; hybris) *")</f>
        <v>0</v>
      </c>
      <c r="M404">
        <f>COUNTIF('Metrics - Articles'!F403,"*GCO – HR (SuccessFactors)*")</f>
        <v>0</v>
      </c>
      <c r="N404">
        <f>COUNTIF('Metrics - Articles'!F403,"*GCO – Services Sales*")</f>
        <v>0</v>
      </c>
      <c r="O404">
        <f>COUNTIF('Metrics - Articles'!F403,"*GCO – Other*")</f>
        <v>0</v>
      </c>
      <c r="P404">
        <f>COUNTIF('Metrics - Articles'!F403,"*Corporate*")</f>
        <v>0</v>
      </c>
      <c r="R404" s="53">
        <f t="shared" si="8"/>
        <v>0</v>
      </c>
    </row>
    <row r="405" spans="2:18" x14ac:dyDescent="0.25">
      <c r="B405" s="48">
        <f>+'Metrics - Articles'!C404</f>
        <v>0</v>
      </c>
      <c r="C405">
        <f>COUNTIF('Metrics - Articles'!F404,"*GPO (Partner, Ecosystem, Channels)*")</f>
        <v>0</v>
      </c>
      <c r="D405">
        <f>COUNTIF('Metrics - Articles'!F404,"*Office of the CEO*")</f>
        <v>0</v>
      </c>
      <c r="E405">
        <f>COUNTIF('Metrics - Articles'!F404,"*Services Delivery &amp; Support (go-lives and deployments) *")</f>
        <v>0</v>
      </c>
      <c r="F405">
        <f>COUNTIF('Metrics - Articles'!F404,"*Human Resources (SAP HR and employee stories)*")</f>
        <v>0</v>
      </c>
      <c r="G405">
        <f>COUNTIF('Metrics - Articles'!F404,"*P&amp;I (Research &amp; Development)*")</f>
        <v>0</v>
      </c>
      <c r="H405">
        <f>COUNTIF('Metrics - Articles'!F404,"*Business Network (Concur, Ariba, Fieldglass)*")</f>
        <v>0</v>
      </c>
      <c r="I405">
        <f>COUNTIF('Metrics - Articles'!F404,"*GCO – Regions*")</f>
        <v>0</v>
      </c>
      <c r="J405">
        <f>COUNTIF('Metrics - Articles'!F404,"*GCO – Platform Solutions*")</f>
        <v>0</v>
      </c>
      <c r="K405">
        <f>COUNTIF('Metrics - Articles'!F404,"*GCO – Industry Cloud *")</f>
        <v>0</v>
      </c>
      <c r="L405">
        <f>COUNTIF('Metrics - Articles'!F404,"*GCO – Customer Engagement &amp; Commerce (CRM &amp; hybris) *")</f>
        <v>0</v>
      </c>
      <c r="M405">
        <f>COUNTIF('Metrics - Articles'!F404,"*GCO – HR (SuccessFactors)*")</f>
        <v>0</v>
      </c>
      <c r="N405">
        <f>COUNTIF('Metrics - Articles'!F404,"*GCO – Services Sales*")</f>
        <v>0</v>
      </c>
      <c r="O405">
        <f>COUNTIF('Metrics - Articles'!F404,"*GCO – Other*")</f>
        <v>0</v>
      </c>
      <c r="P405">
        <f>COUNTIF('Metrics - Articles'!F404,"*Corporate*")</f>
        <v>0</v>
      </c>
      <c r="R405" s="53">
        <f t="shared" si="8"/>
        <v>0</v>
      </c>
    </row>
    <row r="406" spans="2:18" x14ac:dyDescent="0.25">
      <c r="B406" s="48">
        <f>+'Metrics - Articles'!C405</f>
        <v>0</v>
      </c>
      <c r="C406">
        <f>COUNTIF('Metrics - Articles'!F405,"*GPO (Partner, Ecosystem, Channels)*")</f>
        <v>0</v>
      </c>
      <c r="D406">
        <f>COUNTIF('Metrics - Articles'!F405,"*Office of the CEO*")</f>
        <v>0</v>
      </c>
      <c r="E406">
        <f>COUNTIF('Metrics - Articles'!F405,"*Services Delivery &amp; Support (go-lives and deployments) *")</f>
        <v>0</v>
      </c>
      <c r="F406">
        <f>COUNTIF('Metrics - Articles'!F405,"*Human Resources (SAP HR and employee stories)*")</f>
        <v>0</v>
      </c>
      <c r="G406">
        <f>COUNTIF('Metrics - Articles'!F405,"*P&amp;I (Research &amp; Development)*")</f>
        <v>0</v>
      </c>
      <c r="H406">
        <f>COUNTIF('Metrics - Articles'!F405,"*Business Network (Concur, Ariba, Fieldglass)*")</f>
        <v>0</v>
      </c>
      <c r="I406">
        <f>COUNTIF('Metrics - Articles'!F405,"*GCO – Regions*")</f>
        <v>0</v>
      </c>
      <c r="J406">
        <f>COUNTIF('Metrics - Articles'!F405,"*GCO – Platform Solutions*")</f>
        <v>0</v>
      </c>
      <c r="K406">
        <f>COUNTIF('Metrics - Articles'!F405,"*GCO – Industry Cloud *")</f>
        <v>0</v>
      </c>
      <c r="L406">
        <f>COUNTIF('Metrics - Articles'!F405,"*GCO – Customer Engagement &amp; Commerce (CRM &amp; hybris) *")</f>
        <v>0</v>
      </c>
      <c r="M406">
        <f>COUNTIF('Metrics - Articles'!F405,"*GCO – HR (SuccessFactors)*")</f>
        <v>0</v>
      </c>
      <c r="N406">
        <f>COUNTIF('Metrics - Articles'!F405,"*GCO – Services Sales*")</f>
        <v>0</v>
      </c>
      <c r="O406">
        <f>COUNTIF('Metrics - Articles'!F405,"*GCO – Other*")</f>
        <v>0</v>
      </c>
      <c r="P406">
        <f>COUNTIF('Metrics - Articles'!F405,"*Corporate*")</f>
        <v>0</v>
      </c>
      <c r="R406" s="53">
        <f t="shared" si="8"/>
        <v>0</v>
      </c>
    </row>
    <row r="407" spans="2:18" x14ac:dyDescent="0.25">
      <c r="B407" s="48">
        <f>+'Metrics - Articles'!C406</f>
        <v>0</v>
      </c>
      <c r="C407">
        <f>COUNTIF('Metrics - Articles'!F406,"*GPO (Partner, Ecosystem, Channels)*")</f>
        <v>0</v>
      </c>
      <c r="D407">
        <f>COUNTIF('Metrics - Articles'!F406,"*Office of the CEO*")</f>
        <v>0</v>
      </c>
      <c r="E407">
        <f>COUNTIF('Metrics - Articles'!F406,"*Services Delivery &amp; Support (go-lives and deployments) *")</f>
        <v>0</v>
      </c>
      <c r="F407">
        <f>COUNTIF('Metrics - Articles'!F406,"*Human Resources (SAP HR and employee stories)*")</f>
        <v>0</v>
      </c>
      <c r="G407">
        <f>COUNTIF('Metrics - Articles'!F406,"*P&amp;I (Research &amp; Development)*")</f>
        <v>0</v>
      </c>
      <c r="H407">
        <f>COUNTIF('Metrics - Articles'!F406,"*Business Network (Concur, Ariba, Fieldglass)*")</f>
        <v>0</v>
      </c>
      <c r="I407">
        <f>COUNTIF('Metrics - Articles'!F406,"*GCO – Regions*")</f>
        <v>0</v>
      </c>
      <c r="J407">
        <f>COUNTIF('Metrics - Articles'!F406,"*GCO – Platform Solutions*")</f>
        <v>0</v>
      </c>
      <c r="K407">
        <f>COUNTIF('Metrics - Articles'!F406,"*GCO – Industry Cloud *")</f>
        <v>0</v>
      </c>
      <c r="L407">
        <f>COUNTIF('Metrics - Articles'!F406,"*GCO – Customer Engagement &amp; Commerce (CRM &amp; hybris) *")</f>
        <v>0</v>
      </c>
      <c r="M407">
        <f>COUNTIF('Metrics - Articles'!F406,"*GCO – HR (SuccessFactors)*")</f>
        <v>0</v>
      </c>
      <c r="N407">
        <f>COUNTIF('Metrics - Articles'!F406,"*GCO – Services Sales*")</f>
        <v>0</v>
      </c>
      <c r="O407">
        <f>COUNTIF('Metrics - Articles'!F406,"*GCO – Other*")</f>
        <v>0</v>
      </c>
      <c r="P407">
        <f>COUNTIF('Metrics - Articles'!F406,"*Corporate*")</f>
        <v>0</v>
      </c>
      <c r="R407" s="53">
        <f t="shared" si="8"/>
        <v>0</v>
      </c>
    </row>
    <row r="408" spans="2:18" x14ac:dyDescent="0.25">
      <c r="B408" s="48">
        <f>+'Metrics - Articles'!C407</f>
        <v>0</v>
      </c>
      <c r="C408">
        <f>COUNTIF('Metrics - Articles'!F407,"*GPO (Partner, Ecosystem, Channels)*")</f>
        <v>0</v>
      </c>
      <c r="D408">
        <f>COUNTIF('Metrics - Articles'!F407,"*Office of the CEO*")</f>
        <v>0</v>
      </c>
      <c r="E408">
        <f>COUNTIF('Metrics - Articles'!F407,"*Services Delivery &amp; Support (go-lives and deployments) *")</f>
        <v>0</v>
      </c>
      <c r="F408">
        <f>COUNTIF('Metrics - Articles'!F407,"*Human Resources (SAP HR and employee stories)*")</f>
        <v>0</v>
      </c>
      <c r="G408">
        <f>COUNTIF('Metrics - Articles'!F407,"*P&amp;I (Research &amp; Development)*")</f>
        <v>0</v>
      </c>
      <c r="H408">
        <f>COUNTIF('Metrics - Articles'!F407,"*Business Network (Concur, Ariba, Fieldglass)*")</f>
        <v>0</v>
      </c>
      <c r="I408">
        <f>COUNTIF('Metrics - Articles'!F407,"*GCO – Regions*")</f>
        <v>0</v>
      </c>
      <c r="J408">
        <f>COUNTIF('Metrics - Articles'!F407,"*GCO – Platform Solutions*")</f>
        <v>0</v>
      </c>
      <c r="K408">
        <f>COUNTIF('Metrics - Articles'!F407,"*GCO – Industry Cloud *")</f>
        <v>0</v>
      </c>
      <c r="L408">
        <f>COUNTIF('Metrics - Articles'!F407,"*GCO – Customer Engagement &amp; Commerce (CRM &amp; hybris) *")</f>
        <v>0</v>
      </c>
      <c r="M408">
        <f>COUNTIF('Metrics - Articles'!F407,"*GCO – HR (SuccessFactors)*")</f>
        <v>0</v>
      </c>
      <c r="N408">
        <f>COUNTIF('Metrics - Articles'!F407,"*GCO – Services Sales*")</f>
        <v>0</v>
      </c>
      <c r="O408">
        <f>COUNTIF('Metrics - Articles'!F407,"*GCO – Other*")</f>
        <v>0</v>
      </c>
      <c r="P408">
        <f>COUNTIF('Metrics - Articles'!F407,"*Corporate*")</f>
        <v>0</v>
      </c>
      <c r="R408" s="53">
        <f t="shared" si="8"/>
        <v>0</v>
      </c>
    </row>
    <row r="409" spans="2:18" x14ac:dyDescent="0.25">
      <c r="B409" s="48">
        <f>+'Metrics - Articles'!C408</f>
        <v>0</v>
      </c>
      <c r="C409">
        <f>COUNTIF('Metrics - Articles'!F408,"*GPO (Partner, Ecosystem, Channels)*")</f>
        <v>0</v>
      </c>
      <c r="D409">
        <f>COUNTIF('Metrics - Articles'!F408,"*Office of the CEO*")</f>
        <v>0</v>
      </c>
      <c r="E409">
        <f>COUNTIF('Metrics - Articles'!F408,"*Services Delivery &amp; Support (go-lives and deployments) *")</f>
        <v>0</v>
      </c>
      <c r="F409">
        <f>COUNTIF('Metrics - Articles'!F408,"*Human Resources (SAP HR and employee stories)*")</f>
        <v>0</v>
      </c>
      <c r="G409">
        <f>COUNTIF('Metrics - Articles'!F408,"*P&amp;I (Research &amp; Development)*")</f>
        <v>0</v>
      </c>
      <c r="H409">
        <f>COUNTIF('Metrics - Articles'!F408,"*Business Network (Concur, Ariba, Fieldglass)*")</f>
        <v>0</v>
      </c>
      <c r="I409">
        <f>COUNTIF('Metrics - Articles'!F408,"*GCO – Regions*")</f>
        <v>0</v>
      </c>
      <c r="J409">
        <f>COUNTIF('Metrics - Articles'!F408,"*GCO – Platform Solutions*")</f>
        <v>0</v>
      </c>
      <c r="K409">
        <f>COUNTIF('Metrics - Articles'!F408,"*GCO – Industry Cloud *")</f>
        <v>0</v>
      </c>
      <c r="L409">
        <f>COUNTIF('Metrics - Articles'!F408,"*GCO – Customer Engagement &amp; Commerce (CRM &amp; hybris) *")</f>
        <v>0</v>
      </c>
      <c r="M409">
        <f>COUNTIF('Metrics - Articles'!F408,"*GCO – HR (SuccessFactors)*")</f>
        <v>0</v>
      </c>
      <c r="N409">
        <f>COUNTIF('Metrics - Articles'!F408,"*GCO – Services Sales*")</f>
        <v>0</v>
      </c>
      <c r="O409">
        <f>COUNTIF('Metrics - Articles'!F408,"*GCO – Other*")</f>
        <v>0</v>
      </c>
      <c r="P409">
        <f>COUNTIF('Metrics - Articles'!F408,"*Corporate*")</f>
        <v>0</v>
      </c>
      <c r="R409" s="53">
        <f t="shared" si="8"/>
        <v>0</v>
      </c>
    </row>
    <row r="410" spans="2:18" x14ac:dyDescent="0.25">
      <c r="B410" s="48">
        <f>+'Metrics - Articles'!C409</f>
        <v>0</v>
      </c>
      <c r="C410">
        <f>COUNTIF('Metrics - Articles'!F409,"*GPO (Partner, Ecosystem, Channels)*")</f>
        <v>0</v>
      </c>
      <c r="D410">
        <f>COUNTIF('Metrics - Articles'!F409,"*Office of the CEO*")</f>
        <v>0</v>
      </c>
      <c r="E410">
        <f>COUNTIF('Metrics - Articles'!F409,"*Services Delivery &amp; Support (go-lives and deployments) *")</f>
        <v>0</v>
      </c>
      <c r="F410">
        <f>COUNTIF('Metrics - Articles'!F409,"*Human Resources (SAP HR and employee stories)*")</f>
        <v>0</v>
      </c>
      <c r="G410">
        <f>COUNTIF('Metrics - Articles'!F409,"*P&amp;I (Research &amp; Development)*")</f>
        <v>0</v>
      </c>
      <c r="H410">
        <f>COUNTIF('Metrics - Articles'!F409,"*Business Network (Concur, Ariba, Fieldglass)*")</f>
        <v>0</v>
      </c>
      <c r="I410">
        <f>COUNTIF('Metrics - Articles'!F409,"*GCO – Regions*")</f>
        <v>0</v>
      </c>
      <c r="J410">
        <f>COUNTIF('Metrics - Articles'!F409,"*GCO – Platform Solutions*")</f>
        <v>0</v>
      </c>
      <c r="K410">
        <f>COUNTIF('Metrics - Articles'!F409,"*GCO – Industry Cloud *")</f>
        <v>0</v>
      </c>
      <c r="L410">
        <f>COUNTIF('Metrics - Articles'!F409,"*GCO – Customer Engagement &amp; Commerce (CRM &amp; hybris) *")</f>
        <v>0</v>
      </c>
      <c r="M410">
        <f>COUNTIF('Metrics - Articles'!F409,"*GCO – HR (SuccessFactors)*")</f>
        <v>0</v>
      </c>
      <c r="N410">
        <f>COUNTIF('Metrics - Articles'!F409,"*GCO – Services Sales*")</f>
        <v>0</v>
      </c>
      <c r="O410">
        <f>COUNTIF('Metrics - Articles'!F409,"*GCO – Other*")</f>
        <v>0</v>
      </c>
      <c r="P410">
        <f>COUNTIF('Metrics - Articles'!F409,"*Corporate*")</f>
        <v>0</v>
      </c>
      <c r="R410" s="53">
        <f t="shared" si="8"/>
        <v>0</v>
      </c>
    </row>
    <row r="411" spans="2:18" x14ac:dyDescent="0.25">
      <c r="B411" s="48">
        <f>+'Metrics - Articles'!C410</f>
        <v>0</v>
      </c>
      <c r="C411">
        <f>COUNTIF('Metrics - Articles'!F410,"*GPO (Partner, Ecosystem, Channels)*")</f>
        <v>0</v>
      </c>
      <c r="D411">
        <f>COUNTIF('Metrics - Articles'!F410,"*Office of the CEO*")</f>
        <v>0</v>
      </c>
      <c r="E411">
        <f>COUNTIF('Metrics - Articles'!F410,"*Services Delivery &amp; Support (go-lives and deployments) *")</f>
        <v>0</v>
      </c>
      <c r="F411">
        <f>COUNTIF('Metrics - Articles'!F410,"*Human Resources (SAP HR and employee stories)*")</f>
        <v>0</v>
      </c>
      <c r="G411">
        <f>COUNTIF('Metrics - Articles'!F410,"*P&amp;I (Research &amp; Development)*")</f>
        <v>0</v>
      </c>
      <c r="H411">
        <f>COUNTIF('Metrics - Articles'!F410,"*Business Network (Concur, Ariba, Fieldglass)*")</f>
        <v>0</v>
      </c>
      <c r="I411">
        <f>COUNTIF('Metrics - Articles'!F410,"*GCO – Regions*")</f>
        <v>0</v>
      </c>
      <c r="J411">
        <f>COUNTIF('Metrics - Articles'!F410,"*GCO – Platform Solutions*")</f>
        <v>0</v>
      </c>
      <c r="K411">
        <f>COUNTIF('Metrics - Articles'!F410,"*GCO – Industry Cloud *")</f>
        <v>0</v>
      </c>
      <c r="L411">
        <f>COUNTIF('Metrics - Articles'!F410,"*GCO – Customer Engagement &amp; Commerce (CRM &amp; hybris) *")</f>
        <v>0</v>
      </c>
      <c r="M411">
        <f>COUNTIF('Metrics - Articles'!F410,"*GCO – HR (SuccessFactors)*")</f>
        <v>0</v>
      </c>
      <c r="N411">
        <f>COUNTIF('Metrics - Articles'!F410,"*GCO – Services Sales*")</f>
        <v>0</v>
      </c>
      <c r="O411">
        <f>COUNTIF('Metrics - Articles'!F410,"*GCO – Other*")</f>
        <v>0</v>
      </c>
      <c r="P411">
        <f>COUNTIF('Metrics - Articles'!F410,"*Corporate*")</f>
        <v>0</v>
      </c>
      <c r="R411" s="53">
        <f t="shared" si="8"/>
        <v>0</v>
      </c>
    </row>
    <row r="412" spans="2:18" x14ac:dyDescent="0.25">
      <c r="B412" s="48">
        <f>+'Metrics - Articles'!C411</f>
        <v>0</v>
      </c>
      <c r="C412">
        <f>COUNTIF('Metrics - Articles'!F411,"*GPO (Partner, Ecosystem, Channels)*")</f>
        <v>0</v>
      </c>
      <c r="D412">
        <f>COUNTIF('Metrics - Articles'!F411,"*Office of the CEO*")</f>
        <v>0</v>
      </c>
      <c r="E412">
        <f>COUNTIF('Metrics - Articles'!F411,"*Services Delivery &amp; Support (go-lives and deployments) *")</f>
        <v>0</v>
      </c>
      <c r="F412">
        <f>COUNTIF('Metrics - Articles'!F411,"*Human Resources (SAP HR and employee stories)*")</f>
        <v>0</v>
      </c>
      <c r="G412">
        <f>COUNTIF('Metrics - Articles'!F411,"*P&amp;I (Research &amp; Development)*")</f>
        <v>0</v>
      </c>
      <c r="H412">
        <f>COUNTIF('Metrics - Articles'!F411,"*Business Network (Concur, Ariba, Fieldglass)*")</f>
        <v>0</v>
      </c>
      <c r="I412">
        <f>COUNTIF('Metrics - Articles'!F411,"*GCO – Regions*")</f>
        <v>0</v>
      </c>
      <c r="J412">
        <f>COUNTIF('Metrics - Articles'!F411,"*GCO – Platform Solutions*")</f>
        <v>0</v>
      </c>
      <c r="K412">
        <f>COUNTIF('Metrics - Articles'!F411,"*GCO – Industry Cloud *")</f>
        <v>0</v>
      </c>
      <c r="L412">
        <f>COUNTIF('Metrics - Articles'!F411,"*GCO – Customer Engagement &amp; Commerce (CRM &amp; hybris) *")</f>
        <v>0</v>
      </c>
      <c r="M412">
        <f>COUNTIF('Metrics - Articles'!F411,"*GCO – HR (SuccessFactors)*")</f>
        <v>0</v>
      </c>
      <c r="N412">
        <f>COUNTIF('Metrics - Articles'!F411,"*GCO – Services Sales*")</f>
        <v>0</v>
      </c>
      <c r="O412">
        <f>COUNTIF('Metrics - Articles'!F411,"*GCO – Other*")</f>
        <v>0</v>
      </c>
      <c r="P412">
        <f>COUNTIF('Metrics - Articles'!F411,"*Corporate*")</f>
        <v>0</v>
      </c>
      <c r="R412" s="53">
        <f t="shared" si="8"/>
        <v>0</v>
      </c>
    </row>
    <row r="413" spans="2:18" x14ac:dyDescent="0.25">
      <c r="B413" s="48">
        <f>+'Metrics - Articles'!C412</f>
        <v>0</v>
      </c>
      <c r="C413">
        <f>COUNTIF('Metrics - Articles'!F412,"*GPO (Partner, Ecosystem, Channels)*")</f>
        <v>0</v>
      </c>
      <c r="D413">
        <f>COUNTIF('Metrics - Articles'!F412,"*Office of the CEO*")</f>
        <v>0</v>
      </c>
      <c r="E413">
        <f>COUNTIF('Metrics - Articles'!F412,"*Services Delivery &amp; Support (go-lives and deployments) *")</f>
        <v>0</v>
      </c>
      <c r="F413">
        <f>COUNTIF('Metrics - Articles'!F412,"*Human Resources (SAP HR and employee stories)*")</f>
        <v>0</v>
      </c>
      <c r="G413">
        <f>COUNTIF('Metrics - Articles'!F412,"*P&amp;I (Research &amp; Development)*")</f>
        <v>0</v>
      </c>
      <c r="H413">
        <f>COUNTIF('Metrics - Articles'!F412,"*Business Network (Concur, Ariba, Fieldglass)*")</f>
        <v>0</v>
      </c>
      <c r="I413">
        <f>COUNTIF('Metrics - Articles'!F412,"*GCO – Regions*")</f>
        <v>0</v>
      </c>
      <c r="J413">
        <f>COUNTIF('Metrics - Articles'!F412,"*GCO – Platform Solutions*")</f>
        <v>0</v>
      </c>
      <c r="K413">
        <f>COUNTIF('Metrics - Articles'!F412,"*GCO – Industry Cloud *")</f>
        <v>0</v>
      </c>
      <c r="L413">
        <f>COUNTIF('Metrics - Articles'!F412,"*GCO – Customer Engagement &amp; Commerce (CRM &amp; hybris) *")</f>
        <v>0</v>
      </c>
      <c r="M413">
        <f>COUNTIF('Metrics - Articles'!F412,"*GCO – HR (SuccessFactors)*")</f>
        <v>0</v>
      </c>
      <c r="N413">
        <f>COUNTIF('Metrics - Articles'!F412,"*GCO – Services Sales*")</f>
        <v>0</v>
      </c>
      <c r="O413">
        <f>COUNTIF('Metrics - Articles'!F412,"*GCO – Other*")</f>
        <v>0</v>
      </c>
      <c r="P413">
        <f>COUNTIF('Metrics - Articles'!F412,"*Corporate*")</f>
        <v>0</v>
      </c>
      <c r="R413" s="53">
        <f t="shared" si="8"/>
        <v>0</v>
      </c>
    </row>
    <row r="414" spans="2:18" x14ac:dyDescent="0.25">
      <c r="B414" s="48">
        <f>+'Metrics - Articles'!C413</f>
        <v>0</v>
      </c>
      <c r="C414">
        <f>COUNTIF('Metrics - Articles'!F413,"*GPO (Partner, Ecosystem, Channels)*")</f>
        <v>0</v>
      </c>
      <c r="D414">
        <f>COUNTIF('Metrics - Articles'!F413,"*Office of the CEO*")</f>
        <v>0</v>
      </c>
      <c r="E414">
        <f>COUNTIF('Metrics - Articles'!F413,"*Services Delivery &amp; Support (go-lives and deployments) *")</f>
        <v>0</v>
      </c>
      <c r="F414">
        <f>COUNTIF('Metrics - Articles'!F413,"*Human Resources (SAP HR and employee stories)*")</f>
        <v>0</v>
      </c>
      <c r="G414">
        <f>COUNTIF('Metrics - Articles'!F413,"*P&amp;I (Research &amp; Development)*")</f>
        <v>0</v>
      </c>
      <c r="H414">
        <f>COUNTIF('Metrics - Articles'!F413,"*Business Network (Concur, Ariba, Fieldglass)*")</f>
        <v>0</v>
      </c>
      <c r="I414">
        <f>COUNTIF('Metrics - Articles'!F413,"*GCO – Regions*")</f>
        <v>0</v>
      </c>
      <c r="J414">
        <f>COUNTIF('Metrics - Articles'!F413,"*GCO – Platform Solutions*")</f>
        <v>0</v>
      </c>
      <c r="K414">
        <f>COUNTIF('Metrics - Articles'!F413,"*GCO – Industry Cloud *")</f>
        <v>0</v>
      </c>
      <c r="L414">
        <f>COUNTIF('Metrics - Articles'!F413,"*GCO – Customer Engagement &amp; Commerce (CRM &amp; hybris) *")</f>
        <v>0</v>
      </c>
      <c r="M414">
        <f>COUNTIF('Metrics - Articles'!F413,"*GCO – HR (SuccessFactors)*")</f>
        <v>0</v>
      </c>
      <c r="N414">
        <f>COUNTIF('Metrics - Articles'!F413,"*GCO – Services Sales*")</f>
        <v>0</v>
      </c>
      <c r="O414">
        <f>COUNTIF('Metrics - Articles'!F413,"*GCO – Other*")</f>
        <v>0</v>
      </c>
      <c r="P414">
        <f>COUNTIF('Metrics - Articles'!F413,"*Corporate*")</f>
        <v>0</v>
      </c>
      <c r="R414" s="53">
        <f t="shared" si="8"/>
        <v>0</v>
      </c>
    </row>
    <row r="415" spans="2:18" x14ac:dyDescent="0.25">
      <c r="B415" s="48">
        <f>+'Metrics - Articles'!C414</f>
        <v>0</v>
      </c>
      <c r="C415">
        <f>COUNTIF('Metrics - Articles'!F414,"*GPO (Partner, Ecosystem, Channels)*")</f>
        <v>0</v>
      </c>
      <c r="D415">
        <f>COUNTIF('Metrics - Articles'!F414,"*Office of the CEO*")</f>
        <v>0</v>
      </c>
      <c r="E415">
        <f>COUNTIF('Metrics - Articles'!F414,"*Services Delivery &amp; Support (go-lives and deployments) *")</f>
        <v>0</v>
      </c>
      <c r="F415">
        <f>COUNTIF('Metrics - Articles'!F414,"*Human Resources (SAP HR and employee stories)*")</f>
        <v>0</v>
      </c>
      <c r="G415">
        <f>COUNTIF('Metrics - Articles'!F414,"*P&amp;I (Research &amp; Development)*")</f>
        <v>0</v>
      </c>
      <c r="H415">
        <f>COUNTIF('Metrics - Articles'!F414,"*Business Network (Concur, Ariba, Fieldglass)*")</f>
        <v>0</v>
      </c>
      <c r="I415">
        <f>COUNTIF('Metrics - Articles'!F414,"*GCO – Regions*")</f>
        <v>0</v>
      </c>
      <c r="J415">
        <f>COUNTIF('Metrics - Articles'!F414,"*GCO – Platform Solutions*")</f>
        <v>0</v>
      </c>
      <c r="K415">
        <f>COUNTIF('Metrics - Articles'!F414,"*GCO – Industry Cloud *")</f>
        <v>0</v>
      </c>
      <c r="L415">
        <f>COUNTIF('Metrics - Articles'!F414,"*GCO – Customer Engagement &amp; Commerce (CRM &amp; hybris) *")</f>
        <v>0</v>
      </c>
      <c r="M415">
        <f>COUNTIF('Metrics - Articles'!F414,"*GCO – HR (SuccessFactors)*")</f>
        <v>0</v>
      </c>
      <c r="N415">
        <f>COUNTIF('Metrics - Articles'!F414,"*GCO – Services Sales*")</f>
        <v>0</v>
      </c>
      <c r="O415">
        <f>COUNTIF('Metrics - Articles'!F414,"*GCO – Other*")</f>
        <v>0</v>
      </c>
      <c r="P415">
        <f>COUNTIF('Metrics - Articles'!F414,"*Corporate*")</f>
        <v>0</v>
      </c>
      <c r="R415" s="53">
        <f t="shared" si="8"/>
        <v>0</v>
      </c>
    </row>
    <row r="416" spans="2:18" x14ac:dyDescent="0.25">
      <c r="B416" s="48">
        <f>+'Metrics - Articles'!C415</f>
        <v>0</v>
      </c>
      <c r="C416">
        <f>COUNTIF('Metrics - Articles'!F415,"*GPO (Partner, Ecosystem, Channels)*")</f>
        <v>0</v>
      </c>
      <c r="D416">
        <f>COUNTIF('Metrics - Articles'!F415,"*Office of the CEO*")</f>
        <v>0</v>
      </c>
      <c r="E416">
        <f>COUNTIF('Metrics - Articles'!F415,"*Services Delivery &amp; Support (go-lives and deployments) *")</f>
        <v>0</v>
      </c>
      <c r="F416">
        <f>COUNTIF('Metrics - Articles'!F415,"*Human Resources (SAP HR and employee stories)*")</f>
        <v>0</v>
      </c>
      <c r="G416">
        <f>COUNTIF('Metrics - Articles'!F415,"*P&amp;I (Research &amp; Development)*")</f>
        <v>0</v>
      </c>
      <c r="H416">
        <f>COUNTIF('Metrics - Articles'!F415,"*Business Network (Concur, Ariba, Fieldglass)*")</f>
        <v>0</v>
      </c>
      <c r="I416">
        <f>COUNTIF('Metrics - Articles'!F415,"*GCO – Regions*")</f>
        <v>0</v>
      </c>
      <c r="J416">
        <f>COUNTIF('Metrics - Articles'!F415,"*GCO – Platform Solutions*")</f>
        <v>0</v>
      </c>
      <c r="K416">
        <f>COUNTIF('Metrics - Articles'!F415,"*GCO – Industry Cloud *")</f>
        <v>0</v>
      </c>
      <c r="L416">
        <f>COUNTIF('Metrics - Articles'!F415,"*GCO – Customer Engagement &amp; Commerce (CRM &amp; hybris) *")</f>
        <v>0</v>
      </c>
      <c r="M416">
        <f>COUNTIF('Metrics - Articles'!F415,"*GCO – HR (SuccessFactors)*")</f>
        <v>0</v>
      </c>
      <c r="N416">
        <f>COUNTIF('Metrics - Articles'!F415,"*GCO – Services Sales*")</f>
        <v>0</v>
      </c>
      <c r="O416">
        <f>COUNTIF('Metrics - Articles'!F415,"*GCO – Other*")</f>
        <v>0</v>
      </c>
      <c r="P416">
        <f>COUNTIF('Metrics - Articles'!F415,"*Corporate*")</f>
        <v>0</v>
      </c>
      <c r="R416" s="53">
        <f t="shared" si="8"/>
        <v>0</v>
      </c>
    </row>
    <row r="417" spans="2:18" x14ac:dyDescent="0.25">
      <c r="B417" s="48">
        <f>+'Metrics - Articles'!C416</f>
        <v>0</v>
      </c>
      <c r="C417">
        <f>COUNTIF('Metrics - Articles'!F416,"*GPO (Partner, Ecosystem, Channels)*")</f>
        <v>0</v>
      </c>
      <c r="D417">
        <f>COUNTIF('Metrics - Articles'!F416,"*Office of the CEO*")</f>
        <v>0</v>
      </c>
      <c r="E417">
        <f>COUNTIF('Metrics - Articles'!F416,"*Services Delivery &amp; Support (go-lives and deployments) *")</f>
        <v>0</v>
      </c>
      <c r="F417">
        <f>COUNTIF('Metrics - Articles'!F416,"*Human Resources (SAP HR and employee stories)*")</f>
        <v>0</v>
      </c>
      <c r="G417">
        <f>COUNTIF('Metrics - Articles'!F416,"*P&amp;I (Research &amp; Development)*")</f>
        <v>0</v>
      </c>
      <c r="H417">
        <f>COUNTIF('Metrics - Articles'!F416,"*Business Network (Concur, Ariba, Fieldglass)*")</f>
        <v>0</v>
      </c>
      <c r="I417">
        <f>COUNTIF('Metrics - Articles'!F416,"*GCO – Regions*")</f>
        <v>0</v>
      </c>
      <c r="J417">
        <f>COUNTIF('Metrics - Articles'!F416,"*GCO – Platform Solutions*")</f>
        <v>0</v>
      </c>
      <c r="K417">
        <f>COUNTIF('Metrics - Articles'!F416,"*GCO – Industry Cloud *")</f>
        <v>0</v>
      </c>
      <c r="L417">
        <f>COUNTIF('Metrics - Articles'!F416,"*GCO – Customer Engagement &amp; Commerce (CRM &amp; hybris) *")</f>
        <v>0</v>
      </c>
      <c r="M417">
        <f>COUNTIF('Metrics - Articles'!F416,"*GCO – HR (SuccessFactors)*")</f>
        <v>0</v>
      </c>
      <c r="N417">
        <f>COUNTIF('Metrics - Articles'!F416,"*GCO – Services Sales*")</f>
        <v>0</v>
      </c>
      <c r="O417">
        <f>COUNTIF('Metrics - Articles'!F416,"*GCO – Other*")</f>
        <v>0</v>
      </c>
      <c r="P417">
        <f>COUNTIF('Metrics - Articles'!F416,"*Corporate*")</f>
        <v>0</v>
      </c>
      <c r="R417" s="53">
        <f t="shared" si="8"/>
        <v>0</v>
      </c>
    </row>
    <row r="418" spans="2:18" x14ac:dyDescent="0.25">
      <c r="B418" s="48">
        <f>+'Metrics - Articles'!C417</f>
        <v>0</v>
      </c>
      <c r="C418">
        <f>COUNTIF('Metrics - Articles'!F417,"*GPO (Partner, Ecosystem, Channels)*")</f>
        <v>0</v>
      </c>
      <c r="D418">
        <f>COUNTIF('Metrics - Articles'!F417,"*Office of the CEO*")</f>
        <v>0</v>
      </c>
      <c r="E418">
        <f>COUNTIF('Metrics - Articles'!F417,"*Services Delivery &amp; Support (go-lives and deployments) *")</f>
        <v>0</v>
      </c>
      <c r="F418">
        <f>COUNTIF('Metrics - Articles'!F417,"*Human Resources (SAP HR and employee stories)*")</f>
        <v>0</v>
      </c>
      <c r="G418">
        <f>COUNTIF('Metrics - Articles'!F417,"*P&amp;I (Research &amp; Development)*")</f>
        <v>0</v>
      </c>
      <c r="H418">
        <f>COUNTIF('Metrics - Articles'!F417,"*Business Network (Concur, Ariba, Fieldglass)*")</f>
        <v>0</v>
      </c>
      <c r="I418">
        <f>COUNTIF('Metrics - Articles'!F417,"*GCO – Regions*")</f>
        <v>0</v>
      </c>
      <c r="J418">
        <f>COUNTIF('Metrics - Articles'!F417,"*GCO – Platform Solutions*")</f>
        <v>0</v>
      </c>
      <c r="K418">
        <f>COUNTIF('Metrics - Articles'!F417,"*GCO – Industry Cloud *")</f>
        <v>0</v>
      </c>
      <c r="L418">
        <f>COUNTIF('Metrics - Articles'!F417,"*GCO – Customer Engagement &amp; Commerce (CRM &amp; hybris) *")</f>
        <v>0</v>
      </c>
      <c r="M418">
        <f>COUNTIF('Metrics - Articles'!F417,"*GCO – HR (SuccessFactors)*")</f>
        <v>0</v>
      </c>
      <c r="N418">
        <f>COUNTIF('Metrics - Articles'!F417,"*GCO – Services Sales*")</f>
        <v>0</v>
      </c>
      <c r="O418">
        <f>COUNTIF('Metrics - Articles'!F417,"*GCO – Other*")</f>
        <v>0</v>
      </c>
      <c r="P418">
        <f>COUNTIF('Metrics - Articles'!F417,"*Corporate*")</f>
        <v>0</v>
      </c>
      <c r="R418" s="53">
        <f t="shared" si="8"/>
        <v>0</v>
      </c>
    </row>
    <row r="419" spans="2:18" x14ac:dyDescent="0.25">
      <c r="B419" s="48">
        <f>+'Metrics - Articles'!C418</f>
        <v>0</v>
      </c>
      <c r="C419">
        <f>COUNTIF('Metrics - Articles'!F418,"*GPO (Partner, Ecosystem, Channels)*")</f>
        <v>0</v>
      </c>
      <c r="D419">
        <f>COUNTIF('Metrics - Articles'!F418,"*Office of the CEO*")</f>
        <v>0</v>
      </c>
      <c r="E419">
        <f>COUNTIF('Metrics - Articles'!F418,"*Services Delivery &amp; Support (go-lives and deployments) *")</f>
        <v>0</v>
      </c>
      <c r="F419">
        <f>COUNTIF('Metrics - Articles'!F418,"*Human Resources (SAP HR and employee stories)*")</f>
        <v>0</v>
      </c>
      <c r="G419">
        <f>COUNTIF('Metrics - Articles'!F418,"*P&amp;I (Research &amp; Development)*")</f>
        <v>0</v>
      </c>
      <c r="H419">
        <f>COUNTIF('Metrics - Articles'!F418,"*Business Network (Concur, Ariba, Fieldglass)*")</f>
        <v>0</v>
      </c>
      <c r="I419">
        <f>COUNTIF('Metrics - Articles'!F418,"*GCO – Regions*")</f>
        <v>0</v>
      </c>
      <c r="J419">
        <f>COUNTIF('Metrics - Articles'!F418,"*GCO – Platform Solutions*")</f>
        <v>0</v>
      </c>
      <c r="K419">
        <f>COUNTIF('Metrics - Articles'!F418,"*GCO – Industry Cloud *")</f>
        <v>0</v>
      </c>
      <c r="L419">
        <f>COUNTIF('Metrics - Articles'!F418,"*GCO – Customer Engagement &amp; Commerce (CRM &amp; hybris) *")</f>
        <v>0</v>
      </c>
      <c r="M419">
        <f>COUNTIF('Metrics - Articles'!F418,"*GCO – HR (SuccessFactors)*")</f>
        <v>0</v>
      </c>
      <c r="N419">
        <f>COUNTIF('Metrics - Articles'!F418,"*GCO – Services Sales*")</f>
        <v>0</v>
      </c>
      <c r="O419">
        <f>COUNTIF('Metrics - Articles'!F418,"*GCO – Other*")</f>
        <v>0</v>
      </c>
      <c r="P419">
        <f>COUNTIF('Metrics - Articles'!F418,"*Corporate*")</f>
        <v>0</v>
      </c>
      <c r="R419" s="53">
        <f t="shared" si="8"/>
        <v>0</v>
      </c>
    </row>
    <row r="420" spans="2:18" x14ac:dyDescent="0.25">
      <c r="B420" s="48">
        <f>+'Metrics - Articles'!C419</f>
        <v>0</v>
      </c>
      <c r="C420">
        <f>COUNTIF('Metrics - Articles'!F419,"*GPO (Partner, Ecosystem, Channels)*")</f>
        <v>0</v>
      </c>
      <c r="D420">
        <f>COUNTIF('Metrics - Articles'!F419,"*Office of the CEO*")</f>
        <v>0</v>
      </c>
      <c r="E420">
        <f>COUNTIF('Metrics - Articles'!F419,"*Services Delivery &amp; Support (go-lives and deployments) *")</f>
        <v>0</v>
      </c>
      <c r="F420">
        <f>COUNTIF('Metrics - Articles'!F419,"*Human Resources (SAP HR and employee stories)*")</f>
        <v>0</v>
      </c>
      <c r="G420">
        <f>COUNTIF('Metrics - Articles'!F419,"*P&amp;I (Research &amp; Development)*")</f>
        <v>0</v>
      </c>
      <c r="H420">
        <f>COUNTIF('Metrics - Articles'!F419,"*Business Network (Concur, Ariba, Fieldglass)*")</f>
        <v>0</v>
      </c>
      <c r="I420">
        <f>COUNTIF('Metrics - Articles'!F419,"*GCO – Regions*")</f>
        <v>0</v>
      </c>
      <c r="J420">
        <f>COUNTIF('Metrics - Articles'!F419,"*GCO – Platform Solutions*")</f>
        <v>0</v>
      </c>
      <c r="K420">
        <f>COUNTIF('Metrics - Articles'!F419,"*GCO – Industry Cloud *")</f>
        <v>0</v>
      </c>
      <c r="L420">
        <f>COUNTIF('Metrics - Articles'!F419,"*GCO – Customer Engagement &amp; Commerce (CRM &amp; hybris) *")</f>
        <v>0</v>
      </c>
      <c r="M420">
        <f>COUNTIF('Metrics - Articles'!F419,"*GCO – HR (SuccessFactors)*")</f>
        <v>0</v>
      </c>
      <c r="N420">
        <f>COUNTIF('Metrics - Articles'!F419,"*GCO – Services Sales*")</f>
        <v>0</v>
      </c>
      <c r="O420">
        <f>COUNTIF('Metrics - Articles'!F419,"*GCO – Other*")</f>
        <v>0</v>
      </c>
      <c r="P420">
        <f>COUNTIF('Metrics - Articles'!F419,"*Corporate*")</f>
        <v>0</v>
      </c>
      <c r="R420" s="53">
        <f t="shared" si="8"/>
        <v>0</v>
      </c>
    </row>
    <row r="421" spans="2:18" x14ac:dyDescent="0.25">
      <c r="B421" s="48">
        <f>+'Metrics - Articles'!C420</f>
        <v>0</v>
      </c>
      <c r="C421">
        <f>COUNTIF('Metrics - Articles'!F420,"*GPO (Partner, Ecosystem, Channels)*")</f>
        <v>0</v>
      </c>
      <c r="D421">
        <f>COUNTIF('Metrics - Articles'!F420,"*Office of the CEO*")</f>
        <v>0</v>
      </c>
      <c r="E421">
        <f>COUNTIF('Metrics - Articles'!F420,"*Services Delivery &amp; Support (go-lives and deployments) *")</f>
        <v>0</v>
      </c>
      <c r="F421">
        <f>COUNTIF('Metrics - Articles'!F420,"*Human Resources (SAP HR and employee stories)*")</f>
        <v>0</v>
      </c>
      <c r="G421">
        <f>COUNTIF('Metrics - Articles'!F420,"*P&amp;I (Research &amp; Development)*")</f>
        <v>0</v>
      </c>
      <c r="H421">
        <f>COUNTIF('Metrics - Articles'!F420,"*Business Network (Concur, Ariba, Fieldglass)*")</f>
        <v>0</v>
      </c>
      <c r="I421">
        <f>COUNTIF('Metrics - Articles'!F420,"*GCO – Regions*")</f>
        <v>0</v>
      </c>
      <c r="J421">
        <f>COUNTIF('Metrics - Articles'!F420,"*GCO – Platform Solutions*")</f>
        <v>0</v>
      </c>
      <c r="K421">
        <f>COUNTIF('Metrics - Articles'!F420,"*GCO – Industry Cloud *")</f>
        <v>0</v>
      </c>
      <c r="L421">
        <f>COUNTIF('Metrics - Articles'!F420,"*GCO – Customer Engagement &amp; Commerce (CRM &amp; hybris) *")</f>
        <v>0</v>
      </c>
      <c r="M421">
        <f>COUNTIF('Metrics - Articles'!F420,"*GCO – HR (SuccessFactors)*")</f>
        <v>0</v>
      </c>
      <c r="N421">
        <f>COUNTIF('Metrics - Articles'!F420,"*GCO – Services Sales*")</f>
        <v>0</v>
      </c>
      <c r="O421">
        <f>COUNTIF('Metrics - Articles'!F420,"*GCO – Other*")</f>
        <v>0</v>
      </c>
      <c r="P421">
        <f>COUNTIF('Metrics - Articles'!F420,"*Corporate*")</f>
        <v>0</v>
      </c>
      <c r="R421" s="53">
        <f t="shared" si="8"/>
        <v>0</v>
      </c>
    </row>
    <row r="422" spans="2:18" x14ac:dyDescent="0.25">
      <c r="B422" s="48">
        <f>+'Metrics - Articles'!C421</f>
        <v>0</v>
      </c>
      <c r="C422">
        <f>COUNTIF('Metrics - Articles'!F421,"*GPO (Partner, Ecosystem, Channels)*")</f>
        <v>0</v>
      </c>
      <c r="D422">
        <f>COUNTIF('Metrics - Articles'!F421,"*Office of the CEO*")</f>
        <v>0</v>
      </c>
      <c r="E422">
        <f>COUNTIF('Metrics - Articles'!F421,"*Services Delivery &amp; Support (go-lives and deployments) *")</f>
        <v>0</v>
      </c>
      <c r="F422">
        <f>COUNTIF('Metrics - Articles'!F421,"*Human Resources (SAP HR and employee stories)*")</f>
        <v>0</v>
      </c>
      <c r="G422">
        <f>COUNTIF('Metrics - Articles'!F421,"*P&amp;I (Research &amp; Development)*")</f>
        <v>0</v>
      </c>
      <c r="H422">
        <f>COUNTIF('Metrics - Articles'!F421,"*Business Network (Concur, Ariba, Fieldglass)*")</f>
        <v>0</v>
      </c>
      <c r="I422">
        <f>COUNTIF('Metrics - Articles'!F421,"*GCO – Regions*")</f>
        <v>0</v>
      </c>
      <c r="J422">
        <f>COUNTIF('Metrics - Articles'!F421,"*GCO – Platform Solutions*")</f>
        <v>0</v>
      </c>
      <c r="K422">
        <f>COUNTIF('Metrics - Articles'!F421,"*GCO – Industry Cloud *")</f>
        <v>0</v>
      </c>
      <c r="L422">
        <f>COUNTIF('Metrics - Articles'!F421,"*GCO – Customer Engagement &amp; Commerce (CRM &amp; hybris) *")</f>
        <v>0</v>
      </c>
      <c r="M422">
        <f>COUNTIF('Metrics - Articles'!F421,"*GCO – HR (SuccessFactors)*")</f>
        <v>0</v>
      </c>
      <c r="N422">
        <f>COUNTIF('Metrics - Articles'!F421,"*GCO – Services Sales*")</f>
        <v>0</v>
      </c>
      <c r="O422">
        <f>COUNTIF('Metrics - Articles'!F421,"*GCO – Other*")</f>
        <v>0</v>
      </c>
      <c r="P422">
        <f>COUNTIF('Metrics - Articles'!F421,"*Corporate*")</f>
        <v>0</v>
      </c>
      <c r="R422" s="53">
        <f t="shared" si="8"/>
        <v>0</v>
      </c>
    </row>
    <row r="423" spans="2:18" x14ac:dyDescent="0.25">
      <c r="B423" s="48">
        <f>+'Metrics - Articles'!C422</f>
        <v>0</v>
      </c>
      <c r="C423">
        <f>COUNTIF('Metrics - Articles'!F422,"*GPO (Partner, Ecosystem, Channels)*")</f>
        <v>0</v>
      </c>
      <c r="D423">
        <f>COUNTIF('Metrics - Articles'!F422,"*Office of the CEO*")</f>
        <v>0</v>
      </c>
      <c r="E423">
        <f>COUNTIF('Metrics - Articles'!F422,"*Services Delivery &amp; Support (go-lives and deployments) *")</f>
        <v>0</v>
      </c>
      <c r="F423">
        <f>COUNTIF('Metrics - Articles'!F422,"*Human Resources (SAP HR and employee stories)*")</f>
        <v>0</v>
      </c>
      <c r="G423">
        <f>COUNTIF('Metrics - Articles'!F422,"*P&amp;I (Research &amp; Development)*")</f>
        <v>0</v>
      </c>
      <c r="H423">
        <f>COUNTIF('Metrics - Articles'!F422,"*Business Network (Concur, Ariba, Fieldglass)*")</f>
        <v>0</v>
      </c>
      <c r="I423">
        <f>COUNTIF('Metrics - Articles'!F422,"*GCO – Regions*")</f>
        <v>0</v>
      </c>
      <c r="J423">
        <f>COUNTIF('Metrics - Articles'!F422,"*GCO – Platform Solutions*")</f>
        <v>0</v>
      </c>
      <c r="K423">
        <f>COUNTIF('Metrics - Articles'!F422,"*GCO – Industry Cloud *")</f>
        <v>0</v>
      </c>
      <c r="L423">
        <f>COUNTIF('Metrics - Articles'!F422,"*GCO – Customer Engagement &amp; Commerce (CRM &amp; hybris) *")</f>
        <v>0</v>
      </c>
      <c r="M423">
        <f>COUNTIF('Metrics - Articles'!F422,"*GCO – HR (SuccessFactors)*")</f>
        <v>0</v>
      </c>
      <c r="N423">
        <f>COUNTIF('Metrics - Articles'!F422,"*GCO – Services Sales*")</f>
        <v>0</v>
      </c>
      <c r="O423">
        <f>COUNTIF('Metrics - Articles'!F422,"*GCO – Other*")</f>
        <v>0</v>
      </c>
      <c r="P423">
        <f>COUNTIF('Metrics - Articles'!F422,"*Corporate*")</f>
        <v>0</v>
      </c>
      <c r="R423" s="53">
        <f t="shared" si="8"/>
        <v>0</v>
      </c>
    </row>
    <row r="424" spans="2:18" x14ac:dyDescent="0.25">
      <c r="B424" s="48">
        <f>+'Metrics - Articles'!C423</f>
        <v>0</v>
      </c>
      <c r="C424">
        <f>COUNTIF('Metrics - Articles'!F423,"*GPO (Partner, Ecosystem, Channels)*")</f>
        <v>0</v>
      </c>
      <c r="D424">
        <f>COUNTIF('Metrics - Articles'!F423,"*Office of the CEO*")</f>
        <v>0</v>
      </c>
      <c r="E424">
        <f>COUNTIF('Metrics - Articles'!F423,"*Services Delivery &amp; Support (go-lives and deployments) *")</f>
        <v>0</v>
      </c>
      <c r="F424">
        <f>COUNTIF('Metrics - Articles'!F423,"*Human Resources (SAP HR and employee stories)*")</f>
        <v>0</v>
      </c>
      <c r="G424">
        <f>COUNTIF('Metrics - Articles'!F423,"*P&amp;I (Research &amp; Development)*")</f>
        <v>0</v>
      </c>
      <c r="H424">
        <f>COUNTIF('Metrics - Articles'!F423,"*Business Network (Concur, Ariba, Fieldglass)*")</f>
        <v>0</v>
      </c>
      <c r="I424">
        <f>COUNTIF('Metrics - Articles'!F423,"*GCO – Regions*")</f>
        <v>0</v>
      </c>
      <c r="J424">
        <f>COUNTIF('Metrics - Articles'!F423,"*GCO – Platform Solutions*")</f>
        <v>0</v>
      </c>
      <c r="K424">
        <f>COUNTIF('Metrics - Articles'!F423,"*GCO – Industry Cloud *")</f>
        <v>0</v>
      </c>
      <c r="L424">
        <f>COUNTIF('Metrics - Articles'!F423,"*GCO – Customer Engagement &amp; Commerce (CRM &amp; hybris) *")</f>
        <v>0</v>
      </c>
      <c r="M424">
        <f>COUNTIF('Metrics - Articles'!F423,"*GCO – HR (SuccessFactors)*")</f>
        <v>0</v>
      </c>
      <c r="N424">
        <f>COUNTIF('Metrics - Articles'!F423,"*GCO – Services Sales*")</f>
        <v>0</v>
      </c>
      <c r="O424">
        <f>COUNTIF('Metrics - Articles'!F423,"*GCO – Other*")</f>
        <v>0</v>
      </c>
      <c r="P424">
        <f>COUNTIF('Metrics - Articles'!F423,"*Corporate*")</f>
        <v>0</v>
      </c>
      <c r="R424" s="53">
        <f t="shared" si="8"/>
        <v>0</v>
      </c>
    </row>
    <row r="425" spans="2:18" x14ac:dyDescent="0.25">
      <c r="B425" s="48">
        <f>+'Metrics - Articles'!C424</f>
        <v>0</v>
      </c>
      <c r="C425">
        <f>COUNTIF('Metrics - Articles'!F424,"*GPO (Partner, Ecosystem, Channels)*")</f>
        <v>0</v>
      </c>
      <c r="D425">
        <f>COUNTIF('Metrics - Articles'!F424,"*Office of the CEO*")</f>
        <v>0</v>
      </c>
      <c r="E425">
        <f>COUNTIF('Metrics - Articles'!F424,"*Services Delivery &amp; Support (go-lives and deployments) *")</f>
        <v>0</v>
      </c>
      <c r="F425">
        <f>COUNTIF('Metrics - Articles'!F424,"*Human Resources (SAP HR and employee stories)*")</f>
        <v>0</v>
      </c>
      <c r="G425">
        <f>COUNTIF('Metrics - Articles'!F424,"*P&amp;I (Research &amp; Development)*")</f>
        <v>0</v>
      </c>
      <c r="H425">
        <f>COUNTIF('Metrics - Articles'!F424,"*Business Network (Concur, Ariba, Fieldglass)*")</f>
        <v>0</v>
      </c>
      <c r="I425">
        <f>COUNTIF('Metrics - Articles'!F424,"*GCO – Regions*")</f>
        <v>0</v>
      </c>
      <c r="J425">
        <f>COUNTIF('Metrics - Articles'!F424,"*GCO – Platform Solutions*")</f>
        <v>0</v>
      </c>
      <c r="K425">
        <f>COUNTIF('Metrics - Articles'!F424,"*GCO – Industry Cloud *")</f>
        <v>0</v>
      </c>
      <c r="L425">
        <f>COUNTIF('Metrics - Articles'!F424,"*GCO – Customer Engagement &amp; Commerce (CRM &amp; hybris) *")</f>
        <v>0</v>
      </c>
      <c r="M425">
        <f>COUNTIF('Metrics - Articles'!F424,"*GCO – HR (SuccessFactors)*")</f>
        <v>0</v>
      </c>
      <c r="N425">
        <f>COUNTIF('Metrics - Articles'!F424,"*GCO – Services Sales*")</f>
        <v>0</v>
      </c>
      <c r="O425">
        <f>COUNTIF('Metrics - Articles'!F424,"*GCO – Other*")</f>
        <v>0</v>
      </c>
      <c r="P425">
        <f>COUNTIF('Metrics - Articles'!F424,"*Corporate*")</f>
        <v>0</v>
      </c>
      <c r="R425" s="53">
        <f t="shared" si="8"/>
        <v>0</v>
      </c>
    </row>
    <row r="426" spans="2:18" x14ac:dyDescent="0.25">
      <c r="B426" s="48">
        <f>+'Metrics - Articles'!C425</f>
        <v>0</v>
      </c>
      <c r="C426">
        <f>COUNTIF('Metrics - Articles'!F425,"*GPO (Partner, Ecosystem, Channels)*")</f>
        <v>0</v>
      </c>
      <c r="D426">
        <f>COUNTIF('Metrics - Articles'!F425,"*Office of the CEO*")</f>
        <v>0</v>
      </c>
      <c r="E426">
        <f>COUNTIF('Metrics - Articles'!F425,"*Services Delivery &amp; Support (go-lives and deployments) *")</f>
        <v>0</v>
      </c>
      <c r="F426">
        <f>COUNTIF('Metrics - Articles'!F425,"*Human Resources (SAP HR and employee stories)*")</f>
        <v>0</v>
      </c>
      <c r="G426">
        <f>COUNTIF('Metrics - Articles'!F425,"*P&amp;I (Research &amp; Development)*")</f>
        <v>0</v>
      </c>
      <c r="H426">
        <f>COUNTIF('Metrics - Articles'!F425,"*Business Network (Concur, Ariba, Fieldglass)*")</f>
        <v>0</v>
      </c>
      <c r="I426">
        <f>COUNTIF('Metrics - Articles'!F425,"*GCO – Regions*")</f>
        <v>0</v>
      </c>
      <c r="J426">
        <f>COUNTIF('Metrics - Articles'!F425,"*GCO – Platform Solutions*")</f>
        <v>0</v>
      </c>
      <c r="K426">
        <f>COUNTIF('Metrics - Articles'!F425,"*GCO – Industry Cloud *")</f>
        <v>0</v>
      </c>
      <c r="L426">
        <f>COUNTIF('Metrics - Articles'!F425,"*GCO – Customer Engagement &amp; Commerce (CRM &amp; hybris) *")</f>
        <v>0</v>
      </c>
      <c r="M426">
        <f>COUNTIF('Metrics - Articles'!F425,"*GCO – HR (SuccessFactors)*")</f>
        <v>0</v>
      </c>
      <c r="N426">
        <f>COUNTIF('Metrics - Articles'!F425,"*GCO – Services Sales*")</f>
        <v>0</v>
      </c>
      <c r="O426">
        <f>COUNTIF('Metrics - Articles'!F425,"*GCO – Other*")</f>
        <v>0</v>
      </c>
      <c r="P426">
        <f>COUNTIF('Metrics - Articles'!F425,"*Corporate*")</f>
        <v>0</v>
      </c>
      <c r="R426" s="53">
        <f t="shared" si="8"/>
        <v>0</v>
      </c>
    </row>
    <row r="427" spans="2:18" x14ac:dyDescent="0.25">
      <c r="B427" s="48">
        <f>+'Metrics - Articles'!C426</f>
        <v>0</v>
      </c>
      <c r="C427">
        <f>COUNTIF('Metrics - Articles'!F426,"*GPO (Partner, Ecosystem, Channels)*")</f>
        <v>0</v>
      </c>
      <c r="D427">
        <f>COUNTIF('Metrics - Articles'!F426,"*Office of the CEO*")</f>
        <v>0</v>
      </c>
      <c r="E427">
        <f>COUNTIF('Metrics - Articles'!F426,"*Services Delivery &amp; Support (go-lives and deployments) *")</f>
        <v>0</v>
      </c>
      <c r="F427">
        <f>COUNTIF('Metrics - Articles'!F426,"*Human Resources (SAP HR and employee stories)*")</f>
        <v>0</v>
      </c>
      <c r="G427">
        <f>COUNTIF('Metrics - Articles'!F426,"*P&amp;I (Research &amp; Development)*")</f>
        <v>0</v>
      </c>
      <c r="H427">
        <f>COUNTIF('Metrics - Articles'!F426,"*Business Network (Concur, Ariba, Fieldglass)*")</f>
        <v>0</v>
      </c>
      <c r="I427">
        <f>COUNTIF('Metrics - Articles'!F426,"*GCO – Regions*")</f>
        <v>0</v>
      </c>
      <c r="J427">
        <f>COUNTIF('Metrics - Articles'!F426,"*GCO – Platform Solutions*")</f>
        <v>0</v>
      </c>
      <c r="K427">
        <f>COUNTIF('Metrics - Articles'!F426,"*GCO – Industry Cloud *")</f>
        <v>0</v>
      </c>
      <c r="L427">
        <f>COUNTIF('Metrics - Articles'!F426,"*GCO – Customer Engagement &amp; Commerce (CRM &amp; hybris) *")</f>
        <v>0</v>
      </c>
      <c r="M427">
        <f>COUNTIF('Metrics - Articles'!F426,"*GCO – HR (SuccessFactors)*")</f>
        <v>0</v>
      </c>
      <c r="N427">
        <f>COUNTIF('Metrics - Articles'!F426,"*GCO – Services Sales*")</f>
        <v>0</v>
      </c>
      <c r="O427">
        <f>COUNTIF('Metrics - Articles'!F426,"*GCO – Other*")</f>
        <v>0</v>
      </c>
      <c r="P427">
        <f>COUNTIF('Metrics - Articles'!F426,"*Corporate*")</f>
        <v>0</v>
      </c>
      <c r="R427" s="53">
        <f t="shared" si="8"/>
        <v>0</v>
      </c>
    </row>
    <row r="428" spans="2:18" x14ac:dyDescent="0.25">
      <c r="B428" s="48">
        <f>+'Metrics - Articles'!C427</f>
        <v>0</v>
      </c>
      <c r="C428">
        <f>COUNTIF('Metrics - Articles'!F427,"*GPO (Partner, Ecosystem, Channels)*")</f>
        <v>0</v>
      </c>
      <c r="D428">
        <f>COUNTIF('Metrics - Articles'!F427,"*Office of the CEO*")</f>
        <v>0</v>
      </c>
      <c r="E428">
        <f>COUNTIF('Metrics - Articles'!F427,"*Services Delivery &amp; Support (go-lives and deployments) *")</f>
        <v>0</v>
      </c>
      <c r="F428">
        <f>COUNTIF('Metrics - Articles'!F427,"*Human Resources (SAP HR and employee stories)*")</f>
        <v>0</v>
      </c>
      <c r="G428">
        <f>COUNTIF('Metrics - Articles'!F427,"*P&amp;I (Research &amp; Development)*")</f>
        <v>0</v>
      </c>
      <c r="H428">
        <f>COUNTIF('Metrics - Articles'!F427,"*Business Network (Concur, Ariba, Fieldglass)*")</f>
        <v>0</v>
      </c>
      <c r="I428">
        <f>COUNTIF('Metrics - Articles'!F427,"*GCO – Regions*")</f>
        <v>0</v>
      </c>
      <c r="J428">
        <f>COUNTIF('Metrics - Articles'!F427,"*GCO – Platform Solutions*")</f>
        <v>0</v>
      </c>
      <c r="K428">
        <f>COUNTIF('Metrics - Articles'!F427,"*GCO – Industry Cloud *")</f>
        <v>0</v>
      </c>
      <c r="L428">
        <f>COUNTIF('Metrics - Articles'!F427,"*GCO – Customer Engagement &amp; Commerce (CRM &amp; hybris) *")</f>
        <v>0</v>
      </c>
      <c r="M428">
        <f>COUNTIF('Metrics - Articles'!F427,"*GCO – HR (SuccessFactors)*")</f>
        <v>0</v>
      </c>
      <c r="N428">
        <f>COUNTIF('Metrics - Articles'!F427,"*GCO – Services Sales*")</f>
        <v>0</v>
      </c>
      <c r="O428">
        <f>COUNTIF('Metrics - Articles'!F427,"*GCO – Other*")</f>
        <v>0</v>
      </c>
      <c r="P428">
        <f>COUNTIF('Metrics - Articles'!F427,"*Corporate*")</f>
        <v>0</v>
      </c>
      <c r="R428" s="53">
        <f t="shared" si="8"/>
        <v>0</v>
      </c>
    </row>
    <row r="429" spans="2:18" x14ac:dyDescent="0.25">
      <c r="B429" s="48">
        <f>+'Metrics - Articles'!C428</f>
        <v>0</v>
      </c>
      <c r="C429">
        <f>COUNTIF('Metrics - Articles'!F428,"*GPO (Partner, Ecosystem, Channels)*")</f>
        <v>0</v>
      </c>
      <c r="D429">
        <f>COUNTIF('Metrics - Articles'!F428,"*Office of the CEO*")</f>
        <v>0</v>
      </c>
      <c r="E429">
        <f>COUNTIF('Metrics - Articles'!F428,"*Services Delivery &amp; Support (go-lives and deployments) *")</f>
        <v>0</v>
      </c>
      <c r="F429">
        <f>COUNTIF('Metrics - Articles'!F428,"*Human Resources (SAP HR and employee stories)*")</f>
        <v>0</v>
      </c>
      <c r="G429">
        <f>COUNTIF('Metrics - Articles'!F428,"*P&amp;I (Research &amp; Development)*")</f>
        <v>0</v>
      </c>
      <c r="H429">
        <f>COUNTIF('Metrics - Articles'!F428,"*Business Network (Concur, Ariba, Fieldglass)*")</f>
        <v>0</v>
      </c>
      <c r="I429">
        <f>COUNTIF('Metrics - Articles'!F428,"*GCO – Regions*")</f>
        <v>0</v>
      </c>
      <c r="J429">
        <f>COUNTIF('Metrics - Articles'!F428,"*GCO – Platform Solutions*")</f>
        <v>0</v>
      </c>
      <c r="K429">
        <f>COUNTIF('Metrics - Articles'!F428,"*GCO – Industry Cloud *")</f>
        <v>0</v>
      </c>
      <c r="L429">
        <f>COUNTIF('Metrics - Articles'!F428,"*GCO – Customer Engagement &amp; Commerce (CRM &amp; hybris) *")</f>
        <v>0</v>
      </c>
      <c r="M429">
        <f>COUNTIF('Metrics - Articles'!F428,"*GCO – HR (SuccessFactors)*")</f>
        <v>0</v>
      </c>
      <c r="N429">
        <f>COUNTIF('Metrics - Articles'!F428,"*GCO – Services Sales*")</f>
        <v>0</v>
      </c>
      <c r="O429">
        <f>COUNTIF('Metrics - Articles'!F428,"*GCO – Other*")</f>
        <v>0</v>
      </c>
      <c r="P429">
        <f>COUNTIF('Metrics - Articles'!F428,"*Corporate*")</f>
        <v>0</v>
      </c>
      <c r="R429" s="53">
        <f t="shared" si="8"/>
        <v>0</v>
      </c>
    </row>
    <row r="430" spans="2:18" x14ac:dyDescent="0.25">
      <c r="B430" s="48">
        <f>+'Metrics - Articles'!C429</f>
        <v>0</v>
      </c>
      <c r="C430">
        <f>COUNTIF('Metrics - Articles'!F429,"*GPO (Partner, Ecosystem, Channels)*")</f>
        <v>0</v>
      </c>
      <c r="D430">
        <f>COUNTIF('Metrics - Articles'!F429,"*Office of the CEO*")</f>
        <v>0</v>
      </c>
      <c r="E430">
        <f>COUNTIF('Metrics - Articles'!F429,"*Services Delivery &amp; Support (go-lives and deployments) *")</f>
        <v>0</v>
      </c>
      <c r="F430">
        <f>COUNTIF('Metrics - Articles'!F429,"*Human Resources (SAP HR and employee stories)*")</f>
        <v>0</v>
      </c>
      <c r="G430">
        <f>COUNTIF('Metrics - Articles'!F429,"*P&amp;I (Research &amp; Development)*")</f>
        <v>0</v>
      </c>
      <c r="H430">
        <f>COUNTIF('Metrics - Articles'!F429,"*Business Network (Concur, Ariba, Fieldglass)*")</f>
        <v>0</v>
      </c>
      <c r="I430">
        <f>COUNTIF('Metrics - Articles'!F429,"*GCO – Regions*")</f>
        <v>0</v>
      </c>
      <c r="J430">
        <f>COUNTIF('Metrics - Articles'!F429,"*GCO – Platform Solutions*")</f>
        <v>0</v>
      </c>
      <c r="K430">
        <f>COUNTIF('Metrics - Articles'!F429,"*GCO – Industry Cloud *")</f>
        <v>0</v>
      </c>
      <c r="L430">
        <f>COUNTIF('Metrics - Articles'!F429,"*GCO – Customer Engagement &amp; Commerce (CRM &amp; hybris) *")</f>
        <v>0</v>
      </c>
      <c r="M430">
        <f>COUNTIF('Metrics - Articles'!F429,"*GCO – HR (SuccessFactors)*")</f>
        <v>0</v>
      </c>
      <c r="N430">
        <f>COUNTIF('Metrics - Articles'!F429,"*GCO – Services Sales*")</f>
        <v>0</v>
      </c>
      <c r="O430">
        <f>COUNTIF('Metrics - Articles'!F429,"*GCO – Other*")</f>
        <v>0</v>
      </c>
      <c r="P430">
        <f>COUNTIF('Metrics - Articles'!F429,"*Corporate*")</f>
        <v>0</v>
      </c>
      <c r="R430" s="53">
        <f t="shared" si="8"/>
        <v>0</v>
      </c>
    </row>
    <row r="431" spans="2:18" x14ac:dyDescent="0.25">
      <c r="B431" s="48">
        <f>+'Metrics - Articles'!C430</f>
        <v>0</v>
      </c>
      <c r="C431">
        <f>COUNTIF('Metrics - Articles'!F430,"*GPO (Partner, Ecosystem, Channels)*")</f>
        <v>0</v>
      </c>
      <c r="D431">
        <f>COUNTIF('Metrics - Articles'!F430,"*Office of the CEO*")</f>
        <v>0</v>
      </c>
      <c r="E431">
        <f>COUNTIF('Metrics - Articles'!F430,"*Services Delivery &amp; Support (go-lives and deployments) *")</f>
        <v>0</v>
      </c>
      <c r="F431">
        <f>COUNTIF('Metrics - Articles'!F430,"*Human Resources (SAP HR and employee stories)*")</f>
        <v>0</v>
      </c>
      <c r="G431">
        <f>COUNTIF('Metrics - Articles'!F430,"*P&amp;I (Research &amp; Development)*")</f>
        <v>0</v>
      </c>
      <c r="H431">
        <f>COUNTIF('Metrics - Articles'!F430,"*Business Network (Concur, Ariba, Fieldglass)*")</f>
        <v>0</v>
      </c>
      <c r="I431">
        <f>COUNTIF('Metrics - Articles'!F430,"*GCO – Regions*")</f>
        <v>0</v>
      </c>
      <c r="J431">
        <f>COUNTIF('Metrics - Articles'!F430,"*GCO – Platform Solutions*")</f>
        <v>0</v>
      </c>
      <c r="K431">
        <f>COUNTIF('Metrics - Articles'!F430,"*GCO – Industry Cloud *")</f>
        <v>0</v>
      </c>
      <c r="L431">
        <f>COUNTIF('Metrics - Articles'!F430,"*GCO – Customer Engagement &amp; Commerce (CRM &amp; hybris) *")</f>
        <v>0</v>
      </c>
      <c r="M431">
        <f>COUNTIF('Metrics - Articles'!F430,"*GCO – HR (SuccessFactors)*")</f>
        <v>0</v>
      </c>
      <c r="N431">
        <f>COUNTIF('Metrics - Articles'!F430,"*GCO – Services Sales*")</f>
        <v>0</v>
      </c>
      <c r="O431">
        <f>COUNTIF('Metrics - Articles'!F430,"*GCO – Other*")</f>
        <v>0</v>
      </c>
      <c r="P431">
        <f>COUNTIF('Metrics - Articles'!F430,"*Corporate*")</f>
        <v>0</v>
      </c>
      <c r="R431" s="53">
        <f t="shared" si="8"/>
        <v>0</v>
      </c>
    </row>
    <row r="432" spans="2:18" x14ac:dyDescent="0.25">
      <c r="B432" s="48">
        <f>+'Metrics - Articles'!C431</f>
        <v>0</v>
      </c>
      <c r="C432">
        <f>COUNTIF('Metrics - Articles'!F431,"*GPO (Partner, Ecosystem, Channels)*")</f>
        <v>0</v>
      </c>
      <c r="D432">
        <f>COUNTIF('Metrics - Articles'!F431,"*Office of the CEO*")</f>
        <v>0</v>
      </c>
      <c r="E432">
        <f>COUNTIF('Metrics - Articles'!F431,"*Services Delivery &amp; Support (go-lives and deployments) *")</f>
        <v>0</v>
      </c>
      <c r="F432">
        <f>COUNTIF('Metrics - Articles'!F431,"*Human Resources (SAP HR and employee stories)*")</f>
        <v>0</v>
      </c>
      <c r="G432">
        <f>COUNTIF('Metrics - Articles'!F431,"*P&amp;I (Research &amp; Development)*")</f>
        <v>0</v>
      </c>
      <c r="H432">
        <f>COUNTIF('Metrics - Articles'!F431,"*Business Network (Concur, Ariba, Fieldglass)*")</f>
        <v>0</v>
      </c>
      <c r="I432">
        <f>COUNTIF('Metrics - Articles'!F431,"*GCO – Regions*")</f>
        <v>0</v>
      </c>
      <c r="J432">
        <f>COUNTIF('Metrics - Articles'!F431,"*GCO – Platform Solutions*")</f>
        <v>0</v>
      </c>
      <c r="K432">
        <f>COUNTIF('Metrics - Articles'!F431,"*GCO – Industry Cloud *")</f>
        <v>0</v>
      </c>
      <c r="L432">
        <f>COUNTIF('Metrics - Articles'!F431,"*GCO – Customer Engagement &amp; Commerce (CRM &amp; hybris) *")</f>
        <v>0</v>
      </c>
      <c r="M432">
        <f>COUNTIF('Metrics - Articles'!F431,"*GCO – HR (SuccessFactors)*")</f>
        <v>0</v>
      </c>
      <c r="N432">
        <f>COUNTIF('Metrics - Articles'!F431,"*GCO – Services Sales*")</f>
        <v>0</v>
      </c>
      <c r="O432">
        <f>COUNTIF('Metrics - Articles'!F431,"*GCO – Other*")</f>
        <v>0</v>
      </c>
      <c r="P432">
        <f>COUNTIF('Metrics - Articles'!F431,"*Corporate*")</f>
        <v>0</v>
      </c>
      <c r="R432" s="53">
        <f t="shared" si="8"/>
        <v>0</v>
      </c>
    </row>
    <row r="433" spans="2:18" x14ac:dyDescent="0.25">
      <c r="B433" s="48">
        <f>+'Metrics - Articles'!C432</f>
        <v>0</v>
      </c>
      <c r="C433">
        <f>COUNTIF('Metrics - Articles'!F432,"*GPO (Partner, Ecosystem, Channels)*")</f>
        <v>0</v>
      </c>
      <c r="D433">
        <f>COUNTIF('Metrics - Articles'!F432,"*Office of the CEO*")</f>
        <v>0</v>
      </c>
      <c r="E433">
        <f>COUNTIF('Metrics - Articles'!F432,"*Services Delivery &amp; Support (go-lives and deployments) *")</f>
        <v>0</v>
      </c>
      <c r="F433">
        <f>COUNTIF('Metrics - Articles'!F432,"*Human Resources (SAP HR and employee stories)*")</f>
        <v>0</v>
      </c>
      <c r="G433">
        <f>COUNTIF('Metrics - Articles'!F432,"*P&amp;I (Research &amp; Development)*")</f>
        <v>0</v>
      </c>
      <c r="H433">
        <f>COUNTIF('Metrics - Articles'!F432,"*Business Network (Concur, Ariba, Fieldglass)*")</f>
        <v>0</v>
      </c>
      <c r="I433">
        <f>COUNTIF('Metrics - Articles'!F432,"*GCO – Regions*")</f>
        <v>0</v>
      </c>
      <c r="J433">
        <f>COUNTIF('Metrics - Articles'!F432,"*GCO – Platform Solutions*")</f>
        <v>0</v>
      </c>
      <c r="K433">
        <f>COUNTIF('Metrics - Articles'!F432,"*GCO – Industry Cloud *")</f>
        <v>0</v>
      </c>
      <c r="L433">
        <f>COUNTIF('Metrics - Articles'!F432,"*GCO – Customer Engagement &amp; Commerce (CRM &amp; hybris) *")</f>
        <v>0</v>
      </c>
      <c r="M433">
        <f>COUNTIF('Metrics - Articles'!F432,"*GCO – HR (SuccessFactors)*")</f>
        <v>0</v>
      </c>
      <c r="N433">
        <f>COUNTIF('Metrics - Articles'!F432,"*GCO – Services Sales*")</f>
        <v>0</v>
      </c>
      <c r="O433">
        <f>COUNTIF('Metrics - Articles'!F432,"*GCO – Other*")</f>
        <v>0</v>
      </c>
      <c r="P433">
        <f>COUNTIF('Metrics - Articles'!F432,"*Corporate*")</f>
        <v>0</v>
      </c>
      <c r="R433" s="53">
        <f t="shared" si="8"/>
        <v>0</v>
      </c>
    </row>
    <row r="434" spans="2:18" x14ac:dyDescent="0.25">
      <c r="B434" s="48">
        <f>+'Metrics - Articles'!C433</f>
        <v>0</v>
      </c>
      <c r="C434">
        <f>COUNTIF('Metrics - Articles'!F433,"*GPO (Partner, Ecosystem, Channels)*")</f>
        <v>0</v>
      </c>
      <c r="D434">
        <f>COUNTIF('Metrics - Articles'!F433,"*Office of the CEO*")</f>
        <v>0</v>
      </c>
      <c r="E434">
        <f>COUNTIF('Metrics - Articles'!F433,"*Services Delivery &amp; Support (go-lives and deployments) *")</f>
        <v>0</v>
      </c>
      <c r="F434">
        <f>COUNTIF('Metrics - Articles'!F433,"*Human Resources (SAP HR and employee stories)*")</f>
        <v>0</v>
      </c>
      <c r="G434">
        <f>COUNTIF('Metrics - Articles'!F433,"*P&amp;I (Research &amp; Development)*")</f>
        <v>0</v>
      </c>
      <c r="H434">
        <f>COUNTIF('Metrics - Articles'!F433,"*Business Network (Concur, Ariba, Fieldglass)*")</f>
        <v>0</v>
      </c>
      <c r="I434">
        <f>COUNTIF('Metrics - Articles'!F433,"*GCO – Regions*")</f>
        <v>0</v>
      </c>
      <c r="J434">
        <f>COUNTIF('Metrics - Articles'!F433,"*GCO – Platform Solutions*")</f>
        <v>0</v>
      </c>
      <c r="K434">
        <f>COUNTIF('Metrics - Articles'!F433,"*GCO – Industry Cloud *")</f>
        <v>0</v>
      </c>
      <c r="L434">
        <f>COUNTIF('Metrics - Articles'!F433,"*GCO – Customer Engagement &amp; Commerce (CRM &amp; hybris) *")</f>
        <v>0</v>
      </c>
      <c r="M434">
        <f>COUNTIF('Metrics - Articles'!F433,"*GCO – HR (SuccessFactors)*")</f>
        <v>0</v>
      </c>
      <c r="N434">
        <f>COUNTIF('Metrics - Articles'!F433,"*GCO – Services Sales*")</f>
        <v>0</v>
      </c>
      <c r="O434">
        <f>COUNTIF('Metrics - Articles'!F433,"*GCO – Other*")</f>
        <v>0</v>
      </c>
      <c r="P434">
        <f>COUNTIF('Metrics - Articles'!F433,"*Corporate*")</f>
        <v>0</v>
      </c>
      <c r="R434" s="53">
        <f t="shared" si="8"/>
        <v>0</v>
      </c>
    </row>
    <row r="435" spans="2:18" x14ac:dyDescent="0.25">
      <c r="B435" s="48">
        <f>+'Metrics - Articles'!C434</f>
        <v>0</v>
      </c>
      <c r="C435">
        <f>COUNTIF('Metrics - Articles'!F434,"*GPO (Partner, Ecosystem, Channels)*")</f>
        <v>0</v>
      </c>
      <c r="D435">
        <f>COUNTIF('Metrics - Articles'!F434,"*Office of the CEO*")</f>
        <v>0</v>
      </c>
      <c r="E435">
        <f>COUNTIF('Metrics - Articles'!F434,"*Services Delivery &amp; Support (go-lives and deployments) *")</f>
        <v>0</v>
      </c>
      <c r="F435">
        <f>COUNTIF('Metrics - Articles'!F434,"*Human Resources (SAP HR and employee stories)*")</f>
        <v>0</v>
      </c>
      <c r="G435">
        <f>COUNTIF('Metrics - Articles'!F434,"*P&amp;I (Research &amp; Development)*")</f>
        <v>0</v>
      </c>
      <c r="H435">
        <f>COUNTIF('Metrics - Articles'!F434,"*Business Network (Concur, Ariba, Fieldglass)*")</f>
        <v>0</v>
      </c>
      <c r="I435">
        <f>COUNTIF('Metrics - Articles'!F434,"*GCO – Regions*")</f>
        <v>0</v>
      </c>
      <c r="J435">
        <f>COUNTIF('Metrics - Articles'!F434,"*GCO – Platform Solutions*")</f>
        <v>0</v>
      </c>
      <c r="K435">
        <f>COUNTIF('Metrics - Articles'!F434,"*GCO – Industry Cloud *")</f>
        <v>0</v>
      </c>
      <c r="L435">
        <f>COUNTIF('Metrics - Articles'!F434,"*GCO – Customer Engagement &amp; Commerce (CRM &amp; hybris) *")</f>
        <v>0</v>
      </c>
      <c r="M435">
        <f>COUNTIF('Metrics - Articles'!F434,"*GCO – HR (SuccessFactors)*")</f>
        <v>0</v>
      </c>
      <c r="N435">
        <f>COUNTIF('Metrics - Articles'!F434,"*GCO – Services Sales*")</f>
        <v>0</v>
      </c>
      <c r="O435">
        <f>COUNTIF('Metrics - Articles'!F434,"*GCO – Other*")</f>
        <v>0</v>
      </c>
      <c r="P435">
        <f>COUNTIF('Metrics - Articles'!F434,"*Corporate*")</f>
        <v>0</v>
      </c>
      <c r="R435" s="53">
        <f t="shared" si="8"/>
        <v>0</v>
      </c>
    </row>
    <row r="436" spans="2:18" x14ac:dyDescent="0.25">
      <c r="B436" s="48">
        <f>+'Metrics - Articles'!C435</f>
        <v>0</v>
      </c>
      <c r="C436">
        <f>COUNTIF('Metrics - Articles'!F435,"*GPO (Partner, Ecosystem, Channels)*")</f>
        <v>0</v>
      </c>
      <c r="D436">
        <f>COUNTIF('Metrics - Articles'!F435,"*Office of the CEO*")</f>
        <v>0</v>
      </c>
      <c r="E436">
        <f>COUNTIF('Metrics - Articles'!F435,"*Services Delivery &amp; Support (go-lives and deployments) *")</f>
        <v>0</v>
      </c>
      <c r="F436">
        <f>COUNTIF('Metrics - Articles'!F435,"*Human Resources (SAP HR and employee stories)*")</f>
        <v>0</v>
      </c>
      <c r="G436">
        <f>COUNTIF('Metrics - Articles'!F435,"*P&amp;I (Research &amp; Development)*")</f>
        <v>0</v>
      </c>
      <c r="H436">
        <f>COUNTIF('Metrics - Articles'!F435,"*Business Network (Concur, Ariba, Fieldglass)*")</f>
        <v>0</v>
      </c>
      <c r="I436">
        <f>COUNTIF('Metrics - Articles'!F435,"*GCO – Regions*")</f>
        <v>0</v>
      </c>
      <c r="J436">
        <f>COUNTIF('Metrics - Articles'!F435,"*GCO – Platform Solutions*")</f>
        <v>0</v>
      </c>
      <c r="K436">
        <f>COUNTIF('Metrics - Articles'!F435,"*GCO – Industry Cloud *")</f>
        <v>0</v>
      </c>
      <c r="L436">
        <f>COUNTIF('Metrics - Articles'!F435,"*GCO – Customer Engagement &amp; Commerce (CRM &amp; hybris) *")</f>
        <v>0</v>
      </c>
      <c r="M436">
        <f>COUNTIF('Metrics - Articles'!F435,"*GCO – HR (SuccessFactors)*")</f>
        <v>0</v>
      </c>
      <c r="N436">
        <f>COUNTIF('Metrics - Articles'!F435,"*GCO – Services Sales*")</f>
        <v>0</v>
      </c>
      <c r="O436">
        <f>COUNTIF('Metrics - Articles'!F435,"*GCO – Other*")</f>
        <v>0</v>
      </c>
      <c r="P436">
        <f>COUNTIF('Metrics - Articles'!F435,"*Corporate*")</f>
        <v>0</v>
      </c>
      <c r="R436" s="53">
        <f t="shared" si="8"/>
        <v>0</v>
      </c>
    </row>
    <row r="437" spans="2:18" x14ac:dyDescent="0.25">
      <c r="B437" s="48">
        <f>+'Metrics - Articles'!C436</f>
        <v>0</v>
      </c>
      <c r="C437">
        <f>COUNTIF('Metrics - Articles'!F436,"*GPO (Partner, Ecosystem, Channels)*")</f>
        <v>0</v>
      </c>
      <c r="D437">
        <f>COUNTIF('Metrics - Articles'!F436,"*Office of the CEO*")</f>
        <v>0</v>
      </c>
      <c r="E437">
        <f>COUNTIF('Metrics - Articles'!F436,"*Services Delivery &amp; Support (go-lives and deployments) *")</f>
        <v>0</v>
      </c>
      <c r="F437">
        <f>COUNTIF('Metrics - Articles'!F436,"*Human Resources (SAP HR and employee stories)*")</f>
        <v>0</v>
      </c>
      <c r="G437">
        <f>COUNTIF('Metrics - Articles'!F436,"*P&amp;I (Research &amp; Development)*")</f>
        <v>0</v>
      </c>
      <c r="H437">
        <f>COUNTIF('Metrics - Articles'!F436,"*Business Network (Concur, Ariba, Fieldglass)*")</f>
        <v>0</v>
      </c>
      <c r="I437">
        <f>COUNTIF('Metrics - Articles'!F436,"*GCO – Regions*")</f>
        <v>0</v>
      </c>
      <c r="J437">
        <f>COUNTIF('Metrics - Articles'!F436,"*GCO – Platform Solutions*")</f>
        <v>0</v>
      </c>
      <c r="K437">
        <f>COUNTIF('Metrics - Articles'!F436,"*GCO – Industry Cloud *")</f>
        <v>0</v>
      </c>
      <c r="L437">
        <f>COUNTIF('Metrics - Articles'!F436,"*GCO – Customer Engagement &amp; Commerce (CRM &amp; hybris) *")</f>
        <v>0</v>
      </c>
      <c r="M437">
        <f>COUNTIF('Metrics - Articles'!F436,"*GCO – HR (SuccessFactors)*")</f>
        <v>0</v>
      </c>
      <c r="N437">
        <f>COUNTIF('Metrics - Articles'!F436,"*GCO – Services Sales*")</f>
        <v>0</v>
      </c>
      <c r="O437">
        <f>COUNTIF('Metrics - Articles'!F436,"*GCO – Other*")</f>
        <v>0</v>
      </c>
      <c r="P437">
        <f>COUNTIF('Metrics - Articles'!F436,"*Corporate*")</f>
        <v>0</v>
      </c>
      <c r="R437" s="53">
        <f t="shared" si="8"/>
        <v>0</v>
      </c>
    </row>
    <row r="438" spans="2:18" x14ac:dyDescent="0.25">
      <c r="B438" s="48">
        <f>+'Metrics - Articles'!C437</f>
        <v>0</v>
      </c>
      <c r="C438">
        <f>COUNTIF('Metrics - Articles'!F437,"*GPO (Partner, Ecosystem, Channels)*")</f>
        <v>0</v>
      </c>
      <c r="D438">
        <f>COUNTIF('Metrics - Articles'!F437,"*Office of the CEO*")</f>
        <v>0</v>
      </c>
      <c r="E438">
        <f>COUNTIF('Metrics - Articles'!F437,"*Services Delivery &amp; Support (go-lives and deployments) *")</f>
        <v>0</v>
      </c>
      <c r="F438">
        <f>COUNTIF('Metrics - Articles'!F437,"*Human Resources (SAP HR and employee stories)*")</f>
        <v>0</v>
      </c>
      <c r="G438">
        <f>COUNTIF('Metrics - Articles'!F437,"*P&amp;I (Research &amp; Development)*")</f>
        <v>0</v>
      </c>
      <c r="H438">
        <f>COUNTIF('Metrics - Articles'!F437,"*Business Network (Concur, Ariba, Fieldglass)*")</f>
        <v>0</v>
      </c>
      <c r="I438">
        <f>COUNTIF('Metrics - Articles'!F437,"*GCO – Regions*")</f>
        <v>0</v>
      </c>
      <c r="J438">
        <f>COUNTIF('Metrics - Articles'!F437,"*GCO – Platform Solutions*")</f>
        <v>0</v>
      </c>
      <c r="K438">
        <f>COUNTIF('Metrics - Articles'!F437,"*GCO – Industry Cloud *")</f>
        <v>0</v>
      </c>
      <c r="L438">
        <f>COUNTIF('Metrics - Articles'!F437,"*GCO – Customer Engagement &amp; Commerce (CRM &amp; hybris) *")</f>
        <v>0</v>
      </c>
      <c r="M438">
        <f>COUNTIF('Metrics - Articles'!F437,"*GCO – HR (SuccessFactors)*")</f>
        <v>0</v>
      </c>
      <c r="N438">
        <f>COUNTIF('Metrics - Articles'!F437,"*GCO – Services Sales*")</f>
        <v>0</v>
      </c>
      <c r="O438">
        <f>COUNTIF('Metrics - Articles'!F437,"*GCO – Other*")</f>
        <v>0</v>
      </c>
      <c r="P438">
        <f>COUNTIF('Metrics - Articles'!F437,"*Corporate*")</f>
        <v>0</v>
      </c>
      <c r="R438" s="53">
        <f t="shared" si="8"/>
        <v>0</v>
      </c>
    </row>
    <row r="439" spans="2:18" x14ac:dyDescent="0.25">
      <c r="B439" s="48">
        <f>+'Metrics - Articles'!C438</f>
        <v>0</v>
      </c>
      <c r="C439">
        <f>COUNTIF('Metrics - Articles'!F438,"*GPO (Partner, Ecosystem, Channels)*")</f>
        <v>0</v>
      </c>
      <c r="D439">
        <f>COUNTIF('Metrics - Articles'!F438,"*Office of the CEO*")</f>
        <v>0</v>
      </c>
      <c r="E439">
        <f>COUNTIF('Metrics - Articles'!F438,"*Services Delivery &amp; Support (go-lives and deployments) *")</f>
        <v>0</v>
      </c>
      <c r="F439">
        <f>COUNTIF('Metrics - Articles'!F438,"*Human Resources (SAP HR and employee stories)*")</f>
        <v>0</v>
      </c>
      <c r="G439">
        <f>COUNTIF('Metrics - Articles'!F438,"*P&amp;I (Research &amp; Development)*")</f>
        <v>0</v>
      </c>
      <c r="H439">
        <f>COUNTIF('Metrics - Articles'!F438,"*Business Network (Concur, Ariba, Fieldglass)*")</f>
        <v>0</v>
      </c>
      <c r="I439">
        <f>COUNTIF('Metrics - Articles'!F438,"*GCO – Regions*")</f>
        <v>0</v>
      </c>
      <c r="J439">
        <f>COUNTIF('Metrics - Articles'!F438,"*GCO – Platform Solutions*")</f>
        <v>0</v>
      </c>
      <c r="K439">
        <f>COUNTIF('Metrics - Articles'!F438,"*GCO – Industry Cloud *")</f>
        <v>0</v>
      </c>
      <c r="L439">
        <f>COUNTIF('Metrics - Articles'!F438,"*GCO – Customer Engagement &amp; Commerce (CRM &amp; hybris) *")</f>
        <v>0</v>
      </c>
      <c r="M439">
        <f>COUNTIF('Metrics - Articles'!F438,"*GCO – HR (SuccessFactors)*")</f>
        <v>0</v>
      </c>
      <c r="N439">
        <f>COUNTIF('Metrics - Articles'!F438,"*GCO – Services Sales*")</f>
        <v>0</v>
      </c>
      <c r="O439">
        <f>COUNTIF('Metrics - Articles'!F438,"*GCO – Other*")</f>
        <v>0</v>
      </c>
      <c r="P439">
        <f>COUNTIF('Metrics - Articles'!F438,"*Corporate*")</f>
        <v>0</v>
      </c>
      <c r="R439" s="53">
        <f t="shared" si="8"/>
        <v>0</v>
      </c>
    </row>
    <row r="440" spans="2:18" x14ac:dyDescent="0.25">
      <c r="B440" s="48">
        <f>+'Metrics - Articles'!C439</f>
        <v>0</v>
      </c>
      <c r="C440">
        <f>COUNTIF('Metrics - Articles'!F439,"*GPO (Partner, Ecosystem, Channels)*")</f>
        <v>0</v>
      </c>
      <c r="D440">
        <f>COUNTIF('Metrics - Articles'!F439,"*Office of the CEO*")</f>
        <v>0</v>
      </c>
      <c r="E440">
        <f>COUNTIF('Metrics - Articles'!F439,"*Services Delivery &amp; Support (go-lives and deployments) *")</f>
        <v>0</v>
      </c>
      <c r="F440">
        <f>COUNTIF('Metrics - Articles'!F439,"*Human Resources (SAP HR and employee stories)*")</f>
        <v>0</v>
      </c>
      <c r="G440">
        <f>COUNTIF('Metrics - Articles'!F439,"*P&amp;I (Research &amp; Development)*")</f>
        <v>0</v>
      </c>
      <c r="H440">
        <f>COUNTIF('Metrics - Articles'!F439,"*Business Network (Concur, Ariba, Fieldglass)*")</f>
        <v>0</v>
      </c>
      <c r="I440">
        <f>COUNTIF('Metrics - Articles'!F439,"*GCO – Regions*")</f>
        <v>0</v>
      </c>
      <c r="J440">
        <f>COUNTIF('Metrics - Articles'!F439,"*GCO – Platform Solutions*")</f>
        <v>0</v>
      </c>
      <c r="K440">
        <f>COUNTIF('Metrics - Articles'!F439,"*GCO – Industry Cloud *")</f>
        <v>0</v>
      </c>
      <c r="L440">
        <f>COUNTIF('Metrics - Articles'!F439,"*GCO – Customer Engagement &amp; Commerce (CRM &amp; hybris) *")</f>
        <v>0</v>
      </c>
      <c r="M440">
        <f>COUNTIF('Metrics - Articles'!F439,"*GCO – HR (SuccessFactors)*")</f>
        <v>0</v>
      </c>
      <c r="N440">
        <f>COUNTIF('Metrics - Articles'!F439,"*GCO – Services Sales*")</f>
        <v>0</v>
      </c>
      <c r="O440">
        <f>COUNTIF('Metrics - Articles'!F439,"*GCO – Other*")</f>
        <v>0</v>
      </c>
      <c r="P440">
        <f>COUNTIF('Metrics - Articles'!F439,"*Corporate*")</f>
        <v>0</v>
      </c>
      <c r="R440" s="53">
        <f t="shared" si="8"/>
        <v>0</v>
      </c>
    </row>
    <row r="441" spans="2:18" x14ac:dyDescent="0.25">
      <c r="B441" s="48">
        <f>+'Metrics - Articles'!C440</f>
        <v>0</v>
      </c>
      <c r="C441">
        <f>COUNTIF('Metrics - Articles'!F440,"*GPO (Partner, Ecosystem, Channels)*")</f>
        <v>0</v>
      </c>
      <c r="D441">
        <f>COUNTIF('Metrics - Articles'!F440,"*Office of the CEO*")</f>
        <v>0</v>
      </c>
      <c r="E441">
        <f>COUNTIF('Metrics - Articles'!F440,"*Services Delivery &amp; Support (go-lives and deployments) *")</f>
        <v>0</v>
      </c>
      <c r="F441">
        <f>COUNTIF('Metrics - Articles'!F440,"*Human Resources (SAP HR and employee stories)*")</f>
        <v>0</v>
      </c>
      <c r="G441">
        <f>COUNTIF('Metrics - Articles'!F440,"*P&amp;I (Research &amp; Development)*")</f>
        <v>0</v>
      </c>
      <c r="H441">
        <f>COUNTIF('Metrics - Articles'!F440,"*Business Network (Concur, Ariba, Fieldglass)*")</f>
        <v>0</v>
      </c>
      <c r="I441">
        <f>COUNTIF('Metrics - Articles'!F440,"*GCO – Regions*")</f>
        <v>0</v>
      </c>
      <c r="J441">
        <f>COUNTIF('Metrics - Articles'!F440,"*GCO – Platform Solutions*")</f>
        <v>0</v>
      </c>
      <c r="K441">
        <f>COUNTIF('Metrics - Articles'!F440,"*GCO – Industry Cloud *")</f>
        <v>0</v>
      </c>
      <c r="L441">
        <f>COUNTIF('Metrics - Articles'!F440,"*GCO – Customer Engagement &amp; Commerce (CRM &amp; hybris) *")</f>
        <v>0</v>
      </c>
      <c r="M441">
        <f>COUNTIF('Metrics - Articles'!F440,"*GCO – HR (SuccessFactors)*")</f>
        <v>0</v>
      </c>
      <c r="N441">
        <f>COUNTIF('Metrics - Articles'!F440,"*GCO – Services Sales*")</f>
        <v>0</v>
      </c>
      <c r="O441">
        <f>COUNTIF('Metrics - Articles'!F440,"*GCO – Other*")</f>
        <v>0</v>
      </c>
      <c r="P441">
        <f>COUNTIF('Metrics - Articles'!F440,"*Corporate*")</f>
        <v>0</v>
      </c>
      <c r="R441" s="53">
        <f t="shared" si="8"/>
        <v>0</v>
      </c>
    </row>
    <row r="442" spans="2:18" x14ac:dyDescent="0.25">
      <c r="B442" s="48">
        <f>+'Metrics - Articles'!C441</f>
        <v>0</v>
      </c>
      <c r="C442">
        <f>COUNTIF('Metrics - Articles'!F441,"*GPO (Partner, Ecosystem, Channels)*")</f>
        <v>0</v>
      </c>
      <c r="D442">
        <f>COUNTIF('Metrics - Articles'!F441,"*Office of the CEO*")</f>
        <v>0</v>
      </c>
      <c r="E442">
        <f>COUNTIF('Metrics - Articles'!F441,"*Services Delivery &amp; Support (go-lives and deployments) *")</f>
        <v>0</v>
      </c>
      <c r="F442">
        <f>COUNTIF('Metrics - Articles'!F441,"*Human Resources (SAP HR and employee stories)*")</f>
        <v>0</v>
      </c>
      <c r="G442">
        <f>COUNTIF('Metrics - Articles'!F441,"*P&amp;I (Research &amp; Development)*")</f>
        <v>0</v>
      </c>
      <c r="H442">
        <f>COUNTIF('Metrics - Articles'!F441,"*Business Network (Concur, Ariba, Fieldglass)*")</f>
        <v>0</v>
      </c>
      <c r="I442">
        <f>COUNTIF('Metrics - Articles'!F441,"*GCO – Regions*")</f>
        <v>0</v>
      </c>
      <c r="J442">
        <f>COUNTIF('Metrics - Articles'!F441,"*GCO – Platform Solutions*")</f>
        <v>0</v>
      </c>
      <c r="K442">
        <f>COUNTIF('Metrics - Articles'!F441,"*GCO – Industry Cloud *")</f>
        <v>0</v>
      </c>
      <c r="L442">
        <f>COUNTIF('Metrics - Articles'!F441,"*GCO – Customer Engagement &amp; Commerce (CRM &amp; hybris) *")</f>
        <v>0</v>
      </c>
      <c r="M442">
        <f>COUNTIF('Metrics - Articles'!F441,"*GCO – HR (SuccessFactors)*")</f>
        <v>0</v>
      </c>
      <c r="N442">
        <f>COUNTIF('Metrics - Articles'!F441,"*GCO – Services Sales*")</f>
        <v>0</v>
      </c>
      <c r="O442">
        <f>COUNTIF('Metrics - Articles'!F441,"*GCO – Other*")</f>
        <v>0</v>
      </c>
      <c r="P442">
        <f>COUNTIF('Metrics - Articles'!F441,"*Corporate*")</f>
        <v>0</v>
      </c>
      <c r="R442" s="53">
        <f t="shared" si="8"/>
        <v>0</v>
      </c>
    </row>
    <row r="443" spans="2:18" x14ac:dyDescent="0.25">
      <c r="B443" s="48">
        <f>+'Metrics - Articles'!C442</f>
        <v>0</v>
      </c>
      <c r="C443">
        <f>COUNTIF('Metrics - Articles'!F442,"*GPO (Partner, Ecosystem, Channels)*")</f>
        <v>0</v>
      </c>
      <c r="D443">
        <f>COUNTIF('Metrics - Articles'!F442,"*Office of the CEO*")</f>
        <v>0</v>
      </c>
      <c r="E443">
        <f>COUNTIF('Metrics - Articles'!F442,"*Services Delivery &amp; Support (go-lives and deployments) *")</f>
        <v>0</v>
      </c>
      <c r="F443">
        <f>COUNTIF('Metrics - Articles'!F442,"*Human Resources (SAP HR and employee stories)*")</f>
        <v>0</v>
      </c>
      <c r="G443">
        <f>COUNTIF('Metrics - Articles'!F442,"*P&amp;I (Research &amp; Development)*")</f>
        <v>0</v>
      </c>
      <c r="H443">
        <f>COUNTIF('Metrics - Articles'!F442,"*Business Network (Concur, Ariba, Fieldglass)*")</f>
        <v>0</v>
      </c>
      <c r="I443">
        <f>COUNTIF('Metrics - Articles'!F442,"*GCO – Regions*")</f>
        <v>0</v>
      </c>
      <c r="J443">
        <f>COUNTIF('Metrics - Articles'!F442,"*GCO – Platform Solutions*")</f>
        <v>0</v>
      </c>
      <c r="K443">
        <f>COUNTIF('Metrics - Articles'!F442,"*GCO – Industry Cloud *")</f>
        <v>0</v>
      </c>
      <c r="L443">
        <f>COUNTIF('Metrics - Articles'!F442,"*GCO – Customer Engagement &amp; Commerce (CRM &amp; hybris) *")</f>
        <v>0</v>
      </c>
      <c r="M443">
        <f>COUNTIF('Metrics - Articles'!F442,"*GCO – HR (SuccessFactors)*")</f>
        <v>0</v>
      </c>
      <c r="N443">
        <f>COUNTIF('Metrics - Articles'!F442,"*GCO – Services Sales*")</f>
        <v>0</v>
      </c>
      <c r="O443">
        <f>COUNTIF('Metrics - Articles'!F442,"*GCO – Other*")</f>
        <v>0</v>
      </c>
      <c r="P443">
        <f>COUNTIF('Metrics - Articles'!F442,"*Corporate*")</f>
        <v>0</v>
      </c>
      <c r="R443" s="53">
        <f t="shared" si="8"/>
        <v>0</v>
      </c>
    </row>
    <row r="444" spans="2:18" x14ac:dyDescent="0.25">
      <c r="B444" s="48">
        <f>+'Metrics - Articles'!C443</f>
        <v>0</v>
      </c>
      <c r="C444">
        <f>COUNTIF('Metrics - Articles'!F443,"*GPO (Partner, Ecosystem, Channels)*")</f>
        <v>0</v>
      </c>
      <c r="D444">
        <f>COUNTIF('Metrics - Articles'!F443,"*Office of the CEO*")</f>
        <v>0</v>
      </c>
      <c r="E444">
        <f>COUNTIF('Metrics - Articles'!F443,"*Services Delivery &amp; Support (go-lives and deployments) *")</f>
        <v>0</v>
      </c>
      <c r="F444">
        <f>COUNTIF('Metrics - Articles'!F443,"*Human Resources (SAP HR and employee stories)*")</f>
        <v>0</v>
      </c>
      <c r="G444">
        <f>COUNTIF('Metrics - Articles'!F443,"*P&amp;I (Research &amp; Development)*")</f>
        <v>0</v>
      </c>
      <c r="H444">
        <f>COUNTIF('Metrics - Articles'!F443,"*Business Network (Concur, Ariba, Fieldglass)*")</f>
        <v>0</v>
      </c>
      <c r="I444">
        <f>COUNTIF('Metrics - Articles'!F443,"*GCO – Regions*")</f>
        <v>0</v>
      </c>
      <c r="J444">
        <f>COUNTIF('Metrics - Articles'!F443,"*GCO – Platform Solutions*")</f>
        <v>0</v>
      </c>
      <c r="K444">
        <f>COUNTIF('Metrics - Articles'!F443,"*GCO – Industry Cloud *")</f>
        <v>0</v>
      </c>
      <c r="L444">
        <f>COUNTIF('Metrics - Articles'!F443,"*GCO – Customer Engagement &amp; Commerce (CRM &amp; hybris) *")</f>
        <v>0</v>
      </c>
      <c r="M444">
        <f>COUNTIF('Metrics - Articles'!F443,"*GCO – HR (SuccessFactors)*")</f>
        <v>0</v>
      </c>
      <c r="N444">
        <f>COUNTIF('Metrics - Articles'!F443,"*GCO – Services Sales*")</f>
        <v>0</v>
      </c>
      <c r="O444">
        <f>COUNTIF('Metrics - Articles'!F443,"*GCO – Other*")</f>
        <v>0</v>
      </c>
      <c r="P444">
        <f>COUNTIF('Metrics - Articles'!F443,"*Corporate*")</f>
        <v>0</v>
      </c>
      <c r="R444" s="53">
        <f t="shared" si="8"/>
        <v>0</v>
      </c>
    </row>
    <row r="445" spans="2:18" x14ac:dyDescent="0.25">
      <c r="B445" s="48">
        <f>+'Metrics - Articles'!C444</f>
        <v>0</v>
      </c>
      <c r="C445">
        <f>COUNTIF('Metrics - Articles'!F444,"*GPO (Partner, Ecosystem, Channels)*")</f>
        <v>0</v>
      </c>
      <c r="D445">
        <f>COUNTIF('Metrics - Articles'!F444,"*Office of the CEO*")</f>
        <v>0</v>
      </c>
      <c r="E445">
        <f>COUNTIF('Metrics - Articles'!F444,"*Services Delivery &amp; Support (go-lives and deployments) *")</f>
        <v>0</v>
      </c>
      <c r="F445">
        <f>COUNTIF('Metrics - Articles'!F444,"*Human Resources (SAP HR and employee stories)*")</f>
        <v>0</v>
      </c>
      <c r="G445">
        <f>COUNTIF('Metrics - Articles'!F444,"*P&amp;I (Research &amp; Development)*")</f>
        <v>0</v>
      </c>
      <c r="H445">
        <f>COUNTIF('Metrics - Articles'!F444,"*Business Network (Concur, Ariba, Fieldglass)*")</f>
        <v>0</v>
      </c>
      <c r="I445">
        <f>COUNTIF('Metrics - Articles'!F444,"*GCO – Regions*")</f>
        <v>0</v>
      </c>
      <c r="J445">
        <f>COUNTIF('Metrics - Articles'!F444,"*GCO – Platform Solutions*")</f>
        <v>0</v>
      </c>
      <c r="K445">
        <f>COUNTIF('Metrics - Articles'!F444,"*GCO – Industry Cloud *")</f>
        <v>0</v>
      </c>
      <c r="L445">
        <f>COUNTIF('Metrics - Articles'!F444,"*GCO – Customer Engagement &amp; Commerce (CRM &amp; hybris) *")</f>
        <v>0</v>
      </c>
      <c r="M445">
        <f>COUNTIF('Metrics - Articles'!F444,"*GCO – HR (SuccessFactors)*")</f>
        <v>0</v>
      </c>
      <c r="N445">
        <f>COUNTIF('Metrics - Articles'!F444,"*GCO – Services Sales*")</f>
        <v>0</v>
      </c>
      <c r="O445">
        <f>COUNTIF('Metrics - Articles'!F444,"*GCO – Other*")</f>
        <v>0</v>
      </c>
      <c r="P445">
        <f>COUNTIF('Metrics - Articles'!F444,"*Corporate*")</f>
        <v>0</v>
      </c>
      <c r="R445" s="53">
        <f t="shared" si="8"/>
        <v>0</v>
      </c>
    </row>
    <row r="446" spans="2:18" x14ac:dyDescent="0.25">
      <c r="B446" s="48">
        <f>+'Metrics - Articles'!C445</f>
        <v>0</v>
      </c>
      <c r="C446">
        <f>COUNTIF('Metrics - Articles'!F445,"*GPO (Partner, Ecosystem, Channels)*")</f>
        <v>0</v>
      </c>
      <c r="D446">
        <f>COUNTIF('Metrics - Articles'!F445,"*Office of the CEO*")</f>
        <v>0</v>
      </c>
      <c r="E446">
        <f>COUNTIF('Metrics - Articles'!F445,"*Services Delivery &amp; Support (go-lives and deployments) *")</f>
        <v>0</v>
      </c>
      <c r="F446">
        <f>COUNTIF('Metrics - Articles'!F445,"*Human Resources (SAP HR and employee stories)*")</f>
        <v>0</v>
      </c>
      <c r="G446">
        <f>COUNTIF('Metrics - Articles'!F445,"*P&amp;I (Research &amp; Development)*")</f>
        <v>0</v>
      </c>
      <c r="H446">
        <f>COUNTIF('Metrics - Articles'!F445,"*Business Network (Concur, Ariba, Fieldglass)*")</f>
        <v>0</v>
      </c>
      <c r="I446">
        <f>COUNTIF('Metrics - Articles'!F445,"*GCO – Regions*")</f>
        <v>0</v>
      </c>
      <c r="J446">
        <f>COUNTIF('Metrics - Articles'!F445,"*GCO – Platform Solutions*")</f>
        <v>0</v>
      </c>
      <c r="K446">
        <f>COUNTIF('Metrics - Articles'!F445,"*GCO – Industry Cloud *")</f>
        <v>0</v>
      </c>
      <c r="L446">
        <f>COUNTIF('Metrics - Articles'!F445,"*GCO – Customer Engagement &amp; Commerce (CRM &amp; hybris) *")</f>
        <v>0</v>
      </c>
      <c r="M446">
        <f>COUNTIF('Metrics - Articles'!F445,"*GCO – HR (SuccessFactors)*")</f>
        <v>0</v>
      </c>
      <c r="N446">
        <f>COUNTIF('Metrics - Articles'!F445,"*GCO – Services Sales*")</f>
        <v>0</v>
      </c>
      <c r="O446">
        <f>COUNTIF('Metrics - Articles'!F445,"*GCO – Other*")</f>
        <v>0</v>
      </c>
      <c r="P446">
        <f>COUNTIF('Metrics - Articles'!F445,"*Corporate*")</f>
        <v>0</v>
      </c>
      <c r="R446" s="53">
        <f t="shared" si="8"/>
        <v>0</v>
      </c>
    </row>
    <row r="447" spans="2:18" x14ac:dyDescent="0.25">
      <c r="B447" s="48">
        <f>+'Metrics - Articles'!C446</f>
        <v>0</v>
      </c>
      <c r="C447">
        <f>COUNTIF('Metrics - Articles'!F446,"*GPO (Partner, Ecosystem, Channels)*")</f>
        <v>0</v>
      </c>
      <c r="D447">
        <f>COUNTIF('Metrics - Articles'!F446,"*Office of the CEO*")</f>
        <v>0</v>
      </c>
      <c r="E447">
        <f>COUNTIF('Metrics - Articles'!F446,"*Services Delivery &amp; Support (go-lives and deployments) *")</f>
        <v>0</v>
      </c>
      <c r="F447">
        <f>COUNTIF('Metrics - Articles'!F446,"*Human Resources (SAP HR and employee stories)*")</f>
        <v>0</v>
      </c>
      <c r="G447">
        <f>COUNTIF('Metrics - Articles'!F446,"*P&amp;I (Research &amp; Development)*")</f>
        <v>0</v>
      </c>
      <c r="H447">
        <f>COUNTIF('Metrics - Articles'!F446,"*Business Network (Concur, Ariba, Fieldglass)*")</f>
        <v>0</v>
      </c>
      <c r="I447">
        <f>COUNTIF('Metrics - Articles'!F446,"*GCO – Regions*")</f>
        <v>0</v>
      </c>
      <c r="J447">
        <f>COUNTIF('Metrics - Articles'!F446,"*GCO – Platform Solutions*")</f>
        <v>0</v>
      </c>
      <c r="K447">
        <f>COUNTIF('Metrics - Articles'!F446,"*GCO – Industry Cloud *")</f>
        <v>0</v>
      </c>
      <c r="L447">
        <f>COUNTIF('Metrics - Articles'!F446,"*GCO – Customer Engagement &amp; Commerce (CRM &amp; hybris) *")</f>
        <v>0</v>
      </c>
      <c r="M447">
        <f>COUNTIF('Metrics - Articles'!F446,"*GCO – HR (SuccessFactors)*")</f>
        <v>0</v>
      </c>
      <c r="N447">
        <f>COUNTIF('Metrics - Articles'!F446,"*GCO – Services Sales*")</f>
        <v>0</v>
      </c>
      <c r="O447">
        <f>COUNTIF('Metrics - Articles'!F446,"*GCO – Other*")</f>
        <v>0</v>
      </c>
      <c r="P447">
        <f>COUNTIF('Metrics - Articles'!F446,"*Corporate*")</f>
        <v>0</v>
      </c>
      <c r="R447" s="53">
        <f t="shared" si="8"/>
        <v>0</v>
      </c>
    </row>
    <row r="448" spans="2:18" x14ac:dyDescent="0.25">
      <c r="B448" s="48">
        <f>+'Metrics - Articles'!C447</f>
        <v>0</v>
      </c>
      <c r="C448">
        <f>COUNTIF('Metrics - Articles'!F447,"*GPO (Partner, Ecosystem, Channels)*")</f>
        <v>0</v>
      </c>
      <c r="D448">
        <f>COUNTIF('Metrics - Articles'!F447,"*Office of the CEO*")</f>
        <v>0</v>
      </c>
      <c r="E448">
        <f>COUNTIF('Metrics - Articles'!F447,"*Services Delivery &amp; Support (go-lives and deployments) *")</f>
        <v>0</v>
      </c>
      <c r="F448">
        <f>COUNTIF('Metrics - Articles'!F447,"*Human Resources (SAP HR and employee stories)*")</f>
        <v>0</v>
      </c>
      <c r="G448">
        <f>COUNTIF('Metrics - Articles'!F447,"*P&amp;I (Research &amp; Development)*")</f>
        <v>0</v>
      </c>
      <c r="H448">
        <f>COUNTIF('Metrics - Articles'!F447,"*Business Network (Concur, Ariba, Fieldglass)*")</f>
        <v>0</v>
      </c>
      <c r="I448">
        <f>COUNTIF('Metrics - Articles'!F447,"*GCO – Regions*")</f>
        <v>0</v>
      </c>
      <c r="J448">
        <f>COUNTIF('Metrics - Articles'!F447,"*GCO – Platform Solutions*")</f>
        <v>0</v>
      </c>
      <c r="K448">
        <f>COUNTIF('Metrics - Articles'!F447,"*GCO – Industry Cloud *")</f>
        <v>0</v>
      </c>
      <c r="L448">
        <f>COUNTIF('Metrics - Articles'!F447,"*GCO – Customer Engagement &amp; Commerce (CRM &amp; hybris) *")</f>
        <v>0</v>
      </c>
      <c r="M448">
        <f>COUNTIF('Metrics - Articles'!F447,"*GCO – HR (SuccessFactors)*")</f>
        <v>0</v>
      </c>
      <c r="N448">
        <f>COUNTIF('Metrics - Articles'!F447,"*GCO – Services Sales*")</f>
        <v>0</v>
      </c>
      <c r="O448">
        <f>COUNTIF('Metrics - Articles'!F447,"*GCO – Other*")</f>
        <v>0</v>
      </c>
      <c r="P448">
        <f>COUNTIF('Metrics - Articles'!F447,"*Corporate*")</f>
        <v>0</v>
      </c>
      <c r="R448" s="53">
        <f t="shared" si="8"/>
        <v>0</v>
      </c>
    </row>
    <row r="449" spans="2:18" x14ac:dyDescent="0.25">
      <c r="B449" s="48">
        <f>+'Metrics - Articles'!C448</f>
        <v>0</v>
      </c>
      <c r="C449">
        <f>COUNTIF('Metrics - Articles'!F448,"*GPO (Partner, Ecosystem, Channels)*")</f>
        <v>0</v>
      </c>
      <c r="D449">
        <f>COUNTIF('Metrics - Articles'!F448,"*Office of the CEO*")</f>
        <v>0</v>
      </c>
      <c r="E449">
        <f>COUNTIF('Metrics - Articles'!F448,"*Services Delivery &amp; Support (go-lives and deployments) *")</f>
        <v>0</v>
      </c>
      <c r="F449">
        <f>COUNTIF('Metrics - Articles'!F448,"*Human Resources (SAP HR and employee stories)*")</f>
        <v>0</v>
      </c>
      <c r="G449">
        <f>COUNTIF('Metrics - Articles'!F448,"*P&amp;I (Research &amp; Development)*")</f>
        <v>0</v>
      </c>
      <c r="H449">
        <f>COUNTIF('Metrics - Articles'!F448,"*Business Network (Concur, Ariba, Fieldglass)*")</f>
        <v>0</v>
      </c>
      <c r="I449">
        <f>COUNTIF('Metrics - Articles'!F448,"*GCO – Regions*")</f>
        <v>0</v>
      </c>
      <c r="J449">
        <f>COUNTIF('Metrics - Articles'!F448,"*GCO – Platform Solutions*")</f>
        <v>0</v>
      </c>
      <c r="K449">
        <f>COUNTIF('Metrics - Articles'!F448,"*GCO – Industry Cloud *")</f>
        <v>0</v>
      </c>
      <c r="L449">
        <f>COUNTIF('Metrics - Articles'!F448,"*GCO – Customer Engagement &amp; Commerce (CRM &amp; hybris) *")</f>
        <v>0</v>
      </c>
      <c r="M449">
        <f>COUNTIF('Metrics - Articles'!F448,"*GCO – HR (SuccessFactors)*")</f>
        <v>0</v>
      </c>
      <c r="N449">
        <f>COUNTIF('Metrics - Articles'!F448,"*GCO – Services Sales*")</f>
        <v>0</v>
      </c>
      <c r="O449">
        <f>COUNTIF('Metrics - Articles'!F448,"*GCO – Other*")</f>
        <v>0</v>
      </c>
      <c r="P449">
        <f>COUNTIF('Metrics - Articles'!F448,"*Corporate*")</f>
        <v>0</v>
      </c>
      <c r="R449" s="53">
        <f t="shared" si="8"/>
        <v>0</v>
      </c>
    </row>
    <row r="450" spans="2:18" x14ac:dyDescent="0.25">
      <c r="B450" s="48">
        <f>+'Metrics - Articles'!C449</f>
        <v>0</v>
      </c>
      <c r="C450">
        <f>COUNTIF('Metrics - Articles'!F449,"*GPO (Partner, Ecosystem, Channels)*")</f>
        <v>0</v>
      </c>
      <c r="D450">
        <f>COUNTIF('Metrics - Articles'!F449,"*Office of the CEO*")</f>
        <v>0</v>
      </c>
      <c r="E450">
        <f>COUNTIF('Metrics - Articles'!F449,"*Services Delivery &amp; Support (go-lives and deployments) *")</f>
        <v>0</v>
      </c>
      <c r="F450">
        <f>COUNTIF('Metrics - Articles'!F449,"*Human Resources (SAP HR and employee stories)*")</f>
        <v>0</v>
      </c>
      <c r="G450">
        <f>COUNTIF('Metrics - Articles'!F449,"*P&amp;I (Research &amp; Development)*")</f>
        <v>0</v>
      </c>
      <c r="H450">
        <f>COUNTIF('Metrics - Articles'!F449,"*Business Network (Concur, Ariba, Fieldglass)*")</f>
        <v>0</v>
      </c>
      <c r="I450">
        <f>COUNTIF('Metrics - Articles'!F449,"*GCO – Regions*")</f>
        <v>0</v>
      </c>
      <c r="J450">
        <f>COUNTIF('Metrics - Articles'!F449,"*GCO – Platform Solutions*")</f>
        <v>0</v>
      </c>
      <c r="K450">
        <f>COUNTIF('Metrics - Articles'!F449,"*GCO – Industry Cloud *")</f>
        <v>0</v>
      </c>
      <c r="L450">
        <f>COUNTIF('Metrics - Articles'!F449,"*GCO – Customer Engagement &amp; Commerce (CRM &amp; hybris) *")</f>
        <v>0</v>
      </c>
      <c r="M450">
        <f>COUNTIF('Metrics - Articles'!F449,"*GCO – HR (SuccessFactors)*")</f>
        <v>0</v>
      </c>
      <c r="N450">
        <f>COUNTIF('Metrics - Articles'!F449,"*GCO – Services Sales*")</f>
        <v>0</v>
      </c>
      <c r="O450">
        <f>COUNTIF('Metrics - Articles'!F449,"*GCO – Other*")</f>
        <v>0</v>
      </c>
      <c r="P450">
        <f>COUNTIF('Metrics - Articles'!F449,"*Corporate*")</f>
        <v>0</v>
      </c>
      <c r="R450" s="53">
        <f t="shared" si="8"/>
        <v>0</v>
      </c>
    </row>
    <row r="451" spans="2:18" x14ac:dyDescent="0.25">
      <c r="B451" s="48">
        <f>+'Metrics - Articles'!C450</f>
        <v>0</v>
      </c>
      <c r="C451">
        <f>COUNTIF('Metrics - Articles'!F450,"*GPO (Partner, Ecosystem, Channels)*")</f>
        <v>0</v>
      </c>
      <c r="D451">
        <f>COUNTIF('Metrics - Articles'!F450,"*Office of the CEO*")</f>
        <v>0</v>
      </c>
      <c r="E451">
        <f>COUNTIF('Metrics - Articles'!F450,"*Services Delivery &amp; Support (go-lives and deployments) *")</f>
        <v>0</v>
      </c>
      <c r="F451">
        <f>COUNTIF('Metrics - Articles'!F450,"*Human Resources (SAP HR and employee stories)*")</f>
        <v>0</v>
      </c>
      <c r="G451">
        <f>COUNTIF('Metrics - Articles'!F450,"*P&amp;I (Research &amp; Development)*")</f>
        <v>0</v>
      </c>
      <c r="H451">
        <f>COUNTIF('Metrics - Articles'!F450,"*Business Network (Concur, Ariba, Fieldglass)*")</f>
        <v>0</v>
      </c>
      <c r="I451">
        <f>COUNTIF('Metrics - Articles'!F450,"*GCO – Regions*")</f>
        <v>0</v>
      </c>
      <c r="J451">
        <f>COUNTIF('Metrics - Articles'!F450,"*GCO – Platform Solutions*")</f>
        <v>0</v>
      </c>
      <c r="K451">
        <f>COUNTIF('Metrics - Articles'!F450,"*GCO – Industry Cloud *")</f>
        <v>0</v>
      </c>
      <c r="L451">
        <f>COUNTIF('Metrics - Articles'!F450,"*GCO – Customer Engagement &amp; Commerce (CRM &amp; hybris) *")</f>
        <v>0</v>
      </c>
      <c r="M451">
        <f>COUNTIF('Metrics - Articles'!F450,"*GCO – HR (SuccessFactors)*")</f>
        <v>0</v>
      </c>
      <c r="N451">
        <f>COUNTIF('Metrics - Articles'!F450,"*GCO – Services Sales*")</f>
        <v>0</v>
      </c>
      <c r="O451">
        <f>COUNTIF('Metrics - Articles'!F450,"*GCO – Other*")</f>
        <v>0</v>
      </c>
      <c r="P451">
        <f>COUNTIF('Metrics - Articles'!F450,"*Corporate*")</f>
        <v>0</v>
      </c>
      <c r="R451" s="53">
        <f t="shared" si="8"/>
        <v>0</v>
      </c>
    </row>
    <row r="452" spans="2:18" x14ac:dyDescent="0.25">
      <c r="B452" s="48">
        <f>+'Metrics - Articles'!C451</f>
        <v>0</v>
      </c>
      <c r="C452">
        <f>COUNTIF('Metrics - Articles'!F451,"*GPO (Partner, Ecosystem, Channels)*")</f>
        <v>0</v>
      </c>
      <c r="D452">
        <f>COUNTIF('Metrics - Articles'!F451,"*Office of the CEO*")</f>
        <v>0</v>
      </c>
      <c r="E452">
        <f>COUNTIF('Metrics - Articles'!F451,"*Services Delivery &amp; Support (go-lives and deployments) *")</f>
        <v>0</v>
      </c>
      <c r="F452">
        <f>COUNTIF('Metrics - Articles'!F451,"*Human Resources (SAP HR and employee stories)*")</f>
        <v>0</v>
      </c>
      <c r="G452">
        <f>COUNTIF('Metrics - Articles'!F451,"*P&amp;I (Research &amp; Development)*")</f>
        <v>0</v>
      </c>
      <c r="H452">
        <f>COUNTIF('Metrics - Articles'!F451,"*Business Network (Concur, Ariba, Fieldglass)*")</f>
        <v>0</v>
      </c>
      <c r="I452">
        <f>COUNTIF('Metrics - Articles'!F451,"*GCO – Regions*")</f>
        <v>0</v>
      </c>
      <c r="J452">
        <f>COUNTIF('Metrics - Articles'!F451,"*GCO – Platform Solutions*")</f>
        <v>0</v>
      </c>
      <c r="K452">
        <f>COUNTIF('Metrics - Articles'!F451,"*GCO – Industry Cloud *")</f>
        <v>0</v>
      </c>
      <c r="L452">
        <f>COUNTIF('Metrics - Articles'!F451,"*GCO – Customer Engagement &amp; Commerce (CRM &amp; hybris) *")</f>
        <v>0</v>
      </c>
      <c r="M452">
        <f>COUNTIF('Metrics - Articles'!F451,"*GCO – HR (SuccessFactors)*")</f>
        <v>0</v>
      </c>
      <c r="N452">
        <f>COUNTIF('Metrics - Articles'!F451,"*GCO – Services Sales*")</f>
        <v>0</v>
      </c>
      <c r="O452">
        <f>COUNTIF('Metrics - Articles'!F451,"*GCO – Other*")</f>
        <v>0</v>
      </c>
      <c r="P452">
        <f>COUNTIF('Metrics - Articles'!F451,"*Corporate*")</f>
        <v>0</v>
      </c>
      <c r="R452" s="53">
        <f t="shared" si="8"/>
        <v>0</v>
      </c>
    </row>
    <row r="453" spans="2:18" x14ac:dyDescent="0.25">
      <c r="B453" s="48">
        <f>+'Metrics - Articles'!C452</f>
        <v>0</v>
      </c>
      <c r="C453">
        <f>COUNTIF('Metrics - Articles'!F452,"*GPO (Partner, Ecosystem, Channels)*")</f>
        <v>0</v>
      </c>
      <c r="D453">
        <f>COUNTIF('Metrics - Articles'!F452,"*Office of the CEO*")</f>
        <v>0</v>
      </c>
      <c r="E453">
        <f>COUNTIF('Metrics - Articles'!F452,"*Services Delivery &amp; Support (go-lives and deployments) *")</f>
        <v>0</v>
      </c>
      <c r="F453">
        <f>COUNTIF('Metrics - Articles'!F452,"*Human Resources (SAP HR and employee stories)*")</f>
        <v>0</v>
      </c>
      <c r="G453">
        <f>COUNTIF('Metrics - Articles'!F452,"*P&amp;I (Research &amp; Development)*")</f>
        <v>0</v>
      </c>
      <c r="H453">
        <f>COUNTIF('Metrics - Articles'!F452,"*Business Network (Concur, Ariba, Fieldglass)*")</f>
        <v>0</v>
      </c>
      <c r="I453">
        <f>COUNTIF('Metrics - Articles'!F452,"*GCO – Regions*")</f>
        <v>0</v>
      </c>
      <c r="J453">
        <f>COUNTIF('Metrics - Articles'!F452,"*GCO – Platform Solutions*")</f>
        <v>0</v>
      </c>
      <c r="K453">
        <f>COUNTIF('Metrics - Articles'!F452,"*GCO – Industry Cloud *")</f>
        <v>0</v>
      </c>
      <c r="L453">
        <f>COUNTIF('Metrics - Articles'!F452,"*GCO – Customer Engagement &amp; Commerce (CRM &amp; hybris) *")</f>
        <v>0</v>
      </c>
      <c r="M453">
        <f>COUNTIF('Metrics - Articles'!F452,"*GCO – HR (SuccessFactors)*")</f>
        <v>0</v>
      </c>
      <c r="N453">
        <f>COUNTIF('Metrics - Articles'!F452,"*GCO – Services Sales*")</f>
        <v>0</v>
      </c>
      <c r="O453">
        <f>COUNTIF('Metrics - Articles'!F452,"*GCO – Other*")</f>
        <v>0</v>
      </c>
      <c r="P453">
        <f>COUNTIF('Metrics - Articles'!F452,"*Corporate*")</f>
        <v>0</v>
      </c>
      <c r="R453" s="53">
        <f t="shared" si="8"/>
        <v>0</v>
      </c>
    </row>
    <row r="454" spans="2:18" x14ac:dyDescent="0.25">
      <c r="B454" s="48">
        <f>+'Metrics - Articles'!C453</f>
        <v>0</v>
      </c>
      <c r="C454">
        <f>COUNTIF('Metrics - Articles'!F453,"*GPO (Partner, Ecosystem, Channels)*")</f>
        <v>0</v>
      </c>
      <c r="D454">
        <f>COUNTIF('Metrics - Articles'!F453,"*Office of the CEO*")</f>
        <v>0</v>
      </c>
      <c r="E454">
        <f>COUNTIF('Metrics - Articles'!F453,"*Services Delivery &amp; Support (go-lives and deployments) *")</f>
        <v>0</v>
      </c>
      <c r="F454">
        <f>COUNTIF('Metrics - Articles'!F453,"*Human Resources (SAP HR and employee stories)*")</f>
        <v>0</v>
      </c>
      <c r="G454">
        <f>COUNTIF('Metrics - Articles'!F453,"*P&amp;I (Research &amp; Development)*")</f>
        <v>0</v>
      </c>
      <c r="H454">
        <f>COUNTIF('Metrics - Articles'!F453,"*Business Network (Concur, Ariba, Fieldglass)*")</f>
        <v>0</v>
      </c>
      <c r="I454">
        <f>COUNTIF('Metrics - Articles'!F453,"*GCO – Regions*")</f>
        <v>0</v>
      </c>
      <c r="J454">
        <f>COUNTIF('Metrics - Articles'!F453,"*GCO – Platform Solutions*")</f>
        <v>0</v>
      </c>
      <c r="K454">
        <f>COUNTIF('Metrics - Articles'!F453,"*GCO – Industry Cloud *")</f>
        <v>0</v>
      </c>
      <c r="L454">
        <f>COUNTIF('Metrics - Articles'!F453,"*GCO – Customer Engagement &amp; Commerce (CRM &amp; hybris) *")</f>
        <v>0</v>
      </c>
      <c r="M454">
        <f>COUNTIF('Metrics - Articles'!F453,"*GCO – HR (SuccessFactors)*")</f>
        <v>0</v>
      </c>
      <c r="N454">
        <f>COUNTIF('Metrics - Articles'!F453,"*GCO – Services Sales*")</f>
        <v>0</v>
      </c>
      <c r="O454">
        <f>COUNTIF('Metrics - Articles'!F453,"*GCO – Other*")</f>
        <v>0</v>
      </c>
      <c r="P454">
        <f>COUNTIF('Metrics - Articles'!F453,"*Corporate*")</f>
        <v>0</v>
      </c>
      <c r="R454" s="53">
        <f t="shared" si="8"/>
        <v>0</v>
      </c>
    </row>
    <row r="455" spans="2:18" x14ac:dyDescent="0.25">
      <c r="B455" s="48">
        <f>+'Metrics - Articles'!C454</f>
        <v>0</v>
      </c>
      <c r="C455">
        <f>COUNTIF('Metrics - Articles'!F454,"*GPO (Partner, Ecosystem, Channels)*")</f>
        <v>0</v>
      </c>
      <c r="D455">
        <f>COUNTIF('Metrics - Articles'!F454,"*Office of the CEO*")</f>
        <v>0</v>
      </c>
      <c r="E455">
        <f>COUNTIF('Metrics - Articles'!F454,"*Services Delivery &amp; Support (go-lives and deployments) *")</f>
        <v>0</v>
      </c>
      <c r="F455">
        <f>COUNTIF('Metrics - Articles'!F454,"*Human Resources (SAP HR and employee stories)*")</f>
        <v>0</v>
      </c>
      <c r="G455">
        <f>COUNTIF('Metrics - Articles'!F454,"*P&amp;I (Research &amp; Development)*")</f>
        <v>0</v>
      </c>
      <c r="H455">
        <f>COUNTIF('Metrics - Articles'!F454,"*Business Network (Concur, Ariba, Fieldglass)*")</f>
        <v>0</v>
      </c>
      <c r="I455">
        <f>COUNTIF('Metrics - Articles'!F454,"*GCO – Regions*")</f>
        <v>0</v>
      </c>
      <c r="J455">
        <f>COUNTIF('Metrics - Articles'!F454,"*GCO – Platform Solutions*")</f>
        <v>0</v>
      </c>
      <c r="K455">
        <f>COUNTIF('Metrics - Articles'!F454,"*GCO – Industry Cloud *")</f>
        <v>0</v>
      </c>
      <c r="L455">
        <f>COUNTIF('Metrics - Articles'!F454,"*GCO – Customer Engagement &amp; Commerce (CRM &amp; hybris) *")</f>
        <v>0</v>
      </c>
      <c r="M455">
        <f>COUNTIF('Metrics - Articles'!F454,"*GCO – HR (SuccessFactors)*")</f>
        <v>0</v>
      </c>
      <c r="N455">
        <f>COUNTIF('Metrics - Articles'!F454,"*GCO – Services Sales*")</f>
        <v>0</v>
      </c>
      <c r="O455">
        <f>COUNTIF('Metrics - Articles'!F454,"*GCO – Other*")</f>
        <v>0</v>
      </c>
      <c r="P455">
        <f>COUNTIF('Metrics - Articles'!F454,"*Corporate*")</f>
        <v>0</v>
      </c>
      <c r="R455" s="53">
        <f t="shared" si="8"/>
        <v>0</v>
      </c>
    </row>
    <row r="456" spans="2:18" x14ac:dyDescent="0.25">
      <c r="B456" s="48">
        <f>+'Metrics - Articles'!C455</f>
        <v>0</v>
      </c>
      <c r="C456">
        <f>COUNTIF('Metrics - Articles'!F455,"*GPO (Partner, Ecosystem, Channels)*")</f>
        <v>0</v>
      </c>
      <c r="D456">
        <f>COUNTIF('Metrics - Articles'!F455,"*Office of the CEO*")</f>
        <v>0</v>
      </c>
      <c r="E456">
        <f>COUNTIF('Metrics - Articles'!F455,"*Services Delivery &amp; Support (go-lives and deployments) *")</f>
        <v>0</v>
      </c>
      <c r="F456">
        <f>COUNTIF('Metrics - Articles'!F455,"*Human Resources (SAP HR and employee stories)*")</f>
        <v>0</v>
      </c>
      <c r="G456">
        <f>COUNTIF('Metrics - Articles'!F455,"*P&amp;I (Research &amp; Development)*")</f>
        <v>0</v>
      </c>
      <c r="H456">
        <f>COUNTIF('Metrics - Articles'!F455,"*Business Network (Concur, Ariba, Fieldglass)*")</f>
        <v>0</v>
      </c>
      <c r="I456">
        <f>COUNTIF('Metrics - Articles'!F455,"*GCO – Regions*")</f>
        <v>0</v>
      </c>
      <c r="J456">
        <f>COUNTIF('Metrics - Articles'!F455,"*GCO – Platform Solutions*")</f>
        <v>0</v>
      </c>
      <c r="K456">
        <f>COUNTIF('Metrics - Articles'!F455,"*GCO – Industry Cloud *")</f>
        <v>0</v>
      </c>
      <c r="L456">
        <f>COUNTIF('Metrics - Articles'!F455,"*GCO – Customer Engagement &amp; Commerce (CRM &amp; hybris) *")</f>
        <v>0</v>
      </c>
      <c r="M456">
        <f>COUNTIF('Metrics - Articles'!F455,"*GCO – HR (SuccessFactors)*")</f>
        <v>0</v>
      </c>
      <c r="N456">
        <f>COUNTIF('Metrics - Articles'!F455,"*GCO – Services Sales*")</f>
        <v>0</v>
      </c>
      <c r="O456">
        <f>COUNTIF('Metrics - Articles'!F455,"*GCO – Other*")</f>
        <v>0</v>
      </c>
      <c r="P456">
        <f>COUNTIF('Metrics - Articles'!F455,"*Corporate*")</f>
        <v>0</v>
      </c>
      <c r="R456" s="53">
        <f t="shared" si="8"/>
        <v>0</v>
      </c>
    </row>
    <row r="457" spans="2:18" x14ac:dyDescent="0.25">
      <c r="B457" s="48">
        <f>+'Metrics - Articles'!C456</f>
        <v>0</v>
      </c>
      <c r="C457">
        <f>COUNTIF('Metrics - Articles'!F456,"*GPO (Partner, Ecosystem, Channels)*")</f>
        <v>0</v>
      </c>
      <c r="D457">
        <f>COUNTIF('Metrics - Articles'!F456,"*Office of the CEO*")</f>
        <v>0</v>
      </c>
      <c r="E457">
        <f>COUNTIF('Metrics - Articles'!F456,"*Services Delivery &amp; Support (go-lives and deployments) *")</f>
        <v>0</v>
      </c>
      <c r="F457">
        <f>COUNTIF('Metrics - Articles'!F456,"*Human Resources (SAP HR and employee stories)*")</f>
        <v>0</v>
      </c>
      <c r="G457">
        <f>COUNTIF('Metrics - Articles'!F456,"*P&amp;I (Research &amp; Development)*")</f>
        <v>0</v>
      </c>
      <c r="H457">
        <f>COUNTIF('Metrics - Articles'!F456,"*Business Network (Concur, Ariba, Fieldglass)*")</f>
        <v>0</v>
      </c>
      <c r="I457">
        <f>COUNTIF('Metrics - Articles'!F456,"*GCO – Regions*")</f>
        <v>0</v>
      </c>
      <c r="J457">
        <f>COUNTIF('Metrics - Articles'!F456,"*GCO – Platform Solutions*")</f>
        <v>0</v>
      </c>
      <c r="K457">
        <f>COUNTIF('Metrics - Articles'!F456,"*GCO – Industry Cloud *")</f>
        <v>0</v>
      </c>
      <c r="L457">
        <f>COUNTIF('Metrics - Articles'!F456,"*GCO – Customer Engagement &amp; Commerce (CRM &amp; hybris) *")</f>
        <v>0</v>
      </c>
      <c r="M457">
        <f>COUNTIF('Metrics - Articles'!F456,"*GCO – HR (SuccessFactors)*")</f>
        <v>0</v>
      </c>
      <c r="N457">
        <f>COUNTIF('Metrics - Articles'!F456,"*GCO – Services Sales*")</f>
        <v>0</v>
      </c>
      <c r="O457">
        <f>COUNTIF('Metrics - Articles'!F456,"*GCO – Other*")</f>
        <v>0</v>
      </c>
      <c r="P457">
        <f>COUNTIF('Metrics - Articles'!F456,"*Corporate*")</f>
        <v>0</v>
      </c>
      <c r="R457" s="53">
        <f t="shared" si="8"/>
        <v>0</v>
      </c>
    </row>
    <row r="458" spans="2:18" x14ac:dyDescent="0.25">
      <c r="B458" s="48">
        <f>+'Metrics - Articles'!C457</f>
        <v>0</v>
      </c>
      <c r="C458">
        <f>COUNTIF('Metrics - Articles'!F457,"*GPO (Partner, Ecosystem, Channels)*")</f>
        <v>0</v>
      </c>
      <c r="D458">
        <f>COUNTIF('Metrics - Articles'!F457,"*Office of the CEO*")</f>
        <v>0</v>
      </c>
      <c r="E458">
        <f>COUNTIF('Metrics - Articles'!F457,"*Services Delivery &amp; Support (go-lives and deployments) *")</f>
        <v>0</v>
      </c>
      <c r="F458">
        <f>COUNTIF('Metrics - Articles'!F457,"*Human Resources (SAP HR and employee stories)*")</f>
        <v>0</v>
      </c>
      <c r="G458">
        <f>COUNTIF('Metrics - Articles'!F457,"*P&amp;I (Research &amp; Development)*")</f>
        <v>0</v>
      </c>
      <c r="H458">
        <f>COUNTIF('Metrics - Articles'!F457,"*Business Network (Concur, Ariba, Fieldglass)*")</f>
        <v>0</v>
      </c>
      <c r="I458">
        <f>COUNTIF('Metrics - Articles'!F457,"*GCO – Regions*")</f>
        <v>0</v>
      </c>
      <c r="J458">
        <f>COUNTIF('Metrics - Articles'!F457,"*GCO – Platform Solutions*")</f>
        <v>0</v>
      </c>
      <c r="K458">
        <f>COUNTIF('Metrics - Articles'!F457,"*GCO – Industry Cloud *")</f>
        <v>0</v>
      </c>
      <c r="L458">
        <f>COUNTIF('Metrics - Articles'!F457,"*GCO – Customer Engagement &amp; Commerce (CRM &amp; hybris) *")</f>
        <v>0</v>
      </c>
      <c r="M458">
        <f>COUNTIF('Metrics - Articles'!F457,"*GCO – HR (SuccessFactors)*")</f>
        <v>0</v>
      </c>
      <c r="N458">
        <f>COUNTIF('Metrics - Articles'!F457,"*GCO – Services Sales*")</f>
        <v>0</v>
      </c>
      <c r="O458">
        <f>COUNTIF('Metrics - Articles'!F457,"*GCO – Other*")</f>
        <v>0</v>
      </c>
      <c r="P458">
        <f>COUNTIF('Metrics - Articles'!F457,"*Corporate*")</f>
        <v>0</v>
      </c>
      <c r="R458" s="53">
        <f t="shared" ref="R458:R521" si="9">SUM(C458:Q458)</f>
        <v>0</v>
      </c>
    </row>
    <row r="459" spans="2:18" x14ac:dyDescent="0.25">
      <c r="B459" s="48">
        <f>+'Metrics - Articles'!C458</f>
        <v>0</v>
      </c>
      <c r="C459">
        <f>COUNTIF('Metrics - Articles'!F458,"*GPO (Partner, Ecosystem, Channels)*")</f>
        <v>0</v>
      </c>
      <c r="D459">
        <f>COUNTIF('Metrics - Articles'!F458,"*Office of the CEO*")</f>
        <v>0</v>
      </c>
      <c r="E459">
        <f>COUNTIF('Metrics - Articles'!F458,"*Services Delivery &amp; Support (go-lives and deployments) *")</f>
        <v>0</v>
      </c>
      <c r="F459">
        <f>COUNTIF('Metrics - Articles'!F458,"*Human Resources (SAP HR and employee stories)*")</f>
        <v>0</v>
      </c>
      <c r="G459">
        <f>COUNTIF('Metrics - Articles'!F458,"*P&amp;I (Research &amp; Development)*")</f>
        <v>0</v>
      </c>
      <c r="H459">
        <f>COUNTIF('Metrics - Articles'!F458,"*Business Network (Concur, Ariba, Fieldglass)*")</f>
        <v>0</v>
      </c>
      <c r="I459">
        <f>COUNTIF('Metrics - Articles'!F458,"*GCO – Regions*")</f>
        <v>0</v>
      </c>
      <c r="J459">
        <f>COUNTIF('Metrics - Articles'!F458,"*GCO – Platform Solutions*")</f>
        <v>0</v>
      </c>
      <c r="K459">
        <f>COUNTIF('Metrics - Articles'!F458,"*GCO – Industry Cloud *")</f>
        <v>0</v>
      </c>
      <c r="L459">
        <f>COUNTIF('Metrics - Articles'!F458,"*GCO – Customer Engagement &amp; Commerce (CRM &amp; hybris) *")</f>
        <v>0</v>
      </c>
      <c r="M459">
        <f>COUNTIF('Metrics - Articles'!F458,"*GCO – HR (SuccessFactors)*")</f>
        <v>0</v>
      </c>
      <c r="N459">
        <f>COUNTIF('Metrics - Articles'!F458,"*GCO – Services Sales*")</f>
        <v>0</v>
      </c>
      <c r="O459">
        <f>COUNTIF('Metrics - Articles'!F458,"*GCO – Other*")</f>
        <v>0</v>
      </c>
      <c r="P459">
        <f>COUNTIF('Metrics - Articles'!F458,"*Corporate*")</f>
        <v>0</v>
      </c>
      <c r="R459" s="53">
        <f t="shared" si="9"/>
        <v>0</v>
      </c>
    </row>
    <row r="460" spans="2:18" x14ac:dyDescent="0.25">
      <c r="B460" s="48">
        <f>+'Metrics - Articles'!C459</f>
        <v>0</v>
      </c>
      <c r="C460">
        <f>COUNTIF('Metrics - Articles'!F459,"*GPO (Partner, Ecosystem, Channels)*")</f>
        <v>0</v>
      </c>
      <c r="D460">
        <f>COUNTIF('Metrics - Articles'!F459,"*Office of the CEO*")</f>
        <v>0</v>
      </c>
      <c r="E460">
        <f>COUNTIF('Metrics - Articles'!F459,"*Services Delivery &amp; Support (go-lives and deployments) *")</f>
        <v>0</v>
      </c>
      <c r="F460">
        <f>COUNTIF('Metrics - Articles'!F459,"*Human Resources (SAP HR and employee stories)*")</f>
        <v>0</v>
      </c>
      <c r="G460">
        <f>COUNTIF('Metrics - Articles'!F459,"*P&amp;I (Research &amp; Development)*")</f>
        <v>0</v>
      </c>
      <c r="H460">
        <f>COUNTIF('Metrics - Articles'!F459,"*Business Network (Concur, Ariba, Fieldglass)*")</f>
        <v>0</v>
      </c>
      <c r="I460">
        <f>COUNTIF('Metrics - Articles'!F459,"*GCO – Regions*")</f>
        <v>0</v>
      </c>
      <c r="J460">
        <f>COUNTIF('Metrics - Articles'!F459,"*GCO – Platform Solutions*")</f>
        <v>0</v>
      </c>
      <c r="K460">
        <f>COUNTIF('Metrics - Articles'!F459,"*GCO – Industry Cloud *")</f>
        <v>0</v>
      </c>
      <c r="L460">
        <f>COUNTIF('Metrics - Articles'!F459,"*GCO – Customer Engagement &amp; Commerce (CRM &amp; hybris) *")</f>
        <v>0</v>
      </c>
      <c r="M460">
        <f>COUNTIF('Metrics - Articles'!F459,"*GCO – HR (SuccessFactors)*")</f>
        <v>0</v>
      </c>
      <c r="N460">
        <f>COUNTIF('Metrics - Articles'!F459,"*GCO – Services Sales*")</f>
        <v>0</v>
      </c>
      <c r="O460">
        <f>COUNTIF('Metrics - Articles'!F459,"*GCO – Other*")</f>
        <v>0</v>
      </c>
      <c r="P460">
        <f>COUNTIF('Metrics - Articles'!F459,"*Corporate*")</f>
        <v>0</v>
      </c>
      <c r="R460" s="53">
        <f t="shared" si="9"/>
        <v>0</v>
      </c>
    </row>
    <row r="461" spans="2:18" x14ac:dyDescent="0.25">
      <c r="B461" s="48">
        <f>+'Metrics - Articles'!C460</f>
        <v>0</v>
      </c>
      <c r="C461">
        <f>COUNTIF('Metrics - Articles'!F460,"*GPO (Partner, Ecosystem, Channels)*")</f>
        <v>0</v>
      </c>
      <c r="D461">
        <f>COUNTIF('Metrics - Articles'!F460,"*Office of the CEO*")</f>
        <v>0</v>
      </c>
      <c r="E461">
        <f>COUNTIF('Metrics - Articles'!F460,"*Services Delivery &amp; Support (go-lives and deployments) *")</f>
        <v>0</v>
      </c>
      <c r="F461">
        <f>COUNTIF('Metrics - Articles'!F460,"*Human Resources (SAP HR and employee stories)*")</f>
        <v>0</v>
      </c>
      <c r="G461">
        <f>COUNTIF('Metrics - Articles'!F460,"*P&amp;I (Research &amp; Development)*")</f>
        <v>0</v>
      </c>
      <c r="H461">
        <f>COUNTIF('Metrics - Articles'!F460,"*Business Network (Concur, Ariba, Fieldglass)*")</f>
        <v>0</v>
      </c>
      <c r="I461">
        <f>COUNTIF('Metrics - Articles'!F460,"*GCO – Regions*")</f>
        <v>0</v>
      </c>
      <c r="J461">
        <f>COUNTIF('Metrics - Articles'!F460,"*GCO – Platform Solutions*")</f>
        <v>0</v>
      </c>
      <c r="K461">
        <f>COUNTIF('Metrics - Articles'!F460,"*GCO – Industry Cloud *")</f>
        <v>0</v>
      </c>
      <c r="L461">
        <f>COUNTIF('Metrics - Articles'!F460,"*GCO – Customer Engagement &amp; Commerce (CRM &amp; hybris) *")</f>
        <v>0</v>
      </c>
      <c r="M461">
        <f>COUNTIF('Metrics - Articles'!F460,"*GCO – HR (SuccessFactors)*")</f>
        <v>0</v>
      </c>
      <c r="N461">
        <f>COUNTIF('Metrics - Articles'!F460,"*GCO – Services Sales*")</f>
        <v>0</v>
      </c>
      <c r="O461">
        <f>COUNTIF('Metrics - Articles'!F460,"*GCO – Other*")</f>
        <v>0</v>
      </c>
      <c r="P461">
        <f>COUNTIF('Metrics - Articles'!F460,"*Corporate*")</f>
        <v>0</v>
      </c>
      <c r="R461" s="53">
        <f t="shared" si="9"/>
        <v>0</v>
      </c>
    </row>
    <row r="462" spans="2:18" x14ac:dyDescent="0.25">
      <c r="B462" s="48">
        <f>+'Metrics - Articles'!C461</f>
        <v>0</v>
      </c>
      <c r="C462">
        <f>COUNTIF('Metrics - Articles'!F461,"*GPO (Partner, Ecosystem, Channels)*")</f>
        <v>0</v>
      </c>
      <c r="D462">
        <f>COUNTIF('Metrics - Articles'!F461,"*Office of the CEO*")</f>
        <v>0</v>
      </c>
      <c r="E462">
        <f>COUNTIF('Metrics - Articles'!F461,"*Services Delivery &amp; Support (go-lives and deployments) *")</f>
        <v>0</v>
      </c>
      <c r="F462">
        <f>COUNTIF('Metrics - Articles'!F461,"*Human Resources (SAP HR and employee stories)*")</f>
        <v>0</v>
      </c>
      <c r="G462">
        <f>COUNTIF('Metrics - Articles'!F461,"*P&amp;I (Research &amp; Development)*")</f>
        <v>0</v>
      </c>
      <c r="H462">
        <f>COUNTIF('Metrics - Articles'!F461,"*Business Network (Concur, Ariba, Fieldglass)*")</f>
        <v>0</v>
      </c>
      <c r="I462">
        <f>COUNTIF('Metrics - Articles'!F461,"*GCO – Regions*")</f>
        <v>0</v>
      </c>
      <c r="J462">
        <f>COUNTIF('Metrics - Articles'!F461,"*GCO – Platform Solutions*")</f>
        <v>0</v>
      </c>
      <c r="K462">
        <f>COUNTIF('Metrics - Articles'!F461,"*GCO – Industry Cloud *")</f>
        <v>0</v>
      </c>
      <c r="L462">
        <f>COUNTIF('Metrics - Articles'!F461,"*GCO – Customer Engagement &amp; Commerce (CRM &amp; hybris) *")</f>
        <v>0</v>
      </c>
      <c r="M462">
        <f>COUNTIF('Metrics - Articles'!F461,"*GCO – HR (SuccessFactors)*")</f>
        <v>0</v>
      </c>
      <c r="N462">
        <f>COUNTIF('Metrics - Articles'!F461,"*GCO – Services Sales*")</f>
        <v>0</v>
      </c>
      <c r="O462">
        <f>COUNTIF('Metrics - Articles'!F461,"*GCO – Other*")</f>
        <v>0</v>
      </c>
      <c r="P462">
        <f>COUNTIF('Metrics - Articles'!F461,"*Corporate*")</f>
        <v>0</v>
      </c>
      <c r="R462" s="53">
        <f t="shared" si="9"/>
        <v>0</v>
      </c>
    </row>
    <row r="463" spans="2:18" x14ac:dyDescent="0.25">
      <c r="B463" s="48">
        <f>+'Metrics - Articles'!C462</f>
        <v>0</v>
      </c>
      <c r="C463">
        <f>COUNTIF('Metrics - Articles'!F462,"*GPO (Partner, Ecosystem, Channels)*")</f>
        <v>0</v>
      </c>
      <c r="D463">
        <f>COUNTIF('Metrics - Articles'!F462,"*Office of the CEO*")</f>
        <v>0</v>
      </c>
      <c r="E463">
        <f>COUNTIF('Metrics - Articles'!F462,"*Services Delivery &amp; Support (go-lives and deployments) *")</f>
        <v>0</v>
      </c>
      <c r="F463">
        <f>COUNTIF('Metrics - Articles'!F462,"*Human Resources (SAP HR and employee stories)*")</f>
        <v>0</v>
      </c>
      <c r="G463">
        <f>COUNTIF('Metrics - Articles'!F462,"*P&amp;I (Research &amp; Development)*")</f>
        <v>0</v>
      </c>
      <c r="H463">
        <f>COUNTIF('Metrics - Articles'!F462,"*Business Network (Concur, Ariba, Fieldglass)*")</f>
        <v>0</v>
      </c>
      <c r="I463">
        <f>COUNTIF('Metrics - Articles'!F462,"*GCO – Regions*")</f>
        <v>0</v>
      </c>
      <c r="J463">
        <f>COUNTIF('Metrics - Articles'!F462,"*GCO – Platform Solutions*")</f>
        <v>0</v>
      </c>
      <c r="K463">
        <f>COUNTIF('Metrics - Articles'!F462,"*GCO – Industry Cloud *")</f>
        <v>0</v>
      </c>
      <c r="L463">
        <f>COUNTIF('Metrics - Articles'!F462,"*GCO – Customer Engagement &amp; Commerce (CRM &amp; hybris) *")</f>
        <v>0</v>
      </c>
      <c r="M463">
        <f>COUNTIF('Metrics - Articles'!F462,"*GCO – HR (SuccessFactors)*")</f>
        <v>0</v>
      </c>
      <c r="N463">
        <f>COUNTIF('Metrics - Articles'!F462,"*GCO – Services Sales*")</f>
        <v>0</v>
      </c>
      <c r="O463">
        <f>COUNTIF('Metrics - Articles'!F462,"*GCO – Other*")</f>
        <v>0</v>
      </c>
      <c r="P463">
        <f>COUNTIF('Metrics - Articles'!F462,"*Corporate*")</f>
        <v>0</v>
      </c>
      <c r="R463" s="53">
        <f t="shared" si="9"/>
        <v>0</v>
      </c>
    </row>
    <row r="464" spans="2:18" x14ac:dyDescent="0.25">
      <c r="B464" s="48">
        <f>+'Metrics - Articles'!C463</f>
        <v>0</v>
      </c>
      <c r="C464">
        <f>COUNTIF('Metrics - Articles'!F463,"*GPO (Partner, Ecosystem, Channels)*")</f>
        <v>0</v>
      </c>
      <c r="D464">
        <f>COUNTIF('Metrics - Articles'!F463,"*Office of the CEO*")</f>
        <v>0</v>
      </c>
      <c r="E464">
        <f>COUNTIF('Metrics - Articles'!F463,"*Services Delivery &amp; Support (go-lives and deployments) *")</f>
        <v>0</v>
      </c>
      <c r="F464">
        <f>COUNTIF('Metrics - Articles'!F463,"*Human Resources (SAP HR and employee stories)*")</f>
        <v>0</v>
      </c>
      <c r="G464">
        <f>COUNTIF('Metrics - Articles'!F463,"*P&amp;I (Research &amp; Development)*")</f>
        <v>0</v>
      </c>
      <c r="H464">
        <f>COUNTIF('Metrics - Articles'!F463,"*Business Network (Concur, Ariba, Fieldglass)*")</f>
        <v>0</v>
      </c>
      <c r="I464">
        <f>COUNTIF('Metrics - Articles'!F463,"*GCO – Regions*")</f>
        <v>0</v>
      </c>
      <c r="J464">
        <f>COUNTIF('Metrics - Articles'!F463,"*GCO – Platform Solutions*")</f>
        <v>0</v>
      </c>
      <c r="K464">
        <f>COUNTIF('Metrics - Articles'!F463,"*GCO – Industry Cloud *")</f>
        <v>0</v>
      </c>
      <c r="L464">
        <f>COUNTIF('Metrics - Articles'!F463,"*GCO – Customer Engagement &amp; Commerce (CRM &amp; hybris) *")</f>
        <v>0</v>
      </c>
      <c r="M464">
        <f>COUNTIF('Metrics - Articles'!F463,"*GCO – HR (SuccessFactors)*")</f>
        <v>0</v>
      </c>
      <c r="N464">
        <f>COUNTIF('Metrics - Articles'!F463,"*GCO – Services Sales*")</f>
        <v>0</v>
      </c>
      <c r="O464">
        <f>COUNTIF('Metrics - Articles'!F463,"*GCO – Other*")</f>
        <v>0</v>
      </c>
      <c r="P464">
        <f>COUNTIF('Metrics - Articles'!F463,"*Corporate*")</f>
        <v>0</v>
      </c>
      <c r="R464" s="53">
        <f t="shared" si="9"/>
        <v>0</v>
      </c>
    </row>
    <row r="465" spans="2:18" x14ac:dyDescent="0.25">
      <c r="B465" s="48">
        <f>+'Metrics - Articles'!C464</f>
        <v>0</v>
      </c>
      <c r="C465">
        <f>COUNTIF('Metrics - Articles'!F464,"*GPO (Partner, Ecosystem, Channels)*")</f>
        <v>0</v>
      </c>
      <c r="D465">
        <f>COUNTIF('Metrics - Articles'!F464,"*Office of the CEO*")</f>
        <v>0</v>
      </c>
      <c r="E465">
        <f>COUNTIF('Metrics - Articles'!F464,"*Services Delivery &amp; Support (go-lives and deployments) *")</f>
        <v>0</v>
      </c>
      <c r="F465">
        <f>COUNTIF('Metrics - Articles'!F464,"*Human Resources (SAP HR and employee stories)*")</f>
        <v>0</v>
      </c>
      <c r="G465">
        <f>COUNTIF('Metrics - Articles'!F464,"*P&amp;I (Research &amp; Development)*")</f>
        <v>0</v>
      </c>
      <c r="H465">
        <f>COUNTIF('Metrics - Articles'!F464,"*Business Network (Concur, Ariba, Fieldglass)*")</f>
        <v>0</v>
      </c>
      <c r="I465">
        <f>COUNTIF('Metrics - Articles'!F464,"*GCO – Regions*")</f>
        <v>0</v>
      </c>
      <c r="J465">
        <f>COUNTIF('Metrics - Articles'!F464,"*GCO – Platform Solutions*")</f>
        <v>0</v>
      </c>
      <c r="K465">
        <f>COUNTIF('Metrics - Articles'!F464,"*GCO – Industry Cloud *")</f>
        <v>0</v>
      </c>
      <c r="L465">
        <f>COUNTIF('Metrics - Articles'!F464,"*GCO – Customer Engagement &amp; Commerce (CRM &amp; hybris) *")</f>
        <v>0</v>
      </c>
      <c r="M465">
        <f>COUNTIF('Metrics - Articles'!F464,"*GCO – HR (SuccessFactors)*")</f>
        <v>0</v>
      </c>
      <c r="N465">
        <f>COUNTIF('Metrics - Articles'!F464,"*GCO – Services Sales*")</f>
        <v>0</v>
      </c>
      <c r="O465">
        <f>COUNTIF('Metrics - Articles'!F464,"*GCO – Other*")</f>
        <v>0</v>
      </c>
      <c r="P465">
        <f>COUNTIF('Metrics - Articles'!F464,"*Corporate*")</f>
        <v>0</v>
      </c>
      <c r="R465" s="53">
        <f t="shared" si="9"/>
        <v>0</v>
      </c>
    </row>
    <row r="466" spans="2:18" x14ac:dyDescent="0.25">
      <c r="B466" s="48">
        <f>+'Metrics - Articles'!C465</f>
        <v>0</v>
      </c>
      <c r="C466">
        <f>COUNTIF('Metrics - Articles'!F465,"*GPO (Partner, Ecosystem, Channels)*")</f>
        <v>0</v>
      </c>
      <c r="D466">
        <f>COUNTIF('Metrics - Articles'!F465,"*Office of the CEO*")</f>
        <v>0</v>
      </c>
      <c r="E466">
        <f>COUNTIF('Metrics - Articles'!F465,"*Services Delivery &amp; Support (go-lives and deployments) *")</f>
        <v>0</v>
      </c>
      <c r="F466">
        <f>COUNTIF('Metrics - Articles'!F465,"*Human Resources (SAP HR and employee stories)*")</f>
        <v>0</v>
      </c>
      <c r="G466">
        <f>COUNTIF('Metrics - Articles'!F465,"*P&amp;I (Research &amp; Development)*")</f>
        <v>0</v>
      </c>
      <c r="H466">
        <f>COUNTIF('Metrics - Articles'!F465,"*Business Network (Concur, Ariba, Fieldglass)*")</f>
        <v>0</v>
      </c>
      <c r="I466">
        <f>COUNTIF('Metrics - Articles'!F465,"*GCO – Regions*")</f>
        <v>0</v>
      </c>
      <c r="J466">
        <f>COUNTIF('Metrics - Articles'!F465,"*GCO – Platform Solutions*")</f>
        <v>0</v>
      </c>
      <c r="K466">
        <f>COUNTIF('Metrics - Articles'!F465,"*GCO – Industry Cloud *")</f>
        <v>0</v>
      </c>
      <c r="L466">
        <f>COUNTIF('Metrics - Articles'!F465,"*GCO – Customer Engagement &amp; Commerce (CRM &amp; hybris) *")</f>
        <v>0</v>
      </c>
      <c r="M466">
        <f>COUNTIF('Metrics - Articles'!F465,"*GCO – HR (SuccessFactors)*")</f>
        <v>0</v>
      </c>
      <c r="N466">
        <f>COUNTIF('Metrics - Articles'!F465,"*GCO – Services Sales*")</f>
        <v>0</v>
      </c>
      <c r="O466">
        <f>COUNTIF('Metrics - Articles'!F465,"*GCO – Other*")</f>
        <v>0</v>
      </c>
      <c r="P466">
        <f>COUNTIF('Metrics - Articles'!F465,"*Corporate*")</f>
        <v>0</v>
      </c>
      <c r="R466" s="53">
        <f t="shared" si="9"/>
        <v>0</v>
      </c>
    </row>
    <row r="467" spans="2:18" x14ac:dyDescent="0.25">
      <c r="B467" s="48">
        <f>+'Metrics - Articles'!C466</f>
        <v>0</v>
      </c>
      <c r="C467">
        <f>COUNTIF('Metrics - Articles'!F466,"*GPO (Partner, Ecosystem, Channels)*")</f>
        <v>0</v>
      </c>
      <c r="D467">
        <f>COUNTIF('Metrics - Articles'!F466,"*Office of the CEO*")</f>
        <v>0</v>
      </c>
      <c r="E467">
        <f>COUNTIF('Metrics - Articles'!F466,"*Services Delivery &amp; Support (go-lives and deployments) *")</f>
        <v>0</v>
      </c>
      <c r="F467">
        <f>COUNTIF('Metrics - Articles'!F466,"*Human Resources (SAP HR and employee stories)*")</f>
        <v>0</v>
      </c>
      <c r="G467">
        <f>COUNTIF('Metrics - Articles'!F466,"*P&amp;I (Research &amp; Development)*")</f>
        <v>0</v>
      </c>
      <c r="H467">
        <f>COUNTIF('Metrics - Articles'!F466,"*Business Network (Concur, Ariba, Fieldglass)*")</f>
        <v>0</v>
      </c>
      <c r="I467">
        <f>COUNTIF('Metrics - Articles'!F466,"*GCO – Regions*")</f>
        <v>0</v>
      </c>
      <c r="J467">
        <f>COUNTIF('Metrics - Articles'!F466,"*GCO – Platform Solutions*")</f>
        <v>0</v>
      </c>
      <c r="K467">
        <f>COUNTIF('Metrics - Articles'!F466,"*GCO – Industry Cloud *")</f>
        <v>0</v>
      </c>
      <c r="L467">
        <f>COUNTIF('Metrics - Articles'!F466,"*GCO – Customer Engagement &amp; Commerce (CRM &amp; hybris) *")</f>
        <v>0</v>
      </c>
      <c r="M467">
        <f>COUNTIF('Metrics - Articles'!F466,"*GCO – HR (SuccessFactors)*")</f>
        <v>0</v>
      </c>
      <c r="N467">
        <f>COUNTIF('Metrics - Articles'!F466,"*GCO – Services Sales*")</f>
        <v>0</v>
      </c>
      <c r="O467">
        <f>COUNTIF('Metrics - Articles'!F466,"*GCO – Other*")</f>
        <v>0</v>
      </c>
      <c r="P467">
        <f>COUNTIF('Metrics - Articles'!F466,"*Corporate*")</f>
        <v>0</v>
      </c>
      <c r="R467" s="53">
        <f t="shared" si="9"/>
        <v>0</v>
      </c>
    </row>
    <row r="468" spans="2:18" x14ac:dyDescent="0.25">
      <c r="B468" s="48">
        <f>+'Metrics - Articles'!C467</f>
        <v>0</v>
      </c>
      <c r="C468">
        <f>COUNTIF('Metrics - Articles'!F467,"*GPO (Partner, Ecosystem, Channels)*")</f>
        <v>0</v>
      </c>
      <c r="D468">
        <f>COUNTIF('Metrics - Articles'!F467,"*Office of the CEO*")</f>
        <v>0</v>
      </c>
      <c r="E468">
        <f>COUNTIF('Metrics - Articles'!F467,"*Services Delivery &amp; Support (go-lives and deployments) *")</f>
        <v>0</v>
      </c>
      <c r="F468">
        <f>COUNTIF('Metrics - Articles'!F467,"*Human Resources (SAP HR and employee stories)*")</f>
        <v>0</v>
      </c>
      <c r="G468">
        <f>COUNTIF('Metrics - Articles'!F467,"*P&amp;I (Research &amp; Development)*")</f>
        <v>0</v>
      </c>
      <c r="H468">
        <f>COUNTIF('Metrics - Articles'!F467,"*Business Network (Concur, Ariba, Fieldglass)*")</f>
        <v>0</v>
      </c>
      <c r="I468">
        <f>COUNTIF('Metrics - Articles'!F467,"*GCO – Regions*")</f>
        <v>0</v>
      </c>
      <c r="J468">
        <f>COUNTIF('Metrics - Articles'!F467,"*GCO – Platform Solutions*")</f>
        <v>0</v>
      </c>
      <c r="K468">
        <f>COUNTIF('Metrics - Articles'!F467,"*GCO – Industry Cloud *")</f>
        <v>0</v>
      </c>
      <c r="L468">
        <f>COUNTIF('Metrics - Articles'!F467,"*GCO – Customer Engagement &amp; Commerce (CRM &amp; hybris) *")</f>
        <v>0</v>
      </c>
      <c r="M468">
        <f>COUNTIF('Metrics - Articles'!F467,"*GCO – HR (SuccessFactors)*")</f>
        <v>0</v>
      </c>
      <c r="N468">
        <f>COUNTIF('Metrics - Articles'!F467,"*GCO – Services Sales*")</f>
        <v>0</v>
      </c>
      <c r="O468">
        <f>COUNTIF('Metrics - Articles'!F467,"*GCO – Other*")</f>
        <v>0</v>
      </c>
      <c r="P468">
        <f>COUNTIF('Metrics - Articles'!F467,"*Corporate*")</f>
        <v>0</v>
      </c>
      <c r="R468" s="53">
        <f t="shared" si="9"/>
        <v>0</v>
      </c>
    </row>
    <row r="469" spans="2:18" x14ac:dyDescent="0.25">
      <c r="B469" s="48">
        <f>+'Metrics - Articles'!C468</f>
        <v>0</v>
      </c>
      <c r="C469">
        <f>COUNTIF('Metrics - Articles'!F468,"*GPO (Partner, Ecosystem, Channels)*")</f>
        <v>0</v>
      </c>
      <c r="D469">
        <f>COUNTIF('Metrics - Articles'!F468,"*Office of the CEO*")</f>
        <v>0</v>
      </c>
      <c r="E469">
        <f>COUNTIF('Metrics - Articles'!F468,"*Services Delivery &amp; Support (go-lives and deployments) *")</f>
        <v>0</v>
      </c>
      <c r="F469">
        <f>COUNTIF('Metrics - Articles'!F468,"*Human Resources (SAP HR and employee stories)*")</f>
        <v>0</v>
      </c>
      <c r="G469">
        <f>COUNTIF('Metrics - Articles'!F468,"*P&amp;I (Research &amp; Development)*")</f>
        <v>0</v>
      </c>
      <c r="H469">
        <f>COUNTIF('Metrics - Articles'!F468,"*Business Network (Concur, Ariba, Fieldglass)*")</f>
        <v>0</v>
      </c>
      <c r="I469">
        <f>COUNTIF('Metrics - Articles'!F468,"*GCO – Regions*")</f>
        <v>0</v>
      </c>
      <c r="J469">
        <f>COUNTIF('Metrics - Articles'!F468,"*GCO – Platform Solutions*")</f>
        <v>0</v>
      </c>
      <c r="K469">
        <f>COUNTIF('Metrics - Articles'!F468,"*GCO – Industry Cloud *")</f>
        <v>0</v>
      </c>
      <c r="L469">
        <f>COUNTIF('Metrics - Articles'!F468,"*GCO – Customer Engagement &amp; Commerce (CRM &amp; hybris) *")</f>
        <v>0</v>
      </c>
      <c r="M469">
        <f>COUNTIF('Metrics - Articles'!F468,"*GCO – HR (SuccessFactors)*")</f>
        <v>0</v>
      </c>
      <c r="N469">
        <f>COUNTIF('Metrics - Articles'!F468,"*GCO – Services Sales*")</f>
        <v>0</v>
      </c>
      <c r="O469">
        <f>COUNTIF('Metrics - Articles'!F468,"*GCO – Other*")</f>
        <v>0</v>
      </c>
      <c r="P469">
        <f>COUNTIF('Metrics - Articles'!F468,"*Corporate*")</f>
        <v>0</v>
      </c>
      <c r="R469" s="53">
        <f t="shared" si="9"/>
        <v>0</v>
      </c>
    </row>
    <row r="470" spans="2:18" x14ac:dyDescent="0.25">
      <c r="B470" s="48">
        <f>+'Metrics - Articles'!C469</f>
        <v>0</v>
      </c>
      <c r="C470">
        <f>COUNTIF('Metrics - Articles'!F469,"*GPO (Partner, Ecosystem, Channels)*")</f>
        <v>0</v>
      </c>
      <c r="D470">
        <f>COUNTIF('Metrics - Articles'!F469,"*Office of the CEO*")</f>
        <v>0</v>
      </c>
      <c r="E470">
        <f>COUNTIF('Metrics - Articles'!F469,"*Services Delivery &amp; Support (go-lives and deployments) *")</f>
        <v>0</v>
      </c>
      <c r="F470">
        <f>COUNTIF('Metrics - Articles'!F469,"*Human Resources (SAP HR and employee stories)*")</f>
        <v>0</v>
      </c>
      <c r="G470">
        <f>COUNTIF('Metrics - Articles'!F469,"*P&amp;I (Research &amp; Development)*")</f>
        <v>0</v>
      </c>
      <c r="H470">
        <f>COUNTIF('Metrics - Articles'!F469,"*Business Network (Concur, Ariba, Fieldglass)*")</f>
        <v>0</v>
      </c>
      <c r="I470">
        <f>COUNTIF('Metrics - Articles'!F469,"*GCO – Regions*")</f>
        <v>0</v>
      </c>
      <c r="J470">
        <f>COUNTIF('Metrics - Articles'!F469,"*GCO – Platform Solutions*")</f>
        <v>0</v>
      </c>
      <c r="K470">
        <f>COUNTIF('Metrics - Articles'!F469,"*GCO – Industry Cloud *")</f>
        <v>0</v>
      </c>
      <c r="L470">
        <f>COUNTIF('Metrics - Articles'!F469,"*GCO – Customer Engagement &amp; Commerce (CRM &amp; hybris) *")</f>
        <v>0</v>
      </c>
      <c r="M470">
        <f>COUNTIF('Metrics - Articles'!F469,"*GCO – HR (SuccessFactors)*")</f>
        <v>0</v>
      </c>
      <c r="N470">
        <f>COUNTIF('Metrics - Articles'!F469,"*GCO – Services Sales*")</f>
        <v>0</v>
      </c>
      <c r="O470">
        <f>COUNTIF('Metrics - Articles'!F469,"*GCO – Other*")</f>
        <v>0</v>
      </c>
      <c r="P470">
        <f>COUNTIF('Metrics - Articles'!F469,"*Corporate*")</f>
        <v>0</v>
      </c>
      <c r="R470" s="53">
        <f t="shared" si="9"/>
        <v>0</v>
      </c>
    </row>
    <row r="471" spans="2:18" x14ac:dyDescent="0.25">
      <c r="B471" s="48">
        <f>+'Metrics - Articles'!C470</f>
        <v>0</v>
      </c>
      <c r="C471">
        <f>COUNTIF('Metrics - Articles'!F470,"*GPO (Partner, Ecosystem, Channels)*")</f>
        <v>0</v>
      </c>
      <c r="D471">
        <f>COUNTIF('Metrics - Articles'!F470,"*Office of the CEO*")</f>
        <v>0</v>
      </c>
      <c r="E471">
        <f>COUNTIF('Metrics - Articles'!F470,"*Services Delivery &amp; Support (go-lives and deployments) *")</f>
        <v>0</v>
      </c>
      <c r="F471">
        <f>COUNTIF('Metrics - Articles'!F470,"*Human Resources (SAP HR and employee stories)*")</f>
        <v>0</v>
      </c>
      <c r="G471">
        <f>COUNTIF('Metrics - Articles'!F470,"*P&amp;I (Research &amp; Development)*")</f>
        <v>0</v>
      </c>
      <c r="H471">
        <f>COUNTIF('Metrics - Articles'!F470,"*Business Network (Concur, Ariba, Fieldglass)*")</f>
        <v>0</v>
      </c>
      <c r="I471">
        <f>COUNTIF('Metrics - Articles'!F470,"*GCO – Regions*")</f>
        <v>0</v>
      </c>
      <c r="J471">
        <f>COUNTIF('Metrics - Articles'!F470,"*GCO – Platform Solutions*")</f>
        <v>0</v>
      </c>
      <c r="K471">
        <f>COUNTIF('Metrics - Articles'!F470,"*GCO – Industry Cloud *")</f>
        <v>0</v>
      </c>
      <c r="L471">
        <f>COUNTIF('Metrics - Articles'!F470,"*GCO – Customer Engagement &amp; Commerce (CRM &amp; hybris) *")</f>
        <v>0</v>
      </c>
      <c r="M471">
        <f>COUNTIF('Metrics - Articles'!F470,"*GCO – HR (SuccessFactors)*")</f>
        <v>0</v>
      </c>
      <c r="N471">
        <f>COUNTIF('Metrics - Articles'!F470,"*GCO – Services Sales*")</f>
        <v>0</v>
      </c>
      <c r="O471">
        <f>COUNTIF('Metrics - Articles'!F470,"*GCO – Other*")</f>
        <v>0</v>
      </c>
      <c r="P471">
        <f>COUNTIF('Metrics - Articles'!F470,"*Corporate*")</f>
        <v>0</v>
      </c>
      <c r="R471" s="53">
        <f t="shared" si="9"/>
        <v>0</v>
      </c>
    </row>
    <row r="472" spans="2:18" x14ac:dyDescent="0.25">
      <c r="B472" s="48">
        <f>+'Metrics - Articles'!C471</f>
        <v>0</v>
      </c>
      <c r="C472">
        <f>COUNTIF('Metrics - Articles'!F471,"*GPO (Partner, Ecosystem, Channels)*")</f>
        <v>0</v>
      </c>
      <c r="D472">
        <f>COUNTIF('Metrics - Articles'!F471,"*Office of the CEO*")</f>
        <v>0</v>
      </c>
      <c r="E472">
        <f>COUNTIF('Metrics - Articles'!F471,"*Services Delivery &amp; Support (go-lives and deployments) *")</f>
        <v>0</v>
      </c>
      <c r="F472">
        <f>COUNTIF('Metrics - Articles'!F471,"*Human Resources (SAP HR and employee stories)*")</f>
        <v>0</v>
      </c>
      <c r="G472">
        <f>COUNTIF('Metrics - Articles'!F471,"*P&amp;I (Research &amp; Development)*")</f>
        <v>0</v>
      </c>
      <c r="H472">
        <f>COUNTIF('Metrics - Articles'!F471,"*Business Network (Concur, Ariba, Fieldglass)*")</f>
        <v>0</v>
      </c>
      <c r="I472">
        <f>COUNTIF('Metrics - Articles'!F471,"*GCO – Regions*")</f>
        <v>0</v>
      </c>
      <c r="J472">
        <f>COUNTIF('Metrics - Articles'!F471,"*GCO – Platform Solutions*")</f>
        <v>0</v>
      </c>
      <c r="K472">
        <f>COUNTIF('Metrics - Articles'!F471,"*GCO – Industry Cloud *")</f>
        <v>0</v>
      </c>
      <c r="L472">
        <f>COUNTIF('Metrics - Articles'!F471,"*GCO – Customer Engagement &amp; Commerce (CRM &amp; hybris) *")</f>
        <v>0</v>
      </c>
      <c r="M472">
        <f>COUNTIF('Metrics - Articles'!F471,"*GCO – HR (SuccessFactors)*")</f>
        <v>0</v>
      </c>
      <c r="N472">
        <f>COUNTIF('Metrics - Articles'!F471,"*GCO – Services Sales*")</f>
        <v>0</v>
      </c>
      <c r="O472">
        <f>COUNTIF('Metrics - Articles'!F471,"*GCO – Other*")</f>
        <v>0</v>
      </c>
      <c r="P472">
        <f>COUNTIF('Metrics - Articles'!F471,"*Corporate*")</f>
        <v>0</v>
      </c>
      <c r="R472" s="53">
        <f t="shared" si="9"/>
        <v>0</v>
      </c>
    </row>
    <row r="473" spans="2:18" x14ac:dyDescent="0.25">
      <c r="B473" s="48">
        <f>+'Metrics - Articles'!C472</f>
        <v>0</v>
      </c>
      <c r="C473">
        <f>COUNTIF('Metrics - Articles'!F472,"*GPO (Partner, Ecosystem, Channels)*")</f>
        <v>0</v>
      </c>
      <c r="D473">
        <f>COUNTIF('Metrics - Articles'!F472,"*Office of the CEO*")</f>
        <v>0</v>
      </c>
      <c r="E473">
        <f>COUNTIF('Metrics - Articles'!F472,"*Services Delivery &amp; Support (go-lives and deployments) *")</f>
        <v>0</v>
      </c>
      <c r="F473">
        <f>COUNTIF('Metrics - Articles'!F472,"*Human Resources (SAP HR and employee stories)*")</f>
        <v>0</v>
      </c>
      <c r="G473">
        <f>COUNTIF('Metrics - Articles'!F472,"*P&amp;I (Research &amp; Development)*")</f>
        <v>0</v>
      </c>
      <c r="H473">
        <f>COUNTIF('Metrics - Articles'!F472,"*Business Network (Concur, Ariba, Fieldglass)*")</f>
        <v>0</v>
      </c>
      <c r="I473">
        <f>COUNTIF('Metrics - Articles'!F472,"*GCO – Regions*")</f>
        <v>0</v>
      </c>
      <c r="J473">
        <f>COUNTIF('Metrics - Articles'!F472,"*GCO – Platform Solutions*")</f>
        <v>0</v>
      </c>
      <c r="K473">
        <f>COUNTIF('Metrics - Articles'!F472,"*GCO – Industry Cloud *")</f>
        <v>0</v>
      </c>
      <c r="L473">
        <f>COUNTIF('Metrics - Articles'!F472,"*GCO – Customer Engagement &amp; Commerce (CRM &amp; hybris) *")</f>
        <v>0</v>
      </c>
      <c r="M473">
        <f>COUNTIF('Metrics - Articles'!F472,"*GCO – HR (SuccessFactors)*")</f>
        <v>0</v>
      </c>
      <c r="N473">
        <f>COUNTIF('Metrics - Articles'!F472,"*GCO – Services Sales*")</f>
        <v>0</v>
      </c>
      <c r="O473">
        <f>COUNTIF('Metrics - Articles'!F472,"*GCO – Other*")</f>
        <v>0</v>
      </c>
      <c r="P473">
        <f>COUNTIF('Metrics - Articles'!F472,"*Corporate*")</f>
        <v>0</v>
      </c>
      <c r="R473" s="53">
        <f t="shared" si="9"/>
        <v>0</v>
      </c>
    </row>
    <row r="474" spans="2:18" x14ac:dyDescent="0.25">
      <c r="B474" s="48">
        <f>+'Metrics - Articles'!C473</f>
        <v>0</v>
      </c>
      <c r="C474">
        <f>COUNTIF('Metrics - Articles'!F473,"*GPO (Partner, Ecosystem, Channels)*")</f>
        <v>0</v>
      </c>
      <c r="D474">
        <f>COUNTIF('Metrics - Articles'!F473,"*Office of the CEO*")</f>
        <v>0</v>
      </c>
      <c r="E474">
        <f>COUNTIF('Metrics - Articles'!F473,"*Services Delivery &amp; Support (go-lives and deployments) *")</f>
        <v>0</v>
      </c>
      <c r="F474">
        <f>COUNTIF('Metrics - Articles'!F473,"*Human Resources (SAP HR and employee stories)*")</f>
        <v>0</v>
      </c>
      <c r="G474">
        <f>COUNTIF('Metrics - Articles'!F473,"*P&amp;I (Research &amp; Development)*")</f>
        <v>0</v>
      </c>
      <c r="H474">
        <f>COUNTIF('Metrics - Articles'!F473,"*Business Network (Concur, Ariba, Fieldglass)*")</f>
        <v>0</v>
      </c>
      <c r="I474">
        <f>COUNTIF('Metrics - Articles'!F473,"*GCO – Regions*")</f>
        <v>0</v>
      </c>
      <c r="J474">
        <f>COUNTIF('Metrics - Articles'!F473,"*GCO – Platform Solutions*")</f>
        <v>0</v>
      </c>
      <c r="K474">
        <f>COUNTIF('Metrics - Articles'!F473,"*GCO – Industry Cloud *")</f>
        <v>0</v>
      </c>
      <c r="L474">
        <f>COUNTIF('Metrics - Articles'!F473,"*GCO – Customer Engagement &amp; Commerce (CRM &amp; hybris) *")</f>
        <v>0</v>
      </c>
      <c r="M474">
        <f>COUNTIF('Metrics - Articles'!F473,"*GCO – HR (SuccessFactors)*")</f>
        <v>0</v>
      </c>
      <c r="N474">
        <f>COUNTIF('Metrics - Articles'!F473,"*GCO – Services Sales*")</f>
        <v>0</v>
      </c>
      <c r="O474">
        <f>COUNTIF('Metrics - Articles'!F473,"*GCO – Other*")</f>
        <v>0</v>
      </c>
      <c r="P474">
        <f>COUNTIF('Metrics - Articles'!F473,"*Corporate*")</f>
        <v>0</v>
      </c>
      <c r="R474" s="53">
        <f t="shared" si="9"/>
        <v>0</v>
      </c>
    </row>
    <row r="475" spans="2:18" x14ac:dyDescent="0.25">
      <c r="B475" s="48">
        <f>+'Metrics - Articles'!C474</f>
        <v>0</v>
      </c>
      <c r="C475">
        <f>COUNTIF('Metrics - Articles'!F474,"*GPO (Partner, Ecosystem, Channels)*")</f>
        <v>0</v>
      </c>
      <c r="D475">
        <f>COUNTIF('Metrics - Articles'!F474,"*Office of the CEO*")</f>
        <v>0</v>
      </c>
      <c r="E475">
        <f>COUNTIF('Metrics - Articles'!F474,"*Services Delivery &amp; Support (go-lives and deployments) *")</f>
        <v>0</v>
      </c>
      <c r="F475">
        <f>COUNTIF('Metrics - Articles'!F474,"*Human Resources (SAP HR and employee stories)*")</f>
        <v>0</v>
      </c>
      <c r="G475">
        <f>COUNTIF('Metrics - Articles'!F474,"*P&amp;I (Research &amp; Development)*")</f>
        <v>0</v>
      </c>
      <c r="H475">
        <f>COUNTIF('Metrics - Articles'!F474,"*Business Network (Concur, Ariba, Fieldglass)*")</f>
        <v>0</v>
      </c>
      <c r="I475">
        <f>COUNTIF('Metrics - Articles'!F474,"*GCO – Regions*")</f>
        <v>0</v>
      </c>
      <c r="J475">
        <f>COUNTIF('Metrics - Articles'!F474,"*GCO – Platform Solutions*")</f>
        <v>0</v>
      </c>
      <c r="K475">
        <f>COUNTIF('Metrics - Articles'!F474,"*GCO – Industry Cloud *")</f>
        <v>0</v>
      </c>
      <c r="L475">
        <f>COUNTIF('Metrics - Articles'!F474,"*GCO – Customer Engagement &amp; Commerce (CRM &amp; hybris) *")</f>
        <v>0</v>
      </c>
      <c r="M475">
        <f>COUNTIF('Metrics - Articles'!F474,"*GCO – HR (SuccessFactors)*")</f>
        <v>0</v>
      </c>
      <c r="N475">
        <f>COUNTIF('Metrics - Articles'!F474,"*GCO – Services Sales*")</f>
        <v>0</v>
      </c>
      <c r="O475">
        <f>COUNTIF('Metrics - Articles'!F474,"*GCO – Other*")</f>
        <v>0</v>
      </c>
      <c r="P475">
        <f>COUNTIF('Metrics - Articles'!F474,"*Corporate*")</f>
        <v>0</v>
      </c>
      <c r="R475" s="53">
        <f t="shared" si="9"/>
        <v>0</v>
      </c>
    </row>
    <row r="476" spans="2:18" x14ac:dyDescent="0.25">
      <c r="B476" s="48">
        <f>+'Metrics - Articles'!C475</f>
        <v>0</v>
      </c>
      <c r="C476">
        <f>COUNTIF('Metrics - Articles'!F475,"*GPO (Partner, Ecosystem, Channels)*")</f>
        <v>0</v>
      </c>
      <c r="D476">
        <f>COUNTIF('Metrics - Articles'!F475,"*Office of the CEO*")</f>
        <v>0</v>
      </c>
      <c r="E476">
        <f>COUNTIF('Metrics - Articles'!F475,"*Services Delivery &amp; Support (go-lives and deployments) *")</f>
        <v>0</v>
      </c>
      <c r="F476">
        <f>COUNTIF('Metrics - Articles'!F475,"*Human Resources (SAP HR and employee stories)*")</f>
        <v>0</v>
      </c>
      <c r="G476">
        <f>COUNTIF('Metrics - Articles'!F475,"*P&amp;I (Research &amp; Development)*")</f>
        <v>0</v>
      </c>
      <c r="H476">
        <f>COUNTIF('Metrics - Articles'!F475,"*Business Network (Concur, Ariba, Fieldglass)*")</f>
        <v>0</v>
      </c>
      <c r="I476">
        <f>COUNTIF('Metrics - Articles'!F475,"*GCO – Regions*")</f>
        <v>0</v>
      </c>
      <c r="J476">
        <f>COUNTIF('Metrics - Articles'!F475,"*GCO – Platform Solutions*")</f>
        <v>0</v>
      </c>
      <c r="K476">
        <f>COUNTIF('Metrics - Articles'!F475,"*GCO – Industry Cloud *")</f>
        <v>0</v>
      </c>
      <c r="L476">
        <f>COUNTIF('Metrics - Articles'!F475,"*GCO – Customer Engagement &amp; Commerce (CRM &amp; hybris) *")</f>
        <v>0</v>
      </c>
      <c r="M476">
        <f>COUNTIF('Metrics - Articles'!F475,"*GCO – HR (SuccessFactors)*")</f>
        <v>0</v>
      </c>
      <c r="N476">
        <f>COUNTIF('Metrics - Articles'!F475,"*GCO – Services Sales*")</f>
        <v>0</v>
      </c>
      <c r="O476">
        <f>COUNTIF('Metrics - Articles'!F475,"*GCO – Other*")</f>
        <v>0</v>
      </c>
      <c r="P476">
        <f>COUNTIF('Metrics - Articles'!F475,"*Corporate*")</f>
        <v>0</v>
      </c>
      <c r="R476" s="53">
        <f t="shared" si="9"/>
        <v>0</v>
      </c>
    </row>
    <row r="477" spans="2:18" x14ac:dyDescent="0.25">
      <c r="B477" s="48">
        <f>+'Metrics - Articles'!C476</f>
        <v>0</v>
      </c>
      <c r="C477">
        <f>COUNTIF('Metrics - Articles'!F476,"*GPO (Partner, Ecosystem, Channels)*")</f>
        <v>0</v>
      </c>
      <c r="D477">
        <f>COUNTIF('Metrics - Articles'!F476,"*Office of the CEO*")</f>
        <v>0</v>
      </c>
      <c r="E477">
        <f>COUNTIF('Metrics - Articles'!F476,"*Services Delivery &amp; Support (go-lives and deployments) *")</f>
        <v>0</v>
      </c>
      <c r="F477">
        <f>COUNTIF('Metrics - Articles'!F476,"*Human Resources (SAP HR and employee stories)*")</f>
        <v>0</v>
      </c>
      <c r="G477">
        <f>COUNTIF('Metrics - Articles'!F476,"*P&amp;I (Research &amp; Development)*")</f>
        <v>0</v>
      </c>
      <c r="H477">
        <f>COUNTIF('Metrics - Articles'!F476,"*Business Network (Concur, Ariba, Fieldglass)*")</f>
        <v>0</v>
      </c>
      <c r="I477">
        <f>COUNTIF('Metrics - Articles'!F476,"*GCO – Regions*")</f>
        <v>0</v>
      </c>
      <c r="J477">
        <f>COUNTIF('Metrics - Articles'!F476,"*GCO – Platform Solutions*")</f>
        <v>0</v>
      </c>
      <c r="K477">
        <f>COUNTIF('Metrics - Articles'!F476,"*GCO – Industry Cloud *")</f>
        <v>0</v>
      </c>
      <c r="L477">
        <f>COUNTIF('Metrics - Articles'!F476,"*GCO – Customer Engagement &amp; Commerce (CRM &amp; hybris) *")</f>
        <v>0</v>
      </c>
      <c r="M477">
        <f>COUNTIF('Metrics - Articles'!F476,"*GCO – HR (SuccessFactors)*")</f>
        <v>0</v>
      </c>
      <c r="N477">
        <f>COUNTIF('Metrics - Articles'!F476,"*GCO – Services Sales*")</f>
        <v>0</v>
      </c>
      <c r="O477">
        <f>COUNTIF('Metrics - Articles'!F476,"*GCO – Other*")</f>
        <v>0</v>
      </c>
      <c r="P477">
        <f>COUNTIF('Metrics - Articles'!F476,"*Corporate*")</f>
        <v>0</v>
      </c>
      <c r="R477" s="53">
        <f t="shared" si="9"/>
        <v>0</v>
      </c>
    </row>
    <row r="478" spans="2:18" x14ac:dyDescent="0.25">
      <c r="B478" s="48">
        <f>+'Metrics - Articles'!C477</f>
        <v>0</v>
      </c>
      <c r="C478">
        <f>COUNTIF('Metrics - Articles'!F477,"*GPO (Partner, Ecosystem, Channels)*")</f>
        <v>0</v>
      </c>
      <c r="D478">
        <f>COUNTIF('Metrics - Articles'!F477,"*Office of the CEO*")</f>
        <v>0</v>
      </c>
      <c r="E478">
        <f>COUNTIF('Metrics - Articles'!F477,"*Services Delivery &amp; Support (go-lives and deployments) *")</f>
        <v>0</v>
      </c>
      <c r="F478">
        <f>COUNTIF('Metrics - Articles'!F477,"*Human Resources (SAP HR and employee stories)*")</f>
        <v>0</v>
      </c>
      <c r="G478">
        <f>COUNTIF('Metrics - Articles'!F477,"*P&amp;I (Research &amp; Development)*")</f>
        <v>0</v>
      </c>
      <c r="H478">
        <f>COUNTIF('Metrics - Articles'!F477,"*Business Network (Concur, Ariba, Fieldglass)*")</f>
        <v>0</v>
      </c>
      <c r="I478">
        <f>COUNTIF('Metrics - Articles'!F477,"*GCO – Regions*")</f>
        <v>0</v>
      </c>
      <c r="J478">
        <f>COUNTIF('Metrics - Articles'!F477,"*GCO – Platform Solutions*")</f>
        <v>0</v>
      </c>
      <c r="K478">
        <f>COUNTIF('Metrics - Articles'!F477,"*GCO – Industry Cloud *")</f>
        <v>0</v>
      </c>
      <c r="L478">
        <f>COUNTIF('Metrics - Articles'!F477,"*GCO – Customer Engagement &amp; Commerce (CRM &amp; hybris) *")</f>
        <v>0</v>
      </c>
      <c r="M478">
        <f>COUNTIF('Metrics - Articles'!F477,"*GCO – HR (SuccessFactors)*")</f>
        <v>0</v>
      </c>
      <c r="N478">
        <f>COUNTIF('Metrics - Articles'!F477,"*GCO – Services Sales*")</f>
        <v>0</v>
      </c>
      <c r="O478">
        <f>COUNTIF('Metrics - Articles'!F477,"*GCO – Other*")</f>
        <v>0</v>
      </c>
      <c r="P478">
        <f>COUNTIF('Metrics - Articles'!F477,"*Corporate*")</f>
        <v>0</v>
      </c>
      <c r="R478" s="53">
        <f t="shared" si="9"/>
        <v>0</v>
      </c>
    </row>
    <row r="479" spans="2:18" x14ac:dyDescent="0.25">
      <c r="B479" s="48">
        <f>+'Metrics - Articles'!C478</f>
        <v>0</v>
      </c>
      <c r="C479">
        <f>COUNTIF('Metrics - Articles'!F478,"*GPO (Partner, Ecosystem, Channels)*")</f>
        <v>0</v>
      </c>
      <c r="D479">
        <f>COUNTIF('Metrics - Articles'!F478,"*Office of the CEO*")</f>
        <v>0</v>
      </c>
      <c r="E479">
        <f>COUNTIF('Metrics - Articles'!F478,"*Services Delivery &amp; Support (go-lives and deployments) *")</f>
        <v>0</v>
      </c>
      <c r="F479">
        <f>COUNTIF('Metrics - Articles'!F478,"*Human Resources (SAP HR and employee stories)*")</f>
        <v>0</v>
      </c>
      <c r="G479">
        <f>COUNTIF('Metrics - Articles'!F478,"*P&amp;I (Research &amp; Development)*")</f>
        <v>0</v>
      </c>
      <c r="H479">
        <f>COUNTIF('Metrics - Articles'!F478,"*Business Network (Concur, Ariba, Fieldglass)*")</f>
        <v>0</v>
      </c>
      <c r="I479">
        <f>COUNTIF('Metrics - Articles'!F478,"*GCO – Regions*")</f>
        <v>0</v>
      </c>
      <c r="J479">
        <f>COUNTIF('Metrics - Articles'!F478,"*GCO – Platform Solutions*")</f>
        <v>0</v>
      </c>
      <c r="K479">
        <f>COUNTIF('Metrics - Articles'!F478,"*GCO – Industry Cloud *")</f>
        <v>0</v>
      </c>
      <c r="L479">
        <f>COUNTIF('Metrics - Articles'!F478,"*GCO – Customer Engagement &amp; Commerce (CRM &amp; hybris) *")</f>
        <v>0</v>
      </c>
      <c r="M479">
        <f>COUNTIF('Metrics - Articles'!F478,"*GCO – HR (SuccessFactors)*")</f>
        <v>0</v>
      </c>
      <c r="N479">
        <f>COUNTIF('Metrics - Articles'!F478,"*GCO – Services Sales*")</f>
        <v>0</v>
      </c>
      <c r="O479">
        <f>COUNTIF('Metrics - Articles'!F478,"*GCO – Other*")</f>
        <v>0</v>
      </c>
      <c r="P479">
        <f>COUNTIF('Metrics - Articles'!F478,"*Corporate*")</f>
        <v>0</v>
      </c>
      <c r="R479" s="53">
        <f t="shared" si="9"/>
        <v>0</v>
      </c>
    </row>
    <row r="480" spans="2:18" x14ac:dyDescent="0.25">
      <c r="B480" s="48">
        <f>+'Metrics - Articles'!C479</f>
        <v>0</v>
      </c>
      <c r="C480">
        <f>COUNTIF('Metrics - Articles'!F479,"*GPO (Partner, Ecosystem, Channels)*")</f>
        <v>0</v>
      </c>
      <c r="D480">
        <f>COUNTIF('Metrics - Articles'!F479,"*Office of the CEO*")</f>
        <v>0</v>
      </c>
      <c r="E480">
        <f>COUNTIF('Metrics - Articles'!F479,"*Services Delivery &amp; Support (go-lives and deployments) *")</f>
        <v>0</v>
      </c>
      <c r="F480">
        <f>COUNTIF('Metrics - Articles'!F479,"*Human Resources (SAP HR and employee stories)*")</f>
        <v>0</v>
      </c>
      <c r="G480">
        <f>COUNTIF('Metrics - Articles'!F479,"*P&amp;I (Research &amp; Development)*")</f>
        <v>0</v>
      </c>
      <c r="H480">
        <f>COUNTIF('Metrics - Articles'!F479,"*Business Network (Concur, Ariba, Fieldglass)*")</f>
        <v>0</v>
      </c>
      <c r="I480">
        <f>COUNTIF('Metrics - Articles'!F479,"*GCO – Regions*")</f>
        <v>0</v>
      </c>
      <c r="J480">
        <f>COUNTIF('Metrics - Articles'!F479,"*GCO – Platform Solutions*")</f>
        <v>0</v>
      </c>
      <c r="K480">
        <f>COUNTIF('Metrics - Articles'!F479,"*GCO – Industry Cloud *")</f>
        <v>0</v>
      </c>
      <c r="L480">
        <f>COUNTIF('Metrics - Articles'!F479,"*GCO – Customer Engagement &amp; Commerce (CRM &amp; hybris) *")</f>
        <v>0</v>
      </c>
      <c r="M480">
        <f>COUNTIF('Metrics - Articles'!F479,"*GCO – HR (SuccessFactors)*")</f>
        <v>0</v>
      </c>
      <c r="N480">
        <f>COUNTIF('Metrics - Articles'!F479,"*GCO – Services Sales*")</f>
        <v>0</v>
      </c>
      <c r="O480">
        <f>COUNTIF('Metrics - Articles'!F479,"*GCO – Other*")</f>
        <v>0</v>
      </c>
      <c r="P480">
        <f>COUNTIF('Metrics - Articles'!F479,"*Corporate*")</f>
        <v>0</v>
      </c>
      <c r="R480" s="53">
        <f t="shared" si="9"/>
        <v>0</v>
      </c>
    </row>
    <row r="481" spans="2:18" x14ac:dyDescent="0.25">
      <c r="B481" s="48">
        <f>+'Metrics - Articles'!C480</f>
        <v>0</v>
      </c>
      <c r="C481">
        <f>COUNTIF('Metrics - Articles'!F480,"*GPO (Partner, Ecosystem, Channels)*")</f>
        <v>0</v>
      </c>
      <c r="D481">
        <f>COUNTIF('Metrics - Articles'!F480,"*Office of the CEO*")</f>
        <v>0</v>
      </c>
      <c r="E481">
        <f>COUNTIF('Metrics - Articles'!F480,"*Services Delivery &amp; Support (go-lives and deployments) *")</f>
        <v>0</v>
      </c>
      <c r="F481">
        <f>COUNTIF('Metrics - Articles'!F480,"*Human Resources (SAP HR and employee stories)*")</f>
        <v>0</v>
      </c>
      <c r="G481">
        <f>COUNTIF('Metrics - Articles'!F480,"*P&amp;I (Research &amp; Development)*")</f>
        <v>0</v>
      </c>
      <c r="H481">
        <f>COUNTIF('Metrics - Articles'!F480,"*Business Network (Concur, Ariba, Fieldglass)*")</f>
        <v>0</v>
      </c>
      <c r="I481">
        <f>COUNTIF('Metrics - Articles'!F480,"*GCO – Regions*")</f>
        <v>0</v>
      </c>
      <c r="J481">
        <f>COUNTIF('Metrics - Articles'!F480,"*GCO – Platform Solutions*")</f>
        <v>0</v>
      </c>
      <c r="K481">
        <f>COUNTIF('Metrics - Articles'!F480,"*GCO – Industry Cloud *")</f>
        <v>0</v>
      </c>
      <c r="L481">
        <f>COUNTIF('Metrics - Articles'!F480,"*GCO – Customer Engagement &amp; Commerce (CRM &amp; hybris) *")</f>
        <v>0</v>
      </c>
      <c r="M481">
        <f>COUNTIF('Metrics - Articles'!F480,"*GCO – HR (SuccessFactors)*")</f>
        <v>0</v>
      </c>
      <c r="N481">
        <f>COUNTIF('Metrics - Articles'!F480,"*GCO – Services Sales*")</f>
        <v>0</v>
      </c>
      <c r="O481">
        <f>COUNTIF('Metrics - Articles'!F480,"*GCO – Other*")</f>
        <v>0</v>
      </c>
      <c r="P481">
        <f>COUNTIF('Metrics - Articles'!F480,"*Corporate*")</f>
        <v>0</v>
      </c>
      <c r="R481" s="53">
        <f t="shared" si="9"/>
        <v>0</v>
      </c>
    </row>
    <row r="482" spans="2:18" x14ac:dyDescent="0.25">
      <c r="B482" s="48">
        <f>+'Metrics - Articles'!C481</f>
        <v>0</v>
      </c>
      <c r="C482">
        <f>COUNTIF('Metrics - Articles'!F481,"*GPO (Partner, Ecosystem, Channels)*")</f>
        <v>0</v>
      </c>
      <c r="D482">
        <f>COUNTIF('Metrics - Articles'!F481,"*Office of the CEO*")</f>
        <v>0</v>
      </c>
      <c r="E482">
        <f>COUNTIF('Metrics - Articles'!F481,"*Services Delivery &amp; Support (go-lives and deployments) *")</f>
        <v>0</v>
      </c>
      <c r="F482">
        <f>COUNTIF('Metrics - Articles'!F481,"*Human Resources (SAP HR and employee stories)*")</f>
        <v>0</v>
      </c>
      <c r="G482">
        <f>COUNTIF('Metrics - Articles'!F481,"*P&amp;I (Research &amp; Development)*")</f>
        <v>0</v>
      </c>
      <c r="H482">
        <f>COUNTIF('Metrics - Articles'!F481,"*Business Network (Concur, Ariba, Fieldglass)*")</f>
        <v>0</v>
      </c>
      <c r="I482">
        <f>COUNTIF('Metrics - Articles'!F481,"*GCO – Regions*")</f>
        <v>0</v>
      </c>
      <c r="J482">
        <f>COUNTIF('Metrics - Articles'!F481,"*GCO – Platform Solutions*")</f>
        <v>0</v>
      </c>
      <c r="K482">
        <f>COUNTIF('Metrics - Articles'!F481,"*GCO – Industry Cloud *")</f>
        <v>0</v>
      </c>
      <c r="L482">
        <f>COUNTIF('Metrics - Articles'!F481,"*GCO – Customer Engagement &amp; Commerce (CRM &amp; hybris) *")</f>
        <v>0</v>
      </c>
      <c r="M482">
        <f>COUNTIF('Metrics - Articles'!F481,"*GCO – HR (SuccessFactors)*")</f>
        <v>0</v>
      </c>
      <c r="N482">
        <f>COUNTIF('Metrics - Articles'!F481,"*GCO – Services Sales*")</f>
        <v>0</v>
      </c>
      <c r="O482">
        <f>COUNTIF('Metrics - Articles'!F481,"*GCO – Other*")</f>
        <v>0</v>
      </c>
      <c r="P482">
        <f>COUNTIF('Metrics - Articles'!F481,"*Corporate*")</f>
        <v>0</v>
      </c>
      <c r="R482" s="53">
        <f t="shared" si="9"/>
        <v>0</v>
      </c>
    </row>
    <row r="483" spans="2:18" x14ac:dyDescent="0.25">
      <c r="B483" s="48">
        <f>+'Metrics - Articles'!C482</f>
        <v>0</v>
      </c>
      <c r="C483">
        <f>COUNTIF('Metrics - Articles'!F482,"*GPO (Partner, Ecosystem, Channels)*")</f>
        <v>0</v>
      </c>
      <c r="D483">
        <f>COUNTIF('Metrics - Articles'!F482,"*Office of the CEO*")</f>
        <v>0</v>
      </c>
      <c r="E483">
        <f>COUNTIF('Metrics - Articles'!F482,"*Services Delivery &amp; Support (go-lives and deployments) *")</f>
        <v>0</v>
      </c>
      <c r="F483">
        <f>COUNTIF('Metrics - Articles'!F482,"*Human Resources (SAP HR and employee stories)*")</f>
        <v>0</v>
      </c>
      <c r="G483">
        <f>COUNTIF('Metrics - Articles'!F482,"*P&amp;I (Research &amp; Development)*")</f>
        <v>0</v>
      </c>
      <c r="H483">
        <f>COUNTIF('Metrics - Articles'!F482,"*Business Network (Concur, Ariba, Fieldglass)*")</f>
        <v>0</v>
      </c>
      <c r="I483">
        <f>COUNTIF('Metrics - Articles'!F482,"*GCO – Regions*")</f>
        <v>0</v>
      </c>
      <c r="J483">
        <f>COUNTIF('Metrics - Articles'!F482,"*GCO – Platform Solutions*")</f>
        <v>0</v>
      </c>
      <c r="K483">
        <f>COUNTIF('Metrics - Articles'!F482,"*GCO – Industry Cloud *")</f>
        <v>0</v>
      </c>
      <c r="L483">
        <f>COUNTIF('Metrics - Articles'!F482,"*GCO – Customer Engagement &amp; Commerce (CRM &amp; hybris) *")</f>
        <v>0</v>
      </c>
      <c r="M483">
        <f>COUNTIF('Metrics - Articles'!F482,"*GCO – HR (SuccessFactors)*")</f>
        <v>0</v>
      </c>
      <c r="N483">
        <f>COUNTIF('Metrics - Articles'!F482,"*GCO – Services Sales*")</f>
        <v>0</v>
      </c>
      <c r="O483">
        <f>COUNTIF('Metrics - Articles'!F482,"*GCO – Other*")</f>
        <v>0</v>
      </c>
      <c r="P483">
        <f>COUNTIF('Metrics - Articles'!F482,"*Corporate*")</f>
        <v>0</v>
      </c>
      <c r="R483" s="53">
        <f t="shared" si="9"/>
        <v>0</v>
      </c>
    </row>
    <row r="484" spans="2:18" x14ac:dyDescent="0.25">
      <c r="B484" s="48">
        <f>+'Metrics - Articles'!C483</f>
        <v>0</v>
      </c>
      <c r="C484">
        <f>COUNTIF('Metrics - Articles'!F483,"*GPO (Partner, Ecosystem, Channels)*")</f>
        <v>0</v>
      </c>
      <c r="D484">
        <f>COUNTIF('Metrics - Articles'!F483,"*Office of the CEO*")</f>
        <v>0</v>
      </c>
      <c r="E484">
        <f>COUNTIF('Metrics - Articles'!F483,"*Services Delivery &amp; Support (go-lives and deployments) *")</f>
        <v>0</v>
      </c>
      <c r="F484">
        <f>COUNTIF('Metrics - Articles'!F483,"*Human Resources (SAP HR and employee stories)*")</f>
        <v>0</v>
      </c>
      <c r="G484">
        <f>COUNTIF('Metrics - Articles'!F483,"*P&amp;I (Research &amp; Development)*")</f>
        <v>0</v>
      </c>
      <c r="H484">
        <f>COUNTIF('Metrics - Articles'!F483,"*Business Network (Concur, Ariba, Fieldglass)*")</f>
        <v>0</v>
      </c>
      <c r="I484">
        <f>COUNTIF('Metrics - Articles'!F483,"*GCO – Regions*")</f>
        <v>0</v>
      </c>
      <c r="J484">
        <f>COUNTIF('Metrics - Articles'!F483,"*GCO – Platform Solutions*")</f>
        <v>0</v>
      </c>
      <c r="K484">
        <f>COUNTIF('Metrics - Articles'!F483,"*GCO – Industry Cloud *")</f>
        <v>0</v>
      </c>
      <c r="L484">
        <f>COUNTIF('Metrics - Articles'!F483,"*GCO – Customer Engagement &amp; Commerce (CRM &amp; hybris) *")</f>
        <v>0</v>
      </c>
      <c r="M484">
        <f>COUNTIF('Metrics - Articles'!F483,"*GCO – HR (SuccessFactors)*")</f>
        <v>0</v>
      </c>
      <c r="N484">
        <f>COUNTIF('Metrics - Articles'!F483,"*GCO – Services Sales*")</f>
        <v>0</v>
      </c>
      <c r="O484">
        <f>COUNTIF('Metrics - Articles'!F483,"*GCO – Other*")</f>
        <v>0</v>
      </c>
      <c r="P484">
        <f>COUNTIF('Metrics - Articles'!F483,"*Corporate*")</f>
        <v>0</v>
      </c>
      <c r="R484" s="53">
        <f t="shared" si="9"/>
        <v>0</v>
      </c>
    </row>
    <row r="485" spans="2:18" x14ac:dyDescent="0.25">
      <c r="B485" s="48">
        <f>+'Metrics - Articles'!C484</f>
        <v>0</v>
      </c>
      <c r="C485">
        <f>COUNTIF('Metrics - Articles'!F484,"*GPO (Partner, Ecosystem, Channels)*")</f>
        <v>0</v>
      </c>
      <c r="D485">
        <f>COUNTIF('Metrics - Articles'!F484,"*Office of the CEO*")</f>
        <v>0</v>
      </c>
      <c r="E485">
        <f>COUNTIF('Metrics - Articles'!F484,"*Services Delivery &amp; Support (go-lives and deployments) *")</f>
        <v>0</v>
      </c>
      <c r="F485">
        <f>COUNTIF('Metrics - Articles'!F484,"*Human Resources (SAP HR and employee stories)*")</f>
        <v>0</v>
      </c>
      <c r="G485">
        <f>COUNTIF('Metrics - Articles'!F484,"*P&amp;I (Research &amp; Development)*")</f>
        <v>0</v>
      </c>
      <c r="H485">
        <f>COUNTIF('Metrics - Articles'!F484,"*Business Network (Concur, Ariba, Fieldglass)*")</f>
        <v>0</v>
      </c>
      <c r="I485">
        <f>COUNTIF('Metrics - Articles'!F484,"*GCO – Regions*")</f>
        <v>0</v>
      </c>
      <c r="J485">
        <f>COUNTIF('Metrics - Articles'!F484,"*GCO – Platform Solutions*")</f>
        <v>0</v>
      </c>
      <c r="K485">
        <f>COUNTIF('Metrics - Articles'!F484,"*GCO – Industry Cloud *")</f>
        <v>0</v>
      </c>
      <c r="L485">
        <f>COUNTIF('Metrics - Articles'!F484,"*GCO – Customer Engagement &amp; Commerce (CRM &amp; hybris) *")</f>
        <v>0</v>
      </c>
      <c r="M485">
        <f>COUNTIF('Metrics - Articles'!F484,"*GCO – HR (SuccessFactors)*")</f>
        <v>0</v>
      </c>
      <c r="N485">
        <f>COUNTIF('Metrics - Articles'!F484,"*GCO – Services Sales*")</f>
        <v>0</v>
      </c>
      <c r="O485">
        <f>COUNTIF('Metrics - Articles'!F484,"*GCO – Other*")</f>
        <v>0</v>
      </c>
      <c r="P485">
        <f>COUNTIF('Metrics - Articles'!F484,"*Corporate*")</f>
        <v>0</v>
      </c>
      <c r="R485" s="53">
        <f t="shared" si="9"/>
        <v>0</v>
      </c>
    </row>
    <row r="486" spans="2:18" x14ac:dyDescent="0.25">
      <c r="B486" s="48">
        <f>+'Metrics - Articles'!C485</f>
        <v>0</v>
      </c>
      <c r="C486">
        <f>COUNTIF('Metrics - Articles'!F485,"*GPO (Partner, Ecosystem, Channels)*")</f>
        <v>0</v>
      </c>
      <c r="D486">
        <f>COUNTIF('Metrics - Articles'!F485,"*Office of the CEO*")</f>
        <v>0</v>
      </c>
      <c r="E486">
        <f>COUNTIF('Metrics - Articles'!F485,"*Services Delivery &amp; Support (go-lives and deployments) *")</f>
        <v>0</v>
      </c>
      <c r="F486">
        <f>COUNTIF('Metrics - Articles'!F485,"*Human Resources (SAP HR and employee stories)*")</f>
        <v>0</v>
      </c>
      <c r="G486">
        <f>COUNTIF('Metrics - Articles'!F485,"*P&amp;I (Research &amp; Development)*")</f>
        <v>0</v>
      </c>
      <c r="H486">
        <f>COUNTIF('Metrics - Articles'!F485,"*Business Network (Concur, Ariba, Fieldglass)*")</f>
        <v>0</v>
      </c>
      <c r="I486">
        <f>COUNTIF('Metrics - Articles'!F485,"*GCO – Regions*")</f>
        <v>0</v>
      </c>
      <c r="J486">
        <f>COUNTIF('Metrics - Articles'!F485,"*GCO – Platform Solutions*")</f>
        <v>0</v>
      </c>
      <c r="K486">
        <f>COUNTIF('Metrics - Articles'!F485,"*GCO – Industry Cloud *")</f>
        <v>0</v>
      </c>
      <c r="L486">
        <f>COUNTIF('Metrics - Articles'!F485,"*GCO – Customer Engagement &amp; Commerce (CRM &amp; hybris) *")</f>
        <v>0</v>
      </c>
      <c r="M486">
        <f>COUNTIF('Metrics - Articles'!F485,"*GCO – HR (SuccessFactors)*")</f>
        <v>0</v>
      </c>
      <c r="N486">
        <f>COUNTIF('Metrics - Articles'!F485,"*GCO – Services Sales*")</f>
        <v>0</v>
      </c>
      <c r="O486">
        <f>COUNTIF('Metrics - Articles'!F485,"*GCO – Other*")</f>
        <v>0</v>
      </c>
      <c r="P486">
        <f>COUNTIF('Metrics - Articles'!F485,"*Corporate*")</f>
        <v>0</v>
      </c>
      <c r="R486" s="53">
        <f t="shared" si="9"/>
        <v>0</v>
      </c>
    </row>
    <row r="487" spans="2:18" x14ac:dyDescent="0.25">
      <c r="B487" s="48">
        <f>+'Metrics - Articles'!C486</f>
        <v>0</v>
      </c>
      <c r="C487">
        <f>COUNTIF('Metrics - Articles'!F486,"*GPO (Partner, Ecosystem, Channels)*")</f>
        <v>0</v>
      </c>
      <c r="D487">
        <f>COUNTIF('Metrics - Articles'!F486,"*Office of the CEO*")</f>
        <v>0</v>
      </c>
      <c r="E487">
        <f>COUNTIF('Metrics - Articles'!F486,"*Services Delivery &amp; Support (go-lives and deployments) *")</f>
        <v>0</v>
      </c>
      <c r="F487">
        <f>COUNTIF('Metrics - Articles'!F486,"*Human Resources (SAP HR and employee stories)*")</f>
        <v>0</v>
      </c>
      <c r="G487">
        <f>COUNTIF('Metrics - Articles'!F486,"*P&amp;I (Research &amp; Development)*")</f>
        <v>0</v>
      </c>
      <c r="H487">
        <f>COUNTIF('Metrics - Articles'!F486,"*Business Network (Concur, Ariba, Fieldglass)*")</f>
        <v>0</v>
      </c>
      <c r="I487">
        <f>COUNTIF('Metrics - Articles'!F486,"*GCO – Regions*")</f>
        <v>0</v>
      </c>
      <c r="J487">
        <f>COUNTIF('Metrics - Articles'!F486,"*GCO – Platform Solutions*")</f>
        <v>0</v>
      </c>
      <c r="K487">
        <f>COUNTIF('Metrics - Articles'!F486,"*GCO – Industry Cloud *")</f>
        <v>0</v>
      </c>
      <c r="L487">
        <f>COUNTIF('Metrics - Articles'!F486,"*GCO – Customer Engagement &amp; Commerce (CRM &amp; hybris) *")</f>
        <v>0</v>
      </c>
      <c r="M487">
        <f>COUNTIF('Metrics - Articles'!F486,"*GCO – HR (SuccessFactors)*")</f>
        <v>0</v>
      </c>
      <c r="N487">
        <f>COUNTIF('Metrics - Articles'!F486,"*GCO – Services Sales*")</f>
        <v>0</v>
      </c>
      <c r="O487">
        <f>COUNTIF('Metrics - Articles'!F486,"*GCO – Other*")</f>
        <v>0</v>
      </c>
      <c r="P487">
        <f>COUNTIF('Metrics - Articles'!F486,"*Corporate*")</f>
        <v>0</v>
      </c>
      <c r="R487" s="53">
        <f t="shared" si="9"/>
        <v>0</v>
      </c>
    </row>
    <row r="488" spans="2:18" x14ac:dyDescent="0.25">
      <c r="B488" s="48">
        <f>+'Metrics - Articles'!C487</f>
        <v>0</v>
      </c>
      <c r="C488">
        <f>COUNTIF('Metrics - Articles'!F487,"*GPO (Partner, Ecosystem, Channels)*")</f>
        <v>0</v>
      </c>
      <c r="D488">
        <f>COUNTIF('Metrics - Articles'!F487,"*Office of the CEO*")</f>
        <v>0</v>
      </c>
      <c r="E488">
        <f>COUNTIF('Metrics - Articles'!F487,"*Services Delivery &amp; Support (go-lives and deployments) *")</f>
        <v>0</v>
      </c>
      <c r="F488">
        <f>COUNTIF('Metrics - Articles'!F487,"*Human Resources (SAP HR and employee stories)*")</f>
        <v>0</v>
      </c>
      <c r="G488">
        <f>COUNTIF('Metrics - Articles'!F487,"*P&amp;I (Research &amp; Development)*")</f>
        <v>0</v>
      </c>
      <c r="H488">
        <f>COUNTIF('Metrics - Articles'!F487,"*Business Network (Concur, Ariba, Fieldglass)*")</f>
        <v>0</v>
      </c>
      <c r="I488">
        <f>COUNTIF('Metrics - Articles'!F487,"*GCO – Regions*")</f>
        <v>0</v>
      </c>
      <c r="J488">
        <f>COUNTIF('Metrics - Articles'!F487,"*GCO – Platform Solutions*")</f>
        <v>0</v>
      </c>
      <c r="K488">
        <f>COUNTIF('Metrics - Articles'!F487,"*GCO – Industry Cloud *")</f>
        <v>0</v>
      </c>
      <c r="L488">
        <f>COUNTIF('Metrics - Articles'!F487,"*GCO – Customer Engagement &amp; Commerce (CRM &amp; hybris) *")</f>
        <v>0</v>
      </c>
      <c r="M488">
        <f>COUNTIF('Metrics - Articles'!F487,"*GCO – HR (SuccessFactors)*")</f>
        <v>0</v>
      </c>
      <c r="N488">
        <f>COUNTIF('Metrics - Articles'!F487,"*GCO – Services Sales*")</f>
        <v>0</v>
      </c>
      <c r="O488">
        <f>COUNTIF('Metrics - Articles'!F487,"*GCO – Other*")</f>
        <v>0</v>
      </c>
      <c r="P488">
        <f>COUNTIF('Metrics - Articles'!F487,"*Corporate*")</f>
        <v>0</v>
      </c>
      <c r="R488" s="53">
        <f t="shared" si="9"/>
        <v>0</v>
      </c>
    </row>
    <row r="489" spans="2:18" x14ac:dyDescent="0.25">
      <c r="B489" s="48">
        <f>+'Metrics - Articles'!C488</f>
        <v>0</v>
      </c>
      <c r="C489">
        <f>COUNTIF('Metrics - Articles'!F488,"*GPO (Partner, Ecosystem, Channels)*")</f>
        <v>0</v>
      </c>
      <c r="D489">
        <f>COUNTIF('Metrics - Articles'!F488,"*Office of the CEO*")</f>
        <v>0</v>
      </c>
      <c r="E489">
        <f>COUNTIF('Metrics - Articles'!F488,"*Services Delivery &amp; Support (go-lives and deployments) *")</f>
        <v>0</v>
      </c>
      <c r="F489">
        <f>COUNTIF('Metrics - Articles'!F488,"*Human Resources (SAP HR and employee stories)*")</f>
        <v>0</v>
      </c>
      <c r="G489">
        <f>COUNTIF('Metrics - Articles'!F488,"*P&amp;I (Research &amp; Development)*")</f>
        <v>0</v>
      </c>
      <c r="H489">
        <f>COUNTIF('Metrics - Articles'!F488,"*Business Network (Concur, Ariba, Fieldglass)*")</f>
        <v>0</v>
      </c>
      <c r="I489">
        <f>COUNTIF('Metrics - Articles'!F488,"*GCO – Regions*")</f>
        <v>0</v>
      </c>
      <c r="J489">
        <f>COUNTIF('Metrics - Articles'!F488,"*GCO – Platform Solutions*")</f>
        <v>0</v>
      </c>
      <c r="K489">
        <f>COUNTIF('Metrics - Articles'!F488,"*GCO – Industry Cloud *")</f>
        <v>0</v>
      </c>
      <c r="L489">
        <f>COUNTIF('Metrics - Articles'!F488,"*GCO – Customer Engagement &amp; Commerce (CRM &amp; hybris) *")</f>
        <v>0</v>
      </c>
      <c r="M489">
        <f>COUNTIF('Metrics - Articles'!F488,"*GCO – HR (SuccessFactors)*")</f>
        <v>0</v>
      </c>
      <c r="N489">
        <f>COUNTIF('Metrics - Articles'!F488,"*GCO – Services Sales*")</f>
        <v>0</v>
      </c>
      <c r="O489">
        <f>COUNTIF('Metrics - Articles'!F488,"*GCO – Other*")</f>
        <v>0</v>
      </c>
      <c r="P489">
        <f>COUNTIF('Metrics - Articles'!F488,"*Corporate*")</f>
        <v>0</v>
      </c>
      <c r="R489" s="53">
        <f t="shared" si="9"/>
        <v>0</v>
      </c>
    </row>
    <row r="490" spans="2:18" x14ac:dyDescent="0.25">
      <c r="B490" s="48">
        <f>+'Metrics - Articles'!C489</f>
        <v>0</v>
      </c>
      <c r="C490">
        <f>COUNTIF('Metrics - Articles'!F489,"*GPO (Partner, Ecosystem, Channels)*")</f>
        <v>0</v>
      </c>
      <c r="D490">
        <f>COUNTIF('Metrics - Articles'!F489,"*Office of the CEO*")</f>
        <v>0</v>
      </c>
      <c r="E490">
        <f>COUNTIF('Metrics - Articles'!F489,"*Services Delivery &amp; Support (go-lives and deployments) *")</f>
        <v>0</v>
      </c>
      <c r="F490">
        <f>COUNTIF('Metrics - Articles'!F489,"*Human Resources (SAP HR and employee stories)*")</f>
        <v>0</v>
      </c>
      <c r="G490">
        <f>COUNTIF('Metrics - Articles'!F489,"*P&amp;I (Research &amp; Development)*")</f>
        <v>0</v>
      </c>
      <c r="H490">
        <f>COUNTIF('Metrics - Articles'!F489,"*Business Network (Concur, Ariba, Fieldglass)*")</f>
        <v>0</v>
      </c>
      <c r="I490">
        <f>COUNTIF('Metrics - Articles'!F489,"*GCO – Regions*")</f>
        <v>0</v>
      </c>
      <c r="J490">
        <f>COUNTIF('Metrics - Articles'!F489,"*GCO – Platform Solutions*")</f>
        <v>0</v>
      </c>
      <c r="K490">
        <f>COUNTIF('Metrics - Articles'!F489,"*GCO – Industry Cloud *")</f>
        <v>0</v>
      </c>
      <c r="L490">
        <f>COUNTIF('Metrics - Articles'!F489,"*GCO – Customer Engagement &amp; Commerce (CRM &amp; hybris) *")</f>
        <v>0</v>
      </c>
      <c r="M490">
        <f>COUNTIF('Metrics - Articles'!F489,"*GCO – HR (SuccessFactors)*")</f>
        <v>0</v>
      </c>
      <c r="N490">
        <f>COUNTIF('Metrics - Articles'!F489,"*GCO – Services Sales*")</f>
        <v>0</v>
      </c>
      <c r="O490">
        <f>COUNTIF('Metrics - Articles'!F489,"*GCO – Other*")</f>
        <v>0</v>
      </c>
      <c r="P490">
        <f>COUNTIF('Metrics - Articles'!F489,"*Corporate*")</f>
        <v>0</v>
      </c>
      <c r="R490" s="53">
        <f t="shared" si="9"/>
        <v>0</v>
      </c>
    </row>
    <row r="491" spans="2:18" x14ac:dyDescent="0.25">
      <c r="B491" s="48">
        <f>+'Metrics - Articles'!C490</f>
        <v>0</v>
      </c>
      <c r="C491">
        <f>COUNTIF('Metrics - Articles'!F490,"*GPO (Partner, Ecosystem, Channels)*")</f>
        <v>0</v>
      </c>
      <c r="D491">
        <f>COUNTIF('Metrics - Articles'!F490,"*Office of the CEO*")</f>
        <v>0</v>
      </c>
      <c r="E491">
        <f>COUNTIF('Metrics - Articles'!F490,"*Services Delivery &amp; Support (go-lives and deployments) *")</f>
        <v>0</v>
      </c>
      <c r="F491">
        <f>COUNTIF('Metrics - Articles'!F490,"*Human Resources (SAP HR and employee stories)*")</f>
        <v>0</v>
      </c>
      <c r="G491">
        <f>COUNTIF('Metrics - Articles'!F490,"*P&amp;I (Research &amp; Development)*")</f>
        <v>0</v>
      </c>
      <c r="H491">
        <f>COUNTIF('Metrics - Articles'!F490,"*Business Network (Concur, Ariba, Fieldglass)*")</f>
        <v>0</v>
      </c>
      <c r="I491">
        <f>COUNTIF('Metrics - Articles'!F490,"*GCO – Regions*")</f>
        <v>0</v>
      </c>
      <c r="J491">
        <f>COUNTIF('Metrics - Articles'!F490,"*GCO – Platform Solutions*")</f>
        <v>0</v>
      </c>
      <c r="K491">
        <f>COUNTIF('Metrics - Articles'!F490,"*GCO – Industry Cloud *")</f>
        <v>0</v>
      </c>
      <c r="L491">
        <f>COUNTIF('Metrics - Articles'!F490,"*GCO – Customer Engagement &amp; Commerce (CRM &amp; hybris) *")</f>
        <v>0</v>
      </c>
      <c r="M491">
        <f>COUNTIF('Metrics - Articles'!F490,"*GCO – HR (SuccessFactors)*")</f>
        <v>0</v>
      </c>
      <c r="N491">
        <f>COUNTIF('Metrics - Articles'!F490,"*GCO – Services Sales*")</f>
        <v>0</v>
      </c>
      <c r="O491">
        <f>COUNTIF('Metrics - Articles'!F490,"*GCO – Other*")</f>
        <v>0</v>
      </c>
      <c r="P491">
        <f>COUNTIF('Metrics - Articles'!F490,"*Corporate*")</f>
        <v>0</v>
      </c>
      <c r="R491" s="53">
        <f t="shared" si="9"/>
        <v>0</v>
      </c>
    </row>
    <row r="492" spans="2:18" x14ac:dyDescent="0.25">
      <c r="B492" s="48">
        <f>+'Metrics - Articles'!C491</f>
        <v>0</v>
      </c>
      <c r="C492">
        <f>COUNTIF('Metrics - Articles'!F491,"*GPO (Partner, Ecosystem, Channels)*")</f>
        <v>0</v>
      </c>
      <c r="D492">
        <f>COUNTIF('Metrics - Articles'!F491,"*Office of the CEO*")</f>
        <v>0</v>
      </c>
      <c r="E492">
        <f>COUNTIF('Metrics - Articles'!F491,"*Services Delivery &amp; Support (go-lives and deployments) *")</f>
        <v>0</v>
      </c>
      <c r="F492">
        <f>COUNTIF('Metrics - Articles'!F491,"*Human Resources (SAP HR and employee stories)*")</f>
        <v>0</v>
      </c>
      <c r="G492">
        <f>COUNTIF('Metrics - Articles'!F491,"*P&amp;I (Research &amp; Development)*")</f>
        <v>0</v>
      </c>
      <c r="H492">
        <f>COUNTIF('Metrics - Articles'!F491,"*Business Network (Concur, Ariba, Fieldglass)*")</f>
        <v>0</v>
      </c>
      <c r="I492">
        <f>COUNTIF('Metrics - Articles'!F491,"*GCO – Regions*")</f>
        <v>0</v>
      </c>
      <c r="J492">
        <f>COUNTIF('Metrics - Articles'!F491,"*GCO – Platform Solutions*")</f>
        <v>0</v>
      </c>
      <c r="K492">
        <f>COUNTIF('Metrics - Articles'!F491,"*GCO – Industry Cloud *")</f>
        <v>0</v>
      </c>
      <c r="L492">
        <f>COUNTIF('Metrics - Articles'!F491,"*GCO – Customer Engagement &amp; Commerce (CRM &amp; hybris) *")</f>
        <v>0</v>
      </c>
      <c r="M492">
        <f>COUNTIF('Metrics - Articles'!F491,"*GCO – HR (SuccessFactors)*")</f>
        <v>0</v>
      </c>
      <c r="N492">
        <f>COUNTIF('Metrics - Articles'!F491,"*GCO – Services Sales*")</f>
        <v>0</v>
      </c>
      <c r="O492">
        <f>COUNTIF('Metrics - Articles'!F491,"*GCO – Other*")</f>
        <v>0</v>
      </c>
      <c r="P492">
        <f>COUNTIF('Metrics - Articles'!F491,"*Corporate*")</f>
        <v>0</v>
      </c>
      <c r="R492" s="53">
        <f t="shared" si="9"/>
        <v>0</v>
      </c>
    </row>
    <row r="493" spans="2:18" x14ac:dyDescent="0.25">
      <c r="B493" s="48">
        <f>+'Metrics - Articles'!C492</f>
        <v>0</v>
      </c>
      <c r="C493">
        <f>COUNTIF('Metrics - Articles'!F492,"*GPO (Partner, Ecosystem, Channels)*")</f>
        <v>0</v>
      </c>
      <c r="D493">
        <f>COUNTIF('Metrics - Articles'!F492,"*Office of the CEO*")</f>
        <v>0</v>
      </c>
      <c r="E493">
        <f>COUNTIF('Metrics - Articles'!F492,"*Services Delivery &amp; Support (go-lives and deployments) *")</f>
        <v>0</v>
      </c>
      <c r="F493">
        <f>COUNTIF('Metrics - Articles'!F492,"*Human Resources (SAP HR and employee stories)*")</f>
        <v>0</v>
      </c>
      <c r="G493">
        <f>COUNTIF('Metrics - Articles'!F492,"*P&amp;I (Research &amp; Development)*")</f>
        <v>0</v>
      </c>
      <c r="H493">
        <f>COUNTIF('Metrics - Articles'!F492,"*Business Network (Concur, Ariba, Fieldglass)*")</f>
        <v>0</v>
      </c>
      <c r="I493">
        <f>COUNTIF('Metrics - Articles'!F492,"*GCO – Regions*")</f>
        <v>0</v>
      </c>
      <c r="J493">
        <f>COUNTIF('Metrics - Articles'!F492,"*GCO – Platform Solutions*")</f>
        <v>0</v>
      </c>
      <c r="K493">
        <f>COUNTIF('Metrics - Articles'!F492,"*GCO – Industry Cloud *")</f>
        <v>0</v>
      </c>
      <c r="L493">
        <f>COUNTIF('Metrics - Articles'!F492,"*GCO – Customer Engagement &amp; Commerce (CRM &amp; hybris) *")</f>
        <v>0</v>
      </c>
      <c r="M493">
        <f>COUNTIF('Metrics - Articles'!F492,"*GCO – HR (SuccessFactors)*")</f>
        <v>0</v>
      </c>
      <c r="N493">
        <f>COUNTIF('Metrics - Articles'!F492,"*GCO – Services Sales*")</f>
        <v>0</v>
      </c>
      <c r="O493">
        <f>COUNTIF('Metrics - Articles'!F492,"*GCO – Other*")</f>
        <v>0</v>
      </c>
      <c r="P493">
        <f>COUNTIF('Metrics - Articles'!F492,"*Corporate*")</f>
        <v>0</v>
      </c>
      <c r="R493" s="53">
        <f t="shared" si="9"/>
        <v>0</v>
      </c>
    </row>
    <row r="494" spans="2:18" x14ac:dyDescent="0.25">
      <c r="B494" s="48">
        <f>+'Metrics - Articles'!C493</f>
        <v>0</v>
      </c>
      <c r="C494">
        <f>COUNTIF('Metrics - Articles'!F493,"*GPO (Partner, Ecosystem, Channels)*")</f>
        <v>0</v>
      </c>
      <c r="D494">
        <f>COUNTIF('Metrics - Articles'!F493,"*Office of the CEO*")</f>
        <v>0</v>
      </c>
      <c r="E494">
        <f>COUNTIF('Metrics - Articles'!F493,"*Services Delivery &amp; Support (go-lives and deployments) *")</f>
        <v>0</v>
      </c>
      <c r="F494">
        <f>COUNTIF('Metrics - Articles'!F493,"*Human Resources (SAP HR and employee stories)*")</f>
        <v>0</v>
      </c>
      <c r="G494">
        <f>COUNTIF('Metrics - Articles'!F493,"*P&amp;I (Research &amp; Development)*")</f>
        <v>0</v>
      </c>
      <c r="H494">
        <f>COUNTIF('Metrics - Articles'!F493,"*Business Network (Concur, Ariba, Fieldglass)*")</f>
        <v>0</v>
      </c>
      <c r="I494">
        <f>COUNTIF('Metrics - Articles'!F493,"*GCO – Regions*")</f>
        <v>0</v>
      </c>
      <c r="J494">
        <f>COUNTIF('Metrics - Articles'!F493,"*GCO – Platform Solutions*")</f>
        <v>0</v>
      </c>
      <c r="K494">
        <f>COUNTIF('Metrics - Articles'!F493,"*GCO – Industry Cloud *")</f>
        <v>0</v>
      </c>
      <c r="L494">
        <f>COUNTIF('Metrics - Articles'!F493,"*GCO – Customer Engagement &amp; Commerce (CRM &amp; hybris) *")</f>
        <v>0</v>
      </c>
      <c r="M494">
        <f>COUNTIF('Metrics - Articles'!F493,"*GCO – HR (SuccessFactors)*")</f>
        <v>0</v>
      </c>
      <c r="N494">
        <f>COUNTIF('Metrics - Articles'!F493,"*GCO – Services Sales*")</f>
        <v>0</v>
      </c>
      <c r="O494">
        <f>COUNTIF('Metrics - Articles'!F493,"*GCO – Other*")</f>
        <v>0</v>
      </c>
      <c r="P494">
        <f>COUNTIF('Metrics - Articles'!F493,"*Corporate*")</f>
        <v>0</v>
      </c>
      <c r="R494" s="53">
        <f t="shared" si="9"/>
        <v>0</v>
      </c>
    </row>
    <row r="495" spans="2:18" x14ac:dyDescent="0.25">
      <c r="B495" s="48">
        <f>+'Metrics - Articles'!C494</f>
        <v>0</v>
      </c>
      <c r="C495">
        <f>COUNTIF('Metrics - Articles'!F494,"*GPO (Partner, Ecosystem, Channels)*")</f>
        <v>0</v>
      </c>
      <c r="D495">
        <f>COUNTIF('Metrics - Articles'!F494,"*Office of the CEO*")</f>
        <v>0</v>
      </c>
      <c r="E495">
        <f>COUNTIF('Metrics - Articles'!F494,"*Services Delivery &amp; Support (go-lives and deployments) *")</f>
        <v>0</v>
      </c>
      <c r="F495">
        <f>COUNTIF('Metrics - Articles'!F494,"*Human Resources (SAP HR and employee stories)*")</f>
        <v>0</v>
      </c>
      <c r="G495">
        <f>COUNTIF('Metrics - Articles'!F494,"*P&amp;I (Research &amp; Development)*")</f>
        <v>0</v>
      </c>
      <c r="H495">
        <f>COUNTIF('Metrics - Articles'!F494,"*Business Network (Concur, Ariba, Fieldglass)*")</f>
        <v>0</v>
      </c>
      <c r="I495">
        <f>COUNTIF('Metrics - Articles'!F494,"*GCO – Regions*")</f>
        <v>0</v>
      </c>
      <c r="J495">
        <f>COUNTIF('Metrics - Articles'!F494,"*GCO – Platform Solutions*")</f>
        <v>0</v>
      </c>
      <c r="K495">
        <f>COUNTIF('Metrics - Articles'!F494,"*GCO – Industry Cloud *")</f>
        <v>0</v>
      </c>
      <c r="L495">
        <f>COUNTIF('Metrics - Articles'!F494,"*GCO – Customer Engagement &amp; Commerce (CRM &amp; hybris) *")</f>
        <v>0</v>
      </c>
      <c r="M495">
        <f>COUNTIF('Metrics - Articles'!F494,"*GCO – HR (SuccessFactors)*")</f>
        <v>0</v>
      </c>
      <c r="N495">
        <f>COUNTIF('Metrics - Articles'!F494,"*GCO – Services Sales*")</f>
        <v>0</v>
      </c>
      <c r="O495">
        <f>COUNTIF('Metrics - Articles'!F494,"*GCO – Other*")</f>
        <v>0</v>
      </c>
      <c r="P495">
        <f>COUNTIF('Metrics - Articles'!F494,"*Corporate*")</f>
        <v>0</v>
      </c>
      <c r="R495" s="53">
        <f t="shared" si="9"/>
        <v>0</v>
      </c>
    </row>
    <row r="496" spans="2:18" x14ac:dyDescent="0.25">
      <c r="B496" s="48">
        <f>+'Metrics - Articles'!C495</f>
        <v>0</v>
      </c>
      <c r="C496">
        <f>COUNTIF('Metrics - Articles'!F495,"*GPO (Partner, Ecosystem, Channels)*")</f>
        <v>0</v>
      </c>
      <c r="D496">
        <f>COUNTIF('Metrics - Articles'!F495,"*Office of the CEO*")</f>
        <v>0</v>
      </c>
      <c r="E496">
        <f>COUNTIF('Metrics - Articles'!F495,"*Services Delivery &amp; Support (go-lives and deployments) *")</f>
        <v>0</v>
      </c>
      <c r="F496">
        <f>COUNTIF('Metrics - Articles'!F495,"*Human Resources (SAP HR and employee stories)*")</f>
        <v>0</v>
      </c>
      <c r="G496">
        <f>COUNTIF('Metrics - Articles'!F495,"*P&amp;I (Research &amp; Development)*")</f>
        <v>0</v>
      </c>
      <c r="H496">
        <f>COUNTIF('Metrics - Articles'!F495,"*Business Network (Concur, Ariba, Fieldglass)*")</f>
        <v>0</v>
      </c>
      <c r="I496">
        <f>COUNTIF('Metrics - Articles'!F495,"*GCO – Regions*")</f>
        <v>0</v>
      </c>
      <c r="J496">
        <f>COUNTIF('Metrics - Articles'!F495,"*GCO – Platform Solutions*")</f>
        <v>0</v>
      </c>
      <c r="K496">
        <f>COUNTIF('Metrics - Articles'!F495,"*GCO – Industry Cloud *")</f>
        <v>0</v>
      </c>
      <c r="L496">
        <f>COUNTIF('Metrics - Articles'!F495,"*GCO – Customer Engagement &amp; Commerce (CRM &amp; hybris) *")</f>
        <v>0</v>
      </c>
      <c r="M496">
        <f>COUNTIF('Metrics - Articles'!F495,"*GCO – HR (SuccessFactors)*")</f>
        <v>0</v>
      </c>
      <c r="N496">
        <f>COUNTIF('Metrics - Articles'!F495,"*GCO – Services Sales*")</f>
        <v>0</v>
      </c>
      <c r="O496">
        <f>COUNTIF('Metrics - Articles'!F495,"*GCO – Other*")</f>
        <v>0</v>
      </c>
      <c r="P496">
        <f>COUNTIF('Metrics - Articles'!F495,"*Corporate*")</f>
        <v>0</v>
      </c>
      <c r="R496" s="53">
        <f t="shared" si="9"/>
        <v>0</v>
      </c>
    </row>
    <row r="497" spans="2:18" x14ac:dyDescent="0.25">
      <c r="B497" s="48">
        <f>+'Metrics - Articles'!C496</f>
        <v>0</v>
      </c>
      <c r="C497">
        <f>COUNTIF('Metrics - Articles'!F496,"*GPO (Partner, Ecosystem, Channels)*")</f>
        <v>0</v>
      </c>
      <c r="D497">
        <f>COUNTIF('Metrics - Articles'!F496,"*Office of the CEO*")</f>
        <v>0</v>
      </c>
      <c r="E497">
        <f>COUNTIF('Metrics - Articles'!F496,"*Services Delivery &amp; Support (go-lives and deployments) *")</f>
        <v>0</v>
      </c>
      <c r="F497">
        <f>COUNTIF('Metrics - Articles'!F496,"*Human Resources (SAP HR and employee stories)*")</f>
        <v>0</v>
      </c>
      <c r="G497">
        <f>COUNTIF('Metrics - Articles'!F496,"*P&amp;I (Research &amp; Development)*")</f>
        <v>0</v>
      </c>
      <c r="H497">
        <f>COUNTIF('Metrics - Articles'!F496,"*Business Network (Concur, Ariba, Fieldglass)*")</f>
        <v>0</v>
      </c>
      <c r="I497">
        <f>COUNTIF('Metrics - Articles'!F496,"*GCO – Regions*")</f>
        <v>0</v>
      </c>
      <c r="J497">
        <f>COUNTIF('Metrics - Articles'!F496,"*GCO – Platform Solutions*")</f>
        <v>0</v>
      </c>
      <c r="K497">
        <f>COUNTIF('Metrics - Articles'!F496,"*GCO – Industry Cloud *")</f>
        <v>0</v>
      </c>
      <c r="L497">
        <f>COUNTIF('Metrics - Articles'!F496,"*GCO – Customer Engagement &amp; Commerce (CRM &amp; hybris) *")</f>
        <v>0</v>
      </c>
      <c r="M497">
        <f>COUNTIF('Metrics - Articles'!F496,"*GCO – HR (SuccessFactors)*")</f>
        <v>0</v>
      </c>
      <c r="N497">
        <f>COUNTIF('Metrics - Articles'!F496,"*GCO – Services Sales*")</f>
        <v>0</v>
      </c>
      <c r="O497">
        <f>COUNTIF('Metrics - Articles'!F496,"*GCO – Other*")</f>
        <v>0</v>
      </c>
      <c r="P497">
        <f>COUNTIF('Metrics - Articles'!F496,"*Corporate*")</f>
        <v>0</v>
      </c>
      <c r="R497" s="53">
        <f t="shared" si="9"/>
        <v>0</v>
      </c>
    </row>
    <row r="498" spans="2:18" x14ac:dyDescent="0.25">
      <c r="B498" s="48">
        <f>+'Metrics - Articles'!C497</f>
        <v>0</v>
      </c>
      <c r="C498">
        <f>COUNTIF('Metrics - Articles'!F497,"*GPO (Partner, Ecosystem, Channels)*")</f>
        <v>0</v>
      </c>
      <c r="D498">
        <f>COUNTIF('Metrics - Articles'!F497,"*Office of the CEO*")</f>
        <v>0</v>
      </c>
      <c r="E498">
        <f>COUNTIF('Metrics - Articles'!F497,"*Services Delivery &amp; Support (go-lives and deployments) *")</f>
        <v>0</v>
      </c>
      <c r="F498">
        <f>COUNTIF('Metrics - Articles'!F497,"*Human Resources (SAP HR and employee stories)*")</f>
        <v>0</v>
      </c>
      <c r="G498">
        <f>COUNTIF('Metrics - Articles'!F497,"*P&amp;I (Research &amp; Development)*")</f>
        <v>0</v>
      </c>
      <c r="H498">
        <f>COUNTIF('Metrics - Articles'!F497,"*Business Network (Concur, Ariba, Fieldglass)*")</f>
        <v>0</v>
      </c>
      <c r="I498">
        <f>COUNTIF('Metrics - Articles'!F497,"*GCO – Regions*")</f>
        <v>0</v>
      </c>
      <c r="J498">
        <f>COUNTIF('Metrics - Articles'!F497,"*GCO – Platform Solutions*")</f>
        <v>0</v>
      </c>
      <c r="K498">
        <f>COUNTIF('Metrics - Articles'!F497,"*GCO – Industry Cloud *")</f>
        <v>0</v>
      </c>
      <c r="L498">
        <f>COUNTIF('Metrics - Articles'!F497,"*GCO – Customer Engagement &amp; Commerce (CRM &amp; hybris) *")</f>
        <v>0</v>
      </c>
      <c r="M498">
        <f>COUNTIF('Metrics - Articles'!F497,"*GCO – HR (SuccessFactors)*")</f>
        <v>0</v>
      </c>
      <c r="N498">
        <f>COUNTIF('Metrics - Articles'!F497,"*GCO – Services Sales*")</f>
        <v>0</v>
      </c>
      <c r="O498">
        <f>COUNTIF('Metrics - Articles'!F497,"*GCO – Other*")</f>
        <v>0</v>
      </c>
      <c r="P498">
        <f>COUNTIF('Metrics - Articles'!F497,"*Corporate*")</f>
        <v>0</v>
      </c>
      <c r="R498" s="53">
        <f t="shared" si="9"/>
        <v>0</v>
      </c>
    </row>
    <row r="499" spans="2:18" x14ac:dyDescent="0.25">
      <c r="B499" s="48">
        <f>+'Metrics - Articles'!C498</f>
        <v>0</v>
      </c>
      <c r="C499">
        <f>COUNTIF('Metrics - Articles'!F498,"*GPO (Partner, Ecosystem, Channels)*")</f>
        <v>0</v>
      </c>
      <c r="D499">
        <f>COUNTIF('Metrics - Articles'!F498,"*Office of the CEO*")</f>
        <v>0</v>
      </c>
      <c r="E499">
        <f>COUNTIF('Metrics - Articles'!F498,"*Services Delivery &amp; Support (go-lives and deployments) *")</f>
        <v>0</v>
      </c>
      <c r="F499">
        <f>COUNTIF('Metrics - Articles'!F498,"*Human Resources (SAP HR and employee stories)*")</f>
        <v>0</v>
      </c>
      <c r="G499">
        <f>COUNTIF('Metrics - Articles'!F498,"*P&amp;I (Research &amp; Development)*")</f>
        <v>0</v>
      </c>
      <c r="H499">
        <f>COUNTIF('Metrics - Articles'!F498,"*Business Network (Concur, Ariba, Fieldglass)*")</f>
        <v>0</v>
      </c>
      <c r="I499">
        <f>COUNTIF('Metrics - Articles'!F498,"*GCO – Regions*")</f>
        <v>0</v>
      </c>
      <c r="J499">
        <f>COUNTIF('Metrics - Articles'!F498,"*GCO – Platform Solutions*")</f>
        <v>0</v>
      </c>
      <c r="K499">
        <f>COUNTIF('Metrics - Articles'!F498,"*GCO – Industry Cloud *")</f>
        <v>0</v>
      </c>
      <c r="L499">
        <f>COUNTIF('Metrics - Articles'!F498,"*GCO – Customer Engagement &amp; Commerce (CRM &amp; hybris) *")</f>
        <v>0</v>
      </c>
      <c r="M499">
        <f>COUNTIF('Metrics - Articles'!F498,"*GCO – HR (SuccessFactors)*")</f>
        <v>0</v>
      </c>
      <c r="N499">
        <f>COUNTIF('Metrics - Articles'!F498,"*GCO – Services Sales*")</f>
        <v>0</v>
      </c>
      <c r="O499">
        <f>COUNTIF('Metrics - Articles'!F498,"*GCO – Other*")</f>
        <v>0</v>
      </c>
      <c r="P499">
        <f>COUNTIF('Metrics - Articles'!F498,"*Corporate*")</f>
        <v>0</v>
      </c>
      <c r="R499" s="53">
        <f t="shared" si="9"/>
        <v>0</v>
      </c>
    </row>
    <row r="500" spans="2:18" x14ac:dyDescent="0.25">
      <c r="B500" s="48">
        <f>+'Metrics - Articles'!C499</f>
        <v>0</v>
      </c>
      <c r="C500">
        <f>COUNTIF('Metrics - Articles'!F499,"*GPO (Partner, Ecosystem, Channels)*")</f>
        <v>0</v>
      </c>
      <c r="D500">
        <f>COUNTIF('Metrics - Articles'!F499,"*Office of the CEO*")</f>
        <v>0</v>
      </c>
      <c r="E500">
        <f>COUNTIF('Metrics - Articles'!F499,"*Services Delivery &amp; Support (go-lives and deployments) *")</f>
        <v>0</v>
      </c>
      <c r="F500">
        <f>COUNTIF('Metrics - Articles'!F499,"*Human Resources (SAP HR and employee stories)*")</f>
        <v>0</v>
      </c>
      <c r="G500">
        <f>COUNTIF('Metrics - Articles'!F499,"*P&amp;I (Research &amp; Development)*")</f>
        <v>0</v>
      </c>
      <c r="H500">
        <f>COUNTIF('Metrics - Articles'!F499,"*Business Network (Concur, Ariba, Fieldglass)*")</f>
        <v>0</v>
      </c>
      <c r="I500">
        <f>COUNTIF('Metrics - Articles'!F499,"*GCO – Regions*")</f>
        <v>0</v>
      </c>
      <c r="J500">
        <f>COUNTIF('Metrics - Articles'!F499,"*GCO – Platform Solutions*")</f>
        <v>0</v>
      </c>
      <c r="K500">
        <f>COUNTIF('Metrics - Articles'!F499,"*GCO – Industry Cloud *")</f>
        <v>0</v>
      </c>
      <c r="L500">
        <f>COUNTIF('Metrics - Articles'!F499,"*GCO – Customer Engagement &amp; Commerce (CRM &amp; hybris) *")</f>
        <v>0</v>
      </c>
      <c r="M500">
        <f>COUNTIF('Metrics - Articles'!F499,"*GCO – HR (SuccessFactors)*")</f>
        <v>0</v>
      </c>
      <c r="N500">
        <f>COUNTIF('Metrics - Articles'!F499,"*GCO – Services Sales*")</f>
        <v>0</v>
      </c>
      <c r="O500">
        <f>COUNTIF('Metrics - Articles'!F499,"*GCO – Other*")</f>
        <v>0</v>
      </c>
      <c r="P500">
        <f>COUNTIF('Metrics - Articles'!F499,"*Corporate*")</f>
        <v>0</v>
      </c>
      <c r="R500" s="53">
        <f t="shared" si="9"/>
        <v>0</v>
      </c>
    </row>
    <row r="501" spans="2:18" x14ac:dyDescent="0.25">
      <c r="B501" s="48">
        <f>+'Metrics - Articles'!C500</f>
        <v>0</v>
      </c>
      <c r="C501">
        <f>COUNTIF('Metrics - Articles'!F500,"*GPO (Partner, Ecosystem, Channels)*")</f>
        <v>0</v>
      </c>
      <c r="D501">
        <f>COUNTIF('Metrics - Articles'!F500,"*Office of the CEO*")</f>
        <v>0</v>
      </c>
      <c r="E501">
        <f>COUNTIF('Metrics - Articles'!F500,"*Services Delivery &amp; Support (go-lives and deployments) *")</f>
        <v>0</v>
      </c>
      <c r="F501">
        <f>COUNTIF('Metrics - Articles'!F500,"*Human Resources (SAP HR and employee stories)*")</f>
        <v>0</v>
      </c>
      <c r="G501">
        <f>COUNTIF('Metrics - Articles'!F500,"*P&amp;I (Research &amp; Development)*")</f>
        <v>0</v>
      </c>
      <c r="H501">
        <f>COUNTIF('Metrics - Articles'!F500,"*Business Network (Concur, Ariba, Fieldglass)*")</f>
        <v>0</v>
      </c>
      <c r="I501">
        <f>COUNTIF('Metrics - Articles'!F500,"*GCO – Regions*")</f>
        <v>0</v>
      </c>
      <c r="J501">
        <f>COUNTIF('Metrics - Articles'!F500,"*GCO – Platform Solutions*")</f>
        <v>0</v>
      </c>
      <c r="K501">
        <f>COUNTIF('Metrics - Articles'!F500,"*GCO – Industry Cloud *")</f>
        <v>0</v>
      </c>
      <c r="L501">
        <f>COUNTIF('Metrics - Articles'!F500,"*GCO – Customer Engagement &amp; Commerce (CRM &amp; hybris) *")</f>
        <v>0</v>
      </c>
      <c r="M501">
        <f>COUNTIF('Metrics - Articles'!F500,"*GCO – HR (SuccessFactors)*")</f>
        <v>0</v>
      </c>
      <c r="N501">
        <f>COUNTIF('Metrics - Articles'!F500,"*GCO – Services Sales*")</f>
        <v>0</v>
      </c>
      <c r="O501">
        <f>COUNTIF('Metrics - Articles'!F500,"*GCO – Other*")</f>
        <v>0</v>
      </c>
      <c r="P501">
        <f>COUNTIF('Metrics - Articles'!F500,"*Corporate*")</f>
        <v>0</v>
      </c>
      <c r="R501" s="53">
        <f t="shared" si="9"/>
        <v>0</v>
      </c>
    </row>
    <row r="502" spans="2:18" x14ac:dyDescent="0.25">
      <c r="B502" s="48">
        <f>+'Metrics - Articles'!C501</f>
        <v>0</v>
      </c>
      <c r="C502">
        <f>COUNTIF('Metrics - Articles'!F501,"*GPO (Partner, Ecosystem, Channels)*")</f>
        <v>0</v>
      </c>
      <c r="D502">
        <f>COUNTIF('Metrics - Articles'!F501,"*Office of the CEO*")</f>
        <v>0</v>
      </c>
      <c r="E502">
        <f>COUNTIF('Metrics - Articles'!F501,"*Services Delivery &amp; Support (go-lives and deployments) *")</f>
        <v>0</v>
      </c>
      <c r="F502">
        <f>COUNTIF('Metrics - Articles'!F501,"*Human Resources (SAP HR and employee stories)*")</f>
        <v>0</v>
      </c>
      <c r="G502">
        <f>COUNTIF('Metrics - Articles'!F501,"*P&amp;I (Research &amp; Development)*")</f>
        <v>0</v>
      </c>
      <c r="H502">
        <f>COUNTIF('Metrics - Articles'!F501,"*Business Network (Concur, Ariba, Fieldglass)*")</f>
        <v>0</v>
      </c>
      <c r="I502">
        <f>COUNTIF('Metrics - Articles'!F501,"*GCO – Regions*")</f>
        <v>0</v>
      </c>
      <c r="J502">
        <f>COUNTIF('Metrics - Articles'!F501,"*GCO – Platform Solutions*")</f>
        <v>0</v>
      </c>
      <c r="K502">
        <f>COUNTIF('Metrics - Articles'!F501,"*GCO – Industry Cloud *")</f>
        <v>0</v>
      </c>
      <c r="L502">
        <f>COUNTIF('Metrics - Articles'!F501,"*GCO – Customer Engagement &amp; Commerce (CRM &amp; hybris) *")</f>
        <v>0</v>
      </c>
      <c r="M502">
        <f>COUNTIF('Metrics - Articles'!F501,"*GCO – HR (SuccessFactors)*")</f>
        <v>0</v>
      </c>
      <c r="N502">
        <f>COUNTIF('Metrics - Articles'!F501,"*GCO – Services Sales*")</f>
        <v>0</v>
      </c>
      <c r="O502">
        <f>COUNTIF('Metrics - Articles'!F501,"*GCO – Other*")</f>
        <v>0</v>
      </c>
      <c r="P502">
        <f>COUNTIF('Metrics - Articles'!F501,"*Corporate*")</f>
        <v>0</v>
      </c>
      <c r="R502" s="53">
        <f t="shared" si="9"/>
        <v>0</v>
      </c>
    </row>
    <row r="503" spans="2:18" x14ac:dyDescent="0.25">
      <c r="B503" s="48">
        <f>+'Metrics - Articles'!C502</f>
        <v>0</v>
      </c>
      <c r="C503">
        <f>COUNTIF('Metrics - Articles'!F502,"*GPO (Partner, Ecosystem, Channels)*")</f>
        <v>0</v>
      </c>
      <c r="D503">
        <f>COUNTIF('Metrics - Articles'!F502,"*Office of the CEO*")</f>
        <v>0</v>
      </c>
      <c r="E503">
        <f>COUNTIF('Metrics - Articles'!F502,"*Services Delivery &amp; Support (go-lives and deployments) *")</f>
        <v>0</v>
      </c>
      <c r="F503">
        <f>COUNTIF('Metrics - Articles'!F502,"*Human Resources (SAP HR and employee stories)*")</f>
        <v>0</v>
      </c>
      <c r="G503">
        <f>COUNTIF('Metrics - Articles'!F502,"*P&amp;I (Research &amp; Development)*")</f>
        <v>0</v>
      </c>
      <c r="H503">
        <f>COUNTIF('Metrics - Articles'!F502,"*Business Network (Concur, Ariba, Fieldglass)*")</f>
        <v>0</v>
      </c>
      <c r="I503">
        <f>COUNTIF('Metrics - Articles'!F502,"*GCO – Regions*")</f>
        <v>0</v>
      </c>
      <c r="J503">
        <f>COUNTIF('Metrics - Articles'!F502,"*GCO – Platform Solutions*")</f>
        <v>0</v>
      </c>
      <c r="K503">
        <f>COUNTIF('Metrics - Articles'!F502,"*GCO – Industry Cloud *")</f>
        <v>0</v>
      </c>
      <c r="L503">
        <f>COUNTIF('Metrics - Articles'!F502,"*GCO – Customer Engagement &amp; Commerce (CRM &amp; hybris) *")</f>
        <v>0</v>
      </c>
      <c r="M503">
        <f>COUNTIF('Metrics - Articles'!F502,"*GCO – HR (SuccessFactors)*")</f>
        <v>0</v>
      </c>
      <c r="N503">
        <f>COUNTIF('Metrics - Articles'!F502,"*GCO – Services Sales*")</f>
        <v>0</v>
      </c>
      <c r="O503">
        <f>COUNTIF('Metrics - Articles'!F502,"*GCO – Other*")</f>
        <v>0</v>
      </c>
      <c r="P503">
        <f>COUNTIF('Metrics - Articles'!F502,"*Corporate*")</f>
        <v>0</v>
      </c>
      <c r="R503" s="53">
        <f t="shared" si="9"/>
        <v>0</v>
      </c>
    </row>
    <row r="504" spans="2:18" x14ac:dyDescent="0.25">
      <c r="B504" s="48">
        <f>+'Metrics - Articles'!C503</f>
        <v>0</v>
      </c>
      <c r="C504">
        <f>COUNTIF('Metrics - Articles'!F503,"*GPO (Partner, Ecosystem, Channels)*")</f>
        <v>0</v>
      </c>
      <c r="D504">
        <f>COUNTIF('Metrics - Articles'!F503,"*Office of the CEO*")</f>
        <v>0</v>
      </c>
      <c r="E504">
        <f>COUNTIF('Metrics - Articles'!F503,"*Services Delivery &amp; Support (go-lives and deployments) *")</f>
        <v>0</v>
      </c>
      <c r="F504">
        <f>COUNTIF('Metrics - Articles'!F503,"*Human Resources (SAP HR and employee stories)*")</f>
        <v>0</v>
      </c>
      <c r="G504">
        <f>COUNTIF('Metrics - Articles'!F503,"*P&amp;I (Research &amp; Development)*")</f>
        <v>0</v>
      </c>
      <c r="H504">
        <f>COUNTIF('Metrics - Articles'!F503,"*Business Network (Concur, Ariba, Fieldglass)*")</f>
        <v>0</v>
      </c>
      <c r="I504">
        <f>COUNTIF('Metrics - Articles'!F503,"*GCO – Regions*")</f>
        <v>0</v>
      </c>
      <c r="J504">
        <f>COUNTIF('Metrics - Articles'!F503,"*GCO – Platform Solutions*")</f>
        <v>0</v>
      </c>
      <c r="K504">
        <f>COUNTIF('Metrics - Articles'!F503,"*GCO – Industry Cloud *")</f>
        <v>0</v>
      </c>
      <c r="L504">
        <f>COUNTIF('Metrics - Articles'!F503,"*GCO – Customer Engagement &amp; Commerce (CRM &amp; hybris) *")</f>
        <v>0</v>
      </c>
      <c r="M504">
        <f>COUNTIF('Metrics - Articles'!F503,"*GCO – HR (SuccessFactors)*")</f>
        <v>0</v>
      </c>
      <c r="N504">
        <f>COUNTIF('Metrics - Articles'!F503,"*GCO – Services Sales*")</f>
        <v>0</v>
      </c>
      <c r="O504">
        <f>COUNTIF('Metrics - Articles'!F503,"*GCO – Other*")</f>
        <v>0</v>
      </c>
      <c r="P504">
        <f>COUNTIF('Metrics - Articles'!F503,"*Corporate*")</f>
        <v>0</v>
      </c>
      <c r="R504" s="53">
        <f t="shared" si="9"/>
        <v>0</v>
      </c>
    </row>
    <row r="505" spans="2:18" x14ac:dyDescent="0.25">
      <c r="B505" s="48">
        <f>+'Metrics - Articles'!C504</f>
        <v>0</v>
      </c>
      <c r="C505">
        <f>COUNTIF('Metrics - Articles'!F504,"*GPO (Partner, Ecosystem, Channels)*")</f>
        <v>0</v>
      </c>
      <c r="D505">
        <f>COUNTIF('Metrics - Articles'!F504,"*Office of the CEO*")</f>
        <v>0</v>
      </c>
      <c r="E505">
        <f>COUNTIF('Metrics - Articles'!F504,"*Services Delivery &amp; Support (go-lives and deployments) *")</f>
        <v>0</v>
      </c>
      <c r="F505">
        <f>COUNTIF('Metrics - Articles'!F504,"*Human Resources (SAP HR and employee stories)*")</f>
        <v>0</v>
      </c>
      <c r="G505">
        <f>COUNTIF('Metrics - Articles'!F504,"*P&amp;I (Research &amp; Development)*")</f>
        <v>0</v>
      </c>
      <c r="H505">
        <f>COUNTIF('Metrics - Articles'!F504,"*Business Network (Concur, Ariba, Fieldglass)*")</f>
        <v>0</v>
      </c>
      <c r="I505">
        <f>COUNTIF('Metrics - Articles'!F504,"*GCO – Regions*")</f>
        <v>0</v>
      </c>
      <c r="J505">
        <f>COUNTIF('Metrics - Articles'!F504,"*GCO – Platform Solutions*")</f>
        <v>0</v>
      </c>
      <c r="K505">
        <f>COUNTIF('Metrics - Articles'!F504,"*GCO – Industry Cloud *")</f>
        <v>0</v>
      </c>
      <c r="L505">
        <f>COUNTIF('Metrics - Articles'!F504,"*GCO – Customer Engagement &amp; Commerce (CRM &amp; hybris) *")</f>
        <v>0</v>
      </c>
      <c r="M505">
        <f>COUNTIF('Metrics - Articles'!F504,"*GCO – HR (SuccessFactors)*")</f>
        <v>0</v>
      </c>
      <c r="N505">
        <f>COUNTIF('Metrics - Articles'!F504,"*GCO – Services Sales*")</f>
        <v>0</v>
      </c>
      <c r="O505">
        <f>COUNTIF('Metrics - Articles'!F504,"*GCO – Other*")</f>
        <v>0</v>
      </c>
      <c r="P505">
        <f>COUNTIF('Metrics - Articles'!F504,"*Corporate*")</f>
        <v>0</v>
      </c>
      <c r="R505" s="53">
        <f t="shared" si="9"/>
        <v>0</v>
      </c>
    </row>
    <row r="506" spans="2:18" x14ac:dyDescent="0.25">
      <c r="B506" s="48">
        <f>+'Metrics - Articles'!C505</f>
        <v>0</v>
      </c>
      <c r="C506">
        <f>COUNTIF('Metrics - Articles'!F505,"*GPO (Partner, Ecosystem, Channels)*")</f>
        <v>0</v>
      </c>
      <c r="D506">
        <f>COUNTIF('Metrics - Articles'!F505,"*Office of the CEO*")</f>
        <v>0</v>
      </c>
      <c r="E506">
        <f>COUNTIF('Metrics - Articles'!F505,"*Services Delivery &amp; Support (go-lives and deployments) *")</f>
        <v>0</v>
      </c>
      <c r="F506">
        <f>COUNTIF('Metrics - Articles'!F505,"*Human Resources (SAP HR and employee stories)*")</f>
        <v>0</v>
      </c>
      <c r="G506">
        <f>COUNTIF('Metrics - Articles'!F505,"*P&amp;I (Research &amp; Development)*")</f>
        <v>0</v>
      </c>
      <c r="H506">
        <f>COUNTIF('Metrics - Articles'!F505,"*Business Network (Concur, Ariba, Fieldglass)*")</f>
        <v>0</v>
      </c>
      <c r="I506">
        <f>COUNTIF('Metrics - Articles'!F505,"*GCO – Regions*")</f>
        <v>0</v>
      </c>
      <c r="J506">
        <f>COUNTIF('Metrics - Articles'!F505,"*GCO – Platform Solutions*")</f>
        <v>0</v>
      </c>
      <c r="K506">
        <f>COUNTIF('Metrics - Articles'!F505,"*GCO – Industry Cloud *")</f>
        <v>0</v>
      </c>
      <c r="L506">
        <f>COUNTIF('Metrics - Articles'!F505,"*GCO – Customer Engagement &amp; Commerce (CRM &amp; hybris) *")</f>
        <v>0</v>
      </c>
      <c r="M506">
        <f>COUNTIF('Metrics - Articles'!F505,"*GCO – HR (SuccessFactors)*")</f>
        <v>0</v>
      </c>
      <c r="N506">
        <f>COUNTIF('Metrics - Articles'!F505,"*GCO – Services Sales*")</f>
        <v>0</v>
      </c>
      <c r="O506">
        <f>COUNTIF('Metrics - Articles'!F505,"*GCO – Other*")</f>
        <v>0</v>
      </c>
      <c r="P506">
        <f>COUNTIF('Metrics - Articles'!F505,"*Corporate*")</f>
        <v>0</v>
      </c>
      <c r="R506" s="53">
        <f t="shared" si="9"/>
        <v>0</v>
      </c>
    </row>
    <row r="507" spans="2:18" x14ac:dyDescent="0.25">
      <c r="B507" s="48">
        <f>+'Metrics - Articles'!C506</f>
        <v>0</v>
      </c>
      <c r="C507">
        <f>COUNTIF('Metrics - Articles'!F506,"*GPO (Partner, Ecosystem, Channels)*")</f>
        <v>0</v>
      </c>
      <c r="D507">
        <f>COUNTIF('Metrics - Articles'!F506,"*Office of the CEO*")</f>
        <v>0</v>
      </c>
      <c r="E507">
        <f>COUNTIF('Metrics - Articles'!F506,"*Services Delivery &amp; Support (go-lives and deployments) *")</f>
        <v>0</v>
      </c>
      <c r="F507">
        <f>COUNTIF('Metrics - Articles'!F506,"*Human Resources (SAP HR and employee stories)*")</f>
        <v>0</v>
      </c>
      <c r="G507">
        <f>COUNTIF('Metrics - Articles'!F506,"*P&amp;I (Research &amp; Development)*")</f>
        <v>0</v>
      </c>
      <c r="H507">
        <f>COUNTIF('Metrics - Articles'!F506,"*Business Network (Concur, Ariba, Fieldglass)*")</f>
        <v>0</v>
      </c>
      <c r="I507">
        <f>COUNTIF('Metrics - Articles'!F506,"*GCO – Regions*")</f>
        <v>0</v>
      </c>
      <c r="J507">
        <f>COUNTIF('Metrics - Articles'!F506,"*GCO – Platform Solutions*")</f>
        <v>0</v>
      </c>
      <c r="K507">
        <f>COUNTIF('Metrics - Articles'!F506,"*GCO – Industry Cloud *")</f>
        <v>0</v>
      </c>
      <c r="L507">
        <f>COUNTIF('Metrics - Articles'!F506,"*GCO – Customer Engagement &amp; Commerce (CRM &amp; hybris) *")</f>
        <v>0</v>
      </c>
      <c r="M507">
        <f>COUNTIF('Metrics - Articles'!F506,"*GCO – HR (SuccessFactors)*")</f>
        <v>0</v>
      </c>
      <c r="N507">
        <f>COUNTIF('Metrics - Articles'!F506,"*GCO – Services Sales*")</f>
        <v>0</v>
      </c>
      <c r="O507">
        <f>COUNTIF('Metrics - Articles'!F506,"*GCO – Other*")</f>
        <v>0</v>
      </c>
      <c r="P507">
        <f>COUNTIF('Metrics - Articles'!F506,"*Corporate*")</f>
        <v>0</v>
      </c>
      <c r="R507" s="53">
        <f t="shared" si="9"/>
        <v>0</v>
      </c>
    </row>
    <row r="508" spans="2:18" x14ac:dyDescent="0.25">
      <c r="B508" s="48">
        <f>+'Metrics - Articles'!C507</f>
        <v>0</v>
      </c>
      <c r="C508">
        <f>COUNTIF('Metrics - Articles'!F507,"*GPO (Partner, Ecosystem, Channels)*")</f>
        <v>0</v>
      </c>
      <c r="D508">
        <f>COUNTIF('Metrics - Articles'!F507,"*Office of the CEO*")</f>
        <v>0</v>
      </c>
      <c r="E508">
        <f>COUNTIF('Metrics - Articles'!F507,"*Services Delivery &amp; Support (go-lives and deployments) *")</f>
        <v>0</v>
      </c>
      <c r="F508">
        <f>COUNTIF('Metrics - Articles'!F507,"*Human Resources (SAP HR and employee stories)*")</f>
        <v>0</v>
      </c>
      <c r="G508">
        <f>COUNTIF('Metrics - Articles'!F507,"*P&amp;I (Research &amp; Development)*")</f>
        <v>0</v>
      </c>
      <c r="H508">
        <f>COUNTIF('Metrics - Articles'!F507,"*Business Network (Concur, Ariba, Fieldglass)*")</f>
        <v>0</v>
      </c>
      <c r="I508">
        <f>COUNTIF('Metrics - Articles'!F507,"*GCO – Regions*")</f>
        <v>0</v>
      </c>
      <c r="J508">
        <f>COUNTIF('Metrics - Articles'!F507,"*GCO – Platform Solutions*")</f>
        <v>0</v>
      </c>
      <c r="K508">
        <f>COUNTIF('Metrics - Articles'!F507,"*GCO – Industry Cloud *")</f>
        <v>0</v>
      </c>
      <c r="L508">
        <f>COUNTIF('Metrics - Articles'!F507,"*GCO – Customer Engagement &amp; Commerce (CRM &amp; hybris) *")</f>
        <v>0</v>
      </c>
      <c r="M508">
        <f>COUNTIF('Metrics - Articles'!F507,"*GCO – HR (SuccessFactors)*")</f>
        <v>0</v>
      </c>
      <c r="N508">
        <f>COUNTIF('Metrics - Articles'!F507,"*GCO – Services Sales*")</f>
        <v>0</v>
      </c>
      <c r="O508">
        <f>COUNTIF('Metrics - Articles'!F507,"*GCO – Other*")</f>
        <v>0</v>
      </c>
      <c r="P508">
        <f>COUNTIF('Metrics - Articles'!F507,"*Corporate*")</f>
        <v>0</v>
      </c>
      <c r="R508" s="53">
        <f t="shared" si="9"/>
        <v>0</v>
      </c>
    </row>
    <row r="509" spans="2:18" x14ac:dyDescent="0.25">
      <c r="B509" s="48">
        <f>+'Metrics - Articles'!C508</f>
        <v>0</v>
      </c>
      <c r="C509">
        <f>COUNTIF('Metrics - Articles'!F508,"*GPO (Partner, Ecosystem, Channels)*")</f>
        <v>0</v>
      </c>
      <c r="D509">
        <f>COUNTIF('Metrics - Articles'!F508,"*Office of the CEO*")</f>
        <v>0</v>
      </c>
      <c r="E509">
        <f>COUNTIF('Metrics - Articles'!F508,"*Services Delivery &amp; Support (go-lives and deployments) *")</f>
        <v>0</v>
      </c>
      <c r="F509">
        <f>COUNTIF('Metrics - Articles'!F508,"*Human Resources (SAP HR and employee stories)*")</f>
        <v>0</v>
      </c>
      <c r="G509">
        <f>COUNTIF('Metrics - Articles'!F508,"*P&amp;I (Research &amp; Development)*")</f>
        <v>0</v>
      </c>
      <c r="H509">
        <f>COUNTIF('Metrics - Articles'!F508,"*Business Network (Concur, Ariba, Fieldglass)*")</f>
        <v>0</v>
      </c>
      <c r="I509">
        <f>COUNTIF('Metrics - Articles'!F508,"*GCO – Regions*")</f>
        <v>0</v>
      </c>
      <c r="J509">
        <f>COUNTIF('Metrics - Articles'!F508,"*GCO – Platform Solutions*")</f>
        <v>0</v>
      </c>
      <c r="K509">
        <f>COUNTIF('Metrics - Articles'!F508,"*GCO – Industry Cloud *")</f>
        <v>0</v>
      </c>
      <c r="L509">
        <f>COUNTIF('Metrics - Articles'!F508,"*GCO – Customer Engagement &amp; Commerce (CRM &amp; hybris) *")</f>
        <v>0</v>
      </c>
      <c r="M509">
        <f>COUNTIF('Metrics - Articles'!F508,"*GCO – HR (SuccessFactors)*")</f>
        <v>0</v>
      </c>
      <c r="N509">
        <f>COUNTIF('Metrics - Articles'!F508,"*GCO – Services Sales*")</f>
        <v>0</v>
      </c>
      <c r="O509">
        <f>COUNTIF('Metrics - Articles'!F508,"*GCO – Other*")</f>
        <v>0</v>
      </c>
      <c r="P509">
        <f>COUNTIF('Metrics - Articles'!F508,"*Corporate*")</f>
        <v>0</v>
      </c>
      <c r="R509" s="53">
        <f t="shared" si="9"/>
        <v>0</v>
      </c>
    </row>
    <row r="510" spans="2:18" x14ac:dyDescent="0.25">
      <c r="B510" s="48">
        <f>+'Metrics - Articles'!C509</f>
        <v>0</v>
      </c>
      <c r="C510">
        <f>COUNTIF('Metrics - Articles'!F509,"*GPO (Partner, Ecosystem, Channels)*")</f>
        <v>0</v>
      </c>
      <c r="D510">
        <f>COUNTIF('Metrics - Articles'!F509,"*Office of the CEO*")</f>
        <v>0</v>
      </c>
      <c r="E510">
        <f>COUNTIF('Metrics - Articles'!F509,"*Services Delivery &amp; Support (go-lives and deployments) *")</f>
        <v>0</v>
      </c>
      <c r="F510">
        <f>COUNTIF('Metrics - Articles'!F509,"*Human Resources (SAP HR and employee stories)*")</f>
        <v>0</v>
      </c>
      <c r="G510">
        <f>COUNTIF('Metrics - Articles'!F509,"*P&amp;I (Research &amp; Development)*")</f>
        <v>0</v>
      </c>
      <c r="H510">
        <f>COUNTIF('Metrics - Articles'!F509,"*Business Network (Concur, Ariba, Fieldglass)*")</f>
        <v>0</v>
      </c>
      <c r="I510">
        <f>COUNTIF('Metrics - Articles'!F509,"*GCO – Regions*")</f>
        <v>0</v>
      </c>
      <c r="J510">
        <f>COUNTIF('Metrics - Articles'!F509,"*GCO – Platform Solutions*")</f>
        <v>0</v>
      </c>
      <c r="K510">
        <f>COUNTIF('Metrics - Articles'!F509,"*GCO – Industry Cloud *")</f>
        <v>0</v>
      </c>
      <c r="L510">
        <f>COUNTIF('Metrics - Articles'!F509,"*GCO – Customer Engagement &amp; Commerce (CRM &amp; hybris) *")</f>
        <v>0</v>
      </c>
      <c r="M510">
        <f>COUNTIF('Metrics - Articles'!F509,"*GCO – HR (SuccessFactors)*")</f>
        <v>0</v>
      </c>
      <c r="N510">
        <f>COUNTIF('Metrics - Articles'!F509,"*GCO – Services Sales*")</f>
        <v>0</v>
      </c>
      <c r="O510">
        <f>COUNTIF('Metrics - Articles'!F509,"*GCO – Other*")</f>
        <v>0</v>
      </c>
      <c r="P510">
        <f>COUNTIF('Metrics - Articles'!F509,"*Corporate*")</f>
        <v>0</v>
      </c>
      <c r="R510" s="53">
        <f t="shared" si="9"/>
        <v>0</v>
      </c>
    </row>
    <row r="511" spans="2:18" x14ac:dyDescent="0.25">
      <c r="B511" s="48">
        <f>+'Metrics - Articles'!C510</f>
        <v>0</v>
      </c>
      <c r="C511">
        <f>COUNTIF('Metrics - Articles'!F510,"*GPO (Partner, Ecosystem, Channels)*")</f>
        <v>0</v>
      </c>
      <c r="D511">
        <f>COUNTIF('Metrics - Articles'!F510,"*Office of the CEO*")</f>
        <v>0</v>
      </c>
      <c r="E511">
        <f>COUNTIF('Metrics - Articles'!F510,"*Services Delivery &amp; Support (go-lives and deployments) *")</f>
        <v>0</v>
      </c>
      <c r="F511">
        <f>COUNTIF('Metrics - Articles'!F510,"*Human Resources (SAP HR and employee stories)*")</f>
        <v>0</v>
      </c>
      <c r="G511">
        <f>COUNTIF('Metrics - Articles'!F510,"*P&amp;I (Research &amp; Development)*")</f>
        <v>0</v>
      </c>
      <c r="H511">
        <f>COUNTIF('Metrics - Articles'!F510,"*Business Network (Concur, Ariba, Fieldglass)*")</f>
        <v>0</v>
      </c>
      <c r="I511">
        <f>COUNTIF('Metrics - Articles'!F510,"*GCO – Regions*")</f>
        <v>0</v>
      </c>
      <c r="J511">
        <f>COUNTIF('Metrics - Articles'!F510,"*GCO – Platform Solutions*")</f>
        <v>0</v>
      </c>
      <c r="K511">
        <f>COUNTIF('Metrics - Articles'!F510,"*GCO – Industry Cloud *")</f>
        <v>0</v>
      </c>
      <c r="L511">
        <f>COUNTIF('Metrics - Articles'!F510,"*GCO – Customer Engagement &amp; Commerce (CRM &amp; hybris) *")</f>
        <v>0</v>
      </c>
      <c r="M511">
        <f>COUNTIF('Metrics - Articles'!F510,"*GCO – HR (SuccessFactors)*")</f>
        <v>0</v>
      </c>
      <c r="N511">
        <f>COUNTIF('Metrics - Articles'!F510,"*GCO – Services Sales*")</f>
        <v>0</v>
      </c>
      <c r="O511">
        <f>COUNTIF('Metrics - Articles'!F510,"*GCO – Other*")</f>
        <v>0</v>
      </c>
      <c r="P511">
        <f>COUNTIF('Metrics - Articles'!F510,"*Corporate*")</f>
        <v>0</v>
      </c>
      <c r="R511" s="53">
        <f t="shared" si="9"/>
        <v>0</v>
      </c>
    </row>
    <row r="512" spans="2:18" x14ac:dyDescent="0.25">
      <c r="B512" s="48">
        <f>+'Metrics - Articles'!C511</f>
        <v>0</v>
      </c>
      <c r="C512">
        <f>COUNTIF('Metrics - Articles'!F511,"*GPO (Partner, Ecosystem, Channels)*")</f>
        <v>0</v>
      </c>
      <c r="D512">
        <f>COUNTIF('Metrics - Articles'!F511,"*Office of the CEO*")</f>
        <v>0</v>
      </c>
      <c r="E512">
        <f>COUNTIF('Metrics - Articles'!F511,"*Services Delivery &amp; Support (go-lives and deployments) *")</f>
        <v>0</v>
      </c>
      <c r="F512">
        <f>COUNTIF('Metrics - Articles'!F511,"*Human Resources (SAP HR and employee stories)*")</f>
        <v>0</v>
      </c>
      <c r="G512">
        <f>COUNTIF('Metrics - Articles'!F511,"*P&amp;I (Research &amp; Development)*")</f>
        <v>0</v>
      </c>
      <c r="H512">
        <f>COUNTIF('Metrics - Articles'!F511,"*Business Network (Concur, Ariba, Fieldglass)*")</f>
        <v>0</v>
      </c>
      <c r="I512">
        <f>COUNTIF('Metrics - Articles'!F511,"*GCO – Regions*")</f>
        <v>0</v>
      </c>
      <c r="J512">
        <f>COUNTIF('Metrics - Articles'!F511,"*GCO – Platform Solutions*")</f>
        <v>0</v>
      </c>
      <c r="K512">
        <f>COUNTIF('Metrics - Articles'!F511,"*GCO – Industry Cloud *")</f>
        <v>0</v>
      </c>
      <c r="L512">
        <f>COUNTIF('Metrics - Articles'!F511,"*GCO – Customer Engagement &amp; Commerce (CRM &amp; hybris) *")</f>
        <v>0</v>
      </c>
      <c r="M512">
        <f>COUNTIF('Metrics - Articles'!F511,"*GCO – HR (SuccessFactors)*")</f>
        <v>0</v>
      </c>
      <c r="N512">
        <f>COUNTIF('Metrics - Articles'!F511,"*GCO – Services Sales*")</f>
        <v>0</v>
      </c>
      <c r="O512">
        <f>COUNTIF('Metrics - Articles'!F511,"*GCO – Other*")</f>
        <v>0</v>
      </c>
      <c r="P512">
        <f>COUNTIF('Metrics - Articles'!F511,"*Corporate*")</f>
        <v>0</v>
      </c>
      <c r="R512" s="53">
        <f t="shared" si="9"/>
        <v>0</v>
      </c>
    </row>
    <row r="513" spans="2:18" x14ac:dyDescent="0.25">
      <c r="B513" s="48">
        <f>+'Metrics - Articles'!C512</f>
        <v>0</v>
      </c>
      <c r="C513">
        <f>COUNTIF('Metrics - Articles'!F512,"*GPO (Partner, Ecosystem, Channels)*")</f>
        <v>0</v>
      </c>
      <c r="D513">
        <f>COUNTIF('Metrics - Articles'!F512,"*Office of the CEO*")</f>
        <v>0</v>
      </c>
      <c r="E513">
        <f>COUNTIF('Metrics - Articles'!F512,"*Services Delivery &amp; Support (go-lives and deployments) *")</f>
        <v>0</v>
      </c>
      <c r="F513">
        <f>COUNTIF('Metrics - Articles'!F512,"*Human Resources (SAP HR and employee stories)*")</f>
        <v>0</v>
      </c>
      <c r="G513">
        <f>COUNTIF('Metrics - Articles'!F512,"*P&amp;I (Research &amp; Development)*")</f>
        <v>0</v>
      </c>
      <c r="H513">
        <f>COUNTIF('Metrics - Articles'!F512,"*Business Network (Concur, Ariba, Fieldglass)*")</f>
        <v>0</v>
      </c>
      <c r="I513">
        <f>COUNTIF('Metrics - Articles'!F512,"*GCO – Regions*")</f>
        <v>0</v>
      </c>
      <c r="J513">
        <f>COUNTIF('Metrics - Articles'!F512,"*GCO – Platform Solutions*")</f>
        <v>0</v>
      </c>
      <c r="K513">
        <f>COUNTIF('Metrics - Articles'!F512,"*GCO – Industry Cloud *")</f>
        <v>0</v>
      </c>
      <c r="L513">
        <f>COUNTIF('Metrics - Articles'!F512,"*GCO – Customer Engagement &amp; Commerce (CRM &amp; hybris) *")</f>
        <v>0</v>
      </c>
      <c r="M513">
        <f>COUNTIF('Metrics - Articles'!F512,"*GCO – HR (SuccessFactors)*")</f>
        <v>0</v>
      </c>
      <c r="N513">
        <f>COUNTIF('Metrics - Articles'!F512,"*GCO – Services Sales*")</f>
        <v>0</v>
      </c>
      <c r="O513">
        <f>COUNTIF('Metrics - Articles'!F512,"*GCO – Other*")</f>
        <v>0</v>
      </c>
      <c r="P513">
        <f>COUNTIF('Metrics - Articles'!F512,"*Corporate*")</f>
        <v>0</v>
      </c>
      <c r="R513" s="53">
        <f t="shared" si="9"/>
        <v>0</v>
      </c>
    </row>
    <row r="514" spans="2:18" x14ac:dyDescent="0.25">
      <c r="B514" s="48">
        <f>+'Metrics - Articles'!C513</f>
        <v>0</v>
      </c>
      <c r="C514">
        <f>COUNTIF('Metrics - Articles'!F513,"*GPO (Partner, Ecosystem, Channels)*")</f>
        <v>0</v>
      </c>
      <c r="D514">
        <f>COUNTIF('Metrics - Articles'!F513,"*Office of the CEO*")</f>
        <v>0</v>
      </c>
      <c r="E514">
        <f>COUNTIF('Metrics - Articles'!F513,"*Services Delivery &amp; Support (go-lives and deployments) *")</f>
        <v>0</v>
      </c>
      <c r="F514">
        <f>COUNTIF('Metrics - Articles'!F513,"*Human Resources (SAP HR and employee stories)*")</f>
        <v>0</v>
      </c>
      <c r="G514">
        <f>COUNTIF('Metrics - Articles'!F513,"*P&amp;I (Research &amp; Development)*")</f>
        <v>0</v>
      </c>
      <c r="H514">
        <f>COUNTIF('Metrics - Articles'!F513,"*Business Network (Concur, Ariba, Fieldglass)*")</f>
        <v>0</v>
      </c>
      <c r="I514">
        <f>COUNTIF('Metrics - Articles'!F513,"*GCO – Regions*")</f>
        <v>0</v>
      </c>
      <c r="J514">
        <f>COUNTIF('Metrics - Articles'!F513,"*GCO – Platform Solutions*")</f>
        <v>0</v>
      </c>
      <c r="K514">
        <f>COUNTIF('Metrics - Articles'!F513,"*GCO – Industry Cloud *")</f>
        <v>0</v>
      </c>
      <c r="L514">
        <f>COUNTIF('Metrics - Articles'!F513,"*GCO – Customer Engagement &amp; Commerce (CRM &amp; hybris) *")</f>
        <v>0</v>
      </c>
      <c r="M514">
        <f>COUNTIF('Metrics - Articles'!F513,"*GCO – HR (SuccessFactors)*")</f>
        <v>0</v>
      </c>
      <c r="N514">
        <f>COUNTIF('Metrics - Articles'!F513,"*GCO – Services Sales*")</f>
        <v>0</v>
      </c>
      <c r="O514">
        <f>COUNTIF('Metrics - Articles'!F513,"*GCO – Other*")</f>
        <v>0</v>
      </c>
      <c r="P514">
        <f>COUNTIF('Metrics - Articles'!F513,"*Corporate*")</f>
        <v>0</v>
      </c>
      <c r="R514" s="53">
        <f t="shared" si="9"/>
        <v>0</v>
      </c>
    </row>
    <row r="515" spans="2:18" x14ac:dyDescent="0.25">
      <c r="B515" s="48">
        <f>+'Metrics - Articles'!C514</f>
        <v>0</v>
      </c>
      <c r="C515">
        <f>COUNTIF('Metrics - Articles'!F514,"*GPO (Partner, Ecosystem, Channels)*")</f>
        <v>0</v>
      </c>
      <c r="D515">
        <f>COUNTIF('Metrics - Articles'!F514,"*Office of the CEO*")</f>
        <v>0</v>
      </c>
      <c r="E515">
        <f>COUNTIF('Metrics - Articles'!F514,"*Services Delivery &amp; Support (go-lives and deployments) *")</f>
        <v>0</v>
      </c>
      <c r="F515">
        <f>COUNTIF('Metrics - Articles'!F514,"*Human Resources (SAP HR and employee stories)*")</f>
        <v>0</v>
      </c>
      <c r="G515">
        <f>COUNTIF('Metrics - Articles'!F514,"*P&amp;I (Research &amp; Development)*")</f>
        <v>0</v>
      </c>
      <c r="H515">
        <f>COUNTIF('Metrics - Articles'!F514,"*Business Network (Concur, Ariba, Fieldglass)*")</f>
        <v>0</v>
      </c>
      <c r="I515">
        <f>COUNTIF('Metrics - Articles'!F514,"*GCO – Regions*")</f>
        <v>0</v>
      </c>
      <c r="J515">
        <f>COUNTIF('Metrics - Articles'!F514,"*GCO – Platform Solutions*")</f>
        <v>0</v>
      </c>
      <c r="K515">
        <f>COUNTIF('Metrics - Articles'!F514,"*GCO – Industry Cloud *")</f>
        <v>0</v>
      </c>
      <c r="L515">
        <f>COUNTIF('Metrics - Articles'!F514,"*GCO – Customer Engagement &amp; Commerce (CRM &amp; hybris) *")</f>
        <v>0</v>
      </c>
      <c r="M515">
        <f>COUNTIF('Metrics - Articles'!F514,"*GCO – HR (SuccessFactors)*")</f>
        <v>0</v>
      </c>
      <c r="N515">
        <f>COUNTIF('Metrics - Articles'!F514,"*GCO – Services Sales*")</f>
        <v>0</v>
      </c>
      <c r="O515">
        <f>COUNTIF('Metrics - Articles'!F514,"*GCO – Other*")</f>
        <v>0</v>
      </c>
      <c r="P515">
        <f>COUNTIF('Metrics - Articles'!F514,"*Corporate*")</f>
        <v>0</v>
      </c>
      <c r="R515" s="53">
        <f t="shared" si="9"/>
        <v>0</v>
      </c>
    </row>
    <row r="516" spans="2:18" x14ac:dyDescent="0.25">
      <c r="B516" s="48">
        <f>+'Metrics - Articles'!C515</f>
        <v>0</v>
      </c>
      <c r="C516">
        <f>COUNTIF('Metrics - Articles'!F515,"*GPO (Partner, Ecosystem, Channels)*")</f>
        <v>0</v>
      </c>
      <c r="D516">
        <f>COUNTIF('Metrics - Articles'!F515,"*Office of the CEO*")</f>
        <v>0</v>
      </c>
      <c r="E516">
        <f>COUNTIF('Metrics - Articles'!F515,"*Services Delivery &amp; Support (go-lives and deployments) *")</f>
        <v>0</v>
      </c>
      <c r="F516">
        <f>COUNTIF('Metrics - Articles'!F515,"*Human Resources (SAP HR and employee stories)*")</f>
        <v>0</v>
      </c>
      <c r="G516">
        <f>COUNTIF('Metrics - Articles'!F515,"*P&amp;I (Research &amp; Development)*")</f>
        <v>0</v>
      </c>
      <c r="H516">
        <f>COUNTIF('Metrics - Articles'!F515,"*Business Network (Concur, Ariba, Fieldglass)*")</f>
        <v>0</v>
      </c>
      <c r="I516">
        <f>COUNTIF('Metrics - Articles'!F515,"*GCO – Regions*")</f>
        <v>0</v>
      </c>
      <c r="J516">
        <f>COUNTIF('Metrics - Articles'!F515,"*GCO – Platform Solutions*")</f>
        <v>0</v>
      </c>
      <c r="K516">
        <f>COUNTIF('Metrics - Articles'!F515,"*GCO – Industry Cloud *")</f>
        <v>0</v>
      </c>
      <c r="L516">
        <f>COUNTIF('Metrics - Articles'!F515,"*GCO – Customer Engagement &amp; Commerce (CRM &amp; hybris) *")</f>
        <v>0</v>
      </c>
      <c r="M516">
        <f>COUNTIF('Metrics - Articles'!F515,"*GCO – HR (SuccessFactors)*")</f>
        <v>0</v>
      </c>
      <c r="N516">
        <f>COUNTIF('Metrics - Articles'!F515,"*GCO – Services Sales*")</f>
        <v>0</v>
      </c>
      <c r="O516">
        <f>COUNTIF('Metrics - Articles'!F515,"*GCO – Other*")</f>
        <v>0</v>
      </c>
      <c r="P516">
        <f>COUNTIF('Metrics - Articles'!F515,"*Corporate*")</f>
        <v>0</v>
      </c>
      <c r="R516" s="53">
        <f t="shared" si="9"/>
        <v>0</v>
      </c>
    </row>
    <row r="517" spans="2:18" x14ac:dyDescent="0.25">
      <c r="B517" s="48">
        <f>+'Metrics - Articles'!C516</f>
        <v>0</v>
      </c>
      <c r="C517">
        <f>COUNTIF('Metrics - Articles'!F516,"*GPO (Partner, Ecosystem, Channels)*")</f>
        <v>0</v>
      </c>
      <c r="D517">
        <f>COUNTIF('Metrics - Articles'!F516,"*Office of the CEO*")</f>
        <v>0</v>
      </c>
      <c r="E517">
        <f>COUNTIF('Metrics - Articles'!F516,"*Services Delivery &amp; Support (go-lives and deployments) *")</f>
        <v>0</v>
      </c>
      <c r="F517">
        <f>COUNTIF('Metrics - Articles'!F516,"*Human Resources (SAP HR and employee stories)*")</f>
        <v>0</v>
      </c>
      <c r="G517">
        <f>COUNTIF('Metrics - Articles'!F516,"*P&amp;I (Research &amp; Development)*")</f>
        <v>0</v>
      </c>
      <c r="H517">
        <f>COUNTIF('Metrics - Articles'!F516,"*Business Network (Concur, Ariba, Fieldglass)*")</f>
        <v>0</v>
      </c>
      <c r="I517">
        <f>COUNTIF('Metrics - Articles'!F516,"*GCO – Regions*")</f>
        <v>0</v>
      </c>
      <c r="J517">
        <f>COUNTIF('Metrics - Articles'!F516,"*GCO – Platform Solutions*")</f>
        <v>0</v>
      </c>
      <c r="K517">
        <f>COUNTIF('Metrics - Articles'!F516,"*GCO – Industry Cloud *")</f>
        <v>0</v>
      </c>
      <c r="L517">
        <f>COUNTIF('Metrics - Articles'!F516,"*GCO – Customer Engagement &amp; Commerce (CRM &amp; hybris) *")</f>
        <v>0</v>
      </c>
      <c r="M517">
        <f>COUNTIF('Metrics - Articles'!F516,"*GCO – HR (SuccessFactors)*")</f>
        <v>0</v>
      </c>
      <c r="N517">
        <f>COUNTIF('Metrics - Articles'!F516,"*GCO – Services Sales*")</f>
        <v>0</v>
      </c>
      <c r="O517">
        <f>COUNTIF('Metrics - Articles'!F516,"*GCO – Other*")</f>
        <v>0</v>
      </c>
      <c r="P517">
        <f>COUNTIF('Metrics - Articles'!F516,"*Corporate*")</f>
        <v>0</v>
      </c>
      <c r="R517" s="53">
        <f t="shared" si="9"/>
        <v>0</v>
      </c>
    </row>
    <row r="518" spans="2:18" x14ac:dyDescent="0.25">
      <c r="B518" s="48">
        <f>+'Metrics - Articles'!C517</f>
        <v>0</v>
      </c>
      <c r="C518">
        <f>COUNTIF('Metrics - Articles'!F517,"*GPO (Partner, Ecosystem, Channels)*")</f>
        <v>0</v>
      </c>
      <c r="D518">
        <f>COUNTIF('Metrics - Articles'!F517,"*Office of the CEO*")</f>
        <v>0</v>
      </c>
      <c r="E518">
        <f>COUNTIF('Metrics - Articles'!F517,"*Services Delivery &amp; Support (go-lives and deployments) *")</f>
        <v>0</v>
      </c>
      <c r="F518">
        <f>COUNTIF('Metrics - Articles'!F517,"*Human Resources (SAP HR and employee stories)*")</f>
        <v>0</v>
      </c>
      <c r="G518">
        <f>COUNTIF('Metrics - Articles'!F517,"*P&amp;I (Research &amp; Development)*")</f>
        <v>0</v>
      </c>
      <c r="H518">
        <f>COUNTIF('Metrics - Articles'!F517,"*Business Network (Concur, Ariba, Fieldglass)*")</f>
        <v>0</v>
      </c>
      <c r="I518">
        <f>COUNTIF('Metrics - Articles'!F517,"*GCO – Regions*")</f>
        <v>0</v>
      </c>
      <c r="J518">
        <f>COUNTIF('Metrics - Articles'!F517,"*GCO – Platform Solutions*")</f>
        <v>0</v>
      </c>
      <c r="K518">
        <f>COUNTIF('Metrics - Articles'!F517,"*GCO – Industry Cloud *")</f>
        <v>0</v>
      </c>
      <c r="L518">
        <f>COUNTIF('Metrics - Articles'!F517,"*GCO – Customer Engagement &amp; Commerce (CRM &amp; hybris) *")</f>
        <v>0</v>
      </c>
      <c r="M518">
        <f>COUNTIF('Metrics - Articles'!F517,"*GCO – HR (SuccessFactors)*")</f>
        <v>0</v>
      </c>
      <c r="N518">
        <f>COUNTIF('Metrics - Articles'!F517,"*GCO – Services Sales*")</f>
        <v>0</v>
      </c>
      <c r="O518">
        <f>COUNTIF('Metrics - Articles'!F517,"*GCO – Other*")</f>
        <v>0</v>
      </c>
      <c r="P518">
        <f>COUNTIF('Metrics - Articles'!F517,"*Corporate*")</f>
        <v>0</v>
      </c>
      <c r="R518" s="53">
        <f t="shared" si="9"/>
        <v>0</v>
      </c>
    </row>
    <row r="519" spans="2:18" x14ac:dyDescent="0.25">
      <c r="B519" s="48">
        <f>+'Metrics - Articles'!C518</f>
        <v>0</v>
      </c>
      <c r="C519">
        <f>COUNTIF('Metrics - Articles'!F518,"*GPO (Partner, Ecosystem, Channels)*")</f>
        <v>0</v>
      </c>
      <c r="D519">
        <f>COUNTIF('Metrics - Articles'!F518,"*Office of the CEO*")</f>
        <v>0</v>
      </c>
      <c r="E519">
        <f>COUNTIF('Metrics - Articles'!F518,"*Services Delivery &amp; Support (go-lives and deployments) *")</f>
        <v>0</v>
      </c>
      <c r="F519">
        <f>COUNTIF('Metrics - Articles'!F518,"*Human Resources (SAP HR and employee stories)*")</f>
        <v>0</v>
      </c>
      <c r="G519">
        <f>COUNTIF('Metrics - Articles'!F518,"*P&amp;I (Research &amp; Development)*")</f>
        <v>0</v>
      </c>
      <c r="H519">
        <f>COUNTIF('Metrics - Articles'!F518,"*Business Network (Concur, Ariba, Fieldglass)*")</f>
        <v>0</v>
      </c>
      <c r="I519">
        <f>COUNTIF('Metrics - Articles'!F518,"*GCO – Regions*")</f>
        <v>0</v>
      </c>
      <c r="J519">
        <f>COUNTIF('Metrics - Articles'!F518,"*GCO – Platform Solutions*")</f>
        <v>0</v>
      </c>
      <c r="K519">
        <f>COUNTIF('Metrics - Articles'!F518,"*GCO – Industry Cloud *")</f>
        <v>0</v>
      </c>
      <c r="L519">
        <f>COUNTIF('Metrics - Articles'!F518,"*GCO – Customer Engagement &amp; Commerce (CRM &amp; hybris) *")</f>
        <v>0</v>
      </c>
      <c r="M519">
        <f>COUNTIF('Metrics - Articles'!F518,"*GCO – HR (SuccessFactors)*")</f>
        <v>0</v>
      </c>
      <c r="N519">
        <f>COUNTIF('Metrics - Articles'!F518,"*GCO – Services Sales*")</f>
        <v>0</v>
      </c>
      <c r="O519">
        <f>COUNTIF('Metrics - Articles'!F518,"*GCO – Other*")</f>
        <v>0</v>
      </c>
      <c r="P519">
        <f>COUNTIF('Metrics - Articles'!F518,"*Corporate*")</f>
        <v>0</v>
      </c>
      <c r="R519" s="53">
        <f t="shared" si="9"/>
        <v>0</v>
      </c>
    </row>
    <row r="520" spans="2:18" x14ac:dyDescent="0.25">
      <c r="B520" s="48">
        <f>+'Metrics - Articles'!C519</f>
        <v>0</v>
      </c>
      <c r="C520">
        <f>COUNTIF('Metrics - Articles'!F519,"*GPO (Partner, Ecosystem, Channels)*")</f>
        <v>0</v>
      </c>
      <c r="D520">
        <f>COUNTIF('Metrics - Articles'!F519,"*Office of the CEO*")</f>
        <v>0</v>
      </c>
      <c r="E520">
        <f>COUNTIF('Metrics - Articles'!F519,"*Services Delivery &amp; Support (go-lives and deployments) *")</f>
        <v>0</v>
      </c>
      <c r="F520">
        <f>COUNTIF('Metrics - Articles'!F519,"*Human Resources (SAP HR and employee stories)*")</f>
        <v>0</v>
      </c>
      <c r="G520">
        <f>COUNTIF('Metrics - Articles'!F519,"*P&amp;I (Research &amp; Development)*")</f>
        <v>0</v>
      </c>
      <c r="H520">
        <f>COUNTIF('Metrics - Articles'!F519,"*Business Network (Concur, Ariba, Fieldglass)*")</f>
        <v>0</v>
      </c>
      <c r="I520">
        <f>COUNTIF('Metrics - Articles'!F519,"*GCO – Regions*")</f>
        <v>0</v>
      </c>
      <c r="J520">
        <f>COUNTIF('Metrics - Articles'!F519,"*GCO – Platform Solutions*")</f>
        <v>0</v>
      </c>
      <c r="K520">
        <f>COUNTIF('Metrics - Articles'!F519,"*GCO – Industry Cloud *")</f>
        <v>0</v>
      </c>
      <c r="L520">
        <f>COUNTIF('Metrics - Articles'!F519,"*GCO – Customer Engagement &amp; Commerce (CRM &amp; hybris) *")</f>
        <v>0</v>
      </c>
      <c r="M520">
        <f>COUNTIF('Metrics - Articles'!F519,"*GCO – HR (SuccessFactors)*")</f>
        <v>0</v>
      </c>
      <c r="N520">
        <f>COUNTIF('Metrics - Articles'!F519,"*GCO – Services Sales*")</f>
        <v>0</v>
      </c>
      <c r="O520">
        <f>COUNTIF('Metrics - Articles'!F519,"*GCO – Other*")</f>
        <v>0</v>
      </c>
      <c r="P520">
        <f>COUNTIF('Metrics - Articles'!F519,"*Corporate*")</f>
        <v>0</v>
      </c>
      <c r="R520" s="53">
        <f t="shared" si="9"/>
        <v>0</v>
      </c>
    </row>
    <row r="521" spans="2:18" x14ac:dyDescent="0.25">
      <c r="B521" s="48">
        <f>+'Metrics - Articles'!C520</f>
        <v>0</v>
      </c>
      <c r="C521">
        <f>COUNTIF('Metrics - Articles'!F520,"*GPO (Partner, Ecosystem, Channels)*")</f>
        <v>0</v>
      </c>
      <c r="D521">
        <f>COUNTIF('Metrics - Articles'!F520,"*Office of the CEO*")</f>
        <v>0</v>
      </c>
      <c r="E521">
        <f>COUNTIF('Metrics - Articles'!F520,"*Services Delivery &amp; Support (go-lives and deployments) *")</f>
        <v>0</v>
      </c>
      <c r="F521">
        <f>COUNTIF('Metrics - Articles'!F520,"*Human Resources (SAP HR and employee stories)*")</f>
        <v>0</v>
      </c>
      <c r="G521">
        <f>COUNTIF('Metrics - Articles'!F520,"*P&amp;I (Research &amp; Development)*")</f>
        <v>0</v>
      </c>
      <c r="H521">
        <f>COUNTIF('Metrics - Articles'!F520,"*Business Network (Concur, Ariba, Fieldglass)*")</f>
        <v>0</v>
      </c>
      <c r="I521">
        <f>COUNTIF('Metrics - Articles'!F520,"*GCO – Regions*")</f>
        <v>0</v>
      </c>
      <c r="J521">
        <f>COUNTIF('Metrics - Articles'!F520,"*GCO – Platform Solutions*")</f>
        <v>0</v>
      </c>
      <c r="K521">
        <f>COUNTIF('Metrics - Articles'!F520,"*GCO – Industry Cloud *")</f>
        <v>0</v>
      </c>
      <c r="L521">
        <f>COUNTIF('Metrics - Articles'!F520,"*GCO – Customer Engagement &amp; Commerce (CRM &amp; hybris) *")</f>
        <v>0</v>
      </c>
      <c r="M521">
        <f>COUNTIF('Metrics - Articles'!F520,"*GCO – HR (SuccessFactors)*")</f>
        <v>0</v>
      </c>
      <c r="N521">
        <f>COUNTIF('Metrics - Articles'!F520,"*GCO – Services Sales*")</f>
        <v>0</v>
      </c>
      <c r="O521">
        <f>COUNTIF('Metrics - Articles'!F520,"*GCO – Other*")</f>
        <v>0</v>
      </c>
      <c r="P521">
        <f>COUNTIF('Metrics - Articles'!F520,"*Corporate*")</f>
        <v>0</v>
      </c>
      <c r="R521" s="53">
        <f t="shared" si="9"/>
        <v>0</v>
      </c>
    </row>
    <row r="522" spans="2:18" x14ac:dyDescent="0.25">
      <c r="B522" s="48">
        <f>+'Metrics - Articles'!C521</f>
        <v>0</v>
      </c>
      <c r="C522">
        <f>COUNTIF('Metrics - Articles'!F521,"*GPO (Partner, Ecosystem, Channels)*")</f>
        <v>0</v>
      </c>
      <c r="D522">
        <f>COUNTIF('Metrics - Articles'!F521,"*Office of the CEO*")</f>
        <v>0</v>
      </c>
      <c r="E522">
        <f>COUNTIF('Metrics - Articles'!F521,"*Services Delivery &amp; Support (go-lives and deployments) *")</f>
        <v>0</v>
      </c>
      <c r="F522">
        <f>COUNTIF('Metrics - Articles'!F521,"*Human Resources (SAP HR and employee stories)*")</f>
        <v>0</v>
      </c>
      <c r="G522">
        <f>COUNTIF('Metrics - Articles'!F521,"*P&amp;I (Research &amp; Development)*")</f>
        <v>0</v>
      </c>
      <c r="H522">
        <f>COUNTIF('Metrics - Articles'!F521,"*Business Network (Concur, Ariba, Fieldglass)*")</f>
        <v>0</v>
      </c>
      <c r="I522">
        <f>COUNTIF('Metrics - Articles'!F521,"*GCO – Regions*")</f>
        <v>0</v>
      </c>
      <c r="J522">
        <f>COUNTIF('Metrics - Articles'!F521,"*GCO – Platform Solutions*")</f>
        <v>0</v>
      </c>
      <c r="K522">
        <f>COUNTIF('Metrics - Articles'!F521,"*GCO – Industry Cloud *")</f>
        <v>0</v>
      </c>
      <c r="L522">
        <f>COUNTIF('Metrics - Articles'!F521,"*GCO – Customer Engagement &amp; Commerce (CRM &amp; hybris) *")</f>
        <v>0</v>
      </c>
      <c r="M522">
        <f>COUNTIF('Metrics - Articles'!F521,"*GCO – HR (SuccessFactors)*")</f>
        <v>0</v>
      </c>
      <c r="N522">
        <f>COUNTIF('Metrics - Articles'!F521,"*GCO – Services Sales*")</f>
        <v>0</v>
      </c>
      <c r="O522">
        <f>COUNTIF('Metrics - Articles'!F521,"*GCO – Other*")</f>
        <v>0</v>
      </c>
      <c r="P522">
        <f>COUNTIF('Metrics - Articles'!F521,"*Corporate*")</f>
        <v>0</v>
      </c>
      <c r="R522" s="53">
        <f t="shared" ref="R522:R585" si="10">SUM(C522:Q522)</f>
        <v>0</v>
      </c>
    </row>
    <row r="523" spans="2:18" x14ac:dyDescent="0.25">
      <c r="B523" s="48">
        <f>+'Metrics - Articles'!C522</f>
        <v>0</v>
      </c>
      <c r="C523">
        <f>COUNTIF('Metrics - Articles'!F522,"*GPO (Partner, Ecosystem, Channels)*")</f>
        <v>0</v>
      </c>
      <c r="D523">
        <f>COUNTIF('Metrics - Articles'!F522,"*Office of the CEO*")</f>
        <v>0</v>
      </c>
      <c r="E523">
        <f>COUNTIF('Metrics - Articles'!F522,"*Services Delivery &amp; Support (go-lives and deployments) *")</f>
        <v>0</v>
      </c>
      <c r="F523">
        <f>COUNTIF('Metrics - Articles'!F522,"*Human Resources (SAP HR and employee stories)*")</f>
        <v>0</v>
      </c>
      <c r="G523">
        <f>COUNTIF('Metrics - Articles'!F522,"*P&amp;I (Research &amp; Development)*")</f>
        <v>0</v>
      </c>
      <c r="H523">
        <f>COUNTIF('Metrics - Articles'!F522,"*Business Network (Concur, Ariba, Fieldglass)*")</f>
        <v>0</v>
      </c>
      <c r="I523">
        <f>COUNTIF('Metrics - Articles'!F522,"*GCO – Regions*")</f>
        <v>0</v>
      </c>
      <c r="J523">
        <f>COUNTIF('Metrics - Articles'!F522,"*GCO – Platform Solutions*")</f>
        <v>0</v>
      </c>
      <c r="K523">
        <f>COUNTIF('Metrics - Articles'!F522,"*GCO – Industry Cloud *")</f>
        <v>0</v>
      </c>
      <c r="L523">
        <f>COUNTIF('Metrics - Articles'!F522,"*GCO – Customer Engagement &amp; Commerce (CRM &amp; hybris) *")</f>
        <v>0</v>
      </c>
      <c r="M523">
        <f>COUNTIF('Metrics - Articles'!F522,"*GCO – HR (SuccessFactors)*")</f>
        <v>0</v>
      </c>
      <c r="N523">
        <f>COUNTIF('Metrics - Articles'!F522,"*GCO – Services Sales*")</f>
        <v>0</v>
      </c>
      <c r="O523">
        <f>COUNTIF('Metrics - Articles'!F522,"*GCO – Other*")</f>
        <v>0</v>
      </c>
      <c r="P523">
        <f>COUNTIF('Metrics - Articles'!F522,"*Corporate*")</f>
        <v>0</v>
      </c>
      <c r="R523" s="53">
        <f t="shared" si="10"/>
        <v>0</v>
      </c>
    </row>
    <row r="524" spans="2:18" x14ac:dyDescent="0.25">
      <c r="B524" s="48">
        <f>+'Metrics - Articles'!C523</f>
        <v>0</v>
      </c>
      <c r="C524">
        <f>COUNTIF('Metrics - Articles'!F523,"*GPO (Partner, Ecosystem, Channels)*")</f>
        <v>0</v>
      </c>
      <c r="D524">
        <f>COUNTIF('Metrics - Articles'!F523,"*Office of the CEO*")</f>
        <v>0</v>
      </c>
      <c r="E524">
        <f>COUNTIF('Metrics - Articles'!F523,"*Services Delivery &amp; Support (go-lives and deployments) *")</f>
        <v>0</v>
      </c>
      <c r="F524">
        <f>COUNTIF('Metrics - Articles'!F523,"*Human Resources (SAP HR and employee stories)*")</f>
        <v>0</v>
      </c>
      <c r="G524">
        <f>COUNTIF('Metrics - Articles'!F523,"*P&amp;I (Research &amp; Development)*")</f>
        <v>0</v>
      </c>
      <c r="H524">
        <f>COUNTIF('Metrics - Articles'!F523,"*Business Network (Concur, Ariba, Fieldglass)*")</f>
        <v>0</v>
      </c>
      <c r="I524">
        <f>COUNTIF('Metrics - Articles'!F523,"*GCO – Regions*")</f>
        <v>0</v>
      </c>
      <c r="J524">
        <f>COUNTIF('Metrics - Articles'!F523,"*GCO – Platform Solutions*")</f>
        <v>0</v>
      </c>
      <c r="K524">
        <f>COUNTIF('Metrics - Articles'!F523,"*GCO – Industry Cloud *")</f>
        <v>0</v>
      </c>
      <c r="L524">
        <f>COUNTIF('Metrics - Articles'!F523,"*GCO – Customer Engagement &amp; Commerce (CRM &amp; hybris) *")</f>
        <v>0</v>
      </c>
      <c r="M524">
        <f>COUNTIF('Metrics - Articles'!F523,"*GCO – HR (SuccessFactors)*")</f>
        <v>0</v>
      </c>
      <c r="N524">
        <f>COUNTIF('Metrics - Articles'!F523,"*GCO – Services Sales*")</f>
        <v>0</v>
      </c>
      <c r="O524">
        <f>COUNTIF('Metrics - Articles'!F523,"*GCO – Other*")</f>
        <v>0</v>
      </c>
      <c r="P524">
        <f>COUNTIF('Metrics - Articles'!F523,"*Corporate*")</f>
        <v>0</v>
      </c>
      <c r="R524" s="53">
        <f t="shared" si="10"/>
        <v>0</v>
      </c>
    </row>
    <row r="525" spans="2:18" x14ac:dyDescent="0.25">
      <c r="B525" s="48">
        <f>+'Metrics - Articles'!C524</f>
        <v>0</v>
      </c>
      <c r="C525">
        <f>COUNTIF('Metrics - Articles'!F524,"*GPO (Partner, Ecosystem, Channels)*")</f>
        <v>0</v>
      </c>
      <c r="D525">
        <f>COUNTIF('Metrics - Articles'!F524,"*Office of the CEO*")</f>
        <v>0</v>
      </c>
      <c r="E525">
        <f>COUNTIF('Metrics - Articles'!F524,"*Services Delivery &amp; Support (go-lives and deployments) *")</f>
        <v>0</v>
      </c>
      <c r="F525">
        <f>COUNTIF('Metrics - Articles'!F524,"*Human Resources (SAP HR and employee stories)*")</f>
        <v>0</v>
      </c>
      <c r="G525">
        <f>COUNTIF('Metrics - Articles'!F524,"*P&amp;I (Research &amp; Development)*")</f>
        <v>0</v>
      </c>
      <c r="H525">
        <f>COUNTIF('Metrics - Articles'!F524,"*Business Network (Concur, Ariba, Fieldglass)*")</f>
        <v>0</v>
      </c>
      <c r="I525">
        <f>COUNTIF('Metrics - Articles'!F524,"*GCO – Regions*")</f>
        <v>0</v>
      </c>
      <c r="J525">
        <f>COUNTIF('Metrics - Articles'!F524,"*GCO – Platform Solutions*")</f>
        <v>0</v>
      </c>
      <c r="K525">
        <f>COUNTIF('Metrics - Articles'!F524,"*GCO – Industry Cloud *")</f>
        <v>0</v>
      </c>
      <c r="L525">
        <f>COUNTIF('Metrics - Articles'!F524,"*GCO – Customer Engagement &amp; Commerce (CRM &amp; hybris) *")</f>
        <v>0</v>
      </c>
      <c r="M525">
        <f>COUNTIF('Metrics - Articles'!F524,"*GCO – HR (SuccessFactors)*")</f>
        <v>0</v>
      </c>
      <c r="N525">
        <f>COUNTIF('Metrics - Articles'!F524,"*GCO – Services Sales*")</f>
        <v>0</v>
      </c>
      <c r="O525">
        <f>COUNTIF('Metrics - Articles'!F524,"*GCO – Other*")</f>
        <v>0</v>
      </c>
      <c r="P525">
        <f>COUNTIF('Metrics - Articles'!F524,"*Corporate*")</f>
        <v>0</v>
      </c>
      <c r="R525" s="53">
        <f t="shared" si="10"/>
        <v>0</v>
      </c>
    </row>
    <row r="526" spans="2:18" x14ac:dyDescent="0.25">
      <c r="B526" s="48">
        <f>+'Metrics - Articles'!C525</f>
        <v>0</v>
      </c>
      <c r="C526">
        <f>COUNTIF('Metrics - Articles'!F525,"*GPO (Partner, Ecosystem, Channels)*")</f>
        <v>0</v>
      </c>
      <c r="D526">
        <f>COUNTIF('Metrics - Articles'!F525,"*Office of the CEO*")</f>
        <v>0</v>
      </c>
      <c r="E526">
        <f>COUNTIF('Metrics - Articles'!F525,"*Services Delivery &amp; Support (go-lives and deployments) *")</f>
        <v>0</v>
      </c>
      <c r="F526">
        <f>COUNTIF('Metrics - Articles'!F525,"*Human Resources (SAP HR and employee stories)*")</f>
        <v>0</v>
      </c>
      <c r="G526">
        <f>COUNTIF('Metrics - Articles'!F525,"*P&amp;I (Research &amp; Development)*")</f>
        <v>0</v>
      </c>
      <c r="H526">
        <f>COUNTIF('Metrics - Articles'!F525,"*Business Network (Concur, Ariba, Fieldglass)*")</f>
        <v>0</v>
      </c>
      <c r="I526">
        <f>COUNTIF('Metrics - Articles'!F525,"*GCO – Regions*")</f>
        <v>0</v>
      </c>
      <c r="J526">
        <f>COUNTIF('Metrics - Articles'!F525,"*GCO – Platform Solutions*")</f>
        <v>0</v>
      </c>
      <c r="K526">
        <f>COUNTIF('Metrics - Articles'!F525,"*GCO – Industry Cloud *")</f>
        <v>0</v>
      </c>
      <c r="L526">
        <f>COUNTIF('Metrics - Articles'!F525,"*GCO – Customer Engagement &amp; Commerce (CRM &amp; hybris) *")</f>
        <v>0</v>
      </c>
      <c r="M526">
        <f>COUNTIF('Metrics - Articles'!F525,"*GCO – HR (SuccessFactors)*")</f>
        <v>0</v>
      </c>
      <c r="N526">
        <f>COUNTIF('Metrics - Articles'!F525,"*GCO – Services Sales*")</f>
        <v>0</v>
      </c>
      <c r="O526">
        <f>COUNTIF('Metrics - Articles'!F525,"*GCO – Other*")</f>
        <v>0</v>
      </c>
      <c r="P526">
        <f>COUNTIF('Metrics - Articles'!F525,"*Corporate*")</f>
        <v>0</v>
      </c>
      <c r="R526" s="53">
        <f t="shared" si="10"/>
        <v>0</v>
      </c>
    </row>
    <row r="527" spans="2:18" x14ac:dyDescent="0.25">
      <c r="B527" s="48">
        <f>+'Metrics - Articles'!C526</f>
        <v>0</v>
      </c>
      <c r="C527">
        <f>COUNTIF('Metrics - Articles'!F526,"*GPO (Partner, Ecosystem, Channels)*")</f>
        <v>0</v>
      </c>
      <c r="D527">
        <f>COUNTIF('Metrics - Articles'!F526,"*Office of the CEO*")</f>
        <v>0</v>
      </c>
      <c r="E527">
        <f>COUNTIF('Metrics - Articles'!F526,"*Services Delivery &amp; Support (go-lives and deployments) *")</f>
        <v>0</v>
      </c>
      <c r="F527">
        <f>COUNTIF('Metrics - Articles'!F526,"*Human Resources (SAP HR and employee stories)*")</f>
        <v>0</v>
      </c>
      <c r="G527">
        <f>COUNTIF('Metrics - Articles'!F526,"*P&amp;I (Research &amp; Development)*")</f>
        <v>0</v>
      </c>
      <c r="H527">
        <f>COUNTIF('Metrics - Articles'!F526,"*Business Network (Concur, Ariba, Fieldglass)*")</f>
        <v>0</v>
      </c>
      <c r="I527">
        <f>COUNTIF('Metrics - Articles'!F526,"*GCO – Regions*")</f>
        <v>0</v>
      </c>
      <c r="J527">
        <f>COUNTIF('Metrics - Articles'!F526,"*GCO – Platform Solutions*")</f>
        <v>0</v>
      </c>
      <c r="K527">
        <f>COUNTIF('Metrics - Articles'!F526,"*GCO – Industry Cloud *")</f>
        <v>0</v>
      </c>
      <c r="L527">
        <f>COUNTIF('Metrics - Articles'!F526,"*GCO – Customer Engagement &amp; Commerce (CRM &amp; hybris) *")</f>
        <v>0</v>
      </c>
      <c r="M527">
        <f>COUNTIF('Metrics - Articles'!F526,"*GCO – HR (SuccessFactors)*")</f>
        <v>0</v>
      </c>
      <c r="N527">
        <f>COUNTIF('Metrics - Articles'!F526,"*GCO – Services Sales*")</f>
        <v>0</v>
      </c>
      <c r="O527">
        <f>COUNTIF('Metrics - Articles'!F526,"*GCO – Other*")</f>
        <v>0</v>
      </c>
      <c r="P527">
        <f>COUNTIF('Metrics - Articles'!F526,"*Corporate*")</f>
        <v>0</v>
      </c>
      <c r="R527" s="53">
        <f t="shared" si="10"/>
        <v>0</v>
      </c>
    </row>
    <row r="528" spans="2:18" x14ac:dyDescent="0.25">
      <c r="B528" s="48">
        <f>+'Metrics - Articles'!C527</f>
        <v>0</v>
      </c>
      <c r="C528">
        <f>COUNTIF('Metrics - Articles'!F527,"*GPO (Partner, Ecosystem, Channels)*")</f>
        <v>0</v>
      </c>
      <c r="D528">
        <f>COUNTIF('Metrics - Articles'!F527,"*Office of the CEO*")</f>
        <v>0</v>
      </c>
      <c r="E528">
        <f>COUNTIF('Metrics - Articles'!F527,"*Services Delivery &amp; Support (go-lives and deployments) *")</f>
        <v>0</v>
      </c>
      <c r="F528">
        <f>COUNTIF('Metrics - Articles'!F527,"*Human Resources (SAP HR and employee stories)*")</f>
        <v>0</v>
      </c>
      <c r="G528">
        <f>COUNTIF('Metrics - Articles'!F527,"*P&amp;I (Research &amp; Development)*")</f>
        <v>0</v>
      </c>
      <c r="H528">
        <f>COUNTIF('Metrics - Articles'!F527,"*Business Network (Concur, Ariba, Fieldglass)*")</f>
        <v>0</v>
      </c>
      <c r="I528">
        <f>COUNTIF('Metrics - Articles'!F527,"*GCO – Regions*")</f>
        <v>0</v>
      </c>
      <c r="J528">
        <f>COUNTIF('Metrics - Articles'!F527,"*GCO – Platform Solutions*")</f>
        <v>0</v>
      </c>
      <c r="K528">
        <f>COUNTIF('Metrics - Articles'!F527,"*GCO – Industry Cloud *")</f>
        <v>0</v>
      </c>
      <c r="L528">
        <f>COUNTIF('Metrics - Articles'!F527,"*GCO – Customer Engagement &amp; Commerce (CRM &amp; hybris) *")</f>
        <v>0</v>
      </c>
      <c r="M528">
        <f>COUNTIF('Metrics - Articles'!F527,"*GCO – HR (SuccessFactors)*")</f>
        <v>0</v>
      </c>
      <c r="N528">
        <f>COUNTIF('Metrics - Articles'!F527,"*GCO – Services Sales*")</f>
        <v>0</v>
      </c>
      <c r="O528">
        <f>COUNTIF('Metrics - Articles'!F527,"*GCO – Other*")</f>
        <v>0</v>
      </c>
      <c r="P528">
        <f>COUNTIF('Metrics - Articles'!F527,"*Corporate*")</f>
        <v>0</v>
      </c>
      <c r="R528" s="53">
        <f t="shared" si="10"/>
        <v>0</v>
      </c>
    </row>
    <row r="529" spans="2:18" x14ac:dyDescent="0.25">
      <c r="B529" s="48">
        <f>+'Metrics - Articles'!C528</f>
        <v>0</v>
      </c>
      <c r="C529">
        <f>COUNTIF('Metrics - Articles'!F528,"*GPO (Partner, Ecosystem, Channels)*")</f>
        <v>0</v>
      </c>
      <c r="D529">
        <f>COUNTIF('Metrics - Articles'!F528,"*Office of the CEO*")</f>
        <v>0</v>
      </c>
      <c r="E529">
        <f>COUNTIF('Metrics - Articles'!F528,"*Services Delivery &amp; Support (go-lives and deployments) *")</f>
        <v>0</v>
      </c>
      <c r="F529">
        <f>COUNTIF('Metrics - Articles'!F528,"*Human Resources (SAP HR and employee stories)*")</f>
        <v>0</v>
      </c>
      <c r="G529">
        <f>COUNTIF('Metrics - Articles'!F528,"*P&amp;I (Research &amp; Development)*")</f>
        <v>0</v>
      </c>
      <c r="H529">
        <f>COUNTIF('Metrics - Articles'!F528,"*Business Network (Concur, Ariba, Fieldglass)*")</f>
        <v>0</v>
      </c>
      <c r="I529">
        <f>COUNTIF('Metrics - Articles'!F528,"*GCO – Regions*")</f>
        <v>0</v>
      </c>
      <c r="J529">
        <f>COUNTIF('Metrics - Articles'!F528,"*GCO – Platform Solutions*")</f>
        <v>0</v>
      </c>
      <c r="K529">
        <f>COUNTIF('Metrics - Articles'!F528,"*GCO – Industry Cloud *")</f>
        <v>0</v>
      </c>
      <c r="L529">
        <f>COUNTIF('Metrics - Articles'!F528,"*GCO – Customer Engagement &amp; Commerce (CRM &amp; hybris) *")</f>
        <v>0</v>
      </c>
      <c r="M529">
        <f>COUNTIF('Metrics - Articles'!F528,"*GCO – HR (SuccessFactors)*")</f>
        <v>0</v>
      </c>
      <c r="N529">
        <f>COUNTIF('Metrics - Articles'!F528,"*GCO – Services Sales*")</f>
        <v>0</v>
      </c>
      <c r="O529">
        <f>COUNTIF('Metrics - Articles'!F528,"*GCO – Other*")</f>
        <v>0</v>
      </c>
      <c r="P529">
        <f>COUNTIF('Metrics - Articles'!F528,"*Corporate*")</f>
        <v>0</v>
      </c>
      <c r="R529" s="53">
        <f t="shared" si="10"/>
        <v>0</v>
      </c>
    </row>
    <row r="530" spans="2:18" x14ac:dyDescent="0.25">
      <c r="B530" s="48">
        <f>+'Metrics - Articles'!C529</f>
        <v>0</v>
      </c>
      <c r="C530">
        <f>COUNTIF('Metrics - Articles'!F529,"*GPO (Partner, Ecosystem, Channels)*")</f>
        <v>0</v>
      </c>
      <c r="D530">
        <f>COUNTIF('Metrics - Articles'!F529,"*Office of the CEO*")</f>
        <v>0</v>
      </c>
      <c r="E530">
        <f>COUNTIF('Metrics - Articles'!F529,"*Services Delivery &amp; Support (go-lives and deployments) *")</f>
        <v>0</v>
      </c>
      <c r="F530">
        <f>COUNTIF('Metrics - Articles'!F529,"*Human Resources (SAP HR and employee stories)*")</f>
        <v>0</v>
      </c>
      <c r="G530">
        <f>COUNTIF('Metrics - Articles'!F529,"*P&amp;I (Research &amp; Development)*")</f>
        <v>0</v>
      </c>
      <c r="H530">
        <f>COUNTIF('Metrics - Articles'!F529,"*Business Network (Concur, Ariba, Fieldglass)*")</f>
        <v>0</v>
      </c>
      <c r="I530">
        <f>COUNTIF('Metrics - Articles'!F529,"*GCO – Regions*")</f>
        <v>0</v>
      </c>
      <c r="J530">
        <f>COUNTIF('Metrics - Articles'!F529,"*GCO – Platform Solutions*")</f>
        <v>0</v>
      </c>
      <c r="K530">
        <f>COUNTIF('Metrics - Articles'!F529,"*GCO – Industry Cloud *")</f>
        <v>0</v>
      </c>
      <c r="L530">
        <f>COUNTIF('Metrics - Articles'!F529,"*GCO – Customer Engagement &amp; Commerce (CRM &amp; hybris) *")</f>
        <v>0</v>
      </c>
      <c r="M530">
        <f>COUNTIF('Metrics - Articles'!F529,"*GCO – HR (SuccessFactors)*")</f>
        <v>0</v>
      </c>
      <c r="N530">
        <f>COUNTIF('Metrics - Articles'!F529,"*GCO – Services Sales*")</f>
        <v>0</v>
      </c>
      <c r="O530">
        <f>COUNTIF('Metrics - Articles'!F529,"*GCO – Other*")</f>
        <v>0</v>
      </c>
      <c r="P530">
        <f>COUNTIF('Metrics - Articles'!F529,"*Corporate*")</f>
        <v>0</v>
      </c>
      <c r="R530" s="53">
        <f t="shared" si="10"/>
        <v>0</v>
      </c>
    </row>
    <row r="531" spans="2:18" x14ac:dyDescent="0.25">
      <c r="B531" s="48">
        <f>+'Metrics - Articles'!C530</f>
        <v>0</v>
      </c>
      <c r="C531">
        <f>COUNTIF('Metrics - Articles'!F530,"*GPO (Partner, Ecosystem, Channels)*")</f>
        <v>0</v>
      </c>
      <c r="D531">
        <f>COUNTIF('Metrics - Articles'!F530,"*Office of the CEO*")</f>
        <v>0</v>
      </c>
      <c r="E531">
        <f>COUNTIF('Metrics - Articles'!F530,"*Services Delivery &amp; Support (go-lives and deployments) *")</f>
        <v>0</v>
      </c>
      <c r="F531">
        <f>COUNTIF('Metrics - Articles'!F530,"*Human Resources (SAP HR and employee stories)*")</f>
        <v>0</v>
      </c>
      <c r="G531">
        <f>COUNTIF('Metrics - Articles'!F530,"*P&amp;I (Research &amp; Development)*")</f>
        <v>0</v>
      </c>
      <c r="H531">
        <f>COUNTIF('Metrics - Articles'!F530,"*Business Network (Concur, Ariba, Fieldglass)*")</f>
        <v>0</v>
      </c>
      <c r="I531">
        <f>COUNTIF('Metrics - Articles'!F530,"*GCO – Regions*")</f>
        <v>0</v>
      </c>
      <c r="J531">
        <f>COUNTIF('Metrics - Articles'!F530,"*GCO – Platform Solutions*")</f>
        <v>0</v>
      </c>
      <c r="K531">
        <f>COUNTIF('Metrics - Articles'!F530,"*GCO – Industry Cloud *")</f>
        <v>0</v>
      </c>
      <c r="L531">
        <f>COUNTIF('Metrics - Articles'!F530,"*GCO – Customer Engagement &amp; Commerce (CRM &amp; hybris) *")</f>
        <v>0</v>
      </c>
      <c r="M531">
        <f>COUNTIF('Metrics - Articles'!F530,"*GCO – HR (SuccessFactors)*")</f>
        <v>0</v>
      </c>
      <c r="N531">
        <f>COUNTIF('Metrics - Articles'!F530,"*GCO – Services Sales*")</f>
        <v>0</v>
      </c>
      <c r="O531">
        <f>COUNTIF('Metrics - Articles'!F530,"*GCO – Other*")</f>
        <v>0</v>
      </c>
      <c r="P531">
        <f>COUNTIF('Metrics - Articles'!F530,"*Corporate*")</f>
        <v>0</v>
      </c>
      <c r="R531" s="53">
        <f t="shared" si="10"/>
        <v>0</v>
      </c>
    </row>
    <row r="532" spans="2:18" x14ac:dyDescent="0.25">
      <c r="B532" s="48">
        <f>+'Metrics - Articles'!C531</f>
        <v>0</v>
      </c>
      <c r="C532">
        <f>COUNTIF('Metrics - Articles'!F531,"*GPO (Partner, Ecosystem, Channels)*")</f>
        <v>0</v>
      </c>
      <c r="D532">
        <f>COUNTIF('Metrics - Articles'!F531,"*Office of the CEO*")</f>
        <v>0</v>
      </c>
      <c r="E532">
        <f>COUNTIF('Metrics - Articles'!F531,"*Services Delivery &amp; Support (go-lives and deployments) *")</f>
        <v>0</v>
      </c>
      <c r="F532">
        <f>COUNTIF('Metrics - Articles'!F531,"*Human Resources (SAP HR and employee stories)*")</f>
        <v>0</v>
      </c>
      <c r="G532">
        <f>COUNTIF('Metrics - Articles'!F531,"*P&amp;I (Research &amp; Development)*")</f>
        <v>0</v>
      </c>
      <c r="H532">
        <f>COUNTIF('Metrics - Articles'!F531,"*Business Network (Concur, Ariba, Fieldglass)*")</f>
        <v>0</v>
      </c>
      <c r="I532">
        <f>COUNTIF('Metrics - Articles'!F531,"*GCO – Regions*")</f>
        <v>0</v>
      </c>
      <c r="J532">
        <f>COUNTIF('Metrics - Articles'!F531,"*GCO – Platform Solutions*")</f>
        <v>0</v>
      </c>
      <c r="K532">
        <f>COUNTIF('Metrics - Articles'!F531,"*GCO – Industry Cloud *")</f>
        <v>0</v>
      </c>
      <c r="L532">
        <f>COUNTIF('Metrics - Articles'!F531,"*GCO – Customer Engagement &amp; Commerce (CRM &amp; hybris) *")</f>
        <v>0</v>
      </c>
      <c r="M532">
        <f>COUNTIF('Metrics - Articles'!F531,"*GCO – HR (SuccessFactors)*")</f>
        <v>0</v>
      </c>
      <c r="N532">
        <f>COUNTIF('Metrics - Articles'!F531,"*GCO – Services Sales*")</f>
        <v>0</v>
      </c>
      <c r="O532">
        <f>COUNTIF('Metrics - Articles'!F531,"*GCO – Other*")</f>
        <v>0</v>
      </c>
      <c r="P532">
        <f>COUNTIF('Metrics - Articles'!F531,"*Corporate*")</f>
        <v>0</v>
      </c>
      <c r="R532" s="53">
        <f t="shared" si="10"/>
        <v>0</v>
      </c>
    </row>
    <row r="533" spans="2:18" x14ac:dyDescent="0.25">
      <c r="B533" s="48">
        <f>+'Metrics - Articles'!C532</f>
        <v>0</v>
      </c>
      <c r="C533">
        <f>COUNTIF('Metrics - Articles'!F532,"*GPO (Partner, Ecosystem, Channels)*")</f>
        <v>0</v>
      </c>
      <c r="D533">
        <f>COUNTIF('Metrics - Articles'!F532,"*Office of the CEO*")</f>
        <v>0</v>
      </c>
      <c r="E533">
        <f>COUNTIF('Metrics - Articles'!F532,"*Services Delivery &amp; Support (go-lives and deployments) *")</f>
        <v>0</v>
      </c>
      <c r="F533">
        <f>COUNTIF('Metrics - Articles'!F532,"*Human Resources (SAP HR and employee stories)*")</f>
        <v>0</v>
      </c>
      <c r="G533">
        <f>COUNTIF('Metrics - Articles'!F532,"*P&amp;I (Research &amp; Development)*")</f>
        <v>0</v>
      </c>
      <c r="H533">
        <f>COUNTIF('Metrics - Articles'!F532,"*Business Network (Concur, Ariba, Fieldglass)*")</f>
        <v>0</v>
      </c>
      <c r="I533">
        <f>COUNTIF('Metrics - Articles'!F532,"*GCO – Regions*")</f>
        <v>0</v>
      </c>
      <c r="J533">
        <f>COUNTIF('Metrics - Articles'!F532,"*GCO – Platform Solutions*")</f>
        <v>0</v>
      </c>
      <c r="K533">
        <f>COUNTIF('Metrics - Articles'!F532,"*GCO – Industry Cloud *")</f>
        <v>0</v>
      </c>
      <c r="L533">
        <f>COUNTIF('Metrics - Articles'!F532,"*GCO – Customer Engagement &amp; Commerce (CRM &amp; hybris) *")</f>
        <v>0</v>
      </c>
      <c r="M533">
        <f>COUNTIF('Metrics - Articles'!F532,"*GCO – HR (SuccessFactors)*")</f>
        <v>0</v>
      </c>
      <c r="N533">
        <f>COUNTIF('Metrics - Articles'!F532,"*GCO – Services Sales*")</f>
        <v>0</v>
      </c>
      <c r="O533">
        <f>COUNTIF('Metrics - Articles'!F532,"*GCO – Other*")</f>
        <v>0</v>
      </c>
      <c r="P533">
        <f>COUNTIF('Metrics - Articles'!F532,"*Corporate*")</f>
        <v>0</v>
      </c>
      <c r="R533" s="53">
        <f t="shared" si="10"/>
        <v>0</v>
      </c>
    </row>
    <row r="534" spans="2:18" x14ac:dyDescent="0.25">
      <c r="B534" s="48">
        <f>+'Metrics - Articles'!C533</f>
        <v>0</v>
      </c>
      <c r="C534">
        <f>COUNTIF('Metrics - Articles'!F533,"*GPO (Partner, Ecosystem, Channels)*")</f>
        <v>0</v>
      </c>
      <c r="D534">
        <f>COUNTIF('Metrics - Articles'!F533,"*Office of the CEO*")</f>
        <v>0</v>
      </c>
      <c r="E534">
        <f>COUNTIF('Metrics - Articles'!F533,"*Services Delivery &amp; Support (go-lives and deployments) *")</f>
        <v>0</v>
      </c>
      <c r="F534">
        <f>COUNTIF('Metrics - Articles'!F533,"*Human Resources (SAP HR and employee stories)*")</f>
        <v>0</v>
      </c>
      <c r="G534">
        <f>COUNTIF('Metrics - Articles'!F533,"*P&amp;I (Research &amp; Development)*")</f>
        <v>0</v>
      </c>
      <c r="H534">
        <f>COUNTIF('Metrics - Articles'!F533,"*Business Network (Concur, Ariba, Fieldglass)*")</f>
        <v>0</v>
      </c>
      <c r="I534">
        <f>COUNTIF('Metrics - Articles'!F533,"*GCO – Regions*")</f>
        <v>0</v>
      </c>
      <c r="J534">
        <f>COUNTIF('Metrics - Articles'!F533,"*GCO – Platform Solutions*")</f>
        <v>0</v>
      </c>
      <c r="K534">
        <f>COUNTIF('Metrics - Articles'!F533,"*GCO – Industry Cloud *")</f>
        <v>0</v>
      </c>
      <c r="L534">
        <f>COUNTIF('Metrics - Articles'!F533,"*GCO – Customer Engagement &amp; Commerce (CRM &amp; hybris) *")</f>
        <v>0</v>
      </c>
      <c r="M534">
        <f>COUNTIF('Metrics - Articles'!F533,"*GCO – HR (SuccessFactors)*")</f>
        <v>0</v>
      </c>
      <c r="N534">
        <f>COUNTIF('Metrics - Articles'!F533,"*GCO – Services Sales*")</f>
        <v>0</v>
      </c>
      <c r="O534">
        <f>COUNTIF('Metrics - Articles'!F533,"*GCO – Other*")</f>
        <v>0</v>
      </c>
      <c r="P534">
        <f>COUNTIF('Metrics - Articles'!F533,"*Corporate*")</f>
        <v>0</v>
      </c>
      <c r="R534" s="53">
        <f t="shared" si="10"/>
        <v>0</v>
      </c>
    </row>
    <row r="535" spans="2:18" x14ac:dyDescent="0.25">
      <c r="B535" s="48">
        <f>+'Metrics - Articles'!C534</f>
        <v>0</v>
      </c>
      <c r="C535">
        <f>COUNTIF('Metrics - Articles'!F534,"*GPO (Partner, Ecosystem, Channels)*")</f>
        <v>0</v>
      </c>
      <c r="D535">
        <f>COUNTIF('Metrics - Articles'!F534,"*Office of the CEO*")</f>
        <v>0</v>
      </c>
      <c r="E535">
        <f>COUNTIF('Metrics - Articles'!F534,"*Services Delivery &amp; Support (go-lives and deployments) *")</f>
        <v>0</v>
      </c>
      <c r="F535">
        <f>COUNTIF('Metrics - Articles'!F534,"*Human Resources (SAP HR and employee stories)*")</f>
        <v>0</v>
      </c>
      <c r="G535">
        <f>COUNTIF('Metrics - Articles'!F534,"*P&amp;I (Research &amp; Development)*")</f>
        <v>0</v>
      </c>
      <c r="H535">
        <f>COUNTIF('Metrics - Articles'!F534,"*Business Network (Concur, Ariba, Fieldglass)*")</f>
        <v>0</v>
      </c>
      <c r="I535">
        <f>COUNTIF('Metrics - Articles'!F534,"*GCO – Regions*")</f>
        <v>0</v>
      </c>
      <c r="J535">
        <f>COUNTIF('Metrics - Articles'!F534,"*GCO – Platform Solutions*")</f>
        <v>0</v>
      </c>
      <c r="K535">
        <f>COUNTIF('Metrics - Articles'!F534,"*GCO – Industry Cloud *")</f>
        <v>0</v>
      </c>
      <c r="L535">
        <f>COUNTIF('Metrics - Articles'!F534,"*GCO – Customer Engagement &amp; Commerce (CRM &amp; hybris) *")</f>
        <v>0</v>
      </c>
      <c r="M535">
        <f>COUNTIF('Metrics - Articles'!F534,"*GCO – HR (SuccessFactors)*")</f>
        <v>0</v>
      </c>
      <c r="N535">
        <f>COUNTIF('Metrics - Articles'!F534,"*GCO – Services Sales*")</f>
        <v>0</v>
      </c>
      <c r="O535">
        <f>COUNTIF('Metrics - Articles'!F534,"*GCO – Other*")</f>
        <v>0</v>
      </c>
      <c r="P535">
        <f>COUNTIF('Metrics - Articles'!F534,"*Corporate*")</f>
        <v>0</v>
      </c>
      <c r="R535" s="53">
        <f t="shared" si="10"/>
        <v>0</v>
      </c>
    </row>
    <row r="536" spans="2:18" x14ac:dyDescent="0.25">
      <c r="B536" s="48">
        <f>+'Metrics - Articles'!C535</f>
        <v>0</v>
      </c>
      <c r="C536">
        <f>COUNTIF('Metrics - Articles'!F535,"*GPO (Partner, Ecosystem, Channels)*")</f>
        <v>0</v>
      </c>
      <c r="D536">
        <f>COUNTIF('Metrics - Articles'!F535,"*Office of the CEO*")</f>
        <v>0</v>
      </c>
      <c r="E536">
        <f>COUNTIF('Metrics - Articles'!F535,"*Services Delivery &amp; Support (go-lives and deployments) *")</f>
        <v>0</v>
      </c>
      <c r="F536">
        <f>COUNTIF('Metrics - Articles'!F535,"*Human Resources (SAP HR and employee stories)*")</f>
        <v>0</v>
      </c>
      <c r="G536">
        <f>COUNTIF('Metrics - Articles'!F535,"*P&amp;I (Research &amp; Development)*")</f>
        <v>0</v>
      </c>
      <c r="H536">
        <f>COUNTIF('Metrics - Articles'!F535,"*Business Network (Concur, Ariba, Fieldglass)*")</f>
        <v>0</v>
      </c>
      <c r="I536">
        <f>COUNTIF('Metrics - Articles'!F535,"*GCO – Regions*")</f>
        <v>0</v>
      </c>
      <c r="J536">
        <f>COUNTIF('Metrics - Articles'!F535,"*GCO – Platform Solutions*")</f>
        <v>0</v>
      </c>
      <c r="K536">
        <f>COUNTIF('Metrics - Articles'!F535,"*GCO – Industry Cloud *")</f>
        <v>0</v>
      </c>
      <c r="L536">
        <f>COUNTIF('Metrics - Articles'!F535,"*GCO – Customer Engagement &amp; Commerce (CRM &amp; hybris) *")</f>
        <v>0</v>
      </c>
      <c r="M536">
        <f>COUNTIF('Metrics - Articles'!F535,"*GCO – HR (SuccessFactors)*")</f>
        <v>0</v>
      </c>
      <c r="N536">
        <f>COUNTIF('Metrics - Articles'!F535,"*GCO – Services Sales*")</f>
        <v>0</v>
      </c>
      <c r="O536">
        <f>COUNTIF('Metrics - Articles'!F535,"*GCO – Other*")</f>
        <v>0</v>
      </c>
      <c r="P536">
        <f>COUNTIF('Metrics - Articles'!F535,"*Corporate*")</f>
        <v>0</v>
      </c>
      <c r="R536" s="53">
        <f t="shared" si="10"/>
        <v>0</v>
      </c>
    </row>
    <row r="537" spans="2:18" x14ac:dyDescent="0.25">
      <c r="B537" s="48">
        <f>+'Metrics - Articles'!C536</f>
        <v>0</v>
      </c>
      <c r="C537">
        <f>COUNTIF('Metrics - Articles'!F536,"*GPO (Partner, Ecosystem, Channels)*")</f>
        <v>0</v>
      </c>
      <c r="D537">
        <f>COUNTIF('Metrics - Articles'!F536,"*Office of the CEO*")</f>
        <v>0</v>
      </c>
      <c r="E537">
        <f>COUNTIF('Metrics - Articles'!F536,"*Services Delivery &amp; Support (go-lives and deployments) *")</f>
        <v>0</v>
      </c>
      <c r="F537">
        <f>COUNTIF('Metrics - Articles'!F536,"*Human Resources (SAP HR and employee stories)*")</f>
        <v>0</v>
      </c>
      <c r="G537">
        <f>COUNTIF('Metrics - Articles'!F536,"*P&amp;I (Research &amp; Development)*")</f>
        <v>0</v>
      </c>
      <c r="H537">
        <f>COUNTIF('Metrics - Articles'!F536,"*Business Network (Concur, Ariba, Fieldglass)*")</f>
        <v>0</v>
      </c>
      <c r="I537">
        <f>COUNTIF('Metrics - Articles'!F536,"*GCO – Regions*")</f>
        <v>0</v>
      </c>
      <c r="J537">
        <f>COUNTIF('Metrics - Articles'!F536,"*GCO – Platform Solutions*")</f>
        <v>0</v>
      </c>
      <c r="K537">
        <f>COUNTIF('Metrics - Articles'!F536,"*GCO – Industry Cloud *")</f>
        <v>0</v>
      </c>
      <c r="L537">
        <f>COUNTIF('Metrics - Articles'!F536,"*GCO – Customer Engagement &amp; Commerce (CRM &amp; hybris) *")</f>
        <v>0</v>
      </c>
      <c r="M537">
        <f>COUNTIF('Metrics - Articles'!F536,"*GCO – HR (SuccessFactors)*")</f>
        <v>0</v>
      </c>
      <c r="N537">
        <f>COUNTIF('Metrics - Articles'!F536,"*GCO – Services Sales*")</f>
        <v>0</v>
      </c>
      <c r="O537">
        <f>COUNTIF('Metrics - Articles'!F536,"*GCO – Other*")</f>
        <v>0</v>
      </c>
      <c r="P537">
        <f>COUNTIF('Metrics - Articles'!F536,"*Corporate*")</f>
        <v>0</v>
      </c>
      <c r="R537" s="53">
        <f t="shared" si="10"/>
        <v>0</v>
      </c>
    </row>
    <row r="538" spans="2:18" x14ac:dyDescent="0.25">
      <c r="B538" s="48">
        <f>+'Metrics - Articles'!C537</f>
        <v>0</v>
      </c>
      <c r="C538">
        <f>COUNTIF('Metrics - Articles'!F537,"*GPO (Partner, Ecosystem, Channels)*")</f>
        <v>0</v>
      </c>
      <c r="D538">
        <f>COUNTIF('Metrics - Articles'!F537,"*Office of the CEO*")</f>
        <v>0</v>
      </c>
      <c r="E538">
        <f>COUNTIF('Metrics - Articles'!F537,"*Services Delivery &amp; Support (go-lives and deployments) *")</f>
        <v>0</v>
      </c>
      <c r="F538">
        <f>COUNTIF('Metrics - Articles'!F537,"*Human Resources (SAP HR and employee stories)*")</f>
        <v>0</v>
      </c>
      <c r="G538">
        <f>COUNTIF('Metrics - Articles'!F537,"*P&amp;I (Research &amp; Development)*")</f>
        <v>0</v>
      </c>
      <c r="H538">
        <f>COUNTIF('Metrics - Articles'!F537,"*Business Network (Concur, Ariba, Fieldglass)*")</f>
        <v>0</v>
      </c>
      <c r="I538">
        <f>COUNTIF('Metrics - Articles'!F537,"*GCO – Regions*")</f>
        <v>0</v>
      </c>
      <c r="J538">
        <f>COUNTIF('Metrics - Articles'!F537,"*GCO – Platform Solutions*")</f>
        <v>0</v>
      </c>
      <c r="K538">
        <f>COUNTIF('Metrics - Articles'!F537,"*GCO – Industry Cloud *")</f>
        <v>0</v>
      </c>
      <c r="L538">
        <f>COUNTIF('Metrics - Articles'!F537,"*GCO – Customer Engagement &amp; Commerce (CRM &amp; hybris) *")</f>
        <v>0</v>
      </c>
      <c r="M538">
        <f>COUNTIF('Metrics - Articles'!F537,"*GCO – HR (SuccessFactors)*")</f>
        <v>0</v>
      </c>
      <c r="N538">
        <f>COUNTIF('Metrics - Articles'!F537,"*GCO – Services Sales*")</f>
        <v>0</v>
      </c>
      <c r="O538">
        <f>COUNTIF('Metrics - Articles'!F537,"*GCO – Other*")</f>
        <v>0</v>
      </c>
      <c r="P538">
        <f>COUNTIF('Metrics - Articles'!F537,"*Corporate*")</f>
        <v>0</v>
      </c>
      <c r="R538" s="53">
        <f t="shared" si="10"/>
        <v>0</v>
      </c>
    </row>
    <row r="539" spans="2:18" x14ac:dyDescent="0.25">
      <c r="B539" s="48">
        <f>+'Metrics - Articles'!C538</f>
        <v>0</v>
      </c>
      <c r="C539">
        <f>COUNTIF('Metrics - Articles'!F538,"*GPO (Partner, Ecosystem, Channels)*")</f>
        <v>0</v>
      </c>
      <c r="D539">
        <f>COUNTIF('Metrics - Articles'!F538,"*Office of the CEO*")</f>
        <v>0</v>
      </c>
      <c r="E539">
        <f>COUNTIF('Metrics - Articles'!F538,"*Services Delivery &amp; Support (go-lives and deployments) *")</f>
        <v>0</v>
      </c>
      <c r="F539">
        <f>COUNTIF('Metrics - Articles'!F538,"*Human Resources (SAP HR and employee stories)*")</f>
        <v>0</v>
      </c>
      <c r="G539">
        <f>COUNTIF('Metrics - Articles'!F538,"*P&amp;I (Research &amp; Development)*")</f>
        <v>0</v>
      </c>
      <c r="H539">
        <f>COUNTIF('Metrics - Articles'!F538,"*Business Network (Concur, Ariba, Fieldglass)*")</f>
        <v>0</v>
      </c>
      <c r="I539">
        <f>COUNTIF('Metrics - Articles'!F538,"*GCO – Regions*")</f>
        <v>0</v>
      </c>
      <c r="J539">
        <f>COUNTIF('Metrics - Articles'!F538,"*GCO – Platform Solutions*")</f>
        <v>0</v>
      </c>
      <c r="K539">
        <f>COUNTIF('Metrics - Articles'!F538,"*GCO – Industry Cloud *")</f>
        <v>0</v>
      </c>
      <c r="L539">
        <f>COUNTIF('Metrics - Articles'!F538,"*GCO – Customer Engagement &amp; Commerce (CRM &amp; hybris) *")</f>
        <v>0</v>
      </c>
      <c r="M539">
        <f>COUNTIF('Metrics - Articles'!F538,"*GCO – HR (SuccessFactors)*")</f>
        <v>0</v>
      </c>
      <c r="N539">
        <f>COUNTIF('Metrics - Articles'!F538,"*GCO – Services Sales*")</f>
        <v>0</v>
      </c>
      <c r="O539">
        <f>COUNTIF('Metrics - Articles'!F538,"*GCO – Other*")</f>
        <v>0</v>
      </c>
      <c r="P539">
        <f>COUNTIF('Metrics - Articles'!F538,"*Corporate*")</f>
        <v>0</v>
      </c>
      <c r="R539" s="53">
        <f t="shared" si="10"/>
        <v>0</v>
      </c>
    </row>
    <row r="540" spans="2:18" x14ac:dyDescent="0.25">
      <c r="B540" s="48">
        <f>+'Metrics - Articles'!C539</f>
        <v>0</v>
      </c>
      <c r="C540">
        <f>COUNTIF('Metrics - Articles'!F539,"*GPO (Partner, Ecosystem, Channels)*")</f>
        <v>0</v>
      </c>
      <c r="D540">
        <f>COUNTIF('Metrics - Articles'!F539,"*Office of the CEO*")</f>
        <v>0</v>
      </c>
      <c r="E540">
        <f>COUNTIF('Metrics - Articles'!F539,"*Services Delivery &amp; Support (go-lives and deployments) *")</f>
        <v>0</v>
      </c>
      <c r="F540">
        <f>COUNTIF('Metrics - Articles'!F539,"*Human Resources (SAP HR and employee stories)*")</f>
        <v>0</v>
      </c>
      <c r="G540">
        <f>COUNTIF('Metrics - Articles'!F539,"*P&amp;I (Research &amp; Development)*")</f>
        <v>0</v>
      </c>
      <c r="H540">
        <f>COUNTIF('Metrics - Articles'!F539,"*Business Network (Concur, Ariba, Fieldglass)*")</f>
        <v>0</v>
      </c>
      <c r="I540">
        <f>COUNTIF('Metrics - Articles'!F539,"*GCO – Regions*")</f>
        <v>0</v>
      </c>
      <c r="J540">
        <f>COUNTIF('Metrics - Articles'!F539,"*GCO – Platform Solutions*")</f>
        <v>0</v>
      </c>
      <c r="K540">
        <f>COUNTIF('Metrics - Articles'!F539,"*GCO – Industry Cloud *")</f>
        <v>0</v>
      </c>
      <c r="L540">
        <f>COUNTIF('Metrics - Articles'!F539,"*GCO – Customer Engagement &amp; Commerce (CRM &amp; hybris) *")</f>
        <v>0</v>
      </c>
      <c r="M540">
        <f>COUNTIF('Metrics - Articles'!F539,"*GCO – HR (SuccessFactors)*")</f>
        <v>0</v>
      </c>
      <c r="N540">
        <f>COUNTIF('Metrics - Articles'!F539,"*GCO – Services Sales*")</f>
        <v>0</v>
      </c>
      <c r="O540">
        <f>COUNTIF('Metrics - Articles'!F539,"*GCO – Other*")</f>
        <v>0</v>
      </c>
      <c r="P540">
        <f>COUNTIF('Metrics - Articles'!F539,"*Corporate*")</f>
        <v>0</v>
      </c>
      <c r="R540" s="53">
        <f t="shared" si="10"/>
        <v>0</v>
      </c>
    </row>
    <row r="541" spans="2:18" x14ac:dyDescent="0.25">
      <c r="B541" s="48">
        <f>+'Metrics - Articles'!C540</f>
        <v>0</v>
      </c>
      <c r="C541">
        <f>COUNTIF('Metrics - Articles'!F540,"*GPO (Partner, Ecosystem, Channels)*")</f>
        <v>0</v>
      </c>
      <c r="D541">
        <f>COUNTIF('Metrics - Articles'!F540,"*Office of the CEO*")</f>
        <v>0</v>
      </c>
      <c r="E541">
        <f>COUNTIF('Metrics - Articles'!F540,"*Services Delivery &amp; Support (go-lives and deployments) *")</f>
        <v>0</v>
      </c>
      <c r="F541">
        <f>COUNTIF('Metrics - Articles'!F540,"*Human Resources (SAP HR and employee stories)*")</f>
        <v>0</v>
      </c>
      <c r="G541">
        <f>COUNTIF('Metrics - Articles'!F540,"*P&amp;I (Research &amp; Development)*")</f>
        <v>0</v>
      </c>
      <c r="H541">
        <f>COUNTIF('Metrics - Articles'!F540,"*Business Network (Concur, Ariba, Fieldglass)*")</f>
        <v>0</v>
      </c>
      <c r="I541">
        <f>COUNTIF('Metrics - Articles'!F540,"*GCO – Regions*")</f>
        <v>0</v>
      </c>
      <c r="J541">
        <f>COUNTIF('Metrics - Articles'!F540,"*GCO – Platform Solutions*")</f>
        <v>0</v>
      </c>
      <c r="K541">
        <f>COUNTIF('Metrics - Articles'!F540,"*GCO – Industry Cloud *")</f>
        <v>0</v>
      </c>
      <c r="L541">
        <f>COUNTIF('Metrics - Articles'!F540,"*GCO – Customer Engagement &amp; Commerce (CRM &amp; hybris) *")</f>
        <v>0</v>
      </c>
      <c r="M541">
        <f>COUNTIF('Metrics - Articles'!F540,"*GCO – HR (SuccessFactors)*")</f>
        <v>0</v>
      </c>
      <c r="N541">
        <f>COUNTIF('Metrics - Articles'!F540,"*GCO – Services Sales*")</f>
        <v>0</v>
      </c>
      <c r="O541">
        <f>COUNTIF('Metrics - Articles'!F540,"*GCO – Other*")</f>
        <v>0</v>
      </c>
      <c r="P541">
        <f>COUNTIF('Metrics - Articles'!F540,"*Corporate*")</f>
        <v>0</v>
      </c>
      <c r="R541" s="53">
        <f t="shared" si="10"/>
        <v>0</v>
      </c>
    </row>
    <row r="542" spans="2:18" x14ac:dyDescent="0.25">
      <c r="B542" s="48">
        <f>+'Metrics - Articles'!C541</f>
        <v>0</v>
      </c>
      <c r="C542">
        <f>COUNTIF('Metrics - Articles'!F541,"*GPO (Partner, Ecosystem, Channels)*")</f>
        <v>0</v>
      </c>
      <c r="D542">
        <f>COUNTIF('Metrics - Articles'!F541,"*Office of the CEO*")</f>
        <v>0</v>
      </c>
      <c r="E542">
        <f>COUNTIF('Metrics - Articles'!F541,"*Services Delivery &amp; Support (go-lives and deployments) *")</f>
        <v>0</v>
      </c>
      <c r="F542">
        <f>COUNTIF('Metrics - Articles'!F541,"*Human Resources (SAP HR and employee stories)*")</f>
        <v>0</v>
      </c>
      <c r="G542">
        <f>COUNTIF('Metrics - Articles'!F541,"*P&amp;I (Research &amp; Development)*")</f>
        <v>0</v>
      </c>
      <c r="H542">
        <f>COUNTIF('Metrics - Articles'!F541,"*Business Network (Concur, Ariba, Fieldglass)*")</f>
        <v>0</v>
      </c>
      <c r="I542">
        <f>COUNTIF('Metrics - Articles'!F541,"*GCO – Regions*")</f>
        <v>0</v>
      </c>
      <c r="J542">
        <f>COUNTIF('Metrics - Articles'!F541,"*GCO – Platform Solutions*")</f>
        <v>0</v>
      </c>
      <c r="K542">
        <f>COUNTIF('Metrics - Articles'!F541,"*GCO – Industry Cloud *")</f>
        <v>0</v>
      </c>
      <c r="L542">
        <f>COUNTIF('Metrics - Articles'!F541,"*GCO – Customer Engagement &amp; Commerce (CRM &amp; hybris) *")</f>
        <v>0</v>
      </c>
      <c r="M542">
        <f>COUNTIF('Metrics - Articles'!F541,"*GCO – HR (SuccessFactors)*")</f>
        <v>0</v>
      </c>
      <c r="N542">
        <f>COUNTIF('Metrics - Articles'!F541,"*GCO – Services Sales*")</f>
        <v>0</v>
      </c>
      <c r="O542">
        <f>COUNTIF('Metrics - Articles'!F541,"*GCO – Other*")</f>
        <v>0</v>
      </c>
      <c r="P542">
        <f>COUNTIF('Metrics - Articles'!F541,"*Corporate*")</f>
        <v>0</v>
      </c>
      <c r="R542" s="53">
        <f t="shared" si="10"/>
        <v>0</v>
      </c>
    </row>
    <row r="543" spans="2:18" x14ac:dyDescent="0.25">
      <c r="B543" s="48">
        <f>+'Metrics - Articles'!C542</f>
        <v>0</v>
      </c>
      <c r="C543">
        <f>COUNTIF('Metrics - Articles'!F542,"*GPO (Partner, Ecosystem, Channels)*")</f>
        <v>0</v>
      </c>
      <c r="D543">
        <f>COUNTIF('Metrics - Articles'!F542,"*Office of the CEO*")</f>
        <v>0</v>
      </c>
      <c r="E543">
        <f>COUNTIF('Metrics - Articles'!F542,"*Services Delivery &amp; Support (go-lives and deployments) *")</f>
        <v>0</v>
      </c>
      <c r="F543">
        <f>COUNTIF('Metrics - Articles'!F542,"*Human Resources (SAP HR and employee stories)*")</f>
        <v>0</v>
      </c>
      <c r="G543">
        <f>COUNTIF('Metrics - Articles'!F542,"*P&amp;I (Research &amp; Development)*")</f>
        <v>0</v>
      </c>
      <c r="H543">
        <f>COUNTIF('Metrics - Articles'!F542,"*Business Network (Concur, Ariba, Fieldglass)*")</f>
        <v>0</v>
      </c>
      <c r="I543">
        <f>COUNTIF('Metrics - Articles'!F542,"*GCO – Regions*")</f>
        <v>0</v>
      </c>
      <c r="J543">
        <f>COUNTIF('Metrics - Articles'!F542,"*GCO – Platform Solutions*")</f>
        <v>0</v>
      </c>
      <c r="K543">
        <f>COUNTIF('Metrics - Articles'!F542,"*GCO – Industry Cloud *")</f>
        <v>0</v>
      </c>
      <c r="L543">
        <f>COUNTIF('Metrics - Articles'!F542,"*GCO – Customer Engagement &amp; Commerce (CRM &amp; hybris) *")</f>
        <v>0</v>
      </c>
      <c r="M543">
        <f>COUNTIF('Metrics - Articles'!F542,"*GCO – HR (SuccessFactors)*")</f>
        <v>0</v>
      </c>
      <c r="N543">
        <f>COUNTIF('Metrics - Articles'!F542,"*GCO – Services Sales*")</f>
        <v>0</v>
      </c>
      <c r="O543">
        <f>COUNTIF('Metrics - Articles'!F542,"*GCO – Other*")</f>
        <v>0</v>
      </c>
      <c r="P543">
        <f>COUNTIF('Metrics - Articles'!F542,"*Corporate*")</f>
        <v>0</v>
      </c>
      <c r="R543" s="53">
        <f t="shared" si="10"/>
        <v>0</v>
      </c>
    </row>
    <row r="544" spans="2:18" x14ac:dyDescent="0.25">
      <c r="B544" s="48">
        <f>+'Metrics - Articles'!C543</f>
        <v>0</v>
      </c>
      <c r="C544">
        <f>COUNTIF('Metrics - Articles'!F543,"*GPO (Partner, Ecosystem, Channels)*")</f>
        <v>0</v>
      </c>
      <c r="D544">
        <f>COUNTIF('Metrics - Articles'!F543,"*Office of the CEO*")</f>
        <v>0</v>
      </c>
      <c r="E544">
        <f>COUNTIF('Metrics - Articles'!F543,"*Services Delivery &amp; Support (go-lives and deployments) *")</f>
        <v>0</v>
      </c>
      <c r="F544">
        <f>COUNTIF('Metrics - Articles'!F543,"*Human Resources (SAP HR and employee stories)*")</f>
        <v>0</v>
      </c>
      <c r="G544">
        <f>COUNTIF('Metrics - Articles'!F543,"*P&amp;I (Research &amp; Development)*")</f>
        <v>0</v>
      </c>
      <c r="H544">
        <f>COUNTIF('Metrics - Articles'!F543,"*Business Network (Concur, Ariba, Fieldglass)*")</f>
        <v>0</v>
      </c>
      <c r="I544">
        <f>COUNTIF('Metrics - Articles'!F543,"*GCO – Regions*")</f>
        <v>0</v>
      </c>
      <c r="J544">
        <f>COUNTIF('Metrics - Articles'!F543,"*GCO – Platform Solutions*")</f>
        <v>0</v>
      </c>
      <c r="K544">
        <f>COUNTIF('Metrics - Articles'!F543,"*GCO – Industry Cloud *")</f>
        <v>0</v>
      </c>
      <c r="L544">
        <f>COUNTIF('Metrics - Articles'!F543,"*GCO – Customer Engagement &amp; Commerce (CRM &amp; hybris) *")</f>
        <v>0</v>
      </c>
      <c r="M544">
        <f>COUNTIF('Metrics - Articles'!F543,"*GCO – HR (SuccessFactors)*")</f>
        <v>0</v>
      </c>
      <c r="N544">
        <f>COUNTIF('Metrics - Articles'!F543,"*GCO – Services Sales*")</f>
        <v>0</v>
      </c>
      <c r="O544">
        <f>COUNTIF('Metrics - Articles'!F543,"*GCO – Other*")</f>
        <v>0</v>
      </c>
      <c r="P544">
        <f>COUNTIF('Metrics - Articles'!F543,"*Corporate*")</f>
        <v>0</v>
      </c>
      <c r="R544" s="53">
        <f t="shared" si="10"/>
        <v>0</v>
      </c>
    </row>
    <row r="545" spans="2:18" x14ac:dyDescent="0.25">
      <c r="B545" s="48">
        <f>+'Metrics - Articles'!C544</f>
        <v>0</v>
      </c>
      <c r="C545">
        <f>COUNTIF('Metrics - Articles'!F544,"*GPO (Partner, Ecosystem, Channels)*")</f>
        <v>0</v>
      </c>
      <c r="D545">
        <f>COUNTIF('Metrics - Articles'!F544,"*Office of the CEO*")</f>
        <v>0</v>
      </c>
      <c r="E545">
        <f>COUNTIF('Metrics - Articles'!F544,"*Services Delivery &amp; Support (go-lives and deployments) *")</f>
        <v>0</v>
      </c>
      <c r="F545">
        <f>COUNTIF('Metrics - Articles'!F544,"*Human Resources (SAP HR and employee stories)*")</f>
        <v>0</v>
      </c>
      <c r="G545">
        <f>COUNTIF('Metrics - Articles'!F544,"*P&amp;I (Research &amp; Development)*")</f>
        <v>0</v>
      </c>
      <c r="H545">
        <f>COUNTIF('Metrics - Articles'!F544,"*Business Network (Concur, Ariba, Fieldglass)*")</f>
        <v>0</v>
      </c>
      <c r="I545">
        <f>COUNTIF('Metrics - Articles'!F544,"*GCO – Regions*")</f>
        <v>0</v>
      </c>
      <c r="J545">
        <f>COUNTIF('Metrics - Articles'!F544,"*GCO – Platform Solutions*")</f>
        <v>0</v>
      </c>
      <c r="K545">
        <f>COUNTIF('Metrics - Articles'!F544,"*GCO – Industry Cloud *")</f>
        <v>0</v>
      </c>
      <c r="L545">
        <f>COUNTIF('Metrics - Articles'!F544,"*GCO – Customer Engagement &amp; Commerce (CRM &amp; hybris) *")</f>
        <v>0</v>
      </c>
      <c r="M545">
        <f>COUNTIF('Metrics - Articles'!F544,"*GCO – HR (SuccessFactors)*")</f>
        <v>0</v>
      </c>
      <c r="N545">
        <f>COUNTIF('Metrics - Articles'!F544,"*GCO – Services Sales*")</f>
        <v>0</v>
      </c>
      <c r="O545">
        <f>COUNTIF('Metrics - Articles'!F544,"*GCO – Other*")</f>
        <v>0</v>
      </c>
      <c r="P545">
        <f>COUNTIF('Metrics - Articles'!F544,"*Corporate*")</f>
        <v>0</v>
      </c>
      <c r="R545" s="53">
        <f t="shared" si="10"/>
        <v>0</v>
      </c>
    </row>
    <row r="546" spans="2:18" x14ac:dyDescent="0.25">
      <c r="B546" s="48">
        <f>+'Metrics - Articles'!C545</f>
        <v>0</v>
      </c>
      <c r="C546">
        <f>COUNTIF('Metrics - Articles'!F545,"*GPO (Partner, Ecosystem, Channels)*")</f>
        <v>0</v>
      </c>
      <c r="D546">
        <f>COUNTIF('Metrics - Articles'!F545,"*Office of the CEO*")</f>
        <v>0</v>
      </c>
      <c r="E546">
        <f>COUNTIF('Metrics - Articles'!F545,"*Services Delivery &amp; Support (go-lives and deployments) *")</f>
        <v>0</v>
      </c>
      <c r="F546">
        <f>COUNTIF('Metrics - Articles'!F545,"*Human Resources (SAP HR and employee stories)*")</f>
        <v>0</v>
      </c>
      <c r="G546">
        <f>COUNTIF('Metrics - Articles'!F545,"*P&amp;I (Research &amp; Development)*")</f>
        <v>0</v>
      </c>
      <c r="H546">
        <f>COUNTIF('Metrics - Articles'!F545,"*Business Network (Concur, Ariba, Fieldglass)*")</f>
        <v>0</v>
      </c>
      <c r="I546">
        <f>COUNTIF('Metrics - Articles'!F545,"*GCO – Regions*")</f>
        <v>0</v>
      </c>
      <c r="J546">
        <f>COUNTIF('Metrics - Articles'!F545,"*GCO – Platform Solutions*")</f>
        <v>0</v>
      </c>
      <c r="K546">
        <f>COUNTIF('Metrics - Articles'!F545,"*GCO – Industry Cloud *")</f>
        <v>0</v>
      </c>
      <c r="L546">
        <f>COUNTIF('Metrics - Articles'!F545,"*GCO – Customer Engagement &amp; Commerce (CRM &amp; hybris) *")</f>
        <v>0</v>
      </c>
      <c r="M546">
        <f>COUNTIF('Metrics - Articles'!F545,"*GCO – HR (SuccessFactors)*")</f>
        <v>0</v>
      </c>
      <c r="N546">
        <f>COUNTIF('Metrics - Articles'!F545,"*GCO – Services Sales*")</f>
        <v>0</v>
      </c>
      <c r="O546">
        <f>COUNTIF('Metrics - Articles'!F545,"*GCO – Other*")</f>
        <v>0</v>
      </c>
      <c r="P546">
        <f>COUNTIF('Metrics - Articles'!F545,"*Corporate*")</f>
        <v>0</v>
      </c>
      <c r="R546" s="53">
        <f t="shared" si="10"/>
        <v>0</v>
      </c>
    </row>
    <row r="547" spans="2:18" x14ac:dyDescent="0.25">
      <c r="B547" s="48">
        <f>+'Metrics - Articles'!C546</f>
        <v>0</v>
      </c>
      <c r="C547">
        <f>COUNTIF('Metrics - Articles'!F546,"*GPO (Partner, Ecosystem, Channels)*")</f>
        <v>0</v>
      </c>
      <c r="D547">
        <f>COUNTIF('Metrics - Articles'!F546,"*Office of the CEO*")</f>
        <v>0</v>
      </c>
      <c r="E547">
        <f>COUNTIF('Metrics - Articles'!F546,"*Services Delivery &amp; Support (go-lives and deployments) *")</f>
        <v>0</v>
      </c>
      <c r="F547">
        <f>COUNTIF('Metrics - Articles'!F546,"*Human Resources (SAP HR and employee stories)*")</f>
        <v>0</v>
      </c>
      <c r="G547">
        <f>COUNTIF('Metrics - Articles'!F546,"*P&amp;I (Research &amp; Development)*")</f>
        <v>0</v>
      </c>
      <c r="H547">
        <f>COUNTIF('Metrics - Articles'!F546,"*Business Network (Concur, Ariba, Fieldglass)*")</f>
        <v>0</v>
      </c>
      <c r="I547">
        <f>COUNTIF('Metrics - Articles'!F546,"*GCO – Regions*")</f>
        <v>0</v>
      </c>
      <c r="J547">
        <f>COUNTIF('Metrics - Articles'!F546,"*GCO – Platform Solutions*")</f>
        <v>0</v>
      </c>
      <c r="K547">
        <f>COUNTIF('Metrics - Articles'!F546,"*GCO – Industry Cloud *")</f>
        <v>0</v>
      </c>
      <c r="L547">
        <f>COUNTIF('Metrics - Articles'!F546,"*GCO – Customer Engagement &amp; Commerce (CRM &amp; hybris) *")</f>
        <v>0</v>
      </c>
      <c r="M547">
        <f>COUNTIF('Metrics - Articles'!F546,"*GCO – HR (SuccessFactors)*")</f>
        <v>0</v>
      </c>
      <c r="N547">
        <f>COUNTIF('Metrics - Articles'!F546,"*GCO – Services Sales*")</f>
        <v>0</v>
      </c>
      <c r="O547">
        <f>COUNTIF('Metrics - Articles'!F546,"*GCO – Other*")</f>
        <v>0</v>
      </c>
      <c r="P547">
        <f>COUNTIF('Metrics - Articles'!F546,"*Corporate*")</f>
        <v>0</v>
      </c>
      <c r="R547" s="53">
        <f t="shared" si="10"/>
        <v>0</v>
      </c>
    </row>
    <row r="548" spans="2:18" x14ac:dyDescent="0.25">
      <c r="B548" s="48">
        <f>+'Metrics - Articles'!C547</f>
        <v>0</v>
      </c>
      <c r="C548">
        <f>COUNTIF('Metrics - Articles'!F547,"*GPO (Partner, Ecosystem, Channels)*")</f>
        <v>0</v>
      </c>
      <c r="D548">
        <f>COUNTIF('Metrics - Articles'!F547,"*Office of the CEO*")</f>
        <v>0</v>
      </c>
      <c r="E548">
        <f>COUNTIF('Metrics - Articles'!F547,"*Services Delivery &amp; Support (go-lives and deployments) *")</f>
        <v>0</v>
      </c>
      <c r="F548">
        <f>COUNTIF('Metrics - Articles'!F547,"*Human Resources (SAP HR and employee stories)*")</f>
        <v>0</v>
      </c>
      <c r="G548">
        <f>COUNTIF('Metrics - Articles'!F547,"*P&amp;I (Research &amp; Development)*")</f>
        <v>0</v>
      </c>
      <c r="H548">
        <f>COUNTIF('Metrics - Articles'!F547,"*Business Network (Concur, Ariba, Fieldglass)*")</f>
        <v>0</v>
      </c>
      <c r="I548">
        <f>COUNTIF('Metrics - Articles'!F547,"*GCO – Regions*")</f>
        <v>0</v>
      </c>
      <c r="J548">
        <f>COUNTIF('Metrics - Articles'!F547,"*GCO – Platform Solutions*")</f>
        <v>0</v>
      </c>
      <c r="K548">
        <f>COUNTIF('Metrics - Articles'!F547,"*GCO – Industry Cloud *")</f>
        <v>0</v>
      </c>
      <c r="L548">
        <f>COUNTIF('Metrics - Articles'!F547,"*GCO – Customer Engagement &amp; Commerce (CRM &amp; hybris) *")</f>
        <v>0</v>
      </c>
      <c r="M548">
        <f>COUNTIF('Metrics - Articles'!F547,"*GCO – HR (SuccessFactors)*")</f>
        <v>0</v>
      </c>
      <c r="N548">
        <f>COUNTIF('Metrics - Articles'!F547,"*GCO – Services Sales*")</f>
        <v>0</v>
      </c>
      <c r="O548">
        <f>COUNTIF('Metrics - Articles'!F547,"*GCO – Other*")</f>
        <v>0</v>
      </c>
      <c r="P548">
        <f>COUNTIF('Metrics - Articles'!F547,"*Corporate*")</f>
        <v>0</v>
      </c>
      <c r="R548" s="53">
        <f t="shared" si="10"/>
        <v>0</v>
      </c>
    </row>
    <row r="549" spans="2:18" x14ac:dyDescent="0.25">
      <c r="B549" s="48">
        <f>+'Metrics - Articles'!C548</f>
        <v>0</v>
      </c>
      <c r="C549">
        <f>COUNTIF('Metrics - Articles'!F548,"*GPO (Partner, Ecosystem, Channels)*")</f>
        <v>0</v>
      </c>
      <c r="D549">
        <f>COUNTIF('Metrics - Articles'!F548,"*Office of the CEO*")</f>
        <v>0</v>
      </c>
      <c r="E549">
        <f>COUNTIF('Metrics - Articles'!F548,"*Services Delivery &amp; Support (go-lives and deployments) *")</f>
        <v>0</v>
      </c>
      <c r="F549">
        <f>COUNTIF('Metrics - Articles'!F548,"*Human Resources (SAP HR and employee stories)*")</f>
        <v>0</v>
      </c>
      <c r="G549">
        <f>COUNTIF('Metrics - Articles'!F548,"*P&amp;I (Research &amp; Development)*")</f>
        <v>0</v>
      </c>
      <c r="H549">
        <f>COUNTIF('Metrics - Articles'!F548,"*Business Network (Concur, Ariba, Fieldglass)*")</f>
        <v>0</v>
      </c>
      <c r="I549">
        <f>COUNTIF('Metrics - Articles'!F548,"*GCO – Regions*")</f>
        <v>0</v>
      </c>
      <c r="J549">
        <f>COUNTIF('Metrics - Articles'!F548,"*GCO – Platform Solutions*")</f>
        <v>0</v>
      </c>
      <c r="K549">
        <f>COUNTIF('Metrics - Articles'!F548,"*GCO – Industry Cloud *")</f>
        <v>0</v>
      </c>
      <c r="L549">
        <f>COUNTIF('Metrics - Articles'!F548,"*GCO – Customer Engagement &amp; Commerce (CRM &amp; hybris) *")</f>
        <v>0</v>
      </c>
      <c r="M549">
        <f>COUNTIF('Metrics - Articles'!F548,"*GCO – HR (SuccessFactors)*")</f>
        <v>0</v>
      </c>
      <c r="N549">
        <f>COUNTIF('Metrics - Articles'!F548,"*GCO – Services Sales*")</f>
        <v>0</v>
      </c>
      <c r="O549">
        <f>COUNTIF('Metrics - Articles'!F548,"*GCO – Other*")</f>
        <v>0</v>
      </c>
      <c r="P549">
        <f>COUNTIF('Metrics - Articles'!F548,"*Corporate*")</f>
        <v>0</v>
      </c>
      <c r="R549" s="53">
        <f t="shared" si="10"/>
        <v>0</v>
      </c>
    </row>
    <row r="550" spans="2:18" x14ac:dyDescent="0.25">
      <c r="B550" s="48">
        <f>+'Metrics - Articles'!C549</f>
        <v>0</v>
      </c>
      <c r="C550">
        <f>COUNTIF('Metrics - Articles'!F549,"*GPO (Partner, Ecosystem, Channels)*")</f>
        <v>0</v>
      </c>
      <c r="D550">
        <f>COUNTIF('Metrics - Articles'!F549,"*Office of the CEO*")</f>
        <v>0</v>
      </c>
      <c r="E550">
        <f>COUNTIF('Metrics - Articles'!F549,"*Services Delivery &amp; Support (go-lives and deployments) *")</f>
        <v>0</v>
      </c>
      <c r="F550">
        <f>COUNTIF('Metrics - Articles'!F549,"*Human Resources (SAP HR and employee stories)*")</f>
        <v>0</v>
      </c>
      <c r="G550">
        <f>COUNTIF('Metrics - Articles'!F549,"*P&amp;I (Research &amp; Development)*")</f>
        <v>0</v>
      </c>
      <c r="H550">
        <f>COUNTIF('Metrics - Articles'!F549,"*Business Network (Concur, Ariba, Fieldglass)*")</f>
        <v>0</v>
      </c>
      <c r="I550">
        <f>COUNTIF('Metrics - Articles'!F549,"*GCO – Regions*")</f>
        <v>0</v>
      </c>
      <c r="J550">
        <f>COUNTIF('Metrics - Articles'!F549,"*GCO – Platform Solutions*")</f>
        <v>0</v>
      </c>
      <c r="K550">
        <f>COUNTIF('Metrics - Articles'!F549,"*GCO – Industry Cloud *")</f>
        <v>0</v>
      </c>
      <c r="L550">
        <f>COUNTIF('Metrics - Articles'!F549,"*GCO – Customer Engagement &amp; Commerce (CRM &amp; hybris) *")</f>
        <v>0</v>
      </c>
      <c r="M550">
        <f>COUNTIF('Metrics - Articles'!F549,"*GCO – HR (SuccessFactors)*")</f>
        <v>0</v>
      </c>
      <c r="N550">
        <f>COUNTIF('Metrics - Articles'!F549,"*GCO – Services Sales*")</f>
        <v>0</v>
      </c>
      <c r="O550">
        <f>COUNTIF('Metrics - Articles'!F549,"*GCO – Other*")</f>
        <v>0</v>
      </c>
      <c r="P550">
        <f>COUNTIF('Metrics - Articles'!F549,"*Corporate*")</f>
        <v>0</v>
      </c>
      <c r="R550" s="53">
        <f t="shared" si="10"/>
        <v>0</v>
      </c>
    </row>
    <row r="551" spans="2:18" x14ac:dyDescent="0.25">
      <c r="B551" s="48">
        <f>+'Metrics - Articles'!C550</f>
        <v>0</v>
      </c>
      <c r="C551">
        <f>COUNTIF('Metrics - Articles'!F550,"*GPO (Partner, Ecosystem, Channels)*")</f>
        <v>0</v>
      </c>
      <c r="D551">
        <f>COUNTIF('Metrics - Articles'!F550,"*Office of the CEO*")</f>
        <v>0</v>
      </c>
      <c r="E551">
        <f>COUNTIF('Metrics - Articles'!F550,"*Services Delivery &amp; Support (go-lives and deployments) *")</f>
        <v>0</v>
      </c>
      <c r="F551">
        <f>COUNTIF('Metrics - Articles'!F550,"*Human Resources (SAP HR and employee stories)*")</f>
        <v>0</v>
      </c>
      <c r="G551">
        <f>COUNTIF('Metrics - Articles'!F550,"*P&amp;I (Research &amp; Development)*")</f>
        <v>0</v>
      </c>
      <c r="H551">
        <f>COUNTIF('Metrics - Articles'!F550,"*Business Network (Concur, Ariba, Fieldglass)*")</f>
        <v>0</v>
      </c>
      <c r="I551">
        <f>COUNTIF('Metrics - Articles'!F550,"*GCO – Regions*")</f>
        <v>0</v>
      </c>
      <c r="J551">
        <f>COUNTIF('Metrics - Articles'!F550,"*GCO – Platform Solutions*")</f>
        <v>0</v>
      </c>
      <c r="K551">
        <f>COUNTIF('Metrics - Articles'!F550,"*GCO – Industry Cloud *")</f>
        <v>0</v>
      </c>
      <c r="L551">
        <f>COUNTIF('Metrics - Articles'!F550,"*GCO – Customer Engagement &amp; Commerce (CRM &amp; hybris) *")</f>
        <v>0</v>
      </c>
      <c r="M551">
        <f>COUNTIF('Metrics - Articles'!F550,"*GCO – HR (SuccessFactors)*")</f>
        <v>0</v>
      </c>
      <c r="N551">
        <f>COUNTIF('Metrics - Articles'!F550,"*GCO – Services Sales*")</f>
        <v>0</v>
      </c>
      <c r="O551">
        <f>COUNTIF('Metrics - Articles'!F550,"*GCO – Other*")</f>
        <v>0</v>
      </c>
      <c r="P551">
        <f>COUNTIF('Metrics - Articles'!F550,"*Corporate*")</f>
        <v>0</v>
      </c>
      <c r="R551" s="53">
        <f t="shared" si="10"/>
        <v>0</v>
      </c>
    </row>
    <row r="552" spans="2:18" x14ac:dyDescent="0.25">
      <c r="B552" s="48">
        <f>+'Metrics - Articles'!C551</f>
        <v>0</v>
      </c>
      <c r="C552">
        <f>COUNTIF('Metrics - Articles'!F551,"*GPO (Partner, Ecosystem, Channels)*")</f>
        <v>0</v>
      </c>
      <c r="D552">
        <f>COUNTIF('Metrics - Articles'!F551,"*Office of the CEO*")</f>
        <v>0</v>
      </c>
      <c r="E552">
        <f>COUNTIF('Metrics - Articles'!F551,"*Services Delivery &amp; Support (go-lives and deployments) *")</f>
        <v>0</v>
      </c>
      <c r="F552">
        <f>COUNTIF('Metrics - Articles'!F551,"*Human Resources (SAP HR and employee stories)*")</f>
        <v>0</v>
      </c>
      <c r="G552">
        <f>COUNTIF('Metrics - Articles'!F551,"*P&amp;I (Research &amp; Development)*")</f>
        <v>0</v>
      </c>
      <c r="H552">
        <f>COUNTIF('Metrics - Articles'!F551,"*Business Network (Concur, Ariba, Fieldglass)*")</f>
        <v>0</v>
      </c>
      <c r="I552">
        <f>COUNTIF('Metrics - Articles'!F551,"*GCO – Regions*")</f>
        <v>0</v>
      </c>
      <c r="J552">
        <f>COUNTIF('Metrics - Articles'!F551,"*GCO – Platform Solutions*")</f>
        <v>0</v>
      </c>
      <c r="K552">
        <f>COUNTIF('Metrics - Articles'!F551,"*GCO – Industry Cloud *")</f>
        <v>0</v>
      </c>
      <c r="L552">
        <f>COUNTIF('Metrics - Articles'!F551,"*GCO – Customer Engagement &amp; Commerce (CRM &amp; hybris) *")</f>
        <v>0</v>
      </c>
      <c r="M552">
        <f>COUNTIF('Metrics - Articles'!F551,"*GCO – HR (SuccessFactors)*")</f>
        <v>0</v>
      </c>
      <c r="N552">
        <f>COUNTIF('Metrics - Articles'!F551,"*GCO – Services Sales*")</f>
        <v>0</v>
      </c>
      <c r="O552">
        <f>COUNTIF('Metrics - Articles'!F551,"*GCO – Other*")</f>
        <v>0</v>
      </c>
      <c r="P552">
        <f>COUNTIF('Metrics - Articles'!F551,"*Corporate*")</f>
        <v>0</v>
      </c>
      <c r="R552" s="53">
        <f t="shared" si="10"/>
        <v>0</v>
      </c>
    </row>
    <row r="553" spans="2:18" x14ac:dyDescent="0.25">
      <c r="B553" s="48">
        <f>+'Metrics - Articles'!C552</f>
        <v>0</v>
      </c>
      <c r="C553">
        <f>COUNTIF('Metrics - Articles'!F552,"*GPO (Partner, Ecosystem, Channels)*")</f>
        <v>0</v>
      </c>
      <c r="D553">
        <f>COUNTIF('Metrics - Articles'!F552,"*Office of the CEO*")</f>
        <v>0</v>
      </c>
      <c r="E553">
        <f>COUNTIF('Metrics - Articles'!F552,"*Services Delivery &amp; Support (go-lives and deployments) *")</f>
        <v>0</v>
      </c>
      <c r="F553">
        <f>COUNTIF('Metrics - Articles'!F552,"*Human Resources (SAP HR and employee stories)*")</f>
        <v>0</v>
      </c>
      <c r="G553">
        <f>COUNTIF('Metrics - Articles'!F552,"*P&amp;I (Research &amp; Development)*")</f>
        <v>0</v>
      </c>
      <c r="H553">
        <f>COUNTIF('Metrics - Articles'!F552,"*Business Network (Concur, Ariba, Fieldglass)*")</f>
        <v>0</v>
      </c>
      <c r="I553">
        <f>COUNTIF('Metrics - Articles'!F552,"*GCO – Regions*")</f>
        <v>0</v>
      </c>
      <c r="J553">
        <f>COUNTIF('Metrics - Articles'!F552,"*GCO – Platform Solutions*")</f>
        <v>0</v>
      </c>
      <c r="K553">
        <f>COUNTIF('Metrics - Articles'!F552,"*GCO – Industry Cloud *")</f>
        <v>0</v>
      </c>
      <c r="L553">
        <f>COUNTIF('Metrics - Articles'!F552,"*GCO – Customer Engagement &amp; Commerce (CRM &amp; hybris) *")</f>
        <v>0</v>
      </c>
      <c r="M553">
        <f>COUNTIF('Metrics - Articles'!F552,"*GCO – HR (SuccessFactors)*")</f>
        <v>0</v>
      </c>
      <c r="N553">
        <f>COUNTIF('Metrics - Articles'!F552,"*GCO – Services Sales*")</f>
        <v>0</v>
      </c>
      <c r="O553">
        <f>COUNTIF('Metrics - Articles'!F552,"*GCO – Other*")</f>
        <v>0</v>
      </c>
      <c r="P553">
        <f>COUNTIF('Metrics - Articles'!F552,"*Corporate*")</f>
        <v>0</v>
      </c>
      <c r="R553" s="53">
        <f t="shared" si="10"/>
        <v>0</v>
      </c>
    </row>
    <row r="554" spans="2:18" x14ac:dyDescent="0.25">
      <c r="B554" s="48">
        <f>+'Metrics - Articles'!C553</f>
        <v>0</v>
      </c>
      <c r="C554">
        <f>COUNTIF('Metrics - Articles'!F553,"*GPO (Partner, Ecosystem, Channels)*")</f>
        <v>0</v>
      </c>
      <c r="D554">
        <f>COUNTIF('Metrics - Articles'!F553,"*Office of the CEO*")</f>
        <v>0</v>
      </c>
      <c r="E554">
        <f>COUNTIF('Metrics - Articles'!F553,"*Services Delivery &amp; Support (go-lives and deployments) *")</f>
        <v>0</v>
      </c>
      <c r="F554">
        <f>COUNTIF('Metrics - Articles'!F553,"*Human Resources (SAP HR and employee stories)*")</f>
        <v>0</v>
      </c>
      <c r="G554">
        <f>COUNTIF('Metrics - Articles'!F553,"*P&amp;I (Research &amp; Development)*")</f>
        <v>0</v>
      </c>
      <c r="H554">
        <f>COUNTIF('Metrics - Articles'!F553,"*Business Network (Concur, Ariba, Fieldglass)*")</f>
        <v>0</v>
      </c>
      <c r="I554">
        <f>COUNTIF('Metrics - Articles'!F553,"*GCO – Regions*")</f>
        <v>0</v>
      </c>
      <c r="J554">
        <f>COUNTIF('Metrics - Articles'!F553,"*GCO – Platform Solutions*")</f>
        <v>0</v>
      </c>
      <c r="K554">
        <f>COUNTIF('Metrics - Articles'!F553,"*GCO – Industry Cloud *")</f>
        <v>0</v>
      </c>
      <c r="L554">
        <f>COUNTIF('Metrics - Articles'!F553,"*GCO – Customer Engagement &amp; Commerce (CRM &amp; hybris) *")</f>
        <v>0</v>
      </c>
      <c r="M554">
        <f>COUNTIF('Metrics - Articles'!F553,"*GCO – HR (SuccessFactors)*")</f>
        <v>0</v>
      </c>
      <c r="N554">
        <f>COUNTIF('Metrics - Articles'!F553,"*GCO – Services Sales*")</f>
        <v>0</v>
      </c>
      <c r="O554">
        <f>COUNTIF('Metrics - Articles'!F553,"*GCO – Other*")</f>
        <v>0</v>
      </c>
      <c r="P554">
        <f>COUNTIF('Metrics - Articles'!F553,"*Corporate*")</f>
        <v>0</v>
      </c>
      <c r="R554" s="53">
        <f t="shared" si="10"/>
        <v>0</v>
      </c>
    </row>
    <row r="555" spans="2:18" x14ac:dyDescent="0.25">
      <c r="B555" s="48">
        <f>+'Metrics - Articles'!C554</f>
        <v>0</v>
      </c>
      <c r="C555">
        <f>COUNTIF('Metrics - Articles'!F554,"*GPO (Partner, Ecosystem, Channels)*")</f>
        <v>0</v>
      </c>
      <c r="D555">
        <f>COUNTIF('Metrics - Articles'!F554,"*Office of the CEO*")</f>
        <v>0</v>
      </c>
      <c r="E555">
        <f>COUNTIF('Metrics - Articles'!F554,"*Services Delivery &amp; Support (go-lives and deployments) *")</f>
        <v>0</v>
      </c>
      <c r="F555">
        <f>COUNTIF('Metrics - Articles'!F554,"*Human Resources (SAP HR and employee stories)*")</f>
        <v>0</v>
      </c>
      <c r="G555">
        <f>COUNTIF('Metrics - Articles'!F554,"*P&amp;I (Research &amp; Development)*")</f>
        <v>0</v>
      </c>
      <c r="H555">
        <f>COUNTIF('Metrics - Articles'!F554,"*Business Network (Concur, Ariba, Fieldglass)*")</f>
        <v>0</v>
      </c>
      <c r="I555">
        <f>COUNTIF('Metrics - Articles'!F554,"*GCO – Regions*")</f>
        <v>0</v>
      </c>
      <c r="J555">
        <f>COUNTIF('Metrics - Articles'!F554,"*GCO – Platform Solutions*")</f>
        <v>0</v>
      </c>
      <c r="K555">
        <f>COUNTIF('Metrics - Articles'!F554,"*GCO – Industry Cloud *")</f>
        <v>0</v>
      </c>
      <c r="L555">
        <f>COUNTIF('Metrics - Articles'!F554,"*GCO – Customer Engagement &amp; Commerce (CRM &amp; hybris) *")</f>
        <v>0</v>
      </c>
      <c r="M555">
        <f>COUNTIF('Metrics - Articles'!F554,"*GCO – HR (SuccessFactors)*")</f>
        <v>0</v>
      </c>
      <c r="N555">
        <f>COUNTIF('Metrics - Articles'!F554,"*GCO – Services Sales*")</f>
        <v>0</v>
      </c>
      <c r="O555">
        <f>COUNTIF('Metrics - Articles'!F554,"*GCO – Other*")</f>
        <v>0</v>
      </c>
      <c r="P555">
        <f>COUNTIF('Metrics - Articles'!F554,"*Corporate*")</f>
        <v>0</v>
      </c>
      <c r="R555" s="53">
        <f t="shared" si="10"/>
        <v>0</v>
      </c>
    </row>
    <row r="556" spans="2:18" x14ac:dyDescent="0.25">
      <c r="B556" s="48">
        <f>+'Metrics - Articles'!C555</f>
        <v>0</v>
      </c>
      <c r="C556">
        <f>COUNTIF('Metrics - Articles'!F555,"*GPO (Partner, Ecosystem, Channels)*")</f>
        <v>0</v>
      </c>
      <c r="D556">
        <f>COUNTIF('Metrics - Articles'!F555,"*Office of the CEO*")</f>
        <v>0</v>
      </c>
      <c r="E556">
        <f>COUNTIF('Metrics - Articles'!F555,"*Services Delivery &amp; Support (go-lives and deployments) *")</f>
        <v>0</v>
      </c>
      <c r="F556">
        <f>COUNTIF('Metrics - Articles'!F555,"*Human Resources (SAP HR and employee stories)*")</f>
        <v>0</v>
      </c>
      <c r="G556">
        <f>COUNTIF('Metrics - Articles'!F555,"*P&amp;I (Research &amp; Development)*")</f>
        <v>0</v>
      </c>
      <c r="H556">
        <f>COUNTIF('Metrics - Articles'!F555,"*Business Network (Concur, Ariba, Fieldglass)*")</f>
        <v>0</v>
      </c>
      <c r="I556">
        <f>COUNTIF('Metrics - Articles'!F555,"*GCO – Regions*")</f>
        <v>0</v>
      </c>
      <c r="J556">
        <f>COUNTIF('Metrics - Articles'!F555,"*GCO – Platform Solutions*")</f>
        <v>0</v>
      </c>
      <c r="K556">
        <f>COUNTIF('Metrics - Articles'!F555,"*GCO – Industry Cloud *")</f>
        <v>0</v>
      </c>
      <c r="L556">
        <f>COUNTIF('Metrics - Articles'!F555,"*GCO – Customer Engagement &amp; Commerce (CRM &amp; hybris) *")</f>
        <v>0</v>
      </c>
      <c r="M556">
        <f>COUNTIF('Metrics - Articles'!F555,"*GCO – HR (SuccessFactors)*")</f>
        <v>0</v>
      </c>
      <c r="N556">
        <f>COUNTIF('Metrics - Articles'!F555,"*GCO – Services Sales*")</f>
        <v>0</v>
      </c>
      <c r="O556">
        <f>COUNTIF('Metrics - Articles'!F555,"*GCO – Other*")</f>
        <v>0</v>
      </c>
      <c r="P556">
        <f>COUNTIF('Metrics - Articles'!F555,"*Corporate*")</f>
        <v>0</v>
      </c>
      <c r="R556" s="53">
        <f t="shared" si="10"/>
        <v>0</v>
      </c>
    </row>
    <row r="557" spans="2:18" x14ac:dyDescent="0.25">
      <c r="B557" s="48">
        <f>+'Metrics - Articles'!C556</f>
        <v>0</v>
      </c>
      <c r="C557">
        <f>COUNTIF('Metrics - Articles'!F556,"*GPO (Partner, Ecosystem, Channels)*")</f>
        <v>0</v>
      </c>
      <c r="D557">
        <f>COUNTIF('Metrics - Articles'!F556,"*Office of the CEO*")</f>
        <v>0</v>
      </c>
      <c r="E557">
        <f>COUNTIF('Metrics - Articles'!F556,"*Services Delivery &amp; Support (go-lives and deployments) *")</f>
        <v>0</v>
      </c>
      <c r="F557">
        <f>COUNTIF('Metrics - Articles'!F556,"*Human Resources (SAP HR and employee stories)*")</f>
        <v>0</v>
      </c>
      <c r="G557">
        <f>COUNTIF('Metrics - Articles'!F556,"*P&amp;I (Research &amp; Development)*")</f>
        <v>0</v>
      </c>
      <c r="H557">
        <f>COUNTIF('Metrics - Articles'!F556,"*Business Network (Concur, Ariba, Fieldglass)*")</f>
        <v>0</v>
      </c>
      <c r="I557">
        <f>COUNTIF('Metrics - Articles'!F556,"*GCO – Regions*")</f>
        <v>0</v>
      </c>
      <c r="J557">
        <f>COUNTIF('Metrics - Articles'!F556,"*GCO – Platform Solutions*")</f>
        <v>0</v>
      </c>
      <c r="K557">
        <f>COUNTIF('Metrics - Articles'!F556,"*GCO – Industry Cloud *")</f>
        <v>0</v>
      </c>
      <c r="L557">
        <f>COUNTIF('Metrics - Articles'!F556,"*GCO – Customer Engagement &amp; Commerce (CRM &amp; hybris) *")</f>
        <v>0</v>
      </c>
      <c r="M557">
        <f>COUNTIF('Metrics - Articles'!F556,"*GCO – HR (SuccessFactors)*")</f>
        <v>0</v>
      </c>
      <c r="N557">
        <f>COUNTIF('Metrics - Articles'!F556,"*GCO – Services Sales*")</f>
        <v>0</v>
      </c>
      <c r="O557">
        <f>COUNTIF('Metrics - Articles'!F556,"*GCO – Other*")</f>
        <v>0</v>
      </c>
      <c r="P557">
        <f>COUNTIF('Metrics - Articles'!F556,"*Corporate*")</f>
        <v>0</v>
      </c>
      <c r="R557" s="53">
        <f t="shared" si="10"/>
        <v>0</v>
      </c>
    </row>
    <row r="558" spans="2:18" x14ac:dyDescent="0.25">
      <c r="B558" s="48">
        <f>+'Metrics - Articles'!C557</f>
        <v>0</v>
      </c>
      <c r="C558">
        <f>COUNTIF('Metrics - Articles'!F557,"*GPO (Partner, Ecosystem, Channels)*")</f>
        <v>0</v>
      </c>
      <c r="D558">
        <f>COUNTIF('Metrics - Articles'!F557,"*Office of the CEO*")</f>
        <v>0</v>
      </c>
      <c r="E558">
        <f>COUNTIF('Metrics - Articles'!F557,"*Services Delivery &amp; Support (go-lives and deployments) *")</f>
        <v>0</v>
      </c>
      <c r="F558">
        <f>COUNTIF('Metrics - Articles'!F557,"*Human Resources (SAP HR and employee stories)*")</f>
        <v>0</v>
      </c>
      <c r="G558">
        <f>COUNTIF('Metrics - Articles'!F557,"*P&amp;I (Research &amp; Development)*")</f>
        <v>0</v>
      </c>
      <c r="H558">
        <f>COUNTIF('Metrics - Articles'!F557,"*Business Network (Concur, Ariba, Fieldglass)*")</f>
        <v>0</v>
      </c>
      <c r="I558">
        <f>COUNTIF('Metrics - Articles'!F557,"*GCO – Regions*")</f>
        <v>0</v>
      </c>
      <c r="J558">
        <f>COUNTIF('Metrics - Articles'!F557,"*GCO – Platform Solutions*")</f>
        <v>0</v>
      </c>
      <c r="K558">
        <f>COUNTIF('Metrics - Articles'!F557,"*GCO – Industry Cloud *")</f>
        <v>0</v>
      </c>
      <c r="L558">
        <f>COUNTIF('Metrics - Articles'!F557,"*GCO – Customer Engagement &amp; Commerce (CRM &amp; hybris) *")</f>
        <v>0</v>
      </c>
      <c r="M558">
        <f>COUNTIF('Metrics - Articles'!F557,"*GCO – HR (SuccessFactors)*")</f>
        <v>0</v>
      </c>
      <c r="N558">
        <f>COUNTIF('Metrics - Articles'!F557,"*GCO – Services Sales*")</f>
        <v>0</v>
      </c>
      <c r="O558">
        <f>COUNTIF('Metrics - Articles'!F557,"*GCO – Other*")</f>
        <v>0</v>
      </c>
      <c r="P558">
        <f>COUNTIF('Metrics - Articles'!F557,"*Corporate*")</f>
        <v>0</v>
      </c>
      <c r="R558" s="53">
        <f t="shared" si="10"/>
        <v>0</v>
      </c>
    </row>
    <row r="559" spans="2:18" x14ac:dyDescent="0.25">
      <c r="B559" s="48">
        <f>+'Metrics - Articles'!C558</f>
        <v>0</v>
      </c>
      <c r="C559">
        <f>COUNTIF('Metrics - Articles'!F558,"*GPO (Partner, Ecosystem, Channels)*")</f>
        <v>0</v>
      </c>
      <c r="D559">
        <f>COUNTIF('Metrics - Articles'!F558,"*Office of the CEO*")</f>
        <v>0</v>
      </c>
      <c r="E559">
        <f>COUNTIF('Metrics - Articles'!F558,"*Services Delivery &amp; Support (go-lives and deployments) *")</f>
        <v>0</v>
      </c>
      <c r="F559">
        <f>COUNTIF('Metrics - Articles'!F558,"*Human Resources (SAP HR and employee stories)*")</f>
        <v>0</v>
      </c>
      <c r="G559">
        <f>COUNTIF('Metrics - Articles'!F558,"*P&amp;I (Research &amp; Development)*")</f>
        <v>0</v>
      </c>
      <c r="H559">
        <f>COUNTIF('Metrics - Articles'!F558,"*Business Network (Concur, Ariba, Fieldglass)*")</f>
        <v>0</v>
      </c>
      <c r="I559">
        <f>COUNTIF('Metrics - Articles'!F558,"*GCO – Regions*")</f>
        <v>0</v>
      </c>
      <c r="J559">
        <f>COUNTIF('Metrics - Articles'!F558,"*GCO – Platform Solutions*")</f>
        <v>0</v>
      </c>
      <c r="K559">
        <f>COUNTIF('Metrics - Articles'!F558,"*GCO – Industry Cloud *")</f>
        <v>0</v>
      </c>
      <c r="L559">
        <f>COUNTIF('Metrics - Articles'!F558,"*GCO – Customer Engagement &amp; Commerce (CRM &amp; hybris) *")</f>
        <v>0</v>
      </c>
      <c r="M559">
        <f>COUNTIF('Metrics - Articles'!F558,"*GCO – HR (SuccessFactors)*")</f>
        <v>0</v>
      </c>
      <c r="N559">
        <f>COUNTIF('Metrics - Articles'!F558,"*GCO – Services Sales*")</f>
        <v>0</v>
      </c>
      <c r="O559">
        <f>COUNTIF('Metrics - Articles'!F558,"*GCO – Other*")</f>
        <v>0</v>
      </c>
      <c r="P559">
        <f>COUNTIF('Metrics - Articles'!F558,"*Corporate*")</f>
        <v>0</v>
      </c>
      <c r="R559" s="53">
        <f t="shared" si="10"/>
        <v>0</v>
      </c>
    </row>
    <row r="560" spans="2:18" x14ac:dyDescent="0.25">
      <c r="B560" s="48">
        <f>+'Metrics - Articles'!C559</f>
        <v>0</v>
      </c>
      <c r="C560">
        <f>COUNTIF('Metrics - Articles'!F559,"*GPO (Partner, Ecosystem, Channels)*")</f>
        <v>0</v>
      </c>
      <c r="D560">
        <f>COUNTIF('Metrics - Articles'!F559,"*Office of the CEO*")</f>
        <v>0</v>
      </c>
      <c r="E560">
        <f>COUNTIF('Metrics - Articles'!F559,"*Services Delivery &amp; Support (go-lives and deployments) *")</f>
        <v>0</v>
      </c>
      <c r="F560">
        <f>COUNTIF('Metrics - Articles'!F559,"*Human Resources (SAP HR and employee stories)*")</f>
        <v>0</v>
      </c>
      <c r="G560">
        <f>COUNTIF('Metrics - Articles'!F559,"*P&amp;I (Research &amp; Development)*")</f>
        <v>0</v>
      </c>
      <c r="H560">
        <f>COUNTIF('Metrics - Articles'!F559,"*Business Network (Concur, Ariba, Fieldglass)*")</f>
        <v>0</v>
      </c>
      <c r="I560">
        <f>COUNTIF('Metrics - Articles'!F559,"*GCO – Regions*")</f>
        <v>0</v>
      </c>
      <c r="J560">
        <f>COUNTIF('Metrics - Articles'!F559,"*GCO – Platform Solutions*")</f>
        <v>0</v>
      </c>
      <c r="K560">
        <f>COUNTIF('Metrics - Articles'!F559,"*GCO – Industry Cloud *")</f>
        <v>0</v>
      </c>
      <c r="L560">
        <f>COUNTIF('Metrics - Articles'!F559,"*GCO – Customer Engagement &amp; Commerce (CRM &amp; hybris) *")</f>
        <v>0</v>
      </c>
      <c r="M560">
        <f>COUNTIF('Metrics - Articles'!F559,"*GCO – HR (SuccessFactors)*")</f>
        <v>0</v>
      </c>
      <c r="N560">
        <f>COUNTIF('Metrics - Articles'!F559,"*GCO – Services Sales*")</f>
        <v>0</v>
      </c>
      <c r="O560">
        <f>COUNTIF('Metrics - Articles'!F559,"*GCO – Other*")</f>
        <v>0</v>
      </c>
      <c r="P560">
        <f>COUNTIF('Metrics - Articles'!F559,"*Corporate*")</f>
        <v>0</v>
      </c>
      <c r="R560" s="53">
        <f t="shared" si="10"/>
        <v>0</v>
      </c>
    </row>
    <row r="561" spans="2:18" x14ac:dyDescent="0.25">
      <c r="B561" s="48">
        <f>+'Metrics - Articles'!C560</f>
        <v>0</v>
      </c>
      <c r="C561">
        <f>COUNTIF('Metrics - Articles'!F560,"*GPO (Partner, Ecosystem, Channels)*")</f>
        <v>0</v>
      </c>
      <c r="D561">
        <f>COUNTIF('Metrics - Articles'!F560,"*Office of the CEO*")</f>
        <v>0</v>
      </c>
      <c r="E561">
        <f>COUNTIF('Metrics - Articles'!F560,"*Services Delivery &amp; Support (go-lives and deployments) *")</f>
        <v>0</v>
      </c>
      <c r="F561">
        <f>COUNTIF('Metrics - Articles'!F560,"*Human Resources (SAP HR and employee stories)*")</f>
        <v>0</v>
      </c>
      <c r="G561">
        <f>COUNTIF('Metrics - Articles'!F560,"*P&amp;I (Research &amp; Development)*")</f>
        <v>0</v>
      </c>
      <c r="H561">
        <f>COUNTIF('Metrics - Articles'!F560,"*Business Network (Concur, Ariba, Fieldglass)*")</f>
        <v>0</v>
      </c>
      <c r="I561">
        <f>COUNTIF('Metrics - Articles'!F560,"*GCO – Regions*")</f>
        <v>0</v>
      </c>
      <c r="J561">
        <f>COUNTIF('Metrics - Articles'!F560,"*GCO – Platform Solutions*")</f>
        <v>0</v>
      </c>
      <c r="K561">
        <f>COUNTIF('Metrics - Articles'!F560,"*GCO – Industry Cloud *")</f>
        <v>0</v>
      </c>
      <c r="L561">
        <f>COUNTIF('Metrics - Articles'!F560,"*GCO – Customer Engagement &amp; Commerce (CRM &amp; hybris) *")</f>
        <v>0</v>
      </c>
      <c r="M561">
        <f>COUNTIF('Metrics - Articles'!F560,"*GCO – HR (SuccessFactors)*")</f>
        <v>0</v>
      </c>
      <c r="N561">
        <f>COUNTIF('Metrics - Articles'!F560,"*GCO – Services Sales*")</f>
        <v>0</v>
      </c>
      <c r="O561">
        <f>COUNTIF('Metrics - Articles'!F560,"*GCO – Other*")</f>
        <v>0</v>
      </c>
      <c r="P561">
        <f>COUNTIF('Metrics - Articles'!F560,"*Corporate*")</f>
        <v>0</v>
      </c>
      <c r="R561" s="53">
        <f t="shared" si="10"/>
        <v>0</v>
      </c>
    </row>
    <row r="562" spans="2:18" x14ac:dyDescent="0.25">
      <c r="B562" s="48">
        <f>+'Metrics - Articles'!C561</f>
        <v>0</v>
      </c>
      <c r="C562">
        <f>COUNTIF('Metrics - Articles'!F561,"*GPO (Partner, Ecosystem, Channels)*")</f>
        <v>0</v>
      </c>
      <c r="D562">
        <f>COUNTIF('Metrics - Articles'!F561,"*Office of the CEO*")</f>
        <v>0</v>
      </c>
      <c r="E562">
        <f>COUNTIF('Metrics - Articles'!F561,"*Services Delivery &amp; Support (go-lives and deployments) *")</f>
        <v>0</v>
      </c>
      <c r="F562">
        <f>COUNTIF('Metrics - Articles'!F561,"*Human Resources (SAP HR and employee stories)*")</f>
        <v>0</v>
      </c>
      <c r="G562">
        <f>COUNTIF('Metrics - Articles'!F561,"*P&amp;I (Research &amp; Development)*")</f>
        <v>0</v>
      </c>
      <c r="H562">
        <f>COUNTIF('Metrics - Articles'!F561,"*Business Network (Concur, Ariba, Fieldglass)*")</f>
        <v>0</v>
      </c>
      <c r="I562">
        <f>COUNTIF('Metrics - Articles'!F561,"*GCO – Regions*")</f>
        <v>0</v>
      </c>
      <c r="J562">
        <f>COUNTIF('Metrics - Articles'!F561,"*GCO – Platform Solutions*")</f>
        <v>0</v>
      </c>
      <c r="K562">
        <f>COUNTIF('Metrics - Articles'!F561,"*GCO – Industry Cloud *")</f>
        <v>0</v>
      </c>
      <c r="L562">
        <f>COUNTIF('Metrics - Articles'!F561,"*GCO – Customer Engagement &amp; Commerce (CRM &amp; hybris) *")</f>
        <v>0</v>
      </c>
      <c r="M562">
        <f>COUNTIF('Metrics - Articles'!F561,"*GCO – HR (SuccessFactors)*")</f>
        <v>0</v>
      </c>
      <c r="N562">
        <f>COUNTIF('Metrics - Articles'!F561,"*GCO – Services Sales*")</f>
        <v>0</v>
      </c>
      <c r="O562">
        <f>COUNTIF('Metrics - Articles'!F561,"*GCO – Other*")</f>
        <v>0</v>
      </c>
      <c r="P562">
        <f>COUNTIF('Metrics - Articles'!F561,"*Corporate*")</f>
        <v>0</v>
      </c>
      <c r="R562" s="53">
        <f t="shared" si="10"/>
        <v>0</v>
      </c>
    </row>
    <row r="563" spans="2:18" x14ac:dyDescent="0.25">
      <c r="B563" s="48">
        <f>+'Metrics - Articles'!C562</f>
        <v>0</v>
      </c>
      <c r="C563">
        <f>COUNTIF('Metrics - Articles'!F562,"*GPO (Partner, Ecosystem, Channels)*")</f>
        <v>0</v>
      </c>
      <c r="D563">
        <f>COUNTIF('Metrics - Articles'!F562,"*Office of the CEO*")</f>
        <v>0</v>
      </c>
      <c r="E563">
        <f>COUNTIF('Metrics - Articles'!F562,"*Services Delivery &amp; Support (go-lives and deployments) *")</f>
        <v>0</v>
      </c>
      <c r="F563">
        <f>COUNTIF('Metrics - Articles'!F562,"*Human Resources (SAP HR and employee stories)*")</f>
        <v>0</v>
      </c>
      <c r="G563">
        <f>COUNTIF('Metrics - Articles'!F562,"*P&amp;I (Research &amp; Development)*")</f>
        <v>0</v>
      </c>
      <c r="H563">
        <f>COUNTIF('Metrics - Articles'!F562,"*Business Network (Concur, Ariba, Fieldglass)*")</f>
        <v>0</v>
      </c>
      <c r="I563">
        <f>COUNTIF('Metrics - Articles'!F562,"*GCO – Regions*")</f>
        <v>0</v>
      </c>
      <c r="J563">
        <f>COUNTIF('Metrics - Articles'!F562,"*GCO – Platform Solutions*")</f>
        <v>0</v>
      </c>
      <c r="K563">
        <f>COUNTIF('Metrics - Articles'!F562,"*GCO – Industry Cloud *")</f>
        <v>0</v>
      </c>
      <c r="L563">
        <f>COUNTIF('Metrics - Articles'!F562,"*GCO – Customer Engagement &amp; Commerce (CRM &amp; hybris) *")</f>
        <v>0</v>
      </c>
      <c r="M563">
        <f>COUNTIF('Metrics - Articles'!F562,"*GCO – HR (SuccessFactors)*")</f>
        <v>0</v>
      </c>
      <c r="N563">
        <f>COUNTIF('Metrics - Articles'!F562,"*GCO – Services Sales*")</f>
        <v>0</v>
      </c>
      <c r="O563">
        <f>COUNTIF('Metrics - Articles'!F562,"*GCO – Other*")</f>
        <v>0</v>
      </c>
      <c r="P563">
        <f>COUNTIF('Metrics - Articles'!F562,"*Corporate*")</f>
        <v>0</v>
      </c>
      <c r="R563" s="53">
        <f t="shared" si="10"/>
        <v>0</v>
      </c>
    </row>
    <row r="564" spans="2:18" x14ac:dyDescent="0.25">
      <c r="B564" s="48">
        <f>+'Metrics - Articles'!C563</f>
        <v>0</v>
      </c>
      <c r="C564">
        <f>COUNTIF('Metrics - Articles'!F563,"*GPO (Partner, Ecosystem, Channels)*")</f>
        <v>0</v>
      </c>
      <c r="D564">
        <f>COUNTIF('Metrics - Articles'!F563,"*Office of the CEO*")</f>
        <v>0</v>
      </c>
      <c r="E564">
        <f>COUNTIF('Metrics - Articles'!F563,"*Services Delivery &amp; Support (go-lives and deployments) *")</f>
        <v>0</v>
      </c>
      <c r="F564">
        <f>COUNTIF('Metrics - Articles'!F563,"*Human Resources (SAP HR and employee stories)*")</f>
        <v>0</v>
      </c>
      <c r="G564">
        <f>COUNTIF('Metrics - Articles'!F563,"*P&amp;I (Research &amp; Development)*")</f>
        <v>0</v>
      </c>
      <c r="H564">
        <f>COUNTIF('Metrics - Articles'!F563,"*Business Network (Concur, Ariba, Fieldglass)*")</f>
        <v>0</v>
      </c>
      <c r="I564">
        <f>COUNTIF('Metrics - Articles'!F563,"*GCO – Regions*")</f>
        <v>0</v>
      </c>
      <c r="J564">
        <f>COUNTIF('Metrics - Articles'!F563,"*GCO – Platform Solutions*")</f>
        <v>0</v>
      </c>
      <c r="K564">
        <f>COUNTIF('Metrics - Articles'!F563,"*GCO – Industry Cloud *")</f>
        <v>0</v>
      </c>
      <c r="L564">
        <f>COUNTIF('Metrics - Articles'!F563,"*GCO – Customer Engagement &amp; Commerce (CRM &amp; hybris) *")</f>
        <v>0</v>
      </c>
      <c r="M564">
        <f>COUNTIF('Metrics - Articles'!F563,"*GCO – HR (SuccessFactors)*")</f>
        <v>0</v>
      </c>
      <c r="N564">
        <f>COUNTIF('Metrics - Articles'!F563,"*GCO – Services Sales*")</f>
        <v>0</v>
      </c>
      <c r="O564">
        <f>COUNTIF('Metrics - Articles'!F563,"*GCO – Other*")</f>
        <v>0</v>
      </c>
      <c r="P564">
        <f>COUNTIF('Metrics - Articles'!F563,"*Corporate*")</f>
        <v>0</v>
      </c>
      <c r="R564" s="53">
        <f t="shared" si="10"/>
        <v>0</v>
      </c>
    </row>
    <row r="565" spans="2:18" x14ac:dyDescent="0.25">
      <c r="B565" s="48">
        <f>+'Metrics - Articles'!C564</f>
        <v>0</v>
      </c>
      <c r="C565">
        <f>COUNTIF('Metrics - Articles'!F564,"*GPO (Partner, Ecosystem, Channels)*")</f>
        <v>0</v>
      </c>
      <c r="D565">
        <f>COUNTIF('Metrics - Articles'!F564,"*Office of the CEO*")</f>
        <v>0</v>
      </c>
      <c r="E565">
        <f>COUNTIF('Metrics - Articles'!F564,"*Services Delivery &amp; Support (go-lives and deployments) *")</f>
        <v>0</v>
      </c>
      <c r="F565">
        <f>COUNTIF('Metrics - Articles'!F564,"*Human Resources (SAP HR and employee stories)*")</f>
        <v>0</v>
      </c>
      <c r="G565">
        <f>COUNTIF('Metrics - Articles'!F564,"*P&amp;I (Research &amp; Development)*")</f>
        <v>0</v>
      </c>
      <c r="H565">
        <f>COUNTIF('Metrics - Articles'!F564,"*Business Network (Concur, Ariba, Fieldglass)*")</f>
        <v>0</v>
      </c>
      <c r="I565">
        <f>COUNTIF('Metrics - Articles'!F564,"*GCO – Regions*")</f>
        <v>0</v>
      </c>
      <c r="J565">
        <f>COUNTIF('Metrics - Articles'!F564,"*GCO – Platform Solutions*")</f>
        <v>0</v>
      </c>
      <c r="K565">
        <f>COUNTIF('Metrics - Articles'!F564,"*GCO – Industry Cloud *")</f>
        <v>0</v>
      </c>
      <c r="L565">
        <f>COUNTIF('Metrics - Articles'!F564,"*GCO – Customer Engagement &amp; Commerce (CRM &amp; hybris) *")</f>
        <v>0</v>
      </c>
      <c r="M565">
        <f>COUNTIF('Metrics - Articles'!F564,"*GCO – HR (SuccessFactors)*")</f>
        <v>0</v>
      </c>
      <c r="N565">
        <f>COUNTIF('Metrics - Articles'!F564,"*GCO – Services Sales*")</f>
        <v>0</v>
      </c>
      <c r="O565">
        <f>COUNTIF('Metrics - Articles'!F564,"*GCO – Other*")</f>
        <v>0</v>
      </c>
      <c r="P565">
        <f>COUNTIF('Metrics - Articles'!F564,"*Corporate*")</f>
        <v>0</v>
      </c>
      <c r="R565" s="53">
        <f t="shared" si="10"/>
        <v>0</v>
      </c>
    </row>
    <row r="566" spans="2:18" x14ac:dyDescent="0.25">
      <c r="B566" s="48">
        <f>+'Metrics - Articles'!C565</f>
        <v>0</v>
      </c>
      <c r="C566">
        <f>COUNTIF('Metrics - Articles'!F565,"*GPO (Partner, Ecosystem, Channels)*")</f>
        <v>0</v>
      </c>
      <c r="D566">
        <f>COUNTIF('Metrics - Articles'!F565,"*Office of the CEO*")</f>
        <v>0</v>
      </c>
      <c r="E566">
        <f>COUNTIF('Metrics - Articles'!F565,"*Services Delivery &amp; Support (go-lives and deployments) *")</f>
        <v>0</v>
      </c>
      <c r="F566">
        <f>COUNTIF('Metrics - Articles'!F565,"*Human Resources (SAP HR and employee stories)*")</f>
        <v>0</v>
      </c>
      <c r="G566">
        <f>COUNTIF('Metrics - Articles'!F565,"*P&amp;I (Research &amp; Development)*")</f>
        <v>0</v>
      </c>
      <c r="H566">
        <f>COUNTIF('Metrics - Articles'!F565,"*Business Network (Concur, Ariba, Fieldglass)*")</f>
        <v>0</v>
      </c>
      <c r="I566">
        <f>COUNTIF('Metrics - Articles'!F565,"*GCO – Regions*")</f>
        <v>0</v>
      </c>
      <c r="J566">
        <f>COUNTIF('Metrics - Articles'!F565,"*GCO – Platform Solutions*")</f>
        <v>0</v>
      </c>
      <c r="K566">
        <f>COUNTIF('Metrics - Articles'!F565,"*GCO – Industry Cloud *")</f>
        <v>0</v>
      </c>
      <c r="L566">
        <f>COUNTIF('Metrics - Articles'!F565,"*GCO – Customer Engagement &amp; Commerce (CRM &amp; hybris) *")</f>
        <v>0</v>
      </c>
      <c r="M566">
        <f>COUNTIF('Metrics - Articles'!F565,"*GCO – HR (SuccessFactors)*")</f>
        <v>0</v>
      </c>
      <c r="N566">
        <f>COUNTIF('Metrics - Articles'!F565,"*GCO – Services Sales*")</f>
        <v>0</v>
      </c>
      <c r="O566">
        <f>COUNTIF('Metrics - Articles'!F565,"*GCO – Other*")</f>
        <v>0</v>
      </c>
      <c r="P566">
        <f>COUNTIF('Metrics - Articles'!F565,"*Corporate*")</f>
        <v>0</v>
      </c>
      <c r="R566" s="53">
        <f t="shared" si="10"/>
        <v>0</v>
      </c>
    </row>
    <row r="567" spans="2:18" x14ac:dyDescent="0.25">
      <c r="B567" s="48">
        <f>+'Metrics - Articles'!C566</f>
        <v>0</v>
      </c>
      <c r="C567">
        <f>COUNTIF('Metrics - Articles'!F566,"*GPO (Partner, Ecosystem, Channels)*")</f>
        <v>0</v>
      </c>
      <c r="D567">
        <f>COUNTIF('Metrics - Articles'!F566,"*Office of the CEO*")</f>
        <v>0</v>
      </c>
      <c r="E567">
        <f>COUNTIF('Metrics - Articles'!F566,"*Services Delivery &amp; Support (go-lives and deployments) *")</f>
        <v>0</v>
      </c>
      <c r="F567">
        <f>COUNTIF('Metrics - Articles'!F566,"*Human Resources (SAP HR and employee stories)*")</f>
        <v>0</v>
      </c>
      <c r="G567">
        <f>COUNTIF('Metrics - Articles'!F566,"*P&amp;I (Research &amp; Development)*")</f>
        <v>0</v>
      </c>
      <c r="H567">
        <f>COUNTIF('Metrics - Articles'!F566,"*Business Network (Concur, Ariba, Fieldglass)*")</f>
        <v>0</v>
      </c>
      <c r="I567">
        <f>COUNTIF('Metrics - Articles'!F566,"*GCO – Regions*")</f>
        <v>0</v>
      </c>
      <c r="J567">
        <f>COUNTIF('Metrics - Articles'!F566,"*GCO – Platform Solutions*")</f>
        <v>0</v>
      </c>
      <c r="K567">
        <f>COUNTIF('Metrics - Articles'!F566,"*GCO – Industry Cloud *")</f>
        <v>0</v>
      </c>
      <c r="L567">
        <f>COUNTIF('Metrics - Articles'!F566,"*GCO – Customer Engagement &amp; Commerce (CRM &amp; hybris) *")</f>
        <v>0</v>
      </c>
      <c r="M567">
        <f>COUNTIF('Metrics - Articles'!F566,"*GCO – HR (SuccessFactors)*")</f>
        <v>0</v>
      </c>
      <c r="N567">
        <f>COUNTIF('Metrics - Articles'!F566,"*GCO – Services Sales*")</f>
        <v>0</v>
      </c>
      <c r="O567">
        <f>COUNTIF('Metrics - Articles'!F566,"*GCO – Other*")</f>
        <v>0</v>
      </c>
      <c r="P567">
        <f>COUNTIF('Metrics - Articles'!F566,"*Corporate*")</f>
        <v>0</v>
      </c>
      <c r="R567" s="53">
        <f t="shared" si="10"/>
        <v>0</v>
      </c>
    </row>
    <row r="568" spans="2:18" x14ac:dyDescent="0.25">
      <c r="B568" s="48">
        <f>+'Metrics - Articles'!C567</f>
        <v>0</v>
      </c>
      <c r="C568">
        <f>COUNTIF('Metrics - Articles'!F567,"*GPO (Partner, Ecosystem, Channels)*")</f>
        <v>0</v>
      </c>
      <c r="D568">
        <f>COUNTIF('Metrics - Articles'!F567,"*Office of the CEO*")</f>
        <v>0</v>
      </c>
      <c r="E568">
        <f>COUNTIF('Metrics - Articles'!F567,"*Services Delivery &amp; Support (go-lives and deployments) *")</f>
        <v>0</v>
      </c>
      <c r="F568">
        <f>COUNTIF('Metrics - Articles'!F567,"*Human Resources (SAP HR and employee stories)*")</f>
        <v>0</v>
      </c>
      <c r="G568">
        <f>COUNTIF('Metrics - Articles'!F567,"*P&amp;I (Research &amp; Development)*")</f>
        <v>0</v>
      </c>
      <c r="H568">
        <f>COUNTIF('Metrics - Articles'!F567,"*Business Network (Concur, Ariba, Fieldglass)*")</f>
        <v>0</v>
      </c>
      <c r="I568">
        <f>COUNTIF('Metrics - Articles'!F567,"*GCO – Regions*")</f>
        <v>0</v>
      </c>
      <c r="J568">
        <f>COUNTIF('Metrics - Articles'!F567,"*GCO – Platform Solutions*")</f>
        <v>0</v>
      </c>
      <c r="K568">
        <f>COUNTIF('Metrics - Articles'!F567,"*GCO – Industry Cloud *")</f>
        <v>0</v>
      </c>
      <c r="L568">
        <f>COUNTIF('Metrics - Articles'!F567,"*GCO – Customer Engagement &amp; Commerce (CRM &amp; hybris) *")</f>
        <v>0</v>
      </c>
      <c r="M568">
        <f>COUNTIF('Metrics - Articles'!F567,"*GCO – HR (SuccessFactors)*")</f>
        <v>0</v>
      </c>
      <c r="N568">
        <f>COUNTIF('Metrics - Articles'!F567,"*GCO – Services Sales*")</f>
        <v>0</v>
      </c>
      <c r="O568">
        <f>COUNTIF('Metrics - Articles'!F567,"*GCO – Other*")</f>
        <v>0</v>
      </c>
      <c r="P568">
        <f>COUNTIF('Metrics - Articles'!F567,"*Corporate*")</f>
        <v>0</v>
      </c>
      <c r="R568" s="53">
        <f t="shared" si="10"/>
        <v>0</v>
      </c>
    </row>
    <row r="569" spans="2:18" x14ac:dyDescent="0.25">
      <c r="B569" s="48">
        <f>+'Metrics - Articles'!C568</f>
        <v>0</v>
      </c>
      <c r="C569">
        <f>COUNTIF('Metrics - Articles'!F568,"*GPO (Partner, Ecosystem, Channels)*")</f>
        <v>0</v>
      </c>
      <c r="D569">
        <f>COUNTIF('Metrics - Articles'!F568,"*Office of the CEO*")</f>
        <v>0</v>
      </c>
      <c r="E569">
        <f>COUNTIF('Metrics - Articles'!F568,"*Services Delivery &amp; Support (go-lives and deployments) *")</f>
        <v>0</v>
      </c>
      <c r="F569">
        <f>COUNTIF('Metrics - Articles'!F568,"*Human Resources (SAP HR and employee stories)*")</f>
        <v>0</v>
      </c>
      <c r="G569">
        <f>COUNTIF('Metrics - Articles'!F568,"*P&amp;I (Research &amp; Development)*")</f>
        <v>0</v>
      </c>
      <c r="H569">
        <f>COUNTIF('Metrics - Articles'!F568,"*Business Network (Concur, Ariba, Fieldglass)*")</f>
        <v>0</v>
      </c>
      <c r="I569">
        <f>COUNTIF('Metrics - Articles'!F568,"*GCO – Regions*")</f>
        <v>0</v>
      </c>
      <c r="J569">
        <f>COUNTIF('Metrics - Articles'!F568,"*GCO – Platform Solutions*")</f>
        <v>0</v>
      </c>
      <c r="K569">
        <f>COUNTIF('Metrics - Articles'!F568,"*GCO – Industry Cloud *")</f>
        <v>0</v>
      </c>
      <c r="L569">
        <f>COUNTIF('Metrics - Articles'!F568,"*GCO – Customer Engagement &amp; Commerce (CRM &amp; hybris) *")</f>
        <v>0</v>
      </c>
      <c r="M569">
        <f>COUNTIF('Metrics - Articles'!F568,"*GCO – HR (SuccessFactors)*")</f>
        <v>0</v>
      </c>
      <c r="N569">
        <f>COUNTIF('Metrics - Articles'!F568,"*GCO – Services Sales*")</f>
        <v>0</v>
      </c>
      <c r="O569">
        <f>COUNTIF('Metrics - Articles'!F568,"*GCO – Other*")</f>
        <v>0</v>
      </c>
      <c r="P569">
        <f>COUNTIF('Metrics - Articles'!F568,"*Corporate*")</f>
        <v>0</v>
      </c>
      <c r="R569" s="53">
        <f t="shared" si="10"/>
        <v>0</v>
      </c>
    </row>
    <row r="570" spans="2:18" x14ac:dyDescent="0.25">
      <c r="B570" s="48">
        <f>+'Metrics - Articles'!C569</f>
        <v>0</v>
      </c>
      <c r="C570">
        <f>COUNTIF('Metrics - Articles'!F569,"*GPO (Partner, Ecosystem, Channels)*")</f>
        <v>0</v>
      </c>
      <c r="D570">
        <f>COUNTIF('Metrics - Articles'!F569,"*Office of the CEO*")</f>
        <v>0</v>
      </c>
      <c r="E570">
        <f>COUNTIF('Metrics - Articles'!F569,"*Services Delivery &amp; Support (go-lives and deployments) *")</f>
        <v>0</v>
      </c>
      <c r="F570">
        <f>COUNTIF('Metrics - Articles'!F569,"*Human Resources (SAP HR and employee stories)*")</f>
        <v>0</v>
      </c>
      <c r="G570">
        <f>COUNTIF('Metrics - Articles'!F569,"*P&amp;I (Research &amp; Development)*")</f>
        <v>0</v>
      </c>
      <c r="H570">
        <f>COUNTIF('Metrics - Articles'!F569,"*Business Network (Concur, Ariba, Fieldglass)*")</f>
        <v>0</v>
      </c>
      <c r="I570">
        <f>COUNTIF('Metrics - Articles'!F569,"*GCO – Regions*")</f>
        <v>0</v>
      </c>
      <c r="J570">
        <f>COUNTIF('Metrics - Articles'!F569,"*GCO – Platform Solutions*")</f>
        <v>0</v>
      </c>
      <c r="K570">
        <f>COUNTIF('Metrics - Articles'!F569,"*GCO – Industry Cloud *")</f>
        <v>0</v>
      </c>
      <c r="L570">
        <f>COUNTIF('Metrics - Articles'!F569,"*GCO – Customer Engagement &amp; Commerce (CRM &amp; hybris) *")</f>
        <v>0</v>
      </c>
      <c r="M570">
        <f>COUNTIF('Metrics - Articles'!F569,"*GCO – HR (SuccessFactors)*")</f>
        <v>0</v>
      </c>
      <c r="N570">
        <f>COUNTIF('Metrics - Articles'!F569,"*GCO – Services Sales*")</f>
        <v>0</v>
      </c>
      <c r="O570">
        <f>COUNTIF('Metrics - Articles'!F569,"*GCO – Other*")</f>
        <v>0</v>
      </c>
      <c r="P570">
        <f>COUNTIF('Metrics - Articles'!F569,"*Corporate*")</f>
        <v>0</v>
      </c>
      <c r="R570" s="53">
        <f t="shared" si="10"/>
        <v>0</v>
      </c>
    </row>
    <row r="571" spans="2:18" x14ac:dyDescent="0.25">
      <c r="B571" s="48">
        <f>+'Metrics - Articles'!C570</f>
        <v>0</v>
      </c>
      <c r="C571">
        <f>COUNTIF('Metrics - Articles'!F570,"*GPO (Partner, Ecosystem, Channels)*")</f>
        <v>0</v>
      </c>
      <c r="D571">
        <f>COUNTIF('Metrics - Articles'!F570,"*Office of the CEO*")</f>
        <v>0</v>
      </c>
      <c r="E571">
        <f>COUNTIF('Metrics - Articles'!F570,"*Services Delivery &amp; Support (go-lives and deployments) *")</f>
        <v>0</v>
      </c>
      <c r="F571">
        <f>COUNTIF('Metrics - Articles'!F570,"*Human Resources (SAP HR and employee stories)*")</f>
        <v>0</v>
      </c>
      <c r="G571">
        <f>COUNTIF('Metrics - Articles'!F570,"*P&amp;I (Research &amp; Development)*")</f>
        <v>0</v>
      </c>
      <c r="H571">
        <f>COUNTIF('Metrics - Articles'!F570,"*Business Network (Concur, Ariba, Fieldglass)*")</f>
        <v>0</v>
      </c>
      <c r="I571">
        <f>COUNTIF('Metrics - Articles'!F570,"*GCO – Regions*")</f>
        <v>0</v>
      </c>
      <c r="J571">
        <f>COUNTIF('Metrics - Articles'!F570,"*GCO – Platform Solutions*")</f>
        <v>0</v>
      </c>
      <c r="K571">
        <f>COUNTIF('Metrics - Articles'!F570,"*GCO – Industry Cloud *")</f>
        <v>0</v>
      </c>
      <c r="L571">
        <f>COUNTIF('Metrics - Articles'!F570,"*GCO – Customer Engagement &amp; Commerce (CRM &amp; hybris) *")</f>
        <v>0</v>
      </c>
      <c r="M571">
        <f>COUNTIF('Metrics - Articles'!F570,"*GCO – HR (SuccessFactors)*")</f>
        <v>0</v>
      </c>
      <c r="N571">
        <f>COUNTIF('Metrics - Articles'!F570,"*GCO – Services Sales*")</f>
        <v>0</v>
      </c>
      <c r="O571">
        <f>COUNTIF('Metrics - Articles'!F570,"*GCO – Other*")</f>
        <v>0</v>
      </c>
      <c r="P571">
        <f>COUNTIF('Metrics - Articles'!F570,"*Corporate*")</f>
        <v>0</v>
      </c>
      <c r="R571" s="53">
        <f t="shared" si="10"/>
        <v>0</v>
      </c>
    </row>
    <row r="572" spans="2:18" x14ac:dyDescent="0.25">
      <c r="B572" s="48">
        <f>+'Metrics - Articles'!C571</f>
        <v>0</v>
      </c>
      <c r="C572">
        <f>COUNTIF('Metrics - Articles'!F571,"*GPO (Partner, Ecosystem, Channels)*")</f>
        <v>0</v>
      </c>
      <c r="D572">
        <f>COUNTIF('Metrics - Articles'!F571,"*Office of the CEO*")</f>
        <v>0</v>
      </c>
      <c r="E572">
        <f>COUNTIF('Metrics - Articles'!F571,"*Services Delivery &amp; Support (go-lives and deployments) *")</f>
        <v>0</v>
      </c>
      <c r="F572">
        <f>COUNTIF('Metrics - Articles'!F571,"*Human Resources (SAP HR and employee stories)*")</f>
        <v>0</v>
      </c>
      <c r="G572">
        <f>COUNTIF('Metrics - Articles'!F571,"*P&amp;I (Research &amp; Development)*")</f>
        <v>0</v>
      </c>
      <c r="H572">
        <f>COUNTIF('Metrics - Articles'!F571,"*Business Network (Concur, Ariba, Fieldglass)*")</f>
        <v>0</v>
      </c>
      <c r="I572">
        <f>COUNTIF('Metrics - Articles'!F571,"*GCO – Regions*")</f>
        <v>0</v>
      </c>
      <c r="J572">
        <f>COUNTIF('Metrics - Articles'!F571,"*GCO – Platform Solutions*")</f>
        <v>0</v>
      </c>
      <c r="K572">
        <f>COUNTIF('Metrics - Articles'!F571,"*GCO – Industry Cloud *")</f>
        <v>0</v>
      </c>
      <c r="L572">
        <f>COUNTIF('Metrics - Articles'!F571,"*GCO – Customer Engagement &amp; Commerce (CRM &amp; hybris) *")</f>
        <v>0</v>
      </c>
      <c r="M572">
        <f>COUNTIF('Metrics - Articles'!F571,"*GCO – HR (SuccessFactors)*")</f>
        <v>0</v>
      </c>
      <c r="N572">
        <f>COUNTIF('Metrics - Articles'!F571,"*GCO – Services Sales*")</f>
        <v>0</v>
      </c>
      <c r="O572">
        <f>COUNTIF('Metrics - Articles'!F571,"*GCO – Other*")</f>
        <v>0</v>
      </c>
      <c r="P572">
        <f>COUNTIF('Metrics - Articles'!F571,"*Corporate*")</f>
        <v>0</v>
      </c>
      <c r="R572" s="53">
        <f t="shared" si="10"/>
        <v>0</v>
      </c>
    </row>
    <row r="573" spans="2:18" x14ac:dyDescent="0.25">
      <c r="B573" s="48">
        <f>+'Metrics - Articles'!C572</f>
        <v>0</v>
      </c>
      <c r="C573">
        <f>COUNTIF('Metrics - Articles'!F572,"*GPO (Partner, Ecosystem, Channels)*")</f>
        <v>0</v>
      </c>
      <c r="D573">
        <f>COUNTIF('Metrics - Articles'!F572,"*Office of the CEO*")</f>
        <v>0</v>
      </c>
      <c r="E573">
        <f>COUNTIF('Metrics - Articles'!F572,"*Services Delivery &amp; Support (go-lives and deployments) *")</f>
        <v>0</v>
      </c>
      <c r="F573">
        <f>COUNTIF('Metrics - Articles'!F572,"*Human Resources (SAP HR and employee stories)*")</f>
        <v>0</v>
      </c>
      <c r="G573">
        <f>COUNTIF('Metrics - Articles'!F572,"*P&amp;I (Research &amp; Development)*")</f>
        <v>0</v>
      </c>
      <c r="H573">
        <f>COUNTIF('Metrics - Articles'!F572,"*Business Network (Concur, Ariba, Fieldglass)*")</f>
        <v>0</v>
      </c>
      <c r="I573">
        <f>COUNTIF('Metrics - Articles'!F572,"*GCO – Regions*")</f>
        <v>0</v>
      </c>
      <c r="J573">
        <f>COUNTIF('Metrics - Articles'!F572,"*GCO – Platform Solutions*")</f>
        <v>0</v>
      </c>
      <c r="K573">
        <f>COUNTIF('Metrics - Articles'!F572,"*GCO – Industry Cloud *")</f>
        <v>0</v>
      </c>
      <c r="L573">
        <f>COUNTIF('Metrics - Articles'!F572,"*GCO – Customer Engagement &amp; Commerce (CRM &amp; hybris) *")</f>
        <v>0</v>
      </c>
      <c r="M573">
        <f>COUNTIF('Metrics - Articles'!F572,"*GCO – HR (SuccessFactors)*")</f>
        <v>0</v>
      </c>
      <c r="N573">
        <f>COUNTIF('Metrics - Articles'!F572,"*GCO – Services Sales*")</f>
        <v>0</v>
      </c>
      <c r="O573">
        <f>COUNTIF('Metrics - Articles'!F572,"*GCO – Other*")</f>
        <v>0</v>
      </c>
      <c r="P573">
        <f>COUNTIF('Metrics - Articles'!F572,"*Corporate*")</f>
        <v>0</v>
      </c>
      <c r="R573" s="53">
        <f t="shared" si="10"/>
        <v>0</v>
      </c>
    </row>
    <row r="574" spans="2:18" x14ac:dyDescent="0.25">
      <c r="B574" s="48">
        <f>+'Metrics - Articles'!C573</f>
        <v>0</v>
      </c>
      <c r="C574">
        <f>COUNTIF('Metrics - Articles'!F573,"*GPO (Partner, Ecosystem, Channels)*")</f>
        <v>0</v>
      </c>
      <c r="D574">
        <f>COUNTIF('Metrics - Articles'!F573,"*Office of the CEO*")</f>
        <v>0</v>
      </c>
      <c r="E574">
        <f>COUNTIF('Metrics - Articles'!F573,"*Services Delivery &amp; Support (go-lives and deployments) *")</f>
        <v>0</v>
      </c>
      <c r="F574">
        <f>COUNTIF('Metrics - Articles'!F573,"*Human Resources (SAP HR and employee stories)*")</f>
        <v>0</v>
      </c>
      <c r="G574">
        <f>COUNTIF('Metrics - Articles'!F573,"*P&amp;I (Research &amp; Development)*")</f>
        <v>0</v>
      </c>
      <c r="H574">
        <f>COUNTIF('Metrics - Articles'!F573,"*Business Network (Concur, Ariba, Fieldglass)*")</f>
        <v>0</v>
      </c>
      <c r="I574">
        <f>COUNTIF('Metrics - Articles'!F573,"*GCO – Regions*")</f>
        <v>0</v>
      </c>
      <c r="J574">
        <f>COUNTIF('Metrics - Articles'!F573,"*GCO – Platform Solutions*")</f>
        <v>0</v>
      </c>
      <c r="K574">
        <f>COUNTIF('Metrics - Articles'!F573,"*GCO – Industry Cloud *")</f>
        <v>0</v>
      </c>
      <c r="L574">
        <f>COUNTIF('Metrics - Articles'!F573,"*GCO – Customer Engagement &amp; Commerce (CRM &amp; hybris) *")</f>
        <v>0</v>
      </c>
      <c r="M574">
        <f>COUNTIF('Metrics - Articles'!F573,"*GCO – HR (SuccessFactors)*")</f>
        <v>0</v>
      </c>
      <c r="N574">
        <f>COUNTIF('Metrics - Articles'!F573,"*GCO – Services Sales*")</f>
        <v>0</v>
      </c>
      <c r="O574">
        <f>COUNTIF('Metrics - Articles'!F573,"*GCO – Other*")</f>
        <v>0</v>
      </c>
      <c r="P574">
        <f>COUNTIF('Metrics - Articles'!F573,"*Corporate*")</f>
        <v>0</v>
      </c>
      <c r="R574" s="53">
        <f t="shared" si="10"/>
        <v>0</v>
      </c>
    </row>
    <row r="575" spans="2:18" x14ac:dyDescent="0.25">
      <c r="B575" s="48">
        <f>+'Metrics - Articles'!C574</f>
        <v>0</v>
      </c>
      <c r="C575">
        <f>COUNTIF('Metrics - Articles'!F574,"*GPO (Partner, Ecosystem, Channels)*")</f>
        <v>0</v>
      </c>
      <c r="D575">
        <f>COUNTIF('Metrics - Articles'!F574,"*Office of the CEO*")</f>
        <v>0</v>
      </c>
      <c r="E575">
        <f>COUNTIF('Metrics - Articles'!F574,"*Services Delivery &amp; Support (go-lives and deployments) *")</f>
        <v>0</v>
      </c>
      <c r="F575">
        <f>COUNTIF('Metrics - Articles'!F574,"*Human Resources (SAP HR and employee stories)*")</f>
        <v>0</v>
      </c>
      <c r="G575">
        <f>COUNTIF('Metrics - Articles'!F574,"*P&amp;I (Research &amp; Development)*")</f>
        <v>0</v>
      </c>
      <c r="H575">
        <f>COUNTIF('Metrics - Articles'!F574,"*Business Network (Concur, Ariba, Fieldglass)*")</f>
        <v>0</v>
      </c>
      <c r="I575">
        <f>COUNTIF('Metrics - Articles'!F574,"*GCO – Regions*")</f>
        <v>0</v>
      </c>
      <c r="J575">
        <f>COUNTIF('Metrics - Articles'!F574,"*GCO – Platform Solutions*")</f>
        <v>0</v>
      </c>
      <c r="K575">
        <f>COUNTIF('Metrics - Articles'!F574,"*GCO – Industry Cloud *")</f>
        <v>0</v>
      </c>
      <c r="L575">
        <f>COUNTIF('Metrics - Articles'!F574,"*GCO – Customer Engagement &amp; Commerce (CRM &amp; hybris) *")</f>
        <v>0</v>
      </c>
      <c r="M575">
        <f>COUNTIF('Metrics - Articles'!F574,"*GCO – HR (SuccessFactors)*")</f>
        <v>0</v>
      </c>
      <c r="N575">
        <f>COUNTIF('Metrics - Articles'!F574,"*GCO – Services Sales*")</f>
        <v>0</v>
      </c>
      <c r="O575">
        <f>COUNTIF('Metrics - Articles'!F574,"*GCO – Other*")</f>
        <v>0</v>
      </c>
      <c r="P575">
        <f>COUNTIF('Metrics - Articles'!F574,"*Corporate*")</f>
        <v>0</v>
      </c>
      <c r="R575" s="53">
        <f t="shared" si="10"/>
        <v>0</v>
      </c>
    </row>
    <row r="576" spans="2:18" x14ac:dyDescent="0.25">
      <c r="B576" s="48">
        <f>+'Metrics - Articles'!C575</f>
        <v>0</v>
      </c>
      <c r="C576">
        <f>COUNTIF('Metrics - Articles'!F575,"*GPO (Partner, Ecosystem, Channels)*")</f>
        <v>0</v>
      </c>
      <c r="D576">
        <f>COUNTIF('Metrics - Articles'!F575,"*Office of the CEO*")</f>
        <v>0</v>
      </c>
      <c r="E576">
        <f>COUNTIF('Metrics - Articles'!F575,"*Services Delivery &amp; Support (go-lives and deployments) *")</f>
        <v>0</v>
      </c>
      <c r="F576">
        <f>COUNTIF('Metrics - Articles'!F575,"*Human Resources (SAP HR and employee stories)*")</f>
        <v>0</v>
      </c>
      <c r="G576">
        <f>COUNTIF('Metrics - Articles'!F575,"*P&amp;I (Research &amp; Development)*")</f>
        <v>0</v>
      </c>
      <c r="H576">
        <f>COUNTIF('Metrics - Articles'!F575,"*Business Network (Concur, Ariba, Fieldglass)*")</f>
        <v>0</v>
      </c>
      <c r="I576">
        <f>COUNTIF('Metrics - Articles'!F575,"*GCO – Regions*")</f>
        <v>0</v>
      </c>
      <c r="J576">
        <f>COUNTIF('Metrics - Articles'!F575,"*GCO – Platform Solutions*")</f>
        <v>0</v>
      </c>
      <c r="K576">
        <f>COUNTIF('Metrics - Articles'!F575,"*GCO – Industry Cloud *")</f>
        <v>0</v>
      </c>
      <c r="L576">
        <f>COUNTIF('Metrics - Articles'!F575,"*GCO – Customer Engagement &amp; Commerce (CRM &amp; hybris) *")</f>
        <v>0</v>
      </c>
      <c r="M576">
        <f>COUNTIF('Metrics - Articles'!F575,"*GCO – HR (SuccessFactors)*")</f>
        <v>0</v>
      </c>
      <c r="N576">
        <f>COUNTIF('Metrics - Articles'!F575,"*GCO – Services Sales*")</f>
        <v>0</v>
      </c>
      <c r="O576">
        <f>COUNTIF('Metrics - Articles'!F575,"*GCO – Other*")</f>
        <v>0</v>
      </c>
      <c r="P576">
        <f>COUNTIF('Metrics - Articles'!F575,"*Corporate*")</f>
        <v>0</v>
      </c>
      <c r="R576" s="53">
        <f t="shared" si="10"/>
        <v>0</v>
      </c>
    </row>
    <row r="577" spans="2:18" x14ac:dyDescent="0.25">
      <c r="B577" s="48">
        <f>+'Metrics - Articles'!C576</f>
        <v>0</v>
      </c>
      <c r="C577">
        <f>COUNTIF('Metrics - Articles'!F576,"*GPO (Partner, Ecosystem, Channels)*")</f>
        <v>0</v>
      </c>
      <c r="D577">
        <f>COUNTIF('Metrics - Articles'!F576,"*Office of the CEO*")</f>
        <v>0</v>
      </c>
      <c r="E577">
        <f>COUNTIF('Metrics - Articles'!F576,"*Services Delivery &amp; Support (go-lives and deployments) *")</f>
        <v>0</v>
      </c>
      <c r="F577">
        <f>COUNTIF('Metrics - Articles'!F576,"*Human Resources (SAP HR and employee stories)*")</f>
        <v>0</v>
      </c>
      <c r="G577">
        <f>COUNTIF('Metrics - Articles'!F576,"*P&amp;I (Research &amp; Development)*")</f>
        <v>0</v>
      </c>
      <c r="H577">
        <f>COUNTIF('Metrics - Articles'!F576,"*Business Network (Concur, Ariba, Fieldglass)*")</f>
        <v>0</v>
      </c>
      <c r="I577">
        <f>COUNTIF('Metrics - Articles'!F576,"*GCO – Regions*")</f>
        <v>0</v>
      </c>
      <c r="J577">
        <f>COUNTIF('Metrics - Articles'!F576,"*GCO – Platform Solutions*")</f>
        <v>0</v>
      </c>
      <c r="K577">
        <f>COUNTIF('Metrics - Articles'!F576,"*GCO – Industry Cloud *")</f>
        <v>0</v>
      </c>
      <c r="L577">
        <f>COUNTIF('Metrics - Articles'!F576,"*GCO – Customer Engagement &amp; Commerce (CRM &amp; hybris) *")</f>
        <v>0</v>
      </c>
      <c r="M577">
        <f>COUNTIF('Metrics - Articles'!F576,"*GCO – HR (SuccessFactors)*")</f>
        <v>0</v>
      </c>
      <c r="N577">
        <f>COUNTIF('Metrics - Articles'!F576,"*GCO – Services Sales*")</f>
        <v>0</v>
      </c>
      <c r="O577">
        <f>COUNTIF('Metrics - Articles'!F576,"*GCO – Other*")</f>
        <v>0</v>
      </c>
      <c r="P577">
        <f>COUNTIF('Metrics - Articles'!F576,"*Corporate*")</f>
        <v>0</v>
      </c>
      <c r="R577" s="53">
        <f t="shared" si="10"/>
        <v>0</v>
      </c>
    </row>
    <row r="578" spans="2:18" x14ac:dyDescent="0.25">
      <c r="B578" s="48">
        <f>+'Metrics - Articles'!C577</f>
        <v>0</v>
      </c>
      <c r="C578">
        <f>COUNTIF('Metrics - Articles'!F577,"*GPO (Partner, Ecosystem, Channels)*")</f>
        <v>0</v>
      </c>
      <c r="D578">
        <f>COUNTIF('Metrics - Articles'!F577,"*Office of the CEO*")</f>
        <v>0</v>
      </c>
      <c r="E578">
        <f>COUNTIF('Metrics - Articles'!F577,"*Services Delivery &amp; Support (go-lives and deployments) *")</f>
        <v>0</v>
      </c>
      <c r="F578">
        <f>COUNTIF('Metrics - Articles'!F577,"*Human Resources (SAP HR and employee stories)*")</f>
        <v>0</v>
      </c>
      <c r="G578">
        <f>COUNTIF('Metrics - Articles'!F577,"*P&amp;I (Research &amp; Development)*")</f>
        <v>0</v>
      </c>
      <c r="H578">
        <f>COUNTIF('Metrics - Articles'!F577,"*Business Network (Concur, Ariba, Fieldglass)*")</f>
        <v>0</v>
      </c>
      <c r="I578">
        <f>COUNTIF('Metrics - Articles'!F577,"*GCO – Regions*")</f>
        <v>0</v>
      </c>
      <c r="J578">
        <f>COUNTIF('Metrics - Articles'!F577,"*GCO – Platform Solutions*")</f>
        <v>0</v>
      </c>
      <c r="K578">
        <f>COUNTIF('Metrics - Articles'!F577,"*GCO – Industry Cloud *")</f>
        <v>0</v>
      </c>
      <c r="L578">
        <f>COUNTIF('Metrics - Articles'!F577,"*GCO – Customer Engagement &amp; Commerce (CRM &amp; hybris) *")</f>
        <v>0</v>
      </c>
      <c r="M578">
        <f>COUNTIF('Metrics - Articles'!F577,"*GCO – HR (SuccessFactors)*")</f>
        <v>0</v>
      </c>
      <c r="N578">
        <f>COUNTIF('Metrics - Articles'!F577,"*GCO – Services Sales*")</f>
        <v>0</v>
      </c>
      <c r="O578">
        <f>COUNTIF('Metrics - Articles'!F577,"*GCO – Other*")</f>
        <v>0</v>
      </c>
      <c r="P578">
        <f>COUNTIF('Metrics - Articles'!F577,"*Corporate*")</f>
        <v>0</v>
      </c>
      <c r="R578" s="53">
        <f t="shared" si="10"/>
        <v>0</v>
      </c>
    </row>
    <row r="579" spans="2:18" x14ac:dyDescent="0.25">
      <c r="B579" s="48">
        <f>+'Metrics - Articles'!C578</f>
        <v>0</v>
      </c>
      <c r="C579">
        <f>COUNTIF('Metrics - Articles'!F578,"*GPO (Partner, Ecosystem, Channels)*")</f>
        <v>0</v>
      </c>
      <c r="D579">
        <f>COUNTIF('Metrics - Articles'!F578,"*Office of the CEO*")</f>
        <v>0</v>
      </c>
      <c r="E579">
        <f>COUNTIF('Metrics - Articles'!F578,"*Services Delivery &amp; Support (go-lives and deployments) *")</f>
        <v>0</v>
      </c>
      <c r="F579">
        <f>COUNTIF('Metrics - Articles'!F578,"*Human Resources (SAP HR and employee stories)*")</f>
        <v>0</v>
      </c>
      <c r="G579">
        <f>COUNTIF('Metrics - Articles'!F578,"*P&amp;I (Research &amp; Development)*")</f>
        <v>0</v>
      </c>
      <c r="H579">
        <f>COUNTIF('Metrics - Articles'!F578,"*Business Network (Concur, Ariba, Fieldglass)*")</f>
        <v>0</v>
      </c>
      <c r="I579">
        <f>COUNTIF('Metrics - Articles'!F578,"*GCO – Regions*")</f>
        <v>0</v>
      </c>
      <c r="J579">
        <f>COUNTIF('Metrics - Articles'!F578,"*GCO – Platform Solutions*")</f>
        <v>0</v>
      </c>
      <c r="K579">
        <f>COUNTIF('Metrics - Articles'!F578,"*GCO – Industry Cloud *")</f>
        <v>0</v>
      </c>
      <c r="L579">
        <f>COUNTIF('Metrics - Articles'!F578,"*GCO – Customer Engagement &amp; Commerce (CRM &amp; hybris) *")</f>
        <v>0</v>
      </c>
      <c r="M579">
        <f>COUNTIF('Metrics - Articles'!F578,"*GCO – HR (SuccessFactors)*")</f>
        <v>0</v>
      </c>
      <c r="N579">
        <f>COUNTIF('Metrics - Articles'!F578,"*GCO – Services Sales*")</f>
        <v>0</v>
      </c>
      <c r="O579">
        <f>COUNTIF('Metrics - Articles'!F578,"*GCO – Other*")</f>
        <v>0</v>
      </c>
      <c r="P579">
        <f>COUNTIF('Metrics - Articles'!F578,"*Corporate*")</f>
        <v>0</v>
      </c>
      <c r="R579" s="53">
        <f t="shared" si="10"/>
        <v>0</v>
      </c>
    </row>
    <row r="580" spans="2:18" x14ac:dyDescent="0.25">
      <c r="B580" s="48">
        <f>+'Metrics - Articles'!C579</f>
        <v>0</v>
      </c>
      <c r="C580">
        <f>COUNTIF('Metrics - Articles'!F579,"*GPO (Partner, Ecosystem, Channels)*")</f>
        <v>0</v>
      </c>
      <c r="D580">
        <f>COUNTIF('Metrics - Articles'!F579,"*Office of the CEO*")</f>
        <v>0</v>
      </c>
      <c r="E580">
        <f>COUNTIF('Metrics - Articles'!F579,"*Services Delivery &amp; Support (go-lives and deployments) *")</f>
        <v>0</v>
      </c>
      <c r="F580">
        <f>COUNTIF('Metrics - Articles'!F579,"*Human Resources (SAP HR and employee stories)*")</f>
        <v>0</v>
      </c>
      <c r="G580">
        <f>COUNTIF('Metrics - Articles'!F579,"*P&amp;I (Research &amp; Development)*")</f>
        <v>0</v>
      </c>
      <c r="H580">
        <f>COUNTIF('Metrics - Articles'!F579,"*Business Network (Concur, Ariba, Fieldglass)*")</f>
        <v>0</v>
      </c>
      <c r="I580">
        <f>COUNTIF('Metrics - Articles'!F579,"*GCO – Regions*")</f>
        <v>0</v>
      </c>
      <c r="J580">
        <f>COUNTIF('Metrics - Articles'!F579,"*GCO – Platform Solutions*")</f>
        <v>0</v>
      </c>
      <c r="K580">
        <f>COUNTIF('Metrics - Articles'!F579,"*GCO – Industry Cloud *")</f>
        <v>0</v>
      </c>
      <c r="L580">
        <f>COUNTIF('Metrics - Articles'!F579,"*GCO – Customer Engagement &amp; Commerce (CRM &amp; hybris) *")</f>
        <v>0</v>
      </c>
      <c r="M580">
        <f>COUNTIF('Metrics - Articles'!F579,"*GCO – HR (SuccessFactors)*")</f>
        <v>0</v>
      </c>
      <c r="N580">
        <f>COUNTIF('Metrics - Articles'!F579,"*GCO – Services Sales*")</f>
        <v>0</v>
      </c>
      <c r="O580">
        <f>COUNTIF('Metrics - Articles'!F579,"*GCO – Other*")</f>
        <v>0</v>
      </c>
      <c r="P580">
        <f>COUNTIF('Metrics - Articles'!F579,"*Corporate*")</f>
        <v>0</v>
      </c>
      <c r="R580" s="53">
        <f t="shared" si="10"/>
        <v>0</v>
      </c>
    </row>
    <row r="581" spans="2:18" x14ac:dyDescent="0.25">
      <c r="B581" s="48">
        <f>+'Metrics - Articles'!C580</f>
        <v>0</v>
      </c>
      <c r="C581">
        <f>COUNTIF('Metrics - Articles'!F580,"*GPO (Partner, Ecosystem, Channels)*")</f>
        <v>0</v>
      </c>
      <c r="D581">
        <f>COUNTIF('Metrics - Articles'!F580,"*Office of the CEO*")</f>
        <v>0</v>
      </c>
      <c r="E581">
        <f>COUNTIF('Metrics - Articles'!F580,"*Services Delivery &amp; Support (go-lives and deployments) *")</f>
        <v>0</v>
      </c>
      <c r="F581">
        <f>COUNTIF('Metrics - Articles'!F580,"*Human Resources (SAP HR and employee stories)*")</f>
        <v>0</v>
      </c>
      <c r="G581">
        <f>COUNTIF('Metrics - Articles'!F580,"*P&amp;I (Research &amp; Development)*")</f>
        <v>0</v>
      </c>
      <c r="H581">
        <f>COUNTIF('Metrics - Articles'!F580,"*Business Network (Concur, Ariba, Fieldglass)*")</f>
        <v>0</v>
      </c>
      <c r="I581">
        <f>COUNTIF('Metrics - Articles'!F580,"*GCO – Regions*")</f>
        <v>0</v>
      </c>
      <c r="J581">
        <f>COUNTIF('Metrics - Articles'!F580,"*GCO – Platform Solutions*")</f>
        <v>0</v>
      </c>
      <c r="K581">
        <f>COUNTIF('Metrics - Articles'!F580,"*GCO – Industry Cloud *")</f>
        <v>0</v>
      </c>
      <c r="L581">
        <f>COUNTIF('Metrics - Articles'!F580,"*GCO – Customer Engagement &amp; Commerce (CRM &amp; hybris) *")</f>
        <v>0</v>
      </c>
      <c r="M581">
        <f>COUNTIF('Metrics - Articles'!F580,"*GCO – HR (SuccessFactors)*")</f>
        <v>0</v>
      </c>
      <c r="N581">
        <f>COUNTIF('Metrics - Articles'!F580,"*GCO – Services Sales*")</f>
        <v>0</v>
      </c>
      <c r="O581">
        <f>COUNTIF('Metrics - Articles'!F580,"*GCO – Other*")</f>
        <v>0</v>
      </c>
      <c r="P581">
        <f>COUNTIF('Metrics - Articles'!F580,"*Corporate*")</f>
        <v>0</v>
      </c>
      <c r="R581" s="53">
        <f t="shared" si="10"/>
        <v>0</v>
      </c>
    </row>
    <row r="582" spans="2:18" x14ac:dyDescent="0.25">
      <c r="B582" s="48">
        <f>+'Metrics - Articles'!C581</f>
        <v>0</v>
      </c>
      <c r="C582">
        <f>COUNTIF('Metrics - Articles'!F581,"*GPO (Partner, Ecosystem, Channels)*")</f>
        <v>0</v>
      </c>
      <c r="D582">
        <f>COUNTIF('Metrics - Articles'!F581,"*Office of the CEO*")</f>
        <v>0</v>
      </c>
      <c r="E582">
        <f>COUNTIF('Metrics - Articles'!F581,"*Services Delivery &amp; Support (go-lives and deployments) *")</f>
        <v>0</v>
      </c>
      <c r="F582">
        <f>COUNTIF('Metrics - Articles'!F581,"*Human Resources (SAP HR and employee stories)*")</f>
        <v>0</v>
      </c>
      <c r="G582">
        <f>COUNTIF('Metrics - Articles'!F581,"*P&amp;I (Research &amp; Development)*")</f>
        <v>0</v>
      </c>
      <c r="H582">
        <f>COUNTIF('Metrics - Articles'!F581,"*Business Network (Concur, Ariba, Fieldglass)*")</f>
        <v>0</v>
      </c>
      <c r="I582">
        <f>COUNTIF('Metrics - Articles'!F581,"*GCO – Regions*")</f>
        <v>0</v>
      </c>
      <c r="J582">
        <f>COUNTIF('Metrics - Articles'!F581,"*GCO – Platform Solutions*")</f>
        <v>0</v>
      </c>
      <c r="K582">
        <f>COUNTIF('Metrics - Articles'!F581,"*GCO – Industry Cloud *")</f>
        <v>0</v>
      </c>
      <c r="L582">
        <f>COUNTIF('Metrics - Articles'!F581,"*GCO – Customer Engagement &amp; Commerce (CRM &amp; hybris) *")</f>
        <v>0</v>
      </c>
      <c r="M582">
        <f>COUNTIF('Metrics - Articles'!F581,"*GCO – HR (SuccessFactors)*")</f>
        <v>0</v>
      </c>
      <c r="N582">
        <f>COUNTIF('Metrics - Articles'!F581,"*GCO – Services Sales*")</f>
        <v>0</v>
      </c>
      <c r="O582">
        <f>COUNTIF('Metrics - Articles'!F581,"*GCO – Other*")</f>
        <v>0</v>
      </c>
      <c r="P582">
        <f>COUNTIF('Metrics - Articles'!F581,"*Corporate*")</f>
        <v>0</v>
      </c>
      <c r="R582" s="53">
        <f t="shared" si="10"/>
        <v>0</v>
      </c>
    </row>
    <row r="583" spans="2:18" x14ac:dyDescent="0.25">
      <c r="B583" s="48">
        <f>+'Metrics - Articles'!C582</f>
        <v>0</v>
      </c>
      <c r="C583">
        <f>COUNTIF('Metrics - Articles'!F582,"*GPO (Partner, Ecosystem, Channels)*")</f>
        <v>0</v>
      </c>
      <c r="D583">
        <f>COUNTIF('Metrics - Articles'!F582,"*Office of the CEO*")</f>
        <v>0</v>
      </c>
      <c r="E583">
        <f>COUNTIF('Metrics - Articles'!F582,"*Services Delivery &amp; Support (go-lives and deployments) *")</f>
        <v>0</v>
      </c>
      <c r="F583">
        <f>COUNTIF('Metrics - Articles'!F582,"*Human Resources (SAP HR and employee stories)*")</f>
        <v>0</v>
      </c>
      <c r="G583">
        <f>COUNTIF('Metrics - Articles'!F582,"*P&amp;I (Research &amp; Development)*")</f>
        <v>0</v>
      </c>
      <c r="H583">
        <f>COUNTIF('Metrics - Articles'!F582,"*Business Network (Concur, Ariba, Fieldglass)*")</f>
        <v>0</v>
      </c>
      <c r="I583">
        <f>COUNTIF('Metrics - Articles'!F582,"*GCO – Regions*")</f>
        <v>0</v>
      </c>
      <c r="J583">
        <f>COUNTIF('Metrics - Articles'!F582,"*GCO – Platform Solutions*")</f>
        <v>0</v>
      </c>
      <c r="K583">
        <f>COUNTIF('Metrics - Articles'!F582,"*GCO – Industry Cloud *")</f>
        <v>0</v>
      </c>
      <c r="L583">
        <f>COUNTIF('Metrics - Articles'!F582,"*GCO – Customer Engagement &amp; Commerce (CRM &amp; hybris) *")</f>
        <v>0</v>
      </c>
      <c r="M583">
        <f>COUNTIF('Metrics - Articles'!F582,"*GCO – HR (SuccessFactors)*")</f>
        <v>0</v>
      </c>
      <c r="N583">
        <f>COUNTIF('Metrics - Articles'!F582,"*GCO – Services Sales*")</f>
        <v>0</v>
      </c>
      <c r="O583">
        <f>COUNTIF('Metrics - Articles'!F582,"*GCO – Other*")</f>
        <v>0</v>
      </c>
      <c r="P583">
        <f>COUNTIF('Metrics - Articles'!F582,"*Corporate*")</f>
        <v>0</v>
      </c>
      <c r="R583" s="53">
        <f t="shared" si="10"/>
        <v>0</v>
      </c>
    </row>
    <row r="584" spans="2:18" x14ac:dyDescent="0.25">
      <c r="B584" s="48">
        <f>+'Metrics - Articles'!C583</f>
        <v>0</v>
      </c>
      <c r="C584">
        <f>COUNTIF('Metrics - Articles'!F583,"*GPO (Partner, Ecosystem, Channels)*")</f>
        <v>0</v>
      </c>
      <c r="D584">
        <f>COUNTIF('Metrics - Articles'!F583,"*Office of the CEO*")</f>
        <v>0</v>
      </c>
      <c r="E584">
        <f>COUNTIF('Metrics - Articles'!F583,"*Services Delivery &amp; Support (go-lives and deployments) *")</f>
        <v>0</v>
      </c>
      <c r="F584">
        <f>COUNTIF('Metrics - Articles'!F583,"*Human Resources (SAP HR and employee stories)*")</f>
        <v>0</v>
      </c>
      <c r="G584">
        <f>COUNTIF('Metrics - Articles'!F583,"*P&amp;I (Research &amp; Development)*")</f>
        <v>0</v>
      </c>
      <c r="H584">
        <f>COUNTIF('Metrics - Articles'!F583,"*Business Network (Concur, Ariba, Fieldglass)*")</f>
        <v>0</v>
      </c>
      <c r="I584">
        <f>COUNTIF('Metrics - Articles'!F583,"*GCO – Regions*")</f>
        <v>0</v>
      </c>
      <c r="J584">
        <f>COUNTIF('Metrics - Articles'!F583,"*GCO – Platform Solutions*")</f>
        <v>0</v>
      </c>
      <c r="K584">
        <f>COUNTIF('Metrics - Articles'!F583,"*GCO – Industry Cloud *")</f>
        <v>0</v>
      </c>
      <c r="L584">
        <f>COUNTIF('Metrics - Articles'!F583,"*GCO – Customer Engagement &amp; Commerce (CRM &amp; hybris) *")</f>
        <v>0</v>
      </c>
      <c r="M584">
        <f>COUNTIF('Metrics - Articles'!F583,"*GCO – HR (SuccessFactors)*")</f>
        <v>0</v>
      </c>
      <c r="N584">
        <f>COUNTIF('Metrics - Articles'!F583,"*GCO – Services Sales*")</f>
        <v>0</v>
      </c>
      <c r="O584">
        <f>COUNTIF('Metrics - Articles'!F583,"*GCO – Other*")</f>
        <v>0</v>
      </c>
      <c r="P584">
        <f>COUNTIF('Metrics - Articles'!F583,"*Corporate*")</f>
        <v>0</v>
      </c>
      <c r="R584" s="53">
        <f t="shared" si="10"/>
        <v>0</v>
      </c>
    </row>
    <row r="585" spans="2:18" x14ac:dyDescent="0.25">
      <c r="B585" s="48">
        <f>+'Metrics - Articles'!C584</f>
        <v>0</v>
      </c>
      <c r="C585">
        <f>COUNTIF('Metrics - Articles'!F584,"*GPO (Partner, Ecosystem, Channels)*")</f>
        <v>0</v>
      </c>
      <c r="D585">
        <f>COUNTIF('Metrics - Articles'!F584,"*Office of the CEO*")</f>
        <v>0</v>
      </c>
      <c r="E585">
        <f>COUNTIF('Metrics - Articles'!F584,"*Services Delivery &amp; Support (go-lives and deployments) *")</f>
        <v>0</v>
      </c>
      <c r="F585">
        <f>COUNTIF('Metrics - Articles'!F584,"*Human Resources (SAP HR and employee stories)*")</f>
        <v>0</v>
      </c>
      <c r="G585">
        <f>COUNTIF('Metrics - Articles'!F584,"*P&amp;I (Research &amp; Development)*")</f>
        <v>0</v>
      </c>
      <c r="H585">
        <f>COUNTIF('Metrics - Articles'!F584,"*Business Network (Concur, Ariba, Fieldglass)*")</f>
        <v>0</v>
      </c>
      <c r="I585">
        <f>COUNTIF('Metrics - Articles'!F584,"*GCO – Regions*")</f>
        <v>0</v>
      </c>
      <c r="J585">
        <f>COUNTIF('Metrics - Articles'!F584,"*GCO – Platform Solutions*")</f>
        <v>0</v>
      </c>
      <c r="K585">
        <f>COUNTIF('Metrics - Articles'!F584,"*GCO – Industry Cloud *")</f>
        <v>0</v>
      </c>
      <c r="L585">
        <f>COUNTIF('Metrics - Articles'!F584,"*GCO – Customer Engagement &amp; Commerce (CRM &amp; hybris) *")</f>
        <v>0</v>
      </c>
      <c r="M585">
        <f>COUNTIF('Metrics - Articles'!F584,"*GCO – HR (SuccessFactors)*")</f>
        <v>0</v>
      </c>
      <c r="N585">
        <f>COUNTIF('Metrics - Articles'!F584,"*GCO – Services Sales*")</f>
        <v>0</v>
      </c>
      <c r="O585">
        <f>COUNTIF('Metrics - Articles'!F584,"*GCO – Other*")</f>
        <v>0</v>
      </c>
      <c r="P585">
        <f>COUNTIF('Metrics - Articles'!F584,"*Corporate*")</f>
        <v>0</v>
      </c>
      <c r="R585" s="53">
        <f t="shared" si="10"/>
        <v>0</v>
      </c>
    </row>
    <row r="586" spans="2:18" x14ac:dyDescent="0.25">
      <c r="B586" s="48">
        <f>+'Metrics - Articles'!C585</f>
        <v>0</v>
      </c>
      <c r="C586">
        <f>COUNTIF('Metrics - Articles'!F585,"*GPO (Partner, Ecosystem, Channels)*")</f>
        <v>0</v>
      </c>
      <c r="D586">
        <f>COUNTIF('Metrics - Articles'!F585,"*Office of the CEO*")</f>
        <v>0</v>
      </c>
      <c r="E586">
        <f>COUNTIF('Metrics - Articles'!F585,"*Services Delivery &amp; Support (go-lives and deployments) *")</f>
        <v>0</v>
      </c>
      <c r="F586">
        <f>COUNTIF('Metrics - Articles'!F585,"*Human Resources (SAP HR and employee stories)*")</f>
        <v>0</v>
      </c>
      <c r="G586">
        <f>COUNTIF('Metrics - Articles'!F585,"*P&amp;I (Research &amp; Development)*")</f>
        <v>0</v>
      </c>
      <c r="H586">
        <f>COUNTIF('Metrics - Articles'!F585,"*Business Network (Concur, Ariba, Fieldglass)*")</f>
        <v>0</v>
      </c>
      <c r="I586">
        <f>COUNTIF('Metrics - Articles'!F585,"*GCO – Regions*")</f>
        <v>0</v>
      </c>
      <c r="J586">
        <f>COUNTIF('Metrics - Articles'!F585,"*GCO – Platform Solutions*")</f>
        <v>0</v>
      </c>
      <c r="K586">
        <f>COUNTIF('Metrics - Articles'!F585,"*GCO – Industry Cloud *")</f>
        <v>0</v>
      </c>
      <c r="L586">
        <f>COUNTIF('Metrics - Articles'!F585,"*GCO – Customer Engagement &amp; Commerce (CRM &amp; hybris) *")</f>
        <v>0</v>
      </c>
      <c r="M586">
        <f>COUNTIF('Metrics - Articles'!F585,"*GCO – HR (SuccessFactors)*")</f>
        <v>0</v>
      </c>
      <c r="N586">
        <f>COUNTIF('Metrics - Articles'!F585,"*GCO – Services Sales*")</f>
        <v>0</v>
      </c>
      <c r="O586">
        <f>COUNTIF('Metrics - Articles'!F585,"*GCO – Other*")</f>
        <v>0</v>
      </c>
      <c r="P586">
        <f>COUNTIF('Metrics - Articles'!F585,"*Corporate*")</f>
        <v>0</v>
      </c>
      <c r="R586" s="53">
        <f t="shared" ref="R586:R649" si="11">SUM(C586:Q586)</f>
        <v>0</v>
      </c>
    </row>
    <row r="587" spans="2:18" x14ac:dyDescent="0.25">
      <c r="B587" s="48">
        <f>+'Metrics - Articles'!C586</f>
        <v>0</v>
      </c>
      <c r="C587">
        <f>COUNTIF('Metrics - Articles'!F586,"*GPO (Partner, Ecosystem, Channels)*")</f>
        <v>0</v>
      </c>
      <c r="D587">
        <f>COUNTIF('Metrics - Articles'!F586,"*Office of the CEO*")</f>
        <v>0</v>
      </c>
      <c r="E587">
        <f>COUNTIF('Metrics - Articles'!F586,"*Services Delivery &amp; Support (go-lives and deployments) *")</f>
        <v>0</v>
      </c>
      <c r="F587">
        <f>COUNTIF('Metrics - Articles'!F586,"*Human Resources (SAP HR and employee stories)*")</f>
        <v>0</v>
      </c>
      <c r="G587">
        <f>COUNTIF('Metrics - Articles'!F586,"*P&amp;I (Research &amp; Development)*")</f>
        <v>0</v>
      </c>
      <c r="H587">
        <f>COUNTIF('Metrics - Articles'!F586,"*Business Network (Concur, Ariba, Fieldglass)*")</f>
        <v>0</v>
      </c>
      <c r="I587">
        <f>COUNTIF('Metrics - Articles'!F586,"*GCO – Regions*")</f>
        <v>0</v>
      </c>
      <c r="J587">
        <f>COUNTIF('Metrics - Articles'!F586,"*GCO – Platform Solutions*")</f>
        <v>0</v>
      </c>
      <c r="K587">
        <f>COUNTIF('Metrics - Articles'!F586,"*GCO – Industry Cloud *")</f>
        <v>0</v>
      </c>
      <c r="L587">
        <f>COUNTIF('Metrics - Articles'!F586,"*GCO – Customer Engagement &amp; Commerce (CRM &amp; hybris) *")</f>
        <v>0</v>
      </c>
      <c r="M587">
        <f>COUNTIF('Metrics - Articles'!F586,"*GCO – HR (SuccessFactors)*")</f>
        <v>0</v>
      </c>
      <c r="N587">
        <f>COUNTIF('Metrics - Articles'!F586,"*GCO – Services Sales*")</f>
        <v>0</v>
      </c>
      <c r="O587">
        <f>COUNTIF('Metrics - Articles'!F586,"*GCO – Other*")</f>
        <v>0</v>
      </c>
      <c r="P587">
        <f>COUNTIF('Metrics - Articles'!F586,"*Corporate*")</f>
        <v>0</v>
      </c>
      <c r="R587" s="53">
        <f t="shared" si="11"/>
        <v>0</v>
      </c>
    </row>
    <row r="588" spans="2:18" x14ac:dyDescent="0.25">
      <c r="B588" s="48">
        <f>+'Metrics - Articles'!C587</f>
        <v>0</v>
      </c>
      <c r="C588">
        <f>COUNTIF('Metrics - Articles'!F587,"*GPO (Partner, Ecosystem, Channels)*")</f>
        <v>0</v>
      </c>
      <c r="D588">
        <f>COUNTIF('Metrics - Articles'!F587,"*Office of the CEO*")</f>
        <v>0</v>
      </c>
      <c r="E588">
        <f>COUNTIF('Metrics - Articles'!F587,"*Services Delivery &amp; Support (go-lives and deployments) *")</f>
        <v>0</v>
      </c>
      <c r="F588">
        <f>COUNTIF('Metrics - Articles'!F587,"*Human Resources (SAP HR and employee stories)*")</f>
        <v>0</v>
      </c>
      <c r="G588">
        <f>COUNTIF('Metrics - Articles'!F587,"*P&amp;I (Research &amp; Development)*")</f>
        <v>0</v>
      </c>
      <c r="H588">
        <f>COUNTIF('Metrics - Articles'!F587,"*Business Network (Concur, Ariba, Fieldglass)*")</f>
        <v>0</v>
      </c>
      <c r="I588">
        <f>COUNTIF('Metrics - Articles'!F587,"*GCO – Regions*")</f>
        <v>0</v>
      </c>
      <c r="J588">
        <f>COUNTIF('Metrics - Articles'!F587,"*GCO – Platform Solutions*")</f>
        <v>0</v>
      </c>
      <c r="K588">
        <f>COUNTIF('Metrics - Articles'!F587,"*GCO – Industry Cloud *")</f>
        <v>0</v>
      </c>
      <c r="L588">
        <f>COUNTIF('Metrics - Articles'!F587,"*GCO – Customer Engagement &amp; Commerce (CRM &amp; hybris) *")</f>
        <v>0</v>
      </c>
      <c r="M588">
        <f>COUNTIF('Metrics - Articles'!F587,"*GCO – HR (SuccessFactors)*")</f>
        <v>0</v>
      </c>
      <c r="N588">
        <f>COUNTIF('Metrics - Articles'!F587,"*GCO – Services Sales*")</f>
        <v>0</v>
      </c>
      <c r="O588">
        <f>COUNTIF('Metrics - Articles'!F587,"*GCO – Other*")</f>
        <v>0</v>
      </c>
      <c r="P588">
        <f>COUNTIF('Metrics - Articles'!F587,"*Corporate*")</f>
        <v>0</v>
      </c>
      <c r="R588" s="53">
        <f t="shared" si="11"/>
        <v>0</v>
      </c>
    </row>
    <row r="589" spans="2:18" x14ac:dyDescent="0.25">
      <c r="B589" s="48">
        <f>+'Metrics - Articles'!C588</f>
        <v>0</v>
      </c>
      <c r="C589">
        <f>COUNTIF('Metrics - Articles'!F588,"*GPO (Partner, Ecosystem, Channels)*")</f>
        <v>0</v>
      </c>
      <c r="D589">
        <f>COUNTIF('Metrics - Articles'!F588,"*Office of the CEO*")</f>
        <v>0</v>
      </c>
      <c r="E589">
        <f>COUNTIF('Metrics - Articles'!F588,"*Services Delivery &amp; Support (go-lives and deployments) *")</f>
        <v>0</v>
      </c>
      <c r="F589">
        <f>COUNTIF('Metrics - Articles'!F588,"*Human Resources (SAP HR and employee stories)*")</f>
        <v>0</v>
      </c>
      <c r="G589">
        <f>COUNTIF('Metrics - Articles'!F588,"*P&amp;I (Research &amp; Development)*")</f>
        <v>0</v>
      </c>
      <c r="H589">
        <f>COUNTIF('Metrics - Articles'!F588,"*Business Network (Concur, Ariba, Fieldglass)*")</f>
        <v>0</v>
      </c>
      <c r="I589">
        <f>COUNTIF('Metrics - Articles'!F588,"*GCO – Regions*")</f>
        <v>0</v>
      </c>
      <c r="J589">
        <f>COUNTIF('Metrics - Articles'!F588,"*GCO – Platform Solutions*")</f>
        <v>0</v>
      </c>
      <c r="K589">
        <f>COUNTIF('Metrics - Articles'!F588,"*GCO – Industry Cloud *")</f>
        <v>0</v>
      </c>
      <c r="L589">
        <f>COUNTIF('Metrics - Articles'!F588,"*GCO – Customer Engagement &amp; Commerce (CRM &amp; hybris) *")</f>
        <v>0</v>
      </c>
      <c r="M589">
        <f>COUNTIF('Metrics - Articles'!F588,"*GCO – HR (SuccessFactors)*")</f>
        <v>0</v>
      </c>
      <c r="N589">
        <f>COUNTIF('Metrics - Articles'!F588,"*GCO – Services Sales*")</f>
        <v>0</v>
      </c>
      <c r="O589">
        <f>COUNTIF('Metrics - Articles'!F588,"*GCO – Other*")</f>
        <v>0</v>
      </c>
      <c r="P589">
        <f>COUNTIF('Metrics - Articles'!F588,"*Corporate*")</f>
        <v>0</v>
      </c>
      <c r="R589" s="53">
        <f t="shared" si="11"/>
        <v>0</v>
      </c>
    </row>
    <row r="590" spans="2:18" x14ac:dyDescent="0.25">
      <c r="B590" s="48">
        <f>+'Metrics - Articles'!C589</f>
        <v>0</v>
      </c>
      <c r="C590">
        <f>COUNTIF('Metrics - Articles'!F589,"*GPO (Partner, Ecosystem, Channels)*")</f>
        <v>0</v>
      </c>
      <c r="D590">
        <f>COUNTIF('Metrics - Articles'!F589,"*Office of the CEO*")</f>
        <v>0</v>
      </c>
      <c r="E590">
        <f>COUNTIF('Metrics - Articles'!F589,"*Services Delivery &amp; Support (go-lives and deployments) *")</f>
        <v>0</v>
      </c>
      <c r="F590">
        <f>COUNTIF('Metrics - Articles'!F589,"*Human Resources (SAP HR and employee stories)*")</f>
        <v>0</v>
      </c>
      <c r="G590">
        <f>COUNTIF('Metrics - Articles'!F589,"*P&amp;I (Research &amp; Development)*")</f>
        <v>0</v>
      </c>
      <c r="H590">
        <f>COUNTIF('Metrics - Articles'!F589,"*Business Network (Concur, Ariba, Fieldglass)*")</f>
        <v>0</v>
      </c>
      <c r="I590">
        <f>COUNTIF('Metrics - Articles'!F589,"*GCO – Regions*")</f>
        <v>0</v>
      </c>
      <c r="J590">
        <f>COUNTIF('Metrics - Articles'!F589,"*GCO – Platform Solutions*")</f>
        <v>0</v>
      </c>
      <c r="K590">
        <f>COUNTIF('Metrics - Articles'!F589,"*GCO – Industry Cloud *")</f>
        <v>0</v>
      </c>
      <c r="L590">
        <f>COUNTIF('Metrics - Articles'!F589,"*GCO – Customer Engagement &amp; Commerce (CRM &amp; hybris) *")</f>
        <v>0</v>
      </c>
      <c r="M590">
        <f>COUNTIF('Metrics - Articles'!F589,"*GCO – HR (SuccessFactors)*")</f>
        <v>0</v>
      </c>
      <c r="N590">
        <f>COUNTIF('Metrics - Articles'!F589,"*GCO – Services Sales*")</f>
        <v>0</v>
      </c>
      <c r="O590">
        <f>COUNTIF('Metrics - Articles'!F589,"*GCO – Other*")</f>
        <v>0</v>
      </c>
      <c r="P590">
        <f>COUNTIF('Metrics - Articles'!F589,"*Corporate*")</f>
        <v>0</v>
      </c>
      <c r="R590" s="53">
        <f t="shared" si="11"/>
        <v>0</v>
      </c>
    </row>
    <row r="591" spans="2:18" x14ac:dyDescent="0.25">
      <c r="B591" s="48">
        <f>+'Metrics - Articles'!C590</f>
        <v>0</v>
      </c>
      <c r="C591">
        <f>COUNTIF('Metrics - Articles'!F590,"*GPO (Partner, Ecosystem, Channels)*")</f>
        <v>0</v>
      </c>
      <c r="D591">
        <f>COUNTIF('Metrics - Articles'!F590,"*Office of the CEO*")</f>
        <v>0</v>
      </c>
      <c r="E591">
        <f>COUNTIF('Metrics - Articles'!F590,"*Services Delivery &amp; Support (go-lives and deployments) *")</f>
        <v>0</v>
      </c>
      <c r="F591">
        <f>COUNTIF('Metrics - Articles'!F590,"*Human Resources (SAP HR and employee stories)*")</f>
        <v>0</v>
      </c>
      <c r="G591">
        <f>COUNTIF('Metrics - Articles'!F590,"*P&amp;I (Research &amp; Development)*")</f>
        <v>0</v>
      </c>
      <c r="H591">
        <f>COUNTIF('Metrics - Articles'!F590,"*Business Network (Concur, Ariba, Fieldglass)*")</f>
        <v>0</v>
      </c>
      <c r="I591">
        <f>COUNTIF('Metrics - Articles'!F590,"*GCO – Regions*")</f>
        <v>0</v>
      </c>
      <c r="J591">
        <f>COUNTIF('Metrics - Articles'!F590,"*GCO – Platform Solutions*")</f>
        <v>0</v>
      </c>
      <c r="K591">
        <f>COUNTIF('Metrics - Articles'!F590,"*GCO – Industry Cloud *")</f>
        <v>0</v>
      </c>
      <c r="L591">
        <f>COUNTIF('Metrics - Articles'!F590,"*GCO – Customer Engagement &amp; Commerce (CRM &amp; hybris) *")</f>
        <v>0</v>
      </c>
      <c r="M591">
        <f>COUNTIF('Metrics - Articles'!F590,"*GCO – HR (SuccessFactors)*")</f>
        <v>0</v>
      </c>
      <c r="N591">
        <f>COUNTIF('Metrics - Articles'!F590,"*GCO – Services Sales*")</f>
        <v>0</v>
      </c>
      <c r="O591">
        <f>COUNTIF('Metrics - Articles'!F590,"*GCO – Other*")</f>
        <v>0</v>
      </c>
      <c r="P591">
        <f>COUNTIF('Metrics - Articles'!F590,"*Corporate*")</f>
        <v>0</v>
      </c>
      <c r="R591" s="53">
        <f t="shared" si="11"/>
        <v>0</v>
      </c>
    </row>
    <row r="592" spans="2:18" x14ac:dyDescent="0.25">
      <c r="B592" s="48">
        <f>+'Metrics - Articles'!C591</f>
        <v>0</v>
      </c>
      <c r="C592">
        <f>COUNTIF('Metrics - Articles'!F591,"*GPO (Partner, Ecosystem, Channels)*")</f>
        <v>0</v>
      </c>
      <c r="D592">
        <f>COUNTIF('Metrics - Articles'!F591,"*Office of the CEO*")</f>
        <v>0</v>
      </c>
      <c r="E592">
        <f>COUNTIF('Metrics - Articles'!F591,"*Services Delivery &amp; Support (go-lives and deployments) *")</f>
        <v>0</v>
      </c>
      <c r="F592">
        <f>COUNTIF('Metrics - Articles'!F591,"*Human Resources (SAP HR and employee stories)*")</f>
        <v>0</v>
      </c>
      <c r="G592">
        <f>COUNTIF('Metrics - Articles'!F591,"*P&amp;I (Research &amp; Development)*")</f>
        <v>0</v>
      </c>
      <c r="H592">
        <f>COUNTIF('Metrics - Articles'!F591,"*Business Network (Concur, Ariba, Fieldglass)*")</f>
        <v>0</v>
      </c>
      <c r="I592">
        <f>COUNTIF('Metrics - Articles'!F591,"*GCO – Regions*")</f>
        <v>0</v>
      </c>
      <c r="J592">
        <f>COUNTIF('Metrics - Articles'!F591,"*GCO – Platform Solutions*")</f>
        <v>0</v>
      </c>
      <c r="K592">
        <f>COUNTIF('Metrics - Articles'!F591,"*GCO – Industry Cloud *")</f>
        <v>0</v>
      </c>
      <c r="L592">
        <f>COUNTIF('Metrics - Articles'!F591,"*GCO – Customer Engagement &amp; Commerce (CRM &amp; hybris) *")</f>
        <v>0</v>
      </c>
      <c r="M592">
        <f>COUNTIF('Metrics - Articles'!F591,"*GCO – HR (SuccessFactors)*")</f>
        <v>0</v>
      </c>
      <c r="N592">
        <f>COUNTIF('Metrics - Articles'!F591,"*GCO – Services Sales*")</f>
        <v>0</v>
      </c>
      <c r="O592">
        <f>COUNTIF('Metrics - Articles'!F591,"*GCO – Other*")</f>
        <v>0</v>
      </c>
      <c r="P592">
        <f>COUNTIF('Metrics - Articles'!F591,"*Corporate*")</f>
        <v>0</v>
      </c>
      <c r="R592" s="53">
        <f t="shared" si="11"/>
        <v>0</v>
      </c>
    </row>
    <row r="593" spans="2:18" x14ac:dyDescent="0.25">
      <c r="B593" s="48">
        <f>+'Metrics - Articles'!C592</f>
        <v>0</v>
      </c>
      <c r="C593">
        <f>COUNTIF('Metrics - Articles'!F592,"*GPO (Partner, Ecosystem, Channels)*")</f>
        <v>0</v>
      </c>
      <c r="D593">
        <f>COUNTIF('Metrics - Articles'!F592,"*Office of the CEO*")</f>
        <v>0</v>
      </c>
      <c r="E593">
        <f>COUNTIF('Metrics - Articles'!F592,"*Services Delivery &amp; Support (go-lives and deployments) *")</f>
        <v>0</v>
      </c>
      <c r="F593">
        <f>COUNTIF('Metrics - Articles'!F592,"*Human Resources (SAP HR and employee stories)*")</f>
        <v>0</v>
      </c>
      <c r="G593">
        <f>COUNTIF('Metrics - Articles'!F592,"*P&amp;I (Research &amp; Development)*")</f>
        <v>0</v>
      </c>
      <c r="H593">
        <f>COUNTIF('Metrics - Articles'!F592,"*Business Network (Concur, Ariba, Fieldglass)*")</f>
        <v>0</v>
      </c>
      <c r="I593">
        <f>COUNTIF('Metrics - Articles'!F592,"*GCO – Regions*")</f>
        <v>0</v>
      </c>
      <c r="J593">
        <f>COUNTIF('Metrics - Articles'!F592,"*GCO – Platform Solutions*")</f>
        <v>0</v>
      </c>
      <c r="K593">
        <f>COUNTIF('Metrics - Articles'!F592,"*GCO – Industry Cloud *")</f>
        <v>0</v>
      </c>
      <c r="L593">
        <f>COUNTIF('Metrics - Articles'!F592,"*GCO – Customer Engagement &amp; Commerce (CRM &amp; hybris) *")</f>
        <v>0</v>
      </c>
      <c r="M593">
        <f>COUNTIF('Metrics - Articles'!F592,"*GCO – HR (SuccessFactors)*")</f>
        <v>0</v>
      </c>
      <c r="N593">
        <f>COUNTIF('Metrics - Articles'!F592,"*GCO – Services Sales*")</f>
        <v>0</v>
      </c>
      <c r="O593">
        <f>COUNTIF('Metrics - Articles'!F592,"*GCO – Other*")</f>
        <v>0</v>
      </c>
      <c r="P593">
        <f>COUNTIF('Metrics - Articles'!F592,"*Corporate*")</f>
        <v>0</v>
      </c>
      <c r="R593" s="53">
        <f t="shared" si="11"/>
        <v>0</v>
      </c>
    </row>
    <row r="594" spans="2:18" x14ac:dyDescent="0.25">
      <c r="B594" s="48">
        <f>+'Metrics - Articles'!C593</f>
        <v>0</v>
      </c>
      <c r="C594">
        <f>COUNTIF('Metrics - Articles'!F593,"*GPO (Partner, Ecosystem, Channels)*")</f>
        <v>0</v>
      </c>
      <c r="D594">
        <f>COUNTIF('Metrics - Articles'!F593,"*Office of the CEO*")</f>
        <v>0</v>
      </c>
      <c r="E594">
        <f>COUNTIF('Metrics - Articles'!F593,"*Services Delivery &amp; Support (go-lives and deployments) *")</f>
        <v>0</v>
      </c>
      <c r="F594">
        <f>COUNTIF('Metrics - Articles'!F593,"*Human Resources (SAP HR and employee stories)*")</f>
        <v>0</v>
      </c>
      <c r="G594">
        <f>COUNTIF('Metrics - Articles'!F593,"*P&amp;I (Research &amp; Development)*")</f>
        <v>0</v>
      </c>
      <c r="H594">
        <f>COUNTIF('Metrics - Articles'!F593,"*Business Network (Concur, Ariba, Fieldglass)*")</f>
        <v>0</v>
      </c>
      <c r="I594">
        <f>COUNTIF('Metrics - Articles'!F593,"*GCO – Regions*")</f>
        <v>0</v>
      </c>
      <c r="J594">
        <f>COUNTIF('Metrics - Articles'!F593,"*GCO – Platform Solutions*")</f>
        <v>0</v>
      </c>
      <c r="K594">
        <f>COUNTIF('Metrics - Articles'!F593,"*GCO – Industry Cloud *")</f>
        <v>0</v>
      </c>
      <c r="L594">
        <f>COUNTIF('Metrics - Articles'!F593,"*GCO – Customer Engagement &amp; Commerce (CRM &amp; hybris) *")</f>
        <v>0</v>
      </c>
      <c r="M594">
        <f>COUNTIF('Metrics - Articles'!F593,"*GCO – HR (SuccessFactors)*")</f>
        <v>0</v>
      </c>
      <c r="N594">
        <f>COUNTIF('Metrics - Articles'!F593,"*GCO – Services Sales*")</f>
        <v>0</v>
      </c>
      <c r="O594">
        <f>COUNTIF('Metrics - Articles'!F593,"*GCO – Other*")</f>
        <v>0</v>
      </c>
      <c r="P594">
        <f>COUNTIF('Metrics - Articles'!F593,"*Corporate*")</f>
        <v>0</v>
      </c>
      <c r="R594" s="53">
        <f t="shared" si="11"/>
        <v>0</v>
      </c>
    </row>
    <row r="595" spans="2:18" x14ac:dyDescent="0.25">
      <c r="B595" s="48">
        <f>+'Metrics - Articles'!C594</f>
        <v>0</v>
      </c>
      <c r="C595">
        <f>COUNTIF('Metrics - Articles'!F594,"*GPO (Partner, Ecosystem, Channels)*")</f>
        <v>0</v>
      </c>
      <c r="D595">
        <f>COUNTIF('Metrics - Articles'!F594,"*Office of the CEO*")</f>
        <v>0</v>
      </c>
      <c r="E595">
        <f>COUNTIF('Metrics - Articles'!F594,"*Services Delivery &amp; Support (go-lives and deployments) *")</f>
        <v>0</v>
      </c>
      <c r="F595">
        <f>COUNTIF('Metrics - Articles'!F594,"*Human Resources (SAP HR and employee stories)*")</f>
        <v>0</v>
      </c>
      <c r="G595">
        <f>COUNTIF('Metrics - Articles'!F594,"*P&amp;I (Research &amp; Development)*")</f>
        <v>0</v>
      </c>
      <c r="H595">
        <f>COUNTIF('Metrics - Articles'!F594,"*Business Network (Concur, Ariba, Fieldglass)*")</f>
        <v>0</v>
      </c>
      <c r="I595">
        <f>COUNTIF('Metrics - Articles'!F594,"*GCO – Regions*")</f>
        <v>0</v>
      </c>
      <c r="J595">
        <f>COUNTIF('Metrics - Articles'!F594,"*GCO – Platform Solutions*")</f>
        <v>0</v>
      </c>
      <c r="K595">
        <f>COUNTIF('Metrics - Articles'!F594,"*GCO – Industry Cloud *")</f>
        <v>0</v>
      </c>
      <c r="L595">
        <f>COUNTIF('Metrics - Articles'!F594,"*GCO – Customer Engagement &amp; Commerce (CRM &amp; hybris) *")</f>
        <v>0</v>
      </c>
      <c r="M595">
        <f>COUNTIF('Metrics - Articles'!F594,"*GCO – HR (SuccessFactors)*")</f>
        <v>0</v>
      </c>
      <c r="N595">
        <f>COUNTIF('Metrics - Articles'!F594,"*GCO – Services Sales*")</f>
        <v>0</v>
      </c>
      <c r="O595">
        <f>COUNTIF('Metrics - Articles'!F594,"*GCO – Other*")</f>
        <v>0</v>
      </c>
      <c r="P595">
        <f>COUNTIF('Metrics - Articles'!F594,"*Corporate*")</f>
        <v>0</v>
      </c>
      <c r="R595" s="53">
        <f t="shared" si="11"/>
        <v>0</v>
      </c>
    </row>
    <row r="596" spans="2:18" x14ac:dyDescent="0.25">
      <c r="B596" s="48">
        <f>+'Metrics - Articles'!C595</f>
        <v>0</v>
      </c>
      <c r="C596">
        <f>COUNTIF('Metrics - Articles'!F595,"*GPO (Partner, Ecosystem, Channels)*")</f>
        <v>0</v>
      </c>
      <c r="D596">
        <f>COUNTIF('Metrics - Articles'!F595,"*Office of the CEO*")</f>
        <v>0</v>
      </c>
      <c r="E596">
        <f>COUNTIF('Metrics - Articles'!F595,"*Services Delivery &amp; Support (go-lives and deployments) *")</f>
        <v>0</v>
      </c>
      <c r="F596">
        <f>COUNTIF('Metrics - Articles'!F595,"*Human Resources (SAP HR and employee stories)*")</f>
        <v>0</v>
      </c>
      <c r="G596">
        <f>COUNTIF('Metrics - Articles'!F595,"*P&amp;I (Research &amp; Development)*")</f>
        <v>0</v>
      </c>
      <c r="H596">
        <f>COUNTIF('Metrics - Articles'!F595,"*Business Network (Concur, Ariba, Fieldglass)*")</f>
        <v>0</v>
      </c>
      <c r="I596">
        <f>COUNTIF('Metrics - Articles'!F595,"*GCO – Regions*")</f>
        <v>0</v>
      </c>
      <c r="J596">
        <f>COUNTIF('Metrics - Articles'!F595,"*GCO – Platform Solutions*")</f>
        <v>0</v>
      </c>
      <c r="K596">
        <f>COUNTIF('Metrics - Articles'!F595,"*GCO – Industry Cloud *")</f>
        <v>0</v>
      </c>
      <c r="L596">
        <f>COUNTIF('Metrics - Articles'!F595,"*GCO – Customer Engagement &amp; Commerce (CRM &amp; hybris) *")</f>
        <v>0</v>
      </c>
      <c r="M596">
        <f>COUNTIF('Metrics - Articles'!F595,"*GCO – HR (SuccessFactors)*")</f>
        <v>0</v>
      </c>
      <c r="N596">
        <f>COUNTIF('Metrics - Articles'!F595,"*GCO – Services Sales*")</f>
        <v>0</v>
      </c>
      <c r="O596">
        <f>COUNTIF('Metrics - Articles'!F595,"*GCO – Other*")</f>
        <v>0</v>
      </c>
      <c r="P596">
        <f>COUNTIF('Metrics - Articles'!F595,"*Corporate*")</f>
        <v>0</v>
      </c>
      <c r="R596" s="53">
        <f t="shared" si="11"/>
        <v>0</v>
      </c>
    </row>
    <row r="597" spans="2:18" x14ac:dyDescent="0.25">
      <c r="B597" s="48">
        <f>+'Metrics - Articles'!C596</f>
        <v>0</v>
      </c>
      <c r="C597">
        <f>COUNTIF('Metrics - Articles'!F596,"*GPO (Partner, Ecosystem, Channels)*")</f>
        <v>0</v>
      </c>
      <c r="D597">
        <f>COUNTIF('Metrics - Articles'!F596,"*Office of the CEO*")</f>
        <v>0</v>
      </c>
      <c r="E597">
        <f>COUNTIF('Metrics - Articles'!F596,"*Services Delivery &amp; Support (go-lives and deployments) *")</f>
        <v>0</v>
      </c>
      <c r="F597">
        <f>COUNTIF('Metrics - Articles'!F596,"*Human Resources (SAP HR and employee stories)*")</f>
        <v>0</v>
      </c>
      <c r="G597">
        <f>COUNTIF('Metrics - Articles'!F596,"*P&amp;I (Research &amp; Development)*")</f>
        <v>0</v>
      </c>
      <c r="H597">
        <f>COUNTIF('Metrics - Articles'!F596,"*Business Network (Concur, Ariba, Fieldglass)*")</f>
        <v>0</v>
      </c>
      <c r="I597">
        <f>COUNTIF('Metrics - Articles'!F596,"*GCO – Regions*")</f>
        <v>0</v>
      </c>
      <c r="J597">
        <f>COUNTIF('Metrics - Articles'!F596,"*GCO – Platform Solutions*")</f>
        <v>0</v>
      </c>
      <c r="K597">
        <f>COUNTIF('Metrics - Articles'!F596,"*GCO – Industry Cloud *")</f>
        <v>0</v>
      </c>
      <c r="L597">
        <f>COUNTIF('Metrics - Articles'!F596,"*GCO – Customer Engagement &amp; Commerce (CRM &amp; hybris) *")</f>
        <v>0</v>
      </c>
      <c r="M597">
        <f>COUNTIF('Metrics - Articles'!F596,"*GCO – HR (SuccessFactors)*")</f>
        <v>0</v>
      </c>
      <c r="N597">
        <f>COUNTIF('Metrics - Articles'!F596,"*GCO – Services Sales*")</f>
        <v>0</v>
      </c>
      <c r="O597">
        <f>COUNTIF('Metrics - Articles'!F596,"*GCO – Other*")</f>
        <v>0</v>
      </c>
      <c r="P597">
        <f>COUNTIF('Metrics - Articles'!F596,"*Corporate*")</f>
        <v>0</v>
      </c>
      <c r="R597" s="53">
        <f t="shared" si="11"/>
        <v>0</v>
      </c>
    </row>
    <row r="598" spans="2:18" x14ac:dyDescent="0.25">
      <c r="B598" s="48">
        <f>+'Metrics - Articles'!C597</f>
        <v>0</v>
      </c>
      <c r="C598">
        <f>COUNTIF('Metrics - Articles'!F597,"*GPO (Partner, Ecosystem, Channels)*")</f>
        <v>0</v>
      </c>
      <c r="D598">
        <f>COUNTIF('Metrics - Articles'!F597,"*Office of the CEO*")</f>
        <v>0</v>
      </c>
      <c r="E598">
        <f>COUNTIF('Metrics - Articles'!F597,"*Services Delivery &amp; Support (go-lives and deployments) *")</f>
        <v>0</v>
      </c>
      <c r="F598">
        <f>COUNTIF('Metrics - Articles'!F597,"*Human Resources (SAP HR and employee stories)*")</f>
        <v>0</v>
      </c>
      <c r="G598">
        <f>COUNTIF('Metrics - Articles'!F597,"*P&amp;I (Research &amp; Development)*")</f>
        <v>0</v>
      </c>
      <c r="H598">
        <f>COUNTIF('Metrics - Articles'!F597,"*Business Network (Concur, Ariba, Fieldglass)*")</f>
        <v>0</v>
      </c>
      <c r="I598">
        <f>COUNTIF('Metrics - Articles'!F597,"*GCO – Regions*")</f>
        <v>0</v>
      </c>
      <c r="J598">
        <f>COUNTIF('Metrics - Articles'!F597,"*GCO – Platform Solutions*")</f>
        <v>0</v>
      </c>
      <c r="K598">
        <f>COUNTIF('Metrics - Articles'!F597,"*GCO – Industry Cloud *")</f>
        <v>0</v>
      </c>
      <c r="L598">
        <f>COUNTIF('Metrics - Articles'!F597,"*GCO – Customer Engagement &amp; Commerce (CRM &amp; hybris) *")</f>
        <v>0</v>
      </c>
      <c r="M598">
        <f>COUNTIF('Metrics - Articles'!F597,"*GCO – HR (SuccessFactors)*")</f>
        <v>0</v>
      </c>
      <c r="N598">
        <f>COUNTIF('Metrics - Articles'!F597,"*GCO – Services Sales*")</f>
        <v>0</v>
      </c>
      <c r="O598">
        <f>COUNTIF('Metrics - Articles'!F597,"*GCO – Other*")</f>
        <v>0</v>
      </c>
      <c r="P598">
        <f>COUNTIF('Metrics - Articles'!F597,"*Corporate*")</f>
        <v>0</v>
      </c>
      <c r="R598" s="53">
        <f t="shared" si="11"/>
        <v>0</v>
      </c>
    </row>
    <row r="599" spans="2:18" x14ac:dyDescent="0.25">
      <c r="B599" s="48">
        <f>+'Metrics - Articles'!C598</f>
        <v>0</v>
      </c>
      <c r="C599">
        <f>COUNTIF('Metrics - Articles'!F598,"*GPO (Partner, Ecosystem, Channels)*")</f>
        <v>0</v>
      </c>
      <c r="D599">
        <f>COUNTIF('Metrics - Articles'!F598,"*Office of the CEO*")</f>
        <v>0</v>
      </c>
      <c r="E599">
        <f>COUNTIF('Metrics - Articles'!F598,"*Services Delivery &amp; Support (go-lives and deployments) *")</f>
        <v>0</v>
      </c>
      <c r="F599">
        <f>COUNTIF('Metrics - Articles'!F598,"*Human Resources (SAP HR and employee stories)*")</f>
        <v>0</v>
      </c>
      <c r="G599">
        <f>COUNTIF('Metrics - Articles'!F598,"*P&amp;I (Research &amp; Development)*")</f>
        <v>0</v>
      </c>
      <c r="H599">
        <f>COUNTIF('Metrics - Articles'!F598,"*Business Network (Concur, Ariba, Fieldglass)*")</f>
        <v>0</v>
      </c>
      <c r="I599">
        <f>COUNTIF('Metrics - Articles'!F598,"*GCO – Regions*")</f>
        <v>0</v>
      </c>
      <c r="J599">
        <f>COUNTIF('Metrics - Articles'!F598,"*GCO – Platform Solutions*")</f>
        <v>0</v>
      </c>
      <c r="K599">
        <f>COUNTIF('Metrics - Articles'!F598,"*GCO – Industry Cloud *")</f>
        <v>0</v>
      </c>
      <c r="L599">
        <f>COUNTIF('Metrics - Articles'!F598,"*GCO – Customer Engagement &amp; Commerce (CRM &amp; hybris) *")</f>
        <v>0</v>
      </c>
      <c r="M599">
        <f>COUNTIF('Metrics - Articles'!F598,"*GCO – HR (SuccessFactors)*")</f>
        <v>0</v>
      </c>
      <c r="N599">
        <f>COUNTIF('Metrics - Articles'!F598,"*GCO – Services Sales*")</f>
        <v>0</v>
      </c>
      <c r="O599">
        <f>COUNTIF('Metrics - Articles'!F598,"*GCO – Other*")</f>
        <v>0</v>
      </c>
      <c r="P599">
        <f>COUNTIF('Metrics - Articles'!F598,"*Corporate*")</f>
        <v>0</v>
      </c>
      <c r="R599" s="53">
        <f t="shared" si="11"/>
        <v>0</v>
      </c>
    </row>
    <row r="600" spans="2:18" x14ac:dyDescent="0.25">
      <c r="B600" s="48">
        <f>+'Metrics - Articles'!C599</f>
        <v>0</v>
      </c>
      <c r="C600">
        <f>COUNTIF('Metrics - Articles'!F599,"*GPO (Partner, Ecosystem, Channels)*")</f>
        <v>0</v>
      </c>
      <c r="D600">
        <f>COUNTIF('Metrics - Articles'!F599,"*Office of the CEO*")</f>
        <v>0</v>
      </c>
      <c r="E600">
        <f>COUNTIF('Metrics - Articles'!F599,"*Services Delivery &amp; Support (go-lives and deployments) *")</f>
        <v>0</v>
      </c>
      <c r="F600">
        <f>COUNTIF('Metrics - Articles'!F599,"*Human Resources (SAP HR and employee stories)*")</f>
        <v>0</v>
      </c>
      <c r="G600">
        <f>COUNTIF('Metrics - Articles'!F599,"*P&amp;I (Research &amp; Development)*")</f>
        <v>0</v>
      </c>
      <c r="H600">
        <f>COUNTIF('Metrics - Articles'!F599,"*Business Network (Concur, Ariba, Fieldglass)*")</f>
        <v>0</v>
      </c>
      <c r="I600">
        <f>COUNTIF('Metrics - Articles'!F599,"*GCO – Regions*")</f>
        <v>0</v>
      </c>
      <c r="J600">
        <f>COUNTIF('Metrics - Articles'!F599,"*GCO – Platform Solutions*")</f>
        <v>0</v>
      </c>
      <c r="K600">
        <f>COUNTIF('Metrics - Articles'!F599,"*GCO – Industry Cloud *")</f>
        <v>0</v>
      </c>
      <c r="L600">
        <f>COUNTIF('Metrics - Articles'!F599,"*GCO – Customer Engagement &amp; Commerce (CRM &amp; hybris) *")</f>
        <v>0</v>
      </c>
      <c r="M600">
        <f>COUNTIF('Metrics - Articles'!F599,"*GCO – HR (SuccessFactors)*")</f>
        <v>0</v>
      </c>
      <c r="N600">
        <f>COUNTIF('Metrics - Articles'!F599,"*GCO – Services Sales*")</f>
        <v>0</v>
      </c>
      <c r="O600">
        <f>COUNTIF('Metrics - Articles'!F599,"*GCO – Other*")</f>
        <v>0</v>
      </c>
      <c r="P600">
        <f>COUNTIF('Metrics - Articles'!F599,"*Corporate*")</f>
        <v>0</v>
      </c>
      <c r="R600" s="53">
        <f t="shared" si="11"/>
        <v>0</v>
      </c>
    </row>
    <row r="601" spans="2:18" x14ac:dyDescent="0.25">
      <c r="B601" s="48">
        <f>+'Metrics - Articles'!C600</f>
        <v>0</v>
      </c>
      <c r="C601">
        <f>COUNTIF('Metrics - Articles'!F600,"*GPO (Partner, Ecosystem, Channels)*")</f>
        <v>0</v>
      </c>
      <c r="D601">
        <f>COUNTIF('Metrics - Articles'!F600,"*Office of the CEO*")</f>
        <v>0</v>
      </c>
      <c r="E601">
        <f>COUNTIF('Metrics - Articles'!F600,"*Services Delivery &amp; Support (go-lives and deployments) *")</f>
        <v>0</v>
      </c>
      <c r="F601">
        <f>COUNTIF('Metrics - Articles'!F600,"*Human Resources (SAP HR and employee stories)*")</f>
        <v>0</v>
      </c>
      <c r="G601">
        <f>COUNTIF('Metrics - Articles'!F600,"*P&amp;I (Research &amp; Development)*")</f>
        <v>0</v>
      </c>
      <c r="H601">
        <f>COUNTIF('Metrics - Articles'!F600,"*Business Network (Concur, Ariba, Fieldglass)*")</f>
        <v>0</v>
      </c>
      <c r="I601">
        <f>COUNTIF('Metrics - Articles'!F600,"*GCO – Regions*")</f>
        <v>0</v>
      </c>
      <c r="J601">
        <f>COUNTIF('Metrics - Articles'!F600,"*GCO – Platform Solutions*")</f>
        <v>0</v>
      </c>
      <c r="K601">
        <f>COUNTIF('Metrics - Articles'!F600,"*GCO – Industry Cloud *")</f>
        <v>0</v>
      </c>
      <c r="L601">
        <f>COUNTIF('Metrics - Articles'!F600,"*GCO – Customer Engagement &amp; Commerce (CRM &amp; hybris) *")</f>
        <v>0</v>
      </c>
      <c r="M601">
        <f>COUNTIF('Metrics - Articles'!F600,"*GCO – HR (SuccessFactors)*")</f>
        <v>0</v>
      </c>
      <c r="N601">
        <f>COUNTIF('Metrics - Articles'!F600,"*GCO – Services Sales*")</f>
        <v>0</v>
      </c>
      <c r="O601">
        <f>COUNTIF('Metrics - Articles'!F600,"*GCO – Other*")</f>
        <v>0</v>
      </c>
      <c r="P601">
        <f>COUNTIF('Metrics - Articles'!F600,"*Corporate*")</f>
        <v>0</v>
      </c>
      <c r="R601" s="53">
        <f t="shared" si="11"/>
        <v>0</v>
      </c>
    </row>
    <row r="602" spans="2:18" x14ac:dyDescent="0.25">
      <c r="B602" s="48">
        <f>+'Metrics - Articles'!C601</f>
        <v>0</v>
      </c>
      <c r="C602">
        <f>COUNTIF('Metrics - Articles'!F601,"*GPO (Partner, Ecosystem, Channels)*")</f>
        <v>0</v>
      </c>
      <c r="D602">
        <f>COUNTIF('Metrics - Articles'!F601,"*Office of the CEO*")</f>
        <v>0</v>
      </c>
      <c r="E602">
        <f>COUNTIF('Metrics - Articles'!F601,"*Services Delivery &amp; Support (go-lives and deployments) *")</f>
        <v>0</v>
      </c>
      <c r="F602">
        <f>COUNTIF('Metrics - Articles'!F601,"*Human Resources (SAP HR and employee stories)*")</f>
        <v>0</v>
      </c>
      <c r="G602">
        <f>COUNTIF('Metrics - Articles'!F601,"*P&amp;I (Research &amp; Development)*")</f>
        <v>0</v>
      </c>
      <c r="H602">
        <f>COUNTIF('Metrics - Articles'!F601,"*Business Network (Concur, Ariba, Fieldglass)*")</f>
        <v>0</v>
      </c>
      <c r="I602">
        <f>COUNTIF('Metrics - Articles'!F601,"*GCO – Regions*")</f>
        <v>0</v>
      </c>
      <c r="J602">
        <f>COUNTIF('Metrics - Articles'!F601,"*GCO – Platform Solutions*")</f>
        <v>0</v>
      </c>
      <c r="K602">
        <f>COUNTIF('Metrics - Articles'!F601,"*GCO – Industry Cloud *")</f>
        <v>0</v>
      </c>
      <c r="L602">
        <f>COUNTIF('Metrics - Articles'!F601,"*GCO – Customer Engagement &amp; Commerce (CRM &amp; hybris) *")</f>
        <v>0</v>
      </c>
      <c r="M602">
        <f>COUNTIF('Metrics - Articles'!F601,"*GCO – HR (SuccessFactors)*")</f>
        <v>0</v>
      </c>
      <c r="N602">
        <f>COUNTIF('Metrics - Articles'!F601,"*GCO – Services Sales*")</f>
        <v>0</v>
      </c>
      <c r="O602">
        <f>COUNTIF('Metrics - Articles'!F601,"*GCO – Other*")</f>
        <v>0</v>
      </c>
      <c r="P602">
        <f>COUNTIF('Metrics - Articles'!F601,"*Corporate*")</f>
        <v>0</v>
      </c>
      <c r="R602" s="53">
        <f t="shared" si="11"/>
        <v>0</v>
      </c>
    </row>
    <row r="603" spans="2:18" x14ac:dyDescent="0.25">
      <c r="B603" s="48">
        <f>+'Metrics - Articles'!C602</f>
        <v>0</v>
      </c>
      <c r="C603">
        <f>COUNTIF('Metrics - Articles'!F602,"*GPO (Partner, Ecosystem, Channels)*")</f>
        <v>0</v>
      </c>
      <c r="D603">
        <f>COUNTIF('Metrics - Articles'!F602,"*Office of the CEO*")</f>
        <v>0</v>
      </c>
      <c r="E603">
        <f>COUNTIF('Metrics - Articles'!F602,"*Services Delivery &amp; Support (go-lives and deployments) *")</f>
        <v>0</v>
      </c>
      <c r="F603">
        <f>COUNTIF('Metrics - Articles'!F602,"*Human Resources (SAP HR and employee stories)*")</f>
        <v>0</v>
      </c>
      <c r="G603">
        <f>COUNTIF('Metrics - Articles'!F602,"*P&amp;I (Research &amp; Development)*")</f>
        <v>0</v>
      </c>
      <c r="H603">
        <f>COUNTIF('Metrics - Articles'!F602,"*Business Network (Concur, Ariba, Fieldglass)*")</f>
        <v>0</v>
      </c>
      <c r="I603">
        <f>COUNTIF('Metrics - Articles'!F602,"*GCO – Regions*")</f>
        <v>0</v>
      </c>
      <c r="J603">
        <f>COUNTIF('Metrics - Articles'!F602,"*GCO – Platform Solutions*")</f>
        <v>0</v>
      </c>
      <c r="K603">
        <f>COUNTIF('Metrics - Articles'!F602,"*GCO – Industry Cloud *")</f>
        <v>0</v>
      </c>
      <c r="L603">
        <f>COUNTIF('Metrics - Articles'!F602,"*GCO – Customer Engagement &amp; Commerce (CRM &amp; hybris) *")</f>
        <v>0</v>
      </c>
      <c r="M603">
        <f>COUNTIF('Metrics - Articles'!F602,"*GCO – HR (SuccessFactors)*")</f>
        <v>0</v>
      </c>
      <c r="N603">
        <f>COUNTIF('Metrics - Articles'!F602,"*GCO – Services Sales*")</f>
        <v>0</v>
      </c>
      <c r="O603">
        <f>COUNTIF('Metrics - Articles'!F602,"*GCO – Other*")</f>
        <v>0</v>
      </c>
      <c r="P603">
        <f>COUNTIF('Metrics - Articles'!F602,"*Corporate*")</f>
        <v>0</v>
      </c>
      <c r="R603" s="53">
        <f t="shared" si="11"/>
        <v>0</v>
      </c>
    </row>
    <row r="604" spans="2:18" x14ac:dyDescent="0.25">
      <c r="B604" s="48">
        <f>+'Metrics - Articles'!C603</f>
        <v>0</v>
      </c>
      <c r="C604">
        <f>COUNTIF('Metrics - Articles'!F603,"*GPO (Partner, Ecosystem, Channels)*")</f>
        <v>0</v>
      </c>
      <c r="D604">
        <f>COUNTIF('Metrics - Articles'!F603,"*Office of the CEO*")</f>
        <v>0</v>
      </c>
      <c r="E604">
        <f>COUNTIF('Metrics - Articles'!F603,"*Services Delivery &amp; Support (go-lives and deployments) *")</f>
        <v>0</v>
      </c>
      <c r="F604">
        <f>COUNTIF('Metrics - Articles'!F603,"*Human Resources (SAP HR and employee stories)*")</f>
        <v>0</v>
      </c>
      <c r="G604">
        <f>COUNTIF('Metrics - Articles'!F603,"*P&amp;I (Research &amp; Development)*")</f>
        <v>0</v>
      </c>
      <c r="H604">
        <f>COUNTIF('Metrics - Articles'!F603,"*Business Network (Concur, Ariba, Fieldglass)*")</f>
        <v>0</v>
      </c>
      <c r="I604">
        <f>COUNTIF('Metrics - Articles'!F603,"*GCO – Regions*")</f>
        <v>0</v>
      </c>
      <c r="J604">
        <f>COUNTIF('Metrics - Articles'!F603,"*GCO – Platform Solutions*")</f>
        <v>0</v>
      </c>
      <c r="K604">
        <f>COUNTIF('Metrics - Articles'!F603,"*GCO – Industry Cloud *")</f>
        <v>0</v>
      </c>
      <c r="L604">
        <f>COUNTIF('Metrics - Articles'!F603,"*GCO – Customer Engagement &amp; Commerce (CRM &amp; hybris) *")</f>
        <v>0</v>
      </c>
      <c r="M604">
        <f>COUNTIF('Metrics - Articles'!F603,"*GCO – HR (SuccessFactors)*")</f>
        <v>0</v>
      </c>
      <c r="N604">
        <f>COUNTIF('Metrics - Articles'!F603,"*GCO – Services Sales*")</f>
        <v>0</v>
      </c>
      <c r="O604">
        <f>COUNTIF('Metrics - Articles'!F603,"*GCO – Other*")</f>
        <v>0</v>
      </c>
      <c r="P604">
        <f>COUNTIF('Metrics - Articles'!F603,"*Corporate*")</f>
        <v>0</v>
      </c>
      <c r="R604" s="53">
        <f t="shared" si="11"/>
        <v>0</v>
      </c>
    </row>
    <row r="605" spans="2:18" x14ac:dyDescent="0.25">
      <c r="B605" s="48">
        <f>+'Metrics - Articles'!C604</f>
        <v>0</v>
      </c>
      <c r="C605">
        <f>COUNTIF('Metrics - Articles'!F604,"*GPO (Partner, Ecosystem, Channels)*")</f>
        <v>0</v>
      </c>
      <c r="D605">
        <f>COUNTIF('Metrics - Articles'!F604,"*Office of the CEO*")</f>
        <v>0</v>
      </c>
      <c r="E605">
        <f>COUNTIF('Metrics - Articles'!F604,"*Services Delivery &amp; Support (go-lives and deployments) *")</f>
        <v>0</v>
      </c>
      <c r="F605">
        <f>COUNTIF('Metrics - Articles'!F604,"*Human Resources (SAP HR and employee stories)*")</f>
        <v>0</v>
      </c>
      <c r="G605">
        <f>COUNTIF('Metrics - Articles'!F604,"*P&amp;I (Research &amp; Development)*")</f>
        <v>0</v>
      </c>
      <c r="H605">
        <f>COUNTIF('Metrics - Articles'!F604,"*Business Network (Concur, Ariba, Fieldglass)*")</f>
        <v>0</v>
      </c>
      <c r="I605">
        <f>COUNTIF('Metrics - Articles'!F604,"*GCO – Regions*")</f>
        <v>0</v>
      </c>
      <c r="J605">
        <f>COUNTIF('Metrics - Articles'!F604,"*GCO – Platform Solutions*")</f>
        <v>0</v>
      </c>
      <c r="K605">
        <f>COUNTIF('Metrics - Articles'!F604,"*GCO – Industry Cloud *")</f>
        <v>0</v>
      </c>
      <c r="L605">
        <f>COUNTIF('Metrics - Articles'!F604,"*GCO – Customer Engagement &amp; Commerce (CRM &amp; hybris) *")</f>
        <v>0</v>
      </c>
      <c r="M605">
        <f>COUNTIF('Metrics - Articles'!F604,"*GCO – HR (SuccessFactors)*")</f>
        <v>0</v>
      </c>
      <c r="N605">
        <f>COUNTIF('Metrics - Articles'!F604,"*GCO – Services Sales*")</f>
        <v>0</v>
      </c>
      <c r="O605">
        <f>COUNTIF('Metrics - Articles'!F604,"*GCO – Other*")</f>
        <v>0</v>
      </c>
      <c r="P605">
        <f>COUNTIF('Metrics - Articles'!F604,"*Corporate*")</f>
        <v>0</v>
      </c>
      <c r="R605" s="53">
        <f t="shared" si="11"/>
        <v>0</v>
      </c>
    </row>
    <row r="606" spans="2:18" x14ac:dyDescent="0.25">
      <c r="B606" s="48">
        <f>+'Metrics - Articles'!C605</f>
        <v>0</v>
      </c>
      <c r="C606">
        <f>COUNTIF('Metrics - Articles'!F605,"*GPO (Partner, Ecosystem, Channels)*")</f>
        <v>0</v>
      </c>
      <c r="D606">
        <f>COUNTIF('Metrics - Articles'!F605,"*Office of the CEO*")</f>
        <v>0</v>
      </c>
      <c r="E606">
        <f>COUNTIF('Metrics - Articles'!F605,"*Services Delivery &amp; Support (go-lives and deployments) *")</f>
        <v>0</v>
      </c>
      <c r="F606">
        <f>COUNTIF('Metrics - Articles'!F605,"*Human Resources (SAP HR and employee stories)*")</f>
        <v>0</v>
      </c>
      <c r="G606">
        <f>COUNTIF('Metrics - Articles'!F605,"*P&amp;I (Research &amp; Development)*")</f>
        <v>0</v>
      </c>
      <c r="H606">
        <f>COUNTIF('Metrics - Articles'!F605,"*Business Network (Concur, Ariba, Fieldglass)*")</f>
        <v>0</v>
      </c>
      <c r="I606">
        <f>COUNTIF('Metrics - Articles'!F605,"*GCO – Regions*")</f>
        <v>0</v>
      </c>
      <c r="J606">
        <f>COUNTIF('Metrics - Articles'!F605,"*GCO – Platform Solutions*")</f>
        <v>0</v>
      </c>
      <c r="K606">
        <f>COUNTIF('Metrics - Articles'!F605,"*GCO – Industry Cloud *")</f>
        <v>0</v>
      </c>
      <c r="L606">
        <f>COUNTIF('Metrics - Articles'!F605,"*GCO – Customer Engagement &amp; Commerce (CRM &amp; hybris) *")</f>
        <v>0</v>
      </c>
      <c r="M606">
        <f>COUNTIF('Metrics - Articles'!F605,"*GCO – HR (SuccessFactors)*")</f>
        <v>0</v>
      </c>
      <c r="N606">
        <f>COUNTIF('Metrics - Articles'!F605,"*GCO – Services Sales*")</f>
        <v>0</v>
      </c>
      <c r="O606">
        <f>COUNTIF('Metrics - Articles'!F605,"*GCO – Other*")</f>
        <v>0</v>
      </c>
      <c r="P606">
        <f>COUNTIF('Metrics - Articles'!F605,"*Corporate*")</f>
        <v>0</v>
      </c>
      <c r="R606" s="53">
        <f t="shared" si="11"/>
        <v>0</v>
      </c>
    </row>
    <row r="607" spans="2:18" x14ac:dyDescent="0.25">
      <c r="B607" s="48">
        <f>+'Metrics - Articles'!C606</f>
        <v>0</v>
      </c>
      <c r="C607">
        <f>COUNTIF('Metrics - Articles'!F606,"*GPO (Partner, Ecosystem, Channels)*")</f>
        <v>0</v>
      </c>
      <c r="D607">
        <f>COUNTIF('Metrics - Articles'!F606,"*Office of the CEO*")</f>
        <v>0</v>
      </c>
      <c r="E607">
        <f>COUNTIF('Metrics - Articles'!F606,"*Services Delivery &amp; Support (go-lives and deployments) *")</f>
        <v>0</v>
      </c>
      <c r="F607">
        <f>COUNTIF('Metrics - Articles'!F606,"*Human Resources (SAP HR and employee stories)*")</f>
        <v>0</v>
      </c>
      <c r="G607">
        <f>COUNTIF('Metrics - Articles'!F606,"*P&amp;I (Research &amp; Development)*")</f>
        <v>0</v>
      </c>
      <c r="H607">
        <f>COUNTIF('Metrics - Articles'!F606,"*Business Network (Concur, Ariba, Fieldglass)*")</f>
        <v>0</v>
      </c>
      <c r="I607">
        <f>COUNTIF('Metrics - Articles'!F606,"*GCO – Regions*")</f>
        <v>0</v>
      </c>
      <c r="J607">
        <f>COUNTIF('Metrics - Articles'!F606,"*GCO – Platform Solutions*")</f>
        <v>0</v>
      </c>
      <c r="K607">
        <f>COUNTIF('Metrics - Articles'!F606,"*GCO – Industry Cloud *")</f>
        <v>0</v>
      </c>
      <c r="L607">
        <f>COUNTIF('Metrics - Articles'!F606,"*GCO – Customer Engagement &amp; Commerce (CRM &amp; hybris) *")</f>
        <v>0</v>
      </c>
      <c r="M607">
        <f>COUNTIF('Metrics - Articles'!F606,"*GCO – HR (SuccessFactors)*")</f>
        <v>0</v>
      </c>
      <c r="N607">
        <f>COUNTIF('Metrics - Articles'!F606,"*GCO – Services Sales*")</f>
        <v>0</v>
      </c>
      <c r="O607">
        <f>COUNTIF('Metrics - Articles'!F606,"*GCO – Other*")</f>
        <v>0</v>
      </c>
      <c r="P607">
        <f>COUNTIF('Metrics - Articles'!F606,"*Corporate*")</f>
        <v>0</v>
      </c>
      <c r="R607" s="53">
        <f t="shared" si="11"/>
        <v>0</v>
      </c>
    </row>
    <row r="608" spans="2:18" x14ac:dyDescent="0.25">
      <c r="B608" s="48">
        <f>+'Metrics - Articles'!C607</f>
        <v>0</v>
      </c>
      <c r="C608">
        <f>COUNTIF('Metrics - Articles'!F607,"*GPO (Partner, Ecosystem, Channels)*")</f>
        <v>0</v>
      </c>
      <c r="D608">
        <f>COUNTIF('Metrics - Articles'!F607,"*Office of the CEO*")</f>
        <v>0</v>
      </c>
      <c r="E608">
        <f>COUNTIF('Metrics - Articles'!F607,"*Services Delivery &amp; Support (go-lives and deployments) *")</f>
        <v>0</v>
      </c>
      <c r="F608">
        <f>COUNTIF('Metrics - Articles'!F607,"*Human Resources (SAP HR and employee stories)*")</f>
        <v>0</v>
      </c>
      <c r="G608">
        <f>COUNTIF('Metrics - Articles'!F607,"*P&amp;I (Research &amp; Development)*")</f>
        <v>0</v>
      </c>
      <c r="H608">
        <f>COUNTIF('Metrics - Articles'!F607,"*Business Network (Concur, Ariba, Fieldglass)*")</f>
        <v>0</v>
      </c>
      <c r="I608">
        <f>COUNTIF('Metrics - Articles'!F607,"*GCO – Regions*")</f>
        <v>0</v>
      </c>
      <c r="J608">
        <f>COUNTIF('Metrics - Articles'!F607,"*GCO – Platform Solutions*")</f>
        <v>0</v>
      </c>
      <c r="K608">
        <f>COUNTIF('Metrics - Articles'!F607,"*GCO – Industry Cloud *")</f>
        <v>0</v>
      </c>
      <c r="L608">
        <f>COUNTIF('Metrics - Articles'!F607,"*GCO – Customer Engagement &amp; Commerce (CRM &amp; hybris) *")</f>
        <v>0</v>
      </c>
      <c r="M608">
        <f>COUNTIF('Metrics - Articles'!F607,"*GCO – HR (SuccessFactors)*")</f>
        <v>0</v>
      </c>
      <c r="N608">
        <f>COUNTIF('Metrics - Articles'!F607,"*GCO – Services Sales*")</f>
        <v>0</v>
      </c>
      <c r="O608">
        <f>COUNTIF('Metrics - Articles'!F607,"*GCO – Other*")</f>
        <v>0</v>
      </c>
      <c r="P608">
        <f>COUNTIF('Metrics - Articles'!F607,"*Corporate*")</f>
        <v>0</v>
      </c>
      <c r="R608" s="53">
        <f t="shared" si="11"/>
        <v>0</v>
      </c>
    </row>
    <row r="609" spans="2:18" x14ac:dyDescent="0.25">
      <c r="B609" s="48">
        <f>+'Metrics - Articles'!C608</f>
        <v>0</v>
      </c>
      <c r="C609">
        <f>COUNTIF('Metrics - Articles'!F608,"*GPO (Partner, Ecosystem, Channels)*")</f>
        <v>0</v>
      </c>
      <c r="D609">
        <f>COUNTIF('Metrics - Articles'!F608,"*Office of the CEO*")</f>
        <v>0</v>
      </c>
      <c r="E609">
        <f>COUNTIF('Metrics - Articles'!F608,"*Services Delivery &amp; Support (go-lives and deployments) *")</f>
        <v>0</v>
      </c>
      <c r="F609">
        <f>COUNTIF('Metrics - Articles'!F608,"*Human Resources (SAP HR and employee stories)*")</f>
        <v>0</v>
      </c>
      <c r="G609">
        <f>COUNTIF('Metrics - Articles'!F608,"*P&amp;I (Research &amp; Development)*")</f>
        <v>0</v>
      </c>
      <c r="H609">
        <f>COUNTIF('Metrics - Articles'!F608,"*Business Network (Concur, Ariba, Fieldglass)*")</f>
        <v>0</v>
      </c>
      <c r="I609">
        <f>COUNTIF('Metrics - Articles'!F608,"*GCO – Regions*")</f>
        <v>0</v>
      </c>
      <c r="J609">
        <f>COUNTIF('Metrics - Articles'!F608,"*GCO – Platform Solutions*")</f>
        <v>0</v>
      </c>
      <c r="K609">
        <f>COUNTIF('Metrics - Articles'!F608,"*GCO – Industry Cloud *")</f>
        <v>0</v>
      </c>
      <c r="L609">
        <f>COUNTIF('Metrics - Articles'!F608,"*GCO – Customer Engagement &amp; Commerce (CRM &amp; hybris) *")</f>
        <v>0</v>
      </c>
      <c r="M609">
        <f>COUNTIF('Metrics - Articles'!F608,"*GCO – HR (SuccessFactors)*")</f>
        <v>0</v>
      </c>
      <c r="N609">
        <f>COUNTIF('Metrics - Articles'!F608,"*GCO – Services Sales*")</f>
        <v>0</v>
      </c>
      <c r="O609">
        <f>COUNTIF('Metrics - Articles'!F608,"*GCO – Other*")</f>
        <v>0</v>
      </c>
      <c r="P609">
        <f>COUNTIF('Metrics - Articles'!F608,"*Corporate*")</f>
        <v>0</v>
      </c>
      <c r="R609" s="53">
        <f t="shared" si="11"/>
        <v>0</v>
      </c>
    </row>
    <row r="610" spans="2:18" x14ac:dyDescent="0.25">
      <c r="B610" s="48">
        <f>+'Metrics - Articles'!C609</f>
        <v>0</v>
      </c>
      <c r="C610">
        <f>COUNTIF('Metrics - Articles'!F609,"*GPO (Partner, Ecosystem, Channels)*")</f>
        <v>0</v>
      </c>
      <c r="D610">
        <f>COUNTIF('Metrics - Articles'!F609,"*Office of the CEO*")</f>
        <v>0</v>
      </c>
      <c r="E610">
        <f>COUNTIF('Metrics - Articles'!F609,"*Services Delivery &amp; Support (go-lives and deployments) *")</f>
        <v>0</v>
      </c>
      <c r="F610">
        <f>COUNTIF('Metrics - Articles'!F609,"*Human Resources (SAP HR and employee stories)*")</f>
        <v>0</v>
      </c>
      <c r="G610">
        <f>COUNTIF('Metrics - Articles'!F609,"*P&amp;I (Research &amp; Development)*")</f>
        <v>0</v>
      </c>
      <c r="H610">
        <f>COUNTIF('Metrics - Articles'!F609,"*Business Network (Concur, Ariba, Fieldglass)*")</f>
        <v>0</v>
      </c>
      <c r="I610">
        <f>COUNTIF('Metrics - Articles'!F609,"*GCO – Regions*")</f>
        <v>0</v>
      </c>
      <c r="J610">
        <f>COUNTIF('Metrics - Articles'!F609,"*GCO – Platform Solutions*")</f>
        <v>0</v>
      </c>
      <c r="K610">
        <f>COUNTIF('Metrics - Articles'!F609,"*GCO – Industry Cloud *")</f>
        <v>0</v>
      </c>
      <c r="L610">
        <f>COUNTIF('Metrics - Articles'!F609,"*GCO – Customer Engagement &amp; Commerce (CRM &amp; hybris) *")</f>
        <v>0</v>
      </c>
      <c r="M610">
        <f>COUNTIF('Metrics - Articles'!F609,"*GCO – HR (SuccessFactors)*")</f>
        <v>0</v>
      </c>
      <c r="N610">
        <f>COUNTIF('Metrics - Articles'!F609,"*GCO – Services Sales*")</f>
        <v>0</v>
      </c>
      <c r="O610">
        <f>COUNTIF('Metrics - Articles'!F609,"*GCO – Other*")</f>
        <v>0</v>
      </c>
      <c r="P610">
        <f>COUNTIF('Metrics - Articles'!F609,"*Corporate*")</f>
        <v>0</v>
      </c>
      <c r="R610" s="53">
        <f t="shared" si="11"/>
        <v>0</v>
      </c>
    </row>
    <row r="611" spans="2:18" x14ac:dyDescent="0.25">
      <c r="B611" s="48">
        <f>+'Metrics - Articles'!C610</f>
        <v>0</v>
      </c>
      <c r="C611">
        <f>COUNTIF('Metrics - Articles'!F610,"*GPO (Partner, Ecosystem, Channels)*")</f>
        <v>0</v>
      </c>
      <c r="D611">
        <f>COUNTIF('Metrics - Articles'!F610,"*Office of the CEO*")</f>
        <v>0</v>
      </c>
      <c r="E611">
        <f>COUNTIF('Metrics - Articles'!F610,"*Services Delivery &amp; Support (go-lives and deployments) *")</f>
        <v>0</v>
      </c>
      <c r="F611">
        <f>COUNTIF('Metrics - Articles'!F610,"*Human Resources (SAP HR and employee stories)*")</f>
        <v>0</v>
      </c>
      <c r="G611">
        <f>COUNTIF('Metrics - Articles'!F610,"*P&amp;I (Research &amp; Development)*")</f>
        <v>0</v>
      </c>
      <c r="H611">
        <f>COUNTIF('Metrics - Articles'!F610,"*Business Network (Concur, Ariba, Fieldglass)*")</f>
        <v>0</v>
      </c>
      <c r="I611">
        <f>COUNTIF('Metrics - Articles'!F610,"*GCO – Regions*")</f>
        <v>0</v>
      </c>
      <c r="J611">
        <f>COUNTIF('Metrics - Articles'!F610,"*GCO – Platform Solutions*")</f>
        <v>0</v>
      </c>
      <c r="K611">
        <f>COUNTIF('Metrics - Articles'!F610,"*GCO – Industry Cloud *")</f>
        <v>0</v>
      </c>
      <c r="L611">
        <f>COUNTIF('Metrics - Articles'!F610,"*GCO – Customer Engagement &amp; Commerce (CRM &amp; hybris) *")</f>
        <v>0</v>
      </c>
      <c r="M611">
        <f>COUNTIF('Metrics - Articles'!F610,"*GCO – HR (SuccessFactors)*")</f>
        <v>0</v>
      </c>
      <c r="N611">
        <f>COUNTIF('Metrics - Articles'!F610,"*GCO – Services Sales*")</f>
        <v>0</v>
      </c>
      <c r="O611">
        <f>COUNTIF('Metrics - Articles'!F610,"*GCO – Other*")</f>
        <v>0</v>
      </c>
      <c r="P611">
        <f>COUNTIF('Metrics - Articles'!F610,"*Corporate*")</f>
        <v>0</v>
      </c>
      <c r="R611" s="53">
        <f t="shared" si="11"/>
        <v>0</v>
      </c>
    </row>
    <row r="612" spans="2:18" x14ac:dyDescent="0.25">
      <c r="B612" s="48">
        <f>+'Metrics - Articles'!C611</f>
        <v>0</v>
      </c>
      <c r="C612">
        <f>COUNTIF('Metrics - Articles'!F611,"*GPO (Partner, Ecosystem, Channels)*")</f>
        <v>0</v>
      </c>
      <c r="D612">
        <f>COUNTIF('Metrics - Articles'!F611,"*Office of the CEO*")</f>
        <v>0</v>
      </c>
      <c r="E612">
        <f>COUNTIF('Metrics - Articles'!F611,"*Services Delivery &amp; Support (go-lives and deployments) *")</f>
        <v>0</v>
      </c>
      <c r="F612">
        <f>COUNTIF('Metrics - Articles'!F611,"*Human Resources (SAP HR and employee stories)*")</f>
        <v>0</v>
      </c>
      <c r="G612">
        <f>COUNTIF('Metrics - Articles'!F611,"*P&amp;I (Research &amp; Development)*")</f>
        <v>0</v>
      </c>
      <c r="H612">
        <f>COUNTIF('Metrics - Articles'!F611,"*Business Network (Concur, Ariba, Fieldglass)*")</f>
        <v>0</v>
      </c>
      <c r="I612">
        <f>COUNTIF('Metrics - Articles'!F611,"*GCO – Regions*")</f>
        <v>0</v>
      </c>
      <c r="J612">
        <f>COUNTIF('Metrics - Articles'!F611,"*GCO – Platform Solutions*")</f>
        <v>0</v>
      </c>
      <c r="K612">
        <f>COUNTIF('Metrics - Articles'!F611,"*GCO – Industry Cloud *")</f>
        <v>0</v>
      </c>
      <c r="L612">
        <f>COUNTIF('Metrics - Articles'!F611,"*GCO – Customer Engagement &amp; Commerce (CRM &amp; hybris) *")</f>
        <v>0</v>
      </c>
      <c r="M612">
        <f>COUNTIF('Metrics - Articles'!F611,"*GCO – HR (SuccessFactors)*")</f>
        <v>0</v>
      </c>
      <c r="N612">
        <f>COUNTIF('Metrics - Articles'!F611,"*GCO – Services Sales*")</f>
        <v>0</v>
      </c>
      <c r="O612">
        <f>COUNTIF('Metrics - Articles'!F611,"*GCO – Other*")</f>
        <v>0</v>
      </c>
      <c r="P612">
        <f>COUNTIF('Metrics - Articles'!F611,"*Corporate*")</f>
        <v>0</v>
      </c>
      <c r="R612" s="53">
        <f t="shared" si="11"/>
        <v>0</v>
      </c>
    </row>
    <row r="613" spans="2:18" x14ac:dyDescent="0.25">
      <c r="B613" s="48">
        <f>+'Metrics - Articles'!C612</f>
        <v>0</v>
      </c>
      <c r="C613">
        <f>COUNTIF('Metrics - Articles'!F612,"*GPO (Partner, Ecosystem, Channels)*")</f>
        <v>0</v>
      </c>
      <c r="D613">
        <f>COUNTIF('Metrics - Articles'!F612,"*Office of the CEO*")</f>
        <v>0</v>
      </c>
      <c r="E613">
        <f>COUNTIF('Metrics - Articles'!F612,"*Services Delivery &amp; Support (go-lives and deployments) *")</f>
        <v>0</v>
      </c>
      <c r="F613">
        <f>COUNTIF('Metrics - Articles'!F612,"*Human Resources (SAP HR and employee stories)*")</f>
        <v>0</v>
      </c>
      <c r="G613">
        <f>COUNTIF('Metrics - Articles'!F612,"*P&amp;I (Research &amp; Development)*")</f>
        <v>0</v>
      </c>
      <c r="H613">
        <f>COUNTIF('Metrics - Articles'!F612,"*Business Network (Concur, Ariba, Fieldglass)*")</f>
        <v>0</v>
      </c>
      <c r="I613">
        <f>COUNTIF('Metrics - Articles'!F612,"*GCO – Regions*")</f>
        <v>0</v>
      </c>
      <c r="J613">
        <f>COUNTIF('Metrics - Articles'!F612,"*GCO – Platform Solutions*")</f>
        <v>0</v>
      </c>
      <c r="K613">
        <f>COUNTIF('Metrics - Articles'!F612,"*GCO – Industry Cloud *")</f>
        <v>0</v>
      </c>
      <c r="L613">
        <f>COUNTIF('Metrics - Articles'!F612,"*GCO – Customer Engagement &amp; Commerce (CRM &amp; hybris) *")</f>
        <v>0</v>
      </c>
      <c r="M613">
        <f>COUNTIF('Metrics - Articles'!F612,"*GCO – HR (SuccessFactors)*")</f>
        <v>0</v>
      </c>
      <c r="N613">
        <f>COUNTIF('Metrics - Articles'!F612,"*GCO – Services Sales*")</f>
        <v>0</v>
      </c>
      <c r="O613">
        <f>COUNTIF('Metrics - Articles'!F612,"*GCO – Other*")</f>
        <v>0</v>
      </c>
      <c r="P613">
        <f>COUNTIF('Metrics - Articles'!F612,"*Corporate*")</f>
        <v>0</v>
      </c>
      <c r="R613" s="53">
        <f t="shared" si="11"/>
        <v>0</v>
      </c>
    </row>
    <row r="614" spans="2:18" x14ac:dyDescent="0.25">
      <c r="B614" s="48">
        <f>+'Metrics - Articles'!C613</f>
        <v>0</v>
      </c>
      <c r="C614">
        <f>COUNTIF('Metrics - Articles'!F613,"*GPO (Partner, Ecosystem, Channels)*")</f>
        <v>0</v>
      </c>
      <c r="D614">
        <f>COUNTIF('Metrics - Articles'!F613,"*Office of the CEO*")</f>
        <v>0</v>
      </c>
      <c r="E614">
        <f>COUNTIF('Metrics - Articles'!F613,"*Services Delivery &amp; Support (go-lives and deployments) *")</f>
        <v>0</v>
      </c>
      <c r="F614">
        <f>COUNTIF('Metrics - Articles'!F613,"*Human Resources (SAP HR and employee stories)*")</f>
        <v>0</v>
      </c>
      <c r="G614">
        <f>COUNTIF('Metrics - Articles'!F613,"*P&amp;I (Research &amp; Development)*")</f>
        <v>0</v>
      </c>
      <c r="H614">
        <f>COUNTIF('Metrics - Articles'!F613,"*Business Network (Concur, Ariba, Fieldglass)*")</f>
        <v>0</v>
      </c>
      <c r="I614">
        <f>COUNTIF('Metrics - Articles'!F613,"*GCO – Regions*")</f>
        <v>0</v>
      </c>
      <c r="J614">
        <f>COUNTIF('Metrics - Articles'!F613,"*GCO – Platform Solutions*")</f>
        <v>0</v>
      </c>
      <c r="K614">
        <f>COUNTIF('Metrics - Articles'!F613,"*GCO – Industry Cloud *")</f>
        <v>0</v>
      </c>
      <c r="L614">
        <f>COUNTIF('Metrics - Articles'!F613,"*GCO – Customer Engagement &amp; Commerce (CRM &amp; hybris) *")</f>
        <v>0</v>
      </c>
      <c r="M614">
        <f>COUNTIF('Metrics - Articles'!F613,"*GCO – HR (SuccessFactors)*")</f>
        <v>0</v>
      </c>
      <c r="N614">
        <f>COUNTIF('Metrics - Articles'!F613,"*GCO – Services Sales*")</f>
        <v>0</v>
      </c>
      <c r="O614">
        <f>COUNTIF('Metrics - Articles'!F613,"*GCO – Other*")</f>
        <v>0</v>
      </c>
      <c r="P614">
        <f>COUNTIF('Metrics - Articles'!F613,"*Corporate*")</f>
        <v>0</v>
      </c>
      <c r="R614" s="53">
        <f t="shared" si="11"/>
        <v>0</v>
      </c>
    </row>
    <row r="615" spans="2:18" x14ac:dyDescent="0.25">
      <c r="B615" s="48">
        <f>+'Metrics - Articles'!C614</f>
        <v>0</v>
      </c>
      <c r="C615">
        <f>COUNTIF('Metrics - Articles'!F614,"*GPO (Partner, Ecosystem, Channels)*")</f>
        <v>0</v>
      </c>
      <c r="D615">
        <f>COUNTIF('Metrics - Articles'!F614,"*Office of the CEO*")</f>
        <v>0</v>
      </c>
      <c r="E615">
        <f>COUNTIF('Metrics - Articles'!F614,"*Services Delivery &amp; Support (go-lives and deployments) *")</f>
        <v>0</v>
      </c>
      <c r="F615">
        <f>COUNTIF('Metrics - Articles'!F614,"*Human Resources (SAP HR and employee stories)*")</f>
        <v>0</v>
      </c>
      <c r="G615">
        <f>COUNTIF('Metrics - Articles'!F614,"*P&amp;I (Research &amp; Development)*")</f>
        <v>0</v>
      </c>
      <c r="H615">
        <f>COUNTIF('Metrics - Articles'!F614,"*Business Network (Concur, Ariba, Fieldglass)*")</f>
        <v>0</v>
      </c>
      <c r="I615">
        <f>COUNTIF('Metrics - Articles'!F614,"*GCO – Regions*")</f>
        <v>0</v>
      </c>
      <c r="J615">
        <f>COUNTIF('Metrics - Articles'!F614,"*GCO – Platform Solutions*")</f>
        <v>0</v>
      </c>
      <c r="K615">
        <f>COUNTIF('Metrics - Articles'!F614,"*GCO – Industry Cloud *")</f>
        <v>0</v>
      </c>
      <c r="L615">
        <f>COUNTIF('Metrics - Articles'!F614,"*GCO – Customer Engagement &amp; Commerce (CRM &amp; hybris) *")</f>
        <v>0</v>
      </c>
      <c r="M615">
        <f>COUNTIF('Metrics - Articles'!F614,"*GCO – HR (SuccessFactors)*")</f>
        <v>0</v>
      </c>
      <c r="N615">
        <f>COUNTIF('Metrics - Articles'!F614,"*GCO – Services Sales*")</f>
        <v>0</v>
      </c>
      <c r="O615">
        <f>COUNTIF('Metrics - Articles'!F614,"*GCO – Other*")</f>
        <v>0</v>
      </c>
      <c r="P615">
        <f>COUNTIF('Metrics - Articles'!F614,"*Corporate*")</f>
        <v>0</v>
      </c>
      <c r="R615" s="53">
        <f t="shared" si="11"/>
        <v>0</v>
      </c>
    </row>
    <row r="616" spans="2:18" x14ac:dyDescent="0.25">
      <c r="B616" s="48">
        <f>+'Metrics - Articles'!C615</f>
        <v>0</v>
      </c>
      <c r="C616">
        <f>COUNTIF('Metrics - Articles'!F615,"*GPO (Partner, Ecosystem, Channels)*")</f>
        <v>0</v>
      </c>
      <c r="D616">
        <f>COUNTIF('Metrics - Articles'!F615,"*Office of the CEO*")</f>
        <v>0</v>
      </c>
      <c r="E616">
        <f>COUNTIF('Metrics - Articles'!F615,"*Services Delivery &amp; Support (go-lives and deployments) *")</f>
        <v>0</v>
      </c>
      <c r="F616">
        <f>COUNTIF('Metrics - Articles'!F615,"*Human Resources (SAP HR and employee stories)*")</f>
        <v>0</v>
      </c>
      <c r="G616">
        <f>COUNTIF('Metrics - Articles'!F615,"*P&amp;I (Research &amp; Development)*")</f>
        <v>0</v>
      </c>
      <c r="H616">
        <f>COUNTIF('Metrics - Articles'!F615,"*Business Network (Concur, Ariba, Fieldglass)*")</f>
        <v>0</v>
      </c>
      <c r="I616">
        <f>COUNTIF('Metrics - Articles'!F615,"*GCO – Regions*")</f>
        <v>0</v>
      </c>
      <c r="J616">
        <f>COUNTIF('Metrics - Articles'!F615,"*GCO – Platform Solutions*")</f>
        <v>0</v>
      </c>
      <c r="K616">
        <f>COUNTIF('Metrics - Articles'!F615,"*GCO – Industry Cloud *")</f>
        <v>0</v>
      </c>
      <c r="L616">
        <f>COUNTIF('Metrics - Articles'!F615,"*GCO – Customer Engagement &amp; Commerce (CRM &amp; hybris) *")</f>
        <v>0</v>
      </c>
      <c r="M616">
        <f>COUNTIF('Metrics - Articles'!F615,"*GCO – HR (SuccessFactors)*")</f>
        <v>0</v>
      </c>
      <c r="N616">
        <f>COUNTIF('Metrics - Articles'!F615,"*GCO – Services Sales*")</f>
        <v>0</v>
      </c>
      <c r="O616">
        <f>COUNTIF('Metrics - Articles'!F615,"*GCO – Other*")</f>
        <v>0</v>
      </c>
      <c r="P616">
        <f>COUNTIF('Metrics - Articles'!F615,"*Corporate*")</f>
        <v>0</v>
      </c>
      <c r="R616" s="53">
        <f t="shared" si="11"/>
        <v>0</v>
      </c>
    </row>
    <row r="617" spans="2:18" x14ac:dyDescent="0.25">
      <c r="B617" s="48">
        <f>+'Metrics - Articles'!C616</f>
        <v>0</v>
      </c>
      <c r="C617">
        <f>COUNTIF('Metrics - Articles'!F616,"*GPO (Partner, Ecosystem, Channels)*")</f>
        <v>0</v>
      </c>
      <c r="D617">
        <f>COUNTIF('Metrics - Articles'!F616,"*Office of the CEO*")</f>
        <v>0</v>
      </c>
      <c r="E617">
        <f>COUNTIF('Metrics - Articles'!F616,"*Services Delivery &amp; Support (go-lives and deployments) *")</f>
        <v>0</v>
      </c>
      <c r="F617">
        <f>COUNTIF('Metrics - Articles'!F616,"*Human Resources (SAP HR and employee stories)*")</f>
        <v>0</v>
      </c>
      <c r="G617">
        <f>COUNTIF('Metrics - Articles'!F616,"*P&amp;I (Research &amp; Development)*")</f>
        <v>0</v>
      </c>
      <c r="H617">
        <f>COUNTIF('Metrics - Articles'!F616,"*Business Network (Concur, Ariba, Fieldglass)*")</f>
        <v>0</v>
      </c>
      <c r="I617">
        <f>COUNTIF('Metrics - Articles'!F616,"*GCO – Regions*")</f>
        <v>0</v>
      </c>
      <c r="J617">
        <f>COUNTIF('Metrics - Articles'!F616,"*GCO – Platform Solutions*")</f>
        <v>0</v>
      </c>
      <c r="K617">
        <f>COUNTIF('Metrics - Articles'!F616,"*GCO – Industry Cloud *")</f>
        <v>0</v>
      </c>
      <c r="L617">
        <f>COUNTIF('Metrics - Articles'!F616,"*GCO – Customer Engagement &amp; Commerce (CRM &amp; hybris) *")</f>
        <v>0</v>
      </c>
      <c r="M617">
        <f>COUNTIF('Metrics - Articles'!F616,"*GCO – HR (SuccessFactors)*")</f>
        <v>0</v>
      </c>
      <c r="N617">
        <f>COUNTIF('Metrics - Articles'!F616,"*GCO – Services Sales*")</f>
        <v>0</v>
      </c>
      <c r="O617">
        <f>COUNTIF('Metrics - Articles'!F616,"*GCO – Other*")</f>
        <v>0</v>
      </c>
      <c r="P617">
        <f>COUNTIF('Metrics - Articles'!F616,"*Corporate*")</f>
        <v>0</v>
      </c>
      <c r="R617" s="53">
        <f t="shared" si="11"/>
        <v>0</v>
      </c>
    </row>
    <row r="618" spans="2:18" x14ac:dyDescent="0.25">
      <c r="B618" s="48">
        <f>+'Metrics - Articles'!C617</f>
        <v>0</v>
      </c>
      <c r="C618">
        <f>COUNTIF('Metrics - Articles'!F617,"*GPO (Partner, Ecosystem, Channels)*")</f>
        <v>0</v>
      </c>
      <c r="D618">
        <f>COUNTIF('Metrics - Articles'!F617,"*Office of the CEO*")</f>
        <v>0</v>
      </c>
      <c r="E618">
        <f>COUNTIF('Metrics - Articles'!F617,"*Services Delivery &amp; Support (go-lives and deployments) *")</f>
        <v>0</v>
      </c>
      <c r="F618">
        <f>COUNTIF('Metrics - Articles'!F617,"*Human Resources (SAP HR and employee stories)*")</f>
        <v>0</v>
      </c>
      <c r="G618">
        <f>COUNTIF('Metrics - Articles'!F617,"*P&amp;I (Research &amp; Development)*")</f>
        <v>0</v>
      </c>
      <c r="H618">
        <f>COUNTIF('Metrics - Articles'!F617,"*Business Network (Concur, Ariba, Fieldglass)*")</f>
        <v>0</v>
      </c>
      <c r="I618">
        <f>COUNTIF('Metrics - Articles'!F617,"*GCO – Regions*")</f>
        <v>0</v>
      </c>
      <c r="J618">
        <f>COUNTIF('Metrics - Articles'!F617,"*GCO – Platform Solutions*")</f>
        <v>0</v>
      </c>
      <c r="K618">
        <f>COUNTIF('Metrics - Articles'!F617,"*GCO – Industry Cloud *")</f>
        <v>0</v>
      </c>
      <c r="L618">
        <f>COUNTIF('Metrics - Articles'!F617,"*GCO – Customer Engagement &amp; Commerce (CRM &amp; hybris) *")</f>
        <v>0</v>
      </c>
      <c r="M618">
        <f>COUNTIF('Metrics - Articles'!F617,"*GCO – HR (SuccessFactors)*")</f>
        <v>0</v>
      </c>
      <c r="N618">
        <f>COUNTIF('Metrics - Articles'!F617,"*GCO – Services Sales*")</f>
        <v>0</v>
      </c>
      <c r="O618">
        <f>COUNTIF('Metrics - Articles'!F617,"*GCO – Other*")</f>
        <v>0</v>
      </c>
      <c r="P618">
        <f>COUNTIF('Metrics - Articles'!F617,"*Corporate*")</f>
        <v>0</v>
      </c>
      <c r="R618" s="53">
        <f t="shared" si="11"/>
        <v>0</v>
      </c>
    </row>
    <row r="619" spans="2:18" x14ac:dyDescent="0.25">
      <c r="B619" s="48">
        <f>+'Metrics - Articles'!C618</f>
        <v>0</v>
      </c>
      <c r="C619">
        <f>COUNTIF('Metrics - Articles'!F618,"*GPO (Partner, Ecosystem, Channels)*")</f>
        <v>0</v>
      </c>
      <c r="D619">
        <f>COUNTIF('Metrics - Articles'!F618,"*Office of the CEO*")</f>
        <v>0</v>
      </c>
      <c r="E619">
        <f>COUNTIF('Metrics - Articles'!F618,"*Services Delivery &amp; Support (go-lives and deployments) *")</f>
        <v>0</v>
      </c>
      <c r="F619">
        <f>COUNTIF('Metrics - Articles'!F618,"*Human Resources (SAP HR and employee stories)*")</f>
        <v>0</v>
      </c>
      <c r="G619">
        <f>COUNTIF('Metrics - Articles'!F618,"*P&amp;I (Research &amp; Development)*")</f>
        <v>0</v>
      </c>
      <c r="H619">
        <f>COUNTIF('Metrics - Articles'!F618,"*Business Network (Concur, Ariba, Fieldglass)*")</f>
        <v>0</v>
      </c>
      <c r="I619">
        <f>COUNTIF('Metrics - Articles'!F618,"*GCO – Regions*")</f>
        <v>0</v>
      </c>
      <c r="J619">
        <f>COUNTIF('Metrics - Articles'!F618,"*GCO – Platform Solutions*")</f>
        <v>0</v>
      </c>
      <c r="K619">
        <f>COUNTIF('Metrics - Articles'!F618,"*GCO – Industry Cloud *")</f>
        <v>0</v>
      </c>
      <c r="L619">
        <f>COUNTIF('Metrics - Articles'!F618,"*GCO – Customer Engagement &amp; Commerce (CRM &amp; hybris) *")</f>
        <v>0</v>
      </c>
      <c r="M619">
        <f>COUNTIF('Metrics - Articles'!F618,"*GCO – HR (SuccessFactors)*")</f>
        <v>0</v>
      </c>
      <c r="N619">
        <f>COUNTIF('Metrics - Articles'!F618,"*GCO – Services Sales*")</f>
        <v>0</v>
      </c>
      <c r="O619">
        <f>COUNTIF('Metrics - Articles'!F618,"*GCO – Other*")</f>
        <v>0</v>
      </c>
      <c r="P619">
        <f>COUNTIF('Metrics - Articles'!F618,"*Corporate*")</f>
        <v>0</v>
      </c>
      <c r="R619" s="53">
        <f t="shared" si="11"/>
        <v>0</v>
      </c>
    </row>
    <row r="620" spans="2:18" x14ac:dyDescent="0.25">
      <c r="B620" s="48">
        <f>+'Metrics - Articles'!C619</f>
        <v>0</v>
      </c>
      <c r="C620">
        <f>COUNTIF('Metrics - Articles'!F619,"*GPO (Partner, Ecosystem, Channels)*")</f>
        <v>0</v>
      </c>
      <c r="D620">
        <f>COUNTIF('Metrics - Articles'!F619,"*Office of the CEO*")</f>
        <v>0</v>
      </c>
      <c r="E620">
        <f>COUNTIF('Metrics - Articles'!F619,"*Services Delivery &amp; Support (go-lives and deployments) *")</f>
        <v>0</v>
      </c>
      <c r="F620">
        <f>COUNTIF('Metrics - Articles'!F619,"*Human Resources (SAP HR and employee stories)*")</f>
        <v>0</v>
      </c>
      <c r="G620">
        <f>COUNTIF('Metrics - Articles'!F619,"*P&amp;I (Research &amp; Development)*")</f>
        <v>0</v>
      </c>
      <c r="H620">
        <f>COUNTIF('Metrics - Articles'!F619,"*Business Network (Concur, Ariba, Fieldglass)*")</f>
        <v>0</v>
      </c>
      <c r="I620">
        <f>COUNTIF('Metrics - Articles'!F619,"*GCO – Regions*")</f>
        <v>0</v>
      </c>
      <c r="J620">
        <f>COUNTIF('Metrics - Articles'!F619,"*GCO – Platform Solutions*")</f>
        <v>0</v>
      </c>
      <c r="K620">
        <f>COUNTIF('Metrics - Articles'!F619,"*GCO – Industry Cloud *")</f>
        <v>0</v>
      </c>
      <c r="L620">
        <f>COUNTIF('Metrics - Articles'!F619,"*GCO – Customer Engagement &amp; Commerce (CRM &amp; hybris) *")</f>
        <v>0</v>
      </c>
      <c r="M620">
        <f>COUNTIF('Metrics - Articles'!F619,"*GCO – HR (SuccessFactors)*")</f>
        <v>0</v>
      </c>
      <c r="N620">
        <f>COUNTIF('Metrics - Articles'!F619,"*GCO – Services Sales*")</f>
        <v>0</v>
      </c>
      <c r="O620">
        <f>COUNTIF('Metrics - Articles'!F619,"*GCO – Other*")</f>
        <v>0</v>
      </c>
      <c r="P620">
        <f>COUNTIF('Metrics - Articles'!F619,"*Corporate*")</f>
        <v>0</v>
      </c>
      <c r="R620" s="53">
        <f t="shared" si="11"/>
        <v>0</v>
      </c>
    </row>
    <row r="621" spans="2:18" x14ac:dyDescent="0.25">
      <c r="B621" s="48">
        <f>+'Metrics - Articles'!C620</f>
        <v>0</v>
      </c>
      <c r="C621">
        <f>COUNTIF('Metrics - Articles'!F620,"*GPO (Partner, Ecosystem, Channels)*")</f>
        <v>0</v>
      </c>
      <c r="D621">
        <f>COUNTIF('Metrics - Articles'!F620,"*Office of the CEO*")</f>
        <v>0</v>
      </c>
      <c r="E621">
        <f>COUNTIF('Metrics - Articles'!F620,"*Services Delivery &amp; Support (go-lives and deployments) *")</f>
        <v>0</v>
      </c>
      <c r="F621">
        <f>COUNTIF('Metrics - Articles'!F620,"*Human Resources (SAP HR and employee stories)*")</f>
        <v>0</v>
      </c>
      <c r="G621">
        <f>COUNTIF('Metrics - Articles'!F620,"*P&amp;I (Research &amp; Development)*")</f>
        <v>0</v>
      </c>
      <c r="H621">
        <f>COUNTIF('Metrics - Articles'!F620,"*Business Network (Concur, Ariba, Fieldglass)*")</f>
        <v>0</v>
      </c>
      <c r="I621">
        <f>COUNTIF('Metrics - Articles'!F620,"*GCO – Regions*")</f>
        <v>0</v>
      </c>
      <c r="J621">
        <f>COUNTIF('Metrics - Articles'!F620,"*GCO – Platform Solutions*")</f>
        <v>0</v>
      </c>
      <c r="K621">
        <f>COUNTIF('Metrics - Articles'!F620,"*GCO – Industry Cloud *")</f>
        <v>0</v>
      </c>
      <c r="L621">
        <f>COUNTIF('Metrics - Articles'!F620,"*GCO – Customer Engagement &amp; Commerce (CRM &amp; hybris) *")</f>
        <v>0</v>
      </c>
      <c r="M621">
        <f>COUNTIF('Metrics - Articles'!F620,"*GCO – HR (SuccessFactors)*")</f>
        <v>0</v>
      </c>
      <c r="N621">
        <f>COUNTIF('Metrics - Articles'!F620,"*GCO – Services Sales*")</f>
        <v>0</v>
      </c>
      <c r="O621">
        <f>COUNTIF('Metrics - Articles'!F620,"*GCO – Other*")</f>
        <v>0</v>
      </c>
      <c r="P621">
        <f>COUNTIF('Metrics - Articles'!F620,"*Corporate*")</f>
        <v>0</v>
      </c>
      <c r="R621" s="53">
        <f t="shared" si="11"/>
        <v>0</v>
      </c>
    </row>
    <row r="622" spans="2:18" x14ac:dyDescent="0.25">
      <c r="B622" s="48">
        <f>+'Metrics - Articles'!C621</f>
        <v>0</v>
      </c>
      <c r="C622">
        <f>COUNTIF('Metrics - Articles'!F621,"*GPO (Partner, Ecosystem, Channels)*")</f>
        <v>0</v>
      </c>
      <c r="D622">
        <f>COUNTIF('Metrics - Articles'!F621,"*Office of the CEO*")</f>
        <v>0</v>
      </c>
      <c r="E622">
        <f>COUNTIF('Metrics - Articles'!F621,"*Services Delivery &amp; Support (go-lives and deployments) *")</f>
        <v>0</v>
      </c>
      <c r="F622">
        <f>COUNTIF('Metrics - Articles'!F621,"*Human Resources (SAP HR and employee stories)*")</f>
        <v>0</v>
      </c>
      <c r="G622">
        <f>COUNTIF('Metrics - Articles'!F621,"*P&amp;I (Research &amp; Development)*")</f>
        <v>0</v>
      </c>
      <c r="H622">
        <f>COUNTIF('Metrics - Articles'!F621,"*Business Network (Concur, Ariba, Fieldglass)*")</f>
        <v>0</v>
      </c>
      <c r="I622">
        <f>COUNTIF('Metrics - Articles'!F621,"*GCO – Regions*")</f>
        <v>0</v>
      </c>
      <c r="J622">
        <f>COUNTIF('Metrics - Articles'!F621,"*GCO – Platform Solutions*")</f>
        <v>0</v>
      </c>
      <c r="K622">
        <f>COUNTIF('Metrics - Articles'!F621,"*GCO – Industry Cloud *")</f>
        <v>0</v>
      </c>
      <c r="L622">
        <f>COUNTIF('Metrics - Articles'!F621,"*GCO – Customer Engagement &amp; Commerce (CRM &amp; hybris) *")</f>
        <v>0</v>
      </c>
      <c r="M622">
        <f>COUNTIF('Metrics - Articles'!F621,"*GCO – HR (SuccessFactors)*")</f>
        <v>0</v>
      </c>
      <c r="N622">
        <f>COUNTIF('Metrics - Articles'!F621,"*GCO – Services Sales*")</f>
        <v>0</v>
      </c>
      <c r="O622">
        <f>COUNTIF('Metrics - Articles'!F621,"*GCO – Other*")</f>
        <v>0</v>
      </c>
      <c r="P622">
        <f>COUNTIF('Metrics - Articles'!F621,"*Corporate*")</f>
        <v>0</v>
      </c>
      <c r="R622" s="53">
        <f t="shared" si="11"/>
        <v>0</v>
      </c>
    </row>
    <row r="623" spans="2:18" x14ac:dyDescent="0.25">
      <c r="B623" s="48">
        <f>+'Metrics - Articles'!C622</f>
        <v>0</v>
      </c>
      <c r="C623">
        <f>COUNTIF('Metrics - Articles'!F622,"*GPO (Partner, Ecosystem, Channels)*")</f>
        <v>0</v>
      </c>
      <c r="D623">
        <f>COUNTIF('Metrics - Articles'!F622,"*Office of the CEO*")</f>
        <v>0</v>
      </c>
      <c r="E623">
        <f>COUNTIF('Metrics - Articles'!F622,"*Services Delivery &amp; Support (go-lives and deployments) *")</f>
        <v>0</v>
      </c>
      <c r="F623">
        <f>COUNTIF('Metrics - Articles'!F622,"*Human Resources (SAP HR and employee stories)*")</f>
        <v>0</v>
      </c>
      <c r="G623">
        <f>COUNTIF('Metrics - Articles'!F622,"*P&amp;I (Research &amp; Development)*")</f>
        <v>0</v>
      </c>
      <c r="H623">
        <f>COUNTIF('Metrics - Articles'!F622,"*Business Network (Concur, Ariba, Fieldglass)*")</f>
        <v>0</v>
      </c>
      <c r="I623">
        <f>COUNTIF('Metrics - Articles'!F622,"*GCO – Regions*")</f>
        <v>0</v>
      </c>
      <c r="J623">
        <f>COUNTIF('Metrics - Articles'!F622,"*GCO – Platform Solutions*")</f>
        <v>0</v>
      </c>
      <c r="K623">
        <f>COUNTIF('Metrics - Articles'!F622,"*GCO – Industry Cloud *")</f>
        <v>0</v>
      </c>
      <c r="L623">
        <f>COUNTIF('Metrics - Articles'!F622,"*GCO – Customer Engagement &amp; Commerce (CRM &amp; hybris) *")</f>
        <v>0</v>
      </c>
      <c r="M623">
        <f>COUNTIF('Metrics - Articles'!F622,"*GCO – HR (SuccessFactors)*")</f>
        <v>0</v>
      </c>
      <c r="N623">
        <f>COUNTIF('Metrics - Articles'!F622,"*GCO – Services Sales*")</f>
        <v>0</v>
      </c>
      <c r="O623">
        <f>COUNTIF('Metrics - Articles'!F622,"*GCO – Other*")</f>
        <v>0</v>
      </c>
      <c r="P623">
        <f>COUNTIF('Metrics - Articles'!F622,"*Corporate*")</f>
        <v>0</v>
      </c>
      <c r="R623" s="53">
        <f t="shared" si="11"/>
        <v>0</v>
      </c>
    </row>
    <row r="624" spans="2:18" x14ac:dyDescent="0.25">
      <c r="B624" s="48">
        <f>+'Metrics - Articles'!C623</f>
        <v>0</v>
      </c>
      <c r="C624">
        <f>COUNTIF('Metrics - Articles'!F623,"*GPO (Partner, Ecosystem, Channels)*")</f>
        <v>0</v>
      </c>
      <c r="D624">
        <f>COUNTIF('Metrics - Articles'!F623,"*Office of the CEO*")</f>
        <v>0</v>
      </c>
      <c r="E624">
        <f>COUNTIF('Metrics - Articles'!F623,"*Services Delivery &amp; Support (go-lives and deployments) *")</f>
        <v>0</v>
      </c>
      <c r="F624">
        <f>COUNTIF('Metrics - Articles'!F623,"*Human Resources (SAP HR and employee stories)*")</f>
        <v>0</v>
      </c>
      <c r="G624">
        <f>COUNTIF('Metrics - Articles'!F623,"*P&amp;I (Research &amp; Development)*")</f>
        <v>0</v>
      </c>
      <c r="H624">
        <f>COUNTIF('Metrics - Articles'!F623,"*Business Network (Concur, Ariba, Fieldglass)*")</f>
        <v>0</v>
      </c>
      <c r="I624">
        <f>COUNTIF('Metrics - Articles'!F623,"*GCO – Regions*")</f>
        <v>0</v>
      </c>
      <c r="J624">
        <f>COUNTIF('Metrics - Articles'!F623,"*GCO – Platform Solutions*")</f>
        <v>0</v>
      </c>
      <c r="K624">
        <f>COUNTIF('Metrics - Articles'!F623,"*GCO – Industry Cloud *")</f>
        <v>0</v>
      </c>
      <c r="L624">
        <f>COUNTIF('Metrics - Articles'!F623,"*GCO – Customer Engagement &amp; Commerce (CRM &amp; hybris) *")</f>
        <v>0</v>
      </c>
      <c r="M624">
        <f>COUNTIF('Metrics - Articles'!F623,"*GCO – HR (SuccessFactors)*")</f>
        <v>0</v>
      </c>
      <c r="N624">
        <f>COUNTIF('Metrics - Articles'!F623,"*GCO – Services Sales*")</f>
        <v>0</v>
      </c>
      <c r="O624">
        <f>COUNTIF('Metrics - Articles'!F623,"*GCO – Other*")</f>
        <v>0</v>
      </c>
      <c r="P624">
        <f>COUNTIF('Metrics - Articles'!F623,"*Corporate*")</f>
        <v>0</v>
      </c>
      <c r="R624" s="53">
        <f t="shared" si="11"/>
        <v>0</v>
      </c>
    </row>
    <row r="625" spans="2:18" x14ac:dyDescent="0.25">
      <c r="B625" s="48">
        <f>+'Metrics - Articles'!C624</f>
        <v>0</v>
      </c>
      <c r="C625">
        <f>COUNTIF('Metrics - Articles'!F624,"*GPO (Partner, Ecosystem, Channels)*")</f>
        <v>0</v>
      </c>
      <c r="D625">
        <f>COUNTIF('Metrics - Articles'!F624,"*Office of the CEO*")</f>
        <v>0</v>
      </c>
      <c r="E625">
        <f>COUNTIF('Metrics - Articles'!F624,"*Services Delivery &amp; Support (go-lives and deployments) *")</f>
        <v>0</v>
      </c>
      <c r="F625">
        <f>COUNTIF('Metrics - Articles'!F624,"*Human Resources (SAP HR and employee stories)*")</f>
        <v>0</v>
      </c>
      <c r="G625">
        <f>COUNTIF('Metrics - Articles'!F624,"*P&amp;I (Research &amp; Development)*")</f>
        <v>0</v>
      </c>
      <c r="H625">
        <f>COUNTIF('Metrics - Articles'!F624,"*Business Network (Concur, Ariba, Fieldglass)*")</f>
        <v>0</v>
      </c>
      <c r="I625">
        <f>COUNTIF('Metrics - Articles'!F624,"*GCO – Regions*")</f>
        <v>0</v>
      </c>
      <c r="J625">
        <f>COUNTIF('Metrics - Articles'!F624,"*GCO – Platform Solutions*")</f>
        <v>0</v>
      </c>
      <c r="K625">
        <f>COUNTIF('Metrics - Articles'!F624,"*GCO – Industry Cloud *")</f>
        <v>0</v>
      </c>
      <c r="L625">
        <f>COUNTIF('Metrics - Articles'!F624,"*GCO – Customer Engagement &amp; Commerce (CRM &amp; hybris) *")</f>
        <v>0</v>
      </c>
      <c r="M625">
        <f>COUNTIF('Metrics - Articles'!F624,"*GCO – HR (SuccessFactors)*")</f>
        <v>0</v>
      </c>
      <c r="N625">
        <f>COUNTIF('Metrics - Articles'!F624,"*GCO – Services Sales*")</f>
        <v>0</v>
      </c>
      <c r="O625">
        <f>COUNTIF('Metrics - Articles'!F624,"*GCO – Other*")</f>
        <v>0</v>
      </c>
      <c r="P625">
        <f>COUNTIF('Metrics - Articles'!F624,"*Corporate*")</f>
        <v>0</v>
      </c>
      <c r="R625" s="53">
        <f t="shared" si="11"/>
        <v>0</v>
      </c>
    </row>
    <row r="626" spans="2:18" x14ac:dyDescent="0.25">
      <c r="B626" s="48">
        <f>+'Metrics - Articles'!C625</f>
        <v>0</v>
      </c>
      <c r="C626">
        <f>COUNTIF('Metrics - Articles'!F625,"*GPO (Partner, Ecosystem, Channels)*")</f>
        <v>0</v>
      </c>
      <c r="D626">
        <f>COUNTIF('Metrics - Articles'!F625,"*Office of the CEO*")</f>
        <v>0</v>
      </c>
      <c r="E626">
        <f>COUNTIF('Metrics - Articles'!F625,"*Services Delivery &amp; Support (go-lives and deployments) *")</f>
        <v>0</v>
      </c>
      <c r="F626">
        <f>COUNTIF('Metrics - Articles'!F625,"*Human Resources (SAP HR and employee stories)*")</f>
        <v>0</v>
      </c>
      <c r="G626">
        <f>COUNTIF('Metrics - Articles'!F625,"*P&amp;I (Research &amp; Development)*")</f>
        <v>0</v>
      </c>
      <c r="H626">
        <f>COUNTIF('Metrics - Articles'!F625,"*Business Network (Concur, Ariba, Fieldglass)*")</f>
        <v>0</v>
      </c>
      <c r="I626">
        <f>COUNTIF('Metrics - Articles'!F625,"*GCO – Regions*")</f>
        <v>0</v>
      </c>
      <c r="J626">
        <f>COUNTIF('Metrics - Articles'!F625,"*GCO – Platform Solutions*")</f>
        <v>0</v>
      </c>
      <c r="K626">
        <f>COUNTIF('Metrics - Articles'!F625,"*GCO – Industry Cloud *")</f>
        <v>0</v>
      </c>
      <c r="L626">
        <f>COUNTIF('Metrics - Articles'!F625,"*GCO – Customer Engagement &amp; Commerce (CRM &amp; hybris) *")</f>
        <v>0</v>
      </c>
      <c r="M626">
        <f>COUNTIF('Metrics - Articles'!F625,"*GCO – HR (SuccessFactors)*")</f>
        <v>0</v>
      </c>
      <c r="N626">
        <f>COUNTIF('Metrics - Articles'!F625,"*GCO – Services Sales*")</f>
        <v>0</v>
      </c>
      <c r="O626">
        <f>COUNTIF('Metrics - Articles'!F625,"*GCO – Other*")</f>
        <v>0</v>
      </c>
      <c r="P626">
        <f>COUNTIF('Metrics - Articles'!F625,"*Corporate*")</f>
        <v>0</v>
      </c>
      <c r="R626" s="53">
        <f t="shared" si="11"/>
        <v>0</v>
      </c>
    </row>
    <row r="627" spans="2:18" x14ac:dyDescent="0.25">
      <c r="B627" s="48">
        <f>+'Metrics - Articles'!C626</f>
        <v>0</v>
      </c>
      <c r="C627">
        <f>COUNTIF('Metrics - Articles'!F626,"*GPO (Partner, Ecosystem, Channels)*")</f>
        <v>0</v>
      </c>
      <c r="D627">
        <f>COUNTIF('Metrics - Articles'!F626,"*Office of the CEO*")</f>
        <v>0</v>
      </c>
      <c r="E627">
        <f>COUNTIF('Metrics - Articles'!F626,"*Services Delivery &amp; Support (go-lives and deployments) *")</f>
        <v>0</v>
      </c>
      <c r="F627">
        <f>COUNTIF('Metrics - Articles'!F626,"*Human Resources (SAP HR and employee stories)*")</f>
        <v>0</v>
      </c>
      <c r="G627">
        <f>COUNTIF('Metrics - Articles'!F626,"*P&amp;I (Research &amp; Development)*")</f>
        <v>0</v>
      </c>
      <c r="H627">
        <f>COUNTIF('Metrics - Articles'!F626,"*Business Network (Concur, Ariba, Fieldglass)*")</f>
        <v>0</v>
      </c>
      <c r="I627">
        <f>COUNTIF('Metrics - Articles'!F626,"*GCO – Regions*")</f>
        <v>0</v>
      </c>
      <c r="J627">
        <f>COUNTIF('Metrics - Articles'!F626,"*GCO – Platform Solutions*")</f>
        <v>0</v>
      </c>
      <c r="K627">
        <f>COUNTIF('Metrics - Articles'!F626,"*GCO – Industry Cloud *")</f>
        <v>0</v>
      </c>
      <c r="L627">
        <f>COUNTIF('Metrics - Articles'!F626,"*GCO – Customer Engagement &amp; Commerce (CRM &amp; hybris) *")</f>
        <v>0</v>
      </c>
      <c r="M627">
        <f>COUNTIF('Metrics - Articles'!F626,"*GCO – HR (SuccessFactors)*")</f>
        <v>0</v>
      </c>
      <c r="N627">
        <f>COUNTIF('Metrics - Articles'!F626,"*GCO – Services Sales*")</f>
        <v>0</v>
      </c>
      <c r="O627">
        <f>COUNTIF('Metrics - Articles'!F626,"*GCO – Other*")</f>
        <v>0</v>
      </c>
      <c r="P627">
        <f>COUNTIF('Metrics - Articles'!F626,"*Corporate*")</f>
        <v>0</v>
      </c>
      <c r="R627" s="53">
        <f t="shared" si="11"/>
        <v>0</v>
      </c>
    </row>
    <row r="628" spans="2:18" x14ac:dyDescent="0.25">
      <c r="B628" s="48">
        <f>+'Metrics - Articles'!C627</f>
        <v>0</v>
      </c>
      <c r="C628">
        <f>COUNTIF('Metrics - Articles'!F627,"*GPO (Partner, Ecosystem, Channels)*")</f>
        <v>0</v>
      </c>
      <c r="D628">
        <f>COUNTIF('Metrics - Articles'!F627,"*Office of the CEO*")</f>
        <v>0</v>
      </c>
      <c r="E628">
        <f>COUNTIF('Metrics - Articles'!F627,"*Services Delivery &amp; Support (go-lives and deployments) *")</f>
        <v>0</v>
      </c>
      <c r="F628">
        <f>COUNTIF('Metrics - Articles'!F627,"*Human Resources (SAP HR and employee stories)*")</f>
        <v>0</v>
      </c>
      <c r="G628">
        <f>COUNTIF('Metrics - Articles'!F627,"*P&amp;I (Research &amp; Development)*")</f>
        <v>0</v>
      </c>
      <c r="H628">
        <f>COUNTIF('Metrics - Articles'!F627,"*Business Network (Concur, Ariba, Fieldglass)*")</f>
        <v>0</v>
      </c>
      <c r="I628">
        <f>COUNTIF('Metrics - Articles'!F627,"*GCO – Regions*")</f>
        <v>0</v>
      </c>
      <c r="J628">
        <f>COUNTIF('Metrics - Articles'!F627,"*GCO – Platform Solutions*")</f>
        <v>0</v>
      </c>
      <c r="K628">
        <f>COUNTIF('Metrics - Articles'!F627,"*GCO – Industry Cloud *")</f>
        <v>0</v>
      </c>
      <c r="L628">
        <f>COUNTIF('Metrics - Articles'!F627,"*GCO – Customer Engagement &amp; Commerce (CRM &amp; hybris) *")</f>
        <v>0</v>
      </c>
      <c r="M628">
        <f>COUNTIF('Metrics - Articles'!F627,"*GCO – HR (SuccessFactors)*")</f>
        <v>0</v>
      </c>
      <c r="N628">
        <f>COUNTIF('Metrics - Articles'!F627,"*GCO – Services Sales*")</f>
        <v>0</v>
      </c>
      <c r="O628">
        <f>COUNTIF('Metrics - Articles'!F627,"*GCO – Other*")</f>
        <v>0</v>
      </c>
      <c r="P628">
        <f>COUNTIF('Metrics - Articles'!F627,"*Corporate*")</f>
        <v>0</v>
      </c>
      <c r="R628" s="53">
        <f t="shared" si="11"/>
        <v>0</v>
      </c>
    </row>
    <row r="629" spans="2:18" x14ac:dyDescent="0.25">
      <c r="B629" s="48">
        <f>+'Metrics - Articles'!C628</f>
        <v>0</v>
      </c>
      <c r="C629">
        <f>COUNTIF('Metrics - Articles'!F628,"*GPO (Partner, Ecosystem, Channels)*")</f>
        <v>0</v>
      </c>
      <c r="D629">
        <f>COUNTIF('Metrics - Articles'!F628,"*Office of the CEO*")</f>
        <v>0</v>
      </c>
      <c r="E629">
        <f>COUNTIF('Metrics - Articles'!F628,"*Services Delivery &amp; Support (go-lives and deployments) *")</f>
        <v>0</v>
      </c>
      <c r="F629">
        <f>COUNTIF('Metrics - Articles'!F628,"*Human Resources (SAP HR and employee stories)*")</f>
        <v>0</v>
      </c>
      <c r="G629">
        <f>COUNTIF('Metrics - Articles'!F628,"*P&amp;I (Research &amp; Development)*")</f>
        <v>0</v>
      </c>
      <c r="H629">
        <f>COUNTIF('Metrics - Articles'!F628,"*Business Network (Concur, Ariba, Fieldglass)*")</f>
        <v>0</v>
      </c>
      <c r="I629">
        <f>COUNTIF('Metrics - Articles'!F628,"*GCO – Regions*")</f>
        <v>0</v>
      </c>
      <c r="J629">
        <f>COUNTIF('Metrics - Articles'!F628,"*GCO – Platform Solutions*")</f>
        <v>0</v>
      </c>
      <c r="K629">
        <f>COUNTIF('Metrics - Articles'!F628,"*GCO – Industry Cloud *")</f>
        <v>0</v>
      </c>
      <c r="L629">
        <f>COUNTIF('Metrics - Articles'!F628,"*GCO – Customer Engagement &amp; Commerce (CRM &amp; hybris) *")</f>
        <v>0</v>
      </c>
      <c r="M629">
        <f>COUNTIF('Metrics - Articles'!F628,"*GCO – HR (SuccessFactors)*")</f>
        <v>0</v>
      </c>
      <c r="N629">
        <f>COUNTIF('Metrics - Articles'!F628,"*GCO – Services Sales*")</f>
        <v>0</v>
      </c>
      <c r="O629">
        <f>COUNTIF('Metrics - Articles'!F628,"*GCO – Other*")</f>
        <v>0</v>
      </c>
      <c r="P629">
        <f>COUNTIF('Metrics - Articles'!F628,"*Corporate*")</f>
        <v>0</v>
      </c>
      <c r="R629" s="53">
        <f t="shared" si="11"/>
        <v>0</v>
      </c>
    </row>
    <row r="630" spans="2:18" x14ac:dyDescent="0.25">
      <c r="B630" s="48">
        <f>+'Metrics - Articles'!C629</f>
        <v>0</v>
      </c>
      <c r="C630">
        <f>COUNTIF('Metrics - Articles'!F629,"*GPO (Partner, Ecosystem, Channels)*")</f>
        <v>0</v>
      </c>
      <c r="D630">
        <f>COUNTIF('Metrics - Articles'!F629,"*Office of the CEO*")</f>
        <v>0</v>
      </c>
      <c r="E630">
        <f>COUNTIF('Metrics - Articles'!F629,"*Services Delivery &amp; Support (go-lives and deployments) *")</f>
        <v>0</v>
      </c>
      <c r="F630">
        <f>COUNTIF('Metrics - Articles'!F629,"*Human Resources (SAP HR and employee stories)*")</f>
        <v>0</v>
      </c>
      <c r="G630">
        <f>COUNTIF('Metrics - Articles'!F629,"*P&amp;I (Research &amp; Development)*")</f>
        <v>0</v>
      </c>
      <c r="H630">
        <f>COUNTIF('Metrics - Articles'!F629,"*Business Network (Concur, Ariba, Fieldglass)*")</f>
        <v>0</v>
      </c>
      <c r="I630">
        <f>COUNTIF('Metrics - Articles'!F629,"*GCO – Regions*")</f>
        <v>0</v>
      </c>
      <c r="J630">
        <f>COUNTIF('Metrics - Articles'!F629,"*GCO – Platform Solutions*")</f>
        <v>0</v>
      </c>
      <c r="K630">
        <f>COUNTIF('Metrics - Articles'!F629,"*GCO – Industry Cloud *")</f>
        <v>0</v>
      </c>
      <c r="L630">
        <f>COUNTIF('Metrics - Articles'!F629,"*GCO – Customer Engagement &amp; Commerce (CRM &amp; hybris) *")</f>
        <v>0</v>
      </c>
      <c r="M630">
        <f>COUNTIF('Metrics - Articles'!F629,"*GCO – HR (SuccessFactors)*")</f>
        <v>0</v>
      </c>
      <c r="N630">
        <f>COUNTIF('Metrics - Articles'!F629,"*GCO – Services Sales*")</f>
        <v>0</v>
      </c>
      <c r="O630">
        <f>COUNTIF('Metrics - Articles'!F629,"*GCO – Other*")</f>
        <v>0</v>
      </c>
      <c r="P630">
        <f>COUNTIF('Metrics - Articles'!F629,"*Corporate*")</f>
        <v>0</v>
      </c>
      <c r="R630" s="53">
        <f t="shared" si="11"/>
        <v>0</v>
      </c>
    </row>
    <row r="631" spans="2:18" x14ac:dyDescent="0.25">
      <c r="B631" s="48">
        <f>+'Metrics - Articles'!C630</f>
        <v>0</v>
      </c>
      <c r="C631">
        <f>COUNTIF('Metrics - Articles'!F630,"*GPO (Partner, Ecosystem, Channels)*")</f>
        <v>0</v>
      </c>
      <c r="D631">
        <f>COUNTIF('Metrics - Articles'!F630,"*Office of the CEO*")</f>
        <v>0</v>
      </c>
      <c r="E631">
        <f>COUNTIF('Metrics - Articles'!F630,"*Services Delivery &amp; Support (go-lives and deployments) *")</f>
        <v>0</v>
      </c>
      <c r="F631">
        <f>COUNTIF('Metrics - Articles'!F630,"*Human Resources (SAP HR and employee stories)*")</f>
        <v>0</v>
      </c>
      <c r="G631">
        <f>COUNTIF('Metrics - Articles'!F630,"*P&amp;I (Research &amp; Development)*")</f>
        <v>0</v>
      </c>
      <c r="H631">
        <f>COUNTIF('Metrics - Articles'!F630,"*Business Network (Concur, Ariba, Fieldglass)*")</f>
        <v>0</v>
      </c>
      <c r="I631">
        <f>COUNTIF('Metrics - Articles'!F630,"*GCO – Regions*")</f>
        <v>0</v>
      </c>
      <c r="J631">
        <f>COUNTIF('Metrics - Articles'!F630,"*GCO – Platform Solutions*")</f>
        <v>0</v>
      </c>
      <c r="K631">
        <f>COUNTIF('Metrics - Articles'!F630,"*GCO – Industry Cloud *")</f>
        <v>0</v>
      </c>
      <c r="L631">
        <f>COUNTIF('Metrics - Articles'!F630,"*GCO – Customer Engagement &amp; Commerce (CRM &amp; hybris) *")</f>
        <v>0</v>
      </c>
      <c r="M631">
        <f>COUNTIF('Metrics - Articles'!F630,"*GCO – HR (SuccessFactors)*")</f>
        <v>0</v>
      </c>
      <c r="N631">
        <f>COUNTIF('Metrics - Articles'!F630,"*GCO – Services Sales*")</f>
        <v>0</v>
      </c>
      <c r="O631">
        <f>COUNTIF('Metrics - Articles'!F630,"*GCO – Other*")</f>
        <v>0</v>
      </c>
      <c r="P631">
        <f>COUNTIF('Metrics - Articles'!F630,"*Corporate*")</f>
        <v>0</v>
      </c>
      <c r="R631" s="53">
        <f t="shared" si="11"/>
        <v>0</v>
      </c>
    </row>
    <row r="632" spans="2:18" x14ac:dyDescent="0.25">
      <c r="B632" s="48">
        <f>+'Metrics - Articles'!C631</f>
        <v>0</v>
      </c>
      <c r="C632">
        <f>COUNTIF('Metrics - Articles'!F631,"*GPO (Partner, Ecosystem, Channels)*")</f>
        <v>0</v>
      </c>
      <c r="D632">
        <f>COUNTIF('Metrics - Articles'!F631,"*Office of the CEO*")</f>
        <v>0</v>
      </c>
      <c r="E632">
        <f>COUNTIF('Metrics - Articles'!F631,"*Services Delivery &amp; Support (go-lives and deployments) *")</f>
        <v>0</v>
      </c>
      <c r="F632">
        <f>COUNTIF('Metrics - Articles'!F631,"*Human Resources (SAP HR and employee stories)*")</f>
        <v>0</v>
      </c>
      <c r="G632">
        <f>COUNTIF('Metrics - Articles'!F631,"*P&amp;I (Research &amp; Development)*")</f>
        <v>0</v>
      </c>
      <c r="H632">
        <f>COUNTIF('Metrics - Articles'!F631,"*Business Network (Concur, Ariba, Fieldglass)*")</f>
        <v>0</v>
      </c>
      <c r="I632">
        <f>COUNTIF('Metrics - Articles'!F631,"*GCO – Regions*")</f>
        <v>0</v>
      </c>
      <c r="J632">
        <f>COUNTIF('Metrics - Articles'!F631,"*GCO – Platform Solutions*")</f>
        <v>0</v>
      </c>
      <c r="K632">
        <f>COUNTIF('Metrics - Articles'!F631,"*GCO – Industry Cloud *")</f>
        <v>0</v>
      </c>
      <c r="L632">
        <f>COUNTIF('Metrics - Articles'!F631,"*GCO – Customer Engagement &amp; Commerce (CRM &amp; hybris) *")</f>
        <v>0</v>
      </c>
      <c r="M632">
        <f>COUNTIF('Metrics - Articles'!F631,"*GCO – HR (SuccessFactors)*")</f>
        <v>0</v>
      </c>
      <c r="N632">
        <f>COUNTIF('Metrics - Articles'!F631,"*GCO – Services Sales*")</f>
        <v>0</v>
      </c>
      <c r="O632">
        <f>COUNTIF('Metrics - Articles'!F631,"*GCO – Other*")</f>
        <v>0</v>
      </c>
      <c r="P632">
        <f>COUNTIF('Metrics - Articles'!F631,"*Corporate*")</f>
        <v>0</v>
      </c>
      <c r="R632" s="53">
        <f t="shared" si="11"/>
        <v>0</v>
      </c>
    </row>
    <row r="633" spans="2:18" x14ac:dyDescent="0.25">
      <c r="B633" s="48">
        <f>+'Metrics - Articles'!C632</f>
        <v>0</v>
      </c>
      <c r="C633">
        <f>COUNTIF('Metrics - Articles'!F632,"*GPO (Partner, Ecosystem, Channels)*")</f>
        <v>0</v>
      </c>
      <c r="D633">
        <f>COUNTIF('Metrics - Articles'!F632,"*Office of the CEO*")</f>
        <v>0</v>
      </c>
      <c r="E633">
        <f>COUNTIF('Metrics - Articles'!F632,"*Services Delivery &amp; Support (go-lives and deployments) *")</f>
        <v>0</v>
      </c>
      <c r="F633">
        <f>COUNTIF('Metrics - Articles'!F632,"*Human Resources (SAP HR and employee stories)*")</f>
        <v>0</v>
      </c>
      <c r="G633">
        <f>COUNTIF('Metrics - Articles'!F632,"*P&amp;I (Research &amp; Development)*")</f>
        <v>0</v>
      </c>
      <c r="H633">
        <f>COUNTIF('Metrics - Articles'!F632,"*Business Network (Concur, Ariba, Fieldglass)*")</f>
        <v>0</v>
      </c>
      <c r="I633">
        <f>COUNTIF('Metrics - Articles'!F632,"*GCO – Regions*")</f>
        <v>0</v>
      </c>
      <c r="J633">
        <f>COUNTIF('Metrics - Articles'!F632,"*GCO – Platform Solutions*")</f>
        <v>0</v>
      </c>
      <c r="K633">
        <f>COUNTIF('Metrics - Articles'!F632,"*GCO – Industry Cloud *")</f>
        <v>0</v>
      </c>
      <c r="L633">
        <f>COUNTIF('Metrics - Articles'!F632,"*GCO – Customer Engagement &amp; Commerce (CRM &amp; hybris) *")</f>
        <v>0</v>
      </c>
      <c r="M633">
        <f>COUNTIF('Metrics - Articles'!F632,"*GCO – HR (SuccessFactors)*")</f>
        <v>0</v>
      </c>
      <c r="N633">
        <f>COUNTIF('Metrics - Articles'!F632,"*GCO – Services Sales*")</f>
        <v>0</v>
      </c>
      <c r="O633">
        <f>COUNTIF('Metrics - Articles'!F632,"*GCO – Other*")</f>
        <v>0</v>
      </c>
      <c r="P633">
        <f>COUNTIF('Metrics - Articles'!F632,"*Corporate*")</f>
        <v>0</v>
      </c>
      <c r="R633" s="53">
        <f t="shared" si="11"/>
        <v>0</v>
      </c>
    </row>
    <row r="634" spans="2:18" x14ac:dyDescent="0.25">
      <c r="B634" s="48">
        <f>+'Metrics - Articles'!C633</f>
        <v>0</v>
      </c>
      <c r="C634">
        <f>COUNTIF('Metrics - Articles'!F633,"*GPO (Partner, Ecosystem, Channels)*")</f>
        <v>0</v>
      </c>
      <c r="D634">
        <f>COUNTIF('Metrics - Articles'!F633,"*Office of the CEO*")</f>
        <v>0</v>
      </c>
      <c r="E634">
        <f>COUNTIF('Metrics - Articles'!F633,"*Services Delivery &amp; Support (go-lives and deployments) *")</f>
        <v>0</v>
      </c>
      <c r="F634">
        <f>COUNTIF('Metrics - Articles'!F633,"*Human Resources (SAP HR and employee stories)*")</f>
        <v>0</v>
      </c>
      <c r="G634">
        <f>COUNTIF('Metrics - Articles'!F633,"*P&amp;I (Research &amp; Development)*")</f>
        <v>0</v>
      </c>
      <c r="H634">
        <f>COUNTIF('Metrics - Articles'!F633,"*Business Network (Concur, Ariba, Fieldglass)*")</f>
        <v>0</v>
      </c>
      <c r="I634">
        <f>COUNTIF('Metrics - Articles'!F633,"*GCO – Regions*")</f>
        <v>0</v>
      </c>
      <c r="J634">
        <f>COUNTIF('Metrics - Articles'!F633,"*GCO – Platform Solutions*")</f>
        <v>0</v>
      </c>
      <c r="K634">
        <f>COUNTIF('Metrics - Articles'!F633,"*GCO – Industry Cloud *")</f>
        <v>0</v>
      </c>
      <c r="L634">
        <f>COUNTIF('Metrics - Articles'!F633,"*GCO – Customer Engagement &amp; Commerce (CRM &amp; hybris) *")</f>
        <v>0</v>
      </c>
      <c r="M634">
        <f>COUNTIF('Metrics - Articles'!F633,"*GCO – HR (SuccessFactors)*")</f>
        <v>0</v>
      </c>
      <c r="N634">
        <f>COUNTIF('Metrics - Articles'!F633,"*GCO – Services Sales*")</f>
        <v>0</v>
      </c>
      <c r="O634">
        <f>COUNTIF('Metrics - Articles'!F633,"*GCO – Other*")</f>
        <v>0</v>
      </c>
      <c r="P634">
        <f>COUNTIF('Metrics - Articles'!F633,"*Corporate*")</f>
        <v>0</v>
      </c>
      <c r="R634" s="53">
        <f t="shared" si="11"/>
        <v>0</v>
      </c>
    </row>
    <row r="635" spans="2:18" x14ac:dyDescent="0.25">
      <c r="B635" s="48">
        <f>+'Metrics - Articles'!C634</f>
        <v>0</v>
      </c>
      <c r="C635">
        <f>COUNTIF('Metrics - Articles'!F634,"*GPO (Partner, Ecosystem, Channels)*")</f>
        <v>0</v>
      </c>
      <c r="D635">
        <f>COUNTIF('Metrics - Articles'!F634,"*Office of the CEO*")</f>
        <v>0</v>
      </c>
      <c r="E635">
        <f>COUNTIF('Metrics - Articles'!F634,"*Services Delivery &amp; Support (go-lives and deployments) *")</f>
        <v>0</v>
      </c>
      <c r="F635">
        <f>COUNTIF('Metrics - Articles'!F634,"*Human Resources (SAP HR and employee stories)*")</f>
        <v>0</v>
      </c>
      <c r="G635">
        <f>COUNTIF('Metrics - Articles'!F634,"*P&amp;I (Research &amp; Development)*")</f>
        <v>0</v>
      </c>
      <c r="H635">
        <f>COUNTIF('Metrics - Articles'!F634,"*Business Network (Concur, Ariba, Fieldglass)*")</f>
        <v>0</v>
      </c>
      <c r="I635">
        <f>COUNTIF('Metrics - Articles'!F634,"*GCO – Regions*")</f>
        <v>0</v>
      </c>
      <c r="J635">
        <f>COUNTIF('Metrics - Articles'!F634,"*GCO – Platform Solutions*")</f>
        <v>0</v>
      </c>
      <c r="K635">
        <f>COUNTIF('Metrics - Articles'!F634,"*GCO – Industry Cloud *")</f>
        <v>0</v>
      </c>
      <c r="L635">
        <f>COUNTIF('Metrics - Articles'!F634,"*GCO – Customer Engagement &amp; Commerce (CRM &amp; hybris) *")</f>
        <v>0</v>
      </c>
      <c r="M635">
        <f>COUNTIF('Metrics - Articles'!F634,"*GCO – HR (SuccessFactors)*")</f>
        <v>0</v>
      </c>
      <c r="N635">
        <f>COUNTIF('Metrics - Articles'!F634,"*GCO – Services Sales*")</f>
        <v>0</v>
      </c>
      <c r="O635">
        <f>COUNTIF('Metrics - Articles'!F634,"*GCO – Other*")</f>
        <v>0</v>
      </c>
      <c r="P635">
        <f>COUNTIF('Metrics - Articles'!F634,"*Corporate*")</f>
        <v>0</v>
      </c>
      <c r="R635" s="53">
        <f t="shared" si="11"/>
        <v>0</v>
      </c>
    </row>
    <row r="636" spans="2:18" x14ac:dyDescent="0.25">
      <c r="B636" s="48">
        <f>+'Metrics - Articles'!C635</f>
        <v>0</v>
      </c>
      <c r="C636">
        <f>COUNTIF('Metrics - Articles'!F635,"*GPO (Partner, Ecosystem, Channels)*")</f>
        <v>0</v>
      </c>
      <c r="D636">
        <f>COUNTIF('Metrics - Articles'!F635,"*Office of the CEO*")</f>
        <v>0</v>
      </c>
      <c r="E636">
        <f>COUNTIF('Metrics - Articles'!F635,"*Services Delivery &amp; Support (go-lives and deployments) *")</f>
        <v>0</v>
      </c>
      <c r="F636">
        <f>COUNTIF('Metrics - Articles'!F635,"*Human Resources (SAP HR and employee stories)*")</f>
        <v>0</v>
      </c>
      <c r="G636">
        <f>COUNTIF('Metrics - Articles'!F635,"*P&amp;I (Research &amp; Development)*")</f>
        <v>0</v>
      </c>
      <c r="H636">
        <f>COUNTIF('Metrics - Articles'!F635,"*Business Network (Concur, Ariba, Fieldglass)*")</f>
        <v>0</v>
      </c>
      <c r="I636">
        <f>COUNTIF('Metrics - Articles'!F635,"*GCO – Regions*")</f>
        <v>0</v>
      </c>
      <c r="J636">
        <f>COUNTIF('Metrics - Articles'!F635,"*GCO – Platform Solutions*")</f>
        <v>0</v>
      </c>
      <c r="K636">
        <f>COUNTIF('Metrics - Articles'!F635,"*GCO – Industry Cloud *")</f>
        <v>0</v>
      </c>
      <c r="L636">
        <f>COUNTIF('Metrics - Articles'!F635,"*GCO – Customer Engagement &amp; Commerce (CRM &amp; hybris) *")</f>
        <v>0</v>
      </c>
      <c r="M636">
        <f>COUNTIF('Metrics - Articles'!F635,"*GCO – HR (SuccessFactors)*")</f>
        <v>0</v>
      </c>
      <c r="N636">
        <f>COUNTIF('Metrics - Articles'!F635,"*GCO – Services Sales*")</f>
        <v>0</v>
      </c>
      <c r="O636">
        <f>COUNTIF('Metrics - Articles'!F635,"*GCO – Other*")</f>
        <v>0</v>
      </c>
      <c r="P636">
        <f>COUNTIF('Metrics - Articles'!F635,"*Corporate*")</f>
        <v>0</v>
      </c>
      <c r="R636" s="53">
        <f t="shared" si="11"/>
        <v>0</v>
      </c>
    </row>
    <row r="637" spans="2:18" x14ac:dyDescent="0.25">
      <c r="B637" s="48">
        <f>+'Metrics - Articles'!C636</f>
        <v>0</v>
      </c>
      <c r="C637">
        <f>COUNTIF('Metrics - Articles'!F636,"*GPO (Partner, Ecosystem, Channels)*")</f>
        <v>0</v>
      </c>
      <c r="D637">
        <f>COUNTIF('Metrics - Articles'!F636,"*Office of the CEO*")</f>
        <v>0</v>
      </c>
      <c r="E637">
        <f>COUNTIF('Metrics - Articles'!F636,"*Services Delivery &amp; Support (go-lives and deployments) *")</f>
        <v>0</v>
      </c>
      <c r="F637">
        <f>COUNTIF('Metrics - Articles'!F636,"*Human Resources (SAP HR and employee stories)*")</f>
        <v>0</v>
      </c>
      <c r="G637">
        <f>COUNTIF('Metrics - Articles'!F636,"*P&amp;I (Research &amp; Development)*")</f>
        <v>0</v>
      </c>
      <c r="H637">
        <f>COUNTIF('Metrics - Articles'!F636,"*Business Network (Concur, Ariba, Fieldglass)*")</f>
        <v>0</v>
      </c>
      <c r="I637">
        <f>COUNTIF('Metrics - Articles'!F636,"*GCO – Regions*")</f>
        <v>0</v>
      </c>
      <c r="J637">
        <f>COUNTIF('Metrics - Articles'!F636,"*GCO – Platform Solutions*")</f>
        <v>0</v>
      </c>
      <c r="K637">
        <f>COUNTIF('Metrics - Articles'!F636,"*GCO – Industry Cloud *")</f>
        <v>0</v>
      </c>
      <c r="L637">
        <f>COUNTIF('Metrics - Articles'!F636,"*GCO – Customer Engagement &amp; Commerce (CRM &amp; hybris) *")</f>
        <v>0</v>
      </c>
      <c r="M637">
        <f>COUNTIF('Metrics - Articles'!F636,"*GCO – HR (SuccessFactors)*")</f>
        <v>0</v>
      </c>
      <c r="N637">
        <f>COUNTIF('Metrics - Articles'!F636,"*GCO – Services Sales*")</f>
        <v>0</v>
      </c>
      <c r="O637">
        <f>COUNTIF('Metrics - Articles'!F636,"*GCO – Other*")</f>
        <v>0</v>
      </c>
      <c r="P637">
        <f>COUNTIF('Metrics - Articles'!F636,"*Corporate*")</f>
        <v>0</v>
      </c>
      <c r="R637" s="53">
        <f t="shared" si="11"/>
        <v>0</v>
      </c>
    </row>
    <row r="638" spans="2:18" x14ac:dyDescent="0.25">
      <c r="B638" s="48">
        <f>+'Metrics - Articles'!C637</f>
        <v>0</v>
      </c>
      <c r="C638">
        <f>COUNTIF('Metrics - Articles'!F637,"*GPO (Partner, Ecosystem, Channels)*")</f>
        <v>0</v>
      </c>
      <c r="D638">
        <f>COUNTIF('Metrics - Articles'!F637,"*Office of the CEO*")</f>
        <v>0</v>
      </c>
      <c r="E638">
        <f>COUNTIF('Metrics - Articles'!F637,"*Services Delivery &amp; Support (go-lives and deployments) *")</f>
        <v>0</v>
      </c>
      <c r="F638">
        <f>COUNTIF('Metrics - Articles'!F637,"*Human Resources (SAP HR and employee stories)*")</f>
        <v>0</v>
      </c>
      <c r="G638">
        <f>COUNTIF('Metrics - Articles'!F637,"*P&amp;I (Research &amp; Development)*")</f>
        <v>0</v>
      </c>
      <c r="H638">
        <f>COUNTIF('Metrics - Articles'!F637,"*Business Network (Concur, Ariba, Fieldglass)*")</f>
        <v>0</v>
      </c>
      <c r="I638">
        <f>COUNTIF('Metrics - Articles'!F637,"*GCO – Regions*")</f>
        <v>0</v>
      </c>
      <c r="J638">
        <f>COUNTIF('Metrics - Articles'!F637,"*GCO – Platform Solutions*")</f>
        <v>0</v>
      </c>
      <c r="K638">
        <f>COUNTIF('Metrics - Articles'!F637,"*GCO – Industry Cloud *")</f>
        <v>0</v>
      </c>
      <c r="L638">
        <f>COUNTIF('Metrics - Articles'!F637,"*GCO – Customer Engagement &amp; Commerce (CRM &amp; hybris) *")</f>
        <v>0</v>
      </c>
      <c r="M638">
        <f>COUNTIF('Metrics - Articles'!F637,"*GCO – HR (SuccessFactors)*")</f>
        <v>0</v>
      </c>
      <c r="N638">
        <f>COUNTIF('Metrics - Articles'!F637,"*GCO – Services Sales*")</f>
        <v>0</v>
      </c>
      <c r="O638">
        <f>COUNTIF('Metrics - Articles'!F637,"*GCO – Other*")</f>
        <v>0</v>
      </c>
      <c r="P638">
        <f>COUNTIF('Metrics - Articles'!F637,"*Corporate*")</f>
        <v>0</v>
      </c>
      <c r="R638" s="53">
        <f t="shared" si="11"/>
        <v>0</v>
      </c>
    </row>
    <row r="639" spans="2:18" x14ac:dyDescent="0.25">
      <c r="B639" s="48">
        <f>+'Metrics - Articles'!C638</f>
        <v>0</v>
      </c>
      <c r="C639">
        <f>COUNTIF('Metrics - Articles'!F638,"*GPO (Partner, Ecosystem, Channels)*")</f>
        <v>0</v>
      </c>
      <c r="D639">
        <f>COUNTIF('Metrics - Articles'!F638,"*Office of the CEO*")</f>
        <v>0</v>
      </c>
      <c r="E639">
        <f>COUNTIF('Metrics - Articles'!F638,"*Services Delivery &amp; Support (go-lives and deployments) *")</f>
        <v>0</v>
      </c>
      <c r="F639">
        <f>COUNTIF('Metrics - Articles'!F638,"*Human Resources (SAP HR and employee stories)*")</f>
        <v>0</v>
      </c>
      <c r="G639">
        <f>COUNTIF('Metrics - Articles'!F638,"*P&amp;I (Research &amp; Development)*")</f>
        <v>0</v>
      </c>
      <c r="H639">
        <f>COUNTIF('Metrics - Articles'!F638,"*Business Network (Concur, Ariba, Fieldglass)*")</f>
        <v>0</v>
      </c>
      <c r="I639">
        <f>COUNTIF('Metrics - Articles'!F638,"*GCO – Regions*")</f>
        <v>0</v>
      </c>
      <c r="J639">
        <f>COUNTIF('Metrics - Articles'!F638,"*GCO – Platform Solutions*")</f>
        <v>0</v>
      </c>
      <c r="K639">
        <f>COUNTIF('Metrics - Articles'!F638,"*GCO – Industry Cloud *")</f>
        <v>0</v>
      </c>
      <c r="L639">
        <f>COUNTIF('Metrics - Articles'!F638,"*GCO – Customer Engagement &amp; Commerce (CRM &amp; hybris) *")</f>
        <v>0</v>
      </c>
      <c r="M639">
        <f>COUNTIF('Metrics - Articles'!F638,"*GCO – HR (SuccessFactors)*")</f>
        <v>0</v>
      </c>
      <c r="N639">
        <f>COUNTIF('Metrics - Articles'!F638,"*GCO – Services Sales*")</f>
        <v>0</v>
      </c>
      <c r="O639">
        <f>COUNTIF('Metrics - Articles'!F638,"*GCO – Other*")</f>
        <v>0</v>
      </c>
      <c r="P639">
        <f>COUNTIF('Metrics - Articles'!F638,"*Corporate*")</f>
        <v>0</v>
      </c>
      <c r="R639" s="53">
        <f t="shared" si="11"/>
        <v>0</v>
      </c>
    </row>
    <row r="640" spans="2:18" x14ac:dyDescent="0.25">
      <c r="B640" s="48">
        <f>+'Metrics - Articles'!C639</f>
        <v>0</v>
      </c>
      <c r="C640">
        <f>COUNTIF('Metrics - Articles'!F639,"*GPO (Partner, Ecosystem, Channels)*")</f>
        <v>0</v>
      </c>
      <c r="D640">
        <f>COUNTIF('Metrics - Articles'!F639,"*Office of the CEO*")</f>
        <v>0</v>
      </c>
      <c r="E640">
        <f>COUNTIF('Metrics - Articles'!F639,"*Services Delivery &amp; Support (go-lives and deployments) *")</f>
        <v>0</v>
      </c>
      <c r="F640">
        <f>COUNTIF('Metrics - Articles'!F639,"*Human Resources (SAP HR and employee stories)*")</f>
        <v>0</v>
      </c>
      <c r="G640">
        <f>COUNTIF('Metrics - Articles'!F639,"*P&amp;I (Research &amp; Development)*")</f>
        <v>0</v>
      </c>
      <c r="H640">
        <f>COUNTIF('Metrics - Articles'!F639,"*Business Network (Concur, Ariba, Fieldglass)*")</f>
        <v>0</v>
      </c>
      <c r="I640">
        <f>COUNTIF('Metrics - Articles'!F639,"*GCO – Regions*")</f>
        <v>0</v>
      </c>
      <c r="J640">
        <f>COUNTIF('Metrics - Articles'!F639,"*GCO – Platform Solutions*")</f>
        <v>0</v>
      </c>
      <c r="K640">
        <f>COUNTIF('Metrics - Articles'!F639,"*GCO – Industry Cloud *")</f>
        <v>0</v>
      </c>
      <c r="L640">
        <f>COUNTIF('Metrics - Articles'!F639,"*GCO – Customer Engagement &amp; Commerce (CRM &amp; hybris) *")</f>
        <v>0</v>
      </c>
      <c r="M640">
        <f>COUNTIF('Metrics - Articles'!F639,"*GCO – HR (SuccessFactors)*")</f>
        <v>0</v>
      </c>
      <c r="N640">
        <f>COUNTIF('Metrics - Articles'!F639,"*GCO – Services Sales*")</f>
        <v>0</v>
      </c>
      <c r="O640">
        <f>COUNTIF('Metrics - Articles'!F639,"*GCO – Other*")</f>
        <v>0</v>
      </c>
      <c r="P640">
        <f>COUNTIF('Metrics - Articles'!F639,"*Corporate*")</f>
        <v>0</v>
      </c>
      <c r="R640" s="53">
        <f t="shared" si="11"/>
        <v>0</v>
      </c>
    </row>
    <row r="641" spans="2:18" x14ac:dyDescent="0.25">
      <c r="B641" s="48">
        <f>+'Metrics - Articles'!C640</f>
        <v>0</v>
      </c>
      <c r="C641">
        <f>COUNTIF('Metrics - Articles'!F640,"*GPO (Partner, Ecosystem, Channels)*")</f>
        <v>0</v>
      </c>
      <c r="D641">
        <f>COUNTIF('Metrics - Articles'!F640,"*Office of the CEO*")</f>
        <v>0</v>
      </c>
      <c r="E641">
        <f>COUNTIF('Metrics - Articles'!F640,"*Services Delivery &amp; Support (go-lives and deployments) *")</f>
        <v>0</v>
      </c>
      <c r="F641">
        <f>COUNTIF('Metrics - Articles'!F640,"*Human Resources (SAP HR and employee stories)*")</f>
        <v>0</v>
      </c>
      <c r="G641">
        <f>COUNTIF('Metrics - Articles'!F640,"*P&amp;I (Research &amp; Development)*")</f>
        <v>0</v>
      </c>
      <c r="H641">
        <f>COUNTIF('Metrics - Articles'!F640,"*Business Network (Concur, Ariba, Fieldglass)*")</f>
        <v>0</v>
      </c>
      <c r="I641">
        <f>COUNTIF('Metrics - Articles'!F640,"*GCO – Regions*")</f>
        <v>0</v>
      </c>
      <c r="J641">
        <f>COUNTIF('Metrics - Articles'!F640,"*GCO – Platform Solutions*")</f>
        <v>0</v>
      </c>
      <c r="K641">
        <f>COUNTIF('Metrics - Articles'!F640,"*GCO – Industry Cloud *")</f>
        <v>0</v>
      </c>
      <c r="L641">
        <f>COUNTIF('Metrics - Articles'!F640,"*GCO – Customer Engagement &amp; Commerce (CRM &amp; hybris) *")</f>
        <v>0</v>
      </c>
      <c r="M641">
        <f>COUNTIF('Metrics - Articles'!F640,"*GCO – HR (SuccessFactors)*")</f>
        <v>0</v>
      </c>
      <c r="N641">
        <f>COUNTIF('Metrics - Articles'!F640,"*GCO – Services Sales*")</f>
        <v>0</v>
      </c>
      <c r="O641">
        <f>COUNTIF('Metrics - Articles'!F640,"*GCO – Other*")</f>
        <v>0</v>
      </c>
      <c r="P641">
        <f>COUNTIF('Metrics - Articles'!F640,"*Corporate*")</f>
        <v>0</v>
      </c>
      <c r="R641" s="53">
        <f t="shared" si="11"/>
        <v>0</v>
      </c>
    </row>
    <row r="642" spans="2:18" x14ac:dyDescent="0.25">
      <c r="B642" s="48">
        <f>+'Metrics - Articles'!C641</f>
        <v>0</v>
      </c>
      <c r="C642">
        <f>COUNTIF('Metrics - Articles'!F641,"*GPO (Partner, Ecosystem, Channels)*")</f>
        <v>0</v>
      </c>
      <c r="D642">
        <f>COUNTIF('Metrics - Articles'!F641,"*Office of the CEO*")</f>
        <v>0</v>
      </c>
      <c r="E642">
        <f>COUNTIF('Metrics - Articles'!F641,"*Services Delivery &amp; Support (go-lives and deployments) *")</f>
        <v>0</v>
      </c>
      <c r="F642">
        <f>COUNTIF('Metrics - Articles'!F641,"*Human Resources (SAP HR and employee stories)*")</f>
        <v>0</v>
      </c>
      <c r="G642">
        <f>COUNTIF('Metrics - Articles'!F641,"*P&amp;I (Research &amp; Development)*")</f>
        <v>0</v>
      </c>
      <c r="H642">
        <f>COUNTIF('Metrics - Articles'!F641,"*Business Network (Concur, Ariba, Fieldglass)*")</f>
        <v>0</v>
      </c>
      <c r="I642">
        <f>COUNTIF('Metrics - Articles'!F641,"*GCO – Regions*")</f>
        <v>0</v>
      </c>
      <c r="J642">
        <f>COUNTIF('Metrics - Articles'!F641,"*GCO – Platform Solutions*")</f>
        <v>0</v>
      </c>
      <c r="K642">
        <f>COUNTIF('Metrics - Articles'!F641,"*GCO – Industry Cloud *")</f>
        <v>0</v>
      </c>
      <c r="L642">
        <f>COUNTIF('Metrics - Articles'!F641,"*GCO – Customer Engagement &amp; Commerce (CRM &amp; hybris) *")</f>
        <v>0</v>
      </c>
      <c r="M642">
        <f>COUNTIF('Metrics - Articles'!F641,"*GCO – HR (SuccessFactors)*")</f>
        <v>0</v>
      </c>
      <c r="N642">
        <f>COUNTIF('Metrics - Articles'!F641,"*GCO – Services Sales*")</f>
        <v>0</v>
      </c>
      <c r="O642">
        <f>COUNTIF('Metrics - Articles'!F641,"*GCO – Other*")</f>
        <v>0</v>
      </c>
      <c r="P642">
        <f>COUNTIF('Metrics - Articles'!F641,"*Corporate*")</f>
        <v>0</v>
      </c>
      <c r="R642" s="53">
        <f t="shared" si="11"/>
        <v>0</v>
      </c>
    </row>
    <row r="643" spans="2:18" x14ac:dyDescent="0.25">
      <c r="B643" s="48">
        <f>+'Metrics - Articles'!C642</f>
        <v>0</v>
      </c>
      <c r="C643">
        <f>COUNTIF('Metrics - Articles'!F642,"*GPO (Partner, Ecosystem, Channels)*")</f>
        <v>0</v>
      </c>
      <c r="D643">
        <f>COUNTIF('Metrics - Articles'!F642,"*Office of the CEO*")</f>
        <v>0</v>
      </c>
      <c r="E643">
        <f>COUNTIF('Metrics - Articles'!F642,"*Services Delivery &amp; Support (go-lives and deployments) *")</f>
        <v>0</v>
      </c>
      <c r="F643">
        <f>COUNTIF('Metrics - Articles'!F642,"*Human Resources (SAP HR and employee stories)*")</f>
        <v>0</v>
      </c>
      <c r="G643">
        <f>COUNTIF('Metrics - Articles'!F642,"*P&amp;I (Research &amp; Development)*")</f>
        <v>0</v>
      </c>
      <c r="H643">
        <f>COUNTIF('Metrics - Articles'!F642,"*Business Network (Concur, Ariba, Fieldglass)*")</f>
        <v>0</v>
      </c>
      <c r="I643">
        <f>COUNTIF('Metrics - Articles'!F642,"*GCO – Regions*")</f>
        <v>0</v>
      </c>
      <c r="J643">
        <f>COUNTIF('Metrics - Articles'!F642,"*GCO – Platform Solutions*")</f>
        <v>0</v>
      </c>
      <c r="K643">
        <f>COUNTIF('Metrics - Articles'!F642,"*GCO – Industry Cloud *")</f>
        <v>0</v>
      </c>
      <c r="L643">
        <f>COUNTIF('Metrics - Articles'!F642,"*GCO – Customer Engagement &amp; Commerce (CRM &amp; hybris) *")</f>
        <v>0</v>
      </c>
      <c r="M643">
        <f>COUNTIF('Metrics - Articles'!F642,"*GCO – HR (SuccessFactors)*")</f>
        <v>0</v>
      </c>
      <c r="N643">
        <f>COUNTIF('Metrics - Articles'!F642,"*GCO – Services Sales*")</f>
        <v>0</v>
      </c>
      <c r="O643">
        <f>COUNTIF('Metrics - Articles'!F642,"*GCO – Other*")</f>
        <v>0</v>
      </c>
      <c r="P643">
        <f>COUNTIF('Metrics - Articles'!F642,"*Corporate*")</f>
        <v>0</v>
      </c>
      <c r="R643" s="53">
        <f t="shared" si="11"/>
        <v>0</v>
      </c>
    </row>
    <row r="644" spans="2:18" x14ac:dyDescent="0.25">
      <c r="B644" s="48">
        <f>+'Metrics - Articles'!C643</f>
        <v>0</v>
      </c>
      <c r="C644">
        <f>COUNTIF('Metrics - Articles'!F643,"*GPO (Partner, Ecosystem, Channels)*")</f>
        <v>0</v>
      </c>
      <c r="D644">
        <f>COUNTIF('Metrics - Articles'!F643,"*Office of the CEO*")</f>
        <v>0</v>
      </c>
      <c r="E644">
        <f>COUNTIF('Metrics - Articles'!F643,"*Services Delivery &amp; Support (go-lives and deployments) *")</f>
        <v>0</v>
      </c>
      <c r="F644">
        <f>COUNTIF('Metrics - Articles'!F643,"*Human Resources (SAP HR and employee stories)*")</f>
        <v>0</v>
      </c>
      <c r="G644">
        <f>COUNTIF('Metrics - Articles'!F643,"*P&amp;I (Research &amp; Development)*")</f>
        <v>0</v>
      </c>
      <c r="H644">
        <f>COUNTIF('Metrics - Articles'!F643,"*Business Network (Concur, Ariba, Fieldglass)*")</f>
        <v>0</v>
      </c>
      <c r="I644">
        <f>COUNTIF('Metrics - Articles'!F643,"*GCO – Regions*")</f>
        <v>0</v>
      </c>
      <c r="J644">
        <f>COUNTIF('Metrics - Articles'!F643,"*GCO – Platform Solutions*")</f>
        <v>0</v>
      </c>
      <c r="K644">
        <f>COUNTIF('Metrics - Articles'!F643,"*GCO – Industry Cloud *")</f>
        <v>0</v>
      </c>
      <c r="L644">
        <f>COUNTIF('Metrics - Articles'!F643,"*GCO – Customer Engagement &amp; Commerce (CRM &amp; hybris) *")</f>
        <v>0</v>
      </c>
      <c r="M644">
        <f>COUNTIF('Metrics - Articles'!F643,"*GCO – HR (SuccessFactors)*")</f>
        <v>0</v>
      </c>
      <c r="N644">
        <f>COUNTIF('Metrics - Articles'!F643,"*GCO – Services Sales*")</f>
        <v>0</v>
      </c>
      <c r="O644">
        <f>COUNTIF('Metrics - Articles'!F643,"*GCO – Other*")</f>
        <v>0</v>
      </c>
      <c r="P644">
        <f>COUNTIF('Metrics - Articles'!F643,"*Corporate*")</f>
        <v>0</v>
      </c>
      <c r="R644" s="53">
        <f t="shared" si="11"/>
        <v>0</v>
      </c>
    </row>
    <row r="645" spans="2:18" x14ac:dyDescent="0.25">
      <c r="B645" s="48">
        <f>+'Metrics - Articles'!C644</f>
        <v>0</v>
      </c>
      <c r="C645">
        <f>COUNTIF('Metrics - Articles'!F644,"*GPO (Partner, Ecosystem, Channels)*")</f>
        <v>0</v>
      </c>
      <c r="D645">
        <f>COUNTIF('Metrics - Articles'!F644,"*Office of the CEO*")</f>
        <v>0</v>
      </c>
      <c r="E645">
        <f>COUNTIF('Metrics - Articles'!F644,"*Services Delivery &amp; Support (go-lives and deployments) *")</f>
        <v>0</v>
      </c>
      <c r="F645">
        <f>COUNTIF('Metrics - Articles'!F644,"*Human Resources (SAP HR and employee stories)*")</f>
        <v>0</v>
      </c>
      <c r="G645">
        <f>COUNTIF('Metrics - Articles'!F644,"*P&amp;I (Research &amp; Development)*")</f>
        <v>0</v>
      </c>
      <c r="H645">
        <f>COUNTIF('Metrics - Articles'!F644,"*Business Network (Concur, Ariba, Fieldglass)*")</f>
        <v>0</v>
      </c>
      <c r="I645">
        <f>COUNTIF('Metrics - Articles'!F644,"*GCO – Regions*")</f>
        <v>0</v>
      </c>
      <c r="J645">
        <f>COUNTIF('Metrics - Articles'!F644,"*GCO – Platform Solutions*")</f>
        <v>0</v>
      </c>
      <c r="K645">
        <f>COUNTIF('Metrics - Articles'!F644,"*GCO – Industry Cloud *")</f>
        <v>0</v>
      </c>
      <c r="L645">
        <f>COUNTIF('Metrics - Articles'!F644,"*GCO – Customer Engagement &amp; Commerce (CRM &amp; hybris) *")</f>
        <v>0</v>
      </c>
      <c r="M645">
        <f>COUNTIF('Metrics - Articles'!F644,"*GCO – HR (SuccessFactors)*")</f>
        <v>0</v>
      </c>
      <c r="N645">
        <f>COUNTIF('Metrics - Articles'!F644,"*GCO – Services Sales*")</f>
        <v>0</v>
      </c>
      <c r="O645">
        <f>COUNTIF('Metrics - Articles'!F644,"*GCO – Other*")</f>
        <v>0</v>
      </c>
      <c r="P645">
        <f>COUNTIF('Metrics - Articles'!F644,"*Corporate*")</f>
        <v>0</v>
      </c>
      <c r="R645" s="53">
        <f t="shared" si="11"/>
        <v>0</v>
      </c>
    </row>
    <row r="646" spans="2:18" x14ac:dyDescent="0.25">
      <c r="B646" s="48">
        <f>+'Metrics - Articles'!C645</f>
        <v>0</v>
      </c>
      <c r="C646">
        <f>COUNTIF('Metrics - Articles'!F645,"*GPO (Partner, Ecosystem, Channels)*")</f>
        <v>0</v>
      </c>
      <c r="D646">
        <f>COUNTIF('Metrics - Articles'!F645,"*Office of the CEO*")</f>
        <v>0</v>
      </c>
      <c r="E646">
        <f>COUNTIF('Metrics - Articles'!F645,"*Services Delivery &amp; Support (go-lives and deployments) *")</f>
        <v>0</v>
      </c>
      <c r="F646">
        <f>COUNTIF('Metrics - Articles'!F645,"*Human Resources (SAP HR and employee stories)*")</f>
        <v>0</v>
      </c>
      <c r="G646">
        <f>COUNTIF('Metrics - Articles'!F645,"*P&amp;I (Research &amp; Development)*")</f>
        <v>0</v>
      </c>
      <c r="H646">
        <f>COUNTIF('Metrics - Articles'!F645,"*Business Network (Concur, Ariba, Fieldglass)*")</f>
        <v>0</v>
      </c>
      <c r="I646">
        <f>COUNTIF('Metrics - Articles'!F645,"*GCO – Regions*")</f>
        <v>0</v>
      </c>
      <c r="J646">
        <f>COUNTIF('Metrics - Articles'!F645,"*GCO – Platform Solutions*")</f>
        <v>0</v>
      </c>
      <c r="K646">
        <f>COUNTIF('Metrics - Articles'!F645,"*GCO – Industry Cloud *")</f>
        <v>0</v>
      </c>
      <c r="L646">
        <f>COUNTIF('Metrics - Articles'!F645,"*GCO – Customer Engagement &amp; Commerce (CRM &amp; hybris) *")</f>
        <v>0</v>
      </c>
      <c r="M646">
        <f>COUNTIF('Metrics - Articles'!F645,"*GCO – HR (SuccessFactors)*")</f>
        <v>0</v>
      </c>
      <c r="N646">
        <f>COUNTIF('Metrics - Articles'!F645,"*GCO – Services Sales*")</f>
        <v>0</v>
      </c>
      <c r="O646">
        <f>COUNTIF('Metrics - Articles'!F645,"*GCO – Other*")</f>
        <v>0</v>
      </c>
      <c r="P646">
        <f>COUNTIF('Metrics - Articles'!F645,"*Corporate*")</f>
        <v>0</v>
      </c>
      <c r="R646" s="53">
        <f t="shared" si="11"/>
        <v>0</v>
      </c>
    </row>
    <row r="647" spans="2:18" x14ac:dyDescent="0.25">
      <c r="B647" s="48">
        <f>+'Metrics - Articles'!C646</f>
        <v>0</v>
      </c>
      <c r="C647">
        <f>COUNTIF('Metrics - Articles'!F646,"*GPO (Partner, Ecosystem, Channels)*")</f>
        <v>0</v>
      </c>
      <c r="D647">
        <f>COUNTIF('Metrics - Articles'!F646,"*Office of the CEO*")</f>
        <v>0</v>
      </c>
      <c r="E647">
        <f>COUNTIF('Metrics - Articles'!F646,"*Services Delivery &amp; Support (go-lives and deployments) *")</f>
        <v>0</v>
      </c>
      <c r="F647">
        <f>COUNTIF('Metrics - Articles'!F646,"*Human Resources (SAP HR and employee stories)*")</f>
        <v>0</v>
      </c>
      <c r="G647">
        <f>COUNTIF('Metrics - Articles'!F646,"*P&amp;I (Research &amp; Development)*")</f>
        <v>0</v>
      </c>
      <c r="H647">
        <f>COUNTIF('Metrics - Articles'!F646,"*Business Network (Concur, Ariba, Fieldglass)*")</f>
        <v>0</v>
      </c>
      <c r="I647">
        <f>COUNTIF('Metrics - Articles'!F646,"*GCO – Regions*")</f>
        <v>0</v>
      </c>
      <c r="J647">
        <f>COUNTIF('Metrics - Articles'!F646,"*GCO – Platform Solutions*")</f>
        <v>0</v>
      </c>
      <c r="K647">
        <f>COUNTIF('Metrics - Articles'!F646,"*GCO – Industry Cloud *")</f>
        <v>0</v>
      </c>
      <c r="L647">
        <f>COUNTIF('Metrics - Articles'!F646,"*GCO – Customer Engagement &amp; Commerce (CRM &amp; hybris) *")</f>
        <v>0</v>
      </c>
      <c r="M647">
        <f>COUNTIF('Metrics - Articles'!F646,"*GCO – HR (SuccessFactors)*")</f>
        <v>0</v>
      </c>
      <c r="N647">
        <f>COUNTIF('Metrics - Articles'!F646,"*GCO – Services Sales*")</f>
        <v>0</v>
      </c>
      <c r="O647">
        <f>COUNTIF('Metrics - Articles'!F646,"*GCO – Other*")</f>
        <v>0</v>
      </c>
      <c r="P647">
        <f>COUNTIF('Metrics - Articles'!F646,"*Corporate*")</f>
        <v>0</v>
      </c>
      <c r="R647" s="53">
        <f t="shared" si="11"/>
        <v>0</v>
      </c>
    </row>
    <row r="648" spans="2:18" x14ac:dyDescent="0.25">
      <c r="B648" s="48">
        <f>+'Metrics - Articles'!C647</f>
        <v>0</v>
      </c>
      <c r="C648">
        <f>COUNTIF('Metrics - Articles'!F647,"*GPO (Partner, Ecosystem, Channels)*")</f>
        <v>0</v>
      </c>
      <c r="D648">
        <f>COUNTIF('Metrics - Articles'!F647,"*Office of the CEO*")</f>
        <v>0</v>
      </c>
      <c r="E648">
        <f>COUNTIF('Metrics - Articles'!F647,"*Services Delivery &amp; Support (go-lives and deployments) *")</f>
        <v>0</v>
      </c>
      <c r="F648">
        <f>COUNTIF('Metrics - Articles'!F647,"*Human Resources (SAP HR and employee stories)*")</f>
        <v>0</v>
      </c>
      <c r="G648">
        <f>COUNTIF('Metrics - Articles'!F647,"*P&amp;I (Research &amp; Development)*")</f>
        <v>0</v>
      </c>
      <c r="H648">
        <f>COUNTIF('Metrics - Articles'!F647,"*Business Network (Concur, Ariba, Fieldglass)*")</f>
        <v>0</v>
      </c>
      <c r="I648">
        <f>COUNTIF('Metrics - Articles'!F647,"*GCO – Regions*")</f>
        <v>0</v>
      </c>
      <c r="J648">
        <f>COUNTIF('Metrics - Articles'!F647,"*GCO – Platform Solutions*")</f>
        <v>0</v>
      </c>
      <c r="K648">
        <f>COUNTIF('Metrics - Articles'!F647,"*GCO – Industry Cloud *")</f>
        <v>0</v>
      </c>
      <c r="L648">
        <f>COUNTIF('Metrics - Articles'!F647,"*GCO – Customer Engagement &amp; Commerce (CRM &amp; hybris) *")</f>
        <v>0</v>
      </c>
      <c r="M648">
        <f>COUNTIF('Metrics - Articles'!F647,"*GCO – HR (SuccessFactors)*")</f>
        <v>0</v>
      </c>
      <c r="N648">
        <f>COUNTIF('Metrics - Articles'!F647,"*GCO – Services Sales*")</f>
        <v>0</v>
      </c>
      <c r="O648">
        <f>COUNTIF('Metrics - Articles'!F647,"*GCO – Other*")</f>
        <v>0</v>
      </c>
      <c r="P648">
        <f>COUNTIF('Metrics - Articles'!F647,"*Corporate*")</f>
        <v>0</v>
      </c>
      <c r="R648" s="53">
        <f t="shared" si="11"/>
        <v>0</v>
      </c>
    </row>
    <row r="649" spans="2:18" x14ac:dyDescent="0.25">
      <c r="B649" s="48">
        <f>+'Metrics - Articles'!C648</f>
        <v>0</v>
      </c>
      <c r="C649">
        <f>COUNTIF('Metrics - Articles'!F648,"*GPO (Partner, Ecosystem, Channels)*")</f>
        <v>0</v>
      </c>
      <c r="D649">
        <f>COUNTIF('Metrics - Articles'!F648,"*Office of the CEO*")</f>
        <v>0</v>
      </c>
      <c r="E649">
        <f>COUNTIF('Metrics - Articles'!F648,"*Services Delivery &amp; Support (go-lives and deployments) *")</f>
        <v>0</v>
      </c>
      <c r="F649">
        <f>COUNTIF('Metrics - Articles'!F648,"*Human Resources (SAP HR and employee stories)*")</f>
        <v>0</v>
      </c>
      <c r="G649">
        <f>COUNTIF('Metrics - Articles'!F648,"*P&amp;I (Research &amp; Development)*")</f>
        <v>0</v>
      </c>
      <c r="H649">
        <f>COUNTIF('Metrics - Articles'!F648,"*Business Network (Concur, Ariba, Fieldglass)*")</f>
        <v>0</v>
      </c>
      <c r="I649">
        <f>COUNTIF('Metrics - Articles'!F648,"*GCO – Regions*")</f>
        <v>0</v>
      </c>
      <c r="J649">
        <f>COUNTIF('Metrics - Articles'!F648,"*GCO – Platform Solutions*")</f>
        <v>0</v>
      </c>
      <c r="K649">
        <f>COUNTIF('Metrics - Articles'!F648,"*GCO – Industry Cloud *")</f>
        <v>0</v>
      </c>
      <c r="L649">
        <f>COUNTIF('Metrics - Articles'!F648,"*GCO – Customer Engagement &amp; Commerce (CRM &amp; hybris) *")</f>
        <v>0</v>
      </c>
      <c r="M649">
        <f>COUNTIF('Metrics - Articles'!F648,"*GCO – HR (SuccessFactors)*")</f>
        <v>0</v>
      </c>
      <c r="N649">
        <f>COUNTIF('Metrics - Articles'!F648,"*GCO – Services Sales*")</f>
        <v>0</v>
      </c>
      <c r="O649">
        <f>COUNTIF('Metrics - Articles'!F648,"*GCO – Other*")</f>
        <v>0</v>
      </c>
      <c r="P649">
        <f>COUNTIF('Metrics - Articles'!F648,"*Corporate*")</f>
        <v>0</v>
      </c>
      <c r="R649" s="53">
        <f t="shared" si="11"/>
        <v>0</v>
      </c>
    </row>
    <row r="650" spans="2:18" x14ac:dyDescent="0.25">
      <c r="B650" s="48">
        <f>+'Metrics - Articles'!C649</f>
        <v>0</v>
      </c>
      <c r="C650">
        <f>COUNTIF('Metrics - Articles'!F649,"*GPO (Partner, Ecosystem, Channels)*")</f>
        <v>0</v>
      </c>
      <c r="D650">
        <f>COUNTIF('Metrics - Articles'!F649,"*Office of the CEO*")</f>
        <v>0</v>
      </c>
      <c r="E650">
        <f>COUNTIF('Metrics - Articles'!F649,"*Services Delivery &amp; Support (go-lives and deployments) *")</f>
        <v>0</v>
      </c>
      <c r="F650">
        <f>COUNTIF('Metrics - Articles'!F649,"*Human Resources (SAP HR and employee stories)*")</f>
        <v>0</v>
      </c>
      <c r="G650">
        <f>COUNTIF('Metrics - Articles'!F649,"*P&amp;I (Research &amp; Development)*")</f>
        <v>0</v>
      </c>
      <c r="H650">
        <f>COUNTIF('Metrics - Articles'!F649,"*Business Network (Concur, Ariba, Fieldglass)*")</f>
        <v>0</v>
      </c>
      <c r="I650">
        <f>COUNTIF('Metrics - Articles'!F649,"*GCO – Regions*")</f>
        <v>0</v>
      </c>
      <c r="J650">
        <f>COUNTIF('Metrics - Articles'!F649,"*GCO – Platform Solutions*")</f>
        <v>0</v>
      </c>
      <c r="K650">
        <f>COUNTIF('Metrics - Articles'!F649,"*GCO – Industry Cloud *")</f>
        <v>0</v>
      </c>
      <c r="L650">
        <f>COUNTIF('Metrics - Articles'!F649,"*GCO – Customer Engagement &amp; Commerce (CRM &amp; hybris) *")</f>
        <v>0</v>
      </c>
      <c r="M650">
        <f>COUNTIF('Metrics - Articles'!F649,"*GCO – HR (SuccessFactors)*")</f>
        <v>0</v>
      </c>
      <c r="N650">
        <f>COUNTIF('Metrics - Articles'!F649,"*GCO – Services Sales*")</f>
        <v>0</v>
      </c>
      <c r="O650">
        <f>COUNTIF('Metrics - Articles'!F649,"*GCO – Other*")</f>
        <v>0</v>
      </c>
      <c r="P650">
        <f>COUNTIF('Metrics - Articles'!F649,"*Corporate*")</f>
        <v>0</v>
      </c>
      <c r="R650" s="53">
        <f t="shared" ref="R650:R713" si="12">SUM(C650:Q650)</f>
        <v>0</v>
      </c>
    </row>
    <row r="651" spans="2:18" x14ac:dyDescent="0.25">
      <c r="B651" s="48">
        <f>+'Metrics - Articles'!C650</f>
        <v>0</v>
      </c>
      <c r="C651">
        <f>COUNTIF('Metrics - Articles'!F650,"*GPO (Partner, Ecosystem, Channels)*")</f>
        <v>0</v>
      </c>
      <c r="D651">
        <f>COUNTIF('Metrics - Articles'!F650,"*Office of the CEO*")</f>
        <v>0</v>
      </c>
      <c r="E651">
        <f>COUNTIF('Metrics - Articles'!F650,"*Services Delivery &amp; Support (go-lives and deployments) *")</f>
        <v>0</v>
      </c>
      <c r="F651">
        <f>COUNTIF('Metrics - Articles'!F650,"*Human Resources (SAP HR and employee stories)*")</f>
        <v>0</v>
      </c>
      <c r="G651">
        <f>COUNTIF('Metrics - Articles'!F650,"*P&amp;I (Research &amp; Development)*")</f>
        <v>0</v>
      </c>
      <c r="H651">
        <f>COUNTIF('Metrics - Articles'!F650,"*Business Network (Concur, Ariba, Fieldglass)*")</f>
        <v>0</v>
      </c>
      <c r="I651">
        <f>COUNTIF('Metrics - Articles'!F650,"*GCO – Regions*")</f>
        <v>0</v>
      </c>
      <c r="J651">
        <f>COUNTIF('Metrics - Articles'!F650,"*GCO – Platform Solutions*")</f>
        <v>0</v>
      </c>
      <c r="K651">
        <f>COUNTIF('Metrics - Articles'!F650,"*GCO – Industry Cloud *")</f>
        <v>0</v>
      </c>
      <c r="L651">
        <f>COUNTIF('Metrics - Articles'!F650,"*GCO – Customer Engagement &amp; Commerce (CRM &amp; hybris) *")</f>
        <v>0</v>
      </c>
      <c r="M651">
        <f>COUNTIF('Metrics - Articles'!F650,"*GCO – HR (SuccessFactors)*")</f>
        <v>0</v>
      </c>
      <c r="N651">
        <f>COUNTIF('Metrics - Articles'!F650,"*GCO – Services Sales*")</f>
        <v>0</v>
      </c>
      <c r="O651">
        <f>COUNTIF('Metrics - Articles'!F650,"*GCO – Other*")</f>
        <v>0</v>
      </c>
      <c r="P651">
        <f>COUNTIF('Metrics - Articles'!F650,"*Corporate*")</f>
        <v>0</v>
      </c>
      <c r="R651" s="53">
        <f t="shared" si="12"/>
        <v>0</v>
      </c>
    </row>
    <row r="652" spans="2:18" x14ac:dyDescent="0.25">
      <c r="B652" s="48">
        <f>+'Metrics - Articles'!C651</f>
        <v>0</v>
      </c>
      <c r="C652">
        <f>COUNTIF('Metrics - Articles'!F651,"*GPO (Partner, Ecosystem, Channels)*")</f>
        <v>0</v>
      </c>
      <c r="D652">
        <f>COUNTIF('Metrics - Articles'!F651,"*Office of the CEO*")</f>
        <v>0</v>
      </c>
      <c r="E652">
        <f>COUNTIF('Metrics - Articles'!F651,"*Services Delivery &amp; Support (go-lives and deployments) *")</f>
        <v>0</v>
      </c>
      <c r="F652">
        <f>COUNTIF('Metrics - Articles'!F651,"*Human Resources (SAP HR and employee stories)*")</f>
        <v>0</v>
      </c>
      <c r="G652">
        <f>COUNTIF('Metrics - Articles'!F651,"*P&amp;I (Research &amp; Development)*")</f>
        <v>0</v>
      </c>
      <c r="H652">
        <f>COUNTIF('Metrics - Articles'!F651,"*Business Network (Concur, Ariba, Fieldglass)*")</f>
        <v>0</v>
      </c>
      <c r="I652">
        <f>COUNTIF('Metrics - Articles'!F651,"*GCO – Regions*")</f>
        <v>0</v>
      </c>
      <c r="J652">
        <f>COUNTIF('Metrics - Articles'!F651,"*GCO – Platform Solutions*")</f>
        <v>0</v>
      </c>
      <c r="K652">
        <f>COUNTIF('Metrics - Articles'!F651,"*GCO – Industry Cloud *")</f>
        <v>0</v>
      </c>
      <c r="L652">
        <f>COUNTIF('Metrics - Articles'!F651,"*GCO – Customer Engagement &amp; Commerce (CRM &amp; hybris) *")</f>
        <v>0</v>
      </c>
      <c r="M652">
        <f>COUNTIF('Metrics - Articles'!F651,"*GCO – HR (SuccessFactors)*")</f>
        <v>0</v>
      </c>
      <c r="N652">
        <f>COUNTIF('Metrics - Articles'!F651,"*GCO – Services Sales*")</f>
        <v>0</v>
      </c>
      <c r="O652">
        <f>COUNTIF('Metrics - Articles'!F651,"*GCO – Other*")</f>
        <v>0</v>
      </c>
      <c r="P652">
        <f>COUNTIF('Metrics - Articles'!F651,"*Corporate*")</f>
        <v>0</v>
      </c>
      <c r="R652" s="53">
        <f t="shared" si="12"/>
        <v>0</v>
      </c>
    </row>
    <row r="653" spans="2:18" x14ac:dyDescent="0.25">
      <c r="B653" s="48">
        <f>+'Metrics - Articles'!C652</f>
        <v>0</v>
      </c>
      <c r="C653">
        <f>COUNTIF('Metrics - Articles'!F652,"*GPO (Partner, Ecosystem, Channels)*")</f>
        <v>0</v>
      </c>
      <c r="D653">
        <f>COUNTIF('Metrics - Articles'!F652,"*Office of the CEO*")</f>
        <v>0</v>
      </c>
      <c r="E653">
        <f>COUNTIF('Metrics - Articles'!F652,"*Services Delivery &amp; Support (go-lives and deployments) *")</f>
        <v>0</v>
      </c>
      <c r="F653">
        <f>COUNTIF('Metrics - Articles'!F652,"*Human Resources (SAP HR and employee stories)*")</f>
        <v>0</v>
      </c>
      <c r="G653">
        <f>COUNTIF('Metrics - Articles'!F652,"*P&amp;I (Research &amp; Development)*")</f>
        <v>0</v>
      </c>
      <c r="H653">
        <f>COUNTIF('Metrics - Articles'!F652,"*Business Network (Concur, Ariba, Fieldglass)*")</f>
        <v>0</v>
      </c>
      <c r="I653">
        <f>COUNTIF('Metrics - Articles'!F652,"*GCO – Regions*")</f>
        <v>0</v>
      </c>
      <c r="J653">
        <f>COUNTIF('Metrics - Articles'!F652,"*GCO – Platform Solutions*")</f>
        <v>0</v>
      </c>
      <c r="K653">
        <f>COUNTIF('Metrics - Articles'!F652,"*GCO – Industry Cloud *")</f>
        <v>0</v>
      </c>
      <c r="L653">
        <f>COUNTIF('Metrics - Articles'!F652,"*GCO – Customer Engagement &amp; Commerce (CRM &amp; hybris) *")</f>
        <v>0</v>
      </c>
      <c r="M653">
        <f>COUNTIF('Metrics - Articles'!F652,"*GCO – HR (SuccessFactors)*")</f>
        <v>0</v>
      </c>
      <c r="N653">
        <f>COUNTIF('Metrics - Articles'!F652,"*GCO – Services Sales*")</f>
        <v>0</v>
      </c>
      <c r="O653">
        <f>COUNTIF('Metrics - Articles'!F652,"*GCO – Other*")</f>
        <v>0</v>
      </c>
      <c r="P653">
        <f>COUNTIF('Metrics - Articles'!F652,"*Corporate*")</f>
        <v>0</v>
      </c>
      <c r="R653" s="53">
        <f t="shared" si="12"/>
        <v>0</v>
      </c>
    </row>
    <row r="654" spans="2:18" x14ac:dyDescent="0.25">
      <c r="B654" s="48">
        <f>+'Metrics - Articles'!C653</f>
        <v>0</v>
      </c>
      <c r="C654">
        <f>COUNTIF('Metrics - Articles'!F653,"*GPO (Partner, Ecosystem, Channels)*")</f>
        <v>0</v>
      </c>
      <c r="D654">
        <f>COUNTIF('Metrics - Articles'!F653,"*Office of the CEO*")</f>
        <v>0</v>
      </c>
      <c r="E654">
        <f>COUNTIF('Metrics - Articles'!F653,"*Services Delivery &amp; Support (go-lives and deployments) *")</f>
        <v>0</v>
      </c>
      <c r="F654">
        <f>COUNTIF('Metrics - Articles'!F653,"*Human Resources (SAP HR and employee stories)*")</f>
        <v>0</v>
      </c>
      <c r="G654">
        <f>COUNTIF('Metrics - Articles'!F653,"*P&amp;I (Research &amp; Development)*")</f>
        <v>0</v>
      </c>
      <c r="H654">
        <f>COUNTIF('Metrics - Articles'!F653,"*Business Network (Concur, Ariba, Fieldglass)*")</f>
        <v>0</v>
      </c>
      <c r="I654">
        <f>COUNTIF('Metrics - Articles'!F653,"*GCO – Regions*")</f>
        <v>0</v>
      </c>
      <c r="J654">
        <f>COUNTIF('Metrics - Articles'!F653,"*GCO – Platform Solutions*")</f>
        <v>0</v>
      </c>
      <c r="K654">
        <f>COUNTIF('Metrics - Articles'!F653,"*GCO – Industry Cloud *")</f>
        <v>0</v>
      </c>
      <c r="L654">
        <f>COUNTIF('Metrics - Articles'!F653,"*GCO – Customer Engagement &amp; Commerce (CRM &amp; hybris) *")</f>
        <v>0</v>
      </c>
      <c r="M654">
        <f>COUNTIF('Metrics - Articles'!F653,"*GCO – HR (SuccessFactors)*")</f>
        <v>0</v>
      </c>
      <c r="N654">
        <f>COUNTIF('Metrics - Articles'!F653,"*GCO – Services Sales*")</f>
        <v>0</v>
      </c>
      <c r="O654">
        <f>COUNTIF('Metrics - Articles'!F653,"*GCO – Other*")</f>
        <v>0</v>
      </c>
      <c r="P654">
        <f>COUNTIF('Metrics - Articles'!F653,"*Corporate*")</f>
        <v>0</v>
      </c>
      <c r="R654" s="53">
        <f t="shared" si="12"/>
        <v>0</v>
      </c>
    </row>
    <row r="655" spans="2:18" x14ac:dyDescent="0.25">
      <c r="B655" s="48">
        <f>+'Metrics - Articles'!C654</f>
        <v>0</v>
      </c>
      <c r="C655">
        <f>COUNTIF('Metrics - Articles'!F654,"*GPO (Partner, Ecosystem, Channels)*")</f>
        <v>0</v>
      </c>
      <c r="D655">
        <f>COUNTIF('Metrics - Articles'!F654,"*Office of the CEO*")</f>
        <v>0</v>
      </c>
      <c r="E655">
        <f>COUNTIF('Metrics - Articles'!F654,"*Services Delivery &amp; Support (go-lives and deployments) *")</f>
        <v>0</v>
      </c>
      <c r="F655">
        <f>COUNTIF('Metrics - Articles'!F654,"*Human Resources (SAP HR and employee stories)*")</f>
        <v>0</v>
      </c>
      <c r="G655">
        <f>COUNTIF('Metrics - Articles'!F654,"*P&amp;I (Research &amp; Development)*")</f>
        <v>0</v>
      </c>
      <c r="H655">
        <f>COUNTIF('Metrics - Articles'!F654,"*Business Network (Concur, Ariba, Fieldglass)*")</f>
        <v>0</v>
      </c>
      <c r="I655">
        <f>COUNTIF('Metrics - Articles'!F654,"*GCO – Regions*")</f>
        <v>0</v>
      </c>
      <c r="J655">
        <f>COUNTIF('Metrics - Articles'!F654,"*GCO – Platform Solutions*")</f>
        <v>0</v>
      </c>
      <c r="K655">
        <f>COUNTIF('Metrics - Articles'!F654,"*GCO – Industry Cloud *")</f>
        <v>0</v>
      </c>
      <c r="L655">
        <f>COUNTIF('Metrics - Articles'!F654,"*GCO – Customer Engagement &amp; Commerce (CRM &amp; hybris) *")</f>
        <v>0</v>
      </c>
      <c r="M655">
        <f>COUNTIF('Metrics - Articles'!F654,"*GCO – HR (SuccessFactors)*")</f>
        <v>0</v>
      </c>
      <c r="N655">
        <f>COUNTIF('Metrics - Articles'!F654,"*GCO – Services Sales*")</f>
        <v>0</v>
      </c>
      <c r="O655">
        <f>COUNTIF('Metrics - Articles'!F654,"*GCO – Other*")</f>
        <v>0</v>
      </c>
      <c r="P655">
        <f>COUNTIF('Metrics - Articles'!F654,"*Corporate*")</f>
        <v>0</v>
      </c>
      <c r="R655" s="53">
        <f t="shared" si="12"/>
        <v>0</v>
      </c>
    </row>
    <row r="656" spans="2:18" x14ac:dyDescent="0.25">
      <c r="B656" s="48">
        <f>+'Metrics - Articles'!C655</f>
        <v>0</v>
      </c>
      <c r="C656">
        <f>COUNTIF('Metrics - Articles'!F655,"*GPO (Partner, Ecosystem, Channels)*")</f>
        <v>0</v>
      </c>
      <c r="D656">
        <f>COUNTIF('Metrics - Articles'!F655,"*Office of the CEO*")</f>
        <v>0</v>
      </c>
      <c r="E656">
        <f>COUNTIF('Metrics - Articles'!F655,"*Services Delivery &amp; Support (go-lives and deployments) *")</f>
        <v>0</v>
      </c>
      <c r="F656">
        <f>COUNTIF('Metrics - Articles'!F655,"*Human Resources (SAP HR and employee stories)*")</f>
        <v>0</v>
      </c>
      <c r="G656">
        <f>COUNTIF('Metrics - Articles'!F655,"*P&amp;I (Research &amp; Development)*")</f>
        <v>0</v>
      </c>
      <c r="H656">
        <f>COUNTIF('Metrics - Articles'!F655,"*Business Network (Concur, Ariba, Fieldglass)*")</f>
        <v>0</v>
      </c>
      <c r="I656">
        <f>COUNTIF('Metrics - Articles'!F655,"*GCO – Regions*")</f>
        <v>0</v>
      </c>
      <c r="J656">
        <f>COUNTIF('Metrics - Articles'!F655,"*GCO – Platform Solutions*")</f>
        <v>0</v>
      </c>
      <c r="K656">
        <f>COUNTIF('Metrics - Articles'!F655,"*GCO – Industry Cloud *")</f>
        <v>0</v>
      </c>
      <c r="L656">
        <f>COUNTIF('Metrics - Articles'!F655,"*GCO – Customer Engagement &amp; Commerce (CRM &amp; hybris) *")</f>
        <v>0</v>
      </c>
      <c r="M656">
        <f>COUNTIF('Metrics - Articles'!F655,"*GCO – HR (SuccessFactors)*")</f>
        <v>0</v>
      </c>
      <c r="N656">
        <f>COUNTIF('Metrics - Articles'!F655,"*GCO – Services Sales*")</f>
        <v>0</v>
      </c>
      <c r="O656">
        <f>COUNTIF('Metrics - Articles'!F655,"*GCO – Other*")</f>
        <v>0</v>
      </c>
      <c r="P656">
        <f>COUNTIF('Metrics - Articles'!F655,"*Corporate*")</f>
        <v>0</v>
      </c>
      <c r="R656" s="53">
        <f t="shared" si="12"/>
        <v>0</v>
      </c>
    </row>
    <row r="657" spans="2:18" x14ac:dyDescent="0.25">
      <c r="B657" s="48">
        <f>+'Metrics - Articles'!C656</f>
        <v>0</v>
      </c>
      <c r="C657">
        <f>COUNTIF('Metrics - Articles'!F656,"*GPO (Partner, Ecosystem, Channels)*")</f>
        <v>0</v>
      </c>
      <c r="D657">
        <f>COUNTIF('Metrics - Articles'!F656,"*Office of the CEO*")</f>
        <v>0</v>
      </c>
      <c r="E657">
        <f>COUNTIF('Metrics - Articles'!F656,"*Services Delivery &amp; Support (go-lives and deployments) *")</f>
        <v>0</v>
      </c>
      <c r="F657">
        <f>COUNTIF('Metrics - Articles'!F656,"*Human Resources (SAP HR and employee stories)*")</f>
        <v>0</v>
      </c>
      <c r="G657">
        <f>COUNTIF('Metrics - Articles'!F656,"*P&amp;I (Research &amp; Development)*")</f>
        <v>0</v>
      </c>
      <c r="H657">
        <f>COUNTIF('Metrics - Articles'!F656,"*Business Network (Concur, Ariba, Fieldglass)*")</f>
        <v>0</v>
      </c>
      <c r="I657">
        <f>COUNTIF('Metrics - Articles'!F656,"*GCO – Regions*")</f>
        <v>0</v>
      </c>
      <c r="J657">
        <f>COUNTIF('Metrics - Articles'!F656,"*GCO – Platform Solutions*")</f>
        <v>0</v>
      </c>
      <c r="K657">
        <f>COUNTIF('Metrics - Articles'!F656,"*GCO – Industry Cloud *")</f>
        <v>0</v>
      </c>
      <c r="L657">
        <f>COUNTIF('Metrics - Articles'!F656,"*GCO – Customer Engagement &amp; Commerce (CRM &amp; hybris) *")</f>
        <v>0</v>
      </c>
      <c r="M657">
        <f>COUNTIF('Metrics - Articles'!F656,"*GCO – HR (SuccessFactors)*")</f>
        <v>0</v>
      </c>
      <c r="N657">
        <f>COUNTIF('Metrics - Articles'!F656,"*GCO – Services Sales*")</f>
        <v>0</v>
      </c>
      <c r="O657">
        <f>COUNTIF('Metrics - Articles'!F656,"*GCO – Other*")</f>
        <v>0</v>
      </c>
      <c r="P657">
        <f>COUNTIF('Metrics - Articles'!F656,"*Corporate*")</f>
        <v>0</v>
      </c>
      <c r="R657" s="53">
        <f t="shared" si="12"/>
        <v>0</v>
      </c>
    </row>
    <row r="658" spans="2:18" x14ac:dyDescent="0.25">
      <c r="B658" s="48">
        <f>+'Metrics - Articles'!C657</f>
        <v>0</v>
      </c>
      <c r="C658">
        <f>COUNTIF('Metrics - Articles'!F657,"*GPO (Partner, Ecosystem, Channels)*")</f>
        <v>0</v>
      </c>
      <c r="D658">
        <f>COUNTIF('Metrics - Articles'!F657,"*Office of the CEO*")</f>
        <v>0</v>
      </c>
      <c r="E658">
        <f>COUNTIF('Metrics - Articles'!F657,"*Services Delivery &amp; Support (go-lives and deployments) *")</f>
        <v>0</v>
      </c>
      <c r="F658">
        <f>COUNTIF('Metrics - Articles'!F657,"*Human Resources (SAP HR and employee stories)*")</f>
        <v>0</v>
      </c>
      <c r="G658">
        <f>COUNTIF('Metrics - Articles'!F657,"*P&amp;I (Research &amp; Development)*")</f>
        <v>0</v>
      </c>
      <c r="H658">
        <f>COUNTIF('Metrics - Articles'!F657,"*Business Network (Concur, Ariba, Fieldglass)*")</f>
        <v>0</v>
      </c>
      <c r="I658">
        <f>COUNTIF('Metrics - Articles'!F657,"*GCO – Regions*")</f>
        <v>0</v>
      </c>
      <c r="J658">
        <f>COUNTIF('Metrics - Articles'!F657,"*GCO – Platform Solutions*")</f>
        <v>0</v>
      </c>
      <c r="K658">
        <f>COUNTIF('Metrics - Articles'!F657,"*GCO – Industry Cloud *")</f>
        <v>0</v>
      </c>
      <c r="L658">
        <f>COUNTIF('Metrics - Articles'!F657,"*GCO – Customer Engagement &amp; Commerce (CRM &amp; hybris) *")</f>
        <v>0</v>
      </c>
      <c r="M658">
        <f>COUNTIF('Metrics - Articles'!F657,"*GCO – HR (SuccessFactors)*")</f>
        <v>0</v>
      </c>
      <c r="N658">
        <f>COUNTIF('Metrics - Articles'!F657,"*GCO – Services Sales*")</f>
        <v>0</v>
      </c>
      <c r="O658">
        <f>COUNTIF('Metrics - Articles'!F657,"*GCO – Other*")</f>
        <v>0</v>
      </c>
      <c r="P658">
        <f>COUNTIF('Metrics - Articles'!F657,"*Corporate*")</f>
        <v>0</v>
      </c>
      <c r="R658" s="53">
        <f t="shared" si="12"/>
        <v>0</v>
      </c>
    </row>
    <row r="659" spans="2:18" x14ac:dyDescent="0.25">
      <c r="B659" s="48">
        <f>+'Metrics - Articles'!C658</f>
        <v>0</v>
      </c>
      <c r="C659">
        <f>COUNTIF('Metrics - Articles'!F658,"*GPO (Partner, Ecosystem, Channels)*")</f>
        <v>0</v>
      </c>
      <c r="D659">
        <f>COUNTIF('Metrics - Articles'!F658,"*Office of the CEO*")</f>
        <v>0</v>
      </c>
      <c r="E659">
        <f>COUNTIF('Metrics - Articles'!F658,"*Services Delivery &amp; Support (go-lives and deployments) *")</f>
        <v>0</v>
      </c>
      <c r="F659">
        <f>COUNTIF('Metrics - Articles'!F658,"*Human Resources (SAP HR and employee stories)*")</f>
        <v>0</v>
      </c>
      <c r="G659">
        <f>COUNTIF('Metrics - Articles'!F658,"*P&amp;I (Research &amp; Development)*")</f>
        <v>0</v>
      </c>
      <c r="H659">
        <f>COUNTIF('Metrics - Articles'!F658,"*Business Network (Concur, Ariba, Fieldglass)*")</f>
        <v>0</v>
      </c>
      <c r="I659">
        <f>COUNTIF('Metrics - Articles'!F658,"*GCO – Regions*")</f>
        <v>0</v>
      </c>
      <c r="J659">
        <f>COUNTIF('Metrics - Articles'!F658,"*GCO – Platform Solutions*")</f>
        <v>0</v>
      </c>
      <c r="K659">
        <f>COUNTIF('Metrics - Articles'!F658,"*GCO – Industry Cloud *")</f>
        <v>0</v>
      </c>
      <c r="L659">
        <f>COUNTIF('Metrics - Articles'!F658,"*GCO – Customer Engagement &amp; Commerce (CRM &amp; hybris) *")</f>
        <v>0</v>
      </c>
      <c r="M659">
        <f>COUNTIF('Metrics - Articles'!F658,"*GCO – HR (SuccessFactors)*")</f>
        <v>0</v>
      </c>
      <c r="N659">
        <f>COUNTIF('Metrics - Articles'!F658,"*GCO – Services Sales*")</f>
        <v>0</v>
      </c>
      <c r="O659">
        <f>COUNTIF('Metrics - Articles'!F658,"*GCO – Other*")</f>
        <v>0</v>
      </c>
      <c r="P659">
        <f>COUNTIF('Metrics - Articles'!F658,"*Corporate*")</f>
        <v>0</v>
      </c>
      <c r="R659" s="53">
        <f t="shared" si="12"/>
        <v>0</v>
      </c>
    </row>
    <row r="660" spans="2:18" x14ac:dyDescent="0.25">
      <c r="B660" s="48">
        <f>+'Metrics - Articles'!C659</f>
        <v>0</v>
      </c>
      <c r="C660">
        <f>COUNTIF('Metrics - Articles'!F659,"*GPO (Partner, Ecosystem, Channels)*")</f>
        <v>0</v>
      </c>
      <c r="D660">
        <f>COUNTIF('Metrics - Articles'!F659,"*Office of the CEO*")</f>
        <v>0</v>
      </c>
      <c r="E660">
        <f>COUNTIF('Metrics - Articles'!F659,"*Services Delivery &amp; Support (go-lives and deployments) *")</f>
        <v>0</v>
      </c>
      <c r="F660">
        <f>COUNTIF('Metrics - Articles'!F659,"*Human Resources (SAP HR and employee stories)*")</f>
        <v>0</v>
      </c>
      <c r="G660">
        <f>COUNTIF('Metrics - Articles'!F659,"*P&amp;I (Research &amp; Development)*")</f>
        <v>0</v>
      </c>
      <c r="H660">
        <f>COUNTIF('Metrics - Articles'!F659,"*Business Network (Concur, Ariba, Fieldglass)*")</f>
        <v>0</v>
      </c>
      <c r="I660">
        <f>COUNTIF('Metrics - Articles'!F659,"*GCO – Regions*")</f>
        <v>0</v>
      </c>
      <c r="J660">
        <f>COUNTIF('Metrics - Articles'!F659,"*GCO – Platform Solutions*")</f>
        <v>0</v>
      </c>
      <c r="K660">
        <f>COUNTIF('Metrics - Articles'!F659,"*GCO – Industry Cloud *")</f>
        <v>0</v>
      </c>
      <c r="L660">
        <f>COUNTIF('Metrics - Articles'!F659,"*GCO – Customer Engagement &amp; Commerce (CRM &amp; hybris) *")</f>
        <v>0</v>
      </c>
      <c r="M660">
        <f>COUNTIF('Metrics - Articles'!F659,"*GCO – HR (SuccessFactors)*")</f>
        <v>0</v>
      </c>
      <c r="N660">
        <f>COUNTIF('Metrics - Articles'!F659,"*GCO – Services Sales*")</f>
        <v>0</v>
      </c>
      <c r="O660">
        <f>COUNTIF('Metrics - Articles'!F659,"*GCO – Other*")</f>
        <v>0</v>
      </c>
      <c r="P660">
        <f>COUNTIF('Metrics - Articles'!F659,"*Corporate*")</f>
        <v>0</v>
      </c>
      <c r="R660" s="53">
        <f t="shared" si="12"/>
        <v>0</v>
      </c>
    </row>
    <row r="661" spans="2:18" x14ac:dyDescent="0.25">
      <c r="B661" s="48">
        <f>+'Metrics - Articles'!C660</f>
        <v>0</v>
      </c>
      <c r="C661">
        <f>COUNTIF('Metrics - Articles'!F660,"*GPO (Partner, Ecosystem, Channels)*")</f>
        <v>0</v>
      </c>
      <c r="D661">
        <f>COUNTIF('Metrics - Articles'!F660,"*Office of the CEO*")</f>
        <v>0</v>
      </c>
      <c r="E661">
        <f>COUNTIF('Metrics - Articles'!F660,"*Services Delivery &amp; Support (go-lives and deployments) *")</f>
        <v>0</v>
      </c>
      <c r="F661">
        <f>COUNTIF('Metrics - Articles'!F660,"*Human Resources (SAP HR and employee stories)*")</f>
        <v>0</v>
      </c>
      <c r="G661">
        <f>COUNTIF('Metrics - Articles'!F660,"*P&amp;I (Research &amp; Development)*")</f>
        <v>0</v>
      </c>
      <c r="H661">
        <f>COUNTIF('Metrics - Articles'!F660,"*Business Network (Concur, Ariba, Fieldglass)*")</f>
        <v>0</v>
      </c>
      <c r="I661">
        <f>COUNTIF('Metrics - Articles'!F660,"*GCO – Regions*")</f>
        <v>0</v>
      </c>
      <c r="J661">
        <f>COUNTIF('Metrics - Articles'!F660,"*GCO – Platform Solutions*")</f>
        <v>0</v>
      </c>
      <c r="K661">
        <f>COUNTIF('Metrics - Articles'!F660,"*GCO – Industry Cloud *")</f>
        <v>0</v>
      </c>
      <c r="L661">
        <f>COUNTIF('Metrics - Articles'!F660,"*GCO – Customer Engagement &amp; Commerce (CRM &amp; hybris) *")</f>
        <v>0</v>
      </c>
      <c r="M661">
        <f>COUNTIF('Metrics - Articles'!F660,"*GCO – HR (SuccessFactors)*")</f>
        <v>0</v>
      </c>
      <c r="N661">
        <f>COUNTIF('Metrics - Articles'!F660,"*GCO – Services Sales*")</f>
        <v>0</v>
      </c>
      <c r="O661">
        <f>COUNTIF('Metrics - Articles'!F660,"*GCO – Other*")</f>
        <v>0</v>
      </c>
      <c r="P661">
        <f>COUNTIF('Metrics - Articles'!F660,"*Corporate*")</f>
        <v>0</v>
      </c>
      <c r="R661" s="53">
        <f t="shared" si="12"/>
        <v>0</v>
      </c>
    </row>
    <row r="662" spans="2:18" x14ac:dyDescent="0.25">
      <c r="B662" s="48">
        <f>+'Metrics - Articles'!C661</f>
        <v>0</v>
      </c>
      <c r="C662">
        <f>COUNTIF('Metrics - Articles'!F661,"*GPO (Partner, Ecosystem, Channels)*")</f>
        <v>0</v>
      </c>
      <c r="D662">
        <f>COUNTIF('Metrics - Articles'!F661,"*Office of the CEO*")</f>
        <v>0</v>
      </c>
      <c r="E662">
        <f>COUNTIF('Metrics - Articles'!F661,"*Services Delivery &amp; Support (go-lives and deployments) *")</f>
        <v>0</v>
      </c>
      <c r="F662">
        <f>COUNTIF('Metrics - Articles'!F661,"*Human Resources (SAP HR and employee stories)*")</f>
        <v>0</v>
      </c>
      <c r="G662">
        <f>COUNTIF('Metrics - Articles'!F661,"*P&amp;I (Research &amp; Development)*")</f>
        <v>0</v>
      </c>
      <c r="H662">
        <f>COUNTIF('Metrics - Articles'!F661,"*Business Network (Concur, Ariba, Fieldglass)*")</f>
        <v>0</v>
      </c>
      <c r="I662">
        <f>COUNTIF('Metrics - Articles'!F661,"*GCO – Regions*")</f>
        <v>0</v>
      </c>
      <c r="J662">
        <f>COUNTIF('Metrics - Articles'!F661,"*GCO – Platform Solutions*")</f>
        <v>0</v>
      </c>
      <c r="K662">
        <f>COUNTIF('Metrics - Articles'!F661,"*GCO – Industry Cloud *")</f>
        <v>0</v>
      </c>
      <c r="L662">
        <f>COUNTIF('Metrics - Articles'!F661,"*GCO – Customer Engagement &amp; Commerce (CRM &amp; hybris) *")</f>
        <v>0</v>
      </c>
      <c r="M662">
        <f>COUNTIF('Metrics - Articles'!F661,"*GCO – HR (SuccessFactors)*")</f>
        <v>0</v>
      </c>
      <c r="N662">
        <f>COUNTIF('Metrics - Articles'!F661,"*GCO – Services Sales*")</f>
        <v>0</v>
      </c>
      <c r="O662">
        <f>COUNTIF('Metrics - Articles'!F661,"*GCO – Other*")</f>
        <v>0</v>
      </c>
      <c r="P662">
        <f>COUNTIF('Metrics - Articles'!F661,"*Corporate*")</f>
        <v>0</v>
      </c>
      <c r="R662" s="53">
        <f t="shared" si="12"/>
        <v>0</v>
      </c>
    </row>
    <row r="663" spans="2:18" x14ac:dyDescent="0.25">
      <c r="B663" s="48">
        <f>+'Metrics - Articles'!C662</f>
        <v>0</v>
      </c>
      <c r="C663">
        <f>COUNTIF('Metrics - Articles'!F662,"*GPO (Partner, Ecosystem, Channels)*")</f>
        <v>0</v>
      </c>
      <c r="D663">
        <f>COUNTIF('Metrics - Articles'!F662,"*Office of the CEO*")</f>
        <v>0</v>
      </c>
      <c r="E663">
        <f>COUNTIF('Metrics - Articles'!F662,"*Services Delivery &amp; Support (go-lives and deployments) *")</f>
        <v>0</v>
      </c>
      <c r="F663">
        <f>COUNTIF('Metrics - Articles'!F662,"*Human Resources (SAP HR and employee stories)*")</f>
        <v>0</v>
      </c>
      <c r="G663">
        <f>COUNTIF('Metrics - Articles'!F662,"*P&amp;I (Research &amp; Development)*")</f>
        <v>0</v>
      </c>
      <c r="H663">
        <f>COUNTIF('Metrics - Articles'!F662,"*Business Network (Concur, Ariba, Fieldglass)*")</f>
        <v>0</v>
      </c>
      <c r="I663">
        <f>COUNTIF('Metrics - Articles'!F662,"*GCO – Regions*")</f>
        <v>0</v>
      </c>
      <c r="J663">
        <f>COUNTIF('Metrics - Articles'!F662,"*GCO – Platform Solutions*")</f>
        <v>0</v>
      </c>
      <c r="K663">
        <f>COUNTIF('Metrics - Articles'!F662,"*GCO – Industry Cloud *")</f>
        <v>0</v>
      </c>
      <c r="L663">
        <f>COUNTIF('Metrics - Articles'!F662,"*GCO – Customer Engagement &amp; Commerce (CRM &amp; hybris) *")</f>
        <v>0</v>
      </c>
      <c r="M663">
        <f>COUNTIF('Metrics - Articles'!F662,"*GCO – HR (SuccessFactors)*")</f>
        <v>0</v>
      </c>
      <c r="N663">
        <f>COUNTIF('Metrics - Articles'!F662,"*GCO – Services Sales*")</f>
        <v>0</v>
      </c>
      <c r="O663">
        <f>COUNTIF('Metrics - Articles'!F662,"*GCO – Other*")</f>
        <v>0</v>
      </c>
      <c r="P663">
        <f>COUNTIF('Metrics - Articles'!F662,"*Corporate*")</f>
        <v>0</v>
      </c>
      <c r="R663" s="53">
        <f t="shared" si="12"/>
        <v>0</v>
      </c>
    </row>
    <row r="664" spans="2:18" x14ac:dyDescent="0.25">
      <c r="B664" s="48">
        <f>+'Metrics - Articles'!C663</f>
        <v>0</v>
      </c>
      <c r="C664">
        <f>COUNTIF('Metrics - Articles'!F663,"*GPO (Partner, Ecosystem, Channels)*")</f>
        <v>0</v>
      </c>
      <c r="D664">
        <f>COUNTIF('Metrics - Articles'!F663,"*Office of the CEO*")</f>
        <v>0</v>
      </c>
      <c r="E664">
        <f>COUNTIF('Metrics - Articles'!F663,"*Services Delivery &amp; Support (go-lives and deployments) *")</f>
        <v>0</v>
      </c>
      <c r="F664">
        <f>COUNTIF('Metrics - Articles'!F663,"*Human Resources (SAP HR and employee stories)*")</f>
        <v>0</v>
      </c>
      <c r="G664">
        <f>COUNTIF('Metrics - Articles'!F663,"*P&amp;I (Research &amp; Development)*")</f>
        <v>0</v>
      </c>
      <c r="H664">
        <f>COUNTIF('Metrics - Articles'!F663,"*Business Network (Concur, Ariba, Fieldglass)*")</f>
        <v>0</v>
      </c>
      <c r="I664">
        <f>COUNTIF('Metrics - Articles'!F663,"*GCO – Regions*")</f>
        <v>0</v>
      </c>
      <c r="J664">
        <f>COUNTIF('Metrics - Articles'!F663,"*GCO – Platform Solutions*")</f>
        <v>0</v>
      </c>
      <c r="K664">
        <f>COUNTIF('Metrics - Articles'!F663,"*GCO – Industry Cloud *")</f>
        <v>0</v>
      </c>
      <c r="L664">
        <f>COUNTIF('Metrics - Articles'!F663,"*GCO – Customer Engagement &amp; Commerce (CRM &amp; hybris) *")</f>
        <v>0</v>
      </c>
      <c r="M664">
        <f>COUNTIF('Metrics - Articles'!F663,"*GCO – HR (SuccessFactors)*")</f>
        <v>0</v>
      </c>
      <c r="N664">
        <f>COUNTIF('Metrics - Articles'!F663,"*GCO – Services Sales*")</f>
        <v>0</v>
      </c>
      <c r="O664">
        <f>COUNTIF('Metrics - Articles'!F663,"*GCO – Other*")</f>
        <v>0</v>
      </c>
      <c r="P664">
        <f>COUNTIF('Metrics - Articles'!F663,"*Corporate*")</f>
        <v>0</v>
      </c>
      <c r="R664" s="53">
        <f t="shared" si="12"/>
        <v>0</v>
      </c>
    </row>
    <row r="665" spans="2:18" x14ac:dyDescent="0.25">
      <c r="B665" s="48">
        <f>+'Metrics - Articles'!C664</f>
        <v>0</v>
      </c>
      <c r="C665">
        <f>COUNTIF('Metrics - Articles'!F664,"*GPO (Partner, Ecosystem, Channels)*")</f>
        <v>0</v>
      </c>
      <c r="D665">
        <f>COUNTIF('Metrics - Articles'!F664,"*Office of the CEO*")</f>
        <v>0</v>
      </c>
      <c r="E665">
        <f>COUNTIF('Metrics - Articles'!F664,"*Services Delivery &amp; Support (go-lives and deployments) *")</f>
        <v>0</v>
      </c>
      <c r="F665">
        <f>COUNTIF('Metrics - Articles'!F664,"*Human Resources (SAP HR and employee stories)*")</f>
        <v>0</v>
      </c>
      <c r="G665">
        <f>COUNTIF('Metrics - Articles'!F664,"*P&amp;I (Research &amp; Development)*")</f>
        <v>0</v>
      </c>
      <c r="H665">
        <f>COUNTIF('Metrics - Articles'!F664,"*Business Network (Concur, Ariba, Fieldglass)*")</f>
        <v>0</v>
      </c>
      <c r="I665">
        <f>COUNTIF('Metrics - Articles'!F664,"*GCO – Regions*")</f>
        <v>0</v>
      </c>
      <c r="J665">
        <f>COUNTIF('Metrics - Articles'!F664,"*GCO – Platform Solutions*")</f>
        <v>0</v>
      </c>
      <c r="K665">
        <f>COUNTIF('Metrics - Articles'!F664,"*GCO – Industry Cloud *")</f>
        <v>0</v>
      </c>
      <c r="L665">
        <f>COUNTIF('Metrics - Articles'!F664,"*GCO – Customer Engagement &amp; Commerce (CRM &amp; hybris) *")</f>
        <v>0</v>
      </c>
      <c r="M665">
        <f>COUNTIF('Metrics - Articles'!F664,"*GCO – HR (SuccessFactors)*")</f>
        <v>0</v>
      </c>
      <c r="N665">
        <f>COUNTIF('Metrics - Articles'!F664,"*GCO – Services Sales*")</f>
        <v>0</v>
      </c>
      <c r="O665">
        <f>COUNTIF('Metrics - Articles'!F664,"*GCO – Other*")</f>
        <v>0</v>
      </c>
      <c r="P665">
        <f>COUNTIF('Metrics - Articles'!F664,"*Corporate*")</f>
        <v>0</v>
      </c>
      <c r="R665" s="53">
        <f t="shared" si="12"/>
        <v>0</v>
      </c>
    </row>
    <row r="666" spans="2:18" x14ac:dyDescent="0.25">
      <c r="B666" s="48">
        <f>+'Metrics - Articles'!C665</f>
        <v>0</v>
      </c>
      <c r="C666">
        <f>COUNTIF('Metrics - Articles'!F665,"*GPO (Partner, Ecosystem, Channels)*")</f>
        <v>0</v>
      </c>
      <c r="D666">
        <f>COUNTIF('Metrics - Articles'!F665,"*Office of the CEO*")</f>
        <v>0</v>
      </c>
      <c r="E666">
        <f>COUNTIF('Metrics - Articles'!F665,"*Services Delivery &amp; Support (go-lives and deployments) *")</f>
        <v>0</v>
      </c>
      <c r="F666">
        <f>COUNTIF('Metrics - Articles'!F665,"*Human Resources (SAP HR and employee stories)*")</f>
        <v>0</v>
      </c>
      <c r="G666">
        <f>COUNTIF('Metrics - Articles'!F665,"*P&amp;I (Research &amp; Development)*")</f>
        <v>0</v>
      </c>
      <c r="H666">
        <f>COUNTIF('Metrics - Articles'!F665,"*Business Network (Concur, Ariba, Fieldglass)*")</f>
        <v>0</v>
      </c>
      <c r="I666">
        <f>COUNTIF('Metrics - Articles'!F665,"*GCO – Regions*")</f>
        <v>0</v>
      </c>
      <c r="J666">
        <f>COUNTIF('Metrics - Articles'!F665,"*GCO – Platform Solutions*")</f>
        <v>0</v>
      </c>
      <c r="K666">
        <f>COUNTIF('Metrics - Articles'!F665,"*GCO – Industry Cloud *")</f>
        <v>0</v>
      </c>
      <c r="L666">
        <f>COUNTIF('Metrics - Articles'!F665,"*GCO – Customer Engagement &amp; Commerce (CRM &amp; hybris) *")</f>
        <v>0</v>
      </c>
      <c r="M666">
        <f>COUNTIF('Metrics - Articles'!F665,"*GCO – HR (SuccessFactors)*")</f>
        <v>0</v>
      </c>
      <c r="N666">
        <f>COUNTIF('Metrics - Articles'!F665,"*GCO – Services Sales*")</f>
        <v>0</v>
      </c>
      <c r="O666">
        <f>COUNTIF('Metrics - Articles'!F665,"*GCO – Other*")</f>
        <v>0</v>
      </c>
      <c r="P666">
        <f>COUNTIF('Metrics - Articles'!F665,"*Corporate*")</f>
        <v>0</v>
      </c>
      <c r="R666" s="53">
        <f t="shared" si="12"/>
        <v>0</v>
      </c>
    </row>
    <row r="667" spans="2:18" x14ac:dyDescent="0.25">
      <c r="B667" s="48">
        <f>+'Metrics - Articles'!C666</f>
        <v>0</v>
      </c>
      <c r="C667">
        <f>COUNTIF('Metrics - Articles'!F666,"*GPO (Partner, Ecosystem, Channels)*")</f>
        <v>0</v>
      </c>
      <c r="D667">
        <f>COUNTIF('Metrics - Articles'!F666,"*Office of the CEO*")</f>
        <v>0</v>
      </c>
      <c r="E667">
        <f>COUNTIF('Metrics - Articles'!F666,"*Services Delivery &amp; Support (go-lives and deployments) *")</f>
        <v>0</v>
      </c>
      <c r="F667">
        <f>COUNTIF('Metrics - Articles'!F666,"*Human Resources (SAP HR and employee stories)*")</f>
        <v>0</v>
      </c>
      <c r="G667">
        <f>COUNTIF('Metrics - Articles'!F666,"*P&amp;I (Research &amp; Development)*")</f>
        <v>0</v>
      </c>
      <c r="H667">
        <f>COUNTIF('Metrics - Articles'!F666,"*Business Network (Concur, Ariba, Fieldglass)*")</f>
        <v>0</v>
      </c>
      <c r="I667">
        <f>COUNTIF('Metrics - Articles'!F666,"*GCO – Regions*")</f>
        <v>0</v>
      </c>
      <c r="J667">
        <f>COUNTIF('Metrics - Articles'!F666,"*GCO – Platform Solutions*")</f>
        <v>0</v>
      </c>
      <c r="K667">
        <f>COUNTIF('Metrics - Articles'!F666,"*GCO – Industry Cloud *")</f>
        <v>0</v>
      </c>
      <c r="L667">
        <f>COUNTIF('Metrics - Articles'!F666,"*GCO – Customer Engagement &amp; Commerce (CRM &amp; hybris) *")</f>
        <v>0</v>
      </c>
      <c r="M667">
        <f>COUNTIF('Metrics - Articles'!F666,"*GCO – HR (SuccessFactors)*")</f>
        <v>0</v>
      </c>
      <c r="N667">
        <f>COUNTIF('Metrics - Articles'!F666,"*GCO – Services Sales*")</f>
        <v>0</v>
      </c>
      <c r="O667">
        <f>COUNTIF('Metrics - Articles'!F666,"*GCO – Other*")</f>
        <v>0</v>
      </c>
      <c r="P667">
        <f>COUNTIF('Metrics - Articles'!F666,"*Corporate*")</f>
        <v>0</v>
      </c>
      <c r="R667" s="53">
        <f t="shared" si="12"/>
        <v>0</v>
      </c>
    </row>
    <row r="668" spans="2:18" x14ac:dyDescent="0.25">
      <c r="B668" s="48">
        <f>+'Metrics - Articles'!C667</f>
        <v>0</v>
      </c>
      <c r="C668">
        <f>COUNTIF('Metrics - Articles'!F667,"*GPO (Partner, Ecosystem, Channels)*")</f>
        <v>0</v>
      </c>
      <c r="D668">
        <f>COUNTIF('Metrics - Articles'!F667,"*Office of the CEO*")</f>
        <v>0</v>
      </c>
      <c r="E668">
        <f>COUNTIF('Metrics - Articles'!F667,"*Services Delivery &amp; Support (go-lives and deployments) *")</f>
        <v>0</v>
      </c>
      <c r="F668">
        <f>COUNTIF('Metrics - Articles'!F667,"*Human Resources (SAP HR and employee stories)*")</f>
        <v>0</v>
      </c>
      <c r="G668">
        <f>COUNTIF('Metrics - Articles'!F667,"*P&amp;I (Research &amp; Development)*")</f>
        <v>0</v>
      </c>
      <c r="H668">
        <f>COUNTIF('Metrics - Articles'!F667,"*Business Network (Concur, Ariba, Fieldglass)*")</f>
        <v>0</v>
      </c>
      <c r="I668">
        <f>COUNTIF('Metrics - Articles'!F667,"*GCO – Regions*")</f>
        <v>0</v>
      </c>
      <c r="J668">
        <f>COUNTIF('Metrics - Articles'!F667,"*GCO – Platform Solutions*")</f>
        <v>0</v>
      </c>
      <c r="K668">
        <f>COUNTIF('Metrics - Articles'!F667,"*GCO – Industry Cloud *")</f>
        <v>0</v>
      </c>
      <c r="L668">
        <f>COUNTIF('Metrics - Articles'!F667,"*GCO – Customer Engagement &amp; Commerce (CRM &amp; hybris) *")</f>
        <v>0</v>
      </c>
      <c r="M668">
        <f>COUNTIF('Metrics - Articles'!F667,"*GCO – HR (SuccessFactors)*")</f>
        <v>0</v>
      </c>
      <c r="N668">
        <f>COUNTIF('Metrics - Articles'!F667,"*GCO – Services Sales*")</f>
        <v>0</v>
      </c>
      <c r="O668">
        <f>COUNTIF('Metrics - Articles'!F667,"*GCO – Other*")</f>
        <v>0</v>
      </c>
      <c r="P668">
        <f>COUNTIF('Metrics - Articles'!F667,"*Corporate*")</f>
        <v>0</v>
      </c>
      <c r="R668" s="53">
        <f t="shared" si="12"/>
        <v>0</v>
      </c>
    </row>
    <row r="669" spans="2:18" x14ac:dyDescent="0.25">
      <c r="B669" s="48">
        <f>+'Metrics - Articles'!C668</f>
        <v>0</v>
      </c>
      <c r="C669">
        <f>COUNTIF('Metrics - Articles'!F668,"*GPO (Partner, Ecosystem, Channels)*")</f>
        <v>0</v>
      </c>
      <c r="D669">
        <f>COUNTIF('Metrics - Articles'!F668,"*Office of the CEO*")</f>
        <v>0</v>
      </c>
      <c r="E669">
        <f>COUNTIF('Metrics - Articles'!F668,"*Services Delivery &amp; Support (go-lives and deployments) *")</f>
        <v>0</v>
      </c>
      <c r="F669">
        <f>COUNTIF('Metrics - Articles'!F668,"*Human Resources (SAP HR and employee stories)*")</f>
        <v>0</v>
      </c>
      <c r="G669">
        <f>COUNTIF('Metrics - Articles'!F668,"*P&amp;I (Research &amp; Development)*")</f>
        <v>0</v>
      </c>
      <c r="H669">
        <f>COUNTIF('Metrics - Articles'!F668,"*Business Network (Concur, Ariba, Fieldglass)*")</f>
        <v>0</v>
      </c>
      <c r="I669">
        <f>COUNTIF('Metrics - Articles'!F668,"*GCO – Regions*")</f>
        <v>0</v>
      </c>
      <c r="J669">
        <f>COUNTIF('Metrics - Articles'!F668,"*GCO – Platform Solutions*")</f>
        <v>0</v>
      </c>
      <c r="K669">
        <f>COUNTIF('Metrics - Articles'!F668,"*GCO – Industry Cloud *")</f>
        <v>0</v>
      </c>
      <c r="L669">
        <f>COUNTIF('Metrics - Articles'!F668,"*GCO – Customer Engagement &amp; Commerce (CRM &amp; hybris) *")</f>
        <v>0</v>
      </c>
      <c r="M669">
        <f>COUNTIF('Metrics - Articles'!F668,"*GCO – HR (SuccessFactors)*")</f>
        <v>0</v>
      </c>
      <c r="N669">
        <f>COUNTIF('Metrics - Articles'!F668,"*GCO – Services Sales*")</f>
        <v>0</v>
      </c>
      <c r="O669">
        <f>COUNTIF('Metrics - Articles'!F668,"*GCO – Other*")</f>
        <v>0</v>
      </c>
      <c r="P669">
        <f>COUNTIF('Metrics - Articles'!F668,"*Corporate*")</f>
        <v>0</v>
      </c>
      <c r="R669" s="53">
        <f t="shared" si="12"/>
        <v>0</v>
      </c>
    </row>
    <row r="670" spans="2:18" x14ac:dyDescent="0.25">
      <c r="B670" s="48">
        <f>+'Metrics - Articles'!C669</f>
        <v>0</v>
      </c>
      <c r="C670">
        <f>COUNTIF('Metrics - Articles'!F669,"*GPO (Partner, Ecosystem, Channels)*")</f>
        <v>0</v>
      </c>
      <c r="D670">
        <f>COUNTIF('Metrics - Articles'!F669,"*Office of the CEO*")</f>
        <v>0</v>
      </c>
      <c r="E670">
        <f>COUNTIF('Metrics - Articles'!F669,"*Services Delivery &amp; Support (go-lives and deployments) *")</f>
        <v>0</v>
      </c>
      <c r="F670">
        <f>COUNTIF('Metrics - Articles'!F669,"*Human Resources (SAP HR and employee stories)*")</f>
        <v>0</v>
      </c>
      <c r="G670">
        <f>COUNTIF('Metrics - Articles'!F669,"*P&amp;I (Research &amp; Development)*")</f>
        <v>0</v>
      </c>
      <c r="H670">
        <f>COUNTIF('Metrics - Articles'!F669,"*Business Network (Concur, Ariba, Fieldglass)*")</f>
        <v>0</v>
      </c>
      <c r="I670">
        <f>COUNTIF('Metrics - Articles'!F669,"*GCO – Regions*")</f>
        <v>0</v>
      </c>
      <c r="J670">
        <f>COUNTIF('Metrics - Articles'!F669,"*GCO – Platform Solutions*")</f>
        <v>0</v>
      </c>
      <c r="K670">
        <f>COUNTIF('Metrics - Articles'!F669,"*GCO – Industry Cloud *")</f>
        <v>0</v>
      </c>
      <c r="L670">
        <f>COUNTIF('Metrics - Articles'!F669,"*GCO – Customer Engagement &amp; Commerce (CRM &amp; hybris) *")</f>
        <v>0</v>
      </c>
      <c r="M670">
        <f>COUNTIF('Metrics - Articles'!F669,"*GCO – HR (SuccessFactors)*")</f>
        <v>0</v>
      </c>
      <c r="N670">
        <f>COUNTIF('Metrics - Articles'!F669,"*GCO – Services Sales*")</f>
        <v>0</v>
      </c>
      <c r="O670">
        <f>COUNTIF('Metrics - Articles'!F669,"*GCO – Other*")</f>
        <v>0</v>
      </c>
      <c r="P670">
        <f>COUNTIF('Metrics - Articles'!F669,"*Corporate*")</f>
        <v>0</v>
      </c>
      <c r="R670" s="53">
        <f t="shared" si="12"/>
        <v>0</v>
      </c>
    </row>
    <row r="671" spans="2:18" x14ac:dyDescent="0.25">
      <c r="B671" s="48">
        <f>+'Metrics - Articles'!C670</f>
        <v>0</v>
      </c>
      <c r="C671">
        <f>COUNTIF('Metrics - Articles'!F670,"*GPO (Partner, Ecosystem, Channels)*")</f>
        <v>0</v>
      </c>
      <c r="D671">
        <f>COUNTIF('Metrics - Articles'!F670,"*Office of the CEO*")</f>
        <v>0</v>
      </c>
      <c r="E671">
        <f>COUNTIF('Metrics - Articles'!F670,"*Services Delivery &amp; Support (go-lives and deployments) *")</f>
        <v>0</v>
      </c>
      <c r="F671">
        <f>COUNTIF('Metrics - Articles'!F670,"*Human Resources (SAP HR and employee stories)*")</f>
        <v>0</v>
      </c>
      <c r="G671">
        <f>COUNTIF('Metrics - Articles'!F670,"*P&amp;I (Research &amp; Development)*")</f>
        <v>0</v>
      </c>
      <c r="H671">
        <f>COUNTIF('Metrics - Articles'!F670,"*Business Network (Concur, Ariba, Fieldglass)*")</f>
        <v>0</v>
      </c>
      <c r="I671">
        <f>COUNTIF('Metrics - Articles'!F670,"*GCO – Regions*")</f>
        <v>0</v>
      </c>
      <c r="J671">
        <f>COUNTIF('Metrics - Articles'!F670,"*GCO – Platform Solutions*")</f>
        <v>0</v>
      </c>
      <c r="K671">
        <f>COUNTIF('Metrics - Articles'!F670,"*GCO – Industry Cloud *")</f>
        <v>0</v>
      </c>
      <c r="L671">
        <f>COUNTIF('Metrics - Articles'!F670,"*GCO – Customer Engagement &amp; Commerce (CRM &amp; hybris) *")</f>
        <v>0</v>
      </c>
      <c r="M671">
        <f>COUNTIF('Metrics - Articles'!F670,"*GCO – HR (SuccessFactors)*")</f>
        <v>0</v>
      </c>
      <c r="N671">
        <f>COUNTIF('Metrics - Articles'!F670,"*GCO – Services Sales*")</f>
        <v>0</v>
      </c>
      <c r="O671">
        <f>COUNTIF('Metrics - Articles'!F670,"*GCO – Other*")</f>
        <v>0</v>
      </c>
      <c r="P671">
        <f>COUNTIF('Metrics - Articles'!F670,"*Corporate*")</f>
        <v>0</v>
      </c>
      <c r="R671" s="53">
        <f t="shared" si="12"/>
        <v>0</v>
      </c>
    </row>
    <row r="672" spans="2:18" x14ac:dyDescent="0.25">
      <c r="B672" s="48">
        <f>+'Metrics - Articles'!C671</f>
        <v>0</v>
      </c>
      <c r="C672">
        <f>COUNTIF('Metrics - Articles'!F671,"*GPO (Partner, Ecosystem, Channels)*")</f>
        <v>0</v>
      </c>
      <c r="D672">
        <f>COUNTIF('Metrics - Articles'!F671,"*Office of the CEO*")</f>
        <v>0</v>
      </c>
      <c r="E672">
        <f>COUNTIF('Metrics - Articles'!F671,"*Services Delivery &amp; Support (go-lives and deployments) *")</f>
        <v>0</v>
      </c>
      <c r="F672">
        <f>COUNTIF('Metrics - Articles'!F671,"*Human Resources (SAP HR and employee stories)*")</f>
        <v>0</v>
      </c>
      <c r="G672">
        <f>COUNTIF('Metrics - Articles'!F671,"*P&amp;I (Research &amp; Development)*")</f>
        <v>0</v>
      </c>
      <c r="H672">
        <f>COUNTIF('Metrics - Articles'!F671,"*Business Network (Concur, Ariba, Fieldglass)*")</f>
        <v>0</v>
      </c>
      <c r="I672">
        <f>COUNTIF('Metrics - Articles'!F671,"*GCO – Regions*")</f>
        <v>0</v>
      </c>
      <c r="J672">
        <f>COUNTIF('Metrics - Articles'!F671,"*GCO – Platform Solutions*")</f>
        <v>0</v>
      </c>
      <c r="K672">
        <f>COUNTIF('Metrics - Articles'!F671,"*GCO – Industry Cloud *")</f>
        <v>0</v>
      </c>
      <c r="L672">
        <f>COUNTIF('Metrics - Articles'!F671,"*GCO – Customer Engagement &amp; Commerce (CRM &amp; hybris) *")</f>
        <v>0</v>
      </c>
      <c r="M672">
        <f>COUNTIF('Metrics - Articles'!F671,"*GCO – HR (SuccessFactors)*")</f>
        <v>0</v>
      </c>
      <c r="N672">
        <f>COUNTIF('Metrics - Articles'!F671,"*GCO – Services Sales*")</f>
        <v>0</v>
      </c>
      <c r="O672">
        <f>COUNTIF('Metrics - Articles'!F671,"*GCO – Other*")</f>
        <v>0</v>
      </c>
      <c r="P672">
        <f>COUNTIF('Metrics - Articles'!F671,"*Corporate*")</f>
        <v>0</v>
      </c>
      <c r="R672" s="53">
        <f t="shared" si="12"/>
        <v>0</v>
      </c>
    </row>
    <row r="673" spans="2:18" x14ac:dyDescent="0.25">
      <c r="B673" s="48">
        <f>+'Metrics - Articles'!C672</f>
        <v>0</v>
      </c>
      <c r="C673">
        <f>COUNTIF('Metrics - Articles'!F672,"*GPO (Partner, Ecosystem, Channels)*")</f>
        <v>0</v>
      </c>
      <c r="D673">
        <f>COUNTIF('Metrics - Articles'!F672,"*Office of the CEO*")</f>
        <v>0</v>
      </c>
      <c r="E673">
        <f>COUNTIF('Metrics - Articles'!F672,"*Services Delivery &amp; Support (go-lives and deployments) *")</f>
        <v>0</v>
      </c>
      <c r="F673">
        <f>COUNTIF('Metrics - Articles'!F672,"*Human Resources (SAP HR and employee stories)*")</f>
        <v>0</v>
      </c>
      <c r="G673">
        <f>COUNTIF('Metrics - Articles'!F672,"*P&amp;I (Research &amp; Development)*")</f>
        <v>0</v>
      </c>
      <c r="H673">
        <f>COUNTIF('Metrics - Articles'!F672,"*Business Network (Concur, Ariba, Fieldglass)*")</f>
        <v>0</v>
      </c>
      <c r="I673">
        <f>COUNTIF('Metrics - Articles'!F672,"*GCO – Regions*")</f>
        <v>0</v>
      </c>
      <c r="J673">
        <f>COUNTIF('Metrics - Articles'!F672,"*GCO – Platform Solutions*")</f>
        <v>0</v>
      </c>
      <c r="K673">
        <f>COUNTIF('Metrics - Articles'!F672,"*GCO – Industry Cloud *")</f>
        <v>0</v>
      </c>
      <c r="L673">
        <f>COUNTIF('Metrics - Articles'!F672,"*GCO – Customer Engagement &amp; Commerce (CRM &amp; hybris) *")</f>
        <v>0</v>
      </c>
      <c r="M673">
        <f>COUNTIF('Metrics - Articles'!F672,"*GCO – HR (SuccessFactors)*")</f>
        <v>0</v>
      </c>
      <c r="N673">
        <f>COUNTIF('Metrics - Articles'!F672,"*GCO – Services Sales*")</f>
        <v>0</v>
      </c>
      <c r="O673">
        <f>COUNTIF('Metrics - Articles'!F672,"*GCO – Other*")</f>
        <v>0</v>
      </c>
      <c r="P673">
        <f>COUNTIF('Metrics - Articles'!F672,"*Corporate*")</f>
        <v>0</v>
      </c>
      <c r="R673" s="53">
        <f t="shared" si="12"/>
        <v>0</v>
      </c>
    </row>
    <row r="674" spans="2:18" x14ac:dyDescent="0.25">
      <c r="B674" s="48">
        <f>+'Metrics - Articles'!C673</f>
        <v>0</v>
      </c>
      <c r="C674">
        <f>COUNTIF('Metrics - Articles'!F673,"*GPO (Partner, Ecosystem, Channels)*")</f>
        <v>0</v>
      </c>
      <c r="D674">
        <f>COUNTIF('Metrics - Articles'!F673,"*Office of the CEO*")</f>
        <v>0</v>
      </c>
      <c r="E674">
        <f>COUNTIF('Metrics - Articles'!F673,"*Services Delivery &amp; Support (go-lives and deployments) *")</f>
        <v>0</v>
      </c>
      <c r="F674">
        <f>COUNTIF('Metrics - Articles'!F673,"*Human Resources (SAP HR and employee stories)*")</f>
        <v>0</v>
      </c>
      <c r="G674">
        <f>COUNTIF('Metrics - Articles'!F673,"*P&amp;I (Research &amp; Development)*")</f>
        <v>0</v>
      </c>
      <c r="H674">
        <f>COUNTIF('Metrics - Articles'!F673,"*Business Network (Concur, Ariba, Fieldglass)*")</f>
        <v>0</v>
      </c>
      <c r="I674">
        <f>COUNTIF('Metrics - Articles'!F673,"*GCO – Regions*")</f>
        <v>0</v>
      </c>
      <c r="J674">
        <f>COUNTIF('Metrics - Articles'!F673,"*GCO – Platform Solutions*")</f>
        <v>0</v>
      </c>
      <c r="K674">
        <f>COUNTIF('Metrics - Articles'!F673,"*GCO – Industry Cloud *")</f>
        <v>0</v>
      </c>
      <c r="L674">
        <f>COUNTIF('Metrics - Articles'!F673,"*GCO – Customer Engagement &amp; Commerce (CRM &amp; hybris) *")</f>
        <v>0</v>
      </c>
      <c r="M674">
        <f>COUNTIF('Metrics - Articles'!F673,"*GCO – HR (SuccessFactors)*")</f>
        <v>0</v>
      </c>
      <c r="N674">
        <f>COUNTIF('Metrics - Articles'!F673,"*GCO – Services Sales*")</f>
        <v>0</v>
      </c>
      <c r="O674">
        <f>COUNTIF('Metrics - Articles'!F673,"*GCO – Other*")</f>
        <v>0</v>
      </c>
      <c r="P674">
        <f>COUNTIF('Metrics - Articles'!F673,"*Corporate*")</f>
        <v>0</v>
      </c>
      <c r="R674" s="53">
        <f t="shared" si="12"/>
        <v>0</v>
      </c>
    </row>
    <row r="675" spans="2:18" x14ac:dyDescent="0.25">
      <c r="B675" s="48">
        <f>+'Metrics - Articles'!C674</f>
        <v>0</v>
      </c>
      <c r="C675">
        <f>COUNTIF('Metrics - Articles'!F674,"*GPO (Partner, Ecosystem, Channels)*")</f>
        <v>0</v>
      </c>
      <c r="D675">
        <f>COUNTIF('Metrics - Articles'!F674,"*Office of the CEO*")</f>
        <v>0</v>
      </c>
      <c r="E675">
        <f>COUNTIF('Metrics - Articles'!F674,"*Services Delivery &amp; Support (go-lives and deployments) *")</f>
        <v>0</v>
      </c>
      <c r="F675">
        <f>COUNTIF('Metrics - Articles'!F674,"*Human Resources (SAP HR and employee stories)*")</f>
        <v>0</v>
      </c>
      <c r="G675">
        <f>COUNTIF('Metrics - Articles'!F674,"*P&amp;I (Research &amp; Development)*")</f>
        <v>0</v>
      </c>
      <c r="H675">
        <f>COUNTIF('Metrics - Articles'!F674,"*Business Network (Concur, Ariba, Fieldglass)*")</f>
        <v>0</v>
      </c>
      <c r="I675">
        <f>COUNTIF('Metrics - Articles'!F674,"*GCO – Regions*")</f>
        <v>0</v>
      </c>
      <c r="J675">
        <f>COUNTIF('Metrics - Articles'!F674,"*GCO – Platform Solutions*")</f>
        <v>0</v>
      </c>
      <c r="K675">
        <f>COUNTIF('Metrics - Articles'!F674,"*GCO – Industry Cloud *")</f>
        <v>0</v>
      </c>
      <c r="L675">
        <f>COUNTIF('Metrics - Articles'!F674,"*GCO – Customer Engagement &amp; Commerce (CRM &amp; hybris) *")</f>
        <v>0</v>
      </c>
      <c r="M675">
        <f>COUNTIF('Metrics - Articles'!F674,"*GCO – HR (SuccessFactors)*")</f>
        <v>0</v>
      </c>
      <c r="N675">
        <f>COUNTIF('Metrics - Articles'!F674,"*GCO – Services Sales*")</f>
        <v>0</v>
      </c>
      <c r="O675">
        <f>COUNTIF('Metrics - Articles'!F674,"*GCO – Other*")</f>
        <v>0</v>
      </c>
      <c r="P675">
        <f>COUNTIF('Metrics - Articles'!F674,"*Corporate*")</f>
        <v>0</v>
      </c>
      <c r="R675" s="53">
        <f t="shared" si="12"/>
        <v>0</v>
      </c>
    </row>
    <row r="676" spans="2:18" x14ac:dyDescent="0.25">
      <c r="B676" s="48">
        <f>+'Metrics - Articles'!C675</f>
        <v>0</v>
      </c>
      <c r="C676">
        <f>COUNTIF('Metrics - Articles'!F675,"*GPO (Partner, Ecosystem, Channels)*")</f>
        <v>0</v>
      </c>
      <c r="D676">
        <f>COUNTIF('Metrics - Articles'!F675,"*Office of the CEO*")</f>
        <v>0</v>
      </c>
      <c r="E676">
        <f>COUNTIF('Metrics - Articles'!F675,"*Services Delivery &amp; Support (go-lives and deployments) *")</f>
        <v>0</v>
      </c>
      <c r="F676">
        <f>COUNTIF('Metrics - Articles'!F675,"*Human Resources (SAP HR and employee stories)*")</f>
        <v>0</v>
      </c>
      <c r="G676">
        <f>COUNTIF('Metrics - Articles'!F675,"*P&amp;I (Research &amp; Development)*")</f>
        <v>0</v>
      </c>
      <c r="H676">
        <f>COUNTIF('Metrics - Articles'!F675,"*Business Network (Concur, Ariba, Fieldglass)*")</f>
        <v>0</v>
      </c>
      <c r="I676">
        <f>COUNTIF('Metrics - Articles'!F675,"*GCO – Regions*")</f>
        <v>0</v>
      </c>
      <c r="J676">
        <f>COUNTIF('Metrics - Articles'!F675,"*GCO – Platform Solutions*")</f>
        <v>0</v>
      </c>
      <c r="K676">
        <f>COUNTIF('Metrics - Articles'!F675,"*GCO – Industry Cloud *")</f>
        <v>0</v>
      </c>
      <c r="L676">
        <f>COUNTIF('Metrics - Articles'!F675,"*GCO – Customer Engagement &amp; Commerce (CRM &amp; hybris) *")</f>
        <v>0</v>
      </c>
      <c r="M676">
        <f>COUNTIF('Metrics - Articles'!F675,"*GCO – HR (SuccessFactors)*")</f>
        <v>0</v>
      </c>
      <c r="N676">
        <f>COUNTIF('Metrics - Articles'!F675,"*GCO – Services Sales*")</f>
        <v>0</v>
      </c>
      <c r="O676">
        <f>COUNTIF('Metrics - Articles'!F675,"*GCO – Other*")</f>
        <v>0</v>
      </c>
      <c r="P676">
        <f>COUNTIF('Metrics - Articles'!F675,"*Corporate*")</f>
        <v>0</v>
      </c>
      <c r="R676" s="53">
        <f t="shared" si="12"/>
        <v>0</v>
      </c>
    </row>
    <row r="677" spans="2:18" x14ac:dyDescent="0.25">
      <c r="B677" s="48">
        <f>+'Metrics - Articles'!C676</f>
        <v>0</v>
      </c>
      <c r="C677">
        <f>COUNTIF('Metrics - Articles'!F676,"*GPO (Partner, Ecosystem, Channels)*")</f>
        <v>0</v>
      </c>
      <c r="D677">
        <f>COUNTIF('Metrics - Articles'!F676,"*Office of the CEO*")</f>
        <v>0</v>
      </c>
      <c r="E677">
        <f>COUNTIF('Metrics - Articles'!F676,"*Services Delivery &amp; Support (go-lives and deployments) *")</f>
        <v>0</v>
      </c>
      <c r="F677">
        <f>COUNTIF('Metrics - Articles'!F676,"*Human Resources (SAP HR and employee stories)*")</f>
        <v>0</v>
      </c>
      <c r="G677">
        <f>COUNTIF('Metrics - Articles'!F676,"*P&amp;I (Research &amp; Development)*")</f>
        <v>0</v>
      </c>
      <c r="H677">
        <f>COUNTIF('Metrics - Articles'!F676,"*Business Network (Concur, Ariba, Fieldglass)*")</f>
        <v>0</v>
      </c>
      <c r="I677">
        <f>COUNTIF('Metrics - Articles'!F676,"*GCO – Regions*")</f>
        <v>0</v>
      </c>
      <c r="J677">
        <f>COUNTIF('Metrics - Articles'!F676,"*GCO – Platform Solutions*")</f>
        <v>0</v>
      </c>
      <c r="K677">
        <f>COUNTIF('Metrics - Articles'!F676,"*GCO – Industry Cloud *")</f>
        <v>0</v>
      </c>
      <c r="L677">
        <f>COUNTIF('Metrics - Articles'!F676,"*GCO – Customer Engagement &amp; Commerce (CRM &amp; hybris) *")</f>
        <v>0</v>
      </c>
      <c r="M677">
        <f>COUNTIF('Metrics - Articles'!F676,"*GCO – HR (SuccessFactors)*")</f>
        <v>0</v>
      </c>
      <c r="N677">
        <f>COUNTIF('Metrics - Articles'!F676,"*GCO – Services Sales*")</f>
        <v>0</v>
      </c>
      <c r="O677">
        <f>COUNTIF('Metrics - Articles'!F676,"*GCO – Other*")</f>
        <v>0</v>
      </c>
      <c r="P677">
        <f>COUNTIF('Metrics - Articles'!F676,"*Corporate*")</f>
        <v>0</v>
      </c>
      <c r="R677" s="53">
        <f t="shared" si="12"/>
        <v>0</v>
      </c>
    </row>
    <row r="678" spans="2:18" x14ac:dyDescent="0.25">
      <c r="B678" s="48">
        <f>+'Metrics - Articles'!C677</f>
        <v>0</v>
      </c>
      <c r="C678">
        <f>COUNTIF('Metrics - Articles'!F677,"*GPO (Partner, Ecosystem, Channels)*")</f>
        <v>0</v>
      </c>
      <c r="D678">
        <f>COUNTIF('Metrics - Articles'!F677,"*Office of the CEO*")</f>
        <v>0</v>
      </c>
      <c r="E678">
        <f>COUNTIF('Metrics - Articles'!F677,"*Services Delivery &amp; Support (go-lives and deployments) *")</f>
        <v>0</v>
      </c>
      <c r="F678">
        <f>COUNTIF('Metrics - Articles'!F677,"*Human Resources (SAP HR and employee stories)*")</f>
        <v>0</v>
      </c>
      <c r="G678">
        <f>COUNTIF('Metrics - Articles'!F677,"*P&amp;I (Research &amp; Development)*")</f>
        <v>0</v>
      </c>
      <c r="H678">
        <f>COUNTIF('Metrics - Articles'!F677,"*Business Network (Concur, Ariba, Fieldglass)*")</f>
        <v>0</v>
      </c>
      <c r="I678">
        <f>COUNTIF('Metrics - Articles'!F677,"*GCO – Regions*")</f>
        <v>0</v>
      </c>
      <c r="J678">
        <f>COUNTIF('Metrics - Articles'!F677,"*GCO – Platform Solutions*")</f>
        <v>0</v>
      </c>
      <c r="K678">
        <f>COUNTIF('Metrics - Articles'!F677,"*GCO – Industry Cloud *")</f>
        <v>0</v>
      </c>
      <c r="L678">
        <f>COUNTIF('Metrics - Articles'!F677,"*GCO – Customer Engagement &amp; Commerce (CRM &amp; hybris) *")</f>
        <v>0</v>
      </c>
      <c r="M678">
        <f>COUNTIF('Metrics - Articles'!F677,"*GCO – HR (SuccessFactors)*")</f>
        <v>0</v>
      </c>
      <c r="N678">
        <f>COUNTIF('Metrics - Articles'!F677,"*GCO – Services Sales*")</f>
        <v>0</v>
      </c>
      <c r="O678">
        <f>COUNTIF('Metrics - Articles'!F677,"*GCO – Other*")</f>
        <v>0</v>
      </c>
      <c r="P678">
        <f>COUNTIF('Metrics - Articles'!F677,"*Corporate*")</f>
        <v>0</v>
      </c>
      <c r="R678" s="53">
        <f t="shared" si="12"/>
        <v>0</v>
      </c>
    </row>
    <row r="679" spans="2:18" x14ac:dyDescent="0.25">
      <c r="B679" s="48">
        <f>+'Metrics - Articles'!C678</f>
        <v>0</v>
      </c>
      <c r="C679">
        <f>COUNTIF('Metrics - Articles'!F678,"*GPO (Partner, Ecosystem, Channels)*")</f>
        <v>0</v>
      </c>
      <c r="D679">
        <f>COUNTIF('Metrics - Articles'!F678,"*Office of the CEO*")</f>
        <v>0</v>
      </c>
      <c r="E679">
        <f>COUNTIF('Metrics - Articles'!F678,"*Services Delivery &amp; Support (go-lives and deployments) *")</f>
        <v>0</v>
      </c>
      <c r="F679">
        <f>COUNTIF('Metrics - Articles'!F678,"*Human Resources (SAP HR and employee stories)*")</f>
        <v>0</v>
      </c>
      <c r="G679">
        <f>COUNTIF('Metrics - Articles'!F678,"*P&amp;I (Research &amp; Development)*")</f>
        <v>0</v>
      </c>
      <c r="H679">
        <f>COUNTIF('Metrics - Articles'!F678,"*Business Network (Concur, Ariba, Fieldglass)*")</f>
        <v>0</v>
      </c>
      <c r="I679">
        <f>COUNTIF('Metrics - Articles'!F678,"*GCO – Regions*")</f>
        <v>0</v>
      </c>
      <c r="J679">
        <f>COUNTIF('Metrics - Articles'!F678,"*GCO – Platform Solutions*")</f>
        <v>0</v>
      </c>
      <c r="K679">
        <f>COUNTIF('Metrics - Articles'!F678,"*GCO – Industry Cloud *")</f>
        <v>0</v>
      </c>
      <c r="L679">
        <f>COUNTIF('Metrics - Articles'!F678,"*GCO – Customer Engagement &amp; Commerce (CRM &amp; hybris) *")</f>
        <v>0</v>
      </c>
      <c r="M679">
        <f>COUNTIF('Metrics - Articles'!F678,"*GCO – HR (SuccessFactors)*")</f>
        <v>0</v>
      </c>
      <c r="N679">
        <f>COUNTIF('Metrics - Articles'!F678,"*GCO – Services Sales*")</f>
        <v>0</v>
      </c>
      <c r="O679">
        <f>COUNTIF('Metrics - Articles'!F678,"*GCO – Other*")</f>
        <v>0</v>
      </c>
      <c r="P679">
        <f>COUNTIF('Metrics - Articles'!F678,"*Corporate*")</f>
        <v>0</v>
      </c>
      <c r="R679" s="53">
        <f t="shared" si="12"/>
        <v>0</v>
      </c>
    </row>
    <row r="680" spans="2:18" x14ac:dyDescent="0.25">
      <c r="B680" s="48">
        <f>+'Metrics - Articles'!C679</f>
        <v>0</v>
      </c>
      <c r="C680">
        <f>COUNTIF('Metrics - Articles'!F679,"*GPO (Partner, Ecosystem, Channels)*")</f>
        <v>0</v>
      </c>
      <c r="D680">
        <f>COUNTIF('Metrics - Articles'!F679,"*Office of the CEO*")</f>
        <v>0</v>
      </c>
      <c r="E680">
        <f>COUNTIF('Metrics - Articles'!F679,"*Services Delivery &amp; Support (go-lives and deployments) *")</f>
        <v>0</v>
      </c>
      <c r="F680">
        <f>COUNTIF('Metrics - Articles'!F679,"*Human Resources (SAP HR and employee stories)*")</f>
        <v>0</v>
      </c>
      <c r="G680">
        <f>COUNTIF('Metrics - Articles'!F679,"*P&amp;I (Research &amp; Development)*")</f>
        <v>0</v>
      </c>
      <c r="H680">
        <f>COUNTIF('Metrics - Articles'!F679,"*Business Network (Concur, Ariba, Fieldglass)*")</f>
        <v>0</v>
      </c>
      <c r="I680">
        <f>COUNTIF('Metrics - Articles'!F679,"*GCO – Regions*")</f>
        <v>0</v>
      </c>
      <c r="J680">
        <f>COUNTIF('Metrics - Articles'!F679,"*GCO – Platform Solutions*")</f>
        <v>0</v>
      </c>
      <c r="K680">
        <f>COUNTIF('Metrics - Articles'!F679,"*GCO – Industry Cloud *")</f>
        <v>0</v>
      </c>
      <c r="L680">
        <f>COUNTIF('Metrics - Articles'!F679,"*GCO – Customer Engagement &amp; Commerce (CRM &amp; hybris) *")</f>
        <v>0</v>
      </c>
      <c r="M680">
        <f>COUNTIF('Metrics - Articles'!F679,"*GCO – HR (SuccessFactors)*")</f>
        <v>0</v>
      </c>
      <c r="N680">
        <f>COUNTIF('Metrics - Articles'!F679,"*GCO – Services Sales*")</f>
        <v>0</v>
      </c>
      <c r="O680">
        <f>COUNTIF('Metrics - Articles'!F679,"*GCO – Other*")</f>
        <v>0</v>
      </c>
      <c r="P680">
        <f>COUNTIF('Metrics - Articles'!F679,"*Corporate*")</f>
        <v>0</v>
      </c>
      <c r="R680" s="53">
        <f t="shared" si="12"/>
        <v>0</v>
      </c>
    </row>
    <row r="681" spans="2:18" x14ac:dyDescent="0.25">
      <c r="B681" s="48">
        <f>+'Metrics - Articles'!C680</f>
        <v>0</v>
      </c>
      <c r="C681">
        <f>COUNTIF('Metrics - Articles'!F680,"*GPO (Partner, Ecosystem, Channels)*")</f>
        <v>0</v>
      </c>
      <c r="D681">
        <f>COUNTIF('Metrics - Articles'!F680,"*Office of the CEO*")</f>
        <v>0</v>
      </c>
      <c r="E681">
        <f>COUNTIF('Metrics - Articles'!F680,"*Services Delivery &amp; Support (go-lives and deployments) *")</f>
        <v>0</v>
      </c>
      <c r="F681">
        <f>COUNTIF('Metrics - Articles'!F680,"*Human Resources (SAP HR and employee stories)*")</f>
        <v>0</v>
      </c>
      <c r="G681">
        <f>COUNTIF('Metrics - Articles'!F680,"*P&amp;I (Research &amp; Development)*")</f>
        <v>0</v>
      </c>
      <c r="H681">
        <f>COUNTIF('Metrics - Articles'!F680,"*Business Network (Concur, Ariba, Fieldglass)*")</f>
        <v>0</v>
      </c>
      <c r="I681">
        <f>COUNTIF('Metrics - Articles'!F680,"*GCO – Regions*")</f>
        <v>0</v>
      </c>
      <c r="J681">
        <f>COUNTIF('Metrics - Articles'!F680,"*GCO – Platform Solutions*")</f>
        <v>0</v>
      </c>
      <c r="K681">
        <f>COUNTIF('Metrics - Articles'!F680,"*GCO – Industry Cloud *")</f>
        <v>0</v>
      </c>
      <c r="L681">
        <f>COUNTIF('Metrics - Articles'!F680,"*GCO – Customer Engagement &amp; Commerce (CRM &amp; hybris) *")</f>
        <v>0</v>
      </c>
      <c r="M681">
        <f>COUNTIF('Metrics - Articles'!F680,"*GCO – HR (SuccessFactors)*")</f>
        <v>0</v>
      </c>
      <c r="N681">
        <f>COUNTIF('Metrics - Articles'!F680,"*GCO – Services Sales*")</f>
        <v>0</v>
      </c>
      <c r="O681">
        <f>COUNTIF('Metrics - Articles'!F680,"*GCO – Other*")</f>
        <v>0</v>
      </c>
      <c r="P681">
        <f>COUNTIF('Metrics - Articles'!F680,"*Corporate*")</f>
        <v>0</v>
      </c>
      <c r="R681" s="53">
        <f t="shared" si="12"/>
        <v>0</v>
      </c>
    </row>
    <row r="682" spans="2:18" x14ac:dyDescent="0.25">
      <c r="B682" s="48">
        <f>+'Metrics - Articles'!C681</f>
        <v>0</v>
      </c>
      <c r="C682">
        <f>COUNTIF('Metrics - Articles'!F681,"*GPO (Partner, Ecosystem, Channels)*")</f>
        <v>0</v>
      </c>
      <c r="D682">
        <f>COUNTIF('Metrics - Articles'!F681,"*Office of the CEO*")</f>
        <v>0</v>
      </c>
      <c r="E682">
        <f>COUNTIF('Metrics - Articles'!F681,"*Services Delivery &amp; Support (go-lives and deployments) *")</f>
        <v>0</v>
      </c>
      <c r="F682">
        <f>COUNTIF('Metrics - Articles'!F681,"*Human Resources (SAP HR and employee stories)*")</f>
        <v>0</v>
      </c>
      <c r="G682">
        <f>COUNTIF('Metrics - Articles'!F681,"*P&amp;I (Research &amp; Development)*")</f>
        <v>0</v>
      </c>
      <c r="H682">
        <f>COUNTIF('Metrics - Articles'!F681,"*Business Network (Concur, Ariba, Fieldglass)*")</f>
        <v>0</v>
      </c>
      <c r="I682">
        <f>COUNTIF('Metrics - Articles'!F681,"*GCO – Regions*")</f>
        <v>0</v>
      </c>
      <c r="J682">
        <f>COUNTIF('Metrics - Articles'!F681,"*GCO – Platform Solutions*")</f>
        <v>0</v>
      </c>
      <c r="K682">
        <f>COUNTIF('Metrics - Articles'!F681,"*GCO – Industry Cloud *")</f>
        <v>0</v>
      </c>
      <c r="L682">
        <f>COUNTIF('Metrics - Articles'!F681,"*GCO – Customer Engagement &amp; Commerce (CRM &amp; hybris) *")</f>
        <v>0</v>
      </c>
      <c r="M682">
        <f>COUNTIF('Metrics - Articles'!F681,"*GCO – HR (SuccessFactors)*")</f>
        <v>0</v>
      </c>
      <c r="N682">
        <f>COUNTIF('Metrics - Articles'!F681,"*GCO – Services Sales*")</f>
        <v>0</v>
      </c>
      <c r="O682">
        <f>COUNTIF('Metrics - Articles'!F681,"*GCO – Other*")</f>
        <v>0</v>
      </c>
      <c r="P682">
        <f>COUNTIF('Metrics - Articles'!F681,"*Corporate*")</f>
        <v>0</v>
      </c>
      <c r="R682" s="53">
        <f t="shared" si="12"/>
        <v>0</v>
      </c>
    </row>
    <row r="683" spans="2:18" x14ac:dyDescent="0.25">
      <c r="B683" s="48">
        <f>+'Metrics - Articles'!C682</f>
        <v>0</v>
      </c>
      <c r="C683">
        <f>COUNTIF('Metrics - Articles'!F682,"*GPO (Partner, Ecosystem, Channels)*")</f>
        <v>0</v>
      </c>
      <c r="D683">
        <f>COUNTIF('Metrics - Articles'!F682,"*Office of the CEO*")</f>
        <v>0</v>
      </c>
      <c r="E683">
        <f>COUNTIF('Metrics - Articles'!F682,"*Services Delivery &amp; Support (go-lives and deployments) *")</f>
        <v>0</v>
      </c>
      <c r="F683">
        <f>COUNTIF('Metrics - Articles'!F682,"*Human Resources (SAP HR and employee stories)*")</f>
        <v>0</v>
      </c>
      <c r="G683">
        <f>COUNTIF('Metrics - Articles'!F682,"*P&amp;I (Research &amp; Development)*")</f>
        <v>0</v>
      </c>
      <c r="H683">
        <f>COUNTIF('Metrics - Articles'!F682,"*Business Network (Concur, Ariba, Fieldglass)*")</f>
        <v>0</v>
      </c>
      <c r="I683">
        <f>COUNTIF('Metrics - Articles'!F682,"*GCO – Regions*")</f>
        <v>0</v>
      </c>
      <c r="J683">
        <f>COUNTIF('Metrics - Articles'!F682,"*GCO – Platform Solutions*")</f>
        <v>0</v>
      </c>
      <c r="K683">
        <f>COUNTIF('Metrics - Articles'!F682,"*GCO – Industry Cloud *")</f>
        <v>0</v>
      </c>
      <c r="L683">
        <f>COUNTIF('Metrics - Articles'!F682,"*GCO – Customer Engagement &amp; Commerce (CRM &amp; hybris) *")</f>
        <v>0</v>
      </c>
      <c r="M683">
        <f>COUNTIF('Metrics - Articles'!F682,"*GCO – HR (SuccessFactors)*")</f>
        <v>0</v>
      </c>
      <c r="N683">
        <f>COUNTIF('Metrics - Articles'!F682,"*GCO – Services Sales*")</f>
        <v>0</v>
      </c>
      <c r="O683">
        <f>COUNTIF('Metrics - Articles'!F682,"*GCO – Other*")</f>
        <v>0</v>
      </c>
      <c r="P683">
        <f>COUNTIF('Metrics - Articles'!F682,"*Corporate*")</f>
        <v>0</v>
      </c>
      <c r="R683" s="53">
        <f t="shared" si="12"/>
        <v>0</v>
      </c>
    </row>
    <row r="684" spans="2:18" x14ac:dyDescent="0.25">
      <c r="B684" s="48">
        <f>+'Metrics - Articles'!C683</f>
        <v>0</v>
      </c>
      <c r="C684">
        <f>COUNTIF('Metrics - Articles'!F683,"*GPO (Partner, Ecosystem, Channels)*")</f>
        <v>0</v>
      </c>
      <c r="D684">
        <f>COUNTIF('Metrics - Articles'!F683,"*Office of the CEO*")</f>
        <v>0</v>
      </c>
      <c r="E684">
        <f>COUNTIF('Metrics - Articles'!F683,"*Services Delivery &amp; Support (go-lives and deployments) *")</f>
        <v>0</v>
      </c>
      <c r="F684">
        <f>COUNTIF('Metrics - Articles'!F683,"*Human Resources (SAP HR and employee stories)*")</f>
        <v>0</v>
      </c>
      <c r="G684">
        <f>COUNTIF('Metrics - Articles'!F683,"*P&amp;I (Research &amp; Development)*")</f>
        <v>0</v>
      </c>
      <c r="H684">
        <f>COUNTIF('Metrics - Articles'!F683,"*Business Network (Concur, Ariba, Fieldglass)*")</f>
        <v>0</v>
      </c>
      <c r="I684">
        <f>COUNTIF('Metrics - Articles'!F683,"*GCO – Regions*")</f>
        <v>0</v>
      </c>
      <c r="J684">
        <f>COUNTIF('Metrics - Articles'!F683,"*GCO – Platform Solutions*")</f>
        <v>0</v>
      </c>
      <c r="K684">
        <f>COUNTIF('Metrics - Articles'!F683,"*GCO – Industry Cloud *")</f>
        <v>0</v>
      </c>
      <c r="L684">
        <f>COUNTIF('Metrics - Articles'!F683,"*GCO – Customer Engagement &amp; Commerce (CRM &amp; hybris) *")</f>
        <v>0</v>
      </c>
      <c r="M684">
        <f>COUNTIF('Metrics - Articles'!F683,"*GCO – HR (SuccessFactors)*")</f>
        <v>0</v>
      </c>
      <c r="N684">
        <f>COUNTIF('Metrics - Articles'!F683,"*GCO – Services Sales*")</f>
        <v>0</v>
      </c>
      <c r="O684">
        <f>COUNTIF('Metrics - Articles'!F683,"*GCO – Other*")</f>
        <v>0</v>
      </c>
      <c r="P684">
        <f>COUNTIF('Metrics - Articles'!F683,"*Corporate*")</f>
        <v>0</v>
      </c>
      <c r="R684" s="53">
        <f t="shared" si="12"/>
        <v>0</v>
      </c>
    </row>
    <row r="685" spans="2:18" x14ac:dyDescent="0.25">
      <c r="B685" s="48">
        <f>+'Metrics - Articles'!C684</f>
        <v>0</v>
      </c>
      <c r="C685">
        <f>COUNTIF('Metrics - Articles'!F684,"*GPO (Partner, Ecosystem, Channels)*")</f>
        <v>0</v>
      </c>
      <c r="D685">
        <f>COUNTIF('Metrics - Articles'!F684,"*Office of the CEO*")</f>
        <v>0</v>
      </c>
      <c r="E685">
        <f>COUNTIF('Metrics - Articles'!F684,"*Services Delivery &amp; Support (go-lives and deployments) *")</f>
        <v>0</v>
      </c>
      <c r="F685">
        <f>COUNTIF('Metrics - Articles'!F684,"*Human Resources (SAP HR and employee stories)*")</f>
        <v>0</v>
      </c>
      <c r="G685">
        <f>COUNTIF('Metrics - Articles'!F684,"*P&amp;I (Research &amp; Development)*")</f>
        <v>0</v>
      </c>
      <c r="H685">
        <f>COUNTIF('Metrics - Articles'!F684,"*Business Network (Concur, Ariba, Fieldglass)*")</f>
        <v>0</v>
      </c>
      <c r="I685">
        <f>COUNTIF('Metrics - Articles'!F684,"*GCO – Regions*")</f>
        <v>0</v>
      </c>
      <c r="J685">
        <f>COUNTIF('Metrics - Articles'!F684,"*GCO – Platform Solutions*")</f>
        <v>0</v>
      </c>
      <c r="K685">
        <f>COUNTIF('Metrics - Articles'!F684,"*GCO – Industry Cloud *")</f>
        <v>0</v>
      </c>
      <c r="L685">
        <f>COUNTIF('Metrics - Articles'!F684,"*GCO – Customer Engagement &amp; Commerce (CRM &amp; hybris) *")</f>
        <v>0</v>
      </c>
      <c r="M685">
        <f>COUNTIF('Metrics - Articles'!F684,"*GCO – HR (SuccessFactors)*")</f>
        <v>0</v>
      </c>
      <c r="N685">
        <f>COUNTIF('Metrics - Articles'!F684,"*GCO – Services Sales*")</f>
        <v>0</v>
      </c>
      <c r="O685">
        <f>COUNTIF('Metrics - Articles'!F684,"*GCO – Other*")</f>
        <v>0</v>
      </c>
      <c r="P685">
        <f>COUNTIF('Metrics - Articles'!F684,"*Corporate*")</f>
        <v>0</v>
      </c>
      <c r="R685" s="53">
        <f t="shared" si="12"/>
        <v>0</v>
      </c>
    </row>
    <row r="686" spans="2:18" x14ac:dyDescent="0.25">
      <c r="B686" s="48">
        <f>+'Metrics - Articles'!C685</f>
        <v>0</v>
      </c>
      <c r="C686">
        <f>COUNTIF('Metrics - Articles'!F685,"*GPO (Partner, Ecosystem, Channels)*")</f>
        <v>0</v>
      </c>
      <c r="D686">
        <f>COUNTIF('Metrics - Articles'!F685,"*Office of the CEO*")</f>
        <v>0</v>
      </c>
      <c r="E686">
        <f>COUNTIF('Metrics - Articles'!F685,"*Services Delivery &amp; Support (go-lives and deployments) *")</f>
        <v>0</v>
      </c>
      <c r="F686">
        <f>COUNTIF('Metrics - Articles'!F685,"*Human Resources (SAP HR and employee stories)*")</f>
        <v>0</v>
      </c>
      <c r="G686">
        <f>COUNTIF('Metrics - Articles'!F685,"*P&amp;I (Research &amp; Development)*")</f>
        <v>0</v>
      </c>
      <c r="H686">
        <f>COUNTIF('Metrics - Articles'!F685,"*Business Network (Concur, Ariba, Fieldglass)*")</f>
        <v>0</v>
      </c>
      <c r="I686">
        <f>COUNTIF('Metrics - Articles'!F685,"*GCO – Regions*")</f>
        <v>0</v>
      </c>
      <c r="J686">
        <f>COUNTIF('Metrics - Articles'!F685,"*GCO – Platform Solutions*")</f>
        <v>0</v>
      </c>
      <c r="K686">
        <f>COUNTIF('Metrics - Articles'!F685,"*GCO – Industry Cloud *")</f>
        <v>0</v>
      </c>
      <c r="L686">
        <f>COUNTIF('Metrics - Articles'!F685,"*GCO – Customer Engagement &amp; Commerce (CRM &amp; hybris) *")</f>
        <v>0</v>
      </c>
      <c r="M686">
        <f>COUNTIF('Metrics - Articles'!F685,"*GCO – HR (SuccessFactors)*")</f>
        <v>0</v>
      </c>
      <c r="N686">
        <f>COUNTIF('Metrics - Articles'!F685,"*GCO – Services Sales*")</f>
        <v>0</v>
      </c>
      <c r="O686">
        <f>COUNTIF('Metrics - Articles'!F685,"*GCO – Other*")</f>
        <v>0</v>
      </c>
      <c r="P686">
        <f>COUNTIF('Metrics - Articles'!F685,"*Corporate*")</f>
        <v>0</v>
      </c>
      <c r="R686" s="53">
        <f t="shared" si="12"/>
        <v>0</v>
      </c>
    </row>
    <row r="687" spans="2:18" x14ac:dyDescent="0.25">
      <c r="B687" s="48">
        <f>+'Metrics - Articles'!C686</f>
        <v>0</v>
      </c>
      <c r="C687">
        <f>COUNTIF('Metrics - Articles'!F686,"*GPO (Partner, Ecosystem, Channels)*")</f>
        <v>0</v>
      </c>
      <c r="D687">
        <f>COUNTIF('Metrics - Articles'!F686,"*Office of the CEO*")</f>
        <v>0</v>
      </c>
      <c r="E687">
        <f>COUNTIF('Metrics - Articles'!F686,"*Services Delivery &amp; Support (go-lives and deployments) *")</f>
        <v>0</v>
      </c>
      <c r="F687">
        <f>COUNTIF('Metrics - Articles'!F686,"*Human Resources (SAP HR and employee stories)*")</f>
        <v>0</v>
      </c>
      <c r="G687">
        <f>COUNTIF('Metrics - Articles'!F686,"*P&amp;I (Research &amp; Development)*")</f>
        <v>0</v>
      </c>
      <c r="H687">
        <f>COUNTIF('Metrics - Articles'!F686,"*Business Network (Concur, Ariba, Fieldglass)*")</f>
        <v>0</v>
      </c>
      <c r="I687">
        <f>COUNTIF('Metrics - Articles'!F686,"*GCO – Regions*")</f>
        <v>0</v>
      </c>
      <c r="J687">
        <f>COUNTIF('Metrics - Articles'!F686,"*GCO – Platform Solutions*")</f>
        <v>0</v>
      </c>
      <c r="K687">
        <f>COUNTIF('Metrics - Articles'!F686,"*GCO – Industry Cloud *")</f>
        <v>0</v>
      </c>
      <c r="L687">
        <f>COUNTIF('Metrics - Articles'!F686,"*GCO – Customer Engagement &amp; Commerce (CRM &amp; hybris) *")</f>
        <v>0</v>
      </c>
      <c r="M687">
        <f>COUNTIF('Metrics - Articles'!F686,"*GCO – HR (SuccessFactors)*")</f>
        <v>0</v>
      </c>
      <c r="N687">
        <f>COUNTIF('Metrics - Articles'!F686,"*GCO – Services Sales*")</f>
        <v>0</v>
      </c>
      <c r="O687">
        <f>COUNTIF('Metrics - Articles'!F686,"*GCO – Other*")</f>
        <v>0</v>
      </c>
      <c r="P687">
        <f>COUNTIF('Metrics - Articles'!F686,"*Corporate*")</f>
        <v>0</v>
      </c>
      <c r="R687" s="53">
        <f t="shared" si="12"/>
        <v>0</v>
      </c>
    </row>
    <row r="688" spans="2:18" x14ac:dyDescent="0.25">
      <c r="B688" s="48">
        <f>+'Metrics - Articles'!C687</f>
        <v>0</v>
      </c>
      <c r="C688">
        <f>COUNTIF('Metrics - Articles'!F687,"*GPO (Partner, Ecosystem, Channels)*")</f>
        <v>0</v>
      </c>
      <c r="D688">
        <f>COUNTIF('Metrics - Articles'!F687,"*Office of the CEO*")</f>
        <v>0</v>
      </c>
      <c r="E688">
        <f>COUNTIF('Metrics - Articles'!F687,"*Services Delivery &amp; Support (go-lives and deployments) *")</f>
        <v>0</v>
      </c>
      <c r="F688">
        <f>COUNTIF('Metrics - Articles'!F687,"*Human Resources (SAP HR and employee stories)*")</f>
        <v>0</v>
      </c>
      <c r="G688">
        <f>COUNTIF('Metrics - Articles'!F687,"*P&amp;I (Research &amp; Development)*")</f>
        <v>0</v>
      </c>
      <c r="H688">
        <f>COUNTIF('Metrics - Articles'!F687,"*Business Network (Concur, Ariba, Fieldglass)*")</f>
        <v>0</v>
      </c>
      <c r="I688">
        <f>COUNTIF('Metrics - Articles'!F687,"*GCO – Regions*")</f>
        <v>0</v>
      </c>
      <c r="J688">
        <f>COUNTIF('Metrics - Articles'!F687,"*GCO – Platform Solutions*")</f>
        <v>0</v>
      </c>
      <c r="K688">
        <f>COUNTIF('Metrics - Articles'!F687,"*GCO – Industry Cloud *")</f>
        <v>0</v>
      </c>
      <c r="L688">
        <f>COUNTIF('Metrics - Articles'!F687,"*GCO – Customer Engagement &amp; Commerce (CRM &amp; hybris) *")</f>
        <v>0</v>
      </c>
      <c r="M688">
        <f>COUNTIF('Metrics - Articles'!F687,"*GCO – HR (SuccessFactors)*")</f>
        <v>0</v>
      </c>
      <c r="N688">
        <f>COUNTIF('Metrics - Articles'!F687,"*GCO – Services Sales*")</f>
        <v>0</v>
      </c>
      <c r="O688">
        <f>COUNTIF('Metrics - Articles'!F687,"*GCO – Other*")</f>
        <v>0</v>
      </c>
      <c r="P688">
        <f>COUNTIF('Metrics - Articles'!F687,"*Corporate*")</f>
        <v>0</v>
      </c>
      <c r="R688" s="53">
        <f t="shared" si="12"/>
        <v>0</v>
      </c>
    </row>
    <row r="689" spans="2:18" x14ac:dyDescent="0.25">
      <c r="B689" s="48">
        <f>+'Metrics - Articles'!C688</f>
        <v>0</v>
      </c>
      <c r="C689">
        <f>COUNTIF('Metrics - Articles'!F688,"*GPO (Partner, Ecosystem, Channels)*")</f>
        <v>0</v>
      </c>
      <c r="D689">
        <f>COUNTIF('Metrics - Articles'!F688,"*Office of the CEO*")</f>
        <v>0</v>
      </c>
      <c r="E689">
        <f>COUNTIF('Metrics - Articles'!F688,"*Services Delivery &amp; Support (go-lives and deployments) *")</f>
        <v>0</v>
      </c>
      <c r="F689">
        <f>COUNTIF('Metrics - Articles'!F688,"*Human Resources (SAP HR and employee stories)*")</f>
        <v>0</v>
      </c>
      <c r="G689">
        <f>COUNTIF('Metrics - Articles'!F688,"*P&amp;I (Research &amp; Development)*")</f>
        <v>0</v>
      </c>
      <c r="H689">
        <f>COUNTIF('Metrics - Articles'!F688,"*Business Network (Concur, Ariba, Fieldglass)*")</f>
        <v>0</v>
      </c>
      <c r="I689">
        <f>COUNTIF('Metrics - Articles'!F688,"*GCO – Regions*")</f>
        <v>0</v>
      </c>
      <c r="J689">
        <f>COUNTIF('Metrics - Articles'!F688,"*GCO – Platform Solutions*")</f>
        <v>0</v>
      </c>
      <c r="K689">
        <f>COUNTIF('Metrics - Articles'!F688,"*GCO – Industry Cloud *")</f>
        <v>0</v>
      </c>
      <c r="L689">
        <f>COUNTIF('Metrics - Articles'!F688,"*GCO – Customer Engagement &amp; Commerce (CRM &amp; hybris) *")</f>
        <v>0</v>
      </c>
      <c r="M689">
        <f>COUNTIF('Metrics - Articles'!F688,"*GCO – HR (SuccessFactors)*")</f>
        <v>0</v>
      </c>
      <c r="N689">
        <f>COUNTIF('Metrics - Articles'!F688,"*GCO – Services Sales*")</f>
        <v>0</v>
      </c>
      <c r="O689">
        <f>COUNTIF('Metrics - Articles'!F688,"*GCO – Other*")</f>
        <v>0</v>
      </c>
      <c r="P689">
        <f>COUNTIF('Metrics - Articles'!F688,"*Corporate*")</f>
        <v>0</v>
      </c>
      <c r="R689" s="53">
        <f t="shared" si="12"/>
        <v>0</v>
      </c>
    </row>
    <row r="690" spans="2:18" x14ac:dyDescent="0.25">
      <c r="B690" s="48">
        <f>+'Metrics - Articles'!C689</f>
        <v>0</v>
      </c>
      <c r="C690">
        <f>COUNTIF('Metrics - Articles'!F689,"*GPO (Partner, Ecosystem, Channels)*")</f>
        <v>0</v>
      </c>
      <c r="D690">
        <f>COUNTIF('Metrics - Articles'!F689,"*Office of the CEO*")</f>
        <v>0</v>
      </c>
      <c r="E690">
        <f>COUNTIF('Metrics - Articles'!F689,"*Services Delivery &amp; Support (go-lives and deployments) *")</f>
        <v>0</v>
      </c>
      <c r="F690">
        <f>COUNTIF('Metrics - Articles'!F689,"*Human Resources (SAP HR and employee stories)*")</f>
        <v>0</v>
      </c>
      <c r="G690">
        <f>COUNTIF('Metrics - Articles'!F689,"*P&amp;I (Research &amp; Development)*")</f>
        <v>0</v>
      </c>
      <c r="H690">
        <f>COUNTIF('Metrics - Articles'!F689,"*Business Network (Concur, Ariba, Fieldglass)*")</f>
        <v>0</v>
      </c>
      <c r="I690">
        <f>COUNTIF('Metrics - Articles'!F689,"*GCO – Regions*")</f>
        <v>0</v>
      </c>
      <c r="J690">
        <f>COUNTIF('Metrics - Articles'!F689,"*GCO – Platform Solutions*")</f>
        <v>0</v>
      </c>
      <c r="K690">
        <f>COUNTIF('Metrics - Articles'!F689,"*GCO – Industry Cloud *")</f>
        <v>0</v>
      </c>
      <c r="L690">
        <f>COUNTIF('Metrics - Articles'!F689,"*GCO – Customer Engagement &amp; Commerce (CRM &amp; hybris) *")</f>
        <v>0</v>
      </c>
      <c r="M690">
        <f>COUNTIF('Metrics - Articles'!F689,"*GCO – HR (SuccessFactors)*")</f>
        <v>0</v>
      </c>
      <c r="N690">
        <f>COUNTIF('Metrics - Articles'!F689,"*GCO – Services Sales*")</f>
        <v>0</v>
      </c>
      <c r="O690">
        <f>COUNTIF('Metrics - Articles'!F689,"*GCO – Other*")</f>
        <v>0</v>
      </c>
      <c r="P690">
        <f>COUNTIF('Metrics - Articles'!F689,"*Corporate*")</f>
        <v>0</v>
      </c>
      <c r="R690" s="53">
        <f t="shared" si="12"/>
        <v>0</v>
      </c>
    </row>
    <row r="691" spans="2:18" x14ac:dyDescent="0.25">
      <c r="B691" s="48">
        <f>+'Metrics - Articles'!C690</f>
        <v>0</v>
      </c>
      <c r="C691">
        <f>COUNTIF('Metrics - Articles'!F690,"*GPO (Partner, Ecosystem, Channels)*")</f>
        <v>0</v>
      </c>
      <c r="D691">
        <f>COUNTIF('Metrics - Articles'!F690,"*Office of the CEO*")</f>
        <v>0</v>
      </c>
      <c r="E691">
        <f>COUNTIF('Metrics - Articles'!F690,"*Services Delivery &amp; Support (go-lives and deployments) *")</f>
        <v>0</v>
      </c>
      <c r="F691">
        <f>COUNTIF('Metrics - Articles'!F690,"*Human Resources (SAP HR and employee stories)*")</f>
        <v>0</v>
      </c>
      <c r="G691">
        <f>COUNTIF('Metrics - Articles'!F690,"*P&amp;I (Research &amp; Development)*")</f>
        <v>0</v>
      </c>
      <c r="H691">
        <f>COUNTIF('Metrics - Articles'!F690,"*Business Network (Concur, Ariba, Fieldglass)*")</f>
        <v>0</v>
      </c>
      <c r="I691">
        <f>COUNTIF('Metrics - Articles'!F690,"*GCO – Regions*")</f>
        <v>0</v>
      </c>
      <c r="J691">
        <f>COUNTIF('Metrics - Articles'!F690,"*GCO – Platform Solutions*")</f>
        <v>0</v>
      </c>
      <c r="K691">
        <f>COUNTIF('Metrics - Articles'!F690,"*GCO – Industry Cloud *")</f>
        <v>0</v>
      </c>
      <c r="L691">
        <f>COUNTIF('Metrics - Articles'!F690,"*GCO – Customer Engagement &amp; Commerce (CRM &amp; hybris) *")</f>
        <v>0</v>
      </c>
      <c r="M691">
        <f>COUNTIF('Metrics - Articles'!F690,"*GCO – HR (SuccessFactors)*")</f>
        <v>0</v>
      </c>
      <c r="N691">
        <f>COUNTIF('Metrics - Articles'!F690,"*GCO – Services Sales*")</f>
        <v>0</v>
      </c>
      <c r="O691">
        <f>COUNTIF('Metrics - Articles'!F690,"*GCO – Other*")</f>
        <v>0</v>
      </c>
      <c r="P691">
        <f>COUNTIF('Metrics - Articles'!F690,"*Corporate*")</f>
        <v>0</v>
      </c>
      <c r="R691" s="53">
        <f t="shared" si="12"/>
        <v>0</v>
      </c>
    </row>
    <row r="692" spans="2:18" x14ac:dyDescent="0.25">
      <c r="B692" s="48">
        <f>+'Metrics - Articles'!C691</f>
        <v>0</v>
      </c>
      <c r="C692">
        <f>COUNTIF('Metrics - Articles'!F691,"*GPO (Partner, Ecosystem, Channels)*")</f>
        <v>0</v>
      </c>
      <c r="D692">
        <f>COUNTIF('Metrics - Articles'!F691,"*Office of the CEO*")</f>
        <v>0</v>
      </c>
      <c r="E692">
        <f>COUNTIF('Metrics - Articles'!F691,"*Services Delivery &amp; Support (go-lives and deployments) *")</f>
        <v>0</v>
      </c>
      <c r="F692">
        <f>COUNTIF('Metrics - Articles'!F691,"*Human Resources (SAP HR and employee stories)*")</f>
        <v>0</v>
      </c>
      <c r="G692">
        <f>COUNTIF('Metrics - Articles'!F691,"*P&amp;I (Research &amp; Development)*")</f>
        <v>0</v>
      </c>
      <c r="H692">
        <f>COUNTIF('Metrics - Articles'!F691,"*Business Network (Concur, Ariba, Fieldglass)*")</f>
        <v>0</v>
      </c>
      <c r="I692">
        <f>COUNTIF('Metrics - Articles'!F691,"*GCO – Regions*")</f>
        <v>0</v>
      </c>
      <c r="J692">
        <f>COUNTIF('Metrics - Articles'!F691,"*GCO – Platform Solutions*")</f>
        <v>0</v>
      </c>
      <c r="K692">
        <f>COUNTIF('Metrics - Articles'!F691,"*GCO – Industry Cloud *")</f>
        <v>0</v>
      </c>
      <c r="L692">
        <f>COUNTIF('Metrics - Articles'!F691,"*GCO – Customer Engagement &amp; Commerce (CRM &amp; hybris) *")</f>
        <v>0</v>
      </c>
      <c r="M692">
        <f>COUNTIF('Metrics - Articles'!F691,"*GCO – HR (SuccessFactors)*")</f>
        <v>0</v>
      </c>
      <c r="N692">
        <f>COUNTIF('Metrics - Articles'!F691,"*GCO – Services Sales*")</f>
        <v>0</v>
      </c>
      <c r="O692">
        <f>COUNTIF('Metrics - Articles'!F691,"*GCO – Other*")</f>
        <v>0</v>
      </c>
      <c r="P692">
        <f>COUNTIF('Metrics - Articles'!F691,"*Corporate*")</f>
        <v>0</v>
      </c>
      <c r="R692" s="53">
        <f t="shared" si="12"/>
        <v>0</v>
      </c>
    </row>
    <row r="693" spans="2:18" x14ac:dyDescent="0.25">
      <c r="B693" s="48">
        <f>+'Metrics - Articles'!C692</f>
        <v>0</v>
      </c>
      <c r="C693">
        <f>COUNTIF('Metrics - Articles'!F692,"*GPO (Partner, Ecosystem, Channels)*")</f>
        <v>0</v>
      </c>
      <c r="D693">
        <f>COUNTIF('Metrics - Articles'!F692,"*Office of the CEO*")</f>
        <v>0</v>
      </c>
      <c r="E693">
        <f>COUNTIF('Metrics - Articles'!F692,"*Services Delivery &amp; Support (go-lives and deployments) *")</f>
        <v>0</v>
      </c>
      <c r="F693">
        <f>COUNTIF('Metrics - Articles'!F692,"*Human Resources (SAP HR and employee stories)*")</f>
        <v>0</v>
      </c>
      <c r="G693">
        <f>COUNTIF('Metrics - Articles'!F692,"*P&amp;I (Research &amp; Development)*")</f>
        <v>0</v>
      </c>
      <c r="H693">
        <f>COUNTIF('Metrics - Articles'!F692,"*Business Network (Concur, Ariba, Fieldglass)*")</f>
        <v>0</v>
      </c>
      <c r="I693">
        <f>COUNTIF('Metrics - Articles'!F692,"*GCO – Regions*")</f>
        <v>0</v>
      </c>
      <c r="J693">
        <f>COUNTIF('Metrics - Articles'!F692,"*GCO – Platform Solutions*")</f>
        <v>0</v>
      </c>
      <c r="K693">
        <f>COUNTIF('Metrics - Articles'!F692,"*GCO – Industry Cloud *")</f>
        <v>0</v>
      </c>
      <c r="L693">
        <f>COUNTIF('Metrics - Articles'!F692,"*GCO – Customer Engagement &amp; Commerce (CRM &amp; hybris) *")</f>
        <v>0</v>
      </c>
      <c r="M693">
        <f>COUNTIF('Metrics - Articles'!F692,"*GCO – HR (SuccessFactors)*")</f>
        <v>0</v>
      </c>
      <c r="N693">
        <f>COUNTIF('Metrics - Articles'!F692,"*GCO – Services Sales*")</f>
        <v>0</v>
      </c>
      <c r="O693">
        <f>COUNTIF('Metrics - Articles'!F692,"*GCO – Other*")</f>
        <v>0</v>
      </c>
      <c r="P693">
        <f>COUNTIF('Metrics - Articles'!F692,"*Corporate*")</f>
        <v>0</v>
      </c>
      <c r="R693" s="53">
        <f t="shared" si="12"/>
        <v>0</v>
      </c>
    </row>
    <row r="694" spans="2:18" x14ac:dyDescent="0.25">
      <c r="B694" s="48">
        <f>+'Metrics - Articles'!C693</f>
        <v>0</v>
      </c>
      <c r="C694">
        <f>COUNTIF('Metrics - Articles'!F693,"*GPO (Partner, Ecosystem, Channels)*")</f>
        <v>0</v>
      </c>
      <c r="D694">
        <f>COUNTIF('Metrics - Articles'!F693,"*Office of the CEO*")</f>
        <v>0</v>
      </c>
      <c r="E694">
        <f>COUNTIF('Metrics - Articles'!F693,"*Services Delivery &amp; Support (go-lives and deployments) *")</f>
        <v>0</v>
      </c>
      <c r="F694">
        <f>COUNTIF('Metrics - Articles'!F693,"*Human Resources (SAP HR and employee stories)*")</f>
        <v>0</v>
      </c>
      <c r="G694">
        <f>COUNTIF('Metrics - Articles'!F693,"*P&amp;I (Research &amp; Development)*")</f>
        <v>0</v>
      </c>
      <c r="H694">
        <f>COUNTIF('Metrics - Articles'!F693,"*Business Network (Concur, Ariba, Fieldglass)*")</f>
        <v>0</v>
      </c>
      <c r="I694">
        <f>COUNTIF('Metrics - Articles'!F693,"*GCO – Regions*")</f>
        <v>0</v>
      </c>
      <c r="J694">
        <f>COUNTIF('Metrics - Articles'!F693,"*GCO – Platform Solutions*")</f>
        <v>0</v>
      </c>
      <c r="K694">
        <f>COUNTIF('Metrics - Articles'!F693,"*GCO – Industry Cloud *")</f>
        <v>0</v>
      </c>
      <c r="L694">
        <f>COUNTIF('Metrics - Articles'!F693,"*GCO – Customer Engagement &amp; Commerce (CRM &amp; hybris) *")</f>
        <v>0</v>
      </c>
      <c r="M694">
        <f>COUNTIF('Metrics - Articles'!F693,"*GCO – HR (SuccessFactors)*")</f>
        <v>0</v>
      </c>
      <c r="N694">
        <f>COUNTIF('Metrics - Articles'!F693,"*GCO – Services Sales*")</f>
        <v>0</v>
      </c>
      <c r="O694">
        <f>COUNTIF('Metrics - Articles'!F693,"*GCO – Other*")</f>
        <v>0</v>
      </c>
      <c r="P694">
        <f>COUNTIF('Metrics - Articles'!F693,"*Corporate*")</f>
        <v>0</v>
      </c>
      <c r="R694" s="53">
        <f t="shared" si="12"/>
        <v>0</v>
      </c>
    </row>
    <row r="695" spans="2:18" x14ac:dyDescent="0.25">
      <c r="B695" s="48">
        <f>+'Metrics - Articles'!C694</f>
        <v>0</v>
      </c>
      <c r="C695">
        <f>COUNTIF('Metrics - Articles'!F694,"*GPO (Partner, Ecosystem, Channels)*")</f>
        <v>0</v>
      </c>
      <c r="D695">
        <f>COUNTIF('Metrics - Articles'!F694,"*Office of the CEO*")</f>
        <v>0</v>
      </c>
      <c r="E695">
        <f>COUNTIF('Metrics - Articles'!F694,"*Services Delivery &amp; Support (go-lives and deployments) *")</f>
        <v>0</v>
      </c>
      <c r="F695">
        <f>COUNTIF('Metrics - Articles'!F694,"*Human Resources (SAP HR and employee stories)*")</f>
        <v>0</v>
      </c>
      <c r="G695">
        <f>COUNTIF('Metrics - Articles'!F694,"*P&amp;I (Research &amp; Development)*")</f>
        <v>0</v>
      </c>
      <c r="H695">
        <f>COUNTIF('Metrics - Articles'!F694,"*Business Network (Concur, Ariba, Fieldglass)*")</f>
        <v>0</v>
      </c>
      <c r="I695">
        <f>COUNTIF('Metrics - Articles'!F694,"*GCO – Regions*")</f>
        <v>0</v>
      </c>
      <c r="J695">
        <f>COUNTIF('Metrics - Articles'!F694,"*GCO – Platform Solutions*")</f>
        <v>0</v>
      </c>
      <c r="K695">
        <f>COUNTIF('Metrics - Articles'!F694,"*GCO – Industry Cloud *")</f>
        <v>0</v>
      </c>
      <c r="L695">
        <f>COUNTIF('Metrics - Articles'!F694,"*GCO – Customer Engagement &amp; Commerce (CRM &amp; hybris) *")</f>
        <v>0</v>
      </c>
      <c r="M695">
        <f>COUNTIF('Metrics - Articles'!F694,"*GCO – HR (SuccessFactors)*")</f>
        <v>0</v>
      </c>
      <c r="N695">
        <f>COUNTIF('Metrics - Articles'!F694,"*GCO – Services Sales*")</f>
        <v>0</v>
      </c>
      <c r="O695">
        <f>COUNTIF('Metrics - Articles'!F694,"*GCO – Other*")</f>
        <v>0</v>
      </c>
      <c r="P695">
        <f>COUNTIF('Metrics - Articles'!F694,"*Corporate*")</f>
        <v>0</v>
      </c>
      <c r="R695" s="53">
        <f t="shared" si="12"/>
        <v>0</v>
      </c>
    </row>
    <row r="696" spans="2:18" x14ac:dyDescent="0.25">
      <c r="B696" s="48">
        <f>+'Metrics - Articles'!C695</f>
        <v>0</v>
      </c>
      <c r="C696">
        <f>COUNTIF('Metrics - Articles'!F695,"*GPO (Partner, Ecosystem, Channels)*")</f>
        <v>0</v>
      </c>
      <c r="D696">
        <f>COUNTIF('Metrics - Articles'!F695,"*Office of the CEO*")</f>
        <v>0</v>
      </c>
      <c r="E696">
        <f>COUNTIF('Metrics - Articles'!F695,"*Services Delivery &amp; Support (go-lives and deployments) *")</f>
        <v>0</v>
      </c>
      <c r="F696">
        <f>COUNTIF('Metrics - Articles'!F695,"*Human Resources (SAP HR and employee stories)*")</f>
        <v>0</v>
      </c>
      <c r="G696">
        <f>COUNTIF('Metrics - Articles'!F695,"*P&amp;I (Research &amp; Development)*")</f>
        <v>0</v>
      </c>
      <c r="H696">
        <f>COUNTIF('Metrics - Articles'!F695,"*Business Network (Concur, Ariba, Fieldglass)*")</f>
        <v>0</v>
      </c>
      <c r="I696">
        <f>COUNTIF('Metrics - Articles'!F695,"*GCO – Regions*")</f>
        <v>0</v>
      </c>
      <c r="J696">
        <f>COUNTIF('Metrics - Articles'!F695,"*GCO – Platform Solutions*")</f>
        <v>0</v>
      </c>
      <c r="K696">
        <f>COUNTIF('Metrics - Articles'!F695,"*GCO – Industry Cloud *")</f>
        <v>0</v>
      </c>
      <c r="L696">
        <f>COUNTIF('Metrics - Articles'!F695,"*GCO – Customer Engagement &amp; Commerce (CRM &amp; hybris) *")</f>
        <v>0</v>
      </c>
      <c r="M696">
        <f>COUNTIF('Metrics - Articles'!F695,"*GCO – HR (SuccessFactors)*")</f>
        <v>0</v>
      </c>
      <c r="N696">
        <f>COUNTIF('Metrics - Articles'!F695,"*GCO – Services Sales*")</f>
        <v>0</v>
      </c>
      <c r="O696">
        <f>COUNTIF('Metrics - Articles'!F695,"*GCO – Other*")</f>
        <v>0</v>
      </c>
      <c r="P696">
        <f>COUNTIF('Metrics - Articles'!F695,"*Corporate*")</f>
        <v>0</v>
      </c>
      <c r="R696" s="53">
        <f t="shared" si="12"/>
        <v>0</v>
      </c>
    </row>
    <row r="697" spans="2:18" x14ac:dyDescent="0.25">
      <c r="B697" s="48">
        <f>+'Metrics - Articles'!C696</f>
        <v>0</v>
      </c>
      <c r="C697">
        <f>COUNTIF('Metrics - Articles'!F696,"*GPO (Partner, Ecosystem, Channels)*")</f>
        <v>0</v>
      </c>
      <c r="D697">
        <f>COUNTIF('Metrics - Articles'!F696,"*Office of the CEO*")</f>
        <v>0</v>
      </c>
      <c r="E697">
        <f>COUNTIF('Metrics - Articles'!F696,"*Services Delivery &amp; Support (go-lives and deployments) *")</f>
        <v>0</v>
      </c>
      <c r="F697">
        <f>COUNTIF('Metrics - Articles'!F696,"*Human Resources (SAP HR and employee stories)*")</f>
        <v>0</v>
      </c>
      <c r="G697">
        <f>COUNTIF('Metrics - Articles'!F696,"*P&amp;I (Research &amp; Development)*")</f>
        <v>0</v>
      </c>
      <c r="H697">
        <f>COUNTIF('Metrics - Articles'!F696,"*Business Network (Concur, Ariba, Fieldglass)*")</f>
        <v>0</v>
      </c>
      <c r="I697">
        <f>COUNTIF('Metrics - Articles'!F696,"*GCO – Regions*")</f>
        <v>0</v>
      </c>
      <c r="J697">
        <f>COUNTIF('Metrics - Articles'!F696,"*GCO – Platform Solutions*")</f>
        <v>0</v>
      </c>
      <c r="K697">
        <f>COUNTIF('Metrics - Articles'!F696,"*GCO – Industry Cloud *")</f>
        <v>0</v>
      </c>
      <c r="L697">
        <f>COUNTIF('Metrics - Articles'!F696,"*GCO – Customer Engagement &amp; Commerce (CRM &amp; hybris) *")</f>
        <v>0</v>
      </c>
      <c r="M697">
        <f>COUNTIF('Metrics - Articles'!F696,"*GCO – HR (SuccessFactors)*")</f>
        <v>0</v>
      </c>
      <c r="N697">
        <f>COUNTIF('Metrics - Articles'!F696,"*GCO – Services Sales*")</f>
        <v>0</v>
      </c>
      <c r="O697">
        <f>COUNTIF('Metrics - Articles'!F696,"*GCO – Other*")</f>
        <v>0</v>
      </c>
      <c r="P697">
        <f>COUNTIF('Metrics - Articles'!F696,"*Corporate*")</f>
        <v>0</v>
      </c>
      <c r="R697" s="53">
        <f t="shared" si="12"/>
        <v>0</v>
      </c>
    </row>
    <row r="698" spans="2:18" x14ac:dyDescent="0.25">
      <c r="B698" s="48">
        <f>+'Metrics - Articles'!C697</f>
        <v>0</v>
      </c>
      <c r="C698">
        <f>COUNTIF('Metrics - Articles'!F697,"*GPO (Partner, Ecosystem, Channels)*")</f>
        <v>0</v>
      </c>
      <c r="D698">
        <f>COUNTIF('Metrics - Articles'!F697,"*Office of the CEO*")</f>
        <v>0</v>
      </c>
      <c r="E698">
        <f>COUNTIF('Metrics - Articles'!F697,"*Services Delivery &amp; Support (go-lives and deployments) *")</f>
        <v>0</v>
      </c>
      <c r="F698">
        <f>COUNTIF('Metrics - Articles'!F697,"*Human Resources (SAP HR and employee stories)*")</f>
        <v>0</v>
      </c>
      <c r="G698">
        <f>COUNTIF('Metrics - Articles'!F697,"*P&amp;I (Research &amp; Development)*")</f>
        <v>0</v>
      </c>
      <c r="H698">
        <f>COUNTIF('Metrics - Articles'!F697,"*Business Network (Concur, Ariba, Fieldglass)*")</f>
        <v>0</v>
      </c>
      <c r="I698">
        <f>COUNTIF('Metrics - Articles'!F697,"*GCO – Regions*")</f>
        <v>0</v>
      </c>
      <c r="J698">
        <f>COUNTIF('Metrics - Articles'!F697,"*GCO – Platform Solutions*")</f>
        <v>0</v>
      </c>
      <c r="K698">
        <f>COUNTIF('Metrics - Articles'!F697,"*GCO – Industry Cloud *")</f>
        <v>0</v>
      </c>
      <c r="L698">
        <f>COUNTIF('Metrics - Articles'!F697,"*GCO – Customer Engagement &amp; Commerce (CRM &amp; hybris) *")</f>
        <v>0</v>
      </c>
      <c r="M698">
        <f>COUNTIF('Metrics - Articles'!F697,"*GCO – HR (SuccessFactors)*")</f>
        <v>0</v>
      </c>
      <c r="N698">
        <f>COUNTIF('Metrics - Articles'!F697,"*GCO – Services Sales*")</f>
        <v>0</v>
      </c>
      <c r="O698">
        <f>COUNTIF('Metrics - Articles'!F697,"*GCO – Other*")</f>
        <v>0</v>
      </c>
      <c r="P698">
        <f>COUNTIF('Metrics - Articles'!F697,"*Corporate*")</f>
        <v>0</v>
      </c>
      <c r="R698" s="53">
        <f t="shared" si="12"/>
        <v>0</v>
      </c>
    </row>
    <row r="699" spans="2:18" x14ac:dyDescent="0.25">
      <c r="B699" s="48">
        <f>+'Metrics - Articles'!C698</f>
        <v>0</v>
      </c>
      <c r="C699">
        <f>COUNTIF('Metrics - Articles'!F698,"*GPO (Partner, Ecosystem, Channels)*")</f>
        <v>0</v>
      </c>
      <c r="D699">
        <f>COUNTIF('Metrics - Articles'!F698,"*Office of the CEO*")</f>
        <v>0</v>
      </c>
      <c r="E699">
        <f>COUNTIF('Metrics - Articles'!F698,"*Services Delivery &amp; Support (go-lives and deployments) *")</f>
        <v>0</v>
      </c>
      <c r="F699">
        <f>COUNTIF('Metrics - Articles'!F698,"*Human Resources (SAP HR and employee stories)*")</f>
        <v>0</v>
      </c>
      <c r="G699">
        <f>COUNTIF('Metrics - Articles'!F698,"*P&amp;I (Research &amp; Development)*")</f>
        <v>0</v>
      </c>
      <c r="H699">
        <f>COUNTIF('Metrics - Articles'!F698,"*Business Network (Concur, Ariba, Fieldglass)*")</f>
        <v>0</v>
      </c>
      <c r="I699">
        <f>COUNTIF('Metrics - Articles'!F698,"*GCO – Regions*")</f>
        <v>0</v>
      </c>
      <c r="J699">
        <f>COUNTIF('Metrics - Articles'!F698,"*GCO – Platform Solutions*")</f>
        <v>0</v>
      </c>
      <c r="K699">
        <f>COUNTIF('Metrics - Articles'!F698,"*GCO – Industry Cloud *")</f>
        <v>0</v>
      </c>
      <c r="L699">
        <f>COUNTIF('Metrics - Articles'!F698,"*GCO – Customer Engagement &amp; Commerce (CRM &amp; hybris) *")</f>
        <v>0</v>
      </c>
      <c r="M699">
        <f>COUNTIF('Metrics - Articles'!F698,"*GCO – HR (SuccessFactors)*")</f>
        <v>0</v>
      </c>
      <c r="N699">
        <f>COUNTIF('Metrics - Articles'!F698,"*GCO – Services Sales*")</f>
        <v>0</v>
      </c>
      <c r="O699">
        <f>COUNTIF('Metrics - Articles'!F698,"*GCO – Other*")</f>
        <v>0</v>
      </c>
      <c r="P699">
        <f>COUNTIF('Metrics - Articles'!F698,"*Corporate*")</f>
        <v>0</v>
      </c>
      <c r="R699" s="53">
        <f t="shared" si="12"/>
        <v>0</v>
      </c>
    </row>
    <row r="700" spans="2:18" x14ac:dyDescent="0.25">
      <c r="B700" s="48">
        <f>+'Metrics - Articles'!C699</f>
        <v>0</v>
      </c>
      <c r="C700">
        <f>COUNTIF('Metrics - Articles'!F699,"*GPO (Partner, Ecosystem, Channels)*")</f>
        <v>0</v>
      </c>
      <c r="D700">
        <f>COUNTIF('Metrics - Articles'!F699,"*Office of the CEO*")</f>
        <v>0</v>
      </c>
      <c r="E700">
        <f>COUNTIF('Metrics - Articles'!F699,"*Services Delivery &amp; Support (go-lives and deployments) *")</f>
        <v>0</v>
      </c>
      <c r="F700">
        <f>COUNTIF('Metrics - Articles'!F699,"*Human Resources (SAP HR and employee stories)*")</f>
        <v>0</v>
      </c>
      <c r="G700">
        <f>COUNTIF('Metrics - Articles'!F699,"*P&amp;I (Research &amp; Development)*")</f>
        <v>0</v>
      </c>
      <c r="H700">
        <f>COUNTIF('Metrics - Articles'!F699,"*Business Network (Concur, Ariba, Fieldglass)*")</f>
        <v>0</v>
      </c>
      <c r="I700">
        <f>COUNTIF('Metrics - Articles'!F699,"*GCO – Regions*")</f>
        <v>0</v>
      </c>
      <c r="J700">
        <f>COUNTIF('Metrics - Articles'!F699,"*GCO – Platform Solutions*")</f>
        <v>0</v>
      </c>
      <c r="K700">
        <f>COUNTIF('Metrics - Articles'!F699,"*GCO – Industry Cloud *")</f>
        <v>0</v>
      </c>
      <c r="L700">
        <f>COUNTIF('Metrics - Articles'!F699,"*GCO – Customer Engagement &amp; Commerce (CRM &amp; hybris) *")</f>
        <v>0</v>
      </c>
      <c r="M700">
        <f>COUNTIF('Metrics - Articles'!F699,"*GCO – HR (SuccessFactors)*")</f>
        <v>0</v>
      </c>
      <c r="N700">
        <f>COUNTIF('Metrics - Articles'!F699,"*GCO – Services Sales*")</f>
        <v>0</v>
      </c>
      <c r="O700">
        <f>COUNTIF('Metrics - Articles'!F699,"*GCO – Other*")</f>
        <v>0</v>
      </c>
      <c r="P700">
        <f>COUNTIF('Metrics - Articles'!F699,"*Corporate*")</f>
        <v>0</v>
      </c>
      <c r="R700" s="53">
        <f t="shared" si="12"/>
        <v>0</v>
      </c>
    </row>
    <row r="701" spans="2:18" x14ac:dyDescent="0.25">
      <c r="B701" s="48">
        <f>+'Metrics - Articles'!C700</f>
        <v>0</v>
      </c>
      <c r="C701">
        <f>COUNTIF('Metrics - Articles'!F700,"*GPO (Partner, Ecosystem, Channels)*")</f>
        <v>0</v>
      </c>
      <c r="D701">
        <f>COUNTIF('Metrics - Articles'!F700,"*Office of the CEO*")</f>
        <v>0</v>
      </c>
      <c r="E701">
        <f>COUNTIF('Metrics - Articles'!F700,"*Services Delivery &amp; Support (go-lives and deployments) *")</f>
        <v>0</v>
      </c>
      <c r="F701">
        <f>COUNTIF('Metrics - Articles'!F700,"*Human Resources (SAP HR and employee stories)*")</f>
        <v>0</v>
      </c>
      <c r="G701">
        <f>COUNTIF('Metrics - Articles'!F700,"*P&amp;I (Research &amp; Development)*")</f>
        <v>0</v>
      </c>
      <c r="H701">
        <f>COUNTIF('Metrics - Articles'!F700,"*Business Network (Concur, Ariba, Fieldglass)*")</f>
        <v>0</v>
      </c>
      <c r="I701">
        <f>COUNTIF('Metrics - Articles'!F700,"*GCO – Regions*")</f>
        <v>0</v>
      </c>
      <c r="J701">
        <f>COUNTIF('Metrics - Articles'!F700,"*GCO – Platform Solutions*")</f>
        <v>0</v>
      </c>
      <c r="K701">
        <f>COUNTIF('Metrics - Articles'!F700,"*GCO – Industry Cloud *")</f>
        <v>0</v>
      </c>
      <c r="L701">
        <f>COUNTIF('Metrics - Articles'!F700,"*GCO – Customer Engagement &amp; Commerce (CRM &amp; hybris) *")</f>
        <v>0</v>
      </c>
      <c r="M701">
        <f>COUNTIF('Metrics - Articles'!F700,"*GCO – HR (SuccessFactors)*")</f>
        <v>0</v>
      </c>
      <c r="N701">
        <f>COUNTIF('Metrics - Articles'!F700,"*GCO – Services Sales*")</f>
        <v>0</v>
      </c>
      <c r="O701">
        <f>COUNTIF('Metrics - Articles'!F700,"*GCO – Other*")</f>
        <v>0</v>
      </c>
      <c r="P701">
        <f>COUNTIF('Metrics - Articles'!F700,"*Corporate*")</f>
        <v>0</v>
      </c>
      <c r="R701" s="53">
        <f t="shared" si="12"/>
        <v>0</v>
      </c>
    </row>
    <row r="702" spans="2:18" x14ac:dyDescent="0.25">
      <c r="B702" s="48">
        <f>+'Metrics - Articles'!C701</f>
        <v>0</v>
      </c>
      <c r="C702">
        <f>COUNTIF('Metrics - Articles'!F701,"*GPO (Partner, Ecosystem, Channels)*")</f>
        <v>0</v>
      </c>
      <c r="D702">
        <f>COUNTIF('Metrics - Articles'!F701,"*Office of the CEO*")</f>
        <v>0</v>
      </c>
      <c r="E702">
        <f>COUNTIF('Metrics - Articles'!F701,"*Services Delivery &amp; Support (go-lives and deployments) *")</f>
        <v>0</v>
      </c>
      <c r="F702">
        <f>COUNTIF('Metrics - Articles'!F701,"*Human Resources (SAP HR and employee stories)*")</f>
        <v>0</v>
      </c>
      <c r="G702">
        <f>COUNTIF('Metrics - Articles'!F701,"*P&amp;I (Research &amp; Development)*")</f>
        <v>0</v>
      </c>
      <c r="H702">
        <f>COUNTIF('Metrics - Articles'!F701,"*Business Network (Concur, Ariba, Fieldglass)*")</f>
        <v>0</v>
      </c>
      <c r="I702">
        <f>COUNTIF('Metrics - Articles'!F701,"*GCO – Regions*")</f>
        <v>0</v>
      </c>
      <c r="J702">
        <f>COUNTIF('Metrics - Articles'!F701,"*GCO – Platform Solutions*")</f>
        <v>0</v>
      </c>
      <c r="K702">
        <f>COUNTIF('Metrics - Articles'!F701,"*GCO – Industry Cloud *")</f>
        <v>0</v>
      </c>
      <c r="L702">
        <f>COUNTIF('Metrics - Articles'!F701,"*GCO – Customer Engagement &amp; Commerce (CRM &amp; hybris) *")</f>
        <v>0</v>
      </c>
      <c r="M702">
        <f>COUNTIF('Metrics - Articles'!F701,"*GCO – HR (SuccessFactors)*")</f>
        <v>0</v>
      </c>
      <c r="N702">
        <f>COUNTIF('Metrics - Articles'!F701,"*GCO – Services Sales*")</f>
        <v>0</v>
      </c>
      <c r="O702">
        <f>COUNTIF('Metrics - Articles'!F701,"*GCO – Other*")</f>
        <v>0</v>
      </c>
      <c r="P702">
        <f>COUNTIF('Metrics - Articles'!F701,"*Corporate*")</f>
        <v>0</v>
      </c>
      <c r="R702" s="53">
        <f t="shared" si="12"/>
        <v>0</v>
      </c>
    </row>
    <row r="703" spans="2:18" x14ac:dyDescent="0.25">
      <c r="B703" s="48">
        <f>+'Metrics - Articles'!C702</f>
        <v>0</v>
      </c>
      <c r="C703">
        <f>COUNTIF('Metrics - Articles'!F702,"*GPO (Partner, Ecosystem, Channels)*")</f>
        <v>0</v>
      </c>
      <c r="D703">
        <f>COUNTIF('Metrics - Articles'!F702,"*Office of the CEO*")</f>
        <v>0</v>
      </c>
      <c r="E703">
        <f>COUNTIF('Metrics - Articles'!F702,"*Services Delivery &amp; Support (go-lives and deployments) *")</f>
        <v>0</v>
      </c>
      <c r="F703">
        <f>COUNTIF('Metrics - Articles'!F702,"*Human Resources (SAP HR and employee stories)*")</f>
        <v>0</v>
      </c>
      <c r="G703">
        <f>COUNTIF('Metrics - Articles'!F702,"*P&amp;I (Research &amp; Development)*")</f>
        <v>0</v>
      </c>
      <c r="H703">
        <f>COUNTIF('Metrics - Articles'!F702,"*Business Network (Concur, Ariba, Fieldglass)*")</f>
        <v>0</v>
      </c>
      <c r="I703">
        <f>COUNTIF('Metrics - Articles'!F702,"*GCO – Regions*")</f>
        <v>0</v>
      </c>
      <c r="J703">
        <f>COUNTIF('Metrics - Articles'!F702,"*GCO – Platform Solutions*")</f>
        <v>0</v>
      </c>
      <c r="K703">
        <f>COUNTIF('Metrics - Articles'!F702,"*GCO – Industry Cloud *")</f>
        <v>0</v>
      </c>
      <c r="L703">
        <f>COUNTIF('Metrics - Articles'!F702,"*GCO – Customer Engagement &amp; Commerce (CRM &amp; hybris) *")</f>
        <v>0</v>
      </c>
      <c r="M703">
        <f>COUNTIF('Metrics - Articles'!F702,"*GCO – HR (SuccessFactors)*")</f>
        <v>0</v>
      </c>
      <c r="N703">
        <f>COUNTIF('Metrics - Articles'!F702,"*GCO – Services Sales*")</f>
        <v>0</v>
      </c>
      <c r="O703">
        <f>COUNTIF('Metrics - Articles'!F702,"*GCO – Other*")</f>
        <v>0</v>
      </c>
      <c r="P703">
        <f>COUNTIF('Metrics - Articles'!F702,"*Corporate*")</f>
        <v>0</v>
      </c>
      <c r="R703" s="53">
        <f t="shared" si="12"/>
        <v>0</v>
      </c>
    </row>
    <row r="704" spans="2:18" x14ac:dyDescent="0.25">
      <c r="B704" s="48">
        <f>+'Metrics - Articles'!C703</f>
        <v>0</v>
      </c>
      <c r="C704">
        <f>COUNTIF('Metrics - Articles'!F703,"*GPO (Partner, Ecosystem, Channels)*")</f>
        <v>0</v>
      </c>
      <c r="D704">
        <f>COUNTIF('Metrics - Articles'!F703,"*Office of the CEO*")</f>
        <v>0</v>
      </c>
      <c r="E704">
        <f>COUNTIF('Metrics - Articles'!F703,"*Services Delivery &amp; Support (go-lives and deployments) *")</f>
        <v>0</v>
      </c>
      <c r="F704">
        <f>COUNTIF('Metrics - Articles'!F703,"*Human Resources (SAP HR and employee stories)*")</f>
        <v>0</v>
      </c>
      <c r="G704">
        <f>COUNTIF('Metrics - Articles'!F703,"*P&amp;I (Research &amp; Development)*")</f>
        <v>0</v>
      </c>
      <c r="H704">
        <f>COUNTIF('Metrics - Articles'!F703,"*Business Network (Concur, Ariba, Fieldglass)*")</f>
        <v>0</v>
      </c>
      <c r="I704">
        <f>COUNTIF('Metrics - Articles'!F703,"*GCO – Regions*")</f>
        <v>0</v>
      </c>
      <c r="J704">
        <f>COUNTIF('Metrics - Articles'!F703,"*GCO – Platform Solutions*")</f>
        <v>0</v>
      </c>
      <c r="K704">
        <f>COUNTIF('Metrics - Articles'!F703,"*GCO – Industry Cloud *")</f>
        <v>0</v>
      </c>
      <c r="L704">
        <f>COUNTIF('Metrics - Articles'!F703,"*GCO – Customer Engagement &amp; Commerce (CRM &amp; hybris) *")</f>
        <v>0</v>
      </c>
      <c r="M704">
        <f>COUNTIF('Metrics - Articles'!F703,"*GCO – HR (SuccessFactors)*")</f>
        <v>0</v>
      </c>
      <c r="N704">
        <f>COUNTIF('Metrics - Articles'!F703,"*GCO – Services Sales*")</f>
        <v>0</v>
      </c>
      <c r="O704">
        <f>COUNTIF('Metrics - Articles'!F703,"*GCO – Other*")</f>
        <v>0</v>
      </c>
      <c r="P704">
        <f>COUNTIF('Metrics - Articles'!F703,"*Corporate*")</f>
        <v>0</v>
      </c>
      <c r="R704" s="53">
        <f t="shared" si="12"/>
        <v>0</v>
      </c>
    </row>
    <row r="705" spans="2:18" x14ac:dyDescent="0.25">
      <c r="B705" s="48">
        <f>+'Metrics - Articles'!C704</f>
        <v>0</v>
      </c>
      <c r="C705">
        <f>COUNTIF('Metrics - Articles'!F704,"*GPO (Partner, Ecosystem, Channels)*")</f>
        <v>0</v>
      </c>
      <c r="D705">
        <f>COUNTIF('Metrics - Articles'!F704,"*Office of the CEO*")</f>
        <v>0</v>
      </c>
      <c r="E705">
        <f>COUNTIF('Metrics - Articles'!F704,"*Services Delivery &amp; Support (go-lives and deployments) *")</f>
        <v>0</v>
      </c>
      <c r="F705">
        <f>COUNTIF('Metrics - Articles'!F704,"*Human Resources (SAP HR and employee stories)*")</f>
        <v>0</v>
      </c>
      <c r="G705">
        <f>COUNTIF('Metrics - Articles'!F704,"*P&amp;I (Research &amp; Development)*")</f>
        <v>0</v>
      </c>
      <c r="H705">
        <f>COUNTIF('Metrics - Articles'!F704,"*Business Network (Concur, Ariba, Fieldglass)*")</f>
        <v>0</v>
      </c>
      <c r="I705">
        <f>COUNTIF('Metrics - Articles'!F704,"*GCO – Regions*")</f>
        <v>0</v>
      </c>
      <c r="J705">
        <f>COUNTIF('Metrics - Articles'!F704,"*GCO – Platform Solutions*")</f>
        <v>0</v>
      </c>
      <c r="K705">
        <f>COUNTIF('Metrics - Articles'!F704,"*GCO – Industry Cloud *")</f>
        <v>0</v>
      </c>
      <c r="L705">
        <f>COUNTIF('Metrics - Articles'!F704,"*GCO – Customer Engagement &amp; Commerce (CRM &amp; hybris) *")</f>
        <v>0</v>
      </c>
      <c r="M705">
        <f>COUNTIF('Metrics - Articles'!F704,"*GCO – HR (SuccessFactors)*")</f>
        <v>0</v>
      </c>
      <c r="N705">
        <f>COUNTIF('Metrics - Articles'!F704,"*GCO – Services Sales*")</f>
        <v>0</v>
      </c>
      <c r="O705">
        <f>COUNTIF('Metrics - Articles'!F704,"*GCO – Other*")</f>
        <v>0</v>
      </c>
      <c r="P705">
        <f>COUNTIF('Metrics - Articles'!F704,"*Corporate*")</f>
        <v>0</v>
      </c>
      <c r="R705" s="53">
        <f t="shared" si="12"/>
        <v>0</v>
      </c>
    </row>
    <row r="706" spans="2:18" x14ac:dyDescent="0.25">
      <c r="B706" s="48">
        <f>+'Metrics - Articles'!C705</f>
        <v>0</v>
      </c>
      <c r="C706">
        <f>COUNTIF('Metrics - Articles'!F705,"*GPO (Partner, Ecosystem, Channels)*")</f>
        <v>0</v>
      </c>
      <c r="D706">
        <f>COUNTIF('Metrics - Articles'!F705,"*Office of the CEO*")</f>
        <v>0</v>
      </c>
      <c r="E706">
        <f>COUNTIF('Metrics - Articles'!F705,"*Services Delivery &amp; Support (go-lives and deployments) *")</f>
        <v>0</v>
      </c>
      <c r="F706">
        <f>COUNTIF('Metrics - Articles'!F705,"*Human Resources (SAP HR and employee stories)*")</f>
        <v>0</v>
      </c>
      <c r="G706">
        <f>COUNTIF('Metrics - Articles'!F705,"*P&amp;I (Research &amp; Development)*")</f>
        <v>0</v>
      </c>
      <c r="H706">
        <f>COUNTIF('Metrics - Articles'!F705,"*Business Network (Concur, Ariba, Fieldglass)*")</f>
        <v>0</v>
      </c>
      <c r="I706">
        <f>COUNTIF('Metrics - Articles'!F705,"*GCO – Regions*")</f>
        <v>0</v>
      </c>
      <c r="J706">
        <f>COUNTIF('Metrics - Articles'!F705,"*GCO – Platform Solutions*")</f>
        <v>0</v>
      </c>
      <c r="K706">
        <f>COUNTIF('Metrics - Articles'!F705,"*GCO – Industry Cloud *")</f>
        <v>0</v>
      </c>
      <c r="L706">
        <f>COUNTIF('Metrics - Articles'!F705,"*GCO – Customer Engagement &amp; Commerce (CRM &amp; hybris) *")</f>
        <v>0</v>
      </c>
      <c r="M706">
        <f>COUNTIF('Metrics - Articles'!F705,"*GCO – HR (SuccessFactors)*")</f>
        <v>0</v>
      </c>
      <c r="N706">
        <f>COUNTIF('Metrics - Articles'!F705,"*GCO – Services Sales*")</f>
        <v>0</v>
      </c>
      <c r="O706">
        <f>COUNTIF('Metrics - Articles'!F705,"*GCO – Other*")</f>
        <v>0</v>
      </c>
      <c r="P706">
        <f>COUNTIF('Metrics - Articles'!F705,"*Corporate*")</f>
        <v>0</v>
      </c>
      <c r="R706" s="53">
        <f t="shared" si="12"/>
        <v>0</v>
      </c>
    </row>
    <row r="707" spans="2:18" x14ac:dyDescent="0.25">
      <c r="B707" s="48">
        <f>+'Metrics - Articles'!C706</f>
        <v>0</v>
      </c>
      <c r="C707">
        <f>COUNTIF('Metrics - Articles'!F706,"*GPO (Partner, Ecosystem, Channels)*")</f>
        <v>0</v>
      </c>
      <c r="D707">
        <f>COUNTIF('Metrics - Articles'!F706,"*Office of the CEO*")</f>
        <v>0</v>
      </c>
      <c r="E707">
        <f>COUNTIF('Metrics - Articles'!F706,"*Services Delivery &amp; Support (go-lives and deployments) *")</f>
        <v>0</v>
      </c>
      <c r="F707">
        <f>COUNTIF('Metrics - Articles'!F706,"*Human Resources (SAP HR and employee stories)*")</f>
        <v>0</v>
      </c>
      <c r="G707">
        <f>COUNTIF('Metrics - Articles'!F706,"*P&amp;I (Research &amp; Development)*")</f>
        <v>0</v>
      </c>
      <c r="H707">
        <f>COUNTIF('Metrics - Articles'!F706,"*Business Network (Concur, Ariba, Fieldglass)*")</f>
        <v>0</v>
      </c>
      <c r="I707">
        <f>COUNTIF('Metrics - Articles'!F706,"*GCO – Regions*")</f>
        <v>0</v>
      </c>
      <c r="J707">
        <f>COUNTIF('Metrics - Articles'!F706,"*GCO – Platform Solutions*")</f>
        <v>0</v>
      </c>
      <c r="K707">
        <f>COUNTIF('Metrics - Articles'!F706,"*GCO – Industry Cloud *")</f>
        <v>0</v>
      </c>
      <c r="L707">
        <f>COUNTIF('Metrics - Articles'!F706,"*GCO – Customer Engagement &amp; Commerce (CRM &amp; hybris) *")</f>
        <v>0</v>
      </c>
      <c r="M707">
        <f>COUNTIF('Metrics - Articles'!F706,"*GCO – HR (SuccessFactors)*")</f>
        <v>0</v>
      </c>
      <c r="N707">
        <f>COUNTIF('Metrics - Articles'!F706,"*GCO – Services Sales*")</f>
        <v>0</v>
      </c>
      <c r="O707">
        <f>COUNTIF('Metrics - Articles'!F706,"*GCO – Other*")</f>
        <v>0</v>
      </c>
      <c r="P707">
        <f>COUNTIF('Metrics - Articles'!F706,"*Corporate*")</f>
        <v>0</v>
      </c>
      <c r="R707" s="53">
        <f t="shared" si="12"/>
        <v>0</v>
      </c>
    </row>
    <row r="708" spans="2:18" x14ac:dyDescent="0.25">
      <c r="B708" s="48">
        <f>+'Metrics - Articles'!C707</f>
        <v>0</v>
      </c>
      <c r="C708">
        <f>COUNTIF('Metrics - Articles'!F707,"*GPO (Partner, Ecosystem, Channels)*")</f>
        <v>0</v>
      </c>
      <c r="D708">
        <f>COUNTIF('Metrics - Articles'!F707,"*Office of the CEO*")</f>
        <v>0</v>
      </c>
      <c r="E708">
        <f>COUNTIF('Metrics - Articles'!F707,"*Services Delivery &amp; Support (go-lives and deployments) *")</f>
        <v>0</v>
      </c>
      <c r="F708">
        <f>COUNTIF('Metrics - Articles'!F707,"*Human Resources (SAP HR and employee stories)*")</f>
        <v>0</v>
      </c>
      <c r="G708">
        <f>COUNTIF('Metrics - Articles'!F707,"*P&amp;I (Research &amp; Development)*")</f>
        <v>0</v>
      </c>
      <c r="H708">
        <f>COUNTIF('Metrics - Articles'!F707,"*Business Network (Concur, Ariba, Fieldglass)*")</f>
        <v>0</v>
      </c>
      <c r="I708">
        <f>COUNTIF('Metrics - Articles'!F707,"*GCO – Regions*")</f>
        <v>0</v>
      </c>
      <c r="J708">
        <f>COUNTIF('Metrics - Articles'!F707,"*GCO – Platform Solutions*")</f>
        <v>0</v>
      </c>
      <c r="K708">
        <f>COUNTIF('Metrics - Articles'!F707,"*GCO – Industry Cloud *")</f>
        <v>0</v>
      </c>
      <c r="L708">
        <f>COUNTIF('Metrics - Articles'!F707,"*GCO – Customer Engagement &amp; Commerce (CRM &amp; hybris) *")</f>
        <v>0</v>
      </c>
      <c r="M708">
        <f>COUNTIF('Metrics - Articles'!F707,"*GCO – HR (SuccessFactors)*")</f>
        <v>0</v>
      </c>
      <c r="N708">
        <f>COUNTIF('Metrics - Articles'!F707,"*GCO – Services Sales*")</f>
        <v>0</v>
      </c>
      <c r="O708">
        <f>COUNTIF('Metrics - Articles'!F707,"*GCO – Other*")</f>
        <v>0</v>
      </c>
      <c r="P708">
        <f>COUNTIF('Metrics - Articles'!F707,"*Corporate*")</f>
        <v>0</v>
      </c>
      <c r="R708" s="53">
        <f t="shared" si="12"/>
        <v>0</v>
      </c>
    </row>
    <row r="709" spans="2:18" x14ac:dyDescent="0.25">
      <c r="B709" s="48">
        <f>+'Metrics - Articles'!C708</f>
        <v>0</v>
      </c>
      <c r="C709">
        <f>COUNTIF('Metrics - Articles'!F708,"*GPO (Partner, Ecosystem, Channels)*")</f>
        <v>0</v>
      </c>
      <c r="D709">
        <f>COUNTIF('Metrics - Articles'!F708,"*Office of the CEO*")</f>
        <v>0</v>
      </c>
      <c r="E709">
        <f>COUNTIF('Metrics - Articles'!F708,"*Services Delivery &amp; Support (go-lives and deployments) *")</f>
        <v>0</v>
      </c>
      <c r="F709">
        <f>COUNTIF('Metrics - Articles'!F708,"*Human Resources (SAP HR and employee stories)*")</f>
        <v>0</v>
      </c>
      <c r="G709">
        <f>COUNTIF('Metrics - Articles'!F708,"*P&amp;I (Research &amp; Development)*")</f>
        <v>0</v>
      </c>
      <c r="H709">
        <f>COUNTIF('Metrics - Articles'!F708,"*Business Network (Concur, Ariba, Fieldglass)*")</f>
        <v>0</v>
      </c>
      <c r="I709">
        <f>COUNTIF('Metrics - Articles'!F708,"*GCO – Regions*")</f>
        <v>0</v>
      </c>
      <c r="J709">
        <f>COUNTIF('Metrics - Articles'!F708,"*GCO – Platform Solutions*")</f>
        <v>0</v>
      </c>
      <c r="K709">
        <f>COUNTIF('Metrics - Articles'!F708,"*GCO – Industry Cloud *")</f>
        <v>0</v>
      </c>
      <c r="L709">
        <f>COUNTIF('Metrics - Articles'!F708,"*GCO – Customer Engagement &amp; Commerce (CRM &amp; hybris) *")</f>
        <v>0</v>
      </c>
      <c r="M709">
        <f>COUNTIF('Metrics - Articles'!F708,"*GCO – HR (SuccessFactors)*")</f>
        <v>0</v>
      </c>
      <c r="N709">
        <f>COUNTIF('Metrics - Articles'!F708,"*GCO – Services Sales*")</f>
        <v>0</v>
      </c>
      <c r="O709">
        <f>COUNTIF('Metrics - Articles'!F708,"*GCO – Other*")</f>
        <v>0</v>
      </c>
      <c r="P709">
        <f>COUNTIF('Metrics - Articles'!F708,"*Corporate*")</f>
        <v>0</v>
      </c>
      <c r="R709" s="53">
        <f t="shared" si="12"/>
        <v>0</v>
      </c>
    </row>
    <row r="710" spans="2:18" x14ac:dyDescent="0.25">
      <c r="B710" s="48">
        <f>+'Metrics - Articles'!C709</f>
        <v>0</v>
      </c>
      <c r="C710">
        <f>COUNTIF('Metrics - Articles'!F709,"*GPO (Partner, Ecosystem, Channels)*")</f>
        <v>0</v>
      </c>
      <c r="D710">
        <f>COUNTIF('Metrics - Articles'!F709,"*Office of the CEO*")</f>
        <v>0</v>
      </c>
      <c r="E710">
        <f>COUNTIF('Metrics - Articles'!F709,"*Services Delivery &amp; Support (go-lives and deployments) *")</f>
        <v>0</v>
      </c>
      <c r="F710">
        <f>COUNTIF('Metrics - Articles'!F709,"*Human Resources (SAP HR and employee stories)*")</f>
        <v>0</v>
      </c>
      <c r="G710">
        <f>COUNTIF('Metrics - Articles'!F709,"*P&amp;I (Research &amp; Development)*")</f>
        <v>0</v>
      </c>
      <c r="H710">
        <f>COUNTIF('Metrics - Articles'!F709,"*Business Network (Concur, Ariba, Fieldglass)*")</f>
        <v>0</v>
      </c>
      <c r="I710">
        <f>COUNTIF('Metrics - Articles'!F709,"*GCO – Regions*")</f>
        <v>0</v>
      </c>
      <c r="J710">
        <f>COUNTIF('Metrics - Articles'!F709,"*GCO – Platform Solutions*")</f>
        <v>0</v>
      </c>
      <c r="K710">
        <f>COUNTIF('Metrics - Articles'!F709,"*GCO – Industry Cloud *")</f>
        <v>0</v>
      </c>
      <c r="L710">
        <f>COUNTIF('Metrics - Articles'!F709,"*GCO – Customer Engagement &amp; Commerce (CRM &amp; hybris) *")</f>
        <v>0</v>
      </c>
      <c r="M710">
        <f>COUNTIF('Metrics - Articles'!F709,"*GCO – HR (SuccessFactors)*")</f>
        <v>0</v>
      </c>
      <c r="N710">
        <f>COUNTIF('Metrics - Articles'!F709,"*GCO – Services Sales*")</f>
        <v>0</v>
      </c>
      <c r="O710">
        <f>COUNTIF('Metrics - Articles'!F709,"*GCO – Other*")</f>
        <v>0</v>
      </c>
      <c r="P710">
        <f>COUNTIF('Metrics - Articles'!F709,"*Corporate*")</f>
        <v>0</v>
      </c>
      <c r="R710" s="53">
        <f t="shared" si="12"/>
        <v>0</v>
      </c>
    </row>
    <row r="711" spans="2:18" x14ac:dyDescent="0.25">
      <c r="B711" s="48">
        <f>+'Metrics - Articles'!C710</f>
        <v>0</v>
      </c>
      <c r="C711">
        <f>COUNTIF('Metrics - Articles'!F710,"*GPO (Partner, Ecosystem, Channels)*")</f>
        <v>0</v>
      </c>
      <c r="D711">
        <f>COUNTIF('Metrics - Articles'!F710,"*Office of the CEO*")</f>
        <v>0</v>
      </c>
      <c r="E711">
        <f>COUNTIF('Metrics - Articles'!F710,"*Services Delivery &amp; Support (go-lives and deployments) *")</f>
        <v>0</v>
      </c>
      <c r="F711">
        <f>COUNTIF('Metrics - Articles'!F710,"*Human Resources (SAP HR and employee stories)*")</f>
        <v>0</v>
      </c>
      <c r="G711">
        <f>COUNTIF('Metrics - Articles'!F710,"*P&amp;I (Research &amp; Development)*")</f>
        <v>0</v>
      </c>
      <c r="H711">
        <f>COUNTIF('Metrics - Articles'!F710,"*Business Network (Concur, Ariba, Fieldglass)*")</f>
        <v>0</v>
      </c>
      <c r="I711">
        <f>COUNTIF('Metrics - Articles'!F710,"*GCO – Regions*")</f>
        <v>0</v>
      </c>
      <c r="J711">
        <f>COUNTIF('Metrics - Articles'!F710,"*GCO – Platform Solutions*")</f>
        <v>0</v>
      </c>
      <c r="K711">
        <f>COUNTIF('Metrics - Articles'!F710,"*GCO – Industry Cloud *")</f>
        <v>0</v>
      </c>
      <c r="L711">
        <f>COUNTIF('Metrics - Articles'!F710,"*GCO – Customer Engagement &amp; Commerce (CRM &amp; hybris) *")</f>
        <v>0</v>
      </c>
      <c r="M711">
        <f>COUNTIF('Metrics - Articles'!F710,"*GCO – HR (SuccessFactors)*")</f>
        <v>0</v>
      </c>
      <c r="N711">
        <f>COUNTIF('Metrics - Articles'!F710,"*GCO – Services Sales*")</f>
        <v>0</v>
      </c>
      <c r="O711">
        <f>COUNTIF('Metrics - Articles'!F710,"*GCO – Other*")</f>
        <v>0</v>
      </c>
      <c r="P711">
        <f>COUNTIF('Metrics - Articles'!F710,"*Corporate*")</f>
        <v>0</v>
      </c>
      <c r="R711" s="53">
        <f t="shared" si="12"/>
        <v>0</v>
      </c>
    </row>
    <row r="712" spans="2:18" x14ac:dyDescent="0.25">
      <c r="B712" s="48">
        <f>+'Metrics - Articles'!C711</f>
        <v>0</v>
      </c>
      <c r="C712">
        <f>COUNTIF('Metrics - Articles'!F711,"*GPO (Partner, Ecosystem, Channels)*")</f>
        <v>0</v>
      </c>
      <c r="D712">
        <f>COUNTIF('Metrics - Articles'!F711,"*Office of the CEO*")</f>
        <v>0</v>
      </c>
      <c r="E712">
        <f>COUNTIF('Metrics - Articles'!F711,"*Services Delivery &amp; Support (go-lives and deployments) *")</f>
        <v>0</v>
      </c>
      <c r="F712">
        <f>COUNTIF('Metrics - Articles'!F711,"*Human Resources (SAP HR and employee stories)*")</f>
        <v>0</v>
      </c>
      <c r="G712">
        <f>COUNTIF('Metrics - Articles'!F711,"*P&amp;I (Research &amp; Development)*")</f>
        <v>0</v>
      </c>
      <c r="H712">
        <f>COUNTIF('Metrics - Articles'!F711,"*Business Network (Concur, Ariba, Fieldglass)*")</f>
        <v>0</v>
      </c>
      <c r="I712">
        <f>COUNTIF('Metrics - Articles'!F711,"*GCO – Regions*")</f>
        <v>0</v>
      </c>
      <c r="J712">
        <f>COUNTIF('Metrics - Articles'!F711,"*GCO – Platform Solutions*")</f>
        <v>0</v>
      </c>
      <c r="K712">
        <f>COUNTIF('Metrics - Articles'!F711,"*GCO – Industry Cloud *")</f>
        <v>0</v>
      </c>
      <c r="L712">
        <f>COUNTIF('Metrics - Articles'!F711,"*GCO – Customer Engagement &amp; Commerce (CRM &amp; hybris) *")</f>
        <v>0</v>
      </c>
      <c r="M712">
        <f>COUNTIF('Metrics - Articles'!F711,"*GCO – HR (SuccessFactors)*")</f>
        <v>0</v>
      </c>
      <c r="N712">
        <f>COUNTIF('Metrics - Articles'!F711,"*GCO – Services Sales*")</f>
        <v>0</v>
      </c>
      <c r="O712">
        <f>COUNTIF('Metrics - Articles'!F711,"*GCO – Other*")</f>
        <v>0</v>
      </c>
      <c r="P712">
        <f>COUNTIF('Metrics - Articles'!F711,"*Corporate*")</f>
        <v>0</v>
      </c>
      <c r="R712" s="53">
        <f t="shared" si="12"/>
        <v>0</v>
      </c>
    </row>
    <row r="713" spans="2:18" x14ac:dyDescent="0.25">
      <c r="B713" s="48">
        <f>+'Metrics - Articles'!C712</f>
        <v>0</v>
      </c>
      <c r="C713">
        <f>COUNTIF('Metrics - Articles'!F712,"*GPO (Partner, Ecosystem, Channels)*")</f>
        <v>0</v>
      </c>
      <c r="D713">
        <f>COUNTIF('Metrics - Articles'!F712,"*Office of the CEO*")</f>
        <v>0</v>
      </c>
      <c r="E713">
        <f>COUNTIF('Metrics - Articles'!F712,"*Services Delivery &amp; Support (go-lives and deployments) *")</f>
        <v>0</v>
      </c>
      <c r="F713">
        <f>COUNTIF('Metrics - Articles'!F712,"*Human Resources (SAP HR and employee stories)*")</f>
        <v>0</v>
      </c>
      <c r="G713">
        <f>COUNTIF('Metrics - Articles'!F712,"*P&amp;I (Research &amp; Development)*")</f>
        <v>0</v>
      </c>
      <c r="H713">
        <f>COUNTIF('Metrics - Articles'!F712,"*Business Network (Concur, Ariba, Fieldglass)*")</f>
        <v>0</v>
      </c>
      <c r="I713">
        <f>COUNTIF('Metrics - Articles'!F712,"*GCO – Regions*")</f>
        <v>0</v>
      </c>
      <c r="J713">
        <f>COUNTIF('Metrics - Articles'!F712,"*GCO – Platform Solutions*")</f>
        <v>0</v>
      </c>
      <c r="K713">
        <f>COUNTIF('Metrics - Articles'!F712,"*GCO – Industry Cloud *")</f>
        <v>0</v>
      </c>
      <c r="L713">
        <f>COUNTIF('Metrics - Articles'!F712,"*GCO – Customer Engagement &amp; Commerce (CRM &amp; hybris) *")</f>
        <v>0</v>
      </c>
      <c r="M713">
        <f>COUNTIF('Metrics - Articles'!F712,"*GCO – HR (SuccessFactors)*")</f>
        <v>0</v>
      </c>
      <c r="N713">
        <f>COUNTIF('Metrics - Articles'!F712,"*GCO – Services Sales*")</f>
        <v>0</v>
      </c>
      <c r="O713">
        <f>COUNTIF('Metrics - Articles'!F712,"*GCO – Other*")</f>
        <v>0</v>
      </c>
      <c r="P713">
        <f>COUNTIF('Metrics - Articles'!F712,"*Corporate*")</f>
        <v>0</v>
      </c>
      <c r="R713" s="53">
        <f t="shared" si="12"/>
        <v>0</v>
      </c>
    </row>
    <row r="714" spans="2:18" x14ac:dyDescent="0.25">
      <c r="B714" s="48">
        <f>+'Metrics - Articles'!C713</f>
        <v>0</v>
      </c>
      <c r="C714">
        <f>COUNTIF('Metrics - Articles'!F713,"*GPO (Partner, Ecosystem, Channels)*")</f>
        <v>0</v>
      </c>
      <c r="D714">
        <f>COUNTIF('Metrics - Articles'!F713,"*Office of the CEO*")</f>
        <v>0</v>
      </c>
      <c r="E714">
        <f>COUNTIF('Metrics - Articles'!F713,"*Services Delivery &amp; Support (go-lives and deployments) *")</f>
        <v>0</v>
      </c>
      <c r="F714">
        <f>COUNTIF('Metrics - Articles'!F713,"*Human Resources (SAP HR and employee stories)*")</f>
        <v>0</v>
      </c>
      <c r="G714">
        <f>COUNTIF('Metrics - Articles'!F713,"*P&amp;I (Research &amp; Development)*")</f>
        <v>0</v>
      </c>
      <c r="H714">
        <f>COUNTIF('Metrics - Articles'!F713,"*Business Network (Concur, Ariba, Fieldglass)*")</f>
        <v>0</v>
      </c>
      <c r="I714">
        <f>COUNTIF('Metrics - Articles'!F713,"*GCO – Regions*")</f>
        <v>0</v>
      </c>
      <c r="J714">
        <f>COUNTIF('Metrics - Articles'!F713,"*GCO – Platform Solutions*")</f>
        <v>0</v>
      </c>
      <c r="K714">
        <f>COUNTIF('Metrics - Articles'!F713,"*GCO – Industry Cloud *")</f>
        <v>0</v>
      </c>
      <c r="L714">
        <f>COUNTIF('Metrics - Articles'!F713,"*GCO – Customer Engagement &amp; Commerce (CRM &amp; hybris) *")</f>
        <v>0</v>
      </c>
      <c r="M714">
        <f>COUNTIF('Metrics - Articles'!F713,"*GCO – HR (SuccessFactors)*")</f>
        <v>0</v>
      </c>
      <c r="N714">
        <f>COUNTIF('Metrics - Articles'!F713,"*GCO – Services Sales*")</f>
        <v>0</v>
      </c>
      <c r="O714">
        <f>COUNTIF('Metrics - Articles'!F713,"*GCO – Other*")</f>
        <v>0</v>
      </c>
      <c r="P714">
        <f>COUNTIF('Metrics - Articles'!F713,"*Corporate*")</f>
        <v>0</v>
      </c>
      <c r="R714" s="53">
        <f t="shared" ref="R714:R777" si="13">SUM(C714:Q714)</f>
        <v>0</v>
      </c>
    </row>
    <row r="715" spans="2:18" x14ac:dyDescent="0.25">
      <c r="B715" s="48">
        <f>+'Metrics - Articles'!C714</f>
        <v>0</v>
      </c>
      <c r="C715">
        <f>COUNTIF('Metrics - Articles'!F714,"*GPO (Partner, Ecosystem, Channels)*")</f>
        <v>0</v>
      </c>
      <c r="D715">
        <f>COUNTIF('Metrics - Articles'!F714,"*Office of the CEO*")</f>
        <v>0</v>
      </c>
      <c r="E715">
        <f>COUNTIF('Metrics - Articles'!F714,"*Services Delivery &amp; Support (go-lives and deployments) *")</f>
        <v>0</v>
      </c>
      <c r="F715">
        <f>COUNTIF('Metrics - Articles'!F714,"*Human Resources (SAP HR and employee stories)*")</f>
        <v>0</v>
      </c>
      <c r="G715">
        <f>COUNTIF('Metrics - Articles'!F714,"*P&amp;I (Research &amp; Development)*")</f>
        <v>0</v>
      </c>
      <c r="H715">
        <f>COUNTIF('Metrics - Articles'!F714,"*Business Network (Concur, Ariba, Fieldglass)*")</f>
        <v>0</v>
      </c>
      <c r="I715">
        <f>COUNTIF('Metrics - Articles'!F714,"*GCO – Regions*")</f>
        <v>0</v>
      </c>
      <c r="J715">
        <f>COUNTIF('Metrics - Articles'!F714,"*GCO – Platform Solutions*")</f>
        <v>0</v>
      </c>
      <c r="K715">
        <f>COUNTIF('Metrics - Articles'!F714,"*GCO – Industry Cloud *")</f>
        <v>0</v>
      </c>
      <c r="L715">
        <f>COUNTIF('Metrics - Articles'!F714,"*GCO – Customer Engagement &amp; Commerce (CRM &amp; hybris) *")</f>
        <v>0</v>
      </c>
      <c r="M715">
        <f>COUNTIF('Metrics - Articles'!F714,"*GCO – HR (SuccessFactors)*")</f>
        <v>0</v>
      </c>
      <c r="N715">
        <f>COUNTIF('Metrics - Articles'!F714,"*GCO – Services Sales*")</f>
        <v>0</v>
      </c>
      <c r="O715">
        <f>COUNTIF('Metrics - Articles'!F714,"*GCO – Other*")</f>
        <v>0</v>
      </c>
      <c r="P715">
        <f>COUNTIF('Metrics - Articles'!F714,"*Corporate*")</f>
        <v>0</v>
      </c>
      <c r="R715" s="53">
        <f t="shared" si="13"/>
        <v>0</v>
      </c>
    </row>
    <row r="716" spans="2:18" x14ac:dyDescent="0.25">
      <c r="B716" s="48">
        <f>+'Metrics - Articles'!C715</f>
        <v>0</v>
      </c>
      <c r="C716">
        <f>COUNTIF('Metrics - Articles'!F715,"*GPO (Partner, Ecosystem, Channels)*")</f>
        <v>0</v>
      </c>
      <c r="D716">
        <f>COUNTIF('Metrics - Articles'!F715,"*Office of the CEO*")</f>
        <v>0</v>
      </c>
      <c r="E716">
        <f>COUNTIF('Metrics - Articles'!F715,"*Services Delivery &amp; Support (go-lives and deployments) *")</f>
        <v>0</v>
      </c>
      <c r="F716">
        <f>COUNTIF('Metrics - Articles'!F715,"*Human Resources (SAP HR and employee stories)*")</f>
        <v>0</v>
      </c>
      <c r="G716">
        <f>COUNTIF('Metrics - Articles'!F715,"*P&amp;I (Research &amp; Development)*")</f>
        <v>0</v>
      </c>
      <c r="H716">
        <f>COUNTIF('Metrics - Articles'!F715,"*Business Network (Concur, Ariba, Fieldglass)*")</f>
        <v>0</v>
      </c>
      <c r="I716">
        <f>COUNTIF('Metrics - Articles'!F715,"*GCO – Regions*")</f>
        <v>0</v>
      </c>
      <c r="J716">
        <f>COUNTIF('Metrics - Articles'!F715,"*GCO – Platform Solutions*")</f>
        <v>0</v>
      </c>
      <c r="K716">
        <f>COUNTIF('Metrics - Articles'!F715,"*GCO – Industry Cloud *")</f>
        <v>0</v>
      </c>
      <c r="L716">
        <f>COUNTIF('Metrics - Articles'!F715,"*GCO – Customer Engagement &amp; Commerce (CRM &amp; hybris) *")</f>
        <v>0</v>
      </c>
      <c r="M716">
        <f>COUNTIF('Metrics - Articles'!F715,"*GCO – HR (SuccessFactors)*")</f>
        <v>0</v>
      </c>
      <c r="N716">
        <f>COUNTIF('Metrics - Articles'!F715,"*GCO – Services Sales*")</f>
        <v>0</v>
      </c>
      <c r="O716">
        <f>COUNTIF('Metrics - Articles'!F715,"*GCO – Other*")</f>
        <v>0</v>
      </c>
      <c r="P716">
        <f>COUNTIF('Metrics - Articles'!F715,"*Corporate*")</f>
        <v>0</v>
      </c>
      <c r="R716" s="53">
        <f t="shared" si="13"/>
        <v>0</v>
      </c>
    </row>
    <row r="717" spans="2:18" x14ac:dyDescent="0.25">
      <c r="B717" s="48">
        <f>+'Metrics - Articles'!C716</f>
        <v>0</v>
      </c>
      <c r="C717">
        <f>COUNTIF('Metrics - Articles'!F716,"*GPO (Partner, Ecosystem, Channels)*")</f>
        <v>0</v>
      </c>
      <c r="D717">
        <f>COUNTIF('Metrics - Articles'!F716,"*Office of the CEO*")</f>
        <v>0</v>
      </c>
      <c r="E717">
        <f>COUNTIF('Metrics - Articles'!F716,"*Services Delivery &amp; Support (go-lives and deployments) *")</f>
        <v>0</v>
      </c>
      <c r="F717">
        <f>COUNTIF('Metrics - Articles'!F716,"*Human Resources (SAP HR and employee stories)*")</f>
        <v>0</v>
      </c>
      <c r="G717">
        <f>COUNTIF('Metrics - Articles'!F716,"*P&amp;I (Research &amp; Development)*")</f>
        <v>0</v>
      </c>
      <c r="H717">
        <f>COUNTIF('Metrics - Articles'!F716,"*Business Network (Concur, Ariba, Fieldglass)*")</f>
        <v>0</v>
      </c>
      <c r="I717">
        <f>COUNTIF('Metrics - Articles'!F716,"*GCO – Regions*")</f>
        <v>0</v>
      </c>
      <c r="J717">
        <f>COUNTIF('Metrics - Articles'!F716,"*GCO – Platform Solutions*")</f>
        <v>0</v>
      </c>
      <c r="K717">
        <f>COUNTIF('Metrics - Articles'!F716,"*GCO – Industry Cloud *")</f>
        <v>0</v>
      </c>
      <c r="L717">
        <f>COUNTIF('Metrics - Articles'!F716,"*GCO – Customer Engagement &amp; Commerce (CRM &amp; hybris) *")</f>
        <v>0</v>
      </c>
      <c r="M717">
        <f>COUNTIF('Metrics - Articles'!F716,"*GCO – HR (SuccessFactors)*")</f>
        <v>0</v>
      </c>
      <c r="N717">
        <f>COUNTIF('Metrics - Articles'!F716,"*GCO – Services Sales*")</f>
        <v>0</v>
      </c>
      <c r="O717">
        <f>COUNTIF('Metrics - Articles'!F716,"*GCO – Other*")</f>
        <v>0</v>
      </c>
      <c r="P717">
        <f>COUNTIF('Metrics - Articles'!F716,"*Corporate*")</f>
        <v>0</v>
      </c>
      <c r="R717" s="53">
        <f t="shared" si="13"/>
        <v>0</v>
      </c>
    </row>
    <row r="718" spans="2:18" x14ac:dyDescent="0.25">
      <c r="B718" s="48">
        <f>+'Metrics - Articles'!C717</f>
        <v>0</v>
      </c>
      <c r="C718">
        <f>COUNTIF('Metrics - Articles'!F717,"*GPO (Partner, Ecosystem, Channels)*")</f>
        <v>0</v>
      </c>
      <c r="D718">
        <f>COUNTIF('Metrics - Articles'!F717,"*Office of the CEO*")</f>
        <v>0</v>
      </c>
      <c r="E718">
        <f>COUNTIF('Metrics - Articles'!F717,"*Services Delivery &amp; Support (go-lives and deployments) *")</f>
        <v>0</v>
      </c>
      <c r="F718">
        <f>COUNTIF('Metrics - Articles'!F717,"*Human Resources (SAP HR and employee stories)*")</f>
        <v>0</v>
      </c>
      <c r="G718">
        <f>COUNTIF('Metrics - Articles'!F717,"*P&amp;I (Research &amp; Development)*")</f>
        <v>0</v>
      </c>
      <c r="H718">
        <f>COUNTIF('Metrics - Articles'!F717,"*Business Network (Concur, Ariba, Fieldglass)*")</f>
        <v>0</v>
      </c>
      <c r="I718">
        <f>COUNTIF('Metrics - Articles'!F717,"*GCO – Regions*")</f>
        <v>0</v>
      </c>
      <c r="J718">
        <f>COUNTIF('Metrics - Articles'!F717,"*GCO – Platform Solutions*")</f>
        <v>0</v>
      </c>
      <c r="K718">
        <f>COUNTIF('Metrics - Articles'!F717,"*GCO – Industry Cloud *")</f>
        <v>0</v>
      </c>
      <c r="L718">
        <f>COUNTIF('Metrics - Articles'!F717,"*GCO – Customer Engagement &amp; Commerce (CRM &amp; hybris) *")</f>
        <v>0</v>
      </c>
      <c r="M718">
        <f>COUNTIF('Metrics - Articles'!F717,"*GCO – HR (SuccessFactors)*")</f>
        <v>0</v>
      </c>
      <c r="N718">
        <f>COUNTIF('Metrics - Articles'!F717,"*GCO – Services Sales*")</f>
        <v>0</v>
      </c>
      <c r="O718">
        <f>COUNTIF('Metrics - Articles'!F717,"*GCO – Other*")</f>
        <v>0</v>
      </c>
      <c r="P718">
        <f>COUNTIF('Metrics - Articles'!F717,"*Corporate*")</f>
        <v>0</v>
      </c>
      <c r="R718" s="53">
        <f t="shared" si="13"/>
        <v>0</v>
      </c>
    </row>
    <row r="719" spans="2:18" x14ac:dyDescent="0.25">
      <c r="B719" s="48">
        <f>+'Metrics - Articles'!C718</f>
        <v>0</v>
      </c>
      <c r="C719">
        <f>COUNTIF('Metrics - Articles'!F718,"*GPO (Partner, Ecosystem, Channels)*")</f>
        <v>0</v>
      </c>
      <c r="D719">
        <f>COUNTIF('Metrics - Articles'!F718,"*Office of the CEO*")</f>
        <v>0</v>
      </c>
      <c r="E719">
        <f>COUNTIF('Metrics - Articles'!F718,"*Services Delivery &amp; Support (go-lives and deployments) *")</f>
        <v>0</v>
      </c>
      <c r="F719">
        <f>COUNTIF('Metrics - Articles'!F718,"*Human Resources (SAP HR and employee stories)*")</f>
        <v>0</v>
      </c>
      <c r="G719">
        <f>COUNTIF('Metrics - Articles'!F718,"*P&amp;I (Research &amp; Development)*")</f>
        <v>0</v>
      </c>
      <c r="H719">
        <f>COUNTIF('Metrics - Articles'!F718,"*Business Network (Concur, Ariba, Fieldglass)*")</f>
        <v>0</v>
      </c>
      <c r="I719">
        <f>COUNTIF('Metrics - Articles'!F718,"*GCO – Regions*")</f>
        <v>0</v>
      </c>
      <c r="J719">
        <f>COUNTIF('Metrics - Articles'!F718,"*GCO – Platform Solutions*")</f>
        <v>0</v>
      </c>
      <c r="K719">
        <f>COUNTIF('Metrics - Articles'!F718,"*GCO – Industry Cloud *")</f>
        <v>0</v>
      </c>
      <c r="L719">
        <f>COUNTIF('Metrics - Articles'!F718,"*GCO – Customer Engagement &amp; Commerce (CRM &amp; hybris) *")</f>
        <v>0</v>
      </c>
      <c r="M719">
        <f>COUNTIF('Metrics - Articles'!F718,"*GCO – HR (SuccessFactors)*")</f>
        <v>0</v>
      </c>
      <c r="N719">
        <f>COUNTIF('Metrics - Articles'!F718,"*GCO – Services Sales*")</f>
        <v>0</v>
      </c>
      <c r="O719">
        <f>COUNTIF('Metrics - Articles'!F718,"*GCO – Other*")</f>
        <v>0</v>
      </c>
      <c r="P719">
        <f>COUNTIF('Metrics - Articles'!F718,"*Corporate*")</f>
        <v>0</v>
      </c>
      <c r="R719" s="53">
        <f t="shared" si="13"/>
        <v>0</v>
      </c>
    </row>
    <row r="720" spans="2:18" x14ac:dyDescent="0.25">
      <c r="B720" s="48">
        <f>+'Metrics - Articles'!C719</f>
        <v>0</v>
      </c>
      <c r="C720">
        <f>COUNTIF('Metrics - Articles'!F719,"*GPO (Partner, Ecosystem, Channels)*")</f>
        <v>0</v>
      </c>
      <c r="D720">
        <f>COUNTIF('Metrics - Articles'!F719,"*Office of the CEO*")</f>
        <v>0</v>
      </c>
      <c r="E720">
        <f>COUNTIF('Metrics - Articles'!F719,"*Services Delivery &amp; Support (go-lives and deployments) *")</f>
        <v>0</v>
      </c>
      <c r="F720">
        <f>COUNTIF('Metrics - Articles'!F719,"*Human Resources (SAP HR and employee stories)*")</f>
        <v>0</v>
      </c>
      <c r="G720">
        <f>COUNTIF('Metrics - Articles'!F719,"*P&amp;I (Research &amp; Development)*")</f>
        <v>0</v>
      </c>
      <c r="H720">
        <f>COUNTIF('Metrics - Articles'!F719,"*Business Network (Concur, Ariba, Fieldglass)*")</f>
        <v>0</v>
      </c>
      <c r="I720">
        <f>COUNTIF('Metrics - Articles'!F719,"*GCO – Regions*")</f>
        <v>0</v>
      </c>
      <c r="J720">
        <f>COUNTIF('Metrics - Articles'!F719,"*GCO – Platform Solutions*")</f>
        <v>0</v>
      </c>
      <c r="K720">
        <f>COUNTIF('Metrics - Articles'!F719,"*GCO – Industry Cloud *")</f>
        <v>0</v>
      </c>
      <c r="L720">
        <f>COUNTIF('Metrics - Articles'!F719,"*GCO – Customer Engagement &amp; Commerce (CRM &amp; hybris) *")</f>
        <v>0</v>
      </c>
      <c r="M720">
        <f>COUNTIF('Metrics - Articles'!F719,"*GCO – HR (SuccessFactors)*")</f>
        <v>0</v>
      </c>
      <c r="N720">
        <f>COUNTIF('Metrics - Articles'!F719,"*GCO – Services Sales*")</f>
        <v>0</v>
      </c>
      <c r="O720">
        <f>COUNTIF('Metrics - Articles'!F719,"*GCO – Other*")</f>
        <v>0</v>
      </c>
      <c r="P720">
        <f>COUNTIF('Metrics - Articles'!F719,"*Corporate*")</f>
        <v>0</v>
      </c>
      <c r="R720" s="53">
        <f t="shared" si="13"/>
        <v>0</v>
      </c>
    </row>
    <row r="721" spans="2:18" x14ac:dyDescent="0.25">
      <c r="B721" s="48">
        <f>+'Metrics - Articles'!C720</f>
        <v>0</v>
      </c>
      <c r="C721">
        <f>COUNTIF('Metrics - Articles'!F720,"*GPO (Partner, Ecosystem, Channels)*")</f>
        <v>0</v>
      </c>
      <c r="D721">
        <f>COUNTIF('Metrics - Articles'!F720,"*Office of the CEO*")</f>
        <v>0</v>
      </c>
      <c r="E721">
        <f>COUNTIF('Metrics - Articles'!F720,"*Services Delivery &amp; Support (go-lives and deployments) *")</f>
        <v>0</v>
      </c>
      <c r="F721">
        <f>COUNTIF('Metrics - Articles'!F720,"*Human Resources (SAP HR and employee stories)*")</f>
        <v>0</v>
      </c>
      <c r="G721">
        <f>COUNTIF('Metrics - Articles'!F720,"*P&amp;I (Research &amp; Development)*")</f>
        <v>0</v>
      </c>
      <c r="H721">
        <f>COUNTIF('Metrics - Articles'!F720,"*Business Network (Concur, Ariba, Fieldglass)*")</f>
        <v>0</v>
      </c>
      <c r="I721">
        <f>COUNTIF('Metrics - Articles'!F720,"*GCO – Regions*")</f>
        <v>0</v>
      </c>
      <c r="J721">
        <f>COUNTIF('Metrics - Articles'!F720,"*GCO – Platform Solutions*")</f>
        <v>0</v>
      </c>
      <c r="K721">
        <f>COUNTIF('Metrics - Articles'!F720,"*GCO – Industry Cloud *")</f>
        <v>0</v>
      </c>
      <c r="L721">
        <f>COUNTIF('Metrics - Articles'!F720,"*GCO – Customer Engagement &amp; Commerce (CRM &amp; hybris) *")</f>
        <v>0</v>
      </c>
      <c r="M721">
        <f>COUNTIF('Metrics - Articles'!F720,"*GCO – HR (SuccessFactors)*")</f>
        <v>0</v>
      </c>
      <c r="N721">
        <f>COUNTIF('Metrics - Articles'!F720,"*GCO – Services Sales*")</f>
        <v>0</v>
      </c>
      <c r="O721">
        <f>COUNTIF('Metrics - Articles'!F720,"*GCO – Other*")</f>
        <v>0</v>
      </c>
      <c r="P721">
        <f>COUNTIF('Metrics - Articles'!F720,"*Corporate*")</f>
        <v>0</v>
      </c>
      <c r="R721" s="53">
        <f t="shared" si="13"/>
        <v>0</v>
      </c>
    </row>
    <row r="722" spans="2:18" x14ac:dyDescent="0.25">
      <c r="B722" s="48">
        <f>+'Metrics - Articles'!C721</f>
        <v>0</v>
      </c>
      <c r="C722">
        <f>COUNTIF('Metrics - Articles'!F721,"*GPO (Partner, Ecosystem, Channels)*")</f>
        <v>0</v>
      </c>
      <c r="D722">
        <f>COUNTIF('Metrics - Articles'!F721,"*Office of the CEO*")</f>
        <v>0</v>
      </c>
      <c r="E722">
        <f>COUNTIF('Metrics - Articles'!F721,"*Services Delivery &amp; Support (go-lives and deployments) *")</f>
        <v>0</v>
      </c>
      <c r="F722">
        <f>COUNTIF('Metrics - Articles'!F721,"*Human Resources (SAP HR and employee stories)*")</f>
        <v>0</v>
      </c>
      <c r="G722">
        <f>COUNTIF('Metrics - Articles'!F721,"*P&amp;I (Research &amp; Development)*")</f>
        <v>0</v>
      </c>
      <c r="H722">
        <f>COUNTIF('Metrics - Articles'!F721,"*Business Network (Concur, Ariba, Fieldglass)*")</f>
        <v>0</v>
      </c>
      <c r="I722">
        <f>COUNTIF('Metrics - Articles'!F721,"*GCO – Regions*")</f>
        <v>0</v>
      </c>
      <c r="J722">
        <f>COUNTIF('Metrics - Articles'!F721,"*GCO – Platform Solutions*")</f>
        <v>0</v>
      </c>
      <c r="K722">
        <f>COUNTIF('Metrics - Articles'!F721,"*GCO – Industry Cloud *")</f>
        <v>0</v>
      </c>
      <c r="L722">
        <f>COUNTIF('Metrics - Articles'!F721,"*GCO – Customer Engagement &amp; Commerce (CRM &amp; hybris) *")</f>
        <v>0</v>
      </c>
      <c r="M722">
        <f>COUNTIF('Metrics - Articles'!F721,"*GCO – HR (SuccessFactors)*")</f>
        <v>0</v>
      </c>
      <c r="N722">
        <f>COUNTIF('Metrics - Articles'!F721,"*GCO – Services Sales*")</f>
        <v>0</v>
      </c>
      <c r="O722">
        <f>COUNTIF('Metrics - Articles'!F721,"*GCO – Other*")</f>
        <v>0</v>
      </c>
      <c r="P722">
        <f>COUNTIF('Metrics - Articles'!F721,"*Corporate*")</f>
        <v>0</v>
      </c>
      <c r="R722" s="53">
        <f t="shared" si="13"/>
        <v>0</v>
      </c>
    </row>
    <row r="723" spans="2:18" x14ac:dyDescent="0.25">
      <c r="B723" s="48">
        <f>+'Metrics - Articles'!C722</f>
        <v>0</v>
      </c>
      <c r="C723">
        <f>COUNTIF('Metrics - Articles'!F722,"*GPO (Partner, Ecosystem, Channels)*")</f>
        <v>0</v>
      </c>
      <c r="D723">
        <f>COUNTIF('Metrics - Articles'!F722,"*Office of the CEO*")</f>
        <v>0</v>
      </c>
      <c r="E723">
        <f>COUNTIF('Metrics - Articles'!F722,"*Services Delivery &amp; Support (go-lives and deployments) *")</f>
        <v>0</v>
      </c>
      <c r="F723">
        <f>COUNTIF('Metrics - Articles'!F722,"*Human Resources (SAP HR and employee stories)*")</f>
        <v>0</v>
      </c>
      <c r="G723">
        <f>COUNTIF('Metrics - Articles'!F722,"*P&amp;I (Research &amp; Development)*")</f>
        <v>0</v>
      </c>
      <c r="H723">
        <f>COUNTIF('Metrics - Articles'!F722,"*Business Network (Concur, Ariba, Fieldglass)*")</f>
        <v>0</v>
      </c>
      <c r="I723">
        <f>COUNTIF('Metrics - Articles'!F722,"*GCO – Regions*")</f>
        <v>0</v>
      </c>
      <c r="J723">
        <f>COUNTIF('Metrics - Articles'!F722,"*GCO – Platform Solutions*")</f>
        <v>0</v>
      </c>
      <c r="K723">
        <f>COUNTIF('Metrics - Articles'!F722,"*GCO – Industry Cloud *")</f>
        <v>0</v>
      </c>
      <c r="L723">
        <f>COUNTIF('Metrics - Articles'!F722,"*GCO – Customer Engagement &amp; Commerce (CRM &amp; hybris) *")</f>
        <v>0</v>
      </c>
      <c r="M723">
        <f>COUNTIF('Metrics - Articles'!F722,"*GCO – HR (SuccessFactors)*")</f>
        <v>0</v>
      </c>
      <c r="N723">
        <f>COUNTIF('Metrics - Articles'!F722,"*GCO – Services Sales*")</f>
        <v>0</v>
      </c>
      <c r="O723">
        <f>COUNTIF('Metrics - Articles'!F722,"*GCO – Other*")</f>
        <v>0</v>
      </c>
      <c r="P723">
        <f>COUNTIF('Metrics - Articles'!F722,"*Corporate*")</f>
        <v>0</v>
      </c>
      <c r="R723" s="53">
        <f t="shared" si="13"/>
        <v>0</v>
      </c>
    </row>
    <row r="724" spans="2:18" x14ac:dyDescent="0.25">
      <c r="B724" s="48">
        <f>+'Metrics - Articles'!C723</f>
        <v>0</v>
      </c>
      <c r="C724">
        <f>COUNTIF('Metrics - Articles'!F723,"*GPO (Partner, Ecosystem, Channels)*")</f>
        <v>0</v>
      </c>
      <c r="D724">
        <f>COUNTIF('Metrics - Articles'!F723,"*Office of the CEO*")</f>
        <v>0</v>
      </c>
      <c r="E724">
        <f>COUNTIF('Metrics - Articles'!F723,"*Services Delivery &amp; Support (go-lives and deployments) *")</f>
        <v>0</v>
      </c>
      <c r="F724">
        <f>COUNTIF('Metrics - Articles'!F723,"*Human Resources (SAP HR and employee stories)*")</f>
        <v>0</v>
      </c>
      <c r="G724">
        <f>COUNTIF('Metrics - Articles'!F723,"*P&amp;I (Research &amp; Development)*")</f>
        <v>0</v>
      </c>
      <c r="H724">
        <f>COUNTIF('Metrics - Articles'!F723,"*Business Network (Concur, Ariba, Fieldglass)*")</f>
        <v>0</v>
      </c>
      <c r="I724">
        <f>COUNTIF('Metrics - Articles'!F723,"*GCO – Regions*")</f>
        <v>0</v>
      </c>
      <c r="J724">
        <f>COUNTIF('Metrics - Articles'!F723,"*GCO – Platform Solutions*")</f>
        <v>0</v>
      </c>
      <c r="K724">
        <f>COUNTIF('Metrics - Articles'!F723,"*GCO – Industry Cloud *")</f>
        <v>0</v>
      </c>
      <c r="L724">
        <f>COUNTIF('Metrics - Articles'!F723,"*GCO – Customer Engagement &amp; Commerce (CRM &amp; hybris) *")</f>
        <v>0</v>
      </c>
      <c r="M724">
        <f>COUNTIF('Metrics - Articles'!F723,"*GCO – HR (SuccessFactors)*")</f>
        <v>0</v>
      </c>
      <c r="N724">
        <f>COUNTIF('Metrics - Articles'!F723,"*GCO – Services Sales*")</f>
        <v>0</v>
      </c>
      <c r="O724">
        <f>COUNTIF('Metrics - Articles'!F723,"*GCO – Other*")</f>
        <v>0</v>
      </c>
      <c r="P724">
        <f>COUNTIF('Metrics - Articles'!F723,"*Corporate*")</f>
        <v>0</v>
      </c>
      <c r="R724" s="53">
        <f t="shared" si="13"/>
        <v>0</v>
      </c>
    </row>
    <row r="725" spans="2:18" x14ac:dyDescent="0.25">
      <c r="B725" s="48">
        <f>+'Metrics - Articles'!C724</f>
        <v>0</v>
      </c>
      <c r="C725">
        <f>COUNTIF('Metrics - Articles'!F724,"*GPO (Partner, Ecosystem, Channels)*")</f>
        <v>0</v>
      </c>
      <c r="D725">
        <f>COUNTIF('Metrics - Articles'!F724,"*Office of the CEO*")</f>
        <v>0</v>
      </c>
      <c r="E725">
        <f>COUNTIF('Metrics - Articles'!F724,"*Services Delivery &amp; Support (go-lives and deployments) *")</f>
        <v>0</v>
      </c>
      <c r="F725">
        <f>COUNTIF('Metrics - Articles'!F724,"*Human Resources (SAP HR and employee stories)*")</f>
        <v>0</v>
      </c>
      <c r="G725">
        <f>COUNTIF('Metrics - Articles'!F724,"*P&amp;I (Research &amp; Development)*")</f>
        <v>0</v>
      </c>
      <c r="H725">
        <f>COUNTIF('Metrics - Articles'!F724,"*Business Network (Concur, Ariba, Fieldglass)*")</f>
        <v>0</v>
      </c>
      <c r="I725">
        <f>COUNTIF('Metrics - Articles'!F724,"*GCO – Regions*")</f>
        <v>0</v>
      </c>
      <c r="J725">
        <f>COUNTIF('Metrics - Articles'!F724,"*GCO – Platform Solutions*")</f>
        <v>0</v>
      </c>
      <c r="K725">
        <f>COUNTIF('Metrics - Articles'!F724,"*GCO – Industry Cloud *")</f>
        <v>0</v>
      </c>
      <c r="L725">
        <f>COUNTIF('Metrics - Articles'!F724,"*GCO – Customer Engagement &amp; Commerce (CRM &amp; hybris) *")</f>
        <v>0</v>
      </c>
      <c r="M725">
        <f>COUNTIF('Metrics - Articles'!F724,"*GCO – HR (SuccessFactors)*")</f>
        <v>0</v>
      </c>
      <c r="N725">
        <f>COUNTIF('Metrics - Articles'!F724,"*GCO – Services Sales*")</f>
        <v>0</v>
      </c>
      <c r="O725">
        <f>COUNTIF('Metrics - Articles'!F724,"*GCO – Other*")</f>
        <v>0</v>
      </c>
      <c r="P725">
        <f>COUNTIF('Metrics - Articles'!F724,"*Corporate*")</f>
        <v>0</v>
      </c>
      <c r="R725" s="53">
        <f t="shared" si="13"/>
        <v>0</v>
      </c>
    </row>
    <row r="726" spans="2:18" x14ac:dyDescent="0.25">
      <c r="B726" s="48">
        <f>+'Metrics - Articles'!C725</f>
        <v>0</v>
      </c>
      <c r="C726">
        <f>COUNTIF('Metrics - Articles'!F725,"*GPO (Partner, Ecosystem, Channels)*")</f>
        <v>0</v>
      </c>
      <c r="D726">
        <f>COUNTIF('Metrics - Articles'!F725,"*Office of the CEO*")</f>
        <v>0</v>
      </c>
      <c r="E726">
        <f>COUNTIF('Metrics - Articles'!F725,"*Services Delivery &amp; Support (go-lives and deployments) *")</f>
        <v>0</v>
      </c>
      <c r="F726">
        <f>COUNTIF('Metrics - Articles'!F725,"*Human Resources (SAP HR and employee stories)*")</f>
        <v>0</v>
      </c>
      <c r="G726">
        <f>COUNTIF('Metrics - Articles'!F725,"*P&amp;I (Research &amp; Development)*")</f>
        <v>0</v>
      </c>
      <c r="H726">
        <f>COUNTIF('Metrics - Articles'!F725,"*Business Network (Concur, Ariba, Fieldglass)*")</f>
        <v>0</v>
      </c>
      <c r="I726">
        <f>COUNTIF('Metrics - Articles'!F725,"*GCO – Regions*")</f>
        <v>0</v>
      </c>
      <c r="J726">
        <f>COUNTIF('Metrics - Articles'!F725,"*GCO – Platform Solutions*")</f>
        <v>0</v>
      </c>
      <c r="K726">
        <f>COUNTIF('Metrics - Articles'!F725,"*GCO – Industry Cloud *")</f>
        <v>0</v>
      </c>
      <c r="L726">
        <f>COUNTIF('Metrics - Articles'!F725,"*GCO – Customer Engagement &amp; Commerce (CRM &amp; hybris) *")</f>
        <v>0</v>
      </c>
      <c r="M726">
        <f>COUNTIF('Metrics - Articles'!F725,"*GCO – HR (SuccessFactors)*")</f>
        <v>0</v>
      </c>
      <c r="N726">
        <f>COUNTIF('Metrics - Articles'!F725,"*GCO – Services Sales*")</f>
        <v>0</v>
      </c>
      <c r="O726">
        <f>COUNTIF('Metrics - Articles'!F725,"*GCO – Other*")</f>
        <v>0</v>
      </c>
      <c r="P726">
        <f>COUNTIF('Metrics - Articles'!F725,"*Corporate*")</f>
        <v>0</v>
      </c>
      <c r="R726" s="53">
        <f t="shared" si="13"/>
        <v>0</v>
      </c>
    </row>
    <row r="727" spans="2:18" x14ac:dyDescent="0.25">
      <c r="B727" s="48">
        <f>+'Metrics - Articles'!C726</f>
        <v>0</v>
      </c>
      <c r="C727">
        <f>COUNTIF('Metrics - Articles'!F726,"*GPO (Partner, Ecosystem, Channels)*")</f>
        <v>0</v>
      </c>
      <c r="D727">
        <f>COUNTIF('Metrics - Articles'!F726,"*Office of the CEO*")</f>
        <v>0</v>
      </c>
      <c r="E727">
        <f>COUNTIF('Metrics - Articles'!F726,"*Services Delivery &amp; Support (go-lives and deployments) *")</f>
        <v>0</v>
      </c>
      <c r="F727">
        <f>COUNTIF('Metrics - Articles'!F726,"*Human Resources (SAP HR and employee stories)*")</f>
        <v>0</v>
      </c>
      <c r="G727">
        <f>COUNTIF('Metrics - Articles'!F726,"*P&amp;I (Research &amp; Development)*")</f>
        <v>0</v>
      </c>
      <c r="H727">
        <f>COUNTIF('Metrics - Articles'!F726,"*Business Network (Concur, Ariba, Fieldglass)*")</f>
        <v>0</v>
      </c>
      <c r="I727">
        <f>COUNTIF('Metrics - Articles'!F726,"*GCO – Regions*")</f>
        <v>0</v>
      </c>
      <c r="J727">
        <f>COUNTIF('Metrics - Articles'!F726,"*GCO – Platform Solutions*")</f>
        <v>0</v>
      </c>
      <c r="K727">
        <f>COUNTIF('Metrics - Articles'!F726,"*GCO – Industry Cloud *")</f>
        <v>0</v>
      </c>
      <c r="L727">
        <f>COUNTIF('Metrics - Articles'!F726,"*GCO – Customer Engagement &amp; Commerce (CRM &amp; hybris) *")</f>
        <v>0</v>
      </c>
      <c r="M727">
        <f>COUNTIF('Metrics - Articles'!F726,"*GCO – HR (SuccessFactors)*")</f>
        <v>0</v>
      </c>
      <c r="N727">
        <f>COUNTIF('Metrics - Articles'!F726,"*GCO – Services Sales*")</f>
        <v>0</v>
      </c>
      <c r="O727">
        <f>COUNTIF('Metrics - Articles'!F726,"*GCO – Other*")</f>
        <v>0</v>
      </c>
      <c r="P727">
        <f>COUNTIF('Metrics - Articles'!F726,"*Corporate*")</f>
        <v>0</v>
      </c>
      <c r="R727" s="53">
        <f t="shared" si="13"/>
        <v>0</v>
      </c>
    </row>
    <row r="728" spans="2:18" x14ac:dyDescent="0.25">
      <c r="B728" s="48">
        <f>+'Metrics - Articles'!C727</f>
        <v>0</v>
      </c>
      <c r="C728">
        <f>COUNTIF('Metrics - Articles'!F727,"*GPO (Partner, Ecosystem, Channels)*")</f>
        <v>0</v>
      </c>
      <c r="D728">
        <f>COUNTIF('Metrics - Articles'!F727,"*Office of the CEO*")</f>
        <v>0</v>
      </c>
      <c r="E728">
        <f>COUNTIF('Metrics - Articles'!F727,"*Services Delivery &amp; Support (go-lives and deployments) *")</f>
        <v>0</v>
      </c>
      <c r="F728">
        <f>COUNTIF('Metrics - Articles'!F727,"*Human Resources (SAP HR and employee stories)*")</f>
        <v>0</v>
      </c>
      <c r="G728">
        <f>COUNTIF('Metrics - Articles'!F727,"*P&amp;I (Research &amp; Development)*")</f>
        <v>0</v>
      </c>
      <c r="H728">
        <f>COUNTIF('Metrics - Articles'!F727,"*Business Network (Concur, Ariba, Fieldglass)*")</f>
        <v>0</v>
      </c>
      <c r="I728">
        <f>COUNTIF('Metrics - Articles'!F727,"*GCO – Regions*")</f>
        <v>0</v>
      </c>
      <c r="J728">
        <f>COUNTIF('Metrics - Articles'!F727,"*GCO – Platform Solutions*")</f>
        <v>0</v>
      </c>
      <c r="K728">
        <f>COUNTIF('Metrics - Articles'!F727,"*GCO – Industry Cloud *")</f>
        <v>0</v>
      </c>
      <c r="L728">
        <f>COUNTIF('Metrics - Articles'!F727,"*GCO – Customer Engagement &amp; Commerce (CRM &amp; hybris) *")</f>
        <v>0</v>
      </c>
      <c r="M728">
        <f>COUNTIF('Metrics - Articles'!F727,"*GCO – HR (SuccessFactors)*")</f>
        <v>0</v>
      </c>
      <c r="N728">
        <f>COUNTIF('Metrics - Articles'!F727,"*GCO – Services Sales*")</f>
        <v>0</v>
      </c>
      <c r="O728">
        <f>COUNTIF('Metrics - Articles'!F727,"*GCO – Other*")</f>
        <v>0</v>
      </c>
      <c r="P728">
        <f>COUNTIF('Metrics - Articles'!F727,"*Corporate*")</f>
        <v>0</v>
      </c>
      <c r="R728" s="53">
        <f t="shared" si="13"/>
        <v>0</v>
      </c>
    </row>
    <row r="729" spans="2:18" x14ac:dyDescent="0.25">
      <c r="B729" s="48">
        <f>+'Metrics - Articles'!C728</f>
        <v>0</v>
      </c>
      <c r="C729">
        <f>COUNTIF('Metrics - Articles'!F728,"*GPO (Partner, Ecosystem, Channels)*")</f>
        <v>0</v>
      </c>
      <c r="D729">
        <f>COUNTIF('Metrics - Articles'!F728,"*Office of the CEO*")</f>
        <v>0</v>
      </c>
      <c r="E729">
        <f>COUNTIF('Metrics - Articles'!F728,"*Services Delivery &amp; Support (go-lives and deployments) *")</f>
        <v>0</v>
      </c>
      <c r="F729">
        <f>COUNTIF('Metrics - Articles'!F728,"*Human Resources (SAP HR and employee stories)*")</f>
        <v>0</v>
      </c>
      <c r="G729">
        <f>COUNTIF('Metrics - Articles'!F728,"*P&amp;I (Research &amp; Development)*")</f>
        <v>0</v>
      </c>
      <c r="H729">
        <f>COUNTIF('Metrics - Articles'!F728,"*Business Network (Concur, Ariba, Fieldglass)*")</f>
        <v>0</v>
      </c>
      <c r="I729">
        <f>COUNTIF('Metrics - Articles'!F728,"*GCO – Regions*")</f>
        <v>0</v>
      </c>
      <c r="J729">
        <f>COUNTIF('Metrics - Articles'!F728,"*GCO – Platform Solutions*")</f>
        <v>0</v>
      </c>
      <c r="K729">
        <f>COUNTIF('Metrics - Articles'!F728,"*GCO – Industry Cloud *")</f>
        <v>0</v>
      </c>
      <c r="L729">
        <f>COUNTIF('Metrics - Articles'!F728,"*GCO – Customer Engagement &amp; Commerce (CRM &amp; hybris) *")</f>
        <v>0</v>
      </c>
      <c r="M729">
        <f>COUNTIF('Metrics - Articles'!F728,"*GCO – HR (SuccessFactors)*")</f>
        <v>0</v>
      </c>
      <c r="N729">
        <f>COUNTIF('Metrics - Articles'!F728,"*GCO – Services Sales*")</f>
        <v>0</v>
      </c>
      <c r="O729">
        <f>COUNTIF('Metrics - Articles'!F728,"*GCO – Other*")</f>
        <v>0</v>
      </c>
      <c r="P729">
        <f>COUNTIF('Metrics - Articles'!F728,"*Corporate*")</f>
        <v>0</v>
      </c>
      <c r="R729" s="53">
        <f t="shared" si="13"/>
        <v>0</v>
      </c>
    </row>
    <row r="730" spans="2:18" x14ac:dyDescent="0.25">
      <c r="B730" s="48">
        <f>+'Metrics - Articles'!C729</f>
        <v>0</v>
      </c>
      <c r="C730">
        <f>COUNTIF('Metrics - Articles'!F729,"*GPO (Partner, Ecosystem, Channels)*")</f>
        <v>0</v>
      </c>
      <c r="D730">
        <f>COUNTIF('Metrics - Articles'!F729,"*Office of the CEO*")</f>
        <v>0</v>
      </c>
      <c r="E730">
        <f>COUNTIF('Metrics - Articles'!F729,"*Services Delivery &amp; Support (go-lives and deployments) *")</f>
        <v>0</v>
      </c>
      <c r="F730">
        <f>COUNTIF('Metrics - Articles'!F729,"*Human Resources (SAP HR and employee stories)*")</f>
        <v>0</v>
      </c>
      <c r="G730">
        <f>COUNTIF('Metrics - Articles'!F729,"*P&amp;I (Research &amp; Development)*")</f>
        <v>0</v>
      </c>
      <c r="H730">
        <f>COUNTIF('Metrics - Articles'!F729,"*Business Network (Concur, Ariba, Fieldglass)*")</f>
        <v>0</v>
      </c>
      <c r="I730">
        <f>COUNTIF('Metrics - Articles'!F729,"*GCO – Regions*")</f>
        <v>0</v>
      </c>
      <c r="J730">
        <f>COUNTIF('Metrics - Articles'!F729,"*GCO – Platform Solutions*")</f>
        <v>0</v>
      </c>
      <c r="K730">
        <f>COUNTIF('Metrics - Articles'!F729,"*GCO – Industry Cloud *")</f>
        <v>0</v>
      </c>
      <c r="L730">
        <f>COUNTIF('Metrics - Articles'!F729,"*GCO – Customer Engagement &amp; Commerce (CRM &amp; hybris) *")</f>
        <v>0</v>
      </c>
      <c r="M730">
        <f>COUNTIF('Metrics - Articles'!F729,"*GCO – HR (SuccessFactors)*")</f>
        <v>0</v>
      </c>
      <c r="N730">
        <f>COUNTIF('Metrics - Articles'!F729,"*GCO – Services Sales*")</f>
        <v>0</v>
      </c>
      <c r="O730">
        <f>COUNTIF('Metrics - Articles'!F729,"*GCO – Other*")</f>
        <v>0</v>
      </c>
      <c r="P730">
        <f>COUNTIF('Metrics - Articles'!F729,"*Corporate*")</f>
        <v>0</v>
      </c>
      <c r="R730" s="53">
        <f t="shared" si="13"/>
        <v>0</v>
      </c>
    </row>
    <row r="731" spans="2:18" x14ac:dyDescent="0.25">
      <c r="B731" s="48">
        <f>+'Metrics - Articles'!C730</f>
        <v>0</v>
      </c>
      <c r="C731">
        <f>COUNTIF('Metrics - Articles'!F730,"*GPO (Partner, Ecosystem, Channels)*")</f>
        <v>0</v>
      </c>
      <c r="D731">
        <f>COUNTIF('Metrics - Articles'!F730,"*Office of the CEO*")</f>
        <v>0</v>
      </c>
      <c r="E731">
        <f>COUNTIF('Metrics - Articles'!F730,"*Services Delivery &amp; Support (go-lives and deployments) *")</f>
        <v>0</v>
      </c>
      <c r="F731">
        <f>COUNTIF('Metrics - Articles'!F730,"*Human Resources (SAP HR and employee stories)*")</f>
        <v>0</v>
      </c>
      <c r="G731">
        <f>COUNTIF('Metrics - Articles'!F730,"*P&amp;I (Research &amp; Development)*")</f>
        <v>0</v>
      </c>
      <c r="H731">
        <f>COUNTIF('Metrics - Articles'!F730,"*Business Network (Concur, Ariba, Fieldglass)*")</f>
        <v>0</v>
      </c>
      <c r="I731">
        <f>COUNTIF('Metrics - Articles'!F730,"*GCO – Regions*")</f>
        <v>0</v>
      </c>
      <c r="J731">
        <f>COUNTIF('Metrics - Articles'!F730,"*GCO – Platform Solutions*")</f>
        <v>0</v>
      </c>
      <c r="K731">
        <f>COUNTIF('Metrics - Articles'!F730,"*GCO – Industry Cloud *")</f>
        <v>0</v>
      </c>
      <c r="L731">
        <f>COUNTIF('Metrics - Articles'!F730,"*GCO – Customer Engagement &amp; Commerce (CRM &amp; hybris) *")</f>
        <v>0</v>
      </c>
      <c r="M731">
        <f>COUNTIF('Metrics - Articles'!F730,"*GCO – HR (SuccessFactors)*")</f>
        <v>0</v>
      </c>
      <c r="N731">
        <f>COUNTIF('Metrics - Articles'!F730,"*GCO – Services Sales*")</f>
        <v>0</v>
      </c>
      <c r="O731">
        <f>COUNTIF('Metrics - Articles'!F730,"*GCO – Other*")</f>
        <v>0</v>
      </c>
      <c r="P731">
        <f>COUNTIF('Metrics - Articles'!F730,"*Corporate*")</f>
        <v>0</v>
      </c>
      <c r="R731" s="53">
        <f t="shared" si="13"/>
        <v>0</v>
      </c>
    </row>
    <row r="732" spans="2:18" x14ac:dyDescent="0.25">
      <c r="B732" s="48">
        <f>+'Metrics - Articles'!C731</f>
        <v>0</v>
      </c>
      <c r="C732">
        <f>COUNTIF('Metrics - Articles'!F731,"*GPO (Partner, Ecosystem, Channels)*")</f>
        <v>0</v>
      </c>
      <c r="D732">
        <f>COUNTIF('Metrics - Articles'!F731,"*Office of the CEO*")</f>
        <v>0</v>
      </c>
      <c r="E732">
        <f>COUNTIF('Metrics - Articles'!F731,"*Services Delivery &amp; Support (go-lives and deployments) *")</f>
        <v>0</v>
      </c>
      <c r="F732">
        <f>COUNTIF('Metrics - Articles'!F731,"*Human Resources (SAP HR and employee stories)*")</f>
        <v>0</v>
      </c>
      <c r="G732">
        <f>COUNTIF('Metrics - Articles'!F731,"*P&amp;I (Research &amp; Development)*")</f>
        <v>0</v>
      </c>
      <c r="H732">
        <f>COUNTIF('Metrics - Articles'!F731,"*Business Network (Concur, Ariba, Fieldglass)*")</f>
        <v>0</v>
      </c>
      <c r="I732">
        <f>COUNTIF('Metrics - Articles'!F731,"*GCO – Regions*")</f>
        <v>0</v>
      </c>
      <c r="J732">
        <f>COUNTIF('Metrics - Articles'!F731,"*GCO – Platform Solutions*")</f>
        <v>0</v>
      </c>
      <c r="K732">
        <f>COUNTIF('Metrics - Articles'!F731,"*GCO – Industry Cloud *")</f>
        <v>0</v>
      </c>
      <c r="L732">
        <f>COUNTIF('Metrics - Articles'!F731,"*GCO – Customer Engagement &amp; Commerce (CRM &amp; hybris) *")</f>
        <v>0</v>
      </c>
      <c r="M732">
        <f>COUNTIF('Metrics - Articles'!F731,"*GCO – HR (SuccessFactors)*")</f>
        <v>0</v>
      </c>
      <c r="N732">
        <f>COUNTIF('Metrics - Articles'!F731,"*GCO – Services Sales*")</f>
        <v>0</v>
      </c>
      <c r="O732">
        <f>COUNTIF('Metrics - Articles'!F731,"*GCO – Other*")</f>
        <v>0</v>
      </c>
      <c r="P732">
        <f>COUNTIF('Metrics - Articles'!F731,"*Corporate*")</f>
        <v>0</v>
      </c>
      <c r="R732" s="53">
        <f t="shared" si="13"/>
        <v>0</v>
      </c>
    </row>
    <row r="733" spans="2:18" x14ac:dyDescent="0.25">
      <c r="B733" s="48">
        <f>+'Metrics - Articles'!C732</f>
        <v>0</v>
      </c>
      <c r="C733">
        <f>COUNTIF('Metrics - Articles'!F732,"*GPO (Partner, Ecosystem, Channels)*")</f>
        <v>0</v>
      </c>
      <c r="D733">
        <f>COUNTIF('Metrics - Articles'!F732,"*Office of the CEO*")</f>
        <v>0</v>
      </c>
      <c r="E733">
        <f>COUNTIF('Metrics - Articles'!F732,"*Services Delivery &amp; Support (go-lives and deployments) *")</f>
        <v>0</v>
      </c>
      <c r="F733">
        <f>COUNTIF('Metrics - Articles'!F732,"*Human Resources (SAP HR and employee stories)*")</f>
        <v>0</v>
      </c>
      <c r="G733">
        <f>COUNTIF('Metrics - Articles'!F732,"*P&amp;I (Research &amp; Development)*")</f>
        <v>0</v>
      </c>
      <c r="H733">
        <f>COUNTIF('Metrics - Articles'!F732,"*Business Network (Concur, Ariba, Fieldglass)*")</f>
        <v>0</v>
      </c>
      <c r="I733">
        <f>COUNTIF('Metrics - Articles'!F732,"*GCO – Regions*")</f>
        <v>0</v>
      </c>
      <c r="J733">
        <f>COUNTIF('Metrics - Articles'!F732,"*GCO – Platform Solutions*")</f>
        <v>0</v>
      </c>
      <c r="K733">
        <f>COUNTIF('Metrics - Articles'!F732,"*GCO – Industry Cloud *")</f>
        <v>0</v>
      </c>
      <c r="L733">
        <f>COUNTIF('Metrics - Articles'!F732,"*GCO – Customer Engagement &amp; Commerce (CRM &amp; hybris) *")</f>
        <v>0</v>
      </c>
      <c r="M733">
        <f>COUNTIF('Metrics - Articles'!F732,"*GCO – HR (SuccessFactors)*")</f>
        <v>0</v>
      </c>
      <c r="N733">
        <f>COUNTIF('Metrics - Articles'!F732,"*GCO – Services Sales*")</f>
        <v>0</v>
      </c>
      <c r="O733">
        <f>COUNTIF('Metrics - Articles'!F732,"*GCO – Other*")</f>
        <v>0</v>
      </c>
      <c r="P733">
        <f>COUNTIF('Metrics - Articles'!F732,"*Corporate*")</f>
        <v>0</v>
      </c>
      <c r="R733" s="53">
        <f t="shared" si="13"/>
        <v>0</v>
      </c>
    </row>
    <row r="734" spans="2:18" x14ac:dyDescent="0.25">
      <c r="B734" s="48">
        <f>+'Metrics - Articles'!C733</f>
        <v>0</v>
      </c>
      <c r="C734">
        <f>COUNTIF('Metrics - Articles'!F733,"*GPO (Partner, Ecosystem, Channels)*")</f>
        <v>0</v>
      </c>
      <c r="D734">
        <f>COUNTIF('Metrics - Articles'!F733,"*Office of the CEO*")</f>
        <v>0</v>
      </c>
      <c r="E734">
        <f>COUNTIF('Metrics - Articles'!F733,"*Services Delivery &amp; Support (go-lives and deployments) *")</f>
        <v>0</v>
      </c>
      <c r="F734">
        <f>COUNTIF('Metrics - Articles'!F733,"*Human Resources (SAP HR and employee stories)*")</f>
        <v>0</v>
      </c>
      <c r="G734">
        <f>COUNTIF('Metrics - Articles'!F733,"*P&amp;I (Research &amp; Development)*")</f>
        <v>0</v>
      </c>
      <c r="H734">
        <f>COUNTIF('Metrics - Articles'!F733,"*Business Network (Concur, Ariba, Fieldglass)*")</f>
        <v>0</v>
      </c>
      <c r="I734">
        <f>COUNTIF('Metrics - Articles'!F733,"*GCO – Regions*")</f>
        <v>0</v>
      </c>
      <c r="J734">
        <f>COUNTIF('Metrics - Articles'!F733,"*GCO – Platform Solutions*")</f>
        <v>0</v>
      </c>
      <c r="K734">
        <f>COUNTIF('Metrics - Articles'!F733,"*GCO – Industry Cloud *")</f>
        <v>0</v>
      </c>
      <c r="L734">
        <f>COUNTIF('Metrics - Articles'!F733,"*GCO – Customer Engagement &amp; Commerce (CRM &amp; hybris) *")</f>
        <v>0</v>
      </c>
      <c r="M734">
        <f>COUNTIF('Metrics - Articles'!F733,"*GCO – HR (SuccessFactors)*")</f>
        <v>0</v>
      </c>
      <c r="N734">
        <f>COUNTIF('Metrics - Articles'!F733,"*GCO – Services Sales*")</f>
        <v>0</v>
      </c>
      <c r="O734">
        <f>COUNTIF('Metrics - Articles'!F733,"*GCO – Other*")</f>
        <v>0</v>
      </c>
      <c r="P734">
        <f>COUNTIF('Metrics - Articles'!F733,"*Corporate*")</f>
        <v>0</v>
      </c>
      <c r="R734" s="53">
        <f t="shared" si="13"/>
        <v>0</v>
      </c>
    </row>
    <row r="735" spans="2:18" x14ac:dyDescent="0.25">
      <c r="B735" s="48">
        <f>+'Metrics - Articles'!C734</f>
        <v>0</v>
      </c>
      <c r="C735">
        <f>COUNTIF('Metrics - Articles'!F734,"*GPO (Partner, Ecosystem, Channels)*")</f>
        <v>0</v>
      </c>
      <c r="D735">
        <f>COUNTIF('Metrics - Articles'!F734,"*Office of the CEO*")</f>
        <v>0</v>
      </c>
      <c r="E735">
        <f>COUNTIF('Metrics - Articles'!F734,"*Services Delivery &amp; Support (go-lives and deployments) *")</f>
        <v>0</v>
      </c>
      <c r="F735">
        <f>COUNTIF('Metrics - Articles'!F734,"*Human Resources (SAP HR and employee stories)*")</f>
        <v>0</v>
      </c>
      <c r="G735">
        <f>COUNTIF('Metrics - Articles'!F734,"*P&amp;I (Research &amp; Development)*")</f>
        <v>0</v>
      </c>
      <c r="H735">
        <f>COUNTIF('Metrics - Articles'!F734,"*Business Network (Concur, Ariba, Fieldglass)*")</f>
        <v>0</v>
      </c>
      <c r="I735">
        <f>COUNTIF('Metrics - Articles'!F734,"*GCO – Regions*")</f>
        <v>0</v>
      </c>
      <c r="J735">
        <f>COUNTIF('Metrics - Articles'!F734,"*GCO – Platform Solutions*")</f>
        <v>0</v>
      </c>
      <c r="K735">
        <f>COUNTIF('Metrics - Articles'!F734,"*GCO – Industry Cloud *")</f>
        <v>0</v>
      </c>
      <c r="L735">
        <f>COUNTIF('Metrics - Articles'!F734,"*GCO – Customer Engagement &amp; Commerce (CRM &amp; hybris) *")</f>
        <v>0</v>
      </c>
      <c r="M735">
        <f>COUNTIF('Metrics - Articles'!F734,"*GCO – HR (SuccessFactors)*")</f>
        <v>0</v>
      </c>
      <c r="N735">
        <f>COUNTIF('Metrics - Articles'!F734,"*GCO – Services Sales*")</f>
        <v>0</v>
      </c>
      <c r="O735">
        <f>COUNTIF('Metrics - Articles'!F734,"*GCO – Other*")</f>
        <v>0</v>
      </c>
      <c r="P735">
        <f>COUNTIF('Metrics - Articles'!F734,"*Corporate*")</f>
        <v>0</v>
      </c>
      <c r="R735" s="53">
        <f t="shared" si="13"/>
        <v>0</v>
      </c>
    </row>
    <row r="736" spans="2:18" x14ac:dyDescent="0.25">
      <c r="B736" s="48">
        <f>+'Metrics - Articles'!C735</f>
        <v>0</v>
      </c>
      <c r="C736">
        <f>COUNTIF('Metrics - Articles'!F735,"*GPO (Partner, Ecosystem, Channels)*")</f>
        <v>0</v>
      </c>
      <c r="D736">
        <f>COUNTIF('Metrics - Articles'!F735,"*Office of the CEO*")</f>
        <v>0</v>
      </c>
      <c r="E736">
        <f>COUNTIF('Metrics - Articles'!F735,"*Services Delivery &amp; Support (go-lives and deployments) *")</f>
        <v>0</v>
      </c>
      <c r="F736">
        <f>COUNTIF('Metrics - Articles'!F735,"*Human Resources (SAP HR and employee stories)*")</f>
        <v>0</v>
      </c>
      <c r="G736">
        <f>COUNTIF('Metrics - Articles'!F735,"*P&amp;I (Research &amp; Development)*")</f>
        <v>0</v>
      </c>
      <c r="H736">
        <f>COUNTIF('Metrics - Articles'!F735,"*Business Network (Concur, Ariba, Fieldglass)*")</f>
        <v>0</v>
      </c>
      <c r="I736">
        <f>COUNTIF('Metrics - Articles'!F735,"*GCO – Regions*")</f>
        <v>0</v>
      </c>
      <c r="J736">
        <f>COUNTIF('Metrics - Articles'!F735,"*GCO – Platform Solutions*")</f>
        <v>0</v>
      </c>
      <c r="K736">
        <f>COUNTIF('Metrics - Articles'!F735,"*GCO – Industry Cloud *")</f>
        <v>0</v>
      </c>
      <c r="L736">
        <f>COUNTIF('Metrics - Articles'!F735,"*GCO – Customer Engagement &amp; Commerce (CRM &amp; hybris) *")</f>
        <v>0</v>
      </c>
      <c r="M736">
        <f>COUNTIF('Metrics - Articles'!F735,"*GCO – HR (SuccessFactors)*")</f>
        <v>0</v>
      </c>
      <c r="N736">
        <f>COUNTIF('Metrics - Articles'!F735,"*GCO – Services Sales*")</f>
        <v>0</v>
      </c>
      <c r="O736">
        <f>COUNTIF('Metrics - Articles'!F735,"*GCO – Other*")</f>
        <v>0</v>
      </c>
      <c r="P736">
        <f>COUNTIF('Metrics - Articles'!F735,"*Corporate*")</f>
        <v>0</v>
      </c>
      <c r="R736" s="53">
        <f t="shared" si="13"/>
        <v>0</v>
      </c>
    </row>
    <row r="737" spans="2:18" x14ac:dyDescent="0.25">
      <c r="B737" s="48">
        <f>+'Metrics - Articles'!C736</f>
        <v>0</v>
      </c>
      <c r="C737">
        <f>COUNTIF('Metrics - Articles'!F736,"*GPO (Partner, Ecosystem, Channels)*")</f>
        <v>0</v>
      </c>
      <c r="D737">
        <f>COUNTIF('Metrics - Articles'!F736,"*Office of the CEO*")</f>
        <v>0</v>
      </c>
      <c r="E737">
        <f>COUNTIF('Metrics - Articles'!F736,"*Services Delivery &amp; Support (go-lives and deployments) *")</f>
        <v>0</v>
      </c>
      <c r="F737">
        <f>COUNTIF('Metrics - Articles'!F736,"*Human Resources (SAP HR and employee stories)*")</f>
        <v>0</v>
      </c>
      <c r="G737">
        <f>COUNTIF('Metrics - Articles'!F736,"*P&amp;I (Research &amp; Development)*")</f>
        <v>0</v>
      </c>
      <c r="H737">
        <f>COUNTIF('Metrics - Articles'!F736,"*Business Network (Concur, Ariba, Fieldglass)*")</f>
        <v>0</v>
      </c>
      <c r="I737">
        <f>COUNTIF('Metrics - Articles'!F736,"*GCO – Regions*")</f>
        <v>0</v>
      </c>
      <c r="J737">
        <f>COUNTIF('Metrics - Articles'!F736,"*GCO – Platform Solutions*")</f>
        <v>0</v>
      </c>
      <c r="K737">
        <f>COUNTIF('Metrics - Articles'!F736,"*GCO – Industry Cloud *")</f>
        <v>0</v>
      </c>
      <c r="L737">
        <f>COUNTIF('Metrics - Articles'!F736,"*GCO – Customer Engagement &amp; Commerce (CRM &amp; hybris) *")</f>
        <v>0</v>
      </c>
      <c r="M737">
        <f>COUNTIF('Metrics - Articles'!F736,"*GCO – HR (SuccessFactors)*")</f>
        <v>0</v>
      </c>
      <c r="N737">
        <f>COUNTIF('Metrics - Articles'!F736,"*GCO – Services Sales*")</f>
        <v>0</v>
      </c>
      <c r="O737">
        <f>COUNTIF('Metrics - Articles'!F736,"*GCO – Other*")</f>
        <v>0</v>
      </c>
      <c r="P737">
        <f>COUNTIF('Metrics - Articles'!F736,"*Corporate*")</f>
        <v>0</v>
      </c>
      <c r="R737" s="53">
        <f t="shared" si="13"/>
        <v>0</v>
      </c>
    </row>
    <row r="738" spans="2:18" x14ac:dyDescent="0.25">
      <c r="B738" s="48">
        <f>+'Metrics - Articles'!C737</f>
        <v>0</v>
      </c>
      <c r="C738">
        <f>COUNTIF('Metrics - Articles'!F737,"*GPO (Partner, Ecosystem, Channels)*")</f>
        <v>0</v>
      </c>
      <c r="D738">
        <f>COUNTIF('Metrics - Articles'!F737,"*Office of the CEO*")</f>
        <v>0</v>
      </c>
      <c r="E738">
        <f>COUNTIF('Metrics - Articles'!F737,"*Services Delivery &amp; Support (go-lives and deployments) *")</f>
        <v>0</v>
      </c>
      <c r="F738">
        <f>COUNTIF('Metrics - Articles'!F737,"*Human Resources (SAP HR and employee stories)*")</f>
        <v>0</v>
      </c>
      <c r="G738">
        <f>COUNTIF('Metrics - Articles'!F737,"*P&amp;I (Research &amp; Development)*")</f>
        <v>0</v>
      </c>
      <c r="H738">
        <f>COUNTIF('Metrics - Articles'!F737,"*Business Network (Concur, Ariba, Fieldglass)*")</f>
        <v>0</v>
      </c>
      <c r="I738">
        <f>COUNTIF('Metrics - Articles'!F737,"*GCO – Regions*")</f>
        <v>0</v>
      </c>
      <c r="J738">
        <f>COUNTIF('Metrics - Articles'!F737,"*GCO – Platform Solutions*")</f>
        <v>0</v>
      </c>
      <c r="K738">
        <f>COUNTIF('Metrics - Articles'!F737,"*GCO – Industry Cloud *")</f>
        <v>0</v>
      </c>
      <c r="L738">
        <f>COUNTIF('Metrics - Articles'!F737,"*GCO – Customer Engagement &amp; Commerce (CRM &amp; hybris) *")</f>
        <v>0</v>
      </c>
      <c r="M738">
        <f>COUNTIF('Metrics - Articles'!F737,"*GCO – HR (SuccessFactors)*")</f>
        <v>0</v>
      </c>
      <c r="N738">
        <f>COUNTIF('Metrics - Articles'!F737,"*GCO – Services Sales*")</f>
        <v>0</v>
      </c>
      <c r="O738">
        <f>COUNTIF('Metrics - Articles'!F737,"*GCO – Other*")</f>
        <v>0</v>
      </c>
      <c r="P738">
        <f>COUNTIF('Metrics - Articles'!F737,"*Corporate*")</f>
        <v>0</v>
      </c>
      <c r="R738" s="53">
        <f t="shared" si="13"/>
        <v>0</v>
      </c>
    </row>
    <row r="739" spans="2:18" x14ac:dyDescent="0.25">
      <c r="B739" s="48">
        <f>+'Metrics - Articles'!C738</f>
        <v>0</v>
      </c>
      <c r="C739">
        <f>COUNTIF('Metrics - Articles'!F738,"*GPO (Partner, Ecosystem, Channels)*")</f>
        <v>0</v>
      </c>
      <c r="D739">
        <f>COUNTIF('Metrics - Articles'!F738,"*Office of the CEO*")</f>
        <v>0</v>
      </c>
      <c r="E739">
        <f>COUNTIF('Metrics - Articles'!F738,"*Services Delivery &amp; Support (go-lives and deployments) *")</f>
        <v>0</v>
      </c>
      <c r="F739">
        <f>COUNTIF('Metrics - Articles'!F738,"*Human Resources (SAP HR and employee stories)*")</f>
        <v>0</v>
      </c>
      <c r="G739">
        <f>COUNTIF('Metrics - Articles'!F738,"*P&amp;I (Research &amp; Development)*")</f>
        <v>0</v>
      </c>
      <c r="H739">
        <f>COUNTIF('Metrics - Articles'!F738,"*Business Network (Concur, Ariba, Fieldglass)*")</f>
        <v>0</v>
      </c>
      <c r="I739">
        <f>COUNTIF('Metrics - Articles'!F738,"*GCO – Regions*")</f>
        <v>0</v>
      </c>
      <c r="J739">
        <f>COUNTIF('Metrics - Articles'!F738,"*GCO – Platform Solutions*")</f>
        <v>0</v>
      </c>
      <c r="K739">
        <f>COUNTIF('Metrics - Articles'!F738,"*GCO – Industry Cloud *")</f>
        <v>0</v>
      </c>
      <c r="L739">
        <f>COUNTIF('Metrics - Articles'!F738,"*GCO – Customer Engagement &amp; Commerce (CRM &amp; hybris) *")</f>
        <v>0</v>
      </c>
      <c r="M739">
        <f>COUNTIF('Metrics - Articles'!F738,"*GCO – HR (SuccessFactors)*")</f>
        <v>0</v>
      </c>
      <c r="N739">
        <f>COUNTIF('Metrics - Articles'!F738,"*GCO – Services Sales*")</f>
        <v>0</v>
      </c>
      <c r="O739">
        <f>COUNTIF('Metrics - Articles'!F738,"*GCO – Other*")</f>
        <v>0</v>
      </c>
      <c r="P739">
        <f>COUNTIF('Metrics - Articles'!F738,"*Corporate*")</f>
        <v>0</v>
      </c>
      <c r="R739" s="53">
        <f t="shared" si="13"/>
        <v>0</v>
      </c>
    </row>
    <row r="740" spans="2:18" x14ac:dyDescent="0.25">
      <c r="B740" s="48">
        <f>+'Metrics - Articles'!C739</f>
        <v>0</v>
      </c>
      <c r="C740">
        <f>COUNTIF('Metrics - Articles'!F739,"*GPO (Partner, Ecosystem, Channels)*")</f>
        <v>0</v>
      </c>
      <c r="D740">
        <f>COUNTIF('Metrics - Articles'!F739,"*Office of the CEO*")</f>
        <v>0</v>
      </c>
      <c r="E740">
        <f>COUNTIF('Metrics - Articles'!F739,"*Services Delivery &amp; Support (go-lives and deployments) *")</f>
        <v>0</v>
      </c>
      <c r="F740">
        <f>COUNTIF('Metrics - Articles'!F739,"*Human Resources (SAP HR and employee stories)*")</f>
        <v>0</v>
      </c>
      <c r="G740">
        <f>COUNTIF('Metrics - Articles'!F739,"*P&amp;I (Research &amp; Development)*")</f>
        <v>0</v>
      </c>
      <c r="H740">
        <f>COUNTIF('Metrics - Articles'!F739,"*Business Network (Concur, Ariba, Fieldglass)*")</f>
        <v>0</v>
      </c>
      <c r="I740">
        <f>COUNTIF('Metrics - Articles'!F739,"*GCO – Regions*")</f>
        <v>0</v>
      </c>
      <c r="J740">
        <f>COUNTIF('Metrics - Articles'!F739,"*GCO – Platform Solutions*")</f>
        <v>0</v>
      </c>
      <c r="K740">
        <f>COUNTIF('Metrics - Articles'!F739,"*GCO – Industry Cloud *")</f>
        <v>0</v>
      </c>
      <c r="L740">
        <f>COUNTIF('Metrics - Articles'!F739,"*GCO – Customer Engagement &amp; Commerce (CRM &amp; hybris) *")</f>
        <v>0</v>
      </c>
      <c r="M740">
        <f>COUNTIF('Metrics - Articles'!F739,"*GCO – HR (SuccessFactors)*")</f>
        <v>0</v>
      </c>
      <c r="N740">
        <f>COUNTIF('Metrics - Articles'!F739,"*GCO – Services Sales*")</f>
        <v>0</v>
      </c>
      <c r="O740">
        <f>COUNTIF('Metrics - Articles'!F739,"*GCO – Other*")</f>
        <v>0</v>
      </c>
      <c r="P740">
        <f>COUNTIF('Metrics - Articles'!F739,"*Corporate*")</f>
        <v>0</v>
      </c>
      <c r="R740" s="53">
        <f t="shared" si="13"/>
        <v>0</v>
      </c>
    </row>
    <row r="741" spans="2:18" x14ac:dyDescent="0.25">
      <c r="B741" s="48">
        <f>+'Metrics - Articles'!C740</f>
        <v>0</v>
      </c>
      <c r="C741">
        <f>COUNTIF('Metrics - Articles'!F740,"*GPO (Partner, Ecosystem, Channels)*")</f>
        <v>0</v>
      </c>
      <c r="D741">
        <f>COUNTIF('Metrics - Articles'!F740,"*Office of the CEO*")</f>
        <v>0</v>
      </c>
      <c r="E741">
        <f>COUNTIF('Metrics - Articles'!F740,"*Services Delivery &amp; Support (go-lives and deployments) *")</f>
        <v>0</v>
      </c>
      <c r="F741">
        <f>COUNTIF('Metrics - Articles'!F740,"*Human Resources (SAP HR and employee stories)*")</f>
        <v>0</v>
      </c>
      <c r="G741">
        <f>COUNTIF('Metrics - Articles'!F740,"*P&amp;I (Research &amp; Development)*")</f>
        <v>0</v>
      </c>
      <c r="H741">
        <f>COUNTIF('Metrics - Articles'!F740,"*Business Network (Concur, Ariba, Fieldglass)*")</f>
        <v>0</v>
      </c>
      <c r="I741">
        <f>COUNTIF('Metrics - Articles'!F740,"*GCO – Regions*")</f>
        <v>0</v>
      </c>
      <c r="J741">
        <f>COUNTIF('Metrics - Articles'!F740,"*GCO – Platform Solutions*")</f>
        <v>0</v>
      </c>
      <c r="K741">
        <f>COUNTIF('Metrics - Articles'!F740,"*GCO – Industry Cloud *")</f>
        <v>0</v>
      </c>
      <c r="L741">
        <f>COUNTIF('Metrics - Articles'!F740,"*GCO – Customer Engagement &amp; Commerce (CRM &amp; hybris) *")</f>
        <v>0</v>
      </c>
      <c r="M741">
        <f>COUNTIF('Metrics - Articles'!F740,"*GCO – HR (SuccessFactors)*")</f>
        <v>0</v>
      </c>
      <c r="N741">
        <f>COUNTIF('Metrics - Articles'!F740,"*GCO – Services Sales*")</f>
        <v>0</v>
      </c>
      <c r="O741">
        <f>COUNTIF('Metrics - Articles'!F740,"*GCO – Other*")</f>
        <v>0</v>
      </c>
      <c r="P741">
        <f>COUNTIF('Metrics - Articles'!F740,"*Corporate*")</f>
        <v>0</v>
      </c>
      <c r="R741" s="53">
        <f t="shared" si="13"/>
        <v>0</v>
      </c>
    </row>
    <row r="742" spans="2:18" x14ac:dyDescent="0.25">
      <c r="B742" s="48">
        <f>+'Metrics - Articles'!C741</f>
        <v>0</v>
      </c>
      <c r="C742">
        <f>COUNTIF('Metrics - Articles'!F741,"*GPO (Partner, Ecosystem, Channels)*")</f>
        <v>0</v>
      </c>
      <c r="D742">
        <f>COUNTIF('Metrics - Articles'!F741,"*Office of the CEO*")</f>
        <v>0</v>
      </c>
      <c r="E742">
        <f>COUNTIF('Metrics - Articles'!F741,"*Services Delivery &amp; Support (go-lives and deployments) *")</f>
        <v>0</v>
      </c>
      <c r="F742">
        <f>COUNTIF('Metrics - Articles'!F741,"*Human Resources (SAP HR and employee stories)*")</f>
        <v>0</v>
      </c>
      <c r="G742">
        <f>COUNTIF('Metrics - Articles'!F741,"*P&amp;I (Research &amp; Development)*")</f>
        <v>0</v>
      </c>
      <c r="H742">
        <f>COUNTIF('Metrics - Articles'!F741,"*Business Network (Concur, Ariba, Fieldglass)*")</f>
        <v>0</v>
      </c>
      <c r="I742">
        <f>COUNTIF('Metrics - Articles'!F741,"*GCO – Regions*")</f>
        <v>0</v>
      </c>
      <c r="J742">
        <f>COUNTIF('Metrics - Articles'!F741,"*GCO – Platform Solutions*")</f>
        <v>0</v>
      </c>
      <c r="K742">
        <f>COUNTIF('Metrics - Articles'!F741,"*GCO – Industry Cloud *")</f>
        <v>0</v>
      </c>
      <c r="L742">
        <f>COUNTIF('Metrics - Articles'!F741,"*GCO – Customer Engagement &amp; Commerce (CRM &amp; hybris) *")</f>
        <v>0</v>
      </c>
      <c r="M742">
        <f>COUNTIF('Metrics - Articles'!F741,"*GCO – HR (SuccessFactors)*")</f>
        <v>0</v>
      </c>
      <c r="N742">
        <f>COUNTIF('Metrics - Articles'!F741,"*GCO – Services Sales*")</f>
        <v>0</v>
      </c>
      <c r="O742">
        <f>COUNTIF('Metrics - Articles'!F741,"*GCO – Other*")</f>
        <v>0</v>
      </c>
      <c r="P742">
        <f>COUNTIF('Metrics - Articles'!F741,"*Corporate*")</f>
        <v>0</v>
      </c>
      <c r="R742" s="53">
        <f t="shared" si="13"/>
        <v>0</v>
      </c>
    </row>
    <row r="743" spans="2:18" x14ac:dyDescent="0.25">
      <c r="B743" s="48">
        <f>+'Metrics - Articles'!C742</f>
        <v>0</v>
      </c>
      <c r="C743">
        <f>COUNTIF('Metrics - Articles'!F742,"*GPO (Partner, Ecosystem, Channels)*")</f>
        <v>0</v>
      </c>
      <c r="D743">
        <f>COUNTIF('Metrics - Articles'!F742,"*Office of the CEO*")</f>
        <v>0</v>
      </c>
      <c r="E743">
        <f>COUNTIF('Metrics - Articles'!F742,"*Services Delivery &amp; Support (go-lives and deployments) *")</f>
        <v>0</v>
      </c>
      <c r="F743">
        <f>COUNTIF('Metrics - Articles'!F742,"*Human Resources (SAP HR and employee stories)*")</f>
        <v>0</v>
      </c>
      <c r="G743">
        <f>COUNTIF('Metrics - Articles'!F742,"*P&amp;I (Research &amp; Development)*")</f>
        <v>0</v>
      </c>
      <c r="H743">
        <f>COUNTIF('Metrics - Articles'!F742,"*Business Network (Concur, Ariba, Fieldglass)*")</f>
        <v>0</v>
      </c>
      <c r="I743">
        <f>COUNTIF('Metrics - Articles'!F742,"*GCO – Regions*")</f>
        <v>0</v>
      </c>
      <c r="J743">
        <f>COUNTIF('Metrics - Articles'!F742,"*GCO – Platform Solutions*")</f>
        <v>0</v>
      </c>
      <c r="K743">
        <f>COUNTIF('Metrics - Articles'!F742,"*GCO – Industry Cloud *")</f>
        <v>0</v>
      </c>
      <c r="L743">
        <f>COUNTIF('Metrics - Articles'!F742,"*GCO – Customer Engagement &amp; Commerce (CRM &amp; hybris) *")</f>
        <v>0</v>
      </c>
      <c r="M743">
        <f>COUNTIF('Metrics - Articles'!F742,"*GCO – HR (SuccessFactors)*")</f>
        <v>0</v>
      </c>
      <c r="N743">
        <f>COUNTIF('Metrics - Articles'!F742,"*GCO – Services Sales*")</f>
        <v>0</v>
      </c>
      <c r="O743">
        <f>COUNTIF('Metrics - Articles'!F742,"*GCO – Other*")</f>
        <v>0</v>
      </c>
      <c r="P743">
        <f>COUNTIF('Metrics - Articles'!F742,"*Corporate*")</f>
        <v>0</v>
      </c>
      <c r="R743" s="53">
        <f t="shared" si="13"/>
        <v>0</v>
      </c>
    </row>
    <row r="744" spans="2:18" x14ac:dyDescent="0.25">
      <c r="B744" s="48">
        <f>+'Metrics - Articles'!C743</f>
        <v>0</v>
      </c>
      <c r="C744">
        <f>COUNTIF('Metrics - Articles'!F743,"*GPO (Partner, Ecosystem, Channels)*")</f>
        <v>0</v>
      </c>
      <c r="D744">
        <f>COUNTIF('Metrics - Articles'!F743,"*Office of the CEO*")</f>
        <v>0</v>
      </c>
      <c r="E744">
        <f>COUNTIF('Metrics - Articles'!F743,"*Services Delivery &amp; Support (go-lives and deployments) *")</f>
        <v>0</v>
      </c>
      <c r="F744">
        <f>COUNTIF('Metrics - Articles'!F743,"*Human Resources (SAP HR and employee stories)*")</f>
        <v>0</v>
      </c>
      <c r="G744">
        <f>COUNTIF('Metrics - Articles'!F743,"*P&amp;I (Research &amp; Development)*")</f>
        <v>0</v>
      </c>
      <c r="H744">
        <f>COUNTIF('Metrics - Articles'!F743,"*Business Network (Concur, Ariba, Fieldglass)*")</f>
        <v>0</v>
      </c>
      <c r="I744">
        <f>COUNTIF('Metrics - Articles'!F743,"*GCO – Regions*")</f>
        <v>0</v>
      </c>
      <c r="J744">
        <f>COUNTIF('Metrics - Articles'!F743,"*GCO – Platform Solutions*")</f>
        <v>0</v>
      </c>
      <c r="K744">
        <f>COUNTIF('Metrics - Articles'!F743,"*GCO – Industry Cloud *")</f>
        <v>0</v>
      </c>
      <c r="L744">
        <f>COUNTIF('Metrics - Articles'!F743,"*GCO – Customer Engagement &amp; Commerce (CRM &amp; hybris) *")</f>
        <v>0</v>
      </c>
      <c r="M744">
        <f>COUNTIF('Metrics - Articles'!F743,"*GCO – HR (SuccessFactors)*")</f>
        <v>0</v>
      </c>
      <c r="N744">
        <f>COUNTIF('Metrics - Articles'!F743,"*GCO – Services Sales*")</f>
        <v>0</v>
      </c>
      <c r="O744">
        <f>COUNTIF('Metrics - Articles'!F743,"*GCO – Other*")</f>
        <v>0</v>
      </c>
      <c r="P744">
        <f>COUNTIF('Metrics - Articles'!F743,"*Corporate*")</f>
        <v>0</v>
      </c>
      <c r="R744" s="53">
        <f t="shared" si="13"/>
        <v>0</v>
      </c>
    </row>
    <row r="745" spans="2:18" x14ac:dyDescent="0.25">
      <c r="B745" s="48">
        <f>+'Metrics - Articles'!C744</f>
        <v>0</v>
      </c>
      <c r="C745">
        <f>COUNTIF('Metrics - Articles'!F744,"*GPO (Partner, Ecosystem, Channels)*")</f>
        <v>0</v>
      </c>
      <c r="D745">
        <f>COUNTIF('Metrics - Articles'!F744,"*Office of the CEO*")</f>
        <v>0</v>
      </c>
      <c r="E745">
        <f>COUNTIF('Metrics - Articles'!F744,"*Services Delivery &amp; Support (go-lives and deployments) *")</f>
        <v>0</v>
      </c>
      <c r="F745">
        <f>COUNTIF('Metrics - Articles'!F744,"*Human Resources (SAP HR and employee stories)*")</f>
        <v>0</v>
      </c>
      <c r="G745">
        <f>COUNTIF('Metrics - Articles'!F744,"*P&amp;I (Research &amp; Development)*")</f>
        <v>0</v>
      </c>
      <c r="H745">
        <f>COUNTIF('Metrics - Articles'!F744,"*Business Network (Concur, Ariba, Fieldglass)*")</f>
        <v>0</v>
      </c>
      <c r="I745">
        <f>COUNTIF('Metrics - Articles'!F744,"*GCO – Regions*")</f>
        <v>0</v>
      </c>
      <c r="J745">
        <f>COUNTIF('Metrics - Articles'!F744,"*GCO – Platform Solutions*")</f>
        <v>0</v>
      </c>
      <c r="K745">
        <f>COUNTIF('Metrics - Articles'!F744,"*GCO – Industry Cloud *")</f>
        <v>0</v>
      </c>
      <c r="L745">
        <f>COUNTIF('Metrics - Articles'!F744,"*GCO – Customer Engagement &amp; Commerce (CRM &amp; hybris) *")</f>
        <v>0</v>
      </c>
      <c r="M745">
        <f>COUNTIF('Metrics - Articles'!F744,"*GCO – HR (SuccessFactors)*")</f>
        <v>0</v>
      </c>
      <c r="N745">
        <f>COUNTIF('Metrics - Articles'!F744,"*GCO – Services Sales*")</f>
        <v>0</v>
      </c>
      <c r="O745">
        <f>COUNTIF('Metrics - Articles'!F744,"*GCO – Other*")</f>
        <v>0</v>
      </c>
      <c r="P745">
        <f>COUNTIF('Metrics - Articles'!F744,"*Corporate*")</f>
        <v>0</v>
      </c>
      <c r="R745" s="53">
        <f t="shared" si="13"/>
        <v>0</v>
      </c>
    </row>
    <row r="746" spans="2:18" x14ac:dyDescent="0.25">
      <c r="B746" s="48">
        <f>+'Metrics - Articles'!C745</f>
        <v>0</v>
      </c>
      <c r="C746">
        <f>COUNTIF('Metrics - Articles'!F745,"*GPO (Partner, Ecosystem, Channels)*")</f>
        <v>0</v>
      </c>
      <c r="D746">
        <f>COUNTIF('Metrics - Articles'!F745,"*Office of the CEO*")</f>
        <v>0</v>
      </c>
      <c r="E746">
        <f>COUNTIF('Metrics - Articles'!F745,"*Services Delivery &amp; Support (go-lives and deployments) *")</f>
        <v>0</v>
      </c>
      <c r="F746">
        <f>COUNTIF('Metrics - Articles'!F745,"*Human Resources (SAP HR and employee stories)*")</f>
        <v>0</v>
      </c>
      <c r="G746">
        <f>COUNTIF('Metrics - Articles'!F745,"*P&amp;I (Research &amp; Development)*")</f>
        <v>0</v>
      </c>
      <c r="H746">
        <f>COUNTIF('Metrics - Articles'!F745,"*Business Network (Concur, Ariba, Fieldglass)*")</f>
        <v>0</v>
      </c>
      <c r="I746">
        <f>COUNTIF('Metrics - Articles'!F745,"*GCO – Regions*")</f>
        <v>0</v>
      </c>
      <c r="J746">
        <f>COUNTIF('Metrics - Articles'!F745,"*GCO – Platform Solutions*")</f>
        <v>0</v>
      </c>
      <c r="K746">
        <f>COUNTIF('Metrics - Articles'!F745,"*GCO – Industry Cloud *")</f>
        <v>0</v>
      </c>
      <c r="L746">
        <f>COUNTIF('Metrics - Articles'!F745,"*GCO – Customer Engagement &amp; Commerce (CRM &amp; hybris) *")</f>
        <v>0</v>
      </c>
      <c r="M746">
        <f>COUNTIF('Metrics - Articles'!F745,"*GCO – HR (SuccessFactors)*")</f>
        <v>0</v>
      </c>
      <c r="N746">
        <f>COUNTIF('Metrics - Articles'!F745,"*GCO – Services Sales*")</f>
        <v>0</v>
      </c>
      <c r="O746">
        <f>COUNTIF('Metrics - Articles'!F745,"*GCO – Other*")</f>
        <v>0</v>
      </c>
      <c r="P746">
        <f>COUNTIF('Metrics - Articles'!F745,"*Corporate*")</f>
        <v>0</v>
      </c>
      <c r="R746" s="53">
        <f t="shared" si="13"/>
        <v>0</v>
      </c>
    </row>
    <row r="747" spans="2:18" x14ac:dyDescent="0.25">
      <c r="B747" s="48">
        <f>+'Metrics - Articles'!C746</f>
        <v>0</v>
      </c>
      <c r="C747">
        <f>COUNTIF('Metrics - Articles'!F746,"*GPO (Partner, Ecosystem, Channels)*")</f>
        <v>0</v>
      </c>
      <c r="D747">
        <f>COUNTIF('Metrics - Articles'!F746,"*Office of the CEO*")</f>
        <v>0</v>
      </c>
      <c r="E747">
        <f>COUNTIF('Metrics - Articles'!F746,"*Services Delivery &amp; Support (go-lives and deployments) *")</f>
        <v>0</v>
      </c>
      <c r="F747">
        <f>COUNTIF('Metrics - Articles'!F746,"*Human Resources (SAP HR and employee stories)*")</f>
        <v>0</v>
      </c>
      <c r="G747">
        <f>COUNTIF('Metrics - Articles'!F746,"*P&amp;I (Research &amp; Development)*")</f>
        <v>0</v>
      </c>
      <c r="H747">
        <f>COUNTIF('Metrics - Articles'!F746,"*Business Network (Concur, Ariba, Fieldglass)*")</f>
        <v>0</v>
      </c>
      <c r="I747">
        <f>COUNTIF('Metrics - Articles'!F746,"*GCO – Regions*")</f>
        <v>0</v>
      </c>
      <c r="J747">
        <f>COUNTIF('Metrics - Articles'!F746,"*GCO – Platform Solutions*")</f>
        <v>0</v>
      </c>
      <c r="K747">
        <f>COUNTIF('Metrics - Articles'!F746,"*GCO – Industry Cloud *")</f>
        <v>0</v>
      </c>
      <c r="L747">
        <f>COUNTIF('Metrics - Articles'!F746,"*GCO – Customer Engagement &amp; Commerce (CRM &amp; hybris) *")</f>
        <v>0</v>
      </c>
      <c r="M747">
        <f>COUNTIF('Metrics - Articles'!F746,"*GCO – HR (SuccessFactors)*")</f>
        <v>0</v>
      </c>
      <c r="N747">
        <f>COUNTIF('Metrics - Articles'!F746,"*GCO – Services Sales*")</f>
        <v>0</v>
      </c>
      <c r="O747">
        <f>COUNTIF('Metrics - Articles'!F746,"*GCO – Other*")</f>
        <v>0</v>
      </c>
      <c r="P747">
        <f>COUNTIF('Metrics - Articles'!F746,"*Corporate*")</f>
        <v>0</v>
      </c>
      <c r="R747" s="53">
        <f t="shared" si="13"/>
        <v>0</v>
      </c>
    </row>
    <row r="748" spans="2:18" x14ac:dyDescent="0.25">
      <c r="B748" s="48">
        <f>+'Metrics - Articles'!C747</f>
        <v>0</v>
      </c>
      <c r="C748">
        <f>COUNTIF('Metrics - Articles'!F747,"*GPO (Partner, Ecosystem, Channels)*")</f>
        <v>0</v>
      </c>
      <c r="D748">
        <f>COUNTIF('Metrics - Articles'!F747,"*Office of the CEO*")</f>
        <v>0</v>
      </c>
      <c r="E748">
        <f>COUNTIF('Metrics - Articles'!F747,"*Services Delivery &amp; Support (go-lives and deployments) *")</f>
        <v>0</v>
      </c>
      <c r="F748">
        <f>COUNTIF('Metrics - Articles'!F747,"*Human Resources (SAP HR and employee stories)*")</f>
        <v>0</v>
      </c>
      <c r="G748">
        <f>COUNTIF('Metrics - Articles'!F747,"*P&amp;I (Research &amp; Development)*")</f>
        <v>0</v>
      </c>
      <c r="H748">
        <f>COUNTIF('Metrics - Articles'!F747,"*Business Network (Concur, Ariba, Fieldglass)*")</f>
        <v>0</v>
      </c>
      <c r="I748">
        <f>COUNTIF('Metrics - Articles'!F747,"*GCO – Regions*")</f>
        <v>0</v>
      </c>
      <c r="J748">
        <f>COUNTIF('Metrics - Articles'!F747,"*GCO – Platform Solutions*")</f>
        <v>0</v>
      </c>
      <c r="K748">
        <f>COUNTIF('Metrics - Articles'!F747,"*GCO – Industry Cloud *")</f>
        <v>0</v>
      </c>
      <c r="L748">
        <f>COUNTIF('Metrics - Articles'!F747,"*GCO – Customer Engagement &amp; Commerce (CRM &amp; hybris) *")</f>
        <v>0</v>
      </c>
      <c r="M748">
        <f>COUNTIF('Metrics - Articles'!F747,"*GCO – HR (SuccessFactors)*")</f>
        <v>0</v>
      </c>
      <c r="N748">
        <f>COUNTIF('Metrics - Articles'!F747,"*GCO – Services Sales*")</f>
        <v>0</v>
      </c>
      <c r="O748">
        <f>COUNTIF('Metrics - Articles'!F747,"*GCO – Other*")</f>
        <v>0</v>
      </c>
      <c r="P748">
        <f>COUNTIF('Metrics - Articles'!F747,"*Corporate*")</f>
        <v>0</v>
      </c>
      <c r="R748" s="53">
        <f t="shared" si="13"/>
        <v>0</v>
      </c>
    </row>
    <row r="749" spans="2:18" x14ac:dyDescent="0.25">
      <c r="B749" s="48">
        <f>+'Metrics - Articles'!C748</f>
        <v>0</v>
      </c>
      <c r="C749">
        <f>COUNTIF('Metrics - Articles'!F748,"*GPO (Partner, Ecosystem, Channels)*")</f>
        <v>0</v>
      </c>
      <c r="D749">
        <f>COUNTIF('Metrics - Articles'!F748,"*Office of the CEO*")</f>
        <v>0</v>
      </c>
      <c r="E749">
        <f>COUNTIF('Metrics - Articles'!F748,"*Services Delivery &amp; Support (go-lives and deployments) *")</f>
        <v>0</v>
      </c>
      <c r="F749">
        <f>COUNTIF('Metrics - Articles'!F748,"*Human Resources (SAP HR and employee stories)*")</f>
        <v>0</v>
      </c>
      <c r="G749">
        <f>COUNTIF('Metrics - Articles'!F748,"*P&amp;I (Research &amp; Development)*")</f>
        <v>0</v>
      </c>
      <c r="H749">
        <f>COUNTIF('Metrics - Articles'!F748,"*Business Network (Concur, Ariba, Fieldglass)*")</f>
        <v>0</v>
      </c>
      <c r="I749">
        <f>COUNTIF('Metrics - Articles'!F748,"*GCO – Regions*")</f>
        <v>0</v>
      </c>
      <c r="J749">
        <f>COUNTIF('Metrics - Articles'!F748,"*GCO – Platform Solutions*")</f>
        <v>0</v>
      </c>
      <c r="K749">
        <f>COUNTIF('Metrics - Articles'!F748,"*GCO – Industry Cloud *")</f>
        <v>0</v>
      </c>
      <c r="L749">
        <f>COUNTIF('Metrics - Articles'!F748,"*GCO – Customer Engagement &amp; Commerce (CRM &amp; hybris) *")</f>
        <v>0</v>
      </c>
      <c r="M749">
        <f>COUNTIF('Metrics - Articles'!F748,"*GCO – HR (SuccessFactors)*")</f>
        <v>0</v>
      </c>
      <c r="N749">
        <f>COUNTIF('Metrics - Articles'!F748,"*GCO – Services Sales*")</f>
        <v>0</v>
      </c>
      <c r="O749">
        <f>COUNTIF('Metrics - Articles'!F748,"*GCO – Other*")</f>
        <v>0</v>
      </c>
      <c r="P749">
        <f>COUNTIF('Metrics - Articles'!F748,"*Corporate*")</f>
        <v>0</v>
      </c>
      <c r="R749" s="53">
        <f t="shared" si="13"/>
        <v>0</v>
      </c>
    </row>
    <row r="750" spans="2:18" x14ac:dyDescent="0.25">
      <c r="B750" s="48">
        <f>+'Metrics - Articles'!C749</f>
        <v>0</v>
      </c>
      <c r="C750">
        <f>COUNTIF('Metrics - Articles'!F749,"*GPO (Partner, Ecosystem, Channels)*")</f>
        <v>0</v>
      </c>
      <c r="D750">
        <f>COUNTIF('Metrics - Articles'!F749,"*Office of the CEO*")</f>
        <v>0</v>
      </c>
      <c r="E750">
        <f>COUNTIF('Metrics - Articles'!F749,"*Services Delivery &amp; Support (go-lives and deployments) *")</f>
        <v>0</v>
      </c>
      <c r="F750">
        <f>COUNTIF('Metrics - Articles'!F749,"*Human Resources (SAP HR and employee stories)*")</f>
        <v>0</v>
      </c>
      <c r="G750">
        <f>COUNTIF('Metrics - Articles'!F749,"*P&amp;I (Research &amp; Development)*")</f>
        <v>0</v>
      </c>
      <c r="H750">
        <f>COUNTIF('Metrics - Articles'!F749,"*Business Network (Concur, Ariba, Fieldglass)*")</f>
        <v>0</v>
      </c>
      <c r="I750">
        <f>COUNTIF('Metrics - Articles'!F749,"*GCO – Regions*")</f>
        <v>0</v>
      </c>
      <c r="J750">
        <f>COUNTIF('Metrics - Articles'!F749,"*GCO – Platform Solutions*")</f>
        <v>0</v>
      </c>
      <c r="K750">
        <f>COUNTIF('Metrics - Articles'!F749,"*GCO – Industry Cloud *")</f>
        <v>0</v>
      </c>
      <c r="L750">
        <f>COUNTIF('Metrics - Articles'!F749,"*GCO – Customer Engagement &amp; Commerce (CRM &amp; hybris) *")</f>
        <v>0</v>
      </c>
      <c r="M750">
        <f>COUNTIF('Metrics - Articles'!F749,"*GCO – HR (SuccessFactors)*")</f>
        <v>0</v>
      </c>
      <c r="N750">
        <f>COUNTIF('Metrics - Articles'!F749,"*GCO – Services Sales*")</f>
        <v>0</v>
      </c>
      <c r="O750">
        <f>COUNTIF('Metrics - Articles'!F749,"*GCO – Other*")</f>
        <v>0</v>
      </c>
      <c r="P750">
        <f>COUNTIF('Metrics - Articles'!F749,"*Corporate*")</f>
        <v>0</v>
      </c>
      <c r="R750" s="53">
        <f t="shared" si="13"/>
        <v>0</v>
      </c>
    </row>
    <row r="751" spans="2:18" x14ac:dyDescent="0.25">
      <c r="B751" s="48">
        <f>+'Metrics - Articles'!C750</f>
        <v>0</v>
      </c>
      <c r="C751">
        <f>COUNTIF('Metrics - Articles'!F750,"*GPO (Partner, Ecosystem, Channels)*")</f>
        <v>0</v>
      </c>
      <c r="D751">
        <f>COUNTIF('Metrics - Articles'!F750,"*Office of the CEO*")</f>
        <v>0</v>
      </c>
      <c r="E751">
        <f>COUNTIF('Metrics - Articles'!F750,"*Services Delivery &amp; Support (go-lives and deployments) *")</f>
        <v>0</v>
      </c>
      <c r="F751">
        <f>COUNTIF('Metrics - Articles'!F750,"*Human Resources (SAP HR and employee stories)*")</f>
        <v>0</v>
      </c>
      <c r="G751">
        <f>COUNTIF('Metrics - Articles'!F750,"*P&amp;I (Research &amp; Development)*")</f>
        <v>0</v>
      </c>
      <c r="H751">
        <f>COUNTIF('Metrics - Articles'!F750,"*Business Network (Concur, Ariba, Fieldglass)*")</f>
        <v>0</v>
      </c>
      <c r="I751">
        <f>COUNTIF('Metrics - Articles'!F750,"*GCO – Regions*")</f>
        <v>0</v>
      </c>
      <c r="J751">
        <f>COUNTIF('Metrics - Articles'!F750,"*GCO – Platform Solutions*")</f>
        <v>0</v>
      </c>
      <c r="K751">
        <f>COUNTIF('Metrics - Articles'!F750,"*GCO – Industry Cloud *")</f>
        <v>0</v>
      </c>
      <c r="L751">
        <f>COUNTIF('Metrics - Articles'!F750,"*GCO – Customer Engagement &amp; Commerce (CRM &amp; hybris) *")</f>
        <v>0</v>
      </c>
      <c r="M751">
        <f>COUNTIF('Metrics - Articles'!F750,"*GCO – HR (SuccessFactors)*")</f>
        <v>0</v>
      </c>
      <c r="N751">
        <f>COUNTIF('Metrics - Articles'!F750,"*GCO – Services Sales*")</f>
        <v>0</v>
      </c>
      <c r="O751">
        <f>COUNTIF('Metrics - Articles'!F750,"*GCO – Other*")</f>
        <v>0</v>
      </c>
      <c r="P751">
        <f>COUNTIF('Metrics - Articles'!F750,"*Corporate*")</f>
        <v>0</v>
      </c>
      <c r="R751" s="53">
        <f t="shared" si="13"/>
        <v>0</v>
      </c>
    </row>
    <row r="752" spans="2:18" x14ac:dyDescent="0.25">
      <c r="B752" s="48">
        <f>+'Metrics - Articles'!C751</f>
        <v>0</v>
      </c>
      <c r="C752">
        <f>COUNTIF('Metrics - Articles'!F751,"*GPO (Partner, Ecosystem, Channels)*")</f>
        <v>0</v>
      </c>
      <c r="D752">
        <f>COUNTIF('Metrics - Articles'!F751,"*Office of the CEO*")</f>
        <v>0</v>
      </c>
      <c r="E752">
        <f>COUNTIF('Metrics - Articles'!F751,"*Services Delivery &amp; Support (go-lives and deployments) *")</f>
        <v>0</v>
      </c>
      <c r="F752">
        <f>COUNTIF('Metrics - Articles'!F751,"*Human Resources (SAP HR and employee stories)*")</f>
        <v>0</v>
      </c>
      <c r="G752">
        <f>COUNTIF('Metrics - Articles'!F751,"*P&amp;I (Research &amp; Development)*")</f>
        <v>0</v>
      </c>
      <c r="H752">
        <f>COUNTIF('Metrics - Articles'!F751,"*Business Network (Concur, Ariba, Fieldglass)*")</f>
        <v>0</v>
      </c>
      <c r="I752">
        <f>COUNTIF('Metrics - Articles'!F751,"*GCO – Regions*")</f>
        <v>0</v>
      </c>
      <c r="J752">
        <f>COUNTIF('Metrics - Articles'!F751,"*GCO – Platform Solutions*")</f>
        <v>0</v>
      </c>
      <c r="K752">
        <f>COUNTIF('Metrics - Articles'!F751,"*GCO – Industry Cloud *")</f>
        <v>0</v>
      </c>
      <c r="L752">
        <f>COUNTIF('Metrics - Articles'!F751,"*GCO – Customer Engagement &amp; Commerce (CRM &amp; hybris) *")</f>
        <v>0</v>
      </c>
      <c r="M752">
        <f>COUNTIF('Metrics - Articles'!F751,"*GCO – HR (SuccessFactors)*")</f>
        <v>0</v>
      </c>
      <c r="N752">
        <f>COUNTIF('Metrics - Articles'!F751,"*GCO – Services Sales*")</f>
        <v>0</v>
      </c>
      <c r="O752">
        <f>COUNTIF('Metrics - Articles'!F751,"*GCO – Other*")</f>
        <v>0</v>
      </c>
      <c r="P752">
        <f>COUNTIF('Metrics - Articles'!F751,"*Corporate*")</f>
        <v>0</v>
      </c>
      <c r="R752" s="53">
        <f t="shared" si="13"/>
        <v>0</v>
      </c>
    </row>
    <row r="753" spans="2:18" x14ac:dyDescent="0.25">
      <c r="B753" s="48">
        <f>+'Metrics - Articles'!C752</f>
        <v>0</v>
      </c>
      <c r="C753">
        <f>COUNTIF('Metrics - Articles'!F752,"*GPO (Partner, Ecosystem, Channels)*")</f>
        <v>0</v>
      </c>
      <c r="D753">
        <f>COUNTIF('Metrics - Articles'!F752,"*Office of the CEO*")</f>
        <v>0</v>
      </c>
      <c r="E753">
        <f>COUNTIF('Metrics - Articles'!F752,"*Services Delivery &amp; Support (go-lives and deployments) *")</f>
        <v>0</v>
      </c>
      <c r="F753">
        <f>COUNTIF('Metrics - Articles'!F752,"*Human Resources (SAP HR and employee stories)*")</f>
        <v>0</v>
      </c>
      <c r="G753">
        <f>COUNTIF('Metrics - Articles'!F752,"*P&amp;I (Research &amp; Development)*")</f>
        <v>0</v>
      </c>
      <c r="H753">
        <f>COUNTIF('Metrics - Articles'!F752,"*Business Network (Concur, Ariba, Fieldglass)*")</f>
        <v>0</v>
      </c>
      <c r="I753">
        <f>COUNTIF('Metrics - Articles'!F752,"*GCO – Regions*")</f>
        <v>0</v>
      </c>
      <c r="J753">
        <f>COUNTIF('Metrics - Articles'!F752,"*GCO – Platform Solutions*")</f>
        <v>0</v>
      </c>
      <c r="K753">
        <f>COUNTIF('Metrics - Articles'!F752,"*GCO – Industry Cloud *")</f>
        <v>0</v>
      </c>
      <c r="L753">
        <f>COUNTIF('Metrics - Articles'!F752,"*GCO – Customer Engagement &amp; Commerce (CRM &amp; hybris) *")</f>
        <v>0</v>
      </c>
      <c r="M753">
        <f>COUNTIF('Metrics - Articles'!F752,"*GCO – HR (SuccessFactors)*")</f>
        <v>0</v>
      </c>
      <c r="N753">
        <f>COUNTIF('Metrics - Articles'!F752,"*GCO – Services Sales*")</f>
        <v>0</v>
      </c>
      <c r="O753">
        <f>COUNTIF('Metrics - Articles'!F752,"*GCO – Other*")</f>
        <v>0</v>
      </c>
      <c r="P753">
        <f>COUNTIF('Metrics - Articles'!F752,"*Corporate*")</f>
        <v>0</v>
      </c>
      <c r="R753" s="53">
        <f t="shared" si="13"/>
        <v>0</v>
      </c>
    </row>
    <row r="754" spans="2:18" x14ac:dyDescent="0.25">
      <c r="B754" s="48">
        <f>+'Metrics - Articles'!C753</f>
        <v>0</v>
      </c>
      <c r="C754">
        <f>COUNTIF('Metrics - Articles'!F753,"*GPO (Partner, Ecosystem, Channels)*")</f>
        <v>0</v>
      </c>
      <c r="D754">
        <f>COUNTIF('Metrics - Articles'!F753,"*Office of the CEO*")</f>
        <v>0</v>
      </c>
      <c r="E754">
        <f>COUNTIF('Metrics - Articles'!F753,"*Services Delivery &amp; Support (go-lives and deployments) *")</f>
        <v>0</v>
      </c>
      <c r="F754">
        <f>COUNTIF('Metrics - Articles'!F753,"*Human Resources (SAP HR and employee stories)*")</f>
        <v>0</v>
      </c>
      <c r="G754">
        <f>COUNTIF('Metrics - Articles'!F753,"*P&amp;I (Research &amp; Development)*")</f>
        <v>0</v>
      </c>
      <c r="H754">
        <f>COUNTIF('Metrics - Articles'!F753,"*Business Network (Concur, Ariba, Fieldglass)*")</f>
        <v>0</v>
      </c>
      <c r="I754">
        <f>COUNTIF('Metrics - Articles'!F753,"*GCO – Regions*")</f>
        <v>0</v>
      </c>
      <c r="J754">
        <f>COUNTIF('Metrics - Articles'!F753,"*GCO – Platform Solutions*")</f>
        <v>0</v>
      </c>
      <c r="K754">
        <f>COUNTIF('Metrics - Articles'!F753,"*GCO – Industry Cloud *")</f>
        <v>0</v>
      </c>
      <c r="L754">
        <f>COUNTIF('Metrics - Articles'!F753,"*GCO – Customer Engagement &amp; Commerce (CRM &amp; hybris) *")</f>
        <v>0</v>
      </c>
      <c r="M754">
        <f>COUNTIF('Metrics - Articles'!F753,"*GCO – HR (SuccessFactors)*")</f>
        <v>0</v>
      </c>
      <c r="N754">
        <f>COUNTIF('Metrics - Articles'!F753,"*GCO – Services Sales*")</f>
        <v>0</v>
      </c>
      <c r="O754">
        <f>COUNTIF('Metrics - Articles'!F753,"*GCO – Other*")</f>
        <v>0</v>
      </c>
      <c r="P754">
        <f>COUNTIF('Metrics - Articles'!F753,"*Corporate*")</f>
        <v>0</v>
      </c>
      <c r="R754" s="53">
        <f t="shared" si="13"/>
        <v>0</v>
      </c>
    </row>
    <row r="755" spans="2:18" x14ac:dyDescent="0.25">
      <c r="B755" s="48">
        <f>+'Metrics - Articles'!C754</f>
        <v>0</v>
      </c>
      <c r="C755">
        <f>COUNTIF('Metrics - Articles'!F754,"*GPO (Partner, Ecosystem, Channels)*")</f>
        <v>0</v>
      </c>
      <c r="D755">
        <f>COUNTIF('Metrics - Articles'!F754,"*Office of the CEO*")</f>
        <v>0</v>
      </c>
      <c r="E755">
        <f>COUNTIF('Metrics - Articles'!F754,"*Services Delivery &amp; Support (go-lives and deployments) *")</f>
        <v>0</v>
      </c>
      <c r="F755">
        <f>COUNTIF('Metrics - Articles'!F754,"*Human Resources (SAP HR and employee stories)*")</f>
        <v>0</v>
      </c>
      <c r="G755">
        <f>COUNTIF('Metrics - Articles'!F754,"*P&amp;I (Research &amp; Development)*")</f>
        <v>0</v>
      </c>
      <c r="H755">
        <f>COUNTIF('Metrics - Articles'!F754,"*Business Network (Concur, Ariba, Fieldglass)*")</f>
        <v>0</v>
      </c>
      <c r="I755">
        <f>COUNTIF('Metrics - Articles'!F754,"*GCO – Regions*")</f>
        <v>0</v>
      </c>
      <c r="J755">
        <f>COUNTIF('Metrics - Articles'!F754,"*GCO – Platform Solutions*")</f>
        <v>0</v>
      </c>
      <c r="K755">
        <f>COUNTIF('Metrics - Articles'!F754,"*GCO – Industry Cloud *")</f>
        <v>0</v>
      </c>
      <c r="L755">
        <f>COUNTIF('Metrics - Articles'!F754,"*GCO – Customer Engagement &amp; Commerce (CRM &amp; hybris) *")</f>
        <v>0</v>
      </c>
      <c r="M755">
        <f>COUNTIF('Metrics - Articles'!F754,"*GCO – HR (SuccessFactors)*")</f>
        <v>0</v>
      </c>
      <c r="N755">
        <f>COUNTIF('Metrics - Articles'!F754,"*GCO – Services Sales*")</f>
        <v>0</v>
      </c>
      <c r="O755">
        <f>COUNTIF('Metrics - Articles'!F754,"*GCO – Other*")</f>
        <v>0</v>
      </c>
      <c r="P755">
        <f>COUNTIF('Metrics - Articles'!F754,"*Corporate*")</f>
        <v>0</v>
      </c>
      <c r="R755" s="53">
        <f t="shared" si="13"/>
        <v>0</v>
      </c>
    </row>
    <row r="756" spans="2:18" x14ac:dyDescent="0.25">
      <c r="B756" s="48">
        <f>+'Metrics - Articles'!C755</f>
        <v>0</v>
      </c>
      <c r="C756">
        <f>COUNTIF('Metrics - Articles'!F755,"*GPO (Partner, Ecosystem, Channels)*")</f>
        <v>0</v>
      </c>
      <c r="D756">
        <f>COUNTIF('Metrics - Articles'!F755,"*Office of the CEO*")</f>
        <v>0</v>
      </c>
      <c r="E756">
        <f>COUNTIF('Metrics - Articles'!F755,"*Services Delivery &amp; Support (go-lives and deployments) *")</f>
        <v>0</v>
      </c>
      <c r="F756">
        <f>COUNTIF('Metrics - Articles'!F755,"*Human Resources (SAP HR and employee stories)*")</f>
        <v>0</v>
      </c>
      <c r="G756">
        <f>COUNTIF('Metrics - Articles'!F755,"*P&amp;I (Research &amp; Development)*")</f>
        <v>0</v>
      </c>
      <c r="H756">
        <f>COUNTIF('Metrics - Articles'!F755,"*Business Network (Concur, Ariba, Fieldglass)*")</f>
        <v>0</v>
      </c>
      <c r="I756">
        <f>COUNTIF('Metrics - Articles'!F755,"*GCO – Regions*")</f>
        <v>0</v>
      </c>
      <c r="J756">
        <f>COUNTIF('Metrics - Articles'!F755,"*GCO – Platform Solutions*")</f>
        <v>0</v>
      </c>
      <c r="K756">
        <f>COUNTIF('Metrics - Articles'!F755,"*GCO – Industry Cloud *")</f>
        <v>0</v>
      </c>
      <c r="L756">
        <f>COUNTIF('Metrics - Articles'!F755,"*GCO – Customer Engagement &amp; Commerce (CRM &amp; hybris) *")</f>
        <v>0</v>
      </c>
      <c r="M756">
        <f>COUNTIF('Metrics - Articles'!F755,"*GCO – HR (SuccessFactors)*")</f>
        <v>0</v>
      </c>
      <c r="N756">
        <f>COUNTIF('Metrics - Articles'!F755,"*GCO – Services Sales*")</f>
        <v>0</v>
      </c>
      <c r="O756">
        <f>COUNTIF('Metrics - Articles'!F755,"*GCO – Other*")</f>
        <v>0</v>
      </c>
      <c r="P756">
        <f>COUNTIF('Metrics - Articles'!F755,"*Corporate*")</f>
        <v>0</v>
      </c>
      <c r="R756" s="53">
        <f t="shared" si="13"/>
        <v>0</v>
      </c>
    </row>
    <row r="757" spans="2:18" x14ac:dyDescent="0.25">
      <c r="B757" s="48">
        <f>+'Metrics - Articles'!C756</f>
        <v>0</v>
      </c>
      <c r="C757">
        <f>COUNTIF('Metrics - Articles'!F756,"*GPO (Partner, Ecosystem, Channels)*")</f>
        <v>0</v>
      </c>
      <c r="D757">
        <f>COUNTIF('Metrics - Articles'!F756,"*Office of the CEO*")</f>
        <v>0</v>
      </c>
      <c r="E757">
        <f>COUNTIF('Metrics - Articles'!F756,"*Services Delivery &amp; Support (go-lives and deployments) *")</f>
        <v>0</v>
      </c>
      <c r="F757">
        <f>COUNTIF('Metrics - Articles'!F756,"*Human Resources (SAP HR and employee stories)*")</f>
        <v>0</v>
      </c>
      <c r="G757">
        <f>COUNTIF('Metrics - Articles'!F756,"*P&amp;I (Research &amp; Development)*")</f>
        <v>0</v>
      </c>
      <c r="H757">
        <f>COUNTIF('Metrics - Articles'!F756,"*Business Network (Concur, Ariba, Fieldglass)*")</f>
        <v>0</v>
      </c>
      <c r="I757">
        <f>COUNTIF('Metrics - Articles'!F756,"*GCO – Regions*")</f>
        <v>0</v>
      </c>
      <c r="J757">
        <f>COUNTIF('Metrics - Articles'!F756,"*GCO – Platform Solutions*")</f>
        <v>0</v>
      </c>
      <c r="K757">
        <f>COUNTIF('Metrics - Articles'!F756,"*GCO – Industry Cloud *")</f>
        <v>0</v>
      </c>
      <c r="L757">
        <f>COUNTIF('Metrics - Articles'!F756,"*GCO – Customer Engagement &amp; Commerce (CRM &amp; hybris) *")</f>
        <v>0</v>
      </c>
      <c r="M757">
        <f>COUNTIF('Metrics - Articles'!F756,"*GCO – HR (SuccessFactors)*")</f>
        <v>0</v>
      </c>
      <c r="N757">
        <f>COUNTIF('Metrics - Articles'!F756,"*GCO – Services Sales*")</f>
        <v>0</v>
      </c>
      <c r="O757">
        <f>COUNTIF('Metrics - Articles'!F756,"*GCO – Other*")</f>
        <v>0</v>
      </c>
      <c r="P757">
        <f>COUNTIF('Metrics - Articles'!F756,"*Corporate*")</f>
        <v>0</v>
      </c>
      <c r="R757" s="53">
        <f t="shared" si="13"/>
        <v>0</v>
      </c>
    </row>
    <row r="758" spans="2:18" x14ac:dyDescent="0.25">
      <c r="B758" s="48">
        <f>+'Metrics - Articles'!C757</f>
        <v>0</v>
      </c>
      <c r="C758">
        <f>COUNTIF('Metrics - Articles'!F757,"*GPO (Partner, Ecosystem, Channels)*")</f>
        <v>0</v>
      </c>
      <c r="D758">
        <f>COUNTIF('Metrics - Articles'!F757,"*Office of the CEO*")</f>
        <v>0</v>
      </c>
      <c r="E758">
        <f>COUNTIF('Metrics - Articles'!F757,"*Services Delivery &amp; Support (go-lives and deployments) *")</f>
        <v>0</v>
      </c>
      <c r="F758">
        <f>COUNTIF('Metrics - Articles'!F757,"*Human Resources (SAP HR and employee stories)*")</f>
        <v>0</v>
      </c>
      <c r="G758">
        <f>COUNTIF('Metrics - Articles'!F757,"*P&amp;I (Research &amp; Development)*")</f>
        <v>0</v>
      </c>
      <c r="H758">
        <f>COUNTIF('Metrics - Articles'!F757,"*Business Network (Concur, Ariba, Fieldglass)*")</f>
        <v>0</v>
      </c>
      <c r="I758">
        <f>COUNTIF('Metrics - Articles'!F757,"*GCO – Regions*")</f>
        <v>0</v>
      </c>
      <c r="J758">
        <f>COUNTIF('Metrics - Articles'!F757,"*GCO – Platform Solutions*")</f>
        <v>0</v>
      </c>
      <c r="K758">
        <f>COUNTIF('Metrics - Articles'!F757,"*GCO – Industry Cloud *")</f>
        <v>0</v>
      </c>
      <c r="L758">
        <f>COUNTIF('Metrics - Articles'!F757,"*GCO – Customer Engagement &amp; Commerce (CRM &amp; hybris) *")</f>
        <v>0</v>
      </c>
      <c r="M758">
        <f>COUNTIF('Metrics - Articles'!F757,"*GCO – HR (SuccessFactors)*")</f>
        <v>0</v>
      </c>
      <c r="N758">
        <f>COUNTIF('Metrics - Articles'!F757,"*GCO – Services Sales*")</f>
        <v>0</v>
      </c>
      <c r="O758">
        <f>COUNTIF('Metrics - Articles'!F757,"*GCO – Other*")</f>
        <v>0</v>
      </c>
      <c r="P758">
        <f>COUNTIF('Metrics - Articles'!F757,"*Corporate*")</f>
        <v>0</v>
      </c>
      <c r="R758" s="53">
        <f t="shared" si="13"/>
        <v>0</v>
      </c>
    </row>
    <row r="759" spans="2:18" x14ac:dyDescent="0.25">
      <c r="B759" s="48">
        <f>+'Metrics - Articles'!C758</f>
        <v>0</v>
      </c>
      <c r="C759">
        <f>COUNTIF('Metrics - Articles'!F758,"*GPO (Partner, Ecosystem, Channels)*")</f>
        <v>0</v>
      </c>
      <c r="D759">
        <f>COUNTIF('Metrics - Articles'!F758,"*Office of the CEO*")</f>
        <v>0</v>
      </c>
      <c r="E759">
        <f>COUNTIF('Metrics - Articles'!F758,"*Services Delivery &amp; Support (go-lives and deployments) *")</f>
        <v>0</v>
      </c>
      <c r="F759">
        <f>COUNTIF('Metrics - Articles'!F758,"*Human Resources (SAP HR and employee stories)*")</f>
        <v>0</v>
      </c>
      <c r="G759">
        <f>COUNTIF('Metrics - Articles'!F758,"*P&amp;I (Research &amp; Development)*")</f>
        <v>0</v>
      </c>
      <c r="H759">
        <f>COUNTIF('Metrics - Articles'!F758,"*Business Network (Concur, Ariba, Fieldglass)*")</f>
        <v>0</v>
      </c>
      <c r="I759">
        <f>COUNTIF('Metrics - Articles'!F758,"*GCO – Regions*")</f>
        <v>0</v>
      </c>
      <c r="J759">
        <f>COUNTIF('Metrics - Articles'!F758,"*GCO – Platform Solutions*")</f>
        <v>0</v>
      </c>
      <c r="K759">
        <f>COUNTIF('Metrics - Articles'!F758,"*GCO – Industry Cloud *")</f>
        <v>0</v>
      </c>
      <c r="L759">
        <f>COUNTIF('Metrics - Articles'!F758,"*GCO – Customer Engagement &amp; Commerce (CRM &amp; hybris) *")</f>
        <v>0</v>
      </c>
      <c r="M759">
        <f>COUNTIF('Metrics - Articles'!F758,"*GCO – HR (SuccessFactors)*")</f>
        <v>0</v>
      </c>
      <c r="N759">
        <f>COUNTIF('Metrics - Articles'!F758,"*GCO – Services Sales*")</f>
        <v>0</v>
      </c>
      <c r="O759">
        <f>COUNTIF('Metrics - Articles'!F758,"*GCO – Other*")</f>
        <v>0</v>
      </c>
      <c r="P759">
        <f>COUNTIF('Metrics - Articles'!F758,"*Corporate*")</f>
        <v>0</v>
      </c>
      <c r="R759" s="53">
        <f t="shared" si="13"/>
        <v>0</v>
      </c>
    </row>
    <row r="760" spans="2:18" x14ac:dyDescent="0.25">
      <c r="B760" s="48">
        <f>+'Metrics - Articles'!C759</f>
        <v>0</v>
      </c>
      <c r="C760">
        <f>COUNTIF('Metrics - Articles'!F759,"*GPO (Partner, Ecosystem, Channels)*")</f>
        <v>0</v>
      </c>
      <c r="D760">
        <f>COUNTIF('Metrics - Articles'!F759,"*Office of the CEO*")</f>
        <v>0</v>
      </c>
      <c r="E760">
        <f>COUNTIF('Metrics - Articles'!F759,"*Services Delivery &amp; Support (go-lives and deployments) *")</f>
        <v>0</v>
      </c>
      <c r="F760">
        <f>COUNTIF('Metrics - Articles'!F759,"*Human Resources (SAP HR and employee stories)*")</f>
        <v>0</v>
      </c>
      <c r="G760">
        <f>COUNTIF('Metrics - Articles'!F759,"*P&amp;I (Research &amp; Development)*")</f>
        <v>0</v>
      </c>
      <c r="H760">
        <f>COUNTIF('Metrics - Articles'!F759,"*Business Network (Concur, Ariba, Fieldglass)*")</f>
        <v>0</v>
      </c>
      <c r="I760">
        <f>COUNTIF('Metrics - Articles'!F759,"*GCO – Regions*")</f>
        <v>0</v>
      </c>
      <c r="J760">
        <f>COUNTIF('Metrics - Articles'!F759,"*GCO – Platform Solutions*")</f>
        <v>0</v>
      </c>
      <c r="K760">
        <f>COUNTIF('Metrics - Articles'!F759,"*GCO – Industry Cloud *")</f>
        <v>0</v>
      </c>
      <c r="L760">
        <f>COUNTIF('Metrics - Articles'!F759,"*GCO – Customer Engagement &amp; Commerce (CRM &amp; hybris) *")</f>
        <v>0</v>
      </c>
      <c r="M760">
        <f>COUNTIF('Metrics - Articles'!F759,"*GCO – HR (SuccessFactors)*")</f>
        <v>0</v>
      </c>
      <c r="N760">
        <f>COUNTIF('Metrics - Articles'!F759,"*GCO – Services Sales*")</f>
        <v>0</v>
      </c>
      <c r="O760">
        <f>COUNTIF('Metrics - Articles'!F759,"*GCO – Other*")</f>
        <v>0</v>
      </c>
      <c r="P760">
        <f>COUNTIF('Metrics - Articles'!F759,"*Corporate*")</f>
        <v>0</v>
      </c>
      <c r="R760" s="53">
        <f t="shared" si="13"/>
        <v>0</v>
      </c>
    </row>
    <row r="761" spans="2:18" x14ac:dyDescent="0.25">
      <c r="B761" s="48">
        <f>+'Metrics - Articles'!C760</f>
        <v>0</v>
      </c>
      <c r="C761">
        <f>COUNTIF('Metrics - Articles'!F760,"*GPO (Partner, Ecosystem, Channels)*")</f>
        <v>0</v>
      </c>
      <c r="D761">
        <f>COUNTIF('Metrics - Articles'!F760,"*Office of the CEO*")</f>
        <v>0</v>
      </c>
      <c r="E761">
        <f>COUNTIF('Metrics - Articles'!F760,"*Services Delivery &amp; Support (go-lives and deployments) *")</f>
        <v>0</v>
      </c>
      <c r="F761">
        <f>COUNTIF('Metrics - Articles'!F760,"*Human Resources (SAP HR and employee stories)*")</f>
        <v>0</v>
      </c>
      <c r="G761">
        <f>COUNTIF('Metrics - Articles'!F760,"*P&amp;I (Research &amp; Development)*")</f>
        <v>0</v>
      </c>
      <c r="H761">
        <f>COUNTIF('Metrics - Articles'!F760,"*Business Network (Concur, Ariba, Fieldglass)*")</f>
        <v>0</v>
      </c>
      <c r="I761">
        <f>COUNTIF('Metrics - Articles'!F760,"*GCO – Regions*")</f>
        <v>0</v>
      </c>
      <c r="J761">
        <f>COUNTIF('Metrics - Articles'!F760,"*GCO – Platform Solutions*")</f>
        <v>0</v>
      </c>
      <c r="K761">
        <f>COUNTIF('Metrics - Articles'!F760,"*GCO – Industry Cloud *")</f>
        <v>0</v>
      </c>
      <c r="L761">
        <f>COUNTIF('Metrics - Articles'!F760,"*GCO – Customer Engagement &amp; Commerce (CRM &amp; hybris) *")</f>
        <v>0</v>
      </c>
      <c r="M761">
        <f>COUNTIF('Metrics - Articles'!F760,"*GCO – HR (SuccessFactors)*")</f>
        <v>0</v>
      </c>
      <c r="N761">
        <f>COUNTIF('Metrics - Articles'!F760,"*GCO – Services Sales*")</f>
        <v>0</v>
      </c>
      <c r="O761">
        <f>COUNTIF('Metrics - Articles'!F760,"*GCO – Other*")</f>
        <v>0</v>
      </c>
      <c r="P761">
        <f>COUNTIF('Metrics - Articles'!F760,"*Corporate*")</f>
        <v>0</v>
      </c>
      <c r="R761" s="53">
        <f t="shared" si="13"/>
        <v>0</v>
      </c>
    </row>
    <row r="762" spans="2:18" x14ac:dyDescent="0.25">
      <c r="B762" s="48">
        <f>+'Metrics - Articles'!C761</f>
        <v>0</v>
      </c>
      <c r="C762">
        <f>COUNTIF('Metrics - Articles'!F761,"*GPO (Partner, Ecosystem, Channels)*")</f>
        <v>0</v>
      </c>
      <c r="D762">
        <f>COUNTIF('Metrics - Articles'!F761,"*Office of the CEO*")</f>
        <v>0</v>
      </c>
      <c r="E762">
        <f>COUNTIF('Metrics - Articles'!F761,"*Services Delivery &amp; Support (go-lives and deployments) *")</f>
        <v>0</v>
      </c>
      <c r="F762">
        <f>COUNTIF('Metrics - Articles'!F761,"*Human Resources (SAP HR and employee stories)*")</f>
        <v>0</v>
      </c>
      <c r="G762">
        <f>COUNTIF('Metrics - Articles'!F761,"*P&amp;I (Research &amp; Development)*")</f>
        <v>0</v>
      </c>
      <c r="H762">
        <f>COUNTIF('Metrics - Articles'!F761,"*Business Network (Concur, Ariba, Fieldglass)*")</f>
        <v>0</v>
      </c>
      <c r="I762">
        <f>COUNTIF('Metrics - Articles'!F761,"*GCO – Regions*")</f>
        <v>0</v>
      </c>
      <c r="J762">
        <f>COUNTIF('Metrics - Articles'!F761,"*GCO – Platform Solutions*")</f>
        <v>0</v>
      </c>
      <c r="K762">
        <f>COUNTIF('Metrics - Articles'!F761,"*GCO – Industry Cloud *")</f>
        <v>0</v>
      </c>
      <c r="L762">
        <f>COUNTIF('Metrics - Articles'!F761,"*GCO – Customer Engagement &amp; Commerce (CRM &amp; hybris) *")</f>
        <v>0</v>
      </c>
      <c r="M762">
        <f>COUNTIF('Metrics - Articles'!F761,"*GCO – HR (SuccessFactors)*")</f>
        <v>0</v>
      </c>
      <c r="N762">
        <f>COUNTIF('Metrics - Articles'!F761,"*GCO – Services Sales*")</f>
        <v>0</v>
      </c>
      <c r="O762">
        <f>COUNTIF('Metrics - Articles'!F761,"*GCO – Other*")</f>
        <v>0</v>
      </c>
      <c r="P762">
        <f>COUNTIF('Metrics - Articles'!F761,"*Corporate*")</f>
        <v>0</v>
      </c>
      <c r="R762" s="53">
        <f t="shared" si="13"/>
        <v>0</v>
      </c>
    </row>
    <row r="763" spans="2:18" x14ac:dyDescent="0.25">
      <c r="B763" s="48">
        <f>+'Metrics - Articles'!C762</f>
        <v>0</v>
      </c>
      <c r="C763">
        <f>COUNTIF('Metrics - Articles'!F762,"*GPO (Partner, Ecosystem, Channels)*")</f>
        <v>0</v>
      </c>
      <c r="D763">
        <f>COUNTIF('Metrics - Articles'!F762,"*Office of the CEO*")</f>
        <v>0</v>
      </c>
      <c r="E763">
        <f>COUNTIF('Metrics - Articles'!F762,"*Services Delivery &amp; Support (go-lives and deployments) *")</f>
        <v>0</v>
      </c>
      <c r="F763">
        <f>COUNTIF('Metrics - Articles'!F762,"*Human Resources (SAP HR and employee stories)*")</f>
        <v>0</v>
      </c>
      <c r="G763">
        <f>COUNTIF('Metrics - Articles'!F762,"*P&amp;I (Research &amp; Development)*")</f>
        <v>0</v>
      </c>
      <c r="H763">
        <f>COUNTIF('Metrics - Articles'!F762,"*Business Network (Concur, Ariba, Fieldglass)*")</f>
        <v>0</v>
      </c>
      <c r="I763">
        <f>COUNTIF('Metrics - Articles'!F762,"*GCO – Regions*")</f>
        <v>0</v>
      </c>
      <c r="J763">
        <f>COUNTIF('Metrics - Articles'!F762,"*GCO – Platform Solutions*")</f>
        <v>0</v>
      </c>
      <c r="K763">
        <f>COUNTIF('Metrics - Articles'!F762,"*GCO – Industry Cloud *")</f>
        <v>0</v>
      </c>
      <c r="L763">
        <f>COUNTIF('Metrics - Articles'!F762,"*GCO – Customer Engagement &amp; Commerce (CRM &amp; hybris) *")</f>
        <v>0</v>
      </c>
      <c r="M763">
        <f>COUNTIF('Metrics - Articles'!F762,"*GCO – HR (SuccessFactors)*")</f>
        <v>0</v>
      </c>
      <c r="N763">
        <f>COUNTIF('Metrics - Articles'!F762,"*GCO – Services Sales*")</f>
        <v>0</v>
      </c>
      <c r="O763">
        <f>COUNTIF('Metrics - Articles'!F762,"*GCO – Other*")</f>
        <v>0</v>
      </c>
      <c r="P763">
        <f>COUNTIF('Metrics - Articles'!F762,"*Corporate*")</f>
        <v>0</v>
      </c>
      <c r="R763" s="53">
        <f t="shared" si="13"/>
        <v>0</v>
      </c>
    </row>
    <row r="764" spans="2:18" x14ac:dyDescent="0.25">
      <c r="B764" s="48">
        <f>+'Metrics - Articles'!C763</f>
        <v>0</v>
      </c>
      <c r="C764">
        <f>COUNTIF('Metrics - Articles'!F763,"*GPO (Partner, Ecosystem, Channels)*")</f>
        <v>0</v>
      </c>
      <c r="D764">
        <f>COUNTIF('Metrics - Articles'!F763,"*Office of the CEO*")</f>
        <v>0</v>
      </c>
      <c r="E764">
        <f>COUNTIF('Metrics - Articles'!F763,"*Services Delivery &amp; Support (go-lives and deployments) *")</f>
        <v>0</v>
      </c>
      <c r="F764">
        <f>COUNTIF('Metrics - Articles'!F763,"*Human Resources (SAP HR and employee stories)*")</f>
        <v>0</v>
      </c>
      <c r="G764">
        <f>COUNTIF('Metrics - Articles'!F763,"*P&amp;I (Research &amp; Development)*")</f>
        <v>0</v>
      </c>
      <c r="H764">
        <f>COUNTIF('Metrics - Articles'!F763,"*Business Network (Concur, Ariba, Fieldglass)*")</f>
        <v>0</v>
      </c>
      <c r="I764">
        <f>COUNTIF('Metrics - Articles'!F763,"*GCO – Regions*")</f>
        <v>0</v>
      </c>
      <c r="J764">
        <f>COUNTIF('Metrics - Articles'!F763,"*GCO – Platform Solutions*")</f>
        <v>0</v>
      </c>
      <c r="K764">
        <f>COUNTIF('Metrics - Articles'!F763,"*GCO – Industry Cloud *")</f>
        <v>0</v>
      </c>
      <c r="L764">
        <f>COUNTIF('Metrics - Articles'!F763,"*GCO – Customer Engagement &amp; Commerce (CRM &amp; hybris) *")</f>
        <v>0</v>
      </c>
      <c r="M764">
        <f>COUNTIF('Metrics - Articles'!F763,"*GCO – HR (SuccessFactors)*")</f>
        <v>0</v>
      </c>
      <c r="N764">
        <f>COUNTIF('Metrics - Articles'!F763,"*GCO – Services Sales*")</f>
        <v>0</v>
      </c>
      <c r="O764">
        <f>COUNTIF('Metrics - Articles'!F763,"*GCO – Other*")</f>
        <v>0</v>
      </c>
      <c r="P764">
        <f>COUNTIF('Metrics - Articles'!F763,"*Corporate*")</f>
        <v>0</v>
      </c>
      <c r="R764" s="53">
        <f t="shared" si="13"/>
        <v>0</v>
      </c>
    </row>
    <row r="765" spans="2:18" x14ac:dyDescent="0.25">
      <c r="B765" s="48">
        <f>+'Metrics - Articles'!C764</f>
        <v>0</v>
      </c>
      <c r="C765">
        <f>COUNTIF('Metrics - Articles'!F764,"*GPO (Partner, Ecosystem, Channels)*")</f>
        <v>0</v>
      </c>
      <c r="D765">
        <f>COUNTIF('Metrics - Articles'!F764,"*Office of the CEO*")</f>
        <v>0</v>
      </c>
      <c r="E765">
        <f>COUNTIF('Metrics - Articles'!F764,"*Services Delivery &amp; Support (go-lives and deployments) *")</f>
        <v>0</v>
      </c>
      <c r="F765">
        <f>COUNTIF('Metrics - Articles'!F764,"*Human Resources (SAP HR and employee stories)*")</f>
        <v>0</v>
      </c>
      <c r="G765">
        <f>COUNTIF('Metrics - Articles'!F764,"*P&amp;I (Research &amp; Development)*")</f>
        <v>0</v>
      </c>
      <c r="H765">
        <f>COUNTIF('Metrics - Articles'!F764,"*Business Network (Concur, Ariba, Fieldglass)*")</f>
        <v>0</v>
      </c>
      <c r="I765">
        <f>COUNTIF('Metrics - Articles'!F764,"*GCO – Regions*")</f>
        <v>0</v>
      </c>
      <c r="J765">
        <f>COUNTIF('Metrics - Articles'!F764,"*GCO – Platform Solutions*")</f>
        <v>0</v>
      </c>
      <c r="K765">
        <f>COUNTIF('Metrics - Articles'!F764,"*GCO – Industry Cloud *")</f>
        <v>0</v>
      </c>
      <c r="L765">
        <f>COUNTIF('Metrics - Articles'!F764,"*GCO – Customer Engagement &amp; Commerce (CRM &amp; hybris) *")</f>
        <v>0</v>
      </c>
      <c r="M765">
        <f>COUNTIF('Metrics - Articles'!F764,"*GCO – HR (SuccessFactors)*")</f>
        <v>0</v>
      </c>
      <c r="N765">
        <f>COUNTIF('Metrics - Articles'!F764,"*GCO – Services Sales*")</f>
        <v>0</v>
      </c>
      <c r="O765">
        <f>COUNTIF('Metrics - Articles'!F764,"*GCO – Other*")</f>
        <v>0</v>
      </c>
      <c r="P765">
        <f>COUNTIF('Metrics - Articles'!F764,"*Corporate*")</f>
        <v>0</v>
      </c>
      <c r="R765" s="53">
        <f t="shared" si="13"/>
        <v>0</v>
      </c>
    </row>
    <row r="766" spans="2:18" x14ac:dyDescent="0.25">
      <c r="B766" s="48">
        <f>+'Metrics - Articles'!C765</f>
        <v>0</v>
      </c>
      <c r="C766">
        <f>COUNTIF('Metrics - Articles'!F765,"*GPO (Partner, Ecosystem, Channels)*")</f>
        <v>0</v>
      </c>
      <c r="D766">
        <f>COUNTIF('Metrics - Articles'!F765,"*Office of the CEO*")</f>
        <v>0</v>
      </c>
      <c r="E766">
        <f>COUNTIF('Metrics - Articles'!F765,"*Services Delivery &amp; Support (go-lives and deployments) *")</f>
        <v>0</v>
      </c>
      <c r="F766">
        <f>COUNTIF('Metrics - Articles'!F765,"*Human Resources (SAP HR and employee stories)*")</f>
        <v>0</v>
      </c>
      <c r="G766">
        <f>COUNTIF('Metrics - Articles'!F765,"*P&amp;I (Research &amp; Development)*")</f>
        <v>0</v>
      </c>
      <c r="H766">
        <f>COUNTIF('Metrics - Articles'!F765,"*Business Network (Concur, Ariba, Fieldglass)*")</f>
        <v>0</v>
      </c>
      <c r="I766">
        <f>COUNTIF('Metrics - Articles'!F765,"*GCO – Regions*")</f>
        <v>0</v>
      </c>
      <c r="J766">
        <f>COUNTIF('Metrics - Articles'!F765,"*GCO – Platform Solutions*")</f>
        <v>0</v>
      </c>
      <c r="K766">
        <f>COUNTIF('Metrics - Articles'!F765,"*GCO – Industry Cloud *")</f>
        <v>0</v>
      </c>
      <c r="L766">
        <f>COUNTIF('Metrics - Articles'!F765,"*GCO – Customer Engagement &amp; Commerce (CRM &amp; hybris) *")</f>
        <v>0</v>
      </c>
      <c r="M766">
        <f>COUNTIF('Metrics - Articles'!F765,"*GCO – HR (SuccessFactors)*")</f>
        <v>0</v>
      </c>
      <c r="N766">
        <f>COUNTIF('Metrics - Articles'!F765,"*GCO – Services Sales*")</f>
        <v>0</v>
      </c>
      <c r="O766">
        <f>COUNTIF('Metrics - Articles'!F765,"*GCO – Other*")</f>
        <v>0</v>
      </c>
      <c r="P766">
        <f>COUNTIF('Metrics - Articles'!F765,"*Corporate*")</f>
        <v>0</v>
      </c>
      <c r="R766" s="53">
        <f t="shared" si="13"/>
        <v>0</v>
      </c>
    </row>
    <row r="767" spans="2:18" x14ac:dyDescent="0.25">
      <c r="B767" s="48">
        <f>+'Metrics - Articles'!C766</f>
        <v>0</v>
      </c>
      <c r="C767">
        <f>COUNTIF('Metrics - Articles'!F766,"*GPO (Partner, Ecosystem, Channels)*")</f>
        <v>0</v>
      </c>
      <c r="D767">
        <f>COUNTIF('Metrics - Articles'!F766,"*Office of the CEO*")</f>
        <v>0</v>
      </c>
      <c r="E767">
        <f>COUNTIF('Metrics - Articles'!F766,"*Services Delivery &amp; Support (go-lives and deployments) *")</f>
        <v>0</v>
      </c>
      <c r="F767">
        <f>COUNTIF('Metrics - Articles'!F766,"*Human Resources (SAP HR and employee stories)*")</f>
        <v>0</v>
      </c>
      <c r="G767">
        <f>COUNTIF('Metrics - Articles'!F766,"*P&amp;I (Research &amp; Development)*")</f>
        <v>0</v>
      </c>
      <c r="H767">
        <f>COUNTIF('Metrics - Articles'!F766,"*Business Network (Concur, Ariba, Fieldglass)*")</f>
        <v>0</v>
      </c>
      <c r="I767">
        <f>COUNTIF('Metrics - Articles'!F766,"*GCO – Regions*")</f>
        <v>0</v>
      </c>
      <c r="J767">
        <f>COUNTIF('Metrics - Articles'!F766,"*GCO – Platform Solutions*")</f>
        <v>0</v>
      </c>
      <c r="K767">
        <f>COUNTIF('Metrics - Articles'!F766,"*GCO – Industry Cloud *")</f>
        <v>0</v>
      </c>
      <c r="L767">
        <f>COUNTIF('Metrics - Articles'!F766,"*GCO – Customer Engagement &amp; Commerce (CRM &amp; hybris) *")</f>
        <v>0</v>
      </c>
      <c r="M767">
        <f>COUNTIF('Metrics - Articles'!F766,"*GCO – HR (SuccessFactors)*")</f>
        <v>0</v>
      </c>
      <c r="N767">
        <f>COUNTIF('Metrics - Articles'!F766,"*GCO – Services Sales*")</f>
        <v>0</v>
      </c>
      <c r="O767">
        <f>COUNTIF('Metrics - Articles'!F766,"*GCO – Other*")</f>
        <v>0</v>
      </c>
      <c r="P767">
        <f>COUNTIF('Metrics - Articles'!F766,"*Corporate*")</f>
        <v>0</v>
      </c>
      <c r="R767" s="53">
        <f t="shared" si="13"/>
        <v>0</v>
      </c>
    </row>
    <row r="768" spans="2:18" x14ac:dyDescent="0.25">
      <c r="B768" s="48">
        <f>+'Metrics - Articles'!C767</f>
        <v>0</v>
      </c>
      <c r="C768">
        <f>COUNTIF('Metrics - Articles'!F767,"*GPO (Partner, Ecosystem, Channels)*")</f>
        <v>0</v>
      </c>
      <c r="D768">
        <f>COUNTIF('Metrics - Articles'!F767,"*Office of the CEO*")</f>
        <v>0</v>
      </c>
      <c r="E768">
        <f>COUNTIF('Metrics - Articles'!F767,"*Services Delivery &amp; Support (go-lives and deployments) *")</f>
        <v>0</v>
      </c>
      <c r="F768">
        <f>COUNTIF('Metrics - Articles'!F767,"*Human Resources (SAP HR and employee stories)*")</f>
        <v>0</v>
      </c>
      <c r="G768">
        <f>COUNTIF('Metrics - Articles'!F767,"*P&amp;I (Research &amp; Development)*")</f>
        <v>0</v>
      </c>
      <c r="H768">
        <f>COUNTIF('Metrics - Articles'!F767,"*Business Network (Concur, Ariba, Fieldglass)*")</f>
        <v>0</v>
      </c>
      <c r="I768">
        <f>COUNTIF('Metrics - Articles'!F767,"*GCO – Regions*")</f>
        <v>0</v>
      </c>
      <c r="J768">
        <f>COUNTIF('Metrics - Articles'!F767,"*GCO – Platform Solutions*")</f>
        <v>0</v>
      </c>
      <c r="K768">
        <f>COUNTIF('Metrics - Articles'!F767,"*GCO – Industry Cloud *")</f>
        <v>0</v>
      </c>
      <c r="L768">
        <f>COUNTIF('Metrics - Articles'!F767,"*GCO – Customer Engagement &amp; Commerce (CRM &amp; hybris) *")</f>
        <v>0</v>
      </c>
      <c r="M768">
        <f>COUNTIF('Metrics - Articles'!F767,"*GCO – HR (SuccessFactors)*")</f>
        <v>0</v>
      </c>
      <c r="N768">
        <f>COUNTIF('Metrics - Articles'!F767,"*GCO – Services Sales*")</f>
        <v>0</v>
      </c>
      <c r="O768">
        <f>COUNTIF('Metrics - Articles'!F767,"*GCO – Other*")</f>
        <v>0</v>
      </c>
      <c r="P768">
        <f>COUNTIF('Metrics - Articles'!F767,"*Corporate*")</f>
        <v>0</v>
      </c>
      <c r="R768" s="53">
        <f t="shared" si="13"/>
        <v>0</v>
      </c>
    </row>
    <row r="769" spans="2:18" x14ac:dyDescent="0.25">
      <c r="B769" s="48">
        <f>+'Metrics - Articles'!C768</f>
        <v>0</v>
      </c>
      <c r="C769">
        <f>COUNTIF('Metrics - Articles'!F768,"*GPO (Partner, Ecosystem, Channels)*")</f>
        <v>0</v>
      </c>
      <c r="D769">
        <f>COUNTIF('Metrics - Articles'!F768,"*Office of the CEO*")</f>
        <v>0</v>
      </c>
      <c r="E769">
        <f>COUNTIF('Metrics - Articles'!F768,"*Services Delivery &amp; Support (go-lives and deployments) *")</f>
        <v>0</v>
      </c>
      <c r="F769">
        <f>COUNTIF('Metrics - Articles'!F768,"*Human Resources (SAP HR and employee stories)*")</f>
        <v>0</v>
      </c>
      <c r="G769">
        <f>COUNTIF('Metrics - Articles'!F768,"*P&amp;I (Research &amp; Development)*")</f>
        <v>0</v>
      </c>
      <c r="H769">
        <f>COUNTIF('Metrics - Articles'!F768,"*Business Network (Concur, Ariba, Fieldglass)*")</f>
        <v>0</v>
      </c>
      <c r="I769">
        <f>COUNTIF('Metrics - Articles'!F768,"*GCO – Regions*")</f>
        <v>0</v>
      </c>
      <c r="J769">
        <f>COUNTIF('Metrics - Articles'!F768,"*GCO – Platform Solutions*")</f>
        <v>0</v>
      </c>
      <c r="K769">
        <f>COUNTIF('Metrics - Articles'!F768,"*GCO – Industry Cloud *")</f>
        <v>0</v>
      </c>
      <c r="L769">
        <f>COUNTIF('Metrics - Articles'!F768,"*GCO – Customer Engagement &amp; Commerce (CRM &amp; hybris) *")</f>
        <v>0</v>
      </c>
      <c r="M769">
        <f>COUNTIF('Metrics - Articles'!F768,"*GCO – HR (SuccessFactors)*")</f>
        <v>0</v>
      </c>
      <c r="N769">
        <f>COUNTIF('Metrics - Articles'!F768,"*GCO – Services Sales*")</f>
        <v>0</v>
      </c>
      <c r="O769">
        <f>COUNTIF('Metrics - Articles'!F768,"*GCO – Other*")</f>
        <v>0</v>
      </c>
      <c r="P769">
        <f>COUNTIF('Metrics - Articles'!F768,"*Corporate*")</f>
        <v>0</v>
      </c>
      <c r="R769" s="53">
        <f t="shared" si="13"/>
        <v>0</v>
      </c>
    </row>
    <row r="770" spans="2:18" x14ac:dyDescent="0.25">
      <c r="B770" s="48">
        <f>+'Metrics - Articles'!C769</f>
        <v>0</v>
      </c>
      <c r="C770">
        <f>COUNTIF('Metrics - Articles'!F769,"*GPO (Partner, Ecosystem, Channels)*")</f>
        <v>0</v>
      </c>
      <c r="D770">
        <f>COUNTIF('Metrics - Articles'!F769,"*Office of the CEO*")</f>
        <v>0</v>
      </c>
      <c r="E770">
        <f>COUNTIF('Metrics - Articles'!F769,"*Services Delivery &amp; Support (go-lives and deployments) *")</f>
        <v>0</v>
      </c>
      <c r="F770">
        <f>COUNTIF('Metrics - Articles'!F769,"*Human Resources (SAP HR and employee stories)*")</f>
        <v>0</v>
      </c>
      <c r="G770">
        <f>COUNTIF('Metrics - Articles'!F769,"*P&amp;I (Research &amp; Development)*")</f>
        <v>0</v>
      </c>
      <c r="H770">
        <f>COUNTIF('Metrics - Articles'!F769,"*Business Network (Concur, Ariba, Fieldglass)*")</f>
        <v>0</v>
      </c>
      <c r="I770">
        <f>COUNTIF('Metrics - Articles'!F769,"*GCO – Regions*")</f>
        <v>0</v>
      </c>
      <c r="J770">
        <f>COUNTIF('Metrics - Articles'!F769,"*GCO – Platform Solutions*")</f>
        <v>0</v>
      </c>
      <c r="K770">
        <f>COUNTIF('Metrics - Articles'!F769,"*GCO – Industry Cloud *")</f>
        <v>0</v>
      </c>
      <c r="L770">
        <f>COUNTIF('Metrics - Articles'!F769,"*GCO – Customer Engagement &amp; Commerce (CRM &amp; hybris) *")</f>
        <v>0</v>
      </c>
      <c r="M770">
        <f>COUNTIF('Metrics - Articles'!F769,"*GCO – HR (SuccessFactors)*")</f>
        <v>0</v>
      </c>
      <c r="N770">
        <f>COUNTIF('Metrics - Articles'!F769,"*GCO – Services Sales*")</f>
        <v>0</v>
      </c>
      <c r="O770">
        <f>COUNTIF('Metrics - Articles'!F769,"*GCO – Other*")</f>
        <v>0</v>
      </c>
      <c r="P770">
        <f>COUNTIF('Metrics - Articles'!F769,"*Corporate*")</f>
        <v>0</v>
      </c>
      <c r="R770" s="53">
        <f t="shared" si="13"/>
        <v>0</v>
      </c>
    </row>
    <row r="771" spans="2:18" x14ac:dyDescent="0.25">
      <c r="B771" s="48">
        <f>+'Metrics - Articles'!C770</f>
        <v>0</v>
      </c>
      <c r="C771">
        <f>COUNTIF('Metrics - Articles'!F770,"*GPO (Partner, Ecosystem, Channels)*")</f>
        <v>0</v>
      </c>
      <c r="D771">
        <f>COUNTIF('Metrics - Articles'!F770,"*Office of the CEO*")</f>
        <v>0</v>
      </c>
      <c r="E771">
        <f>COUNTIF('Metrics - Articles'!F770,"*Services Delivery &amp; Support (go-lives and deployments) *")</f>
        <v>0</v>
      </c>
      <c r="F771">
        <f>COUNTIF('Metrics - Articles'!F770,"*Human Resources (SAP HR and employee stories)*")</f>
        <v>0</v>
      </c>
      <c r="G771">
        <f>COUNTIF('Metrics - Articles'!F770,"*P&amp;I (Research &amp; Development)*")</f>
        <v>0</v>
      </c>
      <c r="H771">
        <f>COUNTIF('Metrics - Articles'!F770,"*Business Network (Concur, Ariba, Fieldglass)*")</f>
        <v>0</v>
      </c>
      <c r="I771">
        <f>COUNTIF('Metrics - Articles'!F770,"*GCO – Regions*")</f>
        <v>0</v>
      </c>
      <c r="J771">
        <f>COUNTIF('Metrics - Articles'!F770,"*GCO – Platform Solutions*")</f>
        <v>0</v>
      </c>
      <c r="K771">
        <f>COUNTIF('Metrics - Articles'!F770,"*GCO – Industry Cloud *")</f>
        <v>0</v>
      </c>
      <c r="L771">
        <f>COUNTIF('Metrics - Articles'!F770,"*GCO – Customer Engagement &amp; Commerce (CRM &amp; hybris) *")</f>
        <v>0</v>
      </c>
      <c r="M771">
        <f>COUNTIF('Metrics - Articles'!F770,"*GCO – HR (SuccessFactors)*")</f>
        <v>0</v>
      </c>
      <c r="N771">
        <f>COUNTIF('Metrics - Articles'!F770,"*GCO – Services Sales*")</f>
        <v>0</v>
      </c>
      <c r="O771">
        <f>COUNTIF('Metrics - Articles'!F770,"*GCO – Other*")</f>
        <v>0</v>
      </c>
      <c r="P771">
        <f>COUNTIF('Metrics - Articles'!F770,"*Corporate*")</f>
        <v>0</v>
      </c>
      <c r="R771" s="53">
        <f t="shared" si="13"/>
        <v>0</v>
      </c>
    </row>
    <row r="772" spans="2:18" x14ac:dyDescent="0.25">
      <c r="B772" s="48">
        <f>+'Metrics - Articles'!C771</f>
        <v>0</v>
      </c>
      <c r="C772">
        <f>COUNTIF('Metrics - Articles'!F771,"*GPO (Partner, Ecosystem, Channels)*")</f>
        <v>0</v>
      </c>
      <c r="D772">
        <f>COUNTIF('Metrics - Articles'!F771,"*Office of the CEO*")</f>
        <v>0</v>
      </c>
      <c r="E772">
        <f>COUNTIF('Metrics - Articles'!F771,"*Services Delivery &amp; Support (go-lives and deployments) *")</f>
        <v>0</v>
      </c>
      <c r="F772">
        <f>COUNTIF('Metrics - Articles'!F771,"*Human Resources (SAP HR and employee stories)*")</f>
        <v>0</v>
      </c>
      <c r="G772">
        <f>COUNTIF('Metrics - Articles'!F771,"*P&amp;I (Research &amp; Development)*")</f>
        <v>0</v>
      </c>
      <c r="H772">
        <f>COUNTIF('Metrics - Articles'!F771,"*Business Network (Concur, Ariba, Fieldglass)*")</f>
        <v>0</v>
      </c>
      <c r="I772">
        <f>COUNTIF('Metrics - Articles'!F771,"*GCO – Regions*")</f>
        <v>0</v>
      </c>
      <c r="J772">
        <f>COUNTIF('Metrics - Articles'!F771,"*GCO – Platform Solutions*")</f>
        <v>0</v>
      </c>
      <c r="K772">
        <f>COUNTIF('Metrics - Articles'!F771,"*GCO – Industry Cloud *")</f>
        <v>0</v>
      </c>
      <c r="L772">
        <f>COUNTIF('Metrics - Articles'!F771,"*GCO – Customer Engagement &amp; Commerce (CRM &amp; hybris) *")</f>
        <v>0</v>
      </c>
      <c r="M772">
        <f>COUNTIF('Metrics - Articles'!F771,"*GCO – HR (SuccessFactors)*")</f>
        <v>0</v>
      </c>
      <c r="N772">
        <f>COUNTIF('Metrics - Articles'!F771,"*GCO – Services Sales*")</f>
        <v>0</v>
      </c>
      <c r="O772">
        <f>COUNTIF('Metrics - Articles'!F771,"*GCO – Other*")</f>
        <v>0</v>
      </c>
      <c r="P772">
        <f>COUNTIF('Metrics - Articles'!F771,"*Corporate*")</f>
        <v>0</v>
      </c>
      <c r="R772" s="53">
        <f t="shared" si="13"/>
        <v>0</v>
      </c>
    </row>
    <row r="773" spans="2:18" x14ac:dyDescent="0.25">
      <c r="B773" s="48">
        <f>+'Metrics - Articles'!C772</f>
        <v>0</v>
      </c>
      <c r="C773">
        <f>COUNTIF('Metrics - Articles'!F772,"*GPO (Partner, Ecosystem, Channels)*")</f>
        <v>0</v>
      </c>
      <c r="D773">
        <f>COUNTIF('Metrics - Articles'!F772,"*Office of the CEO*")</f>
        <v>0</v>
      </c>
      <c r="E773">
        <f>COUNTIF('Metrics - Articles'!F772,"*Services Delivery &amp; Support (go-lives and deployments) *")</f>
        <v>0</v>
      </c>
      <c r="F773">
        <f>COUNTIF('Metrics - Articles'!F772,"*Human Resources (SAP HR and employee stories)*")</f>
        <v>0</v>
      </c>
      <c r="G773">
        <f>COUNTIF('Metrics - Articles'!F772,"*P&amp;I (Research &amp; Development)*")</f>
        <v>0</v>
      </c>
      <c r="H773">
        <f>COUNTIF('Metrics - Articles'!F772,"*Business Network (Concur, Ariba, Fieldglass)*")</f>
        <v>0</v>
      </c>
      <c r="I773">
        <f>COUNTIF('Metrics - Articles'!F772,"*GCO – Regions*")</f>
        <v>0</v>
      </c>
      <c r="J773">
        <f>COUNTIF('Metrics - Articles'!F772,"*GCO – Platform Solutions*")</f>
        <v>0</v>
      </c>
      <c r="K773">
        <f>COUNTIF('Metrics - Articles'!F772,"*GCO – Industry Cloud *")</f>
        <v>0</v>
      </c>
      <c r="L773">
        <f>COUNTIF('Metrics - Articles'!F772,"*GCO – Customer Engagement &amp; Commerce (CRM &amp; hybris) *")</f>
        <v>0</v>
      </c>
      <c r="M773">
        <f>COUNTIF('Metrics - Articles'!F772,"*GCO – HR (SuccessFactors)*")</f>
        <v>0</v>
      </c>
      <c r="N773">
        <f>COUNTIF('Metrics - Articles'!F772,"*GCO – Services Sales*")</f>
        <v>0</v>
      </c>
      <c r="O773">
        <f>COUNTIF('Metrics - Articles'!F772,"*GCO – Other*")</f>
        <v>0</v>
      </c>
      <c r="P773">
        <f>COUNTIF('Metrics - Articles'!F772,"*Corporate*")</f>
        <v>0</v>
      </c>
      <c r="R773" s="53">
        <f t="shared" si="13"/>
        <v>0</v>
      </c>
    </row>
    <row r="774" spans="2:18" x14ac:dyDescent="0.25">
      <c r="B774" s="48">
        <f>+'Metrics - Articles'!C773</f>
        <v>0</v>
      </c>
      <c r="C774">
        <f>COUNTIF('Metrics - Articles'!F773,"*GPO (Partner, Ecosystem, Channels)*")</f>
        <v>0</v>
      </c>
      <c r="D774">
        <f>COUNTIF('Metrics - Articles'!F773,"*Office of the CEO*")</f>
        <v>0</v>
      </c>
      <c r="E774">
        <f>COUNTIF('Metrics - Articles'!F773,"*Services Delivery &amp; Support (go-lives and deployments) *")</f>
        <v>0</v>
      </c>
      <c r="F774">
        <f>COUNTIF('Metrics - Articles'!F773,"*Human Resources (SAP HR and employee stories)*")</f>
        <v>0</v>
      </c>
      <c r="G774">
        <f>COUNTIF('Metrics - Articles'!F773,"*P&amp;I (Research &amp; Development)*")</f>
        <v>0</v>
      </c>
      <c r="H774">
        <f>COUNTIF('Metrics - Articles'!F773,"*Business Network (Concur, Ariba, Fieldglass)*")</f>
        <v>0</v>
      </c>
      <c r="I774">
        <f>COUNTIF('Metrics - Articles'!F773,"*GCO – Regions*")</f>
        <v>0</v>
      </c>
      <c r="J774">
        <f>COUNTIF('Metrics - Articles'!F773,"*GCO – Platform Solutions*")</f>
        <v>0</v>
      </c>
      <c r="K774">
        <f>COUNTIF('Metrics - Articles'!F773,"*GCO – Industry Cloud *")</f>
        <v>0</v>
      </c>
      <c r="L774">
        <f>COUNTIF('Metrics - Articles'!F773,"*GCO – Customer Engagement &amp; Commerce (CRM &amp; hybris) *")</f>
        <v>0</v>
      </c>
      <c r="M774">
        <f>COUNTIF('Metrics - Articles'!F773,"*GCO – HR (SuccessFactors)*")</f>
        <v>0</v>
      </c>
      <c r="N774">
        <f>COUNTIF('Metrics - Articles'!F773,"*GCO – Services Sales*")</f>
        <v>0</v>
      </c>
      <c r="O774">
        <f>COUNTIF('Metrics - Articles'!F773,"*GCO – Other*")</f>
        <v>0</v>
      </c>
      <c r="P774">
        <f>COUNTIF('Metrics - Articles'!F773,"*Corporate*")</f>
        <v>0</v>
      </c>
      <c r="R774" s="53">
        <f t="shared" si="13"/>
        <v>0</v>
      </c>
    </row>
    <row r="775" spans="2:18" x14ac:dyDescent="0.25">
      <c r="B775" s="48">
        <f>+'Metrics - Articles'!C774</f>
        <v>0</v>
      </c>
      <c r="C775">
        <f>COUNTIF('Metrics - Articles'!F774,"*GPO (Partner, Ecosystem, Channels)*")</f>
        <v>0</v>
      </c>
      <c r="D775">
        <f>COUNTIF('Metrics - Articles'!F774,"*Office of the CEO*")</f>
        <v>0</v>
      </c>
      <c r="E775">
        <f>COUNTIF('Metrics - Articles'!F774,"*Services Delivery &amp; Support (go-lives and deployments) *")</f>
        <v>0</v>
      </c>
      <c r="F775">
        <f>COUNTIF('Metrics - Articles'!F774,"*Human Resources (SAP HR and employee stories)*")</f>
        <v>0</v>
      </c>
      <c r="G775">
        <f>COUNTIF('Metrics - Articles'!F774,"*P&amp;I (Research &amp; Development)*")</f>
        <v>0</v>
      </c>
      <c r="H775">
        <f>COUNTIF('Metrics - Articles'!F774,"*Business Network (Concur, Ariba, Fieldglass)*")</f>
        <v>0</v>
      </c>
      <c r="I775">
        <f>COUNTIF('Metrics - Articles'!F774,"*GCO – Regions*")</f>
        <v>0</v>
      </c>
      <c r="J775">
        <f>COUNTIF('Metrics - Articles'!F774,"*GCO – Platform Solutions*")</f>
        <v>0</v>
      </c>
      <c r="K775">
        <f>COUNTIF('Metrics - Articles'!F774,"*GCO – Industry Cloud *")</f>
        <v>0</v>
      </c>
      <c r="L775">
        <f>COUNTIF('Metrics - Articles'!F774,"*GCO – Customer Engagement &amp; Commerce (CRM &amp; hybris) *")</f>
        <v>0</v>
      </c>
      <c r="M775">
        <f>COUNTIF('Metrics - Articles'!F774,"*GCO – HR (SuccessFactors)*")</f>
        <v>0</v>
      </c>
      <c r="N775">
        <f>COUNTIF('Metrics - Articles'!F774,"*GCO – Services Sales*")</f>
        <v>0</v>
      </c>
      <c r="O775">
        <f>COUNTIF('Metrics - Articles'!F774,"*GCO – Other*")</f>
        <v>0</v>
      </c>
      <c r="P775">
        <f>COUNTIF('Metrics - Articles'!F774,"*Corporate*")</f>
        <v>0</v>
      </c>
      <c r="R775" s="53">
        <f t="shared" si="13"/>
        <v>0</v>
      </c>
    </row>
    <row r="776" spans="2:18" x14ac:dyDescent="0.25">
      <c r="B776" s="48">
        <f>+'Metrics - Articles'!C775</f>
        <v>0</v>
      </c>
      <c r="C776">
        <f>COUNTIF('Metrics - Articles'!F775,"*GPO (Partner, Ecosystem, Channels)*")</f>
        <v>0</v>
      </c>
      <c r="D776">
        <f>COUNTIF('Metrics - Articles'!F775,"*Office of the CEO*")</f>
        <v>0</v>
      </c>
      <c r="E776">
        <f>COUNTIF('Metrics - Articles'!F775,"*Services Delivery &amp; Support (go-lives and deployments) *")</f>
        <v>0</v>
      </c>
      <c r="F776">
        <f>COUNTIF('Metrics - Articles'!F775,"*Human Resources (SAP HR and employee stories)*")</f>
        <v>0</v>
      </c>
      <c r="G776">
        <f>COUNTIF('Metrics - Articles'!F775,"*P&amp;I (Research &amp; Development)*")</f>
        <v>0</v>
      </c>
      <c r="H776">
        <f>COUNTIF('Metrics - Articles'!F775,"*Business Network (Concur, Ariba, Fieldglass)*")</f>
        <v>0</v>
      </c>
      <c r="I776">
        <f>COUNTIF('Metrics - Articles'!F775,"*GCO – Regions*")</f>
        <v>0</v>
      </c>
      <c r="J776">
        <f>COUNTIF('Metrics - Articles'!F775,"*GCO – Platform Solutions*")</f>
        <v>0</v>
      </c>
      <c r="K776">
        <f>COUNTIF('Metrics - Articles'!F775,"*GCO – Industry Cloud *")</f>
        <v>0</v>
      </c>
      <c r="L776">
        <f>COUNTIF('Metrics - Articles'!F775,"*GCO – Customer Engagement &amp; Commerce (CRM &amp; hybris) *")</f>
        <v>0</v>
      </c>
      <c r="M776">
        <f>COUNTIF('Metrics - Articles'!F775,"*GCO – HR (SuccessFactors)*")</f>
        <v>0</v>
      </c>
      <c r="N776">
        <f>COUNTIF('Metrics - Articles'!F775,"*GCO – Services Sales*")</f>
        <v>0</v>
      </c>
      <c r="O776">
        <f>COUNTIF('Metrics - Articles'!F775,"*GCO – Other*")</f>
        <v>0</v>
      </c>
      <c r="P776">
        <f>COUNTIF('Metrics - Articles'!F775,"*Corporate*")</f>
        <v>0</v>
      </c>
      <c r="R776" s="53">
        <f t="shared" si="13"/>
        <v>0</v>
      </c>
    </row>
    <row r="777" spans="2:18" x14ac:dyDescent="0.25">
      <c r="B777" s="48">
        <f>+'Metrics - Articles'!C776</f>
        <v>0</v>
      </c>
      <c r="C777">
        <f>COUNTIF('Metrics - Articles'!F776,"*GPO (Partner, Ecosystem, Channels)*")</f>
        <v>0</v>
      </c>
      <c r="D777">
        <f>COUNTIF('Metrics - Articles'!F776,"*Office of the CEO*")</f>
        <v>0</v>
      </c>
      <c r="E777">
        <f>COUNTIF('Metrics - Articles'!F776,"*Services Delivery &amp; Support (go-lives and deployments) *")</f>
        <v>0</v>
      </c>
      <c r="F777">
        <f>COUNTIF('Metrics - Articles'!F776,"*Human Resources (SAP HR and employee stories)*")</f>
        <v>0</v>
      </c>
      <c r="G777">
        <f>COUNTIF('Metrics - Articles'!F776,"*P&amp;I (Research &amp; Development)*")</f>
        <v>0</v>
      </c>
      <c r="H777">
        <f>COUNTIF('Metrics - Articles'!F776,"*Business Network (Concur, Ariba, Fieldglass)*")</f>
        <v>0</v>
      </c>
      <c r="I777">
        <f>COUNTIF('Metrics - Articles'!F776,"*GCO – Regions*")</f>
        <v>0</v>
      </c>
      <c r="J777">
        <f>COUNTIF('Metrics - Articles'!F776,"*GCO – Platform Solutions*")</f>
        <v>0</v>
      </c>
      <c r="K777">
        <f>COUNTIF('Metrics - Articles'!F776,"*GCO – Industry Cloud *")</f>
        <v>0</v>
      </c>
      <c r="L777">
        <f>COUNTIF('Metrics - Articles'!F776,"*GCO – Customer Engagement &amp; Commerce (CRM &amp; hybris) *")</f>
        <v>0</v>
      </c>
      <c r="M777">
        <f>COUNTIF('Metrics - Articles'!F776,"*GCO – HR (SuccessFactors)*")</f>
        <v>0</v>
      </c>
      <c r="N777">
        <f>COUNTIF('Metrics - Articles'!F776,"*GCO – Services Sales*")</f>
        <v>0</v>
      </c>
      <c r="O777">
        <f>COUNTIF('Metrics - Articles'!F776,"*GCO – Other*")</f>
        <v>0</v>
      </c>
      <c r="P777">
        <f>COUNTIF('Metrics - Articles'!F776,"*Corporate*")</f>
        <v>0</v>
      </c>
      <c r="R777" s="53">
        <f t="shared" si="13"/>
        <v>0</v>
      </c>
    </row>
    <row r="778" spans="2:18" x14ac:dyDescent="0.25">
      <c r="B778" s="48">
        <f>+'Metrics - Articles'!C777</f>
        <v>0</v>
      </c>
      <c r="C778">
        <f>COUNTIF('Metrics - Articles'!F777,"*GPO (Partner, Ecosystem, Channels)*")</f>
        <v>0</v>
      </c>
      <c r="D778">
        <f>COUNTIF('Metrics - Articles'!F777,"*Office of the CEO*")</f>
        <v>0</v>
      </c>
      <c r="E778">
        <f>COUNTIF('Metrics - Articles'!F777,"*Services Delivery &amp; Support (go-lives and deployments) *")</f>
        <v>0</v>
      </c>
      <c r="F778">
        <f>COUNTIF('Metrics - Articles'!F777,"*Human Resources (SAP HR and employee stories)*")</f>
        <v>0</v>
      </c>
      <c r="G778">
        <f>COUNTIF('Metrics - Articles'!F777,"*P&amp;I (Research &amp; Development)*")</f>
        <v>0</v>
      </c>
      <c r="H778">
        <f>COUNTIF('Metrics - Articles'!F777,"*Business Network (Concur, Ariba, Fieldglass)*")</f>
        <v>0</v>
      </c>
      <c r="I778">
        <f>COUNTIF('Metrics - Articles'!F777,"*GCO – Regions*")</f>
        <v>0</v>
      </c>
      <c r="J778">
        <f>COUNTIF('Metrics - Articles'!F777,"*GCO – Platform Solutions*")</f>
        <v>0</v>
      </c>
      <c r="K778">
        <f>COUNTIF('Metrics - Articles'!F777,"*GCO – Industry Cloud *")</f>
        <v>0</v>
      </c>
      <c r="L778">
        <f>COUNTIF('Metrics - Articles'!F777,"*GCO – Customer Engagement &amp; Commerce (CRM &amp; hybris) *")</f>
        <v>0</v>
      </c>
      <c r="M778">
        <f>COUNTIF('Metrics - Articles'!F777,"*GCO – HR (SuccessFactors)*")</f>
        <v>0</v>
      </c>
      <c r="N778">
        <f>COUNTIF('Metrics - Articles'!F777,"*GCO – Services Sales*")</f>
        <v>0</v>
      </c>
      <c r="O778">
        <f>COUNTIF('Metrics - Articles'!F777,"*GCO – Other*")</f>
        <v>0</v>
      </c>
      <c r="P778">
        <f>COUNTIF('Metrics - Articles'!F777,"*Corporate*")</f>
        <v>0</v>
      </c>
      <c r="R778" s="53">
        <f t="shared" ref="R778:R841" si="14">SUM(C778:Q778)</f>
        <v>0</v>
      </c>
    </row>
    <row r="779" spans="2:18" x14ac:dyDescent="0.25">
      <c r="B779" s="48">
        <f>+'Metrics - Articles'!C778</f>
        <v>0</v>
      </c>
      <c r="C779">
        <f>COUNTIF('Metrics - Articles'!F778,"*GPO (Partner, Ecosystem, Channels)*")</f>
        <v>0</v>
      </c>
      <c r="D779">
        <f>COUNTIF('Metrics - Articles'!F778,"*Office of the CEO*")</f>
        <v>0</v>
      </c>
      <c r="E779">
        <f>COUNTIF('Metrics - Articles'!F778,"*Services Delivery &amp; Support (go-lives and deployments) *")</f>
        <v>0</v>
      </c>
      <c r="F779">
        <f>COUNTIF('Metrics - Articles'!F778,"*Human Resources (SAP HR and employee stories)*")</f>
        <v>0</v>
      </c>
      <c r="G779">
        <f>COUNTIF('Metrics - Articles'!F778,"*P&amp;I (Research &amp; Development)*")</f>
        <v>0</v>
      </c>
      <c r="H779">
        <f>COUNTIF('Metrics - Articles'!F778,"*Business Network (Concur, Ariba, Fieldglass)*")</f>
        <v>0</v>
      </c>
      <c r="I779">
        <f>COUNTIF('Metrics - Articles'!F778,"*GCO – Regions*")</f>
        <v>0</v>
      </c>
      <c r="J779">
        <f>COUNTIF('Metrics - Articles'!F778,"*GCO – Platform Solutions*")</f>
        <v>0</v>
      </c>
      <c r="K779">
        <f>COUNTIF('Metrics - Articles'!F778,"*GCO – Industry Cloud *")</f>
        <v>0</v>
      </c>
      <c r="L779">
        <f>COUNTIF('Metrics - Articles'!F778,"*GCO – Customer Engagement &amp; Commerce (CRM &amp; hybris) *")</f>
        <v>0</v>
      </c>
      <c r="M779">
        <f>COUNTIF('Metrics - Articles'!F778,"*GCO – HR (SuccessFactors)*")</f>
        <v>0</v>
      </c>
      <c r="N779">
        <f>COUNTIF('Metrics - Articles'!F778,"*GCO – Services Sales*")</f>
        <v>0</v>
      </c>
      <c r="O779">
        <f>COUNTIF('Metrics - Articles'!F778,"*GCO – Other*")</f>
        <v>0</v>
      </c>
      <c r="P779">
        <f>COUNTIF('Metrics - Articles'!F778,"*Corporate*")</f>
        <v>0</v>
      </c>
      <c r="R779" s="53">
        <f t="shared" si="14"/>
        <v>0</v>
      </c>
    </row>
    <row r="780" spans="2:18" x14ac:dyDescent="0.25">
      <c r="B780" s="48">
        <f>+'Metrics - Articles'!C779</f>
        <v>0</v>
      </c>
      <c r="C780">
        <f>COUNTIF('Metrics - Articles'!F779,"*GPO (Partner, Ecosystem, Channels)*")</f>
        <v>0</v>
      </c>
      <c r="D780">
        <f>COUNTIF('Metrics - Articles'!F779,"*Office of the CEO*")</f>
        <v>0</v>
      </c>
      <c r="E780">
        <f>COUNTIF('Metrics - Articles'!F779,"*Services Delivery &amp; Support (go-lives and deployments) *")</f>
        <v>0</v>
      </c>
      <c r="F780">
        <f>COUNTIF('Metrics - Articles'!F779,"*Human Resources (SAP HR and employee stories)*")</f>
        <v>0</v>
      </c>
      <c r="G780">
        <f>COUNTIF('Metrics - Articles'!F779,"*P&amp;I (Research &amp; Development)*")</f>
        <v>0</v>
      </c>
      <c r="H780">
        <f>COUNTIF('Metrics - Articles'!F779,"*Business Network (Concur, Ariba, Fieldglass)*")</f>
        <v>0</v>
      </c>
      <c r="I780">
        <f>COUNTIF('Metrics - Articles'!F779,"*GCO – Regions*")</f>
        <v>0</v>
      </c>
      <c r="J780">
        <f>COUNTIF('Metrics - Articles'!F779,"*GCO – Platform Solutions*")</f>
        <v>0</v>
      </c>
      <c r="K780">
        <f>COUNTIF('Metrics - Articles'!F779,"*GCO – Industry Cloud *")</f>
        <v>0</v>
      </c>
      <c r="L780">
        <f>COUNTIF('Metrics - Articles'!F779,"*GCO – Customer Engagement &amp; Commerce (CRM &amp; hybris) *")</f>
        <v>0</v>
      </c>
      <c r="M780">
        <f>COUNTIF('Metrics - Articles'!F779,"*GCO – HR (SuccessFactors)*")</f>
        <v>0</v>
      </c>
      <c r="N780">
        <f>COUNTIF('Metrics - Articles'!F779,"*GCO – Services Sales*")</f>
        <v>0</v>
      </c>
      <c r="O780">
        <f>COUNTIF('Metrics - Articles'!F779,"*GCO – Other*")</f>
        <v>0</v>
      </c>
      <c r="P780">
        <f>COUNTIF('Metrics - Articles'!F779,"*Corporate*")</f>
        <v>0</v>
      </c>
      <c r="R780" s="53">
        <f t="shared" si="14"/>
        <v>0</v>
      </c>
    </row>
    <row r="781" spans="2:18" x14ac:dyDescent="0.25">
      <c r="B781" s="48">
        <f>+'Metrics - Articles'!C780</f>
        <v>0</v>
      </c>
      <c r="C781">
        <f>COUNTIF('Metrics - Articles'!F780,"*GPO (Partner, Ecosystem, Channels)*")</f>
        <v>0</v>
      </c>
      <c r="D781">
        <f>COUNTIF('Metrics - Articles'!F780,"*Office of the CEO*")</f>
        <v>0</v>
      </c>
      <c r="E781">
        <f>COUNTIF('Metrics - Articles'!F780,"*Services Delivery &amp; Support (go-lives and deployments) *")</f>
        <v>0</v>
      </c>
      <c r="F781">
        <f>COUNTIF('Metrics - Articles'!F780,"*Human Resources (SAP HR and employee stories)*")</f>
        <v>0</v>
      </c>
      <c r="G781">
        <f>COUNTIF('Metrics - Articles'!F780,"*P&amp;I (Research &amp; Development)*")</f>
        <v>0</v>
      </c>
      <c r="H781">
        <f>COUNTIF('Metrics - Articles'!F780,"*Business Network (Concur, Ariba, Fieldglass)*")</f>
        <v>0</v>
      </c>
      <c r="I781">
        <f>COUNTIF('Metrics - Articles'!F780,"*GCO – Regions*")</f>
        <v>0</v>
      </c>
      <c r="J781">
        <f>COUNTIF('Metrics - Articles'!F780,"*GCO – Platform Solutions*")</f>
        <v>0</v>
      </c>
      <c r="K781">
        <f>COUNTIF('Metrics - Articles'!F780,"*GCO – Industry Cloud *")</f>
        <v>0</v>
      </c>
      <c r="L781">
        <f>COUNTIF('Metrics - Articles'!F780,"*GCO – Customer Engagement &amp; Commerce (CRM &amp; hybris) *")</f>
        <v>0</v>
      </c>
      <c r="M781">
        <f>COUNTIF('Metrics - Articles'!F780,"*GCO – HR (SuccessFactors)*")</f>
        <v>0</v>
      </c>
      <c r="N781">
        <f>COUNTIF('Metrics - Articles'!F780,"*GCO – Services Sales*")</f>
        <v>0</v>
      </c>
      <c r="O781">
        <f>COUNTIF('Metrics - Articles'!F780,"*GCO – Other*")</f>
        <v>0</v>
      </c>
      <c r="P781">
        <f>COUNTIF('Metrics - Articles'!F780,"*Corporate*")</f>
        <v>0</v>
      </c>
      <c r="R781" s="53">
        <f t="shared" si="14"/>
        <v>0</v>
      </c>
    </row>
    <row r="782" spans="2:18" x14ac:dyDescent="0.25">
      <c r="B782" s="48">
        <f>+'Metrics - Articles'!C781</f>
        <v>0</v>
      </c>
      <c r="C782">
        <f>COUNTIF('Metrics - Articles'!F781,"*GPO (Partner, Ecosystem, Channels)*")</f>
        <v>0</v>
      </c>
      <c r="D782">
        <f>COUNTIF('Metrics - Articles'!F781,"*Office of the CEO*")</f>
        <v>0</v>
      </c>
      <c r="E782">
        <f>COUNTIF('Metrics - Articles'!F781,"*Services Delivery &amp; Support (go-lives and deployments) *")</f>
        <v>0</v>
      </c>
      <c r="F782">
        <f>COUNTIF('Metrics - Articles'!F781,"*Human Resources (SAP HR and employee stories)*")</f>
        <v>0</v>
      </c>
      <c r="G782">
        <f>COUNTIF('Metrics - Articles'!F781,"*P&amp;I (Research &amp; Development)*")</f>
        <v>0</v>
      </c>
      <c r="H782">
        <f>COUNTIF('Metrics - Articles'!F781,"*Business Network (Concur, Ariba, Fieldglass)*")</f>
        <v>0</v>
      </c>
      <c r="I782">
        <f>COUNTIF('Metrics - Articles'!F781,"*GCO – Regions*")</f>
        <v>0</v>
      </c>
      <c r="J782">
        <f>COUNTIF('Metrics - Articles'!F781,"*GCO – Platform Solutions*")</f>
        <v>0</v>
      </c>
      <c r="K782">
        <f>COUNTIF('Metrics - Articles'!F781,"*GCO – Industry Cloud *")</f>
        <v>0</v>
      </c>
      <c r="L782">
        <f>COUNTIF('Metrics - Articles'!F781,"*GCO – Customer Engagement &amp; Commerce (CRM &amp; hybris) *")</f>
        <v>0</v>
      </c>
      <c r="M782">
        <f>COUNTIF('Metrics - Articles'!F781,"*GCO – HR (SuccessFactors)*")</f>
        <v>0</v>
      </c>
      <c r="N782">
        <f>COUNTIF('Metrics - Articles'!F781,"*GCO – Services Sales*")</f>
        <v>0</v>
      </c>
      <c r="O782">
        <f>COUNTIF('Metrics - Articles'!F781,"*GCO – Other*")</f>
        <v>0</v>
      </c>
      <c r="P782">
        <f>COUNTIF('Metrics - Articles'!F781,"*Corporate*")</f>
        <v>0</v>
      </c>
      <c r="R782" s="53">
        <f t="shared" si="14"/>
        <v>0</v>
      </c>
    </row>
    <row r="783" spans="2:18" x14ac:dyDescent="0.25">
      <c r="B783" s="48">
        <f>+'Metrics - Articles'!C782</f>
        <v>0</v>
      </c>
      <c r="C783">
        <f>COUNTIF('Metrics - Articles'!F782,"*GPO (Partner, Ecosystem, Channels)*")</f>
        <v>0</v>
      </c>
      <c r="D783">
        <f>COUNTIF('Metrics - Articles'!F782,"*Office of the CEO*")</f>
        <v>0</v>
      </c>
      <c r="E783">
        <f>COUNTIF('Metrics - Articles'!F782,"*Services Delivery &amp; Support (go-lives and deployments) *")</f>
        <v>0</v>
      </c>
      <c r="F783">
        <f>COUNTIF('Metrics - Articles'!F782,"*Human Resources (SAP HR and employee stories)*")</f>
        <v>0</v>
      </c>
      <c r="G783">
        <f>COUNTIF('Metrics - Articles'!F782,"*P&amp;I (Research &amp; Development)*")</f>
        <v>0</v>
      </c>
      <c r="H783">
        <f>COUNTIF('Metrics - Articles'!F782,"*Business Network (Concur, Ariba, Fieldglass)*")</f>
        <v>0</v>
      </c>
      <c r="I783">
        <f>COUNTIF('Metrics - Articles'!F782,"*GCO – Regions*")</f>
        <v>0</v>
      </c>
      <c r="J783">
        <f>COUNTIF('Metrics - Articles'!F782,"*GCO – Platform Solutions*")</f>
        <v>0</v>
      </c>
      <c r="K783">
        <f>COUNTIF('Metrics - Articles'!F782,"*GCO – Industry Cloud *")</f>
        <v>0</v>
      </c>
      <c r="L783">
        <f>COUNTIF('Metrics - Articles'!F782,"*GCO – Customer Engagement &amp; Commerce (CRM &amp; hybris) *")</f>
        <v>0</v>
      </c>
      <c r="M783">
        <f>COUNTIF('Metrics - Articles'!F782,"*GCO – HR (SuccessFactors)*")</f>
        <v>0</v>
      </c>
      <c r="N783">
        <f>COUNTIF('Metrics - Articles'!F782,"*GCO – Services Sales*")</f>
        <v>0</v>
      </c>
      <c r="O783">
        <f>COUNTIF('Metrics - Articles'!F782,"*GCO – Other*")</f>
        <v>0</v>
      </c>
      <c r="P783">
        <f>COUNTIF('Metrics - Articles'!F782,"*Corporate*")</f>
        <v>0</v>
      </c>
      <c r="R783" s="53">
        <f t="shared" si="14"/>
        <v>0</v>
      </c>
    </row>
    <row r="784" spans="2:18" x14ac:dyDescent="0.25">
      <c r="B784" s="48">
        <f>+'Metrics - Articles'!C783</f>
        <v>0</v>
      </c>
      <c r="C784">
        <f>COUNTIF('Metrics - Articles'!F783,"*GPO (Partner, Ecosystem, Channels)*")</f>
        <v>0</v>
      </c>
      <c r="D784">
        <f>COUNTIF('Metrics - Articles'!F783,"*Office of the CEO*")</f>
        <v>0</v>
      </c>
      <c r="E784">
        <f>COUNTIF('Metrics - Articles'!F783,"*Services Delivery &amp; Support (go-lives and deployments) *")</f>
        <v>0</v>
      </c>
      <c r="F784">
        <f>COUNTIF('Metrics - Articles'!F783,"*Human Resources (SAP HR and employee stories)*")</f>
        <v>0</v>
      </c>
      <c r="G784">
        <f>COUNTIF('Metrics - Articles'!F783,"*P&amp;I (Research &amp; Development)*")</f>
        <v>0</v>
      </c>
      <c r="H784">
        <f>COUNTIF('Metrics - Articles'!F783,"*Business Network (Concur, Ariba, Fieldglass)*")</f>
        <v>0</v>
      </c>
      <c r="I784">
        <f>COUNTIF('Metrics - Articles'!F783,"*GCO – Regions*")</f>
        <v>0</v>
      </c>
      <c r="J784">
        <f>COUNTIF('Metrics - Articles'!F783,"*GCO – Platform Solutions*")</f>
        <v>0</v>
      </c>
      <c r="K784">
        <f>COUNTIF('Metrics - Articles'!F783,"*GCO – Industry Cloud *")</f>
        <v>0</v>
      </c>
      <c r="L784">
        <f>COUNTIF('Metrics - Articles'!F783,"*GCO – Customer Engagement &amp; Commerce (CRM &amp; hybris) *")</f>
        <v>0</v>
      </c>
      <c r="M784">
        <f>COUNTIF('Metrics - Articles'!F783,"*GCO – HR (SuccessFactors)*")</f>
        <v>0</v>
      </c>
      <c r="N784">
        <f>COUNTIF('Metrics - Articles'!F783,"*GCO – Services Sales*")</f>
        <v>0</v>
      </c>
      <c r="O784">
        <f>COUNTIF('Metrics - Articles'!F783,"*GCO – Other*")</f>
        <v>0</v>
      </c>
      <c r="P784">
        <f>COUNTIF('Metrics - Articles'!F783,"*Corporate*")</f>
        <v>0</v>
      </c>
      <c r="R784" s="53">
        <f t="shared" si="14"/>
        <v>0</v>
      </c>
    </row>
    <row r="785" spans="2:18" x14ac:dyDescent="0.25">
      <c r="B785" s="48">
        <f>+'Metrics - Articles'!C784</f>
        <v>0</v>
      </c>
      <c r="C785">
        <f>COUNTIF('Metrics - Articles'!F784,"*GPO (Partner, Ecosystem, Channels)*")</f>
        <v>0</v>
      </c>
      <c r="D785">
        <f>COUNTIF('Metrics - Articles'!F784,"*Office of the CEO*")</f>
        <v>0</v>
      </c>
      <c r="E785">
        <f>COUNTIF('Metrics - Articles'!F784,"*Services Delivery &amp; Support (go-lives and deployments) *")</f>
        <v>0</v>
      </c>
      <c r="F785">
        <f>COUNTIF('Metrics - Articles'!F784,"*Human Resources (SAP HR and employee stories)*")</f>
        <v>0</v>
      </c>
      <c r="G785">
        <f>COUNTIF('Metrics - Articles'!F784,"*P&amp;I (Research &amp; Development)*")</f>
        <v>0</v>
      </c>
      <c r="H785">
        <f>COUNTIF('Metrics - Articles'!F784,"*Business Network (Concur, Ariba, Fieldglass)*")</f>
        <v>0</v>
      </c>
      <c r="I785">
        <f>COUNTIF('Metrics - Articles'!F784,"*GCO – Regions*")</f>
        <v>0</v>
      </c>
      <c r="J785">
        <f>COUNTIF('Metrics - Articles'!F784,"*GCO – Platform Solutions*")</f>
        <v>0</v>
      </c>
      <c r="K785">
        <f>COUNTIF('Metrics - Articles'!F784,"*GCO – Industry Cloud *")</f>
        <v>0</v>
      </c>
      <c r="L785">
        <f>COUNTIF('Metrics - Articles'!F784,"*GCO – Customer Engagement &amp; Commerce (CRM &amp; hybris) *")</f>
        <v>0</v>
      </c>
      <c r="M785">
        <f>COUNTIF('Metrics - Articles'!F784,"*GCO – HR (SuccessFactors)*")</f>
        <v>0</v>
      </c>
      <c r="N785">
        <f>COUNTIF('Metrics - Articles'!F784,"*GCO – Services Sales*")</f>
        <v>0</v>
      </c>
      <c r="O785">
        <f>COUNTIF('Metrics - Articles'!F784,"*GCO – Other*")</f>
        <v>0</v>
      </c>
      <c r="P785">
        <f>COUNTIF('Metrics - Articles'!F784,"*Corporate*")</f>
        <v>0</v>
      </c>
      <c r="R785" s="53">
        <f t="shared" si="14"/>
        <v>0</v>
      </c>
    </row>
    <row r="786" spans="2:18" x14ac:dyDescent="0.25">
      <c r="B786" s="48">
        <f>+'Metrics - Articles'!C785</f>
        <v>0</v>
      </c>
      <c r="C786">
        <f>COUNTIF('Metrics - Articles'!F785,"*GPO (Partner, Ecosystem, Channels)*")</f>
        <v>0</v>
      </c>
      <c r="D786">
        <f>COUNTIF('Metrics - Articles'!F785,"*Office of the CEO*")</f>
        <v>0</v>
      </c>
      <c r="E786">
        <f>COUNTIF('Metrics - Articles'!F785,"*Services Delivery &amp; Support (go-lives and deployments) *")</f>
        <v>0</v>
      </c>
      <c r="F786">
        <f>COUNTIF('Metrics - Articles'!F785,"*Human Resources (SAP HR and employee stories)*")</f>
        <v>0</v>
      </c>
      <c r="G786">
        <f>COUNTIF('Metrics - Articles'!F785,"*P&amp;I (Research &amp; Development)*")</f>
        <v>0</v>
      </c>
      <c r="H786">
        <f>COUNTIF('Metrics - Articles'!F785,"*Business Network (Concur, Ariba, Fieldglass)*")</f>
        <v>0</v>
      </c>
      <c r="I786">
        <f>COUNTIF('Metrics - Articles'!F785,"*GCO – Regions*")</f>
        <v>0</v>
      </c>
      <c r="J786">
        <f>COUNTIF('Metrics - Articles'!F785,"*GCO – Platform Solutions*")</f>
        <v>0</v>
      </c>
      <c r="K786">
        <f>COUNTIF('Metrics - Articles'!F785,"*GCO – Industry Cloud *")</f>
        <v>0</v>
      </c>
      <c r="L786">
        <f>COUNTIF('Metrics - Articles'!F785,"*GCO – Customer Engagement &amp; Commerce (CRM &amp; hybris) *")</f>
        <v>0</v>
      </c>
      <c r="M786">
        <f>COUNTIF('Metrics - Articles'!F785,"*GCO – HR (SuccessFactors)*")</f>
        <v>0</v>
      </c>
      <c r="N786">
        <f>COUNTIF('Metrics - Articles'!F785,"*GCO – Services Sales*")</f>
        <v>0</v>
      </c>
      <c r="O786">
        <f>COUNTIF('Metrics - Articles'!F785,"*GCO – Other*")</f>
        <v>0</v>
      </c>
      <c r="P786">
        <f>COUNTIF('Metrics - Articles'!F785,"*Corporate*")</f>
        <v>0</v>
      </c>
      <c r="R786" s="53">
        <f t="shared" si="14"/>
        <v>0</v>
      </c>
    </row>
    <row r="787" spans="2:18" x14ac:dyDescent="0.25">
      <c r="B787" s="48">
        <f>+'Metrics - Articles'!C786</f>
        <v>0</v>
      </c>
      <c r="C787">
        <f>COUNTIF('Metrics - Articles'!F786,"*GPO (Partner, Ecosystem, Channels)*")</f>
        <v>0</v>
      </c>
      <c r="D787">
        <f>COUNTIF('Metrics - Articles'!F786,"*Office of the CEO*")</f>
        <v>0</v>
      </c>
      <c r="E787">
        <f>COUNTIF('Metrics - Articles'!F786,"*Services Delivery &amp; Support (go-lives and deployments) *")</f>
        <v>0</v>
      </c>
      <c r="F787">
        <f>COUNTIF('Metrics - Articles'!F786,"*Human Resources (SAP HR and employee stories)*")</f>
        <v>0</v>
      </c>
      <c r="G787">
        <f>COUNTIF('Metrics - Articles'!F786,"*P&amp;I (Research &amp; Development)*")</f>
        <v>0</v>
      </c>
      <c r="H787">
        <f>COUNTIF('Metrics - Articles'!F786,"*Business Network (Concur, Ariba, Fieldglass)*")</f>
        <v>0</v>
      </c>
      <c r="I787">
        <f>COUNTIF('Metrics - Articles'!F786,"*GCO – Regions*")</f>
        <v>0</v>
      </c>
      <c r="J787">
        <f>COUNTIF('Metrics - Articles'!F786,"*GCO – Platform Solutions*")</f>
        <v>0</v>
      </c>
      <c r="K787">
        <f>COUNTIF('Metrics - Articles'!F786,"*GCO – Industry Cloud *")</f>
        <v>0</v>
      </c>
      <c r="L787">
        <f>COUNTIF('Metrics - Articles'!F786,"*GCO – Customer Engagement &amp; Commerce (CRM &amp; hybris) *")</f>
        <v>0</v>
      </c>
      <c r="M787">
        <f>COUNTIF('Metrics - Articles'!F786,"*GCO – HR (SuccessFactors)*")</f>
        <v>0</v>
      </c>
      <c r="N787">
        <f>COUNTIF('Metrics - Articles'!F786,"*GCO – Services Sales*")</f>
        <v>0</v>
      </c>
      <c r="O787">
        <f>COUNTIF('Metrics - Articles'!F786,"*GCO – Other*")</f>
        <v>0</v>
      </c>
      <c r="P787">
        <f>COUNTIF('Metrics - Articles'!F786,"*Corporate*")</f>
        <v>0</v>
      </c>
      <c r="R787" s="53">
        <f t="shared" si="14"/>
        <v>0</v>
      </c>
    </row>
    <row r="788" spans="2:18" x14ac:dyDescent="0.25">
      <c r="B788" s="48">
        <f>+'Metrics - Articles'!C787</f>
        <v>0</v>
      </c>
      <c r="C788">
        <f>COUNTIF('Metrics - Articles'!F787,"*GPO (Partner, Ecosystem, Channels)*")</f>
        <v>0</v>
      </c>
      <c r="D788">
        <f>COUNTIF('Metrics - Articles'!F787,"*Office of the CEO*")</f>
        <v>0</v>
      </c>
      <c r="E788">
        <f>COUNTIF('Metrics - Articles'!F787,"*Services Delivery &amp; Support (go-lives and deployments) *")</f>
        <v>0</v>
      </c>
      <c r="F788">
        <f>COUNTIF('Metrics - Articles'!F787,"*Human Resources (SAP HR and employee stories)*")</f>
        <v>0</v>
      </c>
      <c r="G788">
        <f>COUNTIF('Metrics - Articles'!F787,"*P&amp;I (Research &amp; Development)*")</f>
        <v>0</v>
      </c>
      <c r="H788">
        <f>COUNTIF('Metrics - Articles'!F787,"*Business Network (Concur, Ariba, Fieldglass)*")</f>
        <v>0</v>
      </c>
      <c r="I788">
        <f>COUNTIF('Metrics - Articles'!F787,"*GCO – Regions*")</f>
        <v>0</v>
      </c>
      <c r="J788">
        <f>COUNTIF('Metrics - Articles'!F787,"*GCO – Platform Solutions*")</f>
        <v>0</v>
      </c>
      <c r="K788">
        <f>COUNTIF('Metrics - Articles'!F787,"*GCO – Industry Cloud *")</f>
        <v>0</v>
      </c>
      <c r="L788">
        <f>COUNTIF('Metrics - Articles'!F787,"*GCO – Customer Engagement &amp; Commerce (CRM &amp; hybris) *")</f>
        <v>0</v>
      </c>
      <c r="M788">
        <f>COUNTIF('Metrics - Articles'!F787,"*GCO – HR (SuccessFactors)*")</f>
        <v>0</v>
      </c>
      <c r="N788">
        <f>COUNTIF('Metrics - Articles'!F787,"*GCO – Services Sales*")</f>
        <v>0</v>
      </c>
      <c r="O788">
        <f>COUNTIF('Metrics - Articles'!F787,"*GCO – Other*")</f>
        <v>0</v>
      </c>
      <c r="P788">
        <f>COUNTIF('Metrics - Articles'!F787,"*Corporate*")</f>
        <v>0</v>
      </c>
      <c r="R788" s="53">
        <f t="shared" si="14"/>
        <v>0</v>
      </c>
    </row>
    <row r="789" spans="2:18" x14ac:dyDescent="0.25">
      <c r="B789" s="48">
        <f>+'Metrics - Articles'!C788</f>
        <v>0</v>
      </c>
      <c r="C789">
        <f>COUNTIF('Metrics - Articles'!F788,"*GPO (Partner, Ecosystem, Channels)*")</f>
        <v>0</v>
      </c>
      <c r="D789">
        <f>COUNTIF('Metrics - Articles'!F788,"*Office of the CEO*")</f>
        <v>0</v>
      </c>
      <c r="E789">
        <f>COUNTIF('Metrics - Articles'!F788,"*Services Delivery &amp; Support (go-lives and deployments) *")</f>
        <v>0</v>
      </c>
      <c r="F789">
        <f>COUNTIF('Metrics - Articles'!F788,"*Human Resources (SAP HR and employee stories)*")</f>
        <v>0</v>
      </c>
      <c r="G789">
        <f>COUNTIF('Metrics - Articles'!F788,"*P&amp;I (Research &amp; Development)*")</f>
        <v>0</v>
      </c>
      <c r="H789">
        <f>COUNTIF('Metrics - Articles'!F788,"*Business Network (Concur, Ariba, Fieldglass)*")</f>
        <v>0</v>
      </c>
      <c r="I789">
        <f>COUNTIF('Metrics - Articles'!F788,"*GCO – Regions*")</f>
        <v>0</v>
      </c>
      <c r="J789">
        <f>COUNTIF('Metrics - Articles'!F788,"*GCO – Platform Solutions*")</f>
        <v>0</v>
      </c>
      <c r="K789">
        <f>COUNTIF('Metrics - Articles'!F788,"*GCO – Industry Cloud *")</f>
        <v>0</v>
      </c>
      <c r="L789">
        <f>COUNTIF('Metrics - Articles'!F788,"*GCO – Customer Engagement &amp; Commerce (CRM &amp; hybris) *")</f>
        <v>0</v>
      </c>
      <c r="M789">
        <f>COUNTIF('Metrics - Articles'!F788,"*GCO – HR (SuccessFactors)*")</f>
        <v>0</v>
      </c>
      <c r="N789">
        <f>COUNTIF('Metrics - Articles'!F788,"*GCO – Services Sales*")</f>
        <v>0</v>
      </c>
      <c r="O789">
        <f>COUNTIF('Metrics - Articles'!F788,"*GCO – Other*")</f>
        <v>0</v>
      </c>
      <c r="P789">
        <f>COUNTIF('Metrics - Articles'!F788,"*Corporate*")</f>
        <v>0</v>
      </c>
      <c r="R789" s="53">
        <f t="shared" si="14"/>
        <v>0</v>
      </c>
    </row>
    <row r="790" spans="2:18" x14ac:dyDescent="0.25">
      <c r="B790" s="48">
        <f>+'Metrics - Articles'!C789</f>
        <v>0</v>
      </c>
      <c r="C790">
        <f>COUNTIF('Metrics - Articles'!F789,"*GPO (Partner, Ecosystem, Channels)*")</f>
        <v>0</v>
      </c>
      <c r="D790">
        <f>COUNTIF('Metrics - Articles'!F789,"*Office of the CEO*")</f>
        <v>0</v>
      </c>
      <c r="E790">
        <f>COUNTIF('Metrics - Articles'!F789,"*Services Delivery &amp; Support (go-lives and deployments) *")</f>
        <v>0</v>
      </c>
      <c r="F790">
        <f>COUNTIF('Metrics - Articles'!F789,"*Human Resources (SAP HR and employee stories)*")</f>
        <v>0</v>
      </c>
      <c r="G790">
        <f>COUNTIF('Metrics - Articles'!F789,"*P&amp;I (Research &amp; Development)*")</f>
        <v>0</v>
      </c>
      <c r="H790">
        <f>COUNTIF('Metrics - Articles'!F789,"*Business Network (Concur, Ariba, Fieldglass)*")</f>
        <v>0</v>
      </c>
      <c r="I790">
        <f>COUNTIF('Metrics - Articles'!F789,"*GCO – Regions*")</f>
        <v>0</v>
      </c>
      <c r="J790">
        <f>COUNTIF('Metrics - Articles'!F789,"*GCO – Platform Solutions*")</f>
        <v>0</v>
      </c>
      <c r="K790">
        <f>COUNTIF('Metrics - Articles'!F789,"*GCO – Industry Cloud *")</f>
        <v>0</v>
      </c>
      <c r="L790">
        <f>COUNTIF('Metrics - Articles'!F789,"*GCO – Customer Engagement &amp; Commerce (CRM &amp; hybris) *")</f>
        <v>0</v>
      </c>
      <c r="M790">
        <f>COUNTIF('Metrics - Articles'!F789,"*GCO – HR (SuccessFactors)*")</f>
        <v>0</v>
      </c>
      <c r="N790">
        <f>COUNTIF('Metrics - Articles'!F789,"*GCO – Services Sales*")</f>
        <v>0</v>
      </c>
      <c r="O790">
        <f>COUNTIF('Metrics - Articles'!F789,"*GCO – Other*")</f>
        <v>0</v>
      </c>
      <c r="P790">
        <f>COUNTIF('Metrics - Articles'!F789,"*Corporate*")</f>
        <v>0</v>
      </c>
      <c r="R790" s="53">
        <f t="shared" si="14"/>
        <v>0</v>
      </c>
    </row>
    <row r="791" spans="2:18" x14ac:dyDescent="0.25">
      <c r="B791" s="48">
        <f>+'Metrics - Articles'!C790</f>
        <v>0</v>
      </c>
      <c r="C791">
        <f>COUNTIF('Metrics - Articles'!F790,"*GPO (Partner, Ecosystem, Channels)*")</f>
        <v>0</v>
      </c>
      <c r="D791">
        <f>COUNTIF('Metrics - Articles'!F790,"*Office of the CEO*")</f>
        <v>0</v>
      </c>
      <c r="E791">
        <f>COUNTIF('Metrics - Articles'!F790,"*Services Delivery &amp; Support (go-lives and deployments) *")</f>
        <v>0</v>
      </c>
      <c r="F791">
        <f>COUNTIF('Metrics - Articles'!F790,"*Human Resources (SAP HR and employee stories)*")</f>
        <v>0</v>
      </c>
      <c r="G791">
        <f>COUNTIF('Metrics - Articles'!F790,"*P&amp;I (Research &amp; Development)*")</f>
        <v>0</v>
      </c>
      <c r="H791">
        <f>COUNTIF('Metrics - Articles'!F790,"*Business Network (Concur, Ariba, Fieldglass)*")</f>
        <v>0</v>
      </c>
      <c r="I791">
        <f>COUNTIF('Metrics - Articles'!F790,"*GCO – Regions*")</f>
        <v>0</v>
      </c>
      <c r="J791">
        <f>COUNTIF('Metrics - Articles'!F790,"*GCO – Platform Solutions*")</f>
        <v>0</v>
      </c>
      <c r="K791">
        <f>COUNTIF('Metrics - Articles'!F790,"*GCO – Industry Cloud *")</f>
        <v>0</v>
      </c>
      <c r="L791">
        <f>COUNTIF('Metrics - Articles'!F790,"*GCO – Customer Engagement &amp; Commerce (CRM &amp; hybris) *")</f>
        <v>0</v>
      </c>
      <c r="M791">
        <f>COUNTIF('Metrics - Articles'!F790,"*GCO – HR (SuccessFactors)*")</f>
        <v>0</v>
      </c>
      <c r="N791">
        <f>COUNTIF('Metrics - Articles'!F790,"*GCO – Services Sales*")</f>
        <v>0</v>
      </c>
      <c r="O791">
        <f>COUNTIF('Metrics - Articles'!F790,"*GCO – Other*")</f>
        <v>0</v>
      </c>
      <c r="P791">
        <f>COUNTIF('Metrics - Articles'!F790,"*Corporate*")</f>
        <v>0</v>
      </c>
      <c r="R791" s="53">
        <f t="shared" si="14"/>
        <v>0</v>
      </c>
    </row>
    <row r="792" spans="2:18" x14ac:dyDescent="0.25">
      <c r="B792" s="48">
        <f>+'Metrics - Articles'!C791</f>
        <v>0</v>
      </c>
      <c r="C792">
        <f>COUNTIF('Metrics - Articles'!F791,"*GPO (Partner, Ecosystem, Channels)*")</f>
        <v>0</v>
      </c>
      <c r="D792">
        <f>COUNTIF('Metrics - Articles'!F791,"*Office of the CEO*")</f>
        <v>0</v>
      </c>
      <c r="E792">
        <f>COUNTIF('Metrics - Articles'!F791,"*Services Delivery &amp; Support (go-lives and deployments) *")</f>
        <v>0</v>
      </c>
      <c r="F792">
        <f>COUNTIF('Metrics - Articles'!F791,"*Human Resources (SAP HR and employee stories)*")</f>
        <v>0</v>
      </c>
      <c r="G792">
        <f>COUNTIF('Metrics - Articles'!F791,"*P&amp;I (Research &amp; Development)*")</f>
        <v>0</v>
      </c>
      <c r="H792">
        <f>COUNTIF('Metrics - Articles'!F791,"*Business Network (Concur, Ariba, Fieldglass)*")</f>
        <v>0</v>
      </c>
      <c r="I792">
        <f>COUNTIF('Metrics - Articles'!F791,"*GCO – Regions*")</f>
        <v>0</v>
      </c>
      <c r="J792">
        <f>COUNTIF('Metrics - Articles'!F791,"*GCO – Platform Solutions*")</f>
        <v>0</v>
      </c>
      <c r="K792">
        <f>COUNTIF('Metrics - Articles'!F791,"*GCO – Industry Cloud *")</f>
        <v>0</v>
      </c>
      <c r="L792">
        <f>COUNTIF('Metrics - Articles'!F791,"*GCO – Customer Engagement &amp; Commerce (CRM &amp; hybris) *")</f>
        <v>0</v>
      </c>
      <c r="M792">
        <f>COUNTIF('Metrics - Articles'!F791,"*GCO – HR (SuccessFactors)*")</f>
        <v>0</v>
      </c>
      <c r="N792">
        <f>COUNTIF('Metrics - Articles'!F791,"*GCO – Services Sales*")</f>
        <v>0</v>
      </c>
      <c r="O792">
        <f>COUNTIF('Metrics - Articles'!F791,"*GCO – Other*")</f>
        <v>0</v>
      </c>
      <c r="P792">
        <f>COUNTIF('Metrics - Articles'!F791,"*Corporate*")</f>
        <v>0</v>
      </c>
      <c r="R792" s="53">
        <f t="shared" si="14"/>
        <v>0</v>
      </c>
    </row>
    <row r="793" spans="2:18" x14ac:dyDescent="0.25">
      <c r="B793" s="48">
        <f>+'Metrics - Articles'!C792</f>
        <v>0</v>
      </c>
      <c r="C793">
        <f>COUNTIF('Metrics - Articles'!F792,"*GPO (Partner, Ecosystem, Channels)*")</f>
        <v>0</v>
      </c>
      <c r="D793">
        <f>COUNTIF('Metrics - Articles'!F792,"*Office of the CEO*")</f>
        <v>0</v>
      </c>
      <c r="E793">
        <f>COUNTIF('Metrics - Articles'!F792,"*Services Delivery &amp; Support (go-lives and deployments) *")</f>
        <v>0</v>
      </c>
      <c r="F793">
        <f>COUNTIF('Metrics - Articles'!F792,"*Human Resources (SAP HR and employee stories)*")</f>
        <v>0</v>
      </c>
      <c r="G793">
        <f>COUNTIF('Metrics - Articles'!F792,"*P&amp;I (Research &amp; Development)*")</f>
        <v>0</v>
      </c>
      <c r="H793">
        <f>COUNTIF('Metrics - Articles'!F792,"*Business Network (Concur, Ariba, Fieldglass)*")</f>
        <v>0</v>
      </c>
      <c r="I793">
        <f>COUNTIF('Metrics - Articles'!F792,"*GCO – Regions*")</f>
        <v>0</v>
      </c>
      <c r="J793">
        <f>COUNTIF('Metrics - Articles'!F792,"*GCO – Platform Solutions*")</f>
        <v>0</v>
      </c>
      <c r="K793">
        <f>COUNTIF('Metrics - Articles'!F792,"*GCO – Industry Cloud *")</f>
        <v>0</v>
      </c>
      <c r="L793">
        <f>COUNTIF('Metrics - Articles'!F792,"*GCO – Customer Engagement &amp; Commerce (CRM &amp; hybris) *")</f>
        <v>0</v>
      </c>
      <c r="M793">
        <f>COUNTIF('Metrics - Articles'!F792,"*GCO – HR (SuccessFactors)*")</f>
        <v>0</v>
      </c>
      <c r="N793">
        <f>COUNTIF('Metrics - Articles'!F792,"*GCO – Services Sales*")</f>
        <v>0</v>
      </c>
      <c r="O793">
        <f>COUNTIF('Metrics - Articles'!F792,"*GCO – Other*")</f>
        <v>0</v>
      </c>
      <c r="P793">
        <f>COUNTIF('Metrics - Articles'!F792,"*Corporate*")</f>
        <v>0</v>
      </c>
      <c r="R793" s="53">
        <f t="shared" si="14"/>
        <v>0</v>
      </c>
    </row>
    <row r="794" spans="2:18" x14ac:dyDescent="0.25">
      <c r="B794" s="48">
        <f>+'Metrics - Articles'!C793</f>
        <v>0</v>
      </c>
      <c r="C794">
        <f>COUNTIF('Metrics - Articles'!F793,"*GPO (Partner, Ecosystem, Channels)*")</f>
        <v>0</v>
      </c>
      <c r="D794">
        <f>COUNTIF('Metrics - Articles'!F793,"*Office of the CEO*")</f>
        <v>0</v>
      </c>
      <c r="E794">
        <f>COUNTIF('Metrics - Articles'!F793,"*Services Delivery &amp; Support (go-lives and deployments) *")</f>
        <v>0</v>
      </c>
      <c r="F794">
        <f>COUNTIF('Metrics - Articles'!F793,"*Human Resources (SAP HR and employee stories)*")</f>
        <v>0</v>
      </c>
      <c r="G794">
        <f>COUNTIF('Metrics - Articles'!F793,"*P&amp;I (Research &amp; Development)*")</f>
        <v>0</v>
      </c>
      <c r="H794">
        <f>COUNTIF('Metrics - Articles'!F793,"*Business Network (Concur, Ariba, Fieldglass)*")</f>
        <v>0</v>
      </c>
      <c r="I794">
        <f>COUNTIF('Metrics - Articles'!F793,"*GCO – Regions*")</f>
        <v>0</v>
      </c>
      <c r="J794">
        <f>COUNTIF('Metrics - Articles'!F793,"*GCO – Platform Solutions*")</f>
        <v>0</v>
      </c>
      <c r="K794">
        <f>COUNTIF('Metrics - Articles'!F793,"*GCO – Industry Cloud *")</f>
        <v>0</v>
      </c>
      <c r="L794">
        <f>COUNTIF('Metrics - Articles'!F793,"*GCO – Customer Engagement &amp; Commerce (CRM &amp; hybris) *")</f>
        <v>0</v>
      </c>
      <c r="M794">
        <f>COUNTIF('Metrics - Articles'!F793,"*GCO – HR (SuccessFactors)*")</f>
        <v>0</v>
      </c>
      <c r="N794">
        <f>COUNTIF('Metrics - Articles'!F793,"*GCO – Services Sales*")</f>
        <v>0</v>
      </c>
      <c r="O794">
        <f>COUNTIF('Metrics - Articles'!F793,"*GCO – Other*")</f>
        <v>0</v>
      </c>
      <c r="P794">
        <f>COUNTIF('Metrics - Articles'!F793,"*Corporate*")</f>
        <v>0</v>
      </c>
      <c r="R794" s="53">
        <f t="shared" si="14"/>
        <v>0</v>
      </c>
    </row>
    <row r="795" spans="2:18" x14ac:dyDescent="0.25">
      <c r="B795" s="48">
        <f>+'Metrics - Articles'!C794</f>
        <v>0</v>
      </c>
      <c r="C795">
        <f>COUNTIF('Metrics - Articles'!F794,"*GPO (Partner, Ecosystem, Channels)*")</f>
        <v>0</v>
      </c>
      <c r="D795">
        <f>COUNTIF('Metrics - Articles'!F794,"*Office of the CEO*")</f>
        <v>0</v>
      </c>
      <c r="E795">
        <f>COUNTIF('Metrics - Articles'!F794,"*Services Delivery &amp; Support (go-lives and deployments) *")</f>
        <v>0</v>
      </c>
      <c r="F795">
        <f>COUNTIF('Metrics - Articles'!F794,"*Human Resources (SAP HR and employee stories)*")</f>
        <v>0</v>
      </c>
      <c r="G795">
        <f>COUNTIF('Metrics - Articles'!F794,"*P&amp;I (Research &amp; Development)*")</f>
        <v>0</v>
      </c>
      <c r="H795">
        <f>COUNTIF('Metrics - Articles'!F794,"*Business Network (Concur, Ariba, Fieldglass)*")</f>
        <v>0</v>
      </c>
      <c r="I795">
        <f>COUNTIF('Metrics - Articles'!F794,"*GCO – Regions*")</f>
        <v>0</v>
      </c>
      <c r="J795">
        <f>COUNTIF('Metrics - Articles'!F794,"*GCO – Platform Solutions*")</f>
        <v>0</v>
      </c>
      <c r="K795">
        <f>COUNTIF('Metrics - Articles'!F794,"*GCO – Industry Cloud *")</f>
        <v>0</v>
      </c>
      <c r="L795">
        <f>COUNTIF('Metrics - Articles'!F794,"*GCO – Customer Engagement &amp; Commerce (CRM &amp; hybris) *")</f>
        <v>0</v>
      </c>
      <c r="M795">
        <f>COUNTIF('Metrics - Articles'!F794,"*GCO – HR (SuccessFactors)*")</f>
        <v>0</v>
      </c>
      <c r="N795">
        <f>COUNTIF('Metrics - Articles'!F794,"*GCO – Services Sales*")</f>
        <v>0</v>
      </c>
      <c r="O795">
        <f>COUNTIF('Metrics - Articles'!F794,"*GCO – Other*")</f>
        <v>0</v>
      </c>
      <c r="P795">
        <f>COUNTIF('Metrics - Articles'!F794,"*Corporate*")</f>
        <v>0</v>
      </c>
      <c r="R795" s="53">
        <f t="shared" si="14"/>
        <v>0</v>
      </c>
    </row>
    <row r="796" spans="2:18" x14ac:dyDescent="0.25">
      <c r="B796" s="48">
        <f>+'Metrics - Articles'!C795</f>
        <v>0</v>
      </c>
      <c r="C796">
        <f>COUNTIF('Metrics - Articles'!F795,"*GPO (Partner, Ecosystem, Channels)*")</f>
        <v>0</v>
      </c>
      <c r="D796">
        <f>COUNTIF('Metrics - Articles'!F795,"*Office of the CEO*")</f>
        <v>0</v>
      </c>
      <c r="E796">
        <f>COUNTIF('Metrics - Articles'!F795,"*Services Delivery &amp; Support (go-lives and deployments) *")</f>
        <v>0</v>
      </c>
      <c r="F796">
        <f>COUNTIF('Metrics - Articles'!F795,"*Human Resources (SAP HR and employee stories)*")</f>
        <v>0</v>
      </c>
      <c r="G796">
        <f>COUNTIF('Metrics - Articles'!F795,"*P&amp;I (Research &amp; Development)*")</f>
        <v>0</v>
      </c>
      <c r="H796">
        <f>COUNTIF('Metrics - Articles'!F795,"*Business Network (Concur, Ariba, Fieldglass)*")</f>
        <v>0</v>
      </c>
      <c r="I796">
        <f>COUNTIF('Metrics - Articles'!F795,"*GCO – Regions*")</f>
        <v>0</v>
      </c>
      <c r="J796">
        <f>COUNTIF('Metrics - Articles'!F795,"*GCO – Platform Solutions*")</f>
        <v>0</v>
      </c>
      <c r="K796">
        <f>COUNTIF('Metrics - Articles'!F795,"*GCO – Industry Cloud *")</f>
        <v>0</v>
      </c>
      <c r="L796">
        <f>COUNTIF('Metrics - Articles'!F795,"*GCO – Customer Engagement &amp; Commerce (CRM &amp; hybris) *")</f>
        <v>0</v>
      </c>
      <c r="M796">
        <f>COUNTIF('Metrics - Articles'!F795,"*GCO – HR (SuccessFactors)*")</f>
        <v>0</v>
      </c>
      <c r="N796">
        <f>COUNTIF('Metrics - Articles'!F795,"*GCO – Services Sales*")</f>
        <v>0</v>
      </c>
      <c r="O796">
        <f>COUNTIF('Metrics - Articles'!F795,"*GCO – Other*")</f>
        <v>0</v>
      </c>
      <c r="P796">
        <f>COUNTIF('Metrics - Articles'!F795,"*Corporate*")</f>
        <v>0</v>
      </c>
      <c r="R796" s="53">
        <f t="shared" si="14"/>
        <v>0</v>
      </c>
    </row>
    <row r="797" spans="2:18" x14ac:dyDescent="0.25">
      <c r="B797" s="48">
        <f>+'Metrics - Articles'!C796</f>
        <v>0</v>
      </c>
      <c r="C797">
        <f>COUNTIF('Metrics - Articles'!F796,"*GPO (Partner, Ecosystem, Channels)*")</f>
        <v>0</v>
      </c>
      <c r="D797">
        <f>COUNTIF('Metrics - Articles'!F796,"*Office of the CEO*")</f>
        <v>0</v>
      </c>
      <c r="E797">
        <f>COUNTIF('Metrics - Articles'!F796,"*Services Delivery &amp; Support (go-lives and deployments) *")</f>
        <v>0</v>
      </c>
      <c r="F797">
        <f>COUNTIF('Metrics - Articles'!F796,"*Human Resources (SAP HR and employee stories)*")</f>
        <v>0</v>
      </c>
      <c r="G797">
        <f>COUNTIF('Metrics - Articles'!F796,"*P&amp;I (Research &amp; Development)*")</f>
        <v>0</v>
      </c>
      <c r="H797">
        <f>COUNTIF('Metrics - Articles'!F796,"*Business Network (Concur, Ariba, Fieldglass)*")</f>
        <v>0</v>
      </c>
      <c r="I797">
        <f>COUNTIF('Metrics - Articles'!F796,"*GCO – Regions*")</f>
        <v>0</v>
      </c>
      <c r="J797">
        <f>COUNTIF('Metrics - Articles'!F796,"*GCO – Platform Solutions*")</f>
        <v>0</v>
      </c>
      <c r="K797">
        <f>COUNTIF('Metrics - Articles'!F796,"*GCO – Industry Cloud *")</f>
        <v>0</v>
      </c>
      <c r="L797">
        <f>COUNTIF('Metrics - Articles'!F796,"*GCO – Customer Engagement &amp; Commerce (CRM &amp; hybris) *")</f>
        <v>0</v>
      </c>
      <c r="M797">
        <f>COUNTIF('Metrics - Articles'!F796,"*GCO – HR (SuccessFactors)*")</f>
        <v>0</v>
      </c>
      <c r="N797">
        <f>COUNTIF('Metrics - Articles'!F796,"*GCO – Services Sales*")</f>
        <v>0</v>
      </c>
      <c r="O797">
        <f>COUNTIF('Metrics - Articles'!F796,"*GCO – Other*")</f>
        <v>0</v>
      </c>
      <c r="P797">
        <f>COUNTIF('Metrics - Articles'!F796,"*Corporate*")</f>
        <v>0</v>
      </c>
      <c r="R797" s="53">
        <f t="shared" si="14"/>
        <v>0</v>
      </c>
    </row>
    <row r="798" spans="2:18" x14ac:dyDescent="0.25">
      <c r="B798" s="48">
        <f>+'Metrics - Articles'!C797</f>
        <v>0</v>
      </c>
      <c r="C798">
        <f>COUNTIF('Metrics - Articles'!F797,"*GPO (Partner, Ecosystem, Channels)*")</f>
        <v>0</v>
      </c>
      <c r="D798">
        <f>COUNTIF('Metrics - Articles'!F797,"*Office of the CEO*")</f>
        <v>0</v>
      </c>
      <c r="E798">
        <f>COUNTIF('Metrics - Articles'!F797,"*Services Delivery &amp; Support (go-lives and deployments) *")</f>
        <v>0</v>
      </c>
      <c r="F798">
        <f>COUNTIF('Metrics - Articles'!F797,"*Human Resources (SAP HR and employee stories)*")</f>
        <v>0</v>
      </c>
      <c r="G798">
        <f>COUNTIF('Metrics - Articles'!F797,"*P&amp;I (Research &amp; Development)*")</f>
        <v>0</v>
      </c>
      <c r="H798">
        <f>COUNTIF('Metrics - Articles'!F797,"*Business Network (Concur, Ariba, Fieldglass)*")</f>
        <v>0</v>
      </c>
      <c r="I798">
        <f>COUNTIF('Metrics - Articles'!F797,"*GCO – Regions*")</f>
        <v>0</v>
      </c>
      <c r="J798">
        <f>COUNTIF('Metrics - Articles'!F797,"*GCO – Platform Solutions*")</f>
        <v>0</v>
      </c>
      <c r="K798">
        <f>COUNTIF('Metrics - Articles'!F797,"*GCO – Industry Cloud *")</f>
        <v>0</v>
      </c>
      <c r="L798">
        <f>COUNTIF('Metrics - Articles'!F797,"*GCO – Customer Engagement &amp; Commerce (CRM &amp; hybris) *")</f>
        <v>0</v>
      </c>
      <c r="M798">
        <f>COUNTIF('Metrics - Articles'!F797,"*GCO – HR (SuccessFactors)*")</f>
        <v>0</v>
      </c>
      <c r="N798">
        <f>COUNTIF('Metrics - Articles'!F797,"*GCO – Services Sales*")</f>
        <v>0</v>
      </c>
      <c r="O798">
        <f>COUNTIF('Metrics - Articles'!F797,"*GCO – Other*")</f>
        <v>0</v>
      </c>
      <c r="P798">
        <f>COUNTIF('Metrics - Articles'!F797,"*Corporate*")</f>
        <v>0</v>
      </c>
      <c r="R798" s="53">
        <f t="shared" si="14"/>
        <v>0</v>
      </c>
    </row>
    <row r="799" spans="2:18" x14ac:dyDescent="0.25">
      <c r="B799" s="48">
        <f>+'Metrics - Articles'!C798</f>
        <v>0</v>
      </c>
      <c r="C799">
        <f>COUNTIF('Metrics - Articles'!F798,"*GPO (Partner, Ecosystem, Channels)*")</f>
        <v>0</v>
      </c>
      <c r="D799">
        <f>COUNTIF('Metrics - Articles'!F798,"*Office of the CEO*")</f>
        <v>0</v>
      </c>
      <c r="E799">
        <f>COUNTIF('Metrics - Articles'!F798,"*Services Delivery &amp; Support (go-lives and deployments) *")</f>
        <v>0</v>
      </c>
      <c r="F799">
        <f>COUNTIF('Metrics - Articles'!F798,"*Human Resources (SAP HR and employee stories)*")</f>
        <v>0</v>
      </c>
      <c r="G799">
        <f>COUNTIF('Metrics - Articles'!F798,"*P&amp;I (Research &amp; Development)*")</f>
        <v>0</v>
      </c>
      <c r="H799">
        <f>COUNTIF('Metrics - Articles'!F798,"*Business Network (Concur, Ariba, Fieldglass)*")</f>
        <v>0</v>
      </c>
      <c r="I799">
        <f>COUNTIF('Metrics - Articles'!F798,"*GCO – Regions*")</f>
        <v>0</v>
      </c>
      <c r="J799">
        <f>COUNTIF('Metrics - Articles'!F798,"*GCO – Platform Solutions*")</f>
        <v>0</v>
      </c>
      <c r="K799">
        <f>COUNTIF('Metrics - Articles'!F798,"*GCO – Industry Cloud *")</f>
        <v>0</v>
      </c>
      <c r="L799">
        <f>COUNTIF('Metrics - Articles'!F798,"*GCO – Customer Engagement &amp; Commerce (CRM &amp; hybris) *")</f>
        <v>0</v>
      </c>
      <c r="M799">
        <f>COUNTIF('Metrics - Articles'!F798,"*GCO – HR (SuccessFactors)*")</f>
        <v>0</v>
      </c>
      <c r="N799">
        <f>COUNTIF('Metrics - Articles'!F798,"*GCO – Services Sales*")</f>
        <v>0</v>
      </c>
      <c r="O799">
        <f>COUNTIF('Metrics - Articles'!F798,"*GCO – Other*")</f>
        <v>0</v>
      </c>
      <c r="P799">
        <f>COUNTIF('Metrics - Articles'!F798,"*Corporate*")</f>
        <v>0</v>
      </c>
      <c r="R799" s="53">
        <f t="shared" si="14"/>
        <v>0</v>
      </c>
    </row>
    <row r="800" spans="2:18" x14ac:dyDescent="0.25">
      <c r="B800" s="48">
        <f>+'Metrics - Articles'!C799</f>
        <v>0</v>
      </c>
      <c r="C800">
        <f>COUNTIF('Metrics - Articles'!F799,"*GPO (Partner, Ecosystem, Channels)*")</f>
        <v>0</v>
      </c>
      <c r="D800">
        <f>COUNTIF('Metrics - Articles'!F799,"*Office of the CEO*")</f>
        <v>0</v>
      </c>
      <c r="E800">
        <f>COUNTIF('Metrics - Articles'!F799,"*Services Delivery &amp; Support (go-lives and deployments) *")</f>
        <v>0</v>
      </c>
      <c r="F800">
        <f>COUNTIF('Metrics - Articles'!F799,"*Human Resources (SAP HR and employee stories)*")</f>
        <v>0</v>
      </c>
      <c r="G800">
        <f>COUNTIF('Metrics - Articles'!F799,"*P&amp;I (Research &amp; Development)*")</f>
        <v>0</v>
      </c>
      <c r="H800">
        <f>COUNTIF('Metrics - Articles'!F799,"*Business Network (Concur, Ariba, Fieldglass)*")</f>
        <v>0</v>
      </c>
      <c r="I800">
        <f>COUNTIF('Metrics - Articles'!F799,"*GCO – Regions*")</f>
        <v>0</v>
      </c>
      <c r="J800">
        <f>COUNTIF('Metrics - Articles'!F799,"*GCO – Platform Solutions*")</f>
        <v>0</v>
      </c>
      <c r="K800">
        <f>COUNTIF('Metrics - Articles'!F799,"*GCO – Industry Cloud *")</f>
        <v>0</v>
      </c>
      <c r="L800">
        <f>COUNTIF('Metrics - Articles'!F799,"*GCO – Customer Engagement &amp; Commerce (CRM &amp; hybris) *")</f>
        <v>0</v>
      </c>
      <c r="M800">
        <f>COUNTIF('Metrics - Articles'!F799,"*GCO – HR (SuccessFactors)*")</f>
        <v>0</v>
      </c>
      <c r="N800">
        <f>COUNTIF('Metrics - Articles'!F799,"*GCO – Services Sales*")</f>
        <v>0</v>
      </c>
      <c r="O800">
        <f>COUNTIF('Metrics - Articles'!F799,"*GCO – Other*")</f>
        <v>0</v>
      </c>
      <c r="P800">
        <f>COUNTIF('Metrics - Articles'!F799,"*Corporate*")</f>
        <v>0</v>
      </c>
      <c r="R800" s="53">
        <f t="shared" si="14"/>
        <v>0</v>
      </c>
    </row>
    <row r="801" spans="2:18" x14ac:dyDescent="0.25">
      <c r="B801" s="48">
        <f>+'Metrics - Articles'!C800</f>
        <v>0</v>
      </c>
      <c r="C801">
        <f>COUNTIF('Metrics - Articles'!F800,"*GPO (Partner, Ecosystem, Channels)*")</f>
        <v>0</v>
      </c>
      <c r="D801">
        <f>COUNTIF('Metrics - Articles'!F800,"*Office of the CEO*")</f>
        <v>0</v>
      </c>
      <c r="E801">
        <f>COUNTIF('Metrics - Articles'!F800,"*Services Delivery &amp; Support (go-lives and deployments) *")</f>
        <v>0</v>
      </c>
      <c r="F801">
        <f>COUNTIF('Metrics - Articles'!F800,"*Human Resources (SAP HR and employee stories)*")</f>
        <v>0</v>
      </c>
      <c r="G801">
        <f>COUNTIF('Metrics - Articles'!F800,"*P&amp;I (Research &amp; Development)*")</f>
        <v>0</v>
      </c>
      <c r="H801">
        <f>COUNTIF('Metrics - Articles'!F800,"*Business Network (Concur, Ariba, Fieldglass)*")</f>
        <v>0</v>
      </c>
      <c r="I801">
        <f>COUNTIF('Metrics - Articles'!F800,"*GCO – Regions*")</f>
        <v>0</v>
      </c>
      <c r="J801">
        <f>COUNTIF('Metrics - Articles'!F800,"*GCO – Platform Solutions*")</f>
        <v>0</v>
      </c>
      <c r="K801">
        <f>COUNTIF('Metrics - Articles'!F800,"*GCO – Industry Cloud *")</f>
        <v>0</v>
      </c>
      <c r="L801">
        <f>COUNTIF('Metrics - Articles'!F800,"*GCO – Customer Engagement &amp; Commerce (CRM &amp; hybris) *")</f>
        <v>0</v>
      </c>
      <c r="M801">
        <f>COUNTIF('Metrics - Articles'!F800,"*GCO – HR (SuccessFactors)*")</f>
        <v>0</v>
      </c>
      <c r="N801">
        <f>COUNTIF('Metrics - Articles'!F800,"*GCO – Services Sales*")</f>
        <v>0</v>
      </c>
      <c r="O801">
        <f>COUNTIF('Metrics - Articles'!F800,"*GCO – Other*")</f>
        <v>0</v>
      </c>
      <c r="P801">
        <f>COUNTIF('Metrics - Articles'!F800,"*Corporate*")</f>
        <v>0</v>
      </c>
      <c r="R801" s="53">
        <f t="shared" si="14"/>
        <v>0</v>
      </c>
    </row>
    <row r="802" spans="2:18" x14ac:dyDescent="0.25">
      <c r="B802" s="48">
        <f>+'Metrics - Articles'!C801</f>
        <v>0</v>
      </c>
      <c r="C802">
        <f>COUNTIF('Metrics - Articles'!F801,"*GPO (Partner, Ecosystem, Channels)*")</f>
        <v>0</v>
      </c>
      <c r="D802">
        <f>COUNTIF('Metrics - Articles'!F801,"*Office of the CEO*")</f>
        <v>0</v>
      </c>
      <c r="E802">
        <f>COUNTIF('Metrics - Articles'!F801,"*Services Delivery &amp; Support (go-lives and deployments) *")</f>
        <v>0</v>
      </c>
      <c r="F802">
        <f>COUNTIF('Metrics - Articles'!F801,"*Human Resources (SAP HR and employee stories)*")</f>
        <v>0</v>
      </c>
      <c r="G802">
        <f>COUNTIF('Metrics - Articles'!F801,"*P&amp;I (Research &amp; Development)*")</f>
        <v>0</v>
      </c>
      <c r="H802">
        <f>COUNTIF('Metrics - Articles'!F801,"*Business Network (Concur, Ariba, Fieldglass)*")</f>
        <v>0</v>
      </c>
      <c r="I802">
        <f>COUNTIF('Metrics - Articles'!F801,"*GCO – Regions*")</f>
        <v>0</v>
      </c>
      <c r="J802">
        <f>COUNTIF('Metrics - Articles'!F801,"*GCO – Platform Solutions*")</f>
        <v>0</v>
      </c>
      <c r="K802">
        <f>COUNTIF('Metrics - Articles'!F801,"*GCO – Industry Cloud *")</f>
        <v>0</v>
      </c>
      <c r="L802">
        <f>COUNTIF('Metrics - Articles'!F801,"*GCO – Customer Engagement &amp; Commerce (CRM &amp; hybris) *")</f>
        <v>0</v>
      </c>
      <c r="M802">
        <f>COUNTIF('Metrics - Articles'!F801,"*GCO – HR (SuccessFactors)*")</f>
        <v>0</v>
      </c>
      <c r="N802">
        <f>COUNTIF('Metrics - Articles'!F801,"*GCO – Services Sales*")</f>
        <v>0</v>
      </c>
      <c r="O802">
        <f>COUNTIF('Metrics - Articles'!F801,"*GCO – Other*")</f>
        <v>0</v>
      </c>
      <c r="P802">
        <f>COUNTIF('Metrics - Articles'!F801,"*Corporate*")</f>
        <v>0</v>
      </c>
      <c r="R802" s="53">
        <f t="shared" si="14"/>
        <v>0</v>
      </c>
    </row>
    <row r="803" spans="2:18" x14ac:dyDescent="0.25">
      <c r="B803" s="48">
        <f>+'Metrics - Articles'!C802</f>
        <v>0</v>
      </c>
      <c r="C803">
        <f>COUNTIF('Metrics - Articles'!F802,"*GPO (Partner, Ecosystem, Channels)*")</f>
        <v>0</v>
      </c>
      <c r="D803">
        <f>COUNTIF('Metrics - Articles'!F802,"*Office of the CEO*")</f>
        <v>0</v>
      </c>
      <c r="E803">
        <f>COUNTIF('Metrics - Articles'!F802,"*Services Delivery &amp; Support (go-lives and deployments) *")</f>
        <v>0</v>
      </c>
      <c r="F803">
        <f>COUNTIF('Metrics - Articles'!F802,"*Human Resources (SAP HR and employee stories)*")</f>
        <v>0</v>
      </c>
      <c r="G803">
        <f>COUNTIF('Metrics - Articles'!F802,"*P&amp;I (Research &amp; Development)*")</f>
        <v>0</v>
      </c>
      <c r="H803">
        <f>COUNTIF('Metrics - Articles'!F802,"*Business Network (Concur, Ariba, Fieldglass)*")</f>
        <v>0</v>
      </c>
      <c r="I803">
        <f>COUNTIF('Metrics - Articles'!F802,"*GCO – Regions*")</f>
        <v>0</v>
      </c>
      <c r="J803">
        <f>COUNTIF('Metrics - Articles'!F802,"*GCO – Platform Solutions*")</f>
        <v>0</v>
      </c>
      <c r="K803">
        <f>COUNTIF('Metrics - Articles'!F802,"*GCO – Industry Cloud *")</f>
        <v>0</v>
      </c>
      <c r="L803">
        <f>COUNTIF('Metrics - Articles'!F802,"*GCO – Customer Engagement &amp; Commerce (CRM &amp; hybris) *")</f>
        <v>0</v>
      </c>
      <c r="M803">
        <f>COUNTIF('Metrics - Articles'!F802,"*GCO – HR (SuccessFactors)*")</f>
        <v>0</v>
      </c>
      <c r="N803">
        <f>COUNTIF('Metrics - Articles'!F802,"*GCO – Services Sales*")</f>
        <v>0</v>
      </c>
      <c r="O803">
        <f>COUNTIF('Metrics - Articles'!F802,"*GCO – Other*")</f>
        <v>0</v>
      </c>
      <c r="P803">
        <f>COUNTIF('Metrics - Articles'!F802,"*Corporate*")</f>
        <v>0</v>
      </c>
      <c r="R803" s="53">
        <f t="shared" si="14"/>
        <v>0</v>
      </c>
    </row>
    <row r="804" spans="2:18" x14ac:dyDescent="0.25">
      <c r="B804" s="48">
        <f>+'Metrics - Articles'!C803</f>
        <v>0</v>
      </c>
      <c r="C804">
        <f>COUNTIF('Metrics - Articles'!F803,"*GPO (Partner, Ecosystem, Channels)*")</f>
        <v>0</v>
      </c>
      <c r="D804">
        <f>COUNTIF('Metrics - Articles'!F803,"*Office of the CEO*")</f>
        <v>0</v>
      </c>
      <c r="E804">
        <f>COUNTIF('Metrics - Articles'!F803,"*Services Delivery &amp; Support (go-lives and deployments) *")</f>
        <v>0</v>
      </c>
      <c r="F804">
        <f>COUNTIF('Metrics - Articles'!F803,"*Human Resources (SAP HR and employee stories)*")</f>
        <v>0</v>
      </c>
      <c r="G804">
        <f>COUNTIF('Metrics - Articles'!F803,"*P&amp;I (Research &amp; Development)*")</f>
        <v>0</v>
      </c>
      <c r="H804">
        <f>COUNTIF('Metrics - Articles'!F803,"*Business Network (Concur, Ariba, Fieldglass)*")</f>
        <v>0</v>
      </c>
      <c r="I804">
        <f>COUNTIF('Metrics - Articles'!F803,"*GCO – Regions*")</f>
        <v>0</v>
      </c>
      <c r="J804">
        <f>COUNTIF('Metrics - Articles'!F803,"*GCO – Platform Solutions*")</f>
        <v>0</v>
      </c>
      <c r="K804">
        <f>COUNTIF('Metrics - Articles'!F803,"*GCO – Industry Cloud *")</f>
        <v>0</v>
      </c>
      <c r="L804">
        <f>COUNTIF('Metrics - Articles'!F803,"*GCO – Customer Engagement &amp; Commerce (CRM &amp; hybris) *")</f>
        <v>0</v>
      </c>
      <c r="M804">
        <f>COUNTIF('Metrics - Articles'!F803,"*GCO – HR (SuccessFactors)*")</f>
        <v>0</v>
      </c>
      <c r="N804">
        <f>COUNTIF('Metrics - Articles'!F803,"*GCO – Services Sales*")</f>
        <v>0</v>
      </c>
      <c r="O804">
        <f>COUNTIF('Metrics - Articles'!F803,"*GCO – Other*")</f>
        <v>0</v>
      </c>
      <c r="P804">
        <f>COUNTIF('Metrics - Articles'!F803,"*Corporate*")</f>
        <v>0</v>
      </c>
      <c r="R804" s="53">
        <f t="shared" si="14"/>
        <v>0</v>
      </c>
    </row>
    <row r="805" spans="2:18" x14ac:dyDescent="0.25">
      <c r="B805" s="48">
        <f>+'Metrics - Articles'!C804</f>
        <v>0</v>
      </c>
      <c r="C805">
        <f>COUNTIF('Metrics - Articles'!F804,"*GPO (Partner, Ecosystem, Channels)*")</f>
        <v>0</v>
      </c>
      <c r="D805">
        <f>COUNTIF('Metrics - Articles'!F804,"*Office of the CEO*")</f>
        <v>0</v>
      </c>
      <c r="E805">
        <f>COUNTIF('Metrics - Articles'!F804,"*Services Delivery &amp; Support (go-lives and deployments) *")</f>
        <v>0</v>
      </c>
      <c r="F805">
        <f>COUNTIF('Metrics - Articles'!F804,"*Human Resources (SAP HR and employee stories)*")</f>
        <v>0</v>
      </c>
      <c r="G805">
        <f>COUNTIF('Metrics - Articles'!F804,"*P&amp;I (Research &amp; Development)*")</f>
        <v>0</v>
      </c>
      <c r="H805">
        <f>COUNTIF('Metrics - Articles'!F804,"*Business Network (Concur, Ariba, Fieldglass)*")</f>
        <v>0</v>
      </c>
      <c r="I805">
        <f>COUNTIF('Metrics - Articles'!F804,"*GCO – Regions*")</f>
        <v>0</v>
      </c>
      <c r="J805">
        <f>COUNTIF('Metrics - Articles'!F804,"*GCO – Platform Solutions*")</f>
        <v>0</v>
      </c>
      <c r="K805">
        <f>COUNTIF('Metrics - Articles'!F804,"*GCO – Industry Cloud *")</f>
        <v>0</v>
      </c>
      <c r="L805">
        <f>COUNTIF('Metrics - Articles'!F804,"*GCO – Customer Engagement &amp; Commerce (CRM &amp; hybris) *")</f>
        <v>0</v>
      </c>
      <c r="M805">
        <f>COUNTIF('Metrics - Articles'!F804,"*GCO – HR (SuccessFactors)*")</f>
        <v>0</v>
      </c>
      <c r="N805">
        <f>COUNTIF('Metrics - Articles'!F804,"*GCO – Services Sales*")</f>
        <v>0</v>
      </c>
      <c r="O805">
        <f>COUNTIF('Metrics - Articles'!F804,"*GCO – Other*")</f>
        <v>0</v>
      </c>
      <c r="P805">
        <f>COUNTIF('Metrics - Articles'!F804,"*Corporate*")</f>
        <v>0</v>
      </c>
      <c r="R805" s="53">
        <f t="shared" si="14"/>
        <v>0</v>
      </c>
    </row>
    <row r="806" spans="2:18" x14ac:dyDescent="0.25">
      <c r="B806" s="48">
        <f>+'Metrics - Articles'!C805</f>
        <v>0</v>
      </c>
      <c r="C806">
        <f>COUNTIF('Metrics - Articles'!F805,"*GPO (Partner, Ecosystem, Channels)*")</f>
        <v>0</v>
      </c>
      <c r="D806">
        <f>COUNTIF('Metrics - Articles'!F805,"*Office of the CEO*")</f>
        <v>0</v>
      </c>
      <c r="E806">
        <f>COUNTIF('Metrics - Articles'!F805,"*Services Delivery &amp; Support (go-lives and deployments) *")</f>
        <v>0</v>
      </c>
      <c r="F806">
        <f>COUNTIF('Metrics - Articles'!F805,"*Human Resources (SAP HR and employee stories)*")</f>
        <v>0</v>
      </c>
      <c r="G806">
        <f>COUNTIF('Metrics - Articles'!F805,"*P&amp;I (Research &amp; Development)*")</f>
        <v>0</v>
      </c>
      <c r="H806">
        <f>COUNTIF('Metrics - Articles'!F805,"*Business Network (Concur, Ariba, Fieldglass)*")</f>
        <v>0</v>
      </c>
      <c r="I806">
        <f>COUNTIF('Metrics - Articles'!F805,"*GCO – Regions*")</f>
        <v>0</v>
      </c>
      <c r="J806">
        <f>COUNTIF('Metrics - Articles'!F805,"*GCO – Platform Solutions*")</f>
        <v>0</v>
      </c>
      <c r="K806">
        <f>COUNTIF('Metrics - Articles'!F805,"*GCO – Industry Cloud *")</f>
        <v>0</v>
      </c>
      <c r="L806">
        <f>COUNTIF('Metrics - Articles'!F805,"*GCO – Customer Engagement &amp; Commerce (CRM &amp; hybris) *")</f>
        <v>0</v>
      </c>
      <c r="M806">
        <f>COUNTIF('Metrics - Articles'!F805,"*GCO – HR (SuccessFactors)*")</f>
        <v>0</v>
      </c>
      <c r="N806">
        <f>COUNTIF('Metrics - Articles'!F805,"*GCO – Services Sales*")</f>
        <v>0</v>
      </c>
      <c r="O806">
        <f>COUNTIF('Metrics - Articles'!F805,"*GCO – Other*")</f>
        <v>0</v>
      </c>
      <c r="P806">
        <f>COUNTIF('Metrics - Articles'!F805,"*Corporate*")</f>
        <v>0</v>
      </c>
      <c r="R806" s="53">
        <f t="shared" si="14"/>
        <v>0</v>
      </c>
    </row>
    <row r="807" spans="2:18" x14ac:dyDescent="0.25">
      <c r="B807" s="48">
        <f>+'Metrics - Articles'!C806</f>
        <v>0</v>
      </c>
      <c r="C807">
        <f>COUNTIF('Metrics - Articles'!F806,"*GPO (Partner, Ecosystem, Channels)*")</f>
        <v>0</v>
      </c>
      <c r="D807">
        <f>COUNTIF('Metrics - Articles'!F806,"*Office of the CEO*")</f>
        <v>0</v>
      </c>
      <c r="E807">
        <f>COUNTIF('Metrics - Articles'!F806,"*Services Delivery &amp; Support (go-lives and deployments) *")</f>
        <v>0</v>
      </c>
      <c r="F807">
        <f>COUNTIF('Metrics - Articles'!F806,"*Human Resources (SAP HR and employee stories)*")</f>
        <v>0</v>
      </c>
      <c r="G807">
        <f>COUNTIF('Metrics - Articles'!F806,"*P&amp;I (Research &amp; Development)*")</f>
        <v>0</v>
      </c>
      <c r="H807">
        <f>COUNTIF('Metrics - Articles'!F806,"*Business Network (Concur, Ariba, Fieldglass)*")</f>
        <v>0</v>
      </c>
      <c r="I807">
        <f>COUNTIF('Metrics - Articles'!F806,"*GCO – Regions*")</f>
        <v>0</v>
      </c>
      <c r="J807">
        <f>COUNTIF('Metrics - Articles'!F806,"*GCO – Platform Solutions*")</f>
        <v>0</v>
      </c>
      <c r="K807">
        <f>COUNTIF('Metrics - Articles'!F806,"*GCO – Industry Cloud *")</f>
        <v>0</v>
      </c>
      <c r="L807">
        <f>COUNTIF('Metrics - Articles'!F806,"*GCO – Customer Engagement &amp; Commerce (CRM &amp; hybris) *")</f>
        <v>0</v>
      </c>
      <c r="M807">
        <f>COUNTIF('Metrics - Articles'!F806,"*GCO – HR (SuccessFactors)*")</f>
        <v>0</v>
      </c>
      <c r="N807">
        <f>COUNTIF('Metrics - Articles'!F806,"*GCO – Services Sales*")</f>
        <v>0</v>
      </c>
      <c r="O807">
        <f>COUNTIF('Metrics - Articles'!F806,"*GCO – Other*")</f>
        <v>0</v>
      </c>
      <c r="P807">
        <f>COUNTIF('Metrics - Articles'!F806,"*Corporate*")</f>
        <v>0</v>
      </c>
      <c r="R807" s="53">
        <f t="shared" si="14"/>
        <v>0</v>
      </c>
    </row>
    <row r="808" spans="2:18" x14ac:dyDescent="0.25">
      <c r="B808" s="48">
        <f>+'Metrics - Articles'!C807</f>
        <v>0</v>
      </c>
      <c r="C808">
        <f>COUNTIF('Metrics - Articles'!F807,"*GPO (Partner, Ecosystem, Channels)*")</f>
        <v>0</v>
      </c>
      <c r="D808">
        <f>COUNTIF('Metrics - Articles'!F807,"*Office of the CEO*")</f>
        <v>0</v>
      </c>
      <c r="E808">
        <f>COUNTIF('Metrics - Articles'!F807,"*Services Delivery &amp; Support (go-lives and deployments) *")</f>
        <v>0</v>
      </c>
      <c r="F808">
        <f>COUNTIF('Metrics - Articles'!F807,"*Human Resources (SAP HR and employee stories)*")</f>
        <v>0</v>
      </c>
      <c r="G808">
        <f>COUNTIF('Metrics - Articles'!F807,"*P&amp;I (Research &amp; Development)*")</f>
        <v>0</v>
      </c>
      <c r="H808">
        <f>COUNTIF('Metrics - Articles'!F807,"*Business Network (Concur, Ariba, Fieldglass)*")</f>
        <v>0</v>
      </c>
      <c r="I808">
        <f>COUNTIF('Metrics - Articles'!F807,"*GCO – Regions*")</f>
        <v>0</v>
      </c>
      <c r="J808">
        <f>COUNTIF('Metrics - Articles'!F807,"*GCO – Platform Solutions*")</f>
        <v>0</v>
      </c>
      <c r="K808">
        <f>COUNTIF('Metrics - Articles'!F807,"*GCO – Industry Cloud *")</f>
        <v>0</v>
      </c>
      <c r="L808">
        <f>COUNTIF('Metrics - Articles'!F807,"*GCO – Customer Engagement &amp; Commerce (CRM &amp; hybris) *")</f>
        <v>0</v>
      </c>
      <c r="M808">
        <f>COUNTIF('Metrics - Articles'!F807,"*GCO – HR (SuccessFactors)*")</f>
        <v>0</v>
      </c>
      <c r="N808">
        <f>COUNTIF('Metrics - Articles'!F807,"*GCO – Services Sales*")</f>
        <v>0</v>
      </c>
      <c r="O808">
        <f>COUNTIF('Metrics - Articles'!F807,"*GCO – Other*")</f>
        <v>0</v>
      </c>
      <c r="P808">
        <f>COUNTIF('Metrics - Articles'!F807,"*Corporate*")</f>
        <v>0</v>
      </c>
      <c r="R808" s="53">
        <f t="shared" si="14"/>
        <v>0</v>
      </c>
    </row>
    <row r="809" spans="2:18" x14ac:dyDescent="0.25">
      <c r="B809" s="48">
        <f>+'Metrics - Articles'!C808</f>
        <v>0</v>
      </c>
      <c r="C809">
        <f>COUNTIF('Metrics - Articles'!F808,"*GPO (Partner, Ecosystem, Channels)*")</f>
        <v>0</v>
      </c>
      <c r="D809">
        <f>COUNTIF('Metrics - Articles'!F808,"*Office of the CEO*")</f>
        <v>0</v>
      </c>
      <c r="E809">
        <f>COUNTIF('Metrics - Articles'!F808,"*Services Delivery &amp; Support (go-lives and deployments) *")</f>
        <v>0</v>
      </c>
      <c r="F809">
        <f>COUNTIF('Metrics - Articles'!F808,"*Human Resources (SAP HR and employee stories)*")</f>
        <v>0</v>
      </c>
      <c r="G809">
        <f>COUNTIF('Metrics - Articles'!F808,"*P&amp;I (Research &amp; Development)*")</f>
        <v>0</v>
      </c>
      <c r="H809">
        <f>COUNTIF('Metrics - Articles'!F808,"*Business Network (Concur, Ariba, Fieldglass)*")</f>
        <v>0</v>
      </c>
      <c r="I809">
        <f>COUNTIF('Metrics - Articles'!F808,"*GCO – Regions*")</f>
        <v>0</v>
      </c>
      <c r="J809">
        <f>COUNTIF('Metrics - Articles'!F808,"*GCO – Platform Solutions*")</f>
        <v>0</v>
      </c>
      <c r="K809">
        <f>COUNTIF('Metrics - Articles'!F808,"*GCO – Industry Cloud *")</f>
        <v>0</v>
      </c>
      <c r="L809">
        <f>COUNTIF('Metrics - Articles'!F808,"*GCO – Customer Engagement &amp; Commerce (CRM &amp; hybris) *")</f>
        <v>0</v>
      </c>
      <c r="M809">
        <f>COUNTIF('Metrics - Articles'!F808,"*GCO – HR (SuccessFactors)*")</f>
        <v>0</v>
      </c>
      <c r="N809">
        <f>COUNTIF('Metrics - Articles'!F808,"*GCO – Services Sales*")</f>
        <v>0</v>
      </c>
      <c r="O809">
        <f>COUNTIF('Metrics - Articles'!F808,"*GCO – Other*")</f>
        <v>0</v>
      </c>
      <c r="P809">
        <f>COUNTIF('Metrics - Articles'!F808,"*Corporate*")</f>
        <v>0</v>
      </c>
      <c r="R809" s="53">
        <f t="shared" si="14"/>
        <v>0</v>
      </c>
    </row>
    <row r="810" spans="2:18" x14ac:dyDescent="0.25">
      <c r="B810" s="48">
        <f>+'Metrics - Articles'!C809</f>
        <v>0</v>
      </c>
      <c r="C810">
        <f>COUNTIF('Metrics - Articles'!F809,"*GPO (Partner, Ecosystem, Channels)*")</f>
        <v>0</v>
      </c>
      <c r="D810">
        <f>COUNTIF('Metrics - Articles'!F809,"*Office of the CEO*")</f>
        <v>0</v>
      </c>
      <c r="E810">
        <f>COUNTIF('Metrics - Articles'!F809,"*Services Delivery &amp; Support (go-lives and deployments) *")</f>
        <v>0</v>
      </c>
      <c r="F810">
        <f>COUNTIF('Metrics - Articles'!F809,"*Human Resources (SAP HR and employee stories)*")</f>
        <v>0</v>
      </c>
      <c r="G810">
        <f>COUNTIF('Metrics - Articles'!F809,"*P&amp;I (Research &amp; Development)*")</f>
        <v>0</v>
      </c>
      <c r="H810">
        <f>COUNTIF('Metrics - Articles'!F809,"*Business Network (Concur, Ariba, Fieldglass)*")</f>
        <v>0</v>
      </c>
      <c r="I810">
        <f>COUNTIF('Metrics - Articles'!F809,"*GCO – Regions*")</f>
        <v>0</v>
      </c>
      <c r="J810">
        <f>COUNTIF('Metrics - Articles'!F809,"*GCO – Platform Solutions*")</f>
        <v>0</v>
      </c>
      <c r="K810">
        <f>COUNTIF('Metrics - Articles'!F809,"*GCO – Industry Cloud *")</f>
        <v>0</v>
      </c>
      <c r="L810">
        <f>COUNTIF('Metrics - Articles'!F809,"*GCO – Customer Engagement &amp; Commerce (CRM &amp; hybris) *")</f>
        <v>0</v>
      </c>
      <c r="M810">
        <f>COUNTIF('Metrics - Articles'!F809,"*GCO – HR (SuccessFactors)*")</f>
        <v>0</v>
      </c>
      <c r="N810">
        <f>COUNTIF('Metrics - Articles'!F809,"*GCO – Services Sales*")</f>
        <v>0</v>
      </c>
      <c r="O810">
        <f>COUNTIF('Metrics - Articles'!F809,"*GCO – Other*")</f>
        <v>0</v>
      </c>
      <c r="P810">
        <f>COUNTIF('Metrics - Articles'!F809,"*Corporate*")</f>
        <v>0</v>
      </c>
      <c r="R810" s="53">
        <f t="shared" si="14"/>
        <v>0</v>
      </c>
    </row>
    <row r="811" spans="2:18" x14ac:dyDescent="0.25">
      <c r="B811" s="48">
        <f>+'Metrics - Articles'!C810</f>
        <v>0</v>
      </c>
      <c r="C811">
        <f>COUNTIF('Metrics - Articles'!F810,"*GPO (Partner, Ecosystem, Channels)*")</f>
        <v>0</v>
      </c>
      <c r="D811">
        <f>COUNTIF('Metrics - Articles'!F810,"*Office of the CEO*")</f>
        <v>0</v>
      </c>
      <c r="E811">
        <f>COUNTIF('Metrics - Articles'!F810,"*Services Delivery &amp; Support (go-lives and deployments) *")</f>
        <v>0</v>
      </c>
      <c r="F811">
        <f>COUNTIF('Metrics - Articles'!F810,"*Human Resources (SAP HR and employee stories)*")</f>
        <v>0</v>
      </c>
      <c r="G811">
        <f>COUNTIF('Metrics - Articles'!F810,"*P&amp;I (Research &amp; Development)*")</f>
        <v>0</v>
      </c>
      <c r="H811">
        <f>COUNTIF('Metrics - Articles'!F810,"*Business Network (Concur, Ariba, Fieldglass)*")</f>
        <v>0</v>
      </c>
      <c r="I811">
        <f>COUNTIF('Metrics - Articles'!F810,"*GCO – Regions*")</f>
        <v>0</v>
      </c>
      <c r="J811">
        <f>COUNTIF('Metrics - Articles'!F810,"*GCO – Platform Solutions*")</f>
        <v>0</v>
      </c>
      <c r="K811">
        <f>COUNTIF('Metrics - Articles'!F810,"*GCO – Industry Cloud *")</f>
        <v>0</v>
      </c>
      <c r="L811">
        <f>COUNTIF('Metrics - Articles'!F810,"*GCO – Customer Engagement &amp; Commerce (CRM &amp; hybris) *")</f>
        <v>0</v>
      </c>
      <c r="M811">
        <f>COUNTIF('Metrics - Articles'!F810,"*GCO – HR (SuccessFactors)*")</f>
        <v>0</v>
      </c>
      <c r="N811">
        <f>COUNTIF('Metrics - Articles'!F810,"*GCO – Services Sales*")</f>
        <v>0</v>
      </c>
      <c r="O811">
        <f>COUNTIF('Metrics - Articles'!F810,"*GCO – Other*")</f>
        <v>0</v>
      </c>
      <c r="P811">
        <f>COUNTIF('Metrics - Articles'!F810,"*Corporate*")</f>
        <v>0</v>
      </c>
      <c r="R811" s="53">
        <f t="shared" si="14"/>
        <v>0</v>
      </c>
    </row>
    <row r="812" spans="2:18" x14ac:dyDescent="0.25">
      <c r="B812" s="48">
        <f>+'Metrics - Articles'!C811</f>
        <v>0</v>
      </c>
      <c r="C812">
        <f>COUNTIF('Metrics - Articles'!F811,"*GPO (Partner, Ecosystem, Channels)*")</f>
        <v>0</v>
      </c>
      <c r="D812">
        <f>COUNTIF('Metrics - Articles'!F811,"*Office of the CEO*")</f>
        <v>0</v>
      </c>
      <c r="E812">
        <f>COUNTIF('Metrics - Articles'!F811,"*Services Delivery &amp; Support (go-lives and deployments) *")</f>
        <v>0</v>
      </c>
      <c r="F812">
        <f>COUNTIF('Metrics - Articles'!F811,"*Human Resources (SAP HR and employee stories)*")</f>
        <v>0</v>
      </c>
      <c r="G812">
        <f>COUNTIF('Metrics - Articles'!F811,"*P&amp;I (Research &amp; Development)*")</f>
        <v>0</v>
      </c>
      <c r="H812">
        <f>COUNTIF('Metrics - Articles'!F811,"*Business Network (Concur, Ariba, Fieldglass)*")</f>
        <v>0</v>
      </c>
      <c r="I812">
        <f>COUNTIF('Metrics - Articles'!F811,"*GCO – Regions*")</f>
        <v>0</v>
      </c>
      <c r="J812">
        <f>COUNTIF('Metrics - Articles'!F811,"*GCO – Platform Solutions*")</f>
        <v>0</v>
      </c>
      <c r="K812">
        <f>COUNTIF('Metrics - Articles'!F811,"*GCO – Industry Cloud *")</f>
        <v>0</v>
      </c>
      <c r="L812">
        <f>COUNTIF('Metrics - Articles'!F811,"*GCO – Customer Engagement &amp; Commerce (CRM &amp; hybris) *")</f>
        <v>0</v>
      </c>
      <c r="M812">
        <f>COUNTIF('Metrics - Articles'!F811,"*GCO – HR (SuccessFactors)*")</f>
        <v>0</v>
      </c>
      <c r="N812">
        <f>COUNTIF('Metrics - Articles'!F811,"*GCO – Services Sales*")</f>
        <v>0</v>
      </c>
      <c r="O812">
        <f>COUNTIF('Metrics - Articles'!F811,"*GCO – Other*")</f>
        <v>0</v>
      </c>
      <c r="P812">
        <f>COUNTIF('Metrics - Articles'!F811,"*Corporate*")</f>
        <v>0</v>
      </c>
      <c r="R812" s="53">
        <f t="shared" si="14"/>
        <v>0</v>
      </c>
    </row>
    <row r="813" spans="2:18" x14ac:dyDescent="0.25">
      <c r="B813" s="48">
        <f>+'Metrics - Articles'!C812</f>
        <v>0</v>
      </c>
      <c r="C813">
        <f>COUNTIF('Metrics - Articles'!F812,"*GPO (Partner, Ecosystem, Channels)*")</f>
        <v>0</v>
      </c>
      <c r="D813">
        <f>COUNTIF('Metrics - Articles'!F812,"*Office of the CEO*")</f>
        <v>0</v>
      </c>
      <c r="E813">
        <f>COUNTIF('Metrics - Articles'!F812,"*Services Delivery &amp; Support (go-lives and deployments) *")</f>
        <v>0</v>
      </c>
      <c r="F813">
        <f>COUNTIF('Metrics - Articles'!F812,"*Human Resources (SAP HR and employee stories)*")</f>
        <v>0</v>
      </c>
      <c r="G813">
        <f>COUNTIF('Metrics - Articles'!F812,"*P&amp;I (Research &amp; Development)*")</f>
        <v>0</v>
      </c>
      <c r="H813">
        <f>COUNTIF('Metrics - Articles'!F812,"*Business Network (Concur, Ariba, Fieldglass)*")</f>
        <v>0</v>
      </c>
      <c r="I813">
        <f>COUNTIF('Metrics - Articles'!F812,"*GCO – Regions*")</f>
        <v>0</v>
      </c>
      <c r="J813">
        <f>COUNTIF('Metrics - Articles'!F812,"*GCO – Platform Solutions*")</f>
        <v>0</v>
      </c>
      <c r="K813">
        <f>COUNTIF('Metrics - Articles'!F812,"*GCO – Industry Cloud *")</f>
        <v>0</v>
      </c>
      <c r="L813">
        <f>COUNTIF('Metrics - Articles'!F812,"*GCO – Customer Engagement &amp; Commerce (CRM &amp; hybris) *")</f>
        <v>0</v>
      </c>
      <c r="M813">
        <f>COUNTIF('Metrics - Articles'!F812,"*GCO – HR (SuccessFactors)*")</f>
        <v>0</v>
      </c>
      <c r="N813">
        <f>COUNTIF('Metrics - Articles'!F812,"*GCO – Services Sales*")</f>
        <v>0</v>
      </c>
      <c r="O813">
        <f>COUNTIF('Metrics - Articles'!F812,"*GCO – Other*")</f>
        <v>0</v>
      </c>
      <c r="P813">
        <f>COUNTIF('Metrics - Articles'!F812,"*Corporate*")</f>
        <v>0</v>
      </c>
      <c r="R813" s="53">
        <f t="shared" si="14"/>
        <v>0</v>
      </c>
    </row>
    <row r="814" spans="2:18" x14ac:dyDescent="0.25">
      <c r="B814" s="48">
        <f>+'Metrics - Articles'!C813</f>
        <v>0</v>
      </c>
      <c r="C814">
        <f>COUNTIF('Metrics - Articles'!F813,"*GPO (Partner, Ecosystem, Channels)*")</f>
        <v>0</v>
      </c>
      <c r="D814">
        <f>COUNTIF('Metrics - Articles'!F813,"*Office of the CEO*")</f>
        <v>0</v>
      </c>
      <c r="E814">
        <f>COUNTIF('Metrics - Articles'!F813,"*Services Delivery &amp; Support (go-lives and deployments) *")</f>
        <v>0</v>
      </c>
      <c r="F814">
        <f>COUNTIF('Metrics - Articles'!F813,"*Human Resources (SAP HR and employee stories)*")</f>
        <v>0</v>
      </c>
      <c r="G814">
        <f>COUNTIF('Metrics - Articles'!F813,"*P&amp;I (Research &amp; Development)*")</f>
        <v>0</v>
      </c>
      <c r="H814">
        <f>COUNTIF('Metrics - Articles'!F813,"*Business Network (Concur, Ariba, Fieldglass)*")</f>
        <v>0</v>
      </c>
      <c r="I814">
        <f>COUNTIF('Metrics - Articles'!F813,"*GCO – Regions*")</f>
        <v>0</v>
      </c>
      <c r="J814">
        <f>COUNTIF('Metrics - Articles'!F813,"*GCO – Platform Solutions*")</f>
        <v>0</v>
      </c>
      <c r="K814">
        <f>COUNTIF('Metrics - Articles'!F813,"*GCO – Industry Cloud *")</f>
        <v>0</v>
      </c>
      <c r="L814">
        <f>COUNTIF('Metrics - Articles'!F813,"*GCO – Customer Engagement &amp; Commerce (CRM &amp; hybris) *")</f>
        <v>0</v>
      </c>
      <c r="M814">
        <f>COUNTIF('Metrics - Articles'!F813,"*GCO – HR (SuccessFactors)*")</f>
        <v>0</v>
      </c>
      <c r="N814">
        <f>COUNTIF('Metrics - Articles'!F813,"*GCO – Services Sales*")</f>
        <v>0</v>
      </c>
      <c r="O814">
        <f>COUNTIF('Metrics - Articles'!F813,"*GCO – Other*")</f>
        <v>0</v>
      </c>
      <c r="P814">
        <f>COUNTIF('Metrics - Articles'!F813,"*Corporate*")</f>
        <v>0</v>
      </c>
      <c r="R814" s="53">
        <f t="shared" si="14"/>
        <v>0</v>
      </c>
    </row>
    <row r="815" spans="2:18" x14ac:dyDescent="0.25">
      <c r="B815" s="48">
        <f>+'Metrics - Articles'!C814</f>
        <v>0</v>
      </c>
      <c r="C815">
        <f>COUNTIF('Metrics - Articles'!F814,"*GPO (Partner, Ecosystem, Channels)*")</f>
        <v>0</v>
      </c>
      <c r="D815">
        <f>COUNTIF('Metrics - Articles'!F814,"*Office of the CEO*")</f>
        <v>0</v>
      </c>
      <c r="E815">
        <f>COUNTIF('Metrics - Articles'!F814,"*Services Delivery &amp; Support (go-lives and deployments) *")</f>
        <v>0</v>
      </c>
      <c r="F815">
        <f>COUNTIF('Metrics - Articles'!F814,"*Human Resources (SAP HR and employee stories)*")</f>
        <v>0</v>
      </c>
      <c r="G815">
        <f>COUNTIF('Metrics - Articles'!F814,"*P&amp;I (Research &amp; Development)*")</f>
        <v>0</v>
      </c>
      <c r="H815">
        <f>COUNTIF('Metrics - Articles'!F814,"*Business Network (Concur, Ariba, Fieldglass)*")</f>
        <v>0</v>
      </c>
      <c r="I815">
        <f>COUNTIF('Metrics - Articles'!F814,"*GCO – Regions*")</f>
        <v>0</v>
      </c>
      <c r="J815">
        <f>COUNTIF('Metrics - Articles'!F814,"*GCO – Platform Solutions*")</f>
        <v>0</v>
      </c>
      <c r="K815">
        <f>COUNTIF('Metrics - Articles'!F814,"*GCO – Industry Cloud *")</f>
        <v>0</v>
      </c>
      <c r="L815">
        <f>COUNTIF('Metrics - Articles'!F814,"*GCO – Customer Engagement &amp; Commerce (CRM &amp; hybris) *")</f>
        <v>0</v>
      </c>
      <c r="M815">
        <f>COUNTIF('Metrics - Articles'!F814,"*GCO – HR (SuccessFactors)*")</f>
        <v>0</v>
      </c>
      <c r="N815">
        <f>COUNTIF('Metrics - Articles'!F814,"*GCO – Services Sales*")</f>
        <v>0</v>
      </c>
      <c r="O815">
        <f>COUNTIF('Metrics - Articles'!F814,"*GCO – Other*")</f>
        <v>0</v>
      </c>
      <c r="P815">
        <f>COUNTIF('Metrics - Articles'!F814,"*Corporate*")</f>
        <v>0</v>
      </c>
      <c r="R815" s="53">
        <f t="shared" si="14"/>
        <v>0</v>
      </c>
    </row>
    <row r="816" spans="2:18" x14ac:dyDescent="0.25">
      <c r="B816" s="48">
        <f>+'Metrics - Articles'!C815</f>
        <v>0</v>
      </c>
      <c r="C816">
        <f>COUNTIF('Metrics - Articles'!F815,"*GPO (Partner, Ecosystem, Channels)*")</f>
        <v>0</v>
      </c>
      <c r="D816">
        <f>COUNTIF('Metrics - Articles'!F815,"*Office of the CEO*")</f>
        <v>0</v>
      </c>
      <c r="E816">
        <f>COUNTIF('Metrics - Articles'!F815,"*Services Delivery &amp; Support (go-lives and deployments) *")</f>
        <v>0</v>
      </c>
      <c r="F816">
        <f>COUNTIF('Metrics - Articles'!F815,"*Human Resources (SAP HR and employee stories)*")</f>
        <v>0</v>
      </c>
      <c r="G816">
        <f>COUNTIF('Metrics - Articles'!F815,"*P&amp;I (Research &amp; Development)*")</f>
        <v>0</v>
      </c>
      <c r="H816">
        <f>COUNTIF('Metrics - Articles'!F815,"*Business Network (Concur, Ariba, Fieldglass)*")</f>
        <v>0</v>
      </c>
      <c r="I816">
        <f>COUNTIF('Metrics - Articles'!F815,"*GCO – Regions*")</f>
        <v>0</v>
      </c>
      <c r="J816">
        <f>COUNTIF('Metrics - Articles'!F815,"*GCO – Platform Solutions*")</f>
        <v>0</v>
      </c>
      <c r="K816">
        <f>COUNTIF('Metrics - Articles'!F815,"*GCO – Industry Cloud *")</f>
        <v>0</v>
      </c>
      <c r="L816">
        <f>COUNTIF('Metrics - Articles'!F815,"*GCO – Customer Engagement &amp; Commerce (CRM &amp; hybris) *")</f>
        <v>0</v>
      </c>
      <c r="M816">
        <f>COUNTIF('Metrics - Articles'!F815,"*GCO – HR (SuccessFactors)*")</f>
        <v>0</v>
      </c>
      <c r="N816">
        <f>COUNTIF('Metrics - Articles'!F815,"*GCO – Services Sales*")</f>
        <v>0</v>
      </c>
      <c r="O816">
        <f>COUNTIF('Metrics - Articles'!F815,"*GCO – Other*")</f>
        <v>0</v>
      </c>
      <c r="P816">
        <f>COUNTIF('Metrics - Articles'!F815,"*Corporate*")</f>
        <v>0</v>
      </c>
      <c r="R816" s="53">
        <f t="shared" si="14"/>
        <v>0</v>
      </c>
    </row>
    <row r="817" spans="2:18" x14ac:dyDescent="0.25">
      <c r="B817" s="48">
        <f>+'Metrics - Articles'!C816</f>
        <v>0</v>
      </c>
      <c r="C817">
        <f>COUNTIF('Metrics - Articles'!F816,"*GPO (Partner, Ecosystem, Channels)*")</f>
        <v>0</v>
      </c>
      <c r="D817">
        <f>COUNTIF('Metrics - Articles'!F816,"*Office of the CEO*")</f>
        <v>0</v>
      </c>
      <c r="E817">
        <f>COUNTIF('Metrics - Articles'!F816,"*Services Delivery &amp; Support (go-lives and deployments) *")</f>
        <v>0</v>
      </c>
      <c r="F817">
        <f>COUNTIF('Metrics - Articles'!F816,"*Human Resources (SAP HR and employee stories)*")</f>
        <v>0</v>
      </c>
      <c r="G817">
        <f>COUNTIF('Metrics - Articles'!F816,"*P&amp;I (Research &amp; Development)*")</f>
        <v>0</v>
      </c>
      <c r="H817">
        <f>COUNTIF('Metrics - Articles'!F816,"*Business Network (Concur, Ariba, Fieldglass)*")</f>
        <v>0</v>
      </c>
      <c r="I817">
        <f>COUNTIF('Metrics - Articles'!F816,"*GCO – Regions*")</f>
        <v>0</v>
      </c>
      <c r="J817">
        <f>COUNTIF('Metrics - Articles'!F816,"*GCO – Platform Solutions*")</f>
        <v>0</v>
      </c>
      <c r="K817">
        <f>COUNTIF('Metrics - Articles'!F816,"*GCO – Industry Cloud *")</f>
        <v>0</v>
      </c>
      <c r="L817">
        <f>COUNTIF('Metrics - Articles'!F816,"*GCO – Customer Engagement &amp; Commerce (CRM &amp; hybris) *")</f>
        <v>0</v>
      </c>
      <c r="M817">
        <f>COUNTIF('Metrics - Articles'!F816,"*GCO – HR (SuccessFactors)*")</f>
        <v>0</v>
      </c>
      <c r="N817">
        <f>COUNTIF('Metrics - Articles'!F816,"*GCO – Services Sales*")</f>
        <v>0</v>
      </c>
      <c r="O817">
        <f>COUNTIF('Metrics - Articles'!F816,"*GCO – Other*")</f>
        <v>0</v>
      </c>
      <c r="P817">
        <f>COUNTIF('Metrics - Articles'!F816,"*Corporate*")</f>
        <v>0</v>
      </c>
      <c r="R817" s="53">
        <f t="shared" si="14"/>
        <v>0</v>
      </c>
    </row>
    <row r="818" spans="2:18" x14ac:dyDescent="0.25">
      <c r="B818" s="48">
        <f>+'Metrics - Articles'!C817</f>
        <v>0</v>
      </c>
      <c r="C818">
        <f>COUNTIF('Metrics - Articles'!F817,"*GPO (Partner, Ecosystem, Channels)*")</f>
        <v>0</v>
      </c>
      <c r="D818">
        <f>COUNTIF('Metrics - Articles'!F817,"*Office of the CEO*")</f>
        <v>0</v>
      </c>
      <c r="E818">
        <f>COUNTIF('Metrics - Articles'!F817,"*Services Delivery &amp; Support (go-lives and deployments) *")</f>
        <v>0</v>
      </c>
      <c r="F818">
        <f>COUNTIF('Metrics - Articles'!F817,"*Human Resources (SAP HR and employee stories)*")</f>
        <v>0</v>
      </c>
      <c r="G818">
        <f>COUNTIF('Metrics - Articles'!F817,"*P&amp;I (Research &amp; Development)*")</f>
        <v>0</v>
      </c>
      <c r="H818">
        <f>COUNTIF('Metrics - Articles'!F817,"*Business Network (Concur, Ariba, Fieldglass)*")</f>
        <v>0</v>
      </c>
      <c r="I818">
        <f>COUNTIF('Metrics - Articles'!F817,"*GCO – Regions*")</f>
        <v>0</v>
      </c>
      <c r="J818">
        <f>COUNTIF('Metrics - Articles'!F817,"*GCO – Platform Solutions*")</f>
        <v>0</v>
      </c>
      <c r="K818">
        <f>COUNTIF('Metrics - Articles'!F817,"*GCO – Industry Cloud *")</f>
        <v>0</v>
      </c>
      <c r="L818">
        <f>COUNTIF('Metrics - Articles'!F817,"*GCO – Customer Engagement &amp; Commerce (CRM &amp; hybris) *")</f>
        <v>0</v>
      </c>
      <c r="M818">
        <f>COUNTIF('Metrics - Articles'!F817,"*GCO – HR (SuccessFactors)*")</f>
        <v>0</v>
      </c>
      <c r="N818">
        <f>COUNTIF('Metrics - Articles'!F817,"*GCO – Services Sales*")</f>
        <v>0</v>
      </c>
      <c r="O818">
        <f>COUNTIF('Metrics - Articles'!F817,"*GCO – Other*")</f>
        <v>0</v>
      </c>
      <c r="P818">
        <f>COUNTIF('Metrics - Articles'!F817,"*Corporate*")</f>
        <v>0</v>
      </c>
      <c r="R818" s="53">
        <f t="shared" si="14"/>
        <v>0</v>
      </c>
    </row>
    <row r="819" spans="2:18" x14ac:dyDescent="0.25">
      <c r="B819" s="48">
        <f>+'Metrics - Articles'!C818</f>
        <v>0</v>
      </c>
      <c r="C819">
        <f>COUNTIF('Metrics - Articles'!F818,"*GPO (Partner, Ecosystem, Channels)*")</f>
        <v>0</v>
      </c>
      <c r="D819">
        <f>COUNTIF('Metrics - Articles'!F818,"*Office of the CEO*")</f>
        <v>0</v>
      </c>
      <c r="E819">
        <f>COUNTIF('Metrics - Articles'!F818,"*Services Delivery &amp; Support (go-lives and deployments) *")</f>
        <v>0</v>
      </c>
      <c r="F819">
        <f>COUNTIF('Metrics - Articles'!F818,"*Human Resources (SAP HR and employee stories)*")</f>
        <v>0</v>
      </c>
      <c r="G819">
        <f>COUNTIF('Metrics - Articles'!F818,"*P&amp;I (Research &amp; Development)*")</f>
        <v>0</v>
      </c>
      <c r="H819">
        <f>COUNTIF('Metrics - Articles'!F818,"*Business Network (Concur, Ariba, Fieldglass)*")</f>
        <v>0</v>
      </c>
      <c r="I819">
        <f>COUNTIF('Metrics - Articles'!F818,"*GCO – Regions*")</f>
        <v>0</v>
      </c>
      <c r="J819">
        <f>COUNTIF('Metrics - Articles'!F818,"*GCO – Platform Solutions*")</f>
        <v>0</v>
      </c>
      <c r="K819">
        <f>COUNTIF('Metrics - Articles'!F818,"*GCO – Industry Cloud *")</f>
        <v>0</v>
      </c>
      <c r="L819">
        <f>COUNTIF('Metrics - Articles'!F818,"*GCO – Customer Engagement &amp; Commerce (CRM &amp; hybris) *")</f>
        <v>0</v>
      </c>
      <c r="M819">
        <f>COUNTIF('Metrics - Articles'!F818,"*GCO – HR (SuccessFactors)*")</f>
        <v>0</v>
      </c>
      <c r="N819">
        <f>COUNTIF('Metrics - Articles'!F818,"*GCO – Services Sales*")</f>
        <v>0</v>
      </c>
      <c r="O819">
        <f>COUNTIF('Metrics - Articles'!F818,"*GCO – Other*")</f>
        <v>0</v>
      </c>
      <c r="P819">
        <f>COUNTIF('Metrics - Articles'!F818,"*Corporate*")</f>
        <v>0</v>
      </c>
      <c r="R819" s="53">
        <f t="shared" si="14"/>
        <v>0</v>
      </c>
    </row>
    <row r="820" spans="2:18" x14ac:dyDescent="0.25">
      <c r="B820" s="48">
        <f>+'Metrics - Articles'!C819</f>
        <v>0</v>
      </c>
      <c r="C820">
        <f>COUNTIF('Metrics - Articles'!F819,"*GPO (Partner, Ecosystem, Channels)*")</f>
        <v>0</v>
      </c>
      <c r="D820">
        <f>COUNTIF('Metrics - Articles'!F819,"*Office of the CEO*")</f>
        <v>0</v>
      </c>
      <c r="E820">
        <f>COUNTIF('Metrics - Articles'!F819,"*Services Delivery &amp; Support (go-lives and deployments) *")</f>
        <v>0</v>
      </c>
      <c r="F820">
        <f>COUNTIF('Metrics - Articles'!F819,"*Human Resources (SAP HR and employee stories)*")</f>
        <v>0</v>
      </c>
      <c r="G820">
        <f>COUNTIF('Metrics - Articles'!F819,"*P&amp;I (Research &amp; Development)*")</f>
        <v>0</v>
      </c>
      <c r="H820">
        <f>COUNTIF('Metrics - Articles'!F819,"*Business Network (Concur, Ariba, Fieldglass)*")</f>
        <v>0</v>
      </c>
      <c r="I820">
        <f>COUNTIF('Metrics - Articles'!F819,"*GCO – Regions*")</f>
        <v>0</v>
      </c>
      <c r="J820">
        <f>COUNTIF('Metrics - Articles'!F819,"*GCO – Platform Solutions*")</f>
        <v>0</v>
      </c>
      <c r="K820">
        <f>COUNTIF('Metrics - Articles'!F819,"*GCO – Industry Cloud *")</f>
        <v>0</v>
      </c>
      <c r="L820">
        <f>COUNTIF('Metrics - Articles'!F819,"*GCO – Customer Engagement &amp; Commerce (CRM &amp; hybris) *")</f>
        <v>0</v>
      </c>
      <c r="M820">
        <f>COUNTIF('Metrics - Articles'!F819,"*GCO – HR (SuccessFactors)*")</f>
        <v>0</v>
      </c>
      <c r="N820">
        <f>COUNTIF('Metrics - Articles'!F819,"*GCO – Services Sales*")</f>
        <v>0</v>
      </c>
      <c r="O820">
        <f>COUNTIF('Metrics - Articles'!F819,"*GCO – Other*")</f>
        <v>0</v>
      </c>
      <c r="P820">
        <f>COUNTIF('Metrics - Articles'!F819,"*Corporate*")</f>
        <v>0</v>
      </c>
      <c r="R820" s="53">
        <f t="shared" si="14"/>
        <v>0</v>
      </c>
    </row>
    <row r="821" spans="2:18" x14ac:dyDescent="0.25">
      <c r="B821" s="48">
        <f>+'Metrics - Articles'!C820</f>
        <v>0</v>
      </c>
      <c r="C821">
        <f>COUNTIF('Metrics - Articles'!F820,"*GPO (Partner, Ecosystem, Channels)*")</f>
        <v>0</v>
      </c>
      <c r="D821">
        <f>COUNTIF('Metrics - Articles'!F820,"*Office of the CEO*")</f>
        <v>0</v>
      </c>
      <c r="E821">
        <f>COUNTIF('Metrics - Articles'!F820,"*Services Delivery &amp; Support (go-lives and deployments) *")</f>
        <v>0</v>
      </c>
      <c r="F821">
        <f>COUNTIF('Metrics - Articles'!F820,"*Human Resources (SAP HR and employee stories)*")</f>
        <v>0</v>
      </c>
      <c r="G821">
        <f>COUNTIF('Metrics - Articles'!F820,"*P&amp;I (Research &amp; Development)*")</f>
        <v>0</v>
      </c>
      <c r="H821">
        <f>COUNTIF('Metrics - Articles'!F820,"*Business Network (Concur, Ariba, Fieldglass)*")</f>
        <v>0</v>
      </c>
      <c r="I821">
        <f>COUNTIF('Metrics - Articles'!F820,"*GCO – Regions*")</f>
        <v>0</v>
      </c>
      <c r="J821">
        <f>COUNTIF('Metrics - Articles'!F820,"*GCO – Platform Solutions*")</f>
        <v>0</v>
      </c>
      <c r="K821">
        <f>COUNTIF('Metrics - Articles'!F820,"*GCO – Industry Cloud *")</f>
        <v>0</v>
      </c>
      <c r="L821">
        <f>COUNTIF('Metrics - Articles'!F820,"*GCO – Customer Engagement &amp; Commerce (CRM &amp; hybris) *")</f>
        <v>0</v>
      </c>
      <c r="M821">
        <f>COUNTIF('Metrics - Articles'!F820,"*GCO – HR (SuccessFactors)*")</f>
        <v>0</v>
      </c>
      <c r="N821">
        <f>COUNTIF('Metrics - Articles'!F820,"*GCO – Services Sales*")</f>
        <v>0</v>
      </c>
      <c r="O821">
        <f>COUNTIF('Metrics - Articles'!F820,"*GCO – Other*")</f>
        <v>0</v>
      </c>
      <c r="P821">
        <f>COUNTIF('Metrics - Articles'!F820,"*Corporate*")</f>
        <v>0</v>
      </c>
      <c r="R821" s="53">
        <f t="shared" si="14"/>
        <v>0</v>
      </c>
    </row>
    <row r="822" spans="2:18" x14ac:dyDescent="0.25">
      <c r="B822" s="48">
        <f>+'Metrics - Articles'!C821</f>
        <v>0</v>
      </c>
      <c r="C822">
        <f>COUNTIF('Metrics - Articles'!F821,"*GPO (Partner, Ecosystem, Channels)*")</f>
        <v>0</v>
      </c>
      <c r="D822">
        <f>COUNTIF('Metrics - Articles'!F821,"*Office of the CEO*")</f>
        <v>0</v>
      </c>
      <c r="E822">
        <f>COUNTIF('Metrics - Articles'!F821,"*Services Delivery &amp; Support (go-lives and deployments) *")</f>
        <v>0</v>
      </c>
      <c r="F822">
        <f>COUNTIF('Metrics - Articles'!F821,"*Human Resources (SAP HR and employee stories)*")</f>
        <v>0</v>
      </c>
      <c r="G822">
        <f>COUNTIF('Metrics - Articles'!F821,"*P&amp;I (Research &amp; Development)*")</f>
        <v>0</v>
      </c>
      <c r="H822">
        <f>COUNTIF('Metrics - Articles'!F821,"*Business Network (Concur, Ariba, Fieldglass)*")</f>
        <v>0</v>
      </c>
      <c r="I822">
        <f>COUNTIF('Metrics - Articles'!F821,"*GCO – Regions*")</f>
        <v>0</v>
      </c>
      <c r="J822">
        <f>COUNTIF('Metrics - Articles'!F821,"*GCO – Platform Solutions*")</f>
        <v>0</v>
      </c>
      <c r="K822">
        <f>COUNTIF('Metrics - Articles'!F821,"*GCO – Industry Cloud *")</f>
        <v>0</v>
      </c>
      <c r="L822">
        <f>COUNTIF('Metrics - Articles'!F821,"*GCO – Customer Engagement &amp; Commerce (CRM &amp; hybris) *")</f>
        <v>0</v>
      </c>
      <c r="M822">
        <f>COUNTIF('Metrics - Articles'!F821,"*GCO – HR (SuccessFactors)*")</f>
        <v>0</v>
      </c>
      <c r="N822">
        <f>COUNTIF('Metrics - Articles'!F821,"*GCO – Services Sales*")</f>
        <v>0</v>
      </c>
      <c r="O822">
        <f>COUNTIF('Metrics - Articles'!F821,"*GCO – Other*")</f>
        <v>0</v>
      </c>
      <c r="P822">
        <f>COUNTIF('Metrics - Articles'!F821,"*Corporate*")</f>
        <v>0</v>
      </c>
      <c r="R822" s="53">
        <f t="shared" si="14"/>
        <v>0</v>
      </c>
    </row>
    <row r="823" spans="2:18" x14ac:dyDescent="0.25">
      <c r="B823" s="48">
        <f>+'Metrics - Articles'!C822</f>
        <v>0</v>
      </c>
      <c r="C823">
        <f>COUNTIF('Metrics - Articles'!F822,"*GPO (Partner, Ecosystem, Channels)*")</f>
        <v>0</v>
      </c>
      <c r="D823">
        <f>COUNTIF('Metrics - Articles'!F822,"*Office of the CEO*")</f>
        <v>0</v>
      </c>
      <c r="E823">
        <f>COUNTIF('Metrics - Articles'!F822,"*Services Delivery &amp; Support (go-lives and deployments) *")</f>
        <v>0</v>
      </c>
      <c r="F823">
        <f>COUNTIF('Metrics - Articles'!F822,"*Human Resources (SAP HR and employee stories)*")</f>
        <v>0</v>
      </c>
      <c r="G823">
        <f>COUNTIF('Metrics - Articles'!F822,"*P&amp;I (Research &amp; Development)*")</f>
        <v>0</v>
      </c>
      <c r="H823">
        <f>COUNTIF('Metrics - Articles'!F822,"*Business Network (Concur, Ariba, Fieldglass)*")</f>
        <v>0</v>
      </c>
      <c r="I823">
        <f>COUNTIF('Metrics - Articles'!F822,"*GCO – Regions*")</f>
        <v>0</v>
      </c>
      <c r="J823">
        <f>COUNTIF('Metrics - Articles'!F822,"*GCO – Platform Solutions*")</f>
        <v>0</v>
      </c>
      <c r="K823">
        <f>COUNTIF('Metrics - Articles'!F822,"*GCO – Industry Cloud *")</f>
        <v>0</v>
      </c>
      <c r="L823">
        <f>COUNTIF('Metrics - Articles'!F822,"*GCO – Customer Engagement &amp; Commerce (CRM &amp; hybris) *")</f>
        <v>0</v>
      </c>
      <c r="M823">
        <f>COUNTIF('Metrics - Articles'!F822,"*GCO – HR (SuccessFactors)*")</f>
        <v>0</v>
      </c>
      <c r="N823">
        <f>COUNTIF('Metrics - Articles'!F822,"*GCO – Services Sales*")</f>
        <v>0</v>
      </c>
      <c r="O823">
        <f>COUNTIF('Metrics - Articles'!F822,"*GCO – Other*")</f>
        <v>0</v>
      </c>
      <c r="P823">
        <f>COUNTIF('Metrics - Articles'!F822,"*Corporate*")</f>
        <v>0</v>
      </c>
      <c r="R823" s="53">
        <f t="shared" si="14"/>
        <v>0</v>
      </c>
    </row>
    <row r="824" spans="2:18" x14ac:dyDescent="0.25">
      <c r="B824" s="48">
        <f>+'Metrics - Articles'!C823</f>
        <v>0</v>
      </c>
      <c r="C824">
        <f>COUNTIF('Metrics - Articles'!F823,"*GPO (Partner, Ecosystem, Channels)*")</f>
        <v>0</v>
      </c>
      <c r="D824">
        <f>COUNTIF('Metrics - Articles'!F823,"*Office of the CEO*")</f>
        <v>0</v>
      </c>
      <c r="E824">
        <f>COUNTIF('Metrics - Articles'!F823,"*Services Delivery &amp; Support (go-lives and deployments) *")</f>
        <v>0</v>
      </c>
      <c r="F824">
        <f>COUNTIF('Metrics - Articles'!F823,"*Human Resources (SAP HR and employee stories)*")</f>
        <v>0</v>
      </c>
      <c r="G824">
        <f>COUNTIF('Metrics - Articles'!F823,"*P&amp;I (Research &amp; Development)*")</f>
        <v>0</v>
      </c>
      <c r="H824">
        <f>COUNTIF('Metrics - Articles'!F823,"*Business Network (Concur, Ariba, Fieldglass)*")</f>
        <v>0</v>
      </c>
      <c r="I824">
        <f>COUNTIF('Metrics - Articles'!F823,"*GCO – Regions*")</f>
        <v>0</v>
      </c>
      <c r="J824">
        <f>COUNTIF('Metrics - Articles'!F823,"*GCO – Platform Solutions*")</f>
        <v>0</v>
      </c>
      <c r="K824">
        <f>COUNTIF('Metrics - Articles'!F823,"*GCO – Industry Cloud *")</f>
        <v>0</v>
      </c>
      <c r="L824">
        <f>COUNTIF('Metrics - Articles'!F823,"*GCO – Customer Engagement &amp; Commerce (CRM &amp; hybris) *")</f>
        <v>0</v>
      </c>
      <c r="M824">
        <f>COUNTIF('Metrics - Articles'!F823,"*GCO – HR (SuccessFactors)*")</f>
        <v>0</v>
      </c>
      <c r="N824">
        <f>COUNTIF('Metrics - Articles'!F823,"*GCO – Services Sales*")</f>
        <v>0</v>
      </c>
      <c r="O824">
        <f>COUNTIF('Metrics - Articles'!F823,"*GCO – Other*")</f>
        <v>0</v>
      </c>
      <c r="P824">
        <f>COUNTIF('Metrics - Articles'!F823,"*Corporate*")</f>
        <v>0</v>
      </c>
      <c r="R824" s="53">
        <f t="shared" si="14"/>
        <v>0</v>
      </c>
    </row>
    <row r="825" spans="2:18" x14ac:dyDescent="0.25">
      <c r="B825" s="48">
        <f>+'Metrics - Articles'!C824</f>
        <v>0</v>
      </c>
      <c r="C825">
        <f>COUNTIF('Metrics - Articles'!F824,"*GPO (Partner, Ecosystem, Channels)*")</f>
        <v>0</v>
      </c>
      <c r="D825">
        <f>COUNTIF('Metrics - Articles'!F824,"*Office of the CEO*")</f>
        <v>0</v>
      </c>
      <c r="E825">
        <f>COUNTIF('Metrics - Articles'!F824,"*Services Delivery &amp; Support (go-lives and deployments) *")</f>
        <v>0</v>
      </c>
      <c r="F825">
        <f>COUNTIF('Metrics - Articles'!F824,"*Human Resources (SAP HR and employee stories)*")</f>
        <v>0</v>
      </c>
      <c r="G825">
        <f>COUNTIF('Metrics - Articles'!F824,"*P&amp;I (Research &amp; Development)*")</f>
        <v>0</v>
      </c>
      <c r="H825">
        <f>COUNTIF('Metrics - Articles'!F824,"*Business Network (Concur, Ariba, Fieldglass)*")</f>
        <v>0</v>
      </c>
      <c r="I825">
        <f>COUNTIF('Metrics - Articles'!F824,"*GCO – Regions*")</f>
        <v>0</v>
      </c>
      <c r="J825">
        <f>COUNTIF('Metrics - Articles'!F824,"*GCO – Platform Solutions*")</f>
        <v>0</v>
      </c>
      <c r="K825">
        <f>COUNTIF('Metrics - Articles'!F824,"*GCO – Industry Cloud *")</f>
        <v>0</v>
      </c>
      <c r="L825">
        <f>COUNTIF('Metrics - Articles'!F824,"*GCO – Customer Engagement &amp; Commerce (CRM &amp; hybris) *")</f>
        <v>0</v>
      </c>
      <c r="M825">
        <f>COUNTIF('Metrics - Articles'!F824,"*GCO – HR (SuccessFactors)*")</f>
        <v>0</v>
      </c>
      <c r="N825">
        <f>COUNTIF('Metrics - Articles'!F824,"*GCO – Services Sales*")</f>
        <v>0</v>
      </c>
      <c r="O825">
        <f>COUNTIF('Metrics - Articles'!F824,"*GCO – Other*")</f>
        <v>0</v>
      </c>
      <c r="P825">
        <f>COUNTIF('Metrics - Articles'!F824,"*Corporate*")</f>
        <v>0</v>
      </c>
      <c r="R825" s="53">
        <f t="shared" si="14"/>
        <v>0</v>
      </c>
    </row>
    <row r="826" spans="2:18" x14ac:dyDescent="0.25">
      <c r="B826" s="48">
        <f>+'Metrics - Articles'!C825</f>
        <v>0</v>
      </c>
      <c r="C826">
        <f>COUNTIF('Metrics - Articles'!F825,"*GPO (Partner, Ecosystem, Channels)*")</f>
        <v>0</v>
      </c>
      <c r="D826">
        <f>COUNTIF('Metrics - Articles'!F825,"*Office of the CEO*")</f>
        <v>0</v>
      </c>
      <c r="E826">
        <f>COUNTIF('Metrics - Articles'!F825,"*Services Delivery &amp; Support (go-lives and deployments) *")</f>
        <v>0</v>
      </c>
      <c r="F826">
        <f>COUNTIF('Metrics - Articles'!F825,"*Human Resources (SAP HR and employee stories)*")</f>
        <v>0</v>
      </c>
      <c r="G826">
        <f>COUNTIF('Metrics - Articles'!F825,"*P&amp;I (Research &amp; Development)*")</f>
        <v>0</v>
      </c>
      <c r="H826">
        <f>COUNTIF('Metrics - Articles'!F825,"*Business Network (Concur, Ariba, Fieldglass)*")</f>
        <v>0</v>
      </c>
      <c r="I826">
        <f>COUNTIF('Metrics - Articles'!F825,"*GCO – Regions*")</f>
        <v>0</v>
      </c>
      <c r="J826">
        <f>COUNTIF('Metrics - Articles'!F825,"*GCO – Platform Solutions*")</f>
        <v>0</v>
      </c>
      <c r="K826">
        <f>COUNTIF('Metrics - Articles'!F825,"*GCO – Industry Cloud *")</f>
        <v>0</v>
      </c>
      <c r="L826">
        <f>COUNTIF('Metrics - Articles'!F825,"*GCO – Customer Engagement &amp; Commerce (CRM &amp; hybris) *")</f>
        <v>0</v>
      </c>
      <c r="M826">
        <f>COUNTIF('Metrics - Articles'!F825,"*GCO – HR (SuccessFactors)*")</f>
        <v>0</v>
      </c>
      <c r="N826">
        <f>COUNTIF('Metrics - Articles'!F825,"*GCO – Services Sales*")</f>
        <v>0</v>
      </c>
      <c r="O826">
        <f>COUNTIF('Metrics - Articles'!F825,"*GCO – Other*")</f>
        <v>0</v>
      </c>
      <c r="P826">
        <f>COUNTIF('Metrics - Articles'!F825,"*Corporate*")</f>
        <v>0</v>
      </c>
      <c r="R826" s="53">
        <f t="shared" si="14"/>
        <v>0</v>
      </c>
    </row>
    <row r="827" spans="2:18" x14ac:dyDescent="0.25">
      <c r="B827" s="48">
        <f>+'Metrics - Articles'!C826</f>
        <v>0</v>
      </c>
      <c r="C827">
        <f>COUNTIF('Metrics - Articles'!F826,"*GPO (Partner, Ecosystem, Channels)*")</f>
        <v>0</v>
      </c>
      <c r="D827">
        <f>COUNTIF('Metrics - Articles'!F826,"*Office of the CEO*")</f>
        <v>0</v>
      </c>
      <c r="E827">
        <f>COUNTIF('Metrics - Articles'!F826,"*Services Delivery &amp; Support (go-lives and deployments) *")</f>
        <v>0</v>
      </c>
      <c r="F827">
        <f>COUNTIF('Metrics - Articles'!F826,"*Human Resources (SAP HR and employee stories)*")</f>
        <v>0</v>
      </c>
      <c r="G827">
        <f>COUNTIF('Metrics - Articles'!F826,"*P&amp;I (Research &amp; Development)*")</f>
        <v>0</v>
      </c>
      <c r="H827">
        <f>COUNTIF('Metrics - Articles'!F826,"*Business Network (Concur, Ariba, Fieldglass)*")</f>
        <v>0</v>
      </c>
      <c r="I827">
        <f>COUNTIF('Metrics - Articles'!F826,"*GCO – Regions*")</f>
        <v>0</v>
      </c>
      <c r="J827">
        <f>COUNTIF('Metrics - Articles'!F826,"*GCO – Platform Solutions*")</f>
        <v>0</v>
      </c>
      <c r="K827">
        <f>COUNTIF('Metrics - Articles'!F826,"*GCO – Industry Cloud *")</f>
        <v>0</v>
      </c>
      <c r="L827">
        <f>COUNTIF('Metrics - Articles'!F826,"*GCO – Customer Engagement &amp; Commerce (CRM &amp; hybris) *")</f>
        <v>0</v>
      </c>
      <c r="M827">
        <f>COUNTIF('Metrics - Articles'!F826,"*GCO – HR (SuccessFactors)*")</f>
        <v>0</v>
      </c>
      <c r="N827">
        <f>COUNTIF('Metrics - Articles'!F826,"*GCO – Services Sales*")</f>
        <v>0</v>
      </c>
      <c r="O827">
        <f>COUNTIF('Metrics - Articles'!F826,"*GCO – Other*")</f>
        <v>0</v>
      </c>
      <c r="P827">
        <f>COUNTIF('Metrics - Articles'!F826,"*Corporate*")</f>
        <v>0</v>
      </c>
      <c r="R827" s="53">
        <f t="shared" si="14"/>
        <v>0</v>
      </c>
    </row>
    <row r="828" spans="2:18" x14ac:dyDescent="0.25">
      <c r="B828" s="48">
        <f>+'Metrics - Articles'!C827</f>
        <v>0</v>
      </c>
      <c r="C828">
        <f>COUNTIF('Metrics - Articles'!F827,"*GPO (Partner, Ecosystem, Channels)*")</f>
        <v>0</v>
      </c>
      <c r="D828">
        <f>COUNTIF('Metrics - Articles'!F827,"*Office of the CEO*")</f>
        <v>0</v>
      </c>
      <c r="E828">
        <f>COUNTIF('Metrics - Articles'!F827,"*Services Delivery &amp; Support (go-lives and deployments) *")</f>
        <v>0</v>
      </c>
      <c r="F828">
        <f>COUNTIF('Metrics - Articles'!F827,"*Human Resources (SAP HR and employee stories)*")</f>
        <v>0</v>
      </c>
      <c r="G828">
        <f>COUNTIF('Metrics - Articles'!F827,"*P&amp;I (Research &amp; Development)*")</f>
        <v>0</v>
      </c>
      <c r="H828">
        <f>COUNTIF('Metrics - Articles'!F827,"*Business Network (Concur, Ariba, Fieldglass)*")</f>
        <v>0</v>
      </c>
      <c r="I828">
        <f>COUNTIF('Metrics - Articles'!F827,"*GCO – Regions*")</f>
        <v>0</v>
      </c>
      <c r="J828">
        <f>COUNTIF('Metrics - Articles'!F827,"*GCO – Platform Solutions*")</f>
        <v>0</v>
      </c>
      <c r="K828">
        <f>COUNTIF('Metrics - Articles'!F827,"*GCO – Industry Cloud *")</f>
        <v>0</v>
      </c>
      <c r="L828">
        <f>COUNTIF('Metrics - Articles'!F827,"*GCO – Customer Engagement &amp; Commerce (CRM &amp; hybris) *")</f>
        <v>0</v>
      </c>
      <c r="M828">
        <f>COUNTIF('Metrics - Articles'!F827,"*GCO – HR (SuccessFactors)*")</f>
        <v>0</v>
      </c>
      <c r="N828">
        <f>COUNTIF('Metrics - Articles'!F827,"*GCO – Services Sales*")</f>
        <v>0</v>
      </c>
      <c r="O828">
        <f>COUNTIF('Metrics - Articles'!F827,"*GCO – Other*")</f>
        <v>0</v>
      </c>
      <c r="P828">
        <f>COUNTIF('Metrics - Articles'!F827,"*Corporate*")</f>
        <v>0</v>
      </c>
      <c r="R828" s="53">
        <f t="shared" si="14"/>
        <v>0</v>
      </c>
    </row>
    <row r="829" spans="2:18" x14ac:dyDescent="0.25">
      <c r="B829" s="48">
        <f>+'Metrics - Articles'!C828</f>
        <v>0</v>
      </c>
      <c r="C829">
        <f>COUNTIF('Metrics - Articles'!F828,"*GPO (Partner, Ecosystem, Channels)*")</f>
        <v>0</v>
      </c>
      <c r="D829">
        <f>COUNTIF('Metrics - Articles'!F828,"*Office of the CEO*")</f>
        <v>0</v>
      </c>
      <c r="E829">
        <f>COUNTIF('Metrics - Articles'!F828,"*Services Delivery &amp; Support (go-lives and deployments) *")</f>
        <v>0</v>
      </c>
      <c r="F829">
        <f>COUNTIF('Metrics - Articles'!F828,"*Human Resources (SAP HR and employee stories)*")</f>
        <v>0</v>
      </c>
      <c r="G829">
        <f>COUNTIF('Metrics - Articles'!F828,"*P&amp;I (Research &amp; Development)*")</f>
        <v>0</v>
      </c>
      <c r="H829">
        <f>COUNTIF('Metrics - Articles'!F828,"*Business Network (Concur, Ariba, Fieldglass)*")</f>
        <v>0</v>
      </c>
      <c r="I829">
        <f>COUNTIF('Metrics - Articles'!F828,"*GCO – Regions*")</f>
        <v>0</v>
      </c>
      <c r="J829">
        <f>COUNTIF('Metrics - Articles'!F828,"*GCO – Platform Solutions*")</f>
        <v>0</v>
      </c>
      <c r="K829">
        <f>COUNTIF('Metrics - Articles'!F828,"*GCO – Industry Cloud *")</f>
        <v>0</v>
      </c>
      <c r="L829">
        <f>COUNTIF('Metrics - Articles'!F828,"*GCO – Customer Engagement &amp; Commerce (CRM &amp; hybris) *")</f>
        <v>0</v>
      </c>
      <c r="M829">
        <f>COUNTIF('Metrics - Articles'!F828,"*GCO – HR (SuccessFactors)*")</f>
        <v>0</v>
      </c>
      <c r="N829">
        <f>COUNTIF('Metrics - Articles'!F828,"*GCO – Services Sales*")</f>
        <v>0</v>
      </c>
      <c r="O829">
        <f>COUNTIF('Metrics - Articles'!F828,"*GCO – Other*")</f>
        <v>0</v>
      </c>
      <c r="P829">
        <f>COUNTIF('Metrics - Articles'!F828,"*Corporate*")</f>
        <v>0</v>
      </c>
      <c r="R829" s="53">
        <f t="shared" si="14"/>
        <v>0</v>
      </c>
    </row>
    <row r="830" spans="2:18" x14ac:dyDescent="0.25">
      <c r="B830" s="48">
        <f>+'Metrics - Articles'!C829</f>
        <v>0</v>
      </c>
      <c r="C830">
        <f>COUNTIF('Metrics - Articles'!F829,"*GPO (Partner, Ecosystem, Channels)*")</f>
        <v>0</v>
      </c>
      <c r="D830">
        <f>COUNTIF('Metrics - Articles'!F829,"*Office of the CEO*")</f>
        <v>0</v>
      </c>
      <c r="E830">
        <f>COUNTIF('Metrics - Articles'!F829,"*Services Delivery &amp; Support (go-lives and deployments) *")</f>
        <v>0</v>
      </c>
      <c r="F830">
        <f>COUNTIF('Metrics - Articles'!F829,"*Human Resources (SAP HR and employee stories)*")</f>
        <v>0</v>
      </c>
      <c r="G830">
        <f>COUNTIF('Metrics - Articles'!F829,"*P&amp;I (Research &amp; Development)*")</f>
        <v>0</v>
      </c>
      <c r="H830">
        <f>COUNTIF('Metrics - Articles'!F829,"*Business Network (Concur, Ariba, Fieldglass)*")</f>
        <v>0</v>
      </c>
      <c r="I830">
        <f>COUNTIF('Metrics - Articles'!F829,"*GCO – Regions*")</f>
        <v>0</v>
      </c>
      <c r="J830">
        <f>COUNTIF('Metrics - Articles'!F829,"*GCO – Platform Solutions*")</f>
        <v>0</v>
      </c>
      <c r="K830">
        <f>COUNTIF('Metrics - Articles'!F829,"*GCO – Industry Cloud *")</f>
        <v>0</v>
      </c>
      <c r="L830">
        <f>COUNTIF('Metrics - Articles'!F829,"*GCO – Customer Engagement &amp; Commerce (CRM &amp; hybris) *")</f>
        <v>0</v>
      </c>
      <c r="M830">
        <f>COUNTIF('Metrics - Articles'!F829,"*GCO – HR (SuccessFactors)*")</f>
        <v>0</v>
      </c>
      <c r="N830">
        <f>COUNTIF('Metrics - Articles'!F829,"*GCO – Services Sales*")</f>
        <v>0</v>
      </c>
      <c r="O830">
        <f>COUNTIF('Metrics - Articles'!F829,"*GCO – Other*")</f>
        <v>0</v>
      </c>
      <c r="P830">
        <f>COUNTIF('Metrics - Articles'!F829,"*Corporate*")</f>
        <v>0</v>
      </c>
      <c r="R830" s="53">
        <f t="shared" si="14"/>
        <v>0</v>
      </c>
    </row>
    <row r="831" spans="2:18" x14ac:dyDescent="0.25">
      <c r="B831" s="48">
        <f>+'Metrics - Articles'!C830</f>
        <v>0</v>
      </c>
      <c r="C831">
        <f>COUNTIF('Metrics - Articles'!F830,"*GPO (Partner, Ecosystem, Channels)*")</f>
        <v>0</v>
      </c>
      <c r="D831">
        <f>COUNTIF('Metrics - Articles'!F830,"*Office of the CEO*")</f>
        <v>0</v>
      </c>
      <c r="E831">
        <f>COUNTIF('Metrics - Articles'!F830,"*Services Delivery &amp; Support (go-lives and deployments) *")</f>
        <v>0</v>
      </c>
      <c r="F831">
        <f>COUNTIF('Metrics - Articles'!F830,"*Human Resources (SAP HR and employee stories)*")</f>
        <v>0</v>
      </c>
      <c r="G831">
        <f>COUNTIF('Metrics - Articles'!F830,"*P&amp;I (Research &amp; Development)*")</f>
        <v>0</v>
      </c>
      <c r="H831">
        <f>COUNTIF('Metrics - Articles'!F830,"*Business Network (Concur, Ariba, Fieldglass)*")</f>
        <v>0</v>
      </c>
      <c r="I831">
        <f>COUNTIF('Metrics - Articles'!F830,"*GCO – Regions*")</f>
        <v>0</v>
      </c>
      <c r="J831">
        <f>COUNTIF('Metrics - Articles'!F830,"*GCO – Platform Solutions*")</f>
        <v>0</v>
      </c>
      <c r="K831">
        <f>COUNTIF('Metrics - Articles'!F830,"*GCO – Industry Cloud *")</f>
        <v>0</v>
      </c>
      <c r="L831">
        <f>COUNTIF('Metrics - Articles'!F830,"*GCO – Customer Engagement &amp; Commerce (CRM &amp; hybris) *")</f>
        <v>0</v>
      </c>
      <c r="M831">
        <f>COUNTIF('Metrics - Articles'!F830,"*GCO – HR (SuccessFactors)*")</f>
        <v>0</v>
      </c>
      <c r="N831">
        <f>COUNTIF('Metrics - Articles'!F830,"*GCO – Services Sales*")</f>
        <v>0</v>
      </c>
      <c r="O831">
        <f>COUNTIF('Metrics - Articles'!F830,"*GCO – Other*")</f>
        <v>0</v>
      </c>
      <c r="P831">
        <f>COUNTIF('Metrics - Articles'!F830,"*Corporate*")</f>
        <v>0</v>
      </c>
      <c r="R831" s="53">
        <f t="shared" si="14"/>
        <v>0</v>
      </c>
    </row>
    <row r="832" spans="2:18" x14ac:dyDescent="0.25">
      <c r="B832" s="48">
        <f>+'Metrics - Articles'!C831</f>
        <v>0</v>
      </c>
      <c r="C832">
        <f>COUNTIF('Metrics - Articles'!F831,"*GPO (Partner, Ecosystem, Channels)*")</f>
        <v>0</v>
      </c>
      <c r="D832">
        <f>COUNTIF('Metrics - Articles'!F831,"*Office of the CEO*")</f>
        <v>0</v>
      </c>
      <c r="E832">
        <f>COUNTIF('Metrics - Articles'!F831,"*Services Delivery &amp; Support (go-lives and deployments) *")</f>
        <v>0</v>
      </c>
      <c r="F832">
        <f>COUNTIF('Metrics - Articles'!F831,"*Human Resources (SAP HR and employee stories)*")</f>
        <v>0</v>
      </c>
      <c r="G832">
        <f>COUNTIF('Metrics - Articles'!F831,"*P&amp;I (Research &amp; Development)*")</f>
        <v>0</v>
      </c>
      <c r="H832">
        <f>COUNTIF('Metrics - Articles'!F831,"*Business Network (Concur, Ariba, Fieldglass)*")</f>
        <v>0</v>
      </c>
      <c r="I832">
        <f>COUNTIF('Metrics - Articles'!F831,"*GCO – Regions*")</f>
        <v>0</v>
      </c>
      <c r="J832">
        <f>COUNTIF('Metrics - Articles'!F831,"*GCO – Platform Solutions*")</f>
        <v>0</v>
      </c>
      <c r="K832">
        <f>COUNTIF('Metrics - Articles'!F831,"*GCO – Industry Cloud *")</f>
        <v>0</v>
      </c>
      <c r="L832">
        <f>COUNTIF('Metrics - Articles'!F831,"*GCO – Customer Engagement &amp; Commerce (CRM &amp; hybris) *")</f>
        <v>0</v>
      </c>
      <c r="M832">
        <f>COUNTIF('Metrics - Articles'!F831,"*GCO – HR (SuccessFactors)*")</f>
        <v>0</v>
      </c>
      <c r="N832">
        <f>COUNTIF('Metrics - Articles'!F831,"*GCO – Services Sales*")</f>
        <v>0</v>
      </c>
      <c r="O832">
        <f>COUNTIF('Metrics - Articles'!F831,"*GCO – Other*")</f>
        <v>0</v>
      </c>
      <c r="P832">
        <f>COUNTIF('Metrics - Articles'!F831,"*Corporate*")</f>
        <v>0</v>
      </c>
      <c r="R832" s="53">
        <f t="shared" si="14"/>
        <v>0</v>
      </c>
    </row>
    <row r="833" spans="2:18" x14ac:dyDescent="0.25">
      <c r="B833" s="48">
        <f>+'Metrics - Articles'!C832</f>
        <v>0</v>
      </c>
      <c r="C833">
        <f>COUNTIF('Metrics - Articles'!F832,"*GPO (Partner, Ecosystem, Channels)*")</f>
        <v>0</v>
      </c>
      <c r="D833">
        <f>COUNTIF('Metrics - Articles'!F832,"*Office of the CEO*")</f>
        <v>0</v>
      </c>
      <c r="E833">
        <f>COUNTIF('Metrics - Articles'!F832,"*Services Delivery &amp; Support (go-lives and deployments) *")</f>
        <v>0</v>
      </c>
      <c r="F833">
        <f>COUNTIF('Metrics - Articles'!F832,"*Human Resources (SAP HR and employee stories)*")</f>
        <v>0</v>
      </c>
      <c r="G833">
        <f>COUNTIF('Metrics - Articles'!F832,"*P&amp;I (Research &amp; Development)*")</f>
        <v>0</v>
      </c>
      <c r="H833">
        <f>COUNTIF('Metrics - Articles'!F832,"*Business Network (Concur, Ariba, Fieldglass)*")</f>
        <v>0</v>
      </c>
      <c r="I833">
        <f>COUNTIF('Metrics - Articles'!F832,"*GCO – Regions*")</f>
        <v>0</v>
      </c>
      <c r="J833">
        <f>COUNTIF('Metrics - Articles'!F832,"*GCO – Platform Solutions*")</f>
        <v>0</v>
      </c>
      <c r="K833">
        <f>COUNTIF('Metrics - Articles'!F832,"*GCO – Industry Cloud *")</f>
        <v>0</v>
      </c>
      <c r="L833">
        <f>COUNTIF('Metrics - Articles'!F832,"*GCO – Customer Engagement &amp; Commerce (CRM &amp; hybris) *")</f>
        <v>0</v>
      </c>
      <c r="M833">
        <f>COUNTIF('Metrics - Articles'!F832,"*GCO – HR (SuccessFactors)*")</f>
        <v>0</v>
      </c>
      <c r="N833">
        <f>COUNTIF('Metrics - Articles'!F832,"*GCO – Services Sales*")</f>
        <v>0</v>
      </c>
      <c r="O833">
        <f>COUNTIF('Metrics - Articles'!F832,"*GCO – Other*")</f>
        <v>0</v>
      </c>
      <c r="P833">
        <f>COUNTIF('Metrics - Articles'!F832,"*Corporate*")</f>
        <v>0</v>
      </c>
      <c r="R833" s="53">
        <f t="shared" si="14"/>
        <v>0</v>
      </c>
    </row>
    <row r="834" spans="2:18" x14ac:dyDescent="0.25">
      <c r="B834" s="48">
        <f>+'Metrics - Articles'!C833</f>
        <v>0</v>
      </c>
      <c r="C834">
        <f>COUNTIF('Metrics - Articles'!F833,"*GPO (Partner, Ecosystem, Channels)*")</f>
        <v>0</v>
      </c>
      <c r="D834">
        <f>COUNTIF('Metrics - Articles'!F833,"*Office of the CEO*")</f>
        <v>0</v>
      </c>
      <c r="E834">
        <f>COUNTIF('Metrics - Articles'!F833,"*Services Delivery &amp; Support (go-lives and deployments) *")</f>
        <v>0</v>
      </c>
      <c r="F834">
        <f>COUNTIF('Metrics - Articles'!F833,"*Human Resources (SAP HR and employee stories)*")</f>
        <v>0</v>
      </c>
      <c r="G834">
        <f>COUNTIF('Metrics - Articles'!F833,"*P&amp;I (Research &amp; Development)*")</f>
        <v>0</v>
      </c>
      <c r="H834">
        <f>COUNTIF('Metrics - Articles'!F833,"*Business Network (Concur, Ariba, Fieldglass)*")</f>
        <v>0</v>
      </c>
      <c r="I834">
        <f>COUNTIF('Metrics - Articles'!F833,"*GCO – Regions*")</f>
        <v>0</v>
      </c>
      <c r="J834">
        <f>COUNTIF('Metrics - Articles'!F833,"*GCO – Platform Solutions*")</f>
        <v>0</v>
      </c>
      <c r="K834">
        <f>COUNTIF('Metrics - Articles'!F833,"*GCO – Industry Cloud *")</f>
        <v>0</v>
      </c>
      <c r="L834">
        <f>COUNTIF('Metrics - Articles'!F833,"*GCO – Customer Engagement &amp; Commerce (CRM &amp; hybris) *")</f>
        <v>0</v>
      </c>
      <c r="M834">
        <f>COUNTIF('Metrics - Articles'!F833,"*GCO – HR (SuccessFactors)*")</f>
        <v>0</v>
      </c>
      <c r="N834">
        <f>COUNTIF('Metrics - Articles'!F833,"*GCO – Services Sales*")</f>
        <v>0</v>
      </c>
      <c r="O834">
        <f>COUNTIF('Metrics - Articles'!F833,"*GCO – Other*")</f>
        <v>0</v>
      </c>
      <c r="P834">
        <f>COUNTIF('Metrics - Articles'!F833,"*Corporate*")</f>
        <v>0</v>
      </c>
      <c r="R834" s="53">
        <f t="shared" si="14"/>
        <v>0</v>
      </c>
    </row>
    <row r="835" spans="2:18" x14ac:dyDescent="0.25">
      <c r="B835" s="48">
        <f>+'Metrics - Articles'!C834</f>
        <v>0</v>
      </c>
      <c r="C835">
        <f>COUNTIF('Metrics - Articles'!F834,"*GPO (Partner, Ecosystem, Channels)*")</f>
        <v>0</v>
      </c>
      <c r="D835">
        <f>COUNTIF('Metrics - Articles'!F834,"*Office of the CEO*")</f>
        <v>0</v>
      </c>
      <c r="E835">
        <f>COUNTIF('Metrics - Articles'!F834,"*Services Delivery &amp; Support (go-lives and deployments) *")</f>
        <v>0</v>
      </c>
      <c r="F835">
        <f>COUNTIF('Metrics - Articles'!F834,"*Human Resources (SAP HR and employee stories)*")</f>
        <v>0</v>
      </c>
      <c r="G835">
        <f>COUNTIF('Metrics - Articles'!F834,"*P&amp;I (Research &amp; Development)*")</f>
        <v>0</v>
      </c>
      <c r="H835">
        <f>COUNTIF('Metrics - Articles'!F834,"*Business Network (Concur, Ariba, Fieldglass)*")</f>
        <v>0</v>
      </c>
      <c r="I835">
        <f>COUNTIF('Metrics - Articles'!F834,"*GCO – Regions*")</f>
        <v>0</v>
      </c>
      <c r="J835">
        <f>COUNTIF('Metrics - Articles'!F834,"*GCO – Platform Solutions*")</f>
        <v>0</v>
      </c>
      <c r="K835">
        <f>COUNTIF('Metrics - Articles'!F834,"*GCO – Industry Cloud *")</f>
        <v>0</v>
      </c>
      <c r="L835">
        <f>COUNTIF('Metrics - Articles'!F834,"*GCO – Customer Engagement &amp; Commerce (CRM &amp; hybris) *")</f>
        <v>0</v>
      </c>
      <c r="M835">
        <f>COUNTIF('Metrics - Articles'!F834,"*GCO – HR (SuccessFactors)*")</f>
        <v>0</v>
      </c>
      <c r="N835">
        <f>COUNTIF('Metrics - Articles'!F834,"*GCO – Services Sales*")</f>
        <v>0</v>
      </c>
      <c r="O835">
        <f>COUNTIF('Metrics - Articles'!F834,"*GCO – Other*")</f>
        <v>0</v>
      </c>
      <c r="P835">
        <f>COUNTIF('Metrics - Articles'!F834,"*Corporate*")</f>
        <v>0</v>
      </c>
      <c r="R835" s="53">
        <f t="shared" si="14"/>
        <v>0</v>
      </c>
    </row>
    <row r="836" spans="2:18" x14ac:dyDescent="0.25">
      <c r="B836" s="48">
        <f>+'Metrics - Articles'!C835</f>
        <v>0</v>
      </c>
      <c r="C836">
        <f>COUNTIF('Metrics - Articles'!F835,"*GPO (Partner, Ecosystem, Channels)*")</f>
        <v>0</v>
      </c>
      <c r="D836">
        <f>COUNTIF('Metrics - Articles'!F835,"*Office of the CEO*")</f>
        <v>0</v>
      </c>
      <c r="E836">
        <f>COUNTIF('Metrics - Articles'!F835,"*Services Delivery &amp; Support (go-lives and deployments) *")</f>
        <v>0</v>
      </c>
      <c r="F836">
        <f>COUNTIF('Metrics - Articles'!F835,"*Human Resources (SAP HR and employee stories)*")</f>
        <v>0</v>
      </c>
      <c r="G836">
        <f>COUNTIF('Metrics - Articles'!F835,"*P&amp;I (Research &amp; Development)*")</f>
        <v>0</v>
      </c>
      <c r="H836">
        <f>COUNTIF('Metrics - Articles'!F835,"*Business Network (Concur, Ariba, Fieldglass)*")</f>
        <v>0</v>
      </c>
      <c r="I836">
        <f>COUNTIF('Metrics - Articles'!F835,"*GCO – Regions*")</f>
        <v>0</v>
      </c>
      <c r="J836">
        <f>COUNTIF('Metrics - Articles'!F835,"*GCO – Platform Solutions*")</f>
        <v>0</v>
      </c>
      <c r="K836">
        <f>COUNTIF('Metrics - Articles'!F835,"*GCO – Industry Cloud *")</f>
        <v>0</v>
      </c>
      <c r="L836">
        <f>COUNTIF('Metrics - Articles'!F835,"*GCO – Customer Engagement &amp; Commerce (CRM &amp; hybris) *")</f>
        <v>0</v>
      </c>
      <c r="M836">
        <f>COUNTIF('Metrics - Articles'!F835,"*GCO – HR (SuccessFactors)*")</f>
        <v>0</v>
      </c>
      <c r="N836">
        <f>COUNTIF('Metrics - Articles'!F835,"*GCO – Services Sales*")</f>
        <v>0</v>
      </c>
      <c r="O836">
        <f>COUNTIF('Metrics - Articles'!F835,"*GCO – Other*")</f>
        <v>0</v>
      </c>
      <c r="P836">
        <f>COUNTIF('Metrics - Articles'!F835,"*Corporate*")</f>
        <v>0</v>
      </c>
      <c r="R836" s="53">
        <f t="shared" si="14"/>
        <v>0</v>
      </c>
    </row>
    <row r="837" spans="2:18" x14ac:dyDescent="0.25">
      <c r="B837" s="48">
        <f>+'Metrics - Articles'!C836</f>
        <v>0</v>
      </c>
      <c r="C837">
        <f>COUNTIF('Metrics - Articles'!F836,"*GPO (Partner, Ecosystem, Channels)*")</f>
        <v>0</v>
      </c>
      <c r="D837">
        <f>COUNTIF('Metrics - Articles'!F836,"*Office of the CEO*")</f>
        <v>0</v>
      </c>
      <c r="E837">
        <f>COUNTIF('Metrics - Articles'!F836,"*Services Delivery &amp; Support (go-lives and deployments) *")</f>
        <v>0</v>
      </c>
      <c r="F837">
        <f>COUNTIF('Metrics - Articles'!F836,"*Human Resources (SAP HR and employee stories)*")</f>
        <v>0</v>
      </c>
      <c r="G837">
        <f>COUNTIF('Metrics - Articles'!F836,"*P&amp;I (Research &amp; Development)*")</f>
        <v>0</v>
      </c>
      <c r="H837">
        <f>COUNTIF('Metrics - Articles'!F836,"*Business Network (Concur, Ariba, Fieldglass)*")</f>
        <v>0</v>
      </c>
      <c r="I837">
        <f>COUNTIF('Metrics - Articles'!F836,"*GCO – Regions*")</f>
        <v>0</v>
      </c>
      <c r="J837">
        <f>COUNTIF('Metrics - Articles'!F836,"*GCO – Platform Solutions*")</f>
        <v>0</v>
      </c>
      <c r="K837">
        <f>COUNTIF('Metrics - Articles'!F836,"*GCO – Industry Cloud *")</f>
        <v>0</v>
      </c>
      <c r="L837">
        <f>COUNTIF('Metrics - Articles'!F836,"*GCO – Customer Engagement &amp; Commerce (CRM &amp; hybris) *")</f>
        <v>0</v>
      </c>
      <c r="M837">
        <f>COUNTIF('Metrics - Articles'!F836,"*GCO – HR (SuccessFactors)*")</f>
        <v>0</v>
      </c>
      <c r="N837">
        <f>COUNTIF('Metrics - Articles'!F836,"*GCO – Services Sales*")</f>
        <v>0</v>
      </c>
      <c r="O837">
        <f>COUNTIF('Metrics - Articles'!F836,"*GCO – Other*")</f>
        <v>0</v>
      </c>
      <c r="P837">
        <f>COUNTIF('Metrics - Articles'!F836,"*Corporate*")</f>
        <v>0</v>
      </c>
      <c r="R837" s="53">
        <f t="shared" si="14"/>
        <v>0</v>
      </c>
    </row>
    <row r="838" spans="2:18" x14ac:dyDescent="0.25">
      <c r="B838" s="48">
        <f>+'Metrics - Articles'!C837</f>
        <v>0</v>
      </c>
      <c r="C838">
        <f>COUNTIF('Metrics - Articles'!F837,"*GPO (Partner, Ecosystem, Channels)*")</f>
        <v>0</v>
      </c>
      <c r="D838">
        <f>COUNTIF('Metrics - Articles'!F837,"*Office of the CEO*")</f>
        <v>0</v>
      </c>
      <c r="E838">
        <f>COUNTIF('Metrics - Articles'!F837,"*Services Delivery &amp; Support (go-lives and deployments) *")</f>
        <v>0</v>
      </c>
      <c r="F838">
        <f>COUNTIF('Metrics - Articles'!F837,"*Human Resources (SAP HR and employee stories)*")</f>
        <v>0</v>
      </c>
      <c r="G838">
        <f>COUNTIF('Metrics - Articles'!F837,"*P&amp;I (Research &amp; Development)*")</f>
        <v>0</v>
      </c>
      <c r="H838">
        <f>COUNTIF('Metrics - Articles'!F837,"*Business Network (Concur, Ariba, Fieldglass)*")</f>
        <v>0</v>
      </c>
      <c r="I838">
        <f>COUNTIF('Metrics - Articles'!F837,"*GCO – Regions*")</f>
        <v>0</v>
      </c>
      <c r="J838">
        <f>COUNTIF('Metrics - Articles'!F837,"*GCO – Platform Solutions*")</f>
        <v>0</v>
      </c>
      <c r="K838">
        <f>COUNTIF('Metrics - Articles'!F837,"*GCO – Industry Cloud *")</f>
        <v>0</v>
      </c>
      <c r="L838">
        <f>COUNTIF('Metrics - Articles'!F837,"*GCO – Customer Engagement &amp; Commerce (CRM &amp; hybris) *")</f>
        <v>0</v>
      </c>
      <c r="M838">
        <f>COUNTIF('Metrics - Articles'!F837,"*GCO – HR (SuccessFactors)*")</f>
        <v>0</v>
      </c>
      <c r="N838">
        <f>COUNTIF('Metrics - Articles'!F837,"*GCO – Services Sales*")</f>
        <v>0</v>
      </c>
      <c r="O838">
        <f>COUNTIF('Metrics - Articles'!F837,"*GCO – Other*")</f>
        <v>0</v>
      </c>
      <c r="P838">
        <f>COUNTIF('Metrics - Articles'!F837,"*Corporate*")</f>
        <v>0</v>
      </c>
      <c r="R838" s="53">
        <f t="shared" si="14"/>
        <v>0</v>
      </c>
    </row>
    <row r="839" spans="2:18" x14ac:dyDescent="0.25">
      <c r="B839" s="48">
        <f>+'Metrics - Articles'!C838</f>
        <v>0</v>
      </c>
      <c r="C839">
        <f>COUNTIF('Metrics - Articles'!F838,"*GPO (Partner, Ecosystem, Channels)*")</f>
        <v>0</v>
      </c>
      <c r="D839">
        <f>COUNTIF('Metrics - Articles'!F838,"*Office of the CEO*")</f>
        <v>0</v>
      </c>
      <c r="E839">
        <f>COUNTIF('Metrics - Articles'!F838,"*Services Delivery &amp; Support (go-lives and deployments) *")</f>
        <v>0</v>
      </c>
      <c r="F839">
        <f>COUNTIF('Metrics - Articles'!F838,"*Human Resources (SAP HR and employee stories)*")</f>
        <v>0</v>
      </c>
      <c r="G839">
        <f>COUNTIF('Metrics - Articles'!F838,"*P&amp;I (Research &amp; Development)*")</f>
        <v>0</v>
      </c>
      <c r="H839">
        <f>COUNTIF('Metrics - Articles'!F838,"*Business Network (Concur, Ariba, Fieldglass)*")</f>
        <v>0</v>
      </c>
      <c r="I839">
        <f>COUNTIF('Metrics - Articles'!F838,"*GCO – Regions*")</f>
        <v>0</v>
      </c>
      <c r="J839">
        <f>COUNTIF('Metrics - Articles'!F838,"*GCO – Platform Solutions*")</f>
        <v>0</v>
      </c>
      <c r="K839">
        <f>COUNTIF('Metrics - Articles'!F838,"*GCO – Industry Cloud *")</f>
        <v>0</v>
      </c>
      <c r="L839">
        <f>COUNTIF('Metrics - Articles'!F838,"*GCO – Customer Engagement &amp; Commerce (CRM &amp; hybris) *")</f>
        <v>0</v>
      </c>
      <c r="M839">
        <f>COUNTIF('Metrics - Articles'!F838,"*GCO – HR (SuccessFactors)*")</f>
        <v>0</v>
      </c>
      <c r="N839">
        <f>COUNTIF('Metrics - Articles'!F838,"*GCO – Services Sales*")</f>
        <v>0</v>
      </c>
      <c r="O839">
        <f>COUNTIF('Metrics - Articles'!F838,"*GCO – Other*")</f>
        <v>0</v>
      </c>
      <c r="P839">
        <f>COUNTIF('Metrics - Articles'!F838,"*Corporate*")</f>
        <v>0</v>
      </c>
      <c r="R839" s="53">
        <f t="shared" si="14"/>
        <v>0</v>
      </c>
    </row>
    <row r="840" spans="2:18" x14ac:dyDescent="0.25">
      <c r="B840" s="48">
        <f>+'Metrics - Articles'!C839</f>
        <v>0</v>
      </c>
      <c r="C840">
        <f>COUNTIF('Metrics - Articles'!F839,"*GPO (Partner, Ecosystem, Channels)*")</f>
        <v>0</v>
      </c>
      <c r="D840">
        <f>COUNTIF('Metrics - Articles'!F839,"*Office of the CEO*")</f>
        <v>0</v>
      </c>
      <c r="E840">
        <f>COUNTIF('Metrics - Articles'!F839,"*Services Delivery &amp; Support (go-lives and deployments) *")</f>
        <v>0</v>
      </c>
      <c r="F840">
        <f>COUNTIF('Metrics - Articles'!F839,"*Human Resources (SAP HR and employee stories)*")</f>
        <v>0</v>
      </c>
      <c r="G840">
        <f>COUNTIF('Metrics - Articles'!F839,"*P&amp;I (Research &amp; Development)*")</f>
        <v>0</v>
      </c>
      <c r="H840">
        <f>COUNTIF('Metrics - Articles'!F839,"*Business Network (Concur, Ariba, Fieldglass)*")</f>
        <v>0</v>
      </c>
      <c r="I840">
        <f>COUNTIF('Metrics - Articles'!F839,"*GCO – Regions*")</f>
        <v>0</v>
      </c>
      <c r="J840">
        <f>COUNTIF('Metrics - Articles'!F839,"*GCO – Platform Solutions*")</f>
        <v>0</v>
      </c>
      <c r="K840">
        <f>COUNTIF('Metrics - Articles'!F839,"*GCO – Industry Cloud *")</f>
        <v>0</v>
      </c>
      <c r="L840">
        <f>COUNTIF('Metrics - Articles'!F839,"*GCO – Customer Engagement &amp; Commerce (CRM &amp; hybris) *")</f>
        <v>0</v>
      </c>
      <c r="M840">
        <f>COUNTIF('Metrics - Articles'!F839,"*GCO – HR (SuccessFactors)*")</f>
        <v>0</v>
      </c>
      <c r="N840">
        <f>COUNTIF('Metrics - Articles'!F839,"*GCO – Services Sales*")</f>
        <v>0</v>
      </c>
      <c r="O840">
        <f>COUNTIF('Metrics - Articles'!F839,"*GCO – Other*")</f>
        <v>0</v>
      </c>
      <c r="P840">
        <f>COUNTIF('Metrics - Articles'!F839,"*Corporate*")</f>
        <v>0</v>
      </c>
      <c r="R840" s="53">
        <f t="shared" si="14"/>
        <v>0</v>
      </c>
    </row>
    <row r="841" spans="2:18" x14ac:dyDescent="0.25">
      <c r="B841" s="48">
        <f>+'Metrics - Articles'!C840</f>
        <v>0</v>
      </c>
      <c r="C841">
        <f>COUNTIF('Metrics - Articles'!F840,"*GPO (Partner, Ecosystem, Channels)*")</f>
        <v>0</v>
      </c>
      <c r="D841">
        <f>COUNTIF('Metrics - Articles'!F840,"*Office of the CEO*")</f>
        <v>0</v>
      </c>
      <c r="E841">
        <f>COUNTIF('Metrics - Articles'!F840,"*Services Delivery &amp; Support (go-lives and deployments) *")</f>
        <v>0</v>
      </c>
      <c r="F841">
        <f>COUNTIF('Metrics - Articles'!F840,"*Human Resources (SAP HR and employee stories)*")</f>
        <v>0</v>
      </c>
      <c r="G841">
        <f>COUNTIF('Metrics - Articles'!F840,"*P&amp;I (Research &amp; Development)*")</f>
        <v>0</v>
      </c>
      <c r="H841">
        <f>COUNTIF('Metrics - Articles'!F840,"*Business Network (Concur, Ariba, Fieldglass)*")</f>
        <v>0</v>
      </c>
      <c r="I841">
        <f>COUNTIF('Metrics - Articles'!F840,"*GCO – Regions*")</f>
        <v>0</v>
      </c>
      <c r="J841">
        <f>COUNTIF('Metrics - Articles'!F840,"*GCO – Platform Solutions*")</f>
        <v>0</v>
      </c>
      <c r="K841">
        <f>COUNTIF('Metrics - Articles'!F840,"*GCO – Industry Cloud *")</f>
        <v>0</v>
      </c>
      <c r="L841">
        <f>COUNTIF('Metrics - Articles'!F840,"*GCO – Customer Engagement &amp; Commerce (CRM &amp; hybris) *")</f>
        <v>0</v>
      </c>
      <c r="M841">
        <f>COUNTIF('Metrics - Articles'!F840,"*GCO – HR (SuccessFactors)*")</f>
        <v>0</v>
      </c>
      <c r="N841">
        <f>COUNTIF('Metrics - Articles'!F840,"*GCO – Services Sales*")</f>
        <v>0</v>
      </c>
      <c r="O841">
        <f>COUNTIF('Metrics - Articles'!F840,"*GCO – Other*")</f>
        <v>0</v>
      </c>
      <c r="P841">
        <f>COUNTIF('Metrics - Articles'!F840,"*Corporate*")</f>
        <v>0</v>
      </c>
      <c r="R841" s="53">
        <f t="shared" si="14"/>
        <v>0</v>
      </c>
    </row>
    <row r="842" spans="2:18" x14ac:dyDescent="0.25">
      <c r="B842" s="48">
        <f>+'Metrics - Articles'!C841</f>
        <v>0</v>
      </c>
      <c r="C842">
        <f>COUNTIF('Metrics - Articles'!F841,"*GPO (Partner, Ecosystem, Channels)*")</f>
        <v>0</v>
      </c>
      <c r="D842">
        <f>COUNTIF('Metrics - Articles'!F841,"*Office of the CEO*")</f>
        <v>0</v>
      </c>
      <c r="E842">
        <f>COUNTIF('Metrics - Articles'!F841,"*Services Delivery &amp; Support (go-lives and deployments) *")</f>
        <v>0</v>
      </c>
      <c r="F842">
        <f>COUNTIF('Metrics - Articles'!F841,"*Human Resources (SAP HR and employee stories)*")</f>
        <v>0</v>
      </c>
      <c r="G842">
        <f>COUNTIF('Metrics - Articles'!F841,"*P&amp;I (Research &amp; Development)*")</f>
        <v>0</v>
      </c>
      <c r="H842">
        <f>COUNTIF('Metrics - Articles'!F841,"*Business Network (Concur, Ariba, Fieldglass)*")</f>
        <v>0</v>
      </c>
      <c r="I842">
        <f>COUNTIF('Metrics - Articles'!F841,"*GCO – Regions*")</f>
        <v>0</v>
      </c>
      <c r="J842">
        <f>COUNTIF('Metrics - Articles'!F841,"*GCO – Platform Solutions*")</f>
        <v>0</v>
      </c>
      <c r="K842">
        <f>COUNTIF('Metrics - Articles'!F841,"*GCO – Industry Cloud *")</f>
        <v>0</v>
      </c>
      <c r="L842">
        <f>COUNTIF('Metrics - Articles'!F841,"*GCO – Customer Engagement &amp; Commerce (CRM &amp; hybris) *")</f>
        <v>0</v>
      </c>
      <c r="M842">
        <f>COUNTIF('Metrics - Articles'!F841,"*GCO – HR (SuccessFactors)*")</f>
        <v>0</v>
      </c>
      <c r="N842">
        <f>COUNTIF('Metrics - Articles'!F841,"*GCO – Services Sales*")</f>
        <v>0</v>
      </c>
      <c r="O842">
        <f>COUNTIF('Metrics - Articles'!F841,"*GCO – Other*")</f>
        <v>0</v>
      </c>
      <c r="P842">
        <f>COUNTIF('Metrics - Articles'!F841,"*Corporate*")</f>
        <v>0</v>
      </c>
      <c r="R842" s="53">
        <f t="shared" ref="R842:R905" si="15">SUM(C842:Q842)</f>
        <v>0</v>
      </c>
    </row>
    <row r="843" spans="2:18" x14ac:dyDescent="0.25">
      <c r="B843" s="48">
        <f>+'Metrics - Articles'!C842</f>
        <v>0</v>
      </c>
      <c r="C843">
        <f>COUNTIF('Metrics - Articles'!F842,"*GPO (Partner, Ecosystem, Channels)*")</f>
        <v>0</v>
      </c>
      <c r="D843">
        <f>COUNTIF('Metrics - Articles'!F842,"*Office of the CEO*")</f>
        <v>0</v>
      </c>
      <c r="E843">
        <f>COUNTIF('Metrics - Articles'!F842,"*Services Delivery &amp; Support (go-lives and deployments) *")</f>
        <v>0</v>
      </c>
      <c r="F843">
        <f>COUNTIF('Metrics - Articles'!F842,"*Human Resources (SAP HR and employee stories)*")</f>
        <v>0</v>
      </c>
      <c r="G843">
        <f>COUNTIF('Metrics - Articles'!F842,"*P&amp;I (Research &amp; Development)*")</f>
        <v>0</v>
      </c>
      <c r="H843">
        <f>COUNTIF('Metrics - Articles'!F842,"*Business Network (Concur, Ariba, Fieldglass)*")</f>
        <v>0</v>
      </c>
      <c r="I843">
        <f>COUNTIF('Metrics - Articles'!F842,"*GCO – Regions*")</f>
        <v>0</v>
      </c>
      <c r="J843">
        <f>COUNTIF('Metrics - Articles'!F842,"*GCO – Platform Solutions*")</f>
        <v>0</v>
      </c>
      <c r="K843">
        <f>COUNTIF('Metrics - Articles'!F842,"*GCO – Industry Cloud *")</f>
        <v>0</v>
      </c>
      <c r="L843">
        <f>COUNTIF('Metrics - Articles'!F842,"*GCO – Customer Engagement &amp; Commerce (CRM &amp; hybris) *")</f>
        <v>0</v>
      </c>
      <c r="M843">
        <f>COUNTIF('Metrics - Articles'!F842,"*GCO – HR (SuccessFactors)*")</f>
        <v>0</v>
      </c>
      <c r="N843">
        <f>COUNTIF('Metrics - Articles'!F842,"*GCO – Services Sales*")</f>
        <v>0</v>
      </c>
      <c r="O843">
        <f>COUNTIF('Metrics - Articles'!F842,"*GCO – Other*")</f>
        <v>0</v>
      </c>
      <c r="P843">
        <f>COUNTIF('Metrics - Articles'!F842,"*Corporate*")</f>
        <v>0</v>
      </c>
      <c r="R843" s="53">
        <f t="shared" si="15"/>
        <v>0</v>
      </c>
    </row>
    <row r="844" spans="2:18" x14ac:dyDescent="0.25">
      <c r="B844" s="48">
        <f>+'Metrics - Articles'!C843</f>
        <v>0</v>
      </c>
      <c r="C844">
        <f>COUNTIF('Metrics - Articles'!F843,"*GPO (Partner, Ecosystem, Channels)*")</f>
        <v>0</v>
      </c>
      <c r="D844">
        <f>COUNTIF('Metrics - Articles'!F843,"*Office of the CEO*")</f>
        <v>0</v>
      </c>
      <c r="E844">
        <f>COUNTIF('Metrics - Articles'!F843,"*Services Delivery &amp; Support (go-lives and deployments) *")</f>
        <v>0</v>
      </c>
      <c r="F844">
        <f>COUNTIF('Metrics - Articles'!F843,"*Human Resources (SAP HR and employee stories)*")</f>
        <v>0</v>
      </c>
      <c r="G844">
        <f>COUNTIF('Metrics - Articles'!F843,"*P&amp;I (Research &amp; Development)*")</f>
        <v>0</v>
      </c>
      <c r="H844">
        <f>COUNTIF('Metrics - Articles'!F843,"*Business Network (Concur, Ariba, Fieldglass)*")</f>
        <v>0</v>
      </c>
      <c r="I844">
        <f>COUNTIF('Metrics - Articles'!F843,"*GCO – Regions*")</f>
        <v>0</v>
      </c>
      <c r="J844">
        <f>COUNTIF('Metrics - Articles'!F843,"*GCO – Platform Solutions*")</f>
        <v>0</v>
      </c>
      <c r="K844">
        <f>COUNTIF('Metrics - Articles'!F843,"*GCO – Industry Cloud *")</f>
        <v>0</v>
      </c>
      <c r="L844">
        <f>COUNTIF('Metrics - Articles'!F843,"*GCO – Customer Engagement &amp; Commerce (CRM &amp; hybris) *")</f>
        <v>0</v>
      </c>
      <c r="M844">
        <f>COUNTIF('Metrics - Articles'!F843,"*GCO – HR (SuccessFactors)*")</f>
        <v>0</v>
      </c>
      <c r="N844">
        <f>COUNTIF('Metrics - Articles'!F843,"*GCO – Services Sales*")</f>
        <v>0</v>
      </c>
      <c r="O844">
        <f>COUNTIF('Metrics - Articles'!F843,"*GCO – Other*")</f>
        <v>0</v>
      </c>
      <c r="P844">
        <f>COUNTIF('Metrics - Articles'!F843,"*Corporate*")</f>
        <v>0</v>
      </c>
      <c r="R844" s="53">
        <f t="shared" si="15"/>
        <v>0</v>
      </c>
    </row>
    <row r="845" spans="2:18" x14ac:dyDescent="0.25">
      <c r="B845" s="48">
        <f>+'Metrics - Articles'!C844</f>
        <v>0</v>
      </c>
      <c r="C845">
        <f>COUNTIF('Metrics - Articles'!F844,"*GPO (Partner, Ecosystem, Channels)*")</f>
        <v>0</v>
      </c>
      <c r="D845">
        <f>COUNTIF('Metrics - Articles'!F844,"*Office of the CEO*")</f>
        <v>0</v>
      </c>
      <c r="E845">
        <f>COUNTIF('Metrics - Articles'!F844,"*Services Delivery &amp; Support (go-lives and deployments) *")</f>
        <v>0</v>
      </c>
      <c r="F845">
        <f>COUNTIF('Metrics - Articles'!F844,"*Human Resources (SAP HR and employee stories)*")</f>
        <v>0</v>
      </c>
      <c r="G845">
        <f>COUNTIF('Metrics - Articles'!F844,"*P&amp;I (Research &amp; Development)*")</f>
        <v>0</v>
      </c>
      <c r="H845">
        <f>COUNTIF('Metrics - Articles'!F844,"*Business Network (Concur, Ariba, Fieldglass)*")</f>
        <v>0</v>
      </c>
      <c r="I845">
        <f>COUNTIF('Metrics - Articles'!F844,"*GCO – Regions*")</f>
        <v>0</v>
      </c>
      <c r="J845">
        <f>COUNTIF('Metrics - Articles'!F844,"*GCO – Platform Solutions*")</f>
        <v>0</v>
      </c>
      <c r="K845">
        <f>COUNTIF('Metrics - Articles'!F844,"*GCO – Industry Cloud *")</f>
        <v>0</v>
      </c>
      <c r="L845">
        <f>COUNTIF('Metrics - Articles'!F844,"*GCO – Customer Engagement &amp; Commerce (CRM &amp; hybris) *")</f>
        <v>0</v>
      </c>
      <c r="M845">
        <f>COUNTIF('Metrics - Articles'!F844,"*GCO – HR (SuccessFactors)*")</f>
        <v>0</v>
      </c>
      <c r="N845">
        <f>COUNTIF('Metrics - Articles'!F844,"*GCO – Services Sales*")</f>
        <v>0</v>
      </c>
      <c r="O845">
        <f>COUNTIF('Metrics - Articles'!F844,"*GCO – Other*")</f>
        <v>0</v>
      </c>
      <c r="P845">
        <f>COUNTIF('Metrics - Articles'!F844,"*Corporate*")</f>
        <v>0</v>
      </c>
      <c r="R845" s="53">
        <f t="shared" si="15"/>
        <v>0</v>
      </c>
    </row>
    <row r="846" spans="2:18" x14ac:dyDescent="0.25">
      <c r="B846" s="48">
        <f>+'Metrics - Articles'!C845</f>
        <v>0</v>
      </c>
      <c r="C846">
        <f>COUNTIF('Metrics - Articles'!F845,"*GPO (Partner, Ecosystem, Channels)*")</f>
        <v>0</v>
      </c>
      <c r="D846">
        <f>COUNTIF('Metrics - Articles'!F845,"*Office of the CEO*")</f>
        <v>0</v>
      </c>
      <c r="E846">
        <f>COUNTIF('Metrics - Articles'!F845,"*Services Delivery &amp; Support (go-lives and deployments) *")</f>
        <v>0</v>
      </c>
      <c r="F846">
        <f>COUNTIF('Metrics - Articles'!F845,"*Human Resources (SAP HR and employee stories)*")</f>
        <v>0</v>
      </c>
      <c r="G846">
        <f>COUNTIF('Metrics - Articles'!F845,"*P&amp;I (Research &amp; Development)*")</f>
        <v>0</v>
      </c>
      <c r="H846">
        <f>COUNTIF('Metrics - Articles'!F845,"*Business Network (Concur, Ariba, Fieldglass)*")</f>
        <v>0</v>
      </c>
      <c r="I846">
        <f>COUNTIF('Metrics - Articles'!F845,"*GCO – Regions*")</f>
        <v>0</v>
      </c>
      <c r="J846">
        <f>COUNTIF('Metrics - Articles'!F845,"*GCO – Platform Solutions*")</f>
        <v>0</v>
      </c>
      <c r="K846">
        <f>COUNTIF('Metrics - Articles'!F845,"*GCO – Industry Cloud *")</f>
        <v>0</v>
      </c>
      <c r="L846">
        <f>COUNTIF('Metrics - Articles'!F845,"*GCO – Customer Engagement &amp; Commerce (CRM &amp; hybris) *")</f>
        <v>0</v>
      </c>
      <c r="M846">
        <f>COUNTIF('Metrics - Articles'!F845,"*GCO – HR (SuccessFactors)*")</f>
        <v>0</v>
      </c>
      <c r="N846">
        <f>COUNTIF('Metrics - Articles'!F845,"*GCO – Services Sales*")</f>
        <v>0</v>
      </c>
      <c r="O846">
        <f>COUNTIF('Metrics - Articles'!F845,"*GCO – Other*")</f>
        <v>0</v>
      </c>
      <c r="P846">
        <f>COUNTIF('Metrics - Articles'!F845,"*Corporate*")</f>
        <v>0</v>
      </c>
      <c r="R846" s="53">
        <f t="shared" si="15"/>
        <v>0</v>
      </c>
    </row>
    <row r="847" spans="2:18" x14ac:dyDescent="0.25">
      <c r="B847" s="48">
        <f>+'Metrics - Articles'!C846</f>
        <v>0</v>
      </c>
      <c r="C847">
        <f>COUNTIF('Metrics - Articles'!F846,"*GPO (Partner, Ecosystem, Channels)*")</f>
        <v>0</v>
      </c>
      <c r="D847">
        <f>COUNTIF('Metrics - Articles'!F846,"*Office of the CEO*")</f>
        <v>0</v>
      </c>
      <c r="E847">
        <f>COUNTIF('Metrics - Articles'!F846,"*Services Delivery &amp; Support (go-lives and deployments) *")</f>
        <v>0</v>
      </c>
      <c r="F847">
        <f>COUNTIF('Metrics - Articles'!F846,"*Human Resources (SAP HR and employee stories)*")</f>
        <v>0</v>
      </c>
      <c r="G847">
        <f>COUNTIF('Metrics - Articles'!F846,"*P&amp;I (Research &amp; Development)*")</f>
        <v>0</v>
      </c>
      <c r="H847">
        <f>COUNTIF('Metrics - Articles'!F846,"*Business Network (Concur, Ariba, Fieldglass)*")</f>
        <v>0</v>
      </c>
      <c r="I847">
        <f>COUNTIF('Metrics - Articles'!F846,"*GCO – Regions*")</f>
        <v>0</v>
      </c>
      <c r="J847">
        <f>COUNTIF('Metrics - Articles'!F846,"*GCO – Platform Solutions*")</f>
        <v>0</v>
      </c>
      <c r="K847">
        <f>COUNTIF('Metrics - Articles'!F846,"*GCO – Industry Cloud *")</f>
        <v>0</v>
      </c>
      <c r="L847">
        <f>COUNTIF('Metrics - Articles'!F846,"*GCO – Customer Engagement &amp; Commerce (CRM &amp; hybris) *")</f>
        <v>0</v>
      </c>
      <c r="M847">
        <f>COUNTIF('Metrics - Articles'!F846,"*GCO – HR (SuccessFactors)*")</f>
        <v>0</v>
      </c>
      <c r="N847">
        <f>COUNTIF('Metrics - Articles'!F846,"*GCO – Services Sales*")</f>
        <v>0</v>
      </c>
      <c r="O847">
        <f>COUNTIF('Metrics - Articles'!F846,"*GCO – Other*")</f>
        <v>0</v>
      </c>
      <c r="P847">
        <f>COUNTIF('Metrics - Articles'!F846,"*Corporate*")</f>
        <v>0</v>
      </c>
      <c r="R847" s="53">
        <f t="shared" si="15"/>
        <v>0</v>
      </c>
    </row>
    <row r="848" spans="2:18" x14ac:dyDescent="0.25">
      <c r="B848" s="48">
        <f>+'Metrics - Articles'!C847</f>
        <v>0</v>
      </c>
      <c r="C848">
        <f>COUNTIF('Metrics - Articles'!F847,"*GPO (Partner, Ecosystem, Channels)*")</f>
        <v>0</v>
      </c>
      <c r="D848">
        <f>COUNTIF('Metrics - Articles'!F847,"*Office of the CEO*")</f>
        <v>0</v>
      </c>
      <c r="E848">
        <f>COUNTIF('Metrics - Articles'!F847,"*Services Delivery &amp; Support (go-lives and deployments) *")</f>
        <v>0</v>
      </c>
      <c r="F848">
        <f>COUNTIF('Metrics - Articles'!F847,"*Human Resources (SAP HR and employee stories)*")</f>
        <v>0</v>
      </c>
      <c r="G848">
        <f>COUNTIF('Metrics - Articles'!F847,"*P&amp;I (Research &amp; Development)*")</f>
        <v>0</v>
      </c>
      <c r="H848">
        <f>COUNTIF('Metrics - Articles'!F847,"*Business Network (Concur, Ariba, Fieldglass)*")</f>
        <v>0</v>
      </c>
      <c r="I848">
        <f>COUNTIF('Metrics - Articles'!F847,"*GCO – Regions*")</f>
        <v>0</v>
      </c>
      <c r="J848">
        <f>COUNTIF('Metrics - Articles'!F847,"*GCO – Platform Solutions*")</f>
        <v>0</v>
      </c>
      <c r="K848">
        <f>COUNTIF('Metrics - Articles'!F847,"*GCO – Industry Cloud *")</f>
        <v>0</v>
      </c>
      <c r="L848">
        <f>COUNTIF('Metrics - Articles'!F847,"*GCO – Customer Engagement &amp; Commerce (CRM &amp; hybris) *")</f>
        <v>0</v>
      </c>
      <c r="M848">
        <f>COUNTIF('Metrics - Articles'!F847,"*GCO – HR (SuccessFactors)*")</f>
        <v>0</v>
      </c>
      <c r="N848">
        <f>COUNTIF('Metrics - Articles'!F847,"*GCO – Services Sales*")</f>
        <v>0</v>
      </c>
      <c r="O848">
        <f>COUNTIF('Metrics - Articles'!F847,"*GCO – Other*")</f>
        <v>0</v>
      </c>
      <c r="P848">
        <f>COUNTIF('Metrics - Articles'!F847,"*Corporate*")</f>
        <v>0</v>
      </c>
      <c r="R848" s="53">
        <f t="shared" si="15"/>
        <v>0</v>
      </c>
    </row>
    <row r="849" spans="2:18" x14ac:dyDescent="0.25">
      <c r="B849" s="48">
        <f>+'Metrics - Articles'!C848</f>
        <v>0</v>
      </c>
      <c r="C849">
        <f>COUNTIF('Metrics - Articles'!F848,"*GPO (Partner, Ecosystem, Channels)*")</f>
        <v>0</v>
      </c>
      <c r="D849">
        <f>COUNTIF('Metrics - Articles'!F848,"*Office of the CEO*")</f>
        <v>0</v>
      </c>
      <c r="E849">
        <f>COUNTIF('Metrics - Articles'!F848,"*Services Delivery &amp; Support (go-lives and deployments) *")</f>
        <v>0</v>
      </c>
      <c r="F849">
        <f>COUNTIF('Metrics - Articles'!F848,"*Human Resources (SAP HR and employee stories)*")</f>
        <v>0</v>
      </c>
      <c r="G849">
        <f>COUNTIF('Metrics - Articles'!F848,"*P&amp;I (Research &amp; Development)*")</f>
        <v>0</v>
      </c>
      <c r="H849">
        <f>COUNTIF('Metrics - Articles'!F848,"*Business Network (Concur, Ariba, Fieldglass)*")</f>
        <v>0</v>
      </c>
      <c r="I849">
        <f>COUNTIF('Metrics - Articles'!F848,"*GCO – Regions*")</f>
        <v>0</v>
      </c>
      <c r="J849">
        <f>COUNTIF('Metrics - Articles'!F848,"*GCO – Platform Solutions*")</f>
        <v>0</v>
      </c>
      <c r="K849">
        <f>COUNTIF('Metrics - Articles'!F848,"*GCO – Industry Cloud *")</f>
        <v>0</v>
      </c>
      <c r="L849">
        <f>COUNTIF('Metrics - Articles'!F848,"*GCO – Customer Engagement &amp; Commerce (CRM &amp; hybris) *")</f>
        <v>0</v>
      </c>
      <c r="M849">
        <f>COUNTIF('Metrics - Articles'!F848,"*GCO – HR (SuccessFactors)*")</f>
        <v>0</v>
      </c>
      <c r="N849">
        <f>COUNTIF('Metrics - Articles'!F848,"*GCO – Services Sales*")</f>
        <v>0</v>
      </c>
      <c r="O849">
        <f>COUNTIF('Metrics - Articles'!F848,"*GCO – Other*")</f>
        <v>0</v>
      </c>
      <c r="P849">
        <f>COUNTIF('Metrics - Articles'!F848,"*Corporate*")</f>
        <v>0</v>
      </c>
      <c r="R849" s="53">
        <f t="shared" si="15"/>
        <v>0</v>
      </c>
    </row>
    <row r="850" spans="2:18" x14ac:dyDescent="0.25">
      <c r="B850" s="48">
        <f>+'Metrics - Articles'!C849</f>
        <v>0</v>
      </c>
      <c r="C850">
        <f>COUNTIF('Metrics - Articles'!F849,"*GPO (Partner, Ecosystem, Channels)*")</f>
        <v>0</v>
      </c>
      <c r="D850">
        <f>COUNTIF('Metrics - Articles'!F849,"*Office of the CEO*")</f>
        <v>0</v>
      </c>
      <c r="E850">
        <f>COUNTIF('Metrics - Articles'!F849,"*Services Delivery &amp; Support (go-lives and deployments) *")</f>
        <v>0</v>
      </c>
      <c r="F850">
        <f>COUNTIF('Metrics - Articles'!F849,"*Human Resources (SAP HR and employee stories)*")</f>
        <v>0</v>
      </c>
      <c r="G850">
        <f>COUNTIF('Metrics - Articles'!F849,"*P&amp;I (Research &amp; Development)*")</f>
        <v>0</v>
      </c>
      <c r="H850">
        <f>COUNTIF('Metrics - Articles'!F849,"*Business Network (Concur, Ariba, Fieldglass)*")</f>
        <v>0</v>
      </c>
      <c r="I850">
        <f>COUNTIF('Metrics - Articles'!F849,"*GCO – Regions*")</f>
        <v>0</v>
      </c>
      <c r="J850">
        <f>COUNTIF('Metrics - Articles'!F849,"*GCO – Platform Solutions*")</f>
        <v>0</v>
      </c>
      <c r="K850">
        <f>COUNTIF('Metrics - Articles'!F849,"*GCO – Industry Cloud *")</f>
        <v>0</v>
      </c>
      <c r="L850">
        <f>COUNTIF('Metrics - Articles'!F849,"*GCO – Customer Engagement &amp; Commerce (CRM &amp; hybris) *")</f>
        <v>0</v>
      </c>
      <c r="M850">
        <f>COUNTIF('Metrics - Articles'!F849,"*GCO – HR (SuccessFactors)*")</f>
        <v>0</v>
      </c>
      <c r="N850">
        <f>COUNTIF('Metrics - Articles'!F849,"*GCO – Services Sales*")</f>
        <v>0</v>
      </c>
      <c r="O850">
        <f>COUNTIF('Metrics - Articles'!F849,"*GCO – Other*")</f>
        <v>0</v>
      </c>
      <c r="P850">
        <f>COUNTIF('Metrics - Articles'!F849,"*Corporate*")</f>
        <v>0</v>
      </c>
      <c r="R850" s="53">
        <f t="shared" si="15"/>
        <v>0</v>
      </c>
    </row>
    <row r="851" spans="2:18" x14ac:dyDescent="0.25">
      <c r="B851" s="48">
        <f>+'Metrics - Articles'!C850</f>
        <v>0</v>
      </c>
      <c r="C851">
        <f>COUNTIF('Metrics - Articles'!F850,"*GPO (Partner, Ecosystem, Channels)*")</f>
        <v>0</v>
      </c>
      <c r="D851">
        <f>COUNTIF('Metrics - Articles'!F850,"*Office of the CEO*")</f>
        <v>0</v>
      </c>
      <c r="E851">
        <f>COUNTIF('Metrics - Articles'!F850,"*Services Delivery &amp; Support (go-lives and deployments) *")</f>
        <v>0</v>
      </c>
      <c r="F851">
        <f>COUNTIF('Metrics - Articles'!F850,"*Human Resources (SAP HR and employee stories)*")</f>
        <v>0</v>
      </c>
      <c r="G851">
        <f>COUNTIF('Metrics - Articles'!F850,"*P&amp;I (Research &amp; Development)*")</f>
        <v>0</v>
      </c>
      <c r="H851">
        <f>COUNTIF('Metrics - Articles'!F850,"*Business Network (Concur, Ariba, Fieldglass)*")</f>
        <v>0</v>
      </c>
      <c r="I851">
        <f>COUNTIF('Metrics - Articles'!F850,"*GCO – Regions*")</f>
        <v>0</v>
      </c>
      <c r="J851">
        <f>COUNTIF('Metrics - Articles'!F850,"*GCO – Platform Solutions*")</f>
        <v>0</v>
      </c>
      <c r="K851">
        <f>COUNTIF('Metrics - Articles'!F850,"*GCO – Industry Cloud *")</f>
        <v>0</v>
      </c>
      <c r="L851">
        <f>COUNTIF('Metrics - Articles'!F850,"*GCO – Customer Engagement &amp; Commerce (CRM &amp; hybris) *")</f>
        <v>0</v>
      </c>
      <c r="M851">
        <f>COUNTIF('Metrics - Articles'!F850,"*GCO – HR (SuccessFactors)*")</f>
        <v>0</v>
      </c>
      <c r="N851">
        <f>COUNTIF('Metrics - Articles'!F850,"*GCO – Services Sales*")</f>
        <v>0</v>
      </c>
      <c r="O851">
        <f>COUNTIF('Metrics - Articles'!F850,"*GCO – Other*")</f>
        <v>0</v>
      </c>
      <c r="P851">
        <f>COUNTIF('Metrics - Articles'!F850,"*Corporate*")</f>
        <v>0</v>
      </c>
      <c r="R851" s="53">
        <f t="shared" si="15"/>
        <v>0</v>
      </c>
    </row>
    <row r="852" spans="2:18" x14ac:dyDescent="0.25">
      <c r="B852" s="48">
        <f>+'Metrics - Articles'!C851</f>
        <v>0</v>
      </c>
      <c r="C852">
        <f>COUNTIF('Metrics - Articles'!F851,"*GPO (Partner, Ecosystem, Channels)*")</f>
        <v>0</v>
      </c>
      <c r="D852">
        <f>COUNTIF('Metrics - Articles'!F851,"*Office of the CEO*")</f>
        <v>0</v>
      </c>
      <c r="E852">
        <f>COUNTIF('Metrics - Articles'!F851,"*Services Delivery &amp; Support (go-lives and deployments) *")</f>
        <v>0</v>
      </c>
      <c r="F852">
        <f>COUNTIF('Metrics - Articles'!F851,"*Human Resources (SAP HR and employee stories)*")</f>
        <v>0</v>
      </c>
      <c r="G852">
        <f>COUNTIF('Metrics - Articles'!F851,"*P&amp;I (Research &amp; Development)*")</f>
        <v>0</v>
      </c>
      <c r="H852">
        <f>COUNTIF('Metrics - Articles'!F851,"*Business Network (Concur, Ariba, Fieldglass)*")</f>
        <v>0</v>
      </c>
      <c r="I852">
        <f>COUNTIF('Metrics - Articles'!F851,"*GCO – Regions*")</f>
        <v>0</v>
      </c>
      <c r="J852">
        <f>COUNTIF('Metrics - Articles'!F851,"*GCO – Platform Solutions*")</f>
        <v>0</v>
      </c>
      <c r="K852">
        <f>COUNTIF('Metrics - Articles'!F851,"*GCO – Industry Cloud *")</f>
        <v>0</v>
      </c>
      <c r="L852">
        <f>COUNTIF('Metrics - Articles'!F851,"*GCO – Customer Engagement &amp; Commerce (CRM &amp; hybris) *")</f>
        <v>0</v>
      </c>
      <c r="M852">
        <f>COUNTIF('Metrics - Articles'!F851,"*GCO – HR (SuccessFactors)*")</f>
        <v>0</v>
      </c>
      <c r="N852">
        <f>COUNTIF('Metrics - Articles'!F851,"*GCO – Services Sales*")</f>
        <v>0</v>
      </c>
      <c r="O852">
        <f>COUNTIF('Metrics - Articles'!F851,"*GCO – Other*")</f>
        <v>0</v>
      </c>
      <c r="P852">
        <f>COUNTIF('Metrics - Articles'!F851,"*Corporate*")</f>
        <v>0</v>
      </c>
      <c r="R852" s="53">
        <f t="shared" si="15"/>
        <v>0</v>
      </c>
    </row>
    <row r="853" spans="2:18" x14ac:dyDescent="0.25">
      <c r="B853" s="48">
        <f>+'Metrics - Articles'!C852</f>
        <v>0</v>
      </c>
      <c r="C853">
        <f>COUNTIF('Metrics - Articles'!F852,"*GPO (Partner, Ecosystem, Channels)*")</f>
        <v>0</v>
      </c>
      <c r="D853">
        <f>COUNTIF('Metrics - Articles'!F852,"*Office of the CEO*")</f>
        <v>0</v>
      </c>
      <c r="E853">
        <f>COUNTIF('Metrics - Articles'!F852,"*Services Delivery &amp; Support (go-lives and deployments) *")</f>
        <v>0</v>
      </c>
      <c r="F853">
        <f>COUNTIF('Metrics - Articles'!F852,"*Human Resources (SAP HR and employee stories)*")</f>
        <v>0</v>
      </c>
      <c r="G853">
        <f>COUNTIF('Metrics - Articles'!F852,"*P&amp;I (Research &amp; Development)*")</f>
        <v>0</v>
      </c>
      <c r="H853">
        <f>COUNTIF('Metrics - Articles'!F852,"*Business Network (Concur, Ariba, Fieldglass)*")</f>
        <v>0</v>
      </c>
      <c r="I853">
        <f>COUNTIF('Metrics - Articles'!F852,"*GCO – Regions*")</f>
        <v>0</v>
      </c>
      <c r="J853">
        <f>COUNTIF('Metrics - Articles'!F852,"*GCO – Platform Solutions*")</f>
        <v>0</v>
      </c>
      <c r="K853">
        <f>COUNTIF('Metrics - Articles'!F852,"*GCO – Industry Cloud *")</f>
        <v>0</v>
      </c>
      <c r="L853">
        <f>COUNTIF('Metrics - Articles'!F852,"*GCO – Customer Engagement &amp; Commerce (CRM &amp; hybris) *")</f>
        <v>0</v>
      </c>
      <c r="M853">
        <f>COUNTIF('Metrics - Articles'!F852,"*GCO – HR (SuccessFactors)*")</f>
        <v>0</v>
      </c>
      <c r="N853">
        <f>COUNTIF('Metrics - Articles'!F852,"*GCO – Services Sales*")</f>
        <v>0</v>
      </c>
      <c r="O853">
        <f>COUNTIF('Metrics - Articles'!F852,"*GCO – Other*")</f>
        <v>0</v>
      </c>
      <c r="P853">
        <f>COUNTIF('Metrics - Articles'!F852,"*Corporate*")</f>
        <v>0</v>
      </c>
      <c r="R853" s="53">
        <f t="shared" si="15"/>
        <v>0</v>
      </c>
    </row>
    <row r="854" spans="2:18" x14ac:dyDescent="0.25">
      <c r="B854" s="48">
        <f>+'Metrics - Articles'!C853</f>
        <v>0</v>
      </c>
      <c r="C854">
        <f>COUNTIF('Metrics - Articles'!F853,"*GPO (Partner, Ecosystem, Channels)*")</f>
        <v>0</v>
      </c>
      <c r="D854">
        <f>COUNTIF('Metrics - Articles'!F853,"*Office of the CEO*")</f>
        <v>0</v>
      </c>
      <c r="E854">
        <f>COUNTIF('Metrics - Articles'!F853,"*Services Delivery &amp; Support (go-lives and deployments) *")</f>
        <v>0</v>
      </c>
      <c r="F854">
        <f>COUNTIF('Metrics - Articles'!F853,"*Human Resources (SAP HR and employee stories)*")</f>
        <v>0</v>
      </c>
      <c r="G854">
        <f>COUNTIF('Metrics - Articles'!F853,"*P&amp;I (Research &amp; Development)*")</f>
        <v>0</v>
      </c>
      <c r="H854">
        <f>COUNTIF('Metrics - Articles'!F853,"*Business Network (Concur, Ariba, Fieldglass)*")</f>
        <v>0</v>
      </c>
      <c r="I854">
        <f>COUNTIF('Metrics - Articles'!F853,"*GCO – Regions*")</f>
        <v>0</v>
      </c>
      <c r="J854">
        <f>COUNTIF('Metrics - Articles'!F853,"*GCO – Platform Solutions*")</f>
        <v>0</v>
      </c>
      <c r="K854">
        <f>COUNTIF('Metrics - Articles'!F853,"*GCO – Industry Cloud *")</f>
        <v>0</v>
      </c>
      <c r="L854">
        <f>COUNTIF('Metrics - Articles'!F853,"*GCO – Customer Engagement &amp; Commerce (CRM &amp; hybris) *")</f>
        <v>0</v>
      </c>
      <c r="M854">
        <f>COUNTIF('Metrics - Articles'!F853,"*GCO – HR (SuccessFactors)*")</f>
        <v>0</v>
      </c>
      <c r="N854">
        <f>COUNTIF('Metrics - Articles'!F853,"*GCO – Services Sales*")</f>
        <v>0</v>
      </c>
      <c r="O854">
        <f>COUNTIF('Metrics - Articles'!F853,"*GCO – Other*")</f>
        <v>0</v>
      </c>
      <c r="P854">
        <f>COUNTIF('Metrics - Articles'!F853,"*Corporate*")</f>
        <v>0</v>
      </c>
      <c r="R854" s="53">
        <f t="shared" si="15"/>
        <v>0</v>
      </c>
    </row>
    <row r="855" spans="2:18" x14ac:dyDescent="0.25">
      <c r="B855" s="48">
        <f>+'Metrics - Articles'!C854</f>
        <v>0</v>
      </c>
      <c r="C855">
        <f>COUNTIF('Metrics - Articles'!F854,"*GPO (Partner, Ecosystem, Channels)*")</f>
        <v>0</v>
      </c>
      <c r="D855">
        <f>COUNTIF('Metrics - Articles'!F854,"*Office of the CEO*")</f>
        <v>0</v>
      </c>
      <c r="E855">
        <f>COUNTIF('Metrics - Articles'!F854,"*Services Delivery &amp; Support (go-lives and deployments) *")</f>
        <v>0</v>
      </c>
      <c r="F855">
        <f>COUNTIF('Metrics - Articles'!F854,"*Human Resources (SAP HR and employee stories)*")</f>
        <v>0</v>
      </c>
      <c r="G855">
        <f>COUNTIF('Metrics - Articles'!F854,"*P&amp;I (Research &amp; Development)*")</f>
        <v>0</v>
      </c>
      <c r="H855">
        <f>COUNTIF('Metrics - Articles'!F854,"*Business Network (Concur, Ariba, Fieldglass)*")</f>
        <v>0</v>
      </c>
      <c r="I855">
        <f>COUNTIF('Metrics - Articles'!F854,"*GCO – Regions*")</f>
        <v>0</v>
      </c>
      <c r="J855">
        <f>COUNTIF('Metrics - Articles'!F854,"*GCO – Platform Solutions*")</f>
        <v>0</v>
      </c>
      <c r="K855">
        <f>COUNTIF('Metrics - Articles'!F854,"*GCO – Industry Cloud *")</f>
        <v>0</v>
      </c>
      <c r="L855">
        <f>COUNTIF('Metrics - Articles'!F854,"*GCO – Customer Engagement &amp; Commerce (CRM &amp; hybris) *")</f>
        <v>0</v>
      </c>
      <c r="M855">
        <f>COUNTIF('Metrics - Articles'!F854,"*GCO – HR (SuccessFactors)*")</f>
        <v>0</v>
      </c>
      <c r="N855">
        <f>COUNTIF('Metrics - Articles'!F854,"*GCO – Services Sales*")</f>
        <v>0</v>
      </c>
      <c r="O855">
        <f>COUNTIF('Metrics - Articles'!F854,"*GCO – Other*")</f>
        <v>0</v>
      </c>
      <c r="P855">
        <f>COUNTIF('Metrics - Articles'!F854,"*Corporate*")</f>
        <v>0</v>
      </c>
      <c r="R855" s="53">
        <f t="shared" si="15"/>
        <v>0</v>
      </c>
    </row>
    <row r="856" spans="2:18" x14ac:dyDescent="0.25">
      <c r="B856" s="48">
        <f>+'Metrics - Articles'!C855</f>
        <v>0</v>
      </c>
      <c r="C856">
        <f>COUNTIF('Metrics - Articles'!F855,"*GPO (Partner, Ecosystem, Channels)*")</f>
        <v>0</v>
      </c>
      <c r="D856">
        <f>COUNTIF('Metrics - Articles'!F855,"*Office of the CEO*")</f>
        <v>0</v>
      </c>
      <c r="E856">
        <f>COUNTIF('Metrics - Articles'!F855,"*Services Delivery &amp; Support (go-lives and deployments) *")</f>
        <v>0</v>
      </c>
      <c r="F856">
        <f>COUNTIF('Metrics - Articles'!F855,"*Human Resources (SAP HR and employee stories)*")</f>
        <v>0</v>
      </c>
      <c r="G856">
        <f>COUNTIF('Metrics - Articles'!F855,"*P&amp;I (Research &amp; Development)*")</f>
        <v>0</v>
      </c>
      <c r="H856">
        <f>COUNTIF('Metrics - Articles'!F855,"*Business Network (Concur, Ariba, Fieldglass)*")</f>
        <v>0</v>
      </c>
      <c r="I856">
        <f>COUNTIF('Metrics - Articles'!F855,"*GCO – Regions*")</f>
        <v>0</v>
      </c>
      <c r="J856">
        <f>COUNTIF('Metrics - Articles'!F855,"*GCO – Platform Solutions*")</f>
        <v>0</v>
      </c>
      <c r="K856">
        <f>COUNTIF('Metrics - Articles'!F855,"*GCO – Industry Cloud *")</f>
        <v>0</v>
      </c>
      <c r="L856">
        <f>COUNTIF('Metrics - Articles'!F855,"*GCO – Customer Engagement &amp; Commerce (CRM &amp; hybris) *")</f>
        <v>0</v>
      </c>
      <c r="M856">
        <f>COUNTIF('Metrics - Articles'!F855,"*GCO – HR (SuccessFactors)*")</f>
        <v>0</v>
      </c>
      <c r="N856">
        <f>COUNTIF('Metrics - Articles'!F855,"*GCO – Services Sales*")</f>
        <v>0</v>
      </c>
      <c r="O856">
        <f>COUNTIF('Metrics - Articles'!F855,"*GCO – Other*")</f>
        <v>0</v>
      </c>
      <c r="P856">
        <f>COUNTIF('Metrics - Articles'!F855,"*Corporate*")</f>
        <v>0</v>
      </c>
      <c r="R856" s="53">
        <f t="shared" si="15"/>
        <v>0</v>
      </c>
    </row>
    <row r="857" spans="2:18" x14ac:dyDescent="0.25">
      <c r="B857" s="48">
        <f>+'Metrics - Articles'!C856</f>
        <v>0</v>
      </c>
      <c r="C857">
        <f>COUNTIF('Metrics - Articles'!F856,"*GPO (Partner, Ecosystem, Channels)*")</f>
        <v>0</v>
      </c>
      <c r="D857">
        <f>COUNTIF('Metrics - Articles'!F856,"*Office of the CEO*")</f>
        <v>0</v>
      </c>
      <c r="E857">
        <f>COUNTIF('Metrics - Articles'!F856,"*Services Delivery &amp; Support (go-lives and deployments) *")</f>
        <v>0</v>
      </c>
      <c r="F857">
        <f>COUNTIF('Metrics - Articles'!F856,"*Human Resources (SAP HR and employee stories)*")</f>
        <v>0</v>
      </c>
      <c r="G857">
        <f>COUNTIF('Metrics - Articles'!F856,"*P&amp;I (Research &amp; Development)*")</f>
        <v>0</v>
      </c>
      <c r="H857">
        <f>COUNTIF('Metrics - Articles'!F856,"*Business Network (Concur, Ariba, Fieldglass)*")</f>
        <v>0</v>
      </c>
      <c r="I857">
        <f>COUNTIF('Metrics - Articles'!F856,"*GCO – Regions*")</f>
        <v>0</v>
      </c>
      <c r="J857">
        <f>COUNTIF('Metrics - Articles'!F856,"*GCO – Platform Solutions*")</f>
        <v>0</v>
      </c>
      <c r="K857">
        <f>COUNTIF('Metrics - Articles'!F856,"*GCO – Industry Cloud *")</f>
        <v>0</v>
      </c>
      <c r="L857">
        <f>COUNTIF('Metrics - Articles'!F856,"*GCO – Customer Engagement &amp; Commerce (CRM &amp; hybris) *")</f>
        <v>0</v>
      </c>
      <c r="M857">
        <f>COUNTIF('Metrics - Articles'!F856,"*GCO – HR (SuccessFactors)*")</f>
        <v>0</v>
      </c>
      <c r="N857">
        <f>COUNTIF('Metrics - Articles'!F856,"*GCO – Services Sales*")</f>
        <v>0</v>
      </c>
      <c r="O857">
        <f>COUNTIF('Metrics - Articles'!F856,"*GCO – Other*")</f>
        <v>0</v>
      </c>
      <c r="P857">
        <f>COUNTIF('Metrics - Articles'!F856,"*Corporate*")</f>
        <v>0</v>
      </c>
      <c r="R857" s="53">
        <f t="shared" si="15"/>
        <v>0</v>
      </c>
    </row>
    <row r="858" spans="2:18" x14ac:dyDescent="0.25">
      <c r="B858" s="48">
        <f>+'Metrics - Articles'!C857</f>
        <v>0</v>
      </c>
      <c r="C858">
        <f>COUNTIF('Metrics - Articles'!F857,"*GPO (Partner, Ecosystem, Channels)*")</f>
        <v>0</v>
      </c>
      <c r="D858">
        <f>COUNTIF('Metrics - Articles'!F857,"*Office of the CEO*")</f>
        <v>0</v>
      </c>
      <c r="E858">
        <f>COUNTIF('Metrics - Articles'!F857,"*Services Delivery &amp; Support (go-lives and deployments) *")</f>
        <v>0</v>
      </c>
      <c r="F858">
        <f>COUNTIF('Metrics - Articles'!F857,"*Human Resources (SAP HR and employee stories)*")</f>
        <v>0</v>
      </c>
      <c r="G858">
        <f>COUNTIF('Metrics - Articles'!F857,"*P&amp;I (Research &amp; Development)*")</f>
        <v>0</v>
      </c>
      <c r="H858">
        <f>COUNTIF('Metrics - Articles'!F857,"*Business Network (Concur, Ariba, Fieldglass)*")</f>
        <v>0</v>
      </c>
      <c r="I858">
        <f>COUNTIF('Metrics - Articles'!F857,"*GCO – Regions*")</f>
        <v>0</v>
      </c>
      <c r="J858">
        <f>COUNTIF('Metrics - Articles'!F857,"*GCO – Platform Solutions*")</f>
        <v>0</v>
      </c>
      <c r="K858">
        <f>COUNTIF('Metrics - Articles'!F857,"*GCO – Industry Cloud *")</f>
        <v>0</v>
      </c>
      <c r="L858">
        <f>COUNTIF('Metrics - Articles'!F857,"*GCO – Customer Engagement &amp; Commerce (CRM &amp; hybris) *")</f>
        <v>0</v>
      </c>
      <c r="M858">
        <f>COUNTIF('Metrics - Articles'!F857,"*GCO – HR (SuccessFactors)*")</f>
        <v>0</v>
      </c>
      <c r="N858">
        <f>COUNTIF('Metrics - Articles'!F857,"*GCO – Services Sales*")</f>
        <v>0</v>
      </c>
      <c r="O858">
        <f>COUNTIF('Metrics - Articles'!F857,"*GCO – Other*")</f>
        <v>0</v>
      </c>
      <c r="P858">
        <f>COUNTIF('Metrics - Articles'!F857,"*Corporate*")</f>
        <v>0</v>
      </c>
      <c r="R858" s="53">
        <f t="shared" si="15"/>
        <v>0</v>
      </c>
    </row>
    <row r="859" spans="2:18" x14ac:dyDescent="0.25">
      <c r="B859" s="48">
        <f>+'Metrics - Articles'!C858</f>
        <v>0</v>
      </c>
      <c r="C859">
        <f>COUNTIF('Metrics - Articles'!F858,"*GPO (Partner, Ecosystem, Channels)*")</f>
        <v>0</v>
      </c>
      <c r="D859">
        <f>COUNTIF('Metrics - Articles'!F858,"*Office of the CEO*")</f>
        <v>0</v>
      </c>
      <c r="E859">
        <f>COUNTIF('Metrics - Articles'!F858,"*Services Delivery &amp; Support (go-lives and deployments) *")</f>
        <v>0</v>
      </c>
      <c r="F859">
        <f>COUNTIF('Metrics - Articles'!F858,"*Human Resources (SAP HR and employee stories)*")</f>
        <v>0</v>
      </c>
      <c r="G859">
        <f>COUNTIF('Metrics - Articles'!F858,"*P&amp;I (Research &amp; Development)*")</f>
        <v>0</v>
      </c>
      <c r="H859">
        <f>COUNTIF('Metrics - Articles'!F858,"*Business Network (Concur, Ariba, Fieldglass)*")</f>
        <v>0</v>
      </c>
      <c r="I859">
        <f>COUNTIF('Metrics - Articles'!F858,"*GCO – Regions*")</f>
        <v>0</v>
      </c>
      <c r="J859">
        <f>COUNTIF('Metrics - Articles'!F858,"*GCO – Platform Solutions*")</f>
        <v>0</v>
      </c>
      <c r="K859">
        <f>COUNTIF('Metrics - Articles'!F858,"*GCO – Industry Cloud *")</f>
        <v>0</v>
      </c>
      <c r="L859">
        <f>COUNTIF('Metrics - Articles'!F858,"*GCO – Customer Engagement &amp; Commerce (CRM &amp; hybris) *")</f>
        <v>0</v>
      </c>
      <c r="M859">
        <f>COUNTIF('Metrics - Articles'!F858,"*GCO – HR (SuccessFactors)*")</f>
        <v>0</v>
      </c>
      <c r="N859">
        <f>COUNTIF('Metrics - Articles'!F858,"*GCO – Services Sales*")</f>
        <v>0</v>
      </c>
      <c r="O859">
        <f>COUNTIF('Metrics - Articles'!F858,"*GCO – Other*")</f>
        <v>0</v>
      </c>
      <c r="P859">
        <f>COUNTIF('Metrics - Articles'!F858,"*Corporate*")</f>
        <v>0</v>
      </c>
      <c r="R859" s="53">
        <f t="shared" si="15"/>
        <v>0</v>
      </c>
    </row>
    <row r="860" spans="2:18" x14ac:dyDescent="0.25">
      <c r="B860" s="48">
        <f>+'Metrics - Articles'!C859</f>
        <v>0</v>
      </c>
      <c r="C860">
        <f>COUNTIF('Metrics - Articles'!F859,"*GPO (Partner, Ecosystem, Channels)*")</f>
        <v>0</v>
      </c>
      <c r="D860">
        <f>COUNTIF('Metrics - Articles'!F859,"*Office of the CEO*")</f>
        <v>0</v>
      </c>
      <c r="E860">
        <f>COUNTIF('Metrics - Articles'!F859,"*Services Delivery &amp; Support (go-lives and deployments) *")</f>
        <v>0</v>
      </c>
      <c r="F860">
        <f>COUNTIF('Metrics - Articles'!F859,"*Human Resources (SAP HR and employee stories)*")</f>
        <v>0</v>
      </c>
      <c r="G860">
        <f>COUNTIF('Metrics - Articles'!F859,"*P&amp;I (Research &amp; Development)*")</f>
        <v>0</v>
      </c>
      <c r="H860">
        <f>COUNTIF('Metrics - Articles'!F859,"*Business Network (Concur, Ariba, Fieldglass)*")</f>
        <v>0</v>
      </c>
      <c r="I860">
        <f>COUNTIF('Metrics - Articles'!F859,"*GCO – Regions*")</f>
        <v>0</v>
      </c>
      <c r="J860">
        <f>COUNTIF('Metrics - Articles'!F859,"*GCO – Platform Solutions*")</f>
        <v>0</v>
      </c>
      <c r="K860">
        <f>COUNTIF('Metrics - Articles'!F859,"*GCO – Industry Cloud *")</f>
        <v>0</v>
      </c>
      <c r="L860">
        <f>COUNTIF('Metrics - Articles'!F859,"*GCO – Customer Engagement &amp; Commerce (CRM &amp; hybris) *")</f>
        <v>0</v>
      </c>
      <c r="M860">
        <f>COUNTIF('Metrics - Articles'!F859,"*GCO – HR (SuccessFactors)*")</f>
        <v>0</v>
      </c>
      <c r="N860">
        <f>COUNTIF('Metrics - Articles'!F859,"*GCO – Services Sales*")</f>
        <v>0</v>
      </c>
      <c r="O860">
        <f>COUNTIF('Metrics - Articles'!F859,"*GCO – Other*")</f>
        <v>0</v>
      </c>
      <c r="P860">
        <f>COUNTIF('Metrics - Articles'!F859,"*Corporate*")</f>
        <v>0</v>
      </c>
      <c r="R860" s="53">
        <f t="shared" si="15"/>
        <v>0</v>
      </c>
    </row>
    <row r="861" spans="2:18" x14ac:dyDescent="0.25">
      <c r="B861" s="48">
        <f>+'Metrics - Articles'!C860</f>
        <v>0</v>
      </c>
      <c r="C861">
        <f>COUNTIF('Metrics - Articles'!F860,"*GPO (Partner, Ecosystem, Channels)*")</f>
        <v>0</v>
      </c>
      <c r="D861">
        <f>COUNTIF('Metrics - Articles'!F860,"*Office of the CEO*")</f>
        <v>0</v>
      </c>
      <c r="E861">
        <f>COUNTIF('Metrics - Articles'!F860,"*Services Delivery &amp; Support (go-lives and deployments) *")</f>
        <v>0</v>
      </c>
      <c r="F861">
        <f>COUNTIF('Metrics - Articles'!F860,"*Human Resources (SAP HR and employee stories)*")</f>
        <v>0</v>
      </c>
      <c r="G861">
        <f>COUNTIF('Metrics - Articles'!F860,"*P&amp;I (Research &amp; Development)*")</f>
        <v>0</v>
      </c>
      <c r="H861">
        <f>COUNTIF('Metrics - Articles'!F860,"*Business Network (Concur, Ariba, Fieldglass)*")</f>
        <v>0</v>
      </c>
      <c r="I861">
        <f>COUNTIF('Metrics - Articles'!F860,"*GCO – Regions*")</f>
        <v>0</v>
      </c>
      <c r="J861">
        <f>COUNTIF('Metrics - Articles'!F860,"*GCO – Platform Solutions*")</f>
        <v>0</v>
      </c>
      <c r="K861">
        <f>COUNTIF('Metrics - Articles'!F860,"*GCO – Industry Cloud *")</f>
        <v>0</v>
      </c>
      <c r="L861">
        <f>COUNTIF('Metrics - Articles'!F860,"*GCO – Customer Engagement &amp; Commerce (CRM &amp; hybris) *")</f>
        <v>0</v>
      </c>
      <c r="M861">
        <f>COUNTIF('Metrics - Articles'!F860,"*GCO – HR (SuccessFactors)*")</f>
        <v>0</v>
      </c>
      <c r="N861">
        <f>COUNTIF('Metrics - Articles'!F860,"*GCO – Services Sales*")</f>
        <v>0</v>
      </c>
      <c r="O861">
        <f>COUNTIF('Metrics - Articles'!F860,"*GCO – Other*")</f>
        <v>0</v>
      </c>
      <c r="P861">
        <f>COUNTIF('Metrics - Articles'!F860,"*Corporate*")</f>
        <v>0</v>
      </c>
      <c r="R861" s="53">
        <f t="shared" si="15"/>
        <v>0</v>
      </c>
    </row>
    <row r="862" spans="2:18" x14ac:dyDescent="0.25">
      <c r="B862" s="48">
        <f>+'Metrics - Articles'!C861</f>
        <v>0</v>
      </c>
      <c r="C862">
        <f>COUNTIF('Metrics - Articles'!F861,"*GPO (Partner, Ecosystem, Channels)*")</f>
        <v>0</v>
      </c>
      <c r="D862">
        <f>COUNTIF('Metrics - Articles'!F861,"*Office of the CEO*")</f>
        <v>0</v>
      </c>
      <c r="E862">
        <f>COUNTIF('Metrics - Articles'!F861,"*Services Delivery &amp; Support (go-lives and deployments) *")</f>
        <v>0</v>
      </c>
      <c r="F862">
        <f>COUNTIF('Metrics - Articles'!F861,"*Human Resources (SAP HR and employee stories)*")</f>
        <v>0</v>
      </c>
      <c r="G862">
        <f>COUNTIF('Metrics - Articles'!F861,"*P&amp;I (Research &amp; Development)*")</f>
        <v>0</v>
      </c>
      <c r="H862">
        <f>COUNTIF('Metrics - Articles'!F861,"*Business Network (Concur, Ariba, Fieldglass)*")</f>
        <v>0</v>
      </c>
      <c r="I862">
        <f>COUNTIF('Metrics - Articles'!F861,"*GCO – Regions*")</f>
        <v>0</v>
      </c>
      <c r="J862">
        <f>COUNTIF('Metrics - Articles'!F861,"*GCO – Platform Solutions*")</f>
        <v>0</v>
      </c>
      <c r="K862">
        <f>COUNTIF('Metrics - Articles'!F861,"*GCO – Industry Cloud *")</f>
        <v>0</v>
      </c>
      <c r="L862">
        <f>COUNTIF('Metrics - Articles'!F861,"*GCO – Customer Engagement &amp; Commerce (CRM &amp; hybris) *")</f>
        <v>0</v>
      </c>
      <c r="M862">
        <f>COUNTIF('Metrics - Articles'!F861,"*GCO – HR (SuccessFactors)*")</f>
        <v>0</v>
      </c>
      <c r="N862">
        <f>COUNTIF('Metrics - Articles'!F861,"*GCO – Services Sales*")</f>
        <v>0</v>
      </c>
      <c r="O862">
        <f>COUNTIF('Metrics - Articles'!F861,"*GCO – Other*")</f>
        <v>0</v>
      </c>
      <c r="P862">
        <f>COUNTIF('Metrics - Articles'!F861,"*Corporate*")</f>
        <v>0</v>
      </c>
      <c r="R862" s="53">
        <f t="shared" si="15"/>
        <v>0</v>
      </c>
    </row>
    <row r="863" spans="2:18" x14ac:dyDescent="0.25">
      <c r="B863" s="48">
        <f>+'Metrics - Articles'!C862</f>
        <v>0</v>
      </c>
      <c r="C863">
        <f>COUNTIF('Metrics - Articles'!F862,"*GPO (Partner, Ecosystem, Channels)*")</f>
        <v>0</v>
      </c>
      <c r="D863">
        <f>COUNTIF('Metrics - Articles'!F862,"*Office of the CEO*")</f>
        <v>0</v>
      </c>
      <c r="E863">
        <f>COUNTIF('Metrics - Articles'!F862,"*Services Delivery &amp; Support (go-lives and deployments) *")</f>
        <v>0</v>
      </c>
      <c r="F863">
        <f>COUNTIF('Metrics - Articles'!F862,"*Human Resources (SAP HR and employee stories)*")</f>
        <v>0</v>
      </c>
      <c r="G863">
        <f>COUNTIF('Metrics - Articles'!F862,"*P&amp;I (Research &amp; Development)*")</f>
        <v>0</v>
      </c>
      <c r="H863">
        <f>COUNTIF('Metrics - Articles'!F862,"*Business Network (Concur, Ariba, Fieldglass)*")</f>
        <v>0</v>
      </c>
      <c r="I863">
        <f>COUNTIF('Metrics - Articles'!F862,"*GCO – Regions*")</f>
        <v>0</v>
      </c>
      <c r="J863">
        <f>COUNTIF('Metrics - Articles'!F862,"*GCO – Platform Solutions*")</f>
        <v>0</v>
      </c>
      <c r="K863">
        <f>COUNTIF('Metrics - Articles'!F862,"*GCO – Industry Cloud *")</f>
        <v>0</v>
      </c>
      <c r="L863">
        <f>COUNTIF('Metrics - Articles'!F862,"*GCO – Customer Engagement &amp; Commerce (CRM &amp; hybris) *")</f>
        <v>0</v>
      </c>
      <c r="M863">
        <f>COUNTIF('Metrics - Articles'!F862,"*GCO – HR (SuccessFactors)*")</f>
        <v>0</v>
      </c>
      <c r="N863">
        <f>COUNTIF('Metrics - Articles'!F862,"*GCO – Services Sales*")</f>
        <v>0</v>
      </c>
      <c r="O863">
        <f>COUNTIF('Metrics - Articles'!F862,"*GCO – Other*")</f>
        <v>0</v>
      </c>
      <c r="P863">
        <f>COUNTIF('Metrics - Articles'!F862,"*Corporate*")</f>
        <v>0</v>
      </c>
      <c r="R863" s="53">
        <f t="shared" si="15"/>
        <v>0</v>
      </c>
    </row>
    <row r="864" spans="2:18" x14ac:dyDescent="0.25">
      <c r="B864" s="48">
        <f>+'Metrics - Articles'!C863</f>
        <v>0</v>
      </c>
      <c r="C864">
        <f>COUNTIF('Metrics - Articles'!F863,"*GPO (Partner, Ecosystem, Channels)*")</f>
        <v>0</v>
      </c>
      <c r="D864">
        <f>COUNTIF('Metrics - Articles'!F863,"*Office of the CEO*")</f>
        <v>0</v>
      </c>
      <c r="E864">
        <f>COUNTIF('Metrics - Articles'!F863,"*Services Delivery &amp; Support (go-lives and deployments) *")</f>
        <v>0</v>
      </c>
      <c r="F864">
        <f>COUNTIF('Metrics - Articles'!F863,"*Human Resources (SAP HR and employee stories)*")</f>
        <v>0</v>
      </c>
      <c r="G864">
        <f>COUNTIF('Metrics - Articles'!F863,"*P&amp;I (Research &amp; Development)*")</f>
        <v>0</v>
      </c>
      <c r="H864">
        <f>COUNTIF('Metrics - Articles'!F863,"*Business Network (Concur, Ariba, Fieldglass)*")</f>
        <v>0</v>
      </c>
      <c r="I864">
        <f>COUNTIF('Metrics - Articles'!F863,"*GCO – Regions*")</f>
        <v>0</v>
      </c>
      <c r="J864">
        <f>COUNTIF('Metrics - Articles'!F863,"*GCO – Platform Solutions*")</f>
        <v>0</v>
      </c>
      <c r="K864">
        <f>COUNTIF('Metrics - Articles'!F863,"*GCO – Industry Cloud *")</f>
        <v>0</v>
      </c>
      <c r="L864">
        <f>COUNTIF('Metrics - Articles'!F863,"*GCO – Customer Engagement &amp; Commerce (CRM &amp; hybris) *")</f>
        <v>0</v>
      </c>
      <c r="M864">
        <f>COUNTIF('Metrics - Articles'!F863,"*GCO – HR (SuccessFactors)*")</f>
        <v>0</v>
      </c>
      <c r="N864">
        <f>COUNTIF('Metrics - Articles'!F863,"*GCO – Services Sales*")</f>
        <v>0</v>
      </c>
      <c r="O864">
        <f>COUNTIF('Metrics - Articles'!F863,"*GCO – Other*")</f>
        <v>0</v>
      </c>
      <c r="P864">
        <f>COUNTIF('Metrics - Articles'!F863,"*Corporate*")</f>
        <v>0</v>
      </c>
      <c r="R864" s="53">
        <f t="shared" si="15"/>
        <v>0</v>
      </c>
    </row>
    <row r="865" spans="2:18" x14ac:dyDescent="0.25">
      <c r="B865" s="48">
        <f>+'Metrics - Articles'!C864</f>
        <v>0</v>
      </c>
      <c r="C865">
        <f>COUNTIF('Metrics - Articles'!F864,"*GPO (Partner, Ecosystem, Channels)*")</f>
        <v>0</v>
      </c>
      <c r="D865">
        <f>COUNTIF('Metrics - Articles'!F864,"*Office of the CEO*")</f>
        <v>0</v>
      </c>
      <c r="E865">
        <f>COUNTIF('Metrics - Articles'!F864,"*Services Delivery &amp; Support (go-lives and deployments) *")</f>
        <v>0</v>
      </c>
      <c r="F865">
        <f>COUNTIF('Metrics - Articles'!F864,"*Human Resources (SAP HR and employee stories)*")</f>
        <v>0</v>
      </c>
      <c r="G865">
        <f>COUNTIF('Metrics - Articles'!F864,"*P&amp;I (Research &amp; Development)*")</f>
        <v>0</v>
      </c>
      <c r="H865">
        <f>COUNTIF('Metrics - Articles'!F864,"*Business Network (Concur, Ariba, Fieldglass)*")</f>
        <v>0</v>
      </c>
      <c r="I865">
        <f>COUNTIF('Metrics - Articles'!F864,"*GCO – Regions*")</f>
        <v>0</v>
      </c>
      <c r="J865">
        <f>COUNTIF('Metrics - Articles'!F864,"*GCO – Platform Solutions*")</f>
        <v>0</v>
      </c>
      <c r="K865">
        <f>COUNTIF('Metrics - Articles'!F864,"*GCO – Industry Cloud *")</f>
        <v>0</v>
      </c>
      <c r="L865">
        <f>COUNTIF('Metrics - Articles'!F864,"*GCO – Customer Engagement &amp; Commerce (CRM &amp; hybris) *")</f>
        <v>0</v>
      </c>
      <c r="M865">
        <f>COUNTIF('Metrics - Articles'!F864,"*GCO – HR (SuccessFactors)*")</f>
        <v>0</v>
      </c>
      <c r="N865">
        <f>COUNTIF('Metrics - Articles'!F864,"*GCO – Services Sales*")</f>
        <v>0</v>
      </c>
      <c r="O865">
        <f>COUNTIF('Metrics - Articles'!F864,"*GCO – Other*")</f>
        <v>0</v>
      </c>
      <c r="P865">
        <f>COUNTIF('Metrics - Articles'!F864,"*Corporate*")</f>
        <v>0</v>
      </c>
      <c r="R865" s="53">
        <f t="shared" si="15"/>
        <v>0</v>
      </c>
    </row>
    <row r="866" spans="2:18" x14ac:dyDescent="0.25">
      <c r="B866" s="48">
        <f>+'Metrics - Articles'!C865</f>
        <v>0</v>
      </c>
      <c r="C866">
        <f>COUNTIF('Metrics - Articles'!F865,"*GPO (Partner, Ecosystem, Channels)*")</f>
        <v>0</v>
      </c>
      <c r="D866">
        <f>COUNTIF('Metrics - Articles'!F865,"*Office of the CEO*")</f>
        <v>0</v>
      </c>
      <c r="E866">
        <f>COUNTIF('Metrics - Articles'!F865,"*Services Delivery &amp; Support (go-lives and deployments) *")</f>
        <v>0</v>
      </c>
      <c r="F866">
        <f>COUNTIF('Metrics - Articles'!F865,"*Human Resources (SAP HR and employee stories)*")</f>
        <v>0</v>
      </c>
      <c r="G866">
        <f>COUNTIF('Metrics - Articles'!F865,"*P&amp;I (Research &amp; Development)*")</f>
        <v>0</v>
      </c>
      <c r="H866">
        <f>COUNTIF('Metrics - Articles'!F865,"*Business Network (Concur, Ariba, Fieldglass)*")</f>
        <v>0</v>
      </c>
      <c r="I866">
        <f>COUNTIF('Metrics - Articles'!F865,"*GCO – Regions*")</f>
        <v>0</v>
      </c>
      <c r="J866">
        <f>COUNTIF('Metrics - Articles'!F865,"*GCO – Platform Solutions*")</f>
        <v>0</v>
      </c>
      <c r="K866">
        <f>COUNTIF('Metrics - Articles'!F865,"*GCO – Industry Cloud *")</f>
        <v>0</v>
      </c>
      <c r="L866">
        <f>COUNTIF('Metrics - Articles'!F865,"*GCO – Customer Engagement &amp; Commerce (CRM &amp; hybris) *")</f>
        <v>0</v>
      </c>
      <c r="M866">
        <f>COUNTIF('Metrics - Articles'!F865,"*GCO – HR (SuccessFactors)*")</f>
        <v>0</v>
      </c>
      <c r="N866">
        <f>COUNTIF('Metrics - Articles'!F865,"*GCO – Services Sales*")</f>
        <v>0</v>
      </c>
      <c r="O866">
        <f>COUNTIF('Metrics - Articles'!F865,"*GCO – Other*")</f>
        <v>0</v>
      </c>
      <c r="P866">
        <f>COUNTIF('Metrics - Articles'!F865,"*Corporate*")</f>
        <v>0</v>
      </c>
      <c r="R866" s="53">
        <f t="shared" si="15"/>
        <v>0</v>
      </c>
    </row>
    <row r="867" spans="2:18" x14ac:dyDescent="0.25">
      <c r="B867" s="48">
        <f>+'Metrics - Articles'!C866</f>
        <v>0</v>
      </c>
      <c r="C867">
        <f>COUNTIF('Metrics - Articles'!F866,"*GPO (Partner, Ecosystem, Channels)*")</f>
        <v>0</v>
      </c>
      <c r="D867">
        <f>COUNTIF('Metrics - Articles'!F866,"*Office of the CEO*")</f>
        <v>0</v>
      </c>
      <c r="E867">
        <f>COUNTIF('Metrics - Articles'!F866,"*Services Delivery &amp; Support (go-lives and deployments) *")</f>
        <v>0</v>
      </c>
      <c r="F867">
        <f>COUNTIF('Metrics - Articles'!F866,"*Human Resources (SAP HR and employee stories)*")</f>
        <v>0</v>
      </c>
      <c r="G867">
        <f>COUNTIF('Metrics - Articles'!F866,"*P&amp;I (Research &amp; Development)*")</f>
        <v>0</v>
      </c>
      <c r="H867">
        <f>COUNTIF('Metrics - Articles'!F866,"*Business Network (Concur, Ariba, Fieldglass)*")</f>
        <v>0</v>
      </c>
      <c r="I867">
        <f>COUNTIF('Metrics - Articles'!F866,"*GCO – Regions*")</f>
        <v>0</v>
      </c>
      <c r="J867">
        <f>COUNTIF('Metrics - Articles'!F866,"*GCO – Platform Solutions*")</f>
        <v>0</v>
      </c>
      <c r="K867">
        <f>COUNTIF('Metrics - Articles'!F866,"*GCO – Industry Cloud *")</f>
        <v>0</v>
      </c>
      <c r="L867">
        <f>COUNTIF('Metrics - Articles'!F866,"*GCO – Customer Engagement &amp; Commerce (CRM &amp; hybris) *")</f>
        <v>0</v>
      </c>
      <c r="M867">
        <f>COUNTIF('Metrics - Articles'!F866,"*GCO – HR (SuccessFactors)*")</f>
        <v>0</v>
      </c>
      <c r="N867">
        <f>COUNTIF('Metrics - Articles'!F866,"*GCO – Services Sales*")</f>
        <v>0</v>
      </c>
      <c r="O867">
        <f>COUNTIF('Metrics - Articles'!F866,"*GCO – Other*")</f>
        <v>0</v>
      </c>
      <c r="P867">
        <f>COUNTIF('Metrics - Articles'!F866,"*Corporate*")</f>
        <v>0</v>
      </c>
      <c r="R867" s="53">
        <f t="shared" si="15"/>
        <v>0</v>
      </c>
    </row>
    <row r="868" spans="2:18" x14ac:dyDescent="0.25">
      <c r="B868" s="48">
        <f>+'Metrics - Articles'!C867</f>
        <v>0</v>
      </c>
      <c r="C868">
        <f>COUNTIF('Metrics - Articles'!F867,"*GPO (Partner, Ecosystem, Channels)*")</f>
        <v>0</v>
      </c>
      <c r="D868">
        <f>COUNTIF('Metrics - Articles'!F867,"*Office of the CEO*")</f>
        <v>0</v>
      </c>
      <c r="E868">
        <f>COUNTIF('Metrics - Articles'!F867,"*Services Delivery &amp; Support (go-lives and deployments) *")</f>
        <v>0</v>
      </c>
      <c r="F868">
        <f>COUNTIF('Metrics - Articles'!F867,"*Human Resources (SAP HR and employee stories)*")</f>
        <v>0</v>
      </c>
      <c r="G868">
        <f>COUNTIF('Metrics - Articles'!F867,"*P&amp;I (Research &amp; Development)*")</f>
        <v>0</v>
      </c>
      <c r="H868">
        <f>COUNTIF('Metrics - Articles'!F867,"*Business Network (Concur, Ariba, Fieldglass)*")</f>
        <v>0</v>
      </c>
      <c r="I868">
        <f>COUNTIF('Metrics - Articles'!F867,"*GCO – Regions*")</f>
        <v>0</v>
      </c>
      <c r="J868">
        <f>COUNTIF('Metrics - Articles'!F867,"*GCO – Platform Solutions*")</f>
        <v>0</v>
      </c>
      <c r="K868">
        <f>COUNTIF('Metrics - Articles'!F867,"*GCO – Industry Cloud *")</f>
        <v>0</v>
      </c>
      <c r="L868">
        <f>COUNTIF('Metrics - Articles'!F867,"*GCO – Customer Engagement &amp; Commerce (CRM &amp; hybris) *")</f>
        <v>0</v>
      </c>
      <c r="M868">
        <f>COUNTIF('Metrics - Articles'!F867,"*GCO – HR (SuccessFactors)*")</f>
        <v>0</v>
      </c>
      <c r="N868">
        <f>COUNTIF('Metrics - Articles'!F867,"*GCO – Services Sales*")</f>
        <v>0</v>
      </c>
      <c r="O868">
        <f>COUNTIF('Metrics - Articles'!F867,"*GCO – Other*")</f>
        <v>0</v>
      </c>
      <c r="P868">
        <f>COUNTIF('Metrics - Articles'!F867,"*Corporate*")</f>
        <v>0</v>
      </c>
      <c r="R868" s="53">
        <f t="shared" si="15"/>
        <v>0</v>
      </c>
    </row>
    <row r="869" spans="2:18" x14ac:dyDescent="0.25">
      <c r="B869" s="48">
        <f>+'Metrics - Articles'!C868</f>
        <v>0</v>
      </c>
      <c r="C869">
        <f>COUNTIF('Metrics - Articles'!F868,"*GPO (Partner, Ecosystem, Channels)*")</f>
        <v>0</v>
      </c>
      <c r="D869">
        <f>COUNTIF('Metrics - Articles'!F868,"*Office of the CEO*")</f>
        <v>0</v>
      </c>
      <c r="E869">
        <f>COUNTIF('Metrics - Articles'!F868,"*Services Delivery &amp; Support (go-lives and deployments) *")</f>
        <v>0</v>
      </c>
      <c r="F869">
        <f>COUNTIF('Metrics - Articles'!F868,"*Human Resources (SAP HR and employee stories)*")</f>
        <v>0</v>
      </c>
      <c r="G869">
        <f>COUNTIF('Metrics - Articles'!F868,"*P&amp;I (Research &amp; Development)*")</f>
        <v>0</v>
      </c>
      <c r="H869">
        <f>COUNTIF('Metrics - Articles'!F868,"*Business Network (Concur, Ariba, Fieldglass)*")</f>
        <v>0</v>
      </c>
      <c r="I869">
        <f>COUNTIF('Metrics - Articles'!F868,"*GCO – Regions*")</f>
        <v>0</v>
      </c>
      <c r="J869">
        <f>COUNTIF('Metrics - Articles'!F868,"*GCO – Platform Solutions*")</f>
        <v>0</v>
      </c>
      <c r="K869">
        <f>COUNTIF('Metrics - Articles'!F868,"*GCO – Industry Cloud *")</f>
        <v>0</v>
      </c>
      <c r="L869">
        <f>COUNTIF('Metrics - Articles'!F868,"*GCO – Customer Engagement &amp; Commerce (CRM &amp; hybris) *")</f>
        <v>0</v>
      </c>
      <c r="M869">
        <f>COUNTIF('Metrics - Articles'!F868,"*GCO – HR (SuccessFactors)*")</f>
        <v>0</v>
      </c>
      <c r="N869">
        <f>COUNTIF('Metrics - Articles'!F868,"*GCO – Services Sales*")</f>
        <v>0</v>
      </c>
      <c r="O869">
        <f>COUNTIF('Metrics - Articles'!F868,"*GCO – Other*")</f>
        <v>0</v>
      </c>
      <c r="P869">
        <f>COUNTIF('Metrics - Articles'!F868,"*Corporate*")</f>
        <v>0</v>
      </c>
      <c r="R869" s="53">
        <f t="shared" si="15"/>
        <v>0</v>
      </c>
    </row>
    <row r="870" spans="2:18" x14ac:dyDescent="0.25">
      <c r="B870" s="48">
        <f>+'Metrics - Articles'!C869</f>
        <v>0</v>
      </c>
      <c r="C870">
        <f>COUNTIF('Metrics - Articles'!F869,"*GPO (Partner, Ecosystem, Channels)*")</f>
        <v>0</v>
      </c>
      <c r="D870">
        <f>COUNTIF('Metrics - Articles'!F869,"*Office of the CEO*")</f>
        <v>0</v>
      </c>
      <c r="E870">
        <f>COUNTIF('Metrics - Articles'!F869,"*Services Delivery &amp; Support (go-lives and deployments) *")</f>
        <v>0</v>
      </c>
      <c r="F870">
        <f>COUNTIF('Metrics - Articles'!F869,"*Human Resources (SAP HR and employee stories)*")</f>
        <v>0</v>
      </c>
      <c r="G870">
        <f>COUNTIF('Metrics - Articles'!F869,"*P&amp;I (Research &amp; Development)*")</f>
        <v>0</v>
      </c>
      <c r="H870">
        <f>COUNTIF('Metrics - Articles'!F869,"*Business Network (Concur, Ariba, Fieldglass)*")</f>
        <v>0</v>
      </c>
      <c r="I870">
        <f>COUNTIF('Metrics - Articles'!F869,"*GCO – Regions*")</f>
        <v>0</v>
      </c>
      <c r="J870">
        <f>COUNTIF('Metrics - Articles'!F869,"*GCO – Platform Solutions*")</f>
        <v>0</v>
      </c>
      <c r="K870">
        <f>COUNTIF('Metrics - Articles'!F869,"*GCO – Industry Cloud *")</f>
        <v>0</v>
      </c>
      <c r="L870">
        <f>COUNTIF('Metrics - Articles'!F869,"*GCO – Customer Engagement &amp; Commerce (CRM &amp; hybris) *")</f>
        <v>0</v>
      </c>
      <c r="M870">
        <f>COUNTIF('Metrics - Articles'!F869,"*GCO – HR (SuccessFactors)*")</f>
        <v>0</v>
      </c>
      <c r="N870">
        <f>COUNTIF('Metrics - Articles'!F869,"*GCO – Services Sales*")</f>
        <v>0</v>
      </c>
      <c r="O870">
        <f>COUNTIF('Metrics - Articles'!F869,"*GCO – Other*")</f>
        <v>0</v>
      </c>
      <c r="P870">
        <f>COUNTIF('Metrics - Articles'!F869,"*Corporate*")</f>
        <v>0</v>
      </c>
      <c r="R870" s="53">
        <f t="shared" si="15"/>
        <v>0</v>
      </c>
    </row>
    <row r="871" spans="2:18" x14ac:dyDescent="0.25">
      <c r="B871" s="48">
        <f>+'Metrics - Articles'!C870</f>
        <v>0</v>
      </c>
      <c r="C871">
        <f>COUNTIF('Metrics - Articles'!F870,"*GPO (Partner, Ecosystem, Channels)*")</f>
        <v>0</v>
      </c>
      <c r="D871">
        <f>COUNTIF('Metrics - Articles'!F870,"*Office of the CEO*")</f>
        <v>0</v>
      </c>
      <c r="E871">
        <f>COUNTIF('Metrics - Articles'!F870,"*Services Delivery &amp; Support (go-lives and deployments) *")</f>
        <v>0</v>
      </c>
      <c r="F871">
        <f>COUNTIF('Metrics - Articles'!F870,"*Human Resources (SAP HR and employee stories)*")</f>
        <v>0</v>
      </c>
      <c r="G871">
        <f>COUNTIF('Metrics - Articles'!F870,"*P&amp;I (Research &amp; Development)*")</f>
        <v>0</v>
      </c>
      <c r="H871">
        <f>COUNTIF('Metrics - Articles'!F870,"*Business Network (Concur, Ariba, Fieldglass)*")</f>
        <v>0</v>
      </c>
      <c r="I871">
        <f>COUNTIF('Metrics - Articles'!F870,"*GCO – Regions*")</f>
        <v>0</v>
      </c>
      <c r="J871">
        <f>COUNTIF('Metrics - Articles'!F870,"*GCO – Platform Solutions*")</f>
        <v>0</v>
      </c>
      <c r="K871">
        <f>COUNTIF('Metrics - Articles'!F870,"*GCO – Industry Cloud *")</f>
        <v>0</v>
      </c>
      <c r="L871">
        <f>COUNTIF('Metrics - Articles'!F870,"*GCO – Customer Engagement &amp; Commerce (CRM &amp; hybris) *")</f>
        <v>0</v>
      </c>
      <c r="M871">
        <f>COUNTIF('Metrics - Articles'!F870,"*GCO – HR (SuccessFactors)*")</f>
        <v>0</v>
      </c>
      <c r="N871">
        <f>COUNTIF('Metrics - Articles'!F870,"*GCO – Services Sales*")</f>
        <v>0</v>
      </c>
      <c r="O871">
        <f>COUNTIF('Metrics - Articles'!F870,"*GCO – Other*")</f>
        <v>0</v>
      </c>
      <c r="P871">
        <f>COUNTIF('Metrics - Articles'!F870,"*Corporate*")</f>
        <v>0</v>
      </c>
      <c r="R871" s="53">
        <f t="shared" si="15"/>
        <v>0</v>
      </c>
    </row>
    <row r="872" spans="2:18" x14ac:dyDescent="0.25">
      <c r="B872" s="48">
        <f>+'Metrics - Articles'!C871</f>
        <v>0</v>
      </c>
      <c r="C872">
        <f>COUNTIF('Metrics - Articles'!F871,"*GPO (Partner, Ecosystem, Channels)*")</f>
        <v>0</v>
      </c>
      <c r="D872">
        <f>COUNTIF('Metrics - Articles'!F871,"*Office of the CEO*")</f>
        <v>0</v>
      </c>
      <c r="E872">
        <f>COUNTIF('Metrics - Articles'!F871,"*Services Delivery &amp; Support (go-lives and deployments) *")</f>
        <v>0</v>
      </c>
      <c r="F872">
        <f>COUNTIF('Metrics - Articles'!F871,"*Human Resources (SAP HR and employee stories)*")</f>
        <v>0</v>
      </c>
      <c r="G872">
        <f>COUNTIF('Metrics - Articles'!F871,"*P&amp;I (Research &amp; Development)*")</f>
        <v>0</v>
      </c>
      <c r="H872">
        <f>COUNTIF('Metrics - Articles'!F871,"*Business Network (Concur, Ariba, Fieldglass)*")</f>
        <v>0</v>
      </c>
      <c r="I872">
        <f>COUNTIF('Metrics - Articles'!F871,"*GCO – Regions*")</f>
        <v>0</v>
      </c>
      <c r="J872">
        <f>COUNTIF('Metrics - Articles'!F871,"*GCO – Platform Solutions*")</f>
        <v>0</v>
      </c>
      <c r="K872">
        <f>COUNTIF('Metrics - Articles'!F871,"*GCO – Industry Cloud *")</f>
        <v>0</v>
      </c>
      <c r="L872">
        <f>COUNTIF('Metrics - Articles'!F871,"*GCO – Customer Engagement &amp; Commerce (CRM &amp; hybris) *")</f>
        <v>0</v>
      </c>
      <c r="M872">
        <f>COUNTIF('Metrics - Articles'!F871,"*GCO – HR (SuccessFactors)*")</f>
        <v>0</v>
      </c>
      <c r="N872">
        <f>COUNTIF('Metrics - Articles'!F871,"*GCO – Services Sales*")</f>
        <v>0</v>
      </c>
      <c r="O872">
        <f>COUNTIF('Metrics - Articles'!F871,"*GCO – Other*")</f>
        <v>0</v>
      </c>
      <c r="P872">
        <f>COUNTIF('Metrics - Articles'!F871,"*Corporate*")</f>
        <v>0</v>
      </c>
      <c r="R872" s="53">
        <f t="shared" si="15"/>
        <v>0</v>
      </c>
    </row>
    <row r="873" spans="2:18" x14ac:dyDescent="0.25">
      <c r="B873" s="48">
        <f>+'Metrics - Articles'!C872</f>
        <v>0</v>
      </c>
      <c r="C873">
        <f>COUNTIF('Metrics - Articles'!F872,"*GPO (Partner, Ecosystem, Channels)*")</f>
        <v>0</v>
      </c>
      <c r="D873">
        <f>COUNTIF('Metrics - Articles'!F872,"*Office of the CEO*")</f>
        <v>0</v>
      </c>
      <c r="E873">
        <f>COUNTIF('Metrics - Articles'!F872,"*Services Delivery &amp; Support (go-lives and deployments) *")</f>
        <v>0</v>
      </c>
      <c r="F873">
        <f>COUNTIF('Metrics - Articles'!F872,"*Human Resources (SAP HR and employee stories)*")</f>
        <v>0</v>
      </c>
      <c r="G873">
        <f>COUNTIF('Metrics - Articles'!F872,"*P&amp;I (Research &amp; Development)*")</f>
        <v>0</v>
      </c>
      <c r="H873">
        <f>COUNTIF('Metrics - Articles'!F872,"*Business Network (Concur, Ariba, Fieldglass)*")</f>
        <v>0</v>
      </c>
      <c r="I873">
        <f>COUNTIF('Metrics - Articles'!F872,"*GCO – Regions*")</f>
        <v>0</v>
      </c>
      <c r="J873">
        <f>COUNTIF('Metrics - Articles'!F872,"*GCO – Platform Solutions*")</f>
        <v>0</v>
      </c>
      <c r="K873">
        <f>COUNTIF('Metrics - Articles'!F872,"*GCO – Industry Cloud *")</f>
        <v>0</v>
      </c>
      <c r="L873">
        <f>COUNTIF('Metrics - Articles'!F872,"*GCO – Customer Engagement &amp; Commerce (CRM &amp; hybris) *")</f>
        <v>0</v>
      </c>
      <c r="M873">
        <f>COUNTIF('Metrics - Articles'!F872,"*GCO – HR (SuccessFactors)*")</f>
        <v>0</v>
      </c>
      <c r="N873">
        <f>COUNTIF('Metrics - Articles'!F872,"*GCO – Services Sales*")</f>
        <v>0</v>
      </c>
      <c r="O873">
        <f>COUNTIF('Metrics - Articles'!F872,"*GCO – Other*")</f>
        <v>0</v>
      </c>
      <c r="P873">
        <f>COUNTIF('Metrics - Articles'!F872,"*Corporate*")</f>
        <v>0</v>
      </c>
      <c r="R873" s="53">
        <f t="shared" si="15"/>
        <v>0</v>
      </c>
    </row>
    <row r="874" spans="2:18" x14ac:dyDescent="0.25">
      <c r="B874" s="48">
        <f>+'Metrics - Articles'!C873</f>
        <v>0</v>
      </c>
      <c r="C874">
        <f>COUNTIF('Metrics - Articles'!F873,"*GPO (Partner, Ecosystem, Channels)*")</f>
        <v>0</v>
      </c>
      <c r="D874">
        <f>COUNTIF('Metrics - Articles'!F873,"*Office of the CEO*")</f>
        <v>0</v>
      </c>
      <c r="E874">
        <f>COUNTIF('Metrics - Articles'!F873,"*Services Delivery &amp; Support (go-lives and deployments) *")</f>
        <v>0</v>
      </c>
      <c r="F874">
        <f>COUNTIF('Metrics - Articles'!F873,"*Human Resources (SAP HR and employee stories)*")</f>
        <v>0</v>
      </c>
      <c r="G874">
        <f>COUNTIF('Metrics - Articles'!F873,"*P&amp;I (Research &amp; Development)*")</f>
        <v>0</v>
      </c>
      <c r="H874">
        <f>COUNTIF('Metrics - Articles'!F873,"*Business Network (Concur, Ariba, Fieldglass)*")</f>
        <v>0</v>
      </c>
      <c r="I874">
        <f>COUNTIF('Metrics - Articles'!F873,"*GCO – Regions*")</f>
        <v>0</v>
      </c>
      <c r="J874">
        <f>COUNTIF('Metrics - Articles'!F873,"*GCO – Platform Solutions*")</f>
        <v>0</v>
      </c>
      <c r="K874">
        <f>COUNTIF('Metrics - Articles'!F873,"*GCO – Industry Cloud *")</f>
        <v>0</v>
      </c>
      <c r="L874">
        <f>COUNTIF('Metrics - Articles'!F873,"*GCO – Customer Engagement &amp; Commerce (CRM &amp; hybris) *")</f>
        <v>0</v>
      </c>
      <c r="M874">
        <f>COUNTIF('Metrics - Articles'!F873,"*GCO – HR (SuccessFactors)*")</f>
        <v>0</v>
      </c>
      <c r="N874">
        <f>COUNTIF('Metrics - Articles'!F873,"*GCO – Services Sales*")</f>
        <v>0</v>
      </c>
      <c r="O874">
        <f>COUNTIF('Metrics - Articles'!F873,"*GCO – Other*")</f>
        <v>0</v>
      </c>
      <c r="P874">
        <f>COUNTIF('Metrics - Articles'!F873,"*Corporate*")</f>
        <v>0</v>
      </c>
      <c r="R874" s="53">
        <f t="shared" si="15"/>
        <v>0</v>
      </c>
    </row>
    <row r="875" spans="2:18" x14ac:dyDescent="0.25">
      <c r="B875" s="48">
        <f>+'Metrics - Articles'!C874</f>
        <v>0</v>
      </c>
      <c r="C875">
        <f>COUNTIF('Metrics - Articles'!F874,"*GPO (Partner, Ecosystem, Channels)*")</f>
        <v>0</v>
      </c>
      <c r="D875">
        <f>COUNTIF('Metrics - Articles'!F874,"*Office of the CEO*")</f>
        <v>0</v>
      </c>
      <c r="E875">
        <f>COUNTIF('Metrics - Articles'!F874,"*Services Delivery &amp; Support (go-lives and deployments) *")</f>
        <v>0</v>
      </c>
      <c r="F875">
        <f>COUNTIF('Metrics - Articles'!F874,"*Human Resources (SAP HR and employee stories)*")</f>
        <v>0</v>
      </c>
      <c r="G875">
        <f>COUNTIF('Metrics - Articles'!F874,"*P&amp;I (Research &amp; Development)*")</f>
        <v>0</v>
      </c>
      <c r="H875">
        <f>COUNTIF('Metrics - Articles'!F874,"*Business Network (Concur, Ariba, Fieldglass)*")</f>
        <v>0</v>
      </c>
      <c r="I875">
        <f>COUNTIF('Metrics - Articles'!F874,"*GCO – Regions*")</f>
        <v>0</v>
      </c>
      <c r="J875">
        <f>COUNTIF('Metrics - Articles'!F874,"*GCO – Platform Solutions*")</f>
        <v>0</v>
      </c>
      <c r="K875">
        <f>COUNTIF('Metrics - Articles'!F874,"*GCO – Industry Cloud *")</f>
        <v>0</v>
      </c>
      <c r="L875">
        <f>COUNTIF('Metrics - Articles'!F874,"*GCO – Customer Engagement &amp; Commerce (CRM &amp; hybris) *")</f>
        <v>0</v>
      </c>
      <c r="M875">
        <f>COUNTIF('Metrics - Articles'!F874,"*GCO – HR (SuccessFactors)*")</f>
        <v>0</v>
      </c>
      <c r="N875">
        <f>COUNTIF('Metrics - Articles'!F874,"*GCO – Services Sales*")</f>
        <v>0</v>
      </c>
      <c r="O875">
        <f>COUNTIF('Metrics - Articles'!F874,"*GCO – Other*")</f>
        <v>0</v>
      </c>
      <c r="P875">
        <f>COUNTIF('Metrics - Articles'!F874,"*Corporate*")</f>
        <v>0</v>
      </c>
      <c r="R875" s="53">
        <f t="shared" si="15"/>
        <v>0</v>
      </c>
    </row>
    <row r="876" spans="2:18" x14ac:dyDescent="0.25">
      <c r="B876" s="48">
        <f>+'Metrics - Articles'!C875</f>
        <v>0</v>
      </c>
      <c r="C876">
        <f>COUNTIF('Metrics - Articles'!F875,"*GPO (Partner, Ecosystem, Channels)*")</f>
        <v>0</v>
      </c>
      <c r="D876">
        <f>COUNTIF('Metrics - Articles'!F875,"*Office of the CEO*")</f>
        <v>0</v>
      </c>
      <c r="E876">
        <f>COUNTIF('Metrics - Articles'!F875,"*Services Delivery &amp; Support (go-lives and deployments) *")</f>
        <v>0</v>
      </c>
      <c r="F876">
        <f>COUNTIF('Metrics - Articles'!F875,"*Human Resources (SAP HR and employee stories)*")</f>
        <v>0</v>
      </c>
      <c r="G876">
        <f>COUNTIF('Metrics - Articles'!F875,"*P&amp;I (Research &amp; Development)*")</f>
        <v>0</v>
      </c>
      <c r="H876">
        <f>COUNTIF('Metrics - Articles'!F875,"*Business Network (Concur, Ariba, Fieldglass)*")</f>
        <v>0</v>
      </c>
      <c r="I876">
        <f>COUNTIF('Metrics - Articles'!F875,"*GCO – Regions*")</f>
        <v>0</v>
      </c>
      <c r="J876">
        <f>COUNTIF('Metrics - Articles'!F875,"*GCO – Platform Solutions*")</f>
        <v>0</v>
      </c>
      <c r="K876">
        <f>COUNTIF('Metrics - Articles'!F875,"*GCO – Industry Cloud *")</f>
        <v>0</v>
      </c>
      <c r="L876">
        <f>COUNTIF('Metrics - Articles'!F875,"*GCO – Customer Engagement &amp; Commerce (CRM &amp; hybris) *")</f>
        <v>0</v>
      </c>
      <c r="M876">
        <f>COUNTIF('Metrics - Articles'!F875,"*GCO – HR (SuccessFactors)*")</f>
        <v>0</v>
      </c>
      <c r="N876">
        <f>COUNTIF('Metrics - Articles'!F875,"*GCO – Services Sales*")</f>
        <v>0</v>
      </c>
      <c r="O876">
        <f>COUNTIF('Metrics - Articles'!F875,"*GCO – Other*")</f>
        <v>0</v>
      </c>
      <c r="P876">
        <f>COUNTIF('Metrics - Articles'!F875,"*Corporate*")</f>
        <v>0</v>
      </c>
      <c r="R876" s="53">
        <f t="shared" si="15"/>
        <v>0</v>
      </c>
    </row>
    <row r="877" spans="2:18" x14ac:dyDescent="0.25">
      <c r="B877" s="48">
        <f>+'Metrics - Articles'!C876</f>
        <v>0</v>
      </c>
      <c r="C877">
        <f>COUNTIF('Metrics - Articles'!F876,"*GPO (Partner, Ecosystem, Channels)*")</f>
        <v>0</v>
      </c>
      <c r="D877">
        <f>COUNTIF('Metrics - Articles'!F876,"*Office of the CEO*")</f>
        <v>0</v>
      </c>
      <c r="E877">
        <f>COUNTIF('Metrics - Articles'!F876,"*Services Delivery &amp; Support (go-lives and deployments) *")</f>
        <v>0</v>
      </c>
      <c r="F877">
        <f>COUNTIF('Metrics - Articles'!F876,"*Human Resources (SAP HR and employee stories)*")</f>
        <v>0</v>
      </c>
      <c r="G877">
        <f>COUNTIF('Metrics - Articles'!F876,"*P&amp;I (Research &amp; Development)*")</f>
        <v>0</v>
      </c>
      <c r="H877">
        <f>COUNTIF('Metrics - Articles'!F876,"*Business Network (Concur, Ariba, Fieldglass)*")</f>
        <v>0</v>
      </c>
      <c r="I877">
        <f>COUNTIF('Metrics - Articles'!F876,"*GCO – Regions*")</f>
        <v>0</v>
      </c>
      <c r="J877">
        <f>COUNTIF('Metrics - Articles'!F876,"*GCO – Platform Solutions*")</f>
        <v>0</v>
      </c>
      <c r="K877">
        <f>COUNTIF('Metrics - Articles'!F876,"*GCO – Industry Cloud *")</f>
        <v>0</v>
      </c>
      <c r="L877">
        <f>COUNTIF('Metrics - Articles'!F876,"*GCO – Customer Engagement &amp; Commerce (CRM &amp; hybris) *")</f>
        <v>0</v>
      </c>
      <c r="M877">
        <f>COUNTIF('Metrics - Articles'!F876,"*GCO – HR (SuccessFactors)*")</f>
        <v>0</v>
      </c>
      <c r="N877">
        <f>COUNTIF('Metrics - Articles'!F876,"*GCO – Services Sales*")</f>
        <v>0</v>
      </c>
      <c r="O877">
        <f>COUNTIF('Metrics - Articles'!F876,"*GCO – Other*")</f>
        <v>0</v>
      </c>
      <c r="P877">
        <f>COUNTIF('Metrics - Articles'!F876,"*Corporate*")</f>
        <v>0</v>
      </c>
      <c r="R877" s="53">
        <f t="shared" si="15"/>
        <v>0</v>
      </c>
    </row>
    <row r="878" spans="2:18" x14ac:dyDescent="0.25">
      <c r="B878" s="48">
        <f>+'Metrics - Articles'!C877</f>
        <v>0</v>
      </c>
      <c r="C878">
        <f>COUNTIF('Metrics - Articles'!F877,"*GPO (Partner, Ecosystem, Channels)*")</f>
        <v>0</v>
      </c>
      <c r="D878">
        <f>COUNTIF('Metrics - Articles'!F877,"*Office of the CEO*")</f>
        <v>0</v>
      </c>
      <c r="E878">
        <f>COUNTIF('Metrics - Articles'!F877,"*Services Delivery &amp; Support (go-lives and deployments) *")</f>
        <v>0</v>
      </c>
      <c r="F878">
        <f>COUNTIF('Metrics - Articles'!F877,"*Human Resources (SAP HR and employee stories)*")</f>
        <v>0</v>
      </c>
      <c r="G878">
        <f>COUNTIF('Metrics - Articles'!F877,"*P&amp;I (Research &amp; Development)*")</f>
        <v>0</v>
      </c>
      <c r="H878">
        <f>COUNTIF('Metrics - Articles'!F877,"*Business Network (Concur, Ariba, Fieldglass)*")</f>
        <v>0</v>
      </c>
      <c r="I878">
        <f>COUNTIF('Metrics - Articles'!F877,"*GCO – Regions*")</f>
        <v>0</v>
      </c>
      <c r="J878">
        <f>COUNTIF('Metrics - Articles'!F877,"*GCO – Platform Solutions*")</f>
        <v>0</v>
      </c>
      <c r="K878">
        <f>COUNTIF('Metrics - Articles'!F877,"*GCO – Industry Cloud *")</f>
        <v>0</v>
      </c>
      <c r="L878">
        <f>COUNTIF('Metrics - Articles'!F877,"*GCO – Customer Engagement &amp; Commerce (CRM &amp; hybris) *")</f>
        <v>0</v>
      </c>
      <c r="M878">
        <f>COUNTIF('Metrics - Articles'!F877,"*GCO – HR (SuccessFactors)*")</f>
        <v>0</v>
      </c>
      <c r="N878">
        <f>COUNTIF('Metrics - Articles'!F877,"*GCO – Services Sales*")</f>
        <v>0</v>
      </c>
      <c r="O878">
        <f>COUNTIF('Metrics - Articles'!F877,"*GCO – Other*")</f>
        <v>0</v>
      </c>
      <c r="P878">
        <f>COUNTIF('Metrics - Articles'!F877,"*Corporate*")</f>
        <v>0</v>
      </c>
      <c r="R878" s="53">
        <f t="shared" si="15"/>
        <v>0</v>
      </c>
    </row>
    <row r="879" spans="2:18" x14ac:dyDescent="0.25">
      <c r="B879" s="48">
        <f>+'Metrics - Articles'!C878</f>
        <v>0</v>
      </c>
      <c r="C879">
        <f>COUNTIF('Metrics - Articles'!F878,"*GPO (Partner, Ecosystem, Channels)*")</f>
        <v>0</v>
      </c>
      <c r="D879">
        <f>COUNTIF('Metrics - Articles'!F878,"*Office of the CEO*")</f>
        <v>0</v>
      </c>
      <c r="E879">
        <f>COUNTIF('Metrics - Articles'!F878,"*Services Delivery &amp; Support (go-lives and deployments) *")</f>
        <v>0</v>
      </c>
      <c r="F879">
        <f>COUNTIF('Metrics - Articles'!F878,"*Human Resources (SAP HR and employee stories)*")</f>
        <v>0</v>
      </c>
      <c r="G879">
        <f>COUNTIF('Metrics - Articles'!F878,"*P&amp;I (Research &amp; Development)*")</f>
        <v>0</v>
      </c>
      <c r="H879">
        <f>COUNTIF('Metrics - Articles'!F878,"*Business Network (Concur, Ariba, Fieldglass)*")</f>
        <v>0</v>
      </c>
      <c r="I879">
        <f>COUNTIF('Metrics - Articles'!F878,"*GCO – Regions*")</f>
        <v>0</v>
      </c>
      <c r="J879">
        <f>COUNTIF('Metrics - Articles'!F878,"*GCO – Platform Solutions*")</f>
        <v>0</v>
      </c>
      <c r="K879">
        <f>COUNTIF('Metrics - Articles'!F878,"*GCO – Industry Cloud *")</f>
        <v>0</v>
      </c>
      <c r="L879">
        <f>COUNTIF('Metrics - Articles'!F878,"*GCO – Customer Engagement &amp; Commerce (CRM &amp; hybris) *")</f>
        <v>0</v>
      </c>
      <c r="M879">
        <f>COUNTIF('Metrics - Articles'!F878,"*GCO – HR (SuccessFactors)*")</f>
        <v>0</v>
      </c>
      <c r="N879">
        <f>COUNTIF('Metrics - Articles'!F878,"*GCO – Services Sales*")</f>
        <v>0</v>
      </c>
      <c r="O879">
        <f>COUNTIF('Metrics - Articles'!F878,"*GCO – Other*")</f>
        <v>0</v>
      </c>
      <c r="P879">
        <f>COUNTIF('Metrics - Articles'!F878,"*Corporate*")</f>
        <v>0</v>
      </c>
      <c r="R879" s="53">
        <f t="shared" si="15"/>
        <v>0</v>
      </c>
    </row>
    <row r="880" spans="2:18" x14ac:dyDescent="0.25">
      <c r="B880" s="48">
        <f>+'Metrics - Articles'!C879</f>
        <v>0</v>
      </c>
      <c r="C880">
        <f>COUNTIF('Metrics - Articles'!F879,"*GPO (Partner, Ecosystem, Channels)*")</f>
        <v>0</v>
      </c>
      <c r="D880">
        <f>COUNTIF('Metrics - Articles'!F879,"*Office of the CEO*")</f>
        <v>0</v>
      </c>
      <c r="E880">
        <f>COUNTIF('Metrics - Articles'!F879,"*Services Delivery &amp; Support (go-lives and deployments) *")</f>
        <v>0</v>
      </c>
      <c r="F880">
        <f>COUNTIF('Metrics - Articles'!F879,"*Human Resources (SAP HR and employee stories)*")</f>
        <v>0</v>
      </c>
      <c r="G880">
        <f>COUNTIF('Metrics - Articles'!F879,"*P&amp;I (Research &amp; Development)*")</f>
        <v>0</v>
      </c>
      <c r="H880">
        <f>COUNTIF('Metrics - Articles'!F879,"*Business Network (Concur, Ariba, Fieldglass)*")</f>
        <v>0</v>
      </c>
      <c r="I880">
        <f>COUNTIF('Metrics - Articles'!F879,"*GCO – Regions*")</f>
        <v>0</v>
      </c>
      <c r="J880">
        <f>COUNTIF('Metrics - Articles'!F879,"*GCO – Platform Solutions*")</f>
        <v>0</v>
      </c>
      <c r="K880">
        <f>COUNTIF('Metrics - Articles'!F879,"*GCO – Industry Cloud *")</f>
        <v>0</v>
      </c>
      <c r="L880">
        <f>COUNTIF('Metrics - Articles'!F879,"*GCO – Customer Engagement &amp; Commerce (CRM &amp; hybris) *")</f>
        <v>0</v>
      </c>
      <c r="M880">
        <f>COUNTIF('Metrics - Articles'!F879,"*GCO – HR (SuccessFactors)*")</f>
        <v>0</v>
      </c>
      <c r="N880">
        <f>COUNTIF('Metrics - Articles'!F879,"*GCO – Services Sales*")</f>
        <v>0</v>
      </c>
      <c r="O880">
        <f>COUNTIF('Metrics - Articles'!F879,"*GCO – Other*")</f>
        <v>0</v>
      </c>
      <c r="P880">
        <f>COUNTIF('Metrics - Articles'!F879,"*Corporate*")</f>
        <v>0</v>
      </c>
      <c r="R880" s="53">
        <f t="shared" si="15"/>
        <v>0</v>
      </c>
    </row>
    <row r="881" spans="2:18" x14ac:dyDescent="0.25">
      <c r="B881" s="48">
        <f>+'Metrics - Articles'!C880</f>
        <v>0</v>
      </c>
      <c r="C881">
        <f>COUNTIF('Metrics - Articles'!F880,"*GPO (Partner, Ecosystem, Channels)*")</f>
        <v>0</v>
      </c>
      <c r="D881">
        <f>COUNTIF('Metrics - Articles'!F880,"*Office of the CEO*")</f>
        <v>0</v>
      </c>
      <c r="E881">
        <f>COUNTIF('Metrics - Articles'!F880,"*Services Delivery &amp; Support (go-lives and deployments) *")</f>
        <v>0</v>
      </c>
      <c r="F881">
        <f>COUNTIF('Metrics - Articles'!F880,"*Human Resources (SAP HR and employee stories)*")</f>
        <v>0</v>
      </c>
      <c r="G881">
        <f>COUNTIF('Metrics - Articles'!F880,"*P&amp;I (Research &amp; Development)*")</f>
        <v>0</v>
      </c>
      <c r="H881">
        <f>COUNTIF('Metrics - Articles'!F880,"*Business Network (Concur, Ariba, Fieldglass)*")</f>
        <v>0</v>
      </c>
      <c r="I881">
        <f>COUNTIF('Metrics - Articles'!F880,"*GCO – Regions*")</f>
        <v>0</v>
      </c>
      <c r="J881">
        <f>COUNTIF('Metrics - Articles'!F880,"*GCO – Platform Solutions*")</f>
        <v>0</v>
      </c>
      <c r="K881">
        <f>COUNTIF('Metrics - Articles'!F880,"*GCO – Industry Cloud *")</f>
        <v>0</v>
      </c>
      <c r="L881">
        <f>COUNTIF('Metrics - Articles'!F880,"*GCO – Customer Engagement &amp; Commerce (CRM &amp; hybris) *")</f>
        <v>0</v>
      </c>
      <c r="M881">
        <f>COUNTIF('Metrics - Articles'!F880,"*GCO – HR (SuccessFactors)*")</f>
        <v>0</v>
      </c>
      <c r="N881">
        <f>COUNTIF('Metrics - Articles'!F880,"*GCO – Services Sales*")</f>
        <v>0</v>
      </c>
      <c r="O881">
        <f>COUNTIF('Metrics - Articles'!F880,"*GCO – Other*")</f>
        <v>0</v>
      </c>
      <c r="P881">
        <f>COUNTIF('Metrics - Articles'!F880,"*Corporate*")</f>
        <v>0</v>
      </c>
      <c r="R881" s="53">
        <f t="shared" si="15"/>
        <v>0</v>
      </c>
    </row>
    <row r="882" spans="2:18" x14ac:dyDescent="0.25">
      <c r="B882" s="48">
        <f>+'Metrics - Articles'!C881</f>
        <v>0</v>
      </c>
      <c r="C882">
        <f>COUNTIF('Metrics - Articles'!F881,"*GPO (Partner, Ecosystem, Channels)*")</f>
        <v>0</v>
      </c>
      <c r="D882">
        <f>COUNTIF('Metrics - Articles'!F881,"*Office of the CEO*")</f>
        <v>0</v>
      </c>
      <c r="E882">
        <f>COUNTIF('Metrics - Articles'!F881,"*Services Delivery &amp; Support (go-lives and deployments) *")</f>
        <v>0</v>
      </c>
      <c r="F882">
        <f>COUNTIF('Metrics - Articles'!F881,"*Human Resources (SAP HR and employee stories)*")</f>
        <v>0</v>
      </c>
      <c r="G882">
        <f>COUNTIF('Metrics - Articles'!F881,"*P&amp;I (Research &amp; Development)*")</f>
        <v>0</v>
      </c>
      <c r="H882">
        <f>COUNTIF('Metrics - Articles'!F881,"*Business Network (Concur, Ariba, Fieldglass)*")</f>
        <v>0</v>
      </c>
      <c r="I882">
        <f>COUNTIF('Metrics - Articles'!F881,"*GCO – Regions*")</f>
        <v>0</v>
      </c>
      <c r="J882">
        <f>COUNTIF('Metrics - Articles'!F881,"*GCO – Platform Solutions*")</f>
        <v>0</v>
      </c>
      <c r="K882">
        <f>COUNTIF('Metrics - Articles'!F881,"*GCO – Industry Cloud *")</f>
        <v>0</v>
      </c>
      <c r="L882">
        <f>COUNTIF('Metrics - Articles'!F881,"*GCO – Customer Engagement &amp; Commerce (CRM &amp; hybris) *")</f>
        <v>0</v>
      </c>
      <c r="M882">
        <f>COUNTIF('Metrics - Articles'!F881,"*GCO – HR (SuccessFactors)*")</f>
        <v>0</v>
      </c>
      <c r="N882">
        <f>COUNTIF('Metrics - Articles'!F881,"*GCO – Services Sales*")</f>
        <v>0</v>
      </c>
      <c r="O882">
        <f>COUNTIF('Metrics - Articles'!F881,"*GCO – Other*")</f>
        <v>0</v>
      </c>
      <c r="P882">
        <f>COUNTIF('Metrics - Articles'!F881,"*Corporate*")</f>
        <v>0</v>
      </c>
      <c r="R882" s="53">
        <f t="shared" si="15"/>
        <v>0</v>
      </c>
    </row>
    <row r="883" spans="2:18" x14ac:dyDescent="0.25">
      <c r="B883" s="48">
        <f>+'Metrics - Articles'!C882</f>
        <v>0</v>
      </c>
      <c r="C883">
        <f>COUNTIF('Metrics - Articles'!F882,"*GPO (Partner, Ecosystem, Channels)*")</f>
        <v>0</v>
      </c>
      <c r="D883">
        <f>COUNTIF('Metrics - Articles'!F882,"*Office of the CEO*")</f>
        <v>0</v>
      </c>
      <c r="E883">
        <f>COUNTIF('Metrics - Articles'!F882,"*Services Delivery &amp; Support (go-lives and deployments) *")</f>
        <v>0</v>
      </c>
      <c r="F883">
        <f>COUNTIF('Metrics - Articles'!F882,"*Human Resources (SAP HR and employee stories)*")</f>
        <v>0</v>
      </c>
      <c r="G883">
        <f>COUNTIF('Metrics - Articles'!F882,"*P&amp;I (Research &amp; Development)*")</f>
        <v>0</v>
      </c>
      <c r="H883">
        <f>COUNTIF('Metrics - Articles'!F882,"*Business Network (Concur, Ariba, Fieldglass)*")</f>
        <v>0</v>
      </c>
      <c r="I883">
        <f>COUNTIF('Metrics - Articles'!F882,"*GCO – Regions*")</f>
        <v>0</v>
      </c>
      <c r="J883">
        <f>COUNTIF('Metrics - Articles'!F882,"*GCO – Platform Solutions*")</f>
        <v>0</v>
      </c>
      <c r="K883">
        <f>COUNTIF('Metrics - Articles'!F882,"*GCO – Industry Cloud *")</f>
        <v>0</v>
      </c>
      <c r="L883">
        <f>COUNTIF('Metrics - Articles'!F882,"*GCO – Customer Engagement &amp; Commerce (CRM &amp; hybris) *")</f>
        <v>0</v>
      </c>
      <c r="M883">
        <f>COUNTIF('Metrics - Articles'!F882,"*GCO – HR (SuccessFactors)*")</f>
        <v>0</v>
      </c>
      <c r="N883">
        <f>COUNTIF('Metrics - Articles'!F882,"*GCO – Services Sales*")</f>
        <v>0</v>
      </c>
      <c r="O883">
        <f>COUNTIF('Metrics - Articles'!F882,"*GCO – Other*")</f>
        <v>0</v>
      </c>
      <c r="P883">
        <f>COUNTIF('Metrics - Articles'!F882,"*Corporate*")</f>
        <v>0</v>
      </c>
      <c r="R883" s="53">
        <f t="shared" si="15"/>
        <v>0</v>
      </c>
    </row>
    <row r="884" spans="2:18" x14ac:dyDescent="0.25">
      <c r="B884" s="48">
        <f>+'Metrics - Articles'!C883</f>
        <v>0</v>
      </c>
      <c r="C884">
        <f>COUNTIF('Metrics - Articles'!F883,"*GPO (Partner, Ecosystem, Channels)*")</f>
        <v>0</v>
      </c>
      <c r="D884">
        <f>COUNTIF('Metrics - Articles'!F883,"*Office of the CEO*")</f>
        <v>0</v>
      </c>
      <c r="E884">
        <f>COUNTIF('Metrics - Articles'!F883,"*Services Delivery &amp; Support (go-lives and deployments) *")</f>
        <v>0</v>
      </c>
      <c r="F884">
        <f>COUNTIF('Metrics - Articles'!F883,"*Human Resources (SAP HR and employee stories)*")</f>
        <v>0</v>
      </c>
      <c r="G884">
        <f>COUNTIF('Metrics - Articles'!F883,"*P&amp;I (Research &amp; Development)*")</f>
        <v>0</v>
      </c>
      <c r="H884">
        <f>COUNTIF('Metrics - Articles'!F883,"*Business Network (Concur, Ariba, Fieldglass)*")</f>
        <v>0</v>
      </c>
      <c r="I884">
        <f>COUNTIF('Metrics - Articles'!F883,"*GCO – Regions*")</f>
        <v>0</v>
      </c>
      <c r="J884">
        <f>COUNTIF('Metrics - Articles'!F883,"*GCO – Platform Solutions*")</f>
        <v>0</v>
      </c>
      <c r="K884">
        <f>COUNTIF('Metrics - Articles'!F883,"*GCO – Industry Cloud *")</f>
        <v>0</v>
      </c>
      <c r="L884">
        <f>COUNTIF('Metrics - Articles'!F883,"*GCO – Customer Engagement &amp; Commerce (CRM &amp; hybris) *")</f>
        <v>0</v>
      </c>
      <c r="M884">
        <f>COUNTIF('Metrics - Articles'!F883,"*GCO – HR (SuccessFactors)*")</f>
        <v>0</v>
      </c>
      <c r="N884">
        <f>COUNTIF('Metrics - Articles'!F883,"*GCO – Services Sales*")</f>
        <v>0</v>
      </c>
      <c r="O884">
        <f>COUNTIF('Metrics - Articles'!F883,"*GCO – Other*")</f>
        <v>0</v>
      </c>
      <c r="P884">
        <f>COUNTIF('Metrics - Articles'!F883,"*Corporate*")</f>
        <v>0</v>
      </c>
      <c r="R884" s="53">
        <f t="shared" si="15"/>
        <v>0</v>
      </c>
    </row>
    <row r="885" spans="2:18" x14ac:dyDescent="0.25">
      <c r="B885" s="48">
        <f>+'Metrics - Articles'!C884</f>
        <v>0</v>
      </c>
      <c r="C885">
        <f>COUNTIF('Metrics - Articles'!F884,"*GPO (Partner, Ecosystem, Channels)*")</f>
        <v>0</v>
      </c>
      <c r="D885">
        <f>COUNTIF('Metrics - Articles'!F884,"*Office of the CEO*")</f>
        <v>0</v>
      </c>
      <c r="E885">
        <f>COUNTIF('Metrics - Articles'!F884,"*Services Delivery &amp; Support (go-lives and deployments) *")</f>
        <v>0</v>
      </c>
      <c r="F885">
        <f>COUNTIF('Metrics - Articles'!F884,"*Human Resources (SAP HR and employee stories)*")</f>
        <v>0</v>
      </c>
      <c r="G885">
        <f>COUNTIF('Metrics - Articles'!F884,"*P&amp;I (Research &amp; Development)*")</f>
        <v>0</v>
      </c>
      <c r="H885">
        <f>COUNTIF('Metrics - Articles'!F884,"*Business Network (Concur, Ariba, Fieldglass)*")</f>
        <v>0</v>
      </c>
      <c r="I885">
        <f>COUNTIF('Metrics - Articles'!F884,"*GCO – Regions*")</f>
        <v>0</v>
      </c>
      <c r="J885">
        <f>COUNTIF('Metrics - Articles'!F884,"*GCO – Platform Solutions*")</f>
        <v>0</v>
      </c>
      <c r="K885">
        <f>COUNTIF('Metrics - Articles'!F884,"*GCO – Industry Cloud *")</f>
        <v>0</v>
      </c>
      <c r="L885">
        <f>COUNTIF('Metrics - Articles'!F884,"*GCO – Customer Engagement &amp; Commerce (CRM &amp; hybris) *")</f>
        <v>0</v>
      </c>
      <c r="M885">
        <f>COUNTIF('Metrics - Articles'!F884,"*GCO – HR (SuccessFactors)*")</f>
        <v>0</v>
      </c>
      <c r="N885">
        <f>COUNTIF('Metrics - Articles'!F884,"*GCO – Services Sales*")</f>
        <v>0</v>
      </c>
      <c r="O885">
        <f>COUNTIF('Metrics - Articles'!F884,"*GCO – Other*")</f>
        <v>0</v>
      </c>
      <c r="P885">
        <f>COUNTIF('Metrics - Articles'!F884,"*Corporate*")</f>
        <v>0</v>
      </c>
      <c r="R885" s="53">
        <f t="shared" si="15"/>
        <v>0</v>
      </c>
    </row>
    <row r="886" spans="2:18" x14ac:dyDescent="0.25">
      <c r="B886" s="48">
        <f>+'Metrics - Articles'!C885</f>
        <v>0</v>
      </c>
      <c r="C886">
        <f>COUNTIF('Metrics - Articles'!F885,"*GPO (Partner, Ecosystem, Channels)*")</f>
        <v>0</v>
      </c>
      <c r="D886">
        <f>COUNTIF('Metrics - Articles'!F885,"*Office of the CEO*")</f>
        <v>0</v>
      </c>
      <c r="E886">
        <f>COUNTIF('Metrics - Articles'!F885,"*Services Delivery &amp; Support (go-lives and deployments) *")</f>
        <v>0</v>
      </c>
      <c r="F886">
        <f>COUNTIF('Metrics - Articles'!F885,"*Human Resources (SAP HR and employee stories)*")</f>
        <v>0</v>
      </c>
      <c r="G886">
        <f>COUNTIF('Metrics - Articles'!F885,"*P&amp;I (Research &amp; Development)*")</f>
        <v>0</v>
      </c>
      <c r="H886">
        <f>COUNTIF('Metrics - Articles'!F885,"*Business Network (Concur, Ariba, Fieldglass)*")</f>
        <v>0</v>
      </c>
      <c r="I886">
        <f>COUNTIF('Metrics - Articles'!F885,"*GCO – Regions*")</f>
        <v>0</v>
      </c>
      <c r="J886">
        <f>COUNTIF('Metrics - Articles'!F885,"*GCO – Platform Solutions*")</f>
        <v>0</v>
      </c>
      <c r="K886">
        <f>COUNTIF('Metrics - Articles'!F885,"*GCO – Industry Cloud *")</f>
        <v>0</v>
      </c>
      <c r="L886">
        <f>COUNTIF('Metrics - Articles'!F885,"*GCO – Customer Engagement &amp; Commerce (CRM &amp; hybris) *")</f>
        <v>0</v>
      </c>
      <c r="M886">
        <f>COUNTIF('Metrics - Articles'!F885,"*GCO – HR (SuccessFactors)*")</f>
        <v>0</v>
      </c>
      <c r="N886">
        <f>COUNTIF('Metrics - Articles'!F885,"*GCO – Services Sales*")</f>
        <v>0</v>
      </c>
      <c r="O886">
        <f>COUNTIF('Metrics - Articles'!F885,"*GCO – Other*")</f>
        <v>0</v>
      </c>
      <c r="P886">
        <f>COUNTIF('Metrics - Articles'!F885,"*Corporate*")</f>
        <v>0</v>
      </c>
      <c r="R886" s="53">
        <f t="shared" si="15"/>
        <v>0</v>
      </c>
    </row>
    <row r="887" spans="2:18" x14ac:dyDescent="0.25">
      <c r="B887" s="48">
        <f>+'Metrics - Articles'!C886</f>
        <v>0</v>
      </c>
      <c r="C887">
        <f>COUNTIF('Metrics - Articles'!F886,"*GPO (Partner, Ecosystem, Channels)*")</f>
        <v>0</v>
      </c>
      <c r="D887">
        <f>COUNTIF('Metrics - Articles'!F886,"*Office of the CEO*")</f>
        <v>0</v>
      </c>
      <c r="E887">
        <f>COUNTIF('Metrics - Articles'!F886,"*Services Delivery &amp; Support (go-lives and deployments) *")</f>
        <v>0</v>
      </c>
      <c r="F887">
        <f>COUNTIF('Metrics - Articles'!F886,"*Human Resources (SAP HR and employee stories)*")</f>
        <v>0</v>
      </c>
      <c r="G887">
        <f>COUNTIF('Metrics - Articles'!F886,"*P&amp;I (Research &amp; Development)*")</f>
        <v>0</v>
      </c>
      <c r="H887">
        <f>COUNTIF('Metrics - Articles'!F886,"*Business Network (Concur, Ariba, Fieldglass)*")</f>
        <v>0</v>
      </c>
      <c r="I887">
        <f>COUNTIF('Metrics - Articles'!F886,"*GCO – Regions*")</f>
        <v>0</v>
      </c>
      <c r="J887">
        <f>COUNTIF('Metrics - Articles'!F886,"*GCO – Platform Solutions*")</f>
        <v>0</v>
      </c>
      <c r="K887">
        <f>COUNTIF('Metrics - Articles'!F886,"*GCO – Industry Cloud *")</f>
        <v>0</v>
      </c>
      <c r="L887">
        <f>COUNTIF('Metrics - Articles'!F886,"*GCO – Customer Engagement &amp; Commerce (CRM &amp; hybris) *")</f>
        <v>0</v>
      </c>
      <c r="M887">
        <f>COUNTIF('Metrics - Articles'!F886,"*GCO – HR (SuccessFactors)*")</f>
        <v>0</v>
      </c>
      <c r="N887">
        <f>COUNTIF('Metrics - Articles'!F886,"*GCO – Services Sales*")</f>
        <v>0</v>
      </c>
      <c r="O887">
        <f>COUNTIF('Metrics - Articles'!F886,"*GCO – Other*")</f>
        <v>0</v>
      </c>
      <c r="P887">
        <f>COUNTIF('Metrics - Articles'!F886,"*Corporate*")</f>
        <v>0</v>
      </c>
      <c r="R887" s="53">
        <f t="shared" si="15"/>
        <v>0</v>
      </c>
    </row>
    <row r="888" spans="2:18" x14ac:dyDescent="0.25">
      <c r="B888" s="48">
        <f>+'Metrics - Articles'!C887</f>
        <v>0</v>
      </c>
      <c r="C888">
        <f>COUNTIF('Metrics - Articles'!F887,"*GPO (Partner, Ecosystem, Channels)*")</f>
        <v>0</v>
      </c>
      <c r="D888">
        <f>COUNTIF('Metrics - Articles'!F887,"*Office of the CEO*")</f>
        <v>0</v>
      </c>
      <c r="E888">
        <f>COUNTIF('Metrics - Articles'!F887,"*Services Delivery &amp; Support (go-lives and deployments) *")</f>
        <v>0</v>
      </c>
      <c r="F888">
        <f>COUNTIF('Metrics - Articles'!F887,"*Human Resources (SAP HR and employee stories)*")</f>
        <v>0</v>
      </c>
      <c r="G888">
        <f>COUNTIF('Metrics - Articles'!F887,"*P&amp;I (Research &amp; Development)*")</f>
        <v>0</v>
      </c>
      <c r="H888">
        <f>COUNTIF('Metrics - Articles'!F887,"*Business Network (Concur, Ariba, Fieldglass)*")</f>
        <v>0</v>
      </c>
      <c r="I888">
        <f>COUNTIF('Metrics - Articles'!F887,"*GCO – Regions*")</f>
        <v>0</v>
      </c>
      <c r="J888">
        <f>COUNTIF('Metrics - Articles'!F887,"*GCO – Platform Solutions*")</f>
        <v>0</v>
      </c>
      <c r="K888">
        <f>COUNTIF('Metrics - Articles'!F887,"*GCO – Industry Cloud *")</f>
        <v>0</v>
      </c>
      <c r="L888">
        <f>COUNTIF('Metrics - Articles'!F887,"*GCO – Customer Engagement &amp; Commerce (CRM &amp; hybris) *")</f>
        <v>0</v>
      </c>
      <c r="M888">
        <f>COUNTIF('Metrics - Articles'!F887,"*GCO – HR (SuccessFactors)*")</f>
        <v>0</v>
      </c>
      <c r="N888">
        <f>COUNTIF('Metrics - Articles'!F887,"*GCO – Services Sales*")</f>
        <v>0</v>
      </c>
      <c r="O888">
        <f>COUNTIF('Metrics - Articles'!F887,"*GCO – Other*")</f>
        <v>0</v>
      </c>
      <c r="P888">
        <f>COUNTIF('Metrics - Articles'!F887,"*Corporate*")</f>
        <v>0</v>
      </c>
      <c r="R888" s="53">
        <f t="shared" si="15"/>
        <v>0</v>
      </c>
    </row>
    <row r="889" spans="2:18" x14ac:dyDescent="0.25">
      <c r="B889" s="48">
        <f>+'Metrics - Articles'!C888</f>
        <v>0</v>
      </c>
      <c r="C889">
        <f>COUNTIF('Metrics - Articles'!F888,"*GPO (Partner, Ecosystem, Channels)*")</f>
        <v>0</v>
      </c>
      <c r="D889">
        <f>COUNTIF('Metrics - Articles'!F888,"*Office of the CEO*")</f>
        <v>0</v>
      </c>
      <c r="E889">
        <f>COUNTIF('Metrics - Articles'!F888,"*Services Delivery &amp; Support (go-lives and deployments) *")</f>
        <v>0</v>
      </c>
      <c r="F889">
        <f>COUNTIF('Metrics - Articles'!F888,"*Human Resources (SAP HR and employee stories)*")</f>
        <v>0</v>
      </c>
      <c r="G889">
        <f>COUNTIF('Metrics - Articles'!F888,"*P&amp;I (Research &amp; Development)*")</f>
        <v>0</v>
      </c>
      <c r="H889">
        <f>COUNTIF('Metrics - Articles'!F888,"*Business Network (Concur, Ariba, Fieldglass)*")</f>
        <v>0</v>
      </c>
      <c r="I889">
        <f>COUNTIF('Metrics - Articles'!F888,"*GCO – Regions*")</f>
        <v>0</v>
      </c>
      <c r="J889">
        <f>COUNTIF('Metrics - Articles'!F888,"*GCO – Platform Solutions*")</f>
        <v>0</v>
      </c>
      <c r="K889">
        <f>COUNTIF('Metrics - Articles'!F888,"*GCO – Industry Cloud *")</f>
        <v>0</v>
      </c>
      <c r="L889">
        <f>COUNTIF('Metrics - Articles'!F888,"*GCO – Customer Engagement &amp; Commerce (CRM &amp; hybris) *")</f>
        <v>0</v>
      </c>
      <c r="M889">
        <f>COUNTIF('Metrics - Articles'!F888,"*GCO – HR (SuccessFactors)*")</f>
        <v>0</v>
      </c>
      <c r="N889">
        <f>COUNTIF('Metrics - Articles'!F888,"*GCO – Services Sales*")</f>
        <v>0</v>
      </c>
      <c r="O889">
        <f>COUNTIF('Metrics - Articles'!F888,"*GCO – Other*")</f>
        <v>0</v>
      </c>
      <c r="P889">
        <f>COUNTIF('Metrics - Articles'!F888,"*Corporate*")</f>
        <v>0</v>
      </c>
      <c r="R889" s="53">
        <f t="shared" si="15"/>
        <v>0</v>
      </c>
    </row>
    <row r="890" spans="2:18" x14ac:dyDescent="0.25">
      <c r="B890" s="48">
        <f>+'Metrics - Articles'!C889</f>
        <v>0</v>
      </c>
      <c r="C890">
        <f>COUNTIF('Metrics - Articles'!F889,"*GPO (Partner, Ecosystem, Channels)*")</f>
        <v>0</v>
      </c>
      <c r="D890">
        <f>COUNTIF('Metrics - Articles'!F889,"*Office of the CEO*")</f>
        <v>0</v>
      </c>
      <c r="E890">
        <f>COUNTIF('Metrics - Articles'!F889,"*Services Delivery &amp; Support (go-lives and deployments) *")</f>
        <v>0</v>
      </c>
      <c r="F890">
        <f>COUNTIF('Metrics - Articles'!F889,"*Human Resources (SAP HR and employee stories)*")</f>
        <v>0</v>
      </c>
      <c r="G890">
        <f>COUNTIF('Metrics - Articles'!F889,"*P&amp;I (Research &amp; Development)*")</f>
        <v>0</v>
      </c>
      <c r="H890">
        <f>COUNTIF('Metrics - Articles'!F889,"*Business Network (Concur, Ariba, Fieldglass)*")</f>
        <v>0</v>
      </c>
      <c r="I890">
        <f>COUNTIF('Metrics - Articles'!F889,"*GCO – Regions*")</f>
        <v>0</v>
      </c>
      <c r="J890">
        <f>COUNTIF('Metrics - Articles'!F889,"*GCO – Platform Solutions*")</f>
        <v>0</v>
      </c>
      <c r="K890">
        <f>COUNTIF('Metrics - Articles'!F889,"*GCO – Industry Cloud *")</f>
        <v>0</v>
      </c>
      <c r="L890">
        <f>COUNTIF('Metrics - Articles'!F889,"*GCO – Customer Engagement &amp; Commerce (CRM &amp; hybris) *")</f>
        <v>0</v>
      </c>
      <c r="M890">
        <f>COUNTIF('Metrics - Articles'!F889,"*GCO – HR (SuccessFactors)*")</f>
        <v>0</v>
      </c>
      <c r="N890">
        <f>COUNTIF('Metrics - Articles'!F889,"*GCO – Services Sales*")</f>
        <v>0</v>
      </c>
      <c r="O890">
        <f>COUNTIF('Metrics - Articles'!F889,"*GCO – Other*")</f>
        <v>0</v>
      </c>
      <c r="P890">
        <f>COUNTIF('Metrics - Articles'!F889,"*Corporate*")</f>
        <v>0</v>
      </c>
      <c r="R890" s="53">
        <f t="shared" si="15"/>
        <v>0</v>
      </c>
    </row>
    <row r="891" spans="2:18" x14ac:dyDescent="0.25">
      <c r="B891" s="48">
        <f>+'Metrics - Articles'!C890</f>
        <v>0</v>
      </c>
      <c r="C891">
        <f>COUNTIF('Metrics - Articles'!F890,"*GPO (Partner, Ecosystem, Channels)*")</f>
        <v>0</v>
      </c>
      <c r="D891">
        <f>COUNTIF('Metrics - Articles'!F890,"*Office of the CEO*")</f>
        <v>0</v>
      </c>
      <c r="E891">
        <f>COUNTIF('Metrics - Articles'!F890,"*Services Delivery &amp; Support (go-lives and deployments) *")</f>
        <v>0</v>
      </c>
      <c r="F891">
        <f>COUNTIF('Metrics - Articles'!F890,"*Human Resources (SAP HR and employee stories)*")</f>
        <v>0</v>
      </c>
      <c r="G891">
        <f>COUNTIF('Metrics - Articles'!F890,"*P&amp;I (Research &amp; Development)*")</f>
        <v>0</v>
      </c>
      <c r="H891">
        <f>COUNTIF('Metrics - Articles'!F890,"*Business Network (Concur, Ariba, Fieldglass)*")</f>
        <v>0</v>
      </c>
      <c r="I891">
        <f>COUNTIF('Metrics - Articles'!F890,"*GCO – Regions*")</f>
        <v>0</v>
      </c>
      <c r="J891">
        <f>COUNTIF('Metrics - Articles'!F890,"*GCO – Platform Solutions*")</f>
        <v>0</v>
      </c>
      <c r="K891">
        <f>COUNTIF('Metrics - Articles'!F890,"*GCO – Industry Cloud *")</f>
        <v>0</v>
      </c>
      <c r="L891">
        <f>COUNTIF('Metrics - Articles'!F890,"*GCO – Customer Engagement &amp; Commerce (CRM &amp; hybris) *")</f>
        <v>0</v>
      </c>
      <c r="M891">
        <f>COUNTIF('Metrics - Articles'!F890,"*GCO – HR (SuccessFactors)*")</f>
        <v>0</v>
      </c>
      <c r="N891">
        <f>COUNTIF('Metrics - Articles'!F890,"*GCO – Services Sales*")</f>
        <v>0</v>
      </c>
      <c r="O891">
        <f>COUNTIF('Metrics - Articles'!F890,"*GCO – Other*")</f>
        <v>0</v>
      </c>
      <c r="P891">
        <f>COUNTIF('Metrics - Articles'!F890,"*Corporate*")</f>
        <v>0</v>
      </c>
      <c r="R891" s="53">
        <f t="shared" si="15"/>
        <v>0</v>
      </c>
    </row>
    <row r="892" spans="2:18" x14ac:dyDescent="0.25">
      <c r="B892" s="48">
        <f>+'Metrics - Articles'!C891</f>
        <v>0</v>
      </c>
      <c r="C892">
        <f>COUNTIF('Metrics - Articles'!F891,"*GPO (Partner, Ecosystem, Channels)*")</f>
        <v>0</v>
      </c>
      <c r="D892">
        <f>COUNTIF('Metrics - Articles'!F891,"*Office of the CEO*")</f>
        <v>0</v>
      </c>
      <c r="E892">
        <f>COUNTIF('Metrics - Articles'!F891,"*Services Delivery &amp; Support (go-lives and deployments) *")</f>
        <v>0</v>
      </c>
      <c r="F892">
        <f>COUNTIF('Metrics - Articles'!F891,"*Human Resources (SAP HR and employee stories)*")</f>
        <v>0</v>
      </c>
      <c r="G892">
        <f>COUNTIF('Metrics - Articles'!F891,"*P&amp;I (Research &amp; Development)*")</f>
        <v>0</v>
      </c>
      <c r="H892">
        <f>COUNTIF('Metrics - Articles'!F891,"*Business Network (Concur, Ariba, Fieldglass)*")</f>
        <v>0</v>
      </c>
      <c r="I892">
        <f>COUNTIF('Metrics - Articles'!F891,"*GCO – Regions*")</f>
        <v>0</v>
      </c>
      <c r="J892">
        <f>COUNTIF('Metrics - Articles'!F891,"*GCO – Platform Solutions*")</f>
        <v>0</v>
      </c>
      <c r="K892">
        <f>COUNTIF('Metrics - Articles'!F891,"*GCO – Industry Cloud *")</f>
        <v>0</v>
      </c>
      <c r="L892">
        <f>COUNTIF('Metrics - Articles'!F891,"*GCO – Customer Engagement &amp; Commerce (CRM &amp; hybris) *")</f>
        <v>0</v>
      </c>
      <c r="M892">
        <f>COUNTIF('Metrics - Articles'!F891,"*GCO – HR (SuccessFactors)*")</f>
        <v>0</v>
      </c>
      <c r="N892">
        <f>COUNTIF('Metrics - Articles'!F891,"*GCO – Services Sales*")</f>
        <v>0</v>
      </c>
      <c r="O892">
        <f>COUNTIF('Metrics - Articles'!F891,"*GCO – Other*")</f>
        <v>0</v>
      </c>
      <c r="P892">
        <f>COUNTIF('Metrics - Articles'!F891,"*Corporate*")</f>
        <v>0</v>
      </c>
      <c r="R892" s="53">
        <f t="shared" si="15"/>
        <v>0</v>
      </c>
    </row>
    <row r="893" spans="2:18" x14ac:dyDescent="0.25">
      <c r="B893" s="48">
        <f>+'Metrics - Articles'!C892</f>
        <v>0</v>
      </c>
      <c r="C893">
        <f>COUNTIF('Metrics - Articles'!F892,"*GPO (Partner, Ecosystem, Channels)*")</f>
        <v>0</v>
      </c>
      <c r="D893">
        <f>COUNTIF('Metrics - Articles'!F892,"*Office of the CEO*")</f>
        <v>0</v>
      </c>
      <c r="E893">
        <f>COUNTIF('Metrics - Articles'!F892,"*Services Delivery &amp; Support (go-lives and deployments) *")</f>
        <v>0</v>
      </c>
      <c r="F893">
        <f>COUNTIF('Metrics - Articles'!F892,"*Human Resources (SAP HR and employee stories)*")</f>
        <v>0</v>
      </c>
      <c r="G893">
        <f>COUNTIF('Metrics - Articles'!F892,"*P&amp;I (Research &amp; Development)*")</f>
        <v>0</v>
      </c>
      <c r="H893">
        <f>COUNTIF('Metrics - Articles'!F892,"*Business Network (Concur, Ariba, Fieldglass)*")</f>
        <v>0</v>
      </c>
      <c r="I893">
        <f>COUNTIF('Metrics - Articles'!F892,"*GCO – Regions*")</f>
        <v>0</v>
      </c>
      <c r="J893">
        <f>COUNTIF('Metrics - Articles'!F892,"*GCO – Platform Solutions*")</f>
        <v>0</v>
      </c>
      <c r="K893">
        <f>COUNTIF('Metrics - Articles'!F892,"*GCO – Industry Cloud *")</f>
        <v>0</v>
      </c>
      <c r="L893">
        <f>COUNTIF('Metrics - Articles'!F892,"*GCO – Customer Engagement &amp; Commerce (CRM &amp; hybris) *")</f>
        <v>0</v>
      </c>
      <c r="M893">
        <f>COUNTIF('Metrics - Articles'!F892,"*GCO – HR (SuccessFactors)*")</f>
        <v>0</v>
      </c>
      <c r="N893">
        <f>COUNTIF('Metrics - Articles'!F892,"*GCO – Services Sales*")</f>
        <v>0</v>
      </c>
      <c r="O893">
        <f>COUNTIF('Metrics - Articles'!F892,"*GCO – Other*")</f>
        <v>0</v>
      </c>
      <c r="P893">
        <f>COUNTIF('Metrics - Articles'!F892,"*Corporate*")</f>
        <v>0</v>
      </c>
      <c r="R893" s="53">
        <f t="shared" si="15"/>
        <v>0</v>
      </c>
    </row>
    <row r="894" spans="2:18" x14ac:dyDescent="0.25">
      <c r="B894" s="48">
        <f>+'Metrics - Articles'!C893</f>
        <v>0</v>
      </c>
      <c r="C894">
        <f>COUNTIF('Metrics - Articles'!F893,"*GPO (Partner, Ecosystem, Channels)*")</f>
        <v>0</v>
      </c>
      <c r="D894">
        <f>COUNTIF('Metrics - Articles'!F893,"*Office of the CEO*")</f>
        <v>0</v>
      </c>
      <c r="E894">
        <f>COUNTIF('Metrics - Articles'!F893,"*Services Delivery &amp; Support (go-lives and deployments) *")</f>
        <v>0</v>
      </c>
      <c r="F894">
        <f>COUNTIF('Metrics - Articles'!F893,"*Human Resources (SAP HR and employee stories)*")</f>
        <v>0</v>
      </c>
      <c r="G894">
        <f>COUNTIF('Metrics - Articles'!F893,"*P&amp;I (Research &amp; Development)*")</f>
        <v>0</v>
      </c>
      <c r="H894">
        <f>COUNTIF('Metrics - Articles'!F893,"*Business Network (Concur, Ariba, Fieldglass)*")</f>
        <v>0</v>
      </c>
      <c r="I894">
        <f>COUNTIF('Metrics - Articles'!F893,"*GCO – Regions*")</f>
        <v>0</v>
      </c>
      <c r="J894">
        <f>COUNTIF('Metrics - Articles'!F893,"*GCO – Platform Solutions*")</f>
        <v>0</v>
      </c>
      <c r="K894">
        <f>COUNTIF('Metrics - Articles'!F893,"*GCO – Industry Cloud *")</f>
        <v>0</v>
      </c>
      <c r="L894">
        <f>COUNTIF('Metrics - Articles'!F893,"*GCO – Customer Engagement &amp; Commerce (CRM &amp; hybris) *")</f>
        <v>0</v>
      </c>
      <c r="M894">
        <f>COUNTIF('Metrics - Articles'!F893,"*GCO – HR (SuccessFactors)*")</f>
        <v>0</v>
      </c>
      <c r="N894">
        <f>COUNTIF('Metrics - Articles'!F893,"*GCO – Services Sales*")</f>
        <v>0</v>
      </c>
      <c r="O894">
        <f>COUNTIF('Metrics - Articles'!F893,"*GCO – Other*")</f>
        <v>0</v>
      </c>
      <c r="P894">
        <f>COUNTIF('Metrics - Articles'!F893,"*Corporate*")</f>
        <v>0</v>
      </c>
      <c r="R894" s="53">
        <f t="shared" si="15"/>
        <v>0</v>
      </c>
    </row>
    <row r="895" spans="2:18" x14ac:dyDescent="0.25">
      <c r="B895" s="48">
        <f>+'Metrics - Articles'!C894</f>
        <v>0</v>
      </c>
      <c r="C895">
        <f>COUNTIF('Metrics - Articles'!F894,"*GPO (Partner, Ecosystem, Channels)*")</f>
        <v>0</v>
      </c>
      <c r="D895">
        <f>COUNTIF('Metrics - Articles'!F894,"*Office of the CEO*")</f>
        <v>0</v>
      </c>
      <c r="E895">
        <f>COUNTIF('Metrics - Articles'!F894,"*Services Delivery &amp; Support (go-lives and deployments) *")</f>
        <v>0</v>
      </c>
      <c r="F895">
        <f>COUNTIF('Metrics - Articles'!F894,"*Human Resources (SAP HR and employee stories)*")</f>
        <v>0</v>
      </c>
      <c r="G895">
        <f>COUNTIF('Metrics - Articles'!F894,"*P&amp;I (Research &amp; Development)*")</f>
        <v>0</v>
      </c>
      <c r="H895">
        <f>COUNTIF('Metrics - Articles'!F894,"*Business Network (Concur, Ariba, Fieldglass)*")</f>
        <v>0</v>
      </c>
      <c r="I895">
        <f>COUNTIF('Metrics - Articles'!F894,"*GCO – Regions*")</f>
        <v>0</v>
      </c>
      <c r="J895">
        <f>COUNTIF('Metrics - Articles'!F894,"*GCO – Platform Solutions*")</f>
        <v>0</v>
      </c>
      <c r="K895">
        <f>COUNTIF('Metrics - Articles'!F894,"*GCO – Industry Cloud *")</f>
        <v>0</v>
      </c>
      <c r="L895">
        <f>COUNTIF('Metrics - Articles'!F894,"*GCO – Customer Engagement &amp; Commerce (CRM &amp; hybris) *")</f>
        <v>0</v>
      </c>
      <c r="M895">
        <f>COUNTIF('Metrics - Articles'!F894,"*GCO – HR (SuccessFactors)*")</f>
        <v>0</v>
      </c>
      <c r="N895">
        <f>COUNTIF('Metrics - Articles'!F894,"*GCO – Services Sales*")</f>
        <v>0</v>
      </c>
      <c r="O895">
        <f>COUNTIF('Metrics - Articles'!F894,"*GCO – Other*")</f>
        <v>0</v>
      </c>
      <c r="P895">
        <f>COUNTIF('Metrics - Articles'!F894,"*Corporate*")</f>
        <v>0</v>
      </c>
      <c r="R895" s="53">
        <f t="shared" si="15"/>
        <v>0</v>
      </c>
    </row>
    <row r="896" spans="2:18" x14ac:dyDescent="0.25">
      <c r="B896" s="48">
        <f>+'Metrics - Articles'!C895</f>
        <v>0</v>
      </c>
      <c r="C896">
        <f>COUNTIF('Metrics - Articles'!F895,"*GPO (Partner, Ecosystem, Channels)*")</f>
        <v>0</v>
      </c>
      <c r="D896">
        <f>COUNTIF('Metrics - Articles'!F895,"*Office of the CEO*")</f>
        <v>0</v>
      </c>
      <c r="E896">
        <f>COUNTIF('Metrics - Articles'!F895,"*Services Delivery &amp; Support (go-lives and deployments) *")</f>
        <v>0</v>
      </c>
      <c r="F896">
        <f>COUNTIF('Metrics - Articles'!F895,"*Human Resources (SAP HR and employee stories)*")</f>
        <v>0</v>
      </c>
      <c r="G896">
        <f>COUNTIF('Metrics - Articles'!F895,"*P&amp;I (Research &amp; Development)*")</f>
        <v>0</v>
      </c>
      <c r="H896">
        <f>COUNTIF('Metrics - Articles'!F895,"*Business Network (Concur, Ariba, Fieldglass)*")</f>
        <v>0</v>
      </c>
      <c r="I896">
        <f>COUNTIF('Metrics - Articles'!F895,"*GCO – Regions*")</f>
        <v>0</v>
      </c>
      <c r="J896">
        <f>COUNTIF('Metrics - Articles'!F895,"*GCO – Platform Solutions*")</f>
        <v>0</v>
      </c>
      <c r="K896">
        <f>COUNTIF('Metrics - Articles'!F895,"*GCO – Industry Cloud *")</f>
        <v>0</v>
      </c>
      <c r="L896">
        <f>COUNTIF('Metrics - Articles'!F895,"*GCO – Customer Engagement &amp; Commerce (CRM &amp; hybris) *")</f>
        <v>0</v>
      </c>
      <c r="M896">
        <f>COUNTIF('Metrics - Articles'!F895,"*GCO – HR (SuccessFactors)*")</f>
        <v>0</v>
      </c>
      <c r="N896">
        <f>COUNTIF('Metrics - Articles'!F895,"*GCO – Services Sales*")</f>
        <v>0</v>
      </c>
      <c r="O896">
        <f>COUNTIF('Metrics - Articles'!F895,"*GCO – Other*")</f>
        <v>0</v>
      </c>
      <c r="P896">
        <f>COUNTIF('Metrics - Articles'!F895,"*Corporate*")</f>
        <v>0</v>
      </c>
      <c r="R896" s="53">
        <f t="shared" si="15"/>
        <v>0</v>
      </c>
    </row>
    <row r="897" spans="2:18" x14ac:dyDescent="0.25">
      <c r="B897" s="48">
        <f>+'Metrics - Articles'!C896</f>
        <v>0</v>
      </c>
      <c r="C897">
        <f>COUNTIF('Metrics - Articles'!F896,"*GPO (Partner, Ecosystem, Channels)*")</f>
        <v>0</v>
      </c>
      <c r="D897">
        <f>COUNTIF('Metrics - Articles'!F896,"*Office of the CEO*")</f>
        <v>0</v>
      </c>
      <c r="E897">
        <f>COUNTIF('Metrics - Articles'!F896,"*Services Delivery &amp; Support (go-lives and deployments) *")</f>
        <v>0</v>
      </c>
      <c r="F897">
        <f>COUNTIF('Metrics - Articles'!F896,"*Human Resources (SAP HR and employee stories)*")</f>
        <v>0</v>
      </c>
      <c r="G897">
        <f>COUNTIF('Metrics - Articles'!F896,"*P&amp;I (Research &amp; Development)*")</f>
        <v>0</v>
      </c>
      <c r="H897">
        <f>COUNTIF('Metrics - Articles'!F896,"*Business Network (Concur, Ariba, Fieldglass)*")</f>
        <v>0</v>
      </c>
      <c r="I897">
        <f>COUNTIF('Metrics - Articles'!F896,"*GCO – Regions*")</f>
        <v>0</v>
      </c>
      <c r="J897">
        <f>COUNTIF('Metrics - Articles'!F896,"*GCO – Platform Solutions*")</f>
        <v>0</v>
      </c>
      <c r="K897">
        <f>COUNTIF('Metrics - Articles'!F896,"*GCO – Industry Cloud *")</f>
        <v>0</v>
      </c>
      <c r="L897">
        <f>COUNTIF('Metrics - Articles'!F896,"*GCO – Customer Engagement &amp; Commerce (CRM &amp; hybris) *")</f>
        <v>0</v>
      </c>
      <c r="M897">
        <f>COUNTIF('Metrics - Articles'!F896,"*GCO – HR (SuccessFactors)*")</f>
        <v>0</v>
      </c>
      <c r="N897">
        <f>COUNTIF('Metrics - Articles'!F896,"*GCO – Services Sales*")</f>
        <v>0</v>
      </c>
      <c r="O897">
        <f>COUNTIF('Metrics - Articles'!F896,"*GCO – Other*")</f>
        <v>0</v>
      </c>
      <c r="P897">
        <f>COUNTIF('Metrics - Articles'!F896,"*Corporate*")</f>
        <v>0</v>
      </c>
      <c r="R897" s="53">
        <f t="shared" si="15"/>
        <v>0</v>
      </c>
    </row>
    <row r="898" spans="2:18" x14ac:dyDescent="0.25">
      <c r="B898" s="48">
        <f>+'Metrics - Articles'!C897</f>
        <v>0</v>
      </c>
      <c r="C898">
        <f>COUNTIF('Metrics - Articles'!F897,"*GPO (Partner, Ecosystem, Channels)*")</f>
        <v>0</v>
      </c>
      <c r="D898">
        <f>COUNTIF('Metrics - Articles'!F897,"*Office of the CEO*")</f>
        <v>0</v>
      </c>
      <c r="E898">
        <f>COUNTIF('Metrics - Articles'!F897,"*Services Delivery &amp; Support (go-lives and deployments) *")</f>
        <v>0</v>
      </c>
      <c r="F898">
        <f>COUNTIF('Metrics - Articles'!F897,"*Human Resources (SAP HR and employee stories)*")</f>
        <v>0</v>
      </c>
      <c r="G898">
        <f>COUNTIF('Metrics - Articles'!F897,"*P&amp;I (Research &amp; Development)*")</f>
        <v>0</v>
      </c>
      <c r="H898">
        <f>COUNTIF('Metrics - Articles'!F897,"*Business Network (Concur, Ariba, Fieldglass)*")</f>
        <v>0</v>
      </c>
      <c r="I898">
        <f>COUNTIF('Metrics - Articles'!F897,"*GCO – Regions*")</f>
        <v>0</v>
      </c>
      <c r="J898">
        <f>COUNTIF('Metrics - Articles'!F897,"*GCO – Platform Solutions*")</f>
        <v>0</v>
      </c>
      <c r="K898">
        <f>COUNTIF('Metrics - Articles'!F897,"*GCO – Industry Cloud *")</f>
        <v>0</v>
      </c>
      <c r="L898">
        <f>COUNTIF('Metrics - Articles'!F897,"*GCO – Customer Engagement &amp; Commerce (CRM &amp; hybris) *")</f>
        <v>0</v>
      </c>
      <c r="M898">
        <f>COUNTIF('Metrics - Articles'!F897,"*GCO – HR (SuccessFactors)*")</f>
        <v>0</v>
      </c>
      <c r="N898">
        <f>COUNTIF('Metrics - Articles'!F897,"*GCO – Services Sales*")</f>
        <v>0</v>
      </c>
      <c r="O898">
        <f>COUNTIF('Metrics - Articles'!F897,"*GCO – Other*")</f>
        <v>0</v>
      </c>
      <c r="P898">
        <f>COUNTIF('Metrics - Articles'!F897,"*Corporate*")</f>
        <v>0</v>
      </c>
      <c r="R898" s="53">
        <f t="shared" si="15"/>
        <v>0</v>
      </c>
    </row>
    <row r="899" spans="2:18" x14ac:dyDescent="0.25">
      <c r="B899" s="48">
        <f>+'Metrics - Articles'!C898</f>
        <v>0</v>
      </c>
      <c r="C899">
        <f>COUNTIF('Metrics - Articles'!F898,"*GPO (Partner, Ecosystem, Channels)*")</f>
        <v>0</v>
      </c>
      <c r="D899">
        <f>COUNTIF('Metrics - Articles'!F898,"*Office of the CEO*")</f>
        <v>0</v>
      </c>
      <c r="E899">
        <f>COUNTIF('Metrics - Articles'!F898,"*Services Delivery &amp; Support (go-lives and deployments) *")</f>
        <v>0</v>
      </c>
      <c r="F899">
        <f>COUNTIF('Metrics - Articles'!F898,"*Human Resources (SAP HR and employee stories)*")</f>
        <v>0</v>
      </c>
      <c r="G899">
        <f>COUNTIF('Metrics - Articles'!F898,"*P&amp;I (Research &amp; Development)*")</f>
        <v>0</v>
      </c>
      <c r="H899">
        <f>COUNTIF('Metrics - Articles'!F898,"*Business Network (Concur, Ariba, Fieldglass)*")</f>
        <v>0</v>
      </c>
      <c r="I899">
        <f>COUNTIF('Metrics - Articles'!F898,"*GCO – Regions*")</f>
        <v>0</v>
      </c>
      <c r="J899">
        <f>COUNTIF('Metrics - Articles'!F898,"*GCO – Platform Solutions*")</f>
        <v>0</v>
      </c>
      <c r="K899">
        <f>COUNTIF('Metrics - Articles'!F898,"*GCO – Industry Cloud *")</f>
        <v>0</v>
      </c>
      <c r="L899">
        <f>COUNTIF('Metrics - Articles'!F898,"*GCO – Customer Engagement &amp; Commerce (CRM &amp; hybris) *")</f>
        <v>0</v>
      </c>
      <c r="M899">
        <f>COUNTIF('Metrics - Articles'!F898,"*GCO – HR (SuccessFactors)*")</f>
        <v>0</v>
      </c>
      <c r="N899">
        <f>COUNTIF('Metrics - Articles'!F898,"*GCO – Services Sales*")</f>
        <v>0</v>
      </c>
      <c r="O899">
        <f>COUNTIF('Metrics - Articles'!F898,"*GCO – Other*")</f>
        <v>0</v>
      </c>
      <c r="P899">
        <f>COUNTIF('Metrics - Articles'!F898,"*Corporate*")</f>
        <v>0</v>
      </c>
      <c r="R899" s="53">
        <f t="shared" si="15"/>
        <v>0</v>
      </c>
    </row>
    <row r="900" spans="2:18" x14ac:dyDescent="0.25">
      <c r="B900" s="48">
        <f>+'Metrics - Articles'!C899</f>
        <v>0</v>
      </c>
      <c r="C900">
        <f>COUNTIF('Metrics - Articles'!F899,"*GPO (Partner, Ecosystem, Channels)*")</f>
        <v>0</v>
      </c>
      <c r="D900">
        <f>COUNTIF('Metrics - Articles'!F899,"*Office of the CEO*")</f>
        <v>0</v>
      </c>
      <c r="E900">
        <f>COUNTIF('Metrics - Articles'!F899,"*Services Delivery &amp; Support (go-lives and deployments) *")</f>
        <v>0</v>
      </c>
      <c r="F900">
        <f>COUNTIF('Metrics - Articles'!F899,"*Human Resources (SAP HR and employee stories)*")</f>
        <v>0</v>
      </c>
      <c r="G900">
        <f>COUNTIF('Metrics - Articles'!F899,"*P&amp;I (Research &amp; Development)*")</f>
        <v>0</v>
      </c>
      <c r="H900">
        <f>COUNTIF('Metrics - Articles'!F899,"*Business Network (Concur, Ariba, Fieldglass)*")</f>
        <v>0</v>
      </c>
      <c r="I900">
        <f>COUNTIF('Metrics - Articles'!F899,"*GCO – Regions*")</f>
        <v>0</v>
      </c>
      <c r="J900">
        <f>COUNTIF('Metrics - Articles'!F899,"*GCO – Platform Solutions*")</f>
        <v>0</v>
      </c>
      <c r="K900">
        <f>COUNTIF('Metrics - Articles'!F899,"*GCO – Industry Cloud *")</f>
        <v>0</v>
      </c>
      <c r="L900">
        <f>COUNTIF('Metrics - Articles'!F899,"*GCO – Customer Engagement &amp; Commerce (CRM &amp; hybris) *")</f>
        <v>0</v>
      </c>
      <c r="M900">
        <f>COUNTIF('Metrics - Articles'!F899,"*GCO – HR (SuccessFactors)*")</f>
        <v>0</v>
      </c>
      <c r="N900">
        <f>COUNTIF('Metrics - Articles'!F899,"*GCO – Services Sales*")</f>
        <v>0</v>
      </c>
      <c r="O900">
        <f>COUNTIF('Metrics - Articles'!F899,"*GCO – Other*")</f>
        <v>0</v>
      </c>
      <c r="P900">
        <f>COUNTIF('Metrics - Articles'!F899,"*Corporate*")</f>
        <v>0</v>
      </c>
      <c r="R900" s="53">
        <f t="shared" si="15"/>
        <v>0</v>
      </c>
    </row>
    <row r="901" spans="2:18" x14ac:dyDescent="0.25">
      <c r="B901" s="48">
        <f>+'Metrics - Articles'!C900</f>
        <v>0</v>
      </c>
      <c r="C901">
        <f>COUNTIF('Metrics - Articles'!F900,"*GPO (Partner, Ecosystem, Channels)*")</f>
        <v>0</v>
      </c>
      <c r="D901">
        <f>COUNTIF('Metrics - Articles'!F900,"*Office of the CEO*")</f>
        <v>0</v>
      </c>
      <c r="E901">
        <f>COUNTIF('Metrics - Articles'!F900,"*Services Delivery &amp; Support (go-lives and deployments) *")</f>
        <v>0</v>
      </c>
      <c r="F901">
        <f>COUNTIF('Metrics - Articles'!F900,"*Human Resources (SAP HR and employee stories)*")</f>
        <v>0</v>
      </c>
      <c r="G901">
        <f>COUNTIF('Metrics - Articles'!F900,"*P&amp;I (Research &amp; Development)*")</f>
        <v>0</v>
      </c>
      <c r="H901">
        <f>COUNTIF('Metrics - Articles'!F900,"*Business Network (Concur, Ariba, Fieldglass)*")</f>
        <v>0</v>
      </c>
      <c r="I901">
        <f>COUNTIF('Metrics - Articles'!F900,"*GCO – Regions*")</f>
        <v>0</v>
      </c>
      <c r="J901">
        <f>COUNTIF('Metrics - Articles'!F900,"*GCO – Platform Solutions*")</f>
        <v>0</v>
      </c>
      <c r="K901">
        <f>COUNTIF('Metrics - Articles'!F900,"*GCO – Industry Cloud *")</f>
        <v>0</v>
      </c>
      <c r="L901">
        <f>COUNTIF('Metrics - Articles'!F900,"*GCO – Customer Engagement &amp; Commerce (CRM &amp; hybris) *")</f>
        <v>0</v>
      </c>
      <c r="M901">
        <f>COUNTIF('Metrics - Articles'!F900,"*GCO – HR (SuccessFactors)*")</f>
        <v>0</v>
      </c>
      <c r="N901">
        <f>COUNTIF('Metrics - Articles'!F900,"*GCO – Services Sales*")</f>
        <v>0</v>
      </c>
      <c r="O901">
        <f>COUNTIF('Metrics - Articles'!F900,"*GCO – Other*")</f>
        <v>0</v>
      </c>
      <c r="P901">
        <f>COUNTIF('Metrics - Articles'!F900,"*Corporate*")</f>
        <v>0</v>
      </c>
      <c r="R901" s="53">
        <f t="shared" si="15"/>
        <v>0</v>
      </c>
    </row>
    <row r="902" spans="2:18" x14ac:dyDescent="0.25">
      <c r="B902" s="48">
        <f>+'Metrics - Articles'!C901</f>
        <v>0</v>
      </c>
      <c r="C902">
        <f>COUNTIF('Metrics - Articles'!F901,"*GPO (Partner, Ecosystem, Channels)*")</f>
        <v>0</v>
      </c>
      <c r="D902">
        <f>COUNTIF('Metrics - Articles'!F901,"*Office of the CEO*")</f>
        <v>0</v>
      </c>
      <c r="E902">
        <f>COUNTIF('Metrics - Articles'!F901,"*Services Delivery &amp; Support (go-lives and deployments) *")</f>
        <v>0</v>
      </c>
      <c r="F902">
        <f>COUNTIF('Metrics - Articles'!F901,"*Human Resources (SAP HR and employee stories)*")</f>
        <v>0</v>
      </c>
      <c r="G902">
        <f>COUNTIF('Metrics - Articles'!F901,"*P&amp;I (Research &amp; Development)*")</f>
        <v>0</v>
      </c>
      <c r="H902">
        <f>COUNTIF('Metrics - Articles'!F901,"*Business Network (Concur, Ariba, Fieldglass)*")</f>
        <v>0</v>
      </c>
      <c r="I902">
        <f>COUNTIF('Metrics - Articles'!F901,"*GCO – Regions*")</f>
        <v>0</v>
      </c>
      <c r="J902">
        <f>COUNTIF('Metrics - Articles'!F901,"*GCO – Platform Solutions*")</f>
        <v>0</v>
      </c>
      <c r="K902">
        <f>COUNTIF('Metrics - Articles'!F901,"*GCO – Industry Cloud *")</f>
        <v>0</v>
      </c>
      <c r="L902">
        <f>COUNTIF('Metrics - Articles'!F901,"*GCO – Customer Engagement &amp; Commerce (CRM &amp; hybris) *")</f>
        <v>0</v>
      </c>
      <c r="M902">
        <f>COUNTIF('Metrics - Articles'!F901,"*GCO – HR (SuccessFactors)*")</f>
        <v>0</v>
      </c>
      <c r="N902">
        <f>COUNTIF('Metrics - Articles'!F901,"*GCO – Services Sales*")</f>
        <v>0</v>
      </c>
      <c r="O902">
        <f>COUNTIF('Metrics - Articles'!F901,"*GCO – Other*")</f>
        <v>0</v>
      </c>
      <c r="P902">
        <f>COUNTIF('Metrics - Articles'!F901,"*Corporate*")</f>
        <v>0</v>
      </c>
      <c r="R902" s="53">
        <f t="shared" si="15"/>
        <v>0</v>
      </c>
    </row>
    <row r="903" spans="2:18" x14ac:dyDescent="0.25">
      <c r="B903" s="48">
        <f>+'Metrics - Articles'!C902</f>
        <v>0</v>
      </c>
      <c r="C903">
        <f>COUNTIF('Metrics - Articles'!F902,"*GPO (Partner, Ecosystem, Channels)*")</f>
        <v>0</v>
      </c>
      <c r="D903">
        <f>COUNTIF('Metrics - Articles'!F902,"*Office of the CEO*")</f>
        <v>0</v>
      </c>
      <c r="E903">
        <f>COUNTIF('Metrics - Articles'!F902,"*Services Delivery &amp; Support (go-lives and deployments) *")</f>
        <v>0</v>
      </c>
      <c r="F903">
        <f>COUNTIF('Metrics - Articles'!F902,"*Human Resources (SAP HR and employee stories)*")</f>
        <v>0</v>
      </c>
      <c r="G903">
        <f>COUNTIF('Metrics - Articles'!F902,"*P&amp;I (Research &amp; Development)*")</f>
        <v>0</v>
      </c>
      <c r="H903">
        <f>COUNTIF('Metrics - Articles'!F902,"*Business Network (Concur, Ariba, Fieldglass)*")</f>
        <v>0</v>
      </c>
      <c r="I903">
        <f>COUNTIF('Metrics - Articles'!F902,"*GCO – Regions*")</f>
        <v>0</v>
      </c>
      <c r="J903">
        <f>COUNTIF('Metrics - Articles'!F902,"*GCO – Platform Solutions*")</f>
        <v>0</v>
      </c>
      <c r="K903">
        <f>COUNTIF('Metrics - Articles'!F902,"*GCO – Industry Cloud *")</f>
        <v>0</v>
      </c>
      <c r="L903">
        <f>COUNTIF('Metrics - Articles'!F902,"*GCO – Customer Engagement &amp; Commerce (CRM &amp; hybris) *")</f>
        <v>0</v>
      </c>
      <c r="M903">
        <f>COUNTIF('Metrics - Articles'!F902,"*GCO – HR (SuccessFactors)*")</f>
        <v>0</v>
      </c>
      <c r="N903">
        <f>COUNTIF('Metrics - Articles'!F902,"*GCO – Services Sales*")</f>
        <v>0</v>
      </c>
      <c r="O903">
        <f>COUNTIF('Metrics - Articles'!F902,"*GCO – Other*")</f>
        <v>0</v>
      </c>
      <c r="P903">
        <f>COUNTIF('Metrics - Articles'!F902,"*Corporate*")</f>
        <v>0</v>
      </c>
      <c r="R903" s="53">
        <f t="shared" si="15"/>
        <v>0</v>
      </c>
    </row>
    <row r="904" spans="2:18" x14ac:dyDescent="0.25">
      <c r="B904" s="48">
        <f>+'Metrics - Articles'!C903</f>
        <v>0</v>
      </c>
      <c r="C904">
        <f>COUNTIF('Metrics - Articles'!F903,"*GPO (Partner, Ecosystem, Channels)*")</f>
        <v>0</v>
      </c>
      <c r="D904">
        <f>COUNTIF('Metrics - Articles'!F903,"*Office of the CEO*")</f>
        <v>0</v>
      </c>
      <c r="E904">
        <f>COUNTIF('Metrics - Articles'!F903,"*Services Delivery &amp; Support (go-lives and deployments) *")</f>
        <v>0</v>
      </c>
      <c r="F904">
        <f>COUNTIF('Metrics - Articles'!F903,"*Human Resources (SAP HR and employee stories)*")</f>
        <v>0</v>
      </c>
      <c r="G904">
        <f>COUNTIF('Metrics - Articles'!F903,"*P&amp;I (Research &amp; Development)*")</f>
        <v>0</v>
      </c>
      <c r="H904">
        <f>COUNTIF('Metrics - Articles'!F903,"*Business Network (Concur, Ariba, Fieldglass)*")</f>
        <v>0</v>
      </c>
      <c r="I904">
        <f>COUNTIF('Metrics - Articles'!F903,"*GCO – Regions*")</f>
        <v>0</v>
      </c>
      <c r="J904">
        <f>COUNTIF('Metrics - Articles'!F903,"*GCO – Platform Solutions*")</f>
        <v>0</v>
      </c>
      <c r="K904">
        <f>COUNTIF('Metrics - Articles'!F903,"*GCO – Industry Cloud *")</f>
        <v>0</v>
      </c>
      <c r="L904">
        <f>COUNTIF('Metrics - Articles'!F903,"*GCO – Customer Engagement &amp; Commerce (CRM &amp; hybris) *")</f>
        <v>0</v>
      </c>
      <c r="M904">
        <f>COUNTIF('Metrics - Articles'!F903,"*GCO – HR (SuccessFactors)*")</f>
        <v>0</v>
      </c>
      <c r="N904">
        <f>COUNTIF('Metrics - Articles'!F903,"*GCO – Services Sales*")</f>
        <v>0</v>
      </c>
      <c r="O904">
        <f>COUNTIF('Metrics - Articles'!F903,"*GCO – Other*")</f>
        <v>0</v>
      </c>
      <c r="P904">
        <f>COUNTIF('Metrics - Articles'!F903,"*Corporate*")</f>
        <v>0</v>
      </c>
      <c r="R904" s="53">
        <f t="shared" si="15"/>
        <v>0</v>
      </c>
    </row>
    <row r="905" spans="2:18" x14ac:dyDescent="0.25">
      <c r="B905" s="48">
        <f>+'Metrics - Articles'!C904</f>
        <v>0</v>
      </c>
      <c r="C905">
        <f>COUNTIF('Metrics - Articles'!F904,"*GPO (Partner, Ecosystem, Channels)*")</f>
        <v>0</v>
      </c>
      <c r="D905">
        <f>COUNTIF('Metrics - Articles'!F904,"*Office of the CEO*")</f>
        <v>0</v>
      </c>
      <c r="E905">
        <f>COUNTIF('Metrics - Articles'!F904,"*Services Delivery &amp; Support (go-lives and deployments) *")</f>
        <v>0</v>
      </c>
      <c r="F905">
        <f>COUNTIF('Metrics - Articles'!F904,"*Human Resources (SAP HR and employee stories)*")</f>
        <v>0</v>
      </c>
      <c r="G905">
        <f>COUNTIF('Metrics - Articles'!F904,"*P&amp;I (Research &amp; Development)*")</f>
        <v>0</v>
      </c>
      <c r="H905">
        <f>COUNTIF('Metrics - Articles'!F904,"*Business Network (Concur, Ariba, Fieldglass)*")</f>
        <v>0</v>
      </c>
      <c r="I905">
        <f>COUNTIF('Metrics - Articles'!F904,"*GCO – Regions*")</f>
        <v>0</v>
      </c>
      <c r="J905">
        <f>COUNTIF('Metrics - Articles'!F904,"*GCO – Platform Solutions*")</f>
        <v>0</v>
      </c>
      <c r="K905">
        <f>COUNTIF('Metrics - Articles'!F904,"*GCO – Industry Cloud *")</f>
        <v>0</v>
      </c>
      <c r="L905">
        <f>COUNTIF('Metrics - Articles'!F904,"*GCO – Customer Engagement &amp; Commerce (CRM &amp; hybris) *")</f>
        <v>0</v>
      </c>
      <c r="M905">
        <f>COUNTIF('Metrics - Articles'!F904,"*GCO – HR (SuccessFactors)*")</f>
        <v>0</v>
      </c>
      <c r="N905">
        <f>COUNTIF('Metrics - Articles'!F904,"*GCO – Services Sales*")</f>
        <v>0</v>
      </c>
      <c r="O905">
        <f>COUNTIF('Metrics - Articles'!F904,"*GCO – Other*")</f>
        <v>0</v>
      </c>
      <c r="P905">
        <f>COUNTIF('Metrics - Articles'!F904,"*Corporate*")</f>
        <v>0</v>
      </c>
      <c r="R905" s="53">
        <f t="shared" si="15"/>
        <v>0</v>
      </c>
    </row>
    <row r="906" spans="2:18" x14ac:dyDescent="0.25">
      <c r="B906" s="48">
        <f>+'Metrics - Articles'!C905</f>
        <v>0</v>
      </c>
      <c r="C906">
        <f>COUNTIF('Metrics - Articles'!F905,"*GPO (Partner, Ecosystem, Channels)*")</f>
        <v>0</v>
      </c>
      <c r="D906">
        <f>COUNTIF('Metrics - Articles'!F905,"*Office of the CEO*")</f>
        <v>0</v>
      </c>
      <c r="E906">
        <f>COUNTIF('Metrics - Articles'!F905,"*Services Delivery &amp; Support (go-lives and deployments) *")</f>
        <v>0</v>
      </c>
      <c r="F906">
        <f>COUNTIF('Metrics - Articles'!F905,"*Human Resources (SAP HR and employee stories)*")</f>
        <v>0</v>
      </c>
      <c r="G906">
        <f>COUNTIF('Metrics - Articles'!F905,"*P&amp;I (Research &amp; Development)*")</f>
        <v>0</v>
      </c>
      <c r="H906">
        <f>COUNTIF('Metrics - Articles'!F905,"*Business Network (Concur, Ariba, Fieldglass)*")</f>
        <v>0</v>
      </c>
      <c r="I906">
        <f>COUNTIF('Metrics - Articles'!F905,"*GCO – Regions*")</f>
        <v>0</v>
      </c>
      <c r="J906">
        <f>COUNTIF('Metrics - Articles'!F905,"*GCO – Platform Solutions*")</f>
        <v>0</v>
      </c>
      <c r="K906">
        <f>COUNTIF('Metrics - Articles'!F905,"*GCO – Industry Cloud *")</f>
        <v>0</v>
      </c>
      <c r="L906">
        <f>COUNTIF('Metrics - Articles'!F905,"*GCO – Customer Engagement &amp; Commerce (CRM &amp; hybris) *")</f>
        <v>0</v>
      </c>
      <c r="M906">
        <f>COUNTIF('Metrics - Articles'!F905,"*GCO – HR (SuccessFactors)*")</f>
        <v>0</v>
      </c>
      <c r="N906">
        <f>COUNTIF('Metrics - Articles'!F905,"*GCO – Services Sales*")</f>
        <v>0</v>
      </c>
      <c r="O906">
        <f>COUNTIF('Metrics - Articles'!F905,"*GCO – Other*")</f>
        <v>0</v>
      </c>
      <c r="P906">
        <f>COUNTIF('Metrics - Articles'!F905,"*Corporate*")</f>
        <v>0</v>
      </c>
      <c r="R906" s="53">
        <f t="shared" ref="R906:R969" si="16">SUM(C906:Q906)</f>
        <v>0</v>
      </c>
    </row>
    <row r="907" spans="2:18" x14ac:dyDescent="0.25">
      <c r="B907" s="48">
        <f>+'Metrics - Articles'!C906</f>
        <v>0</v>
      </c>
      <c r="C907">
        <f>COUNTIF('Metrics - Articles'!F906,"*GPO (Partner, Ecosystem, Channels)*")</f>
        <v>0</v>
      </c>
      <c r="D907">
        <f>COUNTIF('Metrics - Articles'!F906,"*Office of the CEO*")</f>
        <v>0</v>
      </c>
      <c r="E907">
        <f>COUNTIF('Metrics - Articles'!F906,"*Services Delivery &amp; Support (go-lives and deployments) *")</f>
        <v>0</v>
      </c>
      <c r="F907">
        <f>COUNTIF('Metrics - Articles'!F906,"*Human Resources (SAP HR and employee stories)*")</f>
        <v>0</v>
      </c>
      <c r="G907">
        <f>COUNTIF('Metrics - Articles'!F906,"*P&amp;I (Research &amp; Development)*")</f>
        <v>0</v>
      </c>
      <c r="H907">
        <f>COUNTIF('Metrics - Articles'!F906,"*Business Network (Concur, Ariba, Fieldglass)*")</f>
        <v>0</v>
      </c>
      <c r="I907">
        <f>COUNTIF('Metrics - Articles'!F906,"*GCO – Regions*")</f>
        <v>0</v>
      </c>
      <c r="J907">
        <f>COUNTIF('Metrics - Articles'!F906,"*GCO – Platform Solutions*")</f>
        <v>0</v>
      </c>
      <c r="K907">
        <f>COUNTIF('Metrics - Articles'!F906,"*GCO – Industry Cloud *")</f>
        <v>0</v>
      </c>
      <c r="L907">
        <f>COUNTIF('Metrics - Articles'!F906,"*GCO – Customer Engagement &amp; Commerce (CRM &amp; hybris) *")</f>
        <v>0</v>
      </c>
      <c r="M907">
        <f>COUNTIF('Metrics - Articles'!F906,"*GCO – HR (SuccessFactors)*")</f>
        <v>0</v>
      </c>
      <c r="N907">
        <f>COUNTIF('Metrics - Articles'!F906,"*GCO – Services Sales*")</f>
        <v>0</v>
      </c>
      <c r="O907">
        <f>COUNTIF('Metrics - Articles'!F906,"*GCO – Other*")</f>
        <v>0</v>
      </c>
      <c r="P907">
        <f>COUNTIF('Metrics - Articles'!F906,"*Corporate*")</f>
        <v>0</v>
      </c>
      <c r="R907" s="53">
        <f t="shared" si="16"/>
        <v>0</v>
      </c>
    </row>
    <row r="908" spans="2:18" x14ac:dyDescent="0.25">
      <c r="B908" s="48">
        <f>+'Metrics - Articles'!C907</f>
        <v>0</v>
      </c>
      <c r="C908">
        <f>COUNTIF('Metrics - Articles'!F907,"*GPO (Partner, Ecosystem, Channels)*")</f>
        <v>0</v>
      </c>
      <c r="D908">
        <f>COUNTIF('Metrics - Articles'!F907,"*Office of the CEO*")</f>
        <v>0</v>
      </c>
      <c r="E908">
        <f>COUNTIF('Metrics - Articles'!F907,"*Services Delivery &amp; Support (go-lives and deployments) *")</f>
        <v>0</v>
      </c>
      <c r="F908">
        <f>COUNTIF('Metrics - Articles'!F907,"*Human Resources (SAP HR and employee stories)*")</f>
        <v>0</v>
      </c>
      <c r="G908">
        <f>COUNTIF('Metrics - Articles'!F907,"*P&amp;I (Research &amp; Development)*")</f>
        <v>0</v>
      </c>
      <c r="H908">
        <f>COUNTIF('Metrics - Articles'!F907,"*Business Network (Concur, Ariba, Fieldglass)*")</f>
        <v>0</v>
      </c>
      <c r="I908">
        <f>COUNTIF('Metrics - Articles'!F907,"*GCO – Regions*")</f>
        <v>0</v>
      </c>
      <c r="J908">
        <f>COUNTIF('Metrics - Articles'!F907,"*GCO – Platform Solutions*")</f>
        <v>0</v>
      </c>
      <c r="K908">
        <f>COUNTIF('Metrics - Articles'!F907,"*GCO – Industry Cloud *")</f>
        <v>0</v>
      </c>
      <c r="L908">
        <f>COUNTIF('Metrics - Articles'!F907,"*GCO – Customer Engagement &amp; Commerce (CRM &amp; hybris) *")</f>
        <v>0</v>
      </c>
      <c r="M908">
        <f>COUNTIF('Metrics - Articles'!F907,"*GCO – HR (SuccessFactors)*")</f>
        <v>0</v>
      </c>
      <c r="N908">
        <f>COUNTIF('Metrics - Articles'!F907,"*GCO – Services Sales*")</f>
        <v>0</v>
      </c>
      <c r="O908">
        <f>COUNTIF('Metrics - Articles'!F907,"*GCO – Other*")</f>
        <v>0</v>
      </c>
      <c r="P908">
        <f>COUNTIF('Metrics - Articles'!F907,"*Corporate*")</f>
        <v>0</v>
      </c>
      <c r="R908" s="53">
        <f t="shared" si="16"/>
        <v>0</v>
      </c>
    </row>
    <row r="909" spans="2:18" x14ac:dyDescent="0.25">
      <c r="B909" s="48">
        <f>+'Metrics - Articles'!C908</f>
        <v>0</v>
      </c>
      <c r="C909">
        <f>COUNTIF('Metrics - Articles'!F908,"*GPO (Partner, Ecosystem, Channels)*")</f>
        <v>0</v>
      </c>
      <c r="D909">
        <f>COUNTIF('Metrics - Articles'!F908,"*Office of the CEO*")</f>
        <v>0</v>
      </c>
      <c r="E909">
        <f>COUNTIF('Metrics - Articles'!F908,"*Services Delivery &amp; Support (go-lives and deployments) *")</f>
        <v>0</v>
      </c>
      <c r="F909">
        <f>COUNTIF('Metrics - Articles'!F908,"*Human Resources (SAP HR and employee stories)*")</f>
        <v>0</v>
      </c>
      <c r="G909">
        <f>COUNTIF('Metrics - Articles'!F908,"*P&amp;I (Research &amp; Development)*")</f>
        <v>0</v>
      </c>
      <c r="H909">
        <f>COUNTIF('Metrics - Articles'!F908,"*Business Network (Concur, Ariba, Fieldglass)*")</f>
        <v>0</v>
      </c>
      <c r="I909">
        <f>COUNTIF('Metrics - Articles'!F908,"*GCO – Regions*")</f>
        <v>0</v>
      </c>
      <c r="J909">
        <f>COUNTIF('Metrics - Articles'!F908,"*GCO – Platform Solutions*")</f>
        <v>0</v>
      </c>
      <c r="K909">
        <f>COUNTIF('Metrics - Articles'!F908,"*GCO – Industry Cloud *")</f>
        <v>0</v>
      </c>
      <c r="L909">
        <f>COUNTIF('Metrics - Articles'!F908,"*GCO – Customer Engagement &amp; Commerce (CRM &amp; hybris) *")</f>
        <v>0</v>
      </c>
      <c r="M909">
        <f>COUNTIF('Metrics - Articles'!F908,"*GCO – HR (SuccessFactors)*")</f>
        <v>0</v>
      </c>
      <c r="N909">
        <f>COUNTIF('Metrics - Articles'!F908,"*GCO – Services Sales*")</f>
        <v>0</v>
      </c>
      <c r="O909">
        <f>COUNTIF('Metrics - Articles'!F908,"*GCO – Other*")</f>
        <v>0</v>
      </c>
      <c r="P909">
        <f>COUNTIF('Metrics - Articles'!F908,"*Corporate*")</f>
        <v>0</v>
      </c>
      <c r="R909" s="53">
        <f t="shared" si="16"/>
        <v>0</v>
      </c>
    </row>
    <row r="910" spans="2:18" x14ac:dyDescent="0.25">
      <c r="B910" s="48">
        <f>+'Metrics - Articles'!C909</f>
        <v>0</v>
      </c>
      <c r="C910">
        <f>COUNTIF('Metrics - Articles'!F909,"*GPO (Partner, Ecosystem, Channels)*")</f>
        <v>0</v>
      </c>
      <c r="D910">
        <f>COUNTIF('Metrics - Articles'!F909,"*Office of the CEO*")</f>
        <v>0</v>
      </c>
      <c r="E910">
        <f>COUNTIF('Metrics - Articles'!F909,"*Services Delivery &amp; Support (go-lives and deployments) *")</f>
        <v>0</v>
      </c>
      <c r="F910">
        <f>COUNTIF('Metrics - Articles'!F909,"*Human Resources (SAP HR and employee stories)*")</f>
        <v>0</v>
      </c>
      <c r="G910">
        <f>COUNTIF('Metrics - Articles'!F909,"*P&amp;I (Research &amp; Development)*")</f>
        <v>0</v>
      </c>
      <c r="H910">
        <f>COUNTIF('Metrics - Articles'!F909,"*Business Network (Concur, Ariba, Fieldglass)*")</f>
        <v>0</v>
      </c>
      <c r="I910">
        <f>COUNTIF('Metrics - Articles'!F909,"*GCO – Regions*")</f>
        <v>0</v>
      </c>
      <c r="J910">
        <f>COUNTIF('Metrics - Articles'!F909,"*GCO – Platform Solutions*")</f>
        <v>0</v>
      </c>
      <c r="K910">
        <f>COUNTIF('Metrics - Articles'!F909,"*GCO – Industry Cloud *")</f>
        <v>0</v>
      </c>
      <c r="L910">
        <f>COUNTIF('Metrics - Articles'!F909,"*GCO – Customer Engagement &amp; Commerce (CRM &amp; hybris) *")</f>
        <v>0</v>
      </c>
      <c r="M910">
        <f>COUNTIF('Metrics - Articles'!F909,"*GCO – HR (SuccessFactors)*")</f>
        <v>0</v>
      </c>
      <c r="N910">
        <f>COUNTIF('Metrics - Articles'!F909,"*GCO – Services Sales*")</f>
        <v>0</v>
      </c>
      <c r="O910">
        <f>COUNTIF('Metrics - Articles'!F909,"*GCO – Other*")</f>
        <v>0</v>
      </c>
      <c r="P910">
        <f>COUNTIF('Metrics - Articles'!F909,"*Corporate*")</f>
        <v>0</v>
      </c>
      <c r="R910" s="53">
        <f t="shared" si="16"/>
        <v>0</v>
      </c>
    </row>
    <row r="911" spans="2:18" x14ac:dyDescent="0.25">
      <c r="B911" s="48">
        <f>+'Metrics - Articles'!C910</f>
        <v>0</v>
      </c>
      <c r="C911">
        <f>COUNTIF('Metrics - Articles'!F910,"*GPO (Partner, Ecosystem, Channels)*")</f>
        <v>0</v>
      </c>
      <c r="D911">
        <f>COUNTIF('Metrics - Articles'!F910,"*Office of the CEO*")</f>
        <v>0</v>
      </c>
      <c r="E911">
        <f>COUNTIF('Metrics - Articles'!F910,"*Services Delivery &amp; Support (go-lives and deployments) *")</f>
        <v>0</v>
      </c>
      <c r="F911">
        <f>COUNTIF('Metrics - Articles'!F910,"*Human Resources (SAP HR and employee stories)*")</f>
        <v>0</v>
      </c>
      <c r="G911">
        <f>COUNTIF('Metrics - Articles'!F910,"*P&amp;I (Research &amp; Development)*")</f>
        <v>0</v>
      </c>
      <c r="H911">
        <f>COUNTIF('Metrics - Articles'!F910,"*Business Network (Concur, Ariba, Fieldglass)*")</f>
        <v>0</v>
      </c>
      <c r="I911">
        <f>COUNTIF('Metrics - Articles'!F910,"*GCO – Regions*")</f>
        <v>0</v>
      </c>
      <c r="J911">
        <f>COUNTIF('Metrics - Articles'!F910,"*GCO – Platform Solutions*")</f>
        <v>0</v>
      </c>
      <c r="K911">
        <f>COUNTIF('Metrics - Articles'!F910,"*GCO – Industry Cloud *")</f>
        <v>0</v>
      </c>
      <c r="L911">
        <f>COUNTIF('Metrics - Articles'!F910,"*GCO – Customer Engagement &amp; Commerce (CRM &amp; hybris) *")</f>
        <v>0</v>
      </c>
      <c r="M911">
        <f>COUNTIF('Metrics - Articles'!F910,"*GCO – HR (SuccessFactors)*")</f>
        <v>0</v>
      </c>
      <c r="N911">
        <f>COUNTIF('Metrics - Articles'!F910,"*GCO – Services Sales*")</f>
        <v>0</v>
      </c>
      <c r="O911">
        <f>COUNTIF('Metrics - Articles'!F910,"*GCO – Other*")</f>
        <v>0</v>
      </c>
      <c r="P911">
        <f>COUNTIF('Metrics - Articles'!F910,"*Corporate*")</f>
        <v>0</v>
      </c>
      <c r="R911" s="53">
        <f t="shared" si="16"/>
        <v>0</v>
      </c>
    </row>
    <row r="912" spans="2:18" x14ac:dyDescent="0.25">
      <c r="B912" s="48">
        <f>+'Metrics - Articles'!C911</f>
        <v>0</v>
      </c>
      <c r="C912">
        <f>COUNTIF('Metrics - Articles'!F911,"*GPO (Partner, Ecosystem, Channels)*")</f>
        <v>0</v>
      </c>
      <c r="D912">
        <f>COUNTIF('Metrics - Articles'!F911,"*Office of the CEO*")</f>
        <v>0</v>
      </c>
      <c r="E912">
        <f>COUNTIF('Metrics - Articles'!F911,"*Services Delivery &amp; Support (go-lives and deployments) *")</f>
        <v>0</v>
      </c>
      <c r="F912">
        <f>COUNTIF('Metrics - Articles'!F911,"*Human Resources (SAP HR and employee stories)*")</f>
        <v>0</v>
      </c>
      <c r="G912">
        <f>COUNTIF('Metrics - Articles'!F911,"*P&amp;I (Research &amp; Development)*")</f>
        <v>0</v>
      </c>
      <c r="H912">
        <f>COUNTIF('Metrics - Articles'!F911,"*Business Network (Concur, Ariba, Fieldglass)*")</f>
        <v>0</v>
      </c>
      <c r="I912">
        <f>COUNTIF('Metrics - Articles'!F911,"*GCO – Regions*")</f>
        <v>0</v>
      </c>
      <c r="J912">
        <f>COUNTIF('Metrics - Articles'!F911,"*GCO – Platform Solutions*")</f>
        <v>0</v>
      </c>
      <c r="K912">
        <f>COUNTIF('Metrics - Articles'!F911,"*GCO – Industry Cloud *")</f>
        <v>0</v>
      </c>
      <c r="L912">
        <f>COUNTIF('Metrics - Articles'!F911,"*GCO – Customer Engagement &amp; Commerce (CRM &amp; hybris) *")</f>
        <v>0</v>
      </c>
      <c r="M912">
        <f>COUNTIF('Metrics - Articles'!F911,"*GCO – HR (SuccessFactors)*")</f>
        <v>0</v>
      </c>
      <c r="N912">
        <f>COUNTIF('Metrics - Articles'!F911,"*GCO – Services Sales*")</f>
        <v>0</v>
      </c>
      <c r="O912">
        <f>COUNTIF('Metrics - Articles'!F911,"*GCO – Other*")</f>
        <v>0</v>
      </c>
      <c r="P912">
        <f>COUNTIF('Metrics - Articles'!F911,"*Corporate*")</f>
        <v>0</v>
      </c>
      <c r="R912" s="53">
        <f t="shared" si="16"/>
        <v>0</v>
      </c>
    </row>
    <row r="913" spans="2:18" x14ac:dyDescent="0.25">
      <c r="B913" s="48">
        <f>+'Metrics - Articles'!C912</f>
        <v>0</v>
      </c>
      <c r="C913">
        <f>COUNTIF('Metrics - Articles'!F912,"*GPO (Partner, Ecosystem, Channels)*")</f>
        <v>0</v>
      </c>
      <c r="D913">
        <f>COUNTIF('Metrics - Articles'!F912,"*Office of the CEO*")</f>
        <v>0</v>
      </c>
      <c r="E913">
        <f>COUNTIF('Metrics - Articles'!F912,"*Services Delivery &amp; Support (go-lives and deployments) *")</f>
        <v>0</v>
      </c>
      <c r="F913">
        <f>COUNTIF('Metrics - Articles'!F912,"*Human Resources (SAP HR and employee stories)*")</f>
        <v>0</v>
      </c>
      <c r="G913">
        <f>COUNTIF('Metrics - Articles'!F912,"*P&amp;I (Research &amp; Development)*")</f>
        <v>0</v>
      </c>
      <c r="H913">
        <f>COUNTIF('Metrics - Articles'!F912,"*Business Network (Concur, Ariba, Fieldglass)*")</f>
        <v>0</v>
      </c>
      <c r="I913">
        <f>COUNTIF('Metrics - Articles'!F912,"*GCO – Regions*")</f>
        <v>0</v>
      </c>
      <c r="J913">
        <f>COUNTIF('Metrics - Articles'!F912,"*GCO – Platform Solutions*")</f>
        <v>0</v>
      </c>
      <c r="K913">
        <f>COUNTIF('Metrics - Articles'!F912,"*GCO – Industry Cloud *")</f>
        <v>0</v>
      </c>
      <c r="L913">
        <f>COUNTIF('Metrics - Articles'!F912,"*GCO – Customer Engagement &amp; Commerce (CRM &amp; hybris) *")</f>
        <v>0</v>
      </c>
      <c r="M913">
        <f>COUNTIF('Metrics - Articles'!F912,"*GCO – HR (SuccessFactors)*")</f>
        <v>0</v>
      </c>
      <c r="N913">
        <f>COUNTIF('Metrics - Articles'!F912,"*GCO – Services Sales*")</f>
        <v>0</v>
      </c>
      <c r="O913">
        <f>COUNTIF('Metrics - Articles'!F912,"*GCO – Other*")</f>
        <v>0</v>
      </c>
      <c r="P913">
        <f>COUNTIF('Metrics - Articles'!F912,"*Corporate*")</f>
        <v>0</v>
      </c>
      <c r="R913" s="53">
        <f t="shared" si="16"/>
        <v>0</v>
      </c>
    </row>
    <row r="914" spans="2:18" x14ac:dyDescent="0.25">
      <c r="B914" s="48">
        <f>+'Metrics - Articles'!C913</f>
        <v>0</v>
      </c>
      <c r="C914">
        <f>COUNTIF('Metrics - Articles'!F913,"*GPO (Partner, Ecosystem, Channels)*")</f>
        <v>0</v>
      </c>
      <c r="D914">
        <f>COUNTIF('Metrics - Articles'!F913,"*Office of the CEO*")</f>
        <v>0</v>
      </c>
      <c r="E914">
        <f>COUNTIF('Metrics - Articles'!F913,"*Services Delivery &amp; Support (go-lives and deployments) *")</f>
        <v>0</v>
      </c>
      <c r="F914">
        <f>COUNTIF('Metrics - Articles'!F913,"*Human Resources (SAP HR and employee stories)*")</f>
        <v>0</v>
      </c>
      <c r="G914">
        <f>COUNTIF('Metrics - Articles'!F913,"*P&amp;I (Research &amp; Development)*")</f>
        <v>0</v>
      </c>
      <c r="H914">
        <f>COUNTIF('Metrics - Articles'!F913,"*Business Network (Concur, Ariba, Fieldglass)*")</f>
        <v>0</v>
      </c>
      <c r="I914">
        <f>COUNTIF('Metrics - Articles'!F913,"*GCO – Regions*")</f>
        <v>0</v>
      </c>
      <c r="J914">
        <f>COUNTIF('Metrics - Articles'!F913,"*GCO – Platform Solutions*")</f>
        <v>0</v>
      </c>
      <c r="K914">
        <f>COUNTIF('Metrics - Articles'!F913,"*GCO – Industry Cloud *")</f>
        <v>0</v>
      </c>
      <c r="L914">
        <f>COUNTIF('Metrics - Articles'!F913,"*GCO – Customer Engagement &amp; Commerce (CRM &amp; hybris) *")</f>
        <v>0</v>
      </c>
      <c r="M914">
        <f>COUNTIF('Metrics - Articles'!F913,"*GCO – HR (SuccessFactors)*")</f>
        <v>0</v>
      </c>
      <c r="N914">
        <f>COUNTIF('Metrics - Articles'!F913,"*GCO – Services Sales*")</f>
        <v>0</v>
      </c>
      <c r="O914">
        <f>COUNTIF('Metrics - Articles'!F913,"*GCO – Other*")</f>
        <v>0</v>
      </c>
      <c r="P914">
        <f>COUNTIF('Metrics - Articles'!F913,"*Corporate*")</f>
        <v>0</v>
      </c>
      <c r="R914" s="53">
        <f t="shared" si="16"/>
        <v>0</v>
      </c>
    </row>
    <row r="915" spans="2:18" x14ac:dyDescent="0.25">
      <c r="B915" s="48">
        <f>+'Metrics - Articles'!C914</f>
        <v>0</v>
      </c>
      <c r="C915">
        <f>COUNTIF('Metrics - Articles'!F914,"*GPO (Partner, Ecosystem, Channels)*")</f>
        <v>0</v>
      </c>
      <c r="D915">
        <f>COUNTIF('Metrics - Articles'!F914,"*Office of the CEO*")</f>
        <v>0</v>
      </c>
      <c r="E915">
        <f>COUNTIF('Metrics - Articles'!F914,"*Services Delivery &amp; Support (go-lives and deployments) *")</f>
        <v>0</v>
      </c>
      <c r="F915">
        <f>COUNTIF('Metrics - Articles'!F914,"*Human Resources (SAP HR and employee stories)*")</f>
        <v>0</v>
      </c>
      <c r="G915">
        <f>COUNTIF('Metrics - Articles'!F914,"*P&amp;I (Research &amp; Development)*")</f>
        <v>0</v>
      </c>
      <c r="H915">
        <f>COUNTIF('Metrics - Articles'!F914,"*Business Network (Concur, Ariba, Fieldglass)*")</f>
        <v>0</v>
      </c>
      <c r="I915">
        <f>COUNTIF('Metrics - Articles'!F914,"*GCO – Regions*")</f>
        <v>0</v>
      </c>
      <c r="J915">
        <f>COUNTIF('Metrics - Articles'!F914,"*GCO – Platform Solutions*")</f>
        <v>0</v>
      </c>
      <c r="K915">
        <f>COUNTIF('Metrics - Articles'!F914,"*GCO – Industry Cloud *")</f>
        <v>0</v>
      </c>
      <c r="L915">
        <f>COUNTIF('Metrics - Articles'!F914,"*GCO – Customer Engagement &amp; Commerce (CRM &amp; hybris) *")</f>
        <v>0</v>
      </c>
      <c r="M915">
        <f>COUNTIF('Metrics - Articles'!F914,"*GCO – HR (SuccessFactors)*")</f>
        <v>0</v>
      </c>
      <c r="N915">
        <f>COUNTIF('Metrics - Articles'!F914,"*GCO – Services Sales*")</f>
        <v>0</v>
      </c>
      <c r="O915">
        <f>COUNTIF('Metrics - Articles'!F914,"*GCO – Other*")</f>
        <v>0</v>
      </c>
      <c r="P915">
        <f>COUNTIF('Metrics - Articles'!F914,"*Corporate*")</f>
        <v>0</v>
      </c>
      <c r="R915" s="53">
        <f t="shared" si="16"/>
        <v>0</v>
      </c>
    </row>
    <row r="916" spans="2:18" x14ac:dyDescent="0.25">
      <c r="B916" s="48">
        <f>+'Metrics - Articles'!C915</f>
        <v>0</v>
      </c>
      <c r="C916">
        <f>COUNTIF('Metrics - Articles'!F915,"*GPO (Partner, Ecosystem, Channels)*")</f>
        <v>0</v>
      </c>
      <c r="D916">
        <f>COUNTIF('Metrics - Articles'!F915,"*Office of the CEO*")</f>
        <v>0</v>
      </c>
      <c r="E916">
        <f>COUNTIF('Metrics - Articles'!F915,"*Services Delivery &amp; Support (go-lives and deployments) *")</f>
        <v>0</v>
      </c>
      <c r="F916">
        <f>COUNTIF('Metrics - Articles'!F915,"*Human Resources (SAP HR and employee stories)*")</f>
        <v>0</v>
      </c>
      <c r="G916">
        <f>COUNTIF('Metrics - Articles'!F915,"*P&amp;I (Research &amp; Development)*")</f>
        <v>0</v>
      </c>
      <c r="H916">
        <f>COUNTIF('Metrics - Articles'!F915,"*Business Network (Concur, Ariba, Fieldglass)*")</f>
        <v>0</v>
      </c>
      <c r="I916">
        <f>COUNTIF('Metrics - Articles'!F915,"*GCO – Regions*")</f>
        <v>0</v>
      </c>
      <c r="J916">
        <f>COUNTIF('Metrics - Articles'!F915,"*GCO – Platform Solutions*")</f>
        <v>0</v>
      </c>
      <c r="K916">
        <f>COUNTIF('Metrics - Articles'!F915,"*GCO – Industry Cloud *")</f>
        <v>0</v>
      </c>
      <c r="L916">
        <f>COUNTIF('Metrics - Articles'!F915,"*GCO – Customer Engagement &amp; Commerce (CRM &amp; hybris) *")</f>
        <v>0</v>
      </c>
      <c r="M916">
        <f>COUNTIF('Metrics - Articles'!F915,"*GCO – HR (SuccessFactors)*")</f>
        <v>0</v>
      </c>
      <c r="N916">
        <f>COUNTIF('Metrics - Articles'!F915,"*GCO – Services Sales*")</f>
        <v>0</v>
      </c>
      <c r="O916">
        <f>COUNTIF('Metrics - Articles'!F915,"*GCO – Other*")</f>
        <v>0</v>
      </c>
      <c r="P916">
        <f>COUNTIF('Metrics - Articles'!F915,"*Corporate*")</f>
        <v>0</v>
      </c>
      <c r="R916" s="53">
        <f t="shared" si="16"/>
        <v>0</v>
      </c>
    </row>
    <row r="917" spans="2:18" x14ac:dyDescent="0.25">
      <c r="B917" s="48">
        <f>+'Metrics - Articles'!C916</f>
        <v>0</v>
      </c>
      <c r="C917">
        <f>COUNTIF('Metrics - Articles'!F916,"*GPO (Partner, Ecosystem, Channels)*")</f>
        <v>0</v>
      </c>
      <c r="D917">
        <f>COUNTIF('Metrics - Articles'!F916,"*Office of the CEO*")</f>
        <v>0</v>
      </c>
      <c r="E917">
        <f>COUNTIF('Metrics - Articles'!F916,"*Services Delivery &amp; Support (go-lives and deployments) *")</f>
        <v>0</v>
      </c>
      <c r="F917">
        <f>COUNTIF('Metrics - Articles'!F916,"*Human Resources (SAP HR and employee stories)*")</f>
        <v>0</v>
      </c>
      <c r="G917">
        <f>COUNTIF('Metrics - Articles'!F916,"*P&amp;I (Research &amp; Development)*")</f>
        <v>0</v>
      </c>
      <c r="H917">
        <f>COUNTIF('Metrics - Articles'!F916,"*Business Network (Concur, Ariba, Fieldglass)*")</f>
        <v>0</v>
      </c>
      <c r="I917">
        <f>COUNTIF('Metrics - Articles'!F916,"*GCO – Regions*")</f>
        <v>0</v>
      </c>
      <c r="J917">
        <f>COUNTIF('Metrics - Articles'!F916,"*GCO – Platform Solutions*")</f>
        <v>0</v>
      </c>
      <c r="K917">
        <f>COUNTIF('Metrics - Articles'!F916,"*GCO – Industry Cloud *")</f>
        <v>0</v>
      </c>
      <c r="L917">
        <f>COUNTIF('Metrics - Articles'!F916,"*GCO – Customer Engagement &amp; Commerce (CRM &amp; hybris) *")</f>
        <v>0</v>
      </c>
      <c r="M917">
        <f>COUNTIF('Metrics - Articles'!F916,"*GCO – HR (SuccessFactors)*")</f>
        <v>0</v>
      </c>
      <c r="N917">
        <f>COUNTIF('Metrics - Articles'!F916,"*GCO – Services Sales*")</f>
        <v>0</v>
      </c>
      <c r="O917">
        <f>COUNTIF('Metrics - Articles'!F916,"*GCO – Other*")</f>
        <v>0</v>
      </c>
      <c r="P917">
        <f>COUNTIF('Metrics - Articles'!F916,"*Corporate*")</f>
        <v>0</v>
      </c>
      <c r="R917" s="53">
        <f t="shared" si="16"/>
        <v>0</v>
      </c>
    </row>
    <row r="918" spans="2:18" x14ac:dyDescent="0.25">
      <c r="B918" s="48">
        <f>+'Metrics - Articles'!C917</f>
        <v>0</v>
      </c>
      <c r="C918">
        <f>COUNTIF('Metrics - Articles'!F917,"*GPO (Partner, Ecosystem, Channels)*")</f>
        <v>0</v>
      </c>
      <c r="D918">
        <f>COUNTIF('Metrics - Articles'!F917,"*Office of the CEO*")</f>
        <v>0</v>
      </c>
      <c r="E918">
        <f>COUNTIF('Metrics - Articles'!F917,"*Services Delivery &amp; Support (go-lives and deployments) *")</f>
        <v>0</v>
      </c>
      <c r="F918">
        <f>COUNTIF('Metrics - Articles'!F917,"*Human Resources (SAP HR and employee stories)*")</f>
        <v>0</v>
      </c>
      <c r="G918">
        <f>COUNTIF('Metrics - Articles'!F917,"*P&amp;I (Research &amp; Development)*")</f>
        <v>0</v>
      </c>
      <c r="H918">
        <f>COUNTIF('Metrics - Articles'!F917,"*Business Network (Concur, Ariba, Fieldglass)*")</f>
        <v>0</v>
      </c>
      <c r="I918">
        <f>COUNTIF('Metrics - Articles'!F917,"*GCO – Regions*")</f>
        <v>0</v>
      </c>
      <c r="J918">
        <f>COUNTIF('Metrics - Articles'!F917,"*GCO – Platform Solutions*")</f>
        <v>0</v>
      </c>
      <c r="K918">
        <f>COUNTIF('Metrics - Articles'!F917,"*GCO – Industry Cloud *")</f>
        <v>0</v>
      </c>
      <c r="L918">
        <f>COUNTIF('Metrics - Articles'!F917,"*GCO – Customer Engagement &amp; Commerce (CRM &amp; hybris) *")</f>
        <v>0</v>
      </c>
      <c r="M918">
        <f>COUNTIF('Metrics - Articles'!F917,"*GCO – HR (SuccessFactors)*")</f>
        <v>0</v>
      </c>
      <c r="N918">
        <f>COUNTIF('Metrics - Articles'!F917,"*GCO – Services Sales*")</f>
        <v>0</v>
      </c>
      <c r="O918">
        <f>COUNTIF('Metrics - Articles'!F917,"*GCO – Other*")</f>
        <v>0</v>
      </c>
      <c r="P918">
        <f>COUNTIF('Metrics - Articles'!F917,"*Corporate*")</f>
        <v>0</v>
      </c>
      <c r="R918" s="53">
        <f t="shared" si="16"/>
        <v>0</v>
      </c>
    </row>
    <row r="919" spans="2:18" x14ac:dyDescent="0.25">
      <c r="B919" s="48">
        <f>+'Metrics - Articles'!C918</f>
        <v>0</v>
      </c>
      <c r="C919">
        <f>COUNTIF('Metrics - Articles'!F918,"*GPO (Partner, Ecosystem, Channels)*")</f>
        <v>0</v>
      </c>
      <c r="D919">
        <f>COUNTIF('Metrics - Articles'!F918,"*Office of the CEO*")</f>
        <v>0</v>
      </c>
      <c r="E919">
        <f>COUNTIF('Metrics - Articles'!F918,"*Services Delivery &amp; Support (go-lives and deployments) *")</f>
        <v>0</v>
      </c>
      <c r="F919">
        <f>COUNTIF('Metrics - Articles'!F918,"*Human Resources (SAP HR and employee stories)*")</f>
        <v>0</v>
      </c>
      <c r="G919">
        <f>COUNTIF('Metrics - Articles'!F918,"*P&amp;I (Research &amp; Development)*")</f>
        <v>0</v>
      </c>
      <c r="H919">
        <f>COUNTIF('Metrics - Articles'!F918,"*Business Network (Concur, Ariba, Fieldglass)*")</f>
        <v>0</v>
      </c>
      <c r="I919">
        <f>COUNTIF('Metrics - Articles'!F918,"*GCO – Regions*")</f>
        <v>0</v>
      </c>
      <c r="J919">
        <f>COUNTIF('Metrics - Articles'!F918,"*GCO – Platform Solutions*")</f>
        <v>0</v>
      </c>
      <c r="K919">
        <f>COUNTIF('Metrics - Articles'!F918,"*GCO – Industry Cloud *")</f>
        <v>0</v>
      </c>
      <c r="L919">
        <f>COUNTIF('Metrics - Articles'!F918,"*GCO – Customer Engagement &amp; Commerce (CRM &amp; hybris) *")</f>
        <v>0</v>
      </c>
      <c r="M919">
        <f>COUNTIF('Metrics - Articles'!F918,"*GCO – HR (SuccessFactors)*")</f>
        <v>0</v>
      </c>
      <c r="N919">
        <f>COUNTIF('Metrics - Articles'!F918,"*GCO – Services Sales*")</f>
        <v>0</v>
      </c>
      <c r="O919">
        <f>COUNTIF('Metrics - Articles'!F918,"*GCO – Other*")</f>
        <v>0</v>
      </c>
      <c r="P919">
        <f>COUNTIF('Metrics - Articles'!F918,"*Corporate*")</f>
        <v>0</v>
      </c>
      <c r="R919" s="53">
        <f t="shared" si="16"/>
        <v>0</v>
      </c>
    </row>
    <row r="920" spans="2:18" x14ac:dyDescent="0.25">
      <c r="B920" s="48">
        <f>+'Metrics - Articles'!C919</f>
        <v>0</v>
      </c>
      <c r="C920">
        <f>COUNTIF('Metrics - Articles'!F919,"*GPO (Partner, Ecosystem, Channels)*")</f>
        <v>0</v>
      </c>
      <c r="D920">
        <f>COUNTIF('Metrics - Articles'!F919,"*Office of the CEO*")</f>
        <v>0</v>
      </c>
      <c r="E920">
        <f>COUNTIF('Metrics - Articles'!F919,"*Services Delivery &amp; Support (go-lives and deployments) *")</f>
        <v>0</v>
      </c>
      <c r="F920">
        <f>COUNTIF('Metrics - Articles'!F919,"*Human Resources (SAP HR and employee stories)*")</f>
        <v>0</v>
      </c>
      <c r="G920">
        <f>COUNTIF('Metrics - Articles'!F919,"*P&amp;I (Research &amp; Development)*")</f>
        <v>0</v>
      </c>
      <c r="H920">
        <f>COUNTIF('Metrics - Articles'!F919,"*Business Network (Concur, Ariba, Fieldglass)*")</f>
        <v>0</v>
      </c>
      <c r="I920">
        <f>COUNTIF('Metrics - Articles'!F919,"*GCO – Regions*")</f>
        <v>0</v>
      </c>
      <c r="J920">
        <f>COUNTIF('Metrics - Articles'!F919,"*GCO – Platform Solutions*")</f>
        <v>0</v>
      </c>
      <c r="K920">
        <f>COUNTIF('Metrics - Articles'!F919,"*GCO – Industry Cloud *")</f>
        <v>0</v>
      </c>
      <c r="L920">
        <f>COUNTIF('Metrics - Articles'!F919,"*GCO – Customer Engagement &amp; Commerce (CRM &amp; hybris) *")</f>
        <v>0</v>
      </c>
      <c r="M920">
        <f>COUNTIF('Metrics - Articles'!F919,"*GCO – HR (SuccessFactors)*")</f>
        <v>0</v>
      </c>
      <c r="N920">
        <f>COUNTIF('Metrics - Articles'!F919,"*GCO – Services Sales*")</f>
        <v>0</v>
      </c>
      <c r="O920">
        <f>COUNTIF('Metrics - Articles'!F919,"*GCO – Other*")</f>
        <v>0</v>
      </c>
      <c r="P920">
        <f>COUNTIF('Metrics - Articles'!F919,"*Corporate*")</f>
        <v>0</v>
      </c>
      <c r="R920" s="53">
        <f t="shared" si="16"/>
        <v>0</v>
      </c>
    </row>
    <row r="921" spans="2:18" x14ac:dyDescent="0.25">
      <c r="B921" s="48">
        <f>+'Metrics - Articles'!C920</f>
        <v>0</v>
      </c>
      <c r="C921">
        <f>COUNTIF('Metrics - Articles'!F920,"*GPO (Partner, Ecosystem, Channels)*")</f>
        <v>0</v>
      </c>
      <c r="D921">
        <f>COUNTIF('Metrics - Articles'!F920,"*Office of the CEO*")</f>
        <v>0</v>
      </c>
      <c r="E921">
        <f>COUNTIF('Metrics - Articles'!F920,"*Services Delivery &amp; Support (go-lives and deployments) *")</f>
        <v>0</v>
      </c>
      <c r="F921">
        <f>COUNTIF('Metrics - Articles'!F920,"*Human Resources (SAP HR and employee stories)*")</f>
        <v>0</v>
      </c>
      <c r="G921">
        <f>COUNTIF('Metrics - Articles'!F920,"*P&amp;I (Research &amp; Development)*")</f>
        <v>0</v>
      </c>
      <c r="H921">
        <f>COUNTIF('Metrics - Articles'!F920,"*Business Network (Concur, Ariba, Fieldglass)*")</f>
        <v>0</v>
      </c>
      <c r="I921">
        <f>COUNTIF('Metrics - Articles'!F920,"*GCO – Regions*")</f>
        <v>0</v>
      </c>
      <c r="J921">
        <f>COUNTIF('Metrics - Articles'!F920,"*GCO – Platform Solutions*")</f>
        <v>0</v>
      </c>
      <c r="K921">
        <f>COUNTIF('Metrics - Articles'!F920,"*GCO – Industry Cloud *")</f>
        <v>0</v>
      </c>
      <c r="L921">
        <f>COUNTIF('Metrics - Articles'!F920,"*GCO – Customer Engagement &amp; Commerce (CRM &amp; hybris) *")</f>
        <v>0</v>
      </c>
      <c r="M921">
        <f>COUNTIF('Metrics - Articles'!F920,"*GCO – HR (SuccessFactors)*")</f>
        <v>0</v>
      </c>
      <c r="N921">
        <f>COUNTIF('Metrics - Articles'!F920,"*GCO – Services Sales*")</f>
        <v>0</v>
      </c>
      <c r="O921">
        <f>COUNTIF('Metrics - Articles'!F920,"*GCO – Other*")</f>
        <v>0</v>
      </c>
      <c r="P921">
        <f>COUNTIF('Metrics - Articles'!F920,"*Corporate*")</f>
        <v>0</v>
      </c>
      <c r="R921" s="53">
        <f t="shared" si="16"/>
        <v>0</v>
      </c>
    </row>
    <row r="922" spans="2:18" x14ac:dyDescent="0.25">
      <c r="B922" s="48">
        <f>+'Metrics - Articles'!C921</f>
        <v>0</v>
      </c>
      <c r="C922">
        <f>COUNTIF('Metrics - Articles'!F921,"*GPO (Partner, Ecosystem, Channels)*")</f>
        <v>0</v>
      </c>
      <c r="D922">
        <f>COUNTIF('Metrics - Articles'!F921,"*Office of the CEO*")</f>
        <v>0</v>
      </c>
      <c r="E922">
        <f>COUNTIF('Metrics - Articles'!F921,"*Services Delivery &amp; Support (go-lives and deployments) *")</f>
        <v>0</v>
      </c>
      <c r="F922">
        <f>COUNTIF('Metrics - Articles'!F921,"*Human Resources (SAP HR and employee stories)*")</f>
        <v>0</v>
      </c>
      <c r="G922">
        <f>COUNTIF('Metrics - Articles'!F921,"*P&amp;I (Research &amp; Development)*")</f>
        <v>0</v>
      </c>
      <c r="H922">
        <f>COUNTIF('Metrics - Articles'!F921,"*Business Network (Concur, Ariba, Fieldglass)*")</f>
        <v>0</v>
      </c>
      <c r="I922">
        <f>COUNTIF('Metrics - Articles'!F921,"*GCO – Regions*")</f>
        <v>0</v>
      </c>
      <c r="J922">
        <f>COUNTIF('Metrics - Articles'!F921,"*GCO – Platform Solutions*")</f>
        <v>0</v>
      </c>
      <c r="K922">
        <f>COUNTIF('Metrics - Articles'!F921,"*GCO – Industry Cloud *")</f>
        <v>0</v>
      </c>
      <c r="L922">
        <f>COUNTIF('Metrics - Articles'!F921,"*GCO – Customer Engagement &amp; Commerce (CRM &amp; hybris) *")</f>
        <v>0</v>
      </c>
      <c r="M922">
        <f>COUNTIF('Metrics - Articles'!F921,"*GCO – HR (SuccessFactors)*")</f>
        <v>0</v>
      </c>
      <c r="N922">
        <f>COUNTIF('Metrics - Articles'!F921,"*GCO – Services Sales*")</f>
        <v>0</v>
      </c>
      <c r="O922">
        <f>COUNTIF('Metrics - Articles'!F921,"*GCO – Other*")</f>
        <v>0</v>
      </c>
      <c r="P922">
        <f>COUNTIF('Metrics - Articles'!F921,"*Corporate*")</f>
        <v>0</v>
      </c>
      <c r="R922" s="53">
        <f t="shared" si="16"/>
        <v>0</v>
      </c>
    </row>
    <row r="923" spans="2:18" x14ac:dyDescent="0.25">
      <c r="B923" s="48">
        <f>+'Metrics - Articles'!C922</f>
        <v>0</v>
      </c>
      <c r="C923">
        <f>COUNTIF('Metrics - Articles'!F922,"*GPO (Partner, Ecosystem, Channels)*")</f>
        <v>0</v>
      </c>
      <c r="D923">
        <f>COUNTIF('Metrics - Articles'!F922,"*Office of the CEO*")</f>
        <v>0</v>
      </c>
      <c r="E923">
        <f>COUNTIF('Metrics - Articles'!F922,"*Services Delivery &amp; Support (go-lives and deployments) *")</f>
        <v>0</v>
      </c>
      <c r="F923">
        <f>COUNTIF('Metrics - Articles'!F922,"*Human Resources (SAP HR and employee stories)*")</f>
        <v>0</v>
      </c>
      <c r="G923">
        <f>COUNTIF('Metrics - Articles'!F922,"*P&amp;I (Research &amp; Development)*")</f>
        <v>0</v>
      </c>
      <c r="H923">
        <f>COUNTIF('Metrics - Articles'!F922,"*Business Network (Concur, Ariba, Fieldglass)*")</f>
        <v>0</v>
      </c>
      <c r="I923">
        <f>COUNTIF('Metrics - Articles'!F922,"*GCO – Regions*")</f>
        <v>0</v>
      </c>
      <c r="J923">
        <f>COUNTIF('Metrics - Articles'!F922,"*GCO – Platform Solutions*")</f>
        <v>0</v>
      </c>
      <c r="K923">
        <f>COUNTIF('Metrics - Articles'!F922,"*GCO – Industry Cloud *")</f>
        <v>0</v>
      </c>
      <c r="L923">
        <f>COUNTIF('Metrics - Articles'!F922,"*GCO – Customer Engagement &amp; Commerce (CRM &amp; hybris) *")</f>
        <v>0</v>
      </c>
      <c r="M923">
        <f>COUNTIF('Metrics - Articles'!F922,"*GCO – HR (SuccessFactors)*")</f>
        <v>0</v>
      </c>
      <c r="N923">
        <f>COUNTIF('Metrics - Articles'!F922,"*GCO – Services Sales*")</f>
        <v>0</v>
      </c>
      <c r="O923">
        <f>COUNTIF('Metrics - Articles'!F922,"*GCO – Other*")</f>
        <v>0</v>
      </c>
      <c r="P923">
        <f>COUNTIF('Metrics - Articles'!F922,"*Corporate*")</f>
        <v>0</v>
      </c>
      <c r="R923" s="53">
        <f t="shared" si="16"/>
        <v>0</v>
      </c>
    </row>
    <row r="924" spans="2:18" x14ac:dyDescent="0.25">
      <c r="B924" s="48">
        <f>+'Metrics - Articles'!C923</f>
        <v>0</v>
      </c>
      <c r="C924">
        <f>COUNTIF('Metrics - Articles'!F923,"*GPO (Partner, Ecosystem, Channels)*")</f>
        <v>0</v>
      </c>
      <c r="D924">
        <f>COUNTIF('Metrics - Articles'!F923,"*Office of the CEO*")</f>
        <v>0</v>
      </c>
      <c r="E924">
        <f>COUNTIF('Metrics - Articles'!F923,"*Services Delivery &amp; Support (go-lives and deployments) *")</f>
        <v>0</v>
      </c>
      <c r="F924">
        <f>COUNTIF('Metrics - Articles'!F923,"*Human Resources (SAP HR and employee stories)*")</f>
        <v>0</v>
      </c>
      <c r="G924">
        <f>COUNTIF('Metrics - Articles'!F923,"*P&amp;I (Research &amp; Development)*")</f>
        <v>0</v>
      </c>
      <c r="H924">
        <f>COUNTIF('Metrics - Articles'!F923,"*Business Network (Concur, Ariba, Fieldglass)*")</f>
        <v>0</v>
      </c>
      <c r="I924">
        <f>COUNTIF('Metrics - Articles'!F923,"*GCO – Regions*")</f>
        <v>0</v>
      </c>
      <c r="J924">
        <f>COUNTIF('Metrics - Articles'!F923,"*GCO – Platform Solutions*")</f>
        <v>0</v>
      </c>
      <c r="K924">
        <f>COUNTIF('Metrics - Articles'!F923,"*GCO – Industry Cloud *")</f>
        <v>0</v>
      </c>
      <c r="L924">
        <f>COUNTIF('Metrics - Articles'!F923,"*GCO – Customer Engagement &amp; Commerce (CRM &amp; hybris) *")</f>
        <v>0</v>
      </c>
      <c r="M924">
        <f>COUNTIF('Metrics - Articles'!F923,"*GCO – HR (SuccessFactors)*")</f>
        <v>0</v>
      </c>
      <c r="N924">
        <f>COUNTIF('Metrics - Articles'!F923,"*GCO – Services Sales*")</f>
        <v>0</v>
      </c>
      <c r="O924">
        <f>COUNTIF('Metrics - Articles'!F923,"*GCO – Other*")</f>
        <v>0</v>
      </c>
      <c r="P924">
        <f>COUNTIF('Metrics - Articles'!F923,"*Corporate*")</f>
        <v>0</v>
      </c>
      <c r="R924" s="53">
        <f t="shared" si="16"/>
        <v>0</v>
      </c>
    </row>
    <row r="925" spans="2:18" x14ac:dyDescent="0.25">
      <c r="B925" s="48">
        <f>+'Metrics - Articles'!C924</f>
        <v>0</v>
      </c>
      <c r="C925">
        <f>COUNTIF('Metrics - Articles'!F924,"*GPO (Partner, Ecosystem, Channels)*")</f>
        <v>0</v>
      </c>
      <c r="D925">
        <f>COUNTIF('Metrics - Articles'!F924,"*Office of the CEO*")</f>
        <v>0</v>
      </c>
      <c r="E925">
        <f>COUNTIF('Metrics - Articles'!F924,"*Services Delivery &amp; Support (go-lives and deployments) *")</f>
        <v>0</v>
      </c>
      <c r="F925">
        <f>COUNTIF('Metrics - Articles'!F924,"*Human Resources (SAP HR and employee stories)*")</f>
        <v>0</v>
      </c>
      <c r="G925">
        <f>COUNTIF('Metrics - Articles'!F924,"*P&amp;I (Research &amp; Development)*")</f>
        <v>0</v>
      </c>
      <c r="H925">
        <f>COUNTIF('Metrics - Articles'!F924,"*Business Network (Concur, Ariba, Fieldglass)*")</f>
        <v>0</v>
      </c>
      <c r="I925">
        <f>COUNTIF('Metrics - Articles'!F924,"*GCO – Regions*")</f>
        <v>0</v>
      </c>
      <c r="J925">
        <f>COUNTIF('Metrics - Articles'!F924,"*GCO – Platform Solutions*")</f>
        <v>0</v>
      </c>
      <c r="K925">
        <f>COUNTIF('Metrics - Articles'!F924,"*GCO – Industry Cloud *")</f>
        <v>0</v>
      </c>
      <c r="L925">
        <f>COUNTIF('Metrics - Articles'!F924,"*GCO – Customer Engagement &amp; Commerce (CRM &amp; hybris) *")</f>
        <v>0</v>
      </c>
      <c r="M925">
        <f>COUNTIF('Metrics - Articles'!F924,"*GCO – HR (SuccessFactors)*")</f>
        <v>0</v>
      </c>
      <c r="N925">
        <f>COUNTIF('Metrics - Articles'!F924,"*GCO – Services Sales*")</f>
        <v>0</v>
      </c>
      <c r="O925">
        <f>COUNTIF('Metrics - Articles'!F924,"*GCO – Other*")</f>
        <v>0</v>
      </c>
      <c r="P925">
        <f>COUNTIF('Metrics - Articles'!F924,"*Corporate*")</f>
        <v>0</v>
      </c>
      <c r="R925" s="53">
        <f t="shared" si="16"/>
        <v>0</v>
      </c>
    </row>
    <row r="926" spans="2:18" x14ac:dyDescent="0.25">
      <c r="B926" s="48">
        <f>+'Metrics - Articles'!C925</f>
        <v>0</v>
      </c>
      <c r="C926">
        <f>COUNTIF('Metrics - Articles'!F925,"*GPO (Partner, Ecosystem, Channels)*")</f>
        <v>0</v>
      </c>
      <c r="D926">
        <f>COUNTIF('Metrics - Articles'!F925,"*Office of the CEO*")</f>
        <v>0</v>
      </c>
      <c r="E926">
        <f>COUNTIF('Metrics - Articles'!F925,"*Services Delivery &amp; Support (go-lives and deployments) *")</f>
        <v>0</v>
      </c>
      <c r="F926">
        <f>COUNTIF('Metrics - Articles'!F925,"*Human Resources (SAP HR and employee stories)*")</f>
        <v>0</v>
      </c>
      <c r="G926">
        <f>COUNTIF('Metrics - Articles'!F925,"*P&amp;I (Research &amp; Development)*")</f>
        <v>0</v>
      </c>
      <c r="H926">
        <f>COUNTIF('Metrics - Articles'!F925,"*Business Network (Concur, Ariba, Fieldglass)*")</f>
        <v>0</v>
      </c>
      <c r="I926">
        <f>COUNTIF('Metrics - Articles'!F925,"*GCO – Regions*")</f>
        <v>0</v>
      </c>
      <c r="J926">
        <f>COUNTIF('Metrics - Articles'!F925,"*GCO – Platform Solutions*")</f>
        <v>0</v>
      </c>
      <c r="K926">
        <f>COUNTIF('Metrics - Articles'!F925,"*GCO – Industry Cloud *")</f>
        <v>0</v>
      </c>
      <c r="L926">
        <f>COUNTIF('Metrics - Articles'!F925,"*GCO – Customer Engagement &amp; Commerce (CRM &amp; hybris) *")</f>
        <v>0</v>
      </c>
      <c r="M926">
        <f>COUNTIF('Metrics - Articles'!F925,"*GCO – HR (SuccessFactors)*")</f>
        <v>0</v>
      </c>
      <c r="N926">
        <f>COUNTIF('Metrics - Articles'!F925,"*GCO – Services Sales*")</f>
        <v>0</v>
      </c>
      <c r="O926">
        <f>COUNTIF('Metrics - Articles'!F925,"*GCO – Other*")</f>
        <v>0</v>
      </c>
      <c r="P926">
        <f>COUNTIF('Metrics - Articles'!F925,"*Corporate*")</f>
        <v>0</v>
      </c>
      <c r="R926" s="53">
        <f t="shared" si="16"/>
        <v>0</v>
      </c>
    </row>
    <row r="927" spans="2:18" x14ac:dyDescent="0.25">
      <c r="B927" s="48">
        <f>+'Metrics - Articles'!C926</f>
        <v>0</v>
      </c>
      <c r="C927">
        <f>COUNTIF('Metrics - Articles'!F926,"*GPO (Partner, Ecosystem, Channels)*")</f>
        <v>0</v>
      </c>
      <c r="D927">
        <f>COUNTIF('Metrics - Articles'!F926,"*Office of the CEO*")</f>
        <v>0</v>
      </c>
      <c r="E927">
        <f>COUNTIF('Metrics - Articles'!F926,"*Services Delivery &amp; Support (go-lives and deployments) *")</f>
        <v>0</v>
      </c>
      <c r="F927">
        <f>COUNTIF('Metrics - Articles'!F926,"*Human Resources (SAP HR and employee stories)*")</f>
        <v>0</v>
      </c>
      <c r="G927">
        <f>COUNTIF('Metrics - Articles'!F926,"*P&amp;I (Research &amp; Development)*")</f>
        <v>0</v>
      </c>
      <c r="H927">
        <f>COUNTIF('Metrics - Articles'!F926,"*Business Network (Concur, Ariba, Fieldglass)*")</f>
        <v>0</v>
      </c>
      <c r="I927">
        <f>COUNTIF('Metrics - Articles'!F926,"*GCO – Regions*")</f>
        <v>0</v>
      </c>
      <c r="J927">
        <f>COUNTIF('Metrics - Articles'!F926,"*GCO – Platform Solutions*")</f>
        <v>0</v>
      </c>
      <c r="K927">
        <f>COUNTIF('Metrics - Articles'!F926,"*GCO – Industry Cloud *")</f>
        <v>0</v>
      </c>
      <c r="L927">
        <f>COUNTIF('Metrics - Articles'!F926,"*GCO – Customer Engagement &amp; Commerce (CRM &amp; hybris) *")</f>
        <v>0</v>
      </c>
      <c r="M927">
        <f>COUNTIF('Metrics - Articles'!F926,"*GCO – HR (SuccessFactors)*")</f>
        <v>0</v>
      </c>
      <c r="N927">
        <f>COUNTIF('Metrics - Articles'!F926,"*GCO – Services Sales*")</f>
        <v>0</v>
      </c>
      <c r="O927">
        <f>COUNTIF('Metrics - Articles'!F926,"*GCO – Other*")</f>
        <v>0</v>
      </c>
      <c r="P927">
        <f>COUNTIF('Metrics - Articles'!F926,"*Corporate*")</f>
        <v>0</v>
      </c>
      <c r="R927" s="53">
        <f t="shared" si="16"/>
        <v>0</v>
      </c>
    </row>
    <row r="928" spans="2:18" x14ac:dyDescent="0.25">
      <c r="B928" s="48">
        <f>+'Metrics - Articles'!C927</f>
        <v>0</v>
      </c>
      <c r="C928">
        <f>COUNTIF('Metrics - Articles'!F927,"*GPO (Partner, Ecosystem, Channels)*")</f>
        <v>0</v>
      </c>
      <c r="D928">
        <f>COUNTIF('Metrics - Articles'!F927,"*Office of the CEO*")</f>
        <v>0</v>
      </c>
      <c r="E928">
        <f>COUNTIF('Metrics - Articles'!F927,"*Services Delivery &amp; Support (go-lives and deployments) *")</f>
        <v>0</v>
      </c>
      <c r="F928">
        <f>COUNTIF('Metrics - Articles'!F927,"*Human Resources (SAP HR and employee stories)*")</f>
        <v>0</v>
      </c>
      <c r="G928">
        <f>COUNTIF('Metrics - Articles'!F927,"*P&amp;I (Research &amp; Development)*")</f>
        <v>0</v>
      </c>
      <c r="H928">
        <f>COUNTIF('Metrics - Articles'!F927,"*Business Network (Concur, Ariba, Fieldglass)*")</f>
        <v>0</v>
      </c>
      <c r="I928">
        <f>COUNTIF('Metrics - Articles'!F927,"*GCO – Regions*")</f>
        <v>0</v>
      </c>
      <c r="J928">
        <f>COUNTIF('Metrics - Articles'!F927,"*GCO – Platform Solutions*")</f>
        <v>0</v>
      </c>
      <c r="K928">
        <f>COUNTIF('Metrics - Articles'!F927,"*GCO – Industry Cloud *")</f>
        <v>0</v>
      </c>
      <c r="L928">
        <f>COUNTIF('Metrics - Articles'!F927,"*GCO – Customer Engagement &amp; Commerce (CRM &amp; hybris) *")</f>
        <v>0</v>
      </c>
      <c r="M928">
        <f>COUNTIF('Metrics - Articles'!F927,"*GCO – HR (SuccessFactors)*")</f>
        <v>0</v>
      </c>
      <c r="N928">
        <f>COUNTIF('Metrics - Articles'!F927,"*GCO – Services Sales*")</f>
        <v>0</v>
      </c>
      <c r="O928">
        <f>COUNTIF('Metrics - Articles'!F927,"*GCO – Other*")</f>
        <v>0</v>
      </c>
      <c r="P928">
        <f>COUNTIF('Metrics - Articles'!F927,"*Corporate*")</f>
        <v>0</v>
      </c>
      <c r="R928" s="53">
        <f t="shared" si="16"/>
        <v>0</v>
      </c>
    </row>
    <row r="929" spans="2:18" x14ac:dyDescent="0.25">
      <c r="B929" s="48">
        <f>+'Metrics - Articles'!C928</f>
        <v>0</v>
      </c>
      <c r="C929">
        <f>COUNTIF('Metrics - Articles'!F928,"*GPO (Partner, Ecosystem, Channels)*")</f>
        <v>0</v>
      </c>
      <c r="D929">
        <f>COUNTIF('Metrics - Articles'!F928,"*Office of the CEO*")</f>
        <v>0</v>
      </c>
      <c r="E929">
        <f>COUNTIF('Metrics - Articles'!F928,"*Services Delivery &amp; Support (go-lives and deployments) *")</f>
        <v>0</v>
      </c>
      <c r="F929">
        <f>COUNTIF('Metrics - Articles'!F928,"*Human Resources (SAP HR and employee stories)*")</f>
        <v>0</v>
      </c>
      <c r="G929">
        <f>COUNTIF('Metrics - Articles'!F928,"*P&amp;I (Research &amp; Development)*")</f>
        <v>0</v>
      </c>
      <c r="H929">
        <f>COUNTIF('Metrics - Articles'!F928,"*Business Network (Concur, Ariba, Fieldglass)*")</f>
        <v>0</v>
      </c>
      <c r="I929">
        <f>COUNTIF('Metrics - Articles'!F928,"*GCO – Regions*")</f>
        <v>0</v>
      </c>
      <c r="J929">
        <f>COUNTIF('Metrics - Articles'!F928,"*GCO – Platform Solutions*")</f>
        <v>0</v>
      </c>
      <c r="K929">
        <f>COUNTIF('Metrics - Articles'!F928,"*GCO – Industry Cloud *")</f>
        <v>0</v>
      </c>
      <c r="L929">
        <f>COUNTIF('Metrics - Articles'!F928,"*GCO – Customer Engagement &amp; Commerce (CRM &amp; hybris) *")</f>
        <v>0</v>
      </c>
      <c r="M929">
        <f>COUNTIF('Metrics - Articles'!F928,"*GCO – HR (SuccessFactors)*")</f>
        <v>0</v>
      </c>
      <c r="N929">
        <f>COUNTIF('Metrics - Articles'!F928,"*GCO – Services Sales*")</f>
        <v>0</v>
      </c>
      <c r="O929">
        <f>COUNTIF('Metrics - Articles'!F928,"*GCO – Other*")</f>
        <v>0</v>
      </c>
      <c r="P929">
        <f>COUNTIF('Metrics - Articles'!F928,"*Corporate*")</f>
        <v>0</v>
      </c>
      <c r="R929" s="53">
        <f t="shared" si="16"/>
        <v>0</v>
      </c>
    </row>
    <row r="930" spans="2:18" x14ac:dyDescent="0.25">
      <c r="B930" s="48">
        <f>+'Metrics - Articles'!C929</f>
        <v>0</v>
      </c>
      <c r="C930">
        <f>COUNTIF('Metrics - Articles'!F929,"*GPO (Partner, Ecosystem, Channels)*")</f>
        <v>0</v>
      </c>
      <c r="D930">
        <f>COUNTIF('Metrics - Articles'!F929,"*Office of the CEO*")</f>
        <v>0</v>
      </c>
      <c r="E930">
        <f>COUNTIF('Metrics - Articles'!F929,"*Services Delivery &amp; Support (go-lives and deployments) *")</f>
        <v>0</v>
      </c>
      <c r="F930">
        <f>COUNTIF('Metrics - Articles'!F929,"*Human Resources (SAP HR and employee stories)*")</f>
        <v>0</v>
      </c>
      <c r="G930">
        <f>COUNTIF('Metrics - Articles'!F929,"*P&amp;I (Research &amp; Development)*")</f>
        <v>0</v>
      </c>
      <c r="H930">
        <f>COUNTIF('Metrics - Articles'!F929,"*Business Network (Concur, Ariba, Fieldglass)*")</f>
        <v>0</v>
      </c>
      <c r="I930">
        <f>COUNTIF('Metrics - Articles'!F929,"*GCO – Regions*")</f>
        <v>0</v>
      </c>
      <c r="J930">
        <f>COUNTIF('Metrics - Articles'!F929,"*GCO – Platform Solutions*")</f>
        <v>0</v>
      </c>
      <c r="K930">
        <f>COUNTIF('Metrics - Articles'!F929,"*GCO – Industry Cloud *")</f>
        <v>0</v>
      </c>
      <c r="L930">
        <f>COUNTIF('Metrics - Articles'!F929,"*GCO – Customer Engagement &amp; Commerce (CRM &amp; hybris) *")</f>
        <v>0</v>
      </c>
      <c r="M930">
        <f>COUNTIF('Metrics - Articles'!F929,"*GCO – HR (SuccessFactors)*")</f>
        <v>0</v>
      </c>
      <c r="N930">
        <f>COUNTIF('Metrics - Articles'!F929,"*GCO – Services Sales*")</f>
        <v>0</v>
      </c>
      <c r="O930">
        <f>COUNTIF('Metrics - Articles'!F929,"*GCO – Other*")</f>
        <v>0</v>
      </c>
      <c r="P930">
        <f>COUNTIF('Metrics - Articles'!F929,"*Corporate*")</f>
        <v>0</v>
      </c>
      <c r="R930" s="53">
        <f t="shared" si="16"/>
        <v>0</v>
      </c>
    </row>
    <row r="931" spans="2:18" x14ac:dyDescent="0.25">
      <c r="B931" s="48">
        <f>+'Metrics - Articles'!C930</f>
        <v>0</v>
      </c>
      <c r="C931">
        <f>COUNTIF('Metrics - Articles'!F930,"*GPO (Partner, Ecosystem, Channels)*")</f>
        <v>0</v>
      </c>
      <c r="D931">
        <f>COUNTIF('Metrics - Articles'!F930,"*Office of the CEO*")</f>
        <v>0</v>
      </c>
      <c r="E931">
        <f>COUNTIF('Metrics - Articles'!F930,"*Services Delivery &amp; Support (go-lives and deployments) *")</f>
        <v>0</v>
      </c>
      <c r="F931">
        <f>COUNTIF('Metrics - Articles'!F930,"*Human Resources (SAP HR and employee stories)*")</f>
        <v>0</v>
      </c>
      <c r="G931">
        <f>COUNTIF('Metrics - Articles'!F930,"*P&amp;I (Research &amp; Development)*")</f>
        <v>0</v>
      </c>
      <c r="H931">
        <f>COUNTIF('Metrics - Articles'!F930,"*Business Network (Concur, Ariba, Fieldglass)*")</f>
        <v>0</v>
      </c>
      <c r="I931">
        <f>COUNTIF('Metrics - Articles'!F930,"*GCO – Regions*")</f>
        <v>0</v>
      </c>
      <c r="J931">
        <f>COUNTIF('Metrics - Articles'!F930,"*GCO – Platform Solutions*")</f>
        <v>0</v>
      </c>
      <c r="K931">
        <f>COUNTIF('Metrics - Articles'!F930,"*GCO – Industry Cloud *")</f>
        <v>0</v>
      </c>
      <c r="L931">
        <f>COUNTIF('Metrics - Articles'!F930,"*GCO – Customer Engagement &amp; Commerce (CRM &amp; hybris) *")</f>
        <v>0</v>
      </c>
      <c r="M931">
        <f>COUNTIF('Metrics - Articles'!F930,"*GCO – HR (SuccessFactors)*")</f>
        <v>0</v>
      </c>
      <c r="N931">
        <f>COUNTIF('Metrics - Articles'!F930,"*GCO – Services Sales*")</f>
        <v>0</v>
      </c>
      <c r="O931">
        <f>COUNTIF('Metrics - Articles'!F930,"*GCO – Other*")</f>
        <v>0</v>
      </c>
      <c r="P931">
        <f>COUNTIF('Metrics - Articles'!F930,"*Corporate*")</f>
        <v>0</v>
      </c>
      <c r="R931" s="53">
        <f t="shared" si="16"/>
        <v>0</v>
      </c>
    </row>
    <row r="932" spans="2:18" x14ac:dyDescent="0.25">
      <c r="B932" s="48">
        <f>+'Metrics - Articles'!C931</f>
        <v>0</v>
      </c>
      <c r="C932">
        <f>COUNTIF('Metrics - Articles'!F931,"*GPO (Partner, Ecosystem, Channels)*")</f>
        <v>0</v>
      </c>
      <c r="D932">
        <f>COUNTIF('Metrics - Articles'!F931,"*Office of the CEO*")</f>
        <v>0</v>
      </c>
      <c r="E932">
        <f>COUNTIF('Metrics - Articles'!F931,"*Services Delivery &amp; Support (go-lives and deployments) *")</f>
        <v>0</v>
      </c>
      <c r="F932">
        <f>COUNTIF('Metrics - Articles'!F931,"*Human Resources (SAP HR and employee stories)*")</f>
        <v>0</v>
      </c>
      <c r="G932">
        <f>COUNTIF('Metrics - Articles'!F931,"*P&amp;I (Research &amp; Development)*")</f>
        <v>0</v>
      </c>
      <c r="H932">
        <f>COUNTIF('Metrics - Articles'!F931,"*Business Network (Concur, Ariba, Fieldglass)*")</f>
        <v>0</v>
      </c>
      <c r="I932">
        <f>COUNTIF('Metrics - Articles'!F931,"*GCO – Regions*")</f>
        <v>0</v>
      </c>
      <c r="J932">
        <f>COUNTIF('Metrics - Articles'!F931,"*GCO – Platform Solutions*")</f>
        <v>0</v>
      </c>
      <c r="K932">
        <f>COUNTIF('Metrics - Articles'!F931,"*GCO – Industry Cloud *")</f>
        <v>0</v>
      </c>
      <c r="L932">
        <f>COUNTIF('Metrics - Articles'!F931,"*GCO – Customer Engagement &amp; Commerce (CRM &amp; hybris) *")</f>
        <v>0</v>
      </c>
      <c r="M932">
        <f>COUNTIF('Metrics - Articles'!F931,"*GCO – HR (SuccessFactors)*")</f>
        <v>0</v>
      </c>
      <c r="N932">
        <f>COUNTIF('Metrics - Articles'!F931,"*GCO – Services Sales*")</f>
        <v>0</v>
      </c>
      <c r="O932">
        <f>COUNTIF('Metrics - Articles'!F931,"*GCO – Other*")</f>
        <v>0</v>
      </c>
      <c r="P932">
        <f>COUNTIF('Metrics - Articles'!F931,"*Corporate*")</f>
        <v>0</v>
      </c>
      <c r="R932" s="53">
        <f t="shared" si="16"/>
        <v>0</v>
      </c>
    </row>
    <row r="933" spans="2:18" x14ac:dyDescent="0.25">
      <c r="B933" s="48">
        <f>+'Metrics - Articles'!C932</f>
        <v>0</v>
      </c>
      <c r="C933">
        <f>COUNTIF('Metrics - Articles'!F932,"*GPO (Partner, Ecosystem, Channels)*")</f>
        <v>0</v>
      </c>
      <c r="D933">
        <f>COUNTIF('Metrics - Articles'!F932,"*Office of the CEO*")</f>
        <v>0</v>
      </c>
      <c r="E933">
        <f>COUNTIF('Metrics - Articles'!F932,"*Services Delivery &amp; Support (go-lives and deployments) *")</f>
        <v>0</v>
      </c>
      <c r="F933">
        <f>COUNTIF('Metrics - Articles'!F932,"*Human Resources (SAP HR and employee stories)*")</f>
        <v>0</v>
      </c>
      <c r="G933">
        <f>COUNTIF('Metrics - Articles'!F932,"*P&amp;I (Research &amp; Development)*")</f>
        <v>0</v>
      </c>
      <c r="H933">
        <f>COUNTIF('Metrics - Articles'!F932,"*Business Network (Concur, Ariba, Fieldglass)*")</f>
        <v>0</v>
      </c>
      <c r="I933">
        <f>COUNTIF('Metrics - Articles'!F932,"*GCO – Regions*")</f>
        <v>0</v>
      </c>
      <c r="J933">
        <f>COUNTIF('Metrics - Articles'!F932,"*GCO – Platform Solutions*")</f>
        <v>0</v>
      </c>
      <c r="K933">
        <f>COUNTIF('Metrics - Articles'!F932,"*GCO – Industry Cloud *")</f>
        <v>0</v>
      </c>
      <c r="L933">
        <f>COUNTIF('Metrics - Articles'!F932,"*GCO – Customer Engagement &amp; Commerce (CRM &amp; hybris) *")</f>
        <v>0</v>
      </c>
      <c r="M933">
        <f>COUNTIF('Metrics - Articles'!F932,"*GCO – HR (SuccessFactors)*")</f>
        <v>0</v>
      </c>
      <c r="N933">
        <f>COUNTIF('Metrics - Articles'!F932,"*GCO – Services Sales*")</f>
        <v>0</v>
      </c>
      <c r="O933">
        <f>COUNTIF('Metrics - Articles'!F932,"*GCO – Other*")</f>
        <v>0</v>
      </c>
      <c r="P933">
        <f>COUNTIF('Metrics - Articles'!F932,"*Corporate*")</f>
        <v>0</v>
      </c>
      <c r="R933" s="53">
        <f t="shared" si="16"/>
        <v>0</v>
      </c>
    </row>
    <row r="934" spans="2:18" x14ac:dyDescent="0.25">
      <c r="B934" s="48">
        <f>+'Metrics - Articles'!C933</f>
        <v>0</v>
      </c>
      <c r="C934">
        <f>COUNTIF('Metrics - Articles'!F933,"*GPO (Partner, Ecosystem, Channels)*")</f>
        <v>0</v>
      </c>
      <c r="D934">
        <f>COUNTIF('Metrics - Articles'!F933,"*Office of the CEO*")</f>
        <v>0</v>
      </c>
      <c r="E934">
        <f>COUNTIF('Metrics - Articles'!F933,"*Services Delivery &amp; Support (go-lives and deployments) *")</f>
        <v>0</v>
      </c>
      <c r="F934">
        <f>COUNTIF('Metrics - Articles'!F933,"*Human Resources (SAP HR and employee stories)*")</f>
        <v>0</v>
      </c>
      <c r="G934">
        <f>COUNTIF('Metrics - Articles'!F933,"*P&amp;I (Research &amp; Development)*")</f>
        <v>0</v>
      </c>
      <c r="H934">
        <f>COUNTIF('Metrics - Articles'!F933,"*Business Network (Concur, Ariba, Fieldglass)*")</f>
        <v>0</v>
      </c>
      <c r="I934">
        <f>COUNTIF('Metrics - Articles'!F933,"*GCO – Regions*")</f>
        <v>0</v>
      </c>
      <c r="J934">
        <f>COUNTIF('Metrics - Articles'!F933,"*GCO – Platform Solutions*")</f>
        <v>0</v>
      </c>
      <c r="K934">
        <f>COUNTIF('Metrics - Articles'!F933,"*GCO – Industry Cloud *")</f>
        <v>0</v>
      </c>
      <c r="L934">
        <f>COUNTIF('Metrics - Articles'!F933,"*GCO – Customer Engagement &amp; Commerce (CRM &amp; hybris) *")</f>
        <v>0</v>
      </c>
      <c r="M934">
        <f>COUNTIF('Metrics - Articles'!F933,"*GCO – HR (SuccessFactors)*")</f>
        <v>0</v>
      </c>
      <c r="N934">
        <f>COUNTIF('Metrics - Articles'!F933,"*GCO – Services Sales*")</f>
        <v>0</v>
      </c>
      <c r="O934">
        <f>COUNTIF('Metrics - Articles'!F933,"*GCO – Other*")</f>
        <v>0</v>
      </c>
      <c r="P934">
        <f>COUNTIF('Metrics - Articles'!F933,"*Corporate*")</f>
        <v>0</v>
      </c>
      <c r="R934" s="53">
        <f t="shared" si="16"/>
        <v>0</v>
      </c>
    </row>
    <row r="935" spans="2:18" x14ac:dyDescent="0.25">
      <c r="B935" s="48">
        <f>+'Metrics - Articles'!C934</f>
        <v>0</v>
      </c>
      <c r="C935">
        <f>COUNTIF('Metrics - Articles'!F934,"*GPO (Partner, Ecosystem, Channels)*")</f>
        <v>0</v>
      </c>
      <c r="D935">
        <f>COUNTIF('Metrics - Articles'!F934,"*Office of the CEO*")</f>
        <v>0</v>
      </c>
      <c r="E935">
        <f>COUNTIF('Metrics - Articles'!F934,"*Services Delivery &amp; Support (go-lives and deployments) *")</f>
        <v>0</v>
      </c>
      <c r="F935">
        <f>COUNTIF('Metrics - Articles'!F934,"*Human Resources (SAP HR and employee stories)*")</f>
        <v>0</v>
      </c>
      <c r="G935">
        <f>COUNTIF('Metrics - Articles'!F934,"*P&amp;I (Research &amp; Development)*")</f>
        <v>0</v>
      </c>
      <c r="H935">
        <f>COUNTIF('Metrics - Articles'!F934,"*Business Network (Concur, Ariba, Fieldglass)*")</f>
        <v>0</v>
      </c>
      <c r="I935">
        <f>COUNTIF('Metrics - Articles'!F934,"*GCO – Regions*")</f>
        <v>0</v>
      </c>
      <c r="J935">
        <f>COUNTIF('Metrics - Articles'!F934,"*GCO – Platform Solutions*")</f>
        <v>0</v>
      </c>
      <c r="K935">
        <f>COUNTIF('Metrics - Articles'!F934,"*GCO – Industry Cloud *")</f>
        <v>0</v>
      </c>
      <c r="L935">
        <f>COUNTIF('Metrics - Articles'!F934,"*GCO – Customer Engagement &amp; Commerce (CRM &amp; hybris) *")</f>
        <v>0</v>
      </c>
      <c r="M935">
        <f>COUNTIF('Metrics - Articles'!F934,"*GCO – HR (SuccessFactors)*")</f>
        <v>0</v>
      </c>
      <c r="N935">
        <f>COUNTIF('Metrics - Articles'!F934,"*GCO – Services Sales*")</f>
        <v>0</v>
      </c>
      <c r="O935">
        <f>COUNTIF('Metrics - Articles'!F934,"*GCO – Other*")</f>
        <v>0</v>
      </c>
      <c r="P935">
        <f>COUNTIF('Metrics - Articles'!F934,"*Corporate*")</f>
        <v>0</v>
      </c>
      <c r="R935" s="53">
        <f t="shared" si="16"/>
        <v>0</v>
      </c>
    </row>
    <row r="936" spans="2:18" x14ac:dyDescent="0.25">
      <c r="B936" s="48">
        <f>+'Metrics - Articles'!C935</f>
        <v>0</v>
      </c>
      <c r="C936">
        <f>COUNTIF('Metrics - Articles'!F935,"*GPO (Partner, Ecosystem, Channels)*")</f>
        <v>0</v>
      </c>
      <c r="D936">
        <f>COUNTIF('Metrics - Articles'!F935,"*Office of the CEO*")</f>
        <v>0</v>
      </c>
      <c r="E936">
        <f>COUNTIF('Metrics - Articles'!F935,"*Services Delivery &amp; Support (go-lives and deployments) *")</f>
        <v>0</v>
      </c>
      <c r="F936">
        <f>COUNTIF('Metrics - Articles'!F935,"*Human Resources (SAP HR and employee stories)*")</f>
        <v>0</v>
      </c>
      <c r="G936">
        <f>COUNTIF('Metrics - Articles'!F935,"*P&amp;I (Research &amp; Development)*")</f>
        <v>0</v>
      </c>
      <c r="H936">
        <f>COUNTIF('Metrics - Articles'!F935,"*Business Network (Concur, Ariba, Fieldglass)*")</f>
        <v>0</v>
      </c>
      <c r="I936">
        <f>COUNTIF('Metrics - Articles'!F935,"*GCO – Regions*")</f>
        <v>0</v>
      </c>
      <c r="J936">
        <f>COUNTIF('Metrics - Articles'!F935,"*GCO – Platform Solutions*")</f>
        <v>0</v>
      </c>
      <c r="K936">
        <f>COUNTIF('Metrics - Articles'!F935,"*GCO – Industry Cloud *")</f>
        <v>0</v>
      </c>
      <c r="L936">
        <f>COUNTIF('Metrics - Articles'!F935,"*GCO – Customer Engagement &amp; Commerce (CRM &amp; hybris) *")</f>
        <v>0</v>
      </c>
      <c r="M936">
        <f>COUNTIF('Metrics - Articles'!F935,"*GCO – HR (SuccessFactors)*")</f>
        <v>0</v>
      </c>
      <c r="N936">
        <f>COUNTIF('Metrics - Articles'!F935,"*GCO – Services Sales*")</f>
        <v>0</v>
      </c>
      <c r="O936">
        <f>COUNTIF('Metrics - Articles'!F935,"*GCO – Other*")</f>
        <v>0</v>
      </c>
      <c r="P936">
        <f>COUNTIF('Metrics - Articles'!F935,"*Corporate*")</f>
        <v>0</v>
      </c>
      <c r="R936" s="53">
        <f t="shared" si="16"/>
        <v>0</v>
      </c>
    </row>
    <row r="937" spans="2:18" x14ac:dyDescent="0.25">
      <c r="B937" s="48">
        <f>+'Metrics - Articles'!C936</f>
        <v>0</v>
      </c>
      <c r="C937">
        <f>COUNTIF('Metrics - Articles'!F936,"*GPO (Partner, Ecosystem, Channels)*")</f>
        <v>0</v>
      </c>
      <c r="D937">
        <f>COUNTIF('Metrics - Articles'!F936,"*Office of the CEO*")</f>
        <v>0</v>
      </c>
      <c r="E937">
        <f>COUNTIF('Metrics - Articles'!F936,"*Services Delivery &amp; Support (go-lives and deployments) *")</f>
        <v>0</v>
      </c>
      <c r="F937">
        <f>COUNTIF('Metrics - Articles'!F936,"*Human Resources (SAP HR and employee stories)*")</f>
        <v>0</v>
      </c>
      <c r="G937">
        <f>COUNTIF('Metrics - Articles'!F936,"*P&amp;I (Research &amp; Development)*")</f>
        <v>0</v>
      </c>
      <c r="H937">
        <f>COUNTIF('Metrics - Articles'!F936,"*Business Network (Concur, Ariba, Fieldglass)*")</f>
        <v>0</v>
      </c>
      <c r="I937">
        <f>COUNTIF('Metrics - Articles'!F936,"*GCO – Regions*")</f>
        <v>0</v>
      </c>
      <c r="J937">
        <f>COUNTIF('Metrics - Articles'!F936,"*GCO – Platform Solutions*")</f>
        <v>0</v>
      </c>
      <c r="K937">
        <f>COUNTIF('Metrics - Articles'!F936,"*GCO – Industry Cloud *")</f>
        <v>0</v>
      </c>
      <c r="L937">
        <f>COUNTIF('Metrics - Articles'!F936,"*GCO – Customer Engagement &amp; Commerce (CRM &amp; hybris) *")</f>
        <v>0</v>
      </c>
      <c r="M937">
        <f>COUNTIF('Metrics - Articles'!F936,"*GCO – HR (SuccessFactors)*")</f>
        <v>0</v>
      </c>
      <c r="N937">
        <f>COUNTIF('Metrics - Articles'!F936,"*GCO – Services Sales*")</f>
        <v>0</v>
      </c>
      <c r="O937">
        <f>COUNTIF('Metrics - Articles'!F936,"*GCO – Other*")</f>
        <v>0</v>
      </c>
      <c r="P937">
        <f>COUNTIF('Metrics - Articles'!F936,"*Corporate*")</f>
        <v>0</v>
      </c>
      <c r="R937" s="53">
        <f t="shared" si="16"/>
        <v>0</v>
      </c>
    </row>
    <row r="938" spans="2:18" x14ac:dyDescent="0.25">
      <c r="B938" s="48">
        <f>+'Metrics - Articles'!C937</f>
        <v>0</v>
      </c>
      <c r="C938">
        <f>COUNTIF('Metrics - Articles'!F937,"*GPO (Partner, Ecosystem, Channels)*")</f>
        <v>0</v>
      </c>
      <c r="D938">
        <f>COUNTIF('Metrics - Articles'!F937,"*Office of the CEO*")</f>
        <v>0</v>
      </c>
      <c r="E938">
        <f>COUNTIF('Metrics - Articles'!F937,"*Services Delivery &amp; Support (go-lives and deployments) *")</f>
        <v>0</v>
      </c>
      <c r="F938">
        <f>COUNTIF('Metrics - Articles'!F937,"*Human Resources (SAP HR and employee stories)*")</f>
        <v>0</v>
      </c>
      <c r="G938">
        <f>COUNTIF('Metrics - Articles'!F937,"*P&amp;I (Research &amp; Development)*")</f>
        <v>0</v>
      </c>
      <c r="H938">
        <f>COUNTIF('Metrics - Articles'!F937,"*Business Network (Concur, Ariba, Fieldglass)*")</f>
        <v>0</v>
      </c>
      <c r="I938">
        <f>COUNTIF('Metrics - Articles'!F937,"*GCO – Regions*")</f>
        <v>0</v>
      </c>
      <c r="J938">
        <f>COUNTIF('Metrics - Articles'!F937,"*GCO – Platform Solutions*")</f>
        <v>0</v>
      </c>
      <c r="K938">
        <f>COUNTIF('Metrics - Articles'!F937,"*GCO – Industry Cloud *")</f>
        <v>0</v>
      </c>
      <c r="L938">
        <f>COUNTIF('Metrics - Articles'!F937,"*GCO – Customer Engagement &amp; Commerce (CRM &amp; hybris) *")</f>
        <v>0</v>
      </c>
      <c r="M938">
        <f>COUNTIF('Metrics - Articles'!F937,"*GCO – HR (SuccessFactors)*")</f>
        <v>0</v>
      </c>
      <c r="N938">
        <f>COUNTIF('Metrics - Articles'!F937,"*GCO – Services Sales*")</f>
        <v>0</v>
      </c>
      <c r="O938">
        <f>COUNTIF('Metrics - Articles'!F937,"*GCO – Other*")</f>
        <v>0</v>
      </c>
      <c r="P938">
        <f>COUNTIF('Metrics - Articles'!F937,"*Corporate*")</f>
        <v>0</v>
      </c>
      <c r="R938" s="53">
        <f t="shared" si="16"/>
        <v>0</v>
      </c>
    </row>
    <row r="939" spans="2:18" x14ac:dyDescent="0.25">
      <c r="B939" s="48">
        <f>+'Metrics - Articles'!C938</f>
        <v>0</v>
      </c>
      <c r="C939">
        <f>COUNTIF('Metrics - Articles'!F938,"*GPO (Partner, Ecosystem, Channels)*")</f>
        <v>0</v>
      </c>
      <c r="D939">
        <f>COUNTIF('Metrics - Articles'!F938,"*Office of the CEO*")</f>
        <v>0</v>
      </c>
      <c r="E939">
        <f>COUNTIF('Metrics - Articles'!F938,"*Services Delivery &amp; Support (go-lives and deployments) *")</f>
        <v>0</v>
      </c>
      <c r="F939">
        <f>COUNTIF('Metrics - Articles'!F938,"*Human Resources (SAP HR and employee stories)*")</f>
        <v>0</v>
      </c>
      <c r="G939">
        <f>COUNTIF('Metrics - Articles'!F938,"*P&amp;I (Research &amp; Development)*")</f>
        <v>0</v>
      </c>
      <c r="H939">
        <f>COUNTIF('Metrics - Articles'!F938,"*Business Network (Concur, Ariba, Fieldglass)*")</f>
        <v>0</v>
      </c>
      <c r="I939">
        <f>COUNTIF('Metrics - Articles'!F938,"*GCO – Regions*")</f>
        <v>0</v>
      </c>
      <c r="J939">
        <f>COUNTIF('Metrics - Articles'!F938,"*GCO – Platform Solutions*")</f>
        <v>0</v>
      </c>
      <c r="K939">
        <f>COUNTIF('Metrics - Articles'!F938,"*GCO – Industry Cloud *")</f>
        <v>0</v>
      </c>
      <c r="L939">
        <f>COUNTIF('Metrics - Articles'!F938,"*GCO – Customer Engagement &amp; Commerce (CRM &amp; hybris) *")</f>
        <v>0</v>
      </c>
      <c r="M939">
        <f>COUNTIF('Metrics - Articles'!F938,"*GCO – HR (SuccessFactors)*")</f>
        <v>0</v>
      </c>
      <c r="N939">
        <f>COUNTIF('Metrics - Articles'!F938,"*GCO – Services Sales*")</f>
        <v>0</v>
      </c>
      <c r="O939">
        <f>COUNTIF('Metrics - Articles'!F938,"*GCO – Other*")</f>
        <v>0</v>
      </c>
      <c r="P939">
        <f>COUNTIF('Metrics - Articles'!F938,"*Corporate*")</f>
        <v>0</v>
      </c>
      <c r="R939" s="53">
        <f t="shared" si="16"/>
        <v>0</v>
      </c>
    </row>
    <row r="940" spans="2:18" x14ac:dyDescent="0.25">
      <c r="B940" s="48">
        <f>+'Metrics - Articles'!C939</f>
        <v>0</v>
      </c>
      <c r="C940">
        <f>COUNTIF('Metrics - Articles'!F939,"*GPO (Partner, Ecosystem, Channels)*")</f>
        <v>0</v>
      </c>
      <c r="D940">
        <f>COUNTIF('Metrics - Articles'!F939,"*Office of the CEO*")</f>
        <v>0</v>
      </c>
      <c r="E940">
        <f>COUNTIF('Metrics - Articles'!F939,"*Services Delivery &amp; Support (go-lives and deployments) *")</f>
        <v>0</v>
      </c>
      <c r="F940">
        <f>COUNTIF('Metrics - Articles'!F939,"*Human Resources (SAP HR and employee stories)*")</f>
        <v>0</v>
      </c>
      <c r="G940">
        <f>COUNTIF('Metrics - Articles'!F939,"*P&amp;I (Research &amp; Development)*")</f>
        <v>0</v>
      </c>
      <c r="H940">
        <f>COUNTIF('Metrics - Articles'!F939,"*Business Network (Concur, Ariba, Fieldglass)*")</f>
        <v>0</v>
      </c>
      <c r="I940">
        <f>COUNTIF('Metrics - Articles'!F939,"*GCO – Regions*")</f>
        <v>0</v>
      </c>
      <c r="J940">
        <f>COUNTIF('Metrics - Articles'!F939,"*GCO – Platform Solutions*")</f>
        <v>0</v>
      </c>
      <c r="K940">
        <f>COUNTIF('Metrics - Articles'!F939,"*GCO – Industry Cloud *")</f>
        <v>0</v>
      </c>
      <c r="L940">
        <f>COUNTIF('Metrics - Articles'!F939,"*GCO – Customer Engagement &amp; Commerce (CRM &amp; hybris) *")</f>
        <v>0</v>
      </c>
      <c r="M940">
        <f>COUNTIF('Metrics - Articles'!F939,"*GCO – HR (SuccessFactors)*")</f>
        <v>0</v>
      </c>
      <c r="N940">
        <f>COUNTIF('Metrics - Articles'!F939,"*GCO – Services Sales*")</f>
        <v>0</v>
      </c>
      <c r="O940">
        <f>COUNTIF('Metrics - Articles'!F939,"*GCO – Other*")</f>
        <v>0</v>
      </c>
      <c r="P940">
        <f>COUNTIF('Metrics - Articles'!F939,"*Corporate*")</f>
        <v>0</v>
      </c>
      <c r="R940" s="53">
        <f t="shared" si="16"/>
        <v>0</v>
      </c>
    </row>
    <row r="941" spans="2:18" x14ac:dyDescent="0.25">
      <c r="B941" s="48">
        <f>+'Metrics - Articles'!C940</f>
        <v>0</v>
      </c>
      <c r="C941">
        <f>COUNTIF('Metrics - Articles'!F940,"*GPO (Partner, Ecosystem, Channels)*")</f>
        <v>0</v>
      </c>
      <c r="D941">
        <f>COUNTIF('Metrics - Articles'!F940,"*Office of the CEO*")</f>
        <v>0</v>
      </c>
      <c r="E941">
        <f>COUNTIF('Metrics - Articles'!F940,"*Services Delivery &amp; Support (go-lives and deployments) *")</f>
        <v>0</v>
      </c>
      <c r="F941">
        <f>COUNTIF('Metrics - Articles'!F940,"*Human Resources (SAP HR and employee stories)*")</f>
        <v>0</v>
      </c>
      <c r="G941">
        <f>COUNTIF('Metrics - Articles'!F940,"*P&amp;I (Research &amp; Development)*")</f>
        <v>0</v>
      </c>
      <c r="H941">
        <f>COUNTIF('Metrics - Articles'!F940,"*Business Network (Concur, Ariba, Fieldglass)*")</f>
        <v>0</v>
      </c>
      <c r="I941">
        <f>COUNTIF('Metrics - Articles'!F940,"*GCO – Regions*")</f>
        <v>0</v>
      </c>
      <c r="J941">
        <f>COUNTIF('Metrics - Articles'!F940,"*GCO – Platform Solutions*")</f>
        <v>0</v>
      </c>
      <c r="K941">
        <f>COUNTIF('Metrics - Articles'!F940,"*GCO – Industry Cloud *")</f>
        <v>0</v>
      </c>
      <c r="L941">
        <f>COUNTIF('Metrics - Articles'!F940,"*GCO – Customer Engagement &amp; Commerce (CRM &amp; hybris) *")</f>
        <v>0</v>
      </c>
      <c r="M941">
        <f>COUNTIF('Metrics - Articles'!F940,"*GCO – HR (SuccessFactors)*")</f>
        <v>0</v>
      </c>
      <c r="N941">
        <f>COUNTIF('Metrics - Articles'!F940,"*GCO – Services Sales*")</f>
        <v>0</v>
      </c>
      <c r="O941">
        <f>COUNTIF('Metrics - Articles'!F940,"*GCO – Other*")</f>
        <v>0</v>
      </c>
      <c r="P941">
        <f>COUNTIF('Metrics - Articles'!F940,"*Corporate*")</f>
        <v>0</v>
      </c>
      <c r="R941" s="53">
        <f t="shared" si="16"/>
        <v>0</v>
      </c>
    </row>
    <row r="942" spans="2:18" x14ac:dyDescent="0.25">
      <c r="B942" s="48">
        <f>+'Metrics - Articles'!C941</f>
        <v>0</v>
      </c>
      <c r="C942">
        <f>COUNTIF('Metrics - Articles'!F941,"*GPO (Partner, Ecosystem, Channels)*")</f>
        <v>0</v>
      </c>
      <c r="D942">
        <f>COUNTIF('Metrics - Articles'!F941,"*Office of the CEO*")</f>
        <v>0</v>
      </c>
      <c r="E942">
        <f>COUNTIF('Metrics - Articles'!F941,"*Services Delivery &amp; Support (go-lives and deployments) *")</f>
        <v>0</v>
      </c>
      <c r="F942">
        <f>COUNTIF('Metrics - Articles'!F941,"*Human Resources (SAP HR and employee stories)*")</f>
        <v>0</v>
      </c>
      <c r="G942">
        <f>COUNTIF('Metrics - Articles'!F941,"*P&amp;I (Research &amp; Development)*")</f>
        <v>0</v>
      </c>
      <c r="H942">
        <f>COUNTIF('Metrics - Articles'!F941,"*Business Network (Concur, Ariba, Fieldglass)*")</f>
        <v>0</v>
      </c>
      <c r="I942">
        <f>COUNTIF('Metrics - Articles'!F941,"*GCO – Regions*")</f>
        <v>0</v>
      </c>
      <c r="J942">
        <f>COUNTIF('Metrics - Articles'!F941,"*GCO – Platform Solutions*")</f>
        <v>0</v>
      </c>
      <c r="K942">
        <f>COUNTIF('Metrics - Articles'!F941,"*GCO – Industry Cloud *")</f>
        <v>0</v>
      </c>
      <c r="L942">
        <f>COUNTIF('Metrics - Articles'!F941,"*GCO – Customer Engagement &amp; Commerce (CRM &amp; hybris) *")</f>
        <v>0</v>
      </c>
      <c r="M942">
        <f>COUNTIF('Metrics - Articles'!F941,"*GCO – HR (SuccessFactors)*")</f>
        <v>0</v>
      </c>
      <c r="N942">
        <f>COUNTIF('Metrics - Articles'!F941,"*GCO – Services Sales*")</f>
        <v>0</v>
      </c>
      <c r="O942">
        <f>COUNTIF('Metrics - Articles'!F941,"*GCO – Other*")</f>
        <v>0</v>
      </c>
      <c r="P942">
        <f>COUNTIF('Metrics - Articles'!F941,"*Corporate*")</f>
        <v>0</v>
      </c>
      <c r="R942" s="53">
        <f t="shared" si="16"/>
        <v>0</v>
      </c>
    </row>
    <row r="943" spans="2:18" x14ac:dyDescent="0.25">
      <c r="B943" s="48">
        <f>+'Metrics - Articles'!C942</f>
        <v>0</v>
      </c>
      <c r="C943">
        <f>COUNTIF('Metrics - Articles'!F942,"*GPO (Partner, Ecosystem, Channels)*")</f>
        <v>0</v>
      </c>
      <c r="D943">
        <f>COUNTIF('Metrics - Articles'!F942,"*Office of the CEO*")</f>
        <v>0</v>
      </c>
      <c r="E943">
        <f>COUNTIF('Metrics - Articles'!F942,"*Services Delivery &amp; Support (go-lives and deployments) *")</f>
        <v>0</v>
      </c>
      <c r="F943">
        <f>COUNTIF('Metrics - Articles'!F942,"*Human Resources (SAP HR and employee stories)*")</f>
        <v>0</v>
      </c>
      <c r="G943">
        <f>COUNTIF('Metrics - Articles'!F942,"*P&amp;I (Research &amp; Development)*")</f>
        <v>0</v>
      </c>
      <c r="H943">
        <f>COUNTIF('Metrics - Articles'!F942,"*Business Network (Concur, Ariba, Fieldglass)*")</f>
        <v>0</v>
      </c>
      <c r="I943">
        <f>COUNTIF('Metrics - Articles'!F942,"*GCO – Regions*")</f>
        <v>0</v>
      </c>
      <c r="J943">
        <f>COUNTIF('Metrics - Articles'!F942,"*GCO – Platform Solutions*")</f>
        <v>0</v>
      </c>
      <c r="K943">
        <f>COUNTIF('Metrics - Articles'!F942,"*GCO – Industry Cloud *")</f>
        <v>0</v>
      </c>
      <c r="L943">
        <f>COUNTIF('Metrics - Articles'!F942,"*GCO – Customer Engagement &amp; Commerce (CRM &amp; hybris) *")</f>
        <v>0</v>
      </c>
      <c r="M943">
        <f>COUNTIF('Metrics - Articles'!F942,"*GCO – HR (SuccessFactors)*")</f>
        <v>0</v>
      </c>
      <c r="N943">
        <f>COUNTIF('Metrics - Articles'!F942,"*GCO – Services Sales*")</f>
        <v>0</v>
      </c>
      <c r="O943">
        <f>COUNTIF('Metrics - Articles'!F942,"*GCO – Other*")</f>
        <v>0</v>
      </c>
      <c r="P943">
        <f>COUNTIF('Metrics - Articles'!F942,"*Corporate*")</f>
        <v>0</v>
      </c>
      <c r="R943" s="53">
        <f t="shared" si="16"/>
        <v>0</v>
      </c>
    </row>
    <row r="944" spans="2:18" x14ac:dyDescent="0.25">
      <c r="B944" s="48">
        <f>+'Metrics - Articles'!C943</f>
        <v>0</v>
      </c>
      <c r="C944">
        <f>COUNTIF('Metrics - Articles'!F943,"*GPO (Partner, Ecosystem, Channels)*")</f>
        <v>0</v>
      </c>
      <c r="D944">
        <f>COUNTIF('Metrics - Articles'!F943,"*Office of the CEO*")</f>
        <v>0</v>
      </c>
      <c r="E944">
        <f>COUNTIF('Metrics - Articles'!F943,"*Services Delivery &amp; Support (go-lives and deployments) *")</f>
        <v>0</v>
      </c>
      <c r="F944">
        <f>COUNTIF('Metrics - Articles'!F943,"*Human Resources (SAP HR and employee stories)*")</f>
        <v>0</v>
      </c>
      <c r="G944">
        <f>COUNTIF('Metrics - Articles'!F943,"*P&amp;I (Research &amp; Development)*")</f>
        <v>0</v>
      </c>
      <c r="H944">
        <f>COUNTIF('Metrics - Articles'!F943,"*Business Network (Concur, Ariba, Fieldglass)*")</f>
        <v>0</v>
      </c>
      <c r="I944">
        <f>COUNTIF('Metrics - Articles'!F943,"*GCO – Regions*")</f>
        <v>0</v>
      </c>
      <c r="J944">
        <f>COUNTIF('Metrics - Articles'!F943,"*GCO – Platform Solutions*")</f>
        <v>0</v>
      </c>
      <c r="K944">
        <f>COUNTIF('Metrics - Articles'!F943,"*GCO – Industry Cloud *")</f>
        <v>0</v>
      </c>
      <c r="L944">
        <f>COUNTIF('Metrics - Articles'!F943,"*GCO – Customer Engagement &amp; Commerce (CRM &amp; hybris) *")</f>
        <v>0</v>
      </c>
      <c r="M944">
        <f>COUNTIF('Metrics - Articles'!F943,"*GCO – HR (SuccessFactors)*")</f>
        <v>0</v>
      </c>
      <c r="N944">
        <f>COUNTIF('Metrics - Articles'!F943,"*GCO – Services Sales*")</f>
        <v>0</v>
      </c>
      <c r="O944">
        <f>COUNTIF('Metrics - Articles'!F943,"*GCO – Other*")</f>
        <v>0</v>
      </c>
      <c r="P944">
        <f>COUNTIF('Metrics - Articles'!F943,"*Corporate*")</f>
        <v>0</v>
      </c>
      <c r="R944" s="53">
        <f t="shared" si="16"/>
        <v>0</v>
      </c>
    </row>
    <row r="945" spans="2:18" x14ac:dyDescent="0.25">
      <c r="B945" s="48">
        <f>+'Metrics - Articles'!C944</f>
        <v>0</v>
      </c>
      <c r="C945">
        <f>COUNTIF('Metrics - Articles'!F944,"*GPO (Partner, Ecosystem, Channels)*")</f>
        <v>0</v>
      </c>
      <c r="D945">
        <f>COUNTIF('Metrics - Articles'!F944,"*Office of the CEO*")</f>
        <v>0</v>
      </c>
      <c r="E945">
        <f>COUNTIF('Metrics - Articles'!F944,"*Services Delivery &amp; Support (go-lives and deployments) *")</f>
        <v>0</v>
      </c>
      <c r="F945">
        <f>COUNTIF('Metrics - Articles'!F944,"*Human Resources (SAP HR and employee stories)*")</f>
        <v>0</v>
      </c>
      <c r="G945">
        <f>COUNTIF('Metrics - Articles'!F944,"*P&amp;I (Research &amp; Development)*")</f>
        <v>0</v>
      </c>
      <c r="H945">
        <f>COUNTIF('Metrics - Articles'!F944,"*Business Network (Concur, Ariba, Fieldglass)*")</f>
        <v>0</v>
      </c>
      <c r="I945">
        <f>COUNTIF('Metrics - Articles'!F944,"*GCO – Regions*")</f>
        <v>0</v>
      </c>
      <c r="J945">
        <f>COUNTIF('Metrics - Articles'!F944,"*GCO – Platform Solutions*")</f>
        <v>0</v>
      </c>
      <c r="K945">
        <f>COUNTIF('Metrics - Articles'!F944,"*GCO – Industry Cloud *")</f>
        <v>0</v>
      </c>
      <c r="L945">
        <f>COUNTIF('Metrics - Articles'!F944,"*GCO – Customer Engagement &amp; Commerce (CRM &amp; hybris) *")</f>
        <v>0</v>
      </c>
      <c r="M945">
        <f>COUNTIF('Metrics - Articles'!F944,"*GCO – HR (SuccessFactors)*")</f>
        <v>0</v>
      </c>
      <c r="N945">
        <f>COUNTIF('Metrics - Articles'!F944,"*GCO – Services Sales*")</f>
        <v>0</v>
      </c>
      <c r="O945">
        <f>COUNTIF('Metrics - Articles'!F944,"*GCO – Other*")</f>
        <v>0</v>
      </c>
      <c r="P945">
        <f>COUNTIF('Metrics - Articles'!F944,"*Corporate*")</f>
        <v>0</v>
      </c>
      <c r="R945" s="53">
        <f t="shared" si="16"/>
        <v>0</v>
      </c>
    </row>
    <row r="946" spans="2:18" x14ac:dyDescent="0.25">
      <c r="B946" s="48">
        <f>+'Metrics - Articles'!C945</f>
        <v>0</v>
      </c>
      <c r="C946">
        <f>COUNTIF('Metrics - Articles'!F945,"*GPO (Partner, Ecosystem, Channels)*")</f>
        <v>0</v>
      </c>
      <c r="D946">
        <f>COUNTIF('Metrics - Articles'!F945,"*Office of the CEO*")</f>
        <v>0</v>
      </c>
      <c r="E946">
        <f>COUNTIF('Metrics - Articles'!F945,"*Services Delivery &amp; Support (go-lives and deployments) *")</f>
        <v>0</v>
      </c>
      <c r="F946">
        <f>COUNTIF('Metrics - Articles'!F945,"*Human Resources (SAP HR and employee stories)*")</f>
        <v>0</v>
      </c>
      <c r="G946">
        <f>COUNTIF('Metrics - Articles'!F945,"*P&amp;I (Research &amp; Development)*")</f>
        <v>0</v>
      </c>
      <c r="H946">
        <f>COUNTIF('Metrics - Articles'!F945,"*Business Network (Concur, Ariba, Fieldglass)*")</f>
        <v>0</v>
      </c>
      <c r="I946">
        <f>COUNTIF('Metrics - Articles'!F945,"*GCO – Regions*")</f>
        <v>0</v>
      </c>
      <c r="J946">
        <f>COUNTIF('Metrics - Articles'!F945,"*GCO – Platform Solutions*")</f>
        <v>0</v>
      </c>
      <c r="K946">
        <f>COUNTIF('Metrics - Articles'!F945,"*GCO – Industry Cloud *")</f>
        <v>0</v>
      </c>
      <c r="L946">
        <f>COUNTIF('Metrics - Articles'!F945,"*GCO – Customer Engagement &amp; Commerce (CRM &amp; hybris) *")</f>
        <v>0</v>
      </c>
      <c r="M946">
        <f>COUNTIF('Metrics - Articles'!F945,"*GCO – HR (SuccessFactors)*")</f>
        <v>0</v>
      </c>
      <c r="N946">
        <f>COUNTIF('Metrics - Articles'!F945,"*GCO – Services Sales*")</f>
        <v>0</v>
      </c>
      <c r="O946">
        <f>COUNTIF('Metrics - Articles'!F945,"*GCO – Other*")</f>
        <v>0</v>
      </c>
      <c r="P946">
        <f>COUNTIF('Metrics - Articles'!F945,"*Corporate*")</f>
        <v>0</v>
      </c>
      <c r="R946" s="53">
        <f t="shared" si="16"/>
        <v>0</v>
      </c>
    </row>
    <row r="947" spans="2:18" x14ac:dyDescent="0.25">
      <c r="B947" s="48">
        <f>+'Metrics - Articles'!C946</f>
        <v>0</v>
      </c>
      <c r="C947">
        <f>COUNTIF('Metrics - Articles'!F946,"*GPO (Partner, Ecosystem, Channels)*")</f>
        <v>0</v>
      </c>
      <c r="D947">
        <f>COUNTIF('Metrics - Articles'!F946,"*Office of the CEO*")</f>
        <v>0</v>
      </c>
      <c r="E947">
        <f>COUNTIF('Metrics - Articles'!F946,"*Services Delivery &amp; Support (go-lives and deployments) *")</f>
        <v>0</v>
      </c>
      <c r="F947">
        <f>COUNTIF('Metrics - Articles'!F946,"*Human Resources (SAP HR and employee stories)*")</f>
        <v>0</v>
      </c>
      <c r="G947">
        <f>COUNTIF('Metrics - Articles'!F946,"*P&amp;I (Research &amp; Development)*")</f>
        <v>0</v>
      </c>
      <c r="H947">
        <f>COUNTIF('Metrics - Articles'!F946,"*Business Network (Concur, Ariba, Fieldglass)*")</f>
        <v>0</v>
      </c>
      <c r="I947">
        <f>COUNTIF('Metrics - Articles'!F946,"*GCO – Regions*")</f>
        <v>0</v>
      </c>
      <c r="J947">
        <f>COUNTIF('Metrics - Articles'!F946,"*GCO – Platform Solutions*")</f>
        <v>0</v>
      </c>
      <c r="K947">
        <f>COUNTIF('Metrics - Articles'!F946,"*GCO – Industry Cloud *")</f>
        <v>0</v>
      </c>
      <c r="L947">
        <f>COUNTIF('Metrics - Articles'!F946,"*GCO – Customer Engagement &amp; Commerce (CRM &amp; hybris) *")</f>
        <v>0</v>
      </c>
      <c r="M947">
        <f>COUNTIF('Metrics - Articles'!F946,"*GCO – HR (SuccessFactors)*")</f>
        <v>0</v>
      </c>
      <c r="N947">
        <f>COUNTIF('Metrics - Articles'!F946,"*GCO – Services Sales*")</f>
        <v>0</v>
      </c>
      <c r="O947">
        <f>COUNTIF('Metrics - Articles'!F946,"*GCO – Other*")</f>
        <v>0</v>
      </c>
      <c r="P947">
        <f>COUNTIF('Metrics - Articles'!F946,"*Corporate*")</f>
        <v>0</v>
      </c>
      <c r="R947" s="53">
        <f t="shared" si="16"/>
        <v>0</v>
      </c>
    </row>
    <row r="948" spans="2:18" x14ac:dyDescent="0.25">
      <c r="B948" s="48">
        <f>+'Metrics - Articles'!C947</f>
        <v>0</v>
      </c>
      <c r="C948">
        <f>COUNTIF('Metrics - Articles'!F947,"*GPO (Partner, Ecosystem, Channels)*")</f>
        <v>0</v>
      </c>
      <c r="D948">
        <f>COUNTIF('Metrics - Articles'!F947,"*Office of the CEO*")</f>
        <v>0</v>
      </c>
      <c r="E948">
        <f>COUNTIF('Metrics - Articles'!F947,"*Services Delivery &amp; Support (go-lives and deployments) *")</f>
        <v>0</v>
      </c>
      <c r="F948">
        <f>COUNTIF('Metrics - Articles'!F947,"*Human Resources (SAP HR and employee stories)*")</f>
        <v>0</v>
      </c>
      <c r="G948">
        <f>COUNTIF('Metrics - Articles'!F947,"*P&amp;I (Research &amp; Development)*")</f>
        <v>0</v>
      </c>
      <c r="H948">
        <f>COUNTIF('Metrics - Articles'!F947,"*Business Network (Concur, Ariba, Fieldglass)*")</f>
        <v>0</v>
      </c>
      <c r="I948">
        <f>COUNTIF('Metrics - Articles'!F947,"*GCO – Regions*")</f>
        <v>0</v>
      </c>
      <c r="J948">
        <f>COUNTIF('Metrics - Articles'!F947,"*GCO – Platform Solutions*")</f>
        <v>0</v>
      </c>
      <c r="K948">
        <f>COUNTIF('Metrics - Articles'!F947,"*GCO – Industry Cloud *")</f>
        <v>0</v>
      </c>
      <c r="L948">
        <f>COUNTIF('Metrics - Articles'!F947,"*GCO – Customer Engagement &amp; Commerce (CRM &amp; hybris) *")</f>
        <v>0</v>
      </c>
      <c r="M948">
        <f>COUNTIF('Metrics - Articles'!F947,"*GCO – HR (SuccessFactors)*")</f>
        <v>0</v>
      </c>
      <c r="N948">
        <f>COUNTIF('Metrics - Articles'!F947,"*GCO – Services Sales*")</f>
        <v>0</v>
      </c>
      <c r="O948">
        <f>COUNTIF('Metrics - Articles'!F947,"*GCO – Other*")</f>
        <v>0</v>
      </c>
      <c r="P948">
        <f>COUNTIF('Metrics - Articles'!F947,"*Corporate*")</f>
        <v>0</v>
      </c>
      <c r="R948" s="53">
        <f t="shared" si="16"/>
        <v>0</v>
      </c>
    </row>
    <row r="949" spans="2:18" x14ac:dyDescent="0.25">
      <c r="B949" s="48">
        <f>+'Metrics - Articles'!C948</f>
        <v>0</v>
      </c>
      <c r="C949">
        <f>COUNTIF('Metrics - Articles'!F948,"*GPO (Partner, Ecosystem, Channels)*")</f>
        <v>0</v>
      </c>
      <c r="D949">
        <f>COUNTIF('Metrics - Articles'!F948,"*Office of the CEO*")</f>
        <v>0</v>
      </c>
      <c r="E949">
        <f>COUNTIF('Metrics - Articles'!F948,"*Services Delivery &amp; Support (go-lives and deployments) *")</f>
        <v>0</v>
      </c>
      <c r="F949">
        <f>COUNTIF('Metrics - Articles'!F948,"*Human Resources (SAP HR and employee stories)*")</f>
        <v>0</v>
      </c>
      <c r="G949">
        <f>COUNTIF('Metrics - Articles'!F948,"*P&amp;I (Research &amp; Development)*")</f>
        <v>0</v>
      </c>
      <c r="H949">
        <f>COUNTIF('Metrics - Articles'!F948,"*Business Network (Concur, Ariba, Fieldglass)*")</f>
        <v>0</v>
      </c>
      <c r="I949">
        <f>COUNTIF('Metrics - Articles'!F948,"*GCO – Regions*")</f>
        <v>0</v>
      </c>
      <c r="J949">
        <f>COUNTIF('Metrics - Articles'!F948,"*GCO – Platform Solutions*")</f>
        <v>0</v>
      </c>
      <c r="K949">
        <f>COUNTIF('Metrics - Articles'!F948,"*GCO – Industry Cloud *")</f>
        <v>0</v>
      </c>
      <c r="L949">
        <f>COUNTIF('Metrics - Articles'!F948,"*GCO – Customer Engagement &amp; Commerce (CRM &amp; hybris) *")</f>
        <v>0</v>
      </c>
      <c r="M949">
        <f>COUNTIF('Metrics - Articles'!F948,"*GCO – HR (SuccessFactors)*")</f>
        <v>0</v>
      </c>
      <c r="N949">
        <f>COUNTIF('Metrics - Articles'!F948,"*GCO – Services Sales*")</f>
        <v>0</v>
      </c>
      <c r="O949">
        <f>COUNTIF('Metrics - Articles'!F948,"*GCO – Other*")</f>
        <v>0</v>
      </c>
      <c r="P949">
        <f>COUNTIF('Metrics - Articles'!F948,"*Corporate*")</f>
        <v>0</v>
      </c>
      <c r="R949" s="53">
        <f t="shared" si="16"/>
        <v>0</v>
      </c>
    </row>
    <row r="950" spans="2:18" x14ac:dyDescent="0.25">
      <c r="B950" s="48">
        <f>+'Metrics - Articles'!C949</f>
        <v>0</v>
      </c>
      <c r="C950">
        <f>COUNTIF('Metrics - Articles'!F949,"*GPO (Partner, Ecosystem, Channels)*")</f>
        <v>0</v>
      </c>
      <c r="D950">
        <f>COUNTIF('Metrics - Articles'!F949,"*Office of the CEO*")</f>
        <v>0</v>
      </c>
      <c r="E950">
        <f>COUNTIF('Metrics - Articles'!F949,"*Services Delivery &amp; Support (go-lives and deployments) *")</f>
        <v>0</v>
      </c>
      <c r="F950">
        <f>COUNTIF('Metrics - Articles'!F949,"*Human Resources (SAP HR and employee stories)*")</f>
        <v>0</v>
      </c>
      <c r="G950">
        <f>COUNTIF('Metrics - Articles'!F949,"*P&amp;I (Research &amp; Development)*")</f>
        <v>0</v>
      </c>
      <c r="H950">
        <f>COUNTIF('Metrics - Articles'!F949,"*Business Network (Concur, Ariba, Fieldglass)*")</f>
        <v>0</v>
      </c>
      <c r="I950">
        <f>COUNTIF('Metrics - Articles'!F949,"*GCO – Regions*")</f>
        <v>0</v>
      </c>
      <c r="J950">
        <f>COUNTIF('Metrics - Articles'!F949,"*GCO – Platform Solutions*")</f>
        <v>0</v>
      </c>
      <c r="K950">
        <f>COUNTIF('Metrics - Articles'!F949,"*GCO – Industry Cloud *")</f>
        <v>0</v>
      </c>
      <c r="L950">
        <f>COUNTIF('Metrics - Articles'!F949,"*GCO – Customer Engagement &amp; Commerce (CRM &amp; hybris) *")</f>
        <v>0</v>
      </c>
      <c r="M950">
        <f>COUNTIF('Metrics - Articles'!F949,"*GCO – HR (SuccessFactors)*")</f>
        <v>0</v>
      </c>
      <c r="N950">
        <f>COUNTIF('Metrics - Articles'!F949,"*GCO – Services Sales*")</f>
        <v>0</v>
      </c>
      <c r="O950">
        <f>COUNTIF('Metrics - Articles'!F949,"*GCO – Other*")</f>
        <v>0</v>
      </c>
      <c r="P950">
        <f>COUNTIF('Metrics - Articles'!F949,"*Corporate*")</f>
        <v>0</v>
      </c>
      <c r="R950" s="53">
        <f t="shared" si="16"/>
        <v>0</v>
      </c>
    </row>
    <row r="951" spans="2:18" x14ac:dyDescent="0.25">
      <c r="B951" s="48">
        <f>+'Metrics - Articles'!C950</f>
        <v>0</v>
      </c>
      <c r="C951">
        <f>COUNTIF('Metrics - Articles'!F950,"*GPO (Partner, Ecosystem, Channels)*")</f>
        <v>0</v>
      </c>
      <c r="D951">
        <f>COUNTIF('Metrics - Articles'!F950,"*Office of the CEO*")</f>
        <v>0</v>
      </c>
      <c r="E951">
        <f>COUNTIF('Metrics - Articles'!F950,"*Services Delivery &amp; Support (go-lives and deployments) *")</f>
        <v>0</v>
      </c>
      <c r="F951">
        <f>COUNTIF('Metrics - Articles'!F950,"*Human Resources (SAP HR and employee stories)*")</f>
        <v>0</v>
      </c>
      <c r="G951">
        <f>COUNTIF('Metrics - Articles'!F950,"*P&amp;I (Research &amp; Development)*")</f>
        <v>0</v>
      </c>
      <c r="H951">
        <f>COUNTIF('Metrics - Articles'!F950,"*Business Network (Concur, Ariba, Fieldglass)*")</f>
        <v>0</v>
      </c>
      <c r="I951">
        <f>COUNTIF('Metrics - Articles'!F950,"*GCO – Regions*")</f>
        <v>0</v>
      </c>
      <c r="J951">
        <f>COUNTIF('Metrics - Articles'!F950,"*GCO – Platform Solutions*")</f>
        <v>0</v>
      </c>
      <c r="K951">
        <f>COUNTIF('Metrics - Articles'!F950,"*GCO – Industry Cloud *")</f>
        <v>0</v>
      </c>
      <c r="L951">
        <f>COUNTIF('Metrics - Articles'!F950,"*GCO – Customer Engagement &amp; Commerce (CRM &amp; hybris) *")</f>
        <v>0</v>
      </c>
      <c r="M951">
        <f>COUNTIF('Metrics - Articles'!F950,"*GCO – HR (SuccessFactors)*")</f>
        <v>0</v>
      </c>
      <c r="N951">
        <f>COUNTIF('Metrics - Articles'!F950,"*GCO – Services Sales*")</f>
        <v>0</v>
      </c>
      <c r="O951">
        <f>COUNTIF('Metrics - Articles'!F950,"*GCO – Other*")</f>
        <v>0</v>
      </c>
      <c r="P951">
        <f>COUNTIF('Metrics - Articles'!F950,"*Corporate*")</f>
        <v>0</v>
      </c>
      <c r="R951" s="53">
        <f t="shared" si="16"/>
        <v>0</v>
      </c>
    </row>
    <row r="952" spans="2:18" x14ac:dyDescent="0.25">
      <c r="B952" s="48">
        <f>+'Metrics - Articles'!C951</f>
        <v>0</v>
      </c>
      <c r="C952">
        <f>COUNTIF('Metrics - Articles'!F951,"*GPO (Partner, Ecosystem, Channels)*")</f>
        <v>0</v>
      </c>
      <c r="D952">
        <f>COUNTIF('Metrics - Articles'!F951,"*Office of the CEO*")</f>
        <v>0</v>
      </c>
      <c r="E952">
        <f>COUNTIF('Metrics - Articles'!F951,"*Services Delivery &amp; Support (go-lives and deployments) *")</f>
        <v>0</v>
      </c>
      <c r="F952">
        <f>COUNTIF('Metrics - Articles'!F951,"*Human Resources (SAP HR and employee stories)*")</f>
        <v>0</v>
      </c>
      <c r="G952">
        <f>COUNTIF('Metrics - Articles'!F951,"*P&amp;I (Research &amp; Development)*")</f>
        <v>0</v>
      </c>
      <c r="H952">
        <f>COUNTIF('Metrics - Articles'!F951,"*Business Network (Concur, Ariba, Fieldglass)*")</f>
        <v>0</v>
      </c>
      <c r="I952">
        <f>COUNTIF('Metrics - Articles'!F951,"*GCO – Regions*")</f>
        <v>0</v>
      </c>
      <c r="J952">
        <f>COUNTIF('Metrics - Articles'!F951,"*GCO – Platform Solutions*")</f>
        <v>0</v>
      </c>
      <c r="K952">
        <f>COUNTIF('Metrics - Articles'!F951,"*GCO – Industry Cloud *")</f>
        <v>0</v>
      </c>
      <c r="L952">
        <f>COUNTIF('Metrics - Articles'!F951,"*GCO – Customer Engagement &amp; Commerce (CRM &amp; hybris) *")</f>
        <v>0</v>
      </c>
      <c r="M952">
        <f>COUNTIF('Metrics - Articles'!F951,"*GCO – HR (SuccessFactors)*")</f>
        <v>0</v>
      </c>
      <c r="N952">
        <f>COUNTIF('Metrics - Articles'!F951,"*GCO – Services Sales*")</f>
        <v>0</v>
      </c>
      <c r="O952">
        <f>COUNTIF('Metrics - Articles'!F951,"*GCO – Other*")</f>
        <v>0</v>
      </c>
      <c r="P952">
        <f>COUNTIF('Metrics - Articles'!F951,"*Corporate*")</f>
        <v>0</v>
      </c>
      <c r="R952" s="53">
        <f t="shared" si="16"/>
        <v>0</v>
      </c>
    </row>
    <row r="953" spans="2:18" x14ac:dyDescent="0.25">
      <c r="B953" s="48">
        <f>+'Metrics - Articles'!C952</f>
        <v>0</v>
      </c>
      <c r="C953">
        <f>COUNTIF('Metrics - Articles'!F952,"*GPO (Partner, Ecosystem, Channels)*")</f>
        <v>0</v>
      </c>
      <c r="D953">
        <f>COUNTIF('Metrics - Articles'!F952,"*Office of the CEO*")</f>
        <v>0</v>
      </c>
      <c r="E953">
        <f>COUNTIF('Metrics - Articles'!F952,"*Services Delivery &amp; Support (go-lives and deployments) *")</f>
        <v>0</v>
      </c>
      <c r="F953">
        <f>COUNTIF('Metrics - Articles'!F952,"*Human Resources (SAP HR and employee stories)*")</f>
        <v>0</v>
      </c>
      <c r="G953">
        <f>COUNTIF('Metrics - Articles'!F952,"*P&amp;I (Research &amp; Development)*")</f>
        <v>0</v>
      </c>
      <c r="H953">
        <f>COUNTIF('Metrics - Articles'!F952,"*Business Network (Concur, Ariba, Fieldglass)*")</f>
        <v>0</v>
      </c>
      <c r="I953">
        <f>COUNTIF('Metrics - Articles'!F952,"*GCO – Regions*")</f>
        <v>0</v>
      </c>
      <c r="J953">
        <f>COUNTIF('Metrics - Articles'!F952,"*GCO – Platform Solutions*")</f>
        <v>0</v>
      </c>
      <c r="K953">
        <f>COUNTIF('Metrics - Articles'!F952,"*GCO – Industry Cloud *")</f>
        <v>0</v>
      </c>
      <c r="L953">
        <f>COUNTIF('Metrics - Articles'!F952,"*GCO – Customer Engagement &amp; Commerce (CRM &amp; hybris) *")</f>
        <v>0</v>
      </c>
      <c r="M953">
        <f>COUNTIF('Metrics - Articles'!F952,"*GCO – HR (SuccessFactors)*")</f>
        <v>0</v>
      </c>
      <c r="N953">
        <f>COUNTIF('Metrics - Articles'!F952,"*GCO – Services Sales*")</f>
        <v>0</v>
      </c>
      <c r="O953">
        <f>COUNTIF('Metrics - Articles'!F952,"*GCO – Other*")</f>
        <v>0</v>
      </c>
      <c r="P953">
        <f>COUNTIF('Metrics - Articles'!F952,"*Corporate*")</f>
        <v>0</v>
      </c>
      <c r="R953" s="53">
        <f t="shared" si="16"/>
        <v>0</v>
      </c>
    </row>
    <row r="954" spans="2:18" x14ac:dyDescent="0.25">
      <c r="B954" s="48">
        <f>+'Metrics - Articles'!C953</f>
        <v>0</v>
      </c>
      <c r="C954">
        <f>COUNTIF('Metrics - Articles'!F953,"*GPO (Partner, Ecosystem, Channels)*")</f>
        <v>0</v>
      </c>
      <c r="D954">
        <f>COUNTIF('Metrics - Articles'!F953,"*Office of the CEO*")</f>
        <v>0</v>
      </c>
      <c r="E954">
        <f>COUNTIF('Metrics - Articles'!F953,"*Services Delivery &amp; Support (go-lives and deployments) *")</f>
        <v>0</v>
      </c>
      <c r="F954">
        <f>COUNTIF('Metrics - Articles'!F953,"*Human Resources (SAP HR and employee stories)*")</f>
        <v>0</v>
      </c>
      <c r="G954">
        <f>COUNTIF('Metrics - Articles'!F953,"*P&amp;I (Research &amp; Development)*")</f>
        <v>0</v>
      </c>
      <c r="H954">
        <f>COUNTIF('Metrics - Articles'!F953,"*Business Network (Concur, Ariba, Fieldglass)*")</f>
        <v>0</v>
      </c>
      <c r="I954">
        <f>COUNTIF('Metrics - Articles'!F953,"*GCO – Regions*")</f>
        <v>0</v>
      </c>
      <c r="J954">
        <f>COUNTIF('Metrics - Articles'!F953,"*GCO – Platform Solutions*")</f>
        <v>0</v>
      </c>
      <c r="K954">
        <f>COUNTIF('Metrics - Articles'!F953,"*GCO – Industry Cloud *")</f>
        <v>0</v>
      </c>
      <c r="L954">
        <f>COUNTIF('Metrics - Articles'!F953,"*GCO – Customer Engagement &amp; Commerce (CRM &amp; hybris) *")</f>
        <v>0</v>
      </c>
      <c r="M954">
        <f>COUNTIF('Metrics - Articles'!F953,"*GCO – HR (SuccessFactors)*")</f>
        <v>0</v>
      </c>
      <c r="N954">
        <f>COUNTIF('Metrics - Articles'!F953,"*GCO – Services Sales*")</f>
        <v>0</v>
      </c>
      <c r="O954">
        <f>COUNTIF('Metrics - Articles'!F953,"*GCO – Other*")</f>
        <v>0</v>
      </c>
      <c r="P954">
        <f>COUNTIF('Metrics - Articles'!F953,"*Corporate*")</f>
        <v>0</v>
      </c>
      <c r="R954" s="53">
        <f t="shared" si="16"/>
        <v>0</v>
      </c>
    </row>
    <row r="955" spans="2:18" x14ac:dyDescent="0.25">
      <c r="B955" s="48">
        <f>+'Metrics - Articles'!C954</f>
        <v>0</v>
      </c>
      <c r="C955">
        <f>COUNTIF('Metrics - Articles'!F954,"*GPO (Partner, Ecosystem, Channels)*")</f>
        <v>0</v>
      </c>
      <c r="D955">
        <f>COUNTIF('Metrics - Articles'!F954,"*Office of the CEO*")</f>
        <v>0</v>
      </c>
      <c r="E955">
        <f>COUNTIF('Metrics - Articles'!F954,"*Services Delivery &amp; Support (go-lives and deployments) *")</f>
        <v>0</v>
      </c>
      <c r="F955">
        <f>COUNTIF('Metrics - Articles'!F954,"*Human Resources (SAP HR and employee stories)*")</f>
        <v>0</v>
      </c>
      <c r="G955">
        <f>COUNTIF('Metrics - Articles'!F954,"*P&amp;I (Research &amp; Development)*")</f>
        <v>0</v>
      </c>
      <c r="H955">
        <f>COUNTIF('Metrics - Articles'!F954,"*Business Network (Concur, Ariba, Fieldglass)*")</f>
        <v>0</v>
      </c>
      <c r="I955">
        <f>COUNTIF('Metrics - Articles'!F954,"*GCO – Regions*")</f>
        <v>0</v>
      </c>
      <c r="J955">
        <f>COUNTIF('Metrics - Articles'!F954,"*GCO – Platform Solutions*")</f>
        <v>0</v>
      </c>
      <c r="K955">
        <f>COUNTIF('Metrics - Articles'!F954,"*GCO – Industry Cloud *")</f>
        <v>0</v>
      </c>
      <c r="L955">
        <f>COUNTIF('Metrics - Articles'!F954,"*GCO – Customer Engagement &amp; Commerce (CRM &amp; hybris) *")</f>
        <v>0</v>
      </c>
      <c r="M955">
        <f>COUNTIF('Metrics - Articles'!F954,"*GCO – HR (SuccessFactors)*")</f>
        <v>0</v>
      </c>
      <c r="N955">
        <f>COUNTIF('Metrics - Articles'!F954,"*GCO – Services Sales*")</f>
        <v>0</v>
      </c>
      <c r="O955">
        <f>COUNTIF('Metrics - Articles'!F954,"*GCO – Other*")</f>
        <v>0</v>
      </c>
      <c r="P955">
        <f>COUNTIF('Metrics - Articles'!F954,"*Corporate*")</f>
        <v>0</v>
      </c>
      <c r="R955" s="53">
        <f t="shared" si="16"/>
        <v>0</v>
      </c>
    </row>
    <row r="956" spans="2:18" x14ac:dyDescent="0.25">
      <c r="B956" s="48">
        <f>+'Metrics - Articles'!C955</f>
        <v>0</v>
      </c>
      <c r="C956">
        <f>COUNTIF('Metrics - Articles'!F955,"*GPO (Partner, Ecosystem, Channels)*")</f>
        <v>0</v>
      </c>
      <c r="D956">
        <f>COUNTIF('Metrics - Articles'!F955,"*Office of the CEO*")</f>
        <v>0</v>
      </c>
      <c r="E956">
        <f>COUNTIF('Metrics - Articles'!F955,"*Services Delivery &amp; Support (go-lives and deployments) *")</f>
        <v>0</v>
      </c>
      <c r="F956">
        <f>COUNTIF('Metrics - Articles'!F955,"*Human Resources (SAP HR and employee stories)*")</f>
        <v>0</v>
      </c>
      <c r="G956">
        <f>COUNTIF('Metrics - Articles'!F955,"*P&amp;I (Research &amp; Development)*")</f>
        <v>0</v>
      </c>
      <c r="H956">
        <f>COUNTIF('Metrics - Articles'!F955,"*Business Network (Concur, Ariba, Fieldglass)*")</f>
        <v>0</v>
      </c>
      <c r="I956">
        <f>COUNTIF('Metrics - Articles'!F955,"*GCO – Regions*")</f>
        <v>0</v>
      </c>
      <c r="J956">
        <f>COUNTIF('Metrics - Articles'!F955,"*GCO – Platform Solutions*")</f>
        <v>0</v>
      </c>
      <c r="K956">
        <f>COUNTIF('Metrics - Articles'!F955,"*GCO – Industry Cloud *")</f>
        <v>0</v>
      </c>
      <c r="L956">
        <f>COUNTIF('Metrics - Articles'!F955,"*GCO – Customer Engagement &amp; Commerce (CRM &amp; hybris) *")</f>
        <v>0</v>
      </c>
      <c r="M956">
        <f>COUNTIF('Metrics - Articles'!F955,"*GCO – HR (SuccessFactors)*")</f>
        <v>0</v>
      </c>
      <c r="N956">
        <f>COUNTIF('Metrics - Articles'!F955,"*GCO – Services Sales*")</f>
        <v>0</v>
      </c>
      <c r="O956">
        <f>COUNTIF('Metrics - Articles'!F955,"*GCO – Other*")</f>
        <v>0</v>
      </c>
      <c r="P956">
        <f>COUNTIF('Metrics - Articles'!F955,"*Corporate*")</f>
        <v>0</v>
      </c>
      <c r="R956" s="53">
        <f t="shared" si="16"/>
        <v>0</v>
      </c>
    </row>
    <row r="957" spans="2:18" x14ac:dyDescent="0.25">
      <c r="B957" s="48">
        <f>+'Metrics - Articles'!C956</f>
        <v>0</v>
      </c>
      <c r="C957">
        <f>COUNTIF('Metrics - Articles'!F956,"*GPO (Partner, Ecosystem, Channels)*")</f>
        <v>0</v>
      </c>
      <c r="D957">
        <f>COUNTIF('Metrics - Articles'!F956,"*Office of the CEO*")</f>
        <v>0</v>
      </c>
      <c r="E957">
        <f>COUNTIF('Metrics - Articles'!F956,"*Services Delivery &amp; Support (go-lives and deployments) *")</f>
        <v>0</v>
      </c>
      <c r="F957">
        <f>COUNTIF('Metrics - Articles'!F956,"*Human Resources (SAP HR and employee stories)*")</f>
        <v>0</v>
      </c>
      <c r="G957">
        <f>COUNTIF('Metrics - Articles'!F956,"*P&amp;I (Research &amp; Development)*")</f>
        <v>0</v>
      </c>
      <c r="H957">
        <f>COUNTIF('Metrics - Articles'!F956,"*Business Network (Concur, Ariba, Fieldglass)*")</f>
        <v>0</v>
      </c>
      <c r="I957">
        <f>COUNTIF('Metrics - Articles'!F956,"*GCO – Regions*")</f>
        <v>0</v>
      </c>
      <c r="J957">
        <f>COUNTIF('Metrics - Articles'!F956,"*GCO – Platform Solutions*")</f>
        <v>0</v>
      </c>
      <c r="K957">
        <f>COUNTIF('Metrics - Articles'!F956,"*GCO – Industry Cloud *")</f>
        <v>0</v>
      </c>
      <c r="L957">
        <f>COUNTIF('Metrics - Articles'!F956,"*GCO – Customer Engagement &amp; Commerce (CRM &amp; hybris) *")</f>
        <v>0</v>
      </c>
      <c r="M957">
        <f>COUNTIF('Metrics - Articles'!F956,"*GCO – HR (SuccessFactors)*")</f>
        <v>0</v>
      </c>
      <c r="N957">
        <f>COUNTIF('Metrics - Articles'!F956,"*GCO – Services Sales*")</f>
        <v>0</v>
      </c>
      <c r="O957">
        <f>COUNTIF('Metrics - Articles'!F956,"*GCO – Other*")</f>
        <v>0</v>
      </c>
      <c r="P957">
        <f>COUNTIF('Metrics - Articles'!F956,"*Corporate*")</f>
        <v>0</v>
      </c>
      <c r="R957" s="53">
        <f t="shared" si="16"/>
        <v>0</v>
      </c>
    </row>
    <row r="958" spans="2:18" x14ac:dyDescent="0.25">
      <c r="B958" s="48">
        <f>+'Metrics - Articles'!C957</f>
        <v>0</v>
      </c>
      <c r="C958">
        <f>COUNTIF('Metrics - Articles'!F957,"*GPO (Partner, Ecosystem, Channels)*")</f>
        <v>0</v>
      </c>
      <c r="D958">
        <f>COUNTIF('Metrics - Articles'!F957,"*Office of the CEO*")</f>
        <v>0</v>
      </c>
      <c r="E958">
        <f>COUNTIF('Metrics - Articles'!F957,"*Services Delivery &amp; Support (go-lives and deployments) *")</f>
        <v>0</v>
      </c>
      <c r="F958">
        <f>COUNTIF('Metrics - Articles'!F957,"*Human Resources (SAP HR and employee stories)*")</f>
        <v>0</v>
      </c>
      <c r="G958">
        <f>COUNTIF('Metrics - Articles'!F957,"*P&amp;I (Research &amp; Development)*")</f>
        <v>0</v>
      </c>
      <c r="H958">
        <f>COUNTIF('Metrics - Articles'!F957,"*Business Network (Concur, Ariba, Fieldglass)*")</f>
        <v>0</v>
      </c>
      <c r="I958">
        <f>COUNTIF('Metrics - Articles'!F957,"*GCO – Regions*")</f>
        <v>0</v>
      </c>
      <c r="J958">
        <f>COUNTIF('Metrics - Articles'!F957,"*GCO – Platform Solutions*")</f>
        <v>0</v>
      </c>
      <c r="K958">
        <f>COUNTIF('Metrics - Articles'!F957,"*GCO – Industry Cloud *")</f>
        <v>0</v>
      </c>
      <c r="L958">
        <f>COUNTIF('Metrics - Articles'!F957,"*GCO – Customer Engagement &amp; Commerce (CRM &amp; hybris) *")</f>
        <v>0</v>
      </c>
      <c r="M958">
        <f>COUNTIF('Metrics - Articles'!F957,"*GCO – HR (SuccessFactors)*")</f>
        <v>0</v>
      </c>
      <c r="N958">
        <f>COUNTIF('Metrics - Articles'!F957,"*GCO – Services Sales*")</f>
        <v>0</v>
      </c>
      <c r="O958">
        <f>COUNTIF('Metrics - Articles'!F957,"*GCO – Other*")</f>
        <v>0</v>
      </c>
      <c r="P958">
        <f>COUNTIF('Metrics - Articles'!F957,"*Corporate*")</f>
        <v>0</v>
      </c>
      <c r="R958" s="53">
        <f t="shared" si="16"/>
        <v>0</v>
      </c>
    </row>
    <row r="959" spans="2:18" x14ac:dyDescent="0.25">
      <c r="B959" s="48">
        <f>+'Metrics - Articles'!C958</f>
        <v>0</v>
      </c>
      <c r="C959">
        <f>COUNTIF('Metrics - Articles'!F958,"*GPO (Partner, Ecosystem, Channels)*")</f>
        <v>0</v>
      </c>
      <c r="D959">
        <f>COUNTIF('Metrics - Articles'!F958,"*Office of the CEO*")</f>
        <v>0</v>
      </c>
      <c r="E959">
        <f>COUNTIF('Metrics - Articles'!F958,"*Services Delivery &amp; Support (go-lives and deployments) *")</f>
        <v>0</v>
      </c>
      <c r="F959">
        <f>COUNTIF('Metrics - Articles'!F958,"*Human Resources (SAP HR and employee stories)*")</f>
        <v>0</v>
      </c>
      <c r="G959">
        <f>COUNTIF('Metrics - Articles'!F958,"*P&amp;I (Research &amp; Development)*")</f>
        <v>0</v>
      </c>
      <c r="H959">
        <f>COUNTIF('Metrics - Articles'!F958,"*Business Network (Concur, Ariba, Fieldglass)*")</f>
        <v>0</v>
      </c>
      <c r="I959">
        <f>COUNTIF('Metrics - Articles'!F958,"*GCO – Regions*")</f>
        <v>0</v>
      </c>
      <c r="J959">
        <f>COUNTIF('Metrics - Articles'!F958,"*GCO – Platform Solutions*")</f>
        <v>0</v>
      </c>
      <c r="K959">
        <f>COUNTIF('Metrics - Articles'!F958,"*GCO – Industry Cloud *")</f>
        <v>0</v>
      </c>
      <c r="L959">
        <f>COUNTIF('Metrics - Articles'!F958,"*GCO – Customer Engagement &amp; Commerce (CRM &amp; hybris) *")</f>
        <v>0</v>
      </c>
      <c r="M959">
        <f>COUNTIF('Metrics - Articles'!F958,"*GCO – HR (SuccessFactors)*")</f>
        <v>0</v>
      </c>
      <c r="N959">
        <f>COUNTIF('Metrics - Articles'!F958,"*GCO – Services Sales*")</f>
        <v>0</v>
      </c>
      <c r="O959">
        <f>COUNTIF('Metrics - Articles'!F958,"*GCO – Other*")</f>
        <v>0</v>
      </c>
      <c r="P959">
        <f>COUNTIF('Metrics - Articles'!F958,"*Corporate*")</f>
        <v>0</v>
      </c>
      <c r="R959" s="53">
        <f t="shared" si="16"/>
        <v>0</v>
      </c>
    </row>
    <row r="960" spans="2:18" x14ac:dyDescent="0.25">
      <c r="B960" s="48">
        <f>+'Metrics - Articles'!C959</f>
        <v>0</v>
      </c>
      <c r="C960">
        <f>COUNTIF('Metrics - Articles'!F959,"*GPO (Partner, Ecosystem, Channels)*")</f>
        <v>0</v>
      </c>
      <c r="D960">
        <f>COUNTIF('Metrics - Articles'!F959,"*Office of the CEO*")</f>
        <v>0</v>
      </c>
      <c r="E960">
        <f>COUNTIF('Metrics - Articles'!F959,"*Services Delivery &amp; Support (go-lives and deployments) *")</f>
        <v>0</v>
      </c>
      <c r="F960">
        <f>COUNTIF('Metrics - Articles'!F959,"*Human Resources (SAP HR and employee stories)*")</f>
        <v>0</v>
      </c>
      <c r="G960">
        <f>COUNTIF('Metrics - Articles'!F959,"*P&amp;I (Research &amp; Development)*")</f>
        <v>0</v>
      </c>
      <c r="H960">
        <f>COUNTIF('Metrics - Articles'!F959,"*Business Network (Concur, Ariba, Fieldglass)*")</f>
        <v>0</v>
      </c>
      <c r="I960">
        <f>COUNTIF('Metrics - Articles'!F959,"*GCO – Regions*")</f>
        <v>0</v>
      </c>
      <c r="J960">
        <f>COUNTIF('Metrics - Articles'!F959,"*GCO – Platform Solutions*")</f>
        <v>0</v>
      </c>
      <c r="K960">
        <f>COUNTIF('Metrics - Articles'!F959,"*GCO – Industry Cloud *")</f>
        <v>0</v>
      </c>
      <c r="L960">
        <f>COUNTIF('Metrics - Articles'!F959,"*GCO – Customer Engagement &amp; Commerce (CRM &amp; hybris) *")</f>
        <v>0</v>
      </c>
      <c r="M960">
        <f>COUNTIF('Metrics - Articles'!F959,"*GCO – HR (SuccessFactors)*")</f>
        <v>0</v>
      </c>
      <c r="N960">
        <f>COUNTIF('Metrics - Articles'!F959,"*GCO – Services Sales*")</f>
        <v>0</v>
      </c>
      <c r="O960">
        <f>COUNTIF('Metrics - Articles'!F959,"*GCO – Other*")</f>
        <v>0</v>
      </c>
      <c r="P960">
        <f>COUNTIF('Metrics - Articles'!F959,"*Corporate*")</f>
        <v>0</v>
      </c>
      <c r="R960" s="53">
        <f t="shared" si="16"/>
        <v>0</v>
      </c>
    </row>
    <row r="961" spans="2:18" x14ac:dyDescent="0.25">
      <c r="B961" s="48">
        <f>+'Metrics - Articles'!C960</f>
        <v>0</v>
      </c>
      <c r="C961">
        <f>COUNTIF('Metrics - Articles'!F960,"*GPO (Partner, Ecosystem, Channels)*")</f>
        <v>0</v>
      </c>
      <c r="D961">
        <f>COUNTIF('Metrics - Articles'!F960,"*Office of the CEO*")</f>
        <v>0</v>
      </c>
      <c r="E961">
        <f>COUNTIF('Metrics - Articles'!F960,"*Services Delivery &amp; Support (go-lives and deployments) *")</f>
        <v>0</v>
      </c>
      <c r="F961">
        <f>COUNTIF('Metrics - Articles'!F960,"*Human Resources (SAP HR and employee stories)*")</f>
        <v>0</v>
      </c>
      <c r="G961">
        <f>COUNTIF('Metrics - Articles'!F960,"*P&amp;I (Research &amp; Development)*")</f>
        <v>0</v>
      </c>
      <c r="H961">
        <f>COUNTIF('Metrics - Articles'!F960,"*Business Network (Concur, Ariba, Fieldglass)*")</f>
        <v>0</v>
      </c>
      <c r="I961">
        <f>COUNTIF('Metrics - Articles'!F960,"*GCO – Regions*")</f>
        <v>0</v>
      </c>
      <c r="J961">
        <f>COUNTIF('Metrics - Articles'!F960,"*GCO – Platform Solutions*")</f>
        <v>0</v>
      </c>
      <c r="K961">
        <f>COUNTIF('Metrics - Articles'!F960,"*GCO – Industry Cloud *")</f>
        <v>0</v>
      </c>
      <c r="L961">
        <f>COUNTIF('Metrics - Articles'!F960,"*GCO – Customer Engagement &amp; Commerce (CRM &amp; hybris) *")</f>
        <v>0</v>
      </c>
      <c r="M961">
        <f>COUNTIF('Metrics - Articles'!F960,"*GCO – HR (SuccessFactors)*")</f>
        <v>0</v>
      </c>
      <c r="N961">
        <f>COUNTIF('Metrics - Articles'!F960,"*GCO – Services Sales*")</f>
        <v>0</v>
      </c>
      <c r="O961">
        <f>COUNTIF('Metrics - Articles'!F960,"*GCO – Other*")</f>
        <v>0</v>
      </c>
      <c r="P961">
        <f>COUNTIF('Metrics - Articles'!F960,"*Corporate*")</f>
        <v>0</v>
      </c>
      <c r="R961" s="53">
        <f t="shared" si="16"/>
        <v>0</v>
      </c>
    </row>
    <row r="962" spans="2:18" x14ac:dyDescent="0.25">
      <c r="B962" s="48">
        <f>+'Metrics - Articles'!C961</f>
        <v>0</v>
      </c>
      <c r="C962">
        <f>COUNTIF('Metrics - Articles'!F961,"*GPO (Partner, Ecosystem, Channels)*")</f>
        <v>0</v>
      </c>
      <c r="D962">
        <f>COUNTIF('Metrics - Articles'!F961,"*Office of the CEO*")</f>
        <v>0</v>
      </c>
      <c r="E962">
        <f>COUNTIF('Metrics - Articles'!F961,"*Services Delivery &amp; Support (go-lives and deployments) *")</f>
        <v>0</v>
      </c>
      <c r="F962">
        <f>COUNTIF('Metrics - Articles'!F961,"*Human Resources (SAP HR and employee stories)*")</f>
        <v>0</v>
      </c>
      <c r="G962">
        <f>COUNTIF('Metrics - Articles'!F961,"*P&amp;I (Research &amp; Development)*")</f>
        <v>0</v>
      </c>
      <c r="H962">
        <f>COUNTIF('Metrics - Articles'!F961,"*Business Network (Concur, Ariba, Fieldglass)*")</f>
        <v>0</v>
      </c>
      <c r="I962">
        <f>COUNTIF('Metrics - Articles'!F961,"*GCO – Regions*")</f>
        <v>0</v>
      </c>
      <c r="J962">
        <f>COUNTIF('Metrics - Articles'!F961,"*GCO – Platform Solutions*")</f>
        <v>0</v>
      </c>
      <c r="K962">
        <f>COUNTIF('Metrics - Articles'!F961,"*GCO – Industry Cloud *")</f>
        <v>0</v>
      </c>
      <c r="L962">
        <f>COUNTIF('Metrics - Articles'!F961,"*GCO – Customer Engagement &amp; Commerce (CRM &amp; hybris) *")</f>
        <v>0</v>
      </c>
      <c r="M962">
        <f>COUNTIF('Metrics - Articles'!F961,"*GCO – HR (SuccessFactors)*")</f>
        <v>0</v>
      </c>
      <c r="N962">
        <f>COUNTIF('Metrics - Articles'!F961,"*GCO – Services Sales*")</f>
        <v>0</v>
      </c>
      <c r="O962">
        <f>COUNTIF('Metrics - Articles'!F961,"*GCO – Other*")</f>
        <v>0</v>
      </c>
      <c r="P962">
        <f>COUNTIF('Metrics - Articles'!F961,"*Corporate*")</f>
        <v>0</v>
      </c>
      <c r="R962" s="53">
        <f t="shared" si="16"/>
        <v>0</v>
      </c>
    </row>
    <row r="963" spans="2:18" x14ac:dyDescent="0.25">
      <c r="B963" s="48">
        <f>+'Metrics - Articles'!C962</f>
        <v>0</v>
      </c>
      <c r="C963">
        <f>COUNTIF('Metrics - Articles'!F962,"*GPO (Partner, Ecosystem, Channels)*")</f>
        <v>0</v>
      </c>
      <c r="D963">
        <f>COUNTIF('Metrics - Articles'!F962,"*Office of the CEO*")</f>
        <v>0</v>
      </c>
      <c r="E963">
        <f>COUNTIF('Metrics - Articles'!F962,"*Services Delivery &amp; Support (go-lives and deployments) *")</f>
        <v>0</v>
      </c>
      <c r="F963">
        <f>COUNTIF('Metrics - Articles'!F962,"*Human Resources (SAP HR and employee stories)*")</f>
        <v>0</v>
      </c>
      <c r="G963">
        <f>COUNTIF('Metrics - Articles'!F962,"*P&amp;I (Research &amp; Development)*")</f>
        <v>0</v>
      </c>
      <c r="H963">
        <f>COUNTIF('Metrics - Articles'!F962,"*Business Network (Concur, Ariba, Fieldglass)*")</f>
        <v>0</v>
      </c>
      <c r="I963">
        <f>COUNTIF('Metrics - Articles'!F962,"*GCO – Regions*")</f>
        <v>0</v>
      </c>
      <c r="J963">
        <f>COUNTIF('Metrics - Articles'!F962,"*GCO – Platform Solutions*")</f>
        <v>0</v>
      </c>
      <c r="K963">
        <f>COUNTIF('Metrics - Articles'!F962,"*GCO – Industry Cloud *")</f>
        <v>0</v>
      </c>
      <c r="L963">
        <f>COUNTIF('Metrics - Articles'!F962,"*GCO – Customer Engagement &amp; Commerce (CRM &amp; hybris) *")</f>
        <v>0</v>
      </c>
      <c r="M963">
        <f>COUNTIF('Metrics - Articles'!F962,"*GCO – HR (SuccessFactors)*")</f>
        <v>0</v>
      </c>
      <c r="N963">
        <f>COUNTIF('Metrics - Articles'!F962,"*GCO – Services Sales*")</f>
        <v>0</v>
      </c>
      <c r="O963">
        <f>COUNTIF('Metrics - Articles'!F962,"*GCO – Other*")</f>
        <v>0</v>
      </c>
      <c r="P963">
        <f>COUNTIF('Metrics - Articles'!F962,"*Corporate*")</f>
        <v>0</v>
      </c>
      <c r="R963" s="53">
        <f t="shared" si="16"/>
        <v>0</v>
      </c>
    </row>
    <row r="964" spans="2:18" x14ac:dyDescent="0.25">
      <c r="B964" s="48">
        <f>+'Metrics - Articles'!C963</f>
        <v>0</v>
      </c>
      <c r="C964">
        <f>COUNTIF('Metrics - Articles'!F963,"*GPO (Partner, Ecosystem, Channels)*")</f>
        <v>0</v>
      </c>
      <c r="D964">
        <f>COUNTIF('Metrics - Articles'!F963,"*Office of the CEO*")</f>
        <v>0</v>
      </c>
      <c r="E964">
        <f>COUNTIF('Metrics - Articles'!F963,"*Services Delivery &amp; Support (go-lives and deployments) *")</f>
        <v>0</v>
      </c>
      <c r="F964">
        <f>COUNTIF('Metrics - Articles'!F963,"*Human Resources (SAP HR and employee stories)*")</f>
        <v>0</v>
      </c>
      <c r="G964">
        <f>COUNTIF('Metrics - Articles'!F963,"*P&amp;I (Research &amp; Development)*")</f>
        <v>0</v>
      </c>
      <c r="H964">
        <f>COUNTIF('Metrics - Articles'!F963,"*Business Network (Concur, Ariba, Fieldglass)*")</f>
        <v>0</v>
      </c>
      <c r="I964">
        <f>COUNTIF('Metrics - Articles'!F963,"*GCO – Regions*")</f>
        <v>0</v>
      </c>
      <c r="J964">
        <f>COUNTIF('Metrics - Articles'!F963,"*GCO – Platform Solutions*")</f>
        <v>0</v>
      </c>
      <c r="K964">
        <f>COUNTIF('Metrics - Articles'!F963,"*GCO – Industry Cloud *")</f>
        <v>0</v>
      </c>
      <c r="L964">
        <f>COUNTIF('Metrics - Articles'!F963,"*GCO – Customer Engagement &amp; Commerce (CRM &amp; hybris) *")</f>
        <v>0</v>
      </c>
      <c r="M964">
        <f>COUNTIF('Metrics - Articles'!F963,"*GCO – HR (SuccessFactors)*")</f>
        <v>0</v>
      </c>
      <c r="N964">
        <f>COUNTIF('Metrics - Articles'!F963,"*GCO – Services Sales*")</f>
        <v>0</v>
      </c>
      <c r="O964">
        <f>COUNTIF('Metrics - Articles'!F963,"*GCO – Other*")</f>
        <v>0</v>
      </c>
      <c r="P964">
        <f>COUNTIF('Metrics - Articles'!F963,"*Corporate*")</f>
        <v>0</v>
      </c>
      <c r="R964" s="53">
        <f t="shared" si="16"/>
        <v>0</v>
      </c>
    </row>
    <row r="965" spans="2:18" x14ac:dyDescent="0.25">
      <c r="B965" s="48">
        <f>+'Metrics - Articles'!C964</f>
        <v>0</v>
      </c>
      <c r="C965">
        <f>COUNTIF('Metrics - Articles'!F964,"*GPO (Partner, Ecosystem, Channels)*")</f>
        <v>0</v>
      </c>
      <c r="D965">
        <f>COUNTIF('Metrics - Articles'!F964,"*Office of the CEO*")</f>
        <v>0</v>
      </c>
      <c r="E965">
        <f>COUNTIF('Metrics - Articles'!F964,"*Services Delivery &amp; Support (go-lives and deployments) *")</f>
        <v>0</v>
      </c>
      <c r="F965">
        <f>COUNTIF('Metrics - Articles'!F964,"*Human Resources (SAP HR and employee stories)*")</f>
        <v>0</v>
      </c>
      <c r="G965">
        <f>COUNTIF('Metrics - Articles'!F964,"*P&amp;I (Research &amp; Development)*")</f>
        <v>0</v>
      </c>
      <c r="H965">
        <f>COUNTIF('Metrics - Articles'!F964,"*Business Network (Concur, Ariba, Fieldglass)*")</f>
        <v>0</v>
      </c>
      <c r="I965">
        <f>COUNTIF('Metrics - Articles'!F964,"*GCO – Regions*")</f>
        <v>0</v>
      </c>
      <c r="J965">
        <f>COUNTIF('Metrics - Articles'!F964,"*GCO – Platform Solutions*")</f>
        <v>0</v>
      </c>
      <c r="K965">
        <f>COUNTIF('Metrics - Articles'!F964,"*GCO – Industry Cloud *")</f>
        <v>0</v>
      </c>
      <c r="L965">
        <f>COUNTIF('Metrics - Articles'!F964,"*GCO – Customer Engagement &amp; Commerce (CRM &amp; hybris) *")</f>
        <v>0</v>
      </c>
      <c r="M965">
        <f>COUNTIF('Metrics - Articles'!F964,"*GCO – HR (SuccessFactors)*")</f>
        <v>0</v>
      </c>
      <c r="N965">
        <f>COUNTIF('Metrics - Articles'!F964,"*GCO – Services Sales*")</f>
        <v>0</v>
      </c>
      <c r="O965">
        <f>COUNTIF('Metrics - Articles'!F964,"*GCO – Other*")</f>
        <v>0</v>
      </c>
      <c r="P965">
        <f>COUNTIF('Metrics - Articles'!F964,"*Corporate*")</f>
        <v>0</v>
      </c>
      <c r="R965" s="53">
        <f t="shared" si="16"/>
        <v>0</v>
      </c>
    </row>
    <row r="966" spans="2:18" x14ac:dyDescent="0.25">
      <c r="B966" s="48">
        <f>+'Metrics - Articles'!C965</f>
        <v>0</v>
      </c>
      <c r="C966">
        <f>COUNTIF('Metrics - Articles'!F965,"*GPO (Partner, Ecosystem, Channels)*")</f>
        <v>0</v>
      </c>
      <c r="D966">
        <f>COUNTIF('Metrics - Articles'!F965,"*Office of the CEO*")</f>
        <v>0</v>
      </c>
      <c r="E966">
        <f>COUNTIF('Metrics - Articles'!F965,"*Services Delivery &amp; Support (go-lives and deployments) *")</f>
        <v>0</v>
      </c>
      <c r="F966">
        <f>COUNTIF('Metrics - Articles'!F965,"*Human Resources (SAP HR and employee stories)*")</f>
        <v>0</v>
      </c>
      <c r="G966">
        <f>COUNTIF('Metrics - Articles'!F965,"*P&amp;I (Research &amp; Development)*")</f>
        <v>0</v>
      </c>
      <c r="H966">
        <f>COUNTIF('Metrics - Articles'!F965,"*Business Network (Concur, Ariba, Fieldglass)*")</f>
        <v>0</v>
      </c>
      <c r="I966">
        <f>COUNTIF('Metrics - Articles'!F965,"*GCO – Regions*")</f>
        <v>0</v>
      </c>
      <c r="J966">
        <f>COUNTIF('Metrics - Articles'!F965,"*GCO – Platform Solutions*")</f>
        <v>0</v>
      </c>
      <c r="K966">
        <f>COUNTIF('Metrics - Articles'!F965,"*GCO – Industry Cloud *")</f>
        <v>0</v>
      </c>
      <c r="L966">
        <f>COUNTIF('Metrics - Articles'!F965,"*GCO – Customer Engagement &amp; Commerce (CRM &amp; hybris) *")</f>
        <v>0</v>
      </c>
      <c r="M966">
        <f>COUNTIF('Metrics - Articles'!F965,"*GCO – HR (SuccessFactors)*")</f>
        <v>0</v>
      </c>
      <c r="N966">
        <f>COUNTIF('Metrics - Articles'!F965,"*GCO – Services Sales*")</f>
        <v>0</v>
      </c>
      <c r="O966">
        <f>COUNTIF('Metrics - Articles'!F965,"*GCO – Other*")</f>
        <v>0</v>
      </c>
      <c r="P966">
        <f>COUNTIF('Metrics - Articles'!F965,"*Corporate*")</f>
        <v>0</v>
      </c>
      <c r="R966" s="53">
        <f t="shared" si="16"/>
        <v>0</v>
      </c>
    </row>
    <row r="967" spans="2:18" x14ac:dyDescent="0.25">
      <c r="B967" s="48">
        <f>+'Metrics - Articles'!C966</f>
        <v>0</v>
      </c>
      <c r="C967">
        <f>COUNTIF('Metrics - Articles'!F966,"*GPO (Partner, Ecosystem, Channels)*")</f>
        <v>0</v>
      </c>
      <c r="D967">
        <f>COUNTIF('Metrics - Articles'!F966,"*Office of the CEO*")</f>
        <v>0</v>
      </c>
      <c r="E967">
        <f>COUNTIF('Metrics - Articles'!F966,"*Services Delivery &amp; Support (go-lives and deployments) *")</f>
        <v>0</v>
      </c>
      <c r="F967">
        <f>COUNTIF('Metrics - Articles'!F966,"*Human Resources (SAP HR and employee stories)*")</f>
        <v>0</v>
      </c>
      <c r="G967">
        <f>COUNTIF('Metrics - Articles'!F966,"*P&amp;I (Research &amp; Development)*")</f>
        <v>0</v>
      </c>
      <c r="H967">
        <f>COUNTIF('Metrics - Articles'!F966,"*Business Network (Concur, Ariba, Fieldglass)*")</f>
        <v>0</v>
      </c>
      <c r="I967">
        <f>COUNTIF('Metrics - Articles'!F966,"*GCO – Regions*")</f>
        <v>0</v>
      </c>
      <c r="J967">
        <f>COUNTIF('Metrics - Articles'!F966,"*GCO – Platform Solutions*")</f>
        <v>0</v>
      </c>
      <c r="K967">
        <f>COUNTIF('Metrics - Articles'!F966,"*GCO – Industry Cloud *")</f>
        <v>0</v>
      </c>
      <c r="L967">
        <f>COUNTIF('Metrics - Articles'!F966,"*GCO – Customer Engagement &amp; Commerce (CRM &amp; hybris) *")</f>
        <v>0</v>
      </c>
      <c r="M967">
        <f>COUNTIF('Metrics - Articles'!F966,"*GCO – HR (SuccessFactors)*")</f>
        <v>0</v>
      </c>
      <c r="N967">
        <f>COUNTIF('Metrics - Articles'!F966,"*GCO – Services Sales*")</f>
        <v>0</v>
      </c>
      <c r="O967">
        <f>COUNTIF('Metrics - Articles'!F966,"*GCO – Other*")</f>
        <v>0</v>
      </c>
      <c r="P967">
        <f>COUNTIF('Metrics - Articles'!F966,"*Corporate*")</f>
        <v>0</v>
      </c>
      <c r="R967" s="53">
        <f t="shared" si="16"/>
        <v>0</v>
      </c>
    </row>
    <row r="968" spans="2:18" x14ac:dyDescent="0.25">
      <c r="B968" s="48">
        <f>+'Metrics - Articles'!C967</f>
        <v>0</v>
      </c>
      <c r="C968">
        <f>COUNTIF('Metrics - Articles'!F967,"*GPO (Partner, Ecosystem, Channels)*")</f>
        <v>0</v>
      </c>
      <c r="D968">
        <f>COUNTIF('Metrics - Articles'!F967,"*Office of the CEO*")</f>
        <v>0</v>
      </c>
      <c r="E968">
        <f>COUNTIF('Metrics - Articles'!F967,"*Services Delivery &amp; Support (go-lives and deployments) *")</f>
        <v>0</v>
      </c>
      <c r="F968">
        <f>COUNTIF('Metrics - Articles'!F967,"*Human Resources (SAP HR and employee stories)*")</f>
        <v>0</v>
      </c>
      <c r="G968">
        <f>COUNTIF('Metrics - Articles'!F967,"*P&amp;I (Research &amp; Development)*")</f>
        <v>0</v>
      </c>
      <c r="H968">
        <f>COUNTIF('Metrics - Articles'!F967,"*Business Network (Concur, Ariba, Fieldglass)*")</f>
        <v>0</v>
      </c>
      <c r="I968">
        <f>COUNTIF('Metrics - Articles'!F967,"*GCO – Regions*")</f>
        <v>0</v>
      </c>
      <c r="J968">
        <f>COUNTIF('Metrics - Articles'!F967,"*GCO – Platform Solutions*")</f>
        <v>0</v>
      </c>
      <c r="K968">
        <f>COUNTIF('Metrics - Articles'!F967,"*GCO – Industry Cloud *")</f>
        <v>0</v>
      </c>
      <c r="L968">
        <f>COUNTIF('Metrics - Articles'!F967,"*GCO – Customer Engagement &amp; Commerce (CRM &amp; hybris) *")</f>
        <v>0</v>
      </c>
      <c r="M968">
        <f>COUNTIF('Metrics - Articles'!F967,"*GCO – HR (SuccessFactors)*")</f>
        <v>0</v>
      </c>
      <c r="N968">
        <f>COUNTIF('Metrics - Articles'!F967,"*GCO – Services Sales*")</f>
        <v>0</v>
      </c>
      <c r="O968">
        <f>COUNTIF('Metrics - Articles'!F967,"*GCO – Other*")</f>
        <v>0</v>
      </c>
      <c r="P968">
        <f>COUNTIF('Metrics - Articles'!F967,"*Corporate*")</f>
        <v>0</v>
      </c>
      <c r="R968" s="53">
        <f t="shared" si="16"/>
        <v>0</v>
      </c>
    </row>
    <row r="969" spans="2:18" x14ac:dyDescent="0.25">
      <c r="B969" s="48">
        <f>+'Metrics - Articles'!C968</f>
        <v>0</v>
      </c>
      <c r="C969">
        <f>COUNTIF('Metrics - Articles'!F968,"*GPO (Partner, Ecosystem, Channels)*")</f>
        <v>0</v>
      </c>
      <c r="D969">
        <f>COUNTIF('Metrics - Articles'!F968,"*Office of the CEO*")</f>
        <v>0</v>
      </c>
      <c r="E969">
        <f>COUNTIF('Metrics - Articles'!F968,"*Services Delivery &amp; Support (go-lives and deployments) *")</f>
        <v>0</v>
      </c>
      <c r="F969">
        <f>COUNTIF('Metrics - Articles'!F968,"*Human Resources (SAP HR and employee stories)*")</f>
        <v>0</v>
      </c>
      <c r="G969">
        <f>COUNTIF('Metrics - Articles'!F968,"*P&amp;I (Research &amp; Development)*")</f>
        <v>0</v>
      </c>
      <c r="H969">
        <f>COUNTIF('Metrics - Articles'!F968,"*Business Network (Concur, Ariba, Fieldglass)*")</f>
        <v>0</v>
      </c>
      <c r="I969">
        <f>COUNTIF('Metrics - Articles'!F968,"*GCO – Regions*")</f>
        <v>0</v>
      </c>
      <c r="J969">
        <f>COUNTIF('Metrics - Articles'!F968,"*GCO – Platform Solutions*")</f>
        <v>0</v>
      </c>
      <c r="K969">
        <f>COUNTIF('Metrics - Articles'!F968,"*GCO – Industry Cloud *")</f>
        <v>0</v>
      </c>
      <c r="L969">
        <f>COUNTIF('Metrics - Articles'!F968,"*GCO – Customer Engagement &amp; Commerce (CRM &amp; hybris) *")</f>
        <v>0</v>
      </c>
      <c r="M969">
        <f>COUNTIF('Metrics - Articles'!F968,"*GCO – HR (SuccessFactors)*")</f>
        <v>0</v>
      </c>
      <c r="N969">
        <f>COUNTIF('Metrics - Articles'!F968,"*GCO – Services Sales*")</f>
        <v>0</v>
      </c>
      <c r="O969">
        <f>COUNTIF('Metrics - Articles'!F968,"*GCO – Other*")</f>
        <v>0</v>
      </c>
      <c r="P969">
        <f>COUNTIF('Metrics - Articles'!F968,"*Corporate*")</f>
        <v>0</v>
      </c>
      <c r="R969" s="53">
        <f t="shared" si="16"/>
        <v>0</v>
      </c>
    </row>
    <row r="970" spans="2:18" x14ac:dyDescent="0.25">
      <c r="B970" s="48">
        <f>+'Metrics - Articles'!C969</f>
        <v>0</v>
      </c>
      <c r="C970">
        <f>COUNTIF('Metrics - Articles'!F969,"*GPO (Partner, Ecosystem, Channels)*")</f>
        <v>0</v>
      </c>
      <c r="D970">
        <f>COUNTIF('Metrics - Articles'!F969,"*Office of the CEO*")</f>
        <v>0</v>
      </c>
      <c r="E970">
        <f>COUNTIF('Metrics - Articles'!F969,"*Services Delivery &amp; Support (go-lives and deployments) *")</f>
        <v>0</v>
      </c>
      <c r="F970">
        <f>COUNTIF('Metrics - Articles'!F969,"*Human Resources (SAP HR and employee stories)*")</f>
        <v>0</v>
      </c>
      <c r="G970">
        <f>COUNTIF('Metrics - Articles'!F969,"*P&amp;I (Research &amp; Development)*")</f>
        <v>0</v>
      </c>
      <c r="H970">
        <f>COUNTIF('Metrics - Articles'!F969,"*Business Network (Concur, Ariba, Fieldglass)*")</f>
        <v>0</v>
      </c>
      <c r="I970">
        <f>COUNTIF('Metrics - Articles'!F969,"*GCO – Regions*")</f>
        <v>0</v>
      </c>
      <c r="J970">
        <f>COUNTIF('Metrics - Articles'!F969,"*GCO – Platform Solutions*")</f>
        <v>0</v>
      </c>
      <c r="K970">
        <f>COUNTIF('Metrics - Articles'!F969,"*GCO – Industry Cloud *")</f>
        <v>0</v>
      </c>
      <c r="L970">
        <f>COUNTIF('Metrics - Articles'!F969,"*GCO – Customer Engagement &amp; Commerce (CRM &amp; hybris) *")</f>
        <v>0</v>
      </c>
      <c r="M970">
        <f>COUNTIF('Metrics - Articles'!F969,"*GCO – HR (SuccessFactors)*")</f>
        <v>0</v>
      </c>
      <c r="N970">
        <f>COUNTIF('Metrics - Articles'!F969,"*GCO – Services Sales*")</f>
        <v>0</v>
      </c>
      <c r="O970">
        <f>COUNTIF('Metrics - Articles'!F969,"*GCO – Other*")</f>
        <v>0</v>
      </c>
      <c r="P970">
        <f>COUNTIF('Metrics - Articles'!F969,"*Corporate*")</f>
        <v>0</v>
      </c>
      <c r="R970" s="53">
        <f t="shared" ref="R970:R1003" si="17">SUM(C970:Q970)</f>
        <v>0</v>
      </c>
    </row>
    <row r="971" spans="2:18" x14ac:dyDescent="0.25">
      <c r="B971" s="48">
        <f>+'Metrics - Articles'!C970</f>
        <v>0</v>
      </c>
      <c r="C971">
        <f>COUNTIF('Metrics - Articles'!F970,"*GPO (Partner, Ecosystem, Channels)*")</f>
        <v>0</v>
      </c>
      <c r="D971">
        <f>COUNTIF('Metrics - Articles'!F970,"*Office of the CEO*")</f>
        <v>0</v>
      </c>
      <c r="E971">
        <f>COUNTIF('Metrics - Articles'!F970,"*Services Delivery &amp; Support (go-lives and deployments) *")</f>
        <v>0</v>
      </c>
      <c r="F971">
        <f>COUNTIF('Metrics - Articles'!F970,"*Human Resources (SAP HR and employee stories)*")</f>
        <v>0</v>
      </c>
      <c r="G971">
        <f>COUNTIF('Metrics - Articles'!F970,"*P&amp;I (Research &amp; Development)*")</f>
        <v>0</v>
      </c>
      <c r="H971">
        <f>COUNTIF('Metrics - Articles'!F970,"*Business Network (Concur, Ariba, Fieldglass)*")</f>
        <v>0</v>
      </c>
      <c r="I971">
        <f>COUNTIF('Metrics - Articles'!F970,"*GCO – Regions*")</f>
        <v>0</v>
      </c>
      <c r="J971">
        <f>COUNTIF('Metrics - Articles'!F970,"*GCO – Platform Solutions*")</f>
        <v>0</v>
      </c>
      <c r="K971">
        <f>COUNTIF('Metrics - Articles'!F970,"*GCO – Industry Cloud *")</f>
        <v>0</v>
      </c>
      <c r="L971">
        <f>COUNTIF('Metrics - Articles'!F970,"*GCO – Customer Engagement &amp; Commerce (CRM &amp; hybris) *")</f>
        <v>0</v>
      </c>
      <c r="M971">
        <f>COUNTIF('Metrics - Articles'!F970,"*GCO – HR (SuccessFactors)*")</f>
        <v>0</v>
      </c>
      <c r="N971">
        <f>COUNTIF('Metrics - Articles'!F970,"*GCO – Services Sales*")</f>
        <v>0</v>
      </c>
      <c r="O971">
        <f>COUNTIF('Metrics - Articles'!F970,"*GCO – Other*")</f>
        <v>0</v>
      </c>
      <c r="P971">
        <f>COUNTIF('Metrics - Articles'!F970,"*Corporate*")</f>
        <v>0</v>
      </c>
      <c r="R971" s="53">
        <f t="shared" si="17"/>
        <v>0</v>
      </c>
    </row>
    <row r="972" spans="2:18" x14ac:dyDescent="0.25">
      <c r="B972" s="48">
        <f>+'Metrics - Articles'!C971</f>
        <v>0</v>
      </c>
      <c r="C972">
        <f>COUNTIF('Metrics - Articles'!F971,"*GPO (Partner, Ecosystem, Channels)*")</f>
        <v>0</v>
      </c>
      <c r="D972">
        <f>COUNTIF('Metrics - Articles'!F971,"*Office of the CEO*")</f>
        <v>0</v>
      </c>
      <c r="E972">
        <f>COUNTIF('Metrics - Articles'!F971,"*Services Delivery &amp; Support (go-lives and deployments) *")</f>
        <v>0</v>
      </c>
      <c r="F972">
        <f>COUNTIF('Metrics - Articles'!F971,"*Human Resources (SAP HR and employee stories)*")</f>
        <v>0</v>
      </c>
      <c r="G972">
        <f>COUNTIF('Metrics - Articles'!F971,"*P&amp;I (Research &amp; Development)*")</f>
        <v>0</v>
      </c>
      <c r="H972">
        <f>COUNTIF('Metrics - Articles'!F971,"*Business Network (Concur, Ariba, Fieldglass)*")</f>
        <v>0</v>
      </c>
      <c r="I972">
        <f>COUNTIF('Metrics - Articles'!F971,"*GCO – Regions*")</f>
        <v>0</v>
      </c>
      <c r="J972">
        <f>COUNTIF('Metrics - Articles'!F971,"*GCO – Platform Solutions*")</f>
        <v>0</v>
      </c>
      <c r="K972">
        <f>COUNTIF('Metrics - Articles'!F971,"*GCO – Industry Cloud *")</f>
        <v>0</v>
      </c>
      <c r="L972">
        <f>COUNTIF('Metrics - Articles'!F971,"*GCO – Customer Engagement &amp; Commerce (CRM &amp; hybris) *")</f>
        <v>0</v>
      </c>
      <c r="M972">
        <f>COUNTIF('Metrics - Articles'!F971,"*GCO – HR (SuccessFactors)*")</f>
        <v>0</v>
      </c>
      <c r="N972">
        <f>COUNTIF('Metrics - Articles'!F971,"*GCO – Services Sales*")</f>
        <v>0</v>
      </c>
      <c r="O972">
        <f>COUNTIF('Metrics - Articles'!F971,"*GCO – Other*")</f>
        <v>0</v>
      </c>
      <c r="P972">
        <f>COUNTIF('Metrics - Articles'!F971,"*Corporate*")</f>
        <v>0</v>
      </c>
      <c r="R972" s="53">
        <f t="shared" si="17"/>
        <v>0</v>
      </c>
    </row>
    <row r="973" spans="2:18" x14ac:dyDescent="0.25">
      <c r="B973" s="48">
        <f>+'Metrics - Articles'!C972</f>
        <v>0</v>
      </c>
      <c r="C973">
        <f>COUNTIF('Metrics - Articles'!F972,"*GPO (Partner, Ecosystem, Channels)*")</f>
        <v>0</v>
      </c>
      <c r="D973">
        <f>COUNTIF('Metrics - Articles'!F972,"*Office of the CEO*")</f>
        <v>0</v>
      </c>
      <c r="E973">
        <f>COUNTIF('Metrics - Articles'!F972,"*Services Delivery &amp; Support (go-lives and deployments) *")</f>
        <v>0</v>
      </c>
      <c r="F973">
        <f>COUNTIF('Metrics - Articles'!F972,"*Human Resources (SAP HR and employee stories)*")</f>
        <v>0</v>
      </c>
      <c r="G973">
        <f>COUNTIF('Metrics - Articles'!F972,"*P&amp;I (Research &amp; Development)*")</f>
        <v>0</v>
      </c>
      <c r="H973">
        <f>COUNTIF('Metrics - Articles'!F972,"*Business Network (Concur, Ariba, Fieldglass)*")</f>
        <v>0</v>
      </c>
      <c r="I973">
        <f>COUNTIF('Metrics - Articles'!F972,"*GCO – Regions*")</f>
        <v>0</v>
      </c>
      <c r="J973">
        <f>COUNTIF('Metrics - Articles'!F972,"*GCO – Platform Solutions*")</f>
        <v>0</v>
      </c>
      <c r="K973">
        <f>COUNTIF('Metrics - Articles'!F972,"*GCO – Industry Cloud *")</f>
        <v>0</v>
      </c>
      <c r="L973">
        <f>COUNTIF('Metrics - Articles'!F972,"*GCO – Customer Engagement &amp; Commerce (CRM &amp; hybris) *")</f>
        <v>0</v>
      </c>
      <c r="M973">
        <f>COUNTIF('Metrics - Articles'!F972,"*GCO – HR (SuccessFactors)*")</f>
        <v>0</v>
      </c>
      <c r="N973">
        <f>COUNTIF('Metrics - Articles'!F972,"*GCO – Services Sales*")</f>
        <v>0</v>
      </c>
      <c r="O973">
        <f>COUNTIF('Metrics - Articles'!F972,"*GCO – Other*")</f>
        <v>0</v>
      </c>
      <c r="P973">
        <f>COUNTIF('Metrics - Articles'!F972,"*Corporate*")</f>
        <v>0</v>
      </c>
      <c r="R973" s="53">
        <f t="shared" si="17"/>
        <v>0</v>
      </c>
    </row>
    <row r="974" spans="2:18" x14ac:dyDescent="0.25">
      <c r="B974" s="48">
        <f>+'Metrics - Articles'!C973</f>
        <v>0</v>
      </c>
      <c r="C974">
        <f>COUNTIF('Metrics - Articles'!F973,"*GPO (Partner, Ecosystem, Channels)*")</f>
        <v>0</v>
      </c>
      <c r="D974">
        <f>COUNTIF('Metrics - Articles'!F973,"*Office of the CEO*")</f>
        <v>0</v>
      </c>
      <c r="E974">
        <f>COUNTIF('Metrics - Articles'!F973,"*Services Delivery &amp; Support (go-lives and deployments) *")</f>
        <v>0</v>
      </c>
      <c r="F974">
        <f>COUNTIF('Metrics - Articles'!F973,"*Human Resources (SAP HR and employee stories)*")</f>
        <v>0</v>
      </c>
      <c r="G974">
        <f>COUNTIF('Metrics - Articles'!F973,"*P&amp;I (Research &amp; Development)*")</f>
        <v>0</v>
      </c>
      <c r="H974">
        <f>COUNTIF('Metrics - Articles'!F973,"*Business Network (Concur, Ariba, Fieldglass)*")</f>
        <v>0</v>
      </c>
      <c r="I974">
        <f>COUNTIF('Metrics - Articles'!F973,"*GCO – Regions*")</f>
        <v>0</v>
      </c>
      <c r="J974">
        <f>COUNTIF('Metrics - Articles'!F973,"*GCO – Platform Solutions*")</f>
        <v>0</v>
      </c>
      <c r="K974">
        <f>COUNTIF('Metrics - Articles'!F973,"*GCO – Industry Cloud *")</f>
        <v>0</v>
      </c>
      <c r="L974">
        <f>COUNTIF('Metrics - Articles'!F973,"*GCO – Customer Engagement &amp; Commerce (CRM &amp; hybris) *")</f>
        <v>0</v>
      </c>
      <c r="M974">
        <f>COUNTIF('Metrics - Articles'!F973,"*GCO – HR (SuccessFactors)*")</f>
        <v>0</v>
      </c>
      <c r="N974">
        <f>COUNTIF('Metrics - Articles'!F973,"*GCO – Services Sales*")</f>
        <v>0</v>
      </c>
      <c r="O974">
        <f>COUNTIF('Metrics - Articles'!F973,"*GCO – Other*")</f>
        <v>0</v>
      </c>
      <c r="P974">
        <f>COUNTIF('Metrics - Articles'!F973,"*Corporate*")</f>
        <v>0</v>
      </c>
      <c r="R974" s="53">
        <f t="shared" si="17"/>
        <v>0</v>
      </c>
    </row>
    <row r="975" spans="2:18" x14ac:dyDescent="0.25">
      <c r="B975" s="48">
        <f>+'Metrics - Articles'!C974</f>
        <v>0</v>
      </c>
      <c r="C975">
        <f>COUNTIF('Metrics - Articles'!F974,"*GPO (Partner, Ecosystem, Channels)*")</f>
        <v>0</v>
      </c>
      <c r="D975">
        <f>COUNTIF('Metrics - Articles'!F974,"*Office of the CEO*")</f>
        <v>0</v>
      </c>
      <c r="E975">
        <f>COUNTIF('Metrics - Articles'!F974,"*Services Delivery &amp; Support (go-lives and deployments) *")</f>
        <v>0</v>
      </c>
      <c r="F975">
        <f>COUNTIF('Metrics - Articles'!F974,"*Human Resources (SAP HR and employee stories)*")</f>
        <v>0</v>
      </c>
      <c r="G975">
        <f>COUNTIF('Metrics - Articles'!F974,"*P&amp;I (Research &amp; Development)*")</f>
        <v>0</v>
      </c>
      <c r="H975">
        <f>COUNTIF('Metrics - Articles'!F974,"*Business Network (Concur, Ariba, Fieldglass)*")</f>
        <v>0</v>
      </c>
      <c r="I975">
        <f>COUNTIF('Metrics - Articles'!F974,"*GCO – Regions*")</f>
        <v>0</v>
      </c>
      <c r="J975">
        <f>COUNTIF('Metrics - Articles'!F974,"*GCO – Platform Solutions*")</f>
        <v>0</v>
      </c>
      <c r="K975">
        <f>COUNTIF('Metrics - Articles'!F974,"*GCO – Industry Cloud *")</f>
        <v>0</v>
      </c>
      <c r="L975">
        <f>COUNTIF('Metrics - Articles'!F974,"*GCO – Customer Engagement &amp; Commerce (CRM &amp; hybris) *")</f>
        <v>0</v>
      </c>
      <c r="M975">
        <f>COUNTIF('Metrics - Articles'!F974,"*GCO – HR (SuccessFactors)*")</f>
        <v>0</v>
      </c>
      <c r="N975">
        <f>COUNTIF('Metrics - Articles'!F974,"*GCO – Services Sales*")</f>
        <v>0</v>
      </c>
      <c r="O975">
        <f>COUNTIF('Metrics - Articles'!F974,"*GCO – Other*")</f>
        <v>0</v>
      </c>
      <c r="P975">
        <f>COUNTIF('Metrics - Articles'!F974,"*Corporate*")</f>
        <v>0</v>
      </c>
      <c r="R975" s="53">
        <f t="shared" si="17"/>
        <v>0</v>
      </c>
    </row>
    <row r="976" spans="2:18" x14ac:dyDescent="0.25">
      <c r="B976" s="48">
        <f>+'Metrics - Articles'!C975</f>
        <v>0</v>
      </c>
      <c r="C976">
        <f>COUNTIF('Metrics - Articles'!F975,"*GPO (Partner, Ecosystem, Channels)*")</f>
        <v>0</v>
      </c>
      <c r="D976">
        <f>COUNTIF('Metrics - Articles'!F975,"*Office of the CEO*")</f>
        <v>0</v>
      </c>
      <c r="E976">
        <f>COUNTIF('Metrics - Articles'!F975,"*Services Delivery &amp; Support (go-lives and deployments) *")</f>
        <v>0</v>
      </c>
      <c r="F976">
        <f>COUNTIF('Metrics - Articles'!F975,"*Human Resources (SAP HR and employee stories)*")</f>
        <v>0</v>
      </c>
      <c r="G976">
        <f>COUNTIF('Metrics - Articles'!F975,"*P&amp;I (Research &amp; Development)*")</f>
        <v>0</v>
      </c>
      <c r="H976">
        <f>COUNTIF('Metrics - Articles'!F975,"*Business Network (Concur, Ariba, Fieldglass)*")</f>
        <v>0</v>
      </c>
      <c r="I976">
        <f>COUNTIF('Metrics - Articles'!F975,"*GCO – Regions*")</f>
        <v>0</v>
      </c>
      <c r="J976">
        <f>COUNTIF('Metrics - Articles'!F975,"*GCO – Platform Solutions*")</f>
        <v>0</v>
      </c>
      <c r="K976">
        <f>COUNTIF('Metrics - Articles'!F975,"*GCO – Industry Cloud *")</f>
        <v>0</v>
      </c>
      <c r="L976">
        <f>COUNTIF('Metrics - Articles'!F975,"*GCO – Customer Engagement &amp; Commerce (CRM &amp; hybris) *")</f>
        <v>0</v>
      </c>
      <c r="M976">
        <f>COUNTIF('Metrics - Articles'!F975,"*GCO – HR (SuccessFactors)*")</f>
        <v>0</v>
      </c>
      <c r="N976">
        <f>COUNTIF('Metrics - Articles'!F975,"*GCO – Services Sales*")</f>
        <v>0</v>
      </c>
      <c r="O976">
        <f>COUNTIF('Metrics - Articles'!F975,"*GCO – Other*")</f>
        <v>0</v>
      </c>
      <c r="P976">
        <f>COUNTIF('Metrics - Articles'!F975,"*Corporate*")</f>
        <v>0</v>
      </c>
      <c r="R976" s="53">
        <f t="shared" si="17"/>
        <v>0</v>
      </c>
    </row>
    <row r="977" spans="2:18" x14ac:dyDescent="0.25">
      <c r="B977" s="48">
        <f>+'Metrics - Articles'!C976</f>
        <v>0</v>
      </c>
      <c r="C977">
        <f>COUNTIF('Metrics - Articles'!F976,"*GPO (Partner, Ecosystem, Channels)*")</f>
        <v>0</v>
      </c>
      <c r="D977">
        <f>COUNTIF('Metrics - Articles'!F976,"*Office of the CEO*")</f>
        <v>0</v>
      </c>
      <c r="E977">
        <f>COUNTIF('Metrics - Articles'!F976,"*Services Delivery &amp; Support (go-lives and deployments) *")</f>
        <v>0</v>
      </c>
      <c r="F977">
        <f>COUNTIF('Metrics - Articles'!F976,"*Human Resources (SAP HR and employee stories)*")</f>
        <v>0</v>
      </c>
      <c r="G977">
        <f>COUNTIF('Metrics - Articles'!F976,"*P&amp;I (Research &amp; Development)*")</f>
        <v>0</v>
      </c>
      <c r="H977">
        <f>COUNTIF('Metrics - Articles'!F976,"*Business Network (Concur, Ariba, Fieldglass)*")</f>
        <v>0</v>
      </c>
      <c r="I977">
        <f>COUNTIF('Metrics - Articles'!F976,"*GCO – Regions*")</f>
        <v>0</v>
      </c>
      <c r="J977">
        <f>COUNTIF('Metrics - Articles'!F976,"*GCO – Platform Solutions*")</f>
        <v>0</v>
      </c>
      <c r="K977">
        <f>COUNTIF('Metrics - Articles'!F976,"*GCO – Industry Cloud *")</f>
        <v>0</v>
      </c>
      <c r="L977">
        <f>COUNTIF('Metrics - Articles'!F976,"*GCO – Customer Engagement &amp; Commerce (CRM &amp; hybris) *")</f>
        <v>0</v>
      </c>
      <c r="M977">
        <f>COUNTIF('Metrics - Articles'!F976,"*GCO – HR (SuccessFactors)*")</f>
        <v>0</v>
      </c>
      <c r="N977">
        <f>COUNTIF('Metrics - Articles'!F976,"*GCO – Services Sales*")</f>
        <v>0</v>
      </c>
      <c r="O977">
        <f>COUNTIF('Metrics - Articles'!F976,"*GCO – Other*")</f>
        <v>0</v>
      </c>
      <c r="P977">
        <f>COUNTIF('Metrics - Articles'!F976,"*Corporate*")</f>
        <v>0</v>
      </c>
      <c r="R977" s="53">
        <f t="shared" si="17"/>
        <v>0</v>
      </c>
    </row>
    <row r="978" spans="2:18" x14ac:dyDescent="0.25">
      <c r="B978" s="48">
        <f>+'Metrics - Articles'!C977</f>
        <v>0</v>
      </c>
      <c r="C978">
        <f>COUNTIF('Metrics - Articles'!F977,"*GPO (Partner, Ecosystem, Channels)*")</f>
        <v>0</v>
      </c>
      <c r="D978">
        <f>COUNTIF('Metrics - Articles'!F977,"*Office of the CEO*")</f>
        <v>0</v>
      </c>
      <c r="E978">
        <f>COUNTIF('Metrics - Articles'!F977,"*Services Delivery &amp; Support (go-lives and deployments) *")</f>
        <v>0</v>
      </c>
      <c r="F978">
        <f>COUNTIF('Metrics - Articles'!F977,"*Human Resources (SAP HR and employee stories)*")</f>
        <v>0</v>
      </c>
      <c r="G978">
        <f>COUNTIF('Metrics - Articles'!F977,"*P&amp;I (Research &amp; Development)*")</f>
        <v>0</v>
      </c>
      <c r="H978">
        <f>COUNTIF('Metrics - Articles'!F977,"*Business Network (Concur, Ariba, Fieldglass)*")</f>
        <v>0</v>
      </c>
      <c r="I978">
        <f>COUNTIF('Metrics - Articles'!F977,"*GCO – Regions*")</f>
        <v>0</v>
      </c>
      <c r="J978">
        <f>COUNTIF('Metrics - Articles'!F977,"*GCO – Platform Solutions*")</f>
        <v>0</v>
      </c>
      <c r="K978">
        <f>COUNTIF('Metrics - Articles'!F977,"*GCO – Industry Cloud *")</f>
        <v>0</v>
      </c>
      <c r="L978">
        <f>COUNTIF('Metrics - Articles'!F977,"*GCO – Customer Engagement &amp; Commerce (CRM &amp; hybris) *")</f>
        <v>0</v>
      </c>
      <c r="M978">
        <f>COUNTIF('Metrics - Articles'!F977,"*GCO – HR (SuccessFactors)*")</f>
        <v>0</v>
      </c>
      <c r="N978">
        <f>COUNTIF('Metrics - Articles'!F977,"*GCO – Services Sales*")</f>
        <v>0</v>
      </c>
      <c r="O978">
        <f>COUNTIF('Metrics - Articles'!F977,"*GCO – Other*")</f>
        <v>0</v>
      </c>
      <c r="P978">
        <f>COUNTIF('Metrics - Articles'!F977,"*Corporate*")</f>
        <v>0</v>
      </c>
      <c r="R978" s="53">
        <f t="shared" si="17"/>
        <v>0</v>
      </c>
    </row>
    <row r="979" spans="2:18" x14ac:dyDescent="0.25">
      <c r="B979" s="48">
        <f>+'Metrics - Articles'!C978</f>
        <v>0</v>
      </c>
      <c r="C979">
        <f>COUNTIF('Metrics - Articles'!F978,"*GPO (Partner, Ecosystem, Channels)*")</f>
        <v>0</v>
      </c>
      <c r="D979">
        <f>COUNTIF('Metrics - Articles'!F978,"*Office of the CEO*")</f>
        <v>0</v>
      </c>
      <c r="E979">
        <f>COUNTIF('Metrics - Articles'!F978,"*Services Delivery &amp; Support (go-lives and deployments) *")</f>
        <v>0</v>
      </c>
      <c r="F979">
        <f>COUNTIF('Metrics - Articles'!F978,"*Human Resources (SAP HR and employee stories)*")</f>
        <v>0</v>
      </c>
      <c r="G979">
        <f>COUNTIF('Metrics - Articles'!F978,"*P&amp;I (Research &amp; Development)*")</f>
        <v>0</v>
      </c>
      <c r="H979">
        <f>COUNTIF('Metrics - Articles'!F978,"*Business Network (Concur, Ariba, Fieldglass)*")</f>
        <v>0</v>
      </c>
      <c r="I979">
        <f>COUNTIF('Metrics - Articles'!F978,"*GCO – Regions*")</f>
        <v>0</v>
      </c>
      <c r="J979">
        <f>COUNTIF('Metrics - Articles'!F978,"*GCO – Platform Solutions*")</f>
        <v>0</v>
      </c>
      <c r="K979">
        <f>COUNTIF('Metrics - Articles'!F978,"*GCO – Industry Cloud *")</f>
        <v>0</v>
      </c>
      <c r="L979">
        <f>COUNTIF('Metrics - Articles'!F978,"*GCO – Customer Engagement &amp; Commerce (CRM &amp; hybris) *")</f>
        <v>0</v>
      </c>
      <c r="M979">
        <f>COUNTIF('Metrics - Articles'!F978,"*GCO – HR (SuccessFactors)*")</f>
        <v>0</v>
      </c>
      <c r="N979">
        <f>COUNTIF('Metrics - Articles'!F978,"*GCO – Services Sales*")</f>
        <v>0</v>
      </c>
      <c r="O979">
        <f>COUNTIF('Metrics - Articles'!F978,"*GCO – Other*")</f>
        <v>0</v>
      </c>
      <c r="P979">
        <f>COUNTIF('Metrics - Articles'!F978,"*Corporate*")</f>
        <v>0</v>
      </c>
      <c r="R979" s="53">
        <f t="shared" si="17"/>
        <v>0</v>
      </c>
    </row>
    <row r="980" spans="2:18" x14ac:dyDescent="0.25">
      <c r="B980" s="48">
        <f>+'Metrics - Articles'!C979</f>
        <v>0</v>
      </c>
      <c r="C980">
        <f>COUNTIF('Metrics - Articles'!F979,"*GPO (Partner, Ecosystem, Channels)*")</f>
        <v>0</v>
      </c>
      <c r="D980">
        <f>COUNTIF('Metrics - Articles'!F979,"*Office of the CEO*")</f>
        <v>0</v>
      </c>
      <c r="E980">
        <f>COUNTIF('Metrics - Articles'!F979,"*Services Delivery &amp; Support (go-lives and deployments) *")</f>
        <v>0</v>
      </c>
      <c r="F980">
        <f>COUNTIF('Metrics - Articles'!F979,"*Human Resources (SAP HR and employee stories)*")</f>
        <v>0</v>
      </c>
      <c r="G980">
        <f>COUNTIF('Metrics - Articles'!F979,"*P&amp;I (Research &amp; Development)*")</f>
        <v>0</v>
      </c>
      <c r="H980">
        <f>COUNTIF('Metrics - Articles'!F979,"*Business Network (Concur, Ariba, Fieldglass)*")</f>
        <v>0</v>
      </c>
      <c r="I980">
        <f>COUNTIF('Metrics - Articles'!F979,"*GCO – Regions*")</f>
        <v>0</v>
      </c>
      <c r="J980">
        <f>COUNTIF('Metrics - Articles'!F979,"*GCO – Platform Solutions*")</f>
        <v>0</v>
      </c>
      <c r="K980">
        <f>COUNTIF('Metrics - Articles'!F979,"*GCO – Industry Cloud *")</f>
        <v>0</v>
      </c>
      <c r="L980">
        <f>COUNTIF('Metrics - Articles'!F979,"*GCO – Customer Engagement &amp; Commerce (CRM &amp; hybris) *")</f>
        <v>0</v>
      </c>
      <c r="M980">
        <f>COUNTIF('Metrics - Articles'!F979,"*GCO – HR (SuccessFactors)*")</f>
        <v>0</v>
      </c>
      <c r="N980">
        <f>COUNTIF('Metrics - Articles'!F979,"*GCO – Services Sales*")</f>
        <v>0</v>
      </c>
      <c r="O980">
        <f>COUNTIF('Metrics - Articles'!F979,"*GCO – Other*")</f>
        <v>0</v>
      </c>
      <c r="P980">
        <f>COUNTIF('Metrics - Articles'!F979,"*Corporate*")</f>
        <v>0</v>
      </c>
      <c r="R980" s="53">
        <f t="shared" si="17"/>
        <v>0</v>
      </c>
    </row>
    <row r="981" spans="2:18" x14ac:dyDescent="0.25">
      <c r="B981" s="48">
        <f>+'Metrics - Articles'!C980</f>
        <v>0</v>
      </c>
      <c r="C981">
        <f>COUNTIF('Metrics - Articles'!F980,"*GPO (Partner, Ecosystem, Channels)*")</f>
        <v>0</v>
      </c>
      <c r="D981">
        <f>COUNTIF('Metrics - Articles'!F980,"*Office of the CEO*")</f>
        <v>0</v>
      </c>
      <c r="E981">
        <f>COUNTIF('Metrics - Articles'!F980,"*Services Delivery &amp; Support (go-lives and deployments) *")</f>
        <v>0</v>
      </c>
      <c r="F981">
        <f>COUNTIF('Metrics - Articles'!F980,"*Human Resources (SAP HR and employee stories)*")</f>
        <v>0</v>
      </c>
      <c r="G981">
        <f>COUNTIF('Metrics - Articles'!F980,"*P&amp;I (Research &amp; Development)*")</f>
        <v>0</v>
      </c>
      <c r="H981">
        <f>COUNTIF('Metrics - Articles'!F980,"*Business Network (Concur, Ariba, Fieldglass)*")</f>
        <v>0</v>
      </c>
      <c r="I981">
        <f>COUNTIF('Metrics - Articles'!F980,"*GCO – Regions*")</f>
        <v>0</v>
      </c>
      <c r="J981">
        <f>COUNTIF('Metrics - Articles'!F980,"*GCO – Platform Solutions*")</f>
        <v>0</v>
      </c>
      <c r="K981">
        <f>COUNTIF('Metrics - Articles'!F980,"*GCO – Industry Cloud *")</f>
        <v>0</v>
      </c>
      <c r="L981">
        <f>COUNTIF('Metrics - Articles'!F980,"*GCO – Customer Engagement &amp; Commerce (CRM &amp; hybris) *")</f>
        <v>0</v>
      </c>
      <c r="M981">
        <f>COUNTIF('Metrics - Articles'!F980,"*GCO – HR (SuccessFactors)*")</f>
        <v>0</v>
      </c>
      <c r="N981">
        <f>COUNTIF('Metrics - Articles'!F980,"*GCO – Services Sales*")</f>
        <v>0</v>
      </c>
      <c r="O981">
        <f>COUNTIF('Metrics - Articles'!F980,"*GCO – Other*")</f>
        <v>0</v>
      </c>
      <c r="P981">
        <f>COUNTIF('Metrics - Articles'!F980,"*Corporate*")</f>
        <v>0</v>
      </c>
      <c r="R981" s="53">
        <f t="shared" si="17"/>
        <v>0</v>
      </c>
    </row>
    <row r="982" spans="2:18" x14ac:dyDescent="0.25">
      <c r="B982" s="48">
        <f>+'Metrics - Articles'!C981</f>
        <v>0</v>
      </c>
      <c r="C982">
        <f>COUNTIF('Metrics - Articles'!F981,"*GPO (Partner, Ecosystem, Channels)*")</f>
        <v>0</v>
      </c>
      <c r="D982">
        <f>COUNTIF('Metrics - Articles'!F981,"*Office of the CEO*")</f>
        <v>0</v>
      </c>
      <c r="E982">
        <f>COUNTIF('Metrics - Articles'!F981,"*Services Delivery &amp; Support (go-lives and deployments) *")</f>
        <v>0</v>
      </c>
      <c r="F982">
        <f>COUNTIF('Metrics - Articles'!F981,"*Human Resources (SAP HR and employee stories)*")</f>
        <v>0</v>
      </c>
      <c r="G982">
        <f>COUNTIF('Metrics - Articles'!F981,"*P&amp;I (Research &amp; Development)*")</f>
        <v>0</v>
      </c>
      <c r="H982">
        <f>COUNTIF('Metrics - Articles'!F981,"*Business Network (Concur, Ariba, Fieldglass)*")</f>
        <v>0</v>
      </c>
      <c r="I982">
        <f>COUNTIF('Metrics - Articles'!F981,"*GCO – Regions*")</f>
        <v>0</v>
      </c>
      <c r="J982">
        <f>COUNTIF('Metrics - Articles'!F981,"*GCO – Platform Solutions*")</f>
        <v>0</v>
      </c>
      <c r="K982">
        <f>COUNTIF('Metrics - Articles'!F981,"*GCO – Industry Cloud *")</f>
        <v>0</v>
      </c>
      <c r="L982">
        <f>COUNTIF('Metrics - Articles'!F981,"*GCO – Customer Engagement &amp; Commerce (CRM &amp; hybris) *")</f>
        <v>0</v>
      </c>
      <c r="M982">
        <f>COUNTIF('Metrics - Articles'!F981,"*GCO – HR (SuccessFactors)*")</f>
        <v>0</v>
      </c>
      <c r="N982">
        <f>COUNTIF('Metrics - Articles'!F981,"*GCO – Services Sales*")</f>
        <v>0</v>
      </c>
      <c r="O982">
        <f>COUNTIF('Metrics - Articles'!F981,"*GCO – Other*")</f>
        <v>0</v>
      </c>
      <c r="P982">
        <f>COUNTIF('Metrics - Articles'!F981,"*Corporate*")</f>
        <v>0</v>
      </c>
      <c r="R982" s="53">
        <f t="shared" si="17"/>
        <v>0</v>
      </c>
    </row>
    <row r="983" spans="2:18" x14ac:dyDescent="0.25">
      <c r="B983" s="48">
        <f>+'Metrics - Articles'!C982</f>
        <v>0</v>
      </c>
      <c r="C983">
        <f>COUNTIF('Metrics - Articles'!F982,"*GPO (Partner, Ecosystem, Channels)*")</f>
        <v>0</v>
      </c>
      <c r="D983">
        <f>COUNTIF('Metrics - Articles'!F982,"*Office of the CEO*")</f>
        <v>0</v>
      </c>
      <c r="E983">
        <f>COUNTIF('Metrics - Articles'!F982,"*Services Delivery &amp; Support (go-lives and deployments) *")</f>
        <v>0</v>
      </c>
      <c r="F983">
        <f>COUNTIF('Metrics - Articles'!F982,"*Human Resources (SAP HR and employee stories)*")</f>
        <v>0</v>
      </c>
      <c r="G983">
        <f>COUNTIF('Metrics - Articles'!F982,"*P&amp;I (Research &amp; Development)*")</f>
        <v>0</v>
      </c>
      <c r="H983">
        <f>COUNTIF('Metrics - Articles'!F982,"*Business Network (Concur, Ariba, Fieldglass)*")</f>
        <v>0</v>
      </c>
      <c r="I983">
        <f>COUNTIF('Metrics - Articles'!F982,"*GCO – Regions*")</f>
        <v>0</v>
      </c>
      <c r="J983">
        <f>COUNTIF('Metrics - Articles'!F982,"*GCO – Platform Solutions*")</f>
        <v>0</v>
      </c>
      <c r="K983">
        <f>COUNTIF('Metrics - Articles'!F982,"*GCO – Industry Cloud *")</f>
        <v>0</v>
      </c>
      <c r="L983">
        <f>COUNTIF('Metrics - Articles'!F982,"*GCO – Customer Engagement &amp; Commerce (CRM &amp; hybris) *")</f>
        <v>0</v>
      </c>
      <c r="M983">
        <f>COUNTIF('Metrics - Articles'!F982,"*GCO – HR (SuccessFactors)*")</f>
        <v>0</v>
      </c>
      <c r="N983">
        <f>COUNTIF('Metrics - Articles'!F982,"*GCO – Services Sales*")</f>
        <v>0</v>
      </c>
      <c r="O983">
        <f>COUNTIF('Metrics - Articles'!F982,"*GCO – Other*")</f>
        <v>0</v>
      </c>
      <c r="P983">
        <f>COUNTIF('Metrics - Articles'!F982,"*Corporate*")</f>
        <v>0</v>
      </c>
      <c r="R983" s="53">
        <f t="shared" si="17"/>
        <v>0</v>
      </c>
    </row>
    <row r="984" spans="2:18" x14ac:dyDescent="0.25">
      <c r="B984" s="48">
        <f>+'Metrics - Articles'!C983</f>
        <v>0</v>
      </c>
      <c r="C984">
        <f>COUNTIF('Metrics - Articles'!F983,"*GPO (Partner, Ecosystem, Channels)*")</f>
        <v>0</v>
      </c>
      <c r="D984">
        <f>COUNTIF('Metrics - Articles'!F983,"*Office of the CEO*")</f>
        <v>0</v>
      </c>
      <c r="E984">
        <f>COUNTIF('Metrics - Articles'!F983,"*Services Delivery &amp; Support (go-lives and deployments) *")</f>
        <v>0</v>
      </c>
      <c r="F984">
        <f>COUNTIF('Metrics - Articles'!F983,"*Human Resources (SAP HR and employee stories)*")</f>
        <v>0</v>
      </c>
      <c r="G984">
        <f>COUNTIF('Metrics - Articles'!F983,"*P&amp;I (Research &amp; Development)*")</f>
        <v>0</v>
      </c>
      <c r="H984">
        <f>COUNTIF('Metrics - Articles'!F983,"*Business Network (Concur, Ariba, Fieldglass)*")</f>
        <v>0</v>
      </c>
      <c r="I984">
        <f>COUNTIF('Metrics - Articles'!F983,"*GCO – Regions*")</f>
        <v>0</v>
      </c>
      <c r="J984">
        <f>COUNTIF('Metrics - Articles'!F983,"*GCO – Platform Solutions*")</f>
        <v>0</v>
      </c>
      <c r="K984">
        <f>COUNTIF('Metrics - Articles'!F983,"*GCO – Industry Cloud *")</f>
        <v>0</v>
      </c>
      <c r="L984">
        <f>COUNTIF('Metrics - Articles'!F983,"*GCO – Customer Engagement &amp; Commerce (CRM &amp; hybris) *")</f>
        <v>0</v>
      </c>
      <c r="M984">
        <f>COUNTIF('Metrics - Articles'!F983,"*GCO – HR (SuccessFactors)*")</f>
        <v>0</v>
      </c>
      <c r="N984">
        <f>COUNTIF('Metrics - Articles'!F983,"*GCO – Services Sales*")</f>
        <v>0</v>
      </c>
      <c r="O984">
        <f>COUNTIF('Metrics - Articles'!F983,"*GCO – Other*")</f>
        <v>0</v>
      </c>
      <c r="P984">
        <f>COUNTIF('Metrics - Articles'!F983,"*Corporate*")</f>
        <v>0</v>
      </c>
      <c r="R984" s="53">
        <f t="shared" si="17"/>
        <v>0</v>
      </c>
    </row>
    <row r="985" spans="2:18" x14ac:dyDescent="0.25">
      <c r="B985" s="48">
        <f>+'Metrics - Articles'!C984</f>
        <v>0</v>
      </c>
      <c r="C985">
        <f>COUNTIF('Metrics - Articles'!F984,"*GPO (Partner, Ecosystem, Channels)*")</f>
        <v>0</v>
      </c>
      <c r="D985">
        <f>COUNTIF('Metrics - Articles'!F984,"*Office of the CEO*")</f>
        <v>0</v>
      </c>
      <c r="E985">
        <f>COUNTIF('Metrics - Articles'!F984,"*Services Delivery &amp; Support (go-lives and deployments) *")</f>
        <v>0</v>
      </c>
      <c r="F985">
        <f>COUNTIF('Metrics - Articles'!F984,"*Human Resources (SAP HR and employee stories)*")</f>
        <v>0</v>
      </c>
      <c r="G985">
        <f>COUNTIF('Metrics - Articles'!F984,"*P&amp;I (Research &amp; Development)*")</f>
        <v>0</v>
      </c>
      <c r="H985">
        <f>COUNTIF('Metrics - Articles'!F984,"*Business Network (Concur, Ariba, Fieldglass)*")</f>
        <v>0</v>
      </c>
      <c r="I985">
        <f>COUNTIF('Metrics - Articles'!F984,"*GCO – Regions*")</f>
        <v>0</v>
      </c>
      <c r="J985">
        <f>COUNTIF('Metrics - Articles'!F984,"*GCO – Platform Solutions*")</f>
        <v>0</v>
      </c>
      <c r="K985">
        <f>COUNTIF('Metrics - Articles'!F984,"*GCO – Industry Cloud *")</f>
        <v>0</v>
      </c>
      <c r="L985">
        <f>COUNTIF('Metrics - Articles'!F984,"*GCO – Customer Engagement &amp; Commerce (CRM &amp; hybris) *")</f>
        <v>0</v>
      </c>
      <c r="M985">
        <f>COUNTIF('Metrics - Articles'!F984,"*GCO – HR (SuccessFactors)*")</f>
        <v>0</v>
      </c>
      <c r="N985">
        <f>COUNTIF('Metrics - Articles'!F984,"*GCO – Services Sales*")</f>
        <v>0</v>
      </c>
      <c r="O985">
        <f>COUNTIF('Metrics - Articles'!F984,"*GCO – Other*")</f>
        <v>0</v>
      </c>
      <c r="P985">
        <f>COUNTIF('Metrics - Articles'!F984,"*Corporate*")</f>
        <v>0</v>
      </c>
      <c r="R985" s="53">
        <f t="shared" si="17"/>
        <v>0</v>
      </c>
    </row>
    <row r="986" spans="2:18" x14ac:dyDescent="0.25">
      <c r="B986" s="48">
        <f>+'Metrics - Articles'!C985</f>
        <v>0</v>
      </c>
      <c r="C986">
        <f>COUNTIF('Metrics - Articles'!F985,"*GPO (Partner, Ecosystem, Channels)*")</f>
        <v>0</v>
      </c>
      <c r="D986">
        <f>COUNTIF('Metrics - Articles'!F985,"*Office of the CEO*")</f>
        <v>0</v>
      </c>
      <c r="E986">
        <f>COUNTIF('Metrics - Articles'!F985,"*Services Delivery &amp; Support (go-lives and deployments) *")</f>
        <v>0</v>
      </c>
      <c r="F986">
        <f>COUNTIF('Metrics - Articles'!F985,"*Human Resources (SAP HR and employee stories)*")</f>
        <v>0</v>
      </c>
      <c r="G986">
        <f>COUNTIF('Metrics - Articles'!F985,"*P&amp;I (Research &amp; Development)*")</f>
        <v>0</v>
      </c>
      <c r="H986">
        <f>COUNTIF('Metrics - Articles'!F985,"*Business Network (Concur, Ariba, Fieldglass)*")</f>
        <v>0</v>
      </c>
      <c r="I986">
        <f>COUNTIF('Metrics - Articles'!F985,"*GCO – Regions*")</f>
        <v>0</v>
      </c>
      <c r="J986">
        <f>COUNTIF('Metrics - Articles'!F985,"*GCO – Platform Solutions*")</f>
        <v>0</v>
      </c>
      <c r="K986">
        <f>COUNTIF('Metrics - Articles'!F985,"*GCO – Industry Cloud *")</f>
        <v>0</v>
      </c>
      <c r="L986">
        <f>COUNTIF('Metrics - Articles'!F985,"*GCO – Customer Engagement &amp; Commerce (CRM &amp; hybris) *")</f>
        <v>0</v>
      </c>
      <c r="M986">
        <f>COUNTIF('Metrics - Articles'!F985,"*GCO – HR (SuccessFactors)*")</f>
        <v>0</v>
      </c>
      <c r="N986">
        <f>COUNTIF('Metrics - Articles'!F985,"*GCO – Services Sales*")</f>
        <v>0</v>
      </c>
      <c r="O986">
        <f>COUNTIF('Metrics - Articles'!F985,"*GCO – Other*")</f>
        <v>0</v>
      </c>
      <c r="P986">
        <f>COUNTIF('Metrics - Articles'!F985,"*Corporate*")</f>
        <v>0</v>
      </c>
      <c r="R986" s="53">
        <f t="shared" si="17"/>
        <v>0</v>
      </c>
    </row>
    <row r="987" spans="2:18" x14ac:dyDescent="0.25">
      <c r="B987" s="48">
        <f>+'Metrics - Articles'!C986</f>
        <v>0</v>
      </c>
      <c r="C987">
        <f>COUNTIF('Metrics - Articles'!F986,"*GPO (Partner, Ecosystem, Channels)*")</f>
        <v>0</v>
      </c>
      <c r="D987">
        <f>COUNTIF('Metrics - Articles'!F986,"*Office of the CEO*")</f>
        <v>0</v>
      </c>
      <c r="E987">
        <f>COUNTIF('Metrics - Articles'!F986,"*Services Delivery &amp; Support (go-lives and deployments) *")</f>
        <v>0</v>
      </c>
      <c r="F987">
        <f>COUNTIF('Metrics - Articles'!F986,"*Human Resources (SAP HR and employee stories)*")</f>
        <v>0</v>
      </c>
      <c r="G987">
        <f>COUNTIF('Metrics - Articles'!F986,"*P&amp;I (Research &amp; Development)*")</f>
        <v>0</v>
      </c>
      <c r="H987">
        <f>COUNTIF('Metrics - Articles'!F986,"*Business Network (Concur, Ariba, Fieldglass)*")</f>
        <v>0</v>
      </c>
      <c r="I987">
        <f>COUNTIF('Metrics - Articles'!F986,"*GCO – Regions*")</f>
        <v>0</v>
      </c>
      <c r="J987">
        <f>COUNTIF('Metrics - Articles'!F986,"*GCO – Platform Solutions*")</f>
        <v>0</v>
      </c>
      <c r="K987">
        <f>COUNTIF('Metrics - Articles'!F986,"*GCO – Industry Cloud *")</f>
        <v>0</v>
      </c>
      <c r="L987">
        <f>COUNTIF('Metrics - Articles'!F986,"*GCO – Customer Engagement &amp; Commerce (CRM &amp; hybris) *")</f>
        <v>0</v>
      </c>
      <c r="M987">
        <f>COUNTIF('Metrics - Articles'!F986,"*GCO – HR (SuccessFactors)*")</f>
        <v>0</v>
      </c>
      <c r="N987">
        <f>COUNTIF('Metrics - Articles'!F986,"*GCO – Services Sales*")</f>
        <v>0</v>
      </c>
      <c r="O987">
        <f>COUNTIF('Metrics - Articles'!F986,"*GCO – Other*")</f>
        <v>0</v>
      </c>
      <c r="P987">
        <f>COUNTIF('Metrics - Articles'!F986,"*Corporate*")</f>
        <v>0</v>
      </c>
      <c r="R987" s="53">
        <f t="shared" si="17"/>
        <v>0</v>
      </c>
    </row>
    <row r="988" spans="2:18" x14ac:dyDescent="0.25">
      <c r="B988" s="48">
        <f>+'Metrics - Articles'!C987</f>
        <v>0</v>
      </c>
      <c r="C988">
        <f>COUNTIF('Metrics - Articles'!F987,"*GPO (Partner, Ecosystem, Channels)*")</f>
        <v>0</v>
      </c>
      <c r="D988">
        <f>COUNTIF('Metrics - Articles'!F987,"*Office of the CEO*")</f>
        <v>0</v>
      </c>
      <c r="E988">
        <f>COUNTIF('Metrics - Articles'!F987,"*Services Delivery &amp; Support (go-lives and deployments) *")</f>
        <v>0</v>
      </c>
      <c r="F988">
        <f>COUNTIF('Metrics - Articles'!F987,"*Human Resources (SAP HR and employee stories)*")</f>
        <v>0</v>
      </c>
      <c r="G988">
        <f>COUNTIF('Metrics - Articles'!F987,"*P&amp;I (Research &amp; Development)*")</f>
        <v>0</v>
      </c>
      <c r="H988">
        <f>COUNTIF('Metrics - Articles'!F987,"*Business Network (Concur, Ariba, Fieldglass)*")</f>
        <v>0</v>
      </c>
      <c r="I988">
        <f>COUNTIF('Metrics - Articles'!F987,"*GCO – Regions*")</f>
        <v>0</v>
      </c>
      <c r="J988">
        <f>COUNTIF('Metrics - Articles'!F987,"*GCO – Platform Solutions*")</f>
        <v>0</v>
      </c>
      <c r="K988">
        <f>COUNTIF('Metrics - Articles'!F987,"*GCO – Industry Cloud *")</f>
        <v>0</v>
      </c>
      <c r="L988">
        <f>COUNTIF('Metrics - Articles'!F987,"*GCO – Customer Engagement &amp; Commerce (CRM &amp; hybris) *")</f>
        <v>0</v>
      </c>
      <c r="M988">
        <f>COUNTIF('Metrics - Articles'!F987,"*GCO – HR (SuccessFactors)*")</f>
        <v>0</v>
      </c>
      <c r="N988">
        <f>COUNTIF('Metrics - Articles'!F987,"*GCO – Services Sales*")</f>
        <v>0</v>
      </c>
      <c r="O988">
        <f>COUNTIF('Metrics - Articles'!F987,"*GCO – Other*")</f>
        <v>0</v>
      </c>
      <c r="P988">
        <f>COUNTIF('Metrics - Articles'!F987,"*Corporate*")</f>
        <v>0</v>
      </c>
      <c r="R988" s="53">
        <f t="shared" si="17"/>
        <v>0</v>
      </c>
    </row>
    <row r="989" spans="2:18" x14ac:dyDescent="0.25">
      <c r="B989" s="48">
        <f>+'Metrics - Articles'!C988</f>
        <v>0</v>
      </c>
      <c r="C989">
        <f>COUNTIF('Metrics - Articles'!F988,"*GPO (Partner, Ecosystem, Channels)*")</f>
        <v>0</v>
      </c>
      <c r="D989">
        <f>COUNTIF('Metrics - Articles'!F988,"*Office of the CEO*")</f>
        <v>0</v>
      </c>
      <c r="E989">
        <f>COUNTIF('Metrics - Articles'!F988,"*Services Delivery &amp; Support (go-lives and deployments) *")</f>
        <v>0</v>
      </c>
      <c r="F989">
        <f>COUNTIF('Metrics - Articles'!F988,"*Human Resources (SAP HR and employee stories)*")</f>
        <v>0</v>
      </c>
      <c r="G989">
        <f>COUNTIF('Metrics - Articles'!F988,"*P&amp;I (Research &amp; Development)*")</f>
        <v>0</v>
      </c>
      <c r="H989">
        <f>COUNTIF('Metrics - Articles'!F988,"*Business Network (Concur, Ariba, Fieldglass)*")</f>
        <v>0</v>
      </c>
      <c r="I989">
        <f>COUNTIF('Metrics - Articles'!F988,"*GCO – Regions*")</f>
        <v>0</v>
      </c>
      <c r="J989">
        <f>COUNTIF('Metrics - Articles'!F988,"*GCO – Platform Solutions*")</f>
        <v>0</v>
      </c>
      <c r="K989">
        <f>COUNTIF('Metrics - Articles'!F988,"*GCO – Industry Cloud *")</f>
        <v>0</v>
      </c>
      <c r="L989">
        <f>COUNTIF('Metrics - Articles'!F988,"*GCO – Customer Engagement &amp; Commerce (CRM &amp; hybris) *")</f>
        <v>0</v>
      </c>
      <c r="M989">
        <f>COUNTIF('Metrics - Articles'!F988,"*GCO – HR (SuccessFactors)*")</f>
        <v>0</v>
      </c>
      <c r="N989">
        <f>COUNTIF('Metrics - Articles'!F988,"*GCO – Services Sales*")</f>
        <v>0</v>
      </c>
      <c r="O989">
        <f>COUNTIF('Metrics - Articles'!F988,"*GCO – Other*")</f>
        <v>0</v>
      </c>
      <c r="P989">
        <f>COUNTIF('Metrics - Articles'!F988,"*Corporate*")</f>
        <v>0</v>
      </c>
      <c r="R989" s="53">
        <f t="shared" si="17"/>
        <v>0</v>
      </c>
    </row>
    <row r="990" spans="2:18" x14ac:dyDescent="0.25">
      <c r="B990" s="48">
        <f>+'Metrics - Articles'!C989</f>
        <v>0</v>
      </c>
      <c r="C990">
        <f>COUNTIF('Metrics - Articles'!F989,"*GPO (Partner, Ecosystem, Channels)*")</f>
        <v>0</v>
      </c>
      <c r="D990">
        <f>COUNTIF('Metrics - Articles'!F989,"*Office of the CEO*")</f>
        <v>0</v>
      </c>
      <c r="E990">
        <f>COUNTIF('Metrics - Articles'!F989,"*Services Delivery &amp; Support (go-lives and deployments) *")</f>
        <v>0</v>
      </c>
      <c r="F990">
        <f>COUNTIF('Metrics - Articles'!F989,"*Human Resources (SAP HR and employee stories)*")</f>
        <v>0</v>
      </c>
      <c r="G990">
        <f>COUNTIF('Metrics - Articles'!F989,"*P&amp;I (Research &amp; Development)*")</f>
        <v>0</v>
      </c>
      <c r="H990">
        <f>COUNTIF('Metrics - Articles'!F989,"*Business Network (Concur, Ariba, Fieldglass)*")</f>
        <v>0</v>
      </c>
      <c r="I990">
        <f>COUNTIF('Metrics - Articles'!F989,"*GCO – Regions*")</f>
        <v>0</v>
      </c>
      <c r="J990">
        <f>COUNTIF('Metrics - Articles'!F989,"*GCO – Platform Solutions*")</f>
        <v>0</v>
      </c>
      <c r="K990">
        <f>COUNTIF('Metrics - Articles'!F989,"*GCO – Industry Cloud *")</f>
        <v>0</v>
      </c>
      <c r="L990">
        <f>COUNTIF('Metrics - Articles'!F989,"*GCO – Customer Engagement &amp; Commerce (CRM &amp; hybris) *")</f>
        <v>0</v>
      </c>
      <c r="M990">
        <f>COUNTIF('Metrics - Articles'!F989,"*GCO – HR (SuccessFactors)*")</f>
        <v>0</v>
      </c>
      <c r="N990">
        <f>COUNTIF('Metrics - Articles'!F989,"*GCO – Services Sales*")</f>
        <v>0</v>
      </c>
      <c r="O990">
        <f>COUNTIF('Metrics - Articles'!F989,"*GCO – Other*")</f>
        <v>0</v>
      </c>
      <c r="P990">
        <f>COUNTIF('Metrics - Articles'!F989,"*Corporate*")</f>
        <v>0</v>
      </c>
      <c r="R990" s="53">
        <f t="shared" si="17"/>
        <v>0</v>
      </c>
    </row>
    <row r="991" spans="2:18" x14ac:dyDescent="0.25">
      <c r="B991" s="48">
        <f>+'Metrics - Articles'!C990</f>
        <v>0</v>
      </c>
      <c r="C991">
        <f>COUNTIF('Metrics - Articles'!F990,"*GPO (Partner, Ecosystem, Channels)*")</f>
        <v>0</v>
      </c>
      <c r="D991">
        <f>COUNTIF('Metrics - Articles'!F990,"*Office of the CEO*")</f>
        <v>0</v>
      </c>
      <c r="E991">
        <f>COUNTIF('Metrics - Articles'!F990,"*Services Delivery &amp; Support (go-lives and deployments) *")</f>
        <v>0</v>
      </c>
      <c r="F991">
        <f>COUNTIF('Metrics - Articles'!F990,"*Human Resources (SAP HR and employee stories)*")</f>
        <v>0</v>
      </c>
      <c r="G991">
        <f>COUNTIF('Metrics - Articles'!F990,"*P&amp;I (Research &amp; Development)*")</f>
        <v>0</v>
      </c>
      <c r="H991">
        <f>COUNTIF('Metrics - Articles'!F990,"*Business Network (Concur, Ariba, Fieldglass)*")</f>
        <v>0</v>
      </c>
      <c r="I991">
        <f>COUNTIF('Metrics - Articles'!F990,"*GCO – Regions*")</f>
        <v>0</v>
      </c>
      <c r="J991">
        <f>COUNTIF('Metrics - Articles'!F990,"*GCO – Platform Solutions*")</f>
        <v>0</v>
      </c>
      <c r="K991">
        <f>COUNTIF('Metrics - Articles'!F990,"*GCO – Industry Cloud *")</f>
        <v>0</v>
      </c>
      <c r="L991">
        <f>COUNTIF('Metrics - Articles'!F990,"*GCO – Customer Engagement &amp; Commerce (CRM &amp; hybris) *")</f>
        <v>0</v>
      </c>
      <c r="M991">
        <f>COUNTIF('Metrics - Articles'!F990,"*GCO – HR (SuccessFactors)*")</f>
        <v>0</v>
      </c>
      <c r="N991">
        <f>COUNTIF('Metrics - Articles'!F990,"*GCO – Services Sales*")</f>
        <v>0</v>
      </c>
      <c r="O991">
        <f>COUNTIF('Metrics - Articles'!F990,"*GCO – Other*")</f>
        <v>0</v>
      </c>
      <c r="P991">
        <f>COUNTIF('Metrics - Articles'!F990,"*Corporate*")</f>
        <v>0</v>
      </c>
      <c r="R991" s="53">
        <f t="shared" si="17"/>
        <v>0</v>
      </c>
    </row>
    <row r="992" spans="2:18" x14ac:dyDescent="0.25">
      <c r="B992" s="48">
        <f>+'Metrics - Articles'!C991</f>
        <v>0</v>
      </c>
      <c r="C992">
        <f>COUNTIF('Metrics - Articles'!F991,"*GPO (Partner, Ecosystem, Channels)*")</f>
        <v>0</v>
      </c>
      <c r="D992">
        <f>COUNTIF('Metrics - Articles'!F991,"*Office of the CEO*")</f>
        <v>0</v>
      </c>
      <c r="E992">
        <f>COUNTIF('Metrics - Articles'!F991,"*Services Delivery &amp; Support (go-lives and deployments) *")</f>
        <v>0</v>
      </c>
      <c r="F992">
        <f>COUNTIF('Metrics - Articles'!F991,"*Human Resources (SAP HR and employee stories)*")</f>
        <v>0</v>
      </c>
      <c r="G992">
        <f>COUNTIF('Metrics - Articles'!F991,"*P&amp;I (Research &amp; Development)*")</f>
        <v>0</v>
      </c>
      <c r="H992">
        <f>COUNTIF('Metrics - Articles'!F991,"*Business Network (Concur, Ariba, Fieldglass)*")</f>
        <v>0</v>
      </c>
      <c r="I992">
        <f>COUNTIF('Metrics - Articles'!F991,"*GCO – Regions*")</f>
        <v>0</v>
      </c>
      <c r="J992">
        <f>COUNTIF('Metrics - Articles'!F991,"*GCO – Platform Solutions*")</f>
        <v>0</v>
      </c>
      <c r="K992">
        <f>COUNTIF('Metrics - Articles'!F991,"*GCO – Industry Cloud *")</f>
        <v>0</v>
      </c>
      <c r="L992">
        <f>COUNTIF('Metrics - Articles'!F991,"*GCO – Customer Engagement &amp; Commerce (CRM &amp; hybris) *")</f>
        <v>0</v>
      </c>
      <c r="M992">
        <f>COUNTIF('Metrics - Articles'!F991,"*GCO – HR (SuccessFactors)*")</f>
        <v>0</v>
      </c>
      <c r="N992">
        <f>COUNTIF('Metrics - Articles'!F991,"*GCO – Services Sales*")</f>
        <v>0</v>
      </c>
      <c r="O992">
        <f>COUNTIF('Metrics - Articles'!F991,"*GCO – Other*")</f>
        <v>0</v>
      </c>
      <c r="P992">
        <f>COUNTIF('Metrics - Articles'!F991,"*Corporate*")</f>
        <v>0</v>
      </c>
      <c r="R992" s="53">
        <f t="shared" si="17"/>
        <v>0</v>
      </c>
    </row>
    <row r="993" spans="2:18" x14ac:dyDescent="0.25">
      <c r="B993" s="48">
        <f>+'Metrics - Articles'!C992</f>
        <v>0</v>
      </c>
      <c r="C993">
        <f>COUNTIF('Metrics - Articles'!F992,"*GPO (Partner, Ecosystem, Channels)*")</f>
        <v>0</v>
      </c>
      <c r="D993">
        <f>COUNTIF('Metrics - Articles'!F992,"*Office of the CEO*")</f>
        <v>0</v>
      </c>
      <c r="E993">
        <f>COUNTIF('Metrics - Articles'!F992,"*Services Delivery &amp; Support (go-lives and deployments) *")</f>
        <v>0</v>
      </c>
      <c r="F993">
        <f>COUNTIF('Metrics - Articles'!F992,"*Human Resources (SAP HR and employee stories)*")</f>
        <v>0</v>
      </c>
      <c r="G993">
        <f>COUNTIF('Metrics - Articles'!F992,"*P&amp;I (Research &amp; Development)*")</f>
        <v>0</v>
      </c>
      <c r="H993">
        <f>COUNTIF('Metrics - Articles'!F992,"*Business Network (Concur, Ariba, Fieldglass)*")</f>
        <v>0</v>
      </c>
      <c r="I993">
        <f>COUNTIF('Metrics - Articles'!F992,"*GCO – Regions*")</f>
        <v>0</v>
      </c>
      <c r="J993">
        <f>COUNTIF('Metrics - Articles'!F992,"*GCO – Platform Solutions*")</f>
        <v>0</v>
      </c>
      <c r="K993">
        <f>COUNTIF('Metrics - Articles'!F992,"*GCO – Industry Cloud *")</f>
        <v>0</v>
      </c>
      <c r="L993">
        <f>COUNTIF('Metrics - Articles'!F992,"*GCO – Customer Engagement &amp; Commerce (CRM &amp; hybris) *")</f>
        <v>0</v>
      </c>
      <c r="M993">
        <f>COUNTIF('Metrics - Articles'!F992,"*GCO – HR (SuccessFactors)*")</f>
        <v>0</v>
      </c>
      <c r="N993">
        <f>COUNTIF('Metrics - Articles'!F992,"*GCO – Services Sales*")</f>
        <v>0</v>
      </c>
      <c r="O993">
        <f>COUNTIF('Metrics - Articles'!F992,"*GCO – Other*")</f>
        <v>0</v>
      </c>
      <c r="P993">
        <f>COUNTIF('Metrics - Articles'!F992,"*Corporate*")</f>
        <v>0</v>
      </c>
      <c r="R993" s="53">
        <f t="shared" si="17"/>
        <v>0</v>
      </c>
    </row>
    <row r="994" spans="2:18" x14ac:dyDescent="0.25">
      <c r="B994" s="48">
        <f>+'Metrics - Articles'!C993</f>
        <v>0</v>
      </c>
      <c r="C994">
        <f>COUNTIF('Metrics - Articles'!F993,"*GPO (Partner, Ecosystem, Channels)*")</f>
        <v>0</v>
      </c>
      <c r="D994">
        <f>COUNTIF('Metrics - Articles'!F993,"*Office of the CEO*")</f>
        <v>0</v>
      </c>
      <c r="E994">
        <f>COUNTIF('Metrics - Articles'!F993,"*Services Delivery &amp; Support (go-lives and deployments) *")</f>
        <v>0</v>
      </c>
      <c r="F994">
        <f>COUNTIF('Metrics - Articles'!F993,"*Human Resources (SAP HR and employee stories)*")</f>
        <v>0</v>
      </c>
      <c r="G994">
        <f>COUNTIF('Metrics - Articles'!F993,"*P&amp;I (Research &amp; Development)*")</f>
        <v>0</v>
      </c>
      <c r="H994">
        <f>COUNTIF('Metrics - Articles'!F993,"*Business Network (Concur, Ariba, Fieldglass)*")</f>
        <v>0</v>
      </c>
      <c r="I994">
        <f>COUNTIF('Metrics - Articles'!F993,"*GCO – Regions*")</f>
        <v>0</v>
      </c>
      <c r="J994">
        <f>COUNTIF('Metrics - Articles'!F993,"*GCO – Platform Solutions*")</f>
        <v>0</v>
      </c>
      <c r="K994">
        <f>COUNTIF('Metrics - Articles'!F993,"*GCO – Industry Cloud *")</f>
        <v>0</v>
      </c>
      <c r="L994">
        <f>COUNTIF('Metrics - Articles'!F993,"*GCO – Customer Engagement &amp; Commerce (CRM &amp; hybris) *")</f>
        <v>0</v>
      </c>
      <c r="M994">
        <f>COUNTIF('Metrics - Articles'!F993,"*GCO – HR (SuccessFactors)*")</f>
        <v>0</v>
      </c>
      <c r="N994">
        <f>COUNTIF('Metrics - Articles'!F993,"*GCO – Services Sales*")</f>
        <v>0</v>
      </c>
      <c r="O994">
        <f>COUNTIF('Metrics - Articles'!F993,"*GCO – Other*")</f>
        <v>0</v>
      </c>
      <c r="P994">
        <f>COUNTIF('Metrics - Articles'!F993,"*Corporate*")</f>
        <v>0</v>
      </c>
      <c r="R994" s="53">
        <f t="shared" si="17"/>
        <v>0</v>
      </c>
    </row>
    <row r="995" spans="2:18" x14ac:dyDescent="0.25">
      <c r="B995" s="48">
        <f>+'Metrics - Articles'!C994</f>
        <v>0</v>
      </c>
      <c r="C995">
        <f>COUNTIF('Metrics - Articles'!F994,"*GPO (Partner, Ecosystem, Channels)*")</f>
        <v>0</v>
      </c>
      <c r="D995">
        <f>COUNTIF('Metrics - Articles'!F994,"*Office of the CEO*")</f>
        <v>0</v>
      </c>
      <c r="E995">
        <f>COUNTIF('Metrics - Articles'!F994,"*Services Delivery &amp; Support (go-lives and deployments) *")</f>
        <v>0</v>
      </c>
      <c r="F995">
        <f>COUNTIF('Metrics - Articles'!F994,"*Human Resources (SAP HR and employee stories)*")</f>
        <v>0</v>
      </c>
      <c r="G995">
        <f>COUNTIF('Metrics - Articles'!F994,"*P&amp;I (Research &amp; Development)*")</f>
        <v>0</v>
      </c>
      <c r="H995">
        <f>COUNTIF('Metrics - Articles'!F994,"*Business Network (Concur, Ariba, Fieldglass)*")</f>
        <v>0</v>
      </c>
      <c r="I995">
        <f>COUNTIF('Metrics - Articles'!F994,"*GCO – Regions*")</f>
        <v>0</v>
      </c>
      <c r="J995">
        <f>COUNTIF('Metrics - Articles'!F994,"*GCO – Platform Solutions*")</f>
        <v>0</v>
      </c>
      <c r="K995">
        <f>COUNTIF('Metrics - Articles'!F994,"*GCO – Industry Cloud *")</f>
        <v>0</v>
      </c>
      <c r="L995">
        <f>COUNTIF('Metrics - Articles'!F994,"*GCO – Customer Engagement &amp; Commerce (CRM &amp; hybris) *")</f>
        <v>0</v>
      </c>
      <c r="M995">
        <f>COUNTIF('Metrics - Articles'!F994,"*GCO – HR (SuccessFactors)*")</f>
        <v>0</v>
      </c>
      <c r="N995">
        <f>COUNTIF('Metrics - Articles'!F994,"*GCO – Services Sales*")</f>
        <v>0</v>
      </c>
      <c r="O995">
        <f>COUNTIF('Metrics - Articles'!F994,"*GCO – Other*")</f>
        <v>0</v>
      </c>
      <c r="P995">
        <f>COUNTIF('Metrics - Articles'!F994,"*Corporate*")</f>
        <v>0</v>
      </c>
      <c r="R995" s="53">
        <f t="shared" si="17"/>
        <v>0</v>
      </c>
    </row>
    <row r="996" spans="2:18" x14ac:dyDescent="0.25">
      <c r="B996" s="48">
        <f>+'Metrics - Articles'!C995</f>
        <v>0</v>
      </c>
      <c r="C996">
        <f>COUNTIF('Metrics - Articles'!F995,"*GPO (Partner, Ecosystem, Channels)*")</f>
        <v>0</v>
      </c>
      <c r="D996">
        <f>COUNTIF('Metrics - Articles'!F995,"*Office of the CEO*")</f>
        <v>0</v>
      </c>
      <c r="E996">
        <f>COUNTIF('Metrics - Articles'!F995,"*Services Delivery &amp; Support (go-lives and deployments) *")</f>
        <v>0</v>
      </c>
      <c r="F996">
        <f>COUNTIF('Metrics - Articles'!F995,"*Human Resources (SAP HR and employee stories)*")</f>
        <v>0</v>
      </c>
      <c r="G996">
        <f>COUNTIF('Metrics - Articles'!F995,"*P&amp;I (Research &amp; Development)*")</f>
        <v>0</v>
      </c>
      <c r="H996">
        <f>COUNTIF('Metrics - Articles'!F995,"*Business Network (Concur, Ariba, Fieldglass)*")</f>
        <v>0</v>
      </c>
      <c r="I996">
        <f>COUNTIF('Metrics - Articles'!F995,"*GCO – Regions*")</f>
        <v>0</v>
      </c>
      <c r="J996">
        <f>COUNTIF('Metrics - Articles'!F995,"*GCO – Platform Solutions*")</f>
        <v>0</v>
      </c>
      <c r="K996">
        <f>COUNTIF('Metrics - Articles'!F995,"*GCO – Industry Cloud *")</f>
        <v>0</v>
      </c>
      <c r="L996">
        <f>COUNTIF('Metrics - Articles'!F995,"*GCO – Customer Engagement &amp; Commerce (CRM &amp; hybris) *")</f>
        <v>0</v>
      </c>
      <c r="M996">
        <f>COUNTIF('Metrics - Articles'!F995,"*GCO – HR (SuccessFactors)*")</f>
        <v>0</v>
      </c>
      <c r="N996">
        <f>COUNTIF('Metrics - Articles'!F995,"*GCO – Services Sales*")</f>
        <v>0</v>
      </c>
      <c r="O996">
        <f>COUNTIF('Metrics - Articles'!F995,"*GCO – Other*")</f>
        <v>0</v>
      </c>
      <c r="P996">
        <f>COUNTIF('Metrics - Articles'!F995,"*Corporate*")</f>
        <v>0</v>
      </c>
      <c r="R996" s="53">
        <f t="shared" si="17"/>
        <v>0</v>
      </c>
    </row>
    <row r="997" spans="2:18" x14ac:dyDescent="0.25">
      <c r="B997" s="48">
        <f>+'Metrics - Articles'!C996</f>
        <v>0</v>
      </c>
      <c r="C997">
        <f>COUNTIF('Metrics - Articles'!F996,"*GPO (Partner, Ecosystem, Channels)*")</f>
        <v>0</v>
      </c>
      <c r="D997">
        <f>COUNTIF('Metrics - Articles'!F996,"*Office of the CEO*")</f>
        <v>0</v>
      </c>
      <c r="E997">
        <f>COUNTIF('Metrics - Articles'!F996,"*Services Delivery &amp; Support (go-lives and deployments) *")</f>
        <v>0</v>
      </c>
      <c r="F997">
        <f>COUNTIF('Metrics - Articles'!F996,"*Human Resources (SAP HR and employee stories)*")</f>
        <v>0</v>
      </c>
      <c r="G997">
        <f>COUNTIF('Metrics - Articles'!F996,"*P&amp;I (Research &amp; Development)*")</f>
        <v>0</v>
      </c>
      <c r="H997">
        <f>COUNTIF('Metrics - Articles'!F996,"*Business Network (Concur, Ariba, Fieldglass)*")</f>
        <v>0</v>
      </c>
      <c r="I997">
        <f>COUNTIF('Metrics - Articles'!F996,"*GCO – Regions*")</f>
        <v>0</v>
      </c>
      <c r="J997">
        <f>COUNTIF('Metrics - Articles'!F996,"*GCO – Platform Solutions*")</f>
        <v>0</v>
      </c>
      <c r="K997">
        <f>COUNTIF('Metrics - Articles'!F996,"*GCO – Industry Cloud *")</f>
        <v>0</v>
      </c>
      <c r="L997">
        <f>COUNTIF('Metrics - Articles'!F996,"*GCO – Customer Engagement &amp; Commerce (CRM &amp; hybris) *")</f>
        <v>0</v>
      </c>
      <c r="M997">
        <f>COUNTIF('Metrics - Articles'!F996,"*GCO – HR (SuccessFactors)*")</f>
        <v>0</v>
      </c>
      <c r="N997">
        <f>COUNTIF('Metrics - Articles'!F996,"*GCO – Services Sales*")</f>
        <v>0</v>
      </c>
      <c r="O997">
        <f>COUNTIF('Metrics - Articles'!F996,"*GCO – Other*")</f>
        <v>0</v>
      </c>
      <c r="P997">
        <f>COUNTIF('Metrics - Articles'!F996,"*Corporate*")</f>
        <v>0</v>
      </c>
      <c r="R997" s="53">
        <f t="shared" si="17"/>
        <v>0</v>
      </c>
    </row>
    <row r="998" spans="2:18" x14ac:dyDescent="0.25">
      <c r="B998" s="48">
        <f>+'Metrics - Articles'!C997</f>
        <v>0</v>
      </c>
      <c r="C998">
        <f>COUNTIF('Metrics - Articles'!F997,"*GPO (Partner, Ecosystem, Channels)*")</f>
        <v>0</v>
      </c>
      <c r="D998">
        <f>COUNTIF('Metrics - Articles'!F997,"*Office of the CEO*")</f>
        <v>0</v>
      </c>
      <c r="E998">
        <f>COUNTIF('Metrics - Articles'!F997,"*Services Delivery &amp; Support (go-lives and deployments) *")</f>
        <v>0</v>
      </c>
      <c r="F998">
        <f>COUNTIF('Metrics - Articles'!F997,"*Human Resources (SAP HR and employee stories)*")</f>
        <v>0</v>
      </c>
      <c r="G998">
        <f>COUNTIF('Metrics - Articles'!F997,"*P&amp;I (Research &amp; Development)*")</f>
        <v>0</v>
      </c>
      <c r="H998">
        <f>COUNTIF('Metrics - Articles'!F997,"*Business Network (Concur, Ariba, Fieldglass)*")</f>
        <v>0</v>
      </c>
      <c r="I998">
        <f>COUNTIF('Metrics - Articles'!F997,"*GCO – Regions*")</f>
        <v>0</v>
      </c>
      <c r="J998">
        <f>COUNTIF('Metrics - Articles'!F997,"*GCO – Platform Solutions*")</f>
        <v>0</v>
      </c>
      <c r="K998">
        <f>COUNTIF('Metrics - Articles'!F997,"*GCO – Industry Cloud *")</f>
        <v>0</v>
      </c>
      <c r="L998">
        <f>COUNTIF('Metrics - Articles'!F997,"*GCO – Customer Engagement &amp; Commerce (CRM &amp; hybris) *")</f>
        <v>0</v>
      </c>
      <c r="M998">
        <f>COUNTIF('Metrics - Articles'!F997,"*GCO – HR (SuccessFactors)*")</f>
        <v>0</v>
      </c>
      <c r="N998">
        <f>COUNTIF('Metrics - Articles'!F997,"*GCO – Services Sales*")</f>
        <v>0</v>
      </c>
      <c r="O998">
        <f>COUNTIF('Metrics - Articles'!F997,"*GCO – Other*")</f>
        <v>0</v>
      </c>
      <c r="P998">
        <f>COUNTIF('Metrics - Articles'!F997,"*Corporate*")</f>
        <v>0</v>
      </c>
      <c r="R998" s="53">
        <f t="shared" si="17"/>
        <v>0</v>
      </c>
    </row>
    <row r="999" spans="2:18" x14ac:dyDescent="0.25">
      <c r="B999" s="48">
        <f>+'Metrics - Articles'!C998</f>
        <v>0</v>
      </c>
      <c r="C999">
        <f>COUNTIF('Metrics - Articles'!F998,"*GPO (Partner, Ecosystem, Channels)*")</f>
        <v>0</v>
      </c>
      <c r="D999">
        <f>COUNTIF('Metrics - Articles'!F998,"*Office of the CEO*")</f>
        <v>0</v>
      </c>
      <c r="E999">
        <f>COUNTIF('Metrics - Articles'!F998,"*Services Delivery &amp; Support (go-lives and deployments) *")</f>
        <v>0</v>
      </c>
      <c r="F999">
        <f>COUNTIF('Metrics - Articles'!F998,"*Human Resources (SAP HR and employee stories)*")</f>
        <v>0</v>
      </c>
      <c r="G999">
        <f>COUNTIF('Metrics - Articles'!F998,"*P&amp;I (Research &amp; Development)*")</f>
        <v>0</v>
      </c>
      <c r="H999">
        <f>COUNTIF('Metrics - Articles'!F998,"*Business Network (Concur, Ariba, Fieldglass)*")</f>
        <v>0</v>
      </c>
      <c r="I999">
        <f>COUNTIF('Metrics - Articles'!F998,"*GCO – Regions*")</f>
        <v>0</v>
      </c>
      <c r="J999">
        <f>COUNTIF('Metrics - Articles'!F998,"*GCO – Platform Solutions*")</f>
        <v>0</v>
      </c>
      <c r="K999">
        <f>COUNTIF('Metrics - Articles'!F998,"*GCO – Industry Cloud *")</f>
        <v>0</v>
      </c>
      <c r="L999">
        <f>COUNTIF('Metrics - Articles'!F998,"*GCO – Customer Engagement &amp; Commerce (CRM &amp; hybris) *")</f>
        <v>0</v>
      </c>
      <c r="M999">
        <f>COUNTIF('Metrics - Articles'!F998,"*GCO – HR (SuccessFactors)*")</f>
        <v>0</v>
      </c>
      <c r="N999">
        <f>COUNTIF('Metrics - Articles'!F998,"*GCO – Services Sales*")</f>
        <v>0</v>
      </c>
      <c r="O999">
        <f>COUNTIF('Metrics - Articles'!F998,"*GCO – Other*")</f>
        <v>0</v>
      </c>
      <c r="P999">
        <f>COUNTIF('Metrics - Articles'!F998,"*Corporate*")</f>
        <v>0</v>
      </c>
      <c r="R999" s="53">
        <f t="shared" si="17"/>
        <v>0</v>
      </c>
    </row>
    <row r="1000" spans="2:18" x14ac:dyDescent="0.25">
      <c r="B1000" s="48">
        <f>+'Metrics - Articles'!C999</f>
        <v>0</v>
      </c>
      <c r="C1000">
        <f>COUNTIF('Metrics - Articles'!F999,"*GPO (Partner, Ecosystem, Channels)*")</f>
        <v>0</v>
      </c>
      <c r="D1000">
        <f>COUNTIF('Metrics - Articles'!F999,"*Office of the CEO*")</f>
        <v>0</v>
      </c>
      <c r="E1000">
        <f>COUNTIF('Metrics - Articles'!F999,"*Services Delivery &amp; Support (go-lives and deployments) *")</f>
        <v>0</v>
      </c>
      <c r="F1000">
        <f>COUNTIF('Metrics - Articles'!F999,"*Human Resources (SAP HR and employee stories)*")</f>
        <v>0</v>
      </c>
      <c r="G1000">
        <f>COUNTIF('Metrics - Articles'!F999,"*P&amp;I (Research &amp; Development)*")</f>
        <v>0</v>
      </c>
      <c r="H1000">
        <f>COUNTIF('Metrics - Articles'!F999,"*Business Network (Concur, Ariba, Fieldglass)*")</f>
        <v>0</v>
      </c>
      <c r="I1000">
        <f>COUNTIF('Metrics - Articles'!F999,"*GCO – Regions*")</f>
        <v>0</v>
      </c>
      <c r="J1000">
        <f>COUNTIF('Metrics - Articles'!F999,"*GCO – Platform Solutions*")</f>
        <v>0</v>
      </c>
      <c r="K1000">
        <f>COUNTIF('Metrics - Articles'!F999,"*GCO – Industry Cloud *")</f>
        <v>0</v>
      </c>
      <c r="L1000">
        <f>COUNTIF('Metrics - Articles'!F999,"*GCO – Customer Engagement &amp; Commerce (CRM &amp; hybris) *")</f>
        <v>0</v>
      </c>
      <c r="M1000">
        <f>COUNTIF('Metrics - Articles'!F999,"*GCO – HR (SuccessFactors)*")</f>
        <v>0</v>
      </c>
      <c r="N1000">
        <f>COUNTIF('Metrics - Articles'!F999,"*GCO – Services Sales*")</f>
        <v>0</v>
      </c>
      <c r="O1000">
        <f>COUNTIF('Metrics - Articles'!F999,"*GCO – Other*")</f>
        <v>0</v>
      </c>
      <c r="P1000">
        <f>COUNTIF('Metrics - Articles'!F999,"*Corporate*")</f>
        <v>0</v>
      </c>
      <c r="R1000" s="53">
        <f t="shared" si="17"/>
        <v>0</v>
      </c>
    </row>
    <row r="1001" spans="2:18" x14ac:dyDescent="0.25">
      <c r="B1001" s="48">
        <f>+'Metrics - Articles'!C1000</f>
        <v>0</v>
      </c>
      <c r="C1001">
        <f>COUNTIF('Metrics - Articles'!F1000,"*GPO (Partner, Ecosystem, Channels)*")</f>
        <v>0</v>
      </c>
      <c r="D1001">
        <f>COUNTIF('Metrics - Articles'!F1000,"*Office of the CEO*")</f>
        <v>0</v>
      </c>
      <c r="E1001">
        <f>COUNTIF('Metrics - Articles'!F1000,"*Services Delivery &amp; Support (go-lives and deployments) *")</f>
        <v>0</v>
      </c>
      <c r="F1001">
        <f>COUNTIF('Metrics - Articles'!F1000,"*Human Resources (SAP HR and employee stories)*")</f>
        <v>0</v>
      </c>
      <c r="G1001">
        <f>COUNTIF('Metrics - Articles'!F1000,"*P&amp;I (Research &amp; Development)*")</f>
        <v>0</v>
      </c>
      <c r="H1001">
        <f>COUNTIF('Metrics - Articles'!F1000,"*Business Network (Concur, Ariba, Fieldglass)*")</f>
        <v>0</v>
      </c>
      <c r="I1001">
        <f>COUNTIF('Metrics - Articles'!F1000,"*GCO – Regions*")</f>
        <v>0</v>
      </c>
      <c r="J1001">
        <f>COUNTIF('Metrics - Articles'!F1000,"*GCO – Platform Solutions*")</f>
        <v>0</v>
      </c>
      <c r="K1001">
        <f>COUNTIF('Metrics - Articles'!F1000,"*GCO – Industry Cloud *")</f>
        <v>0</v>
      </c>
      <c r="L1001">
        <f>COUNTIF('Metrics - Articles'!F1000,"*GCO – Customer Engagement &amp; Commerce (CRM &amp; hybris) *")</f>
        <v>0</v>
      </c>
      <c r="M1001">
        <f>COUNTIF('Metrics - Articles'!F1000,"*GCO – HR (SuccessFactors)*")</f>
        <v>0</v>
      </c>
      <c r="N1001">
        <f>COUNTIF('Metrics - Articles'!F1000,"*GCO – Services Sales*")</f>
        <v>0</v>
      </c>
      <c r="O1001">
        <f>COUNTIF('Metrics - Articles'!F1000,"*GCO – Other*")</f>
        <v>0</v>
      </c>
      <c r="P1001">
        <f>COUNTIF('Metrics - Articles'!F1000,"*Corporate*")</f>
        <v>0</v>
      </c>
      <c r="R1001" s="53">
        <f t="shared" si="17"/>
        <v>0</v>
      </c>
    </row>
    <row r="1002" spans="2:18" x14ac:dyDescent="0.25">
      <c r="B1002" s="48">
        <f>+'Metrics - Articles'!C1001</f>
        <v>0</v>
      </c>
      <c r="C1002">
        <f>COUNTIF('Metrics - Articles'!F1001,"*GPO (Partner, Ecosystem, Channels)*")</f>
        <v>0</v>
      </c>
      <c r="D1002">
        <f>COUNTIF('Metrics - Articles'!F1001,"*Office of the CEO*")</f>
        <v>0</v>
      </c>
      <c r="E1002">
        <f>COUNTIF('Metrics - Articles'!F1001,"*Services Delivery &amp; Support (go-lives and deployments) *")</f>
        <v>0</v>
      </c>
      <c r="F1002">
        <f>COUNTIF('Metrics - Articles'!F1001,"*Human Resources (SAP HR and employee stories)*")</f>
        <v>0</v>
      </c>
      <c r="G1002">
        <f>COUNTIF('Metrics - Articles'!F1001,"*P&amp;I (Research &amp; Development)*")</f>
        <v>0</v>
      </c>
      <c r="H1002">
        <f>COUNTIF('Metrics - Articles'!F1001,"*Business Network (Concur, Ariba, Fieldglass)*")</f>
        <v>0</v>
      </c>
      <c r="I1002">
        <f>COUNTIF('Metrics - Articles'!F1001,"*GCO – Regions*")</f>
        <v>0</v>
      </c>
      <c r="J1002">
        <f>COUNTIF('Metrics - Articles'!F1001,"*GCO – Platform Solutions*")</f>
        <v>0</v>
      </c>
      <c r="K1002">
        <f>COUNTIF('Metrics - Articles'!F1001,"*GCO – Industry Cloud *")</f>
        <v>0</v>
      </c>
      <c r="L1002">
        <f>COUNTIF('Metrics - Articles'!F1001,"*GCO – Customer Engagement &amp; Commerce (CRM &amp; hybris) *")</f>
        <v>0</v>
      </c>
      <c r="M1002">
        <f>COUNTIF('Metrics - Articles'!F1001,"*GCO – HR (SuccessFactors)*")</f>
        <v>0</v>
      </c>
      <c r="N1002">
        <f>COUNTIF('Metrics - Articles'!F1001,"*GCO – Services Sales*")</f>
        <v>0</v>
      </c>
      <c r="O1002">
        <f>COUNTIF('Metrics - Articles'!F1001,"*GCO – Other*")</f>
        <v>0</v>
      </c>
      <c r="P1002">
        <f>COUNTIF('Metrics - Articles'!F1001,"*Corporate*")</f>
        <v>0</v>
      </c>
      <c r="R1002" s="53">
        <f t="shared" si="17"/>
        <v>0</v>
      </c>
    </row>
    <row r="1003" spans="2:18" x14ac:dyDescent="0.25">
      <c r="B1003" s="48">
        <f>+'Metrics - Articles'!C1002</f>
        <v>0</v>
      </c>
      <c r="C1003">
        <f>COUNTIF('Metrics - Articles'!F1002,"*GPO (Partner, Ecosystem, Channels)*")</f>
        <v>0</v>
      </c>
      <c r="D1003">
        <f>COUNTIF('Metrics - Articles'!F1002,"*Office of the CEO*")</f>
        <v>0</v>
      </c>
      <c r="E1003">
        <f>COUNTIF('Metrics - Articles'!F1002,"*Services Delivery &amp; Support (go-lives and deployments) *")</f>
        <v>0</v>
      </c>
      <c r="F1003">
        <f>COUNTIF('Metrics - Articles'!F1002,"*Human Resources (SAP HR and employee stories)*")</f>
        <v>0</v>
      </c>
      <c r="G1003">
        <f>COUNTIF('Metrics - Articles'!F1002,"*P&amp;I (Research &amp; Development)*")</f>
        <v>0</v>
      </c>
      <c r="H1003">
        <f>COUNTIF('Metrics - Articles'!F1002,"*Business Network (Concur, Ariba, Fieldglass)*")</f>
        <v>0</v>
      </c>
      <c r="I1003">
        <f>COUNTIF('Metrics - Articles'!F1002,"*GCO – Regions*")</f>
        <v>0</v>
      </c>
      <c r="J1003">
        <f>COUNTIF('Metrics - Articles'!F1002,"*GCO – Platform Solutions*")</f>
        <v>0</v>
      </c>
      <c r="K1003">
        <f>COUNTIF('Metrics - Articles'!F1002,"*GCO – Industry Cloud *")</f>
        <v>0</v>
      </c>
      <c r="L1003">
        <f>COUNTIF('Metrics - Articles'!F1002,"*GCO – Customer Engagement &amp; Commerce (CRM &amp; hybris) *")</f>
        <v>0</v>
      </c>
      <c r="M1003">
        <f>COUNTIF('Metrics - Articles'!F1002,"*GCO – HR (SuccessFactors)*")</f>
        <v>0</v>
      </c>
      <c r="N1003">
        <f>COUNTIF('Metrics - Articles'!F1002,"*GCO – Services Sales*")</f>
        <v>0</v>
      </c>
      <c r="O1003">
        <f>COUNTIF('Metrics - Articles'!F1002,"*GCO – Other*")</f>
        <v>0</v>
      </c>
      <c r="P1003">
        <f>COUNTIF('Metrics - Articles'!F1002,"*Corporate*")</f>
        <v>0</v>
      </c>
      <c r="R1003" s="53">
        <f t="shared" si="17"/>
        <v>0</v>
      </c>
    </row>
  </sheetData>
  <autoFilter ref="B8:R1003"/>
  <mergeCells count="1">
    <mergeCell ref="C5:P5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>
    <tabColor theme="7" tint="0.39997558519241921"/>
  </sheetPr>
  <dimension ref="B5:S1003"/>
  <sheetViews>
    <sheetView workbookViewId="0">
      <selection activeCell="P300" sqref="P300:P1003"/>
    </sheetView>
  </sheetViews>
  <sheetFormatPr baseColWidth="10" defaultColWidth="9.140625" defaultRowHeight="15" x14ac:dyDescent="0.25"/>
  <cols>
    <col min="2" max="2" width="11.7109375" customWidth="1"/>
    <col min="3" max="3" width="12" bestFit="1" customWidth="1"/>
    <col min="6" max="6" width="10.5703125" bestFit="1" customWidth="1"/>
  </cols>
  <sheetData>
    <row r="5" spans="2:19" ht="28.5" x14ac:dyDescent="0.45">
      <c r="C5" s="170" t="s">
        <v>501</v>
      </c>
      <c r="D5" s="170"/>
      <c r="E5" s="170"/>
      <c r="F5" s="170"/>
      <c r="G5" s="170"/>
      <c r="H5" s="170"/>
      <c r="I5" s="170"/>
      <c r="J5" s="170"/>
      <c r="K5" s="170"/>
      <c r="L5" s="170"/>
      <c r="M5" s="170"/>
      <c r="N5" s="170"/>
      <c r="O5" s="170"/>
      <c r="P5" s="170"/>
    </row>
    <row r="6" spans="2:19" ht="21.75" thickBot="1" x14ac:dyDescent="0.4">
      <c r="C6" s="106">
        <f>C8/$R$8</f>
        <v>0</v>
      </c>
      <c r="D6" s="106">
        <f t="shared" ref="D6:P6" si="0">D8/$R$8</f>
        <v>7.7777777777777779E-2</v>
      </c>
      <c r="E6" s="106">
        <f t="shared" si="0"/>
        <v>4.4444444444444446E-2</v>
      </c>
      <c r="F6" s="106">
        <f t="shared" si="0"/>
        <v>0.2</v>
      </c>
      <c r="G6" s="106">
        <f t="shared" si="0"/>
        <v>7.7777777777777779E-2</v>
      </c>
      <c r="H6" s="106">
        <f t="shared" si="0"/>
        <v>3.3333333333333333E-2</v>
      </c>
      <c r="I6" s="106">
        <f t="shared" si="0"/>
        <v>4.4444444444444446E-2</v>
      </c>
      <c r="J6" s="106">
        <f t="shared" si="0"/>
        <v>0.12222222222222222</v>
      </c>
      <c r="K6" s="106">
        <f t="shared" si="0"/>
        <v>0.2</v>
      </c>
      <c r="L6" s="106">
        <f t="shared" si="0"/>
        <v>0</v>
      </c>
      <c r="M6" s="106">
        <f t="shared" si="0"/>
        <v>1.1111111111111112E-2</v>
      </c>
      <c r="N6" s="106">
        <f t="shared" si="0"/>
        <v>1.1111111111111112E-2</v>
      </c>
      <c r="O6" s="106">
        <f t="shared" si="0"/>
        <v>1.1111111111111112E-2</v>
      </c>
      <c r="P6" s="106">
        <f t="shared" si="0"/>
        <v>0.16666666666666666</v>
      </c>
      <c r="S6" s="107"/>
    </row>
    <row r="7" spans="2:19" ht="282.75" thickBot="1" x14ac:dyDescent="0.3">
      <c r="B7" s="49" t="s">
        <v>479</v>
      </c>
      <c r="C7" s="50" t="s">
        <v>328</v>
      </c>
      <c r="D7" s="50" t="s">
        <v>28</v>
      </c>
      <c r="E7" s="50" t="s">
        <v>26</v>
      </c>
      <c r="F7" s="50" t="s">
        <v>27</v>
      </c>
      <c r="G7" s="50" t="s">
        <v>329</v>
      </c>
      <c r="H7" s="50" t="s">
        <v>35</v>
      </c>
      <c r="I7" s="50" t="s">
        <v>29</v>
      </c>
      <c r="J7" s="50" t="s">
        <v>30</v>
      </c>
      <c r="K7" s="50" t="s">
        <v>31</v>
      </c>
      <c r="L7" s="50" t="s">
        <v>327</v>
      </c>
      <c r="M7" s="50" t="s">
        <v>32</v>
      </c>
      <c r="N7" s="50" t="s">
        <v>33</v>
      </c>
      <c r="O7" s="50" t="s">
        <v>34</v>
      </c>
      <c r="P7" s="50" t="s">
        <v>361</v>
      </c>
      <c r="R7" s="51" t="s">
        <v>480</v>
      </c>
    </row>
    <row r="8" spans="2:19" ht="15.75" thickBot="1" x14ac:dyDescent="0.3">
      <c r="B8" s="49" t="s">
        <v>481</v>
      </c>
      <c r="C8" s="123">
        <f>SUBTOTAL(9,C9:C1157)</f>
        <v>0</v>
      </c>
      <c r="D8" s="123">
        <f t="shared" ref="D8:P8" si="1">SUBTOTAL(9,D9:D1157)</f>
        <v>7</v>
      </c>
      <c r="E8" s="123">
        <f t="shared" si="1"/>
        <v>4</v>
      </c>
      <c r="F8" s="123">
        <f t="shared" si="1"/>
        <v>18</v>
      </c>
      <c r="G8" s="123">
        <f t="shared" si="1"/>
        <v>7</v>
      </c>
      <c r="H8" s="123">
        <f t="shared" si="1"/>
        <v>3</v>
      </c>
      <c r="I8" s="123">
        <f t="shared" si="1"/>
        <v>4</v>
      </c>
      <c r="J8" s="123">
        <f t="shared" si="1"/>
        <v>11</v>
      </c>
      <c r="K8" s="123">
        <f t="shared" si="1"/>
        <v>18</v>
      </c>
      <c r="L8" s="123">
        <f t="shared" si="1"/>
        <v>0</v>
      </c>
      <c r="M8" s="123">
        <f t="shared" si="1"/>
        <v>1</v>
      </c>
      <c r="N8" s="123">
        <f t="shared" si="1"/>
        <v>1</v>
      </c>
      <c r="O8" s="123">
        <f t="shared" si="1"/>
        <v>1</v>
      </c>
      <c r="P8" s="123">
        <f t="shared" si="1"/>
        <v>15</v>
      </c>
      <c r="Q8" s="125"/>
      <c r="R8" s="124">
        <f>SUM(C8:Q8)</f>
        <v>90</v>
      </c>
    </row>
    <row r="9" spans="2:19" hidden="1" x14ac:dyDescent="0.25">
      <c r="B9" s="48">
        <f>+'Metrics - Articles'!C8</f>
        <v>42005</v>
      </c>
      <c r="C9">
        <f>COUNTIF('Metrics - Articles'!F8,"*GPO (Partner, Ecosystem, Channels)*")</f>
        <v>0</v>
      </c>
      <c r="D9">
        <f>COUNTIF('Metrics - Articles'!F8,"*Office of the CEO*")</f>
        <v>0</v>
      </c>
      <c r="E9">
        <f>COUNTIF('Metrics - Articles'!F8,"*Services Delivery &amp; Support (go-lives and deployments) *")</f>
        <v>0</v>
      </c>
      <c r="F9">
        <f>COUNTIF('Metrics - Articles'!F8,"*Human Resources (SAP HR and employee stories)*")</f>
        <v>0</v>
      </c>
      <c r="G9">
        <f>COUNTIF('Metrics - Articles'!F8,"*P&amp;I (Research &amp; Development)*")</f>
        <v>0</v>
      </c>
      <c r="H9">
        <f>COUNTIF('Metrics - Articles'!F8,"*Business Network (Concur, Ariba, Fieldglass)*")</f>
        <v>0</v>
      </c>
      <c r="I9">
        <f>COUNTIF('Metrics - Articles'!F8,"*GCO – Regions*")</f>
        <v>0</v>
      </c>
      <c r="J9">
        <f>COUNTIF('Metrics - Articles'!F8,"*GCO – Platform Solutions*")</f>
        <v>0</v>
      </c>
      <c r="K9">
        <f>COUNTIF('Metrics - Articles'!F8,"*GCO – Industry Cloud *")</f>
        <v>0</v>
      </c>
      <c r="L9">
        <f>COUNTIF('Metrics - Articles'!F8,"*GCO – Customer Engagement &amp; Commerce (CRM &amp; hybris) *")</f>
        <v>0</v>
      </c>
      <c r="M9">
        <f>COUNTIF('Metrics - Articles'!F8,"*GCO – HR (SuccessFactors)*")</f>
        <v>0</v>
      </c>
      <c r="N9">
        <f>COUNTIF('Metrics - Articles'!F8,"*GCO – Services Sales*")</f>
        <v>0</v>
      </c>
      <c r="O9">
        <f>COUNTIF('Metrics - Articles'!F8,"*GCO – Other*")</f>
        <v>0</v>
      </c>
      <c r="P9">
        <f>COUNTIF('Metrics - Articles'!F8,"*Corporate*")</f>
        <v>1</v>
      </c>
      <c r="R9" s="53">
        <f>SUM(C9:Q9)</f>
        <v>1</v>
      </c>
    </row>
    <row r="10" spans="2:19" hidden="1" x14ac:dyDescent="0.25">
      <c r="B10" s="48">
        <f>+'Metrics - Articles'!C9</f>
        <v>42005</v>
      </c>
      <c r="C10">
        <f>COUNTIF('Metrics - Articles'!F9,"*GPO (Partner, Ecosystem, Channels)*")</f>
        <v>0</v>
      </c>
      <c r="D10">
        <f>COUNTIF('Metrics - Articles'!F9,"*Office of the CEO*")</f>
        <v>0</v>
      </c>
      <c r="E10">
        <f>COUNTIF('Metrics - Articles'!F9,"*Services Delivery &amp; Support (go-lives and deployments) *")</f>
        <v>0</v>
      </c>
      <c r="F10">
        <f>COUNTIF('Metrics - Articles'!F9,"*Human Resources (SAP HR and employee stories)*")</f>
        <v>0</v>
      </c>
      <c r="G10">
        <f>COUNTIF('Metrics - Articles'!F9,"*P&amp;I (Research &amp; Development)*")</f>
        <v>1</v>
      </c>
      <c r="H10">
        <f>COUNTIF('Metrics - Articles'!F9,"*Business Network (Concur, Ariba, Fieldglass)*")</f>
        <v>0</v>
      </c>
      <c r="I10">
        <f>COUNTIF('Metrics - Articles'!F9,"*GCO – Regions*")</f>
        <v>0</v>
      </c>
      <c r="J10">
        <f>COUNTIF('Metrics - Articles'!F9,"*GCO – Platform Solutions*")</f>
        <v>0</v>
      </c>
      <c r="K10">
        <f>COUNTIF('Metrics - Articles'!F9,"*GCO – Industry Cloud *")</f>
        <v>0</v>
      </c>
      <c r="L10">
        <f>COUNTIF('Metrics - Articles'!F9,"*GCO – Customer Engagement &amp; Commerce (CRM &amp; hybris) *")</f>
        <v>0</v>
      </c>
      <c r="M10">
        <f>COUNTIF('Metrics - Articles'!F9,"*GCO – HR (SuccessFactors)*")</f>
        <v>0</v>
      </c>
      <c r="N10">
        <f>COUNTIF('Metrics - Articles'!F9,"*GCO – Services Sales*")</f>
        <v>0</v>
      </c>
      <c r="O10">
        <f>COUNTIF('Metrics - Articles'!F9,"*GCO – Other*")</f>
        <v>0</v>
      </c>
      <c r="P10">
        <f>COUNTIF('Metrics - Articles'!F9,"*Corporate*")</f>
        <v>0</v>
      </c>
      <c r="R10" s="53">
        <f t="shared" ref="R10:R73" si="2">SUM(C10:Q10)</f>
        <v>1</v>
      </c>
    </row>
    <row r="11" spans="2:19" hidden="1" x14ac:dyDescent="0.25">
      <c r="B11" s="48">
        <f>+'Metrics - Articles'!C10</f>
        <v>42005</v>
      </c>
      <c r="C11">
        <f>COUNTIF('Metrics - Articles'!F10,"*GPO (Partner, Ecosystem, Channels)*")</f>
        <v>0</v>
      </c>
      <c r="D11">
        <f>COUNTIF('Metrics - Articles'!F10,"*Office of the CEO*")</f>
        <v>0</v>
      </c>
      <c r="E11">
        <f>COUNTIF('Metrics - Articles'!F10,"*Services Delivery &amp; Support (go-lives and deployments) *")</f>
        <v>0</v>
      </c>
      <c r="F11">
        <f>COUNTIF('Metrics - Articles'!F10,"*Human Resources (SAP HR and employee stories)*")</f>
        <v>0</v>
      </c>
      <c r="G11">
        <f>COUNTIF('Metrics - Articles'!F10,"*P&amp;I (Research &amp; Development)*")</f>
        <v>0</v>
      </c>
      <c r="H11">
        <f>COUNTIF('Metrics - Articles'!F10,"*Business Network (Concur, Ariba, Fieldglass)*")</f>
        <v>0</v>
      </c>
      <c r="I11">
        <f>COUNTIF('Metrics - Articles'!F10,"*GCO – Regions*")</f>
        <v>0</v>
      </c>
      <c r="J11">
        <f>COUNTIF('Metrics - Articles'!F10,"*GCO – Platform Solutions*")</f>
        <v>1</v>
      </c>
      <c r="K11">
        <f>COUNTIF('Metrics - Articles'!F10,"*GCO – Industry Cloud *")</f>
        <v>0</v>
      </c>
      <c r="L11">
        <f>COUNTIF('Metrics - Articles'!F10,"*GCO – Customer Engagement &amp; Commerce (CRM &amp; hybris) *")</f>
        <v>0</v>
      </c>
      <c r="M11">
        <f>COUNTIF('Metrics - Articles'!F10,"*GCO – HR (SuccessFactors)*")</f>
        <v>0</v>
      </c>
      <c r="N11">
        <f>COUNTIF('Metrics - Articles'!F10,"*GCO – Services Sales*")</f>
        <v>0</v>
      </c>
      <c r="O11">
        <f>COUNTIF('Metrics - Articles'!F10,"*GCO – Other*")</f>
        <v>0</v>
      </c>
      <c r="P11">
        <f>COUNTIF('Metrics - Articles'!F10,"*Corporate*")</f>
        <v>0</v>
      </c>
      <c r="R11" s="53">
        <f t="shared" si="2"/>
        <v>1</v>
      </c>
    </row>
    <row r="12" spans="2:19" hidden="1" x14ac:dyDescent="0.25">
      <c r="B12" s="48">
        <f>+'Metrics - Articles'!C11</f>
        <v>42006</v>
      </c>
      <c r="C12">
        <f>COUNTIF('Metrics - Articles'!F11,"*GPO (Partner, Ecosystem, Channels)*")</f>
        <v>1</v>
      </c>
      <c r="D12">
        <f>COUNTIF('Metrics - Articles'!F11,"*Office of the CEO*")</f>
        <v>0</v>
      </c>
      <c r="E12">
        <f>COUNTIF('Metrics - Articles'!F11,"*Services Delivery &amp; Support (go-lives and deployments) *")</f>
        <v>0</v>
      </c>
      <c r="F12">
        <f>COUNTIF('Metrics - Articles'!F11,"*Human Resources (SAP HR and employee stories)*")</f>
        <v>0</v>
      </c>
      <c r="G12">
        <f>COUNTIF('Metrics - Articles'!F11,"*P&amp;I (Research &amp; Development)*")</f>
        <v>0</v>
      </c>
      <c r="H12">
        <f>COUNTIF('Metrics - Articles'!F11,"*Business Network (Concur, Ariba, Fieldglass)*")</f>
        <v>0</v>
      </c>
      <c r="I12">
        <f>COUNTIF('Metrics - Articles'!F11,"*GCO – Regions*")</f>
        <v>0</v>
      </c>
      <c r="J12">
        <f>COUNTIF('Metrics - Articles'!F11,"*GCO – Platform Solutions*")</f>
        <v>0</v>
      </c>
      <c r="K12">
        <f>COUNTIF('Metrics - Articles'!F11,"*GCO – Industry Cloud *")</f>
        <v>0</v>
      </c>
      <c r="L12">
        <f>COUNTIF('Metrics - Articles'!F11,"*GCO – Customer Engagement &amp; Commerce (CRM &amp; hybris) *")</f>
        <v>0</v>
      </c>
      <c r="M12">
        <f>COUNTIF('Metrics - Articles'!F11,"*GCO – HR (SuccessFactors)*")</f>
        <v>0</v>
      </c>
      <c r="N12">
        <f>COUNTIF('Metrics - Articles'!F11,"*GCO – Services Sales*")</f>
        <v>0</v>
      </c>
      <c r="O12">
        <f>COUNTIF('Metrics - Articles'!F11,"*GCO – Other*")</f>
        <v>0</v>
      </c>
      <c r="P12">
        <f>COUNTIF('Metrics - Articles'!F11,"*Corporate*")</f>
        <v>0</v>
      </c>
      <c r="R12" s="53">
        <f t="shared" si="2"/>
        <v>1</v>
      </c>
    </row>
    <row r="13" spans="2:19" hidden="1" x14ac:dyDescent="0.25">
      <c r="B13" s="48">
        <f>+'Metrics - Articles'!C12</f>
        <v>42009</v>
      </c>
      <c r="C13">
        <f>COUNTIF('Metrics - Articles'!F12,"*GPO (Partner, Ecosystem, Channels)*")</f>
        <v>0</v>
      </c>
      <c r="D13">
        <f>COUNTIF('Metrics - Articles'!F12,"*Office of the CEO*")</f>
        <v>0</v>
      </c>
      <c r="E13">
        <f>COUNTIF('Metrics - Articles'!F12,"*Services Delivery &amp; Support (go-lives and deployments) *")</f>
        <v>0</v>
      </c>
      <c r="F13">
        <f>COUNTIF('Metrics - Articles'!F12,"*Human Resources (SAP HR and employee stories)*")</f>
        <v>0</v>
      </c>
      <c r="G13">
        <f>COUNTIF('Metrics - Articles'!F12,"*P&amp;I (Research &amp; Development)*")</f>
        <v>0</v>
      </c>
      <c r="H13">
        <f>COUNTIF('Metrics - Articles'!F12,"*Business Network (Concur, Ariba, Fieldglass)*")</f>
        <v>0</v>
      </c>
      <c r="I13">
        <f>COUNTIF('Metrics - Articles'!F12,"*GCO – Regions*")</f>
        <v>0</v>
      </c>
      <c r="J13">
        <f>COUNTIF('Metrics - Articles'!F12,"*GCO – Platform Solutions*")</f>
        <v>1</v>
      </c>
      <c r="K13">
        <f>COUNTIF('Metrics - Articles'!F12,"*GCO – Industry Cloud *")</f>
        <v>0</v>
      </c>
      <c r="L13">
        <f>COUNTIF('Metrics - Articles'!F12,"*GCO – Customer Engagement &amp; Commerce (CRM &amp; hybris) *")</f>
        <v>0</v>
      </c>
      <c r="M13">
        <f>COUNTIF('Metrics - Articles'!F12,"*GCO – HR (SuccessFactors)*")</f>
        <v>0</v>
      </c>
      <c r="N13">
        <f>COUNTIF('Metrics - Articles'!F12,"*GCO – Services Sales*")</f>
        <v>0</v>
      </c>
      <c r="O13">
        <f>COUNTIF('Metrics - Articles'!F12,"*GCO – Other*")</f>
        <v>0</v>
      </c>
      <c r="P13">
        <f>COUNTIF('Metrics - Articles'!F12,"*Corporate*")</f>
        <v>0</v>
      </c>
      <c r="R13" s="53">
        <f t="shared" si="2"/>
        <v>1</v>
      </c>
    </row>
    <row r="14" spans="2:19" hidden="1" x14ac:dyDescent="0.25">
      <c r="B14" s="48">
        <f>+'Metrics - Articles'!C13</f>
        <v>42010</v>
      </c>
      <c r="C14">
        <f>COUNTIF('Metrics - Articles'!F13,"*GPO (Partner, Ecosystem, Channels)*")</f>
        <v>0</v>
      </c>
      <c r="D14">
        <f>COUNTIF('Metrics - Articles'!F13,"*Office of the CEO*")</f>
        <v>0</v>
      </c>
      <c r="E14">
        <f>COUNTIF('Metrics - Articles'!F13,"*Services Delivery &amp; Support (go-lives and deployments) *")</f>
        <v>0</v>
      </c>
      <c r="F14">
        <f>COUNTIF('Metrics - Articles'!F13,"*Human Resources (SAP HR and employee stories)*")</f>
        <v>0</v>
      </c>
      <c r="G14">
        <f>COUNTIF('Metrics - Articles'!F13,"*P&amp;I (Research &amp; Development)*")</f>
        <v>0</v>
      </c>
      <c r="H14">
        <f>COUNTIF('Metrics - Articles'!F13,"*Business Network (Concur, Ariba, Fieldglass)*")</f>
        <v>0</v>
      </c>
      <c r="I14">
        <f>COUNTIF('Metrics - Articles'!F13,"*GCO – Regions*")</f>
        <v>0</v>
      </c>
      <c r="J14">
        <f>COUNTIF('Metrics - Articles'!F13,"*GCO – Platform Solutions*")</f>
        <v>0</v>
      </c>
      <c r="K14">
        <f>COUNTIF('Metrics - Articles'!F13,"*GCO – Industry Cloud *")</f>
        <v>0</v>
      </c>
      <c r="L14">
        <f>COUNTIF('Metrics - Articles'!F13,"*GCO – Customer Engagement &amp; Commerce (CRM &amp; hybris) *")</f>
        <v>0</v>
      </c>
      <c r="M14">
        <f>COUNTIF('Metrics - Articles'!F13,"*GCO – HR (SuccessFactors)*")</f>
        <v>0</v>
      </c>
      <c r="N14">
        <f>COUNTIF('Metrics - Articles'!F13,"*GCO – Services Sales*")</f>
        <v>0</v>
      </c>
      <c r="O14">
        <f>COUNTIF('Metrics - Articles'!F13,"*GCO – Other*")</f>
        <v>0</v>
      </c>
      <c r="P14">
        <f>COUNTIF('Metrics - Articles'!F13,"*Corporate*")</f>
        <v>1</v>
      </c>
      <c r="R14" s="53">
        <f t="shared" si="2"/>
        <v>1</v>
      </c>
    </row>
    <row r="15" spans="2:19" hidden="1" x14ac:dyDescent="0.25">
      <c r="B15" s="48">
        <f>+'Metrics - Articles'!C14</f>
        <v>42013</v>
      </c>
      <c r="C15">
        <f>COUNTIF('Metrics - Articles'!F14,"*GPO (Partner, Ecosystem, Channels)*")</f>
        <v>0</v>
      </c>
      <c r="D15">
        <f>COUNTIF('Metrics - Articles'!F14,"*Office of the CEO*")</f>
        <v>0</v>
      </c>
      <c r="E15">
        <f>COUNTIF('Metrics - Articles'!F14,"*Services Delivery &amp; Support (go-lives and deployments) *")</f>
        <v>0</v>
      </c>
      <c r="F15">
        <f>COUNTIF('Metrics - Articles'!F14,"*Human Resources (SAP HR and employee stories)*")</f>
        <v>0</v>
      </c>
      <c r="G15">
        <f>COUNTIF('Metrics - Articles'!F14,"*P&amp;I (Research &amp; Development)*")</f>
        <v>0</v>
      </c>
      <c r="H15">
        <f>COUNTIF('Metrics - Articles'!F14,"*Business Network (Concur, Ariba, Fieldglass)*")</f>
        <v>0</v>
      </c>
      <c r="I15">
        <f>COUNTIF('Metrics - Articles'!F14,"*GCO – Regions*")</f>
        <v>0</v>
      </c>
      <c r="J15">
        <f>COUNTIF('Metrics - Articles'!F14,"*GCO – Platform Solutions*")</f>
        <v>0</v>
      </c>
      <c r="K15">
        <f>COUNTIF('Metrics - Articles'!F14,"*GCO – Industry Cloud *")</f>
        <v>0</v>
      </c>
      <c r="L15">
        <f>COUNTIF('Metrics - Articles'!F14,"*GCO – Customer Engagement &amp; Commerce (CRM &amp; hybris) *")</f>
        <v>0</v>
      </c>
      <c r="M15">
        <f>COUNTIF('Metrics - Articles'!F14,"*GCO – HR (SuccessFactors)*")</f>
        <v>0</v>
      </c>
      <c r="N15">
        <f>COUNTIF('Metrics - Articles'!F14,"*GCO – Services Sales*")</f>
        <v>0</v>
      </c>
      <c r="O15">
        <f>COUNTIF('Metrics - Articles'!F14,"*GCO – Other*")</f>
        <v>0</v>
      </c>
      <c r="P15">
        <f>COUNTIF('Metrics - Articles'!F14,"*Corporate*")</f>
        <v>1</v>
      </c>
      <c r="R15" s="53">
        <f t="shared" si="2"/>
        <v>1</v>
      </c>
    </row>
    <row r="16" spans="2:19" hidden="1" x14ac:dyDescent="0.25">
      <c r="B16" s="48">
        <f>+'Metrics - Articles'!C15</f>
        <v>42013</v>
      </c>
      <c r="C16">
        <f>COUNTIF('Metrics - Articles'!F15,"*GPO (Partner, Ecosystem, Channels)*")</f>
        <v>0</v>
      </c>
      <c r="D16">
        <f>COUNTIF('Metrics - Articles'!F15,"*Office of the CEO*")</f>
        <v>0</v>
      </c>
      <c r="E16">
        <f>COUNTIF('Metrics - Articles'!F15,"*Services Delivery &amp; Support (go-lives and deployments) *")</f>
        <v>0</v>
      </c>
      <c r="F16">
        <f>COUNTIF('Metrics - Articles'!F15,"*Human Resources (SAP HR and employee stories)*")</f>
        <v>0</v>
      </c>
      <c r="G16">
        <f>COUNTIF('Metrics - Articles'!F15,"*P&amp;I (Research &amp; Development)*")</f>
        <v>0</v>
      </c>
      <c r="H16">
        <f>COUNTIF('Metrics - Articles'!F15,"*Business Network (Concur, Ariba, Fieldglass)*")</f>
        <v>0</v>
      </c>
      <c r="I16">
        <f>COUNTIF('Metrics - Articles'!F15,"*GCO – Regions*")</f>
        <v>0</v>
      </c>
      <c r="J16">
        <f>COUNTIF('Metrics - Articles'!F15,"*GCO – Platform Solutions*")</f>
        <v>0</v>
      </c>
      <c r="K16">
        <f>COUNTIF('Metrics - Articles'!F15,"*GCO – Industry Cloud *")</f>
        <v>0</v>
      </c>
      <c r="L16">
        <f>COUNTIF('Metrics - Articles'!F15,"*GCO – Customer Engagement &amp; Commerce (CRM &amp; hybris) *")</f>
        <v>0</v>
      </c>
      <c r="M16">
        <f>COUNTIF('Metrics - Articles'!F15,"*GCO – HR (SuccessFactors)*")</f>
        <v>0</v>
      </c>
      <c r="N16">
        <f>COUNTIF('Metrics - Articles'!F15,"*GCO – Services Sales*")</f>
        <v>0</v>
      </c>
      <c r="O16">
        <f>COUNTIF('Metrics - Articles'!F15,"*GCO – Other*")</f>
        <v>0</v>
      </c>
      <c r="P16">
        <f>COUNTIF('Metrics - Articles'!F15,"*Corporate*")</f>
        <v>1</v>
      </c>
      <c r="R16" s="53">
        <f t="shared" si="2"/>
        <v>1</v>
      </c>
    </row>
    <row r="17" spans="2:18" hidden="1" x14ac:dyDescent="0.25">
      <c r="B17" s="48">
        <f>+'Metrics - Articles'!C16</f>
        <v>42016</v>
      </c>
      <c r="C17">
        <f>COUNTIF('Metrics - Articles'!F16,"*GPO (Partner, Ecosystem, Channels)*")</f>
        <v>0</v>
      </c>
      <c r="D17">
        <f>COUNTIF('Metrics - Articles'!F16,"*Office of the CEO*")</f>
        <v>0</v>
      </c>
      <c r="E17">
        <f>COUNTIF('Metrics - Articles'!F16,"*Services Delivery &amp; Support (go-lives and deployments) *")</f>
        <v>0</v>
      </c>
      <c r="F17">
        <f>COUNTIF('Metrics - Articles'!F16,"*Human Resources (SAP HR and employee stories)*")</f>
        <v>1</v>
      </c>
      <c r="G17">
        <f>COUNTIF('Metrics - Articles'!F16,"*P&amp;I (Research &amp; Development)*")</f>
        <v>0</v>
      </c>
      <c r="H17">
        <f>COUNTIF('Metrics - Articles'!F16,"*Business Network (Concur, Ariba, Fieldglass)*")</f>
        <v>0</v>
      </c>
      <c r="I17">
        <f>COUNTIF('Metrics - Articles'!F16,"*GCO – Regions*")</f>
        <v>0</v>
      </c>
      <c r="J17">
        <f>COUNTIF('Metrics - Articles'!F16,"*GCO – Platform Solutions*")</f>
        <v>0</v>
      </c>
      <c r="K17">
        <f>COUNTIF('Metrics - Articles'!F16,"*GCO – Industry Cloud *")</f>
        <v>0</v>
      </c>
      <c r="L17">
        <f>COUNTIF('Metrics - Articles'!F16,"*GCO – Customer Engagement &amp; Commerce (CRM &amp; hybris) *")</f>
        <v>0</v>
      </c>
      <c r="M17">
        <f>COUNTIF('Metrics - Articles'!F16,"*GCO – HR (SuccessFactors)*")</f>
        <v>0</v>
      </c>
      <c r="N17">
        <f>COUNTIF('Metrics - Articles'!F16,"*GCO – Services Sales*")</f>
        <v>0</v>
      </c>
      <c r="O17">
        <f>COUNTIF('Metrics - Articles'!F16,"*GCO – Other*")</f>
        <v>0</v>
      </c>
      <c r="P17">
        <f>COUNTIF('Metrics - Articles'!F16,"*Corporate*")</f>
        <v>0</v>
      </c>
      <c r="R17" s="53">
        <f t="shared" si="2"/>
        <v>1</v>
      </c>
    </row>
    <row r="18" spans="2:18" hidden="1" x14ac:dyDescent="0.25">
      <c r="B18" s="48">
        <f>+'Metrics - Articles'!C17</f>
        <v>42016</v>
      </c>
      <c r="C18">
        <f>COUNTIF('Metrics - Articles'!F17,"*GPO (Partner, Ecosystem, Channels)*")</f>
        <v>0</v>
      </c>
      <c r="D18">
        <f>COUNTIF('Metrics - Articles'!F17,"*Office of the CEO*")</f>
        <v>1</v>
      </c>
      <c r="E18">
        <f>COUNTIF('Metrics - Articles'!F17,"*Services Delivery &amp; Support (go-lives and deployments) *")</f>
        <v>0</v>
      </c>
      <c r="F18">
        <f>COUNTIF('Metrics - Articles'!F17,"*Human Resources (SAP HR and employee stories)*")</f>
        <v>0</v>
      </c>
      <c r="G18">
        <f>COUNTIF('Metrics - Articles'!F17,"*P&amp;I (Research &amp; Development)*")</f>
        <v>0</v>
      </c>
      <c r="H18">
        <f>COUNTIF('Metrics - Articles'!F17,"*Business Network (Concur, Ariba, Fieldglass)*")</f>
        <v>0</v>
      </c>
      <c r="I18">
        <f>COUNTIF('Metrics - Articles'!F17,"*GCO – Regions*")</f>
        <v>0</v>
      </c>
      <c r="J18">
        <f>COUNTIF('Metrics - Articles'!F17,"*GCO – Platform Solutions*")</f>
        <v>0</v>
      </c>
      <c r="K18">
        <f>COUNTIF('Metrics - Articles'!F17,"*GCO – Industry Cloud *")</f>
        <v>0</v>
      </c>
      <c r="L18">
        <f>COUNTIF('Metrics - Articles'!F17,"*GCO – Customer Engagement &amp; Commerce (CRM &amp; hybris) *")</f>
        <v>0</v>
      </c>
      <c r="M18">
        <f>COUNTIF('Metrics - Articles'!F17,"*GCO – HR (SuccessFactors)*")</f>
        <v>0</v>
      </c>
      <c r="N18">
        <f>COUNTIF('Metrics - Articles'!F17,"*GCO – Services Sales*")</f>
        <v>0</v>
      </c>
      <c r="O18">
        <f>COUNTIF('Metrics - Articles'!F17,"*GCO – Other*")</f>
        <v>0</v>
      </c>
      <c r="P18">
        <f>COUNTIF('Metrics - Articles'!F17,"*Corporate*")</f>
        <v>0</v>
      </c>
      <c r="R18" s="53">
        <f t="shared" si="2"/>
        <v>1</v>
      </c>
    </row>
    <row r="19" spans="2:18" hidden="1" x14ac:dyDescent="0.25">
      <c r="B19" s="48">
        <f>+'Metrics - Articles'!C18</f>
        <v>42019</v>
      </c>
      <c r="C19">
        <f>COUNTIF('Metrics - Articles'!F18,"*GPO (Partner, Ecosystem, Channels)*")</f>
        <v>0</v>
      </c>
      <c r="D19">
        <f>COUNTIF('Metrics - Articles'!F18,"*Office of the CEO*")</f>
        <v>0</v>
      </c>
      <c r="E19">
        <f>COUNTIF('Metrics - Articles'!F18,"*Services Delivery &amp; Support (go-lives and deployments) *")</f>
        <v>0</v>
      </c>
      <c r="F19">
        <f>COUNTIF('Metrics - Articles'!F18,"*Human Resources (SAP HR and employee stories)*")</f>
        <v>1</v>
      </c>
      <c r="G19">
        <f>COUNTIF('Metrics - Articles'!F18,"*P&amp;I (Research &amp; Development)*")</f>
        <v>0</v>
      </c>
      <c r="H19">
        <f>COUNTIF('Metrics - Articles'!F18,"*Business Network (Concur, Ariba, Fieldglass)*")</f>
        <v>0</v>
      </c>
      <c r="I19">
        <f>COUNTIF('Metrics - Articles'!F18,"*GCO – Regions*")</f>
        <v>0</v>
      </c>
      <c r="J19">
        <f>COUNTIF('Metrics - Articles'!F18,"*GCO – Platform Solutions*")</f>
        <v>0</v>
      </c>
      <c r="K19">
        <f>COUNTIF('Metrics - Articles'!F18,"*GCO – Industry Cloud *")</f>
        <v>0</v>
      </c>
      <c r="L19">
        <f>COUNTIF('Metrics - Articles'!F18,"*GCO – Customer Engagement &amp; Commerce (CRM &amp; hybris) *")</f>
        <v>0</v>
      </c>
      <c r="M19">
        <f>COUNTIF('Metrics - Articles'!F18,"*GCO – HR (SuccessFactors)*")</f>
        <v>0</v>
      </c>
      <c r="N19">
        <f>COUNTIF('Metrics - Articles'!F18,"*GCO – Services Sales*")</f>
        <v>0</v>
      </c>
      <c r="O19">
        <f>COUNTIF('Metrics - Articles'!F18,"*GCO – Other*")</f>
        <v>0</v>
      </c>
      <c r="P19">
        <f>COUNTIF('Metrics - Articles'!F18,"*Corporate*")</f>
        <v>0</v>
      </c>
      <c r="R19" s="53">
        <f t="shared" si="2"/>
        <v>1</v>
      </c>
    </row>
    <row r="20" spans="2:18" hidden="1" x14ac:dyDescent="0.25">
      <c r="B20" s="48">
        <f>+'Metrics - Articles'!C19</f>
        <v>42019</v>
      </c>
      <c r="C20">
        <f>COUNTIF('Metrics - Articles'!F19,"*GPO (Partner, Ecosystem, Channels)*")</f>
        <v>0</v>
      </c>
      <c r="D20">
        <f>COUNTIF('Metrics - Articles'!F19,"*Office of the CEO*")</f>
        <v>0</v>
      </c>
      <c r="E20">
        <f>COUNTIF('Metrics - Articles'!F19,"*Services Delivery &amp; Support (go-lives and deployments) *")</f>
        <v>0</v>
      </c>
      <c r="F20">
        <f>COUNTIF('Metrics - Articles'!F19,"*Human Resources (SAP HR and employee stories)*")</f>
        <v>0</v>
      </c>
      <c r="G20">
        <f>COUNTIF('Metrics - Articles'!F19,"*P&amp;I (Research &amp; Development)*")</f>
        <v>0</v>
      </c>
      <c r="H20">
        <f>COUNTIF('Metrics - Articles'!F19,"*Business Network (Concur, Ariba, Fieldglass)*")</f>
        <v>0</v>
      </c>
      <c r="I20">
        <f>COUNTIF('Metrics - Articles'!F19,"*GCO – Regions*")</f>
        <v>0</v>
      </c>
      <c r="J20">
        <f>COUNTIF('Metrics - Articles'!F19,"*GCO – Platform Solutions*")</f>
        <v>0</v>
      </c>
      <c r="K20">
        <f>COUNTIF('Metrics - Articles'!F19,"*GCO – Industry Cloud *")</f>
        <v>0</v>
      </c>
      <c r="L20">
        <f>COUNTIF('Metrics - Articles'!F19,"*GCO – Customer Engagement &amp; Commerce (CRM &amp; hybris) *")</f>
        <v>0</v>
      </c>
      <c r="M20">
        <f>COUNTIF('Metrics - Articles'!F19,"*GCO – HR (SuccessFactors)*")</f>
        <v>0</v>
      </c>
      <c r="N20">
        <f>COUNTIF('Metrics - Articles'!F19,"*GCO – Services Sales*")</f>
        <v>0</v>
      </c>
      <c r="O20">
        <f>COUNTIF('Metrics - Articles'!F19,"*GCO – Other*")</f>
        <v>0</v>
      </c>
      <c r="P20">
        <f>COUNTIF('Metrics - Articles'!F19,"*Corporate*")</f>
        <v>1</v>
      </c>
      <c r="R20" s="53">
        <f t="shared" si="2"/>
        <v>1</v>
      </c>
    </row>
    <row r="21" spans="2:18" hidden="1" x14ac:dyDescent="0.25">
      <c r="B21" s="48">
        <f>+'Metrics - Articles'!C20</f>
        <v>42020</v>
      </c>
      <c r="C21">
        <f>COUNTIF('Metrics - Articles'!F20,"*GPO (Partner, Ecosystem, Channels)*")</f>
        <v>0</v>
      </c>
      <c r="D21">
        <f>COUNTIF('Metrics - Articles'!F20,"*Office of the CEO*")</f>
        <v>0</v>
      </c>
      <c r="E21">
        <f>COUNTIF('Metrics - Articles'!F20,"*Services Delivery &amp; Support (go-lives and deployments) *")</f>
        <v>0</v>
      </c>
      <c r="F21">
        <f>COUNTIF('Metrics - Articles'!F20,"*Human Resources (SAP HR and employee stories)*")</f>
        <v>0</v>
      </c>
      <c r="G21">
        <f>COUNTIF('Metrics - Articles'!F20,"*P&amp;I (Research &amp; Development)*")</f>
        <v>0</v>
      </c>
      <c r="H21">
        <f>COUNTIF('Metrics - Articles'!F20,"*Business Network (Concur, Ariba, Fieldglass)*")</f>
        <v>0</v>
      </c>
      <c r="I21">
        <f>COUNTIF('Metrics - Articles'!F20,"*GCO – Regions*")</f>
        <v>0</v>
      </c>
      <c r="J21">
        <f>COUNTIF('Metrics - Articles'!F20,"*GCO – Platform Solutions*")</f>
        <v>0</v>
      </c>
      <c r="K21">
        <f>COUNTIF('Metrics - Articles'!F20,"*GCO – Industry Cloud *")</f>
        <v>0</v>
      </c>
      <c r="L21">
        <f>COUNTIF('Metrics - Articles'!F20,"*GCO – Customer Engagement &amp; Commerce (CRM &amp; hybris) *")</f>
        <v>0</v>
      </c>
      <c r="M21">
        <f>COUNTIF('Metrics - Articles'!F20,"*GCO – HR (SuccessFactors)*")</f>
        <v>0</v>
      </c>
      <c r="N21">
        <f>COUNTIF('Metrics - Articles'!F20,"*GCO – Services Sales*")</f>
        <v>0</v>
      </c>
      <c r="O21">
        <f>COUNTIF('Metrics - Articles'!F20,"*GCO – Other*")</f>
        <v>0</v>
      </c>
      <c r="P21">
        <f>COUNTIF('Metrics - Articles'!F20,"*Corporate*")</f>
        <v>1</v>
      </c>
      <c r="R21" s="53">
        <f t="shared" si="2"/>
        <v>1</v>
      </c>
    </row>
    <row r="22" spans="2:18" hidden="1" x14ac:dyDescent="0.25">
      <c r="B22" s="48">
        <f>+'Metrics - Articles'!C21</f>
        <v>42023</v>
      </c>
      <c r="C22">
        <f>COUNTIF('Metrics - Articles'!F21,"*GPO (Partner, Ecosystem, Channels)*")</f>
        <v>0</v>
      </c>
      <c r="D22">
        <f>COUNTIF('Metrics - Articles'!F21,"*Office of the CEO*")</f>
        <v>0</v>
      </c>
      <c r="E22">
        <f>COUNTIF('Metrics - Articles'!F21,"*Services Delivery &amp; Support (go-lives and deployments) *")</f>
        <v>0</v>
      </c>
      <c r="F22">
        <f>COUNTIF('Metrics - Articles'!F21,"*Human Resources (SAP HR and employee stories)*")</f>
        <v>0</v>
      </c>
      <c r="G22">
        <f>COUNTIF('Metrics - Articles'!F21,"*P&amp;I (Research &amp; Development)*")</f>
        <v>0</v>
      </c>
      <c r="H22">
        <f>COUNTIF('Metrics - Articles'!F21,"*Business Network (Concur, Ariba, Fieldglass)*")</f>
        <v>0</v>
      </c>
      <c r="I22">
        <f>COUNTIF('Metrics - Articles'!F21,"*GCO – Regions*")</f>
        <v>0</v>
      </c>
      <c r="J22">
        <f>COUNTIF('Metrics - Articles'!F21,"*GCO – Platform Solutions*")</f>
        <v>0</v>
      </c>
      <c r="K22">
        <f>COUNTIF('Metrics - Articles'!F21,"*GCO – Industry Cloud *")</f>
        <v>0</v>
      </c>
      <c r="L22">
        <f>COUNTIF('Metrics - Articles'!F21,"*GCO – Customer Engagement &amp; Commerce (CRM &amp; hybris) *")</f>
        <v>0</v>
      </c>
      <c r="M22">
        <f>COUNTIF('Metrics - Articles'!F21,"*GCO – HR (SuccessFactors)*")</f>
        <v>0</v>
      </c>
      <c r="N22">
        <f>COUNTIF('Metrics - Articles'!F21,"*GCO – Services Sales*")</f>
        <v>0</v>
      </c>
      <c r="O22">
        <f>COUNTIF('Metrics - Articles'!F21,"*GCO – Other*")</f>
        <v>0</v>
      </c>
      <c r="P22">
        <f>COUNTIF('Metrics - Articles'!F21,"*Corporate*")</f>
        <v>1</v>
      </c>
      <c r="R22" s="53">
        <f t="shared" si="2"/>
        <v>1</v>
      </c>
    </row>
    <row r="23" spans="2:18" hidden="1" x14ac:dyDescent="0.25">
      <c r="B23" s="48">
        <f>+'Metrics - Articles'!C22</f>
        <v>42023</v>
      </c>
      <c r="C23">
        <f>COUNTIF('Metrics - Articles'!F22,"*GPO (Partner, Ecosystem, Channels)*")</f>
        <v>0</v>
      </c>
      <c r="D23">
        <f>COUNTIF('Metrics - Articles'!F22,"*Office of the CEO*")</f>
        <v>0</v>
      </c>
      <c r="E23">
        <f>COUNTIF('Metrics - Articles'!F22,"*Services Delivery &amp; Support (go-lives and deployments) *")</f>
        <v>0</v>
      </c>
      <c r="F23">
        <f>COUNTIF('Metrics - Articles'!F22,"*Human Resources (SAP HR and employee stories)*")</f>
        <v>0</v>
      </c>
      <c r="G23">
        <f>COUNTIF('Metrics - Articles'!F22,"*P&amp;I (Research &amp; Development)*")</f>
        <v>0</v>
      </c>
      <c r="H23">
        <f>COUNTIF('Metrics - Articles'!F22,"*Business Network (Concur, Ariba, Fieldglass)*")</f>
        <v>0</v>
      </c>
      <c r="I23">
        <f>COUNTIF('Metrics - Articles'!F22,"*GCO – Regions*")</f>
        <v>0</v>
      </c>
      <c r="J23">
        <f>COUNTIF('Metrics - Articles'!F22,"*GCO – Platform Solutions*")</f>
        <v>0</v>
      </c>
      <c r="K23">
        <f>COUNTIF('Metrics - Articles'!F22,"*GCO – Industry Cloud *")</f>
        <v>0</v>
      </c>
      <c r="L23">
        <f>COUNTIF('Metrics - Articles'!F22,"*GCO – Customer Engagement &amp; Commerce (CRM &amp; hybris) *")</f>
        <v>0</v>
      </c>
      <c r="M23">
        <f>COUNTIF('Metrics - Articles'!F22,"*GCO – HR (SuccessFactors)*")</f>
        <v>0</v>
      </c>
      <c r="N23">
        <f>COUNTIF('Metrics - Articles'!F22,"*GCO – Services Sales*")</f>
        <v>0</v>
      </c>
      <c r="O23">
        <f>COUNTIF('Metrics - Articles'!F22,"*GCO – Other*")</f>
        <v>0</v>
      </c>
      <c r="P23">
        <f>COUNTIF('Metrics - Articles'!F22,"*Corporate*")</f>
        <v>1</v>
      </c>
      <c r="R23" s="53">
        <f t="shared" si="2"/>
        <v>1</v>
      </c>
    </row>
    <row r="24" spans="2:18" hidden="1" x14ac:dyDescent="0.25">
      <c r="B24" s="48">
        <f>+'Metrics - Articles'!C23</f>
        <v>42024</v>
      </c>
      <c r="C24">
        <f>COUNTIF('Metrics - Articles'!F23,"*GPO (Partner, Ecosystem, Channels)*")</f>
        <v>0</v>
      </c>
      <c r="D24">
        <f>COUNTIF('Metrics - Articles'!F23,"*Office of the CEO*")</f>
        <v>0</v>
      </c>
      <c r="E24">
        <f>COUNTIF('Metrics - Articles'!F23,"*Services Delivery &amp; Support (go-lives and deployments) *")</f>
        <v>0</v>
      </c>
      <c r="F24">
        <f>COUNTIF('Metrics - Articles'!F23,"*Human Resources (SAP HR and employee stories)*")</f>
        <v>0</v>
      </c>
      <c r="G24">
        <f>COUNTIF('Metrics - Articles'!F23,"*P&amp;I (Research &amp; Development)*")</f>
        <v>0</v>
      </c>
      <c r="H24">
        <f>COUNTIF('Metrics - Articles'!F23,"*Business Network (Concur, Ariba, Fieldglass)*")</f>
        <v>1</v>
      </c>
      <c r="I24">
        <f>COUNTIF('Metrics - Articles'!F23,"*GCO – Regions*")</f>
        <v>0</v>
      </c>
      <c r="J24">
        <f>COUNTIF('Metrics - Articles'!F23,"*GCO – Platform Solutions*")</f>
        <v>0</v>
      </c>
      <c r="K24">
        <f>COUNTIF('Metrics - Articles'!F23,"*GCO – Industry Cloud *")</f>
        <v>0</v>
      </c>
      <c r="L24">
        <f>COUNTIF('Metrics - Articles'!F23,"*GCO – Customer Engagement &amp; Commerce (CRM &amp; hybris) *")</f>
        <v>0</v>
      </c>
      <c r="M24">
        <f>COUNTIF('Metrics - Articles'!F23,"*GCO – HR (SuccessFactors)*")</f>
        <v>0</v>
      </c>
      <c r="N24">
        <f>COUNTIF('Metrics - Articles'!F23,"*GCO – Services Sales*")</f>
        <v>0</v>
      </c>
      <c r="O24">
        <f>COUNTIF('Metrics - Articles'!F23,"*GCO – Other*")</f>
        <v>0</v>
      </c>
      <c r="P24">
        <f>COUNTIF('Metrics - Articles'!F23,"*Corporate*")</f>
        <v>0</v>
      </c>
      <c r="R24" s="53">
        <f t="shared" si="2"/>
        <v>1</v>
      </c>
    </row>
    <row r="25" spans="2:18" hidden="1" x14ac:dyDescent="0.25">
      <c r="B25" s="48">
        <f>+'Metrics - Articles'!C24</f>
        <v>42024</v>
      </c>
      <c r="C25">
        <f>COUNTIF('Metrics - Articles'!F24,"*GPO (Partner, Ecosystem, Channels)*")</f>
        <v>0</v>
      </c>
      <c r="D25">
        <f>COUNTIF('Metrics - Articles'!F24,"*Office of the CEO*")</f>
        <v>1</v>
      </c>
      <c r="E25">
        <f>COUNTIF('Metrics - Articles'!F24,"*Services Delivery &amp; Support (go-lives and deployments) *")</f>
        <v>0</v>
      </c>
      <c r="F25">
        <f>COUNTIF('Metrics - Articles'!F24,"*Human Resources (SAP HR and employee stories)*")</f>
        <v>0</v>
      </c>
      <c r="G25">
        <f>COUNTIF('Metrics - Articles'!F24,"*P&amp;I (Research &amp; Development)*")</f>
        <v>0</v>
      </c>
      <c r="H25">
        <f>COUNTIF('Metrics - Articles'!F24,"*Business Network (Concur, Ariba, Fieldglass)*")</f>
        <v>0</v>
      </c>
      <c r="I25">
        <f>COUNTIF('Metrics - Articles'!F24,"*GCO – Regions*")</f>
        <v>0</v>
      </c>
      <c r="J25">
        <f>COUNTIF('Metrics - Articles'!F24,"*GCO – Platform Solutions*")</f>
        <v>0</v>
      </c>
      <c r="K25">
        <f>COUNTIF('Metrics - Articles'!F24,"*GCO – Industry Cloud *")</f>
        <v>0</v>
      </c>
      <c r="L25">
        <f>COUNTIF('Metrics - Articles'!F24,"*GCO – Customer Engagement &amp; Commerce (CRM &amp; hybris) *")</f>
        <v>0</v>
      </c>
      <c r="M25">
        <f>COUNTIF('Metrics - Articles'!F24,"*GCO – HR (SuccessFactors)*")</f>
        <v>0</v>
      </c>
      <c r="N25">
        <f>COUNTIF('Metrics - Articles'!F24,"*GCO – Services Sales*")</f>
        <v>0</v>
      </c>
      <c r="O25">
        <f>COUNTIF('Metrics - Articles'!F24,"*GCO – Other*")</f>
        <v>0</v>
      </c>
      <c r="P25">
        <f>COUNTIF('Metrics - Articles'!F24,"*Corporate*")</f>
        <v>0</v>
      </c>
      <c r="R25" s="53">
        <f t="shared" si="2"/>
        <v>1</v>
      </c>
    </row>
    <row r="26" spans="2:18" hidden="1" x14ac:dyDescent="0.25">
      <c r="B26" s="48">
        <f>+'Metrics - Articles'!C25</f>
        <v>42025</v>
      </c>
      <c r="C26">
        <f>COUNTIF('Metrics - Articles'!F25,"*GPO (Partner, Ecosystem, Channels)*")</f>
        <v>0</v>
      </c>
      <c r="D26">
        <f>COUNTIF('Metrics - Articles'!F25,"*Office of the CEO*")</f>
        <v>1</v>
      </c>
      <c r="E26">
        <f>COUNTIF('Metrics - Articles'!F25,"*Services Delivery &amp; Support (go-lives and deployments) *")</f>
        <v>0</v>
      </c>
      <c r="F26">
        <f>COUNTIF('Metrics - Articles'!F25,"*Human Resources (SAP HR and employee stories)*")</f>
        <v>0</v>
      </c>
      <c r="G26">
        <f>COUNTIF('Metrics - Articles'!F25,"*P&amp;I (Research &amp; Development)*")</f>
        <v>0</v>
      </c>
      <c r="H26">
        <f>COUNTIF('Metrics - Articles'!F25,"*Business Network (Concur, Ariba, Fieldglass)*")</f>
        <v>0</v>
      </c>
      <c r="I26">
        <f>COUNTIF('Metrics - Articles'!F25,"*GCO – Regions*")</f>
        <v>0</v>
      </c>
      <c r="J26">
        <f>COUNTIF('Metrics - Articles'!F25,"*GCO – Platform Solutions*")</f>
        <v>0</v>
      </c>
      <c r="K26">
        <f>COUNTIF('Metrics - Articles'!F25,"*GCO – Industry Cloud *")</f>
        <v>0</v>
      </c>
      <c r="L26">
        <f>COUNTIF('Metrics - Articles'!F25,"*GCO – Customer Engagement &amp; Commerce (CRM &amp; hybris) *")</f>
        <v>0</v>
      </c>
      <c r="M26">
        <f>COUNTIF('Metrics - Articles'!F25,"*GCO – HR (SuccessFactors)*")</f>
        <v>0</v>
      </c>
      <c r="N26">
        <f>COUNTIF('Metrics - Articles'!F25,"*GCO – Services Sales*")</f>
        <v>0</v>
      </c>
      <c r="O26">
        <f>COUNTIF('Metrics - Articles'!F25,"*GCO – Other*")</f>
        <v>0</v>
      </c>
      <c r="P26">
        <f>COUNTIF('Metrics - Articles'!F25,"*Corporate*")</f>
        <v>0</v>
      </c>
      <c r="R26" s="53">
        <f t="shared" si="2"/>
        <v>1</v>
      </c>
    </row>
    <row r="27" spans="2:18" hidden="1" x14ac:dyDescent="0.25">
      <c r="B27" s="48">
        <f>+'Metrics - Articles'!C26</f>
        <v>42025</v>
      </c>
      <c r="C27">
        <f>COUNTIF('Metrics - Articles'!F26,"*GPO (Partner, Ecosystem, Channels)*")</f>
        <v>0</v>
      </c>
      <c r="D27">
        <f>COUNTIF('Metrics - Articles'!F26,"*Office of the CEO*")</f>
        <v>1</v>
      </c>
      <c r="E27">
        <f>COUNTIF('Metrics - Articles'!F26,"*Services Delivery &amp; Support (go-lives and deployments) *")</f>
        <v>0</v>
      </c>
      <c r="F27">
        <f>COUNTIF('Metrics - Articles'!F26,"*Human Resources (SAP HR and employee stories)*")</f>
        <v>0</v>
      </c>
      <c r="G27">
        <f>COUNTIF('Metrics - Articles'!F26,"*P&amp;I (Research &amp; Development)*")</f>
        <v>0</v>
      </c>
      <c r="H27">
        <f>COUNTIF('Metrics - Articles'!F26,"*Business Network (Concur, Ariba, Fieldglass)*")</f>
        <v>0</v>
      </c>
      <c r="I27">
        <f>COUNTIF('Metrics - Articles'!F26,"*GCO – Regions*")</f>
        <v>0</v>
      </c>
      <c r="J27">
        <f>COUNTIF('Metrics - Articles'!F26,"*GCO – Platform Solutions*")</f>
        <v>0</v>
      </c>
      <c r="K27">
        <f>COUNTIF('Metrics - Articles'!F26,"*GCO – Industry Cloud *")</f>
        <v>0</v>
      </c>
      <c r="L27">
        <f>COUNTIF('Metrics - Articles'!F26,"*GCO – Customer Engagement &amp; Commerce (CRM &amp; hybris) *")</f>
        <v>0</v>
      </c>
      <c r="M27">
        <f>COUNTIF('Metrics - Articles'!F26,"*GCO – HR (SuccessFactors)*")</f>
        <v>0</v>
      </c>
      <c r="N27">
        <f>COUNTIF('Metrics - Articles'!F26,"*GCO – Services Sales*")</f>
        <v>0</v>
      </c>
      <c r="O27">
        <f>COUNTIF('Metrics - Articles'!F26,"*GCO – Other*")</f>
        <v>0</v>
      </c>
      <c r="P27">
        <f>COUNTIF('Metrics - Articles'!F26,"*Corporate*")</f>
        <v>0</v>
      </c>
      <c r="R27" s="53">
        <f t="shared" si="2"/>
        <v>1</v>
      </c>
    </row>
    <row r="28" spans="2:18" hidden="1" x14ac:dyDescent="0.25">
      <c r="B28" s="48">
        <f>+'Metrics - Articles'!C27</f>
        <v>42026</v>
      </c>
      <c r="C28">
        <f>COUNTIF('Metrics - Articles'!F27,"*GPO (Partner, Ecosystem, Channels)*")</f>
        <v>0</v>
      </c>
      <c r="D28">
        <f>COUNTIF('Metrics - Articles'!F27,"*Office of the CEO*")</f>
        <v>0</v>
      </c>
      <c r="E28">
        <f>COUNTIF('Metrics - Articles'!F27,"*Services Delivery &amp; Support (go-lives and deployments) *")</f>
        <v>0</v>
      </c>
      <c r="F28">
        <f>COUNTIF('Metrics - Articles'!F27,"*Human Resources (SAP HR and employee stories)*")</f>
        <v>0</v>
      </c>
      <c r="G28">
        <f>COUNTIF('Metrics - Articles'!F27,"*P&amp;I (Research &amp; Development)*")</f>
        <v>0</v>
      </c>
      <c r="H28">
        <f>COUNTIF('Metrics - Articles'!F27,"*Business Network (Concur, Ariba, Fieldglass)*")</f>
        <v>0</v>
      </c>
      <c r="I28">
        <f>COUNTIF('Metrics - Articles'!F27,"*GCO – Regions*")</f>
        <v>0</v>
      </c>
      <c r="J28">
        <f>COUNTIF('Metrics - Articles'!F27,"*GCO – Platform Solutions*")</f>
        <v>1</v>
      </c>
      <c r="K28">
        <f>COUNTIF('Metrics - Articles'!F27,"*GCO – Industry Cloud *")</f>
        <v>0</v>
      </c>
      <c r="L28">
        <f>COUNTIF('Metrics - Articles'!F27,"*GCO – Customer Engagement &amp; Commerce (CRM &amp; hybris) *")</f>
        <v>0</v>
      </c>
      <c r="M28">
        <f>COUNTIF('Metrics - Articles'!F27,"*GCO – HR (SuccessFactors)*")</f>
        <v>0</v>
      </c>
      <c r="N28">
        <f>COUNTIF('Metrics - Articles'!F27,"*GCO – Services Sales*")</f>
        <v>0</v>
      </c>
      <c r="O28">
        <f>COUNTIF('Metrics - Articles'!F27,"*GCO – Other*")</f>
        <v>0</v>
      </c>
      <c r="P28">
        <f>COUNTIF('Metrics - Articles'!F27,"*Corporate*")</f>
        <v>0</v>
      </c>
      <c r="R28" s="53">
        <f t="shared" si="2"/>
        <v>1</v>
      </c>
    </row>
    <row r="29" spans="2:18" hidden="1" x14ac:dyDescent="0.25">
      <c r="B29" s="48">
        <f>+'Metrics - Articles'!C28</f>
        <v>42027</v>
      </c>
      <c r="C29">
        <f>COUNTIF('Metrics - Articles'!F28,"*GPO (Partner, Ecosystem, Channels)*")</f>
        <v>0</v>
      </c>
      <c r="D29">
        <f>COUNTIF('Metrics - Articles'!F28,"*Office of the CEO*")</f>
        <v>0</v>
      </c>
      <c r="E29">
        <f>COUNTIF('Metrics - Articles'!F28,"*Services Delivery &amp; Support (go-lives and deployments) *")</f>
        <v>0</v>
      </c>
      <c r="F29">
        <f>COUNTIF('Metrics - Articles'!F28,"*Human Resources (SAP HR and employee stories)*")</f>
        <v>1</v>
      </c>
      <c r="G29">
        <f>COUNTIF('Metrics - Articles'!F28,"*P&amp;I (Research &amp; Development)*")</f>
        <v>0</v>
      </c>
      <c r="H29">
        <f>COUNTIF('Metrics - Articles'!F28,"*Business Network (Concur, Ariba, Fieldglass)*")</f>
        <v>0</v>
      </c>
      <c r="I29">
        <f>COUNTIF('Metrics - Articles'!F28,"*GCO – Regions*")</f>
        <v>0</v>
      </c>
      <c r="J29">
        <f>COUNTIF('Metrics - Articles'!F28,"*GCO – Platform Solutions*")</f>
        <v>0</v>
      </c>
      <c r="K29">
        <f>COUNTIF('Metrics - Articles'!F28,"*GCO – Industry Cloud *")</f>
        <v>0</v>
      </c>
      <c r="L29">
        <f>COUNTIF('Metrics - Articles'!F28,"*GCO – Customer Engagement &amp; Commerce (CRM &amp; hybris) *")</f>
        <v>0</v>
      </c>
      <c r="M29">
        <f>COUNTIF('Metrics - Articles'!F28,"*GCO – HR (SuccessFactors)*")</f>
        <v>0</v>
      </c>
      <c r="N29">
        <f>COUNTIF('Metrics - Articles'!F28,"*GCO – Services Sales*")</f>
        <v>0</v>
      </c>
      <c r="O29">
        <f>COUNTIF('Metrics - Articles'!F28,"*GCO – Other*")</f>
        <v>0</v>
      </c>
      <c r="P29">
        <f>COUNTIF('Metrics - Articles'!F28,"*Corporate*")</f>
        <v>0</v>
      </c>
      <c r="R29" s="53">
        <f t="shared" si="2"/>
        <v>1</v>
      </c>
    </row>
    <row r="30" spans="2:18" hidden="1" x14ac:dyDescent="0.25">
      <c r="B30" s="48">
        <f>+'Metrics - Articles'!C29</f>
        <v>42027</v>
      </c>
      <c r="C30">
        <f>COUNTIF('Metrics - Articles'!F29,"*GPO (Partner, Ecosystem, Channels)*")</f>
        <v>0</v>
      </c>
      <c r="D30">
        <f>COUNTIF('Metrics - Articles'!F29,"*Office of the CEO*")</f>
        <v>0</v>
      </c>
      <c r="E30">
        <f>COUNTIF('Metrics - Articles'!F29,"*Services Delivery &amp; Support (go-lives and deployments) *")</f>
        <v>0</v>
      </c>
      <c r="F30">
        <f>COUNTIF('Metrics - Articles'!F29,"*Human Resources (SAP HR and employee stories)*")</f>
        <v>0</v>
      </c>
      <c r="G30">
        <f>COUNTIF('Metrics - Articles'!F29,"*P&amp;I (Research &amp; Development)*")</f>
        <v>0</v>
      </c>
      <c r="H30">
        <f>COUNTIF('Metrics - Articles'!F29,"*Business Network (Concur, Ariba, Fieldglass)*")</f>
        <v>0</v>
      </c>
      <c r="I30">
        <f>COUNTIF('Metrics - Articles'!F29,"*GCO – Regions*")</f>
        <v>0</v>
      </c>
      <c r="J30">
        <f>COUNTIF('Metrics - Articles'!F29,"*GCO – Platform Solutions*")</f>
        <v>0</v>
      </c>
      <c r="K30">
        <f>COUNTIF('Metrics - Articles'!F29,"*GCO – Industry Cloud *")</f>
        <v>0</v>
      </c>
      <c r="L30">
        <f>COUNTIF('Metrics - Articles'!F29,"*GCO – Customer Engagement &amp; Commerce (CRM &amp; hybris) *")</f>
        <v>0</v>
      </c>
      <c r="M30">
        <f>COUNTIF('Metrics - Articles'!F29,"*GCO – HR (SuccessFactors)*")</f>
        <v>0</v>
      </c>
      <c r="N30">
        <f>COUNTIF('Metrics - Articles'!F29,"*GCO – Services Sales*")</f>
        <v>0</v>
      </c>
      <c r="O30">
        <f>COUNTIF('Metrics - Articles'!F29,"*GCO – Other*")</f>
        <v>0</v>
      </c>
      <c r="P30">
        <f>COUNTIF('Metrics - Articles'!F29,"*Corporate*")</f>
        <v>1</v>
      </c>
      <c r="R30" s="53">
        <f t="shared" si="2"/>
        <v>1</v>
      </c>
    </row>
    <row r="31" spans="2:18" hidden="1" x14ac:dyDescent="0.25">
      <c r="B31" s="48">
        <f>+'Metrics - Articles'!C30</f>
        <v>42027</v>
      </c>
      <c r="C31">
        <f>COUNTIF('Metrics - Articles'!F30,"*GPO (Partner, Ecosystem, Channels)*")</f>
        <v>0</v>
      </c>
      <c r="D31">
        <f>COUNTIF('Metrics - Articles'!F30,"*Office of the CEO*")</f>
        <v>1</v>
      </c>
      <c r="E31">
        <f>COUNTIF('Metrics - Articles'!F30,"*Services Delivery &amp; Support (go-lives and deployments) *")</f>
        <v>0</v>
      </c>
      <c r="F31">
        <f>COUNTIF('Metrics - Articles'!F30,"*Human Resources (SAP HR and employee stories)*")</f>
        <v>0</v>
      </c>
      <c r="G31">
        <f>COUNTIF('Metrics - Articles'!F30,"*P&amp;I (Research &amp; Development)*")</f>
        <v>0</v>
      </c>
      <c r="H31">
        <f>COUNTIF('Metrics - Articles'!F30,"*Business Network (Concur, Ariba, Fieldglass)*")</f>
        <v>0</v>
      </c>
      <c r="I31">
        <f>COUNTIF('Metrics - Articles'!F30,"*GCO – Regions*")</f>
        <v>0</v>
      </c>
      <c r="J31">
        <f>COUNTIF('Metrics - Articles'!F30,"*GCO – Platform Solutions*")</f>
        <v>0</v>
      </c>
      <c r="K31">
        <f>COUNTIF('Metrics - Articles'!F30,"*GCO – Industry Cloud *")</f>
        <v>0</v>
      </c>
      <c r="L31">
        <f>COUNTIF('Metrics - Articles'!F30,"*GCO – Customer Engagement &amp; Commerce (CRM &amp; hybris) *")</f>
        <v>0</v>
      </c>
      <c r="M31">
        <f>COUNTIF('Metrics - Articles'!F30,"*GCO – HR (SuccessFactors)*")</f>
        <v>0</v>
      </c>
      <c r="N31">
        <f>COUNTIF('Metrics - Articles'!F30,"*GCO – Services Sales*")</f>
        <v>0</v>
      </c>
      <c r="O31">
        <f>COUNTIF('Metrics - Articles'!F30,"*GCO – Other*")</f>
        <v>0</v>
      </c>
      <c r="P31">
        <f>COUNTIF('Metrics - Articles'!F30,"*Corporate*")</f>
        <v>0</v>
      </c>
      <c r="R31" s="53">
        <f t="shared" si="2"/>
        <v>1</v>
      </c>
    </row>
    <row r="32" spans="2:18" hidden="1" x14ac:dyDescent="0.25">
      <c r="B32" s="48">
        <f>+'Metrics - Articles'!C31</f>
        <v>42030</v>
      </c>
      <c r="C32">
        <f>COUNTIF('Metrics - Articles'!F31,"*GPO (Partner, Ecosystem, Channels)*")</f>
        <v>0</v>
      </c>
      <c r="D32">
        <f>COUNTIF('Metrics - Articles'!F31,"*Office of the CEO*")</f>
        <v>0</v>
      </c>
      <c r="E32">
        <f>COUNTIF('Metrics - Articles'!F31,"*Services Delivery &amp; Support (go-lives and deployments) *")</f>
        <v>0</v>
      </c>
      <c r="F32">
        <f>COUNTIF('Metrics - Articles'!F31,"*Human Resources (SAP HR and employee stories)*")</f>
        <v>0</v>
      </c>
      <c r="G32">
        <f>COUNTIF('Metrics - Articles'!F31,"*P&amp;I (Research &amp; Development)*")</f>
        <v>1</v>
      </c>
      <c r="H32">
        <f>COUNTIF('Metrics - Articles'!F31,"*Business Network (Concur, Ariba, Fieldglass)*")</f>
        <v>0</v>
      </c>
      <c r="I32">
        <f>COUNTIF('Metrics - Articles'!F31,"*GCO – Regions*")</f>
        <v>0</v>
      </c>
      <c r="J32">
        <f>COUNTIF('Metrics - Articles'!F31,"*GCO – Platform Solutions*")</f>
        <v>0</v>
      </c>
      <c r="K32">
        <f>COUNTIF('Metrics - Articles'!F31,"*GCO – Industry Cloud *")</f>
        <v>0</v>
      </c>
      <c r="L32">
        <f>COUNTIF('Metrics - Articles'!F31,"*GCO – Customer Engagement &amp; Commerce (CRM &amp; hybris) *")</f>
        <v>0</v>
      </c>
      <c r="M32">
        <f>COUNTIF('Metrics - Articles'!F31,"*GCO – HR (SuccessFactors)*")</f>
        <v>0</v>
      </c>
      <c r="N32">
        <f>COUNTIF('Metrics - Articles'!F31,"*GCO – Services Sales*")</f>
        <v>0</v>
      </c>
      <c r="O32">
        <f>COUNTIF('Metrics - Articles'!F31,"*GCO – Other*")</f>
        <v>0</v>
      </c>
      <c r="P32">
        <f>COUNTIF('Metrics - Articles'!F31,"*Corporate*")</f>
        <v>0</v>
      </c>
      <c r="R32" s="53">
        <f t="shared" si="2"/>
        <v>1</v>
      </c>
    </row>
    <row r="33" spans="2:18" hidden="1" x14ac:dyDescent="0.25">
      <c r="B33" s="48">
        <f>+'Metrics - Articles'!C32</f>
        <v>42031</v>
      </c>
      <c r="C33">
        <f>COUNTIF('Metrics - Articles'!F32,"*GPO (Partner, Ecosystem, Channels)*")</f>
        <v>0</v>
      </c>
      <c r="D33">
        <f>COUNTIF('Metrics - Articles'!F32,"*Office of the CEO*")</f>
        <v>0</v>
      </c>
      <c r="E33">
        <f>COUNTIF('Metrics - Articles'!F32,"*Services Delivery &amp; Support (go-lives and deployments) *")</f>
        <v>0</v>
      </c>
      <c r="F33">
        <f>COUNTIF('Metrics - Articles'!F32,"*Human Resources (SAP HR and employee stories)*")</f>
        <v>1</v>
      </c>
      <c r="G33">
        <f>COUNTIF('Metrics - Articles'!F32,"*P&amp;I (Research &amp; Development)*")</f>
        <v>0</v>
      </c>
      <c r="H33">
        <f>COUNTIF('Metrics - Articles'!F32,"*Business Network (Concur, Ariba, Fieldglass)*")</f>
        <v>0</v>
      </c>
      <c r="I33">
        <f>COUNTIF('Metrics - Articles'!F32,"*GCO – Regions*")</f>
        <v>0</v>
      </c>
      <c r="J33">
        <f>COUNTIF('Metrics - Articles'!F32,"*GCO – Platform Solutions*")</f>
        <v>0</v>
      </c>
      <c r="K33">
        <f>COUNTIF('Metrics - Articles'!F32,"*GCO – Industry Cloud *")</f>
        <v>0</v>
      </c>
      <c r="L33">
        <f>COUNTIF('Metrics - Articles'!F32,"*GCO – Customer Engagement &amp; Commerce (CRM &amp; hybris) *")</f>
        <v>0</v>
      </c>
      <c r="M33">
        <f>COUNTIF('Metrics - Articles'!F32,"*GCO – HR (SuccessFactors)*")</f>
        <v>0</v>
      </c>
      <c r="N33">
        <f>COUNTIF('Metrics - Articles'!F32,"*GCO – Services Sales*")</f>
        <v>0</v>
      </c>
      <c r="O33">
        <f>COUNTIF('Metrics - Articles'!F32,"*GCO – Other*")</f>
        <v>0</v>
      </c>
      <c r="P33">
        <f>COUNTIF('Metrics - Articles'!F32,"*Corporate*")</f>
        <v>0</v>
      </c>
      <c r="R33" s="53">
        <f t="shared" si="2"/>
        <v>1</v>
      </c>
    </row>
    <row r="34" spans="2:18" hidden="1" x14ac:dyDescent="0.25">
      <c r="B34" s="48">
        <f>+'Metrics - Articles'!C33</f>
        <v>42031</v>
      </c>
      <c r="C34">
        <f>COUNTIF('Metrics - Articles'!F33,"*GPO (Partner, Ecosystem, Channels)*")</f>
        <v>0</v>
      </c>
      <c r="D34">
        <f>COUNTIF('Metrics - Articles'!F33,"*Office of the CEO*")</f>
        <v>0</v>
      </c>
      <c r="E34">
        <f>COUNTIF('Metrics - Articles'!F33,"*Services Delivery &amp; Support (go-lives and deployments) *")</f>
        <v>0</v>
      </c>
      <c r="F34">
        <f>COUNTIF('Metrics - Articles'!F33,"*Human Resources (SAP HR and employee stories)*")</f>
        <v>0</v>
      </c>
      <c r="G34">
        <f>COUNTIF('Metrics - Articles'!F33,"*P&amp;I (Research &amp; Development)*")</f>
        <v>0</v>
      </c>
      <c r="H34">
        <f>COUNTIF('Metrics - Articles'!F33,"*Business Network (Concur, Ariba, Fieldglass)*")</f>
        <v>0</v>
      </c>
      <c r="I34">
        <f>COUNTIF('Metrics - Articles'!F33,"*GCO – Regions*")</f>
        <v>0</v>
      </c>
      <c r="J34">
        <f>COUNTIF('Metrics - Articles'!F33,"*GCO – Platform Solutions*")</f>
        <v>1</v>
      </c>
      <c r="K34">
        <f>COUNTIF('Metrics - Articles'!F33,"*GCO – Industry Cloud *")</f>
        <v>0</v>
      </c>
      <c r="L34">
        <f>COUNTIF('Metrics - Articles'!F33,"*GCO – Customer Engagement &amp; Commerce (CRM &amp; hybris) *")</f>
        <v>0</v>
      </c>
      <c r="M34">
        <f>COUNTIF('Metrics - Articles'!F33,"*GCO – HR (SuccessFactors)*")</f>
        <v>0</v>
      </c>
      <c r="N34">
        <f>COUNTIF('Metrics - Articles'!F33,"*GCO – Services Sales*")</f>
        <v>0</v>
      </c>
      <c r="O34">
        <f>COUNTIF('Metrics - Articles'!F33,"*GCO – Other*")</f>
        <v>0</v>
      </c>
      <c r="P34">
        <f>COUNTIF('Metrics - Articles'!F33,"*Corporate*")</f>
        <v>0</v>
      </c>
      <c r="R34" s="53">
        <f t="shared" si="2"/>
        <v>1</v>
      </c>
    </row>
    <row r="35" spans="2:18" hidden="1" x14ac:dyDescent="0.25">
      <c r="B35" s="48">
        <f>+'Metrics - Articles'!C34</f>
        <v>42032</v>
      </c>
      <c r="C35">
        <f>COUNTIF('Metrics - Articles'!F34,"*GPO (Partner, Ecosystem, Channels)*")</f>
        <v>0</v>
      </c>
      <c r="D35">
        <f>COUNTIF('Metrics - Articles'!F34,"*Office of the CEO*")</f>
        <v>1</v>
      </c>
      <c r="E35">
        <f>COUNTIF('Metrics - Articles'!F34,"*Services Delivery &amp; Support (go-lives and deployments) *")</f>
        <v>0</v>
      </c>
      <c r="F35">
        <f>COUNTIF('Metrics - Articles'!F34,"*Human Resources (SAP HR and employee stories)*")</f>
        <v>0</v>
      </c>
      <c r="G35">
        <f>COUNTIF('Metrics - Articles'!F34,"*P&amp;I (Research &amp; Development)*")</f>
        <v>0</v>
      </c>
      <c r="H35">
        <f>COUNTIF('Metrics - Articles'!F34,"*Business Network (Concur, Ariba, Fieldglass)*")</f>
        <v>0</v>
      </c>
      <c r="I35">
        <f>COUNTIF('Metrics - Articles'!F34,"*GCO – Regions*")</f>
        <v>0</v>
      </c>
      <c r="J35">
        <f>COUNTIF('Metrics - Articles'!F34,"*GCO – Platform Solutions*")</f>
        <v>0</v>
      </c>
      <c r="K35">
        <f>COUNTIF('Metrics - Articles'!F34,"*GCO – Industry Cloud *")</f>
        <v>0</v>
      </c>
      <c r="L35">
        <f>COUNTIF('Metrics - Articles'!F34,"*GCO – Customer Engagement &amp; Commerce (CRM &amp; hybris) *")</f>
        <v>0</v>
      </c>
      <c r="M35">
        <f>COUNTIF('Metrics - Articles'!F34,"*GCO – HR (SuccessFactors)*")</f>
        <v>0</v>
      </c>
      <c r="N35">
        <f>COUNTIF('Metrics - Articles'!F34,"*GCO – Services Sales*")</f>
        <v>0</v>
      </c>
      <c r="O35">
        <f>COUNTIF('Metrics - Articles'!F34,"*GCO – Other*")</f>
        <v>0</v>
      </c>
      <c r="P35">
        <f>COUNTIF('Metrics - Articles'!F34,"*Corporate*")</f>
        <v>0</v>
      </c>
      <c r="R35" s="53">
        <f t="shared" si="2"/>
        <v>1</v>
      </c>
    </row>
    <row r="36" spans="2:18" hidden="1" x14ac:dyDescent="0.25">
      <c r="B36" s="48">
        <f>+'Metrics - Articles'!C35</f>
        <v>42032</v>
      </c>
      <c r="C36">
        <f>COUNTIF('Metrics - Articles'!F35,"*GPO (Partner, Ecosystem, Channels)*")</f>
        <v>0</v>
      </c>
      <c r="D36">
        <f>COUNTIF('Metrics - Articles'!F35,"*Office of the CEO*")</f>
        <v>0</v>
      </c>
      <c r="E36">
        <f>COUNTIF('Metrics - Articles'!F35,"*Services Delivery &amp; Support (go-lives and deployments) *")</f>
        <v>0</v>
      </c>
      <c r="F36">
        <f>COUNTIF('Metrics - Articles'!F35,"*Human Resources (SAP HR and employee stories)*")</f>
        <v>0</v>
      </c>
      <c r="G36">
        <f>COUNTIF('Metrics - Articles'!F35,"*P&amp;I (Research &amp; Development)*")</f>
        <v>0</v>
      </c>
      <c r="H36">
        <f>COUNTIF('Metrics - Articles'!F35,"*Business Network (Concur, Ariba, Fieldglass)*")</f>
        <v>0</v>
      </c>
      <c r="I36">
        <f>COUNTIF('Metrics - Articles'!F35,"*GCO – Regions*")</f>
        <v>1</v>
      </c>
      <c r="J36">
        <f>COUNTIF('Metrics - Articles'!F35,"*GCO – Platform Solutions*")</f>
        <v>0</v>
      </c>
      <c r="K36">
        <f>COUNTIF('Metrics - Articles'!F35,"*GCO – Industry Cloud *")</f>
        <v>0</v>
      </c>
      <c r="L36">
        <f>COUNTIF('Metrics - Articles'!F35,"*GCO – Customer Engagement &amp; Commerce (CRM &amp; hybris) *")</f>
        <v>0</v>
      </c>
      <c r="M36">
        <f>COUNTIF('Metrics - Articles'!F35,"*GCO – HR (SuccessFactors)*")</f>
        <v>0</v>
      </c>
      <c r="N36">
        <f>COUNTIF('Metrics - Articles'!F35,"*GCO – Services Sales*")</f>
        <v>0</v>
      </c>
      <c r="O36">
        <f>COUNTIF('Metrics - Articles'!F35,"*GCO – Other*")</f>
        <v>0</v>
      </c>
      <c r="P36">
        <f>COUNTIF('Metrics - Articles'!F35,"*Corporate*")</f>
        <v>0</v>
      </c>
      <c r="R36" s="53">
        <f t="shared" si="2"/>
        <v>1</v>
      </c>
    </row>
    <row r="37" spans="2:18" hidden="1" x14ac:dyDescent="0.25">
      <c r="B37" s="48">
        <f>+'Metrics - Articles'!C36</f>
        <v>42033</v>
      </c>
      <c r="C37">
        <f>COUNTIF('Metrics - Articles'!F36,"*GPO (Partner, Ecosystem, Channels)*")</f>
        <v>0</v>
      </c>
      <c r="D37">
        <f>COUNTIF('Metrics - Articles'!F36,"*Office of the CEO*")</f>
        <v>0</v>
      </c>
      <c r="E37">
        <f>COUNTIF('Metrics - Articles'!F36,"*Services Delivery &amp; Support (go-lives and deployments) *")</f>
        <v>0</v>
      </c>
      <c r="F37">
        <f>COUNTIF('Metrics - Articles'!F36,"*Human Resources (SAP HR and employee stories)*")</f>
        <v>0</v>
      </c>
      <c r="G37">
        <f>COUNTIF('Metrics - Articles'!F36,"*P&amp;I (Research &amp; Development)*")</f>
        <v>0</v>
      </c>
      <c r="H37">
        <f>COUNTIF('Metrics - Articles'!F36,"*Business Network (Concur, Ariba, Fieldglass)*")</f>
        <v>0</v>
      </c>
      <c r="I37">
        <f>COUNTIF('Metrics - Articles'!F36,"*GCO – Regions*")</f>
        <v>0</v>
      </c>
      <c r="J37">
        <f>COUNTIF('Metrics - Articles'!F36,"*GCO – Platform Solutions*")</f>
        <v>1</v>
      </c>
      <c r="K37">
        <f>COUNTIF('Metrics - Articles'!F36,"*GCO – Industry Cloud *")</f>
        <v>0</v>
      </c>
      <c r="L37">
        <f>COUNTIF('Metrics - Articles'!F36,"*GCO – Customer Engagement &amp; Commerce (CRM &amp; hybris) *")</f>
        <v>0</v>
      </c>
      <c r="M37">
        <f>COUNTIF('Metrics - Articles'!F36,"*GCO – HR (SuccessFactors)*")</f>
        <v>0</v>
      </c>
      <c r="N37">
        <f>COUNTIF('Metrics - Articles'!F36,"*GCO – Services Sales*")</f>
        <v>0</v>
      </c>
      <c r="O37">
        <f>COUNTIF('Metrics - Articles'!F36,"*GCO – Other*")</f>
        <v>0</v>
      </c>
      <c r="P37">
        <f>COUNTIF('Metrics - Articles'!F36,"*Corporate*")</f>
        <v>0</v>
      </c>
      <c r="R37" s="53">
        <f t="shared" si="2"/>
        <v>1</v>
      </c>
    </row>
    <row r="38" spans="2:18" hidden="1" x14ac:dyDescent="0.25">
      <c r="B38" s="48">
        <f>+'Metrics - Articles'!C37</f>
        <v>42033</v>
      </c>
      <c r="C38">
        <f>COUNTIF('Metrics - Articles'!F37,"*GPO (Partner, Ecosystem, Channels)*")</f>
        <v>0</v>
      </c>
      <c r="D38">
        <f>COUNTIF('Metrics - Articles'!F37,"*Office of the CEO*")</f>
        <v>0</v>
      </c>
      <c r="E38">
        <f>COUNTIF('Metrics - Articles'!F37,"*Services Delivery &amp; Support (go-lives and deployments) *")</f>
        <v>0</v>
      </c>
      <c r="F38">
        <f>COUNTIF('Metrics - Articles'!F37,"*Human Resources (SAP HR and employee stories)*")</f>
        <v>0</v>
      </c>
      <c r="G38">
        <f>COUNTIF('Metrics - Articles'!F37,"*P&amp;I (Research &amp; Development)*")</f>
        <v>0</v>
      </c>
      <c r="H38">
        <f>COUNTIF('Metrics - Articles'!F37,"*Business Network (Concur, Ariba, Fieldglass)*")</f>
        <v>0</v>
      </c>
      <c r="I38">
        <f>COUNTIF('Metrics - Articles'!F37,"*GCO – Regions*")</f>
        <v>0</v>
      </c>
      <c r="J38">
        <f>COUNTIF('Metrics - Articles'!F37,"*GCO – Platform Solutions*")</f>
        <v>0</v>
      </c>
      <c r="K38">
        <f>COUNTIF('Metrics - Articles'!F37,"*GCO – Industry Cloud *")</f>
        <v>0</v>
      </c>
      <c r="L38">
        <f>COUNTIF('Metrics - Articles'!F37,"*GCO – Customer Engagement &amp; Commerce (CRM &amp; hybris) *")</f>
        <v>0</v>
      </c>
      <c r="M38">
        <f>COUNTIF('Metrics - Articles'!F37,"*GCO – HR (SuccessFactors)*")</f>
        <v>0</v>
      </c>
      <c r="N38">
        <f>COUNTIF('Metrics - Articles'!F37,"*GCO – Services Sales*")</f>
        <v>0</v>
      </c>
      <c r="O38">
        <f>COUNTIF('Metrics - Articles'!F37,"*GCO – Other*")</f>
        <v>0</v>
      </c>
      <c r="P38">
        <f>COUNTIF('Metrics - Articles'!F37,"*Corporate*")</f>
        <v>1</v>
      </c>
      <c r="R38" s="53">
        <f t="shared" si="2"/>
        <v>1</v>
      </c>
    </row>
    <row r="39" spans="2:18" hidden="1" x14ac:dyDescent="0.25">
      <c r="B39" s="48">
        <f>+'Metrics - Articles'!C38</f>
        <v>42034</v>
      </c>
      <c r="C39">
        <f>COUNTIF('Metrics - Articles'!F38,"*GPO (Partner, Ecosystem, Channels)*")</f>
        <v>0</v>
      </c>
      <c r="D39">
        <f>COUNTIF('Metrics - Articles'!F38,"*Office of the CEO*")</f>
        <v>1</v>
      </c>
      <c r="E39">
        <f>COUNTIF('Metrics - Articles'!F38,"*Services Delivery &amp; Support (go-lives and deployments) *")</f>
        <v>0</v>
      </c>
      <c r="F39">
        <f>COUNTIF('Metrics - Articles'!F38,"*Human Resources (SAP HR and employee stories)*")</f>
        <v>0</v>
      </c>
      <c r="G39">
        <f>COUNTIF('Metrics - Articles'!F38,"*P&amp;I (Research &amp; Development)*")</f>
        <v>0</v>
      </c>
      <c r="H39">
        <f>COUNTIF('Metrics - Articles'!F38,"*Business Network (Concur, Ariba, Fieldglass)*")</f>
        <v>0</v>
      </c>
      <c r="I39">
        <f>COUNTIF('Metrics - Articles'!F38,"*GCO – Regions*")</f>
        <v>0</v>
      </c>
      <c r="J39">
        <f>COUNTIF('Metrics - Articles'!F38,"*GCO – Platform Solutions*")</f>
        <v>0</v>
      </c>
      <c r="K39">
        <f>COUNTIF('Metrics - Articles'!F38,"*GCO – Industry Cloud *")</f>
        <v>0</v>
      </c>
      <c r="L39">
        <f>COUNTIF('Metrics - Articles'!F38,"*GCO – Customer Engagement &amp; Commerce (CRM &amp; hybris) *")</f>
        <v>0</v>
      </c>
      <c r="M39">
        <f>COUNTIF('Metrics - Articles'!F38,"*GCO – HR (SuccessFactors)*")</f>
        <v>0</v>
      </c>
      <c r="N39">
        <f>COUNTIF('Metrics - Articles'!F38,"*GCO – Services Sales*")</f>
        <v>0</v>
      </c>
      <c r="O39">
        <f>COUNTIF('Metrics - Articles'!F38,"*GCO – Other*")</f>
        <v>0</v>
      </c>
      <c r="P39">
        <f>COUNTIF('Metrics - Articles'!F38,"*Corporate*")</f>
        <v>0</v>
      </c>
      <c r="R39" s="53">
        <f t="shared" si="2"/>
        <v>1</v>
      </c>
    </row>
    <row r="40" spans="2:18" hidden="1" x14ac:dyDescent="0.25">
      <c r="B40" s="48">
        <f>+'Metrics - Articles'!C39</f>
        <v>42036</v>
      </c>
      <c r="C40">
        <f>COUNTIF('Metrics - Articles'!F39,"*GPO (Partner, Ecosystem, Channels)*")</f>
        <v>0</v>
      </c>
      <c r="D40">
        <f>COUNTIF('Metrics - Articles'!F39,"*Office of the CEO*")</f>
        <v>0</v>
      </c>
      <c r="E40">
        <f>COUNTIF('Metrics - Articles'!F39,"*Services Delivery &amp; Support (go-lives and deployments) *")</f>
        <v>0</v>
      </c>
      <c r="F40">
        <f>COUNTIF('Metrics - Articles'!F39,"*Human Resources (SAP HR and employee stories)*")</f>
        <v>0</v>
      </c>
      <c r="G40">
        <f>COUNTIF('Metrics - Articles'!F39,"*P&amp;I (Research &amp; Development)*")</f>
        <v>0</v>
      </c>
      <c r="H40">
        <f>COUNTIF('Metrics - Articles'!F39,"*Business Network (Concur, Ariba, Fieldglass)*")</f>
        <v>0</v>
      </c>
      <c r="I40">
        <f>COUNTIF('Metrics - Articles'!F39,"*GCO – Regions*")</f>
        <v>0</v>
      </c>
      <c r="J40">
        <f>COUNTIF('Metrics - Articles'!F39,"*GCO – Platform Solutions*")</f>
        <v>0</v>
      </c>
      <c r="K40">
        <f>COUNTIF('Metrics - Articles'!F39,"*GCO – Industry Cloud *")</f>
        <v>1</v>
      </c>
      <c r="L40">
        <f>COUNTIF('Metrics - Articles'!F39,"*GCO – Customer Engagement &amp; Commerce (CRM &amp; hybris) *")</f>
        <v>0</v>
      </c>
      <c r="M40">
        <f>COUNTIF('Metrics - Articles'!F39,"*GCO – HR (SuccessFactors)*")</f>
        <v>0</v>
      </c>
      <c r="N40">
        <f>COUNTIF('Metrics - Articles'!F39,"*GCO – Services Sales*")</f>
        <v>0</v>
      </c>
      <c r="O40">
        <f>COUNTIF('Metrics - Articles'!F39,"*GCO – Other*")</f>
        <v>0</v>
      </c>
      <c r="P40">
        <f>COUNTIF('Metrics - Articles'!F39,"*Corporate*")</f>
        <v>0</v>
      </c>
      <c r="R40" s="53">
        <f t="shared" si="2"/>
        <v>1</v>
      </c>
    </row>
    <row r="41" spans="2:18" hidden="1" x14ac:dyDescent="0.25">
      <c r="B41" s="48">
        <f>+'Metrics - Articles'!C40</f>
        <v>42037</v>
      </c>
      <c r="C41">
        <f>COUNTIF('Metrics - Articles'!F40,"*GPO (Partner, Ecosystem, Channels)*")</f>
        <v>0</v>
      </c>
      <c r="D41">
        <f>COUNTIF('Metrics - Articles'!F40,"*Office of the CEO*")</f>
        <v>0</v>
      </c>
      <c r="E41">
        <f>COUNTIF('Metrics - Articles'!F40,"*Services Delivery &amp; Support (go-lives and deployments) *")</f>
        <v>0</v>
      </c>
      <c r="F41">
        <f>COUNTIF('Metrics - Articles'!F40,"*Human Resources (SAP HR and employee stories)*")</f>
        <v>0</v>
      </c>
      <c r="G41">
        <f>COUNTIF('Metrics - Articles'!F40,"*P&amp;I (Research &amp; Development)*")</f>
        <v>0</v>
      </c>
      <c r="H41">
        <f>COUNTIF('Metrics - Articles'!F40,"*Business Network (Concur, Ariba, Fieldglass)*")</f>
        <v>0</v>
      </c>
      <c r="I41">
        <f>COUNTIF('Metrics - Articles'!F40,"*GCO – Regions*")</f>
        <v>0</v>
      </c>
      <c r="J41">
        <f>COUNTIF('Metrics - Articles'!F40,"*GCO – Platform Solutions*")</f>
        <v>0</v>
      </c>
      <c r="K41">
        <f>COUNTIF('Metrics - Articles'!F40,"*GCO – Industry Cloud *")</f>
        <v>0</v>
      </c>
      <c r="L41">
        <f>COUNTIF('Metrics - Articles'!F40,"*GCO – Customer Engagement &amp; Commerce (CRM &amp; hybris) *")</f>
        <v>0</v>
      </c>
      <c r="M41">
        <f>COUNTIF('Metrics - Articles'!F40,"*GCO – HR (SuccessFactors)*")</f>
        <v>1</v>
      </c>
      <c r="N41">
        <f>COUNTIF('Metrics - Articles'!F40,"*GCO – Services Sales*")</f>
        <v>0</v>
      </c>
      <c r="O41">
        <f>COUNTIF('Metrics - Articles'!F40,"*GCO – Other*")</f>
        <v>0</v>
      </c>
      <c r="P41">
        <f>COUNTIF('Metrics - Articles'!F40,"*Corporate*")</f>
        <v>0</v>
      </c>
      <c r="R41" s="53">
        <f t="shared" si="2"/>
        <v>1</v>
      </c>
    </row>
    <row r="42" spans="2:18" hidden="1" x14ac:dyDescent="0.25">
      <c r="B42" s="48">
        <f>+'Metrics - Articles'!C41</f>
        <v>42038</v>
      </c>
      <c r="C42">
        <f>COUNTIF('Metrics - Articles'!F41,"*GPO (Partner, Ecosystem, Channels)*")</f>
        <v>0</v>
      </c>
      <c r="D42">
        <f>COUNTIF('Metrics - Articles'!F41,"*Office of the CEO*")</f>
        <v>0</v>
      </c>
      <c r="E42">
        <f>COUNTIF('Metrics - Articles'!F41,"*Services Delivery &amp; Support (go-lives and deployments) *")</f>
        <v>0</v>
      </c>
      <c r="F42">
        <f>COUNTIF('Metrics - Articles'!F41,"*Human Resources (SAP HR and employee stories)*")</f>
        <v>0</v>
      </c>
      <c r="G42">
        <f>COUNTIF('Metrics - Articles'!F41,"*P&amp;I (Research &amp; Development)*")</f>
        <v>0</v>
      </c>
      <c r="H42">
        <f>COUNTIF('Metrics - Articles'!F41,"*Business Network (Concur, Ariba, Fieldglass)*")</f>
        <v>0</v>
      </c>
      <c r="I42">
        <f>COUNTIF('Metrics - Articles'!F41,"*GCO – Regions*")</f>
        <v>0</v>
      </c>
      <c r="J42">
        <f>COUNTIF('Metrics - Articles'!F41,"*GCO – Platform Solutions*")</f>
        <v>0</v>
      </c>
      <c r="K42">
        <f>COUNTIF('Metrics - Articles'!F41,"*GCO – Industry Cloud *")</f>
        <v>1</v>
      </c>
      <c r="L42">
        <f>COUNTIF('Metrics - Articles'!F41,"*GCO – Customer Engagement &amp; Commerce (CRM &amp; hybris) *")</f>
        <v>0</v>
      </c>
      <c r="M42">
        <f>COUNTIF('Metrics - Articles'!F41,"*GCO – HR (SuccessFactors)*")</f>
        <v>0</v>
      </c>
      <c r="N42">
        <f>COUNTIF('Metrics - Articles'!F41,"*GCO – Services Sales*")</f>
        <v>0</v>
      </c>
      <c r="O42">
        <f>COUNTIF('Metrics - Articles'!F41,"*GCO – Other*")</f>
        <v>0</v>
      </c>
      <c r="P42">
        <f>COUNTIF('Metrics - Articles'!F41,"*Corporate*")</f>
        <v>0</v>
      </c>
      <c r="R42" s="53">
        <f t="shared" si="2"/>
        <v>1</v>
      </c>
    </row>
    <row r="43" spans="2:18" hidden="1" x14ac:dyDescent="0.25">
      <c r="B43" s="48">
        <f>+'Metrics - Articles'!C42</f>
        <v>42038</v>
      </c>
      <c r="C43">
        <f>COUNTIF('Metrics - Articles'!F42,"*GPO (Partner, Ecosystem, Channels)*")</f>
        <v>0</v>
      </c>
      <c r="D43">
        <f>COUNTIF('Metrics - Articles'!F42,"*Office of the CEO*")</f>
        <v>0</v>
      </c>
      <c r="E43">
        <f>COUNTIF('Metrics - Articles'!F42,"*Services Delivery &amp; Support (go-lives and deployments) *")</f>
        <v>0</v>
      </c>
      <c r="F43">
        <f>COUNTIF('Metrics - Articles'!F42,"*Human Resources (SAP HR and employee stories)*")</f>
        <v>0</v>
      </c>
      <c r="G43">
        <f>COUNTIF('Metrics - Articles'!F42,"*P&amp;I (Research &amp; Development)*")</f>
        <v>0</v>
      </c>
      <c r="H43">
        <f>COUNTIF('Metrics - Articles'!F42,"*Business Network (Concur, Ariba, Fieldglass)*")</f>
        <v>0</v>
      </c>
      <c r="I43">
        <f>COUNTIF('Metrics - Articles'!F42,"*GCO – Regions*")</f>
        <v>0</v>
      </c>
      <c r="J43">
        <f>COUNTIF('Metrics - Articles'!F42,"*GCO – Platform Solutions*")</f>
        <v>1</v>
      </c>
      <c r="K43">
        <f>COUNTIF('Metrics - Articles'!F42,"*GCO – Industry Cloud *")</f>
        <v>0</v>
      </c>
      <c r="L43">
        <f>COUNTIF('Metrics - Articles'!F42,"*GCO – Customer Engagement &amp; Commerce (CRM &amp; hybris) *")</f>
        <v>0</v>
      </c>
      <c r="M43">
        <f>COUNTIF('Metrics - Articles'!F42,"*GCO – HR (SuccessFactors)*")</f>
        <v>0</v>
      </c>
      <c r="N43">
        <f>COUNTIF('Metrics - Articles'!F42,"*GCO – Services Sales*")</f>
        <v>0</v>
      </c>
      <c r="O43">
        <f>COUNTIF('Metrics - Articles'!F42,"*GCO – Other*")</f>
        <v>0</v>
      </c>
      <c r="P43">
        <f>COUNTIF('Metrics - Articles'!F42,"*Corporate*")</f>
        <v>0</v>
      </c>
      <c r="R43" s="53">
        <f t="shared" si="2"/>
        <v>1</v>
      </c>
    </row>
    <row r="44" spans="2:18" hidden="1" x14ac:dyDescent="0.25">
      <c r="B44" s="48">
        <f>+'Metrics - Articles'!C43</f>
        <v>42038</v>
      </c>
      <c r="C44">
        <f>COUNTIF('Metrics - Articles'!F43,"*GPO (Partner, Ecosystem, Channels)*")</f>
        <v>0</v>
      </c>
      <c r="D44">
        <f>COUNTIF('Metrics - Articles'!F43,"*Office of the CEO*")</f>
        <v>0</v>
      </c>
      <c r="E44">
        <f>COUNTIF('Metrics - Articles'!F43,"*Services Delivery &amp; Support (go-lives and deployments) *")</f>
        <v>0</v>
      </c>
      <c r="F44">
        <f>COUNTIF('Metrics - Articles'!F43,"*Human Resources (SAP HR and employee stories)*")</f>
        <v>0</v>
      </c>
      <c r="G44">
        <f>COUNTIF('Metrics - Articles'!F43,"*P&amp;I (Research &amp; Development)*")</f>
        <v>0</v>
      </c>
      <c r="H44">
        <f>COUNTIF('Metrics - Articles'!F43,"*Business Network (Concur, Ariba, Fieldglass)*")</f>
        <v>0</v>
      </c>
      <c r="I44">
        <f>COUNTIF('Metrics - Articles'!F43,"*GCO – Regions*")</f>
        <v>0</v>
      </c>
      <c r="J44">
        <f>COUNTIF('Metrics - Articles'!F43,"*GCO – Platform Solutions*")</f>
        <v>0</v>
      </c>
      <c r="K44">
        <f>COUNTIF('Metrics - Articles'!F43,"*GCO – Industry Cloud *")</f>
        <v>0</v>
      </c>
      <c r="L44">
        <f>COUNTIF('Metrics - Articles'!F43,"*GCO – Customer Engagement &amp; Commerce (CRM &amp; hybris) *")</f>
        <v>0</v>
      </c>
      <c r="M44">
        <f>COUNTIF('Metrics - Articles'!F43,"*GCO – HR (SuccessFactors)*")</f>
        <v>1</v>
      </c>
      <c r="N44">
        <f>COUNTIF('Metrics - Articles'!F43,"*GCO – Services Sales*")</f>
        <v>0</v>
      </c>
      <c r="O44">
        <f>COUNTIF('Metrics - Articles'!F43,"*GCO – Other*")</f>
        <v>0</v>
      </c>
      <c r="P44">
        <f>COUNTIF('Metrics - Articles'!F43,"*Corporate*")</f>
        <v>0</v>
      </c>
      <c r="R44" s="53">
        <f t="shared" si="2"/>
        <v>1</v>
      </c>
    </row>
    <row r="45" spans="2:18" hidden="1" x14ac:dyDescent="0.25">
      <c r="B45" s="48">
        <f>+'Metrics - Articles'!C44</f>
        <v>42038</v>
      </c>
      <c r="C45">
        <f>COUNTIF('Metrics - Articles'!F44,"*GPO (Partner, Ecosystem, Channels)*")</f>
        <v>0</v>
      </c>
      <c r="D45">
        <f>COUNTIF('Metrics - Articles'!F44,"*Office of the CEO*")</f>
        <v>0</v>
      </c>
      <c r="E45">
        <f>COUNTIF('Metrics - Articles'!F44,"*Services Delivery &amp; Support (go-lives and deployments) *")</f>
        <v>0</v>
      </c>
      <c r="F45">
        <f>COUNTIF('Metrics - Articles'!F44,"*Human Resources (SAP HR and employee stories)*")</f>
        <v>0</v>
      </c>
      <c r="G45">
        <f>COUNTIF('Metrics - Articles'!F44,"*P&amp;I (Research &amp; Development)*")</f>
        <v>0</v>
      </c>
      <c r="H45">
        <f>COUNTIF('Metrics - Articles'!F44,"*Business Network (Concur, Ariba, Fieldglass)*")</f>
        <v>0</v>
      </c>
      <c r="I45">
        <f>COUNTIF('Metrics - Articles'!F44,"*GCO – Regions*")</f>
        <v>0</v>
      </c>
      <c r="J45">
        <f>COUNTIF('Metrics - Articles'!F44,"*GCO – Platform Solutions*")</f>
        <v>1</v>
      </c>
      <c r="K45">
        <f>COUNTIF('Metrics - Articles'!F44,"*GCO – Industry Cloud *")</f>
        <v>0</v>
      </c>
      <c r="L45">
        <f>COUNTIF('Metrics - Articles'!F44,"*GCO – Customer Engagement &amp; Commerce (CRM &amp; hybris) *")</f>
        <v>0</v>
      </c>
      <c r="M45">
        <f>COUNTIF('Metrics - Articles'!F44,"*GCO – HR (SuccessFactors)*")</f>
        <v>0</v>
      </c>
      <c r="N45">
        <f>COUNTIF('Metrics - Articles'!F44,"*GCO – Services Sales*")</f>
        <v>0</v>
      </c>
      <c r="O45">
        <f>COUNTIF('Metrics - Articles'!F44,"*GCO – Other*")</f>
        <v>0</v>
      </c>
      <c r="P45">
        <f>COUNTIF('Metrics - Articles'!F44,"*Corporate*")</f>
        <v>0</v>
      </c>
      <c r="R45" s="53">
        <f t="shared" si="2"/>
        <v>1</v>
      </c>
    </row>
    <row r="46" spans="2:18" hidden="1" x14ac:dyDescent="0.25">
      <c r="B46" s="48">
        <f>+'Metrics - Articles'!C45</f>
        <v>42040</v>
      </c>
      <c r="C46">
        <f>COUNTIF('Metrics - Articles'!F45,"*GPO (Partner, Ecosystem, Channels)*")</f>
        <v>0</v>
      </c>
      <c r="D46">
        <f>COUNTIF('Metrics - Articles'!F45,"*Office of the CEO*")</f>
        <v>0</v>
      </c>
      <c r="E46">
        <f>COUNTIF('Metrics - Articles'!F45,"*Services Delivery &amp; Support (go-lives and deployments) *")</f>
        <v>0</v>
      </c>
      <c r="F46">
        <f>COUNTIF('Metrics - Articles'!F45,"*Human Resources (SAP HR and employee stories)*")</f>
        <v>1</v>
      </c>
      <c r="G46">
        <f>COUNTIF('Metrics - Articles'!F45,"*P&amp;I (Research &amp; Development)*")</f>
        <v>0</v>
      </c>
      <c r="H46">
        <f>COUNTIF('Metrics - Articles'!F45,"*Business Network (Concur, Ariba, Fieldglass)*")</f>
        <v>0</v>
      </c>
      <c r="I46">
        <f>COUNTIF('Metrics - Articles'!F45,"*GCO – Regions*")</f>
        <v>0</v>
      </c>
      <c r="J46">
        <f>COUNTIF('Metrics - Articles'!F45,"*GCO – Platform Solutions*")</f>
        <v>0</v>
      </c>
      <c r="K46">
        <f>COUNTIF('Metrics - Articles'!F45,"*GCO – Industry Cloud *")</f>
        <v>0</v>
      </c>
      <c r="L46">
        <f>COUNTIF('Metrics - Articles'!F45,"*GCO – Customer Engagement &amp; Commerce (CRM &amp; hybris) *")</f>
        <v>0</v>
      </c>
      <c r="M46">
        <f>COUNTIF('Metrics - Articles'!F45,"*GCO – HR (SuccessFactors)*")</f>
        <v>0</v>
      </c>
      <c r="N46">
        <f>COUNTIF('Metrics - Articles'!F45,"*GCO – Services Sales*")</f>
        <v>0</v>
      </c>
      <c r="O46">
        <f>COUNTIF('Metrics - Articles'!F45,"*GCO – Other*")</f>
        <v>0</v>
      </c>
      <c r="P46">
        <f>COUNTIF('Metrics - Articles'!F45,"*Corporate*")</f>
        <v>0</v>
      </c>
      <c r="R46" s="53">
        <f t="shared" si="2"/>
        <v>1</v>
      </c>
    </row>
    <row r="47" spans="2:18" hidden="1" x14ac:dyDescent="0.25">
      <c r="B47" s="48">
        <f>+'Metrics - Articles'!C46</f>
        <v>42040</v>
      </c>
      <c r="C47">
        <f>COUNTIF('Metrics - Articles'!F46,"*GPO (Partner, Ecosystem, Channels)*")</f>
        <v>0</v>
      </c>
      <c r="D47">
        <f>COUNTIF('Metrics - Articles'!F46,"*Office of the CEO*")</f>
        <v>0</v>
      </c>
      <c r="E47">
        <f>COUNTIF('Metrics - Articles'!F46,"*Services Delivery &amp; Support (go-lives and deployments) *")</f>
        <v>0</v>
      </c>
      <c r="F47">
        <f>COUNTIF('Metrics - Articles'!F46,"*Human Resources (SAP HR and employee stories)*")</f>
        <v>0</v>
      </c>
      <c r="G47">
        <f>COUNTIF('Metrics - Articles'!F46,"*P&amp;I (Research &amp; Development)*")</f>
        <v>0</v>
      </c>
      <c r="H47">
        <f>COUNTIF('Metrics - Articles'!F46,"*Business Network (Concur, Ariba, Fieldglass)*")</f>
        <v>0</v>
      </c>
      <c r="I47">
        <f>COUNTIF('Metrics - Articles'!F46,"*GCO – Regions*")</f>
        <v>0</v>
      </c>
      <c r="J47">
        <f>COUNTIF('Metrics - Articles'!F46,"*GCO – Platform Solutions*")</f>
        <v>0</v>
      </c>
      <c r="K47">
        <f>COUNTIF('Metrics - Articles'!F46,"*GCO – Industry Cloud *")</f>
        <v>0</v>
      </c>
      <c r="L47">
        <f>COUNTIF('Metrics - Articles'!F46,"*GCO – Customer Engagement &amp; Commerce (CRM &amp; hybris) *")</f>
        <v>0</v>
      </c>
      <c r="M47">
        <f>COUNTIF('Metrics - Articles'!F46,"*GCO – HR (SuccessFactors)*")</f>
        <v>0</v>
      </c>
      <c r="N47">
        <f>COUNTIF('Metrics - Articles'!F46,"*GCO – Services Sales*")</f>
        <v>0</v>
      </c>
      <c r="O47">
        <f>COUNTIF('Metrics - Articles'!F46,"*GCO – Other*")</f>
        <v>1</v>
      </c>
      <c r="P47">
        <f>COUNTIF('Metrics - Articles'!F46,"*Corporate*")</f>
        <v>0</v>
      </c>
      <c r="R47" s="53">
        <f t="shared" si="2"/>
        <v>1</v>
      </c>
    </row>
    <row r="48" spans="2:18" hidden="1" x14ac:dyDescent="0.25">
      <c r="B48" s="48">
        <f>+'Metrics - Articles'!C47</f>
        <v>42041</v>
      </c>
      <c r="C48">
        <f>COUNTIF('Metrics - Articles'!F47,"*GPO (Partner, Ecosystem, Channels)*")</f>
        <v>0</v>
      </c>
      <c r="D48">
        <f>COUNTIF('Metrics - Articles'!F47,"*Office of the CEO*")</f>
        <v>0</v>
      </c>
      <c r="E48">
        <f>COUNTIF('Metrics - Articles'!F47,"*Services Delivery &amp; Support (go-lives and deployments) *")</f>
        <v>0</v>
      </c>
      <c r="F48">
        <f>COUNTIF('Metrics - Articles'!F47,"*Human Resources (SAP HR and employee stories)*")</f>
        <v>0</v>
      </c>
      <c r="G48">
        <f>COUNTIF('Metrics - Articles'!F47,"*P&amp;I (Research &amp; Development)*")</f>
        <v>0</v>
      </c>
      <c r="H48">
        <f>COUNTIF('Metrics - Articles'!F47,"*Business Network (Concur, Ariba, Fieldglass)*")</f>
        <v>0</v>
      </c>
      <c r="I48">
        <f>COUNTIF('Metrics - Articles'!F47,"*GCO – Regions*")</f>
        <v>0</v>
      </c>
      <c r="J48">
        <f>COUNTIF('Metrics - Articles'!F47,"*GCO – Platform Solutions*")</f>
        <v>0</v>
      </c>
      <c r="K48">
        <f>COUNTIF('Metrics - Articles'!F47,"*GCO – Industry Cloud *")</f>
        <v>0</v>
      </c>
      <c r="L48">
        <f>COUNTIF('Metrics - Articles'!F47,"*GCO – Customer Engagement &amp; Commerce (CRM &amp; hybris) *")</f>
        <v>0</v>
      </c>
      <c r="M48">
        <f>COUNTIF('Metrics - Articles'!F47,"*GCO – HR (SuccessFactors)*")</f>
        <v>0</v>
      </c>
      <c r="N48">
        <f>COUNTIF('Metrics - Articles'!F47,"*GCO – Services Sales*")</f>
        <v>0</v>
      </c>
      <c r="O48">
        <f>COUNTIF('Metrics - Articles'!F47,"*GCO – Other*")</f>
        <v>0</v>
      </c>
      <c r="P48">
        <f>COUNTIF('Metrics - Articles'!F47,"*Corporate*")</f>
        <v>1</v>
      </c>
      <c r="R48" s="53">
        <f t="shared" si="2"/>
        <v>1</v>
      </c>
    </row>
    <row r="49" spans="2:18" hidden="1" x14ac:dyDescent="0.25">
      <c r="B49" s="48">
        <f>+'Metrics - Articles'!C48</f>
        <v>42046</v>
      </c>
      <c r="C49">
        <f>COUNTIF('Metrics - Articles'!F48,"*GPO (Partner, Ecosystem, Channels)*")</f>
        <v>0</v>
      </c>
      <c r="D49">
        <f>COUNTIF('Metrics - Articles'!F48,"*Office of the CEO*")</f>
        <v>0</v>
      </c>
      <c r="E49">
        <f>COUNTIF('Metrics - Articles'!F48,"*Services Delivery &amp; Support (go-lives and deployments) *")</f>
        <v>0</v>
      </c>
      <c r="F49">
        <f>COUNTIF('Metrics - Articles'!F48,"*Human Resources (SAP HR and employee stories)*")</f>
        <v>0</v>
      </c>
      <c r="G49">
        <f>COUNTIF('Metrics - Articles'!F48,"*P&amp;I (Research &amp; Development)*")</f>
        <v>0</v>
      </c>
      <c r="H49">
        <f>COUNTIF('Metrics - Articles'!F48,"*Business Network (Concur, Ariba, Fieldglass)*")</f>
        <v>0</v>
      </c>
      <c r="I49">
        <f>COUNTIF('Metrics - Articles'!F48,"*GCO – Regions*")</f>
        <v>0</v>
      </c>
      <c r="J49">
        <f>COUNTIF('Metrics - Articles'!F48,"*GCO – Platform Solutions*")</f>
        <v>1</v>
      </c>
      <c r="K49">
        <f>COUNTIF('Metrics - Articles'!F48,"*GCO – Industry Cloud *")</f>
        <v>0</v>
      </c>
      <c r="L49">
        <f>COUNTIF('Metrics - Articles'!F48,"*GCO – Customer Engagement &amp; Commerce (CRM &amp; hybris) *")</f>
        <v>0</v>
      </c>
      <c r="M49">
        <f>COUNTIF('Metrics - Articles'!F48,"*GCO – HR (SuccessFactors)*")</f>
        <v>0</v>
      </c>
      <c r="N49">
        <f>COUNTIF('Metrics - Articles'!F48,"*GCO – Services Sales*")</f>
        <v>0</v>
      </c>
      <c r="O49">
        <f>COUNTIF('Metrics - Articles'!F48,"*GCO – Other*")</f>
        <v>0</v>
      </c>
      <c r="P49">
        <f>COUNTIF('Metrics - Articles'!F48,"*Corporate*")</f>
        <v>0</v>
      </c>
      <c r="R49" s="53">
        <f t="shared" si="2"/>
        <v>1</v>
      </c>
    </row>
    <row r="50" spans="2:18" hidden="1" x14ac:dyDescent="0.25">
      <c r="B50" s="48">
        <f>+'Metrics - Articles'!C49</f>
        <v>42047</v>
      </c>
      <c r="C50">
        <f>COUNTIF('Metrics - Articles'!F49,"*GPO (Partner, Ecosystem, Channels)*")</f>
        <v>0</v>
      </c>
      <c r="D50">
        <f>COUNTIF('Metrics - Articles'!F49,"*Office of the CEO*")</f>
        <v>0</v>
      </c>
      <c r="E50">
        <f>COUNTIF('Metrics - Articles'!F49,"*Services Delivery &amp; Support (go-lives and deployments) *")</f>
        <v>0</v>
      </c>
      <c r="F50">
        <f>COUNTIF('Metrics - Articles'!F49,"*Human Resources (SAP HR and employee stories)*")</f>
        <v>0</v>
      </c>
      <c r="G50">
        <f>COUNTIF('Metrics - Articles'!F49,"*P&amp;I (Research &amp; Development)*")</f>
        <v>0</v>
      </c>
      <c r="H50">
        <f>COUNTIF('Metrics - Articles'!F49,"*Business Network (Concur, Ariba, Fieldglass)*")</f>
        <v>0</v>
      </c>
      <c r="I50">
        <f>COUNTIF('Metrics - Articles'!F49,"*GCO – Regions*")</f>
        <v>0</v>
      </c>
      <c r="J50">
        <f>COUNTIF('Metrics - Articles'!F49,"*GCO – Platform Solutions*")</f>
        <v>0</v>
      </c>
      <c r="K50">
        <f>COUNTIF('Metrics - Articles'!F49,"*GCO – Industry Cloud *")</f>
        <v>0</v>
      </c>
      <c r="L50">
        <f>COUNTIF('Metrics - Articles'!F49,"*GCO – Customer Engagement &amp; Commerce (CRM &amp; hybris) *")</f>
        <v>0</v>
      </c>
      <c r="M50">
        <f>COUNTIF('Metrics - Articles'!F49,"*GCO – HR (SuccessFactors)*")</f>
        <v>0</v>
      </c>
      <c r="N50">
        <f>COUNTIF('Metrics - Articles'!F49,"*GCO – Services Sales*")</f>
        <v>0</v>
      </c>
      <c r="O50">
        <f>COUNTIF('Metrics - Articles'!F49,"*GCO – Other*")</f>
        <v>0</v>
      </c>
      <c r="P50">
        <f>COUNTIF('Metrics - Articles'!F49,"*Corporate*")</f>
        <v>1</v>
      </c>
      <c r="R50" s="53">
        <f t="shared" si="2"/>
        <v>1</v>
      </c>
    </row>
    <row r="51" spans="2:18" hidden="1" x14ac:dyDescent="0.25">
      <c r="B51" s="48">
        <f>+'Metrics - Articles'!C50</f>
        <v>42047</v>
      </c>
      <c r="C51">
        <f>COUNTIF('Metrics - Articles'!F50,"*GPO (Partner, Ecosystem, Channels)*")</f>
        <v>0</v>
      </c>
      <c r="D51">
        <f>COUNTIF('Metrics - Articles'!F50,"*Office of the CEO*")</f>
        <v>0</v>
      </c>
      <c r="E51">
        <f>COUNTIF('Metrics - Articles'!F50,"*Services Delivery &amp; Support (go-lives and deployments) *")</f>
        <v>0</v>
      </c>
      <c r="F51">
        <f>COUNTIF('Metrics - Articles'!F50,"*Human Resources (SAP HR and employee stories)*")</f>
        <v>1</v>
      </c>
      <c r="G51">
        <f>COUNTIF('Metrics - Articles'!F50,"*P&amp;I (Research &amp; Development)*")</f>
        <v>0</v>
      </c>
      <c r="H51">
        <f>COUNTIF('Metrics - Articles'!F50,"*Business Network (Concur, Ariba, Fieldglass)*")</f>
        <v>0</v>
      </c>
      <c r="I51">
        <f>COUNTIF('Metrics - Articles'!F50,"*GCO – Regions*")</f>
        <v>0</v>
      </c>
      <c r="J51">
        <f>COUNTIF('Metrics - Articles'!F50,"*GCO – Platform Solutions*")</f>
        <v>0</v>
      </c>
      <c r="K51">
        <f>COUNTIF('Metrics - Articles'!F50,"*GCO – Industry Cloud *")</f>
        <v>0</v>
      </c>
      <c r="L51">
        <f>COUNTIF('Metrics - Articles'!F50,"*GCO – Customer Engagement &amp; Commerce (CRM &amp; hybris) *")</f>
        <v>0</v>
      </c>
      <c r="M51">
        <f>COUNTIF('Metrics - Articles'!F50,"*GCO – HR (SuccessFactors)*")</f>
        <v>0</v>
      </c>
      <c r="N51">
        <f>COUNTIF('Metrics - Articles'!F50,"*GCO – Services Sales*")</f>
        <v>0</v>
      </c>
      <c r="O51">
        <f>COUNTIF('Metrics - Articles'!F50,"*GCO – Other*")</f>
        <v>0</v>
      </c>
      <c r="P51">
        <f>COUNTIF('Metrics - Articles'!F50,"*Corporate*")</f>
        <v>0</v>
      </c>
      <c r="R51" s="53">
        <f t="shared" si="2"/>
        <v>1</v>
      </c>
    </row>
    <row r="52" spans="2:18" hidden="1" x14ac:dyDescent="0.25">
      <c r="B52" s="48">
        <f>+'Metrics - Articles'!C51</f>
        <v>42048</v>
      </c>
      <c r="C52">
        <f>COUNTIF('Metrics - Articles'!F51,"*GPO (Partner, Ecosystem, Channels)*")</f>
        <v>0</v>
      </c>
      <c r="D52">
        <f>COUNTIF('Metrics - Articles'!F51,"*Office of the CEO*")</f>
        <v>0</v>
      </c>
      <c r="E52">
        <f>COUNTIF('Metrics - Articles'!F51,"*Services Delivery &amp; Support (go-lives and deployments) *")</f>
        <v>0</v>
      </c>
      <c r="F52">
        <f>COUNTIF('Metrics - Articles'!F51,"*Human Resources (SAP HR and employee stories)*")</f>
        <v>0</v>
      </c>
      <c r="G52">
        <f>COUNTIF('Metrics - Articles'!F51,"*P&amp;I (Research &amp; Development)*")</f>
        <v>0</v>
      </c>
      <c r="H52">
        <f>COUNTIF('Metrics - Articles'!F51,"*Business Network (Concur, Ariba, Fieldglass)*")</f>
        <v>0</v>
      </c>
      <c r="I52">
        <f>COUNTIF('Metrics - Articles'!F51,"*GCO – Regions*")</f>
        <v>0</v>
      </c>
      <c r="J52">
        <f>COUNTIF('Metrics - Articles'!F51,"*GCO – Platform Solutions*")</f>
        <v>0</v>
      </c>
      <c r="K52">
        <f>COUNTIF('Metrics - Articles'!F51,"*GCO – Industry Cloud *")</f>
        <v>0</v>
      </c>
      <c r="L52">
        <f>COUNTIF('Metrics - Articles'!F51,"*GCO – Customer Engagement &amp; Commerce (CRM &amp; hybris) *")</f>
        <v>0</v>
      </c>
      <c r="M52">
        <f>COUNTIF('Metrics - Articles'!F51,"*GCO – HR (SuccessFactors)*")</f>
        <v>0</v>
      </c>
      <c r="N52">
        <f>COUNTIF('Metrics - Articles'!F51,"*GCO – Services Sales*")</f>
        <v>0</v>
      </c>
      <c r="O52">
        <f>COUNTIF('Metrics - Articles'!F51,"*GCO – Other*")</f>
        <v>0</v>
      </c>
      <c r="P52">
        <f>COUNTIF('Metrics - Articles'!F51,"*Corporate*")</f>
        <v>1</v>
      </c>
      <c r="R52" s="53">
        <f t="shared" si="2"/>
        <v>1</v>
      </c>
    </row>
    <row r="53" spans="2:18" hidden="1" x14ac:dyDescent="0.25">
      <c r="B53" s="48">
        <f>+'Metrics - Articles'!C52</f>
        <v>42048</v>
      </c>
      <c r="C53">
        <f>COUNTIF('Metrics - Articles'!F52,"*GPO (Partner, Ecosystem, Channels)*")</f>
        <v>0</v>
      </c>
      <c r="D53">
        <f>COUNTIF('Metrics - Articles'!F52,"*Office of the CEO*")</f>
        <v>0</v>
      </c>
      <c r="E53">
        <f>COUNTIF('Metrics - Articles'!F52,"*Services Delivery &amp; Support (go-lives and deployments) *")</f>
        <v>0</v>
      </c>
      <c r="F53">
        <f>COUNTIF('Metrics - Articles'!F52,"*Human Resources (SAP HR and employee stories)*")</f>
        <v>1</v>
      </c>
      <c r="G53">
        <f>COUNTIF('Metrics - Articles'!F52,"*P&amp;I (Research &amp; Development)*")</f>
        <v>0</v>
      </c>
      <c r="H53">
        <f>COUNTIF('Metrics - Articles'!F52,"*Business Network (Concur, Ariba, Fieldglass)*")</f>
        <v>0</v>
      </c>
      <c r="I53">
        <f>COUNTIF('Metrics - Articles'!F52,"*GCO – Regions*")</f>
        <v>0</v>
      </c>
      <c r="J53">
        <f>COUNTIF('Metrics - Articles'!F52,"*GCO – Platform Solutions*")</f>
        <v>0</v>
      </c>
      <c r="K53">
        <f>COUNTIF('Metrics - Articles'!F52,"*GCO – Industry Cloud *")</f>
        <v>0</v>
      </c>
      <c r="L53">
        <f>COUNTIF('Metrics - Articles'!F52,"*GCO – Customer Engagement &amp; Commerce (CRM &amp; hybris) *")</f>
        <v>0</v>
      </c>
      <c r="M53">
        <f>COUNTIF('Metrics - Articles'!F52,"*GCO – HR (SuccessFactors)*")</f>
        <v>0</v>
      </c>
      <c r="N53">
        <f>COUNTIF('Metrics - Articles'!F52,"*GCO – Services Sales*")</f>
        <v>0</v>
      </c>
      <c r="O53">
        <f>COUNTIF('Metrics - Articles'!F52,"*GCO – Other*")</f>
        <v>0</v>
      </c>
      <c r="P53">
        <f>COUNTIF('Metrics - Articles'!F52,"*Corporate*")</f>
        <v>0</v>
      </c>
      <c r="R53" s="53">
        <f t="shared" si="2"/>
        <v>1</v>
      </c>
    </row>
    <row r="54" spans="2:18" hidden="1" x14ac:dyDescent="0.25">
      <c r="B54" s="48">
        <f>+'Metrics - Articles'!C53</f>
        <v>42051</v>
      </c>
      <c r="C54">
        <f>COUNTIF('Metrics - Articles'!F53,"*GPO (Partner, Ecosystem, Channels)*")</f>
        <v>0</v>
      </c>
      <c r="D54">
        <f>COUNTIF('Metrics - Articles'!F53,"*Office of the CEO*")</f>
        <v>0</v>
      </c>
      <c r="E54">
        <f>COUNTIF('Metrics - Articles'!F53,"*Services Delivery &amp; Support (go-lives and deployments) *")</f>
        <v>0</v>
      </c>
      <c r="F54">
        <f>COUNTIF('Metrics - Articles'!F53,"*Human Resources (SAP HR and employee stories)*")</f>
        <v>0</v>
      </c>
      <c r="G54">
        <f>COUNTIF('Metrics - Articles'!F53,"*P&amp;I (Research &amp; Development)*")</f>
        <v>0</v>
      </c>
      <c r="H54">
        <f>COUNTIF('Metrics - Articles'!F53,"*Business Network (Concur, Ariba, Fieldglass)*")</f>
        <v>0</v>
      </c>
      <c r="I54">
        <f>COUNTIF('Metrics - Articles'!F53,"*GCO – Regions*")</f>
        <v>0</v>
      </c>
      <c r="J54">
        <f>COUNTIF('Metrics - Articles'!F53,"*GCO – Platform Solutions*")</f>
        <v>0</v>
      </c>
      <c r="K54">
        <f>COUNTIF('Metrics - Articles'!F53,"*GCO – Industry Cloud *")</f>
        <v>1</v>
      </c>
      <c r="L54">
        <f>COUNTIF('Metrics - Articles'!F53,"*GCO – Customer Engagement &amp; Commerce (CRM &amp; hybris) *")</f>
        <v>0</v>
      </c>
      <c r="M54">
        <f>COUNTIF('Metrics - Articles'!F53,"*GCO – HR (SuccessFactors)*")</f>
        <v>0</v>
      </c>
      <c r="N54">
        <f>COUNTIF('Metrics - Articles'!F53,"*GCO – Services Sales*")</f>
        <v>0</v>
      </c>
      <c r="O54">
        <f>COUNTIF('Metrics - Articles'!F53,"*GCO – Other*")</f>
        <v>0</v>
      </c>
      <c r="P54">
        <f>COUNTIF('Metrics - Articles'!F53,"*Corporate*")</f>
        <v>0</v>
      </c>
      <c r="R54" s="53">
        <f t="shared" si="2"/>
        <v>1</v>
      </c>
    </row>
    <row r="55" spans="2:18" hidden="1" x14ac:dyDescent="0.25">
      <c r="B55" s="48">
        <f>+'Metrics - Articles'!C54</f>
        <v>42051</v>
      </c>
      <c r="C55">
        <f>COUNTIF('Metrics - Articles'!F54,"*GPO (Partner, Ecosystem, Channels)*")</f>
        <v>0</v>
      </c>
      <c r="D55">
        <f>COUNTIF('Metrics - Articles'!F54,"*Office of the CEO*")</f>
        <v>1</v>
      </c>
      <c r="E55">
        <f>COUNTIF('Metrics - Articles'!F54,"*Services Delivery &amp; Support (go-lives and deployments) *")</f>
        <v>0</v>
      </c>
      <c r="F55">
        <f>COUNTIF('Metrics - Articles'!F54,"*Human Resources (SAP HR and employee stories)*")</f>
        <v>0</v>
      </c>
      <c r="G55">
        <f>COUNTIF('Metrics - Articles'!F54,"*P&amp;I (Research &amp; Development)*")</f>
        <v>0</v>
      </c>
      <c r="H55">
        <f>COUNTIF('Metrics - Articles'!F54,"*Business Network (Concur, Ariba, Fieldglass)*")</f>
        <v>0</v>
      </c>
      <c r="I55">
        <f>COUNTIF('Metrics - Articles'!F54,"*GCO – Regions*")</f>
        <v>0</v>
      </c>
      <c r="J55">
        <f>COUNTIF('Metrics - Articles'!F54,"*GCO – Platform Solutions*")</f>
        <v>0</v>
      </c>
      <c r="K55">
        <f>COUNTIF('Metrics - Articles'!F54,"*GCO – Industry Cloud *")</f>
        <v>0</v>
      </c>
      <c r="L55">
        <f>COUNTIF('Metrics - Articles'!F54,"*GCO – Customer Engagement &amp; Commerce (CRM &amp; hybris) *")</f>
        <v>0</v>
      </c>
      <c r="M55">
        <f>COUNTIF('Metrics - Articles'!F54,"*GCO – HR (SuccessFactors)*")</f>
        <v>0</v>
      </c>
      <c r="N55">
        <f>COUNTIF('Metrics - Articles'!F54,"*GCO – Services Sales*")</f>
        <v>0</v>
      </c>
      <c r="O55">
        <f>COUNTIF('Metrics - Articles'!F54,"*GCO – Other*")</f>
        <v>0</v>
      </c>
      <c r="P55">
        <f>COUNTIF('Metrics - Articles'!F54,"*Corporate*")</f>
        <v>0</v>
      </c>
      <c r="R55" s="53">
        <f t="shared" si="2"/>
        <v>1</v>
      </c>
    </row>
    <row r="56" spans="2:18" hidden="1" x14ac:dyDescent="0.25">
      <c r="B56" s="48">
        <f>+'Metrics - Articles'!C55</f>
        <v>42051</v>
      </c>
      <c r="C56">
        <f>COUNTIF('Metrics - Articles'!F55,"*GPO (Partner, Ecosystem, Channels)*")</f>
        <v>0</v>
      </c>
      <c r="D56">
        <f>COUNTIF('Metrics - Articles'!F55,"*Office of the CEO*")</f>
        <v>0</v>
      </c>
      <c r="E56">
        <f>COUNTIF('Metrics - Articles'!F55,"*Services Delivery &amp; Support (go-lives and deployments) *")</f>
        <v>0</v>
      </c>
      <c r="F56">
        <f>COUNTIF('Metrics - Articles'!F55,"*Human Resources (SAP HR and employee stories)*")</f>
        <v>0</v>
      </c>
      <c r="G56">
        <f>COUNTIF('Metrics - Articles'!F55,"*P&amp;I (Research &amp; Development)*")</f>
        <v>0</v>
      </c>
      <c r="H56">
        <f>COUNTIF('Metrics - Articles'!F55,"*Business Network (Concur, Ariba, Fieldglass)*")</f>
        <v>0</v>
      </c>
      <c r="I56">
        <f>COUNTIF('Metrics - Articles'!F55,"*GCO – Regions*")</f>
        <v>0</v>
      </c>
      <c r="J56">
        <f>COUNTIF('Metrics - Articles'!F55,"*GCO – Platform Solutions*")</f>
        <v>1</v>
      </c>
      <c r="K56">
        <f>COUNTIF('Metrics - Articles'!F55,"*GCO – Industry Cloud *")</f>
        <v>0</v>
      </c>
      <c r="L56">
        <f>COUNTIF('Metrics - Articles'!F55,"*GCO – Customer Engagement &amp; Commerce (CRM &amp; hybris) *")</f>
        <v>0</v>
      </c>
      <c r="M56">
        <f>COUNTIF('Metrics - Articles'!F55,"*GCO – HR (SuccessFactors)*")</f>
        <v>0</v>
      </c>
      <c r="N56">
        <f>COUNTIF('Metrics - Articles'!F55,"*GCO – Services Sales*")</f>
        <v>0</v>
      </c>
      <c r="O56">
        <f>COUNTIF('Metrics - Articles'!F55,"*GCO – Other*")</f>
        <v>0</v>
      </c>
      <c r="P56">
        <f>COUNTIF('Metrics - Articles'!F55,"*Corporate*")</f>
        <v>0</v>
      </c>
      <c r="R56" s="53">
        <f t="shared" si="2"/>
        <v>1</v>
      </c>
    </row>
    <row r="57" spans="2:18" hidden="1" x14ac:dyDescent="0.25">
      <c r="B57" s="48">
        <f>+'Metrics - Articles'!C56</f>
        <v>42052</v>
      </c>
      <c r="C57">
        <f>COUNTIF('Metrics - Articles'!F56,"*GPO (Partner, Ecosystem, Channels)*")</f>
        <v>0</v>
      </c>
      <c r="D57">
        <f>COUNTIF('Metrics - Articles'!F56,"*Office of the CEO*")</f>
        <v>0</v>
      </c>
      <c r="E57">
        <f>COUNTIF('Metrics - Articles'!F56,"*Services Delivery &amp; Support (go-lives and deployments) *")</f>
        <v>0</v>
      </c>
      <c r="F57">
        <f>COUNTIF('Metrics - Articles'!F56,"*Human Resources (SAP HR and employee stories)*")</f>
        <v>0</v>
      </c>
      <c r="G57">
        <f>COUNTIF('Metrics - Articles'!F56,"*P&amp;I (Research &amp; Development)*")</f>
        <v>0</v>
      </c>
      <c r="H57">
        <f>COUNTIF('Metrics - Articles'!F56,"*Business Network (Concur, Ariba, Fieldglass)*")</f>
        <v>0</v>
      </c>
      <c r="I57">
        <f>COUNTIF('Metrics - Articles'!F56,"*GCO – Regions*")</f>
        <v>0</v>
      </c>
      <c r="J57">
        <f>COUNTIF('Metrics - Articles'!F56,"*GCO – Platform Solutions*")</f>
        <v>0</v>
      </c>
      <c r="K57">
        <f>COUNTIF('Metrics - Articles'!F56,"*GCO – Industry Cloud *")</f>
        <v>1</v>
      </c>
      <c r="L57">
        <f>COUNTIF('Metrics - Articles'!F56,"*GCO – Customer Engagement &amp; Commerce (CRM &amp; hybris) *")</f>
        <v>0</v>
      </c>
      <c r="M57">
        <f>COUNTIF('Metrics - Articles'!F56,"*GCO – HR (SuccessFactors)*")</f>
        <v>0</v>
      </c>
      <c r="N57">
        <f>COUNTIF('Metrics - Articles'!F56,"*GCO – Services Sales*")</f>
        <v>0</v>
      </c>
      <c r="O57">
        <f>COUNTIF('Metrics - Articles'!F56,"*GCO – Other*")</f>
        <v>0</v>
      </c>
      <c r="P57">
        <f>COUNTIF('Metrics - Articles'!F56,"*Corporate*")</f>
        <v>0</v>
      </c>
      <c r="R57" s="53">
        <f t="shared" si="2"/>
        <v>1</v>
      </c>
    </row>
    <row r="58" spans="2:18" hidden="1" x14ac:dyDescent="0.25">
      <c r="B58" s="48">
        <f>+'Metrics - Articles'!C57</f>
        <v>42052</v>
      </c>
      <c r="C58">
        <f>COUNTIF('Metrics - Articles'!F57,"*GPO (Partner, Ecosystem, Channels)*")</f>
        <v>0</v>
      </c>
      <c r="D58">
        <f>COUNTIF('Metrics - Articles'!F57,"*Office of the CEO*")</f>
        <v>0</v>
      </c>
      <c r="E58">
        <f>COUNTIF('Metrics - Articles'!F57,"*Services Delivery &amp; Support (go-lives and deployments) *")</f>
        <v>0</v>
      </c>
      <c r="F58">
        <f>COUNTIF('Metrics - Articles'!F57,"*Human Resources (SAP HR and employee stories)*")</f>
        <v>0</v>
      </c>
      <c r="G58">
        <f>COUNTIF('Metrics - Articles'!F57,"*P&amp;I (Research &amp; Development)*")</f>
        <v>0</v>
      </c>
      <c r="H58">
        <f>COUNTIF('Metrics - Articles'!F57,"*Business Network (Concur, Ariba, Fieldglass)*")</f>
        <v>0</v>
      </c>
      <c r="I58">
        <f>COUNTIF('Metrics - Articles'!F57,"*GCO – Regions*")</f>
        <v>0</v>
      </c>
      <c r="J58">
        <f>COUNTIF('Metrics - Articles'!F57,"*GCO – Platform Solutions*")</f>
        <v>1</v>
      </c>
      <c r="K58">
        <f>COUNTIF('Metrics - Articles'!F57,"*GCO – Industry Cloud *")</f>
        <v>0</v>
      </c>
      <c r="L58">
        <f>COUNTIF('Metrics - Articles'!F57,"*GCO – Customer Engagement &amp; Commerce (CRM &amp; hybris) *")</f>
        <v>0</v>
      </c>
      <c r="M58">
        <f>COUNTIF('Metrics - Articles'!F57,"*GCO – HR (SuccessFactors)*")</f>
        <v>0</v>
      </c>
      <c r="N58">
        <f>COUNTIF('Metrics - Articles'!F57,"*GCO – Services Sales*")</f>
        <v>0</v>
      </c>
      <c r="O58">
        <f>COUNTIF('Metrics - Articles'!F57,"*GCO – Other*")</f>
        <v>0</v>
      </c>
      <c r="P58">
        <f>COUNTIF('Metrics - Articles'!F57,"*Corporate*")</f>
        <v>0</v>
      </c>
      <c r="R58" s="53">
        <f t="shared" si="2"/>
        <v>1</v>
      </c>
    </row>
    <row r="59" spans="2:18" hidden="1" x14ac:dyDescent="0.25">
      <c r="B59" s="48">
        <f>+'Metrics - Articles'!C58</f>
        <v>42053</v>
      </c>
      <c r="C59">
        <f>COUNTIF('Metrics - Articles'!F58,"*GPO (Partner, Ecosystem, Channels)*")</f>
        <v>0</v>
      </c>
      <c r="D59">
        <f>COUNTIF('Metrics - Articles'!F58,"*Office of the CEO*")</f>
        <v>1</v>
      </c>
      <c r="E59">
        <f>COUNTIF('Metrics - Articles'!F58,"*Services Delivery &amp; Support (go-lives and deployments) *")</f>
        <v>0</v>
      </c>
      <c r="F59">
        <f>COUNTIF('Metrics - Articles'!F58,"*Human Resources (SAP HR and employee stories)*")</f>
        <v>0</v>
      </c>
      <c r="G59">
        <f>COUNTIF('Metrics - Articles'!F58,"*P&amp;I (Research &amp; Development)*")</f>
        <v>0</v>
      </c>
      <c r="H59">
        <f>COUNTIF('Metrics - Articles'!F58,"*Business Network (Concur, Ariba, Fieldglass)*")</f>
        <v>0</v>
      </c>
      <c r="I59">
        <f>COUNTIF('Metrics - Articles'!F58,"*GCO – Regions*")</f>
        <v>0</v>
      </c>
      <c r="J59">
        <f>COUNTIF('Metrics - Articles'!F58,"*GCO – Platform Solutions*")</f>
        <v>0</v>
      </c>
      <c r="K59">
        <f>COUNTIF('Metrics - Articles'!F58,"*GCO – Industry Cloud *")</f>
        <v>0</v>
      </c>
      <c r="L59">
        <f>COUNTIF('Metrics - Articles'!F58,"*GCO – Customer Engagement &amp; Commerce (CRM &amp; hybris) *")</f>
        <v>0</v>
      </c>
      <c r="M59">
        <f>COUNTIF('Metrics - Articles'!F58,"*GCO – HR (SuccessFactors)*")</f>
        <v>0</v>
      </c>
      <c r="N59">
        <f>COUNTIF('Metrics - Articles'!F58,"*GCO – Services Sales*")</f>
        <v>0</v>
      </c>
      <c r="O59">
        <f>COUNTIF('Metrics - Articles'!F58,"*GCO – Other*")</f>
        <v>0</v>
      </c>
      <c r="P59">
        <f>COUNTIF('Metrics - Articles'!F58,"*Corporate*")</f>
        <v>0</v>
      </c>
      <c r="R59" s="53">
        <f t="shared" si="2"/>
        <v>1</v>
      </c>
    </row>
    <row r="60" spans="2:18" hidden="1" x14ac:dyDescent="0.25">
      <c r="B60" s="48">
        <f>+'Metrics - Articles'!C59</f>
        <v>42053</v>
      </c>
      <c r="C60">
        <f>COUNTIF('Metrics - Articles'!F59,"*GPO (Partner, Ecosystem, Channels)*")</f>
        <v>0</v>
      </c>
      <c r="D60">
        <f>COUNTIF('Metrics - Articles'!F59,"*Office of the CEO*")</f>
        <v>0</v>
      </c>
      <c r="E60">
        <f>COUNTIF('Metrics - Articles'!F59,"*Services Delivery &amp; Support (go-lives and deployments) *")</f>
        <v>0</v>
      </c>
      <c r="F60">
        <f>COUNTIF('Metrics - Articles'!F59,"*Human Resources (SAP HR and employee stories)*")</f>
        <v>0</v>
      </c>
      <c r="G60">
        <f>COUNTIF('Metrics - Articles'!F59,"*P&amp;I (Research &amp; Development)*")</f>
        <v>0</v>
      </c>
      <c r="H60">
        <f>COUNTIF('Metrics - Articles'!F59,"*Business Network (Concur, Ariba, Fieldglass)*")</f>
        <v>0</v>
      </c>
      <c r="I60">
        <f>COUNTIF('Metrics - Articles'!F59,"*GCO – Regions*")</f>
        <v>0</v>
      </c>
      <c r="J60">
        <f>COUNTIF('Metrics - Articles'!F59,"*GCO – Platform Solutions*")</f>
        <v>0</v>
      </c>
      <c r="K60">
        <f>COUNTIF('Metrics - Articles'!F59,"*GCO – Industry Cloud *")</f>
        <v>1</v>
      </c>
      <c r="L60">
        <f>COUNTIF('Metrics - Articles'!F59,"*GCO – Customer Engagement &amp; Commerce (CRM &amp; hybris) *")</f>
        <v>0</v>
      </c>
      <c r="M60">
        <f>COUNTIF('Metrics - Articles'!F59,"*GCO – HR (SuccessFactors)*")</f>
        <v>0</v>
      </c>
      <c r="N60">
        <f>COUNTIF('Metrics - Articles'!F59,"*GCO – Services Sales*")</f>
        <v>0</v>
      </c>
      <c r="O60">
        <f>COUNTIF('Metrics - Articles'!F59,"*GCO – Other*")</f>
        <v>0</v>
      </c>
      <c r="P60">
        <f>COUNTIF('Metrics - Articles'!F59,"*Corporate*")</f>
        <v>0</v>
      </c>
      <c r="R60" s="53">
        <f t="shared" si="2"/>
        <v>1</v>
      </c>
    </row>
    <row r="61" spans="2:18" hidden="1" x14ac:dyDescent="0.25">
      <c r="B61" s="48">
        <f>+'Metrics - Articles'!C60</f>
        <v>42055</v>
      </c>
      <c r="C61">
        <f>COUNTIF('Metrics - Articles'!F60,"*GPO (Partner, Ecosystem, Channels)*")</f>
        <v>0</v>
      </c>
      <c r="D61">
        <f>COUNTIF('Metrics - Articles'!F60,"*Office of the CEO*")</f>
        <v>0</v>
      </c>
      <c r="E61">
        <f>COUNTIF('Metrics - Articles'!F60,"*Services Delivery &amp; Support (go-lives and deployments) *")</f>
        <v>0</v>
      </c>
      <c r="F61">
        <f>COUNTIF('Metrics - Articles'!F60,"*Human Resources (SAP HR and employee stories)*")</f>
        <v>1</v>
      </c>
      <c r="G61">
        <f>COUNTIF('Metrics - Articles'!F60,"*P&amp;I (Research &amp; Development)*")</f>
        <v>0</v>
      </c>
      <c r="H61">
        <f>COUNTIF('Metrics - Articles'!F60,"*Business Network (Concur, Ariba, Fieldglass)*")</f>
        <v>0</v>
      </c>
      <c r="I61">
        <f>COUNTIF('Metrics - Articles'!F60,"*GCO – Regions*")</f>
        <v>0</v>
      </c>
      <c r="J61">
        <f>COUNTIF('Metrics - Articles'!F60,"*GCO – Platform Solutions*")</f>
        <v>0</v>
      </c>
      <c r="K61">
        <f>COUNTIF('Metrics - Articles'!F60,"*GCO – Industry Cloud *")</f>
        <v>0</v>
      </c>
      <c r="L61">
        <f>COUNTIF('Metrics - Articles'!F60,"*GCO – Customer Engagement &amp; Commerce (CRM &amp; hybris) *")</f>
        <v>0</v>
      </c>
      <c r="M61">
        <f>COUNTIF('Metrics - Articles'!F60,"*GCO – HR (SuccessFactors)*")</f>
        <v>0</v>
      </c>
      <c r="N61">
        <f>COUNTIF('Metrics - Articles'!F60,"*GCO – Services Sales*")</f>
        <v>0</v>
      </c>
      <c r="O61">
        <f>COUNTIF('Metrics - Articles'!F60,"*GCO – Other*")</f>
        <v>0</v>
      </c>
      <c r="P61">
        <f>COUNTIF('Metrics - Articles'!F60,"*Corporate*")</f>
        <v>0</v>
      </c>
      <c r="R61" s="53">
        <f t="shared" si="2"/>
        <v>1</v>
      </c>
    </row>
    <row r="62" spans="2:18" hidden="1" x14ac:dyDescent="0.25">
      <c r="B62" s="48">
        <f>+'Metrics - Articles'!C61</f>
        <v>42055</v>
      </c>
      <c r="C62">
        <f>COUNTIF('Metrics - Articles'!F61,"*GPO (Partner, Ecosystem, Channels)*")</f>
        <v>0</v>
      </c>
      <c r="D62">
        <f>COUNTIF('Metrics - Articles'!F61,"*Office of the CEO*")</f>
        <v>0</v>
      </c>
      <c r="E62">
        <f>COUNTIF('Metrics - Articles'!F61,"*Services Delivery &amp; Support (go-lives and deployments) *")</f>
        <v>0</v>
      </c>
      <c r="F62">
        <f>COUNTIF('Metrics - Articles'!F61,"*Human Resources (SAP HR and employee stories)*")</f>
        <v>0</v>
      </c>
      <c r="G62">
        <f>COUNTIF('Metrics - Articles'!F61,"*P&amp;I (Research &amp; Development)*")</f>
        <v>1</v>
      </c>
      <c r="H62">
        <f>COUNTIF('Metrics - Articles'!F61,"*Business Network (Concur, Ariba, Fieldglass)*")</f>
        <v>0</v>
      </c>
      <c r="I62">
        <f>COUNTIF('Metrics - Articles'!F61,"*GCO – Regions*")</f>
        <v>0</v>
      </c>
      <c r="J62">
        <f>COUNTIF('Metrics - Articles'!F61,"*GCO – Platform Solutions*")</f>
        <v>0</v>
      </c>
      <c r="K62">
        <f>COUNTIF('Metrics - Articles'!F61,"*GCO – Industry Cloud *")</f>
        <v>0</v>
      </c>
      <c r="L62">
        <f>COUNTIF('Metrics - Articles'!F61,"*GCO – Customer Engagement &amp; Commerce (CRM &amp; hybris) *")</f>
        <v>0</v>
      </c>
      <c r="M62">
        <f>COUNTIF('Metrics - Articles'!F61,"*GCO – HR (SuccessFactors)*")</f>
        <v>0</v>
      </c>
      <c r="N62">
        <f>COUNTIF('Metrics - Articles'!F61,"*GCO – Services Sales*")</f>
        <v>0</v>
      </c>
      <c r="O62">
        <f>COUNTIF('Metrics - Articles'!F61,"*GCO – Other*")</f>
        <v>0</v>
      </c>
      <c r="P62">
        <f>COUNTIF('Metrics - Articles'!F61,"*Corporate*")</f>
        <v>0</v>
      </c>
      <c r="R62" s="53">
        <f t="shared" si="2"/>
        <v>1</v>
      </c>
    </row>
    <row r="63" spans="2:18" hidden="1" x14ac:dyDescent="0.25">
      <c r="B63" s="48">
        <f>+'Metrics - Articles'!C62</f>
        <v>42056</v>
      </c>
      <c r="C63">
        <f>COUNTIF('Metrics - Articles'!F62,"*GPO (Partner, Ecosystem, Channels)*")</f>
        <v>0</v>
      </c>
      <c r="D63">
        <f>COUNTIF('Metrics - Articles'!F62,"*Office of the CEO*")</f>
        <v>0</v>
      </c>
      <c r="E63">
        <f>COUNTIF('Metrics - Articles'!F62,"*Services Delivery &amp; Support (go-lives and deployments) *")</f>
        <v>0</v>
      </c>
      <c r="F63">
        <f>COUNTIF('Metrics - Articles'!F62,"*Human Resources (SAP HR and employee stories)*")</f>
        <v>0</v>
      </c>
      <c r="G63">
        <f>COUNTIF('Metrics - Articles'!F62,"*P&amp;I (Research &amp; Development)*")</f>
        <v>0</v>
      </c>
      <c r="H63">
        <f>COUNTIF('Metrics - Articles'!F62,"*Business Network (Concur, Ariba, Fieldglass)*")</f>
        <v>0</v>
      </c>
      <c r="I63">
        <f>COUNTIF('Metrics - Articles'!F62,"*GCO – Regions*")</f>
        <v>0</v>
      </c>
      <c r="J63">
        <f>COUNTIF('Metrics - Articles'!F62,"*GCO – Platform Solutions*")</f>
        <v>0</v>
      </c>
      <c r="K63">
        <f>COUNTIF('Metrics - Articles'!F62,"*GCO – Industry Cloud *")</f>
        <v>1</v>
      </c>
      <c r="L63">
        <f>COUNTIF('Metrics - Articles'!F62,"*GCO – Customer Engagement &amp; Commerce (CRM &amp; hybris) *")</f>
        <v>0</v>
      </c>
      <c r="M63">
        <f>COUNTIF('Metrics - Articles'!F62,"*GCO – HR (SuccessFactors)*")</f>
        <v>0</v>
      </c>
      <c r="N63">
        <f>COUNTIF('Metrics - Articles'!F62,"*GCO – Services Sales*")</f>
        <v>0</v>
      </c>
      <c r="O63">
        <f>COUNTIF('Metrics - Articles'!F62,"*GCO – Other*")</f>
        <v>0</v>
      </c>
      <c r="P63">
        <f>COUNTIF('Metrics - Articles'!F62,"*Corporate*")</f>
        <v>0</v>
      </c>
      <c r="R63" s="53">
        <f t="shared" si="2"/>
        <v>1</v>
      </c>
    </row>
    <row r="64" spans="2:18" hidden="1" x14ac:dyDescent="0.25">
      <c r="B64" s="48">
        <f>+'Metrics - Articles'!C63</f>
        <v>42058</v>
      </c>
      <c r="C64">
        <f>COUNTIF('Metrics - Articles'!F63,"*GPO (Partner, Ecosystem, Channels)*")</f>
        <v>0</v>
      </c>
      <c r="D64">
        <f>COUNTIF('Metrics - Articles'!F63,"*Office of the CEO*")</f>
        <v>0</v>
      </c>
      <c r="E64">
        <f>COUNTIF('Metrics - Articles'!F63,"*Services Delivery &amp; Support (go-lives and deployments) *")</f>
        <v>0</v>
      </c>
      <c r="F64">
        <f>COUNTIF('Metrics - Articles'!F63,"*Human Resources (SAP HR and employee stories)*")</f>
        <v>0</v>
      </c>
      <c r="G64">
        <f>COUNTIF('Metrics - Articles'!F63,"*P&amp;I (Research &amp; Development)*")</f>
        <v>0</v>
      </c>
      <c r="H64">
        <f>COUNTIF('Metrics - Articles'!F63,"*Business Network (Concur, Ariba, Fieldglass)*")</f>
        <v>0</v>
      </c>
      <c r="I64">
        <f>COUNTIF('Metrics - Articles'!F63,"*GCO – Regions*")</f>
        <v>1</v>
      </c>
      <c r="J64">
        <f>COUNTIF('Metrics - Articles'!F63,"*GCO – Platform Solutions*")</f>
        <v>0</v>
      </c>
      <c r="K64">
        <f>COUNTIF('Metrics - Articles'!F63,"*GCO – Industry Cloud *")</f>
        <v>0</v>
      </c>
      <c r="L64">
        <f>COUNTIF('Metrics - Articles'!F63,"*GCO – Customer Engagement &amp; Commerce (CRM &amp; hybris) *")</f>
        <v>0</v>
      </c>
      <c r="M64">
        <f>COUNTIF('Metrics - Articles'!F63,"*GCO – HR (SuccessFactors)*")</f>
        <v>0</v>
      </c>
      <c r="N64">
        <f>COUNTIF('Metrics - Articles'!F63,"*GCO – Services Sales*")</f>
        <v>0</v>
      </c>
      <c r="O64">
        <f>COUNTIF('Metrics - Articles'!F63,"*GCO – Other*")</f>
        <v>0</v>
      </c>
      <c r="P64">
        <f>COUNTIF('Metrics - Articles'!F63,"*Corporate*")</f>
        <v>0</v>
      </c>
      <c r="R64" s="53">
        <f t="shared" si="2"/>
        <v>1</v>
      </c>
    </row>
    <row r="65" spans="2:18" hidden="1" x14ac:dyDescent="0.25">
      <c r="B65" s="48">
        <f>+'Metrics - Articles'!C64</f>
        <v>42059</v>
      </c>
      <c r="C65">
        <f>COUNTIF('Metrics - Articles'!F64,"*GPO (Partner, Ecosystem, Channels)*")</f>
        <v>0</v>
      </c>
      <c r="D65">
        <f>COUNTIF('Metrics - Articles'!F64,"*Office of the CEO*")</f>
        <v>0</v>
      </c>
      <c r="E65">
        <f>COUNTIF('Metrics - Articles'!F64,"*Services Delivery &amp; Support (go-lives and deployments) *")</f>
        <v>0</v>
      </c>
      <c r="F65">
        <f>COUNTIF('Metrics - Articles'!F64,"*Human Resources (SAP HR and employee stories)*")</f>
        <v>0</v>
      </c>
      <c r="G65">
        <f>COUNTIF('Metrics - Articles'!F64,"*P&amp;I (Research &amp; Development)*")</f>
        <v>0</v>
      </c>
      <c r="H65">
        <f>COUNTIF('Metrics - Articles'!F64,"*Business Network (Concur, Ariba, Fieldglass)*")</f>
        <v>0</v>
      </c>
      <c r="I65">
        <f>COUNTIF('Metrics - Articles'!F64,"*GCO – Regions*")</f>
        <v>0</v>
      </c>
      <c r="J65">
        <f>COUNTIF('Metrics - Articles'!F64,"*GCO – Platform Solutions*")</f>
        <v>0</v>
      </c>
      <c r="K65">
        <f>COUNTIF('Metrics - Articles'!F64,"*GCO – Industry Cloud *")</f>
        <v>0</v>
      </c>
      <c r="L65">
        <f>COUNTIF('Metrics - Articles'!F64,"*GCO – Customer Engagement &amp; Commerce (CRM &amp; hybris) *")</f>
        <v>0</v>
      </c>
      <c r="M65">
        <f>COUNTIF('Metrics - Articles'!F64,"*GCO – HR (SuccessFactors)*")</f>
        <v>0</v>
      </c>
      <c r="N65">
        <f>COUNTIF('Metrics - Articles'!F64,"*GCO – Services Sales*")</f>
        <v>0</v>
      </c>
      <c r="O65">
        <f>COUNTIF('Metrics - Articles'!F64,"*GCO – Other*")</f>
        <v>0</v>
      </c>
      <c r="P65">
        <f>COUNTIF('Metrics - Articles'!F64,"*Corporate*")</f>
        <v>1</v>
      </c>
      <c r="R65" s="53">
        <f t="shared" si="2"/>
        <v>1</v>
      </c>
    </row>
    <row r="66" spans="2:18" hidden="1" x14ac:dyDescent="0.25">
      <c r="B66" s="48">
        <f>+'Metrics - Articles'!C65</f>
        <v>42060</v>
      </c>
      <c r="C66">
        <f>COUNTIF('Metrics - Articles'!F65,"*GPO (Partner, Ecosystem, Channels)*")</f>
        <v>0</v>
      </c>
      <c r="D66">
        <f>COUNTIF('Metrics - Articles'!F65,"*Office of the CEO*")</f>
        <v>0</v>
      </c>
      <c r="E66">
        <f>COUNTIF('Metrics - Articles'!F65,"*Services Delivery &amp; Support (go-lives and deployments) *")</f>
        <v>0</v>
      </c>
      <c r="F66">
        <f>COUNTIF('Metrics - Articles'!F65,"*Human Resources (SAP HR and employee stories)*")</f>
        <v>0</v>
      </c>
      <c r="G66">
        <f>COUNTIF('Metrics - Articles'!F65,"*P&amp;I (Research &amp; Development)*")</f>
        <v>0</v>
      </c>
      <c r="H66">
        <f>COUNTIF('Metrics - Articles'!F65,"*Business Network (Concur, Ariba, Fieldglass)*")</f>
        <v>0</v>
      </c>
      <c r="I66">
        <f>COUNTIF('Metrics - Articles'!F65,"*GCO – Regions*")</f>
        <v>0</v>
      </c>
      <c r="J66">
        <f>COUNTIF('Metrics - Articles'!F65,"*GCO – Platform Solutions*")</f>
        <v>0</v>
      </c>
      <c r="K66">
        <f>COUNTIF('Metrics - Articles'!F65,"*GCO – Industry Cloud *")</f>
        <v>1</v>
      </c>
      <c r="L66">
        <f>COUNTIF('Metrics - Articles'!F65,"*GCO – Customer Engagement &amp; Commerce (CRM &amp; hybris) *")</f>
        <v>0</v>
      </c>
      <c r="M66">
        <f>COUNTIF('Metrics - Articles'!F65,"*GCO – HR (SuccessFactors)*")</f>
        <v>0</v>
      </c>
      <c r="N66">
        <f>COUNTIF('Metrics - Articles'!F65,"*GCO – Services Sales*")</f>
        <v>0</v>
      </c>
      <c r="O66">
        <f>COUNTIF('Metrics - Articles'!F65,"*GCO – Other*")</f>
        <v>0</v>
      </c>
      <c r="P66">
        <f>COUNTIF('Metrics - Articles'!F65,"*Corporate*")</f>
        <v>0</v>
      </c>
      <c r="R66" s="53">
        <f t="shared" si="2"/>
        <v>1</v>
      </c>
    </row>
    <row r="67" spans="2:18" hidden="1" x14ac:dyDescent="0.25">
      <c r="B67" s="48">
        <f>+'Metrics - Articles'!C66</f>
        <v>42060</v>
      </c>
      <c r="C67">
        <f>COUNTIF('Metrics - Articles'!F66,"*GPO (Partner, Ecosystem, Channels)*")</f>
        <v>0</v>
      </c>
      <c r="D67">
        <f>COUNTIF('Metrics - Articles'!F66,"*Office of the CEO*")</f>
        <v>0</v>
      </c>
      <c r="E67">
        <f>COUNTIF('Metrics - Articles'!F66,"*Services Delivery &amp; Support (go-lives and deployments) *")</f>
        <v>0</v>
      </c>
      <c r="F67">
        <f>COUNTIF('Metrics - Articles'!F66,"*Human Resources (SAP HR and employee stories)*")</f>
        <v>0</v>
      </c>
      <c r="G67">
        <f>COUNTIF('Metrics - Articles'!F66,"*P&amp;I (Research &amp; Development)*")</f>
        <v>0</v>
      </c>
      <c r="H67">
        <f>COUNTIF('Metrics - Articles'!F66,"*Business Network (Concur, Ariba, Fieldglass)*")</f>
        <v>0</v>
      </c>
      <c r="I67">
        <f>COUNTIF('Metrics - Articles'!F66,"*GCO – Regions*")</f>
        <v>0</v>
      </c>
      <c r="J67">
        <f>COUNTIF('Metrics - Articles'!F66,"*GCO – Platform Solutions*")</f>
        <v>1</v>
      </c>
      <c r="K67">
        <f>COUNTIF('Metrics - Articles'!F66,"*GCO – Industry Cloud *")</f>
        <v>0</v>
      </c>
      <c r="L67">
        <f>COUNTIF('Metrics - Articles'!F66,"*GCO – Customer Engagement &amp; Commerce (CRM &amp; hybris) *")</f>
        <v>0</v>
      </c>
      <c r="M67">
        <f>COUNTIF('Metrics - Articles'!F66,"*GCO – HR (SuccessFactors)*")</f>
        <v>0</v>
      </c>
      <c r="N67">
        <f>COUNTIF('Metrics - Articles'!F66,"*GCO – Services Sales*")</f>
        <v>0</v>
      </c>
      <c r="O67">
        <f>COUNTIF('Metrics - Articles'!F66,"*GCO – Other*")</f>
        <v>0</v>
      </c>
      <c r="P67">
        <f>COUNTIF('Metrics - Articles'!F66,"*Corporate*")</f>
        <v>0</v>
      </c>
      <c r="R67" s="53">
        <f t="shared" si="2"/>
        <v>1</v>
      </c>
    </row>
    <row r="68" spans="2:18" hidden="1" x14ac:dyDescent="0.25">
      <c r="B68" s="48">
        <f>+'Metrics - Articles'!C67</f>
        <v>42061</v>
      </c>
      <c r="C68">
        <f>COUNTIF('Metrics - Articles'!F67,"*GPO (Partner, Ecosystem, Channels)*")</f>
        <v>0</v>
      </c>
      <c r="D68">
        <f>COUNTIF('Metrics - Articles'!F67,"*Office of the CEO*")</f>
        <v>0</v>
      </c>
      <c r="E68">
        <f>COUNTIF('Metrics - Articles'!F67,"*Services Delivery &amp; Support (go-lives and deployments) *")</f>
        <v>0</v>
      </c>
      <c r="F68">
        <f>COUNTIF('Metrics - Articles'!F67,"*Human Resources (SAP HR and employee stories)*")</f>
        <v>1</v>
      </c>
      <c r="G68">
        <f>COUNTIF('Metrics - Articles'!F67,"*P&amp;I (Research &amp; Development)*")</f>
        <v>0</v>
      </c>
      <c r="H68">
        <f>COUNTIF('Metrics - Articles'!F67,"*Business Network (Concur, Ariba, Fieldglass)*")</f>
        <v>0</v>
      </c>
      <c r="I68">
        <f>COUNTIF('Metrics - Articles'!F67,"*GCO – Regions*")</f>
        <v>0</v>
      </c>
      <c r="J68">
        <f>COUNTIF('Metrics - Articles'!F67,"*GCO – Platform Solutions*")</f>
        <v>0</v>
      </c>
      <c r="K68">
        <f>COUNTIF('Metrics - Articles'!F67,"*GCO – Industry Cloud *")</f>
        <v>0</v>
      </c>
      <c r="L68">
        <f>COUNTIF('Metrics - Articles'!F67,"*GCO – Customer Engagement &amp; Commerce (CRM &amp; hybris) *")</f>
        <v>0</v>
      </c>
      <c r="M68">
        <f>COUNTIF('Metrics - Articles'!F67,"*GCO – HR (SuccessFactors)*")</f>
        <v>0</v>
      </c>
      <c r="N68">
        <f>COUNTIF('Metrics - Articles'!F67,"*GCO – Services Sales*")</f>
        <v>0</v>
      </c>
      <c r="O68">
        <f>COUNTIF('Metrics - Articles'!F67,"*GCO – Other*")</f>
        <v>0</v>
      </c>
      <c r="P68">
        <f>COUNTIF('Metrics - Articles'!F67,"*Corporate*")</f>
        <v>0</v>
      </c>
      <c r="R68" s="53">
        <f t="shared" si="2"/>
        <v>1</v>
      </c>
    </row>
    <row r="69" spans="2:18" hidden="1" x14ac:dyDescent="0.25">
      <c r="B69" s="48">
        <f>+'Metrics - Articles'!C68</f>
        <v>42062</v>
      </c>
      <c r="C69">
        <f>COUNTIF('Metrics - Articles'!F68,"*GPO (Partner, Ecosystem, Channels)*")</f>
        <v>0</v>
      </c>
      <c r="D69">
        <f>COUNTIF('Metrics - Articles'!F68,"*Office of the CEO*")</f>
        <v>0</v>
      </c>
      <c r="E69">
        <f>COUNTIF('Metrics - Articles'!F68,"*Services Delivery &amp; Support (go-lives and deployments) *")</f>
        <v>0</v>
      </c>
      <c r="F69">
        <f>COUNTIF('Metrics - Articles'!F68,"*Human Resources (SAP HR and employee stories)*")</f>
        <v>1</v>
      </c>
      <c r="G69">
        <f>COUNTIF('Metrics - Articles'!F68,"*P&amp;I (Research &amp; Development)*")</f>
        <v>0</v>
      </c>
      <c r="H69">
        <f>COUNTIF('Metrics - Articles'!F68,"*Business Network (Concur, Ariba, Fieldglass)*")</f>
        <v>0</v>
      </c>
      <c r="I69">
        <f>COUNTIF('Metrics - Articles'!F68,"*GCO – Regions*")</f>
        <v>0</v>
      </c>
      <c r="J69">
        <f>COUNTIF('Metrics - Articles'!F68,"*GCO – Platform Solutions*")</f>
        <v>0</v>
      </c>
      <c r="K69">
        <f>COUNTIF('Metrics - Articles'!F68,"*GCO – Industry Cloud *")</f>
        <v>0</v>
      </c>
      <c r="L69">
        <f>COUNTIF('Metrics - Articles'!F68,"*GCO – Customer Engagement &amp; Commerce (CRM &amp; hybris) *")</f>
        <v>0</v>
      </c>
      <c r="M69">
        <f>COUNTIF('Metrics - Articles'!F68,"*GCO – HR (SuccessFactors)*")</f>
        <v>0</v>
      </c>
      <c r="N69">
        <f>COUNTIF('Metrics - Articles'!F68,"*GCO – Services Sales*")</f>
        <v>0</v>
      </c>
      <c r="O69">
        <f>COUNTIF('Metrics - Articles'!F68,"*GCO – Other*")</f>
        <v>0</v>
      </c>
      <c r="P69">
        <f>COUNTIF('Metrics - Articles'!F68,"*Corporate*")</f>
        <v>0</v>
      </c>
      <c r="R69" s="53">
        <f t="shared" si="2"/>
        <v>1</v>
      </c>
    </row>
    <row r="70" spans="2:18" hidden="1" x14ac:dyDescent="0.25">
      <c r="B70" s="48">
        <f>+'Metrics - Articles'!C69</f>
        <v>42062</v>
      </c>
      <c r="C70">
        <f>COUNTIF('Metrics - Articles'!F69,"*GPO (Partner, Ecosystem, Channels)*")</f>
        <v>0</v>
      </c>
      <c r="D70">
        <f>COUNTIF('Metrics - Articles'!F69,"*Office of the CEO*")</f>
        <v>0</v>
      </c>
      <c r="E70">
        <f>COUNTIF('Metrics - Articles'!F69,"*Services Delivery &amp; Support (go-lives and deployments) *")</f>
        <v>0</v>
      </c>
      <c r="F70">
        <f>COUNTIF('Metrics - Articles'!F69,"*Human Resources (SAP HR and employee stories)*")</f>
        <v>1</v>
      </c>
      <c r="G70">
        <f>COUNTIF('Metrics - Articles'!F69,"*P&amp;I (Research &amp; Development)*")</f>
        <v>0</v>
      </c>
      <c r="H70">
        <f>COUNTIF('Metrics - Articles'!F69,"*Business Network (Concur, Ariba, Fieldglass)*")</f>
        <v>0</v>
      </c>
      <c r="I70">
        <f>COUNTIF('Metrics - Articles'!F69,"*GCO – Regions*")</f>
        <v>0</v>
      </c>
      <c r="J70">
        <f>COUNTIF('Metrics - Articles'!F69,"*GCO – Platform Solutions*")</f>
        <v>0</v>
      </c>
      <c r="K70">
        <f>COUNTIF('Metrics - Articles'!F69,"*GCO – Industry Cloud *")</f>
        <v>0</v>
      </c>
      <c r="L70">
        <f>COUNTIF('Metrics - Articles'!F69,"*GCO – Customer Engagement &amp; Commerce (CRM &amp; hybris) *")</f>
        <v>0</v>
      </c>
      <c r="M70">
        <f>COUNTIF('Metrics - Articles'!F69,"*GCO – HR (SuccessFactors)*")</f>
        <v>0</v>
      </c>
      <c r="N70">
        <f>COUNTIF('Metrics - Articles'!F69,"*GCO – Services Sales*")</f>
        <v>0</v>
      </c>
      <c r="O70">
        <f>COUNTIF('Metrics - Articles'!F69,"*GCO – Other*")</f>
        <v>0</v>
      </c>
      <c r="P70">
        <f>COUNTIF('Metrics - Articles'!F69,"*Corporate*")</f>
        <v>0</v>
      </c>
      <c r="R70" s="53">
        <f t="shared" si="2"/>
        <v>1</v>
      </c>
    </row>
    <row r="71" spans="2:18" hidden="1" x14ac:dyDescent="0.25">
      <c r="B71" s="48">
        <f>+'Metrics - Articles'!C70</f>
        <v>42065</v>
      </c>
      <c r="C71">
        <f>COUNTIF('Metrics - Articles'!F70,"*GPO (Partner, Ecosystem, Channels)*")</f>
        <v>0</v>
      </c>
      <c r="D71">
        <f>COUNTIF('Metrics - Articles'!F70,"*Office of the CEO*")</f>
        <v>0</v>
      </c>
      <c r="E71">
        <f>COUNTIF('Metrics - Articles'!F70,"*Services Delivery &amp; Support (go-lives and deployments) *")</f>
        <v>0</v>
      </c>
      <c r="F71">
        <f>COUNTIF('Metrics - Articles'!F70,"*Human Resources (SAP HR and employee stories)*")</f>
        <v>0</v>
      </c>
      <c r="G71">
        <f>COUNTIF('Metrics - Articles'!F70,"*P&amp;I (Research &amp; Development)*")</f>
        <v>1</v>
      </c>
      <c r="H71">
        <f>COUNTIF('Metrics - Articles'!F70,"*Business Network (Concur, Ariba, Fieldglass)*")</f>
        <v>0</v>
      </c>
      <c r="I71">
        <f>COUNTIF('Metrics - Articles'!F70,"*GCO – Regions*")</f>
        <v>0</v>
      </c>
      <c r="J71">
        <f>COUNTIF('Metrics - Articles'!F70,"*GCO – Platform Solutions*")</f>
        <v>0</v>
      </c>
      <c r="K71">
        <f>COUNTIF('Metrics - Articles'!F70,"*GCO – Industry Cloud *")</f>
        <v>0</v>
      </c>
      <c r="L71">
        <f>COUNTIF('Metrics - Articles'!F70,"*GCO – Customer Engagement &amp; Commerce (CRM &amp; hybris) *")</f>
        <v>0</v>
      </c>
      <c r="M71">
        <f>COUNTIF('Metrics - Articles'!F70,"*GCO – HR (SuccessFactors)*")</f>
        <v>0</v>
      </c>
      <c r="N71">
        <f>COUNTIF('Metrics - Articles'!F70,"*GCO – Services Sales*")</f>
        <v>0</v>
      </c>
      <c r="O71">
        <f>COUNTIF('Metrics - Articles'!F70,"*GCO – Other*")</f>
        <v>0</v>
      </c>
      <c r="P71">
        <f>COUNTIF('Metrics - Articles'!F70,"*Corporate*")</f>
        <v>0</v>
      </c>
      <c r="R71" s="53">
        <f t="shared" si="2"/>
        <v>1</v>
      </c>
    </row>
    <row r="72" spans="2:18" hidden="1" x14ac:dyDescent="0.25">
      <c r="B72" s="48">
        <f>+'Metrics - Articles'!C71</f>
        <v>42065</v>
      </c>
      <c r="C72">
        <f>COUNTIF('Metrics - Articles'!F71,"*GPO (Partner, Ecosystem, Channels)*")</f>
        <v>0</v>
      </c>
      <c r="D72">
        <f>COUNTIF('Metrics - Articles'!F71,"*Office of the CEO*")</f>
        <v>0</v>
      </c>
      <c r="E72">
        <f>COUNTIF('Metrics - Articles'!F71,"*Services Delivery &amp; Support (go-lives and deployments) *")</f>
        <v>0</v>
      </c>
      <c r="F72">
        <f>COUNTIF('Metrics - Articles'!F71,"*Human Resources (SAP HR and employee stories)*")</f>
        <v>0</v>
      </c>
      <c r="G72">
        <f>COUNTIF('Metrics - Articles'!F71,"*P&amp;I (Research &amp; Development)*")</f>
        <v>0</v>
      </c>
      <c r="H72">
        <f>COUNTIF('Metrics - Articles'!F71,"*Business Network (Concur, Ariba, Fieldglass)*")</f>
        <v>0</v>
      </c>
      <c r="I72">
        <f>COUNTIF('Metrics - Articles'!F71,"*GCO – Regions*")</f>
        <v>0</v>
      </c>
      <c r="J72">
        <f>COUNTIF('Metrics - Articles'!F71,"*GCO – Platform Solutions*")</f>
        <v>1</v>
      </c>
      <c r="K72">
        <f>COUNTIF('Metrics - Articles'!F71,"*GCO – Industry Cloud *")</f>
        <v>0</v>
      </c>
      <c r="L72">
        <f>COUNTIF('Metrics - Articles'!F71,"*GCO – Customer Engagement &amp; Commerce (CRM &amp; hybris) *")</f>
        <v>0</v>
      </c>
      <c r="M72">
        <f>COUNTIF('Metrics - Articles'!F71,"*GCO – HR (SuccessFactors)*")</f>
        <v>0</v>
      </c>
      <c r="N72">
        <f>COUNTIF('Metrics - Articles'!F71,"*GCO – Services Sales*")</f>
        <v>0</v>
      </c>
      <c r="O72">
        <f>COUNTIF('Metrics - Articles'!F71,"*GCO – Other*")</f>
        <v>0</v>
      </c>
      <c r="P72">
        <f>COUNTIF('Metrics - Articles'!F71,"*Corporate*")</f>
        <v>0</v>
      </c>
      <c r="R72" s="53">
        <f t="shared" si="2"/>
        <v>1</v>
      </c>
    </row>
    <row r="73" spans="2:18" hidden="1" x14ac:dyDescent="0.25">
      <c r="B73" s="48">
        <f>+'Metrics - Articles'!C72</f>
        <v>42065</v>
      </c>
      <c r="C73">
        <f>COUNTIF('Metrics - Articles'!F72,"*GPO (Partner, Ecosystem, Channels)*")</f>
        <v>0</v>
      </c>
      <c r="D73">
        <f>COUNTIF('Metrics - Articles'!F72,"*Office of the CEO*")</f>
        <v>0</v>
      </c>
      <c r="E73">
        <f>COUNTIF('Metrics - Articles'!F72,"*Services Delivery &amp; Support (go-lives and deployments) *")</f>
        <v>0</v>
      </c>
      <c r="F73">
        <f>COUNTIF('Metrics - Articles'!F72,"*Human Resources (SAP HR and employee stories)*")</f>
        <v>0</v>
      </c>
      <c r="G73">
        <f>COUNTIF('Metrics - Articles'!F72,"*P&amp;I (Research &amp; Development)*")</f>
        <v>0</v>
      </c>
      <c r="H73">
        <f>COUNTIF('Metrics - Articles'!F72,"*Business Network (Concur, Ariba, Fieldglass)*")</f>
        <v>0</v>
      </c>
      <c r="I73">
        <f>COUNTIF('Metrics - Articles'!F72,"*GCO – Regions*")</f>
        <v>0</v>
      </c>
      <c r="J73">
        <f>COUNTIF('Metrics - Articles'!F72,"*GCO – Platform Solutions*")</f>
        <v>1</v>
      </c>
      <c r="K73">
        <f>COUNTIF('Metrics - Articles'!F72,"*GCO – Industry Cloud *")</f>
        <v>0</v>
      </c>
      <c r="L73">
        <f>COUNTIF('Metrics - Articles'!F72,"*GCO – Customer Engagement &amp; Commerce (CRM &amp; hybris) *")</f>
        <v>0</v>
      </c>
      <c r="M73">
        <f>COUNTIF('Metrics - Articles'!F72,"*GCO – HR (SuccessFactors)*")</f>
        <v>0</v>
      </c>
      <c r="N73">
        <f>COUNTIF('Metrics - Articles'!F72,"*GCO – Services Sales*")</f>
        <v>0</v>
      </c>
      <c r="O73">
        <f>COUNTIF('Metrics - Articles'!F72,"*GCO – Other*")</f>
        <v>0</v>
      </c>
      <c r="P73">
        <f>COUNTIF('Metrics - Articles'!F72,"*Corporate*")</f>
        <v>0</v>
      </c>
      <c r="R73" s="53">
        <f t="shared" si="2"/>
        <v>1</v>
      </c>
    </row>
    <row r="74" spans="2:18" hidden="1" x14ac:dyDescent="0.25">
      <c r="B74" s="48">
        <f>+'Metrics - Articles'!C73</f>
        <v>42065</v>
      </c>
      <c r="C74">
        <f>COUNTIF('Metrics - Articles'!F73,"*GPO (Partner, Ecosystem, Channels)*")</f>
        <v>0</v>
      </c>
      <c r="D74">
        <f>COUNTIF('Metrics - Articles'!F73,"*Office of the CEO*")</f>
        <v>0</v>
      </c>
      <c r="E74">
        <f>COUNTIF('Metrics - Articles'!F73,"*Services Delivery &amp; Support (go-lives and deployments) *")</f>
        <v>0</v>
      </c>
      <c r="F74">
        <f>COUNTIF('Metrics - Articles'!F73,"*Human Resources (SAP HR and employee stories)*")</f>
        <v>0</v>
      </c>
      <c r="G74">
        <f>COUNTIF('Metrics - Articles'!F73,"*P&amp;I (Research &amp; Development)*")</f>
        <v>0</v>
      </c>
      <c r="H74">
        <f>COUNTIF('Metrics - Articles'!F73,"*Business Network (Concur, Ariba, Fieldglass)*")</f>
        <v>0</v>
      </c>
      <c r="I74">
        <f>COUNTIF('Metrics - Articles'!F73,"*GCO – Regions*")</f>
        <v>1</v>
      </c>
      <c r="J74">
        <f>COUNTIF('Metrics - Articles'!F73,"*GCO – Platform Solutions*")</f>
        <v>0</v>
      </c>
      <c r="K74">
        <f>COUNTIF('Metrics - Articles'!F73,"*GCO – Industry Cloud *")</f>
        <v>0</v>
      </c>
      <c r="L74">
        <f>COUNTIF('Metrics - Articles'!F73,"*GCO – Customer Engagement &amp; Commerce (CRM &amp; hybris) *")</f>
        <v>0</v>
      </c>
      <c r="M74">
        <f>COUNTIF('Metrics - Articles'!F73,"*GCO – HR (SuccessFactors)*")</f>
        <v>0</v>
      </c>
      <c r="N74">
        <f>COUNTIF('Metrics - Articles'!F73,"*GCO – Services Sales*")</f>
        <v>0</v>
      </c>
      <c r="O74">
        <f>COUNTIF('Metrics - Articles'!F73,"*GCO – Other*")</f>
        <v>0</v>
      </c>
      <c r="P74">
        <f>COUNTIF('Metrics - Articles'!F73,"*Corporate*")</f>
        <v>0</v>
      </c>
      <c r="R74" s="53">
        <f t="shared" ref="R74:R137" si="3">SUM(C74:Q74)</f>
        <v>1</v>
      </c>
    </row>
    <row r="75" spans="2:18" hidden="1" x14ac:dyDescent="0.25">
      <c r="B75" s="48">
        <f>+'Metrics - Articles'!C74</f>
        <v>42066</v>
      </c>
      <c r="C75">
        <f>COUNTIF('Metrics - Articles'!F74,"*GPO (Partner, Ecosystem, Channels)*")</f>
        <v>0</v>
      </c>
      <c r="D75">
        <f>COUNTIF('Metrics - Articles'!F74,"*Office of the CEO*")</f>
        <v>0</v>
      </c>
      <c r="E75">
        <f>COUNTIF('Metrics - Articles'!F74,"*Services Delivery &amp; Support (go-lives and deployments) *")</f>
        <v>0</v>
      </c>
      <c r="F75">
        <f>COUNTIF('Metrics - Articles'!F74,"*Human Resources (SAP HR and employee stories)*")</f>
        <v>0</v>
      </c>
      <c r="G75">
        <f>COUNTIF('Metrics - Articles'!F74,"*P&amp;I (Research &amp; Development)*")</f>
        <v>0</v>
      </c>
      <c r="H75">
        <f>COUNTIF('Metrics - Articles'!F74,"*Business Network (Concur, Ariba, Fieldglass)*")</f>
        <v>0</v>
      </c>
      <c r="I75">
        <f>COUNTIF('Metrics - Articles'!F74,"*GCO – Regions*")</f>
        <v>0</v>
      </c>
      <c r="J75">
        <f>COUNTIF('Metrics - Articles'!F74,"*GCO – Platform Solutions*")</f>
        <v>1</v>
      </c>
      <c r="K75">
        <f>COUNTIF('Metrics - Articles'!F74,"*GCO – Industry Cloud *")</f>
        <v>0</v>
      </c>
      <c r="L75">
        <f>COUNTIF('Metrics - Articles'!F74,"*GCO – Customer Engagement &amp; Commerce (CRM &amp; hybris) *")</f>
        <v>0</v>
      </c>
      <c r="M75">
        <f>COUNTIF('Metrics - Articles'!F74,"*GCO – HR (SuccessFactors)*")</f>
        <v>0</v>
      </c>
      <c r="N75">
        <f>COUNTIF('Metrics - Articles'!F74,"*GCO – Services Sales*")</f>
        <v>0</v>
      </c>
      <c r="O75">
        <f>COUNTIF('Metrics - Articles'!F74,"*GCO – Other*")</f>
        <v>0</v>
      </c>
      <c r="P75">
        <f>COUNTIF('Metrics - Articles'!F74,"*Corporate*")</f>
        <v>0</v>
      </c>
      <c r="R75" s="53">
        <f t="shared" si="3"/>
        <v>1</v>
      </c>
    </row>
    <row r="76" spans="2:18" hidden="1" x14ac:dyDescent="0.25">
      <c r="B76" s="48">
        <f>+'Metrics - Articles'!C75</f>
        <v>42067</v>
      </c>
      <c r="C76">
        <f>COUNTIF('Metrics - Articles'!F75,"*GPO (Partner, Ecosystem, Channels)*")</f>
        <v>0</v>
      </c>
      <c r="D76">
        <f>COUNTIF('Metrics - Articles'!F75,"*Office of the CEO*")</f>
        <v>0</v>
      </c>
      <c r="E76">
        <f>COUNTIF('Metrics - Articles'!F75,"*Services Delivery &amp; Support (go-lives and deployments) *")</f>
        <v>0</v>
      </c>
      <c r="F76">
        <f>COUNTIF('Metrics - Articles'!F75,"*Human Resources (SAP HR and employee stories)*")</f>
        <v>1</v>
      </c>
      <c r="G76">
        <f>COUNTIF('Metrics - Articles'!F75,"*P&amp;I (Research &amp; Development)*")</f>
        <v>0</v>
      </c>
      <c r="H76">
        <f>COUNTIF('Metrics - Articles'!F75,"*Business Network (Concur, Ariba, Fieldglass)*")</f>
        <v>0</v>
      </c>
      <c r="I76">
        <f>COUNTIF('Metrics - Articles'!F75,"*GCO – Regions*")</f>
        <v>0</v>
      </c>
      <c r="J76">
        <f>COUNTIF('Metrics - Articles'!F75,"*GCO – Platform Solutions*")</f>
        <v>0</v>
      </c>
      <c r="K76">
        <f>COUNTIF('Metrics - Articles'!F75,"*GCO – Industry Cloud *")</f>
        <v>0</v>
      </c>
      <c r="L76">
        <f>COUNTIF('Metrics - Articles'!F75,"*GCO – Customer Engagement &amp; Commerce (CRM &amp; hybris) *")</f>
        <v>0</v>
      </c>
      <c r="M76">
        <f>COUNTIF('Metrics - Articles'!F75,"*GCO – HR (SuccessFactors)*")</f>
        <v>0</v>
      </c>
      <c r="N76">
        <f>COUNTIF('Metrics - Articles'!F75,"*GCO – Services Sales*")</f>
        <v>0</v>
      </c>
      <c r="O76">
        <f>COUNTIF('Metrics - Articles'!F75,"*GCO – Other*")</f>
        <v>0</v>
      </c>
      <c r="P76">
        <f>COUNTIF('Metrics - Articles'!F75,"*Corporate*")</f>
        <v>0</v>
      </c>
      <c r="R76" s="53">
        <f t="shared" si="3"/>
        <v>1</v>
      </c>
    </row>
    <row r="77" spans="2:18" hidden="1" x14ac:dyDescent="0.25">
      <c r="B77" s="48">
        <f>+'Metrics - Articles'!C76</f>
        <v>42067</v>
      </c>
      <c r="C77">
        <f>COUNTIF('Metrics - Articles'!F76,"*GPO (Partner, Ecosystem, Channels)*")</f>
        <v>0</v>
      </c>
      <c r="D77">
        <f>COUNTIF('Metrics - Articles'!F76,"*Office of the CEO*")</f>
        <v>0</v>
      </c>
      <c r="E77">
        <f>COUNTIF('Metrics - Articles'!F76,"*Services Delivery &amp; Support (go-lives and deployments) *")</f>
        <v>0</v>
      </c>
      <c r="F77">
        <f>COUNTIF('Metrics - Articles'!F76,"*Human Resources (SAP HR and employee stories)*")</f>
        <v>0</v>
      </c>
      <c r="G77">
        <f>COUNTIF('Metrics - Articles'!F76,"*P&amp;I (Research &amp; Development)*")</f>
        <v>1</v>
      </c>
      <c r="H77">
        <f>COUNTIF('Metrics - Articles'!F76,"*Business Network (Concur, Ariba, Fieldglass)*")</f>
        <v>0</v>
      </c>
      <c r="I77">
        <f>COUNTIF('Metrics - Articles'!F76,"*GCO – Regions*")</f>
        <v>0</v>
      </c>
      <c r="J77">
        <f>COUNTIF('Metrics - Articles'!F76,"*GCO – Platform Solutions*")</f>
        <v>0</v>
      </c>
      <c r="K77">
        <f>COUNTIF('Metrics - Articles'!F76,"*GCO – Industry Cloud *")</f>
        <v>0</v>
      </c>
      <c r="L77">
        <f>COUNTIF('Metrics - Articles'!F76,"*GCO – Customer Engagement &amp; Commerce (CRM &amp; hybris) *")</f>
        <v>0</v>
      </c>
      <c r="M77">
        <f>COUNTIF('Metrics - Articles'!F76,"*GCO – HR (SuccessFactors)*")</f>
        <v>0</v>
      </c>
      <c r="N77">
        <f>COUNTIF('Metrics - Articles'!F76,"*GCO – Services Sales*")</f>
        <v>0</v>
      </c>
      <c r="O77">
        <f>COUNTIF('Metrics - Articles'!F76,"*GCO – Other*")</f>
        <v>0</v>
      </c>
      <c r="P77">
        <f>COUNTIF('Metrics - Articles'!F76,"*Corporate*")</f>
        <v>0</v>
      </c>
      <c r="R77" s="53">
        <f t="shared" si="3"/>
        <v>1</v>
      </c>
    </row>
    <row r="78" spans="2:18" hidden="1" x14ac:dyDescent="0.25">
      <c r="B78" s="48">
        <f>+'Metrics - Articles'!C77</f>
        <v>42067</v>
      </c>
      <c r="C78">
        <f>COUNTIF('Metrics - Articles'!F77,"*GPO (Partner, Ecosystem, Channels)*")</f>
        <v>0</v>
      </c>
      <c r="D78">
        <f>COUNTIF('Metrics - Articles'!F77,"*Office of the CEO*")</f>
        <v>0</v>
      </c>
      <c r="E78">
        <f>COUNTIF('Metrics - Articles'!F77,"*Services Delivery &amp; Support (go-lives and deployments) *")</f>
        <v>0</v>
      </c>
      <c r="F78">
        <f>COUNTIF('Metrics - Articles'!F77,"*Human Resources (SAP HR and employee stories)*")</f>
        <v>0</v>
      </c>
      <c r="G78">
        <f>COUNTIF('Metrics - Articles'!F77,"*P&amp;I (Research &amp; Development)*")</f>
        <v>0</v>
      </c>
      <c r="H78">
        <f>COUNTIF('Metrics - Articles'!F77,"*Business Network (Concur, Ariba, Fieldglass)*")</f>
        <v>0</v>
      </c>
      <c r="I78">
        <f>COUNTIF('Metrics - Articles'!F77,"*GCO – Regions*")</f>
        <v>0</v>
      </c>
      <c r="J78">
        <f>COUNTIF('Metrics - Articles'!F77,"*GCO – Platform Solutions*")</f>
        <v>1</v>
      </c>
      <c r="K78">
        <f>COUNTIF('Metrics - Articles'!F77,"*GCO – Industry Cloud *")</f>
        <v>0</v>
      </c>
      <c r="L78">
        <f>COUNTIF('Metrics - Articles'!F77,"*GCO – Customer Engagement &amp; Commerce (CRM &amp; hybris) *")</f>
        <v>0</v>
      </c>
      <c r="M78">
        <f>COUNTIF('Metrics - Articles'!F77,"*GCO – HR (SuccessFactors)*")</f>
        <v>0</v>
      </c>
      <c r="N78">
        <f>COUNTIF('Metrics - Articles'!F77,"*GCO – Services Sales*")</f>
        <v>0</v>
      </c>
      <c r="O78">
        <f>COUNTIF('Metrics - Articles'!F77,"*GCO – Other*")</f>
        <v>0</v>
      </c>
      <c r="P78">
        <f>COUNTIF('Metrics - Articles'!F77,"*Corporate*")</f>
        <v>0</v>
      </c>
      <c r="R78" s="53">
        <f t="shared" si="3"/>
        <v>1</v>
      </c>
    </row>
    <row r="79" spans="2:18" hidden="1" x14ac:dyDescent="0.25">
      <c r="B79" s="48">
        <f>+'Metrics - Articles'!C78</f>
        <v>42068</v>
      </c>
      <c r="C79">
        <f>COUNTIF('Metrics - Articles'!F78,"*GPO (Partner, Ecosystem, Channels)*")</f>
        <v>0</v>
      </c>
      <c r="D79">
        <f>COUNTIF('Metrics - Articles'!F78,"*Office of the CEO*")</f>
        <v>0</v>
      </c>
      <c r="E79">
        <f>COUNTIF('Metrics - Articles'!F78,"*Services Delivery &amp; Support (go-lives and deployments) *")</f>
        <v>0</v>
      </c>
      <c r="F79">
        <f>COUNTIF('Metrics - Articles'!F78,"*Human Resources (SAP HR and employee stories)*")</f>
        <v>1</v>
      </c>
      <c r="G79">
        <f>COUNTIF('Metrics - Articles'!F78,"*P&amp;I (Research &amp; Development)*")</f>
        <v>0</v>
      </c>
      <c r="H79">
        <f>COUNTIF('Metrics - Articles'!F78,"*Business Network (Concur, Ariba, Fieldglass)*")</f>
        <v>0</v>
      </c>
      <c r="I79">
        <f>COUNTIF('Metrics - Articles'!F78,"*GCO – Regions*")</f>
        <v>0</v>
      </c>
      <c r="J79">
        <f>COUNTIF('Metrics - Articles'!F78,"*GCO – Platform Solutions*")</f>
        <v>0</v>
      </c>
      <c r="K79">
        <f>COUNTIF('Metrics - Articles'!F78,"*GCO – Industry Cloud *")</f>
        <v>0</v>
      </c>
      <c r="L79">
        <f>COUNTIF('Metrics - Articles'!F78,"*GCO – Customer Engagement &amp; Commerce (CRM &amp; hybris) *")</f>
        <v>0</v>
      </c>
      <c r="M79">
        <f>COUNTIF('Metrics - Articles'!F78,"*GCO – HR (SuccessFactors)*")</f>
        <v>0</v>
      </c>
      <c r="N79">
        <f>COUNTIF('Metrics - Articles'!F78,"*GCO – Services Sales*")</f>
        <v>0</v>
      </c>
      <c r="O79">
        <f>COUNTIF('Metrics - Articles'!F78,"*GCO – Other*")</f>
        <v>0</v>
      </c>
      <c r="P79">
        <f>COUNTIF('Metrics - Articles'!F78,"*Corporate*")</f>
        <v>0</v>
      </c>
      <c r="R79" s="53">
        <f t="shared" si="3"/>
        <v>1</v>
      </c>
    </row>
    <row r="80" spans="2:18" hidden="1" x14ac:dyDescent="0.25">
      <c r="B80" s="48">
        <f>+'Metrics - Articles'!C79</f>
        <v>42069</v>
      </c>
      <c r="C80">
        <f>COUNTIF('Metrics - Articles'!F79,"*GPO (Partner, Ecosystem, Channels)*")</f>
        <v>0</v>
      </c>
      <c r="D80">
        <f>COUNTIF('Metrics - Articles'!F79,"*Office of the CEO*")</f>
        <v>0</v>
      </c>
      <c r="E80">
        <f>COUNTIF('Metrics - Articles'!F79,"*Services Delivery &amp; Support (go-lives and deployments) *")</f>
        <v>0</v>
      </c>
      <c r="F80">
        <f>COUNTIF('Metrics - Articles'!F79,"*Human Resources (SAP HR and employee stories)*")</f>
        <v>1</v>
      </c>
      <c r="G80">
        <f>COUNTIF('Metrics - Articles'!F79,"*P&amp;I (Research &amp; Development)*")</f>
        <v>0</v>
      </c>
      <c r="H80">
        <f>COUNTIF('Metrics - Articles'!F79,"*Business Network (Concur, Ariba, Fieldglass)*")</f>
        <v>0</v>
      </c>
      <c r="I80">
        <f>COUNTIF('Metrics - Articles'!F79,"*GCO – Regions*")</f>
        <v>0</v>
      </c>
      <c r="J80">
        <f>COUNTIF('Metrics - Articles'!F79,"*GCO – Platform Solutions*")</f>
        <v>0</v>
      </c>
      <c r="K80">
        <f>COUNTIF('Metrics - Articles'!F79,"*GCO – Industry Cloud *")</f>
        <v>0</v>
      </c>
      <c r="L80">
        <f>COUNTIF('Metrics - Articles'!F79,"*GCO – Customer Engagement &amp; Commerce (CRM &amp; hybris) *")</f>
        <v>0</v>
      </c>
      <c r="M80">
        <f>COUNTIF('Metrics - Articles'!F79,"*GCO – HR (SuccessFactors)*")</f>
        <v>0</v>
      </c>
      <c r="N80">
        <f>COUNTIF('Metrics - Articles'!F79,"*GCO – Services Sales*")</f>
        <v>0</v>
      </c>
      <c r="O80">
        <f>COUNTIF('Metrics - Articles'!F79,"*GCO – Other*")</f>
        <v>0</v>
      </c>
      <c r="P80">
        <f>COUNTIF('Metrics - Articles'!F79,"*Corporate*")</f>
        <v>0</v>
      </c>
      <c r="R80" s="53">
        <f t="shared" si="3"/>
        <v>1</v>
      </c>
    </row>
    <row r="81" spans="2:18" hidden="1" x14ac:dyDescent="0.25">
      <c r="B81" s="48">
        <f>+'Metrics - Articles'!C80</f>
        <v>42069</v>
      </c>
      <c r="C81">
        <f>COUNTIF('Metrics - Articles'!F80,"*GPO (Partner, Ecosystem, Channels)*")</f>
        <v>0</v>
      </c>
      <c r="D81">
        <f>COUNTIF('Metrics - Articles'!F80,"*Office of the CEO*")</f>
        <v>0</v>
      </c>
      <c r="E81">
        <f>COUNTIF('Metrics - Articles'!F80,"*Services Delivery &amp; Support (go-lives and deployments) *")</f>
        <v>0</v>
      </c>
      <c r="F81">
        <f>COUNTIF('Metrics - Articles'!F80,"*Human Resources (SAP HR and employee stories)*")</f>
        <v>0</v>
      </c>
      <c r="G81">
        <f>COUNTIF('Metrics - Articles'!F80,"*P&amp;I (Research &amp; Development)*")</f>
        <v>1</v>
      </c>
      <c r="H81">
        <f>COUNTIF('Metrics - Articles'!F80,"*Business Network (Concur, Ariba, Fieldglass)*")</f>
        <v>0</v>
      </c>
      <c r="I81">
        <f>COUNTIF('Metrics - Articles'!F80,"*GCO – Regions*")</f>
        <v>0</v>
      </c>
      <c r="J81">
        <f>COUNTIF('Metrics - Articles'!F80,"*GCO – Platform Solutions*")</f>
        <v>0</v>
      </c>
      <c r="K81">
        <f>COUNTIF('Metrics - Articles'!F80,"*GCO – Industry Cloud *")</f>
        <v>0</v>
      </c>
      <c r="L81">
        <f>COUNTIF('Metrics - Articles'!F80,"*GCO – Customer Engagement &amp; Commerce (CRM &amp; hybris) *")</f>
        <v>0</v>
      </c>
      <c r="M81">
        <f>COUNTIF('Metrics - Articles'!F80,"*GCO – HR (SuccessFactors)*")</f>
        <v>0</v>
      </c>
      <c r="N81">
        <f>COUNTIF('Metrics - Articles'!F80,"*GCO – Services Sales*")</f>
        <v>0</v>
      </c>
      <c r="O81">
        <f>COUNTIF('Metrics - Articles'!F80,"*GCO – Other*")</f>
        <v>0</v>
      </c>
      <c r="P81">
        <f>COUNTIF('Metrics - Articles'!F80,"*Corporate*")</f>
        <v>0</v>
      </c>
      <c r="R81" s="53">
        <f t="shared" si="3"/>
        <v>1</v>
      </c>
    </row>
    <row r="82" spans="2:18" hidden="1" x14ac:dyDescent="0.25">
      <c r="B82" s="48">
        <f>+'Metrics - Articles'!C81</f>
        <v>42073</v>
      </c>
      <c r="C82">
        <f>COUNTIF('Metrics - Articles'!F81,"*GPO (Partner, Ecosystem, Channels)*")</f>
        <v>0</v>
      </c>
      <c r="D82">
        <f>COUNTIF('Metrics - Articles'!F81,"*Office of the CEO*")</f>
        <v>0</v>
      </c>
      <c r="E82">
        <f>COUNTIF('Metrics - Articles'!F81,"*Services Delivery &amp; Support (go-lives and deployments) *")</f>
        <v>0</v>
      </c>
      <c r="F82">
        <f>COUNTIF('Metrics - Articles'!F81,"*Human Resources (SAP HR and employee stories)*")</f>
        <v>1</v>
      </c>
      <c r="G82">
        <f>COUNTIF('Metrics - Articles'!F81,"*P&amp;I (Research &amp; Development)*")</f>
        <v>0</v>
      </c>
      <c r="H82">
        <f>COUNTIF('Metrics - Articles'!F81,"*Business Network (Concur, Ariba, Fieldglass)*")</f>
        <v>0</v>
      </c>
      <c r="I82">
        <f>COUNTIF('Metrics - Articles'!F81,"*GCO – Regions*")</f>
        <v>0</v>
      </c>
      <c r="J82">
        <f>COUNTIF('Metrics - Articles'!F81,"*GCO – Platform Solutions*")</f>
        <v>0</v>
      </c>
      <c r="K82">
        <f>COUNTIF('Metrics - Articles'!F81,"*GCO – Industry Cloud *")</f>
        <v>0</v>
      </c>
      <c r="L82">
        <f>COUNTIF('Metrics - Articles'!F81,"*GCO – Customer Engagement &amp; Commerce (CRM &amp; hybris) *")</f>
        <v>0</v>
      </c>
      <c r="M82">
        <f>COUNTIF('Metrics - Articles'!F81,"*GCO – HR (SuccessFactors)*")</f>
        <v>0</v>
      </c>
      <c r="N82">
        <f>COUNTIF('Metrics - Articles'!F81,"*GCO – Services Sales*")</f>
        <v>0</v>
      </c>
      <c r="O82">
        <f>COUNTIF('Metrics - Articles'!F81,"*GCO – Other*")</f>
        <v>0</v>
      </c>
      <c r="P82">
        <f>COUNTIF('Metrics - Articles'!F81,"*Corporate*")</f>
        <v>0</v>
      </c>
      <c r="R82" s="53">
        <f t="shared" si="3"/>
        <v>1</v>
      </c>
    </row>
    <row r="83" spans="2:18" hidden="1" x14ac:dyDescent="0.25">
      <c r="B83" s="48">
        <f>+'Metrics - Articles'!C82</f>
        <v>42073</v>
      </c>
      <c r="C83">
        <f>COUNTIF('Metrics - Articles'!F82,"*GPO (Partner, Ecosystem, Channels)*")</f>
        <v>0</v>
      </c>
      <c r="D83">
        <f>COUNTIF('Metrics - Articles'!F82,"*Office of the CEO*")</f>
        <v>0</v>
      </c>
      <c r="E83">
        <f>COUNTIF('Metrics - Articles'!F82,"*Services Delivery &amp; Support (go-lives and deployments) *")</f>
        <v>0</v>
      </c>
      <c r="F83">
        <f>COUNTIF('Metrics - Articles'!F82,"*Human Resources (SAP HR and employee stories)*")</f>
        <v>0</v>
      </c>
      <c r="G83">
        <f>COUNTIF('Metrics - Articles'!F82,"*P&amp;I (Research &amp; Development)*")</f>
        <v>0</v>
      </c>
      <c r="H83">
        <f>COUNTIF('Metrics - Articles'!F82,"*Business Network (Concur, Ariba, Fieldglass)*")</f>
        <v>0</v>
      </c>
      <c r="I83">
        <f>COUNTIF('Metrics - Articles'!F82,"*GCO – Regions*")</f>
        <v>0</v>
      </c>
      <c r="J83">
        <f>COUNTIF('Metrics - Articles'!F82,"*GCO – Platform Solutions*")</f>
        <v>0</v>
      </c>
      <c r="K83">
        <f>COUNTIF('Metrics - Articles'!F82,"*GCO – Industry Cloud *")</f>
        <v>0</v>
      </c>
      <c r="L83">
        <f>COUNTIF('Metrics - Articles'!F82,"*GCO – Customer Engagement &amp; Commerce (CRM &amp; hybris) *")</f>
        <v>0</v>
      </c>
      <c r="M83">
        <f>COUNTIF('Metrics - Articles'!F82,"*GCO – HR (SuccessFactors)*")</f>
        <v>0</v>
      </c>
      <c r="N83">
        <f>COUNTIF('Metrics - Articles'!F82,"*GCO – Services Sales*")</f>
        <v>1</v>
      </c>
      <c r="O83">
        <f>COUNTIF('Metrics - Articles'!F82,"*GCO – Other*")</f>
        <v>0</v>
      </c>
      <c r="P83">
        <f>COUNTIF('Metrics - Articles'!F82,"*Corporate*")</f>
        <v>0</v>
      </c>
      <c r="R83" s="53">
        <f t="shared" si="3"/>
        <v>1</v>
      </c>
    </row>
    <row r="84" spans="2:18" hidden="1" x14ac:dyDescent="0.25">
      <c r="B84" s="48">
        <f>+'Metrics - Articles'!C83</f>
        <v>42074</v>
      </c>
      <c r="C84">
        <f>COUNTIF('Metrics - Articles'!F83,"*GPO (Partner, Ecosystem, Channels)*")</f>
        <v>0</v>
      </c>
      <c r="D84">
        <f>COUNTIF('Metrics - Articles'!F83,"*Office of the CEO*")</f>
        <v>0</v>
      </c>
      <c r="E84">
        <f>COUNTIF('Metrics - Articles'!F83,"*Services Delivery &amp; Support (go-lives and deployments) *")</f>
        <v>0</v>
      </c>
      <c r="F84">
        <f>COUNTIF('Metrics - Articles'!F83,"*Human Resources (SAP HR and employee stories)*")</f>
        <v>0</v>
      </c>
      <c r="G84">
        <f>COUNTIF('Metrics - Articles'!F83,"*P&amp;I (Research &amp; Development)*")</f>
        <v>0</v>
      </c>
      <c r="H84">
        <f>COUNTIF('Metrics - Articles'!F83,"*Business Network (Concur, Ariba, Fieldglass)*")</f>
        <v>0</v>
      </c>
      <c r="I84">
        <f>COUNTIF('Metrics - Articles'!F83,"*GCO – Regions*")</f>
        <v>0</v>
      </c>
      <c r="J84">
        <f>COUNTIF('Metrics - Articles'!F83,"*GCO – Platform Solutions*")</f>
        <v>1</v>
      </c>
      <c r="K84">
        <f>COUNTIF('Metrics - Articles'!F83,"*GCO – Industry Cloud *")</f>
        <v>0</v>
      </c>
      <c r="L84">
        <f>COUNTIF('Metrics - Articles'!F83,"*GCO – Customer Engagement &amp; Commerce (CRM &amp; hybris) *")</f>
        <v>0</v>
      </c>
      <c r="M84">
        <f>COUNTIF('Metrics - Articles'!F83,"*GCO – HR (SuccessFactors)*")</f>
        <v>0</v>
      </c>
      <c r="N84">
        <f>COUNTIF('Metrics - Articles'!F83,"*GCO – Services Sales*")</f>
        <v>0</v>
      </c>
      <c r="O84">
        <f>COUNTIF('Metrics - Articles'!F83,"*GCO – Other*")</f>
        <v>0</v>
      </c>
      <c r="P84">
        <f>COUNTIF('Metrics - Articles'!F83,"*Corporate*")</f>
        <v>0</v>
      </c>
      <c r="R84" s="53">
        <f t="shared" si="3"/>
        <v>1</v>
      </c>
    </row>
    <row r="85" spans="2:18" hidden="1" x14ac:dyDescent="0.25">
      <c r="B85" s="48">
        <f>+'Metrics - Articles'!C84</f>
        <v>42074</v>
      </c>
      <c r="C85">
        <f>COUNTIF('Metrics - Articles'!F84,"*GPO (Partner, Ecosystem, Channels)*")</f>
        <v>0</v>
      </c>
      <c r="D85">
        <f>COUNTIF('Metrics - Articles'!F84,"*Office of the CEO*")</f>
        <v>0</v>
      </c>
      <c r="E85">
        <f>COUNTIF('Metrics - Articles'!F84,"*Services Delivery &amp; Support (go-lives and deployments) *")</f>
        <v>0</v>
      </c>
      <c r="F85">
        <f>COUNTIF('Metrics - Articles'!F84,"*Human Resources (SAP HR and employee stories)*")</f>
        <v>0</v>
      </c>
      <c r="G85">
        <f>COUNTIF('Metrics - Articles'!F84,"*P&amp;I (Research &amp; Development)*")</f>
        <v>0</v>
      </c>
      <c r="H85">
        <f>COUNTIF('Metrics - Articles'!F84,"*Business Network (Concur, Ariba, Fieldglass)*")</f>
        <v>0</v>
      </c>
      <c r="I85">
        <f>COUNTIF('Metrics - Articles'!F84,"*GCO – Regions*")</f>
        <v>0</v>
      </c>
      <c r="J85">
        <f>COUNTIF('Metrics - Articles'!F84,"*GCO – Platform Solutions*")</f>
        <v>0</v>
      </c>
      <c r="K85">
        <f>COUNTIF('Metrics - Articles'!F84,"*GCO – Industry Cloud *")</f>
        <v>1</v>
      </c>
      <c r="L85">
        <f>COUNTIF('Metrics - Articles'!F84,"*GCO – Customer Engagement &amp; Commerce (CRM &amp; hybris) *")</f>
        <v>0</v>
      </c>
      <c r="M85">
        <f>COUNTIF('Metrics - Articles'!F84,"*GCO – HR (SuccessFactors)*")</f>
        <v>0</v>
      </c>
      <c r="N85">
        <f>COUNTIF('Metrics - Articles'!F84,"*GCO – Services Sales*")</f>
        <v>0</v>
      </c>
      <c r="O85">
        <f>COUNTIF('Metrics - Articles'!F84,"*GCO – Other*")</f>
        <v>0</v>
      </c>
      <c r="P85">
        <f>COUNTIF('Metrics - Articles'!F84,"*Corporate*")</f>
        <v>0</v>
      </c>
      <c r="R85" s="53">
        <f t="shared" si="3"/>
        <v>1</v>
      </c>
    </row>
    <row r="86" spans="2:18" hidden="1" x14ac:dyDescent="0.25">
      <c r="B86" s="48">
        <f>+'Metrics - Articles'!C85</f>
        <v>42075</v>
      </c>
      <c r="C86">
        <f>COUNTIF('Metrics - Articles'!F85,"*GPO (Partner, Ecosystem, Channels)*")</f>
        <v>0</v>
      </c>
      <c r="D86">
        <f>COUNTIF('Metrics - Articles'!F85,"*Office of the CEO*")</f>
        <v>0</v>
      </c>
      <c r="E86">
        <f>COUNTIF('Metrics - Articles'!F85,"*Services Delivery &amp; Support (go-lives and deployments) *")</f>
        <v>0</v>
      </c>
      <c r="F86">
        <f>COUNTIF('Metrics - Articles'!F85,"*Human Resources (SAP HR and employee stories)*")</f>
        <v>1</v>
      </c>
      <c r="G86">
        <f>COUNTIF('Metrics - Articles'!F85,"*P&amp;I (Research &amp; Development)*")</f>
        <v>0</v>
      </c>
      <c r="H86">
        <f>COUNTIF('Metrics - Articles'!F85,"*Business Network (Concur, Ariba, Fieldglass)*")</f>
        <v>0</v>
      </c>
      <c r="I86">
        <f>COUNTIF('Metrics - Articles'!F85,"*GCO – Regions*")</f>
        <v>0</v>
      </c>
      <c r="J86">
        <f>COUNTIF('Metrics - Articles'!F85,"*GCO – Platform Solutions*")</f>
        <v>0</v>
      </c>
      <c r="K86">
        <f>COUNTIF('Metrics - Articles'!F85,"*GCO – Industry Cloud *")</f>
        <v>0</v>
      </c>
      <c r="L86">
        <f>COUNTIF('Metrics - Articles'!F85,"*GCO – Customer Engagement &amp; Commerce (CRM &amp; hybris) *")</f>
        <v>0</v>
      </c>
      <c r="M86">
        <f>COUNTIF('Metrics - Articles'!F85,"*GCO – HR (SuccessFactors)*")</f>
        <v>0</v>
      </c>
      <c r="N86">
        <f>COUNTIF('Metrics - Articles'!F85,"*GCO – Services Sales*")</f>
        <v>0</v>
      </c>
      <c r="O86">
        <f>COUNTIF('Metrics - Articles'!F85,"*GCO – Other*")</f>
        <v>0</v>
      </c>
      <c r="P86">
        <f>COUNTIF('Metrics - Articles'!F85,"*Corporate*")</f>
        <v>0</v>
      </c>
      <c r="R86" s="53">
        <f t="shared" si="3"/>
        <v>1</v>
      </c>
    </row>
    <row r="87" spans="2:18" hidden="1" x14ac:dyDescent="0.25">
      <c r="B87" s="48">
        <f>+'Metrics - Articles'!C86</f>
        <v>42076</v>
      </c>
      <c r="C87">
        <f>COUNTIF('Metrics - Articles'!F86,"*GPO (Partner, Ecosystem, Channels)*")</f>
        <v>0</v>
      </c>
      <c r="D87">
        <f>COUNTIF('Metrics - Articles'!F86,"*Office of the CEO*")</f>
        <v>0</v>
      </c>
      <c r="E87">
        <f>COUNTIF('Metrics - Articles'!F86,"*Services Delivery &amp; Support (go-lives and deployments) *")</f>
        <v>0</v>
      </c>
      <c r="F87">
        <f>COUNTIF('Metrics - Articles'!F86,"*Human Resources (SAP HR and employee stories)*")</f>
        <v>1</v>
      </c>
      <c r="G87">
        <f>COUNTIF('Metrics - Articles'!F86,"*P&amp;I (Research &amp; Development)*")</f>
        <v>0</v>
      </c>
      <c r="H87">
        <f>COUNTIF('Metrics - Articles'!F86,"*Business Network (Concur, Ariba, Fieldglass)*")</f>
        <v>0</v>
      </c>
      <c r="I87">
        <f>COUNTIF('Metrics - Articles'!F86,"*GCO – Regions*")</f>
        <v>0</v>
      </c>
      <c r="J87">
        <f>COUNTIF('Metrics - Articles'!F86,"*GCO – Platform Solutions*")</f>
        <v>0</v>
      </c>
      <c r="K87">
        <f>COUNTIF('Metrics - Articles'!F86,"*GCO – Industry Cloud *")</f>
        <v>0</v>
      </c>
      <c r="L87">
        <f>COUNTIF('Metrics - Articles'!F86,"*GCO – Customer Engagement &amp; Commerce (CRM &amp; hybris) *")</f>
        <v>0</v>
      </c>
      <c r="M87">
        <f>COUNTIF('Metrics - Articles'!F86,"*GCO – HR (SuccessFactors)*")</f>
        <v>0</v>
      </c>
      <c r="N87">
        <f>COUNTIF('Metrics - Articles'!F86,"*GCO – Services Sales*")</f>
        <v>0</v>
      </c>
      <c r="O87">
        <f>COUNTIF('Metrics - Articles'!F86,"*GCO – Other*")</f>
        <v>0</v>
      </c>
      <c r="P87">
        <f>COUNTIF('Metrics - Articles'!F86,"*Corporate*")</f>
        <v>0</v>
      </c>
      <c r="R87" s="53">
        <f t="shared" si="3"/>
        <v>1</v>
      </c>
    </row>
    <row r="88" spans="2:18" hidden="1" x14ac:dyDescent="0.25">
      <c r="B88" s="48">
        <f>+'Metrics - Articles'!C87</f>
        <v>42076</v>
      </c>
      <c r="C88">
        <f>COUNTIF('Metrics - Articles'!F87,"*GPO (Partner, Ecosystem, Channels)*")</f>
        <v>0</v>
      </c>
      <c r="D88">
        <f>COUNTIF('Metrics - Articles'!F87,"*Office of the CEO*")</f>
        <v>0</v>
      </c>
      <c r="E88">
        <f>COUNTIF('Metrics - Articles'!F87,"*Services Delivery &amp; Support (go-lives and deployments) *")</f>
        <v>0</v>
      </c>
      <c r="F88">
        <f>COUNTIF('Metrics - Articles'!F87,"*Human Resources (SAP HR and employee stories)*")</f>
        <v>1</v>
      </c>
      <c r="G88">
        <f>COUNTIF('Metrics - Articles'!F87,"*P&amp;I (Research &amp; Development)*")</f>
        <v>0</v>
      </c>
      <c r="H88">
        <f>COUNTIF('Metrics - Articles'!F87,"*Business Network (Concur, Ariba, Fieldglass)*")</f>
        <v>0</v>
      </c>
      <c r="I88">
        <f>COUNTIF('Metrics - Articles'!F87,"*GCO – Regions*")</f>
        <v>0</v>
      </c>
      <c r="J88">
        <f>COUNTIF('Metrics - Articles'!F87,"*GCO – Platform Solutions*")</f>
        <v>0</v>
      </c>
      <c r="K88">
        <f>COUNTIF('Metrics - Articles'!F87,"*GCO – Industry Cloud *")</f>
        <v>0</v>
      </c>
      <c r="L88">
        <f>COUNTIF('Metrics - Articles'!F87,"*GCO – Customer Engagement &amp; Commerce (CRM &amp; hybris) *")</f>
        <v>0</v>
      </c>
      <c r="M88">
        <f>COUNTIF('Metrics - Articles'!F87,"*GCO – HR (SuccessFactors)*")</f>
        <v>0</v>
      </c>
      <c r="N88">
        <f>COUNTIF('Metrics - Articles'!F87,"*GCO – Services Sales*")</f>
        <v>0</v>
      </c>
      <c r="O88">
        <f>COUNTIF('Metrics - Articles'!F87,"*GCO – Other*")</f>
        <v>0</v>
      </c>
      <c r="P88">
        <f>COUNTIF('Metrics - Articles'!F87,"*Corporate*")</f>
        <v>0</v>
      </c>
      <c r="R88" s="53">
        <f t="shared" si="3"/>
        <v>1</v>
      </c>
    </row>
    <row r="89" spans="2:18" hidden="1" x14ac:dyDescent="0.25">
      <c r="B89" s="48">
        <f>+'Metrics - Articles'!C88</f>
        <v>42079</v>
      </c>
      <c r="C89">
        <f>COUNTIF('Metrics - Articles'!F88,"*GPO (Partner, Ecosystem, Channels)*")</f>
        <v>0</v>
      </c>
      <c r="D89">
        <f>COUNTIF('Metrics - Articles'!F88,"*Office of the CEO*")</f>
        <v>0</v>
      </c>
      <c r="E89">
        <f>COUNTIF('Metrics - Articles'!F88,"*Services Delivery &amp; Support (go-lives and deployments) *")</f>
        <v>0</v>
      </c>
      <c r="F89">
        <f>COUNTIF('Metrics - Articles'!F88,"*Human Resources (SAP HR and employee stories)*")</f>
        <v>0</v>
      </c>
      <c r="G89">
        <f>COUNTIF('Metrics - Articles'!F88,"*P&amp;I (Research &amp; Development)*")</f>
        <v>0</v>
      </c>
      <c r="H89">
        <f>COUNTIF('Metrics - Articles'!F88,"*Business Network (Concur, Ariba, Fieldglass)*")</f>
        <v>0</v>
      </c>
      <c r="I89">
        <f>COUNTIF('Metrics - Articles'!F88,"*GCO – Regions*")</f>
        <v>0</v>
      </c>
      <c r="J89">
        <f>COUNTIF('Metrics - Articles'!F88,"*GCO – Platform Solutions*")</f>
        <v>0</v>
      </c>
      <c r="K89">
        <f>COUNTIF('Metrics - Articles'!F88,"*GCO – Industry Cloud *")</f>
        <v>0</v>
      </c>
      <c r="L89">
        <f>COUNTIF('Metrics - Articles'!F88,"*GCO – Customer Engagement &amp; Commerce (CRM &amp; hybris) *")</f>
        <v>1</v>
      </c>
      <c r="M89">
        <f>COUNTIF('Metrics - Articles'!F88,"*GCO – HR (SuccessFactors)*")</f>
        <v>0</v>
      </c>
      <c r="N89">
        <f>COUNTIF('Metrics - Articles'!F88,"*GCO – Services Sales*")</f>
        <v>0</v>
      </c>
      <c r="O89">
        <f>COUNTIF('Metrics - Articles'!F88,"*GCO – Other*")</f>
        <v>0</v>
      </c>
      <c r="P89">
        <f>COUNTIF('Metrics - Articles'!F88,"*Corporate*")</f>
        <v>0</v>
      </c>
      <c r="R89" s="53">
        <f t="shared" si="3"/>
        <v>1</v>
      </c>
    </row>
    <row r="90" spans="2:18" hidden="1" x14ac:dyDescent="0.25">
      <c r="B90" s="48">
        <f>+'Metrics - Articles'!C89</f>
        <v>42080</v>
      </c>
      <c r="C90">
        <f>COUNTIF('Metrics - Articles'!F89,"*GPO (Partner, Ecosystem, Channels)*")</f>
        <v>0</v>
      </c>
      <c r="D90">
        <f>COUNTIF('Metrics - Articles'!F89,"*Office of the CEO*")</f>
        <v>0</v>
      </c>
      <c r="E90">
        <f>COUNTIF('Metrics - Articles'!F89,"*Services Delivery &amp; Support (go-lives and deployments) *")</f>
        <v>0</v>
      </c>
      <c r="F90">
        <f>COUNTIF('Metrics - Articles'!F89,"*Human Resources (SAP HR and employee stories)*")</f>
        <v>0</v>
      </c>
      <c r="G90">
        <f>COUNTIF('Metrics - Articles'!F89,"*P&amp;I (Research &amp; Development)*")</f>
        <v>0</v>
      </c>
      <c r="H90">
        <f>COUNTIF('Metrics - Articles'!F89,"*Business Network (Concur, Ariba, Fieldglass)*")</f>
        <v>0</v>
      </c>
      <c r="I90">
        <f>COUNTIF('Metrics - Articles'!F89,"*GCO – Regions*")</f>
        <v>0</v>
      </c>
      <c r="J90">
        <f>COUNTIF('Metrics - Articles'!F89,"*GCO – Platform Solutions*")</f>
        <v>0</v>
      </c>
      <c r="K90">
        <f>COUNTIF('Metrics - Articles'!F89,"*GCO – Industry Cloud *")</f>
        <v>0</v>
      </c>
      <c r="L90">
        <f>COUNTIF('Metrics - Articles'!F89,"*GCO – Customer Engagement &amp; Commerce (CRM &amp; hybris) *")</f>
        <v>0</v>
      </c>
      <c r="M90">
        <f>COUNTIF('Metrics - Articles'!F89,"*GCO – HR (SuccessFactors)*")</f>
        <v>0</v>
      </c>
      <c r="N90">
        <f>COUNTIF('Metrics - Articles'!F89,"*GCO – Services Sales*")</f>
        <v>0</v>
      </c>
      <c r="O90">
        <f>COUNTIF('Metrics - Articles'!F89,"*GCO – Other*")</f>
        <v>0</v>
      </c>
      <c r="P90">
        <f>COUNTIF('Metrics - Articles'!F89,"*Corporate*")</f>
        <v>1</v>
      </c>
      <c r="R90" s="53">
        <f t="shared" si="3"/>
        <v>1</v>
      </c>
    </row>
    <row r="91" spans="2:18" hidden="1" x14ac:dyDescent="0.25">
      <c r="B91" s="48">
        <f>+'Metrics - Articles'!C90</f>
        <v>42080</v>
      </c>
      <c r="C91">
        <f>COUNTIF('Metrics - Articles'!F90,"*GPO (Partner, Ecosystem, Channels)*")</f>
        <v>0</v>
      </c>
      <c r="D91">
        <f>COUNTIF('Metrics - Articles'!F90,"*Office of the CEO*")</f>
        <v>0</v>
      </c>
      <c r="E91">
        <f>COUNTIF('Metrics - Articles'!F90,"*Services Delivery &amp; Support (go-lives and deployments) *")</f>
        <v>0</v>
      </c>
      <c r="F91">
        <f>COUNTIF('Metrics - Articles'!F90,"*Human Resources (SAP HR and employee stories)*")</f>
        <v>0</v>
      </c>
      <c r="G91">
        <f>COUNTIF('Metrics - Articles'!F90,"*P&amp;I (Research &amp; Development)*")</f>
        <v>0</v>
      </c>
      <c r="H91">
        <f>COUNTIF('Metrics - Articles'!F90,"*Business Network (Concur, Ariba, Fieldglass)*")</f>
        <v>0</v>
      </c>
      <c r="I91">
        <f>COUNTIF('Metrics - Articles'!F90,"*GCO – Regions*")</f>
        <v>0</v>
      </c>
      <c r="J91">
        <f>COUNTIF('Metrics - Articles'!F90,"*GCO – Platform Solutions*")</f>
        <v>0</v>
      </c>
      <c r="K91">
        <f>COUNTIF('Metrics - Articles'!F90,"*GCO – Industry Cloud *")</f>
        <v>0</v>
      </c>
      <c r="L91">
        <f>COUNTIF('Metrics - Articles'!F90,"*GCO – Customer Engagement &amp; Commerce (CRM &amp; hybris) *")</f>
        <v>0</v>
      </c>
      <c r="M91">
        <f>COUNTIF('Metrics - Articles'!F90,"*GCO – HR (SuccessFactors)*")</f>
        <v>0</v>
      </c>
      <c r="N91">
        <f>COUNTIF('Metrics - Articles'!F90,"*GCO – Services Sales*")</f>
        <v>1</v>
      </c>
      <c r="O91">
        <f>COUNTIF('Metrics - Articles'!F90,"*GCO – Other*")</f>
        <v>0</v>
      </c>
      <c r="P91">
        <f>COUNTIF('Metrics - Articles'!F90,"*Corporate*")</f>
        <v>0</v>
      </c>
      <c r="R91" s="53">
        <f t="shared" si="3"/>
        <v>1</v>
      </c>
    </row>
    <row r="92" spans="2:18" hidden="1" x14ac:dyDescent="0.25">
      <c r="B92" s="48">
        <f>+'Metrics - Articles'!C91</f>
        <v>42081</v>
      </c>
      <c r="C92">
        <f>COUNTIF('Metrics - Articles'!F91,"*GPO (Partner, Ecosystem, Channels)*")</f>
        <v>0</v>
      </c>
      <c r="D92">
        <f>COUNTIF('Metrics - Articles'!F91,"*Office of the CEO*")</f>
        <v>0</v>
      </c>
      <c r="E92">
        <f>COUNTIF('Metrics - Articles'!F91,"*Services Delivery &amp; Support (go-lives and deployments) *")</f>
        <v>0</v>
      </c>
      <c r="F92">
        <f>COUNTIF('Metrics - Articles'!F91,"*Human Resources (SAP HR and employee stories)*")</f>
        <v>1</v>
      </c>
      <c r="G92">
        <f>COUNTIF('Metrics - Articles'!F91,"*P&amp;I (Research &amp; Development)*")</f>
        <v>0</v>
      </c>
      <c r="H92">
        <f>COUNTIF('Metrics - Articles'!F91,"*Business Network (Concur, Ariba, Fieldglass)*")</f>
        <v>0</v>
      </c>
      <c r="I92">
        <f>COUNTIF('Metrics - Articles'!F91,"*GCO – Regions*")</f>
        <v>0</v>
      </c>
      <c r="J92">
        <f>COUNTIF('Metrics - Articles'!F91,"*GCO – Platform Solutions*")</f>
        <v>0</v>
      </c>
      <c r="K92">
        <f>COUNTIF('Metrics - Articles'!F91,"*GCO – Industry Cloud *")</f>
        <v>0</v>
      </c>
      <c r="L92">
        <f>COUNTIF('Metrics - Articles'!F91,"*GCO – Customer Engagement &amp; Commerce (CRM &amp; hybris) *")</f>
        <v>0</v>
      </c>
      <c r="M92">
        <f>COUNTIF('Metrics - Articles'!F91,"*GCO – HR (SuccessFactors)*")</f>
        <v>0</v>
      </c>
      <c r="N92">
        <f>COUNTIF('Metrics - Articles'!F91,"*GCO – Services Sales*")</f>
        <v>0</v>
      </c>
      <c r="O92">
        <f>COUNTIF('Metrics - Articles'!F91,"*GCO – Other*")</f>
        <v>0</v>
      </c>
      <c r="P92">
        <f>COUNTIF('Metrics - Articles'!F91,"*Corporate*")</f>
        <v>0</v>
      </c>
      <c r="R92" s="53">
        <f t="shared" si="3"/>
        <v>1</v>
      </c>
    </row>
    <row r="93" spans="2:18" hidden="1" x14ac:dyDescent="0.25">
      <c r="B93" s="48">
        <f>+'Metrics - Articles'!C92</f>
        <v>42081</v>
      </c>
      <c r="C93">
        <f>COUNTIF('Metrics - Articles'!F92,"*GPO (Partner, Ecosystem, Channels)*")</f>
        <v>0</v>
      </c>
      <c r="D93">
        <f>COUNTIF('Metrics - Articles'!F92,"*Office of the CEO*")</f>
        <v>0</v>
      </c>
      <c r="E93">
        <f>COUNTIF('Metrics - Articles'!F92,"*Services Delivery &amp; Support (go-lives and deployments) *")</f>
        <v>0</v>
      </c>
      <c r="F93">
        <f>COUNTIF('Metrics - Articles'!F92,"*Human Resources (SAP HR and employee stories)*")</f>
        <v>0</v>
      </c>
      <c r="G93">
        <f>COUNTIF('Metrics - Articles'!F92,"*P&amp;I (Research &amp; Development)*")</f>
        <v>0</v>
      </c>
      <c r="H93">
        <f>COUNTIF('Metrics - Articles'!F92,"*Business Network (Concur, Ariba, Fieldglass)*")</f>
        <v>1</v>
      </c>
      <c r="I93">
        <f>COUNTIF('Metrics - Articles'!F92,"*GCO – Regions*")</f>
        <v>0</v>
      </c>
      <c r="J93">
        <f>COUNTIF('Metrics - Articles'!F92,"*GCO – Platform Solutions*")</f>
        <v>0</v>
      </c>
      <c r="K93">
        <f>COUNTIF('Metrics - Articles'!F92,"*GCO – Industry Cloud *")</f>
        <v>0</v>
      </c>
      <c r="L93">
        <f>COUNTIF('Metrics - Articles'!F92,"*GCO – Customer Engagement &amp; Commerce (CRM &amp; hybris) *")</f>
        <v>0</v>
      </c>
      <c r="M93">
        <f>COUNTIF('Metrics - Articles'!F92,"*GCO – HR (SuccessFactors)*")</f>
        <v>0</v>
      </c>
      <c r="N93">
        <f>COUNTIF('Metrics - Articles'!F92,"*GCO – Services Sales*")</f>
        <v>0</v>
      </c>
      <c r="O93">
        <f>COUNTIF('Metrics - Articles'!F92,"*GCO – Other*")</f>
        <v>0</v>
      </c>
      <c r="P93">
        <f>COUNTIF('Metrics - Articles'!F92,"*Corporate*")</f>
        <v>0</v>
      </c>
      <c r="R93" s="53">
        <f t="shared" si="3"/>
        <v>1</v>
      </c>
    </row>
    <row r="94" spans="2:18" hidden="1" x14ac:dyDescent="0.25">
      <c r="B94" s="48">
        <f>+'Metrics - Articles'!C93</f>
        <v>42082</v>
      </c>
      <c r="C94">
        <f>COUNTIF('Metrics - Articles'!F93,"*GPO (Partner, Ecosystem, Channels)*")</f>
        <v>0</v>
      </c>
      <c r="D94">
        <f>COUNTIF('Metrics - Articles'!F93,"*Office of the CEO*")</f>
        <v>0</v>
      </c>
      <c r="E94">
        <f>COUNTIF('Metrics - Articles'!F93,"*Services Delivery &amp; Support (go-lives and deployments) *")</f>
        <v>0</v>
      </c>
      <c r="F94">
        <f>COUNTIF('Metrics - Articles'!F93,"*Human Resources (SAP HR and employee stories)*")</f>
        <v>0</v>
      </c>
      <c r="G94">
        <f>COUNTIF('Metrics - Articles'!F93,"*P&amp;I (Research &amp; Development)*")</f>
        <v>0</v>
      </c>
      <c r="H94">
        <f>COUNTIF('Metrics - Articles'!F93,"*Business Network (Concur, Ariba, Fieldglass)*")</f>
        <v>0</v>
      </c>
      <c r="I94">
        <f>COUNTIF('Metrics - Articles'!F93,"*GCO – Regions*")</f>
        <v>0</v>
      </c>
      <c r="J94">
        <f>COUNTIF('Metrics - Articles'!F93,"*GCO – Platform Solutions*")</f>
        <v>0</v>
      </c>
      <c r="K94">
        <f>COUNTIF('Metrics - Articles'!F93,"*GCO – Industry Cloud *")</f>
        <v>0</v>
      </c>
      <c r="L94">
        <f>COUNTIF('Metrics - Articles'!F93,"*GCO – Customer Engagement &amp; Commerce (CRM &amp; hybris) *")</f>
        <v>0</v>
      </c>
      <c r="M94">
        <f>COUNTIF('Metrics - Articles'!F93,"*GCO – HR (SuccessFactors)*")</f>
        <v>0</v>
      </c>
      <c r="N94">
        <f>COUNTIF('Metrics - Articles'!F93,"*GCO – Services Sales*")</f>
        <v>0</v>
      </c>
      <c r="O94">
        <f>COUNTIF('Metrics - Articles'!F93,"*GCO – Other*")</f>
        <v>0</v>
      </c>
      <c r="P94">
        <f>COUNTIF('Metrics - Articles'!F93,"*Corporate*")</f>
        <v>1</v>
      </c>
      <c r="R94" s="53">
        <f t="shared" si="3"/>
        <v>1</v>
      </c>
    </row>
    <row r="95" spans="2:18" hidden="1" x14ac:dyDescent="0.25">
      <c r="B95" s="48">
        <f>+'Metrics - Articles'!C94</f>
        <v>42083</v>
      </c>
      <c r="C95">
        <f>COUNTIF('Metrics - Articles'!F94,"*GPO (Partner, Ecosystem, Channels)*")</f>
        <v>0</v>
      </c>
      <c r="D95">
        <f>COUNTIF('Metrics - Articles'!F94,"*Office of the CEO*")</f>
        <v>0</v>
      </c>
      <c r="E95">
        <f>COUNTIF('Metrics - Articles'!F94,"*Services Delivery &amp; Support (go-lives and deployments) *")</f>
        <v>0</v>
      </c>
      <c r="F95">
        <f>COUNTIF('Metrics - Articles'!F94,"*Human Resources (SAP HR and employee stories)*")</f>
        <v>1</v>
      </c>
      <c r="G95">
        <f>COUNTIF('Metrics - Articles'!F94,"*P&amp;I (Research &amp; Development)*")</f>
        <v>0</v>
      </c>
      <c r="H95">
        <f>COUNTIF('Metrics - Articles'!F94,"*Business Network (Concur, Ariba, Fieldglass)*")</f>
        <v>0</v>
      </c>
      <c r="I95">
        <f>COUNTIF('Metrics - Articles'!F94,"*GCO – Regions*")</f>
        <v>0</v>
      </c>
      <c r="J95">
        <f>COUNTIF('Metrics - Articles'!F94,"*GCO – Platform Solutions*")</f>
        <v>0</v>
      </c>
      <c r="K95">
        <f>COUNTIF('Metrics - Articles'!F94,"*GCO – Industry Cloud *")</f>
        <v>0</v>
      </c>
      <c r="L95">
        <f>COUNTIF('Metrics - Articles'!F94,"*GCO – Customer Engagement &amp; Commerce (CRM &amp; hybris) *")</f>
        <v>0</v>
      </c>
      <c r="M95">
        <f>COUNTIF('Metrics - Articles'!F94,"*GCO – HR (SuccessFactors)*")</f>
        <v>0</v>
      </c>
      <c r="N95">
        <f>COUNTIF('Metrics - Articles'!F94,"*GCO – Services Sales*")</f>
        <v>0</v>
      </c>
      <c r="O95">
        <f>COUNTIF('Metrics - Articles'!F94,"*GCO – Other*")</f>
        <v>0</v>
      </c>
      <c r="P95">
        <f>COUNTIF('Metrics - Articles'!F94,"*Corporate*")</f>
        <v>0</v>
      </c>
      <c r="R95" s="53">
        <f t="shared" si="3"/>
        <v>1</v>
      </c>
    </row>
    <row r="96" spans="2:18" hidden="1" x14ac:dyDescent="0.25">
      <c r="B96" s="48">
        <f>+'Metrics - Articles'!C95</f>
        <v>42083</v>
      </c>
      <c r="C96">
        <f>COUNTIF('Metrics - Articles'!F95,"*GPO (Partner, Ecosystem, Channels)*")</f>
        <v>0</v>
      </c>
      <c r="D96">
        <f>COUNTIF('Metrics - Articles'!F95,"*Office of the CEO*")</f>
        <v>0</v>
      </c>
      <c r="E96">
        <f>COUNTIF('Metrics - Articles'!F95,"*Services Delivery &amp; Support (go-lives and deployments) *")</f>
        <v>0</v>
      </c>
      <c r="F96">
        <f>COUNTIF('Metrics - Articles'!F95,"*Human Resources (SAP HR and employee stories)*")</f>
        <v>0</v>
      </c>
      <c r="G96">
        <f>COUNTIF('Metrics - Articles'!F95,"*P&amp;I (Research &amp; Development)*")</f>
        <v>0</v>
      </c>
      <c r="H96">
        <f>COUNTIF('Metrics - Articles'!F95,"*Business Network (Concur, Ariba, Fieldglass)*")</f>
        <v>0</v>
      </c>
      <c r="I96">
        <f>COUNTIF('Metrics - Articles'!F95,"*GCO – Regions*")</f>
        <v>0</v>
      </c>
      <c r="J96">
        <f>COUNTIF('Metrics - Articles'!F95,"*GCO – Platform Solutions*")</f>
        <v>0</v>
      </c>
      <c r="K96">
        <f>COUNTIF('Metrics - Articles'!F95,"*GCO – Industry Cloud *")</f>
        <v>0</v>
      </c>
      <c r="L96">
        <f>COUNTIF('Metrics - Articles'!F95,"*GCO – Customer Engagement &amp; Commerce (CRM &amp; hybris) *")</f>
        <v>0</v>
      </c>
      <c r="M96">
        <f>COUNTIF('Metrics - Articles'!F95,"*GCO – HR (SuccessFactors)*")</f>
        <v>0</v>
      </c>
      <c r="N96">
        <f>COUNTIF('Metrics - Articles'!F95,"*GCO – Services Sales*")</f>
        <v>0</v>
      </c>
      <c r="O96">
        <f>COUNTIF('Metrics - Articles'!F95,"*GCO – Other*")</f>
        <v>0</v>
      </c>
      <c r="P96">
        <f>COUNTIF('Metrics - Articles'!F95,"*Corporate*")</f>
        <v>1</v>
      </c>
      <c r="R96" s="53">
        <f t="shared" si="3"/>
        <v>1</v>
      </c>
    </row>
    <row r="97" spans="2:18" hidden="1" x14ac:dyDescent="0.25">
      <c r="B97" s="48">
        <f>+'Metrics - Articles'!C96</f>
        <v>42086</v>
      </c>
      <c r="C97">
        <f>COUNTIF('Metrics - Articles'!F96,"*GPO (Partner, Ecosystem, Channels)*")</f>
        <v>0</v>
      </c>
      <c r="D97">
        <f>COUNTIF('Metrics - Articles'!F96,"*Office of the CEO*")</f>
        <v>0</v>
      </c>
      <c r="E97">
        <f>COUNTIF('Metrics - Articles'!F96,"*Services Delivery &amp; Support (go-lives and deployments) *")</f>
        <v>0</v>
      </c>
      <c r="F97">
        <f>COUNTIF('Metrics - Articles'!F96,"*Human Resources (SAP HR and employee stories)*")</f>
        <v>0</v>
      </c>
      <c r="G97">
        <f>COUNTIF('Metrics - Articles'!F96,"*P&amp;I (Research &amp; Development)*")</f>
        <v>0</v>
      </c>
      <c r="H97">
        <f>COUNTIF('Metrics - Articles'!F96,"*Business Network (Concur, Ariba, Fieldglass)*")</f>
        <v>1</v>
      </c>
      <c r="I97">
        <f>COUNTIF('Metrics - Articles'!F96,"*GCO – Regions*")</f>
        <v>0</v>
      </c>
      <c r="J97">
        <f>COUNTIF('Metrics - Articles'!F96,"*GCO – Platform Solutions*")</f>
        <v>0</v>
      </c>
      <c r="K97">
        <f>COUNTIF('Metrics - Articles'!F96,"*GCO – Industry Cloud *")</f>
        <v>0</v>
      </c>
      <c r="L97">
        <f>COUNTIF('Metrics - Articles'!F96,"*GCO – Customer Engagement &amp; Commerce (CRM &amp; hybris) *")</f>
        <v>0</v>
      </c>
      <c r="M97">
        <f>COUNTIF('Metrics - Articles'!F96,"*GCO – HR (SuccessFactors)*")</f>
        <v>0</v>
      </c>
      <c r="N97">
        <f>COUNTIF('Metrics - Articles'!F96,"*GCO – Services Sales*")</f>
        <v>0</v>
      </c>
      <c r="O97">
        <f>COUNTIF('Metrics - Articles'!F96,"*GCO – Other*")</f>
        <v>0</v>
      </c>
      <c r="P97">
        <f>COUNTIF('Metrics - Articles'!F96,"*Corporate*")</f>
        <v>0</v>
      </c>
      <c r="R97" s="53">
        <f t="shared" si="3"/>
        <v>1</v>
      </c>
    </row>
    <row r="98" spans="2:18" hidden="1" x14ac:dyDescent="0.25">
      <c r="B98" s="48">
        <f>+'Metrics - Articles'!C97</f>
        <v>42086</v>
      </c>
      <c r="C98">
        <f>COUNTIF('Metrics - Articles'!F97,"*GPO (Partner, Ecosystem, Channels)*")</f>
        <v>0</v>
      </c>
      <c r="D98">
        <f>COUNTIF('Metrics - Articles'!F97,"*Office of the CEO*")</f>
        <v>0</v>
      </c>
      <c r="E98">
        <f>COUNTIF('Metrics - Articles'!F97,"*Services Delivery &amp; Support (go-lives and deployments) *")</f>
        <v>0</v>
      </c>
      <c r="F98">
        <f>COUNTIF('Metrics - Articles'!F97,"*Human Resources (SAP HR and employee stories)*")</f>
        <v>0</v>
      </c>
      <c r="G98">
        <f>COUNTIF('Metrics - Articles'!F97,"*P&amp;I (Research &amp; Development)*")</f>
        <v>0</v>
      </c>
      <c r="H98">
        <f>COUNTIF('Metrics - Articles'!F97,"*Business Network (Concur, Ariba, Fieldglass)*")</f>
        <v>0</v>
      </c>
      <c r="I98">
        <f>COUNTIF('Metrics - Articles'!F97,"*GCO – Regions*")</f>
        <v>0</v>
      </c>
      <c r="J98">
        <f>COUNTIF('Metrics - Articles'!F97,"*GCO – Platform Solutions*")</f>
        <v>1</v>
      </c>
      <c r="K98">
        <f>COUNTIF('Metrics - Articles'!F97,"*GCO – Industry Cloud *")</f>
        <v>0</v>
      </c>
      <c r="L98">
        <f>COUNTIF('Metrics - Articles'!F97,"*GCO – Customer Engagement &amp; Commerce (CRM &amp; hybris) *")</f>
        <v>0</v>
      </c>
      <c r="M98">
        <f>COUNTIF('Metrics - Articles'!F97,"*GCO – HR (SuccessFactors)*")</f>
        <v>0</v>
      </c>
      <c r="N98">
        <f>COUNTIF('Metrics - Articles'!F97,"*GCO – Services Sales*")</f>
        <v>0</v>
      </c>
      <c r="O98">
        <f>COUNTIF('Metrics - Articles'!F97,"*GCO – Other*")</f>
        <v>0</v>
      </c>
      <c r="P98">
        <f>COUNTIF('Metrics - Articles'!F97,"*Corporate*")</f>
        <v>0</v>
      </c>
      <c r="R98" s="53">
        <f t="shared" si="3"/>
        <v>1</v>
      </c>
    </row>
    <row r="99" spans="2:18" hidden="1" x14ac:dyDescent="0.25">
      <c r="B99" s="48">
        <f>+'Metrics - Articles'!C98</f>
        <v>42087</v>
      </c>
      <c r="C99">
        <f>COUNTIF('Metrics - Articles'!F98,"*GPO (Partner, Ecosystem, Channels)*")</f>
        <v>0</v>
      </c>
      <c r="D99">
        <f>COUNTIF('Metrics - Articles'!F98,"*Office of the CEO*")</f>
        <v>0</v>
      </c>
      <c r="E99">
        <f>COUNTIF('Metrics - Articles'!F98,"*Services Delivery &amp; Support (go-lives and deployments) *")</f>
        <v>0</v>
      </c>
      <c r="F99">
        <f>COUNTIF('Metrics - Articles'!F98,"*Human Resources (SAP HR and employee stories)*")</f>
        <v>0</v>
      </c>
      <c r="G99">
        <f>COUNTIF('Metrics - Articles'!F98,"*P&amp;I (Research &amp; Development)*")</f>
        <v>0</v>
      </c>
      <c r="H99">
        <f>COUNTIF('Metrics - Articles'!F98,"*Business Network (Concur, Ariba, Fieldglass)*")</f>
        <v>0</v>
      </c>
      <c r="I99">
        <f>COUNTIF('Metrics - Articles'!F98,"*GCO – Regions*")</f>
        <v>0</v>
      </c>
      <c r="J99">
        <f>COUNTIF('Metrics - Articles'!F98,"*GCO – Platform Solutions*")</f>
        <v>0</v>
      </c>
      <c r="K99">
        <f>COUNTIF('Metrics - Articles'!F98,"*GCO – Industry Cloud *")</f>
        <v>0</v>
      </c>
      <c r="L99">
        <f>COUNTIF('Metrics - Articles'!F98,"*GCO – Customer Engagement &amp; Commerce (CRM &amp; hybris) *")</f>
        <v>0</v>
      </c>
      <c r="M99">
        <f>COUNTIF('Metrics - Articles'!F98,"*GCO – HR (SuccessFactors)*")</f>
        <v>0</v>
      </c>
      <c r="N99">
        <f>COUNTIF('Metrics - Articles'!F98,"*GCO – Services Sales*")</f>
        <v>0</v>
      </c>
      <c r="O99">
        <f>COUNTIF('Metrics - Articles'!F98,"*GCO – Other*")</f>
        <v>1</v>
      </c>
      <c r="P99">
        <f>COUNTIF('Metrics - Articles'!F98,"*Corporate*")</f>
        <v>0</v>
      </c>
      <c r="R99" s="53">
        <f t="shared" si="3"/>
        <v>1</v>
      </c>
    </row>
    <row r="100" spans="2:18" hidden="1" x14ac:dyDescent="0.25">
      <c r="B100" s="48">
        <f>+'Metrics - Articles'!C99</f>
        <v>42087</v>
      </c>
      <c r="C100">
        <f>COUNTIF('Metrics - Articles'!F99,"*GPO (Partner, Ecosystem, Channels)*")</f>
        <v>0</v>
      </c>
      <c r="D100">
        <f>COUNTIF('Metrics - Articles'!F99,"*Office of the CEO*")</f>
        <v>0</v>
      </c>
      <c r="E100">
        <f>COUNTIF('Metrics - Articles'!F99,"*Services Delivery &amp; Support (go-lives and deployments) *")</f>
        <v>0</v>
      </c>
      <c r="F100">
        <f>COUNTIF('Metrics - Articles'!F99,"*Human Resources (SAP HR and employee stories)*")</f>
        <v>0</v>
      </c>
      <c r="G100">
        <f>COUNTIF('Metrics - Articles'!F99,"*P&amp;I (Research &amp; Development)*")</f>
        <v>0</v>
      </c>
      <c r="H100">
        <f>COUNTIF('Metrics - Articles'!F99,"*Business Network (Concur, Ariba, Fieldglass)*")</f>
        <v>0</v>
      </c>
      <c r="I100">
        <f>COUNTIF('Metrics - Articles'!F99,"*GCO – Regions*")</f>
        <v>0</v>
      </c>
      <c r="J100">
        <f>COUNTIF('Metrics - Articles'!F99,"*GCO – Platform Solutions*")</f>
        <v>0</v>
      </c>
      <c r="K100">
        <f>COUNTIF('Metrics - Articles'!F99,"*GCO – Industry Cloud *")</f>
        <v>0</v>
      </c>
      <c r="L100">
        <f>COUNTIF('Metrics - Articles'!F99,"*GCO – Customer Engagement &amp; Commerce (CRM &amp; hybris) *")</f>
        <v>0</v>
      </c>
      <c r="M100">
        <f>COUNTIF('Metrics - Articles'!F99,"*GCO – HR (SuccessFactors)*")</f>
        <v>0</v>
      </c>
      <c r="N100">
        <f>COUNTIF('Metrics - Articles'!F99,"*GCO – Services Sales*")</f>
        <v>0</v>
      </c>
      <c r="O100">
        <f>COUNTIF('Metrics - Articles'!F99,"*GCO – Other*")</f>
        <v>0</v>
      </c>
      <c r="P100">
        <f>COUNTIF('Metrics - Articles'!F99,"*Corporate*")</f>
        <v>1</v>
      </c>
      <c r="R100" s="53">
        <f t="shared" si="3"/>
        <v>1</v>
      </c>
    </row>
    <row r="101" spans="2:18" hidden="1" x14ac:dyDescent="0.25">
      <c r="B101" s="48">
        <f>+'Metrics - Articles'!C100</f>
        <v>42088</v>
      </c>
      <c r="C101">
        <f>COUNTIF('Metrics - Articles'!F100,"*GPO (Partner, Ecosystem, Channels)*")</f>
        <v>0</v>
      </c>
      <c r="D101">
        <f>COUNTIF('Metrics - Articles'!F100,"*Office of the CEO*")</f>
        <v>0</v>
      </c>
      <c r="E101">
        <f>COUNTIF('Metrics - Articles'!F100,"*Services Delivery &amp; Support (go-lives and deployments) *")</f>
        <v>0</v>
      </c>
      <c r="F101">
        <f>COUNTIF('Metrics - Articles'!F100,"*Human Resources (SAP HR and employee stories)*")</f>
        <v>1</v>
      </c>
      <c r="G101">
        <f>COUNTIF('Metrics - Articles'!F100,"*P&amp;I (Research &amp; Development)*")</f>
        <v>0</v>
      </c>
      <c r="H101">
        <f>COUNTIF('Metrics - Articles'!F100,"*Business Network (Concur, Ariba, Fieldglass)*")</f>
        <v>0</v>
      </c>
      <c r="I101">
        <f>COUNTIF('Metrics - Articles'!F100,"*GCO – Regions*")</f>
        <v>0</v>
      </c>
      <c r="J101">
        <f>COUNTIF('Metrics - Articles'!F100,"*GCO – Platform Solutions*")</f>
        <v>0</v>
      </c>
      <c r="K101">
        <f>COUNTIF('Metrics - Articles'!F100,"*GCO – Industry Cloud *")</f>
        <v>0</v>
      </c>
      <c r="L101">
        <f>COUNTIF('Metrics - Articles'!F100,"*GCO – Customer Engagement &amp; Commerce (CRM &amp; hybris) *")</f>
        <v>0</v>
      </c>
      <c r="M101">
        <f>COUNTIF('Metrics - Articles'!F100,"*GCO – HR (SuccessFactors)*")</f>
        <v>0</v>
      </c>
      <c r="N101">
        <f>COUNTIF('Metrics - Articles'!F100,"*GCO – Services Sales*")</f>
        <v>0</v>
      </c>
      <c r="O101">
        <f>COUNTIF('Metrics - Articles'!F100,"*GCO – Other*")</f>
        <v>0</v>
      </c>
      <c r="P101">
        <f>COUNTIF('Metrics - Articles'!F100,"*Corporate*")</f>
        <v>0</v>
      </c>
      <c r="R101" s="53">
        <f t="shared" si="3"/>
        <v>1</v>
      </c>
    </row>
    <row r="102" spans="2:18" hidden="1" x14ac:dyDescent="0.25">
      <c r="B102" s="48">
        <f>+'Metrics - Articles'!C101</f>
        <v>42089</v>
      </c>
      <c r="C102">
        <f>COUNTIF('Metrics - Articles'!F101,"*GPO (Partner, Ecosystem, Channels)*")</f>
        <v>0</v>
      </c>
      <c r="D102">
        <f>COUNTIF('Metrics - Articles'!F101,"*Office of the CEO*")</f>
        <v>0</v>
      </c>
      <c r="E102">
        <f>COUNTIF('Metrics - Articles'!F101,"*Services Delivery &amp; Support (go-lives and deployments) *")</f>
        <v>0</v>
      </c>
      <c r="F102">
        <f>COUNTIF('Metrics - Articles'!F101,"*Human Resources (SAP HR and employee stories)*")</f>
        <v>1</v>
      </c>
      <c r="G102">
        <f>COUNTIF('Metrics - Articles'!F101,"*P&amp;I (Research &amp; Development)*")</f>
        <v>0</v>
      </c>
      <c r="H102">
        <f>COUNTIF('Metrics - Articles'!F101,"*Business Network (Concur, Ariba, Fieldglass)*")</f>
        <v>0</v>
      </c>
      <c r="I102">
        <f>COUNTIF('Metrics - Articles'!F101,"*GCO – Regions*")</f>
        <v>0</v>
      </c>
      <c r="J102">
        <f>COUNTIF('Metrics - Articles'!F101,"*GCO – Platform Solutions*")</f>
        <v>0</v>
      </c>
      <c r="K102">
        <f>COUNTIF('Metrics - Articles'!F101,"*GCO – Industry Cloud *")</f>
        <v>0</v>
      </c>
      <c r="L102">
        <f>COUNTIF('Metrics - Articles'!F101,"*GCO – Customer Engagement &amp; Commerce (CRM &amp; hybris) *")</f>
        <v>0</v>
      </c>
      <c r="M102">
        <f>COUNTIF('Metrics - Articles'!F101,"*GCO – HR (SuccessFactors)*")</f>
        <v>0</v>
      </c>
      <c r="N102">
        <f>COUNTIF('Metrics - Articles'!F101,"*GCO – Services Sales*")</f>
        <v>0</v>
      </c>
      <c r="O102">
        <f>COUNTIF('Metrics - Articles'!F101,"*GCO – Other*")</f>
        <v>0</v>
      </c>
      <c r="P102">
        <f>COUNTIF('Metrics - Articles'!F101,"*Corporate*")</f>
        <v>0</v>
      </c>
      <c r="R102" s="53">
        <f t="shared" si="3"/>
        <v>1</v>
      </c>
    </row>
    <row r="103" spans="2:18" hidden="1" x14ac:dyDescent="0.25">
      <c r="B103" s="48">
        <f>+'Metrics - Articles'!C102</f>
        <v>42089</v>
      </c>
      <c r="C103">
        <f>COUNTIF('Metrics - Articles'!F102,"*GPO (Partner, Ecosystem, Channels)*")</f>
        <v>0</v>
      </c>
      <c r="D103">
        <f>COUNTIF('Metrics - Articles'!F102,"*Office of the CEO*")</f>
        <v>0</v>
      </c>
      <c r="E103">
        <f>COUNTIF('Metrics - Articles'!F102,"*Services Delivery &amp; Support (go-lives and deployments) *")</f>
        <v>0</v>
      </c>
      <c r="F103">
        <f>COUNTIF('Metrics - Articles'!F102,"*Human Resources (SAP HR and employee stories)*")</f>
        <v>0</v>
      </c>
      <c r="G103">
        <f>COUNTIF('Metrics - Articles'!F102,"*P&amp;I (Research &amp; Development)*")</f>
        <v>0</v>
      </c>
      <c r="H103">
        <f>COUNTIF('Metrics - Articles'!F102,"*Business Network (Concur, Ariba, Fieldglass)*")</f>
        <v>0</v>
      </c>
      <c r="I103">
        <f>COUNTIF('Metrics - Articles'!F102,"*GCO – Regions*")</f>
        <v>0</v>
      </c>
      <c r="J103">
        <f>COUNTIF('Metrics - Articles'!F102,"*GCO – Platform Solutions*")</f>
        <v>1</v>
      </c>
      <c r="K103">
        <f>COUNTIF('Metrics - Articles'!F102,"*GCO – Industry Cloud *")</f>
        <v>0</v>
      </c>
      <c r="L103">
        <f>COUNTIF('Metrics - Articles'!F102,"*GCO – Customer Engagement &amp; Commerce (CRM &amp; hybris) *")</f>
        <v>0</v>
      </c>
      <c r="M103">
        <f>COUNTIF('Metrics - Articles'!F102,"*GCO – HR (SuccessFactors)*")</f>
        <v>0</v>
      </c>
      <c r="N103">
        <f>COUNTIF('Metrics - Articles'!F102,"*GCO – Services Sales*")</f>
        <v>0</v>
      </c>
      <c r="O103">
        <f>COUNTIF('Metrics - Articles'!F102,"*GCO – Other*")</f>
        <v>0</v>
      </c>
      <c r="P103">
        <f>COUNTIF('Metrics - Articles'!F102,"*Corporate*")</f>
        <v>0</v>
      </c>
      <c r="R103" s="53">
        <f t="shared" si="3"/>
        <v>1</v>
      </c>
    </row>
    <row r="104" spans="2:18" hidden="1" x14ac:dyDescent="0.25">
      <c r="B104" s="48">
        <f>+'Metrics - Articles'!C103</f>
        <v>42093</v>
      </c>
      <c r="C104">
        <f>COUNTIF('Metrics - Articles'!F103,"*GPO (Partner, Ecosystem, Channels)*")</f>
        <v>0</v>
      </c>
      <c r="D104">
        <f>COUNTIF('Metrics - Articles'!F103,"*Office of the CEO*")</f>
        <v>0</v>
      </c>
      <c r="E104">
        <f>COUNTIF('Metrics - Articles'!F103,"*Services Delivery &amp; Support (go-lives and deployments) *")</f>
        <v>0</v>
      </c>
      <c r="F104">
        <f>COUNTIF('Metrics - Articles'!F103,"*Human Resources (SAP HR and employee stories)*")</f>
        <v>0</v>
      </c>
      <c r="G104">
        <f>COUNTIF('Metrics - Articles'!F103,"*P&amp;I (Research &amp; Development)*")</f>
        <v>0</v>
      </c>
      <c r="H104">
        <f>COUNTIF('Metrics - Articles'!F103,"*Business Network (Concur, Ariba, Fieldglass)*")</f>
        <v>0</v>
      </c>
      <c r="I104">
        <f>COUNTIF('Metrics - Articles'!F103,"*GCO – Regions*")</f>
        <v>0</v>
      </c>
      <c r="J104">
        <f>COUNTIF('Metrics - Articles'!F103,"*GCO – Platform Solutions*")</f>
        <v>1</v>
      </c>
      <c r="K104">
        <f>COUNTIF('Metrics - Articles'!F103,"*GCO – Industry Cloud *")</f>
        <v>0</v>
      </c>
      <c r="L104">
        <f>COUNTIF('Metrics - Articles'!F103,"*GCO – Customer Engagement &amp; Commerce (CRM &amp; hybris) *")</f>
        <v>0</v>
      </c>
      <c r="M104">
        <f>COUNTIF('Metrics - Articles'!F103,"*GCO – HR (SuccessFactors)*")</f>
        <v>0</v>
      </c>
      <c r="N104">
        <f>COUNTIF('Metrics - Articles'!F103,"*GCO – Services Sales*")</f>
        <v>0</v>
      </c>
      <c r="O104">
        <f>COUNTIF('Metrics - Articles'!F103,"*GCO – Other*")</f>
        <v>0</v>
      </c>
      <c r="P104">
        <f>COUNTIF('Metrics - Articles'!F103,"*Corporate*")</f>
        <v>0</v>
      </c>
      <c r="R104" s="53">
        <f t="shared" si="3"/>
        <v>1</v>
      </c>
    </row>
    <row r="105" spans="2:18" hidden="1" x14ac:dyDescent="0.25">
      <c r="B105" s="48">
        <f>+'Metrics - Articles'!C104</f>
        <v>42094</v>
      </c>
      <c r="C105">
        <f>COUNTIF('Metrics - Articles'!F104,"*GPO (Partner, Ecosystem, Channels)*")</f>
        <v>0</v>
      </c>
      <c r="D105">
        <f>COUNTIF('Metrics - Articles'!F104,"*Office of the CEO*")</f>
        <v>0</v>
      </c>
      <c r="E105">
        <f>COUNTIF('Metrics - Articles'!F104,"*Services Delivery &amp; Support (go-lives and deployments) *")</f>
        <v>0</v>
      </c>
      <c r="F105">
        <f>COUNTIF('Metrics - Articles'!F104,"*Human Resources (SAP HR and employee stories)*")</f>
        <v>0</v>
      </c>
      <c r="G105">
        <f>COUNTIF('Metrics - Articles'!F104,"*P&amp;I (Research &amp; Development)*")</f>
        <v>0</v>
      </c>
      <c r="H105">
        <f>COUNTIF('Metrics - Articles'!F104,"*Business Network (Concur, Ariba, Fieldglass)*")</f>
        <v>0</v>
      </c>
      <c r="I105">
        <f>COUNTIF('Metrics - Articles'!F104,"*GCO – Regions*")</f>
        <v>0</v>
      </c>
      <c r="J105">
        <f>COUNTIF('Metrics - Articles'!F104,"*GCO – Platform Solutions*")</f>
        <v>0</v>
      </c>
      <c r="K105">
        <f>COUNTIF('Metrics - Articles'!F104,"*GCO – Industry Cloud *")</f>
        <v>0</v>
      </c>
      <c r="L105">
        <f>COUNTIF('Metrics - Articles'!F104,"*GCO – Customer Engagement &amp; Commerce (CRM &amp; hybris) *")</f>
        <v>0</v>
      </c>
      <c r="M105">
        <f>COUNTIF('Metrics - Articles'!F104,"*GCO – HR (SuccessFactors)*")</f>
        <v>0</v>
      </c>
      <c r="N105">
        <f>COUNTIF('Metrics - Articles'!F104,"*GCO – Services Sales*")</f>
        <v>0</v>
      </c>
      <c r="O105">
        <f>COUNTIF('Metrics - Articles'!F104,"*GCO – Other*")</f>
        <v>0</v>
      </c>
      <c r="P105">
        <f>COUNTIF('Metrics - Articles'!F104,"*Corporate*")</f>
        <v>1</v>
      </c>
      <c r="R105" s="53">
        <f t="shared" si="3"/>
        <v>1</v>
      </c>
    </row>
    <row r="106" spans="2:18" hidden="1" x14ac:dyDescent="0.25">
      <c r="B106" s="48">
        <f>+'Metrics - Articles'!C105</f>
        <v>42094</v>
      </c>
      <c r="C106">
        <f>COUNTIF('Metrics - Articles'!F105,"*GPO (Partner, Ecosystem, Channels)*")</f>
        <v>0</v>
      </c>
      <c r="D106">
        <f>COUNTIF('Metrics - Articles'!F105,"*Office of the CEO*")</f>
        <v>0</v>
      </c>
      <c r="E106">
        <f>COUNTIF('Metrics - Articles'!F105,"*Services Delivery &amp; Support (go-lives and deployments) *")</f>
        <v>0</v>
      </c>
      <c r="F106">
        <f>COUNTIF('Metrics - Articles'!F105,"*Human Resources (SAP HR and employee stories)*")</f>
        <v>0</v>
      </c>
      <c r="G106">
        <f>COUNTIF('Metrics - Articles'!F105,"*P&amp;I (Research &amp; Development)*")</f>
        <v>0</v>
      </c>
      <c r="H106">
        <f>COUNTIF('Metrics - Articles'!F105,"*Business Network (Concur, Ariba, Fieldglass)*")</f>
        <v>0</v>
      </c>
      <c r="I106">
        <f>COUNTIF('Metrics - Articles'!F105,"*GCO – Regions*")</f>
        <v>1</v>
      </c>
      <c r="J106">
        <f>COUNTIF('Metrics - Articles'!F105,"*GCO – Platform Solutions*")</f>
        <v>0</v>
      </c>
      <c r="K106">
        <f>COUNTIF('Metrics - Articles'!F105,"*GCO – Industry Cloud *")</f>
        <v>0</v>
      </c>
      <c r="L106">
        <f>COUNTIF('Metrics - Articles'!F105,"*GCO – Customer Engagement &amp; Commerce (CRM &amp; hybris) *")</f>
        <v>0</v>
      </c>
      <c r="M106">
        <f>COUNTIF('Metrics - Articles'!F105,"*GCO – HR (SuccessFactors)*")</f>
        <v>0</v>
      </c>
      <c r="N106">
        <f>COUNTIF('Metrics - Articles'!F105,"*GCO – Services Sales*")</f>
        <v>0</v>
      </c>
      <c r="O106">
        <f>COUNTIF('Metrics - Articles'!F105,"*GCO – Other*")</f>
        <v>0</v>
      </c>
      <c r="P106">
        <f>COUNTIF('Metrics - Articles'!F105,"*Corporate*")</f>
        <v>0</v>
      </c>
      <c r="R106" s="53">
        <f t="shared" si="3"/>
        <v>1</v>
      </c>
    </row>
    <row r="107" spans="2:18" hidden="1" x14ac:dyDescent="0.25">
      <c r="B107" s="48">
        <f>+'Metrics - Articles'!C106</f>
        <v>42094</v>
      </c>
      <c r="C107">
        <f>COUNTIF('Metrics - Articles'!F106,"*GPO (Partner, Ecosystem, Channels)*")</f>
        <v>0</v>
      </c>
      <c r="D107">
        <f>COUNTIF('Metrics - Articles'!F106,"*Office of the CEO*")</f>
        <v>0</v>
      </c>
      <c r="E107">
        <f>COUNTIF('Metrics - Articles'!F106,"*Services Delivery &amp; Support (go-lives and deployments) *")</f>
        <v>0</v>
      </c>
      <c r="F107">
        <f>COUNTIF('Metrics - Articles'!F106,"*Human Resources (SAP HR and employee stories)*")</f>
        <v>0</v>
      </c>
      <c r="G107">
        <f>COUNTIF('Metrics - Articles'!F106,"*P&amp;I (Research &amp; Development)*")</f>
        <v>0</v>
      </c>
      <c r="H107">
        <f>COUNTIF('Metrics - Articles'!F106,"*Business Network (Concur, Ariba, Fieldglass)*")</f>
        <v>0</v>
      </c>
      <c r="I107">
        <f>COUNTIF('Metrics - Articles'!F106,"*GCO – Regions*")</f>
        <v>0</v>
      </c>
      <c r="J107">
        <f>COUNTIF('Metrics - Articles'!F106,"*GCO – Platform Solutions*")</f>
        <v>0</v>
      </c>
      <c r="K107">
        <f>COUNTIF('Metrics - Articles'!F106,"*GCO – Industry Cloud *")</f>
        <v>0</v>
      </c>
      <c r="L107">
        <f>COUNTIF('Metrics - Articles'!F106,"*GCO – Customer Engagement &amp; Commerce (CRM &amp; hybris) *")</f>
        <v>0</v>
      </c>
      <c r="M107">
        <f>COUNTIF('Metrics - Articles'!F106,"*GCO – HR (SuccessFactors)*")</f>
        <v>1</v>
      </c>
      <c r="N107">
        <f>COUNTIF('Metrics - Articles'!F106,"*GCO – Services Sales*")</f>
        <v>0</v>
      </c>
      <c r="O107">
        <f>COUNTIF('Metrics - Articles'!F106,"*GCO – Other*")</f>
        <v>0</v>
      </c>
      <c r="P107">
        <f>COUNTIF('Metrics - Articles'!F106,"*Corporate*")</f>
        <v>0</v>
      </c>
      <c r="R107" s="53">
        <f t="shared" si="3"/>
        <v>1</v>
      </c>
    </row>
    <row r="108" spans="2:18" hidden="1" x14ac:dyDescent="0.25">
      <c r="B108" s="48">
        <f>+'Metrics - Articles'!C107</f>
        <v>42094</v>
      </c>
      <c r="C108">
        <f>COUNTIF('Metrics - Articles'!F107,"*GPO (Partner, Ecosystem, Channels)*")</f>
        <v>0</v>
      </c>
      <c r="D108">
        <f>COUNTIF('Metrics - Articles'!F107,"*Office of the CEO*")</f>
        <v>0</v>
      </c>
      <c r="E108">
        <f>COUNTIF('Metrics - Articles'!F107,"*Services Delivery &amp; Support (go-lives and deployments) *")</f>
        <v>0</v>
      </c>
      <c r="F108">
        <f>COUNTIF('Metrics - Articles'!F107,"*Human Resources (SAP HR and employee stories)*")</f>
        <v>0</v>
      </c>
      <c r="G108">
        <f>COUNTIF('Metrics - Articles'!F107,"*P&amp;I (Research &amp; Development)*")</f>
        <v>0</v>
      </c>
      <c r="H108">
        <f>COUNTIF('Metrics - Articles'!F107,"*Business Network (Concur, Ariba, Fieldglass)*")</f>
        <v>0</v>
      </c>
      <c r="I108">
        <f>COUNTIF('Metrics - Articles'!F107,"*GCO – Regions*")</f>
        <v>0</v>
      </c>
      <c r="J108">
        <f>COUNTIF('Metrics - Articles'!F107,"*GCO – Platform Solutions*")</f>
        <v>0</v>
      </c>
      <c r="K108">
        <f>COUNTIF('Metrics - Articles'!F107,"*GCO – Industry Cloud *")</f>
        <v>0</v>
      </c>
      <c r="L108">
        <f>COUNTIF('Metrics - Articles'!F107,"*GCO – Customer Engagement &amp; Commerce (CRM &amp; hybris) *")</f>
        <v>0</v>
      </c>
      <c r="M108">
        <f>COUNTIF('Metrics - Articles'!F107,"*GCO – HR (SuccessFactors)*")</f>
        <v>0</v>
      </c>
      <c r="N108">
        <f>COUNTIF('Metrics - Articles'!F107,"*GCO – Services Sales*")</f>
        <v>0</v>
      </c>
      <c r="O108">
        <f>COUNTIF('Metrics - Articles'!F107,"*GCO – Other*")</f>
        <v>0</v>
      </c>
      <c r="P108">
        <f>COUNTIF('Metrics - Articles'!F107,"*Corporate*")</f>
        <v>1</v>
      </c>
      <c r="R108" s="53">
        <f t="shared" si="3"/>
        <v>1</v>
      </c>
    </row>
    <row r="109" spans="2:18" hidden="1" x14ac:dyDescent="0.25">
      <c r="B109" s="48">
        <f>+'Metrics - Articles'!C108</f>
        <v>42094</v>
      </c>
      <c r="C109">
        <f>COUNTIF('Metrics - Articles'!F108,"*GPO (Partner, Ecosystem, Channels)*")</f>
        <v>0</v>
      </c>
      <c r="D109">
        <f>COUNTIF('Metrics - Articles'!F108,"*Office of the CEO*")</f>
        <v>0</v>
      </c>
      <c r="E109">
        <f>COUNTIF('Metrics - Articles'!F108,"*Services Delivery &amp; Support (go-lives and deployments) *")</f>
        <v>0</v>
      </c>
      <c r="F109">
        <f>COUNTIF('Metrics - Articles'!F108,"*Human Resources (SAP HR and employee stories)*")</f>
        <v>0</v>
      </c>
      <c r="G109">
        <f>COUNTIF('Metrics - Articles'!F108,"*P&amp;I (Research &amp; Development)*")</f>
        <v>0</v>
      </c>
      <c r="H109">
        <f>COUNTIF('Metrics - Articles'!F108,"*Business Network (Concur, Ariba, Fieldglass)*")</f>
        <v>0</v>
      </c>
      <c r="I109">
        <f>COUNTIF('Metrics - Articles'!F108,"*GCO – Regions*")</f>
        <v>0</v>
      </c>
      <c r="J109">
        <f>COUNTIF('Metrics - Articles'!F108,"*GCO – Platform Solutions*")</f>
        <v>1</v>
      </c>
      <c r="K109">
        <f>COUNTIF('Metrics - Articles'!F108,"*GCO – Industry Cloud *")</f>
        <v>0</v>
      </c>
      <c r="L109">
        <f>COUNTIF('Metrics - Articles'!F108,"*GCO – Customer Engagement &amp; Commerce (CRM &amp; hybris) *")</f>
        <v>0</v>
      </c>
      <c r="M109">
        <f>COUNTIF('Metrics - Articles'!F108,"*GCO – HR (SuccessFactors)*")</f>
        <v>0</v>
      </c>
      <c r="N109">
        <f>COUNTIF('Metrics - Articles'!F108,"*GCO – Services Sales*")</f>
        <v>0</v>
      </c>
      <c r="O109">
        <f>COUNTIF('Metrics - Articles'!F108,"*GCO – Other*")</f>
        <v>0</v>
      </c>
      <c r="P109">
        <f>COUNTIF('Metrics - Articles'!F108,"*Corporate*")</f>
        <v>0</v>
      </c>
      <c r="R109" s="53">
        <f t="shared" si="3"/>
        <v>1</v>
      </c>
    </row>
    <row r="110" spans="2:18" hidden="1" x14ac:dyDescent="0.25">
      <c r="B110" s="48">
        <f>+'Metrics - Articles'!C109</f>
        <v>42095</v>
      </c>
      <c r="C110">
        <f>COUNTIF('Metrics - Articles'!F109,"*GPO (Partner, Ecosystem, Channels)*")</f>
        <v>0</v>
      </c>
      <c r="D110">
        <f>COUNTIF('Metrics - Articles'!F109,"*Office of the CEO*")</f>
        <v>0</v>
      </c>
      <c r="E110">
        <f>COUNTIF('Metrics - Articles'!F109,"*Services Delivery &amp; Support (go-lives and deployments) *")</f>
        <v>0</v>
      </c>
      <c r="F110">
        <f>COUNTIF('Metrics - Articles'!F109,"*Human Resources (SAP HR and employee stories)*")</f>
        <v>0</v>
      </c>
      <c r="G110">
        <f>COUNTIF('Metrics - Articles'!F109,"*P&amp;I (Research &amp; Development)*")</f>
        <v>0</v>
      </c>
      <c r="H110">
        <f>COUNTIF('Metrics - Articles'!F109,"*Business Network (Concur, Ariba, Fieldglass)*")</f>
        <v>0</v>
      </c>
      <c r="I110">
        <f>COUNTIF('Metrics - Articles'!F109,"*GCO – Regions*")</f>
        <v>0</v>
      </c>
      <c r="J110">
        <f>COUNTIF('Metrics - Articles'!F109,"*GCO – Platform Solutions*")</f>
        <v>1</v>
      </c>
      <c r="K110">
        <f>COUNTIF('Metrics - Articles'!F109,"*GCO – Industry Cloud *")</f>
        <v>0</v>
      </c>
      <c r="L110">
        <f>COUNTIF('Metrics - Articles'!F109,"*GCO – Customer Engagement &amp; Commerce (CRM &amp; hybris) *")</f>
        <v>0</v>
      </c>
      <c r="M110">
        <f>COUNTIF('Metrics - Articles'!F109,"*GCO – HR (SuccessFactors)*")</f>
        <v>0</v>
      </c>
      <c r="N110">
        <f>COUNTIF('Metrics - Articles'!F109,"*GCO – Services Sales*")</f>
        <v>0</v>
      </c>
      <c r="O110">
        <f>COUNTIF('Metrics - Articles'!F109,"*GCO – Other*")</f>
        <v>0</v>
      </c>
      <c r="P110">
        <f>COUNTIF('Metrics - Articles'!F109,"*Corporate*")</f>
        <v>0</v>
      </c>
      <c r="R110" s="53">
        <f t="shared" si="3"/>
        <v>1</v>
      </c>
    </row>
    <row r="111" spans="2:18" hidden="1" x14ac:dyDescent="0.25">
      <c r="B111" s="48">
        <f>+'Metrics - Articles'!C110</f>
        <v>42096</v>
      </c>
      <c r="C111">
        <f>COUNTIF('Metrics - Articles'!F110,"*GPO (Partner, Ecosystem, Channels)*")</f>
        <v>0</v>
      </c>
      <c r="D111">
        <f>COUNTIF('Metrics - Articles'!F110,"*Office of the CEO*")</f>
        <v>0</v>
      </c>
      <c r="E111">
        <f>COUNTIF('Metrics - Articles'!F110,"*Services Delivery &amp; Support (go-lives and deployments) *")</f>
        <v>0</v>
      </c>
      <c r="F111">
        <f>COUNTIF('Metrics - Articles'!F110,"*Human Resources (SAP HR and employee stories)*")</f>
        <v>0</v>
      </c>
      <c r="G111">
        <f>COUNTIF('Metrics - Articles'!F110,"*P&amp;I (Research &amp; Development)*")</f>
        <v>0</v>
      </c>
      <c r="H111">
        <f>COUNTIF('Metrics - Articles'!F110,"*Business Network (Concur, Ariba, Fieldglass)*")</f>
        <v>0</v>
      </c>
      <c r="I111">
        <f>COUNTIF('Metrics - Articles'!F110,"*GCO – Regions*")</f>
        <v>0</v>
      </c>
      <c r="J111">
        <f>COUNTIF('Metrics - Articles'!F110,"*GCO – Platform Solutions*")</f>
        <v>0</v>
      </c>
      <c r="K111">
        <f>COUNTIF('Metrics - Articles'!F110,"*GCO – Industry Cloud *")</f>
        <v>1</v>
      </c>
      <c r="L111">
        <f>COUNTIF('Metrics - Articles'!F110,"*GCO – Customer Engagement &amp; Commerce (CRM &amp; hybris) *")</f>
        <v>0</v>
      </c>
      <c r="M111">
        <f>COUNTIF('Metrics - Articles'!F110,"*GCO – HR (SuccessFactors)*")</f>
        <v>0</v>
      </c>
      <c r="N111">
        <f>COUNTIF('Metrics - Articles'!F110,"*GCO – Services Sales*")</f>
        <v>0</v>
      </c>
      <c r="O111">
        <f>COUNTIF('Metrics - Articles'!F110,"*GCO – Other*")</f>
        <v>0</v>
      </c>
      <c r="P111">
        <f>COUNTIF('Metrics - Articles'!F110,"*Corporate*")</f>
        <v>0</v>
      </c>
      <c r="R111" s="53">
        <f t="shared" si="3"/>
        <v>1</v>
      </c>
    </row>
    <row r="112" spans="2:18" hidden="1" x14ac:dyDescent="0.25">
      <c r="B112" s="48">
        <f>+'Metrics - Articles'!C111</f>
        <v>42101</v>
      </c>
      <c r="C112">
        <f>COUNTIF('Metrics - Articles'!F111,"*GPO (Partner, Ecosystem, Channels)*")</f>
        <v>0</v>
      </c>
      <c r="D112">
        <f>COUNTIF('Metrics - Articles'!F111,"*Office of the CEO*")</f>
        <v>0</v>
      </c>
      <c r="E112">
        <f>COUNTIF('Metrics - Articles'!F111,"*Services Delivery &amp; Support (go-lives and deployments) *")</f>
        <v>0</v>
      </c>
      <c r="F112">
        <f>COUNTIF('Metrics - Articles'!F111,"*Human Resources (SAP HR and employee stories)*")</f>
        <v>0</v>
      </c>
      <c r="G112">
        <f>COUNTIF('Metrics - Articles'!F111,"*P&amp;I (Research &amp; Development)*")</f>
        <v>0</v>
      </c>
      <c r="H112">
        <f>COUNTIF('Metrics - Articles'!F111,"*Business Network (Concur, Ariba, Fieldglass)*")</f>
        <v>0</v>
      </c>
      <c r="I112">
        <f>COUNTIF('Metrics - Articles'!F111,"*GCO – Regions*")</f>
        <v>1</v>
      </c>
      <c r="J112">
        <f>COUNTIF('Metrics - Articles'!F111,"*GCO – Platform Solutions*")</f>
        <v>0</v>
      </c>
      <c r="K112">
        <f>COUNTIF('Metrics - Articles'!F111,"*GCO – Industry Cloud *")</f>
        <v>0</v>
      </c>
      <c r="L112">
        <f>COUNTIF('Metrics - Articles'!F111,"*GCO – Customer Engagement &amp; Commerce (CRM &amp; hybris) *")</f>
        <v>0</v>
      </c>
      <c r="M112">
        <f>COUNTIF('Metrics - Articles'!F111,"*GCO – HR (SuccessFactors)*")</f>
        <v>0</v>
      </c>
      <c r="N112">
        <f>COUNTIF('Metrics - Articles'!F111,"*GCO – Services Sales*")</f>
        <v>0</v>
      </c>
      <c r="O112">
        <f>COUNTIF('Metrics - Articles'!F111,"*GCO – Other*")</f>
        <v>0</v>
      </c>
      <c r="P112">
        <f>COUNTIF('Metrics - Articles'!F111,"*Corporate*")</f>
        <v>0</v>
      </c>
      <c r="R112" s="53">
        <f t="shared" si="3"/>
        <v>1</v>
      </c>
    </row>
    <row r="113" spans="2:18" hidden="1" x14ac:dyDescent="0.25">
      <c r="B113" s="48">
        <f>+'Metrics - Articles'!C112</f>
        <v>42101</v>
      </c>
      <c r="C113">
        <f>COUNTIF('Metrics - Articles'!F112,"*GPO (Partner, Ecosystem, Channels)*")</f>
        <v>0</v>
      </c>
      <c r="D113">
        <f>COUNTIF('Metrics - Articles'!F112,"*Office of the CEO*")</f>
        <v>0</v>
      </c>
      <c r="E113">
        <f>COUNTIF('Metrics - Articles'!F112,"*Services Delivery &amp; Support (go-lives and deployments) *")</f>
        <v>0</v>
      </c>
      <c r="F113">
        <f>COUNTIF('Metrics - Articles'!F112,"*Human Resources (SAP HR and employee stories)*")</f>
        <v>0</v>
      </c>
      <c r="G113">
        <f>COUNTIF('Metrics - Articles'!F112,"*P&amp;I (Research &amp; Development)*")</f>
        <v>0</v>
      </c>
      <c r="H113">
        <f>COUNTIF('Metrics - Articles'!F112,"*Business Network (Concur, Ariba, Fieldglass)*")</f>
        <v>0</v>
      </c>
      <c r="I113">
        <f>COUNTIF('Metrics - Articles'!F112,"*GCO – Regions*")</f>
        <v>0</v>
      </c>
      <c r="J113">
        <f>COUNTIF('Metrics - Articles'!F112,"*GCO – Platform Solutions*")</f>
        <v>0</v>
      </c>
      <c r="K113">
        <f>COUNTIF('Metrics - Articles'!F112,"*GCO – Industry Cloud *")</f>
        <v>0</v>
      </c>
      <c r="L113">
        <f>COUNTIF('Metrics - Articles'!F112,"*GCO – Customer Engagement &amp; Commerce (CRM &amp; hybris) *")</f>
        <v>0</v>
      </c>
      <c r="M113">
        <f>COUNTIF('Metrics - Articles'!F112,"*GCO – HR (SuccessFactors)*")</f>
        <v>0</v>
      </c>
      <c r="N113">
        <f>COUNTIF('Metrics - Articles'!F112,"*GCO – Services Sales*")</f>
        <v>0</v>
      </c>
      <c r="O113">
        <f>COUNTIF('Metrics - Articles'!F112,"*GCO – Other*")</f>
        <v>0</v>
      </c>
      <c r="P113">
        <f>COUNTIF('Metrics - Articles'!F112,"*Corporate*")</f>
        <v>1</v>
      </c>
      <c r="R113" s="53">
        <f t="shared" si="3"/>
        <v>1</v>
      </c>
    </row>
    <row r="114" spans="2:18" hidden="1" x14ac:dyDescent="0.25">
      <c r="B114" s="48">
        <f>+'Metrics - Articles'!C113</f>
        <v>42102</v>
      </c>
      <c r="C114">
        <f>COUNTIF('Metrics - Articles'!F113,"*GPO (Partner, Ecosystem, Channels)*")</f>
        <v>0</v>
      </c>
      <c r="D114">
        <f>COUNTIF('Metrics - Articles'!F113,"*Office of the CEO*")</f>
        <v>0</v>
      </c>
      <c r="E114">
        <f>COUNTIF('Metrics - Articles'!F113,"*Services Delivery &amp; Support (go-lives and deployments) *")</f>
        <v>0</v>
      </c>
      <c r="F114">
        <f>COUNTIF('Metrics - Articles'!F113,"*Human Resources (SAP HR and employee stories)*")</f>
        <v>0</v>
      </c>
      <c r="G114">
        <f>COUNTIF('Metrics - Articles'!F113,"*P&amp;I (Research &amp; Development)*")</f>
        <v>0</v>
      </c>
      <c r="H114">
        <f>COUNTIF('Metrics - Articles'!F113,"*Business Network (Concur, Ariba, Fieldglass)*")</f>
        <v>0</v>
      </c>
      <c r="I114">
        <f>COUNTIF('Metrics - Articles'!F113,"*GCO – Regions*")</f>
        <v>0</v>
      </c>
      <c r="J114">
        <f>COUNTIF('Metrics - Articles'!F113,"*GCO – Platform Solutions*")</f>
        <v>1</v>
      </c>
      <c r="K114">
        <f>COUNTIF('Metrics - Articles'!F113,"*GCO – Industry Cloud *")</f>
        <v>0</v>
      </c>
      <c r="L114">
        <f>COUNTIF('Metrics - Articles'!F113,"*GCO – Customer Engagement &amp; Commerce (CRM &amp; hybris) *")</f>
        <v>0</v>
      </c>
      <c r="M114">
        <f>COUNTIF('Metrics - Articles'!F113,"*GCO – HR (SuccessFactors)*")</f>
        <v>0</v>
      </c>
      <c r="N114">
        <f>COUNTIF('Metrics - Articles'!F113,"*GCO – Services Sales*")</f>
        <v>0</v>
      </c>
      <c r="O114">
        <f>COUNTIF('Metrics - Articles'!F113,"*GCO – Other*")</f>
        <v>0</v>
      </c>
      <c r="P114">
        <f>COUNTIF('Metrics - Articles'!F113,"*Corporate*")</f>
        <v>0</v>
      </c>
      <c r="R114" s="53">
        <f t="shared" si="3"/>
        <v>1</v>
      </c>
    </row>
    <row r="115" spans="2:18" hidden="1" x14ac:dyDescent="0.25">
      <c r="B115" s="48">
        <f>+'Metrics - Articles'!C114</f>
        <v>42103</v>
      </c>
      <c r="C115">
        <f>COUNTIF('Metrics - Articles'!F114,"*GPO (Partner, Ecosystem, Channels)*")</f>
        <v>0</v>
      </c>
      <c r="D115">
        <f>COUNTIF('Metrics - Articles'!F114,"*Office of the CEO*")</f>
        <v>0</v>
      </c>
      <c r="E115">
        <f>COUNTIF('Metrics - Articles'!F114,"*Services Delivery &amp; Support (go-lives and deployments) *")</f>
        <v>0</v>
      </c>
      <c r="F115">
        <f>COUNTIF('Metrics - Articles'!F114,"*Human Resources (SAP HR and employee stories)*")</f>
        <v>1</v>
      </c>
      <c r="G115">
        <f>COUNTIF('Metrics - Articles'!F114,"*P&amp;I (Research &amp; Development)*")</f>
        <v>0</v>
      </c>
      <c r="H115">
        <f>COUNTIF('Metrics - Articles'!F114,"*Business Network (Concur, Ariba, Fieldglass)*")</f>
        <v>0</v>
      </c>
      <c r="I115">
        <f>COUNTIF('Metrics - Articles'!F114,"*GCO – Regions*")</f>
        <v>0</v>
      </c>
      <c r="J115">
        <f>COUNTIF('Metrics - Articles'!F114,"*GCO – Platform Solutions*")</f>
        <v>0</v>
      </c>
      <c r="K115">
        <f>COUNTIF('Metrics - Articles'!F114,"*GCO – Industry Cloud *")</f>
        <v>0</v>
      </c>
      <c r="L115">
        <f>COUNTIF('Metrics - Articles'!F114,"*GCO – Customer Engagement &amp; Commerce (CRM &amp; hybris) *")</f>
        <v>0</v>
      </c>
      <c r="M115">
        <f>COUNTIF('Metrics - Articles'!F114,"*GCO – HR (SuccessFactors)*")</f>
        <v>0</v>
      </c>
      <c r="N115">
        <f>COUNTIF('Metrics - Articles'!F114,"*GCO – Services Sales*")</f>
        <v>0</v>
      </c>
      <c r="O115">
        <f>COUNTIF('Metrics - Articles'!F114,"*GCO – Other*")</f>
        <v>0</v>
      </c>
      <c r="P115">
        <f>COUNTIF('Metrics - Articles'!F114,"*Corporate*")</f>
        <v>0</v>
      </c>
      <c r="R115" s="53">
        <f t="shared" si="3"/>
        <v>1</v>
      </c>
    </row>
    <row r="116" spans="2:18" hidden="1" x14ac:dyDescent="0.25">
      <c r="B116" s="48">
        <f>+'Metrics - Articles'!C115</f>
        <v>42103</v>
      </c>
      <c r="C116">
        <f>COUNTIF('Metrics - Articles'!F115,"*GPO (Partner, Ecosystem, Channels)*")</f>
        <v>0</v>
      </c>
      <c r="D116">
        <f>COUNTIF('Metrics - Articles'!F115,"*Office of the CEO*")</f>
        <v>0</v>
      </c>
      <c r="E116">
        <f>COUNTIF('Metrics - Articles'!F115,"*Services Delivery &amp; Support (go-lives and deployments) *")</f>
        <v>0</v>
      </c>
      <c r="F116">
        <f>COUNTIF('Metrics - Articles'!F115,"*Human Resources (SAP HR and employee stories)*")</f>
        <v>0</v>
      </c>
      <c r="G116">
        <f>COUNTIF('Metrics - Articles'!F115,"*P&amp;I (Research &amp; Development)*")</f>
        <v>0</v>
      </c>
      <c r="H116">
        <f>COUNTIF('Metrics - Articles'!F115,"*Business Network (Concur, Ariba, Fieldglass)*")</f>
        <v>0</v>
      </c>
      <c r="I116">
        <f>COUNTIF('Metrics - Articles'!F115,"*GCO – Regions*")</f>
        <v>1</v>
      </c>
      <c r="J116">
        <f>COUNTIF('Metrics - Articles'!F115,"*GCO – Platform Solutions*")</f>
        <v>0</v>
      </c>
      <c r="K116">
        <f>COUNTIF('Metrics - Articles'!F115,"*GCO – Industry Cloud *")</f>
        <v>0</v>
      </c>
      <c r="L116">
        <f>COUNTIF('Metrics - Articles'!F115,"*GCO – Customer Engagement &amp; Commerce (CRM &amp; hybris) *")</f>
        <v>0</v>
      </c>
      <c r="M116">
        <f>COUNTIF('Metrics - Articles'!F115,"*GCO – HR (SuccessFactors)*")</f>
        <v>0</v>
      </c>
      <c r="N116">
        <f>COUNTIF('Metrics - Articles'!F115,"*GCO – Services Sales*")</f>
        <v>0</v>
      </c>
      <c r="O116">
        <f>COUNTIF('Metrics - Articles'!F115,"*GCO – Other*")</f>
        <v>0</v>
      </c>
      <c r="P116">
        <f>COUNTIF('Metrics - Articles'!F115,"*Corporate*")</f>
        <v>0</v>
      </c>
      <c r="R116" s="53">
        <f t="shared" si="3"/>
        <v>1</v>
      </c>
    </row>
    <row r="117" spans="2:18" hidden="1" x14ac:dyDescent="0.25">
      <c r="B117" s="48">
        <f>+'Metrics - Articles'!C116</f>
        <v>42107</v>
      </c>
      <c r="C117">
        <f>COUNTIF('Metrics - Articles'!F116,"*GPO (Partner, Ecosystem, Channels)*")</f>
        <v>0</v>
      </c>
      <c r="D117">
        <f>COUNTIF('Metrics - Articles'!F116,"*Office of the CEO*")</f>
        <v>0</v>
      </c>
      <c r="E117">
        <f>COUNTIF('Metrics - Articles'!F116,"*Services Delivery &amp; Support (go-lives and deployments) *")</f>
        <v>0</v>
      </c>
      <c r="F117">
        <f>COUNTIF('Metrics - Articles'!F116,"*Human Resources (SAP HR and employee stories)*")</f>
        <v>1</v>
      </c>
      <c r="G117">
        <f>COUNTIF('Metrics - Articles'!F116,"*P&amp;I (Research &amp; Development)*")</f>
        <v>0</v>
      </c>
      <c r="H117">
        <f>COUNTIF('Metrics - Articles'!F116,"*Business Network (Concur, Ariba, Fieldglass)*")</f>
        <v>0</v>
      </c>
      <c r="I117">
        <f>COUNTIF('Metrics - Articles'!F116,"*GCO – Regions*")</f>
        <v>0</v>
      </c>
      <c r="J117">
        <f>COUNTIF('Metrics - Articles'!F116,"*GCO – Platform Solutions*")</f>
        <v>0</v>
      </c>
      <c r="K117">
        <f>COUNTIF('Metrics - Articles'!F116,"*GCO – Industry Cloud *")</f>
        <v>0</v>
      </c>
      <c r="L117">
        <f>COUNTIF('Metrics - Articles'!F116,"*GCO – Customer Engagement &amp; Commerce (CRM &amp; hybris) *")</f>
        <v>0</v>
      </c>
      <c r="M117">
        <f>COUNTIF('Metrics - Articles'!F116,"*GCO – HR (SuccessFactors)*")</f>
        <v>0</v>
      </c>
      <c r="N117">
        <f>COUNTIF('Metrics - Articles'!F116,"*GCO – Services Sales*")</f>
        <v>0</v>
      </c>
      <c r="O117">
        <f>COUNTIF('Metrics - Articles'!F116,"*GCO – Other*")</f>
        <v>0</v>
      </c>
      <c r="P117">
        <f>COUNTIF('Metrics - Articles'!F116,"*Corporate*")</f>
        <v>0</v>
      </c>
      <c r="R117" s="53">
        <f t="shared" si="3"/>
        <v>1</v>
      </c>
    </row>
    <row r="118" spans="2:18" hidden="1" x14ac:dyDescent="0.25">
      <c r="B118" s="48">
        <f>+'Metrics - Articles'!C117</f>
        <v>42107</v>
      </c>
      <c r="C118">
        <f>COUNTIF('Metrics - Articles'!F117,"*GPO (Partner, Ecosystem, Channels)*")</f>
        <v>0</v>
      </c>
      <c r="D118">
        <f>COUNTIF('Metrics - Articles'!F117,"*Office of the CEO*")</f>
        <v>0</v>
      </c>
      <c r="E118">
        <f>COUNTIF('Metrics - Articles'!F117,"*Services Delivery &amp; Support (go-lives and deployments) *")</f>
        <v>1</v>
      </c>
      <c r="F118">
        <f>COUNTIF('Metrics - Articles'!F117,"*Human Resources (SAP HR and employee stories)*")</f>
        <v>0</v>
      </c>
      <c r="G118">
        <f>COUNTIF('Metrics - Articles'!F117,"*P&amp;I (Research &amp; Development)*")</f>
        <v>0</v>
      </c>
      <c r="H118">
        <f>COUNTIF('Metrics - Articles'!F117,"*Business Network (Concur, Ariba, Fieldglass)*")</f>
        <v>0</v>
      </c>
      <c r="I118">
        <f>COUNTIF('Metrics - Articles'!F117,"*GCO – Regions*")</f>
        <v>0</v>
      </c>
      <c r="J118">
        <f>COUNTIF('Metrics - Articles'!F117,"*GCO – Platform Solutions*")</f>
        <v>0</v>
      </c>
      <c r="K118">
        <f>COUNTIF('Metrics - Articles'!F117,"*GCO – Industry Cloud *")</f>
        <v>0</v>
      </c>
      <c r="L118">
        <f>COUNTIF('Metrics - Articles'!F117,"*GCO – Customer Engagement &amp; Commerce (CRM &amp; hybris) *")</f>
        <v>0</v>
      </c>
      <c r="M118">
        <f>COUNTIF('Metrics - Articles'!F117,"*GCO – HR (SuccessFactors)*")</f>
        <v>0</v>
      </c>
      <c r="N118">
        <f>COUNTIF('Metrics - Articles'!F117,"*GCO – Services Sales*")</f>
        <v>0</v>
      </c>
      <c r="O118">
        <f>COUNTIF('Metrics - Articles'!F117,"*GCO – Other*")</f>
        <v>0</v>
      </c>
      <c r="P118">
        <f>COUNTIF('Metrics - Articles'!F117,"*Corporate*")</f>
        <v>0</v>
      </c>
      <c r="R118" s="53">
        <f t="shared" si="3"/>
        <v>1</v>
      </c>
    </row>
    <row r="119" spans="2:18" hidden="1" x14ac:dyDescent="0.25">
      <c r="B119" s="48">
        <f>+'Metrics - Articles'!C118</f>
        <v>42107</v>
      </c>
      <c r="C119">
        <f>COUNTIF('Metrics - Articles'!F118,"*GPO (Partner, Ecosystem, Channels)*")</f>
        <v>0</v>
      </c>
      <c r="D119">
        <f>COUNTIF('Metrics - Articles'!F118,"*Office of the CEO*")</f>
        <v>0</v>
      </c>
      <c r="E119">
        <f>COUNTIF('Metrics - Articles'!F118,"*Services Delivery &amp; Support (go-lives and deployments) *")</f>
        <v>0</v>
      </c>
      <c r="F119">
        <f>COUNTIF('Metrics - Articles'!F118,"*Human Resources (SAP HR and employee stories)*")</f>
        <v>0</v>
      </c>
      <c r="G119">
        <f>COUNTIF('Metrics - Articles'!F118,"*P&amp;I (Research &amp; Development)*")</f>
        <v>0</v>
      </c>
      <c r="H119">
        <f>COUNTIF('Metrics - Articles'!F118,"*Business Network (Concur, Ariba, Fieldglass)*")</f>
        <v>0</v>
      </c>
      <c r="I119">
        <f>COUNTIF('Metrics - Articles'!F118,"*GCO – Regions*")</f>
        <v>0</v>
      </c>
      <c r="J119">
        <f>COUNTIF('Metrics - Articles'!F118,"*GCO – Platform Solutions*")</f>
        <v>0</v>
      </c>
      <c r="K119">
        <f>COUNTIF('Metrics - Articles'!F118,"*GCO – Industry Cloud *")</f>
        <v>1</v>
      </c>
      <c r="L119">
        <f>COUNTIF('Metrics - Articles'!F118,"*GCO – Customer Engagement &amp; Commerce (CRM &amp; hybris) *")</f>
        <v>0</v>
      </c>
      <c r="M119">
        <f>COUNTIF('Metrics - Articles'!F118,"*GCO – HR (SuccessFactors)*")</f>
        <v>0</v>
      </c>
      <c r="N119">
        <f>COUNTIF('Metrics - Articles'!F118,"*GCO – Services Sales*")</f>
        <v>0</v>
      </c>
      <c r="O119">
        <f>COUNTIF('Metrics - Articles'!F118,"*GCO – Other*")</f>
        <v>0</v>
      </c>
      <c r="P119">
        <f>COUNTIF('Metrics - Articles'!F118,"*Corporate*")</f>
        <v>0</v>
      </c>
      <c r="R119" s="53">
        <f t="shared" si="3"/>
        <v>1</v>
      </c>
    </row>
    <row r="120" spans="2:18" hidden="1" x14ac:dyDescent="0.25">
      <c r="B120" s="48">
        <f>+'Metrics - Articles'!C119</f>
        <v>42108</v>
      </c>
      <c r="C120">
        <f>COUNTIF('Metrics - Articles'!F119,"*GPO (Partner, Ecosystem, Channels)*")</f>
        <v>0</v>
      </c>
      <c r="D120">
        <f>COUNTIF('Metrics - Articles'!F119,"*Office of the CEO*")</f>
        <v>0</v>
      </c>
      <c r="E120">
        <f>COUNTIF('Metrics - Articles'!F119,"*Services Delivery &amp; Support (go-lives and deployments) *")</f>
        <v>0</v>
      </c>
      <c r="F120">
        <f>COUNTIF('Metrics - Articles'!F119,"*Human Resources (SAP HR and employee stories)*")</f>
        <v>1</v>
      </c>
      <c r="G120">
        <f>COUNTIF('Metrics - Articles'!F119,"*P&amp;I (Research &amp; Development)*")</f>
        <v>0</v>
      </c>
      <c r="H120">
        <f>COUNTIF('Metrics - Articles'!F119,"*Business Network (Concur, Ariba, Fieldglass)*")</f>
        <v>0</v>
      </c>
      <c r="I120">
        <f>COUNTIF('Metrics - Articles'!F119,"*GCO – Regions*")</f>
        <v>0</v>
      </c>
      <c r="J120">
        <f>COUNTIF('Metrics - Articles'!F119,"*GCO – Platform Solutions*")</f>
        <v>0</v>
      </c>
      <c r="K120">
        <f>COUNTIF('Metrics - Articles'!F119,"*GCO – Industry Cloud *")</f>
        <v>0</v>
      </c>
      <c r="L120">
        <f>COUNTIF('Metrics - Articles'!F119,"*GCO – Customer Engagement &amp; Commerce (CRM &amp; hybris) *")</f>
        <v>0</v>
      </c>
      <c r="M120">
        <f>COUNTIF('Metrics - Articles'!F119,"*GCO – HR (SuccessFactors)*")</f>
        <v>0</v>
      </c>
      <c r="N120">
        <f>COUNTIF('Metrics - Articles'!F119,"*GCO – Services Sales*")</f>
        <v>0</v>
      </c>
      <c r="O120">
        <f>COUNTIF('Metrics - Articles'!F119,"*GCO – Other*")</f>
        <v>0</v>
      </c>
      <c r="P120">
        <f>COUNTIF('Metrics - Articles'!F119,"*Corporate*")</f>
        <v>0</v>
      </c>
      <c r="R120" s="53">
        <f t="shared" si="3"/>
        <v>1</v>
      </c>
    </row>
    <row r="121" spans="2:18" hidden="1" x14ac:dyDescent="0.25">
      <c r="B121" s="48">
        <f>+'Metrics - Articles'!C120</f>
        <v>42109</v>
      </c>
      <c r="C121">
        <f>COUNTIF('Metrics - Articles'!F120,"*GPO (Partner, Ecosystem, Channels)*")</f>
        <v>0</v>
      </c>
      <c r="D121">
        <f>COUNTIF('Metrics - Articles'!F120,"*Office of the CEO*")</f>
        <v>0</v>
      </c>
      <c r="E121">
        <f>COUNTIF('Metrics - Articles'!F120,"*Services Delivery &amp; Support (go-lives and deployments) *")</f>
        <v>0</v>
      </c>
      <c r="F121">
        <f>COUNTIF('Metrics - Articles'!F120,"*Human Resources (SAP HR and employee stories)*")</f>
        <v>0</v>
      </c>
      <c r="G121">
        <f>COUNTIF('Metrics - Articles'!F120,"*P&amp;I (Research &amp; Development)*")</f>
        <v>0</v>
      </c>
      <c r="H121">
        <f>COUNTIF('Metrics - Articles'!F120,"*Business Network (Concur, Ariba, Fieldglass)*")</f>
        <v>0</v>
      </c>
      <c r="I121">
        <f>COUNTIF('Metrics - Articles'!F120,"*GCO – Regions*")</f>
        <v>1</v>
      </c>
      <c r="J121">
        <f>COUNTIF('Metrics - Articles'!F120,"*GCO – Platform Solutions*")</f>
        <v>0</v>
      </c>
      <c r="K121">
        <f>COUNTIF('Metrics - Articles'!F120,"*GCO – Industry Cloud *")</f>
        <v>0</v>
      </c>
      <c r="L121">
        <f>COUNTIF('Metrics - Articles'!F120,"*GCO – Customer Engagement &amp; Commerce (CRM &amp; hybris) *")</f>
        <v>0</v>
      </c>
      <c r="M121">
        <f>COUNTIF('Metrics - Articles'!F120,"*GCO – HR (SuccessFactors)*")</f>
        <v>0</v>
      </c>
      <c r="N121">
        <f>COUNTIF('Metrics - Articles'!F120,"*GCO – Services Sales*")</f>
        <v>0</v>
      </c>
      <c r="O121">
        <f>COUNTIF('Metrics - Articles'!F120,"*GCO – Other*")</f>
        <v>0</v>
      </c>
      <c r="P121">
        <f>COUNTIF('Metrics - Articles'!F120,"*Corporate*")</f>
        <v>0</v>
      </c>
      <c r="R121" s="53">
        <f t="shared" si="3"/>
        <v>1</v>
      </c>
    </row>
    <row r="122" spans="2:18" hidden="1" x14ac:dyDescent="0.25">
      <c r="B122" s="48">
        <f>+'Metrics - Articles'!C121</f>
        <v>42109</v>
      </c>
      <c r="C122">
        <f>COUNTIF('Metrics - Articles'!F121,"*GPO (Partner, Ecosystem, Channels)*")</f>
        <v>0</v>
      </c>
      <c r="D122">
        <f>COUNTIF('Metrics - Articles'!F121,"*Office of the CEO*")</f>
        <v>0</v>
      </c>
      <c r="E122">
        <f>COUNTIF('Metrics - Articles'!F121,"*Services Delivery &amp; Support (go-lives and deployments) *")</f>
        <v>0</v>
      </c>
      <c r="F122">
        <f>COUNTIF('Metrics - Articles'!F121,"*Human Resources (SAP HR and employee stories)*")</f>
        <v>1</v>
      </c>
      <c r="G122">
        <f>COUNTIF('Metrics - Articles'!F121,"*P&amp;I (Research &amp; Development)*")</f>
        <v>0</v>
      </c>
      <c r="H122">
        <f>COUNTIF('Metrics - Articles'!F121,"*Business Network (Concur, Ariba, Fieldglass)*")</f>
        <v>0</v>
      </c>
      <c r="I122">
        <f>COUNTIF('Metrics - Articles'!F121,"*GCO – Regions*")</f>
        <v>0</v>
      </c>
      <c r="J122">
        <f>COUNTIF('Metrics - Articles'!F121,"*GCO – Platform Solutions*")</f>
        <v>0</v>
      </c>
      <c r="K122">
        <f>COUNTIF('Metrics - Articles'!F121,"*GCO – Industry Cloud *")</f>
        <v>0</v>
      </c>
      <c r="L122">
        <f>COUNTIF('Metrics - Articles'!F121,"*GCO – Customer Engagement &amp; Commerce (CRM &amp; hybris) *")</f>
        <v>0</v>
      </c>
      <c r="M122">
        <f>COUNTIF('Metrics - Articles'!F121,"*GCO – HR (SuccessFactors)*")</f>
        <v>0</v>
      </c>
      <c r="N122">
        <f>COUNTIF('Metrics - Articles'!F121,"*GCO – Services Sales*")</f>
        <v>0</v>
      </c>
      <c r="O122">
        <f>COUNTIF('Metrics - Articles'!F121,"*GCO – Other*")</f>
        <v>0</v>
      </c>
      <c r="P122">
        <f>COUNTIF('Metrics - Articles'!F121,"*Corporate*")</f>
        <v>0</v>
      </c>
      <c r="R122" s="53">
        <f t="shared" si="3"/>
        <v>1</v>
      </c>
    </row>
    <row r="123" spans="2:18" hidden="1" x14ac:dyDescent="0.25">
      <c r="B123" s="48">
        <f>+'Metrics - Articles'!C122</f>
        <v>42109</v>
      </c>
      <c r="C123">
        <f>COUNTIF('Metrics - Articles'!F122,"*GPO (Partner, Ecosystem, Channels)*")</f>
        <v>0</v>
      </c>
      <c r="D123">
        <f>COUNTIF('Metrics - Articles'!F122,"*Office of the CEO*")</f>
        <v>0</v>
      </c>
      <c r="E123">
        <f>COUNTIF('Metrics - Articles'!F122,"*Services Delivery &amp; Support (go-lives and deployments) *")</f>
        <v>0</v>
      </c>
      <c r="F123">
        <f>COUNTIF('Metrics - Articles'!F122,"*Human Resources (SAP HR and employee stories)*")</f>
        <v>0</v>
      </c>
      <c r="G123">
        <f>COUNTIF('Metrics - Articles'!F122,"*P&amp;I (Research &amp; Development)*")</f>
        <v>0</v>
      </c>
      <c r="H123">
        <f>COUNTIF('Metrics - Articles'!F122,"*Business Network (Concur, Ariba, Fieldglass)*")</f>
        <v>0</v>
      </c>
      <c r="I123">
        <f>COUNTIF('Metrics - Articles'!F122,"*GCO – Regions*")</f>
        <v>0</v>
      </c>
      <c r="J123">
        <f>COUNTIF('Metrics - Articles'!F122,"*GCO – Platform Solutions*")</f>
        <v>1</v>
      </c>
      <c r="K123">
        <f>COUNTIF('Metrics - Articles'!F122,"*GCO – Industry Cloud *")</f>
        <v>0</v>
      </c>
      <c r="L123">
        <f>COUNTIF('Metrics - Articles'!F122,"*GCO – Customer Engagement &amp; Commerce (CRM &amp; hybris) *")</f>
        <v>0</v>
      </c>
      <c r="M123">
        <f>COUNTIF('Metrics - Articles'!F122,"*GCO – HR (SuccessFactors)*")</f>
        <v>0</v>
      </c>
      <c r="N123">
        <f>COUNTIF('Metrics - Articles'!F122,"*GCO – Services Sales*")</f>
        <v>0</v>
      </c>
      <c r="O123">
        <f>COUNTIF('Metrics - Articles'!F122,"*GCO – Other*")</f>
        <v>0</v>
      </c>
      <c r="P123">
        <f>COUNTIF('Metrics - Articles'!F122,"*Corporate*")</f>
        <v>0</v>
      </c>
      <c r="R123" s="53">
        <f t="shared" si="3"/>
        <v>1</v>
      </c>
    </row>
    <row r="124" spans="2:18" hidden="1" x14ac:dyDescent="0.25">
      <c r="B124" s="48">
        <f>+'Metrics - Articles'!C123</f>
        <v>42110</v>
      </c>
      <c r="C124">
        <f>COUNTIF('Metrics - Articles'!F123,"*GPO (Partner, Ecosystem, Channels)*")</f>
        <v>0</v>
      </c>
      <c r="D124">
        <f>COUNTIF('Metrics - Articles'!F123,"*Office of the CEO*")</f>
        <v>0</v>
      </c>
      <c r="E124">
        <f>COUNTIF('Metrics - Articles'!F123,"*Services Delivery &amp; Support (go-lives and deployments) *")</f>
        <v>0</v>
      </c>
      <c r="F124">
        <f>COUNTIF('Metrics - Articles'!F123,"*Human Resources (SAP HR and employee stories)*")</f>
        <v>1</v>
      </c>
      <c r="G124">
        <f>COUNTIF('Metrics - Articles'!F123,"*P&amp;I (Research &amp; Development)*")</f>
        <v>0</v>
      </c>
      <c r="H124">
        <f>COUNTIF('Metrics - Articles'!F123,"*Business Network (Concur, Ariba, Fieldglass)*")</f>
        <v>0</v>
      </c>
      <c r="I124">
        <f>COUNTIF('Metrics - Articles'!F123,"*GCO – Regions*")</f>
        <v>0</v>
      </c>
      <c r="J124">
        <f>COUNTIF('Metrics - Articles'!F123,"*GCO – Platform Solutions*")</f>
        <v>0</v>
      </c>
      <c r="K124">
        <f>COUNTIF('Metrics - Articles'!F123,"*GCO – Industry Cloud *")</f>
        <v>0</v>
      </c>
      <c r="L124">
        <f>COUNTIF('Metrics - Articles'!F123,"*GCO – Customer Engagement &amp; Commerce (CRM &amp; hybris) *")</f>
        <v>0</v>
      </c>
      <c r="M124">
        <f>COUNTIF('Metrics - Articles'!F123,"*GCO – HR (SuccessFactors)*")</f>
        <v>0</v>
      </c>
      <c r="N124">
        <f>COUNTIF('Metrics - Articles'!F123,"*GCO – Services Sales*")</f>
        <v>0</v>
      </c>
      <c r="O124">
        <f>COUNTIF('Metrics - Articles'!F123,"*GCO – Other*")</f>
        <v>0</v>
      </c>
      <c r="P124">
        <f>COUNTIF('Metrics - Articles'!F123,"*Corporate*")</f>
        <v>0</v>
      </c>
      <c r="R124" s="53">
        <f t="shared" si="3"/>
        <v>1</v>
      </c>
    </row>
    <row r="125" spans="2:18" hidden="1" x14ac:dyDescent="0.25">
      <c r="B125" s="48">
        <f>+'Metrics - Articles'!C124</f>
        <v>42110</v>
      </c>
      <c r="C125">
        <f>COUNTIF('Metrics - Articles'!F124,"*GPO (Partner, Ecosystem, Channels)*")</f>
        <v>0</v>
      </c>
      <c r="D125">
        <f>COUNTIF('Metrics - Articles'!F124,"*Office of the CEO*")</f>
        <v>0</v>
      </c>
      <c r="E125">
        <f>COUNTIF('Metrics - Articles'!F124,"*Services Delivery &amp; Support (go-lives and deployments) *")</f>
        <v>0</v>
      </c>
      <c r="F125">
        <f>COUNTIF('Metrics - Articles'!F124,"*Human Resources (SAP HR and employee stories)*")</f>
        <v>0</v>
      </c>
      <c r="G125">
        <f>COUNTIF('Metrics - Articles'!F124,"*P&amp;I (Research &amp; Development)*")</f>
        <v>0</v>
      </c>
      <c r="H125">
        <f>COUNTIF('Metrics - Articles'!F124,"*Business Network (Concur, Ariba, Fieldglass)*")</f>
        <v>0</v>
      </c>
      <c r="I125">
        <f>COUNTIF('Metrics - Articles'!F124,"*GCO – Regions*")</f>
        <v>0</v>
      </c>
      <c r="J125">
        <f>COUNTIF('Metrics - Articles'!F124,"*GCO – Platform Solutions*")</f>
        <v>0</v>
      </c>
      <c r="K125">
        <f>COUNTIF('Metrics - Articles'!F124,"*GCO – Industry Cloud *")</f>
        <v>1</v>
      </c>
      <c r="L125">
        <f>COUNTIF('Metrics - Articles'!F124,"*GCO – Customer Engagement &amp; Commerce (CRM &amp; hybris) *")</f>
        <v>0</v>
      </c>
      <c r="M125">
        <f>COUNTIF('Metrics - Articles'!F124,"*GCO – HR (SuccessFactors)*")</f>
        <v>0</v>
      </c>
      <c r="N125">
        <f>COUNTIF('Metrics - Articles'!F124,"*GCO – Services Sales*")</f>
        <v>0</v>
      </c>
      <c r="O125">
        <f>COUNTIF('Metrics - Articles'!F124,"*GCO – Other*")</f>
        <v>0</v>
      </c>
      <c r="P125">
        <f>COUNTIF('Metrics - Articles'!F124,"*Corporate*")</f>
        <v>0</v>
      </c>
      <c r="R125" s="53">
        <f t="shared" si="3"/>
        <v>1</v>
      </c>
    </row>
    <row r="126" spans="2:18" hidden="1" x14ac:dyDescent="0.25">
      <c r="B126" s="48">
        <f>+'Metrics - Articles'!C125</f>
        <v>42110</v>
      </c>
      <c r="C126">
        <f>COUNTIF('Metrics - Articles'!F125,"*GPO (Partner, Ecosystem, Channels)*")</f>
        <v>0</v>
      </c>
      <c r="D126">
        <f>COUNTIF('Metrics - Articles'!F125,"*Office of the CEO*")</f>
        <v>1</v>
      </c>
      <c r="E126">
        <f>COUNTIF('Metrics - Articles'!F125,"*Services Delivery &amp; Support (go-lives and deployments) *")</f>
        <v>0</v>
      </c>
      <c r="F126">
        <f>COUNTIF('Metrics - Articles'!F125,"*Human Resources (SAP HR and employee stories)*")</f>
        <v>0</v>
      </c>
      <c r="G126">
        <f>COUNTIF('Metrics - Articles'!F125,"*P&amp;I (Research &amp; Development)*")</f>
        <v>0</v>
      </c>
      <c r="H126">
        <f>COUNTIF('Metrics - Articles'!F125,"*Business Network (Concur, Ariba, Fieldglass)*")</f>
        <v>0</v>
      </c>
      <c r="I126">
        <f>COUNTIF('Metrics - Articles'!F125,"*GCO – Regions*")</f>
        <v>0</v>
      </c>
      <c r="J126">
        <f>COUNTIF('Metrics - Articles'!F125,"*GCO – Platform Solutions*")</f>
        <v>0</v>
      </c>
      <c r="K126">
        <f>COUNTIF('Metrics - Articles'!F125,"*GCO – Industry Cloud *")</f>
        <v>0</v>
      </c>
      <c r="L126">
        <f>COUNTIF('Metrics - Articles'!F125,"*GCO – Customer Engagement &amp; Commerce (CRM &amp; hybris) *")</f>
        <v>0</v>
      </c>
      <c r="M126">
        <f>COUNTIF('Metrics - Articles'!F125,"*GCO – HR (SuccessFactors)*")</f>
        <v>0</v>
      </c>
      <c r="N126">
        <f>COUNTIF('Metrics - Articles'!F125,"*GCO – Services Sales*")</f>
        <v>0</v>
      </c>
      <c r="O126">
        <f>COUNTIF('Metrics - Articles'!F125,"*GCO – Other*")</f>
        <v>0</v>
      </c>
      <c r="P126">
        <f>COUNTIF('Metrics - Articles'!F125,"*Corporate*")</f>
        <v>0</v>
      </c>
      <c r="R126" s="53">
        <f t="shared" si="3"/>
        <v>1</v>
      </c>
    </row>
    <row r="127" spans="2:18" hidden="1" x14ac:dyDescent="0.25">
      <c r="B127" s="48">
        <f>+'Metrics - Articles'!C126</f>
        <v>42111</v>
      </c>
      <c r="C127">
        <f>COUNTIF('Metrics - Articles'!F126,"*GPO (Partner, Ecosystem, Channels)*")</f>
        <v>0</v>
      </c>
      <c r="D127">
        <f>COUNTIF('Metrics - Articles'!F126,"*Office of the CEO*")</f>
        <v>0</v>
      </c>
      <c r="E127">
        <f>COUNTIF('Metrics - Articles'!F126,"*Services Delivery &amp; Support (go-lives and deployments) *")</f>
        <v>0</v>
      </c>
      <c r="F127">
        <f>COUNTIF('Metrics - Articles'!F126,"*Human Resources (SAP HR and employee stories)*")</f>
        <v>0</v>
      </c>
      <c r="G127">
        <f>COUNTIF('Metrics - Articles'!F126,"*P&amp;I (Research &amp; Development)*")</f>
        <v>0</v>
      </c>
      <c r="H127">
        <f>COUNTIF('Metrics - Articles'!F126,"*Business Network (Concur, Ariba, Fieldglass)*")</f>
        <v>0</v>
      </c>
      <c r="I127">
        <f>COUNTIF('Metrics - Articles'!F126,"*GCO – Regions*")</f>
        <v>0</v>
      </c>
      <c r="J127">
        <f>COUNTIF('Metrics - Articles'!F126,"*GCO – Platform Solutions*")</f>
        <v>1</v>
      </c>
      <c r="K127">
        <f>COUNTIF('Metrics - Articles'!F126,"*GCO – Industry Cloud *")</f>
        <v>0</v>
      </c>
      <c r="L127">
        <f>COUNTIF('Metrics - Articles'!F126,"*GCO – Customer Engagement &amp; Commerce (CRM &amp; hybris) *")</f>
        <v>0</v>
      </c>
      <c r="M127">
        <f>COUNTIF('Metrics - Articles'!F126,"*GCO – HR (SuccessFactors)*")</f>
        <v>0</v>
      </c>
      <c r="N127">
        <f>COUNTIF('Metrics - Articles'!F126,"*GCO – Services Sales*")</f>
        <v>0</v>
      </c>
      <c r="O127">
        <f>COUNTIF('Metrics - Articles'!F126,"*GCO – Other*")</f>
        <v>0</v>
      </c>
      <c r="P127">
        <f>COUNTIF('Metrics - Articles'!F126,"*Corporate*")</f>
        <v>0</v>
      </c>
      <c r="R127" s="53">
        <f t="shared" si="3"/>
        <v>1</v>
      </c>
    </row>
    <row r="128" spans="2:18" hidden="1" x14ac:dyDescent="0.25">
      <c r="B128" s="48">
        <f>+'Metrics - Articles'!C127</f>
        <v>42114</v>
      </c>
      <c r="C128">
        <f>COUNTIF('Metrics - Articles'!F127,"*GPO (Partner, Ecosystem, Channels)*")</f>
        <v>0</v>
      </c>
      <c r="D128">
        <f>COUNTIF('Metrics - Articles'!F127,"*Office of the CEO*")</f>
        <v>0</v>
      </c>
      <c r="E128">
        <f>COUNTIF('Metrics - Articles'!F127,"*Services Delivery &amp; Support (go-lives and deployments) *")</f>
        <v>0</v>
      </c>
      <c r="F128">
        <f>COUNTIF('Metrics - Articles'!F127,"*Human Resources (SAP HR and employee stories)*")</f>
        <v>1</v>
      </c>
      <c r="G128">
        <f>COUNTIF('Metrics - Articles'!F127,"*P&amp;I (Research &amp; Development)*")</f>
        <v>0</v>
      </c>
      <c r="H128">
        <f>COUNTIF('Metrics - Articles'!F127,"*Business Network (Concur, Ariba, Fieldglass)*")</f>
        <v>0</v>
      </c>
      <c r="I128">
        <f>COUNTIF('Metrics - Articles'!F127,"*GCO – Regions*")</f>
        <v>0</v>
      </c>
      <c r="J128">
        <f>COUNTIF('Metrics - Articles'!F127,"*GCO – Platform Solutions*")</f>
        <v>0</v>
      </c>
      <c r="K128">
        <f>COUNTIF('Metrics - Articles'!F127,"*GCO – Industry Cloud *")</f>
        <v>0</v>
      </c>
      <c r="L128">
        <f>COUNTIF('Metrics - Articles'!F127,"*GCO – Customer Engagement &amp; Commerce (CRM &amp; hybris) *")</f>
        <v>0</v>
      </c>
      <c r="M128">
        <f>COUNTIF('Metrics - Articles'!F127,"*GCO – HR (SuccessFactors)*")</f>
        <v>0</v>
      </c>
      <c r="N128">
        <f>COUNTIF('Metrics - Articles'!F127,"*GCO – Services Sales*")</f>
        <v>0</v>
      </c>
      <c r="O128">
        <f>COUNTIF('Metrics - Articles'!F127,"*GCO – Other*")</f>
        <v>0</v>
      </c>
      <c r="P128">
        <f>COUNTIF('Metrics - Articles'!F127,"*Corporate*")</f>
        <v>0</v>
      </c>
      <c r="R128" s="53">
        <f t="shared" si="3"/>
        <v>1</v>
      </c>
    </row>
    <row r="129" spans="2:18" hidden="1" x14ac:dyDescent="0.25">
      <c r="B129" s="48">
        <f>+'Metrics - Articles'!C128</f>
        <v>42114</v>
      </c>
      <c r="C129">
        <f>COUNTIF('Metrics - Articles'!F128,"*GPO (Partner, Ecosystem, Channels)*")</f>
        <v>0</v>
      </c>
      <c r="D129">
        <f>COUNTIF('Metrics - Articles'!F128,"*Office of the CEO*")</f>
        <v>0</v>
      </c>
      <c r="E129">
        <f>COUNTIF('Metrics - Articles'!F128,"*Services Delivery &amp; Support (go-lives and deployments) *")</f>
        <v>0</v>
      </c>
      <c r="F129">
        <f>COUNTIF('Metrics - Articles'!F128,"*Human Resources (SAP HR and employee stories)*")</f>
        <v>0</v>
      </c>
      <c r="G129">
        <f>COUNTIF('Metrics - Articles'!F128,"*P&amp;I (Research &amp; Development)*")</f>
        <v>0</v>
      </c>
      <c r="H129">
        <f>COUNTIF('Metrics - Articles'!F128,"*Business Network (Concur, Ariba, Fieldglass)*")</f>
        <v>1</v>
      </c>
      <c r="I129">
        <f>COUNTIF('Metrics - Articles'!F128,"*GCO – Regions*")</f>
        <v>0</v>
      </c>
      <c r="J129">
        <f>COUNTIF('Metrics - Articles'!F128,"*GCO – Platform Solutions*")</f>
        <v>0</v>
      </c>
      <c r="K129">
        <f>COUNTIF('Metrics - Articles'!F128,"*GCO – Industry Cloud *")</f>
        <v>0</v>
      </c>
      <c r="L129">
        <f>COUNTIF('Metrics - Articles'!F128,"*GCO – Customer Engagement &amp; Commerce (CRM &amp; hybris) *")</f>
        <v>0</v>
      </c>
      <c r="M129">
        <f>COUNTIF('Metrics - Articles'!F128,"*GCO – HR (SuccessFactors)*")</f>
        <v>0</v>
      </c>
      <c r="N129">
        <f>COUNTIF('Metrics - Articles'!F128,"*GCO – Services Sales*")</f>
        <v>0</v>
      </c>
      <c r="O129">
        <f>COUNTIF('Metrics - Articles'!F128,"*GCO – Other*")</f>
        <v>0</v>
      </c>
      <c r="P129">
        <f>COUNTIF('Metrics - Articles'!F128,"*Corporate*")</f>
        <v>0</v>
      </c>
      <c r="R129" s="53">
        <f t="shared" si="3"/>
        <v>1</v>
      </c>
    </row>
    <row r="130" spans="2:18" hidden="1" x14ac:dyDescent="0.25">
      <c r="B130" s="48">
        <f>+'Metrics - Articles'!C129</f>
        <v>42114</v>
      </c>
      <c r="C130">
        <f>COUNTIF('Metrics - Articles'!F129,"*GPO (Partner, Ecosystem, Channels)*")</f>
        <v>0</v>
      </c>
      <c r="D130">
        <f>COUNTIF('Metrics - Articles'!F129,"*Office of the CEO*")</f>
        <v>0</v>
      </c>
      <c r="E130">
        <f>COUNTIF('Metrics - Articles'!F129,"*Services Delivery &amp; Support (go-lives and deployments) *")</f>
        <v>0</v>
      </c>
      <c r="F130">
        <f>COUNTIF('Metrics - Articles'!F129,"*Human Resources (SAP HR and employee stories)*")</f>
        <v>1</v>
      </c>
      <c r="G130">
        <f>COUNTIF('Metrics - Articles'!F129,"*P&amp;I (Research &amp; Development)*")</f>
        <v>0</v>
      </c>
      <c r="H130">
        <f>COUNTIF('Metrics - Articles'!F129,"*Business Network (Concur, Ariba, Fieldglass)*")</f>
        <v>0</v>
      </c>
      <c r="I130">
        <f>COUNTIF('Metrics - Articles'!F129,"*GCO – Regions*")</f>
        <v>0</v>
      </c>
      <c r="J130">
        <f>COUNTIF('Metrics - Articles'!F129,"*GCO – Platform Solutions*")</f>
        <v>0</v>
      </c>
      <c r="K130">
        <f>COUNTIF('Metrics - Articles'!F129,"*GCO – Industry Cloud *")</f>
        <v>0</v>
      </c>
      <c r="L130">
        <f>COUNTIF('Metrics - Articles'!F129,"*GCO – Customer Engagement &amp; Commerce (CRM &amp; hybris) *")</f>
        <v>0</v>
      </c>
      <c r="M130">
        <f>COUNTIF('Metrics - Articles'!F129,"*GCO – HR (SuccessFactors)*")</f>
        <v>0</v>
      </c>
      <c r="N130">
        <f>COUNTIF('Metrics - Articles'!F129,"*GCO – Services Sales*")</f>
        <v>0</v>
      </c>
      <c r="O130">
        <f>COUNTIF('Metrics - Articles'!F129,"*GCO – Other*")</f>
        <v>0</v>
      </c>
      <c r="P130">
        <f>COUNTIF('Metrics - Articles'!F129,"*Corporate*")</f>
        <v>0</v>
      </c>
      <c r="R130" s="53">
        <f t="shared" si="3"/>
        <v>1</v>
      </c>
    </row>
    <row r="131" spans="2:18" hidden="1" x14ac:dyDescent="0.25">
      <c r="B131" s="48">
        <f>+'Metrics - Articles'!C130</f>
        <v>42115</v>
      </c>
      <c r="C131">
        <f>COUNTIF('Metrics - Articles'!F130,"*GPO (Partner, Ecosystem, Channels)*")</f>
        <v>0</v>
      </c>
      <c r="D131">
        <f>COUNTIF('Metrics - Articles'!F130,"*Office of the CEO*")</f>
        <v>0</v>
      </c>
      <c r="E131">
        <f>COUNTIF('Metrics - Articles'!F130,"*Services Delivery &amp; Support (go-lives and deployments) *")</f>
        <v>0</v>
      </c>
      <c r="F131">
        <f>COUNTIF('Metrics - Articles'!F130,"*Human Resources (SAP HR and employee stories)*")</f>
        <v>0</v>
      </c>
      <c r="G131">
        <f>COUNTIF('Metrics - Articles'!F130,"*P&amp;I (Research &amp; Development)*")</f>
        <v>0</v>
      </c>
      <c r="H131">
        <f>COUNTIF('Metrics - Articles'!F130,"*Business Network (Concur, Ariba, Fieldglass)*")</f>
        <v>0</v>
      </c>
      <c r="I131">
        <f>COUNTIF('Metrics - Articles'!F130,"*GCO – Regions*")</f>
        <v>0</v>
      </c>
      <c r="J131">
        <f>COUNTIF('Metrics - Articles'!F130,"*GCO – Platform Solutions*")</f>
        <v>0</v>
      </c>
      <c r="K131">
        <f>COUNTIF('Metrics - Articles'!F130,"*GCO – Industry Cloud *")</f>
        <v>0</v>
      </c>
      <c r="L131">
        <f>COUNTIF('Metrics - Articles'!F130,"*GCO – Customer Engagement &amp; Commerce (CRM &amp; hybris) *")</f>
        <v>0</v>
      </c>
      <c r="M131">
        <f>COUNTIF('Metrics - Articles'!F130,"*GCO – HR (SuccessFactors)*")</f>
        <v>0</v>
      </c>
      <c r="N131">
        <f>COUNTIF('Metrics - Articles'!F130,"*GCO – Services Sales*")</f>
        <v>0</v>
      </c>
      <c r="O131">
        <f>COUNTIF('Metrics - Articles'!F130,"*GCO – Other*")</f>
        <v>0</v>
      </c>
      <c r="P131">
        <f>COUNTIF('Metrics - Articles'!F130,"*Corporate*")</f>
        <v>1</v>
      </c>
      <c r="R131" s="53">
        <f t="shared" si="3"/>
        <v>1</v>
      </c>
    </row>
    <row r="132" spans="2:18" hidden="1" x14ac:dyDescent="0.25">
      <c r="B132" s="48">
        <f>+'Metrics - Articles'!C131</f>
        <v>42116</v>
      </c>
      <c r="C132">
        <f>COUNTIF('Metrics - Articles'!F131,"*GPO (Partner, Ecosystem, Channels)*")</f>
        <v>0</v>
      </c>
      <c r="D132">
        <f>COUNTIF('Metrics - Articles'!F131,"*Office of the CEO*")</f>
        <v>0</v>
      </c>
      <c r="E132">
        <f>COUNTIF('Metrics - Articles'!F131,"*Services Delivery &amp; Support (go-lives and deployments) *")</f>
        <v>0</v>
      </c>
      <c r="F132">
        <f>COUNTIF('Metrics - Articles'!F131,"*Human Resources (SAP HR and employee stories)*")</f>
        <v>1</v>
      </c>
      <c r="G132">
        <f>COUNTIF('Metrics - Articles'!F131,"*P&amp;I (Research &amp; Development)*")</f>
        <v>0</v>
      </c>
      <c r="H132">
        <f>COUNTIF('Metrics - Articles'!F131,"*Business Network (Concur, Ariba, Fieldglass)*")</f>
        <v>0</v>
      </c>
      <c r="I132">
        <f>COUNTIF('Metrics - Articles'!F131,"*GCO – Regions*")</f>
        <v>0</v>
      </c>
      <c r="J132">
        <f>COUNTIF('Metrics - Articles'!F131,"*GCO – Platform Solutions*")</f>
        <v>0</v>
      </c>
      <c r="K132">
        <f>COUNTIF('Metrics - Articles'!F131,"*GCO – Industry Cloud *")</f>
        <v>0</v>
      </c>
      <c r="L132">
        <f>COUNTIF('Metrics - Articles'!F131,"*GCO – Customer Engagement &amp; Commerce (CRM &amp; hybris) *")</f>
        <v>0</v>
      </c>
      <c r="M132">
        <f>COUNTIF('Metrics - Articles'!F131,"*GCO – HR (SuccessFactors)*")</f>
        <v>0</v>
      </c>
      <c r="N132">
        <f>COUNTIF('Metrics - Articles'!F131,"*GCO – Services Sales*")</f>
        <v>0</v>
      </c>
      <c r="O132">
        <f>COUNTIF('Metrics - Articles'!F131,"*GCO – Other*")</f>
        <v>0</v>
      </c>
      <c r="P132">
        <f>COUNTIF('Metrics - Articles'!F131,"*Corporate*")</f>
        <v>0</v>
      </c>
      <c r="R132" s="53">
        <f t="shared" si="3"/>
        <v>1</v>
      </c>
    </row>
    <row r="133" spans="2:18" hidden="1" x14ac:dyDescent="0.25">
      <c r="B133" s="48">
        <f>+'Metrics - Articles'!C132</f>
        <v>42116</v>
      </c>
      <c r="C133">
        <f>COUNTIF('Metrics - Articles'!F132,"*GPO (Partner, Ecosystem, Channels)*")</f>
        <v>0</v>
      </c>
      <c r="D133">
        <f>COUNTIF('Metrics - Articles'!F132,"*Office of the CEO*")</f>
        <v>0</v>
      </c>
      <c r="E133">
        <f>COUNTIF('Metrics - Articles'!F132,"*Services Delivery &amp; Support (go-lives and deployments) *")</f>
        <v>0</v>
      </c>
      <c r="F133">
        <f>COUNTIF('Metrics - Articles'!F132,"*Human Resources (SAP HR and employee stories)*")</f>
        <v>0</v>
      </c>
      <c r="G133">
        <f>COUNTIF('Metrics - Articles'!F132,"*P&amp;I (Research &amp; Development)*")</f>
        <v>0</v>
      </c>
      <c r="H133">
        <f>COUNTIF('Metrics - Articles'!F132,"*Business Network (Concur, Ariba, Fieldglass)*")</f>
        <v>0</v>
      </c>
      <c r="I133">
        <f>COUNTIF('Metrics - Articles'!F132,"*GCO – Regions*")</f>
        <v>0</v>
      </c>
      <c r="J133">
        <f>COUNTIF('Metrics - Articles'!F132,"*GCO – Platform Solutions*")</f>
        <v>0</v>
      </c>
      <c r="K133">
        <f>COUNTIF('Metrics - Articles'!F132,"*GCO – Industry Cloud *")</f>
        <v>0</v>
      </c>
      <c r="L133">
        <f>COUNTIF('Metrics - Articles'!F132,"*GCO – Customer Engagement &amp; Commerce (CRM &amp; hybris) *")</f>
        <v>0</v>
      </c>
      <c r="M133">
        <f>COUNTIF('Metrics - Articles'!F132,"*GCO – HR (SuccessFactors)*")</f>
        <v>0</v>
      </c>
      <c r="N133">
        <f>COUNTIF('Metrics - Articles'!F132,"*GCO – Services Sales*")</f>
        <v>0</v>
      </c>
      <c r="O133">
        <f>COUNTIF('Metrics - Articles'!F132,"*GCO – Other*")</f>
        <v>0</v>
      </c>
      <c r="P133">
        <f>COUNTIF('Metrics - Articles'!F132,"*Corporate*")</f>
        <v>1</v>
      </c>
      <c r="R133" s="53">
        <f t="shared" si="3"/>
        <v>1</v>
      </c>
    </row>
    <row r="134" spans="2:18" hidden="1" x14ac:dyDescent="0.25">
      <c r="B134" s="48">
        <f>+'Metrics - Articles'!C133</f>
        <v>42116</v>
      </c>
      <c r="C134">
        <f>COUNTIF('Metrics - Articles'!F133,"*GPO (Partner, Ecosystem, Channels)*")</f>
        <v>0</v>
      </c>
      <c r="D134">
        <f>COUNTIF('Metrics - Articles'!F133,"*Office of the CEO*")</f>
        <v>0</v>
      </c>
      <c r="E134">
        <f>COUNTIF('Metrics - Articles'!F133,"*Services Delivery &amp; Support (go-lives and deployments) *")</f>
        <v>0</v>
      </c>
      <c r="F134">
        <f>COUNTIF('Metrics - Articles'!F133,"*Human Resources (SAP HR and employee stories)*")</f>
        <v>0</v>
      </c>
      <c r="G134">
        <f>COUNTIF('Metrics - Articles'!F133,"*P&amp;I (Research &amp; Development)*")</f>
        <v>0</v>
      </c>
      <c r="H134">
        <f>COUNTIF('Metrics - Articles'!F133,"*Business Network (Concur, Ariba, Fieldglass)*")</f>
        <v>0</v>
      </c>
      <c r="I134">
        <f>COUNTIF('Metrics - Articles'!F133,"*GCO – Regions*")</f>
        <v>0</v>
      </c>
      <c r="J134">
        <f>COUNTIF('Metrics - Articles'!F133,"*GCO – Platform Solutions*")</f>
        <v>0</v>
      </c>
      <c r="K134">
        <f>COUNTIF('Metrics - Articles'!F133,"*GCO – Industry Cloud *")</f>
        <v>0</v>
      </c>
      <c r="L134">
        <f>COUNTIF('Metrics - Articles'!F133,"*GCO – Customer Engagement &amp; Commerce (CRM &amp; hybris) *")</f>
        <v>0</v>
      </c>
      <c r="M134">
        <f>COUNTIF('Metrics - Articles'!F133,"*GCO – HR (SuccessFactors)*")</f>
        <v>0</v>
      </c>
      <c r="N134">
        <f>COUNTIF('Metrics - Articles'!F133,"*GCO – Services Sales*")</f>
        <v>0</v>
      </c>
      <c r="O134">
        <f>COUNTIF('Metrics - Articles'!F133,"*GCO – Other*")</f>
        <v>0</v>
      </c>
      <c r="P134">
        <f>COUNTIF('Metrics - Articles'!F133,"*Corporate*")</f>
        <v>1</v>
      </c>
      <c r="R134" s="53">
        <f t="shared" si="3"/>
        <v>1</v>
      </c>
    </row>
    <row r="135" spans="2:18" hidden="1" x14ac:dyDescent="0.25">
      <c r="B135" s="48">
        <f>+'Metrics - Articles'!C134</f>
        <v>42116</v>
      </c>
      <c r="C135">
        <f>COUNTIF('Metrics - Articles'!F134,"*GPO (Partner, Ecosystem, Channels)*")</f>
        <v>0</v>
      </c>
      <c r="D135">
        <f>COUNTIF('Metrics - Articles'!F134,"*Office of the CEO*")</f>
        <v>0</v>
      </c>
      <c r="E135">
        <f>COUNTIF('Metrics - Articles'!F134,"*Services Delivery &amp; Support (go-lives and deployments) *")</f>
        <v>0</v>
      </c>
      <c r="F135">
        <f>COUNTIF('Metrics - Articles'!F134,"*Human Resources (SAP HR and employee stories)*")</f>
        <v>0</v>
      </c>
      <c r="G135">
        <f>COUNTIF('Metrics - Articles'!F134,"*P&amp;I (Research &amp; Development)*")</f>
        <v>0</v>
      </c>
      <c r="H135">
        <f>COUNTIF('Metrics - Articles'!F134,"*Business Network (Concur, Ariba, Fieldglass)*")</f>
        <v>1</v>
      </c>
      <c r="I135">
        <f>COUNTIF('Metrics - Articles'!F134,"*GCO – Regions*")</f>
        <v>0</v>
      </c>
      <c r="J135">
        <f>COUNTIF('Metrics - Articles'!F134,"*GCO – Platform Solutions*")</f>
        <v>0</v>
      </c>
      <c r="K135">
        <f>COUNTIF('Metrics - Articles'!F134,"*GCO – Industry Cloud *")</f>
        <v>0</v>
      </c>
      <c r="L135">
        <f>COUNTIF('Metrics - Articles'!F134,"*GCO – Customer Engagement &amp; Commerce (CRM &amp; hybris) *")</f>
        <v>0</v>
      </c>
      <c r="M135">
        <f>COUNTIF('Metrics - Articles'!F134,"*GCO – HR (SuccessFactors)*")</f>
        <v>0</v>
      </c>
      <c r="N135">
        <f>COUNTIF('Metrics - Articles'!F134,"*GCO – Services Sales*")</f>
        <v>0</v>
      </c>
      <c r="O135">
        <f>COUNTIF('Metrics - Articles'!F134,"*GCO – Other*")</f>
        <v>0</v>
      </c>
      <c r="P135">
        <f>COUNTIF('Metrics - Articles'!F134,"*Corporate*")</f>
        <v>0</v>
      </c>
      <c r="R135" s="53">
        <f t="shared" si="3"/>
        <v>1</v>
      </c>
    </row>
    <row r="136" spans="2:18" hidden="1" x14ac:dyDescent="0.25">
      <c r="B136" s="48">
        <f>+'Metrics - Articles'!C135</f>
        <v>42117</v>
      </c>
      <c r="C136">
        <f>COUNTIF('Metrics - Articles'!F135,"*GPO (Partner, Ecosystem, Channels)*")</f>
        <v>0</v>
      </c>
      <c r="D136">
        <f>COUNTIF('Metrics - Articles'!F135,"*Office of the CEO*")</f>
        <v>0</v>
      </c>
      <c r="E136">
        <f>COUNTIF('Metrics - Articles'!F135,"*Services Delivery &amp; Support (go-lives and deployments) *")</f>
        <v>0</v>
      </c>
      <c r="F136">
        <f>COUNTIF('Metrics - Articles'!F135,"*Human Resources (SAP HR and employee stories)*")</f>
        <v>1</v>
      </c>
      <c r="G136">
        <f>COUNTIF('Metrics - Articles'!F135,"*P&amp;I (Research &amp; Development)*")</f>
        <v>0</v>
      </c>
      <c r="H136">
        <f>COUNTIF('Metrics - Articles'!F135,"*Business Network (Concur, Ariba, Fieldglass)*")</f>
        <v>0</v>
      </c>
      <c r="I136">
        <f>COUNTIF('Metrics - Articles'!F135,"*GCO – Regions*")</f>
        <v>0</v>
      </c>
      <c r="J136">
        <f>COUNTIF('Metrics - Articles'!F135,"*GCO – Platform Solutions*")</f>
        <v>0</v>
      </c>
      <c r="K136">
        <f>COUNTIF('Metrics - Articles'!F135,"*GCO – Industry Cloud *")</f>
        <v>0</v>
      </c>
      <c r="L136">
        <f>COUNTIF('Metrics - Articles'!F135,"*GCO – Customer Engagement &amp; Commerce (CRM &amp; hybris) *")</f>
        <v>0</v>
      </c>
      <c r="M136">
        <f>COUNTIF('Metrics - Articles'!F135,"*GCO – HR (SuccessFactors)*")</f>
        <v>0</v>
      </c>
      <c r="N136">
        <f>COUNTIF('Metrics - Articles'!F135,"*GCO – Services Sales*")</f>
        <v>0</v>
      </c>
      <c r="O136">
        <f>COUNTIF('Metrics - Articles'!F135,"*GCO – Other*")</f>
        <v>0</v>
      </c>
      <c r="P136">
        <f>COUNTIF('Metrics - Articles'!F135,"*Corporate*")</f>
        <v>0</v>
      </c>
      <c r="R136" s="53">
        <f t="shared" si="3"/>
        <v>1</v>
      </c>
    </row>
    <row r="137" spans="2:18" hidden="1" x14ac:dyDescent="0.25">
      <c r="B137" s="48">
        <f>+'Metrics - Articles'!C136</f>
        <v>42118</v>
      </c>
      <c r="C137">
        <f>COUNTIF('Metrics - Articles'!F136,"*GPO (Partner, Ecosystem, Channels)*")</f>
        <v>0</v>
      </c>
      <c r="D137">
        <f>COUNTIF('Metrics - Articles'!F136,"*Office of the CEO*")</f>
        <v>0</v>
      </c>
      <c r="E137">
        <f>COUNTIF('Metrics - Articles'!F136,"*Services Delivery &amp; Support (go-lives and deployments) *")</f>
        <v>0</v>
      </c>
      <c r="F137">
        <f>COUNTIF('Metrics - Articles'!F136,"*Human Resources (SAP HR and employee stories)*")</f>
        <v>0</v>
      </c>
      <c r="G137">
        <f>COUNTIF('Metrics - Articles'!F136,"*P&amp;I (Research &amp; Development)*")</f>
        <v>0</v>
      </c>
      <c r="H137">
        <f>COUNTIF('Metrics - Articles'!F136,"*Business Network (Concur, Ariba, Fieldglass)*")</f>
        <v>0</v>
      </c>
      <c r="I137">
        <f>COUNTIF('Metrics - Articles'!F136,"*GCO – Regions*")</f>
        <v>0</v>
      </c>
      <c r="J137">
        <f>COUNTIF('Metrics - Articles'!F136,"*GCO – Platform Solutions*")</f>
        <v>0</v>
      </c>
      <c r="K137">
        <f>COUNTIF('Metrics - Articles'!F136,"*GCO – Industry Cloud *")</f>
        <v>0</v>
      </c>
      <c r="L137">
        <f>COUNTIF('Metrics - Articles'!F136,"*GCO – Customer Engagement &amp; Commerce (CRM &amp; hybris) *")</f>
        <v>0</v>
      </c>
      <c r="M137">
        <f>COUNTIF('Metrics - Articles'!F136,"*GCO – HR (SuccessFactors)*")</f>
        <v>0</v>
      </c>
      <c r="N137">
        <f>COUNTIF('Metrics - Articles'!F136,"*GCO – Services Sales*")</f>
        <v>0</v>
      </c>
      <c r="O137">
        <f>COUNTIF('Metrics - Articles'!F136,"*GCO – Other*")</f>
        <v>0</v>
      </c>
      <c r="P137">
        <f>COUNTIF('Metrics - Articles'!F136,"*Corporate*")</f>
        <v>1</v>
      </c>
      <c r="R137" s="53">
        <f t="shared" si="3"/>
        <v>1</v>
      </c>
    </row>
    <row r="138" spans="2:18" hidden="1" x14ac:dyDescent="0.25">
      <c r="B138" s="48">
        <f>+'Metrics - Articles'!C137</f>
        <v>42118</v>
      </c>
      <c r="C138">
        <f>COUNTIF('Metrics - Articles'!F137,"*GPO (Partner, Ecosystem, Channels)*")</f>
        <v>0</v>
      </c>
      <c r="D138">
        <f>COUNTIF('Metrics - Articles'!F137,"*Office of the CEO*")</f>
        <v>0</v>
      </c>
      <c r="E138">
        <f>COUNTIF('Metrics - Articles'!F137,"*Services Delivery &amp; Support (go-lives and deployments) *")</f>
        <v>0</v>
      </c>
      <c r="F138">
        <f>COUNTIF('Metrics - Articles'!F137,"*Human Resources (SAP HR and employee stories)*")</f>
        <v>0</v>
      </c>
      <c r="G138">
        <f>COUNTIF('Metrics - Articles'!F137,"*P&amp;I (Research &amp; Development)*")</f>
        <v>0</v>
      </c>
      <c r="H138">
        <f>COUNTIF('Metrics - Articles'!F137,"*Business Network (Concur, Ariba, Fieldglass)*")</f>
        <v>0</v>
      </c>
      <c r="I138">
        <f>COUNTIF('Metrics - Articles'!F137,"*GCO – Regions*")</f>
        <v>0</v>
      </c>
      <c r="J138">
        <f>COUNTIF('Metrics - Articles'!F137,"*GCO – Platform Solutions*")</f>
        <v>0</v>
      </c>
      <c r="K138">
        <f>COUNTIF('Metrics - Articles'!F137,"*GCO – Industry Cloud *")</f>
        <v>1</v>
      </c>
      <c r="L138">
        <f>COUNTIF('Metrics - Articles'!F137,"*GCO – Customer Engagement &amp; Commerce (CRM &amp; hybris) *")</f>
        <v>0</v>
      </c>
      <c r="M138">
        <f>COUNTIF('Metrics - Articles'!F137,"*GCO – HR (SuccessFactors)*")</f>
        <v>0</v>
      </c>
      <c r="N138">
        <f>COUNTIF('Metrics - Articles'!F137,"*GCO – Services Sales*")</f>
        <v>0</v>
      </c>
      <c r="O138">
        <f>COUNTIF('Metrics - Articles'!F137,"*GCO – Other*")</f>
        <v>0</v>
      </c>
      <c r="P138">
        <f>COUNTIF('Metrics - Articles'!F137,"*Corporate*")</f>
        <v>0</v>
      </c>
      <c r="R138" s="53">
        <f t="shared" ref="R138:R201" si="4">SUM(C138:Q138)</f>
        <v>1</v>
      </c>
    </row>
    <row r="139" spans="2:18" hidden="1" x14ac:dyDescent="0.25">
      <c r="B139" s="48">
        <f>+'Metrics - Articles'!C138</f>
        <v>42121</v>
      </c>
      <c r="C139">
        <f>COUNTIF('Metrics - Articles'!F138,"*GPO (Partner, Ecosystem, Channels)*")</f>
        <v>0</v>
      </c>
      <c r="D139">
        <f>COUNTIF('Metrics - Articles'!F138,"*Office of the CEO*")</f>
        <v>0</v>
      </c>
      <c r="E139">
        <f>COUNTIF('Metrics - Articles'!F138,"*Services Delivery &amp; Support (go-lives and deployments) *")</f>
        <v>0</v>
      </c>
      <c r="F139">
        <f>COUNTIF('Metrics - Articles'!F138,"*Human Resources (SAP HR and employee stories)*")</f>
        <v>0</v>
      </c>
      <c r="G139">
        <f>COUNTIF('Metrics - Articles'!F138,"*P&amp;I (Research &amp; Development)*")</f>
        <v>0</v>
      </c>
      <c r="H139">
        <f>COUNTIF('Metrics - Articles'!F138,"*Business Network (Concur, Ariba, Fieldglass)*")</f>
        <v>0</v>
      </c>
      <c r="I139">
        <f>COUNTIF('Metrics - Articles'!F138,"*GCO – Regions*")</f>
        <v>0</v>
      </c>
      <c r="J139">
        <f>COUNTIF('Metrics - Articles'!F138,"*GCO – Platform Solutions*")</f>
        <v>0</v>
      </c>
      <c r="K139">
        <f>COUNTIF('Metrics - Articles'!F138,"*GCO – Industry Cloud *")</f>
        <v>0</v>
      </c>
      <c r="L139">
        <f>COUNTIF('Metrics - Articles'!F138,"*GCO – Customer Engagement &amp; Commerce (CRM &amp; hybris) *")</f>
        <v>0</v>
      </c>
      <c r="M139">
        <f>COUNTIF('Metrics - Articles'!F138,"*GCO – HR (SuccessFactors)*")</f>
        <v>0</v>
      </c>
      <c r="N139">
        <f>COUNTIF('Metrics - Articles'!F138,"*GCO – Services Sales*")</f>
        <v>0</v>
      </c>
      <c r="O139">
        <f>COUNTIF('Metrics - Articles'!F138,"*GCO – Other*")</f>
        <v>0</v>
      </c>
      <c r="P139">
        <f>COUNTIF('Metrics - Articles'!F138,"*Corporate*")</f>
        <v>1</v>
      </c>
      <c r="R139" s="53">
        <f t="shared" si="4"/>
        <v>1</v>
      </c>
    </row>
    <row r="140" spans="2:18" hidden="1" x14ac:dyDescent="0.25">
      <c r="B140" s="48">
        <f>+'Metrics - Articles'!C139</f>
        <v>42121</v>
      </c>
      <c r="C140">
        <f>COUNTIF('Metrics - Articles'!F139,"*GPO (Partner, Ecosystem, Channels)*")</f>
        <v>0</v>
      </c>
      <c r="D140">
        <f>COUNTIF('Metrics - Articles'!F139,"*Office of the CEO*")</f>
        <v>0</v>
      </c>
      <c r="E140">
        <f>COUNTIF('Metrics - Articles'!F139,"*Services Delivery &amp; Support (go-lives and deployments) *")</f>
        <v>0</v>
      </c>
      <c r="F140">
        <f>COUNTIF('Metrics - Articles'!F139,"*Human Resources (SAP HR and employee stories)*")</f>
        <v>0</v>
      </c>
      <c r="G140">
        <f>COUNTIF('Metrics - Articles'!F139,"*P&amp;I (Research &amp; Development)*")</f>
        <v>0</v>
      </c>
      <c r="H140">
        <f>COUNTIF('Metrics - Articles'!F139,"*Business Network (Concur, Ariba, Fieldglass)*")</f>
        <v>0</v>
      </c>
      <c r="I140">
        <f>COUNTIF('Metrics - Articles'!F139,"*GCO – Regions*")</f>
        <v>0</v>
      </c>
      <c r="J140">
        <f>COUNTIF('Metrics - Articles'!F139,"*GCO – Platform Solutions*")</f>
        <v>0</v>
      </c>
      <c r="K140">
        <f>COUNTIF('Metrics - Articles'!F139,"*GCO – Industry Cloud *")</f>
        <v>1</v>
      </c>
      <c r="L140">
        <f>COUNTIF('Metrics - Articles'!F139,"*GCO – Customer Engagement &amp; Commerce (CRM &amp; hybris) *")</f>
        <v>0</v>
      </c>
      <c r="M140">
        <f>COUNTIF('Metrics - Articles'!F139,"*GCO – HR (SuccessFactors)*")</f>
        <v>0</v>
      </c>
      <c r="N140">
        <f>COUNTIF('Metrics - Articles'!F139,"*GCO – Services Sales*")</f>
        <v>0</v>
      </c>
      <c r="O140">
        <f>COUNTIF('Metrics - Articles'!F139,"*GCO – Other*")</f>
        <v>0</v>
      </c>
      <c r="P140">
        <f>COUNTIF('Metrics - Articles'!F139,"*Corporate*")</f>
        <v>0</v>
      </c>
      <c r="R140" s="53">
        <f t="shared" si="4"/>
        <v>1</v>
      </c>
    </row>
    <row r="141" spans="2:18" hidden="1" x14ac:dyDescent="0.25">
      <c r="B141" s="48">
        <f>+'Metrics - Articles'!C140</f>
        <v>42122</v>
      </c>
      <c r="C141">
        <f>COUNTIF('Metrics - Articles'!F140,"*GPO (Partner, Ecosystem, Channels)*")</f>
        <v>0</v>
      </c>
      <c r="D141">
        <f>COUNTIF('Metrics - Articles'!F140,"*Office of the CEO*")</f>
        <v>1</v>
      </c>
      <c r="E141">
        <f>COUNTIF('Metrics - Articles'!F140,"*Services Delivery &amp; Support (go-lives and deployments) *")</f>
        <v>0</v>
      </c>
      <c r="F141">
        <f>COUNTIF('Metrics - Articles'!F140,"*Human Resources (SAP HR and employee stories)*")</f>
        <v>0</v>
      </c>
      <c r="G141">
        <f>COUNTIF('Metrics - Articles'!F140,"*P&amp;I (Research &amp; Development)*")</f>
        <v>0</v>
      </c>
      <c r="H141">
        <f>COUNTIF('Metrics - Articles'!F140,"*Business Network (Concur, Ariba, Fieldglass)*")</f>
        <v>0</v>
      </c>
      <c r="I141">
        <f>COUNTIF('Metrics - Articles'!F140,"*GCO – Regions*")</f>
        <v>0</v>
      </c>
      <c r="J141">
        <f>COUNTIF('Metrics - Articles'!F140,"*GCO – Platform Solutions*")</f>
        <v>0</v>
      </c>
      <c r="K141">
        <f>COUNTIF('Metrics - Articles'!F140,"*GCO – Industry Cloud *")</f>
        <v>0</v>
      </c>
      <c r="L141">
        <f>COUNTIF('Metrics - Articles'!F140,"*GCO – Customer Engagement &amp; Commerce (CRM &amp; hybris) *")</f>
        <v>0</v>
      </c>
      <c r="M141">
        <f>COUNTIF('Metrics - Articles'!F140,"*GCO – HR (SuccessFactors)*")</f>
        <v>0</v>
      </c>
      <c r="N141">
        <f>COUNTIF('Metrics - Articles'!F140,"*GCO – Services Sales*")</f>
        <v>0</v>
      </c>
      <c r="O141">
        <f>COUNTIF('Metrics - Articles'!F140,"*GCO – Other*")</f>
        <v>0</v>
      </c>
      <c r="P141">
        <f>COUNTIF('Metrics - Articles'!F140,"*Corporate*")</f>
        <v>0</v>
      </c>
      <c r="R141" s="53">
        <f t="shared" si="4"/>
        <v>1</v>
      </c>
    </row>
    <row r="142" spans="2:18" hidden="1" x14ac:dyDescent="0.25">
      <c r="B142" s="48">
        <f>+'Metrics - Articles'!C141</f>
        <v>42122</v>
      </c>
      <c r="C142">
        <f>COUNTIF('Metrics - Articles'!F141,"*GPO (Partner, Ecosystem, Channels)*")</f>
        <v>0</v>
      </c>
      <c r="D142">
        <f>COUNTIF('Metrics - Articles'!F141,"*Office of the CEO*")</f>
        <v>0</v>
      </c>
      <c r="E142">
        <f>COUNTIF('Metrics - Articles'!F141,"*Services Delivery &amp; Support (go-lives and deployments) *")</f>
        <v>0</v>
      </c>
      <c r="F142">
        <f>COUNTIF('Metrics - Articles'!F141,"*Human Resources (SAP HR and employee stories)*")</f>
        <v>0</v>
      </c>
      <c r="G142">
        <f>COUNTIF('Metrics - Articles'!F141,"*P&amp;I (Research &amp; Development)*")</f>
        <v>0</v>
      </c>
      <c r="H142">
        <f>COUNTIF('Metrics - Articles'!F141,"*Business Network (Concur, Ariba, Fieldglass)*")</f>
        <v>0</v>
      </c>
      <c r="I142">
        <f>COUNTIF('Metrics - Articles'!F141,"*GCO – Regions*")</f>
        <v>0</v>
      </c>
      <c r="J142">
        <f>COUNTIF('Metrics - Articles'!F141,"*GCO – Platform Solutions*")</f>
        <v>0</v>
      </c>
      <c r="K142">
        <f>COUNTIF('Metrics - Articles'!F141,"*GCO – Industry Cloud *")</f>
        <v>0</v>
      </c>
      <c r="L142">
        <f>COUNTIF('Metrics - Articles'!F141,"*GCO – Customer Engagement &amp; Commerce (CRM &amp; hybris) *")</f>
        <v>0</v>
      </c>
      <c r="M142">
        <f>COUNTIF('Metrics - Articles'!F141,"*GCO – HR (SuccessFactors)*")</f>
        <v>0</v>
      </c>
      <c r="N142">
        <f>COUNTIF('Metrics - Articles'!F141,"*GCO – Services Sales*")</f>
        <v>0</v>
      </c>
      <c r="O142">
        <f>COUNTIF('Metrics - Articles'!F141,"*GCO – Other*")</f>
        <v>1</v>
      </c>
      <c r="P142">
        <f>COUNTIF('Metrics - Articles'!F141,"*Corporate*")</f>
        <v>0</v>
      </c>
      <c r="R142" s="53">
        <f t="shared" si="4"/>
        <v>1</v>
      </c>
    </row>
    <row r="143" spans="2:18" hidden="1" x14ac:dyDescent="0.25">
      <c r="B143" s="48">
        <f>+'Metrics - Articles'!C142</f>
        <v>42122</v>
      </c>
      <c r="C143">
        <f>COUNTIF('Metrics - Articles'!F142,"*GPO (Partner, Ecosystem, Channels)*")</f>
        <v>0</v>
      </c>
      <c r="D143">
        <f>COUNTIF('Metrics - Articles'!F142,"*Office of the CEO*")</f>
        <v>0</v>
      </c>
      <c r="E143">
        <f>COUNTIF('Metrics - Articles'!F142,"*Services Delivery &amp; Support (go-lives and deployments) *")</f>
        <v>0</v>
      </c>
      <c r="F143">
        <f>COUNTIF('Metrics - Articles'!F142,"*Human Resources (SAP HR and employee stories)*")</f>
        <v>0</v>
      </c>
      <c r="G143">
        <f>COUNTIF('Metrics - Articles'!F142,"*P&amp;I (Research &amp; Development)*")</f>
        <v>0</v>
      </c>
      <c r="H143">
        <f>COUNTIF('Metrics - Articles'!F142,"*Business Network (Concur, Ariba, Fieldglass)*")</f>
        <v>0</v>
      </c>
      <c r="I143">
        <f>COUNTIF('Metrics - Articles'!F142,"*GCO – Regions*")</f>
        <v>1</v>
      </c>
      <c r="J143">
        <f>COUNTIF('Metrics - Articles'!F142,"*GCO – Platform Solutions*")</f>
        <v>0</v>
      </c>
      <c r="K143">
        <f>COUNTIF('Metrics - Articles'!F142,"*GCO – Industry Cloud *")</f>
        <v>0</v>
      </c>
      <c r="L143">
        <f>COUNTIF('Metrics - Articles'!F142,"*GCO – Customer Engagement &amp; Commerce (CRM &amp; hybris) *")</f>
        <v>0</v>
      </c>
      <c r="M143">
        <f>COUNTIF('Metrics - Articles'!F142,"*GCO – HR (SuccessFactors)*")</f>
        <v>0</v>
      </c>
      <c r="N143">
        <f>COUNTIF('Metrics - Articles'!F142,"*GCO – Services Sales*")</f>
        <v>0</v>
      </c>
      <c r="O143">
        <f>COUNTIF('Metrics - Articles'!F142,"*GCO – Other*")</f>
        <v>0</v>
      </c>
      <c r="P143">
        <f>COUNTIF('Metrics - Articles'!F142,"*Corporate*")</f>
        <v>0</v>
      </c>
      <c r="R143" s="53">
        <f t="shared" si="4"/>
        <v>1</v>
      </c>
    </row>
    <row r="144" spans="2:18" hidden="1" x14ac:dyDescent="0.25">
      <c r="B144" s="48">
        <f>+'Metrics - Articles'!C143</f>
        <v>42123</v>
      </c>
      <c r="C144">
        <f>COUNTIF('Metrics - Articles'!F143,"*GPO (Partner, Ecosystem, Channels)*")</f>
        <v>0</v>
      </c>
      <c r="D144">
        <f>COUNTIF('Metrics - Articles'!F143,"*Office of the CEO*")</f>
        <v>0</v>
      </c>
      <c r="E144">
        <f>COUNTIF('Metrics - Articles'!F143,"*Services Delivery &amp; Support (go-lives and deployments) *")</f>
        <v>0</v>
      </c>
      <c r="F144">
        <f>COUNTIF('Metrics - Articles'!F143,"*Human Resources (SAP HR and employee stories)*")</f>
        <v>0</v>
      </c>
      <c r="G144">
        <f>COUNTIF('Metrics - Articles'!F143,"*P&amp;I (Research &amp; Development)*")</f>
        <v>0</v>
      </c>
      <c r="H144">
        <f>COUNTIF('Metrics - Articles'!F143,"*Business Network (Concur, Ariba, Fieldglass)*")</f>
        <v>0</v>
      </c>
      <c r="I144">
        <f>COUNTIF('Metrics - Articles'!F143,"*GCO – Regions*")</f>
        <v>0</v>
      </c>
      <c r="J144">
        <f>COUNTIF('Metrics - Articles'!F143,"*GCO – Platform Solutions*")</f>
        <v>0</v>
      </c>
      <c r="K144">
        <f>COUNTIF('Metrics - Articles'!F143,"*GCO – Industry Cloud *")</f>
        <v>0</v>
      </c>
      <c r="L144">
        <f>COUNTIF('Metrics - Articles'!F143,"*GCO – Customer Engagement &amp; Commerce (CRM &amp; hybris) *")</f>
        <v>0</v>
      </c>
      <c r="M144">
        <f>COUNTIF('Metrics - Articles'!F143,"*GCO – HR (SuccessFactors)*")</f>
        <v>0</v>
      </c>
      <c r="N144">
        <f>COUNTIF('Metrics - Articles'!F143,"*GCO – Services Sales*")</f>
        <v>0</v>
      </c>
      <c r="O144">
        <f>COUNTIF('Metrics - Articles'!F143,"*GCO – Other*")</f>
        <v>0</v>
      </c>
      <c r="P144">
        <f>COUNTIF('Metrics - Articles'!F143,"*Corporate*")</f>
        <v>1</v>
      </c>
      <c r="R144" s="53">
        <f t="shared" si="4"/>
        <v>1</v>
      </c>
    </row>
    <row r="145" spans="2:18" hidden="1" x14ac:dyDescent="0.25">
      <c r="B145" s="48">
        <f>+'Metrics - Articles'!C144</f>
        <v>42123</v>
      </c>
      <c r="C145">
        <f>COUNTIF('Metrics - Articles'!F144,"*GPO (Partner, Ecosystem, Channels)*")</f>
        <v>0</v>
      </c>
      <c r="D145">
        <f>COUNTIF('Metrics - Articles'!F144,"*Office of the CEO*")</f>
        <v>0</v>
      </c>
      <c r="E145">
        <f>COUNTIF('Metrics - Articles'!F144,"*Services Delivery &amp; Support (go-lives and deployments) *")</f>
        <v>0</v>
      </c>
      <c r="F145">
        <f>COUNTIF('Metrics - Articles'!F144,"*Human Resources (SAP HR and employee stories)*")</f>
        <v>0</v>
      </c>
      <c r="G145">
        <f>COUNTIF('Metrics - Articles'!F144,"*P&amp;I (Research &amp; Development)*")</f>
        <v>0</v>
      </c>
      <c r="H145">
        <f>COUNTIF('Metrics - Articles'!F144,"*Business Network (Concur, Ariba, Fieldglass)*")</f>
        <v>0</v>
      </c>
      <c r="I145">
        <f>COUNTIF('Metrics - Articles'!F144,"*GCO – Regions*")</f>
        <v>0</v>
      </c>
      <c r="J145">
        <f>COUNTIF('Metrics - Articles'!F144,"*GCO – Platform Solutions*")</f>
        <v>1</v>
      </c>
      <c r="K145">
        <f>COUNTIF('Metrics - Articles'!F144,"*GCO – Industry Cloud *")</f>
        <v>0</v>
      </c>
      <c r="L145">
        <f>COUNTIF('Metrics - Articles'!F144,"*GCO – Customer Engagement &amp; Commerce (CRM &amp; hybris) *")</f>
        <v>0</v>
      </c>
      <c r="M145">
        <f>COUNTIF('Metrics - Articles'!F144,"*GCO – HR (SuccessFactors)*")</f>
        <v>0</v>
      </c>
      <c r="N145">
        <f>COUNTIF('Metrics - Articles'!F144,"*GCO – Services Sales*")</f>
        <v>0</v>
      </c>
      <c r="O145">
        <f>COUNTIF('Metrics - Articles'!F144,"*GCO – Other*")</f>
        <v>0</v>
      </c>
      <c r="P145">
        <f>COUNTIF('Metrics - Articles'!F144,"*Corporate*")</f>
        <v>0</v>
      </c>
      <c r="R145" s="53">
        <f t="shared" si="4"/>
        <v>1</v>
      </c>
    </row>
    <row r="146" spans="2:18" hidden="1" x14ac:dyDescent="0.25">
      <c r="B146" s="48">
        <f>+'Metrics - Articles'!C145</f>
        <v>42124</v>
      </c>
      <c r="C146">
        <f>COUNTIF('Metrics - Articles'!F145,"*GPO (Partner, Ecosystem, Channels)*")</f>
        <v>0</v>
      </c>
      <c r="D146">
        <f>COUNTIF('Metrics - Articles'!F145,"*Office of the CEO*")</f>
        <v>0</v>
      </c>
      <c r="E146">
        <f>COUNTIF('Metrics - Articles'!F145,"*Services Delivery &amp; Support (go-lives and deployments) *")</f>
        <v>0</v>
      </c>
      <c r="F146">
        <f>COUNTIF('Metrics - Articles'!F145,"*Human Resources (SAP HR and employee stories)*")</f>
        <v>0</v>
      </c>
      <c r="G146">
        <f>COUNTIF('Metrics - Articles'!F145,"*P&amp;I (Research &amp; Development)*")</f>
        <v>0</v>
      </c>
      <c r="H146">
        <f>COUNTIF('Metrics - Articles'!F145,"*Business Network (Concur, Ariba, Fieldglass)*")</f>
        <v>0</v>
      </c>
      <c r="I146">
        <f>COUNTIF('Metrics - Articles'!F145,"*GCO – Regions*")</f>
        <v>0</v>
      </c>
      <c r="J146">
        <f>COUNTIF('Metrics - Articles'!F145,"*GCO – Platform Solutions*")</f>
        <v>0</v>
      </c>
      <c r="K146">
        <f>COUNTIF('Metrics - Articles'!F145,"*GCO – Industry Cloud *")</f>
        <v>0</v>
      </c>
      <c r="L146">
        <f>COUNTIF('Metrics - Articles'!F145,"*GCO – Customer Engagement &amp; Commerce (CRM &amp; hybris) *")</f>
        <v>0</v>
      </c>
      <c r="M146">
        <f>COUNTIF('Metrics - Articles'!F145,"*GCO – HR (SuccessFactors)*")</f>
        <v>0</v>
      </c>
      <c r="N146">
        <f>COUNTIF('Metrics - Articles'!F145,"*GCO – Services Sales*")</f>
        <v>0</v>
      </c>
      <c r="O146">
        <f>COUNTIF('Metrics - Articles'!F145,"*GCO – Other*")</f>
        <v>0</v>
      </c>
      <c r="P146">
        <f>COUNTIF('Metrics - Articles'!F145,"*Corporate*")</f>
        <v>1</v>
      </c>
      <c r="R146" s="53">
        <f t="shared" si="4"/>
        <v>1</v>
      </c>
    </row>
    <row r="147" spans="2:18" hidden="1" x14ac:dyDescent="0.25">
      <c r="B147" s="48">
        <f>+'Metrics - Articles'!C146</f>
        <v>42124</v>
      </c>
      <c r="C147">
        <f>COUNTIF('Metrics - Articles'!F146,"*GPO (Partner, Ecosystem, Channels)*")</f>
        <v>0</v>
      </c>
      <c r="D147">
        <f>COUNTIF('Metrics - Articles'!F146,"*Office of the CEO*")</f>
        <v>0</v>
      </c>
      <c r="E147">
        <f>COUNTIF('Metrics - Articles'!F146,"*Services Delivery &amp; Support (go-lives and deployments) *")</f>
        <v>0</v>
      </c>
      <c r="F147">
        <f>COUNTIF('Metrics - Articles'!F146,"*Human Resources (SAP HR and employee stories)*")</f>
        <v>0</v>
      </c>
      <c r="G147">
        <f>COUNTIF('Metrics - Articles'!F146,"*P&amp;I (Research &amp; Development)*")</f>
        <v>0</v>
      </c>
      <c r="H147">
        <f>COUNTIF('Metrics - Articles'!F146,"*Business Network (Concur, Ariba, Fieldglass)*")</f>
        <v>0</v>
      </c>
      <c r="I147">
        <f>COUNTIF('Metrics - Articles'!F146,"*GCO – Regions*")</f>
        <v>0</v>
      </c>
      <c r="J147">
        <f>COUNTIF('Metrics - Articles'!F146,"*GCO – Platform Solutions*")</f>
        <v>0</v>
      </c>
      <c r="K147">
        <f>COUNTIF('Metrics - Articles'!F146,"*GCO – Industry Cloud *")</f>
        <v>0</v>
      </c>
      <c r="L147">
        <f>COUNTIF('Metrics - Articles'!F146,"*GCO – Customer Engagement &amp; Commerce (CRM &amp; hybris) *")</f>
        <v>0</v>
      </c>
      <c r="M147">
        <f>COUNTIF('Metrics - Articles'!F146,"*GCO – HR (SuccessFactors)*")</f>
        <v>0</v>
      </c>
      <c r="N147">
        <f>COUNTIF('Metrics - Articles'!F146,"*GCO – Services Sales*")</f>
        <v>0</v>
      </c>
      <c r="O147">
        <f>COUNTIF('Metrics - Articles'!F146,"*GCO – Other*")</f>
        <v>0</v>
      </c>
      <c r="P147">
        <f>COUNTIF('Metrics - Articles'!F146,"*Corporate*")</f>
        <v>1</v>
      </c>
      <c r="R147" s="53">
        <f t="shared" si="4"/>
        <v>1</v>
      </c>
    </row>
    <row r="148" spans="2:18" hidden="1" x14ac:dyDescent="0.25">
      <c r="B148" s="48">
        <f>+'Metrics - Articles'!C147</f>
        <v>42124</v>
      </c>
      <c r="C148">
        <f>COUNTIF('Metrics - Articles'!F147,"*GPO (Partner, Ecosystem, Channels)*")</f>
        <v>0</v>
      </c>
      <c r="D148">
        <f>COUNTIF('Metrics - Articles'!F147,"*Office of the CEO*")</f>
        <v>0</v>
      </c>
      <c r="E148">
        <f>COUNTIF('Metrics - Articles'!F147,"*Services Delivery &amp; Support (go-lives and deployments) *")</f>
        <v>0</v>
      </c>
      <c r="F148">
        <f>COUNTIF('Metrics - Articles'!F147,"*Human Resources (SAP HR and employee stories)*")</f>
        <v>0</v>
      </c>
      <c r="G148">
        <f>COUNTIF('Metrics - Articles'!F147,"*P&amp;I (Research &amp; Development)*")</f>
        <v>0</v>
      </c>
      <c r="H148">
        <f>COUNTIF('Metrics - Articles'!F147,"*Business Network (Concur, Ariba, Fieldglass)*")</f>
        <v>0</v>
      </c>
      <c r="I148">
        <f>COUNTIF('Metrics - Articles'!F147,"*GCO – Regions*")</f>
        <v>0</v>
      </c>
      <c r="J148">
        <f>COUNTIF('Metrics - Articles'!F147,"*GCO – Platform Solutions*")</f>
        <v>0</v>
      </c>
      <c r="K148">
        <f>COUNTIF('Metrics - Articles'!F147,"*GCO – Industry Cloud *")</f>
        <v>0</v>
      </c>
      <c r="L148">
        <f>COUNTIF('Metrics - Articles'!F147,"*GCO – Customer Engagement &amp; Commerce (CRM &amp; hybris) *")</f>
        <v>0</v>
      </c>
      <c r="M148">
        <f>COUNTIF('Metrics - Articles'!F147,"*GCO – HR (SuccessFactors)*")</f>
        <v>0</v>
      </c>
      <c r="N148">
        <f>COUNTIF('Metrics - Articles'!F147,"*GCO – Services Sales*")</f>
        <v>0</v>
      </c>
      <c r="O148">
        <f>COUNTIF('Metrics - Articles'!F147,"*GCO – Other*")</f>
        <v>0</v>
      </c>
      <c r="P148">
        <f>COUNTIF('Metrics - Articles'!F147,"*Corporate*")</f>
        <v>1</v>
      </c>
      <c r="R148" s="53">
        <f t="shared" si="4"/>
        <v>1</v>
      </c>
    </row>
    <row r="149" spans="2:18" hidden="1" x14ac:dyDescent="0.25">
      <c r="B149" s="48">
        <f>+'Metrics - Articles'!C148</f>
        <v>42124</v>
      </c>
      <c r="C149">
        <f>COUNTIF('Metrics - Articles'!F148,"*GPO (Partner, Ecosystem, Channels)*")</f>
        <v>0</v>
      </c>
      <c r="D149">
        <f>COUNTIF('Metrics - Articles'!F148,"*Office of the CEO*")</f>
        <v>0</v>
      </c>
      <c r="E149">
        <f>COUNTIF('Metrics - Articles'!F148,"*Services Delivery &amp; Support (go-lives and deployments) *")</f>
        <v>0</v>
      </c>
      <c r="F149">
        <f>COUNTIF('Metrics - Articles'!F148,"*Human Resources (SAP HR and employee stories)*")</f>
        <v>0</v>
      </c>
      <c r="G149">
        <f>COUNTIF('Metrics - Articles'!F148,"*P&amp;I (Research &amp; Development)*")</f>
        <v>0</v>
      </c>
      <c r="H149">
        <f>COUNTIF('Metrics - Articles'!F148,"*Business Network (Concur, Ariba, Fieldglass)*")</f>
        <v>0</v>
      </c>
      <c r="I149">
        <f>COUNTIF('Metrics - Articles'!F148,"*GCO – Regions*")</f>
        <v>0</v>
      </c>
      <c r="J149">
        <f>COUNTIF('Metrics - Articles'!F148,"*GCO – Platform Solutions*")</f>
        <v>1</v>
      </c>
      <c r="K149">
        <f>COUNTIF('Metrics - Articles'!F148,"*GCO – Industry Cloud *")</f>
        <v>0</v>
      </c>
      <c r="L149">
        <f>COUNTIF('Metrics - Articles'!F148,"*GCO – Customer Engagement &amp; Commerce (CRM &amp; hybris) *")</f>
        <v>0</v>
      </c>
      <c r="M149">
        <f>COUNTIF('Metrics - Articles'!F148,"*GCO – HR (SuccessFactors)*")</f>
        <v>0</v>
      </c>
      <c r="N149">
        <f>COUNTIF('Metrics - Articles'!F148,"*GCO – Services Sales*")</f>
        <v>0</v>
      </c>
      <c r="O149">
        <f>COUNTIF('Metrics - Articles'!F148,"*GCO – Other*")</f>
        <v>0</v>
      </c>
      <c r="P149">
        <f>COUNTIF('Metrics - Articles'!F148,"*Corporate*")</f>
        <v>0</v>
      </c>
      <c r="R149" s="53">
        <f t="shared" si="4"/>
        <v>1</v>
      </c>
    </row>
    <row r="150" spans="2:18" hidden="1" x14ac:dyDescent="0.25">
      <c r="B150" s="48">
        <f>+'Metrics - Articles'!C149</f>
        <v>42125</v>
      </c>
      <c r="C150">
        <f>COUNTIF('Metrics - Articles'!F149,"*GPO (Partner, Ecosystem, Channels)*")</f>
        <v>0</v>
      </c>
      <c r="D150">
        <f>COUNTIF('Metrics - Articles'!F149,"*Office of the CEO*")</f>
        <v>0</v>
      </c>
      <c r="E150">
        <f>COUNTIF('Metrics - Articles'!F149,"*Services Delivery &amp; Support (go-lives and deployments) *")</f>
        <v>0</v>
      </c>
      <c r="F150">
        <f>COUNTIF('Metrics - Articles'!F149,"*Human Resources (SAP HR and employee stories)*")</f>
        <v>0</v>
      </c>
      <c r="G150">
        <f>COUNTIF('Metrics - Articles'!F149,"*P&amp;I (Research &amp; Development)*")</f>
        <v>0</v>
      </c>
      <c r="H150">
        <f>COUNTIF('Metrics - Articles'!F149,"*Business Network (Concur, Ariba, Fieldglass)*")</f>
        <v>0</v>
      </c>
      <c r="I150">
        <f>COUNTIF('Metrics - Articles'!F149,"*GCO – Regions*")</f>
        <v>0</v>
      </c>
      <c r="J150">
        <f>COUNTIF('Metrics - Articles'!F149,"*GCO – Platform Solutions*")</f>
        <v>0</v>
      </c>
      <c r="K150">
        <f>COUNTIF('Metrics - Articles'!F149,"*GCO – Industry Cloud *")</f>
        <v>0</v>
      </c>
      <c r="L150">
        <f>COUNTIF('Metrics - Articles'!F149,"*GCO – Customer Engagement &amp; Commerce (CRM &amp; hybris) *")</f>
        <v>0</v>
      </c>
      <c r="M150">
        <f>COUNTIF('Metrics - Articles'!F149,"*GCO – HR (SuccessFactors)*")</f>
        <v>0</v>
      </c>
      <c r="N150">
        <f>COUNTIF('Metrics - Articles'!F149,"*GCO – Services Sales*")</f>
        <v>0</v>
      </c>
      <c r="O150">
        <f>COUNTIF('Metrics - Articles'!F149,"*GCO – Other*")</f>
        <v>0</v>
      </c>
      <c r="P150">
        <f>COUNTIF('Metrics - Articles'!F149,"*Corporate*")</f>
        <v>1</v>
      </c>
      <c r="R150" s="53">
        <f t="shared" si="4"/>
        <v>1</v>
      </c>
    </row>
    <row r="151" spans="2:18" hidden="1" x14ac:dyDescent="0.25">
      <c r="B151" s="48">
        <f>+'Metrics - Articles'!C150</f>
        <v>42125</v>
      </c>
      <c r="C151">
        <f>COUNTIF('Metrics - Articles'!F150,"*GPO (Partner, Ecosystem, Channels)*")</f>
        <v>0</v>
      </c>
      <c r="D151">
        <f>COUNTIF('Metrics - Articles'!F150,"*Office of the CEO*")</f>
        <v>0</v>
      </c>
      <c r="E151">
        <f>COUNTIF('Metrics - Articles'!F150,"*Services Delivery &amp; Support (go-lives and deployments) *")</f>
        <v>0</v>
      </c>
      <c r="F151">
        <f>COUNTIF('Metrics - Articles'!F150,"*Human Resources (SAP HR and employee stories)*")</f>
        <v>0</v>
      </c>
      <c r="G151">
        <f>COUNTIF('Metrics - Articles'!F150,"*P&amp;I (Research &amp; Development)*")</f>
        <v>0</v>
      </c>
      <c r="H151">
        <f>COUNTIF('Metrics - Articles'!F150,"*Business Network (Concur, Ariba, Fieldglass)*")</f>
        <v>0</v>
      </c>
      <c r="I151">
        <f>COUNTIF('Metrics - Articles'!F150,"*GCO – Regions*")</f>
        <v>0</v>
      </c>
      <c r="J151">
        <f>COUNTIF('Metrics - Articles'!F150,"*GCO – Platform Solutions*")</f>
        <v>0</v>
      </c>
      <c r="K151">
        <f>COUNTIF('Metrics - Articles'!F150,"*GCO – Industry Cloud *")</f>
        <v>0</v>
      </c>
      <c r="L151">
        <f>COUNTIF('Metrics - Articles'!F150,"*GCO – Customer Engagement &amp; Commerce (CRM &amp; hybris) *")</f>
        <v>1</v>
      </c>
      <c r="M151">
        <f>COUNTIF('Metrics - Articles'!F150,"*GCO – HR (SuccessFactors)*")</f>
        <v>0</v>
      </c>
      <c r="N151">
        <f>COUNTIF('Metrics - Articles'!F150,"*GCO – Services Sales*")</f>
        <v>0</v>
      </c>
      <c r="O151">
        <f>COUNTIF('Metrics - Articles'!F150,"*GCO – Other*")</f>
        <v>0</v>
      </c>
      <c r="P151">
        <f>COUNTIF('Metrics - Articles'!F150,"*Corporate*")</f>
        <v>0</v>
      </c>
      <c r="R151" s="53">
        <f t="shared" si="4"/>
        <v>1</v>
      </c>
    </row>
    <row r="152" spans="2:18" hidden="1" x14ac:dyDescent="0.25">
      <c r="B152" s="48">
        <f>+'Metrics - Articles'!C151</f>
        <v>42125</v>
      </c>
      <c r="C152">
        <f>COUNTIF('Metrics - Articles'!F151,"*GPO (Partner, Ecosystem, Channels)*")</f>
        <v>0</v>
      </c>
      <c r="D152">
        <f>COUNTIF('Metrics - Articles'!F151,"*Office of the CEO*")</f>
        <v>0</v>
      </c>
      <c r="E152">
        <f>COUNTIF('Metrics - Articles'!F151,"*Services Delivery &amp; Support (go-lives and deployments) *")</f>
        <v>0</v>
      </c>
      <c r="F152">
        <f>COUNTIF('Metrics - Articles'!F151,"*Human Resources (SAP HR and employee stories)*")</f>
        <v>0</v>
      </c>
      <c r="G152">
        <f>COUNTIF('Metrics - Articles'!F151,"*P&amp;I (Research &amp; Development)*")</f>
        <v>0</v>
      </c>
      <c r="H152">
        <f>COUNTIF('Metrics - Articles'!F151,"*Business Network (Concur, Ariba, Fieldglass)*")</f>
        <v>0</v>
      </c>
      <c r="I152">
        <f>COUNTIF('Metrics - Articles'!F151,"*GCO – Regions*")</f>
        <v>0</v>
      </c>
      <c r="J152">
        <f>COUNTIF('Metrics - Articles'!F151,"*GCO – Platform Solutions*")</f>
        <v>0</v>
      </c>
      <c r="K152">
        <f>COUNTIF('Metrics - Articles'!F151,"*GCO – Industry Cloud *")</f>
        <v>0</v>
      </c>
      <c r="L152">
        <f>COUNTIF('Metrics - Articles'!F151,"*GCO – Customer Engagement &amp; Commerce (CRM &amp; hybris) *")</f>
        <v>0</v>
      </c>
      <c r="M152">
        <f>COUNTIF('Metrics - Articles'!F151,"*GCO – HR (SuccessFactors)*")</f>
        <v>1</v>
      </c>
      <c r="N152">
        <f>COUNTIF('Metrics - Articles'!F151,"*GCO – Services Sales*")</f>
        <v>0</v>
      </c>
      <c r="O152">
        <f>COUNTIF('Metrics - Articles'!F151,"*GCO – Other*")</f>
        <v>0</v>
      </c>
      <c r="P152">
        <f>COUNTIF('Metrics - Articles'!F151,"*Corporate*")</f>
        <v>0</v>
      </c>
      <c r="R152" s="53">
        <f t="shared" si="4"/>
        <v>1</v>
      </c>
    </row>
    <row r="153" spans="2:18" hidden="1" x14ac:dyDescent="0.25">
      <c r="B153" s="48">
        <f>+'Metrics - Articles'!C152</f>
        <v>42128</v>
      </c>
      <c r="C153">
        <f>COUNTIF('Metrics - Articles'!F152,"*GPO (Partner, Ecosystem, Channels)*")</f>
        <v>0</v>
      </c>
      <c r="D153">
        <f>COUNTIF('Metrics - Articles'!F152,"*Office of the CEO*")</f>
        <v>0</v>
      </c>
      <c r="E153">
        <f>COUNTIF('Metrics - Articles'!F152,"*Services Delivery &amp; Support (go-lives and deployments) *")</f>
        <v>0</v>
      </c>
      <c r="F153">
        <f>COUNTIF('Metrics - Articles'!F152,"*Human Resources (SAP HR and employee stories)*")</f>
        <v>0</v>
      </c>
      <c r="G153">
        <f>COUNTIF('Metrics - Articles'!F152,"*P&amp;I (Research &amp; Development)*")</f>
        <v>0</v>
      </c>
      <c r="H153">
        <f>COUNTIF('Metrics - Articles'!F152,"*Business Network (Concur, Ariba, Fieldglass)*")</f>
        <v>0</v>
      </c>
      <c r="I153">
        <f>COUNTIF('Metrics - Articles'!F152,"*GCO – Regions*")</f>
        <v>0</v>
      </c>
      <c r="J153">
        <f>COUNTIF('Metrics - Articles'!F152,"*GCO – Platform Solutions*")</f>
        <v>0</v>
      </c>
      <c r="K153">
        <f>COUNTIF('Metrics - Articles'!F152,"*GCO – Industry Cloud *")</f>
        <v>1</v>
      </c>
      <c r="L153">
        <f>COUNTIF('Metrics - Articles'!F152,"*GCO – Customer Engagement &amp; Commerce (CRM &amp; hybris) *")</f>
        <v>0</v>
      </c>
      <c r="M153">
        <f>COUNTIF('Metrics - Articles'!F152,"*GCO – HR (SuccessFactors)*")</f>
        <v>0</v>
      </c>
      <c r="N153">
        <f>COUNTIF('Metrics - Articles'!F152,"*GCO – Services Sales*")</f>
        <v>0</v>
      </c>
      <c r="O153">
        <f>COUNTIF('Metrics - Articles'!F152,"*GCO – Other*")</f>
        <v>0</v>
      </c>
      <c r="P153">
        <f>COUNTIF('Metrics - Articles'!F152,"*Corporate*")</f>
        <v>0</v>
      </c>
      <c r="R153" s="53">
        <f t="shared" si="4"/>
        <v>1</v>
      </c>
    </row>
    <row r="154" spans="2:18" hidden="1" x14ac:dyDescent="0.25">
      <c r="B154" s="48">
        <f>+'Metrics - Articles'!C153</f>
        <v>42128</v>
      </c>
      <c r="C154">
        <f>COUNTIF('Metrics - Articles'!F153,"*GPO (Partner, Ecosystem, Channels)*")</f>
        <v>0</v>
      </c>
      <c r="D154">
        <f>COUNTIF('Metrics - Articles'!F153,"*Office of the CEO*")</f>
        <v>0</v>
      </c>
      <c r="E154">
        <f>COUNTIF('Metrics - Articles'!F153,"*Services Delivery &amp; Support (go-lives and deployments) *")</f>
        <v>0</v>
      </c>
      <c r="F154">
        <f>COUNTIF('Metrics - Articles'!F153,"*Human Resources (SAP HR and employee stories)*")</f>
        <v>0</v>
      </c>
      <c r="G154">
        <f>COUNTIF('Metrics - Articles'!F153,"*P&amp;I (Research &amp; Development)*")</f>
        <v>0</v>
      </c>
      <c r="H154">
        <f>COUNTIF('Metrics - Articles'!F153,"*Business Network (Concur, Ariba, Fieldglass)*")</f>
        <v>0</v>
      </c>
      <c r="I154">
        <f>COUNTIF('Metrics - Articles'!F153,"*GCO – Regions*")</f>
        <v>0</v>
      </c>
      <c r="J154">
        <f>COUNTIF('Metrics - Articles'!F153,"*GCO – Platform Solutions*")</f>
        <v>0</v>
      </c>
      <c r="K154">
        <f>COUNTIF('Metrics - Articles'!F153,"*GCO – Industry Cloud *")</f>
        <v>1</v>
      </c>
      <c r="L154">
        <f>COUNTIF('Metrics - Articles'!F153,"*GCO – Customer Engagement &amp; Commerce (CRM &amp; hybris) *")</f>
        <v>0</v>
      </c>
      <c r="M154">
        <f>COUNTIF('Metrics - Articles'!F153,"*GCO – HR (SuccessFactors)*")</f>
        <v>0</v>
      </c>
      <c r="N154">
        <f>COUNTIF('Metrics - Articles'!F153,"*GCO – Services Sales*")</f>
        <v>0</v>
      </c>
      <c r="O154">
        <f>COUNTIF('Metrics - Articles'!F153,"*GCO – Other*")</f>
        <v>0</v>
      </c>
      <c r="P154">
        <f>COUNTIF('Metrics - Articles'!F153,"*Corporate*")</f>
        <v>0</v>
      </c>
      <c r="R154" s="53">
        <f t="shared" si="4"/>
        <v>1</v>
      </c>
    </row>
    <row r="155" spans="2:18" hidden="1" x14ac:dyDescent="0.25">
      <c r="B155" s="48">
        <f>+'Metrics - Articles'!C154</f>
        <v>42130</v>
      </c>
      <c r="C155">
        <f>COUNTIF('Metrics - Articles'!F154,"*GPO (Partner, Ecosystem, Channels)*")</f>
        <v>0</v>
      </c>
      <c r="D155">
        <f>COUNTIF('Metrics - Articles'!F154,"*Office of the CEO*")</f>
        <v>1</v>
      </c>
      <c r="E155">
        <f>COUNTIF('Metrics - Articles'!F154,"*Services Delivery &amp; Support (go-lives and deployments) *")</f>
        <v>0</v>
      </c>
      <c r="F155">
        <f>COUNTIF('Metrics - Articles'!F154,"*Human Resources (SAP HR and employee stories)*")</f>
        <v>0</v>
      </c>
      <c r="G155">
        <f>COUNTIF('Metrics - Articles'!F154,"*P&amp;I (Research &amp; Development)*")</f>
        <v>0</v>
      </c>
      <c r="H155">
        <f>COUNTIF('Metrics - Articles'!F154,"*Business Network (Concur, Ariba, Fieldglass)*")</f>
        <v>0</v>
      </c>
      <c r="I155">
        <f>COUNTIF('Metrics - Articles'!F154,"*GCO – Regions*")</f>
        <v>0</v>
      </c>
      <c r="J155">
        <f>COUNTIF('Metrics - Articles'!F154,"*GCO – Platform Solutions*")</f>
        <v>0</v>
      </c>
      <c r="K155">
        <f>COUNTIF('Metrics - Articles'!F154,"*GCO – Industry Cloud *")</f>
        <v>0</v>
      </c>
      <c r="L155">
        <f>COUNTIF('Metrics - Articles'!F154,"*GCO – Customer Engagement &amp; Commerce (CRM &amp; hybris) *")</f>
        <v>0</v>
      </c>
      <c r="M155">
        <f>COUNTIF('Metrics - Articles'!F154,"*GCO – HR (SuccessFactors)*")</f>
        <v>0</v>
      </c>
      <c r="N155">
        <f>COUNTIF('Metrics - Articles'!F154,"*GCO – Services Sales*")</f>
        <v>0</v>
      </c>
      <c r="O155">
        <f>COUNTIF('Metrics - Articles'!F154,"*GCO – Other*")</f>
        <v>0</v>
      </c>
      <c r="P155">
        <f>COUNTIF('Metrics - Articles'!F154,"*Corporate*")</f>
        <v>0</v>
      </c>
      <c r="R155" s="53">
        <f t="shared" si="4"/>
        <v>1</v>
      </c>
    </row>
    <row r="156" spans="2:18" hidden="1" x14ac:dyDescent="0.25">
      <c r="B156" s="48">
        <f>+'Metrics - Articles'!C155</f>
        <v>42130</v>
      </c>
      <c r="C156">
        <f>COUNTIF('Metrics - Articles'!F155,"*GPO (Partner, Ecosystem, Channels)*")</f>
        <v>0</v>
      </c>
      <c r="D156">
        <f>COUNTIF('Metrics - Articles'!F155,"*Office of the CEO*")</f>
        <v>1</v>
      </c>
      <c r="E156">
        <f>COUNTIF('Metrics - Articles'!F155,"*Services Delivery &amp; Support (go-lives and deployments) *")</f>
        <v>0</v>
      </c>
      <c r="F156">
        <f>COUNTIF('Metrics - Articles'!F155,"*Human Resources (SAP HR and employee stories)*")</f>
        <v>0</v>
      </c>
      <c r="G156">
        <f>COUNTIF('Metrics - Articles'!F155,"*P&amp;I (Research &amp; Development)*")</f>
        <v>0</v>
      </c>
      <c r="H156">
        <f>COUNTIF('Metrics - Articles'!F155,"*Business Network (Concur, Ariba, Fieldglass)*")</f>
        <v>0</v>
      </c>
      <c r="I156">
        <f>COUNTIF('Metrics - Articles'!F155,"*GCO – Regions*")</f>
        <v>0</v>
      </c>
      <c r="J156">
        <f>COUNTIF('Metrics - Articles'!F155,"*GCO – Platform Solutions*")</f>
        <v>0</v>
      </c>
      <c r="K156">
        <f>COUNTIF('Metrics - Articles'!F155,"*GCO – Industry Cloud *")</f>
        <v>0</v>
      </c>
      <c r="L156">
        <f>COUNTIF('Metrics - Articles'!F155,"*GCO – Customer Engagement &amp; Commerce (CRM &amp; hybris) *")</f>
        <v>0</v>
      </c>
      <c r="M156">
        <f>COUNTIF('Metrics - Articles'!F155,"*GCO – HR (SuccessFactors)*")</f>
        <v>0</v>
      </c>
      <c r="N156">
        <f>COUNTIF('Metrics - Articles'!F155,"*GCO – Services Sales*")</f>
        <v>0</v>
      </c>
      <c r="O156">
        <f>COUNTIF('Metrics - Articles'!F155,"*GCO – Other*")</f>
        <v>0</v>
      </c>
      <c r="P156">
        <f>COUNTIF('Metrics - Articles'!F155,"*Corporate*")</f>
        <v>0</v>
      </c>
      <c r="R156" s="53">
        <f t="shared" si="4"/>
        <v>1</v>
      </c>
    </row>
    <row r="157" spans="2:18" hidden="1" x14ac:dyDescent="0.25">
      <c r="B157" s="48">
        <f>+'Metrics - Articles'!C156</f>
        <v>42131</v>
      </c>
      <c r="C157">
        <f>COUNTIF('Metrics - Articles'!F156,"*GPO (Partner, Ecosystem, Channels)*")</f>
        <v>0</v>
      </c>
      <c r="D157">
        <f>COUNTIF('Metrics - Articles'!F156,"*Office of the CEO*")</f>
        <v>0</v>
      </c>
      <c r="E157">
        <f>COUNTIF('Metrics - Articles'!F156,"*Services Delivery &amp; Support (go-lives and deployments) *")</f>
        <v>0</v>
      </c>
      <c r="F157">
        <f>COUNTIF('Metrics - Articles'!F156,"*Human Resources (SAP HR and employee stories)*")</f>
        <v>1</v>
      </c>
      <c r="G157">
        <f>COUNTIF('Metrics - Articles'!F156,"*P&amp;I (Research &amp; Development)*")</f>
        <v>0</v>
      </c>
      <c r="H157">
        <f>COUNTIF('Metrics - Articles'!F156,"*Business Network (Concur, Ariba, Fieldglass)*")</f>
        <v>0</v>
      </c>
      <c r="I157">
        <f>COUNTIF('Metrics - Articles'!F156,"*GCO – Regions*")</f>
        <v>0</v>
      </c>
      <c r="J157">
        <f>COUNTIF('Metrics - Articles'!F156,"*GCO – Platform Solutions*")</f>
        <v>0</v>
      </c>
      <c r="K157">
        <f>COUNTIF('Metrics - Articles'!F156,"*GCO – Industry Cloud *")</f>
        <v>0</v>
      </c>
      <c r="L157">
        <f>COUNTIF('Metrics - Articles'!F156,"*GCO – Customer Engagement &amp; Commerce (CRM &amp; hybris) *")</f>
        <v>0</v>
      </c>
      <c r="M157">
        <f>COUNTIF('Metrics - Articles'!F156,"*GCO – HR (SuccessFactors)*")</f>
        <v>0</v>
      </c>
      <c r="N157">
        <f>COUNTIF('Metrics - Articles'!F156,"*GCO – Services Sales*")</f>
        <v>0</v>
      </c>
      <c r="O157">
        <f>COUNTIF('Metrics - Articles'!F156,"*GCO – Other*")</f>
        <v>0</v>
      </c>
      <c r="P157">
        <f>COUNTIF('Metrics - Articles'!F156,"*Corporate*")</f>
        <v>0</v>
      </c>
      <c r="R157" s="53">
        <f t="shared" si="4"/>
        <v>1</v>
      </c>
    </row>
    <row r="158" spans="2:18" hidden="1" x14ac:dyDescent="0.25">
      <c r="B158" s="48">
        <f>+'Metrics - Articles'!C157</f>
        <v>42131</v>
      </c>
      <c r="C158">
        <f>COUNTIF('Metrics - Articles'!F157,"*GPO (Partner, Ecosystem, Channels)*")</f>
        <v>0</v>
      </c>
      <c r="D158">
        <f>COUNTIF('Metrics - Articles'!F157,"*Office of the CEO*")</f>
        <v>0</v>
      </c>
      <c r="E158">
        <f>COUNTIF('Metrics - Articles'!F157,"*Services Delivery &amp; Support (go-lives and deployments) *")</f>
        <v>0</v>
      </c>
      <c r="F158">
        <f>COUNTIF('Metrics - Articles'!F157,"*Human Resources (SAP HR and employee stories)*")</f>
        <v>0</v>
      </c>
      <c r="G158">
        <f>COUNTIF('Metrics - Articles'!F157,"*P&amp;I (Research &amp; Development)*")</f>
        <v>0</v>
      </c>
      <c r="H158">
        <f>COUNTIF('Metrics - Articles'!F157,"*Business Network (Concur, Ariba, Fieldglass)*")</f>
        <v>0</v>
      </c>
      <c r="I158">
        <f>COUNTIF('Metrics - Articles'!F157,"*GCO – Regions*")</f>
        <v>0</v>
      </c>
      <c r="J158">
        <f>COUNTIF('Metrics - Articles'!F157,"*GCO – Platform Solutions*")</f>
        <v>0</v>
      </c>
      <c r="K158">
        <f>COUNTIF('Metrics - Articles'!F157,"*GCO – Industry Cloud *")</f>
        <v>0</v>
      </c>
      <c r="L158">
        <f>COUNTIF('Metrics - Articles'!F157,"*GCO – Customer Engagement &amp; Commerce (CRM &amp; hybris) *")</f>
        <v>0</v>
      </c>
      <c r="M158">
        <f>COUNTIF('Metrics - Articles'!F157,"*GCO – HR (SuccessFactors)*")</f>
        <v>0</v>
      </c>
      <c r="N158">
        <f>COUNTIF('Metrics - Articles'!F157,"*GCO – Services Sales*")</f>
        <v>0</v>
      </c>
      <c r="O158">
        <f>COUNTIF('Metrics - Articles'!F157,"*GCO – Other*")</f>
        <v>0</v>
      </c>
      <c r="P158">
        <f>COUNTIF('Metrics - Articles'!F157,"*Corporate*")</f>
        <v>1</v>
      </c>
      <c r="R158" s="53">
        <f t="shared" si="4"/>
        <v>1</v>
      </c>
    </row>
    <row r="159" spans="2:18" hidden="1" x14ac:dyDescent="0.25">
      <c r="B159" s="48">
        <f>+'Metrics - Articles'!C158</f>
        <v>42131</v>
      </c>
      <c r="C159">
        <f>COUNTIF('Metrics - Articles'!F158,"*GPO (Partner, Ecosystem, Channels)*")</f>
        <v>0</v>
      </c>
      <c r="D159">
        <f>COUNTIF('Metrics - Articles'!F158,"*Office of the CEO*")</f>
        <v>0</v>
      </c>
      <c r="E159">
        <f>COUNTIF('Metrics - Articles'!F158,"*Services Delivery &amp; Support (go-lives and deployments) *")</f>
        <v>0</v>
      </c>
      <c r="F159">
        <f>COUNTIF('Metrics - Articles'!F158,"*Human Resources (SAP HR and employee stories)*")</f>
        <v>0</v>
      </c>
      <c r="G159">
        <f>COUNTIF('Metrics - Articles'!F158,"*P&amp;I (Research &amp; Development)*")</f>
        <v>0</v>
      </c>
      <c r="H159">
        <f>COUNTIF('Metrics - Articles'!F158,"*Business Network (Concur, Ariba, Fieldglass)*")</f>
        <v>0</v>
      </c>
      <c r="I159">
        <f>COUNTIF('Metrics - Articles'!F158,"*GCO – Regions*")</f>
        <v>0</v>
      </c>
      <c r="J159">
        <f>COUNTIF('Metrics - Articles'!F158,"*GCO – Platform Solutions*")</f>
        <v>1</v>
      </c>
      <c r="K159">
        <f>COUNTIF('Metrics - Articles'!F158,"*GCO – Industry Cloud *")</f>
        <v>0</v>
      </c>
      <c r="L159">
        <f>COUNTIF('Metrics - Articles'!F158,"*GCO – Customer Engagement &amp; Commerce (CRM &amp; hybris) *")</f>
        <v>0</v>
      </c>
      <c r="M159">
        <f>COUNTIF('Metrics - Articles'!F158,"*GCO – HR (SuccessFactors)*")</f>
        <v>0</v>
      </c>
      <c r="N159">
        <f>COUNTIF('Metrics - Articles'!F158,"*GCO – Services Sales*")</f>
        <v>0</v>
      </c>
      <c r="O159">
        <f>COUNTIF('Metrics - Articles'!F158,"*GCO – Other*")</f>
        <v>0</v>
      </c>
      <c r="P159">
        <f>COUNTIF('Metrics - Articles'!F158,"*Corporate*")</f>
        <v>0</v>
      </c>
      <c r="R159" s="53">
        <f t="shared" si="4"/>
        <v>1</v>
      </c>
    </row>
    <row r="160" spans="2:18" hidden="1" x14ac:dyDescent="0.25">
      <c r="B160" s="48">
        <f>+'Metrics - Articles'!C159</f>
        <v>42132</v>
      </c>
      <c r="C160">
        <f>COUNTIF('Metrics - Articles'!F159,"*GPO (Partner, Ecosystem, Channels)*")</f>
        <v>0</v>
      </c>
      <c r="D160">
        <f>COUNTIF('Metrics - Articles'!F159,"*Office of the CEO*")</f>
        <v>0</v>
      </c>
      <c r="E160">
        <f>COUNTIF('Metrics - Articles'!F159,"*Services Delivery &amp; Support (go-lives and deployments) *")</f>
        <v>0</v>
      </c>
      <c r="F160">
        <f>COUNTIF('Metrics - Articles'!F159,"*Human Resources (SAP HR and employee stories)*")</f>
        <v>0</v>
      </c>
      <c r="G160">
        <f>COUNTIF('Metrics - Articles'!F159,"*P&amp;I (Research &amp; Development)*")</f>
        <v>0</v>
      </c>
      <c r="H160">
        <f>COUNTIF('Metrics - Articles'!F159,"*Business Network (Concur, Ariba, Fieldglass)*")</f>
        <v>1</v>
      </c>
      <c r="I160">
        <f>COUNTIF('Metrics - Articles'!F159,"*GCO – Regions*")</f>
        <v>0</v>
      </c>
      <c r="J160">
        <f>COUNTIF('Metrics - Articles'!F159,"*GCO – Platform Solutions*")</f>
        <v>0</v>
      </c>
      <c r="K160">
        <f>COUNTIF('Metrics - Articles'!F159,"*GCO – Industry Cloud *")</f>
        <v>0</v>
      </c>
      <c r="L160">
        <f>COUNTIF('Metrics - Articles'!F159,"*GCO – Customer Engagement &amp; Commerce (CRM &amp; hybris) *")</f>
        <v>0</v>
      </c>
      <c r="M160">
        <f>COUNTIF('Metrics - Articles'!F159,"*GCO – HR (SuccessFactors)*")</f>
        <v>0</v>
      </c>
      <c r="N160">
        <f>COUNTIF('Metrics - Articles'!F159,"*GCO – Services Sales*")</f>
        <v>0</v>
      </c>
      <c r="O160">
        <f>COUNTIF('Metrics - Articles'!F159,"*GCO – Other*")</f>
        <v>0</v>
      </c>
      <c r="P160">
        <f>COUNTIF('Metrics - Articles'!F159,"*Corporate*")</f>
        <v>0</v>
      </c>
      <c r="R160" s="53">
        <f t="shared" si="4"/>
        <v>1</v>
      </c>
    </row>
    <row r="161" spans="2:18" hidden="1" x14ac:dyDescent="0.25">
      <c r="B161" s="48">
        <f>+'Metrics - Articles'!C160</f>
        <v>42132</v>
      </c>
      <c r="C161">
        <f>COUNTIF('Metrics - Articles'!F160,"*GPO (Partner, Ecosystem, Channels)*")</f>
        <v>0</v>
      </c>
      <c r="D161">
        <f>COUNTIF('Metrics - Articles'!F160,"*Office of the CEO*")</f>
        <v>0</v>
      </c>
      <c r="E161">
        <f>COUNTIF('Metrics - Articles'!F160,"*Services Delivery &amp; Support (go-lives and deployments) *")</f>
        <v>0</v>
      </c>
      <c r="F161">
        <f>COUNTIF('Metrics - Articles'!F160,"*Human Resources (SAP HR and employee stories)*")</f>
        <v>0</v>
      </c>
      <c r="G161">
        <f>COUNTIF('Metrics - Articles'!F160,"*P&amp;I (Research &amp; Development)*")</f>
        <v>0</v>
      </c>
      <c r="H161">
        <f>COUNTIF('Metrics - Articles'!F160,"*Business Network (Concur, Ariba, Fieldglass)*")</f>
        <v>0</v>
      </c>
      <c r="I161">
        <f>COUNTIF('Metrics - Articles'!F160,"*GCO – Regions*")</f>
        <v>0</v>
      </c>
      <c r="J161">
        <f>COUNTIF('Metrics - Articles'!F160,"*GCO – Platform Solutions*")</f>
        <v>1</v>
      </c>
      <c r="K161">
        <f>COUNTIF('Metrics - Articles'!F160,"*GCO – Industry Cloud *")</f>
        <v>0</v>
      </c>
      <c r="L161">
        <f>COUNTIF('Metrics - Articles'!F160,"*GCO – Customer Engagement &amp; Commerce (CRM &amp; hybris) *")</f>
        <v>0</v>
      </c>
      <c r="M161">
        <f>COUNTIF('Metrics - Articles'!F160,"*GCO – HR (SuccessFactors)*")</f>
        <v>0</v>
      </c>
      <c r="N161">
        <f>COUNTIF('Metrics - Articles'!F160,"*GCO – Services Sales*")</f>
        <v>0</v>
      </c>
      <c r="O161">
        <f>COUNTIF('Metrics - Articles'!F160,"*GCO – Other*")</f>
        <v>0</v>
      </c>
      <c r="P161">
        <f>COUNTIF('Metrics - Articles'!F160,"*Corporate*")</f>
        <v>0</v>
      </c>
      <c r="R161" s="53">
        <f t="shared" si="4"/>
        <v>1</v>
      </c>
    </row>
    <row r="162" spans="2:18" hidden="1" x14ac:dyDescent="0.25">
      <c r="B162" s="48">
        <f>+'Metrics - Articles'!C161</f>
        <v>42132</v>
      </c>
      <c r="C162">
        <f>COUNTIF('Metrics - Articles'!F161,"*GPO (Partner, Ecosystem, Channels)*")</f>
        <v>0</v>
      </c>
      <c r="D162">
        <f>COUNTIF('Metrics - Articles'!F161,"*Office of the CEO*")</f>
        <v>0</v>
      </c>
      <c r="E162">
        <f>COUNTIF('Metrics - Articles'!F161,"*Services Delivery &amp; Support (go-lives and deployments) *")</f>
        <v>0</v>
      </c>
      <c r="F162">
        <f>COUNTIF('Metrics - Articles'!F161,"*Human Resources (SAP HR and employee stories)*")</f>
        <v>0</v>
      </c>
      <c r="G162">
        <f>COUNTIF('Metrics - Articles'!F161,"*P&amp;I (Research &amp; Development)*")</f>
        <v>0</v>
      </c>
      <c r="H162">
        <f>COUNTIF('Metrics - Articles'!F161,"*Business Network (Concur, Ariba, Fieldglass)*")</f>
        <v>0</v>
      </c>
      <c r="I162">
        <f>COUNTIF('Metrics - Articles'!F161,"*GCO – Regions*")</f>
        <v>0</v>
      </c>
      <c r="J162">
        <f>COUNTIF('Metrics - Articles'!F161,"*GCO – Platform Solutions*")</f>
        <v>1</v>
      </c>
      <c r="K162">
        <f>COUNTIF('Metrics - Articles'!F161,"*GCO – Industry Cloud *")</f>
        <v>0</v>
      </c>
      <c r="L162">
        <f>COUNTIF('Metrics - Articles'!F161,"*GCO – Customer Engagement &amp; Commerce (CRM &amp; hybris) *")</f>
        <v>0</v>
      </c>
      <c r="M162">
        <f>COUNTIF('Metrics - Articles'!F161,"*GCO – HR (SuccessFactors)*")</f>
        <v>0</v>
      </c>
      <c r="N162">
        <f>COUNTIF('Metrics - Articles'!F161,"*GCO – Services Sales*")</f>
        <v>0</v>
      </c>
      <c r="O162">
        <f>COUNTIF('Metrics - Articles'!F161,"*GCO – Other*")</f>
        <v>0</v>
      </c>
      <c r="P162">
        <f>COUNTIF('Metrics - Articles'!F161,"*Corporate*")</f>
        <v>0</v>
      </c>
      <c r="R162" s="53">
        <f t="shared" si="4"/>
        <v>1</v>
      </c>
    </row>
    <row r="163" spans="2:18" hidden="1" x14ac:dyDescent="0.25">
      <c r="B163" s="48">
        <f>+'Metrics - Articles'!C162</f>
        <v>42134</v>
      </c>
      <c r="C163">
        <f>COUNTIF('Metrics - Articles'!F162,"*GPO (Partner, Ecosystem, Channels)*")</f>
        <v>0</v>
      </c>
      <c r="D163">
        <f>COUNTIF('Metrics - Articles'!F162,"*Office of the CEO*")</f>
        <v>0</v>
      </c>
      <c r="E163">
        <f>COUNTIF('Metrics - Articles'!F162,"*Services Delivery &amp; Support (go-lives and deployments) *")</f>
        <v>0</v>
      </c>
      <c r="F163">
        <f>COUNTIF('Metrics - Articles'!F162,"*Human Resources (SAP HR and employee stories)*")</f>
        <v>0</v>
      </c>
      <c r="G163">
        <f>COUNTIF('Metrics - Articles'!F162,"*P&amp;I (Research &amp; Development)*")</f>
        <v>0</v>
      </c>
      <c r="H163">
        <f>COUNTIF('Metrics - Articles'!F162,"*Business Network (Concur, Ariba, Fieldglass)*")</f>
        <v>0</v>
      </c>
      <c r="I163">
        <f>COUNTIF('Metrics - Articles'!F162,"*GCO – Regions*")</f>
        <v>0</v>
      </c>
      <c r="J163">
        <f>COUNTIF('Metrics - Articles'!F162,"*GCO – Platform Solutions*")</f>
        <v>0</v>
      </c>
      <c r="K163">
        <f>COUNTIF('Metrics - Articles'!F162,"*GCO – Industry Cloud *")</f>
        <v>0</v>
      </c>
      <c r="L163">
        <f>COUNTIF('Metrics - Articles'!F162,"*GCO – Customer Engagement &amp; Commerce (CRM &amp; hybris) *")</f>
        <v>0</v>
      </c>
      <c r="M163">
        <f>COUNTIF('Metrics - Articles'!F162,"*GCO – HR (SuccessFactors)*")</f>
        <v>0</v>
      </c>
      <c r="N163">
        <f>COUNTIF('Metrics - Articles'!F162,"*GCO – Services Sales*")</f>
        <v>0</v>
      </c>
      <c r="O163">
        <f>COUNTIF('Metrics - Articles'!F162,"*GCO – Other*")</f>
        <v>0</v>
      </c>
      <c r="P163">
        <f>COUNTIF('Metrics - Articles'!F162,"*Corporate*")</f>
        <v>1</v>
      </c>
      <c r="R163" s="53">
        <f t="shared" si="4"/>
        <v>1</v>
      </c>
    </row>
    <row r="164" spans="2:18" hidden="1" x14ac:dyDescent="0.25">
      <c r="B164" s="48">
        <f>+'Metrics - Articles'!C163</f>
        <v>42137</v>
      </c>
      <c r="C164">
        <f>COUNTIF('Metrics - Articles'!F163,"*GPO (Partner, Ecosystem, Channels)*")</f>
        <v>0</v>
      </c>
      <c r="D164">
        <f>COUNTIF('Metrics - Articles'!F163,"*Office of the CEO*")</f>
        <v>0</v>
      </c>
      <c r="E164">
        <f>COUNTIF('Metrics - Articles'!F163,"*Services Delivery &amp; Support (go-lives and deployments) *")</f>
        <v>0</v>
      </c>
      <c r="F164">
        <f>COUNTIF('Metrics - Articles'!F163,"*Human Resources (SAP HR and employee stories)*")</f>
        <v>1</v>
      </c>
      <c r="G164">
        <f>COUNTIF('Metrics - Articles'!F163,"*P&amp;I (Research &amp; Development)*")</f>
        <v>0</v>
      </c>
      <c r="H164">
        <f>COUNTIF('Metrics - Articles'!F163,"*Business Network (Concur, Ariba, Fieldglass)*")</f>
        <v>0</v>
      </c>
      <c r="I164">
        <f>COUNTIF('Metrics - Articles'!F163,"*GCO – Regions*")</f>
        <v>0</v>
      </c>
      <c r="J164">
        <f>COUNTIF('Metrics - Articles'!F163,"*GCO – Platform Solutions*")</f>
        <v>0</v>
      </c>
      <c r="K164">
        <f>COUNTIF('Metrics - Articles'!F163,"*GCO – Industry Cloud *")</f>
        <v>0</v>
      </c>
      <c r="L164">
        <f>COUNTIF('Metrics - Articles'!F163,"*GCO – Customer Engagement &amp; Commerce (CRM &amp; hybris) *")</f>
        <v>0</v>
      </c>
      <c r="M164">
        <f>COUNTIF('Metrics - Articles'!F163,"*GCO – HR (SuccessFactors)*")</f>
        <v>0</v>
      </c>
      <c r="N164">
        <f>COUNTIF('Metrics - Articles'!F163,"*GCO – Services Sales*")</f>
        <v>0</v>
      </c>
      <c r="O164">
        <f>COUNTIF('Metrics - Articles'!F163,"*GCO – Other*")</f>
        <v>0</v>
      </c>
      <c r="P164">
        <f>COUNTIF('Metrics - Articles'!F163,"*Corporate*")</f>
        <v>0</v>
      </c>
      <c r="R164" s="53">
        <f t="shared" si="4"/>
        <v>1</v>
      </c>
    </row>
    <row r="165" spans="2:18" hidden="1" x14ac:dyDescent="0.25">
      <c r="B165" s="48">
        <f>+'Metrics - Articles'!C164</f>
        <v>42138</v>
      </c>
      <c r="C165">
        <f>COUNTIF('Metrics - Articles'!F164,"*GPO (Partner, Ecosystem, Channels)*")</f>
        <v>0</v>
      </c>
      <c r="D165">
        <f>COUNTIF('Metrics - Articles'!F164,"*Office of the CEO*")</f>
        <v>0</v>
      </c>
      <c r="E165">
        <f>COUNTIF('Metrics - Articles'!F164,"*Services Delivery &amp; Support (go-lives and deployments) *")</f>
        <v>0</v>
      </c>
      <c r="F165">
        <f>COUNTIF('Metrics - Articles'!F164,"*Human Resources (SAP HR and employee stories)*")</f>
        <v>0</v>
      </c>
      <c r="G165">
        <f>COUNTIF('Metrics - Articles'!F164,"*P&amp;I (Research &amp; Development)*")</f>
        <v>0</v>
      </c>
      <c r="H165">
        <f>COUNTIF('Metrics - Articles'!F164,"*Business Network (Concur, Ariba, Fieldglass)*")</f>
        <v>0</v>
      </c>
      <c r="I165">
        <f>COUNTIF('Metrics - Articles'!F164,"*GCO – Regions*")</f>
        <v>0</v>
      </c>
      <c r="J165">
        <f>COUNTIF('Metrics - Articles'!F164,"*GCO – Platform Solutions*")</f>
        <v>1</v>
      </c>
      <c r="K165">
        <f>COUNTIF('Metrics - Articles'!F164,"*GCO – Industry Cloud *")</f>
        <v>0</v>
      </c>
      <c r="L165">
        <f>COUNTIF('Metrics - Articles'!F164,"*GCO – Customer Engagement &amp; Commerce (CRM &amp; hybris) *")</f>
        <v>0</v>
      </c>
      <c r="M165">
        <f>COUNTIF('Metrics - Articles'!F164,"*GCO – HR (SuccessFactors)*")</f>
        <v>0</v>
      </c>
      <c r="N165">
        <f>COUNTIF('Metrics - Articles'!F164,"*GCO – Services Sales*")</f>
        <v>0</v>
      </c>
      <c r="O165">
        <f>COUNTIF('Metrics - Articles'!F164,"*GCO – Other*")</f>
        <v>0</v>
      </c>
      <c r="P165">
        <f>COUNTIF('Metrics - Articles'!F164,"*Corporate*")</f>
        <v>0</v>
      </c>
      <c r="R165" s="53">
        <f t="shared" si="4"/>
        <v>1</v>
      </c>
    </row>
    <row r="166" spans="2:18" hidden="1" x14ac:dyDescent="0.25">
      <c r="B166" s="48">
        <f>+'Metrics - Articles'!C165</f>
        <v>42139</v>
      </c>
      <c r="C166">
        <f>COUNTIF('Metrics - Articles'!F165,"*GPO (Partner, Ecosystem, Channels)*")</f>
        <v>0</v>
      </c>
      <c r="D166">
        <f>COUNTIF('Metrics - Articles'!F165,"*Office of the CEO*")</f>
        <v>0</v>
      </c>
      <c r="E166">
        <f>COUNTIF('Metrics - Articles'!F165,"*Services Delivery &amp; Support (go-lives and deployments) *")</f>
        <v>0</v>
      </c>
      <c r="F166">
        <f>COUNTIF('Metrics - Articles'!F165,"*Human Resources (SAP HR and employee stories)*")</f>
        <v>0</v>
      </c>
      <c r="G166">
        <f>COUNTIF('Metrics - Articles'!F165,"*P&amp;I (Research &amp; Development)*")</f>
        <v>0</v>
      </c>
      <c r="H166">
        <f>COUNTIF('Metrics - Articles'!F165,"*Business Network (Concur, Ariba, Fieldglass)*")</f>
        <v>0</v>
      </c>
      <c r="I166">
        <f>COUNTIF('Metrics - Articles'!F165,"*GCO – Regions*")</f>
        <v>0</v>
      </c>
      <c r="J166">
        <f>COUNTIF('Metrics - Articles'!F165,"*GCO – Platform Solutions*")</f>
        <v>0</v>
      </c>
      <c r="K166">
        <f>COUNTIF('Metrics - Articles'!F165,"*GCO – Industry Cloud *")</f>
        <v>0</v>
      </c>
      <c r="L166">
        <f>COUNTIF('Metrics - Articles'!F165,"*GCO – Customer Engagement &amp; Commerce (CRM &amp; hybris) *")</f>
        <v>0</v>
      </c>
      <c r="M166">
        <f>COUNTIF('Metrics - Articles'!F165,"*GCO – HR (SuccessFactors)*")</f>
        <v>0</v>
      </c>
      <c r="N166">
        <f>COUNTIF('Metrics - Articles'!F165,"*GCO – Services Sales*")</f>
        <v>0</v>
      </c>
      <c r="O166">
        <f>COUNTIF('Metrics - Articles'!F165,"*GCO – Other*")</f>
        <v>0</v>
      </c>
      <c r="P166">
        <f>COUNTIF('Metrics - Articles'!F165,"*Corporate*")</f>
        <v>1</v>
      </c>
      <c r="R166" s="53">
        <f t="shared" si="4"/>
        <v>1</v>
      </c>
    </row>
    <row r="167" spans="2:18" hidden="1" x14ac:dyDescent="0.25">
      <c r="B167" s="48">
        <f>+'Metrics - Articles'!C166</f>
        <v>42142</v>
      </c>
      <c r="C167">
        <f>COUNTIF('Metrics - Articles'!F166,"*GPO (Partner, Ecosystem, Channels)*")</f>
        <v>0</v>
      </c>
      <c r="D167">
        <f>COUNTIF('Metrics - Articles'!F166,"*Office of the CEO*")</f>
        <v>0</v>
      </c>
      <c r="E167">
        <f>COUNTIF('Metrics - Articles'!F166,"*Services Delivery &amp; Support (go-lives and deployments) *")</f>
        <v>0</v>
      </c>
      <c r="F167">
        <f>COUNTIF('Metrics - Articles'!F166,"*Human Resources (SAP HR and employee stories)*")</f>
        <v>0</v>
      </c>
      <c r="G167">
        <f>COUNTIF('Metrics - Articles'!F166,"*P&amp;I (Research &amp; Development)*")</f>
        <v>1</v>
      </c>
      <c r="H167">
        <f>COUNTIF('Metrics - Articles'!F166,"*Business Network (Concur, Ariba, Fieldglass)*")</f>
        <v>0</v>
      </c>
      <c r="I167">
        <f>COUNTIF('Metrics - Articles'!F166,"*GCO – Regions*")</f>
        <v>0</v>
      </c>
      <c r="J167">
        <f>COUNTIF('Metrics - Articles'!F166,"*GCO – Platform Solutions*")</f>
        <v>0</v>
      </c>
      <c r="K167">
        <f>COUNTIF('Metrics - Articles'!F166,"*GCO – Industry Cloud *")</f>
        <v>0</v>
      </c>
      <c r="L167">
        <f>COUNTIF('Metrics - Articles'!F166,"*GCO – Customer Engagement &amp; Commerce (CRM &amp; hybris) *")</f>
        <v>0</v>
      </c>
      <c r="M167">
        <f>COUNTIF('Metrics - Articles'!F166,"*GCO – HR (SuccessFactors)*")</f>
        <v>0</v>
      </c>
      <c r="N167">
        <f>COUNTIF('Metrics - Articles'!F166,"*GCO – Services Sales*")</f>
        <v>0</v>
      </c>
      <c r="O167">
        <f>COUNTIF('Metrics - Articles'!F166,"*GCO – Other*")</f>
        <v>0</v>
      </c>
      <c r="P167">
        <f>COUNTIF('Metrics - Articles'!F166,"*Corporate*")</f>
        <v>0</v>
      </c>
      <c r="R167" s="53">
        <f t="shared" si="4"/>
        <v>1</v>
      </c>
    </row>
    <row r="168" spans="2:18" hidden="1" x14ac:dyDescent="0.25">
      <c r="B168" s="48">
        <f>+'Metrics - Articles'!C167</f>
        <v>42143</v>
      </c>
      <c r="C168">
        <f>COUNTIF('Metrics - Articles'!F167,"*GPO (Partner, Ecosystem, Channels)*")</f>
        <v>0</v>
      </c>
      <c r="D168">
        <f>COUNTIF('Metrics - Articles'!F167,"*Office of the CEO*")</f>
        <v>0</v>
      </c>
      <c r="E168">
        <f>COUNTIF('Metrics - Articles'!F167,"*Services Delivery &amp; Support (go-lives and deployments) *")</f>
        <v>0</v>
      </c>
      <c r="F168">
        <f>COUNTIF('Metrics - Articles'!F167,"*Human Resources (SAP HR and employee stories)*")</f>
        <v>1</v>
      </c>
      <c r="G168">
        <f>COUNTIF('Metrics - Articles'!F167,"*P&amp;I (Research &amp; Development)*")</f>
        <v>0</v>
      </c>
      <c r="H168">
        <f>COUNTIF('Metrics - Articles'!F167,"*Business Network (Concur, Ariba, Fieldglass)*")</f>
        <v>0</v>
      </c>
      <c r="I168">
        <f>COUNTIF('Metrics - Articles'!F167,"*GCO – Regions*")</f>
        <v>0</v>
      </c>
      <c r="J168">
        <f>COUNTIF('Metrics - Articles'!F167,"*GCO – Platform Solutions*")</f>
        <v>0</v>
      </c>
      <c r="K168">
        <f>COUNTIF('Metrics - Articles'!F167,"*GCO – Industry Cloud *")</f>
        <v>0</v>
      </c>
      <c r="L168">
        <f>COUNTIF('Metrics - Articles'!F167,"*GCO – Customer Engagement &amp; Commerce (CRM &amp; hybris) *")</f>
        <v>0</v>
      </c>
      <c r="M168">
        <f>COUNTIF('Metrics - Articles'!F167,"*GCO – HR (SuccessFactors)*")</f>
        <v>0</v>
      </c>
      <c r="N168">
        <f>COUNTIF('Metrics - Articles'!F167,"*GCO – Services Sales*")</f>
        <v>0</v>
      </c>
      <c r="O168">
        <f>COUNTIF('Metrics - Articles'!F167,"*GCO – Other*")</f>
        <v>0</v>
      </c>
      <c r="P168">
        <f>COUNTIF('Metrics - Articles'!F167,"*Corporate*")</f>
        <v>0</v>
      </c>
      <c r="R168" s="53">
        <f t="shared" si="4"/>
        <v>1</v>
      </c>
    </row>
    <row r="169" spans="2:18" hidden="1" x14ac:dyDescent="0.25">
      <c r="B169" s="48">
        <f>+'Metrics - Articles'!C168</f>
        <v>42144</v>
      </c>
      <c r="C169">
        <f>COUNTIF('Metrics - Articles'!F168,"*GPO (Partner, Ecosystem, Channels)*")</f>
        <v>0</v>
      </c>
      <c r="D169">
        <f>COUNTIF('Metrics - Articles'!F168,"*Office of the CEO*")</f>
        <v>0</v>
      </c>
      <c r="E169">
        <f>COUNTIF('Metrics - Articles'!F168,"*Services Delivery &amp; Support (go-lives and deployments) *")</f>
        <v>0</v>
      </c>
      <c r="F169">
        <f>COUNTIF('Metrics - Articles'!F168,"*Human Resources (SAP HR and employee stories)*")</f>
        <v>1</v>
      </c>
      <c r="G169">
        <f>COUNTIF('Metrics - Articles'!F168,"*P&amp;I (Research &amp; Development)*")</f>
        <v>0</v>
      </c>
      <c r="H169">
        <f>COUNTIF('Metrics - Articles'!F168,"*Business Network (Concur, Ariba, Fieldglass)*")</f>
        <v>0</v>
      </c>
      <c r="I169">
        <f>COUNTIF('Metrics - Articles'!F168,"*GCO – Regions*")</f>
        <v>0</v>
      </c>
      <c r="J169">
        <f>COUNTIF('Metrics - Articles'!F168,"*GCO – Platform Solutions*")</f>
        <v>0</v>
      </c>
      <c r="K169">
        <f>COUNTIF('Metrics - Articles'!F168,"*GCO – Industry Cloud *")</f>
        <v>0</v>
      </c>
      <c r="L169">
        <f>COUNTIF('Metrics - Articles'!F168,"*GCO – Customer Engagement &amp; Commerce (CRM &amp; hybris) *")</f>
        <v>0</v>
      </c>
      <c r="M169">
        <f>COUNTIF('Metrics - Articles'!F168,"*GCO – HR (SuccessFactors)*")</f>
        <v>0</v>
      </c>
      <c r="N169">
        <f>COUNTIF('Metrics - Articles'!F168,"*GCO – Services Sales*")</f>
        <v>0</v>
      </c>
      <c r="O169">
        <f>COUNTIF('Metrics - Articles'!F168,"*GCO – Other*")</f>
        <v>0</v>
      </c>
      <c r="P169">
        <f>COUNTIF('Metrics - Articles'!F168,"*Corporate*")</f>
        <v>0</v>
      </c>
      <c r="R169" s="53">
        <f t="shared" si="4"/>
        <v>1</v>
      </c>
    </row>
    <row r="170" spans="2:18" hidden="1" x14ac:dyDescent="0.25">
      <c r="B170" s="48">
        <f>+'Metrics - Articles'!C169</f>
        <v>42144</v>
      </c>
      <c r="C170">
        <f>COUNTIF('Metrics - Articles'!F169,"*GPO (Partner, Ecosystem, Channels)*")</f>
        <v>0</v>
      </c>
      <c r="D170">
        <f>COUNTIF('Metrics - Articles'!F169,"*Office of the CEO*")</f>
        <v>0</v>
      </c>
      <c r="E170">
        <f>COUNTIF('Metrics - Articles'!F169,"*Services Delivery &amp; Support (go-lives and deployments) *")</f>
        <v>0</v>
      </c>
      <c r="F170">
        <f>COUNTIF('Metrics - Articles'!F169,"*Human Resources (SAP HR and employee stories)*")</f>
        <v>0</v>
      </c>
      <c r="G170">
        <f>COUNTIF('Metrics - Articles'!F169,"*P&amp;I (Research &amp; Development)*")</f>
        <v>0</v>
      </c>
      <c r="H170">
        <f>COUNTIF('Metrics - Articles'!F169,"*Business Network (Concur, Ariba, Fieldglass)*")</f>
        <v>0</v>
      </c>
      <c r="I170">
        <f>COUNTIF('Metrics - Articles'!F169,"*GCO – Regions*")</f>
        <v>0</v>
      </c>
      <c r="J170">
        <f>COUNTIF('Metrics - Articles'!F169,"*GCO – Platform Solutions*")</f>
        <v>0</v>
      </c>
      <c r="K170">
        <f>COUNTIF('Metrics - Articles'!F169,"*GCO – Industry Cloud *")</f>
        <v>0</v>
      </c>
      <c r="L170">
        <f>COUNTIF('Metrics - Articles'!F169,"*GCO – Customer Engagement &amp; Commerce (CRM &amp; hybris) *")</f>
        <v>1</v>
      </c>
      <c r="M170">
        <f>COUNTIF('Metrics - Articles'!F169,"*GCO – HR (SuccessFactors)*")</f>
        <v>0</v>
      </c>
      <c r="N170">
        <f>COUNTIF('Metrics - Articles'!F169,"*GCO – Services Sales*")</f>
        <v>0</v>
      </c>
      <c r="O170">
        <f>COUNTIF('Metrics - Articles'!F169,"*GCO – Other*")</f>
        <v>0</v>
      </c>
      <c r="P170">
        <f>COUNTIF('Metrics - Articles'!F169,"*Corporate*")</f>
        <v>0</v>
      </c>
      <c r="R170" s="53">
        <f t="shared" si="4"/>
        <v>1</v>
      </c>
    </row>
    <row r="171" spans="2:18" hidden="1" x14ac:dyDescent="0.25">
      <c r="B171" s="48">
        <f>+'Metrics - Articles'!C170</f>
        <v>42146</v>
      </c>
      <c r="C171">
        <f>COUNTIF('Metrics - Articles'!F170,"*GPO (Partner, Ecosystem, Channels)*")</f>
        <v>0</v>
      </c>
      <c r="D171">
        <f>COUNTIF('Metrics - Articles'!F170,"*Office of the CEO*")</f>
        <v>0</v>
      </c>
      <c r="E171">
        <f>COUNTIF('Metrics - Articles'!F170,"*Services Delivery &amp; Support (go-lives and deployments) *")</f>
        <v>0</v>
      </c>
      <c r="F171">
        <f>COUNTIF('Metrics - Articles'!F170,"*Human Resources (SAP HR and employee stories)*")</f>
        <v>0</v>
      </c>
      <c r="G171">
        <f>COUNTIF('Metrics - Articles'!F170,"*P&amp;I (Research &amp; Development)*")</f>
        <v>0</v>
      </c>
      <c r="H171">
        <f>COUNTIF('Metrics - Articles'!F170,"*Business Network (Concur, Ariba, Fieldglass)*")</f>
        <v>0</v>
      </c>
      <c r="I171">
        <f>COUNTIF('Metrics - Articles'!F170,"*GCO – Regions*")</f>
        <v>0</v>
      </c>
      <c r="J171">
        <f>COUNTIF('Metrics - Articles'!F170,"*GCO – Platform Solutions*")</f>
        <v>0</v>
      </c>
      <c r="K171">
        <f>COUNTIF('Metrics - Articles'!F170,"*GCO – Industry Cloud *")</f>
        <v>0</v>
      </c>
      <c r="L171">
        <f>COUNTIF('Metrics - Articles'!F170,"*GCO – Customer Engagement &amp; Commerce (CRM &amp; hybris) *")</f>
        <v>0</v>
      </c>
      <c r="M171">
        <f>COUNTIF('Metrics - Articles'!F170,"*GCO – HR (SuccessFactors)*")</f>
        <v>0</v>
      </c>
      <c r="N171">
        <f>COUNTIF('Metrics - Articles'!F170,"*GCO – Services Sales*")</f>
        <v>0</v>
      </c>
      <c r="O171">
        <f>COUNTIF('Metrics - Articles'!F170,"*GCO – Other*")</f>
        <v>0</v>
      </c>
      <c r="P171">
        <f>COUNTIF('Metrics - Articles'!F170,"*Corporate*")</f>
        <v>1</v>
      </c>
      <c r="R171" s="53">
        <f t="shared" si="4"/>
        <v>1</v>
      </c>
    </row>
    <row r="172" spans="2:18" hidden="1" x14ac:dyDescent="0.25">
      <c r="B172" s="48">
        <f>+'Metrics - Articles'!C171</f>
        <v>42146</v>
      </c>
      <c r="C172">
        <f>COUNTIF('Metrics - Articles'!F171,"*GPO (Partner, Ecosystem, Channels)*")</f>
        <v>1</v>
      </c>
      <c r="D172">
        <f>COUNTIF('Metrics - Articles'!F171,"*Office of the CEO*")</f>
        <v>0</v>
      </c>
      <c r="E172">
        <f>COUNTIF('Metrics - Articles'!F171,"*Services Delivery &amp; Support (go-lives and deployments) *")</f>
        <v>0</v>
      </c>
      <c r="F172">
        <f>COUNTIF('Metrics - Articles'!F171,"*Human Resources (SAP HR and employee stories)*")</f>
        <v>0</v>
      </c>
      <c r="G172">
        <f>COUNTIF('Metrics - Articles'!F171,"*P&amp;I (Research &amp; Development)*")</f>
        <v>0</v>
      </c>
      <c r="H172">
        <f>COUNTIF('Metrics - Articles'!F171,"*Business Network (Concur, Ariba, Fieldglass)*")</f>
        <v>0</v>
      </c>
      <c r="I172">
        <f>COUNTIF('Metrics - Articles'!F171,"*GCO – Regions*")</f>
        <v>0</v>
      </c>
      <c r="J172">
        <f>COUNTIF('Metrics - Articles'!F171,"*GCO – Platform Solutions*")</f>
        <v>0</v>
      </c>
      <c r="K172">
        <f>COUNTIF('Metrics - Articles'!F171,"*GCO – Industry Cloud *")</f>
        <v>0</v>
      </c>
      <c r="L172">
        <f>COUNTIF('Metrics - Articles'!F171,"*GCO – Customer Engagement &amp; Commerce (CRM &amp; hybris) *")</f>
        <v>0</v>
      </c>
      <c r="M172">
        <f>COUNTIF('Metrics - Articles'!F171,"*GCO – HR (SuccessFactors)*")</f>
        <v>0</v>
      </c>
      <c r="N172">
        <f>COUNTIF('Metrics - Articles'!F171,"*GCO – Services Sales*")</f>
        <v>0</v>
      </c>
      <c r="O172">
        <f>COUNTIF('Metrics - Articles'!F171,"*GCO – Other*")</f>
        <v>0</v>
      </c>
      <c r="P172">
        <f>COUNTIF('Metrics - Articles'!F171,"*Corporate*")</f>
        <v>0</v>
      </c>
      <c r="R172" s="53">
        <f t="shared" si="4"/>
        <v>1</v>
      </c>
    </row>
    <row r="173" spans="2:18" hidden="1" x14ac:dyDescent="0.25">
      <c r="B173" s="48">
        <f>+'Metrics - Articles'!C172</f>
        <v>42149</v>
      </c>
      <c r="C173">
        <f>COUNTIF('Metrics - Articles'!F172,"*GPO (Partner, Ecosystem, Channels)*")</f>
        <v>0</v>
      </c>
      <c r="D173">
        <f>COUNTIF('Metrics - Articles'!F172,"*Office of the CEO*")</f>
        <v>0</v>
      </c>
      <c r="E173">
        <f>COUNTIF('Metrics - Articles'!F172,"*Services Delivery &amp; Support (go-lives and deployments) *")</f>
        <v>0</v>
      </c>
      <c r="F173">
        <f>COUNTIF('Metrics - Articles'!F172,"*Human Resources (SAP HR and employee stories)*")</f>
        <v>0</v>
      </c>
      <c r="G173">
        <f>COUNTIF('Metrics - Articles'!F172,"*P&amp;I (Research &amp; Development)*")</f>
        <v>0</v>
      </c>
      <c r="H173">
        <f>COUNTIF('Metrics - Articles'!F172,"*Business Network (Concur, Ariba, Fieldglass)*")</f>
        <v>0</v>
      </c>
      <c r="I173">
        <f>COUNTIF('Metrics - Articles'!F172,"*GCO – Regions*")</f>
        <v>0</v>
      </c>
      <c r="J173">
        <f>COUNTIF('Metrics - Articles'!F172,"*GCO – Platform Solutions*")</f>
        <v>1</v>
      </c>
      <c r="K173">
        <f>COUNTIF('Metrics - Articles'!F172,"*GCO – Industry Cloud *")</f>
        <v>0</v>
      </c>
      <c r="L173">
        <f>COUNTIF('Metrics - Articles'!F172,"*GCO – Customer Engagement &amp; Commerce (CRM &amp; hybris) *")</f>
        <v>0</v>
      </c>
      <c r="M173">
        <f>COUNTIF('Metrics - Articles'!F172,"*GCO – HR (SuccessFactors)*")</f>
        <v>0</v>
      </c>
      <c r="N173">
        <f>COUNTIF('Metrics - Articles'!F172,"*GCO – Services Sales*")</f>
        <v>0</v>
      </c>
      <c r="O173">
        <f>COUNTIF('Metrics - Articles'!F172,"*GCO – Other*")</f>
        <v>0</v>
      </c>
      <c r="P173">
        <f>COUNTIF('Metrics - Articles'!F172,"*Corporate*")</f>
        <v>0</v>
      </c>
      <c r="R173" s="53">
        <f t="shared" si="4"/>
        <v>1</v>
      </c>
    </row>
    <row r="174" spans="2:18" hidden="1" x14ac:dyDescent="0.25">
      <c r="B174" s="48">
        <f>+'Metrics - Articles'!C173</f>
        <v>42150</v>
      </c>
      <c r="C174">
        <f>COUNTIF('Metrics - Articles'!F173,"*GPO (Partner, Ecosystem, Channels)*")</f>
        <v>0</v>
      </c>
      <c r="D174">
        <f>COUNTIF('Metrics - Articles'!F173,"*Office of the CEO*")</f>
        <v>0</v>
      </c>
      <c r="E174">
        <f>COUNTIF('Metrics - Articles'!F173,"*Services Delivery &amp; Support (go-lives and deployments) *")</f>
        <v>0</v>
      </c>
      <c r="F174">
        <f>COUNTIF('Metrics - Articles'!F173,"*Human Resources (SAP HR and employee stories)*")</f>
        <v>0</v>
      </c>
      <c r="G174">
        <f>COUNTIF('Metrics - Articles'!F173,"*P&amp;I (Research &amp; Development)*")</f>
        <v>1</v>
      </c>
      <c r="H174">
        <f>COUNTIF('Metrics - Articles'!F173,"*Business Network (Concur, Ariba, Fieldglass)*")</f>
        <v>0</v>
      </c>
      <c r="I174">
        <f>COUNTIF('Metrics - Articles'!F173,"*GCO – Regions*")</f>
        <v>0</v>
      </c>
      <c r="J174">
        <f>COUNTIF('Metrics - Articles'!F173,"*GCO – Platform Solutions*")</f>
        <v>0</v>
      </c>
      <c r="K174">
        <f>COUNTIF('Metrics - Articles'!F173,"*GCO – Industry Cloud *")</f>
        <v>0</v>
      </c>
      <c r="L174">
        <f>COUNTIF('Metrics - Articles'!F173,"*GCO – Customer Engagement &amp; Commerce (CRM &amp; hybris) *")</f>
        <v>0</v>
      </c>
      <c r="M174">
        <f>COUNTIF('Metrics - Articles'!F173,"*GCO – HR (SuccessFactors)*")</f>
        <v>0</v>
      </c>
      <c r="N174">
        <f>COUNTIF('Metrics - Articles'!F173,"*GCO – Services Sales*")</f>
        <v>0</v>
      </c>
      <c r="O174">
        <f>COUNTIF('Metrics - Articles'!F173,"*GCO – Other*")</f>
        <v>0</v>
      </c>
      <c r="P174">
        <f>COUNTIF('Metrics - Articles'!F173,"*Corporate*")</f>
        <v>0</v>
      </c>
      <c r="R174" s="53">
        <f t="shared" si="4"/>
        <v>1</v>
      </c>
    </row>
    <row r="175" spans="2:18" hidden="1" x14ac:dyDescent="0.25">
      <c r="B175" s="48">
        <f>+'Metrics - Articles'!C174</f>
        <v>42151</v>
      </c>
      <c r="C175">
        <f>COUNTIF('Metrics - Articles'!F174,"*GPO (Partner, Ecosystem, Channels)*")</f>
        <v>0</v>
      </c>
      <c r="D175">
        <f>COUNTIF('Metrics - Articles'!F174,"*Office of the CEO*")</f>
        <v>0</v>
      </c>
      <c r="E175">
        <f>COUNTIF('Metrics - Articles'!F174,"*Services Delivery &amp; Support (go-lives and deployments) *")</f>
        <v>0</v>
      </c>
      <c r="F175">
        <f>COUNTIF('Metrics - Articles'!F174,"*Human Resources (SAP HR and employee stories)*")</f>
        <v>1</v>
      </c>
      <c r="G175">
        <f>COUNTIF('Metrics - Articles'!F174,"*P&amp;I (Research &amp; Development)*")</f>
        <v>0</v>
      </c>
      <c r="H175">
        <f>COUNTIF('Metrics - Articles'!F174,"*Business Network (Concur, Ariba, Fieldglass)*")</f>
        <v>0</v>
      </c>
      <c r="I175">
        <f>COUNTIF('Metrics - Articles'!F174,"*GCO – Regions*")</f>
        <v>0</v>
      </c>
      <c r="J175">
        <f>COUNTIF('Metrics - Articles'!F174,"*GCO – Platform Solutions*")</f>
        <v>0</v>
      </c>
      <c r="K175">
        <f>COUNTIF('Metrics - Articles'!F174,"*GCO – Industry Cloud *")</f>
        <v>0</v>
      </c>
      <c r="L175">
        <f>COUNTIF('Metrics - Articles'!F174,"*GCO – Customer Engagement &amp; Commerce (CRM &amp; hybris) *")</f>
        <v>0</v>
      </c>
      <c r="M175">
        <f>COUNTIF('Metrics - Articles'!F174,"*GCO – HR (SuccessFactors)*")</f>
        <v>0</v>
      </c>
      <c r="N175">
        <f>COUNTIF('Metrics - Articles'!F174,"*GCO – Services Sales*")</f>
        <v>0</v>
      </c>
      <c r="O175">
        <f>COUNTIF('Metrics - Articles'!F174,"*GCO – Other*")</f>
        <v>0</v>
      </c>
      <c r="P175">
        <f>COUNTIF('Metrics - Articles'!F174,"*Corporate*")</f>
        <v>0</v>
      </c>
      <c r="R175" s="53">
        <f t="shared" si="4"/>
        <v>1</v>
      </c>
    </row>
    <row r="176" spans="2:18" hidden="1" x14ac:dyDescent="0.25">
      <c r="B176" s="48">
        <f>+'Metrics - Articles'!C175</f>
        <v>42151</v>
      </c>
      <c r="C176">
        <f>COUNTIF('Metrics - Articles'!F175,"*GPO (Partner, Ecosystem, Channels)*")</f>
        <v>1</v>
      </c>
      <c r="D176">
        <f>COUNTIF('Metrics - Articles'!F175,"*Office of the CEO*")</f>
        <v>0</v>
      </c>
      <c r="E176">
        <f>COUNTIF('Metrics - Articles'!F175,"*Services Delivery &amp; Support (go-lives and deployments) *")</f>
        <v>0</v>
      </c>
      <c r="F176">
        <f>COUNTIF('Metrics - Articles'!F175,"*Human Resources (SAP HR and employee stories)*")</f>
        <v>0</v>
      </c>
      <c r="G176">
        <f>COUNTIF('Metrics - Articles'!F175,"*P&amp;I (Research &amp; Development)*")</f>
        <v>0</v>
      </c>
      <c r="H176">
        <f>COUNTIF('Metrics - Articles'!F175,"*Business Network (Concur, Ariba, Fieldglass)*")</f>
        <v>0</v>
      </c>
      <c r="I176">
        <f>COUNTIF('Metrics - Articles'!F175,"*GCO – Regions*")</f>
        <v>0</v>
      </c>
      <c r="J176">
        <f>COUNTIF('Metrics - Articles'!F175,"*GCO – Platform Solutions*")</f>
        <v>0</v>
      </c>
      <c r="K176">
        <f>COUNTIF('Metrics - Articles'!F175,"*GCO – Industry Cloud *")</f>
        <v>0</v>
      </c>
      <c r="L176">
        <f>COUNTIF('Metrics - Articles'!F175,"*GCO – Customer Engagement &amp; Commerce (CRM &amp; hybris) *")</f>
        <v>0</v>
      </c>
      <c r="M176">
        <f>COUNTIF('Metrics - Articles'!F175,"*GCO – HR (SuccessFactors)*")</f>
        <v>0</v>
      </c>
      <c r="N176">
        <f>COUNTIF('Metrics - Articles'!F175,"*GCO – Services Sales*")</f>
        <v>0</v>
      </c>
      <c r="O176">
        <f>COUNTIF('Metrics - Articles'!F175,"*GCO – Other*")</f>
        <v>0</v>
      </c>
      <c r="P176">
        <f>COUNTIF('Metrics - Articles'!F175,"*Corporate*")</f>
        <v>0</v>
      </c>
      <c r="R176" s="53">
        <f t="shared" si="4"/>
        <v>1</v>
      </c>
    </row>
    <row r="177" spans="2:18" hidden="1" x14ac:dyDescent="0.25">
      <c r="B177" s="48">
        <f>+'Metrics - Articles'!C176</f>
        <v>42151</v>
      </c>
      <c r="C177">
        <f>COUNTIF('Metrics - Articles'!F176,"*GPO (Partner, Ecosystem, Channels)*")</f>
        <v>0</v>
      </c>
      <c r="D177">
        <f>COUNTIF('Metrics - Articles'!F176,"*Office of the CEO*")</f>
        <v>0</v>
      </c>
      <c r="E177">
        <f>COUNTIF('Metrics - Articles'!F176,"*Services Delivery &amp; Support (go-lives and deployments) *")</f>
        <v>0</v>
      </c>
      <c r="F177">
        <f>COUNTIF('Metrics - Articles'!F176,"*Human Resources (SAP HR and employee stories)*")</f>
        <v>0</v>
      </c>
      <c r="G177">
        <f>COUNTIF('Metrics - Articles'!F176,"*P&amp;I (Research &amp; Development)*")</f>
        <v>1</v>
      </c>
      <c r="H177">
        <f>COUNTIF('Metrics - Articles'!F176,"*Business Network (Concur, Ariba, Fieldglass)*")</f>
        <v>0</v>
      </c>
      <c r="I177">
        <f>COUNTIF('Metrics - Articles'!F176,"*GCO – Regions*")</f>
        <v>0</v>
      </c>
      <c r="J177">
        <f>COUNTIF('Metrics - Articles'!F176,"*GCO – Platform Solutions*")</f>
        <v>0</v>
      </c>
      <c r="K177">
        <f>COUNTIF('Metrics - Articles'!F176,"*GCO – Industry Cloud *")</f>
        <v>0</v>
      </c>
      <c r="L177">
        <f>COUNTIF('Metrics - Articles'!F176,"*GCO – Customer Engagement &amp; Commerce (CRM &amp; hybris) *")</f>
        <v>0</v>
      </c>
      <c r="M177">
        <f>COUNTIF('Metrics - Articles'!F176,"*GCO – HR (SuccessFactors)*")</f>
        <v>0</v>
      </c>
      <c r="N177">
        <f>COUNTIF('Metrics - Articles'!F176,"*GCO – Services Sales*")</f>
        <v>0</v>
      </c>
      <c r="O177">
        <f>COUNTIF('Metrics - Articles'!F176,"*GCO – Other*")</f>
        <v>0</v>
      </c>
      <c r="P177">
        <f>COUNTIF('Metrics - Articles'!F176,"*Corporate*")</f>
        <v>0</v>
      </c>
      <c r="R177" s="53">
        <f t="shared" si="4"/>
        <v>1</v>
      </c>
    </row>
    <row r="178" spans="2:18" hidden="1" x14ac:dyDescent="0.25">
      <c r="B178" s="48">
        <f>+'Metrics - Articles'!C177</f>
        <v>42152</v>
      </c>
      <c r="C178">
        <f>COUNTIF('Metrics - Articles'!F177,"*GPO (Partner, Ecosystem, Channels)*")</f>
        <v>0</v>
      </c>
      <c r="D178">
        <f>COUNTIF('Metrics - Articles'!F177,"*Office of the CEO*")</f>
        <v>0</v>
      </c>
      <c r="E178">
        <f>COUNTIF('Metrics - Articles'!F177,"*Services Delivery &amp; Support (go-lives and deployments) *")</f>
        <v>0</v>
      </c>
      <c r="F178">
        <f>COUNTIF('Metrics - Articles'!F177,"*Human Resources (SAP HR and employee stories)*")</f>
        <v>0</v>
      </c>
      <c r="G178">
        <f>COUNTIF('Metrics - Articles'!F177,"*P&amp;I (Research &amp; Development)*")</f>
        <v>0</v>
      </c>
      <c r="H178">
        <f>COUNTIF('Metrics - Articles'!F177,"*Business Network (Concur, Ariba, Fieldglass)*")</f>
        <v>0</v>
      </c>
      <c r="I178">
        <f>COUNTIF('Metrics - Articles'!F177,"*GCO – Regions*")</f>
        <v>0</v>
      </c>
      <c r="J178">
        <f>COUNTIF('Metrics - Articles'!F177,"*GCO – Platform Solutions*")</f>
        <v>0</v>
      </c>
      <c r="K178">
        <f>COUNTIF('Metrics - Articles'!F177,"*GCO – Industry Cloud *")</f>
        <v>0</v>
      </c>
      <c r="L178">
        <f>COUNTIF('Metrics - Articles'!F177,"*GCO – Customer Engagement &amp; Commerce (CRM &amp; hybris) *")</f>
        <v>0</v>
      </c>
      <c r="M178">
        <f>COUNTIF('Metrics - Articles'!F177,"*GCO – HR (SuccessFactors)*")</f>
        <v>0</v>
      </c>
      <c r="N178">
        <f>COUNTIF('Metrics - Articles'!F177,"*GCO – Services Sales*")</f>
        <v>0</v>
      </c>
      <c r="O178">
        <f>COUNTIF('Metrics - Articles'!F177,"*GCO – Other*")</f>
        <v>0</v>
      </c>
      <c r="P178">
        <f>COUNTIF('Metrics - Articles'!F177,"*Corporate*")</f>
        <v>1</v>
      </c>
      <c r="R178" s="53">
        <f t="shared" si="4"/>
        <v>1</v>
      </c>
    </row>
    <row r="179" spans="2:18" hidden="1" x14ac:dyDescent="0.25">
      <c r="B179" s="48">
        <f>+'Metrics - Articles'!C178</f>
        <v>42153</v>
      </c>
      <c r="C179">
        <f>COUNTIF('Metrics - Articles'!F178,"*GPO (Partner, Ecosystem, Channels)*")</f>
        <v>0</v>
      </c>
      <c r="D179">
        <f>COUNTIF('Metrics - Articles'!F178,"*Office of the CEO*")</f>
        <v>0</v>
      </c>
      <c r="E179">
        <f>COUNTIF('Metrics - Articles'!F178,"*Services Delivery &amp; Support (go-lives and deployments) *")</f>
        <v>0</v>
      </c>
      <c r="F179">
        <f>COUNTIF('Metrics - Articles'!F178,"*Human Resources (SAP HR and employee stories)*")</f>
        <v>1</v>
      </c>
      <c r="G179">
        <f>COUNTIF('Metrics - Articles'!F178,"*P&amp;I (Research &amp; Development)*")</f>
        <v>0</v>
      </c>
      <c r="H179">
        <f>COUNTIF('Metrics - Articles'!F178,"*Business Network (Concur, Ariba, Fieldglass)*")</f>
        <v>0</v>
      </c>
      <c r="I179">
        <f>COUNTIF('Metrics - Articles'!F178,"*GCO – Regions*")</f>
        <v>0</v>
      </c>
      <c r="J179">
        <f>COUNTIF('Metrics - Articles'!F178,"*GCO – Platform Solutions*")</f>
        <v>0</v>
      </c>
      <c r="K179">
        <f>COUNTIF('Metrics - Articles'!F178,"*GCO – Industry Cloud *")</f>
        <v>0</v>
      </c>
      <c r="L179">
        <f>COUNTIF('Metrics - Articles'!F178,"*GCO – Customer Engagement &amp; Commerce (CRM &amp; hybris) *")</f>
        <v>0</v>
      </c>
      <c r="M179">
        <f>COUNTIF('Metrics - Articles'!F178,"*GCO – HR (SuccessFactors)*")</f>
        <v>0</v>
      </c>
      <c r="N179">
        <f>COUNTIF('Metrics - Articles'!F178,"*GCO – Services Sales*")</f>
        <v>0</v>
      </c>
      <c r="O179">
        <f>COUNTIF('Metrics - Articles'!F178,"*GCO – Other*")</f>
        <v>0</v>
      </c>
      <c r="P179">
        <f>COUNTIF('Metrics - Articles'!F178,"*Corporate*")</f>
        <v>0</v>
      </c>
      <c r="R179" s="53">
        <f t="shared" si="4"/>
        <v>1</v>
      </c>
    </row>
    <row r="180" spans="2:18" hidden="1" x14ac:dyDescent="0.25">
      <c r="B180" s="48">
        <f>+'Metrics - Articles'!C179</f>
        <v>42153</v>
      </c>
      <c r="C180">
        <f>COUNTIF('Metrics - Articles'!F179,"*GPO (Partner, Ecosystem, Channels)*")</f>
        <v>0</v>
      </c>
      <c r="D180">
        <f>COUNTIF('Metrics - Articles'!F179,"*Office of the CEO*")</f>
        <v>0</v>
      </c>
      <c r="E180">
        <f>COUNTIF('Metrics - Articles'!F179,"*Services Delivery &amp; Support (go-lives and deployments) *")</f>
        <v>0</v>
      </c>
      <c r="F180">
        <f>COUNTIF('Metrics - Articles'!F179,"*Human Resources (SAP HR and employee stories)*")</f>
        <v>0</v>
      </c>
      <c r="G180">
        <f>COUNTIF('Metrics - Articles'!F179,"*P&amp;I (Research &amp; Development)*")</f>
        <v>0</v>
      </c>
      <c r="H180">
        <f>COUNTIF('Metrics - Articles'!F179,"*Business Network (Concur, Ariba, Fieldglass)*")</f>
        <v>0</v>
      </c>
      <c r="I180">
        <f>COUNTIF('Metrics - Articles'!F179,"*GCO – Regions*")</f>
        <v>0</v>
      </c>
      <c r="J180">
        <f>COUNTIF('Metrics - Articles'!F179,"*GCO – Platform Solutions*")</f>
        <v>0</v>
      </c>
      <c r="K180">
        <f>COUNTIF('Metrics - Articles'!F179,"*GCO – Industry Cloud *")</f>
        <v>0</v>
      </c>
      <c r="L180">
        <f>COUNTIF('Metrics - Articles'!F179,"*GCO – Customer Engagement &amp; Commerce (CRM &amp; hybris) *")</f>
        <v>0</v>
      </c>
      <c r="M180">
        <f>COUNTIF('Metrics - Articles'!F179,"*GCO – HR (SuccessFactors)*")</f>
        <v>0</v>
      </c>
      <c r="N180">
        <f>COUNTIF('Metrics - Articles'!F179,"*GCO – Services Sales*")</f>
        <v>0</v>
      </c>
      <c r="O180">
        <f>COUNTIF('Metrics - Articles'!F179,"*GCO – Other*")</f>
        <v>0</v>
      </c>
      <c r="P180">
        <f>COUNTIF('Metrics - Articles'!F179,"*Corporate*")</f>
        <v>1</v>
      </c>
      <c r="R180" s="53">
        <f t="shared" si="4"/>
        <v>1</v>
      </c>
    </row>
    <row r="181" spans="2:18" hidden="1" x14ac:dyDescent="0.25">
      <c r="B181" s="48">
        <f>+'Metrics - Articles'!C180</f>
        <v>42153</v>
      </c>
      <c r="C181">
        <f>COUNTIF('Metrics - Articles'!F180,"*GPO (Partner, Ecosystem, Channels)*")</f>
        <v>0</v>
      </c>
      <c r="D181">
        <f>COUNTIF('Metrics - Articles'!F180,"*Office of the CEO*")</f>
        <v>0</v>
      </c>
      <c r="E181">
        <f>COUNTIF('Metrics - Articles'!F180,"*Services Delivery &amp; Support (go-lives and deployments) *")</f>
        <v>0</v>
      </c>
      <c r="F181">
        <f>COUNTIF('Metrics - Articles'!F180,"*Human Resources (SAP HR and employee stories)*")</f>
        <v>0</v>
      </c>
      <c r="G181">
        <f>COUNTIF('Metrics - Articles'!F180,"*P&amp;I (Research &amp; Development)*")</f>
        <v>0</v>
      </c>
      <c r="H181">
        <f>COUNTIF('Metrics - Articles'!F180,"*Business Network (Concur, Ariba, Fieldglass)*")</f>
        <v>0</v>
      </c>
      <c r="I181">
        <f>COUNTIF('Metrics - Articles'!F180,"*GCO – Regions*")</f>
        <v>0</v>
      </c>
      <c r="J181">
        <f>COUNTIF('Metrics - Articles'!F180,"*GCO – Platform Solutions*")</f>
        <v>1</v>
      </c>
      <c r="K181">
        <f>COUNTIF('Metrics - Articles'!F180,"*GCO – Industry Cloud *")</f>
        <v>0</v>
      </c>
      <c r="L181">
        <f>COUNTIF('Metrics - Articles'!F180,"*GCO – Customer Engagement &amp; Commerce (CRM &amp; hybris) *")</f>
        <v>0</v>
      </c>
      <c r="M181">
        <f>COUNTIF('Metrics - Articles'!F180,"*GCO – HR (SuccessFactors)*")</f>
        <v>0</v>
      </c>
      <c r="N181">
        <f>COUNTIF('Metrics - Articles'!F180,"*GCO – Services Sales*")</f>
        <v>0</v>
      </c>
      <c r="O181">
        <f>COUNTIF('Metrics - Articles'!F180,"*GCO – Other*")</f>
        <v>0</v>
      </c>
      <c r="P181">
        <f>COUNTIF('Metrics - Articles'!F180,"*Corporate*")</f>
        <v>0</v>
      </c>
      <c r="R181" s="53">
        <f t="shared" si="4"/>
        <v>1</v>
      </c>
    </row>
    <row r="182" spans="2:18" hidden="1" x14ac:dyDescent="0.25">
      <c r="B182" s="48">
        <f>+'Metrics - Articles'!C181</f>
        <v>42156</v>
      </c>
      <c r="C182">
        <f>COUNTIF('Metrics - Articles'!F181,"*GPO (Partner, Ecosystem, Channels)*")</f>
        <v>1</v>
      </c>
      <c r="D182">
        <f>COUNTIF('Metrics - Articles'!F181,"*Office of the CEO*")</f>
        <v>0</v>
      </c>
      <c r="E182">
        <f>COUNTIF('Metrics - Articles'!F181,"*Services Delivery &amp; Support (go-lives and deployments) *")</f>
        <v>0</v>
      </c>
      <c r="F182">
        <f>COUNTIF('Metrics - Articles'!F181,"*Human Resources (SAP HR and employee stories)*")</f>
        <v>0</v>
      </c>
      <c r="G182">
        <f>COUNTIF('Metrics - Articles'!F181,"*P&amp;I (Research &amp; Development)*")</f>
        <v>0</v>
      </c>
      <c r="H182">
        <f>COUNTIF('Metrics - Articles'!F181,"*Business Network (Concur, Ariba, Fieldglass)*")</f>
        <v>0</v>
      </c>
      <c r="I182">
        <f>COUNTIF('Metrics - Articles'!F181,"*GCO – Regions*")</f>
        <v>0</v>
      </c>
      <c r="J182">
        <f>COUNTIF('Metrics - Articles'!F181,"*GCO – Platform Solutions*")</f>
        <v>0</v>
      </c>
      <c r="K182">
        <f>COUNTIF('Metrics - Articles'!F181,"*GCO – Industry Cloud *")</f>
        <v>0</v>
      </c>
      <c r="L182">
        <f>COUNTIF('Metrics - Articles'!F181,"*GCO – Customer Engagement &amp; Commerce (CRM &amp; hybris) *")</f>
        <v>0</v>
      </c>
      <c r="M182">
        <f>COUNTIF('Metrics - Articles'!F181,"*GCO – HR (SuccessFactors)*")</f>
        <v>0</v>
      </c>
      <c r="N182">
        <f>COUNTIF('Metrics - Articles'!F181,"*GCO – Services Sales*")</f>
        <v>0</v>
      </c>
      <c r="O182">
        <f>COUNTIF('Metrics - Articles'!F181,"*GCO – Other*")</f>
        <v>0</v>
      </c>
      <c r="P182">
        <f>COUNTIF('Metrics - Articles'!F181,"*Corporate*")</f>
        <v>0</v>
      </c>
      <c r="R182" s="53">
        <f t="shared" si="4"/>
        <v>1</v>
      </c>
    </row>
    <row r="183" spans="2:18" hidden="1" x14ac:dyDescent="0.25">
      <c r="B183" s="48">
        <f>+'Metrics - Articles'!C182</f>
        <v>42157</v>
      </c>
      <c r="C183">
        <f>COUNTIF('Metrics - Articles'!F182,"*GPO (Partner, Ecosystem, Channels)*")</f>
        <v>0</v>
      </c>
      <c r="D183">
        <f>COUNTIF('Metrics - Articles'!F182,"*Office of the CEO*")</f>
        <v>0</v>
      </c>
      <c r="E183">
        <f>COUNTIF('Metrics - Articles'!F182,"*Services Delivery &amp; Support (go-lives and deployments) *")</f>
        <v>0</v>
      </c>
      <c r="F183">
        <f>COUNTIF('Metrics - Articles'!F182,"*Human Resources (SAP HR and employee stories)*")</f>
        <v>0</v>
      </c>
      <c r="G183">
        <f>COUNTIF('Metrics - Articles'!F182,"*P&amp;I (Research &amp; Development)*")</f>
        <v>0</v>
      </c>
      <c r="H183">
        <f>COUNTIF('Metrics - Articles'!F182,"*Business Network (Concur, Ariba, Fieldglass)*")</f>
        <v>0</v>
      </c>
      <c r="I183">
        <f>COUNTIF('Metrics - Articles'!F182,"*GCO – Regions*")</f>
        <v>1</v>
      </c>
      <c r="J183">
        <f>COUNTIF('Metrics - Articles'!F182,"*GCO – Platform Solutions*")</f>
        <v>0</v>
      </c>
      <c r="K183">
        <f>COUNTIF('Metrics - Articles'!F182,"*GCO – Industry Cloud *")</f>
        <v>0</v>
      </c>
      <c r="L183">
        <f>COUNTIF('Metrics - Articles'!F182,"*GCO – Customer Engagement &amp; Commerce (CRM &amp; hybris) *")</f>
        <v>0</v>
      </c>
      <c r="M183">
        <f>COUNTIF('Metrics - Articles'!F182,"*GCO – HR (SuccessFactors)*")</f>
        <v>0</v>
      </c>
      <c r="N183">
        <f>COUNTIF('Metrics - Articles'!F182,"*GCO – Services Sales*")</f>
        <v>0</v>
      </c>
      <c r="O183">
        <f>COUNTIF('Metrics - Articles'!F182,"*GCO – Other*")</f>
        <v>0</v>
      </c>
      <c r="P183">
        <f>COUNTIF('Metrics - Articles'!F182,"*Corporate*")</f>
        <v>0</v>
      </c>
      <c r="R183" s="53">
        <f t="shared" si="4"/>
        <v>1</v>
      </c>
    </row>
    <row r="184" spans="2:18" hidden="1" x14ac:dyDescent="0.25">
      <c r="B184" s="48">
        <f>+'Metrics - Articles'!C183</f>
        <v>42157</v>
      </c>
      <c r="C184">
        <f>COUNTIF('Metrics - Articles'!F183,"*GPO (Partner, Ecosystem, Channels)*")</f>
        <v>0</v>
      </c>
      <c r="D184">
        <f>COUNTIF('Metrics - Articles'!F183,"*Office of the CEO*")</f>
        <v>1</v>
      </c>
      <c r="E184">
        <f>COUNTIF('Metrics - Articles'!F183,"*Services Delivery &amp; Support (go-lives and deployments) *")</f>
        <v>0</v>
      </c>
      <c r="F184">
        <f>COUNTIF('Metrics - Articles'!F183,"*Human Resources (SAP HR and employee stories)*")</f>
        <v>0</v>
      </c>
      <c r="G184">
        <f>COUNTIF('Metrics - Articles'!F183,"*P&amp;I (Research &amp; Development)*")</f>
        <v>0</v>
      </c>
      <c r="H184">
        <f>COUNTIF('Metrics - Articles'!F183,"*Business Network (Concur, Ariba, Fieldglass)*")</f>
        <v>0</v>
      </c>
      <c r="I184">
        <f>COUNTIF('Metrics - Articles'!F183,"*GCO – Regions*")</f>
        <v>0</v>
      </c>
      <c r="J184">
        <f>COUNTIF('Metrics - Articles'!F183,"*GCO – Platform Solutions*")</f>
        <v>0</v>
      </c>
      <c r="K184">
        <f>COUNTIF('Metrics - Articles'!F183,"*GCO – Industry Cloud *")</f>
        <v>0</v>
      </c>
      <c r="L184">
        <f>COUNTIF('Metrics - Articles'!F183,"*GCO – Customer Engagement &amp; Commerce (CRM &amp; hybris) *")</f>
        <v>0</v>
      </c>
      <c r="M184">
        <f>COUNTIF('Metrics - Articles'!F183,"*GCO – HR (SuccessFactors)*")</f>
        <v>0</v>
      </c>
      <c r="N184">
        <f>COUNTIF('Metrics - Articles'!F183,"*GCO – Services Sales*")</f>
        <v>0</v>
      </c>
      <c r="O184">
        <f>COUNTIF('Metrics - Articles'!F183,"*GCO – Other*")</f>
        <v>0</v>
      </c>
      <c r="P184">
        <f>COUNTIF('Metrics - Articles'!F183,"*Corporate*")</f>
        <v>0</v>
      </c>
      <c r="R184" s="53">
        <f t="shared" si="4"/>
        <v>1</v>
      </c>
    </row>
    <row r="185" spans="2:18" hidden="1" x14ac:dyDescent="0.25">
      <c r="B185" s="48">
        <f>+'Metrics - Articles'!C184</f>
        <v>42158</v>
      </c>
      <c r="C185">
        <f>COUNTIF('Metrics - Articles'!F184,"*GPO (Partner, Ecosystem, Channels)*")</f>
        <v>0</v>
      </c>
      <c r="D185">
        <f>COUNTIF('Metrics - Articles'!F184,"*Office of the CEO*")</f>
        <v>0</v>
      </c>
      <c r="E185">
        <f>COUNTIF('Metrics - Articles'!F184,"*Services Delivery &amp; Support (go-lives and deployments) *")</f>
        <v>0</v>
      </c>
      <c r="F185">
        <f>COUNTIF('Metrics - Articles'!F184,"*Human Resources (SAP HR and employee stories)*")</f>
        <v>1</v>
      </c>
      <c r="G185">
        <f>COUNTIF('Metrics - Articles'!F184,"*P&amp;I (Research &amp; Development)*")</f>
        <v>0</v>
      </c>
      <c r="H185">
        <f>COUNTIF('Metrics - Articles'!F184,"*Business Network (Concur, Ariba, Fieldglass)*")</f>
        <v>0</v>
      </c>
      <c r="I185">
        <f>COUNTIF('Metrics - Articles'!F184,"*GCO – Regions*")</f>
        <v>0</v>
      </c>
      <c r="J185">
        <f>COUNTIF('Metrics - Articles'!F184,"*GCO – Platform Solutions*")</f>
        <v>0</v>
      </c>
      <c r="K185">
        <f>COUNTIF('Metrics - Articles'!F184,"*GCO – Industry Cloud *")</f>
        <v>0</v>
      </c>
      <c r="L185">
        <f>COUNTIF('Metrics - Articles'!F184,"*GCO – Customer Engagement &amp; Commerce (CRM &amp; hybris) *")</f>
        <v>0</v>
      </c>
      <c r="M185">
        <f>COUNTIF('Metrics - Articles'!F184,"*GCO – HR (SuccessFactors)*")</f>
        <v>0</v>
      </c>
      <c r="N185">
        <f>COUNTIF('Metrics - Articles'!F184,"*GCO – Services Sales*")</f>
        <v>0</v>
      </c>
      <c r="O185">
        <f>COUNTIF('Metrics - Articles'!F184,"*GCO – Other*")</f>
        <v>0</v>
      </c>
      <c r="P185">
        <f>COUNTIF('Metrics - Articles'!F184,"*Corporate*")</f>
        <v>0</v>
      </c>
      <c r="R185" s="53">
        <f t="shared" si="4"/>
        <v>1</v>
      </c>
    </row>
    <row r="186" spans="2:18" hidden="1" x14ac:dyDescent="0.25">
      <c r="B186" s="48">
        <f>+'Metrics - Articles'!C185</f>
        <v>42158</v>
      </c>
      <c r="C186">
        <f>COUNTIF('Metrics - Articles'!F185,"*GPO (Partner, Ecosystem, Channels)*")</f>
        <v>0</v>
      </c>
      <c r="D186">
        <f>COUNTIF('Metrics - Articles'!F185,"*Office of the CEO*")</f>
        <v>0</v>
      </c>
      <c r="E186">
        <f>COUNTIF('Metrics - Articles'!F185,"*Services Delivery &amp; Support (go-lives and deployments) *")</f>
        <v>0</v>
      </c>
      <c r="F186">
        <f>COUNTIF('Metrics - Articles'!F185,"*Human Resources (SAP HR and employee stories)*")</f>
        <v>0</v>
      </c>
      <c r="G186">
        <f>COUNTIF('Metrics - Articles'!F185,"*P&amp;I (Research &amp; Development)*")</f>
        <v>1</v>
      </c>
      <c r="H186">
        <f>COUNTIF('Metrics - Articles'!F185,"*Business Network (Concur, Ariba, Fieldglass)*")</f>
        <v>0</v>
      </c>
      <c r="I186">
        <f>COUNTIF('Metrics - Articles'!F185,"*GCO – Regions*")</f>
        <v>0</v>
      </c>
      <c r="J186">
        <f>COUNTIF('Metrics - Articles'!F185,"*GCO – Platform Solutions*")</f>
        <v>0</v>
      </c>
      <c r="K186">
        <f>COUNTIF('Metrics - Articles'!F185,"*GCO – Industry Cloud *")</f>
        <v>0</v>
      </c>
      <c r="L186">
        <f>COUNTIF('Metrics - Articles'!F185,"*GCO – Customer Engagement &amp; Commerce (CRM &amp; hybris) *")</f>
        <v>0</v>
      </c>
      <c r="M186">
        <f>COUNTIF('Metrics - Articles'!F185,"*GCO – HR (SuccessFactors)*")</f>
        <v>0</v>
      </c>
      <c r="N186">
        <f>COUNTIF('Metrics - Articles'!F185,"*GCO – Services Sales*")</f>
        <v>0</v>
      </c>
      <c r="O186">
        <f>COUNTIF('Metrics - Articles'!F185,"*GCO – Other*")</f>
        <v>0</v>
      </c>
      <c r="P186">
        <f>COUNTIF('Metrics - Articles'!F185,"*Corporate*")</f>
        <v>0</v>
      </c>
      <c r="R186" s="53">
        <f t="shared" si="4"/>
        <v>1</v>
      </c>
    </row>
    <row r="187" spans="2:18" hidden="1" x14ac:dyDescent="0.25">
      <c r="B187" s="48">
        <f>+'Metrics - Articles'!C186</f>
        <v>42158</v>
      </c>
      <c r="C187">
        <f>COUNTIF('Metrics - Articles'!F186,"*GPO (Partner, Ecosystem, Channels)*")</f>
        <v>0</v>
      </c>
      <c r="D187">
        <f>COUNTIF('Metrics - Articles'!F186,"*Office of the CEO*")</f>
        <v>1</v>
      </c>
      <c r="E187">
        <f>COUNTIF('Metrics - Articles'!F186,"*Services Delivery &amp; Support (go-lives and deployments) *")</f>
        <v>0</v>
      </c>
      <c r="F187">
        <f>COUNTIF('Metrics - Articles'!F186,"*Human Resources (SAP HR and employee stories)*")</f>
        <v>0</v>
      </c>
      <c r="G187">
        <f>COUNTIF('Metrics - Articles'!F186,"*P&amp;I (Research &amp; Development)*")</f>
        <v>0</v>
      </c>
      <c r="H187">
        <f>COUNTIF('Metrics - Articles'!F186,"*Business Network (Concur, Ariba, Fieldglass)*")</f>
        <v>0</v>
      </c>
      <c r="I187">
        <f>COUNTIF('Metrics - Articles'!F186,"*GCO – Regions*")</f>
        <v>0</v>
      </c>
      <c r="J187">
        <f>COUNTIF('Metrics - Articles'!F186,"*GCO – Platform Solutions*")</f>
        <v>0</v>
      </c>
      <c r="K187">
        <f>COUNTIF('Metrics - Articles'!F186,"*GCO – Industry Cloud *")</f>
        <v>0</v>
      </c>
      <c r="L187">
        <f>COUNTIF('Metrics - Articles'!F186,"*GCO – Customer Engagement &amp; Commerce (CRM &amp; hybris) *")</f>
        <v>0</v>
      </c>
      <c r="M187">
        <f>COUNTIF('Metrics - Articles'!F186,"*GCO – HR (SuccessFactors)*")</f>
        <v>0</v>
      </c>
      <c r="N187">
        <f>COUNTIF('Metrics - Articles'!F186,"*GCO – Services Sales*")</f>
        <v>0</v>
      </c>
      <c r="O187">
        <f>COUNTIF('Metrics - Articles'!F186,"*GCO – Other*")</f>
        <v>0</v>
      </c>
      <c r="P187">
        <f>COUNTIF('Metrics - Articles'!F186,"*Corporate*")</f>
        <v>0</v>
      </c>
      <c r="R187" s="53">
        <f t="shared" si="4"/>
        <v>1</v>
      </c>
    </row>
    <row r="188" spans="2:18" hidden="1" x14ac:dyDescent="0.25">
      <c r="B188" s="48">
        <f>+'Metrics - Articles'!C187</f>
        <v>42159</v>
      </c>
      <c r="C188">
        <f>COUNTIF('Metrics - Articles'!F187,"*GPO (Partner, Ecosystem, Channels)*")</f>
        <v>0</v>
      </c>
      <c r="D188">
        <f>COUNTIF('Metrics - Articles'!F187,"*Office of the CEO*")</f>
        <v>0</v>
      </c>
      <c r="E188">
        <f>COUNTIF('Metrics - Articles'!F187,"*Services Delivery &amp; Support (go-lives and deployments) *")</f>
        <v>0</v>
      </c>
      <c r="F188">
        <f>COUNTIF('Metrics - Articles'!F187,"*Human Resources (SAP HR and employee stories)*")</f>
        <v>0</v>
      </c>
      <c r="G188">
        <f>COUNTIF('Metrics - Articles'!F187,"*P&amp;I (Research &amp; Development)*")</f>
        <v>0</v>
      </c>
      <c r="H188">
        <f>COUNTIF('Metrics - Articles'!F187,"*Business Network (Concur, Ariba, Fieldglass)*")</f>
        <v>0</v>
      </c>
      <c r="I188">
        <f>COUNTIF('Metrics - Articles'!F187,"*GCO – Regions*")</f>
        <v>0</v>
      </c>
      <c r="J188">
        <f>COUNTIF('Metrics - Articles'!F187,"*GCO – Platform Solutions*")</f>
        <v>0</v>
      </c>
      <c r="K188">
        <f>COUNTIF('Metrics - Articles'!F187,"*GCO – Industry Cloud *")</f>
        <v>0</v>
      </c>
      <c r="L188">
        <f>COUNTIF('Metrics - Articles'!F187,"*GCO – Customer Engagement &amp; Commerce (CRM &amp; hybris) *")</f>
        <v>0</v>
      </c>
      <c r="M188">
        <f>COUNTIF('Metrics - Articles'!F187,"*GCO – HR (SuccessFactors)*")</f>
        <v>0</v>
      </c>
      <c r="N188">
        <f>COUNTIF('Metrics - Articles'!F187,"*GCO – Services Sales*")</f>
        <v>0</v>
      </c>
      <c r="O188">
        <f>COUNTIF('Metrics - Articles'!F187,"*GCO – Other*")</f>
        <v>0</v>
      </c>
      <c r="P188">
        <f>COUNTIF('Metrics - Articles'!F187,"*Corporate*")</f>
        <v>1</v>
      </c>
      <c r="R188" s="53">
        <f t="shared" si="4"/>
        <v>1</v>
      </c>
    </row>
    <row r="189" spans="2:18" hidden="1" x14ac:dyDescent="0.25">
      <c r="B189" s="48">
        <f>+'Metrics - Articles'!C188</f>
        <v>42163</v>
      </c>
      <c r="C189">
        <f>COUNTIF('Metrics - Articles'!F188,"*GPO (Partner, Ecosystem, Channels)*")</f>
        <v>0</v>
      </c>
      <c r="D189">
        <f>COUNTIF('Metrics - Articles'!F188,"*Office of the CEO*")</f>
        <v>0</v>
      </c>
      <c r="E189">
        <f>COUNTIF('Metrics - Articles'!F188,"*Services Delivery &amp; Support (go-lives and deployments) *")</f>
        <v>0</v>
      </c>
      <c r="F189">
        <f>COUNTIF('Metrics - Articles'!F188,"*Human Resources (SAP HR and employee stories)*")</f>
        <v>1</v>
      </c>
      <c r="G189">
        <f>COUNTIF('Metrics - Articles'!F188,"*P&amp;I (Research &amp; Development)*")</f>
        <v>0</v>
      </c>
      <c r="H189">
        <f>COUNTIF('Metrics - Articles'!F188,"*Business Network (Concur, Ariba, Fieldglass)*")</f>
        <v>0</v>
      </c>
      <c r="I189">
        <f>COUNTIF('Metrics - Articles'!F188,"*GCO – Regions*")</f>
        <v>0</v>
      </c>
      <c r="J189">
        <f>COUNTIF('Metrics - Articles'!F188,"*GCO – Platform Solutions*")</f>
        <v>0</v>
      </c>
      <c r="K189">
        <f>COUNTIF('Metrics - Articles'!F188,"*GCO – Industry Cloud *")</f>
        <v>0</v>
      </c>
      <c r="L189">
        <f>COUNTIF('Metrics - Articles'!F188,"*GCO – Customer Engagement &amp; Commerce (CRM &amp; hybris) *")</f>
        <v>0</v>
      </c>
      <c r="M189">
        <f>COUNTIF('Metrics - Articles'!F188,"*GCO – HR (SuccessFactors)*")</f>
        <v>0</v>
      </c>
      <c r="N189">
        <f>COUNTIF('Metrics - Articles'!F188,"*GCO – Services Sales*")</f>
        <v>0</v>
      </c>
      <c r="O189">
        <f>COUNTIF('Metrics - Articles'!F188,"*GCO – Other*")</f>
        <v>0</v>
      </c>
      <c r="P189">
        <f>COUNTIF('Metrics - Articles'!F188,"*Corporate*")</f>
        <v>0</v>
      </c>
      <c r="R189" s="53">
        <f t="shared" si="4"/>
        <v>1</v>
      </c>
    </row>
    <row r="190" spans="2:18" hidden="1" x14ac:dyDescent="0.25">
      <c r="B190" s="48">
        <f>+'Metrics - Articles'!C189</f>
        <v>42164</v>
      </c>
      <c r="C190">
        <f>COUNTIF('Metrics - Articles'!F189,"*GPO (Partner, Ecosystem, Channels)*")</f>
        <v>0</v>
      </c>
      <c r="D190">
        <f>COUNTIF('Metrics - Articles'!F189,"*Office of the CEO*")</f>
        <v>0</v>
      </c>
      <c r="E190">
        <f>COUNTIF('Metrics - Articles'!F189,"*Services Delivery &amp; Support (go-lives and deployments) *")</f>
        <v>1</v>
      </c>
      <c r="F190">
        <f>COUNTIF('Metrics - Articles'!F189,"*Human Resources (SAP HR and employee stories)*")</f>
        <v>0</v>
      </c>
      <c r="G190">
        <f>COUNTIF('Metrics - Articles'!F189,"*P&amp;I (Research &amp; Development)*")</f>
        <v>0</v>
      </c>
      <c r="H190">
        <f>COUNTIF('Metrics - Articles'!F189,"*Business Network (Concur, Ariba, Fieldglass)*")</f>
        <v>0</v>
      </c>
      <c r="I190">
        <f>COUNTIF('Metrics - Articles'!F189,"*GCO – Regions*")</f>
        <v>0</v>
      </c>
      <c r="J190">
        <f>COUNTIF('Metrics - Articles'!F189,"*GCO – Platform Solutions*")</f>
        <v>0</v>
      </c>
      <c r="K190">
        <f>COUNTIF('Metrics - Articles'!F189,"*GCO – Industry Cloud *")</f>
        <v>0</v>
      </c>
      <c r="L190">
        <f>COUNTIF('Metrics - Articles'!F189,"*GCO – Customer Engagement &amp; Commerce (CRM &amp; hybris) *")</f>
        <v>0</v>
      </c>
      <c r="M190">
        <f>COUNTIF('Metrics - Articles'!F189,"*GCO – HR (SuccessFactors)*")</f>
        <v>0</v>
      </c>
      <c r="N190">
        <f>COUNTIF('Metrics - Articles'!F189,"*GCO – Services Sales*")</f>
        <v>0</v>
      </c>
      <c r="O190">
        <f>COUNTIF('Metrics - Articles'!F189,"*GCO – Other*")</f>
        <v>0</v>
      </c>
      <c r="P190">
        <f>COUNTIF('Metrics - Articles'!F189,"*Corporate*")</f>
        <v>0</v>
      </c>
      <c r="R190" s="53">
        <f t="shared" si="4"/>
        <v>1</v>
      </c>
    </row>
    <row r="191" spans="2:18" hidden="1" x14ac:dyDescent="0.25">
      <c r="B191" s="48">
        <f>+'Metrics - Articles'!C190</f>
        <v>42164</v>
      </c>
      <c r="C191">
        <f>COUNTIF('Metrics - Articles'!F190,"*GPO (Partner, Ecosystem, Channels)*")</f>
        <v>0</v>
      </c>
      <c r="D191">
        <f>COUNTIF('Metrics - Articles'!F190,"*Office of the CEO*")</f>
        <v>0</v>
      </c>
      <c r="E191">
        <f>COUNTIF('Metrics - Articles'!F190,"*Services Delivery &amp; Support (go-lives and deployments) *")</f>
        <v>0</v>
      </c>
      <c r="F191">
        <f>COUNTIF('Metrics - Articles'!F190,"*Human Resources (SAP HR and employee stories)*")</f>
        <v>0</v>
      </c>
      <c r="G191">
        <f>COUNTIF('Metrics - Articles'!F190,"*P&amp;I (Research &amp; Development)*")</f>
        <v>0</v>
      </c>
      <c r="H191">
        <f>COUNTIF('Metrics - Articles'!F190,"*Business Network (Concur, Ariba, Fieldglass)*")</f>
        <v>0</v>
      </c>
      <c r="I191">
        <f>COUNTIF('Metrics - Articles'!F190,"*GCO – Regions*")</f>
        <v>0</v>
      </c>
      <c r="J191">
        <f>COUNTIF('Metrics - Articles'!F190,"*GCO – Platform Solutions*")</f>
        <v>0</v>
      </c>
      <c r="K191">
        <f>COUNTIF('Metrics - Articles'!F190,"*GCO – Industry Cloud *")</f>
        <v>0</v>
      </c>
      <c r="L191">
        <f>COUNTIF('Metrics - Articles'!F190,"*GCO – Customer Engagement &amp; Commerce (CRM &amp; hybris) *")</f>
        <v>1</v>
      </c>
      <c r="M191">
        <f>COUNTIF('Metrics - Articles'!F190,"*GCO – HR (SuccessFactors)*")</f>
        <v>0</v>
      </c>
      <c r="N191">
        <f>COUNTIF('Metrics - Articles'!F190,"*GCO – Services Sales*")</f>
        <v>0</v>
      </c>
      <c r="O191">
        <f>COUNTIF('Metrics - Articles'!F190,"*GCO – Other*")</f>
        <v>0</v>
      </c>
      <c r="P191">
        <f>COUNTIF('Metrics - Articles'!F190,"*Corporate*")</f>
        <v>0</v>
      </c>
      <c r="R191" s="53">
        <f t="shared" si="4"/>
        <v>1</v>
      </c>
    </row>
    <row r="192" spans="2:18" hidden="1" x14ac:dyDescent="0.25">
      <c r="B192" s="48">
        <f>+'Metrics - Articles'!C191</f>
        <v>42164</v>
      </c>
      <c r="C192">
        <f>COUNTIF('Metrics - Articles'!F191,"*GPO (Partner, Ecosystem, Channels)*")</f>
        <v>1</v>
      </c>
      <c r="D192">
        <f>COUNTIF('Metrics - Articles'!F191,"*Office of the CEO*")</f>
        <v>0</v>
      </c>
      <c r="E192">
        <f>COUNTIF('Metrics - Articles'!F191,"*Services Delivery &amp; Support (go-lives and deployments) *")</f>
        <v>0</v>
      </c>
      <c r="F192">
        <f>COUNTIF('Metrics - Articles'!F191,"*Human Resources (SAP HR and employee stories)*")</f>
        <v>0</v>
      </c>
      <c r="G192">
        <f>COUNTIF('Metrics - Articles'!F191,"*P&amp;I (Research &amp; Development)*")</f>
        <v>0</v>
      </c>
      <c r="H192">
        <f>COUNTIF('Metrics - Articles'!F191,"*Business Network (Concur, Ariba, Fieldglass)*")</f>
        <v>0</v>
      </c>
      <c r="I192">
        <f>COUNTIF('Metrics - Articles'!F191,"*GCO – Regions*")</f>
        <v>0</v>
      </c>
      <c r="J192">
        <f>COUNTIF('Metrics - Articles'!F191,"*GCO – Platform Solutions*")</f>
        <v>0</v>
      </c>
      <c r="K192">
        <f>COUNTIF('Metrics - Articles'!F191,"*GCO – Industry Cloud *")</f>
        <v>0</v>
      </c>
      <c r="L192">
        <f>COUNTIF('Metrics - Articles'!F191,"*GCO – Customer Engagement &amp; Commerce (CRM &amp; hybris) *")</f>
        <v>0</v>
      </c>
      <c r="M192">
        <f>COUNTIF('Metrics - Articles'!F191,"*GCO – HR (SuccessFactors)*")</f>
        <v>0</v>
      </c>
      <c r="N192">
        <f>COUNTIF('Metrics - Articles'!F191,"*GCO – Services Sales*")</f>
        <v>0</v>
      </c>
      <c r="O192">
        <f>COUNTIF('Metrics - Articles'!F191,"*GCO – Other*")</f>
        <v>0</v>
      </c>
      <c r="P192">
        <f>COUNTIF('Metrics - Articles'!F191,"*Corporate*")</f>
        <v>0</v>
      </c>
      <c r="R192" s="53">
        <f t="shared" si="4"/>
        <v>1</v>
      </c>
    </row>
    <row r="193" spans="2:18" hidden="1" x14ac:dyDescent="0.25">
      <c r="B193" s="48">
        <f>+'Metrics - Articles'!C192</f>
        <v>42165</v>
      </c>
      <c r="C193">
        <f>COUNTIF('Metrics - Articles'!F192,"*GPO (Partner, Ecosystem, Channels)*")</f>
        <v>0</v>
      </c>
      <c r="D193">
        <f>COUNTIF('Metrics - Articles'!F192,"*Office of the CEO*")</f>
        <v>0</v>
      </c>
      <c r="E193">
        <f>COUNTIF('Metrics - Articles'!F192,"*Services Delivery &amp; Support (go-lives and deployments) *")</f>
        <v>0</v>
      </c>
      <c r="F193">
        <f>COUNTIF('Metrics - Articles'!F192,"*Human Resources (SAP HR and employee stories)*")</f>
        <v>0</v>
      </c>
      <c r="G193">
        <f>COUNTIF('Metrics - Articles'!F192,"*P&amp;I (Research &amp; Development)*")</f>
        <v>0</v>
      </c>
      <c r="H193">
        <f>COUNTIF('Metrics - Articles'!F192,"*Business Network (Concur, Ariba, Fieldglass)*")</f>
        <v>0</v>
      </c>
      <c r="I193">
        <f>COUNTIF('Metrics - Articles'!F192,"*GCO – Regions*")</f>
        <v>0</v>
      </c>
      <c r="J193">
        <f>COUNTIF('Metrics - Articles'!F192,"*GCO – Platform Solutions*")</f>
        <v>1</v>
      </c>
      <c r="K193">
        <f>COUNTIF('Metrics - Articles'!F192,"*GCO – Industry Cloud *")</f>
        <v>0</v>
      </c>
      <c r="L193">
        <f>COUNTIF('Metrics - Articles'!F192,"*GCO – Customer Engagement &amp; Commerce (CRM &amp; hybris) *")</f>
        <v>0</v>
      </c>
      <c r="M193">
        <f>COUNTIF('Metrics - Articles'!F192,"*GCO – HR (SuccessFactors)*")</f>
        <v>0</v>
      </c>
      <c r="N193">
        <f>COUNTIF('Metrics - Articles'!F192,"*GCO – Services Sales*")</f>
        <v>0</v>
      </c>
      <c r="O193">
        <f>COUNTIF('Metrics - Articles'!F192,"*GCO – Other*")</f>
        <v>0</v>
      </c>
      <c r="P193">
        <f>COUNTIF('Metrics - Articles'!F192,"*Corporate*")</f>
        <v>0</v>
      </c>
      <c r="R193" s="53">
        <f t="shared" si="4"/>
        <v>1</v>
      </c>
    </row>
    <row r="194" spans="2:18" hidden="1" x14ac:dyDescent="0.25">
      <c r="B194" s="48">
        <f>+'Metrics - Articles'!C193</f>
        <v>42165</v>
      </c>
      <c r="C194">
        <f>COUNTIF('Metrics - Articles'!F193,"*GPO (Partner, Ecosystem, Channels)*")</f>
        <v>0</v>
      </c>
      <c r="D194">
        <f>COUNTIF('Metrics - Articles'!F193,"*Office of the CEO*")</f>
        <v>0</v>
      </c>
      <c r="E194">
        <f>COUNTIF('Metrics - Articles'!F193,"*Services Delivery &amp; Support (go-lives and deployments) *")</f>
        <v>0</v>
      </c>
      <c r="F194">
        <f>COUNTIF('Metrics - Articles'!F193,"*Human Resources (SAP HR and employee stories)*")</f>
        <v>0</v>
      </c>
      <c r="G194">
        <f>COUNTIF('Metrics - Articles'!F193,"*P&amp;I (Research &amp; Development)*")</f>
        <v>0</v>
      </c>
      <c r="H194">
        <f>COUNTIF('Metrics - Articles'!F193,"*Business Network (Concur, Ariba, Fieldglass)*")</f>
        <v>0</v>
      </c>
      <c r="I194">
        <f>COUNTIF('Metrics - Articles'!F193,"*GCO – Regions*")</f>
        <v>0</v>
      </c>
      <c r="J194">
        <f>COUNTIF('Metrics - Articles'!F193,"*GCO – Platform Solutions*")</f>
        <v>1</v>
      </c>
      <c r="K194">
        <f>COUNTIF('Metrics - Articles'!F193,"*GCO – Industry Cloud *")</f>
        <v>0</v>
      </c>
      <c r="L194">
        <f>COUNTIF('Metrics - Articles'!F193,"*GCO – Customer Engagement &amp; Commerce (CRM &amp; hybris) *")</f>
        <v>0</v>
      </c>
      <c r="M194">
        <f>COUNTIF('Metrics - Articles'!F193,"*GCO – HR (SuccessFactors)*")</f>
        <v>0</v>
      </c>
      <c r="N194">
        <f>COUNTIF('Metrics - Articles'!F193,"*GCO – Services Sales*")</f>
        <v>0</v>
      </c>
      <c r="O194">
        <f>COUNTIF('Metrics - Articles'!F193,"*GCO – Other*")</f>
        <v>0</v>
      </c>
      <c r="P194">
        <f>COUNTIF('Metrics - Articles'!F193,"*Corporate*")</f>
        <v>0</v>
      </c>
      <c r="R194" s="53">
        <f t="shared" si="4"/>
        <v>1</v>
      </c>
    </row>
    <row r="195" spans="2:18" hidden="1" x14ac:dyDescent="0.25">
      <c r="B195" s="48">
        <f>+'Metrics - Articles'!C194</f>
        <v>42166</v>
      </c>
      <c r="C195">
        <f>COUNTIF('Metrics - Articles'!F194,"*GPO (Partner, Ecosystem, Channels)*")</f>
        <v>0</v>
      </c>
      <c r="D195">
        <f>COUNTIF('Metrics - Articles'!F194,"*Office of the CEO*")</f>
        <v>0</v>
      </c>
      <c r="E195">
        <f>COUNTIF('Metrics - Articles'!F194,"*Services Delivery &amp; Support (go-lives and deployments) *")</f>
        <v>0</v>
      </c>
      <c r="F195">
        <f>COUNTIF('Metrics - Articles'!F194,"*Human Resources (SAP HR and employee stories)*")</f>
        <v>0</v>
      </c>
      <c r="G195">
        <f>COUNTIF('Metrics - Articles'!F194,"*P&amp;I (Research &amp; Development)*")</f>
        <v>0</v>
      </c>
      <c r="H195">
        <f>COUNTIF('Metrics - Articles'!F194,"*Business Network (Concur, Ariba, Fieldglass)*")</f>
        <v>0</v>
      </c>
      <c r="I195">
        <f>COUNTIF('Metrics - Articles'!F194,"*GCO – Regions*")</f>
        <v>0</v>
      </c>
      <c r="J195">
        <f>COUNTIF('Metrics - Articles'!F194,"*GCO – Platform Solutions*")</f>
        <v>0</v>
      </c>
      <c r="K195">
        <f>COUNTIF('Metrics - Articles'!F194,"*GCO – Industry Cloud *")</f>
        <v>0</v>
      </c>
      <c r="L195">
        <f>COUNTIF('Metrics - Articles'!F194,"*GCO – Customer Engagement &amp; Commerce (CRM &amp; hybris) *")</f>
        <v>0</v>
      </c>
      <c r="M195">
        <f>COUNTIF('Metrics - Articles'!F194,"*GCO – HR (SuccessFactors)*")</f>
        <v>0</v>
      </c>
      <c r="N195">
        <f>COUNTIF('Metrics - Articles'!F194,"*GCO – Services Sales*")</f>
        <v>0</v>
      </c>
      <c r="O195">
        <f>COUNTIF('Metrics - Articles'!F194,"*GCO – Other*")</f>
        <v>1</v>
      </c>
      <c r="P195">
        <f>COUNTIF('Metrics - Articles'!F194,"*Corporate*")</f>
        <v>0</v>
      </c>
      <c r="R195" s="53">
        <f t="shared" si="4"/>
        <v>1</v>
      </c>
    </row>
    <row r="196" spans="2:18" hidden="1" x14ac:dyDescent="0.25">
      <c r="B196" s="48">
        <f>+'Metrics - Articles'!C195</f>
        <v>42166</v>
      </c>
      <c r="C196">
        <f>COUNTIF('Metrics - Articles'!F195,"*GPO (Partner, Ecosystem, Channels)*")</f>
        <v>0</v>
      </c>
      <c r="D196">
        <f>COUNTIF('Metrics - Articles'!F195,"*Office of the CEO*")</f>
        <v>0</v>
      </c>
      <c r="E196">
        <f>COUNTIF('Metrics - Articles'!F195,"*Services Delivery &amp; Support (go-lives and deployments) *")</f>
        <v>0</v>
      </c>
      <c r="F196">
        <f>COUNTIF('Metrics - Articles'!F195,"*Human Resources (SAP HR and employee stories)*")</f>
        <v>1</v>
      </c>
      <c r="G196">
        <f>COUNTIF('Metrics - Articles'!F195,"*P&amp;I (Research &amp; Development)*")</f>
        <v>0</v>
      </c>
      <c r="H196">
        <f>COUNTIF('Metrics - Articles'!F195,"*Business Network (Concur, Ariba, Fieldglass)*")</f>
        <v>0</v>
      </c>
      <c r="I196">
        <f>COUNTIF('Metrics - Articles'!F195,"*GCO – Regions*")</f>
        <v>0</v>
      </c>
      <c r="J196">
        <f>COUNTIF('Metrics - Articles'!F195,"*GCO – Platform Solutions*")</f>
        <v>0</v>
      </c>
      <c r="K196">
        <f>COUNTIF('Metrics - Articles'!F195,"*GCO – Industry Cloud *")</f>
        <v>0</v>
      </c>
      <c r="L196">
        <f>COUNTIF('Metrics - Articles'!F195,"*GCO – Customer Engagement &amp; Commerce (CRM &amp; hybris) *")</f>
        <v>0</v>
      </c>
      <c r="M196">
        <f>COUNTIF('Metrics - Articles'!F195,"*GCO – HR (SuccessFactors)*")</f>
        <v>0</v>
      </c>
      <c r="N196">
        <f>COUNTIF('Metrics - Articles'!F195,"*GCO – Services Sales*")</f>
        <v>0</v>
      </c>
      <c r="O196">
        <f>COUNTIF('Metrics - Articles'!F195,"*GCO – Other*")</f>
        <v>0</v>
      </c>
      <c r="P196">
        <f>COUNTIF('Metrics - Articles'!F195,"*Corporate*")</f>
        <v>0</v>
      </c>
      <c r="R196" s="53">
        <f t="shared" si="4"/>
        <v>1</v>
      </c>
    </row>
    <row r="197" spans="2:18" hidden="1" x14ac:dyDescent="0.25">
      <c r="B197" s="48">
        <f>+'Metrics - Articles'!C196</f>
        <v>42170</v>
      </c>
      <c r="C197">
        <f>COUNTIF('Metrics - Articles'!F196,"*GPO (Partner, Ecosystem, Channels)*")</f>
        <v>0</v>
      </c>
      <c r="D197">
        <f>COUNTIF('Metrics - Articles'!F196,"*Office of the CEO*")</f>
        <v>0</v>
      </c>
      <c r="E197">
        <f>COUNTIF('Metrics - Articles'!F196,"*Services Delivery &amp; Support (go-lives and deployments) *")</f>
        <v>0</v>
      </c>
      <c r="F197">
        <f>COUNTIF('Metrics - Articles'!F196,"*Human Resources (SAP HR and employee stories)*")</f>
        <v>0</v>
      </c>
      <c r="G197">
        <f>COUNTIF('Metrics - Articles'!F196,"*P&amp;I (Research &amp; Development)*")</f>
        <v>1</v>
      </c>
      <c r="H197">
        <f>COUNTIF('Metrics - Articles'!F196,"*Business Network (Concur, Ariba, Fieldglass)*")</f>
        <v>0</v>
      </c>
      <c r="I197">
        <f>COUNTIF('Metrics - Articles'!F196,"*GCO – Regions*")</f>
        <v>0</v>
      </c>
      <c r="J197">
        <f>COUNTIF('Metrics - Articles'!F196,"*GCO – Platform Solutions*")</f>
        <v>0</v>
      </c>
      <c r="K197">
        <f>COUNTIF('Metrics - Articles'!F196,"*GCO – Industry Cloud *")</f>
        <v>0</v>
      </c>
      <c r="L197">
        <f>COUNTIF('Metrics - Articles'!F196,"*GCO – Customer Engagement &amp; Commerce (CRM &amp; hybris) *")</f>
        <v>0</v>
      </c>
      <c r="M197">
        <f>COUNTIF('Metrics - Articles'!F196,"*GCO – HR (SuccessFactors)*")</f>
        <v>0</v>
      </c>
      <c r="N197">
        <f>COUNTIF('Metrics - Articles'!F196,"*GCO – Services Sales*")</f>
        <v>0</v>
      </c>
      <c r="O197">
        <f>COUNTIF('Metrics - Articles'!F196,"*GCO – Other*")</f>
        <v>0</v>
      </c>
      <c r="P197">
        <f>COUNTIF('Metrics - Articles'!F196,"*Corporate*")</f>
        <v>0</v>
      </c>
      <c r="R197" s="53">
        <f t="shared" si="4"/>
        <v>1</v>
      </c>
    </row>
    <row r="198" spans="2:18" hidden="1" x14ac:dyDescent="0.25">
      <c r="B198" s="48">
        <f>+'Metrics - Articles'!C197</f>
        <v>42170</v>
      </c>
      <c r="C198">
        <f>COUNTIF('Metrics - Articles'!F197,"*GPO (Partner, Ecosystem, Channels)*")</f>
        <v>0</v>
      </c>
      <c r="D198">
        <f>COUNTIF('Metrics - Articles'!F197,"*Office of the CEO*")</f>
        <v>0</v>
      </c>
      <c r="E198">
        <f>COUNTIF('Metrics - Articles'!F197,"*Services Delivery &amp; Support (go-lives and deployments) *")</f>
        <v>0</v>
      </c>
      <c r="F198">
        <f>COUNTIF('Metrics - Articles'!F197,"*Human Resources (SAP HR and employee stories)*")</f>
        <v>0</v>
      </c>
      <c r="G198">
        <f>COUNTIF('Metrics - Articles'!F197,"*P&amp;I (Research &amp; Development)*")</f>
        <v>0</v>
      </c>
      <c r="H198">
        <f>COUNTIF('Metrics - Articles'!F197,"*Business Network (Concur, Ariba, Fieldglass)*")</f>
        <v>0</v>
      </c>
      <c r="I198">
        <f>COUNTIF('Metrics - Articles'!F197,"*GCO – Regions*")</f>
        <v>0</v>
      </c>
      <c r="J198">
        <f>COUNTIF('Metrics - Articles'!F197,"*GCO – Platform Solutions*")</f>
        <v>0</v>
      </c>
      <c r="K198">
        <f>COUNTIF('Metrics - Articles'!F197,"*GCO – Industry Cloud *")</f>
        <v>0</v>
      </c>
      <c r="L198">
        <f>COUNTIF('Metrics - Articles'!F197,"*GCO – Customer Engagement &amp; Commerce (CRM &amp; hybris) *")</f>
        <v>0</v>
      </c>
      <c r="M198">
        <f>COUNTIF('Metrics - Articles'!F197,"*GCO – HR (SuccessFactors)*")</f>
        <v>0</v>
      </c>
      <c r="N198">
        <f>COUNTIF('Metrics - Articles'!F197,"*GCO – Services Sales*")</f>
        <v>0</v>
      </c>
      <c r="O198">
        <f>COUNTIF('Metrics - Articles'!F197,"*GCO – Other*")</f>
        <v>0</v>
      </c>
      <c r="P198">
        <f>COUNTIF('Metrics - Articles'!F197,"*Corporate*")</f>
        <v>1</v>
      </c>
      <c r="R198" s="53">
        <f t="shared" si="4"/>
        <v>1</v>
      </c>
    </row>
    <row r="199" spans="2:18" hidden="1" x14ac:dyDescent="0.25">
      <c r="B199" s="48">
        <f>+'Metrics - Articles'!C198</f>
        <v>42171</v>
      </c>
      <c r="C199">
        <f>COUNTIF('Metrics - Articles'!F198,"*GPO (Partner, Ecosystem, Channels)*")</f>
        <v>0</v>
      </c>
      <c r="D199">
        <f>COUNTIF('Metrics - Articles'!F198,"*Office of the CEO*")</f>
        <v>0</v>
      </c>
      <c r="E199">
        <f>COUNTIF('Metrics - Articles'!F198,"*Services Delivery &amp; Support (go-lives and deployments) *")</f>
        <v>0</v>
      </c>
      <c r="F199">
        <f>COUNTIF('Metrics - Articles'!F198,"*Human Resources (SAP HR and employee stories)*")</f>
        <v>1</v>
      </c>
      <c r="G199">
        <f>COUNTIF('Metrics - Articles'!F198,"*P&amp;I (Research &amp; Development)*")</f>
        <v>0</v>
      </c>
      <c r="H199">
        <f>COUNTIF('Metrics - Articles'!F198,"*Business Network (Concur, Ariba, Fieldglass)*")</f>
        <v>0</v>
      </c>
      <c r="I199">
        <f>COUNTIF('Metrics - Articles'!F198,"*GCO – Regions*")</f>
        <v>0</v>
      </c>
      <c r="J199">
        <f>COUNTIF('Metrics - Articles'!F198,"*GCO – Platform Solutions*")</f>
        <v>0</v>
      </c>
      <c r="K199">
        <f>COUNTIF('Metrics - Articles'!F198,"*GCO – Industry Cloud *")</f>
        <v>0</v>
      </c>
      <c r="L199">
        <f>COUNTIF('Metrics - Articles'!F198,"*GCO – Customer Engagement &amp; Commerce (CRM &amp; hybris) *")</f>
        <v>0</v>
      </c>
      <c r="M199">
        <f>COUNTIF('Metrics - Articles'!F198,"*GCO – HR (SuccessFactors)*")</f>
        <v>0</v>
      </c>
      <c r="N199">
        <f>COUNTIF('Metrics - Articles'!F198,"*GCO – Services Sales*")</f>
        <v>0</v>
      </c>
      <c r="O199">
        <f>COUNTIF('Metrics - Articles'!F198,"*GCO – Other*")</f>
        <v>0</v>
      </c>
      <c r="P199">
        <f>COUNTIF('Metrics - Articles'!F198,"*Corporate*")</f>
        <v>0</v>
      </c>
      <c r="R199" s="53">
        <f t="shared" si="4"/>
        <v>1</v>
      </c>
    </row>
    <row r="200" spans="2:18" hidden="1" x14ac:dyDescent="0.25">
      <c r="B200" s="48">
        <f>+'Metrics - Articles'!C199</f>
        <v>42171</v>
      </c>
      <c r="C200">
        <f>COUNTIF('Metrics - Articles'!F199,"*GPO (Partner, Ecosystem, Channels)*")</f>
        <v>0</v>
      </c>
      <c r="D200">
        <f>COUNTIF('Metrics - Articles'!F199,"*Office of the CEO*")</f>
        <v>0</v>
      </c>
      <c r="E200">
        <f>COUNTIF('Metrics - Articles'!F199,"*Services Delivery &amp; Support (go-lives and deployments) *")</f>
        <v>0</v>
      </c>
      <c r="F200">
        <f>COUNTIF('Metrics - Articles'!F199,"*Human Resources (SAP HR and employee stories)*")</f>
        <v>0</v>
      </c>
      <c r="G200">
        <f>COUNTIF('Metrics - Articles'!F199,"*P&amp;I (Research &amp; Development)*")</f>
        <v>0</v>
      </c>
      <c r="H200">
        <f>COUNTIF('Metrics - Articles'!F199,"*Business Network (Concur, Ariba, Fieldglass)*")</f>
        <v>0</v>
      </c>
      <c r="I200">
        <f>COUNTIF('Metrics - Articles'!F199,"*GCO – Regions*")</f>
        <v>0</v>
      </c>
      <c r="J200">
        <f>COUNTIF('Metrics - Articles'!F199,"*GCO – Platform Solutions*")</f>
        <v>0</v>
      </c>
      <c r="K200">
        <f>COUNTIF('Metrics - Articles'!F199,"*GCO – Industry Cloud *")</f>
        <v>0</v>
      </c>
      <c r="L200">
        <f>COUNTIF('Metrics - Articles'!F199,"*GCO – Customer Engagement &amp; Commerce (CRM &amp; hybris) *")</f>
        <v>0</v>
      </c>
      <c r="M200">
        <f>COUNTIF('Metrics - Articles'!F199,"*GCO – HR (SuccessFactors)*")</f>
        <v>0</v>
      </c>
      <c r="N200">
        <f>COUNTIF('Metrics - Articles'!F199,"*GCO – Services Sales*")</f>
        <v>0</v>
      </c>
      <c r="O200">
        <f>COUNTIF('Metrics - Articles'!F199,"*GCO – Other*")</f>
        <v>0</v>
      </c>
      <c r="P200">
        <f>COUNTIF('Metrics - Articles'!F199,"*Corporate*")</f>
        <v>1</v>
      </c>
      <c r="R200" s="53">
        <f t="shared" si="4"/>
        <v>1</v>
      </c>
    </row>
    <row r="201" spans="2:18" hidden="1" x14ac:dyDescent="0.25">
      <c r="B201" s="48">
        <f>+'Metrics - Articles'!C200</f>
        <v>42172</v>
      </c>
      <c r="C201">
        <f>COUNTIF('Metrics - Articles'!F200,"*GPO (Partner, Ecosystem, Channels)*")</f>
        <v>0</v>
      </c>
      <c r="D201">
        <f>COUNTIF('Metrics - Articles'!F200,"*Office of the CEO*")</f>
        <v>0</v>
      </c>
      <c r="E201">
        <f>COUNTIF('Metrics - Articles'!F200,"*Services Delivery &amp; Support (go-lives and deployments) *")</f>
        <v>0</v>
      </c>
      <c r="F201">
        <f>COUNTIF('Metrics - Articles'!F200,"*Human Resources (SAP HR and employee stories)*")</f>
        <v>0</v>
      </c>
      <c r="G201">
        <f>COUNTIF('Metrics - Articles'!F200,"*P&amp;I (Research &amp; Development)*")</f>
        <v>0</v>
      </c>
      <c r="H201">
        <f>COUNTIF('Metrics - Articles'!F200,"*Business Network (Concur, Ariba, Fieldglass)*")</f>
        <v>0</v>
      </c>
      <c r="I201">
        <f>COUNTIF('Metrics - Articles'!F200,"*GCO – Regions*")</f>
        <v>0</v>
      </c>
      <c r="J201">
        <f>COUNTIF('Metrics - Articles'!F200,"*GCO – Platform Solutions*")</f>
        <v>1</v>
      </c>
      <c r="K201">
        <f>COUNTIF('Metrics - Articles'!F200,"*GCO – Industry Cloud *")</f>
        <v>0</v>
      </c>
      <c r="L201">
        <f>COUNTIF('Metrics - Articles'!F200,"*GCO – Customer Engagement &amp; Commerce (CRM &amp; hybris) *")</f>
        <v>0</v>
      </c>
      <c r="M201">
        <f>COUNTIF('Metrics - Articles'!F200,"*GCO – HR (SuccessFactors)*")</f>
        <v>0</v>
      </c>
      <c r="N201">
        <f>COUNTIF('Metrics - Articles'!F200,"*GCO – Services Sales*")</f>
        <v>0</v>
      </c>
      <c r="O201">
        <f>COUNTIF('Metrics - Articles'!F200,"*GCO – Other*")</f>
        <v>0</v>
      </c>
      <c r="P201">
        <f>COUNTIF('Metrics - Articles'!F200,"*Corporate*")</f>
        <v>0</v>
      </c>
      <c r="R201" s="53">
        <f t="shared" si="4"/>
        <v>1</v>
      </c>
    </row>
    <row r="202" spans="2:18" hidden="1" x14ac:dyDescent="0.25">
      <c r="B202" s="48">
        <f>+'Metrics - Articles'!C201</f>
        <v>42172</v>
      </c>
      <c r="C202">
        <f>COUNTIF('Metrics - Articles'!F201,"*GPO (Partner, Ecosystem, Channels)*")</f>
        <v>0</v>
      </c>
      <c r="D202">
        <f>COUNTIF('Metrics - Articles'!F201,"*Office of the CEO*")</f>
        <v>1</v>
      </c>
      <c r="E202">
        <f>COUNTIF('Metrics - Articles'!F201,"*Services Delivery &amp; Support (go-lives and deployments) *")</f>
        <v>0</v>
      </c>
      <c r="F202">
        <f>COUNTIF('Metrics - Articles'!F201,"*Human Resources (SAP HR and employee stories)*")</f>
        <v>0</v>
      </c>
      <c r="G202">
        <f>COUNTIF('Metrics - Articles'!F201,"*P&amp;I (Research &amp; Development)*")</f>
        <v>0</v>
      </c>
      <c r="H202">
        <f>COUNTIF('Metrics - Articles'!F201,"*Business Network (Concur, Ariba, Fieldglass)*")</f>
        <v>0</v>
      </c>
      <c r="I202">
        <f>COUNTIF('Metrics - Articles'!F201,"*GCO – Regions*")</f>
        <v>0</v>
      </c>
      <c r="J202">
        <f>COUNTIF('Metrics - Articles'!F201,"*GCO – Platform Solutions*")</f>
        <v>0</v>
      </c>
      <c r="K202">
        <f>COUNTIF('Metrics - Articles'!F201,"*GCO – Industry Cloud *")</f>
        <v>0</v>
      </c>
      <c r="L202">
        <f>COUNTIF('Metrics - Articles'!F201,"*GCO – Customer Engagement &amp; Commerce (CRM &amp; hybris) *")</f>
        <v>0</v>
      </c>
      <c r="M202">
        <f>COUNTIF('Metrics - Articles'!F201,"*GCO – HR (SuccessFactors)*")</f>
        <v>0</v>
      </c>
      <c r="N202">
        <f>COUNTIF('Metrics - Articles'!F201,"*GCO – Services Sales*")</f>
        <v>0</v>
      </c>
      <c r="O202">
        <f>COUNTIF('Metrics - Articles'!F201,"*GCO – Other*")</f>
        <v>0</v>
      </c>
      <c r="P202">
        <f>COUNTIF('Metrics - Articles'!F201,"*Corporate*")</f>
        <v>0</v>
      </c>
      <c r="R202" s="53">
        <f t="shared" ref="R202:R265" si="5">SUM(C202:Q202)</f>
        <v>1</v>
      </c>
    </row>
    <row r="203" spans="2:18" hidden="1" x14ac:dyDescent="0.25">
      <c r="B203" s="48">
        <f>+'Metrics - Articles'!C202</f>
        <v>42173</v>
      </c>
      <c r="C203">
        <f>COUNTIF('Metrics - Articles'!F202,"*GPO (Partner, Ecosystem, Channels)*")</f>
        <v>0</v>
      </c>
      <c r="D203">
        <f>COUNTIF('Metrics - Articles'!F202,"*Office of the CEO*")</f>
        <v>0</v>
      </c>
      <c r="E203">
        <f>COUNTIF('Metrics - Articles'!F202,"*Services Delivery &amp; Support (go-lives and deployments) *")</f>
        <v>0</v>
      </c>
      <c r="F203">
        <f>COUNTIF('Metrics - Articles'!F202,"*Human Resources (SAP HR and employee stories)*")</f>
        <v>0</v>
      </c>
      <c r="G203">
        <f>COUNTIF('Metrics - Articles'!F202,"*P&amp;I (Research &amp; Development)*")</f>
        <v>0</v>
      </c>
      <c r="H203">
        <f>COUNTIF('Metrics - Articles'!F202,"*Business Network (Concur, Ariba, Fieldglass)*")</f>
        <v>0</v>
      </c>
      <c r="I203">
        <f>COUNTIF('Metrics - Articles'!F202,"*GCO – Regions*")</f>
        <v>0</v>
      </c>
      <c r="J203">
        <f>COUNTIF('Metrics - Articles'!F202,"*GCO – Platform Solutions*")</f>
        <v>1</v>
      </c>
      <c r="K203">
        <f>COUNTIF('Metrics - Articles'!F202,"*GCO – Industry Cloud *")</f>
        <v>0</v>
      </c>
      <c r="L203">
        <f>COUNTIF('Metrics - Articles'!F202,"*GCO – Customer Engagement &amp; Commerce (CRM &amp; hybris) *")</f>
        <v>0</v>
      </c>
      <c r="M203">
        <f>COUNTIF('Metrics - Articles'!F202,"*GCO – HR (SuccessFactors)*")</f>
        <v>0</v>
      </c>
      <c r="N203">
        <f>COUNTIF('Metrics - Articles'!F202,"*GCO – Services Sales*")</f>
        <v>0</v>
      </c>
      <c r="O203">
        <f>COUNTIF('Metrics - Articles'!F202,"*GCO – Other*")</f>
        <v>0</v>
      </c>
      <c r="P203">
        <f>COUNTIF('Metrics - Articles'!F202,"*Corporate*")</f>
        <v>0</v>
      </c>
      <c r="R203" s="53">
        <f t="shared" si="5"/>
        <v>1</v>
      </c>
    </row>
    <row r="204" spans="2:18" hidden="1" x14ac:dyDescent="0.25">
      <c r="B204" s="48">
        <f>+'Metrics - Articles'!C203</f>
        <v>42177</v>
      </c>
      <c r="C204">
        <f>COUNTIF('Metrics - Articles'!F203,"*GPO (Partner, Ecosystem, Channels)*")</f>
        <v>0</v>
      </c>
      <c r="D204">
        <f>COUNTIF('Metrics - Articles'!F203,"*Office of the CEO*")</f>
        <v>0</v>
      </c>
      <c r="E204">
        <f>COUNTIF('Metrics - Articles'!F203,"*Services Delivery &amp; Support (go-lives and deployments) *")</f>
        <v>0</v>
      </c>
      <c r="F204">
        <f>COUNTIF('Metrics - Articles'!F203,"*Human Resources (SAP HR and employee stories)*")</f>
        <v>0</v>
      </c>
      <c r="G204">
        <f>COUNTIF('Metrics - Articles'!F203,"*P&amp;I (Research &amp; Development)*")</f>
        <v>0</v>
      </c>
      <c r="H204">
        <f>COUNTIF('Metrics - Articles'!F203,"*Business Network (Concur, Ariba, Fieldglass)*")</f>
        <v>0</v>
      </c>
      <c r="I204">
        <f>COUNTIF('Metrics - Articles'!F203,"*GCO – Regions*")</f>
        <v>0</v>
      </c>
      <c r="J204">
        <f>COUNTIF('Metrics - Articles'!F203,"*GCO – Platform Solutions*")</f>
        <v>0</v>
      </c>
      <c r="K204">
        <f>COUNTIF('Metrics - Articles'!F203,"*GCO – Industry Cloud *")</f>
        <v>0</v>
      </c>
      <c r="L204">
        <f>COUNTIF('Metrics - Articles'!F203,"*GCO – Customer Engagement &amp; Commerce (CRM &amp; hybris) *")</f>
        <v>0</v>
      </c>
      <c r="M204">
        <f>COUNTIF('Metrics - Articles'!F203,"*GCO – HR (SuccessFactors)*")</f>
        <v>0</v>
      </c>
      <c r="N204">
        <f>COUNTIF('Metrics - Articles'!F203,"*GCO – Services Sales*")</f>
        <v>0</v>
      </c>
      <c r="O204">
        <f>COUNTIF('Metrics - Articles'!F203,"*GCO – Other*")</f>
        <v>0</v>
      </c>
      <c r="P204">
        <f>COUNTIF('Metrics - Articles'!F203,"*Corporate*")</f>
        <v>1</v>
      </c>
      <c r="R204" s="53">
        <f t="shared" si="5"/>
        <v>1</v>
      </c>
    </row>
    <row r="205" spans="2:18" hidden="1" x14ac:dyDescent="0.25">
      <c r="B205" s="48">
        <f>+'Metrics - Articles'!C204</f>
        <v>42178</v>
      </c>
      <c r="C205">
        <f>COUNTIF('Metrics - Articles'!F204,"*GPO (Partner, Ecosystem, Channels)*")</f>
        <v>0</v>
      </c>
      <c r="D205">
        <f>COUNTIF('Metrics - Articles'!F204,"*Office of the CEO*")</f>
        <v>0</v>
      </c>
      <c r="E205">
        <f>COUNTIF('Metrics - Articles'!F204,"*Services Delivery &amp; Support (go-lives and deployments) *")</f>
        <v>0</v>
      </c>
      <c r="F205">
        <f>COUNTIF('Metrics - Articles'!F204,"*Human Resources (SAP HR and employee stories)*")</f>
        <v>0</v>
      </c>
      <c r="G205">
        <f>COUNTIF('Metrics - Articles'!F204,"*P&amp;I (Research &amp; Development)*")</f>
        <v>0</v>
      </c>
      <c r="H205">
        <f>COUNTIF('Metrics - Articles'!F204,"*Business Network (Concur, Ariba, Fieldglass)*")</f>
        <v>0</v>
      </c>
      <c r="I205">
        <f>COUNTIF('Metrics - Articles'!F204,"*GCO – Regions*")</f>
        <v>0</v>
      </c>
      <c r="J205">
        <f>COUNTIF('Metrics - Articles'!F204,"*GCO – Platform Solutions*")</f>
        <v>0</v>
      </c>
      <c r="K205">
        <f>COUNTIF('Metrics - Articles'!F204,"*GCO – Industry Cloud *")</f>
        <v>1</v>
      </c>
      <c r="L205">
        <f>COUNTIF('Metrics - Articles'!F204,"*GCO – Customer Engagement &amp; Commerce (CRM &amp; hybris) *")</f>
        <v>0</v>
      </c>
      <c r="M205">
        <f>COUNTIF('Metrics - Articles'!F204,"*GCO – HR (SuccessFactors)*")</f>
        <v>0</v>
      </c>
      <c r="N205">
        <f>COUNTIF('Metrics - Articles'!F204,"*GCO – Services Sales*")</f>
        <v>0</v>
      </c>
      <c r="O205">
        <f>COUNTIF('Metrics - Articles'!F204,"*GCO – Other*")</f>
        <v>0</v>
      </c>
      <c r="P205">
        <f>COUNTIF('Metrics - Articles'!F204,"*Corporate*")</f>
        <v>0</v>
      </c>
      <c r="R205" s="53">
        <f t="shared" si="5"/>
        <v>1</v>
      </c>
    </row>
    <row r="206" spans="2:18" hidden="1" x14ac:dyDescent="0.25">
      <c r="B206" s="48">
        <f>+'Metrics - Articles'!C205</f>
        <v>42179</v>
      </c>
      <c r="C206">
        <f>COUNTIF('Metrics - Articles'!F205,"*GPO (Partner, Ecosystem, Channels)*")</f>
        <v>0</v>
      </c>
      <c r="D206">
        <f>COUNTIF('Metrics - Articles'!F205,"*Office of the CEO*")</f>
        <v>0</v>
      </c>
      <c r="E206">
        <f>COUNTIF('Metrics - Articles'!F205,"*Services Delivery &amp; Support (go-lives and deployments) *")</f>
        <v>0</v>
      </c>
      <c r="F206">
        <f>COUNTIF('Metrics - Articles'!F205,"*Human Resources (SAP HR and employee stories)*")</f>
        <v>1</v>
      </c>
      <c r="G206">
        <f>COUNTIF('Metrics - Articles'!F205,"*P&amp;I (Research &amp; Development)*")</f>
        <v>0</v>
      </c>
      <c r="H206">
        <f>COUNTIF('Metrics - Articles'!F205,"*Business Network (Concur, Ariba, Fieldglass)*")</f>
        <v>0</v>
      </c>
      <c r="I206">
        <f>COUNTIF('Metrics - Articles'!F205,"*GCO – Regions*")</f>
        <v>0</v>
      </c>
      <c r="J206">
        <f>COUNTIF('Metrics - Articles'!F205,"*GCO – Platform Solutions*")</f>
        <v>0</v>
      </c>
      <c r="K206">
        <f>COUNTIF('Metrics - Articles'!F205,"*GCO – Industry Cloud *")</f>
        <v>0</v>
      </c>
      <c r="L206">
        <f>COUNTIF('Metrics - Articles'!F205,"*GCO – Customer Engagement &amp; Commerce (CRM &amp; hybris) *")</f>
        <v>0</v>
      </c>
      <c r="M206">
        <f>COUNTIF('Metrics - Articles'!F205,"*GCO – HR (SuccessFactors)*")</f>
        <v>0</v>
      </c>
      <c r="N206">
        <f>COUNTIF('Metrics - Articles'!F205,"*GCO – Services Sales*")</f>
        <v>0</v>
      </c>
      <c r="O206">
        <f>COUNTIF('Metrics - Articles'!F205,"*GCO – Other*")</f>
        <v>0</v>
      </c>
      <c r="P206">
        <f>COUNTIF('Metrics - Articles'!F205,"*Corporate*")</f>
        <v>0</v>
      </c>
      <c r="R206" s="53">
        <f t="shared" si="5"/>
        <v>1</v>
      </c>
    </row>
    <row r="207" spans="2:18" hidden="1" x14ac:dyDescent="0.25">
      <c r="B207" s="48">
        <f>+'Metrics - Articles'!C206</f>
        <v>42179</v>
      </c>
      <c r="C207">
        <f>COUNTIF('Metrics - Articles'!F206,"*GPO (Partner, Ecosystem, Channels)*")</f>
        <v>0</v>
      </c>
      <c r="D207">
        <f>COUNTIF('Metrics - Articles'!F206,"*Office of the CEO*")</f>
        <v>0</v>
      </c>
      <c r="E207">
        <f>COUNTIF('Metrics - Articles'!F206,"*Services Delivery &amp; Support (go-lives and deployments) *")</f>
        <v>0</v>
      </c>
      <c r="F207">
        <f>COUNTIF('Metrics - Articles'!F206,"*Human Resources (SAP HR and employee stories)*")</f>
        <v>1</v>
      </c>
      <c r="G207">
        <f>COUNTIF('Metrics - Articles'!F206,"*P&amp;I (Research &amp; Development)*")</f>
        <v>0</v>
      </c>
      <c r="H207">
        <f>COUNTIF('Metrics - Articles'!F206,"*Business Network (Concur, Ariba, Fieldglass)*")</f>
        <v>0</v>
      </c>
      <c r="I207">
        <f>COUNTIF('Metrics - Articles'!F206,"*GCO – Regions*")</f>
        <v>0</v>
      </c>
      <c r="J207">
        <f>COUNTIF('Metrics - Articles'!F206,"*GCO – Platform Solutions*")</f>
        <v>0</v>
      </c>
      <c r="K207">
        <f>COUNTIF('Metrics - Articles'!F206,"*GCO – Industry Cloud *")</f>
        <v>0</v>
      </c>
      <c r="L207">
        <f>COUNTIF('Metrics - Articles'!F206,"*GCO – Customer Engagement &amp; Commerce (CRM &amp; hybris) *")</f>
        <v>0</v>
      </c>
      <c r="M207">
        <f>COUNTIF('Metrics - Articles'!F206,"*GCO – HR (SuccessFactors)*")</f>
        <v>0</v>
      </c>
      <c r="N207">
        <f>COUNTIF('Metrics - Articles'!F206,"*GCO – Services Sales*")</f>
        <v>0</v>
      </c>
      <c r="O207">
        <f>COUNTIF('Metrics - Articles'!F206,"*GCO – Other*")</f>
        <v>0</v>
      </c>
      <c r="P207">
        <f>COUNTIF('Metrics - Articles'!F206,"*Corporate*")</f>
        <v>0</v>
      </c>
      <c r="R207" s="53">
        <f t="shared" si="5"/>
        <v>1</v>
      </c>
    </row>
    <row r="208" spans="2:18" hidden="1" x14ac:dyDescent="0.25">
      <c r="B208" s="48">
        <f>+'Metrics - Articles'!C207</f>
        <v>42179</v>
      </c>
      <c r="C208">
        <f>COUNTIF('Metrics - Articles'!F207,"*GPO (Partner, Ecosystem, Channels)*")</f>
        <v>0</v>
      </c>
      <c r="D208">
        <f>COUNTIF('Metrics - Articles'!F207,"*Office of the CEO*")</f>
        <v>0</v>
      </c>
      <c r="E208">
        <f>COUNTIF('Metrics - Articles'!F207,"*Services Delivery &amp; Support (go-lives and deployments) *")</f>
        <v>0</v>
      </c>
      <c r="F208">
        <f>COUNTIF('Metrics - Articles'!F207,"*Human Resources (SAP HR and employee stories)*")</f>
        <v>0</v>
      </c>
      <c r="G208">
        <f>COUNTIF('Metrics - Articles'!F207,"*P&amp;I (Research &amp; Development)*")</f>
        <v>0</v>
      </c>
      <c r="H208">
        <f>COUNTIF('Metrics - Articles'!F207,"*Business Network (Concur, Ariba, Fieldglass)*")</f>
        <v>0</v>
      </c>
      <c r="I208">
        <f>COUNTIF('Metrics - Articles'!F207,"*GCO – Regions*")</f>
        <v>0</v>
      </c>
      <c r="J208">
        <f>COUNTIF('Metrics - Articles'!F207,"*GCO – Platform Solutions*")</f>
        <v>1</v>
      </c>
      <c r="K208">
        <f>COUNTIF('Metrics - Articles'!F207,"*GCO – Industry Cloud *")</f>
        <v>1</v>
      </c>
      <c r="L208">
        <f>COUNTIF('Metrics - Articles'!F207,"*GCO – Customer Engagement &amp; Commerce (CRM &amp; hybris) *")</f>
        <v>0</v>
      </c>
      <c r="M208">
        <f>COUNTIF('Metrics - Articles'!F207,"*GCO – HR (SuccessFactors)*")</f>
        <v>0</v>
      </c>
      <c r="N208">
        <f>COUNTIF('Metrics - Articles'!F207,"*GCO – Services Sales*")</f>
        <v>0</v>
      </c>
      <c r="O208">
        <f>COUNTIF('Metrics - Articles'!F207,"*GCO – Other*")</f>
        <v>0</v>
      </c>
      <c r="P208">
        <f>COUNTIF('Metrics - Articles'!F207,"*Corporate*")</f>
        <v>0</v>
      </c>
      <c r="R208" s="53">
        <f t="shared" si="5"/>
        <v>2</v>
      </c>
    </row>
    <row r="209" spans="2:18" hidden="1" x14ac:dyDescent="0.25">
      <c r="B209" s="48">
        <f>+'Metrics - Articles'!C208</f>
        <v>42180</v>
      </c>
      <c r="C209">
        <f>COUNTIF('Metrics - Articles'!F208,"*GPO (Partner, Ecosystem, Channels)*")</f>
        <v>0</v>
      </c>
      <c r="D209">
        <f>COUNTIF('Metrics - Articles'!F208,"*Office of the CEO*")</f>
        <v>0</v>
      </c>
      <c r="E209">
        <f>COUNTIF('Metrics - Articles'!F208,"*Services Delivery &amp; Support (go-lives and deployments) *")</f>
        <v>0</v>
      </c>
      <c r="F209">
        <f>COUNTIF('Metrics - Articles'!F208,"*Human Resources (SAP HR and employee stories)*")</f>
        <v>0</v>
      </c>
      <c r="G209">
        <f>COUNTIF('Metrics - Articles'!F208,"*P&amp;I (Research &amp; Development)*")</f>
        <v>0</v>
      </c>
      <c r="H209">
        <f>COUNTIF('Metrics - Articles'!F208,"*Business Network (Concur, Ariba, Fieldglass)*")</f>
        <v>0</v>
      </c>
      <c r="I209">
        <f>COUNTIF('Metrics - Articles'!F208,"*GCO – Regions*")</f>
        <v>0</v>
      </c>
      <c r="J209">
        <f>COUNTIF('Metrics - Articles'!F208,"*GCO – Platform Solutions*")</f>
        <v>1</v>
      </c>
      <c r="K209">
        <f>COUNTIF('Metrics - Articles'!F208,"*GCO – Industry Cloud *")</f>
        <v>0</v>
      </c>
      <c r="L209">
        <f>COUNTIF('Metrics - Articles'!F208,"*GCO – Customer Engagement &amp; Commerce (CRM &amp; hybris) *")</f>
        <v>0</v>
      </c>
      <c r="M209">
        <f>COUNTIF('Metrics - Articles'!F208,"*GCO – HR (SuccessFactors)*")</f>
        <v>0</v>
      </c>
      <c r="N209">
        <f>COUNTIF('Metrics - Articles'!F208,"*GCO – Services Sales*")</f>
        <v>0</v>
      </c>
      <c r="O209">
        <f>COUNTIF('Metrics - Articles'!F208,"*GCO – Other*")</f>
        <v>0</v>
      </c>
      <c r="P209">
        <f>COUNTIF('Metrics - Articles'!F208,"*Corporate*")</f>
        <v>0</v>
      </c>
      <c r="R209" s="53">
        <f t="shared" si="5"/>
        <v>1</v>
      </c>
    </row>
    <row r="210" spans="2:18" hidden="1" x14ac:dyDescent="0.25">
      <c r="B210" s="48">
        <f>+'Metrics - Articles'!C209</f>
        <v>42180</v>
      </c>
      <c r="C210">
        <f>COUNTIF('Metrics - Articles'!F209,"*GPO (Partner, Ecosystem, Channels)*")</f>
        <v>0</v>
      </c>
      <c r="D210">
        <f>COUNTIF('Metrics - Articles'!F209,"*Office of the CEO*")</f>
        <v>0</v>
      </c>
      <c r="E210">
        <f>COUNTIF('Metrics - Articles'!F209,"*Services Delivery &amp; Support (go-lives and deployments) *")</f>
        <v>0</v>
      </c>
      <c r="F210">
        <f>COUNTIF('Metrics - Articles'!F209,"*Human Resources (SAP HR and employee stories)*")</f>
        <v>0</v>
      </c>
      <c r="G210">
        <f>COUNTIF('Metrics - Articles'!F209,"*P&amp;I (Research &amp; Development)*")</f>
        <v>0</v>
      </c>
      <c r="H210">
        <f>COUNTIF('Metrics - Articles'!F209,"*Business Network (Concur, Ariba, Fieldglass)*")</f>
        <v>0</v>
      </c>
      <c r="I210">
        <f>COUNTIF('Metrics - Articles'!F209,"*GCO – Regions*")</f>
        <v>0</v>
      </c>
      <c r="J210">
        <f>COUNTIF('Metrics - Articles'!F209,"*GCO – Platform Solutions*")</f>
        <v>1</v>
      </c>
      <c r="K210">
        <f>COUNTIF('Metrics - Articles'!F209,"*GCO – Industry Cloud *")</f>
        <v>0</v>
      </c>
      <c r="L210">
        <f>COUNTIF('Metrics - Articles'!F209,"*GCO – Customer Engagement &amp; Commerce (CRM &amp; hybris) *")</f>
        <v>0</v>
      </c>
      <c r="M210">
        <f>COUNTIF('Metrics - Articles'!F209,"*GCO – HR (SuccessFactors)*")</f>
        <v>0</v>
      </c>
      <c r="N210">
        <f>COUNTIF('Metrics - Articles'!F209,"*GCO – Services Sales*")</f>
        <v>0</v>
      </c>
      <c r="O210">
        <f>COUNTIF('Metrics - Articles'!F209,"*GCO – Other*")</f>
        <v>0</v>
      </c>
      <c r="P210">
        <f>COUNTIF('Metrics - Articles'!F209,"*Corporate*")</f>
        <v>0</v>
      </c>
      <c r="R210" s="53">
        <f t="shared" si="5"/>
        <v>1</v>
      </c>
    </row>
    <row r="211" spans="2:18" hidden="1" x14ac:dyDescent="0.25">
      <c r="B211" s="48">
        <f>+'Metrics - Articles'!C210</f>
        <v>42181</v>
      </c>
      <c r="C211">
        <f>COUNTIF('Metrics - Articles'!F210,"*GPO (Partner, Ecosystem, Channels)*")</f>
        <v>0</v>
      </c>
      <c r="D211">
        <f>COUNTIF('Metrics - Articles'!F210,"*Office of the CEO*")</f>
        <v>0</v>
      </c>
      <c r="E211">
        <f>COUNTIF('Metrics - Articles'!F210,"*Services Delivery &amp; Support (go-lives and deployments) *")</f>
        <v>0</v>
      </c>
      <c r="F211">
        <f>COUNTIF('Metrics - Articles'!F210,"*Human Resources (SAP HR and employee stories)*")</f>
        <v>1</v>
      </c>
      <c r="G211">
        <f>COUNTIF('Metrics - Articles'!F210,"*P&amp;I (Research &amp; Development)*")</f>
        <v>0</v>
      </c>
      <c r="H211">
        <f>COUNTIF('Metrics - Articles'!F210,"*Business Network (Concur, Ariba, Fieldglass)*")</f>
        <v>0</v>
      </c>
      <c r="I211">
        <f>COUNTIF('Metrics - Articles'!F210,"*GCO – Regions*")</f>
        <v>0</v>
      </c>
      <c r="J211">
        <f>COUNTIF('Metrics - Articles'!F210,"*GCO – Platform Solutions*")</f>
        <v>0</v>
      </c>
      <c r="K211">
        <f>COUNTIF('Metrics - Articles'!F210,"*GCO – Industry Cloud *")</f>
        <v>0</v>
      </c>
      <c r="L211">
        <f>COUNTIF('Metrics - Articles'!F210,"*GCO – Customer Engagement &amp; Commerce (CRM &amp; hybris) *")</f>
        <v>0</v>
      </c>
      <c r="M211">
        <f>COUNTIF('Metrics - Articles'!F210,"*GCO – HR (SuccessFactors)*")</f>
        <v>0</v>
      </c>
      <c r="N211">
        <f>COUNTIF('Metrics - Articles'!F210,"*GCO – Services Sales*")</f>
        <v>0</v>
      </c>
      <c r="O211">
        <f>COUNTIF('Metrics - Articles'!F210,"*GCO – Other*")</f>
        <v>0</v>
      </c>
      <c r="P211">
        <f>COUNTIF('Metrics - Articles'!F210,"*Corporate*")</f>
        <v>0</v>
      </c>
      <c r="R211" s="53">
        <f t="shared" si="5"/>
        <v>1</v>
      </c>
    </row>
    <row r="212" spans="2:18" hidden="1" x14ac:dyDescent="0.25">
      <c r="B212" s="48">
        <f>+'Metrics - Articles'!C211</f>
        <v>42181</v>
      </c>
      <c r="C212">
        <f>COUNTIF('Metrics - Articles'!F211,"*GPO (Partner, Ecosystem, Channels)*")</f>
        <v>0</v>
      </c>
      <c r="D212">
        <f>COUNTIF('Metrics - Articles'!F211,"*Office of the CEO*")</f>
        <v>0</v>
      </c>
      <c r="E212">
        <f>COUNTIF('Metrics - Articles'!F211,"*Services Delivery &amp; Support (go-lives and deployments) *")</f>
        <v>0</v>
      </c>
      <c r="F212">
        <f>COUNTIF('Metrics - Articles'!F211,"*Human Resources (SAP HR and employee stories)*")</f>
        <v>0</v>
      </c>
      <c r="G212">
        <f>COUNTIF('Metrics - Articles'!F211,"*P&amp;I (Research &amp; Development)*")</f>
        <v>0</v>
      </c>
      <c r="H212">
        <f>COUNTIF('Metrics - Articles'!F211,"*Business Network (Concur, Ariba, Fieldglass)*")</f>
        <v>0</v>
      </c>
      <c r="I212">
        <f>COUNTIF('Metrics - Articles'!F211,"*GCO – Regions*")</f>
        <v>1</v>
      </c>
      <c r="J212">
        <f>COUNTIF('Metrics - Articles'!F211,"*GCO – Platform Solutions*")</f>
        <v>0</v>
      </c>
      <c r="K212">
        <f>COUNTIF('Metrics - Articles'!F211,"*GCO – Industry Cloud *")</f>
        <v>0</v>
      </c>
      <c r="L212">
        <f>COUNTIF('Metrics - Articles'!F211,"*GCO – Customer Engagement &amp; Commerce (CRM &amp; hybris) *")</f>
        <v>0</v>
      </c>
      <c r="M212">
        <f>COUNTIF('Metrics - Articles'!F211,"*GCO – HR (SuccessFactors)*")</f>
        <v>0</v>
      </c>
      <c r="N212">
        <f>COUNTIF('Metrics - Articles'!F211,"*GCO – Services Sales*")</f>
        <v>0</v>
      </c>
      <c r="O212">
        <f>COUNTIF('Metrics - Articles'!F211,"*GCO – Other*")</f>
        <v>0</v>
      </c>
      <c r="P212">
        <f>COUNTIF('Metrics - Articles'!F211,"*Corporate*")</f>
        <v>0</v>
      </c>
      <c r="R212" s="53">
        <f t="shared" si="5"/>
        <v>1</v>
      </c>
    </row>
    <row r="213" spans="2:18" hidden="1" x14ac:dyDescent="0.25">
      <c r="B213" s="48">
        <f>+'Metrics - Articles'!C212</f>
        <v>42181</v>
      </c>
      <c r="C213">
        <f>COUNTIF('Metrics - Articles'!F212,"*GPO (Partner, Ecosystem, Channels)*")</f>
        <v>0</v>
      </c>
      <c r="D213">
        <f>COUNTIF('Metrics - Articles'!F212,"*Office of the CEO*")</f>
        <v>0</v>
      </c>
      <c r="E213">
        <f>COUNTIF('Metrics - Articles'!F212,"*Services Delivery &amp; Support (go-lives and deployments) *")</f>
        <v>0</v>
      </c>
      <c r="F213">
        <f>COUNTIF('Metrics - Articles'!F212,"*Human Resources (SAP HR and employee stories)*")</f>
        <v>0</v>
      </c>
      <c r="G213">
        <f>COUNTIF('Metrics - Articles'!F212,"*P&amp;I (Research &amp; Development)*")</f>
        <v>1</v>
      </c>
      <c r="H213">
        <f>COUNTIF('Metrics - Articles'!F212,"*Business Network (Concur, Ariba, Fieldglass)*")</f>
        <v>0</v>
      </c>
      <c r="I213">
        <f>COUNTIF('Metrics - Articles'!F212,"*GCO – Regions*")</f>
        <v>0</v>
      </c>
      <c r="J213">
        <f>COUNTIF('Metrics - Articles'!F212,"*GCO – Platform Solutions*")</f>
        <v>0</v>
      </c>
      <c r="K213">
        <f>COUNTIF('Metrics - Articles'!F212,"*GCO – Industry Cloud *")</f>
        <v>0</v>
      </c>
      <c r="L213">
        <f>COUNTIF('Metrics - Articles'!F212,"*GCO – Customer Engagement &amp; Commerce (CRM &amp; hybris) *")</f>
        <v>0</v>
      </c>
      <c r="M213">
        <f>COUNTIF('Metrics - Articles'!F212,"*GCO – HR (SuccessFactors)*")</f>
        <v>0</v>
      </c>
      <c r="N213">
        <f>COUNTIF('Metrics - Articles'!F212,"*GCO – Services Sales*")</f>
        <v>0</v>
      </c>
      <c r="O213">
        <f>COUNTIF('Metrics - Articles'!F212,"*GCO – Other*")</f>
        <v>0</v>
      </c>
      <c r="P213">
        <f>COUNTIF('Metrics - Articles'!F212,"*Corporate*")</f>
        <v>0</v>
      </c>
      <c r="R213" s="53">
        <f t="shared" si="5"/>
        <v>1</v>
      </c>
    </row>
    <row r="214" spans="2:18" hidden="1" x14ac:dyDescent="0.25">
      <c r="B214" s="48">
        <f>+'Metrics - Articles'!C213</f>
        <v>42184</v>
      </c>
      <c r="C214">
        <f>COUNTIF('Metrics - Articles'!F213,"*GPO (Partner, Ecosystem, Channels)*")</f>
        <v>0</v>
      </c>
      <c r="D214">
        <f>COUNTIF('Metrics - Articles'!F213,"*Office of the CEO*")</f>
        <v>0</v>
      </c>
      <c r="E214">
        <f>COUNTIF('Metrics - Articles'!F213,"*Services Delivery &amp; Support (go-lives and deployments) *")</f>
        <v>0</v>
      </c>
      <c r="F214">
        <f>COUNTIF('Metrics - Articles'!F213,"*Human Resources (SAP HR and employee stories)*")</f>
        <v>0</v>
      </c>
      <c r="G214">
        <f>COUNTIF('Metrics - Articles'!F213,"*P&amp;I (Research &amp; Development)*")</f>
        <v>0</v>
      </c>
      <c r="H214">
        <f>COUNTIF('Metrics - Articles'!F213,"*Business Network (Concur, Ariba, Fieldglass)*")</f>
        <v>0</v>
      </c>
      <c r="I214">
        <f>COUNTIF('Metrics - Articles'!F213,"*GCO – Regions*")</f>
        <v>0</v>
      </c>
      <c r="J214">
        <f>COUNTIF('Metrics - Articles'!F213,"*GCO – Platform Solutions*")</f>
        <v>0</v>
      </c>
      <c r="K214">
        <f>COUNTIF('Metrics - Articles'!F213,"*GCO – Industry Cloud *")</f>
        <v>0</v>
      </c>
      <c r="L214">
        <f>COUNTIF('Metrics - Articles'!F213,"*GCO – Customer Engagement &amp; Commerce (CRM &amp; hybris) *")</f>
        <v>0</v>
      </c>
      <c r="M214">
        <f>COUNTIF('Metrics - Articles'!F213,"*GCO – HR (SuccessFactors)*")</f>
        <v>0</v>
      </c>
      <c r="N214">
        <f>COUNTIF('Metrics - Articles'!F213,"*GCO – Services Sales*")</f>
        <v>0</v>
      </c>
      <c r="O214">
        <f>COUNTIF('Metrics - Articles'!F213,"*GCO – Other*")</f>
        <v>0</v>
      </c>
      <c r="P214">
        <f>COUNTIF('Metrics - Articles'!F213,"*Corporate*")</f>
        <v>1</v>
      </c>
      <c r="R214" s="53">
        <f t="shared" si="5"/>
        <v>1</v>
      </c>
    </row>
    <row r="215" spans="2:18" hidden="1" x14ac:dyDescent="0.25">
      <c r="B215" s="48">
        <f>+'Metrics - Articles'!C214</f>
        <v>42186</v>
      </c>
      <c r="C215">
        <f>COUNTIF('Metrics - Articles'!F214,"*GPO (Partner, Ecosystem, Channels)*")</f>
        <v>0</v>
      </c>
      <c r="D215">
        <f>COUNTIF('Metrics - Articles'!F214,"*Office of the CEO*")</f>
        <v>0</v>
      </c>
      <c r="E215">
        <f>COUNTIF('Metrics - Articles'!F214,"*Services Delivery &amp; Support (go-lives and deployments) *")</f>
        <v>0</v>
      </c>
      <c r="F215">
        <f>COUNTIF('Metrics - Articles'!F214,"*Human Resources (SAP HR and employee stories)*")</f>
        <v>1</v>
      </c>
      <c r="G215">
        <f>COUNTIF('Metrics - Articles'!F214,"*P&amp;I (Research &amp; Development)*")</f>
        <v>0</v>
      </c>
      <c r="H215">
        <f>COUNTIF('Metrics - Articles'!F214,"*Business Network (Concur, Ariba, Fieldglass)*")</f>
        <v>0</v>
      </c>
      <c r="I215">
        <f>COUNTIF('Metrics - Articles'!F214,"*GCO – Regions*")</f>
        <v>0</v>
      </c>
      <c r="J215">
        <f>COUNTIF('Metrics - Articles'!F214,"*GCO – Platform Solutions*")</f>
        <v>0</v>
      </c>
      <c r="K215">
        <f>COUNTIF('Metrics - Articles'!F214,"*GCO – Industry Cloud *")</f>
        <v>0</v>
      </c>
      <c r="L215">
        <f>COUNTIF('Metrics - Articles'!F214,"*GCO – Customer Engagement &amp; Commerce (CRM &amp; hybris) *")</f>
        <v>0</v>
      </c>
      <c r="M215">
        <f>COUNTIF('Metrics - Articles'!F214,"*GCO – HR (SuccessFactors)*")</f>
        <v>0</v>
      </c>
      <c r="N215">
        <f>COUNTIF('Metrics - Articles'!F214,"*GCO – Services Sales*")</f>
        <v>0</v>
      </c>
      <c r="O215">
        <f>COUNTIF('Metrics - Articles'!F214,"*GCO – Other*")</f>
        <v>0</v>
      </c>
      <c r="P215">
        <f>COUNTIF('Metrics - Articles'!F214,"*Corporate*")</f>
        <v>0</v>
      </c>
      <c r="R215" s="53">
        <f t="shared" si="5"/>
        <v>1</v>
      </c>
    </row>
    <row r="216" spans="2:18" hidden="1" x14ac:dyDescent="0.25">
      <c r="B216" s="48">
        <f>+'Metrics - Articles'!C215</f>
        <v>42187</v>
      </c>
      <c r="C216">
        <f>COUNTIF('Metrics - Articles'!F215,"*GPO (Partner, Ecosystem, Channels)*")</f>
        <v>0</v>
      </c>
      <c r="D216">
        <f>COUNTIF('Metrics - Articles'!F215,"*Office of the CEO*")</f>
        <v>0</v>
      </c>
      <c r="E216">
        <f>COUNTIF('Metrics - Articles'!F215,"*Services Delivery &amp; Support (go-lives and deployments) *")</f>
        <v>0</v>
      </c>
      <c r="F216">
        <f>COUNTIF('Metrics - Articles'!F215,"*Human Resources (SAP HR and employee stories)*")</f>
        <v>1</v>
      </c>
      <c r="G216">
        <f>COUNTIF('Metrics - Articles'!F215,"*P&amp;I (Research &amp; Development)*")</f>
        <v>0</v>
      </c>
      <c r="H216">
        <f>COUNTIF('Metrics - Articles'!F215,"*Business Network (Concur, Ariba, Fieldglass)*")</f>
        <v>0</v>
      </c>
      <c r="I216">
        <f>COUNTIF('Metrics - Articles'!F215,"*GCO – Regions*")</f>
        <v>0</v>
      </c>
      <c r="J216">
        <f>COUNTIF('Metrics - Articles'!F215,"*GCO – Platform Solutions*")</f>
        <v>0</v>
      </c>
      <c r="K216">
        <f>COUNTIF('Metrics - Articles'!F215,"*GCO – Industry Cloud *")</f>
        <v>0</v>
      </c>
      <c r="L216">
        <f>COUNTIF('Metrics - Articles'!F215,"*GCO – Customer Engagement &amp; Commerce (CRM &amp; hybris) *")</f>
        <v>0</v>
      </c>
      <c r="M216">
        <f>COUNTIF('Metrics - Articles'!F215,"*GCO – HR (SuccessFactors)*")</f>
        <v>0</v>
      </c>
      <c r="N216">
        <f>COUNTIF('Metrics - Articles'!F215,"*GCO – Services Sales*")</f>
        <v>0</v>
      </c>
      <c r="O216">
        <f>COUNTIF('Metrics - Articles'!F215,"*GCO – Other*")</f>
        <v>0</v>
      </c>
      <c r="P216">
        <f>COUNTIF('Metrics - Articles'!F215,"*Corporate*")</f>
        <v>0</v>
      </c>
      <c r="R216" s="53">
        <f t="shared" si="5"/>
        <v>1</v>
      </c>
    </row>
    <row r="217" spans="2:18" hidden="1" x14ac:dyDescent="0.25">
      <c r="B217" s="48">
        <f>+'Metrics - Articles'!C216</f>
        <v>42187</v>
      </c>
      <c r="C217">
        <f>COUNTIF('Metrics - Articles'!F216,"*GPO (Partner, Ecosystem, Channels)*")</f>
        <v>0</v>
      </c>
      <c r="D217">
        <f>COUNTIF('Metrics - Articles'!F216,"*Office of the CEO*")</f>
        <v>0</v>
      </c>
      <c r="E217">
        <f>COUNTIF('Metrics - Articles'!F216,"*Services Delivery &amp; Support (go-lives and deployments) *")</f>
        <v>0</v>
      </c>
      <c r="F217">
        <f>COUNTIF('Metrics - Articles'!F216,"*Human Resources (SAP HR and employee stories)*")</f>
        <v>0</v>
      </c>
      <c r="G217">
        <f>COUNTIF('Metrics - Articles'!F216,"*P&amp;I (Research &amp; Development)*")</f>
        <v>1</v>
      </c>
      <c r="H217">
        <f>COUNTIF('Metrics - Articles'!F216,"*Business Network (Concur, Ariba, Fieldglass)*")</f>
        <v>0</v>
      </c>
      <c r="I217">
        <f>COUNTIF('Metrics - Articles'!F216,"*GCO – Regions*")</f>
        <v>0</v>
      </c>
      <c r="J217">
        <f>COUNTIF('Metrics - Articles'!F216,"*GCO – Platform Solutions*")</f>
        <v>0</v>
      </c>
      <c r="K217">
        <f>COUNTIF('Metrics - Articles'!F216,"*GCO – Industry Cloud *")</f>
        <v>0</v>
      </c>
      <c r="L217">
        <f>COUNTIF('Metrics - Articles'!F216,"*GCO – Customer Engagement &amp; Commerce (CRM &amp; hybris) *")</f>
        <v>0</v>
      </c>
      <c r="M217">
        <f>COUNTIF('Metrics - Articles'!F216,"*GCO – HR (SuccessFactors)*")</f>
        <v>0</v>
      </c>
      <c r="N217">
        <f>COUNTIF('Metrics - Articles'!F216,"*GCO – Services Sales*")</f>
        <v>0</v>
      </c>
      <c r="O217">
        <f>COUNTIF('Metrics - Articles'!F216,"*GCO – Other*")</f>
        <v>0</v>
      </c>
      <c r="P217">
        <f>COUNTIF('Metrics - Articles'!F216,"*Corporate*")</f>
        <v>0</v>
      </c>
      <c r="R217" s="53">
        <f t="shared" si="5"/>
        <v>1</v>
      </c>
    </row>
    <row r="218" spans="2:18" hidden="1" x14ac:dyDescent="0.25">
      <c r="B218" s="48">
        <f>+'Metrics - Articles'!C217</f>
        <v>42188</v>
      </c>
      <c r="C218">
        <f>COUNTIF('Metrics - Articles'!F217,"*GPO (Partner, Ecosystem, Channels)*")</f>
        <v>0</v>
      </c>
      <c r="D218">
        <f>COUNTIF('Metrics - Articles'!F217,"*Office of the CEO*")</f>
        <v>1</v>
      </c>
      <c r="E218">
        <f>COUNTIF('Metrics - Articles'!F217,"*Services Delivery &amp; Support (go-lives and deployments) *")</f>
        <v>0</v>
      </c>
      <c r="F218">
        <f>COUNTIF('Metrics - Articles'!F217,"*Human Resources (SAP HR and employee stories)*")</f>
        <v>0</v>
      </c>
      <c r="G218">
        <f>COUNTIF('Metrics - Articles'!F217,"*P&amp;I (Research &amp; Development)*")</f>
        <v>0</v>
      </c>
      <c r="H218">
        <f>COUNTIF('Metrics - Articles'!F217,"*Business Network (Concur, Ariba, Fieldglass)*")</f>
        <v>0</v>
      </c>
      <c r="I218">
        <f>COUNTIF('Metrics - Articles'!F217,"*GCO – Regions*")</f>
        <v>0</v>
      </c>
      <c r="J218">
        <f>COUNTIF('Metrics - Articles'!F217,"*GCO – Platform Solutions*")</f>
        <v>0</v>
      </c>
      <c r="K218">
        <f>COUNTIF('Metrics - Articles'!F217,"*GCO – Industry Cloud *")</f>
        <v>0</v>
      </c>
      <c r="L218">
        <f>COUNTIF('Metrics - Articles'!F217,"*GCO – Customer Engagement &amp; Commerce (CRM &amp; hybris) *")</f>
        <v>0</v>
      </c>
      <c r="M218">
        <f>COUNTIF('Metrics - Articles'!F217,"*GCO – HR (SuccessFactors)*")</f>
        <v>0</v>
      </c>
      <c r="N218">
        <f>COUNTIF('Metrics - Articles'!F217,"*GCO – Services Sales*")</f>
        <v>0</v>
      </c>
      <c r="O218">
        <f>COUNTIF('Metrics - Articles'!F217,"*GCO – Other*")</f>
        <v>0</v>
      </c>
      <c r="P218">
        <f>COUNTIF('Metrics - Articles'!F217,"*Corporate*")</f>
        <v>0</v>
      </c>
      <c r="R218" s="53">
        <f t="shared" si="5"/>
        <v>1</v>
      </c>
    </row>
    <row r="219" spans="2:18" hidden="1" x14ac:dyDescent="0.25">
      <c r="B219" s="48">
        <f>+'Metrics - Articles'!C218</f>
        <v>42188</v>
      </c>
      <c r="C219">
        <f>COUNTIF('Metrics - Articles'!F218,"*GPO (Partner, Ecosystem, Channels)*")</f>
        <v>0</v>
      </c>
      <c r="D219">
        <f>COUNTIF('Metrics - Articles'!F218,"*Office of the CEO*")</f>
        <v>0</v>
      </c>
      <c r="E219">
        <f>COUNTIF('Metrics - Articles'!F218,"*Services Delivery &amp; Support (go-lives and deployments) *")</f>
        <v>0</v>
      </c>
      <c r="F219">
        <f>COUNTIF('Metrics - Articles'!F218,"*Human Resources (SAP HR and employee stories)*")</f>
        <v>0</v>
      </c>
      <c r="G219">
        <f>COUNTIF('Metrics - Articles'!F218,"*P&amp;I (Research &amp; Development)*")</f>
        <v>1</v>
      </c>
      <c r="H219">
        <f>COUNTIF('Metrics - Articles'!F218,"*Business Network (Concur, Ariba, Fieldglass)*")</f>
        <v>0</v>
      </c>
      <c r="I219">
        <f>COUNTIF('Metrics - Articles'!F218,"*GCO – Regions*")</f>
        <v>0</v>
      </c>
      <c r="J219">
        <f>COUNTIF('Metrics - Articles'!F218,"*GCO – Platform Solutions*")</f>
        <v>0</v>
      </c>
      <c r="K219">
        <f>COUNTIF('Metrics - Articles'!F218,"*GCO – Industry Cloud *")</f>
        <v>0</v>
      </c>
      <c r="L219">
        <f>COUNTIF('Metrics - Articles'!F218,"*GCO – Customer Engagement &amp; Commerce (CRM &amp; hybris) *")</f>
        <v>0</v>
      </c>
      <c r="M219">
        <f>COUNTIF('Metrics - Articles'!F218,"*GCO – HR (SuccessFactors)*")</f>
        <v>0</v>
      </c>
      <c r="N219">
        <f>COUNTIF('Metrics - Articles'!F218,"*GCO – Services Sales*")</f>
        <v>0</v>
      </c>
      <c r="O219">
        <f>COUNTIF('Metrics - Articles'!F218,"*GCO – Other*")</f>
        <v>0</v>
      </c>
      <c r="P219">
        <f>COUNTIF('Metrics - Articles'!F218,"*Corporate*")</f>
        <v>0</v>
      </c>
      <c r="R219" s="53">
        <f t="shared" si="5"/>
        <v>1</v>
      </c>
    </row>
    <row r="220" spans="2:18" hidden="1" x14ac:dyDescent="0.25">
      <c r="B220" s="48">
        <f>+'Metrics - Articles'!C219</f>
        <v>42188</v>
      </c>
      <c r="C220">
        <f>COUNTIF('Metrics - Articles'!F219,"*GPO (Partner, Ecosystem, Channels)*")</f>
        <v>0</v>
      </c>
      <c r="D220">
        <f>COUNTIF('Metrics - Articles'!F219,"*Office of the CEO*")</f>
        <v>0</v>
      </c>
      <c r="E220">
        <f>COUNTIF('Metrics - Articles'!F219,"*Services Delivery &amp; Support (go-lives and deployments) *")</f>
        <v>0</v>
      </c>
      <c r="F220">
        <f>COUNTIF('Metrics - Articles'!F219,"*Human Resources (SAP HR and employee stories)*")</f>
        <v>0</v>
      </c>
      <c r="G220">
        <f>COUNTIF('Metrics - Articles'!F219,"*P&amp;I (Research &amp; Development)*")</f>
        <v>1</v>
      </c>
      <c r="H220">
        <f>COUNTIF('Metrics - Articles'!F219,"*Business Network (Concur, Ariba, Fieldglass)*")</f>
        <v>0</v>
      </c>
      <c r="I220">
        <f>COUNTIF('Metrics - Articles'!F219,"*GCO – Regions*")</f>
        <v>0</v>
      </c>
      <c r="J220">
        <f>COUNTIF('Metrics - Articles'!F219,"*GCO – Platform Solutions*")</f>
        <v>0</v>
      </c>
      <c r="K220">
        <f>COUNTIF('Metrics - Articles'!F219,"*GCO – Industry Cloud *")</f>
        <v>0</v>
      </c>
      <c r="L220">
        <f>COUNTIF('Metrics - Articles'!F219,"*GCO – Customer Engagement &amp; Commerce (CRM &amp; hybris) *")</f>
        <v>0</v>
      </c>
      <c r="M220">
        <f>COUNTIF('Metrics - Articles'!F219,"*GCO – HR (SuccessFactors)*")</f>
        <v>0</v>
      </c>
      <c r="N220">
        <f>COUNTIF('Metrics - Articles'!F219,"*GCO – Services Sales*")</f>
        <v>0</v>
      </c>
      <c r="O220">
        <f>COUNTIF('Metrics - Articles'!F219,"*GCO – Other*")</f>
        <v>0</v>
      </c>
      <c r="P220">
        <f>COUNTIF('Metrics - Articles'!F219,"*Corporate*")</f>
        <v>0</v>
      </c>
      <c r="R220" s="53">
        <f t="shared" si="5"/>
        <v>1</v>
      </c>
    </row>
    <row r="221" spans="2:18" hidden="1" x14ac:dyDescent="0.25">
      <c r="B221" s="48">
        <f>+'Metrics - Articles'!C220</f>
        <v>42191</v>
      </c>
      <c r="C221">
        <f>COUNTIF('Metrics - Articles'!F220,"*GPO (Partner, Ecosystem, Channels)*")</f>
        <v>0</v>
      </c>
      <c r="D221">
        <f>COUNTIF('Metrics - Articles'!F220,"*Office of the CEO*")</f>
        <v>0</v>
      </c>
      <c r="E221">
        <f>COUNTIF('Metrics - Articles'!F220,"*Services Delivery &amp; Support (go-lives and deployments) *")</f>
        <v>0</v>
      </c>
      <c r="F221">
        <f>COUNTIF('Metrics - Articles'!F220,"*Human Resources (SAP HR and employee stories)*")</f>
        <v>0</v>
      </c>
      <c r="G221">
        <f>COUNTIF('Metrics - Articles'!F220,"*P&amp;I (Research &amp; Development)*")</f>
        <v>0</v>
      </c>
      <c r="H221">
        <f>COUNTIF('Metrics - Articles'!F220,"*Business Network (Concur, Ariba, Fieldglass)*")</f>
        <v>1</v>
      </c>
      <c r="I221">
        <f>COUNTIF('Metrics - Articles'!F220,"*GCO – Regions*")</f>
        <v>0</v>
      </c>
      <c r="J221">
        <f>COUNTIF('Metrics - Articles'!F220,"*GCO – Platform Solutions*")</f>
        <v>0</v>
      </c>
      <c r="K221">
        <f>COUNTIF('Metrics - Articles'!F220,"*GCO – Industry Cloud *")</f>
        <v>0</v>
      </c>
      <c r="L221">
        <f>COUNTIF('Metrics - Articles'!F220,"*GCO – Customer Engagement &amp; Commerce (CRM &amp; hybris) *")</f>
        <v>0</v>
      </c>
      <c r="M221">
        <f>COUNTIF('Metrics - Articles'!F220,"*GCO – HR (SuccessFactors)*")</f>
        <v>0</v>
      </c>
      <c r="N221">
        <f>COUNTIF('Metrics - Articles'!F220,"*GCO – Services Sales*")</f>
        <v>0</v>
      </c>
      <c r="O221">
        <f>COUNTIF('Metrics - Articles'!F220,"*GCO – Other*")</f>
        <v>0</v>
      </c>
      <c r="P221">
        <f>COUNTIF('Metrics - Articles'!F220,"*Corporate*")</f>
        <v>0</v>
      </c>
      <c r="R221" s="53">
        <f t="shared" si="5"/>
        <v>1</v>
      </c>
    </row>
    <row r="222" spans="2:18" hidden="1" x14ac:dyDescent="0.25">
      <c r="B222" s="48">
        <f>+'Metrics - Articles'!C221</f>
        <v>42192</v>
      </c>
      <c r="C222">
        <f>COUNTIF('Metrics - Articles'!F221,"*GPO (Partner, Ecosystem, Channels)*")</f>
        <v>0</v>
      </c>
      <c r="D222">
        <f>COUNTIF('Metrics - Articles'!F221,"*Office of the CEO*")</f>
        <v>0</v>
      </c>
      <c r="E222">
        <f>COUNTIF('Metrics - Articles'!F221,"*Services Delivery &amp; Support (go-lives and deployments) *")</f>
        <v>0</v>
      </c>
      <c r="F222">
        <f>COUNTIF('Metrics - Articles'!F221,"*Human Resources (SAP HR and employee stories)*")</f>
        <v>0</v>
      </c>
      <c r="G222">
        <f>COUNTIF('Metrics - Articles'!F221,"*P&amp;I (Research &amp; Development)*")</f>
        <v>0</v>
      </c>
      <c r="H222">
        <f>COUNTIF('Metrics - Articles'!F221,"*Business Network (Concur, Ariba, Fieldglass)*")</f>
        <v>0</v>
      </c>
      <c r="I222">
        <f>COUNTIF('Metrics - Articles'!F221,"*GCO – Regions*")</f>
        <v>0</v>
      </c>
      <c r="J222">
        <f>COUNTIF('Metrics - Articles'!F221,"*GCO – Platform Solutions*")</f>
        <v>1</v>
      </c>
      <c r="K222">
        <f>COUNTIF('Metrics - Articles'!F221,"*GCO – Industry Cloud *")</f>
        <v>1</v>
      </c>
      <c r="L222">
        <f>COUNTIF('Metrics - Articles'!F221,"*GCO – Customer Engagement &amp; Commerce (CRM &amp; hybris) *")</f>
        <v>0</v>
      </c>
      <c r="M222">
        <f>COUNTIF('Metrics - Articles'!F221,"*GCO – HR (SuccessFactors)*")</f>
        <v>0</v>
      </c>
      <c r="N222">
        <f>COUNTIF('Metrics - Articles'!F221,"*GCO – Services Sales*")</f>
        <v>0</v>
      </c>
      <c r="O222">
        <f>COUNTIF('Metrics - Articles'!F221,"*GCO – Other*")</f>
        <v>0</v>
      </c>
      <c r="P222">
        <f>COUNTIF('Metrics - Articles'!F221,"*Corporate*")</f>
        <v>0</v>
      </c>
      <c r="R222" s="53">
        <f t="shared" si="5"/>
        <v>2</v>
      </c>
    </row>
    <row r="223" spans="2:18" hidden="1" x14ac:dyDescent="0.25">
      <c r="B223" s="48">
        <f>+'Metrics - Articles'!C222</f>
        <v>42194</v>
      </c>
      <c r="C223">
        <f>COUNTIF('Metrics - Articles'!F222,"*GPO (Partner, Ecosystem, Channels)*")</f>
        <v>0</v>
      </c>
      <c r="D223">
        <f>COUNTIF('Metrics - Articles'!F222,"*Office of the CEO*")</f>
        <v>0</v>
      </c>
      <c r="E223">
        <f>COUNTIF('Metrics - Articles'!F222,"*Services Delivery &amp; Support (go-lives and deployments) *")</f>
        <v>0</v>
      </c>
      <c r="F223">
        <f>COUNTIF('Metrics - Articles'!F222,"*Human Resources (SAP HR and employee stories)*")</f>
        <v>1</v>
      </c>
      <c r="G223">
        <f>COUNTIF('Metrics - Articles'!F222,"*P&amp;I (Research &amp; Development)*")</f>
        <v>0</v>
      </c>
      <c r="H223">
        <f>COUNTIF('Metrics - Articles'!F222,"*Business Network (Concur, Ariba, Fieldglass)*")</f>
        <v>0</v>
      </c>
      <c r="I223">
        <f>COUNTIF('Metrics - Articles'!F222,"*GCO – Regions*")</f>
        <v>0</v>
      </c>
      <c r="J223">
        <f>COUNTIF('Metrics - Articles'!F222,"*GCO – Platform Solutions*")</f>
        <v>0</v>
      </c>
      <c r="K223">
        <f>COUNTIF('Metrics - Articles'!F222,"*GCO – Industry Cloud *")</f>
        <v>0</v>
      </c>
      <c r="L223">
        <f>COUNTIF('Metrics - Articles'!F222,"*GCO – Customer Engagement &amp; Commerce (CRM &amp; hybris) *")</f>
        <v>0</v>
      </c>
      <c r="M223">
        <f>COUNTIF('Metrics - Articles'!F222,"*GCO – HR (SuccessFactors)*")</f>
        <v>0</v>
      </c>
      <c r="N223">
        <f>COUNTIF('Metrics - Articles'!F222,"*GCO – Services Sales*")</f>
        <v>0</v>
      </c>
      <c r="O223">
        <f>COUNTIF('Metrics - Articles'!F222,"*GCO – Other*")</f>
        <v>0</v>
      </c>
      <c r="P223">
        <f>COUNTIF('Metrics - Articles'!F222,"*Corporate*")</f>
        <v>0</v>
      </c>
      <c r="R223" s="53">
        <f t="shared" si="5"/>
        <v>1</v>
      </c>
    </row>
    <row r="224" spans="2:18" hidden="1" x14ac:dyDescent="0.25">
      <c r="B224" s="48">
        <f>+'Metrics - Articles'!C223</f>
        <v>42194</v>
      </c>
      <c r="C224">
        <f>COUNTIF('Metrics - Articles'!F223,"*GPO (Partner, Ecosystem, Channels)*")</f>
        <v>0</v>
      </c>
      <c r="D224">
        <f>COUNTIF('Metrics - Articles'!F223,"*Office of the CEO*")</f>
        <v>0</v>
      </c>
      <c r="E224">
        <f>COUNTIF('Metrics - Articles'!F223,"*Services Delivery &amp; Support (go-lives and deployments) *")</f>
        <v>0</v>
      </c>
      <c r="F224">
        <f>COUNTIF('Metrics - Articles'!F223,"*Human Resources (SAP HR and employee stories)*")</f>
        <v>1</v>
      </c>
      <c r="G224">
        <f>COUNTIF('Metrics - Articles'!F223,"*P&amp;I (Research &amp; Development)*")</f>
        <v>0</v>
      </c>
      <c r="H224">
        <f>COUNTIF('Metrics - Articles'!F223,"*Business Network (Concur, Ariba, Fieldglass)*")</f>
        <v>0</v>
      </c>
      <c r="I224">
        <f>COUNTIF('Metrics - Articles'!F223,"*GCO – Regions*")</f>
        <v>0</v>
      </c>
      <c r="J224">
        <f>COUNTIF('Metrics - Articles'!F223,"*GCO – Platform Solutions*")</f>
        <v>0</v>
      </c>
      <c r="K224">
        <f>COUNTIF('Metrics - Articles'!F223,"*GCO – Industry Cloud *")</f>
        <v>0</v>
      </c>
      <c r="L224">
        <f>COUNTIF('Metrics - Articles'!F223,"*GCO – Customer Engagement &amp; Commerce (CRM &amp; hybris) *")</f>
        <v>0</v>
      </c>
      <c r="M224">
        <f>COUNTIF('Metrics - Articles'!F223,"*GCO – HR (SuccessFactors)*")</f>
        <v>0</v>
      </c>
      <c r="N224">
        <f>COUNTIF('Metrics - Articles'!F223,"*GCO – Services Sales*")</f>
        <v>0</v>
      </c>
      <c r="O224">
        <f>COUNTIF('Metrics - Articles'!F223,"*GCO – Other*")</f>
        <v>0</v>
      </c>
      <c r="P224">
        <f>COUNTIF('Metrics - Articles'!F223,"*Corporate*")</f>
        <v>0</v>
      </c>
      <c r="R224" s="53">
        <f t="shared" si="5"/>
        <v>1</v>
      </c>
    </row>
    <row r="225" spans="2:18" hidden="1" x14ac:dyDescent="0.25">
      <c r="B225" s="48">
        <f>+'Metrics - Articles'!C224</f>
        <v>42194</v>
      </c>
      <c r="C225">
        <f>COUNTIF('Metrics - Articles'!F224,"*GPO (Partner, Ecosystem, Channels)*")</f>
        <v>0</v>
      </c>
      <c r="D225">
        <f>COUNTIF('Metrics - Articles'!F224,"*Office of the CEO*")</f>
        <v>0</v>
      </c>
      <c r="E225">
        <f>COUNTIF('Metrics - Articles'!F224,"*Services Delivery &amp; Support (go-lives and deployments) *")</f>
        <v>0</v>
      </c>
      <c r="F225">
        <f>COUNTIF('Metrics - Articles'!F224,"*Human Resources (SAP HR and employee stories)*")</f>
        <v>1</v>
      </c>
      <c r="G225">
        <f>COUNTIF('Metrics - Articles'!F224,"*P&amp;I (Research &amp; Development)*")</f>
        <v>0</v>
      </c>
      <c r="H225">
        <f>COUNTIF('Metrics - Articles'!F224,"*Business Network (Concur, Ariba, Fieldglass)*")</f>
        <v>0</v>
      </c>
      <c r="I225">
        <f>COUNTIF('Metrics - Articles'!F224,"*GCO – Regions*")</f>
        <v>0</v>
      </c>
      <c r="J225">
        <f>COUNTIF('Metrics - Articles'!F224,"*GCO – Platform Solutions*")</f>
        <v>0</v>
      </c>
      <c r="K225">
        <f>COUNTIF('Metrics - Articles'!F224,"*GCO – Industry Cloud *")</f>
        <v>0</v>
      </c>
      <c r="L225">
        <f>COUNTIF('Metrics - Articles'!F224,"*GCO – Customer Engagement &amp; Commerce (CRM &amp; hybris) *")</f>
        <v>0</v>
      </c>
      <c r="M225">
        <f>COUNTIF('Metrics - Articles'!F224,"*GCO – HR (SuccessFactors)*")</f>
        <v>0</v>
      </c>
      <c r="N225">
        <f>COUNTIF('Metrics - Articles'!F224,"*GCO – Services Sales*")</f>
        <v>0</v>
      </c>
      <c r="O225">
        <f>COUNTIF('Metrics - Articles'!F224,"*GCO – Other*")</f>
        <v>0</v>
      </c>
      <c r="P225">
        <f>COUNTIF('Metrics - Articles'!F224,"*Corporate*")</f>
        <v>0</v>
      </c>
      <c r="R225" s="53">
        <f t="shared" si="5"/>
        <v>1</v>
      </c>
    </row>
    <row r="226" spans="2:18" hidden="1" x14ac:dyDescent="0.25">
      <c r="B226" s="48">
        <f>+'Metrics - Articles'!C225</f>
        <v>42195</v>
      </c>
      <c r="C226">
        <f>COUNTIF('Metrics - Articles'!F225,"*GPO (Partner, Ecosystem, Channels)*")</f>
        <v>0</v>
      </c>
      <c r="D226">
        <f>COUNTIF('Metrics - Articles'!F225,"*Office of the CEO*")</f>
        <v>0</v>
      </c>
      <c r="E226">
        <f>COUNTIF('Metrics - Articles'!F225,"*Services Delivery &amp; Support (go-lives and deployments) *")</f>
        <v>0</v>
      </c>
      <c r="F226">
        <f>COUNTIF('Metrics - Articles'!F225,"*Human Resources (SAP HR and employee stories)*")</f>
        <v>0</v>
      </c>
      <c r="G226">
        <f>COUNTIF('Metrics - Articles'!F225,"*P&amp;I (Research &amp; Development)*")</f>
        <v>1</v>
      </c>
      <c r="H226">
        <f>COUNTIF('Metrics - Articles'!F225,"*Business Network (Concur, Ariba, Fieldglass)*")</f>
        <v>0</v>
      </c>
      <c r="I226">
        <f>COUNTIF('Metrics - Articles'!F225,"*GCO – Regions*")</f>
        <v>0</v>
      </c>
      <c r="J226">
        <f>COUNTIF('Metrics - Articles'!F225,"*GCO – Platform Solutions*")</f>
        <v>0</v>
      </c>
      <c r="K226">
        <f>COUNTIF('Metrics - Articles'!F225,"*GCO – Industry Cloud *")</f>
        <v>0</v>
      </c>
      <c r="L226">
        <f>COUNTIF('Metrics - Articles'!F225,"*GCO – Customer Engagement &amp; Commerce (CRM &amp; hybris) *")</f>
        <v>0</v>
      </c>
      <c r="M226">
        <f>COUNTIF('Metrics - Articles'!F225,"*GCO – HR (SuccessFactors)*")</f>
        <v>0</v>
      </c>
      <c r="N226">
        <f>COUNTIF('Metrics - Articles'!F225,"*GCO – Services Sales*")</f>
        <v>0</v>
      </c>
      <c r="O226">
        <f>COUNTIF('Metrics - Articles'!F225,"*GCO – Other*")</f>
        <v>0</v>
      </c>
      <c r="P226">
        <f>COUNTIF('Metrics - Articles'!F225,"*Corporate*")</f>
        <v>0</v>
      </c>
      <c r="R226" s="53">
        <f t="shared" si="5"/>
        <v>1</v>
      </c>
    </row>
    <row r="227" spans="2:18" hidden="1" x14ac:dyDescent="0.25">
      <c r="B227" s="48">
        <f>+'Metrics - Articles'!C226</f>
        <v>42195</v>
      </c>
      <c r="C227">
        <f>COUNTIF('Metrics - Articles'!F226,"*GPO (Partner, Ecosystem, Channels)*")</f>
        <v>0</v>
      </c>
      <c r="D227">
        <f>COUNTIF('Metrics - Articles'!F226,"*Office of the CEO*")</f>
        <v>0</v>
      </c>
      <c r="E227">
        <f>COUNTIF('Metrics - Articles'!F226,"*Services Delivery &amp; Support (go-lives and deployments) *")</f>
        <v>0</v>
      </c>
      <c r="F227">
        <f>COUNTIF('Metrics - Articles'!F226,"*Human Resources (SAP HR and employee stories)*")</f>
        <v>0</v>
      </c>
      <c r="G227">
        <f>COUNTIF('Metrics - Articles'!F226,"*P&amp;I (Research &amp; Development)*")</f>
        <v>0</v>
      </c>
      <c r="H227">
        <f>COUNTIF('Metrics - Articles'!F226,"*Business Network (Concur, Ariba, Fieldglass)*")</f>
        <v>0</v>
      </c>
      <c r="I227">
        <f>COUNTIF('Metrics - Articles'!F226,"*GCO – Regions*")</f>
        <v>0</v>
      </c>
      <c r="J227">
        <f>COUNTIF('Metrics - Articles'!F226,"*GCO – Platform Solutions*")</f>
        <v>0</v>
      </c>
      <c r="K227">
        <f>COUNTIF('Metrics - Articles'!F226,"*GCO – Industry Cloud *")</f>
        <v>0</v>
      </c>
      <c r="L227">
        <f>COUNTIF('Metrics - Articles'!F226,"*GCO – Customer Engagement &amp; Commerce (CRM &amp; hybris) *")</f>
        <v>0</v>
      </c>
      <c r="M227">
        <f>COUNTIF('Metrics - Articles'!F226,"*GCO – HR (SuccessFactors)*")</f>
        <v>0</v>
      </c>
      <c r="N227">
        <f>COUNTIF('Metrics - Articles'!F226,"*GCO – Services Sales*")</f>
        <v>0</v>
      </c>
      <c r="O227">
        <f>COUNTIF('Metrics - Articles'!F226,"*GCO – Other*")</f>
        <v>0</v>
      </c>
      <c r="P227">
        <f>COUNTIF('Metrics - Articles'!F226,"*Corporate*")</f>
        <v>1</v>
      </c>
      <c r="R227" s="53">
        <f t="shared" si="5"/>
        <v>1</v>
      </c>
    </row>
    <row r="228" spans="2:18" hidden="1" x14ac:dyDescent="0.25">
      <c r="B228" s="48">
        <f>+'Metrics - Articles'!C227</f>
        <v>42195</v>
      </c>
      <c r="C228">
        <f>COUNTIF('Metrics - Articles'!F227,"*GPO (Partner, Ecosystem, Channels)*")</f>
        <v>0</v>
      </c>
      <c r="D228">
        <f>COUNTIF('Metrics - Articles'!F227,"*Office of the CEO*")</f>
        <v>0</v>
      </c>
      <c r="E228">
        <f>COUNTIF('Metrics - Articles'!F227,"*Services Delivery &amp; Support (go-lives and deployments) *")</f>
        <v>0</v>
      </c>
      <c r="F228">
        <f>COUNTIF('Metrics - Articles'!F227,"*Human Resources (SAP HR and employee stories)*")</f>
        <v>1</v>
      </c>
      <c r="G228">
        <f>COUNTIF('Metrics - Articles'!F227,"*P&amp;I (Research &amp; Development)*")</f>
        <v>0</v>
      </c>
      <c r="H228">
        <f>COUNTIF('Metrics - Articles'!F227,"*Business Network (Concur, Ariba, Fieldglass)*")</f>
        <v>0</v>
      </c>
      <c r="I228">
        <f>COUNTIF('Metrics - Articles'!F227,"*GCO – Regions*")</f>
        <v>0</v>
      </c>
      <c r="J228">
        <f>COUNTIF('Metrics - Articles'!F227,"*GCO – Platform Solutions*")</f>
        <v>0</v>
      </c>
      <c r="K228">
        <f>COUNTIF('Metrics - Articles'!F227,"*GCO – Industry Cloud *")</f>
        <v>0</v>
      </c>
      <c r="L228">
        <f>COUNTIF('Metrics - Articles'!F227,"*GCO – Customer Engagement &amp; Commerce (CRM &amp; hybris) *")</f>
        <v>0</v>
      </c>
      <c r="M228">
        <f>COUNTIF('Metrics - Articles'!F227,"*GCO – HR (SuccessFactors)*")</f>
        <v>0</v>
      </c>
      <c r="N228">
        <f>COUNTIF('Metrics - Articles'!F227,"*GCO – Services Sales*")</f>
        <v>0</v>
      </c>
      <c r="O228">
        <f>COUNTIF('Metrics - Articles'!F227,"*GCO – Other*")</f>
        <v>0</v>
      </c>
      <c r="P228">
        <f>COUNTIF('Metrics - Articles'!F227,"*Corporate*")</f>
        <v>0</v>
      </c>
      <c r="R228" s="53">
        <f t="shared" si="5"/>
        <v>1</v>
      </c>
    </row>
    <row r="229" spans="2:18" hidden="1" x14ac:dyDescent="0.25">
      <c r="B229" s="48">
        <f>+'Metrics - Articles'!C228</f>
        <v>42198</v>
      </c>
      <c r="C229">
        <f>COUNTIF('Metrics - Articles'!F228,"*GPO (Partner, Ecosystem, Channels)*")</f>
        <v>0</v>
      </c>
      <c r="D229">
        <f>COUNTIF('Metrics - Articles'!F228,"*Office of the CEO*")</f>
        <v>0</v>
      </c>
      <c r="E229">
        <f>COUNTIF('Metrics - Articles'!F228,"*Services Delivery &amp; Support (go-lives and deployments) *")</f>
        <v>0</v>
      </c>
      <c r="F229">
        <f>COUNTIF('Metrics - Articles'!F228,"*Human Resources (SAP HR and employee stories)*")</f>
        <v>1</v>
      </c>
      <c r="G229">
        <f>COUNTIF('Metrics - Articles'!F228,"*P&amp;I (Research &amp; Development)*")</f>
        <v>0</v>
      </c>
      <c r="H229">
        <f>COUNTIF('Metrics - Articles'!F228,"*Business Network (Concur, Ariba, Fieldglass)*")</f>
        <v>0</v>
      </c>
      <c r="I229">
        <f>COUNTIF('Metrics - Articles'!F228,"*GCO – Regions*")</f>
        <v>1</v>
      </c>
      <c r="J229">
        <f>COUNTIF('Metrics - Articles'!F228,"*GCO – Platform Solutions*")</f>
        <v>0</v>
      </c>
      <c r="K229">
        <f>COUNTIF('Metrics - Articles'!F228,"*GCO – Industry Cloud *")</f>
        <v>0</v>
      </c>
      <c r="L229">
        <f>COUNTIF('Metrics - Articles'!F228,"*GCO – Customer Engagement &amp; Commerce (CRM &amp; hybris) *")</f>
        <v>0</v>
      </c>
      <c r="M229">
        <f>COUNTIF('Metrics - Articles'!F228,"*GCO – HR (SuccessFactors)*")</f>
        <v>0</v>
      </c>
      <c r="N229">
        <f>COUNTIF('Metrics - Articles'!F228,"*GCO – Services Sales*")</f>
        <v>0</v>
      </c>
      <c r="O229">
        <f>COUNTIF('Metrics - Articles'!F228,"*GCO – Other*")</f>
        <v>0</v>
      </c>
      <c r="P229">
        <f>COUNTIF('Metrics - Articles'!F228,"*Corporate*")</f>
        <v>0</v>
      </c>
      <c r="R229" s="53">
        <f t="shared" si="5"/>
        <v>2</v>
      </c>
    </row>
    <row r="230" spans="2:18" hidden="1" x14ac:dyDescent="0.25">
      <c r="B230" s="48">
        <f>+'Metrics - Articles'!C229</f>
        <v>42198</v>
      </c>
      <c r="C230">
        <f>COUNTIF('Metrics - Articles'!F229,"*GPO (Partner, Ecosystem, Channels)*")</f>
        <v>0</v>
      </c>
      <c r="D230">
        <f>COUNTIF('Metrics - Articles'!F229,"*Office of the CEO*")</f>
        <v>0</v>
      </c>
      <c r="E230">
        <f>COUNTIF('Metrics - Articles'!F229,"*Services Delivery &amp; Support (go-lives and deployments) *")</f>
        <v>0</v>
      </c>
      <c r="F230">
        <f>COUNTIF('Metrics - Articles'!F229,"*Human Resources (SAP HR and employee stories)*")</f>
        <v>0</v>
      </c>
      <c r="G230">
        <f>COUNTIF('Metrics - Articles'!F229,"*P&amp;I (Research &amp; Development)*")</f>
        <v>0</v>
      </c>
      <c r="H230">
        <f>COUNTIF('Metrics - Articles'!F229,"*Business Network (Concur, Ariba, Fieldglass)*")</f>
        <v>0</v>
      </c>
      <c r="I230">
        <f>COUNTIF('Metrics - Articles'!F229,"*GCO – Regions*")</f>
        <v>0</v>
      </c>
      <c r="J230">
        <f>COUNTIF('Metrics - Articles'!F229,"*GCO – Platform Solutions*")</f>
        <v>0</v>
      </c>
      <c r="K230">
        <f>COUNTIF('Metrics - Articles'!F229,"*GCO – Industry Cloud *")</f>
        <v>0</v>
      </c>
      <c r="L230">
        <f>COUNTIF('Metrics - Articles'!F229,"*GCO – Customer Engagement &amp; Commerce (CRM &amp; hybris) *")</f>
        <v>0</v>
      </c>
      <c r="M230">
        <f>COUNTIF('Metrics - Articles'!F229,"*GCO – HR (SuccessFactors)*")</f>
        <v>0</v>
      </c>
      <c r="N230">
        <f>COUNTIF('Metrics - Articles'!F229,"*GCO – Services Sales*")</f>
        <v>0</v>
      </c>
      <c r="O230">
        <f>COUNTIF('Metrics - Articles'!F229,"*GCO – Other*")</f>
        <v>1</v>
      </c>
      <c r="P230">
        <f>COUNTIF('Metrics - Articles'!F229,"*Corporate*")</f>
        <v>0</v>
      </c>
      <c r="R230" s="53">
        <f t="shared" si="5"/>
        <v>1</v>
      </c>
    </row>
    <row r="231" spans="2:18" hidden="1" x14ac:dyDescent="0.25">
      <c r="B231" s="48">
        <f>+'Metrics - Articles'!C230</f>
        <v>42199</v>
      </c>
      <c r="C231">
        <f>COUNTIF('Metrics - Articles'!F230,"*GPO (Partner, Ecosystem, Channels)*")</f>
        <v>0</v>
      </c>
      <c r="D231">
        <f>COUNTIF('Metrics - Articles'!F230,"*Office of the CEO*")</f>
        <v>0</v>
      </c>
      <c r="E231">
        <f>COUNTIF('Metrics - Articles'!F230,"*Services Delivery &amp; Support (go-lives and deployments) *")</f>
        <v>0</v>
      </c>
      <c r="F231">
        <f>COUNTIF('Metrics - Articles'!F230,"*Human Resources (SAP HR and employee stories)*")</f>
        <v>1</v>
      </c>
      <c r="G231">
        <f>COUNTIF('Metrics - Articles'!F230,"*P&amp;I (Research &amp; Development)*")</f>
        <v>0</v>
      </c>
      <c r="H231">
        <f>COUNTIF('Metrics - Articles'!F230,"*Business Network (Concur, Ariba, Fieldglass)*")</f>
        <v>0</v>
      </c>
      <c r="I231">
        <f>COUNTIF('Metrics - Articles'!F230,"*GCO – Regions*")</f>
        <v>0</v>
      </c>
      <c r="J231">
        <f>COUNTIF('Metrics - Articles'!F230,"*GCO – Platform Solutions*")</f>
        <v>0</v>
      </c>
      <c r="K231">
        <f>COUNTIF('Metrics - Articles'!F230,"*GCO – Industry Cloud *")</f>
        <v>0</v>
      </c>
      <c r="L231">
        <f>COUNTIF('Metrics - Articles'!F230,"*GCO – Customer Engagement &amp; Commerce (CRM &amp; hybris) *")</f>
        <v>0</v>
      </c>
      <c r="M231">
        <f>COUNTIF('Metrics - Articles'!F230,"*GCO – HR (SuccessFactors)*")</f>
        <v>0</v>
      </c>
      <c r="N231">
        <f>COUNTIF('Metrics - Articles'!F230,"*GCO – Services Sales*")</f>
        <v>0</v>
      </c>
      <c r="O231">
        <f>COUNTIF('Metrics - Articles'!F230,"*GCO – Other*")</f>
        <v>0</v>
      </c>
      <c r="P231">
        <f>COUNTIF('Metrics - Articles'!F230,"*Corporate*")</f>
        <v>0</v>
      </c>
      <c r="R231" s="53">
        <f t="shared" si="5"/>
        <v>1</v>
      </c>
    </row>
    <row r="232" spans="2:18" hidden="1" x14ac:dyDescent="0.25">
      <c r="B232" s="48">
        <f>+'Metrics - Articles'!C231</f>
        <v>42199</v>
      </c>
      <c r="C232">
        <f>COUNTIF('Metrics - Articles'!F231,"*GPO (Partner, Ecosystem, Channels)*")</f>
        <v>0</v>
      </c>
      <c r="D232">
        <f>COUNTIF('Metrics - Articles'!F231,"*Office of the CEO*")</f>
        <v>0</v>
      </c>
      <c r="E232">
        <f>COUNTIF('Metrics - Articles'!F231,"*Services Delivery &amp; Support (go-lives and deployments) *")</f>
        <v>0</v>
      </c>
      <c r="F232">
        <f>COUNTIF('Metrics - Articles'!F231,"*Human Resources (SAP HR and employee stories)*")</f>
        <v>0</v>
      </c>
      <c r="G232">
        <f>COUNTIF('Metrics - Articles'!F231,"*P&amp;I (Research &amp; Development)*")</f>
        <v>1</v>
      </c>
      <c r="H232">
        <f>COUNTIF('Metrics - Articles'!F231,"*Business Network (Concur, Ariba, Fieldglass)*")</f>
        <v>0</v>
      </c>
      <c r="I232">
        <f>COUNTIF('Metrics - Articles'!F231,"*GCO – Regions*")</f>
        <v>0</v>
      </c>
      <c r="J232">
        <f>COUNTIF('Metrics - Articles'!F231,"*GCO – Platform Solutions*")</f>
        <v>0</v>
      </c>
      <c r="K232">
        <f>COUNTIF('Metrics - Articles'!F231,"*GCO – Industry Cloud *")</f>
        <v>0</v>
      </c>
      <c r="L232">
        <f>COUNTIF('Metrics - Articles'!F231,"*GCO – Customer Engagement &amp; Commerce (CRM &amp; hybris) *")</f>
        <v>0</v>
      </c>
      <c r="M232">
        <f>COUNTIF('Metrics - Articles'!F231,"*GCO – HR (SuccessFactors)*")</f>
        <v>0</v>
      </c>
      <c r="N232">
        <f>COUNTIF('Metrics - Articles'!F231,"*GCO – Services Sales*")</f>
        <v>0</v>
      </c>
      <c r="O232">
        <f>COUNTIF('Metrics - Articles'!F231,"*GCO – Other*")</f>
        <v>0</v>
      </c>
      <c r="P232">
        <f>COUNTIF('Metrics - Articles'!F231,"*Corporate*")</f>
        <v>0</v>
      </c>
      <c r="R232" s="53">
        <f t="shared" si="5"/>
        <v>1</v>
      </c>
    </row>
    <row r="233" spans="2:18" hidden="1" x14ac:dyDescent="0.25">
      <c r="B233" s="48">
        <f>+'Metrics - Articles'!C232</f>
        <v>42200</v>
      </c>
      <c r="C233">
        <f>COUNTIF('Metrics - Articles'!F232,"*GPO (Partner, Ecosystem, Channels)*")</f>
        <v>0</v>
      </c>
      <c r="D233">
        <f>COUNTIF('Metrics - Articles'!F232,"*Office of the CEO*")</f>
        <v>0</v>
      </c>
      <c r="E233">
        <f>COUNTIF('Metrics - Articles'!F232,"*Services Delivery &amp; Support (go-lives and deployments) *")</f>
        <v>0</v>
      </c>
      <c r="F233">
        <f>COUNTIF('Metrics - Articles'!F232,"*Human Resources (SAP HR and employee stories)*")</f>
        <v>1</v>
      </c>
      <c r="G233">
        <f>COUNTIF('Metrics - Articles'!F232,"*P&amp;I (Research &amp; Development)*")</f>
        <v>0</v>
      </c>
      <c r="H233">
        <f>COUNTIF('Metrics - Articles'!F232,"*Business Network (Concur, Ariba, Fieldglass)*")</f>
        <v>0</v>
      </c>
      <c r="I233">
        <f>COUNTIF('Metrics - Articles'!F232,"*GCO – Regions*")</f>
        <v>0</v>
      </c>
      <c r="J233">
        <f>COUNTIF('Metrics - Articles'!F232,"*GCO – Platform Solutions*")</f>
        <v>0</v>
      </c>
      <c r="K233">
        <f>COUNTIF('Metrics - Articles'!F232,"*GCO – Industry Cloud *")</f>
        <v>0</v>
      </c>
      <c r="L233">
        <f>COUNTIF('Metrics - Articles'!F232,"*GCO – Customer Engagement &amp; Commerce (CRM &amp; hybris) *")</f>
        <v>0</v>
      </c>
      <c r="M233">
        <f>COUNTIF('Metrics - Articles'!F232,"*GCO – HR (SuccessFactors)*")</f>
        <v>0</v>
      </c>
      <c r="N233">
        <f>COUNTIF('Metrics - Articles'!F232,"*GCO – Services Sales*")</f>
        <v>0</v>
      </c>
      <c r="O233">
        <f>COUNTIF('Metrics - Articles'!F232,"*GCO – Other*")</f>
        <v>0</v>
      </c>
      <c r="P233">
        <f>COUNTIF('Metrics - Articles'!F232,"*Corporate*")</f>
        <v>0</v>
      </c>
      <c r="R233" s="53">
        <f t="shared" si="5"/>
        <v>1</v>
      </c>
    </row>
    <row r="234" spans="2:18" hidden="1" x14ac:dyDescent="0.25">
      <c r="B234" s="48">
        <f>+'Metrics - Articles'!C233</f>
        <v>42201</v>
      </c>
      <c r="C234">
        <f>COUNTIF('Metrics - Articles'!F233,"*GPO (Partner, Ecosystem, Channels)*")</f>
        <v>0</v>
      </c>
      <c r="D234">
        <f>COUNTIF('Metrics - Articles'!F233,"*Office of the CEO*")</f>
        <v>0</v>
      </c>
      <c r="E234">
        <f>COUNTIF('Metrics - Articles'!F233,"*Services Delivery &amp; Support (go-lives and deployments) *")</f>
        <v>0</v>
      </c>
      <c r="F234">
        <f>COUNTIF('Metrics - Articles'!F233,"*Human Resources (SAP HR and employee stories)*")</f>
        <v>0</v>
      </c>
      <c r="G234">
        <f>COUNTIF('Metrics - Articles'!F233,"*P&amp;I (Research &amp; Development)*")</f>
        <v>0</v>
      </c>
      <c r="H234">
        <f>COUNTIF('Metrics - Articles'!F233,"*Business Network (Concur, Ariba, Fieldglass)*")</f>
        <v>0</v>
      </c>
      <c r="I234">
        <f>COUNTIF('Metrics - Articles'!F233,"*GCO – Regions*")</f>
        <v>0</v>
      </c>
      <c r="J234">
        <f>COUNTIF('Metrics - Articles'!F233,"*GCO – Platform Solutions*")</f>
        <v>0</v>
      </c>
      <c r="K234">
        <f>COUNTIF('Metrics - Articles'!F233,"*GCO – Industry Cloud *")</f>
        <v>0</v>
      </c>
      <c r="L234">
        <f>COUNTIF('Metrics - Articles'!F233,"*GCO – Customer Engagement &amp; Commerce (CRM &amp; hybris) *")</f>
        <v>0</v>
      </c>
      <c r="M234">
        <f>COUNTIF('Metrics - Articles'!F233,"*GCO – HR (SuccessFactors)*")</f>
        <v>0</v>
      </c>
      <c r="N234">
        <f>COUNTIF('Metrics - Articles'!F233,"*GCO – Services Sales*")</f>
        <v>0</v>
      </c>
      <c r="O234">
        <f>COUNTIF('Metrics - Articles'!F233,"*GCO – Other*")</f>
        <v>0</v>
      </c>
      <c r="P234">
        <f>COUNTIF('Metrics - Articles'!F233,"*Corporate*")</f>
        <v>1</v>
      </c>
      <c r="R234" s="53">
        <f t="shared" si="5"/>
        <v>1</v>
      </c>
    </row>
    <row r="235" spans="2:18" hidden="1" x14ac:dyDescent="0.25">
      <c r="B235" s="48">
        <f>+'Metrics - Articles'!C234</f>
        <v>42202</v>
      </c>
      <c r="C235">
        <f>COUNTIF('Metrics - Articles'!F234,"*GPO (Partner, Ecosystem, Channels)*")</f>
        <v>0</v>
      </c>
      <c r="D235">
        <f>COUNTIF('Metrics - Articles'!F234,"*Office of the CEO*")</f>
        <v>0</v>
      </c>
      <c r="E235">
        <f>COUNTIF('Metrics - Articles'!F234,"*Services Delivery &amp; Support (go-lives and deployments) *")</f>
        <v>0</v>
      </c>
      <c r="F235">
        <f>COUNTIF('Metrics - Articles'!F234,"*Human Resources (SAP HR and employee stories)*")</f>
        <v>1</v>
      </c>
      <c r="G235">
        <f>COUNTIF('Metrics - Articles'!F234,"*P&amp;I (Research &amp; Development)*")</f>
        <v>0</v>
      </c>
      <c r="H235">
        <f>COUNTIF('Metrics - Articles'!F234,"*Business Network (Concur, Ariba, Fieldglass)*")</f>
        <v>0</v>
      </c>
      <c r="I235">
        <f>COUNTIF('Metrics - Articles'!F234,"*GCO – Regions*")</f>
        <v>0</v>
      </c>
      <c r="J235">
        <f>COUNTIF('Metrics - Articles'!F234,"*GCO – Platform Solutions*")</f>
        <v>0</v>
      </c>
      <c r="K235">
        <f>COUNTIF('Metrics - Articles'!F234,"*GCO – Industry Cloud *")</f>
        <v>0</v>
      </c>
      <c r="L235">
        <f>COUNTIF('Metrics - Articles'!F234,"*GCO – Customer Engagement &amp; Commerce (CRM &amp; hybris) *")</f>
        <v>0</v>
      </c>
      <c r="M235">
        <f>COUNTIF('Metrics - Articles'!F234,"*GCO – HR (SuccessFactors)*")</f>
        <v>0</v>
      </c>
      <c r="N235">
        <f>COUNTIF('Metrics - Articles'!F234,"*GCO – Services Sales*")</f>
        <v>0</v>
      </c>
      <c r="O235">
        <f>COUNTIF('Metrics - Articles'!F234,"*GCO – Other*")</f>
        <v>0</v>
      </c>
      <c r="P235">
        <f>COUNTIF('Metrics - Articles'!F234,"*Corporate*")</f>
        <v>0</v>
      </c>
      <c r="R235" s="53">
        <f t="shared" si="5"/>
        <v>1</v>
      </c>
    </row>
    <row r="236" spans="2:18" hidden="1" x14ac:dyDescent="0.25">
      <c r="B236" s="48">
        <f>+'Metrics - Articles'!C235</f>
        <v>42202</v>
      </c>
      <c r="C236">
        <f>COUNTIF('Metrics - Articles'!F235,"*GPO (Partner, Ecosystem, Channels)*")</f>
        <v>0</v>
      </c>
      <c r="D236">
        <f>COUNTIF('Metrics - Articles'!F235,"*Office of the CEO*")</f>
        <v>0</v>
      </c>
      <c r="E236">
        <f>COUNTIF('Metrics - Articles'!F235,"*Services Delivery &amp; Support (go-lives and deployments) *")</f>
        <v>0</v>
      </c>
      <c r="F236">
        <f>COUNTIF('Metrics - Articles'!F235,"*Human Resources (SAP HR and employee stories)*")</f>
        <v>0</v>
      </c>
      <c r="G236">
        <f>COUNTIF('Metrics - Articles'!F235,"*P&amp;I (Research &amp; Development)*")</f>
        <v>1</v>
      </c>
      <c r="H236">
        <f>COUNTIF('Metrics - Articles'!F235,"*Business Network (Concur, Ariba, Fieldglass)*")</f>
        <v>0</v>
      </c>
      <c r="I236">
        <f>COUNTIF('Metrics - Articles'!F235,"*GCO – Regions*")</f>
        <v>0</v>
      </c>
      <c r="J236">
        <f>COUNTIF('Metrics - Articles'!F235,"*GCO – Platform Solutions*")</f>
        <v>0</v>
      </c>
      <c r="K236">
        <f>COUNTIF('Metrics - Articles'!F235,"*GCO – Industry Cloud *")</f>
        <v>0</v>
      </c>
      <c r="L236">
        <f>COUNTIF('Metrics - Articles'!F235,"*GCO – Customer Engagement &amp; Commerce (CRM &amp; hybris) *")</f>
        <v>0</v>
      </c>
      <c r="M236">
        <f>COUNTIF('Metrics - Articles'!F235,"*GCO – HR (SuccessFactors)*")</f>
        <v>0</v>
      </c>
      <c r="N236">
        <f>COUNTIF('Metrics - Articles'!F235,"*GCO – Services Sales*")</f>
        <v>0</v>
      </c>
      <c r="O236">
        <f>COUNTIF('Metrics - Articles'!F235,"*GCO – Other*")</f>
        <v>0</v>
      </c>
      <c r="P236">
        <f>COUNTIF('Metrics - Articles'!F235,"*Corporate*")</f>
        <v>0</v>
      </c>
      <c r="R236" s="53">
        <f t="shared" si="5"/>
        <v>1</v>
      </c>
    </row>
    <row r="237" spans="2:18" hidden="1" x14ac:dyDescent="0.25">
      <c r="B237" s="48">
        <f>+'Metrics - Articles'!C236</f>
        <v>42205</v>
      </c>
      <c r="C237">
        <f>COUNTIF('Metrics - Articles'!F236,"*GPO (Partner, Ecosystem, Channels)*")</f>
        <v>0</v>
      </c>
      <c r="D237">
        <f>COUNTIF('Metrics - Articles'!F236,"*Office of the CEO*")</f>
        <v>0</v>
      </c>
      <c r="E237">
        <f>COUNTIF('Metrics - Articles'!F236,"*Services Delivery &amp; Support (go-lives and deployments) *")</f>
        <v>0</v>
      </c>
      <c r="F237">
        <f>COUNTIF('Metrics - Articles'!F236,"*Human Resources (SAP HR and employee stories)*")</f>
        <v>0</v>
      </c>
      <c r="G237">
        <f>COUNTIF('Metrics - Articles'!F236,"*P&amp;I (Research &amp; Development)*")</f>
        <v>0</v>
      </c>
      <c r="H237">
        <f>COUNTIF('Metrics - Articles'!F236,"*Business Network (Concur, Ariba, Fieldglass)*")</f>
        <v>0</v>
      </c>
      <c r="I237">
        <f>COUNTIF('Metrics - Articles'!F236,"*GCO – Regions*")</f>
        <v>0</v>
      </c>
      <c r="J237">
        <f>COUNTIF('Metrics - Articles'!F236,"*GCO – Platform Solutions*")</f>
        <v>0</v>
      </c>
      <c r="K237">
        <f>COUNTIF('Metrics - Articles'!F236,"*GCO – Industry Cloud *")</f>
        <v>0</v>
      </c>
      <c r="L237">
        <f>COUNTIF('Metrics - Articles'!F236,"*GCO – Customer Engagement &amp; Commerce (CRM &amp; hybris) *")</f>
        <v>0</v>
      </c>
      <c r="M237">
        <f>COUNTIF('Metrics - Articles'!F236,"*GCO – HR (SuccessFactors)*")</f>
        <v>0</v>
      </c>
      <c r="N237">
        <f>COUNTIF('Metrics - Articles'!F236,"*GCO – Services Sales*")</f>
        <v>0</v>
      </c>
      <c r="O237">
        <f>COUNTIF('Metrics - Articles'!F236,"*GCO – Other*")</f>
        <v>0</v>
      </c>
      <c r="P237">
        <f>COUNTIF('Metrics - Articles'!F236,"*Corporate*")</f>
        <v>1</v>
      </c>
      <c r="R237" s="53">
        <f t="shared" si="5"/>
        <v>1</v>
      </c>
    </row>
    <row r="238" spans="2:18" hidden="1" x14ac:dyDescent="0.25">
      <c r="B238" s="48">
        <f>+'Metrics - Articles'!C237</f>
        <v>42205</v>
      </c>
      <c r="C238">
        <f>COUNTIF('Metrics - Articles'!F237,"*GPO (Partner, Ecosystem, Channels)*")</f>
        <v>0</v>
      </c>
      <c r="D238">
        <f>COUNTIF('Metrics - Articles'!F237,"*Office of the CEO*")</f>
        <v>0</v>
      </c>
      <c r="E238">
        <f>COUNTIF('Metrics - Articles'!F237,"*Services Delivery &amp; Support (go-lives and deployments) *")</f>
        <v>0</v>
      </c>
      <c r="F238">
        <f>COUNTIF('Metrics - Articles'!F237,"*Human Resources (SAP HR and employee stories)*")</f>
        <v>0</v>
      </c>
      <c r="G238">
        <f>COUNTIF('Metrics - Articles'!F237,"*P&amp;I (Research &amp; Development)*")</f>
        <v>0</v>
      </c>
      <c r="H238">
        <f>COUNTIF('Metrics - Articles'!F237,"*Business Network (Concur, Ariba, Fieldglass)*")</f>
        <v>1</v>
      </c>
      <c r="I238">
        <f>COUNTIF('Metrics - Articles'!F237,"*GCO – Regions*")</f>
        <v>0</v>
      </c>
      <c r="J238">
        <f>COUNTIF('Metrics - Articles'!F237,"*GCO – Platform Solutions*")</f>
        <v>0</v>
      </c>
      <c r="K238">
        <f>COUNTIF('Metrics - Articles'!F237,"*GCO – Industry Cloud *")</f>
        <v>0</v>
      </c>
      <c r="L238">
        <f>COUNTIF('Metrics - Articles'!F237,"*GCO – Customer Engagement &amp; Commerce (CRM &amp; hybris) *")</f>
        <v>0</v>
      </c>
      <c r="M238">
        <f>COUNTIF('Metrics - Articles'!F237,"*GCO – HR (SuccessFactors)*")</f>
        <v>0</v>
      </c>
      <c r="N238">
        <f>COUNTIF('Metrics - Articles'!F237,"*GCO – Services Sales*")</f>
        <v>0</v>
      </c>
      <c r="O238">
        <f>COUNTIF('Metrics - Articles'!F237,"*GCO – Other*")</f>
        <v>0</v>
      </c>
      <c r="P238">
        <f>COUNTIF('Metrics - Articles'!F237,"*Corporate*")</f>
        <v>0</v>
      </c>
      <c r="R238" s="53">
        <f t="shared" si="5"/>
        <v>1</v>
      </c>
    </row>
    <row r="239" spans="2:18" hidden="1" x14ac:dyDescent="0.25">
      <c r="B239" s="48">
        <f>+'Metrics - Articles'!C238</f>
        <v>42206</v>
      </c>
      <c r="C239">
        <f>COUNTIF('Metrics - Articles'!F238,"*GPO (Partner, Ecosystem, Channels)*")</f>
        <v>0</v>
      </c>
      <c r="D239">
        <f>COUNTIF('Metrics - Articles'!F238,"*Office of the CEO*")</f>
        <v>0</v>
      </c>
      <c r="E239">
        <f>COUNTIF('Metrics - Articles'!F238,"*Services Delivery &amp; Support (go-lives and deployments) *")</f>
        <v>0</v>
      </c>
      <c r="F239">
        <f>COUNTIF('Metrics - Articles'!F238,"*Human Resources (SAP HR and employee stories)*")</f>
        <v>0</v>
      </c>
      <c r="G239">
        <f>COUNTIF('Metrics - Articles'!F238,"*P&amp;I (Research &amp; Development)*")</f>
        <v>0</v>
      </c>
      <c r="H239">
        <f>COUNTIF('Metrics - Articles'!F238,"*Business Network (Concur, Ariba, Fieldglass)*")</f>
        <v>0</v>
      </c>
      <c r="I239">
        <f>COUNTIF('Metrics - Articles'!F238,"*GCO – Regions*")</f>
        <v>0</v>
      </c>
      <c r="J239">
        <f>COUNTIF('Metrics - Articles'!F238,"*GCO – Platform Solutions*")</f>
        <v>0</v>
      </c>
      <c r="K239">
        <f>COUNTIF('Metrics - Articles'!F238,"*GCO – Industry Cloud *")</f>
        <v>0</v>
      </c>
      <c r="L239">
        <f>COUNTIF('Metrics - Articles'!F238,"*GCO – Customer Engagement &amp; Commerce (CRM &amp; hybris) *")</f>
        <v>0</v>
      </c>
      <c r="M239">
        <f>COUNTIF('Metrics - Articles'!F238,"*GCO – HR (SuccessFactors)*")</f>
        <v>0</v>
      </c>
      <c r="N239">
        <f>COUNTIF('Metrics - Articles'!F238,"*GCO – Services Sales*")</f>
        <v>0</v>
      </c>
      <c r="O239">
        <f>COUNTIF('Metrics - Articles'!F238,"*GCO – Other*")</f>
        <v>0</v>
      </c>
      <c r="P239">
        <f>COUNTIF('Metrics - Articles'!F238,"*Corporate*")</f>
        <v>1</v>
      </c>
      <c r="R239" s="53">
        <f t="shared" si="5"/>
        <v>1</v>
      </c>
    </row>
    <row r="240" spans="2:18" hidden="1" x14ac:dyDescent="0.25">
      <c r="B240" s="48">
        <f>+'Metrics - Articles'!C239</f>
        <v>42206</v>
      </c>
      <c r="C240">
        <f>COUNTIF('Metrics - Articles'!F239,"*GPO (Partner, Ecosystem, Channels)*")</f>
        <v>0</v>
      </c>
      <c r="D240">
        <f>COUNTIF('Metrics - Articles'!F239,"*Office of the CEO*")</f>
        <v>0</v>
      </c>
      <c r="E240">
        <f>COUNTIF('Metrics - Articles'!F239,"*Services Delivery &amp; Support (go-lives and deployments) *")</f>
        <v>0</v>
      </c>
      <c r="F240">
        <f>COUNTIF('Metrics - Articles'!F239,"*Human Resources (SAP HR and employee stories)*")</f>
        <v>0</v>
      </c>
      <c r="G240">
        <f>COUNTIF('Metrics - Articles'!F239,"*P&amp;I (Research &amp; Development)*")</f>
        <v>0</v>
      </c>
      <c r="H240">
        <f>COUNTIF('Metrics - Articles'!F239,"*Business Network (Concur, Ariba, Fieldglass)*")</f>
        <v>0</v>
      </c>
      <c r="I240">
        <f>COUNTIF('Metrics - Articles'!F239,"*GCO – Regions*")</f>
        <v>0</v>
      </c>
      <c r="J240">
        <f>COUNTIF('Metrics - Articles'!F239,"*GCO – Platform Solutions*")</f>
        <v>0</v>
      </c>
      <c r="K240">
        <f>COUNTIF('Metrics - Articles'!F239,"*GCO – Industry Cloud *")</f>
        <v>0</v>
      </c>
      <c r="L240">
        <f>COUNTIF('Metrics - Articles'!F239,"*GCO – Customer Engagement &amp; Commerce (CRM &amp; hybris) *")</f>
        <v>0</v>
      </c>
      <c r="M240">
        <f>COUNTIF('Metrics - Articles'!F239,"*GCO – HR (SuccessFactors)*")</f>
        <v>0</v>
      </c>
      <c r="N240">
        <f>COUNTIF('Metrics - Articles'!F239,"*GCO – Services Sales*")</f>
        <v>0</v>
      </c>
      <c r="O240">
        <f>COUNTIF('Metrics - Articles'!F239,"*GCO – Other*")</f>
        <v>1</v>
      </c>
      <c r="P240">
        <f>COUNTIF('Metrics - Articles'!F239,"*Corporate*")</f>
        <v>0</v>
      </c>
      <c r="R240" s="53">
        <f t="shared" si="5"/>
        <v>1</v>
      </c>
    </row>
    <row r="241" spans="2:18" hidden="1" x14ac:dyDescent="0.25">
      <c r="B241" s="48">
        <f>+'Metrics - Articles'!C240</f>
        <v>42206</v>
      </c>
      <c r="C241">
        <f>COUNTIF('Metrics - Articles'!F240,"*GPO (Partner, Ecosystem, Channels)*")</f>
        <v>0</v>
      </c>
      <c r="D241">
        <f>COUNTIF('Metrics - Articles'!F240,"*Office of the CEO*")</f>
        <v>0</v>
      </c>
      <c r="E241">
        <f>COUNTIF('Metrics - Articles'!F240,"*Services Delivery &amp; Support (go-lives and deployments) *")</f>
        <v>0</v>
      </c>
      <c r="F241">
        <f>COUNTIF('Metrics - Articles'!F240,"*Human Resources (SAP HR and employee stories)*")</f>
        <v>0</v>
      </c>
      <c r="G241">
        <f>COUNTIF('Metrics - Articles'!F240,"*P&amp;I (Research &amp; Development)*")</f>
        <v>0</v>
      </c>
      <c r="H241">
        <f>COUNTIF('Metrics - Articles'!F240,"*Business Network (Concur, Ariba, Fieldglass)*")</f>
        <v>0</v>
      </c>
      <c r="I241">
        <f>COUNTIF('Metrics - Articles'!F240,"*GCO – Regions*")</f>
        <v>0</v>
      </c>
      <c r="J241">
        <f>COUNTIF('Metrics - Articles'!F240,"*GCO – Platform Solutions*")</f>
        <v>0</v>
      </c>
      <c r="K241">
        <f>COUNTIF('Metrics - Articles'!F240,"*GCO – Industry Cloud *")</f>
        <v>0</v>
      </c>
      <c r="L241">
        <f>COUNTIF('Metrics - Articles'!F240,"*GCO – Customer Engagement &amp; Commerce (CRM &amp; hybris) *")</f>
        <v>0</v>
      </c>
      <c r="M241">
        <f>COUNTIF('Metrics - Articles'!F240,"*GCO – HR (SuccessFactors)*")</f>
        <v>0</v>
      </c>
      <c r="N241">
        <f>COUNTIF('Metrics - Articles'!F240,"*GCO – Services Sales*")</f>
        <v>0</v>
      </c>
      <c r="O241">
        <f>COUNTIF('Metrics - Articles'!F240,"*GCO – Other*")</f>
        <v>1</v>
      </c>
      <c r="P241">
        <f>COUNTIF('Metrics - Articles'!F240,"*Corporate*")</f>
        <v>0</v>
      </c>
      <c r="R241" s="53">
        <f t="shared" si="5"/>
        <v>1</v>
      </c>
    </row>
    <row r="242" spans="2:18" hidden="1" x14ac:dyDescent="0.25">
      <c r="B242" s="48">
        <f>+'Metrics - Articles'!C241</f>
        <v>42207</v>
      </c>
      <c r="C242">
        <f>COUNTIF('Metrics - Articles'!F241,"*GPO (Partner, Ecosystem, Channels)*")</f>
        <v>0</v>
      </c>
      <c r="D242">
        <f>COUNTIF('Metrics - Articles'!F241,"*Office of the CEO*")</f>
        <v>0</v>
      </c>
      <c r="E242">
        <f>COUNTIF('Metrics - Articles'!F241,"*Services Delivery &amp; Support (go-lives and deployments) *")</f>
        <v>0</v>
      </c>
      <c r="F242">
        <f>COUNTIF('Metrics - Articles'!F241,"*Human Resources (SAP HR and employee stories)*")</f>
        <v>0</v>
      </c>
      <c r="G242">
        <f>COUNTIF('Metrics - Articles'!F241,"*P&amp;I (Research &amp; Development)*")</f>
        <v>0</v>
      </c>
      <c r="H242">
        <f>COUNTIF('Metrics - Articles'!F241,"*Business Network (Concur, Ariba, Fieldglass)*")</f>
        <v>0</v>
      </c>
      <c r="I242">
        <f>COUNTIF('Metrics - Articles'!F241,"*GCO – Regions*")</f>
        <v>0</v>
      </c>
      <c r="J242">
        <f>COUNTIF('Metrics - Articles'!F241,"*GCO – Platform Solutions*")</f>
        <v>0</v>
      </c>
      <c r="K242">
        <f>COUNTIF('Metrics - Articles'!F241,"*GCO – Industry Cloud *")</f>
        <v>0</v>
      </c>
      <c r="L242">
        <f>COUNTIF('Metrics - Articles'!F241,"*GCO – Customer Engagement &amp; Commerce (CRM &amp; hybris) *")</f>
        <v>0</v>
      </c>
      <c r="M242">
        <f>COUNTIF('Metrics - Articles'!F241,"*GCO – HR (SuccessFactors)*")</f>
        <v>0</v>
      </c>
      <c r="N242">
        <f>COUNTIF('Metrics - Articles'!F241,"*GCO – Services Sales*")</f>
        <v>0</v>
      </c>
      <c r="O242">
        <f>COUNTIF('Metrics - Articles'!F241,"*GCO – Other*")</f>
        <v>0</v>
      </c>
      <c r="P242">
        <f>COUNTIF('Metrics - Articles'!F241,"*Corporate*")</f>
        <v>1</v>
      </c>
      <c r="R242" s="53">
        <f t="shared" si="5"/>
        <v>1</v>
      </c>
    </row>
    <row r="243" spans="2:18" hidden="1" x14ac:dyDescent="0.25">
      <c r="B243" s="48">
        <f>+'Metrics - Articles'!C242</f>
        <v>42207</v>
      </c>
      <c r="C243">
        <f>COUNTIF('Metrics - Articles'!F242,"*GPO (Partner, Ecosystem, Channels)*")</f>
        <v>0</v>
      </c>
      <c r="D243">
        <f>COUNTIF('Metrics - Articles'!F242,"*Office of the CEO*")</f>
        <v>0</v>
      </c>
      <c r="E243">
        <f>COUNTIF('Metrics - Articles'!F242,"*Services Delivery &amp; Support (go-lives and deployments) *")</f>
        <v>0</v>
      </c>
      <c r="F243">
        <f>COUNTIF('Metrics - Articles'!F242,"*Human Resources (SAP HR and employee stories)*")</f>
        <v>0</v>
      </c>
      <c r="G243">
        <f>COUNTIF('Metrics - Articles'!F242,"*P&amp;I (Research &amp; Development)*")</f>
        <v>0</v>
      </c>
      <c r="H243">
        <f>COUNTIF('Metrics - Articles'!F242,"*Business Network (Concur, Ariba, Fieldglass)*")</f>
        <v>1</v>
      </c>
      <c r="I243">
        <f>COUNTIF('Metrics - Articles'!F242,"*GCO – Regions*")</f>
        <v>0</v>
      </c>
      <c r="J243">
        <f>COUNTIF('Metrics - Articles'!F242,"*GCO – Platform Solutions*")</f>
        <v>0</v>
      </c>
      <c r="K243">
        <f>COUNTIF('Metrics - Articles'!F242,"*GCO – Industry Cloud *")</f>
        <v>0</v>
      </c>
      <c r="L243">
        <f>COUNTIF('Metrics - Articles'!F242,"*GCO – Customer Engagement &amp; Commerce (CRM &amp; hybris) *")</f>
        <v>0</v>
      </c>
      <c r="M243">
        <f>COUNTIF('Metrics - Articles'!F242,"*GCO – HR (SuccessFactors)*")</f>
        <v>0</v>
      </c>
      <c r="N243">
        <f>COUNTIF('Metrics - Articles'!F242,"*GCO – Services Sales*")</f>
        <v>0</v>
      </c>
      <c r="O243">
        <f>COUNTIF('Metrics - Articles'!F242,"*GCO – Other*")</f>
        <v>0</v>
      </c>
      <c r="P243">
        <f>COUNTIF('Metrics - Articles'!F242,"*Corporate*")</f>
        <v>0</v>
      </c>
      <c r="R243" s="53">
        <f t="shared" si="5"/>
        <v>1</v>
      </c>
    </row>
    <row r="244" spans="2:18" hidden="1" x14ac:dyDescent="0.25">
      <c r="B244" s="48">
        <f>+'Metrics - Articles'!C243</f>
        <v>42208</v>
      </c>
      <c r="C244">
        <f>COUNTIF('Metrics - Articles'!F243,"*GPO (Partner, Ecosystem, Channels)*")</f>
        <v>0</v>
      </c>
      <c r="D244">
        <f>COUNTIF('Metrics - Articles'!F243,"*Office of the CEO*")</f>
        <v>0</v>
      </c>
      <c r="E244">
        <f>COUNTIF('Metrics - Articles'!F243,"*Services Delivery &amp; Support (go-lives and deployments) *")</f>
        <v>0</v>
      </c>
      <c r="F244">
        <f>COUNTIF('Metrics - Articles'!F243,"*Human Resources (SAP HR and employee stories)*")</f>
        <v>0</v>
      </c>
      <c r="G244">
        <f>COUNTIF('Metrics - Articles'!F243,"*P&amp;I (Research &amp; Development)*")</f>
        <v>0</v>
      </c>
      <c r="H244">
        <f>COUNTIF('Metrics - Articles'!F243,"*Business Network (Concur, Ariba, Fieldglass)*")</f>
        <v>0</v>
      </c>
      <c r="I244">
        <f>COUNTIF('Metrics - Articles'!F243,"*GCO – Regions*")</f>
        <v>0</v>
      </c>
      <c r="J244">
        <f>COUNTIF('Metrics - Articles'!F243,"*GCO – Platform Solutions*")</f>
        <v>0</v>
      </c>
      <c r="K244">
        <f>COUNTIF('Metrics - Articles'!F243,"*GCO – Industry Cloud *")</f>
        <v>0</v>
      </c>
      <c r="L244">
        <f>COUNTIF('Metrics - Articles'!F243,"*GCO – Customer Engagement &amp; Commerce (CRM &amp; hybris) *")</f>
        <v>0</v>
      </c>
      <c r="M244">
        <f>COUNTIF('Metrics - Articles'!F243,"*GCO – HR (SuccessFactors)*")</f>
        <v>0</v>
      </c>
      <c r="N244">
        <f>COUNTIF('Metrics - Articles'!F243,"*GCO – Services Sales*")</f>
        <v>0</v>
      </c>
      <c r="O244">
        <f>COUNTIF('Metrics - Articles'!F243,"*GCO – Other*")</f>
        <v>0</v>
      </c>
      <c r="P244">
        <f>COUNTIF('Metrics - Articles'!F243,"*Corporate*")</f>
        <v>1</v>
      </c>
      <c r="R244" s="53">
        <f t="shared" si="5"/>
        <v>1</v>
      </c>
    </row>
    <row r="245" spans="2:18" hidden="1" x14ac:dyDescent="0.25">
      <c r="B245" s="48">
        <f>+'Metrics - Articles'!C244</f>
        <v>42208</v>
      </c>
      <c r="C245">
        <f>COUNTIF('Metrics - Articles'!F244,"*GPO (Partner, Ecosystem, Channels)*")</f>
        <v>0</v>
      </c>
      <c r="D245">
        <f>COUNTIF('Metrics - Articles'!F244,"*Office of the CEO*")</f>
        <v>0</v>
      </c>
      <c r="E245">
        <f>COUNTIF('Metrics - Articles'!F244,"*Services Delivery &amp; Support (go-lives and deployments) *")</f>
        <v>0</v>
      </c>
      <c r="F245">
        <f>COUNTIF('Metrics - Articles'!F244,"*Human Resources (SAP HR and employee stories)*")</f>
        <v>0</v>
      </c>
      <c r="G245">
        <f>COUNTIF('Metrics - Articles'!F244,"*P&amp;I (Research &amp; Development)*")</f>
        <v>1</v>
      </c>
      <c r="H245">
        <f>COUNTIF('Metrics - Articles'!F244,"*Business Network (Concur, Ariba, Fieldglass)*")</f>
        <v>0</v>
      </c>
      <c r="I245">
        <f>COUNTIF('Metrics - Articles'!F244,"*GCO – Regions*")</f>
        <v>0</v>
      </c>
      <c r="J245">
        <f>COUNTIF('Metrics - Articles'!F244,"*GCO – Platform Solutions*")</f>
        <v>0</v>
      </c>
      <c r="K245">
        <f>COUNTIF('Metrics - Articles'!F244,"*GCO – Industry Cloud *")</f>
        <v>0</v>
      </c>
      <c r="L245">
        <f>COUNTIF('Metrics - Articles'!F244,"*GCO – Customer Engagement &amp; Commerce (CRM &amp; hybris) *")</f>
        <v>0</v>
      </c>
      <c r="M245">
        <f>COUNTIF('Metrics - Articles'!F244,"*GCO – HR (SuccessFactors)*")</f>
        <v>0</v>
      </c>
      <c r="N245">
        <f>COUNTIF('Metrics - Articles'!F244,"*GCO – Services Sales*")</f>
        <v>0</v>
      </c>
      <c r="O245">
        <f>COUNTIF('Metrics - Articles'!F244,"*GCO – Other*")</f>
        <v>0</v>
      </c>
      <c r="P245">
        <f>COUNTIF('Metrics - Articles'!F244,"*Corporate*")</f>
        <v>0</v>
      </c>
      <c r="R245" s="53">
        <f t="shared" si="5"/>
        <v>1</v>
      </c>
    </row>
    <row r="246" spans="2:18" hidden="1" x14ac:dyDescent="0.25">
      <c r="B246" s="48">
        <f>+'Metrics - Articles'!C245</f>
        <v>42209</v>
      </c>
      <c r="C246">
        <f>COUNTIF('Metrics - Articles'!F245,"*GPO (Partner, Ecosystem, Channels)*")</f>
        <v>0</v>
      </c>
      <c r="D246">
        <f>COUNTIF('Metrics - Articles'!F245,"*Office of the CEO*")</f>
        <v>1</v>
      </c>
      <c r="E246">
        <f>COUNTIF('Metrics - Articles'!F245,"*Services Delivery &amp; Support (go-lives and deployments) *")</f>
        <v>0</v>
      </c>
      <c r="F246">
        <f>COUNTIF('Metrics - Articles'!F245,"*Human Resources (SAP HR and employee stories)*")</f>
        <v>0</v>
      </c>
      <c r="G246">
        <f>COUNTIF('Metrics - Articles'!F245,"*P&amp;I (Research &amp; Development)*")</f>
        <v>0</v>
      </c>
      <c r="H246">
        <f>COUNTIF('Metrics - Articles'!F245,"*Business Network (Concur, Ariba, Fieldglass)*")</f>
        <v>0</v>
      </c>
      <c r="I246">
        <f>COUNTIF('Metrics - Articles'!F245,"*GCO – Regions*")</f>
        <v>0</v>
      </c>
      <c r="J246">
        <f>COUNTIF('Metrics - Articles'!F245,"*GCO – Platform Solutions*")</f>
        <v>0</v>
      </c>
      <c r="K246">
        <f>COUNTIF('Metrics - Articles'!F245,"*GCO – Industry Cloud *")</f>
        <v>0</v>
      </c>
      <c r="L246">
        <f>COUNTIF('Metrics - Articles'!F245,"*GCO – Customer Engagement &amp; Commerce (CRM &amp; hybris) *")</f>
        <v>0</v>
      </c>
      <c r="M246">
        <f>COUNTIF('Metrics - Articles'!F245,"*GCO – HR (SuccessFactors)*")</f>
        <v>0</v>
      </c>
      <c r="N246">
        <f>COUNTIF('Metrics - Articles'!F245,"*GCO – Services Sales*")</f>
        <v>0</v>
      </c>
      <c r="O246">
        <f>COUNTIF('Metrics - Articles'!F245,"*GCO – Other*")</f>
        <v>0</v>
      </c>
      <c r="P246">
        <f>COUNTIF('Metrics - Articles'!F245,"*Corporate*")</f>
        <v>0</v>
      </c>
      <c r="R246" s="53">
        <f t="shared" si="5"/>
        <v>1</v>
      </c>
    </row>
    <row r="247" spans="2:18" hidden="1" x14ac:dyDescent="0.25">
      <c r="B247" s="48">
        <f>+'Metrics - Articles'!C246</f>
        <v>42209</v>
      </c>
      <c r="C247">
        <f>COUNTIF('Metrics - Articles'!F246,"*GPO (Partner, Ecosystem, Channels)*")</f>
        <v>0</v>
      </c>
      <c r="D247">
        <f>COUNTIF('Metrics - Articles'!F246,"*Office of the CEO*")</f>
        <v>0</v>
      </c>
      <c r="E247">
        <f>COUNTIF('Metrics - Articles'!F246,"*Services Delivery &amp; Support (go-lives and deployments) *")</f>
        <v>0</v>
      </c>
      <c r="F247">
        <f>COUNTIF('Metrics - Articles'!F246,"*Human Resources (SAP HR and employee stories)*")</f>
        <v>0</v>
      </c>
      <c r="G247">
        <f>COUNTIF('Metrics - Articles'!F246,"*P&amp;I (Research &amp; Development)*")</f>
        <v>0</v>
      </c>
      <c r="H247">
        <f>COUNTIF('Metrics - Articles'!F246,"*Business Network (Concur, Ariba, Fieldglass)*")</f>
        <v>0</v>
      </c>
      <c r="I247">
        <f>COUNTIF('Metrics - Articles'!F246,"*GCO – Regions*")</f>
        <v>1</v>
      </c>
      <c r="J247">
        <f>COUNTIF('Metrics - Articles'!F246,"*GCO – Platform Solutions*")</f>
        <v>0</v>
      </c>
      <c r="K247">
        <f>COUNTIF('Metrics - Articles'!F246,"*GCO – Industry Cloud *")</f>
        <v>0</v>
      </c>
      <c r="L247">
        <f>COUNTIF('Metrics - Articles'!F246,"*GCO – Customer Engagement &amp; Commerce (CRM &amp; hybris) *")</f>
        <v>0</v>
      </c>
      <c r="M247">
        <f>COUNTIF('Metrics - Articles'!F246,"*GCO – HR (SuccessFactors)*")</f>
        <v>0</v>
      </c>
      <c r="N247">
        <f>COUNTIF('Metrics - Articles'!F246,"*GCO – Services Sales*")</f>
        <v>0</v>
      </c>
      <c r="O247">
        <f>COUNTIF('Metrics - Articles'!F246,"*GCO – Other*")</f>
        <v>0</v>
      </c>
      <c r="P247">
        <f>COUNTIF('Metrics - Articles'!F246,"*Corporate*")</f>
        <v>0</v>
      </c>
      <c r="R247" s="53">
        <f t="shared" si="5"/>
        <v>1</v>
      </c>
    </row>
    <row r="248" spans="2:18" hidden="1" x14ac:dyDescent="0.25">
      <c r="B248" s="48">
        <f>+'Metrics - Articles'!C247</f>
        <v>42212</v>
      </c>
      <c r="C248">
        <f>COUNTIF('Metrics - Articles'!F247,"*GPO (Partner, Ecosystem, Channels)*")</f>
        <v>0</v>
      </c>
      <c r="D248">
        <f>COUNTIF('Metrics - Articles'!F247,"*Office of the CEO*")</f>
        <v>0</v>
      </c>
      <c r="E248">
        <f>COUNTIF('Metrics - Articles'!F247,"*Services Delivery &amp; Support (go-lives and deployments) *")</f>
        <v>0</v>
      </c>
      <c r="F248">
        <f>COUNTIF('Metrics - Articles'!F247,"*Human Resources (SAP HR and employee stories)*")</f>
        <v>0</v>
      </c>
      <c r="G248">
        <f>COUNTIF('Metrics - Articles'!F247,"*P&amp;I (Research &amp; Development)*")</f>
        <v>0</v>
      </c>
      <c r="H248">
        <f>COUNTIF('Metrics - Articles'!F247,"*Business Network (Concur, Ariba, Fieldglass)*")</f>
        <v>0</v>
      </c>
      <c r="I248">
        <f>COUNTIF('Metrics - Articles'!F247,"*GCO – Regions*")</f>
        <v>0</v>
      </c>
      <c r="J248">
        <f>COUNTIF('Metrics - Articles'!F247,"*GCO – Platform Solutions*")</f>
        <v>0</v>
      </c>
      <c r="K248">
        <f>COUNTIF('Metrics - Articles'!F247,"*GCO – Industry Cloud *")</f>
        <v>0</v>
      </c>
      <c r="L248">
        <f>COUNTIF('Metrics - Articles'!F247,"*GCO – Customer Engagement &amp; Commerce (CRM &amp; hybris) *")</f>
        <v>0</v>
      </c>
      <c r="M248">
        <f>COUNTIF('Metrics - Articles'!F247,"*GCO – HR (SuccessFactors)*")</f>
        <v>0</v>
      </c>
      <c r="N248">
        <f>COUNTIF('Metrics - Articles'!F247,"*GCO – Services Sales*")</f>
        <v>0</v>
      </c>
      <c r="O248">
        <f>COUNTIF('Metrics - Articles'!F247,"*GCO – Other*")</f>
        <v>1</v>
      </c>
      <c r="P248">
        <f>COUNTIF('Metrics - Articles'!F247,"*Corporate*")</f>
        <v>0</v>
      </c>
      <c r="R248" s="53">
        <f t="shared" si="5"/>
        <v>1</v>
      </c>
    </row>
    <row r="249" spans="2:18" hidden="1" x14ac:dyDescent="0.25">
      <c r="B249" s="48">
        <f>+'Metrics - Articles'!C248</f>
        <v>42212</v>
      </c>
      <c r="C249">
        <f>COUNTIF('Metrics - Articles'!F248,"*GPO (Partner, Ecosystem, Channels)*")</f>
        <v>0</v>
      </c>
      <c r="D249">
        <f>COUNTIF('Metrics - Articles'!F248,"*Office of the CEO*")</f>
        <v>0</v>
      </c>
      <c r="E249">
        <f>COUNTIF('Metrics - Articles'!F248,"*Services Delivery &amp; Support (go-lives and deployments) *")</f>
        <v>0</v>
      </c>
      <c r="F249">
        <f>COUNTIF('Metrics - Articles'!F248,"*Human Resources (SAP HR and employee stories)*")</f>
        <v>0</v>
      </c>
      <c r="G249">
        <f>COUNTIF('Metrics - Articles'!F248,"*P&amp;I (Research &amp; Development)*")</f>
        <v>1</v>
      </c>
      <c r="H249">
        <f>COUNTIF('Metrics - Articles'!F248,"*Business Network (Concur, Ariba, Fieldglass)*")</f>
        <v>0</v>
      </c>
      <c r="I249">
        <f>COUNTIF('Metrics - Articles'!F248,"*GCO – Regions*")</f>
        <v>0</v>
      </c>
      <c r="J249">
        <f>COUNTIF('Metrics - Articles'!F248,"*GCO – Platform Solutions*")</f>
        <v>0</v>
      </c>
      <c r="K249">
        <f>COUNTIF('Metrics - Articles'!F248,"*GCO – Industry Cloud *")</f>
        <v>0</v>
      </c>
      <c r="L249">
        <f>COUNTIF('Metrics - Articles'!F248,"*GCO – Customer Engagement &amp; Commerce (CRM &amp; hybris) *")</f>
        <v>0</v>
      </c>
      <c r="M249">
        <f>COUNTIF('Metrics - Articles'!F248,"*GCO – HR (SuccessFactors)*")</f>
        <v>0</v>
      </c>
      <c r="N249">
        <f>COUNTIF('Metrics - Articles'!F248,"*GCO – Services Sales*")</f>
        <v>0</v>
      </c>
      <c r="O249">
        <f>COUNTIF('Metrics - Articles'!F248,"*GCO – Other*")</f>
        <v>0</v>
      </c>
      <c r="P249">
        <f>COUNTIF('Metrics - Articles'!F248,"*Corporate*")</f>
        <v>0</v>
      </c>
      <c r="R249" s="53">
        <f t="shared" si="5"/>
        <v>1</v>
      </c>
    </row>
    <row r="250" spans="2:18" hidden="1" x14ac:dyDescent="0.25">
      <c r="B250" s="48">
        <f>+'Metrics - Articles'!C249</f>
        <v>42213</v>
      </c>
      <c r="C250">
        <f>COUNTIF('Metrics - Articles'!F249,"*GPO (Partner, Ecosystem, Channels)*")</f>
        <v>0</v>
      </c>
      <c r="D250">
        <f>COUNTIF('Metrics - Articles'!F249,"*Office of the CEO*")</f>
        <v>0</v>
      </c>
      <c r="E250">
        <f>COUNTIF('Metrics - Articles'!F249,"*Services Delivery &amp; Support (go-lives and deployments) *")</f>
        <v>0</v>
      </c>
      <c r="F250">
        <f>COUNTIF('Metrics - Articles'!F249,"*Human Resources (SAP HR and employee stories)*")</f>
        <v>0</v>
      </c>
      <c r="G250">
        <f>COUNTIF('Metrics - Articles'!F249,"*P&amp;I (Research &amp; Development)*")</f>
        <v>0</v>
      </c>
      <c r="H250">
        <f>COUNTIF('Metrics - Articles'!F249,"*Business Network (Concur, Ariba, Fieldglass)*")</f>
        <v>0</v>
      </c>
      <c r="I250">
        <f>COUNTIF('Metrics - Articles'!F249,"*GCO – Regions*")</f>
        <v>0</v>
      </c>
      <c r="J250">
        <f>COUNTIF('Metrics - Articles'!F249,"*GCO – Platform Solutions*")</f>
        <v>0</v>
      </c>
      <c r="K250">
        <f>COUNTIF('Metrics - Articles'!F249,"*GCO – Industry Cloud *")</f>
        <v>0</v>
      </c>
      <c r="L250">
        <f>COUNTIF('Metrics - Articles'!F249,"*GCO – Customer Engagement &amp; Commerce (CRM &amp; hybris) *")</f>
        <v>0</v>
      </c>
      <c r="M250">
        <f>COUNTIF('Metrics - Articles'!F249,"*GCO – HR (SuccessFactors)*")</f>
        <v>0</v>
      </c>
      <c r="N250">
        <f>COUNTIF('Metrics - Articles'!F249,"*GCO – Services Sales*")</f>
        <v>0</v>
      </c>
      <c r="O250">
        <f>COUNTIF('Metrics - Articles'!F249,"*GCO – Other*")</f>
        <v>0</v>
      </c>
      <c r="P250">
        <f>COUNTIF('Metrics - Articles'!F249,"*Corporate*")</f>
        <v>1</v>
      </c>
      <c r="R250" s="53">
        <f t="shared" si="5"/>
        <v>1</v>
      </c>
    </row>
    <row r="251" spans="2:18" hidden="1" x14ac:dyDescent="0.25">
      <c r="B251" s="48">
        <f>+'Metrics - Articles'!C250</f>
        <v>42213</v>
      </c>
      <c r="C251">
        <f>COUNTIF('Metrics - Articles'!F250,"*GPO (Partner, Ecosystem, Channels)*")</f>
        <v>0</v>
      </c>
      <c r="D251">
        <f>COUNTIF('Metrics - Articles'!F250,"*Office of the CEO*")</f>
        <v>0</v>
      </c>
      <c r="E251">
        <f>COUNTIF('Metrics - Articles'!F250,"*Services Delivery &amp; Support (go-lives and deployments) *")</f>
        <v>0</v>
      </c>
      <c r="F251">
        <f>COUNTIF('Metrics - Articles'!F250,"*Human Resources (SAP HR and employee stories)*")</f>
        <v>1</v>
      </c>
      <c r="G251">
        <f>COUNTIF('Metrics - Articles'!F250,"*P&amp;I (Research &amp; Development)*")</f>
        <v>0</v>
      </c>
      <c r="H251">
        <f>COUNTIF('Metrics - Articles'!F250,"*Business Network (Concur, Ariba, Fieldglass)*")</f>
        <v>0</v>
      </c>
      <c r="I251">
        <f>COUNTIF('Metrics - Articles'!F250,"*GCO – Regions*")</f>
        <v>0</v>
      </c>
      <c r="J251">
        <f>COUNTIF('Metrics - Articles'!F250,"*GCO – Platform Solutions*")</f>
        <v>0</v>
      </c>
      <c r="K251">
        <f>COUNTIF('Metrics - Articles'!F250,"*GCO – Industry Cloud *")</f>
        <v>0</v>
      </c>
      <c r="L251">
        <f>COUNTIF('Metrics - Articles'!F250,"*GCO – Customer Engagement &amp; Commerce (CRM &amp; hybris) *")</f>
        <v>0</v>
      </c>
      <c r="M251">
        <f>COUNTIF('Metrics - Articles'!F250,"*GCO – HR (SuccessFactors)*")</f>
        <v>0</v>
      </c>
      <c r="N251">
        <f>COUNTIF('Metrics - Articles'!F250,"*GCO – Services Sales*")</f>
        <v>0</v>
      </c>
      <c r="O251">
        <f>COUNTIF('Metrics - Articles'!F250,"*GCO – Other*")</f>
        <v>0</v>
      </c>
      <c r="P251">
        <f>COUNTIF('Metrics - Articles'!F250,"*Corporate*")</f>
        <v>0</v>
      </c>
      <c r="R251" s="53">
        <f t="shared" si="5"/>
        <v>1</v>
      </c>
    </row>
    <row r="252" spans="2:18" hidden="1" x14ac:dyDescent="0.25">
      <c r="B252" s="48">
        <f>+'Metrics - Articles'!C251</f>
        <v>42214</v>
      </c>
      <c r="C252">
        <f>COUNTIF('Metrics - Articles'!F251,"*GPO (Partner, Ecosystem, Channels)*")</f>
        <v>0</v>
      </c>
      <c r="D252">
        <f>COUNTIF('Metrics - Articles'!F251,"*Office of the CEO*")</f>
        <v>0</v>
      </c>
      <c r="E252">
        <f>COUNTIF('Metrics - Articles'!F251,"*Services Delivery &amp; Support (go-lives and deployments) *")</f>
        <v>0</v>
      </c>
      <c r="F252">
        <f>COUNTIF('Metrics - Articles'!F251,"*Human Resources (SAP HR and employee stories)*")</f>
        <v>0</v>
      </c>
      <c r="G252">
        <f>COUNTIF('Metrics - Articles'!F251,"*P&amp;I (Research &amp; Development)*")</f>
        <v>0</v>
      </c>
      <c r="H252">
        <f>COUNTIF('Metrics - Articles'!F251,"*Business Network (Concur, Ariba, Fieldglass)*")</f>
        <v>0</v>
      </c>
      <c r="I252">
        <f>COUNTIF('Metrics - Articles'!F251,"*GCO – Regions*")</f>
        <v>1</v>
      </c>
      <c r="J252">
        <f>COUNTIF('Metrics - Articles'!F251,"*GCO – Platform Solutions*")</f>
        <v>0</v>
      </c>
      <c r="K252">
        <f>COUNTIF('Metrics - Articles'!F251,"*GCO – Industry Cloud *")</f>
        <v>1</v>
      </c>
      <c r="L252">
        <f>COUNTIF('Metrics - Articles'!F251,"*GCO – Customer Engagement &amp; Commerce (CRM &amp; hybris) *")</f>
        <v>0</v>
      </c>
      <c r="M252">
        <f>COUNTIF('Metrics - Articles'!F251,"*GCO – HR (SuccessFactors)*")</f>
        <v>0</v>
      </c>
      <c r="N252">
        <f>COUNTIF('Metrics - Articles'!F251,"*GCO – Services Sales*")</f>
        <v>0</v>
      </c>
      <c r="O252">
        <f>COUNTIF('Metrics - Articles'!F251,"*GCO – Other*")</f>
        <v>0</v>
      </c>
      <c r="P252">
        <f>COUNTIF('Metrics - Articles'!F251,"*Corporate*")</f>
        <v>0</v>
      </c>
      <c r="R252" s="53">
        <f t="shared" si="5"/>
        <v>2</v>
      </c>
    </row>
    <row r="253" spans="2:18" hidden="1" x14ac:dyDescent="0.25">
      <c r="B253" s="48">
        <f>+'Metrics - Articles'!C252</f>
        <v>42215</v>
      </c>
      <c r="C253">
        <f>COUNTIF('Metrics - Articles'!F252,"*GPO (Partner, Ecosystem, Channels)*")</f>
        <v>0</v>
      </c>
      <c r="D253">
        <f>COUNTIF('Metrics - Articles'!F252,"*Office of the CEO*")</f>
        <v>0</v>
      </c>
      <c r="E253">
        <f>COUNTIF('Metrics - Articles'!F252,"*Services Delivery &amp; Support (go-lives and deployments) *")</f>
        <v>0</v>
      </c>
      <c r="F253">
        <f>COUNTIF('Metrics - Articles'!F252,"*Human Resources (SAP HR and employee stories)*")</f>
        <v>0</v>
      </c>
      <c r="G253">
        <f>COUNTIF('Metrics - Articles'!F252,"*P&amp;I (Research &amp; Development)*")</f>
        <v>0</v>
      </c>
      <c r="H253">
        <f>COUNTIF('Metrics - Articles'!F252,"*Business Network (Concur, Ariba, Fieldglass)*")</f>
        <v>0</v>
      </c>
      <c r="I253">
        <f>COUNTIF('Metrics - Articles'!F252,"*GCO – Regions*")</f>
        <v>0</v>
      </c>
      <c r="J253">
        <f>COUNTIF('Metrics - Articles'!F252,"*GCO – Platform Solutions*")</f>
        <v>0</v>
      </c>
      <c r="K253">
        <f>COUNTIF('Metrics - Articles'!F252,"*GCO – Industry Cloud *")</f>
        <v>0</v>
      </c>
      <c r="L253">
        <f>COUNTIF('Metrics - Articles'!F252,"*GCO – Customer Engagement &amp; Commerce (CRM &amp; hybris) *")</f>
        <v>0</v>
      </c>
      <c r="M253">
        <f>COUNTIF('Metrics - Articles'!F252,"*GCO – HR (SuccessFactors)*")</f>
        <v>0</v>
      </c>
      <c r="N253">
        <f>COUNTIF('Metrics - Articles'!F252,"*GCO – Services Sales*")</f>
        <v>0</v>
      </c>
      <c r="O253">
        <f>COUNTIF('Metrics - Articles'!F252,"*GCO – Other*")</f>
        <v>0</v>
      </c>
      <c r="P253">
        <f>COUNTIF('Metrics - Articles'!F252,"*Corporate*")</f>
        <v>1</v>
      </c>
      <c r="R253" s="53">
        <f t="shared" si="5"/>
        <v>1</v>
      </c>
    </row>
    <row r="254" spans="2:18" hidden="1" x14ac:dyDescent="0.25">
      <c r="B254" s="48">
        <f>+'Metrics - Articles'!C253</f>
        <v>42215</v>
      </c>
      <c r="C254">
        <f>COUNTIF('Metrics - Articles'!F253,"*GPO (Partner, Ecosystem, Channels)*")</f>
        <v>0</v>
      </c>
      <c r="D254">
        <f>COUNTIF('Metrics - Articles'!F253,"*Office of the CEO*")</f>
        <v>0</v>
      </c>
      <c r="E254">
        <f>COUNTIF('Metrics - Articles'!F253,"*Services Delivery &amp; Support (go-lives and deployments) *")</f>
        <v>0</v>
      </c>
      <c r="F254">
        <f>COUNTIF('Metrics - Articles'!F253,"*Human Resources (SAP HR and employee stories)*")</f>
        <v>0</v>
      </c>
      <c r="G254">
        <f>COUNTIF('Metrics - Articles'!F253,"*P&amp;I (Research &amp; Development)*")</f>
        <v>0</v>
      </c>
      <c r="H254">
        <f>COUNTIF('Metrics - Articles'!F253,"*Business Network (Concur, Ariba, Fieldglass)*")</f>
        <v>0</v>
      </c>
      <c r="I254">
        <f>COUNTIF('Metrics - Articles'!F253,"*GCO – Regions*")</f>
        <v>0</v>
      </c>
      <c r="J254">
        <f>COUNTIF('Metrics - Articles'!F253,"*GCO – Platform Solutions*")</f>
        <v>0</v>
      </c>
      <c r="K254">
        <f>COUNTIF('Metrics - Articles'!F253,"*GCO – Industry Cloud *")</f>
        <v>0</v>
      </c>
      <c r="L254">
        <f>COUNTIF('Metrics - Articles'!F253,"*GCO – Customer Engagement &amp; Commerce (CRM &amp; hybris) *")</f>
        <v>0</v>
      </c>
      <c r="M254">
        <f>COUNTIF('Metrics - Articles'!F253,"*GCO – HR (SuccessFactors)*")</f>
        <v>0</v>
      </c>
      <c r="N254">
        <f>COUNTIF('Metrics - Articles'!F253,"*GCO – Services Sales*")</f>
        <v>0</v>
      </c>
      <c r="O254">
        <f>COUNTIF('Metrics - Articles'!F253,"*GCO – Other*")</f>
        <v>0</v>
      </c>
      <c r="P254">
        <f>COUNTIF('Metrics - Articles'!F253,"*Corporate*")</f>
        <v>1</v>
      </c>
      <c r="R254" s="53">
        <f t="shared" si="5"/>
        <v>1</v>
      </c>
    </row>
    <row r="255" spans="2:18" hidden="1" x14ac:dyDescent="0.25">
      <c r="B255" s="48">
        <f>+'Metrics - Articles'!C254</f>
        <v>42216</v>
      </c>
      <c r="C255">
        <f>COUNTIF('Metrics - Articles'!F254,"*GPO (Partner, Ecosystem, Channels)*")</f>
        <v>0</v>
      </c>
      <c r="D255">
        <f>COUNTIF('Metrics - Articles'!F254,"*Office of the CEO*")</f>
        <v>0</v>
      </c>
      <c r="E255">
        <f>COUNTIF('Metrics - Articles'!F254,"*Services Delivery &amp; Support (go-lives and deployments) *")</f>
        <v>0</v>
      </c>
      <c r="F255">
        <f>COUNTIF('Metrics - Articles'!F254,"*Human Resources (SAP HR and employee stories)*")</f>
        <v>0</v>
      </c>
      <c r="G255">
        <f>COUNTIF('Metrics - Articles'!F254,"*P&amp;I (Research &amp; Development)*")</f>
        <v>0</v>
      </c>
      <c r="H255">
        <f>COUNTIF('Metrics - Articles'!F254,"*Business Network (Concur, Ariba, Fieldglass)*")</f>
        <v>0</v>
      </c>
      <c r="I255">
        <f>COUNTIF('Metrics - Articles'!F254,"*GCO – Regions*")</f>
        <v>1</v>
      </c>
      <c r="J255">
        <f>COUNTIF('Metrics - Articles'!F254,"*GCO – Platform Solutions*")</f>
        <v>1</v>
      </c>
      <c r="K255">
        <f>COUNTIF('Metrics - Articles'!F254,"*GCO – Industry Cloud *")</f>
        <v>0</v>
      </c>
      <c r="L255">
        <f>COUNTIF('Metrics - Articles'!F254,"*GCO – Customer Engagement &amp; Commerce (CRM &amp; hybris) *")</f>
        <v>0</v>
      </c>
      <c r="M255">
        <f>COUNTIF('Metrics - Articles'!F254,"*GCO – HR (SuccessFactors)*")</f>
        <v>0</v>
      </c>
      <c r="N255">
        <f>COUNTIF('Metrics - Articles'!F254,"*GCO – Services Sales*")</f>
        <v>0</v>
      </c>
      <c r="O255">
        <f>COUNTIF('Metrics - Articles'!F254,"*GCO – Other*")</f>
        <v>0</v>
      </c>
      <c r="P255">
        <f>COUNTIF('Metrics - Articles'!F254,"*Corporate*")</f>
        <v>0</v>
      </c>
      <c r="R255" s="53">
        <f t="shared" si="5"/>
        <v>2</v>
      </c>
    </row>
    <row r="256" spans="2:18" hidden="1" x14ac:dyDescent="0.25">
      <c r="B256" s="48">
        <f>+'Metrics - Articles'!C255</f>
        <v>42216</v>
      </c>
      <c r="C256">
        <f>COUNTIF('Metrics - Articles'!F255,"*GPO (Partner, Ecosystem, Channels)*")</f>
        <v>0</v>
      </c>
      <c r="D256">
        <f>COUNTIF('Metrics - Articles'!F255,"*Office of the CEO*")</f>
        <v>0</v>
      </c>
      <c r="E256">
        <f>COUNTIF('Metrics - Articles'!F255,"*Services Delivery &amp; Support (go-lives and deployments) *")</f>
        <v>0</v>
      </c>
      <c r="F256">
        <f>COUNTIF('Metrics - Articles'!F255,"*Human Resources (SAP HR and employee stories)*")</f>
        <v>0</v>
      </c>
      <c r="G256">
        <f>COUNTIF('Metrics - Articles'!F255,"*P&amp;I (Research &amp; Development)*")</f>
        <v>0</v>
      </c>
      <c r="H256">
        <f>COUNTIF('Metrics - Articles'!F255,"*Business Network (Concur, Ariba, Fieldglass)*")</f>
        <v>0</v>
      </c>
      <c r="I256">
        <f>COUNTIF('Metrics - Articles'!F255,"*GCO – Regions*")</f>
        <v>0</v>
      </c>
      <c r="J256">
        <f>COUNTIF('Metrics - Articles'!F255,"*GCO – Platform Solutions*")</f>
        <v>0</v>
      </c>
      <c r="K256">
        <f>COUNTIF('Metrics - Articles'!F255,"*GCO – Industry Cloud *")</f>
        <v>0</v>
      </c>
      <c r="L256">
        <f>COUNTIF('Metrics - Articles'!F255,"*GCO – Customer Engagement &amp; Commerce (CRM &amp; hybris) *")</f>
        <v>0</v>
      </c>
      <c r="M256">
        <f>COUNTIF('Metrics - Articles'!F255,"*GCO – HR (SuccessFactors)*")</f>
        <v>0</v>
      </c>
      <c r="N256">
        <f>COUNTIF('Metrics - Articles'!F255,"*GCO – Services Sales*")</f>
        <v>0</v>
      </c>
      <c r="O256">
        <f>COUNTIF('Metrics - Articles'!F255,"*GCO – Other*")</f>
        <v>0</v>
      </c>
      <c r="P256">
        <f>COUNTIF('Metrics - Articles'!F255,"*Corporate*")</f>
        <v>1</v>
      </c>
      <c r="R256" s="53">
        <f t="shared" si="5"/>
        <v>1</v>
      </c>
    </row>
    <row r="257" spans="2:18" hidden="1" x14ac:dyDescent="0.25">
      <c r="B257" s="48">
        <f>+'Metrics - Articles'!C256</f>
        <v>42219</v>
      </c>
      <c r="C257">
        <f>COUNTIF('Metrics - Articles'!F256,"*GPO (Partner, Ecosystem, Channels)*")</f>
        <v>0</v>
      </c>
      <c r="D257">
        <f>COUNTIF('Metrics - Articles'!F256,"*Office of the CEO*")</f>
        <v>0</v>
      </c>
      <c r="E257">
        <f>COUNTIF('Metrics - Articles'!F256,"*Services Delivery &amp; Support (go-lives and deployments) *")</f>
        <v>0</v>
      </c>
      <c r="F257">
        <f>COUNTIF('Metrics - Articles'!F256,"*Human Resources (SAP HR and employee stories)*")</f>
        <v>1</v>
      </c>
      <c r="G257">
        <f>COUNTIF('Metrics - Articles'!F256,"*P&amp;I (Research &amp; Development)*")</f>
        <v>0</v>
      </c>
      <c r="H257">
        <f>COUNTIF('Metrics - Articles'!F256,"*Business Network (Concur, Ariba, Fieldglass)*")</f>
        <v>0</v>
      </c>
      <c r="I257">
        <f>COUNTIF('Metrics - Articles'!F256,"*GCO – Regions*")</f>
        <v>0</v>
      </c>
      <c r="J257">
        <f>COUNTIF('Metrics - Articles'!F256,"*GCO – Platform Solutions*")</f>
        <v>0</v>
      </c>
      <c r="K257">
        <f>COUNTIF('Metrics - Articles'!F256,"*GCO – Industry Cloud *")</f>
        <v>0</v>
      </c>
      <c r="L257">
        <f>COUNTIF('Metrics - Articles'!F256,"*GCO – Customer Engagement &amp; Commerce (CRM &amp; hybris) *")</f>
        <v>0</v>
      </c>
      <c r="M257">
        <f>COUNTIF('Metrics - Articles'!F256,"*GCO – HR (SuccessFactors)*")</f>
        <v>0</v>
      </c>
      <c r="N257">
        <f>COUNTIF('Metrics - Articles'!F256,"*GCO – Services Sales*")</f>
        <v>0</v>
      </c>
      <c r="O257">
        <f>COUNTIF('Metrics - Articles'!F256,"*GCO – Other*")</f>
        <v>0</v>
      </c>
      <c r="P257">
        <f>COUNTIF('Metrics - Articles'!F256,"*Corporate*")</f>
        <v>0</v>
      </c>
      <c r="R257" s="53">
        <f t="shared" si="5"/>
        <v>1</v>
      </c>
    </row>
    <row r="258" spans="2:18" hidden="1" x14ac:dyDescent="0.25">
      <c r="B258" s="48">
        <f>+'Metrics - Articles'!C257</f>
        <v>42220</v>
      </c>
      <c r="C258">
        <f>COUNTIF('Metrics - Articles'!F257,"*GPO (Partner, Ecosystem, Channels)*")</f>
        <v>0</v>
      </c>
      <c r="D258">
        <f>COUNTIF('Metrics - Articles'!F257,"*Office of the CEO*")</f>
        <v>0</v>
      </c>
      <c r="E258">
        <f>COUNTIF('Metrics - Articles'!F257,"*Services Delivery &amp; Support (go-lives and deployments) *")</f>
        <v>0</v>
      </c>
      <c r="F258">
        <f>COUNTIF('Metrics - Articles'!F257,"*Human Resources (SAP HR and employee stories)*")</f>
        <v>0</v>
      </c>
      <c r="G258">
        <f>COUNTIF('Metrics - Articles'!F257,"*P&amp;I (Research &amp; Development)*")</f>
        <v>1</v>
      </c>
      <c r="H258">
        <f>COUNTIF('Metrics - Articles'!F257,"*Business Network (Concur, Ariba, Fieldglass)*")</f>
        <v>0</v>
      </c>
      <c r="I258">
        <f>COUNTIF('Metrics - Articles'!F257,"*GCO – Regions*")</f>
        <v>0</v>
      </c>
      <c r="J258">
        <f>COUNTIF('Metrics - Articles'!F257,"*GCO – Platform Solutions*")</f>
        <v>0</v>
      </c>
      <c r="K258">
        <f>COUNTIF('Metrics - Articles'!F257,"*GCO – Industry Cloud *")</f>
        <v>0</v>
      </c>
      <c r="L258">
        <f>COUNTIF('Metrics - Articles'!F257,"*GCO – Customer Engagement &amp; Commerce (CRM &amp; hybris) *")</f>
        <v>0</v>
      </c>
      <c r="M258">
        <f>COUNTIF('Metrics - Articles'!F257,"*GCO – HR (SuccessFactors)*")</f>
        <v>0</v>
      </c>
      <c r="N258">
        <f>COUNTIF('Metrics - Articles'!F257,"*GCO – Services Sales*")</f>
        <v>0</v>
      </c>
      <c r="O258">
        <f>COUNTIF('Metrics - Articles'!F257,"*GCO – Other*")</f>
        <v>0</v>
      </c>
      <c r="P258">
        <f>COUNTIF('Metrics - Articles'!F257,"*Corporate*")</f>
        <v>0</v>
      </c>
      <c r="R258" s="53">
        <f t="shared" si="5"/>
        <v>1</v>
      </c>
    </row>
    <row r="259" spans="2:18" hidden="1" x14ac:dyDescent="0.25">
      <c r="B259" s="48">
        <f>+'Metrics - Articles'!C258</f>
        <v>42221</v>
      </c>
      <c r="C259">
        <f>COUNTIF('Metrics - Articles'!F258,"*GPO (Partner, Ecosystem, Channels)*")</f>
        <v>1</v>
      </c>
      <c r="D259">
        <f>COUNTIF('Metrics - Articles'!F258,"*Office of the CEO*")</f>
        <v>0</v>
      </c>
      <c r="E259">
        <f>COUNTIF('Metrics - Articles'!F258,"*Services Delivery &amp; Support (go-lives and deployments) *")</f>
        <v>0</v>
      </c>
      <c r="F259">
        <f>COUNTIF('Metrics - Articles'!F258,"*Human Resources (SAP HR and employee stories)*")</f>
        <v>0</v>
      </c>
      <c r="G259">
        <f>COUNTIF('Metrics - Articles'!F258,"*P&amp;I (Research &amp; Development)*")</f>
        <v>0</v>
      </c>
      <c r="H259">
        <f>COUNTIF('Metrics - Articles'!F258,"*Business Network (Concur, Ariba, Fieldglass)*")</f>
        <v>0</v>
      </c>
      <c r="I259">
        <f>COUNTIF('Metrics - Articles'!F258,"*GCO – Regions*")</f>
        <v>0</v>
      </c>
      <c r="J259">
        <f>COUNTIF('Metrics - Articles'!F258,"*GCO – Platform Solutions*")</f>
        <v>0</v>
      </c>
      <c r="K259">
        <f>COUNTIF('Metrics - Articles'!F258,"*GCO – Industry Cloud *")</f>
        <v>0</v>
      </c>
      <c r="L259">
        <f>COUNTIF('Metrics - Articles'!F258,"*GCO – Customer Engagement &amp; Commerce (CRM &amp; hybris) *")</f>
        <v>0</v>
      </c>
      <c r="M259">
        <f>COUNTIF('Metrics - Articles'!F258,"*GCO – HR (SuccessFactors)*")</f>
        <v>0</v>
      </c>
      <c r="N259">
        <f>COUNTIF('Metrics - Articles'!F258,"*GCO – Services Sales*")</f>
        <v>0</v>
      </c>
      <c r="O259">
        <f>COUNTIF('Metrics - Articles'!F258,"*GCO – Other*")</f>
        <v>0</v>
      </c>
      <c r="P259">
        <f>COUNTIF('Metrics - Articles'!F258,"*Corporate*")</f>
        <v>0</v>
      </c>
      <c r="R259" s="53">
        <f t="shared" si="5"/>
        <v>1</v>
      </c>
    </row>
    <row r="260" spans="2:18" hidden="1" x14ac:dyDescent="0.25">
      <c r="B260" s="48">
        <f>+'Metrics - Articles'!C259</f>
        <v>42222</v>
      </c>
      <c r="C260">
        <f>COUNTIF('Metrics - Articles'!F259,"*GPO (Partner, Ecosystem, Channels)*")</f>
        <v>0</v>
      </c>
      <c r="D260">
        <f>COUNTIF('Metrics - Articles'!F259,"*Office of the CEO*")</f>
        <v>0</v>
      </c>
      <c r="E260">
        <f>COUNTIF('Metrics - Articles'!F259,"*Services Delivery &amp; Support (go-lives and deployments) *")</f>
        <v>0</v>
      </c>
      <c r="F260">
        <f>COUNTIF('Metrics - Articles'!F259,"*Human Resources (SAP HR and employee stories)*")</f>
        <v>0</v>
      </c>
      <c r="G260">
        <f>COUNTIF('Metrics - Articles'!F259,"*P&amp;I (Research &amp; Development)*")</f>
        <v>0</v>
      </c>
      <c r="H260">
        <f>COUNTIF('Metrics - Articles'!F259,"*Business Network (Concur, Ariba, Fieldglass)*")</f>
        <v>0</v>
      </c>
      <c r="I260">
        <f>COUNTIF('Metrics - Articles'!F259,"*GCO – Regions*")</f>
        <v>1</v>
      </c>
      <c r="J260">
        <f>COUNTIF('Metrics - Articles'!F259,"*GCO – Platform Solutions*")</f>
        <v>0</v>
      </c>
      <c r="K260">
        <f>COUNTIF('Metrics - Articles'!F259,"*GCO – Industry Cloud *")</f>
        <v>0</v>
      </c>
      <c r="L260">
        <f>COUNTIF('Metrics - Articles'!F259,"*GCO – Customer Engagement &amp; Commerce (CRM &amp; hybris) *")</f>
        <v>0</v>
      </c>
      <c r="M260">
        <f>COUNTIF('Metrics - Articles'!F259,"*GCO – HR (SuccessFactors)*")</f>
        <v>0</v>
      </c>
      <c r="N260">
        <f>COUNTIF('Metrics - Articles'!F259,"*GCO – Services Sales*")</f>
        <v>0</v>
      </c>
      <c r="O260">
        <f>COUNTIF('Metrics - Articles'!F259,"*GCO – Other*")</f>
        <v>0</v>
      </c>
      <c r="P260">
        <f>COUNTIF('Metrics - Articles'!F259,"*Corporate*")</f>
        <v>0</v>
      </c>
      <c r="R260" s="53">
        <f t="shared" si="5"/>
        <v>1</v>
      </c>
    </row>
    <row r="261" spans="2:18" hidden="1" x14ac:dyDescent="0.25">
      <c r="B261" s="48">
        <f>+'Metrics - Articles'!C260</f>
        <v>42222</v>
      </c>
      <c r="C261">
        <f>COUNTIF('Metrics - Articles'!F260,"*GPO (Partner, Ecosystem, Channels)*")</f>
        <v>0</v>
      </c>
      <c r="D261">
        <f>COUNTIF('Metrics - Articles'!F260,"*Office of the CEO*")</f>
        <v>0</v>
      </c>
      <c r="E261">
        <f>COUNTIF('Metrics - Articles'!F260,"*Services Delivery &amp; Support (go-lives and deployments) *")</f>
        <v>0</v>
      </c>
      <c r="F261">
        <f>COUNTIF('Metrics - Articles'!F260,"*Human Resources (SAP HR and employee stories)*")</f>
        <v>0</v>
      </c>
      <c r="G261">
        <f>COUNTIF('Metrics - Articles'!F260,"*P&amp;I (Research &amp; Development)*")</f>
        <v>0</v>
      </c>
      <c r="H261">
        <f>COUNTIF('Metrics - Articles'!F260,"*Business Network (Concur, Ariba, Fieldglass)*")</f>
        <v>0</v>
      </c>
      <c r="I261">
        <f>COUNTIF('Metrics - Articles'!F260,"*GCO – Regions*")</f>
        <v>1</v>
      </c>
      <c r="J261">
        <f>COUNTIF('Metrics - Articles'!F260,"*GCO – Platform Solutions*")</f>
        <v>0</v>
      </c>
      <c r="K261">
        <f>COUNTIF('Metrics - Articles'!F260,"*GCO – Industry Cloud *")</f>
        <v>0</v>
      </c>
      <c r="L261">
        <f>COUNTIF('Metrics - Articles'!F260,"*GCO – Customer Engagement &amp; Commerce (CRM &amp; hybris) *")</f>
        <v>0</v>
      </c>
      <c r="M261">
        <f>COUNTIF('Metrics - Articles'!F260,"*GCO – HR (SuccessFactors)*")</f>
        <v>0</v>
      </c>
      <c r="N261">
        <f>COUNTIF('Metrics - Articles'!F260,"*GCO – Services Sales*")</f>
        <v>0</v>
      </c>
      <c r="O261">
        <f>COUNTIF('Metrics - Articles'!F260,"*GCO – Other*")</f>
        <v>0</v>
      </c>
      <c r="P261">
        <f>COUNTIF('Metrics - Articles'!F260,"*Corporate*")</f>
        <v>0</v>
      </c>
      <c r="R261" s="53">
        <f t="shared" si="5"/>
        <v>1</v>
      </c>
    </row>
    <row r="262" spans="2:18" hidden="1" x14ac:dyDescent="0.25">
      <c r="B262" s="48">
        <f>+'Metrics - Articles'!C261</f>
        <v>42223</v>
      </c>
      <c r="C262">
        <f>COUNTIF('Metrics - Articles'!F261,"*GPO (Partner, Ecosystem, Channels)*")</f>
        <v>0</v>
      </c>
      <c r="D262">
        <f>COUNTIF('Metrics - Articles'!F261,"*Office of the CEO*")</f>
        <v>0</v>
      </c>
      <c r="E262">
        <f>COUNTIF('Metrics - Articles'!F261,"*Services Delivery &amp; Support (go-lives and deployments) *")</f>
        <v>0</v>
      </c>
      <c r="F262">
        <f>COUNTIF('Metrics - Articles'!F261,"*Human Resources (SAP HR and employee stories)*")</f>
        <v>0</v>
      </c>
      <c r="G262">
        <f>COUNTIF('Metrics - Articles'!F261,"*P&amp;I (Research &amp; Development)*")</f>
        <v>0</v>
      </c>
      <c r="H262">
        <f>COUNTIF('Metrics - Articles'!F261,"*Business Network (Concur, Ariba, Fieldglass)*")</f>
        <v>0</v>
      </c>
      <c r="I262">
        <f>COUNTIF('Metrics - Articles'!F261,"*GCO – Regions*")</f>
        <v>0</v>
      </c>
      <c r="J262">
        <f>COUNTIF('Metrics - Articles'!F261,"*GCO – Platform Solutions*")</f>
        <v>0</v>
      </c>
      <c r="K262">
        <f>COUNTIF('Metrics - Articles'!F261,"*GCO – Industry Cloud *")</f>
        <v>0</v>
      </c>
      <c r="L262">
        <f>COUNTIF('Metrics - Articles'!F261,"*GCO – Customer Engagement &amp; Commerce (CRM &amp; hybris) *")</f>
        <v>0</v>
      </c>
      <c r="M262">
        <f>COUNTIF('Metrics - Articles'!F261,"*GCO – HR (SuccessFactors)*")</f>
        <v>0</v>
      </c>
      <c r="N262">
        <f>COUNTIF('Metrics - Articles'!F261,"*GCO – Services Sales*")</f>
        <v>0</v>
      </c>
      <c r="O262">
        <f>COUNTIF('Metrics - Articles'!F261,"*GCO – Other*")</f>
        <v>0</v>
      </c>
      <c r="P262">
        <f>COUNTIF('Metrics - Articles'!F261,"*Corporate*")</f>
        <v>1</v>
      </c>
      <c r="R262" s="53">
        <f t="shared" si="5"/>
        <v>1</v>
      </c>
    </row>
    <row r="263" spans="2:18" hidden="1" x14ac:dyDescent="0.25">
      <c r="B263" s="48">
        <f>+'Metrics - Articles'!C262</f>
        <v>42226</v>
      </c>
      <c r="C263">
        <f>COUNTIF('Metrics - Articles'!F262,"*GPO (Partner, Ecosystem, Channels)*")</f>
        <v>0</v>
      </c>
      <c r="D263">
        <f>COUNTIF('Metrics - Articles'!F262,"*Office of the CEO*")</f>
        <v>0</v>
      </c>
      <c r="E263">
        <f>COUNTIF('Metrics - Articles'!F262,"*Services Delivery &amp; Support (go-lives and deployments) *")</f>
        <v>0</v>
      </c>
      <c r="F263">
        <f>COUNTIF('Metrics - Articles'!F262,"*Human Resources (SAP HR and employee stories)*")</f>
        <v>1</v>
      </c>
      <c r="G263">
        <f>COUNTIF('Metrics - Articles'!F262,"*P&amp;I (Research &amp; Development)*")</f>
        <v>0</v>
      </c>
      <c r="H263">
        <f>COUNTIF('Metrics - Articles'!F262,"*Business Network (Concur, Ariba, Fieldglass)*")</f>
        <v>0</v>
      </c>
      <c r="I263">
        <f>COUNTIF('Metrics - Articles'!F262,"*GCO – Regions*")</f>
        <v>0</v>
      </c>
      <c r="J263">
        <f>COUNTIF('Metrics - Articles'!F262,"*GCO – Platform Solutions*")</f>
        <v>0</v>
      </c>
      <c r="K263">
        <f>COUNTIF('Metrics - Articles'!F262,"*GCO – Industry Cloud *")</f>
        <v>0</v>
      </c>
      <c r="L263">
        <f>COUNTIF('Metrics - Articles'!F262,"*GCO – Customer Engagement &amp; Commerce (CRM &amp; hybris) *")</f>
        <v>0</v>
      </c>
      <c r="M263">
        <f>COUNTIF('Metrics - Articles'!F262,"*GCO – HR (SuccessFactors)*")</f>
        <v>0</v>
      </c>
      <c r="N263">
        <f>COUNTIF('Metrics - Articles'!F262,"*GCO – Services Sales*")</f>
        <v>0</v>
      </c>
      <c r="O263">
        <f>COUNTIF('Metrics - Articles'!F262,"*GCO – Other*")</f>
        <v>0</v>
      </c>
      <c r="P263">
        <f>COUNTIF('Metrics - Articles'!F262,"*Corporate*")</f>
        <v>0</v>
      </c>
      <c r="R263" s="53">
        <f t="shared" si="5"/>
        <v>1</v>
      </c>
    </row>
    <row r="264" spans="2:18" hidden="1" x14ac:dyDescent="0.25">
      <c r="B264" s="48">
        <f>+'Metrics - Articles'!C263</f>
        <v>42227</v>
      </c>
      <c r="C264">
        <f>COUNTIF('Metrics - Articles'!F263,"*GPO (Partner, Ecosystem, Channels)*")</f>
        <v>0</v>
      </c>
      <c r="D264">
        <f>COUNTIF('Metrics - Articles'!F263,"*Office of the CEO*")</f>
        <v>0</v>
      </c>
      <c r="E264">
        <f>COUNTIF('Metrics - Articles'!F263,"*Services Delivery &amp; Support (go-lives and deployments) *")</f>
        <v>0</v>
      </c>
      <c r="F264">
        <f>COUNTIF('Metrics - Articles'!F263,"*Human Resources (SAP HR and employee stories)*")</f>
        <v>0</v>
      </c>
      <c r="G264">
        <f>COUNTIF('Metrics - Articles'!F263,"*P&amp;I (Research &amp; Development)*")</f>
        <v>0</v>
      </c>
      <c r="H264">
        <f>COUNTIF('Metrics - Articles'!F263,"*Business Network (Concur, Ariba, Fieldglass)*")</f>
        <v>0</v>
      </c>
      <c r="I264">
        <f>COUNTIF('Metrics - Articles'!F263,"*GCO – Regions*")</f>
        <v>0</v>
      </c>
      <c r="J264">
        <f>COUNTIF('Metrics - Articles'!F263,"*GCO – Platform Solutions*")</f>
        <v>0</v>
      </c>
      <c r="K264">
        <f>COUNTIF('Metrics - Articles'!F263,"*GCO – Industry Cloud *")</f>
        <v>0</v>
      </c>
      <c r="L264">
        <f>COUNTIF('Metrics - Articles'!F263,"*GCO – Customer Engagement &amp; Commerce (CRM &amp; hybris) *")</f>
        <v>0</v>
      </c>
      <c r="M264">
        <f>COUNTIF('Metrics - Articles'!F263,"*GCO – HR (SuccessFactors)*")</f>
        <v>0</v>
      </c>
      <c r="N264">
        <f>COUNTIF('Metrics - Articles'!F263,"*GCO – Services Sales*")</f>
        <v>0</v>
      </c>
      <c r="O264">
        <f>COUNTIF('Metrics - Articles'!F263,"*GCO – Other*")</f>
        <v>0</v>
      </c>
      <c r="P264">
        <f>COUNTIF('Metrics - Articles'!F263,"*Corporate*")</f>
        <v>1</v>
      </c>
      <c r="R264" s="53">
        <f t="shared" si="5"/>
        <v>1</v>
      </c>
    </row>
    <row r="265" spans="2:18" hidden="1" x14ac:dyDescent="0.25">
      <c r="B265" s="48">
        <f>+'Metrics - Articles'!C264</f>
        <v>42228</v>
      </c>
      <c r="C265">
        <f>COUNTIF('Metrics - Articles'!F264,"*GPO (Partner, Ecosystem, Channels)*")</f>
        <v>0</v>
      </c>
      <c r="D265">
        <f>COUNTIF('Metrics - Articles'!F264,"*Office of the CEO*")</f>
        <v>0</v>
      </c>
      <c r="E265">
        <f>COUNTIF('Metrics - Articles'!F264,"*Services Delivery &amp; Support (go-lives and deployments) *")</f>
        <v>0</v>
      </c>
      <c r="F265">
        <f>COUNTIF('Metrics - Articles'!F264,"*Human Resources (SAP HR and employee stories)*")</f>
        <v>0</v>
      </c>
      <c r="G265">
        <f>COUNTIF('Metrics - Articles'!F264,"*P&amp;I (Research &amp; Development)*")</f>
        <v>0</v>
      </c>
      <c r="H265">
        <f>COUNTIF('Metrics - Articles'!F264,"*Business Network (Concur, Ariba, Fieldglass)*")</f>
        <v>1</v>
      </c>
      <c r="I265">
        <f>COUNTIF('Metrics - Articles'!F264,"*GCO – Regions*")</f>
        <v>0</v>
      </c>
      <c r="J265">
        <f>COUNTIF('Metrics - Articles'!F264,"*GCO – Platform Solutions*")</f>
        <v>0</v>
      </c>
      <c r="K265">
        <f>COUNTIF('Metrics - Articles'!F264,"*GCO – Industry Cloud *")</f>
        <v>0</v>
      </c>
      <c r="L265">
        <f>COUNTIF('Metrics - Articles'!F264,"*GCO – Customer Engagement &amp; Commerce (CRM &amp; hybris) *")</f>
        <v>0</v>
      </c>
      <c r="M265">
        <f>COUNTIF('Metrics - Articles'!F264,"*GCO – HR (SuccessFactors)*")</f>
        <v>0</v>
      </c>
      <c r="N265">
        <f>COUNTIF('Metrics - Articles'!F264,"*GCO – Services Sales*")</f>
        <v>0</v>
      </c>
      <c r="O265">
        <f>COUNTIF('Metrics - Articles'!F264,"*GCO – Other*")</f>
        <v>0</v>
      </c>
      <c r="P265">
        <f>COUNTIF('Metrics - Articles'!F264,"*Corporate*")</f>
        <v>0</v>
      </c>
      <c r="R265" s="53">
        <f t="shared" si="5"/>
        <v>1</v>
      </c>
    </row>
    <row r="266" spans="2:18" hidden="1" x14ac:dyDescent="0.25">
      <c r="B266" s="48">
        <f>+'Metrics - Articles'!C265</f>
        <v>42229</v>
      </c>
      <c r="C266">
        <f>COUNTIF('Metrics - Articles'!F265,"*GPO (Partner, Ecosystem, Channels)*")</f>
        <v>0</v>
      </c>
      <c r="D266">
        <f>COUNTIF('Metrics - Articles'!F265,"*Office of the CEO*")</f>
        <v>0</v>
      </c>
      <c r="E266">
        <f>COUNTIF('Metrics - Articles'!F265,"*Services Delivery &amp; Support (go-lives and deployments) *")</f>
        <v>0</v>
      </c>
      <c r="F266">
        <f>COUNTIF('Metrics - Articles'!F265,"*Human Resources (SAP HR and employee stories)*")</f>
        <v>0</v>
      </c>
      <c r="G266">
        <f>COUNTIF('Metrics - Articles'!F265,"*P&amp;I (Research &amp; Development)*")</f>
        <v>0</v>
      </c>
      <c r="H266">
        <f>COUNTIF('Metrics - Articles'!F265,"*Business Network (Concur, Ariba, Fieldglass)*")</f>
        <v>0</v>
      </c>
      <c r="I266">
        <f>COUNTIF('Metrics - Articles'!F265,"*GCO – Regions*")</f>
        <v>0</v>
      </c>
      <c r="J266">
        <f>COUNTIF('Metrics - Articles'!F265,"*GCO – Platform Solutions*")</f>
        <v>0</v>
      </c>
      <c r="K266">
        <f>COUNTIF('Metrics - Articles'!F265,"*GCO – Industry Cloud *")</f>
        <v>0</v>
      </c>
      <c r="L266">
        <f>COUNTIF('Metrics - Articles'!F265,"*GCO – Customer Engagement &amp; Commerce (CRM &amp; hybris) *")</f>
        <v>1</v>
      </c>
      <c r="M266">
        <f>COUNTIF('Metrics - Articles'!F265,"*GCO – HR (SuccessFactors)*")</f>
        <v>0</v>
      </c>
      <c r="N266">
        <f>COUNTIF('Metrics - Articles'!F265,"*GCO – Services Sales*")</f>
        <v>1</v>
      </c>
      <c r="O266">
        <f>COUNTIF('Metrics - Articles'!F265,"*GCO – Other*")</f>
        <v>0</v>
      </c>
      <c r="P266">
        <f>COUNTIF('Metrics - Articles'!F265,"*Corporate*")</f>
        <v>0</v>
      </c>
      <c r="R266" s="53">
        <f t="shared" ref="R266:R329" si="6">SUM(C266:Q266)</f>
        <v>2</v>
      </c>
    </row>
    <row r="267" spans="2:18" hidden="1" x14ac:dyDescent="0.25">
      <c r="B267" s="48">
        <f>+'Metrics - Articles'!C266</f>
        <v>42233</v>
      </c>
      <c r="C267">
        <f>COUNTIF('Metrics - Articles'!F266,"*GPO (Partner, Ecosystem, Channels)*")</f>
        <v>0</v>
      </c>
      <c r="D267">
        <f>COUNTIF('Metrics - Articles'!F266,"*Office of the CEO*")</f>
        <v>0</v>
      </c>
      <c r="E267">
        <f>COUNTIF('Metrics - Articles'!F266,"*Services Delivery &amp; Support (go-lives and deployments) *")</f>
        <v>0</v>
      </c>
      <c r="F267">
        <f>COUNTIF('Metrics - Articles'!F266,"*Human Resources (SAP HR and employee stories)*")</f>
        <v>0</v>
      </c>
      <c r="G267">
        <f>COUNTIF('Metrics - Articles'!F266,"*P&amp;I (Research &amp; Development)*")</f>
        <v>1</v>
      </c>
      <c r="H267">
        <f>COUNTIF('Metrics - Articles'!F266,"*Business Network (Concur, Ariba, Fieldglass)*")</f>
        <v>0</v>
      </c>
      <c r="I267">
        <f>COUNTIF('Metrics - Articles'!F266,"*GCO – Regions*")</f>
        <v>0</v>
      </c>
      <c r="J267">
        <f>COUNTIF('Metrics - Articles'!F266,"*GCO – Platform Solutions*")</f>
        <v>0</v>
      </c>
      <c r="K267">
        <f>COUNTIF('Metrics - Articles'!F266,"*GCO – Industry Cloud *")</f>
        <v>1</v>
      </c>
      <c r="L267">
        <f>COUNTIF('Metrics - Articles'!F266,"*GCO – Customer Engagement &amp; Commerce (CRM &amp; hybris) *")</f>
        <v>0</v>
      </c>
      <c r="M267">
        <f>COUNTIF('Metrics - Articles'!F266,"*GCO – HR (SuccessFactors)*")</f>
        <v>0</v>
      </c>
      <c r="N267">
        <f>COUNTIF('Metrics - Articles'!F266,"*GCO – Services Sales*")</f>
        <v>0</v>
      </c>
      <c r="O267">
        <f>COUNTIF('Metrics - Articles'!F266,"*GCO – Other*")</f>
        <v>0</v>
      </c>
      <c r="P267">
        <f>COUNTIF('Metrics - Articles'!F266,"*Corporate*")</f>
        <v>0</v>
      </c>
      <c r="R267" s="53">
        <f t="shared" si="6"/>
        <v>2</v>
      </c>
    </row>
    <row r="268" spans="2:18" hidden="1" x14ac:dyDescent="0.25">
      <c r="B268" s="48">
        <f>+'Metrics - Articles'!C267</f>
        <v>42234</v>
      </c>
      <c r="C268">
        <f>COUNTIF('Metrics - Articles'!F267,"*GPO (Partner, Ecosystem, Channels)*")</f>
        <v>0</v>
      </c>
      <c r="D268">
        <f>COUNTIF('Metrics - Articles'!F267,"*Office of the CEO*")</f>
        <v>0</v>
      </c>
      <c r="E268">
        <f>COUNTIF('Metrics - Articles'!F267,"*Services Delivery &amp; Support (go-lives and deployments) *")</f>
        <v>0</v>
      </c>
      <c r="F268">
        <f>COUNTIF('Metrics - Articles'!F267,"*Human Resources (SAP HR and employee stories)*")</f>
        <v>0</v>
      </c>
      <c r="G268">
        <f>COUNTIF('Metrics - Articles'!F267,"*P&amp;I (Research &amp; Development)*")</f>
        <v>0</v>
      </c>
      <c r="H268">
        <f>COUNTIF('Metrics - Articles'!F267,"*Business Network (Concur, Ariba, Fieldglass)*")</f>
        <v>0</v>
      </c>
      <c r="I268">
        <f>COUNTIF('Metrics - Articles'!F267,"*GCO – Regions*")</f>
        <v>0</v>
      </c>
      <c r="J268">
        <f>COUNTIF('Metrics - Articles'!F267,"*GCO – Platform Solutions*")</f>
        <v>0</v>
      </c>
      <c r="K268">
        <f>COUNTIF('Metrics - Articles'!F267,"*GCO – Industry Cloud *")</f>
        <v>0</v>
      </c>
      <c r="L268">
        <f>COUNTIF('Metrics - Articles'!F267,"*GCO – Customer Engagement &amp; Commerce (CRM &amp; hybris) *")</f>
        <v>0</v>
      </c>
      <c r="M268">
        <f>COUNTIF('Metrics - Articles'!F267,"*GCO – HR (SuccessFactors)*")</f>
        <v>0</v>
      </c>
      <c r="N268">
        <f>COUNTIF('Metrics - Articles'!F267,"*GCO – Services Sales*")</f>
        <v>0</v>
      </c>
      <c r="O268">
        <f>COUNTIF('Metrics - Articles'!F267,"*GCO – Other*")</f>
        <v>0</v>
      </c>
      <c r="P268">
        <f>COUNTIF('Metrics - Articles'!F267,"*Corporate*")</f>
        <v>1</v>
      </c>
      <c r="R268" s="53">
        <f t="shared" si="6"/>
        <v>1</v>
      </c>
    </row>
    <row r="269" spans="2:18" hidden="1" x14ac:dyDescent="0.25">
      <c r="B269" s="48">
        <f>+'Metrics - Articles'!C268</f>
        <v>42235</v>
      </c>
      <c r="C269">
        <f>COUNTIF('Metrics - Articles'!F268,"*GPO (Partner, Ecosystem, Channels)*")</f>
        <v>0</v>
      </c>
      <c r="D269">
        <f>COUNTIF('Metrics - Articles'!F268,"*Office of the CEO*")</f>
        <v>0</v>
      </c>
      <c r="E269">
        <f>COUNTIF('Metrics - Articles'!F268,"*Services Delivery &amp; Support (go-lives and deployments) *")</f>
        <v>0</v>
      </c>
      <c r="F269">
        <f>COUNTIF('Metrics - Articles'!F268,"*Human Resources (SAP HR and employee stories)*")</f>
        <v>0</v>
      </c>
      <c r="G269">
        <f>COUNTIF('Metrics - Articles'!F268,"*P&amp;I (Research &amp; Development)*")</f>
        <v>0</v>
      </c>
      <c r="H269">
        <f>COUNTIF('Metrics - Articles'!F268,"*Business Network (Concur, Ariba, Fieldglass)*")</f>
        <v>0</v>
      </c>
      <c r="I269">
        <f>COUNTIF('Metrics - Articles'!F268,"*GCO – Regions*")</f>
        <v>0</v>
      </c>
      <c r="J269">
        <f>COUNTIF('Metrics - Articles'!F268,"*GCO – Platform Solutions*")</f>
        <v>0</v>
      </c>
      <c r="K269">
        <f>COUNTIF('Metrics - Articles'!F268,"*GCO – Industry Cloud *")</f>
        <v>0</v>
      </c>
      <c r="L269">
        <f>COUNTIF('Metrics - Articles'!F268,"*GCO – Customer Engagement &amp; Commerce (CRM &amp; hybris) *")</f>
        <v>0</v>
      </c>
      <c r="M269">
        <f>COUNTIF('Metrics - Articles'!F268,"*GCO – HR (SuccessFactors)*")</f>
        <v>0</v>
      </c>
      <c r="N269">
        <f>COUNTIF('Metrics - Articles'!F268,"*GCO – Services Sales*")</f>
        <v>0</v>
      </c>
      <c r="O269">
        <f>COUNTIF('Metrics - Articles'!F268,"*GCO – Other*")</f>
        <v>0</v>
      </c>
      <c r="P269">
        <f>COUNTIF('Metrics - Articles'!F268,"*Corporate*")</f>
        <v>1</v>
      </c>
      <c r="R269" s="53">
        <f t="shared" si="6"/>
        <v>1</v>
      </c>
    </row>
    <row r="270" spans="2:18" hidden="1" x14ac:dyDescent="0.25">
      <c r="B270" s="48">
        <f>+'Metrics - Articles'!C269</f>
        <v>42236</v>
      </c>
      <c r="C270">
        <f>COUNTIF('Metrics - Articles'!F269,"*GPO (Partner, Ecosystem, Channels)*")</f>
        <v>0</v>
      </c>
      <c r="D270">
        <f>COUNTIF('Metrics - Articles'!F269,"*Office of the CEO*")</f>
        <v>0</v>
      </c>
      <c r="E270">
        <f>COUNTIF('Metrics - Articles'!F269,"*Services Delivery &amp; Support (go-lives and deployments) *")</f>
        <v>0</v>
      </c>
      <c r="F270">
        <f>COUNTIF('Metrics - Articles'!F269,"*Human Resources (SAP HR and employee stories)*")</f>
        <v>0</v>
      </c>
      <c r="G270">
        <f>COUNTIF('Metrics - Articles'!F269,"*P&amp;I (Research &amp; Development)*")</f>
        <v>0</v>
      </c>
      <c r="H270">
        <f>COUNTIF('Metrics - Articles'!F269,"*Business Network (Concur, Ariba, Fieldglass)*")</f>
        <v>0</v>
      </c>
      <c r="I270">
        <f>COUNTIF('Metrics - Articles'!F269,"*GCO – Regions*")</f>
        <v>1</v>
      </c>
      <c r="J270">
        <f>COUNTIF('Metrics - Articles'!F269,"*GCO – Platform Solutions*")</f>
        <v>0</v>
      </c>
      <c r="K270">
        <f>COUNTIF('Metrics - Articles'!F269,"*GCO – Industry Cloud *")</f>
        <v>0</v>
      </c>
      <c r="L270">
        <f>COUNTIF('Metrics - Articles'!F269,"*GCO – Customer Engagement &amp; Commerce (CRM &amp; hybris) *")</f>
        <v>0</v>
      </c>
      <c r="M270">
        <f>COUNTIF('Metrics - Articles'!F269,"*GCO – HR (SuccessFactors)*")</f>
        <v>0</v>
      </c>
      <c r="N270">
        <f>COUNTIF('Metrics - Articles'!F269,"*GCO – Services Sales*")</f>
        <v>0</v>
      </c>
      <c r="O270">
        <f>COUNTIF('Metrics - Articles'!F269,"*GCO – Other*")</f>
        <v>0</v>
      </c>
      <c r="P270">
        <f>COUNTIF('Metrics - Articles'!F269,"*Corporate*")</f>
        <v>0</v>
      </c>
      <c r="R270" s="53">
        <f t="shared" si="6"/>
        <v>1</v>
      </c>
    </row>
    <row r="271" spans="2:18" hidden="1" x14ac:dyDescent="0.25">
      <c r="B271" s="48">
        <f>+'Metrics - Articles'!C270</f>
        <v>42237</v>
      </c>
      <c r="C271">
        <f>COUNTIF('Metrics - Articles'!F270,"*GPO (Partner, Ecosystem, Channels)*")</f>
        <v>0</v>
      </c>
      <c r="D271">
        <f>COUNTIF('Metrics - Articles'!F270,"*Office of the CEO*")</f>
        <v>0</v>
      </c>
      <c r="E271">
        <f>COUNTIF('Metrics - Articles'!F270,"*Services Delivery &amp; Support (go-lives and deployments) *")</f>
        <v>0</v>
      </c>
      <c r="F271">
        <f>COUNTIF('Metrics - Articles'!F270,"*Human Resources (SAP HR and employee stories)*")</f>
        <v>0</v>
      </c>
      <c r="G271">
        <f>COUNTIF('Metrics - Articles'!F270,"*P&amp;I (Research &amp; Development)*")</f>
        <v>0</v>
      </c>
      <c r="H271">
        <f>COUNTIF('Metrics - Articles'!F270,"*Business Network (Concur, Ariba, Fieldglass)*")</f>
        <v>0</v>
      </c>
      <c r="I271">
        <f>COUNTIF('Metrics - Articles'!F270,"*GCO – Regions*")</f>
        <v>0</v>
      </c>
      <c r="J271">
        <f>COUNTIF('Metrics - Articles'!F270,"*GCO – Platform Solutions*")</f>
        <v>0</v>
      </c>
      <c r="K271">
        <f>COUNTIF('Metrics - Articles'!F270,"*GCO – Industry Cloud *")</f>
        <v>0</v>
      </c>
      <c r="L271">
        <f>COUNTIF('Metrics - Articles'!F270,"*GCO – Customer Engagement &amp; Commerce (CRM &amp; hybris) *")</f>
        <v>0</v>
      </c>
      <c r="M271">
        <f>COUNTIF('Metrics - Articles'!F270,"*GCO – HR (SuccessFactors)*")</f>
        <v>1</v>
      </c>
      <c r="N271">
        <f>COUNTIF('Metrics - Articles'!F270,"*GCO – Services Sales*")</f>
        <v>0</v>
      </c>
      <c r="O271">
        <f>COUNTIF('Metrics - Articles'!F270,"*GCO – Other*")</f>
        <v>0</v>
      </c>
      <c r="P271">
        <f>COUNTIF('Metrics - Articles'!F270,"*Corporate*")</f>
        <v>0</v>
      </c>
      <c r="R271" s="53">
        <f t="shared" si="6"/>
        <v>1</v>
      </c>
    </row>
    <row r="272" spans="2:18" hidden="1" x14ac:dyDescent="0.25">
      <c r="B272" s="48">
        <f>+'Metrics - Articles'!C271</f>
        <v>42240</v>
      </c>
      <c r="C272">
        <f>COUNTIF('Metrics - Articles'!F271,"*GPO (Partner, Ecosystem, Channels)*")</f>
        <v>0</v>
      </c>
      <c r="D272">
        <f>COUNTIF('Metrics - Articles'!F271,"*Office of the CEO*")</f>
        <v>0</v>
      </c>
      <c r="E272">
        <f>COUNTIF('Metrics - Articles'!F271,"*Services Delivery &amp; Support (go-lives and deployments) *")</f>
        <v>0</v>
      </c>
      <c r="F272">
        <f>COUNTIF('Metrics - Articles'!F271,"*Human Resources (SAP HR and employee stories)*")</f>
        <v>0</v>
      </c>
      <c r="G272">
        <f>COUNTIF('Metrics - Articles'!F271,"*P&amp;I (Research &amp; Development)*")</f>
        <v>1</v>
      </c>
      <c r="H272">
        <f>COUNTIF('Metrics - Articles'!F271,"*Business Network (Concur, Ariba, Fieldglass)*")</f>
        <v>0</v>
      </c>
      <c r="I272">
        <f>COUNTIF('Metrics - Articles'!F271,"*GCO – Regions*")</f>
        <v>0</v>
      </c>
      <c r="J272">
        <f>COUNTIF('Metrics - Articles'!F271,"*GCO – Platform Solutions*")</f>
        <v>0</v>
      </c>
      <c r="K272">
        <f>COUNTIF('Metrics - Articles'!F271,"*GCO – Industry Cloud *")</f>
        <v>0</v>
      </c>
      <c r="L272">
        <f>COUNTIF('Metrics - Articles'!F271,"*GCO – Customer Engagement &amp; Commerce (CRM &amp; hybris) *")</f>
        <v>0</v>
      </c>
      <c r="M272">
        <f>COUNTIF('Metrics - Articles'!F271,"*GCO – HR (SuccessFactors)*")</f>
        <v>0</v>
      </c>
      <c r="N272">
        <f>COUNTIF('Metrics - Articles'!F271,"*GCO – Services Sales*")</f>
        <v>0</v>
      </c>
      <c r="O272">
        <f>COUNTIF('Metrics - Articles'!F271,"*GCO – Other*")</f>
        <v>0</v>
      </c>
      <c r="P272">
        <f>COUNTIF('Metrics - Articles'!F271,"*Corporate*")</f>
        <v>0</v>
      </c>
      <c r="R272" s="53">
        <f t="shared" si="6"/>
        <v>1</v>
      </c>
    </row>
    <row r="273" spans="2:18" hidden="1" x14ac:dyDescent="0.25">
      <c r="B273" s="48">
        <f>+'Metrics - Articles'!C272</f>
        <v>42241</v>
      </c>
      <c r="C273">
        <f>COUNTIF('Metrics - Articles'!F272,"*GPO (Partner, Ecosystem, Channels)*")</f>
        <v>0</v>
      </c>
      <c r="D273">
        <f>COUNTIF('Metrics - Articles'!F272,"*Office of the CEO*")</f>
        <v>0</v>
      </c>
      <c r="E273">
        <f>COUNTIF('Metrics - Articles'!F272,"*Services Delivery &amp; Support (go-lives and deployments) *")</f>
        <v>0</v>
      </c>
      <c r="F273">
        <f>COUNTIF('Metrics - Articles'!F272,"*Human Resources (SAP HR and employee stories)*")</f>
        <v>0</v>
      </c>
      <c r="G273">
        <f>COUNTIF('Metrics - Articles'!F272,"*P&amp;I (Research &amp; Development)*")</f>
        <v>0</v>
      </c>
      <c r="H273">
        <f>COUNTIF('Metrics - Articles'!F272,"*Business Network (Concur, Ariba, Fieldglass)*")</f>
        <v>0</v>
      </c>
      <c r="I273">
        <f>COUNTIF('Metrics - Articles'!F272,"*GCO – Regions*")</f>
        <v>0</v>
      </c>
      <c r="J273">
        <f>COUNTIF('Metrics - Articles'!F272,"*GCO – Platform Solutions*")</f>
        <v>1</v>
      </c>
      <c r="K273">
        <f>COUNTIF('Metrics - Articles'!F272,"*GCO – Industry Cloud *")</f>
        <v>1</v>
      </c>
      <c r="L273">
        <f>COUNTIF('Metrics - Articles'!F272,"*GCO – Customer Engagement &amp; Commerce (CRM &amp; hybris) *")</f>
        <v>0</v>
      </c>
      <c r="M273">
        <f>COUNTIF('Metrics - Articles'!F272,"*GCO – HR (SuccessFactors)*")</f>
        <v>0</v>
      </c>
      <c r="N273">
        <f>COUNTIF('Metrics - Articles'!F272,"*GCO – Services Sales*")</f>
        <v>0</v>
      </c>
      <c r="O273">
        <f>COUNTIF('Metrics - Articles'!F272,"*GCO – Other*")</f>
        <v>0</v>
      </c>
      <c r="P273">
        <f>COUNTIF('Metrics - Articles'!F272,"*Corporate*")</f>
        <v>0</v>
      </c>
      <c r="R273" s="53">
        <f t="shared" si="6"/>
        <v>2</v>
      </c>
    </row>
    <row r="274" spans="2:18" hidden="1" x14ac:dyDescent="0.25">
      <c r="B274" s="48">
        <f>+'Metrics - Articles'!C273</f>
        <v>42242</v>
      </c>
      <c r="C274">
        <f>COUNTIF('Metrics - Articles'!F273,"*GPO (Partner, Ecosystem, Channels)*")</f>
        <v>0</v>
      </c>
      <c r="D274">
        <f>COUNTIF('Metrics - Articles'!F273,"*Office of the CEO*")</f>
        <v>0</v>
      </c>
      <c r="E274">
        <f>COUNTIF('Metrics - Articles'!F273,"*Services Delivery &amp; Support (go-lives and deployments) *")</f>
        <v>0</v>
      </c>
      <c r="F274">
        <f>COUNTIF('Metrics - Articles'!F273,"*Human Resources (SAP HR and employee stories)*")</f>
        <v>1</v>
      </c>
      <c r="G274">
        <f>COUNTIF('Metrics - Articles'!F273,"*P&amp;I (Research &amp; Development)*")</f>
        <v>0</v>
      </c>
      <c r="H274">
        <f>COUNTIF('Metrics - Articles'!F273,"*Business Network (Concur, Ariba, Fieldglass)*")</f>
        <v>0</v>
      </c>
      <c r="I274">
        <f>COUNTIF('Metrics - Articles'!F273,"*GCO – Regions*")</f>
        <v>0</v>
      </c>
      <c r="J274">
        <f>COUNTIF('Metrics - Articles'!F273,"*GCO – Platform Solutions*")</f>
        <v>0</v>
      </c>
      <c r="K274">
        <f>COUNTIF('Metrics - Articles'!F273,"*GCO – Industry Cloud *")</f>
        <v>0</v>
      </c>
      <c r="L274">
        <f>COUNTIF('Metrics - Articles'!F273,"*GCO – Customer Engagement &amp; Commerce (CRM &amp; hybris) *")</f>
        <v>0</v>
      </c>
      <c r="M274">
        <f>COUNTIF('Metrics - Articles'!F273,"*GCO – HR (SuccessFactors)*")</f>
        <v>0</v>
      </c>
      <c r="N274">
        <f>COUNTIF('Metrics - Articles'!F273,"*GCO – Services Sales*")</f>
        <v>0</v>
      </c>
      <c r="O274">
        <f>COUNTIF('Metrics - Articles'!F273,"*GCO – Other*")</f>
        <v>0</v>
      </c>
      <c r="P274">
        <f>COUNTIF('Metrics - Articles'!F273,"*Corporate*")</f>
        <v>0</v>
      </c>
      <c r="R274" s="53">
        <f t="shared" si="6"/>
        <v>1</v>
      </c>
    </row>
    <row r="275" spans="2:18" hidden="1" x14ac:dyDescent="0.25">
      <c r="B275" s="48">
        <f>+'Metrics - Articles'!C274</f>
        <v>42242</v>
      </c>
      <c r="C275">
        <f>COUNTIF('Metrics - Articles'!F274,"*GPO (Partner, Ecosystem, Channels)*")</f>
        <v>0</v>
      </c>
      <c r="D275">
        <f>COUNTIF('Metrics - Articles'!F274,"*Office of the CEO*")</f>
        <v>1</v>
      </c>
      <c r="E275">
        <f>COUNTIF('Metrics - Articles'!F274,"*Services Delivery &amp; Support (go-lives and deployments) *")</f>
        <v>0</v>
      </c>
      <c r="F275">
        <f>COUNTIF('Metrics - Articles'!F274,"*Human Resources (SAP HR and employee stories)*")</f>
        <v>0</v>
      </c>
      <c r="G275">
        <f>COUNTIF('Metrics - Articles'!F274,"*P&amp;I (Research &amp; Development)*")</f>
        <v>0</v>
      </c>
      <c r="H275">
        <f>COUNTIF('Metrics - Articles'!F274,"*Business Network (Concur, Ariba, Fieldglass)*")</f>
        <v>0</v>
      </c>
      <c r="I275">
        <f>COUNTIF('Metrics - Articles'!F274,"*GCO – Regions*")</f>
        <v>0</v>
      </c>
      <c r="J275">
        <f>COUNTIF('Metrics - Articles'!F274,"*GCO – Platform Solutions*")</f>
        <v>0</v>
      </c>
      <c r="K275">
        <f>COUNTIF('Metrics - Articles'!F274,"*GCO – Industry Cloud *")</f>
        <v>0</v>
      </c>
      <c r="L275">
        <f>COUNTIF('Metrics - Articles'!F274,"*GCO – Customer Engagement &amp; Commerce (CRM &amp; hybris) *")</f>
        <v>0</v>
      </c>
      <c r="M275">
        <f>COUNTIF('Metrics - Articles'!F274,"*GCO – HR (SuccessFactors)*")</f>
        <v>0</v>
      </c>
      <c r="N275">
        <f>COUNTIF('Metrics - Articles'!F274,"*GCO – Services Sales*")</f>
        <v>0</v>
      </c>
      <c r="O275">
        <f>COUNTIF('Metrics - Articles'!F274,"*GCO – Other*")</f>
        <v>0</v>
      </c>
      <c r="P275">
        <f>COUNTIF('Metrics - Articles'!F274,"*Corporate*")</f>
        <v>0</v>
      </c>
      <c r="R275" s="53">
        <f t="shared" si="6"/>
        <v>1</v>
      </c>
    </row>
    <row r="276" spans="2:18" hidden="1" x14ac:dyDescent="0.25">
      <c r="B276" s="48">
        <f>+'Metrics - Articles'!C275</f>
        <v>42244</v>
      </c>
      <c r="C276">
        <f>COUNTIF('Metrics - Articles'!F275,"*GPO (Partner, Ecosystem, Channels)*")</f>
        <v>0</v>
      </c>
      <c r="D276">
        <f>COUNTIF('Metrics - Articles'!F275,"*Office of the CEO*")</f>
        <v>0</v>
      </c>
      <c r="E276">
        <f>COUNTIF('Metrics - Articles'!F275,"*Services Delivery &amp; Support (go-lives and deployments) *")</f>
        <v>0</v>
      </c>
      <c r="F276">
        <f>COUNTIF('Metrics - Articles'!F275,"*Human Resources (SAP HR and employee stories)*")</f>
        <v>0</v>
      </c>
      <c r="G276">
        <f>COUNTIF('Metrics - Articles'!F275,"*P&amp;I (Research &amp; Development)*")</f>
        <v>0</v>
      </c>
      <c r="H276">
        <f>COUNTIF('Metrics - Articles'!F275,"*Business Network (Concur, Ariba, Fieldglass)*")</f>
        <v>0</v>
      </c>
      <c r="I276">
        <f>COUNTIF('Metrics - Articles'!F275,"*GCO – Regions*")</f>
        <v>0</v>
      </c>
      <c r="J276">
        <f>COUNTIF('Metrics - Articles'!F275,"*GCO – Platform Solutions*")</f>
        <v>0</v>
      </c>
      <c r="K276">
        <f>COUNTIF('Metrics - Articles'!F275,"*GCO – Industry Cloud *")</f>
        <v>0</v>
      </c>
      <c r="L276">
        <f>COUNTIF('Metrics - Articles'!F275,"*GCO – Customer Engagement &amp; Commerce (CRM &amp; hybris) *")</f>
        <v>0</v>
      </c>
      <c r="M276">
        <f>COUNTIF('Metrics - Articles'!F275,"*GCO – HR (SuccessFactors)*")</f>
        <v>0</v>
      </c>
      <c r="N276">
        <f>COUNTIF('Metrics - Articles'!F275,"*GCO – Services Sales*")</f>
        <v>0</v>
      </c>
      <c r="O276">
        <f>COUNTIF('Metrics - Articles'!F275,"*GCO – Other*")</f>
        <v>0</v>
      </c>
      <c r="P276">
        <f>COUNTIF('Metrics - Articles'!F275,"*Corporate*")</f>
        <v>1</v>
      </c>
      <c r="R276" s="53">
        <f t="shared" si="6"/>
        <v>1</v>
      </c>
    </row>
    <row r="277" spans="2:18" hidden="1" x14ac:dyDescent="0.25">
      <c r="B277" s="48">
        <f>+'Metrics - Articles'!C276</f>
        <v>42247</v>
      </c>
      <c r="C277">
        <f>COUNTIF('Metrics - Articles'!F276,"*GPO (Partner, Ecosystem, Channels)*")</f>
        <v>0</v>
      </c>
      <c r="D277">
        <f>COUNTIF('Metrics - Articles'!F276,"*Office of the CEO*")</f>
        <v>0</v>
      </c>
      <c r="E277">
        <f>COUNTIF('Metrics - Articles'!F276,"*Services Delivery &amp; Support (go-lives and deployments) *")</f>
        <v>0</v>
      </c>
      <c r="F277">
        <f>COUNTIF('Metrics - Articles'!F276,"*Human Resources (SAP HR and employee stories)*")</f>
        <v>0</v>
      </c>
      <c r="G277">
        <f>COUNTIF('Metrics - Articles'!F276,"*P&amp;I (Research &amp; Development)*")</f>
        <v>0</v>
      </c>
      <c r="H277">
        <f>COUNTIF('Metrics - Articles'!F276,"*Business Network (Concur, Ariba, Fieldglass)*")</f>
        <v>0</v>
      </c>
      <c r="I277">
        <f>COUNTIF('Metrics - Articles'!F276,"*GCO – Regions*")</f>
        <v>0</v>
      </c>
      <c r="J277">
        <f>COUNTIF('Metrics - Articles'!F276,"*GCO – Platform Solutions*")</f>
        <v>0</v>
      </c>
      <c r="K277">
        <f>COUNTIF('Metrics - Articles'!F276,"*GCO – Industry Cloud *")</f>
        <v>1</v>
      </c>
      <c r="L277">
        <f>COUNTIF('Metrics - Articles'!F276,"*GCO – Customer Engagement &amp; Commerce (CRM &amp; hybris) *")</f>
        <v>0</v>
      </c>
      <c r="M277">
        <f>COUNTIF('Metrics - Articles'!F276,"*GCO – HR (SuccessFactors)*")</f>
        <v>0</v>
      </c>
      <c r="N277">
        <f>COUNTIF('Metrics - Articles'!F276,"*GCO – Services Sales*")</f>
        <v>0</v>
      </c>
      <c r="O277">
        <f>COUNTIF('Metrics - Articles'!F276,"*GCO – Other*")</f>
        <v>0</v>
      </c>
      <c r="P277">
        <f>COUNTIF('Metrics - Articles'!F276,"*Corporate*")</f>
        <v>0</v>
      </c>
      <c r="R277" s="53">
        <f t="shared" si="6"/>
        <v>1</v>
      </c>
    </row>
    <row r="278" spans="2:18" hidden="1" x14ac:dyDescent="0.25">
      <c r="B278" s="48">
        <f>+'Metrics - Articles'!C277</f>
        <v>42248</v>
      </c>
      <c r="C278">
        <f>COUNTIF('Metrics - Articles'!F277,"*GPO (Partner, Ecosystem, Channels)*")</f>
        <v>0</v>
      </c>
      <c r="D278">
        <f>COUNTIF('Metrics - Articles'!F277,"*Office of the CEO*")</f>
        <v>0</v>
      </c>
      <c r="E278">
        <f>COUNTIF('Metrics - Articles'!F277,"*Services Delivery &amp; Support (go-lives and deployments) *")</f>
        <v>0</v>
      </c>
      <c r="F278">
        <f>COUNTIF('Metrics - Articles'!F277,"*Human Resources (SAP HR and employee stories)*")</f>
        <v>0</v>
      </c>
      <c r="G278">
        <f>COUNTIF('Metrics - Articles'!F277,"*P&amp;I (Research &amp; Development)*")</f>
        <v>0</v>
      </c>
      <c r="H278">
        <f>COUNTIF('Metrics - Articles'!F277,"*Business Network (Concur, Ariba, Fieldglass)*")</f>
        <v>0</v>
      </c>
      <c r="I278">
        <f>COUNTIF('Metrics - Articles'!F277,"*GCO – Regions*")</f>
        <v>0</v>
      </c>
      <c r="J278">
        <f>COUNTIF('Metrics - Articles'!F277,"*GCO – Platform Solutions*")</f>
        <v>1</v>
      </c>
      <c r="K278">
        <f>COUNTIF('Metrics - Articles'!F277,"*GCO – Industry Cloud *")</f>
        <v>0</v>
      </c>
      <c r="L278">
        <f>COUNTIF('Metrics - Articles'!F277,"*GCO – Customer Engagement &amp; Commerce (CRM &amp; hybris) *")</f>
        <v>1</v>
      </c>
      <c r="M278">
        <f>COUNTIF('Metrics - Articles'!F277,"*GCO – HR (SuccessFactors)*")</f>
        <v>0</v>
      </c>
      <c r="N278">
        <f>COUNTIF('Metrics - Articles'!F277,"*GCO – Services Sales*")</f>
        <v>0</v>
      </c>
      <c r="O278">
        <f>COUNTIF('Metrics - Articles'!F277,"*GCO – Other*")</f>
        <v>0</v>
      </c>
      <c r="P278">
        <f>COUNTIF('Metrics - Articles'!F277,"*Corporate*")</f>
        <v>0</v>
      </c>
      <c r="R278" s="53">
        <f t="shared" si="6"/>
        <v>2</v>
      </c>
    </row>
    <row r="279" spans="2:18" hidden="1" x14ac:dyDescent="0.25">
      <c r="B279" s="48">
        <f>+'Metrics - Articles'!C278</f>
        <v>42250</v>
      </c>
      <c r="C279">
        <f>COUNTIF('Metrics - Articles'!F278,"*GPO (Partner, Ecosystem, Channels)*")</f>
        <v>1</v>
      </c>
      <c r="D279">
        <f>COUNTIF('Metrics - Articles'!F278,"*Office of the CEO*")</f>
        <v>0</v>
      </c>
      <c r="E279">
        <f>COUNTIF('Metrics - Articles'!F278,"*Services Delivery &amp; Support (go-lives and deployments) *")</f>
        <v>0</v>
      </c>
      <c r="F279">
        <f>COUNTIF('Metrics - Articles'!F278,"*Human Resources (SAP HR and employee stories)*")</f>
        <v>0</v>
      </c>
      <c r="G279">
        <f>COUNTIF('Metrics - Articles'!F278,"*P&amp;I (Research &amp; Development)*")</f>
        <v>0</v>
      </c>
      <c r="H279">
        <f>COUNTIF('Metrics - Articles'!F278,"*Business Network (Concur, Ariba, Fieldglass)*")</f>
        <v>0</v>
      </c>
      <c r="I279">
        <f>COUNTIF('Metrics - Articles'!F278,"*GCO – Regions*")</f>
        <v>0</v>
      </c>
      <c r="J279">
        <f>COUNTIF('Metrics - Articles'!F278,"*GCO – Platform Solutions*")</f>
        <v>0</v>
      </c>
      <c r="K279">
        <f>COUNTIF('Metrics - Articles'!F278,"*GCO – Industry Cloud *")</f>
        <v>0</v>
      </c>
      <c r="L279">
        <f>COUNTIF('Metrics - Articles'!F278,"*GCO – Customer Engagement &amp; Commerce (CRM &amp; hybris) *")</f>
        <v>0</v>
      </c>
      <c r="M279">
        <f>COUNTIF('Metrics - Articles'!F278,"*GCO – HR (SuccessFactors)*")</f>
        <v>0</v>
      </c>
      <c r="N279">
        <f>COUNTIF('Metrics - Articles'!F278,"*GCO – Services Sales*")</f>
        <v>0</v>
      </c>
      <c r="O279">
        <f>COUNTIF('Metrics - Articles'!F278,"*GCO – Other*")</f>
        <v>0</v>
      </c>
      <c r="P279">
        <f>COUNTIF('Metrics - Articles'!F278,"*Corporate*")</f>
        <v>0</v>
      </c>
      <c r="R279" s="53">
        <f t="shared" si="6"/>
        <v>1</v>
      </c>
    </row>
    <row r="280" spans="2:18" hidden="1" x14ac:dyDescent="0.25">
      <c r="B280" s="48">
        <f>+'Metrics - Articles'!C279</f>
        <v>42255</v>
      </c>
      <c r="C280">
        <f>COUNTIF('Metrics - Articles'!F279,"*GPO (Partner, Ecosystem, Channels)*")</f>
        <v>0</v>
      </c>
      <c r="D280">
        <f>COUNTIF('Metrics - Articles'!F279,"*Office of the CEO*")</f>
        <v>0</v>
      </c>
      <c r="E280">
        <f>COUNTIF('Metrics - Articles'!F279,"*Services Delivery &amp; Support (go-lives and deployments) *")</f>
        <v>0</v>
      </c>
      <c r="F280">
        <f>COUNTIF('Metrics - Articles'!F279,"*Human Resources (SAP HR and employee stories)*")</f>
        <v>0</v>
      </c>
      <c r="G280">
        <f>COUNTIF('Metrics - Articles'!F279,"*P&amp;I (Research &amp; Development)*")</f>
        <v>0</v>
      </c>
      <c r="H280">
        <f>COUNTIF('Metrics - Articles'!F279,"*Business Network (Concur, Ariba, Fieldglass)*")</f>
        <v>0</v>
      </c>
      <c r="I280">
        <f>COUNTIF('Metrics - Articles'!F279,"*GCO – Regions*")</f>
        <v>0</v>
      </c>
      <c r="J280">
        <f>COUNTIF('Metrics - Articles'!F279,"*GCO – Platform Solutions*")</f>
        <v>0</v>
      </c>
      <c r="K280">
        <f>COUNTIF('Metrics - Articles'!F279,"*GCO – Industry Cloud *")</f>
        <v>0</v>
      </c>
      <c r="L280">
        <f>COUNTIF('Metrics - Articles'!F279,"*GCO – Customer Engagement &amp; Commerce (CRM &amp; hybris) *")</f>
        <v>0</v>
      </c>
      <c r="M280">
        <f>COUNTIF('Metrics - Articles'!F279,"*GCO – HR (SuccessFactors)*")</f>
        <v>0</v>
      </c>
      <c r="N280">
        <f>COUNTIF('Metrics - Articles'!F279,"*GCO – Services Sales*")</f>
        <v>0</v>
      </c>
      <c r="O280">
        <f>COUNTIF('Metrics - Articles'!F279,"*GCO – Other*")</f>
        <v>0</v>
      </c>
      <c r="P280">
        <f>COUNTIF('Metrics - Articles'!F279,"*Corporate*")</f>
        <v>1</v>
      </c>
      <c r="R280" s="53">
        <f t="shared" si="6"/>
        <v>1</v>
      </c>
    </row>
    <row r="281" spans="2:18" hidden="1" x14ac:dyDescent="0.25">
      <c r="B281" s="48">
        <f>+'Metrics - Articles'!C280</f>
        <v>42255</v>
      </c>
      <c r="C281">
        <f>COUNTIF('Metrics - Articles'!F280,"*GPO (Partner, Ecosystem, Channels)*")</f>
        <v>0</v>
      </c>
      <c r="D281">
        <f>COUNTIF('Metrics - Articles'!F280,"*Office of the CEO*")</f>
        <v>0</v>
      </c>
      <c r="E281">
        <f>COUNTIF('Metrics - Articles'!F280,"*Services Delivery &amp; Support (go-lives and deployments) *")</f>
        <v>0</v>
      </c>
      <c r="F281">
        <f>COUNTIF('Metrics - Articles'!F280,"*Human Resources (SAP HR and employee stories)*")</f>
        <v>0</v>
      </c>
      <c r="G281">
        <f>COUNTIF('Metrics - Articles'!F280,"*P&amp;I (Research &amp; Development)*")</f>
        <v>0</v>
      </c>
      <c r="H281">
        <f>COUNTIF('Metrics - Articles'!F280,"*Business Network (Concur, Ariba, Fieldglass)*")</f>
        <v>0</v>
      </c>
      <c r="I281">
        <f>COUNTIF('Metrics - Articles'!F280,"*GCO – Regions*")</f>
        <v>0</v>
      </c>
      <c r="J281">
        <f>COUNTIF('Metrics - Articles'!F280,"*GCO – Platform Solutions*")</f>
        <v>0</v>
      </c>
      <c r="K281">
        <f>COUNTIF('Metrics - Articles'!F280,"*GCO – Industry Cloud *")</f>
        <v>0</v>
      </c>
      <c r="L281">
        <f>COUNTIF('Metrics - Articles'!F280,"*GCO – Customer Engagement &amp; Commerce (CRM &amp; hybris) *")</f>
        <v>0</v>
      </c>
      <c r="M281">
        <f>COUNTIF('Metrics - Articles'!F280,"*GCO – HR (SuccessFactors)*")</f>
        <v>0</v>
      </c>
      <c r="N281">
        <f>COUNTIF('Metrics - Articles'!F280,"*GCO – Services Sales*")</f>
        <v>0</v>
      </c>
      <c r="O281">
        <f>COUNTIF('Metrics - Articles'!F280,"*GCO – Other*")</f>
        <v>1</v>
      </c>
      <c r="P281">
        <f>COUNTIF('Metrics - Articles'!F280,"*Corporate*")</f>
        <v>0</v>
      </c>
      <c r="R281" s="53">
        <f t="shared" si="6"/>
        <v>1</v>
      </c>
    </row>
    <row r="282" spans="2:18" hidden="1" x14ac:dyDescent="0.25">
      <c r="B282" s="48">
        <f>+'Metrics - Articles'!C281</f>
        <v>42256</v>
      </c>
      <c r="C282">
        <f>COUNTIF('Metrics - Articles'!F281,"*GPO (Partner, Ecosystem, Channels)*")</f>
        <v>0</v>
      </c>
      <c r="D282">
        <f>COUNTIF('Metrics - Articles'!F281,"*Office of the CEO*")</f>
        <v>0</v>
      </c>
      <c r="E282">
        <f>COUNTIF('Metrics - Articles'!F281,"*Services Delivery &amp; Support (go-lives and deployments) *")</f>
        <v>0</v>
      </c>
      <c r="F282">
        <f>COUNTIF('Metrics - Articles'!F281,"*Human Resources (SAP HR and employee stories)*")</f>
        <v>0</v>
      </c>
      <c r="G282">
        <f>COUNTIF('Metrics - Articles'!F281,"*P&amp;I (Research &amp; Development)*")</f>
        <v>0</v>
      </c>
      <c r="H282">
        <f>COUNTIF('Metrics - Articles'!F281,"*Business Network (Concur, Ariba, Fieldglass)*")</f>
        <v>0</v>
      </c>
      <c r="I282">
        <f>COUNTIF('Metrics - Articles'!F281,"*GCO – Regions*")</f>
        <v>0</v>
      </c>
      <c r="J282">
        <f>COUNTIF('Metrics - Articles'!F281,"*GCO – Platform Solutions*")</f>
        <v>0</v>
      </c>
      <c r="K282">
        <f>COUNTIF('Metrics - Articles'!F281,"*GCO – Industry Cloud *")</f>
        <v>0</v>
      </c>
      <c r="L282">
        <f>COUNTIF('Metrics - Articles'!F281,"*GCO – Customer Engagement &amp; Commerce (CRM &amp; hybris) *")</f>
        <v>0</v>
      </c>
      <c r="M282">
        <f>COUNTIF('Metrics - Articles'!F281,"*GCO – HR (SuccessFactors)*")</f>
        <v>0</v>
      </c>
      <c r="N282">
        <f>COUNTIF('Metrics - Articles'!F281,"*GCO – Services Sales*")</f>
        <v>0</v>
      </c>
      <c r="O282">
        <f>COUNTIF('Metrics - Articles'!F281,"*GCO – Other*")</f>
        <v>0</v>
      </c>
      <c r="P282">
        <f>COUNTIF('Metrics - Articles'!F281,"*Corporate*")</f>
        <v>1</v>
      </c>
      <c r="R282" s="53">
        <f t="shared" si="6"/>
        <v>1</v>
      </c>
    </row>
    <row r="283" spans="2:18" hidden="1" x14ac:dyDescent="0.25">
      <c r="B283" s="48">
        <f>+'Metrics - Articles'!C282</f>
        <v>42257</v>
      </c>
      <c r="C283">
        <f>COUNTIF('Metrics - Articles'!F282,"*GPO (Partner, Ecosystem, Channels)*")</f>
        <v>0</v>
      </c>
      <c r="D283">
        <f>COUNTIF('Metrics - Articles'!F282,"*Office of the CEO*")</f>
        <v>0</v>
      </c>
      <c r="E283">
        <f>COUNTIF('Metrics - Articles'!F282,"*Services Delivery &amp; Support (go-lives and deployments) *")</f>
        <v>0</v>
      </c>
      <c r="F283">
        <f>COUNTIF('Metrics - Articles'!F282,"*Human Resources (SAP HR and employee stories)*")</f>
        <v>0</v>
      </c>
      <c r="G283">
        <f>COUNTIF('Metrics - Articles'!F282,"*P&amp;I (Research &amp; Development)*")</f>
        <v>1</v>
      </c>
      <c r="H283">
        <f>COUNTIF('Metrics - Articles'!F282,"*Business Network (Concur, Ariba, Fieldglass)*")</f>
        <v>0</v>
      </c>
      <c r="I283">
        <f>COUNTIF('Metrics - Articles'!F282,"*GCO – Regions*")</f>
        <v>0</v>
      </c>
      <c r="J283">
        <f>COUNTIF('Metrics - Articles'!F282,"*GCO – Platform Solutions*")</f>
        <v>0</v>
      </c>
      <c r="K283">
        <f>COUNTIF('Metrics - Articles'!F282,"*GCO – Industry Cloud *")</f>
        <v>0</v>
      </c>
      <c r="L283">
        <f>COUNTIF('Metrics - Articles'!F282,"*GCO – Customer Engagement &amp; Commerce (CRM &amp; hybris) *")</f>
        <v>0</v>
      </c>
      <c r="M283">
        <f>COUNTIF('Metrics - Articles'!F282,"*GCO – HR (SuccessFactors)*")</f>
        <v>0</v>
      </c>
      <c r="N283">
        <f>COUNTIF('Metrics - Articles'!F282,"*GCO – Services Sales*")</f>
        <v>0</v>
      </c>
      <c r="O283">
        <f>COUNTIF('Metrics - Articles'!F282,"*GCO – Other*")</f>
        <v>0</v>
      </c>
      <c r="P283">
        <f>COUNTIF('Metrics - Articles'!F282,"*Corporate*")</f>
        <v>0</v>
      </c>
      <c r="R283" s="53">
        <f t="shared" si="6"/>
        <v>1</v>
      </c>
    </row>
    <row r="284" spans="2:18" hidden="1" x14ac:dyDescent="0.25">
      <c r="B284" s="48">
        <f>+'Metrics - Articles'!C283</f>
        <v>42258</v>
      </c>
      <c r="C284">
        <f>COUNTIF('Metrics - Articles'!F283,"*GPO (Partner, Ecosystem, Channels)*")</f>
        <v>0</v>
      </c>
      <c r="D284">
        <f>COUNTIF('Metrics - Articles'!F283,"*Office of the CEO*")</f>
        <v>0</v>
      </c>
      <c r="E284">
        <f>COUNTIF('Metrics - Articles'!F283,"*Services Delivery &amp; Support (go-lives and deployments) *")</f>
        <v>0</v>
      </c>
      <c r="F284">
        <f>COUNTIF('Metrics - Articles'!F283,"*Human Resources (SAP HR and employee stories)*")</f>
        <v>0</v>
      </c>
      <c r="G284">
        <f>COUNTIF('Metrics - Articles'!F283,"*P&amp;I (Research &amp; Development)*")</f>
        <v>0</v>
      </c>
      <c r="H284">
        <f>COUNTIF('Metrics - Articles'!F283,"*Business Network (Concur, Ariba, Fieldglass)*")</f>
        <v>0</v>
      </c>
      <c r="I284">
        <f>COUNTIF('Metrics - Articles'!F283,"*GCO – Regions*")</f>
        <v>0</v>
      </c>
      <c r="J284">
        <f>COUNTIF('Metrics - Articles'!F283,"*GCO – Platform Solutions*")</f>
        <v>1</v>
      </c>
      <c r="K284">
        <f>COUNTIF('Metrics - Articles'!F283,"*GCO – Industry Cloud *")</f>
        <v>1</v>
      </c>
      <c r="L284">
        <f>COUNTIF('Metrics - Articles'!F283,"*GCO – Customer Engagement &amp; Commerce (CRM &amp; hybris) *")</f>
        <v>0</v>
      </c>
      <c r="M284">
        <f>COUNTIF('Metrics - Articles'!F283,"*GCO – HR (SuccessFactors)*")</f>
        <v>0</v>
      </c>
      <c r="N284">
        <f>COUNTIF('Metrics - Articles'!F283,"*GCO – Services Sales*")</f>
        <v>0</v>
      </c>
      <c r="O284">
        <f>COUNTIF('Metrics - Articles'!F283,"*GCO – Other*")</f>
        <v>0</v>
      </c>
      <c r="P284">
        <f>COUNTIF('Metrics - Articles'!F283,"*Corporate*")</f>
        <v>0</v>
      </c>
      <c r="R284" s="53">
        <f t="shared" si="6"/>
        <v>2</v>
      </c>
    </row>
    <row r="285" spans="2:18" hidden="1" x14ac:dyDescent="0.25">
      <c r="B285" s="48">
        <f>+'Metrics - Articles'!C284</f>
        <v>42261</v>
      </c>
      <c r="C285">
        <f>COUNTIF('Metrics - Articles'!F284,"*GPO (Partner, Ecosystem, Channels)*")</f>
        <v>0</v>
      </c>
      <c r="D285">
        <f>COUNTIF('Metrics - Articles'!F284,"*Office of the CEO*")</f>
        <v>0</v>
      </c>
      <c r="E285">
        <f>COUNTIF('Metrics - Articles'!F284,"*Services Delivery &amp; Support (go-lives and deployments) *")</f>
        <v>0</v>
      </c>
      <c r="F285">
        <f>COUNTIF('Metrics - Articles'!F284,"*Human Resources (SAP HR and employee stories)*")</f>
        <v>1</v>
      </c>
      <c r="G285">
        <f>COUNTIF('Metrics - Articles'!F284,"*P&amp;I (Research &amp; Development)*")</f>
        <v>0</v>
      </c>
      <c r="H285">
        <f>COUNTIF('Metrics - Articles'!F284,"*Business Network (Concur, Ariba, Fieldglass)*")</f>
        <v>0</v>
      </c>
      <c r="I285">
        <f>COUNTIF('Metrics - Articles'!F284,"*GCO – Regions*")</f>
        <v>0</v>
      </c>
      <c r="J285">
        <f>COUNTIF('Metrics - Articles'!F284,"*GCO – Platform Solutions*")</f>
        <v>0</v>
      </c>
      <c r="K285">
        <f>COUNTIF('Metrics - Articles'!F284,"*GCO – Industry Cloud *")</f>
        <v>0</v>
      </c>
      <c r="L285">
        <f>COUNTIF('Metrics - Articles'!F284,"*GCO – Customer Engagement &amp; Commerce (CRM &amp; hybris) *")</f>
        <v>0</v>
      </c>
      <c r="M285">
        <f>COUNTIF('Metrics - Articles'!F284,"*GCO – HR (SuccessFactors)*")</f>
        <v>0</v>
      </c>
      <c r="N285">
        <f>COUNTIF('Metrics - Articles'!F284,"*GCO – Services Sales*")</f>
        <v>0</v>
      </c>
      <c r="O285">
        <f>COUNTIF('Metrics - Articles'!F284,"*GCO – Other*")</f>
        <v>0</v>
      </c>
      <c r="P285">
        <f>COUNTIF('Metrics - Articles'!F284,"*Corporate*")</f>
        <v>0</v>
      </c>
      <c r="R285" s="53">
        <f t="shared" si="6"/>
        <v>1</v>
      </c>
    </row>
    <row r="286" spans="2:18" hidden="1" x14ac:dyDescent="0.25">
      <c r="B286" s="48">
        <f>+'Metrics - Articles'!C285</f>
        <v>42262</v>
      </c>
      <c r="C286">
        <f>COUNTIF('Metrics - Articles'!F285,"*GPO (Partner, Ecosystem, Channels)*")</f>
        <v>0</v>
      </c>
      <c r="D286">
        <f>COUNTIF('Metrics - Articles'!F285,"*Office of the CEO*")</f>
        <v>0</v>
      </c>
      <c r="E286">
        <f>COUNTIF('Metrics - Articles'!F285,"*Services Delivery &amp; Support (go-lives and deployments) *")</f>
        <v>0</v>
      </c>
      <c r="F286">
        <f>COUNTIF('Metrics - Articles'!F285,"*Human Resources (SAP HR and employee stories)*")</f>
        <v>0</v>
      </c>
      <c r="G286">
        <f>COUNTIF('Metrics - Articles'!F285,"*P&amp;I (Research &amp; Development)*")</f>
        <v>0</v>
      </c>
      <c r="H286">
        <f>COUNTIF('Metrics - Articles'!F285,"*Business Network (Concur, Ariba, Fieldglass)*")</f>
        <v>0</v>
      </c>
      <c r="I286">
        <f>COUNTIF('Metrics - Articles'!F285,"*GCO – Regions*")</f>
        <v>0</v>
      </c>
      <c r="J286">
        <f>COUNTIF('Metrics - Articles'!F285,"*GCO – Platform Solutions*")</f>
        <v>0</v>
      </c>
      <c r="K286">
        <f>COUNTIF('Metrics - Articles'!F285,"*GCO – Industry Cloud *")</f>
        <v>0</v>
      </c>
      <c r="L286">
        <f>COUNTIF('Metrics - Articles'!F285,"*GCO – Customer Engagement &amp; Commerce (CRM &amp; hybris) *")</f>
        <v>1</v>
      </c>
      <c r="M286">
        <f>COUNTIF('Metrics - Articles'!F285,"*GCO – HR (SuccessFactors)*")</f>
        <v>0</v>
      </c>
      <c r="N286">
        <f>COUNTIF('Metrics - Articles'!F285,"*GCO – Services Sales*")</f>
        <v>0</v>
      </c>
      <c r="O286">
        <f>COUNTIF('Metrics - Articles'!F285,"*GCO – Other*")</f>
        <v>0</v>
      </c>
      <c r="P286">
        <f>COUNTIF('Metrics - Articles'!F285,"*Corporate*")</f>
        <v>0</v>
      </c>
      <c r="R286" s="53">
        <f t="shared" si="6"/>
        <v>1</v>
      </c>
    </row>
    <row r="287" spans="2:18" hidden="1" x14ac:dyDescent="0.25">
      <c r="B287" s="48">
        <f>+'Metrics - Articles'!C286</f>
        <v>42262</v>
      </c>
      <c r="C287">
        <f>COUNTIF('Metrics - Articles'!F286,"*GPO (Partner, Ecosystem, Channels)*")</f>
        <v>0</v>
      </c>
      <c r="D287">
        <f>COUNTIF('Metrics - Articles'!F286,"*Office of the CEO*")</f>
        <v>0</v>
      </c>
      <c r="E287">
        <f>COUNTIF('Metrics - Articles'!F286,"*Services Delivery &amp; Support (go-lives and deployments) *")</f>
        <v>0</v>
      </c>
      <c r="F287">
        <f>COUNTIF('Metrics - Articles'!F286,"*Human Resources (SAP HR and employee stories)*")</f>
        <v>0</v>
      </c>
      <c r="G287">
        <f>COUNTIF('Metrics - Articles'!F286,"*P&amp;I (Research &amp; Development)*")</f>
        <v>0</v>
      </c>
      <c r="H287">
        <f>COUNTIF('Metrics - Articles'!F286,"*Business Network (Concur, Ariba, Fieldglass)*")</f>
        <v>0</v>
      </c>
      <c r="I287">
        <f>COUNTIF('Metrics - Articles'!F286,"*GCO – Regions*")</f>
        <v>0</v>
      </c>
      <c r="J287">
        <f>COUNTIF('Metrics - Articles'!F286,"*GCO – Platform Solutions*")</f>
        <v>0</v>
      </c>
      <c r="K287">
        <f>COUNTIF('Metrics - Articles'!F286,"*GCO – Industry Cloud *")</f>
        <v>0</v>
      </c>
      <c r="L287">
        <f>COUNTIF('Metrics - Articles'!F286,"*GCO – Customer Engagement &amp; Commerce (CRM &amp; hybris) *")</f>
        <v>0</v>
      </c>
      <c r="M287">
        <f>COUNTIF('Metrics - Articles'!F286,"*GCO – HR (SuccessFactors)*")</f>
        <v>0</v>
      </c>
      <c r="N287">
        <f>COUNTIF('Metrics - Articles'!F286,"*GCO – Services Sales*")</f>
        <v>0</v>
      </c>
      <c r="O287">
        <f>COUNTIF('Metrics - Articles'!F286,"*GCO – Other*")</f>
        <v>0</v>
      </c>
      <c r="P287">
        <f>COUNTIF('Metrics - Articles'!F286,"*Corporate*")</f>
        <v>1</v>
      </c>
      <c r="R287" s="53">
        <f t="shared" si="6"/>
        <v>1</v>
      </c>
    </row>
    <row r="288" spans="2:18" hidden="1" x14ac:dyDescent="0.25">
      <c r="B288" s="48">
        <f>+'Metrics - Articles'!C287</f>
        <v>42263</v>
      </c>
      <c r="C288">
        <f>COUNTIF('Metrics - Articles'!F287,"*GPO (Partner, Ecosystem, Channels)*")</f>
        <v>0</v>
      </c>
      <c r="D288">
        <f>COUNTIF('Metrics - Articles'!F287,"*Office of the CEO*")</f>
        <v>1</v>
      </c>
      <c r="E288">
        <f>COUNTIF('Metrics - Articles'!F287,"*Services Delivery &amp; Support (go-lives and deployments) *")</f>
        <v>0</v>
      </c>
      <c r="F288">
        <f>COUNTIF('Metrics - Articles'!F287,"*Human Resources (SAP HR and employee stories)*")</f>
        <v>0</v>
      </c>
      <c r="G288">
        <f>COUNTIF('Metrics - Articles'!F287,"*P&amp;I (Research &amp; Development)*")</f>
        <v>0</v>
      </c>
      <c r="H288">
        <f>COUNTIF('Metrics - Articles'!F287,"*Business Network (Concur, Ariba, Fieldglass)*")</f>
        <v>0</v>
      </c>
      <c r="I288">
        <f>COUNTIF('Metrics - Articles'!F287,"*GCO – Regions*")</f>
        <v>0</v>
      </c>
      <c r="J288">
        <f>COUNTIF('Metrics - Articles'!F287,"*GCO – Platform Solutions*")</f>
        <v>0</v>
      </c>
      <c r="K288">
        <f>COUNTIF('Metrics - Articles'!F287,"*GCO – Industry Cloud *")</f>
        <v>0</v>
      </c>
      <c r="L288">
        <f>COUNTIF('Metrics - Articles'!F287,"*GCO – Customer Engagement &amp; Commerce (CRM &amp; hybris) *")</f>
        <v>0</v>
      </c>
      <c r="M288">
        <f>COUNTIF('Metrics - Articles'!F287,"*GCO – HR (SuccessFactors)*")</f>
        <v>0</v>
      </c>
      <c r="N288">
        <f>COUNTIF('Metrics - Articles'!F287,"*GCO – Services Sales*")</f>
        <v>0</v>
      </c>
      <c r="O288">
        <f>COUNTIF('Metrics - Articles'!F287,"*GCO – Other*")</f>
        <v>0</v>
      </c>
      <c r="P288">
        <f>COUNTIF('Metrics - Articles'!F287,"*Corporate*")</f>
        <v>0</v>
      </c>
      <c r="R288" s="53">
        <f t="shared" si="6"/>
        <v>1</v>
      </c>
    </row>
    <row r="289" spans="2:18" hidden="1" x14ac:dyDescent="0.25">
      <c r="B289" s="48">
        <f>+'Metrics - Articles'!C288</f>
        <v>42263</v>
      </c>
      <c r="C289">
        <f>COUNTIF('Metrics - Articles'!F288,"*GPO (Partner, Ecosystem, Channels)*")</f>
        <v>0</v>
      </c>
      <c r="D289">
        <f>COUNTIF('Metrics - Articles'!F288,"*Office of the CEO*")</f>
        <v>0</v>
      </c>
      <c r="E289">
        <f>COUNTIF('Metrics - Articles'!F288,"*Services Delivery &amp; Support (go-lives and deployments) *")</f>
        <v>0</v>
      </c>
      <c r="F289">
        <f>COUNTIF('Metrics - Articles'!F288,"*Human Resources (SAP HR and employee stories)*")</f>
        <v>0</v>
      </c>
      <c r="G289">
        <f>COUNTIF('Metrics - Articles'!F288,"*P&amp;I (Research &amp; Development)*")</f>
        <v>0</v>
      </c>
      <c r="H289">
        <f>COUNTIF('Metrics - Articles'!F288,"*Business Network (Concur, Ariba, Fieldglass)*")</f>
        <v>0</v>
      </c>
      <c r="I289">
        <f>COUNTIF('Metrics - Articles'!F288,"*GCO – Regions*")</f>
        <v>0</v>
      </c>
      <c r="J289">
        <f>COUNTIF('Metrics - Articles'!F288,"*GCO – Platform Solutions*")</f>
        <v>0</v>
      </c>
      <c r="K289">
        <f>COUNTIF('Metrics - Articles'!F288,"*GCO – Industry Cloud *")</f>
        <v>0</v>
      </c>
      <c r="L289">
        <f>COUNTIF('Metrics - Articles'!F288,"*GCO – Customer Engagement &amp; Commerce (CRM &amp; hybris) *")</f>
        <v>1</v>
      </c>
      <c r="M289">
        <f>COUNTIF('Metrics - Articles'!F288,"*GCO – HR (SuccessFactors)*")</f>
        <v>0</v>
      </c>
      <c r="N289">
        <f>COUNTIF('Metrics - Articles'!F288,"*GCO – Services Sales*")</f>
        <v>0</v>
      </c>
      <c r="O289">
        <f>COUNTIF('Metrics - Articles'!F288,"*GCO – Other*")</f>
        <v>0</v>
      </c>
      <c r="P289">
        <f>COUNTIF('Metrics - Articles'!F288,"*Corporate*")</f>
        <v>0</v>
      </c>
      <c r="R289" s="53">
        <f t="shared" si="6"/>
        <v>1</v>
      </c>
    </row>
    <row r="290" spans="2:18" hidden="1" x14ac:dyDescent="0.25">
      <c r="B290" s="48">
        <f>+'Metrics - Articles'!C289</f>
        <v>42264</v>
      </c>
      <c r="C290">
        <f>COUNTIF('Metrics - Articles'!F289,"*GPO (Partner, Ecosystem, Channels)*")</f>
        <v>0</v>
      </c>
      <c r="D290">
        <f>COUNTIF('Metrics - Articles'!F289,"*Office of the CEO*")</f>
        <v>0</v>
      </c>
      <c r="E290">
        <f>COUNTIF('Metrics - Articles'!F289,"*Services Delivery &amp; Support (go-lives and deployments) *")</f>
        <v>0</v>
      </c>
      <c r="F290">
        <f>COUNTIF('Metrics - Articles'!F289,"*Human Resources (SAP HR and employee stories)*")</f>
        <v>0</v>
      </c>
      <c r="G290">
        <f>COUNTIF('Metrics - Articles'!F289,"*P&amp;I (Research &amp; Development)*")</f>
        <v>0</v>
      </c>
      <c r="H290">
        <f>COUNTIF('Metrics - Articles'!F289,"*Business Network (Concur, Ariba, Fieldglass)*")</f>
        <v>0</v>
      </c>
      <c r="I290">
        <f>COUNTIF('Metrics - Articles'!F289,"*GCO – Regions*")</f>
        <v>0</v>
      </c>
      <c r="J290">
        <f>COUNTIF('Metrics - Articles'!F289,"*GCO – Platform Solutions*")</f>
        <v>0</v>
      </c>
      <c r="K290">
        <f>COUNTIF('Metrics - Articles'!F289,"*GCO – Industry Cloud *")</f>
        <v>0</v>
      </c>
      <c r="L290">
        <f>COUNTIF('Metrics - Articles'!F289,"*GCO – Customer Engagement &amp; Commerce (CRM &amp; hybris) *")</f>
        <v>0</v>
      </c>
      <c r="M290">
        <f>COUNTIF('Metrics - Articles'!F289,"*GCO – HR (SuccessFactors)*")</f>
        <v>0</v>
      </c>
      <c r="N290">
        <f>COUNTIF('Metrics - Articles'!F289,"*GCO – Services Sales*")</f>
        <v>0</v>
      </c>
      <c r="O290">
        <f>COUNTIF('Metrics - Articles'!F289,"*GCO – Other*")</f>
        <v>0</v>
      </c>
      <c r="P290">
        <f>COUNTIF('Metrics - Articles'!F289,"*Corporate*")</f>
        <v>1</v>
      </c>
      <c r="R290" s="53">
        <f t="shared" si="6"/>
        <v>1</v>
      </c>
    </row>
    <row r="291" spans="2:18" hidden="1" x14ac:dyDescent="0.25">
      <c r="B291" s="48">
        <f>+'Metrics - Articles'!C290</f>
        <v>42269</v>
      </c>
      <c r="C291">
        <f>COUNTIF('Metrics - Articles'!F290,"*GPO (Partner, Ecosystem, Channels)*")</f>
        <v>0</v>
      </c>
      <c r="D291">
        <f>COUNTIF('Metrics - Articles'!F290,"*Office of the CEO*")</f>
        <v>0</v>
      </c>
      <c r="E291">
        <f>COUNTIF('Metrics - Articles'!F290,"*Services Delivery &amp; Support (go-lives and deployments) *")</f>
        <v>0</v>
      </c>
      <c r="F291">
        <f>COUNTIF('Metrics - Articles'!F290,"*Human Resources (SAP HR and employee stories)*")</f>
        <v>0</v>
      </c>
      <c r="G291">
        <f>COUNTIF('Metrics - Articles'!F290,"*P&amp;I (Research &amp; Development)*")</f>
        <v>0</v>
      </c>
      <c r="H291">
        <f>COUNTIF('Metrics - Articles'!F290,"*Business Network (Concur, Ariba, Fieldglass)*")</f>
        <v>0</v>
      </c>
      <c r="I291">
        <f>COUNTIF('Metrics - Articles'!F290,"*GCO – Regions*")</f>
        <v>0</v>
      </c>
      <c r="J291">
        <f>COUNTIF('Metrics - Articles'!F290,"*GCO – Platform Solutions*")</f>
        <v>1</v>
      </c>
      <c r="K291">
        <f>COUNTIF('Metrics - Articles'!F290,"*GCO – Industry Cloud *")</f>
        <v>1</v>
      </c>
      <c r="L291">
        <f>COUNTIF('Metrics - Articles'!F290,"*GCO – Customer Engagement &amp; Commerce (CRM &amp; hybris) *")</f>
        <v>0</v>
      </c>
      <c r="M291">
        <f>COUNTIF('Metrics - Articles'!F290,"*GCO – HR (SuccessFactors)*")</f>
        <v>0</v>
      </c>
      <c r="N291">
        <f>COUNTIF('Metrics - Articles'!F290,"*GCO – Services Sales*")</f>
        <v>0</v>
      </c>
      <c r="O291">
        <f>COUNTIF('Metrics - Articles'!F290,"*GCO – Other*")</f>
        <v>0</v>
      </c>
      <c r="P291">
        <f>COUNTIF('Metrics - Articles'!F290,"*Corporate*")</f>
        <v>0</v>
      </c>
      <c r="R291" s="53">
        <f t="shared" si="6"/>
        <v>2</v>
      </c>
    </row>
    <row r="292" spans="2:18" hidden="1" x14ac:dyDescent="0.25">
      <c r="B292" s="48">
        <f>+'Metrics - Articles'!C291</f>
        <v>42270</v>
      </c>
      <c r="C292">
        <f>COUNTIF('Metrics - Articles'!F291,"*GPO (Partner, Ecosystem, Channels)*")</f>
        <v>0</v>
      </c>
      <c r="D292">
        <f>COUNTIF('Metrics - Articles'!F291,"*Office of the CEO*")</f>
        <v>0</v>
      </c>
      <c r="E292">
        <f>COUNTIF('Metrics - Articles'!F291,"*Services Delivery &amp; Support (go-lives and deployments) *")</f>
        <v>0</v>
      </c>
      <c r="F292">
        <f>COUNTIF('Metrics - Articles'!F291,"*Human Resources (SAP HR and employee stories)*")</f>
        <v>0</v>
      </c>
      <c r="G292">
        <f>COUNTIF('Metrics - Articles'!F291,"*P&amp;I (Research &amp; Development)*")</f>
        <v>0</v>
      </c>
      <c r="H292">
        <f>COUNTIF('Metrics - Articles'!F291,"*Business Network (Concur, Ariba, Fieldglass)*")</f>
        <v>0</v>
      </c>
      <c r="I292">
        <f>COUNTIF('Metrics - Articles'!F291,"*GCO – Regions*")</f>
        <v>0</v>
      </c>
      <c r="J292">
        <f>COUNTIF('Metrics - Articles'!F291,"*GCO – Platform Solutions*")</f>
        <v>0</v>
      </c>
      <c r="K292">
        <f>COUNTIF('Metrics - Articles'!F291,"*GCO – Industry Cloud *")</f>
        <v>0</v>
      </c>
      <c r="L292">
        <f>COUNTIF('Metrics - Articles'!F291,"*GCO – Customer Engagement &amp; Commerce (CRM &amp; hybris) *")</f>
        <v>0</v>
      </c>
      <c r="M292">
        <f>COUNTIF('Metrics - Articles'!F291,"*GCO – HR (SuccessFactors)*")</f>
        <v>0</v>
      </c>
      <c r="N292">
        <f>COUNTIF('Metrics - Articles'!F291,"*GCO – Services Sales*")</f>
        <v>0</v>
      </c>
      <c r="O292">
        <f>COUNTIF('Metrics - Articles'!F291,"*GCO – Other*")</f>
        <v>0</v>
      </c>
      <c r="P292">
        <f>COUNTIF('Metrics - Articles'!F291,"*Corporate*")</f>
        <v>1</v>
      </c>
      <c r="R292" s="53">
        <f t="shared" si="6"/>
        <v>1</v>
      </c>
    </row>
    <row r="293" spans="2:18" hidden="1" x14ac:dyDescent="0.25">
      <c r="B293" s="48">
        <f>+'Metrics - Articles'!C292</f>
        <v>42272</v>
      </c>
      <c r="C293">
        <f>COUNTIF('Metrics - Articles'!F292,"*GPO (Partner, Ecosystem, Channels)*")</f>
        <v>0</v>
      </c>
      <c r="D293">
        <f>COUNTIF('Metrics - Articles'!F292,"*Office of the CEO*")</f>
        <v>0</v>
      </c>
      <c r="E293">
        <f>COUNTIF('Metrics - Articles'!F292,"*Services Delivery &amp; Support (go-lives and deployments) *")</f>
        <v>0</v>
      </c>
      <c r="F293">
        <f>COUNTIF('Metrics - Articles'!F292,"*Human Resources (SAP HR and employee stories)*")</f>
        <v>0</v>
      </c>
      <c r="G293">
        <f>COUNTIF('Metrics - Articles'!F292,"*P&amp;I (Research &amp; Development)*")</f>
        <v>0</v>
      </c>
      <c r="H293">
        <f>COUNTIF('Metrics - Articles'!F292,"*Business Network (Concur, Ariba, Fieldglass)*")</f>
        <v>0</v>
      </c>
      <c r="I293">
        <f>COUNTIF('Metrics - Articles'!F292,"*GCO – Regions*")</f>
        <v>0</v>
      </c>
      <c r="J293">
        <f>COUNTIF('Metrics - Articles'!F292,"*GCO – Platform Solutions*")</f>
        <v>0</v>
      </c>
      <c r="K293">
        <f>COUNTIF('Metrics - Articles'!F292,"*GCO – Industry Cloud *")</f>
        <v>0</v>
      </c>
      <c r="L293">
        <f>COUNTIF('Metrics - Articles'!F292,"*GCO – Customer Engagement &amp; Commerce (CRM &amp; hybris) *")</f>
        <v>0</v>
      </c>
      <c r="M293">
        <f>COUNTIF('Metrics - Articles'!F292,"*GCO – HR (SuccessFactors)*")</f>
        <v>0</v>
      </c>
      <c r="N293">
        <f>COUNTIF('Metrics - Articles'!F292,"*GCO – Services Sales*")</f>
        <v>0</v>
      </c>
      <c r="O293">
        <f>COUNTIF('Metrics - Articles'!F292,"*GCO – Other*")</f>
        <v>1</v>
      </c>
      <c r="P293">
        <f>COUNTIF('Metrics - Articles'!F292,"*Corporate*")</f>
        <v>0</v>
      </c>
      <c r="R293" s="53">
        <f t="shared" si="6"/>
        <v>1</v>
      </c>
    </row>
    <row r="294" spans="2:18" hidden="1" x14ac:dyDescent="0.25">
      <c r="B294" s="48">
        <f>+'Metrics - Articles'!C293</f>
        <v>42272</v>
      </c>
      <c r="C294">
        <f>COUNTIF('Metrics - Articles'!F293,"*GPO (Partner, Ecosystem, Channels)*")</f>
        <v>0</v>
      </c>
      <c r="D294">
        <f>COUNTIF('Metrics - Articles'!F293,"*Office of the CEO*")</f>
        <v>0</v>
      </c>
      <c r="E294">
        <f>COUNTIF('Metrics - Articles'!F293,"*Services Delivery &amp; Support (go-lives and deployments) *")</f>
        <v>0</v>
      </c>
      <c r="F294">
        <f>COUNTIF('Metrics - Articles'!F293,"*Human Resources (SAP HR and employee stories)*")</f>
        <v>0</v>
      </c>
      <c r="G294">
        <f>COUNTIF('Metrics - Articles'!F293,"*P&amp;I (Research &amp; Development)*")</f>
        <v>1</v>
      </c>
      <c r="H294">
        <f>COUNTIF('Metrics - Articles'!F293,"*Business Network (Concur, Ariba, Fieldglass)*")</f>
        <v>0</v>
      </c>
      <c r="I294">
        <f>COUNTIF('Metrics - Articles'!F293,"*GCO – Regions*")</f>
        <v>0</v>
      </c>
      <c r="J294">
        <f>COUNTIF('Metrics - Articles'!F293,"*GCO – Platform Solutions*")</f>
        <v>0</v>
      </c>
      <c r="K294">
        <f>COUNTIF('Metrics - Articles'!F293,"*GCO – Industry Cloud *")</f>
        <v>1</v>
      </c>
      <c r="L294">
        <f>COUNTIF('Metrics - Articles'!F293,"*GCO – Customer Engagement &amp; Commerce (CRM &amp; hybris) *")</f>
        <v>0</v>
      </c>
      <c r="M294">
        <f>COUNTIF('Metrics - Articles'!F293,"*GCO – HR (SuccessFactors)*")</f>
        <v>0</v>
      </c>
      <c r="N294">
        <f>COUNTIF('Metrics - Articles'!F293,"*GCO – Services Sales*")</f>
        <v>0</v>
      </c>
      <c r="O294">
        <f>COUNTIF('Metrics - Articles'!F293,"*GCO – Other*")</f>
        <v>0</v>
      </c>
      <c r="P294">
        <f>COUNTIF('Metrics - Articles'!F293,"*Corporate*")</f>
        <v>0</v>
      </c>
      <c r="R294" s="53">
        <f t="shared" si="6"/>
        <v>2</v>
      </c>
    </row>
    <row r="295" spans="2:18" hidden="1" x14ac:dyDescent="0.25">
      <c r="B295" s="48">
        <f>+'Metrics - Articles'!C294</f>
        <v>42272</v>
      </c>
      <c r="C295">
        <f>COUNTIF('Metrics - Articles'!F294,"*GPO (Partner, Ecosystem, Channels)*")</f>
        <v>0</v>
      </c>
      <c r="D295">
        <f>COUNTIF('Metrics - Articles'!F294,"*Office of the CEO*")</f>
        <v>0</v>
      </c>
      <c r="E295">
        <f>COUNTIF('Metrics - Articles'!F294,"*Services Delivery &amp; Support (go-lives and deployments) *")</f>
        <v>0</v>
      </c>
      <c r="F295">
        <f>COUNTIF('Metrics - Articles'!F294,"*Human Resources (SAP HR and employee stories)*")</f>
        <v>0</v>
      </c>
      <c r="G295">
        <f>COUNTIF('Metrics - Articles'!F294,"*P&amp;I (Research &amp; Development)*")</f>
        <v>0</v>
      </c>
      <c r="H295">
        <f>COUNTIF('Metrics - Articles'!F294,"*Business Network (Concur, Ariba, Fieldglass)*")</f>
        <v>0</v>
      </c>
      <c r="I295">
        <f>COUNTIF('Metrics - Articles'!F294,"*GCO – Regions*")</f>
        <v>1</v>
      </c>
      <c r="J295">
        <f>COUNTIF('Metrics - Articles'!F294,"*GCO – Platform Solutions*")</f>
        <v>1</v>
      </c>
      <c r="K295">
        <f>COUNTIF('Metrics - Articles'!F294,"*GCO – Industry Cloud *")</f>
        <v>1</v>
      </c>
      <c r="L295">
        <f>COUNTIF('Metrics - Articles'!F294,"*GCO – Customer Engagement &amp; Commerce (CRM &amp; hybris) *")</f>
        <v>0</v>
      </c>
      <c r="M295">
        <f>COUNTIF('Metrics - Articles'!F294,"*GCO – HR (SuccessFactors)*")</f>
        <v>0</v>
      </c>
      <c r="N295">
        <f>COUNTIF('Metrics - Articles'!F294,"*GCO – Services Sales*")</f>
        <v>0</v>
      </c>
      <c r="O295">
        <f>COUNTIF('Metrics - Articles'!F294,"*GCO – Other*")</f>
        <v>0</v>
      </c>
      <c r="P295">
        <f>COUNTIF('Metrics - Articles'!F294,"*Corporate*")</f>
        <v>0</v>
      </c>
      <c r="R295" s="53">
        <f t="shared" si="6"/>
        <v>3</v>
      </c>
    </row>
    <row r="296" spans="2:18" hidden="1" x14ac:dyDescent="0.25">
      <c r="B296" s="48">
        <f>+'Metrics - Articles'!C295</f>
        <v>42275</v>
      </c>
      <c r="C296">
        <f>COUNTIF('Metrics - Articles'!F295,"*GPO (Partner, Ecosystem, Channels)*")</f>
        <v>0</v>
      </c>
      <c r="D296">
        <f>COUNTIF('Metrics - Articles'!F295,"*Office of the CEO*")</f>
        <v>0</v>
      </c>
      <c r="E296">
        <f>COUNTIF('Metrics - Articles'!F295,"*Services Delivery &amp; Support (go-lives and deployments) *")</f>
        <v>0</v>
      </c>
      <c r="F296">
        <f>COUNTIF('Metrics - Articles'!F295,"*Human Resources (SAP HR and employee stories)*")</f>
        <v>0</v>
      </c>
      <c r="G296">
        <f>COUNTIF('Metrics - Articles'!F295,"*P&amp;I (Research &amp; Development)*")</f>
        <v>0</v>
      </c>
      <c r="H296">
        <f>COUNTIF('Metrics - Articles'!F295,"*Business Network (Concur, Ariba, Fieldglass)*")</f>
        <v>0</v>
      </c>
      <c r="I296">
        <f>COUNTIF('Metrics - Articles'!F295,"*GCO – Regions*")</f>
        <v>0</v>
      </c>
      <c r="J296">
        <f>COUNTIF('Metrics - Articles'!F295,"*GCO – Platform Solutions*")</f>
        <v>1</v>
      </c>
      <c r="K296">
        <f>COUNTIF('Metrics - Articles'!F295,"*GCO – Industry Cloud *")</f>
        <v>0</v>
      </c>
      <c r="L296">
        <f>COUNTIF('Metrics - Articles'!F295,"*GCO – Customer Engagement &amp; Commerce (CRM &amp; hybris) *")</f>
        <v>0</v>
      </c>
      <c r="M296">
        <f>COUNTIF('Metrics - Articles'!F295,"*GCO – HR (SuccessFactors)*")</f>
        <v>0</v>
      </c>
      <c r="N296">
        <f>COUNTIF('Metrics - Articles'!F295,"*GCO – Services Sales*")</f>
        <v>0</v>
      </c>
      <c r="O296">
        <f>COUNTIF('Metrics - Articles'!F295,"*GCO – Other*")</f>
        <v>0</v>
      </c>
      <c r="P296">
        <f>COUNTIF('Metrics - Articles'!F295,"*Corporate*")</f>
        <v>0</v>
      </c>
      <c r="R296" s="53">
        <f t="shared" si="6"/>
        <v>1</v>
      </c>
    </row>
    <row r="297" spans="2:18" hidden="1" x14ac:dyDescent="0.25">
      <c r="B297" s="48">
        <f>+'Metrics - Articles'!C296</f>
        <v>42276</v>
      </c>
      <c r="C297">
        <f>COUNTIF('Metrics - Articles'!F296,"*GPO (Partner, Ecosystem, Channels)*")</f>
        <v>0</v>
      </c>
      <c r="D297">
        <f>COUNTIF('Metrics - Articles'!F296,"*Office of the CEO*")</f>
        <v>0</v>
      </c>
      <c r="E297">
        <f>COUNTIF('Metrics - Articles'!F296,"*Services Delivery &amp; Support (go-lives and deployments) *")</f>
        <v>0</v>
      </c>
      <c r="F297">
        <f>COUNTIF('Metrics - Articles'!F296,"*Human Resources (SAP HR and employee stories)*")</f>
        <v>0</v>
      </c>
      <c r="G297">
        <f>COUNTIF('Metrics - Articles'!F296,"*P&amp;I (Research &amp; Development)*")</f>
        <v>1</v>
      </c>
      <c r="H297">
        <f>COUNTIF('Metrics - Articles'!F296,"*Business Network (Concur, Ariba, Fieldglass)*")</f>
        <v>0</v>
      </c>
      <c r="I297">
        <f>COUNTIF('Metrics - Articles'!F296,"*GCO – Regions*")</f>
        <v>0</v>
      </c>
      <c r="J297">
        <f>COUNTIF('Metrics - Articles'!F296,"*GCO – Platform Solutions*")</f>
        <v>0</v>
      </c>
      <c r="K297">
        <f>COUNTIF('Metrics - Articles'!F296,"*GCO – Industry Cloud *")</f>
        <v>0</v>
      </c>
      <c r="L297">
        <f>COUNTIF('Metrics - Articles'!F296,"*GCO – Customer Engagement &amp; Commerce (CRM &amp; hybris) *")</f>
        <v>0</v>
      </c>
      <c r="M297">
        <f>COUNTIF('Metrics - Articles'!F296,"*GCO – HR (SuccessFactors)*")</f>
        <v>0</v>
      </c>
      <c r="N297">
        <f>COUNTIF('Metrics - Articles'!F296,"*GCO – Services Sales*")</f>
        <v>0</v>
      </c>
      <c r="O297">
        <f>COUNTIF('Metrics - Articles'!F296,"*GCO – Other*")</f>
        <v>0</v>
      </c>
      <c r="P297">
        <f>COUNTIF('Metrics - Articles'!F296,"*Corporate*")</f>
        <v>0</v>
      </c>
      <c r="R297" s="53">
        <f t="shared" si="6"/>
        <v>1</v>
      </c>
    </row>
    <row r="298" spans="2:18" hidden="1" x14ac:dyDescent="0.25">
      <c r="B298" s="48">
        <f>+'Metrics - Articles'!C297</f>
        <v>42277</v>
      </c>
      <c r="C298">
        <f>COUNTIF('Metrics - Articles'!F297,"*GPO (Partner, Ecosystem, Channels)*")</f>
        <v>0</v>
      </c>
      <c r="D298">
        <f>COUNTIF('Metrics - Articles'!F297,"*Office of the CEO*")</f>
        <v>0</v>
      </c>
      <c r="E298">
        <f>COUNTIF('Metrics - Articles'!F297,"*Services Delivery &amp; Support (go-lives and deployments) *")</f>
        <v>0</v>
      </c>
      <c r="F298">
        <f>COUNTIF('Metrics - Articles'!F297,"*Human Resources (SAP HR and employee stories)*")</f>
        <v>0</v>
      </c>
      <c r="G298">
        <f>COUNTIF('Metrics - Articles'!F297,"*P&amp;I (Research &amp; Development)*")</f>
        <v>0</v>
      </c>
      <c r="H298">
        <f>COUNTIF('Metrics - Articles'!F297,"*Business Network (Concur, Ariba, Fieldglass)*")</f>
        <v>0</v>
      </c>
      <c r="I298">
        <f>COUNTIF('Metrics - Articles'!F297,"*GCO – Regions*")</f>
        <v>0</v>
      </c>
      <c r="J298">
        <f>COUNTIF('Metrics - Articles'!F297,"*GCO – Platform Solutions*")</f>
        <v>0</v>
      </c>
      <c r="K298">
        <f>COUNTIF('Metrics - Articles'!F297,"*GCO – Industry Cloud *")</f>
        <v>0</v>
      </c>
      <c r="L298">
        <f>COUNTIF('Metrics - Articles'!F297,"*GCO – Customer Engagement &amp; Commerce (CRM &amp; hybris) *")</f>
        <v>0</v>
      </c>
      <c r="M298">
        <f>COUNTIF('Metrics - Articles'!F297,"*GCO – HR (SuccessFactors)*")</f>
        <v>0</v>
      </c>
      <c r="N298">
        <f>COUNTIF('Metrics - Articles'!F297,"*GCO – Services Sales*")</f>
        <v>0</v>
      </c>
      <c r="O298">
        <f>COUNTIF('Metrics - Articles'!F297,"*GCO – Other*")</f>
        <v>0</v>
      </c>
      <c r="P298">
        <f>COUNTIF('Metrics - Articles'!F297,"*Corporate*")</f>
        <v>1</v>
      </c>
      <c r="R298" s="53">
        <f t="shared" si="6"/>
        <v>1</v>
      </c>
    </row>
    <row r="299" spans="2:18" hidden="1" x14ac:dyDescent="0.25">
      <c r="B299" s="48">
        <f>+'Metrics - Articles'!C298</f>
        <v>42277</v>
      </c>
      <c r="C299">
        <f>COUNTIF('Metrics - Articles'!F298,"*GPO (Partner, Ecosystem, Channels)*")</f>
        <v>0</v>
      </c>
      <c r="D299">
        <f>COUNTIF('Metrics - Articles'!F298,"*Office of the CEO*")</f>
        <v>0</v>
      </c>
      <c r="E299">
        <f>COUNTIF('Metrics - Articles'!F298,"*Services Delivery &amp; Support (go-lives and deployments) *")</f>
        <v>0</v>
      </c>
      <c r="F299">
        <f>COUNTIF('Metrics - Articles'!F298,"*Human Resources (SAP HR and employee stories)*")</f>
        <v>0</v>
      </c>
      <c r="G299">
        <f>COUNTIF('Metrics - Articles'!F298,"*P&amp;I (Research &amp; Development)*")</f>
        <v>1</v>
      </c>
      <c r="H299">
        <f>COUNTIF('Metrics - Articles'!F298,"*Business Network (Concur, Ariba, Fieldglass)*")</f>
        <v>0</v>
      </c>
      <c r="I299">
        <f>COUNTIF('Metrics - Articles'!F298,"*GCO – Regions*")</f>
        <v>0</v>
      </c>
      <c r="J299">
        <f>COUNTIF('Metrics - Articles'!F298,"*GCO – Platform Solutions*")</f>
        <v>0</v>
      </c>
      <c r="K299">
        <f>COUNTIF('Metrics - Articles'!F298,"*GCO – Industry Cloud *")</f>
        <v>0</v>
      </c>
      <c r="L299">
        <f>COUNTIF('Metrics - Articles'!F298,"*GCO – Customer Engagement &amp; Commerce (CRM &amp; hybris) *")</f>
        <v>0</v>
      </c>
      <c r="M299">
        <f>COUNTIF('Metrics - Articles'!F298,"*GCO – HR (SuccessFactors)*")</f>
        <v>0</v>
      </c>
      <c r="N299">
        <f>COUNTIF('Metrics - Articles'!F298,"*GCO – Services Sales*")</f>
        <v>0</v>
      </c>
      <c r="O299">
        <f>COUNTIF('Metrics - Articles'!F298,"*GCO – Other*")</f>
        <v>0</v>
      </c>
      <c r="P299">
        <f>COUNTIF('Metrics - Articles'!F298,"*Corporate*")</f>
        <v>0</v>
      </c>
      <c r="R299" s="53">
        <f t="shared" si="6"/>
        <v>1</v>
      </c>
    </row>
    <row r="300" spans="2:18" x14ac:dyDescent="0.25">
      <c r="B300" s="48">
        <f>+'Metrics - Articles'!C299</f>
        <v>42278</v>
      </c>
      <c r="C300">
        <f>COUNTIF('Metrics - Articles'!F299,"*GPO (Partner, Ecosystem, Channels)*")</f>
        <v>0</v>
      </c>
      <c r="D300">
        <f>COUNTIF('Metrics - Articles'!F299,"*Office of the CEO*")</f>
        <v>0</v>
      </c>
      <c r="E300">
        <f>COUNTIF('Metrics - Articles'!F299,"*Services Delivery &amp; Support (go-lives and deployments) *")</f>
        <v>0</v>
      </c>
      <c r="F300">
        <f>COUNTIF('Metrics - Articles'!F299,"*Human Resources (SAP HR and employee stories)*")</f>
        <v>0</v>
      </c>
      <c r="G300">
        <f>COUNTIF('Metrics - Articles'!F299,"*P&amp;I (Research &amp; Development)*")</f>
        <v>0</v>
      </c>
      <c r="H300">
        <f>COUNTIF('Metrics - Articles'!F299,"*Business Network (Concur, Ariba, Fieldglass)*")</f>
        <v>0</v>
      </c>
      <c r="I300">
        <f>COUNTIF('Metrics - Articles'!F299,"*GCO – Regions*")</f>
        <v>0</v>
      </c>
      <c r="J300">
        <f>COUNTIF('Metrics - Articles'!F299,"*GCO – Platform Solutions*")</f>
        <v>0</v>
      </c>
      <c r="K300">
        <f>COUNTIF('Metrics - Articles'!F299,"*GCO – Industry Cloud *")</f>
        <v>0</v>
      </c>
      <c r="L300">
        <f>COUNTIF('Metrics - Articles'!F299,"*GCO – Customer Engagement &amp; Commerce (CRM &amp; hybris) *")</f>
        <v>0</v>
      </c>
      <c r="M300">
        <f>COUNTIF('Metrics - Articles'!F299,"*GCO – HR (SuccessFactors)*")</f>
        <v>0</v>
      </c>
      <c r="N300">
        <f>COUNTIF('Metrics - Articles'!F299,"*GCO – Services Sales*")</f>
        <v>0</v>
      </c>
      <c r="O300">
        <f>COUNTIF('Metrics - Articles'!F299,"*GCO – Other*")</f>
        <v>0</v>
      </c>
      <c r="P300">
        <f>COUNTIF('Metrics - Articles'!F299,"*Corporate*")</f>
        <v>1</v>
      </c>
      <c r="R300" s="53">
        <f t="shared" si="6"/>
        <v>1</v>
      </c>
    </row>
    <row r="301" spans="2:18" x14ac:dyDescent="0.25">
      <c r="B301" s="48">
        <f>+'Metrics - Articles'!C300</f>
        <v>42285</v>
      </c>
      <c r="C301">
        <f>COUNTIF('Metrics - Articles'!F300,"*GPO (Partner, Ecosystem, Channels)*")</f>
        <v>0</v>
      </c>
      <c r="D301">
        <f>COUNTIF('Metrics - Articles'!F300,"*Office of the CEO*")</f>
        <v>0</v>
      </c>
      <c r="E301">
        <f>COUNTIF('Metrics - Articles'!F300,"*Services Delivery &amp; Support (go-lives and deployments) *")</f>
        <v>0</v>
      </c>
      <c r="F301">
        <f>COUNTIF('Metrics - Articles'!F300,"*Human Resources (SAP HR and employee stories)*")</f>
        <v>0</v>
      </c>
      <c r="G301">
        <f>COUNTIF('Metrics - Articles'!F300,"*P&amp;I (Research &amp; Development)*")</f>
        <v>0</v>
      </c>
      <c r="H301">
        <f>COUNTIF('Metrics - Articles'!F300,"*Business Network (Concur, Ariba, Fieldglass)*")</f>
        <v>0</v>
      </c>
      <c r="I301">
        <f>COUNTIF('Metrics - Articles'!F300,"*GCO – Regions*")</f>
        <v>0</v>
      </c>
      <c r="J301">
        <f>COUNTIF('Metrics - Articles'!F300,"*GCO – Platform Solutions*")</f>
        <v>0</v>
      </c>
      <c r="K301">
        <f>COUNTIF('Metrics - Articles'!F300,"*GCO – Industry Cloud *")</f>
        <v>0</v>
      </c>
      <c r="L301">
        <f>COUNTIF('Metrics - Articles'!F300,"*GCO – Customer Engagement &amp; Commerce (CRM &amp; hybris) *")</f>
        <v>0</v>
      </c>
      <c r="M301">
        <f>COUNTIF('Metrics - Articles'!F300,"*GCO – HR (SuccessFactors)*")</f>
        <v>0</v>
      </c>
      <c r="N301">
        <f>COUNTIF('Metrics - Articles'!F300,"*GCO – Services Sales*")</f>
        <v>0</v>
      </c>
      <c r="O301">
        <f>COUNTIF('Metrics - Articles'!F300,"*GCO – Other*")</f>
        <v>0</v>
      </c>
      <c r="P301">
        <f>COUNTIF('Metrics - Articles'!F300,"*Corporate*")</f>
        <v>1</v>
      </c>
      <c r="R301" s="53">
        <f t="shared" si="6"/>
        <v>1</v>
      </c>
    </row>
    <row r="302" spans="2:18" x14ac:dyDescent="0.25">
      <c r="B302" s="48">
        <f>+'Metrics - Articles'!C301</f>
        <v>42286</v>
      </c>
      <c r="C302">
        <f>COUNTIF('Metrics - Articles'!F301,"*GPO (Partner, Ecosystem, Channels)*")</f>
        <v>0</v>
      </c>
      <c r="D302">
        <f>COUNTIF('Metrics - Articles'!F301,"*Office of the CEO*")</f>
        <v>0</v>
      </c>
      <c r="E302">
        <f>COUNTIF('Metrics - Articles'!F301,"*Services Delivery &amp; Support (go-lives and deployments) *")</f>
        <v>0</v>
      </c>
      <c r="F302">
        <f>COUNTIF('Metrics - Articles'!F301,"*Human Resources (SAP HR and employee stories)*")</f>
        <v>0</v>
      </c>
      <c r="G302">
        <f>COUNTIF('Metrics - Articles'!F301,"*P&amp;I (Research &amp; Development)*")</f>
        <v>0</v>
      </c>
      <c r="H302">
        <f>COUNTIF('Metrics - Articles'!F301,"*Business Network (Concur, Ariba, Fieldglass)*")</f>
        <v>0</v>
      </c>
      <c r="I302">
        <f>COUNTIF('Metrics - Articles'!F301,"*GCO – Regions*")</f>
        <v>0</v>
      </c>
      <c r="J302">
        <f>COUNTIF('Metrics - Articles'!F301,"*GCO – Platform Solutions*")</f>
        <v>0</v>
      </c>
      <c r="K302">
        <f>COUNTIF('Metrics - Articles'!F301,"*GCO – Industry Cloud *")</f>
        <v>0</v>
      </c>
      <c r="L302">
        <f>COUNTIF('Metrics - Articles'!F301,"*GCO – Customer Engagement &amp; Commerce (CRM &amp; hybris) *")</f>
        <v>0</v>
      </c>
      <c r="M302">
        <f>COUNTIF('Metrics - Articles'!F301,"*GCO – HR (SuccessFactors)*")</f>
        <v>0</v>
      </c>
      <c r="N302">
        <f>COUNTIF('Metrics - Articles'!F301,"*GCO – Services Sales*")</f>
        <v>0</v>
      </c>
      <c r="O302">
        <f>COUNTIF('Metrics - Articles'!F301,"*GCO – Other*")</f>
        <v>0</v>
      </c>
      <c r="P302">
        <f>COUNTIF('Metrics - Articles'!F301,"*Corporate*")</f>
        <v>1</v>
      </c>
      <c r="R302" s="53">
        <f t="shared" si="6"/>
        <v>1</v>
      </c>
    </row>
    <row r="303" spans="2:18" x14ac:dyDescent="0.25">
      <c r="B303" s="48">
        <f>+'Metrics - Articles'!C302</f>
        <v>42289</v>
      </c>
      <c r="C303">
        <f>COUNTIF('Metrics - Articles'!F302,"*GPO (Partner, Ecosystem, Channels)*")</f>
        <v>0</v>
      </c>
      <c r="D303">
        <f>COUNTIF('Metrics - Articles'!F302,"*Office of the CEO*")</f>
        <v>0</v>
      </c>
      <c r="E303">
        <f>COUNTIF('Metrics - Articles'!F302,"*Services Delivery &amp; Support (go-lives and deployments) *")</f>
        <v>0</v>
      </c>
      <c r="F303">
        <f>COUNTIF('Metrics - Articles'!F302,"*Human Resources (SAP HR and employee stories)*")</f>
        <v>1</v>
      </c>
      <c r="G303">
        <f>COUNTIF('Metrics - Articles'!F302,"*P&amp;I (Research &amp; Development)*")</f>
        <v>0</v>
      </c>
      <c r="H303">
        <f>COUNTIF('Metrics - Articles'!F302,"*Business Network (Concur, Ariba, Fieldglass)*")</f>
        <v>0</v>
      </c>
      <c r="I303">
        <f>COUNTIF('Metrics - Articles'!F302,"*GCO – Regions*")</f>
        <v>0</v>
      </c>
      <c r="J303">
        <f>COUNTIF('Metrics - Articles'!F302,"*GCO – Platform Solutions*")</f>
        <v>0</v>
      </c>
      <c r="K303">
        <f>COUNTIF('Metrics - Articles'!F302,"*GCO – Industry Cloud *")</f>
        <v>0</v>
      </c>
      <c r="L303">
        <f>COUNTIF('Metrics - Articles'!F302,"*GCO – Customer Engagement &amp; Commerce (CRM &amp; hybris) *")</f>
        <v>0</v>
      </c>
      <c r="M303">
        <f>COUNTIF('Metrics - Articles'!F302,"*GCO – HR (SuccessFactors)*")</f>
        <v>0</v>
      </c>
      <c r="N303">
        <f>COUNTIF('Metrics - Articles'!F302,"*GCO – Services Sales*")</f>
        <v>0</v>
      </c>
      <c r="O303">
        <f>COUNTIF('Metrics - Articles'!F302,"*GCO – Other*")</f>
        <v>0</v>
      </c>
      <c r="P303">
        <f>COUNTIF('Metrics - Articles'!F302,"*Corporate*")</f>
        <v>0</v>
      </c>
      <c r="R303" s="53">
        <f t="shared" si="6"/>
        <v>1</v>
      </c>
    </row>
    <row r="304" spans="2:18" x14ac:dyDescent="0.25">
      <c r="B304" s="48">
        <f>+'Metrics - Articles'!C303</f>
        <v>42289</v>
      </c>
      <c r="C304">
        <f>COUNTIF('Metrics - Articles'!F303,"*GPO (Partner, Ecosystem, Channels)*")</f>
        <v>0</v>
      </c>
      <c r="D304">
        <f>COUNTIF('Metrics - Articles'!F303,"*Office of the CEO*")</f>
        <v>0</v>
      </c>
      <c r="E304">
        <f>COUNTIF('Metrics - Articles'!F303,"*Services Delivery &amp; Support (go-lives and deployments) *")</f>
        <v>0</v>
      </c>
      <c r="F304">
        <f>COUNTIF('Metrics - Articles'!F303,"*Human Resources (SAP HR and employee stories)*")</f>
        <v>0</v>
      </c>
      <c r="G304">
        <f>COUNTIF('Metrics - Articles'!F303,"*P&amp;I (Research &amp; Development)*")</f>
        <v>1</v>
      </c>
      <c r="H304">
        <f>COUNTIF('Metrics - Articles'!F303,"*Business Network (Concur, Ariba, Fieldglass)*")</f>
        <v>0</v>
      </c>
      <c r="I304">
        <f>COUNTIF('Metrics - Articles'!F303,"*GCO – Regions*")</f>
        <v>0</v>
      </c>
      <c r="J304">
        <f>COUNTIF('Metrics - Articles'!F303,"*GCO – Platform Solutions*")</f>
        <v>0</v>
      </c>
      <c r="K304">
        <f>COUNTIF('Metrics - Articles'!F303,"*GCO – Industry Cloud *")</f>
        <v>1</v>
      </c>
      <c r="L304">
        <f>COUNTIF('Metrics - Articles'!F303,"*GCO – Customer Engagement &amp; Commerce (CRM &amp; hybris) *")</f>
        <v>0</v>
      </c>
      <c r="M304">
        <f>COUNTIF('Metrics - Articles'!F303,"*GCO – HR (SuccessFactors)*")</f>
        <v>0</v>
      </c>
      <c r="N304">
        <f>COUNTIF('Metrics - Articles'!F303,"*GCO – Services Sales*")</f>
        <v>0</v>
      </c>
      <c r="O304">
        <f>COUNTIF('Metrics - Articles'!F303,"*GCO – Other*")</f>
        <v>0</v>
      </c>
      <c r="P304">
        <f>COUNTIF('Metrics - Articles'!F303,"*Corporate*")</f>
        <v>0</v>
      </c>
      <c r="R304" s="53">
        <f t="shared" si="6"/>
        <v>2</v>
      </c>
    </row>
    <row r="305" spans="2:18" x14ac:dyDescent="0.25">
      <c r="B305" s="48">
        <f>+'Metrics - Articles'!C304</f>
        <v>42289</v>
      </c>
      <c r="C305">
        <f>COUNTIF('Metrics - Articles'!F304,"*GPO (Partner, Ecosystem, Channels)*")</f>
        <v>0</v>
      </c>
      <c r="D305">
        <f>COUNTIF('Metrics - Articles'!F304,"*Office of the CEO*")</f>
        <v>0</v>
      </c>
      <c r="E305">
        <f>COUNTIF('Metrics - Articles'!F304,"*Services Delivery &amp; Support (go-lives and deployments) *")</f>
        <v>0</v>
      </c>
      <c r="F305">
        <f>COUNTIF('Metrics - Articles'!F304,"*Human Resources (SAP HR and employee stories)*")</f>
        <v>0</v>
      </c>
      <c r="G305">
        <f>COUNTIF('Metrics - Articles'!F304,"*P&amp;I (Research &amp; Development)*")</f>
        <v>1</v>
      </c>
      <c r="H305">
        <f>COUNTIF('Metrics - Articles'!F304,"*Business Network (Concur, Ariba, Fieldglass)*")</f>
        <v>0</v>
      </c>
      <c r="I305">
        <f>COUNTIF('Metrics - Articles'!F304,"*GCO – Regions*")</f>
        <v>0</v>
      </c>
      <c r="J305">
        <f>COUNTIF('Metrics - Articles'!F304,"*GCO – Platform Solutions*")</f>
        <v>0</v>
      </c>
      <c r="K305">
        <f>COUNTIF('Metrics - Articles'!F304,"*GCO – Industry Cloud *")</f>
        <v>0</v>
      </c>
      <c r="L305">
        <f>COUNTIF('Metrics - Articles'!F304,"*GCO – Customer Engagement &amp; Commerce (CRM &amp; hybris) *")</f>
        <v>0</v>
      </c>
      <c r="M305">
        <f>COUNTIF('Metrics - Articles'!F304,"*GCO – HR (SuccessFactors)*")</f>
        <v>1</v>
      </c>
      <c r="N305">
        <f>COUNTIF('Metrics - Articles'!F304,"*GCO – Services Sales*")</f>
        <v>0</v>
      </c>
      <c r="O305">
        <f>COUNTIF('Metrics - Articles'!F304,"*GCO – Other*")</f>
        <v>0</v>
      </c>
      <c r="P305">
        <f>COUNTIF('Metrics - Articles'!F304,"*Corporate*")</f>
        <v>0</v>
      </c>
      <c r="R305" s="53">
        <f t="shared" si="6"/>
        <v>2</v>
      </c>
    </row>
    <row r="306" spans="2:18" x14ac:dyDescent="0.25">
      <c r="B306" s="48">
        <f>+'Metrics - Articles'!C305</f>
        <v>42290</v>
      </c>
      <c r="C306">
        <f>COUNTIF('Metrics - Articles'!F305,"*GPO (Partner, Ecosystem, Channels)*")</f>
        <v>0</v>
      </c>
      <c r="D306">
        <f>COUNTIF('Metrics - Articles'!F305,"*Office of the CEO*")</f>
        <v>1</v>
      </c>
      <c r="E306">
        <f>COUNTIF('Metrics - Articles'!F305,"*Services Delivery &amp; Support (go-lives and deployments) *")</f>
        <v>0</v>
      </c>
      <c r="F306">
        <f>COUNTIF('Metrics - Articles'!F305,"*Human Resources (SAP HR and employee stories)*")</f>
        <v>0</v>
      </c>
      <c r="G306">
        <f>COUNTIF('Metrics - Articles'!F305,"*P&amp;I (Research &amp; Development)*")</f>
        <v>0</v>
      </c>
      <c r="H306">
        <f>COUNTIF('Metrics - Articles'!F305,"*Business Network (Concur, Ariba, Fieldglass)*")</f>
        <v>0</v>
      </c>
      <c r="I306">
        <f>COUNTIF('Metrics - Articles'!F305,"*GCO – Regions*")</f>
        <v>0</v>
      </c>
      <c r="J306">
        <f>COUNTIF('Metrics - Articles'!F305,"*GCO – Platform Solutions*")</f>
        <v>1</v>
      </c>
      <c r="K306">
        <f>COUNTIF('Metrics - Articles'!F305,"*GCO – Industry Cloud *")</f>
        <v>1</v>
      </c>
      <c r="L306">
        <f>COUNTIF('Metrics - Articles'!F305,"*GCO – Customer Engagement &amp; Commerce (CRM &amp; hybris) *")</f>
        <v>0</v>
      </c>
      <c r="M306">
        <f>COUNTIF('Metrics - Articles'!F305,"*GCO – HR (SuccessFactors)*")</f>
        <v>0</v>
      </c>
      <c r="N306">
        <f>COUNTIF('Metrics - Articles'!F305,"*GCO – Services Sales*")</f>
        <v>0</v>
      </c>
      <c r="O306">
        <f>COUNTIF('Metrics - Articles'!F305,"*GCO – Other*")</f>
        <v>0</v>
      </c>
      <c r="P306">
        <f>COUNTIF('Metrics - Articles'!F305,"*Corporate*")</f>
        <v>0</v>
      </c>
      <c r="R306" s="53">
        <f t="shared" si="6"/>
        <v>3</v>
      </c>
    </row>
    <row r="307" spans="2:18" x14ac:dyDescent="0.25">
      <c r="B307" s="48">
        <f>+'Metrics - Articles'!C306</f>
        <v>42290</v>
      </c>
      <c r="C307">
        <f>COUNTIF('Metrics - Articles'!F306,"*GPO (Partner, Ecosystem, Channels)*")</f>
        <v>0</v>
      </c>
      <c r="D307">
        <f>COUNTIF('Metrics - Articles'!F306,"*Office of the CEO*")</f>
        <v>0</v>
      </c>
      <c r="E307">
        <f>COUNTIF('Metrics - Articles'!F306,"*Services Delivery &amp; Support (go-lives and deployments) *")</f>
        <v>0</v>
      </c>
      <c r="F307">
        <f>COUNTIF('Metrics - Articles'!F306,"*Human Resources (SAP HR and employee stories)*")</f>
        <v>0</v>
      </c>
      <c r="G307">
        <f>COUNTIF('Metrics - Articles'!F306,"*P&amp;I (Research &amp; Development)*")</f>
        <v>0</v>
      </c>
      <c r="H307">
        <f>COUNTIF('Metrics - Articles'!F306,"*Business Network (Concur, Ariba, Fieldglass)*")</f>
        <v>0</v>
      </c>
      <c r="I307">
        <f>COUNTIF('Metrics - Articles'!F306,"*GCO – Regions*")</f>
        <v>0</v>
      </c>
      <c r="J307">
        <f>COUNTIF('Metrics - Articles'!F306,"*GCO – Platform Solutions*")</f>
        <v>0</v>
      </c>
      <c r="K307">
        <f>COUNTIF('Metrics - Articles'!F306,"*GCO – Industry Cloud *")</f>
        <v>1</v>
      </c>
      <c r="L307">
        <f>COUNTIF('Metrics - Articles'!F306,"*GCO – Customer Engagement &amp; Commerce (CRM &amp; hybris) *")</f>
        <v>0</v>
      </c>
      <c r="M307">
        <f>COUNTIF('Metrics - Articles'!F306,"*GCO – HR (SuccessFactors)*")</f>
        <v>0</v>
      </c>
      <c r="N307">
        <f>COUNTIF('Metrics - Articles'!F306,"*GCO – Services Sales*")</f>
        <v>0</v>
      </c>
      <c r="O307">
        <f>COUNTIF('Metrics - Articles'!F306,"*GCO – Other*")</f>
        <v>0</v>
      </c>
      <c r="P307">
        <f>COUNTIF('Metrics - Articles'!F306,"*Corporate*")</f>
        <v>0</v>
      </c>
      <c r="R307" s="53">
        <f t="shared" si="6"/>
        <v>1</v>
      </c>
    </row>
    <row r="308" spans="2:18" x14ac:dyDescent="0.25">
      <c r="B308" s="48">
        <f>+'Metrics - Articles'!C307</f>
        <v>42292</v>
      </c>
      <c r="C308">
        <f>COUNTIF('Metrics - Articles'!F307,"*GPO (Partner, Ecosystem, Channels)*")</f>
        <v>0</v>
      </c>
      <c r="D308">
        <f>COUNTIF('Metrics - Articles'!F307,"*Office of the CEO*")</f>
        <v>0</v>
      </c>
      <c r="E308">
        <f>COUNTIF('Metrics - Articles'!F307,"*Services Delivery &amp; Support (go-lives and deployments) *")</f>
        <v>0</v>
      </c>
      <c r="F308">
        <f>COUNTIF('Metrics - Articles'!F307,"*Human Resources (SAP HR and employee stories)*")</f>
        <v>1</v>
      </c>
      <c r="G308">
        <f>COUNTIF('Metrics - Articles'!F307,"*P&amp;I (Research &amp; Development)*")</f>
        <v>0</v>
      </c>
      <c r="H308">
        <f>COUNTIF('Metrics - Articles'!F307,"*Business Network (Concur, Ariba, Fieldglass)*")</f>
        <v>0</v>
      </c>
      <c r="I308">
        <f>COUNTIF('Metrics - Articles'!F307,"*GCO – Regions*")</f>
        <v>0</v>
      </c>
      <c r="J308">
        <f>COUNTIF('Metrics - Articles'!F307,"*GCO – Platform Solutions*")</f>
        <v>0</v>
      </c>
      <c r="K308">
        <f>COUNTIF('Metrics - Articles'!F307,"*GCO – Industry Cloud *")</f>
        <v>0</v>
      </c>
      <c r="L308">
        <f>COUNTIF('Metrics - Articles'!F307,"*GCO – Customer Engagement &amp; Commerce (CRM &amp; hybris) *")</f>
        <v>0</v>
      </c>
      <c r="M308">
        <f>COUNTIF('Metrics - Articles'!F307,"*GCO – HR (SuccessFactors)*")</f>
        <v>0</v>
      </c>
      <c r="N308">
        <f>COUNTIF('Metrics - Articles'!F307,"*GCO – Services Sales*")</f>
        <v>0</v>
      </c>
      <c r="O308">
        <f>COUNTIF('Metrics - Articles'!F307,"*GCO – Other*")</f>
        <v>0</v>
      </c>
      <c r="P308">
        <f>COUNTIF('Metrics - Articles'!F307,"*Corporate*")</f>
        <v>0</v>
      </c>
      <c r="R308" s="53">
        <f t="shared" si="6"/>
        <v>1</v>
      </c>
    </row>
    <row r="309" spans="2:18" x14ac:dyDescent="0.25">
      <c r="B309" s="48">
        <f>+'Metrics - Articles'!C308</f>
        <v>42292</v>
      </c>
      <c r="C309">
        <f>COUNTIF('Metrics - Articles'!F308,"*GPO (Partner, Ecosystem, Channels)*")</f>
        <v>0</v>
      </c>
      <c r="D309">
        <f>COUNTIF('Metrics - Articles'!F308,"*Office of the CEO*")</f>
        <v>0</v>
      </c>
      <c r="E309">
        <f>COUNTIF('Metrics - Articles'!F308,"*Services Delivery &amp; Support (go-lives and deployments) *")</f>
        <v>0</v>
      </c>
      <c r="F309">
        <f>COUNTIF('Metrics - Articles'!F308,"*Human Resources (SAP HR and employee stories)*")</f>
        <v>1</v>
      </c>
      <c r="G309">
        <f>COUNTIF('Metrics - Articles'!F308,"*P&amp;I (Research &amp; Development)*")</f>
        <v>1</v>
      </c>
      <c r="H309">
        <f>COUNTIF('Metrics - Articles'!F308,"*Business Network (Concur, Ariba, Fieldglass)*")</f>
        <v>0</v>
      </c>
      <c r="I309">
        <f>COUNTIF('Metrics - Articles'!F308,"*GCO – Regions*")</f>
        <v>0</v>
      </c>
      <c r="J309">
        <f>COUNTIF('Metrics - Articles'!F308,"*GCO – Platform Solutions*")</f>
        <v>0</v>
      </c>
      <c r="K309">
        <f>COUNTIF('Metrics - Articles'!F308,"*GCO – Industry Cloud *")</f>
        <v>1</v>
      </c>
      <c r="L309">
        <f>COUNTIF('Metrics - Articles'!F308,"*GCO – Customer Engagement &amp; Commerce (CRM &amp; hybris) *")</f>
        <v>0</v>
      </c>
      <c r="M309">
        <f>COUNTIF('Metrics - Articles'!F308,"*GCO – HR (SuccessFactors)*")</f>
        <v>0</v>
      </c>
      <c r="N309">
        <f>COUNTIF('Metrics - Articles'!F308,"*GCO – Services Sales*")</f>
        <v>0</v>
      </c>
      <c r="O309">
        <f>COUNTIF('Metrics - Articles'!F308,"*GCO – Other*")</f>
        <v>0</v>
      </c>
      <c r="P309">
        <f>COUNTIF('Metrics - Articles'!F308,"*Corporate*")</f>
        <v>0</v>
      </c>
      <c r="R309" s="53">
        <f t="shared" si="6"/>
        <v>3</v>
      </c>
    </row>
    <row r="310" spans="2:18" x14ac:dyDescent="0.25">
      <c r="B310" s="48">
        <f>+'Metrics - Articles'!C309</f>
        <v>42292</v>
      </c>
      <c r="C310">
        <f>COUNTIF('Metrics - Articles'!F309,"*GPO (Partner, Ecosystem, Channels)*")</f>
        <v>0</v>
      </c>
      <c r="D310">
        <f>COUNTIF('Metrics - Articles'!F309,"*Office of the CEO*")</f>
        <v>0</v>
      </c>
      <c r="E310">
        <f>COUNTIF('Metrics - Articles'!F309,"*Services Delivery &amp; Support (go-lives and deployments) *")</f>
        <v>0</v>
      </c>
      <c r="F310">
        <f>COUNTIF('Metrics - Articles'!F309,"*Human Resources (SAP HR and employee stories)*")</f>
        <v>1</v>
      </c>
      <c r="G310">
        <f>COUNTIF('Metrics - Articles'!F309,"*P&amp;I (Research &amp; Development)*")</f>
        <v>0</v>
      </c>
      <c r="H310">
        <f>COUNTIF('Metrics - Articles'!F309,"*Business Network (Concur, Ariba, Fieldglass)*")</f>
        <v>0</v>
      </c>
      <c r="I310">
        <f>COUNTIF('Metrics - Articles'!F309,"*GCO – Regions*")</f>
        <v>0</v>
      </c>
      <c r="J310">
        <f>COUNTIF('Metrics - Articles'!F309,"*GCO – Platform Solutions*")</f>
        <v>0</v>
      </c>
      <c r="K310">
        <f>COUNTIF('Metrics - Articles'!F309,"*GCO – Industry Cloud *")</f>
        <v>0</v>
      </c>
      <c r="L310">
        <f>COUNTIF('Metrics - Articles'!F309,"*GCO – Customer Engagement &amp; Commerce (CRM &amp; hybris) *")</f>
        <v>0</v>
      </c>
      <c r="M310">
        <f>COUNTIF('Metrics - Articles'!F309,"*GCO – HR (SuccessFactors)*")</f>
        <v>0</v>
      </c>
      <c r="N310">
        <f>COUNTIF('Metrics - Articles'!F309,"*GCO – Services Sales*")</f>
        <v>0</v>
      </c>
      <c r="O310">
        <f>COUNTIF('Metrics - Articles'!F309,"*GCO – Other*")</f>
        <v>0</v>
      </c>
      <c r="P310">
        <f>COUNTIF('Metrics - Articles'!F309,"*Corporate*")</f>
        <v>0</v>
      </c>
      <c r="R310" s="53">
        <f t="shared" si="6"/>
        <v>1</v>
      </c>
    </row>
    <row r="311" spans="2:18" x14ac:dyDescent="0.25">
      <c r="B311" s="48">
        <f>+'Metrics - Articles'!C310</f>
        <v>42293</v>
      </c>
      <c r="C311">
        <f>COUNTIF('Metrics - Articles'!F310,"*GPO (Partner, Ecosystem, Channels)*")</f>
        <v>0</v>
      </c>
      <c r="D311">
        <f>COUNTIF('Metrics - Articles'!F310,"*Office of the CEO*")</f>
        <v>0</v>
      </c>
      <c r="E311">
        <f>COUNTIF('Metrics - Articles'!F310,"*Services Delivery &amp; Support (go-lives and deployments) *")</f>
        <v>1</v>
      </c>
      <c r="F311">
        <f>COUNTIF('Metrics - Articles'!F310,"*Human Resources (SAP HR and employee stories)*")</f>
        <v>0</v>
      </c>
      <c r="G311">
        <f>COUNTIF('Metrics - Articles'!F310,"*P&amp;I (Research &amp; Development)*")</f>
        <v>0</v>
      </c>
      <c r="H311">
        <f>COUNTIF('Metrics - Articles'!F310,"*Business Network (Concur, Ariba, Fieldglass)*")</f>
        <v>0</v>
      </c>
      <c r="I311">
        <f>COUNTIF('Metrics - Articles'!F310,"*GCO – Regions*")</f>
        <v>0</v>
      </c>
      <c r="J311">
        <f>COUNTIF('Metrics - Articles'!F310,"*GCO – Platform Solutions*")</f>
        <v>0</v>
      </c>
      <c r="K311">
        <f>COUNTIF('Metrics - Articles'!F310,"*GCO – Industry Cloud *")</f>
        <v>0</v>
      </c>
      <c r="L311">
        <f>COUNTIF('Metrics - Articles'!F310,"*GCO – Customer Engagement &amp; Commerce (CRM &amp; hybris) *")</f>
        <v>0</v>
      </c>
      <c r="M311">
        <f>COUNTIF('Metrics - Articles'!F310,"*GCO – HR (SuccessFactors)*")</f>
        <v>0</v>
      </c>
      <c r="N311">
        <f>COUNTIF('Metrics - Articles'!F310,"*GCO – Services Sales*")</f>
        <v>0</v>
      </c>
      <c r="O311">
        <f>COUNTIF('Metrics - Articles'!F310,"*GCO – Other*")</f>
        <v>0</v>
      </c>
      <c r="P311">
        <f>COUNTIF('Metrics - Articles'!F310,"*Corporate*")</f>
        <v>0</v>
      </c>
      <c r="R311" s="53">
        <f t="shared" si="6"/>
        <v>1</v>
      </c>
    </row>
    <row r="312" spans="2:18" x14ac:dyDescent="0.25">
      <c r="B312" s="48">
        <f>+'Metrics - Articles'!C311</f>
        <v>42296</v>
      </c>
      <c r="C312">
        <f>COUNTIF('Metrics - Articles'!F311,"*GPO (Partner, Ecosystem, Channels)*")</f>
        <v>0</v>
      </c>
      <c r="D312">
        <f>COUNTIF('Metrics - Articles'!F311,"*Office of the CEO*")</f>
        <v>0</v>
      </c>
      <c r="E312">
        <f>COUNTIF('Metrics - Articles'!F311,"*Services Delivery &amp; Support (go-lives and deployments) *")</f>
        <v>0</v>
      </c>
      <c r="F312">
        <f>COUNTIF('Metrics - Articles'!F311,"*Human Resources (SAP HR and employee stories)*")</f>
        <v>1</v>
      </c>
      <c r="G312">
        <f>COUNTIF('Metrics - Articles'!F311,"*P&amp;I (Research &amp; Development)*")</f>
        <v>0</v>
      </c>
      <c r="H312">
        <f>COUNTIF('Metrics - Articles'!F311,"*Business Network (Concur, Ariba, Fieldglass)*")</f>
        <v>0</v>
      </c>
      <c r="I312">
        <f>COUNTIF('Metrics - Articles'!F311,"*GCO – Regions*")</f>
        <v>0</v>
      </c>
      <c r="J312">
        <f>COUNTIF('Metrics - Articles'!F311,"*GCO – Platform Solutions*")</f>
        <v>0</v>
      </c>
      <c r="K312">
        <f>COUNTIF('Metrics - Articles'!F311,"*GCO – Industry Cloud *")</f>
        <v>0</v>
      </c>
      <c r="L312">
        <f>COUNTIF('Metrics - Articles'!F311,"*GCO – Customer Engagement &amp; Commerce (CRM &amp; hybris) *")</f>
        <v>0</v>
      </c>
      <c r="M312">
        <f>COUNTIF('Metrics - Articles'!F311,"*GCO – HR (SuccessFactors)*")</f>
        <v>0</v>
      </c>
      <c r="N312">
        <f>COUNTIF('Metrics - Articles'!F311,"*GCO – Services Sales*")</f>
        <v>0</v>
      </c>
      <c r="O312">
        <f>COUNTIF('Metrics - Articles'!F311,"*GCO – Other*")</f>
        <v>0</v>
      </c>
      <c r="P312">
        <f>COUNTIF('Metrics - Articles'!F311,"*Corporate*")</f>
        <v>0</v>
      </c>
      <c r="R312" s="53">
        <f t="shared" si="6"/>
        <v>1</v>
      </c>
    </row>
    <row r="313" spans="2:18" x14ac:dyDescent="0.25">
      <c r="B313" s="48">
        <f>+'Metrics - Articles'!C312</f>
        <v>42297</v>
      </c>
      <c r="C313">
        <f>COUNTIF('Metrics - Articles'!F312,"*GPO (Partner, Ecosystem, Channels)*")</f>
        <v>0</v>
      </c>
      <c r="D313">
        <f>COUNTIF('Metrics - Articles'!F312,"*Office of the CEO*")</f>
        <v>1</v>
      </c>
      <c r="E313">
        <f>COUNTIF('Metrics - Articles'!F312,"*Services Delivery &amp; Support (go-lives and deployments) *")</f>
        <v>0</v>
      </c>
      <c r="F313">
        <f>COUNTIF('Metrics - Articles'!F312,"*Human Resources (SAP HR and employee stories)*")</f>
        <v>0</v>
      </c>
      <c r="G313">
        <f>COUNTIF('Metrics - Articles'!F312,"*P&amp;I (Research &amp; Development)*")</f>
        <v>0</v>
      </c>
      <c r="H313">
        <f>COUNTIF('Metrics - Articles'!F312,"*Business Network (Concur, Ariba, Fieldglass)*")</f>
        <v>0</v>
      </c>
      <c r="I313">
        <f>COUNTIF('Metrics - Articles'!F312,"*GCO – Regions*")</f>
        <v>0</v>
      </c>
      <c r="J313">
        <f>COUNTIF('Metrics - Articles'!F312,"*GCO – Platform Solutions*")</f>
        <v>0</v>
      </c>
      <c r="K313">
        <f>COUNTIF('Metrics - Articles'!F312,"*GCO – Industry Cloud *")</f>
        <v>0</v>
      </c>
      <c r="L313">
        <f>COUNTIF('Metrics - Articles'!F312,"*GCO – Customer Engagement &amp; Commerce (CRM &amp; hybris) *")</f>
        <v>0</v>
      </c>
      <c r="M313">
        <f>COUNTIF('Metrics - Articles'!F312,"*GCO – HR (SuccessFactors)*")</f>
        <v>0</v>
      </c>
      <c r="N313">
        <f>COUNTIF('Metrics - Articles'!F312,"*GCO – Services Sales*")</f>
        <v>0</v>
      </c>
      <c r="O313">
        <f>COUNTIF('Metrics - Articles'!F312,"*GCO – Other*")</f>
        <v>0</v>
      </c>
      <c r="P313">
        <f>COUNTIF('Metrics - Articles'!F312,"*Corporate*")</f>
        <v>0</v>
      </c>
      <c r="R313" s="53">
        <f t="shared" si="6"/>
        <v>1</v>
      </c>
    </row>
    <row r="314" spans="2:18" x14ac:dyDescent="0.25">
      <c r="B314" s="48">
        <f>+'Metrics - Articles'!C313</f>
        <v>42298</v>
      </c>
      <c r="C314">
        <f>COUNTIF('Metrics - Articles'!F313,"*GPO (Partner, Ecosystem, Channels)*")</f>
        <v>0</v>
      </c>
      <c r="D314">
        <f>COUNTIF('Metrics - Articles'!F313,"*Office of the CEO*")</f>
        <v>0</v>
      </c>
      <c r="E314">
        <f>COUNTIF('Metrics - Articles'!F313,"*Services Delivery &amp; Support (go-lives and deployments) *")</f>
        <v>0</v>
      </c>
      <c r="F314">
        <f>COUNTIF('Metrics - Articles'!F313,"*Human Resources (SAP HR and employee stories)*")</f>
        <v>0</v>
      </c>
      <c r="G314">
        <f>COUNTIF('Metrics - Articles'!F313,"*P&amp;I (Research &amp; Development)*")</f>
        <v>0</v>
      </c>
      <c r="H314">
        <f>COUNTIF('Metrics - Articles'!F313,"*Business Network (Concur, Ariba, Fieldglass)*")</f>
        <v>0</v>
      </c>
      <c r="I314">
        <f>COUNTIF('Metrics - Articles'!F313,"*GCO – Regions*")</f>
        <v>0</v>
      </c>
      <c r="J314">
        <f>COUNTIF('Metrics - Articles'!F313,"*GCO – Platform Solutions*")</f>
        <v>0</v>
      </c>
      <c r="K314">
        <f>COUNTIF('Metrics - Articles'!F313,"*GCO – Industry Cloud *")</f>
        <v>0</v>
      </c>
      <c r="L314">
        <f>COUNTIF('Metrics - Articles'!F313,"*GCO – Customer Engagement &amp; Commerce (CRM &amp; hybris) *")</f>
        <v>0</v>
      </c>
      <c r="M314">
        <f>COUNTIF('Metrics - Articles'!F313,"*GCO – HR (SuccessFactors)*")</f>
        <v>0</v>
      </c>
      <c r="N314">
        <f>COUNTIF('Metrics - Articles'!F313,"*GCO – Services Sales*")</f>
        <v>0</v>
      </c>
      <c r="O314">
        <f>COUNTIF('Metrics - Articles'!F313,"*GCO – Other*")</f>
        <v>0</v>
      </c>
      <c r="P314">
        <f>COUNTIF('Metrics - Articles'!F313,"*Corporate*")</f>
        <v>1</v>
      </c>
      <c r="R314" s="53">
        <f t="shared" si="6"/>
        <v>1</v>
      </c>
    </row>
    <row r="315" spans="2:18" x14ac:dyDescent="0.25">
      <c r="B315" s="48">
        <f>+'Metrics - Articles'!C314</f>
        <v>42298</v>
      </c>
      <c r="C315">
        <f>COUNTIF('Metrics - Articles'!F314,"*GPO (Partner, Ecosystem, Channels)*")</f>
        <v>0</v>
      </c>
      <c r="D315">
        <f>COUNTIF('Metrics - Articles'!F314,"*Office of the CEO*")</f>
        <v>1</v>
      </c>
      <c r="E315">
        <f>COUNTIF('Metrics - Articles'!F314,"*Services Delivery &amp; Support (go-lives and deployments) *")</f>
        <v>0</v>
      </c>
      <c r="F315">
        <f>COUNTIF('Metrics - Articles'!F314,"*Human Resources (SAP HR and employee stories)*")</f>
        <v>0</v>
      </c>
      <c r="G315">
        <f>COUNTIF('Metrics - Articles'!F314,"*P&amp;I (Research &amp; Development)*")</f>
        <v>0</v>
      </c>
      <c r="H315">
        <f>COUNTIF('Metrics - Articles'!F314,"*Business Network (Concur, Ariba, Fieldglass)*")</f>
        <v>0</v>
      </c>
      <c r="I315">
        <f>COUNTIF('Metrics - Articles'!F314,"*GCO – Regions*")</f>
        <v>0</v>
      </c>
      <c r="J315">
        <f>COUNTIF('Metrics - Articles'!F314,"*GCO – Platform Solutions*")</f>
        <v>0</v>
      </c>
      <c r="K315">
        <f>COUNTIF('Metrics - Articles'!F314,"*GCO – Industry Cloud *")</f>
        <v>0</v>
      </c>
      <c r="L315">
        <f>COUNTIF('Metrics - Articles'!F314,"*GCO – Customer Engagement &amp; Commerce (CRM &amp; hybris) *")</f>
        <v>0</v>
      </c>
      <c r="M315">
        <f>COUNTIF('Metrics - Articles'!F314,"*GCO – HR (SuccessFactors)*")</f>
        <v>0</v>
      </c>
      <c r="N315">
        <f>COUNTIF('Metrics - Articles'!F314,"*GCO – Services Sales*")</f>
        <v>0</v>
      </c>
      <c r="O315">
        <f>COUNTIF('Metrics - Articles'!F314,"*GCO – Other*")</f>
        <v>0</v>
      </c>
      <c r="P315">
        <f>COUNTIF('Metrics - Articles'!F314,"*Corporate*")</f>
        <v>0</v>
      </c>
      <c r="R315" s="53">
        <f t="shared" si="6"/>
        <v>1</v>
      </c>
    </row>
    <row r="316" spans="2:18" x14ac:dyDescent="0.25">
      <c r="B316" s="48">
        <f>+'Metrics - Articles'!C315</f>
        <v>42298</v>
      </c>
      <c r="C316">
        <f>COUNTIF('Metrics - Articles'!F315,"*GPO (Partner, Ecosystem, Channels)*")</f>
        <v>0</v>
      </c>
      <c r="D316">
        <f>COUNTIF('Metrics - Articles'!F315,"*Office of the CEO*")</f>
        <v>0</v>
      </c>
      <c r="E316">
        <f>COUNTIF('Metrics - Articles'!F315,"*Services Delivery &amp; Support (go-lives and deployments) *")</f>
        <v>0</v>
      </c>
      <c r="F316">
        <f>COUNTIF('Metrics - Articles'!F315,"*Human Resources (SAP HR and employee stories)*")</f>
        <v>0</v>
      </c>
      <c r="G316">
        <f>COUNTIF('Metrics - Articles'!F315,"*P&amp;I (Research &amp; Development)*")</f>
        <v>0</v>
      </c>
      <c r="H316">
        <f>COUNTIF('Metrics - Articles'!F315,"*Business Network (Concur, Ariba, Fieldglass)*")</f>
        <v>0</v>
      </c>
      <c r="I316">
        <f>COUNTIF('Metrics - Articles'!F315,"*GCO – Regions*")</f>
        <v>0</v>
      </c>
      <c r="J316">
        <f>COUNTIF('Metrics - Articles'!F315,"*GCO – Platform Solutions*")</f>
        <v>1</v>
      </c>
      <c r="K316">
        <f>COUNTIF('Metrics - Articles'!F315,"*GCO – Industry Cloud *")</f>
        <v>0</v>
      </c>
      <c r="L316">
        <f>COUNTIF('Metrics - Articles'!F315,"*GCO – Customer Engagement &amp; Commerce (CRM &amp; hybris) *")</f>
        <v>0</v>
      </c>
      <c r="M316">
        <f>COUNTIF('Metrics - Articles'!F315,"*GCO – HR (SuccessFactors)*")</f>
        <v>0</v>
      </c>
      <c r="N316">
        <f>COUNTIF('Metrics - Articles'!F315,"*GCO – Services Sales*")</f>
        <v>0</v>
      </c>
      <c r="O316">
        <f>COUNTIF('Metrics - Articles'!F315,"*GCO – Other*")</f>
        <v>0</v>
      </c>
      <c r="P316">
        <f>COUNTIF('Metrics - Articles'!F315,"*Corporate*")</f>
        <v>0</v>
      </c>
      <c r="R316" s="53">
        <f t="shared" si="6"/>
        <v>1</v>
      </c>
    </row>
    <row r="317" spans="2:18" x14ac:dyDescent="0.25">
      <c r="B317" s="48">
        <f>+'Metrics - Articles'!C316</f>
        <v>42299</v>
      </c>
      <c r="C317">
        <f>COUNTIF('Metrics - Articles'!F316,"*GPO (Partner, Ecosystem, Channels)*")</f>
        <v>0</v>
      </c>
      <c r="D317">
        <f>COUNTIF('Metrics - Articles'!F316,"*Office of the CEO*")</f>
        <v>0</v>
      </c>
      <c r="E317">
        <f>COUNTIF('Metrics - Articles'!F316,"*Services Delivery &amp; Support (go-lives and deployments) *")</f>
        <v>0</v>
      </c>
      <c r="F317">
        <f>COUNTIF('Metrics - Articles'!F316,"*Human Resources (SAP HR and employee stories)*")</f>
        <v>0</v>
      </c>
      <c r="G317">
        <f>COUNTIF('Metrics - Articles'!F316,"*P&amp;I (Research &amp; Development)*")</f>
        <v>0</v>
      </c>
      <c r="H317">
        <f>COUNTIF('Metrics - Articles'!F316,"*Business Network (Concur, Ariba, Fieldglass)*")</f>
        <v>0</v>
      </c>
      <c r="I317">
        <f>COUNTIF('Metrics - Articles'!F316,"*GCO – Regions*")</f>
        <v>0</v>
      </c>
      <c r="J317">
        <f>COUNTIF('Metrics - Articles'!F316,"*GCO – Platform Solutions*")</f>
        <v>0</v>
      </c>
      <c r="K317">
        <f>COUNTIF('Metrics - Articles'!F316,"*GCO – Industry Cloud *")</f>
        <v>1</v>
      </c>
      <c r="L317">
        <f>COUNTIF('Metrics - Articles'!F316,"*GCO – Customer Engagement &amp; Commerce (CRM &amp; hybris) *")</f>
        <v>0</v>
      </c>
      <c r="M317">
        <f>COUNTIF('Metrics - Articles'!F316,"*GCO – HR (SuccessFactors)*")</f>
        <v>0</v>
      </c>
      <c r="N317">
        <f>COUNTIF('Metrics - Articles'!F316,"*GCO – Services Sales*")</f>
        <v>0</v>
      </c>
      <c r="O317">
        <f>COUNTIF('Metrics - Articles'!F316,"*GCO – Other*")</f>
        <v>0</v>
      </c>
      <c r="P317">
        <f>COUNTIF('Metrics - Articles'!F316,"*Corporate*")</f>
        <v>0</v>
      </c>
      <c r="R317" s="53">
        <f t="shared" si="6"/>
        <v>1</v>
      </c>
    </row>
    <row r="318" spans="2:18" x14ac:dyDescent="0.25">
      <c r="B318" s="48">
        <f>+'Metrics - Articles'!C317</f>
        <v>42300</v>
      </c>
      <c r="C318">
        <f>COUNTIF('Metrics - Articles'!F317,"*GPO (Partner, Ecosystem, Channels)*")</f>
        <v>0</v>
      </c>
      <c r="D318">
        <f>COUNTIF('Metrics - Articles'!F317,"*Office of the CEO*")</f>
        <v>0</v>
      </c>
      <c r="E318">
        <f>COUNTIF('Metrics - Articles'!F317,"*Services Delivery &amp; Support (go-lives and deployments) *")</f>
        <v>0</v>
      </c>
      <c r="F318">
        <f>COUNTIF('Metrics - Articles'!F317,"*Human Resources (SAP HR and employee stories)*")</f>
        <v>0</v>
      </c>
      <c r="G318">
        <f>COUNTIF('Metrics - Articles'!F317,"*P&amp;I (Research &amp; Development)*")</f>
        <v>0</v>
      </c>
      <c r="H318">
        <f>COUNTIF('Metrics - Articles'!F317,"*Business Network (Concur, Ariba, Fieldglass)*")</f>
        <v>0</v>
      </c>
      <c r="I318">
        <f>COUNTIF('Metrics - Articles'!F317,"*GCO – Regions*")</f>
        <v>0</v>
      </c>
      <c r="J318">
        <f>COUNTIF('Metrics - Articles'!F317,"*GCO – Platform Solutions*")</f>
        <v>0</v>
      </c>
      <c r="K318">
        <f>COUNTIF('Metrics - Articles'!F317,"*GCO – Industry Cloud *")</f>
        <v>1</v>
      </c>
      <c r="L318">
        <f>COUNTIF('Metrics - Articles'!F317,"*GCO – Customer Engagement &amp; Commerce (CRM &amp; hybris) *")</f>
        <v>0</v>
      </c>
      <c r="M318">
        <f>COUNTIF('Metrics - Articles'!F317,"*GCO – HR (SuccessFactors)*")</f>
        <v>0</v>
      </c>
      <c r="N318">
        <f>COUNTIF('Metrics - Articles'!F317,"*GCO – Services Sales*")</f>
        <v>1</v>
      </c>
      <c r="O318">
        <f>COUNTIF('Metrics - Articles'!F317,"*GCO – Other*")</f>
        <v>0</v>
      </c>
      <c r="P318">
        <f>COUNTIF('Metrics - Articles'!F317,"*Corporate*")</f>
        <v>0</v>
      </c>
      <c r="R318" s="53">
        <f t="shared" si="6"/>
        <v>2</v>
      </c>
    </row>
    <row r="319" spans="2:18" x14ac:dyDescent="0.25">
      <c r="B319" s="48">
        <f>+'Metrics - Articles'!C318</f>
        <v>42305</v>
      </c>
      <c r="C319">
        <f>COUNTIF('Metrics - Articles'!F318,"*GPO (Partner, Ecosystem, Channels)*")</f>
        <v>0</v>
      </c>
      <c r="D319">
        <f>COUNTIF('Metrics - Articles'!F318,"*Office of the CEO*")</f>
        <v>1</v>
      </c>
      <c r="E319">
        <f>COUNTIF('Metrics - Articles'!F318,"*Services Delivery &amp; Support (go-lives and deployments) *")</f>
        <v>0</v>
      </c>
      <c r="F319">
        <f>COUNTIF('Metrics - Articles'!F318,"*Human Resources (SAP HR and employee stories)*")</f>
        <v>0</v>
      </c>
      <c r="G319">
        <f>COUNTIF('Metrics - Articles'!F318,"*P&amp;I (Research &amp; Development)*")</f>
        <v>0</v>
      </c>
      <c r="H319">
        <f>COUNTIF('Metrics - Articles'!F318,"*Business Network (Concur, Ariba, Fieldglass)*")</f>
        <v>0</v>
      </c>
      <c r="I319">
        <f>COUNTIF('Metrics - Articles'!F318,"*GCO – Regions*")</f>
        <v>0</v>
      </c>
      <c r="J319">
        <f>COUNTIF('Metrics - Articles'!F318,"*GCO – Platform Solutions*")</f>
        <v>0</v>
      </c>
      <c r="K319">
        <f>COUNTIF('Metrics - Articles'!F318,"*GCO – Industry Cloud *")</f>
        <v>0</v>
      </c>
      <c r="L319">
        <f>COUNTIF('Metrics - Articles'!F318,"*GCO – Customer Engagement &amp; Commerce (CRM &amp; hybris) *")</f>
        <v>0</v>
      </c>
      <c r="M319">
        <f>COUNTIF('Metrics - Articles'!F318,"*GCO – HR (SuccessFactors)*")</f>
        <v>0</v>
      </c>
      <c r="N319">
        <f>COUNTIF('Metrics - Articles'!F318,"*GCO – Services Sales*")</f>
        <v>0</v>
      </c>
      <c r="O319">
        <f>COUNTIF('Metrics - Articles'!F318,"*GCO – Other*")</f>
        <v>0</v>
      </c>
      <c r="P319">
        <f>COUNTIF('Metrics - Articles'!F318,"*Corporate*")</f>
        <v>0</v>
      </c>
      <c r="R319" s="53">
        <f t="shared" si="6"/>
        <v>1</v>
      </c>
    </row>
    <row r="320" spans="2:18" x14ac:dyDescent="0.25">
      <c r="B320" s="48">
        <f>+'Metrics - Articles'!C319</f>
        <v>42309</v>
      </c>
      <c r="C320">
        <f>COUNTIF('Metrics - Articles'!F319,"*GPO (Partner, Ecosystem, Channels)*")</f>
        <v>0</v>
      </c>
      <c r="D320">
        <f>COUNTIF('Metrics - Articles'!F319,"*Office of the CEO*")</f>
        <v>0</v>
      </c>
      <c r="E320">
        <f>COUNTIF('Metrics - Articles'!F319,"*Services Delivery &amp; Support (go-lives and deployments) *")</f>
        <v>0</v>
      </c>
      <c r="F320">
        <f>COUNTIF('Metrics - Articles'!F319,"*Human Resources (SAP HR and employee stories)*")</f>
        <v>0</v>
      </c>
      <c r="G320">
        <f>COUNTIF('Metrics - Articles'!F319,"*P&amp;I (Research &amp; Development)*")</f>
        <v>0</v>
      </c>
      <c r="H320">
        <f>COUNTIF('Metrics - Articles'!F319,"*Business Network (Concur, Ariba, Fieldglass)*")</f>
        <v>0</v>
      </c>
      <c r="I320">
        <f>COUNTIF('Metrics - Articles'!F319,"*GCO – Regions*")</f>
        <v>0</v>
      </c>
      <c r="J320">
        <f>COUNTIF('Metrics - Articles'!F319,"*GCO – Platform Solutions*")</f>
        <v>0</v>
      </c>
      <c r="K320">
        <f>COUNTIF('Metrics - Articles'!F319,"*GCO – Industry Cloud *")</f>
        <v>0</v>
      </c>
      <c r="L320">
        <f>COUNTIF('Metrics - Articles'!F319,"*GCO – Customer Engagement &amp; Commerce (CRM &amp; hybris) *")</f>
        <v>0</v>
      </c>
      <c r="M320">
        <f>COUNTIF('Metrics - Articles'!F319,"*GCO – HR (SuccessFactors)*")</f>
        <v>0</v>
      </c>
      <c r="N320">
        <f>COUNTIF('Metrics - Articles'!F319,"*GCO – Services Sales*")</f>
        <v>0</v>
      </c>
      <c r="O320">
        <f>COUNTIF('Metrics - Articles'!F319,"*GCO – Other*")</f>
        <v>0</v>
      </c>
      <c r="P320">
        <f>COUNTIF('Metrics - Articles'!F319,"*Corporate*")</f>
        <v>1</v>
      </c>
      <c r="R320" s="53">
        <f t="shared" si="6"/>
        <v>1</v>
      </c>
    </row>
    <row r="321" spans="2:18" x14ac:dyDescent="0.25">
      <c r="B321" s="48">
        <f>+'Metrics - Articles'!C320</f>
        <v>42312</v>
      </c>
      <c r="C321">
        <f>COUNTIF('Metrics - Articles'!F320,"*GPO (Partner, Ecosystem, Channels)*")</f>
        <v>0</v>
      </c>
      <c r="D321">
        <f>COUNTIF('Metrics - Articles'!F320,"*Office of the CEO*")</f>
        <v>0</v>
      </c>
      <c r="E321">
        <f>COUNTIF('Metrics - Articles'!F320,"*Services Delivery &amp; Support (go-lives and deployments) *")</f>
        <v>0</v>
      </c>
      <c r="F321">
        <f>COUNTIF('Metrics - Articles'!F320,"*Human Resources (SAP HR and employee stories)*")</f>
        <v>0</v>
      </c>
      <c r="G321">
        <f>COUNTIF('Metrics - Articles'!F320,"*P&amp;I (Research &amp; Development)*")</f>
        <v>0</v>
      </c>
      <c r="H321">
        <f>COUNTIF('Metrics - Articles'!F320,"*Business Network (Concur, Ariba, Fieldglass)*")</f>
        <v>0</v>
      </c>
      <c r="I321">
        <f>COUNTIF('Metrics - Articles'!F320,"*GCO – Regions*")</f>
        <v>0</v>
      </c>
      <c r="J321">
        <f>COUNTIF('Metrics - Articles'!F320,"*GCO – Platform Solutions*")</f>
        <v>1</v>
      </c>
      <c r="K321">
        <f>COUNTIF('Metrics - Articles'!F320,"*GCO – Industry Cloud *")</f>
        <v>0</v>
      </c>
      <c r="L321">
        <f>COUNTIF('Metrics - Articles'!F320,"*GCO – Customer Engagement &amp; Commerce (CRM &amp; hybris) *")</f>
        <v>0</v>
      </c>
      <c r="M321">
        <f>COUNTIF('Metrics - Articles'!F320,"*GCO – HR (SuccessFactors)*")</f>
        <v>0</v>
      </c>
      <c r="N321">
        <f>COUNTIF('Metrics - Articles'!F320,"*GCO – Services Sales*")</f>
        <v>0</v>
      </c>
      <c r="O321">
        <f>COUNTIF('Metrics - Articles'!F320,"*GCO – Other*")</f>
        <v>0</v>
      </c>
      <c r="P321">
        <f>COUNTIF('Metrics - Articles'!F320,"*Corporate*")</f>
        <v>0</v>
      </c>
      <c r="R321" s="53">
        <f t="shared" si="6"/>
        <v>1</v>
      </c>
    </row>
    <row r="322" spans="2:18" x14ac:dyDescent="0.25">
      <c r="B322" s="48">
        <f>+'Metrics - Articles'!C321</f>
        <v>42312</v>
      </c>
      <c r="C322">
        <f>COUNTIF('Metrics - Articles'!F321,"*GPO (Partner, Ecosystem, Channels)*")</f>
        <v>0</v>
      </c>
      <c r="D322">
        <f>COUNTIF('Metrics - Articles'!F321,"*Office of the CEO*")</f>
        <v>0</v>
      </c>
      <c r="E322">
        <f>COUNTIF('Metrics - Articles'!F321,"*Services Delivery &amp; Support (go-lives and deployments) *")</f>
        <v>1</v>
      </c>
      <c r="F322">
        <f>COUNTIF('Metrics - Articles'!F321,"*Human Resources (SAP HR and employee stories)*")</f>
        <v>0</v>
      </c>
      <c r="G322">
        <f>COUNTIF('Metrics - Articles'!F321,"*P&amp;I (Research &amp; Development)*")</f>
        <v>0</v>
      </c>
      <c r="H322">
        <f>COUNTIF('Metrics - Articles'!F321,"*Business Network (Concur, Ariba, Fieldglass)*")</f>
        <v>0</v>
      </c>
      <c r="I322">
        <f>COUNTIF('Metrics - Articles'!F321,"*GCO – Regions*")</f>
        <v>0</v>
      </c>
      <c r="J322">
        <f>COUNTIF('Metrics - Articles'!F321,"*GCO – Platform Solutions*")</f>
        <v>0</v>
      </c>
      <c r="K322">
        <f>COUNTIF('Metrics - Articles'!F321,"*GCO – Industry Cloud *")</f>
        <v>0</v>
      </c>
      <c r="L322">
        <f>COUNTIF('Metrics - Articles'!F321,"*GCO – Customer Engagement &amp; Commerce (CRM &amp; hybris) *")</f>
        <v>0</v>
      </c>
      <c r="M322">
        <f>COUNTIF('Metrics - Articles'!F321,"*GCO – HR (SuccessFactors)*")</f>
        <v>0</v>
      </c>
      <c r="N322">
        <f>COUNTIF('Metrics - Articles'!F321,"*GCO – Services Sales*")</f>
        <v>0</v>
      </c>
      <c r="O322">
        <f>COUNTIF('Metrics - Articles'!F321,"*GCO – Other*")</f>
        <v>0</v>
      </c>
      <c r="P322">
        <f>COUNTIF('Metrics - Articles'!F321,"*Corporate*")</f>
        <v>0</v>
      </c>
      <c r="R322" s="53">
        <f t="shared" si="6"/>
        <v>1</v>
      </c>
    </row>
    <row r="323" spans="2:18" x14ac:dyDescent="0.25">
      <c r="B323" s="48">
        <f>+'Metrics - Articles'!C322</f>
        <v>42314</v>
      </c>
      <c r="C323">
        <f>COUNTIF('Metrics - Articles'!F322,"*GPO (Partner, Ecosystem, Channels)*")</f>
        <v>0</v>
      </c>
      <c r="D323">
        <f>COUNTIF('Metrics - Articles'!F322,"*Office of the CEO*")</f>
        <v>0</v>
      </c>
      <c r="E323">
        <f>COUNTIF('Metrics - Articles'!F322,"*Services Delivery &amp; Support (go-lives and deployments) *")</f>
        <v>0</v>
      </c>
      <c r="F323">
        <f>COUNTIF('Metrics - Articles'!F322,"*Human Resources (SAP HR and employee stories)*")</f>
        <v>0</v>
      </c>
      <c r="G323">
        <f>COUNTIF('Metrics - Articles'!F322,"*P&amp;I (Research &amp; Development)*")</f>
        <v>0</v>
      </c>
      <c r="H323">
        <f>COUNTIF('Metrics - Articles'!F322,"*Business Network (Concur, Ariba, Fieldglass)*")</f>
        <v>0</v>
      </c>
      <c r="I323">
        <f>COUNTIF('Metrics - Articles'!F322,"*GCO – Regions*")</f>
        <v>0</v>
      </c>
      <c r="J323">
        <f>COUNTIF('Metrics - Articles'!F322,"*GCO – Platform Solutions*")</f>
        <v>0</v>
      </c>
      <c r="K323">
        <f>COUNTIF('Metrics - Articles'!F322,"*GCO – Industry Cloud *")</f>
        <v>0</v>
      </c>
      <c r="L323">
        <f>COUNTIF('Metrics - Articles'!F322,"*GCO – Customer Engagement &amp; Commerce (CRM &amp; hybris) *")</f>
        <v>0</v>
      </c>
      <c r="M323">
        <f>COUNTIF('Metrics - Articles'!F322,"*GCO – HR (SuccessFactors)*")</f>
        <v>0</v>
      </c>
      <c r="N323">
        <f>COUNTIF('Metrics - Articles'!F322,"*GCO – Services Sales*")</f>
        <v>0</v>
      </c>
      <c r="O323">
        <f>COUNTIF('Metrics - Articles'!F322,"*GCO – Other*")</f>
        <v>0</v>
      </c>
      <c r="P323">
        <f>COUNTIF('Metrics - Articles'!F322,"*Corporate*")</f>
        <v>1</v>
      </c>
      <c r="R323" s="53">
        <f t="shared" si="6"/>
        <v>1</v>
      </c>
    </row>
    <row r="324" spans="2:18" x14ac:dyDescent="0.25">
      <c r="B324" s="48">
        <f>+'Metrics - Articles'!C323</f>
        <v>42318</v>
      </c>
      <c r="C324">
        <f>COUNTIF('Metrics - Articles'!F323,"*GPO (Partner, Ecosystem, Channels)*")</f>
        <v>0</v>
      </c>
      <c r="D324">
        <f>COUNTIF('Metrics - Articles'!F323,"*Office of the CEO*")</f>
        <v>0</v>
      </c>
      <c r="E324">
        <f>COUNTIF('Metrics - Articles'!F323,"*Services Delivery &amp; Support (go-lives and deployments) *")</f>
        <v>0</v>
      </c>
      <c r="F324">
        <f>COUNTIF('Metrics - Articles'!F323,"*Human Resources (SAP HR and employee stories)*")</f>
        <v>0</v>
      </c>
      <c r="G324">
        <f>COUNTIF('Metrics - Articles'!F323,"*P&amp;I (Research &amp; Development)*")</f>
        <v>1</v>
      </c>
      <c r="H324">
        <f>COUNTIF('Metrics - Articles'!F323,"*Business Network (Concur, Ariba, Fieldglass)*")</f>
        <v>1</v>
      </c>
      <c r="I324">
        <f>COUNTIF('Metrics - Articles'!F323,"*GCO – Regions*")</f>
        <v>0</v>
      </c>
      <c r="J324">
        <f>COUNTIF('Metrics - Articles'!F323,"*GCO – Platform Solutions*")</f>
        <v>0</v>
      </c>
      <c r="K324">
        <f>COUNTIF('Metrics - Articles'!F323,"*GCO – Industry Cloud *")</f>
        <v>1</v>
      </c>
      <c r="L324">
        <f>COUNTIF('Metrics - Articles'!F323,"*GCO – Customer Engagement &amp; Commerce (CRM &amp; hybris) *")</f>
        <v>0</v>
      </c>
      <c r="M324">
        <f>COUNTIF('Metrics - Articles'!F323,"*GCO – HR (SuccessFactors)*")</f>
        <v>0</v>
      </c>
      <c r="N324">
        <f>COUNTIF('Metrics - Articles'!F323,"*GCO – Services Sales*")</f>
        <v>0</v>
      </c>
      <c r="O324">
        <f>COUNTIF('Metrics - Articles'!F323,"*GCO – Other*")</f>
        <v>0</v>
      </c>
      <c r="P324">
        <f>COUNTIF('Metrics - Articles'!F323,"*Corporate*")</f>
        <v>0</v>
      </c>
      <c r="R324" s="53">
        <f t="shared" si="6"/>
        <v>3</v>
      </c>
    </row>
    <row r="325" spans="2:18" x14ac:dyDescent="0.25">
      <c r="B325" s="48">
        <f>+'Metrics - Articles'!C324</f>
        <v>42318</v>
      </c>
      <c r="C325">
        <f>COUNTIF('Metrics - Articles'!F324,"*GPO (Partner, Ecosystem, Channels)*")</f>
        <v>0</v>
      </c>
      <c r="D325">
        <f>COUNTIF('Metrics - Articles'!F324,"*Office of the CEO*")</f>
        <v>0</v>
      </c>
      <c r="E325">
        <f>COUNTIF('Metrics - Articles'!F324,"*Services Delivery &amp; Support (go-lives and deployments) *")</f>
        <v>0</v>
      </c>
      <c r="F325">
        <f>COUNTIF('Metrics - Articles'!F324,"*Human Resources (SAP HR and employee stories)*")</f>
        <v>0</v>
      </c>
      <c r="G325">
        <f>COUNTIF('Metrics - Articles'!F324,"*P&amp;I (Research &amp; Development)*")</f>
        <v>0</v>
      </c>
      <c r="H325">
        <f>COUNTIF('Metrics - Articles'!F324,"*Business Network (Concur, Ariba, Fieldglass)*")</f>
        <v>0</v>
      </c>
      <c r="I325">
        <f>COUNTIF('Metrics - Articles'!F324,"*GCO – Regions*")</f>
        <v>0</v>
      </c>
      <c r="J325">
        <f>COUNTIF('Metrics - Articles'!F324,"*GCO – Platform Solutions*")</f>
        <v>0</v>
      </c>
      <c r="K325">
        <f>COUNTIF('Metrics - Articles'!F324,"*GCO – Industry Cloud *")</f>
        <v>1</v>
      </c>
      <c r="L325">
        <f>COUNTIF('Metrics - Articles'!F324,"*GCO – Customer Engagement &amp; Commerce (CRM &amp; hybris) *")</f>
        <v>0</v>
      </c>
      <c r="M325">
        <f>COUNTIF('Metrics - Articles'!F324,"*GCO – HR (SuccessFactors)*")</f>
        <v>0</v>
      </c>
      <c r="N325">
        <f>COUNTIF('Metrics - Articles'!F324,"*GCO – Services Sales*")</f>
        <v>0</v>
      </c>
      <c r="O325">
        <f>COUNTIF('Metrics - Articles'!F324,"*GCO – Other*")</f>
        <v>0</v>
      </c>
      <c r="P325">
        <f>COUNTIF('Metrics - Articles'!F324,"*Corporate*")</f>
        <v>0</v>
      </c>
      <c r="R325" s="53">
        <f t="shared" si="6"/>
        <v>1</v>
      </c>
    </row>
    <row r="326" spans="2:18" x14ac:dyDescent="0.25">
      <c r="B326" s="48">
        <f>+'Metrics - Articles'!C325</f>
        <v>42319</v>
      </c>
      <c r="C326">
        <f>COUNTIF('Metrics - Articles'!F325,"*GPO (Partner, Ecosystem, Channels)*")</f>
        <v>0</v>
      </c>
      <c r="D326">
        <f>COUNTIF('Metrics - Articles'!F325,"*Office of the CEO*")</f>
        <v>0</v>
      </c>
      <c r="E326">
        <f>COUNTIF('Metrics - Articles'!F325,"*Services Delivery &amp; Support (go-lives and deployments) *")</f>
        <v>0</v>
      </c>
      <c r="F326">
        <f>COUNTIF('Metrics - Articles'!F325,"*Human Resources (SAP HR and employee stories)*")</f>
        <v>0</v>
      </c>
      <c r="G326">
        <f>COUNTIF('Metrics - Articles'!F325,"*P&amp;I (Research &amp; Development)*")</f>
        <v>0</v>
      </c>
      <c r="H326">
        <f>COUNTIF('Metrics - Articles'!F325,"*Business Network (Concur, Ariba, Fieldglass)*")</f>
        <v>0</v>
      </c>
      <c r="I326">
        <f>COUNTIF('Metrics - Articles'!F325,"*GCO – Regions*")</f>
        <v>0</v>
      </c>
      <c r="J326">
        <f>COUNTIF('Metrics - Articles'!F325,"*GCO – Platform Solutions*")</f>
        <v>0</v>
      </c>
      <c r="K326">
        <f>COUNTIF('Metrics - Articles'!F325,"*GCO – Industry Cloud *")</f>
        <v>0</v>
      </c>
      <c r="L326">
        <f>COUNTIF('Metrics - Articles'!F325,"*GCO – Customer Engagement &amp; Commerce (CRM &amp; hybris) *")</f>
        <v>0</v>
      </c>
      <c r="M326">
        <f>COUNTIF('Metrics - Articles'!F325,"*GCO – HR (SuccessFactors)*")</f>
        <v>0</v>
      </c>
      <c r="N326">
        <f>COUNTIF('Metrics - Articles'!F325,"*GCO – Services Sales*")</f>
        <v>0</v>
      </c>
      <c r="O326">
        <f>COUNTIF('Metrics - Articles'!F325,"*GCO – Other*")</f>
        <v>1</v>
      </c>
      <c r="P326">
        <f>COUNTIF('Metrics - Articles'!F325,"*Corporate*")</f>
        <v>0</v>
      </c>
      <c r="R326" s="53">
        <f t="shared" si="6"/>
        <v>1</v>
      </c>
    </row>
    <row r="327" spans="2:18" x14ac:dyDescent="0.25">
      <c r="B327" s="48">
        <f>+'Metrics - Articles'!C326</f>
        <v>42320</v>
      </c>
      <c r="C327">
        <f>COUNTIF('Metrics - Articles'!F326,"*GPO (Partner, Ecosystem, Channels)*")</f>
        <v>0</v>
      </c>
      <c r="D327">
        <f>COUNTIF('Metrics - Articles'!F326,"*Office of the CEO*")</f>
        <v>0</v>
      </c>
      <c r="E327">
        <f>COUNTIF('Metrics - Articles'!F326,"*Services Delivery &amp; Support (go-lives and deployments) *")</f>
        <v>0</v>
      </c>
      <c r="F327">
        <f>COUNTIF('Metrics - Articles'!F326,"*Human Resources (SAP HR and employee stories)*")</f>
        <v>0</v>
      </c>
      <c r="G327">
        <f>COUNTIF('Metrics - Articles'!F326,"*P&amp;I (Research &amp; Development)*")</f>
        <v>0</v>
      </c>
      <c r="H327">
        <f>COUNTIF('Metrics - Articles'!F326,"*Business Network (Concur, Ariba, Fieldglass)*")</f>
        <v>0</v>
      </c>
      <c r="I327">
        <f>COUNTIF('Metrics - Articles'!F326,"*GCO – Regions*")</f>
        <v>0</v>
      </c>
      <c r="J327">
        <f>COUNTIF('Metrics - Articles'!F326,"*GCO – Platform Solutions*")</f>
        <v>0</v>
      </c>
      <c r="K327">
        <f>COUNTIF('Metrics - Articles'!F326,"*GCO – Industry Cloud *")</f>
        <v>0</v>
      </c>
      <c r="L327">
        <f>COUNTIF('Metrics - Articles'!F326,"*GCO – Customer Engagement &amp; Commerce (CRM &amp; hybris) *")</f>
        <v>0</v>
      </c>
      <c r="M327">
        <f>COUNTIF('Metrics - Articles'!F326,"*GCO – HR (SuccessFactors)*")</f>
        <v>0</v>
      </c>
      <c r="N327">
        <f>COUNTIF('Metrics - Articles'!F326,"*GCO – Services Sales*")</f>
        <v>0</v>
      </c>
      <c r="O327">
        <f>COUNTIF('Metrics - Articles'!F326,"*GCO – Other*")</f>
        <v>0</v>
      </c>
      <c r="P327">
        <f>COUNTIF('Metrics - Articles'!F326,"*Corporate*")</f>
        <v>1</v>
      </c>
      <c r="R327" s="53">
        <f t="shared" si="6"/>
        <v>1</v>
      </c>
    </row>
    <row r="328" spans="2:18" x14ac:dyDescent="0.25">
      <c r="B328" s="48">
        <f>+'Metrics - Articles'!C327</f>
        <v>42320</v>
      </c>
      <c r="C328">
        <f>COUNTIF('Metrics - Articles'!F327,"*GPO (Partner, Ecosystem, Channels)*")</f>
        <v>0</v>
      </c>
      <c r="D328">
        <f>COUNTIF('Metrics - Articles'!F327,"*Office of the CEO*")</f>
        <v>0</v>
      </c>
      <c r="E328">
        <f>COUNTIF('Metrics - Articles'!F327,"*Services Delivery &amp; Support (go-lives and deployments) *")</f>
        <v>0</v>
      </c>
      <c r="F328">
        <f>COUNTIF('Metrics - Articles'!F327,"*Human Resources (SAP HR and employee stories)*")</f>
        <v>0</v>
      </c>
      <c r="G328">
        <f>COUNTIF('Metrics - Articles'!F327,"*P&amp;I (Research &amp; Development)*")</f>
        <v>0</v>
      </c>
      <c r="H328">
        <f>COUNTIF('Metrics - Articles'!F327,"*Business Network (Concur, Ariba, Fieldglass)*")</f>
        <v>1</v>
      </c>
      <c r="I328">
        <f>COUNTIF('Metrics - Articles'!F327,"*GCO – Regions*")</f>
        <v>0</v>
      </c>
      <c r="J328">
        <f>COUNTIF('Metrics - Articles'!F327,"*GCO – Platform Solutions*")</f>
        <v>1</v>
      </c>
      <c r="K328">
        <f>COUNTIF('Metrics - Articles'!F327,"*GCO – Industry Cloud *")</f>
        <v>1</v>
      </c>
      <c r="L328">
        <f>COUNTIF('Metrics - Articles'!F327,"*GCO – Customer Engagement &amp; Commerce (CRM &amp; hybris) *")</f>
        <v>0</v>
      </c>
      <c r="M328">
        <f>COUNTIF('Metrics - Articles'!F327,"*GCO – HR (SuccessFactors)*")</f>
        <v>0</v>
      </c>
      <c r="N328">
        <f>COUNTIF('Metrics - Articles'!F327,"*GCO – Services Sales*")</f>
        <v>0</v>
      </c>
      <c r="O328">
        <f>COUNTIF('Metrics - Articles'!F327,"*GCO – Other*")</f>
        <v>0</v>
      </c>
      <c r="P328">
        <f>COUNTIF('Metrics - Articles'!F327,"*Corporate*")</f>
        <v>0</v>
      </c>
      <c r="R328" s="53">
        <f t="shared" si="6"/>
        <v>3</v>
      </c>
    </row>
    <row r="329" spans="2:18" x14ac:dyDescent="0.25">
      <c r="B329" s="48">
        <f>+'Metrics - Articles'!C328</f>
        <v>42322</v>
      </c>
      <c r="C329">
        <f>COUNTIF('Metrics - Articles'!F328,"*GPO (Partner, Ecosystem, Channels)*")</f>
        <v>0</v>
      </c>
      <c r="D329">
        <f>COUNTIF('Metrics - Articles'!F328,"*Office of the CEO*")</f>
        <v>0</v>
      </c>
      <c r="E329">
        <f>COUNTIF('Metrics - Articles'!F328,"*Services Delivery &amp; Support (go-lives and deployments) *")</f>
        <v>0</v>
      </c>
      <c r="F329">
        <f>COUNTIF('Metrics - Articles'!F328,"*Human Resources (SAP HR and employee stories)*")</f>
        <v>1</v>
      </c>
      <c r="G329">
        <f>COUNTIF('Metrics - Articles'!F328,"*P&amp;I (Research &amp; Development)*")</f>
        <v>0</v>
      </c>
      <c r="H329">
        <f>COUNTIF('Metrics - Articles'!F328,"*Business Network (Concur, Ariba, Fieldglass)*")</f>
        <v>0</v>
      </c>
      <c r="I329">
        <f>COUNTIF('Metrics - Articles'!F328,"*GCO – Regions*")</f>
        <v>0</v>
      </c>
      <c r="J329">
        <f>COUNTIF('Metrics - Articles'!F328,"*GCO – Platform Solutions*")</f>
        <v>0</v>
      </c>
      <c r="K329">
        <f>COUNTIF('Metrics - Articles'!F328,"*GCO – Industry Cloud *")</f>
        <v>0</v>
      </c>
      <c r="L329">
        <f>COUNTIF('Metrics - Articles'!F328,"*GCO – Customer Engagement &amp; Commerce (CRM &amp; hybris) *")</f>
        <v>0</v>
      </c>
      <c r="M329">
        <f>COUNTIF('Metrics - Articles'!F328,"*GCO – HR (SuccessFactors)*")</f>
        <v>0</v>
      </c>
      <c r="N329">
        <f>COUNTIF('Metrics - Articles'!F328,"*GCO – Services Sales*")</f>
        <v>0</v>
      </c>
      <c r="O329">
        <f>COUNTIF('Metrics - Articles'!F328,"*GCO – Other*")</f>
        <v>0</v>
      </c>
      <c r="P329">
        <f>COUNTIF('Metrics - Articles'!F328,"*Corporate*")</f>
        <v>1</v>
      </c>
      <c r="R329" s="53">
        <f t="shared" si="6"/>
        <v>2</v>
      </c>
    </row>
    <row r="330" spans="2:18" x14ac:dyDescent="0.25">
      <c r="B330" s="48">
        <f>+'Metrics - Articles'!C329</f>
        <v>42325</v>
      </c>
      <c r="C330">
        <f>COUNTIF('Metrics - Articles'!F329,"*GPO (Partner, Ecosystem, Channels)*")</f>
        <v>0</v>
      </c>
      <c r="D330">
        <f>COUNTIF('Metrics - Articles'!F329,"*Office of the CEO*")</f>
        <v>0</v>
      </c>
      <c r="E330">
        <f>COUNTIF('Metrics - Articles'!F329,"*Services Delivery &amp; Support (go-lives and deployments) *")</f>
        <v>0</v>
      </c>
      <c r="F330">
        <f>COUNTIF('Metrics - Articles'!F329,"*Human Resources (SAP HR and employee stories)*")</f>
        <v>1</v>
      </c>
      <c r="G330">
        <f>COUNTIF('Metrics - Articles'!F329,"*P&amp;I (Research &amp; Development)*")</f>
        <v>0</v>
      </c>
      <c r="H330">
        <f>COUNTIF('Metrics - Articles'!F329,"*Business Network (Concur, Ariba, Fieldglass)*")</f>
        <v>0</v>
      </c>
      <c r="I330">
        <f>COUNTIF('Metrics - Articles'!F329,"*GCO – Regions*")</f>
        <v>0</v>
      </c>
      <c r="J330">
        <f>COUNTIF('Metrics - Articles'!F329,"*GCO – Platform Solutions*")</f>
        <v>0</v>
      </c>
      <c r="K330">
        <f>COUNTIF('Metrics - Articles'!F329,"*GCO – Industry Cloud *")</f>
        <v>0</v>
      </c>
      <c r="L330">
        <f>COUNTIF('Metrics - Articles'!F329,"*GCO – Customer Engagement &amp; Commerce (CRM &amp; hybris) *")</f>
        <v>0</v>
      </c>
      <c r="M330">
        <f>COUNTIF('Metrics - Articles'!F329,"*GCO – HR (SuccessFactors)*")</f>
        <v>0</v>
      </c>
      <c r="N330">
        <f>COUNTIF('Metrics - Articles'!F329,"*GCO – Services Sales*")</f>
        <v>0</v>
      </c>
      <c r="O330">
        <f>COUNTIF('Metrics - Articles'!F329,"*GCO – Other*")</f>
        <v>0</v>
      </c>
      <c r="P330">
        <f>COUNTIF('Metrics - Articles'!F329,"*Corporate*")</f>
        <v>0</v>
      </c>
      <c r="R330" s="53">
        <f t="shared" ref="R330:R393" si="7">SUM(C330:Q330)</f>
        <v>1</v>
      </c>
    </row>
    <row r="331" spans="2:18" x14ac:dyDescent="0.25">
      <c r="B331" s="48">
        <f>+'Metrics - Articles'!C330</f>
        <v>42328</v>
      </c>
      <c r="C331">
        <f>COUNTIF('Metrics - Articles'!F330,"*GPO (Partner, Ecosystem, Channels)*")</f>
        <v>0</v>
      </c>
      <c r="D331">
        <f>COUNTIF('Metrics - Articles'!F330,"*Office of the CEO*")</f>
        <v>0</v>
      </c>
      <c r="E331">
        <f>COUNTIF('Metrics - Articles'!F330,"*Services Delivery &amp; Support (go-lives and deployments) *")</f>
        <v>0</v>
      </c>
      <c r="F331">
        <f>COUNTIF('Metrics - Articles'!F330,"*Human Resources (SAP HR and employee stories)*")</f>
        <v>1</v>
      </c>
      <c r="G331">
        <f>COUNTIF('Metrics - Articles'!F330,"*P&amp;I (Research &amp; Development)*")</f>
        <v>0</v>
      </c>
      <c r="H331">
        <f>COUNTIF('Metrics - Articles'!F330,"*Business Network (Concur, Ariba, Fieldglass)*")</f>
        <v>0</v>
      </c>
      <c r="I331">
        <f>COUNTIF('Metrics - Articles'!F330,"*GCO – Regions*")</f>
        <v>0</v>
      </c>
      <c r="J331">
        <f>COUNTIF('Metrics - Articles'!F330,"*GCO – Platform Solutions*")</f>
        <v>0</v>
      </c>
      <c r="K331">
        <f>COUNTIF('Metrics - Articles'!F330,"*GCO – Industry Cloud *")</f>
        <v>0</v>
      </c>
      <c r="L331">
        <f>COUNTIF('Metrics - Articles'!F330,"*GCO – Customer Engagement &amp; Commerce (CRM &amp; hybris) *")</f>
        <v>0</v>
      </c>
      <c r="M331">
        <f>COUNTIF('Metrics - Articles'!F330,"*GCO – HR (SuccessFactors)*")</f>
        <v>0</v>
      </c>
      <c r="N331">
        <f>COUNTIF('Metrics - Articles'!F330,"*GCO – Services Sales*")</f>
        <v>0</v>
      </c>
      <c r="O331">
        <f>COUNTIF('Metrics - Articles'!F330,"*GCO – Other*")</f>
        <v>0</v>
      </c>
      <c r="P331">
        <f>COUNTIF('Metrics - Articles'!F330,"*Corporate*")</f>
        <v>0</v>
      </c>
      <c r="R331" s="53">
        <f t="shared" si="7"/>
        <v>1</v>
      </c>
    </row>
    <row r="332" spans="2:18" x14ac:dyDescent="0.25">
      <c r="B332" s="48">
        <f>+'Metrics - Articles'!C331</f>
        <v>42331</v>
      </c>
      <c r="C332">
        <f>COUNTIF('Metrics - Articles'!F331,"*GPO (Partner, Ecosystem, Channels)*")</f>
        <v>0</v>
      </c>
      <c r="D332">
        <f>COUNTIF('Metrics - Articles'!F331,"*Office of the CEO*")</f>
        <v>0</v>
      </c>
      <c r="E332">
        <f>COUNTIF('Metrics - Articles'!F331,"*Services Delivery &amp; Support (go-lives and deployments) *")</f>
        <v>0</v>
      </c>
      <c r="F332">
        <f>COUNTIF('Metrics - Articles'!F331,"*Human Resources (SAP HR and employee stories)*")</f>
        <v>1</v>
      </c>
      <c r="G332">
        <f>COUNTIF('Metrics - Articles'!F331,"*P&amp;I (Research &amp; Development)*")</f>
        <v>0</v>
      </c>
      <c r="H332">
        <f>COUNTIF('Metrics - Articles'!F331,"*Business Network (Concur, Ariba, Fieldglass)*")</f>
        <v>0</v>
      </c>
      <c r="I332">
        <f>COUNTIF('Metrics - Articles'!F331,"*GCO – Regions*")</f>
        <v>0</v>
      </c>
      <c r="J332">
        <f>COUNTIF('Metrics - Articles'!F331,"*GCO – Platform Solutions*")</f>
        <v>0</v>
      </c>
      <c r="K332">
        <f>COUNTIF('Metrics - Articles'!F331,"*GCO – Industry Cloud *")</f>
        <v>0</v>
      </c>
      <c r="L332">
        <f>COUNTIF('Metrics - Articles'!F331,"*GCO – Customer Engagement &amp; Commerce (CRM &amp; hybris) *")</f>
        <v>0</v>
      </c>
      <c r="M332">
        <f>COUNTIF('Metrics - Articles'!F331,"*GCO – HR (SuccessFactors)*")</f>
        <v>0</v>
      </c>
      <c r="N332">
        <f>COUNTIF('Metrics - Articles'!F331,"*GCO – Services Sales*")</f>
        <v>0</v>
      </c>
      <c r="O332">
        <f>COUNTIF('Metrics - Articles'!F331,"*GCO – Other*")</f>
        <v>0</v>
      </c>
      <c r="P332">
        <f>COUNTIF('Metrics - Articles'!F331,"*Corporate*")</f>
        <v>0</v>
      </c>
      <c r="R332" s="53">
        <f t="shared" si="7"/>
        <v>1</v>
      </c>
    </row>
    <row r="333" spans="2:18" x14ac:dyDescent="0.25">
      <c r="B333" s="48">
        <f>+'Metrics - Articles'!C332</f>
        <v>42332</v>
      </c>
      <c r="C333">
        <f>COUNTIF('Metrics - Articles'!F332,"*GPO (Partner, Ecosystem, Channels)*")</f>
        <v>0</v>
      </c>
      <c r="D333">
        <f>COUNTIF('Metrics - Articles'!F332,"*Office of the CEO*")</f>
        <v>1</v>
      </c>
      <c r="E333">
        <f>COUNTIF('Metrics - Articles'!F332,"*Services Delivery &amp; Support (go-lives and deployments) *")</f>
        <v>0</v>
      </c>
      <c r="F333">
        <f>COUNTIF('Metrics - Articles'!F332,"*Human Resources (SAP HR and employee stories)*")</f>
        <v>1</v>
      </c>
      <c r="G333">
        <f>COUNTIF('Metrics - Articles'!F332,"*P&amp;I (Research &amp; Development)*")</f>
        <v>0</v>
      </c>
      <c r="H333">
        <f>COUNTIF('Metrics - Articles'!F332,"*Business Network (Concur, Ariba, Fieldglass)*")</f>
        <v>0</v>
      </c>
      <c r="I333">
        <f>COUNTIF('Metrics - Articles'!F332,"*GCO – Regions*")</f>
        <v>0</v>
      </c>
      <c r="J333">
        <f>COUNTIF('Metrics - Articles'!F332,"*GCO – Platform Solutions*")</f>
        <v>0</v>
      </c>
      <c r="K333">
        <f>COUNTIF('Metrics - Articles'!F332,"*GCO – Industry Cloud *")</f>
        <v>0</v>
      </c>
      <c r="L333">
        <f>COUNTIF('Metrics - Articles'!F332,"*GCO – Customer Engagement &amp; Commerce (CRM &amp; hybris) *")</f>
        <v>0</v>
      </c>
      <c r="M333">
        <f>COUNTIF('Metrics - Articles'!F332,"*GCO – HR (SuccessFactors)*")</f>
        <v>0</v>
      </c>
      <c r="N333">
        <f>COUNTIF('Metrics - Articles'!F332,"*GCO – Services Sales*")</f>
        <v>0</v>
      </c>
      <c r="O333">
        <f>COUNTIF('Metrics - Articles'!F332,"*GCO – Other*")</f>
        <v>0</v>
      </c>
      <c r="P333">
        <f>COUNTIF('Metrics - Articles'!F332,"*Corporate*")</f>
        <v>1</v>
      </c>
      <c r="R333" s="53">
        <f t="shared" si="7"/>
        <v>3</v>
      </c>
    </row>
    <row r="334" spans="2:18" x14ac:dyDescent="0.25">
      <c r="B334" s="48">
        <f>+'Metrics - Articles'!C333</f>
        <v>42332</v>
      </c>
      <c r="C334">
        <f>COUNTIF('Metrics - Articles'!F333,"*GPO (Partner, Ecosystem, Channels)*")</f>
        <v>0</v>
      </c>
      <c r="D334">
        <f>COUNTIF('Metrics - Articles'!F333,"*Office of the CEO*")</f>
        <v>0</v>
      </c>
      <c r="E334">
        <f>COUNTIF('Metrics - Articles'!F333,"*Services Delivery &amp; Support (go-lives and deployments) *")</f>
        <v>0</v>
      </c>
      <c r="F334">
        <f>COUNTIF('Metrics - Articles'!F333,"*Human Resources (SAP HR and employee stories)*")</f>
        <v>1</v>
      </c>
      <c r="G334">
        <f>COUNTIF('Metrics - Articles'!F333,"*P&amp;I (Research &amp; Development)*")</f>
        <v>0</v>
      </c>
      <c r="H334">
        <f>COUNTIF('Metrics - Articles'!F333,"*Business Network (Concur, Ariba, Fieldglass)*")</f>
        <v>0</v>
      </c>
      <c r="I334">
        <f>COUNTIF('Metrics - Articles'!F333,"*GCO – Regions*")</f>
        <v>0</v>
      </c>
      <c r="J334">
        <f>COUNTIF('Metrics - Articles'!F333,"*GCO – Platform Solutions*")</f>
        <v>0</v>
      </c>
      <c r="K334">
        <f>COUNTIF('Metrics - Articles'!F333,"*GCO – Industry Cloud *")</f>
        <v>0</v>
      </c>
      <c r="L334">
        <f>COUNTIF('Metrics - Articles'!F333,"*GCO – Customer Engagement &amp; Commerce (CRM &amp; hybris) *")</f>
        <v>0</v>
      </c>
      <c r="M334">
        <f>COUNTIF('Metrics - Articles'!F333,"*GCO – HR (SuccessFactors)*")</f>
        <v>0</v>
      </c>
      <c r="N334">
        <f>COUNTIF('Metrics - Articles'!F333,"*GCO – Services Sales*")</f>
        <v>0</v>
      </c>
      <c r="O334">
        <f>COUNTIF('Metrics - Articles'!F333,"*GCO – Other*")</f>
        <v>0</v>
      </c>
      <c r="P334">
        <f>COUNTIF('Metrics - Articles'!F333,"*Corporate*")</f>
        <v>0</v>
      </c>
      <c r="R334" s="53">
        <f t="shared" si="7"/>
        <v>1</v>
      </c>
    </row>
    <row r="335" spans="2:18" x14ac:dyDescent="0.25">
      <c r="B335" s="48">
        <f>+'Metrics - Articles'!C334</f>
        <v>42333</v>
      </c>
      <c r="C335">
        <f>COUNTIF('Metrics - Articles'!F334,"*GPO (Partner, Ecosystem, Channels)*")</f>
        <v>0</v>
      </c>
      <c r="D335">
        <f>COUNTIF('Metrics - Articles'!F334,"*Office of the CEO*")</f>
        <v>0</v>
      </c>
      <c r="E335">
        <f>COUNTIF('Metrics - Articles'!F334,"*Services Delivery &amp; Support (go-lives and deployments) *")</f>
        <v>1</v>
      </c>
      <c r="F335">
        <f>COUNTIF('Metrics - Articles'!F334,"*Human Resources (SAP HR and employee stories)*")</f>
        <v>0</v>
      </c>
      <c r="G335">
        <f>COUNTIF('Metrics - Articles'!F334,"*P&amp;I (Research &amp; Development)*")</f>
        <v>0</v>
      </c>
      <c r="H335">
        <f>COUNTIF('Metrics - Articles'!F334,"*Business Network (Concur, Ariba, Fieldglass)*")</f>
        <v>0</v>
      </c>
      <c r="I335">
        <f>COUNTIF('Metrics - Articles'!F334,"*GCO – Regions*")</f>
        <v>0</v>
      </c>
      <c r="J335">
        <f>COUNTIF('Metrics - Articles'!F334,"*GCO – Platform Solutions*")</f>
        <v>0</v>
      </c>
      <c r="K335">
        <f>COUNTIF('Metrics - Articles'!F334,"*GCO – Industry Cloud *")</f>
        <v>0</v>
      </c>
      <c r="L335">
        <f>COUNTIF('Metrics - Articles'!F334,"*GCO – Customer Engagement &amp; Commerce (CRM &amp; hybris) *")</f>
        <v>0</v>
      </c>
      <c r="M335">
        <f>COUNTIF('Metrics - Articles'!F334,"*GCO – HR (SuccessFactors)*")</f>
        <v>0</v>
      </c>
      <c r="N335">
        <f>COUNTIF('Metrics - Articles'!F334,"*GCO – Services Sales*")</f>
        <v>0</v>
      </c>
      <c r="O335">
        <f>COUNTIF('Metrics - Articles'!F334,"*GCO – Other*")</f>
        <v>0</v>
      </c>
      <c r="P335">
        <f>COUNTIF('Metrics - Articles'!F334,"*Corporate*")</f>
        <v>0</v>
      </c>
      <c r="R335" s="53">
        <f t="shared" si="7"/>
        <v>1</v>
      </c>
    </row>
    <row r="336" spans="2:18" x14ac:dyDescent="0.25">
      <c r="B336" s="48">
        <f>+'Metrics - Articles'!C335</f>
        <v>42333</v>
      </c>
      <c r="C336">
        <f>COUNTIF('Metrics - Articles'!F335,"*GPO (Partner, Ecosystem, Channels)*")</f>
        <v>0</v>
      </c>
      <c r="D336">
        <f>COUNTIF('Metrics - Articles'!F335,"*Office of the CEO*")</f>
        <v>0</v>
      </c>
      <c r="E336">
        <f>COUNTIF('Metrics - Articles'!F335,"*Services Delivery &amp; Support (go-lives and deployments) *")</f>
        <v>0</v>
      </c>
      <c r="F336">
        <f>COUNTIF('Metrics - Articles'!F335,"*Human Resources (SAP HR and employee stories)*")</f>
        <v>0</v>
      </c>
      <c r="G336">
        <f>COUNTIF('Metrics - Articles'!F335,"*P&amp;I (Research &amp; Development)*")</f>
        <v>0</v>
      </c>
      <c r="H336">
        <f>COUNTIF('Metrics - Articles'!F335,"*Business Network (Concur, Ariba, Fieldglass)*")</f>
        <v>1</v>
      </c>
      <c r="I336">
        <f>COUNTIF('Metrics - Articles'!F335,"*GCO – Regions*")</f>
        <v>0</v>
      </c>
      <c r="J336">
        <f>COUNTIF('Metrics - Articles'!F335,"*GCO – Platform Solutions*")</f>
        <v>1</v>
      </c>
      <c r="K336">
        <f>COUNTIF('Metrics - Articles'!F335,"*GCO – Industry Cloud *")</f>
        <v>0</v>
      </c>
      <c r="L336">
        <f>COUNTIF('Metrics - Articles'!F335,"*GCO – Customer Engagement &amp; Commerce (CRM &amp; hybris) *")</f>
        <v>0</v>
      </c>
      <c r="M336">
        <f>COUNTIF('Metrics - Articles'!F335,"*GCO – HR (SuccessFactors)*")</f>
        <v>0</v>
      </c>
      <c r="N336">
        <f>COUNTIF('Metrics - Articles'!F335,"*GCO – Services Sales*")</f>
        <v>0</v>
      </c>
      <c r="O336">
        <f>COUNTIF('Metrics - Articles'!F335,"*GCO – Other*")</f>
        <v>0</v>
      </c>
      <c r="P336">
        <f>COUNTIF('Metrics - Articles'!F335,"*Corporate*")</f>
        <v>0</v>
      </c>
      <c r="R336" s="53">
        <f t="shared" si="7"/>
        <v>2</v>
      </c>
    </row>
    <row r="337" spans="2:18" x14ac:dyDescent="0.25">
      <c r="B337" s="48">
        <f>+'Metrics - Articles'!C336</f>
        <v>42335</v>
      </c>
      <c r="C337">
        <f>COUNTIF('Metrics - Articles'!F336,"*GPO (Partner, Ecosystem, Channels)*")</f>
        <v>0</v>
      </c>
      <c r="D337">
        <f>COUNTIF('Metrics - Articles'!F336,"*Office of the CEO*")</f>
        <v>0</v>
      </c>
      <c r="E337">
        <f>COUNTIF('Metrics - Articles'!F336,"*Services Delivery &amp; Support (go-lives and deployments) *")</f>
        <v>0</v>
      </c>
      <c r="F337">
        <f>COUNTIF('Metrics - Articles'!F336,"*Human Resources (SAP HR and employee stories)*")</f>
        <v>1</v>
      </c>
      <c r="G337">
        <f>COUNTIF('Metrics - Articles'!F336,"*P&amp;I (Research &amp; Development)*")</f>
        <v>0</v>
      </c>
      <c r="H337">
        <f>COUNTIF('Metrics - Articles'!F336,"*Business Network (Concur, Ariba, Fieldglass)*")</f>
        <v>0</v>
      </c>
      <c r="I337">
        <f>COUNTIF('Metrics - Articles'!F336,"*GCO – Regions*")</f>
        <v>0</v>
      </c>
      <c r="J337">
        <f>COUNTIF('Metrics - Articles'!F336,"*GCO – Platform Solutions*")</f>
        <v>0</v>
      </c>
      <c r="K337">
        <f>COUNTIF('Metrics - Articles'!F336,"*GCO – Industry Cloud *")</f>
        <v>0</v>
      </c>
      <c r="L337">
        <f>COUNTIF('Metrics - Articles'!F336,"*GCO – Customer Engagement &amp; Commerce (CRM &amp; hybris) *")</f>
        <v>0</v>
      </c>
      <c r="M337">
        <f>COUNTIF('Metrics - Articles'!F336,"*GCO – HR (SuccessFactors)*")</f>
        <v>0</v>
      </c>
      <c r="N337">
        <f>COUNTIF('Metrics - Articles'!F336,"*GCO – Services Sales*")</f>
        <v>0</v>
      </c>
      <c r="O337">
        <f>COUNTIF('Metrics - Articles'!F336,"*GCO – Other*")</f>
        <v>0</v>
      </c>
      <c r="P337">
        <f>COUNTIF('Metrics - Articles'!F336,"*Corporate*")</f>
        <v>0</v>
      </c>
      <c r="R337" s="53">
        <f t="shared" si="7"/>
        <v>1</v>
      </c>
    </row>
    <row r="338" spans="2:18" x14ac:dyDescent="0.25">
      <c r="B338" s="48">
        <f>+'Metrics - Articles'!C337</f>
        <v>42335</v>
      </c>
      <c r="C338">
        <f>COUNTIF('Metrics - Articles'!F337,"*GPO (Partner, Ecosystem, Channels)*")</f>
        <v>0</v>
      </c>
      <c r="D338">
        <f>COUNTIF('Metrics - Articles'!F337,"*Office of the CEO*")</f>
        <v>0</v>
      </c>
      <c r="E338">
        <f>COUNTIF('Metrics - Articles'!F337,"*Services Delivery &amp; Support (go-lives and deployments) *")</f>
        <v>0</v>
      </c>
      <c r="F338">
        <f>COUNTIF('Metrics - Articles'!F337,"*Human Resources (SAP HR and employee stories)*")</f>
        <v>0</v>
      </c>
      <c r="G338">
        <f>COUNTIF('Metrics - Articles'!F337,"*P&amp;I (Research &amp; Development)*")</f>
        <v>0</v>
      </c>
      <c r="H338">
        <f>COUNTIF('Metrics - Articles'!F337,"*Business Network (Concur, Ariba, Fieldglass)*")</f>
        <v>0</v>
      </c>
      <c r="I338">
        <f>COUNTIF('Metrics - Articles'!F337,"*GCO – Regions*")</f>
        <v>0</v>
      </c>
      <c r="J338">
        <f>COUNTIF('Metrics - Articles'!F337,"*GCO – Platform Solutions*")</f>
        <v>0</v>
      </c>
      <c r="K338">
        <f>COUNTIF('Metrics - Articles'!F337,"*GCO – Industry Cloud *")</f>
        <v>0</v>
      </c>
      <c r="L338">
        <f>COUNTIF('Metrics - Articles'!F337,"*GCO – Customer Engagement &amp; Commerce (CRM &amp; hybris) *")</f>
        <v>0</v>
      </c>
      <c r="M338">
        <f>COUNTIF('Metrics - Articles'!F337,"*GCO – HR (SuccessFactors)*")</f>
        <v>0</v>
      </c>
      <c r="N338">
        <f>COUNTIF('Metrics - Articles'!F337,"*GCO – Services Sales*")</f>
        <v>0</v>
      </c>
      <c r="O338">
        <f>COUNTIF('Metrics - Articles'!F337,"*GCO – Other*")</f>
        <v>0</v>
      </c>
      <c r="P338">
        <f>COUNTIF('Metrics - Articles'!F337,"*Corporate*")</f>
        <v>1</v>
      </c>
      <c r="R338" s="53">
        <f t="shared" si="7"/>
        <v>1</v>
      </c>
    </row>
    <row r="339" spans="2:18" x14ac:dyDescent="0.25">
      <c r="B339" s="48">
        <f>+'Metrics - Articles'!C338</f>
        <v>42338</v>
      </c>
      <c r="C339">
        <f>COUNTIF('Metrics - Articles'!F338,"*GPO (Partner, Ecosystem, Channels)*")</f>
        <v>0</v>
      </c>
      <c r="D339">
        <f>COUNTIF('Metrics - Articles'!F338,"*Office of the CEO*")</f>
        <v>0</v>
      </c>
      <c r="E339">
        <f>COUNTIF('Metrics - Articles'!F338,"*Services Delivery &amp; Support (go-lives and deployments) *")</f>
        <v>0</v>
      </c>
      <c r="F339">
        <f>COUNTIF('Metrics - Articles'!F338,"*Human Resources (SAP HR and employee stories)*")</f>
        <v>0</v>
      </c>
      <c r="G339">
        <f>COUNTIF('Metrics - Articles'!F338,"*P&amp;I (Research &amp; Development)*")</f>
        <v>0</v>
      </c>
      <c r="H339">
        <f>COUNTIF('Metrics - Articles'!F338,"*Business Network (Concur, Ariba, Fieldglass)*")</f>
        <v>0</v>
      </c>
      <c r="I339">
        <f>COUNTIF('Metrics - Articles'!F338,"*GCO – Regions*")</f>
        <v>0</v>
      </c>
      <c r="J339">
        <f>COUNTIF('Metrics - Articles'!F338,"*GCO – Platform Solutions*")</f>
        <v>0</v>
      </c>
      <c r="K339">
        <f>COUNTIF('Metrics - Articles'!F338,"*GCO – Industry Cloud *")</f>
        <v>0</v>
      </c>
      <c r="L339">
        <f>COUNTIF('Metrics - Articles'!F338,"*GCO – Customer Engagement &amp; Commerce (CRM &amp; hybris) *")</f>
        <v>0</v>
      </c>
      <c r="M339">
        <f>COUNTIF('Metrics - Articles'!F338,"*GCO – HR (SuccessFactors)*")</f>
        <v>0</v>
      </c>
      <c r="N339">
        <f>COUNTIF('Metrics - Articles'!F338,"*GCO – Services Sales*")</f>
        <v>0</v>
      </c>
      <c r="O339">
        <f>COUNTIF('Metrics - Articles'!F338,"*GCO – Other*")</f>
        <v>0</v>
      </c>
      <c r="P339">
        <f>COUNTIF('Metrics - Articles'!F338,"*Corporate*")</f>
        <v>1</v>
      </c>
      <c r="R339" s="53">
        <f t="shared" si="7"/>
        <v>1</v>
      </c>
    </row>
    <row r="340" spans="2:18" x14ac:dyDescent="0.25">
      <c r="B340" s="48">
        <f>+'Metrics - Articles'!C339</f>
        <v>42340</v>
      </c>
      <c r="C340">
        <f>COUNTIF('Metrics - Articles'!F339,"*GPO (Partner, Ecosystem, Channels)*")</f>
        <v>0</v>
      </c>
      <c r="D340">
        <f>COUNTIF('Metrics - Articles'!F339,"*Office of the CEO*")</f>
        <v>0</v>
      </c>
      <c r="E340">
        <f>COUNTIF('Metrics - Articles'!F339,"*Services Delivery &amp; Support (go-lives and deployments) *")</f>
        <v>0</v>
      </c>
      <c r="F340">
        <f>COUNTIF('Metrics - Articles'!F339,"*Human Resources (SAP HR and employee stories)*")</f>
        <v>0</v>
      </c>
      <c r="G340">
        <f>COUNTIF('Metrics - Articles'!F339,"*P&amp;I (Research &amp; Development)*")</f>
        <v>0</v>
      </c>
      <c r="H340">
        <f>COUNTIF('Metrics - Articles'!F339,"*Business Network (Concur, Ariba, Fieldglass)*")</f>
        <v>0</v>
      </c>
      <c r="I340">
        <f>COUNTIF('Metrics - Articles'!F339,"*GCO – Regions*")</f>
        <v>0</v>
      </c>
      <c r="J340">
        <f>COUNTIF('Metrics - Articles'!F339,"*GCO – Platform Solutions*")</f>
        <v>1</v>
      </c>
      <c r="K340">
        <f>COUNTIF('Metrics - Articles'!F339,"*GCO – Industry Cloud *")</f>
        <v>1</v>
      </c>
      <c r="L340">
        <f>COUNTIF('Metrics - Articles'!F339,"*GCO – Customer Engagement &amp; Commerce (CRM &amp; hybris) *")</f>
        <v>0</v>
      </c>
      <c r="M340">
        <f>COUNTIF('Metrics - Articles'!F339,"*GCO – HR (SuccessFactors)*")</f>
        <v>0</v>
      </c>
      <c r="N340">
        <f>COUNTIF('Metrics - Articles'!F339,"*GCO – Services Sales*")</f>
        <v>0</v>
      </c>
      <c r="O340">
        <f>COUNTIF('Metrics - Articles'!F339,"*GCO – Other*")</f>
        <v>0</v>
      </c>
      <c r="P340">
        <f>COUNTIF('Metrics - Articles'!F339,"*Corporate*")</f>
        <v>0</v>
      </c>
      <c r="R340" s="53">
        <f t="shared" si="7"/>
        <v>2</v>
      </c>
    </row>
    <row r="341" spans="2:18" x14ac:dyDescent="0.25">
      <c r="B341" s="48">
        <f>+'Metrics - Articles'!C340</f>
        <v>42341</v>
      </c>
      <c r="C341">
        <f>COUNTIF('Metrics - Articles'!F340,"*GPO (Partner, Ecosystem, Channels)*")</f>
        <v>0</v>
      </c>
      <c r="D341">
        <f>COUNTIF('Metrics - Articles'!F340,"*Office of the CEO*")</f>
        <v>0</v>
      </c>
      <c r="E341">
        <f>COUNTIF('Metrics - Articles'!F340,"*Services Delivery &amp; Support (go-lives and deployments) *")</f>
        <v>0</v>
      </c>
      <c r="F341">
        <f>COUNTIF('Metrics - Articles'!F340,"*Human Resources (SAP HR and employee stories)*")</f>
        <v>0</v>
      </c>
      <c r="G341">
        <f>COUNTIF('Metrics - Articles'!F340,"*P&amp;I (Research &amp; Development)*")</f>
        <v>1</v>
      </c>
      <c r="H341">
        <f>COUNTIF('Metrics - Articles'!F340,"*Business Network (Concur, Ariba, Fieldglass)*")</f>
        <v>0</v>
      </c>
      <c r="I341">
        <f>COUNTIF('Metrics - Articles'!F340,"*GCO – Regions*")</f>
        <v>0</v>
      </c>
      <c r="J341">
        <f>COUNTIF('Metrics - Articles'!F340,"*GCO – Platform Solutions*")</f>
        <v>0</v>
      </c>
      <c r="K341">
        <f>COUNTIF('Metrics - Articles'!F340,"*GCO – Industry Cloud *")</f>
        <v>0</v>
      </c>
      <c r="L341">
        <f>COUNTIF('Metrics - Articles'!F340,"*GCO – Customer Engagement &amp; Commerce (CRM &amp; hybris) *")</f>
        <v>0</v>
      </c>
      <c r="M341">
        <f>COUNTIF('Metrics - Articles'!F340,"*GCO – HR (SuccessFactors)*")</f>
        <v>0</v>
      </c>
      <c r="N341">
        <f>COUNTIF('Metrics - Articles'!F340,"*GCO – Services Sales*")</f>
        <v>0</v>
      </c>
      <c r="O341">
        <f>COUNTIF('Metrics - Articles'!F340,"*GCO – Other*")</f>
        <v>0</v>
      </c>
      <c r="P341">
        <f>COUNTIF('Metrics - Articles'!F340,"*Corporate*")</f>
        <v>0</v>
      </c>
      <c r="R341" s="53">
        <f t="shared" si="7"/>
        <v>1</v>
      </c>
    </row>
    <row r="342" spans="2:18" x14ac:dyDescent="0.25">
      <c r="B342" s="48">
        <f>+'Metrics - Articles'!C341</f>
        <v>42341</v>
      </c>
      <c r="C342">
        <f>COUNTIF('Metrics - Articles'!F341,"*GPO (Partner, Ecosystem, Channels)*")</f>
        <v>0</v>
      </c>
      <c r="D342">
        <f>COUNTIF('Metrics - Articles'!F341,"*Office of the CEO*")</f>
        <v>0</v>
      </c>
      <c r="E342">
        <f>COUNTIF('Metrics - Articles'!F341,"*Services Delivery &amp; Support (go-lives and deployments) *")</f>
        <v>0</v>
      </c>
      <c r="F342">
        <f>COUNTIF('Metrics - Articles'!F341,"*Human Resources (SAP HR and employee stories)*")</f>
        <v>0</v>
      </c>
      <c r="G342">
        <f>COUNTIF('Metrics - Articles'!F341,"*P&amp;I (Research &amp; Development)*")</f>
        <v>0</v>
      </c>
      <c r="H342">
        <f>COUNTIF('Metrics - Articles'!F341,"*Business Network (Concur, Ariba, Fieldglass)*")</f>
        <v>0</v>
      </c>
      <c r="I342">
        <f>COUNTIF('Metrics - Articles'!F341,"*GCO – Regions*")</f>
        <v>0</v>
      </c>
      <c r="J342">
        <f>COUNTIF('Metrics - Articles'!F341,"*GCO – Platform Solutions*")</f>
        <v>0</v>
      </c>
      <c r="K342">
        <f>COUNTIF('Metrics - Articles'!F341,"*GCO – Industry Cloud *")</f>
        <v>1</v>
      </c>
      <c r="L342">
        <f>COUNTIF('Metrics - Articles'!F341,"*GCO – Customer Engagement &amp; Commerce (CRM &amp; hybris) *")</f>
        <v>0</v>
      </c>
      <c r="M342">
        <f>COUNTIF('Metrics - Articles'!F341,"*GCO – HR (SuccessFactors)*")</f>
        <v>0</v>
      </c>
      <c r="N342">
        <f>COUNTIF('Metrics - Articles'!F341,"*GCO – Services Sales*")</f>
        <v>0</v>
      </c>
      <c r="O342">
        <f>COUNTIF('Metrics - Articles'!F341,"*GCO – Other*")</f>
        <v>0</v>
      </c>
      <c r="P342">
        <f>COUNTIF('Metrics - Articles'!F341,"*Corporate*")</f>
        <v>0</v>
      </c>
      <c r="R342" s="53">
        <f t="shared" si="7"/>
        <v>1</v>
      </c>
    </row>
    <row r="343" spans="2:18" x14ac:dyDescent="0.25">
      <c r="B343" s="48">
        <f>+'Metrics - Articles'!C342</f>
        <v>42342</v>
      </c>
      <c r="C343">
        <f>COUNTIF('Metrics - Articles'!F342,"*GPO (Partner, Ecosystem, Channels)*")</f>
        <v>0</v>
      </c>
      <c r="D343">
        <f>COUNTIF('Metrics - Articles'!F342,"*Office of the CEO*")</f>
        <v>0</v>
      </c>
      <c r="E343">
        <f>COUNTIF('Metrics - Articles'!F342,"*Services Delivery &amp; Support (go-lives and deployments) *")</f>
        <v>0</v>
      </c>
      <c r="F343">
        <f>COUNTIF('Metrics - Articles'!F342,"*Human Resources (SAP HR and employee stories)*")</f>
        <v>1</v>
      </c>
      <c r="G343">
        <f>COUNTIF('Metrics - Articles'!F342,"*P&amp;I (Research &amp; Development)*")</f>
        <v>0</v>
      </c>
      <c r="H343">
        <f>COUNTIF('Metrics - Articles'!F342,"*Business Network (Concur, Ariba, Fieldglass)*")</f>
        <v>0</v>
      </c>
      <c r="I343">
        <f>COUNTIF('Metrics - Articles'!F342,"*GCO – Regions*")</f>
        <v>0</v>
      </c>
      <c r="J343">
        <f>COUNTIF('Metrics - Articles'!F342,"*GCO – Platform Solutions*")</f>
        <v>0</v>
      </c>
      <c r="K343">
        <f>COUNTIF('Metrics - Articles'!F342,"*GCO – Industry Cloud *")</f>
        <v>0</v>
      </c>
      <c r="L343">
        <f>COUNTIF('Metrics - Articles'!F342,"*GCO – Customer Engagement &amp; Commerce (CRM &amp; hybris) *")</f>
        <v>0</v>
      </c>
      <c r="M343">
        <f>COUNTIF('Metrics - Articles'!F342,"*GCO – HR (SuccessFactors)*")</f>
        <v>0</v>
      </c>
      <c r="N343">
        <f>COUNTIF('Metrics - Articles'!F342,"*GCO – Services Sales*")</f>
        <v>0</v>
      </c>
      <c r="O343">
        <f>COUNTIF('Metrics - Articles'!F342,"*GCO – Other*")</f>
        <v>0</v>
      </c>
      <c r="P343">
        <f>COUNTIF('Metrics - Articles'!F342,"*Corporate*")</f>
        <v>1</v>
      </c>
      <c r="R343" s="53">
        <f t="shared" si="7"/>
        <v>2</v>
      </c>
    </row>
    <row r="344" spans="2:18" x14ac:dyDescent="0.25">
      <c r="B344" s="48">
        <f>+'Metrics - Articles'!C343</f>
        <v>42342</v>
      </c>
      <c r="C344">
        <f>COUNTIF('Metrics - Articles'!F343,"*GPO (Partner, Ecosystem, Channels)*")</f>
        <v>0</v>
      </c>
      <c r="D344">
        <f>COUNTIF('Metrics - Articles'!F343,"*Office of the CEO*")</f>
        <v>0</v>
      </c>
      <c r="E344">
        <f>COUNTIF('Metrics - Articles'!F343,"*Services Delivery &amp; Support (go-lives and deployments) *")</f>
        <v>0</v>
      </c>
      <c r="F344">
        <f>COUNTIF('Metrics - Articles'!F343,"*Human Resources (SAP HR and employee stories)*")</f>
        <v>0</v>
      </c>
      <c r="G344">
        <f>COUNTIF('Metrics - Articles'!F343,"*P&amp;I (Research &amp; Development)*")</f>
        <v>0</v>
      </c>
      <c r="H344">
        <f>COUNTIF('Metrics - Articles'!F343,"*Business Network (Concur, Ariba, Fieldglass)*")</f>
        <v>0</v>
      </c>
      <c r="I344">
        <f>COUNTIF('Metrics - Articles'!F343,"*GCO – Regions*")</f>
        <v>0</v>
      </c>
      <c r="J344">
        <f>COUNTIF('Metrics - Articles'!F343,"*GCO – Platform Solutions*")</f>
        <v>0</v>
      </c>
      <c r="K344">
        <f>COUNTIF('Metrics - Articles'!F343,"*GCO – Industry Cloud *")</f>
        <v>0</v>
      </c>
      <c r="L344">
        <f>COUNTIF('Metrics - Articles'!F343,"*GCO – Customer Engagement &amp; Commerce (CRM &amp; hybris) *")</f>
        <v>0</v>
      </c>
      <c r="M344">
        <f>COUNTIF('Metrics - Articles'!F343,"*GCO – HR (SuccessFactors)*")</f>
        <v>0</v>
      </c>
      <c r="N344">
        <f>COUNTIF('Metrics - Articles'!F343,"*GCO – Services Sales*")</f>
        <v>0</v>
      </c>
      <c r="O344">
        <f>COUNTIF('Metrics - Articles'!F343,"*GCO – Other*")</f>
        <v>0</v>
      </c>
      <c r="P344">
        <f>COUNTIF('Metrics - Articles'!F343,"*Corporate*")</f>
        <v>1</v>
      </c>
      <c r="R344" s="53">
        <f t="shared" si="7"/>
        <v>1</v>
      </c>
    </row>
    <row r="345" spans="2:18" x14ac:dyDescent="0.25">
      <c r="B345" s="48">
        <f>+'Metrics - Articles'!C344</f>
        <v>42343</v>
      </c>
      <c r="C345">
        <f>COUNTIF('Metrics - Articles'!F344,"*GPO (Partner, Ecosystem, Channels)*")</f>
        <v>0</v>
      </c>
      <c r="D345">
        <f>COUNTIF('Metrics - Articles'!F344,"*Office of the CEO*")</f>
        <v>0</v>
      </c>
      <c r="E345">
        <f>COUNTIF('Metrics - Articles'!F344,"*Services Delivery &amp; Support (go-lives and deployments) *")</f>
        <v>0</v>
      </c>
      <c r="F345">
        <f>COUNTIF('Metrics - Articles'!F344,"*Human Resources (SAP HR and employee stories)*")</f>
        <v>0</v>
      </c>
      <c r="G345">
        <f>COUNTIF('Metrics - Articles'!F344,"*P&amp;I (Research &amp; Development)*")</f>
        <v>0</v>
      </c>
      <c r="H345">
        <f>COUNTIF('Metrics - Articles'!F344,"*Business Network (Concur, Ariba, Fieldglass)*")</f>
        <v>0</v>
      </c>
      <c r="I345">
        <f>COUNTIF('Metrics - Articles'!F344,"*GCO – Regions*")</f>
        <v>0</v>
      </c>
      <c r="J345">
        <f>COUNTIF('Metrics - Articles'!F344,"*GCO – Platform Solutions*")</f>
        <v>1</v>
      </c>
      <c r="K345">
        <f>COUNTIF('Metrics - Articles'!F344,"*GCO – Industry Cloud *")</f>
        <v>0</v>
      </c>
      <c r="L345">
        <f>COUNTIF('Metrics - Articles'!F344,"*GCO – Customer Engagement &amp; Commerce (CRM &amp; hybris) *")</f>
        <v>0</v>
      </c>
      <c r="M345">
        <f>COUNTIF('Metrics - Articles'!F344,"*GCO – HR (SuccessFactors)*")</f>
        <v>0</v>
      </c>
      <c r="N345">
        <f>COUNTIF('Metrics - Articles'!F344,"*GCO – Services Sales*")</f>
        <v>0</v>
      </c>
      <c r="O345">
        <f>COUNTIF('Metrics - Articles'!F344,"*GCO – Other*")</f>
        <v>0</v>
      </c>
      <c r="P345">
        <f>COUNTIF('Metrics - Articles'!F344,"*Corporate*")</f>
        <v>0</v>
      </c>
      <c r="R345" s="53">
        <f t="shared" si="7"/>
        <v>1</v>
      </c>
    </row>
    <row r="346" spans="2:18" x14ac:dyDescent="0.25">
      <c r="B346" s="48">
        <f>+'Metrics - Articles'!C345</f>
        <v>42345</v>
      </c>
      <c r="C346">
        <f>COUNTIF('Metrics - Articles'!F345,"*GPO (Partner, Ecosystem, Channels)*")</f>
        <v>0</v>
      </c>
      <c r="D346">
        <f>COUNTIF('Metrics - Articles'!F345,"*Office of the CEO*")</f>
        <v>0</v>
      </c>
      <c r="E346">
        <f>COUNTIF('Metrics - Articles'!F345,"*Services Delivery &amp; Support (go-lives and deployments) *")</f>
        <v>0</v>
      </c>
      <c r="F346">
        <f>COUNTIF('Metrics - Articles'!F345,"*Human Resources (SAP HR and employee stories)*")</f>
        <v>0</v>
      </c>
      <c r="G346">
        <f>COUNTIF('Metrics - Articles'!F345,"*P&amp;I (Research &amp; Development)*")</f>
        <v>0</v>
      </c>
      <c r="H346">
        <f>COUNTIF('Metrics - Articles'!F345,"*Business Network (Concur, Ariba, Fieldglass)*")</f>
        <v>0</v>
      </c>
      <c r="I346">
        <f>COUNTIF('Metrics - Articles'!F345,"*GCO – Regions*")</f>
        <v>0</v>
      </c>
      <c r="J346">
        <f>COUNTIF('Metrics - Articles'!F345,"*GCO – Platform Solutions*")</f>
        <v>1</v>
      </c>
      <c r="K346">
        <f>COUNTIF('Metrics - Articles'!F345,"*GCO – Industry Cloud *")</f>
        <v>0</v>
      </c>
      <c r="L346">
        <f>COUNTIF('Metrics - Articles'!F345,"*GCO – Customer Engagement &amp; Commerce (CRM &amp; hybris) *")</f>
        <v>0</v>
      </c>
      <c r="M346">
        <f>COUNTIF('Metrics - Articles'!F345,"*GCO – HR (SuccessFactors)*")</f>
        <v>0</v>
      </c>
      <c r="N346">
        <f>COUNTIF('Metrics - Articles'!F345,"*GCO – Services Sales*")</f>
        <v>0</v>
      </c>
      <c r="O346">
        <f>COUNTIF('Metrics - Articles'!F345,"*GCO – Other*")</f>
        <v>0</v>
      </c>
      <c r="P346">
        <f>COUNTIF('Metrics - Articles'!F345,"*Corporate*")</f>
        <v>0</v>
      </c>
      <c r="R346" s="53">
        <f t="shared" si="7"/>
        <v>1</v>
      </c>
    </row>
    <row r="347" spans="2:18" x14ac:dyDescent="0.25">
      <c r="B347" s="48">
        <f>+'Metrics - Articles'!C346</f>
        <v>42345</v>
      </c>
      <c r="C347">
        <f>COUNTIF('Metrics - Articles'!F346,"*GPO (Partner, Ecosystem, Channels)*")</f>
        <v>0</v>
      </c>
      <c r="D347">
        <f>COUNTIF('Metrics - Articles'!F346,"*Office of the CEO*")</f>
        <v>0</v>
      </c>
      <c r="E347">
        <f>COUNTIF('Metrics - Articles'!F346,"*Services Delivery &amp; Support (go-lives and deployments) *")</f>
        <v>0</v>
      </c>
      <c r="F347">
        <f>COUNTIF('Metrics - Articles'!F346,"*Human Resources (SAP HR and employee stories)*")</f>
        <v>0</v>
      </c>
      <c r="G347">
        <f>COUNTIF('Metrics - Articles'!F346,"*P&amp;I (Research &amp; Development)*")</f>
        <v>0</v>
      </c>
      <c r="H347">
        <f>COUNTIF('Metrics - Articles'!F346,"*Business Network (Concur, Ariba, Fieldglass)*")</f>
        <v>0</v>
      </c>
      <c r="I347">
        <f>COUNTIF('Metrics - Articles'!F346,"*GCO – Regions*")</f>
        <v>0</v>
      </c>
      <c r="J347">
        <f>COUNTIF('Metrics - Articles'!F346,"*GCO – Platform Solutions*")</f>
        <v>0</v>
      </c>
      <c r="K347">
        <f>COUNTIF('Metrics - Articles'!F346,"*GCO – Industry Cloud *")</f>
        <v>1</v>
      </c>
      <c r="L347">
        <f>COUNTIF('Metrics - Articles'!F346,"*GCO – Customer Engagement &amp; Commerce (CRM &amp; hybris) *")</f>
        <v>0</v>
      </c>
      <c r="M347">
        <f>COUNTIF('Metrics - Articles'!F346,"*GCO – HR (SuccessFactors)*")</f>
        <v>0</v>
      </c>
      <c r="N347">
        <f>COUNTIF('Metrics - Articles'!F346,"*GCO – Services Sales*")</f>
        <v>0</v>
      </c>
      <c r="O347">
        <f>COUNTIF('Metrics - Articles'!F346,"*GCO – Other*")</f>
        <v>0</v>
      </c>
      <c r="P347">
        <f>COUNTIF('Metrics - Articles'!F346,"*Corporate*")</f>
        <v>1</v>
      </c>
      <c r="R347" s="53">
        <f t="shared" si="7"/>
        <v>2</v>
      </c>
    </row>
    <row r="348" spans="2:18" x14ac:dyDescent="0.25">
      <c r="B348" s="48">
        <f>+'Metrics - Articles'!C347</f>
        <v>42346</v>
      </c>
      <c r="C348">
        <f>COUNTIF('Metrics - Articles'!F347,"*GPO (Partner, Ecosystem, Channels)*")</f>
        <v>0</v>
      </c>
      <c r="D348">
        <f>COUNTIF('Metrics - Articles'!F347,"*Office of the CEO*")</f>
        <v>0</v>
      </c>
      <c r="E348">
        <f>COUNTIF('Metrics - Articles'!F347,"*Services Delivery &amp; Support (go-lives and deployments) *")</f>
        <v>0</v>
      </c>
      <c r="F348">
        <f>COUNTIF('Metrics - Articles'!F347,"*Human Resources (SAP HR and employee stories)*")</f>
        <v>0</v>
      </c>
      <c r="G348">
        <f>COUNTIF('Metrics - Articles'!F347,"*P&amp;I (Research &amp; Development)*")</f>
        <v>0</v>
      </c>
      <c r="H348">
        <f>COUNTIF('Metrics - Articles'!F347,"*Business Network (Concur, Ariba, Fieldglass)*")</f>
        <v>0</v>
      </c>
      <c r="I348">
        <f>COUNTIF('Metrics - Articles'!F347,"*GCO – Regions*")</f>
        <v>0</v>
      </c>
      <c r="J348">
        <f>COUNTIF('Metrics - Articles'!F347,"*GCO – Platform Solutions*")</f>
        <v>1</v>
      </c>
      <c r="K348">
        <f>COUNTIF('Metrics - Articles'!F347,"*GCO – Industry Cloud *")</f>
        <v>1</v>
      </c>
      <c r="L348">
        <f>COUNTIF('Metrics - Articles'!F347,"*GCO – Customer Engagement &amp; Commerce (CRM &amp; hybris) *")</f>
        <v>0</v>
      </c>
      <c r="M348">
        <f>COUNTIF('Metrics - Articles'!F347,"*GCO – HR (SuccessFactors)*")</f>
        <v>0</v>
      </c>
      <c r="N348">
        <f>COUNTIF('Metrics - Articles'!F347,"*GCO – Services Sales*")</f>
        <v>0</v>
      </c>
      <c r="O348">
        <f>COUNTIF('Metrics - Articles'!F347,"*GCO – Other*")</f>
        <v>0</v>
      </c>
      <c r="P348">
        <f>COUNTIF('Metrics - Articles'!F347,"*Corporate*")</f>
        <v>0</v>
      </c>
      <c r="R348" s="53">
        <f t="shared" si="7"/>
        <v>2</v>
      </c>
    </row>
    <row r="349" spans="2:18" x14ac:dyDescent="0.25">
      <c r="B349" s="48">
        <f>+'Metrics - Articles'!C348</f>
        <v>42346</v>
      </c>
      <c r="C349">
        <f>COUNTIF('Metrics - Articles'!F348,"*GPO (Partner, Ecosystem, Channels)*")</f>
        <v>0</v>
      </c>
      <c r="D349">
        <f>COUNTIF('Metrics - Articles'!F348,"*Office of the CEO*")</f>
        <v>0</v>
      </c>
      <c r="E349">
        <f>COUNTIF('Metrics - Articles'!F348,"*Services Delivery &amp; Support (go-lives and deployments) *")</f>
        <v>0</v>
      </c>
      <c r="F349">
        <f>COUNTIF('Metrics - Articles'!F348,"*Human Resources (SAP HR and employee stories)*")</f>
        <v>0</v>
      </c>
      <c r="G349">
        <f>COUNTIF('Metrics - Articles'!F348,"*P&amp;I (Research &amp; Development)*")</f>
        <v>1</v>
      </c>
      <c r="H349">
        <f>COUNTIF('Metrics - Articles'!F348,"*Business Network (Concur, Ariba, Fieldglass)*")</f>
        <v>0</v>
      </c>
      <c r="I349">
        <f>COUNTIF('Metrics - Articles'!F348,"*GCO – Regions*")</f>
        <v>0</v>
      </c>
      <c r="J349">
        <f>COUNTIF('Metrics - Articles'!F348,"*GCO – Platform Solutions*")</f>
        <v>0</v>
      </c>
      <c r="K349">
        <f>COUNTIF('Metrics - Articles'!F348,"*GCO – Industry Cloud *")</f>
        <v>0</v>
      </c>
      <c r="L349">
        <f>COUNTIF('Metrics - Articles'!F348,"*GCO – Customer Engagement &amp; Commerce (CRM &amp; hybris) *")</f>
        <v>0</v>
      </c>
      <c r="M349">
        <f>COUNTIF('Metrics - Articles'!F348,"*GCO – HR (SuccessFactors)*")</f>
        <v>0</v>
      </c>
      <c r="N349">
        <f>COUNTIF('Metrics - Articles'!F348,"*GCO – Services Sales*")</f>
        <v>0</v>
      </c>
      <c r="O349">
        <f>COUNTIF('Metrics - Articles'!F348,"*GCO – Other*")</f>
        <v>0</v>
      </c>
      <c r="P349">
        <f>COUNTIF('Metrics - Articles'!F348,"*Corporate*")</f>
        <v>0</v>
      </c>
      <c r="R349" s="53">
        <f t="shared" si="7"/>
        <v>1</v>
      </c>
    </row>
    <row r="350" spans="2:18" x14ac:dyDescent="0.25">
      <c r="B350" s="48">
        <f>+'Metrics - Articles'!C349</f>
        <v>42347</v>
      </c>
      <c r="C350">
        <f>COUNTIF('Metrics - Articles'!F349,"*GPO (Partner, Ecosystem, Channels)*")</f>
        <v>0</v>
      </c>
      <c r="D350">
        <f>COUNTIF('Metrics - Articles'!F349,"*Office of the CEO*")</f>
        <v>0</v>
      </c>
      <c r="E350">
        <f>COUNTIF('Metrics - Articles'!F349,"*Services Delivery &amp; Support (go-lives and deployments) *")</f>
        <v>0</v>
      </c>
      <c r="F350">
        <f>COUNTIF('Metrics - Articles'!F349,"*Human Resources (SAP HR and employee stories)*")</f>
        <v>0</v>
      </c>
      <c r="G350">
        <f>COUNTIF('Metrics - Articles'!F349,"*P&amp;I (Research &amp; Development)*")</f>
        <v>1</v>
      </c>
      <c r="H350">
        <f>COUNTIF('Metrics - Articles'!F349,"*Business Network (Concur, Ariba, Fieldglass)*")</f>
        <v>0</v>
      </c>
      <c r="I350">
        <f>COUNTIF('Metrics - Articles'!F349,"*GCO – Regions*")</f>
        <v>0</v>
      </c>
      <c r="J350">
        <f>COUNTIF('Metrics - Articles'!F349,"*GCO – Platform Solutions*")</f>
        <v>0</v>
      </c>
      <c r="K350">
        <f>COUNTIF('Metrics - Articles'!F349,"*GCO – Industry Cloud *")</f>
        <v>1</v>
      </c>
      <c r="L350">
        <f>COUNTIF('Metrics - Articles'!F349,"*GCO – Customer Engagement &amp; Commerce (CRM &amp; hybris) *")</f>
        <v>0</v>
      </c>
      <c r="M350">
        <f>COUNTIF('Metrics - Articles'!F349,"*GCO – HR (SuccessFactors)*")</f>
        <v>0</v>
      </c>
      <c r="N350">
        <f>COUNTIF('Metrics - Articles'!F349,"*GCO – Services Sales*")</f>
        <v>0</v>
      </c>
      <c r="O350">
        <f>COUNTIF('Metrics - Articles'!F349,"*GCO – Other*")</f>
        <v>0</v>
      </c>
      <c r="P350">
        <f>COUNTIF('Metrics - Articles'!F349,"*Corporate*")</f>
        <v>0</v>
      </c>
      <c r="R350" s="53">
        <f t="shared" si="7"/>
        <v>2</v>
      </c>
    </row>
    <row r="351" spans="2:18" x14ac:dyDescent="0.25">
      <c r="B351" s="48">
        <f>+'Metrics - Articles'!C350</f>
        <v>42348</v>
      </c>
      <c r="C351">
        <f>COUNTIF('Metrics - Articles'!F350,"*GPO (Partner, Ecosystem, Channels)*")</f>
        <v>0</v>
      </c>
      <c r="D351">
        <f>COUNTIF('Metrics - Articles'!F350,"*Office of the CEO*")</f>
        <v>0</v>
      </c>
      <c r="E351">
        <f>COUNTIF('Metrics - Articles'!F350,"*Services Delivery &amp; Support (go-lives and deployments) *")</f>
        <v>0</v>
      </c>
      <c r="F351">
        <f>COUNTIF('Metrics - Articles'!F350,"*Human Resources (SAP HR and employee stories)*")</f>
        <v>0</v>
      </c>
      <c r="G351">
        <f>COUNTIF('Metrics - Articles'!F350,"*P&amp;I (Research &amp; Development)*")</f>
        <v>0</v>
      </c>
      <c r="H351">
        <f>COUNTIF('Metrics - Articles'!F350,"*Business Network (Concur, Ariba, Fieldglass)*")</f>
        <v>0</v>
      </c>
      <c r="I351">
        <f>COUNTIF('Metrics - Articles'!F350,"*GCO – Regions*")</f>
        <v>0</v>
      </c>
      <c r="J351">
        <f>COUNTIF('Metrics - Articles'!F350,"*GCO – Platform Solutions*")</f>
        <v>1</v>
      </c>
      <c r="K351">
        <f>COUNTIF('Metrics - Articles'!F350,"*GCO – Industry Cloud *")</f>
        <v>1</v>
      </c>
      <c r="L351">
        <f>COUNTIF('Metrics - Articles'!F350,"*GCO – Customer Engagement &amp; Commerce (CRM &amp; hybris) *")</f>
        <v>0</v>
      </c>
      <c r="M351">
        <f>COUNTIF('Metrics - Articles'!F350,"*GCO – HR (SuccessFactors)*")</f>
        <v>0</v>
      </c>
      <c r="N351">
        <f>COUNTIF('Metrics - Articles'!F350,"*GCO – Services Sales*")</f>
        <v>0</v>
      </c>
      <c r="O351">
        <f>COUNTIF('Metrics - Articles'!F350,"*GCO – Other*")</f>
        <v>0</v>
      </c>
      <c r="P351">
        <f>COUNTIF('Metrics - Articles'!F350,"*Corporate*")</f>
        <v>0</v>
      </c>
      <c r="R351" s="53">
        <f t="shared" si="7"/>
        <v>2</v>
      </c>
    </row>
    <row r="352" spans="2:18" x14ac:dyDescent="0.25">
      <c r="B352" s="48">
        <f>+'Metrics - Articles'!C351</f>
        <v>42349</v>
      </c>
      <c r="C352">
        <f>COUNTIF('Metrics - Articles'!F351,"*GPO (Partner, Ecosystem, Channels)*")</f>
        <v>0</v>
      </c>
      <c r="D352">
        <f>COUNTIF('Metrics - Articles'!F351,"*Office of the CEO*")</f>
        <v>0</v>
      </c>
      <c r="E352">
        <f>COUNTIF('Metrics - Articles'!F351,"*Services Delivery &amp; Support (go-lives and deployments) *")</f>
        <v>0</v>
      </c>
      <c r="F352">
        <f>COUNTIF('Metrics - Articles'!F351,"*Human Resources (SAP HR and employee stories)*")</f>
        <v>1</v>
      </c>
      <c r="G352">
        <f>COUNTIF('Metrics - Articles'!F351,"*P&amp;I (Research &amp; Development)*")</f>
        <v>0</v>
      </c>
      <c r="H352">
        <f>COUNTIF('Metrics - Articles'!F351,"*Business Network (Concur, Ariba, Fieldglass)*")</f>
        <v>0</v>
      </c>
      <c r="I352">
        <f>COUNTIF('Metrics - Articles'!F351,"*GCO – Regions*")</f>
        <v>0</v>
      </c>
      <c r="J352">
        <f>COUNTIF('Metrics - Articles'!F351,"*GCO – Platform Solutions*")</f>
        <v>0</v>
      </c>
      <c r="K352">
        <f>COUNTIF('Metrics - Articles'!F351,"*GCO – Industry Cloud *")</f>
        <v>0</v>
      </c>
      <c r="L352">
        <f>COUNTIF('Metrics - Articles'!F351,"*GCO – Customer Engagement &amp; Commerce (CRM &amp; hybris) *")</f>
        <v>0</v>
      </c>
      <c r="M352">
        <f>COUNTIF('Metrics - Articles'!F351,"*GCO – HR (SuccessFactors)*")</f>
        <v>0</v>
      </c>
      <c r="N352">
        <f>COUNTIF('Metrics - Articles'!F351,"*GCO – Services Sales*")</f>
        <v>0</v>
      </c>
      <c r="O352">
        <f>COUNTIF('Metrics - Articles'!F351,"*GCO – Other*")</f>
        <v>0</v>
      </c>
      <c r="P352">
        <f>COUNTIF('Metrics - Articles'!F351,"*Corporate*")</f>
        <v>0</v>
      </c>
      <c r="R352" s="53">
        <f t="shared" si="7"/>
        <v>1</v>
      </c>
    </row>
    <row r="353" spans="2:18" x14ac:dyDescent="0.25">
      <c r="B353" s="48">
        <f>+'Metrics - Articles'!C352</f>
        <v>42351</v>
      </c>
      <c r="C353">
        <f>COUNTIF('Metrics - Articles'!F352,"*GPO (Partner, Ecosystem, Channels)*")</f>
        <v>0</v>
      </c>
      <c r="D353">
        <f>COUNTIF('Metrics - Articles'!F352,"*Office of the CEO*")</f>
        <v>0</v>
      </c>
      <c r="E353">
        <f>COUNTIF('Metrics - Articles'!F352,"*Services Delivery &amp; Support (go-lives and deployments) *")</f>
        <v>0</v>
      </c>
      <c r="F353">
        <f>COUNTIF('Metrics - Articles'!F352,"*Human Resources (SAP HR and employee stories)*")</f>
        <v>0</v>
      </c>
      <c r="G353">
        <f>COUNTIF('Metrics - Articles'!F352,"*P&amp;I (Research &amp; Development)*")</f>
        <v>0</v>
      </c>
      <c r="H353">
        <f>COUNTIF('Metrics - Articles'!F352,"*Business Network (Concur, Ariba, Fieldglass)*")</f>
        <v>0</v>
      </c>
      <c r="I353">
        <f>COUNTIF('Metrics - Articles'!F352,"*GCO – Regions*")</f>
        <v>0</v>
      </c>
      <c r="J353">
        <f>COUNTIF('Metrics - Articles'!F352,"*GCO – Platform Solutions*")</f>
        <v>0</v>
      </c>
      <c r="K353">
        <f>COUNTIF('Metrics - Articles'!F352,"*GCO – Industry Cloud *")</f>
        <v>0</v>
      </c>
      <c r="L353">
        <f>COUNTIF('Metrics - Articles'!F352,"*GCO – Customer Engagement &amp; Commerce (CRM &amp; hybris) *")</f>
        <v>0</v>
      </c>
      <c r="M353">
        <f>COUNTIF('Metrics - Articles'!F352,"*GCO – HR (SuccessFactors)*")</f>
        <v>0</v>
      </c>
      <c r="N353">
        <f>COUNTIF('Metrics - Articles'!F352,"*GCO – Services Sales*")</f>
        <v>0</v>
      </c>
      <c r="O353">
        <f>COUNTIF('Metrics - Articles'!F352,"*GCO – Other*")</f>
        <v>0</v>
      </c>
      <c r="P353">
        <f>COUNTIF('Metrics - Articles'!F352,"*Corporate*")</f>
        <v>1</v>
      </c>
      <c r="R353" s="53">
        <f t="shared" si="7"/>
        <v>1</v>
      </c>
    </row>
    <row r="354" spans="2:18" x14ac:dyDescent="0.25">
      <c r="B354" s="48">
        <f>+'Metrics - Articles'!C353</f>
        <v>42352</v>
      </c>
      <c r="C354">
        <f>COUNTIF('Metrics - Articles'!F353,"*GPO (Partner, Ecosystem, Channels)*")</f>
        <v>0</v>
      </c>
      <c r="D354">
        <f>COUNTIF('Metrics - Articles'!F353,"*Office of the CEO*")</f>
        <v>0</v>
      </c>
      <c r="E354">
        <f>COUNTIF('Metrics - Articles'!F353,"*Services Delivery &amp; Support (go-lives and deployments) *")</f>
        <v>0</v>
      </c>
      <c r="F354">
        <f>COUNTIF('Metrics - Articles'!F353,"*Human Resources (SAP HR and employee stories)*")</f>
        <v>0</v>
      </c>
      <c r="G354">
        <f>COUNTIF('Metrics - Articles'!F353,"*P&amp;I (Research &amp; Development)*")</f>
        <v>0</v>
      </c>
      <c r="H354">
        <f>COUNTIF('Metrics - Articles'!F353,"*Business Network (Concur, Ariba, Fieldglass)*")</f>
        <v>0</v>
      </c>
      <c r="I354">
        <f>COUNTIF('Metrics - Articles'!F353,"*GCO – Regions*")</f>
        <v>0</v>
      </c>
      <c r="J354">
        <f>COUNTIF('Metrics - Articles'!F353,"*GCO – Platform Solutions*")</f>
        <v>0</v>
      </c>
      <c r="K354">
        <f>COUNTIF('Metrics - Articles'!F353,"*GCO – Industry Cloud *")</f>
        <v>1</v>
      </c>
      <c r="L354">
        <f>COUNTIF('Metrics - Articles'!F353,"*GCO – Customer Engagement &amp; Commerce (CRM &amp; hybris) *")</f>
        <v>0</v>
      </c>
      <c r="M354">
        <f>COUNTIF('Metrics - Articles'!F353,"*GCO – HR (SuccessFactors)*")</f>
        <v>0</v>
      </c>
      <c r="N354">
        <f>COUNTIF('Metrics - Articles'!F353,"*GCO – Services Sales*")</f>
        <v>0</v>
      </c>
      <c r="O354">
        <f>COUNTIF('Metrics - Articles'!F353,"*GCO – Other*")</f>
        <v>0</v>
      </c>
      <c r="P354">
        <f>COUNTIF('Metrics - Articles'!F353,"*Corporate*")</f>
        <v>0</v>
      </c>
      <c r="R354" s="53">
        <f t="shared" si="7"/>
        <v>1</v>
      </c>
    </row>
    <row r="355" spans="2:18" x14ac:dyDescent="0.25">
      <c r="B355" s="48">
        <f>+'Metrics - Articles'!C354</f>
        <v>42353</v>
      </c>
      <c r="C355">
        <f>COUNTIF('Metrics - Articles'!F354,"*GPO (Partner, Ecosystem, Channels)*")</f>
        <v>0</v>
      </c>
      <c r="D355">
        <f>COUNTIF('Metrics - Articles'!F354,"*Office of the CEO*")</f>
        <v>1</v>
      </c>
      <c r="E355">
        <f>COUNTIF('Metrics - Articles'!F354,"*Services Delivery &amp; Support (go-lives and deployments) *")</f>
        <v>0</v>
      </c>
      <c r="F355">
        <f>COUNTIF('Metrics - Articles'!F354,"*Human Resources (SAP HR and employee stories)*")</f>
        <v>1</v>
      </c>
      <c r="G355">
        <f>COUNTIF('Metrics - Articles'!F354,"*P&amp;I (Research &amp; Development)*")</f>
        <v>0</v>
      </c>
      <c r="H355">
        <f>COUNTIF('Metrics - Articles'!F354,"*Business Network (Concur, Ariba, Fieldglass)*")</f>
        <v>0</v>
      </c>
      <c r="I355">
        <f>COUNTIF('Metrics - Articles'!F354,"*GCO – Regions*")</f>
        <v>1</v>
      </c>
      <c r="J355">
        <f>COUNTIF('Metrics - Articles'!F354,"*GCO – Platform Solutions*")</f>
        <v>0</v>
      </c>
      <c r="K355">
        <f>COUNTIF('Metrics - Articles'!F354,"*GCO – Industry Cloud *")</f>
        <v>1</v>
      </c>
      <c r="L355">
        <f>COUNTIF('Metrics - Articles'!F354,"*GCO – Customer Engagement &amp; Commerce (CRM &amp; hybris) *")</f>
        <v>0</v>
      </c>
      <c r="M355">
        <f>COUNTIF('Metrics - Articles'!F354,"*GCO – HR (SuccessFactors)*")</f>
        <v>0</v>
      </c>
      <c r="N355">
        <f>COUNTIF('Metrics - Articles'!F354,"*GCO – Services Sales*")</f>
        <v>0</v>
      </c>
      <c r="O355">
        <f>COUNTIF('Metrics - Articles'!F354,"*GCO – Other*")</f>
        <v>0</v>
      </c>
      <c r="P355">
        <f>COUNTIF('Metrics - Articles'!F354,"*Corporate*")</f>
        <v>0</v>
      </c>
      <c r="R355" s="53">
        <f t="shared" si="7"/>
        <v>4</v>
      </c>
    </row>
    <row r="356" spans="2:18" x14ac:dyDescent="0.25">
      <c r="B356" s="48">
        <f>+'Metrics - Articles'!C355</f>
        <v>42353</v>
      </c>
      <c r="C356">
        <f>COUNTIF('Metrics - Articles'!F355,"*GPO (Partner, Ecosystem, Channels)*")</f>
        <v>0</v>
      </c>
      <c r="D356">
        <f>COUNTIF('Metrics - Articles'!F355,"*Office of the CEO*")</f>
        <v>1</v>
      </c>
      <c r="E356">
        <f>COUNTIF('Metrics - Articles'!F355,"*Services Delivery &amp; Support (go-lives and deployments) *")</f>
        <v>0</v>
      </c>
      <c r="F356">
        <f>COUNTIF('Metrics - Articles'!F355,"*Human Resources (SAP HR and employee stories)*")</f>
        <v>1</v>
      </c>
      <c r="G356">
        <f>COUNTIF('Metrics - Articles'!F355,"*P&amp;I (Research &amp; Development)*")</f>
        <v>0</v>
      </c>
      <c r="H356">
        <f>COUNTIF('Metrics - Articles'!F355,"*Business Network (Concur, Ariba, Fieldglass)*")</f>
        <v>0</v>
      </c>
      <c r="I356">
        <f>COUNTIF('Metrics - Articles'!F355,"*GCO – Regions*")</f>
        <v>1</v>
      </c>
      <c r="J356">
        <f>COUNTIF('Metrics - Articles'!F355,"*GCO – Platform Solutions*")</f>
        <v>1</v>
      </c>
      <c r="K356">
        <f>COUNTIF('Metrics - Articles'!F355,"*GCO – Industry Cloud *")</f>
        <v>0</v>
      </c>
      <c r="L356">
        <f>COUNTIF('Metrics - Articles'!F355,"*GCO – Customer Engagement &amp; Commerce (CRM &amp; hybris) *")</f>
        <v>0</v>
      </c>
      <c r="M356">
        <f>COUNTIF('Metrics - Articles'!F355,"*GCO – HR (SuccessFactors)*")</f>
        <v>0</v>
      </c>
      <c r="N356">
        <f>COUNTIF('Metrics - Articles'!F355,"*GCO – Services Sales*")</f>
        <v>0</v>
      </c>
      <c r="O356">
        <f>COUNTIF('Metrics - Articles'!F355,"*GCO – Other*")</f>
        <v>0</v>
      </c>
      <c r="P356">
        <f>COUNTIF('Metrics - Articles'!F355,"*Corporate*")</f>
        <v>0</v>
      </c>
      <c r="R356" s="53">
        <f t="shared" si="7"/>
        <v>4</v>
      </c>
    </row>
    <row r="357" spans="2:18" x14ac:dyDescent="0.25">
      <c r="B357" s="48">
        <f>+'Metrics - Articles'!C356</f>
        <v>42354</v>
      </c>
      <c r="C357">
        <f>COUNTIF('Metrics - Articles'!F356,"*GPO (Partner, Ecosystem, Channels)*")</f>
        <v>0</v>
      </c>
      <c r="D357">
        <f>COUNTIF('Metrics - Articles'!F356,"*Office of the CEO*")</f>
        <v>0</v>
      </c>
      <c r="E357">
        <f>COUNTIF('Metrics - Articles'!F356,"*Services Delivery &amp; Support (go-lives and deployments) *")</f>
        <v>1</v>
      </c>
      <c r="F357">
        <f>COUNTIF('Metrics - Articles'!F356,"*Human Resources (SAP HR and employee stories)*")</f>
        <v>0</v>
      </c>
      <c r="G357">
        <f>COUNTIF('Metrics - Articles'!F356,"*P&amp;I (Research &amp; Development)*")</f>
        <v>0</v>
      </c>
      <c r="H357">
        <f>COUNTIF('Metrics - Articles'!F356,"*Business Network (Concur, Ariba, Fieldglass)*")</f>
        <v>0</v>
      </c>
      <c r="I357">
        <f>COUNTIF('Metrics - Articles'!F356,"*GCO – Regions*")</f>
        <v>0</v>
      </c>
      <c r="J357">
        <f>COUNTIF('Metrics - Articles'!F356,"*GCO – Platform Solutions*")</f>
        <v>0</v>
      </c>
      <c r="K357">
        <f>COUNTIF('Metrics - Articles'!F356,"*GCO – Industry Cloud *")</f>
        <v>1</v>
      </c>
      <c r="L357">
        <f>COUNTIF('Metrics - Articles'!F356,"*GCO – Customer Engagement &amp; Commerce (CRM &amp; hybris) *")</f>
        <v>0</v>
      </c>
      <c r="M357">
        <f>COUNTIF('Metrics - Articles'!F356,"*GCO – HR (SuccessFactors)*")</f>
        <v>0</v>
      </c>
      <c r="N357">
        <f>COUNTIF('Metrics - Articles'!F356,"*GCO – Services Sales*")</f>
        <v>0</v>
      </c>
      <c r="O357">
        <f>COUNTIF('Metrics - Articles'!F356,"*GCO – Other*")</f>
        <v>0</v>
      </c>
      <c r="P357">
        <f>COUNTIF('Metrics - Articles'!F356,"*Corporate*")</f>
        <v>0</v>
      </c>
      <c r="R357" s="53">
        <f t="shared" si="7"/>
        <v>2</v>
      </c>
    </row>
    <row r="358" spans="2:18" x14ac:dyDescent="0.25">
      <c r="B358" s="48">
        <f>+'Metrics - Articles'!C357</f>
        <v>42355</v>
      </c>
      <c r="C358">
        <f>COUNTIF('Metrics - Articles'!F357,"*GPO (Partner, Ecosystem, Channels)*")</f>
        <v>0</v>
      </c>
      <c r="D358">
        <f>COUNTIF('Metrics - Articles'!F357,"*Office of the CEO*")</f>
        <v>0</v>
      </c>
      <c r="E358">
        <f>COUNTIF('Metrics - Articles'!F357,"*Services Delivery &amp; Support (go-lives and deployments) *")</f>
        <v>0</v>
      </c>
      <c r="F358">
        <f>COUNTIF('Metrics - Articles'!F357,"*Human Resources (SAP HR and employee stories)*")</f>
        <v>1</v>
      </c>
      <c r="G358">
        <f>COUNTIF('Metrics - Articles'!F357,"*P&amp;I (Research &amp; Development)*")</f>
        <v>0</v>
      </c>
      <c r="H358">
        <f>COUNTIF('Metrics - Articles'!F357,"*Business Network (Concur, Ariba, Fieldglass)*")</f>
        <v>0</v>
      </c>
      <c r="I358">
        <f>COUNTIF('Metrics - Articles'!F357,"*GCO – Regions*")</f>
        <v>1</v>
      </c>
      <c r="J358">
        <f>COUNTIF('Metrics - Articles'!F357,"*GCO – Platform Solutions*")</f>
        <v>0</v>
      </c>
      <c r="K358">
        <f>COUNTIF('Metrics - Articles'!F357,"*GCO – Industry Cloud *")</f>
        <v>0</v>
      </c>
      <c r="L358">
        <f>COUNTIF('Metrics - Articles'!F357,"*GCO – Customer Engagement &amp; Commerce (CRM &amp; hybris) *")</f>
        <v>0</v>
      </c>
      <c r="M358">
        <f>COUNTIF('Metrics - Articles'!F357,"*GCO – HR (SuccessFactors)*")</f>
        <v>0</v>
      </c>
      <c r="N358">
        <f>COUNTIF('Metrics - Articles'!F357,"*GCO – Services Sales*")</f>
        <v>0</v>
      </c>
      <c r="O358">
        <f>COUNTIF('Metrics - Articles'!F357,"*GCO – Other*")</f>
        <v>0</v>
      </c>
      <c r="P358">
        <f>COUNTIF('Metrics - Articles'!F357,"*Corporate*")</f>
        <v>0</v>
      </c>
      <c r="R358" s="53">
        <f t="shared" si="7"/>
        <v>2</v>
      </c>
    </row>
    <row r="359" spans="2:18" x14ac:dyDescent="0.25">
      <c r="B359" s="48">
        <f>+'Metrics - Articles'!C358</f>
        <v>42361</v>
      </c>
      <c r="C359">
        <f>COUNTIF('Metrics - Articles'!F358,"*GPO (Partner, Ecosystem, Channels)*")</f>
        <v>0</v>
      </c>
      <c r="D359">
        <f>COUNTIF('Metrics - Articles'!F358,"*Office of the CEO*")</f>
        <v>0</v>
      </c>
      <c r="E359">
        <f>COUNTIF('Metrics - Articles'!F358,"*Services Delivery &amp; Support (go-lives and deployments) *")</f>
        <v>0</v>
      </c>
      <c r="F359">
        <f>COUNTIF('Metrics - Articles'!F358,"*Human Resources (SAP HR and employee stories)*")</f>
        <v>1</v>
      </c>
      <c r="G359">
        <f>COUNTIF('Metrics - Articles'!F358,"*P&amp;I (Research &amp; Development)*")</f>
        <v>0</v>
      </c>
      <c r="H359">
        <f>COUNTIF('Metrics - Articles'!F358,"*Business Network (Concur, Ariba, Fieldglass)*")</f>
        <v>0</v>
      </c>
      <c r="I359">
        <f>COUNTIF('Metrics - Articles'!F358,"*GCO – Regions*")</f>
        <v>0</v>
      </c>
      <c r="J359">
        <f>COUNTIF('Metrics - Articles'!F358,"*GCO – Platform Solutions*")</f>
        <v>0</v>
      </c>
      <c r="K359">
        <f>COUNTIF('Metrics - Articles'!F358,"*GCO – Industry Cloud *")</f>
        <v>0</v>
      </c>
      <c r="L359">
        <f>COUNTIF('Metrics - Articles'!F358,"*GCO – Customer Engagement &amp; Commerce (CRM &amp; hybris) *")</f>
        <v>0</v>
      </c>
      <c r="M359">
        <f>COUNTIF('Metrics - Articles'!F358,"*GCO – HR (SuccessFactors)*")</f>
        <v>0</v>
      </c>
      <c r="N359">
        <f>COUNTIF('Metrics - Articles'!F358,"*GCO – Services Sales*")</f>
        <v>0</v>
      </c>
      <c r="O359">
        <f>COUNTIF('Metrics - Articles'!F358,"*GCO – Other*")</f>
        <v>0</v>
      </c>
      <c r="P359">
        <f>COUNTIF('Metrics - Articles'!F358,"*Corporate*")</f>
        <v>0</v>
      </c>
      <c r="R359" s="53">
        <f t="shared" si="7"/>
        <v>1</v>
      </c>
    </row>
    <row r="360" spans="2:18" x14ac:dyDescent="0.25">
      <c r="B360" s="48">
        <f>+'Metrics - Articles'!C359</f>
        <v>42361</v>
      </c>
      <c r="C360">
        <f>COUNTIF('Metrics - Articles'!F359,"*GPO (Partner, Ecosystem, Channels)*")</f>
        <v>0</v>
      </c>
      <c r="D360">
        <f>COUNTIF('Metrics - Articles'!F359,"*Office of the CEO*")</f>
        <v>0</v>
      </c>
      <c r="E360">
        <f>COUNTIF('Metrics - Articles'!F359,"*Services Delivery &amp; Support (go-lives and deployments) *")</f>
        <v>0</v>
      </c>
      <c r="F360">
        <f>COUNTIF('Metrics - Articles'!F359,"*Human Resources (SAP HR and employee stories)*")</f>
        <v>0</v>
      </c>
      <c r="G360">
        <f>COUNTIF('Metrics - Articles'!F359,"*P&amp;I (Research &amp; Development)*")</f>
        <v>0</v>
      </c>
      <c r="H360">
        <f>COUNTIF('Metrics - Articles'!F359,"*Business Network (Concur, Ariba, Fieldglass)*")</f>
        <v>0</v>
      </c>
      <c r="I360">
        <f>COUNTIF('Metrics - Articles'!F359,"*GCO – Regions*")</f>
        <v>1</v>
      </c>
      <c r="J360">
        <f>COUNTIF('Metrics - Articles'!F359,"*GCO – Platform Solutions*")</f>
        <v>0</v>
      </c>
      <c r="K360">
        <f>COUNTIF('Metrics - Articles'!F359,"*GCO – Industry Cloud *")</f>
        <v>0</v>
      </c>
      <c r="L360">
        <f>COUNTIF('Metrics - Articles'!F359,"*GCO – Customer Engagement &amp; Commerce (CRM &amp; hybris) *")</f>
        <v>0</v>
      </c>
      <c r="M360">
        <f>COUNTIF('Metrics - Articles'!F359,"*GCO – HR (SuccessFactors)*")</f>
        <v>0</v>
      </c>
      <c r="N360">
        <f>COUNTIF('Metrics - Articles'!F359,"*GCO – Services Sales*")</f>
        <v>0</v>
      </c>
      <c r="O360">
        <f>COUNTIF('Metrics - Articles'!F359,"*GCO – Other*")</f>
        <v>0</v>
      </c>
      <c r="P360">
        <f>COUNTIF('Metrics - Articles'!F359,"*Corporate*")</f>
        <v>0</v>
      </c>
      <c r="R360" s="53">
        <f t="shared" si="7"/>
        <v>1</v>
      </c>
    </row>
    <row r="361" spans="2:18" x14ac:dyDescent="0.25">
      <c r="B361" s="48">
        <f>+'Metrics - Articles'!C360</f>
        <v>0</v>
      </c>
      <c r="C361">
        <f>COUNTIF('Metrics - Articles'!F360,"*GPO (Partner, Ecosystem, Channels)*")</f>
        <v>0</v>
      </c>
      <c r="D361">
        <f>COUNTIF('Metrics - Articles'!F360,"*Office of the CEO*")</f>
        <v>0</v>
      </c>
      <c r="E361">
        <f>COUNTIF('Metrics - Articles'!F360,"*Services Delivery &amp; Support (go-lives and deployments) *")</f>
        <v>0</v>
      </c>
      <c r="F361">
        <f>COUNTIF('Metrics - Articles'!F360,"*Human Resources (SAP HR and employee stories)*")</f>
        <v>0</v>
      </c>
      <c r="G361">
        <f>COUNTIF('Metrics - Articles'!F360,"*P&amp;I (Research &amp; Development)*")</f>
        <v>0</v>
      </c>
      <c r="H361">
        <f>COUNTIF('Metrics - Articles'!F360,"*Business Network (Concur, Ariba, Fieldglass)*")</f>
        <v>0</v>
      </c>
      <c r="I361">
        <f>COUNTIF('Metrics - Articles'!F360,"*GCO – Regions*")</f>
        <v>0</v>
      </c>
      <c r="J361">
        <f>COUNTIF('Metrics - Articles'!F360,"*GCO – Platform Solutions*")</f>
        <v>0</v>
      </c>
      <c r="K361">
        <f>COUNTIF('Metrics - Articles'!F360,"*GCO – Industry Cloud *")</f>
        <v>0</v>
      </c>
      <c r="L361">
        <f>COUNTIF('Metrics - Articles'!F360,"*GCO – Customer Engagement &amp; Commerce (CRM &amp; hybris) *")</f>
        <v>0</v>
      </c>
      <c r="M361">
        <f>COUNTIF('Metrics - Articles'!F360,"*GCO – HR (SuccessFactors)*")</f>
        <v>0</v>
      </c>
      <c r="N361">
        <f>COUNTIF('Metrics - Articles'!F360,"*GCO – Services Sales*")</f>
        <v>0</v>
      </c>
      <c r="O361">
        <f>COUNTIF('Metrics - Articles'!F360,"*GCO – Other*")</f>
        <v>0</v>
      </c>
      <c r="P361">
        <f>COUNTIF('Metrics - Articles'!F360,"*Corporate*")</f>
        <v>0</v>
      </c>
      <c r="R361" s="53">
        <f t="shared" si="7"/>
        <v>0</v>
      </c>
    </row>
    <row r="362" spans="2:18" x14ac:dyDescent="0.25">
      <c r="B362" s="48">
        <f>+'Metrics - Articles'!C361</f>
        <v>0</v>
      </c>
      <c r="C362">
        <f>COUNTIF('Metrics - Articles'!F361,"*GPO (Partner, Ecosystem, Channels)*")</f>
        <v>0</v>
      </c>
      <c r="D362">
        <f>COUNTIF('Metrics - Articles'!F361,"*Office of the CEO*")</f>
        <v>0</v>
      </c>
      <c r="E362">
        <f>COUNTIF('Metrics - Articles'!F361,"*Services Delivery &amp; Support (go-lives and deployments) *")</f>
        <v>0</v>
      </c>
      <c r="F362">
        <f>COUNTIF('Metrics - Articles'!F361,"*Human Resources (SAP HR and employee stories)*")</f>
        <v>0</v>
      </c>
      <c r="G362">
        <f>COUNTIF('Metrics - Articles'!F361,"*P&amp;I (Research &amp; Development)*")</f>
        <v>0</v>
      </c>
      <c r="H362">
        <f>COUNTIF('Metrics - Articles'!F361,"*Business Network (Concur, Ariba, Fieldglass)*")</f>
        <v>0</v>
      </c>
      <c r="I362">
        <f>COUNTIF('Metrics - Articles'!F361,"*GCO – Regions*")</f>
        <v>0</v>
      </c>
      <c r="J362">
        <f>COUNTIF('Metrics - Articles'!F361,"*GCO – Platform Solutions*")</f>
        <v>0</v>
      </c>
      <c r="K362">
        <f>COUNTIF('Metrics - Articles'!F361,"*GCO – Industry Cloud *")</f>
        <v>0</v>
      </c>
      <c r="L362">
        <f>COUNTIF('Metrics - Articles'!F361,"*GCO – Customer Engagement &amp; Commerce (CRM &amp; hybris) *")</f>
        <v>0</v>
      </c>
      <c r="M362">
        <f>COUNTIF('Metrics - Articles'!F361,"*GCO – HR (SuccessFactors)*")</f>
        <v>0</v>
      </c>
      <c r="N362">
        <f>COUNTIF('Metrics - Articles'!F361,"*GCO – Services Sales*")</f>
        <v>0</v>
      </c>
      <c r="O362">
        <f>COUNTIF('Metrics - Articles'!F361,"*GCO – Other*")</f>
        <v>0</v>
      </c>
      <c r="P362">
        <f>COUNTIF('Metrics - Articles'!F361,"*Corporate*")</f>
        <v>0</v>
      </c>
      <c r="R362" s="53">
        <f t="shared" si="7"/>
        <v>0</v>
      </c>
    </row>
    <row r="363" spans="2:18" hidden="1" x14ac:dyDescent="0.25">
      <c r="B363" s="48">
        <f>+'Metrics - Articles'!C360</f>
        <v>0</v>
      </c>
      <c r="C363">
        <f>COUNTIF('Metrics - Articles'!F360,"*GPO (Partner, Ecosystem, Channels)*")</f>
        <v>0</v>
      </c>
      <c r="D363">
        <f>COUNTIF('Metrics - Articles'!F360,"*Office of the CEO*")</f>
        <v>0</v>
      </c>
      <c r="E363">
        <f>COUNTIF('Metrics - Articles'!F360,"*Services Delivery &amp; Support (go-lives and deployments) *")</f>
        <v>0</v>
      </c>
      <c r="F363">
        <f>COUNTIF('Metrics - Articles'!F360,"*Human Resources (SAP HR and employee stories)*")</f>
        <v>0</v>
      </c>
      <c r="G363">
        <f>COUNTIF('Metrics - Articles'!F360,"*P&amp;I (Research &amp; Development)*")</f>
        <v>0</v>
      </c>
      <c r="H363">
        <f>COUNTIF('Metrics - Articles'!F360,"*Business Network (Concur, Ariba, Fieldglass)*")</f>
        <v>0</v>
      </c>
      <c r="I363">
        <f>COUNTIF('Metrics - Articles'!F360,"*GCO – Regions*")</f>
        <v>0</v>
      </c>
      <c r="J363">
        <f>COUNTIF('Metrics - Articles'!F360,"*GCO – Platform Solutions*")</f>
        <v>0</v>
      </c>
      <c r="K363">
        <f>COUNTIF('Metrics - Articles'!F360,"*GCO – Industry Cloud *")</f>
        <v>0</v>
      </c>
      <c r="L363">
        <f>COUNTIF('Metrics - Articles'!F360,"*GCO – Customer Engagement &amp; Commerce (CRM &amp; hybris) *")</f>
        <v>0</v>
      </c>
      <c r="M363">
        <f>COUNTIF('Metrics - Articles'!F360,"*GCO – HR (SuccessFactors)*")</f>
        <v>0</v>
      </c>
      <c r="N363">
        <f>COUNTIF('Metrics - Articles'!F360,"*GCO – Services Sales*")</f>
        <v>0</v>
      </c>
      <c r="O363">
        <f>COUNTIF('Metrics - Articles'!F360,"*GCO – Other*")</f>
        <v>0</v>
      </c>
      <c r="P363">
        <f>COUNTIF('Metrics - Articles'!F360,"*Corporate*")</f>
        <v>0</v>
      </c>
      <c r="R363" s="53">
        <f t="shared" si="7"/>
        <v>0</v>
      </c>
    </row>
    <row r="364" spans="2:18" hidden="1" x14ac:dyDescent="0.25">
      <c r="B364" s="48">
        <f>+'Metrics - Articles'!C361</f>
        <v>0</v>
      </c>
      <c r="C364">
        <f>COUNTIF('Metrics - Articles'!F361,"*GPO (Partner, Ecosystem, Channels)*")</f>
        <v>0</v>
      </c>
      <c r="D364">
        <f>COUNTIF('Metrics - Articles'!F361,"*Office of the CEO*")</f>
        <v>0</v>
      </c>
      <c r="E364">
        <f>COUNTIF('Metrics - Articles'!F361,"*Services Delivery &amp; Support (go-lives and deployments) *")</f>
        <v>0</v>
      </c>
      <c r="F364">
        <f>COUNTIF('Metrics - Articles'!F361,"*Human Resources (SAP HR and employee stories)*")</f>
        <v>0</v>
      </c>
      <c r="G364">
        <f>COUNTIF('Metrics - Articles'!F361,"*P&amp;I (Research &amp; Development)*")</f>
        <v>0</v>
      </c>
      <c r="H364">
        <f>COUNTIF('Metrics - Articles'!F361,"*Business Network (Concur, Ariba, Fieldglass)*")</f>
        <v>0</v>
      </c>
      <c r="I364">
        <f>COUNTIF('Metrics - Articles'!F361,"*GCO – Regions*")</f>
        <v>0</v>
      </c>
      <c r="J364">
        <f>COUNTIF('Metrics - Articles'!F361,"*GCO – Platform Solutions*")</f>
        <v>0</v>
      </c>
      <c r="K364">
        <f>COUNTIF('Metrics - Articles'!F361,"*GCO – Industry Cloud *")</f>
        <v>0</v>
      </c>
      <c r="L364">
        <f>COUNTIF('Metrics - Articles'!F361,"*GCO – Customer Engagement &amp; Commerce (CRM &amp; hybris) *")</f>
        <v>0</v>
      </c>
      <c r="M364">
        <f>COUNTIF('Metrics - Articles'!F361,"*GCO – HR (SuccessFactors)*")</f>
        <v>0</v>
      </c>
      <c r="N364">
        <f>COUNTIF('Metrics - Articles'!F361,"*GCO – Services Sales*")</f>
        <v>0</v>
      </c>
      <c r="O364">
        <f>COUNTIF('Metrics - Articles'!F361,"*GCO – Other*")</f>
        <v>0</v>
      </c>
      <c r="P364">
        <f>COUNTIF('Metrics - Articles'!F361,"*Corporate*")</f>
        <v>0</v>
      </c>
      <c r="R364" s="53">
        <f t="shared" si="7"/>
        <v>0</v>
      </c>
    </row>
    <row r="365" spans="2:18" hidden="1" x14ac:dyDescent="0.25">
      <c r="B365" s="48">
        <f>+'Metrics - Articles'!C362</f>
        <v>0</v>
      </c>
      <c r="C365">
        <f>COUNTIF('Metrics - Articles'!F362,"*GPO (Partner, Ecosystem, Channels)*")</f>
        <v>0</v>
      </c>
      <c r="D365">
        <f>COUNTIF('Metrics - Articles'!F362,"*Office of the CEO*")</f>
        <v>0</v>
      </c>
      <c r="E365">
        <f>COUNTIF('Metrics - Articles'!F362,"*Services Delivery &amp; Support (go-lives and deployments) *")</f>
        <v>0</v>
      </c>
      <c r="F365">
        <f>COUNTIF('Metrics - Articles'!F362,"*Human Resources (SAP HR and employee stories)*")</f>
        <v>0</v>
      </c>
      <c r="G365">
        <f>COUNTIF('Metrics - Articles'!F362,"*P&amp;I (Research &amp; Development)*")</f>
        <v>0</v>
      </c>
      <c r="H365">
        <f>COUNTIF('Metrics - Articles'!F362,"*Business Network (Concur, Ariba, Fieldglass)*")</f>
        <v>0</v>
      </c>
      <c r="I365">
        <f>COUNTIF('Metrics - Articles'!F362,"*GCO – Regions*")</f>
        <v>0</v>
      </c>
      <c r="J365">
        <f>COUNTIF('Metrics - Articles'!F362,"*GCO – Platform Solutions*")</f>
        <v>0</v>
      </c>
      <c r="K365">
        <f>COUNTIF('Metrics - Articles'!F362,"*GCO – Industry Cloud *")</f>
        <v>0</v>
      </c>
      <c r="L365">
        <f>COUNTIF('Metrics - Articles'!F362,"*GCO – Customer Engagement &amp; Commerce (CRM &amp; hybris) *")</f>
        <v>0</v>
      </c>
      <c r="M365">
        <f>COUNTIF('Metrics - Articles'!F362,"*GCO – HR (SuccessFactors)*")</f>
        <v>0</v>
      </c>
      <c r="N365">
        <f>COUNTIF('Metrics - Articles'!F362,"*GCO – Services Sales*")</f>
        <v>0</v>
      </c>
      <c r="O365">
        <f>COUNTIF('Metrics - Articles'!F362,"*GCO – Other*")</f>
        <v>0</v>
      </c>
      <c r="P365">
        <f>COUNTIF('Metrics - Articles'!F362,"*Corporate*")</f>
        <v>0</v>
      </c>
      <c r="R365" s="53">
        <f t="shared" si="7"/>
        <v>0</v>
      </c>
    </row>
    <row r="366" spans="2:18" hidden="1" x14ac:dyDescent="0.25">
      <c r="B366" s="48">
        <f>+'Metrics - Articles'!C363</f>
        <v>0</v>
      </c>
      <c r="C366">
        <f>COUNTIF('Metrics - Articles'!F363,"*GPO (Partner, Ecosystem, Channels)*")</f>
        <v>0</v>
      </c>
      <c r="D366">
        <f>COUNTIF('Metrics - Articles'!F363,"*Office of the CEO*")</f>
        <v>0</v>
      </c>
      <c r="E366">
        <f>COUNTIF('Metrics - Articles'!F363,"*Services Delivery &amp; Support (go-lives and deployments) *")</f>
        <v>0</v>
      </c>
      <c r="F366">
        <f>COUNTIF('Metrics - Articles'!F363,"*Human Resources (SAP HR and employee stories)*")</f>
        <v>0</v>
      </c>
      <c r="G366">
        <f>COUNTIF('Metrics - Articles'!F363,"*P&amp;I (Research &amp; Development)*")</f>
        <v>0</v>
      </c>
      <c r="H366">
        <f>COUNTIF('Metrics - Articles'!F363,"*Business Network (Concur, Ariba, Fieldglass)*")</f>
        <v>0</v>
      </c>
      <c r="I366">
        <f>COUNTIF('Metrics - Articles'!F363,"*GCO – Regions*")</f>
        <v>0</v>
      </c>
      <c r="J366">
        <f>COUNTIF('Metrics - Articles'!F363,"*GCO – Platform Solutions*")</f>
        <v>0</v>
      </c>
      <c r="K366">
        <f>COUNTIF('Metrics - Articles'!F363,"*GCO – Industry Cloud *")</f>
        <v>0</v>
      </c>
      <c r="L366">
        <f>COUNTIF('Metrics - Articles'!F363,"*GCO – Customer Engagement &amp; Commerce (CRM &amp; hybris) *")</f>
        <v>0</v>
      </c>
      <c r="M366">
        <f>COUNTIF('Metrics - Articles'!F363,"*GCO – HR (SuccessFactors)*")</f>
        <v>0</v>
      </c>
      <c r="N366">
        <f>COUNTIF('Metrics - Articles'!F363,"*GCO – Services Sales*")</f>
        <v>0</v>
      </c>
      <c r="O366">
        <f>COUNTIF('Metrics - Articles'!F363,"*GCO – Other*")</f>
        <v>0</v>
      </c>
      <c r="P366">
        <f>COUNTIF('Metrics - Articles'!F363,"*Corporate*")</f>
        <v>0</v>
      </c>
      <c r="R366" s="53">
        <f t="shared" si="7"/>
        <v>0</v>
      </c>
    </row>
    <row r="367" spans="2:18" hidden="1" x14ac:dyDescent="0.25">
      <c r="B367" s="48">
        <f>+'Metrics - Articles'!C364</f>
        <v>0</v>
      </c>
      <c r="C367">
        <f>COUNTIF('Metrics - Articles'!F364,"*GPO (Partner, Ecosystem, Channels)*")</f>
        <v>0</v>
      </c>
      <c r="D367">
        <f>COUNTIF('Metrics - Articles'!F364,"*Office of the CEO*")</f>
        <v>0</v>
      </c>
      <c r="E367">
        <f>COUNTIF('Metrics - Articles'!F364,"*Services Delivery &amp; Support (go-lives and deployments) *")</f>
        <v>0</v>
      </c>
      <c r="F367">
        <f>COUNTIF('Metrics - Articles'!F364,"*Human Resources (SAP HR and employee stories)*")</f>
        <v>0</v>
      </c>
      <c r="G367">
        <f>COUNTIF('Metrics - Articles'!F364,"*P&amp;I (Research &amp; Development)*")</f>
        <v>0</v>
      </c>
      <c r="H367">
        <f>COUNTIF('Metrics - Articles'!F364,"*Business Network (Concur, Ariba, Fieldglass)*")</f>
        <v>0</v>
      </c>
      <c r="I367">
        <f>COUNTIF('Metrics - Articles'!F364,"*GCO – Regions*")</f>
        <v>0</v>
      </c>
      <c r="J367">
        <f>COUNTIF('Metrics - Articles'!F364,"*GCO – Platform Solutions*")</f>
        <v>0</v>
      </c>
      <c r="K367">
        <f>COUNTIF('Metrics - Articles'!F364,"*GCO – Industry Cloud *")</f>
        <v>0</v>
      </c>
      <c r="L367">
        <f>COUNTIF('Metrics - Articles'!F364,"*GCO – Customer Engagement &amp; Commerce (CRM &amp; hybris) *")</f>
        <v>0</v>
      </c>
      <c r="M367">
        <f>COUNTIF('Metrics - Articles'!F364,"*GCO – HR (SuccessFactors)*")</f>
        <v>0</v>
      </c>
      <c r="N367">
        <f>COUNTIF('Metrics - Articles'!F364,"*GCO – Services Sales*")</f>
        <v>0</v>
      </c>
      <c r="O367">
        <f>COUNTIF('Metrics - Articles'!F364,"*GCO – Other*")</f>
        <v>0</v>
      </c>
      <c r="P367">
        <f>COUNTIF('Metrics - Articles'!F364,"*Corporate*")</f>
        <v>0</v>
      </c>
      <c r="R367" s="53">
        <f t="shared" si="7"/>
        <v>0</v>
      </c>
    </row>
    <row r="368" spans="2:18" hidden="1" x14ac:dyDescent="0.25">
      <c r="B368" s="48">
        <f>+'Metrics - Articles'!C365</f>
        <v>0</v>
      </c>
      <c r="C368">
        <f>COUNTIF('Metrics - Articles'!F365,"*GPO (Partner, Ecosystem, Channels)*")</f>
        <v>0</v>
      </c>
      <c r="D368">
        <f>COUNTIF('Metrics - Articles'!F365,"*Office of the CEO*")</f>
        <v>0</v>
      </c>
      <c r="E368">
        <f>COUNTIF('Metrics - Articles'!F365,"*Services Delivery &amp; Support (go-lives and deployments) *")</f>
        <v>0</v>
      </c>
      <c r="F368">
        <f>COUNTIF('Metrics - Articles'!F365,"*Human Resources (SAP HR and employee stories)*")</f>
        <v>0</v>
      </c>
      <c r="G368">
        <f>COUNTIF('Metrics - Articles'!F365,"*P&amp;I (Research &amp; Development)*")</f>
        <v>0</v>
      </c>
      <c r="H368">
        <f>COUNTIF('Metrics - Articles'!F365,"*Business Network (Concur, Ariba, Fieldglass)*")</f>
        <v>0</v>
      </c>
      <c r="I368">
        <f>COUNTIF('Metrics - Articles'!F365,"*GCO – Regions*")</f>
        <v>0</v>
      </c>
      <c r="J368">
        <f>COUNTIF('Metrics - Articles'!F365,"*GCO – Platform Solutions*")</f>
        <v>0</v>
      </c>
      <c r="K368">
        <f>COUNTIF('Metrics - Articles'!F365,"*GCO – Industry Cloud *")</f>
        <v>0</v>
      </c>
      <c r="L368">
        <f>COUNTIF('Metrics - Articles'!F365,"*GCO – Customer Engagement &amp; Commerce (CRM &amp; hybris) *")</f>
        <v>0</v>
      </c>
      <c r="M368">
        <f>COUNTIF('Metrics - Articles'!F365,"*GCO – HR (SuccessFactors)*")</f>
        <v>0</v>
      </c>
      <c r="N368">
        <f>COUNTIF('Metrics - Articles'!F365,"*GCO – Services Sales*")</f>
        <v>0</v>
      </c>
      <c r="O368">
        <f>COUNTIF('Metrics - Articles'!F365,"*GCO – Other*")</f>
        <v>0</v>
      </c>
      <c r="P368">
        <f>COUNTIF('Metrics - Articles'!F365,"*Corporate*")</f>
        <v>0</v>
      </c>
      <c r="R368" s="53">
        <f t="shared" si="7"/>
        <v>0</v>
      </c>
    </row>
    <row r="369" spans="2:18" hidden="1" x14ac:dyDescent="0.25">
      <c r="B369" s="48">
        <f>+'Metrics - Articles'!C366</f>
        <v>0</v>
      </c>
      <c r="C369">
        <f>COUNTIF('Metrics - Articles'!F366,"*GPO (Partner, Ecosystem, Channels)*")</f>
        <v>0</v>
      </c>
      <c r="D369">
        <f>COUNTIF('Metrics - Articles'!F366,"*Office of the CEO*")</f>
        <v>0</v>
      </c>
      <c r="E369">
        <f>COUNTIF('Metrics - Articles'!F366,"*Services Delivery &amp; Support (go-lives and deployments) *")</f>
        <v>0</v>
      </c>
      <c r="F369">
        <f>COUNTIF('Metrics - Articles'!F366,"*Human Resources (SAP HR and employee stories)*")</f>
        <v>0</v>
      </c>
      <c r="G369">
        <f>COUNTIF('Metrics - Articles'!F366,"*P&amp;I (Research &amp; Development)*")</f>
        <v>0</v>
      </c>
      <c r="H369">
        <f>COUNTIF('Metrics - Articles'!F366,"*Business Network (Concur, Ariba, Fieldglass)*")</f>
        <v>0</v>
      </c>
      <c r="I369">
        <f>COUNTIF('Metrics - Articles'!F366,"*GCO – Regions*")</f>
        <v>0</v>
      </c>
      <c r="J369">
        <f>COUNTIF('Metrics - Articles'!F366,"*GCO – Platform Solutions*")</f>
        <v>0</v>
      </c>
      <c r="K369">
        <f>COUNTIF('Metrics - Articles'!F366,"*GCO – Industry Cloud *")</f>
        <v>0</v>
      </c>
      <c r="L369">
        <f>COUNTIF('Metrics - Articles'!F366,"*GCO – Customer Engagement &amp; Commerce (CRM &amp; hybris) *")</f>
        <v>0</v>
      </c>
      <c r="M369">
        <f>COUNTIF('Metrics - Articles'!F366,"*GCO – HR (SuccessFactors)*")</f>
        <v>0</v>
      </c>
      <c r="N369">
        <f>COUNTIF('Metrics - Articles'!F366,"*GCO – Services Sales*")</f>
        <v>0</v>
      </c>
      <c r="O369">
        <f>COUNTIF('Metrics - Articles'!F366,"*GCO – Other*")</f>
        <v>0</v>
      </c>
      <c r="P369">
        <f>COUNTIF('Metrics - Articles'!F366,"*Corporate*")</f>
        <v>0</v>
      </c>
      <c r="R369" s="53">
        <f t="shared" si="7"/>
        <v>0</v>
      </c>
    </row>
    <row r="370" spans="2:18" hidden="1" x14ac:dyDescent="0.25">
      <c r="B370" s="48">
        <f>+'Metrics - Articles'!C367</f>
        <v>0</v>
      </c>
      <c r="C370">
        <f>COUNTIF('Metrics - Articles'!F367,"*GPO (Partner, Ecosystem, Channels)*")</f>
        <v>0</v>
      </c>
      <c r="D370">
        <f>COUNTIF('Metrics - Articles'!F367,"*Office of the CEO*")</f>
        <v>0</v>
      </c>
      <c r="E370">
        <f>COUNTIF('Metrics - Articles'!F367,"*Services Delivery &amp; Support (go-lives and deployments) *")</f>
        <v>0</v>
      </c>
      <c r="F370">
        <f>COUNTIF('Metrics - Articles'!F367,"*Human Resources (SAP HR and employee stories)*")</f>
        <v>0</v>
      </c>
      <c r="G370">
        <f>COUNTIF('Metrics - Articles'!F367,"*P&amp;I (Research &amp; Development)*")</f>
        <v>0</v>
      </c>
      <c r="H370">
        <f>COUNTIF('Metrics - Articles'!F367,"*Business Network (Concur, Ariba, Fieldglass)*")</f>
        <v>0</v>
      </c>
      <c r="I370">
        <f>COUNTIF('Metrics - Articles'!F367,"*GCO – Regions*")</f>
        <v>0</v>
      </c>
      <c r="J370">
        <f>COUNTIF('Metrics - Articles'!F367,"*GCO – Platform Solutions*")</f>
        <v>0</v>
      </c>
      <c r="K370">
        <f>COUNTIF('Metrics - Articles'!F367,"*GCO – Industry Cloud *")</f>
        <v>0</v>
      </c>
      <c r="L370">
        <f>COUNTIF('Metrics - Articles'!F367,"*GCO – Customer Engagement &amp; Commerce (CRM &amp; hybris) *")</f>
        <v>0</v>
      </c>
      <c r="M370">
        <f>COUNTIF('Metrics - Articles'!F367,"*GCO – HR (SuccessFactors)*")</f>
        <v>0</v>
      </c>
      <c r="N370">
        <f>COUNTIF('Metrics - Articles'!F367,"*GCO – Services Sales*")</f>
        <v>0</v>
      </c>
      <c r="O370">
        <f>COUNTIF('Metrics - Articles'!F367,"*GCO – Other*")</f>
        <v>0</v>
      </c>
      <c r="P370">
        <f>COUNTIF('Metrics - Articles'!F367,"*Corporate*")</f>
        <v>0</v>
      </c>
      <c r="R370" s="53">
        <f t="shared" si="7"/>
        <v>0</v>
      </c>
    </row>
    <row r="371" spans="2:18" hidden="1" x14ac:dyDescent="0.25">
      <c r="B371" s="48">
        <f>+'Metrics - Articles'!C368</f>
        <v>0</v>
      </c>
      <c r="C371">
        <f>COUNTIF('Metrics - Articles'!F368,"*GPO (Partner, Ecosystem, Channels)*")</f>
        <v>0</v>
      </c>
      <c r="D371">
        <f>COUNTIF('Metrics - Articles'!F368,"*Office of the CEO*")</f>
        <v>0</v>
      </c>
      <c r="E371">
        <f>COUNTIF('Metrics - Articles'!F368,"*Services Delivery &amp; Support (go-lives and deployments) *")</f>
        <v>0</v>
      </c>
      <c r="F371">
        <f>COUNTIF('Metrics - Articles'!F368,"*Human Resources (SAP HR and employee stories)*")</f>
        <v>0</v>
      </c>
      <c r="G371">
        <f>COUNTIF('Metrics - Articles'!F368,"*P&amp;I (Research &amp; Development)*")</f>
        <v>0</v>
      </c>
      <c r="H371">
        <f>COUNTIF('Metrics - Articles'!F368,"*Business Network (Concur, Ariba, Fieldglass)*")</f>
        <v>0</v>
      </c>
      <c r="I371">
        <f>COUNTIF('Metrics - Articles'!F368,"*GCO – Regions*")</f>
        <v>0</v>
      </c>
      <c r="J371">
        <f>COUNTIF('Metrics - Articles'!F368,"*GCO – Platform Solutions*")</f>
        <v>0</v>
      </c>
      <c r="K371">
        <f>COUNTIF('Metrics - Articles'!F368,"*GCO – Industry Cloud *")</f>
        <v>0</v>
      </c>
      <c r="L371">
        <f>COUNTIF('Metrics - Articles'!F368,"*GCO – Customer Engagement &amp; Commerce (CRM &amp; hybris) *")</f>
        <v>0</v>
      </c>
      <c r="M371">
        <f>COUNTIF('Metrics - Articles'!F368,"*GCO – HR (SuccessFactors)*")</f>
        <v>0</v>
      </c>
      <c r="N371">
        <f>COUNTIF('Metrics - Articles'!F368,"*GCO – Services Sales*")</f>
        <v>0</v>
      </c>
      <c r="O371">
        <f>COUNTIF('Metrics - Articles'!F368,"*GCO – Other*")</f>
        <v>0</v>
      </c>
      <c r="P371">
        <f>COUNTIF('Metrics - Articles'!F368,"*Corporate*")</f>
        <v>0</v>
      </c>
      <c r="R371" s="53">
        <f t="shared" si="7"/>
        <v>0</v>
      </c>
    </row>
    <row r="372" spans="2:18" hidden="1" x14ac:dyDescent="0.25">
      <c r="B372" s="48">
        <f>+'Metrics - Articles'!C369</f>
        <v>0</v>
      </c>
      <c r="C372">
        <f>COUNTIF('Metrics - Articles'!F369,"*GPO (Partner, Ecosystem, Channels)*")</f>
        <v>0</v>
      </c>
      <c r="D372">
        <f>COUNTIF('Metrics - Articles'!F369,"*Office of the CEO*")</f>
        <v>0</v>
      </c>
      <c r="E372">
        <f>COUNTIF('Metrics - Articles'!F369,"*Services Delivery &amp; Support (go-lives and deployments) *")</f>
        <v>0</v>
      </c>
      <c r="F372">
        <f>COUNTIF('Metrics - Articles'!F369,"*Human Resources (SAP HR and employee stories)*")</f>
        <v>0</v>
      </c>
      <c r="G372">
        <f>COUNTIF('Metrics - Articles'!F369,"*P&amp;I (Research &amp; Development)*")</f>
        <v>0</v>
      </c>
      <c r="H372">
        <f>COUNTIF('Metrics - Articles'!F369,"*Business Network (Concur, Ariba, Fieldglass)*")</f>
        <v>0</v>
      </c>
      <c r="I372">
        <f>COUNTIF('Metrics - Articles'!F369,"*GCO – Regions*")</f>
        <v>0</v>
      </c>
      <c r="J372">
        <f>COUNTIF('Metrics - Articles'!F369,"*GCO – Platform Solutions*")</f>
        <v>0</v>
      </c>
      <c r="K372">
        <f>COUNTIF('Metrics - Articles'!F369,"*GCO – Industry Cloud *")</f>
        <v>0</v>
      </c>
      <c r="L372">
        <f>COUNTIF('Metrics - Articles'!F369,"*GCO – Customer Engagement &amp; Commerce (CRM &amp; hybris) *")</f>
        <v>0</v>
      </c>
      <c r="M372">
        <f>COUNTIF('Metrics - Articles'!F369,"*GCO – HR (SuccessFactors)*")</f>
        <v>0</v>
      </c>
      <c r="N372">
        <f>COUNTIF('Metrics - Articles'!F369,"*GCO – Services Sales*")</f>
        <v>0</v>
      </c>
      <c r="O372">
        <f>COUNTIF('Metrics - Articles'!F369,"*GCO – Other*")</f>
        <v>0</v>
      </c>
      <c r="P372">
        <f>COUNTIF('Metrics - Articles'!F369,"*Corporate*")</f>
        <v>0</v>
      </c>
      <c r="R372" s="53">
        <f t="shared" si="7"/>
        <v>0</v>
      </c>
    </row>
    <row r="373" spans="2:18" hidden="1" x14ac:dyDescent="0.25">
      <c r="B373" s="48">
        <f>+'Metrics - Articles'!C370</f>
        <v>0</v>
      </c>
      <c r="C373">
        <f>COUNTIF('Metrics - Articles'!F370,"*GPO (Partner, Ecosystem, Channels)*")</f>
        <v>0</v>
      </c>
      <c r="D373">
        <f>COUNTIF('Metrics - Articles'!F370,"*Office of the CEO*")</f>
        <v>0</v>
      </c>
      <c r="E373">
        <f>COUNTIF('Metrics - Articles'!F370,"*Services Delivery &amp; Support (go-lives and deployments) *")</f>
        <v>0</v>
      </c>
      <c r="F373">
        <f>COUNTIF('Metrics - Articles'!F370,"*Human Resources (SAP HR and employee stories)*")</f>
        <v>0</v>
      </c>
      <c r="G373">
        <f>COUNTIF('Metrics - Articles'!F370,"*P&amp;I (Research &amp; Development)*")</f>
        <v>0</v>
      </c>
      <c r="H373">
        <f>COUNTIF('Metrics - Articles'!F370,"*Business Network (Concur, Ariba, Fieldglass)*")</f>
        <v>0</v>
      </c>
      <c r="I373">
        <f>COUNTIF('Metrics - Articles'!F370,"*GCO – Regions*")</f>
        <v>0</v>
      </c>
      <c r="J373">
        <f>COUNTIF('Metrics - Articles'!F370,"*GCO – Platform Solutions*")</f>
        <v>0</v>
      </c>
      <c r="K373">
        <f>COUNTIF('Metrics - Articles'!F370,"*GCO – Industry Cloud *")</f>
        <v>0</v>
      </c>
      <c r="L373">
        <f>COUNTIF('Metrics - Articles'!F370,"*GCO – Customer Engagement &amp; Commerce (CRM &amp; hybris) *")</f>
        <v>0</v>
      </c>
      <c r="M373">
        <f>COUNTIF('Metrics - Articles'!F370,"*GCO – HR (SuccessFactors)*")</f>
        <v>0</v>
      </c>
      <c r="N373">
        <f>COUNTIF('Metrics - Articles'!F370,"*GCO – Services Sales*")</f>
        <v>0</v>
      </c>
      <c r="O373">
        <f>COUNTIF('Metrics - Articles'!F370,"*GCO – Other*")</f>
        <v>0</v>
      </c>
      <c r="P373">
        <f>COUNTIF('Metrics - Articles'!F370,"*Corporate*")</f>
        <v>0</v>
      </c>
      <c r="R373" s="53">
        <f t="shared" si="7"/>
        <v>0</v>
      </c>
    </row>
    <row r="374" spans="2:18" hidden="1" x14ac:dyDescent="0.25">
      <c r="B374" s="48">
        <f>+'Metrics - Articles'!C371</f>
        <v>0</v>
      </c>
      <c r="C374">
        <f>COUNTIF('Metrics - Articles'!F371,"*GPO (Partner, Ecosystem, Channels)*")</f>
        <v>0</v>
      </c>
      <c r="D374">
        <f>COUNTIF('Metrics - Articles'!F371,"*Office of the CEO*")</f>
        <v>0</v>
      </c>
      <c r="E374">
        <f>COUNTIF('Metrics - Articles'!F371,"*Services Delivery &amp; Support (go-lives and deployments) *")</f>
        <v>0</v>
      </c>
      <c r="F374">
        <f>COUNTIF('Metrics - Articles'!F371,"*Human Resources (SAP HR and employee stories)*")</f>
        <v>0</v>
      </c>
      <c r="G374">
        <f>COUNTIF('Metrics - Articles'!F371,"*P&amp;I (Research &amp; Development)*")</f>
        <v>0</v>
      </c>
      <c r="H374">
        <f>COUNTIF('Metrics - Articles'!F371,"*Business Network (Concur, Ariba, Fieldglass)*")</f>
        <v>0</v>
      </c>
      <c r="I374">
        <f>COUNTIF('Metrics - Articles'!F371,"*GCO – Regions*")</f>
        <v>0</v>
      </c>
      <c r="J374">
        <f>COUNTIF('Metrics - Articles'!F371,"*GCO – Platform Solutions*")</f>
        <v>0</v>
      </c>
      <c r="K374">
        <f>COUNTIF('Metrics - Articles'!F371,"*GCO – Industry Cloud *")</f>
        <v>0</v>
      </c>
      <c r="L374">
        <f>COUNTIF('Metrics - Articles'!F371,"*GCO – Customer Engagement &amp; Commerce (CRM &amp; hybris) *")</f>
        <v>0</v>
      </c>
      <c r="M374">
        <f>COUNTIF('Metrics - Articles'!F371,"*GCO – HR (SuccessFactors)*")</f>
        <v>0</v>
      </c>
      <c r="N374">
        <f>COUNTIF('Metrics - Articles'!F371,"*GCO – Services Sales*")</f>
        <v>0</v>
      </c>
      <c r="O374">
        <f>COUNTIF('Metrics - Articles'!F371,"*GCO – Other*")</f>
        <v>0</v>
      </c>
      <c r="P374">
        <f>COUNTIF('Metrics - Articles'!F371,"*Corporate*")</f>
        <v>0</v>
      </c>
      <c r="R374" s="53">
        <f t="shared" si="7"/>
        <v>0</v>
      </c>
    </row>
    <row r="375" spans="2:18" hidden="1" x14ac:dyDescent="0.25">
      <c r="B375" s="48">
        <f>+'Metrics - Articles'!C372</f>
        <v>0</v>
      </c>
      <c r="C375">
        <f>COUNTIF('Metrics - Articles'!F372,"*GPO (Partner, Ecosystem, Channels)*")</f>
        <v>0</v>
      </c>
      <c r="D375">
        <f>COUNTIF('Metrics - Articles'!F372,"*Office of the CEO*")</f>
        <v>0</v>
      </c>
      <c r="E375">
        <f>COUNTIF('Metrics - Articles'!F372,"*Services Delivery &amp; Support (go-lives and deployments) *")</f>
        <v>0</v>
      </c>
      <c r="F375">
        <f>COUNTIF('Metrics - Articles'!F372,"*Human Resources (SAP HR and employee stories)*")</f>
        <v>0</v>
      </c>
      <c r="G375">
        <f>COUNTIF('Metrics - Articles'!F372,"*P&amp;I (Research &amp; Development)*")</f>
        <v>0</v>
      </c>
      <c r="H375">
        <f>COUNTIF('Metrics - Articles'!F372,"*Business Network (Concur, Ariba, Fieldglass)*")</f>
        <v>0</v>
      </c>
      <c r="I375">
        <f>COUNTIF('Metrics - Articles'!F372,"*GCO – Regions*")</f>
        <v>0</v>
      </c>
      <c r="J375">
        <f>COUNTIF('Metrics - Articles'!F372,"*GCO – Platform Solutions*")</f>
        <v>0</v>
      </c>
      <c r="K375">
        <f>COUNTIF('Metrics - Articles'!F372,"*GCO – Industry Cloud *")</f>
        <v>0</v>
      </c>
      <c r="L375">
        <f>COUNTIF('Metrics - Articles'!F372,"*GCO – Customer Engagement &amp; Commerce (CRM &amp; hybris) *")</f>
        <v>0</v>
      </c>
      <c r="M375">
        <f>COUNTIF('Metrics - Articles'!F372,"*GCO – HR (SuccessFactors)*")</f>
        <v>0</v>
      </c>
      <c r="N375">
        <f>COUNTIF('Metrics - Articles'!F372,"*GCO – Services Sales*")</f>
        <v>0</v>
      </c>
      <c r="O375">
        <f>COUNTIF('Metrics - Articles'!F372,"*GCO – Other*")</f>
        <v>0</v>
      </c>
      <c r="P375">
        <f>COUNTIF('Metrics - Articles'!F372,"*Corporate*")</f>
        <v>0</v>
      </c>
      <c r="R375" s="53">
        <f t="shared" si="7"/>
        <v>0</v>
      </c>
    </row>
    <row r="376" spans="2:18" hidden="1" x14ac:dyDescent="0.25">
      <c r="B376" s="48">
        <f>+'Metrics - Articles'!C373</f>
        <v>0</v>
      </c>
      <c r="C376">
        <f>COUNTIF('Metrics - Articles'!F373,"*GPO (Partner, Ecosystem, Channels)*")</f>
        <v>0</v>
      </c>
      <c r="D376">
        <f>COUNTIF('Metrics - Articles'!F373,"*Office of the CEO*")</f>
        <v>0</v>
      </c>
      <c r="E376">
        <f>COUNTIF('Metrics - Articles'!F373,"*Services Delivery &amp; Support (go-lives and deployments) *")</f>
        <v>0</v>
      </c>
      <c r="F376">
        <f>COUNTIF('Metrics - Articles'!F373,"*Human Resources (SAP HR and employee stories)*")</f>
        <v>0</v>
      </c>
      <c r="G376">
        <f>COUNTIF('Metrics - Articles'!F373,"*P&amp;I (Research &amp; Development)*")</f>
        <v>0</v>
      </c>
      <c r="H376">
        <f>COUNTIF('Metrics - Articles'!F373,"*Business Network (Concur, Ariba, Fieldglass)*")</f>
        <v>0</v>
      </c>
      <c r="I376">
        <f>COUNTIF('Metrics - Articles'!F373,"*GCO – Regions*")</f>
        <v>0</v>
      </c>
      <c r="J376">
        <f>COUNTIF('Metrics - Articles'!F373,"*GCO – Platform Solutions*")</f>
        <v>0</v>
      </c>
      <c r="K376">
        <f>COUNTIF('Metrics - Articles'!F373,"*GCO – Industry Cloud *")</f>
        <v>0</v>
      </c>
      <c r="L376">
        <f>COUNTIF('Metrics - Articles'!F373,"*GCO – Customer Engagement &amp; Commerce (CRM &amp; hybris) *")</f>
        <v>0</v>
      </c>
      <c r="M376">
        <f>COUNTIF('Metrics - Articles'!F373,"*GCO – HR (SuccessFactors)*")</f>
        <v>0</v>
      </c>
      <c r="N376">
        <f>COUNTIF('Metrics - Articles'!F373,"*GCO – Services Sales*")</f>
        <v>0</v>
      </c>
      <c r="O376">
        <f>COUNTIF('Metrics - Articles'!F373,"*GCO – Other*")</f>
        <v>0</v>
      </c>
      <c r="P376">
        <f>COUNTIF('Metrics - Articles'!F373,"*Corporate*")</f>
        <v>0</v>
      </c>
      <c r="R376" s="53">
        <f t="shared" si="7"/>
        <v>0</v>
      </c>
    </row>
    <row r="377" spans="2:18" hidden="1" x14ac:dyDescent="0.25">
      <c r="B377" s="48">
        <f>+'Metrics - Articles'!C374</f>
        <v>0</v>
      </c>
      <c r="C377">
        <f>COUNTIF('Metrics - Articles'!F374,"*GPO (Partner, Ecosystem, Channels)*")</f>
        <v>0</v>
      </c>
      <c r="D377">
        <f>COUNTIF('Metrics - Articles'!F374,"*Office of the CEO*")</f>
        <v>0</v>
      </c>
      <c r="E377">
        <f>COUNTIF('Metrics - Articles'!F374,"*Services Delivery &amp; Support (go-lives and deployments) *")</f>
        <v>0</v>
      </c>
      <c r="F377">
        <f>COUNTIF('Metrics - Articles'!F374,"*Human Resources (SAP HR and employee stories)*")</f>
        <v>0</v>
      </c>
      <c r="G377">
        <f>COUNTIF('Metrics - Articles'!F374,"*P&amp;I (Research &amp; Development)*")</f>
        <v>0</v>
      </c>
      <c r="H377">
        <f>COUNTIF('Metrics - Articles'!F374,"*Business Network (Concur, Ariba, Fieldglass)*")</f>
        <v>0</v>
      </c>
      <c r="I377">
        <f>COUNTIF('Metrics - Articles'!F374,"*GCO – Regions*")</f>
        <v>0</v>
      </c>
      <c r="J377">
        <f>COUNTIF('Metrics - Articles'!F374,"*GCO – Platform Solutions*")</f>
        <v>0</v>
      </c>
      <c r="K377">
        <f>COUNTIF('Metrics - Articles'!F374,"*GCO – Industry Cloud *")</f>
        <v>0</v>
      </c>
      <c r="L377">
        <f>COUNTIF('Metrics - Articles'!F374,"*GCO – Customer Engagement &amp; Commerce (CRM &amp; hybris) *")</f>
        <v>0</v>
      </c>
      <c r="M377">
        <f>COUNTIF('Metrics - Articles'!F374,"*GCO – HR (SuccessFactors)*")</f>
        <v>0</v>
      </c>
      <c r="N377">
        <f>COUNTIF('Metrics - Articles'!F374,"*GCO – Services Sales*")</f>
        <v>0</v>
      </c>
      <c r="O377">
        <f>COUNTIF('Metrics - Articles'!F374,"*GCO – Other*")</f>
        <v>0</v>
      </c>
      <c r="P377">
        <f>COUNTIF('Metrics - Articles'!F374,"*Corporate*")</f>
        <v>0</v>
      </c>
      <c r="R377" s="53">
        <f t="shared" si="7"/>
        <v>0</v>
      </c>
    </row>
    <row r="378" spans="2:18" hidden="1" x14ac:dyDescent="0.25">
      <c r="B378" s="48">
        <f>+'Metrics - Articles'!C375</f>
        <v>0</v>
      </c>
      <c r="C378">
        <f>COUNTIF('Metrics - Articles'!F375,"*GPO (Partner, Ecosystem, Channels)*")</f>
        <v>0</v>
      </c>
      <c r="D378">
        <f>COUNTIF('Metrics - Articles'!F375,"*Office of the CEO*")</f>
        <v>0</v>
      </c>
      <c r="E378">
        <f>COUNTIF('Metrics - Articles'!F375,"*Services Delivery &amp; Support (go-lives and deployments) *")</f>
        <v>0</v>
      </c>
      <c r="F378">
        <f>COUNTIF('Metrics - Articles'!F375,"*Human Resources (SAP HR and employee stories)*")</f>
        <v>0</v>
      </c>
      <c r="G378">
        <f>COUNTIF('Metrics - Articles'!F375,"*P&amp;I (Research &amp; Development)*")</f>
        <v>0</v>
      </c>
      <c r="H378">
        <f>COUNTIF('Metrics - Articles'!F375,"*Business Network (Concur, Ariba, Fieldglass)*")</f>
        <v>0</v>
      </c>
      <c r="I378">
        <f>COUNTIF('Metrics - Articles'!F375,"*GCO – Regions*")</f>
        <v>0</v>
      </c>
      <c r="J378">
        <f>COUNTIF('Metrics - Articles'!F375,"*GCO – Platform Solutions*")</f>
        <v>0</v>
      </c>
      <c r="K378">
        <f>COUNTIF('Metrics - Articles'!F375,"*GCO – Industry Cloud *")</f>
        <v>0</v>
      </c>
      <c r="L378">
        <f>COUNTIF('Metrics - Articles'!F375,"*GCO – Customer Engagement &amp; Commerce (CRM &amp; hybris) *")</f>
        <v>0</v>
      </c>
      <c r="M378">
        <f>COUNTIF('Metrics - Articles'!F375,"*GCO – HR (SuccessFactors)*")</f>
        <v>0</v>
      </c>
      <c r="N378">
        <f>COUNTIF('Metrics - Articles'!F375,"*GCO – Services Sales*")</f>
        <v>0</v>
      </c>
      <c r="O378">
        <f>COUNTIF('Metrics - Articles'!F375,"*GCO – Other*")</f>
        <v>0</v>
      </c>
      <c r="P378">
        <f>COUNTIF('Metrics - Articles'!F375,"*Corporate*")</f>
        <v>0</v>
      </c>
      <c r="R378" s="53">
        <f t="shared" si="7"/>
        <v>0</v>
      </c>
    </row>
    <row r="379" spans="2:18" hidden="1" x14ac:dyDescent="0.25">
      <c r="B379" s="48">
        <f>+'Metrics - Articles'!C376</f>
        <v>0</v>
      </c>
      <c r="C379">
        <f>COUNTIF('Metrics - Articles'!F376,"*GPO (Partner, Ecosystem, Channels)*")</f>
        <v>0</v>
      </c>
      <c r="D379">
        <f>COUNTIF('Metrics - Articles'!F376,"*Office of the CEO*")</f>
        <v>0</v>
      </c>
      <c r="E379">
        <f>COUNTIF('Metrics - Articles'!F376,"*Services Delivery &amp; Support (go-lives and deployments) *")</f>
        <v>0</v>
      </c>
      <c r="F379">
        <f>COUNTIF('Metrics - Articles'!F376,"*Human Resources (SAP HR and employee stories)*")</f>
        <v>0</v>
      </c>
      <c r="G379">
        <f>COUNTIF('Metrics - Articles'!F376,"*P&amp;I (Research &amp; Development)*")</f>
        <v>0</v>
      </c>
      <c r="H379">
        <f>COUNTIF('Metrics - Articles'!F376,"*Business Network (Concur, Ariba, Fieldglass)*")</f>
        <v>0</v>
      </c>
      <c r="I379">
        <f>COUNTIF('Metrics - Articles'!F376,"*GCO – Regions*")</f>
        <v>0</v>
      </c>
      <c r="J379">
        <f>COUNTIF('Metrics - Articles'!F376,"*GCO – Platform Solutions*")</f>
        <v>0</v>
      </c>
      <c r="K379">
        <f>COUNTIF('Metrics - Articles'!F376,"*GCO – Industry Cloud *")</f>
        <v>0</v>
      </c>
      <c r="L379">
        <f>COUNTIF('Metrics - Articles'!F376,"*GCO – Customer Engagement &amp; Commerce (CRM &amp; hybris) *")</f>
        <v>0</v>
      </c>
      <c r="M379">
        <f>COUNTIF('Metrics - Articles'!F376,"*GCO – HR (SuccessFactors)*")</f>
        <v>0</v>
      </c>
      <c r="N379">
        <f>COUNTIF('Metrics - Articles'!F376,"*GCO – Services Sales*")</f>
        <v>0</v>
      </c>
      <c r="O379">
        <f>COUNTIF('Metrics - Articles'!F376,"*GCO – Other*")</f>
        <v>0</v>
      </c>
      <c r="P379">
        <f>COUNTIF('Metrics - Articles'!F376,"*Corporate*")</f>
        <v>0</v>
      </c>
      <c r="R379" s="53">
        <f t="shared" si="7"/>
        <v>0</v>
      </c>
    </row>
    <row r="380" spans="2:18" hidden="1" x14ac:dyDescent="0.25">
      <c r="B380" s="48">
        <f>+'Metrics - Articles'!C377</f>
        <v>0</v>
      </c>
      <c r="C380">
        <f>COUNTIF('Metrics - Articles'!F377,"*GPO (Partner, Ecosystem, Channels)*")</f>
        <v>0</v>
      </c>
      <c r="D380">
        <f>COUNTIF('Metrics - Articles'!F377,"*Office of the CEO*")</f>
        <v>0</v>
      </c>
      <c r="E380">
        <f>COUNTIF('Metrics - Articles'!F377,"*Services Delivery &amp; Support (go-lives and deployments) *")</f>
        <v>0</v>
      </c>
      <c r="F380">
        <f>COUNTIF('Metrics - Articles'!F377,"*Human Resources (SAP HR and employee stories)*")</f>
        <v>0</v>
      </c>
      <c r="G380">
        <f>COUNTIF('Metrics - Articles'!F377,"*P&amp;I (Research &amp; Development)*")</f>
        <v>0</v>
      </c>
      <c r="H380">
        <f>COUNTIF('Metrics - Articles'!F377,"*Business Network (Concur, Ariba, Fieldglass)*")</f>
        <v>0</v>
      </c>
      <c r="I380">
        <f>COUNTIF('Metrics - Articles'!F377,"*GCO – Regions*")</f>
        <v>0</v>
      </c>
      <c r="J380">
        <f>COUNTIF('Metrics - Articles'!F377,"*GCO – Platform Solutions*")</f>
        <v>0</v>
      </c>
      <c r="K380">
        <f>COUNTIF('Metrics - Articles'!F377,"*GCO – Industry Cloud *")</f>
        <v>0</v>
      </c>
      <c r="L380">
        <f>COUNTIF('Metrics - Articles'!F377,"*GCO – Customer Engagement &amp; Commerce (CRM &amp; hybris) *")</f>
        <v>0</v>
      </c>
      <c r="M380">
        <f>COUNTIF('Metrics - Articles'!F377,"*GCO – HR (SuccessFactors)*")</f>
        <v>0</v>
      </c>
      <c r="N380">
        <f>COUNTIF('Metrics - Articles'!F377,"*GCO – Services Sales*")</f>
        <v>0</v>
      </c>
      <c r="O380">
        <f>COUNTIF('Metrics - Articles'!F377,"*GCO – Other*")</f>
        <v>0</v>
      </c>
      <c r="P380">
        <f>COUNTIF('Metrics - Articles'!F377,"*Corporate*")</f>
        <v>0</v>
      </c>
      <c r="R380" s="53">
        <f t="shared" si="7"/>
        <v>0</v>
      </c>
    </row>
    <row r="381" spans="2:18" hidden="1" x14ac:dyDescent="0.25">
      <c r="B381" s="48">
        <f>+'Metrics - Articles'!C378</f>
        <v>0</v>
      </c>
      <c r="C381">
        <f>COUNTIF('Metrics - Articles'!F378,"*GPO (Partner, Ecosystem, Channels)*")</f>
        <v>0</v>
      </c>
      <c r="D381">
        <f>COUNTIF('Metrics - Articles'!F378,"*Office of the CEO*")</f>
        <v>0</v>
      </c>
      <c r="E381">
        <f>COUNTIF('Metrics - Articles'!F378,"*Services Delivery &amp; Support (go-lives and deployments) *")</f>
        <v>0</v>
      </c>
      <c r="F381">
        <f>COUNTIF('Metrics - Articles'!F378,"*Human Resources (SAP HR and employee stories)*")</f>
        <v>0</v>
      </c>
      <c r="G381">
        <f>COUNTIF('Metrics - Articles'!F378,"*P&amp;I (Research &amp; Development)*")</f>
        <v>0</v>
      </c>
      <c r="H381">
        <f>COUNTIF('Metrics - Articles'!F378,"*Business Network (Concur, Ariba, Fieldglass)*")</f>
        <v>0</v>
      </c>
      <c r="I381">
        <f>COUNTIF('Metrics - Articles'!F378,"*GCO – Regions*")</f>
        <v>0</v>
      </c>
      <c r="J381">
        <f>COUNTIF('Metrics - Articles'!F378,"*GCO – Platform Solutions*")</f>
        <v>0</v>
      </c>
      <c r="K381">
        <f>COUNTIF('Metrics - Articles'!F378,"*GCO – Industry Cloud *")</f>
        <v>0</v>
      </c>
      <c r="L381">
        <f>COUNTIF('Metrics - Articles'!F378,"*GCO – Customer Engagement &amp; Commerce (CRM &amp; hybris) *")</f>
        <v>0</v>
      </c>
      <c r="M381">
        <f>COUNTIF('Metrics - Articles'!F378,"*GCO – HR (SuccessFactors)*")</f>
        <v>0</v>
      </c>
      <c r="N381">
        <f>COUNTIF('Metrics - Articles'!F378,"*GCO – Services Sales*")</f>
        <v>0</v>
      </c>
      <c r="O381">
        <f>COUNTIF('Metrics - Articles'!F378,"*GCO – Other*")</f>
        <v>0</v>
      </c>
      <c r="P381">
        <f>COUNTIF('Metrics - Articles'!F378,"*Corporate*")</f>
        <v>0</v>
      </c>
      <c r="R381" s="53">
        <f t="shared" si="7"/>
        <v>0</v>
      </c>
    </row>
    <row r="382" spans="2:18" hidden="1" x14ac:dyDescent="0.25">
      <c r="B382" s="48">
        <f>+'Metrics - Articles'!C379</f>
        <v>0</v>
      </c>
      <c r="C382">
        <f>COUNTIF('Metrics - Articles'!F379,"*GPO (Partner, Ecosystem, Channels)*")</f>
        <v>0</v>
      </c>
      <c r="D382">
        <f>COUNTIF('Metrics - Articles'!F379,"*Office of the CEO*")</f>
        <v>0</v>
      </c>
      <c r="E382">
        <f>COUNTIF('Metrics - Articles'!F379,"*Services Delivery &amp; Support (go-lives and deployments) *")</f>
        <v>0</v>
      </c>
      <c r="F382">
        <f>COUNTIF('Metrics - Articles'!F379,"*Human Resources (SAP HR and employee stories)*")</f>
        <v>0</v>
      </c>
      <c r="G382">
        <f>COUNTIF('Metrics - Articles'!F379,"*P&amp;I (Research &amp; Development)*")</f>
        <v>0</v>
      </c>
      <c r="H382">
        <f>COUNTIF('Metrics - Articles'!F379,"*Business Network (Concur, Ariba, Fieldglass)*")</f>
        <v>0</v>
      </c>
      <c r="I382">
        <f>COUNTIF('Metrics - Articles'!F379,"*GCO – Regions*")</f>
        <v>0</v>
      </c>
      <c r="J382">
        <f>COUNTIF('Metrics - Articles'!F379,"*GCO – Platform Solutions*")</f>
        <v>0</v>
      </c>
      <c r="K382">
        <f>COUNTIF('Metrics - Articles'!F379,"*GCO – Industry Cloud *")</f>
        <v>0</v>
      </c>
      <c r="L382">
        <f>COUNTIF('Metrics - Articles'!F379,"*GCO – Customer Engagement &amp; Commerce (CRM &amp; hybris) *")</f>
        <v>0</v>
      </c>
      <c r="M382">
        <f>COUNTIF('Metrics - Articles'!F379,"*GCO – HR (SuccessFactors)*")</f>
        <v>0</v>
      </c>
      <c r="N382">
        <f>COUNTIF('Metrics - Articles'!F379,"*GCO – Services Sales*")</f>
        <v>0</v>
      </c>
      <c r="O382">
        <f>COUNTIF('Metrics - Articles'!F379,"*GCO – Other*")</f>
        <v>0</v>
      </c>
      <c r="P382">
        <f>COUNTIF('Metrics - Articles'!F379,"*Corporate*")</f>
        <v>0</v>
      </c>
      <c r="R382" s="53">
        <f t="shared" si="7"/>
        <v>0</v>
      </c>
    </row>
    <row r="383" spans="2:18" hidden="1" x14ac:dyDescent="0.25">
      <c r="B383" s="48">
        <f>+'Metrics - Articles'!C380</f>
        <v>0</v>
      </c>
      <c r="C383">
        <f>COUNTIF('Metrics - Articles'!F380,"*GPO (Partner, Ecosystem, Channels)*")</f>
        <v>0</v>
      </c>
      <c r="D383">
        <f>COUNTIF('Metrics - Articles'!F380,"*Office of the CEO*")</f>
        <v>0</v>
      </c>
      <c r="E383">
        <f>COUNTIF('Metrics - Articles'!F380,"*Services Delivery &amp; Support (go-lives and deployments) *")</f>
        <v>0</v>
      </c>
      <c r="F383">
        <f>COUNTIF('Metrics - Articles'!F380,"*Human Resources (SAP HR and employee stories)*")</f>
        <v>0</v>
      </c>
      <c r="G383">
        <f>COUNTIF('Metrics - Articles'!F380,"*P&amp;I (Research &amp; Development)*")</f>
        <v>0</v>
      </c>
      <c r="H383">
        <f>COUNTIF('Metrics - Articles'!F380,"*Business Network (Concur, Ariba, Fieldglass)*")</f>
        <v>0</v>
      </c>
      <c r="I383">
        <f>COUNTIF('Metrics - Articles'!F380,"*GCO – Regions*")</f>
        <v>0</v>
      </c>
      <c r="J383">
        <f>COUNTIF('Metrics - Articles'!F380,"*GCO – Platform Solutions*")</f>
        <v>0</v>
      </c>
      <c r="K383">
        <f>COUNTIF('Metrics - Articles'!F380,"*GCO – Industry Cloud *")</f>
        <v>0</v>
      </c>
      <c r="L383">
        <f>COUNTIF('Metrics - Articles'!F380,"*GCO – Customer Engagement &amp; Commerce (CRM &amp; hybris) *")</f>
        <v>0</v>
      </c>
      <c r="M383">
        <f>COUNTIF('Metrics - Articles'!F380,"*GCO – HR (SuccessFactors)*")</f>
        <v>0</v>
      </c>
      <c r="N383">
        <f>COUNTIF('Metrics - Articles'!F380,"*GCO – Services Sales*")</f>
        <v>0</v>
      </c>
      <c r="O383">
        <f>COUNTIF('Metrics - Articles'!F380,"*GCO – Other*")</f>
        <v>0</v>
      </c>
      <c r="P383">
        <f>COUNTIF('Metrics - Articles'!F380,"*Corporate*")</f>
        <v>0</v>
      </c>
      <c r="R383" s="53">
        <f t="shared" si="7"/>
        <v>0</v>
      </c>
    </row>
    <row r="384" spans="2:18" hidden="1" x14ac:dyDescent="0.25">
      <c r="B384" s="48">
        <f>+'Metrics - Articles'!C381</f>
        <v>0</v>
      </c>
      <c r="C384">
        <f>COUNTIF('Metrics - Articles'!F381,"*GPO (Partner, Ecosystem, Channels)*")</f>
        <v>0</v>
      </c>
      <c r="D384">
        <f>COUNTIF('Metrics - Articles'!F381,"*Office of the CEO*")</f>
        <v>0</v>
      </c>
      <c r="E384">
        <f>COUNTIF('Metrics - Articles'!F381,"*Services Delivery &amp; Support (go-lives and deployments) *")</f>
        <v>0</v>
      </c>
      <c r="F384">
        <f>COUNTIF('Metrics - Articles'!F381,"*Human Resources (SAP HR and employee stories)*")</f>
        <v>0</v>
      </c>
      <c r="G384">
        <f>COUNTIF('Metrics - Articles'!F381,"*P&amp;I (Research &amp; Development)*")</f>
        <v>0</v>
      </c>
      <c r="H384">
        <f>COUNTIF('Metrics - Articles'!F381,"*Business Network (Concur, Ariba, Fieldglass)*")</f>
        <v>0</v>
      </c>
      <c r="I384">
        <f>COUNTIF('Metrics - Articles'!F381,"*GCO – Regions*")</f>
        <v>0</v>
      </c>
      <c r="J384">
        <f>COUNTIF('Metrics - Articles'!F381,"*GCO – Platform Solutions*")</f>
        <v>0</v>
      </c>
      <c r="K384">
        <f>COUNTIF('Metrics - Articles'!F381,"*GCO – Industry Cloud *")</f>
        <v>0</v>
      </c>
      <c r="L384">
        <f>COUNTIF('Metrics - Articles'!F381,"*GCO – Customer Engagement &amp; Commerce (CRM &amp; hybris) *")</f>
        <v>0</v>
      </c>
      <c r="M384">
        <f>COUNTIF('Metrics - Articles'!F381,"*GCO – HR (SuccessFactors)*")</f>
        <v>0</v>
      </c>
      <c r="N384">
        <f>COUNTIF('Metrics - Articles'!F381,"*GCO – Services Sales*")</f>
        <v>0</v>
      </c>
      <c r="O384">
        <f>COUNTIF('Metrics - Articles'!F381,"*GCO – Other*")</f>
        <v>0</v>
      </c>
      <c r="P384">
        <f>COUNTIF('Metrics - Articles'!F381,"*Corporate*")</f>
        <v>0</v>
      </c>
      <c r="R384" s="53">
        <f t="shared" si="7"/>
        <v>0</v>
      </c>
    </row>
    <row r="385" spans="2:18" hidden="1" x14ac:dyDescent="0.25">
      <c r="B385" s="48">
        <f>+'Metrics - Articles'!C382</f>
        <v>0</v>
      </c>
      <c r="C385">
        <f>COUNTIF('Metrics - Articles'!F382,"*GPO (Partner, Ecosystem, Channels)*")</f>
        <v>0</v>
      </c>
      <c r="D385">
        <f>COUNTIF('Metrics - Articles'!F382,"*Office of the CEO*")</f>
        <v>0</v>
      </c>
      <c r="E385">
        <f>COUNTIF('Metrics - Articles'!F382,"*Services Delivery &amp; Support (go-lives and deployments) *")</f>
        <v>0</v>
      </c>
      <c r="F385">
        <f>COUNTIF('Metrics - Articles'!F382,"*Human Resources (SAP HR and employee stories)*")</f>
        <v>0</v>
      </c>
      <c r="G385">
        <f>COUNTIF('Metrics - Articles'!F382,"*P&amp;I (Research &amp; Development)*")</f>
        <v>0</v>
      </c>
      <c r="H385">
        <f>COUNTIF('Metrics - Articles'!F382,"*Business Network (Concur, Ariba, Fieldglass)*")</f>
        <v>0</v>
      </c>
      <c r="I385">
        <f>COUNTIF('Metrics - Articles'!F382,"*GCO – Regions*")</f>
        <v>0</v>
      </c>
      <c r="J385">
        <f>COUNTIF('Metrics - Articles'!F382,"*GCO – Platform Solutions*")</f>
        <v>0</v>
      </c>
      <c r="K385">
        <f>COUNTIF('Metrics - Articles'!F382,"*GCO – Industry Cloud *")</f>
        <v>0</v>
      </c>
      <c r="L385">
        <f>COUNTIF('Metrics - Articles'!F382,"*GCO – Customer Engagement &amp; Commerce (CRM &amp; hybris) *")</f>
        <v>0</v>
      </c>
      <c r="M385">
        <f>COUNTIF('Metrics - Articles'!F382,"*GCO – HR (SuccessFactors)*")</f>
        <v>0</v>
      </c>
      <c r="N385">
        <f>COUNTIF('Metrics - Articles'!F382,"*GCO – Services Sales*")</f>
        <v>0</v>
      </c>
      <c r="O385">
        <f>COUNTIF('Metrics - Articles'!F382,"*GCO – Other*")</f>
        <v>0</v>
      </c>
      <c r="P385">
        <f>COUNTIF('Metrics - Articles'!F382,"*Corporate*")</f>
        <v>0</v>
      </c>
      <c r="R385" s="53">
        <f t="shared" si="7"/>
        <v>0</v>
      </c>
    </row>
    <row r="386" spans="2:18" hidden="1" x14ac:dyDescent="0.25">
      <c r="B386" s="48">
        <f>+'Metrics - Articles'!C383</f>
        <v>0</v>
      </c>
      <c r="C386">
        <f>COUNTIF('Metrics - Articles'!F383,"*GPO (Partner, Ecosystem, Channels)*")</f>
        <v>0</v>
      </c>
      <c r="D386">
        <f>COUNTIF('Metrics - Articles'!F383,"*Office of the CEO*")</f>
        <v>0</v>
      </c>
      <c r="E386">
        <f>COUNTIF('Metrics - Articles'!F383,"*Services Delivery &amp; Support (go-lives and deployments) *")</f>
        <v>0</v>
      </c>
      <c r="F386">
        <f>COUNTIF('Metrics - Articles'!F383,"*Human Resources (SAP HR and employee stories)*")</f>
        <v>0</v>
      </c>
      <c r="G386">
        <f>COUNTIF('Metrics - Articles'!F383,"*P&amp;I (Research &amp; Development)*")</f>
        <v>0</v>
      </c>
      <c r="H386">
        <f>COUNTIF('Metrics - Articles'!F383,"*Business Network (Concur, Ariba, Fieldglass)*")</f>
        <v>0</v>
      </c>
      <c r="I386">
        <f>COUNTIF('Metrics - Articles'!F383,"*GCO – Regions*")</f>
        <v>0</v>
      </c>
      <c r="J386">
        <f>COUNTIF('Metrics - Articles'!F383,"*GCO – Platform Solutions*")</f>
        <v>0</v>
      </c>
      <c r="K386">
        <f>COUNTIF('Metrics - Articles'!F383,"*GCO – Industry Cloud *")</f>
        <v>0</v>
      </c>
      <c r="L386">
        <f>COUNTIF('Metrics - Articles'!F383,"*GCO – Customer Engagement &amp; Commerce (CRM &amp; hybris) *")</f>
        <v>0</v>
      </c>
      <c r="M386">
        <f>COUNTIF('Metrics - Articles'!F383,"*GCO – HR (SuccessFactors)*")</f>
        <v>0</v>
      </c>
      <c r="N386">
        <f>COUNTIF('Metrics - Articles'!F383,"*GCO – Services Sales*")</f>
        <v>0</v>
      </c>
      <c r="O386">
        <f>COUNTIF('Metrics - Articles'!F383,"*GCO – Other*")</f>
        <v>0</v>
      </c>
      <c r="P386">
        <f>COUNTIF('Metrics - Articles'!F383,"*Corporate*")</f>
        <v>0</v>
      </c>
      <c r="R386" s="53">
        <f t="shared" si="7"/>
        <v>0</v>
      </c>
    </row>
    <row r="387" spans="2:18" hidden="1" x14ac:dyDescent="0.25">
      <c r="B387" s="48">
        <f>+'Metrics - Articles'!C384</f>
        <v>0</v>
      </c>
      <c r="C387">
        <f>COUNTIF('Metrics - Articles'!F384,"*GPO (Partner, Ecosystem, Channels)*")</f>
        <v>0</v>
      </c>
      <c r="D387">
        <f>COUNTIF('Metrics - Articles'!F384,"*Office of the CEO*")</f>
        <v>0</v>
      </c>
      <c r="E387">
        <f>COUNTIF('Metrics - Articles'!F384,"*Services Delivery &amp; Support (go-lives and deployments) *")</f>
        <v>0</v>
      </c>
      <c r="F387">
        <f>COUNTIF('Metrics - Articles'!F384,"*Human Resources (SAP HR and employee stories)*")</f>
        <v>0</v>
      </c>
      <c r="G387">
        <f>COUNTIF('Metrics - Articles'!F384,"*P&amp;I (Research &amp; Development)*")</f>
        <v>0</v>
      </c>
      <c r="H387">
        <f>COUNTIF('Metrics - Articles'!F384,"*Business Network (Concur, Ariba, Fieldglass)*")</f>
        <v>0</v>
      </c>
      <c r="I387">
        <f>COUNTIF('Metrics - Articles'!F384,"*GCO – Regions*")</f>
        <v>0</v>
      </c>
      <c r="J387">
        <f>COUNTIF('Metrics - Articles'!F384,"*GCO – Platform Solutions*")</f>
        <v>0</v>
      </c>
      <c r="K387">
        <f>COUNTIF('Metrics - Articles'!F384,"*GCO – Industry Cloud *")</f>
        <v>0</v>
      </c>
      <c r="L387">
        <f>COUNTIF('Metrics - Articles'!F384,"*GCO – Customer Engagement &amp; Commerce (CRM &amp; hybris) *")</f>
        <v>0</v>
      </c>
      <c r="M387">
        <f>COUNTIF('Metrics - Articles'!F384,"*GCO – HR (SuccessFactors)*")</f>
        <v>0</v>
      </c>
      <c r="N387">
        <f>COUNTIF('Metrics - Articles'!F384,"*GCO – Services Sales*")</f>
        <v>0</v>
      </c>
      <c r="O387">
        <f>COUNTIF('Metrics - Articles'!F384,"*GCO – Other*")</f>
        <v>0</v>
      </c>
      <c r="P387">
        <f>COUNTIF('Metrics - Articles'!F384,"*Corporate*")</f>
        <v>0</v>
      </c>
      <c r="R387" s="53">
        <f t="shared" si="7"/>
        <v>0</v>
      </c>
    </row>
    <row r="388" spans="2:18" hidden="1" x14ac:dyDescent="0.25">
      <c r="B388" s="48">
        <f>+'Metrics - Articles'!C385</f>
        <v>0</v>
      </c>
      <c r="C388">
        <f>COUNTIF('Metrics - Articles'!F385,"*GPO (Partner, Ecosystem, Channels)*")</f>
        <v>0</v>
      </c>
      <c r="D388">
        <f>COUNTIF('Metrics - Articles'!F385,"*Office of the CEO*")</f>
        <v>0</v>
      </c>
      <c r="E388">
        <f>COUNTIF('Metrics - Articles'!F385,"*Services Delivery &amp; Support (go-lives and deployments) *")</f>
        <v>0</v>
      </c>
      <c r="F388">
        <f>COUNTIF('Metrics - Articles'!F385,"*Human Resources (SAP HR and employee stories)*")</f>
        <v>0</v>
      </c>
      <c r="G388">
        <f>COUNTIF('Metrics - Articles'!F385,"*P&amp;I (Research &amp; Development)*")</f>
        <v>0</v>
      </c>
      <c r="H388">
        <f>COUNTIF('Metrics - Articles'!F385,"*Business Network (Concur, Ariba, Fieldglass)*")</f>
        <v>0</v>
      </c>
      <c r="I388">
        <f>COUNTIF('Metrics - Articles'!F385,"*GCO – Regions*")</f>
        <v>0</v>
      </c>
      <c r="J388">
        <f>COUNTIF('Metrics - Articles'!F385,"*GCO – Platform Solutions*")</f>
        <v>0</v>
      </c>
      <c r="K388">
        <f>COUNTIF('Metrics - Articles'!F385,"*GCO – Industry Cloud *")</f>
        <v>0</v>
      </c>
      <c r="L388">
        <f>COUNTIF('Metrics - Articles'!F385,"*GCO – Customer Engagement &amp; Commerce (CRM &amp; hybris) *")</f>
        <v>0</v>
      </c>
      <c r="M388">
        <f>COUNTIF('Metrics - Articles'!F385,"*GCO – HR (SuccessFactors)*")</f>
        <v>0</v>
      </c>
      <c r="N388">
        <f>COUNTIF('Metrics - Articles'!F385,"*GCO – Services Sales*")</f>
        <v>0</v>
      </c>
      <c r="O388">
        <f>COUNTIF('Metrics - Articles'!F385,"*GCO – Other*")</f>
        <v>0</v>
      </c>
      <c r="P388">
        <f>COUNTIF('Metrics - Articles'!F385,"*Corporate*")</f>
        <v>0</v>
      </c>
      <c r="R388" s="53">
        <f t="shared" si="7"/>
        <v>0</v>
      </c>
    </row>
    <row r="389" spans="2:18" hidden="1" x14ac:dyDescent="0.25">
      <c r="B389" s="48">
        <f>+'Metrics - Articles'!C386</f>
        <v>0</v>
      </c>
      <c r="C389">
        <f>COUNTIF('Metrics - Articles'!F386,"*GPO (Partner, Ecosystem, Channels)*")</f>
        <v>0</v>
      </c>
      <c r="D389">
        <f>COUNTIF('Metrics - Articles'!F386,"*Office of the CEO*")</f>
        <v>0</v>
      </c>
      <c r="E389">
        <f>COUNTIF('Metrics - Articles'!F386,"*Services Delivery &amp; Support (go-lives and deployments) *")</f>
        <v>0</v>
      </c>
      <c r="F389">
        <f>COUNTIF('Metrics - Articles'!F386,"*Human Resources (SAP HR and employee stories)*")</f>
        <v>0</v>
      </c>
      <c r="G389">
        <f>COUNTIF('Metrics - Articles'!F386,"*P&amp;I (Research &amp; Development)*")</f>
        <v>0</v>
      </c>
      <c r="H389">
        <f>COUNTIF('Metrics - Articles'!F386,"*Business Network (Concur, Ariba, Fieldglass)*")</f>
        <v>0</v>
      </c>
      <c r="I389">
        <f>COUNTIF('Metrics - Articles'!F386,"*GCO – Regions*")</f>
        <v>0</v>
      </c>
      <c r="J389">
        <f>COUNTIF('Metrics - Articles'!F386,"*GCO – Platform Solutions*")</f>
        <v>0</v>
      </c>
      <c r="K389">
        <f>COUNTIF('Metrics - Articles'!F386,"*GCO – Industry Cloud *")</f>
        <v>0</v>
      </c>
      <c r="L389">
        <f>COUNTIF('Metrics - Articles'!F386,"*GCO – Customer Engagement &amp; Commerce (CRM &amp; hybris) *")</f>
        <v>0</v>
      </c>
      <c r="M389">
        <f>COUNTIF('Metrics - Articles'!F386,"*GCO – HR (SuccessFactors)*")</f>
        <v>0</v>
      </c>
      <c r="N389">
        <f>COUNTIF('Metrics - Articles'!F386,"*GCO – Services Sales*")</f>
        <v>0</v>
      </c>
      <c r="O389">
        <f>COUNTIF('Metrics - Articles'!F386,"*GCO – Other*")</f>
        <v>0</v>
      </c>
      <c r="P389">
        <f>COUNTIF('Metrics - Articles'!F386,"*Corporate*")</f>
        <v>0</v>
      </c>
      <c r="R389" s="53">
        <f t="shared" si="7"/>
        <v>0</v>
      </c>
    </row>
    <row r="390" spans="2:18" hidden="1" x14ac:dyDescent="0.25">
      <c r="B390" s="48">
        <f>+'Metrics - Articles'!C387</f>
        <v>0</v>
      </c>
      <c r="C390">
        <f>COUNTIF('Metrics - Articles'!F387,"*GPO (Partner, Ecosystem, Channels)*")</f>
        <v>0</v>
      </c>
      <c r="D390">
        <f>COUNTIF('Metrics - Articles'!F387,"*Office of the CEO*")</f>
        <v>0</v>
      </c>
      <c r="E390">
        <f>COUNTIF('Metrics - Articles'!F387,"*Services Delivery &amp; Support (go-lives and deployments) *")</f>
        <v>0</v>
      </c>
      <c r="F390">
        <f>COUNTIF('Metrics - Articles'!F387,"*Human Resources (SAP HR and employee stories)*")</f>
        <v>0</v>
      </c>
      <c r="G390">
        <f>COUNTIF('Metrics - Articles'!F387,"*P&amp;I (Research &amp; Development)*")</f>
        <v>0</v>
      </c>
      <c r="H390">
        <f>COUNTIF('Metrics - Articles'!F387,"*Business Network (Concur, Ariba, Fieldglass)*")</f>
        <v>0</v>
      </c>
      <c r="I390">
        <f>COUNTIF('Metrics - Articles'!F387,"*GCO – Regions*")</f>
        <v>0</v>
      </c>
      <c r="J390">
        <f>COUNTIF('Metrics - Articles'!F387,"*GCO – Platform Solutions*")</f>
        <v>0</v>
      </c>
      <c r="K390">
        <f>COUNTIF('Metrics - Articles'!F387,"*GCO – Industry Cloud *")</f>
        <v>0</v>
      </c>
      <c r="L390">
        <f>COUNTIF('Metrics - Articles'!F387,"*GCO – Customer Engagement &amp; Commerce (CRM &amp; hybris) *")</f>
        <v>0</v>
      </c>
      <c r="M390">
        <f>COUNTIF('Metrics - Articles'!F387,"*GCO – HR (SuccessFactors)*")</f>
        <v>0</v>
      </c>
      <c r="N390">
        <f>COUNTIF('Metrics - Articles'!F387,"*GCO – Services Sales*")</f>
        <v>0</v>
      </c>
      <c r="O390">
        <f>COUNTIF('Metrics - Articles'!F387,"*GCO – Other*")</f>
        <v>0</v>
      </c>
      <c r="P390">
        <f>COUNTIF('Metrics - Articles'!F387,"*Corporate*")</f>
        <v>0</v>
      </c>
      <c r="R390" s="53">
        <f t="shared" si="7"/>
        <v>0</v>
      </c>
    </row>
    <row r="391" spans="2:18" hidden="1" x14ac:dyDescent="0.25">
      <c r="B391" s="48">
        <f>+'Metrics - Articles'!C388</f>
        <v>0</v>
      </c>
      <c r="C391">
        <f>COUNTIF('Metrics - Articles'!F388,"*GPO (Partner, Ecosystem, Channels)*")</f>
        <v>0</v>
      </c>
      <c r="D391">
        <f>COUNTIF('Metrics - Articles'!F388,"*Office of the CEO*")</f>
        <v>0</v>
      </c>
      <c r="E391">
        <f>COUNTIF('Metrics - Articles'!F388,"*Services Delivery &amp; Support (go-lives and deployments) *")</f>
        <v>0</v>
      </c>
      <c r="F391">
        <f>COUNTIF('Metrics - Articles'!F388,"*Human Resources (SAP HR and employee stories)*")</f>
        <v>0</v>
      </c>
      <c r="G391">
        <f>COUNTIF('Metrics - Articles'!F388,"*P&amp;I (Research &amp; Development)*")</f>
        <v>0</v>
      </c>
      <c r="H391">
        <f>COUNTIF('Metrics - Articles'!F388,"*Business Network (Concur, Ariba, Fieldglass)*")</f>
        <v>0</v>
      </c>
      <c r="I391">
        <f>COUNTIF('Metrics - Articles'!F388,"*GCO – Regions*")</f>
        <v>0</v>
      </c>
      <c r="J391">
        <f>COUNTIF('Metrics - Articles'!F388,"*GCO – Platform Solutions*")</f>
        <v>0</v>
      </c>
      <c r="K391">
        <f>COUNTIF('Metrics - Articles'!F388,"*GCO – Industry Cloud *")</f>
        <v>0</v>
      </c>
      <c r="L391">
        <f>COUNTIF('Metrics - Articles'!F388,"*GCO – Customer Engagement &amp; Commerce (CRM &amp; hybris) *")</f>
        <v>0</v>
      </c>
      <c r="M391">
        <f>COUNTIF('Metrics - Articles'!F388,"*GCO – HR (SuccessFactors)*")</f>
        <v>0</v>
      </c>
      <c r="N391">
        <f>COUNTIF('Metrics - Articles'!F388,"*GCO – Services Sales*")</f>
        <v>0</v>
      </c>
      <c r="O391">
        <f>COUNTIF('Metrics - Articles'!F388,"*GCO – Other*")</f>
        <v>0</v>
      </c>
      <c r="P391">
        <f>COUNTIF('Metrics - Articles'!F388,"*Corporate*")</f>
        <v>0</v>
      </c>
      <c r="R391" s="53">
        <f t="shared" si="7"/>
        <v>0</v>
      </c>
    </row>
    <row r="392" spans="2:18" hidden="1" x14ac:dyDescent="0.25">
      <c r="B392" s="48">
        <f>+'Metrics - Articles'!C389</f>
        <v>0</v>
      </c>
      <c r="C392">
        <f>COUNTIF('Metrics - Articles'!F389,"*GPO (Partner, Ecosystem, Channels)*")</f>
        <v>0</v>
      </c>
      <c r="D392">
        <f>COUNTIF('Metrics - Articles'!F389,"*Office of the CEO*")</f>
        <v>0</v>
      </c>
      <c r="E392">
        <f>COUNTIF('Metrics - Articles'!F389,"*Services Delivery &amp; Support (go-lives and deployments) *")</f>
        <v>0</v>
      </c>
      <c r="F392">
        <f>COUNTIF('Metrics - Articles'!F389,"*Human Resources (SAP HR and employee stories)*")</f>
        <v>0</v>
      </c>
      <c r="G392">
        <f>COUNTIF('Metrics - Articles'!F389,"*P&amp;I (Research &amp; Development)*")</f>
        <v>0</v>
      </c>
      <c r="H392">
        <f>COUNTIF('Metrics - Articles'!F389,"*Business Network (Concur, Ariba, Fieldglass)*")</f>
        <v>0</v>
      </c>
      <c r="I392">
        <f>COUNTIF('Metrics - Articles'!F389,"*GCO – Regions*")</f>
        <v>0</v>
      </c>
      <c r="J392">
        <f>COUNTIF('Metrics - Articles'!F389,"*GCO – Platform Solutions*")</f>
        <v>0</v>
      </c>
      <c r="K392">
        <f>COUNTIF('Metrics - Articles'!F389,"*GCO – Industry Cloud *")</f>
        <v>0</v>
      </c>
      <c r="L392">
        <f>COUNTIF('Metrics - Articles'!F389,"*GCO – Customer Engagement &amp; Commerce (CRM &amp; hybris) *")</f>
        <v>0</v>
      </c>
      <c r="M392">
        <f>COUNTIF('Metrics - Articles'!F389,"*GCO – HR (SuccessFactors)*")</f>
        <v>0</v>
      </c>
      <c r="N392">
        <f>COUNTIF('Metrics - Articles'!F389,"*GCO – Services Sales*")</f>
        <v>0</v>
      </c>
      <c r="O392">
        <f>COUNTIF('Metrics - Articles'!F389,"*GCO – Other*")</f>
        <v>0</v>
      </c>
      <c r="P392">
        <f>COUNTIF('Metrics - Articles'!F389,"*Corporate*")</f>
        <v>0</v>
      </c>
      <c r="R392" s="53">
        <f t="shared" si="7"/>
        <v>0</v>
      </c>
    </row>
    <row r="393" spans="2:18" hidden="1" x14ac:dyDescent="0.25">
      <c r="B393" s="48">
        <f>+'Metrics - Articles'!C390</f>
        <v>0</v>
      </c>
      <c r="C393">
        <f>COUNTIF('Metrics - Articles'!F390,"*GPO (Partner, Ecosystem, Channels)*")</f>
        <v>0</v>
      </c>
      <c r="D393">
        <f>COUNTIF('Metrics - Articles'!F390,"*Office of the CEO*")</f>
        <v>0</v>
      </c>
      <c r="E393">
        <f>COUNTIF('Metrics - Articles'!F390,"*Services Delivery &amp; Support (go-lives and deployments) *")</f>
        <v>0</v>
      </c>
      <c r="F393">
        <f>COUNTIF('Metrics - Articles'!F390,"*Human Resources (SAP HR and employee stories)*")</f>
        <v>0</v>
      </c>
      <c r="G393">
        <f>COUNTIF('Metrics - Articles'!F390,"*P&amp;I (Research &amp; Development)*")</f>
        <v>0</v>
      </c>
      <c r="H393">
        <f>COUNTIF('Metrics - Articles'!F390,"*Business Network (Concur, Ariba, Fieldglass)*")</f>
        <v>0</v>
      </c>
      <c r="I393">
        <f>COUNTIF('Metrics - Articles'!F390,"*GCO – Regions*")</f>
        <v>0</v>
      </c>
      <c r="J393">
        <f>COUNTIF('Metrics - Articles'!F390,"*GCO – Platform Solutions*")</f>
        <v>0</v>
      </c>
      <c r="K393">
        <f>COUNTIF('Metrics - Articles'!F390,"*GCO – Industry Cloud *")</f>
        <v>0</v>
      </c>
      <c r="L393">
        <f>COUNTIF('Metrics - Articles'!F390,"*GCO – Customer Engagement &amp; Commerce (CRM &amp; hybris) *")</f>
        <v>0</v>
      </c>
      <c r="M393">
        <f>COUNTIF('Metrics - Articles'!F390,"*GCO – HR (SuccessFactors)*")</f>
        <v>0</v>
      </c>
      <c r="N393">
        <f>COUNTIF('Metrics - Articles'!F390,"*GCO – Services Sales*")</f>
        <v>0</v>
      </c>
      <c r="O393">
        <f>COUNTIF('Metrics - Articles'!F390,"*GCO – Other*")</f>
        <v>0</v>
      </c>
      <c r="P393">
        <f>COUNTIF('Metrics - Articles'!F390,"*Corporate*")</f>
        <v>0</v>
      </c>
      <c r="R393" s="53">
        <f t="shared" si="7"/>
        <v>0</v>
      </c>
    </row>
    <row r="394" spans="2:18" hidden="1" x14ac:dyDescent="0.25">
      <c r="B394" s="48">
        <f>+'Metrics - Articles'!C391</f>
        <v>0</v>
      </c>
      <c r="C394">
        <f>COUNTIF('Metrics - Articles'!F391,"*GPO (Partner, Ecosystem, Channels)*")</f>
        <v>0</v>
      </c>
      <c r="D394">
        <f>COUNTIF('Metrics - Articles'!F391,"*Office of the CEO*")</f>
        <v>0</v>
      </c>
      <c r="E394">
        <f>COUNTIF('Metrics - Articles'!F391,"*Services Delivery &amp; Support (go-lives and deployments) *")</f>
        <v>0</v>
      </c>
      <c r="F394">
        <f>COUNTIF('Metrics - Articles'!F391,"*Human Resources (SAP HR and employee stories)*")</f>
        <v>0</v>
      </c>
      <c r="G394">
        <f>COUNTIF('Metrics - Articles'!F391,"*P&amp;I (Research &amp; Development)*")</f>
        <v>0</v>
      </c>
      <c r="H394">
        <f>COUNTIF('Metrics - Articles'!F391,"*Business Network (Concur, Ariba, Fieldglass)*")</f>
        <v>0</v>
      </c>
      <c r="I394">
        <f>COUNTIF('Metrics - Articles'!F391,"*GCO – Regions*")</f>
        <v>0</v>
      </c>
      <c r="J394">
        <f>COUNTIF('Metrics - Articles'!F391,"*GCO – Platform Solutions*")</f>
        <v>0</v>
      </c>
      <c r="K394">
        <f>COUNTIF('Metrics - Articles'!F391,"*GCO – Industry Cloud *")</f>
        <v>0</v>
      </c>
      <c r="L394">
        <f>COUNTIF('Metrics - Articles'!F391,"*GCO – Customer Engagement &amp; Commerce (CRM &amp; hybris) *")</f>
        <v>0</v>
      </c>
      <c r="M394">
        <f>COUNTIF('Metrics - Articles'!F391,"*GCO – HR (SuccessFactors)*")</f>
        <v>0</v>
      </c>
      <c r="N394">
        <f>COUNTIF('Metrics - Articles'!F391,"*GCO – Services Sales*")</f>
        <v>0</v>
      </c>
      <c r="O394">
        <f>COUNTIF('Metrics - Articles'!F391,"*GCO – Other*")</f>
        <v>0</v>
      </c>
      <c r="P394">
        <f>COUNTIF('Metrics - Articles'!F391,"*Corporate*")</f>
        <v>0</v>
      </c>
      <c r="R394" s="53">
        <f t="shared" ref="R394:R457" si="8">SUM(C394:Q394)</f>
        <v>0</v>
      </c>
    </row>
    <row r="395" spans="2:18" hidden="1" x14ac:dyDescent="0.25">
      <c r="B395" s="48">
        <f>+'Metrics - Articles'!C392</f>
        <v>0</v>
      </c>
      <c r="C395">
        <f>COUNTIF('Metrics - Articles'!F392,"*GPO (Partner, Ecosystem, Channels)*")</f>
        <v>0</v>
      </c>
      <c r="D395">
        <f>COUNTIF('Metrics - Articles'!F392,"*Office of the CEO*")</f>
        <v>0</v>
      </c>
      <c r="E395">
        <f>COUNTIF('Metrics - Articles'!F392,"*Services Delivery &amp; Support (go-lives and deployments) *")</f>
        <v>0</v>
      </c>
      <c r="F395">
        <f>COUNTIF('Metrics - Articles'!F392,"*Human Resources (SAP HR and employee stories)*")</f>
        <v>0</v>
      </c>
      <c r="G395">
        <f>COUNTIF('Metrics - Articles'!F392,"*P&amp;I (Research &amp; Development)*")</f>
        <v>0</v>
      </c>
      <c r="H395">
        <f>COUNTIF('Metrics - Articles'!F392,"*Business Network (Concur, Ariba, Fieldglass)*")</f>
        <v>0</v>
      </c>
      <c r="I395">
        <f>COUNTIF('Metrics - Articles'!F392,"*GCO – Regions*")</f>
        <v>0</v>
      </c>
      <c r="J395">
        <f>COUNTIF('Metrics - Articles'!F392,"*GCO – Platform Solutions*")</f>
        <v>0</v>
      </c>
      <c r="K395">
        <f>COUNTIF('Metrics - Articles'!F392,"*GCO – Industry Cloud *")</f>
        <v>0</v>
      </c>
      <c r="L395">
        <f>COUNTIF('Metrics - Articles'!F392,"*GCO – Customer Engagement &amp; Commerce (CRM &amp; hybris) *")</f>
        <v>0</v>
      </c>
      <c r="M395">
        <f>COUNTIF('Metrics - Articles'!F392,"*GCO – HR (SuccessFactors)*")</f>
        <v>0</v>
      </c>
      <c r="N395">
        <f>COUNTIF('Metrics - Articles'!F392,"*GCO – Services Sales*")</f>
        <v>0</v>
      </c>
      <c r="O395">
        <f>COUNTIF('Metrics - Articles'!F392,"*GCO – Other*")</f>
        <v>0</v>
      </c>
      <c r="P395">
        <f>COUNTIF('Metrics - Articles'!F392,"*Corporate*")</f>
        <v>0</v>
      </c>
      <c r="R395" s="53">
        <f t="shared" si="8"/>
        <v>0</v>
      </c>
    </row>
    <row r="396" spans="2:18" hidden="1" x14ac:dyDescent="0.25">
      <c r="B396" s="48">
        <f>+'Metrics - Articles'!C393</f>
        <v>0</v>
      </c>
      <c r="C396">
        <f>COUNTIF('Metrics - Articles'!F393,"*GPO (Partner, Ecosystem, Channels)*")</f>
        <v>0</v>
      </c>
      <c r="D396">
        <f>COUNTIF('Metrics - Articles'!F393,"*Office of the CEO*")</f>
        <v>0</v>
      </c>
      <c r="E396">
        <f>COUNTIF('Metrics - Articles'!F393,"*Services Delivery &amp; Support (go-lives and deployments) *")</f>
        <v>0</v>
      </c>
      <c r="F396">
        <f>COUNTIF('Metrics - Articles'!F393,"*Human Resources (SAP HR and employee stories)*")</f>
        <v>0</v>
      </c>
      <c r="G396">
        <f>COUNTIF('Metrics - Articles'!F393,"*P&amp;I (Research &amp; Development)*")</f>
        <v>0</v>
      </c>
      <c r="H396">
        <f>COUNTIF('Metrics - Articles'!F393,"*Business Network (Concur, Ariba, Fieldglass)*")</f>
        <v>0</v>
      </c>
      <c r="I396">
        <f>COUNTIF('Metrics - Articles'!F393,"*GCO – Regions*")</f>
        <v>0</v>
      </c>
      <c r="J396">
        <f>COUNTIF('Metrics - Articles'!F393,"*GCO – Platform Solutions*")</f>
        <v>0</v>
      </c>
      <c r="K396">
        <f>COUNTIF('Metrics - Articles'!F393,"*GCO – Industry Cloud *")</f>
        <v>0</v>
      </c>
      <c r="L396">
        <f>COUNTIF('Metrics - Articles'!F393,"*GCO – Customer Engagement &amp; Commerce (CRM &amp; hybris) *")</f>
        <v>0</v>
      </c>
      <c r="M396">
        <f>COUNTIF('Metrics - Articles'!F393,"*GCO – HR (SuccessFactors)*")</f>
        <v>0</v>
      </c>
      <c r="N396">
        <f>COUNTIF('Metrics - Articles'!F393,"*GCO – Services Sales*")</f>
        <v>0</v>
      </c>
      <c r="O396">
        <f>COUNTIF('Metrics - Articles'!F393,"*GCO – Other*")</f>
        <v>0</v>
      </c>
      <c r="P396">
        <f>COUNTIF('Metrics - Articles'!F393,"*Corporate*")</f>
        <v>0</v>
      </c>
      <c r="R396" s="53">
        <f t="shared" si="8"/>
        <v>0</v>
      </c>
    </row>
    <row r="397" spans="2:18" hidden="1" x14ac:dyDescent="0.25">
      <c r="B397" s="48">
        <f>+'Metrics - Articles'!C394</f>
        <v>0</v>
      </c>
      <c r="C397">
        <f>COUNTIF('Metrics - Articles'!F394,"*GPO (Partner, Ecosystem, Channels)*")</f>
        <v>0</v>
      </c>
      <c r="D397">
        <f>COUNTIF('Metrics - Articles'!F394,"*Office of the CEO*")</f>
        <v>0</v>
      </c>
      <c r="E397">
        <f>COUNTIF('Metrics - Articles'!F394,"*Services Delivery &amp; Support (go-lives and deployments) *")</f>
        <v>0</v>
      </c>
      <c r="F397">
        <f>COUNTIF('Metrics - Articles'!F394,"*Human Resources (SAP HR and employee stories)*")</f>
        <v>0</v>
      </c>
      <c r="G397">
        <f>COUNTIF('Metrics - Articles'!F394,"*P&amp;I (Research &amp; Development)*")</f>
        <v>0</v>
      </c>
      <c r="H397">
        <f>COUNTIF('Metrics - Articles'!F394,"*Business Network (Concur, Ariba, Fieldglass)*")</f>
        <v>0</v>
      </c>
      <c r="I397">
        <f>COUNTIF('Metrics - Articles'!F394,"*GCO – Regions*")</f>
        <v>0</v>
      </c>
      <c r="J397">
        <f>COUNTIF('Metrics - Articles'!F394,"*GCO – Platform Solutions*")</f>
        <v>0</v>
      </c>
      <c r="K397">
        <f>COUNTIF('Metrics - Articles'!F394,"*GCO – Industry Cloud *")</f>
        <v>0</v>
      </c>
      <c r="L397">
        <f>COUNTIF('Metrics - Articles'!F394,"*GCO – Customer Engagement &amp; Commerce (CRM &amp; hybris) *")</f>
        <v>0</v>
      </c>
      <c r="M397">
        <f>COUNTIF('Metrics - Articles'!F394,"*GCO – HR (SuccessFactors)*")</f>
        <v>0</v>
      </c>
      <c r="N397">
        <f>COUNTIF('Metrics - Articles'!F394,"*GCO – Services Sales*")</f>
        <v>0</v>
      </c>
      <c r="O397">
        <f>COUNTIF('Metrics - Articles'!F394,"*GCO – Other*")</f>
        <v>0</v>
      </c>
      <c r="P397">
        <f>COUNTIF('Metrics - Articles'!F394,"*Corporate*")</f>
        <v>0</v>
      </c>
      <c r="R397" s="53">
        <f t="shared" si="8"/>
        <v>0</v>
      </c>
    </row>
    <row r="398" spans="2:18" hidden="1" x14ac:dyDescent="0.25">
      <c r="B398" s="48">
        <f>+'Metrics - Articles'!C395</f>
        <v>0</v>
      </c>
      <c r="C398">
        <f>COUNTIF('Metrics - Articles'!F395,"*GPO (Partner, Ecosystem, Channels)*")</f>
        <v>0</v>
      </c>
      <c r="D398">
        <f>COUNTIF('Metrics - Articles'!F395,"*Office of the CEO*")</f>
        <v>0</v>
      </c>
      <c r="E398">
        <f>COUNTIF('Metrics - Articles'!F395,"*Services Delivery &amp; Support (go-lives and deployments) *")</f>
        <v>0</v>
      </c>
      <c r="F398">
        <f>COUNTIF('Metrics - Articles'!F395,"*Human Resources (SAP HR and employee stories)*")</f>
        <v>0</v>
      </c>
      <c r="G398">
        <f>COUNTIF('Metrics - Articles'!F395,"*P&amp;I (Research &amp; Development)*")</f>
        <v>0</v>
      </c>
      <c r="H398">
        <f>COUNTIF('Metrics - Articles'!F395,"*Business Network (Concur, Ariba, Fieldglass)*")</f>
        <v>0</v>
      </c>
      <c r="I398">
        <f>COUNTIF('Metrics - Articles'!F395,"*GCO – Regions*")</f>
        <v>0</v>
      </c>
      <c r="J398">
        <f>COUNTIF('Metrics - Articles'!F395,"*GCO – Platform Solutions*")</f>
        <v>0</v>
      </c>
      <c r="K398">
        <f>COUNTIF('Metrics - Articles'!F395,"*GCO – Industry Cloud *")</f>
        <v>0</v>
      </c>
      <c r="L398">
        <f>COUNTIF('Metrics - Articles'!F395,"*GCO – Customer Engagement &amp; Commerce (CRM &amp; hybris) *")</f>
        <v>0</v>
      </c>
      <c r="M398">
        <f>COUNTIF('Metrics - Articles'!F395,"*GCO – HR (SuccessFactors)*")</f>
        <v>0</v>
      </c>
      <c r="N398">
        <f>COUNTIF('Metrics - Articles'!F395,"*GCO – Services Sales*")</f>
        <v>0</v>
      </c>
      <c r="O398">
        <f>COUNTIF('Metrics - Articles'!F395,"*GCO – Other*")</f>
        <v>0</v>
      </c>
      <c r="P398">
        <f>COUNTIF('Metrics - Articles'!F395,"*Corporate*")</f>
        <v>0</v>
      </c>
      <c r="R398" s="53">
        <f t="shared" si="8"/>
        <v>0</v>
      </c>
    </row>
    <row r="399" spans="2:18" hidden="1" x14ac:dyDescent="0.25">
      <c r="B399" s="48">
        <f>+'Metrics - Articles'!C396</f>
        <v>0</v>
      </c>
      <c r="C399">
        <f>COUNTIF('Metrics - Articles'!F396,"*GPO (Partner, Ecosystem, Channels)*")</f>
        <v>0</v>
      </c>
      <c r="D399">
        <f>COUNTIF('Metrics - Articles'!F396,"*Office of the CEO*")</f>
        <v>0</v>
      </c>
      <c r="E399">
        <f>COUNTIF('Metrics - Articles'!F396,"*Services Delivery &amp; Support (go-lives and deployments) *")</f>
        <v>0</v>
      </c>
      <c r="F399">
        <f>COUNTIF('Metrics - Articles'!F396,"*Human Resources (SAP HR and employee stories)*")</f>
        <v>0</v>
      </c>
      <c r="G399">
        <f>COUNTIF('Metrics - Articles'!F396,"*P&amp;I (Research &amp; Development)*")</f>
        <v>0</v>
      </c>
      <c r="H399">
        <f>COUNTIF('Metrics - Articles'!F396,"*Business Network (Concur, Ariba, Fieldglass)*")</f>
        <v>0</v>
      </c>
      <c r="I399">
        <f>COUNTIF('Metrics - Articles'!F396,"*GCO – Regions*")</f>
        <v>0</v>
      </c>
      <c r="J399">
        <f>COUNTIF('Metrics - Articles'!F396,"*GCO – Platform Solutions*")</f>
        <v>0</v>
      </c>
      <c r="K399">
        <f>COUNTIF('Metrics - Articles'!F396,"*GCO – Industry Cloud *")</f>
        <v>0</v>
      </c>
      <c r="L399">
        <f>COUNTIF('Metrics - Articles'!F396,"*GCO – Customer Engagement &amp; Commerce (CRM &amp; hybris) *")</f>
        <v>0</v>
      </c>
      <c r="M399">
        <f>COUNTIF('Metrics - Articles'!F396,"*GCO – HR (SuccessFactors)*")</f>
        <v>0</v>
      </c>
      <c r="N399">
        <f>COUNTIF('Metrics - Articles'!F396,"*GCO – Services Sales*")</f>
        <v>0</v>
      </c>
      <c r="O399">
        <f>COUNTIF('Metrics - Articles'!F396,"*GCO – Other*")</f>
        <v>0</v>
      </c>
      <c r="P399">
        <f>COUNTIF('Metrics - Articles'!F396,"*Corporate*")</f>
        <v>0</v>
      </c>
      <c r="R399" s="53">
        <f t="shared" si="8"/>
        <v>0</v>
      </c>
    </row>
    <row r="400" spans="2:18" hidden="1" x14ac:dyDescent="0.25">
      <c r="B400" s="48">
        <f>+'Metrics - Articles'!C397</f>
        <v>0</v>
      </c>
      <c r="C400">
        <f>COUNTIF('Metrics - Articles'!F397,"*GPO (Partner, Ecosystem, Channels)*")</f>
        <v>0</v>
      </c>
      <c r="D400">
        <f>COUNTIF('Metrics - Articles'!F397,"*Office of the CEO*")</f>
        <v>0</v>
      </c>
      <c r="E400">
        <f>COUNTIF('Metrics - Articles'!F397,"*Services Delivery &amp; Support (go-lives and deployments) *")</f>
        <v>0</v>
      </c>
      <c r="F400">
        <f>COUNTIF('Metrics - Articles'!F397,"*Human Resources (SAP HR and employee stories)*")</f>
        <v>0</v>
      </c>
      <c r="G400">
        <f>COUNTIF('Metrics - Articles'!F397,"*P&amp;I (Research &amp; Development)*")</f>
        <v>0</v>
      </c>
      <c r="H400">
        <f>COUNTIF('Metrics - Articles'!F397,"*Business Network (Concur, Ariba, Fieldglass)*")</f>
        <v>0</v>
      </c>
      <c r="I400">
        <f>COUNTIF('Metrics - Articles'!F397,"*GCO – Regions*")</f>
        <v>0</v>
      </c>
      <c r="J400">
        <f>COUNTIF('Metrics - Articles'!F397,"*GCO – Platform Solutions*")</f>
        <v>0</v>
      </c>
      <c r="K400">
        <f>COUNTIF('Metrics - Articles'!F397,"*GCO – Industry Cloud *")</f>
        <v>0</v>
      </c>
      <c r="L400">
        <f>COUNTIF('Metrics - Articles'!F397,"*GCO – Customer Engagement &amp; Commerce (CRM &amp; hybris) *")</f>
        <v>0</v>
      </c>
      <c r="M400">
        <f>COUNTIF('Metrics - Articles'!F397,"*GCO – HR (SuccessFactors)*")</f>
        <v>0</v>
      </c>
      <c r="N400">
        <f>COUNTIF('Metrics - Articles'!F397,"*GCO – Services Sales*")</f>
        <v>0</v>
      </c>
      <c r="O400">
        <f>COUNTIF('Metrics - Articles'!F397,"*GCO – Other*")</f>
        <v>0</v>
      </c>
      <c r="P400">
        <f>COUNTIF('Metrics - Articles'!F397,"*Corporate*")</f>
        <v>0</v>
      </c>
      <c r="R400" s="53">
        <f t="shared" si="8"/>
        <v>0</v>
      </c>
    </row>
    <row r="401" spans="2:18" hidden="1" x14ac:dyDescent="0.25">
      <c r="B401" s="48">
        <f>+'Metrics - Articles'!C398</f>
        <v>0</v>
      </c>
      <c r="C401">
        <f>COUNTIF('Metrics - Articles'!F398,"*GPO (Partner, Ecosystem, Channels)*")</f>
        <v>0</v>
      </c>
      <c r="D401">
        <f>COUNTIF('Metrics - Articles'!F398,"*Office of the CEO*")</f>
        <v>0</v>
      </c>
      <c r="E401">
        <f>COUNTIF('Metrics - Articles'!F398,"*Services Delivery &amp; Support (go-lives and deployments) *")</f>
        <v>0</v>
      </c>
      <c r="F401">
        <f>COUNTIF('Metrics - Articles'!F398,"*Human Resources (SAP HR and employee stories)*")</f>
        <v>0</v>
      </c>
      <c r="G401">
        <f>COUNTIF('Metrics - Articles'!F398,"*P&amp;I (Research &amp; Development)*")</f>
        <v>0</v>
      </c>
      <c r="H401">
        <f>COUNTIF('Metrics - Articles'!F398,"*Business Network (Concur, Ariba, Fieldglass)*")</f>
        <v>0</v>
      </c>
      <c r="I401">
        <f>COUNTIF('Metrics - Articles'!F398,"*GCO – Regions*")</f>
        <v>0</v>
      </c>
      <c r="J401">
        <f>COUNTIF('Metrics - Articles'!F398,"*GCO – Platform Solutions*")</f>
        <v>0</v>
      </c>
      <c r="K401">
        <f>COUNTIF('Metrics - Articles'!F398,"*GCO – Industry Cloud *")</f>
        <v>0</v>
      </c>
      <c r="L401">
        <f>COUNTIF('Metrics - Articles'!F398,"*GCO – Customer Engagement &amp; Commerce (CRM &amp; hybris) *")</f>
        <v>0</v>
      </c>
      <c r="M401">
        <f>COUNTIF('Metrics - Articles'!F398,"*GCO – HR (SuccessFactors)*")</f>
        <v>0</v>
      </c>
      <c r="N401">
        <f>COUNTIF('Metrics - Articles'!F398,"*GCO – Services Sales*")</f>
        <v>0</v>
      </c>
      <c r="O401">
        <f>COUNTIF('Metrics - Articles'!F398,"*GCO – Other*")</f>
        <v>0</v>
      </c>
      <c r="P401">
        <f>COUNTIF('Metrics - Articles'!F398,"*Corporate*")</f>
        <v>0</v>
      </c>
      <c r="R401" s="53">
        <f t="shared" si="8"/>
        <v>0</v>
      </c>
    </row>
    <row r="402" spans="2:18" hidden="1" x14ac:dyDescent="0.25">
      <c r="B402" s="48">
        <f>+'Metrics - Articles'!C399</f>
        <v>0</v>
      </c>
      <c r="C402">
        <f>COUNTIF('Metrics - Articles'!F399,"*GPO (Partner, Ecosystem, Channels)*")</f>
        <v>0</v>
      </c>
      <c r="D402">
        <f>COUNTIF('Metrics - Articles'!F399,"*Office of the CEO*")</f>
        <v>0</v>
      </c>
      <c r="E402">
        <f>COUNTIF('Metrics - Articles'!F399,"*Services Delivery &amp; Support (go-lives and deployments) *")</f>
        <v>0</v>
      </c>
      <c r="F402">
        <f>COUNTIF('Metrics - Articles'!F399,"*Human Resources (SAP HR and employee stories)*")</f>
        <v>0</v>
      </c>
      <c r="G402">
        <f>COUNTIF('Metrics - Articles'!F399,"*P&amp;I (Research &amp; Development)*")</f>
        <v>0</v>
      </c>
      <c r="H402">
        <f>COUNTIF('Metrics - Articles'!F399,"*Business Network (Concur, Ariba, Fieldglass)*")</f>
        <v>0</v>
      </c>
      <c r="I402">
        <f>COUNTIF('Metrics - Articles'!F399,"*GCO – Regions*")</f>
        <v>0</v>
      </c>
      <c r="J402">
        <f>COUNTIF('Metrics - Articles'!F399,"*GCO – Platform Solutions*")</f>
        <v>0</v>
      </c>
      <c r="K402">
        <f>COUNTIF('Metrics - Articles'!F399,"*GCO – Industry Cloud *")</f>
        <v>0</v>
      </c>
      <c r="L402">
        <f>COUNTIF('Metrics - Articles'!F399,"*GCO – Customer Engagement &amp; Commerce (CRM &amp; hybris) *")</f>
        <v>0</v>
      </c>
      <c r="M402">
        <f>COUNTIF('Metrics - Articles'!F399,"*GCO – HR (SuccessFactors)*")</f>
        <v>0</v>
      </c>
      <c r="N402">
        <f>COUNTIF('Metrics - Articles'!F399,"*GCO – Services Sales*")</f>
        <v>0</v>
      </c>
      <c r="O402">
        <f>COUNTIF('Metrics - Articles'!F399,"*GCO – Other*")</f>
        <v>0</v>
      </c>
      <c r="P402">
        <f>COUNTIF('Metrics - Articles'!F399,"*Corporate*")</f>
        <v>0</v>
      </c>
      <c r="R402" s="53">
        <f t="shared" si="8"/>
        <v>0</v>
      </c>
    </row>
    <row r="403" spans="2:18" hidden="1" x14ac:dyDescent="0.25">
      <c r="B403" s="48">
        <f>+'Metrics - Articles'!C400</f>
        <v>0</v>
      </c>
      <c r="C403">
        <f>COUNTIF('Metrics - Articles'!F400,"*GPO (Partner, Ecosystem, Channels)*")</f>
        <v>0</v>
      </c>
      <c r="D403">
        <f>COUNTIF('Metrics - Articles'!F400,"*Office of the CEO*")</f>
        <v>0</v>
      </c>
      <c r="E403">
        <f>COUNTIF('Metrics - Articles'!F400,"*Services Delivery &amp; Support (go-lives and deployments) *")</f>
        <v>0</v>
      </c>
      <c r="F403">
        <f>COUNTIF('Metrics - Articles'!F400,"*Human Resources (SAP HR and employee stories)*")</f>
        <v>0</v>
      </c>
      <c r="G403">
        <f>COUNTIF('Metrics - Articles'!F400,"*P&amp;I (Research &amp; Development)*")</f>
        <v>0</v>
      </c>
      <c r="H403">
        <f>COUNTIF('Metrics - Articles'!F400,"*Business Network (Concur, Ariba, Fieldglass)*")</f>
        <v>0</v>
      </c>
      <c r="I403">
        <f>COUNTIF('Metrics - Articles'!F400,"*GCO – Regions*")</f>
        <v>0</v>
      </c>
      <c r="J403">
        <f>COUNTIF('Metrics - Articles'!F400,"*GCO – Platform Solutions*")</f>
        <v>0</v>
      </c>
      <c r="K403">
        <f>COUNTIF('Metrics - Articles'!F400,"*GCO – Industry Cloud *")</f>
        <v>0</v>
      </c>
      <c r="L403">
        <f>COUNTIF('Metrics - Articles'!F400,"*GCO – Customer Engagement &amp; Commerce (CRM &amp; hybris) *")</f>
        <v>0</v>
      </c>
      <c r="M403">
        <f>COUNTIF('Metrics - Articles'!F400,"*GCO – HR (SuccessFactors)*")</f>
        <v>0</v>
      </c>
      <c r="N403">
        <f>COUNTIF('Metrics - Articles'!F400,"*GCO – Services Sales*")</f>
        <v>0</v>
      </c>
      <c r="O403">
        <f>COUNTIF('Metrics - Articles'!F400,"*GCO – Other*")</f>
        <v>0</v>
      </c>
      <c r="P403">
        <f>COUNTIF('Metrics - Articles'!F400,"*Corporate*")</f>
        <v>0</v>
      </c>
      <c r="R403" s="53">
        <f t="shared" si="8"/>
        <v>0</v>
      </c>
    </row>
    <row r="404" spans="2:18" hidden="1" x14ac:dyDescent="0.25">
      <c r="B404" s="48">
        <f>+'Metrics - Articles'!C401</f>
        <v>0</v>
      </c>
      <c r="C404">
        <f>COUNTIF('Metrics - Articles'!F401,"*GPO (Partner, Ecosystem, Channels)*")</f>
        <v>0</v>
      </c>
      <c r="D404">
        <f>COUNTIF('Metrics - Articles'!F401,"*Office of the CEO*")</f>
        <v>0</v>
      </c>
      <c r="E404">
        <f>COUNTIF('Metrics - Articles'!F401,"*Services Delivery &amp; Support (go-lives and deployments) *")</f>
        <v>0</v>
      </c>
      <c r="F404">
        <f>COUNTIF('Metrics - Articles'!F401,"*Human Resources (SAP HR and employee stories)*")</f>
        <v>0</v>
      </c>
      <c r="G404">
        <f>COUNTIF('Metrics - Articles'!F401,"*P&amp;I (Research &amp; Development)*")</f>
        <v>0</v>
      </c>
      <c r="H404">
        <f>COUNTIF('Metrics - Articles'!F401,"*Business Network (Concur, Ariba, Fieldglass)*")</f>
        <v>0</v>
      </c>
      <c r="I404">
        <f>COUNTIF('Metrics - Articles'!F401,"*GCO – Regions*")</f>
        <v>0</v>
      </c>
      <c r="J404">
        <f>COUNTIF('Metrics - Articles'!F401,"*GCO – Platform Solutions*")</f>
        <v>0</v>
      </c>
      <c r="K404">
        <f>COUNTIF('Metrics - Articles'!F401,"*GCO – Industry Cloud *")</f>
        <v>0</v>
      </c>
      <c r="L404">
        <f>COUNTIF('Metrics - Articles'!F401,"*GCO – Customer Engagement &amp; Commerce (CRM &amp; hybris) *")</f>
        <v>0</v>
      </c>
      <c r="M404">
        <f>COUNTIF('Metrics - Articles'!F401,"*GCO – HR (SuccessFactors)*")</f>
        <v>0</v>
      </c>
      <c r="N404">
        <f>COUNTIF('Metrics - Articles'!F401,"*GCO – Services Sales*")</f>
        <v>0</v>
      </c>
      <c r="O404">
        <f>COUNTIF('Metrics - Articles'!F401,"*GCO – Other*")</f>
        <v>0</v>
      </c>
      <c r="P404">
        <f>COUNTIF('Metrics - Articles'!F401,"*Corporate*")</f>
        <v>0</v>
      </c>
      <c r="R404" s="53">
        <f t="shared" si="8"/>
        <v>0</v>
      </c>
    </row>
    <row r="405" spans="2:18" hidden="1" x14ac:dyDescent="0.25">
      <c r="B405" s="48">
        <f>+'Metrics - Articles'!C402</f>
        <v>0</v>
      </c>
      <c r="C405">
        <f>COUNTIF('Metrics - Articles'!F402,"*GPO (Partner, Ecosystem, Channels)*")</f>
        <v>0</v>
      </c>
      <c r="D405">
        <f>COUNTIF('Metrics - Articles'!F402,"*Office of the CEO*")</f>
        <v>0</v>
      </c>
      <c r="E405">
        <f>COUNTIF('Metrics - Articles'!F402,"*Services Delivery &amp; Support (go-lives and deployments) *")</f>
        <v>0</v>
      </c>
      <c r="F405">
        <f>COUNTIF('Metrics - Articles'!F402,"*Human Resources (SAP HR and employee stories)*")</f>
        <v>0</v>
      </c>
      <c r="G405">
        <f>COUNTIF('Metrics - Articles'!F402,"*P&amp;I (Research &amp; Development)*")</f>
        <v>0</v>
      </c>
      <c r="H405">
        <f>COUNTIF('Metrics - Articles'!F402,"*Business Network (Concur, Ariba, Fieldglass)*")</f>
        <v>0</v>
      </c>
      <c r="I405">
        <f>COUNTIF('Metrics - Articles'!F402,"*GCO – Regions*")</f>
        <v>0</v>
      </c>
      <c r="J405">
        <f>COUNTIF('Metrics - Articles'!F402,"*GCO – Platform Solutions*")</f>
        <v>0</v>
      </c>
      <c r="K405">
        <f>COUNTIF('Metrics - Articles'!F402,"*GCO – Industry Cloud *")</f>
        <v>0</v>
      </c>
      <c r="L405">
        <f>COUNTIF('Metrics - Articles'!F402,"*GCO – Customer Engagement &amp; Commerce (CRM &amp; hybris) *")</f>
        <v>0</v>
      </c>
      <c r="M405">
        <f>COUNTIF('Metrics - Articles'!F402,"*GCO – HR (SuccessFactors)*")</f>
        <v>0</v>
      </c>
      <c r="N405">
        <f>COUNTIF('Metrics - Articles'!F402,"*GCO – Services Sales*")</f>
        <v>0</v>
      </c>
      <c r="O405">
        <f>COUNTIF('Metrics - Articles'!F402,"*GCO – Other*")</f>
        <v>0</v>
      </c>
      <c r="P405">
        <f>COUNTIF('Metrics - Articles'!F402,"*Corporate*")</f>
        <v>0</v>
      </c>
      <c r="R405" s="53">
        <f t="shared" si="8"/>
        <v>0</v>
      </c>
    </row>
    <row r="406" spans="2:18" hidden="1" x14ac:dyDescent="0.25">
      <c r="B406" s="48">
        <f>+'Metrics - Articles'!C403</f>
        <v>0</v>
      </c>
      <c r="C406">
        <f>COUNTIF('Metrics - Articles'!F403,"*GPO (Partner, Ecosystem, Channels)*")</f>
        <v>0</v>
      </c>
      <c r="D406">
        <f>COUNTIF('Metrics - Articles'!F403,"*Office of the CEO*")</f>
        <v>0</v>
      </c>
      <c r="E406">
        <f>COUNTIF('Metrics - Articles'!F403,"*Services Delivery &amp; Support (go-lives and deployments) *")</f>
        <v>0</v>
      </c>
      <c r="F406">
        <f>COUNTIF('Metrics - Articles'!F403,"*Human Resources (SAP HR and employee stories)*")</f>
        <v>0</v>
      </c>
      <c r="G406">
        <f>COUNTIF('Metrics - Articles'!F403,"*P&amp;I (Research &amp; Development)*")</f>
        <v>0</v>
      </c>
      <c r="H406">
        <f>COUNTIF('Metrics - Articles'!F403,"*Business Network (Concur, Ariba, Fieldglass)*")</f>
        <v>0</v>
      </c>
      <c r="I406">
        <f>COUNTIF('Metrics - Articles'!F403,"*GCO – Regions*")</f>
        <v>0</v>
      </c>
      <c r="J406">
        <f>COUNTIF('Metrics - Articles'!F403,"*GCO – Platform Solutions*")</f>
        <v>0</v>
      </c>
      <c r="K406">
        <f>COUNTIF('Metrics - Articles'!F403,"*GCO – Industry Cloud *")</f>
        <v>0</v>
      </c>
      <c r="L406">
        <f>COUNTIF('Metrics - Articles'!F403,"*GCO – Customer Engagement &amp; Commerce (CRM &amp; hybris) *")</f>
        <v>0</v>
      </c>
      <c r="M406">
        <f>COUNTIF('Metrics - Articles'!F403,"*GCO – HR (SuccessFactors)*")</f>
        <v>0</v>
      </c>
      <c r="N406">
        <f>COUNTIF('Metrics - Articles'!F403,"*GCO – Services Sales*")</f>
        <v>0</v>
      </c>
      <c r="O406">
        <f>COUNTIF('Metrics - Articles'!F403,"*GCO – Other*")</f>
        <v>0</v>
      </c>
      <c r="P406">
        <f>COUNTIF('Metrics - Articles'!F403,"*Corporate*")</f>
        <v>0</v>
      </c>
      <c r="R406" s="53">
        <f t="shared" si="8"/>
        <v>0</v>
      </c>
    </row>
    <row r="407" spans="2:18" hidden="1" x14ac:dyDescent="0.25">
      <c r="B407" s="48">
        <f>+'Metrics - Articles'!C404</f>
        <v>0</v>
      </c>
      <c r="C407">
        <f>COUNTIF('Metrics - Articles'!F404,"*GPO (Partner, Ecosystem, Channels)*")</f>
        <v>0</v>
      </c>
      <c r="D407">
        <f>COUNTIF('Metrics - Articles'!F404,"*Office of the CEO*")</f>
        <v>0</v>
      </c>
      <c r="E407">
        <f>COUNTIF('Metrics - Articles'!F404,"*Services Delivery &amp; Support (go-lives and deployments) *")</f>
        <v>0</v>
      </c>
      <c r="F407">
        <f>COUNTIF('Metrics - Articles'!F404,"*Human Resources (SAP HR and employee stories)*")</f>
        <v>0</v>
      </c>
      <c r="G407">
        <f>COUNTIF('Metrics - Articles'!F404,"*P&amp;I (Research &amp; Development)*")</f>
        <v>0</v>
      </c>
      <c r="H407">
        <f>COUNTIF('Metrics - Articles'!F404,"*Business Network (Concur, Ariba, Fieldglass)*")</f>
        <v>0</v>
      </c>
      <c r="I407">
        <f>COUNTIF('Metrics - Articles'!F404,"*GCO – Regions*")</f>
        <v>0</v>
      </c>
      <c r="J407">
        <f>COUNTIF('Metrics - Articles'!F404,"*GCO – Platform Solutions*")</f>
        <v>0</v>
      </c>
      <c r="K407">
        <f>COUNTIF('Metrics - Articles'!F404,"*GCO – Industry Cloud *")</f>
        <v>0</v>
      </c>
      <c r="L407">
        <f>COUNTIF('Metrics - Articles'!F404,"*GCO – Customer Engagement &amp; Commerce (CRM &amp; hybris) *")</f>
        <v>0</v>
      </c>
      <c r="M407">
        <f>COUNTIF('Metrics - Articles'!F404,"*GCO – HR (SuccessFactors)*")</f>
        <v>0</v>
      </c>
      <c r="N407">
        <f>COUNTIF('Metrics - Articles'!F404,"*GCO – Services Sales*")</f>
        <v>0</v>
      </c>
      <c r="O407">
        <f>COUNTIF('Metrics - Articles'!F404,"*GCO – Other*")</f>
        <v>0</v>
      </c>
      <c r="P407">
        <f>COUNTIF('Metrics - Articles'!F404,"*Corporate*")</f>
        <v>0</v>
      </c>
      <c r="R407" s="53">
        <f t="shared" si="8"/>
        <v>0</v>
      </c>
    </row>
    <row r="408" spans="2:18" hidden="1" x14ac:dyDescent="0.25">
      <c r="B408" s="48">
        <f>+'Metrics - Articles'!C405</f>
        <v>0</v>
      </c>
      <c r="C408">
        <f>COUNTIF('Metrics - Articles'!F405,"*GPO (Partner, Ecosystem, Channels)*")</f>
        <v>0</v>
      </c>
      <c r="D408">
        <f>COUNTIF('Metrics - Articles'!F405,"*Office of the CEO*")</f>
        <v>0</v>
      </c>
      <c r="E408">
        <f>COUNTIF('Metrics - Articles'!F405,"*Services Delivery &amp; Support (go-lives and deployments) *")</f>
        <v>0</v>
      </c>
      <c r="F408">
        <f>COUNTIF('Metrics - Articles'!F405,"*Human Resources (SAP HR and employee stories)*")</f>
        <v>0</v>
      </c>
      <c r="G408">
        <f>COUNTIF('Metrics - Articles'!F405,"*P&amp;I (Research &amp; Development)*")</f>
        <v>0</v>
      </c>
      <c r="H408">
        <f>COUNTIF('Metrics - Articles'!F405,"*Business Network (Concur, Ariba, Fieldglass)*")</f>
        <v>0</v>
      </c>
      <c r="I408">
        <f>COUNTIF('Metrics - Articles'!F405,"*GCO – Regions*")</f>
        <v>0</v>
      </c>
      <c r="J408">
        <f>COUNTIF('Metrics - Articles'!F405,"*GCO – Platform Solutions*")</f>
        <v>0</v>
      </c>
      <c r="K408">
        <f>COUNTIF('Metrics - Articles'!F405,"*GCO – Industry Cloud *")</f>
        <v>0</v>
      </c>
      <c r="L408">
        <f>COUNTIF('Metrics - Articles'!F405,"*GCO – Customer Engagement &amp; Commerce (CRM &amp; hybris) *")</f>
        <v>0</v>
      </c>
      <c r="M408">
        <f>COUNTIF('Metrics - Articles'!F405,"*GCO – HR (SuccessFactors)*")</f>
        <v>0</v>
      </c>
      <c r="N408">
        <f>COUNTIF('Metrics - Articles'!F405,"*GCO – Services Sales*")</f>
        <v>0</v>
      </c>
      <c r="O408">
        <f>COUNTIF('Metrics - Articles'!F405,"*GCO – Other*")</f>
        <v>0</v>
      </c>
      <c r="P408">
        <f>COUNTIF('Metrics - Articles'!F405,"*Corporate*")</f>
        <v>0</v>
      </c>
      <c r="R408" s="53">
        <f t="shared" si="8"/>
        <v>0</v>
      </c>
    </row>
    <row r="409" spans="2:18" hidden="1" x14ac:dyDescent="0.25">
      <c r="B409" s="48">
        <f>+'Metrics - Articles'!C406</f>
        <v>0</v>
      </c>
      <c r="C409">
        <f>COUNTIF('Metrics - Articles'!F406,"*GPO (Partner, Ecosystem, Channels)*")</f>
        <v>0</v>
      </c>
      <c r="D409">
        <f>COUNTIF('Metrics - Articles'!F406,"*Office of the CEO*")</f>
        <v>0</v>
      </c>
      <c r="E409">
        <f>COUNTIF('Metrics - Articles'!F406,"*Services Delivery &amp; Support (go-lives and deployments) *")</f>
        <v>0</v>
      </c>
      <c r="F409">
        <f>COUNTIF('Metrics - Articles'!F406,"*Human Resources (SAP HR and employee stories)*")</f>
        <v>0</v>
      </c>
      <c r="G409">
        <f>COUNTIF('Metrics - Articles'!F406,"*P&amp;I (Research &amp; Development)*")</f>
        <v>0</v>
      </c>
      <c r="H409">
        <f>COUNTIF('Metrics - Articles'!F406,"*Business Network (Concur, Ariba, Fieldglass)*")</f>
        <v>0</v>
      </c>
      <c r="I409">
        <f>COUNTIF('Metrics - Articles'!F406,"*GCO – Regions*")</f>
        <v>0</v>
      </c>
      <c r="J409">
        <f>COUNTIF('Metrics - Articles'!F406,"*GCO – Platform Solutions*")</f>
        <v>0</v>
      </c>
      <c r="K409">
        <f>COUNTIF('Metrics - Articles'!F406,"*GCO – Industry Cloud *")</f>
        <v>0</v>
      </c>
      <c r="L409">
        <f>COUNTIF('Metrics - Articles'!F406,"*GCO – Customer Engagement &amp; Commerce (CRM &amp; hybris) *")</f>
        <v>0</v>
      </c>
      <c r="M409">
        <f>COUNTIF('Metrics - Articles'!F406,"*GCO – HR (SuccessFactors)*")</f>
        <v>0</v>
      </c>
      <c r="N409">
        <f>COUNTIF('Metrics - Articles'!F406,"*GCO – Services Sales*")</f>
        <v>0</v>
      </c>
      <c r="O409">
        <f>COUNTIF('Metrics - Articles'!F406,"*GCO – Other*")</f>
        <v>0</v>
      </c>
      <c r="P409">
        <f>COUNTIF('Metrics - Articles'!F406,"*Corporate*")</f>
        <v>0</v>
      </c>
      <c r="R409" s="53">
        <f t="shared" si="8"/>
        <v>0</v>
      </c>
    </row>
    <row r="410" spans="2:18" hidden="1" x14ac:dyDescent="0.25">
      <c r="B410" s="48">
        <f>+'Metrics - Articles'!C407</f>
        <v>0</v>
      </c>
      <c r="C410">
        <f>COUNTIF('Metrics - Articles'!F407,"*GPO (Partner, Ecosystem, Channels)*")</f>
        <v>0</v>
      </c>
      <c r="D410">
        <f>COUNTIF('Metrics - Articles'!F407,"*Office of the CEO*")</f>
        <v>0</v>
      </c>
      <c r="E410">
        <f>COUNTIF('Metrics - Articles'!F407,"*Services Delivery &amp; Support (go-lives and deployments) *")</f>
        <v>0</v>
      </c>
      <c r="F410">
        <f>COUNTIF('Metrics - Articles'!F407,"*Human Resources (SAP HR and employee stories)*")</f>
        <v>0</v>
      </c>
      <c r="G410">
        <f>COUNTIF('Metrics - Articles'!F407,"*P&amp;I (Research &amp; Development)*")</f>
        <v>0</v>
      </c>
      <c r="H410">
        <f>COUNTIF('Metrics - Articles'!F407,"*Business Network (Concur, Ariba, Fieldglass)*")</f>
        <v>0</v>
      </c>
      <c r="I410">
        <f>COUNTIF('Metrics - Articles'!F407,"*GCO – Regions*")</f>
        <v>0</v>
      </c>
      <c r="J410">
        <f>COUNTIF('Metrics - Articles'!F407,"*GCO – Platform Solutions*")</f>
        <v>0</v>
      </c>
      <c r="K410">
        <f>COUNTIF('Metrics - Articles'!F407,"*GCO – Industry Cloud *")</f>
        <v>0</v>
      </c>
      <c r="L410">
        <f>COUNTIF('Metrics - Articles'!F407,"*GCO – Customer Engagement &amp; Commerce (CRM &amp; hybris) *")</f>
        <v>0</v>
      </c>
      <c r="M410">
        <f>COUNTIF('Metrics - Articles'!F407,"*GCO – HR (SuccessFactors)*")</f>
        <v>0</v>
      </c>
      <c r="N410">
        <f>COUNTIF('Metrics - Articles'!F407,"*GCO – Services Sales*")</f>
        <v>0</v>
      </c>
      <c r="O410">
        <f>COUNTIF('Metrics - Articles'!F407,"*GCO – Other*")</f>
        <v>0</v>
      </c>
      <c r="P410">
        <f>COUNTIF('Metrics - Articles'!F407,"*Corporate*")</f>
        <v>0</v>
      </c>
      <c r="R410" s="53">
        <f t="shared" si="8"/>
        <v>0</v>
      </c>
    </row>
    <row r="411" spans="2:18" hidden="1" x14ac:dyDescent="0.25">
      <c r="B411" s="48">
        <f>+'Metrics - Articles'!C408</f>
        <v>0</v>
      </c>
      <c r="C411">
        <f>COUNTIF('Metrics - Articles'!F408,"*GPO (Partner, Ecosystem, Channels)*")</f>
        <v>0</v>
      </c>
      <c r="D411">
        <f>COUNTIF('Metrics - Articles'!F408,"*Office of the CEO*")</f>
        <v>0</v>
      </c>
      <c r="E411">
        <f>COUNTIF('Metrics - Articles'!F408,"*Services Delivery &amp; Support (go-lives and deployments) *")</f>
        <v>0</v>
      </c>
      <c r="F411">
        <f>COUNTIF('Metrics - Articles'!F408,"*Human Resources (SAP HR and employee stories)*")</f>
        <v>0</v>
      </c>
      <c r="G411">
        <f>COUNTIF('Metrics - Articles'!F408,"*P&amp;I (Research &amp; Development)*")</f>
        <v>0</v>
      </c>
      <c r="H411">
        <f>COUNTIF('Metrics - Articles'!F408,"*Business Network (Concur, Ariba, Fieldglass)*")</f>
        <v>0</v>
      </c>
      <c r="I411">
        <f>COUNTIF('Metrics - Articles'!F408,"*GCO – Regions*")</f>
        <v>0</v>
      </c>
      <c r="J411">
        <f>COUNTIF('Metrics - Articles'!F408,"*GCO – Platform Solutions*")</f>
        <v>0</v>
      </c>
      <c r="K411">
        <f>COUNTIF('Metrics - Articles'!F408,"*GCO – Industry Cloud *")</f>
        <v>0</v>
      </c>
      <c r="L411">
        <f>COUNTIF('Metrics - Articles'!F408,"*GCO – Customer Engagement &amp; Commerce (CRM &amp; hybris) *")</f>
        <v>0</v>
      </c>
      <c r="M411">
        <f>COUNTIF('Metrics - Articles'!F408,"*GCO – HR (SuccessFactors)*")</f>
        <v>0</v>
      </c>
      <c r="N411">
        <f>COUNTIF('Metrics - Articles'!F408,"*GCO – Services Sales*")</f>
        <v>0</v>
      </c>
      <c r="O411">
        <f>COUNTIF('Metrics - Articles'!F408,"*GCO – Other*")</f>
        <v>0</v>
      </c>
      <c r="P411">
        <f>COUNTIF('Metrics - Articles'!F408,"*Corporate*")</f>
        <v>0</v>
      </c>
      <c r="R411" s="53">
        <f t="shared" si="8"/>
        <v>0</v>
      </c>
    </row>
    <row r="412" spans="2:18" hidden="1" x14ac:dyDescent="0.25">
      <c r="B412" s="48">
        <f>+'Metrics - Articles'!C409</f>
        <v>0</v>
      </c>
      <c r="C412">
        <f>COUNTIF('Metrics - Articles'!F409,"*GPO (Partner, Ecosystem, Channels)*")</f>
        <v>0</v>
      </c>
      <c r="D412">
        <f>COUNTIF('Metrics - Articles'!F409,"*Office of the CEO*")</f>
        <v>0</v>
      </c>
      <c r="E412">
        <f>COUNTIF('Metrics - Articles'!F409,"*Services Delivery &amp; Support (go-lives and deployments) *")</f>
        <v>0</v>
      </c>
      <c r="F412">
        <f>COUNTIF('Metrics - Articles'!F409,"*Human Resources (SAP HR and employee stories)*")</f>
        <v>0</v>
      </c>
      <c r="G412">
        <f>COUNTIF('Metrics - Articles'!F409,"*P&amp;I (Research &amp; Development)*")</f>
        <v>0</v>
      </c>
      <c r="H412">
        <f>COUNTIF('Metrics - Articles'!F409,"*Business Network (Concur, Ariba, Fieldglass)*")</f>
        <v>0</v>
      </c>
      <c r="I412">
        <f>COUNTIF('Metrics - Articles'!F409,"*GCO – Regions*")</f>
        <v>0</v>
      </c>
      <c r="J412">
        <f>COUNTIF('Metrics - Articles'!F409,"*GCO – Platform Solutions*")</f>
        <v>0</v>
      </c>
      <c r="K412">
        <f>COUNTIF('Metrics - Articles'!F409,"*GCO – Industry Cloud *")</f>
        <v>0</v>
      </c>
      <c r="L412">
        <f>COUNTIF('Metrics - Articles'!F409,"*GCO – Customer Engagement &amp; Commerce (CRM &amp; hybris) *")</f>
        <v>0</v>
      </c>
      <c r="M412">
        <f>COUNTIF('Metrics - Articles'!F409,"*GCO – HR (SuccessFactors)*")</f>
        <v>0</v>
      </c>
      <c r="N412">
        <f>COUNTIF('Metrics - Articles'!F409,"*GCO – Services Sales*")</f>
        <v>0</v>
      </c>
      <c r="O412">
        <f>COUNTIF('Metrics - Articles'!F409,"*GCO – Other*")</f>
        <v>0</v>
      </c>
      <c r="P412">
        <f>COUNTIF('Metrics - Articles'!F409,"*Corporate*")</f>
        <v>0</v>
      </c>
      <c r="R412" s="53">
        <f t="shared" si="8"/>
        <v>0</v>
      </c>
    </row>
    <row r="413" spans="2:18" hidden="1" x14ac:dyDescent="0.25">
      <c r="B413" s="48">
        <f>+'Metrics - Articles'!C410</f>
        <v>0</v>
      </c>
      <c r="C413">
        <f>COUNTIF('Metrics - Articles'!F410,"*GPO (Partner, Ecosystem, Channels)*")</f>
        <v>0</v>
      </c>
      <c r="D413">
        <f>COUNTIF('Metrics - Articles'!F410,"*Office of the CEO*")</f>
        <v>0</v>
      </c>
      <c r="E413">
        <f>COUNTIF('Metrics - Articles'!F410,"*Services Delivery &amp; Support (go-lives and deployments) *")</f>
        <v>0</v>
      </c>
      <c r="F413">
        <f>COUNTIF('Metrics - Articles'!F410,"*Human Resources (SAP HR and employee stories)*")</f>
        <v>0</v>
      </c>
      <c r="G413">
        <f>COUNTIF('Metrics - Articles'!F410,"*P&amp;I (Research &amp; Development)*")</f>
        <v>0</v>
      </c>
      <c r="H413">
        <f>COUNTIF('Metrics - Articles'!F410,"*Business Network (Concur, Ariba, Fieldglass)*")</f>
        <v>0</v>
      </c>
      <c r="I413">
        <f>COUNTIF('Metrics - Articles'!F410,"*GCO – Regions*")</f>
        <v>0</v>
      </c>
      <c r="J413">
        <f>COUNTIF('Metrics - Articles'!F410,"*GCO – Platform Solutions*")</f>
        <v>0</v>
      </c>
      <c r="K413">
        <f>COUNTIF('Metrics - Articles'!F410,"*GCO – Industry Cloud *")</f>
        <v>0</v>
      </c>
      <c r="L413">
        <f>COUNTIF('Metrics - Articles'!F410,"*GCO – Customer Engagement &amp; Commerce (CRM &amp; hybris) *")</f>
        <v>0</v>
      </c>
      <c r="M413">
        <f>COUNTIF('Metrics - Articles'!F410,"*GCO – HR (SuccessFactors)*")</f>
        <v>0</v>
      </c>
      <c r="N413">
        <f>COUNTIF('Metrics - Articles'!F410,"*GCO – Services Sales*")</f>
        <v>0</v>
      </c>
      <c r="O413">
        <f>COUNTIF('Metrics - Articles'!F410,"*GCO – Other*")</f>
        <v>0</v>
      </c>
      <c r="P413">
        <f>COUNTIF('Metrics - Articles'!F410,"*Corporate*")</f>
        <v>0</v>
      </c>
      <c r="R413" s="53">
        <f t="shared" si="8"/>
        <v>0</v>
      </c>
    </row>
    <row r="414" spans="2:18" hidden="1" x14ac:dyDescent="0.25">
      <c r="B414" s="48">
        <f>+'Metrics - Articles'!C411</f>
        <v>0</v>
      </c>
      <c r="C414">
        <f>COUNTIF('Metrics - Articles'!F411,"*GPO (Partner, Ecosystem, Channels)*")</f>
        <v>0</v>
      </c>
      <c r="D414">
        <f>COUNTIF('Metrics - Articles'!F411,"*Office of the CEO*")</f>
        <v>0</v>
      </c>
      <c r="E414">
        <f>COUNTIF('Metrics - Articles'!F411,"*Services Delivery &amp; Support (go-lives and deployments) *")</f>
        <v>0</v>
      </c>
      <c r="F414">
        <f>COUNTIF('Metrics - Articles'!F411,"*Human Resources (SAP HR and employee stories)*")</f>
        <v>0</v>
      </c>
      <c r="G414">
        <f>COUNTIF('Metrics - Articles'!F411,"*P&amp;I (Research &amp; Development)*")</f>
        <v>0</v>
      </c>
      <c r="H414">
        <f>COUNTIF('Metrics - Articles'!F411,"*Business Network (Concur, Ariba, Fieldglass)*")</f>
        <v>0</v>
      </c>
      <c r="I414">
        <f>COUNTIF('Metrics - Articles'!F411,"*GCO – Regions*")</f>
        <v>0</v>
      </c>
      <c r="J414">
        <f>COUNTIF('Metrics - Articles'!F411,"*GCO – Platform Solutions*")</f>
        <v>0</v>
      </c>
      <c r="K414">
        <f>COUNTIF('Metrics - Articles'!F411,"*GCO – Industry Cloud *")</f>
        <v>0</v>
      </c>
      <c r="L414">
        <f>COUNTIF('Metrics - Articles'!F411,"*GCO – Customer Engagement &amp; Commerce (CRM &amp; hybris) *")</f>
        <v>0</v>
      </c>
      <c r="M414">
        <f>COUNTIF('Metrics - Articles'!F411,"*GCO – HR (SuccessFactors)*")</f>
        <v>0</v>
      </c>
      <c r="N414">
        <f>COUNTIF('Metrics - Articles'!F411,"*GCO – Services Sales*")</f>
        <v>0</v>
      </c>
      <c r="O414">
        <f>COUNTIF('Metrics - Articles'!F411,"*GCO – Other*")</f>
        <v>0</v>
      </c>
      <c r="P414">
        <f>COUNTIF('Metrics - Articles'!F411,"*Corporate*")</f>
        <v>0</v>
      </c>
      <c r="R414" s="53">
        <f t="shared" si="8"/>
        <v>0</v>
      </c>
    </row>
    <row r="415" spans="2:18" hidden="1" x14ac:dyDescent="0.25">
      <c r="B415" s="48">
        <f>+'Metrics - Articles'!C412</f>
        <v>0</v>
      </c>
      <c r="C415">
        <f>COUNTIF('Metrics - Articles'!F412,"*GPO (Partner, Ecosystem, Channels)*")</f>
        <v>0</v>
      </c>
      <c r="D415">
        <f>COUNTIF('Metrics - Articles'!F412,"*Office of the CEO*")</f>
        <v>0</v>
      </c>
      <c r="E415">
        <f>COUNTIF('Metrics - Articles'!F412,"*Services Delivery &amp; Support (go-lives and deployments) *")</f>
        <v>0</v>
      </c>
      <c r="F415">
        <f>COUNTIF('Metrics - Articles'!F412,"*Human Resources (SAP HR and employee stories)*")</f>
        <v>0</v>
      </c>
      <c r="G415">
        <f>COUNTIF('Metrics - Articles'!F412,"*P&amp;I (Research &amp; Development)*")</f>
        <v>0</v>
      </c>
      <c r="H415">
        <f>COUNTIF('Metrics - Articles'!F412,"*Business Network (Concur, Ariba, Fieldglass)*")</f>
        <v>0</v>
      </c>
      <c r="I415">
        <f>COUNTIF('Metrics - Articles'!F412,"*GCO – Regions*")</f>
        <v>0</v>
      </c>
      <c r="J415">
        <f>COUNTIF('Metrics - Articles'!F412,"*GCO – Platform Solutions*")</f>
        <v>0</v>
      </c>
      <c r="K415">
        <f>COUNTIF('Metrics - Articles'!F412,"*GCO – Industry Cloud *")</f>
        <v>0</v>
      </c>
      <c r="L415">
        <f>COUNTIF('Metrics - Articles'!F412,"*GCO – Customer Engagement &amp; Commerce (CRM &amp; hybris) *")</f>
        <v>0</v>
      </c>
      <c r="M415">
        <f>COUNTIF('Metrics - Articles'!F412,"*GCO – HR (SuccessFactors)*")</f>
        <v>0</v>
      </c>
      <c r="N415">
        <f>COUNTIF('Metrics - Articles'!F412,"*GCO – Services Sales*")</f>
        <v>0</v>
      </c>
      <c r="O415">
        <f>COUNTIF('Metrics - Articles'!F412,"*GCO – Other*")</f>
        <v>0</v>
      </c>
      <c r="P415">
        <f>COUNTIF('Metrics - Articles'!F412,"*Corporate*")</f>
        <v>0</v>
      </c>
      <c r="R415" s="53">
        <f t="shared" si="8"/>
        <v>0</v>
      </c>
    </row>
    <row r="416" spans="2:18" hidden="1" x14ac:dyDescent="0.25">
      <c r="B416" s="48">
        <f>+'Metrics - Articles'!C413</f>
        <v>0</v>
      </c>
      <c r="C416">
        <f>COUNTIF('Metrics - Articles'!F413,"*GPO (Partner, Ecosystem, Channels)*")</f>
        <v>0</v>
      </c>
      <c r="D416">
        <f>COUNTIF('Metrics - Articles'!F413,"*Office of the CEO*")</f>
        <v>0</v>
      </c>
      <c r="E416">
        <f>COUNTIF('Metrics - Articles'!F413,"*Services Delivery &amp; Support (go-lives and deployments) *")</f>
        <v>0</v>
      </c>
      <c r="F416">
        <f>COUNTIF('Metrics - Articles'!F413,"*Human Resources (SAP HR and employee stories)*")</f>
        <v>0</v>
      </c>
      <c r="G416">
        <f>COUNTIF('Metrics - Articles'!F413,"*P&amp;I (Research &amp; Development)*")</f>
        <v>0</v>
      </c>
      <c r="H416">
        <f>COUNTIF('Metrics - Articles'!F413,"*Business Network (Concur, Ariba, Fieldglass)*")</f>
        <v>0</v>
      </c>
      <c r="I416">
        <f>COUNTIF('Metrics - Articles'!F413,"*GCO – Regions*")</f>
        <v>0</v>
      </c>
      <c r="J416">
        <f>COUNTIF('Metrics - Articles'!F413,"*GCO – Platform Solutions*")</f>
        <v>0</v>
      </c>
      <c r="K416">
        <f>COUNTIF('Metrics - Articles'!F413,"*GCO – Industry Cloud *")</f>
        <v>0</v>
      </c>
      <c r="L416">
        <f>COUNTIF('Metrics - Articles'!F413,"*GCO – Customer Engagement &amp; Commerce (CRM &amp; hybris) *")</f>
        <v>0</v>
      </c>
      <c r="M416">
        <f>COUNTIF('Metrics - Articles'!F413,"*GCO – HR (SuccessFactors)*")</f>
        <v>0</v>
      </c>
      <c r="N416">
        <f>COUNTIF('Metrics - Articles'!F413,"*GCO – Services Sales*")</f>
        <v>0</v>
      </c>
      <c r="O416">
        <f>COUNTIF('Metrics - Articles'!F413,"*GCO – Other*")</f>
        <v>0</v>
      </c>
      <c r="P416">
        <f>COUNTIF('Metrics - Articles'!F413,"*Corporate*")</f>
        <v>0</v>
      </c>
      <c r="R416" s="53">
        <f t="shared" si="8"/>
        <v>0</v>
      </c>
    </row>
    <row r="417" spans="2:18" hidden="1" x14ac:dyDescent="0.25">
      <c r="B417" s="48">
        <f>+'Metrics - Articles'!C414</f>
        <v>0</v>
      </c>
      <c r="C417">
        <f>COUNTIF('Metrics - Articles'!F414,"*GPO (Partner, Ecosystem, Channels)*")</f>
        <v>0</v>
      </c>
      <c r="D417">
        <f>COUNTIF('Metrics - Articles'!F414,"*Office of the CEO*")</f>
        <v>0</v>
      </c>
      <c r="E417">
        <f>COUNTIF('Metrics - Articles'!F414,"*Services Delivery &amp; Support (go-lives and deployments) *")</f>
        <v>0</v>
      </c>
      <c r="F417">
        <f>COUNTIF('Metrics - Articles'!F414,"*Human Resources (SAP HR and employee stories)*")</f>
        <v>0</v>
      </c>
      <c r="G417">
        <f>COUNTIF('Metrics - Articles'!F414,"*P&amp;I (Research &amp; Development)*")</f>
        <v>0</v>
      </c>
      <c r="H417">
        <f>COUNTIF('Metrics - Articles'!F414,"*Business Network (Concur, Ariba, Fieldglass)*")</f>
        <v>0</v>
      </c>
      <c r="I417">
        <f>COUNTIF('Metrics - Articles'!F414,"*GCO – Regions*")</f>
        <v>0</v>
      </c>
      <c r="J417">
        <f>COUNTIF('Metrics - Articles'!F414,"*GCO – Platform Solutions*")</f>
        <v>0</v>
      </c>
      <c r="K417">
        <f>COUNTIF('Metrics - Articles'!F414,"*GCO – Industry Cloud *")</f>
        <v>0</v>
      </c>
      <c r="L417">
        <f>COUNTIF('Metrics - Articles'!F414,"*GCO – Customer Engagement &amp; Commerce (CRM &amp; hybris) *")</f>
        <v>0</v>
      </c>
      <c r="M417">
        <f>COUNTIF('Metrics - Articles'!F414,"*GCO – HR (SuccessFactors)*")</f>
        <v>0</v>
      </c>
      <c r="N417">
        <f>COUNTIF('Metrics - Articles'!F414,"*GCO – Services Sales*")</f>
        <v>0</v>
      </c>
      <c r="O417">
        <f>COUNTIF('Metrics - Articles'!F414,"*GCO – Other*")</f>
        <v>0</v>
      </c>
      <c r="P417">
        <f>COUNTIF('Metrics - Articles'!F414,"*Corporate*")</f>
        <v>0</v>
      </c>
      <c r="R417" s="53">
        <f t="shared" si="8"/>
        <v>0</v>
      </c>
    </row>
    <row r="418" spans="2:18" hidden="1" x14ac:dyDescent="0.25">
      <c r="B418" s="48">
        <f>+'Metrics - Articles'!C415</f>
        <v>0</v>
      </c>
      <c r="C418">
        <f>COUNTIF('Metrics - Articles'!F415,"*GPO (Partner, Ecosystem, Channels)*")</f>
        <v>0</v>
      </c>
      <c r="D418">
        <f>COUNTIF('Metrics - Articles'!F415,"*Office of the CEO*")</f>
        <v>0</v>
      </c>
      <c r="E418">
        <f>COUNTIF('Metrics - Articles'!F415,"*Services Delivery &amp; Support (go-lives and deployments) *")</f>
        <v>0</v>
      </c>
      <c r="F418">
        <f>COUNTIF('Metrics - Articles'!F415,"*Human Resources (SAP HR and employee stories)*")</f>
        <v>0</v>
      </c>
      <c r="G418">
        <f>COUNTIF('Metrics - Articles'!F415,"*P&amp;I (Research &amp; Development)*")</f>
        <v>0</v>
      </c>
      <c r="H418">
        <f>COUNTIF('Metrics - Articles'!F415,"*Business Network (Concur, Ariba, Fieldglass)*")</f>
        <v>0</v>
      </c>
      <c r="I418">
        <f>COUNTIF('Metrics - Articles'!F415,"*GCO – Regions*")</f>
        <v>0</v>
      </c>
      <c r="J418">
        <f>COUNTIF('Metrics - Articles'!F415,"*GCO – Platform Solutions*")</f>
        <v>0</v>
      </c>
      <c r="K418">
        <f>COUNTIF('Metrics - Articles'!F415,"*GCO – Industry Cloud *")</f>
        <v>0</v>
      </c>
      <c r="L418">
        <f>COUNTIF('Metrics - Articles'!F415,"*GCO – Customer Engagement &amp; Commerce (CRM &amp; hybris) *")</f>
        <v>0</v>
      </c>
      <c r="M418">
        <f>COUNTIF('Metrics - Articles'!F415,"*GCO – HR (SuccessFactors)*")</f>
        <v>0</v>
      </c>
      <c r="N418">
        <f>COUNTIF('Metrics - Articles'!F415,"*GCO – Services Sales*")</f>
        <v>0</v>
      </c>
      <c r="O418">
        <f>COUNTIF('Metrics - Articles'!F415,"*GCO – Other*")</f>
        <v>0</v>
      </c>
      <c r="P418">
        <f>COUNTIF('Metrics - Articles'!F415,"*Corporate*")</f>
        <v>0</v>
      </c>
      <c r="R418" s="53">
        <f t="shared" si="8"/>
        <v>0</v>
      </c>
    </row>
    <row r="419" spans="2:18" hidden="1" x14ac:dyDescent="0.25">
      <c r="B419" s="48">
        <f>+'Metrics - Articles'!C416</f>
        <v>0</v>
      </c>
      <c r="C419">
        <f>COUNTIF('Metrics - Articles'!F416,"*GPO (Partner, Ecosystem, Channels)*")</f>
        <v>0</v>
      </c>
      <c r="D419">
        <f>COUNTIF('Metrics - Articles'!F416,"*Office of the CEO*")</f>
        <v>0</v>
      </c>
      <c r="E419">
        <f>COUNTIF('Metrics - Articles'!F416,"*Services Delivery &amp; Support (go-lives and deployments) *")</f>
        <v>0</v>
      </c>
      <c r="F419">
        <f>COUNTIF('Metrics - Articles'!F416,"*Human Resources (SAP HR and employee stories)*")</f>
        <v>0</v>
      </c>
      <c r="G419">
        <f>COUNTIF('Metrics - Articles'!F416,"*P&amp;I (Research &amp; Development)*")</f>
        <v>0</v>
      </c>
      <c r="H419">
        <f>COUNTIF('Metrics - Articles'!F416,"*Business Network (Concur, Ariba, Fieldglass)*")</f>
        <v>0</v>
      </c>
      <c r="I419">
        <f>COUNTIF('Metrics - Articles'!F416,"*GCO – Regions*")</f>
        <v>0</v>
      </c>
      <c r="J419">
        <f>COUNTIF('Metrics - Articles'!F416,"*GCO – Platform Solutions*")</f>
        <v>0</v>
      </c>
      <c r="K419">
        <f>COUNTIF('Metrics - Articles'!F416,"*GCO – Industry Cloud *")</f>
        <v>0</v>
      </c>
      <c r="L419">
        <f>COUNTIF('Metrics - Articles'!F416,"*GCO – Customer Engagement &amp; Commerce (CRM &amp; hybris) *")</f>
        <v>0</v>
      </c>
      <c r="M419">
        <f>COUNTIF('Metrics - Articles'!F416,"*GCO – HR (SuccessFactors)*")</f>
        <v>0</v>
      </c>
      <c r="N419">
        <f>COUNTIF('Metrics - Articles'!F416,"*GCO – Services Sales*")</f>
        <v>0</v>
      </c>
      <c r="O419">
        <f>COUNTIF('Metrics - Articles'!F416,"*GCO – Other*")</f>
        <v>0</v>
      </c>
      <c r="P419">
        <f>COUNTIF('Metrics - Articles'!F416,"*Corporate*")</f>
        <v>0</v>
      </c>
      <c r="R419" s="53">
        <f t="shared" si="8"/>
        <v>0</v>
      </c>
    </row>
    <row r="420" spans="2:18" hidden="1" x14ac:dyDescent="0.25">
      <c r="B420" s="48">
        <f>+'Metrics - Articles'!C417</f>
        <v>0</v>
      </c>
      <c r="C420">
        <f>COUNTIF('Metrics - Articles'!F417,"*GPO (Partner, Ecosystem, Channels)*")</f>
        <v>0</v>
      </c>
      <c r="D420">
        <f>COUNTIF('Metrics - Articles'!F417,"*Office of the CEO*")</f>
        <v>0</v>
      </c>
      <c r="E420">
        <f>COUNTIF('Metrics - Articles'!F417,"*Services Delivery &amp; Support (go-lives and deployments) *")</f>
        <v>0</v>
      </c>
      <c r="F420">
        <f>COUNTIF('Metrics - Articles'!F417,"*Human Resources (SAP HR and employee stories)*")</f>
        <v>0</v>
      </c>
      <c r="G420">
        <f>COUNTIF('Metrics - Articles'!F417,"*P&amp;I (Research &amp; Development)*")</f>
        <v>0</v>
      </c>
      <c r="H420">
        <f>COUNTIF('Metrics - Articles'!F417,"*Business Network (Concur, Ariba, Fieldglass)*")</f>
        <v>0</v>
      </c>
      <c r="I420">
        <f>COUNTIF('Metrics - Articles'!F417,"*GCO – Regions*")</f>
        <v>0</v>
      </c>
      <c r="J420">
        <f>COUNTIF('Metrics - Articles'!F417,"*GCO – Platform Solutions*")</f>
        <v>0</v>
      </c>
      <c r="K420">
        <f>COUNTIF('Metrics - Articles'!F417,"*GCO – Industry Cloud *")</f>
        <v>0</v>
      </c>
      <c r="L420">
        <f>COUNTIF('Metrics - Articles'!F417,"*GCO – Customer Engagement &amp; Commerce (CRM &amp; hybris) *")</f>
        <v>0</v>
      </c>
      <c r="M420">
        <f>COUNTIF('Metrics - Articles'!F417,"*GCO – HR (SuccessFactors)*")</f>
        <v>0</v>
      </c>
      <c r="N420">
        <f>COUNTIF('Metrics - Articles'!F417,"*GCO – Services Sales*")</f>
        <v>0</v>
      </c>
      <c r="O420">
        <f>COUNTIF('Metrics - Articles'!F417,"*GCO – Other*")</f>
        <v>0</v>
      </c>
      <c r="P420">
        <f>COUNTIF('Metrics - Articles'!F417,"*Corporate*")</f>
        <v>0</v>
      </c>
      <c r="R420" s="53">
        <f t="shared" si="8"/>
        <v>0</v>
      </c>
    </row>
    <row r="421" spans="2:18" hidden="1" x14ac:dyDescent="0.25">
      <c r="B421" s="48">
        <f>+'Metrics - Articles'!C418</f>
        <v>0</v>
      </c>
      <c r="C421">
        <f>COUNTIF('Metrics - Articles'!F418,"*GPO (Partner, Ecosystem, Channels)*")</f>
        <v>0</v>
      </c>
      <c r="D421">
        <f>COUNTIF('Metrics - Articles'!F418,"*Office of the CEO*")</f>
        <v>0</v>
      </c>
      <c r="E421">
        <f>COUNTIF('Metrics - Articles'!F418,"*Services Delivery &amp; Support (go-lives and deployments) *")</f>
        <v>0</v>
      </c>
      <c r="F421">
        <f>COUNTIF('Metrics - Articles'!F418,"*Human Resources (SAP HR and employee stories)*")</f>
        <v>0</v>
      </c>
      <c r="G421">
        <f>COUNTIF('Metrics - Articles'!F418,"*P&amp;I (Research &amp; Development)*")</f>
        <v>0</v>
      </c>
      <c r="H421">
        <f>COUNTIF('Metrics - Articles'!F418,"*Business Network (Concur, Ariba, Fieldglass)*")</f>
        <v>0</v>
      </c>
      <c r="I421">
        <f>COUNTIF('Metrics - Articles'!F418,"*GCO – Regions*")</f>
        <v>0</v>
      </c>
      <c r="J421">
        <f>COUNTIF('Metrics - Articles'!F418,"*GCO – Platform Solutions*")</f>
        <v>0</v>
      </c>
      <c r="K421">
        <f>COUNTIF('Metrics - Articles'!F418,"*GCO – Industry Cloud *")</f>
        <v>0</v>
      </c>
      <c r="L421">
        <f>COUNTIF('Metrics - Articles'!F418,"*GCO – Customer Engagement &amp; Commerce (CRM &amp; hybris) *")</f>
        <v>0</v>
      </c>
      <c r="M421">
        <f>COUNTIF('Metrics - Articles'!F418,"*GCO – HR (SuccessFactors)*")</f>
        <v>0</v>
      </c>
      <c r="N421">
        <f>COUNTIF('Metrics - Articles'!F418,"*GCO – Services Sales*")</f>
        <v>0</v>
      </c>
      <c r="O421">
        <f>COUNTIF('Metrics - Articles'!F418,"*GCO – Other*")</f>
        <v>0</v>
      </c>
      <c r="P421">
        <f>COUNTIF('Metrics - Articles'!F418,"*Corporate*")</f>
        <v>0</v>
      </c>
      <c r="R421" s="53">
        <f t="shared" si="8"/>
        <v>0</v>
      </c>
    </row>
    <row r="422" spans="2:18" hidden="1" x14ac:dyDescent="0.25">
      <c r="B422" s="48">
        <f>+'Metrics - Articles'!C419</f>
        <v>0</v>
      </c>
      <c r="C422">
        <f>COUNTIF('Metrics - Articles'!F419,"*GPO (Partner, Ecosystem, Channels)*")</f>
        <v>0</v>
      </c>
      <c r="D422">
        <f>COUNTIF('Metrics - Articles'!F419,"*Office of the CEO*")</f>
        <v>0</v>
      </c>
      <c r="E422">
        <f>COUNTIF('Metrics - Articles'!F419,"*Services Delivery &amp; Support (go-lives and deployments) *")</f>
        <v>0</v>
      </c>
      <c r="F422">
        <f>COUNTIF('Metrics - Articles'!F419,"*Human Resources (SAP HR and employee stories)*")</f>
        <v>0</v>
      </c>
      <c r="G422">
        <f>COUNTIF('Metrics - Articles'!F419,"*P&amp;I (Research &amp; Development)*")</f>
        <v>0</v>
      </c>
      <c r="H422">
        <f>COUNTIF('Metrics - Articles'!F419,"*Business Network (Concur, Ariba, Fieldglass)*")</f>
        <v>0</v>
      </c>
      <c r="I422">
        <f>COUNTIF('Metrics - Articles'!F419,"*GCO – Regions*")</f>
        <v>0</v>
      </c>
      <c r="J422">
        <f>COUNTIF('Metrics - Articles'!F419,"*GCO – Platform Solutions*")</f>
        <v>0</v>
      </c>
      <c r="K422">
        <f>COUNTIF('Metrics - Articles'!F419,"*GCO – Industry Cloud *")</f>
        <v>0</v>
      </c>
      <c r="L422">
        <f>COUNTIF('Metrics - Articles'!F419,"*GCO – Customer Engagement &amp; Commerce (CRM &amp; hybris) *")</f>
        <v>0</v>
      </c>
      <c r="M422">
        <f>COUNTIF('Metrics - Articles'!F419,"*GCO – HR (SuccessFactors)*")</f>
        <v>0</v>
      </c>
      <c r="N422">
        <f>COUNTIF('Metrics - Articles'!F419,"*GCO – Services Sales*")</f>
        <v>0</v>
      </c>
      <c r="O422">
        <f>COUNTIF('Metrics - Articles'!F419,"*GCO – Other*")</f>
        <v>0</v>
      </c>
      <c r="P422">
        <f>COUNTIF('Metrics - Articles'!F419,"*Corporate*")</f>
        <v>0</v>
      </c>
      <c r="R422" s="53">
        <f t="shared" si="8"/>
        <v>0</v>
      </c>
    </row>
    <row r="423" spans="2:18" hidden="1" x14ac:dyDescent="0.25">
      <c r="B423" s="48">
        <f>+'Metrics - Articles'!C420</f>
        <v>0</v>
      </c>
      <c r="C423">
        <f>COUNTIF('Metrics - Articles'!F420,"*GPO (Partner, Ecosystem, Channels)*")</f>
        <v>0</v>
      </c>
      <c r="D423">
        <f>COUNTIF('Metrics - Articles'!F420,"*Office of the CEO*")</f>
        <v>0</v>
      </c>
      <c r="E423">
        <f>COUNTIF('Metrics - Articles'!F420,"*Services Delivery &amp; Support (go-lives and deployments) *")</f>
        <v>0</v>
      </c>
      <c r="F423">
        <f>COUNTIF('Metrics - Articles'!F420,"*Human Resources (SAP HR and employee stories)*")</f>
        <v>0</v>
      </c>
      <c r="G423">
        <f>COUNTIF('Metrics - Articles'!F420,"*P&amp;I (Research &amp; Development)*")</f>
        <v>0</v>
      </c>
      <c r="H423">
        <f>COUNTIF('Metrics - Articles'!F420,"*Business Network (Concur, Ariba, Fieldglass)*")</f>
        <v>0</v>
      </c>
      <c r="I423">
        <f>COUNTIF('Metrics - Articles'!F420,"*GCO – Regions*")</f>
        <v>0</v>
      </c>
      <c r="J423">
        <f>COUNTIF('Metrics - Articles'!F420,"*GCO – Platform Solutions*")</f>
        <v>0</v>
      </c>
      <c r="K423">
        <f>COUNTIF('Metrics - Articles'!F420,"*GCO – Industry Cloud *")</f>
        <v>0</v>
      </c>
      <c r="L423">
        <f>COUNTIF('Metrics - Articles'!F420,"*GCO – Customer Engagement &amp; Commerce (CRM &amp; hybris) *")</f>
        <v>0</v>
      </c>
      <c r="M423">
        <f>COUNTIF('Metrics - Articles'!F420,"*GCO – HR (SuccessFactors)*")</f>
        <v>0</v>
      </c>
      <c r="N423">
        <f>COUNTIF('Metrics - Articles'!F420,"*GCO – Services Sales*")</f>
        <v>0</v>
      </c>
      <c r="O423">
        <f>COUNTIF('Metrics - Articles'!F420,"*GCO – Other*")</f>
        <v>0</v>
      </c>
      <c r="P423">
        <f>COUNTIF('Metrics - Articles'!F420,"*Corporate*")</f>
        <v>0</v>
      </c>
      <c r="R423" s="53">
        <f t="shared" si="8"/>
        <v>0</v>
      </c>
    </row>
    <row r="424" spans="2:18" hidden="1" x14ac:dyDescent="0.25">
      <c r="B424" s="48">
        <f>+'Metrics - Articles'!C421</f>
        <v>0</v>
      </c>
      <c r="C424">
        <f>COUNTIF('Metrics - Articles'!F421,"*GPO (Partner, Ecosystem, Channels)*")</f>
        <v>0</v>
      </c>
      <c r="D424">
        <f>COUNTIF('Metrics - Articles'!F421,"*Office of the CEO*")</f>
        <v>0</v>
      </c>
      <c r="E424">
        <f>COUNTIF('Metrics - Articles'!F421,"*Services Delivery &amp; Support (go-lives and deployments) *")</f>
        <v>0</v>
      </c>
      <c r="F424">
        <f>COUNTIF('Metrics - Articles'!F421,"*Human Resources (SAP HR and employee stories)*")</f>
        <v>0</v>
      </c>
      <c r="G424">
        <f>COUNTIF('Metrics - Articles'!F421,"*P&amp;I (Research &amp; Development)*")</f>
        <v>0</v>
      </c>
      <c r="H424">
        <f>COUNTIF('Metrics - Articles'!F421,"*Business Network (Concur, Ariba, Fieldglass)*")</f>
        <v>0</v>
      </c>
      <c r="I424">
        <f>COUNTIF('Metrics - Articles'!F421,"*GCO – Regions*")</f>
        <v>0</v>
      </c>
      <c r="J424">
        <f>COUNTIF('Metrics - Articles'!F421,"*GCO – Platform Solutions*")</f>
        <v>0</v>
      </c>
      <c r="K424">
        <f>COUNTIF('Metrics - Articles'!F421,"*GCO – Industry Cloud *")</f>
        <v>0</v>
      </c>
      <c r="L424">
        <f>COUNTIF('Metrics - Articles'!F421,"*GCO – Customer Engagement &amp; Commerce (CRM &amp; hybris) *")</f>
        <v>0</v>
      </c>
      <c r="M424">
        <f>COUNTIF('Metrics - Articles'!F421,"*GCO – HR (SuccessFactors)*")</f>
        <v>0</v>
      </c>
      <c r="N424">
        <f>COUNTIF('Metrics - Articles'!F421,"*GCO – Services Sales*")</f>
        <v>0</v>
      </c>
      <c r="O424">
        <f>COUNTIF('Metrics - Articles'!F421,"*GCO – Other*")</f>
        <v>0</v>
      </c>
      <c r="P424">
        <f>COUNTIF('Metrics - Articles'!F421,"*Corporate*")</f>
        <v>0</v>
      </c>
      <c r="R424" s="53">
        <f t="shared" si="8"/>
        <v>0</v>
      </c>
    </row>
    <row r="425" spans="2:18" hidden="1" x14ac:dyDescent="0.25">
      <c r="B425" s="48">
        <f>+'Metrics - Articles'!C422</f>
        <v>0</v>
      </c>
      <c r="C425">
        <f>COUNTIF('Metrics - Articles'!F422,"*GPO (Partner, Ecosystem, Channels)*")</f>
        <v>0</v>
      </c>
      <c r="D425">
        <f>COUNTIF('Metrics - Articles'!F422,"*Office of the CEO*")</f>
        <v>0</v>
      </c>
      <c r="E425">
        <f>COUNTIF('Metrics - Articles'!F422,"*Services Delivery &amp; Support (go-lives and deployments) *")</f>
        <v>0</v>
      </c>
      <c r="F425">
        <f>COUNTIF('Metrics - Articles'!F422,"*Human Resources (SAP HR and employee stories)*")</f>
        <v>0</v>
      </c>
      <c r="G425">
        <f>COUNTIF('Metrics - Articles'!F422,"*P&amp;I (Research &amp; Development)*")</f>
        <v>0</v>
      </c>
      <c r="H425">
        <f>COUNTIF('Metrics - Articles'!F422,"*Business Network (Concur, Ariba, Fieldglass)*")</f>
        <v>0</v>
      </c>
      <c r="I425">
        <f>COUNTIF('Metrics - Articles'!F422,"*GCO – Regions*")</f>
        <v>0</v>
      </c>
      <c r="J425">
        <f>COUNTIF('Metrics - Articles'!F422,"*GCO – Platform Solutions*")</f>
        <v>0</v>
      </c>
      <c r="K425">
        <f>COUNTIF('Metrics - Articles'!F422,"*GCO – Industry Cloud *")</f>
        <v>0</v>
      </c>
      <c r="L425">
        <f>COUNTIF('Metrics - Articles'!F422,"*GCO – Customer Engagement &amp; Commerce (CRM &amp; hybris) *")</f>
        <v>0</v>
      </c>
      <c r="M425">
        <f>COUNTIF('Metrics - Articles'!F422,"*GCO – HR (SuccessFactors)*")</f>
        <v>0</v>
      </c>
      <c r="N425">
        <f>COUNTIF('Metrics - Articles'!F422,"*GCO – Services Sales*")</f>
        <v>0</v>
      </c>
      <c r="O425">
        <f>COUNTIF('Metrics - Articles'!F422,"*GCO – Other*")</f>
        <v>0</v>
      </c>
      <c r="P425">
        <f>COUNTIF('Metrics - Articles'!F422,"*Corporate*")</f>
        <v>0</v>
      </c>
      <c r="R425" s="53">
        <f t="shared" si="8"/>
        <v>0</v>
      </c>
    </row>
    <row r="426" spans="2:18" hidden="1" x14ac:dyDescent="0.25">
      <c r="B426" s="48">
        <f>+'Metrics - Articles'!C423</f>
        <v>0</v>
      </c>
      <c r="C426">
        <f>COUNTIF('Metrics - Articles'!F423,"*GPO (Partner, Ecosystem, Channels)*")</f>
        <v>0</v>
      </c>
      <c r="D426">
        <f>COUNTIF('Metrics - Articles'!F423,"*Office of the CEO*")</f>
        <v>0</v>
      </c>
      <c r="E426">
        <f>COUNTIF('Metrics - Articles'!F423,"*Services Delivery &amp; Support (go-lives and deployments) *")</f>
        <v>0</v>
      </c>
      <c r="F426">
        <f>COUNTIF('Metrics - Articles'!F423,"*Human Resources (SAP HR and employee stories)*")</f>
        <v>0</v>
      </c>
      <c r="G426">
        <f>COUNTIF('Metrics - Articles'!F423,"*P&amp;I (Research &amp; Development)*")</f>
        <v>0</v>
      </c>
      <c r="H426">
        <f>COUNTIF('Metrics - Articles'!F423,"*Business Network (Concur, Ariba, Fieldglass)*")</f>
        <v>0</v>
      </c>
      <c r="I426">
        <f>COUNTIF('Metrics - Articles'!F423,"*GCO – Regions*")</f>
        <v>0</v>
      </c>
      <c r="J426">
        <f>COUNTIF('Metrics - Articles'!F423,"*GCO – Platform Solutions*")</f>
        <v>0</v>
      </c>
      <c r="K426">
        <f>COUNTIF('Metrics - Articles'!F423,"*GCO – Industry Cloud *")</f>
        <v>0</v>
      </c>
      <c r="L426">
        <f>COUNTIF('Metrics - Articles'!F423,"*GCO – Customer Engagement &amp; Commerce (CRM &amp; hybris) *")</f>
        <v>0</v>
      </c>
      <c r="M426">
        <f>COUNTIF('Metrics - Articles'!F423,"*GCO – HR (SuccessFactors)*")</f>
        <v>0</v>
      </c>
      <c r="N426">
        <f>COUNTIF('Metrics - Articles'!F423,"*GCO – Services Sales*")</f>
        <v>0</v>
      </c>
      <c r="O426">
        <f>COUNTIF('Metrics - Articles'!F423,"*GCO – Other*")</f>
        <v>0</v>
      </c>
      <c r="P426">
        <f>COUNTIF('Metrics - Articles'!F423,"*Corporate*")</f>
        <v>0</v>
      </c>
      <c r="R426" s="53">
        <f t="shared" si="8"/>
        <v>0</v>
      </c>
    </row>
    <row r="427" spans="2:18" hidden="1" x14ac:dyDescent="0.25">
      <c r="B427" s="48">
        <f>+'Metrics - Articles'!C424</f>
        <v>0</v>
      </c>
      <c r="C427">
        <f>COUNTIF('Metrics - Articles'!F424,"*GPO (Partner, Ecosystem, Channels)*")</f>
        <v>0</v>
      </c>
      <c r="D427">
        <f>COUNTIF('Metrics - Articles'!F424,"*Office of the CEO*")</f>
        <v>0</v>
      </c>
      <c r="E427">
        <f>COUNTIF('Metrics - Articles'!F424,"*Services Delivery &amp; Support (go-lives and deployments) *")</f>
        <v>0</v>
      </c>
      <c r="F427">
        <f>COUNTIF('Metrics - Articles'!F424,"*Human Resources (SAP HR and employee stories)*")</f>
        <v>0</v>
      </c>
      <c r="G427">
        <f>COUNTIF('Metrics - Articles'!F424,"*P&amp;I (Research &amp; Development)*")</f>
        <v>0</v>
      </c>
      <c r="H427">
        <f>COUNTIF('Metrics - Articles'!F424,"*Business Network (Concur, Ariba, Fieldglass)*")</f>
        <v>0</v>
      </c>
      <c r="I427">
        <f>COUNTIF('Metrics - Articles'!F424,"*GCO – Regions*")</f>
        <v>0</v>
      </c>
      <c r="J427">
        <f>COUNTIF('Metrics - Articles'!F424,"*GCO – Platform Solutions*")</f>
        <v>0</v>
      </c>
      <c r="K427">
        <f>COUNTIF('Metrics - Articles'!F424,"*GCO – Industry Cloud *")</f>
        <v>0</v>
      </c>
      <c r="L427">
        <f>COUNTIF('Metrics - Articles'!F424,"*GCO – Customer Engagement &amp; Commerce (CRM &amp; hybris) *")</f>
        <v>0</v>
      </c>
      <c r="M427">
        <f>COUNTIF('Metrics - Articles'!F424,"*GCO – HR (SuccessFactors)*")</f>
        <v>0</v>
      </c>
      <c r="N427">
        <f>COUNTIF('Metrics - Articles'!F424,"*GCO – Services Sales*")</f>
        <v>0</v>
      </c>
      <c r="O427">
        <f>COUNTIF('Metrics - Articles'!F424,"*GCO – Other*")</f>
        <v>0</v>
      </c>
      <c r="P427">
        <f>COUNTIF('Metrics - Articles'!F424,"*Corporate*")</f>
        <v>0</v>
      </c>
      <c r="R427" s="53">
        <f t="shared" si="8"/>
        <v>0</v>
      </c>
    </row>
    <row r="428" spans="2:18" hidden="1" x14ac:dyDescent="0.25">
      <c r="B428" s="48">
        <f>+'Metrics - Articles'!C425</f>
        <v>0</v>
      </c>
      <c r="C428">
        <f>COUNTIF('Metrics - Articles'!F425,"*GPO (Partner, Ecosystem, Channels)*")</f>
        <v>0</v>
      </c>
      <c r="D428">
        <f>COUNTIF('Metrics - Articles'!F425,"*Office of the CEO*")</f>
        <v>0</v>
      </c>
      <c r="E428">
        <f>COUNTIF('Metrics - Articles'!F425,"*Services Delivery &amp; Support (go-lives and deployments) *")</f>
        <v>0</v>
      </c>
      <c r="F428">
        <f>COUNTIF('Metrics - Articles'!F425,"*Human Resources (SAP HR and employee stories)*")</f>
        <v>0</v>
      </c>
      <c r="G428">
        <f>COUNTIF('Metrics - Articles'!F425,"*P&amp;I (Research &amp; Development)*")</f>
        <v>0</v>
      </c>
      <c r="H428">
        <f>COUNTIF('Metrics - Articles'!F425,"*Business Network (Concur, Ariba, Fieldglass)*")</f>
        <v>0</v>
      </c>
      <c r="I428">
        <f>COUNTIF('Metrics - Articles'!F425,"*GCO – Regions*")</f>
        <v>0</v>
      </c>
      <c r="J428">
        <f>COUNTIF('Metrics - Articles'!F425,"*GCO – Platform Solutions*")</f>
        <v>0</v>
      </c>
      <c r="K428">
        <f>COUNTIF('Metrics - Articles'!F425,"*GCO – Industry Cloud *")</f>
        <v>0</v>
      </c>
      <c r="L428">
        <f>COUNTIF('Metrics - Articles'!F425,"*GCO – Customer Engagement &amp; Commerce (CRM &amp; hybris) *")</f>
        <v>0</v>
      </c>
      <c r="M428">
        <f>COUNTIF('Metrics - Articles'!F425,"*GCO – HR (SuccessFactors)*")</f>
        <v>0</v>
      </c>
      <c r="N428">
        <f>COUNTIF('Metrics - Articles'!F425,"*GCO – Services Sales*")</f>
        <v>0</v>
      </c>
      <c r="O428">
        <f>COUNTIF('Metrics - Articles'!F425,"*GCO – Other*")</f>
        <v>0</v>
      </c>
      <c r="P428">
        <f>COUNTIF('Metrics - Articles'!F425,"*Corporate*")</f>
        <v>0</v>
      </c>
      <c r="R428" s="53">
        <f t="shared" si="8"/>
        <v>0</v>
      </c>
    </row>
    <row r="429" spans="2:18" hidden="1" x14ac:dyDescent="0.25">
      <c r="B429" s="48">
        <f>+'Metrics - Articles'!C426</f>
        <v>0</v>
      </c>
      <c r="C429">
        <f>COUNTIF('Metrics - Articles'!F426,"*GPO (Partner, Ecosystem, Channels)*")</f>
        <v>0</v>
      </c>
      <c r="D429">
        <f>COUNTIF('Metrics - Articles'!F426,"*Office of the CEO*")</f>
        <v>0</v>
      </c>
      <c r="E429">
        <f>COUNTIF('Metrics - Articles'!F426,"*Services Delivery &amp; Support (go-lives and deployments) *")</f>
        <v>0</v>
      </c>
      <c r="F429">
        <f>COUNTIF('Metrics - Articles'!F426,"*Human Resources (SAP HR and employee stories)*")</f>
        <v>0</v>
      </c>
      <c r="G429">
        <f>COUNTIF('Metrics - Articles'!F426,"*P&amp;I (Research &amp; Development)*")</f>
        <v>0</v>
      </c>
      <c r="H429">
        <f>COUNTIF('Metrics - Articles'!F426,"*Business Network (Concur, Ariba, Fieldglass)*")</f>
        <v>0</v>
      </c>
      <c r="I429">
        <f>COUNTIF('Metrics - Articles'!F426,"*GCO – Regions*")</f>
        <v>0</v>
      </c>
      <c r="J429">
        <f>COUNTIF('Metrics - Articles'!F426,"*GCO – Platform Solutions*")</f>
        <v>0</v>
      </c>
      <c r="K429">
        <f>COUNTIF('Metrics - Articles'!F426,"*GCO – Industry Cloud *")</f>
        <v>0</v>
      </c>
      <c r="L429">
        <f>COUNTIF('Metrics - Articles'!F426,"*GCO – Customer Engagement &amp; Commerce (CRM &amp; hybris) *")</f>
        <v>0</v>
      </c>
      <c r="M429">
        <f>COUNTIF('Metrics - Articles'!F426,"*GCO – HR (SuccessFactors)*")</f>
        <v>0</v>
      </c>
      <c r="N429">
        <f>COUNTIF('Metrics - Articles'!F426,"*GCO – Services Sales*")</f>
        <v>0</v>
      </c>
      <c r="O429">
        <f>COUNTIF('Metrics - Articles'!F426,"*GCO – Other*")</f>
        <v>0</v>
      </c>
      <c r="P429">
        <f>COUNTIF('Metrics - Articles'!F426,"*Corporate*")</f>
        <v>0</v>
      </c>
      <c r="R429" s="53">
        <f t="shared" si="8"/>
        <v>0</v>
      </c>
    </row>
    <row r="430" spans="2:18" hidden="1" x14ac:dyDescent="0.25">
      <c r="B430" s="48">
        <f>+'Metrics - Articles'!C427</f>
        <v>0</v>
      </c>
      <c r="C430">
        <f>COUNTIF('Metrics - Articles'!F427,"*GPO (Partner, Ecosystem, Channels)*")</f>
        <v>0</v>
      </c>
      <c r="D430">
        <f>COUNTIF('Metrics - Articles'!F427,"*Office of the CEO*")</f>
        <v>0</v>
      </c>
      <c r="E430">
        <f>COUNTIF('Metrics - Articles'!F427,"*Services Delivery &amp; Support (go-lives and deployments) *")</f>
        <v>0</v>
      </c>
      <c r="F430">
        <f>COUNTIF('Metrics - Articles'!F427,"*Human Resources (SAP HR and employee stories)*")</f>
        <v>0</v>
      </c>
      <c r="G430">
        <f>COUNTIF('Metrics - Articles'!F427,"*P&amp;I (Research &amp; Development)*")</f>
        <v>0</v>
      </c>
      <c r="H430">
        <f>COUNTIF('Metrics - Articles'!F427,"*Business Network (Concur, Ariba, Fieldglass)*")</f>
        <v>0</v>
      </c>
      <c r="I430">
        <f>COUNTIF('Metrics - Articles'!F427,"*GCO – Regions*")</f>
        <v>0</v>
      </c>
      <c r="J430">
        <f>COUNTIF('Metrics - Articles'!F427,"*GCO – Platform Solutions*")</f>
        <v>0</v>
      </c>
      <c r="K430">
        <f>COUNTIF('Metrics - Articles'!F427,"*GCO – Industry Cloud *")</f>
        <v>0</v>
      </c>
      <c r="L430">
        <f>COUNTIF('Metrics - Articles'!F427,"*GCO – Customer Engagement &amp; Commerce (CRM &amp; hybris) *")</f>
        <v>0</v>
      </c>
      <c r="M430">
        <f>COUNTIF('Metrics - Articles'!F427,"*GCO – HR (SuccessFactors)*")</f>
        <v>0</v>
      </c>
      <c r="N430">
        <f>COUNTIF('Metrics - Articles'!F427,"*GCO – Services Sales*")</f>
        <v>0</v>
      </c>
      <c r="O430">
        <f>COUNTIF('Metrics - Articles'!F427,"*GCO – Other*")</f>
        <v>0</v>
      </c>
      <c r="P430">
        <f>COUNTIF('Metrics - Articles'!F427,"*Corporate*")</f>
        <v>0</v>
      </c>
      <c r="R430" s="53">
        <f t="shared" si="8"/>
        <v>0</v>
      </c>
    </row>
    <row r="431" spans="2:18" hidden="1" x14ac:dyDescent="0.25">
      <c r="B431" s="48">
        <f>+'Metrics - Articles'!C428</f>
        <v>0</v>
      </c>
      <c r="C431">
        <f>COUNTIF('Metrics - Articles'!F428,"*GPO (Partner, Ecosystem, Channels)*")</f>
        <v>0</v>
      </c>
      <c r="D431">
        <f>COUNTIF('Metrics - Articles'!F428,"*Office of the CEO*")</f>
        <v>0</v>
      </c>
      <c r="E431">
        <f>COUNTIF('Metrics - Articles'!F428,"*Services Delivery &amp; Support (go-lives and deployments) *")</f>
        <v>0</v>
      </c>
      <c r="F431">
        <f>COUNTIF('Metrics - Articles'!F428,"*Human Resources (SAP HR and employee stories)*")</f>
        <v>0</v>
      </c>
      <c r="G431">
        <f>COUNTIF('Metrics - Articles'!F428,"*P&amp;I (Research &amp; Development)*")</f>
        <v>0</v>
      </c>
      <c r="H431">
        <f>COUNTIF('Metrics - Articles'!F428,"*Business Network (Concur, Ariba, Fieldglass)*")</f>
        <v>0</v>
      </c>
      <c r="I431">
        <f>COUNTIF('Metrics - Articles'!F428,"*GCO – Regions*")</f>
        <v>0</v>
      </c>
      <c r="J431">
        <f>COUNTIF('Metrics - Articles'!F428,"*GCO – Platform Solutions*")</f>
        <v>0</v>
      </c>
      <c r="K431">
        <f>COUNTIF('Metrics - Articles'!F428,"*GCO – Industry Cloud *")</f>
        <v>0</v>
      </c>
      <c r="L431">
        <f>COUNTIF('Metrics - Articles'!F428,"*GCO – Customer Engagement &amp; Commerce (CRM &amp; hybris) *")</f>
        <v>0</v>
      </c>
      <c r="M431">
        <f>COUNTIF('Metrics - Articles'!F428,"*GCO – HR (SuccessFactors)*")</f>
        <v>0</v>
      </c>
      <c r="N431">
        <f>COUNTIF('Metrics - Articles'!F428,"*GCO – Services Sales*")</f>
        <v>0</v>
      </c>
      <c r="O431">
        <f>COUNTIF('Metrics - Articles'!F428,"*GCO – Other*")</f>
        <v>0</v>
      </c>
      <c r="P431">
        <f>COUNTIF('Metrics - Articles'!F428,"*Corporate*")</f>
        <v>0</v>
      </c>
      <c r="R431" s="53">
        <f t="shared" si="8"/>
        <v>0</v>
      </c>
    </row>
    <row r="432" spans="2:18" hidden="1" x14ac:dyDescent="0.25">
      <c r="B432" s="48">
        <f>+'Metrics - Articles'!C429</f>
        <v>0</v>
      </c>
      <c r="C432">
        <f>COUNTIF('Metrics - Articles'!F429,"*GPO (Partner, Ecosystem, Channels)*")</f>
        <v>0</v>
      </c>
      <c r="D432">
        <f>COUNTIF('Metrics - Articles'!F429,"*Office of the CEO*")</f>
        <v>0</v>
      </c>
      <c r="E432">
        <f>COUNTIF('Metrics - Articles'!F429,"*Services Delivery &amp; Support (go-lives and deployments) *")</f>
        <v>0</v>
      </c>
      <c r="F432">
        <f>COUNTIF('Metrics - Articles'!F429,"*Human Resources (SAP HR and employee stories)*")</f>
        <v>0</v>
      </c>
      <c r="G432">
        <f>COUNTIF('Metrics - Articles'!F429,"*P&amp;I (Research &amp; Development)*")</f>
        <v>0</v>
      </c>
      <c r="H432">
        <f>COUNTIF('Metrics - Articles'!F429,"*Business Network (Concur, Ariba, Fieldglass)*")</f>
        <v>0</v>
      </c>
      <c r="I432">
        <f>COUNTIF('Metrics - Articles'!F429,"*GCO – Regions*")</f>
        <v>0</v>
      </c>
      <c r="J432">
        <f>COUNTIF('Metrics - Articles'!F429,"*GCO – Platform Solutions*")</f>
        <v>0</v>
      </c>
      <c r="K432">
        <f>COUNTIF('Metrics - Articles'!F429,"*GCO – Industry Cloud *")</f>
        <v>0</v>
      </c>
      <c r="L432">
        <f>COUNTIF('Metrics - Articles'!F429,"*GCO – Customer Engagement &amp; Commerce (CRM &amp; hybris) *")</f>
        <v>0</v>
      </c>
      <c r="M432">
        <f>COUNTIF('Metrics - Articles'!F429,"*GCO – HR (SuccessFactors)*")</f>
        <v>0</v>
      </c>
      <c r="N432">
        <f>COUNTIF('Metrics - Articles'!F429,"*GCO – Services Sales*")</f>
        <v>0</v>
      </c>
      <c r="O432">
        <f>COUNTIF('Metrics - Articles'!F429,"*GCO – Other*")</f>
        <v>0</v>
      </c>
      <c r="P432">
        <f>COUNTIF('Metrics - Articles'!F429,"*Corporate*")</f>
        <v>0</v>
      </c>
      <c r="R432" s="53">
        <f t="shared" si="8"/>
        <v>0</v>
      </c>
    </row>
    <row r="433" spans="2:18" hidden="1" x14ac:dyDescent="0.25">
      <c r="B433" s="48">
        <f>+'Metrics - Articles'!C430</f>
        <v>0</v>
      </c>
      <c r="C433">
        <f>COUNTIF('Metrics - Articles'!F430,"*GPO (Partner, Ecosystem, Channels)*")</f>
        <v>0</v>
      </c>
      <c r="D433">
        <f>COUNTIF('Metrics - Articles'!F430,"*Office of the CEO*")</f>
        <v>0</v>
      </c>
      <c r="E433">
        <f>COUNTIF('Metrics - Articles'!F430,"*Services Delivery &amp; Support (go-lives and deployments) *")</f>
        <v>0</v>
      </c>
      <c r="F433">
        <f>COUNTIF('Metrics - Articles'!F430,"*Human Resources (SAP HR and employee stories)*")</f>
        <v>0</v>
      </c>
      <c r="G433">
        <f>COUNTIF('Metrics - Articles'!F430,"*P&amp;I (Research &amp; Development)*")</f>
        <v>0</v>
      </c>
      <c r="H433">
        <f>COUNTIF('Metrics - Articles'!F430,"*Business Network (Concur, Ariba, Fieldglass)*")</f>
        <v>0</v>
      </c>
      <c r="I433">
        <f>COUNTIF('Metrics - Articles'!F430,"*GCO – Regions*")</f>
        <v>0</v>
      </c>
      <c r="J433">
        <f>COUNTIF('Metrics - Articles'!F430,"*GCO – Platform Solutions*")</f>
        <v>0</v>
      </c>
      <c r="K433">
        <f>COUNTIF('Metrics - Articles'!F430,"*GCO – Industry Cloud *")</f>
        <v>0</v>
      </c>
      <c r="L433">
        <f>COUNTIF('Metrics - Articles'!F430,"*GCO – Customer Engagement &amp; Commerce (CRM &amp; hybris) *")</f>
        <v>0</v>
      </c>
      <c r="M433">
        <f>COUNTIF('Metrics - Articles'!F430,"*GCO – HR (SuccessFactors)*")</f>
        <v>0</v>
      </c>
      <c r="N433">
        <f>COUNTIF('Metrics - Articles'!F430,"*GCO – Services Sales*")</f>
        <v>0</v>
      </c>
      <c r="O433">
        <f>COUNTIF('Metrics - Articles'!F430,"*GCO – Other*")</f>
        <v>0</v>
      </c>
      <c r="P433">
        <f>COUNTIF('Metrics - Articles'!F430,"*Corporate*")</f>
        <v>0</v>
      </c>
      <c r="R433" s="53">
        <f t="shared" si="8"/>
        <v>0</v>
      </c>
    </row>
    <row r="434" spans="2:18" hidden="1" x14ac:dyDescent="0.25">
      <c r="B434" s="48">
        <f>+'Metrics - Articles'!C431</f>
        <v>0</v>
      </c>
      <c r="C434">
        <f>COUNTIF('Metrics - Articles'!F431,"*GPO (Partner, Ecosystem, Channels)*")</f>
        <v>0</v>
      </c>
      <c r="D434">
        <f>COUNTIF('Metrics - Articles'!F431,"*Office of the CEO*")</f>
        <v>0</v>
      </c>
      <c r="E434">
        <f>COUNTIF('Metrics - Articles'!F431,"*Services Delivery &amp; Support (go-lives and deployments) *")</f>
        <v>0</v>
      </c>
      <c r="F434">
        <f>COUNTIF('Metrics - Articles'!F431,"*Human Resources (SAP HR and employee stories)*")</f>
        <v>0</v>
      </c>
      <c r="G434">
        <f>COUNTIF('Metrics - Articles'!F431,"*P&amp;I (Research &amp; Development)*")</f>
        <v>0</v>
      </c>
      <c r="H434">
        <f>COUNTIF('Metrics - Articles'!F431,"*Business Network (Concur, Ariba, Fieldglass)*")</f>
        <v>0</v>
      </c>
      <c r="I434">
        <f>COUNTIF('Metrics - Articles'!F431,"*GCO – Regions*")</f>
        <v>0</v>
      </c>
      <c r="J434">
        <f>COUNTIF('Metrics - Articles'!F431,"*GCO – Platform Solutions*")</f>
        <v>0</v>
      </c>
      <c r="K434">
        <f>COUNTIF('Metrics - Articles'!F431,"*GCO – Industry Cloud *")</f>
        <v>0</v>
      </c>
      <c r="L434">
        <f>COUNTIF('Metrics - Articles'!F431,"*GCO – Customer Engagement &amp; Commerce (CRM &amp; hybris) *")</f>
        <v>0</v>
      </c>
      <c r="M434">
        <f>COUNTIF('Metrics - Articles'!F431,"*GCO – HR (SuccessFactors)*")</f>
        <v>0</v>
      </c>
      <c r="N434">
        <f>COUNTIF('Metrics - Articles'!F431,"*GCO – Services Sales*")</f>
        <v>0</v>
      </c>
      <c r="O434">
        <f>COUNTIF('Metrics - Articles'!F431,"*GCO – Other*")</f>
        <v>0</v>
      </c>
      <c r="P434">
        <f>COUNTIF('Metrics - Articles'!F431,"*Corporate*")</f>
        <v>0</v>
      </c>
      <c r="R434" s="53">
        <f t="shared" si="8"/>
        <v>0</v>
      </c>
    </row>
    <row r="435" spans="2:18" hidden="1" x14ac:dyDescent="0.25">
      <c r="B435" s="48">
        <f>+'Metrics - Articles'!C432</f>
        <v>0</v>
      </c>
      <c r="C435">
        <f>COUNTIF('Metrics - Articles'!F432,"*GPO (Partner, Ecosystem, Channels)*")</f>
        <v>0</v>
      </c>
      <c r="D435">
        <f>COUNTIF('Metrics - Articles'!F432,"*Office of the CEO*")</f>
        <v>0</v>
      </c>
      <c r="E435">
        <f>COUNTIF('Metrics - Articles'!F432,"*Services Delivery &amp; Support (go-lives and deployments) *")</f>
        <v>0</v>
      </c>
      <c r="F435">
        <f>COUNTIF('Metrics - Articles'!F432,"*Human Resources (SAP HR and employee stories)*")</f>
        <v>0</v>
      </c>
      <c r="G435">
        <f>COUNTIF('Metrics - Articles'!F432,"*P&amp;I (Research &amp; Development)*")</f>
        <v>0</v>
      </c>
      <c r="H435">
        <f>COUNTIF('Metrics - Articles'!F432,"*Business Network (Concur, Ariba, Fieldglass)*")</f>
        <v>0</v>
      </c>
      <c r="I435">
        <f>COUNTIF('Metrics - Articles'!F432,"*GCO – Regions*")</f>
        <v>0</v>
      </c>
      <c r="J435">
        <f>COUNTIF('Metrics - Articles'!F432,"*GCO – Platform Solutions*")</f>
        <v>0</v>
      </c>
      <c r="K435">
        <f>COUNTIF('Metrics - Articles'!F432,"*GCO – Industry Cloud *")</f>
        <v>0</v>
      </c>
      <c r="L435">
        <f>COUNTIF('Metrics - Articles'!F432,"*GCO – Customer Engagement &amp; Commerce (CRM &amp; hybris) *")</f>
        <v>0</v>
      </c>
      <c r="M435">
        <f>COUNTIF('Metrics - Articles'!F432,"*GCO – HR (SuccessFactors)*")</f>
        <v>0</v>
      </c>
      <c r="N435">
        <f>COUNTIF('Metrics - Articles'!F432,"*GCO – Services Sales*")</f>
        <v>0</v>
      </c>
      <c r="O435">
        <f>COUNTIF('Metrics - Articles'!F432,"*GCO – Other*")</f>
        <v>0</v>
      </c>
      <c r="P435">
        <f>COUNTIF('Metrics - Articles'!F432,"*Corporate*")</f>
        <v>0</v>
      </c>
      <c r="R435" s="53">
        <f t="shared" si="8"/>
        <v>0</v>
      </c>
    </row>
    <row r="436" spans="2:18" hidden="1" x14ac:dyDescent="0.25">
      <c r="B436" s="48">
        <f>+'Metrics - Articles'!C433</f>
        <v>0</v>
      </c>
      <c r="C436">
        <f>COUNTIF('Metrics - Articles'!F433,"*GPO (Partner, Ecosystem, Channels)*")</f>
        <v>0</v>
      </c>
      <c r="D436">
        <f>COUNTIF('Metrics - Articles'!F433,"*Office of the CEO*")</f>
        <v>0</v>
      </c>
      <c r="E436">
        <f>COUNTIF('Metrics - Articles'!F433,"*Services Delivery &amp; Support (go-lives and deployments) *")</f>
        <v>0</v>
      </c>
      <c r="F436">
        <f>COUNTIF('Metrics - Articles'!F433,"*Human Resources (SAP HR and employee stories)*")</f>
        <v>0</v>
      </c>
      <c r="G436">
        <f>COUNTIF('Metrics - Articles'!F433,"*P&amp;I (Research &amp; Development)*")</f>
        <v>0</v>
      </c>
      <c r="H436">
        <f>COUNTIF('Metrics - Articles'!F433,"*Business Network (Concur, Ariba, Fieldglass)*")</f>
        <v>0</v>
      </c>
      <c r="I436">
        <f>COUNTIF('Metrics - Articles'!F433,"*GCO – Regions*")</f>
        <v>0</v>
      </c>
      <c r="J436">
        <f>COUNTIF('Metrics - Articles'!F433,"*GCO – Platform Solutions*")</f>
        <v>0</v>
      </c>
      <c r="K436">
        <f>COUNTIF('Metrics - Articles'!F433,"*GCO – Industry Cloud *")</f>
        <v>0</v>
      </c>
      <c r="L436">
        <f>COUNTIF('Metrics - Articles'!F433,"*GCO – Customer Engagement &amp; Commerce (CRM &amp; hybris) *")</f>
        <v>0</v>
      </c>
      <c r="M436">
        <f>COUNTIF('Metrics - Articles'!F433,"*GCO – HR (SuccessFactors)*")</f>
        <v>0</v>
      </c>
      <c r="N436">
        <f>COUNTIF('Metrics - Articles'!F433,"*GCO – Services Sales*")</f>
        <v>0</v>
      </c>
      <c r="O436">
        <f>COUNTIF('Metrics - Articles'!F433,"*GCO – Other*")</f>
        <v>0</v>
      </c>
      <c r="P436">
        <f>COUNTIF('Metrics - Articles'!F433,"*Corporate*")</f>
        <v>0</v>
      </c>
      <c r="R436" s="53">
        <f t="shared" si="8"/>
        <v>0</v>
      </c>
    </row>
    <row r="437" spans="2:18" hidden="1" x14ac:dyDescent="0.25">
      <c r="B437" s="48">
        <f>+'Metrics - Articles'!C434</f>
        <v>0</v>
      </c>
      <c r="C437">
        <f>COUNTIF('Metrics - Articles'!F434,"*GPO (Partner, Ecosystem, Channels)*")</f>
        <v>0</v>
      </c>
      <c r="D437">
        <f>COUNTIF('Metrics - Articles'!F434,"*Office of the CEO*")</f>
        <v>0</v>
      </c>
      <c r="E437">
        <f>COUNTIF('Metrics - Articles'!F434,"*Services Delivery &amp; Support (go-lives and deployments) *")</f>
        <v>0</v>
      </c>
      <c r="F437">
        <f>COUNTIF('Metrics - Articles'!F434,"*Human Resources (SAP HR and employee stories)*")</f>
        <v>0</v>
      </c>
      <c r="G437">
        <f>COUNTIF('Metrics - Articles'!F434,"*P&amp;I (Research &amp; Development)*")</f>
        <v>0</v>
      </c>
      <c r="H437">
        <f>COUNTIF('Metrics - Articles'!F434,"*Business Network (Concur, Ariba, Fieldglass)*")</f>
        <v>0</v>
      </c>
      <c r="I437">
        <f>COUNTIF('Metrics - Articles'!F434,"*GCO – Regions*")</f>
        <v>0</v>
      </c>
      <c r="J437">
        <f>COUNTIF('Metrics - Articles'!F434,"*GCO – Platform Solutions*")</f>
        <v>0</v>
      </c>
      <c r="K437">
        <f>COUNTIF('Metrics - Articles'!F434,"*GCO – Industry Cloud *")</f>
        <v>0</v>
      </c>
      <c r="L437">
        <f>COUNTIF('Metrics - Articles'!F434,"*GCO – Customer Engagement &amp; Commerce (CRM &amp; hybris) *")</f>
        <v>0</v>
      </c>
      <c r="M437">
        <f>COUNTIF('Metrics - Articles'!F434,"*GCO – HR (SuccessFactors)*")</f>
        <v>0</v>
      </c>
      <c r="N437">
        <f>COUNTIF('Metrics - Articles'!F434,"*GCO – Services Sales*")</f>
        <v>0</v>
      </c>
      <c r="O437">
        <f>COUNTIF('Metrics - Articles'!F434,"*GCO – Other*")</f>
        <v>0</v>
      </c>
      <c r="P437">
        <f>COUNTIF('Metrics - Articles'!F434,"*Corporate*")</f>
        <v>0</v>
      </c>
      <c r="R437" s="53">
        <f t="shared" si="8"/>
        <v>0</v>
      </c>
    </row>
    <row r="438" spans="2:18" hidden="1" x14ac:dyDescent="0.25">
      <c r="B438" s="48">
        <f>+'Metrics - Articles'!C435</f>
        <v>0</v>
      </c>
      <c r="C438">
        <f>COUNTIF('Metrics - Articles'!F435,"*GPO (Partner, Ecosystem, Channels)*")</f>
        <v>0</v>
      </c>
      <c r="D438">
        <f>COUNTIF('Metrics - Articles'!F435,"*Office of the CEO*")</f>
        <v>0</v>
      </c>
      <c r="E438">
        <f>COUNTIF('Metrics - Articles'!F435,"*Services Delivery &amp; Support (go-lives and deployments) *")</f>
        <v>0</v>
      </c>
      <c r="F438">
        <f>COUNTIF('Metrics - Articles'!F435,"*Human Resources (SAP HR and employee stories)*")</f>
        <v>0</v>
      </c>
      <c r="G438">
        <f>COUNTIF('Metrics - Articles'!F435,"*P&amp;I (Research &amp; Development)*")</f>
        <v>0</v>
      </c>
      <c r="H438">
        <f>COUNTIF('Metrics - Articles'!F435,"*Business Network (Concur, Ariba, Fieldglass)*")</f>
        <v>0</v>
      </c>
      <c r="I438">
        <f>COUNTIF('Metrics - Articles'!F435,"*GCO – Regions*")</f>
        <v>0</v>
      </c>
      <c r="J438">
        <f>COUNTIF('Metrics - Articles'!F435,"*GCO – Platform Solutions*")</f>
        <v>0</v>
      </c>
      <c r="K438">
        <f>COUNTIF('Metrics - Articles'!F435,"*GCO – Industry Cloud *")</f>
        <v>0</v>
      </c>
      <c r="L438">
        <f>COUNTIF('Metrics - Articles'!F435,"*GCO – Customer Engagement &amp; Commerce (CRM &amp; hybris) *")</f>
        <v>0</v>
      </c>
      <c r="M438">
        <f>COUNTIF('Metrics - Articles'!F435,"*GCO – HR (SuccessFactors)*")</f>
        <v>0</v>
      </c>
      <c r="N438">
        <f>COUNTIF('Metrics - Articles'!F435,"*GCO – Services Sales*")</f>
        <v>0</v>
      </c>
      <c r="O438">
        <f>COUNTIF('Metrics - Articles'!F435,"*GCO – Other*")</f>
        <v>0</v>
      </c>
      <c r="P438">
        <f>COUNTIF('Metrics - Articles'!F435,"*Corporate*")</f>
        <v>0</v>
      </c>
      <c r="R438" s="53">
        <f t="shared" si="8"/>
        <v>0</v>
      </c>
    </row>
    <row r="439" spans="2:18" hidden="1" x14ac:dyDescent="0.25">
      <c r="B439" s="48">
        <f>+'Metrics - Articles'!C436</f>
        <v>0</v>
      </c>
      <c r="C439">
        <f>COUNTIF('Metrics - Articles'!F436,"*GPO (Partner, Ecosystem, Channels)*")</f>
        <v>0</v>
      </c>
      <c r="D439">
        <f>COUNTIF('Metrics - Articles'!F436,"*Office of the CEO*")</f>
        <v>0</v>
      </c>
      <c r="E439">
        <f>COUNTIF('Metrics - Articles'!F436,"*Services Delivery &amp; Support (go-lives and deployments) *")</f>
        <v>0</v>
      </c>
      <c r="F439">
        <f>COUNTIF('Metrics - Articles'!F436,"*Human Resources (SAP HR and employee stories)*")</f>
        <v>0</v>
      </c>
      <c r="G439">
        <f>COUNTIF('Metrics - Articles'!F436,"*P&amp;I (Research &amp; Development)*")</f>
        <v>0</v>
      </c>
      <c r="H439">
        <f>COUNTIF('Metrics - Articles'!F436,"*Business Network (Concur, Ariba, Fieldglass)*")</f>
        <v>0</v>
      </c>
      <c r="I439">
        <f>COUNTIF('Metrics - Articles'!F436,"*GCO – Regions*")</f>
        <v>0</v>
      </c>
      <c r="J439">
        <f>COUNTIF('Metrics - Articles'!F436,"*GCO – Platform Solutions*")</f>
        <v>0</v>
      </c>
      <c r="K439">
        <f>COUNTIF('Metrics - Articles'!F436,"*GCO – Industry Cloud *")</f>
        <v>0</v>
      </c>
      <c r="L439">
        <f>COUNTIF('Metrics - Articles'!F436,"*GCO – Customer Engagement &amp; Commerce (CRM &amp; hybris) *")</f>
        <v>0</v>
      </c>
      <c r="M439">
        <f>COUNTIF('Metrics - Articles'!F436,"*GCO – HR (SuccessFactors)*")</f>
        <v>0</v>
      </c>
      <c r="N439">
        <f>COUNTIF('Metrics - Articles'!F436,"*GCO – Services Sales*")</f>
        <v>0</v>
      </c>
      <c r="O439">
        <f>COUNTIF('Metrics - Articles'!F436,"*GCO – Other*")</f>
        <v>0</v>
      </c>
      <c r="P439">
        <f>COUNTIF('Metrics - Articles'!F436,"*Corporate*")</f>
        <v>0</v>
      </c>
      <c r="R439" s="53">
        <f t="shared" si="8"/>
        <v>0</v>
      </c>
    </row>
    <row r="440" spans="2:18" hidden="1" x14ac:dyDescent="0.25">
      <c r="B440" s="48">
        <f>+'Metrics - Articles'!C437</f>
        <v>0</v>
      </c>
      <c r="C440">
        <f>COUNTIF('Metrics - Articles'!F437,"*GPO (Partner, Ecosystem, Channels)*")</f>
        <v>0</v>
      </c>
      <c r="D440">
        <f>COUNTIF('Metrics - Articles'!F437,"*Office of the CEO*")</f>
        <v>0</v>
      </c>
      <c r="E440">
        <f>COUNTIF('Metrics - Articles'!F437,"*Services Delivery &amp; Support (go-lives and deployments) *")</f>
        <v>0</v>
      </c>
      <c r="F440">
        <f>COUNTIF('Metrics - Articles'!F437,"*Human Resources (SAP HR and employee stories)*")</f>
        <v>0</v>
      </c>
      <c r="G440">
        <f>COUNTIF('Metrics - Articles'!F437,"*P&amp;I (Research &amp; Development)*")</f>
        <v>0</v>
      </c>
      <c r="H440">
        <f>COUNTIF('Metrics - Articles'!F437,"*Business Network (Concur, Ariba, Fieldglass)*")</f>
        <v>0</v>
      </c>
      <c r="I440">
        <f>COUNTIF('Metrics - Articles'!F437,"*GCO – Regions*")</f>
        <v>0</v>
      </c>
      <c r="J440">
        <f>COUNTIF('Metrics - Articles'!F437,"*GCO – Platform Solutions*")</f>
        <v>0</v>
      </c>
      <c r="K440">
        <f>COUNTIF('Metrics - Articles'!F437,"*GCO – Industry Cloud *")</f>
        <v>0</v>
      </c>
      <c r="L440">
        <f>COUNTIF('Metrics - Articles'!F437,"*GCO – Customer Engagement &amp; Commerce (CRM &amp; hybris) *")</f>
        <v>0</v>
      </c>
      <c r="M440">
        <f>COUNTIF('Metrics - Articles'!F437,"*GCO – HR (SuccessFactors)*")</f>
        <v>0</v>
      </c>
      <c r="N440">
        <f>COUNTIF('Metrics - Articles'!F437,"*GCO – Services Sales*")</f>
        <v>0</v>
      </c>
      <c r="O440">
        <f>COUNTIF('Metrics - Articles'!F437,"*GCO – Other*")</f>
        <v>0</v>
      </c>
      <c r="P440">
        <f>COUNTIF('Metrics - Articles'!F437,"*Corporate*")</f>
        <v>0</v>
      </c>
      <c r="R440" s="53">
        <f t="shared" si="8"/>
        <v>0</v>
      </c>
    </row>
    <row r="441" spans="2:18" hidden="1" x14ac:dyDescent="0.25">
      <c r="B441" s="48">
        <f>+'Metrics - Articles'!C438</f>
        <v>0</v>
      </c>
      <c r="C441">
        <f>COUNTIF('Metrics - Articles'!F438,"*GPO (Partner, Ecosystem, Channels)*")</f>
        <v>0</v>
      </c>
      <c r="D441">
        <f>COUNTIF('Metrics - Articles'!F438,"*Office of the CEO*")</f>
        <v>0</v>
      </c>
      <c r="E441">
        <f>COUNTIF('Metrics - Articles'!F438,"*Services Delivery &amp; Support (go-lives and deployments) *")</f>
        <v>0</v>
      </c>
      <c r="F441">
        <f>COUNTIF('Metrics - Articles'!F438,"*Human Resources (SAP HR and employee stories)*")</f>
        <v>0</v>
      </c>
      <c r="G441">
        <f>COUNTIF('Metrics - Articles'!F438,"*P&amp;I (Research &amp; Development)*")</f>
        <v>0</v>
      </c>
      <c r="H441">
        <f>COUNTIF('Metrics - Articles'!F438,"*Business Network (Concur, Ariba, Fieldglass)*")</f>
        <v>0</v>
      </c>
      <c r="I441">
        <f>COUNTIF('Metrics - Articles'!F438,"*GCO – Regions*")</f>
        <v>0</v>
      </c>
      <c r="J441">
        <f>COUNTIF('Metrics - Articles'!F438,"*GCO – Platform Solutions*")</f>
        <v>0</v>
      </c>
      <c r="K441">
        <f>COUNTIF('Metrics - Articles'!F438,"*GCO – Industry Cloud *")</f>
        <v>0</v>
      </c>
      <c r="L441">
        <f>COUNTIF('Metrics - Articles'!F438,"*GCO – Customer Engagement &amp; Commerce (CRM &amp; hybris) *")</f>
        <v>0</v>
      </c>
      <c r="M441">
        <f>COUNTIF('Metrics - Articles'!F438,"*GCO – HR (SuccessFactors)*")</f>
        <v>0</v>
      </c>
      <c r="N441">
        <f>COUNTIF('Metrics - Articles'!F438,"*GCO – Services Sales*")</f>
        <v>0</v>
      </c>
      <c r="O441">
        <f>COUNTIF('Metrics - Articles'!F438,"*GCO – Other*")</f>
        <v>0</v>
      </c>
      <c r="P441">
        <f>COUNTIF('Metrics - Articles'!F438,"*Corporate*")</f>
        <v>0</v>
      </c>
      <c r="R441" s="53">
        <f t="shared" si="8"/>
        <v>0</v>
      </c>
    </row>
    <row r="442" spans="2:18" hidden="1" x14ac:dyDescent="0.25">
      <c r="B442" s="48">
        <f>+'Metrics - Articles'!C439</f>
        <v>0</v>
      </c>
      <c r="C442">
        <f>COUNTIF('Metrics - Articles'!F439,"*GPO (Partner, Ecosystem, Channels)*")</f>
        <v>0</v>
      </c>
      <c r="D442">
        <f>COUNTIF('Metrics - Articles'!F439,"*Office of the CEO*")</f>
        <v>0</v>
      </c>
      <c r="E442">
        <f>COUNTIF('Metrics - Articles'!F439,"*Services Delivery &amp; Support (go-lives and deployments) *")</f>
        <v>0</v>
      </c>
      <c r="F442">
        <f>COUNTIF('Metrics - Articles'!F439,"*Human Resources (SAP HR and employee stories)*")</f>
        <v>0</v>
      </c>
      <c r="G442">
        <f>COUNTIF('Metrics - Articles'!F439,"*P&amp;I (Research &amp; Development)*")</f>
        <v>0</v>
      </c>
      <c r="H442">
        <f>COUNTIF('Metrics - Articles'!F439,"*Business Network (Concur, Ariba, Fieldglass)*")</f>
        <v>0</v>
      </c>
      <c r="I442">
        <f>COUNTIF('Metrics - Articles'!F439,"*GCO – Regions*")</f>
        <v>0</v>
      </c>
      <c r="J442">
        <f>COUNTIF('Metrics - Articles'!F439,"*GCO – Platform Solutions*")</f>
        <v>0</v>
      </c>
      <c r="K442">
        <f>COUNTIF('Metrics - Articles'!F439,"*GCO – Industry Cloud *")</f>
        <v>0</v>
      </c>
      <c r="L442">
        <f>COUNTIF('Metrics - Articles'!F439,"*GCO – Customer Engagement &amp; Commerce (CRM &amp; hybris) *")</f>
        <v>0</v>
      </c>
      <c r="M442">
        <f>COUNTIF('Metrics - Articles'!F439,"*GCO – HR (SuccessFactors)*")</f>
        <v>0</v>
      </c>
      <c r="N442">
        <f>COUNTIF('Metrics - Articles'!F439,"*GCO – Services Sales*")</f>
        <v>0</v>
      </c>
      <c r="O442">
        <f>COUNTIF('Metrics - Articles'!F439,"*GCO – Other*")</f>
        <v>0</v>
      </c>
      <c r="P442">
        <f>COUNTIF('Metrics - Articles'!F439,"*Corporate*")</f>
        <v>0</v>
      </c>
      <c r="R442" s="53">
        <f t="shared" si="8"/>
        <v>0</v>
      </c>
    </row>
    <row r="443" spans="2:18" hidden="1" x14ac:dyDescent="0.25">
      <c r="B443" s="48">
        <f>+'Metrics - Articles'!C440</f>
        <v>0</v>
      </c>
      <c r="C443">
        <f>COUNTIF('Metrics - Articles'!F440,"*GPO (Partner, Ecosystem, Channels)*")</f>
        <v>0</v>
      </c>
      <c r="D443">
        <f>COUNTIF('Metrics - Articles'!F440,"*Office of the CEO*")</f>
        <v>0</v>
      </c>
      <c r="E443">
        <f>COUNTIF('Metrics - Articles'!F440,"*Services Delivery &amp; Support (go-lives and deployments) *")</f>
        <v>0</v>
      </c>
      <c r="F443">
        <f>COUNTIF('Metrics - Articles'!F440,"*Human Resources (SAP HR and employee stories)*")</f>
        <v>0</v>
      </c>
      <c r="G443">
        <f>COUNTIF('Metrics - Articles'!F440,"*P&amp;I (Research &amp; Development)*")</f>
        <v>0</v>
      </c>
      <c r="H443">
        <f>COUNTIF('Metrics - Articles'!F440,"*Business Network (Concur, Ariba, Fieldglass)*")</f>
        <v>0</v>
      </c>
      <c r="I443">
        <f>COUNTIF('Metrics - Articles'!F440,"*GCO – Regions*")</f>
        <v>0</v>
      </c>
      <c r="J443">
        <f>COUNTIF('Metrics - Articles'!F440,"*GCO – Platform Solutions*")</f>
        <v>0</v>
      </c>
      <c r="K443">
        <f>COUNTIF('Metrics - Articles'!F440,"*GCO – Industry Cloud *")</f>
        <v>0</v>
      </c>
      <c r="L443">
        <f>COUNTIF('Metrics - Articles'!F440,"*GCO – Customer Engagement &amp; Commerce (CRM &amp; hybris) *")</f>
        <v>0</v>
      </c>
      <c r="M443">
        <f>COUNTIF('Metrics - Articles'!F440,"*GCO – HR (SuccessFactors)*")</f>
        <v>0</v>
      </c>
      <c r="N443">
        <f>COUNTIF('Metrics - Articles'!F440,"*GCO – Services Sales*")</f>
        <v>0</v>
      </c>
      <c r="O443">
        <f>COUNTIF('Metrics - Articles'!F440,"*GCO – Other*")</f>
        <v>0</v>
      </c>
      <c r="P443">
        <f>COUNTIF('Metrics - Articles'!F440,"*Corporate*")</f>
        <v>0</v>
      </c>
      <c r="R443" s="53">
        <f t="shared" si="8"/>
        <v>0</v>
      </c>
    </row>
    <row r="444" spans="2:18" hidden="1" x14ac:dyDescent="0.25">
      <c r="B444" s="48">
        <f>+'Metrics - Articles'!C441</f>
        <v>0</v>
      </c>
      <c r="C444">
        <f>COUNTIF('Metrics - Articles'!F441,"*GPO (Partner, Ecosystem, Channels)*")</f>
        <v>0</v>
      </c>
      <c r="D444">
        <f>COUNTIF('Metrics - Articles'!F441,"*Office of the CEO*")</f>
        <v>0</v>
      </c>
      <c r="E444">
        <f>COUNTIF('Metrics - Articles'!F441,"*Services Delivery &amp; Support (go-lives and deployments) *")</f>
        <v>0</v>
      </c>
      <c r="F444">
        <f>COUNTIF('Metrics - Articles'!F441,"*Human Resources (SAP HR and employee stories)*")</f>
        <v>0</v>
      </c>
      <c r="G444">
        <f>COUNTIF('Metrics - Articles'!F441,"*P&amp;I (Research &amp; Development)*")</f>
        <v>0</v>
      </c>
      <c r="H444">
        <f>COUNTIF('Metrics - Articles'!F441,"*Business Network (Concur, Ariba, Fieldglass)*")</f>
        <v>0</v>
      </c>
      <c r="I444">
        <f>COUNTIF('Metrics - Articles'!F441,"*GCO – Regions*")</f>
        <v>0</v>
      </c>
      <c r="J444">
        <f>COUNTIF('Metrics - Articles'!F441,"*GCO – Platform Solutions*")</f>
        <v>0</v>
      </c>
      <c r="K444">
        <f>COUNTIF('Metrics - Articles'!F441,"*GCO – Industry Cloud *")</f>
        <v>0</v>
      </c>
      <c r="L444">
        <f>COUNTIF('Metrics - Articles'!F441,"*GCO – Customer Engagement &amp; Commerce (CRM &amp; hybris) *")</f>
        <v>0</v>
      </c>
      <c r="M444">
        <f>COUNTIF('Metrics - Articles'!F441,"*GCO – HR (SuccessFactors)*")</f>
        <v>0</v>
      </c>
      <c r="N444">
        <f>COUNTIF('Metrics - Articles'!F441,"*GCO – Services Sales*")</f>
        <v>0</v>
      </c>
      <c r="O444">
        <f>COUNTIF('Metrics - Articles'!F441,"*GCO – Other*")</f>
        <v>0</v>
      </c>
      <c r="P444">
        <f>COUNTIF('Metrics - Articles'!F441,"*Corporate*")</f>
        <v>0</v>
      </c>
      <c r="R444" s="53">
        <f t="shared" si="8"/>
        <v>0</v>
      </c>
    </row>
    <row r="445" spans="2:18" hidden="1" x14ac:dyDescent="0.25">
      <c r="B445" s="48">
        <f>+'Metrics - Articles'!C442</f>
        <v>0</v>
      </c>
      <c r="C445">
        <f>COUNTIF('Metrics - Articles'!F442,"*GPO (Partner, Ecosystem, Channels)*")</f>
        <v>0</v>
      </c>
      <c r="D445">
        <f>COUNTIF('Metrics - Articles'!F442,"*Office of the CEO*")</f>
        <v>0</v>
      </c>
      <c r="E445">
        <f>COUNTIF('Metrics - Articles'!F442,"*Services Delivery &amp; Support (go-lives and deployments) *")</f>
        <v>0</v>
      </c>
      <c r="F445">
        <f>COUNTIF('Metrics - Articles'!F442,"*Human Resources (SAP HR and employee stories)*")</f>
        <v>0</v>
      </c>
      <c r="G445">
        <f>COUNTIF('Metrics - Articles'!F442,"*P&amp;I (Research &amp; Development)*")</f>
        <v>0</v>
      </c>
      <c r="H445">
        <f>COUNTIF('Metrics - Articles'!F442,"*Business Network (Concur, Ariba, Fieldglass)*")</f>
        <v>0</v>
      </c>
      <c r="I445">
        <f>COUNTIF('Metrics - Articles'!F442,"*GCO – Regions*")</f>
        <v>0</v>
      </c>
      <c r="J445">
        <f>COUNTIF('Metrics - Articles'!F442,"*GCO – Platform Solutions*")</f>
        <v>0</v>
      </c>
      <c r="K445">
        <f>COUNTIF('Metrics - Articles'!F442,"*GCO – Industry Cloud *")</f>
        <v>0</v>
      </c>
      <c r="L445">
        <f>COUNTIF('Metrics - Articles'!F442,"*GCO – Customer Engagement &amp; Commerce (CRM &amp; hybris) *")</f>
        <v>0</v>
      </c>
      <c r="M445">
        <f>COUNTIF('Metrics - Articles'!F442,"*GCO – HR (SuccessFactors)*")</f>
        <v>0</v>
      </c>
      <c r="N445">
        <f>COUNTIF('Metrics - Articles'!F442,"*GCO – Services Sales*")</f>
        <v>0</v>
      </c>
      <c r="O445">
        <f>COUNTIF('Metrics - Articles'!F442,"*GCO – Other*")</f>
        <v>0</v>
      </c>
      <c r="P445">
        <f>COUNTIF('Metrics - Articles'!F442,"*Corporate*")</f>
        <v>0</v>
      </c>
      <c r="R445" s="53">
        <f t="shared" si="8"/>
        <v>0</v>
      </c>
    </row>
    <row r="446" spans="2:18" hidden="1" x14ac:dyDescent="0.25">
      <c r="B446" s="48">
        <f>+'Metrics - Articles'!C443</f>
        <v>0</v>
      </c>
      <c r="C446">
        <f>COUNTIF('Metrics - Articles'!F443,"*GPO (Partner, Ecosystem, Channels)*")</f>
        <v>0</v>
      </c>
      <c r="D446">
        <f>COUNTIF('Metrics - Articles'!F443,"*Office of the CEO*")</f>
        <v>0</v>
      </c>
      <c r="E446">
        <f>COUNTIF('Metrics - Articles'!F443,"*Services Delivery &amp; Support (go-lives and deployments) *")</f>
        <v>0</v>
      </c>
      <c r="F446">
        <f>COUNTIF('Metrics - Articles'!F443,"*Human Resources (SAP HR and employee stories)*")</f>
        <v>0</v>
      </c>
      <c r="G446">
        <f>COUNTIF('Metrics - Articles'!F443,"*P&amp;I (Research &amp; Development)*")</f>
        <v>0</v>
      </c>
      <c r="H446">
        <f>COUNTIF('Metrics - Articles'!F443,"*Business Network (Concur, Ariba, Fieldglass)*")</f>
        <v>0</v>
      </c>
      <c r="I446">
        <f>COUNTIF('Metrics - Articles'!F443,"*GCO – Regions*")</f>
        <v>0</v>
      </c>
      <c r="J446">
        <f>COUNTIF('Metrics - Articles'!F443,"*GCO – Platform Solutions*")</f>
        <v>0</v>
      </c>
      <c r="K446">
        <f>COUNTIF('Metrics - Articles'!F443,"*GCO – Industry Cloud *")</f>
        <v>0</v>
      </c>
      <c r="L446">
        <f>COUNTIF('Metrics - Articles'!F443,"*GCO – Customer Engagement &amp; Commerce (CRM &amp; hybris) *")</f>
        <v>0</v>
      </c>
      <c r="M446">
        <f>COUNTIF('Metrics - Articles'!F443,"*GCO – HR (SuccessFactors)*")</f>
        <v>0</v>
      </c>
      <c r="N446">
        <f>COUNTIF('Metrics - Articles'!F443,"*GCO – Services Sales*")</f>
        <v>0</v>
      </c>
      <c r="O446">
        <f>COUNTIF('Metrics - Articles'!F443,"*GCO – Other*")</f>
        <v>0</v>
      </c>
      <c r="P446">
        <f>COUNTIF('Metrics - Articles'!F443,"*Corporate*")</f>
        <v>0</v>
      </c>
      <c r="R446" s="53">
        <f t="shared" si="8"/>
        <v>0</v>
      </c>
    </row>
    <row r="447" spans="2:18" hidden="1" x14ac:dyDescent="0.25">
      <c r="B447" s="48">
        <f>+'Metrics - Articles'!C444</f>
        <v>0</v>
      </c>
      <c r="C447">
        <f>COUNTIF('Metrics - Articles'!F444,"*GPO (Partner, Ecosystem, Channels)*")</f>
        <v>0</v>
      </c>
      <c r="D447">
        <f>COUNTIF('Metrics - Articles'!F444,"*Office of the CEO*")</f>
        <v>0</v>
      </c>
      <c r="E447">
        <f>COUNTIF('Metrics - Articles'!F444,"*Services Delivery &amp; Support (go-lives and deployments) *")</f>
        <v>0</v>
      </c>
      <c r="F447">
        <f>COUNTIF('Metrics - Articles'!F444,"*Human Resources (SAP HR and employee stories)*")</f>
        <v>0</v>
      </c>
      <c r="G447">
        <f>COUNTIF('Metrics - Articles'!F444,"*P&amp;I (Research &amp; Development)*")</f>
        <v>0</v>
      </c>
      <c r="H447">
        <f>COUNTIF('Metrics - Articles'!F444,"*Business Network (Concur, Ariba, Fieldglass)*")</f>
        <v>0</v>
      </c>
      <c r="I447">
        <f>COUNTIF('Metrics - Articles'!F444,"*GCO – Regions*")</f>
        <v>0</v>
      </c>
      <c r="J447">
        <f>COUNTIF('Metrics - Articles'!F444,"*GCO – Platform Solutions*")</f>
        <v>0</v>
      </c>
      <c r="K447">
        <f>COUNTIF('Metrics - Articles'!F444,"*GCO – Industry Cloud *")</f>
        <v>0</v>
      </c>
      <c r="L447">
        <f>COUNTIF('Metrics - Articles'!F444,"*GCO – Customer Engagement &amp; Commerce (CRM &amp; hybris) *")</f>
        <v>0</v>
      </c>
      <c r="M447">
        <f>COUNTIF('Metrics - Articles'!F444,"*GCO – HR (SuccessFactors)*")</f>
        <v>0</v>
      </c>
      <c r="N447">
        <f>COUNTIF('Metrics - Articles'!F444,"*GCO – Services Sales*")</f>
        <v>0</v>
      </c>
      <c r="O447">
        <f>COUNTIF('Metrics - Articles'!F444,"*GCO – Other*")</f>
        <v>0</v>
      </c>
      <c r="P447">
        <f>COUNTIF('Metrics - Articles'!F444,"*Corporate*")</f>
        <v>0</v>
      </c>
      <c r="R447" s="53">
        <f t="shared" si="8"/>
        <v>0</v>
      </c>
    </row>
    <row r="448" spans="2:18" hidden="1" x14ac:dyDescent="0.25">
      <c r="B448" s="48">
        <f>+'Metrics - Articles'!C445</f>
        <v>0</v>
      </c>
      <c r="C448">
        <f>COUNTIF('Metrics - Articles'!F445,"*GPO (Partner, Ecosystem, Channels)*")</f>
        <v>0</v>
      </c>
      <c r="D448">
        <f>COUNTIF('Metrics - Articles'!F445,"*Office of the CEO*")</f>
        <v>0</v>
      </c>
      <c r="E448">
        <f>COUNTIF('Metrics - Articles'!F445,"*Services Delivery &amp; Support (go-lives and deployments) *")</f>
        <v>0</v>
      </c>
      <c r="F448">
        <f>COUNTIF('Metrics - Articles'!F445,"*Human Resources (SAP HR and employee stories)*")</f>
        <v>0</v>
      </c>
      <c r="G448">
        <f>COUNTIF('Metrics - Articles'!F445,"*P&amp;I (Research &amp; Development)*")</f>
        <v>0</v>
      </c>
      <c r="H448">
        <f>COUNTIF('Metrics - Articles'!F445,"*Business Network (Concur, Ariba, Fieldglass)*")</f>
        <v>0</v>
      </c>
      <c r="I448">
        <f>COUNTIF('Metrics - Articles'!F445,"*GCO – Regions*")</f>
        <v>0</v>
      </c>
      <c r="J448">
        <f>COUNTIF('Metrics - Articles'!F445,"*GCO – Platform Solutions*")</f>
        <v>0</v>
      </c>
      <c r="K448">
        <f>COUNTIF('Metrics - Articles'!F445,"*GCO – Industry Cloud *")</f>
        <v>0</v>
      </c>
      <c r="L448">
        <f>COUNTIF('Metrics - Articles'!F445,"*GCO – Customer Engagement &amp; Commerce (CRM &amp; hybris) *")</f>
        <v>0</v>
      </c>
      <c r="M448">
        <f>COUNTIF('Metrics - Articles'!F445,"*GCO – HR (SuccessFactors)*")</f>
        <v>0</v>
      </c>
      <c r="N448">
        <f>COUNTIF('Metrics - Articles'!F445,"*GCO – Services Sales*")</f>
        <v>0</v>
      </c>
      <c r="O448">
        <f>COUNTIF('Metrics - Articles'!F445,"*GCO – Other*")</f>
        <v>0</v>
      </c>
      <c r="P448">
        <f>COUNTIF('Metrics - Articles'!F445,"*Corporate*")</f>
        <v>0</v>
      </c>
      <c r="R448" s="53">
        <f t="shared" si="8"/>
        <v>0</v>
      </c>
    </row>
    <row r="449" spans="2:18" hidden="1" x14ac:dyDescent="0.25">
      <c r="B449" s="48">
        <f>+'Metrics - Articles'!C446</f>
        <v>0</v>
      </c>
      <c r="C449">
        <f>COUNTIF('Metrics - Articles'!F446,"*GPO (Partner, Ecosystem, Channels)*")</f>
        <v>0</v>
      </c>
      <c r="D449">
        <f>COUNTIF('Metrics - Articles'!F446,"*Office of the CEO*")</f>
        <v>0</v>
      </c>
      <c r="E449">
        <f>COUNTIF('Metrics - Articles'!F446,"*Services Delivery &amp; Support (go-lives and deployments) *")</f>
        <v>0</v>
      </c>
      <c r="F449">
        <f>COUNTIF('Metrics - Articles'!F446,"*Human Resources (SAP HR and employee stories)*")</f>
        <v>0</v>
      </c>
      <c r="G449">
        <f>COUNTIF('Metrics - Articles'!F446,"*P&amp;I (Research &amp; Development)*")</f>
        <v>0</v>
      </c>
      <c r="H449">
        <f>COUNTIF('Metrics - Articles'!F446,"*Business Network (Concur, Ariba, Fieldglass)*")</f>
        <v>0</v>
      </c>
      <c r="I449">
        <f>COUNTIF('Metrics - Articles'!F446,"*GCO – Regions*")</f>
        <v>0</v>
      </c>
      <c r="J449">
        <f>COUNTIF('Metrics - Articles'!F446,"*GCO – Platform Solutions*")</f>
        <v>0</v>
      </c>
      <c r="K449">
        <f>COUNTIF('Metrics - Articles'!F446,"*GCO – Industry Cloud *")</f>
        <v>0</v>
      </c>
      <c r="L449">
        <f>COUNTIF('Metrics - Articles'!F446,"*GCO – Customer Engagement &amp; Commerce (CRM &amp; hybris) *")</f>
        <v>0</v>
      </c>
      <c r="M449">
        <f>COUNTIF('Metrics - Articles'!F446,"*GCO – HR (SuccessFactors)*")</f>
        <v>0</v>
      </c>
      <c r="N449">
        <f>COUNTIF('Metrics - Articles'!F446,"*GCO – Services Sales*")</f>
        <v>0</v>
      </c>
      <c r="O449">
        <f>COUNTIF('Metrics - Articles'!F446,"*GCO – Other*")</f>
        <v>0</v>
      </c>
      <c r="P449">
        <f>COUNTIF('Metrics - Articles'!F446,"*Corporate*")</f>
        <v>0</v>
      </c>
      <c r="R449" s="53">
        <f t="shared" si="8"/>
        <v>0</v>
      </c>
    </row>
    <row r="450" spans="2:18" hidden="1" x14ac:dyDescent="0.25">
      <c r="B450" s="48">
        <f>+'Metrics - Articles'!C447</f>
        <v>0</v>
      </c>
      <c r="C450">
        <f>COUNTIF('Metrics - Articles'!F447,"*GPO (Partner, Ecosystem, Channels)*")</f>
        <v>0</v>
      </c>
      <c r="D450">
        <f>COUNTIF('Metrics - Articles'!F447,"*Office of the CEO*")</f>
        <v>0</v>
      </c>
      <c r="E450">
        <f>COUNTIF('Metrics - Articles'!F447,"*Services Delivery &amp; Support (go-lives and deployments) *")</f>
        <v>0</v>
      </c>
      <c r="F450">
        <f>COUNTIF('Metrics - Articles'!F447,"*Human Resources (SAP HR and employee stories)*")</f>
        <v>0</v>
      </c>
      <c r="G450">
        <f>COUNTIF('Metrics - Articles'!F447,"*P&amp;I (Research &amp; Development)*")</f>
        <v>0</v>
      </c>
      <c r="H450">
        <f>COUNTIF('Metrics - Articles'!F447,"*Business Network (Concur, Ariba, Fieldglass)*")</f>
        <v>0</v>
      </c>
      <c r="I450">
        <f>COUNTIF('Metrics - Articles'!F447,"*GCO – Regions*")</f>
        <v>0</v>
      </c>
      <c r="J450">
        <f>COUNTIF('Metrics - Articles'!F447,"*GCO – Platform Solutions*")</f>
        <v>0</v>
      </c>
      <c r="K450">
        <f>COUNTIF('Metrics - Articles'!F447,"*GCO – Industry Cloud *")</f>
        <v>0</v>
      </c>
      <c r="L450">
        <f>COUNTIF('Metrics - Articles'!F447,"*GCO – Customer Engagement &amp; Commerce (CRM &amp; hybris) *")</f>
        <v>0</v>
      </c>
      <c r="M450">
        <f>COUNTIF('Metrics - Articles'!F447,"*GCO – HR (SuccessFactors)*")</f>
        <v>0</v>
      </c>
      <c r="N450">
        <f>COUNTIF('Metrics - Articles'!F447,"*GCO – Services Sales*")</f>
        <v>0</v>
      </c>
      <c r="O450">
        <f>COUNTIF('Metrics - Articles'!F447,"*GCO – Other*")</f>
        <v>0</v>
      </c>
      <c r="P450">
        <f>COUNTIF('Metrics - Articles'!F447,"*Corporate*")</f>
        <v>0</v>
      </c>
      <c r="R450" s="53">
        <f t="shared" si="8"/>
        <v>0</v>
      </c>
    </row>
    <row r="451" spans="2:18" hidden="1" x14ac:dyDescent="0.25">
      <c r="B451" s="48">
        <f>+'Metrics - Articles'!C448</f>
        <v>0</v>
      </c>
      <c r="C451">
        <f>COUNTIF('Metrics - Articles'!F448,"*GPO (Partner, Ecosystem, Channels)*")</f>
        <v>0</v>
      </c>
      <c r="D451">
        <f>COUNTIF('Metrics - Articles'!F448,"*Office of the CEO*")</f>
        <v>0</v>
      </c>
      <c r="E451">
        <f>COUNTIF('Metrics - Articles'!F448,"*Services Delivery &amp; Support (go-lives and deployments) *")</f>
        <v>0</v>
      </c>
      <c r="F451">
        <f>COUNTIF('Metrics - Articles'!F448,"*Human Resources (SAP HR and employee stories)*")</f>
        <v>0</v>
      </c>
      <c r="G451">
        <f>COUNTIF('Metrics - Articles'!F448,"*P&amp;I (Research &amp; Development)*")</f>
        <v>0</v>
      </c>
      <c r="H451">
        <f>COUNTIF('Metrics - Articles'!F448,"*Business Network (Concur, Ariba, Fieldglass)*")</f>
        <v>0</v>
      </c>
      <c r="I451">
        <f>COUNTIF('Metrics - Articles'!F448,"*GCO – Regions*")</f>
        <v>0</v>
      </c>
      <c r="J451">
        <f>COUNTIF('Metrics - Articles'!F448,"*GCO – Platform Solutions*")</f>
        <v>0</v>
      </c>
      <c r="K451">
        <f>COUNTIF('Metrics - Articles'!F448,"*GCO – Industry Cloud *")</f>
        <v>0</v>
      </c>
      <c r="L451">
        <f>COUNTIF('Metrics - Articles'!F448,"*GCO – Customer Engagement &amp; Commerce (CRM &amp; hybris) *")</f>
        <v>0</v>
      </c>
      <c r="M451">
        <f>COUNTIF('Metrics - Articles'!F448,"*GCO – HR (SuccessFactors)*")</f>
        <v>0</v>
      </c>
      <c r="N451">
        <f>COUNTIF('Metrics - Articles'!F448,"*GCO – Services Sales*")</f>
        <v>0</v>
      </c>
      <c r="O451">
        <f>COUNTIF('Metrics - Articles'!F448,"*GCO – Other*")</f>
        <v>0</v>
      </c>
      <c r="P451">
        <f>COUNTIF('Metrics - Articles'!F448,"*Corporate*")</f>
        <v>0</v>
      </c>
      <c r="R451" s="53">
        <f t="shared" si="8"/>
        <v>0</v>
      </c>
    </row>
    <row r="452" spans="2:18" hidden="1" x14ac:dyDescent="0.25">
      <c r="B452" s="48">
        <f>+'Metrics - Articles'!C449</f>
        <v>0</v>
      </c>
      <c r="C452">
        <f>COUNTIF('Metrics - Articles'!F449,"*GPO (Partner, Ecosystem, Channels)*")</f>
        <v>0</v>
      </c>
      <c r="D452">
        <f>COUNTIF('Metrics - Articles'!F449,"*Office of the CEO*")</f>
        <v>0</v>
      </c>
      <c r="E452">
        <f>COUNTIF('Metrics - Articles'!F449,"*Services Delivery &amp; Support (go-lives and deployments) *")</f>
        <v>0</v>
      </c>
      <c r="F452">
        <f>COUNTIF('Metrics - Articles'!F449,"*Human Resources (SAP HR and employee stories)*")</f>
        <v>0</v>
      </c>
      <c r="G452">
        <f>COUNTIF('Metrics - Articles'!F449,"*P&amp;I (Research &amp; Development)*")</f>
        <v>0</v>
      </c>
      <c r="H452">
        <f>COUNTIF('Metrics - Articles'!F449,"*Business Network (Concur, Ariba, Fieldglass)*")</f>
        <v>0</v>
      </c>
      <c r="I452">
        <f>COUNTIF('Metrics - Articles'!F449,"*GCO – Regions*")</f>
        <v>0</v>
      </c>
      <c r="J452">
        <f>COUNTIF('Metrics - Articles'!F449,"*GCO – Platform Solutions*")</f>
        <v>0</v>
      </c>
      <c r="K452">
        <f>COUNTIF('Metrics - Articles'!F449,"*GCO – Industry Cloud *")</f>
        <v>0</v>
      </c>
      <c r="L452">
        <f>COUNTIF('Metrics - Articles'!F449,"*GCO – Customer Engagement &amp; Commerce (CRM &amp; hybris) *")</f>
        <v>0</v>
      </c>
      <c r="M452">
        <f>COUNTIF('Metrics - Articles'!F449,"*GCO – HR (SuccessFactors)*")</f>
        <v>0</v>
      </c>
      <c r="N452">
        <f>COUNTIF('Metrics - Articles'!F449,"*GCO – Services Sales*")</f>
        <v>0</v>
      </c>
      <c r="O452">
        <f>COUNTIF('Metrics - Articles'!F449,"*GCO – Other*")</f>
        <v>0</v>
      </c>
      <c r="P452">
        <f>COUNTIF('Metrics - Articles'!F449,"*Corporate*")</f>
        <v>0</v>
      </c>
      <c r="R452" s="53">
        <f t="shared" si="8"/>
        <v>0</v>
      </c>
    </row>
    <row r="453" spans="2:18" hidden="1" x14ac:dyDescent="0.25">
      <c r="B453" s="48">
        <f>+'Metrics - Articles'!C450</f>
        <v>0</v>
      </c>
      <c r="C453">
        <f>COUNTIF('Metrics - Articles'!F450,"*GPO (Partner, Ecosystem, Channels)*")</f>
        <v>0</v>
      </c>
      <c r="D453">
        <f>COUNTIF('Metrics - Articles'!F450,"*Office of the CEO*")</f>
        <v>0</v>
      </c>
      <c r="E453">
        <f>COUNTIF('Metrics - Articles'!F450,"*Services Delivery &amp; Support (go-lives and deployments) *")</f>
        <v>0</v>
      </c>
      <c r="F453">
        <f>COUNTIF('Metrics - Articles'!F450,"*Human Resources (SAP HR and employee stories)*")</f>
        <v>0</v>
      </c>
      <c r="G453">
        <f>COUNTIF('Metrics - Articles'!F450,"*P&amp;I (Research &amp; Development)*")</f>
        <v>0</v>
      </c>
      <c r="H453">
        <f>COUNTIF('Metrics - Articles'!F450,"*Business Network (Concur, Ariba, Fieldglass)*")</f>
        <v>0</v>
      </c>
      <c r="I453">
        <f>COUNTIF('Metrics - Articles'!F450,"*GCO – Regions*")</f>
        <v>0</v>
      </c>
      <c r="J453">
        <f>COUNTIF('Metrics - Articles'!F450,"*GCO – Platform Solutions*")</f>
        <v>0</v>
      </c>
      <c r="K453">
        <f>COUNTIF('Metrics - Articles'!F450,"*GCO – Industry Cloud *")</f>
        <v>0</v>
      </c>
      <c r="L453">
        <f>COUNTIF('Metrics - Articles'!F450,"*GCO – Customer Engagement &amp; Commerce (CRM &amp; hybris) *")</f>
        <v>0</v>
      </c>
      <c r="M453">
        <f>COUNTIF('Metrics - Articles'!F450,"*GCO – HR (SuccessFactors)*")</f>
        <v>0</v>
      </c>
      <c r="N453">
        <f>COUNTIF('Metrics - Articles'!F450,"*GCO – Services Sales*")</f>
        <v>0</v>
      </c>
      <c r="O453">
        <f>COUNTIF('Metrics - Articles'!F450,"*GCO – Other*")</f>
        <v>0</v>
      </c>
      <c r="P453">
        <f>COUNTIF('Metrics - Articles'!F450,"*Corporate*")</f>
        <v>0</v>
      </c>
      <c r="R453" s="53">
        <f t="shared" si="8"/>
        <v>0</v>
      </c>
    </row>
    <row r="454" spans="2:18" hidden="1" x14ac:dyDescent="0.25">
      <c r="B454" s="48">
        <f>+'Metrics - Articles'!C451</f>
        <v>0</v>
      </c>
      <c r="C454">
        <f>COUNTIF('Metrics - Articles'!F451,"*GPO (Partner, Ecosystem, Channels)*")</f>
        <v>0</v>
      </c>
      <c r="D454">
        <f>COUNTIF('Metrics - Articles'!F451,"*Office of the CEO*")</f>
        <v>0</v>
      </c>
      <c r="E454">
        <f>COUNTIF('Metrics - Articles'!F451,"*Services Delivery &amp; Support (go-lives and deployments) *")</f>
        <v>0</v>
      </c>
      <c r="F454">
        <f>COUNTIF('Metrics - Articles'!F451,"*Human Resources (SAP HR and employee stories)*")</f>
        <v>0</v>
      </c>
      <c r="G454">
        <f>COUNTIF('Metrics - Articles'!F451,"*P&amp;I (Research &amp; Development)*")</f>
        <v>0</v>
      </c>
      <c r="H454">
        <f>COUNTIF('Metrics - Articles'!F451,"*Business Network (Concur, Ariba, Fieldglass)*")</f>
        <v>0</v>
      </c>
      <c r="I454">
        <f>COUNTIF('Metrics - Articles'!F451,"*GCO – Regions*")</f>
        <v>0</v>
      </c>
      <c r="J454">
        <f>COUNTIF('Metrics - Articles'!F451,"*GCO – Platform Solutions*")</f>
        <v>0</v>
      </c>
      <c r="K454">
        <f>COUNTIF('Metrics - Articles'!F451,"*GCO – Industry Cloud *")</f>
        <v>0</v>
      </c>
      <c r="L454">
        <f>COUNTIF('Metrics - Articles'!F451,"*GCO – Customer Engagement &amp; Commerce (CRM &amp; hybris) *")</f>
        <v>0</v>
      </c>
      <c r="M454">
        <f>COUNTIF('Metrics - Articles'!F451,"*GCO – HR (SuccessFactors)*")</f>
        <v>0</v>
      </c>
      <c r="N454">
        <f>COUNTIF('Metrics - Articles'!F451,"*GCO – Services Sales*")</f>
        <v>0</v>
      </c>
      <c r="O454">
        <f>COUNTIF('Metrics - Articles'!F451,"*GCO – Other*")</f>
        <v>0</v>
      </c>
      <c r="P454">
        <f>COUNTIF('Metrics - Articles'!F451,"*Corporate*")</f>
        <v>0</v>
      </c>
      <c r="R454" s="53">
        <f t="shared" si="8"/>
        <v>0</v>
      </c>
    </row>
    <row r="455" spans="2:18" hidden="1" x14ac:dyDescent="0.25">
      <c r="B455" s="48">
        <f>+'Metrics - Articles'!C452</f>
        <v>0</v>
      </c>
      <c r="C455">
        <f>COUNTIF('Metrics - Articles'!F452,"*GPO (Partner, Ecosystem, Channels)*")</f>
        <v>0</v>
      </c>
      <c r="D455">
        <f>COUNTIF('Metrics - Articles'!F452,"*Office of the CEO*")</f>
        <v>0</v>
      </c>
      <c r="E455">
        <f>COUNTIF('Metrics - Articles'!F452,"*Services Delivery &amp; Support (go-lives and deployments) *")</f>
        <v>0</v>
      </c>
      <c r="F455">
        <f>COUNTIF('Metrics - Articles'!F452,"*Human Resources (SAP HR and employee stories)*")</f>
        <v>0</v>
      </c>
      <c r="G455">
        <f>COUNTIF('Metrics - Articles'!F452,"*P&amp;I (Research &amp; Development)*")</f>
        <v>0</v>
      </c>
      <c r="H455">
        <f>COUNTIF('Metrics - Articles'!F452,"*Business Network (Concur, Ariba, Fieldglass)*")</f>
        <v>0</v>
      </c>
      <c r="I455">
        <f>COUNTIF('Metrics - Articles'!F452,"*GCO – Regions*")</f>
        <v>0</v>
      </c>
      <c r="J455">
        <f>COUNTIF('Metrics - Articles'!F452,"*GCO – Platform Solutions*")</f>
        <v>0</v>
      </c>
      <c r="K455">
        <f>COUNTIF('Metrics - Articles'!F452,"*GCO – Industry Cloud *")</f>
        <v>0</v>
      </c>
      <c r="L455">
        <f>COUNTIF('Metrics - Articles'!F452,"*GCO – Customer Engagement &amp; Commerce (CRM &amp; hybris) *")</f>
        <v>0</v>
      </c>
      <c r="M455">
        <f>COUNTIF('Metrics - Articles'!F452,"*GCO – HR (SuccessFactors)*")</f>
        <v>0</v>
      </c>
      <c r="N455">
        <f>COUNTIF('Metrics - Articles'!F452,"*GCO – Services Sales*")</f>
        <v>0</v>
      </c>
      <c r="O455">
        <f>COUNTIF('Metrics - Articles'!F452,"*GCO – Other*")</f>
        <v>0</v>
      </c>
      <c r="P455">
        <f>COUNTIF('Metrics - Articles'!F452,"*Corporate*")</f>
        <v>0</v>
      </c>
      <c r="R455" s="53">
        <f t="shared" si="8"/>
        <v>0</v>
      </c>
    </row>
    <row r="456" spans="2:18" hidden="1" x14ac:dyDescent="0.25">
      <c r="B456" s="48">
        <f>+'Metrics - Articles'!C453</f>
        <v>0</v>
      </c>
      <c r="C456">
        <f>COUNTIF('Metrics - Articles'!F453,"*GPO (Partner, Ecosystem, Channels)*")</f>
        <v>0</v>
      </c>
      <c r="D456">
        <f>COUNTIF('Metrics - Articles'!F453,"*Office of the CEO*")</f>
        <v>0</v>
      </c>
      <c r="E456">
        <f>COUNTIF('Metrics - Articles'!F453,"*Services Delivery &amp; Support (go-lives and deployments) *")</f>
        <v>0</v>
      </c>
      <c r="F456">
        <f>COUNTIF('Metrics - Articles'!F453,"*Human Resources (SAP HR and employee stories)*")</f>
        <v>0</v>
      </c>
      <c r="G456">
        <f>COUNTIF('Metrics - Articles'!F453,"*P&amp;I (Research &amp; Development)*")</f>
        <v>0</v>
      </c>
      <c r="H456">
        <f>COUNTIF('Metrics - Articles'!F453,"*Business Network (Concur, Ariba, Fieldglass)*")</f>
        <v>0</v>
      </c>
      <c r="I456">
        <f>COUNTIF('Metrics - Articles'!F453,"*GCO – Regions*")</f>
        <v>0</v>
      </c>
      <c r="J456">
        <f>COUNTIF('Metrics - Articles'!F453,"*GCO – Platform Solutions*")</f>
        <v>0</v>
      </c>
      <c r="K456">
        <f>COUNTIF('Metrics - Articles'!F453,"*GCO – Industry Cloud *")</f>
        <v>0</v>
      </c>
      <c r="L456">
        <f>COUNTIF('Metrics - Articles'!F453,"*GCO – Customer Engagement &amp; Commerce (CRM &amp; hybris) *")</f>
        <v>0</v>
      </c>
      <c r="M456">
        <f>COUNTIF('Metrics - Articles'!F453,"*GCO – HR (SuccessFactors)*")</f>
        <v>0</v>
      </c>
      <c r="N456">
        <f>COUNTIF('Metrics - Articles'!F453,"*GCO – Services Sales*")</f>
        <v>0</v>
      </c>
      <c r="O456">
        <f>COUNTIF('Metrics - Articles'!F453,"*GCO – Other*")</f>
        <v>0</v>
      </c>
      <c r="P456">
        <f>COUNTIF('Metrics - Articles'!F453,"*Corporate*")</f>
        <v>0</v>
      </c>
      <c r="R456" s="53">
        <f t="shared" si="8"/>
        <v>0</v>
      </c>
    </row>
    <row r="457" spans="2:18" hidden="1" x14ac:dyDescent="0.25">
      <c r="B457" s="48">
        <f>+'Metrics - Articles'!C454</f>
        <v>0</v>
      </c>
      <c r="C457">
        <f>COUNTIF('Metrics - Articles'!F454,"*GPO (Partner, Ecosystem, Channels)*")</f>
        <v>0</v>
      </c>
      <c r="D457">
        <f>COUNTIF('Metrics - Articles'!F454,"*Office of the CEO*")</f>
        <v>0</v>
      </c>
      <c r="E457">
        <f>COUNTIF('Metrics - Articles'!F454,"*Services Delivery &amp; Support (go-lives and deployments) *")</f>
        <v>0</v>
      </c>
      <c r="F457">
        <f>COUNTIF('Metrics - Articles'!F454,"*Human Resources (SAP HR and employee stories)*")</f>
        <v>0</v>
      </c>
      <c r="G457">
        <f>COUNTIF('Metrics - Articles'!F454,"*P&amp;I (Research &amp; Development)*")</f>
        <v>0</v>
      </c>
      <c r="H457">
        <f>COUNTIF('Metrics - Articles'!F454,"*Business Network (Concur, Ariba, Fieldglass)*")</f>
        <v>0</v>
      </c>
      <c r="I457">
        <f>COUNTIF('Metrics - Articles'!F454,"*GCO – Regions*")</f>
        <v>0</v>
      </c>
      <c r="J457">
        <f>COUNTIF('Metrics - Articles'!F454,"*GCO – Platform Solutions*")</f>
        <v>0</v>
      </c>
      <c r="K457">
        <f>COUNTIF('Metrics - Articles'!F454,"*GCO – Industry Cloud *")</f>
        <v>0</v>
      </c>
      <c r="L457">
        <f>COUNTIF('Metrics - Articles'!F454,"*GCO – Customer Engagement &amp; Commerce (CRM &amp; hybris) *")</f>
        <v>0</v>
      </c>
      <c r="M457">
        <f>COUNTIF('Metrics - Articles'!F454,"*GCO – HR (SuccessFactors)*")</f>
        <v>0</v>
      </c>
      <c r="N457">
        <f>COUNTIF('Metrics - Articles'!F454,"*GCO – Services Sales*")</f>
        <v>0</v>
      </c>
      <c r="O457">
        <f>COUNTIF('Metrics - Articles'!F454,"*GCO – Other*")</f>
        <v>0</v>
      </c>
      <c r="P457">
        <f>COUNTIF('Metrics - Articles'!F454,"*Corporate*")</f>
        <v>0</v>
      </c>
      <c r="R457" s="53">
        <f t="shared" si="8"/>
        <v>0</v>
      </c>
    </row>
    <row r="458" spans="2:18" hidden="1" x14ac:dyDescent="0.25">
      <c r="B458" s="48">
        <f>+'Metrics - Articles'!C455</f>
        <v>0</v>
      </c>
      <c r="C458">
        <f>COUNTIF('Metrics - Articles'!F455,"*GPO (Partner, Ecosystem, Channels)*")</f>
        <v>0</v>
      </c>
      <c r="D458">
        <f>COUNTIF('Metrics - Articles'!F455,"*Office of the CEO*")</f>
        <v>0</v>
      </c>
      <c r="E458">
        <f>COUNTIF('Metrics - Articles'!F455,"*Services Delivery &amp; Support (go-lives and deployments) *")</f>
        <v>0</v>
      </c>
      <c r="F458">
        <f>COUNTIF('Metrics - Articles'!F455,"*Human Resources (SAP HR and employee stories)*")</f>
        <v>0</v>
      </c>
      <c r="G458">
        <f>COUNTIF('Metrics - Articles'!F455,"*P&amp;I (Research &amp; Development)*")</f>
        <v>0</v>
      </c>
      <c r="H458">
        <f>COUNTIF('Metrics - Articles'!F455,"*Business Network (Concur, Ariba, Fieldglass)*")</f>
        <v>0</v>
      </c>
      <c r="I458">
        <f>COUNTIF('Metrics - Articles'!F455,"*GCO – Regions*")</f>
        <v>0</v>
      </c>
      <c r="J458">
        <f>COUNTIF('Metrics - Articles'!F455,"*GCO – Platform Solutions*")</f>
        <v>0</v>
      </c>
      <c r="K458">
        <f>COUNTIF('Metrics - Articles'!F455,"*GCO – Industry Cloud *")</f>
        <v>0</v>
      </c>
      <c r="L458">
        <f>COUNTIF('Metrics - Articles'!F455,"*GCO – Customer Engagement &amp; Commerce (CRM &amp; hybris) *")</f>
        <v>0</v>
      </c>
      <c r="M458">
        <f>COUNTIF('Metrics - Articles'!F455,"*GCO – HR (SuccessFactors)*")</f>
        <v>0</v>
      </c>
      <c r="N458">
        <f>COUNTIF('Metrics - Articles'!F455,"*GCO – Services Sales*")</f>
        <v>0</v>
      </c>
      <c r="O458">
        <f>COUNTIF('Metrics - Articles'!F455,"*GCO – Other*")</f>
        <v>0</v>
      </c>
      <c r="P458">
        <f>COUNTIF('Metrics - Articles'!F455,"*Corporate*")</f>
        <v>0</v>
      </c>
      <c r="R458" s="53">
        <f t="shared" ref="R458:R521" si="9">SUM(C458:Q458)</f>
        <v>0</v>
      </c>
    </row>
    <row r="459" spans="2:18" hidden="1" x14ac:dyDescent="0.25">
      <c r="B459" s="48">
        <f>+'Metrics - Articles'!C456</f>
        <v>0</v>
      </c>
      <c r="C459">
        <f>COUNTIF('Metrics - Articles'!F456,"*GPO (Partner, Ecosystem, Channels)*")</f>
        <v>0</v>
      </c>
      <c r="D459">
        <f>COUNTIF('Metrics - Articles'!F456,"*Office of the CEO*")</f>
        <v>0</v>
      </c>
      <c r="E459">
        <f>COUNTIF('Metrics - Articles'!F456,"*Services Delivery &amp; Support (go-lives and deployments) *")</f>
        <v>0</v>
      </c>
      <c r="F459">
        <f>COUNTIF('Metrics - Articles'!F456,"*Human Resources (SAP HR and employee stories)*")</f>
        <v>0</v>
      </c>
      <c r="G459">
        <f>COUNTIF('Metrics - Articles'!F456,"*P&amp;I (Research &amp; Development)*")</f>
        <v>0</v>
      </c>
      <c r="H459">
        <f>COUNTIF('Metrics - Articles'!F456,"*Business Network (Concur, Ariba, Fieldglass)*")</f>
        <v>0</v>
      </c>
      <c r="I459">
        <f>COUNTIF('Metrics - Articles'!F456,"*GCO – Regions*")</f>
        <v>0</v>
      </c>
      <c r="J459">
        <f>COUNTIF('Metrics - Articles'!F456,"*GCO – Platform Solutions*")</f>
        <v>0</v>
      </c>
      <c r="K459">
        <f>COUNTIF('Metrics - Articles'!F456,"*GCO – Industry Cloud *")</f>
        <v>0</v>
      </c>
      <c r="L459">
        <f>COUNTIF('Metrics - Articles'!F456,"*GCO – Customer Engagement &amp; Commerce (CRM &amp; hybris) *")</f>
        <v>0</v>
      </c>
      <c r="M459">
        <f>COUNTIF('Metrics - Articles'!F456,"*GCO – HR (SuccessFactors)*")</f>
        <v>0</v>
      </c>
      <c r="N459">
        <f>COUNTIF('Metrics - Articles'!F456,"*GCO – Services Sales*")</f>
        <v>0</v>
      </c>
      <c r="O459">
        <f>COUNTIF('Metrics - Articles'!F456,"*GCO – Other*")</f>
        <v>0</v>
      </c>
      <c r="P459">
        <f>COUNTIF('Metrics - Articles'!F456,"*Corporate*")</f>
        <v>0</v>
      </c>
      <c r="R459" s="53">
        <f t="shared" si="9"/>
        <v>0</v>
      </c>
    </row>
    <row r="460" spans="2:18" hidden="1" x14ac:dyDescent="0.25">
      <c r="B460" s="48">
        <f>+'Metrics - Articles'!C457</f>
        <v>0</v>
      </c>
      <c r="C460">
        <f>COUNTIF('Metrics - Articles'!F457,"*GPO (Partner, Ecosystem, Channels)*")</f>
        <v>0</v>
      </c>
      <c r="D460">
        <f>COUNTIF('Metrics - Articles'!F457,"*Office of the CEO*")</f>
        <v>0</v>
      </c>
      <c r="E460">
        <f>COUNTIF('Metrics - Articles'!F457,"*Services Delivery &amp; Support (go-lives and deployments) *")</f>
        <v>0</v>
      </c>
      <c r="F460">
        <f>COUNTIF('Metrics - Articles'!F457,"*Human Resources (SAP HR and employee stories)*")</f>
        <v>0</v>
      </c>
      <c r="G460">
        <f>COUNTIF('Metrics - Articles'!F457,"*P&amp;I (Research &amp; Development)*")</f>
        <v>0</v>
      </c>
      <c r="H460">
        <f>COUNTIF('Metrics - Articles'!F457,"*Business Network (Concur, Ariba, Fieldglass)*")</f>
        <v>0</v>
      </c>
      <c r="I460">
        <f>COUNTIF('Metrics - Articles'!F457,"*GCO – Regions*")</f>
        <v>0</v>
      </c>
      <c r="J460">
        <f>COUNTIF('Metrics - Articles'!F457,"*GCO – Platform Solutions*")</f>
        <v>0</v>
      </c>
      <c r="K460">
        <f>COUNTIF('Metrics - Articles'!F457,"*GCO – Industry Cloud *")</f>
        <v>0</v>
      </c>
      <c r="L460">
        <f>COUNTIF('Metrics - Articles'!F457,"*GCO – Customer Engagement &amp; Commerce (CRM &amp; hybris) *")</f>
        <v>0</v>
      </c>
      <c r="M460">
        <f>COUNTIF('Metrics - Articles'!F457,"*GCO – HR (SuccessFactors)*")</f>
        <v>0</v>
      </c>
      <c r="N460">
        <f>COUNTIF('Metrics - Articles'!F457,"*GCO – Services Sales*")</f>
        <v>0</v>
      </c>
      <c r="O460">
        <f>COUNTIF('Metrics - Articles'!F457,"*GCO – Other*")</f>
        <v>0</v>
      </c>
      <c r="P460">
        <f>COUNTIF('Metrics - Articles'!F457,"*Corporate*")</f>
        <v>0</v>
      </c>
      <c r="R460" s="53">
        <f t="shared" si="9"/>
        <v>0</v>
      </c>
    </row>
    <row r="461" spans="2:18" hidden="1" x14ac:dyDescent="0.25">
      <c r="B461" s="48">
        <f>+'Metrics - Articles'!C458</f>
        <v>0</v>
      </c>
      <c r="C461">
        <f>COUNTIF('Metrics - Articles'!F458,"*GPO (Partner, Ecosystem, Channels)*")</f>
        <v>0</v>
      </c>
      <c r="D461">
        <f>COUNTIF('Metrics - Articles'!F458,"*Office of the CEO*")</f>
        <v>0</v>
      </c>
      <c r="E461">
        <f>COUNTIF('Metrics - Articles'!F458,"*Services Delivery &amp; Support (go-lives and deployments) *")</f>
        <v>0</v>
      </c>
      <c r="F461">
        <f>COUNTIF('Metrics - Articles'!F458,"*Human Resources (SAP HR and employee stories)*")</f>
        <v>0</v>
      </c>
      <c r="G461">
        <f>COUNTIF('Metrics - Articles'!F458,"*P&amp;I (Research &amp; Development)*")</f>
        <v>0</v>
      </c>
      <c r="H461">
        <f>COUNTIF('Metrics - Articles'!F458,"*Business Network (Concur, Ariba, Fieldglass)*")</f>
        <v>0</v>
      </c>
      <c r="I461">
        <f>COUNTIF('Metrics - Articles'!F458,"*GCO – Regions*")</f>
        <v>0</v>
      </c>
      <c r="J461">
        <f>COUNTIF('Metrics - Articles'!F458,"*GCO – Platform Solutions*")</f>
        <v>0</v>
      </c>
      <c r="K461">
        <f>COUNTIF('Metrics - Articles'!F458,"*GCO – Industry Cloud *")</f>
        <v>0</v>
      </c>
      <c r="L461">
        <f>COUNTIF('Metrics - Articles'!F458,"*GCO – Customer Engagement &amp; Commerce (CRM &amp; hybris) *")</f>
        <v>0</v>
      </c>
      <c r="M461">
        <f>COUNTIF('Metrics - Articles'!F458,"*GCO – HR (SuccessFactors)*")</f>
        <v>0</v>
      </c>
      <c r="N461">
        <f>COUNTIF('Metrics - Articles'!F458,"*GCO – Services Sales*")</f>
        <v>0</v>
      </c>
      <c r="O461">
        <f>COUNTIF('Metrics - Articles'!F458,"*GCO – Other*")</f>
        <v>0</v>
      </c>
      <c r="P461">
        <f>COUNTIF('Metrics - Articles'!F458,"*Corporate*")</f>
        <v>0</v>
      </c>
      <c r="R461" s="53">
        <f t="shared" si="9"/>
        <v>0</v>
      </c>
    </row>
    <row r="462" spans="2:18" hidden="1" x14ac:dyDescent="0.25">
      <c r="B462" s="48">
        <f>+'Metrics - Articles'!C459</f>
        <v>0</v>
      </c>
      <c r="C462">
        <f>COUNTIF('Metrics - Articles'!F459,"*GPO (Partner, Ecosystem, Channels)*")</f>
        <v>0</v>
      </c>
      <c r="D462">
        <f>COUNTIF('Metrics - Articles'!F459,"*Office of the CEO*")</f>
        <v>0</v>
      </c>
      <c r="E462">
        <f>COUNTIF('Metrics - Articles'!F459,"*Services Delivery &amp; Support (go-lives and deployments) *")</f>
        <v>0</v>
      </c>
      <c r="F462">
        <f>COUNTIF('Metrics - Articles'!F459,"*Human Resources (SAP HR and employee stories)*")</f>
        <v>0</v>
      </c>
      <c r="G462">
        <f>COUNTIF('Metrics - Articles'!F459,"*P&amp;I (Research &amp; Development)*")</f>
        <v>0</v>
      </c>
      <c r="H462">
        <f>COUNTIF('Metrics - Articles'!F459,"*Business Network (Concur, Ariba, Fieldglass)*")</f>
        <v>0</v>
      </c>
      <c r="I462">
        <f>COUNTIF('Metrics - Articles'!F459,"*GCO – Regions*")</f>
        <v>0</v>
      </c>
      <c r="J462">
        <f>COUNTIF('Metrics - Articles'!F459,"*GCO – Platform Solutions*")</f>
        <v>0</v>
      </c>
      <c r="K462">
        <f>COUNTIF('Metrics - Articles'!F459,"*GCO – Industry Cloud *")</f>
        <v>0</v>
      </c>
      <c r="L462">
        <f>COUNTIF('Metrics - Articles'!F459,"*GCO – Customer Engagement &amp; Commerce (CRM &amp; hybris) *")</f>
        <v>0</v>
      </c>
      <c r="M462">
        <f>COUNTIF('Metrics - Articles'!F459,"*GCO – HR (SuccessFactors)*")</f>
        <v>0</v>
      </c>
      <c r="N462">
        <f>COUNTIF('Metrics - Articles'!F459,"*GCO – Services Sales*")</f>
        <v>0</v>
      </c>
      <c r="O462">
        <f>COUNTIF('Metrics - Articles'!F459,"*GCO – Other*")</f>
        <v>0</v>
      </c>
      <c r="P462">
        <f>COUNTIF('Metrics - Articles'!F459,"*Corporate*")</f>
        <v>0</v>
      </c>
      <c r="R462" s="53">
        <f t="shared" si="9"/>
        <v>0</v>
      </c>
    </row>
    <row r="463" spans="2:18" hidden="1" x14ac:dyDescent="0.25">
      <c r="B463" s="48">
        <f>+'Metrics - Articles'!C460</f>
        <v>0</v>
      </c>
      <c r="C463">
        <f>COUNTIF('Metrics - Articles'!F460,"*GPO (Partner, Ecosystem, Channels)*")</f>
        <v>0</v>
      </c>
      <c r="D463">
        <f>COUNTIF('Metrics - Articles'!F460,"*Office of the CEO*")</f>
        <v>0</v>
      </c>
      <c r="E463">
        <f>COUNTIF('Metrics - Articles'!F460,"*Services Delivery &amp; Support (go-lives and deployments) *")</f>
        <v>0</v>
      </c>
      <c r="F463">
        <f>COUNTIF('Metrics - Articles'!F460,"*Human Resources (SAP HR and employee stories)*")</f>
        <v>0</v>
      </c>
      <c r="G463">
        <f>COUNTIF('Metrics - Articles'!F460,"*P&amp;I (Research &amp; Development)*")</f>
        <v>0</v>
      </c>
      <c r="H463">
        <f>COUNTIF('Metrics - Articles'!F460,"*Business Network (Concur, Ariba, Fieldglass)*")</f>
        <v>0</v>
      </c>
      <c r="I463">
        <f>COUNTIF('Metrics - Articles'!F460,"*GCO – Regions*")</f>
        <v>0</v>
      </c>
      <c r="J463">
        <f>COUNTIF('Metrics - Articles'!F460,"*GCO – Platform Solutions*")</f>
        <v>0</v>
      </c>
      <c r="K463">
        <f>COUNTIF('Metrics - Articles'!F460,"*GCO – Industry Cloud *")</f>
        <v>0</v>
      </c>
      <c r="L463">
        <f>COUNTIF('Metrics - Articles'!F460,"*GCO – Customer Engagement &amp; Commerce (CRM &amp; hybris) *")</f>
        <v>0</v>
      </c>
      <c r="M463">
        <f>COUNTIF('Metrics - Articles'!F460,"*GCO – HR (SuccessFactors)*")</f>
        <v>0</v>
      </c>
      <c r="N463">
        <f>COUNTIF('Metrics - Articles'!F460,"*GCO – Services Sales*")</f>
        <v>0</v>
      </c>
      <c r="O463">
        <f>COUNTIF('Metrics - Articles'!F460,"*GCO – Other*")</f>
        <v>0</v>
      </c>
      <c r="P463">
        <f>COUNTIF('Metrics - Articles'!F460,"*Corporate*")</f>
        <v>0</v>
      </c>
      <c r="R463" s="53">
        <f t="shared" si="9"/>
        <v>0</v>
      </c>
    </row>
    <row r="464" spans="2:18" hidden="1" x14ac:dyDescent="0.25">
      <c r="B464" s="48">
        <f>+'Metrics - Articles'!C461</f>
        <v>0</v>
      </c>
      <c r="C464">
        <f>COUNTIF('Metrics - Articles'!F461,"*GPO (Partner, Ecosystem, Channels)*")</f>
        <v>0</v>
      </c>
      <c r="D464">
        <f>COUNTIF('Metrics - Articles'!F461,"*Office of the CEO*")</f>
        <v>0</v>
      </c>
      <c r="E464">
        <f>COUNTIF('Metrics - Articles'!F461,"*Services Delivery &amp; Support (go-lives and deployments) *")</f>
        <v>0</v>
      </c>
      <c r="F464">
        <f>COUNTIF('Metrics - Articles'!F461,"*Human Resources (SAP HR and employee stories)*")</f>
        <v>0</v>
      </c>
      <c r="G464">
        <f>COUNTIF('Metrics - Articles'!F461,"*P&amp;I (Research &amp; Development)*")</f>
        <v>0</v>
      </c>
      <c r="H464">
        <f>COUNTIF('Metrics - Articles'!F461,"*Business Network (Concur, Ariba, Fieldglass)*")</f>
        <v>0</v>
      </c>
      <c r="I464">
        <f>COUNTIF('Metrics - Articles'!F461,"*GCO – Regions*")</f>
        <v>0</v>
      </c>
      <c r="J464">
        <f>COUNTIF('Metrics - Articles'!F461,"*GCO – Platform Solutions*")</f>
        <v>0</v>
      </c>
      <c r="K464">
        <f>COUNTIF('Metrics - Articles'!F461,"*GCO – Industry Cloud *")</f>
        <v>0</v>
      </c>
      <c r="L464">
        <f>COUNTIF('Metrics - Articles'!F461,"*GCO – Customer Engagement &amp; Commerce (CRM &amp; hybris) *")</f>
        <v>0</v>
      </c>
      <c r="M464">
        <f>COUNTIF('Metrics - Articles'!F461,"*GCO – HR (SuccessFactors)*")</f>
        <v>0</v>
      </c>
      <c r="N464">
        <f>COUNTIF('Metrics - Articles'!F461,"*GCO – Services Sales*")</f>
        <v>0</v>
      </c>
      <c r="O464">
        <f>COUNTIF('Metrics - Articles'!F461,"*GCO – Other*")</f>
        <v>0</v>
      </c>
      <c r="P464">
        <f>COUNTIF('Metrics - Articles'!F461,"*Corporate*")</f>
        <v>0</v>
      </c>
      <c r="R464" s="53">
        <f t="shared" si="9"/>
        <v>0</v>
      </c>
    </row>
    <row r="465" spans="2:18" hidden="1" x14ac:dyDescent="0.25">
      <c r="B465" s="48">
        <f>+'Metrics - Articles'!C462</f>
        <v>0</v>
      </c>
      <c r="C465">
        <f>COUNTIF('Metrics - Articles'!F462,"*GPO (Partner, Ecosystem, Channels)*")</f>
        <v>0</v>
      </c>
      <c r="D465">
        <f>COUNTIF('Metrics - Articles'!F462,"*Office of the CEO*")</f>
        <v>0</v>
      </c>
      <c r="E465">
        <f>COUNTIF('Metrics - Articles'!F462,"*Services Delivery &amp; Support (go-lives and deployments) *")</f>
        <v>0</v>
      </c>
      <c r="F465">
        <f>COUNTIF('Metrics - Articles'!F462,"*Human Resources (SAP HR and employee stories)*")</f>
        <v>0</v>
      </c>
      <c r="G465">
        <f>COUNTIF('Metrics - Articles'!F462,"*P&amp;I (Research &amp; Development)*")</f>
        <v>0</v>
      </c>
      <c r="H465">
        <f>COUNTIF('Metrics - Articles'!F462,"*Business Network (Concur, Ariba, Fieldglass)*")</f>
        <v>0</v>
      </c>
      <c r="I465">
        <f>COUNTIF('Metrics - Articles'!F462,"*GCO – Regions*")</f>
        <v>0</v>
      </c>
      <c r="J465">
        <f>COUNTIF('Metrics - Articles'!F462,"*GCO – Platform Solutions*")</f>
        <v>0</v>
      </c>
      <c r="K465">
        <f>COUNTIF('Metrics - Articles'!F462,"*GCO – Industry Cloud *")</f>
        <v>0</v>
      </c>
      <c r="L465">
        <f>COUNTIF('Metrics - Articles'!F462,"*GCO – Customer Engagement &amp; Commerce (CRM &amp; hybris) *")</f>
        <v>0</v>
      </c>
      <c r="M465">
        <f>COUNTIF('Metrics - Articles'!F462,"*GCO – HR (SuccessFactors)*")</f>
        <v>0</v>
      </c>
      <c r="N465">
        <f>COUNTIF('Metrics - Articles'!F462,"*GCO – Services Sales*")</f>
        <v>0</v>
      </c>
      <c r="O465">
        <f>COUNTIF('Metrics - Articles'!F462,"*GCO – Other*")</f>
        <v>0</v>
      </c>
      <c r="P465">
        <f>COUNTIF('Metrics - Articles'!F462,"*Corporate*")</f>
        <v>0</v>
      </c>
      <c r="R465" s="53">
        <f t="shared" si="9"/>
        <v>0</v>
      </c>
    </row>
    <row r="466" spans="2:18" hidden="1" x14ac:dyDescent="0.25">
      <c r="B466" s="48">
        <f>+'Metrics - Articles'!C463</f>
        <v>0</v>
      </c>
      <c r="C466">
        <f>COUNTIF('Metrics - Articles'!F463,"*GPO (Partner, Ecosystem, Channels)*")</f>
        <v>0</v>
      </c>
      <c r="D466">
        <f>COUNTIF('Metrics - Articles'!F463,"*Office of the CEO*")</f>
        <v>0</v>
      </c>
      <c r="E466">
        <f>COUNTIF('Metrics - Articles'!F463,"*Services Delivery &amp; Support (go-lives and deployments) *")</f>
        <v>0</v>
      </c>
      <c r="F466">
        <f>COUNTIF('Metrics - Articles'!F463,"*Human Resources (SAP HR and employee stories)*")</f>
        <v>0</v>
      </c>
      <c r="G466">
        <f>COUNTIF('Metrics - Articles'!F463,"*P&amp;I (Research &amp; Development)*")</f>
        <v>0</v>
      </c>
      <c r="H466">
        <f>COUNTIF('Metrics - Articles'!F463,"*Business Network (Concur, Ariba, Fieldglass)*")</f>
        <v>0</v>
      </c>
      <c r="I466">
        <f>COUNTIF('Metrics - Articles'!F463,"*GCO – Regions*")</f>
        <v>0</v>
      </c>
      <c r="J466">
        <f>COUNTIF('Metrics - Articles'!F463,"*GCO – Platform Solutions*")</f>
        <v>0</v>
      </c>
      <c r="K466">
        <f>COUNTIF('Metrics - Articles'!F463,"*GCO – Industry Cloud *")</f>
        <v>0</v>
      </c>
      <c r="L466">
        <f>COUNTIF('Metrics - Articles'!F463,"*GCO – Customer Engagement &amp; Commerce (CRM &amp; hybris) *")</f>
        <v>0</v>
      </c>
      <c r="M466">
        <f>COUNTIF('Metrics - Articles'!F463,"*GCO – HR (SuccessFactors)*")</f>
        <v>0</v>
      </c>
      <c r="N466">
        <f>COUNTIF('Metrics - Articles'!F463,"*GCO – Services Sales*")</f>
        <v>0</v>
      </c>
      <c r="O466">
        <f>COUNTIF('Metrics - Articles'!F463,"*GCO – Other*")</f>
        <v>0</v>
      </c>
      <c r="P466">
        <f>COUNTIF('Metrics - Articles'!F463,"*Corporate*")</f>
        <v>0</v>
      </c>
      <c r="R466" s="53">
        <f t="shared" si="9"/>
        <v>0</v>
      </c>
    </row>
    <row r="467" spans="2:18" hidden="1" x14ac:dyDescent="0.25">
      <c r="B467" s="48">
        <f>+'Metrics - Articles'!C464</f>
        <v>0</v>
      </c>
      <c r="C467">
        <f>COUNTIF('Metrics - Articles'!F464,"*GPO (Partner, Ecosystem, Channels)*")</f>
        <v>0</v>
      </c>
      <c r="D467">
        <f>COUNTIF('Metrics - Articles'!F464,"*Office of the CEO*")</f>
        <v>0</v>
      </c>
      <c r="E467">
        <f>COUNTIF('Metrics - Articles'!F464,"*Services Delivery &amp; Support (go-lives and deployments) *")</f>
        <v>0</v>
      </c>
      <c r="F467">
        <f>COUNTIF('Metrics - Articles'!F464,"*Human Resources (SAP HR and employee stories)*")</f>
        <v>0</v>
      </c>
      <c r="G467">
        <f>COUNTIF('Metrics - Articles'!F464,"*P&amp;I (Research &amp; Development)*")</f>
        <v>0</v>
      </c>
      <c r="H467">
        <f>COUNTIF('Metrics - Articles'!F464,"*Business Network (Concur, Ariba, Fieldglass)*")</f>
        <v>0</v>
      </c>
      <c r="I467">
        <f>COUNTIF('Metrics - Articles'!F464,"*GCO – Regions*")</f>
        <v>0</v>
      </c>
      <c r="J467">
        <f>COUNTIF('Metrics - Articles'!F464,"*GCO – Platform Solutions*")</f>
        <v>0</v>
      </c>
      <c r="K467">
        <f>COUNTIF('Metrics - Articles'!F464,"*GCO – Industry Cloud *")</f>
        <v>0</v>
      </c>
      <c r="L467">
        <f>COUNTIF('Metrics - Articles'!F464,"*GCO – Customer Engagement &amp; Commerce (CRM &amp; hybris) *")</f>
        <v>0</v>
      </c>
      <c r="M467">
        <f>COUNTIF('Metrics - Articles'!F464,"*GCO – HR (SuccessFactors)*")</f>
        <v>0</v>
      </c>
      <c r="N467">
        <f>COUNTIF('Metrics - Articles'!F464,"*GCO – Services Sales*")</f>
        <v>0</v>
      </c>
      <c r="O467">
        <f>COUNTIF('Metrics - Articles'!F464,"*GCO – Other*")</f>
        <v>0</v>
      </c>
      <c r="P467">
        <f>COUNTIF('Metrics - Articles'!F464,"*Corporate*")</f>
        <v>0</v>
      </c>
      <c r="R467" s="53">
        <f t="shared" si="9"/>
        <v>0</v>
      </c>
    </row>
    <row r="468" spans="2:18" hidden="1" x14ac:dyDescent="0.25">
      <c r="B468" s="48">
        <f>+'Metrics - Articles'!C465</f>
        <v>0</v>
      </c>
      <c r="C468">
        <f>COUNTIF('Metrics - Articles'!F465,"*GPO (Partner, Ecosystem, Channels)*")</f>
        <v>0</v>
      </c>
      <c r="D468">
        <f>COUNTIF('Metrics - Articles'!F465,"*Office of the CEO*")</f>
        <v>0</v>
      </c>
      <c r="E468">
        <f>COUNTIF('Metrics - Articles'!F465,"*Services Delivery &amp; Support (go-lives and deployments) *")</f>
        <v>0</v>
      </c>
      <c r="F468">
        <f>COUNTIF('Metrics - Articles'!F465,"*Human Resources (SAP HR and employee stories)*")</f>
        <v>0</v>
      </c>
      <c r="G468">
        <f>COUNTIF('Metrics - Articles'!F465,"*P&amp;I (Research &amp; Development)*")</f>
        <v>0</v>
      </c>
      <c r="H468">
        <f>COUNTIF('Metrics - Articles'!F465,"*Business Network (Concur, Ariba, Fieldglass)*")</f>
        <v>0</v>
      </c>
      <c r="I468">
        <f>COUNTIF('Metrics - Articles'!F465,"*GCO – Regions*")</f>
        <v>0</v>
      </c>
      <c r="J468">
        <f>COUNTIF('Metrics - Articles'!F465,"*GCO – Platform Solutions*")</f>
        <v>0</v>
      </c>
      <c r="K468">
        <f>COUNTIF('Metrics - Articles'!F465,"*GCO – Industry Cloud *")</f>
        <v>0</v>
      </c>
      <c r="L468">
        <f>COUNTIF('Metrics - Articles'!F465,"*GCO – Customer Engagement &amp; Commerce (CRM &amp; hybris) *")</f>
        <v>0</v>
      </c>
      <c r="M468">
        <f>COUNTIF('Metrics - Articles'!F465,"*GCO – HR (SuccessFactors)*")</f>
        <v>0</v>
      </c>
      <c r="N468">
        <f>COUNTIF('Metrics - Articles'!F465,"*GCO – Services Sales*")</f>
        <v>0</v>
      </c>
      <c r="O468">
        <f>COUNTIF('Metrics - Articles'!F465,"*GCO – Other*")</f>
        <v>0</v>
      </c>
      <c r="P468">
        <f>COUNTIF('Metrics - Articles'!F465,"*Corporate*")</f>
        <v>0</v>
      </c>
      <c r="R468" s="53">
        <f t="shared" si="9"/>
        <v>0</v>
      </c>
    </row>
    <row r="469" spans="2:18" hidden="1" x14ac:dyDescent="0.25">
      <c r="B469" s="48">
        <f>+'Metrics - Articles'!C466</f>
        <v>0</v>
      </c>
      <c r="C469">
        <f>COUNTIF('Metrics - Articles'!F466,"*GPO (Partner, Ecosystem, Channels)*")</f>
        <v>0</v>
      </c>
      <c r="D469">
        <f>COUNTIF('Metrics - Articles'!F466,"*Office of the CEO*")</f>
        <v>0</v>
      </c>
      <c r="E469">
        <f>COUNTIF('Metrics - Articles'!F466,"*Services Delivery &amp; Support (go-lives and deployments) *")</f>
        <v>0</v>
      </c>
      <c r="F469">
        <f>COUNTIF('Metrics - Articles'!F466,"*Human Resources (SAP HR and employee stories)*")</f>
        <v>0</v>
      </c>
      <c r="G469">
        <f>COUNTIF('Metrics - Articles'!F466,"*P&amp;I (Research &amp; Development)*")</f>
        <v>0</v>
      </c>
      <c r="H469">
        <f>COUNTIF('Metrics - Articles'!F466,"*Business Network (Concur, Ariba, Fieldglass)*")</f>
        <v>0</v>
      </c>
      <c r="I469">
        <f>COUNTIF('Metrics - Articles'!F466,"*GCO – Regions*")</f>
        <v>0</v>
      </c>
      <c r="J469">
        <f>COUNTIF('Metrics - Articles'!F466,"*GCO – Platform Solutions*")</f>
        <v>0</v>
      </c>
      <c r="K469">
        <f>COUNTIF('Metrics - Articles'!F466,"*GCO – Industry Cloud *")</f>
        <v>0</v>
      </c>
      <c r="L469">
        <f>COUNTIF('Metrics - Articles'!F466,"*GCO – Customer Engagement &amp; Commerce (CRM &amp; hybris) *")</f>
        <v>0</v>
      </c>
      <c r="M469">
        <f>COUNTIF('Metrics - Articles'!F466,"*GCO – HR (SuccessFactors)*")</f>
        <v>0</v>
      </c>
      <c r="N469">
        <f>COUNTIF('Metrics - Articles'!F466,"*GCO – Services Sales*")</f>
        <v>0</v>
      </c>
      <c r="O469">
        <f>COUNTIF('Metrics - Articles'!F466,"*GCO – Other*")</f>
        <v>0</v>
      </c>
      <c r="P469">
        <f>COUNTIF('Metrics - Articles'!F466,"*Corporate*")</f>
        <v>0</v>
      </c>
      <c r="R469" s="53">
        <f t="shared" si="9"/>
        <v>0</v>
      </c>
    </row>
    <row r="470" spans="2:18" hidden="1" x14ac:dyDescent="0.25">
      <c r="B470" s="48">
        <f>+'Metrics - Articles'!C467</f>
        <v>0</v>
      </c>
      <c r="C470">
        <f>COUNTIF('Metrics - Articles'!F467,"*GPO (Partner, Ecosystem, Channels)*")</f>
        <v>0</v>
      </c>
      <c r="D470">
        <f>COUNTIF('Metrics - Articles'!F467,"*Office of the CEO*")</f>
        <v>0</v>
      </c>
      <c r="E470">
        <f>COUNTIF('Metrics - Articles'!F467,"*Services Delivery &amp; Support (go-lives and deployments) *")</f>
        <v>0</v>
      </c>
      <c r="F470">
        <f>COUNTIF('Metrics - Articles'!F467,"*Human Resources (SAP HR and employee stories)*")</f>
        <v>0</v>
      </c>
      <c r="G470">
        <f>COUNTIF('Metrics - Articles'!F467,"*P&amp;I (Research &amp; Development)*")</f>
        <v>0</v>
      </c>
      <c r="H470">
        <f>COUNTIF('Metrics - Articles'!F467,"*Business Network (Concur, Ariba, Fieldglass)*")</f>
        <v>0</v>
      </c>
      <c r="I470">
        <f>COUNTIF('Metrics - Articles'!F467,"*GCO – Regions*")</f>
        <v>0</v>
      </c>
      <c r="J470">
        <f>COUNTIF('Metrics - Articles'!F467,"*GCO – Platform Solutions*")</f>
        <v>0</v>
      </c>
      <c r="K470">
        <f>COUNTIF('Metrics - Articles'!F467,"*GCO – Industry Cloud *")</f>
        <v>0</v>
      </c>
      <c r="L470">
        <f>COUNTIF('Metrics - Articles'!F467,"*GCO – Customer Engagement &amp; Commerce (CRM &amp; hybris) *")</f>
        <v>0</v>
      </c>
      <c r="M470">
        <f>COUNTIF('Metrics - Articles'!F467,"*GCO – HR (SuccessFactors)*")</f>
        <v>0</v>
      </c>
      <c r="N470">
        <f>COUNTIF('Metrics - Articles'!F467,"*GCO – Services Sales*")</f>
        <v>0</v>
      </c>
      <c r="O470">
        <f>COUNTIF('Metrics - Articles'!F467,"*GCO – Other*")</f>
        <v>0</v>
      </c>
      <c r="P470">
        <f>COUNTIF('Metrics - Articles'!F467,"*Corporate*")</f>
        <v>0</v>
      </c>
      <c r="R470" s="53">
        <f t="shared" si="9"/>
        <v>0</v>
      </c>
    </row>
    <row r="471" spans="2:18" hidden="1" x14ac:dyDescent="0.25">
      <c r="B471" s="48">
        <f>+'Metrics - Articles'!C468</f>
        <v>0</v>
      </c>
      <c r="C471">
        <f>COUNTIF('Metrics - Articles'!F468,"*GPO (Partner, Ecosystem, Channels)*")</f>
        <v>0</v>
      </c>
      <c r="D471">
        <f>COUNTIF('Metrics - Articles'!F468,"*Office of the CEO*")</f>
        <v>0</v>
      </c>
      <c r="E471">
        <f>COUNTIF('Metrics - Articles'!F468,"*Services Delivery &amp; Support (go-lives and deployments) *")</f>
        <v>0</v>
      </c>
      <c r="F471">
        <f>COUNTIF('Metrics - Articles'!F468,"*Human Resources (SAP HR and employee stories)*")</f>
        <v>0</v>
      </c>
      <c r="G471">
        <f>COUNTIF('Metrics - Articles'!F468,"*P&amp;I (Research &amp; Development)*")</f>
        <v>0</v>
      </c>
      <c r="H471">
        <f>COUNTIF('Metrics - Articles'!F468,"*Business Network (Concur, Ariba, Fieldglass)*")</f>
        <v>0</v>
      </c>
      <c r="I471">
        <f>COUNTIF('Metrics - Articles'!F468,"*GCO – Regions*")</f>
        <v>0</v>
      </c>
      <c r="J471">
        <f>COUNTIF('Metrics - Articles'!F468,"*GCO – Platform Solutions*")</f>
        <v>0</v>
      </c>
      <c r="K471">
        <f>COUNTIF('Metrics - Articles'!F468,"*GCO – Industry Cloud *")</f>
        <v>0</v>
      </c>
      <c r="L471">
        <f>COUNTIF('Metrics - Articles'!F468,"*GCO – Customer Engagement &amp; Commerce (CRM &amp; hybris) *")</f>
        <v>0</v>
      </c>
      <c r="M471">
        <f>COUNTIF('Metrics - Articles'!F468,"*GCO – HR (SuccessFactors)*")</f>
        <v>0</v>
      </c>
      <c r="N471">
        <f>COUNTIF('Metrics - Articles'!F468,"*GCO – Services Sales*")</f>
        <v>0</v>
      </c>
      <c r="O471">
        <f>COUNTIF('Metrics - Articles'!F468,"*GCO – Other*")</f>
        <v>0</v>
      </c>
      <c r="P471">
        <f>COUNTIF('Metrics - Articles'!F468,"*Corporate*")</f>
        <v>0</v>
      </c>
      <c r="R471" s="53">
        <f t="shared" si="9"/>
        <v>0</v>
      </c>
    </row>
    <row r="472" spans="2:18" hidden="1" x14ac:dyDescent="0.25">
      <c r="B472" s="48">
        <f>+'Metrics - Articles'!C469</f>
        <v>0</v>
      </c>
      <c r="C472">
        <f>COUNTIF('Metrics - Articles'!F469,"*GPO (Partner, Ecosystem, Channels)*")</f>
        <v>0</v>
      </c>
      <c r="D472">
        <f>COUNTIF('Metrics - Articles'!F469,"*Office of the CEO*")</f>
        <v>0</v>
      </c>
      <c r="E472">
        <f>COUNTIF('Metrics - Articles'!F469,"*Services Delivery &amp; Support (go-lives and deployments) *")</f>
        <v>0</v>
      </c>
      <c r="F472">
        <f>COUNTIF('Metrics - Articles'!F469,"*Human Resources (SAP HR and employee stories)*")</f>
        <v>0</v>
      </c>
      <c r="G472">
        <f>COUNTIF('Metrics - Articles'!F469,"*P&amp;I (Research &amp; Development)*")</f>
        <v>0</v>
      </c>
      <c r="H472">
        <f>COUNTIF('Metrics - Articles'!F469,"*Business Network (Concur, Ariba, Fieldglass)*")</f>
        <v>0</v>
      </c>
      <c r="I472">
        <f>COUNTIF('Metrics - Articles'!F469,"*GCO – Regions*")</f>
        <v>0</v>
      </c>
      <c r="J472">
        <f>COUNTIF('Metrics - Articles'!F469,"*GCO – Platform Solutions*")</f>
        <v>0</v>
      </c>
      <c r="K472">
        <f>COUNTIF('Metrics - Articles'!F469,"*GCO – Industry Cloud *")</f>
        <v>0</v>
      </c>
      <c r="L472">
        <f>COUNTIF('Metrics - Articles'!F469,"*GCO – Customer Engagement &amp; Commerce (CRM &amp; hybris) *")</f>
        <v>0</v>
      </c>
      <c r="M472">
        <f>COUNTIF('Metrics - Articles'!F469,"*GCO – HR (SuccessFactors)*")</f>
        <v>0</v>
      </c>
      <c r="N472">
        <f>COUNTIF('Metrics - Articles'!F469,"*GCO – Services Sales*")</f>
        <v>0</v>
      </c>
      <c r="O472">
        <f>COUNTIF('Metrics - Articles'!F469,"*GCO – Other*")</f>
        <v>0</v>
      </c>
      <c r="P472">
        <f>COUNTIF('Metrics - Articles'!F469,"*Corporate*")</f>
        <v>0</v>
      </c>
      <c r="R472" s="53">
        <f t="shared" si="9"/>
        <v>0</v>
      </c>
    </row>
    <row r="473" spans="2:18" hidden="1" x14ac:dyDescent="0.25">
      <c r="B473" s="48">
        <f>+'Metrics - Articles'!C470</f>
        <v>0</v>
      </c>
      <c r="C473">
        <f>COUNTIF('Metrics - Articles'!F470,"*GPO (Partner, Ecosystem, Channels)*")</f>
        <v>0</v>
      </c>
      <c r="D473">
        <f>COUNTIF('Metrics - Articles'!F470,"*Office of the CEO*")</f>
        <v>0</v>
      </c>
      <c r="E473">
        <f>COUNTIF('Metrics - Articles'!F470,"*Services Delivery &amp; Support (go-lives and deployments) *")</f>
        <v>0</v>
      </c>
      <c r="F473">
        <f>COUNTIF('Metrics - Articles'!F470,"*Human Resources (SAP HR and employee stories)*")</f>
        <v>0</v>
      </c>
      <c r="G473">
        <f>COUNTIF('Metrics - Articles'!F470,"*P&amp;I (Research &amp; Development)*")</f>
        <v>0</v>
      </c>
      <c r="H473">
        <f>COUNTIF('Metrics - Articles'!F470,"*Business Network (Concur, Ariba, Fieldglass)*")</f>
        <v>0</v>
      </c>
      <c r="I473">
        <f>COUNTIF('Metrics - Articles'!F470,"*GCO – Regions*")</f>
        <v>0</v>
      </c>
      <c r="J473">
        <f>COUNTIF('Metrics - Articles'!F470,"*GCO – Platform Solutions*")</f>
        <v>0</v>
      </c>
      <c r="K473">
        <f>COUNTIF('Metrics - Articles'!F470,"*GCO – Industry Cloud *")</f>
        <v>0</v>
      </c>
      <c r="L473">
        <f>COUNTIF('Metrics - Articles'!F470,"*GCO – Customer Engagement &amp; Commerce (CRM &amp; hybris) *")</f>
        <v>0</v>
      </c>
      <c r="M473">
        <f>COUNTIF('Metrics - Articles'!F470,"*GCO – HR (SuccessFactors)*")</f>
        <v>0</v>
      </c>
      <c r="N473">
        <f>COUNTIF('Metrics - Articles'!F470,"*GCO – Services Sales*")</f>
        <v>0</v>
      </c>
      <c r="O473">
        <f>COUNTIF('Metrics - Articles'!F470,"*GCO – Other*")</f>
        <v>0</v>
      </c>
      <c r="P473">
        <f>COUNTIF('Metrics - Articles'!F470,"*Corporate*")</f>
        <v>0</v>
      </c>
      <c r="R473" s="53">
        <f t="shared" si="9"/>
        <v>0</v>
      </c>
    </row>
    <row r="474" spans="2:18" hidden="1" x14ac:dyDescent="0.25">
      <c r="B474" s="48">
        <f>+'Metrics - Articles'!C471</f>
        <v>0</v>
      </c>
      <c r="C474">
        <f>COUNTIF('Metrics - Articles'!F471,"*GPO (Partner, Ecosystem, Channels)*")</f>
        <v>0</v>
      </c>
      <c r="D474">
        <f>COUNTIF('Metrics - Articles'!F471,"*Office of the CEO*")</f>
        <v>0</v>
      </c>
      <c r="E474">
        <f>COUNTIF('Metrics - Articles'!F471,"*Services Delivery &amp; Support (go-lives and deployments) *")</f>
        <v>0</v>
      </c>
      <c r="F474">
        <f>COUNTIF('Metrics - Articles'!F471,"*Human Resources (SAP HR and employee stories)*")</f>
        <v>0</v>
      </c>
      <c r="G474">
        <f>COUNTIF('Metrics - Articles'!F471,"*P&amp;I (Research &amp; Development)*")</f>
        <v>0</v>
      </c>
      <c r="H474">
        <f>COUNTIF('Metrics - Articles'!F471,"*Business Network (Concur, Ariba, Fieldglass)*")</f>
        <v>0</v>
      </c>
      <c r="I474">
        <f>COUNTIF('Metrics - Articles'!F471,"*GCO – Regions*")</f>
        <v>0</v>
      </c>
      <c r="J474">
        <f>COUNTIF('Metrics - Articles'!F471,"*GCO – Platform Solutions*")</f>
        <v>0</v>
      </c>
      <c r="K474">
        <f>COUNTIF('Metrics - Articles'!F471,"*GCO – Industry Cloud *")</f>
        <v>0</v>
      </c>
      <c r="L474">
        <f>COUNTIF('Metrics - Articles'!F471,"*GCO – Customer Engagement &amp; Commerce (CRM &amp; hybris) *")</f>
        <v>0</v>
      </c>
      <c r="M474">
        <f>COUNTIF('Metrics - Articles'!F471,"*GCO – HR (SuccessFactors)*")</f>
        <v>0</v>
      </c>
      <c r="N474">
        <f>COUNTIF('Metrics - Articles'!F471,"*GCO – Services Sales*")</f>
        <v>0</v>
      </c>
      <c r="O474">
        <f>COUNTIF('Metrics - Articles'!F471,"*GCO – Other*")</f>
        <v>0</v>
      </c>
      <c r="P474">
        <f>COUNTIF('Metrics - Articles'!F471,"*Corporate*")</f>
        <v>0</v>
      </c>
      <c r="R474" s="53">
        <f t="shared" si="9"/>
        <v>0</v>
      </c>
    </row>
    <row r="475" spans="2:18" hidden="1" x14ac:dyDescent="0.25">
      <c r="B475" s="48">
        <f>+'Metrics - Articles'!C472</f>
        <v>0</v>
      </c>
      <c r="C475">
        <f>COUNTIF('Metrics - Articles'!F472,"*GPO (Partner, Ecosystem, Channels)*")</f>
        <v>0</v>
      </c>
      <c r="D475">
        <f>COUNTIF('Metrics - Articles'!F472,"*Office of the CEO*")</f>
        <v>0</v>
      </c>
      <c r="E475">
        <f>COUNTIF('Metrics - Articles'!F472,"*Services Delivery &amp; Support (go-lives and deployments) *")</f>
        <v>0</v>
      </c>
      <c r="F475">
        <f>COUNTIF('Metrics - Articles'!F472,"*Human Resources (SAP HR and employee stories)*")</f>
        <v>0</v>
      </c>
      <c r="G475">
        <f>COUNTIF('Metrics - Articles'!F472,"*P&amp;I (Research &amp; Development)*")</f>
        <v>0</v>
      </c>
      <c r="H475">
        <f>COUNTIF('Metrics - Articles'!F472,"*Business Network (Concur, Ariba, Fieldglass)*")</f>
        <v>0</v>
      </c>
      <c r="I475">
        <f>COUNTIF('Metrics - Articles'!F472,"*GCO – Regions*")</f>
        <v>0</v>
      </c>
      <c r="J475">
        <f>COUNTIF('Metrics - Articles'!F472,"*GCO – Platform Solutions*")</f>
        <v>0</v>
      </c>
      <c r="K475">
        <f>COUNTIF('Metrics - Articles'!F472,"*GCO – Industry Cloud *")</f>
        <v>0</v>
      </c>
      <c r="L475">
        <f>COUNTIF('Metrics - Articles'!F472,"*GCO – Customer Engagement &amp; Commerce (CRM &amp; hybris) *")</f>
        <v>0</v>
      </c>
      <c r="M475">
        <f>COUNTIF('Metrics - Articles'!F472,"*GCO – HR (SuccessFactors)*")</f>
        <v>0</v>
      </c>
      <c r="N475">
        <f>COUNTIF('Metrics - Articles'!F472,"*GCO – Services Sales*")</f>
        <v>0</v>
      </c>
      <c r="O475">
        <f>COUNTIF('Metrics - Articles'!F472,"*GCO – Other*")</f>
        <v>0</v>
      </c>
      <c r="P475">
        <f>COUNTIF('Metrics - Articles'!F472,"*Corporate*")</f>
        <v>0</v>
      </c>
      <c r="R475" s="53">
        <f t="shared" si="9"/>
        <v>0</v>
      </c>
    </row>
    <row r="476" spans="2:18" hidden="1" x14ac:dyDescent="0.25">
      <c r="B476" s="48">
        <f>+'Metrics - Articles'!C473</f>
        <v>0</v>
      </c>
      <c r="C476">
        <f>COUNTIF('Metrics - Articles'!F473,"*GPO (Partner, Ecosystem, Channels)*")</f>
        <v>0</v>
      </c>
      <c r="D476">
        <f>COUNTIF('Metrics - Articles'!F473,"*Office of the CEO*")</f>
        <v>0</v>
      </c>
      <c r="E476">
        <f>COUNTIF('Metrics - Articles'!F473,"*Services Delivery &amp; Support (go-lives and deployments) *")</f>
        <v>0</v>
      </c>
      <c r="F476">
        <f>COUNTIF('Metrics - Articles'!F473,"*Human Resources (SAP HR and employee stories)*")</f>
        <v>0</v>
      </c>
      <c r="G476">
        <f>COUNTIF('Metrics - Articles'!F473,"*P&amp;I (Research &amp; Development)*")</f>
        <v>0</v>
      </c>
      <c r="H476">
        <f>COUNTIF('Metrics - Articles'!F473,"*Business Network (Concur, Ariba, Fieldglass)*")</f>
        <v>0</v>
      </c>
      <c r="I476">
        <f>COUNTIF('Metrics - Articles'!F473,"*GCO – Regions*")</f>
        <v>0</v>
      </c>
      <c r="J476">
        <f>COUNTIF('Metrics - Articles'!F473,"*GCO – Platform Solutions*")</f>
        <v>0</v>
      </c>
      <c r="K476">
        <f>COUNTIF('Metrics - Articles'!F473,"*GCO – Industry Cloud *")</f>
        <v>0</v>
      </c>
      <c r="L476">
        <f>COUNTIF('Metrics - Articles'!F473,"*GCO – Customer Engagement &amp; Commerce (CRM &amp; hybris) *")</f>
        <v>0</v>
      </c>
      <c r="M476">
        <f>COUNTIF('Metrics - Articles'!F473,"*GCO – HR (SuccessFactors)*")</f>
        <v>0</v>
      </c>
      <c r="N476">
        <f>COUNTIF('Metrics - Articles'!F473,"*GCO – Services Sales*")</f>
        <v>0</v>
      </c>
      <c r="O476">
        <f>COUNTIF('Metrics - Articles'!F473,"*GCO – Other*")</f>
        <v>0</v>
      </c>
      <c r="P476">
        <f>COUNTIF('Metrics - Articles'!F473,"*Corporate*")</f>
        <v>0</v>
      </c>
      <c r="R476" s="53">
        <f t="shared" si="9"/>
        <v>0</v>
      </c>
    </row>
    <row r="477" spans="2:18" hidden="1" x14ac:dyDescent="0.25">
      <c r="B477" s="48">
        <f>+'Metrics - Articles'!C474</f>
        <v>0</v>
      </c>
      <c r="C477">
        <f>COUNTIF('Metrics - Articles'!F474,"*GPO (Partner, Ecosystem, Channels)*")</f>
        <v>0</v>
      </c>
      <c r="D477">
        <f>COUNTIF('Metrics - Articles'!F474,"*Office of the CEO*")</f>
        <v>0</v>
      </c>
      <c r="E477">
        <f>COUNTIF('Metrics - Articles'!F474,"*Services Delivery &amp; Support (go-lives and deployments) *")</f>
        <v>0</v>
      </c>
      <c r="F477">
        <f>COUNTIF('Metrics - Articles'!F474,"*Human Resources (SAP HR and employee stories)*")</f>
        <v>0</v>
      </c>
      <c r="G477">
        <f>COUNTIF('Metrics - Articles'!F474,"*P&amp;I (Research &amp; Development)*")</f>
        <v>0</v>
      </c>
      <c r="H477">
        <f>COUNTIF('Metrics - Articles'!F474,"*Business Network (Concur, Ariba, Fieldglass)*")</f>
        <v>0</v>
      </c>
      <c r="I477">
        <f>COUNTIF('Metrics - Articles'!F474,"*GCO – Regions*")</f>
        <v>0</v>
      </c>
      <c r="J477">
        <f>COUNTIF('Metrics - Articles'!F474,"*GCO – Platform Solutions*")</f>
        <v>0</v>
      </c>
      <c r="K477">
        <f>COUNTIF('Metrics - Articles'!F474,"*GCO – Industry Cloud *")</f>
        <v>0</v>
      </c>
      <c r="L477">
        <f>COUNTIF('Metrics - Articles'!F474,"*GCO – Customer Engagement &amp; Commerce (CRM &amp; hybris) *")</f>
        <v>0</v>
      </c>
      <c r="M477">
        <f>COUNTIF('Metrics - Articles'!F474,"*GCO – HR (SuccessFactors)*")</f>
        <v>0</v>
      </c>
      <c r="N477">
        <f>COUNTIF('Metrics - Articles'!F474,"*GCO – Services Sales*")</f>
        <v>0</v>
      </c>
      <c r="O477">
        <f>COUNTIF('Metrics - Articles'!F474,"*GCO – Other*")</f>
        <v>0</v>
      </c>
      <c r="P477">
        <f>COUNTIF('Metrics - Articles'!F474,"*Corporate*")</f>
        <v>0</v>
      </c>
      <c r="R477" s="53">
        <f t="shared" si="9"/>
        <v>0</v>
      </c>
    </row>
    <row r="478" spans="2:18" hidden="1" x14ac:dyDescent="0.25">
      <c r="B478" s="48">
        <f>+'Metrics - Articles'!C475</f>
        <v>0</v>
      </c>
      <c r="C478">
        <f>COUNTIF('Metrics - Articles'!F475,"*GPO (Partner, Ecosystem, Channels)*")</f>
        <v>0</v>
      </c>
      <c r="D478">
        <f>COUNTIF('Metrics - Articles'!F475,"*Office of the CEO*")</f>
        <v>0</v>
      </c>
      <c r="E478">
        <f>COUNTIF('Metrics - Articles'!F475,"*Services Delivery &amp; Support (go-lives and deployments) *")</f>
        <v>0</v>
      </c>
      <c r="F478">
        <f>COUNTIF('Metrics - Articles'!F475,"*Human Resources (SAP HR and employee stories)*")</f>
        <v>0</v>
      </c>
      <c r="G478">
        <f>COUNTIF('Metrics - Articles'!F475,"*P&amp;I (Research &amp; Development)*")</f>
        <v>0</v>
      </c>
      <c r="H478">
        <f>COUNTIF('Metrics - Articles'!F475,"*Business Network (Concur, Ariba, Fieldglass)*")</f>
        <v>0</v>
      </c>
      <c r="I478">
        <f>COUNTIF('Metrics - Articles'!F475,"*GCO – Regions*")</f>
        <v>0</v>
      </c>
      <c r="J478">
        <f>COUNTIF('Metrics - Articles'!F475,"*GCO – Platform Solutions*")</f>
        <v>0</v>
      </c>
      <c r="K478">
        <f>COUNTIF('Metrics - Articles'!F475,"*GCO – Industry Cloud *")</f>
        <v>0</v>
      </c>
      <c r="L478">
        <f>COUNTIF('Metrics - Articles'!F475,"*GCO – Customer Engagement &amp; Commerce (CRM &amp; hybris) *")</f>
        <v>0</v>
      </c>
      <c r="M478">
        <f>COUNTIF('Metrics - Articles'!F475,"*GCO – HR (SuccessFactors)*")</f>
        <v>0</v>
      </c>
      <c r="N478">
        <f>COUNTIF('Metrics - Articles'!F475,"*GCO – Services Sales*")</f>
        <v>0</v>
      </c>
      <c r="O478">
        <f>COUNTIF('Metrics - Articles'!F475,"*GCO – Other*")</f>
        <v>0</v>
      </c>
      <c r="P478">
        <f>COUNTIF('Metrics - Articles'!F475,"*Corporate*")</f>
        <v>0</v>
      </c>
      <c r="R478" s="53">
        <f t="shared" si="9"/>
        <v>0</v>
      </c>
    </row>
    <row r="479" spans="2:18" hidden="1" x14ac:dyDescent="0.25">
      <c r="B479" s="48">
        <f>+'Metrics - Articles'!C476</f>
        <v>0</v>
      </c>
      <c r="C479">
        <f>COUNTIF('Metrics - Articles'!F476,"*GPO (Partner, Ecosystem, Channels)*")</f>
        <v>0</v>
      </c>
      <c r="D479">
        <f>COUNTIF('Metrics - Articles'!F476,"*Office of the CEO*")</f>
        <v>0</v>
      </c>
      <c r="E479">
        <f>COUNTIF('Metrics - Articles'!F476,"*Services Delivery &amp; Support (go-lives and deployments) *")</f>
        <v>0</v>
      </c>
      <c r="F479">
        <f>COUNTIF('Metrics - Articles'!F476,"*Human Resources (SAP HR and employee stories)*")</f>
        <v>0</v>
      </c>
      <c r="G479">
        <f>COUNTIF('Metrics - Articles'!F476,"*P&amp;I (Research &amp; Development)*")</f>
        <v>0</v>
      </c>
      <c r="H479">
        <f>COUNTIF('Metrics - Articles'!F476,"*Business Network (Concur, Ariba, Fieldglass)*")</f>
        <v>0</v>
      </c>
      <c r="I479">
        <f>COUNTIF('Metrics - Articles'!F476,"*GCO – Regions*")</f>
        <v>0</v>
      </c>
      <c r="J479">
        <f>COUNTIF('Metrics - Articles'!F476,"*GCO – Platform Solutions*")</f>
        <v>0</v>
      </c>
      <c r="K479">
        <f>COUNTIF('Metrics - Articles'!F476,"*GCO – Industry Cloud *")</f>
        <v>0</v>
      </c>
      <c r="L479">
        <f>COUNTIF('Metrics - Articles'!F476,"*GCO – Customer Engagement &amp; Commerce (CRM &amp; hybris) *")</f>
        <v>0</v>
      </c>
      <c r="M479">
        <f>COUNTIF('Metrics - Articles'!F476,"*GCO – HR (SuccessFactors)*")</f>
        <v>0</v>
      </c>
      <c r="N479">
        <f>COUNTIF('Metrics - Articles'!F476,"*GCO – Services Sales*")</f>
        <v>0</v>
      </c>
      <c r="O479">
        <f>COUNTIF('Metrics - Articles'!F476,"*GCO – Other*")</f>
        <v>0</v>
      </c>
      <c r="P479">
        <f>COUNTIF('Metrics - Articles'!F476,"*Corporate*")</f>
        <v>0</v>
      </c>
      <c r="R479" s="53">
        <f t="shared" si="9"/>
        <v>0</v>
      </c>
    </row>
    <row r="480" spans="2:18" hidden="1" x14ac:dyDescent="0.25">
      <c r="B480" s="48">
        <f>+'Metrics - Articles'!C477</f>
        <v>0</v>
      </c>
      <c r="C480">
        <f>COUNTIF('Metrics - Articles'!F477,"*GPO (Partner, Ecosystem, Channels)*")</f>
        <v>0</v>
      </c>
      <c r="D480">
        <f>COUNTIF('Metrics - Articles'!F477,"*Office of the CEO*")</f>
        <v>0</v>
      </c>
      <c r="E480">
        <f>COUNTIF('Metrics - Articles'!F477,"*Services Delivery &amp; Support (go-lives and deployments) *")</f>
        <v>0</v>
      </c>
      <c r="F480">
        <f>COUNTIF('Metrics - Articles'!F477,"*Human Resources (SAP HR and employee stories)*")</f>
        <v>0</v>
      </c>
      <c r="G480">
        <f>COUNTIF('Metrics - Articles'!F477,"*P&amp;I (Research &amp; Development)*")</f>
        <v>0</v>
      </c>
      <c r="H480">
        <f>COUNTIF('Metrics - Articles'!F477,"*Business Network (Concur, Ariba, Fieldglass)*")</f>
        <v>0</v>
      </c>
      <c r="I480">
        <f>COUNTIF('Metrics - Articles'!F477,"*GCO – Regions*")</f>
        <v>0</v>
      </c>
      <c r="J480">
        <f>COUNTIF('Metrics - Articles'!F477,"*GCO – Platform Solutions*")</f>
        <v>0</v>
      </c>
      <c r="K480">
        <f>COUNTIF('Metrics - Articles'!F477,"*GCO – Industry Cloud *")</f>
        <v>0</v>
      </c>
      <c r="L480">
        <f>COUNTIF('Metrics - Articles'!F477,"*GCO – Customer Engagement &amp; Commerce (CRM &amp; hybris) *")</f>
        <v>0</v>
      </c>
      <c r="M480">
        <f>COUNTIF('Metrics - Articles'!F477,"*GCO – HR (SuccessFactors)*")</f>
        <v>0</v>
      </c>
      <c r="N480">
        <f>COUNTIF('Metrics - Articles'!F477,"*GCO – Services Sales*")</f>
        <v>0</v>
      </c>
      <c r="O480">
        <f>COUNTIF('Metrics - Articles'!F477,"*GCO – Other*")</f>
        <v>0</v>
      </c>
      <c r="P480">
        <f>COUNTIF('Metrics - Articles'!F477,"*Corporate*")</f>
        <v>0</v>
      </c>
      <c r="R480" s="53">
        <f t="shared" si="9"/>
        <v>0</v>
      </c>
    </row>
    <row r="481" spans="2:18" hidden="1" x14ac:dyDescent="0.25">
      <c r="B481" s="48">
        <f>+'Metrics - Articles'!C478</f>
        <v>0</v>
      </c>
      <c r="C481">
        <f>COUNTIF('Metrics - Articles'!F478,"*GPO (Partner, Ecosystem, Channels)*")</f>
        <v>0</v>
      </c>
      <c r="D481">
        <f>COUNTIF('Metrics - Articles'!F478,"*Office of the CEO*")</f>
        <v>0</v>
      </c>
      <c r="E481">
        <f>COUNTIF('Metrics - Articles'!F478,"*Services Delivery &amp; Support (go-lives and deployments) *")</f>
        <v>0</v>
      </c>
      <c r="F481">
        <f>COUNTIF('Metrics - Articles'!F478,"*Human Resources (SAP HR and employee stories)*")</f>
        <v>0</v>
      </c>
      <c r="G481">
        <f>COUNTIF('Metrics - Articles'!F478,"*P&amp;I (Research &amp; Development)*")</f>
        <v>0</v>
      </c>
      <c r="H481">
        <f>COUNTIF('Metrics - Articles'!F478,"*Business Network (Concur, Ariba, Fieldglass)*")</f>
        <v>0</v>
      </c>
      <c r="I481">
        <f>COUNTIF('Metrics - Articles'!F478,"*GCO – Regions*")</f>
        <v>0</v>
      </c>
      <c r="J481">
        <f>COUNTIF('Metrics - Articles'!F478,"*GCO – Platform Solutions*")</f>
        <v>0</v>
      </c>
      <c r="K481">
        <f>COUNTIF('Metrics - Articles'!F478,"*GCO – Industry Cloud *")</f>
        <v>0</v>
      </c>
      <c r="L481">
        <f>COUNTIF('Metrics - Articles'!F478,"*GCO – Customer Engagement &amp; Commerce (CRM &amp; hybris) *")</f>
        <v>0</v>
      </c>
      <c r="M481">
        <f>COUNTIF('Metrics - Articles'!F478,"*GCO – HR (SuccessFactors)*")</f>
        <v>0</v>
      </c>
      <c r="N481">
        <f>COUNTIF('Metrics - Articles'!F478,"*GCO – Services Sales*")</f>
        <v>0</v>
      </c>
      <c r="O481">
        <f>COUNTIF('Metrics - Articles'!F478,"*GCO – Other*")</f>
        <v>0</v>
      </c>
      <c r="P481">
        <f>COUNTIF('Metrics - Articles'!F478,"*Corporate*")</f>
        <v>0</v>
      </c>
      <c r="R481" s="53">
        <f t="shared" si="9"/>
        <v>0</v>
      </c>
    </row>
    <row r="482" spans="2:18" hidden="1" x14ac:dyDescent="0.25">
      <c r="B482" s="48">
        <f>+'Metrics - Articles'!C479</f>
        <v>0</v>
      </c>
      <c r="C482">
        <f>COUNTIF('Metrics - Articles'!F479,"*GPO (Partner, Ecosystem, Channels)*")</f>
        <v>0</v>
      </c>
      <c r="D482">
        <f>COUNTIF('Metrics - Articles'!F479,"*Office of the CEO*")</f>
        <v>0</v>
      </c>
      <c r="E482">
        <f>COUNTIF('Metrics - Articles'!F479,"*Services Delivery &amp; Support (go-lives and deployments) *")</f>
        <v>0</v>
      </c>
      <c r="F482">
        <f>COUNTIF('Metrics - Articles'!F479,"*Human Resources (SAP HR and employee stories)*")</f>
        <v>0</v>
      </c>
      <c r="G482">
        <f>COUNTIF('Metrics - Articles'!F479,"*P&amp;I (Research &amp; Development)*")</f>
        <v>0</v>
      </c>
      <c r="H482">
        <f>COUNTIF('Metrics - Articles'!F479,"*Business Network (Concur, Ariba, Fieldglass)*")</f>
        <v>0</v>
      </c>
      <c r="I482">
        <f>COUNTIF('Metrics - Articles'!F479,"*GCO – Regions*")</f>
        <v>0</v>
      </c>
      <c r="J482">
        <f>COUNTIF('Metrics - Articles'!F479,"*GCO – Platform Solutions*")</f>
        <v>0</v>
      </c>
      <c r="K482">
        <f>COUNTIF('Metrics - Articles'!F479,"*GCO – Industry Cloud *")</f>
        <v>0</v>
      </c>
      <c r="L482">
        <f>COUNTIF('Metrics - Articles'!F479,"*GCO – Customer Engagement &amp; Commerce (CRM &amp; hybris) *")</f>
        <v>0</v>
      </c>
      <c r="M482">
        <f>COUNTIF('Metrics - Articles'!F479,"*GCO – HR (SuccessFactors)*")</f>
        <v>0</v>
      </c>
      <c r="N482">
        <f>COUNTIF('Metrics - Articles'!F479,"*GCO – Services Sales*")</f>
        <v>0</v>
      </c>
      <c r="O482">
        <f>COUNTIF('Metrics - Articles'!F479,"*GCO – Other*")</f>
        <v>0</v>
      </c>
      <c r="P482">
        <f>COUNTIF('Metrics - Articles'!F479,"*Corporate*")</f>
        <v>0</v>
      </c>
      <c r="R482" s="53">
        <f t="shared" si="9"/>
        <v>0</v>
      </c>
    </row>
    <row r="483" spans="2:18" hidden="1" x14ac:dyDescent="0.25">
      <c r="B483" s="48">
        <f>+'Metrics - Articles'!C480</f>
        <v>0</v>
      </c>
      <c r="C483">
        <f>COUNTIF('Metrics - Articles'!F480,"*GPO (Partner, Ecosystem, Channels)*")</f>
        <v>0</v>
      </c>
      <c r="D483">
        <f>COUNTIF('Metrics - Articles'!F480,"*Office of the CEO*")</f>
        <v>0</v>
      </c>
      <c r="E483">
        <f>COUNTIF('Metrics - Articles'!F480,"*Services Delivery &amp; Support (go-lives and deployments) *")</f>
        <v>0</v>
      </c>
      <c r="F483">
        <f>COUNTIF('Metrics - Articles'!F480,"*Human Resources (SAP HR and employee stories)*")</f>
        <v>0</v>
      </c>
      <c r="G483">
        <f>COUNTIF('Metrics - Articles'!F480,"*P&amp;I (Research &amp; Development)*")</f>
        <v>0</v>
      </c>
      <c r="H483">
        <f>COUNTIF('Metrics - Articles'!F480,"*Business Network (Concur, Ariba, Fieldglass)*")</f>
        <v>0</v>
      </c>
      <c r="I483">
        <f>COUNTIF('Metrics - Articles'!F480,"*GCO – Regions*")</f>
        <v>0</v>
      </c>
      <c r="J483">
        <f>COUNTIF('Metrics - Articles'!F480,"*GCO – Platform Solutions*")</f>
        <v>0</v>
      </c>
      <c r="K483">
        <f>COUNTIF('Metrics - Articles'!F480,"*GCO – Industry Cloud *")</f>
        <v>0</v>
      </c>
      <c r="L483">
        <f>COUNTIF('Metrics - Articles'!F480,"*GCO – Customer Engagement &amp; Commerce (CRM &amp; hybris) *")</f>
        <v>0</v>
      </c>
      <c r="M483">
        <f>COUNTIF('Metrics - Articles'!F480,"*GCO – HR (SuccessFactors)*")</f>
        <v>0</v>
      </c>
      <c r="N483">
        <f>COUNTIF('Metrics - Articles'!F480,"*GCO – Services Sales*")</f>
        <v>0</v>
      </c>
      <c r="O483">
        <f>COUNTIF('Metrics - Articles'!F480,"*GCO – Other*")</f>
        <v>0</v>
      </c>
      <c r="P483">
        <f>COUNTIF('Metrics - Articles'!F480,"*Corporate*")</f>
        <v>0</v>
      </c>
      <c r="R483" s="53">
        <f t="shared" si="9"/>
        <v>0</v>
      </c>
    </row>
    <row r="484" spans="2:18" hidden="1" x14ac:dyDescent="0.25">
      <c r="B484" s="48">
        <f>+'Metrics - Articles'!C481</f>
        <v>0</v>
      </c>
      <c r="C484">
        <f>COUNTIF('Metrics - Articles'!F481,"*GPO (Partner, Ecosystem, Channels)*")</f>
        <v>0</v>
      </c>
      <c r="D484">
        <f>COUNTIF('Metrics - Articles'!F481,"*Office of the CEO*")</f>
        <v>0</v>
      </c>
      <c r="E484">
        <f>COUNTIF('Metrics - Articles'!F481,"*Services Delivery &amp; Support (go-lives and deployments) *")</f>
        <v>0</v>
      </c>
      <c r="F484">
        <f>COUNTIF('Metrics - Articles'!F481,"*Human Resources (SAP HR and employee stories)*")</f>
        <v>0</v>
      </c>
      <c r="G484">
        <f>COUNTIF('Metrics - Articles'!F481,"*P&amp;I (Research &amp; Development)*")</f>
        <v>0</v>
      </c>
      <c r="H484">
        <f>COUNTIF('Metrics - Articles'!F481,"*Business Network (Concur, Ariba, Fieldglass)*")</f>
        <v>0</v>
      </c>
      <c r="I484">
        <f>COUNTIF('Metrics - Articles'!F481,"*GCO – Regions*")</f>
        <v>0</v>
      </c>
      <c r="J484">
        <f>COUNTIF('Metrics - Articles'!F481,"*GCO – Platform Solutions*")</f>
        <v>0</v>
      </c>
      <c r="K484">
        <f>COUNTIF('Metrics - Articles'!F481,"*GCO – Industry Cloud *")</f>
        <v>0</v>
      </c>
      <c r="L484">
        <f>COUNTIF('Metrics - Articles'!F481,"*GCO – Customer Engagement &amp; Commerce (CRM &amp; hybris) *")</f>
        <v>0</v>
      </c>
      <c r="M484">
        <f>COUNTIF('Metrics - Articles'!F481,"*GCO – HR (SuccessFactors)*")</f>
        <v>0</v>
      </c>
      <c r="N484">
        <f>COUNTIF('Metrics - Articles'!F481,"*GCO – Services Sales*")</f>
        <v>0</v>
      </c>
      <c r="O484">
        <f>COUNTIF('Metrics - Articles'!F481,"*GCO – Other*")</f>
        <v>0</v>
      </c>
      <c r="P484">
        <f>COUNTIF('Metrics - Articles'!F481,"*Corporate*")</f>
        <v>0</v>
      </c>
      <c r="R484" s="53">
        <f t="shared" si="9"/>
        <v>0</v>
      </c>
    </row>
    <row r="485" spans="2:18" hidden="1" x14ac:dyDescent="0.25">
      <c r="B485" s="48">
        <f>+'Metrics - Articles'!C482</f>
        <v>0</v>
      </c>
      <c r="C485">
        <f>COUNTIF('Metrics - Articles'!F482,"*GPO (Partner, Ecosystem, Channels)*")</f>
        <v>0</v>
      </c>
      <c r="D485">
        <f>COUNTIF('Metrics - Articles'!F482,"*Office of the CEO*")</f>
        <v>0</v>
      </c>
      <c r="E485">
        <f>COUNTIF('Metrics - Articles'!F482,"*Services Delivery &amp; Support (go-lives and deployments) *")</f>
        <v>0</v>
      </c>
      <c r="F485">
        <f>COUNTIF('Metrics - Articles'!F482,"*Human Resources (SAP HR and employee stories)*")</f>
        <v>0</v>
      </c>
      <c r="G485">
        <f>COUNTIF('Metrics - Articles'!F482,"*P&amp;I (Research &amp; Development)*")</f>
        <v>0</v>
      </c>
      <c r="H485">
        <f>COUNTIF('Metrics - Articles'!F482,"*Business Network (Concur, Ariba, Fieldglass)*")</f>
        <v>0</v>
      </c>
      <c r="I485">
        <f>COUNTIF('Metrics - Articles'!F482,"*GCO – Regions*")</f>
        <v>0</v>
      </c>
      <c r="J485">
        <f>COUNTIF('Metrics - Articles'!F482,"*GCO – Platform Solutions*")</f>
        <v>0</v>
      </c>
      <c r="K485">
        <f>COUNTIF('Metrics - Articles'!F482,"*GCO – Industry Cloud *")</f>
        <v>0</v>
      </c>
      <c r="L485">
        <f>COUNTIF('Metrics - Articles'!F482,"*GCO – Customer Engagement &amp; Commerce (CRM &amp; hybris) *")</f>
        <v>0</v>
      </c>
      <c r="M485">
        <f>COUNTIF('Metrics - Articles'!F482,"*GCO – HR (SuccessFactors)*")</f>
        <v>0</v>
      </c>
      <c r="N485">
        <f>COUNTIF('Metrics - Articles'!F482,"*GCO – Services Sales*")</f>
        <v>0</v>
      </c>
      <c r="O485">
        <f>COUNTIF('Metrics - Articles'!F482,"*GCO – Other*")</f>
        <v>0</v>
      </c>
      <c r="P485">
        <f>COUNTIF('Metrics - Articles'!F482,"*Corporate*")</f>
        <v>0</v>
      </c>
      <c r="R485" s="53">
        <f t="shared" si="9"/>
        <v>0</v>
      </c>
    </row>
    <row r="486" spans="2:18" hidden="1" x14ac:dyDescent="0.25">
      <c r="B486" s="48">
        <f>+'Metrics - Articles'!C483</f>
        <v>0</v>
      </c>
      <c r="C486">
        <f>COUNTIF('Metrics - Articles'!F483,"*GPO (Partner, Ecosystem, Channels)*")</f>
        <v>0</v>
      </c>
      <c r="D486">
        <f>COUNTIF('Metrics - Articles'!F483,"*Office of the CEO*")</f>
        <v>0</v>
      </c>
      <c r="E486">
        <f>COUNTIF('Metrics - Articles'!F483,"*Services Delivery &amp; Support (go-lives and deployments) *")</f>
        <v>0</v>
      </c>
      <c r="F486">
        <f>COUNTIF('Metrics - Articles'!F483,"*Human Resources (SAP HR and employee stories)*")</f>
        <v>0</v>
      </c>
      <c r="G486">
        <f>COUNTIF('Metrics - Articles'!F483,"*P&amp;I (Research &amp; Development)*")</f>
        <v>0</v>
      </c>
      <c r="H486">
        <f>COUNTIF('Metrics - Articles'!F483,"*Business Network (Concur, Ariba, Fieldglass)*")</f>
        <v>0</v>
      </c>
      <c r="I486">
        <f>COUNTIF('Metrics - Articles'!F483,"*GCO – Regions*")</f>
        <v>0</v>
      </c>
      <c r="J486">
        <f>COUNTIF('Metrics - Articles'!F483,"*GCO – Platform Solutions*")</f>
        <v>0</v>
      </c>
      <c r="K486">
        <f>COUNTIF('Metrics - Articles'!F483,"*GCO – Industry Cloud *")</f>
        <v>0</v>
      </c>
      <c r="L486">
        <f>COUNTIF('Metrics - Articles'!F483,"*GCO – Customer Engagement &amp; Commerce (CRM &amp; hybris) *")</f>
        <v>0</v>
      </c>
      <c r="M486">
        <f>COUNTIF('Metrics - Articles'!F483,"*GCO – HR (SuccessFactors)*")</f>
        <v>0</v>
      </c>
      <c r="N486">
        <f>COUNTIF('Metrics - Articles'!F483,"*GCO – Services Sales*")</f>
        <v>0</v>
      </c>
      <c r="O486">
        <f>COUNTIF('Metrics - Articles'!F483,"*GCO – Other*")</f>
        <v>0</v>
      </c>
      <c r="P486">
        <f>COUNTIF('Metrics - Articles'!F483,"*Corporate*")</f>
        <v>0</v>
      </c>
      <c r="R486" s="53">
        <f t="shared" si="9"/>
        <v>0</v>
      </c>
    </row>
    <row r="487" spans="2:18" hidden="1" x14ac:dyDescent="0.25">
      <c r="B487" s="48">
        <f>+'Metrics - Articles'!C484</f>
        <v>0</v>
      </c>
      <c r="C487">
        <f>COUNTIF('Metrics - Articles'!F484,"*GPO (Partner, Ecosystem, Channels)*")</f>
        <v>0</v>
      </c>
      <c r="D487">
        <f>COUNTIF('Metrics - Articles'!F484,"*Office of the CEO*")</f>
        <v>0</v>
      </c>
      <c r="E487">
        <f>COUNTIF('Metrics - Articles'!F484,"*Services Delivery &amp; Support (go-lives and deployments) *")</f>
        <v>0</v>
      </c>
      <c r="F487">
        <f>COUNTIF('Metrics - Articles'!F484,"*Human Resources (SAP HR and employee stories)*")</f>
        <v>0</v>
      </c>
      <c r="G487">
        <f>COUNTIF('Metrics - Articles'!F484,"*P&amp;I (Research &amp; Development)*")</f>
        <v>0</v>
      </c>
      <c r="H487">
        <f>COUNTIF('Metrics - Articles'!F484,"*Business Network (Concur, Ariba, Fieldglass)*")</f>
        <v>0</v>
      </c>
      <c r="I487">
        <f>COUNTIF('Metrics - Articles'!F484,"*GCO – Regions*")</f>
        <v>0</v>
      </c>
      <c r="J487">
        <f>COUNTIF('Metrics - Articles'!F484,"*GCO – Platform Solutions*")</f>
        <v>0</v>
      </c>
      <c r="K487">
        <f>COUNTIF('Metrics - Articles'!F484,"*GCO – Industry Cloud *")</f>
        <v>0</v>
      </c>
      <c r="L487">
        <f>COUNTIF('Metrics - Articles'!F484,"*GCO – Customer Engagement &amp; Commerce (CRM &amp; hybris) *")</f>
        <v>0</v>
      </c>
      <c r="M487">
        <f>COUNTIF('Metrics - Articles'!F484,"*GCO – HR (SuccessFactors)*")</f>
        <v>0</v>
      </c>
      <c r="N487">
        <f>COUNTIF('Metrics - Articles'!F484,"*GCO – Services Sales*")</f>
        <v>0</v>
      </c>
      <c r="O487">
        <f>COUNTIF('Metrics - Articles'!F484,"*GCO – Other*")</f>
        <v>0</v>
      </c>
      <c r="P487">
        <f>COUNTIF('Metrics - Articles'!F484,"*Corporate*")</f>
        <v>0</v>
      </c>
      <c r="R487" s="53">
        <f t="shared" si="9"/>
        <v>0</v>
      </c>
    </row>
    <row r="488" spans="2:18" hidden="1" x14ac:dyDescent="0.25">
      <c r="B488" s="48">
        <f>+'Metrics - Articles'!C485</f>
        <v>0</v>
      </c>
      <c r="C488">
        <f>COUNTIF('Metrics - Articles'!F485,"*GPO (Partner, Ecosystem, Channels)*")</f>
        <v>0</v>
      </c>
      <c r="D488">
        <f>COUNTIF('Metrics - Articles'!F485,"*Office of the CEO*")</f>
        <v>0</v>
      </c>
      <c r="E488">
        <f>COUNTIF('Metrics - Articles'!F485,"*Services Delivery &amp; Support (go-lives and deployments) *")</f>
        <v>0</v>
      </c>
      <c r="F488">
        <f>COUNTIF('Metrics - Articles'!F485,"*Human Resources (SAP HR and employee stories)*")</f>
        <v>0</v>
      </c>
      <c r="G488">
        <f>COUNTIF('Metrics - Articles'!F485,"*P&amp;I (Research &amp; Development)*")</f>
        <v>0</v>
      </c>
      <c r="H488">
        <f>COUNTIF('Metrics - Articles'!F485,"*Business Network (Concur, Ariba, Fieldglass)*")</f>
        <v>0</v>
      </c>
      <c r="I488">
        <f>COUNTIF('Metrics - Articles'!F485,"*GCO – Regions*")</f>
        <v>0</v>
      </c>
      <c r="J488">
        <f>COUNTIF('Metrics - Articles'!F485,"*GCO – Platform Solutions*")</f>
        <v>0</v>
      </c>
      <c r="K488">
        <f>COUNTIF('Metrics - Articles'!F485,"*GCO – Industry Cloud *")</f>
        <v>0</v>
      </c>
      <c r="L488">
        <f>COUNTIF('Metrics - Articles'!F485,"*GCO – Customer Engagement &amp; Commerce (CRM &amp; hybris) *")</f>
        <v>0</v>
      </c>
      <c r="M488">
        <f>COUNTIF('Metrics - Articles'!F485,"*GCO – HR (SuccessFactors)*")</f>
        <v>0</v>
      </c>
      <c r="N488">
        <f>COUNTIF('Metrics - Articles'!F485,"*GCO – Services Sales*")</f>
        <v>0</v>
      </c>
      <c r="O488">
        <f>COUNTIF('Metrics - Articles'!F485,"*GCO – Other*")</f>
        <v>0</v>
      </c>
      <c r="P488">
        <f>COUNTIF('Metrics - Articles'!F485,"*Corporate*")</f>
        <v>0</v>
      </c>
      <c r="R488" s="53">
        <f t="shared" si="9"/>
        <v>0</v>
      </c>
    </row>
    <row r="489" spans="2:18" hidden="1" x14ac:dyDescent="0.25">
      <c r="B489" s="48">
        <f>+'Metrics - Articles'!C486</f>
        <v>0</v>
      </c>
      <c r="C489">
        <f>COUNTIF('Metrics - Articles'!F486,"*GPO (Partner, Ecosystem, Channels)*")</f>
        <v>0</v>
      </c>
      <c r="D489">
        <f>COUNTIF('Metrics - Articles'!F486,"*Office of the CEO*")</f>
        <v>0</v>
      </c>
      <c r="E489">
        <f>COUNTIF('Metrics - Articles'!F486,"*Services Delivery &amp; Support (go-lives and deployments) *")</f>
        <v>0</v>
      </c>
      <c r="F489">
        <f>COUNTIF('Metrics - Articles'!F486,"*Human Resources (SAP HR and employee stories)*")</f>
        <v>0</v>
      </c>
      <c r="G489">
        <f>COUNTIF('Metrics - Articles'!F486,"*P&amp;I (Research &amp; Development)*")</f>
        <v>0</v>
      </c>
      <c r="H489">
        <f>COUNTIF('Metrics - Articles'!F486,"*Business Network (Concur, Ariba, Fieldglass)*")</f>
        <v>0</v>
      </c>
      <c r="I489">
        <f>COUNTIF('Metrics - Articles'!F486,"*GCO – Regions*")</f>
        <v>0</v>
      </c>
      <c r="J489">
        <f>COUNTIF('Metrics - Articles'!F486,"*GCO – Platform Solutions*")</f>
        <v>0</v>
      </c>
      <c r="K489">
        <f>COUNTIF('Metrics - Articles'!F486,"*GCO – Industry Cloud *")</f>
        <v>0</v>
      </c>
      <c r="L489">
        <f>COUNTIF('Metrics - Articles'!F486,"*GCO – Customer Engagement &amp; Commerce (CRM &amp; hybris) *")</f>
        <v>0</v>
      </c>
      <c r="M489">
        <f>COUNTIF('Metrics - Articles'!F486,"*GCO – HR (SuccessFactors)*")</f>
        <v>0</v>
      </c>
      <c r="N489">
        <f>COUNTIF('Metrics - Articles'!F486,"*GCO – Services Sales*")</f>
        <v>0</v>
      </c>
      <c r="O489">
        <f>COUNTIF('Metrics - Articles'!F486,"*GCO – Other*")</f>
        <v>0</v>
      </c>
      <c r="P489">
        <f>COUNTIF('Metrics - Articles'!F486,"*Corporate*")</f>
        <v>0</v>
      </c>
      <c r="R489" s="53">
        <f t="shared" si="9"/>
        <v>0</v>
      </c>
    </row>
    <row r="490" spans="2:18" hidden="1" x14ac:dyDescent="0.25">
      <c r="B490" s="48">
        <f>+'Metrics - Articles'!C487</f>
        <v>0</v>
      </c>
      <c r="C490">
        <f>COUNTIF('Metrics - Articles'!F487,"*GPO (Partner, Ecosystem, Channels)*")</f>
        <v>0</v>
      </c>
      <c r="D490">
        <f>COUNTIF('Metrics - Articles'!F487,"*Office of the CEO*")</f>
        <v>0</v>
      </c>
      <c r="E490">
        <f>COUNTIF('Metrics - Articles'!F487,"*Services Delivery &amp; Support (go-lives and deployments) *")</f>
        <v>0</v>
      </c>
      <c r="F490">
        <f>COUNTIF('Metrics - Articles'!F487,"*Human Resources (SAP HR and employee stories)*")</f>
        <v>0</v>
      </c>
      <c r="G490">
        <f>COUNTIF('Metrics - Articles'!F487,"*P&amp;I (Research &amp; Development)*")</f>
        <v>0</v>
      </c>
      <c r="H490">
        <f>COUNTIF('Metrics - Articles'!F487,"*Business Network (Concur, Ariba, Fieldglass)*")</f>
        <v>0</v>
      </c>
      <c r="I490">
        <f>COUNTIF('Metrics - Articles'!F487,"*GCO – Regions*")</f>
        <v>0</v>
      </c>
      <c r="J490">
        <f>COUNTIF('Metrics - Articles'!F487,"*GCO – Platform Solutions*")</f>
        <v>0</v>
      </c>
      <c r="K490">
        <f>COUNTIF('Metrics - Articles'!F487,"*GCO – Industry Cloud *")</f>
        <v>0</v>
      </c>
      <c r="L490">
        <f>COUNTIF('Metrics - Articles'!F487,"*GCO – Customer Engagement &amp; Commerce (CRM &amp; hybris) *")</f>
        <v>0</v>
      </c>
      <c r="M490">
        <f>COUNTIF('Metrics - Articles'!F487,"*GCO – HR (SuccessFactors)*")</f>
        <v>0</v>
      </c>
      <c r="N490">
        <f>COUNTIF('Metrics - Articles'!F487,"*GCO – Services Sales*")</f>
        <v>0</v>
      </c>
      <c r="O490">
        <f>COUNTIF('Metrics - Articles'!F487,"*GCO – Other*")</f>
        <v>0</v>
      </c>
      <c r="P490">
        <f>COUNTIF('Metrics - Articles'!F487,"*Corporate*")</f>
        <v>0</v>
      </c>
      <c r="R490" s="53">
        <f t="shared" si="9"/>
        <v>0</v>
      </c>
    </row>
    <row r="491" spans="2:18" hidden="1" x14ac:dyDescent="0.25">
      <c r="B491" s="48">
        <f>+'Metrics - Articles'!C488</f>
        <v>0</v>
      </c>
      <c r="C491">
        <f>COUNTIF('Metrics - Articles'!F488,"*GPO (Partner, Ecosystem, Channels)*")</f>
        <v>0</v>
      </c>
      <c r="D491">
        <f>COUNTIF('Metrics - Articles'!F488,"*Office of the CEO*")</f>
        <v>0</v>
      </c>
      <c r="E491">
        <f>COUNTIF('Metrics - Articles'!F488,"*Services Delivery &amp; Support (go-lives and deployments) *")</f>
        <v>0</v>
      </c>
      <c r="F491">
        <f>COUNTIF('Metrics - Articles'!F488,"*Human Resources (SAP HR and employee stories)*")</f>
        <v>0</v>
      </c>
      <c r="G491">
        <f>COUNTIF('Metrics - Articles'!F488,"*P&amp;I (Research &amp; Development)*")</f>
        <v>0</v>
      </c>
      <c r="H491">
        <f>COUNTIF('Metrics - Articles'!F488,"*Business Network (Concur, Ariba, Fieldglass)*")</f>
        <v>0</v>
      </c>
      <c r="I491">
        <f>COUNTIF('Metrics - Articles'!F488,"*GCO – Regions*")</f>
        <v>0</v>
      </c>
      <c r="J491">
        <f>COUNTIF('Metrics - Articles'!F488,"*GCO – Platform Solutions*")</f>
        <v>0</v>
      </c>
      <c r="K491">
        <f>COUNTIF('Metrics - Articles'!F488,"*GCO – Industry Cloud *")</f>
        <v>0</v>
      </c>
      <c r="L491">
        <f>COUNTIF('Metrics - Articles'!F488,"*GCO – Customer Engagement &amp; Commerce (CRM &amp; hybris) *")</f>
        <v>0</v>
      </c>
      <c r="M491">
        <f>COUNTIF('Metrics - Articles'!F488,"*GCO – HR (SuccessFactors)*")</f>
        <v>0</v>
      </c>
      <c r="N491">
        <f>COUNTIF('Metrics - Articles'!F488,"*GCO – Services Sales*")</f>
        <v>0</v>
      </c>
      <c r="O491">
        <f>COUNTIF('Metrics - Articles'!F488,"*GCO – Other*")</f>
        <v>0</v>
      </c>
      <c r="P491">
        <f>COUNTIF('Metrics - Articles'!F488,"*Corporate*")</f>
        <v>0</v>
      </c>
      <c r="R491" s="53">
        <f t="shared" si="9"/>
        <v>0</v>
      </c>
    </row>
    <row r="492" spans="2:18" hidden="1" x14ac:dyDescent="0.25">
      <c r="B492" s="48">
        <f>+'Metrics - Articles'!C489</f>
        <v>0</v>
      </c>
      <c r="C492">
        <f>COUNTIF('Metrics - Articles'!F489,"*GPO (Partner, Ecosystem, Channels)*")</f>
        <v>0</v>
      </c>
      <c r="D492">
        <f>COUNTIF('Metrics - Articles'!F489,"*Office of the CEO*")</f>
        <v>0</v>
      </c>
      <c r="E492">
        <f>COUNTIF('Metrics - Articles'!F489,"*Services Delivery &amp; Support (go-lives and deployments) *")</f>
        <v>0</v>
      </c>
      <c r="F492">
        <f>COUNTIF('Metrics - Articles'!F489,"*Human Resources (SAP HR and employee stories)*")</f>
        <v>0</v>
      </c>
      <c r="G492">
        <f>COUNTIF('Metrics - Articles'!F489,"*P&amp;I (Research &amp; Development)*")</f>
        <v>0</v>
      </c>
      <c r="H492">
        <f>COUNTIF('Metrics - Articles'!F489,"*Business Network (Concur, Ariba, Fieldglass)*")</f>
        <v>0</v>
      </c>
      <c r="I492">
        <f>COUNTIF('Metrics - Articles'!F489,"*GCO – Regions*")</f>
        <v>0</v>
      </c>
      <c r="J492">
        <f>COUNTIF('Metrics - Articles'!F489,"*GCO – Platform Solutions*")</f>
        <v>0</v>
      </c>
      <c r="K492">
        <f>COUNTIF('Metrics - Articles'!F489,"*GCO – Industry Cloud *")</f>
        <v>0</v>
      </c>
      <c r="L492">
        <f>COUNTIF('Metrics - Articles'!F489,"*GCO – Customer Engagement &amp; Commerce (CRM &amp; hybris) *")</f>
        <v>0</v>
      </c>
      <c r="M492">
        <f>COUNTIF('Metrics - Articles'!F489,"*GCO – HR (SuccessFactors)*")</f>
        <v>0</v>
      </c>
      <c r="N492">
        <f>COUNTIF('Metrics - Articles'!F489,"*GCO – Services Sales*")</f>
        <v>0</v>
      </c>
      <c r="O492">
        <f>COUNTIF('Metrics - Articles'!F489,"*GCO – Other*")</f>
        <v>0</v>
      </c>
      <c r="P492">
        <f>COUNTIF('Metrics - Articles'!F489,"*Corporate*")</f>
        <v>0</v>
      </c>
      <c r="R492" s="53">
        <f t="shared" si="9"/>
        <v>0</v>
      </c>
    </row>
    <row r="493" spans="2:18" hidden="1" x14ac:dyDescent="0.25">
      <c r="B493" s="48">
        <f>+'Metrics - Articles'!C490</f>
        <v>0</v>
      </c>
      <c r="C493">
        <f>COUNTIF('Metrics - Articles'!F490,"*GPO (Partner, Ecosystem, Channels)*")</f>
        <v>0</v>
      </c>
      <c r="D493">
        <f>COUNTIF('Metrics - Articles'!F490,"*Office of the CEO*")</f>
        <v>0</v>
      </c>
      <c r="E493">
        <f>COUNTIF('Metrics - Articles'!F490,"*Services Delivery &amp; Support (go-lives and deployments) *")</f>
        <v>0</v>
      </c>
      <c r="F493">
        <f>COUNTIF('Metrics - Articles'!F490,"*Human Resources (SAP HR and employee stories)*")</f>
        <v>0</v>
      </c>
      <c r="G493">
        <f>COUNTIF('Metrics - Articles'!F490,"*P&amp;I (Research &amp; Development)*")</f>
        <v>0</v>
      </c>
      <c r="H493">
        <f>COUNTIF('Metrics - Articles'!F490,"*Business Network (Concur, Ariba, Fieldglass)*")</f>
        <v>0</v>
      </c>
      <c r="I493">
        <f>COUNTIF('Metrics - Articles'!F490,"*GCO – Regions*")</f>
        <v>0</v>
      </c>
      <c r="J493">
        <f>COUNTIF('Metrics - Articles'!F490,"*GCO – Platform Solutions*")</f>
        <v>0</v>
      </c>
      <c r="K493">
        <f>COUNTIF('Metrics - Articles'!F490,"*GCO – Industry Cloud *")</f>
        <v>0</v>
      </c>
      <c r="L493">
        <f>COUNTIF('Metrics - Articles'!F490,"*GCO – Customer Engagement &amp; Commerce (CRM &amp; hybris) *")</f>
        <v>0</v>
      </c>
      <c r="M493">
        <f>COUNTIF('Metrics - Articles'!F490,"*GCO – HR (SuccessFactors)*")</f>
        <v>0</v>
      </c>
      <c r="N493">
        <f>COUNTIF('Metrics - Articles'!F490,"*GCO – Services Sales*")</f>
        <v>0</v>
      </c>
      <c r="O493">
        <f>COUNTIF('Metrics - Articles'!F490,"*GCO – Other*")</f>
        <v>0</v>
      </c>
      <c r="P493">
        <f>COUNTIF('Metrics - Articles'!F490,"*Corporate*")</f>
        <v>0</v>
      </c>
      <c r="R493" s="53">
        <f t="shared" si="9"/>
        <v>0</v>
      </c>
    </row>
    <row r="494" spans="2:18" hidden="1" x14ac:dyDescent="0.25">
      <c r="B494" s="48">
        <f>+'Metrics - Articles'!C491</f>
        <v>0</v>
      </c>
      <c r="C494">
        <f>COUNTIF('Metrics - Articles'!F491,"*GPO (Partner, Ecosystem, Channels)*")</f>
        <v>0</v>
      </c>
      <c r="D494">
        <f>COUNTIF('Metrics - Articles'!F491,"*Office of the CEO*")</f>
        <v>0</v>
      </c>
      <c r="E494">
        <f>COUNTIF('Metrics - Articles'!F491,"*Services Delivery &amp; Support (go-lives and deployments) *")</f>
        <v>0</v>
      </c>
      <c r="F494">
        <f>COUNTIF('Metrics - Articles'!F491,"*Human Resources (SAP HR and employee stories)*")</f>
        <v>0</v>
      </c>
      <c r="G494">
        <f>COUNTIF('Metrics - Articles'!F491,"*P&amp;I (Research &amp; Development)*")</f>
        <v>0</v>
      </c>
      <c r="H494">
        <f>COUNTIF('Metrics - Articles'!F491,"*Business Network (Concur, Ariba, Fieldglass)*")</f>
        <v>0</v>
      </c>
      <c r="I494">
        <f>COUNTIF('Metrics - Articles'!F491,"*GCO – Regions*")</f>
        <v>0</v>
      </c>
      <c r="J494">
        <f>COUNTIF('Metrics - Articles'!F491,"*GCO – Platform Solutions*")</f>
        <v>0</v>
      </c>
      <c r="K494">
        <f>COUNTIF('Metrics - Articles'!F491,"*GCO – Industry Cloud *")</f>
        <v>0</v>
      </c>
      <c r="L494">
        <f>COUNTIF('Metrics - Articles'!F491,"*GCO – Customer Engagement &amp; Commerce (CRM &amp; hybris) *")</f>
        <v>0</v>
      </c>
      <c r="M494">
        <f>COUNTIF('Metrics - Articles'!F491,"*GCO – HR (SuccessFactors)*")</f>
        <v>0</v>
      </c>
      <c r="N494">
        <f>COUNTIF('Metrics - Articles'!F491,"*GCO – Services Sales*")</f>
        <v>0</v>
      </c>
      <c r="O494">
        <f>COUNTIF('Metrics - Articles'!F491,"*GCO – Other*")</f>
        <v>0</v>
      </c>
      <c r="P494">
        <f>COUNTIF('Metrics - Articles'!F491,"*Corporate*")</f>
        <v>0</v>
      </c>
      <c r="R494" s="53">
        <f t="shared" si="9"/>
        <v>0</v>
      </c>
    </row>
    <row r="495" spans="2:18" hidden="1" x14ac:dyDescent="0.25">
      <c r="B495" s="48">
        <f>+'Metrics - Articles'!C492</f>
        <v>0</v>
      </c>
      <c r="C495">
        <f>COUNTIF('Metrics - Articles'!F492,"*GPO (Partner, Ecosystem, Channels)*")</f>
        <v>0</v>
      </c>
      <c r="D495">
        <f>COUNTIF('Metrics - Articles'!F492,"*Office of the CEO*")</f>
        <v>0</v>
      </c>
      <c r="E495">
        <f>COUNTIF('Metrics - Articles'!F492,"*Services Delivery &amp; Support (go-lives and deployments) *")</f>
        <v>0</v>
      </c>
      <c r="F495">
        <f>COUNTIF('Metrics - Articles'!F492,"*Human Resources (SAP HR and employee stories)*")</f>
        <v>0</v>
      </c>
      <c r="G495">
        <f>COUNTIF('Metrics - Articles'!F492,"*P&amp;I (Research &amp; Development)*")</f>
        <v>0</v>
      </c>
      <c r="H495">
        <f>COUNTIF('Metrics - Articles'!F492,"*Business Network (Concur, Ariba, Fieldglass)*")</f>
        <v>0</v>
      </c>
      <c r="I495">
        <f>COUNTIF('Metrics - Articles'!F492,"*GCO – Regions*")</f>
        <v>0</v>
      </c>
      <c r="J495">
        <f>COUNTIF('Metrics - Articles'!F492,"*GCO – Platform Solutions*")</f>
        <v>0</v>
      </c>
      <c r="K495">
        <f>COUNTIF('Metrics - Articles'!F492,"*GCO – Industry Cloud *")</f>
        <v>0</v>
      </c>
      <c r="L495">
        <f>COUNTIF('Metrics - Articles'!F492,"*GCO – Customer Engagement &amp; Commerce (CRM &amp; hybris) *")</f>
        <v>0</v>
      </c>
      <c r="M495">
        <f>COUNTIF('Metrics - Articles'!F492,"*GCO – HR (SuccessFactors)*")</f>
        <v>0</v>
      </c>
      <c r="N495">
        <f>COUNTIF('Metrics - Articles'!F492,"*GCO – Services Sales*")</f>
        <v>0</v>
      </c>
      <c r="O495">
        <f>COUNTIF('Metrics - Articles'!F492,"*GCO – Other*")</f>
        <v>0</v>
      </c>
      <c r="P495">
        <f>COUNTIF('Metrics - Articles'!F492,"*Corporate*")</f>
        <v>0</v>
      </c>
      <c r="R495" s="53">
        <f t="shared" si="9"/>
        <v>0</v>
      </c>
    </row>
    <row r="496" spans="2:18" hidden="1" x14ac:dyDescent="0.25">
      <c r="B496" s="48">
        <f>+'Metrics - Articles'!C493</f>
        <v>0</v>
      </c>
      <c r="C496">
        <f>COUNTIF('Metrics - Articles'!F493,"*GPO (Partner, Ecosystem, Channels)*")</f>
        <v>0</v>
      </c>
      <c r="D496">
        <f>COUNTIF('Metrics - Articles'!F493,"*Office of the CEO*")</f>
        <v>0</v>
      </c>
      <c r="E496">
        <f>COUNTIF('Metrics - Articles'!F493,"*Services Delivery &amp; Support (go-lives and deployments) *")</f>
        <v>0</v>
      </c>
      <c r="F496">
        <f>COUNTIF('Metrics - Articles'!F493,"*Human Resources (SAP HR and employee stories)*")</f>
        <v>0</v>
      </c>
      <c r="G496">
        <f>COUNTIF('Metrics - Articles'!F493,"*P&amp;I (Research &amp; Development)*")</f>
        <v>0</v>
      </c>
      <c r="H496">
        <f>COUNTIF('Metrics - Articles'!F493,"*Business Network (Concur, Ariba, Fieldglass)*")</f>
        <v>0</v>
      </c>
      <c r="I496">
        <f>COUNTIF('Metrics - Articles'!F493,"*GCO – Regions*")</f>
        <v>0</v>
      </c>
      <c r="J496">
        <f>COUNTIF('Metrics - Articles'!F493,"*GCO – Platform Solutions*")</f>
        <v>0</v>
      </c>
      <c r="K496">
        <f>COUNTIF('Metrics - Articles'!F493,"*GCO – Industry Cloud *")</f>
        <v>0</v>
      </c>
      <c r="L496">
        <f>COUNTIF('Metrics - Articles'!F493,"*GCO – Customer Engagement &amp; Commerce (CRM &amp; hybris) *")</f>
        <v>0</v>
      </c>
      <c r="M496">
        <f>COUNTIF('Metrics - Articles'!F493,"*GCO – HR (SuccessFactors)*")</f>
        <v>0</v>
      </c>
      <c r="N496">
        <f>COUNTIF('Metrics - Articles'!F493,"*GCO – Services Sales*")</f>
        <v>0</v>
      </c>
      <c r="O496">
        <f>COUNTIF('Metrics - Articles'!F493,"*GCO – Other*")</f>
        <v>0</v>
      </c>
      <c r="P496">
        <f>COUNTIF('Metrics - Articles'!F493,"*Corporate*")</f>
        <v>0</v>
      </c>
      <c r="R496" s="53">
        <f t="shared" si="9"/>
        <v>0</v>
      </c>
    </row>
    <row r="497" spans="2:18" hidden="1" x14ac:dyDescent="0.25">
      <c r="B497" s="48">
        <f>+'Metrics - Articles'!C494</f>
        <v>0</v>
      </c>
      <c r="C497">
        <f>COUNTIF('Metrics - Articles'!F494,"*GPO (Partner, Ecosystem, Channels)*")</f>
        <v>0</v>
      </c>
      <c r="D497">
        <f>COUNTIF('Metrics - Articles'!F494,"*Office of the CEO*")</f>
        <v>0</v>
      </c>
      <c r="E497">
        <f>COUNTIF('Metrics - Articles'!F494,"*Services Delivery &amp; Support (go-lives and deployments) *")</f>
        <v>0</v>
      </c>
      <c r="F497">
        <f>COUNTIF('Metrics - Articles'!F494,"*Human Resources (SAP HR and employee stories)*")</f>
        <v>0</v>
      </c>
      <c r="G497">
        <f>COUNTIF('Metrics - Articles'!F494,"*P&amp;I (Research &amp; Development)*")</f>
        <v>0</v>
      </c>
      <c r="H497">
        <f>COUNTIF('Metrics - Articles'!F494,"*Business Network (Concur, Ariba, Fieldglass)*")</f>
        <v>0</v>
      </c>
      <c r="I497">
        <f>COUNTIF('Metrics - Articles'!F494,"*GCO – Regions*")</f>
        <v>0</v>
      </c>
      <c r="J497">
        <f>COUNTIF('Metrics - Articles'!F494,"*GCO – Platform Solutions*")</f>
        <v>0</v>
      </c>
      <c r="K497">
        <f>COUNTIF('Metrics - Articles'!F494,"*GCO – Industry Cloud *")</f>
        <v>0</v>
      </c>
      <c r="L497">
        <f>COUNTIF('Metrics - Articles'!F494,"*GCO – Customer Engagement &amp; Commerce (CRM &amp; hybris) *")</f>
        <v>0</v>
      </c>
      <c r="M497">
        <f>COUNTIF('Metrics - Articles'!F494,"*GCO – HR (SuccessFactors)*")</f>
        <v>0</v>
      </c>
      <c r="N497">
        <f>COUNTIF('Metrics - Articles'!F494,"*GCO – Services Sales*")</f>
        <v>0</v>
      </c>
      <c r="O497">
        <f>COUNTIF('Metrics - Articles'!F494,"*GCO – Other*")</f>
        <v>0</v>
      </c>
      <c r="P497">
        <f>COUNTIF('Metrics - Articles'!F494,"*Corporate*")</f>
        <v>0</v>
      </c>
      <c r="R497" s="53">
        <f t="shared" si="9"/>
        <v>0</v>
      </c>
    </row>
    <row r="498" spans="2:18" hidden="1" x14ac:dyDescent="0.25">
      <c r="B498" s="48">
        <f>+'Metrics - Articles'!C495</f>
        <v>0</v>
      </c>
      <c r="C498">
        <f>COUNTIF('Metrics - Articles'!F495,"*GPO (Partner, Ecosystem, Channels)*")</f>
        <v>0</v>
      </c>
      <c r="D498">
        <f>COUNTIF('Metrics - Articles'!F495,"*Office of the CEO*")</f>
        <v>0</v>
      </c>
      <c r="E498">
        <f>COUNTIF('Metrics - Articles'!F495,"*Services Delivery &amp; Support (go-lives and deployments) *")</f>
        <v>0</v>
      </c>
      <c r="F498">
        <f>COUNTIF('Metrics - Articles'!F495,"*Human Resources (SAP HR and employee stories)*")</f>
        <v>0</v>
      </c>
      <c r="G498">
        <f>COUNTIF('Metrics - Articles'!F495,"*P&amp;I (Research &amp; Development)*")</f>
        <v>0</v>
      </c>
      <c r="H498">
        <f>COUNTIF('Metrics - Articles'!F495,"*Business Network (Concur, Ariba, Fieldglass)*")</f>
        <v>0</v>
      </c>
      <c r="I498">
        <f>COUNTIF('Metrics - Articles'!F495,"*GCO – Regions*")</f>
        <v>0</v>
      </c>
      <c r="J498">
        <f>COUNTIF('Metrics - Articles'!F495,"*GCO – Platform Solutions*")</f>
        <v>0</v>
      </c>
      <c r="K498">
        <f>COUNTIF('Metrics - Articles'!F495,"*GCO – Industry Cloud *")</f>
        <v>0</v>
      </c>
      <c r="L498">
        <f>COUNTIF('Metrics - Articles'!F495,"*GCO – Customer Engagement &amp; Commerce (CRM &amp; hybris) *")</f>
        <v>0</v>
      </c>
      <c r="M498">
        <f>COUNTIF('Metrics - Articles'!F495,"*GCO – HR (SuccessFactors)*")</f>
        <v>0</v>
      </c>
      <c r="N498">
        <f>COUNTIF('Metrics - Articles'!F495,"*GCO – Services Sales*")</f>
        <v>0</v>
      </c>
      <c r="O498">
        <f>COUNTIF('Metrics - Articles'!F495,"*GCO – Other*")</f>
        <v>0</v>
      </c>
      <c r="P498">
        <f>COUNTIF('Metrics - Articles'!F495,"*Corporate*")</f>
        <v>0</v>
      </c>
      <c r="R498" s="53">
        <f t="shared" si="9"/>
        <v>0</v>
      </c>
    </row>
    <row r="499" spans="2:18" hidden="1" x14ac:dyDescent="0.25">
      <c r="B499" s="48">
        <f>+'Metrics - Articles'!C496</f>
        <v>0</v>
      </c>
      <c r="C499">
        <f>COUNTIF('Metrics - Articles'!F496,"*GPO (Partner, Ecosystem, Channels)*")</f>
        <v>0</v>
      </c>
      <c r="D499">
        <f>COUNTIF('Metrics - Articles'!F496,"*Office of the CEO*")</f>
        <v>0</v>
      </c>
      <c r="E499">
        <f>COUNTIF('Metrics - Articles'!F496,"*Services Delivery &amp; Support (go-lives and deployments) *")</f>
        <v>0</v>
      </c>
      <c r="F499">
        <f>COUNTIF('Metrics - Articles'!F496,"*Human Resources (SAP HR and employee stories)*")</f>
        <v>0</v>
      </c>
      <c r="G499">
        <f>COUNTIF('Metrics - Articles'!F496,"*P&amp;I (Research &amp; Development)*")</f>
        <v>0</v>
      </c>
      <c r="H499">
        <f>COUNTIF('Metrics - Articles'!F496,"*Business Network (Concur, Ariba, Fieldglass)*")</f>
        <v>0</v>
      </c>
      <c r="I499">
        <f>COUNTIF('Metrics - Articles'!F496,"*GCO – Regions*")</f>
        <v>0</v>
      </c>
      <c r="J499">
        <f>COUNTIF('Metrics - Articles'!F496,"*GCO – Platform Solutions*")</f>
        <v>0</v>
      </c>
      <c r="K499">
        <f>COUNTIF('Metrics - Articles'!F496,"*GCO – Industry Cloud *")</f>
        <v>0</v>
      </c>
      <c r="L499">
        <f>COUNTIF('Metrics - Articles'!F496,"*GCO – Customer Engagement &amp; Commerce (CRM &amp; hybris) *")</f>
        <v>0</v>
      </c>
      <c r="M499">
        <f>COUNTIF('Metrics - Articles'!F496,"*GCO – HR (SuccessFactors)*")</f>
        <v>0</v>
      </c>
      <c r="N499">
        <f>COUNTIF('Metrics - Articles'!F496,"*GCO – Services Sales*")</f>
        <v>0</v>
      </c>
      <c r="O499">
        <f>COUNTIF('Metrics - Articles'!F496,"*GCO – Other*")</f>
        <v>0</v>
      </c>
      <c r="P499">
        <f>COUNTIF('Metrics - Articles'!F496,"*Corporate*")</f>
        <v>0</v>
      </c>
      <c r="R499" s="53">
        <f t="shared" si="9"/>
        <v>0</v>
      </c>
    </row>
    <row r="500" spans="2:18" hidden="1" x14ac:dyDescent="0.25">
      <c r="B500" s="48">
        <f>+'Metrics - Articles'!C497</f>
        <v>0</v>
      </c>
      <c r="C500">
        <f>COUNTIF('Metrics - Articles'!F497,"*GPO (Partner, Ecosystem, Channels)*")</f>
        <v>0</v>
      </c>
      <c r="D500">
        <f>COUNTIF('Metrics - Articles'!F497,"*Office of the CEO*")</f>
        <v>0</v>
      </c>
      <c r="E500">
        <f>COUNTIF('Metrics - Articles'!F497,"*Services Delivery &amp; Support (go-lives and deployments) *")</f>
        <v>0</v>
      </c>
      <c r="F500">
        <f>COUNTIF('Metrics - Articles'!F497,"*Human Resources (SAP HR and employee stories)*")</f>
        <v>0</v>
      </c>
      <c r="G500">
        <f>COUNTIF('Metrics - Articles'!F497,"*P&amp;I (Research &amp; Development)*")</f>
        <v>0</v>
      </c>
      <c r="H500">
        <f>COUNTIF('Metrics - Articles'!F497,"*Business Network (Concur, Ariba, Fieldglass)*")</f>
        <v>0</v>
      </c>
      <c r="I500">
        <f>COUNTIF('Metrics - Articles'!F497,"*GCO – Regions*")</f>
        <v>0</v>
      </c>
      <c r="J500">
        <f>COUNTIF('Metrics - Articles'!F497,"*GCO – Platform Solutions*")</f>
        <v>0</v>
      </c>
      <c r="K500">
        <f>COUNTIF('Metrics - Articles'!F497,"*GCO – Industry Cloud *")</f>
        <v>0</v>
      </c>
      <c r="L500">
        <f>COUNTIF('Metrics - Articles'!F497,"*GCO – Customer Engagement &amp; Commerce (CRM &amp; hybris) *")</f>
        <v>0</v>
      </c>
      <c r="M500">
        <f>COUNTIF('Metrics - Articles'!F497,"*GCO – HR (SuccessFactors)*")</f>
        <v>0</v>
      </c>
      <c r="N500">
        <f>COUNTIF('Metrics - Articles'!F497,"*GCO – Services Sales*")</f>
        <v>0</v>
      </c>
      <c r="O500">
        <f>COUNTIF('Metrics - Articles'!F497,"*GCO – Other*")</f>
        <v>0</v>
      </c>
      <c r="P500">
        <f>COUNTIF('Metrics - Articles'!F497,"*Corporate*")</f>
        <v>0</v>
      </c>
      <c r="R500" s="53">
        <f t="shared" si="9"/>
        <v>0</v>
      </c>
    </row>
    <row r="501" spans="2:18" hidden="1" x14ac:dyDescent="0.25">
      <c r="B501" s="48">
        <f>+'Metrics - Articles'!C498</f>
        <v>0</v>
      </c>
      <c r="C501">
        <f>COUNTIF('Metrics - Articles'!F498,"*GPO (Partner, Ecosystem, Channels)*")</f>
        <v>0</v>
      </c>
      <c r="D501">
        <f>COUNTIF('Metrics - Articles'!F498,"*Office of the CEO*")</f>
        <v>0</v>
      </c>
      <c r="E501">
        <f>COUNTIF('Metrics - Articles'!F498,"*Services Delivery &amp; Support (go-lives and deployments) *")</f>
        <v>0</v>
      </c>
      <c r="F501">
        <f>COUNTIF('Metrics - Articles'!F498,"*Human Resources (SAP HR and employee stories)*")</f>
        <v>0</v>
      </c>
      <c r="G501">
        <f>COUNTIF('Metrics - Articles'!F498,"*P&amp;I (Research &amp; Development)*")</f>
        <v>0</v>
      </c>
      <c r="H501">
        <f>COUNTIF('Metrics - Articles'!F498,"*Business Network (Concur, Ariba, Fieldglass)*")</f>
        <v>0</v>
      </c>
      <c r="I501">
        <f>COUNTIF('Metrics - Articles'!F498,"*GCO – Regions*")</f>
        <v>0</v>
      </c>
      <c r="J501">
        <f>COUNTIF('Metrics - Articles'!F498,"*GCO – Platform Solutions*")</f>
        <v>0</v>
      </c>
      <c r="K501">
        <f>COUNTIF('Metrics - Articles'!F498,"*GCO – Industry Cloud *")</f>
        <v>0</v>
      </c>
      <c r="L501">
        <f>COUNTIF('Metrics - Articles'!F498,"*GCO – Customer Engagement &amp; Commerce (CRM &amp; hybris) *")</f>
        <v>0</v>
      </c>
      <c r="M501">
        <f>COUNTIF('Metrics - Articles'!F498,"*GCO – HR (SuccessFactors)*")</f>
        <v>0</v>
      </c>
      <c r="N501">
        <f>COUNTIF('Metrics - Articles'!F498,"*GCO – Services Sales*")</f>
        <v>0</v>
      </c>
      <c r="O501">
        <f>COUNTIF('Metrics - Articles'!F498,"*GCO – Other*")</f>
        <v>0</v>
      </c>
      <c r="P501">
        <f>COUNTIF('Metrics - Articles'!F498,"*Corporate*")</f>
        <v>0</v>
      </c>
      <c r="R501" s="53">
        <f t="shared" si="9"/>
        <v>0</v>
      </c>
    </row>
    <row r="502" spans="2:18" hidden="1" x14ac:dyDescent="0.25">
      <c r="B502" s="48">
        <f>+'Metrics - Articles'!C499</f>
        <v>0</v>
      </c>
      <c r="C502">
        <f>COUNTIF('Metrics - Articles'!F499,"*GPO (Partner, Ecosystem, Channels)*")</f>
        <v>0</v>
      </c>
      <c r="D502">
        <f>COUNTIF('Metrics - Articles'!F499,"*Office of the CEO*")</f>
        <v>0</v>
      </c>
      <c r="E502">
        <f>COUNTIF('Metrics - Articles'!F499,"*Services Delivery &amp; Support (go-lives and deployments) *")</f>
        <v>0</v>
      </c>
      <c r="F502">
        <f>COUNTIF('Metrics - Articles'!F499,"*Human Resources (SAP HR and employee stories)*")</f>
        <v>0</v>
      </c>
      <c r="G502">
        <f>COUNTIF('Metrics - Articles'!F499,"*P&amp;I (Research &amp; Development)*")</f>
        <v>0</v>
      </c>
      <c r="H502">
        <f>COUNTIF('Metrics - Articles'!F499,"*Business Network (Concur, Ariba, Fieldglass)*")</f>
        <v>0</v>
      </c>
      <c r="I502">
        <f>COUNTIF('Metrics - Articles'!F499,"*GCO – Regions*")</f>
        <v>0</v>
      </c>
      <c r="J502">
        <f>COUNTIF('Metrics - Articles'!F499,"*GCO – Platform Solutions*")</f>
        <v>0</v>
      </c>
      <c r="K502">
        <f>COUNTIF('Metrics - Articles'!F499,"*GCO – Industry Cloud *")</f>
        <v>0</v>
      </c>
      <c r="L502">
        <f>COUNTIF('Metrics - Articles'!F499,"*GCO – Customer Engagement &amp; Commerce (CRM &amp; hybris) *")</f>
        <v>0</v>
      </c>
      <c r="M502">
        <f>COUNTIF('Metrics - Articles'!F499,"*GCO – HR (SuccessFactors)*")</f>
        <v>0</v>
      </c>
      <c r="N502">
        <f>COUNTIF('Metrics - Articles'!F499,"*GCO – Services Sales*")</f>
        <v>0</v>
      </c>
      <c r="O502">
        <f>COUNTIF('Metrics - Articles'!F499,"*GCO – Other*")</f>
        <v>0</v>
      </c>
      <c r="P502">
        <f>COUNTIF('Metrics - Articles'!F499,"*Corporate*")</f>
        <v>0</v>
      </c>
      <c r="R502" s="53">
        <f t="shared" si="9"/>
        <v>0</v>
      </c>
    </row>
    <row r="503" spans="2:18" hidden="1" x14ac:dyDescent="0.25">
      <c r="B503" s="48">
        <f>+'Metrics - Articles'!C500</f>
        <v>0</v>
      </c>
      <c r="C503">
        <f>COUNTIF('Metrics - Articles'!F500,"*GPO (Partner, Ecosystem, Channels)*")</f>
        <v>0</v>
      </c>
      <c r="D503">
        <f>COUNTIF('Metrics - Articles'!F500,"*Office of the CEO*")</f>
        <v>0</v>
      </c>
      <c r="E503">
        <f>COUNTIF('Metrics - Articles'!F500,"*Services Delivery &amp; Support (go-lives and deployments) *")</f>
        <v>0</v>
      </c>
      <c r="F503">
        <f>COUNTIF('Metrics - Articles'!F500,"*Human Resources (SAP HR and employee stories)*")</f>
        <v>0</v>
      </c>
      <c r="G503">
        <f>COUNTIF('Metrics - Articles'!F500,"*P&amp;I (Research &amp; Development)*")</f>
        <v>0</v>
      </c>
      <c r="H503">
        <f>COUNTIF('Metrics - Articles'!F500,"*Business Network (Concur, Ariba, Fieldglass)*")</f>
        <v>0</v>
      </c>
      <c r="I503">
        <f>COUNTIF('Metrics - Articles'!F500,"*GCO – Regions*")</f>
        <v>0</v>
      </c>
      <c r="J503">
        <f>COUNTIF('Metrics - Articles'!F500,"*GCO – Platform Solutions*")</f>
        <v>0</v>
      </c>
      <c r="K503">
        <f>COUNTIF('Metrics - Articles'!F500,"*GCO – Industry Cloud *")</f>
        <v>0</v>
      </c>
      <c r="L503">
        <f>COUNTIF('Metrics - Articles'!F500,"*GCO – Customer Engagement &amp; Commerce (CRM &amp; hybris) *")</f>
        <v>0</v>
      </c>
      <c r="M503">
        <f>COUNTIF('Metrics - Articles'!F500,"*GCO – HR (SuccessFactors)*")</f>
        <v>0</v>
      </c>
      <c r="N503">
        <f>COUNTIF('Metrics - Articles'!F500,"*GCO – Services Sales*")</f>
        <v>0</v>
      </c>
      <c r="O503">
        <f>COUNTIF('Metrics - Articles'!F500,"*GCO – Other*")</f>
        <v>0</v>
      </c>
      <c r="P503">
        <f>COUNTIF('Metrics - Articles'!F500,"*Corporate*")</f>
        <v>0</v>
      </c>
      <c r="R503" s="53">
        <f t="shared" si="9"/>
        <v>0</v>
      </c>
    </row>
    <row r="504" spans="2:18" hidden="1" x14ac:dyDescent="0.25">
      <c r="B504" s="48">
        <f>+'Metrics - Articles'!C501</f>
        <v>0</v>
      </c>
      <c r="C504">
        <f>COUNTIF('Metrics - Articles'!F501,"*GPO (Partner, Ecosystem, Channels)*")</f>
        <v>0</v>
      </c>
      <c r="D504">
        <f>COUNTIF('Metrics - Articles'!F501,"*Office of the CEO*")</f>
        <v>0</v>
      </c>
      <c r="E504">
        <f>COUNTIF('Metrics - Articles'!F501,"*Services Delivery &amp; Support (go-lives and deployments) *")</f>
        <v>0</v>
      </c>
      <c r="F504">
        <f>COUNTIF('Metrics - Articles'!F501,"*Human Resources (SAP HR and employee stories)*")</f>
        <v>0</v>
      </c>
      <c r="G504">
        <f>COUNTIF('Metrics - Articles'!F501,"*P&amp;I (Research &amp; Development)*")</f>
        <v>0</v>
      </c>
      <c r="H504">
        <f>COUNTIF('Metrics - Articles'!F501,"*Business Network (Concur, Ariba, Fieldglass)*")</f>
        <v>0</v>
      </c>
      <c r="I504">
        <f>COUNTIF('Metrics - Articles'!F501,"*GCO – Regions*")</f>
        <v>0</v>
      </c>
      <c r="J504">
        <f>COUNTIF('Metrics - Articles'!F501,"*GCO – Platform Solutions*")</f>
        <v>0</v>
      </c>
      <c r="K504">
        <f>COUNTIF('Metrics - Articles'!F501,"*GCO – Industry Cloud *")</f>
        <v>0</v>
      </c>
      <c r="L504">
        <f>COUNTIF('Metrics - Articles'!F501,"*GCO – Customer Engagement &amp; Commerce (CRM &amp; hybris) *")</f>
        <v>0</v>
      </c>
      <c r="M504">
        <f>COUNTIF('Metrics - Articles'!F501,"*GCO – HR (SuccessFactors)*")</f>
        <v>0</v>
      </c>
      <c r="N504">
        <f>COUNTIF('Metrics - Articles'!F501,"*GCO – Services Sales*")</f>
        <v>0</v>
      </c>
      <c r="O504">
        <f>COUNTIF('Metrics - Articles'!F501,"*GCO – Other*")</f>
        <v>0</v>
      </c>
      <c r="P504">
        <f>COUNTIF('Metrics - Articles'!F501,"*Corporate*")</f>
        <v>0</v>
      </c>
      <c r="R504" s="53">
        <f t="shared" si="9"/>
        <v>0</v>
      </c>
    </row>
    <row r="505" spans="2:18" hidden="1" x14ac:dyDescent="0.25">
      <c r="B505" s="48">
        <f>+'Metrics - Articles'!C502</f>
        <v>0</v>
      </c>
      <c r="C505">
        <f>COUNTIF('Metrics - Articles'!F502,"*GPO (Partner, Ecosystem, Channels)*")</f>
        <v>0</v>
      </c>
      <c r="D505">
        <f>COUNTIF('Metrics - Articles'!F502,"*Office of the CEO*")</f>
        <v>0</v>
      </c>
      <c r="E505">
        <f>COUNTIF('Metrics - Articles'!F502,"*Services Delivery &amp; Support (go-lives and deployments) *")</f>
        <v>0</v>
      </c>
      <c r="F505">
        <f>COUNTIF('Metrics - Articles'!F502,"*Human Resources (SAP HR and employee stories)*")</f>
        <v>0</v>
      </c>
      <c r="G505">
        <f>COUNTIF('Metrics - Articles'!F502,"*P&amp;I (Research &amp; Development)*")</f>
        <v>0</v>
      </c>
      <c r="H505">
        <f>COUNTIF('Metrics - Articles'!F502,"*Business Network (Concur, Ariba, Fieldglass)*")</f>
        <v>0</v>
      </c>
      <c r="I505">
        <f>COUNTIF('Metrics - Articles'!F502,"*GCO – Regions*")</f>
        <v>0</v>
      </c>
      <c r="J505">
        <f>COUNTIF('Metrics - Articles'!F502,"*GCO – Platform Solutions*")</f>
        <v>0</v>
      </c>
      <c r="K505">
        <f>COUNTIF('Metrics - Articles'!F502,"*GCO – Industry Cloud *")</f>
        <v>0</v>
      </c>
      <c r="L505">
        <f>COUNTIF('Metrics - Articles'!F502,"*GCO – Customer Engagement &amp; Commerce (CRM &amp; hybris) *")</f>
        <v>0</v>
      </c>
      <c r="M505">
        <f>COUNTIF('Metrics - Articles'!F502,"*GCO – HR (SuccessFactors)*")</f>
        <v>0</v>
      </c>
      <c r="N505">
        <f>COUNTIF('Metrics - Articles'!F502,"*GCO – Services Sales*")</f>
        <v>0</v>
      </c>
      <c r="O505">
        <f>COUNTIF('Metrics - Articles'!F502,"*GCO – Other*")</f>
        <v>0</v>
      </c>
      <c r="P505">
        <f>COUNTIF('Metrics - Articles'!F502,"*Corporate*")</f>
        <v>0</v>
      </c>
      <c r="R505" s="53">
        <f t="shared" si="9"/>
        <v>0</v>
      </c>
    </row>
    <row r="506" spans="2:18" hidden="1" x14ac:dyDescent="0.25">
      <c r="B506" s="48">
        <f>+'Metrics - Articles'!C503</f>
        <v>0</v>
      </c>
      <c r="C506">
        <f>COUNTIF('Metrics - Articles'!F503,"*GPO (Partner, Ecosystem, Channels)*")</f>
        <v>0</v>
      </c>
      <c r="D506">
        <f>COUNTIF('Metrics - Articles'!F503,"*Office of the CEO*")</f>
        <v>0</v>
      </c>
      <c r="E506">
        <f>COUNTIF('Metrics - Articles'!F503,"*Services Delivery &amp; Support (go-lives and deployments) *")</f>
        <v>0</v>
      </c>
      <c r="F506">
        <f>COUNTIF('Metrics - Articles'!F503,"*Human Resources (SAP HR and employee stories)*")</f>
        <v>0</v>
      </c>
      <c r="G506">
        <f>COUNTIF('Metrics - Articles'!F503,"*P&amp;I (Research &amp; Development)*")</f>
        <v>0</v>
      </c>
      <c r="H506">
        <f>COUNTIF('Metrics - Articles'!F503,"*Business Network (Concur, Ariba, Fieldglass)*")</f>
        <v>0</v>
      </c>
      <c r="I506">
        <f>COUNTIF('Metrics - Articles'!F503,"*GCO – Regions*")</f>
        <v>0</v>
      </c>
      <c r="J506">
        <f>COUNTIF('Metrics - Articles'!F503,"*GCO – Platform Solutions*")</f>
        <v>0</v>
      </c>
      <c r="K506">
        <f>COUNTIF('Metrics - Articles'!F503,"*GCO – Industry Cloud *")</f>
        <v>0</v>
      </c>
      <c r="L506">
        <f>COUNTIF('Metrics - Articles'!F503,"*GCO – Customer Engagement &amp; Commerce (CRM &amp; hybris) *")</f>
        <v>0</v>
      </c>
      <c r="M506">
        <f>COUNTIF('Metrics - Articles'!F503,"*GCO – HR (SuccessFactors)*")</f>
        <v>0</v>
      </c>
      <c r="N506">
        <f>COUNTIF('Metrics - Articles'!F503,"*GCO – Services Sales*")</f>
        <v>0</v>
      </c>
      <c r="O506">
        <f>COUNTIF('Metrics - Articles'!F503,"*GCO – Other*")</f>
        <v>0</v>
      </c>
      <c r="P506">
        <f>COUNTIF('Metrics - Articles'!F503,"*Corporate*")</f>
        <v>0</v>
      </c>
      <c r="R506" s="53">
        <f t="shared" si="9"/>
        <v>0</v>
      </c>
    </row>
    <row r="507" spans="2:18" hidden="1" x14ac:dyDescent="0.25">
      <c r="B507" s="48">
        <f>+'Metrics - Articles'!C504</f>
        <v>0</v>
      </c>
      <c r="C507">
        <f>COUNTIF('Metrics - Articles'!F504,"*GPO (Partner, Ecosystem, Channels)*")</f>
        <v>0</v>
      </c>
      <c r="D507">
        <f>COUNTIF('Metrics - Articles'!F504,"*Office of the CEO*")</f>
        <v>0</v>
      </c>
      <c r="E507">
        <f>COUNTIF('Metrics - Articles'!F504,"*Services Delivery &amp; Support (go-lives and deployments) *")</f>
        <v>0</v>
      </c>
      <c r="F507">
        <f>COUNTIF('Metrics - Articles'!F504,"*Human Resources (SAP HR and employee stories)*")</f>
        <v>0</v>
      </c>
      <c r="G507">
        <f>COUNTIF('Metrics - Articles'!F504,"*P&amp;I (Research &amp; Development)*")</f>
        <v>0</v>
      </c>
      <c r="H507">
        <f>COUNTIF('Metrics - Articles'!F504,"*Business Network (Concur, Ariba, Fieldglass)*")</f>
        <v>0</v>
      </c>
      <c r="I507">
        <f>COUNTIF('Metrics - Articles'!F504,"*GCO – Regions*")</f>
        <v>0</v>
      </c>
      <c r="J507">
        <f>COUNTIF('Metrics - Articles'!F504,"*GCO – Platform Solutions*")</f>
        <v>0</v>
      </c>
      <c r="K507">
        <f>COUNTIF('Metrics - Articles'!F504,"*GCO – Industry Cloud *")</f>
        <v>0</v>
      </c>
      <c r="L507">
        <f>COUNTIF('Metrics - Articles'!F504,"*GCO – Customer Engagement &amp; Commerce (CRM &amp; hybris) *")</f>
        <v>0</v>
      </c>
      <c r="M507">
        <f>COUNTIF('Metrics - Articles'!F504,"*GCO – HR (SuccessFactors)*")</f>
        <v>0</v>
      </c>
      <c r="N507">
        <f>COUNTIF('Metrics - Articles'!F504,"*GCO – Services Sales*")</f>
        <v>0</v>
      </c>
      <c r="O507">
        <f>COUNTIF('Metrics - Articles'!F504,"*GCO – Other*")</f>
        <v>0</v>
      </c>
      <c r="P507">
        <f>COUNTIF('Metrics - Articles'!F504,"*Corporate*")</f>
        <v>0</v>
      </c>
      <c r="R507" s="53">
        <f t="shared" si="9"/>
        <v>0</v>
      </c>
    </row>
    <row r="508" spans="2:18" hidden="1" x14ac:dyDescent="0.25">
      <c r="B508" s="48">
        <f>+'Metrics - Articles'!C505</f>
        <v>0</v>
      </c>
      <c r="C508">
        <f>COUNTIF('Metrics - Articles'!F505,"*GPO (Partner, Ecosystem, Channels)*")</f>
        <v>0</v>
      </c>
      <c r="D508">
        <f>COUNTIF('Metrics - Articles'!F505,"*Office of the CEO*")</f>
        <v>0</v>
      </c>
      <c r="E508">
        <f>COUNTIF('Metrics - Articles'!F505,"*Services Delivery &amp; Support (go-lives and deployments) *")</f>
        <v>0</v>
      </c>
      <c r="F508">
        <f>COUNTIF('Metrics - Articles'!F505,"*Human Resources (SAP HR and employee stories)*")</f>
        <v>0</v>
      </c>
      <c r="G508">
        <f>COUNTIF('Metrics - Articles'!F505,"*P&amp;I (Research &amp; Development)*")</f>
        <v>0</v>
      </c>
      <c r="H508">
        <f>COUNTIF('Metrics - Articles'!F505,"*Business Network (Concur, Ariba, Fieldglass)*")</f>
        <v>0</v>
      </c>
      <c r="I508">
        <f>COUNTIF('Metrics - Articles'!F505,"*GCO – Regions*")</f>
        <v>0</v>
      </c>
      <c r="J508">
        <f>COUNTIF('Metrics - Articles'!F505,"*GCO – Platform Solutions*")</f>
        <v>0</v>
      </c>
      <c r="K508">
        <f>COUNTIF('Metrics - Articles'!F505,"*GCO – Industry Cloud *")</f>
        <v>0</v>
      </c>
      <c r="L508">
        <f>COUNTIF('Metrics - Articles'!F505,"*GCO – Customer Engagement &amp; Commerce (CRM &amp; hybris) *")</f>
        <v>0</v>
      </c>
      <c r="M508">
        <f>COUNTIF('Metrics - Articles'!F505,"*GCO – HR (SuccessFactors)*")</f>
        <v>0</v>
      </c>
      <c r="N508">
        <f>COUNTIF('Metrics - Articles'!F505,"*GCO – Services Sales*")</f>
        <v>0</v>
      </c>
      <c r="O508">
        <f>COUNTIF('Metrics - Articles'!F505,"*GCO – Other*")</f>
        <v>0</v>
      </c>
      <c r="P508">
        <f>COUNTIF('Metrics - Articles'!F505,"*Corporate*")</f>
        <v>0</v>
      </c>
      <c r="R508" s="53">
        <f t="shared" si="9"/>
        <v>0</v>
      </c>
    </row>
    <row r="509" spans="2:18" hidden="1" x14ac:dyDescent="0.25">
      <c r="B509" s="48">
        <f>+'Metrics - Articles'!C506</f>
        <v>0</v>
      </c>
      <c r="C509">
        <f>COUNTIF('Metrics - Articles'!F506,"*GPO (Partner, Ecosystem, Channels)*")</f>
        <v>0</v>
      </c>
      <c r="D509">
        <f>COUNTIF('Metrics - Articles'!F506,"*Office of the CEO*")</f>
        <v>0</v>
      </c>
      <c r="E509">
        <f>COUNTIF('Metrics - Articles'!F506,"*Services Delivery &amp; Support (go-lives and deployments) *")</f>
        <v>0</v>
      </c>
      <c r="F509">
        <f>COUNTIF('Metrics - Articles'!F506,"*Human Resources (SAP HR and employee stories)*")</f>
        <v>0</v>
      </c>
      <c r="G509">
        <f>COUNTIF('Metrics - Articles'!F506,"*P&amp;I (Research &amp; Development)*")</f>
        <v>0</v>
      </c>
      <c r="H509">
        <f>COUNTIF('Metrics - Articles'!F506,"*Business Network (Concur, Ariba, Fieldglass)*")</f>
        <v>0</v>
      </c>
      <c r="I509">
        <f>COUNTIF('Metrics - Articles'!F506,"*GCO – Regions*")</f>
        <v>0</v>
      </c>
      <c r="J509">
        <f>COUNTIF('Metrics - Articles'!F506,"*GCO – Platform Solutions*")</f>
        <v>0</v>
      </c>
      <c r="K509">
        <f>COUNTIF('Metrics - Articles'!F506,"*GCO – Industry Cloud *")</f>
        <v>0</v>
      </c>
      <c r="L509">
        <f>COUNTIF('Metrics - Articles'!F506,"*GCO – Customer Engagement &amp; Commerce (CRM &amp; hybris) *")</f>
        <v>0</v>
      </c>
      <c r="M509">
        <f>COUNTIF('Metrics - Articles'!F506,"*GCO – HR (SuccessFactors)*")</f>
        <v>0</v>
      </c>
      <c r="N509">
        <f>COUNTIF('Metrics - Articles'!F506,"*GCO – Services Sales*")</f>
        <v>0</v>
      </c>
      <c r="O509">
        <f>COUNTIF('Metrics - Articles'!F506,"*GCO – Other*")</f>
        <v>0</v>
      </c>
      <c r="P509">
        <f>COUNTIF('Metrics - Articles'!F506,"*Corporate*")</f>
        <v>0</v>
      </c>
      <c r="R509" s="53">
        <f t="shared" si="9"/>
        <v>0</v>
      </c>
    </row>
    <row r="510" spans="2:18" hidden="1" x14ac:dyDescent="0.25">
      <c r="B510" s="48">
        <f>+'Metrics - Articles'!C507</f>
        <v>0</v>
      </c>
      <c r="C510">
        <f>COUNTIF('Metrics - Articles'!F507,"*GPO (Partner, Ecosystem, Channels)*")</f>
        <v>0</v>
      </c>
      <c r="D510">
        <f>COUNTIF('Metrics - Articles'!F507,"*Office of the CEO*")</f>
        <v>0</v>
      </c>
      <c r="E510">
        <f>COUNTIF('Metrics - Articles'!F507,"*Services Delivery &amp; Support (go-lives and deployments) *")</f>
        <v>0</v>
      </c>
      <c r="F510">
        <f>COUNTIF('Metrics - Articles'!F507,"*Human Resources (SAP HR and employee stories)*")</f>
        <v>0</v>
      </c>
      <c r="G510">
        <f>COUNTIF('Metrics - Articles'!F507,"*P&amp;I (Research &amp; Development)*")</f>
        <v>0</v>
      </c>
      <c r="H510">
        <f>COUNTIF('Metrics - Articles'!F507,"*Business Network (Concur, Ariba, Fieldglass)*")</f>
        <v>0</v>
      </c>
      <c r="I510">
        <f>COUNTIF('Metrics - Articles'!F507,"*GCO – Regions*")</f>
        <v>0</v>
      </c>
      <c r="J510">
        <f>COUNTIF('Metrics - Articles'!F507,"*GCO – Platform Solutions*")</f>
        <v>0</v>
      </c>
      <c r="K510">
        <f>COUNTIF('Metrics - Articles'!F507,"*GCO – Industry Cloud *")</f>
        <v>0</v>
      </c>
      <c r="L510">
        <f>COUNTIF('Metrics - Articles'!F507,"*GCO – Customer Engagement &amp; Commerce (CRM &amp; hybris) *")</f>
        <v>0</v>
      </c>
      <c r="M510">
        <f>COUNTIF('Metrics - Articles'!F507,"*GCO – HR (SuccessFactors)*")</f>
        <v>0</v>
      </c>
      <c r="N510">
        <f>COUNTIF('Metrics - Articles'!F507,"*GCO – Services Sales*")</f>
        <v>0</v>
      </c>
      <c r="O510">
        <f>COUNTIF('Metrics - Articles'!F507,"*GCO – Other*")</f>
        <v>0</v>
      </c>
      <c r="P510">
        <f>COUNTIF('Metrics - Articles'!F507,"*Corporate*")</f>
        <v>0</v>
      </c>
      <c r="R510" s="53">
        <f t="shared" si="9"/>
        <v>0</v>
      </c>
    </row>
    <row r="511" spans="2:18" hidden="1" x14ac:dyDescent="0.25">
      <c r="B511" s="48">
        <f>+'Metrics - Articles'!C508</f>
        <v>0</v>
      </c>
      <c r="C511">
        <f>COUNTIF('Metrics - Articles'!F508,"*GPO (Partner, Ecosystem, Channels)*")</f>
        <v>0</v>
      </c>
      <c r="D511">
        <f>COUNTIF('Metrics - Articles'!F508,"*Office of the CEO*")</f>
        <v>0</v>
      </c>
      <c r="E511">
        <f>COUNTIF('Metrics - Articles'!F508,"*Services Delivery &amp; Support (go-lives and deployments) *")</f>
        <v>0</v>
      </c>
      <c r="F511">
        <f>COUNTIF('Metrics - Articles'!F508,"*Human Resources (SAP HR and employee stories)*")</f>
        <v>0</v>
      </c>
      <c r="G511">
        <f>COUNTIF('Metrics - Articles'!F508,"*P&amp;I (Research &amp; Development)*")</f>
        <v>0</v>
      </c>
      <c r="H511">
        <f>COUNTIF('Metrics - Articles'!F508,"*Business Network (Concur, Ariba, Fieldglass)*")</f>
        <v>0</v>
      </c>
      <c r="I511">
        <f>COUNTIF('Metrics - Articles'!F508,"*GCO – Regions*")</f>
        <v>0</v>
      </c>
      <c r="J511">
        <f>COUNTIF('Metrics - Articles'!F508,"*GCO – Platform Solutions*")</f>
        <v>0</v>
      </c>
      <c r="K511">
        <f>COUNTIF('Metrics - Articles'!F508,"*GCO – Industry Cloud *")</f>
        <v>0</v>
      </c>
      <c r="L511">
        <f>COUNTIF('Metrics - Articles'!F508,"*GCO – Customer Engagement &amp; Commerce (CRM &amp; hybris) *")</f>
        <v>0</v>
      </c>
      <c r="M511">
        <f>COUNTIF('Metrics - Articles'!F508,"*GCO – HR (SuccessFactors)*")</f>
        <v>0</v>
      </c>
      <c r="N511">
        <f>COUNTIF('Metrics - Articles'!F508,"*GCO – Services Sales*")</f>
        <v>0</v>
      </c>
      <c r="O511">
        <f>COUNTIF('Metrics - Articles'!F508,"*GCO – Other*")</f>
        <v>0</v>
      </c>
      <c r="P511">
        <f>COUNTIF('Metrics - Articles'!F508,"*Corporate*")</f>
        <v>0</v>
      </c>
      <c r="R511" s="53">
        <f t="shared" si="9"/>
        <v>0</v>
      </c>
    </row>
    <row r="512" spans="2:18" hidden="1" x14ac:dyDescent="0.25">
      <c r="B512" s="48">
        <f>+'Metrics - Articles'!C509</f>
        <v>0</v>
      </c>
      <c r="C512">
        <f>COUNTIF('Metrics - Articles'!F509,"*GPO (Partner, Ecosystem, Channels)*")</f>
        <v>0</v>
      </c>
      <c r="D512">
        <f>COUNTIF('Metrics - Articles'!F509,"*Office of the CEO*")</f>
        <v>0</v>
      </c>
      <c r="E512">
        <f>COUNTIF('Metrics - Articles'!F509,"*Services Delivery &amp; Support (go-lives and deployments) *")</f>
        <v>0</v>
      </c>
      <c r="F512">
        <f>COUNTIF('Metrics - Articles'!F509,"*Human Resources (SAP HR and employee stories)*")</f>
        <v>0</v>
      </c>
      <c r="G512">
        <f>COUNTIF('Metrics - Articles'!F509,"*P&amp;I (Research &amp; Development)*")</f>
        <v>0</v>
      </c>
      <c r="H512">
        <f>COUNTIF('Metrics - Articles'!F509,"*Business Network (Concur, Ariba, Fieldglass)*")</f>
        <v>0</v>
      </c>
      <c r="I512">
        <f>COUNTIF('Metrics - Articles'!F509,"*GCO – Regions*")</f>
        <v>0</v>
      </c>
      <c r="J512">
        <f>COUNTIF('Metrics - Articles'!F509,"*GCO – Platform Solutions*")</f>
        <v>0</v>
      </c>
      <c r="K512">
        <f>COUNTIF('Metrics - Articles'!F509,"*GCO – Industry Cloud *")</f>
        <v>0</v>
      </c>
      <c r="L512">
        <f>COUNTIF('Metrics - Articles'!F509,"*GCO – Customer Engagement &amp; Commerce (CRM &amp; hybris) *")</f>
        <v>0</v>
      </c>
      <c r="M512">
        <f>COUNTIF('Metrics - Articles'!F509,"*GCO – HR (SuccessFactors)*")</f>
        <v>0</v>
      </c>
      <c r="N512">
        <f>COUNTIF('Metrics - Articles'!F509,"*GCO – Services Sales*")</f>
        <v>0</v>
      </c>
      <c r="O512">
        <f>COUNTIF('Metrics - Articles'!F509,"*GCO – Other*")</f>
        <v>0</v>
      </c>
      <c r="P512">
        <f>COUNTIF('Metrics - Articles'!F509,"*Corporate*")</f>
        <v>0</v>
      </c>
      <c r="R512" s="53">
        <f t="shared" si="9"/>
        <v>0</v>
      </c>
    </row>
    <row r="513" spans="2:18" hidden="1" x14ac:dyDescent="0.25">
      <c r="B513" s="48">
        <f>+'Metrics - Articles'!C510</f>
        <v>0</v>
      </c>
      <c r="C513">
        <f>COUNTIF('Metrics - Articles'!F510,"*GPO (Partner, Ecosystem, Channels)*")</f>
        <v>0</v>
      </c>
      <c r="D513">
        <f>COUNTIF('Metrics - Articles'!F510,"*Office of the CEO*")</f>
        <v>0</v>
      </c>
      <c r="E513">
        <f>COUNTIF('Metrics - Articles'!F510,"*Services Delivery &amp; Support (go-lives and deployments) *")</f>
        <v>0</v>
      </c>
      <c r="F513">
        <f>COUNTIF('Metrics - Articles'!F510,"*Human Resources (SAP HR and employee stories)*")</f>
        <v>0</v>
      </c>
      <c r="G513">
        <f>COUNTIF('Metrics - Articles'!F510,"*P&amp;I (Research &amp; Development)*")</f>
        <v>0</v>
      </c>
      <c r="H513">
        <f>COUNTIF('Metrics - Articles'!F510,"*Business Network (Concur, Ariba, Fieldglass)*")</f>
        <v>0</v>
      </c>
      <c r="I513">
        <f>COUNTIF('Metrics - Articles'!F510,"*GCO – Regions*")</f>
        <v>0</v>
      </c>
      <c r="J513">
        <f>COUNTIF('Metrics - Articles'!F510,"*GCO – Platform Solutions*")</f>
        <v>0</v>
      </c>
      <c r="K513">
        <f>COUNTIF('Metrics - Articles'!F510,"*GCO – Industry Cloud *")</f>
        <v>0</v>
      </c>
      <c r="L513">
        <f>COUNTIF('Metrics - Articles'!F510,"*GCO – Customer Engagement &amp; Commerce (CRM &amp; hybris) *")</f>
        <v>0</v>
      </c>
      <c r="M513">
        <f>COUNTIF('Metrics - Articles'!F510,"*GCO – HR (SuccessFactors)*")</f>
        <v>0</v>
      </c>
      <c r="N513">
        <f>COUNTIF('Metrics - Articles'!F510,"*GCO – Services Sales*")</f>
        <v>0</v>
      </c>
      <c r="O513">
        <f>COUNTIF('Metrics - Articles'!F510,"*GCO – Other*")</f>
        <v>0</v>
      </c>
      <c r="P513">
        <f>COUNTIF('Metrics - Articles'!F510,"*Corporate*")</f>
        <v>0</v>
      </c>
      <c r="R513" s="53">
        <f t="shared" si="9"/>
        <v>0</v>
      </c>
    </row>
    <row r="514" spans="2:18" hidden="1" x14ac:dyDescent="0.25">
      <c r="B514" s="48">
        <f>+'Metrics - Articles'!C511</f>
        <v>0</v>
      </c>
      <c r="C514">
        <f>COUNTIF('Metrics - Articles'!F511,"*GPO (Partner, Ecosystem, Channels)*")</f>
        <v>0</v>
      </c>
      <c r="D514">
        <f>COUNTIF('Metrics - Articles'!F511,"*Office of the CEO*")</f>
        <v>0</v>
      </c>
      <c r="E514">
        <f>COUNTIF('Metrics - Articles'!F511,"*Services Delivery &amp; Support (go-lives and deployments) *")</f>
        <v>0</v>
      </c>
      <c r="F514">
        <f>COUNTIF('Metrics - Articles'!F511,"*Human Resources (SAP HR and employee stories)*")</f>
        <v>0</v>
      </c>
      <c r="G514">
        <f>COUNTIF('Metrics - Articles'!F511,"*P&amp;I (Research &amp; Development)*")</f>
        <v>0</v>
      </c>
      <c r="H514">
        <f>COUNTIF('Metrics - Articles'!F511,"*Business Network (Concur, Ariba, Fieldglass)*")</f>
        <v>0</v>
      </c>
      <c r="I514">
        <f>COUNTIF('Metrics - Articles'!F511,"*GCO – Regions*")</f>
        <v>0</v>
      </c>
      <c r="J514">
        <f>COUNTIF('Metrics - Articles'!F511,"*GCO – Platform Solutions*")</f>
        <v>0</v>
      </c>
      <c r="K514">
        <f>COUNTIF('Metrics - Articles'!F511,"*GCO – Industry Cloud *")</f>
        <v>0</v>
      </c>
      <c r="L514">
        <f>COUNTIF('Metrics - Articles'!F511,"*GCO – Customer Engagement &amp; Commerce (CRM &amp; hybris) *")</f>
        <v>0</v>
      </c>
      <c r="M514">
        <f>COUNTIF('Metrics - Articles'!F511,"*GCO – HR (SuccessFactors)*")</f>
        <v>0</v>
      </c>
      <c r="N514">
        <f>COUNTIF('Metrics - Articles'!F511,"*GCO – Services Sales*")</f>
        <v>0</v>
      </c>
      <c r="O514">
        <f>COUNTIF('Metrics - Articles'!F511,"*GCO – Other*")</f>
        <v>0</v>
      </c>
      <c r="P514">
        <f>COUNTIF('Metrics - Articles'!F511,"*Corporate*")</f>
        <v>0</v>
      </c>
      <c r="R514" s="53">
        <f t="shared" si="9"/>
        <v>0</v>
      </c>
    </row>
    <row r="515" spans="2:18" hidden="1" x14ac:dyDescent="0.25">
      <c r="B515" s="48">
        <f>+'Metrics - Articles'!C512</f>
        <v>0</v>
      </c>
      <c r="C515">
        <f>COUNTIF('Metrics - Articles'!F512,"*GPO (Partner, Ecosystem, Channels)*")</f>
        <v>0</v>
      </c>
      <c r="D515">
        <f>COUNTIF('Metrics - Articles'!F512,"*Office of the CEO*")</f>
        <v>0</v>
      </c>
      <c r="E515">
        <f>COUNTIF('Metrics - Articles'!F512,"*Services Delivery &amp; Support (go-lives and deployments) *")</f>
        <v>0</v>
      </c>
      <c r="F515">
        <f>COUNTIF('Metrics - Articles'!F512,"*Human Resources (SAP HR and employee stories)*")</f>
        <v>0</v>
      </c>
      <c r="G515">
        <f>COUNTIF('Metrics - Articles'!F512,"*P&amp;I (Research &amp; Development)*")</f>
        <v>0</v>
      </c>
      <c r="H515">
        <f>COUNTIF('Metrics - Articles'!F512,"*Business Network (Concur, Ariba, Fieldglass)*")</f>
        <v>0</v>
      </c>
      <c r="I515">
        <f>COUNTIF('Metrics - Articles'!F512,"*GCO – Regions*")</f>
        <v>0</v>
      </c>
      <c r="J515">
        <f>COUNTIF('Metrics - Articles'!F512,"*GCO – Platform Solutions*")</f>
        <v>0</v>
      </c>
      <c r="K515">
        <f>COUNTIF('Metrics - Articles'!F512,"*GCO – Industry Cloud *")</f>
        <v>0</v>
      </c>
      <c r="L515">
        <f>COUNTIF('Metrics - Articles'!F512,"*GCO – Customer Engagement &amp; Commerce (CRM &amp; hybris) *")</f>
        <v>0</v>
      </c>
      <c r="M515">
        <f>COUNTIF('Metrics - Articles'!F512,"*GCO – HR (SuccessFactors)*")</f>
        <v>0</v>
      </c>
      <c r="N515">
        <f>COUNTIF('Metrics - Articles'!F512,"*GCO – Services Sales*")</f>
        <v>0</v>
      </c>
      <c r="O515">
        <f>COUNTIF('Metrics - Articles'!F512,"*GCO – Other*")</f>
        <v>0</v>
      </c>
      <c r="P515">
        <f>COUNTIF('Metrics - Articles'!F512,"*Corporate*")</f>
        <v>0</v>
      </c>
      <c r="R515" s="53">
        <f t="shared" si="9"/>
        <v>0</v>
      </c>
    </row>
    <row r="516" spans="2:18" hidden="1" x14ac:dyDescent="0.25">
      <c r="B516" s="48">
        <f>+'Metrics - Articles'!C513</f>
        <v>0</v>
      </c>
      <c r="C516">
        <f>COUNTIF('Metrics - Articles'!F513,"*GPO (Partner, Ecosystem, Channels)*")</f>
        <v>0</v>
      </c>
      <c r="D516">
        <f>COUNTIF('Metrics - Articles'!F513,"*Office of the CEO*")</f>
        <v>0</v>
      </c>
      <c r="E516">
        <f>COUNTIF('Metrics - Articles'!F513,"*Services Delivery &amp; Support (go-lives and deployments) *")</f>
        <v>0</v>
      </c>
      <c r="F516">
        <f>COUNTIF('Metrics - Articles'!F513,"*Human Resources (SAP HR and employee stories)*")</f>
        <v>0</v>
      </c>
      <c r="G516">
        <f>COUNTIF('Metrics - Articles'!F513,"*P&amp;I (Research &amp; Development)*")</f>
        <v>0</v>
      </c>
      <c r="H516">
        <f>COUNTIF('Metrics - Articles'!F513,"*Business Network (Concur, Ariba, Fieldglass)*")</f>
        <v>0</v>
      </c>
      <c r="I516">
        <f>COUNTIF('Metrics - Articles'!F513,"*GCO – Regions*")</f>
        <v>0</v>
      </c>
      <c r="J516">
        <f>COUNTIF('Metrics - Articles'!F513,"*GCO – Platform Solutions*")</f>
        <v>0</v>
      </c>
      <c r="K516">
        <f>COUNTIF('Metrics - Articles'!F513,"*GCO – Industry Cloud *")</f>
        <v>0</v>
      </c>
      <c r="L516">
        <f>COUNTIF('Metrics - Articles'!F513,"*GCO – Customer Engagement &amp; Commerce (CRM &amp; hybris) *")</f>
        <v>0</v>
      </c>
      <c r="M516">
        <f>COUNTIF('Metrics - Articles'!F513,"*GCO – HR (SuccessFactors)*")</f>
        <v>0</v>
      </c>
      <c r="N516">
        <f>COUNTIF('Metrics - Articles'!F513,"*GCO – Services Sales*")</f>
        <v>0</v>
      </c>
      <c r="O516">
        <f>COUNTIF('Metrics - Articles'!F513,"*GCO – Other*")</f>
        <v>0</v>
      </c>
      <c r="P516">
        <f>COUNTIF('Metrics - Articles'!F513,"*Corporate*")</f>
        <v>0</v>
      </c>
      <c r="R516" s="53">
        <f t="shared" si="9"/>
        <v>0</v>
      </c>
    </row>
    <row r="517" spans="2:18" hidden="1" x14ac:dyDescent="0.25">
      <c r="B517" s="48">
        <f>+'Metrics - Articles'!C514</f>
        <v>0</v>
      </c>
      <c r="C517">
        <f>COUNTIF('Metrics - Articles'!F514,"*GPO (Partner, Ecosystem, Channels)*")</f>
        <v>0</v>
      </c>
      <c r="D517">
        <f>COUNTIF('Metrics - Articles'!F514,"*Office of the CEO*")</f>
        <v>0</v>
      </c>
      <c r="E517">
        <f>COUNTIF('Metrics - Articles'!F514,"*Services Delivery &amp; Support (go-lives and deployments) *")</f>
        <v>0</v>
      </c>
      <c r="F517">
        <f>COUNTIF('Metrics - Articles'!F514,"*Human Resources (SAP HR and employee stories)*")</f>
        <v>0</v>
      </c>
      <c r="G517">
        <f>COUNTIF('Metrics - Articles'!F514,"*P&amp;I (Research &amp; Development)*")</f>
        <v>0</v>
      </c>
      <c r="H517">
        <f>COUNTIF('Metrics - Articles'!F514,"*Business Network (Concur, Ariba, Fieldglass)*")</f>
        <v>0</v>
      </c>
      <c r="I517">
        <f>COUNTIF('Metrics - Articles'!F514,"*GCO – Regions*")</f>
        <v>0</v>
      </c>
      <c r="J517">
        <f>COUNTIF('Metrics - Articles'!F514,"*GCO – Platform Solutions*")</f>
        <v>0</v>
      </c>
      <c r="K517">
        <f>COUNTIF('Metrics - Articles'!F514,"*GCO – Industry Cloud *")</f>
        <v>0</v>
      </c>
      <c r="L517">
        <f>COUNTIF('Metrics - Articles'!F514,"*GCO – Customer Engagement &amp; Commerce (CRM &amp; hybris) *")</f>
        <v>0</v>
      </c>
      <c r="M517">
        <f>COUNTIF('Metrics - Articles'!F514,"*GCO – HR (SuccessFactors)*")</f>
        <v>0</v>
      </c>
      <c r="N517">
        <f>COUNTIF('Metrics - Articles'!F514,"*GCO – Services Sales*")</f>
        <v>0</v>
      </c>
      <c r="O517">
        <f>COUNTIF('Metrics - Articles'!F514,"*GCO – Other*")</f>
        <v>0</v>
      </c>
      <c r="P517">
        <f>COUNTIF('Metrics - Articles'!F514,"*Corporate*")</f>
        <v>0</v>
      </c>
      <c r="R517" s="53">
        <f t="shared" si="9"/>
        <v>0</v>
      </c>
    </row>
    <row r="518" spans="2:18" hidden="1" x14ac:dyDescent="0.25">
      <c r="B518" s="48">
        <f>+'Metrics - Articles'!C515</f>
        <v>0</v>
      </c>
      <c r="C518">
        <f>COUNTIF('Metrics - Articles'!F515,"*GPO (Partner, Ecosystem, Channels)*")</f>
        <v>0</v>
      </c>
      <c r="D518">
        <f>COUNTIF('Metrics - Articles'!F515,"*Office of the CEO*")</f>
        <v>0</v>
      </c>
      <c r="E518">
        <f>COUNTIF('Metrics - Articles'!F515,"*Services Delivery &amp; Support (go-lives and deployments) *")</f>
        <v>0</v>
      </c>
      <c r="F518">
        <f>COUNTIF('Metrics - Articles'!F515,"*Human Resources (SAP HR and employee stories)*")</f>
        <v>0</v>
      </c>
      <c r="G518">
        <f>COUNTIF('Metrics - Articles'!F515,"*P&amp;I (Research &amp; Development)*")</f>
        <v>0</v>
      </c>
      <c r="H518">
        <f>COUNTIF('Metrics - Articles'!F515,"*Business Network (Concur, Ariba, Fieldglass)*")</f>
        <v>0</v>
      </c>
      <c r="I518">
        <f>COUNTIF('Metrics - Articles'!F515,"*GCO – Regions*")</f>
        <v>0</v>
      </c>
      <c r="J518">
        <f>COUNTIF('Metrics - Articles'!F515,"*GCO – Platform Solutions*")</f>
        <v>0</v>
      </c>
      <c r="K518">
        <f>COUNTIF('Metrics - Articles'!F515,"*GCO – Industry Cloud *")</f>
        <v>0</v>
      </c>
      <c r="L518">
        <f>COUNTIF('Metrics - Articles'!F515,"*GCO – Customer Engagement &amp; Commerce (CRM &amp; hybris) *")</f>
        <v>0</v>
      </c>
      <c r="M518">
        <f>COUNTIF('Metrics - Articles'!F515,"*GCO – HR (SuccessFactors)*")</f>
        <v>0</v>
      </c>
      <c r="N518">
        <f>COUNTIF('Metrics - Articles'!F515,"*GCO – Services Sales*")</f>
        <v>0</v>
      </c>
      <c r="O518">
        <f>COUNTIF('Metrics - Articles'!F515,"*GCO – Other*")</f>
        <v>0</v>
      </c>
      <c r="P518">
        <f>COUNTIF('Metrics - Articles'!F515,"*Corporate*")</f>
        <v>0</v>
      </c>
      <c r="R518" s="53">
        <f t="shared" si="9"/>
        <v>0</v>
      </c>
    </row>
    <row r="519" spans="2:18" hidden="1" x14ac:dyDescent="0.25">
      <c r="B519" s="48">
        <f>+'Metrics - Articles'!C516</f>
        <v>0</v>
      </c>
      <c r="C519">
        <f>COUNTIF('Metrics - Articles'!F516,"*GPO (Partner, Ecosystem, Channels)*")</f>
        <v>0</v>
      </c>
      <c r="D519">
        <f>COUNTIF('Metrics - Articles'!F516,"*Office of the CEO*")</f>
        <v>0</v>
      </c>
      <c r="E519">
        <f>COUNTIF('Metrics - Articles'!F516,"*Services Delivery &amp; Support (go-lives and deployments) *")</f>
        <v>0</v>
      </c>
      <c r="F519">
        <f>COUNTIF('Metrics - Articles'!F516,"*Human Resources (SAP HR and employee stories)*")</f>
        <v>0</v>
      </c>
      <c r="G519">
        <f>COUNTIF('Metrics - Articles'!F516,"*P&amp;I (Research &amp; Development)*")</f>
        <v>0</v>
      </c>
      <c r="H519">
        <f>COUNTIF('Metrics - Articles'!F516,"*Business Network (Concur, Ariba, Fieldglass)*")</f>
        <v>0</v>
      </c>
      <c r="I519">
        <f>COUNTIF('Metrics - Articles'!F516,"*GCO – Regions*")</f>
        <v>0</v>
      </c>
      <c r="J519">
        <f>COUNTIF('Metrics - Articles'!F516,"*GCO – Platform Solutions*")</f>
        <v>0</v>
      </c>
      <c r="K519">
        <f>COUNTIF('Metrics - Articles'!F516,"*GCO – Industry Cloud *")</f>
        <v>0</v>
      </c>
      <c r="L519">
        <f>COUNTIF('Metrics - Articles'!F516,"*GCO – Customer Engagement &amp; Commerce (CRM &amp; hybris) *")</f>
        <v>0</v>
      </c>
      <c r="M519">
        <f>COUNTIF('Metrics - Articles'!F516,"*GCO – HR (SuccessFactors)*")</f>
        <v>0</v>
      </c>
      <c r="N519">
        <f>COUNTIF('Metrics - Articles'!F516,"*GCO – Services Sales*")</f>
        <v>0</v>
      </c>
      <c r="O519">
        <f>COUNTIF('Metrics - Articles'!F516,"*GCO – Other*")</f>
        <v>0</v>
      </c>
      <c r="P519">
        <f>COUNTIF('Metrics - Articles'!F516,"*Corporate*")</f>
        <v>0</v>
      </c>
      <c r="R519" s="53">
        <f t="shared" si="9"/>
        <v>0</v>
      </c>
    </row>
    <row r="520" spans="2:18" hidden="1" x14ac:dyDescent="0.25">
      <c r="B520" s="48">
        <f>+'Metrics - Articles'!C517</f>
        <v>0</v>
      </c>
      <c r="C520">
        <f>COUNTIF('Metrics - Articles'!F517,"*GPO (Partner, Ecosystem, Channels)*")</f>
        <v>0</v>
      </c>
      <c r="D520">
        <f>COUNTIF('Metrics - Articles'!F517,"*Office of the CEO*")</f>
        <v>0</v>
      </c>
      <c r="E520">
        <f>COUNTIF('Metrics - Articles'!F517,"*Services Delivery &amp; Support (go-lives and deployments) *")</f>
        <v>0</v>
      </c>
      <c r="F520">
        <f>COUNTIF('Metrics - Articles'!F517,"*Human Resources (SAP HR and employee stories)*")</f>
        <v>0</v>
      </c>
      <c r="G520">
        <f>COUNTIF('Metrics - Articles'!F517,"*P&amp;I (Research &amp; Development)*")</f>
        <v>0</v>
      </c>
      <c r="H520">
        <f>COUNTIF('Metrics - Articles'!F517,"*Business Network (Concur, Ariba, Fieldglass)*")</f>
        <v>0</v>
      </c>
      <c r="I520">
        <f>COUNTIF('Metrics - Articles'!F517,"*GCO – Regions*")</f>
        <v>0</v>
      </c>
      <c r="J520">
        <f>COUNTIF('Metrics - Articles'!F517,"*GCO – Platform Solutions*")</f>
        <v>0</v>
      </c>
      <c r="K520">
        <f>COUNTIF('Metrics - Articles'!F517,"*GCO – Industry Cloud *")</f>
        <v>0</v>
      </c>
      <c r="L520">
        <f>COUNTIF('Metrics - Articles'!F517,"*GCO – Customer Engagement &amp; Commerce (CRM &amp; hybris) *")</f>
        <v>0</v>
      </c>
      <c r="M520">
        <f>COUNTIF('Metrics - Articles'!F517,"*GCO – HR (SuccessFactors)*")</f>
        <v>0</v>
      </c>
      <c r="N520">
        <f>COUNTIF('Metrics - Articles'!F517,"*GCO – Services Sales*")</f>
        <v>0</v>
      </c>
      <c r="O520">
        <f>COUNTIF('Metrics - Articles'!F517,"*GCO – Other*")</f>
        <v>0</v>
      </c>
      <c r="P520">
        <f>COUNTIF('Metrics - Articles'!F517,"*Corporate*")</f>
        <v>0</v>
      </c>
      <c r="R520" s="53">
        <f t="shared" si="9"/>
        <v>0</v>
      </c>
    </row>
    <row r="521" spans="2:18" hidden="1" x14ac:dyDescent="0.25">
      <c r="B521" s="48">
        <f>+'Metrics - Articles'!C518</f>
        <v>0</v>
      </c>
      <c r="C521">
        <f>COUNTIF('Metrics - Articles'!F518,"*GPO (Partner, Ecosystem, Channels)*")</f>
        <v>0</v>
      </c>
      <c r="D521">
        <f>COUNTIF('Metrics - Articles'!F518,"*Office of the CEO*")</f>
        <v>0</v>
      </c>
      <c r="E521">
        <f>COUNTIF('Metrics - Articles'!F518,"*Services Delivery &amp; Support (go-lives and deployments) *")</f>
        <v>0</v>
      </c>
      <c r="F521">
        <f>COUNTIF('Metrics - Articles'!F518,"*Human Resources (SAP HR and employee stories)*")</f>
        <v>0</v>
      </c>
      <c r="G521">
        <f>COUNTIF('Metrics - Articles'!F518,"*P&amp;I (Research &amp; Development)*")</f>
        <v>0</v>
      </c>
      <c r="H521">
        <f>COUNTIF('Metrics - Articles'!F518,"*Business Network (Concur, Ariba, Fieldglass)*")</f>
        <v>0</v>
      </c>
      <c r="I521">
        <f>COUNTIF('Metrics - Articles'!F518,"*GCO – Regions*")</f>
        <v>0</v>
      </c>
      <c r="J521">
        <f>COUNTIF('Metrics - Articles'!F518,"*GCO – Platform Solutions*")</f>
        <v>0</v>
      </c>
      <c r="K521">
        <f>COUNTIF('Metrics - Articles'!F518,"*GCO – Industry Cloud *")</f>
        <v>0</v>
      </c>
      <c r="L521">
        <f>COUNTIF('Metrics - Articles'!F518,"*GCO – Customer Engagement &amp; Commerce (CRM &amp; hybris) *")</f>
        <v>0</v>
      </c>
      <c r="M521">
        <f>COUNTIF('Metrics - Articles'!F518,"*GCO – HR (SuccessFactors)*")</f>
        <v>0</v>
      </c>
      <c r="N521">
        <f>COUNTIF('Metrics - Articles'!F518,"*GCO – Services Sales*")</f>
        <v>0</v>
      </c>
      <c r="O521">
        <f>COUNTIF('Metrics - Articles'!F518,"*GCO – Other*")</f>
        <v>0</v>
      </c>
      <c r="P521">
        <f>COUNTIF('Metrics - Articles'!F518,"*Corporate*")</f>
        <v>0</v>
      </c>
      <c r="R521" s="53">
        <f t="shared" si="9"/>
        <v>0</v>
      </c>
    </row>
    <row r="522" spans="2:18" hidden="1" x14ac:dyDescent="0.25">
      <c r="B522" s="48">
        <f>+'Metrics - Articles'!C519</f>
        <v>0</v>
      </c>
      <c r="C522">
        <f>COUNTIF('Metrics - Articles'!F519,"*GPO (Partner, Ecosystem, Channels)*")</f>
        <v>0</v>
      </c>
      <c r="D522">
        <f>COUNTIF('Metrics - Articles'!F519,"*Office of the CEO*")</f>
        <v>0</v>
      </c>
      <c r="E522">
        <f>COUNTIF('Metrics - Articles'!F519,"*Services Delivery &amp; Support (go-lives and deployments) *")</f>
        <v>0</v>
      </c>
      <c r="F522">
        <f>COUNTIF('Metrics - Articles'!F519,"*Human Resources (SAP HR and employee stories)*")</f>
        <v>0</v>
      </c>
      <c r="G522">
        <f>COUNTIF('Metrics - Articles'!F519,"*P&amp;I (Research &amp; Development)*")</f>
        <v>0</v>
      </c>
      <c r="H522">
        <f>COUNTIF('Metrics - Articles'!F519,"*Business Network (Concur, Ariba, Fieldglass)*")</f>
        <v>0</v>
      </c>
      <c r="I522">
        <f>COUNTIF('Metrics - Articles'!F519,"*GCO – Regions*")</f>
        <v>0</v>
      </c>
      <c r="J522">
        <f>COUNTIF('Metrics - Articles'!F519,"*GCO – Platform Solutions*")</f>
        <v>0</v>
      </c>
      <c r="K522">
        <f>COUNTIF('Metrics - Articles'!F519,"*GCO – Industry Cloud *")</f>
        <v>0</v>
      </c>
      <c r="L522">
        <f>COUNTIF('Metrics - Articles'!F519,"*GCO – Customer Engagement &amp; Commerce (CRM &amp; hybris) *")</f>
        <v>0</v>
      </c>
      <c r="M522">
        <f>COUNTIF('Metrics - Articles'!F519,"*GCO – HR (SuccessFactors)*")</f>
        <v>0</v>
      </c>
      <c r="N522">
        <f>COUNTIF('Metrics - Articles'!F519,"*GCO – Services Sales*")</f>
        <v>0</v>
      </c>
      <c r="O522">
        <f>COUNTIF('Metrics - Articles'!F519,"*GCO – Other*")</f>
        <v>0</v>
      </c>
      <c r="P522">
        <f>COUNTIF('Metrics - Articles'!F519,"*Corporate*")</f>
        <v>0</v>
      </c>
      <c r="R522" s="53">
        <f t="shared" ref="R522:R585" si="10">SUM(C522:Q522)</f>
        <v>0</v>
      </c>
    </row>
    <row r="523" spans="2:18" hidden="1" x14ac:dyDescent="0.25">
      <c r="B523" s="48">
        <f>+'Metrics - Articles'!C520</f>
        <v>0</v>
      </c>
      <c r="C523">
        <f>COUNTIF('Metrics - Articles'!F520,"*GPO (Partner, Ecosystem, Channels)*")</f>
        <v>0</v>
      </c>
      <c r="D523">
        <f>COUNTIF('Metrics - Articles'!F520,"*Office of the CEO*")</f>
        <v>0</v>
      </c>
      <c r="E523">
        <f>COUNTIF('Metrics - Articles'!F520,"*Services Delivery &amp; Support (go-lives and deployments) *")</f>
        <v>0</v>
      </c>
      <c r="F523">
        <f>COUNTIF('Metrics - Articles'!F520,"*Human Resources (SAP HR and employee stories)*")</f>
        <v>0</v>
      </c>
      <c r="G523">
        <f>COUNTIF('Metrics - Articles'!F520,"*P&amp;I (Research &amp; Development)*")</f>
        <v>0</v>
      </c>
      <c r="H523">
        <f>COUNTIF('Metrics - Articles'!F520,"*Business Network (Concur, Ariba, Fieldglass)*")</f>
        <v>0</v>
      </c>
      <c r="I523">
        <f>COUNTIF('Metrics - Articles'!F520,"*GCO – Regions*")</f>
        <v>0</v>
      </c>
      <c r="J523">
        <f>COUNTIF('Metrics - Articles'!F520,"*GCO – Platform Solutions*")</f>
        <v>0</v>
      </c>
      <c r="K523">
        <f>COUNTIF('Metrics - Articles'!F520,"*GCO – Industry Cloud *")</f>
        <v>0</v>
      </c>
      <c r="L523">
        <f>COUNTIF('Metrics - Articles'!F520,"*GCO – Customer Engagement &amp; Commerce (CRM &amp; hybris) *")</f>
        <v>0</v>
      </c>
      <c r="M523">
        <f>COUNTIF('Metrics - Articles'!F520,"*GCO – HR (SuccessFactors)*")</f>
        <v>0</v>
      </c>
      <c r="N523">
        <f>COUNTIF('Metrics - Articles'!F520,"*GCO – Services Sales*")</f>
        <v>0</v>
      </c>
      <c r="O523">
        <f>COUNTIF('Metrics - Articles'!F520,"*GCO – Other*")</f>
        <v>0</v>
      </c>
      <c r="P523">
        <f>COUNTIF('Metrics - Articles'!F520,"*Corporate*")</f>
        <v>0</v>
      </c>
      <c r="R523" s="53">
        <f t="shared" si="10"/>
        <v>0</v>
      </c>
    </row>
    <row r="524" spans="2:18" hidden="1" x14ac:dyDescent="0.25">
      <c r="B524" s="48">
        <f>+'Metrics - Articles'!C521</f>
        <v>0</v>
      </c>
      <c r="C524">
        <f>COUNTIF('Metrics - Articles'!F521,"*GPO (Partner, Ecosystem, Channels)*")</f>
        <v>0</v>
      </c>
      <c r="D524">
        <f>COUNTIF('Metrics - Articles'!F521,"*Office of the CEO*")</f>
        <v>0</v>
      </c>
      <c r="E524">
        <f>COUNTIF('Metrics - Articles'!F521,"*Services Delivery &amp; Support (go-lives and deployments) *")</f>
        <v>0</v>
      </c>
      <c r="F524">
        <f>COUNTIF('Metrics - Articles'!F521,"*Human Resources (SAP HR and employee stories)*")</f>
        <v>0</v>
      </c>
      <c r="G524">
        <f>COUNTIF('Metrics - Articles'!F521,"*P&amp;I (Research &amp; Development)*")</f>
        <v>0</v>
      </c>
      <c r="H524">
        <f>COUNTIF('Metrics - Articles'!F521,"*Business Network (Concur, Ariba, Fieldglass)*")</f>
        <v>0</v>
      </c>
      <c r="I524">
        <f>COUNTIF('Metrics - Articles'!F521,"*GCO – Regions*")</f>
        <v>0</v>
      </c>
      <c r="J524">
        <f>COUNTIF('Metrics - Articles'!F521,"*GCO – Platform Solutions*")</f>
        <v>0</v>
      </c>
      <c r="K524">
        <f>COUNTIF('Metrics - Articles'!F521,"*GCO – Industry Cloud *")</f>
        <v>0</v>
      </c>
      <c r="L524">
        <f>COUNTIF('Metrics - Articles'!F521,"*GCO – Customer Engagement &amp; Commerce (CRM &amp; hybris) *")</f>
        <v>0</v>
      </c>
      <c r="M524">
        <f>COUNTIF('Metrics - Articles'!F521,"*GCO – HR (SuccessFactors)*")</f>
        <v>0</v>
      </c>
      <c r="N524">
        <f>COUNTIF('Metrics - Articles'!F521,"*GCO – Services Sales*")</f>
        <v>0</v>
      </c>
      <c r="O524">
        <f>COUNTIF('Metrics - Articles'!F521,"*GCO – Other*")</f>
        <v>0</v>
      </c>
      <c r="P524">
        <f>COUNTIF('Metrics - Articles'!F521,"*Corporate*")</f>
        <v>0</v>
      </c>
      <c r="R524" s="53">
        <f t="shared" si="10"/>
        <v>0</v>
      </c>
    </row>
    <row r="525" spans="2:18" hidden="1" x14ac:dyDescent="0.25">
      <c r="B525" s="48">
        <f>+'Metrics - Articles'!C522</f>
        <v>0</v>
      </c>
      <c r="C525">
        <f>COUNTIF('Metrics - Articles'!F522,"*GPO (Partner, Ecosystem, Channels)*")</f>
        <v>0</v>
      </c>
      <c r="D525">
        <f>COUNTIF('Metrics - Articles'!F522,"*Office of the CEO*")</f>
        <v>0</v>
      </c>
      <c r="E525">
        <f>COUNTIF('Metrics - Articles'!F522,"*Services Delivery &amp; Support (go-lives and deployments) *")</f>
        <v>0</v>
      </c>
      <c r="F525">
        <f>COUNTIF('Metrics - Articles'!F522,"*Human Resources (SAP HR and employee stories)*")</f>
        <v>0</v>
      </c>
      <c r="G525">
        <f>COUNTIF('Metrics - Articles'!F522,"*P&amp;I (Research &amp; Development)*")</f>
        <v>0</v>
      </c>
      <c r="H525">
        <f>COUNTIF('Metrics - Articles'!F522,"*Business Network (Concur, Ariba, Fieldglass)*")</f>
        <v>0</v>
      </c>
      <c r="I525">
        <f>COUNTIF('Metrics - Articles'!F522,"*GCO – Regions*")</f>
        <v>0</v>
      </c>
      <c r="J525">
        <f>COUNTIF('Metrics - Articles'!F522,"*GCO – Platform Solutions*")</f>
        <v>0</v>
      </c>
      <c r="K525">
        <f>COUNTIF('Metrics - Articles'!F522,"*GCO – Industry Cloud *")</f>
        <v>0</v>
      </c>
      <c r="L525">
        <f>COUNTIF('Metrics - Articles'!F522,"*GCO – Customer Engagement &amp; Commerce (CRM &amp; hybris) *")</f>
        <v>0</v>
      </c>
      <c r="M525">
        <f>COUNTIF('Metrics - Articles'!F522,"*GCO – HR (SuccessFactors)*")</f>
        <v>0</v>
      </c>
      <c r="N525">
        <f>COUNTIF('Metrics - Articles'!F522,"*GCO – Services Sales*")</f>
        <v>0</v>
      </c>
      <c r="O525">
        <f>COUNTIF('Metrics - Articles'!F522,"*GCO – Other*")</f>
        <v>0</v>
      </c>
      <c r="P525">
        <f>COUNTIF('Metrics - Articles'!F522,"*Corporate*")</f>
        <v>0</v>
      </c>
      <c r="R525" s="53">
        <f t="shared" si="10"/>
        <v>0</v>
      </c>
    </row>
    <row r="526" spans="2:18" hidden="1" x14ac:dyDescent="0.25">
      <c r="B526" s="48">
        <f>+'Metrics - Articles'!C523</f>
        <v>0</v>
      </c>
      <c r="C526">
        <f>COUNTIF('Metrics - Articles'!F523,"*GPO (Partner, Ecosystem, Channels)*")</f>
        <v>0</v>
      </c>
      <c r="D526">
        <f>COUNTIF('Metrics - Articles'!F523,"*Office of the CEO*")</f>
        <v>0</v>
      </c>
      <c r="E526">
        <f>COUNTIF('Metrics - Articles'!F523,"*Services Delivery &amp; Support (go-lives and deployments) *")</f>
        <v>0</v>
      </c>
      <c r="F526">
        <f>COUNTIF('Metrics - Articles'!F523,"*Human Resources (SAP HR and employee stories)*")</f>
        <v>0</v>
      </c>
      <c r="G526">
        <f>COUNTIF('Metrics - Articles'!F523,"*P&amp;I (Research &amp; Development)*")</f>
        <v>0</v>
      </c>
      <c r="H526">
        <f>COUNTIF('Metrics - Articles'!F523,"*Business Network (Concur, Ariba, Fieldglass)*")</f>
        <v>0</v>
      </c>
      <c r="I526">
        <f>COUNTIF('Metrics - Articles'!F523,"*GCO – Regions*")</f>
        <v>0</v>
      </c>
      <c r="J526">
        <f>COUNTIF('Metrics - Articles'!F523,"*GCO – Platform Solutions*")</f>
        <v>0</v>
      </c>
      <c r="K526">
        <f>COUNTIF('Metrics - Articles'!F523,"*GCO – Industry Cloud *")</f>
        <v>0</v>
      </c>
      <c r="L526">
        <f>COUNTIF('Metrics - Articles'!F523,"*GCO – Customer Engagement &amp; Commerce (CRM &amp; hybris) *")</f>
        <v>0</v>
      </c>
      <c r="M526">
        <f>COUNTIF('Metrics - Articles'!F523,"*GCO – HR (SuccessFactors)*")</f>
        <v>0</v>
      </c>
      <c r="N526">
        <f>COUNTIF('Metrics - Articles'!F523,"*GCO – Services Sales*")</f>
        <v>0</v>
      </c>
      <c r="O526">
        <f>COUNTIF('Metrics - Articles'!F523,"*GCO – Other*")</f>
        <v>0</v>
      </c>
      <c r="P526">
        <f>COUNTIF('Metrics - Articles'!F523,"*Corporate*")</f>
        <v>0</v>
      </c>
      <c r="R526" s="53">
        <f t="shared" si="10"/>
        <v>0</v>
      </c>
    </row>
    <row r="527" spans="2:18" hidden="1" x14ac:dyDescent="0.25">
      <c r="B527" s="48">
        <f>+'Metrics - Articles'!C524</f>
        <v>0</v>
      </c>
      <c r="C527">
        <f>COUNTIF('Metrics - Articles'!F524,"*GPO (Partner, Ecosystem, Channels)*")</f>
        <v>0</v>
      </c>
      <c r="D527">
        <f>COUNTIF('Metrics - Articles'!F524,"*Office of the CEO*")</f>
        <v>0</v>
      </c>
      <c r="E527">
        <f>COUNTIF('Metrics - Articles'!F524,"*Services Delivery &amp; Support (go-lives and deployments) *")</f>
        <v>0</v>
      </c>
      <c r="F527">
        <f>COUNTIF('Metrics - Articles'!F524,"*Human Resources (SAP HR and employee stories)*")</f>
        <v>0</v>
      </c>
      <c r="G527">
        <f>COUNTIF('Metrics - Articles'!F524,"*P&amp;I (Research &amp; Development)*")</f>
        <v>0</v>
      </c>
      <c r="H527">
        <f>COUNTIF('Metrics - Articles'!F524,"*Business Network (Concur, Ariba, Fieldglass)*")</f>
        <v>0</v>
      </c>
      <c r="I527">
        <f>COUNTIF('Metrics - Articles'!F524,"*GCO – Regions*")</f>
        <v>0</v>
      </c>
      <c r="J527">
        <f>COUNTIF('Metrics - Articles'!F524,"*GCO – Platform Solutions*")</f>
        <v>0</v>
      </c>
      <c r="K527">
        <f>COUNTIF('Metrics - Articles'!F524,"*GCO – Industry Cloud *")</f>
        <v>0</v>
      </c>
      <c r="L527">
        <f>COUNTIF('Metrics - Articles'!F524,"*GCO – Customer Engagement &amp; Commerce (CRM &amp; hybris) *")</f>
        <v>0</v>
      </c>
      <c r="M527">
        <f>COUNTIF('Metrics - Articles'!F524,"*GCO – HR (SuccessFactors)*")</f>
        <v>0</v>
      </c>
      <c r="N527">
        <f>COUNTIF('Metrics - Articles'!F524,"*GCO – Services Sales*")</f>
        <v>0</v>
      </c>
      <c r="O527">
        <f>COUNTIF('Metrics - Articles'!F524,"*GCO – Other*")</f>
        <v>0</v>
      </c>
      <c r="P527">
        <f>COUNTIF('Metrics - Articles'!F524,"*Corporate*")</f>
        <v>0</v>
      </c>
      <c r="R527" s="53">
        <f t="shared" si="10"/>
        <v>0</v>
      </c>
    </row>
    <row r="528" spans="2:18" hidden="1" x14ac:dyDescent="0.25">
      <c r="B528" s="48">
        <f>+'Metrics - Articles'!C525</f>
        <v>0</v>
      </c>
      <c r="C528">
        <f>COUNTIF('Metrics - Articles'!F525,"*GPO (Partner, Ecosystem, Channels)*")</f>
        <v>0</v>
      </c>
      <c r="D528">
        <f>COUNTIF('Metrics - Articles'!F525,"*Office of the CEO*")</f>
        <v>0</v>
      </c>
      <c r="E528">
        <f>COUNTIF('Metrics - Articles'!F525,"*Services Delivery &amp; Support (go-lives and deployments) *")</f>
        <v>0</v>
      </c>
      <c r="F528">
        <f>COUNTIF('Metrics - Articles'!F525,"*Human Resources (SAP HR and employee stories)*")</f>
        <v>0</v>
      </c>
      <c r="G528">
        <f>COUNTIF('Metrics - Articles'!F525,"*P&amp;I (Research &amp; Development)*")</f>
        <v>0</v>
      </c>
      <c r="H528">
        <f>COUNTIF('Metrics - Articles'!F525,"*Business Network (Concur, Ariba, Fieldglass)*")</f>
        <v>0</v>
      </c>
      <c r="I528">
        <f>COUNTIF('Metrics - Articles'!F525,"*GCO – Regions*")</f>
        <v>0</v>
      </c>
      <c r="J528">
        <f>COUNTIF('Metrics - Articles'!F525,"*GCO – Platform Solutions*")</f>
        <v>0</v>
      </c>
      <c r="K528">
        <f>COUNTIF('Metrics - Articles'!F525,"*GCO – Industry Cloud *")</f>
        <v>0</v>
      </c>
      <c r="L528">
        <f>COUNTIF('Metrics - Articles'!F525,"*GCO – Customer Engagement &amp; Commerce (CRM &amp; hybris) *")</f>
        <v>0</v>
      </c>
      <c r="M528">
        <f>COUNTIF('Metrics - Articles'!F525,"*GCO – HR (SuccessFactors)*")</f>
        <v>0</v>
      </c>
      <c r="N528">
        <f>COUNTIF('Metrics - Articles'!F525,"*GCO – Services Sales*")</f>
        <v>0</v>
      </c>
      <c r="O528">
        <f>COUNTIF('Metrics - Articles'!F525,"*GCO – Other*")</f>
        <v>0</v>
      </c>
      <c r="P528">
        <f>COUNTIF('Metrics - Articles'!F525,"*Corporate*")</f>
        <v>0</v>
      </c>
      <c r="R528" s="53">
        <f t="shared" si="10"/>
        <v>0</v>
      </c>
    </row>
    <row r="529" spans="2:18" hidden="1" x14ac:dyDescent="0.25">
      <c r="B529" s="48">
        <f>+'Metrics - Articles'!C526</f>
        <v>0</v>
      </c>
      <c r="C529">
        <f>COUNTIF('Metrics - Articles'!F526,"*GPO (Partner, Ecosystem, Channels)*")</f>
        <v>0</v>
      </c>
      <c r="D529">
        <f>COUNTIF('Metrics - Articles'!F526,"*Office of the CEO*")</f>
        <v>0</v>
      </c>
      <c r="E529">
        <f>COUNTIF('Metrics - Articles'!F526,"*Services Delivery &amp; Support (go-lives and deployments) *")</f>
        <v>0</v>
      </c>
      <c r="F529">
        <f>COUNTIF('Metrics - Articles'!F526,"*Human Resources (SAP HR and employee stories)*")</f>
        <v>0</v>
      </c>
      <c r="G529">
        <f>COUNTIF('Metrics - Articles'!F526,"*P&amp;I (Research &amp; Development)*")</f>
        <v>0</v>
      </c>
      <c r="H529">
        <f>COUNTIF('Metrics - Articles'!F526,"*Business Network (Concur, Ariba, Fieldglass)*")</f>
        <v>0</v>
      </c>
      <c r="I529">
        <f>COUNTIF('Metrics - Articles'!F526,"*GCO – Regions*")</f>
        <v>0</v>
      </c>
      <c r="J529">
        <f>COUNTIF('Metrics - Articles'!F526,"*GCO – Platform Solutions*")</f>
        <v>0</v>
      </c>
      <c r="K529">
        <f>COUNTIF('Metrics - Articles'!F526,"*GCO – Industry Cloud *")</f>
        <v>0</v>
      </c>
      <c r="L529">
        <f>COUNTIF('Metrics - Articles'!F526,"*GCO – Customer Engagement &amp; Commerce (CRM &amp; hybris) *")</f>
        <v>0</v>
      </c>
      <c r="M529">
        <f>COUNTIF('Metrics - Articles'!F526,"*GCO – HR (SuccessFactors)*")</f>
        <v>0</v>
      </c>
      <c r="N529">
        <f>COUNTIF('Metrics - Articles'!F526,"*GCO – Services Sales*")</f>
        <v>0</v>
      </c>
      <c r="O529">
        <f>COUNTIF('Metrics - Articles'!F526,"*GCO – Other*")</f>
        <v>0</v>
      </c>
      <c r="P529">
        <f>COUNTIF('Metrics - Articles'!F526,"*Corporate*")</f>
        <v>0</v>
      </c>
      <c r="R529" s="53">
        <f t="shared" si="10"/>
        <v>0</v>
      </c>
    </row>
    <row r="530" spans="2:18" hidden="1" x14ac:dyDescent="0.25">
      <c r="B530" s="48">
        <f>+'Metrics - Articles'!C527</f>
        <v>0</v>
      </c>
      <c r="C530">
        <f>COUNTIF('Metrics - Articles'!F527,"*GPO (Partner, Ecosystem, Channels)*")</f>
        <v>0</v>
      </c>
      <c r="D530">
        <f>COUNTIF('Metrics - Articles'!F527,"*Office of the CEO*")</f>
        <v>0</v>
      </c>
      <c r="E530">
        <f>COUNTIF('Metrics - Articles'!F527,"*Services Delivery &amp; Support (go-lives and deployments) *")</f>
        <v>0</v>
      </c>
      <c r="F530">
        <f>COUNTIF('Metrics - Articles'!F527,"*Human Resources (SAP HR and employee stories)*")</f>
        <v>0</v>
      </c>
      <c r="G530">
        <f>COUNTIF('Metrics - Articles'!F527,"*P&amp;I (Research &amp; Development)*")</f>
        <v>0</v>
      </c>
      <c r="H530">
        <f>COUNTIF('Metrics - Articles'!F527,"*Business Network (Concur, Ariba, Fieldglass)*")</f>
        <v>0</v>
      </c>
      <c r="I530">
        <f>COUNTIF('Metrics - Articles'!F527,"*GCO – Regions*")</f>
        <v>0</v>
      </c>
      <c r="J530">
        <f>COUNTIF('Metrics - Articles'!F527,"*GCO – Platform Solutions*")</f>
        <v>0</v>
      </c>
      <c r="K530">
        <f>COUNTIF('Metrics - Articles'!F527,"*GCO – Industry Cloud *")</f>
        <v>0</v>
      </c>
      <c r="L530">
        <f>COUNTIF('Metrics - Articles'!F527,"*GCO – Customer Engagement &amp; Commerce (CRM &amp; hybris) *")</f>
        <v>0</v>
      </c>
      <c r="M530">
        <f>COUNTIF('Metrics - Articles'!F527,"*GCO – HR (SuccessFactors)*")</f>
        <v>0</v>
      </c>
      <c r="N530">
        <f>COUNTIF('Metrics - Articles'!F527,"*GCO – Services Sales*")</f>
        <v>0</v>
      </c>
      <c r="O530">
        <f>COUNTIF('Metrics - Articles'!F527,"*GCO – Other*")</f>
        <v>0</v>
      </c>
      <c r="P530">
        <f>COUNTIF('Metrics - Articles'!F527,"*Corporate*")</f>
        <v>0</v>
      </c>
      <c r="R530" s="53">
        <f t="shared" si="10"/>
        <v>0</v>
      </c>
    </row>
    <row r="531" spans="2:18" hidden="1" x14ac:dyDescent="0.25">
      <c r="B531" s="48">
        <f>+'Metrics - Articles'!C528</f>
        <v>0</v>
      </c>
      <c r="C531">
        <f>COUNTIF('Metrics - Articles'!F528,"*GPO (Partner, Ecosystem, Channels)*")</f>
        <v>0</v>
      </c>
      <c r="D531">
        <f>COUNTIF('Metrics - Articles'!F528,"*Office of the CEO*")</f>
        <v>0</v>
      </c>
      <c r="E531">
        <f>COUNTIF('Metrics - Articles'!F528,"*Services Delivery &amp; Support (go-lives and deployments) *")</f>
        <v>0</v>
      </c>
      <c r="F531">
        <f>COUNTIF('Metrics - Articles'!F528,"*Human Resources (SAP HR and employee stories)*")</f>
        <v>0</v>
      </c>
      <c r="G531">
        <f>COUNTIF('Metrics - Articles'!F528,"*P&amp;I (Research &amp; Development)*")</f>
        <v>0</v>
      </c>
      <c r="H531">
        <f>COUNTIF('Metrics - Articles'!F528,"*Business Network (Concur, Ariba, Fieldglass)*")</f>
        <v>0</v>
      </c>
      <c r="I531">
        <f>COUNTIF('Metrics - Articles'!F528,"*GCO – Regions*")</f>
        <v>0</v>
      </c>
      <c r="J531">
        <f>COUNTIF('Metrics - Articles'!F528,"*GCO – Platform Solutions*")</f>
        <v>0</v>
      </c>
      <c r="K531">
        <f>COUNTIF('Metrics - Articles'!F528,"*GCO – Industry Cloud *")</f>
        <v>0</v>
      </c>
      <c r="L531">
        <f>COUNTIF('Metrics - Articles'!F528,"*GCO – Customer Engagement &amp; Commerce (CRM &amp; hybris) *")</f>
        <v>0</v>
      </c>
      <c r="M531">
        <f>COUNTIF('Metrics - Articles'!F528,"*GCO – HR (SuccessFactors)*")</f>
        <v>0</v>
      </c>
      <c r="N531">
        <f>COUNTIF('Metrics - Articles'!F528,"*GCO – Services Sales*")</f>
        <v>0</v>
      </c>
      <c r="O531">
        <f>COUNTIF('Metrics - Articles'!F528,"*GCO – Other*")</f>
        <v>0</v>
      </c>
      <c r="P531">
        <f>COUNTIF('Metrics - Articles'!F528,"*Corporate*")</f>
        <v>0</v>
      </c>
      <c r="R531" s="53">
        <f t="shared" si="10"/>
        <v>0</v>
      </c>
    </row>
    <row r="532" spans="2:18" hidden="1" x14ac:dyDescent="0.25">
      <c r="B532" s="48">
        <f>+'Metrics - Articles'!C529</f>
        <v>0</v>
      </c>
      <c r="C532">
        <f>COUNTIF('Metrics - Articles'!F529,"*GPO (Partner, Ecosystem, Channels)*")</f>
        <v>0</v>
      </c>
      <c r="D532">
        <f>COUNTIF('Metrics - Articles'!F529,"*Office of the CEO*")</f>
        <v>0</v>
      </c>
      <c r="E532">
        <f>COUNTIF('Metrics - Articles'!F529,"*Services Delivery &amp; Support (go-lives and deployments) *")</f>
        <v>0</v>
      </c>
      <c r="F532">
        <f>COUNTIF('Metrics - Articles'!F529,"*Human Resources (SAP HR and employee stories)*")</f>
        <v>0</v>
      </c>
      <c r="G532">
        <f>COUNTIF('Metrics - Articles'!F529,"*P&amp;I (Research &amp; Development)*")</f>
        <v>0</v>
      </c>
      <c r="H532">
        <f>COUNTIF('Metrics - Articles'!F529,"*Business Network (Concur, Ariba, Fieldglass)*")</f>
        <v>0</v>
      </c>
      <c r="I532">
        <f>COUNTIF('Metrics - Articles'!F529,"*GCO – Regions*")</f>
        <v>0</v>
      </c>
      <c r="J532">
        <f>COUNTIF('Metrics - Articles'!F529,"*GCO – Platform Solutions*")</f>
        <v>0</v>
      </c>
      <c r="K532">
        <f>COUNTIF('Metrics - Articles'!F529,"*GCO – Industry Cloud *")</f>
        <v>0</v>
      </c>
      <c r="L532">
        <f>COUNTIF('Metrics - Articles'!F529,"*GCO – Customer Engagement &amp; Commerce (CRM &amp; hybris) *")</f>
        <v>0</v>
      </c>
      <c r="M532">
        <f>COUNTIF('Metrics - Articles'!F529,"*GCO – HR (SuccessFactors)*")</f>
        <v>0</v>
      </c>
      <c r="N532">
        <f>COUNTIF('Metrics - Articles'!F529,"*GCO – Services Sales*")</f>
        <v>0</v>
      </c>
      <c r="O532">
        <f>COUNTIF('Metrics - Articles'!F529,"*GCO – Other*")</f>
        <v>0</v>
      </c>
      <c r="P532">
        <f>COUNTIF('Metrics - Articles'!F529,"*Corporate*")</f>
        <v>0</v>
      </c>
      <c r="R532" s="53">
        <f t="shared" si="10"/>
        <v>0</v>
      </c>
    </row>
    <row r="533" spans="2:18" hidden="1" x14ac:dyDescent="0.25">
      <c r="B533" s="48">
        <f>+'Metrics - Articles'!C530</f>
        <v>0</v>
      </c>
      <c r="C533">
        <f>COUNTIF('Metrics - Articles'!F530,"*GPO (Partner, Ecosystem, Channels)*")</f>
        <v>0</v>
      </c>
      <c r="D533">
        <f>COUNTIF('Metrics - Articles'!F530,"*Office of the CEO*")</f>
        <v>0</v>
      </c>
      <c r="E533">
        <f>COUNTIF('Metrics - Articles'!F530,"*Services Delivery &amp; Support (go-lives and deployments) *")</f>
        <v>0</v>
      </c>
      <c r="F533">
        <f>COUNTIF('Metrics - Articles'!F530,"*Human Resources (SAP HR and employee stories)*")</f>
        <v>0</v>
      </c>
      <c r="G533">
        <f>COUNTIF('Metrics - Articles'!F530,"*P&amp;I (Research &amp; Development)*")</f>
        <v>0</v>
      </c>
      <c r="H533">
        <f>COUNTIF('Metrics - Articles'!F530,"*Business Network (Concur, Ariba, Fieldglass)*")</f>
        <v>0</v>
      </c>
      <c r="I533">
        <f>COUNTIF('Metrics - Articles'!F530,"*GCO – Regions*")</f>
        <v>0</v>
      </c>
      <c r="J533">
        <f>COUNTIF('Metrics - Articles'!F530,"*GCO – Platform Solutions*")</f>
        <v>0</v>
      </c>
      <c r="K533">
        <f>COUNTIF('Metrics - Articles'!F530,"*GCO – Industry Cloud *")</f>
        <v>0</v>
      </c>
      <c r="L533">
        <f>COUNTIF('Metrics - Articles'!F530,"*GCO – Customer Engagement &amp; Commerce (CRM &amp; hybris) *")</f>
        <v>0</v>
      </c>
      <c r="M533">
        <f>COUNTIF('Metrics - Articles'!F530,"*GCO – HR (SuccessFactors)*")</f>
        <v>0</v>
      </c>
      <c r="N533">
        <f>COUNTIF('Metrics - Articles'!F530,"*GCO – Services Sales*")</f>
        <v>0</v>
      </c>
      <c r="O533">
        <f>COUNTIF('Metrics - Articles'!F530,"*GCO – Other*")</f>
        <v>0</v>
      </c>
      <c r="P533">
        <f>COUNTIF('Metrics - Articles'!F530,"*Corporate*")</f>
        <v>0</v>
      </c>
      <c r="R533" s="53">
        <f t="shared" si="10"/>
        <v>0</v>
      </c>
    </row>
    <row r="534" spans="2:18" hidden="1" x14ac:dyDescent="0.25">
      <c r="B534" s="48">
        <f>+'Metrics - Articles'!C531</f>
        <v>0</v>
      </c>
      <c r="C534">
        <f>COUNTIF('Metrics - Articles'!F531,"*GPO (Partner, Ecosystem, Channels)*")</f>
        <v>0</v>
      </c>
      <c r="D534">
        <f>COUNTIF('Metrics - Articles'!F531,"*Office of the CEO*")</f>
        <v>0</v>
      </c>
      <c r="E534">
        <f>COUNTIF('Metrics - Articles'!F531,"*Services Delivery &amp; Support (go-lives and deployments) *")</f>
        <v>0</v>
      </c>
      <c r="F534">
        <f>COUNTIF('Metrics - Articles'!F531,"*Human Resources (SAP HR and employee stories)*")</f>
        <v>0</v>
      </c>
      <c r="G534">
        <f>COUNTIF('Metrics - Articles'!F531,"*P&amp;I (Research &amp; Development)*")</f>
        <v>0</v>
      </c>
      <c r="H534">
        <f>COUNTIF('Metrics - Articles'!F531,"*Business Network (Concur, Ariba, Fieldglass)*")</f>
        <v>0</v>
      </c>
      <c r="I534">
        <f>COUNTIF('Metrics - Articles'!F531,"*GCO – Regions*")</f>
        <v>0</v>
      </c>
      <c r="J534">
        <f>COUNTIF('Metrics - Articles'!F531,"*GCO – Platform Solutions*")</f>
        <v>0</v>
      </c>
      <c r="K534">
        <f>COUNTIF('Metrics - Articles'!F531,"*GCO – Industry Cloud *")</f>
        <v>0</v>
      </c>
      <c r="L534">
        <f>COUNTIF('Metrics - Articles'!F531,"*GCO – Customer Engagement &amp; Commerce (CRM &amp; hybris) *")</f>
        <v>0</v>
      </c>
      <c r="M534">
        <f>COUNTIF('Metrics - Articles'!F531,"*GCO – HR (SuccessFactors)*")</f>
        <v>0</v>
      </c>
      <c r="N534">
        <f>COUNTIF('Metrics - Articles'!F531,"*GCO – Services Sales*")</f>
        <v>0</v>
      </c>
      <c r="O534">
        <f>COUNTIF('Metrics - Articles'!F531,"*GCO – Other*")</f>
        <v>0</v>
      </c>
      <c r="P534">
        <f>COUNTIF('Metrics - Articles'!F531,"*Corporate*")</f>
        <v>0</v>
      </c>
      <c r="R534" s="53">
        <f t="shared" si="10"/>
        <v>0</v>
      </c>
    </row>
    <row r="535" spans="2:18" hidden="1" x14ac:dyDescent="0.25">
      <c r="B535" s="48">
        <f>+'Metrics - Articles'!C532</f>
        <v>0</v>
      </c>
      <c r="C535">
        <f>COUNTIF('Metrics - Articles'!F532,"*GPO (Partner, Ecosystem, Channels)*")</f>
        <v>0</v>
      </c>
      <c r="D535">
        <f>COUNTIF('Metrics - Articles'!F532,"*Office of the CEO*")</f>
        <v>0</v>
      </c>
      <c r="E535">
        <f>COUNTIF('Metrics - Articles'!F532,"*Services Delivery &amp; Support (go-lives and deployments) *")</f>
        <v>0</v>
      </c>
      <c r="F535">
        <f>COUNTIF('Metrics - Articles'!F532,"*Human Resources (SAP HR and employee stories)*")</f>
        <v>0</v>
      </c>
      <c r="G535">
        <f>COUNTIF('Metrics - Articles'!F532,"*P&amp;I (Research &amp; Development)*")</f>
        <v>0</v>
      </c>
      <c r="H535">
        <f>COUNTIF('Metrics - Articles'!F532,"*Business Network (Concur, Ariba, Fieldglass)*")</f>
        <v>0</v>
      </c>
      <c r="I535">
        <f>COUNTIF('Metrics - Articles'!F532,"*GCO – Regions*")</f>
        <v>0</v>
      </c>
      <c r="J535">
        <f>COUNTIF('Metrics - Articles'!F532,"*GCO – Platform Solutions*")</f>
        <v>0</v>
      </c>
      <c r="K535">
        <f>COUNTIF('Metrics - Articles'!F532,"*GCO – Industry Cloud *")</f>
        <v>0</v>
      </c>
      <c r="L535">
        <f>COUNTIF('Metrics - Articles'!F532,"*GCO – Customer Engagement &amp; Commerce (CRM &amp; hybris) *")</f>
        <v>0</v>
      </c>
      <c r="M535">
        <f>COUNTIF('Metrics - Articles'!F532,"*GCO – HR (SuccessFactors)*")</f>
        <v>0</v>
      </c>
      <c r="N535">
        <f>COUNTIF('Metrics - Articles'!F532,"*GCO – Services Sales*")</f>
        <v>0</v>
      </c>
      <c r="O535">
        <f>COUNTIF('Metrics - Articles'!F532,"*GCO – Other*")</f>
        <v>0</v>
      </c>
      <c r="P535">
        <f>COUNTIF('Metrics - Articles'!F532,"*Corporate*")</f>
        <v>0</v>
      </c>
      <c r="R535" s="53">
        <f t="shared" si="10"/>
        <v>0</v>
      </c>
    </row>
    <row r="536" spans="2:18" hidden="1" x14ac:dyDescent="0.25">
      <c r="B536" s="48">
        <f>+'Metrics - Articles'!C533</f>
        <v>0</v>
      </c>
      <c r="C536">
        <f>COUNTIF('Metrics - Articles'!F533,"*GPO (Partner, Ecosystem, Channels)*")</f>
        <v>0</v>
      </c>
      <c r="D536">
        <f>COUNTIF('Metrics - Articles'!F533,"*Office of the CEO*")</f>
        <v>0</v>
      </c>
      <c r="E536">
        <f>COUNTIF('Metrics - Articles'!F533,"*Services Delivery &amp; Support (go-lives and deployments) *")</f>
        <v>0</v>
      </c>
      <c r="F536">
        <f>COUNTIF('Metrics - Articles'!F533,"*Human Resources (SAP HR and employee stories)*")</f>
        <v>0</v>
      </c>
      <c r="G536">
        <f>COUNTIF('Metrics - Articles'!F533,"*P&amp;I (Research &amp; Development)*")</f>
        <v>0</v>
      </c>
      <c r="H536">
        <f>COUNTIF('Metrics - Articles'!F533,"*Business Network (Concur, Ariba, Fieldglass)*")</f>
        <v>0</v>
      </c>
      <c r="I536">
        <f>COUNTIF('Metrics - Articles'!F533,"*GCO – Regions*")</f>
        <v>0</v>
      </c>
      <c r="J536">
        <f>COUNTIF('Metrics - Articles'!F533,"*GCO – Platform Solutions*")</f>
        <v>0</v>
      </c>
      <c r="K536">
        <f>COUNTIF('Metrics - Articles'!F533,"*GCO – Industry Cloud *")</f>
        <v>0</v>
      </c>
      <c r="L536">
        <f>COUNTIF('Metrics - Articles'!F533,"*GCO – Customer Engagement &amp; Commerce (CRM &amp; hybris) *")</f>
        <v>0</v>
      </c>
      <c r="M536">
        <f>COUNTIF('Metrics - Articles'!F533,"*GCO – HR (SuccessFactors)*")</f>
        <v>0</v>
      </c>
      <c r="N536">
        <f>COUNTIF('Metrics - Articles'!F533,"*GCO – Services Sales*")</f>
        <v>0</v>
      </c>
      <c r="O536">
        <f>COUNTIF('Metrics - Articles'!F533,"*GCO – Other*")</f>
        <v>0</v>
      </c>
      <c r="P536">
        <f>COUNTIF('Metrics - Articles'!F533,"*Corporate*")</f>
        <v>0</v>
      </c>
      <c r="R536" s="53">
        <f t="shared" si="10"/>
        <v>0</v>
      </c>
    </row>
    <row r="537" spans="2:18" hidden="1" x14ac:dyDescent="0.25">
      <c r="B537" s="48">
        <f>+'Metrics - Articles'!C534</f>
        <v>0</v>
      </c>
      <c r="C537">
        <f>COUNTIF('Metrics - Articles'!F534,"*GPO (Partner, Ecosystem, Channels)*")</f>
        <v>0</v>
      </c>
      <c r="D537">
        <f>COUNTIF('Metrics - Articles'!F534,"*Office of the CEO*")</f>
        <v>0</v>
      </c>
      <c r="E537">
        <f>COUNTIF('Metrics - Articles'!F534,"*Services Delivery &amp; Support (go-lives and deployments) *")</f>
        <v>0</v>
      </c>
      <c r="F537">
        <f>COUNTIF('Metrics - Articles'!F534,"*Human Resources (SAP HR and employee stories)*")</f>
        <v>0</v>
      </c>
      <c r="G537">
        <f>COUNTIF('Metrics - Articles'!F534,"*P&amp;I (Research &amp; Development)*")</f>
        <v>0</v>
      </c>
      <c r="H537">
        <f>COUNTIF('Metrics - Articles'!F534,"*Business Network (Concur, Ariba, Fieldglass)*")</f>
        <v>0</v>
      </c>
      <c r="I537">
        <f>COUNTIF('Metrics - Articles'!F534,"*GCO – Regions*")</f>
        <v>0</v>
      </c>
      <c r="J537">
        <f>COUNTIF('Metrics - Articles'!F534,"*GCO – Platform Solutions*")</f>
        <v>0</v>
      </c>
      <c r="K537">
        <f>COUNTIF('Metrics - Articles'!F534,"*GCO – Industry Cloud *")</f>
        <v>0</v>
      </c>
      <c r="L537">
        <f>COUNTIF('Metrics - Articles'!F534,"*GCO – Customer Engagement &amp; Commerce (CRM &amp; hybris) *")</f>
        <v>0</v>
      </c>
      <c r="M537">
        <f>COUNTIF('Metrics - Articles'!F534,"*GCO – HR (SuccessFactors)*")</f>
        <v>0</v>
      </c>
      <c r="N537">
        <f>COUNTIF('Metrics - Articles'!F534,"*GCO – Services Sales*")</f>
        <v>0</v>
      </c>
      <c r="O537">
        <f>COUNTIF('Metrics - Articles'!F534,"*GCO – Other*")</f>
        <v>0</v>
      </c>
      <c r="P537">
        <f>COUNTIF('Metrics - Articles'!F534,"*Corporate*")</f>
        <v>0</v>
      </c>
      <c r="R537" s="53">
        <f t="shared" si="10"/>
        <v>0</v>
      </c>
    </row>
    <row r="538" spans="2:18" hidden="1" x14ac:dyDescent="0.25">
      <c r="B538" s="48">
        <f>+'Metrics - Articles'!C535</f>
        <v>0</v>
      </c>
      <c r="C538">
        <f>COUNTIF('Metrics - Articles'!F535,"*GPO (Partner, Ecosystem, Channels)*")</f>
        <v>0</v>
      </c>
      <c r="D538">
        <f>COUNTIF('Metrics - Articles'!F535,"*Office of the CEO*")</f>
        <v>0</v>
      </c>
      <c r="E538">
        <f>COUNTIF('Metrics - Articles'!F535,"*Services Delivery &amp; Support (go-lives and deployments) *")</f>
        <v>0</v>
      </c>
      <c r="F538">
        <f>COUNTIF('Metrics - Articles'!F535,"*Human Resources (SAP HR and employee stories)*")</f>
        <v>0</v>
      </c>
      <c r="G538">
        <f>COUNTIF('Metrics - Articles'!F535,"*P&amp;I (Research &amp; Development)*")</f>
        <v>0</v>
      </c>
      <c r="H538">
        <f>COUNTIF('Metrics - Articles'!F535,"*Business Network (Concur, Ariba, Fieldglass)*")</f>
        <v>0</v>
      </c>
      <c r="I538">
        <f>COUNTIF('Metrics - Articles'!F535,"*GCO – Regions*")</f>
        <v>0</v>
      </c>
      <c r="J538">
        <f>COUNTIF('Metrics - Articles'!F535,"*GCO – Platform Solutions*")</f>
        <v>0</v>
      </c>
      <c r="K538">
        <f>COUNTIF('Metrics - Articles'!F535,"*GCO – Industry Cloud *")</f>
        <v>0</v>
      </c>
      <c r="L538">
        <f>COUNTIF('Metrics - Articles'!F535,"*GCO – Customer Engagement &amp; Commerce (CRM &amp; hybris) *")</f>
        <v>0</v>
      </c>
      <c r="M538">
        <f>COUNTIF('Metrics - Articles'!F535,"*GCO – HR (SuccessFactors)*")</f>
        <v>0</v>
      </c>
      <c r="N538">
        <f>COUNTIF('Metrics - Articles'!F535,"*GCO – Services Sales*")</f>
        <v>0</v>
      </c>
      <c r="O538">
        <f>COUNTIF('Metrics - Articles'!F535,"*GCO – Other*")</f>
        <v>0</v>
      </c>
      <c r="P538">
        <f>COUNTIF('Metrics - Articles'!F535,"*Corporate*")</f>
        <v>0</v>
      </c>
      <c r="R538" s="53">
        <f t="shared" si="10"/>
        <v>0</v>
      </c>
    </row>
    <row r="539" spans="2:18" hidden="1" x14ac:dyDescent="0.25">
      <c r="B539" s="48">
        <f>+'Metrics - Articles'!C536</f>
        <v>0</v>
      </c>
      <c r="C539">
        <f>COUNTIF('Metrics - Articles'!F536,"*GPO (Partner, Ecosystem, Channels)*")</f>
        <v>0</v>
      </c>
      <c r="D539">
        <f>COUNTIF('Metrics - Articles'!F536,"*Office of the CEO*")</f>
        <v>0</v>
      </c>
      <c r="E539">
        <f>COUNTIF('Metrics - Articles'!F536,"*Services Delivery &amp; Support (go-lives and deployments) *")</f>
        <v>0</v>
      </c>
      <c r="F539">
        <f>COUNTIF('Metrics - Articles'!F536,"*Human Resources (SAP HR and employee stories)*")</f>
        <v>0</v>
      </c>
      <c r="G539">
        <f>COUNTIF('Metrics - Articles'!F536,"*P&amp;I (Research &amp; Development)*")</f>
        <v>0</v>
      </c>
      <c r="H539">
        <f>COUNTIF('Metrics - Articles'!F536,"*Business Network (Concur, Ariba, Fieldglass)*")</f>
        <v>0</v>
      </c>
      <c r="I539">
        <f>COUNTIF('Metrics - Articles'!F536,"*GCO – Regions*")</f>
        <v>0</v>
      </c>
      <c r="J539">
        <f>COUNTIF('Metrics - Articles'!F536,"*GCO – Platform Solutions*")</f>
        <v>0</v>
      </c>
      <c r="K539">
        <f>COUNTIF('Metrics - Articles'!F536,"*GCO – Industry Cloud *")</f>
        <v>0</v>
      </c>
      <c r="L539">
        <f>COUNTIF('Metrics - Articles'!F536,"*GCO – Customer Engagement &amp; Commerce (CRM &amp; hybris) *")</f>
        <v>0</v>
      </c>
      <c r="M539">
        <f>COUNTIF('Metrics - Articles'!F536,"*GCO – HR (SuccessFactors)*")</f>
        <v>0</v>
      </c>
      <c r="N539">
        <f>COUNTIF('Metrics - Articles'!F536,"*GCO – Services Sales*")</f>
        <v>0</v>
      </c>
      <c r="O539">
        <f>COUNTIF('Metrics - Articles'!F536,"*GCO – Other*")</f>
        <v>0</v>
      </c>
      <c r="P539">
        <f>COUNTIF('Metrics - Articles'!F536,"*Corporate*")</f>
        <v>0</v>
      </c>
      <c r="R539" s="53">
        <f t="shared" si="10"/>
        <v>0</v>
      </c>
    </row>
    <row r="540" spans="2:18" hidden="1" x14ac:dyDescent="0.25">
      <c r="B540" s="48">
        <f>+'Metrics - Articles'!C537</f>
        <v>0</v>
      </c>
      <c r="C540">
        <f>COUNTIF('Metrics - Articles'!F537,"*GPO (Partner, Ecosystem, Channels)*")</f>
        <v>0</v>
      </c>
      <c r="D540">
        <f>COUNTIF('Metrics - Articles'!F537,"*Office of the CEO*")</f>
        <v>0</v>
      </c>
      <c r="E540">
        <f>COUNTIF('Metrics - Articles'!F537,"*Services Delivery &amp; Support (go-lives and deployments) *")</f>
        <v>0</v>
      </c>
      <c r="F540">
        <f>COUNTIF('Metrics - Articles'!F537,"*Human Resources (SAP HR and employee stories)*")</f>
        <v>0</v>
      </c>
      <c r="G540">
        <f>COUNTIF('Metrics - Articles'!F537,"*P&amp;I (Research &amp; Development)*")</f>
        <v>0</v>
      </c>
      <c r="H540">
        <f>COUNTIF('Metrics - Articles'!F537,"*Business Network (Concur, Ariba, Fieldglass)*")</f>
        <v>0</v>
      </c>
      <c r="I540">
        <f>COUNTIF('Metrics - Articles'!F537,"*GCO – Regions*")</f>
        <v>0</v>
      </c>
      <c r="J540">
        <f>COUNTIF('Metrics - Articles'!F537,"*GCO – Platform Solutions*")</f>
        <v>0</v>
      </c>
      <c r="K540">
        <f>COUNTIF('Metrics - Articles'!F537,"*GCO – Industry Cloud *")</f>
        <v>0</v>
      </c>
      <c r="L540">
        <f>COUNTIF('Metrics - Articles'!F537,"*GCO – Customer Engagement &amp; Commerce (CRM &amp; hybris) *")</f>
        <v>0</v>
      </c>
      <c r="M540">
        <f>COUNTIF('Metrics - Articles'!F537,"*GCO – HR (SuccessFactors)*")</f>
        <v>0</v>
      </c>
      <c r="N540">
        <f>COUNTIF('Metrics - Articles'!F537,"*GCO – Services Sales*")</f>
        <v>0</v>
      </c>
      <c r="O540">
        <f>COUNTIF('Metrics - Articles'!F537,"*GCO – Other*")</f>
        <v>0</v>
      </c>
      <c r="P540">
        <f>COUNTIF('Metrics - Articles'!F537,"*Corporate*")</f>
        <v>0</v>
      </c>
      <c r="R540" s="53">
        <f t="shared" si="10"/>
        <v>0</v>
      </c>
    </row>
    <row r="541" spans="2:18" hidden="1" x14ac:dyDescent="0.25">
      <c r="B541" s="48">
        <f>+'Metrics - Articles'!C538</f>
        <v>0</v>
      </c>
      <c r="C541">
        <f>COUNTIF('Metrics - Articles'!F538,"*GPO (Partner, Ecosystem, Channels)*")</f>
        <v>0</v>
      </c>
      <c r="D541">
        <f>COUNTIF('Metrics - Articles'!F538,"*Office of the CEO*")</f>
        <v>0</v>
      </c>
      <c r="E541">
        <f>COUNTIF('Metrics - Articles'!F538,"*Services Delivery &amp; Support (go-lives and deployments) *")</f>
        <v>0</v>
      </c>
      <c r="F541">
        <f>COUNTIF('Metrics - Articles'!F538,"*Human Resources (SAP HR and employee stories)*")</f>
        <v>0</v>
      </c>
      <c r="G541">
        <f>COUNTIF('Metrics - Articles'!F538,"*P&amp;I (Research &amp; Development)*")</f>
        <v>0</v>
      </c>
      <c r="H541">
        <f>COUNTIF('Metrics - Articles'!F538,"*Business Network (Concur, Ariba, Fieldglass)*")</f>
        <v>0</v>
      </c>
      <c r="I541">
        <f>COUNTIF('Metrics - Articles'!F538,"*GCO – Regions*")</f>
        <v>0</v>
      </c>
      <c r="J541">
        <f>COUNTIF('Metrics - Articles'!F538,"*GCO – Platform Solutions*")</f>
        <v>0</v>
      </c>
      <c r="K541">
        <f>COUNTIF('Metrics - Articles'!F538,"*GCO – Industry Cloud *")</f>
        <v>0</v>
      </c>
      <c r="L541">
        <f>COUNTIF('Metrics - Articles'!F538,"*GCO – Customer Engagement &amp; Commerce (CRM &amp; hybris) *")</f>
        <v>0</v>
      </c>
      <c r="M541">
        <f>COUNTIF('Metrics - Articles'!F538,"*GCO – HR (SuccessFactors)*")</f>
        <v>0</v>
      </c>
      <c r="N541">
        <f>COUNTIF('Metrics - Articles'!F538,"*GCO – Services Sales*")</f>
        <v>0</v>
      </c>
      <c r="O541">
        <f>COUNTIF('Metrics - Articles'!F538,"*GCO – Other*")</f>
        <v>0</v>
      </c>
      <c r="P541">
        <f>COUNTIF('Metrics - Articles'!F538,"*Corporate*")</f>
        <v>0</v>
      </c>
      <c r="R541" s="53">
        <f t="shared" si="10"/>
        <v>0</v>
      </c>
    </row>
    <row r="542" spans="2:18" hidden="1" x14ac:dyDescent="0.25">
      <c r="B542" s="48">
        <f>+'Metrics - Articles'!C539</f>
        <v>0</v>
      </c>
      <c r="C542">
        <f>COUNTIF('Metrics - Articles'!F539,"*GPO (Partner, Ecosystem, Channels)*")</f>
        <v>0</v>
      </c>
      <c r="D542">
        <f>COUNTIF('Metrics - Articles'!F539,"*Office of the CEO*")</f>
        <v>0</v>
      </c>
      <c r="E542">
        <f>COUNTIF('Metrics - Articles'!F539,"*Services Delivery &amp; Support (go-lives and deployments) *")</f>
        <v>0</v>
      </c>
      <c r="F542">
        <f>COUNTIF('Metrics - Articles'!F539,"*Human Resources (SAP HR and employee stories)*")</f>
        <v>0</v>
      </c>
      <c r="G542">
        <f>COUNTIF('Metrics - Articles'!F539,"*P&amp;I (Research &amp; Development)*")</f>
        <v>0</v>
      </c>
      <c r="H542">
        <f>COUNTIF('Metrics - Articles'!F539,"*Business Network (Concur, Ariba, Fieldglass)*")</f>
        <v>0</v>
      </c>
      <c r="I542">
        <f>COUNTIF('Metrics - Articles'!F539,"*GCO – Regions*")</f>
        <v>0</v>
      </c>
      <c r="J542">
        <f>COUNTIF('Metrics - Articles'!F539,"*GCO – Platform Solutions*")</f>
        <v>0</v>
      </c>
      <c r="K542">
        <f>COUNTIF('Metrics - Articles'!F539,"*GCO – Industry Cloud *")</f>
        <v>0</v>
      </c>
      <c r="L542">
        <f>COUNTIF('Metrics - Articles'!F539,"*GCO – Customer Engagement &amp; Commerce (CRM &amp; hybris) *")</f>
        <v>0</v>
      </c>
      <c r="M542">
        <f>COUNTIF('Metrics - Articles'!F539,"*GCO – HR (SuccessFactors)*")</f>
        <v>0</v>
      </c>
      <c r="N542">
        <f>COUNTIF('Metrics - Articles'!F539,"*GCO – Services Sales*")</f>
        <v>0</v>
      </c>
      <c r="O542">
        <f>COUNTIF('Metrics - Articles'!F539,"*GCO – Other*")</f>
        <v>0</v>
      </c>
      <c r="P542">
        <f>COUNTIF('Metrics - Articles'!F539,"*Corporate*")</f>
        <v>0</v>
      </c>
      <c r="R542" s="53">
        <f t="shared" si="10"/>
        <v>0</v>
      </c>
    </row>
    <row r="543" spans="2:18" hidden="1" x14ac:dyDescent="0.25">
      <c r="B543" s="48">
        <f>+'Metrics - Articles'!C540</f>
        <v>0</v>
      </c>
      <c r="C543">
        <f>COUNTIF('Metrics - Articles'!F540,"*GPO (Partner, Ecosystem, Channels)*")</f>
        <v>0</v>
      </c>
      <c r="D543">
        <f>COUNTIF('Metrics - Articles'!F540,"*Office of the CEO*")</f>
        <v>0</v>
      </c>
      <c r="E543">
        <f>COUNTIF('Metrics - Articles'!F540,"*Services Delivery &amp; Support (go-lives and deployments) *")</f>
        <v>0</v>
      </c>
      <c r="F543">
        <f>COUNTIF('Metrics - Articles'!F540,"*Human Resources (SAP HR and employee stories)*")</f>
        <v>0</v>
      </c>
      <c r="G543">
        <f>COUNTIF('Metrics - Articles'!F540,"*P&amp;I (Research &amp; Development)*")</f>
        <v>0</v>
      </c>
      <c r="H543">
        <f>COUNTIF('Metrics - Articles'!F540,"*Business Network (Concur, Ariba, Fieldglass)*")</f>
        <v>0</v>
      </c>
      <c r="I543">
        <f>COUNTIF('Metrics - Articles'!F540,"*GCO – Regions*")</f>
        <v>0</v>
      </c>
      <c r="J543">
        <f>COUNTIF('Metrics - Articles'!F540,"*GCO – Platform Solutions*")</f>
        <v>0</v>
      </c>
      <c r="K543">
        <f>COUNTIF('Metrics - Articles'!F540,"*GCO – Industry Cloud *")</f>
        <v>0</v>
      </c>
      <c r="L543">
        <f>COUNTIF('Metrics - Articles'!F540,"*GCO – Customer Engagement &amp; Commerce (CRM &amp; hybris) *")</f>
        <v>0</v>
      </c>
      <c r="M543">
        <f>COUNTIF('Metrics - Articles'!F540,"*GCO – HR (SuccessFactors)*")</f>
        <v>0</v>
      </c>
      <c r="N543">
        <f>COUNTIF('Metrics - Articles'!F540,"*GCO – Services Sales*")</f>
        <v>0</v>
      </c>
      <c r="O543">
        <f>COUNTIF('Metrics - Articles'!F540,"*GCO – Other*")</f>
        <v>0</v>
      </c>
      <c r="P543">
        <f>COUNTIF('Metrics - Articles'!F540,"*Corporate*")</f>
        <v>0</v>
      </c>
      <c r="R543" s="53">
        <f t="shared" si="10"/>
        <v>0</v>
      </c>
    </row>
    <row r="544" spans="2:18" hidden="1" x14ac:dyDescent="0.25">
      <c r="B544" s="48">
        <f>+'Metrics - Articles'!C541</f>
        <v>0</v>
      </c>
      <c r="C544">
        <f>COUNTIF('Metrics - Articles'!F541,"*GPO (Partner, Ecosystem, Channels)*")</f>
        <v>0</v>
      </c>
      <c r="D544">
        <f>COUNTIF('Metrics - Articles'!F541,"*Office of the CEO*")</f>
        <v>0</v>
      </c>
      <c r="E544">
        <f>COUNTIF('Metrics - Articles'!F541,"*Services Delivery &amp; Support (go-lives and deployments) *")</f>
        <v>0</v>
      </c>
      <c r="F544">
        <f>COUNTIF('Metrics - Articles'!F541,"*Human Resources (SAP HR and employee stories)*")</f>
        <v>0</v>
      </c>
      <c r="G544">
        <f>COUNTIF('Metrics - Articles'!F541,"*P&amp;I (Research &amp; Development)*")</f>
        <v>0</v>
      </c>
      <c r="H544">
        <f>COUNTIF('Metrics - Articles'!F541,"*Business Network (Concur, Ariba, Fieldglass)*")</f>
        <v>0</v>
      </c>
      <c r="I544">
        <f>COUNTIF('Metrics - Articles'!F541,"*GCO – Regions*")</f>
        <v>0</v>
      </c>
      <c r="J544">
        <f>COUNTIF('Metrics - Articles'!F541,"*GCO – Platform Solutions*")</f>
        <v>0</v>
      </c>
      <c r="K544">
        <f>COUNTIF('Metrics - Articles'!F541,"*GCO – Industry Cloud *")</f>
        <v>0</v>
      </c>
      <c r="L544">
        <f>COUNTIF('Metrics - Articles'!F541,"*GCO – Customer Engagement &amp; Commerce (CRM &amp; hybris) *")</f>
        <v>0</v>
      </c>
      <c r="M544">
        <f>COUNTIF('Metrics - Articles'!F541,"*GCO – HR (SuccessFactors)*")</f>
        <v>0</v>
      </c>
      <c r="N544">
        <f>COUNTIF('Metrics - Articles'!F541,"*GCO – Services Sales*")</f>
        <v>0</v>
      </c>
      <c r="O544">
        <f>COUNTIF('Metrics - Articles'!F541,"*GCO – Other*")</f>
        <v>0</v>
      </c>
      <c r="P544">
        <f>COUNTIF('Metrics - Articles'!F541,"*Corporate*")</f>
        <v>0</v>
      </c>
      <c r="R544" s="53">
        <f t="shared" si="10"/>
        <v>0</v>
      </c>
    </row>
    <row r="545" spans="2:18" hidden="1" x14ac:dyDescent="0.25">
      <c r="B545" s="48">
        <f>+'Metrics - Articles'!C542</f>
        <v>0</v>
      </c>
      <c r="C545">
        <f>COUNTIF('Metrics - Articles'!F542,"*GPO (Partner, Ecosystem, Channels)*")</f>
        <v>0</v>
      </c>
      <c r="D545">
        <f>COUNTIF('Metrics - Articles'!F542,"*Office of the CEO*")</f>
        <v>0</v>
      </c>
      <c r="E545">
        <f>COUNTIF('Metrics - Articles'!F542,"*Services Delivery &amp; Support (go-lives and deployments) *")</f>
        <v>0</v>
      </c>
      <c r="F545">
        <f>COUNTIF('Metrics - Articles'!F542,"*Human Resources (SAP HR and employee stories)*")</f>
        <v>0</v>
      </c>
      <c r="G545">
        <f>COUNTIF('Metrics - Articles'!F542,"*P&amp;I (Research &amp; Development)*")</f>
        <v>0</v>
      </c>
      <c r="H545">
        <f>COUNTIF('Metrics - Articles'!F542,"*Business Network (Concur, Ariba, Fieldglass)*")</f>
        <v>0</v>
      </c>
      <c r="I545">
        <f>COUNTIF('Metrics - Articles'!F542,"*GCO – Regions*")</f>
        <v>0</v>
      </c>
      <c r="J545">
        <f>COUNTIF('Metrics - Articles'!F542,"*GCO – Platform Solutions*")</f>
        <v>0</v>
      </c>
      <c r="K545">
        <f>COUNTIF('Metrics - Articles'!F542,"*GCO – Industry Cloud *")</f>
        <v>0</v>
      </c>
      <c r="L545">
        <f>COUNTIF('Metrics - Articles'!F542,"*GCO – Customer Engagement &amp; Commerce (CRM &amp; hybris) *")</f>
        <v>0</v>
      </c>
      <c r="M545">
        <f>COUNTIF('Metrics - Articles'!F542,"*GCO – HR (SuccessFactors)*")</f>
        <v>0</v>
      </c>
      <c r="N545">
        <f>COUNTIF('Metrics - Articles'!F542,"*GCO – Services Sales*")</f>
        <v>0</v>
      </c>
      <c r="O545">
        <f>COUNTIF('Metrics - Articles'!F542,"*GCO – Other*")</f>
        <v>0</v>
      </c>
      <c r="P545">
        <f>COUNTIF('Metrics - Articles'!F542,"*Corporate*")</f>
        <v>0</v>
      </c>
      <c r="R545" s="53">
        <f t="shared" si="10"/>
        <v>0</v>
      </c>
    </row>
    <row r="546" spans="2:18" hidden="1" x14ac:dyDescent="0.25">
      <c r="B546" s="48">
        <f>+'Metrics - Articles'!C543</f>
        <v>0</v>
      </c>
      <c r="C546">
        <f>COUNTIF('Metrics - Articles'!F543,"*GPO (Partner, Ecosystem, Channels)*")</f>
        <v>0</v>
      </c>
      <c r="D546">
        <f>COUNTIF('Metrics - Articles'!F543,"*Office of the CEO*")</f>
        <v>0</v>
      </c>
      <c r="E546">
        <f>COUNTIF('Metrics - Articles'!F543,"*Services Delivery &amp; Support (go-lives and deployments) *")</f>
        <v>0</v>
      </c>
      <c r="F546">
        <f>COUNTIF('Metrics - Articles'!F543,"*Human Resources (SAP HR and employee stories)*")</f>
        <v>0</v>
      </c>
      <c r="G546">
        <f>COUNTIF('Metrics - Articles'!F543,"*P&amp;I (Research &amp; Development)*")</f>
        <v>0</v>
      </c>
      <c r="H546">
        <f>COUNTIF('Metrics - Articles'!F543,"*Business Network (Concur, Ariba, Fieldglass)*")</f>
        <v>0</v>
      </c>
      <c r="I546">
        <f>COUNTIF('Metrics - Articles'!F543,"*GCO – Regions*")</f>
        <v>0</v>
      </c>
      <c r="J546">
        <f>COUNTIF('Metrics - Articles'!F543,"*GCO – Platform Solutions*")</f>
        <v>0</v>
      </c>
      <c r="K546">
        <f>COUNTIF('Metrics - Articles'!F543,"*GCO – Industry Cloud *")</f>
        <v>0</v>
      </c>
      <c r="L546">
        <f>COUNTIF('Metrics - Articles'!F543,"*GCO – Customer Engagement &amp; Commerce (CRM &amp; hybris) *")</f>
        <v>0</v>
      </c>
      <c r="M546">
        <f>COUNTIF('Metrics - Articles'!F543,"*GCO – HR (SuccessFactors)*")</f>
        <v>0</v>
      </c>
      <c r="N546">
        <f>COUNTIF('Metrics - Articles'!F543,"*GCO – Services Sales*")</f>
        <v>0</v>
      </c>
      <c r="O546">
        <f>COUNTIF('Metrics - Articles'!F543,"*GCO – Other*")</f>
        <v>0</v>
      </c>
      <c r="P546">
        <f>COUNTIF('Metrics - Articles'!F543,"*Corporate*")</f>
        <v>0</v>
      </c>
      <c r="R546" s="53">
        <f t="shared" si="10"/>
        <v>0</v>
      </c>
    </row>
    <row r="547" spans="2:18" hidden="1" x14ac:dyDescent="0.25">
      <c r="B547" s="48">
        <f>+'Metrics - Articles'!C544</f>
        <v>0</v>
      </c>
      <c r="C547">
        <f>COUNTIF('Metrics - Articles'!F544,"*GPO (Partner, Ecosystem, Channels)*")</f>
        <v>0</v>
      </c>
      <c r="D547">
        <f>COUNTIF('Metrics - Articles'!F544,"*Office of the CEO*")</f>
        <v>0</v>
      </c>
      <c r="E547">
        <f>COUNTIF('Metrics - Articles'!F544,"*Services Delivery &amp; Support (go-lives and deployments) *")</f>
        <v>0</v>
      </c>
      <c r="F547">
        <f>COUNTIF('Metrics - Articles'!F544,"*Human Resources (SAP HR and employee stories)*")</f>
        <v>0</v>
      </c>
      <c r="G547">
        <f>COUNTIF('Metrics - Articles'!F544,"*P&amp;I (Research &amp; Development)*")</f>
        <v>0</v>
      </c>
      <c r="H547">
        <f>COUNTIF('Metrics - Articles'!F544,"*Business Network (Concur, Ariba, Fieldglass)*")</f>
        <v>0</v>
      </c>
      <c r="I547">
        <f>COUNTIF('Metrics - Articles'!F544,"*GCO – Regions*")</f>
        <v>0</v>
      </c>
      <c r="J547">
        <f>COUNTIF('Metrics - Articles'!F544,"*GCO – Platform Solutions*")</f>
        <v>0</v>
      </c>
      <c r="K547">
        <f>COUNTIF('Metrics - Articles'!F544,"*GCO – Industry Cloud *")</f>
        <v>0</v>
      </c>
      <c r="L547">
        <f>COUNTIF('Metrics - Articles'!F544,"*GCO – Customer Engagement &amp; Commerce (CRM &amp; hybris) *")</f>
        <v>0</v>
      </c>
      <c r="M547">
        <f>COUNTIF('Metrics - Articles'!F544,"*GCO – HR (SuccessFactors)*")</f>
        <v>0</v>
      </c>
      <c r="N547">
        <f>COUNTIF('Metrics - Articles'!F544,"*GCO – Services Sales*")</f>
        <v>0</v>
      </c>
      <c r="O547">
        <f>COUNTIF('Metrics - Articles'!F544,"*GCO – Other*")</f>
        <v>0</v>
      </c>
      <c r="P547">
        <f>COUNTIF('Metrics - Articles'!F544,"*Corporate*")</f>
        <v>0</v>
      </c>
      <c r="R547" s="53">
        <f t="shared" si="10"/>
        <v>0</v>
      </c>
    </row>
    <row r="548" spans="2:18" hidden="1" x14ac:dyDescent="0.25">
      <c r="B548" s="48">
        <f>+'Metrics - Articles'!C545</f>
        <v>0</v>
      </c>
      <c r="C548">
        <f>COUNTIF('Metrics - Articles'!F545,"*GPO (Partner, Ecosystem, Channels)*")</f>
        <v>0</v>
      </c>
      <c r="D548">
        <f>COUNTIF('Metrics - Articles'!F545,"*Office of the CEO*")</f>
        <v>0</v>
      </c>
      <c r="E548">
        <f>COUNTIF('Metrics - Articles'!F545,"*Services Delivery &amp; Support (go-lives and deployments) *")</f>
        <v>0</v>
      </c>
      <c r="F548">
        <f>COUNTIF('Metrics - Articles'!F545,"*Human Resources (SAP HR and employee stories)*")</f>
        <v>0</v>
      </c>
      <c r="G548">
        <f>COUNTIF('Metrics - Articles'!F545,"*P&amp;I (Research &amp; Development)*")</f>
        <v>0</v>
      </c>
      <c r="H548">
        <f>COUNTIF('Metrics - Articles'!F545,"*Business Network (Concur, Ariba, Fieldglass)*")</f>
        <v>0</v>
      </c>
      <c r="I548">
        <f>COUNTIF('Metrics - Articles'!F545,"*GCO – Regions*")</f>
        <v>0</v>
      </c>
      <c r="J548">
        <f>COUNTIF('Metrics - Articles'!F545,"*GCO – Platform Solutions*")</f>
        <v>0</v>
      </c>
      <c r="K548">
        <f>COUNTIF('Metrics - Articles'!F545,"*GCO – Industry Cloud *")</f>
        <v>0</v>
      </c>
      <c r="L548">
        <f>COUNTIF('Metrics - Articles'!F545,"*GCO – Customer Engagement &amp; Commerce (CRM &amp; hybris) *")</f>
        <v>0</v>
      </c>
      <c r="M548">
        <f>COUNTIF('Metrics - Articles'!F545,"*GCO – HR (SuccessFactors)*")</f>
        <v>0</v>
      </c>
      <c r="N548">
        <f>COUNTIF('Metrics - Articles'!F545,"*GCO – Services Sales*")</f>
        <v>0</v>
      </c>
      <c r="O548">
        <f>COUNTIF('Metrics - Articles'!F545,"*GCO – Other*")</f>
        <v>0</v>
      </c>
      <c r="P548">
        <f>COUNTIF('Metrics - Articles'!F545,"*Corporate*")</f>
        <v>0</v>
      </c>
      <c r="R548" s="53">
        <f t="shared" si="10"/>
        <v>0</v>
      </c>
    </row>
    <row r="549" spans="2:18" hidden="1" x14ac:dyDescent="0.25">
      <c r="B549" s="48">
        <f>+'Metrics - Articles'!C546</f>
        <v>0</v>
      </c>
      <c r="C549">
        <f>COUNTIF('Metrics - Articles'!F546,"*GPO (Partner, Ecosystem, Channels)*")</f>
        <v>0</v>
      </c>
      <c r="D549">
        <f>COUNTIF('Metrics - Articles'!F546,"*Office of the CEO*")</f>
        <v>0</v>
      </c>
      <c r="E549">
        <f>COUNTIF('Metrics - Articles'!F546,"*Services Delivery &amp; Support (go-lives and deployments) *")</f>
        <v>0</v>
      </c>
      <c r="F549">
        <f>COUNTIF('Metrics - Articles'!F546,"*Human Resources (SAP HR and employee stories)*")</f>
        <v>0</v>
      </c>
      <c r="G549">
        <f>COUNTIF('Metrics - Articles'!F546,"*P&amp;I (Research &amp; Development)*")</f>
        <v>0</v>
      </c>
      <c r="H549">
        <f>COUNTIF('Metrics - Articles'!F546,"*Business Network (Concur, Ariba, Fieldglass)*")</f>
        <v>0</v>
      </c>
      <c r="I549">
        <f>COUNTIF('Metrics - Articles'!F546,"*GCO – Regions*")</f>
        <v>0</v>
      </c>
      <c r="J549">
        <f>COUNTIF('Metrics - Articles'!F546,"*GCO – Platform Solutions*")</f>
        <v>0</v>
      </c>
      <c r="K549">
        <f>COUNTIF('Metrics - Articles'!F546,"*GCO – Industry Cloud *")</f>
        <v>0</v>
      </c>
      <c r="L549">
        <f>COUNTIF('Metrics - Articles'!F546,"*GCO – Customer Engagement &amp; Commerce (CRM &amp; hybris) *")</f>
        <v>0</v>
      </c>
      <c r="M549">
        <f>COUNTIF('Metrics - Articles'!F546,"*GCO – HR (SuccessFactors)*")</f>
        <v>0</v>
      </c>
      <c r="N549">
        <f>COUNTIF('Metrics - Articles'!F546,"*GCO – Services Sales*")</f>
        <v>0</v>
      </c>
      <c r="O549">
        <f>COUNTIF('Metrics - Articles'!F546,"*GCO – Other*")</f>
        <v>0</v>
      </c>
      <c r="P549">
        <f>COUNTIF('Metrics - Articles'!F546,"*Corporate*")</f>
        <v>0</v>
      </c>
      <c r="R549" s="53">
        <f t="shared" si="10"/>
        <v>0</v>
      </c>
    </row>
    <row r="550" spans="2:18" hidden="1" x14ac:dyDescent="0.25">
      <c r="B550" s="48">
        <f>+'Metrics - Articles'!C547</f>
        <v>0</v>
      </c>
      <c r="C550">
        <f>COUNTIF('Metrics - Articles'!F547,"*GPO (Partner, Ecosystem, Channels)*")</f>
        <v>0</v>
      </c>
      <c r="D550">
        <f>COUNTIF('Metrics - Articles'!F547,"*Office of the CEO*")</f>
        <v>0</v>
      </c>
      <c r="E550">
        <f>COUNTIF('Metrics - Articles'!F547,"*Services Delivery &amp; Support (go-lives and deployments) *")</f>
        <v>0</v>
      </c>
      <c r="F550">
        <f>COUNTIF('Metrics - Articles'!F547,"*Human Resources (SAP HR and employee stories)*")</f>
        <v>0</v>
      </c>
      <c r="G550">
        <f>COUNTIF('Metrics - Articles'!F547,"*P&amp;I (Research &amp; Development)*")</f>
        <v>0</v>
      </c>
      <c r="H550">
        <f>COUNTIF('Metrics - Articles'!F547,"*Business Network (Concur, Ariba, Fieldglass)*")</f>
        <v>0</v>
      </c>
      <c r="I550">
        <f>COUNTIF('Metrics - Articles'!F547,"*GCO – Regions*")</f>
        <v>0</v>
      </c>
      <c r="J550">
        <f>COUNTIF('Metrics - Articles'!F547,"*GCO – Platform Solutions*")</f>
        <v>0</v>
      </c>
      <c r="K550">
        <f>COUNTIF('Metrics - Articles'!F547,"*GCO – Industry Cloud *")</f>
        <v>0</v>
      </c>
      <c r="L550">
        <f>COUNTIF('Metrics - Articles'!F547,"*GCO – Customer Engagement &amp; Commerce (CRM &amp; hybris) *")</f>
        <v>0</v>
      </c>
      <c r="M550">
        <f>COUNTIF('Metrics - Articles'!F547,"*GCO – HR (SuccessFactors)*")</f>
        <v>0</v>
      </c>
      <c r="N550">
        <f>COUNTIF('Metrics - Articles'!F547,"*GCO – Services Sales*")</f>
        <v>0</v>
      </c>
      <c r="O550">
        <f>COUNTIF('Metrics - Articles'!F547,"*GCO – Other*")</f>
        <v>0</v>
      </c>
      <c r="P550">
        <f>COUNTIF('Metrics - Articles'!F547,"*Corporate*")</f>
        <v>0</v>
      </c>
      <c r="R550" s="53">
        <f t="shared" si="10"/>
        <v>0</v>
      </c>
    </row>
    <row r="551" spans="2:18" hidden="1" x14ac:dyDescent="0.25">
      <c r="B551" s="48">
        <f>+'Metrics - Articles'!C548</f>
        <v>0</v>
      </c>
      <c r="C551">
        <f>COUNTIF('Metrics - Articles'!F548,"*GPO (Partner, Ecosystem, Channels)*")</f>
        <v>0</v>
      </c>
      <c r="D551">
        <f>COUNTIF('Metrics - Articles'!F548,"*Office of the CEO*")</f>
        <v>0</v>
      </c>
      <c r="E551">
        <f>COUNTIF('Metrics - Articles'!F548,"*Services Delivery &amp; Support (go-lives and deployments) *")</f>
        <v>0</v>
      </c>
      <c r="F551">
        <f>COUNTIF('Metrics - Articles'!F548,"*Human Resources (SAP HR and employee stories)*")</f>
        <v>0</v>
      </c>
      <c r="G551">
        <f>COUNTIF('Metrics - Articles'!F548,"*P&amp;I (Research &amp; Development)*")</f>
        <v>0</v>
      </c>
      <c r="H551">
        <f>COUNTIF('Metrics - Articles'!F548,"*Business Network (Concur, Ariba, Fieldglass)*")</f>
        <v>0</v>
      </c>
      <c r="I551">
        <f>COUNTIF('Metrics - Articles'!F548,"*GCO – Regions*")</f>
        <v>0</v>
      </c>
      <c r="J551">
        <f>COUNTIF('Metrics - Articles'!F548,"*GCO – Platform Solutions*")</f>
        <v>0</v>
      </c>
      <c r="K551">
        <f>COUNTIF('Metrics - Articles'!F548,"*GCO – Industry Cloud *")</f>
        <v>0</v>
      </c>
      <c r="L551">
        <f>COUNTIF('Metrics - Articles'!F548,"*GCO – Customer Engagement &amp; Commerce (CRM &amp; hybris) *")</f>
        <v>0</v>
      </c>
      <c r="M551">
        <f>COUNTIF('Metrics - Articles'!F548,"*GCO – HR (SuccessFactors)*")</f>
        <v>0</v>
      </c>
      <c r="N551">
        <f>COUNTIF('Metrics - Articles'!F548,"*GCO – Services Sales*")</f>
        <v>0</v>
      </c>
      <c r="O551">
        <f>COUNTIF('Metrics - Articles'!F548,"*GCO – Other*")</f>
        <v>0</v>
      </c>
      <c r="P551">
        <f>COUNTIF('Metrics - Articles'!F548,"*Corporate*")</f>
        <v>0</v>
      </c>
      <c r="R551" s="53">
        <f t="shared" si="10"/>
        <v>0</v>
      </c>
    </row>
    <row r="552" spans="2:18" hidden="1" x14ac:dyDescent="0.25">
      <c r="B552" s="48">
        <f>+'Metrics - Articles'!C549</f>
        <v>0</v>
      </c>
      <c r="C552">
        <f>COUNTIF('Metrics - Articles'!F549,"*GPO (Partner, Ecosystem, Channels)*")</f>
        <v>0</v>
      </c>
      <c r="D552">
        <f>COUNTIF('Metrics - Articles'!F549,"*Office of the CEO*")</f>
        <v>0</v>
      </c>
      <c r="E552">
        <f>COUNTIF('Metrics - Articles'!F549,"*Services Delivery &amp; Support (go-lives and deployments) *")</f>
        <v>0</v>
      </c>
      <c r="F552">
        <f>COUNTIF('Metrics - Articles'!F549,"*Human Resources (SAP HR and employee stories)*")</f>
        <v>0</v>
      </c>
      <c r="G552">
        <f>COUNTIF('Metrics - Articles'!F549,"*P&amp;I (Research &amp; Development)*")</f>
        <v>0</v>
      </c>
      <c r="H552">
        <f>COUNTIF('Metrics - Articles'!F549,"*Business Network (Concur, Ariba, Fieldglass)*")</f>
        <v>0</v>
      </c>
      <c r="I552">
        <f>COUNTIF('Metrics - Articles'!F549,"*GCO – Regions*")</f>
        <v>0</v>
      </c>
      <c r="J552">
        <f>COUNTIF('Metrics - Articles'!F549,"*GCO – Platform Solutions*")</f>
        <v>0</v>
      </c>
      <c r="K552">
        <f>COUNTIF('Metrics - Articles'!F549,"*GCO – Industry Cloud *")</f>
        <v>0</v>
      </c>
      <c r="L552">
        <f>COUNTIF('Metrics - Articles'!F549,"*GCO – Customer Engagement &amp; Commerce (CRM &amp; hybris) *")</f>
        <v>0</v>
      </c>
      <c r="M552">
        <f>COUNTIF('Metrics - Articles'!F549,"*GCO – HR (SuccessFactors)*")</f>
        <v>0</v>
      </c>
      <c r="N552">
        <f>COUNTIF('Metrics - Articles'!F549,"*GCO – Services Sales*")</f>
        <v>0</v>
      </c>
      <c r="O552">
        <f>COUNTIF('Metrics - Articles'!F549,"*GCO – Other*")</f>
        <v>0</v>
      </c>
      <c r="P552">
        <f>COUNTIF('Metrics - Articles'!F549,"*Corporate*")</f>
        <v>0</v>
      </c>
      <c r="R552" s="53">
        <f t="shared" si="10"/>
        <v>0</v>
      </c>
    </row>
    <row r="553" spans="2:18" hidden="1" x14ac:dyDescent="0.25">
      <c r="B553" s="48">
        <f>+'Metrics - Articles'!C550</f>
        <v>0</v>
      </c>
      <c r="C553">
        <f>COUNTIF('Metrics - Articles'!F550,"*GPO (Partner, Ecosystem, Channels)*")</f>
        <v>0</v>
      </c>
      <c r="D553">
        <f>COUNTIF('Metrics - Articles'!F550,"*Office of the CEO*")</f>
        <v>0</v>
      </c>
      <c r="E553">
        <f>COUNTIF('Metrics - Articles'!F550,"*Services Delivery &amp; Support (go-lives and deployments) *")</f>
        <v>0</v>
      </c>
      <c r="F553">
        <f>COUNTIF('Metrics - Articles'!F550,"*Human Resources (SAP HR and employee stories)*")</f>
        <v>0</v>
      </c>
      <c r="G553">
        <f>COUNTIF('Metrics - Articles'!F550,"*P&amp;I (Research &amp; Development)*")</f>
        <v>0</v>
      </c>
      <c r="H553">
        <f>COUNTIF('Metrics - Articles'!F550,"*Business Network (Concur, Ariba, Fieldglass)*")</f>
        <v>0</v>
      </c>
      <c r="I553">
        <f>COUNTIF('Metrics - Articles'!F550,"*GCO – Regions*")</f>
        <v>0</v>
      </c>
      <c r="J553">
        <f>COUNTIF('Metrics - Articles'!F550,"*GCO – Platform Solutions*")</f>
        <v>0</v>
      </c>
      <c r="K553">
        <f>COUNTIF('Metrics - Articles'!F550,"*GCO – Industry Cloud *")</f>
        <v>0</v>
      </c>
      <c r="L553">
        <f>COUNTIF('Metrics - Articles'!F550,"*GCO – Customer Engagement &amp; Commerce (CRM &amp; hybris) *")</f>
        <v>0</v>
      </c>
      <c r="M553">
        <f>COUNTIF('Metrics - Articles'!F550,"*GCO – HR (SuccessFactors)*")</f>
        <v>0</v>
      </c>
      <c r="N553">
        <f>COUNTIF('Metrics - Articles'!F550,"*GCO – Services Sales*")</f>
        <v>0</v>
      </c>
      <c r="O553">
        <f>COUNTIF('Metrics - Articles'!F550,"*GCO – Other*")</f>
        <v>0</v>
      </c>
      <c r="P553">
        <f>COUNTIF('Metrics - Articles'!F550,"*Corporate*")</f>
        <v>0</v>
      </c>
      <c r="R553" s="53">
        <f t="shared" si="10"/>
        <v>0</v>
      </c>
    </row>
    <row r="554" spans="2:18" hidden="1" x14ac:dyDescent="0.25">
      <c r="B554" s="48">
        <f>+'Metrics - Articles'!C551</f>
        <v>0</v>
      </c>
      <c r="C554">
        <f>COUNTIF('Metrics - Articles'!F551,"*GPO (Partner, Ecosystem, Channels)*")</f>
        <v>0</v>
      </c>
      <c r="D554">
        <f>COUNTIF('Metrics - Articles'!F551,"*Office of the CEO*")</f>
        <v>0</v>
      </c>
      <c r="E554">
        <f>COUNTIF('Metrics - Articles'!F551,"*Services Delivery &amp; Support (go-lives and deployments) *")</f>
        <v>0</v>
      </c>
      <c r="F554">
        <f>COUNTIF('Metrics - Articles'!F551,"*Human Resources (SAP HR and employee stories)*")</f>
        <v>0</v>
      </c>
      <c r="G554">
        <f>COUNTIF('Metrics - Articles'!F551,"*P&amp;I (Research &amp; Development)*")</f>
        <v>0</v>
      </c>
      <c r="H554">
        <f>COUNTIF('Metrics - Articles'!F551,"*Business Network (Concur, Ariba, Fieldglass)*")</f>
        <v>0</v>
      </c>
      <c r="I554">
        <f>COUNTIF('Metrics - Articles'!F551,"*GCO – Regions*")</f>
        <v>0</v>
      </c>
      <c r="J554">
        <f>COUNTIF('Metrics - Articles'!F551,"*GCO – Platform Solutions*")</f>
        <v>0</v>
      </c>
      <c r="K554">
        <f>COUNTIF('Metrics - Articles'!F551,"*GCO – Industry Cloud *")</f>
        <v>0</v>
      </c>
      <c r="L554">
        <f>COUNTIF('Metrics - Articles'!F551,"*GCO – Customer Engagement &amp; Commerce (CRM &amp; hybris) *")</f>
        <v>0</v>
      </c>
      <c r="M554">
        <f>COUNTIF('Metrics - Articles'!F551,"*GCO – HR (SuccessFactors)*")</f>
        <v>0</v>
      </c>
      <c r="N554">
        <f>COUNTIF('Metrics - Articles'!F551,"*GCO – Services Sales*")</f>
        <v>0</v>
      </c>
      <c r="O554">
        <f>COUNTIF('Metrics - Articles'!F551,"*GCO – Other*")</f>
        <v>0</v>
      </c>
      <c r="P554">
        <f>COUNTIF('Metrics - Articles'!F551,"*Corporate*")</f>
        <v>0</v>
      </c>
      <c r="R554" s="53">
        <f t="shared" si="10"/>
        <v>0</v>
      </c>
    </row>
    <row r="555" spans="2:18" hidden="1" x14ac:dyDescent="0.25">
      <c r="B555" s="48">
        <f>+'Metrics - Articles'!C552</f>
        <v>0</v>
      </c>
      <c r="C555">
        <f>COUNTIF('Metrics - Articles'!F552,"*GPO (Partner, Ecosystem, Channels)*")</f>
        <v>0</v>
      </c>
      <c r="D555">
        <f>COUNTIF('Metrics - Articles'!F552,"*Office of the CEO*")</f>
        <v>0</v>
      </c>
      <c r="E555">
        <f>COUNTIF('Metrics - Articles'!F552,"*Services Delivery &amp; Support (go-lives and deployments) *")</f>
        <v>0</v>
      </c>
      <c r="F555">
        <f>COUNTIF('Metrics - Articles'!F552,"*Human Resources (SAP HR and employee stories)*")</f>
        <v>0</v>
      </c>
      <c r="G555">
        <f>COUNTIF('Metrics - Articles'!F552,"*P&amp;I (Research &amp; Development)*")</f>
        <v>0</v>
      </c>
      <c r="H555">
        <f>COUNTIF('Metrics - Articles'!F552,"*Business Network (Concur, Ariba, Fieldglass)*")</f>
        <v>0</v>
      </c>
      <c r="I555">
        <f>COUNTIF('Metrics - Articles'!F552,"*GCO – Regions*")</f>
        <v>0</v>
      </c>
      <c r="J555">
        <f>COUNTIF('Metrics - Articles'!F552,"*GCO – Platform Solutions*")</f>
        <v>0</v>
      </c>
      <c r="K555">
        <f>COUNTIF('Metrics - Articles'!F552,"*GCO – Industry Cloud *")</f>
        <v>0</v>
      </c>
      <c r="L555">
        <f>COUNTIF('Metrics - Articles'!F552,"*GCO – Customer Engagement &amp; Commerce (CRM &amp; hybris) *")</f>
        <v>0</v>
      </c>
      <c r="M555">
        <f>COUNTIF('Metrics - Articles'!F552,"*GCO – HR (SuccessFactors)*")</f>
        <v>0</v>
      </c>
      <c r="N555">
        <f>COUNTIF('Metrics - Articles'!F552,"*GCO – Services Sales*")</f>
        <v>0</v>
      </c>
      <c r="O555">
        <f>COUNTIF('Metrics - Articles'!F552,"*GCO – Other*")</f>
        <v>0</v>
      </c>
      <c r="P555">
        <f>COUNTIF('Metrics - Articles'!F552,"*Corporate*")</f>
        <v>0</v>
      </c>
      <c r="R555" s="53">
        <f t="shared" si="10"/>
        <v>0</v>
      </c>
    </row>
    <row r="556" spans="2:18" hidden="1" x14ac:dyDescent="0.25">
      <c r="B556" s="48">
        <f>+'Metrics - Articles'!C553</f>
        <v>0</v>
      </c>
      <c r="C556">
        <f>COUNTIF('Metrics - Articles'!F553,"*GPO (Partner, Ecosystem, Channels)*")</f>
        <v>0</v>
      </c>
      <c r="D556">
        <f>COUNTIF('Metrics - Articles'!F553,"*Office of the CEO*")</f>
        <v>0</v>
      </c>
      <c r="E556">
        <f>COUNTIF('Metrics - Articles'!F553,"*Services Delivery &amp; Support (go-lives and deployments) *")</f>
        <v>0</v>
      </c>
      <c r="F556">
        <f>COUNTIF('Metrics - Articles'!F553,"*Human Resources (SAP HR and employee stories)*")</f>
        <v>0</v>
      </c>
      <c r="G556">
        <f>COUNTIF('Metrics - Articles'!F553,"*P&amp;I (Research &amp; Development)*")</f>
        <v>0</v>
      </c>
      <c r="H556">
        <f>COUNTIF('Metrics - Articles'!F553,"*Business Network (Concur, Ariba, Fieldglass)*")</f>
        <v>0</v>
      </c>
      <c r="I556">
        <f>COUNTIF('Metrics - Articles'!F553,"*GCO – Regions*")</f>
        <v>0</v>
      </c>
      <c r="J556">
        <f>COUNTIF('Metrics - Articles'!F553,"*GCO – Platform Solutions*")</f>
        <v>0</v>
      </c>
      <c r="K556">
        <f>COUNTIF('Metrics - Articles'!F553,"*GCO – Industry Cloud *")</f>
        <v>0</v>
      </c>
      <c r="L556">
        <f>COUNTIF('Metrics - Articles'!F553,"*GCO – Customer Engagement &amp; Commerce (CRM &amp; hybris) *")</f>
        <v>0</v>
      </c>
      <c r="M556">
        <f>COUNTIF('Metrics - Articles'!F553,"*GCO – HR (SuccessFactors)*")</f>
        <v>0</v>
      </c>
      <c r="N556">
        <f>COUNTIF('Metrics - Articles'!F553,"*GCO – Services Sales*")</f>
        <v>0</v>
      </c>
      <c r="O556">
        <f>COUNTIF('Metrics - Articles'!F553,"*GCO – Other*")</f>
        <v>0</v>
      </c>
      <c r="P556">
        <f>COUNTIF('Metrics - Articles'!F553,"*Corporate*")</f>
        <v>0</v>
      </c>
      <c r="R556" s="53">
        <f t="shared" si="10"/>
        <v>0</v>
      </c>
    </row>
    <row r="557" spans="2:18" hidden="1" x14ac:dyDescent="0.25">
      <c r="B557" s="48">
        <f>+'Metrics - Articles'!C554</f>
        <v>0</v>
      </c>
      <c r="C557">
        <f>COUNTIF('Metrics - Articles'!F554,"*GPO (Partner, Ecosystem, Channels)*")</f>
        <v>0</v>
      </c>
      <c r="D557">
        <f>COUNTIF('Metrics - Articles'!F554,"*Office of the CEO*")</f>
        <v>0</v>
      </c>
      <c r="E557">
        <f>COUNTIF('Metrics - Articles'!F554,"*Services Delivery &amp; Support (go-lives and deployments) *")</f>
        <v>0</v>
      </c>
      <c r="F557">
        <f>COUNTIF('Metrics - Articles'!F554,"*Human Resources (SAP HR and employee stories)*")</f>
        <v>0</v>
      </c>
      <c r="G557">
        <f>COUNTIF('Metrics - Articles'!F554,"*P&amp;I (Research &amp; Development)*")</f>
        <v>0</v>
      </c>
      <c r="H557">
        <f>COUNTIF('Metrics - Articles'!F554,"*Business Network (Concur, Ariba, Fieldglass)*")</f>
        <v>0</v>
      </c>
      <c r="I557">
        <f>COUNTIF('Metrics - Articles'!F554,"*GCO – Regions*")</f>
        <v>0</v>
      </c>
      <c r="J557">
        <f>COUNTIF('Metrics - Articles'!F554,"*GCO – Platform Solutions*")</f>
        <v>0</v>
      </c>
      <c r="K557">
        <f>COUNTIF('Metrics - Articles'!F554,"*GCO – Industry Cloud *")</f>
        <v>0</v>
      </c>
      <c r="L557">
        <f>COUNTIF('Metrics - Articles'!F554,"*GCO – Customer Engagement &amp; Commerce (CRM &amp; hybris) *")</f>
        <v>0</v>
      </c>
      <c r="M557">
        <f>COUNTIF('Metrics - Articles'!F554,"*GCO – HR (SuccessFactors)*")</f>
        <v>0</v>
      </c>
      <c r="N557">
        <f>COUNTIF('Metrics - Articles'!F554,"*GCO – Services Sales*")</f>
        <v>0</v>
      </c>
      <c r="O557">
        <f>COUNTIF('Metrics - Articles'!F554,"*GCO – Other*")</f>
        <v>0</v>
      </c>
      <c r="P557">
        <f>COUNTIF('Metrics - Articles'!F554,"*Corporate*")</f>
        <v>0</v>
      </c>
      <c r="R557" s="53">
        <f t="shared" si="10"/>
        <v>0</v>
      </c>
    </row>
    <row r="558" spans="2:18" hidden="1" x14ac:dyDescent="0.25">
      <c r="B558" s="48">
        <f>+'Metrics - Articles'!C555</f>
        <v>0</v>
      </c>
      <c r="C558">
        <f>COUNTIF('Metrics - Articles'!F555,"*GPO (Partner, Ecosystem, Channels)*")</f>
        <v>0</v>
      </c>
      <c r="D558">
        <f>COUNTIF('Metrics - Articles'!F555,"*Office of the CEO*")</f>
        <v>0</v>
      </c>
      <c r="E558">
        <f>COUNTIF('Metrics - Articles'!F555,"*Services Delivery &amp; Support (go-lives and deployments) *")</f>
        <v>0</v>
      </c>
      <c r="F558">
        <f>COUNTIF('Metrics - Articles'!F555,"*Human Resources (SAP HR and employee stories)*")</f>
        <v>0</v>
      </c>
      <c r="G558">
        <f>COUNTIF('Metrics - Articles'!F555,"*P&amp;I (Research &amp; Development)*")</f>
        <v>0</v>
      </c>
      <c r="H558">
        <f>COUNTIF('Metrics - Articles'!F555,"*Business Network (Concur, Ariba, Fieldglass)*")</f>
        <v>0</v>
      </c>
      <c r="I558">
        <f>COUNTIF('Metrics - Articles'!F555,"*GCO – Regions*")</f>
        <v>0</v>
      </c>
      <c r="J558">
        <f>COUNTIF('Metrics - Articles'!F555,"*GCO – Platform Solutions*")</f>
        <v>0</v>
      </c>
      <c r="K558">
        <f>COUNTIF('Metrics - Articles'!F555,"*GCO – Industry Cloud *")</f>
        <v>0</v>
      </c>
      <c r="L558">
        <f>COUNTIF('Metrics - Articles'!F555,"*GCO – Customer Engagement &amp; Commerce (CRM &amp; hybris) *")</f>
        <v>0</v>
      </c>
      <c r="M558">
        <f>COUNTIF('Metrics - Articles'!F555,"*GCO – HR (SuccessFactors)*")</f>
        <v>0</v>
      </c>
      <c r="N558">
        <f>COUNTIF('Metrics - Articles'!F555,"*GCO – Services Sales*")</f>
        <v>0</v>
      </c>
      <c r="O558">
        <f>COUNTIF('Metrics - Articles'!F555,"*GCO – Other*")</f>
        <v>0</v>
      </c>
      <c r="P558">
        <f>COUNTIF('Metrics - Articles'!F555,"*Corporate*")</f>
        <v>0</v>
      </c>
      <c r="R558" s="53">
        <f t="shared" si="10"/>
        <v>0</v>
      </c>
    </row>
    <row r="559" spans="2:18" hidden="1" x14ac:dyDescent="0.25">
      <c r="B559" s="48">
        <f>+'Metrics - Articles'!C556</f>
        <v>0</v>
      </c>
      <c r="C559">
        <f>COUNTIF('Metrics - Articles'!F556,"*GPO (Partner, Ecosystem, Channels)*")</f>
        <v>0</v>
      </c>
      <c r="D559">
        <f>COUNTIF('Metrics - Articles'!F556,"*Office of the CEO*")</f>
        <v>0</v>
      </c>
      <c r="E559">
        <f>COUNTIF('Metrics - Articles'!F556,"*Services Delivery &amp; Support (go-lives and deployments) *")</f>
        <v>0</v>
      </c>
      <c r="F559">
        <f>COUNTIF('Metrics - Articles'!F556,"*Human Resources (SAP HR and employee stories)*")</f>
        <v>0</v>
      </c>
      <c r="G559">
        <f>COUNTIF('Metrics - Articles'!F556,"*P&amp;I (Research &amp; Development)*")</f>
        <v>0</v>
      </c>
      <c r="H559">
        <f>COUNTIF('Metrics - Articles'!F556,"*Business Network (Concur, Ariba, Fieldglass)*")</f>
        <v>0</v>
      </c>
      <c r="I559">
        <f>COUNTIF('Metrics - Articles'!F556,"*GCO – Regions*")</f>
        <v>0</v>
      </c>
      <c r="J559">
        <f>COUNTIF('Metrics - Articles'!F556,"*GCO – Platform Solutions*")</f>
        <v>0</v>
      </c>
      <c r="K559">
        <f>COUNTIF('Metrics - Articles'!F556,"*GCO – Industry Cloud *")</f>
        <v>0</v>
      </c>
      <c r="L559">
        <f>COUNTIF('Metrics - Articles'!F556,"*GCO – Customer Engagement &amp; Commerce (CRM &amp; hybris) *")</f>
        <v>0</v>
      </c>
      <c r="M559">
        <f>COUNTIF('Metrics - Articles'!F556,"*GCO – HR (SuccessFactors)*")</f>
        <v>0</v>
      </c>
      <c r="N559">
        <f>COUNTIF('Metrics - Articles'!F556,"*GCO – Services Sales*")</f>
        <v>0</v>
      </c>
      <c r="O559">
        <f>COUNTIF('Metrics - Articles'!F556,"*GCO – Other*")</f>
        <v>0</v>
      </c>
      <c r="P559">
        <f>COUNTIF('Metrics - Articles'!F556,"*Corporate*")</f>
        <v>0</v>
      </c>
      <c r="R559" s="53">
        <f t="shared" si="10"/>
        <v>0</v>
      </c>
    </row>
    <row r="560" spans="2:18" hidden="1" x14ac:dyDescent="0.25">
      <c r="B560" s="48">
        <f>+'Metrics - Articles'!C557</f>
        <v>0</v>
      </c>
      <c r="C560">
        <f>COUNTIF('Metrics - Articles'!F557,"*GPO (Partner, Ecosystem, Channels)*")</f>
        <v>0</v>
      </c>
      <c r="D560">
        <f>COUNTIF('Metrics - Articles'!F557,"*Office of the CEO*")</f>
        <v>0</v>
      </c>
      <c r="E560">
        <f>COUNTIF('Metrics - Articles'!F557,"*Services Delivery &amp; Support (go-lives and deployments) *")</f>
        <v>0</v>
      </c>
      <c r="F560">
        <f>COUNTIF('Metrics - Articles'!F557,"*Human Resources (SAP HR and employee stories)*")</f>
        <v>0</v>
      </c>
      <c r="G560">
        <f>COUNTIF('Metrics - Articles'!F557,"*P&amp;I (Research &amp; Development)*")</f>
        <v>0</v>
      </c>
      <c r="H560">
        <f>COUNTIF('Metrics - Articles'!F557,"*Business Network (Concur, Ariba, Fieldglass)*")</f>
        <v>0</v>
      </c>
      <c r="I560">
        <f>COUNTIF('Metrics - Articles'!F557,"*GCO – Regions*")</f>
        <v>0</v>
      </c>
      <c r="J560">
        <f>COUNTIF('Metrics - Articles'!F557,"*GCO – Platform Solutions*")</f>
        <v>0</v>
      </c>
      <c r="K560">
        <f>COUNTIF('Metrics - Articles'!F557,"*GCO – Industry Cloud *")</f>
        <v>0</v>
      </c>
      <c r="L560">
        <f>COUNTIF('Metrics - Articles'!F557,"*GCO – Customer Engagement &amp; Commerce (CRM &amp; hybris) *")</f>
        <v>0</v>
      </c>
      <c r="M560">
        <f>COUNTIF('Metrics - Articles'!F557,"*GCO – HR (SuccessFactors)*")</f>
        <v>0</v>
      </c>
      <c r="N560">
        <f>COUNTIF('Metrics - Articles'!F557,"*GCO – Services Sales*")</f>
        <v>0</v>
      </c>
      <c r="O560">
        <f>COUNTIF('Metrics - Articles'!F557,"*GCO – Other*")</f>
        <v>0</v>
      </c>
      <c r="P560">
        <f>COUNTIF('Metrics - Articles'!F557,"*Corporate*")</f>
        <v>0</v>
      </c>
      <c r="R560" s="53">
        <f t="shared" si="10"/>
        <v>0</v>
      </c>
    </row>
    <row r="561" spans="2:18" hidden="1" x14ac:dyDescent="0.25">
      <c r="B561" s="48">
        <f>+'Metrics - Articles'!C558</f>
        <v>0</v>
      </c>
      <c r="C561">
        <f>COUNTIF('Metrics - Articles'!F558,"*GPO (Partner, Ecosystem, Channels)*")</f>
        <v>0</v>
      </c>
      <c r="D561">
        <f>COUNTIF('Metrics - Articles'!F558,"*Office of the CEO*")</f>
        <v>0</v>
      </c>
      <c r="E561">
        <f>COUNTIF('Metrics - Articles'!F558,"*Services Delivery &amp; Support (go-lives and deployments) *")</f>
        <v>0</v>
      </c>
      <c r="F561">
        <f>COUNTIF('Metrics - Articles'!F558,"*Human Resources (SAP HR and employee stories)*")</f>
        <v>0</v>
      </c>
      <c r="G561">
        <f>COUNTIF('Metrics - Articles'!F558,"*P&amp;I (Research &amp; Development)*")</f>
        <v>0</v>
      </c>
      <c r="H561">
        <f>COUNTIF('Metrics - Articles'!F558,"*Business Network (Concur, Ariba, Fieldglass)*")</f>
        <v>0</v>
      </c>
      <c r="I561">
        <f>COUNTIF('Metrics - Articles'!F558,"*GCO – Regions*")</f>
        <v>0</v>
      </c>
      <c r="J561">
        <f>COUNTIF('Metrics - Articles'!F558,"*GCO – Platform Solutions*")</f>
        <v>0</v>
      </c>
      <c r="K561">
        <f>COUNTIF('Metrics - Articles'!F558,"*GCO – Industry Cloud *")</f>
        <v>0</v>
      </c>
      <c r="L561">
        <f>COUNTIF('Metrics - Articles'!F558,"*GCO – Customer Engagement &amp; Commerce (CRM &amp; hybris) *")</f>
        <v>0</v>
      </c>
      <c r="M561">
        <f>COUNTIF('Metrics - Articles'!F558,"*GCO – HR (SuccessFactors)*")</f>
        <v>0</v>
      </c>
      <c r="N561">
        <f>COUNTIF('Metrics - Articles'!F558,"*GCO – Services Sales*")</f>
        <v>0</v>
      </c>
      <c r="O561">
        <f>COUNTIF('Metrics - Articles'!F558,"*GCO – Other*")</f>
        <v>0</v>
      </c>
      <c r="P561">
        <f>COUNTIF('Metrics - Articles'!F558,"*Corporate*")</f>
        <v>0</v>
      </c>
      <c r="R561" s="53">
        <f t="shared" si="10"/>
        <v>0</v>
      </c>
    </row>
    <row r="562" spans="2:18" hidden="1" x14ac:dyDescent="0.25">
      <c r="B562" s="48">
        <f>+'Metrics - Articles'!C559</f>
        <v>0</v>
      </c>
      <c r="C562">
        <f>COUNTIF('Metrics - Articles'!F559,"*GPO (Partner, Ecosystem, Channels)*")</f>
        <v>0</v>
      </c>
      <c r="D562">
        <f>COUNTIF('Metrics - Articles'!F559,"*Office of the CEO*")</f>
        <v>0</v>
      </c>
      <c r="E562">
        <f>COUNTIF('Metrics - Articles'!F559,"*Services Delivery &amp; Support (go-lives and deployments) *")</f>
        <v>0</v>
      </c>
      <c r="F562">
        <f>COUNTIF('Metrics - Articles'!F559,"*Human Resources (SAP HR and employee stories)*")</f>
        <v>0</v>
      </c>
      <c r="G562">
        <f>COUNTIF('Metrics - Articles'!F559,"*P&amp;I (Research &amp; Development)*")</f>
        <v>0</v>
      </c>
      <c r="H562">
        <f>COUNTIF('Metrics - Articles'!F559,"*Business Network (Concur, Ariba, Fieldglass)*")</f>
        <v>0</v>
      </c>
      <c r="I562">
        <f>COUNTIF('Metrics - Articles'!F559,"*GCO – Regions*")</f>
        <v>0</v>
      </c>
      <c r="J562">
        <f>COUNTIF('Metrics - Articles'!F559,"*GCO – Platform Solutions*")</f>
        <v>0</v>
      </c>
      <c r="K562">
        <f>COUNTIF('Metrics - Articles'!F559,"*GCO – Industry Cloud *")</f>
        <v>0</v>
      </c>
      <c r="L562">
        <f>COUNTIF('Metrics - Articles'!F559,"*GCO – Customer Engagement &amp; Commerce (CRM &amp; hybris) *")</f>
        <v>0</v>
      </c>
      <c r="M562">
        <f>COUNTIF('Metrics - Articles'!F559,"*GCO – HR (SuccessFactors)*")</f>
        <v>0</v>
      </c>
      <c r="N562">
        <f>COUNTIF('Metrics - Articles'!F559,"*GCO – Services Sales*")</f>
        <v>0</v>
      </c>
      <c r="O562">
        <f>COUNTIF('Metrics - Articles'!F559,"*GCO – Other*")</f>
        <v>0</v>
      </c>
      <c r="P562">
        <f>COUNTIF('Metrics - Articles'!F559,"*Corporate*")</f>
        <v>0</v>
      </c>
      <c r="R562" s="53">
        <f t="shared" si="10"/>
        <v>0</v>
      </c>
    </row>
    <row r="563" spans="2:18" hidden="1" x14ac:dyDescent="0.25">
      <c r="B563" s="48">
        <f>+'Metrics - Articles'!C560</f>
        <v>0</v>
      </c>
      <c r="C563">
        <f>COUNTIF('Metrics - Articles'!F560,"*GPO (Partner, Ecosystem, Channels)*")</f>
        <v>0</v>
      </c>
      <c r="D563">
        <f>COUNTIF('Metrics - Articles'!F560,"*Office of the CEO*")</f>
        <v>0</v>
      </c>
      <c r="E563">
        <f>COUNTIF('Metrics - Articles'!F560,"*Services Delivery &amp; Support (go-lives and deployments) *")</f>
        <v>0</v>
      </c>
      <c r="F563">
        <f>COUNTIF('Metrics - Articles'!F560,"*Human Resources (SAP HR and employee stories)*")</f>
        <v>0</v>
      </c>
      <c r="G563">
        <f>COUNTIF('Metrics - Articles'!F560,"*P&amp;I (Research &amp; Development)*")</f>
        <v>0</v>
      </c>
      <c r="H563">
        <f>COUNTIF('Metrics - Articles'!F560,"*Business Network (Concur, Ariba, Fieldglass)*")</f>
        <v>0</v>
      </c>
      <c r="I563">
        <f>COUNTIF('Metrics - Articles'!F560,"*GCO – Regions*")</f>
        <v>0</v>
      </c>
      <c r="J563">
        <f>COUNTIF('Metrics - Articles'!F560,"*GCO – Platform Solutions*")</f>
        <v>0</v>
      </c>
      <c r="K563">
        <f>COUNTIF('Metrics - Articles'!F560,"*GCO – Industry Cloud *")</f>
        <v>0</v>
      </c>
      <c r="L563">
        <f>COUNTIF('Metrics - Articles'!F560,"*GCO – Customer Engagement &amp; Commerce (CRM &amp; hybris) *")</f>
        <v>0</v>
      </c>
      <c r="M563">
        <f>COUNTIF('Metrics - Articles'!F560,"*GCO – HR (SuccessFactors)*")</f>
        <v>0</v>
      </c>
      <c r="N563">
        <f>COUNTIF('Metrics - Articles'!F560,"*GCO – Services Sales*")</f>
        <v>0</v>
      </c>
      <c r="O563">
        <f>COUNTIF('Metrics - Articles'!F560,"*GCO – Other*")</f>
        <v>0</v>
      </c>
      <c r="P563">
        <f>COUNTIF('Metrics - Articles'!F560,"*Corporate*")</f>
        <v>0</v>
      </c>
      <c r="R563" s="53">
        <f t="shared" si="10"/>
        <v>0</v>
      </c>
    </row>
    <row r="564" spans="2:18" hidden="1" x14ac:dyDescent="0.25">
      <c r="B564" s="48">
        <f>+'Metrics - Articles'!C561</f>
        <v>0</v>
      </c>
      <c r="C564">
        <f>COUNTIF('Metrics - Articles'!F561,"*GPO (Partner, Ecosystem, Channels)*")</f>
        <v>0</v>
      </c>
      <c r="D564">
        <f>COUNTIF('Metrics - Articles'!F561,"*Office of the CEO*")</f>
        <v>0</v>
      </c>
      <c r="E564">
        <f>COUNTIF('Metrics - Articles'!F561,"*Services Delivery &amp; Support (go-lives and deployments) *")</f>
        <v>0</v>
      </c>
      <c r="F564">
        <f>COUNTIF('Metrics - Articles'!F561,"*Human Resources (SAP HR and employee stories)*")</f>
        <v>0</v>
      </c>
      <c r="G564">
        <f>COUNTIF('Metrics - Articles'!F561,"*P&amp;I (Research &amp; Development)*")</f>
        <v>0</v>
      </c>
      <c r="H564">
        <f>COUNTIF('Metrics - Articles'!F561,"*Business Network (Concur, Ariba, Fieldglass)*")</f>
        <v>0</v>
      </c>
      <c r="I564">
        <f>COUNTIF('Metrics - Articles'!F561,"*GCO – Regions*")</f>
        <v>0</v>
      </c>
      <c r="J564">
        <f>COUNTIF('Metrics - Articles'!F561,"*GCO – Platform Solutions*")</f>
        <v>0</v>
      </c>
      <c r="K564">
        <f>COUNTIF('Metrics - Articles'!F561,"*GCO – Industry Cloud *")</f>
        <v>0</v>
      </c>
      <c r="L564">
        <f>COUNTIF('Metrics - Articles'!F561,"*GCO – Customer Engagement &amp; Commerce (CRM &amp; hybris) *")</f>
        <v>0</v>
      </c>
      <c r="M564">
        <f>COUNTIF('Metrics - Articles'!F561,"*GCO – HR (SuccessFactors)*")</f>
        <v>0</v>
      </c>
      <c r="N564">
        <f>COUNTIF('Metrics - Articles'!F561,"*GCO – Services Sales*")</f>
        <v>0</v>
      </c>
      <c r="O564">
        <f>COUNTIF('Metrics - Articles'!F561,"*GCO – Other*")</f>
        <v>0</v>
      </c>
      <c r="P564">
        <f>COUNTIF('Metrics - Articles'!F561,"*Corporate*")</f>
        <v>0</v>
      </c>
      <c r="R564" s="53">
        <f t="shared" si="10"/>
        <v>0</v>
      </c>
    </row>
    <row r="565" spans="2:18" hidden="1" x14ac:dyDescent="0.25">
      <c r="B565" s="48">
        <f>+'Metrics - Articles'!C562</f>
        <v>0</v>
      </c>
      <c r="C565">
        <f>COUNTIF('Metrics - Articles'!F562,"*GPO (Partner, Ecosystem, Channels)*")</f>
        <v>0</v>
      </c>
      <c r="D565">
        <f>COUNTIF('Metrics - Articles'!F562,"*Office of the CEO*")</f>
        <v>0</v>
      </c>
      <c r="E565">
        <f>COUNTIF('Metrics - Articles'!F562,"*Services Delivery &amp; Support (go-lives and deployments) *")</f>
        <v>0</v>
      </c>
      <c r="F565">
        <f>COUNTIF('Metrics - Articles'!F562,"*Human Resources (SAP HR and employee stories)*")</f>
        <v>0</v>
      </c>
      <c r="G565">
        <f>COUNTIF('Metrics - Articles'!F562,"*P&amp;I (Research &amp; Development)*")</f>
        <v>0</v>
      </c>
      <c r="H565">
        <f>COUNTIF('Metrics - Articles'!F562,"*Business Network (Concur, Ariba, Fieldglass)*")</f>
        <v>0</v>
      </c>
      <c r="I565">
        <f>COUNTIF('Metrics - Articles'!F562,"*GCO – Regions*")</f>
        <v>0</v>
      </c>
      <c r="J565">
        <f>COUNTIF('Metrics - Articles'!F562,"*GCO – Platform Solutions*")</f>
        <v>0</v>
      </c>
      <c r="K565">
        <f>COUNTIF('Metrics - Articles'!F562,"*GCO – Industry Cloud *")</f>
        <v>0</v>
      </c>
      <c r="L565">
        <f>COUNTIF('Metrics - Articles'!F562,"*GCO – Customer Engagement &amp; Commerce (CRM &amp; hybris) *")</f>
        <v>0</v>
      </c>
      <c r="M565">
        <f>COUNTIF('Metrics - Articles'!F562,"*GCO – HR (SuccessFactors)*")</f>
        <v>0</v>
      </c>
      <c r="N565">
        <f>COUNTIF('Metrics - Articles'!F562,"*GCO – Services Sales*")</f>
        <v>0</v>
      </c>
      <c r="O565">
        <f>COUNTIF('Metrics - Articles'!F562,"*GCO – Other*")</f>
        <v>0</v>
      </c>
      <c r="P565">
        <f>COUNTIF('Metrics - Articles'!F562,"*Corporate*")</f>
        <v>0</v>
      </c>
      <c r="R565" s="53">
        <f t="shared" si="10"/>
        <v>0</v>
      </c>
    </row>
    <row r="566" spans="2:18" hidden="1" x14ac:dyDescent="0.25">
      <c r="B566" s="48">
        <f>+'Metrics - Articles'!C563</f>
        <v>0</v>
      </c>
      <c r="C566">
        <f>COUNTIF('Metrics - Articles'!F563,"*GPO (Partner, Ecosystem, Channels)*")</f>
        <v>0</v>
      </c>
      <c r="D566">
        <f>COUNTIF('Metrics - Articles'!F563,"*Office of the CEO*")</f>
        <v>0</v>
      </c>
      <c r="E566">
        <f>COUNTIF('Metrics - Articles'!F563,"*Services Delivery &amp; Support (go-lives and deployments) *")</f>
        <v>0</v>
      </c>
      <c r="F566">
        <f>COUNTIF('Metrics - Articles'!F563,"*Human Resources (SAP HR and employee stories)*")</f>
        <v>0</v>
      </c>
      <c r="G566">
        <f>COUNTIF('Metrics - Articles'!F563,"*P&amp;I (Research &amp; Development)*")</f>
        <v>0</v>
      </c>
      <c r="H566">
        <f>COUNTIF('Metrics - Articles'!F563,"*Business Network (Concur, Ariba, Fieldglass)*")</f>
        <v>0</v>
      </c>
      <c r="I566">
        <f>COUNTIF('Metrics - Articles'!F563,"*GCO – Regions*")</f>
        <v>0</v>
      </c>
      <c r="J566">
        <f>COUNTIF('Metrics - Articles'!F563,"*GCO – Platform Solutions*")</f>
        <v>0</v>
      </c>
      <c r="K566">
        <f>COUNTIF('Metrics - Articles'!F563,"*GCO – Industry Cloud *")</f>
        <v>0</v>
      </c>
      <c r="L566">
        <f>COUNTIF('Metrics - Articles'!F563,"*GCO – Customer Engagement &amp; Commerce (CRM &amp; hybris) *")</f>
        <v>0</v>
      </c>
      <c r="M566">
        <f>COUNTIF('Metrics - Articles'!F563,"*GCO – HR (SuccessFactors)*")</f>
        <v>0</v>
      </c>
      <c r="N566">
        <f>COUNTIF('Metrics - Articles'!F563,"*GCO – Services Sales*")</f>
        <v>0</v>
      </c>
      <c r="O566">
        <f>COUNTIF('Metrics - Articles'!F563,"*GCO – Other*")</f>
        <v>0</v>
      </c>
      <c r="P566">
        <f>COUNTIF('Metrics - Articles'!F563,"*Corporate*")</f>
        <v>0</v>
      </c>
      <c r="R566" s="53">
        <f t="shared" si="10"/>
        <v>0</v>
      </c>
    </row>
    <row r="567" spans="2:18" hidden="1" x14ac:dyDescent="0.25">
      <c r="B567" s="48">
        <f>+'Metrics - Articles'!C564</f>
        <v>0</v>
      </c>
      <c r="C567">
        <f>COUNTIF('Metrics - Articles'!F564,"*GPO (Partner, Ecosystem, Channels)*")</f>
        <v>0</v>
      </c>
      <c r="D567">
        <f>COUNTIF('Metrics - Articles'!F564,"*Office of the CEO*")</f>
        <v>0</v>
      </c>
      <c r="E567">
        <f>COUNTIF('Metrics - Articles'!F564,"*Services Delivery &amp; Support (go-lives and deployments) *")</f>
        <v>0</v>
      </c>
      <c r="F567">
        <f>COUNTIF('Metrics - Articles'!F564,"*Human Resources (SAP HR and employee stories)*")</f>
        <v>0</v>
      </c>
      <c r="G567">
        <f>COUNTIF('Metrics - Articles'!F564,"*P&amp;I (Research &amp; Development)*")</f>
        <v>0</v>
      </c>
      <c r="H567">
        <f>COUNTIF('Metrics - Articles'!F564,"*Business Network (Concur, Ariba, Fieldglass)*")</f>
        <v>0</v>
      </c>
      <c r="I567">
        <f>COUNTIF('Metrics - Articles'!F564,"*GCO – Regions*")</f>
        <v>0</v>
      </c>
      <c r="J567">
        <f>COUNTIF('Metrics - Articles'!F564,"*GCO – Platform Solutions*")</f>
        <v>0</v>
      </c>
      <c r="K567">
        <f>COUNTIF('Metrics - Articles'!F564,"*GCO – Industry Cloud *")</f>
        <v>0</v>
      </c>
      <c r="L567">
        <f>COUNTIF('Metrics - Articles'!F564,"*GCO – Customer Engagement &amp; Commerce (CRM &amp; hybris) *")</f>
        <v>0</v>
      </c>
      <c r="M567">
        <f>COUNTIF('Metrics - Articles'!F564,"*GCO – HR (SuccessFactors)*")</f>
        <v>0</v>
      </c>
      <c r="N567">
        <f>COUNTIF('Metrics - Articles'!F564,"*GCO – Services Sales*")</f>
        <v>0</v>
      </c>
      <c r="O567">
        <f>COUNTIF('Metrics - Articles'!F564,"*GCO – Other*")</f>
        <v>0</v>
      </c>
      <c r="P567">
        <f>COUNTIF('Metrics - Articles'!F564,"*Corporate*")</f>
        <v>0</v>
      </c>
      <c r="R567" s="53">
        <f t="shared" si="10"/>
        <v>0</v>
      </c>
    </row>
    <row r="568" spans="2:18" hidden="1" x14ac:dyDescent="0.25">
      <c r="B568" s="48">
        <f>+'Metrics - Articles'!C565</f>
        <v>0</v>
      </c>
      <c r="C568">
        <f>COUNTIF('Metrics - Articles'!F565,"*GPO (Partner, Ecosystem, Channels)*")</f>
        <v>0</v>
      </c>
      <c r="D568">
        <f>COUNTIF('Metrics - Articles'!F565,"*Office of the CEO*")</f>
        <v>0</v>
      </c>
      <c r="E568">
        <f>COUNTIF('Metrics - Articles'!F565,"*Services Delivery &amp; Support (go-lives and deployments) *")</f>
        <v>0</v>
      </c>
      <c r="F568">
        <f>COUNTIF('Metrics - Articles'!F565,"*Human Resources (SAP HR and employee stories)*")</f>
        <v>0</v>
      </c>
      <c r="G568">
        <f>COUNTIF('Metrics - Articles'!F565,"*P&amp;I (Research &amp; Development)*")</f>
        <v>0</v>
      </c>
      <c r="H568">
        <f>COUNTIF('Metrics - Articles'!F565,"*Business Network (Concur, Ariba, Fieldglass)*")</f>
        <v>0</v>
      </c>
      <c r="I568">
        <f>COUNTIF('Metrics - Articles'!F565,"*GCO – Regions*")</f>
        <v>0</v>
      </c>
      <c r="J568">
        <f>COUNTIF('Metrics - Articles'!F565,"*GCO – Platform Solutions*")</f>
        <v>0</v>
      </c>
      <c r="K568">
        <f>COUNTIF('Metrics - Articles'!F565,"*GCO – Industry Cloud *")</f>
        <v>0</v>
      </c>
      <c r="L568">
        <f>COUNTIF('Metrics - Articles'!F565,"*GCO – Customer Engagement &amp; Commerce (CRM &amp; hybris) *")</f>
        <v>0</v>
      </c>
      <c r="M568">
        <f>COUNTIF('Metrics - Articles'!F565,"*GCO – HR (SuccessFactors)*")</f>
        <v>0</v>
      </c>
      <c r="N568">
        <f>COUNTIF('Metrics - Articles'!F565,"*GCO – Services Sales*")</f>
        <v>0</v>
      </c>
      <c r="O568">
        <f>COUNTIF('Metrics - Articles'!F565,"*GCO – Other*")</f>
        <v>0</v>
      </c>
      <c r="P568">
        <f>COUNTIF('Metrics - Articles'!F565,"*Corporate*")</f>
        <v>0</v>
      </c>
      <c r="R568" s="53">
        <f t="shared" si="10"/>
        <v>0</v>
      </c>
    </row>
    <row r="569" spans="2:18" hidden="1" x14ac:dyDescent="0.25">
      <c r="B569" s="48">
        <f>+'Metrics - Articles'!C566</f>
        <v>0</v>
      </c>
      <c r="C569">
        <f>COUNTIF('Metrics - Articles'!F566,"*GPO (Partner, Ecosystem, Channels)*")</f>
        <v>0</v>
      </c>
      <c r="D569">
        <f>COUNTIF('Metrics - Articles'!F566,"*Office of the CEO*")</f>
        <v>0</v>
      </c>
      <c r="E569">
        <f>COUNTIF('Metrics - Articles'!F566,"*Services Delivery &amp; Support (go-lives and deployments) *")</f>
        <v>0</v>
      </c>
      <c r="F569">
        <f>COUNTIF('Metrics - Articles'!F566,"*Human Resources (SAP HR and employee stories)*")</f>
        <v>0</v>
      </c>
      <c r="G569">
        <f>COUNTIF('Metrics - Articles'!F566,"*P&amp;I (Research &amp; Development)*")</f>
        <v>0</v>
      </c>
      <c r="H569">
        <f>COUNTIF('Metrics - Articles'!F566,"*Business Network (Concur, Ariba, Fieldglass)*")</f>
        <v>0</v>
      </c>
      <c r="I569">
        <f>COUNTIF('Metrics - Articles'!F566,"*GCO – Regions*")</f>
        <v>0</v>
      </c>
      <c r="J569">
        <f>COUNTIF('Metrics - Articles'!F566,"*GCO – Platform Solutions*")</f>
        <v>0</v>
      </c>
      <c r="K569">
        <f>COUNTIF('Metrics - Articles'!F566,"*GCO – Industry Cloud *")</f>
        <v>0</v>
      </c>
      <c r="L569">
        <f>COUNTIF('Metrics - Articles'!F566,"*GCO – Customer Engagement &amp; Commerce (CRM &amp; hybris) *")</f>
        <v>0</v>
      </c>
      <c r="M569">
        <f>COUNTIF('Metrics - Articles'!F566,"*GCO – HR (SuccessFactors)*")</f>
        <v>0</v>
      </c>
      <c r="N569">
        <f>COUNTIF('Metrics - Articles'!F566,"*GCO – Services Sales*")</f>
        <v>0</v>
      </c>
      <c r="O569">
        <f>COUNTIF('Metrics - Articles'!F566,"*GCO – Other*")</f>
        <v>0</v>
      </c>
      <c r="P569">
        <f>COUNTIF('Metrics - Articles'!F566,"*Corporate*")</f>
        <v>0</v>
      </c>
      <c r="R569" s="53">
        <f t="shared" si="10"/>
        <v>0</v>
      </c>
    </row>
    <row r="570" spans="2:18" hidden="1" x14ac:dyDescent="0.25">
      <c r="B570" s="48">
        <f>+'Metrics - Articles'!C567</f>
        <v>0</v>
      </c>
      <c r="C570">
        <f>COUNTIF('Metrics - Articles'!F567,"*GPO (Partner, Ecosystem, Channels)*")</f>
        <v>0</v>
      </c>
      <c r="D570">
        <f>COUNTIF('Metrics - Articles'!F567,"*Office of the CEO*")</f>
        <v>0</v>
      </c>
      <c r="E570">
        <f>COUNTIF('Metrics - Articles'!F567,"*Services Delivery &amp; Support (go-lives and deployments) *")</f>
        <v>0</v>
      </c>
      <c r="F570">
        <f>COUNTIF('Metrics - Articles'!F567,"*Human Resources (SAP HR and employee stories)*")</f>
        <v>0</v>
      </c>
      <c r="G570">
        <f>COUNTIF('Metrics - Articles'!F567,"*P&amp;I (Research &amp; Development)*")</f>
        <v>0</v>
      </c>
      <c r="H570">
        <f>COUNTIF('Metrics - Articles'!F567,"*Business Network (Concur, Ariba, Fieldglass)*")</f>
        <v>0</v>
      </c>
      <c r="I570">
        <f>COUNTIF('Metrics - Articles'!F567,"*GCO – Regions*")</f>
        <v>0</v>
      </c>
      <c r="J570">
        <f>COUNTIF('Metrics - Articles'!F567,"*GCO – Platform Solutions*")</f>
        <v>0</v>
      </c>
      <c r="K570">
        <f>COUNTIF('Metrics - Articles'!F567,"*GCO – Industry Cloud *")</f>
        <v>0</v>
      </c>
      <c r="L570">
        <f>COUNTIF('Metrics - Articles'!F567,"*GCO – Customer Engagement &amp; Commerce (CRM &amp; hybris) *")</f>
        <v>0</v>
      </c>
      <c r="M570">
        <f>COUNTIF('Metrics - Articles'!F567,"*GCO – HR (SuccessFactors)*")</f>
        <v>0</v>
      </c>
      <c r="N570">
        <f>COUNTIF('Metrics - Articles'!F567,"*GCO – Services Sales*")</f>
        <v>0</v>
      </c>
      <c r="O570">
        <f>COUNTIF('Metrics - Articles'!F567,"*GCO – Other*")</f>
        <v>0</v>
      </c>
      <c r="P570">
        <f>COUNTIF('Metrics - Articles'!F567,"*Corporate*")</f>
        <v>0</v>
      </c>
      <c r="R570" s="53">
        <f t="shared" si="10"/>
        <v>0</v>
      </c>
    </row>
    <row r="571" spans="2:18" hidden="1" x14ac:dyDescent="0.25">
      <c r="B571" s="48">
        <f>+'Metrics - Articles'!C568</f>
        <v>0</v>
      </c>
      <c r="C571">
        <f>COUNTIF('Metrics - Articles'!F568,"*GPO (Partner, Ecosystem, Channels)*")</f>
        <v>0</v>
      </c>
      <c r="D571">
        <f>COUNTIF('Metrics - Articles'!F568,"*Office of the CEO*")</f>
        <v>0</v>
      </c>
      <c r="E571">
        <f>COUNTIF('Metrics - Articles'!F568,"*Services Delivery &amp; Support (go-lives and deployments) *")</f>
        <v>0</v>
      </c>
      <c r="F571">
        <f>COUNTIF('Metrics - Articles'!F568,"*Human Resources (SAP HR and employee stories)*")</f>
        <v>0</v>
      </c>
      <c r="G571">
        <f>COUNTIF('Metrics - Articles'!F568,"*P&amp;I (Research &amp; Development)*")</f>
        <v>0</v>
      </c>
      <c r="H571">
        <f>COUNTIF('Metrics - Articles'!F568,"*Business Network (Concur, Ariba, Fieldglass)*")</f>
        <v>0</v>
      </c>
      <c r="I571">
        <f>COUNTIF('Metrics - Articles'!F568,"*GCO – Regions*")</f>
        <v>0</v>
      </c>
      <c r="J571">
        <f>COUNTIF('Metrics - Articles'!F568,"*GCO – Platform Solutions*")</f>
        <v>0</v>
      </c>
      <c r="K571">
        <f>COUNTIF('Metrics - Articles'!F568,"*GCO – Industry Cloud *")</f>
        <v>0</v>
      </c>
      <c r="L571">
        <f>COUNTIF('Metrics - Articles'!F568,"*GCO – Customer Engagement &amp; Commerce (CRM &amp; hybris) *")</f>
        <v>0</v>
      </c>
      <c r="M571">
        <f>COUNTIF('Metrics - Articles'!F568,"*GCO – HR (SuccessFactors)*")</f>
        <v>0</v>
      </c>
      <c r="N571">
        <f>COUNTIF('Metrics - Articles'!F568,"*GCO – Services Sales*")</f>
        <v>0</v>
      </c>
      <c r="O571">
        <f>COUNTIF('Metrics - Articles'!F568,"*GCO – Other*")</f>
        <v>0</v>
      </c>
      <c r="P571">
        <f>COUNTIF('Metrics - Articles'!F568,"*Corporate*")</f>
        <v>0</v>
      </c>
      <c r="R571" s="53">
        <f t="shared" si="10"/>
        <v>0</v>
      </c>
    </row>
    <row r="572" spans="2:18" hidden="1" x14ac:dyDescent="0.25">
      <c r="B572" s="48">
        <f>+'Metrics - Articles'!C569</f>
        <v>0</v>
      </c>
      <c r="C572">
        <f>COUNTIF('Metrics - Articles'!F569,"*GPO (Partner, Ecosystem, Channels)*")</f>
        <v>0</v>
      </c>
      <c r="D572">
        <f>COUNTIF('Metrics - Articles'!F569,"*Office of the CEO*")</f>
        <v>0</v>
      </c>
      <c r="E572">
        <f>COUNTIF('Metrics - Articles'!F569,"*Services Delivery &amp; Support (go-lives and deployments) *")</f>
        <v>0</v>
      </c>
      <c r="F572">
        <f>COUNTIF('Metrics - Articles'!F569,"*Human Resources (SAP HR and employee stories)*")</f>
        <v>0</v>
      </c>
      <c r="G572">
        <f>COUNTIF('Metrics - Articles'!F569,"*P&amp;I (Research &amp; Development)*")</f>
        <v>0</v>
      </c>
      <c r="H572">
        <f>COUNTIF('Metrics - Articles'!F569,"*Business Network (Concur, Ariba, Fieldglass)*")</f>
        <v>0</v>
      </c>
      <c r="I572">
        <f>COUNTIF('Metrics - Articles'!F569,"*GCO – Regions*")</f>
        <v>0</v>
      </c>
      <c r="J572">
        <f>COUNTIF('Metrics - Articles'!F569,"*GCO – Platform Solutions*")</f>
        <v>0</v>
      </c>
      <c r="K572">
        <f>COUNTIF('Metrics - Articles'!F569,"*GCO – Industry Cloud *")</f>
        <v>0</v>
      </c>
      <c r="L572">
        <f>COUNTIF('Metrics - Articles'!F569,"*GCO – Customer Engagement &amp; Commerce (CRM &amp; hybris) *")</f>
        <v>0</v>
      </c>
      <c r="M572">
        <f>COUNTIF('Metrics - Articles'!F569,"*GCO – HR (SuccessFactors)*")</f>
        <v>0</v>
      </c>
      <c r="N572">
        <f>COUNTIF('Metrics - Articles'!F569,"*GCO – Services Sales*")</f>
        <v>0</v>
      </c>
      <c r="O572">
        <f>COUNTIF('Metrics - Articles'!F569,"*GCO – Other*")</f>
        <v>0</v>
      </c>
      <c r="P572">
        <f>COUNTIF('Metrics - Articles'!F569,"*Corporate*")</f>
        <v>0</v>
      </c>
      <c r="R572" s="53">
        <f t="shared" si="10"/>
        <v>0</v>
      </c>
    </row>
    <row r="573" spans="2:18" hidden="1" x14ac:dyDescent="0.25">
      <c r="B573" s="48">
        <f>+'Metrics - Articles'!C570</f>
        <v>0</v>
      </c>
      <c r="C573">
        <f>COUNTIF('Metrics - Articles'!F570,"*GPO (Partner, Ecosystem, Channels)*")</f>
        <v>0</v>
      </c>
      <c r="D573">
        <f>COUNTIF('Metrics - Articles'!F570,"*Office of the CEO*")</f>
        <v>0</v>
      </c>
      <c r="E573">
        <f>COUNTIF('Metrics - Articles'!F570,"*Services Delivery &amp; Support (go-lives and deployments) *")</f>
        <v>0</v>
      </c>
      <c r="F573">
        <f>COUNTIF('Metrics - Articles'!F570,"*Human Resources (SAP HR and employee stories)*")</f>
        <v>0</v>
      </c>
      <c r="G573">
        <f>COUNTIF('Metrics - Articles'!F570,"*P&amp;I (Research &amp; Development)*")</f>
        <v>0</v>
      </c>
      <c r="H573">
        <f>COUNTIF('Metrics - Articles'!F570,"*Business Network (Concur, Ariba, Fieldglass)*")</f>
        <v>0</v>
      </c>
      <c r="I573">
        <f>COUNTIF('Metrics - Articles'!F570,"*GCO – Regions*")</f>
        <v>0</v>
      </c>
      <c r="J573">
        <f>COUNTIF('Metrics - Articles'!F570,"*GCO – Platform Solutions*")</f>
        <v>0</v>
      </c>
      <c r="K573">
        <f>COUNTIF('Metrics - Articles'!F570,"*GCO – Industry Cloud *")</f>
        <v>0</v>
      </c>
      <c r="L573">
        <f>COUNTIF('Metrics - Articles'!F570,"*GCO – Customer Engagement &amp; Commerce (CRM &amp; hybris) *")</f>
        <v>0</v>
      </c>
      <c r="M573">
        <f>COUNTIF('Metrics - Articles'!F570,"*GCO – HR (SuccessFactors)*")</f>
        <v>0</v>
      </c>
      <c r="N573">
        <f>COUNTIF('Metrics - Articles'!F570,"*GCO – Services Sales*")</f>
        <v>0</v>
      </c>
      <c r="O573">
        <f>COUNTIF('Metrics - Articles'!F570,"*GCO – Other*")</f>
        <v>0</v>
      </c>
      <c r="P573">
        <f>COUNTIF('Metrics - Articles'!F570,"*Corporate*")</f>
        <v>0</v>
      </c>
      <c r="R573" s="53">
        <f t="shared" si="10"/>
        <v>0</v>
      </c>
    </row>
    <row r="574" spans="2:18" hidden="1" x14ac:dyDescent="0.25">
      <c r="B574" s="48">
        <f>+'Metrics - Articles'!C571</f>
        <v>0</v>
      </c>
      <c r="C574">
        <f>COUNTIF('Metrics - Articles'!F571,"*GPO (Partner, Ecosystem, Channels)*")</f>
        <v>0</v>
      </c>
      <c r="D574">
        <f>COUNTIF('Metrics - Articles'!F571,"*Office of the CEO*")</f>
        <v>0</v>
      </c>
      <c r="E574">
        <f>COUNTIF('Metrics - Articles'!F571,"*Services Delivery &amp; Support (go-lives and deployments) *")</f>
        <v>0</v>
      </c>
      <c r="F574">
        <f>COUNTIF('Metrics - Articles'!F571,"*Human Resources (SAP HR and employee stories)*")</f>
        <v>0</v>
      </c>
      <c r="G574">
        <f>COUNTIF('Metrics - Articles'!F571,"*P&amp;I (Research &amp; Development)*")</f>
        <v>0</v>
      </c>
      <c r="H574">
        <f>COUNTIF('Metrics - Articles'!F571,"*Business Network (Concur, Ariba, Fieldglass)*")</f>
        <v>0</v>
      </c>
      <c r="I574">
        <f>COUNTIF('Metrics - Articles'!F571,"*GCO – Regions*")</f>
        <v>0</v>
      </c>
      <c r="J574">
        <f>COUNTIF('Metrics - Articles'!F571,"*GCO – Platform Solutions*")</f>
        <v>0</v>
      </c>
      <c r="K574">
        <f>COUNTIF('Metrics - Articles'!F571,"*GCO – Industry Cloud *")</f>
        <v>0</v>
      </c>
      <c r="L574">
        <f>COUNTIF('Metrics - Articles'!F571,"*GCO – Customer Engagement &amp; Commerce (CRM &amp; hybris) *")</f>
        <v>0</v>
      </c>
      <c r="M574">
        <f>COUNTIF('Metrics - Articles'!F571,"*GCO – HR (SuccessFactors)*")</f>
        <v>0</v>
      </c>
      <c r="N574">
        <f>COUNTIF('Metrics - Articles'!F571,"*GCO – Services Sales*")</f>
        <v>0</v>
      </c>
      <c r="O574">
        <f>COUNTIF('Metrics - Articles'!F571,"*GCO – Other*")</f>
        <v>0</v>
      </c>
      <c r="P574">
        <f>COUNTIF('Metrics - Articles'!F571,"*Corporate*")</f>
        <v>0</v>
      </c>
      <c r="R574" s="53">
        <f t="shared" si="10"/>
        <v>0</v>
      </c>
    </row>
    <row r="575" spans="2:18" hidden="1" x14ac:dyDescent="0.25">
      <c r="B575" s="48">
        <f>+'Metrics - Articles'!C572</f>
        <v>0</v>
      </c>
      <c r="C575">
        <f>COUNTIF('Metrics - Articles'!F572,"*GPO (Partner, Ecosystem, Channels)*")</f>
        <v>0</v>
      </c>
      <c r="D575">
        <f>COUNTIF('Metrics - Articles'!F572,"*Office of the CEO*")</f>
        <v>0</v>
      </c>
      <c r="E575">
        <f>COUNTIF('Metrics - Articles'!F572,"*Services Delivery &amp; Support (go-lives and deployments) *")</f>
        <v>0</v>
      </c>
      <c r="F575">
        <f>COUNTIF('Metrics - Articles'!F572,"*Human Resources (SAP HR and employee stories)*")</f>
        <v>0</v>
      </c>
      <c r="G575">
        <f>COUNTIF('Metrics - Articles'!F572,"*P&amp;I (Research &amp; Development)*")</f>
        <v>0</v>
      </c>
      <c r="H575">
        <f>COUNTIF('Metrics - Articles'!F572,"*Business Network (Concur, Ariba, Fieldglass)*")</f>
        <v>0</v>
      </c>
      <c r="I575">
        <f>COUNTIF('Metrics - Articles'!F572,"*GCO – Regions*")</f>
        <v>0</v>
      </c>
      <c r="J575">
        <f>COUNTIF('Metrics - Articles'!F572,"*GCO – Platform Solutions*")</f>
        <v>0</v>
      </c>
      <c r="K575">
        <f>COUNTIF('Metrics - Articles'!F572,"*GCO – Industry Cloud *")</f>
        <v>0</v>
      </c>
      <c r="L575">
        <f>COUNTIF('Metrics - Articles'!F572,"*GCO – Customer Engagement &amp; Commerce (CRM &amp; hybris) *")</f>
        <v>0</v>
      </c>
      <c r="M575">
        <f>COUNTIF('Metrics - Articles'!F572,"*GCO – HR (SuccessFactors)*")</f>
        <v>0</v>
      </c>
      <c r="N575">
        <f>COUNTIF('Metrics - Articles'!F572,"*GCO – Services Sales*")</f>
        <v>0</v>
      </c>
      <c r="O575">
        <f>COUNTIF('Metrics - Articles'!F572,"*GCO – Other*")</f>
        <v>0</v>
      </c>
      <c r="P575">
        <f>COUNTIF('Metrics - Articles'!F572,"*Corporate*")</f>
        <v>0</v>
      </c>
      <c r="R575" s="53">
        <f t="shared" si="10"/>
        <v>0</v>
      </c>
    </row>
    <row r="576" spans="2:18" hidden="1" x14ac:dyDescent="0.25">
      <c r="B576" s="48">
        <f>+'Metrics - Articles'!C573</f>
        <v>0</v>
      </c>
      <c r="C576">
        <f>COUNTIF('Metrics - Articles'!F573,"*GPO (Partner, Ecosystem, Channels)*")</f>
        <v>0</v>
      </c>
      <c r="D576">
        <f>COUNTIF('Metrics - Articles'!F573,"*Office of the CEO*")</f>
        <v>0</v>
      </c>
      <c r="E576">
        <f>COUNTIF('Metrics - Articles'!F573,"*Services Delivery &amp; Support (go-lives and deployments) *")</f>
        <v>0</v>
      </c>
      <c r="F576">
        <f>COUNTIF('Metrics - Articles'!F573,"*Human Resources (SAP HR and employee stories)*")</f>
        <v>0</v>
      </c>
      <c r="G576">
        <f>COUNTIF('Metrics - Articles'!F573,"*P&amp;I (Research &amp; Development)*")</f>
        <v>0</v>
      </c>
      <c r="H576">
        <f>COUNTIF('Metrics - Articles'!F573,"*Business Network (Concur, Ariba, Fieldglass)*")</f>
        <v>0</v>
      </c>
      <c r="I576">
        <f>COUNTIF('Metrics - Articles'!F573,"*GCO – Regions*")</f>
        <v>0</v>
      </c>
      <c r="J576">
        <f>COUNTIF('Metrics - Articles'!F573,"*GCO – Platform Solutions*")</f>
        <v>0</v>
      </c>
      <c r="K576">
        <f>COUNTIF('Metrics - Articles'!F573,"*GCO – Industry Cloud *")</f>
        <v>0</v>
      </c>
      <c r="L576">
        <f>COUNTIF('Metrics - Articles'!F573,"*GCO – Customer Engagement &amp; Commerce (CRM &amp; hybris) *")</f>
        <v>0</v>
      </c>
      <c r="M576">
        <f>COUNTIF('Metrics - Articles'!F573,"*GCO – HR (SuccessFactors)*")</f>
        <v>0</v>
      </c>
      <c r="N576">
        <f>COUNTIF('Metrics - Articles'!F573,"*GCO – Services Sales*")</f>
        <v>0</v>
      </c>
      <c r="O576">
        <f>COUNTIF('Metrics - Articles'!F573,"*GCO – Other*")</f>
        <v>0</v>
      </c>
      <c r="P576">
        <f>COUNTIF('Metrics - Articles'!F573,"*Corporate*")</f>
        <v>0</v>
      </c>
      <c r="R576" s="53">
        <f t="shared" si="10"/>
        <v>0</v>
      </c>
    </row>
    <row r="577" spans="2:18" hidden="1" x14ac:dyDescent="0.25">
      <c r="B577" s="48">
        <f>+'Metrics - Articles'!C574</f>
        <v>0</v>
      </c>
      <c r="C577">
        <f>COUNTIF('Metrics - Articles'!F574,"*GPO (Partner, Ecosystem, Channels)*")</f>
        <v>0</v>
      </c>
      <c r="D577">
        <f>COUNTIF('Metrics - Articles'!F574,"*Office of the CEO*")</f>
        <v>0</v>
      </c>
      <c r="E577">
        <f>COUNTIF('Metrics - Articles'!F574,"*Services Delivery &amp; Support (go-lives and deployments) *")</f>
        <v>0</v>
      </c>
      <c r="F577">
        <f>COUNTIF('Metrics - Articles'!F574,"*Human Resources (SAP HR and employee stories)*")</f>
        <v>0</v>
      </c>
      <c r="G577">
        <f>COUNTIF('Metrics - Articles'!F574,"*P&amp;I (Research &amp; Development)*")</f>
        <v>0</v>
      </c>
      <c r="H577">
        <f>COUNTIF('Metrics - Articles'!F574,"*Business Network (Concur, Ariba, Fieldglass)*")</f>
        <v>0</v>
      </c>
      <c r="I577">
        <f>COUNTIF('Metrics - Articles'!F574,"*GCO – Regions*")</f>
        <v>0</v>
      </c>
      <c r="J577">
        <f>COUNTIF('Metrics - Articles'!F574,"*GCO – Platform Solutions*")</f>
        <v>0</v>
      </c>
      <c r="K577">
        <f>COUNTIF('Metrics - Articles'!F574,"*GCO – Industry Cloud *")</f>
        <v>0</v>
      </c>
      <c r="L577">
        <f>COUNTIF('Metrics - Articles'!F574,"*GCO – Customer Engagement &amp; Commerce (CRM &amp; hybris) *")</f>
        <v>0</v>
      </c>
      <c r="M577">
        <f>COUNTIF('Metrics - Articles'!F574,"*GCO – HR (SuccessFactors)*")</f>
        <v>0</v>
      </c>
      <c r="N577">
        <f>COUNTIF('Metrics - Articles'!F574,"*GCO – Services Sales*")</f>
        <v>0</v>
      </c>
      <c r="O577">
        <f>COUNTIF('Metrics - Articles'!F574,"*GCO – Other*")</f>
        <v>0</v>
      </c>
      <c r="P577">
        <f>COUNTIF('Metrics - Articles'!F574,"*Corporate*")</f>
        <v>0</v>
      </c>
      <c r="R577" s="53">
        <f t="shared" si="10"/>
        <v>0</v>
      </c>
    </row>
    <row r="578" spans="2:18" hidden="1" x14ac:dyDescent="0.25">
      <c r="B578" s="48">
        <f>+'Metrics - Articles'!C575</f>
        <v>0</v>
      </c>
      <c r="C578">
        <f>COUNTIF('Metrics - Articles'!F575,"*GPO (Partner, Ecosystem, Channels)*")</f>
        <v>0</v>
      </c>
      <c r="D578">
        <f>COUNTIF('Metrics - Articles'!F575,"*Office of the CEO*")</f>
        <v>0</v>
      </c>
      <c r="E578">
        <f>COUNTIF('Metrics - Articles'!F575,"*Services Delivery &amp; Support (go-lives and deployments) *")</f>
        <v>0</v>
      </c>
      <c r="F578">
        <f>COUNTIF('Metrics - Articles'!F575,"*Human Resources (SAP HR and employee stories)*")</f>
        <v>0</v>
      </c>
      <c r="G578">
        <f>COUNTIF('Metrics - Articles'!F575,"*P&amp;I (Research &amp; Development)*")</f>
        <v>0</v>
      </c>
      <c r="H578">
        <f>COUNTIF('Metrics - Articles'!F575,"*Business Network (Concur, Ariba, Fieldglass)*")</f>
        <v>0</v>
      </c>
      <c r="I578">
        <f>COUNTIF('Metrics - Articles'!F575,"*GCO – Regions*")</f>
        <v>0</v>
      </c>
      <c r="J578">
        <f>COUNTIF('Metrics - Articles'!F575,"*GCO – Platform Solutions*")</f>
        <v>0</v>
      </c>
      <c r="K578">
        <f>COUNTIF('Metrics - Articles'!F575,"*GCO – Industry Cloud *")</f>
        <v>0</v>
      </c>
      <c r="L578">
        <f>COUNTIF('Metrics - Articles'!F575,"*GCO – Customer Engagement &amp; Commerce (CRM &amp; hybris) *")</f>
        <v>0</v>
      </c>
      <c r="M578">
        <f>COUNTIF('Metrics - Articles'!F575,"*GCO – HR (SuccessFactors)*")</f>
        <v>0</v>
      </c>
      <c r="N578">
        <f>COUNTIF('Metrics - Articles'!F575,"*GCO – Services Sales*")</f>
        <v>0</v>
      </c>
      <c r="O578">
        <f>COUNTIF('Metrics - Articles'!F575,"*GCO – Other*")</f>
        <v>0</v>
      </c>
      <c r="P578">
        <f>COUNTIF('Metrics - Articles'!F575,"*Corporate*")</f>
        <v>0</v>
      </c>
      <c r="R578" s="53">
        <f t="shared" si="10"/>
        <v>0</v>
      </c>
    </row>
    <row r="579" spans="2:18" hidden="1" x14ac:dyDescent="0.25">
      <c r="B579" s="48">
        <f>+'Metrics - Articles'!C576</f>
        <v>0</v>
      </c>
      <c r="C579">
        <f>COUNTIF('Metrics - Articles'!F576,"*GPO (Partner, Ecosystem, Channels)*")</f>
        <v>0</v>
      </c>
      <c r="D579">
        <f>COUNTIF('Metrics - Articles'!F576,"*Office of the CEO*")</f>
        <v>0</v>
      </c>
      <c r="E579">
        <f>COUNTIF('Metrics - Articles'!F576,"*Services Delivery &amp; Support (go-lives and deployments) *")</f>
        <v>0</v>
      </c>
      <c r="F579">
        <f>COUNTIF('Metrics - Articles'!F576,"*Human Resources (SAP HR and employee stories)*")</f>
        <v>0</v>
      </c>
      <c r="G579">
        <f>COUNTIF('Metrics - Articles'!F576,"*P&amp;I (Research &amp; Development)*")</f>
        <v>0</v>
      </c>
      <c r="H579">
        <f>COUNTIF('Metrics - Articles'!F576,"*Business Network (Concur, Ariba, Fieldglass)*")</f>
        <v>0</v>
      </c>
      <c r="I579">
        <f>COUNTIF('Metrics - Articles'!F576,"*GCO – Regions*")</f>
        <v>0</v>
      </c>
      <c r="J579">
        <f>COUNTIF('Metrics - Articles'!F576,"*GCO – Platform Solutions*")</f>
        <v>0</v>
      </c>
      <c r="K579">
        <f>COUNTIF('Metrics - Articles'!F576,"*GCO – Industry Cloud *")</f>
        <v>0</v>
      </c>
      <c r="L579">
        <f>COUNTIF('Metrics - Articles'!F576,"*GCO – Customer Engagement &amp; Commerce (CRM &amp; hybris) *")</f>
        <v>0</v>
      </c>
      <c r="M579">
        <f>COUNTIF('Metrics - Articles'!F576,"*GCO – HR (SuccessFactors)*")</f>
        <v>0</v>
      </c>
      <c r="N579">
        <f>COUNTIF('Metrics - Articles'!F576,"*GCO – Services Sales*")</f>
        <v>0</v>
      </c>
      <c r="O579">
        <f>COUNTIF('Metrics - Articles'!F576,"*GCO – Other*")</f>
        <v>0</v>
      </c>
      <c r="P579">
        <f>COUNTIF('Metrics - Articles'!F576,"*Corporate*")</f>
        <v>0</v>
      </c>
      <c r="R579" s="53">
        <f t="shared" si="10"/>
        <v>0</v>
      </c>
    </row>
    <row r="580" spans="2:18" hidden="1" x14ac:dyDescent="0.25">
      <c r="B580" s="48">
        <f>+'Metrics - Articles'!C577</f>
        <v>0</v>
      </c>
      <c r="C580">
        <f>COUNTIF('Metrics - Articles'!F577,"*GPO (Partner, Ecosystem, Channels)*")</f>
        <v>0</v>
      </c>
      <c r="D580">
        <f>COUNTIF('Metrics - Articles'!F577,"*Office of the CEO*")</f>
        <v>0</v>
      </c>
      <c r="E580">
        <f>COUNTIF('Metrics - Articles'!F577,"*Services Delivery &amp; Support (go-lives and deployments) *")</f>
        <v>0</v>
      </c>
      <c r="F580">
        <f>COUNTIF('Metrics - Articles'!F577,"*Human Resources (SAP HR and employee stories)*")</f>
        <v>0</v>
      </c>
      <c r="G580">
        <f>COUNTIF('Metrics - Articles'!F577,"*P&amp;I (Research &amp; Development)*")</f>
        <v>0</v>
      </c>
      <c r="H580">
        <f>COUNTIF('Metrics - Articles'!F577,"*Business Network (Concur, Ariba, Fieldglass)*")</f>
        <v>0</v>
      </c>
      <c r="I580">
        <f>COUNTIF('Metrics - Articles'!F577,"*GCO – Regions*")</f>
        <v>0</v>
      </c>
      <c r="J580">
        <f>COUNTIF('Metrics - Articles'!F577,"*GCO – Platform Solutions*")</f>
        <v>0</v>
      </c>
      <c r="K580">
        <f>COUNTIF('Metrics - Articles'!F577,"*GCO – Industry Cloud *")</f>
        <v>0</v>
      </c>
      <c r="L580">
        <f>COUNTIF('Metrics - Articles'!F577,"*GCO – Customer Engagement &amp; Commerce (CRM &amp; hybris) *")</f>
        <v>0</v>
      </c>
      <c r="M580">
        <f>COUNTIF('Metrics - Articles'!F577,"*GCO – HR (SuccessFactors)*")</f>
        <v>0</v>
      </c>
      <c r="N580">
        <f>COUNTIF('Metrics - Articles'!F577,"*GCO – Services Sales*")</f>
        <v>0</v>
      </c>
      <c r="O580">
        <f>COUNTIF('Metrics - Articles'!F577,"*GCO – Other*")</f>
        <v>0</v>
      </c>
      <c r="P580">
        <f>COUNTIF('Metrics - Articles'!F577,"*Corporate*")</f>
        <v>0</v>
      </c>
      <c r="R580" s="53">
        <f t="shared" si="10"/>
        <v>0</v>
      </c>
    </row>
    <row r="581" spans="2:18" hidden="1" x14ac:dyDescent="0.25">
      <c r="B581" s="48">
        <f>+'Metrics - Articles'!C578</f>
        <v>0</v>
      </c>
      <c r="C581">
        <f>COUNTIF('Metrics - Articles'!F578,"*GPO (Partner, Ecosystem, Channels)*")</f>
        <v>0</v>
      </c>
      <c r="D581">
        <f>COUNTIF('Metrics - Articles'!F578,"*Office of the CEO*")</f>
        <v>0</v>
      </c>
      <c r="E581">
        <f>COUNTIF('Metrics - Articles'!F578,"*Services Delivery &amp; Support (go-lives and deployments) *")</f>
        <v>0</v>
      </c>
      <c r="F581">
        <f>COUNTIF('Metrics - Articles'!F578,"*Human Resources (SAP HR and employee stories)*")</f>
        <v>0</v>
      </c>
      <c r="G581">
        <f>COUNTIF('Metrics - Articles'!F578,"*P&amp;I (Research &amp; Development)*")</f>
        <v>0</v>
      </c>
      <c r="H581">
        <f>COUNTIF('Metrics - Articles'!F578,"*Business Network (Concur, Ariba, Fieldglass)*")</f>
        <v>0</v>
      </c>
      <c r="I581">
        <f>COUNTIF('Metrics - Articles'!F578,"*GCO – Regions*")</f>
        <v>0</v>
      </c>
      <c r="J581">
        <f>COUNTIF('Metrics - Articles'!F578,"*GCO – Platform Solutions*")</f>
        <v>0</v>
      </c>
      <c r="K581">
        <f>COUNTIF('Metrics - Articles'!F578,"*GCO – Industry Cloud *")</f>
        <v>0</v>
      </c>
      <c r="L581">
        <f>COUNTIF('Metrics - Articles'!F578,"*GCO – Customer Engagement &amp; Commerce (CRM &amp; hybris) *")</f>
        <v>0</v>
      </c>
      <c r="M581">
        <f>COUNTIF('Metrics - Articles'!F578,"*GCO – HR (SuccessFactors)*")</f>
        <v>0</v>
      </c>
      <c r="N581">
        <f>COUNTIF('Metrics - Articles'!F578,"*GCO – Services Sales*")</f>
        <v>0</v>
      </c>
      <c r="O581">
        <f>COUNTIF('Metrics - Articles'!F578,"*GCO – Other*")</f>
        <v>0</v>
      </c>
      <c r="P581">
        <f>COUNTIF('Metrics - Articles'!F578,"*Corporate*")</f>
        <v>0</v>
      </c>
      <c r="R581" s="53">
        <f t="shared" si="10"/>
        <v>0</v>
      </c>
    </row>
    <row r="582" spans="2:18" hidden="1" x14ac:dyDescent="0.25">
      <c r="B582" s="48">
        <f>+'Metrics - Articles'!C579</f>
        <v>0</v>
      </c>
      <c r="C582">
        <f>COUNTIF('Metrics - Articles'!F579,"*GPO (Partner, Ecosystem, Channels)*")</f>
        <v>0</v>
      </c>
      <c r="D582">
        <f>COUNTIF('Metrics - Articles'!F579,"*Office of the CEO*")</f>
        <v>0</v>
      </c>
      <c r="E582">
        <f>COUNTIF('Metrics - Articles'!F579,"*Services Delivery &amp; Support (go-lives and deployments) *")</f>
        <v>0</v>
      </c>
      <c r="F582">
        <f>COUNTIF('Metrics - Articles'!F579,"*Human Resources (SAP HR and employee stories)*")</f>
        <v>0</v>
      </c>
      <c r="G582">
        <f>COUNTIF('Metrics - Articles'!F579,"*P&amp;I (Research &amp; Development)*")</f>
        <v>0</v>
      </c>
      <c r="H582">
        <f>COUNTIF('Metrics - Articles'!F579,"*Business Network (Concur, Ariba, Fieldglass)*")</f>
        <v>0</v>
      </c>
      <c r="I582">
        <f>COUNTIF('Metrics - Articles'!F579,"*GCO – Regions*")</f>
        <v>0</v>
      </c>
      <c r="J582">
        <f>COUNTIF('Metrics - Articles'!F579,"*GCO – Platform Solutions*")</f>
        <v>0</v>
      </c>
      <c r="K582">
        <f>COUNTIF('Metrics - Articles'!F579,"*GCO – Industry Cloud *")</f>
        <v>0</v>
      </c>
      <c r="L582">
        <f>COUNTIF('Metrics - Articles'!F579,"*GCO – Customer Engagement &amp; Commerce (CRM &amp; hybris) *")</f>
        <v>0</v>
      </c>
      <c r="M582">
        <f>COUNTIF('Metrics - Articles'!F579,"*GCO – HR (SuccessFactors)*")</f>
        <v>0</v>
      </c>
      <c r="N582">
        <f>COUNTIF('Metrics - Articles'!F579,"*GCO – Services Sales*")</f>
        <v>0</v>
      </c>
      <c r="O582">
        <f>COUNTIF('Metrics - Articles'!F579,"*GCO – Other*")</f>
        <v>0</v>
      </c>
      <c r="P582">
        <f>COUNTIF('Metrics - Articles'!F579,"*Corporate*")</f>
        <v>0</v>
      </c>
      <c r="R582" s="53">
        <f t="shared" si="10"/>
        <v>0</v>
      </c>
    </row>
    <row r="583" spans="2:18" hidden="1" x14ac:dyDescent="0.25">
      <c r="B583" s="48">
        <f>+'Metrics - Articles'!C580</f>
        <v>0</v>
      </c>
      <c r="C583">
        <f>COUNTIF('Metrics - Articles'!F580,"*GPO (Partner, Ecosystem, Channels)*")</f>
        <v>0</v>
      </c>
      <c r="D583">
        <f>COUNTIF('Metrics - Articles'!F580,"*Office of the CEO*")</f>
        <v>0</v>
      </c>
      <c r="E583">
        <f>COUNTIF('Metrics - Articles'!F580,"*Services Delivery &amp; Support (go-lives and deployments) *")</f>
        <v>0</v>
      </c>
      <c r="F583">
        <f>COUNTIF('Metrics - Articles'!F580,"*Human Resources (SAP HR and employee stories)*")</f>
        <v>0</v>
      </c>
      <c r="G583">
        <f>COUNTIF('Metrics - Articles'!F580,"*P&amp;I (Research &amp; Development)*")</f>
        <v>0</v>
      </c>
      <c r="H583">
        <f>COUNTIF('Metrics - Articles'!F580,"*Business Network (Concur, Ariba, Fieldglass)*")</f>
        <v>0</v>
      </c>
      <c r="I583">
        <f>COUNTIF('Metrics - Articles'!F580,"*GCO – Regions*")</f>
        <v>0</v>
      </c>
      <c r="J583">
        <f>COUNTIF('Metrics - Articles'!F580,"*GCO – Platform Solutions*")</f>
        <v>0</v>
      </c>
      <c r="K583">
        <f>COUNTIF('Metrics - Articles'!F580,"*GCO – Industry Cloud *")</f>
        <v>0</v>
      </c>
      <c r="L583">
        <f>COUNTIF('Metrics - Articles'!F580,"*GCO – Customer Engagement &amp; Commerce (CRM &amp; hybris) *")</f>
        <v>0</v>
      </c>
      <c r="M583">
        <f>COUNTIF('Metrics - Articles'!F580,"*GCO – HR (SuccessFactors)*")</f>
        <v>0</v>
      </c>
      <c r="N583">
        <f>COUNTIF('Metrics - Articles'!F580,"*GCO – Services Sales*")</f>
        <v>0</v>
      </c>
      <c r="O583">
        <f>COUNTIF('Metrics - Articles'!F580,"*GCO – Other*")</f>
        <v>0</v>
      </c>
      <c r="P583">
        <f>COUNTIF('Metrics - Articles'!F580,"*Corporate*")</f>
        <v>0</v>
      </c>
      <c r="R583" s="53">
        <f t="shared" si="10"/>
        <v>0</v>
      </c>
    </row>
    <row r="584" spans="2:18" hidden="1" x14ac:dyDescent="0.25">
      <c r="B584" s="48">
        <f>+'Metrics - Articles'!C581</f>
        <v>0</v>
      </c>
      <c r="C584">
        <f>COUNTIF('Metrics - Articles'!F581,"*GPO (Partner, Ecosystem, Channels)*")</f>
        <v>0</v>
      </c>
      <c r="D584">
        <f>COUNTIF('Metrics - Articles'!F581,"*Office of the CEO*")</f>
        <v>0</v>
      </c>
      <c r="E584">
        <f>COUNTIF('Metrics - Articles'!F581,"*Services Delivery &amp; Support (go-lives and deployments) *")</f>
        <v>0</v>
      </c>
      <c r="F584">
        <f>COUNTIF('Metrics - Articles'!F581,"*Human Resources (SAP HR and employee stories)*")</f>
        <v>0</v>
      </c>
      <c r="G584">
        <f>COUNTIF('Metrics - Articles'!F581,"*P&amp;I (Research &amp; Development)*")</f>
        <v>0</v>
      </c>
      <c r="H584">
        <f>COUNTIF('Metrics - Articles'!F581,"*Business Network (Concur, Ariba, Fieldglass)*")</f>
        <v>0</v>
      </c>
      <c r="I584">
        <f>COUNTIF('Metrics - Articles'!F581,"*GCO – Regions*")</f>
        <v>0</v>
      </c>
      <c r="J584">
        <f>COUNTIF('Metrics - Articles'!F581,"*GCO – Platform Solutions*")</f>
        <v>0</v>
      </c>
      <c r="K584">
        <f>COUNTIF('Metrics - Articles'!F581,"*GCO – Industry Cloud *")</f>
        <v>0</v>
      </c>
      <c r="L584">
        <f>COUNTIF('Metrics - Articles'!F581,"*GCO – Customer Engagement &amp; Commerce (CRM &amp; hybris) *")</f>
        <v>0</v>
      </c>
      <c r="M584">
        <f>COUNTIF('Metrics - Articles'!F581,"*GCO – HR (SuccessFactors)*")</f>
        <v>0</v>
      </c>
      <c r="N584">
        <f>COUNTIF('Metrics - Articles'!F581,"*GCO – Services Sales*")</f>
        <v>0</v>
      </c>
      <c r="O584">
        <f>COUNTIF('Metrics - Articles'!F581,"*GCO – Other*")</f>
        <v>0</v>
      </c>
      <c r="P584">
        <f>COUNTIF('Metrics - Articles'!F581,"*Corporate*")</f>
        <v>0</v>
      </c>
      <c r="R584" s="53">
        <f t="shared" si="10"/>
        <v>0</v>
      </c>
    </row>
    <row r="585" spans="2:18" hidden="1" x14ac:dyDescent="0.25">
      <c r="B585" s="48">
        <f>+'Metrics - Articles'!C582</f>
        <v>0</v>
      </c>
      <c r="C585">
        <f>COUNTIF('Metrics - Articles'!F582,"*GPO (Partner, Ecosystem, Channels)*")</f>
        <v>0</v>
      </c>
      <c r="D585">
        <f>COUNTIF('Metrics - Articles'!F582,"*Office of the CEO*")</f>
        <v>0</v>
      </c>
      <c r="E585">
        <f>COUNTIF('Metrics - Articles'!F582,"*Services Delivery &amp; Support (go-lives and deployments) *")</f>
        <v>0</v>
      </c>
      <c r="F585">
        <f>COUNTIF('Metrics - Articles'!F582,"*Human Resources (SAP HR and employee stories)*")</f>
        <v>0</v>
      </c>
      <c r="G585">
        <f>COUNTIF('Metrics - Articles'!F582,"*P&amp;I (Research &amp; Development)*")</f>
        <v>0</v>
      </c>
      <c r="H585">
        <f>COUNTIF('Metrics - Articles'!F582,"*Business Network (Concur, Ariba, Fieldglass)*")</f>
        <v>0</v>
      </c>
      <c r="I585">
        <f>COUNTIF('Metrics - Articles'!F582,"*GCO – Regions*")</f>
        <v>0</v>
      </c>
      <c r="J585">
        <f>COUNTIF('Metrics - Articles'!F582,"*GCO – Platform Solutions*")</f>
        <v>0</v>
      </c>
      <c r="K585">
        <f>COUNTIF('Metrics - Articles'!F582,"*GCO – Industry Cloud *")</f>
        <v>0</v>
      </c>
      <c r="L585">
        <f>COUNTIF('Metrics - Articles'!F582,"*GCO – Customer Engagement &amp; Commerce (CRM &amp; hybris) *")</f>
        <v>0</v>
      </c>
      <c r="M585">
        <f>COUNTIF('Metrics - Articles'!F582,"*GCO – HR (SuccessFactors)*")</f>
        <v>0</v>
      </c>
      <c r="N585">
        <f>COUNTIF('Metrics - Articles'!F582,"*GCO – Services Sales*")</f>
        <v>0</v>
      </c>
      <c r="O585">
        <f>COUNTIF('Metrics - Articles'!F582,"*GCO – Other*")</f>
        <v>0</v>
      </c>
      <c r="P585">
        <f>COUNTIF('Metrics - Articles'!F582,"*Corporate*")</f>
        <v>0</v>
      </c>
      <c r="R585" s="53">
        <f t="shared" si="10"/>
        <v>0</v>
      </c>
    </row>
    <row r="586" spans="2:18" hidden="1" x14ac:dyDescent="0.25">
      <c r="B586" s="48">
        <f>+'Metrics - Articles'!C583</f>
        <v>0</v>
      </c>
      <c r="C586">
        <f>COUNTIF('Metrics - Articles'!F583,"*GPO (Partner, Ecosystem, Channels)*")</f>
        <v>0</v>
      </c>
      <c r="D586">
        <f>COUNTIF('Metrics - Articles'!F583,"*Office of the CEO*")</f>
        <v>0</v>
      </c>
      <c r="E586">
        <f>COUNTIF('Metrics - Articles'!F583,"*Services Delivery &amp; Support (go-lives and deployments) *")</f>
        <v>0</v>
      </c>
      <c r="F586">
        <f>COUNTIF('Metrics - Articles'!F583,"*Human Resources (SAP HR and employee stories)*")</f>
        <v>0</v>
      </c>
      <c r="G586">
        <f>COUNTIF('Metrics - Articles'!F583,"*P&amp;I (Research &amp; Development)*")</f>
        <v>0</v>
      </c>
      <c r="H586">
        <f>COUNTIF('Metrics - Articles'!F583,"*Business Network (Concur, Ariba, Fieldglass)*")</f>
        <v>0</v>
      </c>
      <c r="I586">
        <f>COUNTIF('Metrics - Articles'!F583,"*GCO – Regions*")</f>
        <v>0</v>
      </c>
      <c r="J586">
        <f>COUNTIF('Metrics - Articles'!F583,"*GCO – Platform Solutions*")</f>
        <v>0</v>
      </c>
      <c r="K586">
        <f>COUNTIF('Metrics - Articles'!F583,"*GCO – Industry Cloud *")</f>
        <v>0</v>
      </c>
      <c r="L586">
        <f>COUNTIF('Metrics - Articles'!F583,"*GCO – Customer Engagement &amp; Commerce (CRM &amp; hybris) *")</f>
        <v>0</v>
      </c>
      <c r="M586">
        <f>COUNTIF('Metrics - Articles'!F583,"*GCO – HR (SuccessFactors)*")</f>
        <v>0</v>
      </c>
      <c r="N586">
        <f>COUNTIF('Metrics - Articles'!F583,"*GCO – Services Sales*")</f>
        <v>0</v>
      </c>
      <c r="O586">
        <f>COUNTIF('Metrics - Articles'!F583,"*GCO – Other*")</f>
        <v>0</v>
      </c>
      <c r="P586">
        <f>COUNTIF('Metrics - Articles'!F583,"*Corporate*")</f>
        <v>0</v>
      </c>
      <c r="R586" s="53">
        <f t="shared" ref="R586:R649" si="11">SUM(C586:Q586)</f>
        <v>0</v>
      </c>
    </row>
    <row r="587" spans="2:18" hidden="1" x14ac:dyDescent="0.25">
      <c r="B587" s="48">
        <f>+'Metrics - Articles'!C584</f>
        <v>0</v>
      </c>
      <c r="C587">
        <f>COUNTIF('Metrics - Articles'!F584,"*GPO (Partner, Ecosystem, Channels)*")</f>
        <v>0</v>
      </c>
      <c r="D587">
        <f>COUNTIF('Metrics - Articles'!F584,"*Office of the CEO*")</f>
        <v>0</v>
      </c>
      <c r="E587">
        <f>COUNTIF('Metrics - Articles'!F584,"*Services Delivery &amp; Support (go-lives and deployments) *")</f>
        <v>0</v>
      </c>
      <c r="F587">
        <f>COUNTIF('Metrics - Articles'!F584,"*Human Resources (SAP HR and employee stories)*")</f>
        <v>0</v>
      </c>
      <c r="G587">
        <f>COUNTIF('Metrics - Articles'!F584,"*P&amp;I (Research &amp; Development)*")</f>
        <v>0</v>
      </c>
      <c r="H587">
        <f>COUNTIF('Metrics - Articles'!F584,"*Business Network (Concur, Ariba, Fieldglass)*")</f>
        <v>0</v>
      </c>
      <c r="I587">
        <f>COUNTIF('Metrics - Articles'!F584,"*GCO – Regions*")</f>
        <v>0</v>
      </c>
      <c r="J587">
        <f>COUNTIF('Metrics - Articles'!F584,"*GCO – Platform Solutions*")</f>
        <v>0</v>
      </c>
      <c r="K587">
        <f>COUNTIF('Metrics - Articles'!F584,"*GCO – Industry Cloud *")</f>
        <v>0</v>
      </c>
      <c r="L587">
        <f>COUNTIF('Metrics - Articles'!F584,"*GCO – Customer Engagement &amp; Commerce (CRM &amp; hybris) *")</f>
        <v>0</v>
      </c>
      <c r="M587">
        <f>COUNTIF('Metrics - Articles'!F584,"*GCO – HR (SuccessFactors)*")</f>
        <v>0</v>
      </c>
      <c r="N587">
        <f>COUNTIF('Metrics - Articles'!F584,"*GCO – Services Sales*")</f>
        <v>0</v>
      </c>
      <c r="O587">
        <f>COUNTIF('Metrics - Articles'!F584,"*GCO – Other*")</f>
        <v>0</v>
      </c>
      <c r="P587">
        <f>COUNTIF('Metrics - Articles'!F584,"*Corporate*")</f>
        <v>0</v>
      </c>
      <c r="R587" s="53">
        <f t="shared" si="11"/>
        <v>0</v>
      </c>
    </row>
    <row r="588" spans="2:18" hidden="1" x14ac:dyDescent="0.25">
      <c r="B588" s="48">
        <f>+'Metrics - Articles'!C585</f>
        <v>0</v>
      </c>
      <c r="C588">
        <f>COUNTIF('Metrics - Articles'!F585,"*GPO (Partner, Ecosystem, Channels)*")</f>
        <v>0</v>
      </c>
      <c r="D588">
        <f>COUNTIF('Metrics - Articles'!F585,"*Office of the CEO*")</f>
        <v>0</v>
      </c>
      <c r="E588">
        <f>COUNTIF('Metrics - Articles'!F585,"*Services Delivery &amp; Support (go-lives and deployments) *")</f>
        <v>0</v>
      </c>
      <c r="F588">
        <f>COUNTIF('Metrics - Articles'!F585,"*Human Resources (SAP HR and employee stories)*")</f>
        <v>0</v>
      </c>
      <c r="G588">
        <f>COUNTIF('Metrics - Articles'!F585,"*P&amp;I (Research &amp; Development)*")</f>
        <v>0</v>
      </c>
      <c r="H588">
        <f>COUNTIF('Metrics - Articles'!F585,"*Business Network (Concur, Ariba, Fieldglass)*")</f>
        <v>0</v>
      </c>
      <c r="I588">
        <f>COUNTIF('Metrics - Articles'!F585,"*GCO – Regions*")</f>
        <v>0</v>
      </c>
      <c r="J588">
        <f>COUNTIF('Metrics - Articles'!F585,"*GCO – Platform Solutions*")</f>
        <v>0</v>
      </c>
      <c r="K588">
        <f>COUNTIF('Metrics - Articles'!F585,"*GCO – Industry Cloud *")</f>
        <v>0</v>
      </c>
      <c r="L588">
        <f>COUNTIF('Metrics - Articles'!F585,"*GCO – Customer Engagement &amp; Commerce (CRM &amp; hybris) *")</f>
        <v>0</v>
      </c>
      <c r="M588">
        <f>COUNTIF('Metrics - Articles'!F585,"*GCO – HR (SuccessFactors)*")</f>
        <v>0</v>
      </c>
      <c r="N588">
        <f>COUNTIF('Metrics - Articles'!F585,"*GCO – Services Sales*")</f>
        <v>0</v>
      </c>
      <c r="O588">
        <f>COUNTIF('Metrics - Articles'!F585,"*GCO – Other*")</f>
        <v>0</v>
      </c>
      <c r="P588">
        <f>COUNTIF('Metrics - Articles'!F585,"*Corporate*")</f>
        <v>0</v>
      </c>
      <c r="R588" s="53">
        <f t="shared" si="11"/>
        <v>0</v>
      </c>
    </row>
    <row r="589" spans="2:18" hidden="1" x14ac:dyDescent="0.25">
      <c r="B589" s="48">
        <f>+'Metrics - Articles'!C586</f>
        <v>0</v>
      </c>
      <c r="C589">
        <f>COUNTIF('Metrics - Articles'!F586,"*GPO (Partner, Ecosystem, Channels)*")</f>
        <v>0</v>
      </c>
      <c r="D589">
        <f>COUNTIF('Metrics - Articles'!F586,"*Office of the CEO*")</f>
        <v>0</v>
      </c>
      <c r="E589">
        <f>COUNTIF('Metrics - Articles'!F586,"*Services Delivery &amp; Support (go-lives and deployments) *")</f>
        <v>0</v>
      </c>
      <c r="F589">
        <f>COUNTIF('Metrics - Articles'!F586,"*Human Resources (SAP HR and employee stories)*")</f>
        <v>0</v>
      </c>
      <c r="G589">
        <f>COUNTIF('Metrics - Articles'!F586,"*P&amp;I (Research &amp; Development)*")</f>
        <v>0</v>
      </c>
      <c r="H589">
        <f>COUNTIF('Metrics - Articles'!F586,"*Business Network (Concur, Ariba, Fieldglass)*")</f>
        <v>0</v>
      </c>
      <c r="I589">
        <f>COUNTIF('Metrics - Articles'!F586,"*GCO – Regions*")</f>
        <v>0</v>
      </c>
      <c r="J589">
        <f>COUNTIF('Metrics - Articles'!F586,"*GCO – Platform Solutions*")</f>
        <v>0</v>
      </c>
      <c r="K589">
        <f>COUNTIF('Metrics - Articles'!F586,"*GCO – Industry Cloud *")</f>
        <v>0</v>
      </c>
      <c r="L589">
        <f>COUNTIF('Metrics - Articles'!F586,"*GCO – Customer Engagement &amp; Commerce (CRM &amp; hybris) *")</f>
        <v>0</v>
      </c>
      <c r="M589">
        <f>COUNTIF('Metrics - Articles'!F586,"*GCO – HR (SuccessFactors)*")</f>
        <v>0</v>
      </c>
      <c r="N589">
        <f>COUNTIF('Metrics - Articles'!F586,"*GCO – Services Sales*")</f>
        <v>0</v>
      </c>
      <c r="O589">
        <f>COUNTIF('Metrics - Articles'!F586,"*GCO – Other*")</f>
        <v>0</v>
      </c>
      <c r="P589">
        <f>COUNTIF('Metrics - Articles'!F586,"*Corporate*")</f>
        <v>0</v>
      </c>
      <c r="R589" s="53">
        <f t="shared" si="11"/>
        <v>0</v>
      </c>
    </row>
    <row r="590" spans="2:18" hidden="1" x14ac:dyDescent="0.25">
      <c r="B590" s="48">
        <f>+'Metrics - Articles'!C587</f>
        <v>0</v>
      </c>
      <c r="C590">
        <f>COUNTIF('Metrics - Articles'!F587,"*GPO (Partner, Ecosystem, Channels)*")</f>
        <v>0</v>
      </c>
      <c r="D590">
        <f>COUNTIF('Metrics - Articles'!F587,"*Office of the CEO*")</f>
        <v>0</v>
      </c>
      <c r="E590">
        <f>COUNTIF('Metrics - Articles'!F587,"*Services Delivery &amp; Support (go-lives and deployments) *")</f>
        <v>0</v>
      </c>
      <c r="F590">
        <f>COUNTIF('Metrics - Articles'!F587,"*Human Resources (SAP HR and employee stories)*")</f>
        <v>0</v>
      </c>
      <c r="G590">
        <f>COUNTIF('Metrics - Articles'!F587,"*P&amp;I (Research &amp; Development)*")</f>
        <v>0</v>
      </c>
      <c r="H590">
        <f>COUNTIF('Metrics - Articles'!F587,"*Business Network (Concur, Ariba, Fieldglass)*")</f>
        <v>0</v>
      </c>
      <c r="I590">
        <f>COUNTIF('Metrics - Articles'!F587,"*GCO – Regions*")</f>
        <v>0</v>
      </c>
      <c r="J590">
        <f>COUNTIF('Metrics - Articles'!F587,"*GCO – Platform Solutions*")</f>
        <v>0</v>
      </c>
      <c r="K590">
        <f>COUNTIF('Metrics - Articles'!F587,"*GCO – Industry Cloud *")</f>
        <v>0</v>
      </c>
      <c r="L590">
        <f>COUNTIF('Metrics - Articles'!F587,"*GCO – Customer Engagement &amp; Commerce (CRM &amp; hybris) *")</f>
        <v>0</v>
      </c>
      <c r="M590">
        <f>COUNTIF('Metrics - Articles'!F587,"*GCO – HR (SuccessFactors)*")</f>
        <v>0</v>
      </c>
      <c r="N590">
        <f>COUNTIF('Metrics - Articles'!F587,"*GCO – Services Sales*")</f>
        <v>0</v>
      </c>
      <c r="O590">
        <f>COUNTIF('Metrics - Articles'!F587,"*GCO – Other*")</f>
        <v>0</v>
      </c>
      <c r="P590">
        <f>COUNTIF('Metrics - Articles'!F587,"*Corporate*")</f>
        <v>0</v>
      </c>
      <c r="R590" s="53">
        <f t="shared" si="11"/>
        <v>0</v>
      </c>
    </row>
    <row r="591" spans="2:18" hidden="1" x14ac:dyDescent="0.25">
      <c r="B591" s="48">
        <f>+'Metrics - Articles'!C588</f>
        <v>0</v>
      </c>
      <c r="C591">
        <f>COUNTIF('Metrics - Articles'!F588,"*GPO (Partner, Ecosystem, Channels)*")</f>
        <v>0</v>
      </c>
      <c r="D591">
        <f>COUNTIF('Metrics - Articles'!F588,"*Office of the CEO*")</f>
        <v>0</v>
      </c>
      <c r="E591">
        <f>COUNTIF('Metrics - Articles'!F588,"*Services Delivery &amp; Support (go-lives and deployments) *")</f>
        <v>0</v>
      </c>
      <c r="F591">
        <f>COUNTIF('Metrics - Articles'!F588,"*Human Resources (SAP HR and employee stories)*")</f>
        <v>0</v>
      </c>
      <c r="G591">
        <f>COUNTIF('Metrics - Articles'!F588,"*P&amp;I (Research &amp; Development)*")</f>
        <v>0</v>
      </c>
      <c r="H591">
        <f>COUNTIF('Metrics - Articles'!F588,"*Business Network (Concur, Ariba, Fieldglass)*")</f>
        <v>0</v>
      </c>
      <c r="I591">
        <f>COUNTIF('Metrics - Articles'!F588,"*GCO – Regions*")</f>
        <v>0</v>
      </c>
      <c r="J591">
        <f>COUNTIF('Metrics - Articles'!F588,"*GCO – Platform Solutions*")</f>
        <v>0</v>
      </c>
      <c r="K591">
        <f>COUNTIF('Metrics - Articles'!F588,"*GCO – Industry Cloud *")</f>
        <v>0</v>
      </c>
      <c r="L591">
        <f>COUNTIF('Metrics - Articles'!F588,"*GCO – Customer Engagement &amp; Commerce (CRM &amp; hybris) *")</f>
        <v>0</v>
      </c>
      <c r="M591">
        <f>COUNTIF('Metrics - Articles'!F588,"*GCO – HR (SuccessFactors)*")</f>
        <v>0</v>
      </c>
      <c r="N591">
        <f>COUNTIF('Metrics - Articles'!F588,"*GCO – Services Sales*")</f>
        <v>0</v>
      </c>
      <c r="O591">
        <f>COUNTIF('Metrics - Articles'!F588,"*GCO – Other*")</f>
        <v>0</v>
      </c>
      <c r="P591">
        <f>COUNTIF('Metrics - Articles'!F588,"*Corporate*")</f>
        <v>0</v>
      </c>
      <c r="R591" s="53">
        <f t="shared" si="11"/>
        <v>0</v>
      </c>
    </row>
    <row r="592" spans="2:18" hidden="1" x14ac:dyDescent="0.25">
      <c r="B592" s="48">
        <f>+'Metrics - Articles'!C589</f>
        <v>0</v>
      </c>
      <c r="C592">
        <f>COUNTIF('Metrics - Articles'!F589,"*GPO (Partner, Ecosystem, Channels)*")</f>
        <v>0</v>
      </c>
      <c r="D592">
        <f>COUNTIF('Metrics - Articles'!F589,"*Office of the CEO*")</f>
        <v>0</v>
      </c>
      <c r="E592">
        <f>COUNTIF('Metrics - Articles'!F589,"*Services Delivery &amp; Support (go-lives and deployments) *")</f>
        <v>0</v>
      </c>
      <c r="F592">
        <f>COUNTIF('Metrics - Articles'!F589,"*Human Resources (SAP HR and employee stories)*")</f>
        <v>0</v>
      </c>
      <c r="G592">
        <f>COUNTIF('Metrics - Articles'!F589,"*P&amp;I (Research &amp; Development)*")</f>
        <v>0</v>
      </c>
      <c r="H592">
        <f>COUNTIF('Metrics - Articles'!F589,"*Business Network (Concur, Ariba, Fieldglass)*")</f>
        <v>0</v>
      </c>
      <c r="I592">
        <f>COUNTIF('Metrics - Articles'!F589,"*GCO – Regions*")</f>
        <v>0</v>
      </c>
      <c r="J592">
        <f>COUNTIF('Metrics - Articles'!F589,"*GCO – Platform Solutions*")</f>
        <v>0</v>
      </c>
      <c r="K592">
        <f>COUNTIF('Metrics - Articles'!F589,"*GCO – Industry Cloud *")</f>
        <v>0</v>
      </c>
      <c r="L592">
        <f>COUNTIF('Metrics - Articles'!F589,"*GCO – Customer Engagement &amp; Commerce (CRM &amp; hybris) *")</f>
        <v>0</v>
      </c>
      <c r="M592">
        <f>COUNTIF('Metrics - Articles'!F589,"*GCO – HR (SuccessFactors)*")</f>
        <v>0</v>
      </c>
      <c r="N592">
        <f>COUNTIF('Metrics - Articles'!F589,"*GCO – Services Sales*")</f>
        <v>0</v>
      </c>
      <c r="O592">
        <f>COUNTIF('Metrics - Articles'!F589,"*GCO – Other*")</f>
        <v>0</v>
      </c>
      <c r="P592">
        <f>COUNTIF('Metrics - Articles'!F589,"*Corporate*")</f>
        <v>0</v>
      </c>
      <c r="R592" s="53">
        <f t="shared" si="11"/>
        <v>0</v>
      </c>
    </row>
    <row r="593" spans="2:18" hidden="1" x14ac:dyDescent="0.25">
      <c r="B593" s="48">
        <f>+'Metrics - Articles'!C590</f>
        <v>0</v>
      </c>
      <c r="C593">
        <f>COUNTIF('Metrics - Articles'!F590,"*GPO (Partner, Ecosystem, Channels)*")</f>
        <v>0</v>
      </c>
      <c r="D593">
        <f>COUNTIF('Metrics - Articles'!F590,"*Office of the CEO*")</f>
        <v>0</v>
      </c>
      <c r="E593">
        <f>COUNTIF('Metrics - Articles'!F590,"*Services Delivery &amp; Support (go-lives and deployments) *")</f>
        <v>0</v>
      </c>
      <c r="F593">
        <f>COUNTIF('Metrics - Articles'!F590,"*Human Resources (SAP HR and employee stories)*")</f>
        <v>0</v>
      </c>
      <c r="G593">
        <f>COUNTIF('Metrics - Articles'!F590,"*P&amp;I (Research &amp; Development)*")</f>
        <v>0</v>
      </c>
      <c r="H593">
        <f>COUNTIF('Metrics - Articles'!F590,"*Business Network (Concur, Ariba, Fieldglass)*")</f>
        <v>0</v>
      </c>
      <c r="I593">
        <f>COUNTIF('Metrics - Articles'!F590,"*GCO – Regions*")</f>
        <v>0</v>
      </c>
      <c r="J593">
        <f>COUNTIF('Metrics - Articles'!F590,"*GCO – Platform Solutions*")</f>
        <v>0</v>
      </c>
      <c r="K593">
        <f>COUNTIF('Metrics - Articles'!F590,"*GCO – Industry Cloud *")</f>
        <v>0</v>
      </c>
      <c r="L593">
        <f>COUNTIF('Metrics - Articles'!F590,"*GCO – Customer Engagement &amp; Commerce (CRM &amp; hybris) *")</f>
        <v>0</v>
      </c>
      <c r="M593">
        <f>COUNTIF('Metrics - Articles'!F590,"*GCO – HR (SuccessFactors)*")</f>
        <v>0</v>
      </c>
      <c r="N593">
        <f>COUNTIF('Metrics - Articles'!F590,"*GCO – Services Sales*")</f>
        <v>0</v>
      </c>
      <c r="O593">
        <f>COUNTIF('Metrics - Articles'!F590,"*GCO – Other*")</f>
        <v>0</v>
      </c>
      <c r="P593">
        <f>COUNTIF('Metrics - Articles'!F590,"*Corporate*")</f>
        <v>0</v>
      </c>
      <c r="R593" s="53">
        <f t="shared" si="11"/>
        <v>0</v>
      </c>
    </row>
    <row r="594" spans="2:18" hidden="1" x14ac:dyDescent="0.25">
      <c r="B594" s="48">
        <f>+'Metrics - Articles'!C591</f>
        <v>0</v>
      </c>
      <c r="C594">
        <f>COUNTIF('Metrics - Articles'!F591,"*GPO (Partner, Ecosystem, Channels)*")</f>
        <v>0</v>
      </c>
      <c r="D594">
        <f>COUNTIF('Metrics - Articles'!F591,"*Office of the CEO*")</f>
        <v>0</v>
      </c>
      <c r="E594">
        <f>COUNTIF('Metrics - Articles'!F591,"*Services Delivery &amp; Support (go-lives and deployments) *")</f>
        <v>0</v>
      </c>
      <c r="F594">
        <f>COUNTIF('Metrics - Articles'!F591,"*Human Resources (SAP HR and employee stories)*")</f>
        <v>0</v>
      </c>
      <c r="G594">
        <f>COUNTIF('Metrics - Articles'!F591,"*P&amp;I (Research &amp; Development)*")</f>
        <v>0</v>
      </c>
      <c r="H594">
        <f>COUNTIF('Metrics - Articles'!F591,"*Business Network (Concur, Ariba, Fieldglass)*")</f>
        <v>0</v>
      </c>
      <c r="I594">
        <f>COUNTIF('Metrics - Articles'!F591,"*GCO – Regions*")</f>
        <v>0</v>
      </c>
      <c r="J594">
        <f>COUNTIF('Metrics - Articles'!F591,"*GCO – Platform Solutions*")</f>
        <v>0</v>
      </c>
      <c r="K594">
        <f>COUNTIF('Metrics - Articles'!F591,"*GCO – Industry Cloud *")</f>
        <v>0</v>
      </c>
      <c r="L594">
        <f>COUNTIF('Metrics - Articles'!F591,"*GCO – Customer Engagement &amp; Commerce (CRM &amp; hybris) *")</f>
        <v>0</v>
      </c>
      <c r="M594">
        <f>COUNTIF('Metrics - Articles'!F591,"*GCO – HR (SuccessFactors)*")</f>
        <v>0</v>
      </c>
      <c r="N594">
        <f>COUNTIF('Metrics - Articles'!F591,"*GCO – Services Sales*")</f>
        <v>0</v>
      </c>
      <c r="O594">
        <f>COUNTIF('Metrics - Articles'!F591,"*GCO – Other*")</f>
        <v>0</v>
      </c>
      <c r="P594">
        <f>COUNTIF('Metrics - Articles'!F591,"*Corporate*")</f>
        <v>0</v>
      </c>
      <c r="R594" s="53">
        <f t="shared" si="11"/>
        <v>0</v>
      </c>
    </row>
    <row r="595" spans="2:18" hidden="1" x14ac:dyDescent="0.25">
      <c r="B595" s="48">
        <f>+'Metrics - Articles'!C592</f>
        <v>0</v>
      </c>
      <c r="C595">
        <f>COUNTIF('Metrics - Articles'!F592,"*GPO (Partner, Ecosystem, Channels)*")</f>
        <v>0</v>
      </c>
      <c r="D595">
        <f>COUNTIF('Metrics - Articles'!F592,"*Office of the CEO*")</f>
        <v>0</v>
      </c>
      <c r="E595">
        <f>COUNTIF('Metrics - Articles'!F592,"*Services Delivery &amp; Support (go-lives and deployments) *")</f>
        <v>0</v>
      </c>
      <c r="F595">
        <f>COUNTIF('Metrics - Articles'!F592,"*Human Resources (SAP HR and employee stories)*")</f>
        <v>0</v>
      </c>
      <c r="G595">
        <f>COUNTIF('Metrics - Articles'!F592,"*P&amp;I (Research &amp; Development)*")</f>
        <v>0</v>
      </c>
      <c r="H595">
        <f>COUNTIF('Metrics - Articles'!F592,"*Business Network (Concur, Ariba, Fieldglass)*")</f>
        <v>0</v>
      </c>
      <c r="I595">
        <f>COUNTIF('Metrics - Articles'!F592,"*GCO – Regions*")</f>
        <v>0</v>
      </c>
      <c r="J595">
        <f>COUNTIF('Metrics - Articles'!F592,"*GCO – Platform Solutions*")</f>
        <v>0</v>
      </c>
      <c r="K595">
        <f>COUNTIF('Metrics - Articles'!F592,"*GCO – Industry Cloud *")</f>
        <v>0</v>
      </c>
      <c r="L595">
        <f>COUNTIF('Metrics - Articles'!F592,"*GCO – Customer Engagement &amp; Commerce (CRM &amp; hybris) *")</f>
        <v>0</v>
      </c>
      <c r="M595">
        <f>COUNTIF('Metrics - Articles'!F592,"*GCO – HR (SuccessFactors)*")</f>
        <v>0</v>
      </c>
      <c r="N595">
        <f>COUNTIF('Metrics - Articles'!F592,"*GCO – Services Sales*")</f>
        <v>0</v>
      </c>
      <c r="O595">
        <f>COUNTIF('Metrics - Articles'!F592,"*GCO – Other*")</f>
        <v>0</v>
      </c>
      <c r="P595">
        <f>COUNTIF('Metrics - Articles'!F592,"*Corporate*")</f>
        <v>0</v>
      </c>
      <c r="R595" s="53">
        <f t="shared" si="11"/>
        <v>0</v>
      </c>
    </row>
    <row r="596" spans="2:18" hidden="1" x14ac:dyDescent="0.25">
      <c r="B596" s="48">
        <f>+'Metrics - Articles'!C593</f>
        <v>0</v>
      </c>
      <c r="C596">
        <f>COUNTIF('Metrics - Articles'!F593,"*GPO (Partner, Ecosystem, Channels)*")</f>
        <v>0</v>
      </c>
      <c r="D596">
        <f>COUNTIF('Metrics - Articles'!F593,"*Office of the CEO*")</f>
        <v>0</v>
      </c>
      <c r="E596">
        <f>COUNTIF('Metrics - Articles'!F593,"*Services Delivery &amp; Support (go-lives and deployments) *")</f>
        <v>0</v>
      </c>
      <c r="F596">
        <f>COUNTIF('Metrics - Articles'!F593,"*Human Resources (SAP HR and employee stories)*")</f>
        <v>0</v>
      </c>
      <c r="G596">
        <f>COUNTIF('Metrics - Articles'!F593,"*P&amp;I (Research &amp; Development)*")</f>
        <v>0</v>
      </c>
      <c r="H596">
        <f>COUNTIF('Metrics - Articles'!F593,"*Business Network (Concur, Ariba, Fieldglass)*")</f>
        <v>0</v>
      </c>
      <c r="I596">
        <f>COUNTIF('Metrics - Articles'!F593,"*GCO – Regions*")</f>
        <v>0</v>
      </c>
      <c r="J596">
        <f>COUNTIF('Metrics - Articles'!F593,"*GCO – Platform Solutions*")</f>
        <v>0</v>
      </c>
      <c r="K596">
        <f>COUNTIF('Metrics - Articles'!F593,"*GCO – Industry Cloud *")</f>
        <v>0</v>
      </c>
      <c r="L596">
        <f>COUNTIF('Metrics - Articles'!F593,"*GCO – Customer Engagement &amp; Commerce (CRM &amp; hybris) *")</f>
        <v>0</v>
      </c>
      <c r="M596">
        <f>COUNTIF('Metrics - Articles'!F593,"*GCO – HR (SuccessFactors)*")</f>
        <v>0</v>
      </c>
      <c r="N596">
        <f>COUNTIF('Metrics - Articles'!F593,"*GCO – Services Sales*")</f>
        <v>0</v>
      </c>
      <c r="O596">
        <f>COUNTIF('Metrics - Articles'!F593,"*GCO – Other*")</f>
        <v>0</v>
      </c>
      <c r="P596">
        <f>COUNTIF('Metrics - Articles'!F593,"*Corporate*")</f>
        <v>0</v>
      </c>
      <c r="R596" s="53">
        <f t="shared" si="11"/>
        <v>0</v>
      </c>
    </row>
    <row r="597" spans="2:18" hidden="1" x14ac:dyDescent="0.25">
      <c r="B597" s="48">
        <f>+'Metrics - Articles'!C594</f>
        <v>0</v>
      </c>
      <c r="C597">
        <f>COUNTIF('Metrics - Articles'!F594,"*GPO (Partner, Ecosystem, Channels)*")</f>
        <v>0</v>
      </c>
      <c r="D597">
        <f>COUNTIF('Metrics - Articles'!F594,"*Office of the CEO*")</f>
        <v>0</v>
      </c>
      <c r="E597">
        <f>COUNTIF('Metrics - Articles'!F594,"*Services Delivery &amp; Support (go-lives and deployments) *")</f>
        <v>0</v>
      </c>
      <c r="F597">
        <f>COUNTIF('Metrics - Articles'!F594,"*Human Resources (SAP HR and employee stories)*")</f>
        <v>0</v>
      </c>
      <c r="G597">
        <f>COUNTIF('Metrics - Articles'!F594,"*P&amp;I (Research &amp; Development)*")</f>
        <v>0</v>
      </c>
      <c r="H597">
        <f>COUNTIF('Metrics - Articles'!F594,"*Business Network (Concur, Ariba, Fieldglass)*")</f>
        <v>0</v>
      </c>
      <c r="I597">
        <f>COUNTIF('Metrics - Articles'!F594,"*GCO – Regions*")</f>
        <v>0</v>
      </c>
      <c r="J597">
        <f>COUNTIF('Metrics - Articles'!F594,"*GCO – Platform Solutions*")</f>
        <v>0</v>
      </c>
      <c r="K597">
        <f>COUNTIF('Metrics - Articles'!F594,"*GCO – Industry Cloud *")</f>
        <v>0</v>
      </c>
      <c r="L597">
        <f>COUNTIF('Metrics - Articles'!F594,"*GCO – Customer Engagement &amp; Commerce (CRM &amp; hybris) *")</f>
        <v>0</v>
      </c>
      <c r="M597">
        <f>COUNTIF('Metrics - Articles'!F594,"*GCO – HR (SuccessFactors)*")</f>
        <v>0</v>
      </c>
      <c r="N597">
        <f>COUNTIF('Metrics - Articles'!F594,"*GCO – Services Sales*")</f>
        <v>0</v>
      </c>
      <c r="O597">
        <f>COUNTIF('Metrics - Articles'!F594,"*GCO – Other*")</f>
        <v>0</v>
      </c>
      <c r="P597">
        <f>COUNTIF('Metrics - Articles'!F594,"*Corporate*")</f>
        <v>0</v>
      </c>
      <c r="R597" s="53">
        <f t="shared" si="11"/>
        <v>0</v>
      </c>
    </row>
    <row r="598" spans="2:18" hidden="1" x14ac:dyDescent="0.25">
      <c r="B598" s="48">
        <f>+'Metrics - Articles'!C595</f>
        <v>0</v>
      </c>
      <c r="C598">
        <f>COUNTIF('Metrics - Articles'!F595,"*GPO (Partner, Ecosystem, Channels)*")</f>
        <v>0</v>
      </c>
      <c r="D598">
        <f>COUNTIF('Metrics - Articles'!F595,"*Office of the CEO*")</f>
        <v>0</v>
      </c>
      <c r="E598">
        <f>COUNTIF('Metrics - Articles'!F595,"*Services Delivery &amp; Support (go-lives and deployments) *")</f>
        <v>0</v>
      </c>
      <c r="F598">
        <f>COUNTIF('Metrics - Articles'!F595,"*Human Resources (SAP HR and employee stories)*")</f>
        <v>0</v>
      </c>
      <c r="G598">
        <f>COUNTIF('Metrics - Articles'!F595,"*P&amp;I (Research &amp; Development)*")</f>
        <v>0</v>
      </c>
      <c r="H598">
        <f>COUNTIF('Metrics - Articles'!F595,"*Business Network (Concur, Ariba, Fieldglass)*")</f>
        <v>0</v>
      </c>
      <c r="I598">
        <f>COUNTIF('Metrics - Articles'!F595,"*GCO – Regions*")</f>
        <v>0</v>
      </c>
      <c r="J598">
        <f>COUNTIF('Metrics - Articles'!F595,"*GCO – Platform Solutions*")</f>
        <v>0</v>
      </c>
      <c r="K598">
        <f>COUNTIF('Metrics - Articles'!F595,"*GCO – Industry Cloud *")</f>
        <v>0</v>
      </c>
      <c r="L598">
        <f>COUNTIF('Metrics - Articles'!F595,"*GCO – Customer Engagement &amp; Commerce (CRM &amp; hybris) *")</f>
        <v>0</v>
      </c>
      <c r="M598">
        <f>COUNTIF('Metrics - Articles'!F595,"*GCO – HR (SuccessFactors)*")</f>
        <v>0</v>
      </c>
      <c r="N598">
        <f>COUNTIF('Metrics - Articles'!F595,"*GCO – Services Sales*")</f>
        <v>0</v>
      </c>
      <c r="O598">
        <f>COUNTIF('Metrics - Articles'!F595,"*GCO – Other*")</f>
        <v>0</v>
      </c>
      <c r="P598">
        <f>COUNTIF('Metrics - Articles'!F595,"*Corporate*")</f>
        <v>0</v>
      </c>
      <c r="R598" s="53">
        <f t="shared" si="11"/>
        <v>0</v>
      </c>
    </row>
    <row r="599" spans="2:18" hidden="1" x14ac:dyDescent="0.25">
      <c r="B599" s="48">
        <f>+'Metrics - Articles'!C596</f>
        <v>0</v>
      </c>
      <c r="C599">
        <f>COUNTIF('Metrics - Articles'!F596,"*GPO (Partner, Ecosystem, Channels)*")</f>
        <v>0</v>
      </c>
      <c r="D599">
        <f>COUNTIF('Metrics - Articles'!F596,"*Office of the CEO*")</f>
        <v>0</v>
      </c>
      <c r="E599">
        <f>COUNTIF('Metrics - Articles'!F596,"*Services Delivery &amp; Support (go-lives and deployments) *")</f>
        <v>0</v>
      </c>
      <c r="F599">
        <f>COUNTIF('Metrics - Articles'!F596,"*Human Resources (SAP HR and employee stories)*")</f>
        <v>0</v>
      </c>
      <c r="G599">
        <f>COUNTIF('Metrics - Articles'!F596,"*P&amp;I (Research &amp; Development)*")</f>
        <v>0</v>
      </c>
      <c r="H599">
        <f>COUNTIF('Metrics - Articles'!F596,"*Business Network (Concur, Ariba, Fieldglass)*")</f>
        <v>0</v>
      </c>
      <c r="I599">
        <f>COUNTIF('Metrics - Articles'!F596,"*GCO – Regions*")</f>
        <v>0</v>
      </c>
      <c r="J599">
        <f>COUNTIF('Metrics - Articles'!F596,"*GCO – Platform Solutions*")</f>
        <v>0</v>
      </c>
      <c r="K599">
        <f>COUNTIF('Metrics - Articles'!F596,"*GCO – Industry Cloud *")</f>
        <v>0</v>
      </c>
      <c r="L599">
        <f>COUNTIF('Metrics - Articles'!F596,"*GCO – Customer Engagement &amp; Commerce (CRM &amp; hybris) *")</f>
        <v>0</v>
      </c>
      <c r="M599">
        <f>COUNTIF('Metrics - Articles'!F596,"*GCO – HR (SuccessFactors)*")</f>
        <v>0</v>
      </c>
      <c r="N599">
        <f>COUNTIF('Metrics - Articles'!F596,"*GCO – Services Sales*")</f>
        <v>0</v>
      </c>
      <c r="O599">
        <f>COUNTIF('Metrics - Articles'!F596,"*GCO – Other*")</f>
        <v>0</v>
      </c>
      <c r="P599">
        <f>COUNTIF('Metrics - Articles'!F596,"*Corporate*")</f>
        <v>0</v>
      </c>
      <c r="R599" s="53">
        <f t="shared" si="11"/>
        <v>0</v>
      </c>
    </row>
    <row r="600" spans="2:18" hidden="1" x14ac:dyDescent="0.25">
      <c r="B600" s="48">
        <f>+'Metrics - Articles'!C597</f>
        <v>0</v>
      </c>
      <c r="C600">
        <f>COUNTIF('Metrics - Articles'!F597,"*GPO (Partner, Ecosystem, Channels)*")</f>
        <v>0</v>
      </c>
      <c r="D600">
        <f>COUNTIF('Metrics - Articles'!F597,"*Office of the CEO*")</f>
        <v>0</v>
      </c>
      <c r="E600">
        <f>COUNTIF('Metrics - Articles'!F597,"*Services Delivery &amp; Support (go-lives and deployments) *")</f>
        <v>0</v>
      </c>
      <c r="F600">
        <f>COUNTIF('Metrics - Articles'!F597,"*Human Resources (SAP HR and employee stories)*")</f>
        <v>0</v>
      </c>
      <c r="G600">
        <f>COUNTIF('Metrics - Articles'!F597,"*P&amp;I (Research &amp; Development)*")</f>
        <v>0</v>
      </c>
      <c r="H600">
        <f>COUNTIF('Metrics - Articles'!F597,"*Business Network (Concur, Ariba, Fieldglass)*")</f>
        <v>0</v>
      </c>
      <c r="I600">
        <f>COUNTIF('Metrics - Articles'!F597,"*GCO – Regions*")</f>
        <v>0</v>
      </c>
      <c r="J600">
        <f>COUNTIF('Metrics - Articles'!F597,"*GCO – Platform Solutions*")</f>
        <v>0</v>
      </c>
      <c r="K600">
        <f>COUNTIF('Metrics - Articles'!F597,"*GCO – Industry Cloud *")</f>
        <v>0</v>
      </c>
      <c r="L600">
        <f>COUNTIF('Metrics - Articles'!F597,"*GCO – Customer Engagement &amp; Commerce (CRM &amp; hybris) *")</f>
        <v>0</v>
      </c>
      <c r="M600">
        <f>COUNTIF('Metrics - Articles'!F597,"*GCO – HR (SuccessFactors)*")</f>
        <v>0</v>
      </c>
      <c r="N600">
        <f>COUNTIF('Metrics - Articles'!F597,"*GCO – Services Sales*")</f>
        <v>0</v>
      </c>
      <c r="O600">
        <f>COUNTIF('Metrics - Articles'!F597,"*GCO – Other*")</f>
        <v>0</v>
      </c>
      <c r="P600">
        <f>COUNTIF('Metrics - Articles'!F597,"*Corporate*")</f>
        <v>0</v>
      </c>
      <c r="R600" s="53">
        <f t="shared" si="11"/>
        <v>0</v>
      </c>
    </row>
    <row r="601" spans="2:18" hidden="1" x14ac:dyDescent="0.25">
      <c r="B601" s="48">
        <f>+'Metrics - Articles'!C598</f>
        <v>0</v>
      </c>
      <c r="C601">
        <f>COUNTIF('Metrics - Articles'!F598,"*GPO (Partner, Ecosystem, Channels)*")</f>
        <v>0</v>
      </c>
      <c r="D601">
        <f>COUNTIF('Metrics - Articles'!F598,"*Office of the CEO*")</f>
        <v>0</v>
      </c>
      <c r="E601">
        <f>COUNTIF('Metrics - Articles'!F598,"*Services Delivery &amp; Support (go-lives and deployments) *")</f>
        <v>0</v>
      </c>
      <c r="F601">
        <f>COUNTIF('Metrics - Articles'!F598,"*Human Resources (SAP HR and employee stories)*")</f>
        <v>0</v>
      </c>
      <c r="G601">
        <f>COUNTIF('Metrics - Articles'!F598,"*P&amp;I (Research &amp; Development)*")</f>
        <v>0</v>
      </c>
      <c r="H601">
        <f>COUNTIF('Metrics - Articles'!F598,"*Business Network (Concur, Ariba, Fieldglass)*")</f>
        <v>0</v>
      </c>
      <c r="I601">
        <f>COUNTIF('Metrics - Articles'!F598,"*GCO – Regions*")</f>
        <v>0</v>
      </c>
      <c r="J601">
        <f>COUNTIF('Metrics - Articles'!F598,"*GCO – Platform Solutions*")</f>
        <v>0</v>
      </c>
      <c r="K601">
        <f>COUNTIF('Metrics - Articles'!F598,"*GCO – Industry Cloud *")</f>
        <v>0</v>
      </c>
      <c r="L601">
        <f>COUNTIF('Metrics - Articles'!F598,"*GCO – Customer Engagement &amp; Commerce (CRM &amp; hybris) *")</f>
        <v>0</v>
      </c>
      <c r="M601">
        <f>COUNTIF('Metrics - Articles'!F598,"*GCO – HR (SuccessFactors)*")</f>
        <v>0</v>
      </c>
      <c r="N601">
        <f>COUNTIF('Metrics - Articles'!F598,"*GCO – Services Sales*")</f>
        <v>0</v>
      </c>
      <c r="O601">
        <f>COUNTIF('Metrics - Articles'!F598,"*GCO – Other*")</f>
        <v>0</v>
      </c>
      <c r="P601">
        <f>COUNTIF('Metrics - Articles'!F598,"*Corporate*")</f>
        <v>0</v>
      </c>
      <c r="R601" s="53">
        <f t="shared" si="11"/>
        <v>0</v>
      </c>
    </row>
    <row r="602" spans="2:18" hidden="1" x14ac:dyDescent="0.25">
      <c r="B602" s="48">
        <f>+'Metrics - Articles'!C599</f>
        <v>0</v>
      </c>
      <c r="C602">
        <f>COUNTIF('Metrics - Articles'!F599,"*GPO (Partner, Ecosystem, Channels)*")</f>
        <v>0</v>
      </c>
      <c r="D602">
        <f>COUNTIF('Metrics - Articles'!F599,"*Office of the CEO*")</f>
        <v>0</v>
      </c>
      <c r="E602">
        <f>COUNTIF('Metrics - Articles'!F599,"*Services Delivery &amp; Support (go-lives and deployments) *")</f>
        <v>0</v>
      </c>
      <c r="F602">
        <f>COUNTIF('Metrics - Articles'!F599,"*Human Resources (SAP HR and employee stories)*")</f>
        <v>0</v>
      </c>
      <c r="G602">
        <f>COUNTIF('Metrics - Articles'!F599,"*P&amp;I (Research &amp; Development)*")</f>
        <v>0</v>
      </c>
      <c r="H602">
        <f>COUNTIF('Metrics - Articles'!F599,"*Business Network (Concur, Ariba, Fieldglass)*")</f>
        <v>0</v>
      </c>
      <c r="I602">
        <f>COUNTIF('Metrics - Articles'!F599,"*GCO – Regions*")</f>
        <v>0</v>
      </c>
      <c r="J602">
        <f>COUNTIF('Metrics - Articles'!F599,"*GCO – Platform Solutions*")</f>
        <v>0</v>
      </c>
      <c r="K602">
        <f>COUNTIF('Metrics - Articles'!F599,"*GCO – Industry Cloud *")</f>
        <v>0</v>
      </c>
      <c r="L602">
        <f>COUNTIF('Metrics - Articles'!F599,"*GCO – Customer Engagement &amp; Commerce (CRM &amp; hybris) *")</f>
        <v>0</v>
      </c>
      <c r="M602">
        <f>COUNTIF('Metrics - Articles'!F599,"*GCO – HR (SuccessFactors)*")</f>
        <v>0</v>
      </c>
      <c r="N602">
        <f>COUNTIF('Metrics - Articles'!F599,"*GCO – Services Sales*")</f>
        <v>0</v>
      </c>
      <c r="O602">
        <f>COUNTIF('Metrics - Articles'!F599,"*GCO – Other*")</f>
        <v>0</v>
      </c>
      <c r="P602">
        <f>COUNTIF('Metrics - Articles'!F599,"*Corporate*")</f>
        <v>0</v>
      </c>
      <c r="R602" s="53">
        <f t="shared" si="11"/>
        <v>0</v>
      </c>
    </row>
    <row r="603" spans="2:18" hidden="1" x14ac:dyDescent="0.25">
      <c r="B603" s="48">
        <f>+'Metrics - Articles'!C600</f>
        <v>0</v>
      </c>
      <c r="C603">
        <f>COUNTIF('Metrics - Articles'!F600,"*GPO (Partner, Ecosystem, Channels)*")</f>
        <v>0</v>
      </c>
      <c r="D603">
        <f>COUNTIF('Metrics - Articles'!F600,"*Office of the CEO*")</f>
        <v>0</v>
      </c>
      <c r="E603">
        <f>COUNTIF('Metrics - Articles'!F600,"*Services Delivery &amp; Support (go-lives and deployments) *")</f>
        <v>0</v>
      </c>
      <c r="F603">
        <f>COUNTIF('Metrics - Articles'!F600,"*Human Resources (SAP HR and employee stories)*")</f>
        <v>0</v>
      </c>
      <c r="G603">
        <f>COUNTIF('Metrics - Articles'!F600,"*P&amp;I (Research &amp; Development)*")</f>
        <v>0</v>
      </c>
      <c r="H603">
        <f>COUNTIF('Metrics - Articles'!F600,"*Business Network (Concur, Ariba, Fieldglass)*")</f>
        <v>0</v>
      </c>
      <c r="I603">
        <f>COUNTIF('Metrics - Articles'!F600,"*GCO – Regions*")</f>
        <v>0</v>
      </c>
      <c r="J603">
        <f>COUNTIF('Metrics - Articles'!F600,"*GCO – Platform Solutions*")</f>
        <v>0</v>
      </c>
      <c r="K603">
        <f>COUNTIF('Metrics - Articles'!F600,"*GCO – Industry Cloud *")</f>
        <v>0</v>
      </c>
      <c r="L603">
        <f>COUNTIF('Metrics - Articles'!F600,"*GCO – Customer Engagement &amp; Commerce (CRM &amp; hybris) *")</f>
        <v>0</v>
      </c>
      <c r="M603">
        <f>COUNTIF('Metrics - Articles'!F600,"*GCO – HR (SuccessFactors)*")</f>
        <v>0</v>
      </c>
      <c r="N603">
        <f>COUNTIF('Metrics - Articles'!F600,"*GCO – Services Sales*")</f>
        <v>0</v>
      </c>
      <c r="O603">
        <f>COUNTIF('Metrics - Articles'!F600,"*GCO – Other*")</f>
        <v>0</v>
      </c>
      <c r="P603">
        <f>COUNTIF('Metrics - Articles'!F600,"*Corporate*")</f>
        <v>0</v>
      </c>
      <c r="R603" s="53">
        <f t="shared" si="11"/>
        <v>0</v>
      </c>
    </row>
    <row r="604" spans="2:18" hidden="1" x14ac:dyDescent="0.25">
      <c r="B604" s="48">
        <f>+'Metrics - Articles'!C601</f>
        <v>0</v>
      </c>
      <c r="C604">
        <f>COUNTIF('Metrics - Articles'!F601,"*GPO (Partner, Ecosystem, Channels)*")</f>
        <v>0</v>
      </c>
      <c r="D604">
        <f>COUNTIF('Metrics - Articles'!F601,"*Office of the CEO*")</f>
        <v>0</v>
      </c>
      <c r="E604">
        <f>COUNTIF('Metrics - Articles'!F601,"*Services Delivery &amp; Support (go-lives and deployments) *")</f>
        <v>0</v>
      </c>
      <c r="F604">
        <f>COUNTIF('Metrics - Articles'!F601,"*Human Resources (SAP HR and employee stories)*")</f>
        <v>0</v>
      </c>
      <c r="G604">
        <f>COUNTIF('Metrics - Articles'!F601,"*P&amp;I (Research &amp; Development)*")</f>
        <v>0</v>
      </c>
      <c r="H604">
        <f>COUNTIF('Metrics - Articles'!F601,"*Business Network (Concur, Ariba, Fieldglass)*")</f>
        <v>0</v>
      </c>
      <c r="I604">
        <f>COUNTIF('Metrics - Articles'!F601,"*GCO – Regions*")</f>
        <v>0</v>
      </c>
      <c r="J604">
        <f>COUNTIF('Metrics - Articles'!F601,"*GCO – Platform Solutions*")</f>
        <v>0</v>
      </c>
      <c r="K604">
        <f>COUNTIF('Metrics - Articles'!F601,"*GCO – Industry Cloud *")</f>
        <v>0</v>
      </c>
      <c r="L604">
        <f>COUNTIF('Metrics - Articles'!F601,"*GCO – Customer Engagement &amp; Commerce (CRM &amp; hybris) *")</f>
        <v>0</v>
      </c>
      <c r="M604">
        <f>COUNTIF('Metrics - Articles'!F601,"*GCO – HR (SuccessFactors)*")</f>
        <v>0</v>
      </c>
      <c r="N604">
        <f>COUNTIF('Metrics - Articles'!F601,"*GCO – Services Sales*")</f>
        <v>0</v>
      </c>
      <c r="O604">
        <f>COUNTIF('Metrics - Articles'!F601,"*GCO – Other*")</f>
        <v>0</v>
      </c>
      <c r="P604">
        <f>COUNTIF('Metrics - Articles'!F601,"*Corporate*")</f>
        <v>0</v>
      </c>
      <c r="R604" s="53">
        <f t="shared" si="11"/>
        <v>0</v>
      </c>
    </row>
    <row r="605" spans="2:18" hidden="1" x14ac:dyDescent="0.25">
      <c r="B605" s="48">
        <f>+'Metrics - Articles'!C602</f>
        <v>0</v>
      </c>
      <c r="C605">
        <f>COUNTIF('Metrics - Articles'!F602,"*GPO (Partner, Ecosystem, Channels)*")</f>
        <v>0</v>
      </c>
      <c r="D605">
        <f>COUNTIF('Metrics - Articles'!F602,"*Office of the CEO*")</f>
        <v>0</v>
      </c>
      <c r="E605">
        <f>COUNTIF('Metrics - Articles'!F602,"*Services Delivery &amp; Support (go-lives and deployments) *")</f>
        <v>0</v>
      </c>
      <c r="F605">
        <f>COUNTIF('Metrics - Articles'!F602,"*Human Resources (SAP HR and employee stories)*")</f>
        <v>0</v>
      </c>
      <c r="G605">
        <f>COUNTIF('Metrics - Articles'!F602,"*P&amp;I (Research &amp; Development)*")</f>
        <v>0</v>
      </c>
      <c r="H605">
        <f>COUNTIF('Metrics - Articles'!F602,"*Business Network (Concur, Ariba, Fieldglass)*")</f>
        <v>0</v>
      </c>
      <c r="I605">
        <f>COUNTIF('Metrics - Articles'!F602,"*GCO – Regions*")</f>
        <v>0</v>
      </c>
      <c r="J605">
        <f>COUNTIF('Metrics - Articles'!F602,"*GCO – Platform Solutions*")</f>
        <v>0</v>
      </c>
      <c r="K605">
        <f>COUNTIF('Metrics - Articles'!F602,"*GCO – Industry Cloud *")</f>
        <v>0</v>
      </c>
      <c r="L605">
        <f>COUNTIF('Metrics - Articles'!F602,"*GCO – Customer Engagement &amp; Commerce (CRM &amp; hybris) *")</f>
        <v>0</v>
      </c>
      <c r="M605">
        <f>COUNTIF('Metrics - Articles'!F602,"*GCO – HR (SuccessFactors)*")</f>
        <v>0</v>
      </c>
      <c r="N605">
        <f>COUNTIF('Metrics - Articles'!F602,"*GCO – Services Sales*")</f>
        <v>0</v>
      </c>
      <c r="O605">
        <f>COUNTIF('Metrics - Articles'!F602,"*GCO – Other*")</f>
        <v>0</v>
      </c>
      <c r="P605">
        <f>COUNTIF('Metrics - Articles'!F602,"*Corporate*")</f>
        <v>0</v>
      </c>
      <c r="R605" s="53">
        <f t="shared" si="11"/>
        <v>0</v>
      </c>
    </row>
    <row r="606" spans="2:18" hidden="1" x14ac:dyDescent="0.25">
      <c r="B606" s="48">
        <f>+'Metrics - Articles'!C603</f>
        <v>0</v>
      </c>
      <c r="C606">
        <f>COUNTIF('Metrics - Articles'!F603,"*GPO (Partner, Ecosystem, Channels)*")</f>
        <v>0</v>
      </c>
      <c r="D606">
        <f>COUNTIF('Metrics - Articles'!F603,"*Office of the CEO*")</f>
        <v>0</v>
      </c>
      <c r="E606">
        <f>COUNTIF('Metrics - Articles'!F603,"*Services Delivery &amp; Support (go-lives and deployments) *")</f>
        <v>0</v>
      </c>
      <c r="F606">
        <f>COUNTIF('Metrics - Articles'!F603,"*Human Resources (SAP HR and employee stories)*")</f>
        <v>0</v>
      </c>
      <c r="G606">
        <f>COUNTIF('Metrics - Articles'!F603,"*P&amp;I (Research &amp; Development)*")</f>
        <v>0</v>
      </c>
      <c r="H606">
        <f>COUNTIF('Metrics - Articles'!F603,"*Business Network (Concur, Ariba, Fieldglass)*")</f>
        <v>0</v>
      </c>
      <c r="I606">
        <f>COUNTIF('Metrics - Articles'!F603,"*GCO – Regions*")</f>
        <v>0</v>
      </c>
      <c r="J606">
        <f>COUNTIF('Metrics - Articles'!F603,"*GCO – Platform Solutions*")</f>
        <v>0</v>
      </c>
      <c r="K606">
        <f>COUNTIF('Metrics - Articles'!F603,"*GCO – Industry Cloud *")</f>
        <v>0</v>
      </c>
      <c r="L606">
        <f>COUNTIF('Metrics - Articles'!F603,"*GCO – Customer Engagement &amp; Commerce (CRM &amp; hybris) *")</f>
        <v>0</v>
      </c>
      <c r="M606">
        <f>COUNTIF('Metrics - Articles'!F603,"*GCO – HR (SuccessFactors)*")</f>
        <v>0</v>
      </c>
      <c r="N606">
        <f>COUNTIF('Metrics - Articles'!F603,"*GCO – Services Sales*")</f>
        <v>0</v>
      </c>
      <c r="O606">
        <f>COUNTIF('Metrics - Articles'!F603,"*GCO – Other*")</f>
        <v>0</v>
      </c>
      <c r="P606">
        <f>COUNTIF('Metrics - Articles'!F603,"*Corporate*")</f>
        <v>0</v>
      </c>
      <c r="R606" s="53">
        <f t="shared" si="11"/>
        <v>0</v>
      </c>
    </row>
    <row r="607" spans="2:18" hidden="1" x14ac:dyDescent="0.25">
      <c r="B607" s="48">
        <f>+'Metrics - Articles'!C604</f>
        <v>0</v>
      </c>
      <c r="C607">
        <f>COUNTIF('Metrics - Articles'!F604,"*GPO (Partner, Ecosystem, Channels)*")</f>
        <v>0</v>
      </c>
      <c r="D607">
        <f>COUNTIF('Metrics - Articles'!F604,"*Office of the CEO*")</f>
        <v>0</v>
      </c>
      <c r="E607">
        <f>COUNTIF('Metrics - Articles'!F604,"*Services Delivery &amp; Support (go-lives and deployments) *")</f>
        <v>0</v>
      </c>
      <c r="F607">
        <f>COUNTIF('Metrics - Articles'!F604,"*Human Resources (SAP HR and employee stories)*")</f>
        <v>0</v>
      </c>
      <c r="G607">
        <f>COUNTIF('Metrics - Articles'!F604,"*P&amp;I (Research &amp; Development)*")</f>
        <v>0</v>
      </c>
      <c r="H607">
        <f>COUNTIF('Metrics - Articles'!F604,"*Business Network (Concur, Ariba, Fieldglass)*")</f>
        <v>0</v>
      </c>
      <c r="I607">
        <f>COUNTIF('Metrics - Articles'!F604,"*GCO – Regions*")</f>
        <v>0</v>
      </c>
      <c r="J607">
        <f>COUNTIF('Metrics - Articles'!F604,"*GCO – Platform Solutions*")</f>
        <v>0</v>
      </c>
      <c r="K607">
        <f>COUNTIF('Metrics - Articles'!F604,"*GCO – Industry Cloud *")</f>
        <v>0</v>
      </c>
      <c r="L607">
        <f>COUNTIF('Metrics - Articles'!F604,"*GCO – Customer Engagement &amp; Commerce (CRM &amp; hybris) *")</f>
        <v>0</v>
      </c>
      <c r="M607">
        <f>COUNTIF('Metrics - Articles'!F604,"*GCO – HR (SuccessFactors)*")</f>
        <v>0</v>
      </c>
      <c r="N607">
        <f>COUNTIF('Metrics - Articles'!F604,"*GCO – Services Sales*")</f>
        <v>0</v>
      </c>
      <c r="O607">
        <f>COUNTIF('Metrics - Articles'!F604,"*GCO – Other*")</f>
        <v>0</v>
      </c>
      <c r="P607">
        <f>COUNTIF('Metrics - Articles'!F604,"*Corporate*")</f>
        <v>0</v>
      </c>
      <c r="R607" s="53">
        <f t="shared" si="11"/>
        <v>0</v>
      </c>
    </row>
    <row r="608" spans="2:18" hidden="1" x14ac:dyDescent="0.25">
      <c r="B608" s="48">
        <f>+'Metrics - Articles'!C605</f>
        <v>0</v>
      </c>
      <c r="C608">
        <f>COUNTIF('Metrics - Articles'!F605,"*GPO (Partner, Ecosystem, Channels)*")</f>
        <v>0</v>
      </c>
      <c r="D608">
        <f>COUNTIF('Metrics - Articles'!F605,"*Office of the CEO*")</f>
        <v>0</v>
      </c>
      <c r="E608">
        <f>COUNTIF('Metrics - Articles'!F605,"*Services Delivery &amp; Support (go-lives and deployments) *")</f>
        <v>0</v>
      </c>
      <c r="F608">
        <f>COUNTIF('Metrics - Articles'!F605,"*Human Resources (SAP HR and employee stories)*")</f>
        <v>0</v>
      </c>
      <c r="G608">
        <f>COUNTIF('Metrics - Articles'!F605,"*P&amp;I (Research &amp; Development)*")</f>
        <v>0</v>
      </c>
      <c r="H608">
        <f>COUNTIF('Metrics - Articles'!F605,"*Business Network (Concur, Ariba, Fieldglass)*")</f>
        <v>0</v>
      </c>
      <c r="I608">
        <f>COUNTIF('Metrics - Articles'!F605,"*GCO – Regions*")</f>
        <v>0</v>
      </c>
      <c r="J608">
        <f>COUNTIF('Metrics - Articles'!F605,"*GCO – Platform Solutions*")</f>
        <v>0</v>
      </c>
      <c r="K608">
        <f>COUNTIF('Metrics - Articles'!F605,"*GCO – Industry Cloud *")</f>
        <v>0</v>
      </c>
      <c r="L608">
        <f>COUNTIF('Metrics - Articles'!F605,"*GCO – Customer Engagement &amp; Commerce (CRM &amp; hybris) *")</f>
        <v>0</v>
      </c>
      <c r="M608">
        <f>COUNTIF('Metrics - Articles'!F605,"*GCO – HR (SuccessFactors)*")</f>
        <v>0</v>
      </c>
      <c r="N608">
        <f>COUNTIF('Metrics - Articles'!F605,"*GCO – Services Sales*")</f>
        <v>0</v>
      </c>
      <c r="O608">
        <f>COUNTIF('Metrics - Articles'!F605,"*GCO – Other*")</f>
        <v>0</v>
      </c>
      <c r="P608">
        <f>COUNTIF('Metrics - Articles'!F605,"*Corporate*")</f>
        <v>0</v>
      </c>
      <c r="R608" s="53">
        <f t="shared" si="11"/>
        <v>0</v>
      </c>
    </row>
    <row r="609" spans="2:18" hidden="1" x14ac:dyDescent="0.25">
      <c r="B609" s="48">
        <f>+'Metrics - Articles'!C606</f>
        <v>0</v>
      </c>
      <c r="C609">
        <f>COUNTIF('Metrics - Articles'!F606,"*GPO (Partner, Ecosystem, Channels)*")</f>
        <v>0</v>
      </c>
      <c r="D609">
        <f>COUNTIF('Metrics - Articles'!F606,"*Office of the CEO*")</f>
        <v>0</v>
      </c>
      <c r="E609">
        <f>COUNTIF('Metrics - Articles'!F606,"*Services Delivery &amp; Support (go-lives and deployments) *")</f>
        <v>0</v>
      </c>
      <c r="F609">
        <f>COUNTIF('Metrics - Articles'!F606,"*Human Resources (SAP HR and employee stories)*")</f>
        <v>0</v>
      </c>
      <c r="G609">
        <f>COUNTIF('Metrics - Articles'!F606,"*P&amp;I (Research &amp; Development)*")</f>
        <v>0</v>
      </c>
      <c r="H609">
        <f>COUNTIF('Metrics - Articles'!F606,"*Business Network (Concur, Ariba, Fieldglass)*")</f>
        <v>0</v>
      </c>
      <c r="I609">
        <f>COUNTIF('Metrics - Articles'!F606,"*GCO – Regions*")</f>
        <v>0</v>
      </c>
      <c r="J609">
        <f>COUNTIF('Metrics - Articles'!F606,"*GCO – Platform Solutions*")</f>
        <v>0</v>
      </c>
      <c r="K609">
        <f>COUNTIF('Metrics - Articles'!F606,"*GCO – Industry Cloud *")</f>
        <v>0</v>
      </c>
      <c r="L609">
        <f>COUNTIF('Metrics - Articles'!F606,"*GCO – Customer Engagement &amp; Commerce (CRM &amp; hybris) *")</f>
        <v>0</v>
      </c>
      <c r="M609">
        <f>COUNTIF('Metrics - Articles'!F606,"*GCO – HR (SuccessFactors)*")</f>
        <v>0</v>
      </c>
      <c r="N609">
        <f>COUNTIF('Metrics - Articles'!F606,"*GCO – Services Sales*")</f>
        <v>0</v>
      </c>
      <c r="O609">
        <f>COUNTIF('Metrics - Articles'!F606,"*GCO – Other*")</f>
        <v>0</v>
      </c>
      <c r="P609">
        <f>COUNTIF('Metrics - Articles'!F606,"*Corporate*")</f>
        <v>0</v>
      </c>
      <c r="R609" s="53">
        <f t="shared" si="11"/>
        <v>0</v>
      </c>
    </row>
    <row r="610" spans="2:18" hidden="1" x14ac:dyDescent="0.25">
      <c r="B610" s="48">
        <f>+'Metrics - Articles'!C607</f>
        <v>0</v>
      </c>
      <c r="C610">
        <f>COUNTIF('Metrics - Articles'!F607,"*GPO (Partner, Ecosystem, Channels)*")</f>
        <v>0</v>
      </c>
      <c r="D610">
        <f>COUNTIF('Metrics - Articles'!F607,"*Office of the CEO*")</f>
        <v>0</v>
      </c>
      <c r="E610">
        <f>COUNTIF('Metrics - Articles'!F607,"*Services Delivery &amp; Support (go-lives and deployments) *")</f>
        <v>0</v>
      </c>
      <c r="F610">
        <f>COUNTIF('Metrics - Articles'!F607,"*Human Resources (SAP HR and employee stories)*")</f>
        <v>0</v>
      </c>
      <c r="G610">
        <f>COUNTIF('Metrics - Articles'!F607,"*P&amp;I (Research &amp; Development)*")</f>
        <v>0</v>
      </c>
      <c r="H610">
        <f>COUNTIF('Metrics - Articles'!F607,"*Business Network (Concur, Ariba, Fieldglass)*")</f>
        <v>0</v>
      </c>
      <c r="I610">
        <f>COUNTIF('Metrics - Articles'!F607,"*GCO – Regions*")</f>
        <v>0</v>
      </c>
      <c r="J610">
        <f>COUNTIF('Metrics - Articles'!F607,"*GCO – Platform Solutions*")</f>
        <v>0</v>
      </c>
      <c r="K610">
        <f>COUNTIF('Metrics - Articles'!F607,"*GCO – Industry Cloud *")</f>
        <v>0</v>
      </c>
      <c r="L610">
        <f>COUNTIF('Metrics - Articles'!F607,"*GCO – Customer Engagement &amp; Commerce (CRM &amp; hybris) *")</f>
        <v>0</v>
      </c>
      <c r="M610">
        <f>COUNTIF('Metrics - Articles'!F607,"*GCO – HR (SuccessFactors)*")</f>
        <v>0</v>
      </c>
      <c r="N610">
        <f>COUNTIF('Metrics - Articles'!F607,"*GCO – Services Sales*")</f>
        <v>0</v>
      </c>
      <c r="O610">
        <f>COUNTIF('Metrics - Articles'!F607,"*GCO – Other*")</f>
        <v>0</v>
      </c>
      <c r="P610">
        <f>COUNTIF('Metrics - Articles'!F607,"*Corporate*")</f>
        <v>0</v>
      </c>
      <c r="R610" s="53">
        <f t="shared" si="11"/>
        <v>0</v>
      </c>
    </row>
    <row r="611" spans="2:18" hidden="1" x14ac:dyDescent="0.25">
      <c r="B611" s="48">
        <f>+'Metrics - Articles'!C608</f>
        <v>0</v>
      </c>
      <c r="C611">
        <f>COUNTIF('Metrics - Articles'!F608,"*GPO (Partner, Ecosystem, Channels)*")</f>
        <v>0</v>
      </c>
      <c r="D611">
        <f>COUNTIF('Metrics - Articles'!F608,"*Office of the CEO*")</f>
        <v>0</v>
      </c>
      <c r="E611">
        <f>COUNTIF('Metrics - Articles'!F608,"*Services Delivery &amp; Support (go-lives and deployments) *")</f>
        <v>0</v>
      </c>
      <c r="F611">
        <f>COUNTIF('Metrics - Articles'!F608,"*Human Resources (SAP HR and employee stories)*")</f>
        <v>0</v>
      </c>
      <c r="G611">
        <f>COUNTIF('Metrics - Articles'!F608,"*P&amp;I (Research &amp; Development)*")</f>
        <v>0</v>
      </c>
      <c r="H611">
        <f>COUNTIF('Metrics - Articles'!F608,"*Business Network (Concur, Ariba, Fieldglass)*")</f>
        <v>0</v>
      </c>
      <c r="I611">
        <f>COUNTIF('Metrics - Articles'!F608,"*GCO – Regions*")</f>
        <v>0</v>
      </c>
      <c r="J611">
        <f>COUNTIF('Metrics - Articles'!F608,"*GCO – Platform Solutions*")</f>
        <v>0</v>
      </c>
      <c r="K611">
        <f>COUNTIF('Metrics - Articles'!F608,"*GCO – Industry Cloud *")</f>
        <v>0</v>
      </c>
      <c r="L611">
        <f>COUNTIF('Metrics - Articles'!F608,"*GCO – Customer Engagement &amp; Commerce (CRM &amp; hybris) *")</f>
        <v>0</v>
      </c>
      <c r="M611">
        <f>COUNTIF('Metrics - Articles'!F608,"*GCO – HR (SuccessFactors)*")</f>
        <v>0</v>
      </c>
      <c r="N611">
        <f>COUNTIF('Metrics - Articles'!F608,"*GCO – Services Sales*")</f>
        <v>0</v>
      </c>
      <c r="O611">
        <f>COUNTIF('Metrics - Articles'!F608,"*GCO – Other*")</f>
        <v>0</v>
      </c>
      <c r="P611">
        <f>COUNTIF('Metrics - Articles'!F608,"*Corporate*")</f>
        <v>0</v>
      </c>
      <c r="R611" s="53">
        <f t="shared" si="11"/>
        <v>0</v>
      </c>
    </row>
    <row r="612" spans="2:18" hidden="1" x14ac:dyDescent="0.25">
      <c r="B612" s="48">
        <f>+'Metrics - Articles'!C609</f>
        <v>0</v>
      </c>
      <c r="C612">
        <f>COUNTIF('Metrics - Articles'!F609,"*GPO (Partner, Ecosystem, Channels)*")</f>
        <v>0</v>
      </c>
      <c r="D612">
        <f>COUNTIF('Metrics - Articles'!F609,"*Office of the CEO*")</f>
        <v>0</v>
      </c>
      <c r="E612">
        <f>COUNTIF('Metrics - Articles'!F609,"*Services Delivery &amp; Support (go-lives and deployments) *")</f>
        <v>0</v>
      </c>
      <c r="F612">
        <f>COUNTIF('Metrics - Articles'!F609,"*Human Resources (SAP HR and employee stories)*")</f>
        <v>0</v>
      </c>
      <c r="G612">
        <f>COUNTIF('Metrics - Articles'!F609,"*P&amp;I (Research &amp; Development)*")</f>
        <v>0</v>
      </c>
      <c r="H612">
        <f>COUNTIF('Metrics - Articles'!F609,"*Business Network (Concur, Ariba, Fieldglass)*")</f>
        <v>0</v>
      </c>
      <c r="I612">
        <f>COUNTIF('Metrics - Articles'!F609,"*GCO – Regions*")</f>
        <v>0</v>
      </c>
      <c r="J612">
        <f>COUNTIF('Metrics - Articles'!F609,"*GCO – Platform Solutions*")</f>
        <v>0</v>
      </c>
      <c r="K612">
        <f>COUNTIF('Metrics - Articles'!F609,"*GCO – Industry Cloud *")</f>
        <v>0</v>
      </c>
      <c r="L612">
        <f>COUNTIF('Metrics - Articles'!F609,"*GCO – Customer Engagement &amp; Commerce (CRM &amp; hybris) *")</f>
        <v>0</v>
      </c>
      <c r="M612">
        <f>COUNTIF('Metrics - Articles'!F609,"*GCO – HR (SuccessFactors)*")</f>
        <v>0</v>
      </c>
      <c r="N612">
        <f>COUNTIF('Metrics - Articles'!F609,"*GCO – Services Sales*")</f>
        <v>0</v>
      </c>
      <c r="O612">
        <f>COUNTIF('Metrics - Articles'!F609,"*GCO – Other*")</f>
        <v>0</v>
      </c>
      <c r="P612">
        <f>COUNTIF('Metrics - Articles'!F609,"*Corporate*")</f>
        <v>0</v>
      </c>
      <c r="R612" s="53">
        <f t="shared" si="11"/>
        <v>0</v>
      </c>
    </row>
    <row r="613" spans="2:18" hidden="1" x14ac:dyDescent="0.25">
      <c r="B613" s="48">
        <f>+'Metrics - Articles'!C610</f>
        <v>0</v>
      </c>
      <c r="C613">
        <f>COUNTIF('Metrics - Articles'!F610,"*GPO (Partner, Ecosystem, Channels)*")</f>
        <v>0</v>
      </c>
      <c r="D613">
        <f>COUNTIF('Metrics - Articles'!F610,"*Office of the CEO*")</f>
        <v>0</v>
      </c>
      <c r="E613">
        <f>COUNTIF('Metrics - Articles'!F610,"*Services Delivery &amp; Support (go-lives and deployments) *")</f>
        <v>0</v>
      </c>
      <c r="F613">
        <f>COUNTIF('Metrics - Articles'!F610,"*Human Resources (SAP HR and employee stories)*")</f>
        <v>0</v>
      </c>
      <c r="G613">
        <f>COUNTIF('Metrics - Articles'!F610,"*P&amp;I (Research &amp; Development)*")</f>
        <v>0</v>
      </c>
      <c r="H613">
        <f>COUNTIF('Metrics - Articles'!F610,"*Business Network (Concur, Ariba, Fieldglass)*")</f>
        <v>0</v>
      </c>
      <c r="I613">
        <f>COUNTIF('Metrics - Articles'!F610,"*GCO – Regions*")</f>
        <v>0</v>
      </c>
      <c r="J613">
        <f>COUNTIF('Metrics - Articles'!F610,"*GCO – Platform Solutions*")</f>
        <v>0</v>
      </c>
      <c r="K613">
        <f>COUNTIF('Metrics - Articles'!F610,"*GCO – Industry Cloud *")</f>
        <v>0</v>
      </c>
      <c r="L613">
        <f>COUNTIF('Metrics - Articles'!F610,"*GCO – Customer Engagement &amp; Commerce (CRM &amp; hybris) *")</f>
        <v>0</v>
      </c>
      <c r="M613">
        <f>COUNTIF('Metrics - Articles'!F610,"*GCO – HR (SuccessFactors)*")</f>
        <v>0</v>
      </c>
      <c r="N613">
        <f>COUNTIF('Metrics - Articles'!F610,"*GCO – Services Sales*")</f>
        <v>0</v>
      </c>
      <c r="O613">
        <f>COUNTIF('Metrics - Articles'!F610,"*GCO – Other*")</f>
        <v>0</v>
      </c>
      <c r="P613">
        <f>COUNTIF('Metrics - Articles'!F610,"*Corporate*")</f>
        <v>0</v>
      </c>
      <c r="R613" s="53">
        <f t="shared" si="11"/>
        <v>0</v>
      </c>
    </row>
    <row r="614" spans="2:18" hidden="1" x14ac:dyDescent="0.25">
      <c r="B614" s="48">
        <f>+'Metrics - Articles'!C611</f>
        <v>0</v>
      </c>
      <c r="C614">
        <f>COUNTIF('Metrics - Articles'!F611,"*GPO (Partner, Ecosystem, Channels)*")</f>
        <v>0</v>
      </c>
      <c r="D614">
        <f>COUNTIF('Metrics - Articles'!F611,"*Office of the CEO*")</f>
        <v>0</v>
      </c>
      <c r="E614">
        <f>COUNTIF('Metrics - Articles'!F611,"*Services Delivery &amp; Support (go-lives and deployments) *")</f>
        <v>0</v>
      </c>
      <c r="F614">
        <f>COUNTIF('Metrics - Articles'!F611,"*Human Resources (SAP HR and employee stories)*")</f>
        <v>0</v>
      </c>
      <c r="G614">
        <f>COUNTIF('Metrics - Articles'!F611,"*P&amp;I (Research &amp; Development)*")</f>
        <v>0</v>
      </c>
      <c r="H614">
        <f>COUNTIF('Metrics - Articles'!F611,"*Business Network (Concur, Ariba, Fieldglass)*")</f>
        <v>0</v>
      </c>
      <c r="I614">
        <f>COUNTIF('Metrics - Articles'!F611,"*GCO – Regions*")</f>
        <v>0</v>
      </c>
      <c r="J614">
        <f>COUNTIF('Metrics - Articles'!F611,"*GCO – Platform Solutions*")</f>
        <v>0</v>
      </c>
      <c r="K614">
        <f>COUNTIF('Metrics - Articles'!F611,"*GCO – Industry Cloud *")</f>
        <v>0</v>
      </c>
      <c r="L614">
        <f>COUNTIF('Metrics - Articles'!F611,"*GCO – Customer Engagement &amp; Commerce (CRM &amp; hybris) *")</f>
        <v>0</v>
      </c>
      <c r="M614">
        <f>COUNTIF('Metrics - Articles'!F611,"*GCO – HR (SuccessFactors)*")</f>
        <v>0</v>
      </c>
      <c r="N614">
        <f>COUNTIF('Metrics - Articles'!F611,"*GCO – Services Sales*")</f>
        <v>0</v>
      </c>
      <c r="O614">
        <f>COUNTIF('Metrics - Articles'!F611,"*GCO – Other*")</f>
        <v>0</v>
      </c>
      <c r="P614">
        <f>COUNTIF('Metrics - Articles'!F611,"*Corporate*")</f>
        <v>0</v>
      </c>
      <c r="R614" s="53">
        <f t="shared" si="11"/>
        <v>0</v>
      </c>
    </row>
    <row r="615" spans="2:18" hidden="1" x14ac:dyDescent="0.25">
      <c r="B615" s="48">
        <f>+'Metrics - Articles'!C612</f>
        <v>0</v>
      </c>
      <c r="C615">
        <f>COUNTIF('Metrics - Articles'!F612,"*GPO (Partner, Ecosystem, Channels)*")</f>
        <v>0</v>
      </c>
      <c r="D615">
        <f>COUNTIF('Metrics - Articles'!F612,"*Office of the CEO*")</f>
        <v>0</v>
      </c>
      <c r="E615">
        <f>COUNTIF('Metrics - Articles'!F612,"*Services Delivery &amp; Support (go-lives and deployments) *")</f>
        <v>0</v>
      </c>
      <c r="F615">
        <f>COUNTIF('Metrics - Articles'!F612,"*Human Resources (SAP HR and employee stories)*")</f>
        <v>0</v>
      </c>
      <c r="G615">
        <f>COUNTIF('Metrics - Articles'!F612,"*P&amp;I (Research &amp; Development)*")</f>
        <v>0</v>
      </c>
      <c r="H615">
        <f>COUNTIF('Metrics - Articles'!F612,"*Business Network (Concur, Ariba, Fieldglass)*")</f>
        <v>0</v>
      </c>
      <c r="I615">
        <f>COUNTIF('Metrics - Articles'!F612,"*GCO – Regions*")</f>
        <v>0</v>
      </c>
      <c r="J615">
        <f>COUNTIF('Metrics - Articles'!F612,"*GCO – Platform Solutions*")</f>
        <v>0</v>
      </c>
      <c r="K615">
        <f>COUNTIF('Metrics - Articles'!F612,"*GCO – Industry Cloud *")</f>
        <v>0</v>
      </c>
      <c r="L615">
        <f>COUNTIF('Metrics - Articles'!F612,"*GCO – Customer Engagement &amp; Commerce (CRM &amp; hybris) *")</f>
        <v>0</v>
      </c>
      <c r="M615">
        <f>COUNTIF('Metrics - Articles'!F612,"*GCO – HR (SuccessFactors)*")</f>
        <v>0</v>
      </c>
      <c r="N615">
        <f>COUNTIF('Metrics - Articles'!F612,"*GCO – Services Sales*")</f>
        <v>0</v>
      </c>
      <c r="O615">
        <f>COUNTIF('Metrics - Articles'!F612,"*GCO – Other*")</f>
        <v>0</v>
      </c>
      <c r="P615">
        <f>COUNTIF('Metrics - Articles'!F612,"*Corporate*")</f>
        <v>0</v>
      </c>
      <c r="R615" s="53">
        <f t="shared" si="11"/>
        <v>0</v>
      </c>
    </row>
    <row r="616" spans="2:18" hidden="1" x14ac:dyDescent="0.25">
      <c r="B616" s="48">
        <f>+'Metrics - Articles'!C613</f>
        <v>0</v>
      </c>
      <c r="C616">
        <f>COUNTIF('Metrics - Articles'!F613,"*GPO (Partner, Ecosystem, Channels)*")</f>
        <v>0</v>
      </c>
      <c r="D616">
        <f>COUNTIF('Metrics - Articles'!F613,"*Office of the CEO*")</f>
        <v>0</v>
      </c>
      <c r="E616">
        <f>COUNTIF('Metrics - Articles'!F613,"*Services Delivery &amp; Support (go-lives and deployments) *")</f>
        <v>0</v>
      </c>
      <c r="F616">
        <f>COUNTIF('Metrics - Articles'!F613,"*Human Resources (SAP HR and employee stories)*")</f>
        <v>0</v>
      </c>
      <c r="G616">
        <f>COUNTIF('Metrics - Articles'!F613,"*P&amp;I (Research &amp; Development)*")</f>
        <v>0</v>
      </c>
      <c r="H616">
        <f>COUNTIF('Metrics - Articles'!F613,"*Business Network (Concur, Ariba, Fieldglass)*")</f>
        <v>0</v>
      </c>
      <c r="I616">
        <f>COUNTIF('Metrics - Articles'!F613,"*GCO – Regions*")</f>
        <v>0</v>
      </c>
      <c r="J616">
        <f>COUNTIF('Metrics - Articles'!F613,"*GCO – Platform Solutions*")</f>
        <v>0</v>
      </c>
      <c r="K616">
        <f>COUNTIF('Metrics - Articles'!F613,"*GCO – Industry Cloud *")</f>
        <v>0</v>
      </c>
      <c r="L616">
        <f>COUNTIF('Metrics - Articles'!F613,"*GCO – Customer Engagement &amp; Commerce (CRM &amp; hybris) *")</f>
        <v>0</v>
      </c>
      <c r="M616">
        <f>COUNTIF('Metrics - Articles'!F613,"*GCO – HR (SuccessFactors)*")</f>
        <v>0</v>
      </c>
      <c r="N616">
        <f>COUNTIF('Metrics - Articles'!F613,"*GCO – Services Sales*")</f>
        <v>0</v>
      </c>
      <c r="O616">
        <f>COUNTIF('Metrics - Articles'!F613,"*GCO – Other*")</f>
        <v>0</v>
      </c>
      <c r="P616">
        <f>COUNTIF('Metrics - Articles'!F613,"*Corporate*")</f>
        <v>0</v>
      </c>
      <c r="R616" s="53">
        <f t="shared" si="11"/>
        <v>0</v>
      </c>
    </row>
    <row r="617" spans="2:18" hidden="1" x14ac:dyDescent="0.25">
      <c r="B617" s="48">
        <f>+'Metrics - Articles'!C614</f>
        <v>0</v>
      </c>
      <c r="C617">
        <f>COUNTIF('Metrics - Articles'!F614,"*GPO (Partner, Ecosystem, Channels)*")</f>
        <v>0</v>
      </c>
      <c r="D617">
        <f>COUNTIF('Metrics - Articles'!F614,"*Office of the CEO*")</f>
        <v>0</v>
      </c>
      <c r="E617">
        <f>COUNTIF('Metrics - Articles'!F614,"*Services Delivery &amp; Support (go-lives and deployments) *")</f>
        <v>0</v>
      </c>
      <c r="F617">
        <f>COUNTIF('Metrics - Articles'!F614,"*Human Resources (SAP HR and employee stories)*")</f>
        <v>0</v>
      </c>
      <c r="G617">
        <f>COUNTIF('Metrics - Articles'!F614,"*P&amp;I (Research &amp; Development)*")</f>
        <v>0</v>
      </c>
      <c r="H617">
        <f>COUNTIF('Metrics - Articles'!F614,"*Business Network (Concur, Ariba, Fieldglass)*")</f>
        <v>0</v>
      </c>
      <c r="I617">
        <f>COUNTIF('Metrics - Articles'!F614,"*GCO – Regions*")</f>
        <v>0</v>
      </c>
      <c r="J617">
        <f>COUNTIF('Metrics - Articles'!F614,"*GCO – Platform Solutions*")</f>
        <v>0</v>
      </c>
      <c r="K617">
        <f>COUNTIF('Metrics - Articles'!F614,"*GCO – Industry Cloud *")</f>
        <v>0</v>
      </c>
      <c r="L617">
        <f>COUNTIF('Metrics - Articles'!F614,"*GCO – Customer Engagement &amp; Commerce (CRM &amp; hybris) *")</f>
        <v>0</v>
      </c>
      <c r="M617">
        <f>COUNTIF('Metrics - Articles'!F614,"*GCO – HR (SuccessFactors)*")</f>
        <v>0</v>
      </c>
      <c r="N617">
        <f>COUNTIF('Metrics - Articles'!F614,"*GCO – Services Sales*")</f>
        <v>0</v>
      </c>
      <c r="O617">
        <f>COUNTIF('Metrics - Articles'!F614,"*GCO – Other*")</f>
        <v>0</v>
      </c>
      <c r="P617">
        <f>COUNTIF('Metrics - Articles'!F614,"*Corporate*")</f>
        <v>0</v>
      </c>
      <c r="R617" s="53">
        <f t="shared" si="11"/>
        <v>0</v>
      </c>
    </row>
    <row r="618" spans="2:18" hidden="1" x14ac:dyDescent="0.25">
      <c r="B618" s="48">
        <f>+'Metrics - Articles'!C615</f>
        <v>0</v>
      </c>
      <c r="C618">
        <f>COUNTIF('Metrics - Articles'!F615,"*GPO (Partner, Ecosystem, Channels)*")</f>
        <v>0</v>
      </c>
      <c r="D618">
        <f>COUNTIF('Metrics - Articles'!F615,"*Office of the CEO*")</f>
        <v>0</v>
      </c>
      <c r="E618">
        <f>COUNTIF('Metrics - Articles'!F615,"*Services Delivery &amp; Support (go-lives and deployments) *")</f>
        <v>0</v>
      </c>
      <c r="F618">
        <f>COUNTIF('Metrics - Articles'!F615,"*Human Resources (SAP HR and employee stories)*")</f>
        <v>0</v>
      </c>
      <c r="G618">
        <f>COUNTIF('Metrics - Articles'!F615,"*P&amp;I (Research &amp; Development)*")</f>
        <v>0</v>
      </c>
      <c r="H618">
        <f>COUNTIF('Metrics - Articles'!F615,"*Business Network (Concur, Ariba, Fieldglass)*")</f>
        <v>0</v>
      </c>
      <c r="I618">
        <f>COUNTIF('Metrics - Articles'!F615,"*GCO – Regions*")</f>
        <v>0</v>
      </c>
      <c r="J618">
        <f>COUNTIF('Metrics - Articles'!F615,"*GCO – Platform Solutions*")</f>
        <v>0</v>
      </c>
      <c r="K618">
        <f>COUNTIF('Metrics - Articles'!F615,"*GCO – Industry Cloud *")</f>
        <v>0</v>
      </c>
      <c r="L618">
        <f>COUNTIF('Metrics - Articles'!F615,"*GCO – Customer Engagement &amp; Commerce (CRM &amp; hybris) *")</f>
        <v>0</v>
      </c>
      <c r="M618">
        <f>COUNTIF('Metrics - Articles'!F615,"*GCO – HR (SuccessFactors)*")</f>
        <v>0</v>
      </c>
      <c r="N618">
        <f>COUNTIF('Metrics - Articles'!F615,"*GCO – Services Sales*")</f>
        <v>0</v>
      </c>
      <c r="O618">
        <f>COUNTIF('Metrics - Articles'!F615,"*GCO – Other*")</f>
        <v>0</v>
      </c>
      <c r="P618">
        <f>COUNTIF('Metrics - Articles'!F615,"*Corporate*")</f>
        <v>0</v>
      </c>
      <c r="R618" s="53">
        <f t="shared" si="11"/>
        <v>0</v>
      </c>
    </row>
    <row r="619" spans="2:18" hidden="1" x14ac:dyDescent="0.25">
      <c r="B619" s="48">
        <f>+'Metrics - Articles'!C616</f>
        <v>0</v>
      </c>
      <c r="C619">
        <f>COUNTIF('Metrics - Articles'!F616,"*GPO (Partner, Ecosystem, Channels)*")</f>
        <v>0</v>
      </c>
      <c r="D619">
        <f>COUNTIF('Metrics - Articles'!F616,"*Office of the CEO*")</f>
        <v>0</v>
      </c>
      <c r="E619">
        <f>COUNTIF('Metrics - Articles'!F616,"*Services Delivery &amp; Support (go-lives and deployments) *")</f>
        <v>0</v>
      </c>
      <c r="F619">
        <f>COUNTIF('Metrics - Articles'!F616,"*Human Resources (SAP HR and employee stories)*")</f>
        <v>0</v>
      </c>
      <c r="G619">
        <f>COUNTIF('Metrics - Articles'!F616,"*P&amp;I (Research &amp; Development)*")</f>
        <v>0</v>
      </c>
      <c r="H619">
        <f>COUNTIF('Metrics - Articles'!F616,"*Business Network (Concur, Ariba, Fieldglass)*")</f>
        <v>0</v>
      </c>
      <c r="I619">
        <f>COUNTIF('Metrics - Articles'!F616,"*GCO – Regions*")</f>
        <v>0</v>
      </c>
      <c r="J619">
        <f>COUNTIF('Metrics - Articles'!F616,"*GCO – Platform Solutions*")</f>
        <v>0</v>
      </c>
      <c r="K619">
        <f>COUNTIF('Metrics - Articles'!F616,"*GCO – Industry Cloud *")</f>
        <v>0</v>
      </c>
      <c r="L619">
        <f>COUNTIF('Metrics - Articles'!F616,"*GCO – Customer Engagement &amp; Commerce (CRM &amp; hybris) *")</f>
        <v>0</v>
      </c>
      <c r="M619">
        <f>COUNTIF('Metrics - Articles'!F616,"*GCO – HR (SuccessFactors)*")</f>
        <v>0</v>
      </c>
      <c r="N619">
        <f>COUNTIF('Metrics - Articles'!F616,"*GCO – Services Sales*")</f>
        <v>0</v>
      </c>
      <c r="O619">
        <f>COUNTIF('Metrics - Articles'!F616,"*GCO – Other*")</f>
        <v>0</v>
      </c>
      <c r="P619">
        <f>COUNTIF('Metrics - Articles'!F616,"*Corporate*")</f>
        <v>0</v>
      </c>
      <c r="R619" s="53">
        <f t="shared" si="11"/>
        <v>0</v>
      </c>
    </row>
    <row r="620" spans="2:18" hidden="1" x14ac:dyDescent="0.25">
      <c r="B620" s="48">
        <f>+'Metrics - Articles'!C617</f>
        <v>0</v>
      </c>
      <c r="C620">
        <f>COUNTIF('Metrics - Articles'!F617,"*GPO (Partner, Ecosystem, Channels)*")</f>
        <v>0</v>
      </c>
      <c r="D620">
        <f>COUNTIF('Metrics - Articles'!F617,"*Office of the CEO*")</f>
        <v>0</v>
      </c>
      <c r="E620">
        <f>COUNTIF('Metrics - Articles'!F617,"*Services Delivery &amp; Support (go-lives and deployments) *")</f>
        <v>0</v>
      </c>
      <c r="F620">
        <f>COUNTIF('Metrics - Articles'!F617,"*Human Resources (SAP HR and employee stories)*")</f>
        <v>0</v>
      </c>
      <c r="G620">
        <f>COUNTIF('Metrics - Articles'!F617,"*P&amp;I (Research &amp; Development)*")</f>
        <v>0</v>
      </c>
      <c r="H620">
        <f>COUNTIF('Metrics - Articles'!F617,"*Business Network (Concur, Ariba, Fieldglass)*")</f>
        <v>0</v>
      </c>
      <c r="I620">
        <f>COUNTIF('Metrics - Articles'!F617,"*GCO – Regions*")</f>
        <v>0</v>
      </c>
      <c r="J620">
        <f>COUNTIF('Metrics - Articles'!F617,"*GCO – Platform Solutions*")</f>
        <v>0</v>
      </c>
      <c r="K620">
        <f>COUNTIF('Metrics - Articles'!F617,"*GCO – Industry Cloud *")</f>
        <v>0</v>
      </c>
      <c r="L620">
        <f>COUNTIF('Metrics - Articles'!F617,"*GCO – Customer Engagement &amp; Commerce (CRM &amp; hybris) *")</f>
        <v>0</v>
      </c>
      <c r="M620">
        <f>COUNTIF('Metrics - Articles'!F617,"*GCO – HR (SuccessFactors)*")</f>
        <v>0</v>
      </c>
      <c r="N620">
        <f>COUNTIF('Metrics - Articles'!F617,"*GCO – Services Sales*")</f>
        <v>0</v>
      </c>
      <c r="O620">
        <f>COUNTIF('Metrics - Articles'!F617,"*GCO – Other*")</f>
        <v>0</v>
      </c>
      <c r="P620">
        <f>COUNTIF('Metrics - Articles'!F617,"*Corporate*")</f>
        <v>0</v>
      </c>
      <c r="R620" s="53">
        <f t="shared" si="11"/>
        <v>0</v>
      </c>
    </row>
    <row r="621" spans="2:18" hidden="1" x14ac:dyDescent="0.25">
      <c r="B621" s="48">
        <f>+'Metrics - Articles'!C618</f>
        <v>0</v>
      </c>
      <c r="C621">
        <f>COUNTIF('Metrics - Articles'!F618,"*GPO (Partner, Ecosystem, Channels)*")</f>
        <v>0</v>
      </c>
      <c r="D621">
        <f>COUNTIF('Metrics - Articles'!F618,"*Office of the CEO*")</f>
        <v>0</v>
      </c>
      <c r="E621">
        <f>COUNTIF('Metrics - Articles'!F618,"*Services Delivery &amp; Support (go-lives and deployments) *")</f>
        <v>0</v>
      </c>
      <c r="F621">
        <f>COUNTIF('Metrics - Articles'!F618,"*Human Resources (SAP HR and employee stories)*")</f>
        <v>0</v>
      </c>
      <c r="G621">
        <f>COUNTIF('Metrics - Articles'!F618,"*P&amp;I (Research &amp; Development)*")</f>
        <v>0</v>
      </c>
      <c r="H621">
        <f>COUNTIF('Metrics - Articles'!F618,"*Business Network (Concur, Ariba, Fieldglass)*")</f>
        <v>0</v>
      </c>
      <c r="I621">
        <f>COUNTIF('Metrics - Articles'!F618,"*GCO – Regions*")</f>
        <v>0</v>
      </c>
      <c r="J621">
        <f>COUNTIF('Metrics - Articles'!F618,"*GCO – Platform Solutions*")</f>
        <v>0</v>
      </c>
      <c r="K621">
        <f>COUNTIF('Metrics - Articles'!F618,"*GCO – Industry Cloud *")</f>
        <v>0</v>
      </c>
      <c r="L621">
        <f>COUNTIF('Metrics - Articles'!F618,"*GCO – Customer Engagement &amp; Commerce (CRM &amp; hybris) *")</f>
        <v>0</v>
      </c>
      <c r="M621">
        <f>COUNTIF('Metrics - Articles'!F618,"*GCO – HR (SuccessFactors)*")</f>
        <v>0</v>
      </c>
      <c r="N621">
        <f>COUNTIF('Metrics - Articles'!F618,"*GCO – Services Sales*")</f>
        <v>0</v>
      </c>
      <c r="O621">
        <f>COUNTIF('Metrics - Articles'!F618,"*GCO – Other*")</f>
        <v>0</v>
      </c>
      <c r="P621">
        <f>COUNTIF('Metrics - Articles'!F618,"*Corporate*")</f>
        <v>0</v>
      </c>
      <c r="R621" s="53">
        <f t="shared" si="11"/>
        <v>0</v>
      </c>
    </row>
    <row r="622" spans="2:18" hidden="1" x14ac:dyDescent="0.25">
      <c r="B622" s="48">
        <f>+'Metrics - Articles'!C619</f>
        <v>0</v>
      </c>
      <c r="C622">
        <f>COUNTIF('Metrics - Articles'!F619,"*GPO (Partner, Ecosystem, Channels)*")</f>
        <v>0</v>
      </c>
      <c r="D622">
        <f>COUNTIF('Metrics - Articles'!F619,"*Office of the CEO*")</f>
        <v>0</v>
      </c>
      <c r="E622">
        <f>COUNTIF('Metrics - Articles'!F619,"*Services Delivery &amp; Support (go-lives and deployments) *")</f>
        <v>0</v>
      </c>
      <c r="F622">
        <f>COUNTIF('Metrics - Articles'!F619,"*Human Resources (SAP HR and employee stories)*")</f>
        <v>0</v>
      </c>
      <c r="G622">
        <f>COUNTIF('Metrics - Articles'!F619,"*P&amp;I (Research &amp; Development)*")</f>
        <v>0</v>
      </c>
      <c r="H622">
        <f>COUNTIF('Metrics - Articles'!F619,"*Business Network (Concur, Ariba, Fieldglass)*")</f>
        <v>0</v>
      </c>
      <c r="I622">
        <f>COUNTIF('Metrics - Articles'!F619,"*GCO – Regions*")</f>
        <v>0</v>
      </c>
      <c r="J622">
        <f>COUNTIF('Metrics - Articles'!F619,"*GCO – Platform Solutions*")</f>
        <v>0</v>
      </c>
      <c r="K622">
        <f>COUNTIF('Metrics - Articles'!F619,"*GCO – Industry Cloud *")</f>
        <v>0</v>
      </c>
      <c r="L622">
        <f>COUNTIF('Metrics - Articles'!F619,"*GCO – Customer Engagement &amp; Commerce (CRM &amp; hybris) *")</f>
        <v>0</v>
      </c>
      <c r="M622">
        <f>COUNTIF('Metrics - Articles'!F619,"*GCO – HR (SuccessFactors)*")</f>
        <v>0</v>
      </c>
      <c r="N622">
        <f>COUNTIF('Metrics - Articles'!F619,"*GCO – Services Sales*")</f>
        <v>0</v>
      </c>
      <c r="O622">
        <f>COUNTIF('Metrics - Articles'!F619,"*GCO – Other*")</f>
        <v>0</v>
      </c>
      <c r="P622">
        <f>COUNTIF('Metrics - Articles'!F619,"*Corporate*")</f>
        <v>0</v>
      </c>
      <c r="R622" s="53">
        <f t="shared" si="11"/>
        <v>0</v>
      </c>
    </row>
    <row r="623" spans="2:18" hidden="1" x14ac:dyDescent="0.25">
      <c r="B623" s="48">
        <f>+'Metrics - Articles'!C620</f>
        <v>0</v>
      </c>
      <c r="C623">
        <f>COUNTIF('Metrics - Articles'!F620,"*GPO (Partner, Ecosystem, Channels)*")</f>
        <v>0</v>
      </c>
      <c r="D623">
        <f>COUNTIF('Metrics - Articles'!F620,"*Office of the CEO*")</f>
        <v>0</v>
      </c>
      <c r="E623">
        <f>COUNTIF('Metrics - Articles'!F620,"*Services Delivery &amp; Support (go-lives and deployments) *")</f>
        <v>0</v>
      </c>
      <c r="F623">
        <f>COUNTIF('Metrics - Articles'!F620,"*Human Resources (SAP HR and employee stories)*")</f>
        <v>0</v>
      </c>
      <c r="G623">
        <f>COUNTIF('Metrics - Articles'!F620,"*P&amp;I (Research &amp; Development)*")</f>
        <v>0</v>
      </c>
      <c r="H623">
        <f>COUNTIF('Metrics - Articles'!F620,"*Business Network (Concur, Ariba, Fieldglass)*")</f>
        <v>0</v>
      </c>
      <c r="I623">
        <f>COUNTIF('Metrics - Articles'!F620,"*GCO – Regions*")</f>
        <v>0</v>
      </c>
      <c r="J623">
        <f>COUNTIF('Metrics - Articles'!F620,"*GCO – Platform Solutions*")</f>
        <v>0</v>
      </c>
      <c r="K623">
        <f>COUNTIF('Metrics - Articles'!F620,"*GCO – Industry Cloud *")</f>
        <v>0</v>
      </c>
      <c r="L623">
        <f>COUNTIF('Metrics - Articles'!F620,"*GCO – Customer Engagement &amp; Commerce (CRM &amp; hybris) *")</f>
        <v>0</v>
      </c>
      <c r="M623">
        <f>COUNTIF('Metrics - Articles'!F620,"*GCO – HR (SuccessFactors)*")</f>
        <v>0</v>
      </c>
      <c r="N623">
        <f>COUNTIF('Metrics - Articles'!F620,"*GCO – Services Sales*")</f>
        <v>0</v>
      </c>
      <c r="O623">
        <f>COUNTIF('Metrics - Articles'!F620,"*GCO – Other*")</f>
        <v>0</v>
      </c>
      <c r="P623">
        <f>COUNTIF('Metrics - Articles'!F620,"*Corporate*")</f>
        <v>0</v>
      </c>
      <c r="R623" s="53">
        <f t="shared" si="11"/>
        <v>0</v>
      </c>
    </row>
    <row r="624" spans="2:18" hidden="1" x14ac:dyDescent="0.25">
      <c r="B624" s="48">
        <f>+'Metrics - Articles'!C621</f>
        <v>0</v>
      </c>
      <c r="C624">
        <f>COUNTIF('Metrics - Articles'!F621,"*GPO (Partner, Ecosystem, Channels)*")</f>
        <v>0</v>
      </c>
      <c r="D624">
        <f>COUNTIF('Metrics - Articles'!F621,"*Office of the CEO*")</f>
        <v>0</v>
      </c>
      <c r="E624">
        <f>COUNTIF('Metrics - Articles'!F621,"*Services Delivery &amp; Support (go-lives and deployments) *")</f>
        <v>0</v>
      </c>
      <c r="F624">
        <f>COUNTIF('Metrics - Articles'!F621,"*Human Resources (SAP HR and employee stories)*")</f>
        <v>0</v>
      </c>
      <c r="G624">
        <f>COUNTIF('Metrics - Articles'!F621,"*P&amp;I (Research &amp; Development)*")</f>
        <v>0</v>
      </c>
      <c r="H624">
        <f>COUNTIF('Metrics - Articles'!F621,"*Business Network (Concur, Ariba, Fieldglass)*")</f>
        <v>0</v>
      </c>
      <c r="I624">
        <f>COUNTIF('Metrics - Articles'!F621,"*GCO – Regions*")</f>
        <v>0</v>
      </c>
      <c r="J624">
        <f>COUNTIF('Metrics - Articles'!F621,"*GCO – Platform Solutions*")</f>
        <v>0</v>
      </c>
      <c r="K624">
        <f>COUNTIF('Metrics - Articles'!F621,"*GCO – Industry Cloud *")</f>
        <v>0</v>
      </c>
      <c r="L624">
        <f>COUNTIF('Metrics - Articles'!F621,"*GCO – Customer Engagement &amp; Commerce (CRM &amp; hybris) *")</f>
        <v>0</v>
      </c>
      <c r="M624">
        <f>COUNTIF('Metrics - Articles'!F621,"*GCO – HR (SuccessFactors)*")</f>
        <v>0</v>
      </c>
      <c r="N624">
        <f>COUNTIF('Metrics - Articles'!F621,"*GCO – Services Sales*")</f>
        <v>0</v>
      </c>
      <c r="O624">
        <f>COUNTIF('Metrics - Articles'!F621,"*GCO – Other*")</f>
        <v>0</v>
      </c>
      <c r="P624">
        <f>COUNTIF('Metrics - Articles'!F621,"*Corporate*")</f>
        <v>0</v>
      </c>
      <c r="R624" s="53">
        <f t="shared" si="11"/>
        <v>0</v>
      </c>
    </row>
    <row r="625" spans="2:18" hidden="1" x14ac:dyDescent="0.25">
      <c r="B625" s="48">
        <f>+'Metrics - Articles'!C622</f>
        <v>0</v>
      </c>
      <c r="C625">
        <f>COUNTIF('Metrics - Articles'!F622,"*GPO (Partner, Ecosystem, Channels)*")</f>
        <v>0</v>
      </c>
      <c r="D625">
        <f>COUNTIF('Metrics - Articles'!F622,"*Office of the CEO*")</f>
        <v>0</v>
      </c>
      <c r="E625">
        <f>COUNTIF('Metrics - Articles'!F622,"*Services Delivery &amp; Support (go-lives and deployments) *")</f>
        <v>0</v>
      </c>
      <c r="F625">
        <f>COUNTIF('Metrics - Articles'!F622,"*Human Resources (SAP HR and employee stories)*")</f>
        <v>0</v>
      </c>
      <c r="G625">
        <f>COUNTIF('Metrics - Articles'!F622,"*P&amp;I (Research &amp; Development)*")</f>
        <v>0</v>
      </c>
      <c r="H625">
        <f>COUNTIF('Metrics - Articles'!F622,"*Business Network (Concur, Ariba, Fieldglass)*")</f>
        <v>0</v>
      </c>
      <c r="I625">
        <f>COUNTIF('Metrics - Articles'!F622,"*GCO – Regions*")</f>
        <v>0</v>
      </c>
      <c r="J625">
        <f>COUNTIF('Metrics - Articles'!F622,"*GCO – Platform Solutions*")</f>
        <v>0</v>
      </c>
      <c r="K625">
        <f>COUNTIF('Metrics - Articles'!F622,"*GCO – Industry Cloud *")</f>
        <v>0</v>
      </c>
      <c r="L625">
        <f>COUNTIF('Metrics - Articles'!F622,"*GCO – Customer Engagement &amp; Commerce (CRM &amp; hybris) *")</f>
        <v>0</v>
      </c>
      <c r="M625">
        <f>COUNTIF('Metrics - Articles'!F622,"*GCO – HR (SuccessFactors)*")</f>
        <v>0</v>
      </c>
      <c r="N625">
        <f>COUNTIF('Metrics - Articles'!F622,"*GCO – Services Sales*")</f>
        <v>0</v>
      </c>
      <c r="O625">
        <f>COUNTIF('Metrics - Articles'!F622,"*GCO – Other*")</f>
        <v>0</v>
      </c>
      <c r="P625">
        <f>COUNTIF('Metrics - Articles'!F622,"*Corporate*")</f>
        <v>0</v>
      </c>
      <c r="R625" s="53">
        <f t="shared" si="11"/>
        <v>0</v>
      </c>
    </row>
    <row r="626" spans="2:18" hidden="1" x14ac:dyDescent="0.25">
      <c r="B626" s="48">
        <f>+'Metrics - Articles'!C623</f>
        <v>0</v>
      </c>
      <c r="C626">
        <f>COUNTIF('Metrics - Articles'!F623,"*GPO (Partner, Ecosystem, Channels)*")</f>
        <v>0</v>
      </c>
      <c r="D626">
        <f>COUNTIF('Metrics - Articles'!F623,"*Office of the CEO*")</f>
        <v>0</v>
      </c>
      <c r="E626">
        <f>COUNTIF('Metrics - Articles'!F623,"*Services Delivery &amp; Support (go-lives and deployments) *")</f>
        <v>0</v>
      </c>
      <c r="F626">
        <f>COUNTIF('Metrics - Articles'!F623,"*Human Resources (SAP HR and employee stories)*")</f>
        <v>0</v>
      </c>
      <c r="G626">
        <f>COUNTIF('Metrics - Articles'!F623,"*P&amp;I (Research &amp; Development)*")</f>
        <v>0</v>
      </c>
      <c r="H626">
        <f>COUNTIF('Metrics - Articles'!F623,"*Business Network (Concur, Ariba, Fieldglass)*")</f>
        <v>0</v>
      </c>
      <c r="I626">
        <f>COUNTIF('Metrics - Articles'!F623,"*GCO – Regions*")</f>
        <v>0</v>
      </c>
      <c r="J626">
        <f>COUNTIF('Metrics - Articles'!F623,"*GCO – Platform Solutions*")</f>
        <v>0</v>
      </c>
      <c r="K626">
        <f>COUNTIF('Metrics - Articles'!F623,"*GCO – Industry Cloud *")</f>
        <v>0</v>
      </c>
      <c r="L626">
        <f>COUNTIF('Metrics - Articles'!F623,"*GCO – Customer Engagement &amp; Commerce (CRM &amp; hybris) *")</f>
        <v>0</v>
      </c>
      <c r="M626">
        <f>COUNTIF('Metrics - Articles'!F623,"*GCO – HR (SuccessFactors)*")</f>
        <v>0</v>
      </c>
      <c r="N626">
        <f>COUNTIF('Metrics - Articles'!F623,"*GCO – Services Sales*")</f>
        <v>0</v>
      </c>
      <c r="O626">
        <f>COUNTIF('Metrics - Articles'!F623,"*GCO – Other*")</f>
        <v>0</v>
      </c>
      <c r="P626">
        <f>COUNTIF('Metrics - Articles'!F623,"*Corporate*")</f>
        <v>0</v>
      </c>
      <c r="R626" s="53">
        <f t="shared" si="11"/>
        <v>0</v>
      </c>
    </row>
    <row r="627" spans="2:18" hidden="1" x14ac:dyDescent="0.25">
      <c r="B627" s="48">
        <f>+'Metrics - Articles'!C624</f>
        <v>0</v>
      </c>
      <c r="C627">
        <f>COUNTIF('Metrics - Articles'!F624,"*GPO (Partner, Ecosystem, Channels)*")</f>
        <v>0</v>
      </c>
      <c r="D627">
        <f>COUNTIF('Metrics - Articles'!F624,"*Office of the CEO*")</f>
        <v>0</v>
      </c>
      <c r="E627">
        <f>COUNTIF('Metrics - Articles'!F624,"*Services Delivery &amp; Support (go-lives and deployments) *")</f>
        <v>0</v>
      </c>
      <c r="F627">
        <f>COUNTIF('Metrics - Articles'!F624,"*Human Resources (SAP HR and employee stories)*")</f>
        <v>0</v>
      </c>
      <c r="G627">
        <f>COUNTIF('Metrics - Articles'!F624,"*P&amp;I (Research &amp; Development)*")</f>
        <v>0</v>
      </c>
      <c r="H627">
        <f>COUNTIF('Metrics - Articles'!F624,"*Business Network (Concur, Ariba, Fieldglass)*")</f>
        <v>0</v>
      </c>
      <c r="I627">
        <f>COUNTIF('Metrics - Articles'!F624,"*GCO – Regions*")</f>
        <v>0</v>
      </c>
      <c r="J627">
        <f>COUNTIF('Metrics - Articles'!F624,"*GCO – Platform Solutions*")</f>
        <v>0</v>
      </c>
      <c r="K627">
        <f>COUNTIF('Metrics - Articles'!F624,"*GCO – Industry Cloud *")</f>
        <v>0</v>
      </c>
      <c r="L627">
        <f>COUNTIF('Metrics - Articles'!F624,"*GCO – Customer Engagement &amp; Commerce (CRM &amp; hybris) *")</f>
        <v>0</v>
      </c>
      <c r="M627">
        <f>COUNTIF('Metrics - Articles'!F624,"*GCO – HR (SuccessFactors)*")</f>
        <v>0</v>
      </c>
      <c r="N627">
        <f>COUNTIF('Metrics - Articles'!F624,"*GCO – Services Sales*")</f>
        <v>0</v>
      </c>
      <c r="O627">
        <f>COUNTIF('Metrics - Articles'!F624,"*GCO – Other*")</f>
        <v>0</v>
      </c>
      <c r="P627">
        <f>COUNTIF('Metrics - Articles'!F624,"*Corporate*")</f>
        <v>0</v>
      </c>
      <c r="R627" s="53">
        <f t="shared" si="11"/>
        <v>0</v>
      </c>
    </row>
    <row r="628" spans="2:18" hidden="1" x14ac:dyDescent="0.25">
      <c r="B628" s="48">
        <f>+'Metrics - Articles'!C625</f>
        <v>0</v>
      </c>
      <c r="C628">
        <f>COUNTIF('Metrics - Articles'!F625,"*GPO (Partner, Ecosystem, Channels)*")</f>
        <v>0</v>
      </c>
      <c r="D628">
        <f>COUNTIF('Metrics - Articles'!F625,"*Office of the CEO*")</f>
        <v>0</v>
      </c>
      <c r="E628">
        <f>COUNTIF('Metrics - Articles'!F625,"*Services Delivery &amp; Support (go-lives and deployments) *")</f>
        <v>0</v>
      </c>
      <c r="F628">
        <f>COUNTIF('Metrics - Articles'!F625,"*Human Resources (SAP HR and employee stories)*")</f>
        <v>0</v>
      </c>
      <c r="G628">
        <f>COUNTIF('Metrics - Articles'!F625,"*P&amp;I (Research &amp; Development)*")</f>
        <v>0</v>
      </c>
      <c r="H628">
        <f>COUNTIF('Metrics - Articles'!F625,"*Business Network (Concur, Ariba, Fieldglass)*")</f>
        <v>0</v>
      </c>
      <c r="I628">
        <f>COUNTIF('Metrics - Articles'!F625,"*GCO – Regions*")</f>
        <v>0</v>
      </c>
      <c r="J628">
        <f>COUNTIF('Metrics - Articles'!F625,"*GCO – Platform Solutions*")</f>
        <v>0</v>
      </c>
      <c r="K628">
        <f>COUNTIF('Metrics - Articles'!F625,"*GCO – Industry Cloud *")</f>
        <v>0</v>
      </c>
      <c r="L628">
        <f>COUNTIF('Metrics - Articles'!F625,"*GCO – Customer Engagement &amp; Commerce (CRM &amp; hybris) *")</f>
        <v>0</v>
      </c>
      <c r="M628">
        <f>COUNTIF('Metrics - Articles'!F625,"*GCO – HR (SuccessFactors)*")</f>
        <v>0</v>
      </c>
      <c r="N628">
        <f>COUNTIF('Metrics - Articles'!F625,"*GCO – Services Sales*")</f>
        <v>0</v>
      </c>
      <c r="O628">
        <f>COUNTIF('Metrics - Articles'!F625,"*GCO – Other*")</f>
        <v>0</v>
      </c>
      <c r="P628">
        <f>COUNTIF('Metrics - Articles'!F625,"*Corporate*")</f>
        <v>0</v>
      </c>
      <c r="R628" s="53">
        <f t="shared" si="11"/>
        <v>0</v>
      </c>
    </row>
    <row r="629" spans="2:18" hidden="1" x14ac:dyDescent="0.25">
      <c r="B629" s="48">
        <f>+'Metrics - Articles'!C626</f>
        <v>0</v>
      </c>
      <c r="C629">
        <f>COUNTIF('Metrics - Articles'!F626,"*GPO (Partner, Ecosystem, Channels)*")</f>
        <v>0</v>
      </c>
      <c r="D629">
        <f>COUNTIF('Metrics - Articles'!F626,"*Office of the CEO*")</f>
        <v>0</v>
      </c>
      <c r="E629">
        <f>COUNTIF('Metrics - Articles'!F626,"*Services Delivery &amp; Support (go-lives and deployments) *")</f>
        <v>0</v>
      </c>
      <c r="F629">
        <f>COUNTIF('Metrics - Articles'!F626,"*Human Resources (SAP HR and employee stories)*")</f>
        <v>0</v>
      </c>
      <c r="G629">
        <f>COUNTIF('Metrics - Articles'!F626,"*P&amp;I (Research &amp; Development)*")</f>
        <v>0</v>
      </c>
      <c r="H629">
        <f>COUNTIF('Metrics - Articles'!F626,"*Business Network (Concur, Ariba, Fieldglass)*")</f>
        <v>0</v>
      </c>
      <c r="I629">
        <f>COUNTIF('Metrics - Articles'!F626,"*GCO – Regions*")</f>
        <v>0</v>
      </c>
      <c r="J629">
        <f>COUNTIF('Metrics - Articles'!F626,"*GCO – Platform Solutions*")</f>
        <v>0</v>
      </c>
      <c r="K629">
        <f>COUNTIF('Metrics - Articles'!F626,"*GCO – Industry Cloud *")</f>
        <v>0</v>
      </c>
      <c r="L629">
        <f>COUNTIF('Metrics - Articles'!F626,"*GCO – Customer Engagement &amp; Commerce (CRM &amp; hybris) *")</f>
        <v>0</v>
      </c>
      <c r="M629">
        <f>COUNTIF('Metrics - Articles'!F626,"*GCO – HR (SuccessFactors)*")</f>
        <v>0</v>
      </c>
      <c r="N629">
        <f>COUNTIF('Metrics - Articles'!F626,"*GCO – Services Sales*")</f>
        <v>0</v>
      </c>
      <c r="O629">
        <f>COUNTIF('Metrics - Articles'!F626,"*GCO – Other*")</f>
        <v>0</v>
      </c>
      <c r="P629">
        <f>COUNTIF('Metrics - Articles'!F626,"*Corporate*")</f>
        <v>0</v>
      </c>
      <c r="R629" s="53">
        <f t="shared" si="11"/>
        <v>0</v>
      </c>
    </row>
    <row r="630" spans="2:18" hidden="1" x14ac:dyDescent="0.25">
      <c r="B630" s="48">
        <f>+'Metrics - Articles'!C627</f>
        <v>0</v>
      </c>
      <c r="C630">
        <f>COUNTIF('Metrics - Articles'!F627,"*GPO (Partner, Ecosystem, Channels)*")</f>
        <v>0</v>
      </c>
      <c r="D630">
        <f>COUNTIF('Metrics - Articles'!F627,"*Office of the CEO*")</f>
        <v>0</v>
      </c>
      <c r="E630">
        <f>COUNTIF('Metrics - Articles'!F627,"*Services Delivery &amp; Support (go-lives and deployments) *")</f>
        <v>0</v>
      </c>
      <c r="F630">
        <f>COUNTIF('Metrics - Articles'!F627,"*Human Resources (SAP HR and employee stories)*")</f>
        <v>0</v>
      </c>
      <c r="G630">
        <f>COUNTIF('Metrics - Articles'!F627,"*P&amp;I (Research &amp; Development)*")</f>
        <v>0</v>
      </c>
      <c r="H630">
        <f>COUNTIF('Metrics - Articles'!F627,"*Business Network (Concur, Ariba, Fieldglass)*")</f>
        <v>0</v>
      </c>
      <c r="I630">
        <f>COUNTIF('Metrics - Articles'!F627,"*GCO – Regions*")</f>
        <v>0</v>
      </c>
      <c r="J630">
        <f>COUNTIF('Metrics - Articles'!F627,"*GCO – Platform Solutions*")</f>
        <v>0</v>
      </c>
      <c r="K630">
        <f>COUNTIF('Metrics - Articles'!F627,"*GCO – Industry Cloud *")</f>
        <v>0</v>
      </c>
      <c r="L630">
        <f>COUNTIF('Metrics - Articles'!F627,"*GCO – Customer Engagement &amp; Commerce (CRM &amp; hybris) *")</f>
        <v>0</v>
      </c>
      <c r="M630">
        <f>COUNTIF('Metrics - Articles'!F627,"*GCO – HR (SuccessFactors)*")</f>
        <v>0</v>
      </c>
      <c r="N630">
        <f>COUNTIF('Metrics - Articles'!F627,"*GCO – Services Sales*")</f>
        <v>0</v>
      </c>
      <c r="O630">
        <f>COUNTIF('Metrics - Articles'!F627,"*GCO – Other*")</f>
        <v>0</v>
      </c>
      <c r="P630">
        <f>COUNTIF('Metrics - Articles'!F627,"*Corporate*")</f>
        <v>0</v>
      </c>
      <c r="R630" s="53">
        <f t="shared" si="11"/>
        <v>0</v>
      </c>
    </row>
    <row r="631" spans="2:18" hidden="1" x14ac:dyDescent="0.25">
      <c r="B631" s="48">
        <f>+'Metrics - Articles'!C628</f>
        <v>0</v>
      </c>
      <c r="C631">
        <f>COUNTIF('Metrics - Articles'!F628,"*GPO (Partner, Ecosystem, Channels)*")</f>
        <v>0</v>
      </c>
      <c r="D631">
        <f>COUNTIF('Metrics - Articles'!F628,"*Office of the CEO*")</f>
        <v>0</v>
      </c>
      <c r="E631">
        <f>COUNTIF('Metrics - Articles'!F628,"*Services Delivery &amp; Support (go-lives and deployments) *")</f>
        <v>0</v>
      </c>
      <c r="F631">
        <f>COUNTIF('Metrics - Articles'!F628,"*Human Resources (SAP HR and employee stories)*")</f>
        <v>0</v>
      </c>
      <c r="G631">
        <f>COUNTIF('Metrics - Articles'!F628,"*P&amp;I (Research &amp; Development)*")</f>
        <v>0</v>
      </c>
      <c r="H631">
        <f>COUNTIF('Metrics - Articles'!F628,"*Business Network (Concur, Ariba, Fieldglass)*")</f>
        <v>0</v>
      </c>
      <c r="I631">
        <f>COUNTIF('Metrics - Articles'!F628,"*GCO – Regions*")</f>
        <v>0</v>
      </c>
      <c r="J631">
        <f>COUNTIF('Metrics - Articles'!F628,"*GCO – Platform Solutions*")</f>
        <v>0</v>
      </c>
      <c r="K631">
        <f>COUNTIF('Metrics - Articles'!F628,"*GCO – Industry Cloud *")</f>
        <v>0</v>
      </c>
      <c r="L631">
        <f>COUNTIF('Metrics - Articles'!F628,"*GCO – Customer Engagement &amp; Commerce (CRM &amp; hybris) *")</f>
        <v>0</v>
      </c>
      <c r="M631">
        <f>COUNTIF('Metrics - Articles'!F628,"*GCO – HR (SuccessFactors)*")</f>
        <v>0</v>
      </c>
      <c r="N631">
        <f>COUNTIF('Metrics - Articles'!F628,"*GCO – Services Sales*")</f>
        <v>0</v>
      </c>
      <c r="O631">
        <f>COUNTIF('Metrics - Articles'!F628,"*GCO – Other*")</f>
        <v>0</v>
      </c>
      <c r="P631">
        <f>COUNTIF('Metrics - Articles'!F628,"*Corporate*")</f>
        <v>0</v>
      </c>
      <c r="R631" s="53">
        <f t="shared" si="11"/>
        <v>0</v>
      </c>
    </row>
    <row r="632" spans="2:18" hidden="1" x14ac:dyDescent="0.25">
      <c r="B632" s="48">
        <f>+'Metrics - Articles'!C629</f>
        <v>0</v>
      </c>
      <c r="C632">
        <f>COUNTIF('Metrics - Articles'!F629,"*GPO (Partner, Ecosystem, Channels)*")</f>
        <v>0</v>
      </c>
      <c r="D632">
        <f>COUNTIF('Metrics - Articles'!F629,"*Office of the CEO*")</f>
        <v>0</v>
      </c>
      <c r="E632">
        <f>COUNTIF('Metrics - Articles'!F629,"*Services Delivery &amp; Support (go-lives and deployments) *")</f>
        <v>0</v>
      </c>
      <c r="F632">
        <f>COUNTIF('Metrics - Articles'!F629,"*Human Resources (SAP HR and employee stories)*")</f>
        <v>0</v>
      </c>
      <c r="G632">
        <f>COUNTIF('Metrics - Articles'!F629,"*P&amp;I (Research &amp; Development)*")</f>
        <v>0</v>
      </c>
      <c r="H632">
        <f>COUNTIF('Metrics - Articles'!F629,"*Business Network (Concur, Ariba, Fieldglass)*")</f>
        <v>0</v>
      </c>
      <c r="I632">
        <f>COUNTIF('Metrics - Articles'!F629,"*GCO – Regions*")</f>
        <v>0</v>
      </c>
      <c r="J632">
        <f>COUNTIF('Metrics - Articles'!F629,"*GCO – Platform Solutions*")</f>
        <v>0</v>
      </c>
      <c r="K632">
        <f>COUNTIF('Metrics - Articles'!F629,"*GCO – Industry Cloud *")</f>
        <v>0</v>
      </c>
      <c r="L632">
        <f>COUNTIF('Metrics - Articles'!F629,"*GCO – Customer Engagement &amp; Commerce (CRM &amp; hybris) *")</f>
        <v>0</v>
      </c>
      <c r="M632">
        <f>COUNTIF('Metrics - Articles'!F629,"*GCO – HR (SuccessFactors)*")</f>
        <v>0</v>
      </c>
      <c r="N632">
        <f>COUNTIF('Metrics - Articles'!F629,"*GCO – Services Sales*")</f>
        <v>0</v>
      </c>
      <c r="O632">
        <f>COUNTIF('Metrics - Articles'!F629,"*GCO – Other*")</f>
        <v>0</v>
      </c>
      <c r="P632">
        <f>COUNTIF('Metrics - Articles'!F629,"*Corporate*")</f>
        <v>0</v>
      </c>
      <c r="R632" s="53">
        <f t="shared" si="11"/>
        <v>0</v>
      </c>
    </row>
    <row r="633" spans="2:18" hidden="1" x14ac:dyDescent="0.25">
      <c r="B633" s="48">
        <f>+'Metrics - Articles'!C630</f>
        <v>0</v>
      </c>
      <c r="C633">
        <f>COUNTIF('Metrics - Articles'!F630,"*GPO (Partner, Ecosystem, Channels)*")</f>
        <v>0</v>
      </c>
      <c r="D633">
        <f>COUNTIF('Metrics - Articles'!F630,"*Office of the CEO*")</f>
        <v>0</v>
      </c>
      <c r="E633">
        <f>COUNTIF('Metrics - Articles'!F630,"*Services Delivery &amp; Support (go-lives and deployments) *")</f>
        <v>0</v>
      </c>
      <c r="F633">
        <f>COUNTIF('Metrics - Articles'!F630,"*Human Resources (SAP HR and employee stories)*")</f>
        <v>0</v>
      </c>
      <c r="G633">
        <f>COUNTIF('Metrics - Articles'!F630,"*P&amp;I (Research &amp; Development)*")</f>
        <v>0</v>
      </c>
      <c r="H633">
        <f>COUNTIF('Metrics - Articles'!F630,"*Business Network (Concur, Ariba, Fieldglass)*")</f>
        <v>0</v>
      </c>
      <c r="I633">
        <f>COUNTIF('Metrics - Articles'!F630,"*GCO – Regions*")</f>
        <v>0</v>
      </c>
      <c r="J633">
        <f>COUNTIF('Metrics - Articles'!F630,"*GCO – Platform Solutions*")</f>
        <v>0</v>
      </c>
      <c r="K633">
        <f>COUNTIF('Metrics - Articles'!F630,"*GCO – Industry Cloud *")</f>
        <v>0</v>
      </c>
      <c r="L633">
        <f>COUNTIF('Metrics - Articles'!F630,"*GCO – Customer Engagement &amp; Commerce (CRM &amp; hybris) *")</f>
        <v>0</v>
      </c>
      <c r="M633">
        <f>COUNTIF('Metrics - Articles'!F630,"*GCO – HR (SuccessFactors)*")</f>
        <v>0</v>
      </c>
      <c r="N633">
        <f>COUNTIF('Metrics - Articles'!F630,"*GCO – Services Sales*")</f>
        <v>0</v>
      </c>
      <c r="O633">
        <f>COUNTIF('Metrics - Articles'!F630,"*GCO – Other*")</f>
        <v>0</v>
      </c>
      <c r="P633">
        <f>COUNTIF('Metrics - Articles'!F630,"*Corporate*")</f>
        <v>0</v>
      </c>
      <c r="R633" s="53">
        <f t="shared" si="11"/>
        <v>0</v>
      </c>
    </row>
    <row r="634" spans="2:18" hidden="1" x14ac:dyDescent="0.25">
      <c r="B634" s="48">
        <f>+'Metrics - Articles'!C631</f>
        <v>0</v>
      </c>
      <c r="C634">
        <f>COUNTIF('Metrics - Articles'!F631,"*GPO (Partner, Ecosystem, Channels)*")</f>
        <v>0</v>
      </c>
      <c r="D634">
        <f>COUNTIF('Metrics - Articles'!F631,"*Office of the CEO*")</f>
        <v>0</v>
      </c>
      <c r="E634">
        <f>COUNTIF('Metrics - Articles'!F631,"*Services Delivery &amp; Support (go-lives and deployments) *")</f>
        <v>0</v>
      </c>
      <c r="F634">
        <f>COUNTIF('Metrics - Articles'!F631,"*Human Resources (SAP HR and employee stories)*")</f>
        <v>0</v>
      </c>
      <c r="G634">
        <f>COUNTIF('Metrics - Articles'!F631,"*P&amp;I (Research &amp; Development)*")</f>
        <v>0</v>
      </c>
      <c r="H634">
        <f>COUNTIF('Metrics - Articles'!F631,"*Business Network (Concur, Ariba, Fieldglass)*")</f>
        <v>0</v>
      </c>
      <c r="I634">
        <f>COUNTIF('Metrics - Articles'!F631,"*GCO – Regions*")</f>
        <v>0</v>
      </c>
      <c r="J634">
        <f>COUNTIF('Metrics - Articles'!F631,"*GCO – Platform Solutions*")</f>
        <v>0</v>
      </c>
      <c r="K634">
        <f>COUNTIF('Metrics - Articles'!F631,"*GCO – Industry Cloud *")</f>
        <v>0</v>
      </c>
      <c r="L634">
        <f>COUNTIF('Metrics - Articles'!F631,"*GCO – Customer Engagement &amp; Commerce (CRM &amp; hybris) *")</f>
        <v>0</v>
      </c>
      <c r="M634">
        <f>COUNTIF('Metrics - Articles'!F631,"*GCO – HR (SuccessFactors)*")</f>
        <v>0</v>
      </c>
      <c r="N634">
        <f>COUNTIF('Metrics - Articles'!F631,"*GCO – Services Sales*")</f>
        <v>0</v>
      </c>
      <c r="O634">
        <f>COUNTIF('Metrics - Articles'!F631,"*GCO – Other*")</f>
        <v>0</v>
      </c>
      <c r="P634">
        <f>COUNTIF('Metrics - Articles'!F631,"*Corporate*")</f>
        <v>0</v>
      </c>
      <c r="R634" s="53">
        <f t="shared" si="11"/>
        <v>0</v>
      </c>
    </row>
    <row r="635" spans="2:18" hidden="1" x14ac:dyDescent="0.25">
      <c r="B635" s="48">
        <f>+'Metrics - Articles'!C632</f>
        <v>0</v>
      </c>
      <c r="C635">
        <f>COUNTIF('Metrics - Articles'!F632,"*GPO (Partner, Ecosystem, Channels)*")</f>
        <v>0</v>
      </c>
      <c r="D635">
        <f>COUNTIF('Metrics - Articles'!F632,"*Office of the CEO*")</f>
        <v>0</v>
      </c>
      <c r="E635">
        <f>COUNTIF('Metrics - Articles'!F632,"*Services Delivery &amp; Support (go-lives and deployments) *")</f>
        <v>0</v>
      </c>
      <c r="F635">
        <f>COUNTIF('Metrics - Articles'!F632,"*Human Resources (SAP HR and employee stories)*")</f>
        <v>0</v>
      </c>
      <c r="G635">
        <f>COUNTIF('Metrics - Articles'!F632,"*P&amp;I (Research &amp; Development)*")</f>
        <v>0</v>
      </c>
      <c r="H635">
        <f>COUNTIF('Metrics - Articles'!F632,"*Business Network (Concur, Ariba, Fieldglass)*")</f>
        <v>0</v>
      </c>
      <c r="I635">
        <f>COUNTIF('Metrics - Articles'!F632,"*GCO – Regions*")</f>
        <v>0</v>
      </c>
      <c r="J635">
        <f>COUNTIF('Metrics - Articles'!F632,"*GCO – Platform Solutions*")</f>
        <v>0</v>
      </c>
      <c r="K635">
        <f>COUNTIF('Metrics - Articles'!F632,"*GCO – Industry Cloud *")</f>
        <v>0</v>
      </c>
      <c r="L635">
        <f>COUNTIF('Metrics - Articles'!F632,"*GCO – Customer Engagement &amp; Commerce (CRM &amp; hybris) *")</f>
        <v>0</v>
      </c>
      <c r="M635">
        <f>COUNTIF('Metrics - Articles'!F632,"*GCO – HR (SuccessFactors)*")</f>
        <v>0</v>
      </c>
      <c r="N635">
        <f>COUNTIF('Metrics - Articles'!F632,"*GCO – Services Sales*")</f>
        <v>0</v>
      </c>
      <c r="O635">
        <f>COUNTIF('Metrics - Articles'!F632,"*GCO – Other*")</f>
        <v>0</v>
      </c>
      <c r="P635">
        <f>COUNTIF('Metrics - Articles'!F632,"*Corporate*")</f>
        <v>0</v>
      </c>
      <c r="R635" s="53">
        <f t="shared" si="11"/>
        <v>0</v>
      </c>
    </row>
    <row r="636" spans="2:18" hidden="1" x14ac:dyDescent="0.25">
      <c r="B636" s="48">
        <f>+'Metrics - Articles'!C633</f>
        <v>0</v>
      </c>
      <c r="C636">
        <f>COUNTIF('Metrics - Articles'!F633,"*GPO (Partner, Ecosystem, Channels)*")</f>
        <v>0</v>
      </c>
      <c r="D636">
        <f>COUNTIF('Metrics - Articles'!F633,"*Office of the CEO*")</f>
        <v>0</v>
      </c>
      <c r="E636">
        <f>COUNTIF('Metrics - Articles'!F633,"*Services Delivery &amp; Support (go-lives and deployments) *")</f>
        <v>0</v>
      </c>
      <c r="F636">
        <f>COUNTIF('Metrics - Articles'!F633,"*Human Resources (SAP HR and employee stories)*")</f>
        <v>0</v>
      </c>
      <c r="G636">
        <f>COUNTIF('Metrics - Articles'!F633,"*P&amp;I (Research &amp; Development)*")</f>
        <v>0</v>
      </c>
      <c r="H636">
        <f>COUNTIF('Metrics - Articles'!F633,"*Business Network (Concur, Ariba, Fieldglass)*")</f>
        <v>0</v>
      </c>
      <c r="I636">
        <f>COUNTIF('Metrics - Articles'!F633,"*GCO – Regions*")</f>
        <v>0</v>
      </c>
      <c r="J636">
        <f>COUNTIF('Metrics - Articles'!F633,"*GCO – Platform Solutions*")</f>
        <v>0</v>
      </c>
      <c r="K636">
        <f>COUNTIF('Metrics - Articles'!F633,"*GCO – Industry Cloud *")</f>
        <v>0</v>
      </c>
      <c r="L636">
        <f>COUNTIF('Metrics - Articles'!F633,"*GCO – Customer Engagement &amp; Commerce (CRM &amp; hybris) *")</f>
        <v>0</v>
      </c>
      <c r="M636">
        <f>COUNTIF('Metrics - Articles'!F633,"*GCO – HR (SuccessFactors)*")</f>
        <v>0</v>
      </c>
      <c r="N636">
        <f>COUNTIF('Metrics - Articles'!F633,"*GCO – Services Sales*")</f>
        <v>0</v>
      </c>
      <c r="O636">
        <f>COUNTIF('Metrics - Articles'!F633,"*GCO – Other*")</f>
        <v>0</v>
      </c>
      <c r="P636">
        <f>COUNTIF('Metrics - Articles'!F633,"*Corporate*")</f>
        <v>0</v>
      </c>
      <c r="R636" s="53">
        <f t="shared" si="11"/>
        <v>0</v>
      </c>
    </row>
    <row r="637" spans="2:18" hidden="1" x14ac:dyDescent="0.25">
      <c r="B637" s="48">
        <f>+'Metrics - Articles'!C634</f>
        <v>0</v>
      </c>
      <c r="C637">
        <f>COUNTIF('Metrics - Articles'!F634,"*GPO (Partner, Ecosystem, Channels)*")</f>
        <v>0</v>
      </c>
      <c r="D637">
        <f>COUNTIF('Metrics - Articles'!F634,"*Office of the CEO*")</f>
        <v>0</v>
      </c>
      <c r="E637">
        <f>COUNTIF('Metrics - Articles'!F634,"*Services Delivery &amp; Support (go-lives and deployments) *")</f>
        <v>0</v>
      </c>
      <c r="F637">
        <f>COUNTIF('Metrics - Articles'!F634,"*Human Resources (SAP HR and employee stories)*")</f>
        <v>0</v>
      </c>
      <c r="G637">
        <f>COUNTIF('Metrics - Articles'!F634,"*P&amp;I (Research &amp; Development)*")</f>
        <v>0</v>
      </c>
      <c r="H637">
        <f>COUNTIF('Metrics - Articles'!F634,"*Business Network (Concur, Ariba, Fieldglass)*")</f>
        <v>0</v>
      </c>
      <c r="I637">
        <f>COUNTIF('Metrics - Articles'!F634,"*GCO – Regions*")</f>
        <v>0</v>
      </c>
      <c r="J637">
        <f>COUNTIF('Metrics - Articles'!F634,"*GCO – Platform Solutions*")</f>
        <v>0</v>
      </c>
      <c r="K637">
        <f>COUNTIF('Metrics - Articles'!F634,"*GCO – Industry Cloud *")</f>
        <v>0</v>
      </c>
      <c r="L637">
        <f>COUNTIF('Metrics - Articles'!F634,"*GCO – Customer Engagement &amp; Commerce (CRM &amp; hybris) *")</f>
        <v>0</v>
      </c>
      <c r="M637">
        <f>COUNTIF('Metrics - Articles'!F634,"*GCO – HR (SuccessFactors)*")</f>
        <v>0</v>
      </c>
      <c r="N637">
        <f>COUNTIF('Metrics - Articles'!F634,"*GCO – Services Sales*")</f>
        <v>0</v>
      </c>
      <c r="O637">
        <f>COUNTIF('Metrics - Articles'!F634,"*GCO – Other*")</f>
        <v>0</v>
      </c>
      <c r="P637">
        <f>COUNTIF('Metrics - Articles'!F634,"*Corporate*")</f>
        <v>0</v>
      </c>
      <c r="R637" s="53">
        <f t="shared" si="11"/>
        <v>0</v>
      </c>
    </row>
    <row r="638" spans="2:18" hidden="1" x14ac:dyDescent="0.25">
      <c r="B638" s="48">
        <f>+'Metrics - Articles'!C635</f>
        <v>0</v>
      </c>
      <c r="C638">
        <f>COUNTIF('Metrics - Articles'!F635,"*GPO (Partner, Ecosystem, Channels)*")</f>
        <v>0</v>
      </c>
      <c r="D638">
        <f>COUNTIF('Metrics - Articles'!F635,"*Office of the CEO*")</f>
        <v>0</v>
      </c>
      <c r="E638">
        <f>COUNTIF('Metrics - Articles'!F635,"*Services Delivery &amp; Support (go-lives and deployments) *")</f>
        <v>0</v>
      </c>
      <c r="F638">
        <f>COUNTIF('Metrics - Articles'!F635,"*Human Resources (SAP HR and employee stories)*")</f>
        <v>0</v>
      </c>
      <c r="G638">
        <f>COUNTIF('Metrics - Articles'!F635,"*P&amp;I (Research &amp; Development)*")</f>
        <v>0</v>
      </c>
      <c r="H638">
        <f>COUNTIF('Metrics - Articles'!F635,"*Business Network (Concur, Ariba, Fieldglass)*")</f>
        <v>0</v>
      </c>
      <c r="I638">
        <f>COUNTIF('Metrics - Articles'!F635,"*GCO – Regions*")</f>
        <v>0</v>
      </c>
      <c r="J638">
        <f>COUNTIF('Metrics - Articles'!F635,"*GCO – Platform Solutions*")</f>
        <v>0</v>
      </c>
      <c r="K638">
        <f>COUNTIF('Metrics - Articles'!F635,"*GCO – Industry Cloud *")</f>
        <v>0</v>
      </c>
      <c r="L638">
        <f>COUNTIF('Metrics - Articles'!F635,"*GCO – Customer Engagement &amp; Commerce (CRM &amp; hybris) *")</f>
        <v>0</v>
      </c>
      <c r="M638">
        <f>COUNTIF('Metrics - Articles'!F635,"*GCO – HR (SuccessFactors)*")</f>
        <v>0</v>
      </c>
      <c r="N638">
        <f>COUNTIF('Metrics - Articles'!F635,"*GCO – Services Sales*")</f>
        <v>0</v>
      </c>
      <c r="O638">
        <f>COUNTIF('Metrics - Articles'!F635,"*GCO – Other*")</f>
        <v>0</v>
      </c>
      <c r="P638">
        <f>COUNTIF('Metrics - Articles'!F635,"*Corporate*")</f>
        <v>0</v>
      </c>
      <c r="R638" s="53">
        <f t="shared" si="11"/>
        <v>0</v>
      </c>
    </row>
    <row r="639" spans="2:18" hidden="1" x14ac:dyDescent="0.25">
      <c r="B639" s="48">
        <f>+'Metrics - Articles'!C636</f>
        <v>0</v>
      </c>
      <c r="C639">
        <f>COUNTIF('Metrics - Articles'!F636,"*GPO (Partner, Ecosystem, Channels)*")</f>
        <v>0</v>
      </c>
      <c r="D639">
        <f>COUNTIF('Metrics - Articles'!F636,"*Office of the CEO*")</f>
        <v>0</v>
      </c>
      <c r="E639">
        <f>COUNTIF('Metrics - Articles'!F636,"*Services Delivery &amp; Support (go-lives and deployments) *")</f>
        <v>0</v>
      </c>
      <c r="F639">
        <f>COUNTIF('Metrics - Articles'!F636,"*Human Resources (SAP HR and employee stories)*")</f>
        <v>0</v>
      </c>
      <c r="G639">
        <f>COUNTIF('Metrics - Articles'!F636,"*P&amp;I (Research &amp; Development)*")</f>
        <v>0</v>
      </c>
      <c r="H639">
        <f>COUNTIF('Metrics - Articles'!F636,"*Business Network (Concur, Ariba, Fieldglass)*")</f>
        <v>0</v>
      </c>
      <c r="I639">
        <f>COUNTIF('Metrics - Articles'!F636,"*GCO – Regions*")</f>
        <v>0</v>
      </c>
      <c r="J639">
        <f>COUNTIF('Metrics - Articles'!F636,"*GCO – Platform Solutions*")</f>
        <v>0</v>
      </c>
      <c r="K639">
        <f>COUNTIF('Metrics - Articles'!F636,"*GCO – Industry Cloud *")</f>
        <v>0</v>
      </c>
      <c r="L639">
        <f>COUNTIF('Metrics - Articles'!F636,"*GCO – Customer Engagement &amp; Commerce (CRM &amp; hybris) *")</f>
        <v>0</v>
      </c>
      <c r="M639">
        <f>COUNTIF('Metrics - Articles'!F636,"*GCO – HR (SuccessFactors)*")</f>
        <v>0</v>
      </c>
      <c r="N639">
        <f>COUNTIF('Metrics - Articles'!F636,"*GCO – Services Sales*")</f>
        <v>0</v>
      </c>
      <c r="O639">
        <f>COUNTIF('Metrics - Articles'!F636,"*GCO – Other*")</f>
        <v>0</v>
      </c>
      <c r="P639">
        <f>COUNTIF('Metrics - Articles'!F636,"*Corporate*")</f>
        <v>0</v>
      </c>
      <c r="R639" s="53">
        <f t="shared" si="11"/>
        <v>0</v>
      </c>
    </row>
    <row r="640" spans="2:18" hidden="1" x14ac:dyDescent="0.25">
      <c r="B640" s="48">
        <f>+'Metrics - Articles'!C637</f>
        <v>0</v>
      </c>
      <c r="C640">
        <f>COUNTIF('Metrics - Articles'!F637,"*GPO (Partner, Ecosystem, Channels)*")</f>
        <v>0</v>
      </c>
      <c r="D640">
        <f>COUNTIF('Metrics - Articles'!F637,"*Office of the CEO*")</f>
        <v>0</v>
      </c>
      <c r="E640">
        <f>COUNTIF('Metrics - Articles'!F637,"*Services Delivery &amp; Support (go-lives and deployments) *")</f>
        <v>0</v>
      </c>
      <c r="F640">
        <f>COUNTIF('Metrics - Articles'!F637,"*Human Resources (SAP HR and employee stories)*")</f>
        <v>0</v>
      </c>
      <c r="G640">
        <f>COUNTIF('Metrics - Articles'!F637,"*P&amp;I (Research &amp; Development)*")</f>
        <v>0</v>
      </c>
      <c r="H640">
        <f>COUNTIF('Metrics - Articles'!F637,"*Business Network (Concur, Ariba, Fieldglass)*")</f>
        <v>0</v>
      </c>
      <c r="I640">
        <f>COUNTIF('Metrics - Articles'!F637,"*GCO – Regions*")</f>
        <v>0</v>
      </c>
      <c r="J640">
        <f>COUNTIF('Metrics - Articles'!F637,"*GCO – Platform Solutions*")</f>
        <v>0</v>
      </c>
      <c r="K640">
        <f>COUNTIF('Metrics - Articles'!F637,"*GCO – Industry Cloud *")</f>
        <v>0</v>
      </c>
      <c r="L640">
        <f>COUNTIF('Metrics - Articles'!F637,"*GCO – Customer Engagement &amp; Commerce (CRM &amp; hybris) *")</f>
        <v>0</v>
      </c>
      <c r="M640">
        <f>COUNTIF('Metrics - Articles'!F637,"*GCO – HR (SuccessFactors)*")</f>
        <v>0</v>
      </c>
      <c r="N640">
        <f>COUNTIF('Metrics - Articles'!F637,"*GCO – Services Sales*")</f>
        <v>0</v>
      </c>
      <c r="O640">
        <f>COUNTIF('Metrics - Articles'!F637,"*GCO – Other*")</f>
        <v>0</v>
      </c>
      <c r="P640">
        <f>COUNTIF('Metrics - Articles'!F637,"*Corporate*")</f>
        <v>0</v>
      </c>
      <c r="R640" s="53">
        <f t="shared" si="11"/>
        <v>0</v>
      </c>
    </row>
    <row r="641" spans="2:18" hidden="1" x14ac:dyDescent="0.25">
      <c r="B641" s="48">
        <f>+'Metrics - Articles'!C638</f>
        <v>0</v>
      </c>
      <c r="C641">
        <f>COUNTIF('Metrics - Articles'!F638,"*GPO (Partner, Ecosystem, Channels)*")</f>
        <v>0</v>
      </c>
      <c r="D641">
        <f>COUNTIF('Metrics - Articles'!F638,"*Office of the CEO*")</f>
        <v>0</v>
      </c>
      <c r="E641">
        <f>COUNTIF('Metrics - Articles'!F638,"*Services Delivery &amp; Support (go-lives and deployments) *")</f>
        <v>0</v>
      </c>
      <c r="F641">
        <f>COUNTIF('Metrics - Articles'!F638,"*Human Resources (SAP HR and employee stories)*")</f>
        <v>0</v>
      </c>
      <c r="G641">
        <f>COUNTIF('Metrics - Articles'!F638,"*P&amp;I (Research &amp; Development)*")</f>
        <v>0</v>
      </c>
      <c r="H641">
        <f>COUNTIF('Metrics - Articles'!F638,"*Business Network (Concur, Ariba, Fieldglass)*")</f>
        <v>0</v>
      </c>
      <c r="I641">
        <f>COUNTIF('Metrics - Articles'!F638,"*GCO – Regions*")</f>
        <v>0</v>
      </c>
      <c r="J641">
        <f>COUNTIF('Metrics - Articles'!F638,"*GCO – Platform Solutions*")</f>
        <v>0</v>
      </c>
      <c r="K641">
        <f>COUNTIF('Metrics - Articles'!F638,"*GCO – Industry Cloud *")</f>
        <v>0</v>
      </c>
      <c r="L641">
        <f>COUNTIF('Metrics - Articles'!F638,"*GCO – Customer Engagement &amp; Commerce (CRM &amp; hybris) *")</f>
        <v>0</v>
      </c>
      <c r="M641">
        <f>COUNTIF('Metrics - Articles'!F638,"*GCO – HR (SuccessFactors)*")</f>
        <v>0</v>
      </c>
      <c r="N641">
        <f>COUNTIF('Metrics - Articles'!F638,"*GCO – Services Sales*")</f>
        <v>0</v>
      </c>
      <c r="O641">
        <f>COUNTIF('Metrics - Articles'!F638,"*GCO – Other*")</f>
        <v>0</v>
      </c>
      <c r="P641">
        <f>COUNTIF('Metrics - Articles'!F638,"*Corporate*")</f>
        <v>0</v>
      </c>
      <c r="R641" s="53">
        <f t="shared" si="11"/>
        <v>0</v>
      </c>
    </row>
    <row r="642" spans="2:18" hidden="1" x14ac:dyDescent="0.25">
      <c r="B642" s="48">
        <f>+'Metrics - Articles'!C639</f>
        <v>0</v>
      </c>
      <c r="C642">
        <f>COUNTIF('Metrics - Articles'!F639,"*GPO (Partner, Ecosystem, Channels)*")</f>
        <v>0</v>
      </c>
      <c r="D642">
        <f>COUNTIF('Metrics - Articles'!F639,"*Office of the CEO*")</f>
        <v>0</v>
      </c>
      <c r="E642">
        <f>COUNTIF('Metrics - Articles'!F639,"*Services Delivery &amp; Support (go-lives and deployments) *")</f>
        <v>0</v>
      </c>
      <c r="F642">
        <f>COUNTIF('Metrics - Articles'!F639,"*Human Resources (SAP HR and employee stories)*")</f>
        <v>0</v>
      </c>
      <c r="G642">
        <f>COUNTIF('Metrics - Articles'!F639,"*P&amp;I (Research &amp; Development)*")</f>
        <v>0</v>
      </c>
      <c r="H642">
        <f>COUNTIF('Metrics - Articles'!F639,"*Business Network (Concur, Ariba, Fieldglass)*")</f>
        <v>0</v>
      </c>
      <c r="I642">
        <f>COUNTIF('Metrics - Articles'!F639,"*GCO – Regions*")</f>
        <v>0</v>
      </c>
      <c r="J642">
        <f>COUNTIF('Metrics - Articles'!F639,"*GCO – Platform Solutions*")</f>
        <v>0</v>
      </c>
      <c r="K642">
        <f>COUNTIF('Metrics - Articles'!F639,"*GCO – Industry Cloud *")</f>
        <v>0</v>
      </c>
      <c r="L642">
        <f>COUNTIF('Metrics - Articles'!F639,"*GCO – Customer Engagement &amp; Commerce (CRM &amp; hybris) *")</f>
        <v>0</v>
      </c>
      <c r="M642">
        <f>COUNTIF('Metrics - Articles'!F639,"*GCO – HR (SuccessFactors)*")</f>
        <v>0</v>
      </c>
      <c r="N642">
        <f>COUNTIF('Metrics - Articles'!F639,"*GCO – Services Sales*")</f>
        <v>0</v>
      </c>
      <c r="O642">
        <f>COUNTIF('Metrics - Articles'!F639,"*GCO – Other*")</f>
        <v>0</v>
      </c>
      <c r="P642">
        <f>COUNTIF('Metrics - Articles'!F639,"*Corporate*")</f>
        <v>0</v>
      </c>
      <c r="R642" s="53">
        <f t="shared" si="11"/>
        <v>0</v>
      </c>
    </row>
    <row r="643" spans="2:18" hidden="1" x14ac:dyDescent="0.25">
      <c r="B643" s="48">
        <f>+'Metrics - Articles'!C640</f>
        <v>0</v>
      </c>
      <c r="C643">
        <f>COUNTIF('Metrics - Articles'!F640,"*GPO (Partner, Ecosystem, Channels)*")</f>
        <v>0</v>
      </c>
      <c r="D643">
        <f>COUNTIF('Metrics - Articles'!F640,"*Office of the CEO*")</f>
        <v>0</v>
      </c>
      <c r="E643">
        <f>COUNTIF('Metrics - Articles'!F640,"*Services Delivery &amp; Support (go-lives and deployments) *")</f>
        <v>0</v>
      </c>
      <c r="F643">
        <f>COUNTIF('Metrics - Articles'!F640,"*Human Resources (SAP HR and employee stories)*")</f>
        <v>0</v>
      </c>
      <c r="G643">
        <f>COUNTIF('Metrics - Articles'!F640,"*P&amp;I (Research &amp; Development)*")</f>
        <v>0</v>
      </c>
      <c r="H643">
        <f>COUNTIF('Metrics - Articles'!F640,"*Business Network (Concur, Ariba, Fieldglass)*")</f>
        <v>0</v>
      </c>
      <c r="I643">
        <f>COUNTIF('Metrics - Articles'!F640,"*GCO – Regions*")</f>
        <v>0</v>
      </c>
      <c r="J643">
        <f>COUNTIF('Metrics - Articles'!F640,"*GCO – Platform Solutions*")</f>
        <v>0</v>
      </c>
      <c r="K643">
        <f>COUNTIF('Metrics - Articles'!F640,"*GCO – Industry Cloud *")</f>
        <v>0</v>
      </c>
      <c r="L643">
        <f>COUNTIF('Metrics - Articles'!F640,"*GCO – Customer Engagement &amp; Commerce (CRM &amp; hybris) *")</f>
        <v>0</v>
      </c>
      <c r="M643">
        <f>COUNTIF('Metrics - Articles'!F640,"*GCO – HR (SuccessFactors)*")</f>
        <v>0</v>
      </c>
      <c r="N643">
        <f>COUNTIF('Metrics - Articles'!F640,"*GCO – Services Sales*")</f>
        <v>0</v>
      </c>
      <c r="O643">
        <f>COUNTIF('Metrics - Articles'!F640,"*GCO – Other*")</f>
        <v>0</v>
      </c>
      <c r="P643">
        <f>COUNTIF('Metrics - Articles'!F640,"*Corporate*")</f>
        <v>0</v>
      </c>
      <c r="R643" s="53">
        <f t="shared" si="11"/>
        <v>0</v>
      </c>
    </row>
    <row r="644" spans="2:18" hidden="1" x14ac:dyDescent="0.25">
      <c r="B644" s="48">
        <f>+'Metrics - Articles'!C641</f>
        <v>0</v>
      </c>
      <c r="C644">
        <f>COUNTIF('Metrics - Articles'!F641,"*GPO (Partner, Ecosystem, Channels)*")</f>
        <v>0</v>
      </c>
      <c r="D644">
        <f>COUNTIF('Metrics - Articles'!F641,"*Office of the CEO*")</f>
        <v>0</v>
      </c>
      <c r="E644">
        <f>COUNTIF('Metrics - Articles'!F641,"*Services Delivery &amp; Support (go-lives and deployments) *")</f>
        <v>0</v>
      </c>
      <c r="F644">
        <f>COUNTIF('Metrics - Articles'!F641,"*Human Resources (SAP HR and employee stories)*")</f>
        <v>0</v>
      </c>
      <c r="G644">
        <f>COUNTIF('Metrics - Articles'!F641,"*P&amp;I (Research &amp; Development)*")</f>
        <v>0</v>
      </c>
      <c r="H644">
        <f>COUNTIF('Metrics - Articles'!F641,"*Business Network (Concur, Ariba, Fieldglass)*")</f>
        <v>0</v>
      </c>
      <c r="I644">
        <f>COUNTIF('Metrics - Articles'!F641,"*GCO – Regions*")</f>
        <v>0</v>
      </c>
      <c r="J644">
        <f>COUNTIF('Metrics - Articles'!F641,"*GCO – Platform Solutions*")</f>
        <v>0</v>
      </c>
      <c r="K644">
        <f>COUNTIF('Metrics - Articles'!F641,"*GCO – Industry Cloud *")</f>
        <v>0</v>
      </c>
      <c r="L644">
        <f>COUNTIF('Metrics - Articles'!F641,"*GCO – Customer Engagement &amp; Commerce (CRM &amp; hybris) *")</f>
        <v>0</v>
      </c>
      <c r="M644">
        <f>COUNTIF('Metrics - Articles'!F641,"*GCO – HR (SuccessFactors)*")</f>
        <v>0</v>
      </c>
      <c r="N644">
        <f>COUNTIF('Metrics - Articles'!F641,"*GCO – Services Sales*")</f>
        <v>0</v>
      </c>
      <c r="O644">
        <f>COUNTIF('Metrics - Articles'!F641,"*GCO – Other*")</f>
        <v>0</v>
      </c>
      <c r="P644">
        <f>COUNTIF('Metrics - Articles'!F641,"*Corporate*")</f>
        <v>0</v>
      </c>
      <c r="R644" s="53">
        <f t="shared" si="11"/>
        <v>0</v>
      </c>
    </row>
    <row r="645" spans="2:18" hidden="1" x14ac:dyDescent="0.25">
      <c r="B645" s="48">
        <f>+'Metrics - Articles'!C642</f>
        <v>0</v>
      </c>
      <c r="C645">
        <f>COUNTIF('Metrics - Articles'!F642,"*GPO (Partner, Ecosystem, Channels)*")</f>
        <v>0</v>
      </c>
      <c r="D645">
        <f>COUNTIF('Metrics - Articles'!F642,"*Office of the CEO*")</f>
        <v>0</v>
      </c>
      <c r="E645">
        <f>COUNTIF('Metrics - Articles'!F642,"*Services Delivery &amp; Support (go-lives and deployments) *")</f>
        <v>0</v>
      </c>
      <c r="F645">
        <f>COUNTIF('Metrics - Articles'!F642,"*Human Resources (SAP HR and employee stories)*")</f>
        <v>0</v>
      </c>
      <c r="G645">
        <f>COUNTIF('Metrics - Articles'!F642,"*P&amp;I (Research &amp; Development)*")</f>
        <v>0</v>
      </c>
      <c r="H645">
        <f>COUNTIF('Metrics - Articles'!F642,"*Business Network (Concur, Ariba, Fieldglass)*")</f>
        <v>0</v>
      </c>
      <c r="I645">
        <f>COUNTIF('Metrics - Articles'!F642,"*GCO – Regions*")</f>
        <v>0</v>
      </c>
      <c r="J645">
        <f>COUNTIF('Metrics - Articles'!F642,"*GCO – Platform Solutions*")</f>
        <v>0</v>
      </c>
      <c r="K645">
        <f>COUNTIF('Metrics - Articles'!F642,"*GCO – Industry Cloud *")</f>
        <v>0</v>
      </c>
      <c r="L645">
        <f>COUNTIF('Metrics - Articles'!F642,"*GCO – Customer Engagement &amp; Commerce (CRM &amp; hybris) *")</f>
        <v>0</v>
      </c>
      <c r="M645">
        <f>COUNTIF('Metrics - Articles'!F642,"*GCO – HR (SuccessFactors)*")</f>
        <v>0</v>
      </c>
      <c r="N645">
        <f>COUNTIF('Metrics - Articles'!F642,"*GCO – Services Sales*")</f>
        <v>0</v>
      </c>
      <c r="O645">
        <f>COUNTIF('Metrics - Articles'!F642,"*GCO – Other*")</f>
        <v>0</v>
      </c>
      <c r="P645">
        <f>COUNTIF('Metrics - Articles'!F642,"*Corporate*")</f>
        <v>0</v>
      </c>
      <c r="R645" s="53">
        <f t="shared" si="11"/>
        <v>0</v>
      </c>
    </row>
    <row r="646" spans="2:18" hidden="1" x14ac:dyDescent="0.25">
      <c r="B646" s="48">
        <f>+'Metrics - Articles'!C643</f>
        <v>0</v>
      </c>
      <c r="C646">
        <f>COUNTIF('Metrics - Articles'!F643,"*GPO (Partner, Ecosystem, Channels)*")</f>
        <v>0</v>
      </c>
      <c r="D646">
        <f>COUNTIF('Metrics - Articles'!F643,"*Office of the CEO*")</f>
        <v>0</v>
      </c>
      <c r="E646">
        <f>COUNTIF('Metrics - Articles'!F643,"*Services Delivery &amp; Support (go-lives and deployments) *")</f>
        <v>0</v>
      </c>
      <c r="F646">
        <f>COUNTIF('Metrics - Articles'!F643,"*Human Resources (SAP HR and employee stories)*")</f>
        <v>0</v>
      </c>
      <c r="G646">
        <f>COUNTIF('Metrics - Articles'!F643,"*P&amp;I (Research &amp; Development)*")</f>
        <v>0</v>
      </c>
      <c r="H646">
        <f>COUNTIF('Metrics - Articles'!F643,"*Business Network (Concur, Ariba, Fieldglass)*")</f>
        <v>0</v>
      </c>
      <c r="I646">
        <f>COUNTIF('Metrics - Articles'!F643,"*GCO – Regions*")</f>
        <v>0</v>
      </c>
      <c r="J646">
        <f>COUNTIF('Metrics - Articles'!F643,"*GCO – Platform Solutions*")</f>
        <v>0</v>
      </c>
      <c r="K646">
        <f>COUNTIF('Metrics - Articles'!F643,"*GCO – Industry Cloud *")</f>
        <v>0</v>
      </c>
      <c r="L646">
        <f>COUNTIF('Metrics - Articles'!F643,"*GCO – Customer Engagement &amp; Commerce (CRM &amp; hybris) *")</f>
        <v>0</v>
      </c>
      <c r="M646">
        <f>COUNTIF('Metrics - Articles'!F643,"*GCO – HR (SuccessFactors)*")</f>
        <v>0</v>
      </c>
      <c r="N646">
        <f>COUNTIF('Metrics - Articles'!F643,"*GCO – Services Sales*")</f>
        <v>0</v>
      </c>
      <c r="O646">
        <f>COUNTIF('Metrics - Articles'!F643,"*GCO – Other*")</f>
        <v>0</v>
      </c>
      <c r="P646">
        <f>COUNTIF('Metrics - Articles'!F643,"*Corporate*")</f>
        <v>0</v>
      </c>
      <c r="R646" s="53">
        <f t="shared" si="11"/>
        <v>0</v>
      </c>
    </row>
    <row r="647" spans="2:18" hidden="1" x14ac:dyDescent="0.25">
      <c r="B647" s="48">
        <f>+'Metrics - Articles'!C644</f>
        <v>0</v>
      </c>
      <c r="C647">
        <f>COUNTIF('Metrics - Articles'!F644,"*GPO (Partner, Ecosystem, Channels)*")</f>
        <v>0</v>
      </c>
      <c r="D647">
        <f>COUNTIF('Metrics - Articles'!F644,"*Office of the CEO*")</f>
        <v>0</v>
      </c>
      <c r="E647">
        <f>COUNTIF('Metrics - Articles'!F644,"*Services Delivery &amp; Support (go-lives and deployments) *")</f>
        <v>0</v>
      </c>
      <c r="F647">
        <f>COUNTIF('Metrics - Articles'!F644,"*Human Resources (SAP HR and employee stories)*")</f>
        <v>0</v>
      </c>
      <c r="G647">
        <f>COUNTIF('Metrics - Articles'!F644,"*P&amp;I (Research &amp; Development)*")</f>
        <v>0</v>
      </c>
      <c r="H647">
        <f>COUNTIF('Metrics - Articles'!F644,"*Business Network (Concur, Ariba, Fieldglass)*")</f>
        <v>0</v>
      </c>
      <c r="I647">
        <f>COUNTIF('Metrics - Articles'!F644,"*GCO – Regions*")</f>
        <v>0</v>
      </c>
      <c r="J647">
        <f>COUNTIF('Metrics - Articles'!F644,"*GCO – Platform Solutions*")</f>
        <v>0</v>
      </c>
      <c r="K647">
        <f>COUNTIF('Metrics - Articles'!F644,"*GCO – Industry Cloud *")</f>
        <v>0</v>
      </c>
      <c r="L647">
        <f>COUNTIF('Metrics - Articles'!F644,"*GCO – Customer Engagement &amp; Commerce (CRM &amp; hybris) *")</f>
        <v>0</v>
      </c>
      <c r="M647">
        <f>COUNTIF('Metrics - Articles'!F644,"*GCO – HR (SuccessFactors)*")</f>
        <v>0</v>
      </c>
      <c r="N647">
        <f>COUNTIF('Metrics - Articles'!F644,"*GCO – Services Sales*")</f>
        <v>0</v>
      </c>
      <c r="O647">
        <f>COUNTIF('Metrics - Articles'!F644,"*GCO – Other*")</f>
        <v>0</v>
      </c>
      <c r="P647">
        <f>COUNTIF('Metrics - Articles'!F644,"*Corporate*")</f>
        <v>0</v>
      </c>
      <c r="R647" s="53">
        <f t="shared" si="11"/>
        <v>0</v>
      </c>
    </row>
    <row r="648" spans="2:18" hidden="1" x14ac:dyDescent="0.25">
      <c r="B648" s="48">
        <f>+'Metrics - Articles'!C645</f>
        <v>0</v>
      </c>
      <c r="C648">
        <f>COUNTIF('Metrics - Articles'!F645,"*GPO (Partner, Ecosystem, Channels)*")</f>
        <v>0</v>
      </c>
      <c r="D648">
        <f>COUNTIF('Metrics - Articles'!F645,"*Office of the CEO*")</f>
        <v>0</v>
      </c>
      <c r="E648">
        <f>COUNTIF('Metrics - Articles'!F645,"*Services Delivery &amp; Support (go-lives and deployments) *")</f>
        <v>0</v>
      </c>
      <c r="F648">
        <f>COUNTIF('Metrics - Articles'!F645,"*Human Resources (SAP HR and employee stories)*")</f>
        <v>0</v>
      </c>
      <c r="G648">
        <f>COUNTIF('Metrics - Articles'!F645,"*P&amp;I (Research &amp; Development)*")</f>
        <v>0</v>
      </c>
      <c r="H648">
        <f>COUNTIF('Metrics - Articles'!F645,"*Business Network (Concur, Ariba, Fieldglass)*")</f>
        <v>0</v>
      </c>
      <c r="I648">
        <f>COUNTIF('Metrics - Articles'!F645,"*GCO – Regions*")</f>
        <v>0</v>
      </c>
      <c r="J648">
        <f>COUNTIF('Metrics - Articles'!F645,"*GCO – Platform Solutions*")</f>
        <v>0</v>
      </c>
      <c r="K648">
        <f>COUNTIF('Metrics - Articles'!F645,"*GCO – Industry Cloud *")</f>
        <v>0</v>
      </c>
      <c r="L648">
        <f>COUNTIF('Metrics - Articles'!F645,"*GCO – Customer Engagement &amp; Commerce (CRM &amp; hybris) *")</f>
        <v>0</v>
      </c>
      <c r="M648">
        <f>COUNTIF('Metrics - Articles'!F645,"*GCO – HR (SuccessFactors)*")</f>
        <v>0</v>
      </c>
      <c r="N648">
        <f>COUNTIF('Metrics - Articles'!F645,"*GCO – Services Sales*")</f>
        <v>0</v>
      </c>
      <c r="O648">
        <f>COUNTIF('Metrics - Articles'!F645,"*GCO – Other*")</f>
        <v>0</v>
      </c>
      <c r="P648">
        <f>COUNTIF('Metrics - Articles'!F645,"*Corporate*")</f>
        <v>0</v>
      </c>
      <c r="R648" s="53">
        <f t="shared" si="11"/>
        <v>0</v>
      </c>
    </row>
    <row r="649" spans="2:18" hidden="1" x14ac:dyDescent="0.25">
      <c r="B649" s="48">
        <f>+'Metrics - Articles'!C646</f>
        <v>0</v>
      </c>
      <c r="C649">
        <f>COUNTIF('Metrics - Articles'!F646,"*GPO (Partner, Ecosystem, Channels)*")</f>
        <v>0</v>
      </c>
      <c r="D649">
        <f>COUNTIF('Metrics - Articles'!F646,"*Office of the CEO*")</f>
        <v>0</v>
      </c>
      <c r="E649">
        <f>COUNTIF('Metrics - Articles'!F646,"*Services Delivery &amp; Support (go-lives and deployments) *")</f>
        <v>0</v>
      </c>
      <c r="F649">
        <f>COUNTIF('Metrics - Articles'!F646,"*Human Resources (SAP HR and employee stories)*")</f>
        <v>0</v>
      </c>
      <c r="G649">
        <f>COUNTIF('Metrics - Articles'!F646,"*P&amp;I (Research &amp; Development)*")</f>
        <v>0</v>
      </c>
      <c r="H649">
        <f>COUNTIF('Metrics - Articles'!F646,"*Business Network (Concur, Ariba, Fieldglass)*")</f>
        <v>0</v>
      </c>
      <c r="I649">
        <f>COUNTIF('Metrics - Articles'!F646,"*GCO – Regions*")</f>
        <v>0</v>
      </c>
      <c r="J649">
        <f>COUNTIF('Metrics - Articles'!F646,"*GCO – Platform Solutions*")</f>
        <v>0</v>
      </c>
      <c r="K649">
        <f>COUNTIF('Metrics - Articles'!F646,"*GCO – Industry Cloud *")</f>
        <v>0</v>
      </c>
      <c r="L649">
        <f>COUNTIF('Metrics - Articles'!F646,"*GCO – Customer Engagement &amp; Commerce (CRM &amp; hybris) *")</f>
        <v>0</v>
      </c>
      <c r="M649">
        <f>COUNTIF('Metrics - Articles'!F646,"*GCO – HR (SuccessFactors)*")</f>
        <v>0</v>
      </c>
      <c r="N649">
        <f>COUNTIF('Metrics - Articles'!F646,"*GCO – Services Sales*")</f>
        <v>0</v>
      </c>
      <c r="O649">
        <f>COUNTIF('Metrics - Articles'!F646,"*GCO – Other*")</f>
        <v>0</v>
      </c>
      <c r="P649">
        <f>COUNTIF('Metrics - Articles'!F646,"*Corporate*")</f>
        <v>0</v>
      </c>
      <c r="R649" s="53">
        <f t="shared" si="11"/>
        <v>0</v>
      </c>
    </row>
    <row r="650" spans="2:18" hidden="1" x14ac:dyDescent="0.25">
      <c r="B650" s="48">
        <f>+'Metrics - Articles'!C647</f>
        <v>0</v>
      </c>
      <c r="C650">
        <f>COUNTIF('Metrics - Articles'!F647,"*GPO (Partner, Ecosystem, Channels)*")</f>
        <v>0</v>
      </c>
      <c r="D650">
        <f>COUNTIF('Metrics - Articles'!F647,"*Office of the CEO*")</f>
        <v>0</v>
      </c>
      <c r="E650">
        <f>COUNTIF('Metrics - Articles'!F647,"*Services Delivery &amp; Support (go-lives and deployments) *")</f>
        <v>0</v>
      </c>
      <c r="F650">
        <f>COUNTIF('Metrics - Articles'!F647,"*Human Resources (SAP HR and employee stories)*")</f>
        <v>0</v>
      </c>
      <c r="G650">
        <f>COUNTIF('Metrics - Articles'!F647,"*P&amp;I (Research &amp; Development)*")</f>
        <v>0</v>
      </c>
      <c r="H650">
        <f>COUNTIF('Metrics - Articles'!F647,"*Business Network (Concur, Ariba, Fieldglass)*")</f>
        <v>0</v>
      </c>
      <c r="I650">
        <f>COUNTIF('Metrics - Articles'!F647,"*GCO – Regions*")</f>
        <v>0</v>
      </c>
      <c r="J650">
        <f>COUNTIF('Metrics - Articles'!F647,"*GCO – Platform Solutions*")</f>
        <v>0</v>
      </c>
      <c r="K650">
        <f>COUNTIF('Metrics - Articles'!F647,"*GCO – Industry Cloud *")</f>
        <v>0</v>
      </c>
      <c r="L650">
        <f>COUNTIF('Metrics - Articles'!F647,"*GCO – Customer Engagement &amp; Commerce (CRM &amp; hybris) *")</f>
        <v>0</v>
      </c>
      <c r="M650">
        <f>COUNTIF('Metrics - Articles'!F647,"*GCO – HR (SuccessFactors)*")</f>
        <v>0</v>
      </c>
      <c r="N650">
        <f>COUNTIF('Metrics - Articles'!F647,"*GCO – Services Sales*")</f>
        <v>0</v>
      </c>
      <c r="O650">
        <f>COUNTIF('Metrics - Articles'!F647,"*GCO – Other*")</f>
        <v>0</v>
      </c>
      <c r="P650">
        <f>COUNTIF('Metrics - Articles'!F647,"*Corporate*")</f>
        <v>0</v>
      </c>
      <c r="R650" s="53">
        <f t="shared" ref="R650:R713" si="12">SUM(C650:Q650)</f>
        <v>0</v>
      </c>
    </row>
    <row r="651" spans="2:18" hidden="1" x14ac:dyDescent="0.25">
      <c r="B651" s="48">
        <f>+'Metrics - Articles'!C648</f>
        <v>0</v>
      </c>
      <c r="C651">
        <f>COUNTIF('Metrics - Articles'!F648,"*GPO (Partner, Ecosystem, Channels)*")</f>
        <v>0</v>
      </c>
      <c r="D651">
        <f>COUNTIF('Metrics - Articles'!F648,"*Office of the CEO*")</f>
        <v>0</v>
      </c>
      <c r="E651">
        <f>COUNTIF('Metrics - Articles'!F648,"*Services Delivery &amp; Support (go-lives and deployments) *")</f>
        <v>0</v>
      </c>
      <c r="F651">
        <f>COUNTIF('Metrics - Articles'!F648,"*Human Resources (SAP HR and employee stories)*")</f>
        <v>0</v>
      </c>
      <c r="G651">
        <f>COUNTIF('Metrics - Articles'!F648,"*P&amp;I (Research &amp; Development)*")</f>
        <v>0</v>
      </c>
      <c r="H651">
        <f>COUNTIF('Metrics - Articles'!F648,"*Business Network (Concur, Ariba, Fieldglass)*")</f>
        <v>0</v>
      </c>
      <c r="I651">
        <f>COUNTIF('Metrics - Articles'!F648,"*GCO – Regions*")</f>
        <v>0</v>
      </c>
      <c r="J651">
        <f>COUNTIF('Metrics - Articles'!F648,"*GCO – Platform Solutions*")</f>
        <v>0</v>
      </c>
      <c r="K651">
        <f>COUNTIF('Metrics - Articles'!F648,"*GCO – Industry Cloud *")</f>
        <v>0</v>
      </c>
      <c r="L651">
        <f>COUNTIF('Metrics - Articles'!F648,"*GCO – Customer Engagement &amp; Commerce (CRM &amp; hybris) *")</f>
        <v>0</v>
      </c>
      <c r="M651">
        <f>COUNTIF('Metrics - Articles'!F648,"*GCO – HR (SuccessFactors)*")</f>
        <v>0</v>
      </c>
      <c r="N651">
        <f>COUNTIF('Metrics - Articles'!F648,"*GCO – Services Sales*")</f>
        <v>0</v>
      </c>
      <c r="O651">
        <f>COUNTIF('Metrics - Articles'!F648,"*GCO – Other*")</f>
        <v>0</v>
      </c>
      <c r="P651">
        <f>COUNTIF('Metrics - Articles'!F648,"*Corporate*")</f>
        <v>0</v>
      </c>
      <c r="R651" s="53">
        <f t="shared" si="12"/>
        <v>0</v>
      </c>
    </row>
    <row r="652" spans="2:18" hidden="1" x14ac:dyDescent="0.25">
      <c r="B652" s="48">
        <f>+'Metrics - Articles'!C649</f>
        <v>0</v>
      </c>
      <c r="C652">
        <f>COUNTIF('Metrics - Articles'!F649,"*GPO (Partner, Ecosystem, Channels)*")</f>
        <v>0</v>
      </c>
      <c r="D652">
        <f>COUNTIF('Metrics - Articles'!F649,"*Office of the CEO*")</f>
        <v>0</v>
      </c>
      <c r="E652">
        <f>COUNTIF('Metrics - Articles'!F649,"*Services Delivery &amp; Support (go-lives and deployments) *")</f>
        <v>0</v>
      </c>
      <c r="F652">
        <f>COUNTIF('Metrics - Articles'!F649,"*Human Resources (SAP HR and employee stories)*")</f>
        <v>0</v>
      </c>
      <c r="G652">
        <f>COUNTIF('Metrics - Articles'!F649,"*P&amp;I (Research &amp; Development)*")</f>
        <v>0</v>
      </c>
      <c r="H652">
        <f>COUNTIF('Metrics - Articles'!F649,"*Business Network (Concur, Ariba, Fieldglass)*")</f>
        <v>0</v>
      </c>
      <c r="I652">
        <f>COUNTIF('Metrics - Articles'!F649,"*GCO – Regions*")</f>
        <v>0</v>
      </c>
      <c r="J652">
        <f>COUNTIF('Metrics - Articles'!F649,"*GCO – Platform Solutions*")</f>
        <v>0</v>
      </c>
      <c r="K652">
        <f>COUNTIF('Metrics - Articles'!F649,"*GCO – Industry Cloud *")</f>
        <v>0</v>
      </c>
      <c r="L652">
        <f>COUNTIF('Metrics - Articles'!F649,"*GCO – Customer Engagement &amp; Commerce (CRM &amp; hybris) *")</f>
        <v>0</v>
      </c>
      <c r="M652">
        <f>COUNTIF('Metrics - Articles'!F649,"*GCO – HR (SuccessFactors)*")</f>
        <v>0</v>
      </c>
      <c r="N652">
        <f>COUNTIF('Metrics - Articles'!F649,"*GCO – Services Sales*")</f>
        <v>0</v>
      </c>
      <c r="O652">
        <f>COUNTIF('Metrics - Articles'!F649,"*GCO – Other*")</f>
        <v>0</v>
      </c>
      <c r="P652">
        <f>COUNTIF('Metrics - Articles'!F649,"*Corporate*")</f>
        <v>0</v>
      </c>
      <c r="R652" s="53">
        <f t="shared" si="12"/>
        <v>0</v>
      </c>
    </row>
    <row r="653" spans="2:18" hidden="1" x14ac:dyDescent="0.25">
      <c r="B653" s="48">
        <f>+'Metrics - Articles'!C650</f>
        <v>0</v>
      </c>
      <c r="C653">
        <f>COUNTIF('Metrics - Articles'!F650,"*GPO (Partner, Ecosystem, Channels)*")</f>
        <v>0</v>
      </c>
      <c r="D653">
        <f>COUNTIF('Metrics - Articles'!F650,"*Office of the CEO*")</f>
        <v>0</v>
      </c>
      <c r="E653">
        <f>COUNTIF('Metrics - Articles'!F650,"*Services Delivery &amp; Support (go-lives and deployments) *")</f>
        <v>0</v>
      </c>
      <c r="F653">
        <f>COUNTIF('Metrics - Articles'!F650,"*Human Resources (SAP HR and employee stories)*")</f>
        <v>0</v>
      </c>
      <c r="G653">
        <f>COUNTIF('Metrics - Articles'!F650,"*P&amp;I (Research &amp; Development)*")</f>
        <v>0</v>
      </c>
      <c r="H653">
        <f>COUNTIF('Metrics - Articles'!F650,"*Business Network (Concur, Ariba, Fieldglass)*")</f>
        <v>0</v>
      </c>
      <c r="I653">
        <f>COUNTIF('Metrics - Articles'!F650,"*GCO – Regions*")</f>
        <v>0</v>
      </c>
      <c r="J653">
        <f>COUNTIF('Metrics - Articles'!F650,"*GCO – Platform Solutions*")</f>
        <v>0</v>
      </c>
      <c r="K653">
        <f>COUNTIF('Metrics - Articles'!F650,"*GCO – Industry Cloud *")</f>
        <v>0</v>
      </c>
      <c r="L653">
        <f>COUNTIF('Metrics - Articles'!F650,"*GCO – Customer Engagement &amp; Commerce (CRM &amp; hybris) *")</f>
        <v>0</v>
      </c>
      <c r="M653">
        <f>COUNTIF('Metrics - Articles'!F650,"*GCO – HR (SuccessFactors)*")</f>
        <v>0</v>
      </c>
      <c r="N653">
        <f>COUNTIF('Metrics - Articles'!F650,"*GCO – Services Sales*")</f>
        <v>0</v>
      </c>
      <c r="O653">
        <f>COUNTIF('Metrics - Articles'!F650,"*GCO – Other*")</f>
        <v>0</v>
      </c>
      <c r="P653">
        <f>COUNTIF('Metrics - Articles'!F650,"*Corporate*")</f>
        <v>0</v>
      </c>
      <c r="R653" s="53">
        <f t="shared" si="12"/>
        <v>0</v>
      </c>
    </row>
    <row r="654" spans="2:18" hidden="1" x14ac:dyDescent="0.25">
      <c r="B654" s="48">
        <f>+'Metrics - Articles'!C651</f>
        <v>0</v>
      </c>
      <c r="C654">
        <f>COUNTIF('Metrics - Articles'!F651,"*GPO (Partner, Ecosystem, Channels)*")</f>
        <v>0</v>
      </c>
      <c r="D654">
        <f>COUNTIF('Metrics - Articles'!F651,"*Office of the CEO*")</f>
        <v>0</v>
      </c>
      <c r="E654">
        <f>COUNTIF('Metrics - Articles'!F651,"*Services Delivery &amp; Support (go-lives and deployments) *")</f>
        <v>0</v>
      </c>
      <c r="F654">
        <f>COUNTIF('Metrics - Articles'!F651,"*Human Resources (SAP HR and employee stories)*")</f>
        <v>0</v>
      </c>
      <c r="G654">
        <f>COUNTIF('Metrics - Articles'!F651,"*P&amp;I (Research &amp; Development)*")</f>
        <v>0</v>
      </c>
      <c r="H654">
        <f>COUNTIF('Metrics - Articles'!F651,"*Business Network (Concur, Ariba, Fieldglass)*")</f>
        <v>0</v>
      </c>
      <c r="I654">
        <f>COUNTIF('Metrics - Articles'!F651,"*GCO – Regions*")</f>
        <v>0</v>
      </c>
      <c r="J654">
        <f>COUNTIF('Metrics - Articles'!F651,"*GCO – Platform Solutions*")</f>
        <v>0</v>
      </c>
      <c r="K654">
        <f>COUNTIF('Metrics - Articles'!F651,"*GCO – Industry Cloud *")</f>
        <v>0</v>
      </c>
      <c r="L654">
        <f>COUNTIF('Metrics - Articles'!F651,"*GCO – Customer Engagement &amp; Commerce (CRM &amp; hybris) *")</f>
        <v>0</v>
      </c>
      <c r="M654">
        <f>COUNTIF('Metrics - Articles'!F651,"*GCO – HR (SuccessFactors)*")</f>
        <v>0</v>
      </c>
      <c r="N654">
        <f>COUNTIF('Metrics - Articles'!F651,"*GCO – Services Sales*")</f>
        <v>0</v>
      </c>
      <c r="O654">
        <f>COUNTIF('Metrics - Articles'!F651,"*GCO – Other*")</f>
        <v>0</v>
      </c>
      <c r="P654">
        <f>COUNTIF('Metrics - Articles'!F651,"*Corporate*")</f>
        <v>0</v>
      </c>
      <c r="R654" s="53">
        <f t="shared" si="12"/>
        <v>0</v>
      </c>
    </row>
    <row r="655" spans="2:18" hidden="1" x14ac:dyDescent="0.25">
      <c r="B655" s="48">
        <f>+'Metrics - Articles'!C652</f>
        <v>0</v>
      </c>
      <c r="C655">
        <f>COUNTIF('Metrics - Articles'!F652,"*GPO (Partner, Ecosystem, Channels)*")</f>
        <v>0</v>
      </c>
      <c r="D655">
        <f>COUNTIF('Metrics - Articles'!F652,"*Office of the CEO*")</f>
        <v>0</v>
      </c>
      <c r="E655">
        <f>COUNTIF('Metrics - Articles'!F652,"*Services Delivery &amp; Support (go-lives and deployments) *")</f>
        <v>0</v>
      </c>
      <c r="F655">
        <f>COUNTIF('Metrics - Articles'!F652,"*Human Resources (SAP HR and employee stories)*")</f>
        <v>0</v>
      </c>
      <c r="G655">
        <f>COUNTIF('Metrics - Articles'!F652,"*P&amp;I (Research &amp; Development)*")</f>
        <v>0</v>
      </c>
      <c r="H655">
        <f>COUNTIF('Metrics - Articles'!F652,"*Business Network (Concur, Ariba, Fieldglass)*")</f>
        <v>0</v>
      </c>
      <c r="I655">
        <f>COUNTIF('Metrics - Articles'!F652,"*GCO – Regions*")</f>
        <v>0</v>
      </c>
      <c r="J655">
        <f>COUNTIF('Metrics - Articles'!F652,"*GCO – Platform Solutions*")</f>
        <v>0</v>
      </c>
      <c r="K655">
        <f>COUNTIF('Metrics - Articles'!F652,"*GCO – Industry Cloud *")</f>
        <v>0</v>
      </c>
      <c r="L655">
        <f>COUNTIF('Metrics - Articles'!F652,"*GCO – Customer Engagement &amp; Commerce (CRM &amp; hybris) *")</f>
        <v>0</v>
      </c>
      <c r="M655">
        <f>COUNTIF('Metrics - Articles'!F652,"*GCO – HR (SuccessFactors)*")</f>
        <v>0</v>
      </c>
      <c r="N655">
        <f>COUNTIF('Metrics - Articles'!F652,"*GCO – Services Sales*")</f>
        <v>0</v>
      </c>
      <c r="O655">
        <f>COUNTIF('Metrics - Articles'!F652,"*GCO – Other*")</f>
        <v>0</v>
      </c>
      <c r="P655">
        <f>COUNTIF('Metrics - Articles'!F652,"*Corporate*")</f>
        <v>0</v>
      </c>
      <c r="R655" s="53">
        <f t="shared" si="12"/>
        <v>0</v>
      </c>
    </row>
    <row r="656" spans="2:18" hidden="1" x14ac:dyDescent="0.25">
      <c r="B656" s="48">
        <f>+'Metrics - Articles'!C653</f>
        <v>0</v>
      </c>
      <c r="C656">
        <f>COUNTIF('Metrics - Articles'!F653,"*GPO (Partner, Ecosystem, Channels)*")</f>
        <v>0</v>
      </c>
      <c r="D656">
        <f>COUNTIF('Metrics - Articles'!F653,"*Office of the CEO*")</f>
        <v>0</v>
      </c>
      <c r="E656">
        <f>COUNTIF('Metrics - Articles'!F653,"*Services Delivery &amp; Support (go-lives and deployments) *")</f>
        <v>0</v>
      </c>
      <c r="F656">
        <f>COUNTIF('Metrics - Articles'!F653,"*Human Resources (SAP HR and employee stories)*")</f>
        <v>0</v>
      </c>
      <c r="G656">
        <f>COUNTIF('Metrics - Articles'!F653,"*P&amp;I (Research &amp; Development)*")</f>
        <v>0</v>
      </c>
      <c r="H656">
        <f>COUNTIF('Metrics - Articles'!F653,"*Business Network (Concur, Ariba, Fieldglass)*")</f>
        <v>0</v>
      </c>
      <c r="I656">
        <f>COUNTIF('Metrics - Articles'!F653,"*GCO – Regions*")</f>
        <v>0</v>
      </c>
      <c r="J656">
        <f>COUNTIF('Metrics - Articles'!F653,"*GCO – Platform Solutions*")</f>
        <v>0</v>
      </c>
      <c r="K656">
        <f>COUNTIF('Metrics - Articles'!F653,"*GCO – Industry Cloud *")</f>
        <v>0</v>
      </c>
      <c r="L656">
        <f>COUNTIF('Metrics - Articles'!F653,"*GCO – Customer Engagement &amp; Commerce (CRM &amp; hybris) *")</f>
        <v>0</v>
      </c>
      <c r="M656">
        <f>COUNTIF('Metrics - Articles'!F653,"*GCO – HR (SuccessFactors)*")</f>
        <v>0</v>
      </c>
      <c r="N656">
        <f>COUNTIF('Metrics - Articles'!F653,"*GCO – Services Sales*")</f>
        <v>0</v>
      </c>
      <c r="O656">
        <f>COUNTIF('Metrics - Articles'!F653,"*GCO – Other*")</f>
        <v>0</v>
      </c>
      <c r="P656">
        <f>COUNTIF('Metrics - Articles'!F653,"*Corporate*")</f>
        <v>0</v>
      </c>
      <c r="R656" s="53">
        <f t="shared" si="12"/>
        <v>0</v>
      </c>
    </row>
    <row r="657" spans="2:18" hidden="1" x14ac:dyDescent="0.25">
      <c r="B657" s="48">
        <f>+'Metrics - Articles'!C654</f>
        <v>0</v>
      </c>
      <c r="C657">
        <f>COUNTIF('Metrics - Articles'!F654,"*GPO (Partner, Ecosystem, Channels)*")</f>
        <v>0</v>
      </c>
      <c r="D657">
        <f>COUNTIF('Metrics - Articles'!F654,"*Office of the CEO*")</f>
        <v>0</v>
      </c>
      <c r="E657">
        <f>COUNTIF('Metrics - Articles'!F654,"*Services Delivery &amp; Support (go-lives and deployments) *")</f>
        <v>0</v>
      </c>
      <c r="F657">
        <f>COUNTIF('Metrics - Articles'!F654,"*Human Resources (SAP HR and employee stories)*")</f>
        <v>0</v>
      </c>
      <c r="G657">
        <f>COUNTIF('Metrics - Articles'!F654,"*P&amp;I (Research &amp; Development)*")</f>
        <v>0</v>
      </c>
      <c r="H657">
        <f>COUNTIF('Metrics - Articles'!F654,"*Business Network (Concur, Ariba, Fieldglass)*")</f>
        <v>0</v>
      </c>
      <c r="I657">
        <f>COUNTIF('Metrics - Articles'!F654,"*GCO – Regions*")</f>
        <v>0</v>
      </c>
      <c r="J657">
        <f>COUNTIF('Metrics - Articles'!F654,"*GCO – Platform Solutions*")</f>
        <v>0</v>
      </c>
      <c r="K657">
        <f>COUNTIF('Metrics - Articles'!F654,"*GCO – Industry Cloud *")</f>
        <v>0</v>
      </c>
      <c r="L657">
        <f>COUNTIF('Metrics - Articles'!F654,"*GCO – Customer Engagement &amp; Commerce (CRM &amp; hybris) *")</f>
        <v>0</v>
      </c>
      <c r="M657">
        <f>COUNTIF('Metrics - Articles'!F654,"*GCO – HR (SuccessFactors)*")</f>
        <v>0</v>
      </c>
      <c r="N657">
        <f>COUNTIF('Metrics - Articles'!F654,"*GCO – Services Sales*")</f>
        <v>0</v>
      </c>
      <c r="O657">
        <f>COUNTIF('Metrics - Articles'!F654,"*GCO – Other*")</f>
        <v>0</v>
      </c>
      <c r="P657">
        <f>COUNTIF('Metrics - Articles'!F654,"*Corporate*")</f>
        <v>0</v>
      </c>
      <c r="R657" s="53">
        <f t="shared" si="12"/>
        <v>0</v>
      </c>
    </row>
    <row r="658" spans="2:18" hidden="1" x14ac:dyDescent="0.25">
      <c r="B658" s="48">
        <f>+'Metrics - Articles'!C655</f>
        <v>0</v>
      </c>
      <c r="C658">
        <f>COUNTIF('Metrics - Articles'!F655,"*GPO (Partner, Ecosystem, Channels)*")</f>
        <v>0</v>
      </c>
      <c r="D658">
        <f>COUNTIF('Metrics - Articles'!F655,"*Office of the CEO*")</f>
        <v>0</v>
      </c>
      <c r="E658">
        <f>COUNTIF('Metrics - Articles'!F655,"*Services Delivery &amp; Support (go-lives and deployments) *")</f>
        <v>0</v>
      </c>
      <c r="F658">
        <f>COUNTIF('Metrics - Articles'!F655,"*Human Resources (SAP HR and employee stories)*")</f>
        <v>0</v>
      </c>
      <c r="G658">
        <f>COUNTIF('Metrics - Articles'!F655,"*P&amp;I (Research &amp; Development)*")</f>
        <v>0</v>
      </c>
      <c r="H658">
        <f>COUNTIF('Metrics - Articles'!F655,"*Business Network (Concur, Ariba, Fieldglass)*")</f>
        <v>0</v>
      </c>
      <c r="I658">
        <f>COUNTIF('Metrics - Articles'!F655,"*GCO – Regions*")</f>
        <v>0</v>
      </c>
      <c r="J658">
        <f>COUNTIF('Metrics - Articles'!F655,"*GCO – Platform Solutions*")</f>
        <v>0</v>
      </c>
      <c r="K658">
        <f>COUNTIF('Metrics - Articles'!F655,"*GCO – Industry Cloud *")</f>
        <v>0</v>
      </c>
      <c r="L658">
        <f>COUNTIF('Metrics - Articles'!F655,"*GCO – Customer Engagement &amp; Commerce (CRM &amp; hybris) *")</f>
        <v>0</v>
      </c>
      <c r="M658">
        <f>COUNTIF('Metrics - Articles'!F655,"*GCO – HR (SuccessFactors)*")</f>
        <v>0</v>
      </c>
      <c r="N658">
        <f>COUNTIF('Metrics - Articles'!F655,"*GCO – Services Sales*")</f>
        <v>0</v>
      </c>
      <c r="O658">
        <f>COUNTIF('Metrics - Articles'!F655,"*GCO – Other*")</f>
        <v>0</v>
      </c>
      <c r="P658">
        <f>COUNTIF('Metrics - Articles'!F655,"*Corporate*")</f>
        <v>0</v>
      </c>
      <c r="R658" s="53">
        <f t="shared" si="12"/>
        <v>0</v>
      </c>
    </row>
    <row r="659" spans="2:18" hidden="1" x14ac:dyDescent="0.25">
      <c r="B659" s="48">
        <f>+'Metrics - Articles'!C656</f>
        <v>0</v>
      </c>
      <c r="C659">
        <f>COUNTIF('Metrics - Articles'!F656,"*GPO (Partner, Ecosystem, Channels)*")</f>
        <v>0</v>
      </c>
      <c r="D659">
        <f>COUNTIF('Metrics - Articles'!F656,"*Office of the CEO*")</f>
        <v>0</v>
      </c>
      <c r="E659">
        <f>COUNTIF('Metrics - Articles'!F656,"*Services Delivery &amp; Support (go-lives and deployments) *")</f>
        <v>0</v>
      </c>
      <c r="F659">
        <f>COUNTIF('Metrics - Articles'!F656,"*Human Resources (SAP HR and employee stories)*")</f>
        <v>0</v>
      </c>
      <c r="G659">
        <f>COUNTIF('Metrics - Articles'!F656,"*P&amp;I (Research &amp; Development)*")</f>
        <v>0</v>
      </c>
      <c r="H659">
        <f>COUNTIF('Metrics - Articles'!F656,"*Business Network (Concur, Ariba, Fieldglass)*")</f>
        <v>0</v>
      </c>
      <c r="I659">
        <f>COUNTIF('Metrics - Articles'!F656,"*GCO – Regions*")</f>
        <v>0</v>
      </c>
      <c r="J659">
        <f>COUNTIF('Metrics - Articles'!F656,"*GCO – Platform Solutions*")</f>
        <v>0</v>
      </c>
      <c r="K659">
        <f>COUNTIF('Metrics - Articles'!F656,"*GCO – Industry Cloud *")</f>
        <v>0</v>
      </c>
      <c r="L659">
        <f>COUNTIF('Metrics - Articles'!F656,"*GCO – Customer Engagement &amp; Commerce (CRM &amp; hybris) *")</f>
        <v>0</v>
      </c>
      <c r="M659">
        <f>COUNTIF('Metrics - Articles'!F656,"*GCO – HR (SuccessFactors)*")</f>
        <v>0</v>
      </c>
      <c r="N659">
        <f>COUNTIF('Metrics - Articles'!F656,"*GCO – Services Sales*")</f>
        <v>0</v>
      </c>
      <c r="O659">
        <f>COUNTIF('Metrics - Articles'!F656,"*GCO – Other*")</f>
        <v>0</v>
      </c>
      <c r="P659">
        <f>COUNTIF('Metrics - Articles'!F656,"*Corporate*")</f>
        <v>0</v>
      </c>
      <c r="R659" s="53">
        <f t="shared" si="12"/>
        <v>0</v>
      </c>
    </row>
    <row r="660" spans="2:18" hidden="1" x14ac:dyDescent="0.25">
      <c r="B660" s="48">
        <f>+'Metrics - Articles'!C657</f>
        <v>0</v>
      </c>
      <c r="C660">
        <f>COUNTIF('Metrics - Articles'!F657,"*GPO (Partner, Ecosystem, Channels)*")</f>
        <v>0</v>
      </c>
      <c r="D660">
        <f>COUNTIF('Metrics - Articles'!F657,"*Office of the CEO*")</f>
        <v>0</v>
      </c>
      <c r="E660">
        <f>COUNTIF('Metrics - Articles'!F657,"*Services Delivery &amp; Support (go-lives and deployments) *")</f>
        <v>0</v>
      </c>
      <c r="F660">
        <f>COUNTIF('Metrics - Articles'!F657,"*Human Resources (SAP HR and employee stories)*")</f>
        <v>0</v>
      </c>
      <c r="G660">
        <f>COUNTIF('Metrics - Articles'!F657,"*P&amp;I (Research &amp; Development)*")</f>
        <v>0</v>
      </c>
      <c r="H660">
        <f>COUNTIF('Metrics - Articles'!F657,"*Business Network (Concur, Ariba, Fieldglass)*")</f>
        <v>0</v>
      </c>
      <c r="I660">
        <f>COUNTIF('Metrics - Articles'!F657,"*GCO – Regions*")</f>
        <v>0</v>
      </c>
      <c r="J660">
        <f>COUNTIF('Metrics - Articles'!F657,"*GCO – Platform Solutions*")</f>
        <v>0</v>
      </c>
      <c r="K660">
        <f>COUNTIF('Metrics - Articles'!F657,"*GCO – Industry Cloud *")</f>
        <v>0</v>
      </c>
      <c r="L660">
        <f>COUNTIF('Metrics - Articles'!F657,"*GCO – Customer Engagement &amp; Commerce (CRM &amp; hybris) *")</f>
        <v>0</v>
      </c>
      <c r="M660">
        <f>COUNTIF('Metrics - Articles'!F657,"*GCO – HR (SuccessFactors)*")</f>
        <v>0</v>
      </c>
      <c r="N660">
        <f>COUNTIF('Metrics - Articles'!F657,"*GCO – Services Sales*")</f>
        <v>0</v>
      </c>
      <c r="O660">
        <f>COUNTIF('Metrics - Articles'!F657,"*GCO – Other*")</f>
        <v>0</v>
      </c>
      <c r="P660">
        <f>COUNTIF('Metrics - Articles'!F657,"*Corporate*")</f>
        <v>0</v>
      </c>
      <c r="R660" s="53">
        <f t="shared" si="12"/>
        <v>0</v>
      </c>
    </row>
    <row r="661" spans="2:18" hidden="1" x14ac:dyDescent="0.25">
      <c r="B661" s="48">
        <f>+'Metrics - Articles'!C658</f>
        <v>0</v>
      </c>
      <c r="C661">
        <f>COUNTIF('Metrics - Articles'!F658,"*GPO (Partner, Ecosystem, Channels)*")</f>
        <v>0</v>
      </c>
      <c r="D661">
        <f>COUNTIF('Metrics - Articles'!F658,"*Office of the CEO*")</f>
        <v>0</v>
      </c>
      <c r="E661">
        <f>COUNTIF('Metrics - Articles'!F658,"*Services Delivery &amp; Support (go-lives and deployments) *")</f>
        <v>0</v>
      </c>
      <c r="F661">
        <f>COUNTIF('Metrics - Articles'!F658,"*Human Resources (SAP HR and employee stories)*")</f>
        <v>0</v>
      </c>
      <c r="G661">
        <f>COUNTIF('Metrics - Articles'!F658,"*P&amp;I (Research &amp; Development)*")</f>
        <v>0</v>
      </c>
      <c r="H661">
        <f>COUNTIF('Metrics - Articles'!F658,"*Business Network (Concur, Ariba, Fieldglass)*")</f>
        <v>0</v>
      </c>
      <c r="I661">
        <f>COUNTIF('Metrics - Articles'!F658,"*GCO – Regions*")</f>
        <v>0</v>
      </c>
      <c r="J661">
        <f>COUNTIF('Metrics - Articles'!F658,"*GCO – Platform Solutions*")</f>
        <v>0</v>
      </c>
      <c r="K661">
        <f>COUNTIF('Metrics - Articles'!F658,"*GCO – Industry Cloud *")</f>
        <v>0</v>
      </c>
      <c r="L661">
        <f>COUNTIF('Metrics - Articles'!F658,"*GCO – Customer Engagement &amp; Commerce (CRM &amp; hybris) *")</f>
        <v>0</v>
      </c>
      <c r="M661">
        <f>COUNTIF('Metrics - Articles'!F658,"*GCO – HR (SuccessFactors)*")</f>
        <v>0</v>
      </c>
      <c r="N661">
        <f>COUNTIF('Metrics - Articles'!F658,"*GCO – Services Sales*")</f>
        <v>0</v>
      </c>
      <c r="O661">
        <f>COUNTIF('Metrics - Articles'!F658,"*GCO – Other*")</f>
        <v>0</v>
      </c>
      <c r="P661">
        <f>COUNTIF('Metrics - Articles'!F658,"*Corporate*")</f>
        <v>0</v>
      </c>
      <c r="R661" s="53">
        <f t="shared" si="12"/>
        <v>0</v>
      </c>
    </row>
    <row r="662" spans="2:18" hidden="1" x14ac:dyDescent="0.25">
      <c r="B662" s="48">
        <f>+'Metrics - Articles'!C659</f>
        <v>0</v>
      </c>
      <c r="C662">
        <f>COUNTIF('Metrics - Articles'!F659,"*GPO (Partner, Ecosystem, Channels)*")</f>
        <v>0</v>
      </c>
      <c r="D662">
        <f>COUNTIF('Metrics - Articles'!F659,"*Office of the CEO*")</f>
        <v>0</v>
      </c>
      <c r="E662">
        <f>COUNTIF('Metrics - Articles'!F659,"*Services Delivery &amp; Support (go-lives and deployments) *")</f>
        <v>0</v>
      </c>
      <c r="F662">
        <f>COUNTIF('Metrics - Articles'!F659,"*Human Resources (SAP HR and employee stories)*")</f>
        <v>0</v>
      </c>
      <c r="G662">
        <f>COUNTIF('Metrics - Articles'!F659,"*P&amp;I (Research &amp; Development)*")</f>
        <v>0</v>
      </c>
      <c r="H662">
        <f>COUNTIF('Metrics - Articles'!F659,"*Business Network (Concur, Ariba, Fieldglass)*")</f>
        <v>0</v>
      </c>
      <c r="I662">
        <f>COUNTIF('Metrics - Articles'!F659,"*GCO – Regions*")</f>
        <v>0</v>
      </c>
      <c r="J662">
        <f>COUNTIF('Metrics - Articles'!F659,"*GCO – Platform Solutions*")</f>
        <v>0</v>
      </c>
      <c r="K662">
        <f>COUNTIF('Metrics - Articles'!F659,"*GCO – Industry Cloud *")</f>
        <v>0</v>
      </c>
      <c r="L662">
        <f>COUNTIF('Metrics - Articles'!F659,"*GCO – Customer Engagement &amp; Commerce (CRM &amp; hybris) *")</f>
        <v>0</v>
      </c>
      <c r="M662">
        <f>COUNTIF('Metrics - Articles'!F659,"*GCO – HR (SuccessFactors)*")</f>
        <v>0</v>
      </c>
      <c r="N662">
        <f>COUNTIF('Metrics - Articles'!F659,"*GCO – Services Sales*")</f>
        <v>0</v>
      </c>
      <c r="O662">
        <f>COUNTIF('Metrics - Articles'!F659,"*GCO – Other*")</f>
        <v>0</v>
      </c>
      <c r="P662">
        <f>COUNTIF('Metrics - Articles'!F659,"*Corporate*")</f>
        <v>0</v>
      </c>
      <c r="R662" s="53">
        <f t="shared" si="12"/>
        <v>0</v>
      </c>
    </row>
    <row r="663" spans="2:18" hidden="1" x14ac:dyDescent="0.25">
      <c r="B663" s="48">
        <f>+'Metrics - Articles'!C660</f>
        <v>0</v>
      </c>
      <c r="C663">
        <f>COUNTIF('Metrics - Articles'!F660,"*GPO (Partner, Ecosystem, Channels)*")</f>
        <v>0</v>
      </c>
      <c r="D663">
        <f>COUNTIF('Metrics - Articles'!F660,"*Office of the CEO*")</f>
        <v>0</v>
      </c>
      <c r="E663">
        <f>COUNTIF('Metrics - Articles'!F660,"*Services Delivery &amp; Support (go-lives and deployments) *")</f>
        <v>0</v>
      </c>
      <c r="F663">
        <f>COUNTIF('Metrics - Articles'!F660,"*Human Resources (SAP HR and employee stories)*")</f>
        <v>0</v>
      </c>
      <c r="G663">
        <f>COUNTIF('Metrics - Articles'!F660,"*P&amp;I (Research &amp; Development)*")</f>
        <v>0</v>
      </c>
      <c r="H663">
        <f>COUNTIF('Metrics - Articles'!F660,"*Business Network (Concur, Ariba, Fieldglass)*")</f>
        <v>0</v>
      </c>
      <c r="I663">
        <f>COUNTIF('Metrics - Articles'!F660,"*GCO – Regions*")</f>
        <v>0</v>
      </c>
      <c r="J663">
        <f>COUNTIF('Metrics - Articles'!F660,"*GCO – Platform Solutions*")</f>
        <v>0</v>
      </c>
      <c r="K663">
        <f>COUNTIF('Metrics - Articles'!F660,"*GCO – Industry Cloud *")</f>
        <v>0</v>
      </c>
      <c r="L663">
        <f>COUNTIF('Metrics - Articles'!F660,"*GCO – Customer Engagement &amp; Commerce (CRM &amp; hybris) *")</f>
        <v>0</v>
      </c>
      <c r="M663">
        <f>COUNTIF('Metrics - Articles'!F660,"*GCO – HR (SuccessFactors)*")</f>
        <v>0</v>
      </c>
      <c r="N663">
        <f>COUNTIF('Metrics - Articles'!F660,"*GCO – Services Sales*")</f>
        <v>0</v>
      </c>
      <c r="O663">
        <f>COUNTIF('Metrics - Articles'!F660,"*GCO – Other*")</f>
        <v>0</v>
      </c>
      <c r="P663">
        <f>COUNTIF('Metrics - Articles'!F660,"*Corporate*")</f>
        <v>0</v>
      </c>
      <c r="R663" s="53">
        <f t="shared" si="12"/>
        <v>0</v>
      </c>
    </row>
    <row r="664" spans="2:18" hidden="1" x14ac:dyDescent="0.25">
      <c r="B664" s="48">
        <f>+'Metrics - Articles'!C661</f>
        <v>0</v>
      </c>
      <c r="C664">
        <f>COUNTIF('Metrics - Articles'!F661,"*GPO (Partner, Ecosystem, Channels)*")</f>
        <v>0</v>
      </c>
      <c r="D664">
        <f>COUNTIF('Metrics - Articles'!F661,"*Office of the CEO*")</f>
        <v>0</v>
      </c>
      <c r="E664">
        <f>COUNTIF('Metrics - Articles'!F661,"*Services Delivery &amp; Support (go-lives and deployments) *")</f>
        <v>0</v>
      </c>
      <c r="F664">
        <f>COUNTIF('Metrics - Articles'!F661,"*Human Resources (SAP HR and employee stories)*")</f>
        <v>0</v>
      </c>
      <c r="G664">
        <f>COUNTIF('Metrics - Articles'!F661,"*P&amp;I (Research &amp; Development)*")</f>
        <v>0</v>
      </c>
      <c r="H664">
        <f>COUNTIF('Metrics - Articles'!F661,"*Business Network (Concur, Ariba, Fieldglass)*")</f>
        <v>0</v>
      </c>
      <c r="I664">
        <f>COUNTIF('Metrics - Articles'!F661,"*GCO – Regions*")</f>
        <v>0</v>
      </c>
      <c r="J664">
        <f>COUNTIF('Metrics - Articles'!F661,"*GCO – Platform Solutions*")</f>
        <v>0</v>
      </c>
      <c r="K664">
        <f>COUNTIF('Metrics - Articles'!F661,"*GCO – Industry Cloud *")</f>
        <v>0</v>
      </c>
      <c r="L664">
        <f>COUNTIF('Metrics - Articles'!F661,"*GCO – Customer Engagement &amp; Commerce (CRM &amp; hybris) *")</f>
        <v>0</v>
      </c>
      <c r="M664">
        <f>COUNTIF('Metrics - Articles'!F661,"*GCO – HR (SuccessFactors)*")</f>
        <v>0</v>
      </c>
      <c r="N664">
        <f>COUNTIF('Metrics - Articles'!F661,"*GCO – Services Sales*")</f>
        <v>0</v>
      </c>
      <c r="O664">
        <f>COUNTIF('Metrics - Articles'!F661,"*GCO – Other*")</f>
        <v>0</v>
      </c>
      <c r="P664">
        <f>COUNTIF('Metrics - Articles'!F661,"*Corporate*")</f>
        <v>0</v>
      </c>
      <c r="R664" s="53">
        <f t="shared" si="12"/>
        <v>0</v>
      </c>
    </row>
    <row r="665" spans="2:18" hidden="1" x14ac:dyDescent="0.25">
      <c r="B665" s="48">
        <f>+'Metrics - Articles'!C662</f>
        <v>0</v>
      </c>
      <c r="C665">
        <f>COUNTIF('Metrics - Articles'!F662,"*GPO (Partner, Ecosystem, Channels)*")</f>
        <v>0</v>
      </c>
      <c r="D665">
        <f>COUNTIF('Metrics - Articles'!F662,"*Office of the CEO*")</f>
        <v>0</v>
      </c>
      <c r="E665">
        <f>COUNTIF('Metrics - Articles'!F662,"*Services Delivery &amp; Support (go-lives and deployments) *")</f>
        <v>0</v>
      </c>
      <c r="F665">
        <f>COUNTIF('Metrics - Articles'!F662,"*Human Resources (SAP HR and employee stories)*")</f>
        <v>0</v>
      </c>
      <c r="G665">
        <f>COUNTIF('Metrics - Articles'!F662,"*P&amp;I (Research &amp; Development)*")</f>
        <v>0</v>
      </c>
      <c r="H665">
        <f>COUNTIF('Metrics - Articles'!F662,"*Business Network (Concur, Ariba, Fieldglass)*")</f>
        <v>0</v>
      </c>
      <c r="I665">
        <f>COUNTIF('Metrics - Articles'!F662,"*GCO – Regions*")</f>
        <v>0</v>
      </c>
      <c r="J665">
        <f>COUNTIF('Metrics - Articles'!F662,"*GCO – Platform Solutions*")</f>
        <v>0</v>
      </c>
      <c r="K665">
        <f>COUNTIF('Metrics - Articles'!F662,"*GCO – Industry Cloud *")</f>
        <v>0</v>
      </c>
      <c r="L665">
        <f>COUNTIF('Metrics - Articles'!F662,"*GCO – Customer Engagement &amp; Commerce (CRM &amp; hybris) *")</f>
        <v>0</v>
      </c>
      <c r="M665">
        <f>COUNTIF('Metrics - Articles'!F662,"*GCO – HR (SuccessFactors)*")</f>
        <v>0</v>
      </c>
      <c r="N665">
        <f>COUNTIF('Metrics - Articles'!F662,"*GCO – Services Sales*")</f>
        <v>0</v>
      </c>
      <c r="O665">
        <f>COUNTIF('Metrics - Articles'!F662,"*GCO – Other*")</f>
        <v>0</v>
      </c>
      <c r="P665">
        <f>COUNTIF('Metrics - Articles'!F662,"*Corporate*")</f>
        <v>0</v>
      </c>
      <c r="R665" s="53">
        <f t="shared" si="12"/>
        <v>0</v>
      </c>
    </row>
    <row r="666" spans="2:18" hidden="1" x14ac:dyDescent="0.25">
      <c r="B666" s="48">
        <f>+'Metrics - Articles'!C663</f>
        <v>0</v>
      </c>
      <c r="C666">
        <f>COUNTIF('Metrics - Articles'!F663,"*GPO (Partner, Ecosystem, Channels)*")</f>
        <v>0</v>
      </c>
      <c r="D666">
        <f>COUNTIF('Metrics - Articles'!F663,"*Office of the CEO*")</f>
        <v>0</v>
      </c>
      <c r="E666">
        <f>COUNTIF('Metrics - Articles'!F663,"*Services Delivery &amp; Support (go-lives and deployments) *")</f>
        <v>0</v>
      </c>
      <c r="F666">
        <f>COUNTIF('Metrics - Articles'!F663,"*Human Resources (SAP HR and employee stories)*")</f>
        <v>0</v>
      </c>
      <c r="G666">
        <f>COUNTIF('Metrics - Articles'!F663,"*P&amp;I (Research &amp; Development)*")</f>
        <v>0</v>
      </c>
      <c r="H666">
        <f>COUNTIF('Metrics - Articles'!F663,"*Business Network (Concur, Ariba, Fieldglass)*")</f>
        <v>0</v>
      </c>
      <c r="I666">
        <f>COUNTIF('Metrics - Articles'!F663,"*GCO – Regions*")</f>
        <v>0</v>
      </c>
      <c r="J666">
        <f>COUNTIF('Metrics - Articles'!F663,"*GCO – Platform Solutions*")</f>
        <v>0</v>
      </c>
      <c r="K666">
        <f>COUNTIF('Metrics - Articles'!F663,"*GCO – Industry Cloud *")</f>
        <v>0</v>
      </c>
      <c r="L666">
        <f>COUNTIF('Metrics - Articles'!F663,"*GCO – Customer Engagement &amp; Commerce (CRM &amp; hybris) *")</f>
        <v>0</v>
      </c>
      <c r="M666">
        <f>COUNTIF('Metrics - Articles'!F663,"*GCO – HR (SuccessFactors)*")</f>
        <v>0</v>
      </c>
      <c r="N666">
        <f>COUNTIF('Metrics - Articles'!F663,"*GCO – Services Sales*")</f>
        <v>0</v>
      </c>
      <c r="O666">
        <f>COUNTIF('Metrics - Articles'!F663,"*GCO – Other*")</f>
        <v>0</v>
      </c>
      <c r="P666">
        <f>COUNTIF('Metrics - Articles'!F663,"*Corporate*")</f>
        <v>0</v>
      </c>
      <c r="R666" s="53">
        <f t="shared" si="12"/>
        <v>0</v>
      </c>
    </row>
    <row r="667" spans="2:18" hidden="1" x14ac:dyDescent="0.25">
      <c r="B667" s="48">
        <f>+'Metrics - Articles'!C664</f>
        <v>0</v>
      </c>
      <c r="C667">
        <f>COUNTIF('Metrics - Articles'!F664,"*GPO (Partner, Ecosystem, Channels)*")</f>
        <v>0</v>
      </c>
      <c r="D667">
        <f>COUNTIF('Metrics - Articles'!F664,"*Office of the CEO*")</f>
        <v>0</v>
      </c>
      <c r="E667">
        <f>COUNTIF('Metrics - Articles'!F664,"*Services Delivery &amp; Support (go-lives and deployments) *")</f>
        <v>0</v>
      </c>
      <c r="F667">
        <f>COUNTIF('Metrics - Articles'!F664,"*Human Resources (SAP HR and employee stories)*")</f>
        <v>0</v>
      </c>
      <c r="G667">
        <f>COUNTIF('Metrics - Articles'!F664,"*P&amp;I (Research &amp; Development)*")</f>
        <v>0</v>
      </c>
      <c r="H667">
        <f>COUNTIF('Metrics - Articles'!F664,"*Business Network (Concur, Ariba, Fieldglass)*")</f>
        <v>0</v>
      </c>
      <c r="I667">
        <f>COUNTIF('Metrics - Articles'!F664,"*GCO – Regions*")</f>
        <v>0</v>
      </c>
      <c r="J667">
        <f>COUNTIF('Metrics - Articles'!F664,"*GCO – Platform Solutions*")</f>
        <v>0</v>
      </c>
      <c r="K667">
        <f>COUNTIF('Metrics - Articles'!F664,"*GCO – Industry Cloud *")</f>
        <v>0</v>
      </c>
      <c r="L667">
        <f>COUNTIF('Metrics - Articles'!F664,"*GCO – Customer Engagement &amp; Commerce (CRM &amp; hybris) *")</f>
        <v>0</v>
      </c>
      <c r="M667">
        <f>COUNTIF('Metrics - Articles'!F664,"*GCO – HR (SuccessFactors)*")</f>
        <v>0</v>
      </c>
      <c r="N667">
        <f>COUNTIF('Metrics - Articles'!F664,"*GCO – Services Sales*")</f>
        <v>0</v>
      </c>
      <c r="O667">
        <f>COUNTIF('Metrics - Articles'!F664,"*GCO – Other*")</f>
        <v>0</v>
      </c>
      <c r="P667">
        <f>COUNTIF('Metrics - Articles'!F664,"*Corporate*")</f>
        <v>0</v>
      </c>
      <c r="R667" s="53">
        <f t="shared" si="12"/>
        <v>0</v>
      </c>
    </row>
    <row r="668" spans="2:18" hidden="1" x14ac:dyDescent="0.25">
      <c r="B668" s="48">
        <f>+'Metrics - Articles'!C665</f>
        <v>0</v>
      </c>
      <c r="C668">
        <f>COUNTIF('Metrics - Articles'!F665,"*GPO (Partner, Ecosystem, Channels)*")</f>
        <v>0</v>
      </c>
      <c r="D668">
        <f>COUNTIF('Metrics - Articles'!F665,"*Office of the CEO*")</f>
        <v>0</v>
      </c>
      <c r="E668">
        <f>COUNTIF('Metrics - Articles'!F665,"*Services Delivery &amp; Support (go-lives and deployments) *")</f>
        <v>0</v>
      </c>
      <c r="F668">
        <f>COUNTIF('Metrics - Articles'!F665,"*Human Resources (SAP HR and employee stories)*")</f>
        <v>0</v>
      </c>
      <c r="G668">
        <f>COUNTIF('Metrics - Articles'!F665,"*P&amp;I (Research &amp; Development)*")</f>
        <v>0</v>
      </c>
      <c r="H668">
        <f>COUNTIF('Metrics - Articles'!F665,"*Business Network (Concur, Ariba, Fieldglass)*")</f>
        <v>0</v>
      </c>
      <c r="I668">
        <f>COUNTIF('Metrics - Articles'!F665,"*GCO – Regions*")</f>
        <v>0</v>
      </c>
      <c r="J668">
        <f>COUNTIF('Metrics - Articles'!F665,"*GCO – Platform Solutions*")</f>
        <v>0</v>
      </c>
      <c r="K668">
        <f>COUNTIF('Metrics - Articles'!F665,"*GCO – Industry Cloud *")</f>
        <v>0</v>
      </c>
      <c r="L668">
        <f>COUNTIF('Metrics - Articles'!F665,"*GCO – Customer Engagement &amp; Commerce (CRM &amp; hybris) *")</f>
        <v>0</v>
      </c>
      <c r="M668">
        <f>COUNTIF('Metrics - Articles'!F665,"*GCO – HR (SuccessFactors)*")</f>
        <v>0</v>
      </c>
      <c r="N668">
        <f>COUNTIF('Metrics - Articles'!F665,"*GCO – Services Sales*")</f>
        <v>0</v>
      </c>
      <c r="O668">
        <f>COUNTIF('Metrics - Articles'!F665,"*GCO – Other*")</f>
        <v>0</v>
      </c>
      <c r="P668">
        <f>COUNTIF('Metrics - Articles'!F665,"*Corporate*")</f>
        <v>0</v>
      </c>
      <c r="R668" s="53">
        <f t="shared" si="12"/>
        <v>0</v>
      </c>
    </row>
    <row r="669" spans="2:18" hidden="1" x14ac:dyDescent="0.25">
      <c r="B669" s="48">
        <f>+'Metrics - Articles'!C666</f>
        <v>0</v>
      </c>
      <c r="C669">
        <f>COUNTIF('Metrics - Articles'!F666,"*GPO (Partner, Ecosystem, Channels)*")</f>
        <v>0</v>
      </c>
      <c r="D669">
        <f>COUNTIF('Metrics - Articles'!F666,"*Office of the CEO*")</f>
        <v>0</v>
      </c>
      <c r="E669">
        <f>COUNTIF('Metrics - Articles'!F666,"*Services Delivery &amp; Support (go-lives and deployments) *")</f>
        <v>0</v>
      </c>
      <c r="F669">
        <f>COUNTIF('Metrics - Articles'!F666,"*Human Resources (SAP HR and employee stories)*")</f>
        <v>0</v>
      </c>
      <c r="G669">
        <f>COUNTIF('Metrics - Articles'!F666,"*P&amp;I (Research &amp; Development)*")</f>
        <v>0</v>
      </c>
      <c r="H669">
        <f>COUNTIF('Metrics - Articles'!F666,"*Business Network (Concur, Ariba, Fieldglass)*")</f>
        <v>0</v>
      </c>
      <c r="I669">
        <f>COUNTIF('Metrics - Articles'!F666,"*GCO – Regions*")</f>
        <v>0</v>
      </c>
      <c r="J669">
        <f>COUNTIF('Metrics - Articles'!F666,"*GCO – Platform Solutions*")</f>
        <v>0</v>
      </c>
      <c r="K669">
        <f>COUNTIF('Metrics - Articles'!F666,"*GCO – Industry Cloud *")</f>
        <v>0</v>
      </c>
      <c r="L669">
        <f>COUNTIF('Metrics - Articles'!F666,"*GCO – Customer Engagement &amp; Commerce (CRM &amp; hybris) *")</f>
        <v>0</v>
      </c>
      <c r="M669">
        <f>COUNTIF('Metrics - Articles'!F666,"*GCO – HR (SuccessFactors)*")</f>
        <v>0</v>
      </c>
      <c r="N669">
        <f>COUNTIF('Metrics - Articles'!F666,"*GCO – Services Sales*")</f>
        <v>0</v>
      </c>
      <c r="O669">
        <f>COUNTIF('Metrics - Articles'!F666,"*GCO – Other*")</f>
        <v>0</v>
      </c>
      <c r="P669">
        <f>COUNTIF('Metrics - Articles'!F666,"*Corporate*")</f>
        <v>0</v>
      </c>
      <c r="R669" s="53">
        <f t="shared" si="12"/>
        <v>0</v>
      </c>
    </row>
    <row r="670" spans="2:18" hidden="1" x14ac:dyDescent="0.25">
      <c r="B670" s="48">
        <f>+'Metrics - Articles'!C667</f>
        <v>0</v>
      </c>
      <c r="C670">
        <f>COUNTIF('Metrics - Articles'!F667,"*GPO (Partner, Ecosystem, Channels)*")</f>
        <v>0</v>
      </c>
      <c r="D670">
        <f>COUNTIF('Metrics - Articles'!F667,"*Office of the CEO*")</f>
        <v>0</v>
      </c>
      <c r="E670">
        <f>COUNTIF('Metrics - Articles'!F667,"*Services Delivery &amp; Support (go-lives and deployments) *")</f>
        <v>0</v>
      </c>
      <c r="F670">
        <f>COUNTIF('Metrics - Articles'!F667,"*Human Resources (SAP HR and employee stories)*")</f>
        <v>0</v>
      </c>
      <c r="G670">
        <f>COUNTIF('Metrics - Articles'!F667,"*P&amp;I (Research &amp; Development)*")</f>
        <v>0</v>
      </c>
      <c r="H670">
        <f>COUNTIF('Metrics - Articles'!F667,"*Business Network (Concur, Ariba, Fieldglass)*")</f>
        <v>0</v>
      </c>
      <c r="I670">
        <f>COUNTIF('Metrics - Articles'!F667,"*GCO – Regions*")</f>
        <v>0</v>
      </c>
      <c r="J670">
        <f>COUNTIF('Metrics - Articles'!F667,"*GCO – Platform Solutions*")</f>
        <v>0</v>
      </c>
      <c r="K670">
        <f>COUNTIF('Metrics - Articles'!F667,"*GCO – Industry Cloud *")</f>
        <v>0</v>
      </c>
      <c r="L670">
        <f>COUNTIF('Metrics - Articles'!F667,"*GCO – Customer Engagement &amp; Commerce (CRM &amp; hybris) *")</f>
        <v>0</v>
      </c>
      <c r="M670">
        <f>COUNTIF('Metrics - Articles'!F667,"*GCO – HR (SuccessFactors)*")</f>
        <v>0</v>
      </c>
      <c r="N670">
        <f>COUNTIF('Metrics - Articles'!F667,"*GCO – Services Sales*")</f>
        <v>0</v>
      </c>
      <c r="O670">
        <f>COUNTIF('Metrics - Articles'!F667,"*GCO – Other*")</f>
        <v>0</v>
      </c>
      <c r="P670">
        <f>COUNTIF('Metrics - Articles'!F667,"*Corporate*")</f>
        <v>0</v>
      </c>
      <c r="R670" s="53">
        <f t="shared" si="12"/>
        <v>0</v>
      </c>
    </row>
    <row r="671" spans="2:18" hidden="1" x14ac:dyDescent="0.25">
      <c r="B671" s="48">
        <f>+'Metrics - Articles'!C668</f>
        <v>0</v>
      </c>
      <c r="C671">
        <f>COUNTIF('Metrics - Articles'!F668,"*GPO (Partner, Ecosystem, Channels)*")</f>
        <v>0</v>
      </c>
      <c r="D671">
        <f>COUNTIF('Metrics - Articles'!F668,"*Office of the CEO*")</f>
        <v>0</v>
      </c>
      <c r="E671">
        <f>COUNTIF('Metrics - Articles'!F668,"*Services Delivery &amp; Support (go-lives and deployments) *")</f>
        <v>0</v>
      </c>
      <c r="F671">
        <f>COUNTIF('Metrics - Articles'!F668,"*Human Resources (SAP HR and employee stories)*")</f>
        <v>0</v>
      </c>
      <c r="G671">
        <f>COUNTIF('Metrics - Articles'!F668,"*P&amp;I (Research &amp; Development)*")</f>
        <v>0</v>
      </c>
      <c r="H671">
        <f>COUNTIF('Metrics - Articles'!F668,"*Business Network (Concur, Ariba, Fieldglass)*")</f>
        <v>0</v>
      </c>
      <c r="I671">
        <f>COUNTIF('Metrics - Articles'!F668,"*GCO – Regions*")</f>
        <v>0</v>
      </c>
      <c r="J671">
        <f>COUNTIF('Metrics - Articles'!F668,"*GCO – Platform Solutions*")</f>
        <v>0</v>
      </c>
      <c r="K671">
        <f>COUNTIF('Metrics - Articles'!F668,"*GCO – Industry Cloud *")</f>
        <v>0</v>
      </c>
      <c r="L671">
        <f>COUNTIF('Metrics - Articles'!F668,"*GCO – Customer Engagement &amp; Commerce (CRM &amp; hybris) *")</f>
        <v>0</v>
      </c>
      <c r="M671">
        <f>COUNTIF('Metrics - Articles'!F668,"*GCO – HR (SuccessFactors)*")</f>
        <v>0</v>
      </c>
      <c r="N671">
        <f>COUNTIF('Metrics - Articles'!F668,"*GCO – Services Sales*")</f>
        <v>0</v>
      </c>
      <c r="O671">
        <f>COUNTIF('Metrics - Articles'!F668,"*GCO – Other*")</f>
        <v>0</v>
      </c>
      <c r="P671">
        <f>COUNTIF('Metrics - Articles'!F668,"*Corporate*")</f>
        <v>0</v>
      </c>
      <c r="R671" s="53">
        <f t="shared" si="12"/>
        <v>0</v>
      </c>
    </row>
    <row r="672" spans="2:18" hidden="1" x14ac:dyDescent="0.25">
      <c r="B672" s="48">
        <f>+'Metrics - Articles'!C669</f>
        <v>0</v>
      </c>
      <c r="C672">
        <f>COUNTIF('Metrics - Articles'!F669,"*GPO (Partner, Ecosystem, Channels)*")</f>
        <v>0</v>
      </c>
      <c r="D672">
        <f>COUNTIF('Metrics - Articles'!F669,"*Office of the CEO*")</f>
        <v>0</v>
      </c>
      <c r="E672">
        <f>COUNTIF('Metrics - Articles'!F669,"*Services Delivery &amp; Support (go-lives and deployments) *")</f>
        <v>0</v>
      </c>
      <c r="F672">
        <f>COUNTIF('Metrics - Articles'!F669,"*Human Resources (SAP HR and employee stories)*")</f>
        <v>0</v>
      </c>
      <c r="G672">
        <f>COUNTIF('Metrics - Articles'!F669,"*P&amp;I (Research &amp; Development)*")</f>
        <v>0</v>
      </c>
      <c r="H672">
        <f>COUNTIF('Metrics - Articles'!F669,"*Business Network (Concur, Ariba, Fieldglass)*")</f>
        <v>0</v>
      </c>
      <c r="I672">
        <f>COUNTIF('Metrics - Articles'!F669,"*GCO – Regions*")</f>
        <v>0</v>
      </c>
      <c r="J672">
        <f>COUNTIF('Metrics - Articles'!F669,"*GCO – Platform Solutions*")</f>
        <v>0</v>
      </c>
      <c r="K672">
        <f>COUNTIF('Metrics - Articles'!F669,"*GCO – Industry Cloud *")</f>
        <v>0</v>
      </c>
      <c r="L672">
        <f>COUNTIF('Metrics - Articles'!F669,"*GCO – Customer Engagement &amp; Commerce (CRM &amp; hybris) *")</f>
        <v>0</v>
      </c>
      <c r="M672">
        <f>COUNTIF('Metrics - Articles'!F669,"*GCO – HR (SuccessFactors)*")</f>
        <v>0</v>
      </c>
      <c r="N672">
        <f>COUNTIF('Metrics - Articles'!F669,"*GCO – Services Sales*")</f>
        <v>0</v>
      </c>
      <c r="O672">
        <f>COUNTIF('Metrics - Articles'!F669,"*GCO – Other*")</f>
        <v>0</v>
      </c>
      <c r="P672">
        <f>COUNTIF('Metrics - Articles'!F669,"*Corporate*")</f>
        <v>0</v>
      </c>
      <c r="R672" s="53">
        <f t="shared" si="12"/>
        <v>0</v>
      </c>
    </row>
    <row r="673" spans="2:18" hidden="1" x14ac:dyDescent="0.25">
      <c r="B673" s="48">
        <f>+'Metrics - Articles'!C670</f>
        <v>0</v>
      </c>
      <c r="C673">
        <f>COUNTIF('Metrics - Articles'!F670,"*GPO (Partner, Ecosystem, Channels)*")</f>
        <v>0</v>
      </c>
      <c r="D673">
        <f>COUNTIF('Metrics - Articles'!F670,"*Office of the CEO*")</f>
        <v>0</v>
      </c>
      <c r="E673">
        <f>COUNTIF('Metrics - Articles'!F670,"*Services Delivery &amp; Support (go-lives and deployments) *")</f>
        <v>0</v>
      </c>
      <c r="F673">
        <f>COUNTIF('Metrics - Articles'!F670,"*Human Resources (SAP HR and employee stories)*")</f>
        <v>0</v>
      </c>
      <c r="G673">
        <f>COUNTIF('Metrics - Articles'!F670,"*P&amp;I (Research &amp; Development)*")</f>
        <v>0</v>
      </c>
      <c r="H673">
        <f>COUNTIF('Metrics - Articles'!F670,"*Business Network (Concur, Ariba, Fieldglass)*")</f>
        <v>0</v>
      </c>
      <c r="I673">
        <f>COUNTIF('Metrics - Articles'!F670,"*GCO – Regions*")</f>
        <v>0</v>
      </c>
      <c r="J673">
        <f>COUNTIF('Metrics - Articles'!F670,"*GCO – Platform Solutions*")</f>
        <v>0</v>
      </c>
      <c r="K673">
        <f>COUNTIF('Metrics - Articles'!F670,"*GCO – Industry Cloud *")</f>
        <v>0</v>
      </c>
      <c r="L673">
        <f>COUNTIF('Metrics - Articles'!F670,"*GCO – Customer Engagement &amp; Commerce (CRM &amp; hybris) *")</f>
        <v>0</v>
      </c>
      <c r="M673">
        <f>COUNTIF('Metrics - Articles'!F670,"*GCO – HR (SuccessFactors)*")</f>
        <v>0</v>
      </c>
      <c r="N673">
        <f>COUNTIF('Metrics - Articles'!F670,"*GCO – Services Sales*")</f>
        <v>0</v>
      </c>
      <c r="O673">
        <f>COUNTIF('Metrics - Articles'!F670,"*GCO – Other*")</f>
        <v>0</v>
      </c>
      <c r="P673">
        <f>COUNTIF('Metrics - Articles'!F670,"*Corporate*")</f>
        <v>0</v>
      </c>
      <c r="R673" s="53">
        <f t="shared" si="12"/>
        <v>0</v>
      </c>
    </row>
    <row r="674" spans="2:18" hidden="1" x14ac:dyDescent="0.25">
      <c r="B674" s="48">
        <f>+'Metrics - Articles'!C671</f>
        <v>0</v>
      </c>
      <c r="C674">
        <f>COUNTIF('Metrics - Articles'!F671,"*GPO (Partner, Ecosystem, Channels)*")</f>
        <v>0</v>
      </c>
      <c r="D674">
        <f>COUNTIF('Metrics - Articles'!F671,"*Office of the CEO*")</f>
        <v>0</v>
      </c>
      <c r="E674">
        <f>COUNTIF('Metrics - Articles'!F671,"*Services Delivery &amp; Support (go-lives and deployments) *")</f>
        <v>0</v>
      </c>
      <c r="F674">
        <f>COUNTIF('Metrics - Articles'!F671,"*Human Resources (SAP HR and employee stories)*")</f>
        <v>0</v>
      </c>
      <c r="G674">
        <f>COUNTIF('Metrics - Articles'!F671,"*P&amp;I (Research &amp; Development)*")</f>
        <v>0</v>
      </c>
      <c r="H674">
        <f>COUNTIF('Metrics - Articles'!F671,"*Business Network (Concur, Ariba, Fieldglass)*")</f>
        <v>0</v>
      </c>
      <c r="I674">
        <f>COUNTIF('Metrics - Articles'!F671,"*GCO – Regions*")</f>
        <v>0</v>
      </c>
      <c r="J674">
        <f>COUNTIF('Metrics - Articles'!F671,"*GCO – Platform Solutions*")</f>
        <v>0</v>
      </c>
      <c r="K674">
        <f>COUNTIF('Metrics - Articles'!F671,"*GCO – Industry Cloud *")</f>
        <v>0</v>
      </c>
      <c r="L674">
        <f>COUNTIF('Metrics - Articles'!F671,"*GCO – Customer Engagement &amp; Commerce (CRM &amp; hybris) *")</f>
        <v>0</v>
      </c>
      <c r="M674">
        <f>COUNTIF('Metrics - Articles'!F671,"*GCO – HR (SuccessFactors)*")</f>
        <v>0</v>
      </c>
      <c r="N674">
        <f>COUNTIF('Metrics - Articles'!F671,"*GCO – Services Sales*")</f>
        <v>0</v>
      </c>
      <c r="O674">
        <f>COUNTIF('Metrics - Articles'!F671,"*GCO – Other*")</f>
        <v>0</v>
      </c>
      <c r="P674">
        <f>COUNTIF('Metrics - Articles'!F671,"*Corporate*")</f>
        <v>0</v>
      </c>
      <c r="R674" s="53">
        <f t="shared" si="12"/>
        <v>0</v>
      </c>
    </row>
    <row r="675" spans="2:18" hidden="1" x14ac:dyDescent="0.25">
      <c r="B675" s="48">
        <f>+'Metrics - Articles'!C672</f>
        <v>0</v>
      </c>
      <c r="C675">
        <f>COUNTIF('Metrics - Articles'!F672,"*GPO (Partner, Ecosystem, Channels)*")</f>
        <v>0</v>
      </c>
      <c r="D675">
        <f>COUNTIF('Metrics - Articles'!F672,"*Office of the CEO*")</f>
        <v>0</v>
      </c>
      <c r="E675">
        <f>COUNTIF('Metrics - Articles'!F672,"*Services Delivery &amp; Support (go-lives and deployments) *")</f>
        <v>0</v>
      </c>
      <c r="F675">
        <f>COUNTIF('Metrics - Articles'!F672,"*Human Resources (SAP HR and employee stories)*")</f>
        <v>0</v>
      </c>
      <c r="G675">
        <f>COUNTIF('Metrics - Articles'!F672,"*P&amp;I (Research &amp; Development)*")</f>
        <v>0</v>
      </c>
      <c r="H675">
        <f>COUNTIF('Metrics - Articles'!F672,"*Business Network (Concur, Ariba, Fieldglass)*")</f>
        <v>0</v>
      </c>
      <c r="I675">
        <f>COUNTIF('Metrics - Articles'!F672,"*GCO – Regions*")</f>
        <v>0</v>
      </c>
      <c r="J675">
        <f>COUNTIF('Metrics - Articles'!F672,"*GCO – Platform Solutions*")</f>
        <v>0</v>
      </c>
      <c r="K675">
        <f>COUNTIF('Metrics - Articles'!F672,"*GCO – Industry Cloud *")</f>
        <v>0</v>
      </c>
      <c r="L675">
        <f>COUNTIF('Metrics - Articles'!F672,"*GCO – Customer Engagement &amp; Commerce (CRM &amp; hybris) *")</f>
        <v>0</v>
      </c>
      <c r="M675">
        <f>COUNTIF('Metrics - Articles'!F672,"*GCO – HR (SuccessFactors)*")</f>
        <v>0</v>
      </c>
      <c r="N675">
        <f>COUNTIF('Metrics - Articles'!F672,"*GCO – Services Sales*")</f>
        <v>0</v>
      </c>
      <c r="O675">
        <f>COUNTIF('Metrics - Articles'!F672,"*GCO – Other*")</f>
        <v>0</v>
      </c>
      <c r="P675">
        <f>COUNTIF('Metrics - Articles'!F672,"*Corporate*")</f>
        <v>0</v>
      </c>
      <c r="R675" s="53">
        <f t="shared" si="12"/>
        <v>0</v>
      </c>
    </row>
    <row r="676" spans="2:18" hidden="1" x14ac:dyDescent="0.25">
      <c r="B676" s="48">
        <f>+'Metrics - Articles'!C673</f>
        <v>0</v>
      </c>
      <c r="C676">
        <f>COUNTIF('Metrics - Articles'!F673,"*GPO (Partner, Ecosystem, Channels)*")</f>
        <v>0</v>
      </c>
      <c r="D676">
        <f>COUNTIF('Metrics - Articles'!F673,"*Office of the CEO*")</f>
        <v>0</v>
      </c>
      <c r="E676">
        <f>COUNTIF('Metrics - Articles'!F673,"*Services Delivery &amp; Support (go-lives and deployments) *")</f>
        <v>0</v>
      </c>
      <c r="F676">
        <f>COUNTIF('Metrics - Articles'!F673,"*Human Resources (SAP HR and employee stories)*")</f>
        <v>0</v>
      </c>
      <c r="G676">
        <f>COUNTIF('Metrics - Articles'!F673,"*P&amp;I (Research &amp; Development)*")</f>
        <v>0</v>
      </c>
      <c r="H676">
        <f>COUNTIF('Metrics - Articles'!F673,"*Business Network (Concur, Ariba, Fieldglass)*")</f>
        <v>0</v>
      </c>
      <c r="I676">
        <f>COUNTIF('Metrics - Articles'!F673,"*GCO – Regions*")</f>
        <v>0</v>
      </c>
      <c r="J676">
        <f>COUNTIF('Metrics - Articles'!F673,"*GCO – Platform Solutions*")</f>
        <v>0</v>
      </c>
      <c r="K676">
        <f>COUNTIF('Metrics - Articles'!F673,"*GCO – Industry Cloud *")</f>
        <v>0</v>
      </c>
      <c r="L676">
        <f>COUNTIF('Metrics - Articles'!F673,"*GCO – Customer Engagement &amp; Commerce (CRM &amp; hybris) *")</f>
        <v>0</v>
      </c>
      <c r="M676">
        <f>COUNTIF('Metrics - Articles'!F673,"*GCO – HR (SuccessFactors)*")</f>
        <v>0</v>
      </c>
      <c r="N676">
        <f>COUNTIF('Metrics - Articles'!F673,"*GCO – Services Sales*")</f>
        <v>0</v>
      </c>
      <c r="O676">
        <f>COUNTIF('Metrics - Articles'!F673,"*GCO – Other*")</f>
        <v>0</v>
      </c>
      <c r="P676">
        <f>COUNTIF('Metrics - Articles'!F673,"*Corporate*")</f>
        <v>0</v>
      </c>
      <c r="R676" s="53">
        <f t="shared" si="12"/>
        <v>0</v>
      </c>
    </row>
    <row r="677" spans="2:18" hidden="1" x14ac:dyDescent="0.25">
      <c r="B677" s="48">
        <f>+'Metrics - Articles'!C674</f>
        <v>0</v>
      </c>
      <c r="C677">
        <f>COUNTIF('Metrics - Articles'!F674,"*GPO (Partner, Ecosystem, Channels)*")</f>
        <v>0</v>
      </c>
      <c r="D677">
        <f>COUNTIF('Metrics - Articles'!F674,"*Office of the CEO*")</f>
        <v>0</v>
      </c>
      <c r="E677">
        <f>COUNTIF('Metrics - Articles'!F674,"*Services Delivery &amp; Support (go-lives and deployments) *")</f>
        <v>0</v>
      </c>
      <c r="F677">
        <f>COUNTIF('Metrics - Articles'!F674,"*Human Resources (SAP HR and employee stories)*")</f>
        <v>0</v>
      </c>
      <c r="G677">
        <f>COUNTIF('Metrics - Articles'!F674,"*P&amp;I (Research &amp; Development)*")</f>
        <v>0</v>
      </c>
      <c r="H677">
        <f>COUNTIF('Metrics - Articles'!F674,"*Business Network (Concur, Ariba, Fieldglass)*")</f>
        <v>0</v>
      </c>
      <c r="I677">
        <f>COUNTIF('Metrics - Articles'!F674,"*GCO – Regions*")</f>
        <v>0</v>
      </c>
      <c r="J677">
        <f>COUNTIF('Metrics - Articles'!F674,"*GCO – Platform Solutions*")</f>
        <v>0</v>
      </c>
      <c r="K677">
        <f>COUNTIF('Metrics - Articles'!F674,"*GCO – Industry Cloud *")</f>
        <v>0</v>
      </c>
      <c r="L677">
        <f>COUNTIF('Metrics - Articles'!F674,"*GCO – Customer Engagement &amp; Commerce (CRM &amp; hybris) *")</f>
        <v>0</v>
      </c>
      <c r="M677">
        <f>COUNTIF('Metrics - Articles'!F674,"*GCO – HR (SuccessFactors)*")</f>
        <v>0</v>
      </c>
      <c r="N677">
        <f>COUNTIF('Metrics - Articles'!F674,"*GCO – Services Sales*")</f>
        <v>0</v>
      </c>
      <c r="O677">
        <f>COUNTIF('Metrics - Articles'!F674,"*GCO – Other*")</f>
        <v>0</v>
      </c>
      <c r="P677">
        <f>COUNTIF('Metrics - Articles'!F674,"*Corporate*")</f>
        <v>0</v>
      </c>
      <c r="R677" s="53">
        <f t="shared" si="12"/>
        <v>0</v>
      </c>
    </row>
    <row r="678" spans="2:18" hidden="1" x14ac:dyDescent="0.25">
      <c r="B678" s="48">
        <f>+'Metrics - Articles'!C675</f>
        <v>0</v>
      </c>
      <c r="C678">
        <f>COUNTIF('Metrics - Articles'!F675,"*GPO (Partner, Ecosystem, Channels)*")</f>
        <v>0</v>
      </c>
      <c r="D678">
        <f>COUNTIF('Metrics - Articles'!F675,"*Office of the CEO*")</f>
        <v>0</v>
      </c>
      <c r="E678">
        <f>COUNTIF('Metrics - Articles'!F675,"*Services Delivery &amp; Support (go-lives and deployments) *")</f>
        <v>0</v>
      </c>
      <c r="F678">
        <f>COUNTIF('Metrics - Articles'!F675,"*Human Resources (SAP HR and employee stories)*")</f>
        <v>0</v>
      </c>
      <c r="G678">
        <f>COUNTIF('Metrics - Articles'!F675,"*P&amp;I (Research &amp; Development)*")</f>
        <v>0</v>
      </c>
      <c r="H678">
        <f>COUNTIF('Metrics - Articles'!F675,"*Business Network (Concur, Ariba, Fieldglass)*")</f>
        <v>0</v>
      </c>
      <c r="I678">
        <f>COUNTIF('Metrics - Articles'!F675,"*GCO – Regions*")</f>
        <v>0</v>
      </c>
      <c r="J678">
        <f>COUNTIF('Metrics - Articles'!F675,"*GCO – Platform Solutions*")</f>
        <v>0</v>
      </c>
      <c r="K678">
        <f>COUNTIF('Metrics - Articles'!F675,"*GCO – Industry Cloud *")</f>
        <v>0</v>
      </c>
      <c r="L678">
        <f>COUNTIF('Metrics - Articles'!F675,"*GCO – Customer Engagement &amp; Commerce (CRM &amp; hybris) *")</f>
        <v>0</v>
      </c>
      <c r="M678">
        <f>COUNTIF('Metrics - Articles'!F675,"*GCO – HR (SuccessFactors)*")</f>
        <v>0</v>
      </c>
      <c r="N678">
        <f>COUNTIF('Metrics - Articles'!F675,"*GCO – Services Sales*")</f>
        <v>0</v>
      </c>
      <c r="O678">
        <f>COUNTIF('Metrics - Articles'!F675,"*GCO – Other*")</f>
        <v>0</v>
      </c>
      <c r="P678">
        <f>COUNTIF('Metrics - Articles'!F675,"*Corporate*")</f>
        <v>0</v>
      </c>
      <c r="R678" s="53">
        <f t="shared" si="12"/>
        <v>0</v>
      </c>
    </row>
    <row r="679" spans="2:18" hidden="1" x14ac:dyDescent="0.25">
      <c r="B679" s="48">
        <f>+'Metrics - Articles'!C676</f>
        <v>0</v>
      </c>
      <c r="C679">
        <f>COUNTIF('Metrics - Articles'!F676,"*GPO (Partner, Ecosystem, Channels)*")</f>
        <v>0</v>
      </c>
      <c r="D679">
        <f>COUNTIF('Metrics - Articles'!F676,"*Office of the CEO*")</f>
        <v>0</v>
      </c>
      <c r="E679">
        <f>COUNTIF('Metrics - Articles'!F676,"*Services Delivery &amp; Support (go-lives and deployments) *")</f>
        <v>0</v>
      </c>
      <c r="F679">
        <f>COUNTIF('Metrics - Articles'!F676,"*Human Resources (SAP HR and employee stories)*")</f>
        <v>0</v>
      </c>
      <c r="G679">
        <f>COUNTIF('Metrics - Articles'!F676,"*P&amp;I (Research &amp; Development)*")</f>
        <v>0</v>
      </c>
      <c r="H679">
        <f>COUNTIF('Metrics - Articles'!F676,"*Business Network (Concur, Ariba, Fieldglass)*")</f>
        <v>0</v>
      </c>
      <c r="I679">
        <f>COUNTIF('Metrics - Articles'!F676,"*GCO – Regions*")</f>
        <v>0</v>
      </c>
      <c r="J679">
        <f>COUNTIF('Metrics - Articles'!F676,"*GCO – Platform Solutions*")</f>
        <v>0</v>
      </c>
      <c r="K679">
        <f>COUNTIF('Metrics - Articles'!F676,"*GCO – Industry Cloud *")</f>
        <v>0</v>
      </c>
      <c r="L679">
        <f>COUNTIF('Metrics - Articles'!F676,"*GCO – Customer Engagement &amp; Commerce (CRM &amp; hybris) *")</f>
        <v>0</v>
      </c>
      <c r="M679">
        <f>COUNTIF('Metrics - Articles'!F676,"*GCO – HR (SuccessFactors)*")</f>
        <v>0</v>
      </c>
      <c r="N679">
        <f>COUNTIF('Metrics - Articles'!F676,"*GCO – Services Sales*")</f>
        <v>0</v>
      </c>
      <c r="O679">
        <f>COUNTIF('Metrics - Articles'!F676,"*GCO – Other*")</f>
        <v>0</v>
      </c>
      <c r="P679">
        <f>COUNTIF('Metrics - Articles'!F676,"*Corporate*")</f>
        <v>0</v>
      </c>
      <c r="R679" s="53">
        <f t="shared" si="12"/>
        <v>0</v>
      </c>
    </row>
    <row r="680" spans="2:18" hidden="1" x14ac:dyDescent="0.25">
      <c r="B680" s="48">
        <f>+'Metrics - Articles'!C677</f>
        <v>0</v>
      </c>
      <c r="C680">
        <f>COUNTIF('Metrics - Articles'!F677,"*GPO (Partner, Ecosystem, Channels)*")</f>
        <v>0</v>
      </c>
      <c r="D680">
        <f>COUNTIF('Metrics - Articles'!F677,"*Office of the CEO*")</f>
        <v>0</v>
      </c>
      <c r="E680">
        <f>COUNTIF('Metrics - Articles'!F677,"*Services Delivery &amp; Support (go-lives and deployments) *")</f>
        <v>0</v>
      </c>
      <c r="F680">
        <f>COUNTIF('Metrics - Articles'!F677,"*Human Resources (SAP HR and employee stories)*")</f>
        <v>0</v>
      </c>
      <c r="G680">
        <f>COUNTIF('Metrics - Articles'!F677,"*P&amp;I (Research &amp; Development)*")</f>
        <v>0</v>
      </c>
      <c r="H680">
        <f>COUNTIF('Metrics - Articles'!F677,"*Business Network (Concur, Ariba, Fieldglass)*")</f>
        <v>0</v>
      </c>
      <c r="I680">
        <f>COUNTIF('Metrics - Articles'!F677,"*GCO – Regions*")</f>
        <v>0</v>
      </c>
      <c r="J680">
        <f>COUNTIF('Metrics - Articles'!F677,"*GCO – Platform Solutions*")</f>
        <v>0</v>
      </c>
      <c r="K680">
        <f>COUNTIF('Metrics - Articles'!F677,"*GCO – Industry Cloud *")</f>
        <v>0</v>
      </c>
      <c r="L680">
        <f>COUNTIF('Metrics - Articles'!F677,"*GCO – Customer Engagement &amp; Commerce (CRM &amp; hybris) *")</f>
        <v>0</v>
      </c>
      <c r="M680">
        <f>COUNTIF('Metrics - Articles'!F677,"*GCO – HR (SuccessFactors)*")</f>
        <v>0</v>
      </c>
      <c r="N680">
        <f>COUNTIF('Metrics - Articles'!F677,"*GCO – Services Sales*")</f>
        <v>0</v>
      </c>
      <c r="O680">
        <f>COUNTIF('Metrics - Articles'!F677,"*GCO – Other*")</f>
        <v>0</v>
      </c>
      <c r="P680">
        <f>COUNTIF('Metrics - Articles'!F677,"*Corporate*")</f>
        <v>0</v>
      </c>
      <c r="R680" s="53">
        <f t="shared" si="12"/>
        <v>0</v>
      </c>
    </row>
    <row r="681" spans="2:18" hidden="1" x14ac:dyDescent="0.25">
      <c r="B681" s="48">
        <f>+'Metrics - Articles'!C678</f>
        <v>0</v>
      </c>
      <c r="C681">
        <f>COUNTIF('Metrics - Articles'!F678,"*GPO (Partner, Ecosystem, Channels)*")</f>
        <v>0</v>
      </c>
      <c r="D681">
        <f>COUNTIF('Metrics - Articles'!F678,"*Office of the CEO*")</f>
        <v>0</v>
      </c>
      <c r="E681">
        <f>COUNTIF('Metrics - Articles'!F678,"*Services Delivery &amp; Support (go-lives and deployments) *")</f>
        <v>0</v>
      </c>
      <c r="F681">
        <f>COUNTIF('Metrics - Articles'!F678,"*Human Resources (SAP HR and employee stories)*")</f>
        <v>0</v>
      </c>
      <c r="G681">
        <f>COUNTIF('Metrics - Articles'!F678,"*P&amp;I (Research &amp; Development)*")</f>
        <v>0</v>
      </c>
      <c r="H681">
        <f>COUNTIF('Metrics - Articles'!F678,"*Business Network (Concur, Ariba, Fieldglass)*")</f>
        <v>0</v>
      </c>
      <c r="I681">
        <f>COUNTIF('Metrics - Articles'!F678,"*GCO – Regions*")</f>
        <v>0</v>
      </c>
      <c r="J681">
        <f>COUNTIF('Metrics - Articles'!F678,"*GCO – Platform Solutions*")</f>
        <v>0</v>
      </c>
      <c r="K681">
        <f>COUNTIF('Metrics - Articles'!F678,"*GCO – Industry Cloud *")</f>
        <v>0</v>
      </c>
      <c r="L681">
        <f>COUNTIF('Metrics - Articles'!F678,"*GCO – Customer Engagement &amp; Commerce (CRM &amp; hybris) *")</f>
        <v>0</v>
      </c>
      <c r="M681">
        <f>COUNTIF('Metrics - Articles'!F678,"*GCO – HR (SuccessFactors)*")</f>
        <v>0</v>
      </c>
      <c r="N681">
        <f>COUNTIF('Metrics - Articles'!F678,"*GCO – Services Sales*")</f>
        <v>0</v>
      </c>
      <c r="O681">
        <f>COUNTIF('Metrics - Articles'!F678,"*GCO – Other*")</f>
        <v>0</v>
      </c>
      <c r="P681">
        <f>COUNTIF('Metrics - Articles'!F678,"*Corporate*")</f>
        <v>0</v>
      </c>
      <c r="R681" s="53">
        <f t="shared" si="12"/>
        <v>0</v>
      </c>
    </row>
    <row r="682" spans="2:18" hidden="1" x14ac:dyDescent="0.25">
      <c r="B682" s="48">
        <f>+'Metrics - Articles'!C679</f>
        <v>0</v>
      </c>
      <c r="C682">
        <f>COUNTIF('Metrics - Articles'!F679,"*GPO (Partner, Ecosystem, Channels)*")</f>
        <v>0</v>
      </c>
      <c r="D682">
        <f>COUNTIF('Metrics - Articles'!F679,"*Office of the CEO*")</f>
        <v>0</v>
      </c>
      <c r="E682">
        <f>COUNTIF('Metrics - Articles'!F679,"*Services Delivery &amp; Support (go-lives and deployments) *")</f>
        <v>0</v>
      </c>
      <c r="F682">
        <f>COUNTIF('Metrics - Articles'!F679,"*Human Resources (SAP HR and employee stories)*")</f>
        <v>0</v>
      </c>
      <c r="G682">
        <f>COUNTIF('Metrics - Articles'!F679,"*P&amp;I (Research &amp; Development)*")</f>
        <v>0</v>
      </c>
      <c r="H682">
        <f>COUNTIF('Metrics - Articles'!F679,"*Business Network (Concur, Ariba, Fieldglass)*")</f>
        <v>0</v>
      </c>
      <c r="I682">
        <f>COUNTIF('Metrics - Articles'!F679,"*GCO – Regions*")</f>
        <v>0</v>
      </c>
      <c r="J682">
        <f>COUNTIF('Metrics - Articles'!F679,"*GCO – Platform Solutions*")</f>
        <v>0</v>
      </c>
      <c r="K682">
        <f>COUNTIF('Metrics - Articles'!F679,"*GCO – Industry Cloud *")</f>
        <v>0</v>
      </c>
      <c r="L682">
        <f>COUNTIF('Metrics - Articles'!F679,"*GCO – Customer Engagement &amp; Commerce (CRM &amp; hybris) *")</f>
        <v>0</v>
      </c>
      <c r="M682">
        <f>COUNTIF('Metrics - Articles'!F679,"*GCO – HR (SuccessFactors)*")</f>
        <v>0</v>
      </c>
      <c r="N682">
        <f>COUNTIF('Metrics - Articles'!F679,"*GCO – Services Sales*")</f>
        <v>0</v>
      </c>
      <c r="O682">
        <f>COUNTIF('Metrics - Articles'!F679,"*GCO – Other*")</f>
        <v>0</v>
      </c>
      <c r="P682">
        <f>COUNTIF('Metrics - Articles'!F679,"*Corporate*")</f>
        <v>0</v>
      </c>
      <c r="R682" s="53">
        <f t="shared" si="12"/>
        <v>0</v>
      </c>
    </row>
    <row r="683" spans="2:18" hidden="1" x14ac:dyDescent="0.25">
      <c r="B683" s="48">
        <f>+'Metrics - Articles'!C680</f>
        <v>0</v>
      </c>
      <c r="C683">
        <f>COUNTIF('Metrics - Articles'!F680,"*GPO (Partner, Ecosystem, Channels)*")</f>
        <v>0</v>
      </c>
      <c r="D683">
        <f>COUNTIF('Metrics - Articles'!F680,"*Office of the CEO*")</f>
        <v>0</v>
      </c>
      <c r="E683">
        <f>COUNTIF('Metrics - Articles'!F680,"*Services Delivery &amp; Support (go-lives and deployments) *")</f>
        <v>0</v>
      </c>
      <c r="F683">
        <f>COUNTIF('Metrics - Articles'!F680,"*Human Resources (SAP HR and employee stories)*")</f>
        <v>0</v>
      </c>
      <c r="G683">
        <f>COUNTIF('Metrics - Articles'!F680,"*P&amp;I (Research &amp; Development)*")</f>
        <v>0</v>
      </c>
      <c r="H683">
        <f>COUNTIF('Metrics - Articles'!F680,"*Business Network (Concur, Ariba, Fieldglass)*")</f>
        <v>0</v>
      </c>
      <c r="I683">
        <f>COUNTIF('Metrics - Articles'!F680,"*GCO – Regions*")</f>
        <v>0</v>
      </c>
      <c r="J683">
        <f>COUNTIF('Metrics - Articles'!F680,"*GCO – Platform Solutions*")</f>
        <v>0</v>
      </c>
      <c r="K683">
        <f>COUNTIF('Metrics - Articles'!F680,"*GCO – Industry Cloud *")</f>
        <v>0</v>
      </c>
      <c r="L683">
        <f>COUNTIF('Metrics - Articles'!F680,"*GCO – Customer Engagement &amp; Commerce (CRM &amp; hybris) *")</f>
        <v>0</v>
      </c>
      <c r="M683">
        <f>COUNTIF('Metrics - Articles'!F680,"*GCO – HR (SuccessFactors)*")</f>
        <v>0</v>
      </c>
      <c r="N683">
        <f>COUNTIF('Metrics - Articles'!F680,"*GCO – Services Sales*")</f>
        <v>0</v>
      </c>
      <c r="O683">
        <f>COUNTIF('Metrics - Articles'!F680,"*GCO – Other*")</f>
        <v>0</v>
      </c>
      <c r="P683">
        <f>COUNTIF('Metrics - Articles'!F680,"*Corporate*")</f>
        <v>0</v>
      </c>
      <c r="R683" s="53">
        <f t="shared" si="12"/>
        <v>0</v>
      </c>
    </row>
    <row r="684" spans="2:18" hidden="1" x14ac:dyDescent="0.25">
      <c r="B684" s="48">
        <f>+'Metrics - Articles'!C681</f>
        <v>0</v>
      </c>
      <c r="C684">
        <f>COUNTIF('Metrics - Articles'!F681,"*GPO (Partner, Ecosystem, Channels)*")</f>
        <v>0</v>
      </c>
      <c r="D684">
        <f>COUNTIF('Metrics - Articles'!F681,"*Office of the CEO*")</f>
        <v>0</v>
      </c>
      <c r="E684">
        <f>COUNTIF('Metrics - Articles'!F681,"*Services Delivery &amp; Support (go-lives and deployments) *")</f>
        <v>0</v>
      </c>
      <c r="F684">
        <f>COUNTIF('Metrics - Articles'!F681,"*Human Resources (SAP HR and employee stories)*")</f>
        <v>0</v>
      </c>
      <c r="G684">
        <f>COUNTIF('Metrics - Articles'!F681,"*P&amp;I (Research &amp; Development)*")</f>
        <v>0</v>
      </c>
      <c r="H684">
        <f>COUNTIF('Metrics - Articles'!F681,"*Business Network (Concur, Ariba, Fieldglass)*")</f>
        <v>0</v>
      </c>
      <c r="I684">
        <f>COUNTIF('Metrics - Articles'!F681,"*GCO – Regions*")</f>
        <v>0</v>
      </c>
      <c r="J684">
        <f>COUNTIF('Metrics - Articles'!F681,"*GCO – Platform Solutions*")</f>
        <v>0</v>
      </c>
      <c r="K684">
        <f>COUNTIF('Metrics - Articles'!F681,"*GCO – Industry Cloud *")</f>
        <v>0</v>
      </c>
      <c r="L684">
        <f>COUNTIF('Metrics - Articles'!F681,"*GCO – Customer Engagement &amp; Commerce (CRM &amp; hybris) *")</f>
        <v>0</v>
      </c>
      <c r="M684">
        <f>COUNTIF('Metrics - Articles'!F681,"*GCO – HR (SuccessFactors)*")</f>
        <v>0</v>
      </c>
      <c r="N684">
        <f>COUNTIF('Metrics - Articles'!F681,"*GCO – Services Sales*")</f>
        <v>0</v>
      </c>
      <c r="O684">
        <f>COUNTIF('Metrics - Articles'!F681,"*GCO – Other*")</f>
        <v>0</v>
      </c>
      <c r="P684">
        <f>COUNTIF('Metrics - Articles'!F681,"*Corporate*")</f>
        <v>0</v>
      </c>
      <c r="R684" s="53">
        <f t="shared" si="12"/>
        <v>0</v>
      </c>
    </row>
    <row r="685" spans="2:18" hidden="1" x14ac:dyDescent="0.25">
      <c r="B685" s="48">
        <f>+'Metrics - Articles'!C682</f>
        <v>0</v>
      </c>
      <c r="C685">
        <f>COUNTIF('Metrics - Articles'!F682,"*GPO (Partner, Ecosystem, Channels)*")</f>
        <v>0</v>
      </c>
      <c r="D685">
        <f>COUNTIF('Metrics - Articles'!F682,"*Office of the CEO*")</f>
        <v>0</v>
      </c>
      <c r="E685">
        <f>COUNTIF('Metrics - Articles'!F682,"*Services Delivery &amp; Support (go-lives and deployments) *")</f>
        <v>0</v>
      </c>
      <c r="F685">
        <f>COUNTIF('Metrics - Articles'!F682,"*Human Resources (SAP HR and employee stories)*")</f>
        <v>0</v>
      </c>
      <c r="G685">
        <f>COUNTIF('Metrics - Articles'!F682,"*P&amp;I (Research &amp; Development)*")</f>
        <v>0</v>
      </c>
      <c r="H685">
        <f>COUNTIF('Metrics - Articles'!F682,"*Business Network (Concur, Ariba, Fieldglass)*")</f>
        <v>0</v>
      </c>
      <c r="I685">
        <f>COUNTIF('Metrics - Articles'!F682,"*GCO – Regions*")</f>
        <v>0</v>
      </c>
      <c r="J685">
        <f>COUNTIF('Metrics - Articles'!F682,"*GCO – Platform Solutions*")</f>
        <v>0</v>
      </c>
      <c r="K685">
        <f>COUNTIF('Metrics - Articles'!F682,"*GCO – Industry Cloud *")</f>
        <v>0</v>
      </c>
      <c r="L685">
        <f>COUNTIF('Metrics - Articles'!F682,"*GCO – Customer Engagement &amp; Commerce (CRM &amp; hybris) *")</f>
        <v>0</v>
      </c>
      <c r="M685">
        <f>COUNTIF('Metrics - Articles'!F682,"*GCO – HR (SuccessFactors)*")</f>
        <v>0</v>
      </c>
      <c r="N685">
        <f>COUNTIF('Metrics - Articles'!F682,"*GCO – Services Sales*")</f>
        <v>0</v>
      </c>
      <c r="O685">
        <f>COUNTIF('Metrics - Articles'!F682,"*GCO – Other*")</f>
        <v>0</v>
      </c>
      <c r="P685">
        <f>COUNTIF('Metrics - Articles'!F682,"*Corporate*")</f>
        <v>0</v>
      </c>
      <c r="R685" s="53">
        <f t="shared" si="12"/>
        <v>0</v>
      </c>
    </row>
    <row r="686" spans="2:18" hidden="1" x14ac:dyDescent="0.25">
      <c r="B686" s="48">
        <f>+'Metrics - Articles'!C683</f>
        <v>0</v>
      </c>
      <c r="C686">
        <f>COUNTIF('Metrics - Articles'!F683,"*GPO (Partner, Ecosystem, Channels)*")</f>
        <v>0</v>
      </c>
      <c r="D686">
        <f>COUNTIF('Metrics - Articles'!F683,"*Office of the CEO*")</f>
        <v>0</v>
      </c>
      <c r="E686">
        <f>COUNTIF('Metrics - Articles'!F683,"*Services Delivery &amp; Support (go-lives and deployments) *")</f>
        <v>0</v>
      </c>
      <c r="F686">
        <f>COUNTIF('Metrics - Articles'!F683,"*Human Resources (SAP HR and employee stories)*")</f>
        <v>0</v>
      </c>
      <c r="G686">
        <f>COUNTIF('Metrics - Articles'!F683,"*P&amp;I (Research &amp; Development)*")</f>
        <v>0</v>
      </c>
      <c r="H686">
        <f>COUNTIF('Metrics - Articles'!F683,"*Business Network (Concur, Ariba, Fieldglass)*")</f>
        <v>0</v>
      </c>
      <c r="I686">
        <f>COUNTIF('Metrics - Articles'!F683,"*GCO – Regions*")</f>
        <v>0</v>
      </c>
      <c r="J686">
        <f>COUNTIF('Metrics - Articles'!F683,"*GCO – Platform Solutions*")</f>
        <v>0</v>
      </c>
      <c r="K686">
        <f>COUNTIF('Metrics - Articles'!F683,"*GCO – Industry Cloud *")</f>
        <v>0</v>
      </c>
      <c r="L686">
        <f>COUNTIF('Metrics - Articles'!F683,"*GCO – Customer Engagement &amp; Commerce (CRM &amp; hybris) *")</f>
        <v>0</v>
      </c>
      <c r="M686">
        <f>COUNTIF('Metrics - Articles'!F683,"*GCO – HR (SuccessFactors)*")</f>
        <v>0</v>
      </c>
      <c r="N686">
        <f>COUNTIF('Metrics - Articles'!F683,"*GCO – Services Sales*")</f>
        <v>0</v>
      </c>
      <c r="O686">
        <f>COUNTIF('Metrics - Articles'!F683,"*GCO – Other*")</f>
        <v>0</v>
      </c>
      <c r="P686">
        <f>COUNTIF('Metrics - Articles'!F683,"*Corporate*")</f>
        <v>0</v>
      </c>
      <c r="R686" s="53">
        <f t="shared" si="12"/>
        <v>0</v>
      </c>
    </row>
    <row r="687" spans="2:18" hidden="1" x14ac:dyDescent="0.25">
      <c r="B687" s="48">
        <f>+'Metrics - Articles'!C684</f>
        <v>0</v>
      </c>
      <c r="C687">
        <f>COUNTIF('Metrics - Articles'!F684,"*GPO (Partner, Ecosystem, Channels)*")</f>
        <v>0</v>
      </c>
      <c r="D687">
        <f>COUNTIF('Metrics - Articles'!F684,"*Office of the CEO*")</f>
        <v>0</v>
      </c>
      <c r="E687">
        <f>COUNTIF('Metrics - Articles'!F684,"*Services Delivery &amp; Support (go-lives and deployments) *")</f>
        <v>0</v>
      </c>
      <c r="F687">
        <f>COUNTIF('Metrics - Articles'!F684,"*Human Resources (SAP HR and employee stories)*")</f>
        <v>0</v>
      </c>
      <c r="G687">
        <f>COUNTIF('Metrics - Articles'!F684,"*P&amp;I (Research &amp; Development)*")</f>
        <v>0</v>
      </c>
      <c r="H687">
        <f>COUNTIF('Metrics - Articles'!F684,"*Business Network (Concur, Ariba, Fieldglass)*")</f>
        <v>0</v>
      </c>
      <c r="I687">
        <f>COUNTIF('Metrics - Articles'!F684,"*GCO – Regions*")</f>
        <v>0</v>
      </c>
      <c r="J687">
        <f>COUNTIF('Metrics - Articles'!F684,"*GCO – Platform Solutions*")</f>
        <v>0</v>
      </c>
      <c r="K687">
        <f>COUNTIF('Metrics - Articles'!F684,"*GCO – Industry Cloud *")</f>
        <v>0</v>
      </c>
      <c r="L687">
        <f>COUNTIF('Metrics - Articles'!F684,"*GCO – Customer Engagement &amp; Commerce (CRM &amp; hybris) *")</f>
        <v>0</v>
      </c>
      <c r="M687">
        <f>COUNTIF('Metrics - Articles'!F684,"*GCO – HR (SuccessFactors)*")</f>
        <v>0</v>
      </c>
      <c r="N687">
        <f>COUNTIF('Metrics - Articles'!F684,"*GCO – Services Sales*")</f>
        <v>0</v>
      </c>
      <c r="O687">
        <f>COUNTIF('Metrics - Articles'!F684,"*GCO – Other*")</f>
        <v>0</v>
      </c>
      <c r="P687">
        <f>COUNTIF('Metrics - Articles'!F684,"*Corporate*")</f>
        <v>0</v>
      </c>
      <c r="R687" s="53">
        <f t="shared" si="12"/>
        <v>0</v>
      </c>
    </row>
    <row r="688" spans="2:18" hidden="1" x14ac:dyDescent="0.25">
      <c r="B688" s="48">
        <f>+'Metrics - Articles'!C685</f>
        <v>0</v>
      </c>
      <c r="C688">
        <f>COUNTIF('Metrics - Articles'!F685,"*GPO (Partner, Ecosystem, Channels)*")</f>
        <v>0</v>
      </c>
      <c r="D688">
        <f>COUNTIF('Metrics - Articles'!F685,"*Office of the CEO*")</f>
        <v>0</v>
      </c>
      <c r="E688">
        <f>COUNTIF('Metrics - Articles'!F685,"*Services Delivery &amp; Support (go-lives and deployments) *")</f>
        <v>0</v>
      </c>
      <c r="F688">
        <f>COUNTIF('Metrics - Articles'!F685,"*Human Resources (SAP HR and employee stories)*")</f>
        <v>0</v>
      </c>
      <c r="G688">
        <f>COUNTIF('Metrics - Articles'!F685,"*P&amp;I (Research &amp; Development)*")</f>
        <v>0</v>
      </c>
      <c r="H688">
        <f>COUNTIF('Metrics - Articles'!F685,"*Business Network (Concur, Ariba, Fieldglass)*")</f>
        <v>0</v>
      </c>
      <c r="I688">
        <f>COUNTIF('Metrics - Articles'!F685,"*GCO – Regions*")</f>
        <v>0</v>
      </c>
      <c r="J688">
        <f>COUNTIF('Metrics - Articles'!F685,"*GCO – Platform Solutions*")</f>
        <v>0</v>
      </c>
      <c r="K688">
        <f>COUNTIF('Metrics - Articles'!F685,"*GCO – Industry Cloud *")</f>
        <v>0</v>
      </c>
      <c r="L688">
        <f>COUNTIF('Metrics - Articles'!F685,"*GCO – Customer Engagement &amp; Commerce (CRM &amp; hybris) *")</f>
        <v>0</v>
      </c>
      <c r="M688">
        <f>COUNTIF('Metrics - Articles'!F685,"*GCO – HR (SuccessFactors)*")</f>
        <v>0</v>
      </c>
      <c r="N688">
        <f>COUNTIF('Metrics - Articles'!F685,"*GCO – Services Sales*")</f>
        <v>0</v>
      </c>
      <c r="O688">
        <f>COUNTIF('Metrics - Articles'!F685,"*GCO – Other*")</f>
        <v>0</v>
      </c>
      <c r="P688">
        <f>COUNTIF('Metrics - Articles'!F685,"*Corporate*")</f>
        <v>0</v>
      </c>
      <c r="R688" s="53">
        <f t="shared" si="12"/>
        <v>0</v>
      </c>
    </row>
    <row r="689" spans="2:18" hidden="1" x14ac:dyDescent="0.25">
      <c r="B689" s="48">
        <f>+'Metrics - Articles'!C686</f>
        <v>0</v>
      </c>
      <c r="C689">
        <f>COUNTIF('Metrics - Articles'!F686,"*GPO (Partner, Ecosystem, Channels)*")</f>
        <v>0</v>
      </c>
      <c r="D689">
        <f>COUNTIF('Metrics - Articles'!F686,"*Office of the CEO*")</f>
        <v>0</v>
      </c>
      <c r="E689">
        <f>COUNTIF('Metrics - Articles'!F686,"*Services Delivery &amp; Support (go-lives and deployments) *")</f>
        <v>0</v>
      </c>
      <c r="F689">
        <f>COUNTIF('Metrics - Articles'!F686,"*Human Resources (SAP HR and employee stories)*")</f>
        <v>0</v>
      </c>
      <c r="G689">
        <f>COUNTIF('Metrics - Articles'!F686,"*P&amp;I (Research &amp; Development)*")</f>
        <v>0</v>
      </c>
      <c r="H689">
        <f>COUNTIF('Metrics - Articles'!F686,"*Business Network (Concur, Ariba, Fieldglass)*")</f>
        <v>0</v>
      </c>
      <c r="I689">
        <f>COUNTIF('Metrics - Articles'!F686,"*GCO – Regions*")</f>
        <v>0</v>
      </c>
      <c r="J689">
        <f>COUNTIF('Metrics - Articles'!F686,"*GCO – Platform Solutions*")</f>
        <v>0</v>
      </c>
      <c r="K689">
        <f>COUNTIF('Metrics - Articles'!F686,"*GCO – Industry Cloud *")</f>
        <v>0</v>
      </c>
      <c r="L689">
        <f>COUNTIF('Metrics - Articles'!F686,"*GCO – Customer Engagement &amp; Commerce (CRM &amp; hybris) *")</f>
        <v>0</v>
      </c>
      <c r="M689">
        <f>COUNTIF('Metrics - Articles'!F686,"*GCO – HR (SuccessFactors)*")</f>
        <v>0</v>
      </c>
      <c r="N689">
        <f>COUNTIF('Metrics - Articles'!F686,"*GCO – Services Sales*")</f>
        <v>0</v>
      </c>
      <c r="O689">
        <f>COUNTIF('Metrics - Articles'!F686,"*GCO – Other*")</f>
        <v>0</v>
      </c>
      <c r="P689">
        <f>COUNTIF('Metrics - Articles'!F686,"*Corporate*")</f>
        <v>0</v>
      </c>
      <c r="R689" s="53">
        <f t="shared" si="12"/>
        <v>0</v>
      </c>
    </row>
    <row r="690" spans="2:18" hidden="1" x14ac:dyDescent="0.25">
      <c r="B690" s="48">
        <f>+'Metrics - Articles'!C687</f>
        <v>0</v>
      </c>
      <c r="C690">
        <f>COUNTIF('Metrics - Articles'!F687,"*GPO (Partner, Ecosystem, Channels)*")</f>
        <v>0</v>
      </c>
      <c r="D690">
        <f>COUNTIF('Metrics - Articles'!F687,"*Office of the CEO*")</f>
        <v>0</v>
      </c>
      <c r="E690">
        <f>COUNTIF('Metrics - Articles'!F687,"*Services Delivery &amp; Support (go-lives and deployments) *")</f>
        <v>0</v>
      </c>
      <c r="F690">
        <f>COUNTIF('Metrics - Articles'!F687,"*Human Resources (SAP HR and employee stories)*")</f>
        <v>0</v>
      </c>
      <c r="G690">
        <f>COUNTIF('Metrics - Articles'!F687,"*P&amp;I (Research &amp; Development)*")</f>
        <v>0</v>
      </c>
      <c r="H690">
        <f>COUNTIF('Metrics - Articles'!F687,"*Business Network (Concur, Ariba, Fieldglass)*")</f>
        <v>0</v>
      </c>
      <c r="I690">
        <f>COUNTIF('Metrics - Articles'!F687,"*GCO – Regions*")</f>
        <v>0</v>
      </c>
      <c r="J690">
        <f>COUNTIF('Metrics - Articles'!F687,"*GCO – Platform Solutions*")</f>
        <v>0</v>
      </c>
      <c r="K690">
        <f>COUNTIF('Metrics - Articles'!F687,"*GCO – Industry Cloud *")</f>
        <v>0</v>
      </c>
      <c r="L690">
        <f>COUNTIF('Metrics - Articles'!F687,"*GCO – Customer Engagement &amp; Commerce (CRM &amp; hybris) *")</f>
        <v>0</v>
      </c>
      <c r="M690">
        <f>COUNTIF('Metrics - Articles'!F687,"*GCO – HR (SuccessFactors)*")</f>
        <v>0</v>
      </c>
      <c r="N690">
        <f>COUNTIF('Metrics - Articles'!F687,"*GCO – Services Sales*")</f>
        <v>0</v>
      </c>
      <c r="O690">
        <f>COUNTIF('Metrics - Articles'!F687,"*GCO – Other*")</f>
        <v>0</v>
      </c>
      <c r="P690">
        <f>COUNTIF('Metrics - Articles'!F687,"*Corporate*")</f>
        <v>0</v>
      </c>
      <c r="R690" s="53">
        <f t="shared" si="12"/>
        <v>0</v>
      </c>
    </row>
    <row r="691" spans="2:18" hidden="1" x14ac:dyDescent="0.25">
      <c r="B691" s="48">
        <f>+'Metrics - Articles'!C688</f>
        <v>0</v>
      </c>
      <c r="C691">
        <f>COUNTIF('Metrics - Articles'!F688,"*GPO (Partner, Ecosystem, Channels)*")</f>
        <v>0</v>
      </c>
      <c r="D691">
        <f>COUNTIF('Metrics - Articles'!F688,"*Office of the CEO*")</f>
        <v>0</v>
      </c>
      <c r="E691">
        <f>COUNTIF('Metrics - Articles'!F688,"*Services Delivery &amp; Support (go-lives and deployments) *")</f>
        <v>0</v>
      </c>
      <c r="F691">
        <f>COUNTIF('Metrics - Articles'!F688,"*Human Resources (SAP HR and employee stories)*")</f>
        <v>0</v>
      </c>
      <c r="G691">
        <f>COUNTIF('Metrics - Articles'!F688,"*P&amp;I (Research &amp; Development)*")</f>
        <v>0</v>
      </c>
      <c r="H691">
        <f>COUNTIF('Metrics - Articles'!F688,"*Business Network (Concur, Ariba, Fieldglass)*")</f>
        <v>0</v>
      </c>
      <c r="I691">
        <f>COUNTIF('Metrics - Articles'!F688,"*GCO – Regions*")</f>
        <v>0</v>
      </c>
      <c r="J691">
        <f>COUNTIF('Metrics - Articles'!F688,"*GCO – Platform Solutions*")</f>
        <v>0</v>
      </c>
      <c r="K691">
        <f>COUNTIF('Metrics - Articles'!F688,"*GCO – Industry Cloud *")</f>
        <v>0</v>
      </c>
      <c r="L691">
        <f>COUNTIF('Metrics - Articles'!F688,"*GCO – Customer Engagement &amp; Commerce (CRM &amp; hybris) *")</f>
        <v>0</v>
      </c>
      <c r="M691">
        <f>COUNTIF('Metrics - Articles'!F688,"*GCO – HR (SuccessFactors)*")</f>
        <v>0</v>
      </c>
      <c r="N691">
        <f>COUNTIF('Metrics - Articles'!F688,"*GCO – Services Sales*")</f>
        <v>0</v>
      </c>
      <c r="O691">
        <f>COUNTIF('Metrics - Articles'!F688,"*GCO – Other*")</f>
        <v>0</v>
      </c>
      <c r="P691">
        <f>COUNTIF('Metrics - Articles'!F688,"*Corporate*")</f>
        <v>0</v>
      </c>
      <c r="R691" s="53">
        <f t="shared" si="12"/>
        <v>0</v>
      </c>
    </row>
    <row r="692" spans="2:18" hidden="1" x14ac:dyDescent="0.25">
      <c r="B692" s="48">
        <f>+'Metrics - Articles'!C689</f>
        <v>0</v>
      </c>
      <c r="C692">
        <f>COUNTIF('Metrics - Articles'!F689,"*GPO (Partner, Ecosystem, Channels)*")</f>
        <v>0</v>
      </c>
      <c r="D692">
        <f>COUNTIF('Metrics - Articles'!F689,"*Office of the CEO*")</f>
        <v>0</v>
      </c>
      <c r="E692">
        <f>COUNTIF('Metrics - Articles'!F689,"*Services Delivery &amp; Support (go-lives and deployments) *")</f>
        <v>0</v>
      </c>
      <c r="F692">
        <f>COUNTIF('Metrics - Articles'!F689,"*Human Resources (SAP HR and employee stories)*")</f>
        <v>0</v>
      </c>
      <c r="G692">
        <f>COUNTIF('Metrics - Articles'!F689,"*P&amp;I (Research &amp; Development)*")</f>
        <v>0</v>
      </c>
      <c r="H692">
        <f>COUNTIF('Metrics - Articles'!F689,"*Business Network (Concur, Ariba, Fieldglass)*")</f>
        <v>0</v>
      </c>
      <c r="I692">
        <f>COUNTIF('Metrics - Articles'!F689,"*GCO – Regions*")</f>
        <v>0</v>
      </c>
      <c r="J692">
        <f>COUNTIF('Metrics - Articles'!F689,"*GCO – Platform Solutions*")</f>
        <v>0</v>
      </c>
      <c r="K692">
        <f>COUNTIF('Metrics - Articles'!F689,"*GCO – Industry Cloud *")</f>
        <v>0</v>
      </c>
      <c r="L692">
        <f>COUNTIF('Metrics - Articles'!F689,"*GCO – Customer Engagement &amp; Commerce (CRM &amp; hybris) *")</f>
        <v>0</v>
      </c>
      <c r="M692">
        <f>COUNTIF('Metrics - Articles'!F689,"*GCO – HR (SuccessFactors)*")</f>
        <v>0</v>
      </c>
      <c r="N692">
        <f>COUNTIF('Metrics - Articles'!F689,"*GCO – Services Sales*")</f>
        <v>0</v>
      </c>
      <c r="O692">
        <f>COUNTIF('Metrics - Articles'!F689,"*GCO – Other*")</f>
        <v>0</v>
      </c>
      <c r="P692">
        <f>COUNTIF('Metrics - Articles'!F689,"*Corporate*")</f>
        <v>0</v>
      </c>
      <c r="R692" s="53">
        <f t="shared" si="12"/>
        <v>0</v>
      </c>
    </row>
    <row r="693" spans="2:18" hidden="1" x14ac:dyDescent="0.25">
      <c r="B693" s="48">
        <f>+'Metrics - Articles'!C690</f>
        <v>0</v>
      </c>
      <c r="C693">
        <f>COUNTIF('Metrics - Articles'!F690,"*GPO (Partner, Ecosystem, Channels)*")</f>
        <v>0</v>
      </c>
      <c r="D693">
        <f>COUNTIF('Metrics - Articles'!F690,"*Office of the CEO*")</f>
        <v>0</v>
      </c>
      <c r="E693">
        <f>COUNTIF('Metrics - Articles'!F690,"*Services Delivery &amp; Support (go-lives and deployments) *")</f>
        <v>0</v>
      </c>
      <c r="F693">
        <f>COUNTIF('Metrics - Articles'!F690,"*Human Resources (SAP HR and employee stories)*")</f>
        <v>0</v>
      </c>
      <c r="G693">
        <f>COUNTIF('Metrics - Articles'!F690,"*P&amp;I (Research &amp; Development)*")</f>
        <v>0</v>
      </c>
      <c r="H693">
        <f>COUNTIF('Metrics - Articles'!F690,"*Business Network (Concur, Ariba, Fieldglass)*")</f>
        <v>0</v>
      </c>
      <c r="I693">
        <f>COUNTIF('Metrics - Articles'!F690,"*GCO – Regions*")</f>
        <v>0</v>
      </c>
      <c r="J693">
        <f>COUNTIF('Metrics - Articles'!F690,"*GCO – Platform Solutions*")</f>
        <v>0</v>
      </c>
      <c r="K693">
        <f>COUNTIF('Metrics - Articles'!F690,"*GCO – Industry Cloud *")</f>
        <v>0</v>
      </c>
      <c r="L693">
        <f>COUNTIF('Metrics - Articles'!F690,"*GCO – Customer Engagement &amp; Commerce (CRM &amp; hybris) *")</f>
        <v>0</v>
      </c>
      <c r="M693">
        <f>COUNTIF('Metrics - Articles'!F690,"*GCO – HR (SuccessFactors)*")</f>
        <v>0</v>
      </c>
      <c r="N693">
        <f>COUNTIF('Metrics - Articles'!F690,"*GCO – Services Sales*")</f>
        <v>0</v>
      </c>
      <c r="O693">
        <f>COUNTIF('Metrics - Articles'!F690,"*GCO – Other*")</f>
        <v>0</v>
      </c>
      <c r="P693">
        <f>COUNTIF('Metrics - Articles'!F690,"*Corporate*")</f>
        <v>0</v>
      </c>
      <c r="R693" s="53">
        <f t="shared" si="12"/>
        <v>0</v>
      </c>
    </row>
    <row r="694" spans="2:18" hidden="1" x14ac:dyDescent="0.25">
      <c r="B694" s="48">
        <f>+'Metrics - Articles'!C691</f>
        <v>0</v>
      </c>
      <c r="C694">
        <f>COUNTIF('Metrics - Articles'!F691,"*GPO (Partner, Ecosystem, Channels)*")</f>
        <v>0</v>
      </c>
      <c r="D694">
        <f>COUNTIF('Metrics - Articles'!F691,"*Office of the CEO*")</f>
        <v>0</v>
      </c>
      <c r="E694">
        <f>COUNTIF('Metrics - Articles'!F691,"*Services Delivery &amp; Support (go-lives and deployments) *")</f>
        <v>0</v>
      </c>
      <c r="F694">
        <f>COUNTIF('Metrics - Articles'!F691,"*Human Resources (SAP HR and employee stories)*")</f>
        <v>0</v>
      </c>
      <c r="G694">
        <f>COUNTIF('Metrics - Articles'!F691,"*P&amp;I (Research &amp; Development)*")</f>
        <v>0</v>
      </c>
      <c r="H694">
        <f>COUNTIF('Metrics - Articles'!F691,"*Business Network (Concur, Ariba, Fieldglass)*")</f>
        <v>0</v>
      </c>
      <c r="I694">
        <f>COUNTIF('Metrics - Articles'!F691,"*GCO – Regions*")</f>
        <v>0</v>
      </c>
      <c r="J694">
        <f>COUNTIF('Metrics - Articles'!F691,"*GCO – Platform Solutions*")</f>
        <v>0</v>
      </c>
      <c r="K694">
        <f>COUNTIF('Metrics - Articles'!F691,"*GCO – Industry Cloud *")</f>
        <v>0</v>
      </c>
      <c r="L694">
        <f>COUNTIF('Metrics - Articles'!F691,"*GCO – Customer Engagement &amp; Commerce (CRM &amp; hybris) *")</f>
        <v>0</v>
      </c>
      <c r="M694">
        <f>COUNTIF('Metrics - Articles'!F691,"*GCO – HR (SuccessFactors)*")</f>
        <v>0</v>
      </c>
      <c r="N694">
        <f>COUNTIF('Metrics - Articles'!F691,"*GCO – Services Sales*")</f>
        <v>0</v>
      </c>
      <c r="O694">
        <f>COUNTIF('Metrics - Articles'!F691,"*GCO – Other*")</f>
        <v>0</v>
      </c>
      <c r="P694">
        <f>COUNTIF('Metrics - Articles'!F691,"*Corporate*")</f>
        <v>0</v>
      </c>
      <c r="R694" s="53">
        <f t="shared" si="12"/>
        <v>0</v>
      </c>
    </row>
    <row r="695" spans="2:18" hidden="1" x14ac:dyDescent="0.25">
      <c r="B695" s="48">
        <f>+'Metrics - Articles'!C692</f>
        <v>0</v>
      </c>
      <c r="C695">
        <f>COUNTIF('Metrics - Articles'!F692,"*GPO (Partner, Ecosystem, Channels)*")</f>
        <v>0</v>
      </c>
      <c r="D695">
        <f>COUNTIF('Metrics - Articles'!F692,"*Office of the CEO*")</f>
        <v>0</v>
      </c>
      <c r="E695">
        <f>COUNTIF('Metrics - Articles'!F692,"*Services Delivery &amp; Support (go-lives and deployments) *")</f>
        <v>0</v>
      </c>
      <c r="F695">
        <f>COUNTIF('Metrics - Articles'!F692,"*Human Resources (SAP HR and employee stories)*")</f>
        <v>0</v>
      </c>
      <c r="G695">
        <f>COUNTIF('Metrics - Articles'!F692,"*P&amp;I (Research &amp; Development)*")</f>
        <v>0</v>
      </c>
      <c r="H695">
        <f>COUNTIF('Metrics - Articles'!F692,"*Business Network (Concur, Ariba, Fieldglass)*")</f>
        <v>0</v>
      </c>
      <c r="I695">
        <f>COUNTIF('Metrics - Articles'!F692,"*GCO – Regions*")</f>
        <v>0</v>
      </c>
      <c r="J695">
        <f>COUNTIF('Metrics - Articles'!F692,"*GCO – Platform Solutions*")</f>
        <v>0</v>
      </c>
      <c r="K695">
        <f>COUNTIF('Metrics - Articles'!F692,"*GCO – Industry Cloud *")</f>
        <v>0</v>
      </c>
      <c r="L695">
        <f>COUNTIF('Metrics - Articles'!F692,"*GCO – Customer Engagement &amp; Commerce (CRM &amp; hybris) *")</f>
        <v>0</v>
      </c>
      <c r="M695">
        <f>COUNTIF('Metrics - Articles'!F692,"*GCO – HR (SuccessFactors)*")</f>
        <v>0</v>
      </c>
      <c r="N695">
        <f>COUNTIF('Metrics - Articles'!F692,"*GCO – Services Sales*")</f>
        <v>0</v>
      </c>
      <c r="O695">
        <f>COUNTIF('Metrics - Articles'!F692,"*GCO – Other*")</f>
        <v>0</v>
      </c>
      <c r="P695">
        <f>COUNTIF('Metrics - Articles'!F692,"*Corporate*")</f>
        <v>0</v>
      </c>
      <c r="R695" s="53">
        <f t="shared" si="12"/>
        <v>0</v>
      </c>
    </row>
    <row r="696" spans="2:18" hidden="1" x14ac:dyDescent="0.25">
      <c r="B696" s="48">
        <f>+'Metrics - Articles'!C693</f>
        <v>0</v>
      </c>
      <c r="C696">
        <f>COUNTIF('Metrics - Articles'!F693,"*GPO (Partner, Ecosystem, Channels)*")</f>
        <v>0</v>
      </c>
      <c r="D696">
        <f>COUNTIF('Metrics - Articles'!F693,"*Office of the CEO*")</f>
        <v>0</v>
      </c>
      <c r="E696">
        <f>COUNTIF('Metrics - Articles'!F693,"*Services Delivery &amp; Support (go-lives and deployments) *")</f>
        <v>0</v>
      </c>
      <c r="F696">
        <f>COUNTIF('Metrics - Articles'!F693,"*Human Resources (SAP HR and employee stories)*")</f>
        <v>0</v>
      </c>
      <c r="G696">
        <f>COUNTIF('Metrics - Articles'!F693,"*P&amp;I (Research &amp; Development)*")</f>
        <v>0</v>
      </c>
      <c r="H696">
        <f>COUNTIF('Metrics - Articles'!F693,"*Business Network (Concur, Ariba, Fieldglass)*")</f>
        <v>0</v>
      </c>
      <c r="I696">
        <f>COUNTIF('Metrics - Articles'!F693,"*GCO – Regions*")</f>
        <v>0</v>
      </c>
      <c r="J696">
        <f>COUNTIF('Metrics - Articles'!F693,"*GCO – Platform Solutions*")</f>
        <v>0</v>
      </c>
      <c r="K696">
        <f>COUNTIF('Metrics - Articles'!F693,"*GCO – Industry Cloud *")</f>
        <v>0</v>
      </c>
      <c r="L696">
        <f>COUNTIF('Metrics - Articles'!F693,"*GCO – Customer Engagement &amp; Commerce (CRM &amp; hybris) *")</f>
        <v>0</v>
      </c>
      <c r="M696">
        <f>COUNTIF('Metrics - Articles'!F693,"*GCO – HR (SuccessFactors)*")</f>
        <v>0</v>
      </c>
      <c r="N696">
        <f>COUNTIF('Metrics - Articles'!F693,"*GCO – Services Sales*")</f>
        <v>0</v>
      </c>
      <c r="O696">
        <f>COUNTIF('Metrics - Articles'!F693,"*GCO – Other*")</f>
        <v>0</v>
      </c>
      <c r="P696">
        <f>COUNTIF('Metrics - Articles'!F693,"*Corporate*")</f>
        <v>0</v>
      </c>
      <c r="R696" s="53">
        <f t="shared" si="12"/>
        <v>0</v>
      </c>
    </row>
    <row r="697" spans="2:18" hidden="1" x14ac:dyDescent="0.25">
      <c r="B697" s="48">
        <f>+'Metrics - Articles'!C694</f>
        <v>0</v>
      </c>
      <c r="C697">
        <f>COUNTIF('Metrics - Articles'!F694,"*GPO (Partner, Ecosystem, Channels)*")</f>
        <v>0</v>
      </c>
      <c r="D697">
        <f>COUNTIF('Metrics - Articles'!F694,"*Office of the CEO*")</f>
        <v>0</v>
      </c>
      <c r="E697">
        <f>COUNTIF('Metrics - Articles'!F694,"*Services Delivery &amp; Support (go-lives and deployments) *")</f>
        <v>0</v>
      </c>
      <c r="F697">
        <f>COUNTIF('Metrics - Articles'!F694,"*Human Resources (SAP HR and employee stories)*")</f>
        <v>0</v>
      </c>
      <c r="G697">
        <f>COUNTIF('Metrics - Articles'!F694,"*P&amp;I (Research &amp; Development)*")</f>
        <v>0</v>
      </c>
      <c r="H697">
        <f>COUNTIF('Metrics - Articles'!F694,"*Business Network (Concur, Ariba, Fieldglass)*")</f>
        <v>0</v>
      </c>
      <c r="I697">
        <f>COUNTIF('Metrics - Articles'!F694,"*GCO – Regions*")</f>
        <v>0</v>
      </c>
      <c r="J697">
        <f>COUNTIF('Metrics - Articles'!F694,"*GCO – Platform Solutions*")</f>
        <v>0</v>
      </c>
      <c r="K697">
        <f>COUNTIF('Metrics - Articles'!F694,"*GCO – Industry Cloud *")</f>
        <v>0</v>
      </c>
      <c r="L697">
        <f>COUNTIF('Metrics - Articles'!F694,"*GCO – Customer Engagement &amp; Commerce (CRM &amp; hybris) *")</f>
        <v>0</v>
      </c>
      <c r="M697">
        <f>COUNTIF('Metrics - Articles'!F694,"*GCO – HR (SuccessFactors)*")</f>
        <v>0</v>
      </c>
      <c r="N697">
        <f>COUNTIF('Metrics - Articles'!F694,"*GCO – Services Sales*")</f>
        <v>0</v>
      </c>
      <c r="O697">
        <f>COUNTIF('Metrics - Articles'!F694,"*GCO – Other*")</f>
        <v>0</v>
      </c>
      <c r="P697">
        <f>COUNTIF('Metrics - Articles'!F694,"*Corporate*")</f>
        <v>0</v>
      </c>
      <c r="R697" s="53">
        <f t="shared" si="12"/>
        <v>0</v>
      </c>
    </row>
    <row r="698" spans="2:18" hidden="1" x14ac:dyDescent="0.25">
      <c r="B698" s="48">
        <f>+'Metrics - Articles'!C695</f>
        <v>0</v>
      </c>
      <c r="C698">
        <f>COUNTIF('Metrics - Articles'!F695,"*GPO (Partner, Ecosystem, Channels)*")</f>
        <v>0</v>
      </c>
      <c r="D698">
        <f>COUNTIF('Metrics - Articles'!F695,"*Office of the CEO*")</f>
        <v>0</v>
      </c>
      <c r="E698">
        <f>COUNTIF('Metrics - Articles'!F695,"*Services Delivery &amp; Support (go-lives and deployments) *")</f>
        <v>0</v>
      </c>
      <c r="F698">
        <f>COUNTIF('Metrics - Articles'!F695,"*Human Resources (SAP HR and employee stories)*")</f>
        <v>0</v>
      </c>
      <c r="G698">
        <f>COUNTIF('Metrics - Articles'!F695,"*P&amp;I (Research &amp; Development)*")</f>
        <v>0</v>
      </c>
      <c r="H698">
        <f>COUNTIF('Metrics - Articles'!F695,"*Business Network (Concur, Ariba, Fieldglass)*")</f>
        <v>0</v>
      </c>
      <c r="I698">
        <f>COUNTIF('Metrics - Articles'!F695,"*GCO – Regions*")</f>
        <v>0</v>
      </c>
      <c r="J698">
        <f>COUNTIF('Metrics - Articles'!F695,"*GCO – Platform Solutions*")</f>
        <v>0</v>
      </c>
      <c r="K698">
        <f>COUNTIF('Metrics - Articles'!F695,"*GCO – Industry Cloud *")</f>
        <v>0</v>
      </c>
      <c r="L698">
        <f>COUNTIF('Metrics - Articles'!F695,"*GCO – Customer Engagement &amp; Commerce (CRM &amp; hybris) *")</f>
        <v>0</v>
      </c>
      <c r="M698">
        <f>COUNTIF('Metrics - Articles'!F695,"*GCO – HR (SuccessFactors)*")</f>
        <v>0</v>
      </c>
      <c r="N698">
        <f>COUNTIF('Metrics - Articles'!F695,"*GCO – Services Sales*")</f>
        <v>0</v>
      </c>
      <c r="O698">
        <f>COUNTIF('Metrics - Articles'!F695,"*GCO – Other*")</f>
        <v>0</v>
      </c>
      <c r="P698">
        <f>COUNTIF('Metrics - Articles'!F695,"*Corporate*")</f>
        <v>0</v>
      </c>
      <c r="R698" s="53">
        <f t="shared" si="12"/>
        <v>0</v>
      </c>
    </row>
    <row r="699" spans="2:18" hidden="1" x14ac:dyDescent="0.25">
      <c r="B699" s="48">
        <f>+'Metrics - Articles'!C696</f>
        <v>0</v>
      </c>
      <c r="C699">
        <f>COUNTIF('Metrics - Articles'!F696,"*GPO (Partner, Ecosystem, Channels)*")</f>
        <v>0</v>
      </c>
      <c r="D699">
        <f>COUNTIF('Metrics - Articles'!F696,"*Office of the CEO*")</f>
        <v>0</v>
      </c>
      <c r="E699">
        <f>COUNTIF('Metrics - Articles'!F696,"*Services Delivery &amp; Support (go-lives and deployments) *")</f>
        <v>0</v>
      </c>
      <c r="F699">
        <f>COUNTIF('Metrics - Articles'!F696,"*Human Resources (SAP HR and employee stories)*")</f>
        <v>0</v>
      </c>
      <c r="G699">
        <f>COUNTIF('Metrics - Articles'!F696,"*P&amp;I (Research &amp; Development)*")</f>
        <v>0</v>
      </c>
      <c r="H699">
        <f>COUNTIF('Metrics - Articles'!F696,"*Business Network (Concur, Ariba, Fieldglass)*")</f>
        <v>0</v>
      </c>
      <c r="I699">
        <f>COUNTIF('Metrics - Articles'!F696,"*GCO – Regions*")</f>
        <v>0</v>
      </c>
      <c r="J699">
        <f>COUNTIF('Metrics - Articles'!F696,"*GCO – Platform Solutions*")</f>
        <v>0</v>
      </c>
      <c r="K699">
        <f>COUNTIF('Metrics - Articles'!F696,"*GCO – Industry Cloud *")</f>
        <v>0</v>
      </c>
      <c r="L699">
        <f>COUNTIF('Metrics - Articles'!F696,"*GCO – Customer Engagement &amp; Commerce (CRM &amp; hybris) *")</f>
        <v>0</v>
      </c>
      <c r="M699">
        <f>COUNTIF('Metrics - Articles'!F696,"*GCO – HR (SuccessFactors)*")</f>
        <v>0</v>
      </c>
      <c r="N699">
        <f>COUNTIF('Metrics - Articles'!F696,"*GCO – Services Sales*")</f>
        <v>0</v>
      </c>
      <c r="O699">
        <f>COUNTIF('Metrics - Articles'!F696,"*GCO – Other*")</f>
        <v>0</v>
      </c>
      <c r="P699">
        <f>COUNTIF('Metrics - Articles'!F696,"*Corporate*")</f>
        <v>0</v>
      </c>
      <c r="R699" s="53">
        <f t="shared" si="12"/>
        <v>0</v>
      </c>
    </row>
    <row r="700" spans="2:18" hidden="1" x14ac:dyDescent="0.25">
      <c r="B700" s="48">
        <f>+'Metrics - Articles'!C697</f>
        <v>0</v>
      </c>
      <c r="C700">
        <f>COUNTIF('Metrics - Articles'!F697,"*GPO (Partner, Ecosystem, Channels)*")</f>
        <v>0</v>
      </c>
      <c r="D700">
        <f>COUNTIF('Metrics - Articles'!F697,"*Office of the CEO*")</f>
        <v>0</v>
      </c>
      <c r="E700">
        <f>COUNTIF('Metrics - Articles'!F697,"*Services Delivery &amp; Support (go-lives and deployments) *")</f>
        <v>0</v>
      </c>
      <c r="F700">
        <f>COUNTIF('Metrics - Articles'!F697,"*Human Resources (SAP HR and employee stories)*")</f>
        <v>0</v>
      </c>
      <c r="G700">
        <f>COUNTIF('Metrics - Articles'!F697,"*P&amp;I (Research &amp; Development)*")</f>
        <v>0</v>
      </c>
      <c r="H700">
        <f>COUNTIF('Metrics - Articles'!F697,"*Business Network (Concur, Ariba, Fieldglass)*")</f>
        <v>0</v>
      </c>
      <c r="I700">
        <f>COUNTIF('Metrics - Articles'!F697,"*GCO – Regions*")</f>
        <v>0</v>
      </c>
      <c r="J700">
        <f>COUNTIF('Metrics - Articles'!F697,"*GCO – Platform Solutions*")</f>
        <v>0</v>
      </c>
      <c r="K700">
        <f>COUNTIF('Metrics - Articles'!F697,"*GCO – Industry Cloud *")</f>
        <v>0</v>
      </c>
      <c r="L700">
        <f>COUNTIF('Metrics - Articles'!F697,"*GCO – Customer Engagement &amp; Commerce (CRM &amp; hybris) *")</f>
        <v>0</v>
      </c>
      <c r="M700">
        <f>COUNTIF('Metrics - Articles'!F697,"*GCO – HR (SuccessFactors)*")</f>
        <v>0</v>
      </c>
      <c r="N700">
        <f>COUNTIF('Metrics - Articles'!F697,"*GCO – Services Sales*")</f>
        <v>0</v>
      </c>
      <c r="O700">
        <f>COUNTIF('Metrics - Articles'!F697,"*GCO – Other*")</f>
        <v>0</v>
      </c>
      <c r="P700">
        <f>COUNTIF('Metrics - Articles'!F697,"*Corporate*")</f>
        <v>0</v>
      </c>
      <c r="R700" s="53">
        <f t="shared" si="12"/>
        <v>0</v>
      </c>
    </row>
    <row r="701" spans="2:18" hidden="1" x14ac:dyDescent="0.25">
      <c r="B701" s="48">
        <f>+'Metrics - Articles'!C698</f>
        <v>0</v>
      </c>
      <c r="C701">
        <f>COUNTIF('Metrics - Articles'!F698,"*GPO (Partner, Ecosystem, Channels)*")</f>
        <v>0</v>
      </c>
      <c r="D701">
        <f>COUNTIF('Metrics - Articles'!F698,"*Office of the CEO*")</f>
        <v>0</v>
      </c>
      <c r="E701">
        <f>COUNTIF('Metrics - Articles'!F698,"*Services Delivery &amp; Support (go-lives and deployments) *")</f>
        <v>0</v>
      </c>
      <c r="F701">
        <f>COUNTIF('Metrics - Articles'!F698,"*Human Resources (SAP HR and employee stories)*")</f>
        <v>0</v>
      </c>
      <c r="G701">
        <f>COUNTIF('Metrics - Articles'!F698,"*P&amp;I (Research &amp; Development)*")</f>
        <v>0</v>
      </c>
      <c r="H701">
        <f>COUNTIF('Metrics - Articles'!F698,"*Business Network (Concur, Ariba, Fieldglass)*")</f>
        <v>0</v>
      </c>
      <c r="I701">
        <f>COUNTIF('Metrics - Articles'!F698,"*GCO – Regions*")</f>
        <v>0</v>
      </c>
      <c r="J701">
        <f>COUNTIF('Metrics - Articles'!F698,"*GCO – Platform Solutions*")</f>
        <v>0</v>
      </c>
      <c r="K701">
        <f>COUNTIF('Metrics - Articles'!F698,"*GCO – Industry Cloud *")</f>
        <v>0</v>
      </c>
      <c r="L701">
        <f>COUNTIF('Metrics - Articles'!F698,"*GCO – Customer Engagement &amp; Commerce (CRM &amp; hybris) *")</f>
        <v>0</v>
      </c>
      <c r="M701">
        <f>COUNTIF('Metrics - Articles'!F698,"*GCO – HR (SuccessFactors)*")</f>
        <v>0</v>
      </c>
      <c r="N701">
        <f>COUNTIF('Metrics - Articles'!F698,"*GCO – Services Sales*")</f>
        <v>0</v>
      </c>
      <c r="O701">
        <f>COUNTIF('Metrics - Articles'!F698,"*GCO – Other*")</f>
        <v>0</v>
      </c>
      <c r="P701">
        <f>COUNTIF('Metrics - Articles'!F698,"*Corporate*")</f>
        <v>0</v>
      </c>
      <c r="R701" s="53">
        <f t="shared" si="12"/>
        <v>0</v>
      </c>
    </row>
    <row r="702" spans="2:18" hidden="1" x14ac:dyDescent="0.25">
      <c r="B702" s="48">
        <f>+'Metrics - Articles'!C699</f>
        <v>0</v>
      </c>
      <c r="C702">
        <f>COUNTIF('Metrics - Articles'!F699,"*GPO (Partner, Ecosystem, Channels)*")</f>
        <v>0</v>
      </c>
      <c r="D702">
        <f>COUNTIF('Metrics - Articles'!F699,"*Office of the CEO*")</f>
        <v>0</v>
      </c>
      <c r="E702">
        <f>COUNTIF('Metrics - Articles'!F699,"*Services Delivery &amp; Support (go-lives and deployments) *")</f>
        <v>0</v>
      </c>
      <c r="F702">
        <f>COUNTIF('Metrics - Articles'!F699,"*Human Resources (SAP HR and employee stories)*")</f>
        <v>0</v>
      </c>
      <c r="G702">
        <f>COUNTIF('Metrics - Articles'!F699,"*P&amp;I (Research &amp; Development)*")</f>
        <v>0</v>
      </c>
      <c r="H702">
        <f>COUNTIF('Metrics - Articles'!F699,"*Business Network (Concur, Ariba, Fieldglass)*")</f>
        <v>0</v>
      </c>
      <c r="I702">
        <f>COUNTIF('Metrics - Articles'!F699,"*GCO – Regions*")</f>
        <v>0</v>
      </c>
      <c r="J702">
        <f>COUNTIF('Metrics - Articles'!F699,"*GCO – Platform Solutions*")</f>
        <v>0</v>
      </c>
      <c r="K702">
        <f>COUNTIF('Metrics - Articles'!F699,"*GCO – Industry Cloud *")</f>
        <v>0</v>
      </c>
      <c r="L702">
        <f>COUNTIF('Metrics - Articles'!F699,"*GCO – Customer Engagement &amp; Commerce (CRM &amp; hybris) *")</f>
        <v>0</v>
      </c>
      <c r="M702">
        <f>COUNTIF('Metrics - Articles'!F699,"*GCO – HR (SuccessFactors)*")</f>
        <v>0</v>
      </c>
      <c r="N702">
        <f>COUNTIF('Metrics - Articles'!F699,"*GCO – Services Sales*")</f>
        <v>0</v>
      </c>
      <c r="O702">
        <f>COUNTIF('Metrics - Articles'!F699,"*GCO – Other*")</f>
        <v>0</v>
      </c>
      <c r="P702">
        <f>COUNTIF('Metrics - Articles'!F699,"*Corporate*")</f>
        <v>0</v>
      </c>
      <c r="R702" s="53">
        <f t="shared" si="12"/>
        <v>0</v>
      </c>
    </row>
    <row r="703" spans="2:18" hidden="1" x14ac:dyDescent="0.25">
      <c r="B703" s="48">
        <f>+'Metrics - Articles'!C700</f>
        <v>0</v>
      </c>
      <c r="C703">
        <f>COUNTIF('Metrics - Articles'!F700,"*GPO (Partner, Ecosystem, Channels)*")</f>
        <v>0</v>
      </c>
      <c r="D703">
        <f>COUNTIF('Metrics - Articles'!F700,"*Office of the CEO*")</f>
        <v>0</v>
      </c>
      <c r="E703">
        <f>COUNTIF('Metrics - Articles'!F700,"*Services Delivery &amp; Support (go-lives and deployments) *")</f>
        <v>0</v>
      </c>
      <c r="F703">
        <f>COUNTIF('Metrics - Articles'!F700,"*Human Resources (SAP HR and employee stories)*")</f>
        <v>0</v>
      </c>
      <c r="G703">
        <f>COUNTIF('Metrics - Articles'!F700,"*P&amp;I (Research &amp; Development)*")</f>
        <v>0</v>
      </c>
      <c r="H703">
        <f>COUNTIF('Metrics - Articles'!F700,"*Business Network (Concur, Ariba, Fieldglass)*")</f>
        <v>0</v>
      </c>
      <c r="I703">
        <f>COUNTIF('Metrics - Articles'!F700,"*GCO – Regions*")</f>
        <v>0</v>
      </c>
      <c r="J703">
        <f>COUNTIF('Metrics - Articles'!F700,"*GCO – Platform Solutions*")</f>
        <v>0</v>
      </c>
      <c r="K703">
        <f>COUNTIF('Metrics - Articles'!F700,"*GCO – Industry Cloud *")</f>
        <v>0</v>
      </c>
      <c r="L703">
        <f>COUNTIF('Metrics - Articles'!F700,"*GCO – Customer Engagement &amp; Commerce (CRM &amp; hybris) *")</f>
        <v>0</v>
      </c>
      <c r="M703">
        <f>COUNTIF('Metrics - Articles'!F700,"*GCO – HR (SuccessFactors)*")</f>
        <v>0</v>
      </c>
      <c r="N703">
        <f>COUNTIF('Metrics - Articles'!F700,"*GCO – Services Sales*")</f>
        <v>0</v>
      </c>
      <c r="O703">
        <f>COUNTIF('Metrics - Articles'!F700,"*GCO – Other*")</f>
        <v>0</v>
      </c>
      <c r="P703">
        <f>COUNTIF('Metrics - Articles'!F700,"*Corporate*")</f>
        <v>0</v>
      </c>
      <c r="R703" s="53">
        <f t="shared" si="12"/>
        <v>0</v>
      </c>
    </row>
    <row r="704" spans="2:18" hidden="1" x14ac:dyDescent="0.25">
      <c r="B704" s="48">
        <f>+'Metrics - Articles'!C701</f>
        <v>0</v>
      </c>
      <c r="C704">
        <f>COUNTIF('Metrics - Articles'!F701,"*GPO (Partner, Ecosystem, Channels)*")</f>
        <v>0</v>
      </c>
      <c r="D704">
        <f>COUNTIF('Metrics - Articles'!F701,"*Office of the CEO*")</f>
        <v>0</v>
      </c>
      <c r="E704">
        <f>COUNTIF('Metrics - Articles'!F701,"*Services Delivery &amp; Support (go-lives and deployments) *")</f>
        <v>0</v>
      </c>
      <c r="F704">
        <f>COUNTIF('Metrics - Articles'!F701,"*Human Resources (SAP HR and employee stories)*")</f>
        <v>0</v>
      </c>
      <c r="G704">
        <f>COUNTIF('Metrics - Articles'!F701,"*P&amp;I (Research &amp; Development)*")</f>
        <v>0</v>
      </c>
      <c r="H704">
        <f>COUNTIF('Metrics - Articles'!F701,"*Business Network (Concur, Ariba, Fieldglass)*")</f>
        <v>0</v>
      </c>
      <c r="I704">
        <f>COUNTIF('Metrics - Articles'!F701,"*GCO – Regions*")</f>
        <v>0</v>
      </c>
      <c r="J704">
        <f>COUNTIF('Metrics - Articles'!F701,"*GCO – Platform Solutions*")</f>
        <v>0</v>
      </c>
      <c r="K704">
        <f>COUNTIF('Metrics - Articles'!F701,"*GCO – Industry Cloud *")</f>
        <v>0</v>
      </c>
      <c r="L704">
        <f>COUNTIF('Metrics - Articles'!F701,"*GCO – Customer Engagement &amp; Commerce (CRM &amp; hybris) *")</f>
        <v>0</v>
      </c>
      <c r="M704">
        <f>COUNTIF('Metrics - Articles'!F701,"*GCO – HR (SuccessFactors)*")</f>
        <v>0</v>
      </c>
      <c r="N704">
        <f>COUNTIF('Metrics - Articles'!F701,"*GCO – Services Sales*")</f>
        <v>0</v>
      </c>
      <c r="O704">
        <f>COUNTIF('Metrics - Articles'!F701,"*GCO – Other*")</f>
        <v>0</v>
      </c>
      <c r="P704">
        <f>COUNTIF('Metrics - Articles'!F701,"*Corporate*")</f>
        <v>0</v>
      </c>
      <c r="R704" s="53">
        <f t="shared" si="12"/>
        <v>0</v>
      </c>
    </row>
    <row r="705" spans="2:18" hidden="1" x14ac:dyDescent="0.25">
      <c r="B705" s="48">
        <f>+'Metrics - Articles'!C702</f>
        <v>0</v>
      </c>
      <c r="C705">
        <f>COUNTIF('Metrics - Articles'!F702,"*GPO (Partner, Ecosystem, Channels)*")</f>
        <v>0</v>
      </c>
      <c r="D705">
        <f>COUNTIF('Metrics - Articles'!F702,"*Office of the CEO*")</f>
        <v>0</v>
      </c>
      <c r="E705">
        <f>COUNTIF('Metrics - Articles'!F702,"*Services Delivery &amp; Support (go-lives and deployments) *")</f>
        <v>0</v>
      </c>
      <c r="F705">
        <f>COUNTIF('Metrics - Articles'!F702,"*Human Resources (SAP HR and employee stories)*")</f>
        <v>0</v>
      </c>
      <c r="G705">
        <f>COUNTIF('Metrics - Articles'!F702,"*P&amp;I (Research &amp; Development)*")</f>
        <v>0</v>
      </c>
      <c r="H705">
        <f>COUNTIF('Metrics - Articles'!F702,"*Business Network (Concur, Ariba, Fieldglass)*")</f>
        <v>0</v>
      </c>
      <c r="I705">
        <f>COUNTIF('Metrics - Articles'!F702,"*GCO – Regions*")</f>
        <v>0</v>
      </c>
      <c r="J705">
        <f>COUNTIF('Metrics - Articles'!F702,"*GCO – Platform Solutions*")</f>
        <v>0</v>
      </c>
      <c r="K705">
        <f>COUNTIF('Metrics - Articles'!F702,"*GCO – Industry Cloud *")</f>
        <v>0</v>
      </c>
      <c r="L705">
        <f>COUNTIF('Metrics - Articles'!F702,"*GCO – Customer Engagement &amp; Commerce (CRM &amp; hybris) *")</f>
        <v>0</v>
      </c>
      <c r="M705">
        <f>COUNTIF('Metrics - Articles'!F702,"*GCO – HR (SuccessFactors)*")</f>
        <v>0</v>
      </c>
      <c r="N705">
        <f>COUNTIF('Metrics - Articles'!F702,"*GCO – Services Sales*")</f>
        <v>0</v>
      </c>
      <c r="O705">
        <f>COUNTIF('Metrics - Articles'!F702,"*GCO – Other*")</f>
        <v>0</v>
      </c>
      <c r="P705">
        <f>COUNTIF('Metrics - Articles'!F702,"*Corporate*")</f>
        <v>0</v>
      </c>
      <c r="R705" s="53">
        <f t="shared" si="12"/>
        <v>0</v>
      </c>
    </row>
    <row r="706" spans="2:18" hidden="1" x14ac:dyDescent="0.25">
      <c r="B706" s="48">
        <f>+'Metrics - Articles'!C703</f>
        <v>0</v>
      </c>
      <c r="C706">
        <f>COUNTIF('Metrics - Articles'!F703,"*GPO (Partner, Ecosystem, Channels)*")</f>
        <v>0</v>
      </c>
      <c r="D706">
        <f>COUNTIF('Metrics - Articles'!F703,"*Office of the CEO*")</f>
        <v>0</v>
      </c>
      <c r="E706">
        <f>COUNTIF('Metrics - Articles'!F703,"*Services Delivery &amp; Support (go-lives and deployments) *")</f>
        <v>0</v>
      </c>
      <c r="F706">
        <f>COUNTIF('Metrics - Articles'!F703,"*Human Resources (SAP HR and employee stories)*")</f>
        <v>0</v>
      </c>
      <c r="G706">
        <f>COUNTIF('Metrics - Articles'!F703,"*P&amp;I (Research &amp; Development)*")</f>
        <v>0</v>
      </c>
      <c r="H706">
        <f>COUNTIF('Metrics - Articles'!F703,"*Business Network (Concur, Ariba, Fieldglass)*")</f>
        <v>0</v>
      </c>
      <c r="I706">
        <f>COUNTIF('Metrics - Articles'!F703,"*GCO – Regions*")</f>
        <v>0</v>
      </c>
      <c r="J706">
        <f>COUNTIF('Metrics - Articles'!F703,"*GCO – Platform Solutions*")</f>
        <v>0</v>
      </c>
      <c r="K706">
        <f>COUNTIF('Metrics - Articles'!F703,"*GCO – Industry Cloud *")</f>
        <v>0</v>
      </c>
      <c r="L706">
        <f>COUNTIF('Metrics - Articles'!F703,"*GCO – Customer Engagement &amp; Commerce (CRM &amp; hybris) *")</f>
        <v>0</v>
      </c>
      <c r="M706">
        <f>COUNTIF('Metrics - Articles'!F703,"*GCO – HR (SuccessFactors)*")</f>
        <v>0</v>
      </c>
      <c r="N706">
        <f>COUNTIF('Metrics - Articles'!F703,"*GCO – Services Sales*")</f>
        <v>0</v>
      </c>
      <c r="O706">
        <f>COUNTIF('Metrics - Articles'!F703,"*GCO – Other*")</f>
        <v>0</v>
      </c>
      <c r="P706">
        <f>COUNTIF('Metrics - Articles'!F703,"*Corporate*")</f>
        <v>0</v>
      </c>
      <c r="R706" s="53">
        <f t="shared" si="12"/>
        <v>0</v>
      </c>
    </row>
    <row r="707" spans="2:18" hidden="1" x14ac:dyDescent="0.25">
      <c r="B707" s="48">
        <f>+'Metrics - Articles'!C704</f>
        <v>0</v>
      </c>
      <c r="C707">
        <f>COUNTIF('Metrics - Articles'!F704,"*GPO (Partner, Ecosystem, Channels)*")</f>
        <v>0</v>
      </c>
      <c r="D707">
        <f>COUNTIF('Metrics - Articles'!F704,"*Office of the CEO*")</f>
        <v>0</v>
      </c>
      <c r="E707">
        <f>COUNTIF('Metrics - Articles'!F704,"*Services Delivery &amp; Support (go-lives and deployments) *")</f>
        <v>0</v>
      </c>
      <c r="F707">
        <f>COUNTIF('Metrics - Articles'!F704,"*Human Resources (SAP HR and employee stories)*")</f>
        <v>0</v>
      </c>
      <c r="G707">
        <f>COUNTIF('Metrics - Articles'!F704,"*P&amp;I (Research &amp; Development)*")</f>
        <v>0</v>
      </c>
      <c r="H707">
        <f>COUNTIF('Metrics - Articles'!F704,"*Business Network (Concur, Ariba, Fieldglass)*")</f>
        <v>0</v>
      </c>
      <c r="I707">
        <f>COUNTIF('Metrics - Articles'!F704,"*GCO – Regions*")</f>
        <v>0</v>
      </c>
      <c r="J707">
        <f>COUNTIF('Metrics - Articles'!F704,"*GCO – Platform Solutions*")</f>
        <v>0</v>
      </c>
      <c r="K707">
        <f>COUNTIF('Metrics - Articles'!F704,"*GCO – Industry Cloud *")</f>
        <v>0</v>
      </c>
      <c r="L707">
        <f>COUNTIF('Metrics - Articles'!F704,"*GCO – Customer Engagement &amp; Commerce (CRM &amp; hybris) *")</f>
        <v>0</v>
      </c>
      <c r="M707">
        <f>COUNTIF('Metrics - Articles'!F704,"*GCO – HR (SuccessFactors)*")</f>
        <v>0</v>
      </c>
      <c r="N707">
        <f>COUNTIF('Metrics - Articles'!F704,"*GCO – Services Sales*")</f>
        <v>0</v>
      </c>
      <c r="O707">
        <f>COUNTIF('Metrics - Articles'!F704,"*GCO – Other*")</f>
        <v>0</v>
      </c>
      <c r="P707">
        <f>COUNTIF('Metrics - Articles'!F704,"*Corporate*")</f>
        <v>0</v>
      </c>
      <c r="R707" s="53">
        <f t="shared" si="12"/>
        <v>0</v>
      </c>
    </row>
    <row r="708" spans="2:18" hidden="1" x14ac:dyDescent="0.25">
      <c r="B708" s="48">
        <f>+'Metrics - Articles'!C705</f>
        <v>0</v>
      </c>
      <c r="C708">
        <f>COUNTIF('Metrics - Articles'!F705,"*GPO (Partner, Ecosystem, Channels)*")</f>
        <v>0</v>
      </c>
      <c r="D708">
        <f>COUNTIF('Metrics - Articles'!F705,"*Office of the CEO*")</f>
        <v>0</v>
      </c>
      <c r="E708">
        <f>COUNTIF('Metrics - Articles'!F705,"*Services Delivery &amp; Support (go-lives and deployments) *")</f>
        <v>0</v>
      </c>
      <c r="F708">
        <f>COUNTIF('Metrics - Articles'!F705,"*Human Resources (SAP HR and employee stories)*")</f>
        <v>0</v>
      </c>
      <c r="G708">
        <f>COUNTIF('Metrics - Articles'!F705,"*P&amp;I (Research &amp; Development)*")</f>
        <v>0</v>
      </c>
      <c r="H708">
        <f>COUNTIF('Metrics - Articles'!F705,"*Business Network (Concur, Ariba, Fieldglass)*")</f>
        <v>0</v>
      </c>
      <c r="I708">
        <f>COUNTIF('Metrics - Articles'!F705,"*GCO – Regions*")</f>
        <v>0</v>
      </c>
      <c r="J708">
        <f>COUNTIF('Metrics - Articles'!F705,"*GCO – Platform Solutions*")</f>
        <v>0</v>
      </c>
      <c r="K708">
        <f>COUNTIF('Metrics - Articles'!F705,"*GCO – Industry Cloud *")</f>
        <v>0</v>
      </c>
      <c r="L708">
        <f>COUNTIF('Metrics - Articles'!F705,"*GCO – Customer Engagement &amp; Commerce (CRM &amp; hybris) *")</f>
        <v>0</v>
      </c>
      <c r="M708">
        <f>COUNTIF('Metrics - Articles'!F705,"*GCO – HR (SuccessFactors)*")</f>
        <v>0</v>
      </c>
      <c r="N708">
        <f>COUNTIF('Metrics - Articles'!F705,"*GCO – Services Sales*")</f>
        <v>0</v>
      </c>
      <c r="O708">
        <f>COUNTIF('Metrics - Articles'!F705,"*GCO – Other*")</f>
        <v>0</v>
      </c>
      <c r="P708">
        <f>COUNTIF('Metrics - Articles'!F705,"*Corporate*")</f>
        <v>0</v>
      </c>
      <c r="R708" s="53">
        <f t="shared" si="12"/>
        <v>0</v>
      </c>
    </row>
    <row r="709" spans="2:18" hidden="1" x14ac:dyDescent="0.25">
      <c r="B709" s="48">
        <f>+'Metrics - Articles'!C706</f>
        <v>0</v>
      </c>
      <c r="C709">
        <f>COUNTIF('Metrics - Articles'!F706,"*GPO (Partner, Ecosystem, Channels)*")</f>
        <v>0</v>
      </c>
      <c r="D709">
        <f>COUNTIF('Metrics - Articles'!F706,"*Office of the CEO*")</f>
        <v>0</v>
      </c>
      <c r="E709">
        <f>COUNTIF('Metrics - Articles'!F706,"*Services Delivery &amp; Support (go-lives and deployments) *")</f>
        <v>0</v>
      </c>
      <c r="F709">
        <f>COUNTIF('Metrics - Articles'!F706,"*Human Resources (SAP HR and employee stories)*")</f>
        <v>0</v>
      </c>
      <c r="G709">
        <f>COUNTIF('Metrics - Articles'!F706,"*P&amp;I (Research &amp; Development)*")</f>
        <v>0</v>
      </c>
      <c r="H709">
        <f>COUNTIF('Metrics - Articles'!F706,"*Business Network (Concur, Ariba, Fieldglass)*")</f>
        <v>0</v>
      </c>
      <c r="I709">
        <f>COUNTIF('Metrics - Articles'!F706,"*GCO – Regions*")</f>
        <v>0</v>
      </c>
      <c r="J709">
        <f>COUNTIF('Metrics - Articles'!F706,"*GCO – Platform Solutions*")</f>
        <v>0</v>
      </c>
      <c r="K709">
        <f>COUNTIF('Metrics - Articles'!F706,"*GCO – Industry Cloud *")</f>
        <v>0</v>
      </c>
      <c r="L709">
        <f>COUNTIF('Metrics - Articles'!F706,"*GCO – Customer Engagement &amp; Commerce (CRM &amp; hybris) *")</f>
        <v>0</v>
      </c>
      <c r="M709">
        <f>COUNTIF('Metrics - Articles'!F706,"*GCO – HR (SuccessFactors)*")</f>
        <v>0</v>
      </c>
      <c r="N709">
        <f>COUNTIF('Metrics - Articles'!F706,"*GCO – Services Sales*")</f>
        <v>0</v>
      </c>
      <c r="O709">
        <f>COUNTIF('Metrics - Articles'!F706,"*GCO – Other*")</f>
        <v>0</v>
      </c>
      <c r="P709">
        <f>COUNTIF('Metrics - Articles'!F706,"*Corporate*")</f>
        <v>0</v>
      </c>
      <c r="R709" s="53">
        <f t="shared" si="12"/>
        <v>0</v>
      </c>
    </row>
    <row r="710" spans="2:18" hidden="1" x14ac:dyDescent="0.25">
      <c r="B710" s="48">
        <f>+'Metrics - Articles'!C707</f>
        <v>0</v>
      </c>
      <c r="C710">
        <f>COUNTIF('Metrics - Articles'!F707,"*GPO (Partner, Ecosystem, Channels)*")</f>
        <v>0</v>
      </c>
      <c r="D710">
        <f>COUNTIF('Metrics - Articles'!F707,"*Office of the CEO*")</f>
        <v>0</v>
      </c>
      <c r="E710">
        <f>COUNTIF('Metrics - Articles'!F707,"*Services Delivery &amp; Support (go-lives and deployments) *")</f>
        <v>0</v>
      </c>
      <c r="F710">
        <f>COUNTIF('Metrics - Articles'!F707,"*Human Resources (SAP HR and employee stories)*")</f>
        <v>0</v>
      </c>
      <c r="G710">
        <f>COUNTIF('Metrics - Articles'!F707,"*P&amp;I (Research &amp; Development)*")</f>
        <v>0</v>
      </c>
      <c r="H710">
        <f>COUNTIF('Metrics - Articles'!F707,"*Business Network (Concur, Ariba, Fieldglass)*")</f>
        <v>0</v>
      </c>
      <c r="I710">
        <f>COUNTIF('Metrics - Articles'!F707,"*GCO – Regions*")</f>
        <v>0</v>
      </c>
      <c r="J710">
        <f>COUNTIF('Metrics - Articles'!F707,"*GCO – Platform Solutions*")</f>
        <v>0</v>
      </c>
      <c r="K710">
        <f>COUNTIF('Metrics - Articles'!F707,"*GCO – Industry Cloud *")</f>
        <v>0</v>
      </c>
      <c r="L710">
        <f>COUNTIF('Metrics - Articles'!F707,"*GCO – Customer Engagement &amp; Commerce (CRM &amp; hybris) *")</f>
        <v>0</v>
      </c>
      <c r="M710">
        <f>COUNTIF('Metrics - Articles'!F707,"*GCO – HR (SuccessFactors)*")</f>
        <v>0</v>
      </c>
      <c r="N710">
        <f>COUNTIF('Metrics - Articles'!F707,"*GCO – Services Sales*")</f>
        <v>0</v>
      </c>
      <c r="O710">
        <f>COUNTIF('Metrics - Articles'!F707,"*GCO – Other*")</f>
        <v>0</v>
      </c>
      <c r="P710">
        <f>COUNTIF('Metrics - Articles'!F707,"*Corporate*")</f>
        <v>0</v>
      </c>
      <c r="R710" s="53">
        <f t="shared" si="12"/>
        <v>0</v>
      </c>
    </row>
    <row r="711" spans="2:18" hidden="1" x14ac:dyDescent="0.25">
      <c r="B711" s="48">
        <f>+'Metrics - Articles'!C708</f>
        <v>0</v>
      </c>
      <c r="C711">
        <f>COUNTIF('Metrics - Articles'!F708,"*GPO (Partner, Ecosystem, Channels)*")</f>
        <v>0</v>
      </c>
      <c r="D711">
        <f>COUNTIF('Metrics - Articles'!F708,"*Office of the CEO*")</f>
        <v>0</v>
      </c>
      <c r="E711">
        <f>COUNTIF('Metrics - Articles'!F708,"*Services Delivery &amp; Support (go-lives and deployments) *")</f>
        <v>0</v>
      </c>
      <c r="F711">
        <f>COUNTIF('Metrics - Articles'!F708,"*Human Resources (SAP HR and employee stories)*")</f>
        <v>0</v>
      </c>
      <c r="G711">
        <f>COUNTIF('Metrics - Articles'!F708,"*P&amp;I (Research &amp; Development)*")</f>
        <v>0</v>
      </c>
      <c r="H711">
        <f>COUNTIF('Metrics - Articles'!F708,"*Business Network (Concur, Ariba, Fieldglass)*")</f>
        <v>0</v>
      </c>
      <c r="I711">
        <f>COUNTIF('Metrics - Articles'!F708,"*GCO – Regions*")</f>
        <v>0</v>
      </c>
      <c r="J711">
        <f>COUNTIF('Metrics - Articles'!F708,"*GCO – Platform Solutions*")</f>
        <v>0</v>
      </c>
      <c r="K711">
        <f>COUNTIF('Metrics - Articles'!F708,"*GCO – Industry Cloud *")</f>
        <v>0</v>
      </c>
      <c r="L711">
        <f>COUNTIF('Metrics - Articles'!F708,"*GCO – Customer Engagement &amp; Commerce (CRM &amp; hybris) *")</f>
        <v>0</v>
      </c>
      <c r="M711">
        <f>COUNTIF('Metrics - Articles'!F708,"*GCO – HR (SuccessFactors)*")</f>
        <v>0</v>
      </c>
      <c r="N711">
        <f>COUNTIF('Metrics - Articles'!F708,"*GCO – Services Sales*")</f>
        <v>0</v>
      </c>
      <c r="O711">
        <f>COUNTIF('Metrics - Articles'!F708,"*GCO – Other*")</f>
        <v>0</v>
      </c>
      <c r="P711">
        <f>COUNTIF('Metrics - Articles'!F708,"*Corporate*")</f>
        <v>0</v>
      </c>
      <c r="R711" s="53">
        <f t="shared" si="12"/>
        <v>0</v>
      </c>
    </row>
    <row r="712" spans="2:18" hidden="1" x14ac:dyDescent="0.25">
      <c r="B712" s="48">
        <f>+'Metrics - Articles'!C709</f>
        <v>0</v>
      </c>
      <c r="C712">
        <f>COUNTIF('Metrics - Articles'!F709,"*GPO (Partner, Ecosystem, Channels)*")</f>
        <v>0</v>
      </c>
      <c r="D712">
        <f>COUNTIF('Metrics - Articles'!F709,"*Office of the CEO*")</f>
        <v>0</v>
      </c>
      <c r="E712">
        <f>COUNTIF('Metrics - Articles'!F709,"*Services Delivery &amp; Support (go-lives and deployments) *")</f>
        <v>0</v>
      </c>
      <c r="F712">
        <f>COUNTIF('Metrics - Articles'!F709,"*Human Resources (SAP HR and employee stories)*")</f>
        <v>0</v>
      </c>
      <c r="G712">
        <f>COUNTIF('Metrics - Articles'!F709,"*P&amp;I (Research &amp; Development)*")</f>
        <v>0</v>
      </c>
      <c r="H712">
        <f>COUNTIF('Metrics - Articles'!F709,"*Business Network (Concur, Ariba, Fieldglass)*")</f>
        <v>0</v>
      </c>
      <c r="I712">
        <f>COUNTIF('Metrics - Articles'!F709,"*GCO – Regions*")</f>
        <v>0</v>
      </c>
      <c r="J712">
        <f>COUNTIF('Metrics - Articles'!F709,"*GCO – Platform Solutions*")</f>
        <v>0</v>
      </c>
      <c r="K712">
        <f>COUNTIF('Metrics - Articles'!F709,"*GCO – Industry Cloud *")</f>
        <v>0</v>
      </c>
      <c r="L712">
        <f>COUNTIF('Metrics - Articles'!F709,"*GCO – Customer Engagement &amp; Commerce (CRM &amp; hybris) *")</f>
        <v>0</v>
      </c>
      <c r="M712">
        <f>COUNTIF('Metrics - Articles'!F709,"*GCO – HR (SuccessFactors)*")</f>
        <v>0</v>
      </c>
      <c r="N712">
        <f>COUNTIF('Metrics - Articles'!F709,"*GCO – Services Sales*")</f>
        <v>0</v>
      </c>
      <c r="O712">
        <f>COUNTIF('Metrics - Articles'!F709,"*GCO – Other*")</f>
        <v>0</v>
      </c>
      <c r="P712">
        <f>COUNTIF('Metrics - Articles'!F709,"*Corporate*")</f>
        <v>0</v>
      </c>
      <c r="R712" s="53">
        <f t="shared" si="12"/>
        <v>0</v>
      </c>
    </row>
    <row r="713" spans="2:18" hidden="1" x14ac:dyDescent="0.25">
      <c r="B713" s="48">
        <f>+'Metrics - Articles'!C710</f>
        <v>0</v>
      </c>
      <c r="C713">
        <f>COUNTIF('Metrics - Articles'!F710,"*GPO (Partner, Ecosystem, Channels)*")</f>
        <v>0</v>
      </c>
      <c r="D713">
        <f>COUNTIF('Metrics - Articles'!F710,"*Office of the CEO*")</f>
        <v>0</v>
      </c>
      <c r="E713">
        <f>COUNTIF('Metrics - Articles'!F710,"*Services Delivery &amp; Support (go-lives and deployments) *")</f>
        <v>0</v>
      </c>
      <c r="F713">
        <f>COUNTIF('Metrics - Articles'!F710,"*Human Resources (SAP HR and employee stories)*")</f>
        <v>0</v>
      </c>
      <c r="G713">
        <f>COUNTIF('Metrics - Articles'!F710,"*P&amp;I (Research &amp; Development)*")</f>
        <v>0</v>
      </c>
      <c r="H713">
        <f>COUNTIF('Metrics - Articles'!F710,"*Business Network (Concur, Ariba, Fieldglass)*")</f>
        <v>0</v>
      </c>
      <c r="I713">
        <f>COUNTIF('Metrics - Articles'!F710,"*GCO – Regions*")</f>
        <v>0</v>
      </c>
      <c r="J713">
        <f>COUNTIF('Metrics - Articles'!F710,"*GCO – Platform Solutions*")</f>
        <v>0</v>
      </c>
      <c r="K713">
        <f>COUNTIF('Metrics - Articles'!F710,"*GCO – Industry Cloud *")</f>
        <v>0</v>
      </c>
      <c r="L713">
        <f>COUNTIF('Metrics - Articles'!F710,"*GCO – Customer Engagement &amp; Commerce (CRM &amp; hybris) *")</f>
        <v>0</v>
      </c>
      <c r="M713">
        <f>COUNTIF('Metrics - Articles'!F710,"*GCO – HR (SuccessFactors)*")</f>
        <v>0</v>
      </c>
      <c r="N713">
        <f>COUNTIF('Metrics - Articles'!F710,"*GCO – Services Sales*")</f>
        <v>0</v>
      </c>
      <c r="O713">
        <f>COUNTIF('Metrics - Articles'!F710,"*GCO – Other*")</f>
        <v>0</v>
      </c>
      <c r="P713">
        <f>COUNTIF('Metrics - Articles'!F710,"*Corporate*")</f>
        <v>0</v>
      </c>
      <c r="R713" s="53">
        <f t="shared" si="12"/>
        <v>0</v>
      </c>
    </row>
    <row r="714" spans="2:18" hidden="1" x14ac:dyDescent="0.25">
      <c r="B714" s="48">
        <f>+'Metrics - Articles'!C711</f>
        <v>0</v>
      </c>
      <c r="C714">
        <f>COUNTIF('Metrics - Articles'!F711,"*GPO (Partner, Ecosystem, Channels)*")</f>
        <v>0</v>
      </c>
      <c r="D714">
        <f>COUNTIF('Metrics - Articles'!F711,"*Office of the CEO*")</f>
        <v>0</v>
      </c>
      <c r="E714">
        <f>COUNTIF('Metrics - Articles'!F711,"*Services Delivery &amp; Support (go-lives and deployments) *")</f>
        <v>0</v>
      </c>
      <c r="F714">
        <f>COUNTIF('Metrics - Articles'!F711,"*Human Resources (SAP HR and employee stories)*")</f>
        <v>0</v>
      </c>
      <c r="G714">
        <f>COUNTIF('Metrics - Articles'!F711,"*P&amp;I (Research &amp; Development)*")</f>
        <v>0</v>
      </c>
      <c r="H714">
        <f>COUNTIF('Metrics - Articles'!F711,"*Business Network (Concur, Ariba, Fieldglass)*")</f>
        <v>0</v>
      </c>
      <c r="I714">
        <f>COUNTIF('Metrics - Articles'!F711,"*GCO – Regions*")</f>
        <v>0</v>
      </c>
      <c r="J714">
        <f>COUNTIF('Metrics - Articles'!F711,"*GCO – Platform Solutions*")</f>
        <v>0</v>
      </c>
      <c r="K714">
        <f>COUNTIF('Metrics - Articles'!F711,"*GCO – Industry Cloud *")</f>
        <v>0</v>
      </c>
      <c r="L714">
        <f>COUNTIF('Metrics - Articles'!F711,"*GCO – Customer Engagement &amp; Commerce (CRM &amp; hybris) *")</f>
        <v>0</v>
      </c>
      <c r="M714">
        <f>COUNTIF('Metrics - Articles'!F711,"*GCO – HR (SuccessFactors)*")</f>
        <v>0</v>
      </c>
      <c r="N714">
        <f>COUNTIF('Metrics - Articles'!F711,"*GCO – Services Sales*")</f>
        <v>0</v>
      </c>
      <c r="O714">
        <f>COUNTIF('Metrics - Articles'!F711,"*GCO – Other*")</f>
        <v>0</v>
      </c>
      <c r="P714">
        <f>COUNTIF('Metrics - Articles'!F711,"*Corporate*")</f>
        <v>0</v>
      </c>
      <c r="R714" s="53">
        <f t="shared" ref="R714:R777" si="13">SUM(C714:Q714)</f>
        <v>0</v>
      </c>
    </row>
    <row r="715" spans="2:18" hidden="1" x14ac:dyDescent="0.25">
      <c r="B715" s="48">
        <f>+'Metrics - Articles'!C712</f>
        <v>0</v>
      </c>
      <c r="C715">
        <f>COUNTIF('Metrics - Articles'!F712,"*GPO (Partner, Ecosystem, Channels)*")</f>
        <v>0</v>
      </c>
      <c r="D715">
        <f>COUNTIF('Metrics - Articles'!F712,"*Office of the CEO*")</f>
        <v>0</v>
      </c>
      <c r="E715">
        <f>COUNTIF('Metrics - Articles'!F712,"*Services Delivery &amp; Support (go-lives and deployments) *")</f>
        <v>0</v>
      </c>
      <c r="F715">
        <f>COUNTIF('Metrics - Articles'!F712,"*Human Resources (SAP HR and employee stories)*")</f>
        <v>0</v>
      </c>
      <c r="G715">
        <f>COUNTIF('Metrics - Articles'!F712,"*P&amp;I (Research &amp; Development)*")</f>
        <v>0</v>
      </c>
      <c r="H715">
        <f>COUNTIF('Metrics - Articles'!F712,"*Business Network (Concur, Ariba, Fieldglass)*")</f>
        <v>0</v>
      </c>
      <c r="I715">
        <f>COUNTIF('Metrics - Articles'!F712,"*GCO – Regions*")</f>
        <v>0</v>
      </c>
      <c r="J715">
        <f>COUNTIF('Metrics - Articles'!F712,"*GCO – Platform Solutions*")</f>
        <v>0</v>
      </c>
      <c r="K715">
        <f>COUNTIF('Metrics - Articles'!F712,"*GCO – Industry Cloud *")</f>
        <v>0</v>
      </c>
      <c r="L715">
        <f>COUNTIF('Metrics - Articles'!F712,"*GCO – Customer Engagement &amp; Commerce (CRM &amp; hybris) *")</f>
        <v>0</v>
      </c>
      <c r="M715">
        <f>COUNTIF('Metrics - Articles'!F712,"*GCO – HR (SuccessFactors)*")</f>
        <v>0</v>
      </c>
      <c r="N715">
        <f>COUNTIF('Metrics - Articles'!F712,"*GCO – Services Sales*")</f>
        <v>0</v>
      </c>
      <c r="O715">
        <f>COUNTIF('Metrics - Articles'!F712,"*GCO – Other*")</f>
        <v>0</v>
      </c>
      <c r="P715">
        <f>COUNTIF('Metrics - Articles'!F712,"*Corporate*")</f>
        <v>0</v>
      </c>
      <c r="R715" s="53">
        <f t="shared" si="13"/>
        <v>0</v>
      </c>
    </row>
    <row r="716" spans="2:18" hidden="1" x14ac:dyDescent="0.25">
      <c r="B716" s="48">
        <f>+'Metrics - Articles'!C713</f>
        <v>0</v>
      </c>
      <c r="C716">
        <f>COUNTIF('Metrics - Articles'!F713,"*GPO (Partner, Ecosystem, Channels)*")</f>
        <v>0</v>
      </c>
      <c r="D716">
        <f>COUNTIF('Metrics - Articles'!F713,"*Office of the CEO*")</f>
        <v>0</v>
      </c>
      <c r="E716">
        <f>COUNTIF('Metrics - Articles'!F713,"*Services Delivery &amp; Support (go-lives and deployments) *")</f>
        <v>0</v>
      </c>
      <c r="F716">
        <f>COUNTIF('Metrics - Articles'!F713,"*Human Resources (SAP HR and employee stories)*")</f>
        <v>0</v>
      </c>
      <c r="G716">
        <f>COUNTIF('Metrics - Articles'!F713,"*P&amp;I (Research &amp; Development)*")</f>
        <v>0</v>
      </c>
      <c r="H716">
        <f>COUNTIF('Metrics - Articles'!F713,"*Business Network (Concur, Ariba, Fieldglass)*")</f>
        <v>0</v>
      </c>
      <c r="I716">
        <f>COUNTIF('Metrics - Articles'!F713,"*GCO – Regions*")</f>
        <v>0</v>
      </c>
      <c r="J716">
        <f>COUNTIF('Metrics - Articles'!F713,"*GCO – Platform Solutions*")</f>
        <v>0</v>
      </c>
      <c r="K716">
        <f>COUNTIF('Metrics - Articles'!F713,"*GCO – Industry Cloud *")</f>
        <v>0</v>
      </c>
      <c r="L716">
        <f>COUNTIF('Metrics - Articles'!F713,"*GCO – Customer Engagement &amp; Commerce (CRM &amp; hybris) *")</f>
        <v>0</v>
      </c>
      <c r="M716">
        <f>COUNTIF('Metrics - Articles'!F713,"*GCO – HR (SuccessFactors)*")</f>
        <v>0</v>
      </c>
      <c r="N716">
        <f>COUNTIF('Metrics - Articles'!F713,"*GCO – Services Sales*")</f>
        <v>0</v>
      </c>
      <c r="O716">
        <f>COUNTIF('Metrics - Articles'!F713,"*GCO – Other*")</f>
        <v>0</v>
      </c>
      <c r="P716">
        <f>COUNTIF('Metrics - Articles'!F713,"*Corporate*")</f>
        <v>0</v>
      </c>
      <c r="R716" s="53">
        <f t="shared" si="13"/>
        <v>0</v>
      </c>
    </row>
    <row r="717" spans="2:18" hidden="1" x14ac:dyDescent="0.25">
      <c r="B717" s="48">
        <f>+'Metrics - Articles'!C714</f>
        <v>0</v>
      </c>
      <c r="C717">
        <f>COUNTIF('Metrics - Articles'!F714,"*GPO (Partner, Ecosystem, Channels)*")</f>
        <v>0</v>
      </c>
      <c r="D717">
        <f>COUNTIF('Metrics - Articles'!F714,"*Office of the CEO*")</f>
        <v>0</v>
      </c>
      <c r="E717">
        <f>COUNTIF('Metrics - Articles'!F714,"*Services Delivery &amp; Support (go-lives and deployments) *")</f>
        <v>0</v>
      </c>
      <c r="F717">
        <f>COUNTIF('Metrics - Articles'!F714,"*Human Resources (SAP HR and employee stories)*")</f>
        <v>0</v>
      </c>
      <c r="G717">
        <f>COUNTIF('Metrics - Articles'!F714,"*P&amp;I (Research &amp; Development)*")</f>
        <v>0</v>
      </c>
      <c r="H717">
        <f>COUNTIF('Metrics - Articles'!F714,"*Business Network (Concur, Ariba, Fieldglass)*")</f>
        <v>0</v>
      </c>
      <c r="I717">
        <f>COUNTIF('Metrics - Articles'!F714,"*GCO – Regions*")</f>
        <v>0</v>
      </c>
      <c r="J717">
        <f>COUNTIF('Metrics - Articles'!F714,"*GCO – Platform Solutions*")</f>
        <v>0</v>
      </c>
      <c r="K717">
        <f>COUNTIF('Metrics - Articles'!F714,"*GCO – Industry Cloud *")</f>
        <v>0</v>
      </c>
      <c r="L717">
        <f>COUNTIF('Metrics - Articles'!F714,"*GCO – Customer Engagement &amp; Commerce (CRM &amp; hybris) *")</f>
        <v>0</v>
      </c>
      <c r="M717">
        <f>COUNTIF('Metrics - Articles'!F714,"*GCO – HR (SuccessFactors)*")</f>
        <v>0</v>
      </c>
      <c r="N717">
        <f>COUNTIF('Metrics - Articles'!F714,"*GCO – Services Sales*")</f>
        <v>0</v>
      </c>
      <c r="O717">
        <f>COUNTIF('Metrics - Articles'!F714,"*GCO – Other*")</f>
        <v>0</v>
      </c>
      <c r="P717">
        <f>COUNTIF('Metrics - Articles'!F714,"*Corporate*")</f>
        <v>0</v>
      </c>
      <c r="R717" s="53">
        <f t="shared" si="13"/>
        <v>0</v>
      </c>
    </row>
    <row r="718" spans="2:18" hidden="1" x14ac:dyDescent="0.25">
      <c r="B718" s="48">
        <f>+'Metrics - Articles'!C715</f>
        <v>0</v>
      </c>
      <c r="C718">
        <f>COUNTIF('Metrics - Articles'!F715,"*GPO (Partner, Ecosystem, Channels)*")</f>
        <v>0</v>
      </c>
      <c r="D718">
        <f>COUNTIF('Metrics - Articles'!F715,"*Office of the CEO*")</f>
        <v>0</v>
      </c>
      <c r="E718">
        <f>COUNTIF('Metrics - Articles'!F715,"*Services Delivery &amp; Support (go-lives and deployments) *")</f>
        <v>0</v>
      </c>
      <c r="F718">
        <f>COUNTIF('Metrics - Articles'!F715,"*Human Resources (SAP HR and employee stories)*")</f>
        <v>0</v>
      </c>
      <c r="G718">
        <f>COUNTIF('Metrics - Articles'!F715,"*P&amp;I (Research &amp; Development)*")</f>
        <v>0</v>
      </c>
      <c r="H718">
        <f>COUNTIF('Metrics - Articles'!F715,"*Business Network (Concur, Ariba, Fieldglass)*")</f>
        <v>0</v>
      </c>
      <c r="I718">
        <f>COUNTIF('Metrics - Articles'!F715,"*GCO – Regions*")</f>
        <v>0</v>
      </c>
      <c r="J718">
        <f>COUNTIF('Metrics - Articles'!F715,"*GCO – Platform Solutions*")</f>
        <v>0</v>
      </c>
      <c r="K718">
        <f>COUNTIF('Metrics - Articles'!F715,"*GCO – Industry Cloud *")</f>
        <v>0</v>
      </c>
      <c r="L718">
        <f>COUNTIF('Metrics - Articles'!F715,"*GCO – Customer Engagement &amp; Commerce (CRM &amp; hybris) *")</f>
        <v>0</v>
      </c>
      <c r="M718">
        <f>COUNTIF('Metrics - Articles'!F715,"*GCO – HR (SuccessFactors)*")</f>
        <v>0</v>
      </c>
      <c r="N718">
        <f>COUNTIF('Metrics - Articles'!F715,"*GCO – Services Sales*")</f>
        <v>0</v>
      </c>
      <c r="O718">
        <f>COUNTIF('Metrics - Articles'!F715,"*GCO – Other*")</f>
        <v>0</v>
      </c>
      <c r="P718">
        <f>COUNTIF('Metrics - Articles'!F715,"*Corporate*")</f>
        <v>0</v>
      </c>
      <c r="R718" s="53">
        <f t="shared" si="13"/>
        <v>0</v>
      </c>
    </row>
    <row r="719" spans="2:18" hidden="1" x14ac:dyDescent="0.25">
      <c r="B719" s="48">
        <f>+'Metrics - Articles'!C716</f>
        <v>0</v>
      </c>
      <c r="C719">
        <f>COUNTIF('Metrics - Articles'!F716,"*GPO (Partner, Ecosystem, Channels)*")</f>
        <v>0</v>
      </c>
      <c r="D719">
        <f>COUNTIF('Metrics - Articles'!F716,"*Office of the CEO*")</f>
        <v>0</v>
      </c>
      <c r="E719">
        <f>COUNTIF('Metrics - Articles'!F716,"*Services Delivery &amp; Support (go-lives and deployments) *")</f>
        <v>0</v>
      </c>
      <c r="F719">
        <f>COUNTIF('Metrics - Articles'!F716,"*Human Resources (SAP HR and employee stories)*")</f>
        <v>0</v>
      </c>
      <c r="G719">
        <f>COUNTIF('Metrics - Articles'!F716,"*P&amp;I (Research &amp; Development)*")</f>
        <v>0</v>
      </c>
      <c r="H719">
        <f>COUNTIF('Metrics - Articles'!F716,"*Business Network (Concur, Ariba, Fieldglass)*")</f>
        <v>0</v>
      </c>
      <c r="I719">
        <f>COUNTIF('Metrics - Articles'!F716,"*GCO – Regions*")</f>
        <v>0</v>
      </c>
      <c r="J719">
        <f>COUNTIF('Metrics - Articles'!F716,"*GCO – Platform Solutions*")</f>
        <v>0</v>
      </c>
      <c r="K719">
        <f>COUNTIF('Metrics - Articles'!F716,"*GCO – Industry Cloud *")</f>
        <v>0</v>
      </c>
      <c r="L719">
        <f>COUNTIF('Metrics - Articles'!F716,"*GCO – Customer Engagement &amp; Commerce (CRM &amp; hybris) *")</f>
        <v>0</v>
      </c>
      <c r="M719">
        <f>COUNTIF('Metrics - Articles'!F716,"*GCO – HR (SuccessFactors)*")</f>
        <v>0</v>
      </c>
      <c r="N719">
        <f>COUNTIF('Metrics - Articles'!F716,"*GCO – Services Sales*")</f>
        <v>0</v>
      </c>
      <c r="O719">
        <f>COUNTIF('Metrics - Articles'!F716,"*GCO – Other*")</f>
        <v>0</v>
      </c>
      <c r="P719">
        <f>COUNTIF('Metrics - Articles'!F716,"*Corporate*")</f>
        <v>0</v>
      </c>
      <c r="R719" s="53">
        <f t="shared" si="13"/>
        <v>0</v>
      </c>
    </row>
    <row r="720" spans="2:18" hidden="1" x14ac:dyDescent="0.25">
      <c r="B720" s="48">
        <f>+'Metrics - Articles'!C717</f>
        <v>0</v>
      </c>
      <c r="C720">
        <f>COUNTIF('Metrics - Articles'!F717,"*GPO (Partner, Ecosystem, Channels)*")</f>
        <v>0</v>
      </c>
      <c r="D720">
        <f>COUNTIF('Metrics - Articles'!F717,"*Office of the CEO*")</f>
        <v>0</v>
      </c>
      <c r="E720">
        <f>COUNTIF('Metrics - Articles'!F717,"*Services Delivery &amp; Support (go-lives and deployments) *")</f>
        <v>0</v>
      </c>
      <c r="F720">
        <f>COUNTIF('Metrics - Articles'!F717,"*Human Resources (SAP HR and employee stories)*")</f>
        <v>0</v>
      </c>
      <c r="G720">
        <f>COUNTIF('Metrics - Articles'!F717,"*P&amp;I (Research &amp; Development)*")</f>
        <v>0</v>
      </c>
      <c r="H720">
        <f>COUNTIF('Metrics - Articles'!F717,"*Business Network (Concur, Ariba, Fieldglass)*")</f>
        <v>0</v>
      </c>
      <c r="I720">
        <f>COUNTIF('Metrics - Articles'!F717,"*GCO – Regions*")</f>
        <v>0</v>
      </c>
      <c r="J720">
        <f>COUNTIF('Metrics - Articles'!F717,"*GCO – Platform Solutions*")</f>
        <v>0</v>
      </c>
      <c r="K720">
        <f>COUNTIF('Metrics - Articles'!F717,"*GCO – Industry Cloud *")</f>
        <v>0</v>
      </c>
      <c r="L720">
        <f>COUNTIF('Metrics - Articles'!F717,"*GCO – Customer Engagement &amp; Commerce (CRM &amp; hybris) *")</f>
        <v>0</v>
      </c>
      <c r="M720">
        <f>COUNTIF('Metrics - Articles'!F717,"*GCO – HR (SuccessFactors)*")</f>
        <v>0</v>
      </c>
      <c r="N720">
        <f>COUNTIF('Metrics - Articles'!F717,"*GCO – Services Sales*")</f>
        <v>0</v>
      </c>
      <c r="O720">
        <f>COUNTIF('Metrics - Articles'!F717,"*GCO – Other*")</f>
        <v>0</v>
      </c>
      <c r="P720">
        <f>COUNTIF('Metrics - Articles'!F717,"*Corporate*")</f>
        <v>0</v>
      </c>
      <c r="R720" s="53">
        <f t="shared" si="13"/>
        <v>0</v>
      </c>
    </row>
    <row r="721" spans="2:18" hidden="1" x14ac:dyDescent="0.25">
      <c r="B721" s="48">
        <f>+'Metrics - Articles'!C718</f>
        <v>0</v>
      </c>
      <c r="C721">
        <f>COUNTIF('Metrics - Articles'!F718,"*GPO (Partner, Ecosystem, Channels)*")</f>
        <v>0</v>
      </c>
      <c r="D721">
        <f>COUNTIF('Metrics - Articles'!F718,"*Office of the CEO*")</f>
        <v>0</v>
      </c>
      <c r="E721">
        <f>COUNTIF('Metrics - Articles'!F718,"*Services Delivery &amp; Support (go-lives and deployments) *")</f>
        <v>0</v>
      </c>
      <c r="F721">
        <f>COUNTIF('Metrics - Articles'!F718,"*Human Resources (SAP HR and employee stories)*")</f>
        <v>0</v>
      </c>
      <c r="G721">
        <f>COUNTIF('Metrics - Articles'!F718,"*P&amp;I (Research &amp; Development)*")</f>
        <v>0</v>
      </c>
      <c r="H721">
        <f>COUNTIF('Metrics - Articles'!F718,"*Business Network (Concur, Ariba, Fieldglass)*")</f>
        <v>0</v>
      </c>
      <c r="I721">
        <f>COUNTIF('Metrics - Articles'!F718,"*GCO – Regions*")</f>
        <v>0</v>
      </c>
      <c r="J721">
        <f>COUNTIF('Metrics - Articles'!F718,"*GCO – Platform Solutions*")</f>
        <v>0</v>
      </c>
      <c r="K721">
        <f>COUNTIF('Metrics - Articles'!F718,"*GCO – Industry Cloud *")</f>
        <v>0</v>
      </c>
      <c r="L721">
        <f>COUNTIF('Metrics - Articles'!F718,"*GCO – Customer Engagement &amp; Commerce (CRM &amp; hybris) *")</f>
        <v>0</v>
      </c>
      <c r="M721">
        <f>COUNTIF('Metrics - Articles'!F718,"*GCO – HR (SuccessFactors)*")</f>
        <v>0</v>
      </c>
      <c r="N721">
        <f>COUNTIF('Metrics - Articles'!F718,"*GCO – Services Sales*")</f>
        <v>0</v>
      </c>
      <c r="O721">
        <f>COUNTIF('Metrics - Articles'!F718,"*GCO – Other*")</f>
        <v>0</v>
      </c>
      <c r="P721">
        <f>COUNTIF('Metrics - Articles'!F718,"*Corporate*")</f>
        <v>0</v>
      </c>
      <c r="R721" s="53">
        <f t="shared" si="13"/>
        <v>0</v>
      </c>
    </row>
    <row r="722" spans="2:18" hidden="1" x14ac:dyDescent="0.25">
      <c r="B722" s="48">
        <f>+'Metrics - Articles'!C719</f>
        <v>0</v>
      </c>
      <c r="C722">
        <f>COUNTIF('Metrics - Articles'!F719,"*GPO (Partner, Ecosystem, Channels)*")</f>
        <v>0</v>
      </c>
      <c r="D722">
        <f>COUNTIF('Metrics - Articles'!F719,"*Office of the CEO*")</f>
        <v>0</v>
      </c>
      <c r="E722">
        <f>COUNTIF('Metrics - Articles'!F719,"*Services Delivery &amp; Support (go-lives and deployments) *")</f>
        <v>0</v>
      </c>
      <c r="F722">
        <f>COUNTIF('Metrics - Articles'!F719,"*Human Resources (SAP HR and employee stories)*")</f>
        <v>0</v>
      </c>
      <c r="G722">
        <f>COUNTIF('Metrics - Articles'!F719,"*P&amp;I (Research &amp; Development)*")</f>
        <v>0</v>
      </c>
      <c r="H722">
        <f>COUNTIF('Metrics - Articles'!F719,"*Business Network (Concur, Ariba, Fieldglass)*")</f>
        <v>0</v>
      </c>
      <c r="I722">
        <f>COUNTIF('Metrics - Articles'!F719,"*GCO – Regions*")</f>
        <v>0</v>
      </c>
      <c r="J722">
        <f>COUNTIF('Metrics - Articles'!F719,"*GCO – Platform Solutions*")</f>
        <v>0</v>
      </c>
      <c r="K722">
        <f>COUNTIF('Metrics - Articles'!F719,"*GCO – Industry Cloud *")</f>
        <v>0</v>
      </c>
      <c r="L722">
        <f>COUNTIF('Metrics - Articles'!F719,"*GCO – Customer Engagement &amp; Commerce (CRM &amp; hybris) *")</f>
        <v>0</v>
      </c>
      <c r="M722">
        <f>COUNTIF('Metrics - Articles'!F719,"*GCO – HR (SuccessFactors)*")</f>
        <v>0</v>
      </c>
      <c r="N722">
        <f>COUNTIF('Metrics - Articles'!F719,"*GCO – Services Sales*")</f>
        <v>0</v>
      </c>
      <c r="O722">
        <f>COUNTIF('Metrics - Articles'!F719,"*GCO – Other*")</f>
        <v>0</v>
      </c>
      <c r="P722">
        <f>COUNTIF('Metrics - Articles'!F719,"*Corporate*")</f>
        <v>0</v>
      </c>
      <c r="R722" s="53">
        <f t="shared" si="13"/>
        <v>0</v>
      </c>
    </row>
    <row r="723" spans="2:18" hidden="1" x14ac:dyDescent="0.25">
      <c r="B723" s="48">
        <f>+'Metrics - Articles'!C720</f>
        <v>0</v>
      </c>
      <c r="C723">
        <f>COUNTIF('Metrics - Articles'!F720,"*GPO (Partner, Ecosystem, Channels)*")</f>
        <v>0</v>
      </c>
      <c r="D723">
        <f>COUNTIF('Metrics - Articles'!F720,"*Office of the CEO*")</f>
        <v>0</v>
      </c>
      <c r="E723">
        <f>COUNTIF('Metrics - Articles'!F720,"*Services Delivery &amp; Support (go-lives and deployments) *")</f>
        <v>0</v>
      </c>
      <c r="F723">
        <f>COUNTIF('Metrics - Articles'!F720,"*Human Resources (SAP HR and employee stories)*")</f>
        <v>0</v>
      </c>
      <c r="G723">
        <f>COUNTIF('Metrics - Articles'!F720,"*P&amp;I (Research &amp; Development)*")</f>
        <v>0</v>
      </c>
      <c r="H723">
        <f>COUNTIF('Metrics - Articles'!F720,"*Business Network (Concur, Ariba, Fieldglass)*")</f>
        <v>0</v>
      </c>
      <c r="I723">
        <f>COUNTIF('Metrics - Articles'!F720,"*GCO – Regions*")</f>
        <v>0</v>
      </c>
      <c r="J723">
        <f>COUNTIF('Metrics - Articles'!F720,"*GCO – Platform Solutions*")</f>
        <v>0</v>
      </c>
      <c r="K723">
        <f>COUNTIF('Metrics - Articles'!F720,"*GCO – Industry Cloud *")</f>
        <v>0</v>
      </c>
      <c r="L723">
        <f>COUNTIF('Metrics - Articles'!F720,"*GCO – Customer Engagement &amp; Commerce (CRM &amp; hybris) *")</f>
        <v>0</v>
      </c>
      <c r="M723">
        <f>COUNTIF('Metrics - Articles'!F720,"*GCO – HR (SuccessFactors)*")</f>
        <v>0</v>
      </c>
      <c r="N723">
        <f>COUNTIF('Metrics - Articles'!F720,"*GCO – Services Sales*")</f>
        <v>0</v>
      </c>
      <c r="O723">
        <f>COUNTIF('Metrics - Articles'!F720,"*GCO – Other*")</f>
        <v>0</v>
      </c>
      <c r="P723">
        <f>COUNTIF('Metrics - Articles'!F720,"*Corporate*")</f>
        <v>0</v>
      </c>
      <c r="R723" s="53">
        <f t="shared" si="13"/>
        <v>0</v>
      </c>
    </row>
    <row r="724" spans="2:18" hidden="1" x14ac:dyDescent="0.25">
      <c r="B724" s="48">
        <f>+'Metrics - Articles'!C721</f>
        <v>0</v>
      </c>
      <c r="C724">
        <f>COUNTIF('Metrics - Articles'!F721,"*GPO (Partner, Ecosystem, Channels)*")</f>
        <v>0</v>
      </c>
      <c r="D724">
        <f>COUNTIF('Metrics - Articles'!F721,"*Office of the CEO*")</f>
        <v>0</v>
      </c>
      <c r="E724">
        <f>COUNTIF('Metrics - Articles'!F721,"*Services Delivery &amp; Support (go-lives and deployments) *")</f>
        <v>0</v>
      </c>
      <c r="F724">
        <f>COUNTIF('Metrics - Articles'!F721,"*Human Resources (SAP HR and employee stories)*")</f>
        <v>0</v>
      </c>
      <c r="G724">
        <f>COUNTIF('Metrics - Articles'!F721,"*P&amp;I (Research &amp; Development)*")</f>
        <v>0</v>
      </c>
      <c r="H724">
        <f>COUNTIF('Metrics - Articles'!F721,"*Business Network (Concur, Ariba, Fieldglass)*")</f>
        <v>0</v>
      </c>
      <c r="I724">
        <f>COUNTIF('Metrics - Articles'!F721,"*GCO – Regions*")</f>
        <v>0</v>
      </c>
      <c r="J724">
        <f>COUNTIF('Metrics - Articles'!F721,"*GCO – Platform Solutions*")</f>
        <v>0</v>
      </c>
      <c r="K724">
        <f>COUNTIF('Metrics - Articles'!F721,"*GCO – Industry Cloud *")</f>
        <v>0</v>
      </c>
      <c r="L724">
        <f>COUNTIF('Metrics - Articles'!F721,"*GCO – Customer Engagement &amp; Commerce (CRM &amp; hybris) *")</f>
        <v>0</v>
      </c>
      <c r="M724">
        <f>COUNTIF('Metrics - Articles'!F721,"*GCO – HR (SuccessFactors)*")</f>
        <v>0</v>
      </c>
      <c r="N724">
        <f>COUNTIF('Metrics - Articles'!F721,"*GCO – Services Sales*")</f>
        <v>0</v>
      </c>
      <c r="O724">
        <f>COUNTIF('Metrics - Articles'!F721,"*GCO – Other*")</f>
        <v>0</v>
      </c>
      <c r="P724">
        <f>COUNTIF('Metrics - Articles'!F721,"*Corporate*")</f>
        <v>0</v>
      </c>
      <c r="R724" s="53">
        <f t="shared" si="13"/>
        <v>0</v>
      </c>
    </row>
    <row r="725" spans="2:18" hidden="1" x14ac:dyDescent="0.25">
      <c r="B725" s="48">
        <f>+'Metrics - Articles'!C722</f>
        <v>0</v>
      </c>
      <c r="C725">
        <f>COUNTIF('Metrics - Articles'!F722,"*GPO (Partner, Ecosystem, Channels)*")</f>
        <v>0</v>
      </c>
      <c r="D725">
        <f>COUNTIF('Metrics - Articles'!F722,"*Office of the CEO*")</f>
        <v>0</v>
      </c>
      <c r="E725">
        <f>COUNTIF('Metrics - Articles'!F722,"*Services Delivery &amp; Support (go-lives and deployments) *")</f>
        <v>0</v>
      </c>
      <c r="F725">
        <f>COUNTIF('Metrics - Articles'!F722,"*Human Resources (SAP HR and employee stories)*")</f>
        <v>0</v>
      </c>
      <c r="G725">
        <f>COUNTIF('Metrics - Articles'!F722,"*P&amp;I (Research &amp; Development)*")</f>
        <v>0</v>
      </c>
      <c r="H725">
        <f>COUNTIF('Metrics - Articles'!F722,"*Business Network (Concur, Ariba, Fieldglass)*")</f>
        <v>0</v>
      </c>
      <c r="I725">
        <f>COUNTIF('Metrics - Articles'!F722,"*GCO – Regions*")</f>
        <v>0</v>
      </c>
      <c r="J725">
        <f>COUNTIF('Metrics - Articles'!F722,"*GCO – Platform Solutions*")</f>
        <v>0</v>
      </c>
      <c r="K725">
        <f>COUNTIF('Metrics - Articles'!F722,"*GCO – Industry Cloud *")</f>
        <v>0</v>
      </c>
      <c r="L725">
        <f>COUNTIF('Metrics - Articles'!F722,"*GCO – Customer Engagement &amp; Commerce (CRM &amp; hybris) *")</f>
        <v>0</v>
      </c>
      <c r="M725">
        <f>COUNTIF('Metrics - Articles'!F722,"*GCO – HR (SuccessFactors)*")</f>
        <v>0</v>
      </c>
      <c r="N725">
        <f>COUNTIF('Metrics - Articles'!F722,"*GCO – Services Sales*")</f>
        <v>0</v>
      </c>
      <c r="O725">
        <f>COUNTIF('Metrics - Articles'!F722,"*GCO – Other*")</f>
        <v>0</v>
      </c>
      <c r="P725">
        <f>COUNTIF('Metrics - Articles'!F722,"*Corporate*")</f>
        <v>0</v>
      </c>
      <c r="R725" s="53">
        <f t="shared" si="13"/>
        <v>0</v>
      </c>
    </row>
    <row r="726" spans="2:18" hidden="1" x14ac:dyDescent="0.25">
      <c r="B726" s="48">
        <f>+'Metrics - Articles'!C723</f>
        <v>0</v>
      </c>
      <c r="C726">
        <f>COUNTIF('Metrics - Articles'!F723,"*GPO (Partner, Ecosystem, Channels)*")</f>
        <v>0</v>
      </c>
      <c r="D726">
        <f>COUNTIF('Metrics - Articles'!F723,"*Office of the CEO*")</f>
        <v>0</v>
      </c>
      <c r="E726">
        <f>COUNTIF('Metrics - Articles'!F723,"*Services Delivery &amp; Support (go-lives and deployments) *")</f>
        <v>0</v>
      </c>
      <c r="F726">
        <f>COUNTIF('Metrics - Articles'!F723,"*Human Resources (SAP HR and employee stories)*")</f>
        <v>0</v>
      </c>
      <c r="G726">
        <f>COUNTIF('Metrics - Articles'!F723,"*P&amp;I (Research &amp; Development)*")</f>
        <v>0</v>
      </c>
      <c r="H726">
        <f>COUNTIF('Metrics - Articles'!F723,"*Business Network (Concur, Ariba, Fieldglass)*")</f>
        <v>0</v>
      </c>
      <c r="I726">
        <f>COUNTIF('Metrics - Articles'!F723,"*GCO – Regions*")</f>
        <v>0</v>
      </c>
      <c r="J726">
        <f>COUNTIF('Metrics - Articles'!F723,"*GCO – Platform Solutions*")</f>
        <v>0</v>
      </c>
      <c r="K726">
        <f>COUNTIF('Metrics - Articles'!F723,"*GCO – Industry Cloud *")</f>
        <v>0</v>
      </c>
      <c r="L726">
        <f>COUNTIF('Metrics - Articles'!F723,"*GCO – Customer Engagement &amp; Commerce (CRM &amp; hybris) *")</f>
        <v>0</v>
      </c>
      <c r="M726">
        <f>COUNTIF('Metrics - Articles'!F723,"*GCO – HR (SuccessFactors)*")</f>
        <v>0</v>
      </c>
      <c r="N726">
        <f>COUNTIF('Metrics - Articles'!F723,"*GCO – Services Sales*")</f>
        <v>0</v>
      </c>
      <c r="O726">
        <f>COUNTIF('Metrics - Articles'!F723,"*GCO – Other*")</f>
        <v>0</v>
      </c>
      <c r="P726">
        <f>COUNTIF('Metrics - Articles'!F723,"*Corporate*")</f>
        <v>0</v>
      </c>
      <c r="R726" s="53">
        <f t="shared" si="13"/>
        <v>0</v>
      </c>
    </row>
    <row r="727" spans="2:18" hidden="1" x14ac:dyDescent="0.25">
      <c r="B727" s="48">
        <f>+'Metrics - Articles'!C724</f>
        <v>0</v>
      </c>
      <c r="C727">
        <f>COUNTIF('Metrics - Articles'!F724,"*GPO (Partner, Ecosystem, Channels)*")</f>
        <v>0</v>
      </c>
      <c r="D727">
        <f>COUNTIF('Metrics - Articles'!F724,"*Office of the CEO*")</f>
        <v>0</v>
      </c>
      <c r="E727">
        <f>COUNTIF('Metrics - Articles'!F724,"*Services Delivery &amp; Support (go-lives and deployments) *")</f>
        <v>0</v>
      </c>
      <c r="F727">
        <f>COUNTIF('Metrics - Articles'!F724,"*Human Resources (SAP HR and employee stories)*")</f>
        <v>0</v>
      </c>
      <c r="G727">
        <f>COUNTIF('Metrics - Articles'!F724,"*P&amp;I (Research &amp; Development)*")</f>
        <v>0</v>
      </c>
      <c r="H727">
        <f>COUNTIF('Metrics - Articles'!F724,"*Business Network (Concur, Ariba, Fieldglass)*")</f>
        <v>0</v>
      </c>
      <c r="I727">
        <f>COUNTIF('Metrics - Articles'!F724,"*GCO – Regions*")</f>
        <v>0</v>
      </c>
      <c r="J727">
        <f>COUNTIF('Metrics - Articles'!F724,"*GCO – Platform Solutions*")</f>
        <v>0</v>
      </c>
      <c r="K727">
        <f>COUNTIF('Metrics - Articles'!F724,"*GCO – Industry Cloud *")</f>
        <v>0</v>
      </c>
      <c r="L727">
        <f>COUNTIF('Metrics - Articles'!F724,"*GCO – Customer Engagement &amp; Commerce (CRM &amp; hybris) *")</f>
        <v>0</v>
      </c>
      <c r="M727">
        <f>COUNTIF('Metrics - Articles'!F724,"*GCO – HR (SuccessFactors)*")</f>
        <v>0</v>
      </c>
      <c r="N727">
        <f>COUNTIF('Metrics - Articles'!F724,"*GCO – Services Sales*")</f>
        <v>0</v>
      </c>
      <c r="O727">
        <f>COUNTIF('Metrics - Articles'!F724,"*GCO – Other*")</f>
        <v>0</v>
      </c>
      <c r="P727">
        <f>COUNTIF('Metrics - Articles'!F724,"*Corporate*")</f>
        <v>0</v>
      </c>
      <c r="R727" s="53">
        <f t="shared" si="13"/>
        <v>0</v>
      </c>
    </row>
    <row r="728" spans="2:18" hidden="1" x14ac:dyDescent="0.25">
      <c r="B728" s="48">
        <f>+'Metrics - Articles'!C725</f>
        <v>0</v>
      </c>
      <c r="C728">
        <f>COUNTIF('Metrics - Articles'!F725,"*GPO (Partner, Ecosystem, Channels)*")</f>
        <v>0</v>
      </c>
      <c r="D728">
        <f>COUNTIF('Metrics - Articles'!F725,"*Office of the CEO*")</f>
        <v>0</v>
      </c>
      <c r="E728">
        <f>COUNTIF('Metrics - Articles'!F725,"*Services Delivery &amp; Support (go-lives and deployments) *")</f>
        <v>0</v>
      </c>
      <c r="F728">
        <f>COUNTIF('Metrics - Articles'!F725,"*Human Resources (SAP HR and employee stories)*")</f>
        <v>0</v>
      </c>
      <c r="G728">
        <f>COUNTIF('Metrics - Articles'!F725,"*P&amp;I (Research &amp; Development)*")</f>
        <v>0</v>
      </c>
      <c r="H728">
        <f>COUNTIF('Metrics - Articles'!F725,"*Business Network (Concur, Ariba, Fieldglass)*")</f>
        <v>0</v>
      </c>
      <c r="I728">
        <f>COUNTIF('Metrics - Articles'!F725,"*GCO – Regions*")</f>
        <v>0</v>
      </c>
      <c r="J728">
        <f>COUNTIF('Metrics - Articles'!F725,"*GCO – Platform Solutions*")</f>
        <v>0</v>
      </c>
      <c r="K728">
        <f>COUNTIF('Metrics - Articles'!F725,"*GCO – Industry Cloud *")</f>
        <v>0</v>
      </c>
      <c r="L728">
        <f>COUNTIF('Metrics - Articles'!F725,"*GCO – Customer Engagement &amp; Commerce (CRM &amp; hybris) *")</f>
        <v>0</v>
      </c>
      <c r="M728">
        <f>COUNTIF('Metrics - Articles'!F725,"*GCO – HR (SuccessFactors)*")</f>
        <v>0</v>
      </c>
      <c r="N728">
        <f>COUNTIF('Metrics - Articles'!F725,"*GCO – Services Sales*")</f>
        <v>0</v>
      </c>
      <c r="O728">
        <f>COUNTIF('Metrics - Articles'!F725,"*GCO – Other*")</f>
        <v>0</v>
      </c>
      <c r="P728">
        <f>COUNTIF('Metrics - Articles'!F725,"*Corporate*")</f>
        <v>0</v>
      </c>
      <c r="R728" s="53">
        <f t="shared" si="13"/>
        <v>0</v>
      </c>
    </row>
    <row r="729" spans="2:18" hidden="1" x14ac:dyDescent="0.25">
      <c r="B729" s="48">
        <f>+'Metrics - Articles'!C726</f>
        <v>0</v>
      </c>
      <c r="C729">
        <f>COUNTIF('Metrics - Articles'!F726,"*GPO (Partner, Ecosystem, Channels)*")</f>
        <v>0</v>
      </c>
      <c r="D729">
        <f>COUNTIF('Metrics - Articles'!F726,"*Office of the CEO*")</f>
        <v>0</v>
      </c>
      <c r="E729">
        <f>COUNTIF('Metrics - Articles'!F726,"*Services Delivery &amp; Support (go-lives and deployments) *")</f>
        <v>0</v>
      </c>
      <c r="F729">
        <f>COUNTIF('Metrics - Articles'!F726,"*Human Resources (SAP HR and employee stories)*")</f>
        <v>0</v>
      </c>
      <c r="G729">
        <f>COUNTIF('Metrics - Articles'!F726,"*P&amp;I (Research &amp; Development)*")</f>
        <v>0</v>
      </c>
      <c r="H729">
        <f>COUNTIF('Metrics - Articles'!F726,"*Business Network (Concur, Ariba, Fieldglass)*")</f>
        <v>0</v>
      </c>
      <c r="I729">
        <f>COUNTIF('Metrics - Articles'!F726,"*GCO – Regions*")</f>
        <v>0</v>
      </c>
      <c r="J729">
        <f>COUNTIF('Metrics - Articles'!F726,"*GCO – Platform Solutions*")</f>
        <v>0</v>
      </c>
      <c r="K729">
        <f>COUNTIF('Metrics - Articles'!F726,"*GCO – Industry Cloud *")</f>
        <v>0</v>
      </c>
      <c r="L729">
        <f>COUNTIF('Metrics - Articles'!F726,"*GCO – Customer Engagement &amp; Commerce (CRM &amp; hybris) *")</f>
        <v>0</v>
      </c>
      <c r="M729">
        <f>COUNTIF('Metrics - Articles'!F726,"*GCO – HR (SuccessFactors)*")</f>
        <v>0</v>
      </c>
      <c r="N729">
        <f>COUNTIF('Metrics - Articles'!F726,"*GCO – Services Sales*")</f>
        <v>0</v>
      </c>
      <c r="O729">
        <f>COUNTIF('Metrics - Articles'!F726,"*GCO – Other*")</f>
        <v>0</v>
      </c>
      <c r="P729">
        <f>COUNTIF('Metrics - Articles'!F726,"*Corporate*")</f>
        <v>0</v>
      </c>
      <c r="R729" s="53">
        <f t="shared" si="13"/>
        <v>0</v>
      </c>
    </row>
    <row r="730" spans="2:18" hidden="1" x14ac:dyDescent="0.25">
      <c r="B730" s="48">
        <f>+'Metrics - Articles'!C727</f>
        <v>0</v>
      </c>
      <c r="C730">
        <f>COUNTIF('Metrics - Articles'!F727,"*GPO (Partner, Ecosystem, Channels)*")</f>
        <v>0</v>
      </c>
      <c r="D730">
        <f>COUNTIF('Metrics - Articles'!F727,"*Office of the CEO*")</f>
        <v>0</v>
      </c>
      <c r="E730">
        <f>COUNTIF('Metrics - Articles'!F727,"*Services Delivery &amp; Support (go-lives and deployments) *")</f>
        <v>0</v>
      </c>
      <c r="F730">
        <f>COUNTIF('Metrics - Articles'!F727,"*Human Resources (SAP HR and employee stories)*")</f>
        <v>0</v>
      </c>
      <c r="G730">
        <f>COUNTIF('Metrics - Articles'!F727,"*P&amp;I (Research &amp; Development)*")</f>
        <v>0</v>
      </c>
      <c r="H730">
        <f>COUNTIF('Metrics - Articles'!F727,"*Business Network (Concur, Ariba, Fieldglass)*")</f>
        <v>0</v>
      </c>
      <c r="I730">
        <f>COUNTIF('Metrics - Articles'!F727,"*GCO – Regions*")</f>
        <v>0</v>
      </c>
      <c r="J730">
        <f>COUNTIF('Metrics - Articles'!F727,"*GCO – Platform Solutions*")</f>
        <v>0</v>
      </c>
      <c r="K730">
        <f>COUNTIF('Metrics - Articles'!F727,"*GCO – Industry Cloud *")</f>
        <v>0</v>
      </c>
      <c r="L730">
        <f>COUNTIF('Metrics - Articles'!F727,"*GCO – Customer Engagement &amp; Commerce (CRM &amp; hybris) *")</f>
        <v>0</v>
      </c>
      <c r="M730">
        <f>COUNTIF('Metrics - Articles'!F727,"*GCO – HR (SuccessFactors)*")</f>
        <v>0</v>
      </c>
      <c r="N730">
        <f>COUNTIF('Metrics - Articles'!F727,"*GCO – Services Sales*")</f>
        <v>0</v>
      </c>
      <c r="O730">
        <f>COUNTIF('Metrics - Articles'!F727,"*GCO – Other*")</f>
        <v>0</v>
      </c>
      <c r="P730">
        <f>COUNTIF('Metrics - Articles'!F727,"*Corporate*")</f>
        <v>0</v>
      </c>
      <c r="R730" s="53">
        <f t="shared" si="13"/>
        <v>0</v>
      </c>
    </row>
    <row r="731" spans="2:18" hidden="1" x14ac:dyDescent="0.25">
      <c r="B731" s="48">
        <f>+'Metrics - Articles'!C728</f>
        <v>0</v>
      </c>
      <c r="C731">
        <f>COUNTIF('Metrics - Articles'!F728,"*GPO (Partner, Ecosystem, Channels)*")</f>
        <v>0</v>
      </c>
      <c r="D731">
        <f>COUNTIF('Metrics - Articles'!F728,"*Office of the CEO*")</f>
        <v>0</v>
      </c>
      <c r="E731">
        <f>COUNTIF('Metrics - Articles'!F728,"*Services Delivery &amp; Support (go-lives and deployments) *")</f>
        <v>0</v>
      </c>
      <c r="F731">
        <f>COUNTIF('Metrics - Articles'!F728,"*Human Resources (SAP HR and employee stories)*")</f>
        <v>0</v>
      </c>
      <c r="G731">
        <f>COUNTIF('Metrics - Articles'!F728,"*P&amp;I (Research &amp; Development)*")</f>
        <v>0</v>
      </c>
      <c r="H731">
        <f>COUNTIF('Metrics - Articles'!F728,"*Business Network (Concur, Ariba, Fieldglass)*")</f>
        <v>0</v>
      </c>
      <c r="I731">
        <f>COUNTIF('Metrics - Articles'!F728,"*GCO – Regions*")</f>
        <v>0</v>
      </c>
      <c r="J731">
        <f>COUNTIF('Metrics - Articles'!F728,"*GCO – Platform Solutions*")</f>
        <v>0</v>
      </c>
      <c r="K731">
        <f>COUNTIF('Metrics - Articles'!F728,"*GCO – Industry Cloud *")</f>
        <v>0</v>
      </c>
      <c r="L731">
        <f>COUNTIF('Metrics - Articles'!F728,"*GCO – Customer Engagement &amp; Commerce (CRM &amp; hybris) *")</f>
        <v>0</v>
      </c>
      <c r="M731">
        <f>COUNTIF('Metrics - Articles'!F728,"*GCO – HR (SuccessFactors)*")</f>
        <v>0</v>
      </c>
      <c r="N731">
        <f>COUNTIF('Metrics - Articles'!F728,"*GCO – Services Sales*")</f>
        <v>0</v>
      </c>
      <c r="O731">
        <f>COUNTIF('Metrics - Articles'!F728,"*GCO – Other*")</f>
        <v>0</v>
      </c>
      <c r="P731">
        <f>COUNTIF('Metrics - Articles'!F728,"*Corporate*")</f>
        <v>0</v>
      </c>
      <c r="R731" s="53">
        <f t="shared" si="13"/>
        <v>0</v>
      </c>
    </row>
    <row r="732" spans="2:18" hidden="1" x14ac:dyDescent="0.25">
      <c r="B732" s="48">
        <f>+'Metrics - Articles'!C729</f>
        <v>0</v>
      </c>
      <c r="C732">
        <f>COUNTIF('Metrics - Articles'!F729,"*GPO (Partner, Ecosystem, Channels)*")</f>
        <v>0</v>
      </c>
      <c r="D732">
        <f>COUNTIF('Metrics - Articles'!F729,"*Office of the CEO*")</f>
        <v>0</v>
      </c>
      <c r="E732">
        <f>COUNTIF('Metrics - Articles'!F729,"*Services Delivery &amp; Support (go-lives and deployments) *")</f>
        <v>0</v>
      </c>
      <c r="F732">
        <f>COUNTIF('Metrics - Articles'!F729,"*Human Resources (SAP HR and employee stories)*")</f>
        <v>0</v>
      </c>
      <c r="G732">
        <f>COUNTIF('Metrics - Articles'!F729,"*P&amp;I (Research &amp; Development)*")</f>
        <v>0</v>
      </c>
      <c r="H732">
        <f>COUNTIF('Metrics - Articles'!F729,"*Business Network (Concur, Ariba, Fieldglass)*")</f>
        <v>0</v>
      </c>
      <c r="I732">
        <f>COUNTIF('Metrics - Articles'!F729,"*GCO – Regions*")</f>
        <v>0</v>
      </c>
      <c r="J732">
        <f>COUNTIF('Metrics - Articles'!F729,"*GCO – Platform Solutions*")</f>
        <v>0</v>
      </c>
      <c r="K732">
        <f>COUNTIF('Metrics - Articles'!F729,"*GCO – Industry Cloud *")</f>
        <v>0</v>
      </c>
      <c r="L732">
        <f>COUNTIF('Metrics - Articles'!F729,"*GCO – Customer Engagement &amp; Commerce (CRM &amp; hybris) *")</f>
        <v>0</v>
      </c>
      <c r="M732">
        <f>COUNTIF('Metrics - Articles'!F729,"*GCO – HR (SuccessFactors)*")</f>
        <v>0</v>
      </c>
      <c r="N732">
        <f>COUNTIF('Metrics - Articles'!F729,"*GCO – Services Sales*")</f>
        <v>0</v>
      </c>
      <c r="O732">
        <f>COUNTIF('Metrics - Articles'!F729,"*GCO – Other*")</f>
        <v>0</v>
      </c>
      <c r="P732">
        <f>COUNTIF('Metrics - Articles'!F729,"*Corporate*")</f>
        <v>0</v>
      </c>
      <c r="R732" s="53">
        <f t="shared" si="13"/>
        <v>0</v>
      </c>
    </row>
    <row r="733" spans="2:18" hidden="1" x14ac:dyDescent="0.25">
      <c r="B733" s="48">
        <f>+'Metrics - Articles'!C730</f>
        <v>0</v>
      </c>
      <c r="C733">
        <f>COUNTIF('Metrics - Articles'!F730,"*GPO (Partner, Ecosystem, Channels)*")</f>
        <v>0</v>
      </c>
      <c r="D733">
        <f>COUNTIF('Metrics - Articles'!F730,"*Office of the CEO*")</f>
        <v>0</v>
      </c>
      <c r="E733">
        <f>COUNTIF('Metrics - Articles'!F730,"*Services Delivery &amp; Support (go-lives and deployments) *")</f>
        <v>0</v>
      </c>
      <c r="F733">
        <f>COUNTIF('Metrics - Articles'!F730,"*Human Resources (SAP HR and employee stories)*")</f>
        <v>0</v>
      </c>
      <c r="G733">
        <f>COUNTIF('Metrics - Articles'!F730,"*P&amp;I (Research &amp; Development)*")</f>
        <v>0</v>
      </c>
      <c r="H733">
        <f>COUNTIF('Metrics - Articles'!F730,"*Business Network (Concur, Ariba, Fieldglass)*")</f>
        <v>0</v>
      </c>
      <c r="I733">
        <f>COUNTIF('Metrics - Articles'!F730,"*GCO – Regions*")</f>
        <v>0</v>
      </c>
      <c r="J733">
        <f>COUNTIF('Metrics - Articles'!F730,"*GCO – Platform Solutions*")</f>
        <v>0</v>
      </c>
      <c r="K733">
        <f>COUNTIF('Metrics - Articles'!F730,"*GCO – Industry Cloud *")</f>
        <v>0</v>
      </c>
      <c r="L733">
        <f>COUNTIF('Metrics - Articles'!F730,"*GCO – Customer Engagement &amp; Commerce (CRM &amp; hybris) *")</f>
        <v>0</v>
      </c>
      <c r="M733">
        <f>COUNTIF('Metrics - Articles'!F730,"*GCO – HR (SuccessFactors)*")</f>
        <v>0</v>
      </c>
      <c r="N733">
        <f>COUNTIF('Metrics - Articles'!F730,"*GCO – Services Sales*")</f>
        <v>0</v>
      </c>
      <c r="O733">
        <f>COUNTIF('Metrics - Articles'!F730,"*GCO – Other*")</f>
        <v>0</v>
      </c>
      <c r="P733">
        <f>COUNTIF('Metrics - Articles'!F730,"*Corporate*")</f>
        <v>0</v>
      </c>
      <c r="R733" s="53">
        <f t="shared" si="13"/>
        <v>0</v>
      </c>
    </row>
    <row r="734" spans="2:18" hidden="1" x14ac:dyDescent="0.25">
      <c r="B734" s="48">
        <f>+'Metrics - Articles'!C731</f>
        <v>0</v>
      </c>
      <c r="C734">
        <f>COUNTIF('Metrics - Articles'!F731,"*GPO (Partner, Ecosystem, Channels)*")</f>
        <v>0</v>
      </c>
      <c r="D734">
        <f>COUNTIF('Metrics - Articles'!F731,"*Office of the CEO*")</f>
        <v>0</v>
      </c>
      <c r="E734">
        <f>COUNTIF('Metrics - Articles'!F731,"*Services Delivery &amp; Support (go-lives and deployments) *")</f>
        <v>0</v>
      </c>
      <c r="F734">
        <f>COUNTIF('Metrics - Articles'!F731,"*Human Resources (SAP HR and employee stories)*")</f>
        <v>0</v>
      </c>
      <c r="G734">
        <f>COUNTIF('Metrics - Articles'!F731,"*P&amp;I (Research &amp; Development)*")</f>
        <v>0</v>
      </c>
      <c r="H734">
        <f>COUNTIF('Metrics - Articles'!F731,"*Business Network (Concur, Ariba, Fieldglass)*")</f>
        <v>0</v>
      </c>
      <c r="I734">
        <f>COUNTIF('Metrics - Articles'!F731,"*GCO – Regions*")</f>
        <v>0</v>
      </c>
      <c r="J734">
        <f>COUNTIF('Metrics - Articles'!F731,"*GCO – Platform Solutions*")</f>
        <v>0</v>
      </c>
      <c r="K734">
        <f>COUNTIF('Metrics - Articles'!F731,"*GCO – Industry Cloud *")</f>
        <v>0</v>
      </c>
      <c r="L734">
        <f>COUNTIF('Metrics - Articles'!F731,"*GCO – Customer Engagement &amp; Commerce (CRM &amp; hybris) *")</f>
        <v>0</v>
      </c>
      <c r="M734">
        <f>COUNTIF('Metrics - Articles'!F731,"*GCO – HR (SuccessFactors)*")</f>
        <v>0</v>
      </c>
      <c r="N734">
        <f>COUNTIF('Metrics - Articles'!F731,"*GCO – Services Sales*")</f>
        <v>0</v>
      </c>
      <c r="O734">
        <f>COUNTIF('Metrics - Articles'!F731,"*GCO – Other*")</f>
        <v>0</v>
      </c>
      <c r="P734">
        <f>COUNTIF('Metrics - Articles'!F731,"*Corporate*")</f>
        <v>0</v>
      </c>
      <c r="R734" s="53">
        <f t="shared" si="13"/>
        <v>0</v>
      </c>
    </row>
    <row r="735" spans="2:18" hidden="1" x14ac:dyDescent="0.25">
      <c r="B735" s="48">
        <f>+'Metrics - Articles'!C732</f>
        <v>0</v>
      </c>
      <c r="C735">
        <f>COUNTIF('Metrics - Articles'!F732,"*GPO (Partner, Ecosystem, Channels)*")</f>
        <v>0</v>
      </c>
      <c r="D735">
        <f>COUNTIF('Metrics - Articles'!F732,"*Office of the CEO*")</f>
        <v>0</v>
      </c>
      <c r="E735">
        <f>COUNTIF('Metrics - Articles'!F732,"*Services Delivery &amp; Support (go-lives and deployments) *")</f>
        <v>0</v>
      </c>
      <c r="F735">
        <f>COUNTIF('Metrics - Articles'!F732,"*Human Resources (SAP HR and employee stories)*")</f>
        <v>0</v>
      </c>
      <c r="G735">
        <f>COUNTIF('Metrics - Articles'!F732,"*P&amp;I (Research &amp; Development)*")</f>
        <v>0</v>
      </c>
      <c r="H735">
        <f>COUNTIF('Metrics - Articles'!F732,"*Business Network (Concur, Ariba, Fieldglass)*")</f>
        <v>0</v>
      </c>
      <c r="I735">
        <f>COUNTIF('Metrics - Articles'!F732,"*GCO – Regions*")</f>
        <v>0</v>
      </c>
      <c r="J735">
        <f>COUNTIF('Metrics - Articles'!F732,"*GCO – Platform Solutions*")</f>
        <v>0</v>
      </c>
      <c r="K735">
        <f>COUNTIF('Metrics - Articles'!F732,"*GCO – Industry Cloud *")</f>
        <v>0</v>
      </c>
      <c r="L735">
        <f>COUNTIF('Metrics - Articles'!F732,"*GCO – Customer Engagement &amp; Commerce (CRM &amp; hybris) *")</f>
        <v>0</v>
      </c>
      <c r="M735">
        <f>COUNTIF('Metrics - Articles'!F732,"*GCO – HR (SuccessFactors)*")</f>
        <v>0</v>
      </c>
      <c r="N735">
        <f>COUNTIF('Metrics - Articles'!F732,"*GCO – Services Sales*")</f>
        <v>0</v>
      </c>
      <c r="O735">
        <f>COUNTIF('Metrics - Articles'!F732,"*GCO – Other*")</f>
        <v>0</v>
      </c>
      <c r="P735">
        <f>COUNTIF('Metrics - Articles'!F732,"*Corporate*")</f>
        <v>0</v>
      </c>
      <c r="R735" s="53">
        <f t="shared" si="13"/>
        <v>0</v>
      </c>
    </row>
    <row r="736" spans="2:18" hidden="1" x14ac:dyDescent="0.25">
      <c r="B736" s="48">
        <f>+'Metrics - Articles'!C733</f>
        <v>0</v>
      </c>
      <c r="C736">
        <f>COUNTIF('Metrics - Articles'!F733,"*GPO (Partner, Ecosystem, Channels)*")</f>
        <v>0</v>
      </c>
      <c r="D736">
        <f>COUNTIF('Metrics - Articles'!F733,"*Office of the CEO*")</f>
        <v>0</v>
      </c>
      <c r="E736">
        <f>COUNTIF('Metrics - Articles'!F733,"*Services Delivery &amp; Support (go-lives and deployments) *")</f>
        <v>0</v>
      </c>
      <c r="F736">
        <f>COUNTIF('Metrics - Articles'!F733,"*Human Resources (SAP HR and employee stories)*")</f>
        <v>0</v>
      </c>
      <c r="G736">
        <f>COUNTIF('Metrics - Articles'!F733,"*P&amp;I (Research &amp; Development)*")</f>
        <v>0</v>
      </c>
      <c r="H736">
        <f>COUNTIF('Metrics - Articles'!F733,"*Business Network (Concur, Ariba, Fieldglass)*")</f>
        <v>0</v>
      </c>
      <c r="I736">
        <f>COUNTIF('Metrics - Articles'!F733,"*GCO – Regions*")</f>
        <v>0</v>
      </c>
      <c r="J736">
        <f>COUNTIF('Metrics - Articles'!F733,"*GCO – Platform Solutions*")</f>
        <v>0</v>
      </c>
      <c r="K736">
        <f>COUNTIF('Metrics - Articles'!F733,"*GCO – Industry Cloud *")</f>
        <v>0</v>
      </c>
      <c r="L736">
        <f>COUNTIF('Metrics - Articles'!F733,"*GCO – Customer Engagement &amp; Commerce (CRM &amp; hybris) *")</f>
        <v>0</v>
      </c>
      <c r="M736">
        <f>COUNTIF('Metrics - Articles'!F733,"*GCO – HR (SuccessFactors)*")</f>
        <v>0</v>
      </c>
      <c r="N736">
        <f>COUNTIF('Metrics - Articles'!F733,"*GCO – Services Sales*")</f>
        <v>0</v>
      </c>
      <c r="O736">
        <f>COUNTIF('Metrics - Articles'!F733,"*GCO – Other*")</f>
        <v>0</v>
      </c>
      <c r="P736">
        <f>COUNTIF('Metrics - Articles'!F733,"*Corporate*")</f>
        <v>0</v>
      </c>
      <c r="R736" s="53">
        <f t="shared" si="13"/>
        <v>0</v>
      </c>
    </row>
    <row r="737" spans="2:18" hidden="1" x14ac:dyDescent="0.25">
      <c r="B737" s="48">
        <f>+'Metrics - Articles'!C734</f>
        <v>0</v>
      </c>
      <c r="C737">
        <f>COUNTIF('Metrics - Articles'!F734,"*GPO (Partner, Ecosystem, Channels)*")</f>
        <v>0</v>
      </c>
      <c r="D737">
        <f>COUNTIF('Metrics - Articles'!F734,"*Office of the CEO*")</f>
        <v>0</v>
      </c>
      <c r="E737">
        <f>COUNTIF('Metrics - Articles'!F734,"*Services Delivery &amp; Support (go-lives and deployments) *")</f>
        <v>0</v>
      </c>
      <c r="F737">
        <f>COUNTIF('Metrics - Articles'!F734,"*Human Resources (SAP HR and employee stories)*")</f>
        <v>0</v>
      </c>
      <c r="G737">
        <f>COUNTIF('Metrics - Articles'!F734,"*P&amp;I (Research &amp; Development)*")</f>
        <v>0</v>
      </c>
      <c r="H737">
        <f>COUNTIF('Metrics - Articles'!F734,"*Business Network (Concur, Ariba, Fieldglass)*")</f>
        <v>0</v>
      </c>
      <c r="I737">
        <f>COUNTIF('Metrics - Articles'!F734,"*GCO – Regions*")</f>
        <v>0</v>
      </c>
      <c r="J737">
        <f>COUNTIF('Metrics - Articles'!F734,"*GCO – Platform Solutions*")</f>
        <v>0</v>
      </c>
      <c r="K737">
        <f>COUNTIF('Metrics - Articles'!F734,"*GCO – Industry Cloud *")</f>
        <v>0</v>
      </c>
      <c r="L737">
        <f>COUNTIF('Metrics - Articles'!F734,"*GCO – Customer Engagement &amp; Commerce (CRM &amp; hybris) *")</f>
        <v>0</v>
      </c>
      <c r="M737">
        <f>COUNTIF('Metrics - Articles'!F734,"*GCO – HR (SuccessFactors)*")</f>
        <v>0</v>
      </c>
      <c r="N737">
        <f>COUNTIF('Metrics - Articles'!F734,"*GCO – Services Sales*")</f>
        <v>0</v>
      </c>
      <c r="O737">
        <f>COUNTIF('Metrics - Articles'!F734,"*GCO – Other*")</f>
        <v>0</v>
      </c>
      <c r="P737">
        <f>COUNTIF('Metrics - Articles'!F734,"*Corporate*")</f>
        <v>0</v>
      </c>
      <c r="R737" s="53">
        <f t="shared" si="13"/>
        <v>0</v>
      </c>
    </row>
    <row r="738" spans="2:18" hidden="1" x14ac:dyDescent="0.25">
      <c r="B738" s="48">
        <f>+'Metrics - Articles'!C735</f>
        <v>0</v>
      </c>
      <c r="C738">
        <f>COUNTIF('Metrics - Articles'!F735,"*GPO (Partner, Ecosystem, Channels)*")</f>
        <v>0</v>
      </c>
      <c r="D738">
        <f>COUNTIF('Metrics - Articles'!F735,"*Office of the CEO*")</f>
        <v>0</v>
      </c>
      <c r="E738">
        <f>COUNTIF('Metrics - Articles'!F735,"*Services Delivery &amp; Support (go-lives and deployments) *")</f>
        <v>0</v>
      </c>
      <c r="F738">
        <f>COUNTIF('Metrics - Articles'!F735,"*Human Resources (SAP HR and employee stories)*")</f>
        <v>0</v>
      </c>
      <c r="G738">
        <f>COUNTIF('Metrics - Articles'!F735,"*P&amp;I (Research &amp; Development)*")</f>
        <v>0</v>
      </c>
      <c r="H738">
        <f>COUNTIF('Metrics - Articles'!F735,"*Business Network (Concur, Ariba, Fieldglass)*")</f>
        <v>0</v>
      </c>
      <c r="I738">
        <f>COUNTIF('Metrics - Articles'!F735,"*GCO – Regions*")</f>
        <v>0</v>
      </c>
      <c r="J738">
        <f>COUNTIF('Metrics - Articles'!F735,"*GCO – Platform Solutions*")</f>
        <v>0</v>
      </c>
      <c r="K738">
        <f>COUNTIF('Metrics - Articles'!F735,"*GCO – Industry Cloud *")</f>
        <v>0</v>
      </c>
      <c r="L738">
        <f>COUNTIF('Metrics - Articles'!F735,"*GCO – Customer Engagement &amp; Commerce (CRM &amp; hybris) *")</f>
        <v>0</v>
      </c>
      <c r="M738">
        <f>COUNTIF('Metrics - Articles'!F735,"*GCO – HR (SuccessFactors)*")</f>
        <v>0</v>
      </c>
      <c r="N738">
        <f>COUNTIF('Metrics - Articles'!F735,"*GCO – Services Sales*")</f>
        <v>0</v>
      </c>
      <c r="O738">
        <f>COUNTIF('Metrics - Articles'!F735,"*GCO – Other*")</f>
        <v>0</v>
      </c>
      <c r="P738">
        <f>COUNTIF('Metrics - Articles'!F735,"*Corporate*")</f>
        <v>0</v>
      </c>
      <c r="R738" s="53">
        <f t="shared" si="13"/>
        <v>0</v>
      </c>
    </row>
    <row r="739" spans="2:18" hidden="1" x14ac:dyDescent="0.25">
      <c r="B739" s="48">
        <f>+'Metrics - Articles'!C736</f>
        <v>0</v>
      </c>
      <c r="C739">
        <f>COUNTIF('Metrics - Articles'!F736,"*GPO (Partner, Ecosystem, Channels)*")</f>
        <v>0</v>
      </c>
      <c r="D739">
        <f>COUNTIF('Metrics - Articles'!F736,"*Office of the CEO*")</f>
        <v>0</v>
      </c>
      <c r="E739">
        <f>COUNTIF('Metrics - Articles'!F736,"*Services Delivery &amp; Support (go-lives and deployments) *")</f>
        <v>0</v>
      </c>
      <c r="F739">
        <f>COUNTIF('Metrics - Articles'!F736,"*Human Resources (SAP HR and employee stories)*")</f>
        <v>0</v>
      </c>
      <c r="G739">
        <f>COUNTIF('Metrics - Articles'!F736,"*P&amp;I (Research &amp; Development)*")</f>
        <v>0</v>
      </c>
      <c r="H739">
        <f>COUNTIF('Metrics - Articles'!F736,"*Business Network (Concur, Ariba, Fieldglass)*")</f>
        <v>0</v>
      </c>
      <c r="I739">
        <f>COUNTIF('Metrics - Articles'!F736,"*GCO – Regions*")</f>
        <v>0</v>
      </c>
      <c r="J739">
        <f>COUNTIF('Metrics - Articles'!F736,"*GCO – Platform Solutions*")</f>
        <v>0</v>
      </c>
      <c r="K739">
        <f>COUNTIF('Metrics - Articles'!F736,"*GCO – Industry Cloud *")</f>
        <v>0</v>
      </c>
      <c r="L739">
        <f>COUNTIF('Metrics - Articles'!F736,"*GCO – Customer Engagement &amp; Commerce (CRM &amp; hybris) *")</f>
        <v>0</v>
      </c>
      <c r="M739">
        <f>COUNTIF('Metrics - Articles'!F736,"*GCO – HR (SuccessFactors)*")</f>
        <v>0</v>
      </c>
      <c r="N739">
        <f>COUNTIF('Metrics - Articles'!F736,"*GCO – Services Sales*")</f>
        <v>0</v>
      </c>
      <c r="O739">
        <f>COUNTIF('Metrics - Articles'!F736,"*GCO – Other*")</f>
        <v>0</v>
      </c>
      <c r="P739">
        <f>COUNTIF('Metrics - Articles'!F736,"*Corporate*")</f>
        <v>0</v>
      </c>
      <c r="R739" s="53">
        <f t="shared" si="13"/>
        <v>0</v>
      </c>
    </row>
    <row r="740" spans="2:18" hidden="1" x14ac:dyDescent="0.25">
      <c r="B740" s="48">
        <f>+'Metrics - Articles'!C737</f>
        <v>0</v>
      </c>
      <c r="C740">
        <f>COUNTIF('Metrics - Articles'!F737,"*GPO (Partner, Ecosystem, Channels)*")</f>
        <v>0</v>
      </c>
      <c r="D740">
        <f>COUNTIF('Metrics - Articles'!F737,"*Office of the CEO*")</f>
        <v>0</v>
      </c>
      <c r="E740">
        <f>COUNTIF('Metrics - Articles'!F737,"*Services Delivery &amp; Support (go-lives and deployments) *")</f>
        <v>0</v>
      </c>
      <c r="F740">
        <f>COUNTIF('Metrics - Articles'!F737,"*Human Resources (SAP HR and employee stories)*")</f>
        <v>0</v>
      </c>
      <c r="G740">
        <f>COUNTIF('Metrics - Articles'!F737,"*P&amp;I (Research &amp; Development)*")</f>
        <v>0</v>
      </c>
      <c r="H740">
        <f>COUNTIF('Metrics - Articles'!F737,"*Business Network (Concur, Ariba, Fieldglass)*")</f>
        <v>0</v>
      </c>
      <c r="I740">
        <f>COUNTIF('Metrics - Articles'!F737,"*GCO – Regions*")</f>
        <v>0</v>
      </c>
      <c r="J740">
        <f>COUNTIF('Metrics - Articles'!F737,"*GCO – Platform Solutions*")</f>
        <v>0</v>
      </c>
      <c r="K740">
        <f>COUNTIF('Metrics - Articles'!F737,"*GCO – Industry Cloud *")</f>
        <v>0</v>
      </c>
      <c r="L740">
        <f>COUNTIF('Metrics - Articles'!F737,"*GCO – Customer Engagement &amp; Commerce (CRM &amp; hybris) *")</f>
        <v>0</v>
      </c>
      <c r="M740">
        <f>COUNTIF('Metrics - Articles'!F737,"*GCO – HR (SuccessFactors)*")</f>
        <v>0</v>
      </c>
      <c r="N740">
        <f>COUNTIF('Metrics - Articles'!F737,"*GCO – Services Sales*")</f>
        <v>0</v>
      </c>
      <c r="O740">
        <f>COUNTIF('Metrics - Articles'!F737,"*GCO – Other*")</f>
        <v>0</v>
      </c>
      <c r="P740">
        <f>COUNTIF('Metrics - Articles'!F737,"*Corporate*")</f>
        <v>0</v>
      </c>
      <c r="R740" s="53">
        <f t="shared" si="13"/>
        <v>0</v>
      </c>
    </row>
    <row r="741" spans="2:18" hidden="1" x14ac:dyDescent="0.25">
      <c r="B741" s="48">
        <f>+'Metrics - Articles'!C738</f>
        <v>0</v>
      </c>
      <c r="C741">
        <f>COUNTIF('Metrics - Articles'!F738,"*GPO (Partner, Ecosystem, Channels)*")</f>
        <v>0</v>
      </c>
      <c r="D741">
        <f>COUNTIF('Metrics - Articles'!F738,"*Office of the CEO*")</f>
        <v>0</v>
      </c>
      <c r="E741">
        <f>COUNTIF('Metrics - Articles'!F738,"*Services Delivery &amp; Support (go-lives and deployments) *")</f>
        <v>0</v>
      </c>
      <c r="F741">
        <f>COUNTIF('Metrics - Articles'!F738,"*Human Resources (SAP HR and employee stories)*")</f>
        <v>0</v>
      </c>
      <c r="G741">
        <f>COUNTIF('Metrics - Articles'!F738,"*P&amp;I (Research &amp; Development)*")</f>
        <v>0</v>
      </c>
      <c r="H741">
        <f>COUNTIF('Metrics - Articles'!F738,"*Business Network (Concur, Ariba, Fieldglass)*")</f>
        <v>0</v>
      </c>
      <c r="I741">
        <f>COUNTIF('Metrics - Articles'!F738,"*GCO – Regions*")</f>
        <v>0</v>
      </c>
      <c r="J741">
        <f>COUNTIF('Metrics - Articles'!F738,"*GCO – Platform Solutions*")</f>
        <v>0</v>
      </c>
      <c r="K741">
        <f>COUNTIF('Metrics - Articles'!F738,"*GCO – Industry Cloud *")</f>
        <v>0</v>
      </c>
      <c r="L741">
        <f>COUNTIF('Metrics - Articles'!F738,"*GCO – Customer Engagement &amp; Commerce (CRM &amp; hybris) *")</f>
        <v>0</v>
      </c>
      <c r="M741">
        <f>COUNTIF('Metrics - Articles'!F738,"*GCO – HR (SuccessFactors)*")</f>
        <v>0</v>
      </c>
      <c r="N741">
        <f>COUNTIF('Metrics - Articles'!F738,"*GCO – Services Sales*")</f>
        <v>0</v>
      </c>
      <c r="O741">
        <f>COUNTIF('Metrics - Articles'!F738,"*GCO – Other*")</f>
        <v>0</v>
      </c>
      <c r="P741">
        <f>COUNTIF('Metrics - Articles'!F738,"*Corporate*")</f>
        <v>0</v>
      </c>
      <c r="R741" s="53">
        <f t="shared" si="13"/>
        <v>0</v>
      </c>
    </row>
    <row r="742" spans="2:18" hidden="1" x14ac:dyDescent="0.25">
      <c r="B742" s="48">
        <f>+'Metrics - Articles'!C739</f>
        <v>0</v>
      </c>
      <c r="C742">
        <f>COUNTIF('Metrics - Articles'!F739,"*GPO (Partner, Ecosystem, Channels)*")</f>
        <v>0</v>
      </c>
      <c r="D742">
        <f>COUNTIF('Metrics - Articles'!F739,"*Office of the CEO*")</f>
        <v>0</v>
      </c>
      <c r="E742">
        <f>COUNTIF('Metrics - Articles'!F739,"*Services Delivery &amp; Support (go-lives and deployments) *")</f>
        <v>0</v>
      </c>
      <c r="F742">
        <f>COUNTIF('Metrics - Articles'!F739,"*Human Resources (SAP HR and employee stories)*")</f>
        <v>0</v>
      </c>
      <c r="G742">
        <f>COUNTIF('Metrics - Articles'!F739,"*P&amp;I (Research &amp; Development)*")</f>
        <v>0</v>
      </c>
      <c r="H742">
        <f>COUNTIF('Metrics - Articles'!F739,"*Business Network (Concur, Ariba, Fieldglass)*")</f>
        <v>0</v>
      </c>
      <c r="I742">
        <f>COUNTIF('Metrics - Articles'!F739,"*GCO – Regions*")</f>
        <v>0</v>
      </c>
      <c r="J742">
        <f>COUNTIF('Metrics - Articles'!F739,"*GCO – Platform Solutions*")</f>
        <v>0</v>
      </c>
      <c r="K742">
        <f>COUNTIF('Metrics - Articles'!F739,"*GCO – Industry Cloud *")</f>
        <v>0</v>
      </c>
      <c r="L742">
        <f>COUNTIF('Metrics - Articles'!F739,"*GCO – Customer Engagement &amp; Commerce (CRM &amp; hybris) *")</f>
        <v>0</v>
      </c>
      <c r="M742">
        <f>COUNTIF('Metrics - Articles'!F739,"*GCO – HR (SuccessFactors)*")</f>
        <v>0</v>
      </c>
      <c r="N742">
        <f>COUNTIF('Metrics - Articles'!F739,"*GCO – Services Sales*")</f>
        <v>0</v>
      </c>
      <c r="O742">
        <f>COUNTIF('Metrics - Articles'!F739,"*GCO – Other*")</f>
        <v>0</v>
      </c>
      <c r="P742">
        <f>COUNTIF('Metrics - Articles'!F739,"*Corporate*")</f>
        <v>0</v>
      </c>
      <c r="R742" s="53">
        <f t="shared" si="13"/>
        <v>0</v>
      </c>
    </row>
    <row r="743" spans="2:18" hidden="1" x14ac:dyDescent="0.25">
      <c r="B743" s="48">
        <f>+'Metrics - Articles'!C740</f>
        <v>0</v>
      </c>
      <c r="C743">
        <f>COUNTIF('Metrics - Articles'!F740,"*GPO (Partner, Ecosystem, Channels)*")</f>
        <v>0</v>
      </c>
      <c r="D743">
        <f>COUNTIF('Metrics - Articles'!F740,"*Office of the CEO*")</f>
        <v>0</v>
      </c>
      <c r="E743">
        <f>COUNTIF('Metrics - Articles'!F740,"*Services Delivery &amp; Support (go-lives and deployments) *")</f>
        <v>0</v>
      </c>
      <c r="F743">
        <f>COUNTIF('Metrics - Articles'!F740,"*Human Resources (SAP HR and employee stories)*")</f>
        <v>0</v>
      </c>
      <c r="G743">
        <f>COUNTIF('Metrics - Articles'!F740,"*P&amp;I (Research &amp; Development)*")</f>
        <v>0</v>
      </c>
      <c r="H743">
        <f>COUNTIF('Metrics - Articles'!F740,"*Business Network (Concur, Ariba, Fieldglass)*")</f>
        <v>0</v>
      </c>
      <c r="I743">
        <f>COUNTIF('Metrics - Articles'!F740,"*GCO – Regions*")</f>
        <v>0</v>
      </c>
      <c r="J743">
        <f>COUNTIF('Metrics - Articles'!F740,"*GCO – Platform Solutions*")</f>
        <v>0</v>
      </c>
      <c r="K743">
        <f>COUNTIF('Metrics - Articles'!F740,"*GCO – Industry Cloud *")</f>
        <v>0</v>
      </c>
      <c r="L743">
        <f>COUNTIF('Metrics - Articles'!F740,"*GCO – Customer Engagement &amp; Commerce (CRM &amp; hybris) *")</f>
        <v>0</v>
      </c>
      <c r="M743">
        <f>COUNTIF('Metrics - Articles'!F740,"*GCO – HR (SuccessFactors)*")</f>
        <v>0</v>
      </c>
      <c r="N743">
        <f>COUNTIF('Metrics - Articles'!F740,"*GCO – Services Sales*")</f>
        <v>0</v>
      </c>
      <c r="O743">
        <f>COUNTIF('Metrics - Articles'!F740,"*GCO – Other*")</f>
        <v>0</v>
      </c>
      <c r="P743">
        <f>COUNTIF('Metrics - Articles'!F740,"*Corporate*")</f>
        <v>0</v>
      </c>
      <c r="R743" s="53">
        <f t="shared" si="13"/>
        <v>0</v>
      </c>
    </row>
    <row r="744" spans="2:18" hidden="1" x14ac:dyDescent="0.25">
      <c r="B744" s="48">
        <f>+'Metrics - Articles'!C741</f>
        <v>0</v>
      </c>
      <c r="C744">
        <f>COUNTIF('Metrics - Articles'!F741,"*GPO (Partner, Ecosystem, Channels)*")</f>
        <v>0</v>
      </c>
      <c r="D744">
        <f>COUNTIF('Metrics - Articles'!F741,"*Office of the CEO*")</f>
        <v>0</v>
      </c>
      <c r="E744">
        <f>COUNTIF('Metrics - Articles'!F741,"*Services Delivery &amp; Support (go-lives and deployments) *")</f>
        <v>0</v>
      </c>
      <c r="F744">
        <f>COUNTIF('Metrics - Articles'!F741,"*Human Resources (SAP HR and employee stories)*")</f>
        <v>0</v>
      </c>
      <c r="G744">
        <f>COUNTIF('Metrics - Articles'!F741,"*P&amp;I (Research &amp; Development)*")</f>
        <v>0</v>
      </c>
      <c r="H744">
        <f>COUNTIF('Metrics - Articles'!F741,"*Business Network (Concur, Ariba, Fieldglass)*")</f>
        <v>0</v>
      </c>
      <c r="I744">
        <f>COUNTIF('Metrics - Articles'!F741,"*GCO – Regions*")</f>
        <v>0</v>
      </c>
      <c r="J744">
        <f>COUNTIF('Metrics - Articles'!F741,"*GCO – Platform Solutions*")</f>
        <v>0</v>
      </c>
      <c r="K744">
        <f>COUNTIF('Metrics - Articles'!F741,"*GCO – Industry Cloud *")</f>
        <v>0</v>
      </c>
      <c r="L744">
        <f>COUNTIF('Metrics - Articles'!F741,"*GCO – Customer Engagement &amp; Commerce (CRM &amp; hybris) *")</f>
        <v>0</v>
      </c>
      <c r="M744">
        <f>COUNTIF('Metrics - Articles'!F741,"*GCO – HR (SuccessFactors)*")</f>
        <v>0</v>
      </c>
      <c r="N744">
        <f>COUNTIF('Metrics - Articles'!F741,"*GCO – Services Sales*")</f>
        <v>0</v>
      </c>
      <c r="O744">
        <f>COUNTIF('Metrics - Articles'!F741,"*GCO – Other*")</f>
        <v>0</v>
      </c>
      <c r="P744">
        <f>COUNTIF('Metrics - Articles'!F741,"*Corporate*")</f>
        <v>0</v>
      </c>
      <c r="R744" s="53">
        <f t="shared" si="13"/>
        <v>0</v>
      </c>
    </row>
    <row r="745" spans="2:18" hidden="1" x14ac:dyDescent="0.25">
      <c r="B745" s="48">
        <f>+'Metrics - Articles'!C742</f>
        <v>0</v>
      </c>
      <c r="C745">
        <f>COUNTIF('Metrics - Articles'!F742,"*GPO (Partner, Ecosystem, Channels)*")</f>
        <v>0</v>
      </c>
      <c r="D745">
        <f>COUNTIF('Metrics - Articles'!F742,"*Office of the CEO*")</f>
        <v>0</v>
      </c>
      <c r="E745">
        <f>COUNTIF('Metrics - Articles'!F742,"*Services Delivery &amp; Support (go-lives and deployments) *")</f>
        <v>0</v>
      </c>
      <c r="F745">
        <f>COUNTIF('Metrics - Articles'!F742,"*Human Resources (SAP HR and employee stories)*")</f>
        <v>0</v>
      </c>
      <c r="G745">
        <f>COUNTIF('Metrics - Articles'!F742,"*P&amp;I (Research &amp; Development)*")</f>
        <v>0</v>
      </c>
      <c r="H745">
        <f>COUNTIF('Metrics - Articles'!F742,"*Business Network (Concur, Ariba, Fieldglass)*")</f>
        <v>0</v>
      </c>
      <c r="I745">
        <f>COUNTIF('Metrics - Articles'!F742,"*GCO – Regions*")</f>
        <v>0</v>
      </c>
      <c r="J745">
        <f>COUNTIF('Metrics - Articles'!F742,"*GCO – Platform Solutions*")</f>
        <v>0</v>
      </c>
      <c r="K745">
        <f>COUNTIF('Metrics - Articles'!F742,"*GCO – Industry Cloud *")</f>
        <v>0</v>
      </c>
      <c r="L745">
        <f>COUNTIF('Metrics - Articles'!F742,"*GCO – Customer Engagement &amp; Commerce (CRM &amp; hybris) *")</f>
        <v>0</v>
      </c>
      <c r="M745">
        <f>COUNTIF('Metrics - Articles'!F742,"*GCO – HR (SuccessFactors)*")</f>
        <v>0</v>
      </c>
      <c r="N745">
        <f>COUNTIF('Metrics - Articles'!F742,"*GCO – Services Sales*")</f>
        <v>0</v>
      </c>
      <c r="O745">
        <f>COUNTIF('Metrics - Articles'!F742,"*GCO – Other*")</f>
        <v>0</v>
      </c>
      <c r="P745">
        <f>COUNTIF('Metrics - Articles'!F742,"*Corporate*")</f>
        <v>0</v>
      </c>
      <c r="R745" s="53">
        <f t="shared" si="13"/>
        <v>0</v>
      </c>
    </row>
    <row r="746" spans="2:18" hidden="1" x14ac:dyDescent="0.25">
      <c r="B746" s="48">
        <f>+'Metrics - Articles'!C743</f>
        <v>0</v>
      </c>
      <c r="C746">
        <f>COUNTIF('Metrics - Articles'!F743,"*GPO (Partner, Ecosystem, Channels)*")</f>
        <v>0</v>
      </c>
      <c r="D746">
        <f>COUNTIF('Metrics - Articles'!F743,"*Office of the CEO*")</f>
        <v>0</v>
      </c>
      <c r="E746">
        <f>COUNTIF('Metrics - Articles'!F743,"*Services Delivery &amp; Support (go-lives and deployments) *")</f>
        <v>0</v>
      </c>
      <c r="F746">
        <f>COUNTIF('Metrics - Articles'!F743,"*Human Resources (SAP HR and employee stories)*")</f>
        <v>0</v>
      </c>
      <c r="G746">
        <f>COUNTIF('Metrics - Articles'!F743,"*P&amp;I (Research &amp; Development)*")</f>
        <v>0</v>
      </c>
      <c r="H746">
        <f>COUNTIF('Metrics - Articles'!F743,"*Business Network (Concur, Ariba, Fieldglass)*")</f>
        <v>0</v>
      </c>
      <c r="I746">
        <f>COUNTIF('Metrics - Articles'!F743,"*GCO – Regions*")</f>
        <v>0</v>
      </c>
      <c r="J746">
        <f>COUNTIF('Metrics - Articles'!F743,"*GCO – Platform Solutions*")</f>
        <v>0</v>
      </c>
      <c r="K746">
        <f>COUNTIF('Metrics - Articles'!F743,"*GCO – Industry Cloud *")</f>
        <v>0</v>
      </c>
      <c r="L746">
        <f>COUNTIF('Metrics - Articles'!F743,"*GCO – Customer Engagement &amp; Commerce (CRM &amp; hybris) *")</f>
        <v>0</v>
      </c>
      <c r="M746">
        <f>COUNTIF('Metrics - Articles'!F743,"*GCO – HR (SuccessFactors)*")</f>
        <v>0</v>
      </c>
      <c r="N746">
        <f>COUNTIF('Metrics - Articles'!F743,"*GCO – Services Sales*")</f>
        <v>0</v>
      </c>
      <c r="O746">
        <f>COUNTIF('Metrics - Articles'!F743,"*GCO – Other*")</f>
        <v>0</v>
      </c>
      <c r="P746">
        <f>COUNTIF('Metrics - Articles'!F743,"*Corporate*")</f>
        <v>0</v>
      </c>
      <c r="R746" s="53">
        <f t="shared" si="13"/>
        <v>0</v>
      </c>
    </row>
    <row r="747" spans="2:18" hidden="1" x14ac:dyDescent="0.25">
      <c r="B747" s="48">
        <f>+'Metrics - Articles'!C744</f>
        <v>0</v>
      </c>
      <c r="C747">
        <f>COUNTIF('Metrics - Articles'!F744,"*GPO (Partner, Ecosystem, Channels)*")</f>
        <v>0</v>
      </c>
      <c r="D747">
        <f>COUNTIF('Metrics - Articles'!F744,"*Office of the CEO*")</f>
        <v>0</v>
      </c>
      <c r="E747">
        <f>COUNTIF('Metrics - Articles'!F744,"*Services Delivery &amp; Support (go-lives and deployments) *")</f>
        <v>0</v>
      </c>
      <c r="F747">
        <f>COUNTIF('Metrics - Articles'!F744,"*Human Resources (SAP HR and employee stories)*")</f>
        <v>0</v>
      </c>
      <c r="G747">
        <f>COUNTIF('Metrics - Articles'!F744,"*P&amp;I (Research &amp; Development)*")</f>
        <v>0</v>
      </c>
      <c r="H747">
        <f>COUNTIF('Metrics - Articles'!F744,"*Business Network (Concur, Ariba, Fieldglass)*")</f>
        <v>0</v>
      </c>
      <c r="I747">
        <f>COUNTIF('Metrics - Articles'!F744,"*GCO – Regions*")</f>
        <v>0</v>
      </c>
      <c r="J747">
        <f>COUNTIF('Metrics - Articles'!F744,"*GCO – Platform Solutions*")</f>
        <v>0</v>
      </c>
      <c r="K747">
        <f>COUNTIF('Metrics - Articles'!F744,"*GCO – Industry Cloud *")</f>
        <v>0</v>
      </c>
      <c r="L747">
        <f>COUNTIF('Metrics - Articles'!F744,"*GCO – Customer Engagement &amp; Commerce (CRM &amp; hybris) *")</f>
        <v>0</v>
      </c>
      <c r="M747">
        <f>COUNTIF('Metrics - Articles'!F744,"*GCO – HR (SuccessFactors)*")</f>
        <v>0</v>
      </c>
      <c r="N747">
        <f>COUNTIF('Metrics - Articles'!F744,"*GCO – Services Sales*")</f>
        <v>0</v>
      </c>
      <c r="O747">
        <f>COUNTIF('Metrics - Articles'!F744,"*GCO – Other*")</f>
        <v>0</v>
      </c>
      <c r="P747">
        <f>COUNTIF('Metrics - Articles'!F744,"*Corporate*")</f>
        <v>0</v>
      </c>
      <c r="R747" s="53">
        <f t="shared" si="13"/>
        <v>0</v>
      </c>
    </row>
    <row r="748" spans="2:18" hidden="1" x14ac:dyDescent="0.25">
      <c r="B748" s="48">
        <f>+'Metrics - Articles'!C745</f>
        <v>0</v>
      </c>
      <c r="C748">
        <f>COUNTIF('Metrics - Articles'!F745,"*GPO (Partner, Ecosystem, Channels)*")</f>
        <v>0</v>
      </c>
      <c r="D748">
        <f>COUNTIF('Metrics - Articles'!F745,"*Office of the CEO*")</f>
        <v>0</v>
      </c>
      <c r="E748">
        <f>COUNTIF('Metrics - Articles'!F745,"*Services Delivery &amp; Support (go-lives and deployments) *")</f>
        <v>0</v>
      </c>
      <c r="F748">
        <f>COUNTIF('Metrics - Articles'!F745,"*Human Resources (SAP HR and employee stories)*")</f>
        <v>0</v>
      </c>
      <c r="G748">
        <f>COUNTIF('Metrics - Articles'!F745,"*P&amp;I (Research &amp; Development)*")</f>
        <v>0</v>
      </c>
      <c r="H748">
        <f>COUNTIF('Metrics - Articles'!F745,"*Business Network (Concur, Ariba, Fieldglass)*")</f>
        <v>0</v>
      </c>
      <c r="I748">
        <f>COUNTIF('Metrics - Articles'!F745,"*GCO – Regions*")</f>
        <v>0</v>
      </c>
      <c r="J748">
        <f>COUNTIF('Metrics - Articles'!F745,"*GCO – Platform Solutions*")</f>
        <v>0</v>
      </c>
      <c r="K748">
        <f>COUNTIF('Metrics - Articles'!F745,"*GCO – Industry Cloud *")</f>
        <v>0</v>
      </c>
      <c r="L748">
        <f>COUNTIF('Metrics - Articles'!F745,"*GCO – Customer Engagement &amp; Commerce (CRM &amp; hybris) *")</f>
        <v>0</v>
      </c>
      <c r="M748">
        <f>COUNTIF('Metrics - Articles'!F745,"*GCO – HR (SuccessFactors)*")</f>
        <v>0</v>
      </c>
      <c r="N748">
        <f>COUNTIF('Metrics - Articles'!F745,"*GCO – Services Sales*")</f>
        <v>0</v>
      </c>
      <c r="O748">
        <f>COUNTIF('Metrics - Articles'!F745,"*GCO – Other*")</f>
        <v>0</v>
      </c>
      <c r="P748">
        <f>COUNTIF('Metrics - Articles'!F745,"*Corporate*")</f>
        <v>0</v>
      </c>
      <c r="R748" s="53">
        <f t="shared" si="13"/>
        <v>0</v>
      </c>
    </row>
    <row r="749" spans="2:18" hidden="1" x14ac:dyDescent="0.25">
      <c r="B749" s="48">
        <f>+'Metrics - Articles'!C746</f>
        <v>0</v>
      </c>
      <c r="C749">
        <f>COUNTIF('Metrics - Articles'!F746,"*GPO (Partner, Ecosystem, Channels)*")</f>
        <v>0</v>
      </c>
      <c r="D749">
        <f>COUNTIF('Metrics - Articles'!F746,"*Office of the CEO*")</f>
        <v>0</v>
      </c>
      <c r="E749">
        <f>COUNTIF('Metrics - Articles'!F746,"*Services Delivery &amp; Support (go-lives and deployments) *")</f>
        <v>0</v>
      </c>
      <c r="F749">
        <f>COUNTIF('Metrics - Articles'!F746,"*Human Resources (SAP HR and employee stories)*")</f>
        <v>0</v>
      </c>
      <c r="G749">
        <f>COUNTIF('Metrics - Articles'!F746,"*P&amp;I (Research &amp; Development)*")</f>
        <v>0</v>
      </c>
      <c r="H749">
        <f>COUNTIF('Metrics - Articles'!F746,"*Business Network (Concur, Ariba, Fieldglass)*")</f>
        <v>0</v>
      </c>
      <c r="I749">
        <f>COUNTIF('Metrics - Articles'!F746,"*GCO – Regions*")</f>
        <v>0</v>
      </c>
      <c r="J749">
        <f>COUNTIF('Metrics - Articles'!F746,"*GCO – Platform Solutions*")</f>
        <v>0</v>
      </c>
      <c r="K749">
        <f>COUNTIF('Metrics - Articles'!F746,"*GCO – Industry Cloud *")</f>
        <v>0</v>
      </c>
      <c r="L749">
        <f>COUNTIF('Metrics - Articles'!F746,"*GCO – Customer Engagement &amp; Commerce (CRM &amp; hybris) *")</f>
        <v>0</v>
      </c>
      <c r="M749">
        <f>COUNTIF('Metrics - Articles'!F746,"*GCO – HR (SuccessFactors)*")</f>
        <v>0</v>
      </c>
      <c r="N749">
        <f>COUNTIF('Metrics - Articles'!F746,"*GCO – Services Sales*")</f>
        <v>0</v>
      </c>
      <c r="O749">
        <f>COUNTIF('Metrics - Articles'!F746,"*GCO – Other*")</f>
        <v>0</v>
      </c>
      <c r="P749">
        <f>COUNTIF('Metrics - Articles'!F746,"*Corporate*")</f>
        <v>0</v>
      </c>
      <c r="R749" s="53">
        <f t="shared" si="13"/>
        <v>0</v>
      </c>
    </row>
    <row r="750" spans="2:18" hidden="1" x14ac:dyDescent="0.25">
      <c r="B750" s="48">
        <f>+'Metrics - Articles'!C747</f>
        <v>0</v>
      </c>
      <c r="C750">
        <f>COUNTIF('Metrics - Articles'!F747,"*GPO (Partner, Ecosystem, Channels)*")</f>
        <v>0</v>
      </c>
      <c r="D750">
        <f>COUNTIF('Metrics - Articles'!F747,"*Office of the CEO*")</f>
        <v>0</v>
      </c>
      <c r="E750">
        <f>COUNTIF('Metrics - Articles'!F747,"*Services Delivery &amp; Support (go-lives and deployments) *")</f>
        <v>0</v>
      </c>
      <c r="F750">
        <f>COUNTIF('Metrics - Articles'!F747,"*Human Resources (SAP HR and employee stories)*")</f>
        <v>0</v>
      </c>
      <c r="G750">
        <f>COUNTIF('Metrics - Articles'!F747,"*P&amp;I (Research &amp; Development)*")</f>
        <v>0</v>
      </c>
      <c r="H750">
        <f>COUNTIF('Metrics - Articles'!F747,"*Business Network (Concur, Ariba, Fieldglass)*")</f>
        <v>0</v>
      </c>
      <c r="I750">
        <f>COUNTIF('Metrics - Articles'!F747,"*GCO – Regions*")</f>
        <v>0</v>
      </c>
      <c r="J750">
        <f>COUNTIF('Metrics - Articles'!F747,"*GCO – Platform Solutions*")</f>
        <v>0</v>
      </c>
      <c r="K750">
        <f>COUNTIF('Metrics - Articles'!F747,"*GCO – Industry Cloud *")</f>
        <v>0</v>
      </c>
      <c r="L750">
        <f>COUNTIF('Metrics - Articles'!F747,"*GCO – Customer Engagement &amp; Commerce (CRM &amp; hybris) *")</f>
        <v>0</v>
      </c>
      <c r="M750">
        <f>COUNTIF('Metrics - Articles'!F747,"*GCO – HR (SuccessFactors)*")</f>
        <v>0</v>
      </c>
      <c r="N750">
        <f>COUNTIF('Metrics - Articles'!F747,"*GCO – Services Sales*")</f>
        <v>0</v>
      </c>
      <c r="O750">
        <f>COUNTIF('Metrics - Articles'!F747,"*GCO – Other*")</f>
        <v>0</v>
      </c>
      <c r="P750">
        <f>COUNTIF('Metrics - Articles'!F747,"*Corporate*")</f>
        <v>0</v>
      </c>
      <c r="R750" s="53">
        <f t="shared" si="13"/>
        <v>0</v>
      </c>
    </row>
    <row r="751" spans="2:18" hidden="1" x14ac:dyDescent="0.25">
      <c r="B751" s="48">
        <f>+'Metrics - Articles'!C748</f>
        <v>0</v>
      </c>
      <c r="C751">
        <f>COUNTIF('Metrics - Articles'!F748,"*GPO (Partner, Ecosystem, Channels)*")</f>
        <v>0</v>
      </c>
      <c r="D751">
        <f>COUNTIF('Metrics - Articles'!F748,"*Office of the CEO*")</f>
        <v>0</v>
      </c>
      <c r="E751">
        <f>COUNTIF('Metrics - Articles'!F748,"*Services Delivery &amp; Support (go-lives and deployments) *")</f>
        <v>0</v>
      </c>
      <c r="F751">
        <f>COUNTIF('Metrics - Articles'!F748,"*Human Resources (SAP HR and employee stories)*")</f>
        <v>0</v>
      </c>
      <c r="G751">
        <f>COUNTIF('Metrics - Articles'!F748,"*P&amp;I (Research &amp; Development)*")</f>
        <v>0</v>
      </c>
      <c r="H751">
        <f>COUNTIF('Metrics - Articles'!F748,"*Business Network (Concur, Ariba, Fieldglass)*")</f>
        <v>0</v>
      </c>
      <c r="I751">
        <f>COUNTIF('Metrics - Articles'!F748,"*GCO – Regions*")</f>
        <v>0</v>
      </c>
      <c r="J751">
        <f>COUNTIF('Metrics - Articles'!F748,"*GCO – Platform Solutions*")</f>
        <v>0</v>
      </c>
      <c r="K751">
        <f>COUNTIF('Metrics - Articles'!F748,"*GCO – Industry Cloud *")</f>
        <v>0</v>
      </c>
      <c r="L751">
        <f>COUNTIF('Metrics - Articles'!F748,"*GCO – Customer Engagement &amp; Commerce (CRM &amp; hybris) *")</f>
        <v>0</v>
      </c>
      <c r="M751">
        <f>COUNTIF('Metrics - Articles'!F748,"*GCO – HR (SuccessFactors)*")</f>
        <v>0</v>
      </c>
      <c r="N751">
        <f>COUNTIF('Metrics - Articles'!F748,"*GCO – Services Sales*")</f>
        <v>0</v>
      </c>
      <c r="O751">
        <f>COUNTIF('Metrics - Articles'!F748,"*GCO – Other*")</f>
        <v>0</v>
      </c>
      <c r="P751">
        <f>COUNTIF('Metrics - Articles'!F748,"*Corporate*")</f>
        <v>0</v>
      </c>
      <c r="R751" s="53">
        <f t="shared" si="13"/>
        <v>0</v>
      </c>
    </row>
    <row r="752" spans="2:18" hidden="1" x14ac:dyDescent="0.25">
      <c r="B752" s="48">
        <f>+'Metrics - Articles'!C749</f>
        <v>0</v>
      </c>
      <c r="C752">
        <f>COUNTIF('Metrics - Articles'!F749,"*GPO (Partner, Ecosystem, Channels)*")</f>
        <v>0</v>
      </c>
      <c r="D752">
        <f>COUNTIF('Metrics - Articles'!F749,"*Office of the CEO*")</f>
        <v>0</v>
      </c>
      <c r="E752">
        <f>COUNTIF('Metrics - Articles'!F749,"*Services Delivery &amp; Support (go-lives and deployments) *")</f>
        <v>0</v>
      </c>
      <c r="F752">
        <f>COUNTIF('Metrics - Articles'!F749,"*Human Resources (SAP HR and employee stories)*")</f>
        <v>0</v>
      </c>
      <c r="G752">
        <f>COUNTIF('Metrics - Articles'!F749,"*P&amp;I (Research &amp; Development)*")</f>
        <v>0</v>
      </c>
      <c r="H752">
        <f>COUNTIF('Metrics - Articles'!F749,"*Business Network (Concur, Ariba, Fieldglass)*")</f>
        <v>0</v>
      </c>
      <c r="I752">
        <f>COUNTIF('Metrics - Articles'!F749,"*GCO – Regions*")</f>
        <v>0</v>
      </c>
      <c r="J752">
        <f>COUNTIF('Metrics - Articles'!F749,"*GCO – Platform Solutions*")</f>
        <v>0</v>
      </c>
      <c r="K752">
        <f>COUNTIF('Metrics - Articles'!F749,"*GCO – Industry Cloud *")</f>
        <v>0</v>
      </c>
      <c r="L752">
        <f>COUNTIF('Metrics - Articles'!F749,"*GCO – Customer Engagement &amp; Commerce (CRM &amp; hybris) *")</f>
        <v>0</v>
      </c>
      <c r="M752">
        <f>COUNTIF('Metrics - Articles'!F749,"*GCO – HR (SuccessFactors)*")</f>
        <v>0</v>
      </c>
      <c r="N752">
        <f>COUNTIF('Metrics - Articles'!F749,"*GCO – Services Sales*")</f>
        <v>0</v>
      </c>
      <c r="O752">
        <f>COUNTIF('Metrics - Articles'!F749,"*GCO – Other*")</f>
        <v>0</v>
      </c>
      <c r="P752">
        <f>COUNTIF('Metrics - Articles'!F749,"*Corporate*")</f>
        <v>0</v>
      </c>
      <c r="R752" s="53">
        <f t="shared" si="13"/>
        <v>0</v>
      </c>
    </row>
    <row r="753" spans="2:18" hidden="1" x14ac:dyDescent="0.25">
      <c r="B753" s="48">
        <f>+'Metrics - Articles'!C750</f>
        <v>0</v>
      </c>
      <c r="C753">
        <f>COUNTIF('Metrics - Articles'!F750,"*GPO (Partner, Ecosystem, Channels)*")</f>
        <v>0</v>
      </c>
      <c r="D753">
        <f>COUNTIF('Metrics - Articles'!F750,"*Office of the CEO*")</f>
        <v>0</v>
      </c>
      <c r="E753">
        <f>COUNTIF('Metrics - Articles'!F750,"*Services Delivery &amp; Support (go-lives and deployments) *")</f>
        <v>0</v>
      </c>
      <c r="F753">
        <f>COUNTIF('Metrics - Articles'!F750,"*Human Resources (SAP HR and employee stories)*")</f>
        <v>0</v>
      </c>
      <c r="G753">
        <f>COUNTIF('Metrics - Articles'!F750,"*P&amp;I (Research &amp; Development)*")</f>
        <v>0</v>
      </c>
      <c r="H753">
        <f>COUNTIF('Metrics - Articles'!F750,"*Business Network (Concur, Ariba, Fieldglass)*")</f>
        <v>0</v>
      </c>
      <c r="I753">
        <f>COUNTIF('Metrics - Articles'!F750,"*GCO – Regions*")</f>
        <v>0</v>
      </c>
      <c r="J753">
        <f>COUNTIF('Metrics - Articles'!F750,"*GCO – Platform Solutions*")</f>
        <v>0</v>
      </c>
      <c r="K753">
        <f>COUNTIF('Metrics - Articles'!F750,"*GCO – Industry Cloud *")</f>
        <v>0</v>
      </c>
      <c r="L753">
        <f>COUNTIF('Metrics - Articles'!F750,"*GCO – Customer Engagement &amp; Commerce (CRM &amp; hybris) *")</f>
        <v>0</v>
      </c>
      <c r="M753">
        <f>COUNTIF('Metrics - Articles'!F750,"*GCO – HR (SuccessFactors)*")</f>
        <v>0</v>
      </c>
      <c r="N753">
        <f>COUNTIF('Metrics - Articles'!F750,"*GCO – Services Sales*")</f>
        <v>0</v>
      </c>
      <c r="O753">
        <f>COUNTIF('Metrics - Articles'!F750,"*GCO – Other*")</f>
        <v>0</v>
      </c>
      <c r="P753">
        <f>COUNTIF('Metrics - Articles'!F750,"*Corporate*")</f>
        <v>0</v>
      </c>
      <c r="R753" s="53">
        <f t="shared" si="13"/>
        <v>0</v>
      </c>
    </row>
    <row r="754" spans="2:18" hidden="1" x14ac:dyDescent="0.25">
      <c r="B754" s="48">
        <f>+'Metrics - Articles'!C751</f>
        <v>0</v>
      </c>
      <c r="C754">
        <f>COUNTIF('Metrics - Articles'!F751,"*GPO (Partner, Ecosystem, Channels)*")</f>
        <v>0</v>
      </c>
      <c r="D754">
        <f>COUNTIF('Metrics - Articles'!F751,"*Office of the CEO*")</f>
        <v>0</v>
      </c>
      <c r="E754">
        <f>COUNTIF('Metrics - Articles'!F751,"*Services Delivery &amp; Support (go-lives and deployments) *")</f>
        <v>0</v>
      </c>
      <c r="F754">
        <f>COUNTIF('Metrics - Articles'!F751,"*Human Resources (SAP HR and employee stories)*")</f>
        <v>0</v>
      </c>
      <c r="G754">
        <f>COUNTIF('Metrics - Articles'!F751,"*P&amp;I (Research &amp; Development)*")</f>
        <v>0</v>
      </c>
      <c r="H754">
        <f>COUNTIF('Metrics - Articles'!F751,"*Business Network (Concur, Ariba, Fieldglass)*")</f>
        <v>0</v>
      </c>
      <c r="I754">
        <f>COUNTIF('Metrics - Articles'!F751,"*GCO – Regions*")</f>
        <v>0</v>
      </c>
      <c r="J754">
        <f>COUNTIF('Metrics - Articles'!F751,"*GCO – Platform Solutions*")</f>
        <v>0</v>
      </c>
      <c r="K754">
        <f>COUNTIF('Metrics - Articles'!F751,"*GCO – Industry Cloud *")</f>
        <v>0</v>
      </c>
      <c r="L754">
        <f>COUNTIF('Metrics - Articles'!F751,"*GCO – Customer Engagement &amp; Commerce (CRM &amp; hybris) *")</f>
        <v>0</v>
      </c>
      <c r="M754">
        <f>COUNTIF('Metrics - Articles'!F751,"*GCO – HR (SuccessFactors)*")</f>
        <v>0</v>
      </c>
      <c r="N754">
        <f>COUNTIF('Metrics - Articles'!F751,"*GCO – Services Sales*")</f>
        <v>0</v>
      </c>
      <c r="O754">
        <f>COUNTIF('Metrics - Articles'!F751,"*GCO – Other*")</f>
        <v>0</v>
      </c>
      <c r="P754">
        <f>COUNTIF('Metrics - Articles'!F751,"*Corporate*")</f>
        <v>0</v>
      </c>
      <c r="R754" s="53">
        <f t="shared" si="13"/>
        <v>0</v>
      </c>
    </row>
    <row r="755" spans="2:18" hidden="1" x14ac:dyDescent="0.25">
      <c r="B755" s="48">
        <f>+'Metrics - Articles'!C752</f>
        <v>0</v>
      </c>
      <c r="C755">
        <f>COUNTIF('Metrics - Articles'!F752,"*GPO (Partner, Ecosystem, Channels)*")</f>
        <v>0</v>
      </c>
      <c r="D755">
        <f>COUNTIF('Metrics - Articles'!F752,"*Office of the CEO*")</f>
        <v>0</v>
      </c>
      <c r="E755">
        <f>COUNTIF('Metrics - Articles'!F752,"*Services Delivery &amp; Support (go-lives and deployments) *")</f>
        <v>0</v>
      </c>
      <c r="F755">
        <f>COUNTIF('Metrics - Articles'!F752,"*Human Resources (SAP HR and employee stories)*")</f>
        <v>0</v>
      </c>
      <c r="G755">
        <f>COUNTIF('Metrics - Articles'!F752,"*P&amp;I (Research &amp; Development)*")</f>
        <v>0</v>
      </c>
      <c r="H755">
        <f>COUNTIF('Metrics - Articles'!F752,"*Business Network (Concur, Ariba, Fieldglass)*")</f>
        <v>0</v>
      </c>
      <c r="I755">
        <f>COUNTIF('Metrics - Articles'!F752,"*GCO – Regions*")</f>
        <v>0</v>
      </c>
      <c r="J755">
        <f>COUNTIF('Metrics - Articles'!F752,"*GCO – Platform Solutions*")</f>
        <v>0</v>
      </c>
      <c r="K755">
        <f>COUNTIF('Metrics - Articles'!F752,"*GCO – Industry Cloud *")</f>
        <v>0</v>
      </c>
      <c r="L755">
        <f>COUNTIF('Metrics - Articles'!F752,"*GCO – Customer Engagement &amp; Commerce (CRM &amp; hybris) *")</f>
        <v>0</v>
      </c>
      <c r="M755">
        <f>COUNTIF('Metrics - Articles'!F752,"*GCO – HR (SuccessFactors)*")</f>
        <v>0</v>
      </c>
      <c r="N755">
        <f>COUNTIF('Metrics - Articles'!F752,"*GCO – Services Sales*")</f>
        <v>0</v>
      </c>
      <c r="O755">
        <f>COUNTIF('Metrics - Articles'!F752,"*GCO – Other*")</f>
        <v>0</v>
      </c>
      <c r="P755">
        <f>COUNTIF('Metrics - Articles'!F752,"*Corporate*")</f>
        <v>0</v>
      </c>
      <c r="R755" s="53">
        <f t="shared" si="13"/>
        <v>0</v>
      </c>
    </row>
    <row r="756" spans="2:18" hidden="1" x14ac:dyDescent="0.25">
      <c r="B756" s="48">
        <f>+'Metrics - Articles'!C753</f>
        <v>0</v>
      </c>
      <c r="C756">
        <f>COUNTIF('Metrics - Articles'!F753,"*GPO (Partner, Ecosystem, Channels)*")</f>
        <v>0</v>
      </c>
      <c r="D756">
        <f>COUNTIF('Metrics - Articles'!F753,"*Office of the CEO*")</f>
        <v>0</v>
      </c>
      <c r="E756">
        <f>COUNTIF('Metrics - Articles'!F753,"*Services Delivery &amp; Support (go-lives and deployments) *")</f>
        <v>0</v>
      </c>
      <c r="F756">
        <f>COUNTIF('Metrics - Articles'!F753,"*Human Resources (SAP HR and employee stories)*")</f>
        <v>0</v>
      </c>
      <c r="G756">
        <f>COUNTIF('Metrics - Articles'!F753,"*P&amp;I (Research &amp; Development)*")</f>
        <v>0</v>
      </c>
      <c r="H756">
        <f>COUNTIF('Metrics - Articles'!F753,"*Business Network (Concur, Ariba, Fieldglass)*")</f>
        <v>0</v>
      </c>
      <c r="I756">
        <f>COUNTIF('Metrics - Articles'!F753,"*GCO – Regions*")</f>
        <v>0</v>
      </c>
      <c r="J756">
        <f>COUNTIF('Metrics - Articles'!F753,"*GCO – Platform Solutions*")</f>
        <v>0</v>
      </c>
      <c r="K756">
        <f>COUNTIF('Metrics - Articles'!F753,"*GCO – Industry Cloud *")</f>
        <v>0</v>
      </c>
      <c r="L756">
        <f>COUNTIF('Metrics - Articles'!F753,"*GCO – Customer Engagement &amp; Commerce (CRM &amp; hybris) *")</f>
        <v>0</v>
      </c>
      <c r="M756">
        <f>COUNTIF('Metrics - Articles'!F753,"*GCO – HR (SuccessFactors)*")</f>
        <v>0</v>
      </c>
      <c r="N756">
        <f>COUNTIF('Metrics - Articles'!F753,"*GCO – Services Sales*")</f>
        <v>0</v>
      </c>
      <c r="O756">
        <f>COUNTIF('Metrics - Articles'!F753,"*GCO – Other*")</f>
        <v>0</v>
      </c>
      <c r="P756">
        <f>COUNTIF('Metrics - Articles'!F753,"*Corporate*")</f>
        <v>0</v>
      </c>
      <c r="R756" s="53">
        <f t="shared" si="13"/>
        <v>0</v>
      </c>
    </row>
    <row r="757" spans="2:18" hidden="1" x14ac:dyDescent="0.25">
      <c r="B757" s="48">
        <f>+'Metrics - Articles'!C754</f>
        <v>0</v>
      </c>
      <c r="C757">
        <f>COUNTIF('Metrics - Articles'!F754,"*GPO (Partner, Ecosystem, Channels)*")</f>
        <v>0</v>
      </c>
      <c r="D757">
        <f>COUNTIF('Metrics - Articles'!F754,"*Office of the CEO*")</f>
        <v>0</v>
      </c>
      <c r="E757">
        <f>COUNTIF('Metrics - Articles'!F754,"*Services Delivery &amp; Support (go-lives and deployments) *")</f>
        <v>0</v>
      </c>
      <c r="F757">
        <f>COUNTIF('Metrics - Articles'!F754,"*Human Resources (SAP HR and employee stories)*")</f>
        <v>0</v>
      </c>
      <c r="G757">
        <f>COUNTIF('Metrics - Articles'!F754,"*P&amp;I (Research &amp; Development)*")</f>
        <v>0</v>
      </c>
      <c r="H757">
        <f>COUNTIF('Metrics - Articles'!F754,"*Business Network (Concur, Ariba, Fieldglass)*")</f>
        <v>0</v>
      </c>
      <c r="I757">
        <f>COUNTIF('Metrics - Articles'!F754,"*GCO – Regions*")</f>
        <v>0</v>
      </c>
      <c r="J757">
        <f>COUNTIF('Metrics - Articles'!F754,"*GCO – Platform Solutions*")</f>
        <v>0</v>
      </c>
      <c r="K757">
        <f>COUNTIF('Metrics - Articles'!F754,"*GCO – Industry Cloud *")</f>
        <v>0</v>
      </c>
      <c r="L757">
        <f>COUNTIF('Metrics - Articles'!F754,"*GCO – Customer Engagement &amp; Commerce (CRM &amp; hybris) *")</f>
        <v>0</v>
      </c>
      <c r="M757">
        <f>COUNTIF('Metrics - Articles'!F754,"*GCO – HR (SuccessFactors)*")</f>
        <v>0</v>
      </c>
      <c r="N757">
        <f>COUNTIF('Metrics - Articles'!F754,"*GCO – Services Sales*")</f>
        <v>0</v>
      </c>
      <c r="O757">
        <f>COUNTIF('Metrics - Articles'!F754,"*GCO – Other*")</f>
        <v>0</v>
      </c>
      <c r="P757">
        <f>COUNTIF('Metrics - Articles'!F754,"*Corporate*")</f>
        <v>0</v>
      </c>
      <c r="R757" s="53">
        <f t="shared" si="13"/>
        <v>0</v>
      </c>
    </row>
    <row r="758" spans="2:18" hidden="1" x14ac:dyDescent="0.25">
      <c r="B758" s="48">
        <f>+'Metrics - Articles'!C755</f>
        <v>0</v>
      </c>
      <c r="C758">
        <f>COUNTIF('Metrics - Articles'!F755,"*GPO (Partner, Ecosystem, Channels)*")</f>
        <v>0</v>
      </c>
      <c r="D758">
        <f>COUNTIF('Metrics - Articles'!F755,"*Office of the CEO*")</f>
        <v>0</v>
      </c>
      <c r="E758">
        <f>COUNTIF('Metrics - Articles'!F755,"*Services Delivery &amp; Support (go-lives and deployments) *")</f>
        <v>0</v>
      </c>
      <c r="F758">
        <f>COUNTIF('Metrics - Articles'!F755,"*Human Resources (SAP HR and employee stories)*")</f>
        <v>0</v>
      </c>
      <c r="G758">
        <f>COUNTIF('Metrics - Articles'!F755,"*P&amp;I (Research &amp; Development)*")</f>
        <v>0</v>
      </c>
      <c r="H758">
        <f>COUNTIF('Metrics - Articles'!F755,"*Business Network (Concur, Ariba, Fieldglass)*")</f>
        <v>0</v>
      </c>
      <c r="I758">
        <f>COUNTIF('Metrics - Articles'!F755,"*GCO – Regions*")</f>
        <v>0</v>
      </c>
      <c r="J758">
        <f>COUNTIF('Metrics - Articles'!F755,"*GCO – Platform Solutions*")</f>
        <v>0</v>
      </c>
      <c r="K758">
        <f>COUNTIF('Metrics - Articles'!F755,"*GCO – Industry Cloud *")</f>
        <v>0</v>
      </c>
      <c r="L758">
        <f>COUNTIF('Metrics - Articles'!F755,"*GCO – Customer Engagement &amp; Commerce (CRM &amp; hybris) *")</f>
        <v>0</v>
      </c>
      <c r="M758">
        <f>COUNTIF('Metrics - Articles'!F755,"*GCO – HR (SuccessFactors)*")</f>
        <v>0</v>
      </c>
      <c r="N758">
        <f>COUNTIF('Metrics - Articles'!F755,"*GCO – Services Sales*")</f>
        <v>0</v>
      </c>
      <c r="O758">
        <f>COUNTIF('Metrics - Articles'!F755,"*GCO – Other*")</f>
        <v>0</v>
      </c>
      <c r="P758">
        <f>COUNTIF('Metrics - Articles'!F755,"*Corporate*")</f>
        <v>0</v>
      </c>
      <c r="R758" s="53">
        <f t="shared" si="13"/>
        <v>0</v>
      </c>
    </row>
    <row r="759" spans="2:18" hidden="1" x14ac:dyDescent="0.25">
      <c r="B759" s="48">
        <f>+'Metrics - Articles'!C756</f>
        <v>0</v>
      </c>
      <c r="C759">
        <f>COUNTIF('Metrics - Articles'!F756,"*GPO (Partner, Ecosystem, Channels)*")</f>
        <v>0</v>
      </c>
      <c r="D759">
        <f>COUNTIF('Metrics - Articles'!F756,"*Office of the CEO*")</f>
        <v>0</v>
      </c>
      <c r="E759">
        <f>COUNTIF('Metrics - Articles'!F756,"*Services Delivery &amp; Support (go-lives and deployments) *")</f>
        <v>0</v>
      </c>
      <c r="F759">
        <f>COUNTIF('Metrics - Articles'!F756,"*Human Resources (SAP HR and employee stories)*")</f>
        <v>0</v>
      </c>
      <c r="G759">
        <f>COUNTIF('Metrics - Articles'!F756,"*P&amp;I (Research &amp; Development)*")</f>
        <v>0</v>
      </c>
      <c r="H759">
        <f>COUNTIF('Metrics - Articles'!F756,"*Business Network (Concur, Ariba, Fieldglass)*")</f>
        <v>0</v>
      </c>
      <c r="I759">
        <f>COUNTIF('Metrics - Articles'!F756,"*GCO – Regions*")</f>
        <v>0</v>
      </c>
      <c r="J759">
        <f>COUNTIF('Metrics - Articles'!F756,"*GCO – Platform Solutions*")</f>
        <v>0</v>
      </c>
      <c r="K759">
        <f>COUNTIF('Metrics - Articles'!F756,"*GCO – Industry Cloud *")</f>
        <v>0</v>
      </c>
      <c r="L759">
        <f>COUNTIF('Metrics - Articles'!F756,"*GCO – Customer Engagement &amp; Commerce (CRM &amp; hybris) *")</f>
        <v>0</v>
      </c>
      <c r="M759">
        <f>COUNTIF('Metrics - Articles'!F756,"*GCO – HR (SuccessFactors)*")</f>
        <v>0</v>
      </c>
      <c r="N759">
        <f>COUNTIF('Metrics - Articles'!F756,"*GCO – Services Sales*")</f>
        <v>0</v>
      </c>
      <c r="O759">
        <f>COUNTIF('Metrics - Articles'!F756,"*GCO – Other*")</f>
        <v>0</v>
      </c>
      <c r="P759">
        <f>COUNTIF('Metrics - Articles'!F756,"*Corporate*")</f>
        <v>0</v>
      </c>
      <c r="R759" s="53">
        <f t="shared" si="13"/>
        <v>0</v>
      </c>
    </row>
    <row r="760" spans="2:18" hidden="1" x14ac:dyDescent="0.25">
      <c r="B760" s="48">
        <f>+'Metrics - Articles'!C757</f>
        <v>0</v>
      </c>
      <c r="C760">
        <f>COUNTIF('Metrics - Articles'!F757,"*GPO (Partner, Ecosystem, Channels)*")</f>
        <v>0</v>
      </c>
      <c r="D760">
        <f>COUNTIF('Metrics - Articles'!F757,"*Office of the CEO*")</f>
        <v>0</v>
      </c>
      <c r="E760">
        <f>COUNTIF('Metrics - Articles'!F757,"*Services Delivery &amp; Support (go-lives and deployments) *")</f>
        <v>0</v>
      </c>
      <c r="F760">
        <f>COUNTIF('Metrics - Articles'!F757,"*Human Resources (SAP HR and employee stories)*")</f>
        <v>0</v>
      </c>
      <c r="G760">
        <f>COUNTIF('Metrics - Articles'!F757,"*P&amp;I (Research &amp; Development)*")</f>
        <v>0</v>
      </c>
      <c r="H760">
        <f>COUNTIF('Metrics - Articles'!F757,"*Business Network (Concur, Ariba, Fieldglass)*")</f>
        <v>0</v>
      </c>
      <c r="I760">
        <f>COUNTIF('Metrics - Articles'!F757,"*GCO – Regions*")</f>
        <v>0</v>
      </c>
      <c r="J760">
        <f>COUNTIF('Metrics - Articles'!F757,"*GCO – Platform Solutions*")</f>
        <v>0</v>
      </c>
      <c r="K760">
        <f>COUNTIF('Metrics - Articles'!F757,"*GCO – Industry Cloud *")</f>
        <v>0</v>
      </c>
      <c r="L760">
        <f>COUNTIF('Metrics - Articles'!F757,"*GCO – Customer Engagement &amp; Commerce (CRM &amp; hybris) *")</f>
        <v>0</v>
      </c>
      <c r="M760">
        <f>COUNTIF('Metrics - Articles'!F757,"*GCO – HR (SuccessFactors)*")</f>
        <v>0</v>
      </c>
      <c r="N760">
        <f>COUNTIF('Metrics - Articles'!F757,"*GCO – Services Sales*")</f>
        <v>0</v>
      </c>
      <c r="O760">
        <f>COUNTIF('Metrics - Articles'!F757,"*GCO – Other*")</f>
        <v>0</v>
      </c>
      <c r="P760">
        <f>COUNTIF('Metrics - Articles'!F757,"*Corporate*")</f>
        <v>0</v>
      </c>
      <c r="R760" s="53">
        <f t="shared" si="13"/>
        <v>0</v>
      </c>
    </row>
    <row r="761" spans="2:18" hidden="1" x14ac:dyDescent="0.25">
      <c r="B761" s="48">
        <f>+'Metrics - Articles'!C758</f>
        <v>0</v>
      </c>
      <c r="C761">
        <f>COUNTIF('Metrics - Articles'!F758,"*GPO (Partner, Ecosystem, Channels)*")</f>
        <v>0</v>
      </c>
      <c r="D761">
        <f>COUNTIF('Metrics - Articles'!F758,"*Office of the CEO*")</f>
        <v>0</v>
      </c>
      <c r="E761">
        <f>COUNTIF('Metrics - Articles'!F758,"*Services Delivery &amp; Support (go-lives and deployments) *")</f>
        <v>0</v>
      </c>
      <c r="F761">
        <f>COUNTIF('Metrics - Articles'!F758,"*Human Resources (SAP HR and employee stories)*")</f>
        <v>0</v>
      </c>
      <c r="G761">
        <f>COUNTIF('Metrics - Articles'!F758,"*P&amp;I (Research &amp; Development)*")</f>
        <v>0</v>
      </c>
      <c r="H761">
        <f>COUNTIF('Metrics - Articles'!F758,"*Business Network (Concur, Ariba, Fieldglass)*")</f>
        <v>0</v>
      </c>
      <c r="I761">
        <f>COUNTIF('Metrics - Articles'!F758,"*GCO – Regions*")</f>
        <v>0</v>
      </c>
      <c r="J761">
        <f>COUNTIF('Metrics - Articles'!F758,"*GCO – Platform Solutions*")</f>
        <v>0</v>
      </c>
      <c r="K761">
        <f>COUNTIF('Metrics - Articles'!F758,"*GCO – Industry Cloud *")</f>
        <v>0</v>
      </c>
      <c r="L761">
        <f>COUNTIF('Metrics - Articles'!F758,"*GCO – Customer Engagement &amp; Commerce (CRM &amp; hybris) *")</f>
        <v>0</v>
      </c>
      <c r="M761">
        <f>COUNTIF('Metrics - Articles'!F758,"*GCO – HR (SuccessFactors)*")</f>
        <v>0</v>
      </c>
      <c r="N761">
        <f>COUNTIF('Metrics - Articles'!F758,"*GCO – Services Sales*")</f>
        <v>0</v>
      </c>
      <c r="O761">
        <f>COUNTIF('Metrics - Articles'!F758,"*GCO – Other*")</f>
        <v>0</v>
      </c>
      <c r="P761">
        <f>COUNTIF('Metrics - Articles'!F758,"*Corporate*")</f>
        <v>0</v>
      </c>
      <c r="R761" s="53">
        <f t="shared" si="13"/>
        <v>0</v>
      </c>
    </row>
    <row r="762" spans="2:18" hidden="1" x14ac:dyDescent="0.25">
      <c r="B762" s="48">
        <f>+'Metrics - Articles'!C759</f>
        <v>0</v>
      </c>
      <c r="C762">
        <f>COUNTIF('Metrics - Articles'!F759,"*GPO (Partner, Ecosystem, Channels)*")</f>
        <v>0</v>
      </c>
      <c r="D762">
        <f>COUNTIF('Metrics - Articles'!F759,"*Office of the CEO*")</f>
        <v>0</v>
      </c>
      <c r="E762">
        <f>COUNTIF('Metrics - Articles'!F759,"*Services Delivery &amp; Support (go-lives and deployments) *")</f>
        <v>0</v>
      </c>
      <c r="F762">
        <f>COUNTIF('Metrics - Articles'!F759,"*Human Resources (SAP HR and employee stories)*")</f>
        <v>0</v>
      </c>
      <c r="G762">
        <f>COUNTIF('Metrics - Articles'!F759,"*P&amp;I (Research &amp; Development)*")</f>
        <v>0</v>
      </c>
      <c r="H762">
        <f>COUNTIF('Metrics - Articles'!F759,"*Business Network (Concur, Ariba, Fieldglass)*")</f>
        <v>0</v>
      </c>
      <c r="I762">
        <f>COUNTIF('Metrics - Articles'!F759,"*GCO – Regions*")</f>
        <v>0</v>
      </c>
      <c r="J762">
        <f>COUNTIF('Metrics - Articles'!F759,"*GCO – Platform Solutions*")</f>
        <v>0</v>
      </c>
      <c r="K762">
        <f>COUNTIF('Metrics - Articles'!F759,"*GCO – Industry Cloud *")</f>
        <v>0</v>
      </c>
      <c r="L762">
        <f>COUNTIF('Metrics - Articles'!F759,"*GCO – Customer Engagement &amp; Commerce (CRM &amp; hybris) *")</f>
        <v>0</v>
      </c>
      <c r="M762">
        <f>COUNTIF('Metrics - Articles'!F759,"*GCO – HR (SuccessFactors)*")</f>
        <v>0</v>
      </c>
      <c r="N762">
        <f>COUNTIF('Metrics - Articles'!F759,"*GCO – Services Sales*")</f>
        <v>0</v>
      </c>
      <c r="O762">
        <f>COUNTIF('Metrics - Articles'!F759,"*GCO – Other*")</f>
        <v>0</v>
      </c>
      <c r="P762">
        <f>COUNTIF('Metrics - Articles'!F759,"*Corporate*")</f>
        <v>0</v>
      </c>
      <c r="R762" s="53">
        <f t="shared" si="13"/>
        <v>0</v>
      </c>
    </row>
    <row r="763" spans="2:18" hidden="1" x14ac:dyDescent="0.25">
      <c r="B763" s="48">
        <f>+'Metrics - Articles'!C760</f>
        <v>0</v>
      </c>
      <c r="C763">
        <f>COUNTIF('Metrics - Articles'!F760,"*GPO (Partner, Ecosystem, Channels)*")</f>
        <v>0</v>
      </c>
      <c r="D763">
        <f>COUNTIF('Metrics - Articles'!F760,"*Office of the CEO*")</f>
        <v>0</v>
      </c>
      <c r="E763">
        <f>COUNTIF('Metrics - Articles'!F760,"*Services Delivery &amp; Support (go-lives and deployments) *")</f>
        <v>0</v>
      </c>
      <c r="F763">
        <f>COUNTIF('Metrics - Articles'!F760,"*Human Resources (SAP HR and employee stories)*")</f>
        <v>0</v>
      </c>
      <c r="G763">
        <f>COUNTIF('Metrics - Articles'!F760,"*P&amp;I (Research &amp; Development)*")</f>
        <v>0</v>
      </c>
      <c r="H763">
        <f>COUNTIF('Metrics - Articles'!F760,"*Business Network (Concur, Ariba, Fieldglass)*")</f>
        <v>0</v>
      </c>
      <c r="I763">
        <f>COUNTIF('Metrics - Articles'!F760,"*GCO – Regions*")</f>
        <v>0</v>
      </c>
      <c r="J763">
        <f>COUNTIF('Metrics - Articles'!F760,"*GCO – Platform Solutions*")</f>
        <v>0</v>
      </c>
      <c r="K763">
        <f>COUNTIF('Metrics - Articles'!F760,"*GCO – Industry Cloud *")</f>
        <v>0</v>
      </c>
      <c r="L763">
        <f>COUNTIF('Metrics - Articles'!F760,"*GCO – Customer Engagement &amp; Commerce (CRM &amp; hybris) *")</f>
        <v>0</v>
      </c>
      <c r="M763">
        <f>COUNTIF('Metrics - Articles'!F760,"*GCO – HR (SuccessFactors)*")</f>
        <v>0</v>
      </c>
      <c r="N763">
        <f>COUNTIF('Metrics - Articles'!F760,"*GCO – Services Sales*")</f>
        <v>0</v>
      </c>
      <c r="O763">
        <f>COUNTIF('Metrics - Articles'!F760,"*GCO – Other*")</f>
        <v>0</v>
      </c>
      <c r="P763">
        <f>COUNTIF('Metrics - Articles'!F760,"*Corporate*")</f>
        <v>0</v>
      </c>
      <c r="R763" s="53">
        <f t="shared" si="13"/>
        <v>0</v>
      </c>
    </row>
    <row r="764" spans="2:18" hidden="1" x14ac:dyDescent="0.25">
      <c r="B764" s="48">
        <f>+'Metrics - Articles'!C761</f>
        <v>0</v>
      </c>
      <c r="C764">
        <f>COUNTIF('Metrics - Articles'!F761,"*GPO (Partner, Ecosystem, Channels)*")</f>
        <v>0</v>
      </c>
      <c r="D764">
        <f>COUNTIF('Metrics - Articles'!F761,"*Office of the CEO*")</f>
        <v>0</v>
      </c>
      <c r="E764">
        <f>COUNTIF('Metrics - Articles'!F761,"*Services Delivery &amp; Support (go-lives and deployments) *")</f>
        <v>0</v>
      </c>
      <c r="F764">
        <f>COUNTIF('Metrics - Articles'!F761,"*Human Resources (SAP HR and employee stories)*")</f>
        <v>0</v>
      </c>
      <c r="G764">
        <f>COUNTIF('Metrics - Articles'!F761,"*P&amp;I (Research &amp; Development)*")</f>
        <v>0</v>
      </c>
      <c r="H764">
        <f>COUNTIF('Metrics - Articles'!F761,"*Business Network (Concur, Ariba, Fieldglass)*")</f>
        <v>0</v>
      </c>
      <c r="I764">
        <f>COUNTIF('Metrics - Articles'!F761,"*GCO – Regions*")</f>
        <v>0</v>
      </c>
      <c r="J764">
        <f>COUNTIF('Metrics - Articles'!F761,"*GCO – Platform Solutions*")</f>
        <v>0</v>
      </c>
      <c r="K764">
        <f>COUNTIF('Metrics - Articles'!F761,"*GCO – Industry Cloud *")</f>
        <v>0</v>
      </c>
      <c r="L764">
        <f>COUNTIF('Metrics - Articles'!F761,"*GCO – Customer Engagement &amp; Commerce (CRM &amp; hybris) *")</f>
        <v>0</v>
      </c>
      <c r="M764">
        <f>COUNTIF('Metrics - Articles'!F761,"*GCO – HR (SuccessFactors)*")</f>
        <v>0</v>
      </c>
      <c r="N764">
        <f>COUNTIF('Metrics - Articles'!F761,"*GCO – Services Sales*")</f>
        <v>0</v>
      </c>
      <c r="O764">
        <f>COUNTIF('Metrics - Articles'!F761,"*GCO – Other*")</f>
        <v>0</v>
      </c>
      <c r="P764">
        <f>COUNTIF('Metrics - Articles'!F761,"*Corporate*")</f>
        <v>0</v>
      </c>
      <c r="R764" s="53">
        <f t="shared" si="13"/>
        <v>0</v>
      </c>
    </row>
    <row r="765" spans="2:18" hidden="1" x14ac:dyDescent="0.25">
      <c r="B765" s="48">
        <f>+'Metrics - Articles'!C762</f>
        <v>0</v>
      </c>
      <c r="C765">
        <f>COUNTIF('Metrics - Articles'!F762,"*GPO (Partner, Ecosystem, Channels)*")</f>
        <v>0</v>
      </c>
      <c r="D765">
        <f>COUNTIF('Metrics - Articles'!F762,"*Office of the CEO*")</f>
        <v>0</v>
      </c>
      <c r="E765">
        <f>COUNTIF('Metrics - Articles'!F762,"*Services Delivery &amp; Support (go-lives and deployments) *")</f>
        <v>0</v>
      </c>
      <c r="F765">
        <f>COUNTIF('Metrics - Articles'!F762,"*Human Resources (SAP HR and employee stories)*")</f>
        <v>0</v>
      </c>
      <c r="G765">
        <f>COUNTIF('Metrics - Articles'!F762,"*P&amp;I (Research &amp; Development)*")</f>
        <v>0</v>
      </c>
      <c r="H765">
        <f>COUNTIF('Metrics - Articles'!F762,"*Business Network (Concur, Ariba, Fieldglass)*")</f>
        <v>0</v>
      </c>
      <c r="I765">
        <f>COUNTIF('Metrics - Articles'!F762,"*GCO – Regions*")</f>
        <v>0</v>
      </c>
      <c r="J765">
        <f>COUNTIF('Metrics - Articles'!F762,"*GCO – Platform Solutions*")</f>
        <v>0</v>
      </c>
      <c r="K765">
        <f>COUNTIF('Metrics - Articles'!F762,"*GCO – Industry Cloud *")</f>
        <v>0</v>
      </c>
      <c r="L765">
        <f>COUNTIF('Metrics - Articles'!F762,"*GCO – Customer Engagement &amp; Commerce (CRM &amp; hybris) *")</f>
        <v>0</v>
      </c>
      <c r="M765">
        <f>COUNTIF('Metrics - Articles'!F762,"*GCO – HR (SuccessFactors)*")</f>
        <v>0</v>
      </c>
      <c r="N765">
        <f>COUNTIF('Metrics - Articles'!F762,"*GCO – Services Sales*")</f>
        <v>0</v>
      </c>
      <c r="O765">
        <f>COUNTIF('Metrics - Articles'!F762,"*GCO – Other*")</f>
        <v>0</v>
      </c>
      <c r="P765">
        <f>COUNTIF('Metrics - Articles'!F762,"*Corporate*")</f>
        <v>0</v>
      </c>
      <c r="R765" s="53">
        <f t="shared" si="13"/>
        <v>0</v>
      </c>
    </row>
    <row r="766" spans="2:18" hidden="1" x14ac:dyDescent="0.25">
      <c r="B766" s="48">
        <f>+'Metrics - Articles'!C763</f>
        <v>0</v>
      </c>
      <c r="C766">
        <f>COUNTIF('Metrics - Articles'!F763,"*GPO (Partner, Ecosystem, Channels)*")</f>
        <v>0</v>
      </c>
      <c r="D766">
        <f>COUNTIF('Metrics - Articles'!F763,"*Office of the CEO*")</f>
        <v>0</v>
      </c>
      <c r="E766">
        <f>COUNTIF('Metrics - Articles'!F763,"*Services Delivery &amp; Support (go-lives and deployments) *")</f>
        <v>0</v>
      </c>
      <c r="F766">
        <f>COUNTIF('Metrics - Articles'!F763,"*Human Resources (SAP HR and employee stories)*")</f>
        <v>0</v>
      </c>
      <c r="G766">
        <f>COUNTIF('Metrics - Articles'!F763,"*P&amp;I (Research &amp; Development)*")</f>
        <v>0</v>
      </c>
      <c r="H766">
        <f>COUNTIF('Metrics - Articles'!F763,"*Business Network (Concur, Ariba, Fieldglass)*")</f>
        <v>0</v>
      </c>
      <c r="I766">
        <f>COUNTIF('Metrics - Articles'!F763,"*GCO – Regions*")</f>
        <v>0</v>
      </c>
      <c r="J766">
        <f>COUNTIF('Metrics - Articles'!F763,"*GCO – Platform Solutions*")</f>
        <v>0</v>
      </c>
      <c r="K766">
        <f>COUNTIF('Metrics - Articles'!F763,"*GCO – Industry Cloud *")</f>
        <v>0</v>
      </c>
      <c r="L766">
        <f>COUNTIF('Metrics - Articles'!F763,"*GCO – Customer Engagement &amp; Commerce (CRM &amp; hybris) *")</f>
        <v>0</v>
      </c>
      <c r="M766">
        <f>COUNTIF('Metrics - Articles'!F763,"*GCO – HR (SuccessFactors)*")</f>
        <v>0</v>
      </c>
      <c r="N766">
        <f>COUNTIF('Metrics - Articles'!F763,"*GCO – Services Sales*")</f>
        <v>0</v>
      </c>
      <c r="O766">
        <f>COUNTIF('Metrics - Articles'!F763,"*GCO – Other*")</f>
        <v>0</v>
      </c>
      <c r="P766">
        <f>COUNTIF('Metrics - Articles'!F763,"*Corporate*")</f>
        <v>0</v>
      </c>
      <c r="R766" s="53">
        <f t="shared" si="13"/>
        <v>0</v>
      </c>
    </row>
    <row r="767" spans="2:18" hidden="1" x14ac:dyDescent="0.25">
      <c r="B767" s="48">
        <f>+'Metrics - Articles'!C764</f>
        <v>0</v>
      </c>
      <c r="C767">
        <f>COUNTIF('Metrics - Articles'!F764,"*GPO (Partner, Ecosystem, Channels)*")</f>
        <v>0</v>
      </c>
      <c r="D767">
        <f>COUNTIF('Metrics - Articles'!F764,"*Office of the CEO*")</f>
        <v>0</v>
      </c>
      <c r="E767">
        <f>COUNTIF('Metrics - Articles'!F764,"*Services Delivery &amp; Support (go-lives and deployments) *")</f>
        <v>0</v>
      </c>
      <c r="F767">
        <f>COUNTIF('Metrics - Articles'!F764,"*Human Resources (SAP HR and employee stories)*")</f>
        <v>0</v>
      </c>
      <c r="G767">
        <f>COUNTIF('Metrics - Articles'!F764,"*P&amp;I (Research &amp; Development)*")</f>
        <v>0</v>
      </c>
      <c r="H767">
        <f>COUNTIF('Metrics - Articles'!F764,"*Business Network (Concur, Ariba, Fieldglass)*")</f>
        <v>0</v>
      </c>
      <c r="I767">
        <f>COUNTIF('Metrics - Articles'!F764,"*GCO – Regions*")</f>
        <v>0</v>
      </c>
      <c r="J767">
        <f>COUNTIF('Metrics - Articles'!F764,"*GCO – Platform Solutions*")</f>
        <v>0</v>
      </c>
      <c r="K767">
        <f>COUNTIF('Metrics - Articles'!F764,"*GCO – Industry Cloud *")</f>
        <v>0</v>
      </c>
      <c r="L767">
        <f>COUNTIF('Metrics - Articles'!F764,"*GCO – Customer Engagement &amp; Commerce (CRM &amp; hybris) *")</f>
        <v>0</v>
      </c>
      <c r="M767">
        <f>COUNTIF('Metrics - Articles'!F764,"*GCO – HR (SuccessFactors)*")</f>
        <v>0</v>
      </c>
      <c r="N767">
        <f>COUNTIF('Metrics - Articles'!F764,"*GCO – Services Sales*")</f>
        <v>0</v>
      </c>
      <c r="O767">
        <f>COUNTIF('Metrics - Articles'!F764,"*GCO – Other*")</f>
        <v>0</v>
      </c>
      <c r="P767">
        <f>COUNTIF('Metrics - Articles'!F764,"*Corporate*")</f>
        <v>0</v>
      </c>
      <c r="R767" s="53">
        <f t="shared" si="13"/>
        <v>0</v>
      </c>
    </row>
    <row r="768" spans="2:18" hidden="1" x14ac:dyDescent="0.25">
      <c r="B768" s="48">
        <f>+'Metrics - Articles'!C765</f>
        <v>0</v>
      </c>
      <c r="C768">
        <f>COUNTIF('Metrics - Articles'!F765,"*GPO (Partner, Ecosystem, Channels)*")</f>
        <v>0</v>
      </c>
      <c r="D768">
        <f>COUNTIF('Metrics - Articles'!F765,"*Office of the CEO*")</f>
        <v>0</v>
      </c>
      <c r="E768">
        <f>COUNTIF('Metrics - Articles'!F765,"*Services Delivery &amp; Support (go-lives and deployments) *")</f>
        <v>0</v>
      </c>
      <c r="F768">
        <f>COUNTIF('Metrics - Articles'!F765,"*Human Resources (SAP HR and employee stories)*")</f>
        <v>0</v>
      </c>
      <c r="G768">
        <f>COUNTIF('Metrics - Articles'!F765,"*P&amp;I (Research &amp; Development)*")</f>
        <v>0</v>
      </c>
      <c r="H768">
        <f>COUNTIF('Metrics - Articles'!F765,"*Business Network (Concur, Ariba, Fieldglass)*")</f>
        <v>0</v>
      </c>
      <c r="I768">
        <f>COUNTIF('Metrics - Articles'!F765,"*GCO – Regions*")</f>
        <v>0</v>
      </c>
      <c r="J768">
        <f>COUNTIF('Metrics - Articles'!F765,"*GCO – Platform Solutions*")</f>
        <v>0</v>
      </c>
      <c r="K768">
        <f>COUNTIF('Metrics - Articles'!F765,"*GCO – Industry Cloud *")</f>
        <v>0</v>
      </c>
      <c r="L768">
        <f>COUNTIF('Metrics - Articles'!F765,"*GCO – Customer Engagement &amp; Commerce (CRM &amp; hybris) *")</f>
        <v>0</v>
      </c>
      <c r="M768">
        <f>COUNTIF('Metrics - Articles'!F765,"*GCO – HR (SuccessFactors)*")</f>
        <v>0</v>
      </c>
      <c r="N768">
        <f>COUNTIF('Metrics - Articles'!F765,"*GCO – Services Sales*")</f>
        <v>0</v>
      </c>
      <c r="O768">
        <f>COUNTIF('Metrics - Articles'!F765,"*GCO – Other*")</f>
        <v>0</v>
      </c>
      <c r="P768">
        <f>COUNTIF('Metrics - Articles'!F765,"*Corporate*")</f>
        <v>0</v>
      </c>
      <c r="R768" s="53">
        <f t="shared" si="13"/>
        <v>0</v>
      </c>
    </row>
    <row r="769" spans="2:18" hidden="1" x14ac:dyDescent="0.25">
      <c r="B769" s="48">
        <f>+'Metrics - Articles'!C766</f>
        <v>0</v>
      </c>
      <c r="C769">
        <f>COUNTIF('Metrics - Articles'!F766,"*GPO (Partner, Ecosystem, Channels)*")</f>
        <v>0</v>
      </c>
      <c r="D769">
        <f>COUNTIF('Metrics - Articles'!F766,"*Office of the CEO*")</f>
        <v>0</v>
      </c>
      <c r="E769">
        <f>COUNTIF('Metrics - Articles'!F766,"*Services Delivery &amp; Support (go-lives and deployments) *")</f>
        <v>0</v>
      </c>
      <c r="F769">
        <f>COUNTIF('Metrics - Articles'!F766,"*Human Resources (SAP HR and employee stories)*")</f>
        <v>0</v>
      </c>
      <c r="G769">
        <f>COUNTIF('Metrics - Articles'!F766,"*P&amp;I (Research &amp; Development)*")</f>
        <v>0</v>
      </c>
      <c r="H769">
        <f>COUNTIF('Metrics - Articles'!F766,"*Business Network (Concur, Ariba, Fieldglass)*")</f>
        <v>0</v>
      </c>
      <c r="I769">
        <f>COUNTIF('Metrics - Articles'!F766,"*GCO – Regions*")</f>
        <v>0</v>
      </c>
      <c r="J769">
        <f>COUNTIF('Metrics - Articles'!F766,"*GCO – Platform Solutions*")</f>
        <v>0</v>
      </c>
      <c r="K769">
        <f>COUNTIF('Metrics - Articles'!F766,"*GCO – Industry Cloud *")</f>
        <v>0</v>
      </c>
      <c r="L769">
        <f>COUNTIF('Metrics - Articles'!F766,"*GCO – Customer Engagement &amp; Commerce (CRM &amp; hybris) *")</f>
        <v>0</v>
      </c>
      <c r="M769">
        <f>COUNTIF('Metrics - Articles'!F766,"*GCO – HR (SuccessFactors)*")</f>
        <v>0</v>
      </c>
      <c r="N769">
        <f>COUNTIF('Metrics - Articles'!F766,"*GCO – Services Sales*")</f>
        <v>0</v>
      </c>
      <c r="O769">
        <f>COUNTIF('Metrics - Articles'!F766,"*GCO – Other*")</f>
        <v>0</v>
      </c>
      <c r="P769">
        <f>COUNTIF('Metrics - Articles'!F766,"*Corporate*")</f>
        <v>0</v>
      </c>
      <c r="R769" s="53">
        <f t="shared" si="13"/>
        <v>0</v>
      </c>
    </row>
    <row r="770" spans="2:18" hidden="1" x14ac:dyDescent="0.25">
      <c r="B770" s="48">
        <f>+'Metrics - Articles'!C767</f>
        <v>0</v>
      </c>
      <c r="C770">
        <f>COUNTIF('Metrics - Articles'!F767,"*GPO (Partner, Ecosystem, Channels)*")</f>
        <v>0</v>
      </c>
      <c r="D770">
        <f>COUNTIF('Metrics - Articles'!F767,"*Office of the CEO*")</f>
        <v>0</v>
      </c>
      <c r="E770">
        <f>COUNTIF('Metrics - Articles'!F767,"*Services Delivery &amp; Support (go-lives and deployments) *")</f>
        <v>0</v>
      </c>
      <c r="F770">
        <f>COUNTIF('Metrics - Articles'!F767,"*Human Resources (SAP HR and employee stories)*")</f>
        <v>0</v>
      </c>
      <c r="G770">
        <f>COUNTIF('Metrics - Articles'!F767,"*P&amp;I (Research &amp; Development)*")</f>
        <v>0</v>
      </c>
      <c r="H770">
        <f>COUNTIF('Metrics - Articles'!F767,"*Business Network (Concur, Ariba, Fieldglass)*")</f>
        <v>0</v>
      </c>
      <c r="I770">
        <f>COUNTIF('Metrics - Articles'!F767,"*GCO – Regions*")</f>
        <v>0</v>
      </c>
      <c r="J770">
        <f>COUNTIF('Metrics - Articles'!F767,"*GCO – Platform Solutions*")</f>
        <v>0</v>
      </c>
      <c r="K770">
        <f>COUNTIF('Metrics - Articles'!F767,"*GCO – Industry Cloud *")</f>
        <v>0</v>
      </c>
      <c r="L770">
        <f>COUNTIF('Metrics - Articles'!F767,"*GCO – Customer Engagement &amp; Commerce (CRM &amp; hybris) *")</f>
        <v>0</v>
      </c>
      <c r="M770">
        <f>COUNTIF('Metrics - Articles'!F767,"*GCO – HR (SuccessFactors)*")</f>
        <v>0</v>
      </c>
      <c r="N770">
        <f>COUNTIF('Metrics - Articles'!F767,"*GCO – Services Sales*")</f>
        <v>0</v>
      </c>
      <c r="O770">
        <f>COUNTIF('Metrics - Articles'!F767,"*GCO – Other*")</f>
        <v>0</v>
      </c>
      <c r="P770">
        <f>COUNTIF('Metrics - Articles'!F767,"*Corporate*")</f>
        <v>0</v>
      </c>
      <c r="R770" s="53">
        <f t="shared" si="13"/>
        <v>0</v>
      </c>
    </row>
    <row r="771" spans="2:18" hidden="1" x14ac:dyDescent="0.25">
      <c r="B771" s="48">
        <f>+'Metrics - Articles'!C768</f>
        <v>0</v>
      </c>
      <c r="C771">
        <f>COUNTIF('Metrics - Articles'!F768,"*GPO (Partner, Ecosystem, Channels)*")</f>
        <v>0</v>
      </c>
      <c r="D771">
        <f>COUNTIF('Metrics - Articles'!F768,"*Office of the CEO*")</f>
        <v>0</v>
      </c>
      <c r="E771">
        <f>COUNTIF('Metrics - Articles'!F768,"*Services Delivery &amp; Support (go-lives and deployments) *")</f>
        <v>0</v>
      </c>
      <c r="F771">
        <f>COUNTIF('Metrics - Articles'!F768,"*Human Resources (SAP HR and employee stories)*")</f>
        <v>0</v>
      </c>
      <c r="G771">
        <f>COUNTIF('Metrics - Articles'!F768,"*P&amp;I (Research &amp; Development)*")</f>
        <v>0</v>
      </c>
      <c r="H771">
        <f>COUNTIF('Metrics - Articles'!F768,"*Business Network (Concur, Ariba, Fieldglass)*")</f>
        <v>0</v>
      </c>
      <c r="I771">
        <f>COUNTIF('Metrics - Articles'!F768,"*GCO – Regions*")</f>
        <v>0</v>
      </c>
      <c r="J771">
        <f>COUNTIF('Metrics - Articles'!F768,"*GCO – Platform Solutions*")</f>
        <v>0</v>
      </c>
      <c r="K771">
        <f>COUNTIF('Metrics - Articles'!F768,"*GCO – Industry Cloud *")</f>
        <v>0</v>
      </c>
      <c r="L771">
        <f>COUNTIF('Metrics - Articles'!F768,"*GCO – Customer Engagement &amp; Commerce (CRM &amp; hybris) *")</f>
        <v>0</v>
      </c>
      <c r="M771">
        <f>COUNTIF('Metrics - Articles'!F768,"*GCO – HR (SuccessFactors)*")</f>
        <v>0</v>
      </c>
      <c r="N771">
        <f>COUNTIF('Metrics - Articles'!F768,"*GCO – Services Sales*")</f>
        <v>0</v>
      </c>
      <c r="O771">
        <f>COUNTIF('Metrics - Articles'!F768,"*GCO – Other*")</f>
        <v>0</v>
      </c>
      <c r="P771">
        <f>COUNTIF('Metrics - Articles'!F768,"*Corporate*")</f>
        <v>0</v>
      </c>
      <c r="R771" s="53">
        <f t="shared" si="13"/>
        <v>0</v>
      </c>
    </row>
    <row r="772" spans="2:18" hidden="1" x14ac:dyDescent="0.25">
      <c r="B772" s="48">
        <f>+'Metrics - Articles'!C769</f>
        <v>0</v>
      </c>
      <c r="C772">
        <f>COUNTIF('Metrics - Articles'!F769,"*GPO (Partner, Ecosystem, Channels)*")</f>
        <v>0</v>
      </c>
      <c r="D772">
        <f>COUNTIF('Metrics - Articles'!F769,"*Office of the CEO*")</f>
        <v>0</v>
      </c>
      <c r="E772">
        <f>COUNTIF('Metrics - Articles'!F769,"*Services Delivery &amp; Support (go-lives and deployments) *")</f>
        <v>0</v>
      </c>
      <c r="F772">
        <f>COUNTIF('Metrics - Articles'!F769,"*Human Resources (SAP HR and employee stories)*")</f>
        <v>0</v>
      </c>
      <c r="G772">
        <f>COUNTIF('Metrics - Articles'!F769,"*P&amp;I (Research &amp; Development)*")</f>
        <v>0</v>
      </c>
      <c r="H772">
        <f>COUNTIF('Metrics - Articles'!F769,"*Business Network (Concur, Ariba, Fieldglass)*")</f>
        <v>0</v>
      </c>
      <c r="I772">
        <f>COUNTIF('Metrics - Articles'!F769,"*GCO – Regions*")</f>
        <v>0</v>
      </c>
      <c r="J772">
        <f>COUNTIF('Metrics - Articles'!F769,"*GCO – Platform Solutions*")</f>
        <v>0</v>
      </c>
      <c r="K772">
        <f>COUNTIF('Metrics - Articles'!F769,"*GCO – Industry Cloud *")</f>
        <v>0</v>
      </c>
      <c r="L772">
        <f>COUNTIF('Metrics - Articles'!F769,"*GCO – Customer Engagement &amp; Commerce (CRM &amp; hybris) *")</f>
        <v>0</v>
      </c>
      <c r="M772">
        <f>COUNTIF('Metrics - Articles'!F769,"*GCO – HR (SuccessFactors)*")</f>
        <v>0</v>
      </c>
      <c r="N772">
        <f>COUNTIF('Metrics - Articles'!F769,"*GCO – Services Sales*")</f>
        <v>0</v>
      </c>
      <c r="O772">
        <f>COUNTIF('Metrics - Articles'!F769,"*GCO – Other*")</f>
        <v>0</v>
      </c>
      <c r="P772">
        <f>COUNTIF('Metrics - Articles'!F769,"*Corporate*")</f>
        <v>0</v>
      </c>
      <c r="R772" s="53">
        <f t="shared" si="13"/>
        <v>0</v>
      </c>
    </row>
    <row r="773" spans="2:18" hidden="1" x14ac:dyDescent="0.25">
      <c r="B773" s="48">
        <f>+'Metrics - Articles'!C770</f>
        <v>0</v>
      </c>
      <c r="C773">
        <f>COUNTIF('Metrics - Articles'!F770,"*GPO (Partner, Ecosystem, Channels)*")</f>
        <v>0</v>
      </c>
      <c r="D773">
        <f>COUNTIF('Metrics - Articles'!F770,"*Office of the CEO*")</f>
        <v>0</v>
      </c>
      <c r="E773">
        <f>COUNTIF('Metrics - Articles'!F770,"*Services Delivery &amp; Support (go-lives and deployments) *")</f>
        <v>0</v>
      </c>
      <c r="F773">
        <f>COUNTIF('Metrics - Articles'!F770,"*Human Resources (SAP HR and employee stories)*")</f>
        <v>0</v>
      </c>
      <c r="G773">
        <f>COUNTIF('Metrics - Articles'!F770,"*P&amp;I (Research &amp; Development)*")</f>
        <v>0</v>
      </c>
      <c r="H773">
        <f>COUNTIF('Metrics - Articles'!F770,"*Business Network (Concur, Ariba, Fieldglass)*")</f>
        <v>0</v>
      </c>
      <c r="I773">
        <f>COUNTIF('Metrics - Articles'!F770,"*GCO – Regions*")</f>
        <v>0</v>
      </c>
      <c r="J773">
        <f>COUNTIF('Metrics - Articles'!F770,"*GCO – Platform Solutions*")</f>
        <v>0</v>
      </c>
      <c r="K773">
        <f>COUNTIF('Metrics - Articles'!F770,"*GCO – Industry Cloud *")</f>
        <v>0</v>
      </c>
      <c r="L773">
        <f>COUNTIF('Metrics - Articles'!F770,"*GCO – Customer Engagement &amp; Commerce (CRM &amp; hybris) *")</f>
        <v>0</v>
      </c>
      <c r="M773">
        <f>COUNTIF('Metrics - Articles'!F770,"*GCO – HR (SuccessFactors)*")</f>
        <v>0</v>
      </c>
      <c r="N773">
        <f>COUNTIF('Metrics - Articles'!F770,"*GCO – Services Sales*")</f>
        <v>0</v>
      </c>
      <c r="O773">
        <f>COUNTIF('Metrics - Articles'!F770,"*GCO – Other*")</f>
        <v>0</v>
      </c>
      <c r="P773">
        <f>COUNTIF('Metrics - Articles'!F770,"*Corporate*")</f>
        <v>0</v>
      </c>
      <c r="R773" s="53">
        <f t="shared" si="13"/>
        <v>0</v>
      </c>
    </row>
    <row r="774" spans="2:18" hidden="1" x14ac:dyDescent="0.25">
      <c r="B774" s="48">
        <f>+'Metrics - Articles'!C771</f>
        <v>0</v>
      </c>
      <c r="C774">
        <f>COUNTIF('Metrics - Articles'!F771,"*GPO (Partner, Ecosystem, Channels)*")</f>
        <v>0</v>
      </c>
      <c r="D774">
        <f>COUNTIF('Metrics - Articles'!F771,"*Office of the CEO*")</f>
        <v>0</v>
      </c>
      <c r="E774">
        <f>COUNTIF('Metrics - Articles'!F771,"*Services Delivery &amp; Support (go-lives and deployments) *")</f>
        <v>0</v>
      </c>
      <c r="F774">
        <f>COUNTIF('Metrics - Articles'!F771,"*Human Resources (SAP HR and employee stories)*")</f>
        <v>0</v>
      </c>
      <c r="G774">
        <f>COUNTIF('Metrics - Articles'!F771,"*P&amp;I (Research &amp; Development)*")</f>
        <v>0</v>
      </c>
      <c r="H774">
        <f>COUNTIF('Metrics - Articles'!F771,"*Business Network (Concur, Ariba, Fieldglass)*")</f>
        <v>0</v>
      </c>
      <c r="I774">
        <f>COUNTIF('Metrics - Articles'!F771,"*GCO – Regions*")</f>
        <v>0</v>
      </c>
      <c r="J774">
        <f>COUNTIF('Metrics - Articles'!F771,"*GCO – Platform Solutions*")</f>
        <v>0</v>
      </c>
      <c r="K774">
        <f>COUNTIF('Metrics - Articles'!F771,"*GCO – Industry Cloud *")</f>
        <v>0</v>
      </c>
      <c r="L774">
        <f>COUNTIF('Metrics - Articles'!F771,"*GCO – Customer Engagement &amp; Commerce (CRM &amp; hybris) *")</f>
        <v>0</v>
      </c>
      <c r="M774">
        <f>COUNTIF('Metrics - Articles'!F771,"*GCO – HR (SuccessFactors)*")</f>
        <v>0</v>
      </c>
      <c r="N774">
        <f>COUNTIF('Metrics - Articles'!F771,"*GCO – Services Sales*")</f>
        <v>0</v>
      </c>
      <c r="O774">
        <f>COUNTIF('Metrics - Articles'!F771,"*GCO – Other*")</f>
        <v>0</v>
      </c>
      <c r="P774">
        <f>COUNTIF('Metrics - Articles'!F771,"*Corporate*")</f>
        <v>0</v>
      </c>
      <c r="R774" s="53">
        <f t="shared" si="13"/>
        <v>0</v>
      </c>
    </row>
    <row r="775" spans="2:18" hidden="1" x14ac:dyDescent="0.25">
      <c r="B775" s="48">
        <f>+'Metrics - Articles'!C772</f>
        <v>0</v>
      </c>
      <c r="C775">
        <f>COUNTIF('Metrics - Articles'!F772,"*GPO (Partner, Ecosystem, Channels)*")</f>
        <v>0</v>
      </c>
      <c r="D775">
        <f>COUNTIF('Metrics - Articles'!F772,"*Office of the CEO*")</f>
        <v>0</v>
      </c>
      <c r="E775">
        <f>COUNTIF('Metrics - Articles'!F772,"*Services Delivery &amp; Support (go-lives and deployments) *")</f>
        <v>0</v>
      </c>
      <c r="F775">
        <f>COUNTIF('Metrics - Articles'!F772,"*Human Resources (SAP HR and employee stories)*")</f>
        <v>0</v>
      </c>
      <c r="G775">
        <f>COUNTIF('Metrics - Articles'!F772,"*P&amp;I (Research &amp; Development)*")</f>
        <v>0</v>
      </c>
      <c r="H775">
        <f>COUNTIF('Metrics - Articles'!F772,"*Business Network (Concur, Ariba, Fieldglass)*")</f>
        <v>0</v>
      </c>
      <c r="I775">
        <f>COUNTIF('Metrics - Articles'!F772,"*GCO – Regions*")</f>
        <v>0</v>
      </c>
      <c r="J775">
        <f>COUNTIF('Metrics - Articles'!F772,"*GCO – Platform Solutions*")</f>
        <v>0</v>
      </c>
      <c r="K775">
        <f>COUNTIF('Metrics - Articles'!F772,"*GCO – Industry Cloud *")</f>
        <v>0</v>
      </c>
      <c r="L775">
        <f>COUNTIF('Metrics - Articles'!F772,"*GCO – Customer Engagement &amp; Commerce (CRM &amp; hybris) *")</f>
        <v>0</v>
      </c>
      <c r="M775">
        <f>COUNTIF('Metrics - Articles'!F772,"*GCO – HR (SuccessFactors)*")</f>
        <v>0</v>
      </c>
      <c r="N775">
        <f>COUNTIF('Metrics - Articles'!F772,"*GCO – Services Sales*")</f>
        <v>0</v>
      </c>
      <c r="O775">
        <f>COUNTIF('Metrics - Articles'!F772,"*GCO – Other*")</f>
        <v>0</v>
      </c>
      <c r="P775">
        <f>COUNTIF('Metrics - Articles'!F772,"*Corporate*")</f>
        <v>0</v>
      </c>
      <c r="R775" s="53">
        <f t="shared" si="13"/>
        <v>0</v>
      </c>
    </row>
    <row r="776" spans="2:18" hidden="1" x14ac:dyDescent="0.25">
      <c r="B776" s="48">
        <f>+'Metrics - Articles'!C773</f>
        <v>0</v>
      </c>
      <c r="C776">
        <f>COUNTIF('Metrics - Articles'!F773,"*GPO (Partner, Ecosystem, Channels)*")</f>
        <v>0</v>
      </c>
      <c r="D776">
        <f>COUNTIF('Metrics - Articles'!F773,"*Office of the CEO*")</f>
        <v>0</v>
      </c>
      <c r="E776">
        <f>COUNTIF('Metrics - Articles'!F773,"*Services Delivery &amp; Support (go-lives and deployments) *")</f>
        <v>0</v>
      </c>
      <c r="F776">
        <f>COUNTIF('Metrics - Articles'!F773,"*Human Resources (SAP HR and employee stories)*")</f>
        <v>0</v>
      </c>
      <c r="G776">
        <f>COUNTIF('Metrics - Articles'!F773,"*P&amp;I (Research &amp; Development)*")</f>
        <v>0</v>
      </c>
      <c r="H776">
        <f>COUNTIF('Metrics - Articles'!F773,"*Business Network (Concur, Ariba, Fieldglass)*")</f>
        <v>0</v>
      </c>
      <c r="I776">
        <f>COUNTIF('Metrics - Articles'!F773,"*GCO – Regions*")</f>
        <v>0</v>
      </c>
      <c r="J776">
        <f>COUNTIF('Metrics - Articles'!F773,"*GCO – Platform Solutions*")</f>
        <v>0</v>
      </c>
      <c r="K776">
        <f>COUNTIF('Metrics - Articles'!F773,"*GCO – Industry Cloud *")</f>
        <v>0</v>
      </c>
      <c r="L776">
        <f>COUNTIF('Metrics - Articles'!F773,"*GCO – Customer Engagement &amp; Commerce (CRM &amp; hybris) *")</f>
        <v>0</v>
      </c>
      <c r="M776">
        <f>COUNTIF('Metrics - Articles'!F773,"*GCO – HR (SuccessFactors)*")</f>
        <v>0</v>
      </c>
      <c r="N776">
        <f>COUNTIF('Metrics - Articles'!F773,"*GCO – Services Sales*")</f>
        <v>0</v>
      </c>
      <c r="O776">
        <f>COUNTIF('Metrics - Articles'!F773,"*GCO – Other*")</f>
        <v>0</v>
      </c>
      <c r="P776">
        <f>COUNTIF('Metrics - Articles'!F773,"*Corporate*")</f>
        <v>0</v>
      </c>
      <c r="R776" s="53">
        <f t="shared" si="13"/>
        <v>0</v>
      </c>
    </row>
    <row r="777" spans="2:18" hidden="1" x14ac:dyDescent="0.25">
      <c r="B777" s="48">
        <f>+'Metrics - Articles'!C774</f>
        <v>0</v>
      </c>
      <c r="C777">
        <f>COUNTIF('Metrics - Articles'!F774,"*GPO (Partner, Ecosystem, Channels)*")</f>
        <v>0</v>
      </c>
      <c r="D777">
        <f>COUNTIF('Metrics - Articles'!F774,"*Office of the CEO*")</f>
        <v>0</v>
      </c>
      <c r="E777">
        <f>COUNTIF('Metrics - Articles'!F774,"*Services Delivery &amp; Support (go-lives and deployments) *")</f>
        <v>0</v>
      </c>
      <c r="F777">
        <f>COUNTIF('Metrics - Articles'!F774,"*Human Resources (SAP HR and employee stories)*")</f>
        <v>0</v>
      </c>
      <c r="G777">
        <f>COUNTIF('Metrics - Articles'!F774,"*P&amp;I (Research &amp; Development)*")</f>
        <v>0</v>
      </c>
      <c r="H777">
        <f>COUNTIF('Metrics - Articles'!F774,"*Business Network (Concur, Ariba, Fieldglass)*")</f>
        <v>0</v>
      </c>
      <c r="I777">
        <f>COUNTIF('Metrics - Articles'!F774,"*GCO – Regions*")</f>
        <v>0</v>
      </c>
      <c r="J777">
        <f>COUNTIF('Metrics - Articles'!F774,"*GCO – Platform Solutions*")</f>
        <v>0</v>
      </c>
      <c r="K777">
        <f>COUNTIF('Metrics - Articles'!F774,"*GCO – Industry Cloud *")</f>
        <v>0</v>
      </c>
      <c r="L777">
        <f>COUNTIF('Metrics - Articles'!F774,"*GCO – Customer Engagement &amp; Commerce (CRM &amp; hybris) *")</f>
        <v>0</v>
      </c>
      <c r="M777">
        <f>COUNTIF('Metrics - Articles'!F774,"*GCO – HR (SuccessFactors)*")</f>
        <v>0</v>
      </c>
      <c r="N777">
        <f>COUNTIF('Metrics - Articles'!F774,"*GCO – Services Sales*")</f>
        <v>0</v>
      </c>
      <c r="O777">
        <f>COUNTIF('Metrics - Articles'!F774,"*GCO – Other*")</f>
        <v>0</v>
      </c>
      <c r="P777">
        <f>COUNTIF('Metrics - Articles'!F774,"*Corporate*")</f>
        <v>0</v>
      </c>
      <c r="R777" s="53">
        <f t="shared" si="13"/>
        <v>0</v>
      </c>
    </row>
    <row r="778" spans="2:18" hidden="1" x14ac:dyDescent="0.25">
      <c r="B778" s="48">
        <f>+'Metrics - Articles'!C775</f>
        <v>0</v>
      </c>
      <c r="C778">
        <f>COUNTIF('Metrics - Articles'!F775,"*GPO (Partner, Ecosystem, Channels)*")</f>
        <v>0</v>
      </c>
      <c r="D778">
        <f>COUNTIF('Metrics - Articles'!F775,"*Office of the CEO*")</f>
        <v>0</v>
      </c>
      <c r="E778">
        <f>COUNTIF('Metrics - Articles'!F775,"*Services Delivery &amp; Support (go-lives and deployments) *")</f>
        <v>0</v>
      </c>
      <c r="F778">
        <f>COUNTIF('Metrics - Articles'!F775,"*Human Resources (SAP HR and employee stories)*")</f>
        <v>0</v>
      </c>
      <c r="G778">
        <f>COUNTIF('Metrics - Articles'!F775,"*P&amp;I (Research &amp; Development)*")</f>
        <v>0</v>
      </c>
      <c r="H778">
        <f>COUNTIF('Metrics - Articles'!F775,"*Business Network (Concur, Ariba, Fieldglass)*")</f>
        <v>0</v>
      </c>
      <c r="I778">
        <f>COUNTIF('Metrics - Articles'!F775,"*GCO – Regions*")</f>
        <v>0</v>
      </c>
      <c r="J778">
        <f>COUNTIF('Metrics - Articles'!F775,"*GCO – Platform Solutions*")</f>
        <v>0</v>
      </c>
      <c r="K778">
        <f>COUNTIF('Metrics - Articles'!F775,"*GCO – Industry Cloud *")</f>
        <v>0</v>
      </c>
      <c r="L778">
        <f>COUNTIF('Metrics - Articles'!F775,"*GCO – Customer Engagement &amp; Commerce (CRM &amp; hybris) *")</f>
        <v>0</v>
      </c>
      <c r="M778">
        <f>COUNTIF('Metrics - Articles'!F775,"*GCO – HR (SuccessFactors)*")</f>
        <v>0</v>
      </c>
      <c r="N778">
        <f>COUNTIF('Metrics - Articles'!F775,"*GCO – Services Sales*")</f>
        <v>0</v>
      </c>
      <c r="O778">
        <f>COUNTIF('Metrics - Articles'!F775,"*GCO – Other*")</f>
        <v>0</v>
      </c>
      <c r="P778">
        <f>COUNTIF('Metrics - Articles'!F775,"*Corporate*")</f>
        <v>0</v>
      </c>
      <c r="R778" s="53">
        <f t="shared" ref="R778:R841" si="14">SUM(C778:Q778)</f>
        <v>0</v>
      </c>
    </row>
    <row r="779" spans="2:18" hidden="1" x14ac:dyDescent="0.25">
      <c r="B779" s="48">
        <f>+'Metrics - Articles'!C776</f>
        <v>0</v>
      </c>
      <c r="C779">
        <f>COUNTIF('Metrics - Articles'!F776,"*GPO (Partner, Ecosystem, Channels)*")</f>
        <v>0</v>
      </c>
      <c r="D779">
        <f>COUNTIF('Metrics - Articles'!F776,"*Office of the CEO*")</f>
        <v>0</v>
      </c>
      <c r="E779">
        <f>COUNTIF('Metrics - Articles'!F776,"*Services Delivery &amp; Support (go-lives and deployments) *")</f>
        <v>0</v>
      </c>
      <c r="F779">
        <f>COUNTIF('Metrics - Articles'!F776,"*Human Resources (SAP HR and employee stories)*")</f>
        <v>0</v>
      </c>
      <c r="G779">
        <f>COUNTIF('Metrics - Articles'!F776,"*P&amp;I (Research &amp; Development)*")</f>
        <v>0</v>
      </c>
      <c r="H779">
        <f>COUNTIF('Metrics - Articles'!F776,"*Business Network (Concur, Ariba, Fieldglass)*")</f>
        <v>0</v>
      </c>
      <c r="I779">
        <f>COUNTIF('Metrics - Articles'!F776,"*GCO – Regions*")</f>
        <v>0</v>
      </c>
      <c r="J779">
        <f>COUNTIF('Metrics - Articles'!F776,"*GCO – Platform Solutions*")</f>
        <v>0</v>
      </c>
      <c r="K779">
        <f>COUNTIF('Metrics - Articles'!F776,"*GCO – Industry Cloud *")</f>
        <v>0</v>
      </c>
      <c r="L779">
        <f>COUNTIF('Metrics - Articles'!F776,"*GCO – Customer Engagement &amp; Commerce (CRM &amp; hybris) *")</f>
        <v>0</v>
      </c>
      <c r="M779">
        <f>COUNTIF('Metrics - Articles'!F776,"*GCO – HR (SuccessFactors)*")</f>
        <v>0</v>
      </c>
      <c r="N779">
        <f>COUNTIF('Metrics - Articles'!F776,"*GCO – Services Sales*")</f>
        <v>0</v>
      </c>
      <c r="O779">
        <f>COUNTIF('Metrics - Articles'!F776,"*GCO – Other*")</f>
        <v>0</v>
      </c>
      <c r="P779">
        <f>COUNTIF('Metrics - Articles'!F776,"*Corporate*")</f>
        <v>0</v>
      </c>
      <c r="R779" s="53">
        <f t="shared" si="14"/>
        <v>0</v>
      </c>
    </row>
    <row r="780" spans="2:18" hidden="1" x14ac:dyDescent="0.25">
      <c r="B780" s="48">
        <f>+'Metrics - Articles'!C777</f>
        <v>0</v>
      </c>
      <c r="C780">
        <f>COUNTIF('Metrics - Articles'!F777,"*GPO (Partner, Ecosystem, Channels)*")</f>
        <v>0</v>
      </c>
      <c r="D780">
        <f>COUNTIF('Metrics - Articles'!F777,"*Office of the CEO*")</f>
        <v>0</v>
      </c>
      <c r="E780">
        <f>COUNTIF('Metrics - Articles'!F777,"*Services Delivery &amp; Support (go-lives and deployments) *")</f>
        <v>0</v>
      </c>
      <c r="F780">
        <f>COUNTIF('Metrics - Articles'!F777,"*Human Resources (SAP HR and employee stories)*")</f>
        <v>0</v>
      </c>
      <c r="G780">
        <f>COUNTIF('Metrics - Articles'!F777,"*P&amp;I (Research &amp; Development)*")</f>
        <v>0</v>
      </c>
      <c r="H780">
        <f>COUNTIF('Metrics - Articles'!F777,"*Business Network (Concur, Ariba, Fieldglass)*")</f>
        <v>0</v>
      </c>
      <c r="I780">
        <f>COUNTIF('Metrics - Articles'!F777,"*GCO – Regions*")</f>
        <v>0</v>
      </c>
      <c r="J780">
        <f>COUNTIF('Metrics - Articles'!F777,"*GCO – Platform Solutions*")</f>
        <v>0</v>
      </c>
      <c r="K780">
        <f>COUNTIF('Metrics - Articles'!F777,"*GCO – Industry Cloud *")</f>
        <v>0</v>
      </c>
      <c r="L780">
        <f>COUNTIF('Metrics - Articles'!F777,"*GCO – Customer Engagement &amp; Commerce (CRM &amp; hybris) *")</f>
        <v>0</v>
      </c>
      <c r="M780">
        <f>COUNTIF('Metrics - Articles'!F777,"*GCO – HR (SuccessFactors)*")</f>
        <v>0</v>
      </c>
      <c r="N780">
        <f>COUNTIF('Metrics - Articles'!F777,"*GCO – Services Sales*")</f>
        <v>0</v>
      </c>
      <c r="O780">
        <f>COUNTIF('Metrics - Articles'!F777,"*GCO – Other*")</f>
        <v>0</v>
      </c>
      <c r="P780">
        <f>COUNTIF('Metrics - Articles'!F777,"*Corporate*")</f>
        <v>0</v>
      </c>
      <c r="R780" s="53">
        <f t="shared" si="14"/>
        <v>0</v>
      </c>
    </row>
    <row r="781" spans="2:18" hidden="1" x14ac:dyDescent="0.25">
      <c r="B781" s="48">
        <f>+'Metrics - Articles'!C778</f>
        <v>0</v>
      </c>
      <c r="C781">
        <f>COUNTIF('Metrics - Articles'!F778,"*GPO (Partner, Ecosystem, Channels)*")</f>
        <v>0</v>
      </c>
      <c r="D781">
        <f>COUNTIF('Metrics - Articles'!F778,"*Office of the CEO*")</f>
        <v>0</v>
      </c>
      <c r="E781">
        <f>COUNTIF('Metrics - Articles'!F778,"*Services Delivery &amp; Support (go-lives and deployments) *")</f>
        <v>0</v>
      </c>
      <c r="F781">
        <f>COUNTIF('Metrics - Articles'!F778,"*Human Resources (SAP HR and employee stories)*")</f>
        <v>0</v>
      </c>
      <c r="G781">
        <f>COUNTIF('Metrics - Articles'!F778,"*P&amp;I (Research &amp; Development)*")</f>
        <v>0</v>
      </c>
      <c r="H781">
        <f>COUNTIF('Metrics - Articles'!F778,"*Business Network (Concur, Ariba, Fieldglass)*")</f>
        <v>0</v>
      </c>
      <c r="I781">
        <f>COUNTIF('Metrics - Articles'!F778,"*GCO – Regions*")</f>
        <v>0</v>
      </c>
      <c r="J781">
        <f>COUNTIF('Metrics - Articles'!F778,"*GCO – Platform Solutions*")</f>
        <v>0</v>
      </c>
      <c r="K781">
        <f>COUNTIF('Metrics - Articles'!F778,"*GCO – Industry Cloud *")</f>
        <v>0</v>
      </c>
      <c r="L781">
        <f>COUNTIF('Metrics - Articles'!F778,"*GCO – Customer Engagement &amp; Commerce (CRM &amp; hybris) *")</f>
        <v>0</v>
      </c>
      <c r="M781">
        <f>COUNTIF('Metrics - Articles'!F778,"*GCO – HR (SuccessFactors)*")</f>
        <v>0</v>
      </c>
      <c r="N781">
        <f>COUNTIF('Metrics - Articles'!F778,"*GCO – Services Sales*")</f>
        <v>0</v>
      </c>
      <c r="O781">
        <f>COUNTIF('Metrics - Articles'!F778,"*GCO – Other*")</f>
        <v>0</v>
      </c>
      <c r="P781">
        <f>COUNTIF('Metrics - Articles'!F778,"*Corporate*")</f>
        <v>0</v>
      </c>
      <c r="R781" s="53">
        <f t="shared" si="14"/>
        <v>0</v>
      </c>
    </row>
    <row r="782" spans="2:18" hidden="1" x14ac:dyDescent="0.25">
      <c r="B782" s="48">
        <f>+'Metrics - Articles'!C779</f>
        <v>0</v>
      </c>
      <c r="C782">
        <f>COUNTIF('Metrics - Articles'!F779,"*GPO (Partner, Ecosystem, Channels)*")</f>
        <v>0</v>
      </c>
      <c r="D782">
        <f>COUNTIF('Metrics - Articles'!F779,"*Office of the CEO*")</f>
        <v>0</v>
      </c>
      <c r="E782">
        <f>COUNTIF('Metrics - Articles'!F779,"*Services Delivery &amp; Support (go-lives and deployments) *")</f>
        <v>0</v>
      </c>
      <c r="F782">
        <f>COUNTIF('Metrics - Articles'!F779,"*Human Resources (SAP HR and employee stories)*")</f>
        <v>0</v>
      </c>
      <c r="G782">
        <f>COUNTIF('Metrics - Articles'!F779,"*P&amp;I (Research &amp; Development)*")</f>
        <v>0</v>
      </c>
      <c r="H782">
        <f>COUNTIF('Metrics - Articles'!F779,"*Business Network (Concur, Ariba, Fieldglass)*")</f>
        <v>0</v>
      </c>
      <c r="I782">
        <f>COUNTIF('Metrics - Articles'!F779,"*GCO – Regions*")</f>
        <v>0</v>
      </c>
      <c r="J782">
        <f>COUNTIF('Metrics - Articles'!F779,"*GCO – Platform Solutions*")</f>
        <v>0</v>
      </c>
      <c r="K782">
        <f>COUNTIF('Metrics - Articles'!F779,"*GCO – Industry Cloud *")</f>
        <v>0</v>
      </c>
      <c r="L782">
        <f>COUNTIF('Metrics - Articles'!F779,"*GCO – Customer Engagement &amp; Commerce (CRM &amp; hybris) *")</f>
        <v>0</v>
      </c>
      <c r="M782">
        <f>COUNTIF('Metrics - Articles'!F779,"*GCO – HR (SuccessFactors)*")</f>
        <v>0</v>
      </c>
      <c r="N782">
        <f>COUNTIF('Metrics - Articles'!F779,"*GCO – Services Sales*")</f>
        <v>0</v>
      </c>
      <c r="O782">
        <f>COUNTIF('Metrics - Articles'!F779,"*GCO – Other*")</f>
        <v>0</v>
      </c>
      <c r="P782">
        <f>COUNTIF('Metrics - Articles'!F779,"*Corporate*")</f>
        <v>0</v>
      </c>
      <c r="R782" s="53">
        <f t="shared" si="14"/>
        <v>0</v>
      </c>
    </row>
    <row r="783" spans="2:18" hidden="1" x14ac:dyDescent="0.25">
      <c r="B783" s="48">
        <f>+'Metrics - Articles'!C780</f>
        <v>0</v>
      </c>
      <c r="C783">
        <f>COUNTIF('Metrics - Articles'!F780,"*GPO (Partner, Ecosystem, Channels)*")</f>
        <v>0</v>
      </c>
      <c r="D783">
        <f>COUNTIF('Metrics - Articles'!F780,"*Office of the CEO*")</f>
        <v>0</v>
      </c>
      <c r="E783">
        <f>COUNTIF('Metrics - Articles'!F780,"*Services Delivery &amp; Support (go-lives and deployments) *")</f>
        <v>0</v>
      </c>
      <c r="F783">
        <f>COUNTIF('Metrics - Articles'!F780,"*Human Resources (SAP HR and employee stories)*")</f>
        <v>0</v>
      </c>
      <c r="G783">
        <f>COUNTIF('Metrics - Articles'!F780,"*P&amp;I (Research &amp; Development)*")</f>
        <v>0</v>
      </c>
      <c r="H783">
        <f>COUNTIF('Metrics - Articles'!F780,"*Business Network (Concur, Ariba, Fieldglass)*")</f>
        <v>0</v>
      </c>
      <c r="I783">
        <f>COUNTIF('Metrics - Articles'!F780,"*GCO – Regions*")</f>
        <v>0</v>
      </c>
      <c r="J783">
        <f>COUNTIF('Metrics - Articles'!F780,"*GCO – Platform Solutions*")</f>
        <v>0</v>
      </c>
      <c r="K783">
        <f>COUNTIF('Metrics - Articles'!F780,"*GCO – Industry Cloud *")</f>
        <v>0</v>
      </c>
      <c r="L783">
        <f>COUNTIF('Metrics - Articles'!F780,"*GCO – Customer Engagement &amp; Commerce (CRM &amp; hybris) *")</f>
        <v>0</v>
      </c>
      <c r="M783">
        <f>COUNTIF('Metrics - Articles'!F780,"*GCO – HR (SuccessFactors)*")</f>
        <v>0</v>
      </c>
      <c r="N783">
        <f>COUNTIF('Metrics - Articles'!F780,"*GCO – Services Sales*")</f>
        <v>0</v>
      </c>
      <c r="O783">
        <f>COUNTIF('Metrics - Articles'!F780,"*GCO – Other*")</f>
        <v>0</v>
      </c>
      <c r="P783">
        <f>COUNTIF('Metrics - Articles'!F780,"*Corporate*")</f>
        <v>0</v>
      </c>
      <c r="R783" s="53">
        <f t="shared" si="14"/>
        <v>0</v>
      </c>
    </row>
    <row r="784" spans="2:18" hidden="1" x14ac:dyDescent="0.25">
      <c r="B784" s="48">
        <f>+'Metrics - Articles'!C781</f>
        <v>0</v>
      </c>
      <c r="C784">
        <f>COUNTIF('Metrics - Articles'!F781,"*GPO (Partner, Ecosystem, Channels)*")</f>
        <v>0</v>
      </c>
      <c r="D784">
        <f>COUNTIF('Metrics - Articles'!F781,"*Office of the CEO*")</f>
        <v>0</v>
      </c>
      <c r="E784">
        <f>COUNTIF('Metrics - Articles'!F781,"*Services Delivery &amp; Support (go-lives and deployments) *")</f>
        <v>0</v>
      </c>
      <c r="F784">
        <f>COUNTIF('Metrics - Articles'!F781,"*Human Resources (SAP HR and employee stories)*")</f>
        <v>0</v>
      </c>
      <c r="G784">
        <f>COUNTIF('Metrics - Articles'!F781,"*P&amp;I (Research &amp; Development)*")</f>
        <v>0</v>
      </c>
      <c r="H784">
        <f>COUNTIF('Metrics - Articles'!F781,"*Business Network (Concur, Ariba, Fieldglass)*")</f>
        <v>0</v>
      </c>
      <c r="I784">
        <f>COUNTIF('Metrics - Articles'!F781,"*GCO – Regions*")</f>
        <v>0</v>
      </c>
      <c r="J784">
        <f>COUNTIF('Metrics - Articles'!F781,"*GCO – Platform Solutions*")</f>
        <v>0</v>
      </c>
      <c r="K784">
        <f>COUNTIF('Metrics - Articles'!F781,"*GCO – Industry Cloud *")</f>
        <v>0</v>
      </c>
      <c r="L784">
        <f>COUNTIF('Metrics - Articles'!F781,"*GCO – Customer Engagement &amp; Commerce (CRM &amp; hybris) *")</f>
        <v>0</v>
      </c>
      <c r="M784">
        <f>COUNTIF('Metrics - Articles'!F781,"*GCO – HR (SuccessFactors)*")</f>
        <v>0</v>
      </c>
      <c r="N784">
        <f>COUNTIF('Metrics - Articles'!F781,"*GCO – Services Sales*")</f>
        <v>0</v>
      </c>
      <c r="O784">
        <f>COUNTIF('Metrics - Articles'!F781,"*GCO – Other*")</f>
        <v>0</v>
      </c>
      <c r="P784">
        <f>COUNTIF('Metrics - Articles'!F781,"*Corporate*")</f>
        <v>0</v>
      </c>
      <c r="R784" s="53">
        <f t="shared" si="14"/>
        <v>0</v>
      </c>
    </row>
    <row r="785" spans="2:18" hidden="1" x14ac:dyDescent="0.25">
      <c r="B785" s="48">
        <f>+'Metrics - Articles'!C782</f>
        <v>0</v>
      </c>
      <c r="C785">
        <f>COUNTIF('Metrics - Articles'!F782,"*GPO (Partner, Ecosystem, Channels)*")</f>
        <v>0</v>
      </c>
      <c r="D785">
        <f>COUNTIF('Metrics - Articles'!F782,"*Office of the CEO*")</f>
        <v>0</v>
      </c>
      <c r="E785">
        <f>COUNTIF('Metrics - Articles'!F782,"*Services Delivery &amp; Support (go-lives and deployments) *")</f>
        <v>0</v>
      </c>
      <c r="F785">
        <f>COUNTIF('Metrics - Articles'!F782,"*Human Resources (SAP HR and employee stories)*")</f>
        <v>0</v>
      </c>
      <c r="G785">
        <f>COUNTIF('Metrics - Articles'!F782,"*P&amp;I (Research &amp; Development)*")</f>
        <v>0</v>
      </c>
      <c r="H785">
        <f>COUNTIF('Metrics - Articles'!F782,"*Business Network (Concur, Ariba, Fieldglass)*")</f>
        <v>0</v>
      </c>
      <c r="I785">
        <f>COUNTIF('Metrics - Articles'!F782,"*GCO – Regions*")</f>
        <v>0</v>
      </c>
      <c r="J785">
        <f>COUNTIF('Metrics - Articles'!F782,"*GCO – Platform Solutions*")</f>
        <v>0</v>
      </c>
      <c r="K785">
        <f>COUNTIF('Metrics - Articles'!F782,"*GCO – Industry Cloud *")</f>
        <v>0</v>
      </c>
      <c r="L785">
        <f>COUNTIF('Metrics - Articles'!F782,"*GCO – Customer Engagement &amp; Commerce (CRM &amp; hybris) *")</f>
        <v>0</v>
      </c>
      <c r="M785">
        <f>COUNTIF('Metrics - Articles'!F782,"*GCO – HR (SuccessFactors)*")</f>
        <v>0</v>
      </c>
      <c r="N785">
        <f>COUNTIF('Metrics - Articles'!F782,"*GCO – Services Sales*")</f>
        <v>0</v>
      </c>
      <c r="O785">
        <f>COUNTIF('Metrics - Articles'!F782,"*GCO – Other*")</f>
        <v>0</v>
      </c>
      <c r="P785">
        <f>COUNTIF('Metrics - Articles'!F782,"*Corporate*")</f>
        <v>0</v>
      </c>
      <c r="R785" s="53">
        <f t="shared" si="14"/>
        <v>0</v>
      </c>
    </row>
    <row r="786" spans="2:18" hidden="1" x14ac:dyDescent="0.25">
      <c r="B786" s="48">
        <f>+'Metrics - Articles'!C783</f>
        <v>0</v>
      </c>
      <c r="C786">
        <f>COUNTIF('Metrics - Articles'!F783,"*GPO (Partner, Ecosystem, Channels)*")</f>
        <v>0</v>
      </c>
      <c r="D786">
        <f>COUNTIF('Metrics - Articles'!F783,"*Office of the CEO*")</f>
        <v>0</v>
      </c>
      <c r="E786">
        <f>COUNTIF('Metrics - Articles'!F783,"*Services Delivery &amp; Support (go-lives and deployments) *")</f>
        <v>0</v>
      </c>
      <c r="F786">
        <f>COUNTIF('Metrics - Articles'!F783,"*Human Resources (SAP HR and employee stories)*")</f>
        <v>0</v>
      </c>
      <c r="G786">
        <f>COUNTIF('Metrics - Articles'!F783,"*P&amp;I (Research &amp; Development)*")</f>
        <v>0</v>
      </c>
      <c r="H786">
        <f>COUNTIF('Metrics - Articles'!F783,"*Business Network (Concur, Ariba, Fieldglass)*")</f>
        <v>0</v>
      </c>
      <c r="I786">
        <f>COUNTIF('Metrics - Articles'!F783,"*GCO – Regions*")</f>
        <v>0</v>
      </c>
      <c r="J786">
        <f>COUNTIF('Metrics - Articles'!F783,"*GCO – Platform Solutions*")</f>
        <v>0</v>
      </c>
      <c r="K786">
        <f>COUNTIF('Metrics - Articles'!F783,"*GCO – Industry Cloud *")</f>
        <v>0</v>
      </c>
      <c r="L786">
        <f>COUNTIF('Metrics - Articles'!F783,"*GCO – Customer Engagement &amp; Commerce (CRM &amp; hybris) *")</f>
        <v>0</v>
      </c>
      <c r="M786">
        <f>COUNTIF('Metrics - Articles'!F783,"*GCO – HR (SuccessFactors)*")</f>
        <v>0</v>
      </c>
      <c r="N786">
        <f>COUNTIF('Metrics - Articles'!F783,"*GCO – Services Sales*")</f>
        <v>0</v>
      </c>
      <c r="O786">
        <f>COUNTIF('Metrics - Articles'!F783,"*GCO – Other*")</f>
        <v>0</v>
      </c>
      <c r="P786">
        <f>COUNTIF('Metrics - Articles'!F783,"*Corporate*")</f>
        <v>0</v>
      </c>
      <c r="R786" s="53">
        <f t="shared" si="14"/>
        <v>0</v>
      </c>
    </row>
    <row r="787" spans="2:18" hidden="1" x14ac:dyDescent="0.25">
      <c r="B787" s="48">
        <f>+'Metrics - Articles'!C784</f>
        <v>0</v>
      </c>
      <c r="C787">
        <f>COUNTIF('Metrics - Articles'!F784,"*GPO (Partner, Ecosystem, Channels)*")</f>
        <v>0</v>
      </c>
      <c r="D787">
        <f>COUNTIF('Metrics - Articles'!F784,"*Office of the CEO*")</f>
        <v>0</v>
      </c>
      <c r="E787">
        <f>COUNTIF('Metrics - Articles'!F784,"*Services Delivery &amp; Support (go-lives and deployments) *")</f>
        <v>0</v>
      </c>
      <c r="F787">
        <f>COUNTIF('Metrics - Articles'!F784,"*Human Resources (SAP HR and employee stories)*")</f>
        <v>0</v>
      </c>
      <c r="G787">
        <f>COUNTIF('Metrics - Articles'!F784,"*P&amp;I (Research &amp; Development)*")</f>
        <v>0</v>
      </c>
      <c r="H787">
        <f>COUNTIF('Metrics - Articles'!F784,"*Business Network (Concur, Ariba, Fieldglass)*")</f>
        <v>0</v>
      </c>
      <c r="I787">
        <f>COUNTIF('Metrics - Articles'!F784,"*GCO – Regions*")</f>
        <v>0</v>
      </c>
      <c r="J787">
        <f>COUNTIF('Metrics - Articles'!F784,"*GCO – Platform Solutions*")</f>
        <v>0</v>
      </c>
      <c r="K787">
        <f>COUNTIF('Metrics - Articles'!F784,"*GCO – Industry Cloud *")</f>
        <v>0</v>
      </c>
      <c r="L787">
        <f>COUNTIF('Metrics - Articles'!F784,"*GCO – Customer Engagement &amp; Commerce (CRM &amp; hybris) *")</f>
        <v>0</v>
      </c>
      <c r="M787">
        <f>COUNTIF('Metrics - Articles'!F784,"*GCO – HR (SuccessFactors)*")</f>
        <v>0</v>
      </c>
      <c r="N787">
        <f>COUNTIF('Metrics - Articles'!F784,"*GCO – Services Sales*")</f>
        <v>0</v>
      </c>
      <c r="O787">
        <f>COUNTIF('Metrics - Articles'!F784,"*GCO – Other*")</f>
        <v>0</v>
      </c>
      <c r="P787">
        <f>COUNTIF('Metrics - Articles'!F784,"*Corporate*")</f>
        <v>0</v>
      </c>
      <c r="R787" s="53">
        <f t="shared" si="14"/>
        <v>0</v>
      </c>
    </row>
    <row r="788" spans="2:18" hidden="1" x14ac:dyDescent="0.25">
      <c r="B788" s="48">
        <f>+'Metrics - Articles'!C785</f>
        <v>0</v>
      </c>
      <c r="C788">
        <f>COUNTIF('Metrics - Articles'!F785,"*GPO (Partner, Ecosystem, Channels)*")</f>
        <v>0</v>
      </c>
      <c r="D788">
        <f>COUNTIF('Metrics - Articles'!F785,"*Office of the CEO*")</f>
        <v>0</v>
      </c>
      <c r="E788">
        <f>COUNTIF('Metrics - Articles'!F785,"*Services Delivery &amp; Support (go-lives and deployments) *")</f>
        <v>0</v>
      </c>
      <c r="F788">
        <f>COUNTIF('Metrics - Articles'!F785,"*Human Resources (SAP HR and employee stories)*")</f>
        <v>0</v>
      </c>
      <c r="G788">
        <f>COUNTIF('Metrics - Articles'!F785,"*P&amp;I (Research &amp; Development)*")</f>
        <v>0</v>
      </c>
      <c r="H788">
        <f>COUNTIF('Metrics - Articles'!F785,"*Business Network (Concur, Ariba, Fieldglass)*")</f>
        <v>0</v>
      </c>
      <c r="I788">
        <f>COUNTIF('Metrics - Articles'!F785,"*GCO – Regions*")</f>
        <v>0</v>
      </c>
      <c r="J788">
        <f>COUNTIF('Metrics - Articles'!F785,"*GCO – Platform Solutions*")</f>
        <v>0</v>
      </c>
      <c r="K788">
        <f>COUNTIF('Metrics - Articles'!F785,"*GCO – Industry Cloud *")</f>
        <v>0</v>
      </c>
      <c r="L788">
        <f>COUNTIF('Metrics - Articles'!F785,"*GCO – Customer Engagement &amp; Commerce (CRM &amp; hybris) *")</f>
        <v>0</v>
      </c>
      <c r="M788">
        <f>COUNTIF('Metrics - Articles'!F785,"*GCO – HR (SuccessFactors)*")</f>
        <v>0</v>
      </c>
      <c r="N788">
        <f>COUNTIF('Metrics - Articles'!F785,"*GCO – Services Sales*")</f>
        <v>0</v>
      </c>
      <c r="O788">
        <f>COUNTIF('Metrics - Articles'!F785,"*GCO – Other*")</f>
        <v>0</v>
      </c>
      <c r="P788">
        <f>COUNTIF('Metrics - Articles'!F785,"*Corporate*")</f>
        <v>0</v>
      </c>
      <c r="R788" s="53">
        <f t="shared" si="14"/>
        <v>0</v>
      </c>
    </row>
    <row r="789" spans="2:18" hidden="1" x14ac:dyDescent="0.25">
      <c r="B789" s="48">
        <f>+'Metrics - Articles'!C786</f>
        <v>0</v>
      </c>
      <c r="C789">
        <f>COUNTIF('Metrics - Articles'!F786,"*GPO (Partner, Ecosystem, Channels)*")</f>
        <v>0</v>
      </c>
      <c r="D789">
        <f>COUNTIF('Metrics - Articles'!F786,"*Office of the CEO*")</f>
        <v>0</v>
      </c>
      <c r="E789">
        <f>COUNTIF('Metrics - Articles'!F786,"*Services Delivery &amp; Support (go-lives and deployments) *")</f>
        <v>0</v>
      </c>
      <c r="F789">
        <f>COUNTIF('Metrics - Articles'!F786,"*Human Resources (SAP HR and employee stories)*")</f>
        <v>0</v>
      </c>
      <c r="G789">
        <f>COUNTIF('Metrics - Articles'!F786,"*P&amp;I (Research &amp; Development)*")</f>
        <v>0</v>
      </c>
      <c r="H789">
        <f>COUNTIF('Metrics - Articles'!F786,"*Business Network (Concur, Ariba, Fieldglass)*")</f>
        <v>0</v>
      </c>
      <c r="I789">
        <f>COUNTIF('Metrics - Articles'!F786,"*GCO – Regions*")</f>
        <v>0</v>
      </c>
      <c r="J789">
        <f>COUNTIF('Metrics - Articles'!F786,"*GCO – Platform Solutions*")</f>
        <v>0</v>
      </c>
      <c r="K789">
        <f>COUNTIF('Metrics - Articles'!F786,"*GCO – Industry Cloud *")</f>
        <v>0</v>
      </c>
      <c r="L789">
        <f>COUNTIF('Metrics - Articles'!F786,"*GCO – Customer Engagement &amp; Commerce (CRM &amp; hybris) *")</f>
        <v>0</v>
      </c>
      <c r="M789">
        <f>COUNTIF('Metrics - Articles'!F786,"*GCO – HR (SuccessFactors)*")</f>
        <v>0</v>
      </c>
      <c r="N789">
        <f>COUNTIF('Metrics - Articles'!F786,"*GCO – Services Sales*")</f>
        <v>0</v>
      </c>
      <c r="O789">
        <f>COUNTIF('Metrics - Articles'!F786,"*GCO – Other*")</f>
        <v>0</v>
      </c>
      <c r="P789">
        <f>COUNTIF('Metrics - Articles'!F786,"*Corporate*")</f>
        <v>0</v>
      </c>
      <c r="R789" s="53">
        <f t="shared" si="14"/>
        <v>0</v>
      </c>
    </row>
    <row r="790" spans="2:18" hidden="1" x14ac:dyDescent="0.25">
      <c r="B790" s="48">
        <f>+'Metrics - Articles'!C787</f>
        <v>0</v>
      </c>
      <c r="C790">
        <f>COUNTIF('Metrics - Articles'!F787,"*GPO (Partner, Ecosystem, Channels)*")</f>
        <v>0</v>
      </c>
      <c r="D790">
        <f>COUNTIF('Metrics - Articles'!F787,"*Office of the CEO*")</f>
        <v>0</v>
      </c>
      <c r="E790">
        <f>COUNTIF('Metrics - Articles'!F787,"*Services Delivery &amp; Support (go-lives and deployments) *")</f>
        <v>0</v>
      </c>
      <c r="F790">
        <f>COUNTIF('Metrics - Articles'!F787,"*Human Resources (SAP HR and employee stories)*")</f>
        <v>0</v>
      </c>
      <c r="G790">
        <f>COUNTIF('Metrics - Articles'!F787,"*P&amp;I (Research &amp; Development)*")</f>
        <v>0</v>
      </c>
      <c r="H790">
        <f>COUNTIF('Metrics - Articles'!F787,"*Business Network (Concur, Ariba, Fieldglass)*")</f>
        <v>0</v>
      </c>
      <c r="I790">
        <f>COUNTIF('Metrics - Articles'!F787,"*GCO – Regions*")</f>
        <v>0</v>
      </c>
      <c r="J790">
        <f>COUNTIF('Metrics - Articles'!F787,"*GCO – Platform Solutions*")</f>
        <v>0</v>
      </c>
      <c r="K790">
        <f>COUNTIF('Metrics - Articles'!F787,"*GCO – Industry Cloud *")</f>
        <v>0</v>
      </c>
      <c r="L790">
        <f>COUNTIF('Metrics - Articles'!F787,"*GCO – Customer Engagement &amp; Commerce (CRM &amp; hybris) *")</f>
        <v>0</v>
      </c>
      <c r="M790">
        <f>COUNTIF('Metrics - Articles'!F787,"*GCO – HR (SuccessFactors)*")</f>
        <v>0</v>
      </c>
      <c r="N790">
        <f>COUNTIF('Metrics - Articles'!F787,"*GCO – Services Sales*")</f>
        <v>0</v>
      </c>
      <c r="O790">
        <f>COUNTIF('Metrics - Articles'!F787,"*GCO – Other*")</f>
        <v>0</v>
      </c>
      <c r="P790">
        <f>COUNTIF('Metrics - Articles'!F787,"*Corporate*")</f>
        <v>0</v>
      </c>
      <c r="R790" s="53">
        <f t="shared" si="14"/>
        <v>0</v>
      </c>
    </row>
    <row r="791" spans="2:18" hidden="1" x14ac:dyDescent="0.25">
      <c r="B791" s="48">
        <f>+'Metrics - Articles'!C788</f>
        <v>0</v>
      </c>
      <c r="C791">
        <f>COUNTIF('Metrics - Articles'!F788,"*GPO (Partner, Ecosystem, Channels)*")</f>
        <v>0</v>
      </c>
      <c r="D791">
        <f>COUNTIF('Metrics - Articles'!F788,"*Office of the CEO*")</f>
        <v>0</v>
      </c>
      <c r="E791">
        <f>COUNTIF('Metrics - Articles'!F788,"*Services Delivery &amp; Support (go-lives and deployments) *")</f>
        <v>0</v>
      </c>
      <c r="F791">
        <f>COUNTIF('Metrics - Articles'!F788,"*Human Resources (SAP HR and employee stories)*")</f>
        <v>0</v>
      </c>
      <c r="G791">
        <f>COUNTIF('Metrics - Articles'!F788,"*P&amp;I (Research &amp; Development)*")</f>
        <v>0</v>
      </c>
      <c r="H791">
        <f>COUNTIF('Metrics - Articles'!F788,"*Business Network (Concur, Ariba, Fieldglass)*")</f>
        <v>0</v>
      </c>
      <c r="I791">
        <f>COUNTIF('Metrics - Articles'!F788,"*GCO – Regions*")</f>
        <v>0</v>
      </c>
      <c r="J791">
        <f>COUNTIF('Metrics - Articles'!F788,"*GCO – Platform Solutions*")</f>
        <v>0</v>
      </c>
      <c r="K791">
        <f>COUNTIF('Metrics - Articles'!F788,"*GCO – Industry Cloud *")</f>
        <v>0</v>
      </c>
      <c r="L791">
        <f>COUNTIF('Metrics - Articles'!F788,"*GCO – Customer Engagement &amp; Commerce (CRM &amp; hybris) *")</f>
        <v>0</v>
      </c>
      <c r="M791">
        <f>COUNTIF('Metrics - Articles'!F788,"*GCO – HR (SuccessFactors)*")</f>
        <v>0</v>
      </c>
      <c r="N791">
        <f>COUNTIF('Metrics - Articles'!F788,"*GCO – Services Sales*")</f>
        <v>0</v>
      </c>
      <c r="O791">
        <f>COUNTIF('Metrics - Articles'!F788,"*GCO – Other*")</f>
        <v>0</v>
      </c>
      <c r="P791">
        <f>COUNTIF('Metrics - Articles'!F788,"*Corporate*")</f>
        <v>0</v>
      </c>
      <c r="R791" s="53">
        <f t="shared" si="14"/>
        <v>0</v>
      </c>
    </row>
    <row r="792" spans="2:18" hidden="1" x14ac:dyDescent="0.25">
      <c r="B792" s="48">
        <f>+'Metrics - Articles'!C789</f>
        <v>0</v>
      </c>
      <c r="C792">
        <f>COUNTIF('Metrics - Articles'!F789,"*GPO (Partner, Ecosystem, Channels)*")</f>
        <v>0</v>
      </c>
      <c r="D792">
        <f>COUNTIF('Metrics - Articles'!F789,"*Office of the CEO*")</f>
        <v>0</v>
      </c>
      <c r="E792">
        <f>COUNTIF('Metrics - Articles'!F789,"*Services Delivery &amp; Support (go-lives and deployments) *")</f>
        <v>0</v>
      </c>
      <c r="F792">
        <f>COUNTIF('Metrics - Articles'!F789,"*Human Resources (SAP HR and employee stories)*")</f>
        <v>0</v>
      </c>
      <c r="G792">
        <f>COUNTIF('Metrics - Articles'!F789,"*P&amp;I (Research &amp; Development)*")</f>
        <v>0</v>
      </c>
      <c r="H792">
        <f>COUNTIF('Metrics - Articles'!F789,"*Business Network (Concur, Ariba, Fieldglass)*")</f>
        <v>0</v>
      </c>
      <c r="I792">
        <f>COUNTIF('Metrics - Articles'!F789,"*GCO – Regions*")</f>
        <v>0</v>
      </c>
      <c r="J792">
        <f>COUNTIF('Metrics - Articles'!F789,"*GCO – Platform Solutions*")</f>
        <v>0</v>
      </c>
      <c r="K792">
        <f>COUNTIF('Metrics - Articles'!F789,"*GCO – Industry Cloud *")</f>
        <v>0</v>
      </c>
      <c r="L792">
        <f>COUNTIF('Metrics - Articles'!F789,"*GCO – Customer Engagement &amp; Commerce (CRM &amp; hybris) *")</f>
        <v>0</v>
      </c>
      <c r="M792">
        <f>COUNTIF('Metrics - Articles'!F789,"*GCO – HR (SuccessFactors)*")</f>
        <v>0</v>
      </c>
      <c r="N792">
        <f>COUNTIF('Metrics - Articles'!F789,"*GCO – Services Sales*")</f>
        <v>0</v>
      </c>
      <c r="O792">
        <f>COUNTIF('Metrics - Articles'!F789,"*GCO – Other*")</f>
        <v>0</v>
      </c>
      <c r="P792">
        <f>COUNTIF('Metrics - Articles'!F789,"*Corporate*")</f>
        <v>0</v>
      </c>
      <c r="R792" s="53">
        <f t="shared" si="14"/>
        <v>0</v>
      </c>
    </row>
    <row r="793" spans="2:18" hidden="1" x14ac:dyDescent="0.25">
      <c r="B793" s="48">
        <f>+'Metrics - Articles'!C790</f>
        <v>0</v>
      </c>
      <c r="C793">
        <f>COUNTIF('Metrics - Articles'!F790,"*GPO (Partner, Ecosystem, Channels)*")</f>
        <v>0</v>
      </c>
      <c r="D793">
        <f>COUNTIF('Metrics - Articles'!F790,"*Office of the CEO*")</f>
        <v>0</v>
      </c>
      <c r="E793">
        <f>COUNTIF('Metrics - Articles'!F790,"*Services Delivery &amp; Support (go-lives and deployments) *")</f>
        <v>0</v>
      </c>
      <c r="F793">
        <f>COUNTIF('Metrics - Articles'!F790,"*Human Resources (SAP HR and employee stories)*")</f>
        <v>0</v>
      </c>
      <c r="G793">
        <f>COUNTIF('Metrics - Articles'!F790,"*P&amp;I (Research &amp; Development)*")</f>
        <v>0</v>
      </c>
      <c r="H793">
        <f>COUNTIF('Metrics - Articles'!F790,"*Business Network (Concur, Ariba, Fieldglass)*")</f>
        <v>0</v>
      </c>
      <c r="I793">
        <f>COUNTIF('Metrics - Articles'!F790,"*GCO – Regions*")</f>
        <v>0</v>
      </c>
      <c r="J793">
        <f>COUNTIF('Metrics - Articles'!F790,"*GCO – Platform Solutions*")</f>
        <v>0</v>
      </c>
      <c r="K793">
        <f>COUNTIF('Metrics - Articles'!F790,"*GCO – Industry Cloud *")</f>
        <v>0</v>
      </c>
      <c r="L793">
        <f>COUNTIF('Metrics - Articles'!F790,"*GCO – Customer Engagement &amp; Commerce (CRM &amp; hybris) *")</f>
        <v>0</v>
      </c>
      <c r="M793">
        <f>COUNTIF('Metrics - Articles'!F790,"*GCO – HR (SuccessFactors)*")</f>
        <v>0</v>
      </c>
      <c r="N793">
        <f>COUNTIF('Metrics - Articles'!F790,"*GCO – Services Sales*")</f>
        <v>0</v>
      </c>
      <c r="O793">
        <f>COUNTIF('Metrics - Articles'!F790,"*GCO – Other*")</f>
        <v>0</v>
      </c>
      <c r="P793">
        <f>COUNTIF('Metrics - Articles'!F790,"*Corporate*")</f>
        <v>0</v>
      </c>
      <c r="R793" s="53">
        <f t="shared" si="14"/>
        <v>0</v>
      </c>
    </row>
    <row r="794" spans="2:18" hidden="1" x14ac:dyDescent="0.25">
      <c r="B794" s="48">
        <f>+'Metrics - Articles'!C791</f>
        <v>0</v>
      </c>
      <c r="C794">
        <f>COUNTIF('Metrics - Articles'!F791,"*GPO (Partner, Ecosystem, Channels)*")</f>
        <v>0</v>
      </c>
      <c r="D794">
        <f>COUNTIF('Metrics - Articles'!F791,"*Office of the CEO*")</f>
        <v>0</v>
      </c>
      <c r="E794">
        <f>COUNTIF('Metrics - Articles'!F791,"*Services Delivery &amp; Support (go-lives and deployments) *")</f>
        <v>0</v>
      </c>
      <c r="F794">
        <f>COUNTIF('Metrics - Articles'!F791,"*Human Resources (SAP HR and employee stories)*")</f>
        <v>0</v>
      </c>
      <c r="G794">
        <f>COUNTIF('Metrics - Articles'!F791,"*P&amp;I (Research &amp; Development)*")</f>
        <v>0</v>
      </c>
      <c r="H794">
        <f>COUNTIF('Metrics - Articles'!F791,"*Business Network (Concur, Ariba, Fieldglass)*")</f>
        <v>0</v>
      </c>
      <c r="I794">
        <f>COUNTIF('Metrics - Articles'!F791,"*GCO – Regions*")</f>
        <v>0</v>
      </c>
      <c r="J794">
        <f>COUNTIF('Metrics - Articles'!F791,"*GCO – Platform Solutions*")</f>
        <v>0</v>
      </c>
      <c r="K794">
        <f>COUNTIF('Metrics - Articles'!F791,"*GCO – Industry Cloud *")</f>
        <v>0</v>
      </c>
      <c r="L794">
        <f>COUNTIF('Metrics - Articles'!F791,"*GCO – Customer Engagement &amp; Commerce (CRM &amp; hybris) *")</f>
        <v>0</v>
      </c>
      <c r="M794">
        <f>COUNTIF('Metrics - Articles'!F791,"*GCO – HR (SuccessFactors)*")</f>
        <v>0</v>
      </c>
      <c r="N794">
        <f>COUNTIF('Metrics - Articles'!F791,"*GCO – Services Sales*")</f>
        <v>0</v>
      </c>
      <c r="O794">
        <f>COUNTIF('Metrics - Articles'!F791,"*GCO – Other*")</f>
        <v>0</v>
      </c>
      <c r="P794">
        <f>COUNTIF('Metrics - Articles'!F791,"*Corporate*")</f>
        <v>0</v>
      </c>
      <c r="R794" s="53">
        <f t="shared" si="14"/>
        <v>0</v>
      </c>
    </row>
    <row r="795" spans="2:18" hidden="1" x14ac:dyDescent="0.25">
      <c r="B795" s="48">
        <f>+'Metrics - Articles'!C792</f>
        <v>0</v>
      </c>
      <c r="C795">
        <f>COUNTIF('Metrics - Articles'!F792,"*GPO (Partner, Ecosystem, Channels)*")</f>
        <v>0</v>
      </c>
      <c r="D795">
        <f>COUNTIF('Metrics - Articles'!F792,"*Office of the CEO*")</f>
        <v>0</v>
      </c>
      <c r="E795">
        <f>COUNTIF('Metrics - Articles'!F792,"*Services Delivery &amp; Support (go-lives and deployments) *")</f>
        <v>0</v>
      </c>
      <c r="F795">
        <f>COUNTIF('Metrics - Articles'!F792,"*Human Resources (SAP HR and employee stories)*")</f>
        <v>0</v>
      </c>
      <c r="G795">
        <f>COUNTIF('Metrics - Articles'!F792,"*P&amp;I (Research &amp; Development)*")</f>
        <v>0</v>
      </c>
      <c r="H795">
        <f>COUNTIF('Metrics - Articles'!F792,"*Business Network (Concur, Ariba, Fieldglass)*")</f>
        <v>0</v>
      </c>
      <c r="I795">
        <f>COUNTIF('Metrics - Articles'!F792,"*GCO – Regions*")</f>
        <v>0</v>
      </c>
      <c r="J795">
        <f>COUNTIF('Metrics - Articles'!F792,"*GCO – Platform Solutions*")</f>
        <v>0</v>
      </c>
      <c r="K795">
        <f>COUNTIF('Metrics - Articles'!F792,"*GCO – Industry Cloud *")</f>
        <v>0</v>
      </c>
      <c r="L795">
        <f>COUNTIF('Metrics - Articles'!F792,"*GCO – Customer Engagement &amp; Commerce (CRM &amp; hybris) *")</f>
        <v>0</v>
      </c>
      <c r="M795">
        <f>COUNTIF('Metrics - Articles'!F792,"*GCO – HR (SuccessFactors)*")</f>
        <v>0</v>
      </c>
      <c r="N795">
        <f>COUNTIF('Metrics - Articles'!F792,"*GCO – Services Sales*")</f>
        <v>0</v>
      </c>
      <c r="O795">
        <f>COUNTIF('Metrics - Articles'!F792,"*GCO – Other*")</f>
        <v>0</v>
      </c>
      <c r="P795">
        <f>COUNTIF('Metrics - Articles'!F792,"*Corporate*")</f>
        <v>0</v>
      </c>
      <c r="R795" s="53">
        <f t="shared" si="14"/>
        <v>0</v>
      </c>
    </row>
    <row r="796" spans="2:18" hidden="1" x14ac:dyDescent="0.25">
      <c r="B796" s="48">
        <f>+'Metrics - Articles'!C793</f>
        <v>0</v>
      </c>
      <c r="C796">
        <f>COUNTIF('Metrics - Articles'!F793,"*GPO (Partner, Ecosystem, Channels)*")</f>
        <v>0</v>
      </c>
      <c r="D796">
        <f>COUNTIF('Metrics - Articles'!F793,"*Office of the CEO*")</f>
        <v>0</v>
      </c>
      <c r="E796">
        <f>COUNTIF('Metrics - Articles'!F793,"*Services Delivery &amp; Support (go-lives and deployments) *")</f>
        <v>0</v>
      </c>
      <c r="F796">
        <f>COUNTIF('Metrics - Articles'!F793,"*Human Resources (SAP HR and employee stories)*")</f>
        <v>0</v>
      </c>
      <c r="G796">
        <f>COUNTIF('Metrics - Articles'!F793,"*P&amp;I (Research &amp; Development)*")</f>
        <v>0</v>
      </c>
      <c r="H796">
        <f>COUNTIF('Metrics - Articles'!F793,"*Business Network (Concur, Ariba, Fieldglass)*")</f>
        <v>0</v>
      </c>
      <c r="I796">
        <f>COUNTIF('Metrics - Articles'!F793,"*GCO – Regions*")</f>
        <v>0</v>
      </c>
      <c r="J796">
        <f>COUNTIF('Metrics - Articles'!F793,"*GCO – Platform Solutions*")</f>
        <v>0</v>
      </c>
      <c r="K796">
        <f>COUNTIF('Metrics - Articles'!F793,"*GCO – Industry Cloud *")</f>
        <v>0</v>
      </c>
      <c r="L796">
        <f>COUNTIF('Metrics - Articles'!F793,"*GCO – Customer Engagement &amp; Commerce (CRM &amp; hybris) *")</f>
        <v>0</v>
      </c>
      <c r="M796">
        <f>COUNTIF('Metrics - Articles'!F793,"*GCO – HR (SuccessFactors)*")</f>
        <v>0</v>
      </c>
      <c r="N796">
        <f>COUNTIF('Metrics - Articles'!F793,"*GCO – Services Sales*")</f>
        <v>0</v>
      </c>
      <c r="O796">
        <f>COUNTIF('Metrics - Articles'!F793,"*GCO – Other*")</f>
        <v>0</v>
      </c>
      <c r="P796">
        <f>COUNTIF('Metrics - Articles'!F793,"*Corporate*")</f>
        <v>0</v>
      </c>
      <c r="R796" s="53">
        <f t="shared" si="14"/>
        <v>0</v>
      </c>
    </row>
    <row r="797" spans="2:18" hidden="1" x14ac:dyDescent="0.25">
      <c r="B797" s="48">
        <f>+'Metrics - Articles'!C794</f>
        <v>0</v>
      </c>
      <c r="C797">
        <f>COUNTIF('Metrics - Articles'!F794,"*GPO (Partner, Ecosystem, Channels)*")</f>
        <v>0</v>
      </c>
      <c r="D797">
        <f>COUNTIF('Metrics - Articles'!F794,"*Office of the CEO*")</f>
        <v>0</v>
      </c>
      <c r="E797">
        <f>COUNTIF('Metrics - Articles'!F794,"*Services Delivery &amp; Support (go-lives and deployments) *")</f>
        <v>0</v>
      </c>
      <c r="F797">
        <f>COUNTIF('Metrics - Articles'!F794,"*Human Resources (SAP HR and employee stories)*")</f>
        <v>0</v>
      </c>
      <c r="G797">
        <f>COUNTIF('Metrics - Articles'!F794,"*P&amp;I (Research &amp; Development)*")</f>
        <v>0</v>
      </c>
      <c r="H797">
        <f>COUNTIF('Metrics - Articles'!F794,"*Business Network (Concur, Ariba, Fieldglass)*")</f>
        <v>0</v>
      </c>
      <c r="I797">
        <f>COUNTIF('Metrics - Articles'!F794,"*GCO – Regions*")</f>
        <v>0</v>
      </c>
      <c r="J797">
        <f>COUNTIF('Metrics - Articles'!F794,"*GCO – Platform Solutions*")</f>
        <v>0</v>
      </c>
      <c r="K797">
        <f>COUNTIF('Metrics - Articles'!F794,"*GCO – Industry Cloud *")</f>
        <v>0</v>
      </c>
      <c r="L797">
        <f>COUNTIF('Metrics - Articles'!F794,"*GCO – Customer Engagement &amp; Commerce (CRM &amp; hybris) *")</f>
        <v>0</v>
      </c>
      <c r="M797">
        <f>COUNTIF('Metrics - Articles'!F794,"*GCO – HR (SuccessFactors)*")</f>
        <v>0</v>
      </c>
      <c r="N797">
        <f>COUNTIF('Metrics - Articles'!F794,"*GCO – Services Sales*")</f>
        <v>0</v>
      </c>
      <c r="O797">
        <f>COUNTIF('Metrics - Articles'!F794,"*GCO – Other*")</f>
        <v>0</v>
      </c>
      <c r="P797">
        <f>COUNTIF('Metrics - Articles'!F794,"*Corporate*")</f>
        <v>0</v>
      </c>
      <c r="R797" s="53">
        <f t="shared" si="14"/>
        <v>0</v>
      </c>
    </row>
    <row r="798" spans="2:18" hidden="1" x14ac:dyDescent="0.25">
      <c r="B798" s="48">
        <f>+'Metrics - Articles'!C795</f>
        <v>0</v>
      </c>
      <c r="C798">
        <f>COUNTIF('Metrics - Articles'!F795,"*GPO (Partner, Ecosystem, Channels)*")</f>
        <v>0</v>
      </c>
      <c r="D798">
        <f>COUNTIF('Metrics - Articles'!F795,"*Office of the CEO*")</f>
        <v>0</v>
      </c>
      <c r="E798">
        <f>COUNTIF('Metrics - Articles'!F795,"*Services Delivery &amp; Support (go-lives and deployments) *")</f>
        <v>0</v>
      </c>
      <c r="F798">
        <f>COUNTIF('Metrics - Articles'!F795,"*Human Resources (SAP HR and employee stories)*")</f>
        <v>0</v>
      </c>
      <c r="G798">
        <f>COUNTIF('Metrics - Articles'!F795,"*P&amp;I (Research &amp; Development)*")</f>
        <v>0</v>
      </c>
      <c r="H798">
        <f>COUNTIF('Metrics - Articles'!F795,"*Business Network (Concur, Ariba, Fieldglass)*")</f>
        <v>0</v>
      </c>
      <c r="I798">
        <f>COUNTIF('Metrics - Articles'!F795,"*GCO – Regions*")</f>
        <v>0</v>
      </c>
      <c r="J798">
        <f>COUNTIF('Metrics - Articles'!F795,"*GCO – Platform Solutions*")</f>
        <v>0</v>
      </c>
      <c r="K798">
        <f>COUNTIF('Metrics - Articles'!F795,"*GCO – Industry Cloud *")</f>
        <v>0</v>
      </c>
      <c r="L798">
        <f>COUNTIF('Metrics - Articles'!F795,"*GCO – Customer Engagement &amp; Commerce (CRM &amp; hybris) *")</f>
        <v>0</v>
      </c>
      <c r="M798">
        <f>COUNTIF('Metrics - Articles'!F795,"*GCO – HR (SuccessFactors)*")</f>
        <v>0</v>
      </c>
      <c r="N798">
        <f>COUNTIF('Metrics - Articles'!F795,"*GCO – Services Sales*")</f>
        <v>0</v>
      </c>
      <c r="O798">
        <f>COUNTIF('Metrics - Articles'!F795,"*GCO – Other*")</f>
        <v>0</v>
      </c>
      <c r="P798">
        <f>COUNTIF('Metrics - Articles'!F795,"*Corporate*")</f>
        <v>0</v>
      </c>
      <c r="R798" s="53">
        <f t="shared" si="14"/>
        <v>0</v>
      </c>
    </row>
    <row r="799" spans="2:18" hidden="1" x14ac:dyDescent="0.25">
      <c r="B799" s="48">
        <f>+'Metrics - Articles'!C796</f>
        <v>0</v>
      </c>
      <c r="C799">
        <f>COUNTIF('Metrics - Articles'!F796,"*GPO (Partner, Ecosystem, Channels)*")</f>
        <v>0</v>
      </c>
      <c r="D799">
        <f>COUNTIF('Metrics - Articles'!F796,"*Office of the CEO*")</f>
        <v>0</v>
      </c>
      <c r="E799">
        <f>COUNTIF('Metrics - Articles'!F796,"*Services Delivery &amp; Support (go-lives and deployments) *")</f>
        <v>0</v>
      </c>
      <c r="F799">
        <f>COUNTIF('Metrics - Articles'!F796,"*Human Resources (SAP HR and employee stories)*")</f>
        <v>0</v>
      </c>
      <c r="G799">
        <f>COUNTIF('Metrics - Articles'!F796,"*P&amp;I (Research &amp; Development)*")</f>
        <v>0</v>
      </c>
      <c r="H799">
        <f>COUNTIF('Metrics - Articles'!F796,"*Business Network (Concur, Ariba, Fieldglass)*")</f>
        <v>0</v>
      </c>
      <c r="I799">
        <f>COUNTIF('Metrics - Articles'!F796,"*GCO – Regions*")</f>
        <v>0</v>
      </c>
      <c r="J799">
        <f>COUNTIF('Metrics - Articles'!F796,"*GCO – Platform Solutions*")</f>
        <v>0</v>
      </c>
      <c r="K799">
        <f>COUNTIF('Metrics - Articles'!F796,"*GCO – Industry Cloud *")</f>
        <v>0</v>
      </c>
      <c r="L799">
        <f>COUNTIF('Metrics - Articles'!F796,"*GCO – Customer Engagement &amp; Commerce (CRM &amp; hybris) *")</f>
        <v>0</v>
      </c>
      <c r="M799">
        <f>COUNTIF('Metrics - Articles'!F796,"*GCO – HR (SuccessFactors)*")</f>
        <v>0</v>
      </c>
      <c r="N799">
        <f>COUNTIF('Metrics - Articles'!F796,"*GCO – Services Sales*")</f>
        <v>0</v>
      </c>
      <c r="O799">
        <f>COUNTIF('Metrics - Articles'!F796,"*GCO – Other*")</f>
        <v>0</v>
      </c>
      <c r="P799">
        <f>COUNTIF('Metrics - Articles'!F796,"*Corporate*")</f>
        <v>0</v>
      </c>
      <c r="R799" s="53">
        <f t="shared" si="14"/>
        <v>0</v>
      </c>
    </row>
    <row r="800" spans="2:18" hidden="1" x14ac:dyDescent="0.25">
      <c r="B800" s="48">
        <f>+'Metrics - Articles'!C797</f>
        <v>0</v>
      </c>
      <c r="C800">
        <f>COUNTIF('Metrics - Articles'!F797,"*GPO (Partner, Ecosystem, Channels)*")</f>
        <v>0</v>
      </c>
      <c r="D800">
        <f>COUNTIF('Metrics - Articles'!F797,"*Office of the CEO*")</f>
        <v>0</v>
      </c>
      <c r="E800">
        <f>COUNTIF('Metrics - Articles'!F797,"*Services Delivery &amp; Support (go-lives and deployments) *")</f>
        <v>0</v>
      </c>
      <c r="F800">
        <f>COUNTIF('Metrics - Articles'!F797,"*Human Resources (SAP HR and employee stories)*")</f>
        <v>0</v>
      </c>
      <c r="G800">
        <f>COUNTIF('Metrics - Articles'!F797,"*P&amp;I (Research &amp; Development)*")</f>
        <v>0</v>
      </c>
      <c r="H800">
        <f>COUNTIF('Metrics - Articles'!F797,"*Business Network (Concur, Ariba, Fieldglass)*")</f>
        <v>0</v>
      </c>
      <c r="I800">
        <f>COUNTIF('Metrics - Articles'!F797,"*GCO – Regions*")</f>
        <v>0</v>
      </c>
      <c r="J800">
        <f>COUNTIF('Metrics - Articles'!F797,"*GCO – Platform Solutions*")</f>
        <v>0</v>
      </c>
      <c r="K800">
        <f>COUNTIF('Metrics - Articles'!F797,"*GCO – Industry Cloud *")</f>
        <v>0</v>
      </c>
      <c r="L800">
        <f>COUNTIF('Metrics - Articles'!F797,"*GCO – Customer Engagement &amp; Commerce (CRM &amp; hybris) *")</f>
        <v>0</v>
      </c>
      <c r="M800">
        <f>COUNTIF('Metrics - Articles'!F797,"*GCO – HR (SuccessFactors)*")</f>
        <v>0</v>
      </c>
      <c r="N800">
        <f>COUNTIF('Metrics - Articles'!F797,"*GCO – Services Sales*")</f>
        <v>0</v>
      </c>
      <c r="O800">
        <f>COUNTIF('Metrics - Articles'!F797,"*GCO – Other*")</f>
        <v>0</v>
      </c>
      <c r="P800">
        <f>COUNTIF('Metrics - Articles'!F797,"*Corporate*")</f>
        <v>0</v>
      </c>
      <c r="R800" s="53">
        <f t="shared" si="14"/>
        <v>0</v>
      </c>
    </row>
    <row r="801" spans="2:18" hidden="1" x14ac:dyDescent="0.25">
      <c r="B801" s="48">
        <f>+'Metrics - Articles'!C798</f>
        <v>0</v>
      </c>
      <c r="C801">
        <f>COUNTIF('Metrics - Articles'!F798,"*GPO (Partner, Ecosystem, Channels)*")</f>
        <v>0</v>
      </c>
      <c r="D801">
        <f>COUNTIF('Metrics - Articles'!F798,"*Office of the CEO*")</f>
        <v>0</v>
      </c>
      <c r="E801">
        <f>COUNTIF('Metrics - Articles'!F798,"*Services Delivery &amp; Support (go-lives and deployments) *")</f>
        <v>0</v>
      </c>
      <c r="F801">
        <f>COUNTIF('Metrics - Articles'!F798,"*Human Resources (SAP HR and employee stories)*")</f>
        <v>0</v>
      </c>
      <c r="G801">
        <f>COUNTIF('Metrics - Articles'!F798,"*P&amp;I (Research &amp; Development)*")</f>
        <v>0</v>
      </c>
      <c r="H801">
        <f>COUNTIF('Metrics - Articles'!F798,"*Business Network (Concur, Ariba, Fieldglass)*")</f>
        <v>0</v>
      </c>
      <c r="I801">
        <f>COUNTIF('Metrics - Articles'!F798,"*GCO – Regions*")</f>
        <v>0</v>
      </c>
      <c r="J801">
        <f>COUNTIF('Metrics - Articles'!F798,"*GCO – Platform Solutions*")</f>
        <v>0</v>
      </c>
      <c r="K801">
        <f>COUNTIF('Metrics - Articles'!F798,"*GCO – Industry Cloud *")</f>
        <v>0</v>
      </c>
      <c r="L801">
        <f>COUNTIF('Metrics - Articles'!F798,"*GCO – Customer Engagement &amp; Commerce (CRM &amp; hybris) *")</f>
        <v>0</v>
      </c>
      <c r="M801">
        <f>COUNTIF('Metrics - Articles'!F798,"*GCO – HR (SuccessFactors)*")</f>
        <v>0</v>
      </c>
      <c r="N801">
        <f>COUNTIF('Metrics - Articles'!F798,"*GCO – Services Sales*")</f>
        <v>0</v>
      </c>
      <c r="O801">
        <f>COUNTIF('Metrics - Articles'!F798,"*GCO – Other*")</f>
        <v>0</v>
      </c>
      <c r="P801">
        <f>COUNTIF('Metrics - Articles'!F798,"*Corporate*")</f>
        <v>0</v>
      </c>
      <c r="R801" s="53">
        <f t="shared" si="14"/>
        <v>0</v>
      </c>
    </row>
    <row r="802" spans="2:18" hidden="1" x14ac:dyDescent="0.25">
      <c r="B802" s="48">
        <f>+'Metrics - Articles'!C799</f>
        <v>0</v>
      </c>
      <c r="C802">
        <f>COUNTIF('Metrics - Articles'!F799,"*GPO (Partner, Ecosystem, Channels)*")</f>
        <v>0</v>
      </c>
      <c r="D802">
        <f>COUNTIF('Metrics - Articles'!F799,"*Office of the CEO*")</f>
        <v>0</v>
      </c>
      <c r="E802">
        <f>COUNTIF('Metrics - Articles'!F799,"*Services Delivery &amp; Support (go-lives and deployments) *")</f>
        <v>0</v>
      </c>
      <c r="F802">
        <f>COUNTIF('Metrics - Articles'!F799,"*Human Resources (SAP HR and employee stories)*")</f>
        <v>0</v>
      </c>
      <c r="G802">
        <f>COUNTIF('Metrics - Articles'!F799,"*P&amp;I (Research &amp; Development)*")</f>
        <v>0</v>
      </c>
      <c r="H802">
        <f>COUNTIF('Metrics - Articles'!F799,"*Business Network (Concur, Ariba, Fieldglass)*")</f>
        <v>0</v>
      </c>
      <c r="I802">
        <f>COUNTIF('Metrics - Articles'!F799,"*GCO – Regions*")</f>
        <v>0</v>
      </c>
      <c r="J802">
        <f>COUNTIF('Metrics - Articles'!F799,"*GCO – Platform Solutions*")</f>
        <v>0</v>
      </c>
      <c r="K802">
        <f>COUNTIF('Metrics - Articles'!F799,"*GCO – Industry Cloud *")</f>
        <v>0</v>
      </c>
      <c r="L802">
        <f>COUNTIF('Metrics - Articles'!F799,"*GCO – Customer Engagement &amp; Commerce (CRM &amp; hybris) *")</f>
        <v>0</v>
      </c>
      <c r="M802">
        <f>COUNTIF('Metrics - Articles'!F799,"*GCO – HR (SuccessFactors)*")</f>
        <v>0</v>
      </c>
      <c r="N802">
        <f>COUNTIF('Metrics - Articles'!F799,"*GCO – Services Sales*")</f>
        <v>0</v>
      </c>
      <c r="O802">
        <f>COUNTIF('Metrics - Articles'!F799,"*GCO – Other*")</f>
        <v>0</v>
      </c>
      <c r="P802">
        <f>COUNTIF('Metrics - Articles'!F799,"*Corporate*")</f>
        <v>0</v>
      </c>
      <c r="R802" s="53">
        <f t="shared" si="14"/>
        <v>0</v>
      </c>
    </row>
    <row r="803" spans="2:18" hidden="1" x14ac:dyDescent="0.25">
      <c r="B803" s="48">
        <f>+'Metrics - Articles'!C800</f>
        <v>0</v>
      </c>
      <c r="C803">
        <f>COUNTIF('Metrics - Articles'!F800,"*GPO (Partner, Ecosystem, Channels)*")</f>
        <v>0</v>
      </c>
      <c r="D803">
        <f>COUNTIF('Metrics - Articles'!F800,"*Office of the CEO*")</f>
        <v>0</v>
      </c>
      <c r="E803">
        <f>COUNTIF('Metrics - Articles'!F800,"*Services Delivery &amp; Support (go-lives and deployments) *")</f>
        <v>0</v>
      </c>
      <c r="F803">
        <f>COUNTIF('Metrics - Articles'!F800,"*Human Resources (SAP HR and employee stories)*")</f>
        <v>0</v>
      </c>
      <c r="G803">
        <f>COUNTIF('Metrics - Articles'!F800,"*P&amp;I (Research &amp; Development)*")</f>
        <v>0</v>
      </c>
      <c r="H803">
        <f>COUNTIF('Metrics - Articles'!F800,"*Business Network (Concur, Ariba, Fieldglass)*")</f>
        <v>0</v>
      </c>
      <c r="I803">
        <f>COUNTIF('Metrics - Articles'!F800,"*GCO – Regions*")</f>
        <v>0</v>
      </c>
      <c r="J803">
        <f>COUNTIF('Metrics - Articles'!F800,"*GCO – Platform Solutions*")</f>
        <v>0</v>
      </c>
      <c r="K803">
        <f>COUNTIF('Metrics - Articles'!F800,"*GCO – Industry Cloud *")</f>
        <v>0</v>
      </c>
      <c r="L803">
        <f>COUNTIF('Metrics - Articles'!F800,"*GCO – Customer Engagement &amp; Commerce (CRM &amp; hybris) *")</f>
        <v>0</v>
      </c>
      <c r="M803">
        <f>COUNTIF('Metrics - Articles'!F800,"*GCO – HR (SuccessFactors)*")</f>
        <v>0</v>
      </c>
      <c r="N803">
        <f>COUNTIF('Metrics - Articles'!F800,"*GCO – Services Sales*")</f>
        <v>0</v>
      </c>
      <c r="O803">
        <f>COUNTIF('Metrics - Articles'!F800,"*GCO – Other*")</f>
        <v>0</v>
      </c>
      <c r="P803">
        <f>COUNTIF('Metrics - Articles'!F800,"*Corporate*")</f>
        <v>0</v>
      </c>
      <c r="R803" s="53">
        <f t="shared" si="14"/>
        <v>0</v>
      </c>
    </row>
    <row r="804" spans="2:18" hidden="1" x14ac:dyDescent="0.25">
      <c r="B804" s="48">
        <f>+'Metrics - Articles'!C801</f>
        <v>0</v>
      </c>
      <c r="C804">
        <f>COUNTIF('Metrics - Articles'!F801,"*GPO (Partner, Ecosystem, Channels)*")</f>
        <v>0</v>
      </c>
      <c r="D804">
        <f>COUNTIF('Metrics - Articles'!F801,"*Office of the CEO*")</f>
        <v>0</v>
      </c>
      <c r="E804">
        <f>COUNTIF('Metrics - Articles'!F801,"*Services Delivery &amp; Support (go-lives and deployments) *")</f>
        <v>0</v>
      </c>
      <c r="F804">
        <f>COUNTIF('Metrics - Articles'!F801,"*Human Resources (SAP HR and employee stories)*")</f>
        <v>0</v>
      </c>
      <c r="G804">
        <f>COUNTIF('Metrics - Articles'!F801,"*P&amp;I (Research &amp; Development)*")</f>
        <v>0</v>
      </c>
      <c r="H804">
        <f>COUNTIF('Metrics - Articles'!F801,"*Business Network (Concur, Ariba, Fieldglass)*")</f>
        <v>0</v>
      </c>
      <c r="I804">
        <f>COUNTIF('Metrics - Articles'!F801,"*GCO – Regions*")</f>
        <v>0</v>
      </c>
      <c r="J804">
        <f>COUNTIF('Metrics - Articles'!F801,"*GCO – Platform Solutions*")</f>
        <v>0</v>
      </c>
      <c r="K804">
        <f>COUNTIF('Metrics - Articles'!F801,"*GCO – Industry Cloud *")</f>
        <v>0</v>
      </c>
      <c r="L804">
        <f>COUNTIF('Metrics - Articles'!F801,"*GCO – Customer Engagement &amp; Commerce (CRM &amp; hybris) *")</f>
        <v>0</v>
      </c>
      <c r="M804">
        <f>COUNTIF('Metrics - Articles'!F801,"*GCO – HR (SuccessFactors)*")</f>
        <v>0</v>
      </c>
      <c r="N804">
        <f>COUNTIF('Metrics - Articles'!F801,"*GCO – Services Sales*")</f>
        <v>0</v>
      </c>
      <c r="O804">
        <f>COUNTIF('Metrics - Articles'!F801,"*GCO – Other*")</f>
        <v>0</v>
      </c>
      <c r="P804">
        <f>COUNTIF('Metrics - Articles'!F801,"*Corporate*")</f>
        <v>0</v>
      </c>
      <c r="R804" s="53">
        <f t="shared" si="14"/>
        <v>0</v>
      </c>
    </row>
    <row r="805" spans="2:18" hidden="1" x14ac:dyDescent="0.25">
      <c r="B805" s="48">
        <f>+'Metrics - Articles'!C802</f>
        <v>0</v>
      </c>
      <c r="C805">
        <f>COUNTIF('Metrics - Articles'!F802,"*GPO (Partner, Ecosystem, Channels)*")</f>
        <v>0</v>
      </c>
      <c r="D805">
        <f>COUNTIF('Metrics - Articles'!F802,"*Office of the CEO*")</f>
        <v>0</v>
      </c>
      <c r="E805">
        <f>COUNTIF('Metrics - Articles'!F802,"*Services Delivery &amp; Support (go-lives and deployments) *")</f>
        <v>0</v>
      </c>
      <c r="F805">
        <f>COUNTIF('Metrics - Articles'!F802,"*Human Resources (SAP HR and employee stories)*")</f>
        <v>0</v>
      </c>
      <c r="G805">
        <f>COUNTIF('Metrics - Articles'!F802,"*P&amp;I (Research &amp; Development)*")</f>
        <v>0</v>
      </c>
      <c r="H805">
        <f>COUNTIF('Metrics - Articles'!F802,"*Business Network (Concur, Ariba, Fieldglass)*")</f>
        <v>0</v>
      </c>
      <c r="I805">
        <f>COUNTIF('Metrics - Articles'!F802,"*GCO – Regions*")</f>
        <v>0</v>
      </c>
      <c r="J805">
        <f>COUNTIF('Metrics - Articles'!F802,"*GCO – Platform Solutions*")</f>
        <v>0</v>
      </c>
      <c r="K805">
        <f>COUNTIF('Metrics - Articles'!F802,"*GCO – Industry Cloud *")</f>
        <v>0</v>
      </c>
      <c r="L805">
        <f>COUNTIF('Metrics - Articles'!F802,"*GCO – Customer Engagement &amp; Commerce (CRM &amp; hybris) *")</f>
        <v>0</v>
      </c>
      <c r="M805">
        <f>COUNTIF('Metrics - Articles'!F802,"*GCO – HR (SuccessFactors)*")</f>
        <v>0</v>
      </c>
      <c r="N805">
        <f>COUNTIF('Metrics - Articles'!F802,"*GCO – Services Sales*")</f>
        <v>0</v>
      </c>
      <c r="O805">
        <f>COUNTIF('Metrics - Articles'!F802,"*GCO – Other*")</f>
        <v>0</v>
      </c>
      <c r="P805">
        <f>COUNTIF('Metrics - Articles'!F802,"*Corporate*")</f>
        <v>0</v>
      </c>
      <c r="R805" s="53">
        <f t="shared" si="14"/>
        <v>0</v>
      </c>
    </row>
    <row r="806" spans="2:18" hidden="1" x14ac:dyDescent="0.25">
      <c r="B806" s="48">
        <f>+'Metrics - Articles'!C803</f>
        <v>0</v>
      </c>
      <c r="C806">
        <f>COUNTIF('Metrics - Articles'!F803,"*GPO (Partner, Ecosystem, Channels)*")</f>
        <v>0</v>
      </c>
      <c r="D806">
        <f>COUNTIF('Metrics - Articles'!F803,"*Office of the CEO*")</f>
        <v>0</v>
      </c>
      <c r="E806">
        <f>COUNTIF('Metrics - Articles'!F803,"*Services Delivery &amp; Support (go-lives and deployments) *")</f>
        <v>0</v>
      </c>
      <c r="F806">
        <f>COUNTIF('Metrics - Articles'!F803,"*Human Resources (SAP HR and employee stories)*")</f>
        <v>0</v>
      </c>
      <c r="G806">
        <f>COUNTIF('Metrics - Articles'!F803,"*P&amp;I (Research &amp; Development)*")</f>
        <v>0</v>
      </c>
      <c r="H806">
        <f>COUNTIF('Metrics - Articles'!F803,"*Business Network (Concur, Ariba, Fieldglass)*")</f>
        <v>0</v>
      </c>
      <c r="I806">
        <f>COUNTIF('Metrics - Articles'!F803,"*GCO – Regions*")</f>
        <v>0</v>
      </c>
      <c r="J806">
        <f>COUNTIF('Metrics - Articles'!F803,"*GCO – Platform Solutions*")</f>
        <v>0</v>
      </c>
      <c r="K806">
        <f>COUNTIF('Metrics - Articles'!F803,"*GCO – Industry Cloud *")</f>
        <v>0</v>
      </c>
      <c r="L806">
        <f>COUNTIF('Metrics - Articles'!F803,"*GCO – Customer Engagement &amp; Commerce (CRM &amp; hybris) *")</f>
        <v>0</v>
      </c>
      <c r="M806">
        <f>COUNTIF('Metrics - Articles'!F803,"*GCO – HR (SuccessFactors)*")</f>
        <v>0</v>
      </c>
      <c r="N806">
        <f>COUNTIF('Metrics - Articles'!F803,"*GCO – Services Sales*")</f>
        <v>0</v>
      </c>
      <c r="O806">
        <f>COUNTIF('Metrics - Articles'!F803,"*GCO – Other*")</f>
        <v>0</v>
      </c>
      <c r="P806">
        <f>COUNTIF('Metrics - Articles'!F803,"*Corporate*")</f>
        <v>0</v>
      </c>
      <c r="R806" s="53">
        <f t="shared" si="14"/>
        <v>0</v>
      </c>
    </row>
    <row r="807" spans="2:18" hidden="1" x14ac:dyDescent="0.25">
      <c r="B807" s="48">
        <f>+'Metrics - Articles'!C804</f>
        <v>0</v>
      </c>
      <c r="C807">
        <f>COUNTIF('Metrics - Articles'!F804,"*GPO (Partner, Ecosystem, Channels)*")</f>
        <v>0</v>
      </c>
      <c r="D807">
        <f>COUNTIF('Metrics - Articles'!F804,"*Office of the CEO*")</f>
        <v>0</v>
      </c>
      <c r="E807">
        <f>COUNTIF('Metrics - Articles'!F804,"*Services Delivery &amp; Support (go-lives and deployments) *")</f>
        <v>0</v>
      </c>
      <c r="F807">
        <f>COUNTIF('Metrics - Articles'!F804,"*Human Resources (SAP HR and employee stories)*")</f>
        <v>0</v>
      </c>
      <c r="G807">
        <f>COUNTIF('Metrics - Articles'!F804,"*P&amp;I (Research &amp; Development)*")</f>
        <v>0</v>
      </c>
      <c r="H807">
        <f>COUNTIF('Metrics - Articles'!F804,"*Business Network (Concur, Ariba, Fieldglass)*")</f>
        <v>0</v>
      </c>
      <c r="I807">
        <f>COUNTIF('Metrics - Articles'!F804,"*GCO – Regions*")</f>
        <v>0</v>
      </c>
      <c r="J807">
        <f>COUNTIF('Metrics - Articles'!F804,"*GCO – Platform Solutions*")</f>
        <v>0</v>
      </c>
      <c r="K807">
        <f>COUNTIF('Metrics - Articles'!F804,"*GCO – Industry Cloud *")</f>
        <v>0</v>
      </c>
      <c r="L807">
        <f>COUNTIF('Metrics - Articles'!F804,"*GCO – Customer Engagement &amp; Commerce (CRM &amp; hybris) *")</f>
        <v>0</v>
      </c>
      <c r="M807">
        <f>COUNTIF('Metrics - Articles'!F804,"*GCO – HR (SuccessFactors)*")</f>
        <v>0</v>
      </c>
      <c r="N807">
        <f>COUNTIF('Metrics - Articles'!F804,"*GCO – Services Sales*")</f>
        <v>0</v>
      </c>
      <c r="O807">
        <f>COUNTIF('Metrics - Articles'!F804,"*GCO – Other*")</f>
        <v>0</v>
      </c>
      <c r="P807">
        <f>COUNTIF('Metrics - Articles'!F804,"*Corporate*")</f>
        <v>0</v>
      </c>
      <c r="R807" s="53">
        <f t="shared" si="14"/>
        <v>0</v>
      </c>
    </row>
    <row r="808" spans="2:18" hidden="1" x14ac:dyDescent="0.25">
      <c r="B808" s="48">
        <f>+'Metrics - Articles'!C805</f>
        <v>0</v>
      </c>
      <c r="C808">
        <f>COUNTIF('Metrics - Articles'!F805,"*GPO (Partner, Ecosystem, Channels)*")</f>
        <v>0</v>
      </c>
      <c r="D808">
        <f>COUNTIF('Metrics - Articles'!F805,"*Office of the CEO*")</f>
        <v>0</v>
      </c>
      <c r="E808">
        <f>COUNTIF('Metrics - Articles'!F805,"*Services Delivery &amp; Support (go-lives and deployments) *")</f>
        <v>0</v>
      </c>
      <c r="F808">
        <f>COUNTIF('Metrics - Articles'!F805,"*Human Resources (SAP HR and employee stories)*")</f>
        <v>0</v>
      </c>
      <c r="G808">
        <f>COUNTIF('Metrics - Articles'!F805,"*P&amp;I (Research &amp; Development)*")</f>
        <v>0</v>
      </c>
      <c r="H808">
        <f>COUNTIF('Metrics - Articles'!F805,"*Business Network (Concur, Ariba, Fieldglass)*")</f>
        <v>0</v>
      </c>
      <c r="I808">
        <f>COUNTIF('Metrics - Articles'!F805,"*GCO – Regions*")</f>
        <v>0</v>
      </c>
      <c r="J808">
        <f>COUNTIF('Metrics - Articles'!F805,"*GCO – Platform Solutions*")</f>
        <v>0</v>
      </c>
      <c r="K808">
        <f>COUNTIF('Metrics - Articles'!F805,"*GCO – Industry Cloud *")</f>
        <v>0</v>
      </c>
      <c r="L808">
        <f>COUNTIF('Metrics - Articles'!F805,"*GCO – Customer Engagement &amp; Commerce (CRM &amp; hybris) *")</f>
        <v>0</v>
      </c>
      <c r="M808">
        <f>COUNTIF('Metrics - Articles'!F805,"*GCO – HR (SuccessFactors)*")</f>
        <v>0</v>
      </c>
      <c r="N808">
        <f>COUNTIF('Metrics - Articles'!F805,"*GCO – Services Sales*")</f>
        <v>0</v>
      </c>
      <c r="O808">
        <f>COUNTIF('Metrics - Articles'!F805,"*GCO – Other*")</f>
        <v>0</v>
      </c>
      <c r="P808">
        <f>COUNTIF('Metrics - Articles'!F805,"*Corporate*")</f>
        <v>0</v>
      </c>
      <c r="R808" s="53">
        <f t="shared" si="14"/>
        <v>0</v>
      </c>
    </row>
    <row r="809" spans="2:18" hidden="1" x14ac:dyDescent="0.25">
      <c r="B809" s="48">
        <f>+'Metrics - Articles'!C806</f>
        <v>0</v>
      </c>
      <c r="C809">
        <f>COUNTIF('Metrics - Articles'!F806,"*GPO (Partner, Ecosystem, Channels)*")</f>
        <v>0</v>
      </c>
      <c r="D809">
        <f>COUNTIF('Metrics - Articles'!F806,"*Office of the CEO*")</f>
        <v>0</v>
      </c>
      <c r="E809">
        <f>COUNTIF('Metrics - Articles'!F806,"*Services Delivery &amp; Support (go-lives and deployments) *")</f>
        <v>0</v>
      </c>
      <c r="F809">
        <f>COUNTIF('Metrics - Articles'!F806,"*Human Resources (SAP HR and employee stories)*")</f>
        <v>0</v>
      </c>
      <c r="G809">
        <f>COUNTIF('Metrics - Articles'!F806,"*P&amp;I (Research &amp; Development)*")</f>
        <v>0</v>
      </c>
      <c r="H809">
        <f>COUNTIF('Metrics - Articles'!F806,"*Business Network (Concur, Ariba, Fieldglass)*")</f>
        <v>0</v>
      </c>
      <c r="I809">
        <f>COUNTIF('Metrics - Articles'!F806,"*GCO – Regions*")</f>
        <v>0</v>
      </c>
      <c r="J809">
        <f>COUNTIF('Metrics - Articles'!F806,"*GCO – Platform Solutions*")</f>
        <v>0</v>
      </c>
      <c r="K809">
        <f>COUNTIF('Metrics - Articles'!F806,"*GCO – Industry Cloud *")</f>
        <v>0</v>
      </c>
      <c r="L809">
        <f>COUNTIF('Metrics - Articles'!F806,"*GCO – Customer Engagement &amp; Commerce (CRM &amp; hybris) *")</f>
        <v>0</v>
      </c>
      <c r="M809">
        <f>COUNTIF('Metrics - Articles'!F806,"*GCO – HR (SuccessFactors)*")</f>
        <v>0</v>
      </c>
      <c r="N809">
        <f>COUNTIF('Metrics - Articles'!F806,"*GCO – Services Sales*")</f>
        <v>0</v>
      </c>
      <c r="O809">
        <f>COUNTIF('Metrics - Articles'!F806,"*GCO – Other*")</f>
        <v>0</v>
      </c>
      <c r="P809">
        <f>COUNTIF('Metrics - Articles'!F806,"*Corporate*")</f>
        <v>0</v>
      </c>
      <c r="R809" s="53">
        <f t="shared" si="14"/>
        <v>0</v>
      </c>
    </row>
    <row r="810" spans="2:18" hidden="1" x14ac:dyDescent="0.25">
      <c r="B810" s="48">
        <f>+'Metrics - Articles'!C807</f>
        <v>0</v>
      </c>
      <c r="C810">
        <f>COUNTIF('Metrics - Articles'!F807,"*GPO (Partner, Ecosystem, Channels)*")</f>
        <v>0</v>
      </c>
      <c r="D810">
        <f>COUNTIF('Metrics - Articles'!F807,"*Office of the CEO*")</f>
        <v>0</v>
      </c>
      <c r="E810">
        <f>COUNTIF('Metrics - Articles'!F807,"*Services Delivery &amp; Support (go-lives and deployments) *")</f>
        <v>0</v>
      </c>
      <c r="F810">
        <f>COUNTIF('Metrics - Articles'!F807,"*Human Resources (SAP HR and employee stories)*")</f>
        <v>0</v>
      </c>
      <c r="G810">
        <f>COUNTIF('Metrics - Articles'!F807,"*P&amp;I (Research &amp; Development)*")</f>
        <v>0</v>
      </c>
      <c r="H810">
        <f>COUNTIF('Metrics - Articles'!F807,"*Business Network (Concur, Ariba, Fieldglass)*")</f>
        <v>0</v>
      </c>
      <c r="I810">
        <f>COUNTIF('Metrics - Articles'!F807,"*GCO – Regions*")</f>
        <v>0</v>
      </c>
      <c r="J810">
        <f>COUNTIF('Metrics - Articles'!F807,"*GCO – Platform Solutions*")</f>
        <v>0</v>
      </c>
      <c r="K810">
        <f>COUNTIF('Metrics - Articles'!F807,"*GCO – Industry Cloud *")</f>
        <v>0</v>
      </c>
      <c r="L810">
        <f>COUNTIF('Metrics - Articles'!F807,"*GCO – Customer Engagement &amp; Commerce (CRM &amp; hybris) *")</f>
        <v>0</v>
      </c>
      <c r="M810">
        <f>COUNTIF('Metrics - Articles'!F807,"*GCO – HR (SuccessFactors)*")</f>
        <v>0</v>
      </c>
      <c r="N810">
        <f>COUNTIF('Metrics - Articles'!F807,"*GCO – Services Sales*")</f>
        <v>0</v>
      </c>
      <c r="O810">
        <f>COUNTIF('Metrics - Articles'!F807,"*GCO – Other*")</f>
        <v>0</v>
      </c>
      <c r="P810">
        <f>COUNTIF('Metrics - Articles'!F807,"*Corporate*")</f>
        <v>0</v>
      </c>
      <c r="R810" s="53">
        <f t="shared" si="14"/>
        <v>0</v>
      </c>
    </row>
    <row r="811" spans="2:18" hidden="1" x14ac:dyDescent="0.25">
      <c r="B811" s="48">
        <f>+'Metrics - Articles'!C808</f>
        <v>0</v>
      </c>
      <c r="C811">
        <f>COUNTIF('Metrics - Articles'!F808,"*GPO (Partner, Ecosystem, Channels)*")</f>
        <v>0</v>
      </c>
      <c r="D811">
        <f>COUNTIF('Metrics - Articles'!F808,"*Office of the CEO*")</f>
        <v>0</v>
      </c>
      <c r="E811">
        <f>COUNTIF('Metrics - Articles'!F808,"*Services Delivery &amp; Support (go-lives and deployments) *")</f>
        <v>0</v>
      </c>
      <c r="F811">
        <f>COUNTIF('Metrics - Articles'!F808,"*Human Resources (SAP HR and employee stories)*")</f>
        <v>0</v>
      </c>
      <c r="G811">
        <f>COUNTIF('Metrics - Articles'!F808,"*P&amp;I (Research &amp; Development)*")</f>
        <v>0</v>
      </c>
      <c r="H811">
        <f>COUNTIF('Metrics - Articles'!F808,"*Business Network (Concur, Ariba, Fieldglass)*")</f>
        <v>0</v>
      </c>
      <c r="I811">
        <f>COUNTIF('Metrics - Articles'!F808,"*GCO – Regions*")</f>
        <v>0</v>
      </c>
      <c r="J811">
        <f>COUNTIF('Metrics - Articles'!F808,"*GCO – Platform Solutions*")</f>
        <v>0</v>
      </c>
      <c r="K811">
        <f>COUNTIF('Metrics - Articles'!F808,"*GCO – Industry Cloud *")</f>
        <v>0</v>
      </c>
      <c r="L811">
        <f>COUNTIF('Metrics - Articles'!F808,"*GCO – Customer Engagement &amp; Commerce (CRM &amp; hybris) *")</f>
        <v>0</v>
      </c>
      <c r="M811">
        <f>COUNTIF('Metrics - Articles'!F808,"*GCO – HR (SuccessFactors)*")</f>
        <v>0</v>
      </c>
      <c r="N811">
        <f>COUNTIF('Metrics - Articles'!F808,"*GCO – Services Sales*")</f>
        <v>0</v>
      </c>
      <c r="O811">
        <f>COUNTIF('Metrics - Articles'!F808,"*GCO – Other*")</f>
        <v>0</v>
      </c>
      <c r="P811">
        <f>COUNTIF('Metrics - Articles'!F808,"*Corporate*")</f>
        <v>0</v>
      </c>
      <c r="R811" s="53">
        <f t="shared" si="14"/>
        <v>0</v>
      </c>
    </row>
    <row r="812" spans="2:18" hidden="1" x14ac:dyDescent="0.25">
      <c r="B812" s="48">
        <f>+'Metrics - Articles'!C809</f>
        <v>0</v>
      </c>
      <c r="C812">
        <f>COUNTIF('Metrics - Articles'!F809,"*GPO (Partner, Ecosystem, Channels)*")</f>
        <v>0</v>
      </c>
      <c r="D812">
        <f>COUNTIF('Metrics - Articles'!F809,"*Office of the CEO*")</f>
        <v>0</v>
      </c>
      <c r="E812">
        <f>COUNTIF('Metrics - Articles'!F809,"*Services Delivery &amp; Support (go-lives and deployments) *")</f>
        <v>0</v>
      </c>
      <c r="F812">
        <f>COUNTIF('Metrics - Articles'!F809,"*Human Resources (SAP HR and employee stories)*")</f>
        <v>0</v>
      </c>
      <c r="G812">
        <f>COUNTIF('Metrics - Articles'!F809,"*P&amp;I (Research &amp; Development)*")</f>
        <v>0</v>
      </c>
      <c r="H812">
        <f>COUNTIF('Metrics - Articles'!F809,"*Business Network (Concur, Ariba, Fieldglass)*")</f>
        <v>0</v>
      </c>
      <c r="I812">
        <f>COUNTIF('Metrics - Articles'!F809,"*GCO – Regions*")</f>
        <v>0</v>
      </c>
      <c r="J812">
        <f>COUNTIF('Metrics - Articles'!F809,"*GCO – Platform Solutions*")</f>
        <v>0</v>
      </c>
      <c r="K812">
        <f>COUNTIF('Metrics - Articles'!F809,"*GCO – Industry Cloud *")</f>
        <v>0</v>
      </c>
      <c r="L812">
        <f>COUNTIF('Metrics - Articles'!F809,"*GCO – Customer Engagement &amp; Commerce (CRM &amp; hybris) *")</f>
        <v>0</v>
      </c>
      <c r="M812">
        <f>COUNTIF('Metrics - Articles'!F809,"*GCO – HR (SuccessFactors)*")</f>
        <v>0</v>
      </c>
      <c r="N812">
        <f>COUNTIF('Metrics - Articles'!F809,"*GCO – Services Sales*")</f>
        <v>0</v>
      </c>
      <c r="O812">
        <f>COUNTIF('Metrics - Articles'!F809,"*GCO – Other*")</f>
        <v>0</v>
      </c>
      <c r="P812">
        <f>COUNTIF('Metrics - Articles'!F809,"*Corporate*")</f>
        <v>0</v>
      </c>
      <c r="R812" s="53">
        <f t="shared" si="14"/>
        <v>0</v>
      </c>
    </row>
    <row r="813" spans="2:18" hidden="1" x14ac:dyDescent="0.25">
      <c r="B813" s="48">
        <f>+'Metrics - Articles'!C810</f>
        <v>0</v>
      </c>
      <c r="C813">
        <f>COUNTIF('Metrics - Articles'!F810,"*GPO (Partner, Ecosystem, Channels)*")</f>
        <v>0</v>
      </c>
      <c r="D813">
        <f>COUNTIF('Metrics - Articles'!F810,"*Office of the CEO*")</f>
        <v>0</v>
      </c>
      <c r="E813">
        <f>COUNTIF('Metrics - Articles'!F810,"*Services Delivery &amp; Support (go-lives and deployments) *")</f>
        <v>0</v>
      </c>
      <c r="F813">
        <f>COUNTIF('Metrics - Articles'!F810,"*Human Resources (SAP HR and employee stories)*")</f>
        <v>0</v>
      </c>
      <c r="G813">
        <f>COUNTIF('Metrics - Articles'!F810,"*P&amp;I (Research &amp; Development)*")</f>
        <v>0</v>
      </c>
      <c r="H813">
        <f>COUNTIF('Metrics - Articles'!F810,"*Business Network (Concur, Ariba, Fieldglass)*")</f>
        <v>0</v>
      </c>
      <c r="I813">
        <f>COUNTIF('Metrics - Articles'!F810,"*GCO – Regions*")</f>
        <v>0</v>
      </c>
      <c r="J813">
        <f>COUNTIF('Metrics - Articles'!F810,"*GCO – Platform Solutions*")</f>
        <v>0</v>
      </c>
      <c r="K813">
        <f>COUNTIF('Metrics - Articles'!F810,"*GCO – Industry Cloud *")</f>
        <v>0</v>
      </c>
      <c r="L813">
        <f>COUNTIF('Metrics - Articles'!F810,"*GCO – Customer Engagement &amp; Commerce (CRM &amp; hybris) *")</f>
        <v>0</v>
      </c>
      <c r="M813">
        <f>COUNTIF('Metrics - Articles'!F810,"*GCO – HR (SuccessFactors)*")</f>
        <v>0</v>
      </c>
      <c r="N813">
        <f>COUNTIF('Metrics - Articles'!F810,"*GCO – Services Sales*")</f>
        <v>0</v>
      </c>
      <c r="O813">
        <f>COUNTIF('Metrics - Articles'!F810,"*GCO – Other*")</f>
        <v>0</v>
      </c>
      <c r="P813">
        <f>COUNTIF('Metrics - Articles'!F810,"*Corporate*")</f>
        <v>0</v>
      </c>
      <c r="R813" s="53">
        <f t="shared" si="14"/>
        <v>0</v>
      </c>
    </row>
    <row r="814" spans="2:18" hidden="1" x14ac:dyDescent="0.25">
      <c r="B814" s="48">
        <f>+'Metrics - Articles'!C811</f>
        <v>0</v>
      </c>
      <c r="C814">
        <f>COUNTIF('Metrics - Articles'!F811,"*GPO (Partner, Ecosystem, Channels)*")</f>
        <v>0</v>
      </c>
      <c r="D814">
        <f>COUNTIF('Metrics - Articles'!F811,"*Office of the CEO*")</f>
        <v>0</v>
      </c>
      <c r="E814">
        <f>COUNTIF('Metrics - Articles'!F811,"*Services Delivery &amp; Support (go-lives and deployments) *")</f>
        <v>0</v>
      </c>
      <c r="F814">
        <f>COUNTIF('Metrics - Articles'!F811,"*Human Resources (SAP HR and employee stories)*")</f>
        <v>0</v>
      </c>
      <c r="G814">
        <f>COUNTIF('Metrics - Articles'!F811,"*P&amp;I (Research &amp; Development)*")</f>
        <v>0</v>
      </c>
      <c r="H814">
        <f>COUNTIF('Metrics - Articles'!F811,"*Business Network (Concur, Ariba, Fieldglass)*")</f>
        <v>0</v>
      </c>
      <c r="I814">
        <f>COUNTIF('Metrics - Articles'!F811,"*GCO – Regions*")</f>
        <v>0</v>
      </c>
      <c r="J814">
        <f>COUNTIF('Metrics - Articles'!F811,"*GCO – Platform Solutions*")</f>
        <v>0</v>
      </c>
      <c r="K814">
        <f>COUNTIF('Metrics - Articles'!F811,"*GCO – Industry Cloud *")</f>
        <v>0</v>
      </c>
      <c r="L814">
        <f>COUNTIF('Metrics - Articles'!F811,"*GCO – Customer Engagement &amp; Commerce (CRM &amp; hybris) *")</f>
        <v>0</v>
      </c>
      <c r="M814">
        <f>COUNTIF('Metrics - Articles'!F811,"*GCO – HR (SuccessFactors)*")</f>
        <v>0</v>
      </c>
      <c r="N814">
        <f>COUNTIF('Metrics - Articles'!F811,"*GCO – Services Sales*")</f>
        <v>0</v>
      </c>
      <c r="O814">
        <f>COUNTIF('Metrics - Articles'!F811,"*GCO – Other*")</f>
        <v>0</v>
      </c>
      <c r="P814">
        <f>COUNTIF('Metrics - Articles'!F811,"*Corporate*")</f>
        <v>0</v>
      </c>
      <c r="R814" s="53">
        <f t="shared" si="14"/>
        <v>0</v>
      </c>
    </row>
    <row r="815" spans="2:18" hidden="1" x14ac:dyDescent="0.25">
      <c r="B815" s="48">
        <f>+'Metrics - Articles'!C812</f>
        <v>0</v>
      </c>
      <c r="C815">
        <f>COUNTIF('Metrics - Articles'!F812,"*GPO (Partner, Ecosystem, Channels)*")</f>
        <v>0</v>
      </c>
      <c r="D815">
        <f>COUNTIF('Metrics - Articles'!F812,"*Office of the CEO*")</f>
        <v>0</v>
      </c>
      <c r="E815">
        <f>COUNTIF('Metrics - Articles'!F812,"*Services Delivery &amp; Support (go-lives and deployments) *")</f>
        <v>0</v>
      </c>
      <c r="F815">
        <f>COUNTIF('Metrics - Articles'!F812,"*Human Resources (SAP HR and employee stories)*")</f>
        <v>0</v>
      </c>
      <c r="G815">
        <f>COUNTIF('Metrics - Articles'!F812,"*P&amp;I (Research &amp; Development)*")</f>
        <v>0</v>
      </c>
      <c r="H815">
        <f>COUNTIF('Metrics - Articles'!F812,"*Business Network (Concur, Ariba, Fieldglass)*")</f>
        <v>0</v>
      </c>
      <c r="I815">
        <f>COUNTIF('Metrics - Articles'!F812,"*GCO – Regions*")</f>
        <v>0</v>
      </c>
      <c r="J815">
        <f>COUNTIF('Metrics - Articles'!F812,"*GCO – Platform Solutions*")</f>
        <v>0</v>
      </c>
      <c r="K815">
        <f>COUNTIF('Metrics - Articles'!F812,"*GCO – Industry Cloud *")</f>
        <v>0</v>
      </c>
      <c r="L815">
        <f>COUNTIF('Metrics - Articles'!F812,"*GCO – Customer Engagement &amp; Commerce (CRM &amp; hybris) *")</f>
        <v>0</v>
      </c>
      <c r="M815">
        <f>COUNTIF('Metrics - Articles'!F812,"*GCO – HR (SuccessFactors)*")</f>
        <v>0</v>
      </c>
      <c r="N815">
        <f>COUNTIF('Metrics - Articles'!F812,"*GCO – Services Sales*")</f>
        <v>0</v>
      </c>
      <c r="O815">
        <f>COUNTIF('Metrics - Articles'!F812,"*GCO – Other*")</f>
        <v>0</v>
      </c>
      <c r="P815">
        <f>COUNTIF('Metrics - Articles'!F812,"*Corporate*")</f>
        <v>0</v>
      </c>
      <c r="R815" s="53">
        <f t="shared" si="14"/>
        <v>0</v>
      </c>
    </row>
    <row r="816" spans="2:18" hidden="1" x14ac:dyDescent="0.25">
      <c r="B816" s="48">
        <f>+'Metrics - Articles'!C813</f>
        <v>0</v>
      </c>
      <c r="C816">
        <f>COUNTIF('Metrics - Articles'!F813,"*GPO (Partner, Ecosystem, Channels)*")</f>
        <v>0</v>
      </c>
      <c r="D816">
        <f>COUNTIF('Metrics - Articles'!F813,"*Office of the CEO*")</f>
        <v>0</v>
      </c>
      <c r="E816">
        <f>COUNTIF('Metrics - Articles'!F813,"*Services Delivery &amp; Support (go-lives and deployments) *")</f>
        <v>0</v>
      </c>
      <c r="F816">
        <f>COUNTIF('Metrics - Articles'!F813,"*Human Resources (SAP HR and employee stories)*")</f>
        <v>0</v>
      </c>
      <c r="G816">
        <f>COUNTIF('Metrics - Articles'!F813,"*P&amp;I (Research &amp; Development)*")</f>
        <v>0</v>
      </c>
      <c r="H816">
        <f>COUNTIF('Metrics - Articles'!F813,"*Business Network (Concur, Ariba, Fieldglass)*")</f>
        <v>0</v>
      </c>
      <c r="I816">
        <f>COUNTIF('Metrics - Articles'!F813,"*GCO – Regions*")</f>
        <v>0</v>
      </c>
      <c r="J816">
        <f>COUNTIF('Metrics - Articles'!F813,"*GCO – Platform Solutions*")</f>
        <v>0</v>
      </c>
      <c r="K816">
        <f>COUNTIF('Metrics - Articles'!F813,"*GCO – Industry Cloud *")</f>
        <v>0</v>
      </c>
      <c r="L816">
        <f>COUNTIF('Metrics - Articles'!F813,"*GCO – Customer Engagement &amp; Commerce (CRM &amp; hybris) *")</f>
        <v>0</v>
      </c>
      <c r="M816">
        <f>COUNTIF('Metrics - Articles'!F813,"*GCO – HR (SuccessFactors)*")</f>
        <v>0</v>
      </c>
      <c r="N816">
        <f>COUNTIF('Metrics - Articles'!F813,"*GCO – Services Sales*")</f>
        <v>0</v>
      </c>
      <c r="O816">
        <f>COUNTIF('Metrics - Articles'!F813,"*GCO – Other*")</f>
        <v>0</v>
      </c>
      <c r="P816">
        <f>COUNTIF('Metrics - Articles'!F813,"*Corporate*")</f>
        <v>0</v>
      </c>
      <c r="R816" s="53">
        <f t="shared" si="14"/>
        <v>0</v>
      </c>
    </row>
    <row r="817" spans="2:18" hidden="1" x14ac:dyDescent="0.25">
      <c r="B817" s="48">
        <f>+'Metrics - Articles'!C814</f>
        <v>0</v>
      </c>
      <c r="C817">
        <f>COUNTIF('Metrics - Articles'!F814,"*GPO (Partner, Ecosystem, Channels)*")</f>
        <v>0</v>
      </c>
      <c r="D817">
        <f>COUNTIF('Metrics - Articles'!F814,"*Office of the CEO*")</f>
        <v>0</v>
      </c>
      <c r="E817">
        <f>COUNTIF('Metrics - Articles'!F814,"*Services Delivery &amp; Support (go-lives and deployments) *")</f>
        <v>0</v>
      </c>
      <c r="F817">
        <f>COUNTIF('Metrics - Articles'!F814,"*Human Resources (SAP HR and employee stories)*")</f>
        <v>0</v>
      </c>
      <c r="G817">
        <f>COUNTIF('Metrics - Articles'!F814,"*P&amp;I (Research &amp; Development)*")</f>
        <v>0</v>
      </c>
      <c r="H817">
        <f>COUNTIF('Metrics - Articles'!F814,"*Business Network (Concur, Ariba, Fieldglass)*")</f>
        <v>0</v>
      </c>
      <c r="I817">
        <f>COUNTIF('Metrics - Articles'!F814,"*GCO – Regions*")</f>
        <v>0</v>
      </c>
      <c r="J817">
        <f>COUNTIF('Metrics - Articles'!F814,"*GCO – Platform Solutions*")</f>
        <v>0</v>
      </c>
      <c r="K817">
        <f>COUNTIF('Metrics - Articles'!F814,"*GCO – Industry Cloud *")</f>
        <v>0</v>
      </c>
      <c r="L817">
        <f>COUNTIF('Metrics - Articles'!F814,"*GCO – Customer Engagement &amp; Commerce (CRM &amp; hybris) *")</f>
        <v>0</v>
      </c>
      <c r="M817">
        <f>COUNTIF('Metrics - Articles'!F814,"*GCO – HR (SuccessFactors)*")</f>
        <v>0</v>
      </c>
      <c r="N817">
        <f>COUNTIF('Metrics - Articles'!F814,"*GCO – Services Sales*")</f>
        <v>0</v>
      </c>
      <c r="O817">
        <f>COUNTIF('Metrics - Articles'!F814,"*GCO – Other*")</f>
        <v>0</v>
      </c>
      <c r="P817">
        <f>COUNTIF('Metrics - Articles'!F814,"*Corporate*")</f>
        <v>0</v>
      </c>
      <c r="R817" s="53">
        <f t="shared" si="14"/>
        <v>0</v>
      </c>
    </row>
    <row r="818" spans="2:18" hidden="1" x14ac:dyDescent="0.25">
      <c r="B818" s="48">
        <f>+'Metrics - Articles'!C815</f>
        <v>0</v>
      </c>
      <c r="C818">
        <f>COUNTIF('Metrics - Articles'!F815,"*GPO (Partner, Ecosystem, Channels)*")</f>
        <v>0</v>
      </c>
      <c r="D818">
        <f>COUNTIF('Metrics - Articles'!F815,"*Office of the CEO*")</f>
        <v>0</v>
      </c>
      <c r="E818">
        <f>COUNTIF('Metrics - Articles'!F815,"*Services Delivery &amp; Support (go-lives and deployments) *")</f>
        <v>0</v>
      </c>
      <c r="F818">
        <f>COUNTIF('Metrics - Articles'!F815,"*Human Resources (SAP HR and employee stories)*")</f>
        <v>0</v>
      </c>
      <c r="G818">
        <f>COUNTIF('Metrics - Articles'!F815,"*P&amp;I (Research &amp; Development)*")</f>
        <v>0</v>
      </c>
      <c r="H818">
        <f>COUNTIF('Metrics - Articles'!F815,"*Business Network (Concur, Ariba, Fieldglass)*")</f>
        <v>0</v>
      </c>
      <c r="I818">
        <f>COUNTIF('Metrics - Articles'!F815,"*GCO – Regions*")</f>
        <v>0</v>
      </c>
      <c r="J818">
        <f>COUNTIF('Metrics - Articles'!F815,"*GCO – Platform Solutions*")</f>
        <v>0</v>
      </c>
      <c r="K818">
        <f>COUNTIF('Metrics - Articles'!F815,"*GCO – Industry Cloud *")</f>
        <v>0</v>
      </c>
      <c r="L818">
        <f>COUNTIF('Metrics - Articles'!F815,"*GCO – Customer Engagement &amp; Commerce (CRM &amp; hybris) *")</f>
        <v>0</v>
      </c>
      <c r="M818">
        <f>COUNTIF('Metrics - Articles'!F815,"*GCO – HR (SuccessFactors)*")</f>
        <v>0</v>
      </c>
      <c r="N818">
        <f>COUNTIF('Metrics - Articles'!F815,"*GCO – Services Sales*")</f>
        <v>0</v>
      </c>
      <c r="O818">
        <f>COUNTIF('Metrics - Articles'!F815,"*GCO – Other*")</f>
        <v>0</v>
      </c>
      <c r="P818">
        <f>COUNTIF('Metrics - Articles'!F815,"*Corporate*")</f>
        <v>0</v>
      </c>
      <c r="R818" s="53">
        <f t="shared" si="14"/>
        <v>0</v>
      </c>
    </row>
    <row r="819" spans="2:18" hidden="1" x14ac:dyDescent="0.25">
      <c r="B819" s="48">
        <f>+'Metrics - Articles'!C816</f>
        <v>0</v>
      </c>
      <c r="C819">
        <f>COUNTIF('Metrics - Articles'!F816,"*GPO (Partner, Ecosystem, Channels)*")</f>
        <v>0</v>
      </c>
      <c r="D819">
        <f>COUNTIF('Metrics - Articles'!F816,"*Office of the CEO*")</f>
        <v>0</v>
      </c>
      <c r="E819">
        <f>COUNTIF('Metrics - Articles'!F816,"*Services Delivery &amp; Support (go-lives and deployments) *")</f>
        <v>0</v>
      </c>
      <c r="F819">
        <f>COUNTIF('Metrics - Articles'!F816,"*Human Resources (SAP HR and employee stories)*")</f>
        <v>0</v>
      </c>
      <c r="G819">
        <f>COUNTIF('Metrics - Articles'!F816,"*P&amp;I (Research &amp; Development)*")</f>
        <v>0</v>
      </c>
      <c r="H819">
        <f>COUNTIF('Metrics - Articles'!F816,"*Business Network (Concur, Ariba, Fieldglass)*")</f>
        <v>0</v>
      </c>
      <c r="I819">
        <f>COUNTIF('Metrics - Articles'!F816,"*GCO – Regions*")</f>
        <v>0</v>
      </c>
      <c r="J819">
        <f>COUNTIF('Metrics - Articles'!F816,"*GCO – Platform Solutions*")</f>
        <v>0</v>
      </c>
      <c r="K819">
        <f>COUNTIF('Metrics - Articles'!F816,"*GCO – Industry Cloud *")</f>
        <v>0</v>
      </c>
      <c r="L819">
        <f>COUNTIF('Metrics - Articles'!F816,"*GCO – Customer Engagement &amp; Commerce (CRM &amp; hybris) *")</f>
        <v>0</v>
      </c>
      <c r="M819">
        <f>COUNTIF('Metrics - Articles'!F816,"*GCO – HR (SuccessFactors)*")</f>
        <v>0</v>
      </c>
      <c r="N819">
        <f>COUNTIF('Metrics - Articles'!F816,"*GCO – Services Sales*")</f>
        <v>0</v>
      </c>
      <c r="O819">
        <f>COUNTIF('Metrics - Articles'!F816,"*GCO – Other*")</f>
        <v>0</v>
      </c>
      <c r="P819">
        <f>COUNTIF('Metrics - Articles'!F816,"*Corporate*")</f>
        <v>0</v>
      </c>
      <c r="R819" s="53">
        <f t="shared" si="14"/>
        <v>0</v>
      </c>
    </row>
    <row r="820" spans="2:18" hidden="1" x14ac:dyDescent="0.25">
      <c r="B820" s="48">
        <f>+'Metrics - Articles'!C817</f>
        <v>0</v>
      </c>
      <c r="C820">
        <f>COUNTIF('Metrics - Articles'!F817,"*GPO (Partner, Ecosystem, Channels)*")</f>
        <v>0</v>
      </c>
      <c r="D820">
        <f>COUNTIF('Metrics - Articles'!F817,"*Office of the CEO*")</f>
        <v>0</v>
      </c>
      <c r="E820">
        <f>COUNTIF('Metrics - Articles'!F817,"*Services Delivery &amp; Support (go-lives and deployments) *")</f>
        <v>0</v>
      </c>
      <c r="F820">
        <f>COUNTIF('Metrics - Articles'!F817,"*Human Resources (SAP HR and employee stories)*")</f>
        <v>0</v>
      </c>
      <c r="G820">
        <f>COUNTIF('Metrics - Articles'!F817,"*P&amp;I (Research &amp; Development)*")</f>
        <v>0</v>
      </c>
      <c r="H820">
        <f>COUNTIF('Metrics - Articles'!F817,"*Business Network (Concur, Ariba, Fieldglass)*")</f>
        <v>0</v>
      </c>
      <c r="I820">
        <f>COUNTIF('Metrics - Articles'!F817,"*GCO – Regions*")</f>
        <v>0</v>
      </c>
      <c r="J820">
        <f>COUNTIF('Metrics - Articles'!F817,"*GCO – Platform Solutions*")</f>
        <v>0</v>
      </c>
      <c r="K820">
        <f>COUNTIF('Metrics - Articles'!F817,"*GCO – Industry Cloud *")</f>
        <v>0</v>
      </c>
      <c r="L820">
        <f>COUNTIF('Metrics - Articles'!F817,"*GCO – Customer Engagement &amp; Commerce (CRM &amp; hybris) *")</f>
        <v>0</v>
      </c>
      <c r="M820">
        <f>COUNTIF('Metrics - Articles'!F817,"*GCO – HR (SuccessFactors)*")</f>
        <v>0</v>
      </c>
      <c r="N820">
        <f>COUNTIF('Metrics - Articles'!F817,"*GCO – Services Sales*")</f>
        <v>0</v>
      </c>
      <c r="O820">
        <f>COUNTIF('Metrics - Articles'!F817,"*GCO – Other*")</f>
        <v>0</v>
      </c>
      <c r="P820">
        <f>COUNTIF('Metrics - Articles'!F817,"*Corporate*")</f>
        <v>0</v>
      </c>
      <c r="R820" s="53">
        <f t="shared" si="14"/>
        <v>0</v>
      </c>
    </row>
    <row r="821" spans="2:18" hidden="1" x14ac:dyDescent="0.25">
      <c r="B821" s="48">
        <f>+'Metrics - Articles'!C818</f>
        <v>0</v>
      </c>
      <c r="C821">
        <f>COUNTIF('Metrics - Articles'!F818,"*GPO (Partner, Ecosystem, Channels)*")</f>
        <v>0</v>
      </c>
      <c r="D821">
        <f>COUNTIF('Metrics - Articles'!F818,"*Office of the CEO*")</f>
        <v>0</v>
      </c>
      <c r="E821">
        <f>COUNTIF('Metrics - Articles'!F818,"*Services Delivery &amp; Support (go-lives and deployments) *")</f>
        <v>0</v>
      </c>
      <c r="F821">
        <f>COUNTIF('Metrics - Articles'!F818,"*Human Resources (SAP HR and employee stories)*")</f>
        <v>0</v>
      </c>
      <c r="G821">
        <f>COUNTIF('Metrics - Articles'!F818,"*P&amp;I (Research &amp; Development)*")</f>
        <v>0</v>
      </c>
      <c r="H821">
        <f>COUNTIF('Metrics - Articles'!F818,"*Business Network (Concur, Ariba, Fieldglass)*")</f>
        <v>0</v>
      </c>
      <c r="I821">
        <f>COUNTIF('Metrics - Articles'!F818,"*GCO – Regions*")</f>
        <v>0</v>
      </c>
      <c r="J821">
        <f>COUNTIF('Metrics - Articles'!F818,"*GCO – Platform Solutions*")</f>
        <v>0</v>
      </c>
      <c r="K821">
        <f>COUNTIF('Metrics - Articles'!F818,"*GCO – Industry Cloud *")</f>
        <v>0</v>
      </c>
      <c r="L821">
        <f>COUNTIF('Metrics - Articles'!F818,"*GCO – Customer Engagement &amp; Commerce (CRM &amp; hybris) *")</f>
        <v>0</v>
      </c>
      <c r="M821">
        <f>COUNTIF('Metrics - Articles'!F818,"*GCO – HR (SuccessFactors)*")</f>
        <v>0</v>
      </c>
      <c r="N821">
        <f>COUNTIF('Metrics - Articles'!F818,"*GCO – Services Sales*")</f>
        <v>0</v>
      </c>
      <c r="O821">
        <f>COUNTIF('Metrics - Articles'!F818,"*GCO – Other*")</f>
        <v>0</v>
      </c>
      <c r="P821">
        <f>COUNTIF('Metrics - Articles'!F818,"*Corporate*")</f>
        <v>0</v>
      </c>
      <c r="R821" s="53">
        <f t="shared" si="14"/>
        <v>0</v>
      </c>
    </row>
    <row r="822" spans="2:18" hidden="1" x14ac:dyDescent="0.25">
      <c r="B822" s="48">
        <f>+'Metrics - Articles'!C819</f>
        <v>0</v>
      </c>
      <c r="C822">
        <f>COUNTIF('Metrics - Articles'!F819,"*GPO (Partner, Ecosystem, Channels)*")</f>
        <v>0</v>
      </c>
      <c r="D822">
        <f>COUNTIF('Metrics - Articles'!F819,"*Office of the CEO*")</f>
        <v>0</v>
      </c>
      <c r="E822">
        <f>COUNTIF('Metrics - Articles'!F819,"*Services Delivery &amp; Support (go-lives and deployments) *")</f>
        <v>0</v>
      </c>
      <c r="F822">
        <f>COUNTIF('Metrics - Articles'!F819,"*Human Resources (SAP HR and employee stories)*")</f>
        <v>0</v>
      </c>
      <c r="G822">
        <f>COUNTIF('Metrics - Articles'!F819,"*P&amp;I (Research &amp; Development)*")</f>
        <v>0</v>
      </c>
      <c r="H822">
        <f>COUNTIF('Metrics - Articles'!F819,"*Business Network (Concur, Ariba, Fieldglass)*")</f>
        <v>0</v>
      </c>
      <c r="I822">
        <f>COUNTIF('Metrics - Articles'!F819,"*GCO – Regions*")</f>
        <v>0</v>
      </c>
      <c r="J822">
        <f>COUNTIF('Metrics - Articles'!F819,"*GCO – Platform Solutions*")</f>
        <v>0</v>
      </c>
      <c r="K822">
        <f>COUNTIF('Metrics - Articles'!F819,"*GCO – Industry Cloud *")</f>
        <v>0</v>
      </c>
      <c r="L822">
        <f>COUNTIF('Metrics - Articles'!F819,"*GCO – Customer Engagement &amp; Commerce (CRM &amp; hybris) *")</f>
        <v>0</v>
      </c>
      <c r="M822">
        <f>COUNTIF('Metrics - Articles'!F819,"*GCO – HR (SuccessFactors)*")</f>
        <v>0</v>
      </c>
      <c r="N822">
        <f>COUNTIF('Metrics - Articles'!F819,"*GCO – Services Sales*")</f>
        <v>0</v>
      </c>
      <c r="O822">
        <f>COUNTIF('Metrics - Articles'!F819,"*GCO – Other*")</f>
        <v>0</v>
      </c>
      <c r="P822">
        <f>COUNTIF('Metrics - Articles'!F819,"*Corporate*")</f>
        <v>0</v>
      </c>
      <c r="R822" s="53">
        <f t="shared" si="14"/>
        <v>0</v>
      </c>
    </row>
    <row r="823" spans="2:18" hidden="1" x14ac:dyDescent="0.25">
      <c r="B823" s="48">
        <f>+'Metrics - Articles'!C820</f>
        <v>0</v>
      </c>
      <c r="C823">
        <f>COUNTIF('Metrics - Articles'!F820,"*GPO (Partner, Ecosystem, Channels)*")</f>
        <v>0</v>
      </c>
      <c r="D823">
        <f>COUNTIF('Metrics - Articles'!F820,"*Office of the CEO*")</f>
        <v>0</v>
      </c>
      <c r="E823">
        <f>COUNTIF('Metrics - Articles'!F820,"*Services Delivery &amp; Support (go-lives and deployments) *")</f>
        <v>0</v>
      </c>
      <c r="F823">
        <f>COUNTIF('Metrics - Articles'!F820,"*Human Resources (SAP HR and employee stories)*")</f>
        <v>0</v>
      </c>
      <c r="G823">
        <f>COUNTIF('Metrics - Articles'!F820,"*P&amp;I (Research &amp; Development)*")</f>
        <v>0</v>
      </c>
      <c r="H823">
        <f>COUNTIF('Metrics - Articles'!F820,"*Business Network (Concur, Ariba, Fieldglass)*")</f>
        <v>0</v>
      </c>
      <c r="I823">
        <f>COUNTIF('Metrics - Articles'!F820,"*GCO – Regions*")</f>
        <v>0</v>
      </c>
      <c r="J823">
        <f>COUNTIF('Metrics - Articles'!F820,"*GCO – Platform Solutions*")</f>
        <v>0</v>
      </c>
      <c r="K823">
        <f>COUNTIF('Metrics - Articles'!F820,"*GCO – Industry Cloud *")</f>
        <v>0</v>
      </c>
      <c r="L823">
        <f>COUNTIF('Metrics - Articles'!F820,"*GCO – Customer Engagement &amp; Commerce (CRM &amp; hybris) *")</f>
        <v>0</v>
      </c>
      <c r="M823">
        <f>COUNTIF('Metrics - Articles'!F820,"*GCO – HR (SuccessFactors)*")</f>
        <v>0</v>
      </c>
      <c r="N823">
        <f>COUNTIF('Metrics - Articles'!F820,"*GCO – Services Sales*")</f>
        <v>0</v>
      </c>
      <c r="O823">
        <f>COUNTIF('Metrics - Articles'!F820,"*GCO – Other*")</f>
        <v>0</v>
      </c>
      <c r="P823">
        <f>COUNTIF('Metrics - Articles'!F820,"*Corporate*")</f>
        <v>0</v>
      </c>
      <c r="R823" s="53">
        <f t="shared" si="14"/>
        <v>0</v>
      </c>
    </row>
    <row r="824" spans="2:18" hidden="1" x14ac:dyDescent="0.25">
      <c r="B824" s="48">
        <f>+'Metrics - Articles'!C821</f>
        <v>0</v>
      </c>
      <c r="C824">
        <f>COUNTIF('Metrics - Articles'!F821,"*GPO (Partner, Ecosystem, Channels)*")</f>
        <v>0</v>
      </c>
      <c r="D824">
        <f>COUNTIF('Metrics - Articles'!F821,"*Office of the CEO*")</f>
        <v>0</v>
      </c>
      <c r="E824">
        <f>COUNTIF('Metrics - Articles'!F821,"*Services Delivery &amp; Support (go-lives and deployments) *")</f>
        <v>0</v>
      </c>
      <c r="F824">
        <f>COUNTIF('Metrics - Articles'!F821,"*Human Resources (SAP HR and employee stories)*")</f>
        <v>0</v>
      </c>
      <c r="G824">
        <f>COUNTIF('Metrics - Articles'!F821,"*P&amp;I (Research &amp; Development)*")</f>
        <v>0</v>
      </c>
      <c r="H824">
        <f>COUNTIF('Metrics - Articles'!F821,"*Business Network (Concur, Ariba, Fieldglass)*")</f>
        <v>0</v>
      </c>
      <c r="I824">
        <f>COUNTIF('Metrics - Articles'!F821,"*GCO – Regions*")</f>
        <v>0</v>
      </c>
      <c r="J824">
        <f>COUNTIF('Metrics - Articles'!F821,"*GCO – Platform Solutions*")</f>
        <v>0</v>
      </c>
      <c r="K824">
        <f>COUNTIF('Metrics - Articles'!F821,"*GCO – Industry Cloud *")</f>
        <v>0</v>
      </c>
      <c r="L824">
        <f>COUNTIF('Metrics - Articles'!F821,"*GCO – Customer Engagement &amp; Commerce (CRM &amp; hybris) *")</f>
        <v>0</v>
      </c>
      <c r="M824">
        <f>COUNTIF('Metrics - Articles'!F821,"*GCO – HR (SuccessFactors)*")</f>
        <v>0</v>
      </c>
      <c r="N824">
        <f>COUNTIF('Metrics - Articles'!F821,"*GCO – Services Sales*")</f>
        <v>0</v>
      </c>
      <c r="O824">
        <f>COUNTIF('Metrics - Articles'!F821,"*GCO – Other*")</f>
        <v>0</v>
      </c>
      <c r="P824">
        <f>COUNTIF('Metrics - Articles'!F821,"*Corporate*")</f>
        <v>0</v>
      </c>
      <c r="R824" s="53">
        <f t="shared" si="14"/>
        <v>0</v>
      </c>
    </row>
    <row r="825" spans="2:18" hidden="1" x14ac:dyDescent="0.25">
      <c r="B825" s="48">
        <f>+'Metrics - Articles'!C822</f>
        <v>0</v>
      </c>
      <c r="C825">
        <f>COUNTIF('Metrics - Articles'!F822,"*GPO (Partner, Ecosystem, Channels)*")</f>
        <v>0</v>
      </c>
      <c r="D825">
        <f>COUNTIF('Metrics - Articles'!F822,"*Office of the CEO*")</f>
        <v>0</v>
      </c>
      <c r="E825">
        <f>COUNTIF('Metrics - Articles'!F822,"*Services Delivery &amp; Support (go-lives and deployments) *")</f>
        <v>0</v>
      </c>
      <c r="F825">
        <f>COUNTIF('Metrics - Articles'!F822,"*Human Resources (SAP HR and employee stories)*")</f>
        <v>0</v>
      </c>
      <c r="G825">
        <f>COUNTIF('Metrics - Articles'!F822,"*P&amp;I (Research &amp; Development)*")</f>
        <v>0</v>
      </c>
      <c r="H825">
        <f>COUNTIF('Metrics - Articles'!F822,"*Business Network (Concur, Ariba, Fieldglass)*")</f>
        <v>0</v>
      </c>
      <c r="I825">
        <f>COUNTIF('Metrics - Articles'!F822,"*GCO – Regions*")</f>
        <v>0</v>
      </c>
      <c r="J825">
        <f>COUNTIF('Metrics - Articles'!F822,"*GCO – Platform Solutions*")</f>
        <v>0</v>
      </c>
      <c r="K825">
        <f>COUNTIF('Metrics - Articles'!F822,"*GCO – Industry Cloud *")</f>
        <v>0</v>
      </c>
      <c r="L825">
        <f>COUNTIF('Metrics - Articles'!F822,"*GCO – Customer Engagement &amp; Commerce (CRM &amp; hybris) *")</f>
        <v>0</v>
      </c>
      <c r="M825">
        <f>COUNTIF('Metrics - Articles'!F822,"*GCO – HR (SuccessFactors)*")</f>
        <v>0</v>
      </c>
      <c r="N825">
        <f>COUNTIF('Metrics - Articles'!F822,"*GCO – Services Sales*")</f>
        <v>0</v>
      </c>
      <c r="O825">
        <f>COUNTIF('Metrics - Articles'!F822,"*GCO – Other*")</f>
        <v>0</v>
      </c>
      <c r="P825">
        <f>COUNTIF('Metrics - Articles'!F822,"*Corporate*")</f>
        <v>0</v>
      </c>
      <c r="R825" s="53">
        <f t="shared" si="14"/>
        <v>0</v>
      </c>
    </row>
    <row r="826" spans="2:18" hidden="1" x14ac:dyDescent="0.25">
      <c r="B826" s="48">
        <f>+'Metrics - Articles'!C823</f>
        <v>0</v>
      </c>
      <c r="C826">
        <f>COUNTIF('Metrics - Articles'!F823,"*GPO (Partner, Ecosystem, Channels)*")</f>
        <v>0</v>
      </c>
      <c r="D826">
        <f>COUNTIF('Metrics - Articles'!F823,"*Office of the CEO*")</f>
        <v>0</v>
      </c>
      <c r="E826">
        <f>COUNTIF('Metrics - Articles'!F823,"*Services Delivery &amp; Support (go-lives and deployments) *")</f>
        <v>0</v>
      </c>
      <c r="F826">
        <f>COUNTIF('Metrics - Articles'!F823,"*Human Resources (SAP HR and employee stories)*")</f>
        <v>0</v>
      </c>
      <c r="G826">
        <f>COUNTIF('Metrics - Articles'!F823,"*P&amp;I (Research &amp; Development)*")</f>
        <v>0</v>
      </c>
      <c r="H826">
        <f>COUNTIF('Metrics - Articles'!F823,"*Business Network (Concur, Ariba, Fieldglass)*")</f>
        <v>0</v>
      </c>
      <c r="I826">
        <f>COUNTIF('Metrics - Articles'!F823,"*GCO – Regions*")</f>
        <v>0</v>
      </c>
      <c r="J826">
        <f>COUNTIF('Metrics - Articles'!F823,"*GCO – Platform Solutions*")</f>
        <v>0</v>
      </c>
      <c r="K826">
        <f>COUNTIF('Metrics - Articles'!F823,"*GCO – Industry Cloud *")</f>
        <v>0</v>
      </c>
      <c r="L826">
        <f>COUNTIF('Metrics - Articles'!F823,"*GCO – Customer Engagement &amp; Commerce (CRM &amp; hybris) *")</f>
        <v>0</v>
      </c>
      <c r="M826">
        <f>COUNTIF('Metrics - Articles'!F823,"*GCO – HR (SuccessFactors)*")</f>
        <v>0</v>
      </c>
      <c r="N826">
        <f>COUNTIF('Metrics - Articles'!F823,"*GCO – Services Sales*")</f>
        <v>0</v>
      </c>
      <c r="O826">
        <f>COUNTIF('Metrics - Articles'!F823,"*GCO – Other*")</f>
        <v>0</v>
      </c>
      <c r="P826">
        <f>COUNTIF('Metrics - Articles'!F823,"*Corporate*")</f>
        <v>0</v>
      </c>
      <c r="R826" s="53">
        <f t="shared" si="14"/>
        <v>0</v>
      </c>
    </row>
    <row r="827" spans="2:18" hidden="1" x14ac:dyDescent="0.25">
      <c r="B827" s="48">
        <f>+'Metrics - Articles'!C824</f>
        <v>0</v>
      </c>
      <c r="C827">
        <f>COUNTIF('Metrics - Articles'!F824,"*GPO (Partner, Ecosystem, Channels)*")</f>
        <v>0</v>
      </c>
      <c r="D827">
        <f>COUNTIF('Metrics - Articles'!F824,"*Office of the CEO*")</f>
        <v>0</v>
      </c>
      <c r="E827">
        <f>COUNTIF('Metrics - Articles'!F824,"*Services Delivery &amp; Support (go-lives and deployments) *")</f>
        <v>0</v>
      </c>
      <c r="F827">
        <f>COUNTIF('Metrics - Articles'!F824,"*Human Resources (SAP HR and employee stories)*")</f>
        <v>0</v>
      </c>
      <c r="G827">
        <f>COUNTIF('Metrics - Articles'!F824,"*P&amp;I (Research &amp; Development)*")</f>
        <v>0</v>
      </c>
      <c r="H827">
        <f>COUNTIF('Metrics - Articles'!F824,"*Business Network (Concur, Ariba, Fieldglass)*")</f>
        <v>0</v>
      </c>
      <c r="I827">
        <f>COUNTIF('Metrics - Articles'!F824,"*GCO – Regions*")</f>
        <v>0</v>
      </c>
      <c r="J827">
        <f>COUNTIF('Metrics - Articles'!F824,"*GCO – Platform Solutions*")</f>
        <v>0</v>
      </c>
      <c r="K827">
        <f>COUNTIF('Metrics - Articles'!F824,"*GCO – Industry Cloud *")</f>
        <v>0</v>
      </c>
      <c r="L827">
        <f>COUNTIF('Metrics - Articles'!F824,"*GCO – Customer Engagement &amp; Commerce (CRM &amp; hybris) *")</f>
        <v>0</v>
      </c>
      <c r="M827">
        <f>COUNTIF('Metrics - Articles'!F824,"*GCO – HR (SuccessFactors)*")</f>
        <v>0</v>
      </c>
      <c r="N827">
        <f>COUNTIF('Metrics - Articles'!F824,"*GCO – Services Sales*")</f>
        <v>0</v>
      </c>
      <c r="O827">
        <f>COUNTIF('Metrics - Articles'!F824,"*GCO – Other*")</f>
        <v>0</v>
      </c>
      <c r="P827">
        <f>COUNTIF('Metrics - Articles'!F824,"*Corporate*")</f>
        <v>0</v>
      </c>
      <c r="R827" s="53">
        <f t="shared" si="14"/>
        <v>0</v>
      </c>
    </row>
    <row r="828" spans="2:18" hidden="1" x14ac:dyDescent="0.25">
      <c r="B828" s="48">
        <f>+'Metrics - Articles'!C825</f>
        <v>0</v>
      </c>
      <c r="C828">
        <f>COUNTIF('Metrics - Articles'!F825,"*GPO (Partner, Ecosystem, Channels)*")</f>
        <v>0</v>
      </c>
      <c r="D828">
        <f>COUNTIF('Metrics - Articles'!F825,"*Office of the CEO*")</f>
        <v>0</v>
      </c>
      <c r="E828">
        <f>COUNTIF('Metrics - Articles'!F825,"*Services Delivery &amp; Support (go-lives and deployments) *")</f>
        <v>0</v>
      </c>
      <c r="F828">
        <f>COUNTIF('Metrics - Articles'!F825,"*Human Resources (SAP HR and employee stories)*")</f>
        <v>0</v>
      </c>
      <c r="G828">
        <f>COUNTIF('Metrics - Articles'!F825,"*P&amp;I (Research &amp; Development)*")</f>
        <v>0</v>
      </c>
      <c r="H828">
        <f>COUNTIF('Metrics - Articles'!F825,"*Business Network (Concur, Ariba, Fieldglass)*")</f>
        <v>0</v>
      </c>
      <c r="I828">
        <f>COUNTIF('Metrics - Articles'!F825,"*GCO – Regions*")</f>
        <v>0</v>
      </c>
      <c r="J828">
        <f>COUNTIF('Metrics - Articles'!F825,"*GCO – Platform Solutions*")</f>
        <v>0</v>
      </c>
      <c r="K828">
        <f>COUNTIF('Metrics - Articles'!F825,"*GCO – Industry Cloud *")</f>
        <v>0</v>
      </c>
      <c r="L828">
        <f>COUNTIF('Metrics - Articles'!F825,"*GCO – Customer Engagement &amp; Commerce (CRM &amp; hybris) *")</f>
        <v>0</v>
      </c>
      <c r="M828">
        <f>COUNTIF('Metrics - Articles'!F825,"*GCO – HR (SuccessFactors)*")</f>
        <v>0</v>
      </c>
      <c r="N828">
        <f>COUNTIF('Metrics - Articles'!F825,"*GCO – Services Sales*")</f>
        <v>0</v>
      </c>
      <c r="O828">
        <f>COUNTIF('Metrics - Articles'!F825,"*GCO – Other*")</f>
        <v>0</v>
      </c>
      <c r="P828">
        <f>COUNTIF('Metrics - Articles'!F825,"*Corporate*")</f>
        <v>0</v>
      </c>
      <c r="R828" s="53">
        <f t="shared" si="14"/>
        <v>0</v>
      </c>
    </row>
    <row r="829" spans="2:18" hidden="1" x14ac:dyDescent="0.25">
      <c r="B829" s="48">
        <f>+'Metrics - Articles'!C826</f>
        <v>0</v>
      </c>
      <c r="C829">
        <f>COUNTIF('Metrics - Articles'!F826,"*GPO (Partner, Ecosystem, Channels)*")</f>
        <v>0</v>
      </c>
      <c r="D829">
        <f>COUNTIF('Metrics - Articles'!F826,"*Office of the CEO*")</f>
        <v>0</v>
      </c>
      <c r="E829">
        <f>COUNTIF('Metrics - Articles'!F826,"*Services Delivery &amp; Support (go-lives and deployments) *")</f>
        <v>0</v>
      </c>
      <c r="F829">
        <f>COUNTIF('Metrics - Articles'!F826,"*Human Resources (SAP HR and employee stories)*")</f>
        <v>0</v>
      </c>
      <c r="G829">
        <f>COUNTIF('Metrics - Articles'!F826,"*P&amp;I (Research &amp; Development)*")</f>
        <v>0</v>
      </c>
      <c r="H829">
        <f>COUNTIF('Metrics - Articles'!F826,"*Business Network (Concur, Ariba, Fieldglass)*")</f>
        <v>0</v>
      </c>
      <c r="I829">
        <f>COUNTIF('Metrics - Articles'!F826,"*GCO – Regions*")</f>
        <v>0</v>
      </c>
      <c r="J829">
        <f>COUNTIF('Metrics - Articles'!F826,"*GCO – Platform Solutions*")</f>
        <v>0</v>
      </c>
      <c r="K829">
        <f>COUNTIF('Metrics - Articles'!F826,"*GCO – Industry Cloud *")</f>
        <v>0</v>
      </c>
      <c r="L829">
        <f>COUNTIF('Metrics - Articles'!F826,"*GCO – Customer Engagement &amp; Commerce (CRM &amp; hybris) *")</f>
        <v>0</v>
      </c>
      <c r="M829">
        <f>COUNTIF('Metrics - Articles'!F826,"*GCO – HR (SuccessFactors)*")</f>
        <v>0</v>
      </c>
      <c r="N829">
        <f>COUNTIF('Metrics - Articles'!F826,"*GCO – Services Sales*")</f>
        <v>0</v>
      </c>
      <c r="O829">
        <f>COUNTIF('Metrics - Articles'!F826,"*GCO – Other*")</f>
        <v>0</v>
      </c>
      <c r="P829">
        <f>COUNTIF('Metrics - Articles'!F826,"*Corporate*")</f>
        <v>0</v>
      </c>
      <c r="R829" s="53">
        <f t="shared" si="14"/>
        <v>0</v>
      </c>
    </row>
    <row r="830" spans="2:18" hidden="1" x14ac:dyDescent="0.25">
      <c r="B830" s="48">
        <f>+'Metrics - Articles'!C827</f>
        <v>0</v>
      </c>
      <c r="C830">
        <f>COUNTIF('Metrics - Articles'!F827,"*GPO (Partner, Ecosystem, Channels)*")</f>
        <v>0</v>
      </c>
      <c r="D830">
        <f>COUNTIF('Metrics - Articles'!F827,"*Office of the CEO*")</f>
        <v>0</v>
      </c>
      <c r="E830">
        <f>COUNTIF('Metrics - Articles'!F827,"*Services Delivery &amp; Support (go-lives and deployments) *")</f>
        <v>0</v>
      </c>
      <c r="F830">
        <f>COUNTIF('Metrics - Articles'!F827,"*Human Resources (SAP HR and employee stories)*")</f>
        <v>0</v>
      </c>
      <c r="G830">
        <f>COUNTIF('Metrics - Articles'!F827,"*P&amp;I (Research &amp; Development)*")</f>
        <v>0</v>
      </c>
      <c r="H830">
        <f>COUNTIF('Metrics - Articles'!F827,"*Business Network (Concur, Ariba, Fieldglass)*")</f>
        <v>0</v>
      </c>
      <c r="I830">
        <f>COUNTIF('Metrics - Articles'!F827,"*GCO – Regions*")</f>
        <v>0</v>
      </c>
      <c r="J830">
        <f>COUNTIF('Metrics - Articles'!F827,"*GCO – Platform Solutions*")</f>
        <v>0</v>
      </c>
      <c r="K830">
        <f>COUNTIF('Metrics - Articles'!F827,"*GCO – Industry Cloud *")</f>
        <v>0</v>
      </c>
      <c r="L830">
        <f>COUNTIF('Metrics - Articles'!F827,"*GCO – Customer Engagement &amp; Commerce (CRM &amp; hybris) *")</f>
        <v>0</v>
      </c>
      <c r="M830">
        <f>COUNTIF('Metrics - Articles'!F827,"*GCO – HR (SuccessFactors)*")</f>
        <v>0</v>
      </c>
      <c r="N830">
        <f>COUNTIF('Metrics - Articles'!F827,"*GCO – Services Sales*")</f>
        <v>0</v>
      </c>
      <c r="O830">
        <f>COUNTIF('Metrics - Articles'!F827,"*GCO – Other*")</f>
        <v>0</v>
      </c>
      <c r="P830">
        <f>COUNTIF('Metrics - Articles'!F827,"*Corporate*")</f>
        <v>0</v>
      </c>
      <c r="R830" s="53">
        <f t="shared" si="14"/>
        <v>0</v>
      </c>
    </row>
    <row r="831" spans="2:18" hidden="1" x14ac:dyDescent="0.25">
      <c r="B831" s="48">
        <f>+'Metrics - Articles'!C828</f>
        <v>0</v>
      </c>
      <c r="C831">
        <f>COUNTIF('Metrics - Articles'!F828,"*GPO (Partner, Ecosystem, Channels)*")</f>
        <v>0</v>
      </c>
      <c r="D831">
        <f>COUNTIF('Metrics - Articles'!F828,"*Office of the CEO*")</f>
        <v>0</v>
      </c>
      <c r="E831">
        <f>COUNTIF('Metrics - Articles'!F828,"*Services Delivery &amp; Support (go-lives and deployments) *")</f>
        <v>0</v>
      </c>
      <c r="F831">
        <f>COUNTIF('Metrics - Articles'!F828,"*Human Resources (SAP HR and employee stories)*")</f>
        <v>0</v>
      </c>
      <c r="G831">
        <f>COUNTIF('Metrics - Articles'!F828,"*P&amp;I (Research &amp; Development)*")</f>
        <v>0</v>
      </c>
      <c r="H831">
        <f>COUNTIF('Metrics - Articles'!F828,"*Business Network (Concur, Ariba, Fieldglass)*")</f>
        <v>0</v>
      </c>
      <c r="I831">
        <f>COUNTIF('Metrics - Articles'!F828,"*GCO – Regions*")</f>
        <v>0</v>
      </c>
      <c r="J831">
        <f>COUNTIF('Metrics - Articles'!F828,"*GCO – Platform Solutions*")</f>
        <v>0</v>
      </c>
      <c r="K831">
        <f>COUNTIF('Metrics - Articles'!F828,"*GCO – Industry Cloud *")</f>
        <v>0</v>
      </c>
      <c r="L831">
        <f>COUNTIF('Metrics - Articles'!F828,"*GCO – Customer Engagement &amp; Commerce (CRM &amp; hybris) *")</f>
        <v>0</v>
      </c>
      <c r="M831">
        <f>COUNTIF('Metrics - Articles'!F828,"*GCO – HR (SuccessFactors)*")</f>
        <v>0</v>
      </c>
      <c r="N831">
        <f>COUNTIF('Metrics - Articles'!F828,"*GCO – Services Sales*")</f>
        <v>0</v>
      </c>
      <c r="O831">
        <f>COUNTIF('Metrics - Articles'!F828,"*GCO – Other*")</f>
        <v>0</v>
      </c>
      <c r="P831">
        <f>COUNTIF('Metrics - Articles'!F828,"*Corporate*")</f>
        <v>0</v>
      </c>
      <c r="R831" s="53">
        <f t="shared" si="14"/>
        <v>0</v>
      </c>
    </row>
    <row r="832" spans="2:18" hidden="1" x14ac:dyDescent="0.25">
      <c r="B832" s="48">
        <f>+'Metrics - Articles'!C829</f>
        <v>0</v>
      </c>
      <c r="C832">
        <f>COUNTIF('Metrics - Articles'!F829,"*GPO (Partner, Ecosystem, Channels)*")</f>
        <v>0</v>
      </c>
      <c r="D832">
        <f>COUNTIF('Metrics - Articles'!F829,"*Office of the CEO*")</f>
        <v>0</v>
      </c>
      <c r="E832">
        <f>COUNTIF('Metrics - Articles'!F829,"*Services Delivery &amp; Support (go-lives and deployments) *")</f>
        <v>0</v>
      </c>
      <c r="F832">
        <f>COUNTIF('Metrics - Articles'!F829,"*Human Resources (SAP HR and employee stories)*")</f>
        <v>0</v>
      </c>
      <c r="G832">
        <f>COUNTIF('Metrics - Articles'!F829,"*P&amp;I (Research &amp; Development)*")</f>
        <v>0</v>
      </c>
      <c r="H832">
        <f>COUNTIF('Metrics - Articles'!F829,"*Business Network (Concur, Ariba, Fieldglass)*")</f>
        <v>0</v>
      </c>
      <c r="I832">
        <f>COUNTIF('Metrics - Articles'!F829,"*GCO – Regions*")</f>
        <v>0</v>
      </c>
      <c r="J832">
        <f>COUNTIF('Metrics - Articles'!F829,"*GCO – Platform Solutions*")</f>
        <v>0</v>
      </c>
      <c r="K832">
        <f>COUNTIF('Metrics - Articles'!F829,"*GCO – Industry Cloud *")</f>
        <v>0</v>
      </c>
      <c r="L832">
        <f>COUNTIF('Metrics - Articles'!F829,"*GCO – Customer Engagement &amp; Commerce (CRM &amp; hybris) *")</f>
        <v>0</v>
      </c>
      <c r="M832">
        <f>COUNTIF('Metrics - Articles'!F829,"*GCO – HR (SuccessFactors)*")</f>
        <v>0</v>
      </c>
      <c r="N832">
        <f>COUNTIF('Metrics - Articles'!F829,"*GCO – Services Sales*")</f>
        <v>0</v>
      </c>
      <c r="O832">
        <f>COUNTIF('Metrics - Articles'!F829,"*GCO – Other*")</f>
        <v>0</v>
      </c>
      <c r="P832">
        <f>COUNTIF('Metrics - Articles'!F829,"*Corporate*")</f>
        <v>0</v>
      </c>
      <c r="R832" s="53">
        <f t="shared" si="14"/>
        <v>0</v>
      </c>
    </row>
    <row r="833" spans="2:18" hidden="1" x14ac:dyDescent="0.25">
      <c r="B833" s="48">
        <f>+'Metrics - Articles'!C830</f>
        <v>0</v>
      </c>
      <c r="C833">
        <f>COUNTIF('Metrics - Articles'!F830,"*GPO (Partner, Ecosystem, Channels)*")</f>
        <v>0</v>
      </c>
      <c r="D833">
        <f>COUNTIF('Metrics - Articles'!F830,"*Office of the CEO*")</f>
        <v>0</v>
      </c>
      <c r="E833">
        <f>COUNTIF('Metrics - Articles'!F830,"*Services Delivery &amp; Support (go-lives and deployments) *")</f>
        <v>0</v>
      </c>
      <c r="F833">
        <f>COUNTIF('Metrics - Articles'!F830,"*Human Resources (SAP HR and employee stories)*")</f>
        <v>0</v>
      </c>
      <c r="G833">
        <f>COUNTIF('Metrics - Articles'!F830,"*P&amp;I (Research &amp; Development)*")</f>
        <v>0</v>
      </c>
      <c r="H833">
        <f>COUNTIF('Metrics - Articles'!F830,"*Business Network (Concur, Ariba, Fieldglass)*")</f>
        <v>0</v>
      </c>
      <c r="I833">
        <f>COUNTIF('Metrics - Articles'!F830,"*GCO – Regions*")</f>
        <v>0</v>
      </c>
      <c r="J833">
        <f>COUNTIF('Metrics - Articles'!F830,"*GCO – Platform Solutions*")</f>
        <v>0</v>
      </c>
      <c r="K833">
        <f>COUNTIF('Metrics - Articles'!F830,"*GCO – Industry Cloud *")</f>
        <v>0</v>
      </c>
      <c r="L833">
        <f>COUNTIF('Metrics - Articles'!F830,"*GCO – Customer Engagement &amp; Commerce (CRM &amp; hybris) *")</f>
        <v>0</v>
      </c>
      <c r="M833">
        <f>COUNTIF('Metrics - Articles'!F830,"*GCO – HR (SuccessFactors)*")</f>
        <v>0</v>
      </c>
      <c r="N833">
        <f>COUNTIF('Metrics - Articles'!F830,"*GCO – Services Sales*")</f>
        <v>0</v>
      </c>
      <c r="O833">
        <f>COUNTIF('Metrics - Articles'!F830,"*GCO – Other*")</f>
        <v>0</v>
      </c>
      <c r="P833">
        <f>COUNTIF('Metrics - Articles'!F830,"*Corporate*")</f>
        <v>0</v>
      </c>
      <c r="R833" s="53">
        <f t="shared" si="14"/>
        <v>0</v>
      </c>
    </row>
    <row r="834" spans="2:18" hidden="1" x14ac:dyDescent="0.25">
      <c r="B834" s="48">
        <f>+'Metrics - Articles'!C831</f>
        <v>0</v>
      </c>
      <c r="C834">
        <f>COUNTIF('Metrics - Articles'!F831,"*GPO (Partner, Ecosystem, Channels)*")</f>
        <v>0</v>
      </c>
      <c r="D834">
        <f>COUNTIF('Metrics - Articles'!F831,"*Office of the CEO*")</f>
        <v>0</v>
      </c>
      <c r="E834">
        <f>COUNTIF('Metrics - Articles'!F831,"*Services Delivery &amp; Support (go-lives and deployments) *")</f>
        <v>0</v>
      </c>
      <c r="F834">
        <f>COUNTIF('Metrics - Articles'!F831,"*Human Resources (SAP HR and employee stories)*")</f>
        <v>0</v>
      </c>
      <c r="G834">
        <f>COUNTIF('Metrics - Articles'!F831,"*P&amp;I (Research &amp; Development)*")</f>
        <v>0</v>
      </c>
      <c r="H834">
        <f>COUNTIF('Metrics - Articles'!F831,"*Business Network (Concur, Ariba, Fieldglass)*")</f>
        <v>0</v>
      </c>
      <c r="I834">
        <f>COUNTIF('Metrics - Articles'!F831,"*GCO – Regions*")</f>
        <v>0</v>
      </c>
      <c r="J834">
        <f>COUNTIF('Metrics - Articles'!F831,"*GCO – Platform Solutions*")</f>
        <v>0</v>
      </c>
      <c r="K834">
        <f>COUNTIF('Metrics - Articles'!F831,"*GCO – Industry Cloud *")</f>
        <v>0</v>
      </c>
      <c r="L834">
        <f>COUNTIF('Metrics - Articles'!F831,"*GCO – Customer Engagement &amp; Commerce (CRM &amp; hybris) *")</f>
        <v>0</v>
      </c>
      <c r="M834">
        <f>COUNTIF('Metrics - Articles'!F831,"*GCO – HR (SuccessFactors)*")</f>
        <v>0</v>
      </c>
      <c r="N834">
        <f>COUNTIF('Metrics - Articles'!F831,"*GCO – Services Sales*")</f>
        <v>0</v>
      </c>
      <c r="O834">
        <f>COUNTIF('Metrics - Articles'!F831,"*GCO – Other*")</f>
        <v>0</v>
      </c>
      <c r="P834">
        <f>COUNTIF('Metrics - Articles'!F831,"*Corporate*")</f>
        <v>0</v>
      </c>
      <c r="R834" s="53">
        <f t="shared" si="14"/>
        <v>0</v>
      </c>
    </row>
    <row r="835" spans="2:18" hidden="1" x14ac:dyDescent="0.25">
      <c r="B835" s="48">
        <f>+'Metrics - Articles'!C832</f>
        <v>0</v>
      </c>
      <c r="C835">
        <f>COUNTIF('Metrics - Articles'!F832,"*GPO (Partner, Ecosystem, Channels)*")</f>
        <v>0</v>
      </c>
      <c r="D835">
        <f>COUNTIF('Metrics - Articles'!F832,"*Office of the CEO*")</f>
        <v>0</v>
      </c>
      <c r="E835">
        <f>COUNTIF('Metrics - Articles'!F832,"*Services Delivery &amp; Support (go-lives and deployments) *")</f>
        <v>0</v>
      </c>
      <c r="F835">
        <f>COUNTIF('Metrics - Articles'!F832,"*Human Resources (SAP HR and employee stories)*")</f>
        <v>0</v>
      </c>
      <c r="G835">
        <f>COUNTIF('Metrics - Articles'!F832,"*P&amp;I (Research &amp; Development)*")</f>
        <v>0</v>
      </c>
      <c r="H835">
        <f>COUNTIF('Metrics - Articles'!F832,"*Business Network (Concur, Ariba, Fieldglass)*")</f>
        <v>0</v>
      </c>
      <c r="I835">
        <f>COUNTIF('Metrics - Articles'!F832,"*GCO – Regions*")</f>
        <v>0</v>
      </c>
      <c r="J835">
        <f>COUNTIF('Metrics - Articles'!F832,"*GCO – Platform Solutions*")</f>
        <v>0</v>
      </c>
      <c r="K835">
        <f>COUNTIF('Metrics - Articles'!F832,"*GCO – Industry Cloud *")</f>
        <v>0</v>
      </c>
      <c r="L835">
        <f>COUNTIF('Metrics - Articles'!F832,"*GCO – Customer Engagement &amp; Commerce (CRM &amp; hybris) *")</f>
        <v>0</v>
      </c>
      <c r="M835">
        <f>COUNTIF('Metrics - Articles'!F832,"*GCO – HR (SuccessFactors)*")</f>
        <v>0</v>
      </c>
      <c r="N835">
        <f>COUNTIF('Metrics - Articles'!F832,"*GCO – Services Sales*")</f>
        <v>0</v>
      </c>
      <c r="O835">
        <f>COUNTIF('Metrics - Articles'!F832,"*GCO – Other*")</f>
        <v>0</v>
      </c>
      <c r="P835">
        <f>COUNTIF('Metrics - Articles'!F832,"*Corporate*")</f>
        <v>0</v>
      </c>
      <c r="R835" s="53">
        <f t="shared" si="14"/>
        <v>0</v>
      </c>
    </row>
    <row r="836" spans="2:18" hidden="1" x14ac:dyDescent="0.25">
      <c r="B836" s="48">
        <f>+'Metrics - Articles'!C833</f>
        <v>0</v>
      </c>
      <c r="C836">
        <f>COUNTIF('Metrics - Articles'!F833,"*GPO (Partner, Ecosystem, Channels)*")</f>
        <v>0</v>
      </c>
      <c r="D836">
        <f>COUNTIF('Metrics - Articles'!F833,"*Office of the CEO*")</f>
        <v>0</v>
      </c>
      <c r="E836">
        <f>COUNTIF('Metrics - Articles'!F833,"*Services Delivery &amp; Support (go-lives and deployments) *")</f>
        <v>0</v>
      </c>
      <c r="F836">
        <f>COUNTIF('Metrics - Articles'!F833,"*Human Resources (SAP HR and employee stories)*")</f>
        <v>0</v>
      </c>
      <c r="G836">
        <f>COUNTIF('Metrics - Articles'!F833,"*P&amp;I (Research &amp; Development)*")</f>
        <v>0</v>
      </c>
      <c r="H836">
        <f>COUNTIF('Metrics - Articles'!F833,"*Business Network (Concur, Ariba, Fieldglass)*")</f>
        <v>0</v>
      </c>
      <c r="I836">
        <f>COUNTIF('Metrics - Articles'!F833,"*GCO – Regions*")</f>
        <v>0</v>
      </c>
      <c r="J836">
        <f>COUNTIF('Metrics - Articles'!F833,"*GCO – Platform Solutions*")</f>
        <v>0</v>
      </c>
      <c r="K836">
        <f>COUNTIF('Metrics - Articles'!F833,"*GCO – Industry Cloud *")</f>
        <v>0</v>
      </c>
      <c r="L836">
        <f>COUNTIF('Metrics - Articles'!F833,"*GCO – Customer Engagement &amp; Commerce (CRM &amp; hybris) *")</f>
        <v>0</v>
      </c>
      <c r="M836">
        <f>COUNTIF('Metrics - Articles'!F833,"*GCO – HR (SuccessFactors)*")</f>
        <v>0</v>
      </c>
      <c r="N836">
        <f>COUNTIF('Metrics - Articles'!F833,"*GCO – Services Sales*")</f>
        <v>0</v>
      </c>
      <c r="O836">
        <f>COUNTIF('Metrics - Articles'!F833,"*GCO – Other*")</f>
        <v>0</v>
      </c>
      <c r="P836">
        <f>COUNTIF('Metrics - Articles'!F833,"*Corporate*")</f>
        <v>0</v>
      </c>
      <c r="R836" s="53">
        <f t="shared" si="14"/>
        <v>0</v>
      </c>
    </row>
    <row r="837" spans="2:18" hidden="1" x14ac:dyDescent="0.25">
      <c r="B837" s="48">
        <f>+'Metrics - Articles'!C834</f>
        <v>0</v>
      </c>
      <c r="C837">
        <f>COUNTIF('Metrics - Articles'!F834,"*GPO (Partner, Ecosystem, Channels)*")</f>
        <v>0</v>
      </c>
      <c r="D837">
        <f>COUNTIF('Metrics - Articles'!F834,"*Office of the CEO*")</f>
        <v>0</v>
      </c>
      <c r="E837">
        <f>COUNTIF('Metrics - Articles'!F834,"*Services Delivery &amp; Support (go-lives and deployments) *")</f>
        <v>0</v>
      </c>
      <c r="F837">
        <f>COUNTIF('Metrics - Articles'!F834,"*Human Resources (SAP HR and employee stories)*")</f>
        <v>0</v>
      </c>
      <c r="G837">
        <f>COUNTIF('Metrics - Articles'!F834,"*P&amp;I (Research &amp; Development)*")</f>
        <v>0</v>
      </c>
      <c r="H837">
        <f>COUNTIF('Metrics - Articles'!F834,"*Business Network (Concur, Ariba, Fieldglass)*")</f>
        <v>0</v>
      </c>
      <c r="I837">
        <f>COUNTIF('Metrics - Articles'!F834,"*GCO – Regions*")</f>
        <v>0</v>
      </c>
      <c r="J837">
        <f>COUNTIF('Metrics - Articles'!F834,"*GCO – Platform Solutions*")</f>
        <v>0</v>
      </c>
      <c r="K837">
        <f>COUNTIF('Metrics - Articles'!F834,"*GCO – Industry Cloud *")</f>
        <v>0</v>
      </c>
      <c r="L837">
        <f>COUNTIF('Metrics - Articles'!F834,"*GCO – Customer Engagement &amp; Commerce (CRM &amp; hybris) *")</f>
        <v>0</v>
      </c>
      <c r="M837">
        <f>COUNTIF('Metrics - Articles'!F834,"*GCO – HR (SuccessFactors)*")</f>
        <v>0</v>
      </c>
      <c r="N837">
        <f>COUNTIF('Metrics - Articles'!F834,"*GCO – Services Sales*")</f>
        <v>0</v>
      </c>
      <c r="O837">
        <f>COUNTIF('Metrics - Articles'!F834,"*GCO – Other*")</f>
        <v>0</v>
      </c>
      <c r="P837">
        <f>COUNTIF('Metrics - Articles'!F834,"*Corporate*")</f>
        <v>0</v>
      </c>
      <c r="R837" s="53">
        <f t="shared" si="14"/>
        <v>0</v>
      </c>
    </row>
    <row r="838" spans="2:18" hidden="1" x14ac:dyDescent="0.25">
      <c r="B838" s="48">
        <f>+'Metrics - Articles'!C835</f>
        <v>0</v>
      </c>
      <c r="C838">
        <f>COUNTIF('Metrics - Articles'!F835,"*GPO (Partner, Ecosystem, Channels)*")</f>
        <v>0</v>
      </c>
      <c r="D838">
        <f>COUNTIF('Metrics - Articles'!F835,"*Office of the CEO*")</f>
        <v>0</v>
      </c>
      <c r="E838">
        <f>COUNTIF('Metrics - Articles'!F835,"*Services Delivery &amp; Support (go-lives and deployments) *")</f>
        <v>0</v>
      </c>
      <c r="F838">
        <f>COUNTIF('Metrics - Articles'!F835,"*Human Resources (SAP HR and employee stories)*")</f>
        <v>0</v>
      </c>
      <c r="G838">
        <f>COUNTIF('Metrics - Articles'!F835,"*P&amp;I (Research &amp; Development)*")</f>
        <v>0</v>
      </c>
      <c r="H838">
        <f>COUNTIF('Metrics - Articles'!F835,"*Business Network (Concur, Ariba, Fieldglass)*")</f>
        <v>0</v>
      </c>
      <c r="I838">
        <f>COUNTIF('Metrics - Articles'!F835,"*GCO – Regions*")</f>
        <v>0</v>
      </c>
      <c r="J838">
        <f>COUNTIF('Metrics - Articles'!F835,"*GCO – Platform Solutions*")</f>
        <v>0</v>
      </c>
      <c r="K838">
        <f>COUNTIF('Metrics - Articles'!F835,"*GCO – Industry Cloud *")</f>
        <v>0</v>
      </c>
      <c r="L838">
        <f>COUNTIF('Metrics - Articles'!F835,"*GCO – Customer Engagement &amp; Commerce (CRM &amp; hybris) *")</f>
        <v>0</v>
      </c>
      <c r="M838">
        <f>COUNTIF('Metrics - Articles'!F835,"*GCO – HR (SuccessFactors)*")</f>
        <v>0</v>
      </c>
      <c r="N838">
        <f>COUNTIF('Metrics - Articles'!F835,"*GCO – Services Sales*")</f>
        <v>0</v>
      </c>
      <c r="O838">
        <f>COUNTIF('Metrics - Articles'!F835,"*GCO – Other*")</f>
        <v>0</v>
      </c>
      <c r="P838">
        <f>COUNTIF('Metrics - Articles'!F835,"*Corporate*")</f>
        <v>0</v>
      </c>
      <c r="R838" s="53">
        <f t="shared" si="14"/>
        <v>0</v>
      </c>
    </row>
    <row r="839" spans="2:18" hidden="1" x14ac:dyDescent="0.25">
      <c r="B839" s="48">
        <f>+'Metrics - Articles'!C836</f>
        <v>0</v>
      </c>
      <c r="C839">
        <f>COUNTIF('Metrics - Articles'!F836,"*GPO (Partner, Ecosystem, Channels)*")</f>
        <v>0</v>
      </c>
      <c r="D839">
        <f>COUNTIF('Metrics - Articles'!F836,"*Office of the CEO*")</f>
        <v>0</v>
      </c>
      <c r="E839">
        <f>COUNTIF('Metrics - Articles'!F836,"*Services Delivery &amp; Support (go-lives and deployments) *")</f>
        <v>0</v>
      </c>
      <c r="F839">
        <f>COUNTIF('Metrics - Articles'!F836,"*Human Resources (SAP HR and employee stories)*")</f>
        <v>0</v>
      </c>
      <c r="G839">
        <f>COUNTIF('Metrics - Articles'!F836,"*P&amp;I (Research &amp; Development)*")</f>
        <v>0</v>
      </c>
      <c r="H839">
        <f>COUNTIF('Metrics - Articles'!F836,"*Business Network (Concur, Ariba, Fieldglass)*")</f>
        <v>0</v>
      </c>
      <c r="I839">
        <f>COUNTIF('Metrics - Articles'!F836,"*GCO – Regions*")</f>
        <v>0</v>
      </c>
      <c r="J839">
        <f>COUNTIF('Metrics - Articles'!F836,"*GCO – Platform Solutions*")</f>
        <v>0</v>
      </c>
      <c r="K839">
        <f>COUNTIF('Metrics - Articles'!F836,"*GCO – Industry Cloud *")</f>
        <v>0</v>
      </c>
      <c r="L839">
        <f>COUNTIF('Metrics - Articles'!F836,"*GCO – Customer Engagement &amp; Commerce (CRM &amp; hybris) *")</f>
        <v>0</v>
      </c>
      <c r="M839">
        <f>COUNTIF('Metrics - Articles'!F836,"*GCO – HR (SuccessFactors)*")</f>
        <v>0</v>
      </c>
      <c r="N839">
        <f>COUNTIF('Metrics - Articles'!F836,"*GCO – Services Sales*")</f>
        <v>0</v>
      </c>
      <c r="O839">
        <f>COUNTIF('Metrics - Articles'!F836,"*GCO – Other*")</f>
        <v>0</v>
      </c>
      <c r="P839">
        <f>COUNTIF('Metrics - Articles'!F836,"*Corporate*")</f>
        <v>0</v>
      </c>
      <c r="R839" s="53">
        <f t="shared" si="14"/>
        <v>0</v>
      </c>
    </row>
    <row r="840" spans="2:18" hidden="1" x14ac:dyDescent="0.25">
      <c r="B840" s="48">
        <f>+'Metrics - Articles'!C837</f>
        <v>0</v>
      </c>
      <c r="C840">
        <f>COUNTIF('Metrics - Articles'!F837,"*GPO (Partner, Ecosystem, Channels)*")</f>
        <v>0</v>
      </c>
      <c r="D840">
        <f>COUNTIF('Metrics - Articles'!F837,"*Office of the CEO*")</f>
        <v>0</v>
      </c>
      <c r="E840">
        <f>COUNTIF('Metrics - Articles'!F837,"*Services Delivery &amp; Support (go-lives and deployments) *")</f>
        <v>0</v>
      </c>
      <c r="F840">
        <f>COUNTIF('Metrics - Articles'!F837,"*Human Resources (SAP HR and employee stories)*")</f>
        <v>0</v>
      </c>
      <c r="G840">
        <f>COUNTIF('Metrics - Articles'!F837,"*P&amp;I (Research &amp; Development)*")</f>
        <v>0</v>
      </c>
      <c r="H840">
        <f>COUNTIF('Metrics - Articles'!F837,"*Business Network (Concur, Ariba, Fieldglass)*")</f>
        <v>0</v>
      </c>
      <c r="I840">
        <f>COUNTIF('Metrics - Articles'!F837,"*GCO – Regions*")</f>
        <v>0</v>
      </c>
      <c r="J840">
        <f>COUNTIF('Metrics - Articles'!F837,"*GCO – Platform Solutions*")</f>
        <v>0</v>
      </c>
      <c r="K840">
        <f>COUNTIF('Metrics - Articles'!F837,"*GCO – Industry Cloud *")</f>
        <v>0</v>
      </c>
      <c r="L840">
        <f>COUNTIF('Metrics - Articles'!F837,"*GCO – Customer Engagement &amp; Commerce (CRM &amp; hybris) *")</f>
        <v>0</v>
      </c>
      <c r="M840">
        <f>COUNTIF('Metrics - Articles'!F837,"*GCO – HR (SuccessFactors)*")</f>
        <v>0</v>
      </c>
      <c r="N840">
        <f>COUNTIF('Metrics - Articles'!F837,"*GCO – Services Sales*")</f>
        <v>0</v>
      </c>
      <c r="O840">
        <f>COUNTIF('Metrics - Articles'!F837,"*GCO – Other*")</f>
        <v>0</v>
      </c>
      <c r="P840">
        <f>COUNTIF('Metrics - Articles'!F837,"*Corporate*")</f>
        <v>0</v>
      </c>
      <c r="R840" s="53">
        <f t="shared" si="14"/>
        <v>0</v>
      </c>
    </row>
    <row r="841" spans="2:18" hidden="1" x14ac:dyDescent="0.25">
      <c r="B841" s="48">
        <f>+'Metrics - Articles'!C838</f>
        <v>0</v>
      </c>
      <c r="C841">
        <f>COUNTIF('Metrics - Articles'!F838,"*GPO (Partner, Ecosystem, Channels)*")</f>
        <v>0</v>
      </c>
      <c r="D841">
        <f>COUNTIF('Metrics - Articles'!F838,"*Office of the CEO*")</f>
        <v>0</v>
      </c>
      <c r="E841">
        <f>COUNTIF('Metrics - Articles'!F838,"*Services Delivery &amp; Support (go-lives and deployments) *")</f>
        <v>0</v>
      </c>
      <c r="F841">
        <f>COUNTIF('Metrics - Articles'!F838,"*Human Resources (SAP HR and employee stories)*")</f>
        <v>0</v>
      </c>
      <c r="G841">
        <f>COUNTIF('Metrics - Articles'!F838,"*P&amp;I (Research &amp; Development)*")</f>
        <v>0</v>
      </c>
      <c r="H841">
        <f>COUNTIF('Metrics - Articles'!F838,"*Business Network (Concur, Ariba, Fieldglass)*")</f>
        <v>0</v>
      </c>
      <c r="I841">
        <f>COUNTIF('Metrics - Articles'!F838,"*GCO – Regions*")</f>
        <v>0</v>
      </c>
      <c r="J841">
        <f>COUNTIF('Metrics - Articles'!F838,"*GCO – Platform Solutions*")</f>
        <v>0</v>
      </c>
      <c r="K841">
        <f>COUNTIF('Metrics - Articles'!F838,"*GCO – Industry Cloud *")</f>
        <v>0</v>
      </c>
      <c r="L841">
        <f>COUNTIF('Metrics - Articles'!F838,"*GCO – Customer Engagement &amp; Commerce (CRM &amp; hybris) *")</f>
        <v>0</v>
      </c>
      <c r="M841">
        <f>COUNTIF('Metrics - Articles'!F838,"*GCO – HR (SuccessFactors)*")</f>
        <v>0</v>
      </c>
      <c r="N841">
        <f>COUNTIF('Metrics - Articles'!F838,"*GCO – Services Sales*")</f>
        <v>0</v>
      </c>
      <c r="O841">
        <f>COUNTIF('Metrics - Articles'!F838,"*GCO – Other*")</f>
        <v>0</v>
      </c>
      <c r="P841">
        <f>COUNTIF('Metrics - Articles'!F838,"*Corporate*")</f>
        <v>0</v>
      </c>
      <c r="R841" s="53">
        <f t="shared" si="14"/>
        <v>0</v>
      </c>
    </row>
    <row r="842" spans="2:18" hidden="1" x14ac:dyDescent="0.25">
      <c r="B842" s="48">
        <f>+'Metrics - Articles'!C839</f>
        <v>0</v>
      </c>
      <c r="C842">
        <f>COUNTIF('Metrics - Articles'!F839,"*GPO (Partner, Ecosystem, Channels)*")</f>
        <v>0</v>
      </c>
      <c r="D842">
        <f>COUNTIF('Metrics - Articles'!F839,"*Office of the CEO*")</f>
        <v>0</v>
      </c>
      <c r="E842">
        <f>COUNTIF('Metrics - Articles'!F839,"*Services Delivery &amp; Support (go-lives and deployments) *")</f>
        <v>0</v>
      </c>
      <c r="F842">
        <f>COUNTIF('Metrics - Articles'!F839,"*Human Resources (SAP HR and employee stories)*")</f>
        <v>0</v>
      </c>
      <c r="G842">
        <f>COUNTIF('Metrics - Articles'!F839,"*P&amp;I (Research &amp; Development)*")</f>
        <v>0</v>
      </c>
      <c r="H842">
        <f>COUNTIF('Metrics - Articles'!F839,"*Business Network (Concur, Ariba, Fieldglass)*")</f>
        <v>0</v>
      </c>
      <c r="I842">
        <f>COUNTIF('Metrics - Articles'!F839,"*GCO – Regions*")</f>
        <v>0</v>
      </c>
      <c r="J842">
        <f>COUNTIF('Metrics - Articles'!F839,"*GCO – Platform Solutions*")</f>
        <v>0</v>
      </c>
      <c r="K842">
        <f>COUNTIF('Metrics - Articles'!F839,"*GCO – Industry Cloud *")</f>
        <v>0</v>
      </c>
      <c r="L842">
        <f>COUNTIF('Metrics - Articles'!F839,"*GCO – Customer Engagement &amp; Commerce (CRM &amp; hybris) *")</f>
        <v>0</v>
      </c>
      <c r="M842">
        <f>COUNTIF('Metrics - Articles'!F839,"*GCO – HR (SuccessFactors)*")</f>
        <v>0</v>
      </c>
      <c r="N842">
        <f>COUNTIF('Metrics - Articles'!F839,"*GCO – Services Sales*")</f>
        <v>0</v>
      </c>
      <c r="O842">
        <f>COUNTIF('Metrics - Articles'!F839,"*GCO – Other*")</f>
        <v>0</v>
      </c>
      <c r="P842">
        <f>COUNTIF('Metrics - Articles'!F839,"*Corporate*")</f>
        <v>0</v>
      </c>
      <c r="R842" s="53">
        <f t="shared" ref="R842:R905" si="15">SUM(C842:Q842)</f>
        <v>0</v>
      </c>
    </row>
    <row r="843" spans="2:18" hidden="1" x14ac:dyDescent="0.25">
      <c r="B843" s="48">
        <f>+'Metrics - Articles'!C840</f>
        <v>0</v>
      </c>
      <c r="C843">
        <f>COUNTIF('Metrics - Articles'!F840,"*GPO (Partner, Ecosystem, Channels)*")</f>
        <v>0</v>
      </c>
      <c r="D843">
        <f>COUNTIF('Metrics - Articles'!F840,"*Office of the CEO*")</f>
        <v>0</v>
      </c>
      <c r="E843">
        <f>COUNTIF('Metrics - Articles'!F840,"*Services Delivery &amp; Support (go-lives and deployments) *")</f>
        <v>0</v>
      </c>
      <c r="F843">
        <f>COUNTIF('Metrics - Articles'!F840,"*Human Resources (SAP HR and employee stories)*")</f>
        <v>0</v>
      </c>
      <c r="G843">
        <f>COUNTIF('Metrics - Articles'!F840,"*P&amp;I (Research &amp; Development)*")</f>
        <v>0</v>
      </c>
      <c r="H843">
        <f>COUNTIF('Metrics - Articles'!F840,"*Business Network (Concur, Ariba, Fieldglass)*")</f>
        <v>0</v>
      </c>
      <c r="I843">
        <f>COUNTIF('Metrics - Articles'!F840,"*GCO – Regions*")</f>
        <v>0</v>
      </c>
      <c r="J843">
        <f>COUNTIF('Metrics - Articles'!F840,"*GCO – Platform Solutions*")</f>
        <v>0</v>
      </c>
      <c r="K843">
        <f>COUNTIF('Metrics - Articles'!F840,"*GCO – Industry Cloud *")</f>
        <v>0</v>
      </c>
      <c r="L843">
        <f>COUNTIF('Metrics - Articles'!F840,"*GCO – Customer Engagement &amp; Commerce (CRM &amp; hybris) *")</f>
        <v>0</v>
      </c>
      <c r="M843">
        <f>COUNTIF('Metrics - Articles'!F840,"*GCO – HR (SuccessFactors)*")</f>
        <v>0</v>
      </c>
      <c r="N843">
        <f>COUNTIF('Metrics - Articles'!F840,"*GCO – Services Sales*")</f>
        <v>0</v>
      </c>
      <c r="O843">
        <f>COUNTIF('Metrics - Articles'!F840,"*GCO – Other*")</f>
        <v>0</v>
      </c>
      <c r="P843">
        <f>COUNTIF('Metrics - Articles'!F840,"*Corporate*")</f>
        <v>0</v>
      </c>
      <c r="R843" s="53">
        <f t="shared" si="15"/>
        <v>0</v>
      </c>
    </row>
    <row r="844" spans="2:18" hidden="1" x14ac:dyDescent="0.25">
      <c r="B844" s="48">
        <f>+'Metrics - Articles'!C841</f>
        <v>0</v>
      </c>
      <c r="C844">
        <f>COUNTIF('Metrics - Articles'!F841,"*GPO (Partner, Ecosystem, Channels)*")</f>
        <v>0</v>
      </c>
      <c r="D844">
        <f>COUNTIF('Metrics - Articles'!F841,"*Office of the CEO*")</f>
        <v>0</v>
      </c>
      <c r="E844">
        <f>COUNTIF('Metrics - Articles'!F841,"*Services Delivery &amp; Support (go-lives and deployments) *")</f>
        <v>0</v>
      </c>
      <c r="F844">
        <f>COUNTIF('Metrics - Articles'!F841,"*Human Resources (SAP HR and employee stories)*")</f>
        <v>0</v>
      </c>
      <c r="G844">
        <f>COUNTIF('Metrics - Articles'!F841,"*P&amp;I (Research &amp; Development)*")</f>
        <v>0</v>
      </c>
      <c r="H844">
        <f>COUNTIF('Metrics - Articles'!F841,"*Business Network (Concur, Ariba, Fieldglass)*")</f>
        <v>0</v>
      </c>
      <c r="I844">
        <f>COUNTIF('Metrics - Articles'!F841,"*GCO – Regions*")</f>
        <v>0</v>
      </c>
      <c r="J844">
        <f>COUNTIF('Metrics - Articles'!F841,"*GCO – Platform Solutions*")</f>
        <v>0</v>
      </c>
      <c r="K844">
        <f>COUNTIF('Metrics - Articles'!F841,"*GCO – Industry Cloud *")</f>
        <v>0</v>
      </c>
      <c r="L844">
        <f>COUNTIF('Metrics - Articles'!F841,"*GCO – Customer Engagement &amp; Commerce (CRM &amp; hybris) *")</f>
        <v>0</v>
      </c>
      <c r="M844">
        <f>COUNTIF('Metrics - Articles'!F841,"*GCO – HR (SuccessFactors)*")</f>
        <v>0</v>
      </c>
      <c r="N844">
        <f>COUNTIF('Metrics - Articles'!F841,"*GCO – Services Sales*")</f>
        <v>0</v>
      </c>
      <c r="O844">
        <f>COUNTIF('Metrics - Articles'!F841,"*GCO – Other*")</f>
        <v>0</v>
      </c>
      <c r="P844">
        <f>COUNTIF('Metrics - Articles'!F841,"*Corporate*")</f>
        <v>0</v>
      </c>
      <c r="R844" s="53">
        <f t="shared" si="15"/>
        <v>0</v>
      </c>
    </row>
    <row r="845" spans="2:18" hidden="1" x14ac:dyDescent="0.25">
      <c r="B845" s="48">
        <f>+'Metrics - Articles'!C842</f>
        <v>0</v>
      </c>
      <c r="C845">
        <f>COUNTIF('Metrics - Articles'!F842,"*GPO (Partner, Ecosystem, Channels)*")</f>
        <v>0</v>
      </c>
      <c r="D845">
        <f>COUNTIF('Metrics - Articles'!F842,"*Office of the CEO*")</f>
        <v>0</v>
      </c>
      <c r="E845">
        <f>COUNTIF('Metrics - Articles'!F842,"*Services Delivery &amp; Support (go-lives and deployments) *")</f>
        <v>0</v>
      </c>
      <c r="F845">
        <f>COUNTIF('Metrics - Articles'!F842,"*Human Resources (SAP HR and employee stories)*")</f>
        <v>0</v>
      </c>
      <c r="G845">
        <f>COUNTIF('Metrics - Articles'!F842,"*P&amp;I (Research &amp; Development)*")</f>
        <v>0</v>
      </c>
      <c r="H845">
        <f>COUNTIF('Metrics - Articles'!F842,"*Business Network (Concur, Ariba, Fieldglass)*")</f>
        <v>0</v>
      </c>
      <c r="I845">
        <f>COUNTIF('Metrics - Articles'!F842,"*GCO – Regions*")</f>
        <v>0</v>
      </c>
      <c r="J845">
        <f>COUNTIF('Metrics - Articles'!F842,"*GCO – Platform Solutions*")</f>
        <v>0</v>
      </c>
      <c r="K845">
        <f>COUNTIF('Metrics - Articles'!F842,"*GCO – Industry Cloud *")</f>
        <v>0</v>
      </c>
      <c r="L845">
        <f>COUNTIF('Metrics - Articles'!F842,"*GCO – Customer Engagement &amp; Commerce (CRM &amp; hybris) *")</f>
        <v>0</v>
      </c>
      <c r="M845">
        <f>COUNTIF('Metrics - Articles'!F842,"*GCO – HR (SuccessFactors)*")</f>
        <v>0</v>
      </c>
      <c r="N845">
        <f>COUNTIF('Metrics - Articles'!F842,"*GCO – Services Sales*")</f>
        <v>0</v>
      </c>
      <c r="O845">
        <f>COUNTIF('Metrics - Articles'!F842,"*GCO – Other*")</f>
        <v>0</v>
      </c>
      <c r="P845">
        <f>COUNTIF('Metrics - Articles'!F842,"*Corporate*")</f>
        <v>0</v>
      </c>
      <c r="R845" s="53">
        <f t="shared" si="15"/>
        <v>0</v>
      </c>
    </row>
    <row r="846" spans="2:18" hidden="1" x14ac:dyDescent="0.25">
      <c r="B846" s="48">
        <f>+'Metrics - Articles'!C843</f>
        <v>0</v>
      </c>
      <c r="C846">
        <f>COUNTIF('Metrics - Articles'!F843,"*GPO (Partner, Ecosystem, Channels)*")</f>
        <v>0</v>
      </c>
      <c r="D846">
        <f>COUNTIF('Metrics - Articles'!F843,"*Office of the CEO*")</f>
        <v>0</v>
      </c>
      <c r="E846">
        <f>COUNTIF('Metrics - Articles'!F843,"*Services Delivery &amp; Support (go-lives and deployments) *")</f>
        <v>0</v>
      </c>
      <c r="F846">
        <f>COUNTIF('Metrics - Articles'!F843,"*Human Resources (SAP HR and employee stories)*")</f>
        <v>0</v>
      </c>
      <c r="G846">
        <f>COUNTIF('Metrics - Articles'!F843,"*P&amp;I (Research &amp; Development)*")</f>
        <v>0</v>
      </c>
      <c r="H846">
        <f>COUNTIF('Metrics - Articles'!F843,"*Business Network (Concur, Ariba, Fieldglass)*")</f>
        <v>0</v>
      </c>
      <c r="I846">
        <f>COUNTIF('Metrics - Articles'!F843,"*GCO – Regions*")</f>
        <v>0</v>
      </c>
      <c r="J846">
        <f>COUNTIF('Metrics - Articles'!F843,"*GCO – Platform Solutions*")</f>
        <v>0</v>
      </c>
      <c r="K846">
        <f>COUNTIF('Metrics - Articles'!F843,"*GCO – Industry Cloud *")</f>
        <v>0</v>
      </c>
      <c r="L846">
        <f>COUNTIF('Metrics - Articles'!F843,"*GCO – Customer Engagement &amp; Commerce (CRM &amp; hybris) *")</f>
        <v>0</v>
      </c>
      <c r="M846">
        <f>COUNTIF('Metrics - Articles'!F843,"*GCO – HR (SuccessFactors)*")</f>
        <v>0</v>
      </c>
      <c r="N846">
        <f>COUNTIF('Metrics - Articles'!F843,"*GCO – Services Sales*")</f>
        <v>0</v>
      </c>
      <c r="O846">
        <f>COUNTIF('Metrics - Articles'!F843,"*GCO – Other*")</f>
        <v>0</v>
      </c>
      <c r="P846">
        <f>COUNTIF('Metrics - Articles'!F843,"*Corporate*")</f>
        <v>0</v>
      </c>
      <c r="R846" s="53">
        <f t="shared" si="15"/>
        <v>0</v>
      </c>
    </row>
    <row r="847" spans="2:18" hidden="1" x14ac:dyDescent="0.25">
      <c r="B847" s="48">
        <f>+'Metrics - Articles'!C844</f>
        <v>0</v>
      </c>
      <c r="C847">
        <f>COUNTIF('Metrics - Articles'!F844,"*GPO (Partner, Ecosystem, Channels)*")</f>
        <v>0</v>
      </c>
      <c r="D847">
        <f>COUNTIF('Metrics - Articles'!F844,"*Office of the CEO*")</f>
        <v>0</v>
      </c>
      <c r="E847">
        <f>COUNTIF('Metrics - Articles'!F844,"*Services Delivery &amp; Support (go-lives and deployments) *")</f>
        <v>0</v>
      </c>
      <c r="F847">
        <f>COUNTIF('Metrics - Articles'!F844,"*Human Resources (SAP HR and employee stories)*")</f>
        <v>0</v>
      </c>
      <c r="G847">
        <f>COUNTIF('Metrics - Articles'!F844,"*P&amp;I (Research &amp; Development)*")</f>
        <v>0</v>
      </c>
      <c r="H847">
        <f>COUNTIF('Metrics - Articles'!F844,"*Business Network (Concur, Ariba, Fieldglass)*")</f>
        <v>0</v>
      </c>
      <c r="I847">
        <f>COUNTIF('Metrics - Articles'!F844,"*GCO – Regions*")</f>
        <v>0</v>
      </c>
      <c r="J847">
        <f>COUNTIF('Metrics - Articles'!F844,"*GCO – Platform Solutions*")</f>
        <v>0</v>
      </c>
      <c r="K847">
        <f>COUNTIF('Metrics - Articles'!F844,"*GCO – Industry Cloud *")</f>
        <v>0</v>
      </c>
      <c r="L847">
        <f>COUNTIF('Metrics - Articles'!F844,"*GCO – Customer Engagement &amp; Commerce (CRM &amp; hybris) *")</f>
        <v>0</v>
      </c>
      <c r="M847">
        <f>COUNTIF('Metrics - Articles'!F844,"*GCO – HR (SuccessFactors)*")</f>
        <v>0</v>
      </c>
      <c r="N847">
        <f>COUNTIF('Metrics - Articles'!F844,"*GCO – Services Sales*")</f>
        <v>0</v>
      </c>
      <c r="O847">
        <f>COUNTIF('Metrics - Articles'!F844,"*GCO – Other*")</f>
        <v>0</v>
      </c>
      <c r="P847">
        <f>COUNTIF('Metrics - Articles'!F844,"*Corporate*")</f>
        <v>0</v>
      </c>
      <c r="R847" s="53">
        <f t="shared" si="15"/>
        <v>0</v>
      </c>
    </row>
    <row r="848" spans="2:18" hidden="1" x14ac:dyDescent="0.25">
      <c r="B848" s="48">
        <f>+'Metrics - Articles'!C845</f>
        <v>0</v>
      </c>
      <c r="C848">
        <f>COUNTIF('Metrics - Articles'!F845,"*GPO (Partner, Ecosystem, Channels)*")</f>
        <v>0</v>
      </c>
      <c r="D848">
        <f>COUNTIF('Metrics - Articles'!F845,"*Office of the CEO*")</f>
        <v>0</v>
      </c>
      <c r="E848">
        <f>COUNTIF('Metrics - Articles'!F845,"*Services Delivery &amp; Support (go-lives and deployments) *")</f>
        <v>0</v>
      </c>
      <c r="F848">
        <f>COUNTIF('Metrics - Articles'!F845,"*Human Resources (SAP HR and employee stories)*")</f>
        <v>0</v>
      </c>
      <c r="G848">
        <f>COUNTIF('Metrics - Articles'!F845,"*P&amp;I (Research &amp; Development)*")</f>
        <v>0</v>
      </c>
      <c r="H848">
        <f>COUNTIF('Metrics - Articles'!F845,"*Business Network (Concur, Ariba, Fieldglass)*")</f>
        <v>0</v>
      </c>
      <c r="I848">
        <f>COUNTIF('Metrics - Articles'!F845,"*GCO – Regions*")</f>
        <v>0</v>
      </c>
      <c r="J848">
        <f>COUNTIF('Metrics - Articles'!F845,"*GCO – Platform Solutions*")</f>
        <v>0</v>
      </c>
      <c r="K848">
        <f>COUNTIF('Metrics - Articles'!F845,"*GCO – Industry Cloud *")</f>
        <v>0</v>
      </c>
      <c r="L848">
        <f>COUNTIF('Metrics - Articles'!F845,"*GCO – Customer Engagement &amp; Commerce (CRM &amp; hybris) *")</f>
        <v>0</v>
      </c>
      <c r="M848">
        <f>COUNTIF('Metrics - Articles'!F845,"*GCO – HR (SuccessFactors)*")</f>
        <v>0</v>
      </c>
      <c r="N848">
        <f>COUNTIF('Metrics - Articles'!F845,"*GCO – Services Sales*")</f>
        <v>0</v>
      </c>
      <c r="O848">
        <f>COUNTIF('Metrics - Articles'!F845,"*GCO – Other*")</f>
        <v>0</v>
      </c>
      <c r="P848">
        <f>COUNTIF('Metrics - Articles'!F845,"*Corporate*")</f>
        <v>0</v>
      </c>
      <c r="R848" s="53">
        <f t="shared" si="15"/>
        <v>0</v>
      </c>
    </row>
    <row r="849" spans="2:18" hidden="1" x14ac:dyDescent="0.25">
      <c r="B849" s="48">
        <f>+'Metrics - Articles'!C846</f>
        <v>0</v>
      </c>
      <c r="C849">
        <f>COUNTIF('Metrics - Articles'!F846,"*GPO (Partner, Ecosystem, Channels)*")</f>
        <v>0</v>
      </c>
      <c r="D849">
        <f>COUNTIF('Metrics - Articles'!F846,"*Office of the CEO*")</f>
        <v>0</v>
      </c>
      <c r="E849">
        <f>COUNTIF('Metrics - Articles'!F846,"*Services Delivery &amp; Support (go-lives and deployments) *")</f>
        <v>0</v>
      </c>
      <c r="F849">
        <f>COUNTIF('Metrics - Articles'!F846,"*Human Resources (SAP HR and employee stories)*")</f>
        <v>0</v>
      </c>
      <c r="G849">
        <f>COUNTIF('Metrics - Articles'!F846,"*P&amp;I (Research &amp; Development)*")</f>
        <v>0</v>
      </c>
      <c r="H849">
        <f>COUNTIF('Metrics - Articles'!F846,"*Business Network (Concur, Ariba, Fieldglass)*")</f>
        <v>0</v>
      </c>
      <c r="I849">
        <f>COUNTIF('Metrics - Articles'!F846,"*GCO – Regions*")</f>
        <v>0</v>
      </c>
      <c r="J849">
        <f>COUNTIF('Metrics - Articles'!F846,"*GCO – Platform Solutions*")</f>
        <v>0</v>
      </c>
      <c r="K849">
        <f>COUNTIF('Metrics - Articles'!F846,"*GCO – Industry Cloud *")</f>
        <v>0</v>
      </c>
      <c r="L849">
        <f>COUNTIF('Metrics - Articles'!F846,"*GCO – Customer Engagement &amp; Commerce (CRM &amp; hybris) *")</f>
        <v>0</v>
      </c>
      <c r="M849">
        <f>COUNTIF('Metrics - Articles'!F846,"*GCO – HR (SuccessFactors)*")</f>
        <v>0</v>
      </c>
      <c r="N849">
        <f>COUNTIF('Metrics - Articles'!F846,"*GCO – Services Sales*")</f>
        <v>0</v>
      </c>
      <c r="O849">
        <f>COUNTIF('Metrics - Articles'!F846,"*GCO – Other*")</f>
        <v>0</v>
      </c>
      <c r="P849">
        <f>COUNTIF('Metrics - Articles'!F846,"*Corporate*")</f>
        <v>0</v>
      </c>
      <c r="R849" s="53">
        <f t="shared" si="15"/>
        <v>0</v>
      </c>
    </row>
    <row r="850" spans="2:18" hidden="1" x14ac:dyDescent="0.25">
      <c r="B850" s="48">
        <f>+'Metrics - Articles'!C847</f>
        <v>0</v>
      </c>
      <c r="C850">
        <f>COUNTIF('Metrics - Articles'!F847,"*GPO (Partner, Ecosystem, Channels)*")</f>
        <v>0</v>
      </c>
      <c r="D850">
        <f>COUNTIF('Metrics - Articles'!F847,"*Office of the CEO*")</f>
        <v>0</v>
      </c>
      <c r="E850">
        <f>COUNTIF('Metrics - Articles'!F847,"*Services Delivery &amp; Support (go-lives and deployments) *")</f>
        <v>0</v>
      </c>
      <c r="F850">
        <f>COUNTIF('Metrics - Articles'!F847,"*Human Resources (SAP HR and employee stories)*")</f>
        <v>0</v>
      </c>
      <c r="G850">
        <f>COUNTIF('Metrics - Articles'!F847,"*P&amp;I (Research &amp; Development)*")</f>
        <v>0</v>
      </c>
      <c r="H850">
        <f>COUNTIF('Metrics - Articles'!F847,"*Business Network (Concur, Ariba, Fieldglass)*")</f>
        <v>0</v>
      </c>
      <c r="I850">
        <f>COUNTIF('Metrics - Articles'!F847,"*GCO – Regions*")</f>
        <v>0</v>
      </c>
      <c r="J850">
        <f>COUNTIF('Metrics - Articles'!F847,"*GCO – Platform Solutions*")</f>
        <v>0</v>
      </c>
      <c r="K850">
        <f>COUNTIF('Metrics - Articles'!F847,"*GCO – Industry Cloud *")</f>
        <v>0</v>
      </c>
      <c r="L850">
        <f>COUNTIF('Metrics - Articles'!F847,"*GCO – Customer Engagement &amp; Commerce (CRM &amp; hybris) *")</f>
        <v>0</v>
      </c>
      <c r="M850">
        <f>COUNTIF('Metrics - Articles'!F847,"*GCO – HR (SuccessFactors)*")</f>
        <v>0</v>
      </c>
      <c r="N850">
        <f>COUNTIF('Metrics - Articles'!F847,"*GCO – Services Sales*")</f>
        <v>0</v>
      </c>
      <c r="O850">
        <f>COUNTIF('Metrics - Articles'!F847,"*GCO – Other*")</f>
        <v>0</v>
      </c>
      <c r="P850">
        <f>COUNTIF('Metrics - Articles'!F847,"*Corporate*")</f>
        <v>0</v>
      </c>
      <c r="R850" s="53">
        <f t="shared" si="15"/>
        <v>0</v>
      </c>
    </row>
    <row r="851" spans="2:18" hidden="1" x14ac:dyDescent="0.25">
      <c r="B851" s="48">
        <f>+'Metrics - Articles'!C848</f>
        <v>0</v>
      </c>
      <c r="C851">
        <f>COUNTIF('Metrics - Articles'!F848,"*GPO (Partner, Ecosystem, Channels)*")</f>
        <v>0</v>
      </c>
      <c r="D851">
        <f>COUNTIF('Metrics - Articles'!F848,"*Office of the CEO*")</f>
        <v>0</v>
      </c>
      <c r="E851">
        <f>COUNTIF('Metrics - Articles'!F848,"*Services Delivery &amp; Support (go-lives and deployments) *")</f>
        <v>0</v>
      </c>
      <c r="F851">
        <f>COUNTIF('Metrics - Articles'!F848,"*Human Resources (SAP HR and employee stories)*")</f>
        <v>0</v>
      </c>
      <c r="G851">
        <f>COUNTIF('Metrics - Articles'!F848,"*P&amp;I (Research &amp; Development)*")</f>
        <v>0</v>
      </c>
      <c r="H851">
        <f>COUNTIF('Metrics - Articles'!F848,"*Business Network (Concur, Ariba, Fieldglass)*")</f>
        <v>0</v>
      </c>
      <c r="I851">
        <f>COUNTIF('Metrics - Articles'!F848,"*GCO – Regions*")</f>
        <v>0</v>
      </c>
      <c r="J851">
        <f>COUNTIF('Metrics - Articles'!F848,"*GCO – Platform Solutions*")</f>
        <v>0</v>
      </c>
      <c r="K851">
        <f>COUNTIF('Metrics - Articles'!F848,"*GCO – Industry Cloud *")</f>
        <v>0</v>
      </c>
      <c r="L851">
        <f>COUNTIF('Metrics - Articles'!F848,"*GCO – Customer Engagement &amp; Commerce (CRM &amp; hybris) *")</f>
        <v>0</v>
      </c>
      <c r="M851">
        <f>COUNTIF('Metrics - Articles'!F848,"*GCO – HR (SuccessFactors)*")</f>
        <v>0</v>
      </c>
      <c r="N851">
        <f>COUNTIF('Metrics - Articles'!F848,"*GCO – Services Sales*")</f>
        <v>0</v>
      </c>
      <c r="O851">
        <f>COUNTIF('Metrics - Articles'!F848,"*GCO – Other*")</f>
        <v>0</v>
      </c>
      <c r="P851">
        <f>COUNTIF('Metrics - Articles'!F848,"*Corporate*")</f>
        <v>0</v>
      </c>
      <c r="R851" s="53">
        <f t="shared" si="15"/>
        <v>0</v>
      </c>
    </row>
    <row r="852" spans="2:18" hidden="1" x14ac:dyDescent="0.25">
      <c r="B852" s="48">
        <f>+'Metrics - Articles'!C849</f>
        <v>0</v>
      </c>
      <c r="C852">
        <f>COUNTIF('Metrics - Articles'!F849,"*GPO (Partner, Ecosystem, Channels)*")</f>
        <v>0</v>
      </c>
      <c r="D852">
        <f>COUNTIF('Metrics - Articles'!F849,"*Office of the CEO*")</f>
        <v>0</v>
      </c>
      <c r="E852">
        <f>COUNTIF('Metrics - Articles'!F849,"*Services Delivery &amp; Support (go-lives and deployments) *")</f>
        <v>0</v>
      </c>
      <c r="F852">
        <f>COUNTIF('Metrics - Articles'!F849,"*Human Resources (SAP HR and employee stories)*")</f>
        <v>0</v>
      </c>
      <c r="G852">
        <f>COUNTIF('Metrics - Articles'!F849,"*P&amp;I (Research &amp; Development)*")</f>
        <v>0</v>
      </c>
      <c r="H852">
        <f>COUNTIF('Metrics - Articles'!F849,"*Business Network (Concur, Ariba, Fieldglass)*")</f>
        <v>0</v>
      </c>
      <c r="I852">
        <f>COUNTIF('Metrics - Articles'!F849,"*GCO – Regions*")</f>
        <v>0</v>
      </c>
      <c r="J852">
        <f>COUNTIF('Metrics - Articles'!F849,"*GCO – Platform Solutions*")</f>
        <v>0</v>
      </c>
      <c r="K852">
        <f>COUNTIF('Metrics - Articles'!F849,"*GCO – Industry Cloud *")</f>
        <v>0</v>
      </c>
      <c r="L852">
        <f>COUNTIF('Metrics - Articles'!F849,"*GCO – Customer Engagement &amp; Commerce (CRM &amp; hybris) *")</f>
        <v>0</v>
      </c>
      <c r="M852">
        <f>COUNTIF('Metrics - Articles'!F849,"*GCO – HR (SuccessFactors)*")</f>
        <v>0</v>
      </c>
      <c r="N852">
        <f>COUNTIF('Metrics - Articles'!F849,"*GCO – Services Sales*")</f>
        <v>0</v>
      </c>
      <c r="O852">
        <f>COUNTIF('Metrics - Articles'!F849,"*GCO – Other*")</f>
        <v>0</v>
      </c>
      <c r="P852">
        <f>COUNTIF('Metrics - Articles'!F849,"*Corporate*")</f>
        <v>0</v>
      </c>
      <c r="R852" s="53">
        <f t="shared" si="15"/>
        <v>0</v>
      </c>
    </row>
    <row r="853" spans="2:18" hidden="1" x14ac:dyDescent="0.25">
      <c r="B853" s="48">
        <f>+'Metrics - Articles'!C850</f>
        <v>0</v>
      </c>
      <c r="C853">
        <f>COUNTIF('Metrics - Articles'!F850,"*GPO (Partner, Ecosystem, Channels)*")</f>
        <v>0</v>
      </c>
      <c r="D853">
        <f>COUNTIF('Metrics - Articles'!F850,"*Office of the CEO*")</f>
        <v>0</v>
      </c>
      <c r="E853">
        <f>COUNTIF('Metrics - Articles'!F850,"*Services Delivery &amp; Support (go-lives and deployments) *")</f>
        <v>0</v>
      </c>
      <c r="F853">
        <f>COUNTIF('Metrics - Articles'!F850,"*Human Resources (SAP HR and employee stories)*")</f>
        <v>0</v>
      </c>
      <c r="G853">
        <f>COUNTIF('Metrics - Articles'!F850,"*P&amp;I (Research &amp; Development)*")</f>
        <v>0</v>
      </c>
      <c r="H853">
        <f>COUNTIF('Metrics - Articles'!F850,"*Business Network (Concur, Ariba, Fieldglass)*")</f>
        <v>0</v>
      </c>
      <c r="I853">
        <f>COUNTIF('Metrics - Articles'!F850,"*GCO – Regions*")</f>
        <v>0</v>
      </c>
      <c r="J853">
        <f>COUNTIF('Metrics - Articles'!F850,"*GCO – Platform Solutions*")</f>
        <v>0</v>
      </c>
      <c r="K853">
        <f>COUNTIF('Metrics - Articles'!F850,"*GCO – Industry Cloud *")</f>
        <v>0</v>
      </c>
      <c r="L853">
        <f>COUNTIF('Metrics - Articles'!F850,"*GCO – Customer Engagement &amp; Commerce (CRM &amp; hybris) *")</f>
        <v>0</v>
      </c>
      <c r="M853">
        <f>COUNTIF('Metrics - Articles'!F850,"*GCO – HR (SuccessFactors)*")</f>
        <v>0</v>
      </c>
      <c r="N853">
        <f>COUNTIF('Metrics - Articles'!F850,"*GCO – Services Sales*")</f>
        <v>0</v>
      </c>
      <c r="O853">
        <f>COUNTIF('Metrics - Articles'!F850,"*GCO – Other*")</f>
        <v>0</v>
      </c>
      <c r="P853">
        <f>COUNTIF('Metrics - Articles'!F850,"*Corporate*")</f>
        <v>0</v>
      </c>
      <c r="R853" s="53">
        <f t="shared" si="15"/>
        <v>0</v>
      </c>
    </row>
    <row r="854" spans="2:18" hidden="1" x14ac:dyDescent="0.25">
      <c r="B854" s="48">
        <f>+'Metrics - Articles'!C851</f>
        <v>0</v>
      </c>
      <c r="C854">
        <f>COUNTIF('Metrics - Articles'!F851,"*GPO (Partner, Ecosystem, Channels)*")</f>
        <v>0</v>
      </c>
      <c r="D854">
        <f>COUNTIF('Metrics - Articles'!F851,"*Office of the CEO*")</f>
        <v>0</v>
      </c>
      <c r="E854">
        <f>COUNTIF('Metrics - Articles'!F851,"*Services Delivery &amp; Support (go-lives and deployments) *")</f>
        <v>0</v>
      </c>
      <c r="F854">
        <f>COUNTIF('Metrics - Articles'!F851,"*Human Resources (SAP HR and employee stories)*")</f>
        <v>0</v>
      </c>
      <c r="G854">
        <f>COUNTIF('Metrics - Articles'!F851,"*P&amp;I (Research &amp; Development)*")</f>
        <v>0</v>
      </c>
      <c r="H854">
        <f>COUNTIF('Metrics - Articles'!F851,"*Business Network (Concur, Ariba, Fieldglass)*")</f>
        <v>0</v>
      </c>
      <c r="I854">
        <f>COUNTIF('Metrics - Articles'!F851,"*GCO – Regions*")</f>
        <v>0</v>
      </c>
      <c r="J854">
        <f>COUNTIF('Metrics - Articles'!F851,"*GCO – Platform Solutions*")</f>
        <v>0</v>
      </c>
      <c r="K854">
        <f>COUNTIF('Metrics - Articles'!F851,"*GCO – Industry Cloud *")</f>
        <v>0</v>
      </c>
      <c r="L854">
        <f>COUNTIF('Metrics - Articles'!F851,"*GCO – Customer Engagement &amp; Commerce (CRM &amp; hybris) *")</f>
        <v>0</v>
      </c>
      <c r="M854">
        <f>COUNTIF('Metrics - Articles'!F851,"*GCO – HR (SuccessFactors)*")</f>
        <v>0</v>
      </c>
      <c r="N854">
        <f>COUNTIF('Metrics - Articles'!F851,"*GCO – Services Sales*")</f>
        <v>0</v>
      </c>
      <c r="O854">
        <f>COUNTIF('Metrics - Articles'!F851,"*GCO – Other*")</f>
        <v>0</v>
      </c>
      <c r="P854">
        <f>COUNTIF('Metrics - Articles'!F851,"*Corporate*")</f>
        <v>0</v>
      </c>
      <c r="R854" s="53">
        <f t="shared" si="15"/>
        <v>0</v>
      </c>
    </row>
    <row r="855" spans="2:18" hidden="1" x14ac:dyDescent="0.25">
      <c r="B855" s="48">
        <f>+'Metrics - Articles'!C852</f>
        <v>0</v>
      </c>
      <c r="C855">
        <f>COUNTIF('Metrics - Articles'!F852,"*GPO (Partner, Ecosystem, Channels)*")</f>
        <v>0</v>
      </c>
      <c r="D855">
        <f>COUNTIF('Metrics - Articles'!F852,"*Office of the CEO*")</f>
        <v>0</v>
      </c>
      <c r="E855">
        <f>COUNTIF('Metrics - Articles'!F852,"*Services Delivery &amp; Support (go-lives and deployments) *")</f>
        <v>0</v>
      </c>
      <c r="F855">
        <f>COUNTIF('Metrics - Articles'!F852,"*Human Resources (SAP HR and employee stories)*")</f>
        <v>0</v>
      </c>
      <c r="G855">
        <f>COUNTIF('Metrics - Articles'!F852,"*P&amp;I (Research &amp; Development)*")</f>
        <v>0</v>
      </c>
      <c r="H855">
        <f>COUNTIF('Metrics - Articles'!F852,"*Business Network (Concur, Ariba, Fieldglass)*")</f>
        <v>0</v>
      </c>
      <c r="I855">
        <f>COUNTIF('Metrics - Articles'!F852,"*GCO – Regions*")</f>
        <v>0</v>
      </c>
      <c r="J855">
        <f>COUNTIF('Metrics - Articles'!F852,"*GCO – Platform Solutions*")</f>
        <v>0</v>
      </c>
      <c r="K855">
        <f>COUNTIF('Metrics - Articles'!F852,"*GCO – Industry Cloud *")</f>
        <v>0</v>
      </c>
      <c r="L855">
        <f>COUNTIF('Metrics - Articles'!F852,"*GCO – Customer Engagement &amp; Commerce (CRM &amp; hybris) *")</f>
        <v>0</v>
      </c>
      <c r="M855">
        <f>COUNTIF('Metrics - Articles'!F852,"*GCO – HR (SuccessFactors)*")</f>
        <v>0</v>
      </c>
      <c r="N855">
        <f>COUNTIF('Metrics - Articles'!F852,"*GCO – Services Sales*")</f>
        <v>0</v>
      </c>
      <c r="O855">
        <f>COUNTIF('Metrics - Articles'!F852,"*GCO – Other*")</f>
        <v>0</v>
      </c>
      <c r="P855">
        <f>COUNTIF('Metrics - Articles'!F852,"*Corporate*")</f>
        <v>0</v>
      </c>
      <c r="R855" s="53">
        <f t="shared" si="15"/>
        <v>0</v>
      </c>
    </row>
    <row r="856" spans="2:18" hidden="1" x14ac:dyDescent="0.25">
      <c r="B856" s="48">
        <f>+'Metrics - Articles'!C853</f>
        <v>0</v>
      </c>
      <c r="C856">
        <f>COUNTIF('Metrics - Articles'!F853,"*GPO (Partner, Ecosystem, Channels)*")</f>
        <v>0</v>
      </c>
      <c r="D856">
        <f>COUNTIF('Metrics - Articles'!F853,"*Office of the CEO*")</f>
        <v>0</v>
      </c>
      <c r="E856">
        <f>COUNTIF('Metrics - Articles'!F853,"*Services Delivery &amp; Support (go-lives and deployments) *")</f>
        <v>0</v>
      </c>
      <c r="F856">
        <f>COUNTIF('Metrics - Articles'!F853,"*Human Resources (SAP HR and employee stories)*")</f>
        <v>0</v>
      </c>
      <c r="G856">
        <f>COUNTIF('Metrics - Articles'!F853,"*P&amp;I (Research &amp; Development)*")</f>
        <v>0</v>
      </c>
      <c r="H856">
        <f>COUNTIF('Metrics - Articles'!F853,"*Business Network (Concur, Ariba, Fieldglass)*")</f>
        <v>0</v>
      </c>
      <c r="I856">
        <f>COUNTIF('Metrics - Articles'!F853,"*GCO – Regions*")</f>
        <v>0</v>
      </c>
      <c r="J856">
        <f>COUNTIF('Metrics - Articles'!F853,"*GCO – Platform Solutions*")</f>
        <v>0</v>
      </c>
      <c r="K856">
        <f>COUNTIF('Metrics - Articles'!F853,"*GCO – Industry Cloud *")</f>
        <v>0</v>
      </c>
      <c r="L856">
        <f>COUNTIF('Metrics - Articles'!F853,"*GCO – Customer Engagement &amp; Commerce (CRM &amp; hybris) *")</f>
        <v>0</v>
      </c>
      <c r="M856">
        <f>COUNTIF('Metrics - Articles'!F853,"*GCO – HR (SuccessFactors)*")</f>
        <v>0</v>
      </c>
      <c r="N856">
        <f>COUNTIF('Metrics - Articles'!F853,"*GCO – Services Sales*")</f>
        <v>0</v>
      </c>
      <c r="O856">
        <f>COUNTIF('Metrics - Articles'!F853,"*GCO – Other*")</f>
        <v>0</v>
      </c>
      <c r="P856">
        <f>COUNTIF('Metrics - Articles'!F853,"*Corporate*")</f>
        <v>0</v>
      </c>
      <c r="R856" s="53">
        <f t="shared" si="15"/>
        <v>0</v>
      </c>
    </row>
    <row r="857" spans="2:18" hidden="1" x14ac:dyDescent="0.25">
      <c r="B857" s="48">
        <f>+'Metrics - Articles'!C854</f>
        <v>0</v>
      </c>
      <c r="C857">
        <f>COUNTIF('Metrics - Articles'!F854,"*GPO (Partner, Ecosystem, Channels)*")</f>
        <v>0</v>
      </c>
      <c r="D857">
        <f>COUNTIF('Metrics - Articles'!F854,"*Office of the CEO*")</f>
        <v>0</v>
      </c>
      <c r="E857">
        <f>COUNTIF('Metrics - Articles'!F854,"*Services Delivery &amp; Support (go-lives and deployments) *")</f>
        <v>0</v>
      </c>
      <c r="F857">
        <f>COUNTIF('Metrics - Articles'!F854,"*Human Resources (SAP HR and employee stories)*")</f>
        <v>0</v>
      </c>
      <c r="G857">
        <f>COUNTIF('Metrics - Articles'!F854,"*P&amp;I (Research &amp; Development)*")</f>
        <v>0</v>
      </c>
      <c r="H857">
        <f>COUNTIF('Metrics - Articles'!F854,"*Business Network (Concur, Ariba, Fieldglass)*")</f>
        <v>0</v>
      </c>
      <c r="I857">
        <f>COUNTIF('Metrics - Articles'!F854,"*GCO – Regions*")</f>
        <v>0</v>
      </c>
      <c r="J857">
        <f>COUNTIF('Metrics - Articles'!F854,"*GCO – Platform Solutions*")</f>
        <v>0</v>
      </c>
      <c r="K857">
        <f>COUNTIF('Metrics - Articles'!F854,"*GCO – Industry Cloud *")</f>
        <v>0</v>
      </c>
      <c r="L857">
        <f>COUNTIF('Metrics - Articles'!F854,"*GCO – Customer Engagement &amp; Commerce (CRM &amp; hybris) *")</f>
        <v>0</v>
      </c>
      <c r="M857">
        <f>COUNTIF('Metrics - Articles'!F854,"*GCO – HR (SuccessFactors)*")</f>
        <v>0</v>
      </c>
      <c r="N857">
        <f>COUNTIF('Metrics - Articles'!F854,"*GCO – Services Sales*")</f>
        <v>0</v>
      </c>
      <c r="O857">
        <f>COUNTIF('Metrics - Articles'!F854,"*GCO – Other*")</f>
        <v>0</v>
      </c>
      <c r="P857">
        <f>COUNTIF('Metrics - Articles'!F854,"*Corporate*")</f>
        <v>0</v>
      </c>
      <c r="R857" s="53">
        <f t="shared" si="15"/>
        <v>0</v>
      </c>
    </row>
    <row r="858" spans="2:18" hidden="1" x14ac:dyDescent="0.25">
      <c r="B858" s="48">
        <f>+'Metrics - Articles'!C855</f>
        <v>0</v>
      </c>
      <c r="C858">
        <f>COUNTIF('Metrics - Articles'!F855,"*GPO (Partner, Ecosystem, Channels)*")</f>
        <v>0</v>
      </c>
      <c r="D858">
        <f>COUNTIF('Metrics - Articles'!F855,"*Office of the CEO*")</f>
        <v>0</v>
      </c>
      <c r="E858">
        <f>COUNTIF('Metrics - Articles'!F855,"*Services Delivery &amp; Support (go-lives and deployments) *")</f>
        <v>0</v>
      </c>
      <c r="F858">
        <f>COUNTIF('Metrics - Articles'!F855,"*Human Resources (SAP HR and employee stories)*")</f>
        <v>0</v>
      </c>
      <c r="G858">
        <f>COUNTIF('Metrics - Articles'!F855,"*P&amp;I (Research &amp; Development)*")</f>
        <v>0</v>
      </c>
      <c r="H858">
        <f>COUNTIF('Metrics - Articles'!F855,"*Business Network (Concur, Ariba, Fieldglass)*")</f>
        <v>0</v>
      </c>
      <c r="I858">
        <f>COUNTIF('Metrics - Articles'!F855,"*GCO – Regions*")</f>
        <v>0</v>
      </c>
      <c r="J858">
        <f>COUNTIF('Metrics - Articles'!F855,"*GCO – Platform Solutions*")</f>
        <v>0</v>
      </c>
      <c r="K858">
        <f>COUNTIF('Metrics - Articles'!F855,"*GCO – Industry Cloud *")</f>
        <v>0</v>
      </c>
      <c r="L858">
        <f>COUNTIF('Metrics - Articles'!F855,"*GCO – Customer Engagement &amp; Commerce (CRM &amp; hybris) *")</f>
        <v>0</v>
      </c>
      <c r="M858">
        <f>COUNTIF('Metrics - Articles'!F855,"*GCO – HR (SuccessFactors)*")</f>
        <v>0</v>
      </c>
      <c r="N858">
        <f>COUNTIF('Metrics - Articles'!F855,"*GCO – Services Sales*")</f>
        <v>0</v>
      </c>
      <c r="O858">
        <f>COUNTIF('Metrics - Articles'!F855,"*GCO – Other*")</f>
        <v>0</v>
      </c>
      <c r="P858">
        <f>COUNTIF('Metrics - Articles'!F855,"*Corporate*")</f>
        <v>0</v>
      </c>
      <c r="R858" s="53">
        <f t="shared" si="15"/>
        <v>0</v>
      </c>
    </row>
    <row r="859" spans="2:18" hidden="1" x14ac:dyDescent="0.25">
      <c r="B859" s="48">
        <f>+'Metrics - Articles'!C856</f>
        <v>0</v>
      </c>
      <c r="C859">
        <f>COUNTIF('Metrics - Articles'!F856,"*GPO (Partner, Ecosystem, Channels)*")</f>
        <v>0</v>
      </c>
      <c r="D859">
        <f>COUNTIF('Metrics - Articles'!F856,"*Office of the CEO*")</f>
        <v>0</v>
      </c>
      <c r="E859">
        <f>COUNTIF('Metrics - Articles'!F856,"*Services Delivery &amp; Support (go-lives and deployments) *")</f>
        <v>0</v>
      </c>
      <c r="F859">
        <f>COUNTIF('Metrics - Articles'!F856,"*Human Resources (SAP HR and employee stories)*")</f>
        <v>0</v>
      </c>
      <c r="G859">
        <f>COUNTIF('Metrics - Articles'!F856,"*P&amp;I (Research &amp; Development)*")</f>
        <v>0</v>
      </c>
      <c r="H859">
        <f>COUNTIF('Metrics - Articles'!F856,"*Business Network (Concur, Ariba, Fieldglass)*")</f>
        <v>0</v>
      </c>
      <c r="I859">
        <f>COUNTIF('Metrics - Articles'!F856,"*GCO – Regions*")</f>
        <v>0</v>
      </c>
      <c r="J859">
        <f>COUNTIF('Metrics - Articles'!F856,"*GCO – Platform Solutions*")</f>
        <v>0</v>
      </c>
      <c r="K859">
        <f>COUNTIF('Metrics - Articles'!F856,"*GCO – Industry Cloud *")</f>
        <v>0</v>
      </c>
      <c r="L859">
        <f>COUNTIF('Metrics - Articles'!F856,"*GCO – Customer Engagement &amp; Commerce (CRM &amp; hybris) *")</f>
        <v>0</v>
      </c>
      <c r="M859">
        <f>COUNTIF('Metrics - Articles'!F856,"*GCO – HR (SuccessFactors)*")</f>
        <v>0</v>
      </c>
      <c r="N859">
        <f>COUNTIF('Metrics - Articles'!F856,"*GCO – Services Sales*")</f>
        <v>0</v>
      </c>
      <c r="O859">
        <f>COUNTIF('Metrics - Articles'!F856,"*GCO – Other*")</f>
        <v>0</v>
      </c>
      <c r="P859">
        <f>COUNTIF('Metrics - Articles'!F856,"*Corporate*")</f>
        <v>0</v>
      </c>
      <c r="R859" s="53">
        <f t="shared" si="15"/>
        <v>0</v>
      </c>
    </row>
    <row r="860" spans="2:18" hidden="1" x14ac:dyDescent="0.25">
      <c r="B860" s="48">
        <f>+'Metrics - Articles'!C857</f>
        <v>0</v>
      </c>
      <c r="C860">
        <f>COUNTIF('Metrics - Articles'!F857,"*GPO (Partner, Ecosystem, Channels)*")</f>
        <v>0</v>
      </c>
      <c r="D860">
        <f>COUNTIF('Metrics - Articles'!F857,"*Office of the CEO*")</f>
        <v>0</v>
      </c>
      <c r="E860">
        <f>COUNTIF('Metrics - Articles'!F857,"*Services Delivery &amp; Support (go-lives and deployments) *")</f>
        <v>0</v>
      </c>
      <c r="F860">
        <f>COUNTIF('Metrics - Articles'!F857,"*Human Resources (SAP HR and employee stories)*")</f>
        <v>0</v>
      </c>
      <c r="G860">
        <f>COUNTIF('Metrics - Articles'!F857,"*P&amp;I (Research &amp; Development)*")</f>
        <v>0</v>
      </c>
      <c r="H860">
        <f>COUNTIF('Metrics - Articles'!F857,"*Business Network (Concur, Ariba, Fieldglass)*")</f>
        <v>0</v>
      </c>
      <c r="I860">
        <f>COUNTIF('Metrics - Articles'!F857,"*GCO – Regions*")</f>
        <v>0</v>
      </c>
      <c r="J860">
        <f>COUNTIF('Metrics - Articles'!F857,"*GCO – Platform Solutions*")</f>
        <v>0</v>
      </c>
      <c r="K860">
        <f>COUNTIF('Metrics - Articles'!F857,"*GCO – Industry Cloud *")</f>
        <v>0</v>
      </c>
      <c r="L860">
        <f>COUNTIF('Metrics - Articles'!F857,"*GCO – Customer Engagement &amp; Commerce (CRM &amp; hybris) *")</f>
        <v>0</v>
      </c>
      <c r="M860">
        <f>COUNTIF('Metrics - Articles'!F857,"*GCO – HR (SuccessFactors)*")</f>
        <v>0</v>
      </c>
      <c r="N860">
        <f>COUNTIF('Metrics - Articles'!F857,"*GCO – Services Sales*")</f>
        <v>0</v>
      </c>
      <c r="O860">
        <f>COUNTIF('Metrics - Articles'!F857,"*GCO – Other*")</f>
        <v>0</v>
      </c>
      <c r="P860">
        <f>COUNTIF('Metrics - Articles'!F857,"*Corporate*")</f>
        <v>0</v>
      </c>
      <c r="R860" s="53">
        <f t="shared" si="15"/>
        <v>0</v>
      </c>
    </row>
    <row r="861" spans="2:18" hidden="1" x14ac:dyDescent="0.25">
      <c r="B861" s="48">
        <f>+'Metrics - Articles'!C858</f>
        <v>0</v>
      </c>
      <c r="C861">
        <f>COUNTIF('Metrics - Articles'!F858,"*GPO (Partner, Ecosystem, Channels)*")</f>
        <v>0</v>
      </c>
      <c r="D861">
        <f>COUNTIF('Metrics - Articles'!F858,"*Office of the CEO*")</f>
        <v>0</v>
      </c>
      <c r="E861">
        <f>COUNTIF('Metrics - Articles'!F858,"*Services Delivery &amp; Support (go-lives and deployments) *")</f>
        <v>0</v>
      </c>
      <c r="F861">
        <f>COUNTIF('Metrics - Articles'!F858,"*Human Resources (SAP HR and employee stories)*")</f>
        <v>0</v>
      </c>
      <c r="G861">
        <f>COUNTIF('Metrics - Articles'!F858,"*P&amp;I (Research &amp; Development)*")</f>
        <v>0</v>
      </c>
      <c r="H861">
        <f>COUNTIF('Metrics - Articles'!F858,"*Business Network (Concur, Ariba, Fieldglass)*")</f>
        <v>0</v>
      </c>
      <c r="I861">
        <f>COUNTIF('Metrics - Articles'!F858,"*GCO – Regions*")</f>
        <v>0</v>
      </c>
      <c r="J861">
        <f>COUNTIF('Metrics - Articles'!F858,"*GCO – Platform Solutions*")</f>
        <v>0</v>
      </c>
      <c r="K861">
        <f>COUNTIF('Metrics - Articles'!F858,"*GCO – Industry Cloud *")</f>
        <v>0</v>
      </c>
      <c r="L861">
        <f>COUNTIF('Metrics - Articles'!F858,"*GCO – Customer Engagement &amp; Commerce (CRM &amp; hybris) *")</f>
        <v>0</v>
      </c>
      <c r="M861">
        <f>COUNTIF('Metrics - Articles'!F858,"*GCO – HR (SuccessFactors)*")</f>
        <v>0</v>
      </c>
      <c r="N861">
        <f>COUNTIF('Metrics - Articles'!F858,"*GCO – Services Sales*")</f>
        <v>0</v>
      </c>
      <c r="O861">
        <f>COUNTIF('Metrics - Articles'!F858,"*GCO – Other*")</f>
        <v>0</v>
      </c>
      <c r="P861">
        <f>COUNTIF('Metrics - Articles'!F858,"*Corporate*")</f>
        <v>0</v>
      </c>
      <c r="R861" s="53">
        <f t="shared" si="15"/>
        <v>0</v>
      </c>
    </row>
    <row r="862" spans="2:18" hidden="1" x14ac:dyDescent="0.25">
      <c r="B862" s="48">
        <f>+'Metrics - Articles'!C859</f>
        <v>0</v>
      </c>
      <c r="C862">
        <f>COUNTIF('Metrics - Articles'!F859,"*GPO (Partner, Ecosystem, Channels)*")</f>
        <v>0</v>
      </c>
      <c r="D862">
        <f>COUNTIF('Metrics - Articles'!F859,"*Office of the CEO*")</f>
        <v>0</v>
      </c>
      <c r="E862">
        <f>COUNTIF('Metrics - Articles'!F859,"*Services Delivery &amp; Support (go-lives and deployments) *")</f>
        <v>0</v>
      </c>
      <c r="F862">
        <f>COUNTIF('Metrics - Articles'!F859,"*Human Resources (SAP HR and employee stories)*")</f>
        <v>0</v>
      </c>
      <c r="G862">
        <f>COUNTIF('Metrics - Articles'!F859,"*P&amp;I (Research &amp; Development)*")</f>
        <v>0</v>
      </c>
      <c r="H862">
        <f>COUNTIF('Metrics - Articles'!F859,"*Business Network (Concur, Ariba, Fieldglass)*")</f>
        <v>0</v>
      </c>
      <c r="I862">
        <f>COUNTIF('Metrics - Articles'!F859,"*GCO – Regions*")</f>
        <v>0</v>
      </c>
      <c r="J862">
        <f>COUNTIF('Metrics - Articles'!F859,"*GCO – Platform Solutions*")</f>
        <v>0</v>
      </c>
      <c r="K862">
        <f>COUNTIF('Metrics - Articles'!F859,"*GCO – Industry Cloud *")</f>
        <v>0</v>
      </c>
      <c r="L862">
        <f>COUNTIF('Metrics - Articles'!F859,"*GCO – Customer Engagement &amp; Commerce (CRM &amp; hybris) *")</f>
        <v>0</v>
      </c>
      <c r="M862">
        <f>COUNTIF('Metrics - Articles'!F859,"*GCO – HR (SuccessFactors)*")</f>
        <v>0</v>
      </c>
      <c r="N862">
        <f>COUNTIF('Metrics - Articles'!F859,"*GCO – Services Sales*")</f>
        <v>0</v>
      </c>
      <c r="O862">
        <f>COUNTIF('Metrics - Articles'!F859,"*GCO – Other*")</f>
        <v>0</v>
      </c>
      <c r="P862">
        <f>COUNTIF('Metrics - Articles'!F859,"*Corporate*")</f>
        <v>0</v>
      </c>
      <c r="R862" s="53">
        <f t="shared" si="15"/>
        <v>0</v>
      </c>
    </row>
    <row r="863" spans="2:18" hidden="1" x14ac:dyDescent="0.25">
      <c r="B863" s="48">
        <f>+'Metrics - Articles'!C860</f>
        <v>0</v>
      </c>
      <c r="C863">
        <f>COUNTIF('Metrics - Articles'!F860,"*GPO (Partner, Ecosystem, Channels)*")</f>
        <v>0</v>
      </c>
      <c r="D863">
        <f>COUNTIF('Metrics - Articles'!F860,"*Office of the CEO*")</f>
        <v>0</v>
      </c>
      <c r="E863">
        <f>COUNTIF('Metrics - Articles'!F860,"*Services Delivery &amp; Support (go-lives and deployments) *")</f>
        <v>0</v>
      </c>
      <c r="F863">
        <f>COUNTIF('Metrics - Articles'!F860,"*Human Resources (SAP HR and employee stories)*")</f>
        <v>0</v>
      </c>
      <c r="G863">
        <f>COUNTIF('Metrics - Articles'!F860,"*P&amp;I (Research &amp; Development)*")</f>
        <v>0</v>
      </c>
      <c r="H863">
        <f>COUNTIF('Metrics - Articles'!F860,"*Business Network (Concur, Ariba, Fieldglass)*")</f>
        <v>0</v>
      </c>
      <c r="I863">
        <f>COUNTIF('Metrics - Articles'!F860,"*GCO – Regions*")</f>
        <v>0</v>
      </c>
      <c r="J863">
        <f>COUNTIF('Metrics - Articles'!F860,"*GCO – Platform Solutions*")</f>
        <v>0</v>
      </c>
      <c r="K863">
        <f>COUNTIF('Metrics - Articles'!F860,"*GCO – Industry Cloud *")</f>
        <v>0</v>
      </c>
      <c r="L863">
        <f>COUNTIF('Metrics - Articles'!F860,"*GCO – Customer Engagement &amp; Commerce (CRM &amp; hybris) *")</f>
        <v>0</v>
      </c>
      <c r="M863">
        <f>COUNTIF('Metrics - Articles'!F860,"*GCO – HR (SuccessFactors)*")</f>
        <v>0</v>
      </c>
      <c r="N863">
        <f>COUNTIF('Metrics - Articles'!F860,"*GCO – Services Sales*")</f>
        <v>0</v>
      </c>
      <c r="O863">
        <f>COUNTIF('Metrics - Articles'!F860,"*GCO – Other*")</f>
        <v>0</v>
      </c>
      <c r="P863">
        <f>COUNTIF('Metrics - Articles'!F860,"*Corporate*")</f>
        <v>0</v>
      </c>
      <c r="R863" s="53">
        <f t="shared" si="15"/>
        <v>0</v>
      </c>
    </row>
    <row r="864" spans="2:18" hidden="1" x14ac:dyDescent="0.25">
      <c r="B864" s="48">
        <f>+'Metrics - Articles'!C861</f>
        <v>0</v>
      </c>
      <c r="C864">
        <f>COUNTIF('Metrics - Articles'!F861,"*GPO (Partner, Ecosystem, Channels)*")</f>
        <v>0</v>
      </c>
      <c r="D864">
        <f>COUNTIF('Metrics - Articles'!F861,"*Office of the CEO*")</f>
        <v>0</v>
      </c>
      <c r="E864">
        <f>COUNTIF('Metrics - Articles'!F861,"*Services Delivery &amp; Support (go-lives and deployments) *")</f>
        <v>0</v>
      </c>
      <c r="F864">
        <f>COUNTIF('Metrics - Articles'!F861,"*Human Resources (SAP HR and employee stories)*")</f>
        <v>0</v>
      </c>
      <c r="G864">
        <f>COUNTIF('Metrics - Articles'!F861,"*P&amp;I (Research &amp; Development)*")</f>
        <v>0</v>
      </c>
      <c r="H864">
        <f>COUNTIF('Metrics - Articles'!F861,"*Business Network (Concur, Ariba, Fieldglass)*")</f>
        <v>0</v>
      </c>
      <c r="I864">
        <f>COUNTIF('Metrics - Articles'!F861,"*GCO – Regions*")</f>
        <v>0</v>
      </c>
      <c r="J864">
        <f>COUNTIF('Metrics - Articles'!F861,"*GCO – Platform Solutions*")</f>
        <v>0</v>
      </c>
      <c r="K864">
        <f>COUNTIF('Metrics - Articles'!F861,"*GCO – Industry Cloud *")</f>
        <v>0</v>
      </c>
      <c r="L864">
        <f>COUNTIF('Metrics - Articles'!F861,"*GCO – Customer Engagement &amp; Commerce (CRM &amp; hybris) *")</f>
        <v>0</v>
      </c>
      <c r="M864">
        <f>COUNTIF('Metrics - Articles'!F861,"*GCO – HR (SuccessFactors)*")</f>
        <v>0</v>
      </c>
      <c r="N864">
        <f>COUNTIF('Metrics - Articles'!F861,"*GCO – Services Sales*")</f>
        <v>0</v>
      </c>
      <c r="O864">
        <f>COUNTIF('Metrics - Articles'!F861,"*GCO – Other*")</f>
        <v>0</v>
      </c>
      <c r="P864">
        <f>COUNTIF('Metrics - Articles'!F861,"*Corporate*")</f>
        <v>0</v>
      </c>
      <c r="R864" s="53">
        <f t="shared" si="15"/>
        <v>0</v>
      </c>
    </row>
    <row r="865" spans="2:18" hidden="1" x14ac:dyDescent="0.25">
      <c r="B865" s="48">
        <f>+'Metrics - Articles'!C862</f>
        <v>0</v>
      </c>
      <c r="C865">
        <f>COUNTIF('Metrics - Articles'!F862,"*GPO (Partner, Ecosystem, Channels)*")</f>
        <v>0</v>
      </c>
      <c r="D865">
        <f>COUNTIF('Metrics - Articles'!F862,"*Office of the CEO*")</f>
        <v>0</v>
      </c>
      <c r="E865">
        <f>COUNTIF('Metrics - Articles'!F862,"*Services Delivery &amp; Support (go-lives and deployments) *")</f>
        <v>0</v>
      </c>
      <c r="F865">
        <f>COUNTIF('Metrics - Articles'!F862,"*Human Resources (SAP HR and employee stories)*")</f>
        <v>0</v>
      </c>
      <c r="G865">
        <f>COUNTIF('Metrics - Articles'!F862,"*P&amp;I (Research &amp; Development)*")</f>
        <v>0</v>
      </c>
      <c r="H865">
        <f>COUNTIF('Metrics - Articles'!F862,"*Business Network (Concur, Ariba, Fieldglass)*")</f>
        <v>0</v>
      </c>
      <c r="I865">
        <f>COUNTIF('Metrics - Articles'!F862,"*GCO – Regions*")</f>
        <v>0</v>
      </c>
      <c r="J865">
        <f>COUNTIF('Metrics - Articles'!F862,"*GCO – Platform Solutions*")</f>
        <v>0</v>
      </c>
      <c r="K865">
        <f>COUNTIF('Metrics - Articles'!F862,"*GCO – Industry Cloud *")</f>
        <v>0</v>
      </c>
      <c r="L865">
        <f>COUNTIF('Metrics - Articles'!F862,"*GCO – Customer Engagement &amp; Commerce (CRM &amp; hybris) *")</f>
        <v>0</v>
      </c>
      <c r="M865">
        <f>COUNTIF('Metrics - Articles'!F862,"*GCO – HR (SuccessFactors)*")</f>
        <v>0</v>
      </c>
      <c r="N865">
        <f>COUNTIF('Metrics - Articles'!F862,"*GCO – Services Sales*")</f>
        <v>0</v>
      </c>
      <c r="O865">
        <f>COUNTIF('Metrics - Articles'!F862,"*GCO – Other*")</f>
        <v>0</v>
      </c>
      <c r="P865">
        <f>COUNTIF('Metrics - Articles'!F862,"*Corporate*")</f>
        <v>0</v>
      </c>
      <c r="R865" s="53">
        <f t="shared" si="15"/>
        <v>0</v>
      </c>
    </row>
    <row r="866" spans="2:18" hidden="1" x14ac:dyDescent="0.25">
      <c r="B866" s="48">
        <f>+'Metrics - Articles'!C863</f>
        <v>0</v>
      </c>
      <c r="C866">
        <f>COUNTIF('Metrics - Articles'!F863,"*GPO (Partner, Ecosystem, Channels)*")</f>
        <v>0</v>
      </c>
      <c r="D866">
        <f>COUNTIF('Metrics - Articles'!F863,"*Office of the CEO*")</f>
        <v>0</v>
      </c>
      <c r="E866">
        <f>COUNTIF('Metrics - Articles'!F863,"*Services Delivery &amp; Support (go-lives and deployments) *")</f>
        <v>0</v>
      </c>
      <c r="F866">
        <f>COUNTIF('Metrics - Articles'!F863,"*Human Resources (SAP HR and employee stories)*")</f>
        <v>0</v>
      </c>
      <c r="G866">
        <f>COUNTIF('Metrics - Articles'!F863,"*P&amp;I (Research &amp; Development)*")</f>
        <v>0</v>
      </c>
      <c r="H866">
        <f>COUNTIF('Metrics - Articles'!F863,"*Business Network (Concur, Ariba, Fieldglass)*")</f>
        <v>0</v>
      </c>
      <c r="I866">
        <f>COUNTIF('Metrics - Articles'!F863,"*GCO – Regions*")</f>
        <v>0</v>
      </c>
      <c r="J866">
        <f>COUNTIF('Metrics - Articles'!F863,"*GCO – Platform Solutions*")</f>
        <v>0</v>
      </c>
      <c r="K866">
        <f>COUNTIF('Metrics - Articles'!F863,"*GCO – Industry Cloud *")</f>
        <v>0</v>
      </c>
      <c r="L866">
        <f>COUNTIF('Metrics - Articles'!F863,"*GCO – Customer Engagement &amp; Commerce (CRM &amp; hybris) *")</f>
        <v>0</v>
      </c>
      <c r="M866">
        <f>COUNTIF('Metrics - Articles'!F863,"*GCO – HR (SuccessFactors)*")</f>
        <v>0</v>
      </c>
      <c r="N866">
        <f>COUNTIF('Metrics - Articles'!F863,"*GCO – Services Sales*")</f>
        <v>0</v>
      </c>
      <c r="O866">
        <f>COUNTIF('Metrics - Articles'!F863,"*GCO – Other*")</f>
        <v>0</v>
      </c>
      <c r="P866">
        <f>COUNTIF('Metrics - Articles'!F863,"*Corporate*")</f>
        <v>0</v>
      </c>
      <c r="R866" s="53">
        <f t="shared" si="15"/>
        <v>0</v>
      </c>
    </row>
    <row r="867" spans="2:18" hidden="1" x14ac:dyDescent="0.25">
      <c r="B867" s="48">
        <f>+'Metrics - Articles'!C864</f>
        <v>0</v>
      </c>
      <c r="C867">
        <f>COUNTIF('Metrics - Articles'!F864,"*GPO (Partner, Ecosystem, Channels)*")</f>
        <v>0</v>
      </c>
      <c r="D867">
        <f>COUNTIF('Metrics - Articles'!F864,"*Office of the CEO*")</f>
        <v>0</v>
      </c>
      <c r="E867">
        <f>COUNTIF('Metrics - Articles'!F864,"*Services Delivery &amp; Support (go-lives and deployments) *")</f>
        <v>0</v>
      </c>
      <c r="F867">
        <f>COUNTIF('Metrics - Articles'!F864,"*Human Resources (SAP HR and employee stories)*")</f>
        <v>0</v>
      </c>
      <c r="G867">
        <f>COUNTIF('Metrics - Articles'!F864,"*P&amp;I (Research &amp; Development)*")</f>
        <v>0</v>
      </c>
      <c r="H867">
        <f>COUNTIF('Metrics - Articles'!F864,"*Business Network (Concur, Ariba, Fieldglass)*")</f>
        <v>0</v>
      </c>
      <c r="I867">
        <f>COUNTIF('Metrics - Articles'!F864,"*GCO – Regions*")</f>
        <v>0</v>
      </c>
      <c r="J867">
        <f>COUNTIF('Metrics - Articles'!F864,"*GCO – Platform Solutions*")</f>
        <v>0</v>
      </c>
      <c r="K867">
        <f>COUNTIF('Metrics - Articles'!F864,"*GCO – Industry Cloud *")</f>
        <v>0</v>
      </c>
      <c r="L867">
        <f>COUNTIF('Metrics - Articles'!F864,"*GCO – Customer Engagement &amp; Commerce (CRM &amp; hybris) *")</f>
        <v>0</v>
      </c>
      <c r="M867">
        <f>COUNTIF('Metrics - Articles'!F864,"*GCO – HR (SuccessFactors)*")</f>
        <v>0</v>
      </c>
      <c r="N867">
        <f>COUNTIF('Metrics - Articles'!F864,"*GCO – Services Sales*")</f>
        <v>0</v>
      </c>
      <c r="O867">
        <f>COUNTIF('Metrics - Articles'!F864,"*GCO – Other*")</f>
        <v>0</v>
      </c>
      <c r="P867">
        <f>COUNTIF('Metrics - Articles'!F864,"*Corporate*")</f>
        <v>0</v>
      </c>
      <c r="R867" s="53">
        <f t="shared" si="15"/>
        <v>0</v>
      </c>
    </row>
    <row r="868" spans="2:18" hidden="1" x14ac:dyDescent="0.25">
      <c r="B868" s="48">
        <f>+'Metrics - Articles'!C865</f>
        <v>0</v>
      </c>
      <c r="C868">
        <f>COUNTIF('Metrics - Articles'!F865,"*GPO (Partner, Ecosystem, Channels)*")</f>
        <v>0</v>
      </c>
      <c r="D868">
        <f>COUNTIF('Metrics - Articles'!F865,"*Office of the CEO*")</f>
        <v>0</v>
      </c>
      <c r="E868">
        <f>COUNTIF('Metrics - Articles'!F865,"*Services Delivery &amp; Support (go-lives and deployments) *")</f>
        <v>0</v>
      </c>
      <c r="F868">
        <f>COUNTIF('Metrics - Articles'!F865,"*Human Resources (SAP HR and employee stories)*")</f>
        <v>0</v>
      </c>
      <c r="G868">
        <f>COUNTIF('Metrics - Articles'!F865,"*P&amp;I (Research &amp; Development)*")</f>
        <v>0</v>
      </c>
      <c r="H868">
        <f>COUNTIF('Metrics - Articles'!F865,"*Business Network (Concur, Ariba, Fieldglass)*")</f>
        <v>0</v>
      </c>
      <c r="I868">
        <f>COUNTIF('Metrics - Articles'!F865,"*GCO – Regions*")</f>
        <v>0</v>
      </c>
      <c r="J868">
        <f>COUNTIF('Metrics - Articles'!F865,"*GCO – Platform Solutions*")</f>
        <v>0</v>
      </c>
      <c r="K868">
        <f>COUNTIF('Metrics - Articles'!F865,"*GCO – Industry Cloud *")</f>
        <v>0</v>
      </c>
      <c r="L868">
        <f>COUNTIF('Metrics - Articles'!F865,"*GCO – Customer Engagement &amp; Commerce (CRM &amp; hybris) *")</f>
        <v>0</v>
      </c>
      <c r="M868">
        <f>COUNTIF('Metrics - Articles'!F865,"*GCO – HR (SuccessFactors)*")</f>
        <v>0</v>
      </c>
      <c r="N868">
        <f>COUNTIF('Metrics - Articles'!F865,"*GCO – Services Sales*")</f>
        <v>0</v>
      </c>
      <c r="O868">
        <f>COUNTIF('Metrics - Articles'!F865,"*GCO – Other*")</f>
        <v>0</v>
      </c>
      <c r="P868">
        <f>COUNTIF('Metrics - Articles'!F865,"*Corporate*")</f>
        <v>0</v>
      </c>
      <c r="R868" s="53">
        <f t="shared" si="15"/>
        <v>0</v>
      </c>
    </row>
    <row r="869" spans="2:18" hidden="1" x14ac:dyDescent="0.25">
      <c r="B869" s="48">
        <f>+'Metrics - Articles'!C866</f>
        <v>0</v>
      </c>
      <c r="C869">
        <f>COUNTIF('Metrics - Articles'!F866,"*GPO (Partner, Ecosystem, Channels)*")</f>
        <v>0</v>
      </c>
      <c r="D869">
        <f>COUNTIF('Metrics - Articles'!F866,"*Office of the CEO*")</f>
        <v>0</v>
      </c>
      <c r="E869">
        <f>COUNTIF('Metrics - Articles'!F866,"*Services Delivery &amp; Support (go-lives and deployments) *")</f>
        <v>0</v>
      </c>
      <c r="F869">
        <f>COUNTIF('Metrics - Articles'!F866,"*Human Resources (SAP HR and employee stories)*")</f>
        <v>0</v>
      </c>
      <c r="G869">
        <f>COUNTIF('Metrics - Articles'!F866,"*P&amp;I (Research &amp; Development)*")</f>
        <v>0</v>
      </c>
      <c r="H869">
        <f>COUNTIF('Metrics - Articles'!F866,"*Business Network (Concur, Ariba, Fieldglass)*")</f>
        <v>0</v>
      </c>
      <c r="I869">
        <f>COUNTIF('Metrics - Articles'!F866,"*GCO – Regions*")</f>
        <v>0</v>
      </c>
      <c r="J869">
        <f>COUNTIF('Metrics - Articles'!F866,"*GCO – Platform Solutions*")</f>
        <v>0</v>
      </c>
      <c r="K869">
        <f>COUNTIF('Metrics - Articles'!F866,"*GCO – Industry Cloud *")</f>
        <v>0</v>
      </c>
      <c r="L869">
        <f>COUNTIF('Metrics - Articles'!F866,"*GCO – Customer Engagement &amp; Commerce (CRM &amp; hybris) *")</f>
        <v>0</v>
      </c>
      <c r="M869">
        <f>COUNTIF('Metrics - Articles'!F866,"*GCO – HR (SuccessFactors)*")</f>
        <v>0</v>
      </c>
      <c r="N869">
        <f>COUNTIF('Metrics - Articles'!F866,"*GCO – Services Sales*")</f>
        <v>0</v>
      </c>
      <c r="O869">
        <f>COUNTIF('Metrics - Articles'!F866,"*GCO – Other*")</f>
        <v>0</v>
      </c>
      <c r="P869">
        <f>COUNTIF('Metrics - Articles'!F866,"*Corporate*")</f>
        <v>0</v>
      </c>
      <c r="R869" s="53">
        <f t="shared" si="15"/>
        <v>0</v>
      </c>
    </row>
    <row r="870" spans="2:18" hidden="1" x14ac:dyDescent="0.25">
      <c r="B870" s="48">
        <f>+'Metrics - Articles'!C867</f>
        <v>0</v>
      </c>
      <c r="C870">
        <f>COUNTIF('Metrics - Articles'!F867,"*GPO (Partner, Ecosystem, Channels)*")</f>
        <v>0</v>
      </c>
      <c r="D870">
        <f>COUNTIF('Metrics - Articles'!F867,"*Office of the CEO*")</f>
        <v>0</v>
      </c>
      <c r="E870">
        <f>COUNTIF('Metrics - Articles'!F867,"*Services Delivery &amp; Support (go-lives and deployments) *")</f>
        <v>0</v>
      </c>
      <c r="F870">
        <f>COUNTIF('Metrics - Articles'!F867,"*Human Resources (SAP HR and employee stories)*")</f>
        <v>0</v>
      </c>
      <c r="G870">
        <f>COUNTIF('Metrics - Articles'!F867,"*P&amp;I (Research &amp; Development)*")</f>
        <v>0</v>
      </c>
      <c r="H870">
        <f>COUNTIF('Metrics - Articles'!F867,"*Business Network (Concur, Ariba, Fieldglass)*")</f>
        <v>0</v>
      </c>
      <c r="I870">
        <f>COUNTIF('Metrics - Articles'!F867,"*GCO – Regions*")</f>
        <v>0</v>
      </c>
      <c r="J870">
        <f>COUNTIF('Metrics - Articles'!F867,"*GCO – Platform Solutions*")</f>
        <v>0</v>
      </c>
      <c r="K870">
        <f>COUNTIF('Metrics - Articles'!F867,"*GCO – Industry Cloud *")</f>
        <v>0</v>
      </c>
      <c r="L870">
        <f>COUNTIF('Metrics - Articles'!F867,"*GCO – Customer Engagement &amp; Commerce (CRM &amp; hybris) *")</f>
        <v>0</v>
      </c>
      <c r="M870">
        <f>COUNTIF('Metrics - Articles'!F867,"*GCO – HR (SuccessFactors)*")</f>
        <v>0</v>
      </c>
      <c r="N870">
        <f>COUNTIF('Metrics - Articles'!F867,"*GCO – Services Sales*")</f>
        <v>0</v>
      </c>
      <c r="O870">
        <f>COUNTIF('Metrics - Articles'!F867,"*GCO – Other*")</f>
        <v>0</v>
      </c>
      <c r="P870">
        <f>COUNTIF('Metrics - Articles'!F867,"*Corporate*")</f>
        <v>0</v>
      </c>
      <c r="R870" s="53">
        <f t="shared" si="15"/>
        <v>0</v>
      </c>
    </row>
    <row r="871" spans="2:18" hidden="1" x14ac:dyDescent="0.25">
      <c r="B871" s="48">
        <f>+'Metrics - Articles'!C868</f>
        <v>0</v>
      </c>
      <c r="C871">
        <f>COUNTIF('Metrics - Articles'!F868,"*GPO (Partner, Ecosystem, Channels)*")</f>
        <v>0</v>
      </c>
      <c r="D871">
        <f>COUNTIF('Metrics - Articles'!F868,"*Office of the CEO*")</f>
        <v>0</v>
      </c>
      <c r="E871">
        <f>COUNTIF('Metrics - Articles'!F868,"*Services Delivery &amp; Support (go-lives and deployments) *")</f>
        <v>0</v>
      </c>
      <c r="F871">
        <f>COUNTIF('Metrics - Articles'!F868,"*Human Resources (SAP HR and employee stories)*")</f>
        <v>0</v>
      </c>
      <c r="G871">
        <f>COUNTIF('Metrics - Articles'!F868,"*P&amp;I (Research &amp; Development)*")</f>
        <v>0</v>
      </c>
      <c r="H871">
        <f>COUNTIF('Metrics - Articles'!F868,"*Business Network (Concur, Ariba, Fieldglass)*")</f>
        <v>0</v>
      </c>
      <c r="I871">
        <f>COUNTIF('Metrics - Articles'!F868,"*GCO – Regions*")</f>
        <v>0</v>
      </c>
      <c r="J871">
        <f>COUNTIF('Metrics - Articles'!F868,"*GCO – Platform Solutions*")</f>
        <v>0</v>
      </c>
      <c r="K871">
        <f>COUNTIF('Metrics - Articles'!F868,"*GCO – Industry Cloud *")</f>
        <v>0</v>
      </c>
      <c r="L871">
        <f>COUNTIF('Metrics - Articles'!F868,"*GCO – Customer Engagement &amp; Commerce (CRM &amp; hybris) *")</f>
        <v>0</v>
      </c>
      <c r="M871">
        <f>COUNTIF('Metrics - Articles'!F868,"*GCO – HR (SuccessFactors)*")</f>
        <v>0</v>
      </c>
      <c r="N871">
        <f>COUNTIF('Metrics - Articles'!F868,"*GCO – Services Sales*")</f>
        <v>0</v>
      </c>
      <c r="O871">
        <f>COUNTIF('Metrics - Articles'!F868,"*GCO – Other*")</f>
        <v>0</v>
      </c>
      <c r="P871">
        <f>COUNTIF('Metrics - Articles'!F868,"*Corporate*")</f>
        <v>0</v>
      </c>
      <c r="R871" s="53">
        <f t="shared" si="15"/>
        <v>0</v>
      </c>
    </row>
    <row r="872" spans="2:18" hidden="1" x14ac:dyDescent="0.25">
      <c r="B872" s="48">
        <f>+'Metrics - Articles'!C869</f>
        <v>0</v>
      </c>
      <c r="C872">
        <f>COUNTIF('Metrics - Articles'!F869,"*GPO (Partner, Ecosystem, Channels)*")</f>
        <v>0</v>
      </c>
      <c r="D872">
        <f>COUNTIF('Metrics - Articles'!F869,"*Office of the CEO*")</f>
        <v>0</v>
      </c>
      <c r="E872">
        <f>COUNTIF('Metrics - Articles'!F869,"*Services Delivery &amp; Support (go-lives and deployments) *")</f>
        <v>0</v>
      </c>
      <c r="F872">
        <f>COUNTIF('Metrics - Articles'!F869,"*Human Resources (SAP HR and employee stories)*")</f>
        <v>0</v>
      </c>
      <c r="G872">
        <f>COUNTIF('Metrics - Articles'!F869,"*P&amp;I (Research &amp; Development)*")</f>
        <v>0</v>
      </c>
      <c r="H872">
        <f>COUNTIF('Metrics - Articles'!F869,"*Business Network (Concur, Ariba, Fieldglass)*")</f>
        <v>0</v>
      </c>
      <c r="I872">
        <f>COUNTIF('Metrics - Articles'!F869,"*GCO – Regions*")</f>
        <v>0</v>
      </c>
      <c r="J872">
        <f>COUNTIF('Metrics - Articles'!F869,"*GCO – Platform Solutions*")</f>
        <v>0</v>
      </c>
      <c r="K872">
        <f>COUNTIF('Metrics - Articles'!F869,"*GCO – Industry Cloud *")</f>
        <v>0</v>
      </c>
      <c r="L872">
        <f>COUNTIF('Metrics - Articles'!F869,"*GCO – Customer Engagement &amp; Commerce (CRM &amp; hybris) *")</f>
        <v>0</v>
      </c>
      <c r="M872">
        <f>COUNTIF('Metrics - Articles'!F869,"*GCO – HR (SuccessFactors)*")</f>
        <v>0</v>
      </c>
      <c r="N872">
        <f>COUNTIF('Metrics - Articles'!F869,"*GCO – Services Sales*")</f>
        <v>0</v>
      </c>
      <c r="O872">
        <f>COUNTIF('Metrics - Articles'!F869,"*GCO – Other*")</f>
        <v>0</v>
      </c>
      <c r="P872">
        <f>COUNTIF('Metrics - Articles'!F869,"*Corporate*")</f>
        <v>0</v>
      </c>
      <c r="R872" s="53">
        <f t="shared" si="15"/>
        <v>0</v>
      </c>
    </row>
    <row r="873" spans="2:18" hidden="1" x14ac:dyDescent="0.25">
      <c r="B873" s="48">
        <f>+'Metrics - Articles'!C870</f>
        <v>0</v>
      </c>
      <c r="C873">
        <f>COUNTIF('Metrics - Articles'!F870,"*GPO (Partner, Ecosystem, Channels)*")</f>
        <v>0</v>
      </c>
      <c r="D873">
        <f>COUNTIF('Metrics - Articles'!F870,"*Office of the CEO*")</f>
        <v>0</v>
      </c>
      <c r="E873">
        <f>COUNTIF('Metrics - Articles'!F870,"*Services Delivery &amp; Support (go-lives and deployments) *")</f>
        <v>0</v>
      </c>
      <c r="F873">
        <f>COUNTIF('Metrics - Articles'!F870,"*Human Resources (SAP HR and employee stories)*")</f>
        <v>0</v>
      </c>
      <c r="G873">
        <f>COUNTIF('Metrics - Articles'!F870,"*P&amp;I (Research &amp; Development)*")</f>
        <v>0</v>
      </c>
      <c r="H873">
        <f>COUNTIF('Metrics - Articles'!F870,"*Business Network (Concur, Ariba, Fieldglass)*")</f>
        <v>0</v>
      </c>
      <c r="I873">
        <f>COUNTIF('Metrics - Articles'!F870,"*GCO – Regions*")</f>
        <v>0</v>
      </c>
      <c r="J873">
        <f>COUNTIF('Metrics - Articles'!F870,"*GCO – Platform Solutions*")</f>
        <v>0</v>
      </c>
      <c r="K873">
        <f>COUNTIF('Metrics - Articles'!F870,"*GCO – Industry Cloud *")</f>
        <v>0</v>
      </c>
      <c r="L873">
        <f>COUNTIF('Metrics - Articles'!F870,"*GCO – Customer Engagement &amp; Commerce (CRM &amp; hybris) *")</f>
        <v>0</v>
      </c>
      <c r="M873">
        <f>COUNTIF('Metrics - Articles'!F870,"*GCO – HR (SuccessFactors)*")</f>
        <v>0</v>
      </c>
      <c r="N873">
        <f>COUNTIF('Metrics - Articles'!F870,"*GCO – Services Sales*")</f>
        <v>0</v>
      </c>
      <c r="O873">
        <f>COUNTIF('Metrics - Articles'!F870,"*GCO – Other*")</f>
        <v>0</v>
      </c>
      <c r="P873">
        <f>COUNTIF('Metrics - Articles'!F870,"*Corporate*")</f>
        <v>0</v>
      </c>
      <c r="R873" s="53">
        <f t="shared" si="15"/>
        <v>0</v>
      </c>
    </row>
    <row r="874" spans="2:18" hidden="1" x14ac:dyDescent="0.25">
      <c r="B874" s="48">
        <f>+'Metrics - Articles'!C871</f>
        <v>0</v>
      </c>
      <c r="C874">
        <f>COUNTIF('Metrics - Articles'!F871,"*GPO (Partner, Ecosystem, Channels)*")</f>
        <v>0</v>
      </c>
      <c r="D874">
        <f>COUNTIF('Metrics - Articles'!F871,"*Office of the CEO*")</f>
        <v>0</v>
      </c>
      <c r="E874">
        <f>COUNTIF('Metrics - Articles'!F871,"*Services Delivery &amp; Support (go-lives and deployments) *")</f>
        <v>0</v>
      </c>
      <c r="F874">
        <f>COUNTIF('Metrics - Articles'!F871,"*Human Resources (SAP HR and employee stories)*")</f>
        <v>0</v>
      </c>
      <c r="G874">
        <f>COUNTIF('Metrics - Articles'!F871,"*P&amp;I (Research &amp; Development)*")</f>
        <v>0</v>
      </c>
      <c r="H874">
        <f>COUNTIF('Metrics - Articles'!F871,"*Business Network (Concur, Ariba, Fieldglass)*")</f>
        <v>0</v>
      </c>
      <c r="I874">
        <f>COUNTIF('Metrics - Articles'!F871,"*GCO – Regions*")</f>
        <v>0</v>
      </c>
      <c r="J874">
        <f>COUNTIF('Metrics - Articles'!F871,"*GCO – Platform Solutions*")</f>
        <v>0</v>
      </c>
      <c r="K874">
        <f>COUNTIF('Metrics - Articles'!F871,"*GCO – Industry Cloud *")</f>
        <v>0</v>
      </c>
      <c r="L874">
        <f>COUNTIF('Metrics - Articles'!F871,"*GCO – Customer Engagement &amp; Commerce (CRM &amp; hybris) *")</f>
        <v>0</v>
      </c>
      <c r="M874">
        <f>COUNTIF('Metrics - Articles'!F871,"*GCO – HR (SuccessFactors)*")</f>
        <v>0</v>
      </c>
      <c r="N874">
        <f>COUNTIF('Metrics - Articles'!F871,"*GCO – Services Sales*")</f>
        <v>0</v>
      </c>
      <c r="O874">
        <f>COUNTIF('Metrics - Articles'!F871,"*GCO – Other*")</f>
        <v>0</v>
      </c>
      <c r="P874">
        <f>COUNTIF('Metrics - Articles'!F871,"*Corporate*")</f>
        <v>0</v>
      </c>
      <c r="R874" s="53">
        <f t="shared" si="15"/>
        <v>0</v>
      </c>
    </row>
    <row r="875" spans="2:18" hidden="1" x14ac:dyDescent="0.25">
      <c r="B875" s="48">
        <f>+'Metrics - Articles'!C872</f>
        <v>0</v>
      </c>
      <c r="C875">
        <f>COUNTIF('Metrics - Articles'!F872,"*GPO (Partner, Ecosystem, Channels)*")</f>
        <v>0</v>
      </c>
      <c r="D875">
        <f>COUNTIF('Metrics - Articles'!F872,"*Office of the CEO*")</f>
        <v>0</v>
      </c>
      <c r="E875">
        <f>COUNTIF('Metrics - Articles'!F872,"*Services Delivery &amp; Support (go-lives and deployments) *")</f>
        <v>0</v>
      </c>
      <c r="F875">
        <f>COUNTIF('Metrics - Articles'!F872,"*Human Resources (SAP HR and employee stories)*")</f>
        <v>0</v>
      </c>
      <c r="G875">
        <f>COUNTIF('Metrics - Articles'!F872,"*P&amp;I (Research &amp; Development)*")</f>
        <v>0</v>
      </c>
      <c r="H875">
        <f>COUNTIF('Metrics - Articles'!F872,"*Business Network (Concur, Ariba, Fieldglass)*")</f>
        <v>0</v>
      </c>
      <c r="I875">
        <f>COUNTIF('Metrics - Articles'!F872,"*GCO – Regions*")</f>
        <v>0</v>
      </c>
      <c r="J875">
        <f>COUNTIF('Metrics - Articles'!F872,"*GCO – Platform Solutions*")</f>
        <v>0</v>
      </c>
      <c r="K875">
        <f>COUNTIF('Metrics - Articles'!F872,"*GCO – Industry Cloud *")</f>
        <v>0</v>
      </c>
      <c r="L875">
        <f>COUNTIF('Metrics - Articles'!F872,"*GCO – Customer Engagement &amp; Commerce (CRM &amp; hybris) *")</f>
        <v>0</v>
      </c>
      <c r="M875">
        <f>COUNTIF('Metrics - Articles'!F872,"*GCO – HR (SuccessFactors)*")</f>
        <v>0</v>
      </c>
      <c r="N875">
        <f>COUNTIF('Metrics - Articles'!F872,"*GCO – Services Sales*")</f>
        <v>0</v>
      </c>
      <c r="O875">
        <f>COUNTIF('Metrics - Articles'!F872,"*GCO – Other*")</f>
        <v>0</v>
      </c>
      <c r="P875">
        <f>COUNTIF('Metrics - Articles'!F872,"*Corporate*")</f>
        <v>0</v>
      </c>
      <c r="R875" s="53">
        <f t="shared" si="15"/>
        <v>0</v>
      </c>
    </row>
    <row r="876" spans="2:18" hidden="1" x14ac:dyDescent="0.25">
      <c r="B876" s="48">
        <f>+'Metrics - Articles'!C873</f>
        <v>0</v>
      </c>
      <c r="C876">
        <f>COUNTIF('Metrics - Articles'!F873,"*GPO (Partner, Ecosystem, Channels)*")</f>
        <v>0</v>
      </c>
      <c r="D876">
        <f>COUNTIF('Metrics - Articles'!F873,"*Office of the CEO*")</f>
        <v>0</v>
      </c>
      <c r="E876">
        <f>COUNTIF('Metrics - Articles'!F873,"*Services Delivery &amp; Support (go-lives and deployments) *")</f>
        <v>0</v>
      </c>
      <c r="F876">
        <f>COUNTIF('Metrics - Articles'!F873,"*Human Resources (SAP HR and employee stories)*")</f>
        <v>0</v>
      </c>
      <c r="G876">
        <f>COUNTIF('Metrics - Articles'!F873,"*P&amp;I (Research &amp; Development)*")</f>
        <v>0</v>
      </c>
      <c r="H876">
        <f>COUNTIF('Metrics - Articles'!F873,"*Business Network (Concur, Ariba, Fieldglass)*")</f>
        <v>0</v>
      </c>
      <c r="I876">
        <f>COUNTIF('Metrics - Articles'!F873,"*GCO – Regions*")</f>
        <v>0</v>
      </c>
      <c r="J876">
        <f>COUNTIF('Metrics - Articles'!F873,"*GCO – Platform Solutions*")</f>
        <v>0</v>
      </c>
      <c r="K876">
        <f>COUNTIF('Metrics - Articles'!F873,"*GCO – Industry Cloud *")</f>
        <v>0</v>
      </c>
      <c r="L876">
        <f>COUNTIF('Metrics - Articles'!F873,"*GCO – Customer Engagement &amp; Commerce (CRM &amp; hybris) *")</f>
        <v>0</v>
      </c>
      <c r="M876">
        <f>COUNTIF('Metrics - Articles'!F873,"*GCO – HR (SuccessFactors)*")</f>
        <v>0</v>
      </c>
      <c r="N876">
        <f>COUNTIF('Metrics - Articles'!F873,"*GCO – Services Sales*")</f>
        <v>0</v>
      </c>
      <c r="O876">
        <f>COUNTIF('Metrics - Articles'!F873,"*GCO – Other*")</f>
        <v>0</v>
      </c>
      <c r="P876">
        <f>COUNTIF('Metrics - Articles'!F873,"*Corporate*")</f>
        <v>0</v>
      </c>
      <c r="R876" s="53">
        <f t="shared" si="15"/>
        <v>0</v>
      </c>
    </row>
    <row r="877" spans="2:18" hidden="1" x14ac:dyDescent="0.25">
      <c r="B877" s="48">
        <f>+'Metrics - Articles'!C874</f>
        <v>0</v>
      </c>
      <c r="C877">
        <f>COUNTIF('Metrics - Articles'!F874,"*GPO (Partner, Ecosystem, Channels)*")</f>
        <v>0</v>
      </c>
      <c r="D877">
        <f>COUNTIF('Metrics - Articles'!F874,"*Office of the CEO*")</f>
        <v>0</v>
      </c>
      <c r="E877">
        <f>COUNTIF('Metrics - Articles'!F874,"*Services Delivery &amp; Support (go-lives and deployments) *")</f>
        <v>0</v>
      </c>
      <c r="F877">
        <f>COUNTIF('Metrics - Articles'!F874,"*Human Resources (SAP HR and employee stories)*")</f>
        <v>0</v>
      </c>
      <c r="G877">
        <f>COUNTIF('Metrics - Articles'!F874,"*P&amp;I (Research &amp; Development)*")</f>
        <v>0</v>
      </c>
      <c r="H877">
        <f>COUNTIF('Metrics - Articles'!F874,"*Business Network (Concur, Ariba, Fieldglass)*")</f>
        <v>0</v>
      </c>
      <c r="I877">
        <f>COUNTIF('Metrics - Articles'!F874,"*GCO – Regions*")</f>
        <v>0</v>
      </c>
      <c r="J877">
        <f>COUNTIF('Metrics - Articles'!F874,"*GCO – Platform Solutions*")</f>
        <v>0</v>
      </c>
      <c r="K877">
        <f>COUNTIF('Metrics - Articles'!F874,"*GCO – Industry Cloud *")</f>
        <v>0</v>
      </c>
      <c r="L877">
        <f>COUNTIF('Metrics - Articles'!F874,"*GCO – Customer Engagement &amp; Commerce (CRM &amp; hybris) *")</f>
        <v>0</v>
      </c>
      <c r="M877">
        <f>COUNTIF('Metrics - Articles'!F874,"*GCO – HR (SuccessFactors)*")</f>
        <v>0</v>
      </c>
      <c r="N877">
        <f>COUNTIF('Metrics - Articles'!F874,"*GCO – Services Sales*")</f>
        <v>0</v>
      </c>
      <c r="O877">
        <f>COUNTIF('Metrics - Articles'!F874,"*GCO – Other*")</f>
        <v>0</v>
      </c>
      <c r="P877">
        <f>COUNTIF('Metrics - Articles'!F874,"*Corporate*")</f>
        <v>0</v>
      </c>
      <c r="R877" s="53">
        <f t="shared" si="15"/>
        <v>0</v>
      </c>
    </row>
    <row r="878" spans="2:18" hidden="1" x14ac:dyDescent="0.25">
      <c r="B878" s="48">
        <f>+'Metrics - Articles'!C875</f>
        <v>0</v>
      </c>
      <c r="C878">
        <f>COUNTIF('Metrics - Articles'!F875,"*GPO (Partner, Ecosystem, Channels)*")</f>
        <v>0</v>
      </c>
      <c r="D878">
        <f>COUNTIF('Metrics - Articles'!F875,"*Office of the CEO*")</f>
        <v>0</v>
      </c>
      <c r="E878">
        <f>COUNTIF('Metrics - Articles'!F875,"*Services Delivery &amp; Support (go-lives and deployments) *")</f>
        <v>0</v>
      </c>
      <c r="F878">
        <f>COUNTIF('Metrics - Articles'!F875,"*Human Resources (SAP HR and employee stories)*")</f>
        <v>0</v>
      </c>
      <c r="G878">
        <f>COUNTIF('Metrics - Articles'!F875,"*P&amp;I (Research &amp; Development)*")</f>
        <v>0</v>
      </c>
      <c r="H878">
        <f>COUNTIF('Metrics - Articles'!F875,"*Business Network (Concur, Ariba, Fieldglass)*")</f>
        <v>0</v>
      </c>
      <c r="I878">
        <f>COUNTIF('Metrics - Articles'!F875,"*GCO – Regions*")</f>
        <v>0</v>
      </c>
      <c r="J878">
        <f>COUNTIF('Metrics - Articles'!F875,"*GCO – Platform Solutions*")</f>
        <v>0</v>
      </c>
      <c r="K878">
        <f>COUNTIF('Metrics - Articles'!F875,"*GCO – Industry Cloud *")</f>
        <v>0</v>
      </c>
      <c r="L878">
        <f>COUNTIF('Metrics - Articles'!F875,"*GCO – Customer Engagement &amp; Commerce (CRM &amp; hybris) *")</f>
        <v>0</v>
      </c>
      <c r="M878">
        <f>COUNTIF('Metrics - Articles'!F875,"*GCO – HR (SuccessFactors)*")</f>
        <v>0</v>
      </c>
      <c r="N878">
        <f>COUNTIF('Metrics - Articles'!F875,"*GCO – Services Sales*")</f>
        <v>0</v>
      </c>
      <c r="O878">
        <f>COUNTIF('Metrics - Articles'!F875,"*GCO – Other*")</f>
        <v>0</v>
      </c>
      <c r="P878">
        <f>COUNTIF('Metrics - Articles'!F875,"*Corporate*")</f>
        <v>0</v>
      </c>
      <c r="R878" s="53">
        <f t="shared" si="15"/>
        <v>0</v>
      </c>
    </row>
    <row r="879" spans="2:18" hidden="1" x14ac:dyDescent="0.25">
      <c r="B879" s="48">
        <f>+'Metrics - Articles'!C876</f>
        <v>0</v>
      </c>
      <c r="C879">
        <f>COUNTIF('Metrics - Articles'!F876,"*GPO (Partner, Ecosystem, Channels)*")</f>
        <v>0</v>
      </c>
      <c r="D879">
        <f>COUNTIF('Metrics - Articles'!F876,"*Office of the CEO*")</f>
        <v>0</v>
      </c>
      <c r="E879">
        <f>COUNTIF('Metrics - Articles'!F876,"*Services Delivery &amp; Support (go-lives and deployments) *")</f>
        <v>0</v>
      </c>
      <c r="F879">
        <f>COUNTIF('Metrics - Articles'!F876,"*Human Resources (SAP HR and employee stories)*")</f>
        <v>0</v>
      </c>
      <c r="G879">
        <f>COUNTIF('Metrics - Articles'!F876,"*P&amp;I (Research &amp; Development)*")</f>
        <v>0</v>
      </c>
      <c r="H879">
        <f>COUNTIF('Metrics - Articles'!F876,"*Business Network (Concur, Ariba, Fieldglass)*")</f>
        <v>0</v>
      </c>
      <c r="I879">
        <f>COUNTIF('Metrics - Articles'!F876,"*GCO – Regions*")</f>
        <v>0</v>
      </c>
      <c r="J879">
        <f>COUNTIF('Metrics - Articles'!F876,"*GCO – Platform Solutions*")</f>
        <v>0</v>
      </c>
      <c r="K879">
        <f>COUNTIF('Metrics - Articles'!F876,"*GCO – Industry Cloud *")</f>
        <v>0</v>
      </c>
      <c r="L879">
        <f>COUNTIF('Metrics - Articles'!F876,"*GCO – Customer Engagement &amp; Commerce (CRM &amp; hybris) *")</f>
        <v>0</v>
      </c>
      <c r="M879">
        <f>COUNTIF('Metrics - Articles'!F876,"*GCO – HR (SuccessFactors)*")</f>
        <v>0</v>
      </c>
      <c r="N879">
        <f>COUNTIF('Metrics - Articles'!F876,"*GCO – Services Sales*")</f>
        <v>0</v>
      </c>
      <c r="O879">
        <f>COUNTIF('Metrics - Articles'!F876,"*GCO – Other*")</f>
        <v>0</v>
      </c>
      <c r="P879">
        <f>COUNTIF('Metrics - Articles'!F876,"*Corporate*")</f>
        <v>0</v>
      </c>
      <c r="R879" s="53">
        <f t="shared" si="15"/>
        <v>0</v>
      </c>
    </row>
    <row r="880" spans="2:18" hidden="1" x14ac:dyDescent="0.25">
      <c r="B880" s="48">
        <f>+'Metrics - Articles'!C877</f>
        <v>0</v>
      </c>
      <c r="C880">
        <f>COUNTIF('Metrics - Articles'!F877,"*GPO (Partner, Ecosystem, Channels)*")</f>
        <v>0</v>
      </c>
      <c r="D880">
        <f>COUNTIF('Metrics - Articles'!F877,"*Office of the CEO*")</f>
        <v>0</v>
      </c>
      <c r="E880">
        <f>COUNTIF('Metrics - Articles'!F877,"*Services Delivery &amp; Support (go-lives and deployments) *")</f>
        <v>0</v>
      </c>
      <c r="F880">
        <f>COUNTIF('Metrics - Articles'!F877,"*Human Resources (SAP HR and employee stories)*")</f>
        <v>0</v>
      </c>
      <c r="G880">
        <f>COUNTIF('Metrics - Articles'!F877,"*P&amp;I (Research &amp; Development)*")</f>
        <v>0</v>
      </c>
      <c r="H880">
        <f>COUNTIF('Metrics - Articles'!F877,"*Business Network (Concur, Ariba, Fieldglass)*")</f>
        <v>0</v>
      </c>
      <c r="I880">
        <f>COUNTIF('Metrics - Articles'!F877,"*GCO – Regions*")</f>
        <v>0</v>
      </c>
      <c r="J880">
        <f>COUNTIF('Metrics - Articles'!F877,"*GCO – Platform Solutions*")</f>
        <v>0</v>
      </c>
      <c r="K880">
        <f>COUNTIF('Metrics - Articles'!F877,"*GCO – Industry Cloud *")</f>
        <v>0</v>
      </c>
      <c r="L880">
        <f>COUNTIF('Metrics - Articles'!F877,"*GCO – Customer Engagement &amp; Commerce (CRM &amp; hybris) *")</f>
        <v>0</v>
      </c>
      <c r="M880">
        <f>COUNTIF('Metrics - Articles'!F877,"*GCO – HR (SuccessFactors)*")</f>
        <v>0</v>
      </c>
      <c r="N880">
        <f>COUNTIF('Metrics - Articles'!F877,"*GCO – Services Sales*")</f>
        <v>0</v>
      </c>
      <c r="O880">
        <f>COUNTIF('Metrics - Articles'!F877,"*GCO – Other*")</f>
        <v>0</v>
      </c>
      <c r="P880">
        <f>COUNTIF('Metrics - Articles'!F877,"*Corporate*")</f>
        <v>0</v>
      </c>
      <c r="R880" s="53">
        <f t="shared" si="15"/>
        <v>0</v>
      </c>
    </row>
    <row r="881" spans="2:18" hidden="1" x14ac:dyDescent="0.25">
      <c r="B881" s="48">
        <f>+'Metrics - Articles'!C878</f>
        <v>0</v>
      </c>
      <c r="C881">
        <f>COUNTIF('Metrics - Articles'!F878,"*GPO (Partner, Ecosystem, Channels)*")</f>
        <v>0</v>
      </c>
      <c r="D881">
        <f>COUNTIF('Metrics - Articles'!F878,"*Office of the CEO*")</f>
        <v>0</v>
      </c>
      <c r="E881">
        <f>COUNTIF('Metrics - Articles'!F878,"*Services Delivery &amp; Support (go-lives and deployments) *")</f>
        <v>0</v>
      </c>
      <c r="F881">
        <f>COUNTIF('Metrics - Articles'!F878,"*Human Resources (SAP HR and employee stories)*")</f>
        <v>0</v>
      </c>
      <c r="G881">
        <f>COUNTIF('Metrics - Articles'!F878,"*P&amp;I (Research &amp; Development)*")</f>
        <v>0</v>
      </c>
      <c r="H881">
        <f>COUNTIF('Metrics - Articles'!F878,"*Business Network (Concur, Ariba, Fieldglass)*")</f>
        <v>0</v>
      </c>
      <c r="I881">
        <f>COUNTIF('Metrics - Articles'!F878,"*GCO – Regions*")</f>
        <v>0</v>
      </c>
      <c r="J881">
        <f>COUNTIF('Metrics - Articles'!F878,"*GCO – Platform Solutions*")</f>
        <v>0</v>
      </c>
      <c r="K881">
        <f>COUNTIF('Metrics - Articles'!F878,"*GCO – Industry Cloud *")</f>
        <v>0</v>
      </c>
      <c r="L881">
        <f>COUNTIF('Metrics - Articles'!F878,"*GCO – Customer Engagement &amp; Commerce (CRM &amp; hybris) *")</f>
        <v>0</v>
      </c>
      <c r="M881">
        <f>COUNTIF('Metrics - Articles'!F878,"*GCO – HR (SuccessFactors)*")</f>
        <v>0</v>
      </c>
      <c r="N881">
        <f>COUNTIF('Metrics - Articles'!F878,"*GCO – Services Sales*")</f>
        <v>0</v>
      </c>
      <c r="O881">
        <f>COUNTIF('Metrics - Articles'!F878,"*GCO – Other*")</f>
        <v>0</v>
      </c>
      <c r="P881">
        <f>COUNTIF('Metrics - Articles'!F878,"*Corporate*")</f>
        <v>0</v>
      </c>
      <c r="R881" s="53">
        <f t="shared" si="15"/>
        <v>0</v>
      </c>
    </row>
    <row r="882" spans="2:18" hidden="1" x14ac:dyDescent="0.25">
      <c r="B882" s="48">
        <f>+'Metrics - Articles'!C879</f>
        <v>0</v>
      </c>
      <c r="C882">
        <f>COUNTIF('Metrics - Articles'!F879,"*GPO (Partner, Ecosystem, Channels)*")</f>
        <v>0</v>
      </c>
      <c r="D882">
        <f>COUNTIF('Metrics - Articles'!F879,"*Office of the CEO*")</f>
        <v>0</v>
      </c>
      <c r="E882">
        <f>COUNTIF('Metrics - Articles'!F879,"*Services Delivery &amp; Support (go-lives and deployments) *")</f>
        <v>0</v>
      </c>
      <c r="F882">
        <f>COUNTIF('Metrics - Articles'!F879,"*Human Resources (SAP HR and employee stories)*")</f>
        <v>0</v>
      </c>
      <c r="G882">
        <f>COUNTIF('Metrics - Articles'!F879,"*P&amp;I (Research &amp; Development)*")</f>
        <v>0</v>
      </c>
      <c r="H882">
        <f>COUNTIF('Metrics - Articles'!F879,"*Business Network (Concur, Ariba, Fieldglass)*")</f>
        <v>0</v>
      </c>
      <c r="I882">
        <f>COUNTIF('Metrics - Articles'!F879,"*GCO – Regions*")</f>
        <v>0</v>
      </c>
      <c r="J882">
        <f>COUNTIF('Metrics - Articles'!F879,"*GCO – Platform Solutions*")</f>
        <v>0</v>
      </c>
      <c r="K882">
        <f>COUNTIF('Metrics - Articles'!F879,"*GCO – Industry Cloud *")</f>
        <v>0</v>
      </c>
      <c r="L882">
        <f>COUNTIF('Metrics - Articles'!F879,"*GCO – Customer Engagement &amp; Commerce (CRM &amp; hybris) *")</f>
        <v>0</v>
      </c>
      <c r="M882">
        <f>COUNTIF('Metrics - Articles'!F879,"*GCO – HR (SuccessFactors)*")</f>
        <v>0</v>
      </c>
      <c r="N882">
        <f>COUNTIF('Metrics - Articles'!F879,"*GCO – Services Sales*")</f>
        <v>0</v>
      </c>
      <c r="O882">
        <f>COUNTIF('Metrics - Articles'!F879,"*GCO – Other*")</f>
        <v>0</v>
      </c>
      <c r="P882">
        <f>COUNTIF('Metrics - Articles'!F879,"*Corporate*")</f>
        <v>0</v>
      </c>
      <c r="R882" s="53">
        <f t="shared" si="15"/>
        <v>0</v>
      </c>
    </row>
    <row r="883" spans="2:18" hidden="1" x14ac:dyDescent="0.25">
      <c r="B883" s="48">
        <f>+'Metrics - Articles'!C880</f>
        <v>0</v>
      </c>
      <c r="C883">
        <f>COUNTIF('Metrics - Articles'!F880,"*GPO (Partner, Ecosystem, Channels)*")</f>
        <v>0</v>
      </c>
      <c r="D883">
        <f>COUNTIF('Metrics - Articles'!F880,"*Office of the CEO*")</f>
        <v>0</v>
      </c>
      <c r="E883">
        <f>COUNTIF('Metrics - Articles'!F880,"*Services Delivery &amp; Support (go-lives and deployments) *")</f>
        <v>0</v>
      </c>
      <c r="F883">
        <f>COUNTIF('Metrics - Articles'!F880,"*Human Resources (SAP HR and employee stories)*")</f>
        <v>0</v>
      </c>
      <c r="G883">
        <f>COUNTIF('Metrics - Articles'!F880,"*P&amp;I (Research &amp; Development)*")</f>
        <v>0</v>
      </c>
      <c r="H883">
        <f>COUNTIF('Metrics - Articles'!F880,"*Business Network (Concur, Ariba, Fieldglass)*")</f>
        <v>0</v>
      </c>
      <c r="I883">
        <f>COUNTIF('Metrics - Articles'!F880,"*GCO – Regions*")</f>
        <v>0</v>
      </c>
      <c r="J883">
        <f>COUNTIF('Metrics - Articles'!F880,"*GCO – Platform Solutions*")</f>
        <v>0</v>
      </c>
      <c r="K883">
        <f>COUNTIF('Metrics - Articles'!F880,"*GCO – Industry Cloud *")</f>
        <v>0</v>
      </c>
      <c r="L883">
        <f>COUNTIF('Metrics - Articles'!F880,"*GCO – Customer Engagement &amp; Commerce (CRM &amp; hybris) *")</f>
        <v>0</v>
      </c>
      <c r="M883">
        <f>COUNTIF('Metrics - Articles'!F880,"*GCO – HR (SuccessFactors)*")</f>
        <v>0</v>
      </c>
      <c r="N883">
        <f>COUNTIF('Metrics - Articles'!F880,"*GCO – Services Sales*")</f>
        <v>0</v>
      </c>
      <c r="O883">
        <f>COUNTIF('Metrics - Articles'!F880,"*GCO – Other*")</f>
        <v>0</v>
      </c>
      <c r="P883">
        <f>COUNTIF('Metrics - Articles'!F880,"*Corporate*")</f>
        <v>0</v>
      </c>
      <c r="R883" s="53">
        <f t="shared" si="15"/>
        <v>0</v>
      </c>
    </row>
    <row r="884" spans="2:18" hidden="1" x14ac:dyDescent="0.25">
      <c r="B884" s="48">
        <f>+'Metrics - Articles'!C881</f>
        <v>0</v>
      </c>
      <c r="C884">
        <f>COUNTIF('Metrics - Articles'!F881,"*GPO (Partner, Ecosystem, Channels)*")</f>
        <v>0</v>
      </c>
      <c r="D884">
        <f>COUNTIF('Metrics - Articles'!F881,"*Office of the CEO*")</f>
        <v>0</v>
      </c>
      <c r="E884">
        <f>COUNTIF('Metrics - Articles'!F881,"*Services Delivery &amp; Support (go-lives and deployments) *")</f>
        <v>0</v>
      </c>
      <c r="F884">
        <f>COUNTIF('Metrics - Articles'!F881,"*Human Resources (SAP HR and employee stories)*")</f>
        <v>0</v>
      </c>
      <c r="G884">
        <f>COUNTIF('Metrics - Articles'!F881,"*P&amp;I (Research &amp; Development)*")</f>
        <v>0</v>
      </c>
      <c r="H884">
        <f>COUNTIF('Metrics - Articles'!F881,"*Business Network (Concur, Ariba, Fieldglass)*")</f>
        <v>0</v>
      </c>
      <c r="I884">
        <f>COUNTIF('Metrics - Articles'!F881,"*GCO – Regions*")</f>
        <v>0</v>
      </c>
      <c r="J884">
        <f>COUNTIF('Metrics - Articles'!F881,"*GCO – Platform Solutions*")</f>
        <v>0</v>
      </c>
      <c r="K884">
        <f>COUNTIF('Metrics - Articles'!F881,"*GCO – Industry Cloud *")</f>
        <v>0</v>
      </c>
      <c r="L884">
        <f>COUNTIF('Metrics - Articles'!F881,"*GCO – Customer Engagement &amp; Commerce (CRM &amp; hybris) *")</f>
        <v>0</v>
      </c>
      <c r="M884">
        <f>COUNTIF('Metrics - Articles'!F881,"*GCO – HR (SuccessFactors)*")</f>
        <v>0</v>
      </c>
      <c r="N884">
        <f>COUNTIF('Metrics - Articles'!F881,"*GCO – Services Sales*")</f>
        <v>0</v>
      </c>
      <c r="O884">
        <f>COUNTIF('Metrics - Articles'!F881,"*GCO – Other*")</f>
        <v>0</v>
      </c>
      <c r="P884">
        <f>COUNTIF('Metrics - Articles'!F881,"*Corporate*")</f>
        <v>0</v>
      </c>
      <c r="R884" s="53">
        <f t="shared" si="15"/>
        <v>0</v>
      </c>
    </row>
    <row r="885" spans="2:18" hidden="1" x14ac:dyDescent="0.25">
      <c r="B885" s="48">
        <f>+'Metrics - Articles'!C882</f>
        <v>0</v>
      </c>
      <c r="C885">
        <f>COUNTIF('Metrics - Articles'!F882,"*GPO (Partner, Ecosystem, Channels)*")</f>
        <v>0</v>
      </c>
      <c r="D885">
        <f>COUNTIF('Metrics - Articles'!F882,"*Office of the CEO*")</f>
        <v>0</v>
      </c>
      <c r="E885">
        <f>COUNTIF('Metrics - Articles'!F882,"*Services Delivery &amp; Support (go-lives and deployments) *")</f>
        <v>0</v>
      </c>
      <c r="F885">
        <f>COUNTIF('Metrics - Articles'!F882,"*Human Resources (SAP HR and employee stories)*")</f>
        <v>0</v>
      </c>
      <c r="G885">
        <f>COUNTIF('Metrics - Articles'!F882,"*P&amp;I (Research &amp; Development)*")</f>
        <v>0</v>
      </c>
      <c r="H885">
        <f>COUNTIF('Metrics - Articles'!F882,"*Business Network (Concur, Ariba, Fieldglass)*")</f>
        <v>0</v>
      </c>
      <c r="I885">
        <f>COUNTIF('Metrics - Articles'!F882,"*GCO – Regions*")</f>
        <v>0</v>
      </c>
      <c r="J885">
        <f>COUNTIF('Metrics - Articles'!F882,"*GCO – Platform Solutions*")</f>
        <v>0</v>
      </c>
      <c r="K885">
        <f>COUNTIF('Metrics - Articles'!F882,"*GCO – Industry Cloud *")</f>
        <v>0</v>
      </c>
      <c r="L885">
        <f>COUNTIF('Metrics - Articles'!F882,"*GCO – Customer Engagement &amp; Commerce (CRM &amp; hybris) *")</f>
        <v>0</v>
      </c>
      <c r="M885">
        <f>COUNTIF('Metrics - Articles'!F882,"*GCO – HR (SuccessFactors)*")</f>
        <v>0</v>
      </c>
      <c r="N885">
        <f>COUNTIF('Metrics - Articles'!F882,"*GCO – Services Sales*")</f>
        <v>0</v>
      </c>
      <c r="O885">
        <f>COUNTIF('Metrics - Articles'!F882,"*GCO – Other*")</f>
        <v>0</v>
      </c>
      <c r="P885">
        <f>COUNTIF('Metrics - Articles'!F882,"*Corporate*")</f>
        <v>0</v>
      </c>
      <c r="R885" s="53">
        <f t="shared" si="15"/>
        <v>0</v>
      </c>
    </row>
    <row r="886" spans="2:18" hidden="1" x14ac:dyDescent="0.25">
      <c r="B886" s="48">
        <f>+'Metrics - Articles'!C883</f>
        <v>0</v>
      </c>
      <c r="C886">
        <f>COUNTIF('Metrics - Articles'!F883,"*GPO (Partner, Ecosystem, Channels)*")</f>
        <v>0</v>
      </c>
      <c r="D886">
        <f>COUNTIF('Metrics - Articles'!F883,"*Office of the CEO*")</f>
        <v>0</v>
      </c>
      <c r="E886">
        <f>COUNTIF('Metrics - Articles'!F883,"*Services Delivery &amp; Support (go-lives and deployments) *")</f>
        <v>0</v>
      </c>
      <c r="F886">
        <f>COUNTIF('Metrics - Articles'!F883,"*Human Resources (SAP HR and employee stories)*")</f>
        <v>0</v>
      </c>
      <c r="G886">
        <f>COUNTIF('Metrics - Articles'!F883,"*P&amp;I (Research &amp; Development)*")</f>
        <v>0</v>
      </c>
      <c r="H886">
        <f>COUNTIF('Metrics - Articles'!F883,"*Business Network (Concur, Ariba, Fieldglass)*")</f>
        <v>0</v>
      </c>
      <c r="I886">
        <f>COUNTIF('Metrics - Articles'!F883,"*GCO – Regions*")</f>
        <v>0</v>
      </c>
      <c r="J886">
        <f>COUNTIF('Metrics - Articles'!F883,"*GCO – Platform Solutions*")</f>
        <v>0</v>
      </c>
      <c r="K886">
        <f>COUNTIF('Metrics - Articles'!F883,"*GCO – Industry Cloud *")</f>
        <v>0</v>
      </c>
      <c r="L886">
        <f>COUNTIF('Metrics - Articles'!F883,"*GCO – Customer Engagement &amp; Commerce (CRM &amp; hybris) *")</f>
        <v>0</v>
      </c>
      <c r="M886">
        <f>COUNTIF('Metrics - Articles'!F883,"*GCO – HR (SuccessFactors)*")</f>
        <v>0</v>
      </c>
      <c r="N886">
        <f>COUNTIF('Metrics - Articles'!F883,"*GCO – Services Sales*")</f>
        <v>0</v>
      </c>
      <c r="O886">
        <f>COUNTIF('Metrics - Articles'!F883,"*GCO – Other*")</f>
        <v>0</v>
      </c>
      <c r="P886">
        <f>COUNTIF('Metrics - Articles'!F883,"*Corporate*")</f>
        <v>0</v>
      </c>
      <c r="R886" s="53">
        <f t="shared" si="15"/>
        <v>0</v>
      </c>
    </row>
    <row r="887" spans="2:18" hidden="1" x14ac:dyDescent="0.25">
      <c r="B887" s="48">
        <f>+'Metrics - Articles'!C884</f>
        <v>0</v>
      </c>
      <c r="C887">
        <f>COUNTIF('Metrics - Articles'!F884,"*GPO (Partner, Ecosystem, Channels)*")</f>
        <v>0</v>
      </c>
      <c r="D887">
        <f>COUNTIF('Metrics - Articles'!F884,"*Office of the CEO*")</f>
        <v>0</v>
      </c>
      <c r="E887">
        <f>COUNTIF('Metrics - Articles'!F884,"*Services Delivery &amp; Support (go-lives and deployments) *")</f>
        <v>0</v>
      </c>
      <c r="F887">
        <f>COUNTIF('Metrics - Articles'!F884,"*Human Resources (SAP HR and employee stories)*")</f>
        <v>0</v>
      </c>
      <c r="G887">
        <f>COUNTIF('Metrics - Articles'!F884,"*P&amp;I (Research &amp; Development)*")</f>
        <v>0</v>
      </c>
      <c r="H887">
        <f>COUNTIF('Metrics - Articles'!F884,"*Business Network (Concur, Ariba, Fieldglass)*")</f>
        <v>0</v>
      </c>
      <c r="I887">
        <f>COUNTIF('Metrics - Articles'!F884,"*GCO – Regions*")</f>
        <v>0</v>
      </c>
      <c r="J887">
        <f>COUNTIF('Metrics - Articles'!F884,"*GCO – Platform Solutions*")</f>
        <v>0</v>
      </c>
      <c r="K887">
        <f>COUNTIF('Metrics - Articles'!F884,"*GCO – Industry Cloud *")</f>
        <v>0</v>
      </c>
      <c r="L887">
        <f>COUNTIF('Metrics - Articles'!F884,"*GCO – Customer Engagement &amp; Commerce (CRM &amp; hybris) *")</f>
        <v>0</v>
      </c>
      <c r="M887">
        <f>COUNTIF('Metrics - Articles'!F884,"*GCO – HR (SuccessFactors)*")</f>
        <v>0</v>
      </c>
      <c r="N887">
        <f>COUNTIF('Metrics - Articles'!F884,"*GCO – Services Sales*")</f>
        <v>0</v>
      </c>
      <c r="O887">
        <f>COUNTIF('Metrics - Articles'!F884,"*GCO – Other*")</f>
        <v>0</v>
      </c>
      <c r="P887">
        <f>COUNTIF('Metrics - Articles'!F884,"*Corporate*")</f>
        <v>0</v>
      </c>
      <c r="R887" s="53">
        <f t="shared" si="15"/>
        <v>0</v>
      </c>
    </row>
    <row r="888" spans="2:18" hidden="1" x14ac:dyDescent="0.25">
      <c r="B888" s="48">
        <f>+'Metrics - Articles'!C885</f>
        <v>0</v>
      </c>
      <c r="C888">
        <f>COUNTIF('Metrics - Articles'!F885,"*GPO (Partner, Ecosystem, Channels)*")</f>
        <v>0</v>
      </c>
      <c r="D888">
        <f>COUNTIF('Metrics - Articles'!F885,"*Office of the CEO*")</f>
        <v>0</v>
      </c>
      <c r="E888">
        <f>COUNTIF('Metrics - Articles'!F885,"*Services Delivery &amp; Support (go-lives and deployments) *")</f>
        <v>0</v>
      </c>
      <c r="F888">
        <f>COUNTIF('Metrics - Articles'!F885,"*Human Resources (SAP HR and employee stories)*")</f>
        <v>0</v>
      </c>
      <c r="G888">
        <f>COUNTIF('Metrics - Articles'!F885,"*P&amp;I (Research &amp; Development)*")</f>
        <v>0</v>
      </c>
      <c r="H888">
        <f>COUNTIF('Metrics - Articles'!F885,"*Business Network (Concur, Ariba, Fieldglass)*")</f>
        <v>0</v>
      </c>
      <c r="I888">
        <f>COUNTIF('Metrics - Articles'!F885,"*GCO – Regions*")</f>
        <v>0</v>
      </c>
      <c r="J888">
        <f>COUNTIF('Metrics - Articles'!F885,"*GCO – Platform Solutions*")</f>
        <v>0</v>
      </c>
      <c r="K888">
        <f>COUNTIF('Metrics - Articles'!F885,"*GCO – Industry Cloud *")</f>
        <v>0</v>
      </c>
      <c r="L888">
        <f>COUNTIF('Metrics - Articles'!F885,"*GCO – Customer Engagement &amp; Commerce (CRM &amp; hybris) *")</f>
        <v>0</v>
      </c>
      <c r="M888">
        <f>COUNTIF('Metrics - Articles'!F885,"*GCO – HR (SuccessFactors)*")</f>
        <v>0</v>
      </c>
      <c r="N888">
        <f>COUNTIF('Metrics - Articles'!F885,"*GCO – Services Sales*")</f>
        <v>0</v>
      </c>
      <c r="O888">
        <f>COUNTIF('Metrics - Articles'!F885,"*GCO – Other*")</f>
        <v>0</v>
      </c>
      <c r="P888">
        <f>COUNTIF('Metrics - Articles'!F885,"*Corporate*")</f>
        <v>0</v>
      </c>
      <c r="R888" s="53">
        <f t="shared" si="15"/>
        <v>0</v>
      </c>
    </row>
    <row r="889" spans="2:18" hidden="1" x14ac:dyDescent="0.25">
      <c r="B889" s="48">
        <f>+'Metrics - Articles'!C886</f>
        <v>0</v>
      </c>
      <c r="C889">
        <f>COUNTIF('Metrics - Articles'!F886,"*GPO (Partner, Ecosystem, Channels)*")</f>
        <v>0</v>
      </c>
      <c r="D889">
        <f>COUNTIF('Metrics - Articles'!F886,"*Office of the CEO*")</f>
        <v>0</v>
      </c>
      <c r="E889">
        <f>COUNTIF('Metrics - Articles'!F886,"*Services Delivery &amp; Support (go-lives and deployments) *")</f>
        <v>0</v>
      </c>
      <c r="F889">
        <f>COUNTIF('Metrics - Articles'!F886,"*Human Resources (SAP HR and employee stories)*")</f>
        <v>0</v>
      </c>
      <c r="G889">
        <f>COUNTIF('Metrics - Articles'!F886,"*P&amp;I (Research &amp; Development)*")</f>
        <v>0</v>
      </c>
      <c r="H889">
        <f>COUNTIF('Metrics - Articles'!F886,"*Business Network (Concur, Ariba, Fieldglass)*")</f>
        <v>0</v>
      </c>
      <c r="I889">
        <f>COUNTIF('Metrics - Articles'!F886,"*GCO – Regions*")</f>
        <v>0</v>
      </c>
      <c r="J889">
        <f>COUNTIF('Metrics - Articles'!F886,"*GCO – Platform Solutions*")</f>
        <v>0</v>
      </c>
      <c r="K889">
        <f>COUNTIF('Metrics - Articles'!F886,"*GCO – Industry Cloud *")</f>
        <v>0</v>
      </c>
      <c r="L889">
        <f>COUNTIF('Metrics - Articles'!F886,"*GCO – Customer Engagement &amp; Commerce (CRM &amp; hybris) *")</f>
        <v>0</v>
      </c>
      <c r="M889">
        <f>COUNTIF('Metrics - Articles'!F886,"*GCO – HR (SuccessFactors)*")</f>
        <v>0</v>
      </c>
      <c r="N889">
        <f>COUNTIF('Metrics - Articles'!F886,"*GCO – Services Sales*")</f>
        <v>0</v>
      </c>
      <c r="O889">
        <f>COUNTIF('Metrics - Articles'!F886,"*GCO – Other*")</f>
        <v>0</v>
      </c>
      <c r="P889">
        <f>COUNTIF('Metrics - Articles'!F886,"*Corporate*")</f>
        <v>0</v>
      </c>
      <c r="R889" s="53">
        <f t="shared" si="15"/>
        <v>0</v>
      </c>
    </row>
    <row r="890" spans="2:18" hidden="1" x14ac:dyDescent="0.25">
      <c r="B890" s="48">
        <f>+'Metrics - Articles'!C887</f>
        <v>0</v>
      </c>
      <c r="C890">
        <f>COUNTIF('Metrics - Articles'!F887,"*GPO (Partner, Ecosystem, Channels)*")</f>
        <v>0</v>
      </c>
      <c r="D890">
        <f>COUNTIF('Metrics - Articles'!F887,"*Office of the CEO*")</f>
        <v>0</v>
      </c>
      <c r="E890">
        <f>COUNTIF('Metrics - Articles'!F887,"*Services Delivery &amp; Support (go-lives and deployments) *")</f>
        <v>0</v>
      </c>
      <c r="F890">
        <f>COUNTIF('Metrics - Articles'!F887,"*Human Resources (SAP HR and employee stories)*")</f>
        <v>0</v>
      </c>
      <c r="G890">
        <f>COUNTIF('Metrics - Articles'!F887,"*P&amp;I (Research &amp; Development)*")</f>
        <v>0</v>
      </c>
      <c r="H890">
        <f>COUNTIF('Metrics - Articles'!F887,"*Business Network (Concur, Ariba, Fieldglass)*")</f>
        <v>0</v>
      </c>
      <c r="I890">
        <f>COUNTIF('Metrics - Articles'!F887,"*GCO – Regions*")</f>
        <v>0</v>
      </c>
      <c r="J890">
        <f>COUNTIF('Metrics - Articles'!F887,"*GCO – Platform Solutions*")</f>
        <v>0</v>
      </c>
      <c r="K890">
        <f>COUNTIF('Metrics - Articles'!F887,"*GCO – Industry Cloud *")</f>
        <v>0</v>
      </c>
      <c r="L890">
        <f>COUNTIF('Metrics - Articles'!F887,"*GCO – Customer Engagement &amp; Commerce (CRM &amp; hybris) *")</f>
        <v>0</v>
      </c>
      <c r="M890">
        <f>COUNTIF('Metrics - Articles'!F887,"*GCO – HR (SuccessFactors)*")</f>
        <v>0</v>
      </c>
      <c r="N890">
        <f>COUNTIF('Metrics - Articles'!F887,"*GCO – Services Sales*")</f>
        <v>0</v>
      </c>
      <c r="O890">
        <f>COUNTIF('Metrics - Articles'!F887,"*GCO – Other*")</f>
        <v>0</v>
      </c>
      <c r="P890">
        <f>COUNTIF('Metrics - Articles'!F887,"*Corporate*")</f>
        <v>0</v>
      </c>
      <c r="R890" s="53">
        <f t="shared" si="15"/>
        <v>0</v>
      </c>
    </row>
    <row r="891" spans="2:18" hidden="1" x14ac:dyDescent="0.25">
      <c r="B891" s="48">
        <f>+'Metrics - Articles'!C888</f>
        <v>0</v>
      </c>
      <c r="C891">
        <f>COUNTIF('Metrics - Articles'!F888,"*GPO (Partner, Ecosystem, Channels)*")</f>
        <v>0</v>
      </c>
      <c r="D891">
        <f>COUNTIF('Metrics - Articles'!F888,"*Office of the CEO*")</f>
        <v>0</v>
      </c>
      <c r="E891">
        <f>COUNTIF('Metrics - Articles'!F888,"*Services Delivery &amp; Support (go-lives and deployments) *")</f>
        <v>0</v>
      </c>
      <c r="F891">
        <f>COUNTIF('Metrics - Articles'!F888,"*Human Resources (SAP HR and employee stories)*")</f>
        <v>0</v>
      </c>
      <c r="G891">
        <f>COUNTIF('Metrics - Articles'!F888,"*P&amp;I (Research &amp; Development)*")</f>
        <v>0</v>
      </c>
      <c r="H891">
        <f>COUNTIF('Metrics - Articles'!F888,"*Business Network (Concur, Ariba, Fieldglass)*")</f>
        <v>0</v>
      </c>
      <c r="I891">
        <f>COUNTIF('Metrics - Articles'!F888,"*GCO – Regions*")</f>
        <v>0</v>
      </c>
      <c r="J891">
        <f>COUNTIF('Metrics - Articles'!F888,"*GCO – Platform Solutions*")</f>
        <v>0</v>
      </c>
      <c r="K891">
        <f>COUNTIF('Metrics - Articles'!F888,"*GCO – Industry Cloud *")</f>
        <v>0</v>
      </c>
      <c r="L891">
        <f>COUNTIF('Metrics - Articles'!F888,"*GCO – Customer Engagement &amp; Commerce (CRM &amp; hybris) *")</f>
        <v>0</v>
      </c>
      <c r="M891">
        <f>COUNTIF('Metrics - Articles'!F888,"*GCO – HR (SuccessFactors)*")</f>
        <v>0</v>
      </c>
      <c r="N891">
        <f>COUNTIF('Metrics - Articles'!F888,"*GCO – Services Sales*")</f>
        <v>0</v>
      </c>
      <c r="O891">
        <f>COUNTIF('Metrics - Articles'!F888,"*GCO – Other*")</f>
        <v>0</v>
      </c>
      <c r="P891">
        <f>COUNTIF('Metrics - Articles'!F888,"*Corporate*")</f>
        <v>0</v>
      </c>
      <c r="R891" s="53">
        <f t="shared" si="15"/>
        <v>0</v>
      </c>
    </row>
    <row r="892" spans="2:18" hidden="1" x14ac:dyDescent="0.25">
      <c r="B892" s="48">
        <f>+'Metrics - Articles'!C889</f>
        <v>0</v>
      </c>
      <c r="C892">
        <f>COUNTIF('Metrics - Articles'!F889,"*GPO (Partner, Ecosystem, Channels)*")</f>
        <v>0</v>
      </c>
      <c r="D892">
        <f>COUNTIF('Metrics - Articles'!F889,"*Office of the CEO*")</f>
        <v>0</v>
      </c>
      <c r="E892">
        <f>COUNTIF('Metrics - Articles'!F889,"*Services Delivery &amp; Support (go-lives and deployments) *")</f>
        <v>0</v>
      </c>
      <c r="F892">
        <f>COUNTIF('Metrics - Articles'!F889,"*Human Resources (SAP HR and employee stories)*")</f>
        <v>0</v>
      </c>
      <c r="G892">
        <f>COUNTIF('Metrics - Articles'!F889,"*P&amp;I (Research &amp; Development)*")</f>
        <v>0</v>
      </c>
      <c r="H892">
        <f>COUNTIF('Metrics - Articles'!F889,"*Business Network (Concur, Ariba, Fieldglass)*")</f>
        <v>0</v>
      </c>
      <c r="I892">
        <f>COUNTIF('Metrics - Articles'!F889,"*GCO – Regions*")</f>
        <v>0</v>
      </c>
      <c r="J892">
        <f>COUNTIF('Metrics - Articles'!F889,"*GCO – Platform Solutions*")</f>
        <v>0</v>
      </c>
      <c r="K892">
        <f>COUNTIF('Metrics - Articles'!F889,"*GCO – Industry Cloud *")</f>
        <v>0</v>
      </c>
      <c r="L892">
        <f>COUNTIF('Metrics - Articles'!F889,"*GCO – Customer Engagement &amp; Commerce (CRM &amp; hybris) *")</f>
        <v>0</v>
      </c>
      <c r="M892">
        <f>COUNTIF('Metrics - Articles'!F889,"*GCO – HR (SuccessFactors)*")</f>
        <v>0</v>
      </c>
      <c r="N892">
        <f>COUNTIF('Metrics - Articles'!F889,"*GCO – Services Sales*")</f>
        <v>0</v>
      </c>
      <c r="O892">
        <f>COUNTIF('Metrics - Articles'!F889,"*GCO – Other*")</f>
        <v>0</v>
      </c>
      <c r="P892">
        <f>COUNTIF('Metrics - Articles'!F889,"*Corporate*")</f>
        <v>0</v>
      </c>
      <c r="R892" s="53">
        <f t="shared" si="15"/>
        <v>0</v>
      </c>
    </row>
    <row r="893" spans="2:18" hidden="1" x14ac:dyDescent="0.25">
      <c r="B893" s="48">
        <f>+'Metrics - Articles'!C890</f>
        <v>0</v>
      </c>
      <c r="C893">
        <f>COUNTIF('Metrics - Articles'!F890,"*GPO (Partner, Ecosystem, Channels)*")</f>
        <v>0</v>
      </c>
      <c r="D893">
        <f>COUNTIF('Metrics - Articles'!F890,"*Office of the CEO*")</f>
        <v>0</v>
      </c>
      <c r="E893">
        <f>COUNTIF('Metrics - Articles'!F890,"*Services Delivery &amp; Support (go-lives and deployments) *")</f>
        <v>0</v>
      </c>
      <c r="F893">
        <f>COUNTIF('Metrics - Articles'!F890,"*Human Resources (SAP HR and employee stories)*")</f>
        <v>0</v>
      </c>
      <c r="G893">
        <f>COUNTIF('Metrics - Articles'!F890,"*P&amp;I (Research &amp; Development)*")</f>
        <v>0</v>
      </c>
      <c r="H893">
        <f>COUNTIF('Metrics - Articles'!F890,"*Business Network (Concur, Ariba, Fieldglass)*")</f>
        <v>0</v>
      </c>
      <c r="I893">
        <f>COUNTIF('Metrics - Articles'!F890,"*GCO – Regions*")</f>
        <v>0</v>
      </c>
      <c r="J893">
        <f>COUNTIF('Metrics - Articles'!F890,"*GCO – Platform Solutions*")</f>
        <v>0</v>
      </c>
      <c r="K893">
        <f>COUNTIF('Metrics - Articles'!F890,"*GCO – Industry Cloud *")</f>
        <v>0</v>
      </c>
      <c r="L893">
        <f>COUNTIF('Metrics - Articles'!F890,"*GCO – Customer Engagement &amp; Commerce (CRM &amp; hybris) *")</f>
        <v>0</v>
      </c>
      <c r="M893">
        <f>COUNTIF('Metrics - Articles'!F890,"*GCO – HR (SuccessFactors)*")</f>
        <v>0</v>
      </c>
      <c r="N893">
        <f>COUNTIF('Metrics - Articles'!F890,"*GCO – Services Sales*")</f>
        <v>0</v>
      </c>
      <c r="O893">
        <f>COUNTIF('Metrics - Articles'!F890,"*GCO – Other*")</f>
        <v>0</v>
      </c>
      <c r="P893">
        <f>COUNTIF('Metrics - Articles'!F890,"*Corporate*")</f>
        <v>0</v>
      </c>
      <c r="R893" s="53">
        <f t="shared" si="15"/>
        <v>0</v>
      </c>
    </row>
    <row r="894" spans="2:18" hidden="1" x14ac:dyDescent="0.25">
      <c r="B894" s="48">
        <f>+'Metrics - Articles'!C891</f>
        <v>0</v>
      </c>
      <c r="C894">
        <f>COUNTIF('Metrics - Articles'!F891,"*GPO (Partner, Ecosystem, Channels)*")</f>
        <v>0</v>
      </c>
      <c r="D894">
        <f>COUNTIF('Metrics - Articles'!F891,"*Office of the CEO*")</f>
        <v>0</v>
      </c>
      <c r="E894">
        <f>COUNTIF('Metrics - Articles'!F891,"*Services Delivery &amp; Support (go-lives and deployments) *")</f>
        <v>0</v>
      </c>
      <c r="F894">
        <f>COUNTIF('Metrics - Articles'!F891,"*Human Resources (SAP HR and employee stories)*")</f>
        <v>0</v>
      </c>
      <c r="G894">
        <f>COUNTIF('Metrics - Articles'!F891,"*P&amp;I (Research &amp; Development)*")</f>
        <v>0</v>
      </c>
      <c r="H894">
        <f>COUNTIF('Metrics - Articles'!F891,"*Business Network (Concur, Ariba, Fieldglass)*")</f>
        <v>0</v>
      </c>
      <c r="I894">
        <f>COUNTIF('Metrics - Articles'!F891,"*GCO – Regions*")</f>
        <v>0</v>
      </c>
      <c r="J894">
        <f>COUNTIF('Metrics - Articles'!F891,"*GCO – Platform Solutions*")</f>
        <v>0</v>
      </c>
      <c r="K894">
        <f>COUNTIF('Metrics - Articles'!F891,"*GCO – Industry Cloud *")</f>
        <v>0</v>
      </c>
      <c r="L894">
        <f>COUNTIF('Metrics - Articles'!F891,"*GCO – Customer Engagement &amp; Commerce (CRM &amp; hybris) *")</f>
        <v>0</v>
      </c>
      <c r="M894">
        <f>COUNTIF('Metrics - Articles'!F891,"*GCO – HR (SuccessFactors)*")</f>
        <v>0</v>
      </c>
      <c r="N894">
        <f>COUNTIF('Metrics - Articles'!F891,"*GCO – Services Sales*")</f>
        <v>0</v>
      </c>
      <c r="O894">
        <f>COUNTIF('Metrics - Articles'!F891,"*GCO – Other*")</f>
        <v>0</v>
      </c>
      <c r="P894">
        <f>COUNTIF('Metrics - Articles'!F891,"*Corporate*")</f>
        <v>0</v>
      </c>
      <c r="R894" s="53">
        <f t="shared" si="15"/>
        <v>0</v>
      </c>
    </row>
    <row r="895" spans="2:18" hidden="1" x14ac:dyDescent="0.25">
      <c r="B895" s="48">
        <f>+'Metrics - Articles'!C892</f>
        <v>0</v>
      </c>
      <c r="C895">
        <f>COUNTIF('Metrics - Articles'!F892,"*GPO (Partner, Ecosystem, Channels)*")</f>
        <v>0</v>
      </c>
      <c r="D895">
        <f>COUNTIF('Metrics - Articles'!F892,"*Office of the CEO*")</f>
        <v>0</v>
      </c>
      <c r="E895">
        <f>COUNTIF('Metrics - Articles'!F892,"*Services Delivery &amp; Support (go-lives and deployments) *")</f>
        <v>0</v>
      </c>
      <c r="F895">
        <f>COUNTIF('Metrics - Articles'!F892,"*Human Resources (SAP HR and employee stories)*")</f>
        <v>0</v>
      </c>
      <c r="G895">
        <f>COUNTIF('Metrics - Articles'!F892,"*P&amp;I (Research &amp; Development)*")</f>
        <v>0</v>
      </c>
      <c r="H895">
        <f>COUNTIF('Metrics - Articles'!F892,"*Business Network (Concur, Ariba, Fieldglass)*")</f>
        <v>0</v>
      </c>
      <c r="I895">
        <f>COUNTIF('Metrics - Articles'!F892,"*GCO – Regions*")</f>
        <v>0</v>
      </c>
      <c r="J895">
        <f>COUNTIF('Metrics - Articles'!F892,"*GCO – Platform Solutions*")</f>
        <v>0</v>
      </c>
      <c r="K895">
        <f>COUNTIF('Metrics - Articles'!F892,"*GCO – Industry Cloud *")</f>
        <v>0</v>
      </c>
      <c r="L895">
        <f>COUNTIF('Metrics - Articles'!F892,"*GCO – Customer Engagement &amp; Commerce (CRM &amp; hybris) *")</f>
        <v>0</v>
      </c>
      <c r="M895">
        <f>COUNTIF('Metrics - Articles'!F892,"*GCO – HR (SuccessFactors)*")</f>
        <v>0</v>
      </c>
      <c r="N895">
        <f>COUNTIF('Metrics - Articles'!F892,"*GCO – Services Sales*")</f>
        <v>0</v>
      </c>
      <c r="O895">
        <f>COUNTIF('Metrics - Articles'!F892,"*GCO – Other*")</f>
        <v>0</v>
      </c>
      <c r="P895">
        <f>COUNTIF('Metrics - Articles'!F892,"*Corporate*")</f>
        <v>0</v>
      </c>
      <c r="R895" s="53">
        <f t="shared" si="15"/>
        <v>0</v>
      </c>
    </row>
    <row r="896" spans="2:18" hidden="1" x14ac:dyDescent="0.25">
      <c r="B896" s="48">
        <f>+'Metrics - Articles'!C893</f>
        <v>0</v>
      </c>
      <c r="C896">
        <f>COUNTIF('Metrics - Articles'!F893,"*GPO (Partner, Ecosystem, Channels)*")</f>
        <v>0</v>
      </c>
      <c r="D896">
        <f>COUNTIF('Metrics - Articles'!F893,"*Office of the CEO*")</f>
        <v>0</v>
      </c>
      <c r="E896">
        <f>COUNTIF('Metrics - Articles'!F893,"*Services Delivery &amp; Support (go-lives and deployments) *")</f>
        <v>0</v>
      </c>
      <c r="F896">
        <f>COUNTIF('Metrics - Articles'!F893,"*Human Resources (SAP HR and employee stories)*")</f>
        <v>0</v>
      </c>
      <c r="G896">
        <f>COUNTIF('Metrics - Articles'!F893,"*P&amp;I (Research &amp; Development)*")</f>
        <v>0</v>
      </c>
      <c r="H896">
        <f>COUNTIF('Metrics - Articles'!F893,"*Business Network (Concur, Ariba, Fieldglass)*")</f>
        <v>0</v>
      </c>
      <c r="I896">
        <f>COUNTIF('Metrics - Articles'!F893,"*GCO – Regions*")</f>
        <v>0</v>
      </c>
      <c r="J896">
        <f>COUNTIF('Metrics - Articles'!F893,"*GCO – Platform Solutions*")</f>
        <v>0</v>
      </c>
      <c r="K896">
        <f>COUNTIF('Metrics - Articles'!F893,"*GCO – Industry Cloud *")</f>
        <v>0</v>
      </c>
      <c r="L896">
        <f>COUNTIF('Metrics - Articles'!F893,"*GCO – Customer Engagement &amp; Commerce (CRM &amp; hybris) *")</f>
        <v>0</v>
      </c>
      <c r="M896">
        <f>COUNTIF('Metrics - Articles'!F893,"*GCO – HR (SuccessFactors)*")</f>
        <v>0</v>
      </c>
      <c r="N896">
        <f>COUNTIF('Metrics - Articles'!F893,"*GCO – Services Sales*")</f>
        <v>0</v>
      </c>
      <c r="O896">
        <f>COUNTIF('Metrics - Articles'!F893,"*GCO – Other*")</f>
        <v>0</v>
      </c>
      <c r="P896">
        <f>COUNTIF('Metrics - Articles'!F893,"*Corporate*")</f>
        <v>0</v>
      </c>
      <c r="R896" s="53">
        <f t="shared" si="15"/>
        <v>0</v>
      </c>
    </row>
    <row r="897" spans="2:18" hidden="1" x14ac:dyDescent="0.25">
      <c r="B897" s="48">
        <f>+'Metrics - Articles'!C894</f>
        <v>0</v>
      </c>
      <c r="C897">
        <f>COUNTIF('Metrics - Articles'!F894,"*GPO (Partner, Ecosystem, Channels)*")</f>
        <v>0</v>
      </c>
      <c r="D897">
        <f>COUNTIF('Metrics - Articles'!F894,"*Office of the CEO*")</f>
        <v>0</v>
      </c>
      <c r="E897">
        <f>COUNTIF('Metrics - Articles'!F894,"*Services Delivery &amp; Support (go-lives and deployments) *")</f>
        <v>0</v>
      </c>
      <c r="F897">
        <f>COUNTIF('Metrics - Articles'!F894,"*Human Resources (SAP HR and employee stories)*")</f>
        <v>0</v>
      </c>
      <c r="G897">
        <f>COUNTIF('Metrics - Articles'!F894,"*P&amp;I (Research &amp; Development)*")</f>
        <v>0</v>
      </c>
      <c r="H897">
        <f>COUNTIF('Metrics - Articles'!F894,"*Business Network (Concur, Ariba, Fieldglass)*")</f>
        <v>0</v>
      </c>
      <c r="I897">
        <f>COUNTIF('Metrics - Articles'!F894,"*GCO – Regions*")</f>
        <v>0</v>
      </c>
      <c r="J897">
        <f>COUNTIF('Metrics - Articles'!F894,"*GCO – Platform Solutions*")</f>
        <v>0</v>
      </c>
      <c r="K897">
        <f>COUNTIF('Metrics - Articles'!F894,"*GCO – Industry Cloud *")</f>
        <v>0</v>
      </c>
      <c r="L897">
        <f>COUNTIF('Metrics - Articles'!F894,"*GCO – Customer Engagement &amp; Commerce (CRM &amp; hybris) *")</f>
        <v>0</v>
      </c>
      <c r="M897">
        <f>COUNTIF('Metrics - Articles'!F894,"*GCO – HR (SuccessFactors)*")</f>
        <v>0</v>
      </c>
      <c r="N897">
        <f>COUNTIF('Metrics - Articles'!F894,"*GCO – Services Sales*")</f>
        <v>0</v>
      </c>
      <c r="O897">
        <f>COUNTIF('Metrics - Articles'!F894,"*GCO – Other*")</f>
        <v>0</v>
      </c>
      <c r="P897">
        <f>COUNTIF('Metrics - Articles'!F894,"*Corporate*")</f>
        <v>0</v>
      </c>
      <c r="R897" s="53">
        <f t="shared" si="15"/>
        <v>0</v>
      </c>
    </row>
    <row r="898" spans="2:18" hidden="1" x14ac:dyDescent="0.25">
      <c r="B898" s="48">
        <f>+'Metrics - Articles'!C895</f>
        <v>0</v>
      </c>
      <c r="C898">
        <f>COUNTIF('Metrics - Articles'!F895,"*GPO (Partner, Ecosystem, Channels)*")</f>
        <v>0</v>
      </c>
      <c r="D898">
        <f>COUNTIF('Metrics - Articles'!F895,"*Office of the CEO*")</f>
        <v>0</v>
      </c>
      <c r="E898">
        <f>COUNTIF('Metrics - Articles'!F895,"*Services Delivery &amp; Support (go-lives and deployments) *")</f>
        <v>0</v>
      </c>
      <c r="F898">
        <f>COUNTIF('Metrics - Articles'!F895,"*Human Resources (SAP HR and employee stories)*")</f>
        <v>0</v>
      </c>
      <c r="G898">
        <f>COUNTIF('Metrics - Articles'!F895,"*P&amp;I (Research &amp; Development)*")</f>
        <v>0</v>
      </c>
      <c r="H898">
        <f>COUNTIF('Metrics - Articles'!F895,"*Business Network (Concur, Ariba, Fieldglass)*")</f>
        <v>0</v>
      </c>
      <c r="I898">
        <f>COUNTIF('Metrics - Articles'!F895,"*GCO – Regions*")</f>
        <v>0</v>
      </c>
      <c r="J898">
        <f>COUNTIF('Metrics - Articles'!F895,"*GCO – Platform Solutions*")</f>
        <v>0</v>
      </c>
      <c r="K898">
        <f>COUNTIF('Metrics - Articles'!F895,"*GCO – Industry Cloud *")</f>
        <v>0</v>
      </c>
      <c r="L898">
        <f>COUNTIF('Metrics - Articles'!F895,"*GCO – Customer Engagement &amp; Commerce (CRM &amp; hybris) *")</f>
        <v>0</v>
      </c>
      <c r="M898">
        <f>COUNTIF('Metrics - Articles'!F895,"*GCO – HR (SuccessFactors)*")</f>
        <v>0</v>
      </c>
      <c r="N898">
        <f>COUNTIF('Metrics - Articles'!F895,"*GCO – Services Sales*")</f>
        <v>0</v>
      </c>
      <c r="O898">
        <f>COUNTIF('Metrics - Articles'!F895,"*GCO – Other*")</f>
        <v>0</v>
      </c>
      <c r="P898">
        <f>COUNTIF('Metrics - Articles'!F895,"*Corporate*")</f>
        <v>0</v>
      </c>
      <c r="R898" s="53">
        <f t="shared" si="15"/>
        <v>0</v>
      </c>
    </row>
    <row r="899" spans="2:18" hidden="1" x14ac:dyDescent="0.25">
      <c r="B899" s="48">
        <f>+'Metrics - Articles'!C896</f>
        <v>0</v>
      </c>
      <c r="C899">
        <f>COUNTIF('Metrics - Articles'!F896,"*GPO (Partner, Ecosystem, Channels)*")</f>
        <v>0</v>
      </c>
      <c r="D899">
        <f>COUNTIF('Metrics - Articles'!F896,"*Office of the CEO*")</f>
        <v>0</v>
      </c>
      <c r="E899">
        <f>COUNTIF('Metrics - Articles'!F896,"*Services Delivery &amp; Support (go-lives and deployments) *")</f>
        <v>0</v>
      </c>
      <c r="F899">
        <f>COUNTIF('Metrics - Articles'!F896,"*Human Resources (SAP HR and employee stories)*")</f>
        <v>0</v>
      </c>
      <c r="G899">
        <f>COUNTIF('Metrics - Articles'!F896,"*P&amp;I (Research &amp; Development)*")</f>
        <v>0</v>
      </c>
      <c r="H899">
        <f>COUNTIF('Metrics - Articles'!F896,"*Business Network (Concur, Ariba, Fieldglass)*")</f>
        <v>0</v>
      </c>
      <c r="I899">
        <f>COUNTIF('Metrics - Articles'!F896,"*GCO – Regions*")</f>
        <v>0</v>
      </c>
      <c r="J899">
        <f>COUNTIF('Metrics - Articles'!F896,"*GCO – Platform Solutions*")</f>
        <v>0</v>
      </c>
      <c r="K899">
        <f>COUNTIF('Metrics - Articles'!F896,"*GCO – Industry Cloud *")</f>
        <v>0</v>
      </c>
      <c r="L899">
        <f>COUNTIF('Metrics - Articles'!F896,"*GCO – Customer Engagement &amp; Commerce (CRM &amp; hybris) *")</f>
        <v>0</v>
      </c>
      <c r="M899">
        <f>COUNTIF('Metrics - Articles'!F896,"*GCO – HR (SuccessFactors)*")</f>
        <v>0</v>
      </c>
      <c r="N899">
        <f>COUNTIF('Metrics - Articles'!F896,"*GCO – Services Sales*")</f>
        <v>0</v>
      </c>
      <c r="O899">
        <f>COUNTIF('Metrics - Articles'!F896,"*GCO – Other*")</f>
        <v>0</v>
      </c>
      <c r="P899">
        <f>COUNTIF('Metrics - Articles'!F896,"*Corporate*")</f>
        <v>0</v>
      </c>
      <c r="R899" s="53">
        <f t="shared" si="15"/>
        <v>0</v>
      </c>
    </row>
    <row r="900" spans="2:18" hidden="1" x14ac:dyDescent="0.25">
      <c r="B900" s="48">
        <f>+'Metrics - Articles'!C897</f>
        <v>0</v>
      </c>
      <c r="C900">
        <f>COUNTIF('Metrics - Articles'!F897,"*GPO (Partner, Ecosystem, Channels)*")</f>
        <v>0</v>
      </c>
      <c r="D900">
        <f>COUNTIF('Metrics - Articles'!F897,"*Office of the CEO*")</f>
        <v>0</v>
      </c>
      <c r="E900">
        <f>COUNTIF('Metrics - Articles'!F897,"*Services Delivery &amp; Support (go-lives and deployments) *")</f>
        <v>0</v>
      </c>
      <c r="F900">
        <f>COUNTIF('Metrics - Articles'!F897,"*Human Resources (SAP HR and employee stories)*")</f>
        <v>0</v>
      </c>
      <c r="G900">
        <f>COUNTIF('Metrics - Articles'!F897,"*P&amp;I (Research &amp; Development)*")</f>
        <v>0</v>
      </c>
      <c r="H900">
        <f>COUNTIF('Metrics - Articles'!F897,"*Business Network (Concur, Ariba, Fieldglass)*")</f>
        <v>0</v>
      </c>
      <c r="I900">
        <f>COUNTIF('Metrics - Articles'!F897,"*GCO – Regions*")</f>
        <v>0</v>
      </c>
      <c r="J900">
        <f>COUNTIF('Metrics - Articles'!F897,"*GCO – Platform Solutions*")</f>
        <v>0</v>
      </c>
      <c r="K900">
        <f>COUNTIF('Metrics - Articles'!F897,"*GCO – Industry Cloud *")</f>
        <v>0</v>
      </c>
      <c r="L900">
        <f>COUNTIF('Metrics - Articles'!F897,"*GCO – Customer Engagement &amp; Commerce (CRM &amp; hybris) *")</f>
        <v>0</v>
      </c>
      <c r="M900">
        <f>COUNTIF('Metrics - Articles'!F897,"*GCO – HR (SuccessFactors)*")</f>
        <v>0</v>
      </c>
      <c r="N900">
        <f>COUNTIF('Metrics - Articles'!F897,"*GCO – Services Sales*")</f>
        <v>0</v>
      </c>
      <c r="O900">
        <f>COUNTIF('Metrics - Articles'!F897,"*GCO – Other*")</f>
        <v>0</v>
      </c>
      <c r="P900">
        <f>COUNTIF('Metrics - Articles'!F897,"*Corporate*")</f>
        <v>0</v>
      </c>
      <c r="R900" s="53">
        <f t="shared" si="15"/>
        <v>0</v>
      </c>
    </row>
    <row r="901" spans="2:18" hidden="1" x14ac:dyDescent="0.25">
      <c r="B901" s="48">
        <f>+'Metrics - Articles'!C898</f>
        <v>0</v>
      </c>
      <c r="C901">
        <f>COUNTIF('Metrics - Articles'!F898,"*GPO (Partner, Ecosystem, Channels)*")</f>
        <v>0</v>
      </c>
      <c r="D901">
        <f>COUNTIF('Metrics - Articles'!F898,"*Office of the CEO*")</f>
        <v>0</v>
      </c>
      <c r="E901">
        <f>COUNTIF('Metrics - Articles'!F898,"*Services Delivery &amp; Support (go-lives and deployments) *")</f>
        <v>0</v>
      </c>
      <c r="F901">
        <f>COUNTIF('Metrics - Articles'!F898,"*Human Resources (SAP HR and employee stories)*")</f>
        <v>0</v>
      </c>
      <c r="G901">
        <f>COUNTIF('Metrics - Articles'!F898,"*P&amp;I (Research &amp; Development)*")</f>
        <v>0</v>
      </c>
      <c r="H901">
        <f>COUNTIF('Metrics - Articles'!F898,"*Business Network (Concur, Ariba, Fieldglass)*")</f>
        <v>0</v>
      </c>
      <c r="I901">
        <f>COUNTIF('Metrics - Articles'!F898,"*GCO – Regions*")</f>
        <v>0</v>
      </c>
      <c r="J901">
        <f>COUNTIF('Metrics - Articles'!F898,"*GCO – Platform Solutions*")</f>
        <v>0</v>
      </c>
      <c r="K901">
        <f>COUNTIF('Metrics - Articles'!F898,"*GCO – Industry Cloud *")</f>
        <v>0</v>
      </c>
      <c r="L901">
        <f>COUNTIF('Metrics - Articles'!F898,"*GCO – Customer Engagement &amp; Commerce (CRM &amp; hybris) *")</f>
        <v>0</v>
      </c>
      <c r="M901">
        <f>COUNTIF('Metrics - Articles'!F898,"*GCO – HR (SuccessFactors)*")</f>
        <v>0</v>
      </c>
      <c r="N901">
        <f>COUNTIF('Metrics - Articles'!F898,"*GCO – Services Sales*")</f>
        <v>0</v>
      </c>
      <c r="O901">
        <f>COUNTIF('Metrics - Articles'!F898,"*GCO – Other*")</f>
        <v>0</v>
      </c>
      <c r="P901">
        <f>COUNTIF('Metrics - Articles'!F898,"*Corporate*")</f>
        <v>0</v>
      </c>
      <c r="R901" s="53">
        <f t="shared" si="15"/>
        <v>0</v>
      </c>
    </row>
    <row r="902" spans="2:18" hidden="1" x14ac:dyDescent="0.25">
      <c r="B902" s="48">
        <f>+'Metrics - Articles'!C899</f>
        <v>0</v>
      </c>
      <c r="C902">
        <f>COUNTIF('Metrics - Articles'!F899,"*GPO (Partner, Ecosystem, Channels)*")</f>
        <v>0</v>
      </c>
      <c r="D902">
        <f>COUNTIF('Metrics - Articles'!F899,"*Office of the CEO*")</f>
        <v>0</v>
      </c>
      <c r="E902">
        <f>COUNTIF('Metrics - Articles'!F899,"*Services Delivery &amp; Support (go-lives and deployments) *")</f>
        <v>0</v>
      </c>
      <c r="F902">
        <f>COUNTIF('Metrics - Articles'!F899,"*Human Resources (SAP HR and employee stories)*")</f>
        <v>0</v>
      </c>
      <c r="G902">
        <f>COUNTIF('Metrics - Articles'!F899,"*P&amp;I (Research &amp; Development)*")</f>
        <v>0</v>
      </c>
      <c r="H902">
        <f>COUNTIF('Metrics - Articles'!F899,"*Business Network (Concur, Ariba, Fieldglass)*")</f>
        <v>0</v>
      </c>
      <c r="I902">
        <f>COUNTIF('Metrics - Articles'!F899,"*GCO – Regions*")</f>
        <v>0</v>
      </c>
      <c r="J902">
        <f>COUNTIF('Metrics - Articles'!F899,"*GCO – Platform Solutions*")</f>
        <v>0</v>
      </c>
      <c r="K902">
        <f>COUNTIF('Metrics - Articles'!F899,"*GCO – Industry Cloud *")</f>
        <v>0</v>
      </c>
      <c r="L902">
        <f>COUNTIF('Metrics - Articles'!F899,"*GCO – Customer Engagement &amp; Commerce (CRM &amp; hybris) *")</f>
        <v>0</v>
      </c>
      <c r="M902">
        <f>COUNTIF('Metrics - Articles'!F899,"*GCO – HR (SuccessFactors)*")</f>
        <v>0</v>
      </c>
      <c r="N902">
        <f>COUNTIF('Metrics - Articles'!F899,"*GCO – Services Sales*")</f>
        <v>0</v>
      </c>
      <c r="O902">
        <f>COUNTIF('Metrics - Articles'!F899,"*GCO – Other*")</f>
        <v>0</v>
      </c>
      <c r="P902">
        <f>COUNTIF('Metrics - Articles'!F899,"*Corporate*")</f>
        <v>0</v>
      </c>
      <c r="R902" s="53">
        <f t="shared" si="15"/>
        <v>0</v>
      </c>
    </row>
    <row r="903" spans="2:18" hidden="1" x14ac:dyDescent="0.25">
      <c r="B903" s="48">
        <f>+'Metrics - Articles'!C900</f>
        <v>0</v>
      </c>
      <c r="C903">
        <f>COUNTIF('Metrics - Articles'!F900,"*GPO (Partner, Ecosystem, Channels)*")</f>
        <v>0</v>
      </c>
      <c r="D903">
        <f>COUNTIF('Metrics - Articles'!F900,"*Office of the CEO*")</f>
        <v>0</v>
      </c>
      <c r="E903">
        <f>COUNTIF('Metrics - Articles'!F900,"*Services Delivery &amp; Support (go-lives and deployments) *")</f>
        <v>0</v>
      </c>
      <c r="F903">
        <f>COUNTIF('Metrics - Articles'!F900,"*Human Resources (SAP HR and employee stories)*")</f>
        <v>0</v>
      </c>
      <c r="G903">
        <f>COUNTIF('Metrics - Articles'!F900,"*P&amp;I (Research &amp; Development)*")</f>
        <v>0</v>
      </c>
      <c r="H903">
        <f>COUNTIF('Metrics - Articles'!F900,"*Business Network (Concur, Ariba, Fieldglass)*")</f>
        <v>0</v>
      </c>
      <c r="I903">
        <f>COUNTIF('Metrics - Articles'!F900,"*GCO – Regions*")</f>
        <v>0</v>
      </c>
      <c r="J903">
        <f>COUNTIF('Metrics - Articles'!F900,"*GCO – Platform Solutions*")</f>
        <v>0</v>
      </c>
      <c r="K903">
        <f>COUNTIF('Metrics - Articles'!F900,"*GCO – Industry Cloud *")</f>
        <v>0</v>
      </c>
      <c r="L903">
        <f>COUNTIF('Metrics - Articles'!F900,"*GCO – Customer Engagement &amp; Commerce (CRM &amp; hybris) *")</f>
        <v>0</v>
      </c>
      <c r="M903">
        <f>COUNTIF('Metrics - Articles'!F900,"*GCO – HR (SuccessFactors)*")</f>
        <v>0</v>
      </c>
      <c r="N903">
        <f>COUNTIF('Metrics - Articles'!F900,"*GCO – Services Sales*")</f>
        <v>0</v>
      </c>
      <c r="O903">
        <f>COUNTIF('Metrics - Articles'!F900,"*GCO – Other*")</f>
        <v>0</v>
      </c>
      <c r="P903">
        <f>COUNTIF('Metrics - Articles'!F900,"*Corporate*")</f>
        <v>0</v>
      </c>
      <c r="R903" s="53">
        <f t="shared" si="15"/>
        <v>0</v>
      </c>
    </row>
    <row r="904" spans="2:18" hidden="1" x14ac:dyDescent="0.25">
      <c r="B904" s="48">
        <f>+'Metrics - Articles'!C901</f>
        <v>0</v>
      </c>
      <c r="C904">
        <f>COUNTIF('Metrics - Articles'!F901,"*GPO (Partner, Ecosystem, Channels)*")</f>
        <v>0</v>
      </c>
      <c r="D904">
        <f>COUNTIF('Metrics - Articles'!F901,"*Office of the CEO*")</f>
        <v>0</v>
      </c>
      <c r="E904">
        <f>COUNTIF('Metrics - Articles'!F901,"*Services Delivery &amp; Support (go-lives and deployments) *")</f>
        <v>0</v>
      </c>
      <c r="F904">
        <f>COUNTIF('Metrics - Articles'!F901,"*Human Resources (SAP HR and employee stories)*")</f>
        <v>0</v>
      </c>
      <c r="G904">
        <f>COUNTIF('Metrics - Articles'!F901,"*P&amp;I (Research &amp; Development)*")</f>
        <v>0</v>
      </c>
      <c r="H904">
        <f>COUNTIF('Metrics - Articles'!F901,"*Business Network (Concur, Ariba, Fieldglass)*")</f>
        <v>0</v>
      </c>
      <c r="I904">
        <f>COUNTIF('Metrics - Articles'!F901,"*GCO – Regions*")</f>
        <v>0</v>
      </c>
      <c r="J904">
        <f>COUNTIF('Metrics - Articles'!F901,"*GCO – Platform Solutions*")</f>
        <v>0</v>
      </c>
      <c r="K904">
        <f>COUNTIF('Metrics - Articles'!F901,"*GCO – Industry Cloud *")</f>
        <v>0</v>
      </c>
      <c r="L904">
        <f>COUNTIF('Metrics - Articles'!F901,"*GCO – Customer Engagement &amp; Commerce (CRM &amp; hybris) *")</f>
        <v>0</v>
      </c>
      <c r="M904">
        <f>COUNTIF('Metrics - Articles'!F901,"*GCO – HR (SuccessFactors)*")</f>
        <v>0</v>
      </c>
      <c r="N904">
        <f>COUNTIF('Metrics - Articles'!F901,"*GCO – Services Sales*")</f>
        <v>0</v>
      </c>
      <c r="O904">
        <f>COUNTIF('Metrics - Articles'!F901,"*GCO – Other*")</f>
        <v>0</v>
      </c>
      <c r="P904">
        <f>COUNTIF('Metrics - Articles'!F901,"*Corporate*")</f>
        <v>0</v>
      </c>
      <c r="R904" s="53">
        <f t="shared" si="15"/>
        <v>0</v>
      </c>
    </row>
    <row r="905" spans="2:18" hidden="1" x14ac:dyDescent="0.25">
      <c r="B905" s="48">
        <f>+'Metrics - Articles'!C902</f>
        <v>0</v>
      </c>
      <c r="C905">
        <f>COUNTIF('Metrics - Articles'!F902,"*GPO (Partner, Ecosystem, Channels)*")</f>
        <v>0</v>
      </c>
      <c r="D905">
        <f>COUNTIF('Metrics - Articles'!F902,"*Office of the CEO*")</f>
        <v>0</v>
      </c>
      <c r="E905">
        <f>COUNTIF('Metrics - Articles'!F902,"*Services Delivery &amp; Support (go-lives and deployments) *")</f>
        <v>0</v>
      </c>
      <c r="F905">
        <f>COUNTIF('Metrics - Articles'!F902,"*Human Resources (SAP HR and employee stories)*")</f>
        <v>0</v>
      </c>
      <c r="G905">
        <f>COUNTIF('Metrics - Articles'!F902,"*P&amp;I (Research &amp; Development)*")</f>
        <v>0</v>
      </c>
      <c r="H905">
        <f>COUNTIF('Metrics - Articles'!F902,"*Business Network (Concur, Ariba, Fieldglass)*")</f>
        <v>0</v>
      </c>
      <c r="I905">
        <f>COUNTIF('Metrics - Articles'!F902,"*GCO – Regions*")</f>
        <v>0</v>
      </c>
      <c r="J905">
        <f>COUNTIF('Metrics - Articles'!F902,"*GCO – Platform Solutions*")</f>
        <v>0</v>
      </c>
      <c r="K905">
        <f>COUNTIF('Metrics - Articles'!F902,"*GCO – Industry Cloud *")</f>
        <v>0</v>
      </c>
      <c r="L905">
        <f>COUNTIF('Metrics - Articles'!F902,"*GCO – Customer Engagement &amp; Commerce (CRM &amp; hybris) *")</f>
        <v>0</v>
      </c>
      <c r="M905">
        <f>COUNTIF('Metrics - Articles'!F902,"*GCO – HR (SuccessFactors)*")</f>
        <v>0</v>
      </c>
      <c r="N905">
        <f>COUNTIF('Metrics - Articles'!F902,"*GCO – Services Sales*")</f>
        <v>0</v>
      </c>
      <c r="O905">
        <f>COUNTIF('Metrics - Articles'!F902,"*GCO – Other*")</f>
        <v>0</v>
      </c>
      <c r="P905">
        <f>COUNTIF('Metrics - Articles'!F902,"*Corporate*")</f>
        <v>0</v>
      </c>
      <c r="R905" s="53">
        <f t="shared" si="15"/>
        <v>0</v>
      </c>
    </row>
    <row r="906" spans="2:18" hidden="1" x14ac:dyDescent="0.25">
      <c r="B906" s="48">
        <f>+'Metrics - Articles'!C903</f>
        <v>0</v>
      </c>
      <c r="C906">
        <f>COUNTIF('Metrics - Articles'!F903,"*GPO (Partner, Ecosystem, Channels)*")</f>
        <v>0</v>
      </c>
      <c r="D906">
        <f>COUNTIF('Metrics - Articles'!F903,"*Office of the CEO*")</f>
        <v>0</v>
      </c>
      <c r="E906">
        <f>COUNTIF('Metrics - Articles'!F903,"*Services Delivery &amp; Support (go-lives and deployments) *")</f>
        <v>0</v>
      </c>
      <c r="F906">
        <f>COUNTIF('Metrics - Articles'!F903,"*Human Resources (SAP HR and employee stories)*")</f>
        <v>0</v>
      </c>
      <c r="G906">
        <f>COUNTIF('Metrics - Articles'!F903,"*P&amp;I (Research &amp; Development)*")</f>
        <v>0</v>
      </c>
      <c r="H906">
        <f>COUNTIF('Metrics - Articles'!F903,"*Business Network (Concur, Ariba, Fieldglass)*")</f>
        <v>0</v>
      </c>
      <c r="I906">
        <f>COUNTIF('Metrics - Articles'!F903,"*GCO – Regions*")</f>
        <v>0</v>
      </c>
      <c r="J906">
        <f>COUNTIF('Metrics - Articles'!F903,"*GCO – Platform Solutions*")</f>
        <v>0</v>
      </c>
      <c r="K906">
        <f>COUNTIF('Metrics - Articles'!F903,"*GCO – Industry Cloud *")</f>
        <v>0</v>
      </c>
      <c r="L906">
        <f>COUNTIF('Metrics - Articles'!F903,"*GCO – Customer Engagement &amp; Commerce (CRM &amp; hybris) *")</f>
        <v>0</v>
      </c>
      <c r="M906">
        <f>COUNTIF('Metrics - Articles'!F903,"*GCO – HR (SuccessFactors)*")</f>
        <v>0</v>
      </c>
      <c r="N906">
        <f>COUNTIF('Metrics - Articles'!F903,"*GCO – Services Sales*")</f>
        <v>0</v>
      </c>
      <c r="O906">
        <f>COUNTIF('Metrics - Articles'!F903,"*GCO – Other*")</f>
        <v>0</v>
      </c>
      <c r="P906">
        <f>COUNTIF('Metrics - Articles'!F903,"*Corporate*")</f>
        <v>0</v>
      </c>
      <c r="R906" s="53">
        <f t="shared" ref="R906:R969" si="16">SUM(C906:Q906)</f>
        <v>0</v>
      </c>
    </row>
    <row r="907" spans="2:18" hidden="1" x14ac:dyDescent="0.25">
      <c r="B907" s="48">
        <f>+'Metrics - Articles'!C904</f>
        <v>0</v>
      </c>
      <c r="C907">
        <f>COUNTIF('Metrics - Articles'!F904,"*GPO (Partner, Ecosystem, Channels)*")</f>
        <v>0</v>
      </c>
      <c r="D907">
        <f>COUNTIF('Metrics - Articles'!F904,"*Office of the CEO*")</f>
        <v>0</v>
      </c>
      <c r="E907">
        <f>COUNTIF('Metrics - Articles'!F904,"*Services Delivery &amp; Support (go-lives and deployments) *")</f>
        <v>0</v>
      </c>
      <c r="F907">
        <f>COUNTIF('Metrics - Articles'!F904,"*Human Resources (SAP HR and employee stories)*")</f>
        <v>0</v>
      </c>
      <c r="G907">
        <f>COUNTIF('Metrics - Articles'!F904,"*P&amp;I (Research &amp; Development)*")</f>
        <v>0</v>
      </c>
      <c r="H907">
        <f>COUNTIF('Metrics - Articles'!F904,"*Business Network (Concur, Ariba, Fieldglass)*")</f>
        <v>0</v>
      </c>
      <c r="I907">
        <f>COUNTIF('Metrics - Articles'!F904,"*GCO – Regions*")</f>
        <v>0</v>
      </c>
      <c r="J907">
        <f>COUNTIF('Metrics - Articles'!F904,"*GCO – Platform Solutions*")</f>
        <v>0</v>
      </c>
      <c r="K907">
        <f>COUNTIF('Metrics - Articles'!F904,"*GCO – Industry Cloud *")</f>
        <v>0</v>
      </c>
      <c r="L907">
        <f>COUNTIF('Metrics - Articles'!F904,"*GCO – Customer Engagement &amp; Commerce (CRM &amp; hybris) *")</f>
        <v>0</v>
      </c>
      <c r="M907">
        <f>COUNTIF('Metrics - Articles'!F904,"*GCO – HR (SuccessFactors)*")</f>
        <v>0</v>
      </c>
      <c r="N907">
        <f>COUNTIF('Metrics - Articles'!F904,"*GCO – Services Sales*")</f>
        <v>0</v>
      </c>
      <c r="O907">
        <f>COUNTIF('Metrics - Articles'!F904,"*GCO – Other*")</f>
        <v>0</v>
      </c>
      <c r="P907">
        <f>COUNTIF('Metrics - Articles'!F904,"*Corporate*")</f>
        <v>0</v>
      </c>
      <c r="R907" s="53">
        <f t="shared" si="16"/>
        <v>0</v>
      </c>
    </row>
    <row r="908" spans="2:18" hidden="1" x14ac:dyDescent="0.25">
      <c r="B908" s="48">
        <f>+'Metrics - Articles'!C905</f>
        <v>0</v>
      </c>
      <c r="C908">
        <f>COUNTIF('Metrics - Articles'!F905,"*GPO (Partner, Ecosystem, Channels)*")</f>
        <v>0</v>
      </c>
      <c r="D908">
        <f>COUNTIF('Metrics - Articles'!F905,"*Office of the CEO*")</f>
        <v>0</v>
      </c>
      <c r="E908">
        <f>COUNTIF('Metrics - Articles'!F905,"*Services Delivery &amp; Support (go-lives and deployments) *")</f>
        <v>0</v>
      </c>
      <c r="F908">
        <f>COUNTIF('Metrics - Articles'!F905,"*Human Resources (SAP HR and employee stories)*")</f>
        <v>0</v>
      </c>
      <c r="G908">
        <f>COUNTIF('Metrics - Articles'!F905,"*P&amp;I (Research &amp; Development)*")</f>
        <v>0</v>
      </c>
      <c r="H908">
        <f>COUNTIF('Metrics - Articles'!F905,"*Business Network (Concur, Ariba, Fieldglass)*")</f>
        <v>0</v>
      </c>
      <c r="I908">
        <f>COUNTIF('Metrics - Articles'!F905,"*GCO – Regions*")</f>
        <v>0</v>
      </c>
      <c r="J908">
        <f>COUNTIF('Metrics - Articles'!F905,"*GCO – Platform Solutions*")</f>
        <v>0</v>
      </c>
      <c r="K908">
        <f>COUNTIF('Metrics - Articles'!F905,"*GCO – Industry Cloud *")</f>
        <v>0</v>
      </c>
      <c r="L908">
        <f>COUNTIF('Metrics - Articles'!F905,"*GCO – Customer Engagement &amp; Commerce (CRM &amp; hybris) *")</f>
        <v>0</v>
      </c>
      <c r="M908">
        <f>COUNTIF('Metrics - Articles'!F905,"*GCO – HR (SuccessFactors)*")</f>
        <v>0</v>
      </c>
      <c r="N908">
        <f>COUNTIF('Metrics - Articles'!F905,"*GCO – Services Sales*")</f>
        <v>0</v>
      </c>
      <c r="O908">
        <f>COUNTIF('Metrics - Articles'!F905,"*GCO – Other*")</f>
        <v>0</v>
      </c>
      <c r="P908">
        <f>COUNTIF('Metrics - Articles'!F905,"*Corporate*")</f>
        <v>0</v>
      </c>
      <c r="R908" s="53">
        <f t="shared" si="16"/>
        <v>0</v>
      </c>
    </row>
    <row r="909" spans="2:18" hidden="1" x14ac:dyDescent="0.25">
      <c r="B909" s="48">
        <f>+'Metrics - Articles'!C906</f>
        <v>0</v>
      </c>
      <c r="C909">
        <f>COUNTIF('Metrics - Articles'!F906,"*GPO (Partner, Ecosystem, Channels)*")</f>
        <v>0</v>
      </c>
      <c r="D909">
        <f>COUNTIF('Metrics - Articles'!F906,"*Office of the CEO*")</f>
        <v>0</v>
      </c>
      <c r="E909">
        <f>COUNTIF('Metrics - Articles'!F906,"*Services Delivery &amp; Support (go-lives and deployments) *")</f>
        <v>0</v>
      </c>
      <c r="F909">
        <f>COUNTIF('Metrics - Articles'!F906,"*Human Resources (SAP HR and employee stories)*")</f>
        <v>0</v>
      </c>
      <c r="G909">
        <f>COUNTIF('Metrics - Articles'!F906,"*P&amp;I (Research &amp; Development)*")</f>
        <v>0</v>
      </c>
      <c r="H909">
        <f>COUNTIF('Metrics - Articles'!F906,"*Business Network (Concur, Ariba, Fieldglass)*")</f>
        <v>0</v>
      </c>
      <c r="I909">
        <f>COUNTIF('Metrics - Articles'!F906,"*GCO – Regions*")</f>
        <v>0</v>
      </c>
      <c r="J909">
        <f>COUNTIF('Metrics - Articles'!F906,"*GCO – Platform Solutions*")</f>
        <v>0</v>
      </c>
      <c r="K909">
        <f>COUNTIF('Metrics - Articles'!F906,"*GCO – Industry Cloud *")</f>
        <v>0</v>
      </c>
      <c r="L909">
        <f>COUNTIF('Metrics - Articles'!F906,"*GCO – Customer Engagement &amp; Commerce (CRM &amp; hybris) *")</f>
        <v>0</v>
      </c>
      <c r="M909">
        <f>COUNTIF('Metrics - Articles'!F906,"*GCO – HR (SuccessFactors)*")</f>
        <v>0</v>
      </c>
      <c r="N909">
        <f>COUNTIF('Metrics - Articles'!F906,"*GCO – Services Sales*")</f>
        <v>0</v>
      </c>
      <c r="O909">
        <f>COUNTIF('Metrics - Articles'!F906,"*GCO – Other*")</f>
        <v>0</v>
      </c>
      <c r="P909">
        <f>COUNTIF('Metrics - Articles'!F906,"*Corporate*")</f>
        <v>0</v>
      </c>
      <c r="R909" s="53">
        <f t="shared" si="16"/>
        <v>0</v>
      </c>
    </row>
    <row r="910" spans="2:18" hidden="1" x14ac:dyDescent="0.25">
      <c r="B910" s="48">
        <f>+'Metrics - Articles'!C907</f>
        <v>0</v>
      </c>
      <c r="C910">
        <f>COUNTIF('Metrics - Articles'!F907,"*GPO (Partner, Ecosystem, Channels)*")</f>
        <v>0</v>
      </c>
      <c r="D910">
        <f>COUNTIF('Metrics - Articles'!F907,"*Office of the CEO*")</f>
        <v>0</v>
      </c>
      <c r="E910">
        <f>COUNTIF('Metrics - Articles'!F907,"*Services Delivery &amp; Support (go-lives and deployments) *")</f>
        <v>0</v>
      </c>
      <c r="F910">
        <f>COUNTIF('Metrics - Articles'!F907,"*Human Resources (SAP HR and employee stories)*")</f>
        <v>0</v>
      </c>
      <c r="G910">
        <f>COUNTIF('Metrics - Articles'!F907,"*P&amp;I (Research &amp; Development)*")</f>
        <v>0</v>
      </c>
      <c r="H910">
        <f>COUNTIF('Metrics - Articles'!F907,"*Business Network (Concur, Ariba, Fieldglass)*")</f>
        <v>0</v>
      </c>
      <c r="I910">
        <f>COUNTIF('Metrics - Articles'!F907,"*GCO – Regions*")</f>
        <v>0</v>
      </c>
      <c r="J910">
        <f>COUNTIF('Metrics - Articles'!F907,"*GCO – Platform Solutions*")</f>
        <v>0</v>
      </c>
      <c r="K910">
        <f>COUNTIF('Metrics - Articles'!F907,"*GCO – Industry Cloud *")</f>
        <v>0</v>
      </c>
      <c r="L910">
        <f>COUNTIF('Metrics - Articles'!F907,"*GCO – Customer Engagement &amp; Commerce (CRM &amp; hybris) *")</f>
        <v>0</v>
      </c>
      <c r="M910">
        <f>COUNTIF('Metrics - Articles'!F907,"*GCO – HR (SuccessFactors)*")</f>
        <v>0</v>
      </c>
      <c r="N910">
        <f>COUNTIF('Metrics - Articles'!F907,"*GCO – Services Sales*")</f>
        <v>0</v>
      </c>
      <c r="O910">
        <f>COUNTIF('Metrics - Articles'!F907,"*GCO – Other*")</f>
        <v>0</v>
      </c>
      <c r="P910">
        <f>COUNTIF('Metrics - Articles'!F907,"*Corporate*")</f>
        <v>0</v>
      </c>
      <c r="R910" s="53">
        <f t="shared" si="16"/>
        <v>0</v>
      </c>
    </row>
    <row r="911" spans="2:18" hidden="1" x14ac:dyDescent="0.25">
      <c r="B911" s="48">
        <f>+'Metrics - Articles'!C908</f>
        <v>0</v>
      </c>
      <c r="C911">
        <f>COUNTIF('Metrics - Articles'!F908,"*GPO (Partner, Ecosystem, Channels)*")</f>
        <v>0</v>
      </c>
      <c r="D911">
        <f>COUNTIF('Metrics - Articles'!F908,"*Office of the CEO*")</f>
        <v>0</v>
      </c>
      <c r="E911">
        <f>COUNTIF('Metrics - Articles'!F908,"*Services Delivery &amp; Support (go-lives and deployments) *")</f>
        <v>0</v>
      </c>
      <c r="F911">
        <f>COUNTIF('Metrics - Articles'!F908,"*Human Resources (SAP HR and employee stories)*")</f>
        <v>0</v>
      </c>
      <c r="G911">
        <f>COUNTIF('Metrics - Articles'!F908,"*P&amp;I (Research &amp; Development)*")</f>
        <v>0</v>
      </c>
      <c r="H911">
        <f>COUNTIF('Metrics - Articles'!F908,"*Business Network (Concur, Ariba, Fieldglass)*")</f>
        <v>0</v>
      </c>
      <c r="I911">
        <f>COUNTIF('Metrics - Articles'!F908,"*GCO – Regions*")</f>
        <v>0</v>
      </c>
      <c r="J911">
        <f>COUNTIF('Metrics - Articles'!F908,"*GCO – Platform Solutions*")</f>
        <v>0</v>
      </c>
      <c r="K911">
        <f>COUNTIF('Metrics - Articles'!F908,"*GCO – Industry Cloud *")</f>
        <v>0</v>
      </c>
      <c r="L911">
        <f>COUNTIF('Metrics - Articles'!F908,"*GCO – Customer Engagement &amp; Commerce (CRM &amp; hybris) *")</f>
        <v>0</v>
      </c>
      <c r="M911">
        <f>COUNTIF('Metrics - Articles'!F908,"*GCO – HR (SuccessFactors)*")</f>
        <v>0</v>
      </c>
      <c r="N911">
        <f>COUNTIF('Metrics - Articles'!F908,"*GCO – Services Sales*")</f>
        <v>0</v>
      </c>
      <c r="O911">
        <f>COUNTIF('Metrics - Articles'!F908,"*GCO – Other*")</f>
        <v>0</v>
      </c>
      <c r="P911">
        <f>COUNTIF('Metrics - Articles'!F908,"*Corporate*")</f>
        <v>0</v>
      </c>
      <c r="R911" s="53">
        <f t="shared" si="16"/>
        <v>0</v>
      </c>
    </row>
    <row r="912" spans="2:18" hidden="1" x14ac:dyDescent="0.25">
      <c r="B912" s="48">
        <f>+'Metrics - Articles'!C909</f>
        <v>0</v>
      </c>
      <c r="C912">
        <f>COUNTIF('Metrics - Articles'!F909,"*GPO (Partner, Ecosystem, Channels)*")</f>
        <v>0</v>
      </c>
      <c r="D912">
        <f>COUNTIF('Metrics - Articles'!F909,"*Office of the CEO*")</f>
        <v>0</v>
      </c>
      <c r="E912">
        <f>COUNTIF('Metrics - Articles'!F909,"*Services Delivery &amp; Support (go-lives and deployments) *")</f>
        <v>0</v>
      </c>
      <c r="F912">
        <f>COUNTIF('Metrics - Articles'!F909,"*Human Resources (SAP HR and employee stories)*")</f>
        <v>0</v>
      </c>
      <c r="G912">
        <f>COUNTIF('Metrics - Articles'!F909,"*P&amp;I (Research &amp; Development)*")</f>
        <v>0</v>
      </c>
      <c r="H912">
        <f>COUNTIF('Metrics - Articles'!F909,"*Business Network (Concur, Ariba, Fieldglass)*")</f>
        <v>0</v>
      </c>
      <c r="I912">
        <f>COUNTIF('Metrics - Articles'!F909,"*GCO – Regions*")</f>
        <v>0</v>
      </c>
      <c r="J912">
        <f>COUNTIF('Metrics - Articles'!F909,"*GCO – Platform Solutions*")</f>
        <v>0</v>
      </c>
      <c r="K912">
        <f>COUNTIF('Metrics - Articles'!F909,"*GCO – Industry Cloud *")</f>
        <v>0</v>
      </c>
      <c r="L912">
        <f>COUNTIF('Metrics - Articles'!F909,"*GCO – Customer Engagement &amp; Commerce (CRM &amp; hybris) *")</f>
        <v>0</v>
      </c>
      <c r="M912">
        <f>COUNTIF('Metrics - Articles'!F909,"*GCO – HR (SuccessFactors)*")</f>
        <v>0</v>
      </c>
      <c r="N912">
        <f>COUNTIF('Metrics - Articles'!F909,"*GCO – Services Sales*")</f>
        <v>0</v>
      </c>
      <c r="O912">
        <f>COUNTIF('Metrics - Articles'!F909,"*GCO – Other*")</f>
        <v>0</v>
      </c>
      <c r="P912">
        <f>COUNTIF('Metrics - Articles'!F909,"*Corporate*")</f>
        <v>0</v>
      </c>
      <c r="R912" s="53">
        <f t="shared" si="16"/>
        <v>0</v>
      </c>
    </row>
    <row r="913" spans="2:18" hidden="1" x14ac:dyDescent="0.25">
      <c r="B913" s="48">
        <f>+'Metrics - Articles'!C910</f>
        <v>0</v>
      </c>
      <c r="C913">
        <f>COUNTIF('Metrics - Articles'!F910,"*GPO (Partner, Ecosystem, Channels)*")</f>
        <v>0</v>
      </c>
      <c r="D913">
        <f>COUNTIF('Metrics - Articles'!F910,"*Office of the CEO*")</f>
        <v>0</v>
      </c>
      <c r="E913">
        <f>COUNTIF('Metrics - Articles'!F910,"*Services Delivery &amp; Support (go-lives and deployments) *")</f>
        <v>0</v>
      </c>
      <c r="F913">
        <f>COUNTIF('Metrics - Articles'!F910,"*Human Resources (SAP HR and employee stories)*")</f>
        <v>0</v>
      </c>
      <c r="G913">
        <f>COUNTIF('Metrics - Articles'!F910,"*P&amp;I (Research &amp; Development)*")</f>
        <v>0</v>
      </c>
      <c r="H913">
        <f>COUNTIF('Metrics - Articles'!F910,"*Business Network (Concur, Ariba, Fieldglass)*")</f>
        <v>0</v>
      </c>
      <c r="I913">
        <f>COUNTIF('Metrics - Articles'!F910,"*GCO – Regions*")</f>
        <v>0</v>
      </c>
      <c r="J913">
        <f>COUNTIF('Metrics - Articles'!F910,"*GCO – Platform Solutions*")</f>
        <v>0</v>
      </c>
      <c r="K913">
        <f>COUNTIF('Metrics - Articles'!F910,"*GCO – Industry Cloud *")</f>
        <v>0</v>
      </c>
      <c r="L913">
        <f>COUNTIF('Metrics - Articles'!F910,"*GCO – Customer Engagement &amp; Commerce (CRM &amp; hybris) *")</f>
        <v>0</v>
      </c>
      <c r="M913">
        <f>COUNTIF('Metrics - Articles'!F910,"*GCO – HR (SuccessFactors)*")</f>
        <v>0</v>
      </c>
      <c r="N913">
        <f>COUNTIF('Metrics - Articles'!F910,"*GCO – Services Sales*")</f>
        <v>0</v>
      </c>
      <c r="O913">
        <f>COUNTIF('Metrics - Articles'!F910,"*GCO – Other*")</f>
        <v>0</v>
      </c>
      <c r="P913">
        <f>COUNTIF('Metrics - Articles'!F910,"*Corporate*")</f>
        <v>0</v>
      </c>
      <c r="R913" s="53">
        <f t="shared" si="16"/>
        <v>0</v>
      </c>
    </row>
    <row r="914" spans="2:18" hidden="1" x14ac:dyDescent="0.25">
      <c r="B914" s="48">
        <f>+'Metrics - Articles'!C911</f>
        <v>0</v>
      </c>
      <c r="C914">
        <f>COUNTIF('Metrics - Articles'!F911,"*GPO (Partner, Ecosystem, Channels)*")</f>
        <v>0</v>
      </c>
      <c r="D914">
        <f>COUNTIF('Metrics - Articles'!F911,"*Office of the CEO*")</f>
        <v>0</v>
      </c>
      <c r="E914">
        <f>COUNTIF('Metrics - Articles'!F911,"*Services Delivery &amp; Support (go-lives and deployments) *")</f>
        <v>0</v>
      </c>
      <c r="F914">
        <f>COUNTIF('Metrics - Articles'!F911,"*Human Resources (SAP HR and employee stories)*")</f>
        <v>0</v>
      </c>
      <c r="G914">
        <f>COUNTIF('Metrics - Articles'!F911,"*P&amp;I (Research &amp; Development)*")</f>
        <v>0</v>
      </c>
      <c r="H914">
        <f>COUNTIF('Metrics - Articles'!F911,"*Business Network (Concur, Ariba, Fieldglass)*")</f>
        <v>0</v>
      </c>
      <c r="I914">
        <f>COUNTIF('Metrics - Articles'!F911,"*GCO – Regions*")</f>
        <v>0</v>
      </c>
      <c r="J914">
        <f>COUNTIF('Metrics - Articles'!F911,"*GCO – Platform Solutions*")</f>
        <v>0</v>
      </c>
      <c r="K914">
        <f>COUNTIF('Metrics - Articles'!F911,"*GCO – Industry Cloud *")</f>
        <v>0</v>
      </c>
      <c r="L914">
        <f>COUNTIF('Metrics - Articles'!F911,"*GCO – Customer Engagement &amp; Commerce (CRM &amp; hybris) *")</f>
        <v>0</v>
      </c>
      <c r="M914">
        <f>COUNTIF('Metrics - Articles'!F911,"*GCO – HR (SuccessFactors)*")</f>
        <v>0</v>
      </c>
      <c r="N914">
        <f>COUNTIF('Metrics - Articles'!F911,"*GCO – Services Sales*")</f>
        <v>0</v>
      </c>
      <c r="O914">
        <f>COUNTIF('Metrics - Articles'!F911,"*GCO – Other*")</f>
        <v>0</v>
      </c>
      <c r="P914">
        <f>COUNTIF('Metrics - Articles'!F911,"*Corporate*")</f>
        <v>0</v>
      </c>
      <c r="R914" s="53">
        <f t="shared" si="16"/>
        <v>0</v>
      </c>
    </row>
    <row r="915" spans="2:18" hidden="1" x14ac:dyDescent="0.25">
      <c r="B915" s="48">
        <f>+'Metrics - Articles'!C912</f>
        <v>0</v>
      </c>
      <c r="C915">
        <f>COUNTIF('Metrics - Articles'!F912,"*GPO (Partner, Ecosystem, Channels)*")</f>
        <v>0</v>
      </c>
      <c r="D915">
        <f>COUNTIF('Metrics - Articles'!F912,"*Office of the CEO*")</f>
        <v>0</v>
      </c>
      <c r="E915">
        <f>COUNTIF('Metrics - Articles'!F912,"*Services Delivery &amp; Support (go-lives and deployments) *")</f>
        <v>0</v>
      </c>
      <c r="F915">
        <f>COUNTIF('Metrics - Articles'!F912,"*Human Resources (SAP HR and employee stories)*")</f>
        <v>0</v>
      </c>
      <c r="G915">
        <f>COUNTIF('Metrics - Articles'!F912,"*P&amp;I (Research &amp; Development)*")</f>
        <v>0</v>
      </c>
      <c r="H915">
        <f>COUNTIF('Metrics - Articles'!F912,"*Business Network (Concur, Ariba, Fieldglass)*")</f>
        <v>0</v>
      </c>
      <c r="I915">
        <f>COUNTIF('Metrics - Articles'!F912,"*GCO – Regions*")</f>
        <v>0</v>
      </c>
      <c r="J915">
        <f>COUNTIF('Metrics - Articles'!F912,"*GCO – Platform Solutions*")</f>
        <v>0</v>
      </c>
      <c r="K915">
        <f>COUNTIF('Metrics - Articles'!F912,"*GCO – Industry Cloud *")</f>
        <v>0</v>
      </c>
      <c r="L915">
        <f>COUNTIF('Metrics - Articles'!F912,"*GCO – Customer Engagement &amp; Commerce (CRM &amp; hybris) *")</f>
        <v>0</v>
      </c>
      <c r="M915">
        <f>COUNTIF('Metrics - Articles'!F912,"*GCO – HR (SuccessFactors)*")</f>
        <v>0</v>
      </c>
      <c r="N915">
        <f>COUNTIF('Metrics - Articles'!F912,"*GCO – Services Sales*")</f>
        <v>0</v>
      </c>
      <c r="O915">
        <f>COUNTIF('Metrics - Articles'!F912,"*GCO – Other*")</f>
        <v>0</v>
      </c>
      <c r="P915">
        <f>COUNTIF('Metrics - Articles'!F912,"*Corporate*")</f>
        <v>0</v>
      </c>
      <c r="R915" s="53">
        <f t="shared" si="16"/>
        <v>0</v>
      </c>
    </row>
    <row r="916" spans="2:18" hidden="1" x14ac:dyDescent="0.25">
      <c r="B916" s="48">
        <f>+'Metrics - Articles'!C913</f>
        <v>0</v>
      </c>
      <c r="C916">
        <f>COUNTIF('Metrics - Articles'!F913,"*GPO (Partner, Ecosystem, Channels)*")</f>
        <v>0</v>
      </c>
      <c r="D916">
        <f>COUNTIF('Metrics - Articles'!F913,"*Office of the CEO*")</f>
        <v>0</v>
      </c>
      <c r="E916">
        <f>COUNTIF('Metrics - Articles'!F913,"*Services Delivery &amp; Support (go-lives and deployments) *")</f>
        <v>0</v>
      </c>
      <c r="F916">
        <f>COUNTIF('Metrics - Articles'!F913,"*Human Resources (SAP HR and employee stories)*")</f>
        <v>0</v>
      </c>
      <c r="G916">
        <f>COUNTIF('Metrics - Articles'!F913,"*P&amp;I (Research &amp; Development)*")</f>
        <v>0</v>
      </c>
      <c r="H916">
        <f>COUNTIF('Metrics - Articles'!F913,"*Business Network (Concur, Ariba, Fieldglass)*")</f>
        <v>0</v>
      </c>
      <c r="I916">
        <f>COUNTIF('Metrics - Articles'!F913,"*GCO – Regions*")</f>
        <v>0</v>
      </c>
      <c r="J916">
        <f>COUNTIF('Metrics - Articles'!F913,"*GCO – Platform Solutions*")</f>
        <v>0</v>
      </c>
      <c r="K916">
        <f>COUNTIF('Metrics - Articles'!F913,"*GCO – Industry Cloud *")</f>
        <v>0</v>
      </c>
      <c r="L916">
        <f>COUNTIF('Metrics - Articles'!F913,"*GCO – Customer Engagement &amp; Commerce (CRM &amp; hybris) *")</f>
        <v>0</v>
      </c>
      <c r="M916">
        <f>COUNTIF('Metrics - Articles'!F913,"*GCO – HR (SuccessFactors)*")</f>
        <v>0</v>
      </c>
      <c r="N916">
        <f>COUNTIF('Metrics - Articles'!F913,"*GCO – Services Sales*")</f>
        <v>0</v>
      </c>
      <c r="O916">
        <f>COUNTIF('Metrics - Articles'!F913,"*GCO – Other*")</f>
        <v>0</v>
      </c>
      <c r="P916">
        <f>COUNTIF('Metrics - Articles'!F913,"*Corporate*")</f>
        <v>0</v>
      </c>
      <c r="R916" s="53">
        <f t="shared" si="16"/>
        <v>0</v>
      </c>
    </row>
    <row r="917" spans="2:18" hidden="1" x14ac:dyDescent="0.25">
      <c r="B917" s="48">
        <f>+'Metrics - Articles'!C914</f>
        <v>0</v>
      </c>
      <c r="C917">
        <f>COUNTIF('Metrics - Articles'!F914,"*GPO (Partner, Ecosystem, Channels)*")</f>
        <v>0</v>
      </c>
      <c r="D917">
        <f>COUNTIF('Metrics - Articles'!F914,"*Office of the CEO*")</f>
        <v>0</v>
      </c>
      <c r="E917">
        <f>COUNTIF('Metrics - Articles'!F914,"*Services Delivery &amp; Support (go-lives and deployments) *")</f>
        <v>0</v>
      </c>
      <c r="F917">
        <f>COUNTIF('Metrics - Articles'!F914,"*Human Resources (SAP HR and employee stories)*")</f>
        <v>0</v>
      </c>
      <c r="G917">
        <f>COUNTIF('Metrics - Articles'!F914,"*P&amp;I (Research &amp; Development)*")</f>
        <v>0</v>
      </c>
      <c r="H917">
        <f>COUNTIF('Metrics - Articles'!F914,"*Business Network (Concur, Ariba, Fieldglass)*")</f>
        <v>0</v>
      </c>
      <c r="I917">
        <f>COUNTIF('Metrics - Articles'!F914,"*GCO – Regions*")</f>
        <v>0</v>
      </c>
      <c r="J917">
        <f>COUNTIF('Metrics - Articles'!F914,"*GCO – Platform Solutions*")</f>
        <v>0</v>
      </c>
      <c r="K917">
        <f>COUNTIF('Metrics - Articles'!F914,"*GCO – Industry Cloud *")</f>
        <v>0</v>
      </c>
      <c r="L917">
        <f>COUNTIF('Metrics - Articles'!F914,"*GCO – Customer Engagement &amp; Commerce (CRM &amp; hybris) *")</f>
        <v>0</v>
      </c>
      <c r="M917">
        <f>COUNTIF('Metrics - Articles'!F914,"*GCO – HR (SuccessFactors)*")</f>
        <v>0</v>
      </c>
      <c r="N917">
        <f>COUNTIF('Metrics - Articles'!F914,"*GCO – Services Sales*")</f>
        <v>0</v>
      </c>
      <c r="O917">
        <f>COUNTIF('Metrics - Articles'!F914,"*GCO – Other*")</f>
        <v>0</v>
      </c>
      <c r="P917">
        <f>COUNTIF('Metrics - Articles'!F914,"*Corporate*")</f>
        <v>0</v>
      </c>
      <c r="R917" s="53">
        <f t="shared" si="16"/>
        <v>0</v>
      </c>
    </row>
    <row r="918" spans="2:18" hidden="1" x14ac:dyDescent="0.25">
      <c r="B918" s="48">
        <f>+'Metrics - Articles'!C915</f>
        <v>0</v>
      </c>
      <c r="C918">
        <f>COUNTIF('Metrics - Articles'!F915,"*GPO (Partner, Ecosystem, Channels)*")</f>
        <v>0</v>
      </c>
      <c r="D918">
        <f>COUNTIF('Metrics - Articles'!F915,"*Office of the CEO*")</f>
        <v>0</v>
      </c>
      <c r="E918">
        <f>COUNTIF('Metrics - Articles'!F915,"*Services Delivery &amp; Support (go-lives and deployments) *")</f>
        <v>0</v>
      </c>
      <c r="F918">
        <f>COUNTIF('Metrics - Articles'!F915,"*Human Resources (SAP HR and employee stories)*")</f>
        <v>0</v>
      </c>
      <c r="G918">
        <f>COUNTIF('Metrics - Articles'!F915,"*P&amp;I (Research &amp; Development)*")</f>
        <v>0</v>
      </c>
      <c r="H918">
        <f>COUNTIF('Metrics - Articles'!F915,"*Business Network (Concur, Ariba, Fieldglass)*")</f>
        <v>0</v>
      </c>
      <c r="I918">
        <f>COUNTIF('Metrics - Articles'!F915,"*GCO – Regions*")</f>
        <v>0</v>
      </c>
      <c r="J918">
        <f>COUNTIF('Metrics - Articles'!F915,"*GCO – Platform Solutions*")</f>
        <v>0</v>
      </c>
      <c r="K918">
        <f>COUNTIF('Metrics - Articles'!F915,"*GCO – Industry Cloud *")</f>
        <v>0</v>
      </c>
      <c r="L918">
        <f>COUNTIF('Metrics - Articles'!F915,"*GCO – Customer Engagement &amp; Commerce (CRM &amp; hybris) *")</f>
        <v>0</v>
      </c>
      <c r="M918">
        <f>COUNTIF('Metrics - Articles'!F915,"*GCO – HR (SuccessFactors)*")</f>
        <v>0</v>
      </c>
      <c r="N918">
        <f>COUNTIF('Metrics - Articles'!F915,"*GCO – Services Sales*")</f>
        <v>0</v>
      </c>
      <c r="O918">
        <f>COUNTIF('Metrics - Articles'!F915,"*GCO – Other*")</f>
        <v>0</v>
      </c>
      <c r="P918">
        <f>COUNTIF('Metrics - Articles'!F915,"*Corporate*")</f>
        <v>0</v>
      </c>
      <c r="R918" s="53">
        <f t="shared" si="16"/>
        <v>0</v>
      </c>
    </row>
    <row r="919" spans="2:18" hidden="1" x14ac:dyDescent="0.25">
      <c r="B919" s="48">
        <f>+'Metrics - Articles'!C916</f>
        <v>0</v>
      </c>
      <c r="C919">
        <f>COUNTIF('Metrics - Articles'!F916,"*GPO (Partner, Ecosystem, Channels)*")</f>
        <v>0</v>
      </c>
      <c r="D919">
        <f>COUNTIF('Metrics - Articles'!F916,"*Office of the CEO*")</f>
        <v>0</v>
      </c>
      <c r="E919">
        <f>COUNTIF('Metrics - Articles'!F916,"*Services Delivery &amp; Support (go-lives and deployments) *")</f>
        <v>0</v>
      </c>
      <c r="F919">
        <f>COUNTIF('Metrics - Articles'!F916,"*Human Resources (SAP HR and employee stories)*")</f>
        <v>0</v>
      </c>
      <c r="G919">
        <f>COUNTIF('Metrics - Articles'!F916,"*P&amp;I (Research &amp; Development)*")</f>
        <v>0</v>
      </c>
      <c r="H919">
        <f>COUNTIF('Metrics - Articles'!F916,"*Business Network (Concur, Ariba, Fieldglass)*")</f>
        <v>0</v>
      </c>
      <c r="I919">
        <f>COUNTIF('Metrics - Articles'!F916,"*GCO – Regions*")</f>
        <v>0</v>
      </c>
      <c r="J919">
        <f>COUNTIF('Metrics - Articles'!F916,"*GCO – Platform Solutions*")</f>
        <v>0</v>
      </c>
      <c r="K919">
        <f>COUNTIF('Metrics - Articles'!F916,"*GCO – Industry Cloud *")</f>
        <v>0</v>
      </c>
      <c r="L919">
        <f>COUNTIF('Metrics - Articles'!F916,"*GCO – Customer Engagement &amp; Commerce (CRM &amp; hybris) *")</f>
        <v>0</v>
      </c>
      <c r="M919">
        <f>COUNTIF('Metrics - Articles'!F916,"*GCO – HR (SuccessFactors)*")</f>
        <v>0</v>
      </c>
      <c r="N919">
        <f>COUNTIF('Metrics - Articles'!F916,"*GCO – Services Sales*")</f>
        <v>0</v>
      </c>
      <c r="O919">
        <f>COUNTIF('Metrics - Articles'!F916,"*GCO – Other*")</f>
        <v>0</v>
      </c>
      <c r="P919">
        <f>COUNTIF('Metrics - Articles'!F916,"*Corporate*")</f>
        <v>0</v>
      </c>
      <c r="R919" s="53">
        <f t="shared" si="16"/>
        <v>0</v>
      </c>
    </row>
    <row r="920" spans="2:18" hidden="1" x14ac:dyDescent="0.25">
      <c r="B920" s="48">
        <f>+'Metrics - Articles'!C917</f>
        <v>0</v>
      </c>
      <c r="C920">
        <f>COUNTIF('Metrics - Articles'!F917,"*GPO (Partner, Ecosystem, Channels)*")</f>
        <v>0</v>
      </c>
      <c r="D920">
        <f>COUNTIF('Metrics - Articles'!F917,"*Office of the CEO*")</f>
        <v>0</v>
      </c>
      <c r="E920">
        <f>COUNTIF('Metrics - Articles'!F917,"*Services Delivery &amp; Support (go-lives and deployments) *")</f>
        <v>0</v>
      </c>
      <c r="F920">
        <f>COUNTIF('Metrics - Articles'!F917,"*Human Resources (SAP HR and employee stories)*")</f>
        <v>0</v>
      </c>
      <c r="G920">
        <f>COUNTIF('Metrics - Articles'!F917,"*P&amp;I (Research &amp; Development)*")</f>
        <v>0</v>
      </c>
      <c r="H920">
        <f>COUNTIF('Metrics - Articles'!F917,"*Business Network (Concur, Ariba, Fieldglass)*")</f>
        <v>0</v>
      </c>
      <c r="I920">
        <f>COUNTIF('Metrics - Articles'!F917,"*GCO – Regions*")</f>
        <v>0</v>
      </c>
      <c r="J920">
        <f>COUNTIF('Metrics - Articles'!F917,"*GCO – Platform Solutions*")</f>
        <v>0</v>
      </c>
      <c r="K920">
        <f>COUNTIF('Metrics - Articles'!F917,"*GCO – Industry Cloud *")</f>
        <v>0</v>
      </c>
      <c r="L920">
        <f>COUNTIF('Metrics - Articles'!F917,"*GCO – Customer Engagement &amp; Commerce (CRM &amp; hybris) *")</f>
        <v>0</v>
      </c>
      <c r="M920">
        <f>COUNTIF('Metrics - Articles'!F917,"*GCO – HR (SuccessFactors)*")</f>
        <v>0</v>
      </c>
      <c r="N920">
        <f>COUNTIF('Metrics - Articles'!F917,"*GCO – Services Sales*")</f>
        <v>0</v>
      </c>
      <c r="O920">
        <f>COUNTIF('Metrics - Articles'!F917,"*GCO – Other*")</f>
        <v>0</v>
      </c>
      <c r="P920">
        <f>COUNTIF('Metrics - Articles'!F917,"*Corporate*")</f>
        <v>0</v>
      </c>
      <c r="R920" s="53">
        <f t="shared" si="16"/>
        <v>0</v>
      </c>
    </row>
    <row r="921" spans="2:18" hidden="1" x14ac:dyDescent="0.25">
      <c r="B921" s="48">
        <f>+'Metrics - Articles'!C918</f>
        <v>0</v>
      </c>
      <c r="C921">
        <f>COUNTIF('Metrics - Articles'!F918,"*GPO (Partner, Ecosystem, Channels)*")</f>
        <v>0</v>
      </c>
      <c r="D921">
        <f>COUNTIF('Metrics - Articles'!F918,"*Office of the CEO*")</f>
        <v>0</v>
      </c>
      <c r="E921">
        <f>COUNTIF('Metrics - Articles'!F918,"*Services Delivery &amp; Support (go-lives and deployments) *")</f>
        <v>0</v>
      </c>
      <c r="F921">
        <f>COUNTIF('Metrics - Articles'!F918,"*Human Resources (SAP HR and employee stories)*")</f>
        <v>0</v>
      </c>
      <c r="G921">
        <f>COUNTIF('Metrics - Articles'!F918,"*P&amp;I (Research &amp; Development)*")</f>
        <v>0</v>
      </c>
      <c r="H921">
        <f>COUNTIF('Metrics - Articles'!F918,"*Business Network (Concur, Ariba, Fieldglass)*")</f>
        <v>0</v>
      </c>
      <c r="I921">
        <f>COUNTIF('Metrics - Articles'!F918,"*GCO – Regions*")</f>
        <v>0</v>
      </c>
      <c r="J921">
        <f>COUNTIF('Metrics - Articles'!F918,"*GCO – Platform Solutions*")</f>
        <v>0</v>
      </c>
      <c r="K921">
        <f>COUNTIF('Metrics - Articles'!F918,"*GCO – Industry Cloud *")</f>
        <v>0</v>
      </c>
      <c r="L921">
        <f>COUNTIF('Metrics - Articles'!F918,"*GCO – Customer Engagement &amp; Commerce (CRM &amp; hybris) *")</f>
        <v>0</v>
      </c>
      <c r="M921">
        <f>COUNTIF('Metrics - Articles'!F918,"*GCO – HR (SuccessFactors)*")</f>
        <v>0</v>
      </c>
      <c r="N921">
        <f>COUNTIF('Metrics - Articles'!F918,"*GCO – Services Sales*")</f>
        <v>0</v>
      </c>
      <c r="O921">
        <f>COUNTIF('Metrics - Articles'!F918,"*GCO – Other*")</f>
        <v>0</v>
      </c>
      <c r="P921">
        <f>COUNTIF('Metrics - Articles'!F918,"*Corporate*")</f>
        <v>0</v>
      </c>
      <c r="R921" s="53">
        <f t="shared" si="16"/>
        <v>0</v>
      </c>
    </row>
    <row r="922" spans="2:18" hidden="1" x14ac:dyDescent="0.25">
      <c r="B922" s="48">
        <f>+'Metrics - Articles'!C919</f>
        <v>0</v>
      </c>
      <c r="C922">
        <f>COUNTIF('Metrics - Articles'!F919,"*GPO (Partner, Ecosystem, Channels)*")</f>
        <v>0</v>
      </c>
      <c r="D922">
        <f>COUNTIF('Metrics - Articles'!F919,"*Office of the CEO*")</f>
        <v>0</v>
      </c>
      <c r="E922">
        <f>COUNTIF('Metrics - Articles'!F919,"*Services Delivery &amp; Support (go-lives and deployments) *")</f>
        <v>0</v>
      </c>
      <c r="F922">
        <f>COUNTIF('Metrics - Articles'!F919,"*Human Resources (SAP HR and employee stories)*")</f>
        <v>0</v>
      </c>
      <c r="G922">
        <f>COUNTIF('Metrics - Articles'!F919,"*P&amp;I (Research &amp; Development)*")</f>
        <v>0</v>
      </c>
      <c r="H922">
        <f>COUNTIF('Metrics - Articles'!F919,"*Business Network (Concur, Ariba, Fieldglass)*")</f>
        <v>0</v>
      </c>
      <c r="I922">
        <f>COUNTIF('Metrics - Articles'!F919,"*GCO – Regions*")</f>
        <v>0</v>
      </c>
      <c r="J922">
        <f>COUNTIF('Metrics - Articles'!F919,"*GCO – Platform Solutions*")</f>
        <v>0</v>
      </c>
      <c r="K922">
        <f>COUNTIF('Metrics - Articles'!F919,"*GCO – Industry Cloud *")</f>
        <v>0</v>
      </c>
      <c r="L922">
        <f>COUNTIF('Metrics - Articles'!F919,"*GCO – Customer Engagement &amp; Commerce (CRM &amp; hybris) *")</f>
        <v>0</v>
      </c>
      <c r="M922">
        <f>COUNTIF('Metrics - Articles'!F919,"*GCO – HR (SuccessFactors)*")</f>
        <v>0</v>
      </c>
      <c r="N922">
        <f>COUNTIF('Metrics - Articles'!F919,"*GCO – Services Sales*")</f>
        <v>0</v>
      </c>
      <c r="O922">
        <f>COUNTIF('Metrics - Articles'!F919,"*GCO – Other*")</f>
        <v>0</v>
      </c>
      <c r="P922">
        <f>COUNTIF('Metrics - Articles'!F919,"*Corporate*")</f>
        <v>0</v>
      </c>
      <c r="R922" s="53">
        <f t="shared" si="16"/>
        <v>0</v>
      </c>
    </row>
    <row r="923" spans="2:18" hidden="1" x14ac:dyDescent="0.25">
      <c r="B923" s="48">
        <f>+'Metrics - Articles'!C920</f>
        <v>0</v>
      </c>
      <c r="C923">
        <f>COUNTIF('Metrics - Articles'!F920,"*GPO (Partner, Ecosystem, Channels)*")</f>
        <v>0</v>
      </c>
      <c r="D923">
        <f>COUNTIF('Metrics - Articles'!F920,"*Office of the CEO*")</f>
        <v>0</v>
      </c>
      <c r="E923">
        <f>COUNTIF('Metrics - Articles'!F920,"*Services Delivery &amp; Support (go-lives and deployments) *")</f>
        <v>0</v>
      </c>
      <c r="F923">
        <f>COUNTIF('Metrics - Articles'!F920,"*Human Resources (SAP HR and employee stories)*")</f>
        <v>0</v>
      </c>
      <c r="G923">
        <f>COUNTIF('Metrics - Articles'!F920,"*P&amp;I (Research &amp; Development)*")</f>
        <v>0</v>
      </c>
      <c r="H923">
        <f>COUNTIF('Metrics - Articles'!F920,"*Business Network (Concur, Ariba, Fieldglass)*")</f>
        <v>0</v>
      </c>
      <c r="I923">
        <f>COUNTIF('Metrics - Articles'!F920,"*GCO – Regions*")</f>
        <v>0</v>
      </c>
      <c r="J923">
        <f>COUNTIF('Metrics - Articles'!F920,"*GCO – Platform Solutions*")</f>
        <v>0</v>
      </c>
      <c r="K923">
        <f>COUNTIF('Metrics - Articles'!F920,"*GCO – Industry Cloud *")</f>
        <v>0</v>
      </c>
      <c r="L923">
        <f>COUNTIF('Metrics - Articles'!F920,"*GCO – Customer Engagement &amp; Commerce (CRM &amp; hybris) *")</f>
        <v>0</v>
      </c>
      <c r="M923">
        <f>COUNTIF('Metrics - Articles'!F920,"*GCO – HR (SuccessFactors)*")</f>
        <v>0</v>
      </c>
      <c r="N923">
        <f>COUNTIF('Metrics - Articles'!F920,"*GCO – Services Sales*")</f>
        <v>0</v>
      </c>
      <c r="O923">
        <f>COUNTIF('Metrics - Articles'!F920,"*GCO – Other*")</f>
        <v>0</v>
      </c>
      <c r="P923">
        <f>COUNTIF('Metrics - Articles'!F920,"*Corporate*")</f>
        <v>0</v>
      </c>
      <c r="R923" s="53">
        <f t="shared" si="16"/>
        <v>0</v>
      </c>
    </row>
    <row r="924" spans="2:18" hidden="1" x14ac:dyDescent="0.25">
      <c r="B924" s="48">
        <f>+'Metrics - Articles'!C921</f>
        <v>0</v>
      </c>
      <c r="C924">
        <f>COUNTIF('Metrics - Articles'!F921,"*GPO (Partner, Ecosystem, Channels)*")</f>
        <v>0</v>
      </c>
      <c r="D924">
        <f>COUNTIF('Metrics - Articles'!F921,"*Office of the CEO*")</f>
        <v>0</v>
      </c>
      <c r="E924">
        <f>COUNTIF('Metrics - Articles'!F921,"*Services Delivery &amp; Support (go-lives and deployments) *")</f>
        <v>0</v>
      </c>
      <c r="F924">
        <f>COUNTIF('Metrics - Articles'!F921,"*Human Resources (SAP HR and employee stories)*")</f>
        <v>0</v>
      </c>
      <c r="G924">
        <f>COUNTIF('Metrics - Articles'!F921,"*P&amp;I (Research &amp; Development)*")</f>
        <v>0</v>
      </c>
      <c r="H924">
        <f>COUNTIF('Metrics - Articles'!F921,"*Business Network (Concur, Ariba, Fieldglass)*")</f>
        <v>0</v>
      </c>
      <c r="I924">
        <f>COUNTIF('Metrics - Articles'!F921,"*GCO – Regions*")</f>
        <v>0</v>
      </c>
      <c r="J924">
        <f>COUNTIF('Metrics - Articles'!F921,"*GCO – Platform Solutions*")</f>
        <v>0</v>
      </c>
      <c r="K924">
        <f>COUNTIF('Metrics - Articles'!F921,"*GCO – Industry Cloud *")</f>
        <v>0</v>
      </c>
      <c r="L924">
        <f>COUNTIF('Metrics - Articles'!F921,"*GCO – Customer Engagement &amp; Commerce (CRM &amp; hybris) *")</f>
        <v>0</v>
      </c>
      <c r="M924">
        <f>COUNTIF('Metrics - Articles'!F921,"*GCO – HR (SuccessFactors)*")</f>
        <v>0</v>
      </c>
      <c r="N924">
        <f>COUNTIF('Metrics - Articles'!F921,"*GCO – Services Sales*")</f>
        <v>0</v>
      </c>
      <c r="O924">
        <f>COUNTIF('Metrics - Articles'!F921,"*GCO – Other*")</f>
        <v>0</v>
      </c>
      <c r="P924">
        <f>COUNTIF('Metrics - Articles'!F921,"*Corporate*")</f>
        <v>0</v>
      </c>
      <c r="R924" s="53">
        <f t="shared" si="16"/>
        <v>0</v>
      </c>
    </row>
    <row r="925" spans="2:18" hidden="1" x14ac:dyDescent="0.25">
      <c r="B925" s="48">
        <f>+'Metrics - Articles'!C922</f>
        <v>0</v>
      </c>
      <c r="C925">
        <f>COUNTIF('Metrics - Articles'!F922,"*GPO (Partner, Ecosystem, Channels)*")</f>
        <v>0</v>
      </c>
      <c r="D925">
        <f>COUNTIF('Metrics - Articles'!F922,"*Office of the CEO*")</f>
        <v>0</v>
      </c>
      <c r="E925">
        <f>COUNTIF('Metrics - Articles'!F922,"*Services Delivery &amp; Support (go-lives and deployments) *")</f>
        <v>0</v>
      </c>
      <c r="F925">
        <f>COUNTIF('Metrics - Articles'!F922,"*Human Resources (SAP HR and employee stories)*")</f>
        <v>0</v>
      </c>
      <c r="G925">
        <f>COUNTIF('Metrics - Articles'!F922,"*P&amp;I (Research &amp; Development)*")</f>
        <v>0</v>
      </c>
      <c r="H925">
        <f>COUNTIF('Metrics - Articles'!F922,"*Business Network (Concur, Ariba, Fieldglass)*")</f>
        <v>0</v>
      </c>
      <c r="I925">
        <f>COUNTIF('Metrics - Articles'!F922,"*GCO – Regions*")</f>
        <v>0</v>
      </c>
      <c r="J925">
        <f>COUNTIF('Metrics - Articles'!F922,"*GCO – Platform Solutions*")</f>
        <v>0</v>
      </c>
      <c r="K925">
        <f>COUNTIF('Metrics - Articles'!F922,"*GCO – Industry Cloud *")</f>
        <v>0</v>
      </c>
      <c r="L925">
        <f>COUNTIF('Metrics - Articles'!F922,"*GCO – Customer Engagement &amp; Commerce (CRM &amp; hybris) *")</f>
        <v>0</v>
      </c>
      <c r="M925">
        <f>COUNTIF('Metrics - Articles'!F922,"*GCO – HR (SuccessFactors)*")</f>
        <v>0</v>
      </c>
      <c r="N925">
        <f>COUNTIF('Metrics - Articles'!F922,"*GCO – Services Sales*")</f>
        <v>0</v>
      </c>
      <c r="O925">
        <f>COUNTIF('Metrics - Articles'!F922,"*GCO – Other*")</f>
        <v>0</v>
      </c>
      <c r="P925">
        <f>COUNTIF('Metrics - Articles'!F922,"*Corporate*")</f>
        <v>0</v>
      </c>
      <c r="R925" s="53">
        <f t="shared" si="16"/>
        <v>0</v>
      </c>
    </row>
    <row r="926" spans="2:18" hidden="1" x14ac:dyDescent="0.25">
      <c r="B926" s="48">
        <f>+'Metrics - Articles'!C923</f>
        <v>0</v>
      </c>
      <c r="C926">
        <f>COUNTIF('Metrics - Articles'!F923,"*GPO (Partner, Ecosystem, Channels)*")</f>
        <v>0</v>
      </c>
      <c r="D926">
        <f>COUNTIF('Metrics - Articles'!F923,"*Office of the CEO*")</f>
        <v>0</v>
      </c>
      <c r="E926">
        <f>COUNTIF('Metrics - Articles'!F923,"*Services Delivery &amp; Support (go-lives and deployments) *")</f>
        <v>0</v>
      </c>
      <c r="F926">
        <f>COUNTIF('Metrics - Articles'!F923,"*Human Resources (SAP HR and employee stories)*")</f>
        <v>0</v>
      </c>
      <c r="G926">
        <f>COUNTIF('Metrics - Articles'!F923,"*P&amp;I (Research &amp; Development)*")</f>
        <v>0</v>
      </c>
      <c r="H926">
        <f>COUNTIF('Metrics - Articles'!F923,"*Business Network (Concur, Ariba, Fieldglass)*")</f>
        <v>0</v>
      </c>
      <c r="I926">
        <f>COUNTIF('Metrics - Articles'!F923,"*GCO – Regions*")</f>
        <v>0</v>
      </c>
      <c r="J926">
        <f>COUNTIF('Metrics - Articles'!F923,"*GCO – Platform Solutions*")</f>
        <v>0</v>
      </c>
      <c r="K926">
        <f>COUNTIF('Metrics - Articles'!F923,"*GCO – Industry Cloud *")</f>
        <v>0</v>
      </c>
      <c r="L926">
        <f>COUNTIF('Metrics - Articles'!F923,"*GCO – Customer Engagement &amp; Commerce (CRM &amp; hybris) *")</f>
        <v>0</v>
      </c>
      <c r="M926">
        <f>COUNTIF('Metrics - Articles'!F923,"*GCO – HR (SuccessFactors)*")</f>
        <v>0</v>
      </c>
      <c r="N926">
        <f>COUNTIF('Metrics - Articles'!F923,"*GCO – Services Sales*")</f>
        <v>0</v>
      </c>
      <c r="O926">
        <f>COUNTIF('Metrics - Articles'!F923,"*GCO – Other*")</f>
        <v>0</v>
      </c>
      <c r="P926">
        <f>COUNTIF('Metrics - Articles'!F923,"*Corporate*")</f>
        <v>0</v>
      </c>
      <c r="R926" s="53">
        <f t="shared" si="16"/>
        <v>0</v>
      </c>
    </row>
    <row r="927" spans="2:18" hidden="1" x14ac:dyDescent="0.25">
      <c r="B927" s="48">
        <f>+'Metrics - Articles'!C924</f>
        <v>0</v>
      </c>
      <c r="C927">
        <f>COUNTIF('Metrics - Articles'!F924,"*GPO (Partner, Ecosystem, Channels)*")</f>
        <v>0</v>
      </c>
      <c r="D927">
        <f>COUNTIF('Metrics - Articles'!F924,"*Office of the CEO*")</f>
        <v>0</v>
      </c>
      <c r="E927">
        <f>COUNTIF('Metrics - Articles'!F924,"*Services Delivery &amp; Support (go-lives and deployments) *")</f>
        <v>0</v>
      </c>
      <c r="F927">
        <f>COUNTIF('Metrics - Articles'!F924,"*Human Resources (SAP HR and employee stories)*")</f>
        <v>0</v>
      </c>
      <c r="G927">
        <f>COUNTIF('Metrics - Articles'!F924,"*P&amp;I (Research &amp; Development)*")</f>
        <v>0</v>
      </c>
      <c r="H927">
        <f>COUNTIF('Metrics - Articles'!F924,"*Business Network (Concur, Ariba, Fieldglass)*")</f>
        <v>0</v>
      </c>
      <c r="I927">
        <f>COUNTIF('Metrics - Articles'!F924,"*GCO – Regions*")</f>
        <v>0</v>
      </c>
      <c r="J927">
        <f>COUNTIF('Metrics - Articles'!F924,"*GCO – Platform Solutions*")</f>
        <v>0</v>
      </c>
      <c r="K927">
        <f>COUNTIF('Metrics - Articles'!F924,"*GCO – Industry Cloud *")</f>
        <v>0</v>
      </c>
      <c r="L927">
        <f>COUNTIF('Metrics - Articles'!F924,"*GCO – Customer Engagement &amp; Commerce (CRM &amp; hybris) *")</f>
        <v>0</v>
      </c>
      <c r="M927">
        <f>COUNTIF('Metrics - Articles'!F924,"*GCO – HR (SuccessFactors)*")</f>
        <v>0</v>
      </c>
      <c r="N927">
        <f>COUNTIF('Metrics - Articles'!F924,"*GCO – Services Sales*")</f>
        <v>0</v>
      </c>
      <c r="O927">
        <f>COUNTIF('Metrics - Articles'!F924,"*GCO – Other*")</f>
        <v>0</v>
      </c>
      <c r="P927">
        <f>COUNTIF('Metrics - Articles'!F924,"*Corporate*")</f>
        <v>0</v>
      </c>
      <c r="R927" s="53">
        <f t="shared" si="16"/>
        <v>0</v>
      </c>
    </row>
    <row r="928" spans="2:18" hidden="1" x14ac:dyDescent="0.25">
      <c r="B928" s="48">
        <f>+'Metrics - Articles'!C925</f>
        <v>0</v>
      </c>
      <c r="C928">
        <f>COUNTIF('Metrics - Articles'!F925,"*GPO (Partner, Ecosystem, Channels)*")</f>
        <v>0</v>
      </c>
      <c r="D928">
        <f>COUNTIF('Metrics - Articles'!F925,"*Office of the CEO*")</f>
        <v>0</v>
      </c>
      <c r="E928">
        <f>COUNTIF('Metrics - Articles'!F925,"*Services Delivery &amp; Support (go-lives and deployments) *")</f>
        <v>0</v>
      </c>
      <c r="F928">
        <f>COUNTIF('Metrics - Articles'!F925,"*Human Resources (SAP HR and employee stories)*")</f>
        <v>0</v>
      </c>
      <c r="G928">
        <f>COUNTIF('Metrics - Articles'!F925,"*P&amp;I (Research &amp; Development)*")</f>
        <v>0</v>
      </c>
      <c r="H928">
        <f>COUNTIF('Metrics - Articles'!F925,"*Business Network (Concur, Ariba, Fieldglass)*")</f>
        <v>0</v>
      </c>
      <c r="I928">
        <f>COUNTIF('Metrics - Articles'!F925,"*GCO – Regions*")</f>
        <v>0</v>
      </c>
      <c r="J928">
        <f>COUNTIF('Metrics - Articles'!F925,"*GCO – Platform Solutions*")</f>
        <v>0</v>
      </c>
      <c r="K928">
        <f>COUNTIF('Metrics - Articles'!F925,"*GCO – Industry Cloud *")</f>
        <v>0</v>
      </c>
      <c r="L928">
        <f>COUNTIF('Metrics - Articles'!F925,"*GCO – Customer Engagement &amp; Commerce (CRM &amp; hybris) *")</f>
        <v>0</v>
      </c>
      <c r="M928">
        <f>COUNTIF('Metrics - Articles'!F925,"*GCO – HR (SuccessFactors)*")</f>
        <v>0</v>
      </c>
      <c r="N928">
        <f>COUNTIF('Metrics - Articles'!F925,"*GCO – Services Sales*")</f>
        <v>0</v>
      </c>
      <c r="O928">
        <f>COUNTIF('Metrics - Articles'!F925,"*GCO – Other*")</f>
        <v>0</v>
      </c>
      <c r="P928">
        <f>COUNTIF('Metrics - Articles'!F925,"*Corporate*")</f>
        <v>0</v>
      </c>
      <c r="R928" s="53">
        <f t="shared" si="16"/>
        <v>0</v>
      </c>
    </row>
    <row r="929" spans="2:18" hidden="1" x14ac:dyDescent="0.25">
      <c r="B929" s="48">
        <f>+'Metrics - Articles'!C926</f>
        <v>0</v>
      </c>
      <c r="C929">
        <f>COUNTIF('Metrics - Articles'!F926,"*GPO (Partner, Ecosystem, Channels)*")</f>
        <v>0</v>
      </c>
      <c r="D929">
        <f>COUNTIF('Metrics - Articles'!F926,"*Office of the CEO*")</f>
        <v>0</v>
      </c>
      <c r="E929">
        <f>COUNTIF('Metrics - Articles'!F926,"*Services Delivery &amp; Support (go-lives and deployments) *")</f>
        <v>0</v>
      </c>
      <c r="F929">
        <f>COUNTIF('Metrics - Articles'!F926,"*Human Resources (SAP HR and employee stories)*")</f>
        <v>0</v>
      </c>
      <c r="G929">
        <f>COUNTIF('Metrics - Articles'!F926,"*P&amp;I (Research &amp; Development)*")</f>
        <v>0</v>
      </c>
      <c r="H929">
        <f>COUNTIF('Metrics - Articles'!F926,"*Business Network (Concur, Ariba, Fieldglass)*")</f>
        <v>0</v>
      </c>
      <c r="I929">
        <f>COUNTIF('Metrics - Articles'!F926,"*GCO – Regions*")</f>
        <v>0</v>
      </c>
      <c r="J929">
        <f>COUNTIF('Metrics - Articles'!F926,"*GCO – Platform Solutions*")</f>
        <v>0</v>
      </c>
      <c r="K929">
        <f>COUNTIF('Metrics - Articles'!F926,"*GCO – Industry Cloud *")</f>
        <v>0</v>
      </c>
      <c r="L929">
        <f>COUNTIF('Metrics - Articles'!F926,"*GCO – Customer Engagement &amp; Commerce (CRM &amp; hybris) *")</f>
        <v>0</v>
      </c>
      <c r="M929">
        <f>COUNTIF('Metrics - Articles'!F926,"*GCO – HR (SuccessFactors)*")</f>
        <v>0</v>
      </c>
      <c r="N929">
        <f>COUNTIF('Metrics - Articles'!F926,"*GCO – Services Sales*")</f>
        <v>0</v>
      </c>
      <c r="O929">
        <f>COUNTIF('Metrics - Articles'!F926,"*GCO – Other*")</f>
        <v>0</v>
      </c>
      <c r="P929">
        <f>COUNTIF('Metrics - Articles'!F926,"*Corporate*")</f>
        <v>0</v>
      </c>
      <c r="R929" s="53">
        <f t="shared" si="16"/>
        <v>0</v>
      </c>
    </row>
    <row r="930" spans="2:18" hidden="1" x14ac:dyDescent="0.25">
      <c r="B930" s="48">
        <f>+'Metrics - Articles'!C927</f>
        <v>0</v>
      </c>
      <c r="C930">
        <f>COUNTIF('Metrics - Articles'!F927,"*GPO (Partner, Ecosystem, Channels)*")</f>
        <v>0</v>
      </c>
      <c r="D930">
        <f>COUNTIF('Metrics - Articles'!F927,"*Office of the CEO*")</f>
        <v>0</v>
      </c>
      <c r="E930">
        <f>COUNTIF('Metrics - Articles'!F927,"*Services Delivery &amp; Support (go-lives and deployments) *")</f>
        <v>0</v>
      </c>
      <c r="F930">
        <f>COUNTIF('Metrics - Articles'!F927,"*Human Resources (SAP HR and employee stories)*")</f>
        <v>0</v>
      </c>
      <c r="G930">
        <f>COUNTIF('Metrics - Articles'!F927,"*P&amp;I (Research &amp; Development)*")</f>
        <v>0</v>
      </c>
      <c r="H930">
        <f>COUNTIF('Metrics - Articles'!F927,"*Business Network (Concur, Ariba, Fieldglass)*")</f>
        <v>0</v>
      </c>
      <c r="I930">
        <f>COUNTIF('Metrics - Articles'!F927,"*GCO – Regions*")</f>
        <v>0</v>
      </c>
      <c r="J930">
        <f>COUNTIF('Metrics - Articles'!F927,"*GCO – Platform Solutions*")</f>
        <v>0</v>
      </c>
      <c r="K930">
        <f>COUNTIF('Metrics - Articles'!F927,"*GCO – Industry Cloud *")</f>
        <v>0</v>
      </c>
      <c r="L930">
        <f>COUNTIF('Metrics - Articles'!F927,"*GCO – Customer Engagement &amp; Commerce (CRM &amp; hybris) *")</f>
        <v>0</v>
      </c>
      <c r="M930">
        <f>COUNTIF('Metrics - Articles'!F927,"*GCO – HR (SuccessFactors)*")</f>
        <v>0</v>
      </c>
      <c r="N930">
        <f>COUNTIF('Metrics - Articles'!F927,"*GCO – Services Sales*")</f>
        <v>0</v>
      </c>
      <c r="O930">
        <f>COUNTIF('Metrics - Articles'!F927,"*GCO – Other*")</f>
        <v>0</v>
      </c>
      <c r="P930">
        <f>COUNTIF('Metrics - Articles'!F927,"*Corporate*")</f>
        <v>0</v>
      </c>
      <c r="R930" s="53">
        <f t="shared" si="16"/>
        <v>0</v>
      </c>
    </row>
    <row r="931" spans="2:18" hidden="1" x14ac:dyDescent="0.25">
      <c r="B931" s="48">
        <f>+'Metrics - Articles'!C928</f>
        <v>0</v>
      </c>
      <c r="C931">
        <f>COUNTIF('Metrics - Articles'!F928,"*GPO (Partner, Ecosystem, Channels)*")</f>
        <v>0</v>
      </c>
      <c r="D931">
        <f>COUNTIF('Metrics - Articles'!F928,"*Office of the CEO*")</f>
        <v>0</v>
      </c>
      <c r="E931">
        <f>COUNTIF('Metrics - Articles'!F928,"*Services Delivery &amp; Support (go-lives and deployments) *")</f>
        <v>0</v>
      </c>
      <c r="F931">
        <f>COUNTIF('Metrics - Articles'!F928,"*Human Resources (SAP HR and employee stories)*")</f>
        <v>0</v>
      </c>
      <c r="G931">
        <f>COUNTIF('Metrics - Articles'!F928,"*P&amp;I (Research &amp; Development)*")</f>
        <v>0</v>
      </c>
      <c r="H931">
        <f>COUNTIF('Metrics - Articles'!F928,"*Business Network (Concur, Ariba, Fieldglass)*")</f>
        <v>0</v>
      </c>
      <c r="I931">
        <f>COUNTIF('Metrics - Articles'!F928,"*GCO – Regions*")</f>
        <v>0</v>
      </c>
      <c r="J931">
        <f>COUNTIF('Metrics - Articles'!F928,"*GCO – Platform Solutions*")</f>
        <v>0</v>
      </c>
      <c r="K931">
        <f>COUNTIF('Metrics - Articles'!F928,"*GCO – Industry Cloud *")</f>
        <v>0</v>
      </c>
      <c r="L931">
        <f>COUNTIF('Metrics - Articles'!F928,"*GCO – Customer Engagement &amp; Commerce (CRM &amp; hybris) *")</f>
        <v>0</v>
      </c>
      <c r="M931">
        <f>COUNTIF('Metrics - Articles'!F928,"*GCO – HR (SuccessFactors)*")</f>
        <v>0</v>
      </c>
      <c r="N931">
        <f>COUNTIF('Metrics - Articles'!F928,"*GCO – Services Sales*")</f>
        <v>0</v>
      </c>
      <c r="O931">
        <f>COUNTIF('Metrics - Articles'!F928,"*GCO – Other*")</f>
        <v>0</v>
      </c>
      <c r="P931">
        <f>COUNTIF('Metrics - Articles'!F928,"*Corporate*")</f>
        <v>0</v>
      </c>
      <c r="R931" s="53">
        <f t="shared" si="16"/>
        <v>0</v>
      </c>
    </row>
    <row r="932" spans="2:18" hidden="1" x14ac:dyDescent="0.25">
      <c r="B932" s="48">
        <f>+'Metrics - Articles'!C929</f>
        <v>0</v>
      </c>
      <c r="C932">
        <f>COUNTIF('Metrics - Articles'!F929,"*GPO (Partner, Ecosystem, Channels)*")</f>
        <v>0</v>
      </c>
      <c r="D932">
        <f>COUNTIF('Metrics - Articles'!F929,"*Office of the CEO*")</f>
        <v>0</v>
      </c>
      <c r="E932">
        <f>COUNTIF('Metrics - Articles'!F929,"*Services Delivery &amp; Support (go-lives and deployments) *")</f>
        <v>0</v>
      </c>
      <c r="F932">
        <f>COUNTIF('Metrics - Articles'!F929,"*Human Resources (SAP HR and employee stories)*")</f>
        <v>0</v>
      </c>
      <c r="G932">
        <f>COUNTIF('Metrics - Articles'!F929,"*P&amp;I (Research &amp; Development)*")</f>
        <v>0</v>
      </c>
      <c r="H932">
        <f>COUNTIF('Metrics - Articles'!F929,"*Business Network (Concur, Ariba, Fieldglass)*")</f>
        <v>0</v>
      </c>
      <c r="I932">
        <f>COUNTIF('Metrics - Articles'!F929,"*GCO – Regions*")</f>
        <v>0</v>
      </c>
      <c r="J932">
        <f>COUNTIF('Metrics - Articles'!F929,"*GCO – Platform Solutions*")</f>
        <v>0</v>
      </c>
      <c r="K932">
        <f>COUNTIF('Metrics - Articles'!F929,"*GCO – Industry Cloud *")</f>
        <v>0</v>
      </c>
      <c r="L932">
        <f>COUNTIF('Metrics - Articles'!F929,"*GCO – Customer Engagement &amp; Commerce (CRM &amp; hybris) *")</f>
        <v>0</v>
      </c>
      <c r="M932">
        <f>COUNTIF('Metrics - Articles'!F929,"*GCO – HR (SuccessFactors)*")</f>
        <v>0</v>
      </c>
      <c r="N932">
        <f>COUNTIF('Metrics - Articles'!F929,"*GCO – Services Sales*")</f>
        <v>0</v>
      </c>
      <c r="O932">
        <f>COUNTIF('Metrics - Articles'!F929,"*GCO – Other*")</f>
        <v>0</v>
      </c>
      <c r="P932">
        <f>COUNTIF('Metrics - Articles'!F929,"*Corporate*")</f>
        <v>0</v>
      </c>
      <c r="R932" s="53">
        <f t="shared" si="16"/>
        <v>0</v>
      </c>
    </row>
    <row r="933" spans="2:18" hidden="1" x14ac:dyDescent="0.25">
      <c r="B933" s="48">
        <f>+'Metrics - Articles'!C930</f>
        <v>0</v>
      </c>
      <c r="C933">
        <f>COUNTIF('Metrics - Articles'!F930,"*GPO (Partner, Ecosystem, Channels)*")</f>
        <v>0</v>
      </c>
      <c r="D933">
        <f>COUNTIF('Metrics - Articles'!F930,"*Office of the CEO*")</f>
        <v>0</v>
      </c>
      <c r="E933">
        <f>COUNTIF('Metrics - Articles'!F930,"*Services Delivery &amp; Support (go-lives and deployments) *")</f>
        <v>0</v>
      </c>
      <c r="F933">
        <f>COUNTIF('Metrics - Articles'!F930,"*Human Resources (SAP HR and employee stories)*")</f>
        <v>0</v>
      </c>
      <c r="G933">
        <f>COUNTIF('Metrics - Articles'!F930,"*P&amp;I (Research &amp; Development)*")</f>
        <v>0</v>
      </c>
      <c r="H933">
        <f>COUNTIF('Metrics - Articles'!F930,"*Business Network (Concur, Ariba, Fieldglass)*")</f>
        <v>0</v>
      </c>
      <c r="I933">
        <f>COUNTIF('Metrics - Articles'!F930,"*GCO – Regions*")</f>
        <v>0</v>
      </c>
      <c r="J933">
        <f>COUNTIF('Metrics - Articles'!F930,"*GCO – Platform Solutions*")</f>
        <v>0</v>
      </c>
      <c r="K933">
        <f>COUNTIF('Metrics - Articles'!F930,"*GCO – Industry Cloud *")</f>
        <v>0</v>
      </c>
      <c r="L933">
        <f>COUNTIF('Metrics - Articles'!F930,"*GCO – Customer Engagement &amp; Commerce (CRM &amp; hybris) *")</f>
        <v>0</v>
      </c>
      <c r="M933">
        <f>COUNTIF('Metrics - Articles'!F930,"*GCO – HR (SuccessFactors)*")</f>
        <v>0</v>
      </c>
      <c r="N933">
        <f>COUNTIF('Metrics - Articles'!F930,"*GCO – Services Sales*")</f>
        <v>0</v>
      </c>
      <c r="O933">
        <f>COUNTIF('Metrics - Articles'!F930,"*GCO – Other*")</f>
        <v>0</v>
      </c>
      <c r="P933">
        <f>COUNTIF('Metrics - Articles'!F930,"*Corporate*")</f>
        <v>0</v>
      </c>
      <c r="R933" s="53">
        <f t="shared" si="16"/>
        <v>0</v>
      </c>
    </row>
    <row r="934" spans="2:18" hidden="1" x14ac:dyDescent="0.25">
      <c r="B934" s="48">
        <f>+'Metrics - Articles'!C931</f>
        <v>0</v>
      </c>
      <c r="C934">
        <f>COUNTIF('Metrics - Articles'!F931,"*GPO (Partner, Ecosystem, Channels)*")</f>
        <v>0</v>
      </c>
      <c r="D934">
        <f>COUNTIF('Metrics - Articles'!F931,"*Office of the CEO*")</f>
        <v>0</v>
      </c>
      <c r="E934">
        <f>COUNTIF('Metrics - Articles'!F931,"*Services Delivery &amp; Support (go-lives and deployments) *")</f>
        <v>0</v>
      </c>
      <c r="F934">
        <f>COUNTIF('Metrics - Articles'!F931,"*Human Resources (SAP HR and employee stories)*")</f>
        <v>0</v>
      </c>
      <c r="G934">
        <f>COUNTIF('Metrics - Articles'!F931,"*P&amp;I (Research &amp; Development)*")</f>
        <v>0</v>
      </c>
      <c r="H934">
        <f>COUNTIF('Metrics - Articles'!F931,"*Business Network (Concur, Ariba, Fieldglass)*")</f>
        <v>0</v>
      </c>
      <c r="I934">
        <f>COUNTIF('Metrics - Articles'!F931,"*GCO – Regions*")</f>
        <v>0</v>
      </c>
      <c r="J934">
        <f>COUNTIF('Metrics - Articles'!F931,"*GCO – Platform Solutions*")</f>
        <v>0</v>
      </c>
      <c r="K934">
        <f>COUNTIF('Metrics - Articles'!F931,"*GCO – Industry Cloud *")</f>
        <v>0</v>
      </c>
      <c r="L934">
        <f>COUNTIF('Metrics - Articles'!F931,"*GCO – Customer Engagement &amp; Commerce (CRM &amp; hybris) *")</f>
        <v>0</v>
      </c>
      <c r="M934">
        <f>COUNTIF('Metrics - Articles'!F931,"*GCO – HR (SuccessFactors)*")</f>
        <v>0</v>
      </c>
      <c r="N934">
        <f>COUNTIF('Metrics - Articles'!F931,"*GCO – Services Sales*")</f>
        <v>0</v>
      </c>
      <c r="O934">
        <f>COUNTIF('Metrics - Articles'!F931,"*GCO – Other*")</f>
        <v>0</v>
      </c>
      <c r="P934">
        <f>COUNTIF('Metrics - Articles'!F931,"*Corporate*")</f>
        <v>0</v>
      </c>
      <c r="R934" s="53">
        <f t="shared" si="16"/>
        <v>0</v>
      </c>
    </row>
    <row r="935" spans="2:18" hidden="1" x14ac:dyDescent="0.25">
      <c r="B935" s="48">
        <f>+'Metrics - Articles'!C932</f>
        <v>0</v>
      </c>
      <c r="C935">
        <f>COUNTIF('Metrics - Articles'!F932,"*GPO (Partner, Ecosystem, Channels)*")</f>
        <v>0</v>
      </c>
      <c r="D935">
        <f>COUNTIF('Metrics - Articles'!F932,"*Office of the CEO*")</f>
        <v>0</v>
      </c>
      <c r="E935">
        <f>COUNTIF('Metrics - Articles'!F932,"*Services Delivery &amp; Support (go-lives and deployments) *")</f>
        <v>0</v>
      </c>
      <c r="F935">
        <f>COUNTIF('Metrics - Articles'!F932,"*Human Resources (SAP HR and employee stories)*")</f>
        <v>0</v>
      </c>
      <c r="G935">
        <f>COUNTIF('Metrics - Articles'!F932,"*P&amp;I (Research &amp; Development)*")</f>
        <v>0</v>
      </c>
      <c r="H935">
        <f>COUNTIF('Metrics - Articles'!F932,"*Business Network (Concur, Ariba, Fieldglass)*")</f>
        <v>0</v>
      </c>
      <c r="I935">
        <f>COUNTIF('Metrics - Articles'!F932,"*GCO – Regions*")</f>
        <v>0</v>
      </c>
      <c r="J935">
        <f>COUNTIF('Metrics - Articles'!F932,"*GCO – Platform Solutions*")</f>
        <v>0</v>
      </c>
      <c r="K935">
        <f>COUNTIF('Metrics - Articles'!F932,"*GCO – Industry Cloud *")</f>
        <v>0</v>
      </c>
      <c r="L935">
        <f>COUNTIF('Metrics - Articles'!F932,"*GCO – Customer Engagement &amp; Commerce (CRM &amp; hybris) *")</f>
        <v>0</v>
      </c>
      <c r="M935">
        <f>COUNTIF('Metrics - Articles'!F932,"*GCO – HR (SuccessFactors)*")</f>
        <v>0</v>
      </c>
      <c r="N935">
        <f>COUNTIF('Metrics - Articles'!F932,"*GCO – Services Sales*")</f>
        <v>0</v>
      </c>
      <c r="O935">
        <f>COUNTIF('Metrics - Articles'!F932,"*GCO – Other*")</f>
        <v>0</v>
      </c>
      <c r="P935">
        <f>COUNTIF('Metrics - Articles'!F932,"*Corporate*")</f>
        <v>0</v>
      </c>
      <c r="R935" s="53">
        <f t="shared" si="16"/>
        <v>0</v>
      </c>
    </row>
    <row r="936" spans="2:18" hidden="1" x14ac:dyDescent="0.25">
      <c r="B936" s="48">
        <f>+'Metrics - Articles'!C933</f>
        <v>0</v>
      </c>
      <c r="C936">
        <f>COUNTIF('Metrics - Articles'!F933,"*GPO (Partner, Ecosystem, Channels)*")</f>
        <v>0</v>
      </c>
      <c r="D936">
        <f>COUNTIF('Metrics - Articles'!F933,"*Office of the CEO*")</f>
        <v>0</v>
      </c>
      <c r="E936">
        <f>COUNTIF('Metrics - Articles'!F933,"*Services Delivery &amp; Support (go-lives and deployments) *")</f>
        <v>0</v>
      </c>
      <c r="F936">
        <f>COUNTIF('Metrics - Articles'!F933,"*Human Resources (SAP HR and employee stories)*")</f>
        <v>0</v>
      </c>
      <c r="G936">
        <f>COUNTIF('Metrics - Articles'!F933,"*P&amp;I (Research &amp; Development)*")</f>
        <v>0</v>
      </c>
      <c r="H936">
        <f>COUNTIF('Metrics - Articles'!F933,"*Business Network (Concur, Ariba, Fieldglass)*")</f>
        <v>0</v>
      </c>
      <c r="I936">
        <f>COUNTIF('Metrics - Articles'!F933,"*GCO – Regions*")</f>
        <v>0</v>
      </c>
      <c r="J936">
        <f>COUNTIF('Metrics - Articles'!F933,"*GCO – Platform Solutions*")</f>
        <v>0</v>
      </c>
      <c r="K936">
        <f>COUNTIF('Metrics - Articles'!F933,"*GCO – Industry Cloud *")</f>
        <v>0</v>
      </c>
      <c r="L936">
        <f>COUNTIF('Metrics - Articles'!F933,"*GCO – Customer Engagement &amp; Commerce (CRM &amp; hybris) *")</f>
        <v>0</v>
      </c>
      <c r="M936">
        <f>COUNTIF('Metrics - Articles'!F933,"*GCO – HR (SuccessFactors)*")</f>
        <v>0</v>
      </c>
      <c r="N936">
        <f>COUNTIF('Metrics - Articles'!F933,"*GCO – Services Sales*")</f>
        <v>0</v>
      </c>
      <c r="O936">
        <f>COUNTIF('Metrics - Articles'!F933,"*GCO – Other*")</f>
        <v>0</v>
      </c>
      <c r="P936">
        <f>COUNTIF('Metrics - Articles'!F933,"*Corporate*")</f>
        <v>0</v>
      </c>
      <c r="R936" s="53">
        <f t="shared" si="16"/>
        <v>0</v>
      </c>
    </row>
    <row r="937" spans="2:18" hidden="1" x14ac:dyDescent="0.25">
      <c r="B937" s="48">
        <f>+'Metrics - Articles'!C934</f>
        <v>0</v>
      </c>
      <c r="C937">
        <f>COUNTIF('Metrics - Articles'!F934,"*GPO (Partner, Ecosystem, Channels)*")</f>
        <v>0</v>
      </c>
      <c r="D937">
        <f>COUNTIF('Metrics - Articles'!F934,"*Office of the CEO*")</f>
        <v>0</v>
      </c>
      <c r="E937">
        <f>COUNTIF('Metrics - Articles'!F934,"*Services Delivery &amp; Support (go-lives and deployments) *")</f>
        <v>0</v>
      </c>
      <c r="F937">
        <f>COUNTIF('Metrics - Articles'!F934,"*Human Resources (SAP HR and employee stories)*")</f>
        <v>0</v>
      </c>
      <c r="G937">
        <f>COUNTIF('Metrics - Articles'!F934,"*P&amp;I (Research &amp; Development)*")</f>
        <v>0</v>
      </c>
      <c r="H937">
        <f>COUNTIF('Metrics - Articles'!F934,"*Business Network (Concur, Ariba, Fieldglass)*")</f>
        <v>0</v>
      </c>
      <c r="I937">
        <f>COUNTIF('Metrics - Articles'!F934,"*GCO – Regions*")</f>
        <v>0</v>
      </c>
      <c r="J937">
        <f>COUNTIF('Metrics - Articles'!F934,"*GCO – Platform Solutions*")</f>
        <v>0</v>
      </c>
      <c r="K937">
        <f>COUNTIF('Metrics - Articles'!F934,"*GCO – Industry Cloud *")</f>
        <v>0</v>
      </c>
      <c r="L937">
        <f>COUNTIF('Metrics - Articles'!F934,"*GCO – Customer Engagement &amp; Commerce (CRM &amp; hybris) *")</f>
        <v>0</v>
      </c>
      <c r="M937">
        <f>COUNTIF('Metrics - Articles'!F934,"*GCO – HR (SuccessFactors)*")</f>
        <v>0</v>
      </c>
      <c r="N937">
        <f>COUNTIF('Metrics - Articles'!F934,"*GCO – Services Sales*")</f>
        <v>0</v>
      </c>
      <c r="O937">
        <f>COUNTIF('Metrics - Articles'!F934,"*GCO – Other*")</f>
        <v>0</v>
      </c>
      <c r="P937">
        <f>COUNTIF('Metrics - Articles'!F934,"*Corporate*")</f>
        <v>0</v>
      </c>
      <c r="R937" s="53">
        <f t="shared" si="16"/>
        <v>0</v>
      </c>
    </row>
    <row r="938" spans="2:18" hidden="1" x14ac:dyDescent="0.25">
      <c r="B938" s="48">
        <f>+'Metrics - Articles'!C935</f>
        <v>0</v>
      </c>
      <c r="C938">
        <f>COUNTIF('Metrics - Articles'!F935,"*GPO (Partner, Ecosystem, Channels)*")</f>
        <v>0</v>
      </c>
      <c r="D938">
        <f>COUNTIF('Metrics - Articles'!F935,"*Office of the CEO*")</f>
        <v>0</v>
      </c>
      <c r="E938">
        <f>COUNTIF('Metrics - Articles'!F935,"*Services Delivery &amp; Support (go-lives and deployments) *")</f>
        <v>0</v>
      </c>
      <c r="F938">
        <f>COUNTIF('Metrics - Articles'!F935,"*Human Resources (SAP HR and employee stories)*")</f>
        <v>0</v>
      </c>
      <c r="G938">
        <f>COUNTIF('Metrics - Articles'!F935,"*P&amp;I (Research &amp; Development)*")</f>
        <v>0</v>
      </c>
      <c r="H938">
        <f>COUNTIF('Metrics - Articles'!F935,"*Business Network (Concur, Ariba, Fieldglass)*")</f>
        <v>0</v>
      </c>
      <c r="I938">
        <f>COUNTIF('Metrics - Articles'!F935,"*GCO – Regions*")</f>
        <v>0</v>
      </c>
      <c r="J938">
        <f>COUNTIF('Metrics - Articles'!F935,"*GCO – Platform Solutions*")</f>
        <v>0</v>
      </c>
      <c r="K938">
        <f>COUNTIF('Metrics - Articles'!F935,"*GCO – Industry Cloud *")</f>
        <v>0</v>
      </c>
      <c r="L938">
        <f>COUNTIF('Metrics - Articles'!F935,"*GCO – Customer Engagement &amp; Commerce (CRM &amp; hybris) *")</f>
        <v>0</v>
      </c>
      <c r="M938">
        <f>COUNTIF('Metrics - Articles'!F935,"*GCO – HR (SuccessFactors)*")</f>
        <v>0</v>
      </c>
      <c r="N938">
        <f>COUNTIF('Metrics - Articles'!F935,"*GCO – Services Sales*")</f>
        <v>0</v>
      </c>
      <c r="O938">
        <f>COUNTIF('Metrics - Articles'!F935,"*GCO – Other*")</f>
        <v>0</v>
      </c>
      <c r="P938">
        <f>COUNTIF('Metrics - Articles'!F935,"*Corporate*")</f>
        <v>0</v>
      </c>
      <c r="R938" s="53">
        <f t="shared" si="16"/>
        <v>0</v>
      </c>
    </row>
    <row r="939" spans="2:18" hidden="1" x14ac:dyDescent="0.25">
      <c r="B939" s="48">
        <f>+'Metrics - Articles'!C936</f>
        <v>0</v>
      </c>
      <c r="C939">
        <f>COUNTIF('Metrics - Articles'!F936,"*GPO (Partner, Ecosystem, Channels)*")</f>
        <v>0</v>
      </c>
      <c r="D939">
        <f>COUNTIF('Metrics - Articles'!F936,"*Office of the CEO*")</f>
        <v>0</v>
      </c>
      <c r="E939">
        <f>COUNTIF('Metrics - Articles'!F936,"*Services Delivery &amp; Support (go-lives and deployments) *")</f>
        <v>0</v>
      </c>
      <c r="F939">
        <f>COUNTIF('Metrics - Articles'!F936,"*Human Resources (SAP HR and employee stories)*")</f>
        <v>0</v>
      </c>
      <c r="G939">
        <f>COUNTIF('Metrics - Articles'!F936,"*P&amp;I (Research &amp; Development)*")</f>
        <v>0</v>
      </c>
      <c r="H939">
        <f>COUNTIF('Metrics - Articles'!F936,"*Business Network (Concur, Ariba, Fieldglass)*")</f>
        <v>0</v>
      </c>
      <c r="I939">
        <f>COUNTIF('Metrics - Articles'!F936,"*GCO – Regions*")</f>
        <v>0</v>
      </c>
      <c r="J939">
        <f>COUNTIF('Metrics - Articles'!F936,"*GCO – Platform Solutions*")</f>
        <v>0</v>
      </c>
      <c r="K939">
        <f>COUNTIF('Metrics - Articles'!F936,"*GCO – Industry Cloud *")</f>
        <v>0</v>
      </c>
      <c r="L939">
        <f>COUNTIF('Metrics - Articles'!F936,"*GCO – Customer Engagement &amp; Commerce (CRM &amp; hybris) *")</f>
        <v>0</v>
      </c>
      <c r="M939">
        <f>COUNTIF('Metrics - Articles'!F936,"*GCO – HR (SuccessFactors)*")</f>
        <v>0</v>
      </c>
      <c r="N939">
        <f>COUNTIF('Metrics - Articles'!F936,"*GCO – Services Sales*")</f>
        <v>0</v>
      </c>
      <c r="O939">
        <f>COUNTIF('Metrics - Articles'!F936,"*GCO – Other*")</f>
        <v>0</v>
      </c>
      <c r="P939">
        <f>COUNTIF('Metrics - Articles'!F936,"*Corporate*")</f>
        <v>0</v>
      </c>
      <c r="R939" s="53">
        <f t="shared" si="16"/>
        <v>0</v>
      </c>
    </row>
    <row r="940" spans="2:18" hidden="1" x14ac:dyDescent="0.25">
      <c r="B940" s="48">
        <f>+'Metrics - Articles'!C937</f>
        <v>0</v>
      </c>
      <c r="C940">
        <f>COUNTIF('Metrics - Articles'!F937,"*GPO (Partner, Ecosystem, Channels)*")</f>
        <v>0</v>
      </c>
      <c r="D940">
        <f>COUNTIF('Metrics - Articles'!F937,"*Office of the CEO*")</f>
        <v>0</v>
      </c>
      <c r="E940">
        <f>COUNTIF('Metrics - Articles'!F937,"*Services Delivery &amp; Support (go-lives and deployments) *")</f>
        <v>0</v>
      </c>
      <c r="F940">
        <f>COUNTIF('Metrics - Articles'!F937,"*Human Resources (SAP HR and employee stories)*")</f>
        <v>0</v>
      </c>
      <c r="G940">
        <f>COUNTIF('Metrics - Articles'!F937,"*P&amp;I (Research &amp; Development)*")</f>
        <v>0</v>
      </c>
      <c r="H940">
        <f>COUNTIF('Metrics - Articles'!F937,"*Business Network (Concur, Ariba, Fieldglass)*")</f>
        <v>0</v>
      </c>
      <c r="I940">
        <f>COUNTIF('Metrics - Articles'!F937,"*GCO – Regions*")</f>
        <v>0</v>
      </c>
      <c r="J940">
        <f>COUNTIF('Metrics - Articles'!F937,"*GCO – Platform Solutions*")</f>
        <v>0</v>
      </c>
      <c r="K940">
        <f>COUNTIF('Metrics - Articles'!F937,"*GCO – Industry Cloud *")</f>
        <v>0</v>
      </c>
      <c r="L940">
        <f>COUNTIF('Metrics - Articles'!F937,"*GCO – Customer Engagement &amp; Commerce (CRM &amp; hybris) *")</f>
        <v>0</v>
      </c>
      <c r="M940">
        <f>COUNTIF('Metrics - Articles'!F937,"*GCO – HR (SuccessFactors)*")</f>
        <v>0</v>
      </c>
      <c r="N940">
        <f>COUNTIF('Metrics - Articles'!F937,"*GCO – Services Sales*")</f>
        <v>0</v>
      </c>
      <c r="O940">
        <f>COUNTIF('Metrics - Articles'!F937,"*GCO – Other*")</f>
        <v>0</v>
      </c>
      <c r="P940">
        <f>COUNTIF('Metrics - Articles'!F937,"*Corporate*")</f>
        <v>0</v>
      </c>
      <c r="R940" s="53">
        <f t="shared" si="16"/>
        <v>0</v>
      </c>
    </row>
    <row r="941" spans="2:18" hidden="1" x14ac:dyDescent="0.25">
      <c r="B941" s="48">
        <f>+'Metrics - Articles'!C938</f>
        <v>0</v>
      </c>
      <c r="C941">
        <f>COUNTIF('Metrics - Articles'!F938,"*GPO (Partner, Ecosystem, Channels)*")</f>
        <v>0</v>
      </c>
      <c r="D941">
        <f>COUNTIF('Metrics - Articles'!F938,"*Office of the CEO*")</f>
        <v>0</v>
      </c>
      <c r="E941">
        <f>COUNTIF('Metrics - Articles'!F938,"*Services Delivery &amp; Support (go-lives and deployments) *")</f>
        <v>0</v>
      </c>
      <c r="F941">
        <f>COUNTIF('Metrics - Articles'!F938,"*Human Resources (SAP HR and employee stories)*")</f>
        <v>0</v>
      </c>
      <c r="G941">
        <f>COUNTIF('Metrics - Articles'!F938,"*P&amp;I (Research &amp; Development)*")</f>
        <v>0</v>
      </c>
      <c r="H941">
        <f>COUNTIF('Metrics - Articles'!F938,"*Business Network (Concur, Ariba, Fieldglass)*")</f>
        <v>0</v>
      </c>
      <c r="I941">
        <f>COUNTIF('Metrics - Articles'!F938,"*GCO – Regions*")</f>
        <v>0</v>
      </c>
      <c r="J941">
        <f>COUNTIF('Metrics - Articles'!F938,"*GCO – Platform Solutions*")</f>
        <v>0</v>
      </c>
      <c r="K941">
        <f>COUNTIF('Metrics - Articles'!F938,"*GCO – Industry Cloud *")</f>
        <v>0</v>
      </c>
      <c r="L941">
        <f>COUNTIF('Metrics - Articles'!F938,"*GCO – Customer Engagement &amp; Commerce (CRM &amp; hybris) *")</f>
        <v>0</v>
      </c>
      <c r="M941">
        <f>COUNTIF('Metrics - Articles'!F938,"*GCO – HR (SuccessFactors)*")</f>
        <v>0</v>
      </c>
      <c r="N941">
        <f>COUNTIF('Metrics - Articles'!F938,"*GCO – Services Sales*")</f>
        <v>0</v>
      </c>
      <c r="O941">
        <f>COUNTIF('Metrics - Articles'!F938,"*GCO – Other*")</f>
        <v>0</v>
      </c>
      <c r="P941">
        <f>COUNTIF('Metrics - Articles'!F938,"*Corporate*")</f>
        <v>0</v>
      </c>
      <c r="R941" s="53">
        <f t="shared" si="16"/>
        <v>0</v>
      </c>
    </row>
    <row r="942" spans="2:18" hidden="1" x14ac:dyDescent="0.25">
      <c r="B942" s="48">
        <f>+'Metrics - Articles'!C939</f>
        <v>0</v>
      </c>
      <c r="C942">
        <f>COUNTIF('Metrics - Articles'!F939,"*GPO (Partner, Ecosystem, Channels)*")</f>
        <v>0</v>
      </c>
      <c r="D942">
        <f>COUNTIF('Metrics - Articles'!F939,"*Office of the CEO*")</f>
        <v>0</v>
      </c>
      <c r="E942">
        <f>COUNTIF('Metrics - Articles'!F939,"*Services Delivery &amp; Support (go-lives and deployments) *")</f>
        <v>0</v>
      </c>
      <c r="F942">
        <f>COUNTIF('Metrics - Articles'!F939,"*Human Resources (SAP HR and employee stories)*")</f>
        <v>0</v>
      </c>
      <c r="G942">
        <f>COUNTIF('Metrics - Articles'!F939,"*P&amp;I (Research &amp; Development)*")</f>
        <v>0</v>
      </c>
      <c r="H942">
        <f>COUNTIF('Metrics - Articles'!F939,"*Business Network (Concur, Ariba, Fieldglass)*")</f>
        <v>0</v>
      </c>
      <c r="I942">
        <f>COUNTIF('Metrics - Articles'!F939,"*GCO – Regions*")</f>
        <v>0</v>
      </c>
      <c r="J942">
        <f>COUNTIF('Metrics - Articles'!F939,"*GCO – Platform Solutions*")</f>
        <v>0</v>
      </c>
      <c r="K942">
        <f>COUNTIF('Metrics - Articles'!F939,"*GCO – Industry Cloud *")</f>
        <v>0</v>
      </c>
      <c r="L942">
        <f>COUNTIF('Metrics - Articles'!F939,"*GCO – Customer Engagement &amp; Commerce (CRM &amp; hybris) *")</f>
        <v>0</v>
      </c>
      <c r="M942">
        <f>COUNTIF('Metrics - Articles'!F939,"*GCO – HR (SuccessFactors)*")</f>
        <v>0</v>
      </c>
      <c r="N942">
        <f>COUNTIF('Metrics - Articles'!F939,"*GCO – Services Sales*")</f>
        <v>0</v>
      </c>
      <c r="O942">
        <f>COUNTIF('Metrics - Articles'!F939,"*GCO – Other*")</f>
        <v>0</v>
      </c>
      <c r="P942">
        <f>COUNTIF('Metrics - Articles'!F939,"*Corporate*")</f>
        <v>0</v>
      </c>
      <c r="R942" s="53">
        <f t="shared" si="16"/>
        <v>0</v>
      </c>
    </row>
    <row r="943" spans="2:18" hidden="1" x14ac:dyDescent="0.25">
      <c r="B943" s="48">
        <f>+'Metrics - Articles'!C940</f>
        <v>0</v>
      </c>
      <c r="C943">
        <f>COUNTIF('Metrics - Articles'!F940,"*GPO (Partner, Ecosystem, Channels)*")</f>
        <v>0</v>
      </c>
      <c r="D943">
        <f>COUNTIF('Metrics - Articles'!F940,"*Office of the CEO*")</f>
        <v>0</v>
      </c>
      <c r="E943">
        <f>COUNTIF('Metrics - Articles'!F940,"*Services Delivery &amp; Support (go-lives and deployments) *")</f>
        <v>0</v>
      </c>
      <c r="F943">
        <f>COUNTIF('Metrics - Articles'!F940,"*Human Resources (SAP HR and employee stories)*")</f>
        <v>0</v>
      </c>
      <c r="G943">
        <f>COUNTIF('Metrics - Articles'!F940,"*P&amp;I (Research &amp; Development)*")</f>
        <v>0</v>
      </c>
      <c r="H943">
        <f>COUNTIF('Metrics - Articles'!F940,"*Business Network (Concur, Ariba, Fieldglass)*")</f>
        <v>0</v>
      </c>
      <c r="I943">
        <f>COUNTIF('Metrics - Articles'!F940,"*GCO – Regions*")</f>
        <v>0</v>
      </c>
      <c r="J943">
        <f>COUNTIF('Metrics - Articles'!F940,"*GCO – Platform Solutions*")</f>
        <v>0</v>
      </c>
      <c r="K943">
        <f>COUNTIF('Metrics - Articles'!F940,"*GCO – Industry Cloud *")</f>
        <v>0</v>
      </c>
      <c r="L943">
        <f>COUNTIF('Metrics - Articles'!F940,"*GCO – Customer Engagement &amp; Commerce (CRM &amp; hybris) *")</f>
        <v>0</v>
      </c>
      <c r="M943">
        <f>COUNTIF('Metrics - Articles'!F940,"*GCO – HR (SuccessFactors)*")</f>
        <v>0</v>
      </c>
      <c r="N943">
        <f>COUNTIF('Metrics - Articles'!F940,"*GCO – Services Sales*")</f>
        <v>0</v>
      </c>
      <c r="O943">
        <f>COUNTIF('Metrics - Articles'!F940,"*GCO – Other*")</f>
        <v>0</v>
      </c>
      <c r="P943">
        <f>COUNTIF('Metrics - Articles'!F940,"*Corporate*")</f>
        <v>0</v>
      </c>
      <c r="R943" s="53">
        <f t="shared" si="16"/>
        <v>0</v>
      </c>
    </row>
    <row r="944" spans="2:18" hidden="1" x14ac:dyDescent="0.25">
      <c r="B944" s="48">
        <f>+'Metrics - Articles'!C941</f>
        <v>0</v>
      </c>
      <c r="C944">
        <f>COUNTIF('Metrics - Articles'!F941,"*GPO (Partner, Ecosystem, Channels)*")</f>
        <v>0</v>
      </c>
      <c r="D944">
        <f>COUNTIF('Metrics - Articles'!F941,"*Office of the CEO*")</f>
        <v>0</v>
      </c>
      <c r="E944">
        <f>COUNTIF('Metrics - Articles'!F941,"*Services Delivery &amp; Support (go-lives and deployments) *")</f>
        <v>0</v>
      </c>
      <c r="F944">
        <f>COUNTIF('Metrics - Articles'!F941,"*Human Resources (SAP HR and employee stories)*")</f>
        <v>0</v>
      </c>
      <c r="G944">
        <f>COUNTIF('Metrics - Articles'!F941,"*P&amp;I (Research &amp; Development)*")</f>
        <v>0</v>
      </c>
      <c r="H944">
        <f>COUNTIF('Metrics - Articles'!F941,"*Business Network (Concur, Ariba, Fieldglass)*")</f>
        <v>0</v>
      </c>
      <c r="I944">
        <f>COUNTIF('Metrics - Articles'!F941,"*GCO – Regions*")</f>
        <v>0</v>
      </c>
      <c r="J944">
        <f>COUNTIF('Metrics - Articles'!F941,"*GCO – Platform Solutions*")</f>
        <v>0</v>
      </c>
      <c r="K944">
        <f>COUNTIF('Metrics - Articles'!F941,"*GCO – Industry Cloud *")</f>
        <v>0</v>
      </c>
      <c r="L944">
        <f>COUNTIF('Metrics - Articles'!F941,"*GCO – Customer Engagement &amp; Commerce (CRM &amp; hybris) *")</f>
        <v>0</v>
      </c>
      <c r="M944">
        <f>COUNTIF('Metrics - Articles'!F941,"*GCO – HR (SuccessFactors)*")</f>
        <v>0</v>
      </c>
      <c r="N944">
        <f>COUNTIF('Metrics - Articles'!F941,"*GCO – Services Sales*")</f>
        <v>0</v>
      </c>
      <c r="O944">
        <f>COUNTIF('Metrics - Articles'!F941,"*GCO – Other*")</f>
        <v>0</v>
      </c>
      <c r="P944">
        <f>COUNTIF('Metrics - Articles'!F941,"*Corporate*")</f>
        <v>0</v>
      </c>
      <c r="R944" s="53">
        <f t="shared" si="16"/>
        <v>0</v>
      </c>
    </row>
    <row r="945" spans="2:18" hidden="1" x14ac:dyDescent="0.25">
      <c r="B945" s="48">
        <f>+'Metrics - Articles'!C942</f>
        <v>0</v>
      </c>
      <c r="C945">
        <f>COUNTIF('Metrics - Articles'!F942,"*GPO (Partner, Ecosystem, Channels)*")</f>
        <v>0</v>
      </c>
      <c r="D945">
        <f>COUNTIF('Metrics - Articles'!F942,"*Office of the CEO*")</f>
        <v>0</v>
      </c>
      <c r="E945">
        <f>COUNTIF('Metrics - Articles'!F942,"*Services Delivery &amp; Support (go-lives and deployments) *")</f>
        <v>0</v>
      </c>
      <c r="F945">
        <f>COUNTIF('Metrics - Articles'!F942,"*Human Resources (SAP HR and employee stories)*")</f>
        <v>0</v>
      </c>
      <c r="G945">
        <f>COUNTIF('Metrics - Articles'!F942,"*P&amp;I (Research &amp; Development)*")</f>
        <v>0</v>
      </c>
      <c r="H945">
        <f>COUNTIF('Metrics - Articles'!F942,"*Business Network (Concur, Ariba, Fieldglass)*")</f>
        <v>0</v>
      </c>
      <c r="I945">
        <f>COUNTIF('Metrics - Articles'!F942,"*GCO – Regions*")</f>
        <v>0</v>
      </c>
      <c r="J945">
        <f>COUNTIF('Metrics - Articles'!F942,"*GCO – Platform Solutions*")</f>
        <v>0</v>
      </c>
      <c r="K945">
        <f>COUNTIF('Metrics - Articles'!F942,"*GCO – Industry Cloud *")</f>
        <v>0</v>
      </c>
      <c r="L945">
        <f>COUNTIF('Metrics - Articles'!F942,"*GCO – Customer Engagement &amp; Commerce (CRM &amp; hybris) *")</f>
        <v>0</v>
      </c>
      <c r="M945">
        <f>COUNTIF('Metrics - Articles'!F942,"*GCO – HR (SuccessFactors)*")</f>
        <v>0</v>
      </c>
      <c r="N945">
        <f>COUNTIF('Metrics - Articles'!F942,"*GCO – Services Sales*")</f>
        <v>0</v>
      </c>
      <c r="O945">
        <f>COUNTIF('Metrics - Articles'!F942,"*GCO – Other*")</f>
        <v>0</v>
      </c>
      <c r="P945">
        <f>COUNTIF('Metrics - Articles'!F942,"*Corporate*")</f>
        <v>0</v>
      </c>
      <c r="R945" s="53">
        <f t="shared" si="16"/>
        <v>0</v>
      </c>
    </row>
    <row r="946" spans="2:18" hidden="1" x14ac:dyDescent="0.25">
      <c r="B946" s="48">
        <f>+'Metrics - Articles'!C943</f>
        <v>0</v>
      </c>
      <c r="C946">
        <f>COUNTIF('Metrics - Articles'!F943,"*GPO (Partner, Ecosystem, Channels)*")</f>
        <v>0</v>
      </c>
      <c r="D946">
        <f>COUNTIF('Metrics - Articles'!F943,"*Office of the CEO*")</f>
        <v>0</v>
      </c>
      <c r="E946">
        <f>COUNTIF('Metrics - Articles'!F943,"*Services Delivery &amp; Support (go-lives and deployments) *")</f>
        <v>0</v>
      </c>
      <c r="F946">
        <f>COUNTIF('Metrics - Articles'!F943,"*Human Resources (SAP HR and employee stories)*")</f>
        <v>0</v>
      </c>
      <c r="G946">
        <f>COUNTIF('Metrics - Articles'!F943,"*P&amp;I (Research &amp; Development)*")</f>
        <v>0</v>
      </c>
      <c r="H946">
        <f>COUNTIF('Metrics - Articles'!F943,"*Business Network (Concur, Ariba, Fieldglass)*")</f>
        <v>0</v>
      </c>
      <c r="I946">
        <f>COUNTIF('Metrics - Articles'!F943,"*GCO – Regions*")</f>
        <v>0</v>
      </c>
      <c r="J946">
        <f>COUNTIF('Metrics - Articles'!F943,"*GCO – Platform Solutions*")</f>
        <v>0</v>
      </c>
      <c r="K946">
        <f>COUNTIF('Metrics - Articles'!F943,"*GCO – Industry Cloud *")</f>
        <v>0</v>
      </c>
      <c r="L946">
        <f>COUNTIF('Metrics - Articles'!F943,"*GCO – Customer Engagement &amp; Commerce (CRM &amp; hybris) *")</f>
        <v>0</v>
      </c>
      <c r="M946">
        <f>COUNTIF('Metrics - Articles'!F943,"*GCO – HR (SuccessFactors)*")</f>
        <v>0</v>
      </c>
      <c r="N946">
        <f>COUNTIF('Metrics - Articles'!F943,"*GCO – Services Sales*")</f>
        <v>0</v>
      </c>
      <c r="O946">
        <f>COUNTIF('Metrics - Articles'!F943,"*GCO – Other*")</f>
        <v>0</v>
      </c>
      <c r="P946">
        <f>COUNTIF('Metrics - Articles'!F943,"*Corporate*")</f>
        <v>0</v>
      </c>
      <c r="R946" s="53">
        <f t="shared" si="16"/>
        <v>0</v>
      </c>
    </row>
    <row r="947" spans="2:18" hidden="1" x14ac:dyDescent="0.25">
      <c r="B947" s="48">
        <f>+'Metrics - Articles'!C944</f>
        <v>0</v>
      </c>
      <c r="C947">
        <f>COUNTIF('Metrics - Articles'!F944,"*GPO (Partner, Ecosystem, Channels)*")</f>
        <v>0</v>
      </c>
      <c r="D947">
        <f>COUNTIF('Metrics - Articles'!F944,"*Office of the CEO*")</f>
        <v>0</v>
      </c>
      <c r="E947">
        <f>COUNTIF('Metrics - Articles'!F944,"*Services Delivery &amp; Support (go-lives and deployments) *")</f>
        <v>0</v>
      </c>
      <c r="F947">
        <f>COUNTIF('Metrics - Articles'!F944,"*Human Resources (SAP HR and employee stories)*")</f>
        <v>0</v>
      </c>
      <c r="G947">
        <f>COUNTIF('Metrics - Articles'!F944,"*P&amp;I (Research &amp; Development)*")</f>
        <v>0</v>
      </c>
      <c r="H947">
        <f>COUNTIF('Metrics - Articles'!F944,"*Business Network (Concur, Ariba, Fieldglass)*")</f>
        <v>0</v>
      </c>
      <c r="I947">
        <f>COUNTIF('Metrics - Articles'!F944,"*GCO – Regions*")</f>
        <v>0</v>
      </c>
      <c r="J947">
        <f>COUNTIF('Metrics - Articles'!F944,"*GCO – Platform Solutions*")</f>
        <v>0</v>
      </c>
      <c r="K947">
        <f>COUNTIF('Metrics - Articles'!F944,"*GCO – Industry Cloud *")</f>
        <v>0</v>
      </c>
      <c r="L947">
        <f>COUNTIF('Metrics - Articles'!F944,"*GCO – Customer Engagement &amp; Commerce (CRM &amp; hybris) *")</f>
        <v>0</v>
      </c>
      <c r="M947">
        <f>COUNTIF('Metrics - Articles'!F944,"*GCO – HR (SuccessFactors)*")</f>
        <v>0</v>
      </c>
      <c r="N947">
        <f>COUNTIF('Metrics - Articles'!F944,"*GCO – Services Sales*")</f>
        <v>0</v>
      </c>
      <c r="O947">
        <f>COUNTIF('Metrics - Articles'!F944,"*GCO – Other*")</f>
        <v>0</v>
      </c>
      <c r="P947">
        <f>COUNTIF('Metrics - Articles'!F944,"*Corporate*")</f>
        <v>0</v>
      </c>
      <c r="R947" s="53">
        <f t="shared" si="16"/>
        <v>0</v>
      </c>
    </row>
    <row r="948" spans="2:18" hidden="1" x14ac:dyDescent="0.25">
      <c r="B948" s="48">
        <f>+'Metrics - Articles'!C945</f>
        <v>0</v>
      </c>
      <c r="C948">
        <f>COUNTIF('Metrics - Articles'!F945,"*GPO (Partner, Ecosystem, Channels)*")</f>
        <v>0</v>
      </c>
      <c r="D948">
        <f>COUNTIF('Metrics - Articles'!F945,"*Office of the CEO*")</f>
        <v>0</v>
      </c>
      <c r="E948">
        <f>COUNTIF('Metrics - Articles'!F945,"*Services Delivery &amp; Support (go-lives and deployments) *")</f>
        <v>0</v>
      </c>
      <c r="F948">
        <f>COUNTIF('Metrics - Articles'!F945,"*Human Resources (SAP HR and employee stories)*")</f>
        <v>0</v>
      </c>
      <c r="G948">
        <f>COUNTIF('Metrics - Articles'!F945,"*P&amp;I (Research &amp; Development)*")</f>
        <v>0</v>
      </c>
      <c r="H948">
        <f>COUNTIF('Metrics - Articles'!F945,"*Business Network (Concur, Ariba, Fieldglass)*")</f>
        <v>0</v>
      </c>
      <c r="I948">
        <f>COUNTIF('Metrics - Articles'!F945,"*GCO – Regions*")</f>
        <v>0</v>
      </c>
      <c r="J948">
        <f>COUNTIF('Metrics - Articles'!F945,"*GCO – Platform Solutions*")</f>
        <v>0</v>
      </c>
      <c r="K948">
        <f>COUNTIF('Metrics - Articles'!F945,"*GCO – Industry Cloud *")</f>
        <v>0</v>
      </c>
      <c r="L948">
        <f>COUNTIF('Metrics - Articles'!F945,"*GCO – Customer Engagement &amp; Commerce (CRM &amp; hybris) *")</f>
        <v>0</v>
      </c>
      <c r="M948">
        <f>COUNTIF('Metrics - Articles'!F945,"*GCO – HR (SuccessFactors)*")</f>
        <v>0</v>
      </c>
      <c r="N948">
        <f>COUNTIF('Metrics - Articles'!F945,"*GCO – Services Sales*")</f>
        <v>0</v>
      </c>
      <c r="O948">
        <f>COUNTIF('Metrics - Articles'!F945,"*GCO – Other*")</f>
        <v>0</v>
      </c>
      <c r="P948">
        <f>COUNTIF('Metrics - Articles'!F945,"*Corporate*")</f>
        <v>0</v>
      </c>
      <c r="R948" s="53">
        <f t="shared" si="16"/>
        <v>0</v>
      </c>
    </row>
    <row r="949" spans="2:18" hidden="1" x14ac:dyDescent="0.25">
      <c r="B949" s="48">
        <f>+'Metrics - Articles'!C946</f>
        <v>0</v>
      </c>
      <c r="C949">
        <f>COUNTIF('Metrics - Articles'!F946,"*GPO (Partner, Ecosystem, Channels)*")</f>
        <v>0</v>
      </c>
      <c r="D949">
        <f>COUNTIF('Metrics - Articles'!F946,"*Office of the CEO*")</f>
        <v>0</v>
      </c>
      <c r="E949">
        <f>COUNTIF('Metrics - Articles'!F946,"*Services Delivery &amp; Support (go-lives and deployments) *")</f>
        <v>0</v>
      </c>
      <c r="F949">
        <f>COUNTIF('Metrics - Articles'!F946,"*Human Resources (SAP HR and employee stories)*")</f>
        <v>0</v>
      </c>
      <c r="G949">
        <f>COUNTIF('Metrics - Articles'!F946,"*P&amp;I (Research &amp; Development)*")</f>
        <v>0</v>
      </c>
      <c r="H949">
        <f>COUNTIF('Metrics - Articles'!F946,"*Business Network (Concur, Ariba, Fieldglass)*")</f>
        <v>0</v>
      </c>
      <c r="I949">
        <f>COUNTIF('Metrics - Articles'!F946,"*GCO – Regions*")</f>
        <v>0</v>
      </c>
      <c r="J949">
        <f>COUNTIF('Metrics - Articles'!F946,"*GCO – Platform Solutions*")</f>
        <v>0</v>
      </c>
      <c r="K949">
        <f>COUNTIF('Metrics - Articles'!F946,"*GCO – Industry Cloud *")</f>
        <v>0</v>
      </c>
      <c r="L949">
        <f>COUNTIF('Metrics - Articles'!F946,"*GCO – Customer Engagement &amp; Commerce (CRM &amp; hybris) *")</f>
        <v>0</v>
      </c>
      <c r="M949">
        <f>COUNTIF('Metrics - Articles'!F946,"*GCO – HR (SuccessFactors)*")</f>
        <v>0</v>
      </c>
      <c r="N949">
        <f>COUNTIF('Metrics - Articles'!F946,"*GCO – Services Sales*")</f>
        <v>0</v>
      </c>
      <c r="O949">
        <f>COUNTIF('Metrics - Articles'!F946,"*GCO – Other*")</f>
        <v>0</v>
      </c>
      <c r="P949">
        <f>COUNTIF('Metrics - Articles'!F946,"*Corporate*")</f>
        <v>0</v>
      </c>
      <c r="R949" s="53">
        <f t="shared" si="16"/>
        <v>0</v>
      </c>
    </row>
    <row r="950" spans="2:18" hidden="1" x14ac:dyDescent="0.25">
      <c r="B950" s="48">
        <f>+'Metrics - Articles'!C947</f>
        <v>0</v>
      </c>
      <c r="C950">
        <f>COUNTIF('Metrics - Articles'!F947,"*GPO (Partner, Ecosystem, Channels)*")</f>
        <v>0</v>
      </c>
      <c r="D950">
        <f>COUNTIF('Metrics - Articles'!F947,"*Office of the CEO*")</f>
        <v>0</v>
      </c>
      <c r="E950">
        <f>COUNTIF('Metrics - Articles'!F947,"*Services Delivery &amp; Support (go-lives and deployments) *")</f>
        <v>0</v>
      </c>
      <c r="F950">
        <f>COUNTIF('Metrics - Articles'!F947,"*Human Resources (SAP HR and employee stories)*")</f>
        <v>0</v>
      </c>
      <c r="G950">
        <f>COUNTIF('Metrics - Articles'!F947,"*P&amp;I (Research &amp; Development)*")</f>
        <v>0</v>
      </c>
      <c r="H950">
        <f>COUNTIF('Metrics - Articles'!F947,"*Business Network (Concur, Ariba, Fieldglass)*")</f>
        <v>0</v>
      </c>
      <c r="I950">
        <f>COUNTIF('Metrics - Articles'!F947,"*GCO – Regions*")</f>
        <v>0</v>
      </c>
      <c r="J950">
        <f>COUNTIF('Metrics - Articles'!F947,"*GCO – Platform Solutions*")</f>
        <v>0</v>
      </c>
      <c r="K950">
        <f>COUNTIF('Metrics - Articles'!F947,"*GCO – Industry Cloud *")</f>
        <v>0</v>
      </c>
      <c r="L950">
        <f>COUNTIF('Metrics - Articles'!F947,"*GCO – Customer Engagement &amp; Commerce (CRM &amp; hybris) *")</f>
        <v>0</v>
      </c>
      <c r="M950">
        <f>COUNTIF('Metrics - Articles'!F947,"*GCO – HR (SuccessFactors)*")</f>
        <v>0</v>
      </c>
      <c r="N950">
        <f>COUNTIF('Metrics - Articles'!F947,"*GCO – Services Sales*")</f>
        <v>0</v>
      </c>
      <c r="O950">
        <f>COUNTIF('Metrics - Articles'!F947,"*GCO – Other*")</f>
        <v>0</v>
      </c>
      <c r="P950">
        <f>COUNTIF('Metrics - Articles'!F947,"*Corporate*")</f>
        <v>0</v>
      </c>
      <c r="R950" s="53">
        <f t="shared" si="16"/>
        <v>0</v>
      </c>
    </row>
    <row r="951" spans="2:18" hidden="1" x14ac:dyDescent="0.25">
      <c r="B951" s="48">
        <f>+'Metrics - Articles'!C948</f>
        <v>0</v>
      </c>
      <c r="C951">
        <f>COUNTIF('Metrics - Articles'!F948,"*GPO (Partner, Ecosystem, Channels)*")</f>
        <v>0</v>
      </c>
      <c r="D951">
        <f>COUNTIF('Metrics - Articles'!F948,"*Office of the CEO*")</f>
        <v>0</v>
      </c>
      <c r="E951">
        <f>COUNTIF('Metrics - Articles'!F948,"*Services Delivery &amp; Support (go-lives and deployments) *")</f>
        <v>0</v>
      </c>
      <c r="F951">
        <f>COUNTIF('Metrics - Articles'!F948,"*Human Resources (SAP HR and employee stories)*")</f>
        <v>0</v>
      </c>
      <c r="G951">
        <f>COUNTIF('Metrics - Articles'!F948,"*P&amp;I (Research &amp; Development)*")</f>
        <v>0</v>
      </c>
      <c r="H951">
        <f>COUNTIF('Metrics - Articles'!F948,"*Business Network (Concur, Ariba, Fieldglass)*")</f>
        <v>0</v>
      </c>
      <c r="I951">
        <f>COUNTIF('Metrics - Articles'!F948,"*GCO – Regions*")</f>
        <v>0</v>
      </c>
      <c r="J951">
        <f>COUNTIF('Metrics - Articles'!F948,"*GCO – Platform Solutions*")</f>
        <v>0</v>
      </c>
      <c r="K951">
        <f>COUNTIF('Metrics - Articles'!F948,"*GCO – Industry Cloud *")</f>
        <v>0</v>
      </c>
      <c r="L951">
        <f>COUNTIF('Metrics - Articles'!F948,"*GCO – Customer Engagement &amp; Commerce (CRM &amp; hybris) *")</f>
        <v>0</v>
      </c>
      <c r="M951">
        <f>COUNTIF('Metrics - Articles'!F948,"*GCO – HR (SuccessFactors)*")</f>
        <v>0</v>
      </c>
      <c r="N951">
        <f>COUNTIF('Metrics - Articles'!F948,"*GCO – Services Sales*")</f>
        <v>0</v>
      </c>
      <c r="O951">
        <f>COUNTIF('Metrics - Articles'!F948,"*GCO – Other*")</f>
        <v>0</v>
      </c>
      <c r="P951">
        <f>COUNTIF('Metrics - Articles'!F948,"*Corporate*")</f>
        <v>0</v>
      </c>
      <c r="R951" s="53">
        <f t="shared" si="16"/>
        <v>0</v>
      </c>
    </row>
    <row r="952" spans="2:18" hidden="1" x14ac:dyDescent="0.25">
      <c r="B952" s="48">
        <f>+'Metrics - Articles'!C949</f>
        <v>0</v>
      </c>
      <c r="C952">
        <f>COUNTIF('Metrics - Articles'!F949,"*GPO (Partner, Ecosystem, Channels)*")</f>
        <v>0</v>
      </c>
      <c r="D952">
        <f>COUNTIF('Metrics - Articles'!F949,"*Office of the CEO*")</f>
        <v>0</v>
      </c>
      <c r="E952">
        <f>COUNTIF('Metrics - Articles'!F949,"*Services Delivery &amp; Support (go-lives and deployments) *")</f>
        <v>0</v>
      </c>
      <c r="F952">
        <f>COUNTIF('Metrics - Articles'!F949,"*Human Resources (SAP HR and employee stories)*")</f>
        <v>0</v>
      </c>
      <c r="G952">
        <f>COUNTIF('Metrics - Articles'!F949,"*P&amp;I (Research &amp; Development)*")</f>
        <v>0</v>
      </c>
      <c r="H952">
        <f>COUNTIF('Metrics - Articles'!F949,"*Business Network (Concur, Ariba, Fieldglass)*")</f>
        <v>0</v>
      </c>
      <c r="I952">
        <f>COUNTIF('Metrics - Articles'!F949,"*GCO – Regions*")</f>
        <v>0</v>
      </c>
      <c r="J952">
        <f>COUNTIF('Metrics - Articles'!F949,"*GCO – Platform Solutions*")</f>
        <v>0</v>
      </c>
      <c r="K952">
        <f>COUNTIF('Metrics - Articles'!F949,"*GCO – Industry Cloud *")</f>
        <v>0</v>
      </c>
      <c r="L952">
        <f>COUNTIF('Metrics - Articles'!F949,"*GCO – Customer Engagement &amp; Commerce (CRM &amp; hybris) *")</f>
        <v>0</v>
      </c>
      <c r="M952">
        <f>COUNTIF('Metrics - Articles'!F949,"*GCO – HR (SuccessFactors)*")</f>
        <v>0</v>
      </c>
      <c r="N952">
        <f>COUNTIF('Metrics - Articles'!F949,"*GCO – Services Sales*")</f>
        <v>0</v>
      </c>
      <c r="O952">
        <f>COUNTIF('Metrics - Articles'!F949,"*GCO – Other*")</f>
        <v>0</v>
      </c>
      <c r="P952">
        <f>COUNTIF('Metrics - Articles'!F949,"*Corporate*")</f>
        <v>0</v>
      </c>
      <c r="R952" s="53">
        <f t="shared" si="16"/>
        <v>0</v>
      </c>
    </row>
    <row r="953" spans="2:18" hidden="1" x14ac:dyDescent="0.25">
      <c r="B953" s="48">
        <f>+'Metrics - Articles'!C950</f>
        <v>0</v>
      </c>
      <c r="C953">
        <f>COUNTIF('Metrics - Articles'!F950,"*GPO (Partner, Ecosystem, Channels)*")</f>
        <v>0</v>
      </c>
      <c r="D953">
        <f>COUNTIF('Metrics - Articles'!F950,"*Office of the CEO*")</f>
        <v>0</v>
      </c>
      <c r="E953">
        <f>COUNTIF('Metrics - Articles'!F950,"*Services Delivery &amp; Support (go-lives and deployments) *")</f>
        <v>0</v>
      </c>
      <c r="F953">
        <f>COUNTIF('Metrics - Articles'!F950,"*Human Resources (SAP HR and employee stories)*")</f>
        <v>0</v>
      </c>
      <c r="G953">
        <f>COUNTIF('Metrics - Articles'!F950,"*P&amp;I (Research &amp; Development)*")</f>
        <v>0</v>
      </c>
      <c r="H953">
        <f>COUNTIF('Metrics - Articles'!F950,"*Business Network (Concur, Ariba, Fieldglass)*")</f>
        <v>0</v>
      </c>
      <c r="I953">
        <f>COUNTIF('Metrics - Articles'!F950,"*GCO – Regions*")</f>
        <v>0</v>
      </c>
      <c r="J953">
        <f>COUNTIF('Metrics - Articles'!F950,"*GCO – Platform Solutions*")</f>
        <v>0</v>
      </c>
      <c r="K953">
        <f>COUNTIF('Metrics - Articles'!F950,"*GCO – Industry Cloud *")</f>
        <v>0</v>
      </c>
      <c r="L953">
        <f>COUNTIF('Metrics - Articles'!F950,"*GCO – Customer Engagement &amp; Commerce (CRM &amp; hybris) *")</f>
        <v>0</v>
      </c>
      <c r="M953">
        <f>COUNTIF('Metrics - Articles'!F950,"*GCO – HR (SuccessFactors)*")</f>
        <v>0</v>
      </c>
      <c r="N953">
        <f>COUNTIF('Metrics - Articles'!F950,"*GCO – Services Sales*")</f>
        <v>0</v>
      </c>
      <c r="O953">
        <f>COUNTIF('Metrics - Articles'!F950,"*GCO – Other*")</f>
        <v>0</v>
      </c>
      <c r="P953">
        <f>COUNTIF('Metrics - Articles'!F950,"*Corporate*")</f>
        <v>0</v>
      </c>
      <c r="R953" s="53">
        <f t="shared" si="16"/>
        <v>0</v>
      </c>
    </row>
    <row r="954" spans="2:18" hidden="1" x14ac:dyDescent="0.25">
      <c r="B954" s="48">
        <f>+'Metrics - Articles'!C951</f>
        <v>0</v>
      </c>
      <c r="C954">
        <f>COUNTIF('Metrics - Articles'!F951,"*GPO (Partner, Ecosystem, Channels)*")</f>
        <v>0</v>
      </c>
      <c r="D954">
        <f>COUNTIF('Metrics - Articles'!F951,"*Office of the CEO*")</f>
        <v>0</v>
      </c>
      <c r="E954">
        <f>COUNTIF('Metrics - Articles'!F951,"*Services Delivery &amp; Support (go-lives and deployments) *")</f>
        <v>0</v>
      </c>
      <c r="F954">
        <f>COUNTIF('Metrics - Articles'!F951,"*Human Resources (SAP HR and employee stories)*")</f>
        <v>0</v>
      </c>
      <c r="G954">
        <f>COUNTIF('Metrics - Articles'!F951,"*P&amp;I (Research &amp; Development)*")</f>
        <v>0</v>
      </c>
      <c r="H954">
        <f>COUNTIF('Metrics - Articles'!F951,"*Business Network (Concur, Ariba, Fieldglass)*")</f>
        <v>0</v>
      </c>
      <c r="I954">
        <f>COUNTIF('Metrics - Articles'!F951,"*GCO – Regions*")</f>
        <v>0</v>
      </c>
      <c r="J954">
        <f>COUNTIF('Metrics - Articles'!F951,"*GCO – Platform Solutions*")</f>
        <v>0</v>
      </c>
      <c r="K954">
        <f>COUNTIF('Metrics - Articles'!F951,"*GCO – Industry Cloud *")</f>
        <v>0</v>
      </c>
      <c r="L954">
        <f>COUNTIF('Metrics - Articles'!F951,"*GCO – Customer Engagement &amp; Commerce (CRM &amp; hybris) *")</f>
        <v>0</v>
      </c>
      <c r="M954">
        <f>COUNTIF('Metrics - Articles'!F951,"*GCO – HR (SuccessFactors)*")</f>
        <v>0</v>
      </c>
      <c r="N954">
        <f>COUNTIF('Metrics - Articles'!F951,"*GCO – Services Sales*")</f>
        <v>0</v>
      </c>
      <c r="O954">
        <f>COUNTIF('Metrics - Articles'!F951,"*GCO – Other*")</f>
        <v>0</v>
      </c>
      <c r="P954">
        <f>COUNTIF('Metrics - Articles'!F951,"*Corporate*")</f>
        <v>0</v>
      </c>
      <c r="R954" s="53">
        <f t="shared" si="16"/>
        <v>0</v>
      </c>
    </row>
    <row r="955" spans="2:18" hidden="1" x14ac:dyDescent="0.25">
      <c r="B955" s="48">
        <f>+'Metrics - Articles'!C952</f>
        <v>0</v>
      </c>
      <c r="C955">
        <f>COUNTIF('Metrics - Articles'!F952,"*GPO (Partner, Ecosystem, Channels)*")</f>
        <v>0</v>
      </c>
      <c r="D955">
        <f>COUNTIF('Metrics - Articles'!F952,"*Office of the CEO*")</f>
        <v>0</v>
      </c>
      <c r="E955">
        <f>COUNTIF('Metrics - Articles'!F952,"*Services Delivery &amp; Support (go-lives and deployments) *")</f>
        <v>0</v>
      </c>
      <c r="F955">
        <f>COUNTIF('Metrics - Articles'!F952,"*Human Resources (SAP HR and employee stories)*")</f>
        <v>0</v>
      </c>
      <c r="G955">
        <f>COUNTIF('Metrics - Articles'!F952,"*P&amp;I (Research &amp; Development)*")</f>
        <v>0</v>
      </c>
      <c r="H955">
        <f>COUNTIF('Metrics - Articles'!F952,"*Business Network (Concur, Ariba, Fieldglass)*")</f>
        <v>0</v>
      </c>
      <c r="I955">
        <f>COUNTIF('Metrics - Articles'!F952,"*GCO – Regions*")</f>
        <v>0</v>
      </c>
      <c r="J955">
        <f>COUNTIF('Metrics - Articles'!F952,"*GCO – Platform Solutions*")</f>
        <v>0</v>
      </c>
      <c r="K955">
        <f>COUNTIF('Metrics - Articles'!F952,"*GCO – Industry Cloud *")</f>
        <v>0</v>
      </c>
      <c r="L955">
        <f>COUNTIF('Metrics - Articles'!F952,"*GCO – Customer Engagement &amp; Commerce (CRM &amp; hybris) *")</f>
        <v>0</v>
      </c>
      <c r="M955">
        <f>COUNTIF('Metrics - Articles'!F952,"*GCO – HR (SuccessFactors)*")</f>
        <v>0</v>
      </c>
      <c r="N955">
        <f>COUNTIF('Metrics - Articles'!F952,"*GCO – Services Sales*")</f>
        <v>0</v>
      </c>
      <c r="O955">
        <f>COUNTIF('Metrics - Articles'!F952,"*GCO – Other*")</f>
        <v>0</v>
      </c>
      <c r="P955">
        <f>COUNTIF('Metrics - Articles'!F952,"*Corporate*")</f>
        <v>0</v>
      </c>
      <c r="R955" s="53">
        <f t="shared" si="16"/>
        <v>0</v>
      </c>
    </row>
    <row r="956" spans="2:18" hidden="1" x14ac:dyDescent="0.25">
      <c r="B956" s="48">
        <f>+'Metrics - Articles'!C953</f>
        <v>0</v>
      </c>
      <c r="C956">
        <f>COUNTIF('Metrics - Articles'!F953,"*GPO (Partner, Ecosystem, Channels)*")</f>
        <v>0</v>
      </c>
      <c r="D956">
        <f>COUNTIF('Metrics - Articles'!F953,"*Office of the CEO*")</f>
        <v>0</v>
      </c>
      <c r="E956">
        <f>COUNTIF('Metrics - Articles'!F953,"*Services Delivery &amp; Support (go-lives and deployments) *")</f>
        <v>0</v>
      </c>
      <c r="F956">
        <f>COUNTIF('Metrics - Articles'!F953,"*Human Resources (SAP HR and employee stories)*")</f>
        <v>0</v>
      </c>
      <c r="G956">
        <f>COUNTIF('Metrics - Articles'!F953,"*P&amp;I (Research &amp; Development)*")</f>
        <v>0</v>
      </c>
      <c r="H956">
        <f>COUNTIF('Metrics - Articles'!F953,"*Business Network (Concur, Ariba, Fieldglass)*")</f>
        <v>0</v>
      </c>
      <c r="I956">
        <f>COUNTIF('Metrics - Articles'!F953,"*GCO – Regions*")</f>
        <v>0</v>
      </c>
      <c r="J956">
        <f>COUNTIF('Metrics - Articles'!F953,"*GCO – Platform Solutions*")</f>
        <v>0</v>
      </c>
      <c r="K956">
        <f>COUNTIF('Metrics - Articles'!F953,"*GCO – Industry Cloud *")</f>
        <v>0</v>
      </c>
      <c r="L956">
        <f>COUNTIF('Metrics - Articles'!F953,"*GCO – Customer Engagement &amp; Commerce (CRM &amp; hybris) *")</f>
        <v>0</v>
      </c>
      <c r="M956">
        <f>COUNTIF('Metrics - Articles'!F953,"*GCO – HR (SuccessFactors)*")</f>
        <v>0</v>
      </c>
      <c r="N956">
        <f>COUNTIF('Metrics - Articles'!F953,"*GCO – Services Sales*")</f>
        <v>0</v>
      </c>
      <c r="O956">
        <f>COUNTIF('Metrics - Articles'!F953,"*GCO – Other*")</f>
        <v>0</v>
      </c>
      <c r="P956">
        <f>COUNTIF('Metrics - Articles'!F953,"*Corporate*")</f>
        <v>0</v>
      </c>
      <c r="R956" s="53">
        <f t="shared" si="16"/>
        <v>0</v>
      </c>
    </row>
    <row r="957" spans="2:18" hidden="1" x14ac:dyDescent="0.25">
      <c r="B957" s="48">
        <f>+'Metrics - Articles'!C954</f>
        <v>0</v>
      </c>
      <c r="C957">
        <f>COUNTIF('Metrics - Articles'!F954,"*GPO (Partner, Ecosystem, Channels)*")</f>
        <v>0</v>
      </c>
      <c r="D957">
        <f>COUNTIF('Metrics - Articles'!F954,"*Office of the CEO*")</f>
        <v>0</v>
      </c>
      <c r="E957">
        <f>COUNTIF('Metrics - Articles'!F954,"*Services Delivery &amp; Support (go-lives and deployments) *")</f>
        <v>0</v>
      </c>
      <c r="F957">
        <f>COUNTIF('Metrics - Articles'!F954,"*Human Resources (SAP HR and employee stories)*")</f>
        <v>0</v>
      </c>
      <c r="G957">
        <f>COUNTIF('Metrics - Articles'!F954,"*P&amp;I (Research &amp; Development)*")</f>
        <v>0</v>
      </c>
      <c r="H957">
        <f>COUNTIF('Metrics - Articles'!F954,"*Business Network (Concur, Ariba, Fieldglass)*")</f>
        <v>0</v>
      </c>
      <c r="I957">
        <f>COUNTIF('Metrics - Articles'!F954,"*GCO – Regions*")</f>
        <v>0</v>
      </c>
      <c r="J957">
        <f>COUNTIF('Metrics - Articles'!F954,"*GCO – Platform Solutions*")</f>
        <v>0</v>
      </c>
      <c r="K957">
        <f>COUNTIF('Metrics - Articles'!F954,"*GCO – Industry Cloud *")</f>
        <v>0</v>
      </c>
      <c r="L957">
        <f>COUNTIF('Metrics - Articles'!F954,"*GCO – Customer Engagement &amp; Commerce (CRM &amp; hybris) *")</f>
        <v>0</v>
      </c>
      <c r="M957">
        <f>COUNTIF('Metrics - Articles'!F954,"*GCO – HR (SuccessFactors)*")</f>
        <v>0</v>
      </c>
      <c r="N957">
        <f>COUNTIF('Metrics - Articles'!F954,"*GCO – Services Sales*")</f>
        <v>0</v>
      </c>
      <c r="O957">
        <f>COUNTIF('Metrics - Articles'!F954,"*GCO – Other*")</f>
        <v>0</v>
      </c>
      <c r="P957">
        <f>COUNTIF('Metrics - Articles'!F954,"*Corporate*")</f>
        <v>0</v>
      </c>
      <c r="R957" s="53">
        <f t="shared" si="16"/>
        <v>0</v>
      </c>
    </row>
    <row r="958" spans="2:18" hidden="1" x14ac:dyDescent="0.25">
      <c r="B958" s="48">
        <f>+'Metrics - Articles'!C955</f>
        <v>0</v>
      </c>
      <c r="C958">
        <f>COUNTIF('Metrics - Articles'!F955,"*GPO (Partner, Ecosystem, Channels)*")</f>
        <v>0</v>
      </c>
      <c r="D958">
        <f>COUNTIF('Metrics - Articles'!F955,"*Office of the CEO*")</f>
        <v>0</v>
      </c>
      <c r="E958">
        <f>COUNTIF('Metrics - Articles'!F955,"*Services Delivery &amp; Support (go-lives and deployments) *")</f>
        <v>0</v>
      </c>
      <c r="F958">
        <f>COUNTIF('Metrics - Articles'!F955,"*Human Resources (SAP HR and employee stories)*")</f>
        <v>0</v>
      </c>
      <c r="G958">
        <f>COUNTIF('Metrics - Articles'!F955,"*P&amp;I (Research &amp; Development)*")</f>
        <v>0</v>
      </c>
      <c r="H958">
        <f>COUNTIF('Metrics - Articles'!F955,"*Business Network (Concur, Ariba, Fieldglass)*")</f>
        <v>0</v>
      </c>
      <c r="I958">
        <f>COUNTIF('Metrics - Articles'!F955,"*GCO – Regions*")</f>
        <v>0</v>
      </c>
      <c r="J958">
        <f>COUNTIF('Metrics - Articles'!F955,"*GCO – Platform Solutions*")</f>
        <v>0</v>
      </c>
      <c r="K958">
        <f>COUNTIF('Metrics - Articles'!F955,"*GCO – Industry Cloud *")</f>
        <v>0</v>
      </c>
      <c r="L958">
        <f>COUNTIF('Metrics - Articles'!F955,"*GCO – Customer Engagement &amp; Commerce (CRM &amp; hybris) *")</f>
        <v>0</v>
      </c>
      <c r="M958">
        <f>COUNTIF('Metrics - Articles'!F955,"*GCO – HR (SuccessFactors)*")</f>
        <v>0</v>
      </c>
      <c r="N958">
        <f>COUNTIF('Metrics - Articles'!F955,"*GCO – Services Sales*")</f>
        <v>0</v>
      </c>
      <c r="O958">
        <f>COUNTIF('Metrics - Articles'!F955,"*GCO – Other*")</f>
        <v>0</v>
      </c>
      <c r="P958">
        <f>COUNTIF('Metrics - Articles'!F955,"*Corporate*")</f>
        <v>0</v>
      </c>
      <c r="R958" s="53">
        <f t="shared" si="16"/>
        <v>0</v>
      </c>
    </row>
    <row r="959" spans="2:18" hidden="1" x14ac:dyDescent="0.25">
      <c r="B959" s="48">
        <f>+'Metrics - Articles'!C956</f>
        <v>0</v>
      </c>
      <c r="C959">
        <f>COUNTIF('Metrics - Articles'!F956,"*GPO (Partner, Ecosystem, Channels)*")</f>
        <v>0</v>
      </c>
      <c r="D959">
        <f>COUNTIF('Metrics - Articles'!F956,"*Office of the CEO*")</f>
        <v>0</v>
      </c>
      <c r="E959">
        <f>COUNTIF('Metrics - Articles'!F956,"*Services Delivery &amp; Support (go-lives and deployments) *")</f>
        <v>0</v>
      </c>
      <c r="F959">
        <f>COUNTIF('Metrics - Articles'!F956,"*Human Resources (SAP HR and employee stories)*")</f>
        <v>0</v>
      </c>
      <c r="G959">
        <f>COUNTIF('Metrics - Articles'!F956,"*P&amp;I (Research &amp; Development)*")</f>
        <v>0</v>
      </c>
      <c r="H959">
        <f>COUNTIF('Metrics - Articles'!F956,"*Business Network (Concur, Ariba, Fieldglass)*")</f>
        <v>0</v>
      </c>
      <c r="I959">
        <f>COUNTIF('Metrics - Articles'!F956,"*GCO – Regions*")</f>
        <v>0</v>
      </c>
      <c r="J959">
        <f>COUNTIF('Metrics - Articles'!F956,"*GCO – Platform Solutions*")</f>
        <v>0</v>
      </c>
      <c r="K959">
        <f>COUNTIF('Metrics - Articles'!F956,"*GCO – Industry Cloud *")</f>
        <v>0</v>
      </c>
      <c r="L959">
        <f>COUNTIF('Metrics - Articles'!F956,"*GCO – Customer Engagement &amp; Commerce (CRM &amp; hybris) *")</f>
        <v>0</v>
      </c>
      <c r="M959">
        <f>COUNTIF('Metrics - Articles'!F956,"*GCO – HR (SuccessFactors)*")</f>
        <v>0</v>
      </c>
      <c r="N959">
        <f>COUNTIF('Metrics - Articles'!F956,"*GCO – Services Sales*")</f>
        <v>0</v>
      </c>
      <c r="O959">
        <f>COUNTIF('Metrics - Articles'!F956,"*GCO – Other*")</f>
        <v>0</v>
      </c>
      <c r="P959">
        <f>COUNTIF('Metrics - Articles'!F956,"*Corporate*")</f>
        <v>0</v>
      </c>
      <c r="R959" s="53">
        <f t="shared" si="16"/>
        <v>0</v>
      </c>
    </row>
    <row r="960" spans="2:18" hidden="1" x14ac:dyDescent="0.25">
      <c r="B960" s="48">
        <f>+'Metrics - Articles'!C957</f>
        <v>0</v>
      </c>
      <c r="C960">
        <f>COUNTIF('Metrics - Articles'!F957,"*GPO (Partner, Ecosystem, Channels)*")</f>
        <v>0</v>
      </c>
      <c r="D960">
        <f>COUNTIF('Metrics - Articles'!F957,"*Office of the CEO*")</f>
        <v>0</v>
      </c>
      <c r="E960">
        <f>COUNTIF('Metrics - Articles'!F957,"*Services Delivery &amp; Support (go-lives and deployments) *")</f>
        <v>0</v>
      </c>
      <c r="F960">
        <f>COUNTIF('Metrics - Articles'!F957,"*Human Resources (SAP HR and employee stories)*")</f>
        <v>0</v>
      </c>
      <c r="G960">
        <f>COUNTIF('Metrics - Articles'!F957,"*P&amp;I (Research &amp; Development)*")</f>
        <v>0</v>
      </c>
      <c r="H960">
        <f>COUNTIF('Metrics - Articles'!F957,"*Business Network (Concur, Ariba, Fieldglass)*")</f>
        <v>0</v>
      </c>
      <c r="I960">
        <f>COUNTIF('Metrics - Articles'!F957,"*GCO – Regions*")</f>
        <v>0</v>
      </c>
      <c r="J960">
        <f>COUNTIF('Metrics - Articles'!F957,"*GCO – Platform Solutions*")</f>
        <v>0</v>
      </c>
      <c r="K960">
        <f>COUNTIF('Metrics - Articles'!F957,"*GCO – Industry Cloud *")</f>
        <v>0</v>
      </c>
      <c r="L960">
        <f>COUNTIF('Metrics - Articles'!F957,"*GCO – Customer Engagement &amp; Commerce (CRM &amp; hybris) *")</f>
        <v>0</v>
      </c>
      <c r="M960">
        <f>COUNTIF('Metrics - Articles'!F957,"*GCO – HR (SuccessFactors)*")</f>
        <v>0</v>
      </c>
      <c r="N960">
        <f>COUNTIF('Metrics - Articles'!F957,"*GCO – Services Sales*")</f>
        <v>0</v>
      </c>
      <c r="O960">
        <f>COUNTIF('Metrics - Articles'!F957,"*GCO – Other*")</f>
        <v>0</v>
      </c>
      <c r="P960">
        <f>COUNTIF('Metrics - Articles'!F957,"*Corporate*")</f>
        <v>0</v>
      </c>
      <c r="R960" s="53">
        <f t="shared" si="16"/>
        <v>0</v>
      </c>
    </row>
    <row r="961" spans="2:18" hidden="1" x14ac:dyDescent="0.25">
      <c r="B961" s="48">
        <f>+'Metrics - Articles'!C958</f>
        <v>0</v>
      </c>
      <c r="C961">
        <f>COUNTIF('Metrics - Articles'!F958,"*GPO (Partner, Ecosystem, Channels)*")</f>
        <v>0</v>
      </c>
      <c r="D961">
        <f>COUNTIF('Metrics - Articles'!F958,"*Office of the CEO*")</f>
        <v>0</v>
      </c>
      <c r="E961">
        <f>COUNTIF('Metrics - Articles'!F958,"*Services Delivery &amp; Support (go-lives and deployments) *")</f>
        <v>0</v>
      </c>
      <c r="F961">
        <f>COUNTIF('Metrics - Articles'!F958,"*Human Resources (SAP HR and employee stories)*")</f>
        <v>0</v>
      </c>
      <c r="G961">
        <f>COUNTIF('Metrics - Articles'!F958,"*P&amp;I (Research &amp; Development)*")</f>
        <v>0</v>
      </c>
      <c r="H961">
        <f>COUNTIF('Metrics - Articles'!F958,"*Business Network (Concur, Ariba, Fieldglass)*")</f>
        <v>0</v>
      </c>
      <c r="I961">
        <f>COUNTIF('Metrics - Articles'!F958,"*GCO – Regions*")</f>
        <v>0</v>
      </c>
      <c r="J961">
        <f>COUNTIF('Metrics - Articles'!F958,"*GCO – Platform Solutions*")</f>
        <v>0</v>
      </c>
      <c r="K961">
        <f>COUNTIF('Metrics - Articles'!F958,"*GCO – Industry Cloud *")</f>
        <v>0</v>
      </c>
      <c r="L961">
        <f>COUNTIF('Metrics - Articles'!F958,"*GCO – Customer Engagement &amp; Commerce (CRM &amp; hybris) *")</f>
        <v>0</v>
      </c>
      <c r="M961">
        <f>COUNTIF('Metrics - Articles'!F958,"*GCO – HR (SuccessFactors)*")</f>
        <v>0</v>
      </c>
      <c r="N961">
        <f>COUNTIF('Metrics - Articles'!F958,"*GCO – Services Sales*")</f>
        <v>0</v>
      </c>
      <c r="O961">
        <f>COUNTIF('Metrics - Articles'!F958,"*GCO – Other*")</f>
        <v>0</v>
      </c>
      <c r="P961">
        <f>COUNTIF('Metrics - Articles'!F958,"*Corporate*")</f>
        <v>0</v>
      </c>
      <c r="R961" s="53">
        <f t="shared" si="16"/>
        <v>0</v>
      </c>
    </row>
    <row r="962" spans="2:18" hidden="1" x14ac:dyDescent="0.25">
      <c r="B962" s="48">
        <f>+'Metrics - Articles'!C959</f>
        <v>0</v>
      </c>
      <c r="C962">
        <f>COUNTIF('Metrics - Articles'!F959,"*GPO (Partner, Ecosystem, Channels)*")</f>
        <v>0</v>
      </c>
      <c r="D962">
        <f>COUNTIF('Metrics - Articles'!F959,"*Office of the CEO*")</f>
        <v>0</v>
      </c>
      <c r="E962">
        <f>COUNTIF('Metrics - Articles'!F959,"*Services Delivery &amp; Support (go-lives and deployments) *")</f>
        <v>0</v>
      </c>
      <c r="F962">
        <f>COUNTIF('Metrics - Articles'!F959,"*Human Resources (SAP HR and employee stories)*")</f>
        <v>0</v>
      </c>
      <c r="G962">
        <f>COUNTIF('Metrics - Articles'!F959,"*P&amp;I (Research &amp; Development)*")</f>
        <v>0</v>
      </c>
      <c r="H962">
        <f>COUNTIF('Metrics - Articles'!F959,"*Business Network (Concur, Ariba, Fieldglass)*")</f>
        <v>0</v>
      </c>
      <c r="I962">
        <f>COUNTIF('Metrics - Articles'!F959,"*GCO – Regions*")</f>
        <v>0</v>
      </c>
      <c r="J962">
        <f>COUNTIF('Metrics - Articles'!F959,"*GCO – Platform Solutions*")</f>
        <v>0</v>
      </c>
      <c r="K962">
        <f>COUNTIF('Metrics - Articles'!F959,"*GCO – Industry Cloud *")</f>
        <v>0</v>
      </c>
      <c r="L962">
        <f>COUNTIF('Metrics - Articles'!F959,"*GCO – Customer Engagement &amp; Commerce (CRM &amp; hybris) *")</f>
        <v>0</v>
      </c>
      <c r="M962">
        <f>COUNTIF('Metrics - Articles'!F959,"*GCO – HR (SuccessFactors)*")</f>
        <v>0</v>
      </c>
      <c r="N962">
        <f>COUNTIF('Metrics - Articles'!F959,"*GCO – Services Sales*")</f>
        <v>0</v>
      </c>
      <c r="O962">
        <f>COUNTIF('Metrics - Articles'!F959,"*GCO – Other*")</f>
        <v>0</v>
      </c>
      <c r="P962">
        <f>COUNTIF('Metrics - Articles'!F959,"*Corporate*")</f>
        <v>0</v>
      </c>
      <c r="R962" s="53">
        <f t="shared" si="16"/>
        <v>0</v>
      </c>
    </row>
    <row r="963" spans="2:18" hidden="1" x14ac:dyDescent="0.25">
      <c r="B963" s="48">
        <f>+'Metrics - Articles'!C960</f>
        <v>0</v>
      </c>
      <c r="C963">
        <f>COUNTIF('Metrics - Articles'!F960,"*GPO (Partner, Ecosystem, Channels)*")</f>
        <v>0</v>
      </c>
      <c r="D963">
        <f>COUNTIF('Metrics - Articles'!F960,"*Office of the CEO*")</f>
        <v>0</v>
      </c>
      <c r="E963">
        <f>COUNTIF('Metrics - Articles'!F960,"*Services Delivery &amp; Support (go-lives and deployments) *")</f>
        <v>0</v>
      </c>
      <c r="F963">
        <f>COUNTIF('Metrics - Articles'!F960,"*Human Resources (SAP HR and employee stories)*")</f>
        <v>0</v>
      </c>
      <c r="G963">
        <f>COUNTIF('Metrics - Articles'!F960,"*P&amp;I (Research &amp; Development)*")</f>
        <v>0</v>
      </c>
      <c r="H963">
        <f>COUNTIF('Metrics - Articles'!F960,"*Business Network (Concur, Ariba, Fieldglass)*")</f>
        <v>0</v>
      </c>
      <c r="I963">
        <f>COUNTIF('Metrics - Articles'!F960,"*GCO – Regions*")</f>
        <v>0</v>
      </c>
      <c r="J963">
        <f>COUNTIF('Metrics - Articles'!F960,"*GCO – Platform Solutions*")</f>
        <v>0</v>
      </c>
      <c r="K963">
        <f>COUNTIF('Metrics - Articles'!F960,"*GCO – Industry Cloud *")</f>
        <v>0</v>
      </c>
      <c r="L963">
        <f>COUNTIF('Metrics - Articles'!F960,"*GCO – Customer Engagement &amp; Commerce (CRM &amp; hybris) *")</f>
        <v>0</v>
      </c>
      <c r="M963">
        <f>COUNTIF('Metrics - Articles'!F960,"*GCO – HR (SuccessFactors)*")</f>
        <v>0</v>
      </c>
      <c r="N963">
        <f>COUNTIF('Metrics - Articles'!F960,"*GCO – Services Sales*")</f>
        <v>0</v>
      </c>
      <c r="O963">
        <f>COUNTIF('Metrics - Articles'!F960,"*GCO – Other*")</f>
        <v>0</v>
      </c>
      <c r="P963">
        <f>COUNTIF('Metrics - Articles'!F960,"*Corporate*")</f>
        <v>0</v>
      </c>
      <c r="R963" s="53">
        <f t="shared" si="16"/>
        <v>0</v>
      </c>
    </row>
    <row r="964" spans="2:18" hidden="1" x14ac:dyDescent="0.25">
      <c r="B964" s="48">
        <f>+'Metrics - Articles'!C961</f>
        <v>0</v>
      </c>
      <c r="C964">
        <f>COUNTIF('Metrics - Articles'!F961,"*GPO (Partner, Ecosystem, Channels)*")</f>
        <v>0</v>
      </c>
      <c r="D964">
        <f>COUNTIF('Metrics - Articles'!F961,"*Office of the CEO*")</f>
        <v>0</v>
      </c>
      <c r="E964">
        <f>COUNTIF('Metrics - Articles'!F961,"*Services Delivery &amp; Support (go-lives and deployments) *")</f>
        <v>0</v>
      </c>
      <c r="F964">
        <f>COUNTIF('Metrics - Articles'!F961,"*Human Resources (SAP HR and employee stories)*")</f>
        <v>0</v>
      </c>
      <c r="G964">
        <f>COUNTIF('Metrics - Articles'!F961,"*P&amp;I (Research &amp; Development)*")</f>
        <v>0</v>
      </c>
      <c r="H964">
        <f>COUNTIF('Metrics - Articles'!F961,"*Business Network (Concur, Ariba, Fieldglass)*")</f>
        <v>0</v>
      </c>
      <c r="I964">
        <f>COUNTIF('Metrics - Articles'!F961,"*GCO – Regions*")</f>
        <v>0</v>
      </c>
      <c r="J964">
        <f>COUNTIF('Metrics - Articles'!F961,"*GCO – Platform Solutions*")</f>
        <v>0</v>
      </c>
      <c r="K964">
        <f>COUNTIF('Metrics - Articles'!F961,"*GCO – Industry Cloud *")</f>
        <v>0</v>
      </c>
      <c r="L964">
        <f>COUNTIF('Metrics - Articles'!F961,"*GCO – Customer Engagement &amp; Commerce (CRM &amp; hybris) *")</f>
        <v>0</v>
      </c>
      <c r="M964">
        <f>COUNTIF('Metrics - Articles'!F961,"*GCO – HR (SuccessFactors)*")</f>
        <v>0</v>
      </c>
      <c r="N964">
        <f>COUNTIF('Metrics - Articles'!F961,"*GCO – Services Sales*")</f>
        <v>0</v>
      </c>
      <c r="O964">
        <f>COUNTIF('Metrics - Articles'!F961,"*GCO – Other*")</f>
        <v>0</v>
      </c>
      <c r="P964">
        <f>COUNTIF('Metrics - Articles'!F961,"*Corporate*")</f>
        <v>0</v>
      </c>
      <c r="R964" s="53">
        <f t="shared" si="16"/>
        <v>0</v>
      </c>
    </row>
    <row r="965" spans="2:18" hidden="1" x14ac:dyDescent="0.25">
      <c r="B965" s="48">
        <f>+'Metrics - Articles'!C962</f>
        <v>0</v>
      </c>
      <c r="C965">
        <f>COUNTIF('Metrics - Articles'!F962,"*GPO (Partner, Ecosystem, Channels)*")</f>
        <v>0</v>
      </c>
      <c r="D965">
        <f>COUNTIF('Metrics - Articles'!F962,"*Office of the CEO*")</f>
        <v>0</v>
      </c>
      <c r="E965">
        <f>COUNTIF('Metrics - Articles'!F962,"*Services Delivery &amp; Support (go-lives and deployments) *")</f>
        <v>0</v>
      </c>
      <c r="F965">
        <f>COUNTIF('Metrics - Articles'!F962,"*Human Resources (SAP HR and employee stories)*")</f>
        <v>0</v>
      </c>
      <c r="G965">
        <f>COUNTIF('Metrics - Articles'!F962,"*P&amp;I (Research &amp; Development)*")</f>
        <v>0</v>
      </c>
      <c r="H965">
        <f>COUNTIF('Metrics - Articles'!F962,"*Business Network (Concur, Ariba, Fieldglass)*")</f>
        <v>0</v>
      </c>
      <c r="I965">
        <f>COUNTIF('Metrics - Articles'!F962,"*GCO – Regions*")</f>
        <v>0</v>
      </c>
      <c r="J965">
        <f>COUNTIF('Metrics - Articles'!F962,"*GCO – Platform Solutions*")</f>
        <v>0</v>
      </c>
      <c r="K965">
        <f>COUNTIF('Metrics - Articles'!F962,"*GCO – Industry Cloud *")</f>
        <v>0</v>
      </c>
      <c r="L965">
        <f>COUNTIF('Metrics - Articles'!F962,"*GCO – Customer Engagement &amp; Commerce (CRM &amp; hybris) *")</f>
        <v>0</v>
      </c>
      <c r="M965">
        <f>COUNTIF('Metrics - Articles'!F962,"*GCO – HR (SuccessFactors)*")</f>
        <v>0</v>
      </c>
      <c r="N965">
        <f>COUNTIF('Metrics - Articles'!F962,"*GCO – Services Sales*")</f>
        <v>0</v>
      </c>
      <c r="O965">
        <f>COUNTIF('Metrics - Articles'!F962,"*GCO – Other*")</f>
        <v>0</v>
      </c>
      <c r="P965">
        <f>COUNTIF('Metrics - Articles'!F962,"*Corporate*")</f>
        <v>0</v>
      </c>
      <c r="R965" s="53">
        <f t="shared" si="16"/>
        <v>0</v>
      </c>
    </row>
    <row r="966" spans="2:18" hidden="1" x14ac:dyDescent="0.25">
      <c r="B966" s="48">
        <f>+'Metrics - Articles'!C963</f>
        <v>0</v>
      </c>
      <c r="C966">
        <f>COUNTIF('Metrics - Articles'!F963,"*GPO (Partner, Ecosystem, Channels)*")</f>
        <v>0</v>
      </c>
      <c r="D966">
        <f>COUNTIF('Metrics - Articles'!F963,"*Office of the CEO*")</f>
        <v>0</v>
      </c>
      <c r="E966">
        <f>COUNTIF('Metrics - Articles'!F963,"*Services Delivery &amp; Support (go-lives and deployments) *")</f>
        <v>0</v>
      </c>
      <c r="F966">
        <f>COUNTIF('Metrics - Articles'!F963,"*Human Resources (SAP HR and employee stories)*")</f>
        <v>0</v>
      </c>
      <c r="G966">
        <f>COUNTIF('Metrics - Articles'!F963,"*P&amp;I (Research &amp; Development)*")</f>
        <v>0</v>
      </c>
      <c r="H966">
        <f>COUNTIF('Metrics - Articles'!F963,"*Business Network (Concur, Ariba, Fieldglass)*")</f>
        <v>0</v>
      </c>
      <c r="I966">
        <f>COUNTIF('Metrics - Articles'!F963,"*GCO – Regions*")</f>
        <v>0</v>
      </c>
      <c r="J966">
        <f>COUNTIF('Metrics - Articles'!F963,"*GCO – Platform Solutions*")</f>
        <v>0</v>
      </c>
      <c r="K966">
        <f>COUNTIF('Metrics - Articles'!F963,"*GCO – Industry Cloud *")</f>
        <v>0</v>
      </c>
      <c r="L966">
        <f>COUNTIF('Metrics - Articles'!F963,"*GCO – Customer Engagement &amp; Commerce (CRM &amp; hybris) *")</f>
        <v>0</v>
      </c>
      <c r="M966">
        <f>COUNTIF('Metrics - Articles'!F963,"*GCO – HR (SuccessFactors)*")</f>
        <v>0</v>
      </c>
      <c r="N966">
        <f>COUNTIF('Metrics - Articles'!F963,"*GCO – Services Sales*")</f>
        <v>0</v>
      </c>
      <c r="O966">
        <f>COUNTIF('Metrics - Articles'!F963,"*GCO – Other*")</f>
        <v>0</v>
      </c>
      <c r="P966">
        <f>COUNTIF('Metrics - Articles'!F963,"*Corporate*")</f>
        <v>0</v>
      </c>
      <c r="R966" s="53">
        <f t="shared" si="16"/>
        <v>0</v>
      </c>
    </row>
    <row r="967" spans="2:18" hidden="1" x14ac:dyDescent="0.25">
      <c r="B967" s="48">
        <f>+'Metrics - Articles'!C964</f>
        <v>0</v>
      </c>
      <c r="C967">
        <f>COUNTIF('Metrics - Articles'!F964,"*GPO (Partner, Ecosystem, Channels)*")</f>
        <v>0</v>
      </c>
      <c r="D967">
        <f>COUNTIF('Metrics - Articles'!F964,"*Office of the CEO*")</f>
        <v>0</v>
      </c>
      <c r="E967">
        <f>COUNTIF('Metrics - Articles'!F964,"*Services Delivery &amp; Support (go-lives and deployments) *")</f>
        <v>0</v>
      </c>
      <c r="F967">
        <f>COUNTIF('Metrics - Articles'!F964,"*Human Resources (SAP HR and employee stories)*")</f>
        <v>0</v>
      </c>
      <c r="G967">
        <f>COUNTIF('Metrics - Articles'!F964,"*P&amp;I (Research &amp; Development)*")</f>
        <v>0</v>
      </c>
      <c r="H967">
        <f>COUNTIF('Metrics - Articles'!F964,"*Business Network (Concur, Ariba, Fieldglass)*")</f>
        <v>0</v>
      </c>
      <c r="I967">
        <f>COUNTIF('Metrics - Articles'!F964,"*GCO – Regions*")</f>
        <v>0</v>
      </c>
      <c r="J967">
        <f>COUNTIF('Metrics - Articles'!F964,"*GCO – Platform Solutions*")</f>
        <v>0</v>
      </c>
      <c r="K967">
        <f>COUNTIF('Metrics - Articles'!F964,"*GCO – Industry Cloud *")</f>
        <v>0</v>
      </c>
      <c r="L967">
        <f>COUNTIF('Metrics - Articles'!F964,"*GCO – Customer Engagement &amp; Commerce (CRM &amp; hybris) *")</f>
        <v>0</v>
      </c>
      <c r="M967">
        <f>COUNTIF('Metrics - Articles'!F964,"*GCO – HR (SuccessFactors)*")</f>
        <v>0</v>
      </c>
      <c r="N967">
        <f>COUNTIF('Metrics - Articles'!F964,"*GCO – Services Sales*")</f>
        <v>0</v>
      </c>
      <c r="O967">
        <f>COUNTIF('Metrics - Articles'!F964,"*GCO – Other*")</f>
        <v>0</v>
      </c>
      <c r="P967">
        <f>COUNTIF('Metrics - Articles'!F964,"*Corporate*")</f>
        <v>0</v>
      </c>
      <c r="R967" s="53">
        <f t="shared" si="16"/>
        <v>0</v>
      </c>
    </row>
    <row r="968" spans="2:18" hidden="1" x14ac:dyDescent="0.25">
      <c r="B968" s="48">
        <f>+'Metrics - Articles'!C965</f>
        <v>0</v>
      </c>
      <c r="C968">
        <f>COUNTIF('Metrics - Articles'!F965,"*GPO (Partner, Ecosystem, Channels)*")</f>
        <v>0</v>
      </c>
      <c r="D968">
        <f>COUNTIF('Metrics - Articles'!F965,"*Office of the CEO*")</f>
        <v>0</v>
      </c>
      <c r="E968">
        <f>COUNTIF('Metrics - Articles'!F965,"*Services Delivery &amp; Support (go-lives and deployments) *")</f>
        <v>0</v>
      </c>
      <c r="F968">
        <f>COUNTIF('Metrics - Articles'!F965,"*Human Resources (SAP HR and employee stories)*")</f>
        <v>0</v>
      </c>
      <c r="G968">
        <f>COUNTIF('Metrics - Articles'!F965,"*P&amp;I (Research &amp; Development)*")</f>
        <v>0</v>
      </c>
      <c r="H968">
        <f>COUNTIF('Metrics - Articles'!F965,"*Business Network (Concur, Ariba, Fieldglass)*")</f>
        <v>0</v>
      </c>
      <c r="I968">
        <f>COUNTIF('Metrics - Articles'!F965,"*GCO – Regions*")</f>
        <v>0</v>
      </c>
      <c r="J968">
        <f>COUNTIF('Metrics - Articles'!F965,"*GCO – Platform Solutions*")</f>
        <v>0</v>
      </c>
      <c r="K968">
        <f>COUNTIF('Metrics - Articles'!F965,"*GCO – Industry Cloud *")</f>
        <v>0</v>
      </c>
      <c r="L968">
        <f>COUNTIF('Metrics - Articles'!F965,"*GCO – Customer Engagement &amp; Commerce (CRM &amp; hybris) *")</f>
        <v>0</v>
      </c>
      <c r="M968">
        <f>COUNTIF('Metrics - Articles'!F965,"*GCO – HR (SuccessFactors)*")</f>
        <v>0</v>
      </c>
      <c r="N968">
        <f>COUNTIF('Metrics - Articles'!F965,"*GCO – Services Sales*")</f>
        <v>0</v>
      </c>
      <c r="O968">
        <f>COUNTIF('Metrics - Articles'!F965,"*GCO – Other*")</f>
        <v>0</v>
      </c>
      <c r="P968">
        <f>COUNTIF('Metrics - Articles'!F965,"*Corporate*")</f>
        <v>0</v>
      </c>
      <c r="R968" s="53">
        <f t="shared" si="16"/>
        <v>0</v>
      </c>
    </row>
    <row r="969" spans="2:18" hidden="1" x14ac:dyDescent="0.25">
      <c r="B969" s="48">
        <f>+'Metrics - Articles'!C966</f>
        <v>0</v>
      </c>
      <c r="C969">
        <f>COUNTIF('Metrics - Articles'!F966,"*GPO (Partner, Ecosystem, Channels)*")</f>
        <v>0</v>
      </c>
      <c r="D969">
        <f>COUNTIF('Metrics - Articles'!F966,"*Office of the CEO*")</f>
        <v>0</v>
      </c>
      <c r="E969">
        <f>COUNTIF('Metrics - Articles'!F966,"*Services Delivery &amp; Support (go-lives and deployments) *")</f>
        <v>0</v>
      </c>
      <c r="F969">
        <f>COUNTIF('Metrics - Articles'!F966,"*Human Resources (SAP HR and employee stories)*")</f>
        <v>0</v>
      </c>
      <c r="G969">
        <f>COUNTIF('Metrics - Articles'!F966,"*P&amp;I (Research &amp; Development)*")</f>
        <v>0</v>
      </c>
      <c r="H969">
        <f>COUNTIF('Metrics - Articles'!F966,"*Business Network (Concur, Ariba, Fieldglass)*")</f>
        <v>0</v>
      </c>
      <c r="I969">
        <f>COUNTIF('Metrics - Articles'!F966,"*GCO – Regions*")</f>
        <v>0</v>
      </c>
      <c r="J969">
        <f>COUNTIF('Metrics - Articles'!F966,"*GCO – Platform Solutions*")</f>
        <v>0</v>
      </c>
      <c r="K969">
        <f>COUNTIF('Metrics - Articles'!F966,"*GCO – Industry Cloud *")</f>
        <v>0</v>
      </c>
      <c r="L969">
        <f>COUNTIF('Metrics - Articles'!F966,"*GCO – Customer Engagement &amp; Commerce (CRM &amp; hybris) *")</f>
        <v>0</v>
      </c>
      <c r="M969">
        <f>COUNTIF('Metrics - Articles'!F966,"*GCO – HR (SuccessFactors)*")</f>
        <v>0</v>
      </c>
      <c r="N969">
        <f>COUNTIF('Metrics - Articles'!F966,"*GCO – Services Sales*")</f>
        <v>0</v>
      </c>
      <c r="O969">
        <f>COUNTIF('Metrics - Articles'!F966,"*GCO – Other*")</f>
        <v>0</v>
      </c>
      <c r="P969">
        <f>COUNTIF('Metrics - Articles'!F966,"*Corporate*")</f>
        <v>0</v>
      </c>
      <c r="R969" s="53">
        <f t="shared" si="16"/>
        <v>0</v>
      </c>
    </row>
    <row r="970" spans="2:18" hidden="1" x14ac:dyDescent="0.25">
      <c r="B970" s="48">
        <f>+'Metrics - Articles'!C967</f>
        <v>0</v>
      </c>
      <c r="C970">
        <f>COUNTIF('Metrics - Articles'!F967,"*GPO (Partner, Ecosystem, Channels)*")</f>
        <v>0</v>
      </c>
      <c r="D970">
        <f>COUNTIF('Metrics - Articles'!F967,"*Office of the CEO*")</f>
        <v>0</v>
      </c>
      <c r="E970">
        <f>COUNTIF('Metrics - Articles'!F967,"*Services Delivery &amp; Support (go-lives and deployments) *")</f>
        <v>0</v>
      </c>
      <c r="F970">
        <f>COUNTIF('Metrics - Articles'!F967,"*Human Resources (SAP HR and employee stories)*")</f>
        <v>0</v>
      </c>
      <c r="G970">
        <f>COUNTIF('Metrics - Articles'!F967,"*P&amp;I (Research &amp; Development)*")</f>
        <v>0</v>
      </c>
      <c r="H970">
        <f>COUNTIF('Metrics - Articles'!F967,"*Business Network (Concur, Ariba, Fieldglass)*")</f>
        <v>0</v>
      </c>
      <c r="I970">
        <f>COUNTIF('Metrics - Articles'!F967,"*GCO – Regions*")</f>
        <v>0</v>
      </c>
      <c r="J970">
        <f>COUNTIF('Metrics - Articles'!F967,"*GCO – Platform Solutions*")</f>
        <v>0</v>
      </c>
      <c r="K970">
        <f>COUNTIF('Metrics - Articles'!F967,"*GCO – Industry Cloud *")</f>
        <v>0</v>
      </c>
      <c r="L970">
        <f>COUNTIF('Metrics - Articles'!F967,"*GCO – Customer Engagement &amp; Commerce (CRM &amp; hybris) *")</f>
        <v>0</v>
      </c>
      <c r="M970">
        <f>COUNTIF('Metrics - Articles'!F967,"*GCO – HR (SuccessFactors)*")</f>
        <v>0</v>
      </c>
      <c r="N970">
        <f>COUNTIF('Metrics - Articles'!F967,"*GCO – Services Sales*")</f>
        <v>0</v>
      </c>
      <c r="O970">
        <f>COUNTIF('Metrics - Articles'!F967,"*GCO – Other*")</f>
        <v>0</v>
      </c>
      <c r="P970">
        <f>COUNTIF('Metrics - Articles'!F967,"*Corporate*")</f>
        <v>0</v>
      </c>
      <c r="R970" s="53">
        <f t="shared" ref="R970:R1003" si="17">SUM(C970:Q970)</f>
        <v>0</v>
      </c>
    </row>
    <row r="971" spans="2:18" hidden="1" x14ac:dyDescent="0.25">
      <c r="B971" s="48">
        <f>+'Metrics - Articles'!C968</f>
        <v>0</v>
      </c>
      <c r="C971">
        <f>COUNTIF('Metrics - Articles'!F968,"*GPO (Partner, Ecosystem, Channels)*")</f>
        <v>0</v>
      </c>
      <c r="D971">
        <f>COUNTIF('Metrics - Articles'!F968,"*Office of the CEO*")</f>
        <v>0</v>
      </c>
      <c r="E971">
        <f>COUNTIF('Metrics - Articles'!F968,"*Services Delivery &amp; Support (go-lives and deployments) *")</f>
        <v>0</v>
      </c>
      <c r="F971">
        <f>COUNTIF('Metrics - Articles'!F968,"*Human Resources (SAP HR and employee stories)*")</f>
        <v>0</v>
      </c>
      <c r="G971">
        <f>COUNTIF('Metrics - Articles'!F968,"*P&amp;I (Research &amp; Development)*")</f>
        <v>0</v>
      </c>
      <c r="H971">
        <f>COUNTIF('Metrics - Articles'!F968,"*Business Network (Concur, Ariba, Fieldglass)*")</f>
        <v>0</v>
      </c>
      <c r="I971">
        <f>COUNTIF('Metrics - Articles'!F968,"*GCO – Regions*")</f>
        <v>0</v>
      </c>
      <c r="J971">
        <f>COUNTIF('Metrics - Articles'!F968,"*GCO – Platform Solutions*")</f>
        <v>0</v>
      </c>
      <c r="K971">
        <f>COUNTIF('Metrics - Articles'!F968,"*GCO – Industry Cloud *")</f>
        <v>0</v>
      </c>
      <c r="L971">
        <f>COUNTIF('Metrics - Articles'!F968,"*GCO – Customer Engagement &amp; Commerce (CRM &amp; hybris) *")</f>
        <v>0</v>
      </c>
      <c r="M971">
        <f>COUNTIF('Metrics - Articles'!F968,"*GCO – HR (SuccessFactors)*")</f>
        <v>0</v>
      </c>
      <c r="N971">
        <f>COUNTIF('Metrics - Articles'!F968,"*GCO – Services Sales*")</f>
        <v>0</v>
      </c>
      <c r="O971">
        <f>COUNTIF('Metrics - Articles'!F968,"*GCO – Other*")</f>
        <v>0</v>
      </c>
      <c r="P971">
        <f>COUNTIF('Metrics - Articles'!F968,"*Corporate*")</f>
        <v>0</v>
      </c>
      <c r="R971" s="53">
        <f t="shared" si="17"/>
        <v>0</v>
      </c>
    </row>
    <row r="972" spans="2:18" hidden="1" x14ac:dyDescent="0.25">
      <c r="B972" s="48">
        <f>+'Metrics - Articles'!C969</f>
        <v>0</v>
      </c>
      <c r="C972">
        <f>COUNTIF('Metrics - Articles'!F969,"*GPO (Partner, Ecosystem, Channels)*")</f>
        <v>0</v>
      </c>
      <c r="D972">
        <f>COUNTIF('Metrics - Articles'!F969,"*Office of the CEO*")</f>
        <v>0</v>
      </c>
      <c r="E972">
        <f>COUNTIF('Metrics - Articles'!F969,"*Services Delivery &amp; Support (go-lives and deployments) *")</f>
        <v>0</v>
      </c>
      <c r="F972">
        <f>COUNTIF('Metrics - Articles'!F969,"*Human Resources (SAP HR and employee stories)*")</f>
        <v>0</v>
      </c>
      <c r="G972">
        <f>COUNTIF('Metrics - Articles'!F969,"*P&amp;I (Research &amp; Development)*")</f>
        <v>0</v>
      </c>
      <c r="H972">
        <f>COUNTIF('Metrics - Articles'!F969,"*Business Network (Concur, Ariba, Fieldglass)*")</f>
        <v>0</v>
      </c>
      <c r="I972">
        <f>COUNTIF('Metrics - Articles'!F969,"*GCO – Regions*")</f>
        <v>0</v>
      </c>
      <c r="J972">
        <f>COUNTIF('Metrics - Articles'!F969,"*GCO – Platform Solutions*")</f>
        <v>0</v>
      </c>
      <c r="K972">
        <f>COUNTIF('Metrics - Articles'!F969,"*GCO – Industry Cloud *")</f>
        <v>0</v>
      </c>
      <c r="L972">
        <f>COUNTIF('Metrics - Articles'!F969,"*GCO – Customer Engagement &amp; Commerce (CRM &amp; hybris) *")</f>
        <v>0</v>
      </c>
      <c r="M972">
        <f>COUNTIF('Metrics - Articles'!F969,"*GCO – HR (SuccessFactors)*")</f>
        <v>0</v>
      </c>
      <c r="N972">
        <f>COUNTIF('Metrics - Articles'!F969,"*GCO – Services Sales*")</f>
        <v>0</v>
      </c>
      <c r="O972">
        <f>COUNTIF('Metrics - Articles'!F969,"*GCO – Other*")</f>
        <v>0</v>
      </c>
      <c r="P972">
        <f>COUNTIF('Metrics - Articles'!F969,"*Corporate*")</f>
        <v>0</v>
      </c>
      <c r="R972" s="53">
        <f t="shared" si="17"/>
        <v>0</v>
      </c>
    </row>
    <row r="973" spans="2:18" hidden="1" x14ac:dyDescent="0.25">
      <c r="B973" s="48">
        <f>+'Metrics - Articles'!C970</f>
        <v>0</v>
      </c>
      <c r="C973">
        <f>COUNTIF('Metrics - Articles'!F970,"*GPO (Partner, Ecosystem, Channels)*")</f>
        <v>0</v>
      </c>
      <c r="D973">
        <f>COUNTIF('Metrics - Articles'!F970,"*Office of the CEO*")</f>
        <v>0</v>
      </c>
      <c r="E973">
        <f>COUNTIF('Metrics - Articles'!F970,"*Services Delivery &amp; Support (go-lives and deployments) *")</f>
        <v>0</v>
      </c>
      <c r="F973">
        <f>COUNTIF('Metrics - Articles'!F970,"*Human Resources (SAP HR and employee stories)*")</f>
        <v>0</v>
      </c>
      <c r="G973">
        <f>COUNTIF('Metrics - Articles'!F970,"*P&amp;I (Research &amp; Development)*")</f>
        <v>0</v>
      </c>
      <c r="H973">
        <f>COUNTIF('Metrics - Articles'!F970,"*Business Network (Concur, Ariba, Fieldglass)*")</f>
        <v>0</v>
      </c>
      <c r="I973">
        <f>COUNTIF('Metrics - Articles'!F970,"*GCO – Regions*")</f>
        <v>0</v>
      </c>
      <c r="J973">
        <f>COUNTIF('Metrics - Articles'!F970,"*GCO – Platform Solutions*")</f>
        <v>0</v>
      </c>
      <c r="K973">
        <f>COUNTIF('Metrics - Articles'!F970,"*GCO – Industry Cloud *")</f>
        <v>0</v>
      </c>
      <c r="L973">
        <f>COUNTIF('Metrics - Articles'!F970,"*GCO – Customer Engagement &amp; Commerce (CRM &amp; hybris) *")</f>
        <v>0</v>
      </c>
      <c r="M973">
        <f>COUNTIF('Metrics - Articles'!F970,"*GCO – HR (SuccessFactors)*")</f>
        <v>0</v>
      </c>
      <c r="N973">
        <f>COUNTIF('Metrics - Articles'!F970,"*GCO – Services Sales*")</f>
        <v>0</v>
      </c>
      <c r="O973">
        <f>COUNTIF('Metrics - Articles'!F970,"*GCO – Other*")</f>
        <v>0</v>
      </c>
      <c r="P973">
        <f>COUNTIF('Metrics - Articles'!F970,"*Corporate*")</f>
        <v>0</v>
      </c>
      <c r="R973" s="53">
        <f t="shared" si="17"/>
        <v>0</v>
      </c>
    </row>
    <row r="974" spans="2:18" hidden="1" x14ac:dyDescent="0.25">
      <c r="B974" s="48">
        <f>+'Metrics - Articles'!C971</f>
        <v>0</v>
      </c>
      <c r="C974">
        <f>COUNTIF('Metrics - Articles'!F971,"*GPO (Partner, Ecosystem, Channels)*")</f>
        <v>0</v>
      </c>
      <c r="D974">
        <f>COUNTIF('Metrics - Articles'!F971,"*Office of the CEO*")</f>
        <v>0</v>
      </c>
      <c r="E974">
        <f>COUNTIF('Metrics - Articles'!F971,"*Services Delivery &amp; Support (go-lives and deployments) *")</f>
        <v>0</v>
      </c>
      <c r="F974">
        <f>COUNTIF('Metrics - Articles'!F971,"*Human Resources (SAP HR and employee stories)*")</f>
        <v>0</v>
      </c>
      <c r="G974">
        <f>COUNTIF('Metrics - Articles'!F971,"*P&amp;I (Research &amp; Development)*")</f>
        <v>0</v>
      </c>
      <c r="H974">
        <f>COUNTIF('Metrics - Articles'!F971,"*Business Network (Concur, Ariba, Fieldglass)*")</f>
        <v>0</v>
      </c>
      <c r="I974">
        <f>COUNTIF('Metrics - Articles'!F971,"*GCO – Regions*")</f>
        <v>0</v>
      </c>
      <c r="J974">
        <f>COUNTIF('Metrics - Articles'!F971,"*GCO – Platform Solutions*")</f>
        <v>0</v>
      </c>
      <c r="K974">
        <f>COUNTIF('Metrics - Articles'!F971,"*GCO – Industry Cloud *")</f>
        <v>0</v>
      </c>
      <c r="L974">
        <f>COUNTIF('Metrics - Articles'!F971,"*GCO – Customer Engagement &amp; Commerce (CRM &amp; hybris) *")</f>
        <v>0</v>
      </c>
      <c r="M974">
        <f>COUNTIF('Metrics - Articles'!F971,"*GCO – HR (SuccessFactors)*")</f>
        <v>0</v>
      </c>
      <c r="N974">
        <f>COUNTIF('Metrics - Articles'!F971,"*GCO – Services Sales*")</f>
        <v>0</v>
      </c>
      <c r="O974">
        <f>COUNTIF('Metrics - Articles'!F971,"*GCO – Other*")</f>
        <v>0</v>
      </c>
      <c r="P974">
        <f>COUNTIF('Metrics - Articles'!F971,"*Corporate*")</f>
        <v>0</v>
      </c>
      <c r="R974" s="53">
        <f t="shared" si="17"/>
        <v>0</v>
      </c>
    </row>
    <row r="975" spans="2:18" hidden="1" x14ac:dyDescent="0.25">
      <c r="B975" s="48">
        <f>+'Metrics - Articles'!C972</f>
        <v>0</v>
      </c>
      <c r="C975">
        <f>COUNTIF('Metrics - Articles'!F972,"*GPO (Partner, Ecosystem, Channels)*")</f>
        <v>0</v>
      </c>
      <c r="D975">
        <f>COUNTIF('Metrics - Articles'!F972,"*Office of the CEO*")</f>
        <v>0</v>
      </c>
      <c r="E975">
        <f>COUNTIF('Metrics - Articles'!F972,"*Services Delivery &amp; Support (go-lives and deployments) *")</f>
        <v>0</v>
      </c>
      <c r="F975">
        <f>COUNTIF('Metrics - Articles'!F972,"*Human Resources (SAP HR and employee stories)*")</f>
        <v>0</v>
      </c>
      <c r="G975">
        <f>COUNTIF('Metrics - Articles'!F972,"*P&amp;I (Research &amp; Development)*")</f>
        <v>0</v>
      </c>
      <c r="H975">
        <f>COUNTIF('Metrics - Articles'!F972,"*Business Network (Concur, Ariba, Fieldglass)*")</f>
        <v>0</v>
      </c>
      <c r="I975">
        <f>COUNTIF('Metrics - Articles'!F972,"*GCO – Regions*")</f>
        <v>0</v>
      </c>
      <c r="J975">
        <f>COUNTIF('Metrics - Articles'!F972,"*GCO – Platform Solutions*")</f>
        <v>0</v>
      </c>
      <c r="K975">
        <f>COUNTIF('Metrics - Articles'!F972,"*GCO – Industry Cloud *")</f>
        <v>0</v>
      </c>
      <c r="L975">
        <f>COUNTIF('Metrics - Articles'!F972,"*GCO – Customer Engagement &amp; Commerce (CRM &amp; hybris) *")</f>
        <v>0</v>
      </c>
      <c r="M975">
        <f>COUNTIF('Metrics - Articles'!F972,"*GCO – HR (SuccessFactors)*")</f>
        <v>0</v>
      </c>
      <c r="N975">
        <f>COUNTIF('Metrics - Articles'!F972,"*GCO – Services Sales*")</f>
        <v>0</v>
      </c>
      <c r="O975">
        <f>COUNTIF('Metrics - Articles'!F972,"*GCO – Other*")</f>
        <v>0</v>
      </c>
      <c r="P975">
        <f>COUNTIF('Metrics - Articles'!F972,"*Corporate*")</f>
        <v>0</v>
      </c>
      <c r="R975" s="53">
        <f t="shared" si="17"/>
        <v>0</v>
      </c>
    </row>
    <row r="976" spans="2:18" hidden="1" x14ac:dyDescent="0.25">
      <c r="B976" s="48">
        <f>+'Metrics - Articles'!C973</f>
        <v>0</v>
      </c>
      <c r="C976">
        <f>COUNTIF('Metrics - Articles'!F973,"*GPO (Partner, Ecosystem, Channels)*")</f>
        <v>0</v>
      </c>
      <c r="D976">
        <f>COUNTIF('Metrics - Articles'!F973,"*Office of the CEO*")</f>
        <v>0</v>
      </c>
      <c r="E976">
        <f>COUNTIF('Metrics - Articles'!F973,"*Services Delivery &amp; Support (go-lives and deployments) *")</f>
        <v>0</v>
      </c>
      <c r="F976">
        <f>COUNTIF('Metrics - Articles'!F973,"*Human Resources (SAP HR and employee stories)*")</f>
        <v>0</v>
      </c>
      <c r="G976">
        <f>COUNTIF('Metrics - Articles'!F973,"*P&amp;I (Research &amp; Development)*")</f>
        <v>0</v>
      </c>
      <c r="H976">
        <f>COUNTIF('Metrics - Articles'!F973,"*Business Network (Concur, Ariba, Fieldglass)*")</f>
        <v>0</v>
      </c>
      <c r="I976">
        <f>COUNTIF('Metrics - Articles'!F973,"*GCO – Regions*")</f>
        <v>0</v>
      </c>
      <c r="J976">
        <f>COUNTIF('Metrics - Articles'!F973,"*GCO – Platform Solutions*")</f>
        <v>0</v>
      </c>
      <c r="K976">
        <f>COUNTIF('Metrics - Articles'!F973,"*GCO – Industry Cloud *")</f>
        <v>0</v>
      </c>
      <c r="L976">
        <f>COUNTIF('Metrics - Articles'!F973,"*GCO – Customer Engagement &amp; Commerce (CRM &amp; hybris) *")</f>
        <v>0</v>
      </c>
      <c r="M976">
        <f>COUNTIF('Metrics - Articles'!F973,"*GCO – HR (SuccessFactors)*")</f>
        <v>0</v>
      </c>
      <c r="N976">
        <f>COUNTIF('Metrics - Articles'!F973,"*GCO – Services Sales*")</f>
        <v>0</v>
      </c>
      <c r="O976">
        <f>COUNTIF('Metrics - Articles'!F973,"*GCO – Other*")</f>
        <v>0</v>
      </c>
      <c r="P976">
        <f>COUNTIF('Metrics - Articles'!F973,"*Corporate*")</f>
        <v>0</v>
      </c>
      <c r="R976" s="53">
        <f t="shared" si="17"/>
        <v>0</v>
      </c>
    </row>
    <row r="977" spans="2:18" hidden="1" x14ac:dyDescent="0.25">
      <c r="B977" s="48">
        <f>+'Metrics - Articles'!C974</f>
        <v>0</v>
      </c>
      <c r="C977">
        <f>COUNTIF('Metrics - Articles'!F974,"*GPO (Partner, Ecosystem, Channels)*")</f>
        <v>0</v>
      </c>
      <c r="D977">
        <f>COUNTIF('Metrics - Articles'!F974,"*Office of the CEO*")</f>
        <v>0</v>
      </c>
      <c r="E977">
        <f>COUNTIF('Metrics - Articles'!F974,"*Services Delivery &amp; Support (go-lives and deployments) *")</f>
        <v>0</v>
      </c>
      <c r="F977">
        <f>COUNTIF('Metrics - Articles'!F974,"*Human Resources (SAP HR and employee stories)*")</f>
        <v>0</v>
      </c>
      <c r="G977">
        <f>COUNTIF('Metrics - Articles'!F974,"*P&amp;I (Research &amp; Development)*")</f>
        <v>0</v>
      </c>
      <c r="H977">
        <f>COUNTIF('Metrics - Articles'!F974,"*Business Network (Concur, Ariba, Fieldglass)*")</f>
        <v>0</v>
      </c>
      <c r="I977">
        <f>COUNTIF('Metrics - Articles'!F974,"*GCO – Regions*")</f>
        <v>0</v>
      </c>
      <c r="J977">
        <f>COUNTIF('Metrics - Articles'!F974,"*GCO – Platform Solutions*")</f>
        <v>0</v>
      </c>
      <c r="K977">
        <f>COUNTIF('Metrics - Articles'!F974,"*GCO – Industry Cloud *")</f>
        <v>0</v>
      </c>
      <c r="L977">
        <f>COUNTIF('Metrics - Articles'!F974,"*GCO – Customer Engagement &amp; Commerce (CRM &amp; hybris) *")</f>
        <v>0</v>
      </c>
      <c r="M977">
        <f>COUNTIF('Metrics - Articles'!F974,"*GCO – HR (SuccessFactors)*")</f>
        <v>0</v>
      </c>
      <c r="N977">
        <f>COUNTIF('Metrics - Articles'!F974,"*GCO – Services Sales*")</f>
        <v>0</v>
      </c>
      <c r="O977">
        <f>COUNTIF('Metrics - Articles'!F974,"*GCO – Other*")</f>
        <v>0</v>
      </c>
      <c r="P977">
        <f>COUNTIF('Metrics - Articles'!F974,"*Corporate*")</f>
        <v>0</v>
      </c>
      <c r="R977" s="53">
        <f t="shared" si="17"/>
        <v>0</v>
      </c>
    </row>
    <row r="978" spans="2:18" hidden="1" x14ac:dyDescent="0.25">
      <c r="B978" s="48">
        <f>+'Metrics - Articles'!C975</f>
        <v>0</v>
      </c>
      <c r="C978">
        <f>COUNTIF('Metrics - Articles'!F975,"*GPO (Partner, Ecosystem, Channels)*")</f>
        <v>0</v>
      </c>
      <c r="D978">
        <f>COUNTIF('Metrics - Articles'!F975,"*Office of the CEO*")</f>
        <v>0</v>
      </c>
      <c r="E978">
        <f>COUNTIF('Metrics - Articles'!F975,"*Services Delivery &amp; Support (go-lives and deployments) *")</f>
        <v>0</v>
      </c>
      <c r="F978">
        <f>COUNTIF('Metrics - Articles'!F975,"*Human Resources (SAP HR and employee stories)*")</f>
        <v>0</v>
      </c>
      <c r="G978">
        <f>COUNTIF('Metrics - Articles'!F975,"*P&amp;I (Research &amp; Development)*")</f>
        <v>0</v>
      </c>
      <c r="H978">
        <f>COUNTIF('Metrics - Articles'!F975,"*Business Network (Concur, Ariba, Fieldglass)*")</f>
        <v>0</v>
      </c>
      <c r="I978">
        <f>COUNTIF('Metrics - Articles'!F975,"*GCO – Regions*")</f>
        <v>0</v>
      </c>
      <c r="J978">
        <f>COUNTIF('Metrics - Articles'!F975,"*GCO – Platform Solutions*")</f>
        <v>0</v>
      </c>
      <c r="K978">
        <f>COUNTIF('Metrics - Articles'!F975,"*GCO – Industry Cloud *")</f>
        <v>0</v>
      </c>
      <c r="L978">
        <f>COUNTIF('Metrics - Articles'!F975,"*GCO – Customer Engagement &amp; Commerce (CRM &amp; hybris) *")</f>
        <v>0</v>
      </c>
      <c r="M978">
        <f>COUNTIF('Metrics - Articles'!F975,"*GCO – HR (SuccessFactors)*")</f>
        <v>0</v>
      </c>
      <c r="N978">
        <f>COUNTIF('Metrics - Articles'!F975,"*GCO – Services Sales*")</f>
        <v>0</v>
      </c>
      <c r="O978">
        <f>COUNTIF('Metrics - Articles'!F975,"*GCO – Other*")</f>
        <v>0</v>
      </c>
      <c r="P978">
        <f>COUNTIF('Metrics - Articles'!F975,"*Corporate*")</f>
        <v>0</v>
      </c>
      <c r="R978" s="53">
        <f t="shared" si="17"/>
        <v>0</v>
      </c>
    </row>
    <row r="979" spans="2:18" hidden="1" x14ac:dyDescent="0.25">
      <c r="B979" s="48">
        <f>+'Metrics - Articles'!C976</f>
        <v>0</v>
      </c>
      <c r="C979">
        <f>COUNTIF('Metrics - Articles'!F976,"*GPO (Partner, Ecosystem, Channels)*")</f>
        <v>0</v>
      </c>
      <c r="D979">
        <f>COUNTIF('Metrics - Articles'!F976,"*Office of the CEO*")</f>
        <v>0</v>
      </c>
      <c r="E979">
        <f>COUNTIF('Metrics - Articles'!F976,"*Services Delivery &amp; Support (go-lives and deployments) *")</f>
        <v>0</v>
      </c>
      <c r="F979">
        <f>COUNTIF('Metrics - Articles'!F976,"*Human Resources (SAP HR and employee stories)*")</f>
        <v>0</v>
      </c>
      <c r="G979">
        <f>COUNTIF('Metrics - Articles'!F976,"*P&amp;I (Research &amp; Development)*")</f>
        <v>0</v>
      </c>
      <c r="H979">
        <f>COUNTIF('Metrics - Articles'!F976,"*Business Network (Concur, Ariba, Fieldglass)*")</f>
        <v>0</v>
      </c>
      <c r="I979">
        <f>COUNTIF('Metrics - Articles'!F976,"*GCO – Regions*")</f>
        <v>0</v>
      </c>
      <c r="J979">
        <f>COUNTIF('Metrics - Articles'!F976,"*GCO – Platform Solutions*")</f>
        <v>0</v>
      </c>
      <c r="K979">
        <f>COUNTIF('Metrics - Articles'!F976,"*GCO – Industry Cloud *")</f>
        <v>0</v>
      </c>
      <c r="L979">
        <f>COUNTIF('Metrics - Articles'!F976,"*GCO – Customer Engagement &amp; Commerce (CRM &amp; hybris) *")</f>
        <v>0</v>
      </c>
      <c r="M979">
        <f>COUNTIF('Metrics - Articles'!F976,"*GCO – HR (SuccessFactors)*")</f>
        <v>0</v>
      </c>
      <c r="N979">
        <f>COUNTIF('Metrics - Articles'!F976,"*GCO – Services Sales*")</f>
        <v>0</v>
      </c>
      <c r="O979">
        <f>COUNTIF('Metrics - Articles'!F976,"*GCO – Other*")</f>
        <v>0</v>
      </c>
      <c r="P979">
        <f>COUNTIF('Metrics - Articles'!F976,"*Corporate*")</f>
        <v>0</v>
      </c>
      <c r="R979" s="53">
        <f t="shared" si="17"/>
        <v>0</v>
      </c>
    </row>
    <row r="980" spans="2:18" hidden="1" x14ac:dyDescent="0.25">
      <c r="B980" s="48">
        <f>+'Metrics - Articles'!C977</f>
        <v>0</v>
      </c>
      <c r="C980">
        <f>COUNTIF('Metrics - Articles'!F977,"*GPO (Partner, Ecosystem, Channels)*")</f>
        <v>0</v>
      </c>
      <c r="D980">
        <f>COUNTIF('Metrics - Articles'!F977,"*Office of the CEO*")</f>
        <v>0</v>
      </c>
      <c r="E980">
        <f>COUNTIF('Metrics - Articles'!F977,"*Services Delivery &amp; Support (go-lives and deployments) *")</f>
        <v>0</v>
      </c>
      <c r="F980">
        <f>COUNTIF('Metrics - Articles'!F977,"*Human Resources (SAP HR and employee stories)*")</f>
        <v>0</v>
      </c>
      <c r="G980">
        <f>COUNTIF('Metrics - Articles'!F977,"*P&amp;I (Research &amp; Development)*")</f>
        <v>0</v>
      </c>
      <c r="H980">
        <f>COUNTIF('Metrics - Articles'!F977,"*Business Network (Concur, Ariba, Fieldglass)*")</f>
        <v>0</v>
      </c>
      <c r="I980">
        <f>COUNTIF('Metrics - Articles'!F977,"*GCO – Regions*")</f>
        <v>0</v>
      </c>
      <c r="J980">
        <f>COUNTIF('Metrics - Articles'!F977,"*GCO – Platform Solutions*")</f>
        <v>0</v>
      </c>
      <c r="K980">
        <f>COUNTIF('Metrics - Articles'!F977,"*GCO – Industry Cloud *")</f>
        <v>0</v>
      </c>
      <c r="L980">
        <f>COUNTIF('Metrics - Articles'!F977,"*GCO – Customer Engagement &amp; Commerce (CRM &amp; hybris) *")</f>
        <v>0</v>
      </c>
      <c r="M980">
        <f>COUNTIF('Metrics - Articles'!F977,"*GCO – HR (SuccessFactors)*")</f>
        <v>0</v>
      </c>
      <c r="N980">
        <f>COUNTIF('Metrics - Articles'!F977,"*GCO – Services Sales*")</f>
        <v>0</v>
      </c>
      <c r="O980">
        <f>COUNTIF('Metrics - Articles'!F977,"*GCO – Other*")</f>
        <v>0</v>
      </c>
      <c r="P980">
        <f>COUNTIF('Metrics - Articles'!F977,"*Corporate*")</f>
        <v>0</v>
      </c>
      <c r="R980" s="53">
        <f t="shared" si="17"/>
        <v>0</v>
      </c>
    </row>
    <row r="981" spans="2:18" hidden="1" x14ac:dyDescent="0.25">
      <c r="B981" s="48">
        <f>+'Metrics - Articles'!C978</f>
        <v>0</v>
      </c>
      <c r="C981">
        <f>COUNTIF('Metrics - Articles'!F978,"*GPO (Partner, Ecosystem, Channels)*")</f>
        <v>0</v>
      </c>
      <c r="D981">
        <f>COUNTIF('Metrics - Articles'!F978,"*Office of the CEO*")</f>
        <v>0</v>
      </c>
      <c r="E981">
        <f>COUNTIF('Metrics - Articles'!F978,"*Services Delivery &amp; Support (go-lives and deployments) *")</f>
        <v>0</v>
      </c>
      <c r="F981">
        <f>COUNTIF('Metrics - Articles'!F978,"*Human Resources (SAP HR and employee stories)*")</f>
        <v>0</v>
      </c>
      <c r="G981">
        <f>COUNTIF('Metrics - Articles'!F978,"*P&amp;I (Research &amp; Development)*")</f>
        <v>0</v>
      </c>
      <c r="H981">
        <f>COUNTIF('Metrics - Articles'!F978,"*Business Network (Concur, Ariba, Fieldglass)*")</f>
        <v>0</v>
      </c>
      <c r="I981">
        <f>COUNTIF('Metrics - Articles'!F978,"*GCO – Regions*")</f>
        <v>0</v>
      </c>
      <c r="J981">
        <f>COUNTIF('Metrics - Articles'!F978,"*GCO – Platform Solutions*")</f>
        <v>0</v>
      </c>
      <c r="K981">
        <f>COUNTIF('Metrics - Articles'!F978,"*GCO – Industry Cloud *")</f>
        <v>0</v>
      </c>
      <c r="L981">
        <f>COUNTIF('Metrics - Articles'!F978,"*GCO – Customer Engagement &amp; Commerce (CRM &amp; hybris) *")</f>
        <v>0</v>
      </c>
      <c r="M981">
        <f>COUNTIF('Metrics - Articles'!F978,"*GCO – HR (SuccessFactors)*")</f>
        <v>0</v>
      </c>
      <c r="N981">
        <f>COUNTIF('Metrics - Articles'!F978,"*GCO – Services Sales*")</f>
        <v>0</v>
      </c>
      <c r="O981">
        <f>COUNTIF('Metrics - Articles'!F978,"*GCO – Other*")</f>
        <v>0</v>
      </c>
      <c r="P981">
        <f>COUNTIF('Metrics - Articles'!F978,"*Corporate*")</f>
        <v>0</v>
      </c>
      <c r="R981" s="53">
        <f t="shared" si="17"/>
        <v>0</v>
      </c>
    </row>
    <row r="982" spans="2:18" hidden="1" x14ac:dyDescent="0.25">
      <c r="B982" s="48">
        <f>+'Metrics - Articles'!C979</f>
        <v>0</v>
      </c>
      <c r="C982">
        <f>COUNTIF('Metrics - Articles'!F979,"*GPO (Partner, Ecosystem, Channels)*")</f>
        <v>0</v>
      </c>
      <c r="D982">
        <f>COUNTIF('Metrics - Articles'!F979,"*Office of the CEO*")</f>
        <v>0</v>
      </c>
      <c r="E982">
        <f>COUNTIF('Metrics - Articles'!F979,"*Services Delivery &amp; Support (go-lives and deployments) *")</f>
        <v>0</v>
      </c>
      <c r="F982">
        <f>COUNTIF('Metrics - Articles'!F979,"*Human Resources (SAP HR and employee stories)*")</f>
        <v>0</v>
      </c>
      <c r="G982">
        <f>COUNTIF('Metrics - Articles'!F979,"*P&amp;I (Research &amp; Development)*")</f>
        <v>0</v>
      </c>
      <c r="H982">
        <f>COUNTIF('Metrics - Articles'!F979,"*Business Network (Concur, Ariba, Fieldglass)*")</f>
        <v>0</v>
      </c>
      <c r="I982">
        <f>COUNTIF('Metrics - Articles'!F979,"*GCO – Regions*")</f>
        <v>0</v>
      </c>
      <c r="J982">
        <f>COUNTIF('Metrics - Articles'!F979,"*GCO – Platform Solutions*")</f>
        <v>0</v>
      </c>
      <c r="K982">
        <f>COUNTIF('Metrics - Articles'!F979,"*GCO – Industry Cloud *")</f>
        <v>0</v>
      </c>
      <c r="L982">
        <f>COUNTIF('Metrics - Articles'!F979,"*GCO – Customer Engagement &amp; Commerce (CRM &amp; hybris) *")</f>
        <v>0</v>
      </c>
      <c r="M982">
        <f>COUNTIF('Metrics - Articles'!F979,"*GCO – HR (SuccessFactors)*")</f>
        <v>0</v>
      </c>
      <c r="N982">
        <f>COUNTIF('Metrics - Articles'!F979,"*GCO – Services Sales*")</f>
        <v>0</v>
      </c>
      <c r="O982">
        <f>COUNTIF('Metrics - Articles'!F979,"*GCO – Other*")</f>
        <v>0</v>
      </c>
      <c r="P982">
        <f>COUNTIF('Metrics - Articles'!F979,"*Corporate*")</f>
        <v>0</v>
      </c>
      <c r="R982" s="53">
        <f t="shared" si="17"/>
        <v>0</v>
      </c>
    </row>
    <row r="983" spans="2:18" hidden="1" x14ac:dyDescent="0.25">
      <c r="B983" s="48">
        <f>+'Metrics - Articles'!C980</f>
        <v>0</v>
      </c>
      <c r="C983">
        <f>COUNTIF('Metrics - Articles'!F980,"*GPO (Partner, Ecosystem, Channels)*")</f>
        <v>0</v>
      </c>
      <c r="D983">
        <f>COUNTIF('Metrics - Articles'!F980,"*Office of the CEO*")</f>
        <v>0</v>
      </c>
      <c r="E983">
        <f>COUNTIF('Metrics - Articles'!F980,"*Services Delivery &amp; Support (go-lives and deployments) *")</f>
        <v>0</v>
      </c>
      <c r="F983">
        <f>COUNTIF('Metrics - Articles'!F980,"*Human Resources (SAP HR and employee stories)*")</f>
        <v>0</v>
      </c>
      <c r="G983">
        <f>COUNTIF('Metrics - Articles'!F980,"*P&amp;I (Research &amp; Development)*")</f>
        <v>0</v>
      </c>
      <c r="H983">
        <f>COUNTIF('Metrics - Articles'!F980,"*Business Network (Concur, Ariba, Fieldglass)*")</f>
        <v>0</v>
      </c>
      <c r="I983">
        <f>COUNTIF('Metrics - Articles'!F980,"*GCO – Regions*")</f>
        <v>0</v>
      </c>
      <c r="J983">
        <f>COUNTIF('Metrics - Articles'!F980,"*GCO – Platform Solutions*")</f>
        <v>0</v>
      </c>
      <c r="K983">
        <f>COUNTIF('Metrics - Articles'!F980,"*GCO – Industry Cloud *")</f>
        <v>0</v>
      </c>
      <c r="L983">
        <f>COUNTIF('Metrics - Articles'!F980,"*GCO – Customer Engagement &amp; Commerce (CRM &amp; hybris) *")</f>
        <v>0</v>
      </c>
      <c r="M983">
        <f>COUNTIF('Metrics - Articles'!F980,"*GCO – HR (SuccessFactors)*")</f>
        <v>0</v>
      </c>
      <c r="N983">
        <f>COUNTIF('Metrics - Articles'!F980,"*GCO – Services Sales*")</f>
        <v>0</v>
      </c>
      <c r="O983">
        <f>COUNTIF('Metrics - Articles'!F980,"*GCO – Other*")</f>
        <v>0</v>
      </c>
      <c r="P983">
        <f>COUNTIF('Metrics - Articles'!F980,"*Corporate*")</f>
        <v>0</v>
      </c>
      <c r="R983" s="53">
        <f t="shared" si="17"/>
        <v>0</v>
      </c>
    </row>
    <row r="984" spans="2:18" hidden="1" x14ac:dyDescent="0.25">
      <c r="B984" s="48">
        <f>+'Metrics - Articles'!C981</f>
        <v>0</v>
      </c>
      <c r="C984">
        <f>COUNTIF('Metrics - Articles'!F981,"*GPO (Partner, Ecosystem, Channels)*")</f>
        <v>0</v>
      </c>
      <c r="D984">
        <f>COUNTIF('Metrics - Articles'!F981,"*Office of the CEO*")</f>
        <v>0</v>
      </c>
      <c r="E984">
        <f>COUNTIF('Metrics - Articles'!F981,"*Services Delivery &amp; Support (go-lives and deployments) *")</f>
        <v>0</v>
      </c>
      <c r="F984">
        <f>COUNTIF('Metrics - Articles'!F981,"*Human Resources (SAP HR and employee stories)*")</f>
        <v>0</v>
      </c>
      <c r="G984">
        <f>COUNTIF('Metrics - Articles'!F981,"*P&amp;I (Research &amp; Development)*")</f>
        <v>0</v>
      </c>
      <c r="H984">
        <f>COUNTIF('Metrics - Articles'!F981,"*Business Network (Concur, Ariba, Fieldglass)*")</f>
        <v>0</v>
      </c>
      <c r="I984">
        <f>COUNTIF('Metrics - Articles'!F981,"*GCO – Regions*")</f>
        <v>0</v>
      </c>
      <c r="J984">
        <f>COUNTIF('Metrics - Articles'!F981,"*GCO – Platform Solutions*")</f>
        <v>0</v>
      </c>
      <c r="K984">
        <f>COUNTIF('Metrics - Articles'!F981,"*GCO – Industry Cloud *")</f>
        <v>0</v>
      </c>
      <c r="L984">
        <f>COUNTIF('Metrics - Articles'!F981,"*GCO – Customer Engagement &amp; Commerce (CRM &amp; hybris) *")</f>
        <v>0</v>
      </c>
      <c r="M984">
        <f>COUNTIF('Metrics - Articles'!F981,"*GCO – HR (SuccessFactors)*")</f>
        <v>0</v>
      </c>
      <c r="N984">
        <f>COUNTIF('Metrics - Articles'!F981,"*GCO – Services Sales*")</f>
        <v>0</v>
      </c>
      <c r="O984">
        <f>COUNTIF('Metrics - Articles'!F981,"*GCO – Other*")</f>
        <v>0</v>
      </c>
      <c r="P984">
        <f>COUNTIF('Metrics - Articles'!F981,"*Corporate*")</f>
        <v>0</v>
      </c>
      <c r="R984" s="53">
        <f t="shared" si="17"/>
        <v>0</v>
      </c>
    </row>
    <row r="985" spans="2:18" hidden="1" x14ac:dyDescent="0.25">
      <c r="B985" s="48">
        <f>+'Metrics - Articles'!C982</f>
        <v>0</v>
      </c>
      <c r="C985">
        <f>COUNTIF('Metrics - Articles'!F982,"*GPO (Partner, Ecosystem, Channels)*")</f>
        <v>0</v>
      </c>
      <c r="D985">
        <f>COUNTIF('Metrics - Articles'!F982,"*Office of the CEO*")</f>
        <v>0</v>
      </c>
      <c r="E985">
        <f>COUNTIF('Metrics - Articles'!F982,"*Services Delivery &amp; Support (go-lives and deployments) *")</f>
        <v>0</v>
      </c>
      <c r="F985">
        <f>COUNTIF('Metrics - Articles'!F982,"*Human Resources (SAP HR and employee stories)*")</f>
        <v>0</v>
      </c>
      <c r="G985">
        <f>COUNTIF('Metrics - Articles'!F982,"*P&amp;I (Research &amp; Development)*")</f>
        <v>0</v>
      </c>
      <c r="H985">
        <f>COUNTIF('Metrics - Articles'!F982,"*Business Network (Concur, Ariba, Fieldglass)*")</f>
        <v>0</v>
      </c>
      <c r="I985">
        <f>COUNTIF('Metrics - Articles'!F982,"*GCO – Regions*")</f>
        <v>0</v>
      </c>
      <c r="J985">
        <f>COUNTIF('Metrics - Articles'!F982,"*GCO – Platform Solutions*")</f>
        <v>0</v>
      </c>
      <c r="K985">
        <f>COUNTIF('Metrics - Articles'!F982,"*GCO – Industry Cloud *")</f>
        <v>0</v>
      </c>
      <c r="L985">
        <f>COUNTIF('Metrics - Articles'!F982,"*GCO – Customer Engagement &amp; Commerce (CRM &amp; hybris) *")</f>
        <v>0</v>
      </c>
      <c r="M985">
        <f>COUNTIF('Metrics - Articles'!F982,"*GCO – HR (SuccessFactors)*")</f>
        <v>0</v>
      </c>
      <c r="N985">
        <f>COUNTIF('Metrics - Articles'!F982,"*GCO – Services Sales*")</f>
        <v>0</v>
      </c>
      <c r="O985">
        <f>COUNTIF('Metrics - Articles'!F982,"*GCO – Other*")</f>
        <v>0</v>
      </c>
      <c r="P985">
        <f>COUNTIF('Metrics - Articles'!F982,"*Corporate*")</f>
        <v>0</v>
      </c>
      <c r="R985" s="53">
        <f t="shared" si="17"/>
        <v>0</v>
      </c>
    </row>
    <row r="986" spans="2:18" hidden="1" x14ac:dyDescent="0.25">
      <c r="B986" s="48">
        <f>+'Metrics - Articles'!C983</f>
        <v>0</v>
      </c>
      <c r="C986">
        <f>COUNTIF('Metrics - Articles'!F983,"*GPO (Partner, Ecosystem, Channels)*")</f>
        <v>0</v>
      </c>
      <c r="D986">
        <f>COUNTIF('Metrics - Articles'!F983,"*Office of the CEO*")</f>
        <v>0</v>
      </c>
      <c r="E986">
        <f>COUNTIF('Metrics - Articles'!F983,"*Services Delivery &amp; Support (go-lives and deployments) *")</f>
        <v>0</v>
      </c>
      <c r="F986">
        <f>COUNTIF('Metrics - Articles'!F983,"*Human Resources (SAP HR and employee stories)*")</f>
        <v>0</v>
      </c>
      <c r="G986">
        <f>COUNTIF('Metrics - Articles'!F983,"*P&amp;I (Research &amp; Development)*")</f>
        <v>0</v>
      </c>
      <c r="H986">
        <f>COUNTIF('Metrics - Articles'!F983,"*Business Network (Concur, Ariba, Fieldglass)*")</f>
        <v>0</v>
      </c>
      <c r="I986">
        <f>COUNTIF('Metrics - Articles'!F983,"*GCO – Regions*")</f>
        <v>0</v>
      </c>
      <c r="J986">
        <f>COUNTIF('Metrics - Articles'!F983,"*GCO – Platform Solutions*")</f>
        <v>0</v>
      </c>
      <c r="K986">
        <f>COUNTIF('Metrics - Articles'!F983,"*GCO – Industry Cloud *")</f>
        <v>0</v>
      </c>
      <c r="L986">
        <f>COUNTIF('Metrics - Articles'!F983,"*GCO – Customer Engagement &amp; Commerce (CRM &amp; hybris) *")</f>
        <v>0</v>
      </c>
      <c r="M986">
        <f>COUNTIF('Metrics - Articles'!F983,"*GCO – HR (SuccessFactors)*")</f>
        <v>0</v>
      </c>
      <c r="N986">
        <f>COUNTIF('Metrics - Articles'!F983,"*GCO – Services Sales*")</f>
        <v>0</v>
      </c>
      <c r="O986">
        <f>COUNTIF('Metrics - Articles'!F983,"*GCO – Other*")</f>
        <v>0</v>
      </c>
      <c r="P986">
        <f>COUNTIF('Metrics - Articles'!F983,"*Corporate*")</f>
        <v>0</v>
      </c>
      <c r="R986" s="53">
        <f t="shared" si="17"/>
        <v>0</v>
      </c>
    </row>
    <row r="987" spans="2:18" hidden="1" x14ac:dyDescent="0.25">
      <c r="B987" s="48">
        <f>+'Metrics - Articles'!C984</f>
        <v>0</v>
      </c>
      <c r="C987">
        <f>COUNTIF('Metrics - Articles'!F984,"*GPO (Partner, Ecosystem, Channels)*")</f>
        <v>0</v>
      </c>
      <c r="D987">
        <f>COUNTIF('Metrics - Articles'!F984,"*Office of the CEO*")</f>
        <v>0</v>
      </c>
      <c r="E987">
        <f>COUNTIF('Metrics - Articles'!F984,"*Services Delivery &amp; Support (go-lives and deployments) *")</f>
        <v>0</v>
      </c>
      <c r="F987">
        <f>COUNTIF('Metrics - Articles'!F984,"*Human Resources (SAP HR and employee stories)*")</f>
        <v>0</v>
      </c>
      <c r="G987">
        <f>COUNTIF('Metrics - Articles'!F984,"*P&amp;I (Research &amp; Development)*")</f>
        <v>0</v>
      </c>
      <c r="H987">
        <f>COUNTIF('Metrics - Articles'!F984,"*Business Network (Concur, Ariba, Fieldglass)*")</f>
        <v>0</v>
      </c>
      <c r="I987">
        <f>COUNTIF('Metrics - Articles'!F984,"*GCO – Regions*")</f>
        <v>0</v>
      </c>
      <c r="J987">
        <f>COUNTIF('Metrics - Articles'!F984,"*GCO – Platform Solutions*")</f>
        <v>0</v>
      </c>
      <c r="K987">
        <f>COUNTIF('Metrics - Articles'!F984,"*GCO – Industry Cloud *")</f>
        <v>0</v>
      </c>
      <c r="L987">
        <f>COUNTIF('Metrics - Articles'!F984,"*GCO – Customer Engagement &amp; Commerce (CRM &amp; hybris) *")</f>
        <v>0</v>
      </c>
      <c r="M987">
        <f>COUNTIF('Metrics - Articles'!F984,"*GCO – HR (SuccessFactors)*")</f>
        <v>0</v>
      </c>
      <c r="N987">
        <f>COUNTIF('Metrics - Articles'!F984,"*GCO – Services Sales*")</f>
        <v>0</v>
      </c>
      <c r="O987">
        <f>COUNTIF('Metrics - Articles'!F984,"*GCO – Other*")</f>
        <v>0</v>
      </c>
      <c r="P987">
        <f>COUNTIF('Metrics - Articles'!F984,"*Corporate*")</f>
        <v>0</v>
      </c>
      <c r="R987" s="53">
        <f t="shared" si="17"/>
        <v>0</v>
      </c>
    </row>
    <row r="988" spans="2:18" hidden="1" x14ac:dyDescent="0.25">
      <c r="B988" s="48">
        <f>+'Metrics - Articles'!C985</f>
        <v>0</v>
      </c>
      <c r="C988">
        <f>COUNTIF('Metrics - Articles'!F985,"*GPO (Partner, Ecosystem, Channels)*")</f>
        <v>0</v>
      </c>
      <c r="D988">
        <f>COUNTIF('Metrics - Articles'!F985,"*Office of the CEO*")</f>
        <v>0</v>
      </c>
      <c r="E988">
        <f>COUNTIF('Metrics - Articles'!F985,"*Services Delivery &amp; Support (go-lives and deployments) *")</f>
        <v>0</v>
      </c>
      <c r="F988">
        <f>COUNTIF('Metrics - Articles'!F985,"*Human Resources (SAP HR and employee stories)*")</f>
        <v>0</v>
      </c>
      <c r="G988">
        <f>COUNTIF('Metrics - Articles'!F985,"*P&amp;I (Research &amp; Development)*")</f>
        <v>0</v>
      </c>
      <c r="H988">
        <f>COUNTIF('Metrics - Articles'!F985,"*Business Network (Concur, Ariba, Fieldglass)*")</f>
        <v>0</v>
      </c>
      <c r="I988">
        <f>COUNTIF('Metrics - Articles'!F985,"*GCO – Regions*")</f>
        <v>0</v>
      </c>
      <c r="J988">
        <f>COUNTIF('Metrics - Articles'!F985,"*GCO – Platform Solutions*")</f>
        <v>0</v>
      </c>
      <c r="K988">
        <f>COUNTIF('Metrics - Articles'!F985,"*GCO – Industry Cloud *")</f>
        <v>0</v>
      </c>
      <c r="L988">
        <f>COUNTIF('Metrics - Articles'!F985,"*GCO – Customer Engagement &amp; Commerce (CRM &amp; hybris) *")</f>
        <v>0</v>
      </c>
      <c r="M988">
        <f>COUNTIF('Metrics - Articles'!F985,"*GCO – HR (SuccessFactors)*")</f>
        <v>0</v>
      </c>
      <c r="N988">
        <f>COUNTIF('Metrics - Articles'!F985,"*GCO – Services Sales*")</f>
        <v>0</v>
      </c>
      <c r="O988">
        <f>COUNTIF('Metrics - Articles'!F985,"*GCO – Other*")</f>
        <v>0</v>
      </c>
      <c r="P988">
        <f>COUNTIF('Metrics - Articles'!F985,"*Corporate*")</f>
        <v>0</v>
      </c>
      <c r="R988" s="53">
        <f t="shared" si="17"/>
        <v>0</v>
      </c>
    </row>
    <row r="989" spans="2:18" hidden="1" x14ac:dyDescent="0.25">
      <c r="B989" s="48">
        <f>+'Metrics - Articles'!C986</f>
        <v>0</v>
      </c>
      <c r="C989">
        <f>COUNTIF('Metrics - Articles'!F986,"*GPO (Partner, Ecosystem, Channels)*")</f>
        <v>0</v>
      </c>
      <c r="D989">
        <f>COUNTIF('Metrics - Articles'!F986,"*Office of the CEO*")</f>
        <v>0</v>
      </c>
      <c r="E989">
        <f>COUNTIF('Metrics - Articles'!F986,"*Services Delivery &amp; Support (go-lives and deployments) *")</f>
        <v>0</v>
      </c>
      <c r="F989">
        <f>COUNTIF('Metrics - Articles'!F986,"*Human Resources (SAP HR and employee stories)*")</f>
        <v>0</v>
      </c>
      <c r="G989">
        <f>COUNTIF('Metrics - Articles'!F986,"*P&amp;I (Research &amp; Development)*")</f>
        <v>0</v>
      </c>
      <c r="H989">
        <f>COUNTIF('Metrics - Articles'!F986,"*Business Network (Concur, Ariba, Fieldglass)*")</f>
        <v>0</v>
      </c>
      <c r="I989">
        <f>COUNTIF('Metrics - Articles'!F986,"*GCO – Regions*")</f>
        <v>0</v>
      </c>
      <c r="J989">
        <f>COUNTIF('Metrics - Articles'!F986,"*GCO – Platform Solutions*")</f>
        <v>0</v>
      </c>
      <c r="K989">
        <f>COUNTIF('Metrics - Articles'!F986,"*GCO – Industry Cloud *")</f>
        <v>0</v>
      </c>
      <c r="L989">
        <f>COUNTIF('Metrics - Articles'!F986,"*GCO – Customer Engagement &amp; Commerce (CRM &amp; hybris) *")</f>
        <v>0</v>
      </c>
      <c r="M989">
        <f>COUNTIF('Metrics - Articles'!F986,"*GCO – HR (SuccessFactors)*")</f>
        <v>0</v>
      </c>
      <c r="N989">
        <f>COUNTIF('Metrics - Articles'!F986,"*GCO – Services Sales*")</f>
        <v>0</v>
      </c>
      <c r="O989">
        <f>COUNTIF('Metrics - Articles'!F986,"*GCO – Other*")</f>
        <v>0</v>
      </c>
      <c r="P989">
        <f>COUNTIF('Metrics - Articles'!F986,"*Corporate*")</f>
        <v>0</v>
      </c>
      <c r="R989" s="53">
        <f t="shared" si="17"/>
        <v>0</v>
      </c>
    </row>
    <row r="990" spans="2:18" hidden="1" x14ac:dyDescent="0.25">
      <c r="B990" s="48">
        <f>+'Metrics - Articles'!C987</f>
        <v>0</v>
      </c>
      <c r="C990">
        <f>COUNTIF('Metrics - Articles'!F987,"*GPO (Partner, Ecosystem, Channels)*")</f>
        <v>0</v>
      </c>
      <c r="D990">
        <f>COUNTIF('Metrics - Articles'!F987,"*Office of the CEO*")</f>
        <v>0</v>
      </c>
      <c r="E990">
        <f>COUNTIF('Metrics - Articles'!F987,"*Services Delivery &amp; Support (go-lives and deployments) *")</f>
        <v>0</v>
      </c>
      <c r="F990">
        <f>COUNTIF('Metrics - Articles'!F987,"*Human Resources (SAP HR and employee stories)*")</f>
        <v>0</v>
      </c>
      <c r="G990">
        <f>COUNTIF('Metrics - Articles'!F987,"*P&amp;I (Research &amp; Development)*")</f>
        <v>0</v>
      </c>
      <c r="H990">
        <f>COUNTIF('Metrics - Articles'!F987,"*Business Network (Concur, Ariba, Fieldglass)*")</f>
        <v>0</v>
      </c>
      <c r="I990">
        <f>COUNTIF('Metrics - Articles'!F987,"*GCO – Regions*")</f>
        <v>0</v>
      </c>
      <c r="J990">
        <f>COUNTIF('Metrics - Articles'!F987,"*GCO – Platform Solutions*")</f>
        <v>0</v>
      </c>
      <c r="K990">
        <f>COUNTIF('Metrics - Articles'!F987,"*GCO – Industry Cloud *")</f>
        <v>0</v>
      </c>
      <c r="L990">
        <f>COUNTIF('Metrics - Articles'!F987,"*GCO – Customer Engagement &amp; Commerce (CRM &amp; hybris) *")</f>
        <v>0</v>
      </c>
      <c r="M990">
        <f>COUNTIF('Metrics - Articles'!F987,"*GCO – HR (SuccessFactors)*")</f>
        <v>0</v>
      </c>
      <c r="N990">
        <f>COUNTIF('Metrics - Articles'!F987,"*GCO – Services Sales*")</f>
        <v>0</v>
      </c>
      <c r="O990">
        <f>COUNTIF('Metrics - Articles'!F987,"*GCO – Other*")</f>
        <v>0</v>
      </c>
      <c r="P990">
        <f>COUNTIF('Metrics - Articles'!F987,"*Corporate*")</f>
        <v>0</v>
      </c>
      <c r="R990" s="53">
        <f t="shared" si="17"/>
        <v>0</v>
      </c>
    </row>
    <row r="991" spans="2:18" hidden="1" x14ac:dyDescent="0.25">
      <c r="B991" s="48">
        <f>+'Metrics - Articles'!C988</f>
        <v>0</v>
      </c>
      <c r="C991">
        <f>COUNTIF('Metrics - Articles'!F988,"*GPO (Partner, Ecosystem, Channels)*")</f>
        <v>0</v>
      </c>
      <c r="D991">
        <f>COUNTIF('Metrics - Articles'!F988,"*Office of the CEO*")</f>
        <v>0</v>
      </c>
      <c r="E991">
        <f>COUNTIF('Metrics - Articles'!F988,"*Services Delivery &amp; Support (go-lives and deployments) *")</f>
        <v>0</v>
      </c>
      <c r="F991">
        <f>COUNTIF('Metrics - Articles'!F988,"*Human Resources (SAP HR and employee stories)*")</f>
        <v>0</v>
      </c>
      <c r="G991">
        <f>COUNTIF('Metrics - Articles'!F988,"*P&amp;I (Research &amp; Development)*")</f>
        <v>0</v>
      </c>
      <c r="H991">
        <f>COUNTIF('Metrics - Articles'!F988,"*Business Network (Concur, Ariba, Fieldglass)*")</f>
        <v>0</v>
      </c>
      <c r="I991">
        <f>COUNTIF('Metrics - Articles'!F988,"*GCO – Regions*")</f>
        <v>0</v>
      </c>
      <c r="J991">
        <f>COUNTIF('Metrics - Articles'!F988,"*GCO – Platform Solutions*")</f>
        <v>0</v>
      </c>
      <c r="K991">
        <f>COUNTIF('Metrics - Articles'!F988,"*GCO – Industry Cloud *")</f>
        <v>0</v>
      </c>
      <c r="L991">
        <f>COUNTIF('Metrics - Articles'!F988,"*GCO – Customer Engagement &amp; Commerce (CRM &amp; hybris) *")</f>
        <v>0</v>
      </c>
      <c r="M991">
        <f>COUNTIF('Metrics - Articles'!F988,"*GCO – HR (SuccessFactors)*")</f>
        <v>0</v>
      </c>
      <c r="N991">
        <f>COUNTIF('Metrics - Articles'!F988,"*GCO – Services Sales*")</f>
        <v>0</v>
      </c>
      <c r="O991">
        <f>COUNTIF('Metrics - Articles'!F988,"*GCO – Other*")</f>
        <v>0</v>
      </c>
      <c r="P991">
        <f>COUNTIF('Metrics - Articles'!F988,"*Corporate*")</f>
        <v>0</v>
      </c>
      <c r="R991" s="53">
        <f t="shared" si="17"/>
        <v>0</v>
      </c>
    </row>
    <row r="992" spans="2:18" hidden="1" x14ac:dyDescent="0.25">
      <c r="B992" s="48">
        <f>+'Metrics - Articles'!C989</f>
        <v>0</v>
      </c>
      <c r="C992">
        <f>COUNTIF('Metrics - Articles'!F989,"*GPO (Partner, Ecosystem, Channels)*")</f>
        <v>0</v>
      </c>
      <c r="D992">
        <f>COUNTIF('Metrics - Articles'!F989,"*Office of the CEO*")</f>
        <v>0</v>
      </c>
      <c r="E992">
        <f>COUNTIF('Metrics - Articles'!F989,"*Services Delivery &amp; Support (go-lives and deployments) *")</f>
        <v>0</v>
      </c>
      <c r="F992">
        <f>COUNTIF('Metrics - Articles'!F989,"*Human Resources (SAP HR and employee stories)*")</f>
        <v>0</v>
      </c>
      <c r="G992">
        <f>COUNTIF('Metrics - Articles'!F989,"*P&amp;I (Research &amp; Development)*")</f>
        <v>0</v>
      </c>
      <c r="H992">
        <f>COUNTIF('Metrics - Articles'!F989,"*Business Network (Concur, Ariba, Fieldglass)*")</f>
        <v>0</v>
      </c>
      <c r="I992">
        <f>COUNTIF('Metrics - Articles'!F989,"*GCO – Regions*")</f>
        <v>0</v>
      </c>
      <c r="J992">
        <f>COUNTIF('Metrics - Articles'!F989,"*GCO – Platform Solutions*")</f>
        <v>0</v>
      </c>
      <c r="K992">
        <f>COUNTIF('Metrics - Articles'!F989,"*GCO – Industry Cloud *")</f>
        <v>0</v>
      </c>
      <c r="L992">
        <f>COUNTIF('Metrics - Articles'!F989,"*GCO – Customer Engagement &amp; Commerce (CRM &amp; hybris) *")</f>
        <v>0</v>
      </c>
      <c r="M992">
        <f>COUNTIF('Metrics - Articles'!F989,"*GCO – HR (SuccessFactors)*")</f>
        <v>0</v>
      </c>
      <c r="N992">
        <f>COUNTIF('Metrics - Articles'!F989,"*GCO – Services Sales*")</f>
        <v>0</v>
      </c>
      <c r="O992">
        <f>COUNTIF('Metrics - Articles'!F989,"*GCO – Other*")</f>
        <v>0</v>
      </c>
      <c r="P992">
        <f>COUNTIF('Metrics - Articles'!F989,"*Corporate*")</f>
        <v>0</v>
      </c>
      <c r="R992" s="53">
        <f t="shared" si="17"/>
        <v>0</v>
      </c>
    </row>
    <row r="993" spans="2:18" hidden="1" x14ac:dyDescent="0.25">
      <c r="B993" s="48">
        <f>+'Metrics - Articles'!C990</f>
        <v>0</v>
      </c>
      <c r="C993">
        <f>COUNTIF('Metrics - Articles'!F990,"*GPO (Partner, Ecosystem, Channels)*")</f>
        <v>0</v>
      </c>
      <c r="D993">
        <f>COUNTIF('Metrics - Articles'!F990,"*Office of the CEO*")</f>
        <v>0</v>
      </c>
      <c r="E993">
        <f>COUNTIF('Metrics - Articles'!F990,"*Services Delivery &amp; Support (go-lives and deployments) *")</f>
        <v>0</v>
      </c>
      <c r="F993">
        <f>COUNTIF('Metrics - Articles'!F990,"*Human Resources (SAP HR and employee stories)*")</f>
        <v>0</v>
      </c>
      <c r="G993">
        <f>COUNTIF('Metrics - Articles'!F990,"*P&amp;I (Research &amp; Development)*")</f>
        <v>0</v>
      </c>
      <c r="H993">
        <f>COUNTIF('Metrics - Articles'!F990,"*Business Network (Concur, Ariba, Fieldglass)*")</f>
        <v>0</v>
      </c>
      <c r="I993">
        <f>COUNTIF('Metrics - Articles'!F990,"*GCO – Regions*")</f>
        <v>0</v>
      </c>
      <c r="J993">
        <f>COUNTIF('Metrics - Articles'!F990,"*GCO – Platform Solutions*")</f>
        <v>0</v>
      </c>
      <c r="K993">
        <f>COUNTIF('Metrics - Articles'!F990,"*GCO – Industry Cloud *")</f>
        <v>0</v>
      </c>
      <c r="L993">
        <f>COUNTIF('Metrics - Articles'!F990,"*GCO – Customer Engagement &amp; Commerce (CRM &amp; hybris) *")</f>
        <v>0</v>
      </c>
      <c r="M993">
        <f>COUNTIF('Metrics - Articles'!F990,"*GCO – HR (SuccessFactors)*")</f>
        <v>0</v>
      </c>
      <c r="N993">
        <f>COUNTIF('Metrics - Articles'!F990,"*GCO – Services Sales*")</f>
        <v>0</v>
      </c>
      <c r="O993">
        <f>COUNTIF('Metrics - Articles'!F990,"*GCO – Other*")</f>
        <v>0</v>
      </c>
      <c r="P993">
        <f>COUNTIF('Metrics - Articles'!F990,"*Corporate*")</f>
        <v>0</v>
      </c>
      <c r="R993" s="53">
        <f t="shared" si="17"/>
        <v>0</v>
      </c>
    </row>
    <row r="994" spans="2:18" hidden="1" x14ac:dyDescent="0.25">
      <c r="B994" s="48">
        <f>+'Metrics - Articles'!C991</f>
        <v>0</v>
      </c>
      <c r="C994">
        <f>COUNTIF('Metrics - Articles'!F991,"*GPO (Partner, Ecosystem, Channels)*")</f>
        <v>0</v>
      </c>
      <c r="D994">
        <f>COUNTIF('Metrics - Articles'!F991,"*Office of the CEO*")</f>
        <v>0</v>
      </c>
      <c r="E994">
        <f>COUNTIF('Metrics - Articles'!F991,"*Services Delivery &amp; Support (go-lives and deployments) *")</f>
        <v>0</v>
      </c>
      <c r="F994">
        <f>COUNTIF('Metrics - Articles'!F991,"*Human Resources (SAP HR and employee stories)*")</f>
        <v>0</v>
      </c>
      <c r="G994">
        <f>COUNTIF('Metrics - Articles'!F991,"*P&amp;I (Research &amp; Development)*")</f>
        <v>0</v>
      </c>
      <c r="H994">
        <f>COUNTIF('Metrics - Articles'!F991,"*Business Network (Concur, Ariba, Fieldglass)*")</f>
        <v>0</v>
      </c>
      <c r="I994">
        <f>COUNTIF('Metrics - Articles'!F991,"*GCO – Regions*")</f>
        <v>0</v>
      </c>
      <c r="J994">
        <f>COUNTIF('Metrics - Articles'!F991,"*GCO – Platform Solutions*")</f>
        <v>0</v>
      </c>
      <c r="K994">
        <f>COUNTIF('Metrics - Articles'!F991,"*GCO – Industry Cloud *")</f>
        <v>0</v>
      </c>
      <c r="L994">
        <f>COUNTIF('Metrics - Articles'!F991,"*GCO – Customer Engagement &amp; Commerce (CRM &amp; hybris) *")</f>
        <v>0</v>
      </c>
      <c r="M994">
        <f>COUNTIF('Metrics - Articles'!F991,"*GCO – HR (SuccessFactors)*")</f>
        <v>0</v>
      </c>
      <c r="N994">
        <f>COUNTIF('Metrics - Articles'!F991,"*GCO – Services Sales*")</f>
        <v>0</v>
      </c>
      <c r="O994">
        <f>COUNTIF('Metrics - Articles'!F991,"*GCO – Other*")</f>
        <v>0</v>
      </c>
      <c r="P994">
        <f>COUNTIF('Metrics - Articles'!F991,"*Corporate*")</f>
        <v>0</v>
      </c>
      <c r="R994" s="53">
        <f t="shared" si="17"/>
        <v>0</v>
      </c>
    </row>
    <row r="995" spans="2:18" hidden="1" x14ac:dyDescent="0.25">
      <c r="B995" s="48">
        <f>+'Metrics - Articles'!C992</f>
        <v>0</v>
      </c>
      <c r="C995">
        <f>COUNTIF('Metrics - Articles'!F992,"*GPO (Partner, Ecosystem, Channels)*")</f>
        <v>0</v>
      </c>
      <c r="D995">
        <f>COUNTIF('Metrics - Articles'!F992,"*Office of the CEO*")</f>
        <v>0</v>
      </c>
      <c r="E995">
        <f>COUNTIF('Metrics - Articles'!F992,"*Services Delivery &amp; Support (go-lives and deployments) *")</f>
        <v>0</v>
      </c>
      <c r="F995">
        <f>COUNTIF('Metrics - Articles'!F992,"*Human Resources (SAP HR and employee stories)*")</f>
        <v>0</v>
      </c>
      <c r="G995">
        <f>COUNTIF('Metrics - Articles'!F992,"*P&amp;I (Research &amp; Development)*")</f>
        <v>0</v>
      </c>
      <c r="H995">
        <f>COUNTIF('Metrics - Articles'!F992,"*Business Network (Concur, Ariba, Fieldglass)*")</f>
        <v>0</v>
      </c>
      <c r="I995">
        <f>COUNTIF('Metrics - Articles'!F992,"*GCO – Regions*")</f>
        <v>0</v>
      </c>
      <c r="J995">
        <f>COUNTIF('Metrics - Articles'!F992,"*GCO – Platform Solutions*")</f>
        <v>0</v>
      </c>
      <c r="K995">
        <f>COUNTIF('Metrics - Articles'!F992,"*GCO – Industry Cloud *")</f>
        <v>0</v>
      </c>
      <c r="L995">
        <f>COUNTIF('Metrics - Articles'!F992,"*GCO – Customer Engagement &amp; Commerce (CRM &amp; hybris) *")</f>
        <v>0</v>
      </c>
      <c r="M995">
        <f>COUNTIF('Metrics - Articles'!F992,"*GCO – HR (SuccessFactors)*")</f>
        <v>0</v>
      </c>
      <c r="N995">
        <f>COUNTIF('Metrics - Articles'!F992,"*GCO – Services Sales*")</f>
        <v>0</v>
      </c>
      <c r="O995">
        <f>COUNTIF('Metrics - Articles'!F992,"*GCO – Other*")</f>
        <v>0</v>
      </c>
      <c r="P995">
        <f>COUNTIF('Metrics - Articles'!F992,"*Corporate*")</f>
        <v>0</v>
      </c>
      <c r="R995" s="53">
        <f t="shared" si="17"/>
        <v>0</v>
      </c>
    </row>
    <row r="996" spans="2:18" hidden="1" x14ac:dyDescent="0.25">
      <c r="B996" s="48">
        <f>+'Metrics - Articles'!C993</f>
        <v>0</v>
      </c>
      <c r="C996">
        <f>COUNTIF('Metrics - Articles'!F993,"*GPO (Partner, Ecosystem, Channels)*")</f>
        <v>0</v>
      </c>
      <c r="D996">
        <f>COUNTIF('Metrics - Articles'!F993,"*Office of the CEO*")</f>
        <v>0</v>
      </c>
      <c r="E996">
        <f>COUNTIF('Metrics - Articles'!F993,"*Services Delivery &amp; Support (go-lives and deployments) *")</f>
        <v>0</v>
      </c>
      <c r="F996">
        <f>COUNTIF('Metrics - Articles'!F993,"*Human Resources (SAP HR and employee stories)*")</f>
        <v>0</v>
      </c>
      <c r="G996">
        <f>COUNTIF('Metrics - Articles'!F993,"*P&amp;I (Research &amp; Development)*")</f>
        <v>0</v>
      </c>
      <c r="H996">
        <f>COUNTIF('Metrics - Articles'!F993,"*Business Network (Concur, Ariba, Fieldglass)*")</f>
        <v>0</v>
      </c>
      <c r="I996">
        <f>COUNTIF('Metrics - Articles'!F993,"*GCO – Regions*")</f>
        <v>0</v>
      </c>
      <c r="J996">
        <f>COUNTIF('Metrics - Articles'!F993,"*GCO – Platform Solutions*")</f>
        <v>0</v>
      </c>
      <c r="K996">
        <f>COUNTIF('Metrics - Articles'!F993,"*GCO – Industry Cloud *")</f>
        <v>0</v>
      </c>
      <c r="L996">
        <f>COUNTIF('Metrics - Articles'!F993,"*GCO – Customer Engagement &amp; Commerce (CRM &amp; hybris) *")</f>
        <v>0</v>
      </c>
      <c r="M996">
        <f>COUNTIF('Metrics - Articles'!F993,"*GCO – HR (SuccessFactors)*")</f>
        <v>0</v>
      </c>
      <c r="N996">
        <f>COUNTIF('Metrics - Articles'!F993,"*GCO – Services Sales*")</f>
        <v>0</v>
      </c>
      <c r="O996">
        <f>COUNTIF('Metrics - Articles'!F993,"*GCO – Other*")</f>
        <v>0</v>
      </c>
      <c r="P996">
        <f>COUNTIF('Metrics - Articles'!F993,"*Corporate*")</f>
        <v>0</v>
      </c>
      <c r="R996" s="53">
        <f t="shared" si="17"/>
        <v>0</v>
      </c>
    </row>
    <row r="997" spans="2:18" hidden="1" x14ac:dyDescent="0.25">
      <c r="B997" s="48">
        <f>+'Metrics - Articles'!C994</f>
        <v>0</v>
      </c>
      <c r="C997">
        <f>COUNTIF('Metrics - Articles'!F994,"*GPO (Partner, Ecosystem, Channels)*")</f>
        <v>0</v>
      </c>
      <c r="D997">
        <f>COUNTIF('Metrics - Articles'!F994,"*Office of the CEO*")</f>
        <v>0</v>
      </c>
      <c r="E997">
        <f>COUNTIF('Metrics - Articles'!F994,"*Services Delivery &amp; Support (go-lives and deployments) *")</f>
        <v>0</v>
      </c>
      <c r="F997">
        <f>COUNTIF('Metrics - Articles'!F994,"*Human Resources (SAP HR and employee stories)*")</f>
        <v>0</v>
      </c>
      <c r="G997">
        <f>COUNTIF('Metrics - Articles'!F994,"*P&amp;I (Research &amp; Development)*")</f>
        <v>0</v>
      </c>
      <c r="H997">
        <f>COUNTIF('Metrics - Articles'!F994,"*Business Network (Concur, Ariba, Fieldglass)*")</f>
        <v>0</v>
      </c>
      <c r="I997">
        <f>COUNTIF('Metrics - Articles'!F994,"*GCO – Regions*")</f>
        <v>0</v>
      </c>
      <c r="J997">
        <f>COUNTIF('Metrics - Articles'!F994,"*GCO – Platform Solutions*")</f>
        <v>0</v>
      </c>
      <c r="K997">
        <f>COUNTIF('Metrics - Articles'!F994,"*GCO – Industry Cloud *")</f>
        <v>0</v>
      </c>
      <c r="L997">
        <f>COUNTIF('Metrics - Articles'!F994,"*GCO – Customer Engagement &amp; Commerce (CRM &amp; hybris) *")</f>
        <v>0</v>
      </c>
      <c r="M997">
        <f>COUNTIF('Metrics - Articles'!F994,"*GCO – HR (SuccessFactors)*")</f>
        <v>0</v>
      </c>
      <c r="N997">
        <f>COUNTIF('Metrics - Articles'!F994,"*GCO – Services Sales*")</f>
        <v>0</v>
      </c>
      <c r="O997">
        <f>COUNTIF('Metrics - Articles'!F994,"*GCO – Other*")</f>
        <v>0</v>
      </c>
      <c r="P997">
        <f>COUNTIF('Metrics - Articles'!F994,"*Corporate*")</f>
        <v>0</v>
      </c>
      <c r="R997" s="53">
        <f t="shared" si="17"/>
        <v>0</v>
      </c>
    </row>
    <row r="998" spans="2:18" hidden="1" x14ac:dyDescent="0.25">
      <c r="B998" s="48">
        <f>+'Metrics - Articles'!C995</f>
        <v>0</v>
      </c>
      <c r="C998">
        <f>COUNTIF('Metrics - Articles'!F995,"*GPO (Partner, Ecosystem, Channels)*")</f>
        <v>0</v>
      </c>
      <c r="D998">
        <f>COUNTIF('Metrics - Articles'!F995,"*Office of the CEO*")</f>
        <v>0</v>
      </c>
      <c r="E998">
        <f>COUNTIF('Metrics - Articles'!F995,"*Services Delivery &amp; Support (go-lives and deployments) *")</f>
        <v>0</v>
      </c>
      <c r="F998">
        <f>COUNTIF('Metrics - Articles'!F995,"*Human Resources (SAP HR and employee stories)*")</f>
        <v>0</v>
      </c>
      <c r="G998">
        <f>COUNTIF('Metrics - Articles'!F995,"*P&amp;I (Research &amp; Development)*")</f>
        <v>0</v>
      </c>
      <c r="H998">
        <f>COUNTIF('Metrics - Articles'!F995,"*Business Network (Concur, Ariba, Fieldglass)*")</f>
        <v>0</v>
      </c>
      <c r="I998">
        <f>COUNTIF('Metrics - Articles'!F995,"*GCO – Regions*")</f>
        <v>0</v>
      </c>
      <c r="J998">
        <f>COUNTIF('Metrics - Articles'!F995,"*GCO – Platform Solutions*")</f>
        <v>0</v>
      </c>
      <c r="K998">
        <f>COUNTIF('Metrics - Articles'!F995,"*GCO – Industry Cloud *")</f>
        <v>0</v>
      </c>
      <c r="L998">
        <f>COUNTIF('Metrics - Articles'!F995,"*GCO – Customer Engagement &amp; Commerce (CRM &amp; hybris) *")</f>
        <v>0</v>
      </c>
      <c r="M998">
        <f>COUNTIF('Metrics - Articles'!F995,"*GCO – HR (SuccessFactors)*")</f>
        <v>0</v>
      </c>
      <c r="N998">
        <f>COUNTIF('Metrics - Articles'!F995,"*GCO – Services Sales*")</f>
        <v>0</v>
      </c>
      <c r="O998">
        <f>COUNTIF('Metrics - Articles'!F995,"*GCO – Other*")</f>
        <v>0</v>
      </c>
      <c r="P998">
        <f>COUNTIF('Metrics - Articles'!F995,"*Corporate*")</f>
        <v>0</v>
      </c>
      <c r="R998" s="53">
        <f t="shared" si="17"/>
        <v>0</v>
      </c>
    </row>
    <row r="999" spans="2:18" hidden="1" x14ac:dyDescent="0.25">
      <c r="B999" s="48">
        <f>+'Metrics - Articles'!C996</f>
        <v>0</v>
      </c>
      <c r="C999">
        <f>COUNTIF('Metrics - Articles'!F996,"*GPO (Partner, Ecosystem, Channels)*")</f>
        <v>0</v>
      </c>
      <c r="D999">
        <f>COUNTIF('Metrics - Articles'!F996,"*Office of the CEO*")</f>
        <v>0</v>
      </c>
      <c r="E999">
        <f>COUNTIF('Metrics - Articles'!F996,"*Services Delivery &amp; Support (go-lives and deployments) *")</f>
        <v>0</v>
      </c>
      <c r="F999">
        <f>COUNTIF('Metrics - Articles'!F996,"*Human Resources (SAP HR and employee stories)*")</f>
        <v>0</v>
      </c>
      <c r="G999">
        <f>COUNTIF('Metrics - Articles'!F996,"*P&amp;I (Research &amp; Development)*")</f>
        <v>0</v>
      </c>
      <c r="H999">
        <f>COUNTIF('Metrics - Articles'!F996,"*Business Network (Concur, Ariba, Fieldglass)*")</f>
        <v>0</v>
      </c>
      <c r="I999">
        <f>COUNTIF('Metrics - Articles'!F996,"*GCO – Regions*")</f>
        <v>0</v>
      </c>
      <c r="J999">
        <f>COUNTIF('Metrics - Articles'!F996,"*GCO – Platform Solutions*")</f>
        <v>0</v>
      </c>
      <c r="K999">
        <f>COUNTIF('Metrics - Articles'!F996,"*GCO – Industry Cloud *")</f>
        <v>0</v>
      </c>
      <c r="L999">
        <f>COUNTIF('Metrics - Articles'!F996,"*GCO – Customer Engagement &amp; Commerce (CRM &amp; hybris) *")</f>
        <v>0</v>
      </c>
      <c r="M999">
        <f>COUNTIF('Metrics - Articles'!F996,"*GCO – HR (SuccessFactors)*")</f>
        <v>0</v>
      </c>
      <c r="N999">
        <f>COUNTIF('Metrics - Articles'!F996,"*GCO – Services Sales*")</f>
        <v>0</v>
      </c>
      <c r="O999">
        <f>COUNTIF('Metrics - Articles'!F996,"*GCO – Other*")</f>
        <v>0</v>
      </c>
      <c r="P999">
        <f>COUNTIF('Metrics - Articles'!F996,"*Corporate*")</f>
        <v>0</v>
      </c>
      <c r="R999" s="53">
        <f t="shared" si="17"/>
        <v>0</v>
      </c>
    </row>
    <row r="1000" spans="2:18" hidden="1" x14ac:dyDescent="0.25">
      <c r="B1000" s="48">
        <f>+'Metrics - Articles'!C997</f>
        <v>0</v>
      </c>
      <c r="C1000">
        <f>COUNTIF('Metrics - Articles'!F997,"*GPO (Partner, Ecosystem, Channels)*")</f>
        <v>0</v>
      </c>
      <c r="D1000">
        <f>COUNTIF('Metrics - Articles'!F997,"*Office of the CEO*")</f>
        <v>0</v>
      </c>
      <c r="E1000">
        <f>COUNTIF('Metrics - Articles'!F997,"*Services Delivery &amp; Support (go-lives and deployments) *")</f>
        <v>0</v>
      </c>
      <c r="F1000">
        <f>COUNTIF('Metrics - Articles'!F997,"*Human Resources (SAP HR and employee stories)*")</f>
        <v>0</v>
      </c>
      <c r="G1000">
        <f>COUNTIF('Metrics - Articles'!F997,"*P&amp;I (Research &amp; Development)*")</f>
        <v>0</v>
      </c>
      <c r="H1000">
        <f>COUNTIF('Metrics - Articles'!F997,"*Business Network (Concur, Ariba, Fieldglass)*")</f>
        <v>0</v>
      </c>
      <c r="I1000">
        <f>COUNTIF('Metrics - Articles'!F997,"*GCO – Regions*")</f>
        <v>0</v>
      </c>
      <c r="J1000">
        <f>COUNTIF('Metrics - Articles'!F997,"*GCO – Platform Solutions*")</f>
        <v>0</v>
      </c>
      <c r="K1000">
        <f>COUNTIF('Metrics - Articles'!F997,"*GCO – Industry Cloud *")</f>
        <v>0</v>
      </c>
      <c r="L1000">
        <f>COUNTIF('Metrics - Articles'!F997,"*GCO – Customer Engagement &amp; Commerce (CRM &amp; hybris) *")</f>
        <v>0</v>
      </c>
      <c r="M1000">
        <f>COUNTIF('Metrics - Articles'!F997,"*GCO – HR (SuccessFactors)*")</f>
        <v>0</v>
      </c>
      <c r="N1000">
        <f>COUNTIF('Metrics - Articles'!F997,"*GCO – Services Sales*")</f>
        <v>0</v>
      </c>
      <c r="O1000">
        <f>COUNTIF('Metrics - Articles'!F997,"*GCO – Other*")</f>
        <v>0</v>
      </c>
      <c r="P1000">
        <f>COUNTIF('Metrics - Articles'!F997,"*Corporate*")</f>
        <v>0</v>
      </c>
      <c r="R1000" s="53">
        <f t="shared" si="17"/>
        <v>0</v>
      </c>
    </row>
    <row r="1001" spans="2:18" hidden="1" x14ac:dyDescent="0.25">
      <c r="B1001" s="48">
        <f>+'Metrics - Articles'!C998</f>
        <v>0</v>
      </c>
      <c r="C1001">
        <f>COUNTIF('Metrics - Articles'!F998,"*GPO (Partner, Ecosystem, Channels)*")</f>
        <v>0</v>
      </c>
      <c r="D1001">
        <f>COUNTIF('Metrics - Articles'!F998,"*Office of the CEO*")</f>
        <v>0</v>
      </c>
      <c r="E1001">
        <f>COUNTIF('Metrics - Articles'!F998,"*Services Delivery &amp; Support (go-lives and deployments) *")</f>
        <v>0</v>
      </c>
      <c r="F1001">
        <f>COUNTIF('Metrics - Articles'!F998,"*Human Resources (SAP HR and employee stories)*")</f>
        <v>0</v>
      </c>
      <c r="G1001">
        <f>COUNTIF('Metrics - Articles'!F998,"*P&amp;I (Research &amp; Development)*")</f>
        <v>0</v>
      </c>
      <c r="H1001">
        <f>COUNTIF('Metrics - Articles'!F998,"*Business Network (Concur, Ariba, Fieldglass)*")</f>
        <v>0</v>
      </c>
      <c r="I1001">
        <f>COUNTIF('Metrics - Articles'!F998,"*GCO – Regions*")</f>
        <v>0</v>
      </c>
      <c r="J1001">
        <f>COUNTIF('Metrics - Articles'!F998,"*GCO – Platform Solutions*")</f>
        <v>0</v>
      </c>
      <c r="K1001">
        <f>COUNTIF('Metrics - Articles'!F998,"*GCO – Industry Cloud *")</f>
        <v>0</v>
      </c>
      <c r="L1001">
        <f>COUNTIF('Metrics - Articles'!F998,"*GCO – Customer Engagement &amp; Commerce (CRM &amp; hybris) *")</f>
        <v>0</v>
      </c>
      <c r="M1001">
        <f>COUNTIF('Metrics - Articles'!F998,"*GCO – HR (SuccessFactors)*")</f>
        <v>0</v>
      </c>
      <c r="N1001">
        <f>COUNTIF('Metrics - Articles'!F998,"*GCO – Services Sales*")</f>
        <v>0</v>
      </c>
      <c r="O1001">
        <f>COUNTIF('Metrics - Articles'!F998,"*GCO – Other*")</f>
        <v>0</v>
      </c>
      <c r="P1001">
        <f>COUNTIF('Metrics - Articles'!F998,"*Corporate*")</f>
        <v>0</v>
      </c>
      <c r="R1001" s="53">
        <f t="shared" si="17"/>
        <v>0</v>
      </c>
    </row>
    <row r="1002" spans="2:18" hidden="1" x14ac:dyDescent="0.25">
      <c r="B1002" s="48">
        <f>+'Metrics - Articles'!C999</f>
        <v>0</v>
      </c>
      <c r="C1002">
        <f>COUNTIF('Metrics - Articles'!F999,"*GPO (Partner, Ecosystem, Channels)*")</f>
        <v>0</v>
      </c>
      <c r="D1002">
        <f>COUNTIF('Metrics - Articles'!F999,"*Office of the CEO*")</f>
        <v>0</v>
      </c>
      <c r="E1002">
        <f>COUNTIF('Metrics - Articles'!F999,"*Services Delivery &amp; Support (go-lives and deployments) *")</f>
        <v>0</v>
      </c>
      <c r="F1002">
        <f>COUNTIF('Metrics - Articles'!F999,"*Human Resources (SAP HR and employee stories)*")</f>
        <v>0</v>
      </c>
      <c r="G1002">
        <f>COUNTIF('Metrics - Articles'!F999,"*P&amp;I (Research &amp; Development)*")</f>
        <v>0</v>
      </c>
      <c r="H1002">
        <f>COUNTIF('Metrics - Articles'!F999,"*Business Network (Concur, Ariba, Fieldglass)*")</f>
        <v>0</v>
      </c>
      <c r="I1002">
        <f>COUNTIF('Metrics - Articles'!F999,"*GCO – Regions*")</f>
        <v>0</v>
      </c>
      <c r="J1002">
        <f>COUNTIF('Metrics - Articles'!F999,"*GCO – Platform Solutions*")</f>
        <v>0</v>
      </c>
      <c r="K1002">
        <f>COUNTIF('Metrics - Articles'!F999,"*GCO – Industry Cloud *")</f>
        <v>0</v>
      </c>
      <c r="L1002">
        <f>COUNTIF('Metrics - Articles'!F999,"*GCO – Customer Engagement &amp; Commerce (CRM &amp; hybris) *")</f>
        <v>0</v>
      </c>
      <c r="M1002">
        <f>COUNTIF('Metrics - Articles'!F999,"*GCO – HR (SuccessFactors)*")</f>
        <v>0</v>
      </c>
      <c r="N1002">
        <f>COUNTIF('Metrics - Articles'!F999,"*GCO – Services Sales*")</f>
        <v>0</v>
      </c>
      <c r="O1002">
        <f>COUNTIF('Metrics - Articles'!F999,"*GCO – Other*")</f>
        <v>0</v>
      </c>
      <c r="P1002">
        <f>COUNTIF('Metrics - Articles'!F999,"*Corporate*")</f>
        <v>0</v>
      </c>
      <c r="R1002" s="53">
        <f t="shared" si="17"/>
        <v>0</v>
      </c>
    </row>
    <row r="1003" spans="2:18" hidden="1" x14ac:dyDescent="0.25">
      <c r="B1003" s="48">
        <f>+'Metrics - Articles'!C1000</f>
        <v>0</v>
      </c>
      <c r="C1003">
        <f>COUNTIF('Metrics - Articles'!F1000,"*GPO (Partner, Ecosystem, Channels)*")</f>
        <v>0</v>
      </c>
      <c r="D1003">
        <f>COUNTIF('Metrics - Articles'!F1000,"*Office of the CEO*")</f>
        <v>0</v>
      </c>
      <c r="E1003">
        <f>COUNTIF('Metrics - Articles'!F1000,"*Services Delivery &amp; Support (go-lives and deployments) *")</f>
        <v>0</v>
      </c>
      <c r="F1003">
        <f>COUNTIF('Metrics - Articles'!F1000,"*Human Resources (SAP HR and employee stories)*")</f>
        <v>0</v>
      </c>
      <c r="G1003">
        <f>COUNTIF('Metrics - Articles'!F1000,"*P&amp;I (Research &amp; Development)*")</f>
        <v>0</v>
      </c>
      <c r="H1003">
        <f>COUNTIF('Metrics - Articles'!F1000,"*Business Network (Concur, Ariba, Fieldglass)*")</f>
        <v>0</v>
      </c>
      <c r="I1003">
        <f>COUNTIF('Metrics - Articles'!F1000,"*GCO – Regions*")</f>
        <v>0</v>
      </c>
      <c r="J1003">
        <f>COUNTIF('Metrics - Articles'!F1000,"*GCO – Platform Solutions*")</f>
        <v>0</v>
      </c>
      <c r="K1003">
        <f>COUNTIF('Metrics - Articles'!F1000,"*GCO – Industry Cloud *")</f>
        <v>0</v>
      </c>
      <c r="L1003">
        <f>COUNTIF('Metrics - Articles'!F1000,"*GCO – Customer Engagement &amp; Commerce (CRM &amp; hybris) *")</f>
        <v>0</v>
      </c>
      <c r="M1003">
        <f>COUNTIF('Metrics - Articles'!F1000,"*GCO – HR (SuccessFactors)*")</f>
        <v>0</v>
      </c>
      <c r="N1003">
        <f>COUNTIF('Metrics - Articles'!F1000,"*GCO – Services Sales*")</f>
        <v>0</v>
      </c>
      <c r="O1003">
        <f>COUNTIF('Metrics - Articles'!F1000,"*GCO – Other*")</f>
        <v>0</v>
      </c>
      <c r="P1003">
        <f>COUNTIF('Metrics - Articles'!F1000,"*Corporate*")</f>
        <v>0</v>
      </c>
      <c r="R1003" s="53">
        <f t="shared" si="17"/>
        <v>0</v>
      </c>
    </row>
  </sheetData>
  <autoFilter ref="B8:S1003">
    <filterColumn colId="0">
      <filters>
        <dateGroupItem year="2015" month="10" dateTimeGrouping="month"/>
        <dateGroupItem year="2015" month="11" dateTimeGrouping="month"/>
        <dateGroupItem year="2015" month="12" dateTimeGrouping="month"/>
      </filters>
    </filterColumn>
  </autoFilter>
  <mergeCells count="1">
    <mergeCell ref="C5:P5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5" tint="0.59999389629810485"/>
  </sheetPr>
  <dimension ref="A3:B354"/>
  <sheetViews>
    <sheetView workbookViewId="0">
      <selection activeCell="B4" sqref="B4"/>
    </sheetView>
  </sheetViews>
  <sheetFormatPr baseColWidth="10" defaultColWidth="9.140625" defaultRowHeight="15" x14ac:dyDescent="0.25"/>
  <cols>
    <col min="1" max="1" width="64.42578125" bestFit="1" customWidth="1"/>
    <col min="2" max="2" width="24.7109375" bestFit="1" customWidth="1"/>
  </cols>
  <sheetData>
    <row r="3" spans="1:2" x14ac:dyDescent="0.25">
      <c r="A3" s="34" t="s">
        <v>474</v>
      </c>
      <c r="B3" t="s">
        <v>499</v>
      </c>
    </row>
    <row r="4" spans="1:2" x14ac:dyDescent="0.25">
      <c r="A4" s="37" t="s">
        <v>375</v>
      </c>
      <c r="B4" s="38">
        <v>359</v>
      </c>
    </row>
    <row r="5" spans="1:2" x14ac:dyDescent="0.25">
      <c r="A5" s="37" t="s">
        <v>434</v>
      </c>
      <c r="B5" s="38">
        <v>117</v>
      </c>
    </row>
    <row r="6" spans="1:2" x14ac:dyDescent="0.25">
      <c r="A6" s="37" t="s">
        <v>389</v>
      </c>
      <c r="B6" s="38">
        <v>104</v>
      </c>
    </row>
    <row r="7" spans="1:2" x14ac:dyDescent="0.25">
      <c r="A7" s="37" t="s">
        <v>140</v>
      </c>
      <c r="B7" s="38">
        <v>103</v>
      </c>
    </row>
    <row r="8" spans="1:2" x14ac:dyDescent="0.25">
      <c r="A8" s="37" t="s">
        <v>384</v>
      </c>
      <c r="B8" s="38">
        <v>67</v>
      </c>
    </row>
    <row r="9" spans="1:2" x14ac:dyDescent="0.25">
      <c r="A9" s="35" t="s">
        <v>169</v>
      </c>
      <c r="B9" s="36">
        <v>61</v>
      </c>
    </row>
    <row r="10" spans="1:2" x14ac:dyDescent="0.25">
      <c r="A10" s="35" t="s">
        <v>538</v>
      </c>
      <c r="B10" s="36">
        <v>58</v>
      </c>
    </row>
    <row r="11" spans="1:2" x14ac:dyDescent="0.25">
      <c r="A11" s="35" t="s">
        <v>83</v>
      </c>
      <c r="B11" s="36">
        <v>57</v>
      </c>
    </row>
    <row r="12" spans="1:2" x14ac:dyDescent="0.25">
      <c r="A12" s="35" t="s">
        <v>135</v>
      </c>
      <c r="B12" s="36">
        <v>53</v>
      </c>
    </row>
    <row r="13" spans="1:2" x14ac:dyDescent="0.25">
      <c r="A13" s="35" t="s">
        <v>417</v>
      </c>
      <c r="B13" s="36">
        <v>53</v>
      </c>
    </row>
    <row r="14" spans="1:2" x14ac:dyDescent="0.25">
      <c r="A14" s="35" t="s">
        <v>525</v>
      </c>
      <c r="B14" s="36">
        <v>51</v>
      </c>
    </row>
    <row r="15" spans="1:2" x14ac:dyDescent="0.25">
      <c r="A15" s="35" t="s">
        <v>122</v>
      </c>
      <c r="B15" s="36">
        <v>49</v>
      </c>
    </row>
    <row r="16" spans="1:2" x14ac:dyDescent="0.25">
      <c r="A16" s="35" t="s">
        <v>445</v>
      </c>
      <c r="B16" s="36">
        <v>48</v>
      </c>
    </row>
    <row r="17" spans="1:2" x14ac:dyDescent="0.25">
      <c r="A17" s="35" t="s">
        <v>120</v>
      </c>
      <c r="B17" s="36">
        <v>47</v>
      </c>
    </row>
    <row r="18" spans="1:2" x14ac:dyDescent="0.25">
      <c r="A18" s="35" t="s">
        <v>57</v>
      </c>
      <c r="B18" s="36">
        <v>44</v>
      </c>
    </row>
    <row r="19" spans="1:2" x14ac:dyDescent="0.25">
      <c r="A19" s="35" t="s">
        <v>520</v>
      </c>
      <c r="B19" s="36">
        <v>43</v>
      </c>
    </row>
    <row r="20" spans="1:2" x14ac:dyDescent="0.25">
      <c r="A20" s="35" t="s">
        <v>104</v>
      </c>
      <c r="B20" s="36">
        <v>43</v>
      </c>
    </row>
    <row r="21" spans="1:2" x14ac:dyDescent="0.25">
      <c r="A21" s="35" t="s">
        <v>460</v>
      </c>
      <c r="B21" s="36">
        <v>40</v>
      </c>
    </row>
    <row r="22" spans="1:2" x14ac:dyDescent="0.25">
      <c r="A22" s="35" t="s">
        <v>68</v>
      </c>
      <c r="B22" s="36">
        <v>37</v>
      </c>
    </row>
    <row r="23" spans="1:2" x14ac:dyDescent="0.25">
      <c r="A23" s="35" t="s">
        <v>125</v>
      </c>
      <c r="B23" s="36">
        <v>37</v>
      </c>
    </row>
    <row r="24" spans="1:2" x14ac:dyDescent="0.25">
      <c r="A24" s="35" t="s">
        <v>194</v>
      </c>
      <c r="B24" s="36">
        <v>35</v>
      </c>
    </row>
    <row r="25" spans="1:2" x14ac:dyDescent="0.25">
      <c r="A25" s="35" t="s">
        <v>191</v>
      </c>
      <c r="B25" s="36">
        <v>33</v>
      </c>
    </row>
    <row r="26" spans="1:2" x14ac:dyDescent="0.25">
      <c r="A26" s="35" t="s">
        <v>161</v>
      </c>
      <c r="B26" s="36">
        <v>32</v>
      </c>
    </row>
    <row r="27" spans="1:2" x14ac:dyDescent="0.25">
      <c r="A27" s="35" t="s">
        <v>192</v>
      </c>
      <c r="B27" s="36">
        <v>29</v>
      </c>
    </row>
    <row r="28" spans="1:2" x14ac:dyDescent="0.25">
      <c r="A28" s="35" t="s">
        <v>285</v>
      </c>
      <c r="B28" s="36">
        <v>28</v>
      </c>
    </row>
    <row r="29" spans="1:2" x14ac:dyDescent="0.25">
      <c r="A29" s="35" t="s">
        <v>413</v>
      </c>
      <c r="B29" s="36">
        <v>28</v>
      </c>
    </row>
    <row r="30" spans="1:2" x14ac:dyDescent="0.25">
      <c r="A30" s="35" t="s">
        <v>544</v>
      </c>
      <c r="B30" s="36">
        <v>27</v>
      </c>
    </row>
    <row r="31" spans="1:2" x14ac:dyDescent="0.25">
      <c r="A31" s="35" t="s">
        <v>437</v>
      </c>
      <c r="B31" s="36">
        <v>26</v>
      </c>
    </row>
    <row r="32" spans="1:2" x14ac:dyDescent="0.25">
      <c r="A32" s="35" t="s">
        <v>293</v>
      </c>
      <c r="B32" s="36">
        <v>25</v>
      </c>
    </row>
    <row r="33" spans="1:2" x14ac:dyDescent="0.25">
      <c r="A33" s="35" t="s">
        <v>185</v>
      </c>
      <c r="B33" s="36">
        <v>24</v>
      </c>
    </row>
    <row r="34" spans="1:2" x14ac:dyDescent="0.25">
      <c r="A34" s="35" t="s">
        <v>139</v>
      </c>
      <c r="B34" s="36">
        <v>24</v>
      </c>
    </row>
    <row r="35" spans="1:2" x14ac:dyDescent="0.25">
      <c r="A35" s="35" t="s">
        <v>539</v>
      </c>
      <c r="B35" s="36">
        <v>24</v>
      </c>
    </row>
    <row r="36" spans="1:2" x14ac:dyDescent="0.25">
      <c r="A36" s="35" t="s">
        <v>159</v>
      </c>
      <c r="B36" s="36">
        <v>23</v>
      </c>
    </row>
    <row r="37" spans="1:2" x14ac:dyDescent="0.25">
      <c r="A37" s="35" t="s">
        <v>97</v>
      </c>
      <c r="B37" s="36">
        <v>23</v>
      </c>
    </row>
    <row r="38" spans="1:2" x14ac:dyDescent="0.25">
      <c r="A38" s="35" t="s">
        <v>199</v>
      </c>
      <c r="B38" s="36">
        <v>23</v>
      </c>
    </row>
    <row r="39" spans="1:2" x14ac:dyDescent="0.25">
      <c r="A39" s="35" t="s">
        <v>314</v>
      </c>
      <c r="B39" s="36">
        <v>23</v>
      </c>
    </row>
    <row r="40" spans="1:2" x14ac:dyDescent="0.25">
      <c r="A40" s="35" t="s">
        <v>452</v>
      </c>
      <c r="B40" s="36">
        <v>22</v>
      </c>
    </row>
    <row r="41" spans="1:2" x14ac:dyDescent="0.25">
      <c r="A41" s="35" t="s">
        <v>309</v>
      </c>
      <c r="B41" s="36">
        <v>22</v>
      </c>
    </row>
    <row r="42" spans="1:2" x14ac:dyDescent="0.25">
      <c r="A42" s="35" t="s">
        <v>507</v>
      </c>
      <c r="B42" s="36">
        <v>21</v>
      </c>
    </row>
    <row r="43" spans="1:2" x14ac:dyDescent="0.25">
      <c r="A43" s="35" t="s">
        <v>212</v>
      </c>
      <c r="B43" s="36">
        <v>20</v>
      </c>
    </row>
    <row r="44" spans="1:2" x14ac:dyDescent="0.25">
      <c r="A44" s="35" t="s">
        <v>179</v>
      </c>
      <c r="B44" s="36">
        <v>20</v>
      </c>
    </row>
    <row r="45" spans="1:2" x14ac:dyDescent="0.25">
      <c r="A45" s="35" t="s">
        <v>49</v>
      </c>
      <c r="B45" s="36">
        <v>20</v>
      </c>
    </row>
    <row r="46" spans="1:2" x14ac:dyDescent="0.25">
      <c r="A46" s="35" t="s">
        <v>374</v>
      </c>
      <c r="B46" s="36">
        <v>19</v>
      </c>
    </row>
    <row r="47" spans="1:2" x14ac:dyDescent="0.25">
      <c r="A47" s="35" t="s">
        <v>141</v>
      </c>
      <c r="B47" s="36">
        <v>19</v>
      </c>
    </row>
    <row r="48" spans="1:2" x14ac:dyDescent="0.25">
      <c r="A48" s="35" t="s">
        <v>295</v>
      </c>
      <c r="B48" s="36">
        <v>19</v>
      </c>
    </row>
    <row r="49" spans="1:2" x14ac:dyDescent="0.25">
      <c r="A49" s="35" t="s">
        <v>390</v>
      </c>
      <c r="B49" s="36">
        <v>18</v>
      </c>
    </row>
    <row r="50" spans="1:2" x14ac:dyDescent="0.25">
      <c r="A50" s="35" t="s">
        <v>111</v>
      </c>
      <c r="B50" s="36">
        <v>18</v>
      </c>
    </row>
    <row r="51" spans="1:2" x14ac:dyDescent="0.25">
      <c r="A51" s="35" t="s">
        <v>552</v>
      </c>
      <c r="B51" s="36">
        <v>18</v>
      </c>
    </row>
    <row r="52" spans="1:2" x14ac:dyDescent="0.25">
      <c r="A52" s="35" t="s">
        <v>412</v>
      </c>
      <c r="B52" s="36">
        <v>18</v>
      </c>
    </row>
    <row r="53" spans="1:2" x14ac:dyDescent="0.25">
      <c r="A53" s="35" t="s">
        <v>72</v>
      </c>
      <c r="B53" s="36">
        <v>17</v>
      </c>
    </row>
    <row r="54" spans="1:2" x14ac:dyDescent="0.25">
      <c r="A54" s="35" t="s">
        <v>410</v>
      </c>
      <c r="B54" s="36">
        <v>17</v>
      </c>
    </row>
    <row r="55" spans="1:2" x14ac:dyDescent="0.25">
      <c r="A55" s="35" t="s">
        <v>407</v>
      </c>
      <c r="B55" s="36">
        <v>17</v>
      </c>
    </row>
    <row r="56" spans="1:2" x14ac:dyDescent="0.25">
      <c r="A56" s="35" t="s">
        <v>517</v>
      </c>
      <c r="B56" s="36">
        <v>16</v>
      </c>
    </row>
    <row r="57" spans="1:2" x14ac:dyDescent="0.25">
      <c r="A57" s="35" t="s">
        <v>577</v>
      </c>
      <c r="B57" s="36">
        <v>16</v>
      </c>
    </row>
    <row r="58" spans="1:2" x14ac:dyDescent="0.25">
      <c r="A58" s="35" t="s">
        <v>90</v>
      </c>
      <c r="B58" s="36">
        <v>16</v>
      </c>
    </row>
    <row r="59" spans="1:2" x14ac:dyDescent="0.25">
      <c r="A59" s="35" t="s">
        <v>107</v>
      </c>
      <c r="B59" s="36">
        <v>16</v>
      </c>
    </row>
    <row r="60" spans="1:2" x14ac:dyDescent="0.25">
      <c r="A60" s="35" t="s">
        <v>62</v>
      </c>
      <c r="B60" s="36">
        <v>15</v>
      </c>
    </row>
    <row r="61" spans="1:2" x14ac:dyDescent="0.25">
      <c r="A61" s="35" t="s">
        <v>422</v>
      </c>
      <c r="B61" s="36">
        <v>15</v>
      </c>
    </row>
    <row r="62" spans="1:2" x14ac:dyDescent="0.25">
      <c r="A62" s="35" t="s">
        <v>297</v>
      </c>
      <c r="B62" s="36">
        <v>14</v>
      </c>
    </row>
    <row r="63" spans="1:2" x14ac:dyDescent="0.25">
      <c r="A63" s="35" t="s">
        <v>294</v>
      </c>
      <c r="B63" s="36">
        <v>14</v>
      </c>
    </row>
    <row r="64" spans="1:2" x14ac:dyDescent="0.25">
      <c r="A64" s="35" t="s">
        <v>487</v>
      </c>
      <c r="B64" s="36">
        <v>14</v>
      </c>
    </row>
    <row r="65" spans="1:2" x14ac:dyDescent="0.25">
      <c r="A65" s="35" t="s">
        <v>85</v>
      </c>
      <c r="B65" s="36">
        <v>14</v>
      </c>
    </row>
    <row r="66" spans="1:2" x14ac:dyDescent="0.25">
      <c r="A66" s="35" t="s">
        <v>303</v>
      </c>
      <c r="B66" s="36">
        <v>14</v>
      </c>
    </row>
    <row r="67" spans="1:2" x14ac:dyDescent="0.25">
      <c r="A67" s="35" t="s">
        <v>75</v>
      </c>
      <c r="B67" s="36">
        <v>14</v>
      </c>
    </row>
    <row r="68" spans="1:2" x14ac:dyDescent="0.25">
      <c r="A68" s="35" t="s">
        <v>103</v>
      </c>
      <c r="B68" s="36">
        <v>14</v>
      </c>
    </row>
    <row r="69" spans="1:2" x14ac:dyDescent="0.25">
      <c r="A69" s="35" t="s">
        <v>583</v>
      </c>
      <c r="B69" s="36">
        <v>13</v>
      </c>
    </row>
    <row r="70" spans="1:2" x14ac:dyDescent="0.25">
      <c r="A70" s="35" t="s">
        <v>298</v>
      </c>
      <c r="B70" s="36">
        <v>13</v>
      </c>
    </row>
    <row r="71" spans="1:2" x14ac:dyDescent="0.25">
      <c r="A71" s="35" t="s">
        <v>449</v>
      </c>
      <c r="B71" s="36">
        <v>13</v>
      </c>
    </row>
    <row r="72" spans="1:2" x14ac:dyDescent="0.25">
      <c r="A72" s="35" t="s">
        <v>307</v>
      </c>
      <c r="B72" s="36">
        <v>13</v>
      </c>
    </row>
    <row r="73" spans="1:2" x14ac:dyDescent="0.25">
      <c r="A73" s="35" t="s">
        <v>99</v>
      </c>
      <c r="B73" s="36">
        <v>13</v>
      </c>
    </row>
    <row r="74" spans="1:2" x14ac:dyDescent="0.25">
      <c r="A74" s="35" t="s">
        <v>47</v>
      </c>
      <c r="B74" s="36">
        <v>13</v>
      </c>
    </row>
    <row r="75" spans="1:2" x14ac:dyDescent="0.25">
      <c r="A75" s="35" t="s">
        <v>572</v>
      </c>
      <c r="B75" s="36">
        <v>13</v>
      </c>
    </row>
    <row r="76" spans="1:2" x14ac:dyDescent="0.25">
      <c r="A76" s="35" t="s">
        <v>442</v>
      </c>
      <c r="B76" s="36">
        <v>12</v>
      </c>
    </row>
    <row r="77" spans="1:2" x14ac:dyDescent="0.25">
      <c r="A77" s="35" t="s">
        <v>503</v>
      </c>
      <c r="B77" s="36">
        <v>12</v>
      </c>
    </row>
    <row r="78" spans="1:2" x14ac:dyDescent="0.25">
      <c r="A78" s="35" t="s">
        <v>397</v>
      </c>
      <c r="B78" s="36">
        <v>12</v>
      </c>
    </row>
    <row r="79" spans="1:2" x14ac:dyDescent="0.25">
      <c r="A79" s="35" t="s">
        <v>181</v>
      </c>
      <c r="B79" s="36">
        <v>12</v>
      </c>
    </row>
    <row r="80" spans="1:2" x14ac:dyDescent="0.25">
      <c r="A80" s="35" t="s">
        <v>95</v>
      </c>
      <c r="B80" s="36">
        <v>12</v>
      </c>
    </row>
    <row r="81" spans="1:2" x14ac:dyDescent="0.25">
      <c r="A81" s="35" t="s">
        <v>131</v>
      </c>
      <c r="B81" s="36">
        <v>12</v>
      </c>
    </row>
    <row r="82" spans="1:2" x14ac:dyDescent="0.25">
      <c r="A82" s="35" t="s">
        <v>48</v>
      </c>
      <c r="B82" s="36">
        <v>11</v>
      </c>
    </row>
    <row r="83" spans="1:2" x14ac:dyDescent="0.25">
      <c r="A83" s="35" t="s">
        <v>393</v>
      </c>
      <c r="B83" s="36">
        <v>11</v>
      </c>
    </row>
    <row r="84" spans="1:2" x14ac:dyDescent="0.25">
      <c r="A84" s="35" t="s">
        <v>582</v>
      </c>
      <c r="B84" s="36">
        <v>11</v>
      </c>
    </row>
    <row r="85" spans="1:2" x14ac:dyDescent="0.25">
      <c r="A85" s="35" t="s">
        <v>435</v>
      </c>
      <c r="B85" s="36">
        <v>11</v>
      </c>
    </row>
    <row r="86" spans="1:2" x14ac:dyDescent="0.25">
      <c r="A86" s="35" t="s">
        <v>82</v>
      </c>
      <c r="B86" s="36">
        <v>11</v>
      </c>
    </row>
    <row r="87" spans="1:2" x14ac:dyDescent="0.25">
      <c r="A87" s="35" t="s">
        <v>472</v>
      </c>
      <c r="B87" s="36">
        <v>11</v>
      </c>
    </row>
    <row r="88" spans="1:2" x14ac:dyDescent="0.25">
      <c r="A88" s="35" t="s">
        <v>81</v>
      </c>
      <c r="B88" s="36">
        <v>11</v>
      </c>
    </row>
    <row r="89" spans="1:2" x14ac:dyDescent="0.25">
      <c r="A89" s="35" t="s">
        <v>71</v>
      </c>
      <c r="B89" s="36">
        <v>11</v>
      </c>
    </row>
    <row r="90" spans="1:2" x14ac:dyDescent="0.25">
      <c r="A90" s="35" t="s">
        <v>416</v>
      </c>
      <c r="B90" s="36">
        <v>10</v>
      </c>
    </row>
    <row r="91" spans="1:2" x14ac:dyDescent="0.25">
      <c r="A91" s="35" t="s">
        <v>536</v>
      </c>
      <c r="B91" s="36">
        <v>10</v>
      </c>
    </row>
    <row r="92" spans="1:2" x14ac:dyDescent="0.25">
      <c r="A92" s="35" t="s">
        <v>512</v>
      </c>
      <c r="B92" s="36">
        <v>10</v>
      </c>
    </row>
    <row r="93" spans="1:2" x14ac:dyDescent="0.25">
      <c r="A93" s="35" t="s">
        <v>163</v>
      </c>
      <c r="B93" s="36">
        <v>10</v>
      </c>
    </row>
    <row r="94" spans="1:2" x14ac:dyDescent="0.25">
      <c r="A94" s="35" t="s">
        <v>537</v>
      </c>
      <c r="B94" s="36">
        <v>10</v>
      </c>
    </row>
    <row r="95" spans="1:2" x14ac:dyDescent="0.25">
      <c r="A95" s="35" t="s">
        <v>73</v>
      </c>
      <c r="B95" s="36">
        <v>10</v>
      </c>
    </row>
    <row r="96" spans="1:2" x14ac:dyDescent="0.25">
      <c r="A96" s="35" t="s">
        <v>400</v>
      </c>
      <c r="B96" s="36">
        <v>10</v>
      </c>
    </row>
    <row r="97" spans="1:2" x14ac:dyDescent="0.25">
      <c r="A97" s="35" t="s">
        <v>405</v>
      </c>
      <c r="B97" s="36">
        <v>10</v>
      </c>
    </row>
    <row r="98" spans="1:2" x14ac:dyDescent="0.25">
      <c r="A98" s="35" t="s">
        <v>579</v>
      </c>
      <c r="B98" s="36">
        <v>10</v>
      </c>
    </row>
    <row r="99" spans="1:2" x14ac:dyDescent="0.25">
      <c r="A99" s="35" t="s">
        <v>467</v>
      </c>
      <c r="B99" s="36">
        <v>9</v>
      </c>
    </row>
    <row r="100" spans="1:2" x14ac:dyDescent="0.25">
      <c r="A100" s="35" t="s">
        <v>563</v>
      </c>
      <c r="B100" s="36">
        <v>9</v>
      </c>
    </row>
    <row r="101" spans="1:2" x14ac:dyDescent="0.25">
      <c r="A101" s="35" t="s">
        <v>302</v>
      </c>
      <c r="B101" s="36">
        <v>9</v>
      </c>
    </row>
    <row r="102" spans="1:2" x14ac:dyDescent="0.25">
      <c r="A102" s="35" t="s">
        <v>385</v>
      </c>
      <c r="B102" s="36">
        <v>9</v>
      </c>
    </row>
    <row r="103" spans="1:2" x14ac:dyDescent="0.25">
      <c r="A103" s="35" t="s">
        <v>63</v>
      </c>
      <c r="B103" s="36">
        <v>9</v>
      </c>
    </row>
    <row r="104" spans="1:2" x14ac:dyDescent="0.25">
      <c r="A104" s="35" t="s">
        <v>506</v>
      </c>
      <c r="B104" s="36">
        <v>9</v>
      </c>
    </row>
    <row r="105" spans="1:2" x14ac:dyDescent="0.25">
      <c r="A105" s="35" t="s">
        <v>396</v>
      </c>
      <c r="B105" s="36">
        <v>9</v>
      </c>
    </row>
    <row r="106" spans="1:2" x14ac:dyDescent="0.25">
      <c r="A106" s="35" t="s">
        <v>292</v>
      </c>
      <c r="B106" s="36">
        <v>9</v>
      </c>
    </row>
    <row r="107" spans="1:2" x14ac:dyDescent="0.25">
      <c r="A107" s="35" t="s">
        <v>151</v>
      </c>
      <c r="B107" s="36">
        <v>9</v>
      </c>
    </row>
    <row r="108" spans="1:2" x14ac:dyDescent="0.25">
      <c r="A108" s="35" t="s">
        <v>171</v>
      </c>
      <c r="B108" s="36">
        <v>9</v>
      </c>
    </row>
    <row r="109" spans="1:2" x14ac:dyDescent="0.25">
      <c r="A109" s="35" t="s">
        <v>86</v>
      </c>
      <c r="B109" s="36">
        <v>9</v>
      </c>
    </row>
    <row r="110" spans="1:2" x14ac:dyDescent="0.25">
      <c r="A110" s="35" t="s">
        <v>411</v>
      </c>
      <c r="B110" s="36">
        <v>9</v>
      </c>
    </row>
    <row r="111" spans="1:2" x14ac:dyDescent="0.25">
      <c r="A111" s="35" t="s">
        <v>210</v>
      </c>
      <c r="B111" s="36">
        <v>9</v>
      </c>
    </row>
    <row r="112" spans="1:2" x14ac:dyDescent="0.25">
      <c r="A112" s="35" t="s">
        <v>371</v>
      </c>
      <c r="B112" s="36">
        <v>9</v>
      </c>
    </row>
    <row r="113" spans="1:2" x14ac:dyDescent="0.25">
      <c r="A113" s="35" t="s">
        <v>462</v>
      </c>
      <c r="B113" s="36">
        <v>8</v>
      </c>
    </row>
    <row r="114" spans="1:2" x14ac:dyDescent="0.25">
      <c r="A114" s="35" t="s">
        <v>204</v>
      </c>
      <c r="B114" s="36">
        <v>8</v>
      </c>
    </row>
    <row r="115" spans="1:2" x14ac:dyDescent="0.25">
      <c r="A115" s="35" t="s">
        <v>276</v>
      </c>
      <c r="B115" s="36">
        <v>8</v>
      </c>
    </row>
    <row r="116" spans="1:2" x14ac:dyDescent="0.25">
      <c r="A116" s="35" t="s">
        <v>50</v>
      </c>
      <c r="B116" s="36">
        <v>8</v>
      </c>
    </row>
    <row r="117" spans="1:2" x14ac:dyDescent="0.25">
      <c r="A117" s="35" t="s">
        <v>58</v>
      </c>
      <c r="B117" s="36">
        <v>8</v>
      </c>
    </row>
    <row r="118" spans="1:2" x14ac:dyDescent="0.25">
      <c r="A118" s="35" t="s">
        <v>145</v>
      </c>
      <c r="B118" s="36">
        <v>8</v>
      </c>
    </row>
    <row r="119" spans="1:2" x14ac:dyDescent="0.25">
      <c r="A119" s="35" t="s">
        <v>52</v>
      </c>
      <c r="B119" s="36">
        <v>8</v>
      </c>
    </row>
    <row r="120" spans="1:2" x14ac:dyDescent="0.25">
      <c r="A120" s="35" t="s">
        <v>115</v>
      </c>
      <c r="B120" s="36">
        <v>8</v>
      </c>
    </row>
    <row r="121" spans="1:2" x14ac:dyDescent="0.25">
      <c r="A121" s="35" t="s">
        <v>300</v>
      </c>
      <c r="B121" s="36">
        <v>8</v>
      </c>
    </row>
    <row r="122" spans="1:2" x14ac:dyDescent="0.25">
      <c r="A122" s="35" t="s">
        <v>456</v>
      </c>
      <c r="B122" s="36">
        <v>8</v>
      </c>
    </row>
    <row r="123" spans="1:2" x14ac:dyDescent="0.25">
      <c r="A123" s="35" t="s">
        <v>299</v>
      </c>
      <c r="B123" s="36">
        <v>8</v>
      </c>
    </row>
    <row r="124" spans="1:2" x14ac:dyDescent="0.25">
      <c r="A124" s="35" t="s">
        <v>200</v>
      </c>
      <c r="B124" s="36">
        <v>8</v>
      </c>
    </row>
    <row r="125" spans="1:2" x14ac:dyDescent="0.25">
      <c r="A125" s="35" t="s">
        <v>79</v>
      </c>
      <c r="B125" s="36">
        <v>8</v>
      </c>
    </row>
    <row r="126" spans="1:2" x14ac:dyDescent="0.25">
      <c r="A126" s="35" t="s">
        <v>376</v>
      </c>
      <c r="B126" s="36">
        <v>8</v>
      </c>
    </row>
    <row r="127" spans="1:2" x14ac:dyDescent="0.25">
      <c r="A127" s="35" t="s">
        <v>409</v>
      </c>
      <c r="B127" s="36">
        <v>8</v>
      </c>
    </row>
    <row r="128" spans="1:2" x14ac:dyDescent="0.25">
      <c r="A128" s="35" t="s">
        <v>522</v>
      </c>
      <c r="B128" s="36">
        <v>8</v>
      </c>
    </row>
    <row r="129" spans="1:2" x14ac:dyDescent="0.25">
      <c r="A129" s="35" t="s">
        <v>429</v>
      </c>
      <c r="B129" s="36">
        <v>8</v>
      </c>
    </row>
    <row r="130" spans="1:2" x14ac:dyDescent="0.25">
      <c r="A130" s="35" t="s">
        <v>196</v>
      </c>
      <c r="B130" s="36">
        <v>8</v>
      </c>
    </row>
    <row r="131" spans="1:2" x14ac:dyDescent="0.25">
      <c r="A131" s="35" t="s">
        <v>76</v>
      </c>
      <c r="B131" s="36">
        <v>8</v>
      </c>
    </row>
    <row r="132" spans="1:2" x14ac:dyDescent="0.25">
      <c r="A132" s="35" t="s">
        <v>176</v>
      </c>
      <c r="B132" s="36">
        <v>7</v>
      </c>
    </row>
    <row r="133" spans="1:2" x14ac:dyDescent="0.25">
      <c r="A133" s="35" t="s">
        <v>70</v>
      </c>
      <c r="B133" s="36">
        <v>7</v>
      </c>
    </row>
    <row r="134" spans="1:2" x14ac:dyDescent="0.25">
      <c r="A134" s="35" t="s">
        <v>178</v>
      </c>
      <c r="B134" s="36">
        <v>7</v>
      </c>
    </row>
    <row r="135" spans="1:2" x14ac:dyDescent="0.25">
      <c r="A135" s="35" t="s">
        <v>66</v>
      </c>
      <c r="B135" s="36">
        <v>7</v>
      </c>
    </row>
    <row r="136" spans="1:2" x14ac:dyDescent="0.25">
      <c r="A136" s="35" t="s">
        <v>581</v>
      </c>
      <c r="B136" s="36">
        <v>7</v>
      </c>
    </row>
    <row r="137" spans="1:2" x14ac:dyDescent="0.25">
      <c r="A137" s="35" t="s">
        <v>394</v>
      </c>
      <c r="B137" s="36">
        <v>7</v>
      </c>
    </row>
    <row r="138" spans="1:2" x14ac:dyDescent="0.25">
      <c r="A138" s="35" t="s">
        <v>177</v>
      </c>
      <c r="B138" s="36">
        <v>7</v>
      </c>
    </row>
    <row r="139" spans="1:2" x14ac:dyDescent="0.25">
      <c r="A139" s="35" t="s">
        <v>45</v>
      </c>
      <c r="B139" s="36">
        <v>7</v>
      </c>
    </row>
    <row r="140" spans="1:2" x14ac:dyDescent="0.25">
      <c r="A140" s="35" t="s">
        <v>398</v>
      </c>
      <c r="B140" s="36">
        <v>7</v>
      </c>
    </row>
    <row r="141" spans="1:2" x14ac:dyDescent="0.25">
      <c r="A141" s="35" t="s">
        <v>289</v>
      </c>
      <c r="B141" s="36">
        <v>7</v>
      </c>
    </row>
    <row r="142" spans="1:2" x14ac:dyDescent="0.25">
      <c r="A142" s="35" t="s">
        <v>453</v>
      </c>
      <c r="B142" s="36">
        <v>7</v>
      </c>
    </row>
    <row r="143" spans="1:2" x14ac:dyDescent="0.25">
      <c r="A143" s="35" t="s">
        <v>105</v>
      </c>
      <c r="B143" s="36">
        <v>7</v>
      </c>
    </row>
    <row r="144" spans="1:2" x14ac:dyDescent="0.25">
      <c r="A144" s="35" t="s">
        <v>426</v>
      </c>
      <c r="B144" s="36">
        <v>7</v>
      </c>
    </row>
    <row r="145" spans="1:2" x14ac:dyDescent="0.25">
      <c r="A145" s="35" t="s">
        <v>183</v>
      </c>
      <c r="B145" s="36">
        <v>7</v>
      </c>
    </row>
    <row r="146" spans="1:2" x14ac:dyDescent="0.25">
      <c r="A146" s="35" t="s">
        <v>448</v>
      </c>
      <c r="B146" s="36">
        <v>6</v>
      </c>
    </row>
    <row r="147" spans="1:2" x14ac:dyDescent="0.25">
      <c r="A147" s="35" t="s">
        <v>187</v>
      </c>
      <c r="B147" s="36">
        <v>6</v>
      </c>
    </row>
    <row r="148" spans="1:2" x14ac:dyDescent="0.25">
      <c r="A148" s="35" t="s">
        <v>368</v>
      </c>
      <c r="B148" s="36">
        <v>6</v>
      </c>
    </row>
    <row r="149" spans="1:2" x14ac:dyDescent="0.25">
      <c r="A149" s="35" t="s">
        <v>463</v>
      </c>
      <c r="B149" s="36">
        <v>6</v>
      </c>
    </row>
    <row r="150" spans="1:2" x14ac:dyDescent="0.25">
      <c r="A150" s="35" t="s">
        <v>190</v>
      </c>
      <c r="B150" s="36">
        <v>6</v>
      </c>
    </row>
    <row r="151" spans="1:2" x14ac:dyDescent="0.25">
      <c r="A151" s="35" t="s">
        <v>286</v>
      </c>
      <c r="B151" s="36">
        <v>6</v>
      </c>
    </row>
    <row r="152" spans="1:2" x14ac:dyDescent="0.25">
      <c r="A152" s="35" t="s">
        <v>88</v>
      </c>
      <c r="B152" s="36">
        <v>6</v>
      </c>
    </row>
    <row r="153" spans="1:2" x14ac:dyDescent="0.25">
      <c r="A153" s="35" t="s">
        <v>388</v>
      </c>
      <c r="B153" s="36">
        <v>6</v>
      </c>
    </row>
    <row r="154" spans="1:2" x14ac:dyDescent="0.25">
      <c r="A154" s="35" t="s">
        <v>301</v>
      </c>
      <c r="B154" s="36">
        <v>6</v>
      </c>
    </row>
    <row r="155" spans="1:2" x14ac:dyDescent="0.25">
      <c r="A155" s="35" t="s">
        <v>64</v>
      </c>
      <c r="B155" s="36">
        <v>6</v>
      </c>
    </row>
    <row r="156" spans="1:2" x14ac:dyDescent="0.25">
      <c r="A156" s="35" t="s">
        <v>174</v>
      </c>
      <c r="B156" s="36">
        <v>6</v>
      </c>
    </row>
    <row r="157" spans="1:2" x14ac:dyDescent="0.25">
      <c r="A157" s="35" t="s">
        <v>123</v>
      </c>
      <c r="B157" s="36">
        <v>6</v>
      </c>
    </row>
    <row r="158" spans="1:2" x14ac:dyDescent="0.25">
      <c r="A158" s="35" t="s">
        <v>65</v>
      </c>
      <c r="B158" s="36">
        <v>6</v>
      </c>
    </row>
    <row r="159" spans="1:2" x14ac:dyDescent="0.25">
      <c r="A159" s="35" t="s">
        <v>117</v>
      </c>
      <c r="B159" s="36">
        <v>6</v>
      </c>
    </row>
    <row r="160" spans="1:2" x14ac:dyDescent="0.25">
      <c r="A160" s="35" t="s">
        <v>137</v>
      </c>
      <c r="B160" s="36">
        <v>6</v>
      </c>
    </row>
    <row r="161" spans="1:2" x14ac:dyDescent="0.25">
      <c r="A161" s="35" t="s">
        <v>170</v>
      </c>
      <c r="B161" s="36">
        <v>6</v>
      </c>
    </row>
    <row r="162" spans="1:2" x14ac:dyDescent="0.25">
      <c r="A162" s="35" t="s">
        <v>160</v>
      </c>
      <c r="B162" s="36">
        <v>6</v>
      </c>
    </row>
    <row r="163" spans="1:2" x14ac:dyDescent="0.25">
      <c r="A163" s="35" t="s">
        <v>113</v>
      </c>
      <c r="B163" s="36">
        <v>6</v>
      </c>
    </row>
    <row r="164" spans="1:2" x14ac:dyDescent="0.25">
      <c r="A164" s="35" t="s">
        <v>127</v>
      </c>
      <c r="B164" s="36">
        <v>6</v>
      </c>
    </row>
    <row r="165" spans="1:2" x14ac:dyDescent="0.25">
      <c r="A165" s="35" t="s">
        <v>468</v>
      </c>
      <c r="B165" s="36">
        <v>6</v>
      </c>
    </row>
    <row r="166" spans="1:2" x14ac:dyDescent="0.25">
      <c r="A166" s="35" t="s">
        <v>110</v>
      </c>
      <c r="B166" s="36">
        <v>5</v>
      </c>
    </row>
    <row r="167" spans="1:2" x14ac:dyDescent="0.25">
      <c r="A167" s="35" t="s">
        <v>92</v>
      </c>
      <c r="B167" s="36">
        <v>5</v>
      </c>
    </row>
    <row r="168" spans="1:2" x14ac:dyDescent="0.25">
      <c r="A168" s="35" t="s">
        <v>403</v>
      </c>
      <c r="B168" s="36">
        <v>5</v>
      </c>
    </row>
    <row r="169" spans="1:2" x14ac:dyDescent="0.25">
      <c r="A169" s="35" t="s">
        <v>304</v>
      </c>
      <c r="B169" s="36">
        <v>5</v>
      </c>
    </row>
    <row r="170" spans="1:2" x14ac:dyDescent="0.25">
      <c r="A170" s="35" t="s">
        <v>459</v>
      </c>
      <c r="B170" s="36">
        <v>5</v>
      </c>
    </row>
    <row r="171" spans="1:2" x14ac:dyDescent="0.25">
      <c r="A171" s="35" t="s">
        <v>173</v>
      </c>
      <c r="B171" s="36">
        <v>5</v>
      </c>
    </row>
    <row r="172" spans="1:2" x14ac:dyDescent="0.25">
      <c r="A172" s="35" t="s">
        <v>556</v>
      </c>
      <c r="B172" s="36">
        <v>5</v>
      </c>
    </row>
    <row r="173" spans="1:2" x14ac:dyDescent="0.25">
      <c r="A173" s="35" t="s">
        <v>155</v>
      </c>
      <c r="B173" s="36">
        <v>5</v>
      </c>
    </row>
    <row r="174" spans="1:2" x14ac:dyDescent="0.25">
      <c r="A174" s="35" t="s">
        <v>387</v>
      </c>
      <c r="B174" s="36">
        <v>5</v>
      </c>
    </row>
    <row r="175" spans="1:2" x14ac:dyDescent="0.25">
      <c r="A175" s="35" t="s">
        <v>96</v>
      </c>
      <c r="B175" s="36">
        <v>5</v>
      </c>
    </row>
    <row r="176" spans="1:2" x14ac:dyDescent="0.25">
      <c r="A176" s="35" t="s">
        <v>439</v>
      </c>
      <c r="B176" s="36">
        <v>5</v>
      </c>
    </row>
    <row r="177" spans="1:2" x14ac:dyDescent="0.25">
      <c r="A177" s="35" t="s">
        <v>386</v>
      </c>
      <c r="B177" s="36">
        <v>5</v>
      </c>
    </row>
    <row r="178" spans="1:2" x14ac:dyDescent="0.25">
      <c r="A178" s="35" t="s">
        <v>504</v>
      </c>
      <c r="B178" s="36">
        <v>5</v>
      </c>
    </row>
    <row r="179" spans="1:2" x14ac:dyDescent="0.25">
      <c r="A179" s="35" t="s">
        <v>78</v>
      </c>
      <c r="B179" s="36">
        <v>5</v>
      </c>
    </row>
    <row r="180" spans="1:2" x14ac:dyDescent="0.25">
      <c r="A180" s="35" t="s">
        <v>188</v>
      </c>
      <c r="B180" s="36">
        <v>5</v>
      </c>
    </row>
    <row r="181" spans="1:2" x14ac:dyDescent="0.25">
      <c r="A181" s="35" t="s">
        <v>306</v>
      </c>
      <c r="B181" s="36">
        <v>5</v>
      </c>
    </row>
    <row r="182" spans="1:2" x14ac:dyDescent="0.25">
      <c r="A182" s="35" t="s">
        <v>447</v>
      </c>
      <c r="B182" s="36">
        <v>4</v>
      </c>
    </row>
    <row r="183" spans="1:2" x14ac:dyDescent="0.25">
      <c r="A183" s="35" t="s">
        <v>542</v>
      </c>
      <c r="B183" s="36">
        <v>4</v>
      </c>
    </row>
    <row r="184" spans="1:2" x14ac:dyDescent="0.25">
      <c r="A184" s="35" t="s">
        <v>195</v>
      </c>
      <c r="B184" s="36">
        <v>4</v>
      </c>
    </row>
    <row r="185" spans="1:2" x14ac:dyDescent="0.25">
      <c r="A185" s="35" t="s">
        <v>53</v>
      </c>
      <c r="B185" s="36">
        <v>4</v>
      </c>
    </row>
    <row r="186" spans="1:2" x14ac:dyDescent="0.25">
      <c r="A186" s="35" t="s">
        <v>121</v>
      </c>
      <c r="B186" s="36">
        <v>4</v>
      </c>
    </row>
    <row r="187" spans="1:2" x14ac:dyDescent="0.25">
      <c r="A187" s="35" t="s">
        <v>54</v>
      </c>
      <c r="B187" s="36">
        <v>4</v>
      </c>
    </row>
    <row r="188" spans="1:2" x14ac:dyDescent="0.25">
      <c r="A188" s="35" t="s">
        <v>148</v>
      </c>
      <c r="B188" s="36">
        <v>4</v>
      </c>
    </row>
    <row r="189" spans="1:2" x14ac:dyDescent="0.25">
      <c r="A189" s="35" t="s">
        <v>118</v>
      </c>
      <c r="B189" s="36">
        <v>4</v>
      </c>
    </row>
    <row r="190" spans="1:2" x14ac:dyDescent="0.25">
      <c r="A190" s="35" t="s">
        <v>168</v>
      </c>
      <c r="B190" s="36">
        <v>4</v>
      </c>
    </row>
    <row r="191" spans="1:2" x14ac:dyDescent="0.25">
      <c r="A191" s="35" t="s">
        <v>372</v>
      </c>
      <c r="B191" s="36">
        <v>4</v>
      </c>
    </row>
    <row r="192" spans="1:2" x14ac:dyDescent="0.25">
      <c r="A192" s="35" t="s">
        <v>550</v>
      </c>
      <c r="B192" s="36">
        <v>4</v>
      </c>
    </row>
    <row r="193" spans="1:2" x14ac:dyDescent="0.25">
      <c r="A193" s="35" t="s">
        <v>580</v>
      </c>
      <c r="B193" s="36">
        <v>4</v>
      </c>
    </row>
    <row r="194" spans="1:2" x14ac:dyDescent="0.25">
      <c r="A194" s="35" t="s">
        <v>91</v>
      </c>
      <c r="B194" s="36">
        <v>4</v>
      </c>
    </row>
    <row r="195" spans="1:2" x14ac:dyDescent="0.25">
      <c r="A195" s="35" t="s">
        <v>100</v>
      </c>
      <c r="B195" s="36">
        <v>4</v>
      </c>
    </row>
    <row r="196" spans="1:2" x14ac:dyDescent="0.25">
      <c r="A196" s="35" t="s">
        <v>308</v>
      </c>
      <c r="B196" s="36">
        <v>4</v>
      </c>
    </row>
    <row r="197" spans="1:2" x14ac:dyDescent="0.25">
      <c r="A197" s="35" t="s">
        <v>189</v>
      </c>
      <c r="B197" s="36">
        <v>4</v>
      </c>
    </row>
    <row r="198" spans="1:2" x14ac:dyDescent="0.25">
      <c r="A198" s="35" t="s">
        <v>124</v>
      </c>
      <c r="B198" s="36">
        <v>4</v>
      </c>
    </row>
    <row r="199" spans="1:2" x14ac:dyDescent="0.25">
      <c r="A199" s="35" t="s">
        <v>136</v>
      </c>
      <c r="B199" s="36">
        <v>4</v>
      </c>
    </row>
    <row r="200" spans="1:2" x14ac:dyDescent="0.25">
      <c r="A200" s="35" t="s">
        <v>446</v>
      </c>
      <c r="B200" s="36">
        <v>4</v>
      </c>
    </row>
    <row r="201" spans="1:2" x14ac:dyDescent="0.25">
      <c r="A201" s="35" t="s">
        <v>129</v>
      </c>
      <c r="B201" s="36">
        <v>4</v>
      </c>
    </row>
    <row r="202" spans="1:2" x14ac:dyDescent="0.25">
      <c r="A202" s="35" t="s">
        <v>527</v>
      </c>
      <c r="B202" s="36">
        <v>4</v>
      </c>
    </row>
    <row r="203" spans="1:2" x14ac:dyDescent="0.25">
      <c r="A203" s="35" t="s">
        <v>291</v>
      </c>
      <c r="B203" s="36">
        <v>4</v>
      </c>
    </row>
    <row r="204" spans="1:2" x14ac:dyDescent="0.25">
      <c r="A204" s="35" t="s">
        <v>543</v>
      </c>
      <c r="B204" s="36">
        <v>4</v>
      </c>
    </row>
    <row r="205" spans="1:2" x14ac:dyDescent="0.25">
      <c r="A205" s="35" t="s">
        <v>317</v>
      </c>
      <c r="B205" s="36">
        <v>4</v>
      </c>
    </row>
    <row r="206" spans="1:2" x14ac:dyDescent="0.25">
      <c r="A206" s="35" t="s">
        <v>77</v>
      </c>
      <c r="B206" s="36">
        <v>4</v>
      </c>
    </row>
    <row r="207" spans="1:2" x14ac:dyDescent="0.25">
      <c r="A207" s="35" t="s">
        <v>162</v>
      </c>
      <c r="B207" s="36">
        <v>4</v>
      </c>
    </row>
    <row r="208" spans="1:2" x14ac:dyDescent="0.25">
      <c r="A208" s="35" t="s">
        <v>172</v>
      </c>
      <c r="B208" s="36">
        <v>4</v>
      </c>
    </row>
    <row r="209" spans="1:2" x14ac:dyDescent="0.25">
      <c r="A209" s="35" t="s">
        <v>380</v>
      </c>
      <c r="B209" s="36">
        <v>4</v>
      </c>
    </row>
    <row r="210" spans="1:2" x14ac:dyDescent="0.25">
      <c r="A210" s="35" t="s">
        <v>316</v>
      </c>
      <c r="B210" s="36">
        <v>3</v>
      </c>
    </row>
    <row r="211" spans="1:2" x14ac:dyDescent="0.25">
      <c r="A211" s="35" t="s">
        <v>213</v>
      </c>
      <c r="B211" s="36">
        <v>3</v>
      </c>
    </row>
    <row r="212" spans="1:2" x14ac:dyDescent="0.25">
      <c r="A212" s="35" t="s">
        <v>211</v>
      </c>
      <c r="B212" s="36">
        <v>3</v>
      </c>
    </row>
    <row r="213" spans="1:2" x14ac:dyDescent="0.25">
      <c r="A213" s="35" t="s">
        <v>146</v>
      </c>
      <c r="B213" s="36">
        <v>3</v>
      </c>
    </row>
    <row r="214" spans="1:2" x14ac:dyDescent="0.25">
      <c r="A214" s="35" t="s">
        <v>119</v>
      </c>
      <c r="B214" s="36">
        <v>3</v>
      </c>
    </row>
    <row r="215" spans="1:2" x14ac:dyDescent="0.25">
      <c r="A215" s="35" t="s">
        <v>312</v>
      </c>
      <c r="B215" s="36">
        <v>3</v>
      </c>
    </row>
    <row r="216" spans="1:2" x14ac:dyDescent="0.25">
      <c r="A216" s="35" t="s">
        <v>528</v>
      </c>
      <c r="B216" s="36">
        <v>3</v>
      </c>
    </row>
    <row r="217" spans="1:2" x14ac:dyDescent="0.25">
      <c r="A217" s="35" t="s">
        <v>315</v>
      </c>
      <c r="B217" s="36">
        <v>3</v>
      </c>
    </row>
    <row r="218" spans="1:2" x14ac:dyDescent="0.25">
      <c r="A218" s="35" t="s">
        <v>290</v>
      </c>
      <c r="B218" s="36">
        <v>3</v>
      </c>
    </row>
    <row r="219" spans="1:2" x14ac:dyDescent="0.25">
      <c r="A219" s="35" t="s">
        <v>296</v>
      </c>
      <c r="B219" s="36">
        <v>3</v>
      </c>
    </row>
    <row r="220" spans="1:2" x14ac:dyDescent="0.25">
      <c r="A220" s="35" t="s">
        <v>455</v>
      </c>
      <c r="B220" s="36">
        <v>3</v>
      </c>
    </row>
    <row r="221" spans="1:2" x14ac:dyDescent="0.25">
      <c r="A221" s="35" t="s">
        <v>98</v>
      </c>
      <c r="B221" s="36">
        <v>3</v>
      </c>
    </row>
    <row r="222" spans="1:2" x14ac:dyDescent="0.25">
      <c r="A222" s="35" t="s">
        <v>521</v>
      </c>
      <c r="B222" s="36">
        <v>3</v>
      </c>
    </row>
    <row r="223" spans="1:2" x14ac:dyDescent="0.25">
      <c r="A223" s="35" t="s">
        <v>114</v>
      </c>
      <c r="B223" s="36">
        <v>3</v>
      </c>
    </row>
    <row r="224" spans="1:2" x14ac:dyDescent="0.25">
      <c r="A224" s="35" t="s">
        <v>138</v>
      </c>
      <c r="B224" s="36">
        <v>3</v>
      </c>
    </row>
    <row r="225" spans="1:2" x14ac:dyDescent="0.25">
      <c r="A225" s="35" t="s">
        <v>428</v>
      </c>
      <c r="B225" s="36">
        <v>3</v>
      </c>
    </row>
    <row r="226" spans="1:2" x14ac:dyDescent="0.25">
      <c r="A226" s="35" t="s">
        <v>535</v>
      </c>
      <c r="B226" s="36">
        <v>3</v>
      </c>
    </row>
    <row r="227" spans="1:2" x14ac:dyDescent="0.25">
      <c r="A227" s="35" t="s">
        <v>180</v>
      </c>
      <c r="B227" s="36">
        <v>3</v>
      </c>
    </row>
    <row r="228" spans="1:2" x14ac:dyDescent="0.25">
      <c r="A228" s="35" t="s">
        <v>373</v>
      </c>
      <c r="B228" s="36">
        <v>3</v>
      </c>
    </row>
    <row r="229" spans="1:2" x14ac:dyDescent="0.25">
      <c r="A229" s="35" t="s">
        <v>450</v>
      </c>
      <c r="B229" s="36">
        <v>3</v>
      </c>
    </row>
    <row r="230" spans="1:2" x14ac:dyDescent="0.25">
      <c r="A230" s="35" t="s">
        <v>378</v>
      </c>
      <c r="B230" s="36">
        <v>3</v>
      </c>
    </row>
    <row r="231" spans="1:2" x14ac:dyDescent="0.25">
      <c r="A231" s="35" t="s">
        <v>441</v>
      </c>
      <c r="B231" s="36">
        <v>3</v>
      </c>
    </row>
    <row r="232" spans="1:2" x14ac:dyDescent="0.25">
      <c r="A232" s="35" t="s">
        <v>311</v>
      </c>
      <c r="B232" s="36">
        <v>3</v>
      </c>
    </row>
    <row r="233" spans="1:2" x14ac:dyDescent="0.25">
      <c r="A233" s="35" t="s">
        <v>89</v>
      </c>
      <c r="B233" s="36">
        <v>3</v>
      </c>
    </row>
    <row r="234" spans="1:2" x14ac:dyDescent="0.25">
      <c r="A234" s="35" t="s">
        <v>106</v>
      </c>
      <c r="B234" s="36">
        <v>3</v>
      </c>
    </row>
    <row r="235" spans="1:2" x14ac:dyDescent="0.25">
      <c r="A235" s="35" t="s">
        <v>60</v>
      </c>
      <c r="B235" s="36">
        <v>3</v>
      </c>
    </row>
    <row r="236" spans="1:2" x14ac:dyDescent="0.25">
      <c r="A236" s="35" t="s">
        <v>153</v>
      </c>
      <c r="B236" s="36">
        <v>3</v>
      </c>
    </row>
    <row r="237" spans="1:2" x14ac:dyDescent="0.25">
      <c r="A237" s="35" t="s">
        <v>128</v>
      </c>
      <c r="B237" s="36">
        <v>3</v>
      </c>
    </row>
    <row r="238" spans="1:2" x14ac:dyDescent="0.25">
      <c r="A238" s="35" t="s">
        <v>158</v>
      </c>
      <c r="B238" s="36">
        <v>2</v>
      </c>
    </row>
    <row r="239" spans="1:2" x14ac:dyDescent="0.25">
      <c r="A239" s="35" t="s">
        <v>545</v>
      </c>
      <c r="B239" s="36">
        <v>2</v>
      </c>
    </row>
    <row r="240" spans="1:2" x14ac:dyDescent="0.25">
      <c r="A240" s="35" t="s">
        <v>534</v>
      </c>
      <c r="B240" s="36">
        <v>2</v>
      </c>
    </row>
    <row r="241" spans="1:2" x14ac:dyDescent="0.25">
      <c r="A241" s="35" t="s">
        <v>382</v>
      </c>
      <c r="B241" s="36">
        <v>2</v>
      </c>
    </row>
    <row r="242" spans="1:2" x14ac:dyDescent="0.25">
      <c r="A242" s="35" t="s">
        <v>84</v>
      </c>
      <c r="B242" s="36">
        <v>2</v>
      </c>
    </row>
    <row r="243" spans="1:2" x14ac:dyDescent="0.25">
      <c r="A243" s="35" t="s">
        <v>61</v>
      </c>
      <c r="B243" s="36">
        <v>2</v>
      </c>
    </row>
    <row r="244" spans="1:2" x14ac:dyDescent="0.25">
      <c r="A244" s="35" t="s">
        <v>419</v>
      </c>
      <c r="B244" s="36">
        <v>2</v>
      </c>
    </row>
    <row r="245" spans="1:2" x14ac:dyDescent="0.25">
      <c r="A245" s="35" t="s">
        <v>165</v>
      </c>
      <c r="B245" s="36">
        <v>2</v>
      </c>
    </row>
    <row r="246" spans="1:2" x14ac:dyDescent="0.25">
      <c r="A246" s="35" t="s">
        <v>432</v>
      </c>
      <c r="B246" s="36">
        <v>2</v>
      </c>
    </row>
    <row r="247" spans="1:2" x14ac:dyDescent="0.25">
      <c r="A247" s="35" t="s">
        <v>395</v>
      </c>
      <c r="B247" s="36">
        <v>2</v>
      </c>
    </row>
    <row r="248" spans="1:2" x14ac:dyDescent="0.25">
      <c r="A248" s="35" t="s">
        <v>553</v>
      </c>
      <c r="B248" s="36">
        <v>2</v>
      </c>
    </row>
    <row r="249" spans="1:2" x14ac:dyDescent="0.25">
      <c r="A249" s="35" t="s">
        <v>132</v>
      </c>
      <c r="B249" s="36">
        <v>2</v>
      </c>
    </row>
    <row r="250" spans="1:2" x14ac:dyDescent="0.25">
      <c r="A250" s="35" t="s">
        <v>508</v>
      </c>
      <c r="B250" s="36">
        <v>2</v>
      </c>
    </row>
    <row r="251" spans="1:2" x14ac:dyDescent="0.25">
      <c r="A251" s="35" t="s">
        <v>126</v>
      </c>
      <c r="B251" s="36">
        <v>2</v>
      </c>
    </row>
    <row r="252" spans="1:2" x14ac:dyDescent="0.25">
      <c r="A252" s="35" t="s">
        <v>202</v>
      </c>
      <c r="B252" s="36">
        <v>2</v>
      </c>
    </row>
    <row r="253" spans="1:2" x14ac:dyDescent="0.25">
      <c r="A253" s="35" t="s">
        <v>392</v>
      </c>
      <c r="B253" s="36">
        <v>2</v>
      </c>
    </row>
    <row r="254" spans="1:2" x14ac:dyDescent="0.25">
      <c r="A254" s="35" t="s">
        <v>150</v>
      </c>
      <c r="B254" s="36">
        <v>2</v>
      </c>
    </row>
    <row r="255" spans="1:2" x14ac:dyDescent="0.25">
      <c r="A255" s="35" t="s">
        <v>457</v>
      </c>
      <c r="B255" s="36">
        <v>2</v>
      </c>
    </row>
    <row r="256" spans="1:2" x14ac:dyDescent="0.25">
      <c r="A256" s="35" t="s">
        <v>144</v>
      </c>
      <c r="B256" s="36">
        <v>2</v>
      </c>
    </row>
    <row r="257" spans="1:2" x14ac:dyDescent="0.25">
      <c r="A257" s="35" t="s">
        <v>116</v>
      </c>
      <c r="B257" s="36">
        <v>2</v>
      </c>
    </row>
    <row r="258" spans="1:2" x14ac:dyDescent="0.25">
      <c r="A258" s="35" t="s">
        <v>67</v>
      </c>
      <c r="B258" s="36">
        <v>2</v>
      </c>
    </row>
    <row r="259" spans="1:2" x14ac:dyDescent="0.25">
      <c r="A259" s="35" t="s">
        <v>391</v>
      </c>
      <c r="B259" s="36">
        <v>2</v>
      </c>
    </row>
    <row r="260" spans="1:2" x14ac:dyDescent="0.25">
      <c r="A260" s="35" t="s">
        <v>464</v>
      </c>
      <c r="B260" s="36">
        <v>2</v>
      </c>
    </row>
    <row r="261" spans="1:2" x14ac:dyDescent="0.25">
      <c r="A261" s="35" t="s">
        <v>401</v>
      </c>
      <c r="B261" s="36">
        <v>2</v>
      </c>
    </row>
    <row r="262" spans="1:2" x14ac:dyDescent="0.25">
      <c r="A262" s="35" t="s">
        <v>87</v>
      </c>
      <c r="B262" s="36">
        <v>2</v>
      </c>
    </row>
    <row r="263" spans="1:2" x14ac:dyDescent="0.25">
      <c r="A263" s="35" t="s">
        <v>488</v>
      </c>
      <c r="B263" s="36">
        <v>2</v>
      </c>
    </row>
    <row r="264" spans="1:2" x14ac:dyDescent="0.25">
      <c r="A264" s="35" t="s">
        <v>133</v>
      </c>
      <c r="B264" s="36">
        <v>2</v>
      </c>
    </row>
    <row r="265" spans="1:2" x14ac:dyDescent="0.25">
      <c r="A265" s="35" t="s">
        <v>571</v>
      </c>
      <c r="B265" s="36">
        <v>1</v>
      </c>
    </row>
    <row r="266" spans="1:2" x14ac:dyDescent="0.25">
      <c r="A266" s="35" t="s">
        <v>175</v>
      </c>
      <c r="B266" s="36">
        <v>1</v>
      </c>
    </row>
    <row r="267" spans="1:2" x14ac:dyDescent="0.25">
      <c r="A267" s="35" t="s">
        <v>420</v>
      </c>
      <c r="B267" s="36">
        <v>1</v>
      </c>
    </row>
    <row r="268" spans="1:2" x14ac:dyDescent="0.25">
      <c r="A268" s="35" t="s">
        <v>377</v>
      </c>
      <c r="B268" s="36">
        <v>1</v>
      </c>
    </row>
    <row r="269" spans="1:2" x14ac:dyDescent="0.25">
      <c r="A269" s="35" t="s">
        <v>470</v>
      </c>
      <c r="B269" s="36">
        <v>1</v>
      </c>
    </row>
    <row r="270" spans="1:2" x14ac:dyDescent="0.25">
      <c r="A270" s="35" t="s">
        <v>186</v>
      </c>
      <c r="B270" s="36">
        <v>1</v>
      </c>
    </row>
    <row r="271" spans="1:2" x14ac:dyDescent="0.25">
      <c r="A271" s="35" t="s">
        <v>427</v>
      </c>
      <c r="B271" s="36">
        <v>1</v>
      </c>
    </row>
    <row r="272" spans="1:2" x14ac:dyDescent="0.25">
      <c r="A272" s="35" t="s">
        <v>203</v>
      </c>
      <c r="B272" s="36">
        <v>1</v>
      </c>
    </row>
    <row r="273" spans="1:2" x14ac:dyDescent="0.25">
      <c r="A273" s="35" t="s">
        <v>541</v>
      </c>
      <c r="B273" s="36">
        <v>1</v>
      </c>
    </row>
    <row r="274" spans="1:2" x14ac:dyDescent="0.25">
      <c r="A274" s="35" t="s">
        <v>152</v>
      </c>
      <c r="B274" s="36">
        <v>1</v>
      </c>
    </row>
    <row r="275" spans="1:2" x14ac:dyDescent="0.25">
      <c r="A275" s="35" t="s">
        <v>443</v>
      </c>
      <c r="B275" s="36">
        <v>1</v>
      </c>
    </row>
    <row r="276" spans="1:2" x14ac:dyDescent="0.25">
      <c r="A276" s="35" t="s">
        <v>56</v>
      </c>
      <c r="B276" s="36">
        <v>1</v>
      </c>
    </row>
    <row r="277" spans="1:2" x14ac:dyDescent="0.25">
      <c r="A277" s="35" t="s">
        <v>567</v>
      </c>
      <c r="B277" s="36">
        <v>1</v>
      </c>
    </row>
    <row r="278" spans="1:2" x14ac:dyDescent="0.25">
      <c r="A278" s="35" t="s">
        <v>142</v>
      </c>
      <c r="B278" s="36">
        <v>1</v>
      </c>
    </row>
    <row r="279" spans="1:2" x14ac:dyDescent="0.25">
      <c r="A279" s="35" t="s">
        <v>214</v>
      </c>
      <c r="B279" s="36">
        <v>1</v>
      </c>
    </row>
    <row r="280" spans="1:2" x14ac:dyDescent="0.25">
      <c r="A280" s="35" t="s">
        <v>310</v>
      </c>
      <c r="B280" s="36">
        <v>1</v>
      </c>
    </row>
    <row r="281" spans="1:2" x14ac:dyDescent="0.25">
      <c r="A281" s="35" t="s">
        <v>533</v>
      </c>
      <c r="B281" s="36">
        <v>1</v>
      </c>
    </row>
    <row r="282" spans="1:2" x14ac:dyDescent="0.25">
      <c r="A282" s="35" t="s">
        <v>209</v>
      </c>
      <c r="B282" s="36">
        <v>1</v>
      </c>
    </row>
    <row r="283" spans="1:2" x14ac:dyDescent="0.25">
      <c r="A283" s="35" t="s">
        <v>415</v>
      </c>
      <c r="B283" s="36">
        <v>1</v>
      </c>
    </row>
    <row r="284" spans="1:2" x14ac:dyDescent="0.25">
      <c r="A284" s="35" t="s">
        <v>514</v>
      </c>
      <c r="B284" s="36">
        <v>1</v>
      </c>
    </row>
    <row r="285" spans="1:2" x14ac:dyDescent="0.25">
      <c r="A285" s="35" t="s">
        <v>147</v>
      </c>
      <c r="B285" s="36">
        <v>1</v>
      </c>
    </row>
    <row r="286" spans="1:2" x14ac:dyDescent="0.25">
      <c r="A286" s="35" t="s">
        <v>156</v>
      </c>
      <c r="B286" s="36">
        <v>1</v>
      </c>
    </row>
    <row r="287" spans="1:2" x14ac:dyDescent="0.25">
      <c r="A287" s="35" t="s">
        <v>166</v>
      </c>
      <c r="B287" s="36">
        <v>1</v>
      </c>
    </row>
    <row r="288" spans="1:2" x14ac:dyDescent="0.25">
      <c r="A288" s="35" t="s">
        <v>143</v>
      </c>
      <c r="B288" s="36">
        <v>1</v>
      </c>
    </row>
    <row r="289" spans="1:2" x14ac:dyDescent="0.25">
      <c r="A289" s="35" t="s">
        <v>94</v>
      </c>
      <c r="B289" s="36">
        <v>1</v>
      </c>
    </row>
    <row r="290" spans="1:2" x14ac:dyDescent="0.25">
      <c r="A290" s="35" t="s">
        <v>526</v>
      </c>
      <c r="B290" s="36">
        <v>1</v>
      </c>
    </row>
    <row r="291" spans="1:2" x14ac:dyDescent="0.25">
      <c r="A291" s="35" t="s">
        <v>565</v>
      </c>
      <c r="B291" s="36">
        <v>1</v>
      </c>
    </row>
    <row r="292" spans="1:2" x14ac:dyDescent="0.25">
      <c r="A292" s="35" t="s">
        <v>313</v>
      </c>
      <c r="B292" s="36">
        <v>1</v>
      </c>
    </row>
    <row r="293" spans="1:2" x14ac:dyDescent="0.25">
      <c r="A293" s="35" t="s">
        <v>570</v>
      </c>
      <c r="B293" s="36">
        <v>1</v>
      </c>
    </row>
    <row r="294" spans="1:2" x14ac:dyDescent="0.25">
      <c r="A294" s="35" t="s">
        <v>430</v>
      </c>
      <c r="B294" s="36">
        <v>1</v>
      </c>
    </row>
    <row r="295" spans="1:2" x14ac:dyDescent="0.25">
      <c r="A295" s="35" t="s">
        <v>193</v>
      </c>
      <c r="B295" s="36">
        <v>1</v>
      </c>
    </row>
    <row r="296" spans="1:2" x14ac:dyDescent="0.25">
      <c r="A296" s="35" t="s">
        <v>530</v>
      </c>
      <c r="B296" s="36">
        <v>1</v>
      </c>
    </row>
    <row r="297" spans="1:2" x14ac:dyDescent="0.25">
      <c r="A297" s="35" t="s">
        <v>154</v>
      </c>
      <c r="B297" s="36">
        <v>1</v>
      </c>
    </row>
    <row r="298" spans="1:2" x14ac:dyDescent="0.25">
      <c r="A298" s="35" t="s">
        <v>532</v>
      </c>
      <c r="B298" s="36">
        <v>1</v>
      </c>
    </row>
    <row r="299" spans="1:2" x14ac:dyDescent="0.25">
      <c r="A299" s="35" t="s">
        <v>80</v>
      </c>
      <c r="B299" s="36">
        <v>1</v>
      </c>
    </row>
    <row r="300" spans="1:2" x14ac:dyDescent="0.25">
      <c r="A300" s="35" t="s">
        <v>130</v>
      </c>
      <c r="B300" s="36">
        <v>0</v>
      </c>
    </row>
    <row r="301" spans="1:2" x14ac:dyDescent="0.25">
      <c r="A301" s="35" t="s">
        <v>287</v>
      </c>
      <c r="B301" s="36">
        <v>0</v>
      </c>
    </row>
    <row r="302" spans="1:2" x14ac:dyDescent="0.25">
      <c r="A302" s="35" t="s">
        <v>197</v>
      </c>
      <c r="B302" s="36">
        <v>0</v>
      </c>
    </row>
    <row r="303" spans="1:2" x14ac:dyDescent="0.25">
      <c r="A303" s="35" t="s">
        <v>518</v>
      </c>
      <c r="B303" s="36">
        <v>0</v>
      </c>
    </row>
    <row r="304" spans="1:2" x14ac:dyDescent="0.25">
      <c r="A304" s="35" t="s">
        <v>546</v>
      </c>
      <c r="B304" s="36">
        <v>0</v>
      </c>
    </row>
    <row r="305" spans="1:2" x14ac:dyDescent="0.25">
      <c r="A305" s="35" t="s">
        <v>51</v>
      </c>
      <c r="B305" s="36">
        <v>0</v>
      </c>
    </row>
    <row r="306" spans="1:2" x14ac:dyDescent="0.25">
      <c r="A306" s="35" t="s">
        <v>547</v>
      </c>
      <c r="B306" s="36">
        <v>0</v>
      </c>
    </row>
    <row r="307" spans="1:2" x14ac:dyDescent="0.25">
      <c r="A307" s="35" t="s">
        <v>519</v>
      </c>
      <c r="B307" s="36">
        <v>0</v>
      </c>
    </row>
    <row r="308" spans="1:2" x14ac:dyDescent="0.25">
      <c r="A308" s="35" t="s">
        <v>109</v>
      </c>
      <c r="B308" s="36">
        <v>0</v>
      </c>
    </row>
    <row r="309" spans="1:2" x14ac:dyDescent="0.25">
      <c r="A309" s="35" t="s">
        <v>288</v>
      </c>
      <c r="B309" s="36">
        <v>0</v>
      </c>
    </row>
    <row r="310" spans="1:2" x14ac:dyDescent="0.25">
      <c r="A310" s="35" t="s">
        <v>585</v>
      </c>
      <c r="B310" s="36">
        <v>0</v>
      </c>
    </row>
    <row r="311" spans="1:2" x14ac:dyDescent="0.25">
      <c r="A311" s="35" t="s">
        <v>167</v>
      </c>
      <c r="B311" s="36">
        <v>0</v>
      </c>
    </row>
    <row r="312" spans="1:2" x14ac:dyDescent="0.25">
      <c r="A312" s="35" t="s">
        <v>369</v>
      </c>
      <c r="B312" s="36">
        <v>0</v>
      </c>
    </row>
    <row r="313" spans="1:2" x14ac:dyDescent="0.25">
      <c r="A313" s="35" t="s">
        <v>201</v>
      </c>
      <c r="B313" s="36">
        <v>0</v>
      </c>
    </row>
    <row r="314" spans="1:2" x14ac:dyDescent="0.25">
      <c r="A314" s="35" t="s">
        <v>558</v>
      </c>
      <c r="B314" s="36">
        <v>0</v>
      </c>
    </row>
    <row r="315" spans="1:2" x14ac:dyDescent="0.25">
      <c r="A315" s="35" t="s">
        <v>108</v>
      </c>
      <c r="B315" s="36">
        <v>0</v>
      </c>
    </row>
    <row r="316" spans="1:2" x14ac:dyDescent="0.25">
      <c r="A316" s="35" t="s">
        <v>198</v>
      </c>
      <c r="B316" s="36">
        <v>0</v>
      </c>
    </row>
    <row r="317" spans="1:2" x14ac:dyDescent="0.25">
      <c r="A317" s="35" t="s">
        <v>523</v>
      </c>
      <c r="B317" s="36">
        <v>0</v>
      </c>
    </row>
    <row r="318" spans="1:2" x14ac:dyDescent="0.25">
      <c r="A318" s="35" t="s">
        <v>184</v>
      </c>
      <c r="B318" s="36">
        <v>0</v>
      </c>
    </row>
    <row r="319" spans="1:2" x14ac:dyDescent="0.25">
      <c r="A319" s="35" t="s">
        <v>134</v>
      </c>
      <c r="B319" s="36">
        <v>0</v>
      </c>
    </row>
    <row r="320" spans="1:2" x14ac:dyDescent="0.25">
      <c r="A320" s="35" t="s">
        <v>576</v>
      </c>
      <c r="B320" s="36">
        <v>0</v>
      </c>
    </row>
    <row r="321" spans="1:2" x14ac:dyDescent="0.25">
      <c r="A321" s="35" t="s">
        <v>102</v>
      </c>
      <c r="B321" s="36">
        <v>0</v>
      </c>
    </row>
    <row r="322" spans="1:2" x14ac:dyDescent="0.25">
      <c r="A322" s="35" t="s">
        <v>205</v>
      </c>
      <c r="B322" s="36">
        <v>0</v>
      </c>
    </row>
    <row r="323" spans="1:2" x14ac:dyDescent="0.25">
      <c r="A323" s="35" t="s">
        <v>164</v>
      </c>
      <c r="B323" s="36">
        <v>0</v>
      </c>
    </row>
    <row r="324" spans="1:2" x14ac:dyDescent="0.25">
      <c r="A324" s="35" t="s">
        <v>101</v>
      </c>
      <c r="B324" s="36">
        <v>0</v>
      </c>
    </row>
    <row r="325" spans="1:2" x14ac:dyDescent="0.25">
      <c r="A325" s="35" t="s">
        <v>529</v>
      </c>
      <c r="B325" s="36">
        <v>0</v>
      </c>
    </row>
    <row r="326" spans="1:2" x14ac:dyDescent="0.25">
      <c r="A326" s="35" t="s">
        <v>424</v>
      </c>
      <c r="B326" s="36">
        <v>0</v>
      </c>
    </row>
    <row r="327" spans="1:2" x14ac:dyDescent="0.25">
      <c r="A327" s="35" t="s">
        <v>475</v>
      </c>
      <c r="B327" s="36">
        <v>0</v>
      </c>
    </row>
    <row r="328" spans="1:2" x14ac:dyDescent="0.25">
      <c r="A328" s="35" t="s">
        <v>425</v>
      </c>
      <c r="B328" s="36">
        <v>0</v>
      </c>
    </row>
    <row r="329" spans="1:2" x14ac:dyDescent="0.25">
      <c r="A329" s="35" t="s">
        <v>531</v>
      </c>
      <c r="B329" s="36">
        <v>0</v>
      </c>
    </row>
    <row r="330" spans="1:2" x14ac:dyDescent="0.25">
      <c r="A330" s="35" t="s">
        <v>454</v>
      </c>
      <c r="B330" s="36">
        <v>0</v>
      </c>
    </row>
    <row r="331" spans="1:2" x14ac:dyDescent="0.25">
      <c r="A331" s="35" t="s">
        <v>208</v>
      </c>
      <c r="B331" s="36">
        <v>0</v>
      </c>
    </row>
    <row r="332" spans="1:2" x14ac:dyDescent="0.25">
      <c r="A332" s="35" t="s">
        <v>548</v>
      </c>
      <c r="B332" s="36">
        <v>0</v>
      </c>
    </row>
    <row r="333" spans="1:2" x14ac:dyDescent="0.25">
      <c r="A333" s="35" t="s">
        <v>182</v>
      </c>
      <c r="B333" s="36">
        <v>0</v>
      </c>
    </row>
    <row r="334" spans="1:2" x14ac:dyDescent="0.25">
      <c r="A334" s="35" t="s">
        <v>561</v>
      </c>
      <c r="B334" s="36">
        <v>0</v>
      </c>
    </row>
    <row r="335" spans="1:2" x14ac:dyDescent="0.25">
      <c r="A335" s="35" t="s">
        <v>69</v>
      </c>
      <c r="B335" s="36">
        <v>0</v>
      </c>
    </row>
    <row r="336" spans="1:2" x14ac:dyDescent="0.25">
      <c r="A336" s="35" t="s">
        <v>549</v>
      </c>
      <c r="B336" s="36">
        <v>0</v>
      </c>
    </row>
    <row r="337" spans="1:2" x14ac:dyDescent="0.25">
      <c r="A337" s="35" t="s">
        <v>46</v>
      </c>
      <c r="B337" s="36">
        <v>0</v>
      </c>
    </row>
    <row r="338" spans="1:2" x14ac:dyDescent="0.25">
      <c r="A338" s="35" t="s">
        <v>379</v>
      </c>
      <c r="B338" s="36">
        <v>0</v>
      </c>
    </row>
    <row r="339" spans="1:2" x14ac:dyDescent="0.25">
      <c r="A339" s="35" t="s">
        <v>305</v>
      </c>
      <c r="B339" s="36">
        <v>0</v>
      </c>
    </row>
    <row r="340" spans="1:2" x14ac:dyDescent="0.25">
      <c r="A340" s="35" t="s">
        <v>206</v>
      </c>
      <c r="B340" s="36">
        <v>0</v>
      </c>
    </row>
    <row r="341" spans="1:2" x14ac:dyDescent="0.25">
      <c r="A341" s="35" t="s">
        <v>74</v>
      </c>
      <c r="B341" s="36">
        <v>0</v>
      </c>
    </row>
    <row r="342" spans="1:2" x14ac:dyDescent="0.25">
      <c r="A342" s="35" t="s">
        <v>574</v>
      </c>
      <c r="B342" s="36">
        <v>0</v>
      </c>
    </row>
    <row r="343" spans="1:2" x14ac:dyDescent="0.25">
      <c r="A343" s="35" t="s">
        <v>466</v>
      </c>
      <c r="B343" s="36">
        <v>0</v>
      </c>
    </row>
    <row r="344" spans="1:2" x14ac:dyDescent="0.25">
      <c r="A344" s="35" t="s">
        <v>149</v>
      </c>
      <c r="B344" s="36">
        <v>0</v>
      </c>
    </row>
    <row r="345" spans="1:2" x14ac:dyDescent="0.25">
      <c r="A345" s="35" t="s">
        <v>55</v>
      </c>
      <c r="B345" s="36">
        <v>0</v>
      </c>
    </row>
    <row r="346" spans="1:2" x14ac:dyDescent="0.25">
      <c r="A346" s="35" t="s">
        <v>404</v>
      </c>
      <c r="B346" s="36">
        <v>0</v>
      </c>
    </row>
    <row r="347" spans="1:2" x14ac:dyDescent="0.25">
      <c r="A347" s="35" t="s">
        <v>59</v>
      </c>
      <c r="B347" s="36">
        <v>0</v>
      </c>
    </row>
    <row r="348" spans="1:2" x14ac:dyDescent="0.25">
      <c r="A348" s="35" t="s">
        <v>584</v>
      </c>
      <c r="B348" s="36">
        <v>0</v>
      </c>
    </row>
    <row r="349" spans="1:2" x14ac:dyDescent="0.25">
      <c r="A349" s="35" t="s">
        <v>157</v>
      </c>
      <c r="B349" s="36">
        <v>0</v>
      </c>
    </row>
    <row r="350" spans="1:2" x14ac:dyDescent="0.25">
      <c r="A350" s="35" t="s">
        <v>511</v>
      </c>
      <c r="B350" s="36">
        <v>0</v>
      </c>
    </row>
    <row r="351" spans="1:2" x14ac:dyDescent="0.25">
      <c r="A351" s="35" t="s">
        <v>207</v>
      </c>
      <c r="B351" s="36">
        <v>0</v>
      </c>
    </row>
    <row r="352" spans="1:2" x14ac:dyDescent="0.25">
      <c r="A352" s="35" t="s">
        <v>93</v>
      </c>
      <c r="B352" s="36">
        <v>0</v>
      </c>
    </row>
    <row r="353" spans="1:2" x14ac:dyDescent="0.25">
      <c r="A353" s="35" t="s">
        <v>112</v>
      </c>
      <c r="B353" s="36">
        <v>0</v>
      </c>
    </row>
    <row r="354" spans="1:2" x14ac:dyDescent="0.25">
      <c r="A354" s="35" t="s">
        <v>476</v>
      </c>
      <c r="B354" s="36">
        <v>359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6" tint="0.59999389629810485"/>
  </sheetPr>
  <dimension ref="A1:B66"/>
  <sheetViews>
    <sheetView workbookViewId="0">
      <selection activeCell="A5" sqref="A5"/>
    </sheetView>
  </sheetViews>
  <sheetFormatPr baseColWidth="10" defaultColWidth="9.140625" defaultRowHeight="15" x14ac:dyDescent="0.25"/>
  <cols>
    <col min="1" max="1" width="64.42578125" customWidth="1"/>
    <col min="2" max="2" width="24.7109375" bestFit="1" customWidth="1"/>
  </cols>
  <sheetData>
    <row r="1" spans="1:2" x14ac:dyDescent="0.25">
      <c r="A1" s="34" t="s">
        <v>3</v>
      </c>
      <c r="B1" t="s">
        <v>494</v>
      </c>
    </row>
    <row r="3" spans="1:2" x14ac:dyDescent="0.25">
      <c r="A3" s="34" t="s">
        <v>474</v>
      </c>
      <c r="B3" t="s">
        <v>499</v>
      </c>
    </row>
    <row r="4" spans="1:2" x14ac:dyDescent="0.25">
      <c r="A4" s="37" t="s">
        <v>538</v>
      </c>
      <c r="B4" s="38">
        <v>58</v>
      </c>
    </row>
    <row r="5" spans="1:2" x14ac:dyDescent="0.25">
      <c r="A5" s="37" t="s">
        <v>525</v>
      </c>
      <c r="B5" s="38">
        <v>51</v>
      </c>
    </row>
    <row r="6" spans="1:2" x14ac:dyDescent="0.25">
      <c r="A6" s="37" t="s">
        <v>520</v>
      </c>
      <c r="B6" s="38">
        <v>43</v>
      </c>
    </row>
    <row r="7" spans="1:2" x14ac:dyDescent="0.25">
      <c r="A7" s="37" t="s">
        <v>544</v>
      </c>
      <c r="B7" s="38">
        <v>27</v>
      </c>
    </row>
    <row r="8" spans="1:2" x14ac:dyDescent="0.25">
      <c r="A8" s="37" t="s">
        <v>539</v>
      </c>
      <c r="B8" s="38">
        <v>24</v>
      </c>
    </row>
    <row r="9" spans="1:2" x14ac:dyDescent="0.25">
      <c r="A9" s="35" t="s">
        <v>507</v>
      </c>
      <c r="B9" s="36">
        <v>21</v>
      </c>
    </row>
    <row r="10" spans="1:2" x14ac:dyDescent="0.25">
      <c r="A10" s="35" t="s">
        <v>552</v>
      </c>
      <c r="B10" s="36">
        <v>18</v>
      </c>
    </row>
    <row r="11" spans="1:2" x14ac:dyDescent="0.25">
      <c r="A11" s="35" t="s">
        <v>517</v>
      </c>
      <c r="B11" s="36">
        <v>16</v>
      </c>
    </row>
    <row r="12" spans="1:2" x14ac:dyDescent="0.25">
      <c r="A12" s="35" t="s">
        <v>577</v>
      </c>
      <c r="B12" s="36">
        <v>16</v>
      </c>
    </row>
    <row r="13" spans="1:2" x14ac:dyDescent="0.25">
      <c r="A13" s="35" t="s">
        <v>572</v>
      </c>
      <c r="B13" s="36">
        <v>13</v>
      </c>
    </row>
    <row r="14" spans="1:2" x14ac:dyDescent="0.25">
      <c r="A14" s="35" t="s">
        <v>583</v>
      </c>
      <c r="B14" s="36">
        <v>13</v>
      </c>
    </row>
    <row r="15" spans="1:2" x14ac:dyDescent="0.25">
      <c r="A15" s="35" t="s">
        <v>503</v>
      </c>
      <c r="B15" s="36">
        <v>12</v>
      </c>
    </row>
    <row r="16" spans="1:2" x14ac:dyDescent="0.25">
      <c r="A16" s="35" t="s">
        <v>582</v>
      </c>
      <c r="B16" s="36">
        <v>11</v>
      </c>
    </row>
    <row r="17" spans="1:2" x14ac:dyDescent="0.25">
      <c r="A17" s="35" t="s">
        <v>579</v>
      </c>
      <c r="B17" s="36">
        <v>10</v>
      </c>
    </row>
    <row r="18" spans="1:2" x14ac:dyDescent="0.25">
      <c r="A18" s="35" t="s">
        <v>512</v>
      </c>
      <c r="B18" s="36">
        <v>10</v>
      </c>
    </row>
    <row r="19" spans="1:2" x14ac:dyDescent="0.25">
      <c r="A19" s="35" t="s">
        <v>537</v>
      </c>
      <c r="B19" s="36">
        <v>10</v>
      </c>
    </row>
    <row r="20" spans="1:2" x14ac:dyDescent="0.25">
      <c r="A20" s="35" t="s">
        <v>536</v>
      </c>
      <c r="B20" s="36">
        <v>10</v>
      </c>
    </row>
    <row r="21" spans="1:2" x14ac:dyDescent="0.25">
      <c r="A21" s="35" t="s">
        <v>309</v>
      </c>
      <c r="B21" s="36">
        <v>10</v>
      </c>
    </row>
    <row r="22" spans="1:2" x14ac:dyDescent="0.25">
      <c r="A22" s="35" t="s">
        <v>563</v>
      </c>
      <c r="B22" s="36">
        <v>9</v>
      </c>
    </row>
    <row r="23" spans="1:2" x14ac:dyDescent="0.25">
      <c r="A23" s="35" t="s">
        <v>506</v>
      </c>
      <c r="B23" s="36">
        <v>9</v>
      </c>
    </row>
    <row r="24" spans="1:2" x14ac:dyDescent="0.25">
      <c r="A24" s="35" t="s">
        <v>522</v>
      </c>
      <c r="B24" s="36">
        <v>8</v>
      </c>
    </row>
    <row r="25" spans="1:2" x14ac:dyDescent="0.25">
      <c r="A25" s="35" t="s">
        <v>581</v>
      </c>
      <c r="B25" s="36">
        <v>7</v>
      </c>
    </row>
    <row r="26" spans="1:2" x14ac:dyDescent="0.25">
      <c r="A26" s="35" t="s">
        <v>504</v>
      </c>
      <c r="B26" s="36">
        <v>5</v>
      </c>
    </row>
    <row r="27" spans="1:2" x14ac:dyDescent="0.25">
      <c r="A27" s="35" t="s">
        <v>556</v>
      </c>
      <c r="B27" s="36">
        <v>5</v>
      </c>
    </row>
    <row r="28" spans="1:2" x14ac:dyDescent="0.25">
      <c r="A28" s="35" t="s">
        <v>527</v>
      </c>
      <c r="B28" s="36">
        <v>4</v>
      </c>
    </row>
    <row r="29" spans="1:2" x14ac:dyDescent="0.25">
      <c r="A29" s="35" t="s">
        <v>580</v>
      </c>
      <c r="B29" s="36">
        <v>4</v>
      </c>
    </row>
    <row r="30" spans="1:2" x14ac:dyDescent="0.25">
      <c r="A30" s="35" t="s">
        <v>550</v>
      </c>
      <c r="B30" s="36">
        <v>4</v>
      </c>
    </row>
    <row r="31" spans="1:2" x14ac:dyDescent="0.25">
      <c r="A31" s="35" t="s">
        <v>542</v>
      </c>
      <c r="B31" s="36">
        <v>4</v>
      </c>
    </row>
    <row r="32" spans="1:2" x14ac:dyDescent="0.25">
      <c r="A32" s="35" t="s">
        <v>543</v>
      </c>
      <c r="B32" s="36">
        <v>4</v>
      </c>
    </row>
    <row r="33" spans="1:2" x14ac:dyDescent="0.25">
      <c r="A33" s="35" t="s">
        <v>521</v>
      </c>
      <c r="B33" s="36">
        <v>3</v>
      </c>
    </row>
    <row r="34" spans="1:2" x14ac:dyDescent="0.25">
      <c r="A34" s="35" t="s">
        <v>528</v>
      </c>
      <c r="B34" s="36">
        <v>3</v>
      </c>
    </row>
    <row r="35" spans="1:2" x14ac:dyDescent="0.25">
      <c r="A35" s="35" t="s">
        <v>535</v>
      </c>
      <c r="B35" s="36">
        <v>3</v>
      </c>
    </row>
    <row r="36" spans="1:2" x14ac:dyDescent="0.25">
      <c r="A36" s="35" t="s">
        <v>508</v>
      </c>
      <c r="B36" s="36">
        <v>2</v>
      </c>
    </row>
    <row r="37" spans="1:2" x14ac:dyDescent="0.25">
      <c r="A37" s="35" t="s">
        <v>553</v>
      </c>
      <c r="B37" s="36">
        <v>2</v>
      </c>
    </row>
    <row r="38" spans="1:2" x14ac:dyDescent="0.25">
      <c r="A38" s="35" t="s">
        <v>545</v>
      </c>
      <c r="B38" s="36">
        <v>2</v>
      </c>
    </row>
    <row r="39" spans="1:2" x14ac:dyDescent="0.25">
      <c r="A39" s="35" t="s">
        <v>534</v>
      </c>
      <c r="B39" s="36">
        <v>2</v>
      </c>
    </row>
    <row r="40" spans="1:2" x14ac:dyDescent="0.25">
      <c r="A40" s="35" t="s">
        <v>571</v>
      </c>
      <c r="B40" s="36">
        <v>1</v>
      </c>
    </row>
    <row r="41" spans="1:2" x14ac:dyDescent="0.25">
      <c r="A41" s="35" t="s">
        <v>565</v>
      </c>
      <c r="B41" s="36">
        <v>1</v>
      </c>
    </row>
    <row r="42" spans="1:2" x14ac:dyDescent="0.25">
      <c r="A42" s="35" t="s">
        <v>532</v>
      </c>
      <c r="B42" s="36">
        <v>1</v>
      </c>
    </row>
    <row r="43" spans="1:2" x14ac:dyDescent="0.25">
      <c r="A43" s="35" t="s">
        <v>541</v>
      </c>
      <c r="B43" s="36">
        <v>1</v>
      </c>
    </row>
    <row r="44" spans="1:2" x14ac:dyDescent="0.25">
      <c r="A44" s="35" t="s">
        <v>570</v>
      </c>
      <c r="B44" s="36">
        <v>1</v>
      </c>
    </row>
    <row r="45" spans="1:2" x14ac:dyDescent="0.25">
      <c r="A45" s="35" t="s">
        <v>533</v>
      </c>
      <c r="B45" s="36">
        <v>1</v>
      </c>
    </row>
    <row r="46" spans="1:2" x14ac:dyDescent="0.25">
      <c r="A46" s="35" t="s">
        <v>526</v>
      </c>
      <c r="B46" s="36">
        <v>1</v>
      </c>
    </row>
    <row r="47" spans="1:2" x14ac:dyDescent="0.25">
      <c r="A47" s="35" t="s">
        <v>514</v>
      </c>
      <c r="B47" s="36">
        <v>1</v>
      </c>
    </row>
    <row r="48" spans="1:2" x14ac:dyDescent="0.25">
      <c r="A48" s="35" t="s">
        <v>530</v>
      </c>
      <c r="B48" s="36">
        <v>1</v>
      </c>
    </row>
    <row r="49" spans="1:2" x14ac:dyDescent="0.25">
      <c r="A49" s="35" t="s">
        <v>567</v>
      </c>
      <c r="B49" s="36">
        <v>1</v>
      </c>
    </row>
    <row r="50" spans="1:2" x14ac:dyDescent="0.25">
      <c r="A50" s="35" t="s">
        <v>549</v>
      </c>
      <c r="B50" s="36">
        <v>0</v>
      </c>
    </row>
    <row r="51" spans="1:2" x14ac:dyDescent="0.25">
      <c r="A51" s="35" t="s">
        <v>529</v>
      </c>
      <c r="B51" s="36">
        <v>0</v>
      </c>
    </row>
    <row r="52" spans="1:2" x14ac:dyDescent="0.25">
      <c r="A52" s="35" t="s">
        <v>561</v>
      </c>
      <c r="B52" s="36">
        <v>0</v>
      </c>
    </row>
    <row r="53" spans="1:2" x14ac:dyDescent="0.25">
      <c r="A53" s="35" t="s">
        <v>558</v>
      </c>
      <c r="B53" s="36">
        <v>0</v>
      </c>
    </row>
    <row r="54" spans="1:2" x14ac:dyDescent="0.25">
      <c r="A54" s="35" t="s">
        <v>585</v>
      </c>
      <c r="B54" s="36">
        <v>0</v>
      </c>
    </row>
    <row r="55" spans="1:2" x14ac:dyDescent="0.25">
      <c r="A55" s="35" t="s">
        <v>546</v>
      </c>
      <c r="B55" s="36">
        <v>0</v>
      </c>
    </row>
    <row r="56" spans="1:2" x14ac:dyDescent="0.25">
      <c r="A56" s="35" t="s">
        <v>523</v>
      </c>
      <c r="B56" s="36">
        <v>0</v>
      </c>
    </row>
    <row r="57" spans="1:2" x14ac:dyDescent="0.25">
      <c r="A57" s="35" t="s">
        <v>511</v>
      </c>
      <c r="B57" s="36">
        <v>0</v>
      </c>
    </row>
    <row r="58" spans="1:2" x14ac:dyDescent="0.25">
      <c r="A58" s="35" t="s">
        <v>518</v>
      </c>
      <c r="B58" s="36">
        <v>0</v>
      </c>
    </row>
    <row r="59" spans="1:2" x14ac:dyDescent="0.25">
      <c r="A59" s="35" t="s">
        <v>547</v>
      </c>
      <c r="B59" s="36">
        <v>0</v>
      </c>
    </row>
    <row r="60" spans="1:2" x14ac:dyDescent="0.25">
      <c r="A60" s="35" t="s">
        <v>584</v>
      </c>
      <c r="B60" s="36">
        <v>0</v>
      </c>
    </row>
    <row r="61" spans="1:2" x14ac:dyDescent="0.25">
      <c r="A61" s="35" t="s">
        <v>531</v>
      </c>
      <c r="B61" s="36">
        <v>0</v>
      </c>
    </row>
    <row r="62" spans="1:2" x14ac:dyDescent="0.25">
      <c r="A62" s="35" t="s">
        <v>519</v>
      </c>
      <c r="B62" s="36">
        <v>0</v>
      </c>
    </row>
    <row r="63" spans="1:2" x14ac:dyDescent="0.25">
      <c r="A63" s="35" t="s">
        <v>574</v>
      </c>
      <c r="B63" s="36">
        <v>0</v>
      </c>
    </row>
    <row r="64" spans="1:2" x14ac:dyDescent="0.25">
      <c r="A64" s="35" t="s">
        <v>576</v>
      </c>
      <c r="B64" s="36">
        <v>0</v>
      </c>
    </row>
    <row r="65" spans="1:2" x14ac:dyDescent="0.25">
      <c r="A65" s="35" t="s">
        <v>548</v>
      </c>
      <c r="B65" s="36">
        <v>0</v>
      </c>
    </row>
    <row r="66" spans="1:2" x14ac:dyDescent="0.25">
      <c r="A66" s="35" t="s">
        <v>476</v>
      </c>
      <c r="B66" s="36">
        <v>58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59999389629810485"/>
  </sheetPr>
  <dimension ref="A1:F15"/>
  <sheetViews>
    <sheetView workbookViewId="0">
      <selection activeCell="L30" sqref="L30"/>
    </sheetView>
  </sheetViews>
  <sheetFormatPr baseColWidth="10" defaultColWidth="9.140625" defaultRowHeight="15" x14ac:dyDescent="0.25"/>
  <cols>
    <col min="1" max="1" width="20.85546875" bestFit="1" customWidth="1"/>
    <col min="2" max="2" width="17.85546875" bestFit="1" customWidth="1"/>
  </cols>
  <sheetData>
    <row r="1" spans="1:6" x14ac:dyDescent="0.25">
      <c r="A1" s="34" t="s">
        <v>3</v>
      </c>
      <c r="B1" t="s">
        <v>494</v>
      </c>
    </row>
    <row r="3" spans="1:6" x14ac:dyDescent="0.25">
      <c r="A3" s="34" t="s">
        <v>474</v>
      </c>
      <c r="B3" t="s">
        <v>502</v>
      </c>
    </row>
    <row r="4" spans="1:6" x14ac:dyDescent="0.25">
      <c r="A4" s="35" t="s">
        <v>366</v>
      </c>
      <c r="B4" s="36">
        <v>71</v>
      </c>
      <c r="C4" s="108">
        <f>GETPIVOTDATA("Customer",$A$3,"Customer","No")/GETPIVOTDATA("Customer",$A$3)</f>
        <v>0.83529411764705885</v>
      </c>
    </row>
    <row r="5" spans="1:6" x14ac:dyDescent="0.25">
      <c r="A5" s="126" t="s">
        <v>38</v>
      </c>
      <c r="B5" s="36">
        <v>1</v>
      </c>
      <c r="C5" s="129">
        <f>1/71</f>
        <v>1.4084507042253521E-2</v>
      </c>
      <c r="D5" s="128"/>
    </row>
    <row r="6" spans="1:6" x14ac:dyDescent="0.25">
      <c r="A6" s="126" t="s">
        <v>40</v>
      </c>
      <c r="B6" s="36">
        <v>20</v>
      </c>
      <c r="C6" s="129">
        <f>20/71</f>
        <v>0.28169014084507044</v>
      </c>
      <c r="D6" s="128"/>
    </row>
    <row r="7" spans="1:6" x14ac:dyDescent="0.25">
      <c r="A7" s="126" t="s">
        <v>41</v>
      </c>
      <c r="B7" s="36">
        <v>42</v>
      </c>
      <c r="C7" s="129">
        <f>42/71</f>
        <v>0.59154929577464788</v>
      </c>
      <c r="D7" s="128"/>
    </row>
    <row r="8" spans="1:6" x14ac:dyDescent="0.25">
      <c r="A8" s="126" t="s">
        <v>37</v>
      </c>
      <c r="B8" s="36">
        <v>1</v>
      </c>
      <c r="C8" s="129">
        <f>1/71</f>
        <v>1.4084507042253521E-2</v>
      </c>
      <c r="D8" s="128"/>
      <c r="F8" s="127"/>
    </row>
    <row r="9" spans="1:6" x14ac:dyDescent="0.25">
      <c r="A9" s="126" t="s">
        <v>36</v>
      </c>
      <c r="B9" s="36">
        <v>7</v>
      </c>
      <c r="C9" s="129">
        <f>7/71</f>
        <v>9.8591549295774641E-2</v>
      </c>
      <c r="D9" s="128"/>
    </row>
    <row r="10" spans="1:6" x14ac:dyDescent="0.25">
      <c r="A10" s="35" t="s">
        <v>365</v>
      </c>
      <c r="B10" s="36">
        <v>14</v>
      </c>
      <c r="C10" s="108">
        <f>14/85</f>
        <v>0.16470588235294117</v>
      </c>
    </row>
    <row r="11" spans="1:6" x14ac:dyDescent="0.25">
      <c r="A11" s="126" t="s">
        <v>40</v>
      </c>
      <c r="B11" s="36">
        <v>8</v>
      </c>
      <c r="C11" s="130">
        <f>8/14</f>
        <v>0.5714285714285714</v>
      </c>
      <c r="F11" s="127"/>
    </row>
    <row r="12" spans="1:6" x14ac:dyDescent="0.25">
      <c r="A12" s="126" t="s">
        <v>41</v>
      </c>
      <c r="B12" s="36">
        <v>4</v>
      </c>
      <c r="C12" s="130">
        <f>4/14</f>
        <v>0.2857142857142857</v>
      </c>
    </row>
    <row r="13" spans="1:6" x14ac:dyDescent="0.25">
      <c r="A13" s="126" t="s">
        <v>37</v>
      </c>
      <c r="B13" s="36">
        <v>1</v>
      </c>
      <c r="C13" s="130">
        <f>1/14</f>
        <v>7.1428571428571425E-2</v>
      </c>
    </row>
    <row r="14" spans="1:6" x14ac:dyDescent="0.25">
      <c r="A14" s="126" t="s">
        <v>482</v>
      </c>
      <c r="B14" s="36">
        <v>1</v>
      </c>
      <c r="C14" s="130">
        <f>1/14</f>
        <v>7.1428571428571425E-2</v>
      </c>
    </row>
    <row r="15" spans="1:6" x14ac:dyDescent="0.25">
      <c r="A15" s="35" t="s">
        <v>476</v>
      </c>
      <c r="B15" s="36">
        <v>85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C7"/>
  <sheetViews>
    <sheetView workbookViewId="0">
      <selection activeCell="B5" sqref="B5"/>
    </sheetView>
  </sheetViews>
  <sheetFormatPr baseColWidth="10" defaultColWidth="9.140625" defaultRowHeight="15" x14ac:dyDescent="0.25"/>
  <cols>
    <col min="1" max="1" width="13.140625" bestFit="1" customWidth="1"/>
    <col min="2" max="2" width="17.85546875" bestFit="1" customWidth="1"/>
  </cols>
  <sheetData>
    <row r="3" spans="1:3" x14ac:dyDescent="0.25">
      <c r="A3" s="34" t="s">
        <v>474</v>
      </c>
      <c r="B3" t="s">
        <v>502</v>
      </c>
    </row>
    <row r="4" spans="1:3" x14ac:dyDescent="0.25">
      <c r="A4" s="35" t="s">
        <v>366</v>
      </c>
      <c r="B4" s="36">
        <v>281</v>
      </c>
      <c r="C4" s="110">
        <f>234/291</f>
        <v>0.80412371134020622</v>
      </c>
    </row>
    <row r="5" spans="1:3" x14ac:dyDescent="0.25">
      <c r="A5" s="35" t="s">
        <v>365</v>
      </c>
      <c r="B5" s="36">
        <v>73</v>
      </c>
      <c r="C5" s="110">
        <f>57/291</f>
        <v>0.19587628865979381</v>
      </c>
    </row>
    <row r="6" spans="1:3" x14ac:dyDescent="0.25">
      <c r="A6" s="35" t="s">
        <v>475</v>
      </c>
      <c r="B6" s="36"/>
    </row>
    <row r="7" spans="1:3" x14ac:dyDescent="0.25">
      <c r="A7" s="35" t="s">
        <v>476</v>
      </c>
      <c r="B7" s="36">
        <v>354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21</vt:i4>
      </vt:variant>
    </vt:vector>
  </HeadingPairs>
  <TitlesOfParts>
    <vt:vector size="21" baseType="lpstr">
      <vt:lpstr>Metrics - Articles</vt:lpstr>
      <vt:lpstr>Dropdown Lists</vt:lpstr>
      <vt:lpstr>Articles Per Month</vt:lpstr>
      <vt:lpstr>TOP Contributors YTD</vt:lpstr>
      <vt:lpstr>TOP Contributors Q4</vt:lpstr>
      <vt:lpstr>% Number of views YTD</vt:lpstr>
      <vt:lpstr>% Number of views Q4</vt:lpstr>
      <vt:lpstr>Articles-Infographics YTD</vt:lpstr>
      <vt:lpstr>Articles with Infographics Q4</vt:lpstr>
      <vt:lpstr>TOP 5 Viewed YTD</vt:lpstr>
      <vt:lpstr>TOP 5 Viewed Q4</vt:lpstr>
      <vt:lpstr>% Regions YTD</vt:lpstr>
      <vt:lpstr>% Regions Q4</vt:lpstr>
      <vt:lpstr>% Move the Needle YTD</vt:lpstr>
      <vt:lpstr>% Move the Needle Q4</vt:lpstr>
      <vt:lpstr>% Board Area YTD</vt:lpstr>
      <vt:lpstr>% Board Area Q4</vt:lpstr>
      <vt:lpstr>TOP 5 Commented YTD</vt:lpstr>
      <vt:lpstr>TOP 5 Commented Q4</vt:lpstr>
      <vt:lpstr>Customer Involved Articles Q4</vt:lpstr>
      <vt:lpstr>Customer Involved Articles YTD</vt:lpstr>
    </vt:vector>
  </TitlesOfParts>
  <Company>SAP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Pompeu-Pividal, Renata (external - Temp Staff)</dc:creator>
  <cp:lastModifiedBy>Alejo Benitez</cp:lastModifiedBy>
  <dcterms:created xsi:type="dcterms:W3CDTF">2015-04-17T09:22:40Z</dcterms:created>
  <dcterms:modified xsi:type="dcterms:W3CDTF">2016-01-23T01:54:27Z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_AdHocReviewCycleID">
    <vt:i4>1664090823</vt:i4>
  </property>
  <property fmtid="{D5CDD505-2E9C-101B-9397-08002B2CF9AE}" pid="4" name="_EmailSubject">
    <vt:lpwstr>Métricas</vt:lpwstr>
  </property>
  <property fmtid="{D5CDD505-2E9C-101B-9397-08002B2CF9AE}" pid="5" name="_AuthorEmail">
    <vt:lpwstr>david.aguirr.aguirre@sap.com</vt:lpwstr>
  </property>
  <property fmtid="{D5CDD505-2E9C-101B-9397-08002B2CF9AE}" pid="6" name="_AuthorEmailDisplayName">
    <vt:lpwstr>Aguirre, David Aguirr (external - Project)</vt:lpwstr>
  </property>
  <property fmtid="{D5CDD505-2E9C-101B-9397-08002B2CF9AE}" pid="7" name="_ReviewingToolsShownOnce">
    <vt:lpwstr/>
  </property>
</Properties>
</file>